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16380" windowHeight="8196" tabRatio="500"/>
  </bookViews>
  <sheets>
    <sheet name="Ayarlar_Depo" sheetId="1" r:id="rId1"/>
    <sheet name="Gunluk_Hareket" sheetId="2" r:id="rId2"/>
    <sheet name="Ozet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2" l="1"/>
  <c r="K7" i="2"/>
  <c r="I7" i="2"/>
  <c r="B8" i="1"/>
  <c r="J7" i="2"/>
  <c r="L7" i="2"/>
  <c r="M7" i="2"/>
  <c r="H4" i="2"/>
  <c r="H5" i="2"/>
  <c r="H8" i="2"/>
  <c r="H9" i="2"/>
  <c r="K11" i="2"/>
  <c r="I11" i="2"/>
  <c r="J11" i="2"/>
  <c r="L11" i="2"/>
  <c r="M11" i="2"/>
  <c r="H12" i="2"/>
  <c r="H14" i="2"/>
  <c r="K15" i="2"/>
  <c r="I15" i="2"/>
  <c r="J15" i="2"/>
  <c r="L15" i="2"/>
  <c r="M15" i="2"/>
  <c r="H13" i="2"/>
  <c r="K16" i="2"/>
  <c r="I16" i="2"/>
  <c r="J16" i="2"/>
  <c r="L16" i="2"/>
  <c r="M16" i="2"/>
  <c r="M4" i="2"/>
  <c r="M5" i="2"/>
  <c r="M6" i="2"/>
  <c r="M8" i="2"/>
  <c r="M9" i="2"/>
  <c r="M10" i="2"/>
  <c r="M12" i="2"/>
  <c r="M13" i="2"/>
  <c r="M14" i="2"/>
  <c r="K17" i="2"/>
  <c r="I17" i="2"/>
  <c r="J17" i="2"/>
  <c r="L17" i="2"/>
  <c r="M17" i="2"/>
  <c r="H18" i="2"/>
  <c r="M18" i="2"/>
  <c r="M19" i="2"/>
  <c r="H20" i="2"/>
  <c r="M20" i="2"/>
  <c r="M21" i="2"/>
  <c r="K22" i="2"/>
  <c r="I22" i="2"/>
  <c r="J22" i="2"/>
  <c r="L22" i="2"/>
  <c r="M22" i="2"/>
  <c r="K23" i="2"/>
  <c r="I23" i="2"/>
  <c r="J23" i="2"/>
  <c r="L23" i="2"/>
  <c r="M23" i="2"/>
  <c r="H24" i="2"/>
  <c r="M24" i="2"/>
  <c r="K25" i="2"/>
  <c r="I25" i="2"/>
  <c r="J25" i="2"/>
  <c r="L25" i="2"/>
  <c r="M25" i="2"/>
  <c r="M26" i="2"/>
  <c r="H27" i="2"/>
  <c r="M27" i="2"/>
  <c r="M28" i="2"/>
  <c r="K29" i="2"/>
  <c r="I29" i="2"/>
  <c r="J29" i="2"/>
  <c r="L29" i="2"/>
  <c r="M29" i="2"/>
  <c r="M30" i="2"/>
  <c r="H31" i="2"/>
  <c r="M31" i="2"/>
  <c r="K32" i="2"/>
  <c r="I32" i="2"/>
  <c r="J32" i="2"/>
  <c r="L32" i="2"/>
  <c r="M32" i="2"/>
  <c r="M33" i="2"/>
  <c r="B12" i="3"/>
  <c r="B19" i="3"/>
  <c r="B8" i="3"/>
  <c r="B7" i="3"/>
  <c r="B9" i="3"/>
  <c r="B18" i="3"/>
  <c r="D18" i="1"/>
  <c r="C18" i="1"/>
  <c r="E18" i="1"/>
  <c r="F18" i="1"/>
  <c r="D19" i="1"/>
  <c r="C19" i="1"/>
  <c r="E19" i="1"/>
  <c r="F19" i="1"/>
  <c r="D20" i="1"/>
  <c r="C20" i="1"/>
  <c r="E20" i="1"/>
  <c r="F20" i="1"/>
  <c r="D21" i="1"/>
  <c r="C21" i="1"/>
  <c r="E21" i="1"/>
  <c r="F21" i="1"/>
  <c r="D22" i="1"/>
  <c r="C22" i="1"/>
  <c r="E22" i="1"/>
  <c r="F22" i="1"/>
  <c r="D23" i="1"/>
  <c r="C23" i="1"/>
  <c r="E23" i="1"/>
  <c r="F23" i="1"/>
  <c r="A15" i="3"/>
  <c r="B13" i="3"/>
  <c r="B11" i="3"/>
  <c r="B10" i="3"/>
  <c r="B6" i="3"/>
  <c r="D24" i="1"/>
  <c r="C24" i="1"/>
  <c r="E24" i="1"/>
  <c r="B5" i="3"/>
  <c r="B4" i="3"/>
  <c r="B3" i="3"/>
  <c r="L33" i="2"/>
  <c r="K33" i="2"/>
  <c r="J33" i="2"/>
  <c r="I33" i="2"/>
  <c r="H33" i="2"/>
  <c r="H32" i="2"/>
  <c r="L31" i="2"/>
  <c r="K31" i="2"/>
  <c r="J31" i="2"/>
  <c r="I31" i="2"/>
  <c r="L30" i="2"/>
  <c r="K30" i="2"/>
  <c r="J30" i="2"/>
  <c r="I30" i="2"/>
  <c r="H30" i="2"/>
  <c r="H29" i="2"/>
  <c r="L28" i="2"/>
  <c r="K28" i="2"/>
  <c r="J28" i="2"/>
  <c r="I28" i="2"/>
  <c r="H28" i="2"/>
  <c r="L27" i="2"/>
  <c r="K27" i="2"/>
  <c r="J27" i="2"/>
  <c r="I27" i="2"/>
  <c r="L26" i="2"/>
  <c r="K26" i="2"/>
  <c r="J26" i="2"/>
  <c r="I26" i="2"/>
  <c r="H26" i="2"/>
  <c r="H25" i="2"/>
  <c r="L24" i="2"/>
  <c r="K24" i="2"/>
  <c r="J24" i="2"/>
  <c r="I24" i="2"/>
  <c r="H23" i="2"/>
  <c r="H22" i="2"/>
  <c r="L21" i="2"/>
  <c r="K21" i="2"/>
  <c r="J21" i="2"/>
  <c r="I21" i="2"/>
  <c r="H21" i="2"/>
  <c r="L20" i="2"/>
  <c r="K20" i="2"/>
  <c r="J20" i="2"/>
  <c r="I20" i="2"/>
  <c r="L19" i="2"/>
  <c r="K19" i="2"/>
  <c r="J19" i="2"/>
  <c r="I19" i="2"/>
  <c r="H19" i="2"/>
  <c r="L18" i="2"/>
  <c r="K18" i="2"/>
  <c r="J18" i="2"/>
  <c r="I18" i="2"/>
  <c r="H17" i="2"/>
  <c r="H16" i="2"/>
  <c r="H15" i="2"/>
  <c r="L14" i="2"/>
  <c r="K14" i="2"/>
  <c r="J14" i="2"/>
  <c r="I14" i="2"/>
  <c r="L13" i="2"/>
  <c r="K13" i="2"/>
  <c r="J13" i="2"/>
  <c r="I13" i="2"/>
  <c r="L12" i="2"/>
  <c r="K12" i="2"/>
  <c r="J12" i="2"/>
  <c r="I12" i="2"/>
  <c r="H11" i="2"/>
  <c r="L10" i="2"/>
  <c r="K10" i="2"/>
  <c r="J10" i="2"/>
  <c r="I10" i="2"/>
  <c r="H10" i="2"/>
  <c r="L9" i="2"/>
  <c r="K9" i="2"/>
  <c r="J9" i="2"/>
  <c r="I9" i="2"/>
  <c r="L8" i="2"/>
  <c r="K8" i="2"/>
  <c r="J8" i="2"/>
  <c r="I8" i="2"/>
  <c r="H7" i="2"/>
  <c r="L6" i="2"/>
  <c r="K6" i="2"/>
  <c r="J6" i="2"/>
  <c r="I6" i="2"/>
  <c r="L5" i="2"/>
  <c r="K5" i="2"/>
  <c r="J5" i="2"/>
  <c r="I5" i="2"/>
  <c r="L4" i="2"/>
  <c r="K4" i="2"/>
  <c r="J4" i="2"/>
  <c r="I4" i="2"/>
  <c r="B9" i="1"/>
</calcChain>
</file>

<file path=xl/sharedStrings.xml><?xml version="1.0" encoding="utf-8"?>
<sst xmlns="http://schemas.openxmlformats.org/spreadsheetml/2006/main" count="142" uniqueCount="69">
  <si>
    <t>AYARLAR VE DEPO DURUMU — BİTÜM SİSTEMİ</t>
  </si>
  <si>
    <t>PARAMETRE</t>
  </si>
  <si>
    <t>DEĞER</t>
  </si>
  <si>
    <t>BİRİM</t>
  </si>
  <si>
    <t>Depo Kapasitesi (her tank)</t>
  </si>
  <si>
    <t>ton</t>
  </si>
  <si>
    <t>Kiralık – Ana Depo Mesafesi (tek yön)</t>
  </si>
  <si>
    <t>km</t>
  </si>
  <si>
    <t>TIR Taşıma Kapasitesi</t>
  </si>
  <si>
    <t>ton/sefer</t>
  </si>
  <si>
    <t>Yakıt Maliyeti</t>
  </si>
  <si>
    <t>TL/km</t>
  </si>
  <si>
    <t>Sefer Başı Taşıma Maliyeti (gidiş-dönüş)</t>
  </si>
  <si>
    <t>TL/sefer</t>
  </si>
  <si>
    <t>Ton Başı Taşıma Maliyeti</t>
  </si>
  <si>
    <t>TL/ton</t>
  </si>
  <si>
    <t>Güncel Referans Alış Fiyatı</t>
  </si>
  <si>
    <t>Kritik Stok Uyarı Eşiği</t>
  </si>
  <si>
    <t>Düşük Stok Uyarı Eşiği</t>
  </si>
  <si>
    <t>NOT: Sigorta, şoför vb. maliyetler dahil edilmemiştir; taşıma maliyeti yalnızca mesafe×yakıt esaslıdır. Bitüm fiyatı değiştikçe yukarıdaki 'Güncel Referans Alış Fiyatı' güncellenmelidir.</t>
  </si>
  <si>
    <t>Depo Adı</t>
  </si>
  <si>
    <t>Tip</t>
  </si>
  <si>
    <t>Kapasite (ton)</t>
  </si>
  <si>
    <t>Güncel Stok (ton)</t>
  </si>
  <si>
    <t>Doluluk (%)</t>
  </si>
  <si>
    <t>Durum</t>
  </si>
  <si>
    <t>Kiralık Tanker 1</t>
  </si>
  <si>
    <t>Kiralık</t>
  </si>
  <si>
    <t>Kiralık Tanker 2</t>
  </si>
  <si>
    <t>Ana Depo 1</t>
  </si>
  <si>
    <t>Ana Depo</t>
  </si>
  <si>
    <t>Ana Depo 2</t>
  </si>
  <si>
    <t>Ana Depo 3</t>
  </si>
  <si>
    <t>Ana Depo 4</t>
  </si>
  <si>
    <t>TOPLAM</t>
  </si>
  <si>
    <t>GÜNLÜK HAREKET — ALIŞ / TAŞIMA / KULLANIM</t>
  </si>
  <si>
    <t>Sütunlara SADECE açılır listeden seçim yapın (serbest yazmayın). Alış → Depo(kiralık)+Miktar+Fiyat  |  Taşıma → Kaynak Depo(kiralık)+Hedef Depo(ana)+Miktar  |  Kullanım → Depo(ana)+Miktar</t>
  </si>
  <si>
    <t>Tarih</t>
  </si>
  <si>
    <t>Hareket
Tipi</t>
  </si>
  <si>
    <t>Depo
(Alış/Kullanım)</t>
  </si>
  <si>
    <t>Kaynak Depo
(Taşıma)</t>
  </si>
  <si>
    <t>Hedef Depo
(Taşıma)</t>
  </si>
  <si>
    <t>Miktar
(ton)</t>
  </si>
  <si>
    <t>Alış Fiyatı
(TL/ton)</t>
  </si>
  <si>
    <t>Alış Maliyeti
(TL)</t>
  </si>
  <si>
    <t>TIR Sefer
Sayısı</t>
  </si>
  <si>
    <t>Taşıma Maliyeti
(TL)</t>
  </si>
  <si>
    <t>Kaynak Depo Ort.
Fiyatı (TL/ton)</t>
  </si>
  <si>
    <t>Ana Depoya Varış
Maliyeti (TL/ton)</t>
  </si>
  <si>
    <t>Toplam Maliyet
(TL)</t>
  </si>
  <si>
    <t>Açıklama</t>
  </si>
  <si>
    <t>Alış</t>
  </si>
  <si>
    <t>Taşıma</t>
  </si>
  <si>
    <t>Kullanım</t>
  </si>
  <si>
    <t>ÖZET — MALİYET VE STOK GÖSTERGE PANELİ</t>
  </si>
  <si>
    <t>Toplam Sistem Kapasitesi (ton)</t>
  </si>
  <si>
    <t>Toplam Güncel Stok (ton)</t>
  </si>
  <si>
    <t>Genel Doluluk Oranı (%)</t>
  </si>
  <si>
    <t>Kritik Durumdaki Depo Sayısı</t>
  </si>
  <si>
    <t>Toplam Alış Miktarı (ton)</t>
  </si>
  <si>
    <t>Toplam Alış Maliyeti (TL)</t>
  </si>
  <si>
    <t>Ortalama Alış Fiyatı (TL/ton)</t>
  </si>
  <si>
    <t>Toplam Taşıma Sefer Sayısı</t>
  </si>
  <si>
    <t>Toplam Taşıma Maliyeti (TL)</t>
  </si>
  <si>
    <t>Ort. Ana Depoya Varış Maliyeti (TL/ton)</t>
  </si>
  <si>
    <t>Toplam Saha Kullanım Miktarı (ton)</t>
  </si>
  <si>
    <t>Karşılaştırma</t>
  </si>
  <si>
    <t>Ort. Alış Fiyatı</t>
  </si>
  <si>
    <t>Ort. Ana Depoya Varış Maliyeti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</si>
</sst>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&quot; ton&quot;"/>
    <numFmt numFmtId="165" formatCode="0.0%"/>
    <numFmt numFmtId="166" formatCode="dd\.mm\.yyyy"/>
    <numFmt numFmtId="167" formatCode="#,##0&quot; TL&quot;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FF"/>
      <name val="Calibri"/>
      <charset val="1"/>
    </font>
    <font>
      <sz val="10"/>
      <color rgb="FF000000"/>
      <name val="Calibri"/>
      <charset val="1"/>
    </font>
    <font>
      <i/>
      <sz val="9"/>
      <color rgb="FFC8102E"/>
      <name val="Calibri"/>
      <charset val="1"/>
    </font>
    <font>
      <sz val="10"/>
      <color rgb="FF2E7D32"/>
      <name val="Calibri"/>
      <charset val="1"/>
    </font>
    <font>
      <b/>
      <sz val="11"/>
      <name val="Calibri"/>
      <charset val="1"/>
    </font>
    <font>
      <b/>
      <sz val="12"/>
      <color rgb="FF1B2A4A"/>
      <name val="Calibri"/>
      <charset val="1"/>
    </font>
    <font>
      <b/>
      <sz val="11"/>
      <color rgb="FFC8102E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99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3" borderId="1" xfId="0" applyFont="1" applyFill="1" applyBorder="1"/>
    <xf numFmtId="0" fontId="5" fillId="0" borderId="1" xfId="0" applyFont="1" applyBorder="1"/>
    <xf numFmtId="9" fontId="4" fillId="3" borderId="1" xfId="0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5" borderId="1" xfId="0" applyFont="1" applyFill="1" applyBorder="1"/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" fontId="9" fillId="5" borderId="1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0" fillId="0" borderId="1" xfId="0" applyFont="1" applyBorder="1"/>
    <xf numFmtId="167" fontId="0" fillId="0" borderId="1" xfId="0" applyNumberFormat="1" applyBorder="1"/>
    <xf numFmtId="0" fontId="1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Depo Doluluk Oranları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Ayarlar_Depo!$E$17</c:f>
              <c:strCache>
                <c:ptCount val="1"/>
                <c:pt idx="0">
                  <c:v>Doluluk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Ayarlar_Depo!$A$18:$A$23</c:f>
              <c:strCache>
                <c:ptCount val="6"/>
                <c:pt idx="0">
                  <c:v>Kiralık Tanker 1</c:v>
                </c:pt>
                <c:pt idx="1">
                  <c:v>Kiralık Tanker 2</c:v>
                </c:pt>
                <c:pt idx="2">
                  <c:v>Ana Depo 1</c:v>
                </c:pt>
                <c:pt idx="3">
                  <c:v>Ana Depo 2</c:v>
                </c:pt>
                <c:pt idx="4">
                  <c:v>Ana Depo 3</c:v>
                </c:pt>
                <c:pt idx="5">
                  <c:v>Ana Depo 4</c:v>
                </c:pt>
              </c:strCache>
            </c:strRef>
          </c:cat>
          <c:val>
            <c:numRef>
              <c:f>Ayarlar_Depo!$E$18:$E$23</c:f>
              <c:numCache>
                <c:formatCode>0.0%</c:formatCode>
                <c:ptCount val="6"/>
                <c:pt idx="0">
                  <c:v>0</c:v>
                </c:pt>
                <c:pt idx="1">
                  <c:v>0.1875</c:v>
                </c:pt>
                <c:pt idx="2">
                  <c:v>0.23749999999999999</c:v>
                </c:pt>
                <c:pt idx="3">
                  <c:v>0.625</c:v>
                </c:pt>
                <c:pt idx="4">
                  <c:v>1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C-FD41-BC3F-50B605205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66747"/>
        <c:axId val="586837"/>
      </c:barChart>
      <c:catAx>
        <c:axId val="44166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586837"/>
        <c:crosses val="autoZero"/>
        <c:auto val="1"/>
        <c:lblAlgn val="ctr"/>
        <c:lblOffset val="100"/>
        <c:noMultiLvlLbl val="0"/>
      </c:catAx>
      <c:valAx>
        <c:axId val="586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44166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Alış Fiyatı vs Ana Depoya Varış Maliyeti (TL/ton)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Ozet!$B$17</c:f>
              <c:strCache>
                <c:ptCount val="1"/>
                <c:pt idx="0">
                  <c:v>TL/ton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Ozet!$A$18:$A$19</c:f>
              <c:strCache>
                <c:ptCount val="2"/>
                <c:pt idx="0">
                  <c:v>Ort. Alış Fiyatı</c:v>
                </c:pt>
                <c:pt idx="1">
                  <c:v>Ort. Ana Depoya Varış Maliyeti</c:v>
                </c:pt>
              </c:strCache>
            </c:strRef>
          </c:cat>
          <c:val>
            <c:numRef>
              <c:f>Ozet!$B$18:$B$19</c:f>
              <c:numCache>
                <c:formatCode>#,##0" TL"</c:formatCode>
                <c:ptCount val="2"/>
                <c:pt idx="0">
                  <c:v>18918.573770491803</c:v>
                </c:pt>
                <c:pt idx="1">
                  <c:v>19390.758288738412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3-D84B-A6F1-37A7D5576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13117"/>
        <c:axId val="72472820"/>
      </c:barChart>
      <c:catAx>
        <c:axId val="39213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72472820"/>
        <c:crosses val="autoZero"/>
        <c:auto val="1"/>
        <c:lblAlgn val="ctr"/>
        <c:lblOffset val="100"/>
        <c:noMultiLvlLbl val="0"/>
      </c:catAx>
      <c:valAx>
        <c:axId val="72472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TL/ton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TL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392131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Depo Doluluk Oranları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Ayarlar_Depo!$E$17</c:f>
              <c:strCache>
                <c:ptCount val="1"/>
                <c:pt idx="0">
                  <c:v>Doluluk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Ayarlar_Depo!$A$18:$A$23</c:f>
              <c:strCache>
                <c:ptCount val="6"/>
                <c:pt idx="0">
                  <c:v>Kiralık Tanker 1</c:v>
                </c:pt>
                <c:pt idx="1">
                  <c:v>Kiralık Tanker 2</c:v>
                </c:pt>
                <c:pt idx="2">
                  <c:v>Ana Depo 1</c:v>
                </c:pt>
                <c:pt idx="3">
                  <c:v>Ana Depo 2</c:v>
                </c:pt>
                <c:pt idx="4">
                  <c:v>Ana Depo 3</c:v>
                </c:pt>
                <c:pt idx="5">
                  <c:v>Ana Depo 4</c:v>
                </c:pt>
              </c:strCache>
            </c:strRef>
          </c:cat>
          <c:val>
            <c:numRef>
              <c:f>Ayarlar_Depo!$E$18:$E$23</c:f>
              <c:numCache>
                <c:formatCode>0.0%</c:formatCode>
                <c:ptCount val="6"/>
                <c:pt idx="0">
                  <c:v>0</c:v>
                </c:pt>
                <c:pt idx="1">
                  <c:v>0.1875</c:v>
                </c:pt>
                <c:pt idx="2">
                  <c:v>0.23749999999999999</c:v>
                </c:pt>
                <c:pt idx="3">
                  <c:v>0.625</c:v>
                </c:pt>
                <c:pt idx="4">
                  <c:v>1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4-4346-A37F-DED51FAED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59752"/>
        <c:axId val="41449721"/>
      </c:barChart>
      <c:catAx>
        <c:axId val="9545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41449721"/>
        <c:crosses val="autoZero"/>
        <c:auto val="1"/>
        <c:lblAlgn val="ctr"/>
        <c:lblOffset val="100"/>
        <c:noMultiLvlLbl val="0"/>
      </c:catAx>
      <c:valAx>
        <c:axId val="41449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r-TR"/>
          </a:p>
        </c:txPr>
        <c:crossAx val="95459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5</xdr:col>
      <xdr:colOff>366405</xdr:colOff>
      <xdr:row>42</xdr:row>
      <xdr:rowOff>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255960</xdr:colOff>
      <xdr:row>14</xdr:row>
      <xdr:rowOff>174600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12</xdr:col>
      <xdr:colOff>255960</xdr:colOff>
      <xdr:row>34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2" customWidth="1"/>
    <col min="4" max="4" width="14.6640625" bestFit="1" customWidth="1"/>
    <col min="5" max="5" width="16" customWidth="1"/>
    <col min="6" max="7" width="14" customWidth="1"/>
  </cols>
  <sheetData>
    <row r="1" spans="1:7" ht="21.75" customHeight="1" x14ac:dyDescent="0.3">
      <c r="A1" s="27" t="s">
        <v>0</v>
      </c>
      <c r="B1" s="27"/>
      <c r="C1" s="27"/>
      <c r="D1" s="27"/>
      <c r="E1" s="27"/>
      <c r="F1" s="27"/>
      <c r="G1" s="27"/>
    </row>
    <row r="2" spans="1:7" ht="6" customHeight="1" x14ac:dyDescent="0.3"/>
    <row r="3" spans="1:7" x14ac:dyDescent="0.3">
      <c r="A3" s="1" t="s">
        <v>1</v>
      </c>
      <c r="B3" s="1" t="s">
        <v>2</v>
      </c>
      <c r="C3" s="1" t="s">
        <v>3</v>
      </c>
    </row>
    <row r="4" spans="1:7" x14ac:dyDescent="0.3">
      <c r="A4" s="2" t="s">
        <v>4</v>
      </c>
      <c r="B4" s="3">
        <v>80</v>
      </c>
      <c r="C4" s="4" t="s">
        <v>5</v>
      </c>
    </row>
    <row r="5" spans="1:7" x14ac:dyDescent="0.3">
      <c r="A5" s="2" t="s">
        <v>6</v>
      </c>
      <c r="B5" s="3">
        <v>185</v>
      </c>
      <c r="C5" s="4" t="s">
        <v>7</v>
      </c>
    </row>
    <row r="6" spans="1:7" x14ac:dyDescent="0.3">
      <c r="A6" s="2" t="s">
        <v>8</v>
      </c>
      <c r="B6" s="3">
        <v>30</v>
      </c>
      <c r="C6" s="4" t="s">
        <v>9</v>
      </c>
    </row>
    <row r="7" spans="1:7" x14ac:dyDescent="0.3">
      <c r="A7" s="2" t="s">
        <v>10</v>
      </c>
      <c r="B7" s="3">
        <v>45</v>
      </c>
      <c r="C7" s="4" t="s">
        <v>11</v>
      </c>
    </row>
    <row r="8" spans="1:7" x14ac:dyDescent="0.3">
      <c r="A8" s="2" t="s">
        <v>12</v>
      </c>
      <c r="B8" s="4">
        <f>B5*2*B7</f>
        <v>16650</v>
      </c>
      <c r="C8" s="4" t="s">
        <v>13</v>
      </c>
    </row>
    <row r="9" spans="1:7" x14ac:dyDescent="0.3">
      <c r="A9" s="2" t="s">
        <v>14</v>
      </c>
      <c r="B9" s="4">
        <f>B8/B6</f>
        <v>555</v>
      </c>
      <c r="C9" s="4" t="s">
        <v>15</v>
      </c>
    </row>
    <row r="10" spans="1:7" x14ac:dyDescent="0.3">
      <c r="A10" s="2" t="s">
        <v>16</v>
      </c>
      <c r="B10" s="3">
        <v>18000</v>
      </c>
      <c r="C10" s="4" t="s">
        <v>15</v>
      </c>
    </row>
    <row r="11" spans="1:7" x14ac:dyDescent="0.3">
      <c r="A11" s="2" t="s">
        <v>17</v>
      </c>
      <c r="B11" s="5">
        <v>0.2</v>
      </c>
    </row>
    <row r="12" spans="1:7" x14ac:dyDescent="0.3">
      <c r="A12" s="2" t="s">
        <v>18</v>
      </c>
      <c r="B12" s="5">
        <v>0.4</v>
      </c>
    </row>
    <row r="14" spans="1:7" ht="15" customHeight="1" x14ac:dyDescent="0.3">
      <c r="A14" s="28" t="s">
        <v>19</v>
      </c>
      <c r="B14" s="28"/>
      <c r="C14" s="28"/>
      <c r="D14" s="28"/>
      <c r="E14" s="28"/>
      <c r="F14" s="28"/>
      <c r="G14" s="28"/>
    </row>
    <row r="15" spans="1:7" x14ac:dyDescent="0.3">
      <c r="A15" s="28"/>
      <c r="B15" s="28"/>
      <c r="C15" s="28"/>
      <c r="D15" s="28"/>
      <c r="E15" s="28"/>
      <c r="F15" s="28"/>
      <c r="G15" s="28"/>
    </row>
    <row r="17" spans="1:6" ht="18" customHeight="1" x14ac:dyDescent="0.3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24</v>
      </c>
      <c r="F17" s="1" t="s">
        <v>25</v>
      </c>
    </row>
    <row r="18" spans="1:6" x14ac:dyDescent="0.3">
      <c r="A18" s="6" t="s">
        <v>26</v>
      </c>
      <c r="B18" s="7" t="s">
        <v>27</v>
      </c>
      <c r="C18" s="8">
        <f t="shared" ref="C18:C23" si="0">$B$4</f>
        <v>80</v>
      </c>
      <c r="D18" s="9">
        <f>SUMIFS(Gunluk_Hareket!$F:$F,Gunluk_Hareket!$C:$C,$A18,Gunluk_Hareket!$B:$B,"Alış")-SUMIFS(Gunluk_Hareket!$F:$F,Gunluk_Hareket!$D:$D,$A18,Gunluk_Hareket!$B:$B,"Taşıma")</f>
        <v>0</v>
      </c>
      <c r="E18" s="10">
        <f t="shared" ref="E18:E24" si="1">D18/C18</f>
        <v>0</v>
      </c>
      <c r="F18" s="7" t="str">
        <f t="shared" ref="F18:F23" si="2">IF(E18&lt;=$B$11,"KRİTİK",IF(E18&lt;=$B$12,"DÜŞÜK","NORMAL"))</f>
        <v>KRİTİK</v>
      </c>
    </row>
    <row r="19" spans="1:6" x14ac:dyDescent="0.3">
      <c r="A19" s="6" t="s">
        <v>28</v>
      </c>
      <c r="B19" s="7" t="s">
        <v>27</v>
      </c>
      <c r="C19" s="8">
        <f t="shared" si="0"/>
        <v>80</v>
      </c>
      <c r="D19" s="9">
        <f>SUMIFS(Gunluk_Hareket!$F:$F,Gunluk_Hareket!$C:$C,$A19,Gunluk_Hareket!$B:$B,"Alış")-SUMIFS(Gunluk_Hareket!$F:$F,Gunluk_Hareket!$D:$D,$A19,Gunluk_Hareket!$B:$B,"Taşıma")</f>
        <v>15</v>
      </c>
      <c r="E19" s="10">
        <f t="shared" si="1"/>
        <v>0.1875</v>
      </c>
      <c r="F19" s="7" t="str">
        <f t="shared" si="2"/>
        <v>KRİTİK</v>
      </c>
    </row>
    <row r="20" spans="1:6" x14ac:dyDescent="0.3">
      <c r="A20" s="6" t="s">
        <v>29</v>
      </c>
      <c r="B20" s="7" t="s">
        <v>30</v>
      </c>
      <c r="C20" s="8">
        <f t="shared" si="0"/>
        <v>80</v>
      </c>
      <c r="D20" s="9">
        <f>SUMIFS(Gunluk_Hareket!$F:$F,Gunluk_Hareket!$E:$E,$A20,Gunluk_Hareket!$B:$B,"Taşıma")-SUMIFS(Gunluk_Hareket!$F:$F,Gunluk_Hareket!$C:$C,$A20,Gunluk_Hareket!$B:$B,"Kullanım")</f>
        <v>19</v>
      </c>
      <c r="E20" s="10">
        <f t="shared" si="1"/>
        <v>0.23749999999999999</v>
      </c>
      <c r="F20" s="7" t="str">
        <f t="shared" si="2"/>
        <v>DÜŞÜK</v>
      </c>
    </row>
    <row r="21" spans="1:6" x14ac:dyDescent="0.3">
      <c r="A21" s="6" t="s">
        <v>31</v>
      </c>
      <c r="B21" s="7" t="s">
        <v>30</v>
      </c>
      <c r="C21" s="8">
        <f t="shared" si="0"/>
        <v>80</v>
      </c>
      <c r="D21" s="9">
        <f>SUMIFS(Gunluk_Hareket!$F:$F,Gunluk_Hareket!$E:$E,$A21,Gunluk_Hareket!$B:$B,"Taşıma")-SUMIFS(Gunluk_Hareket!$F:$F,Gunluk_Hareket!$C:$C,$A21,Gunluk_Hareket!$B:$B,"Kullanım")</f>
        <v>50</v>
      </c>
      <c r="E21" s="10">
        <f t="shared" si="1"/>
        <v>0.625</v>
      </c>
      <c r="F21" s="7" t="str">
        <f t="shared" si="2"/>
        <v>NORMAL</v>
      </c>
    </row>
    <row r="22" spans="1:6" x14ac:dyDescent="0.3">
      <c r="A22" s="6" t="s">
        <v>32</v>
      </c>
      <c r="B22" s="7" t="s">
        <v>30</v>
      </c>
      <c r="C22" s="8">
        <f t="shared" si="0"/>
        <v>80</v>
      </c>
      <c r="D22" s="9">
        <f>SUMIFS(Gunluk_Hareket!$F:$F,Gunluk_Hareket!$E:$E,$A22,Gunluk_Hareket!$B:$B,"Taşıma")-SUMIFS(Gunluk_Hareket!$F:$F,Gunluk_Hareket!$C:$C,$A22,Gunluk_Hareket!$B:$B,"Kullanım")</f>
        <v>80</v>
      </c>
      <c r="E22" s="10">
        <f t="shared" si="1"/>
        <v>1</v>
      </c>
      <c r="F22" s="7" t="str">
        <f t="shared" si="2"/>
        <v>NORMAL</v>
      </c>
    </row>
    <row r="23" spans="1:6" x14ac:dyDescent="0.3">
      <c r="A23" s="6" t="s">
        <v>33</v>
      </c>
      <c r="B23" s="7" t="s">
        <v>30</v>
      </c>
      <c r="C23" s="8">
        <f t="shared" si="0"/>
        <v>80</v>
      </c>
      <c r="D23" s="9">
        <f>SUMIFS(Gunluk_Hareket!$F:$F,Gunluk_Hareket!$E:$E,$A23,Gunluk_Hareket!$B:$B,"Taşıma")-SUMIFS(Gunluk_Hareket!$F:$F,Gunluk_Hareket!$C:$C,$A23,Gunluk_Hareket!$B:$B,"Kullanım")</f>
        <v>72</v>
      </c>
      <c r="E23" s="10">
        <f t="shared" si="1"/>
        <v>0.9</v>
      </c>
      <c r="F23" s="7" t="str">
        <f t="shared" si="2"/>
        <v>NORMAL</v>
      </c>
    </row>
    <row r="24" spans="1:6" x14ac:dyDescent="0.3">
      <c r="A24" s="11" t="s">
        <v>34</v>
      </c>
      <c r="B24" s="11"/>
      <c r="C24" s="11">
        <f>SUM(C18:C23)</f>
        <v>480</v>
      </c>
      <c r="D24" s="12">
        <f>SUM(D18:D23)</f>
        <v>236</v>
      </c>
      <c r="E24" s="13">
        <f t="shared" si="1"/>
        <v>0.49166666666666664</v>
      </c>
      <c r="F24" s="11"/>
    </row>
  </sheetData>
  <mergeCells count="2">
    <mergeCell ref="A1:G1"/>
    <mergeCell ref="A14:G15"/>
  </mergeCells>
  <conditionalFormatting sqref="F18:F23">
    <cfRule type="cellIs" dxfId="2" priority="2" operator="equal">
      <formula>"KRİTİK"</formula>
    </cfRule>
    <cfRule type="cellIs" dxfId="1" priority="3" operator="equal">
      <formula>"DÜŞÜK"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5" width="15" customWidth="1"/>
    <col min="6" max="6" width="9" customWidth="1"/>
    <col min="7" max="7" width="11" customWidth="1"/>
    <col min="8" max="8" width="12" customWidth="1"/>
    <col min="9" max="9" width="9" customWidth="1"/>
    <col min="10" max="10" width="12" customWidth="1"/>
    <col min="11" max="11" width="15" customWidth="1"/>
    <col min="12" max="12" width="16" customWidth="1"/>
    <col min="13" max="13" width="13" customWidth="1"/>
    <col min="14" max="14" width="22" customWidth="1"/>
  </cols>
  <sheetData>
    <row r="1" spans="1:14" ht="21.75" customHeight="1" x14ac:dyDescent="0.3">
      <c r="A1" s="27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.75" customHeight="1" x14ac:dyDescent="0.3">
      <c r="A2" s="28" t="s">
        <v>36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31.5" customHeight="1" x14ac:dyDescent="0.3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</row>
    <row r="4" spans="1:14" x14ac:dyDescent="0.3">
      <c r="A4" s="14">
        <v>46178</v>
      </c>
      <c r="B4" s="15" t="s">
        <v>51</v>
      </c>
      <c r="C4" s="15" t="s">
        <v>26</v>
      </c>
      <c r="D4" s="15"/>
      <c r="E4" s="15"/>
      <c r="F4" s="15">
        <v>15</v>
      </c>
      <c r="G4" s="15">
        <v>17814</v>
      </c>
      <c r="H4" s="16">
        <f t="shared" ref="H4:H33" si="0">IF(B4="Alış",F4*G4,"")</f>
        <v>267210</v>
      </c>
      <c r="I4" s="7" t="str">
        <f>IF(B4="Taşıma",ROUNDUP(F4/Ayarlar_Depo!$B$6,0),"")</f>
        <v/>
      </c>
      <c r="J4" s="16" t="str">
        <f>IF(B4="Taşıma",I4*Ayarlar_Depo!$B$8,"")</f>
        <v/>
      </c>
      <c r="K4" s="16" t="str">
        <f>IF(B4="Taşıma",IFERROR(SUMIFS($H$4:H4,$C$4:C4,D4,$B$4:B4,"Alış")/SUMIFS($F$4:F4,$C$4:C4,D4,$B$4:B4,"Alış"),Ayarlar_Depo!$B$10),"")</f>
        <v/>
      </c>
      <c r="L4" s="16" t="str">
        <f t="shared" ref="L4:L33" si="1">IF(B4="Taşıma",K4+J4/F4,"")</f>
        <v/>
      </c>
      <c r="M4" s="16">
        <f t="shared" ref="M4:M33" si="2">IF(B4="Alış",H4,IF(B4="Taşıma",F4*L4,""))</f>
        <v>267210</v>
      </c>
      <c r="N4" s="17"/>
    </row>
    <row r="5" spans="1:14" x14ac:dyDescent="0.3">
      <c r="A5" s="14">
        <v>46180</v>
      </c>
      <c r="B5" s="15" t="s">
        <v>51</v>
      </c>
      <c r="C5" s="15" t="s">
        <v>26</v>
      </c>
      <c r="D5" s="15"/>
      <c r="E5" s="15"/>
      <c r="F5" s="15">
        <v>20</v>
      </c>
      <c r="G5" s="15">
        <v>18124</v>
      </c>
      <c r="H5" s="16">
        <f t="shared" si="0"/>
        <v>362480</v>
      </c>
      <c r="I5" s="7" t="str">
        <f>IF(B5="Taşıma",ROUNDUP(F5/Ayarlar_Depo!$B$6,0),"")</f>
        <v/>
      </c>
      <c r="J5" s="16" t="str">
        <f>IF(B5="Taşıma",I5*Ayarlar_Depo!$B$8,"")</f>
        <v/>
      </c>
      <c r="K5" s="16" t="str">
        <f>IF(B5="Taşıma",IFERROR(SUMIFS($H$4:H5,$C$4:C5,D5,$B$4:B5,"Alış")/SUMIFS($F$4:F5,$C$4:C5,D5,$B$4:B5,"Alış"),Ayarlar_Depo!$B$10),"")</f>
        <v/>
      </c>
      <c r="L5" s="16" t="str">
        <f t="shared" si="1"/>
        <v/>
      </c>
      <c r="M5" s="16">
        <f t="shared" si="2"/>
        <v>362480</v>
      </c>
      <c r="N5" s="17"/>
    </row>
    <row r="6" spans="1:14" x14ac:dyDescent="0.3">
      <c r="A6" s="14">
        <v>46184</v>
      </c>
      <c r="B6" s="15" t="s">
        <v>51</v>
      </c>
      <c r="C6" s="15" t="s">
        <v>28</v>
      </c>
      <c r="D6" s="15"/>
      <c r="E6" s="15"/>
      <c r="F6" s="15">
        <v>15</v>
      </c>
      <c r="G6" s="15">
        <v>18358</v>
      </c>
      <c r="H6" s="16">
        <f t="shared" si="0"/>
        <v>275370</v>
      </c>
      <c r="I6" s="7" t="str">
        <f>IF(B6="Taşıma",ROUNDUP(F6/Ayarlar_Depo!$B$6,0),"")</f>
        <v/>
      </c>
      <c r="J6" s="16" t="str">
        <f>IF(B6="Taşıma",I6*Ayarlar_Depo!$B$8,"")</f>
        <v/>
      </c>
      <c r="K6" s="16" t="str">
        <f>IF(B6="Taşıma",IFERROR(SUMIFS($H$4:H6,$C$4:C6,D6,$B$4:B6,"Alış")/SUMIFS($F$4:F6,$C$4:C6,D6,$B$4:B6,"Alış"),Ayarlar_Depo!$B$10),"")</f>
        <v/>
      </c>
      <c r="L6" s="16" t="str">
        <f t="shared" si="1"/>
        <v/>
      </c>
      <c r="M6" s="16">
        <f t="shared" si="2"/>
        <v>275370</v>
      </c>
      <c r="N6" s="17"/>
    </row>
    <row r="7" spans="1:14" x14ac:dyDescent="0.3">
      <c r="A7" s="14">
        <v>46187</v>
      </c>
      <c r="B7" s="15" t="s">
        <v>52</v>
      </c>
      <c r="C7" s="15"/>
      <c r="D7" s="15" t="s">
        <v>28</v>
      </c>
      <c r="E7" s="15" t="s">
        <v>33</v>
      </c>
      <c r="F7" s="15">
        <v>15</v>
      </c>
      <c r="G7" s="18"/>
      <c r="H7" s="16" t="str">
        <f t="shared" si="0"/>
        <v/>
      </c>
      <c r="I7" s="7">
        <f>IF(B7="Taşıma",ROUNDUP(F7/Ayarlar_Depo!$B$6,0),"")</f>
        <v>1</v>
      </c>
      <c r="J7" s="16">
        <f>IF(B7="Taşıma",I7*Ayarlar_Depo!$B$8,"")</f>
        <v>16650</v>
      </c>
      <c r="K7" s="16">
        <f>IF(B7="Taşıma",IFERROR(SUMIFS($H$4:H7,$C$4:C7,D7,$B$4:B7,"Alış")/SUMIFS($F$4:F7,$C$4:C7,D7,$B$4:B7,"Alış"),Ayarlar_Depo!$B$10),"")</f>
        <v>18358</v>
      </c>
      <c r="L7" s="16">
        <f t="shared" si="1"/>
        <v>19468</v>
      </c>
      <c r="M7" s="16">
        <f t="shared" si="2"/>
        <v>292020</v>
      </c>
      <c r="N7" s="17"/>
    </row>
    <row r="8" spans="1:14" x14ac:dyDescent="0.3">
      <c r="A8" s="14">
        <v>46188</v>
      </c>
      <c r="B8" s="15" t="s">
        <v>51</v>
      </c>
      <c r="C8" s="15" t="s">
        <v>26</v>
      </c>
      <c r="D8" s="15"/>
      <c r="E8" s="15"/>
      <c r="F8" s="15">
        <v>30</v>
      </c>
      <c r="G8" s="15">
        <v>18610</v>
      </c>
      <c r="H8" s="16">
        <f t="shared" si="0"/>
        <v>558300</v>
      </c>
      <c r="I8" s="7" t="str">
        <f>IF(B8="Taşıma",ROUNDUP(F8/Ayarlar_Depo!$B$6,0),"")</f>
        <v/>
      </c>
      <c r="J8" s="16" t="str">
        <f>IF(B8="Taşıma",I8*Ayarlar_Depo!$B$8,"")</f>
        <v/>
      </c>
      <c r="K8" s="16" t="str">
        <f>IF(B8="Taşıma",IFERROR(SUMIFS($H$4:H8,$C$4:C8,D8,$B$4:B8,"Alış")/SUMIFS($F$4:F8,$C$4:C8,D8,$B$4:B8,"Alış"),Ayarlar_Depo!$B$10),"")</f>
        <v/>
      </c>
      <c r="L8" s="16" t="str">
        <f t="shared" si="1"/>
        <v/>
      </c>
      <c r="M8" s="16">
        <f t="shared" si="2"/>
        <v>558300</v>
      </c>
      <c r="N8" s="17"/>
    </row>
    <row r="9" spans="1:14" x14ac:dyDescent="0.3">
      <c r="A9" s="14">
        <v>46189</v>
      </c>
      <c r="B9" s="15" t="s">
        <v>51</v>
      </c>
      <c r="C9" s="15" t="s">
        <v>26</v>
      </c>
      <c r="D9" s="15"/>
      <c r="E9" s="15"/>
      <c r="F9" s="15">
        <v>15</v>
      </c>
      <c r="G9" s="15">
        <v>18899</v>
      </c>
      <c r="H9" s="16">
        <f t="shared" si="0"/>
        <v>283485</v>
      </c>
      <c r="I9" s="7" t="str">
        <f>IF(B9="Taşıma",ROUNDUP(F9/Ayarlar_Depo!$B$6,0),"")</f>
        <v/>
      </c>
      <c r="J9" s="16" t="str">
        <f>IF(B9="Taşıma",I9*Ayarlar_Depo!$B$8,"")</f>
        <v/>
      </c>
      <c r="K9" s="16" t="str">
        <f>IF(B9="Taşıma",IFERROR(SUMIFS($H$4:H9,$C$4:C9,D9,$B$4:B9,"Alış")/SUMIFS($F$4:F9,$C$4:C9,D9,$B$4:B9,"Alış"),Ayarlar_Depo!$B$10),"")</f>
        <v/>
      </c>
      <c r="L9" s="16" t="str">
        <f t="shared" si="1"/>
        <v/>
      </c>
      <c r="M9" s="16">
        <f t="shared" si="2"/>
        <v>283485</v>
      </c>
      <c r="N9" s="17"/>
    </row>
    <row r="10" spans="1:14" x14ac:dyDescent="0.3">
      <c r="A10" s="14">
        <v>46193</v>
      </c>
      <c r="B10" s="15" t="s">
        <v>53</v>
      </c>
      <c r="C10" s="15" t="s">
        <v>33</v>
      </c>
      <c r="D10" s="15"/>
      <c r="E10" s="15"/>
      <c r="F10" s="15">
        <v>10</v>
      </c>
      <c r="G10" s="18"/>
      <c r="H10" s="16" t="str">
        <f t="shared" si="0"/>
        <v/>
      </c>
      <c r="I10" s="7" t="str">
        <f>IF(B10="Taşıma",ROUNDUP(F10/Ayarlar_Depo!$B$6,0),"")</f>
        <v/>
      </c>
      <c r="J10" s="16" t="str">
        <f>IF(B10="Taşıma",I10*Ayarlar_Depo!$B$8,"")</f>
        <v/>
      </c>
      <c r="K10" s="16" t="str">
        <f>IF(B10="Taşıma",IFERROR(SUMIFS($H$4:H10,$C$4:C10,D10,$B$4:B10,"Alış")/SUMIFS($F$4:F10,$C$4:C10,D10,$B$4:B10,"Alış"),Ayarlar_Depo!$B$10),"")</f>
        <v/>
      </c>
      <c r="L10" s="16" t="str">
        <f t="shared" si="1"/>
        <v/>
      </c>
      <c r="M10" s="16" t="str">
        <f t="shared" si="2"/>
        <v/>
      </c>
      <c r="N10" s="17"/>
    </row>
    <row r="11" spans="1:14" x14ac:dyDescent="0.3">
      <c r="A11" s="14">
        <v>46198</v>
      </c>
      <c r="B11" s="15" t="s">
        <v>52</v>
      </c>
      <c r="C11" s="15"/>
      <c r="D11" s="15" t="s">
        <v>26</v>
      </c>
      <c r="E11" s="15" t="s">
        <v>32</v>
      </c>
      <c r="F11" s="15">
        <v>60</v>
      </c>
      <c r="G11" s="18"/>
      <c r="H11" s="16" t="str">
        <f t="shared" si="0"/>
        <v/>
      </c>
      <c r="I11" s="7">
        <f>IF(B11="Taşıma",ROUNDUP(F11/Ayarlar_Depo!$B$6,0),"")</f>
        <v>2</v>
      </c>
      <c r="J11" s="16">
        <f>IF(B11="Taşıma",I11*Ayarlar_Depo!$B$8,"")</f>
        <v>33300</v>
      </c>
      <c r="K11" s="16">
        <f>IF(B11="Taşıma",IFERROR(SUMIFS($H$4:H11,$C$4:C11,D11,$B$4:B11,"Alış")/SUMIFS($F$4:F11,$C$4:C11,D11,$B$4:B11,"Alış"),Ayarlar_Depo!$B$10),"")</f>
        <v>18393.4375</v>
      </c>
      <c r="L11" s="16">
        <f t="shared" si="1"/>
        <v>18948.4375</v>
      </c>
      <c r="M11" s="16">
        <f t="shared" si="2"/>
        <v>1136906.25</v>
      </c>
      <c r="N11" s="17"/>
    </row>
    <row r="12" spans="1:14" x14ac:dyDescent="0.3">
      <c r="A12" s="14">
        <v>46200</v>
      </c>
      <c r="B12" s="15" t="s">
        <v>51</v>
      </c>
      <c r="C12" s="15" t="s">
        <v>26</v>
      </c>
      <c r="D12" s="15"/>
      <c r="E12" s="15"/>
      <c r="F12" s="15">
        <v>25</v>
      </c>
      <c r="G12" s="15">
        <v>19352</v>
      </c>
      <c r="H12" s="16">
        <f t="shared" si="0"/>
        <v>483800</v>
      </c>
      <c r="I12" s="7" t="str">
        <f>IF(B12="Taşıma",ROUNDUP(F12/Ayarlar_Depo!$B$6,0),"")</f>
        <v/>
      </c>
      <c r="J12" s="16" t="str">
        <f>IF(B12="Taşıma",I12*Ayarlar_Depo!$B$8,"")</f>
        <v/>
      </c>
      <c r="K12" s="16" t="str">
        <f>IF(B12="Taşıma",IFERROR(SUMIFS($H$4:H12,$C$4:C12,D12,$B$4:B12,"Alış")/SUMIFS($F$4:F12,$C$4:C12,D12,$B$4:B12,"Alış"),Ayarlar_Depo!$B$10),"")</f>
        <v/>
      </c>
      <c r="L12" s="16" t="str">
        <f t="shared" si="1"/>
        <v/>
      </c>
      <c r="M12" s="16">
        <f t="shared" si="2"/>
        <v>483800</v>
      </c>
      <c r="N12" s="17"/>
    </row>
    <row r="13" spans="1:14" x14ac:dyDescent="0.3">
      <c r="A13" s="14">
        <v>46201</v>
      </c>
      <c r="B13" s="15" t="s">
        <v>51</v>
      </c>
      <c r="C13" s="15" t="s">
        <v>28</v>
      </c>
      <c r="D13" s="15"/>
      <c r="E13" s="15"/>
      <c r="F13" s="15">
        <v>20</v>
      </c>
      <c r="G13" s="15">
        <v>18063</v>
      </c>
      <c r="H13" s="16">
        <f t="shared" si="0"/>
        <v>361260</v>
      </c>
      <c r="I13" s="7" t="str">
        <f>IF(B13="Taşıma",ROUNDUP(F13/Ayarlar_Depo!$B$6,0),"")</f>
        <v/>
      </c>
      <c r="J13" s="16" t="str">
        <f>IF(B13="Taşıma",I13*Ayarlar_Depo!$B$8,"")</f>
        <v/>
      </c>
      <c r="K13" s="16" t="str">
        <f>IF(B13="Taşıma",IFERROR(SUMIFS($H$4:H13,$C$4:C13,D13,$B$4:B13,"Alış")/SUMIFS($F$4:F13,$C$4:C13,D13,$B$4:B13,"Alış"),Ayarlar_Depo!$B$10),"")</f>
        <v/>
      </c>
      <c r="L13" s="16" t="str">
        <f t="shared" si="1"/>
        <v/>
      </c>
      <c r="M13" s="16">
        <f t="shared" si="2"/>
        <v>361260</v>
      </c>
      <c r="N13" s="17"/>
    </row>
    <row r="14" spans="1:14" x14ac:dyDescent="0.3">
      <c r="A14" s="14">
        <v>46202</v>
      </c>
      <c r="B14" s="15" t="s">
        <v>51</v>
      </c>
      <c r="C14" s="15" t="s">
        <v>26</v>
      </c>
      <c r="D14" s="15"/>
      <c r="E14" s="15"/>
      <c r="F14" s="15">
        <v>30</v>
      </c>
      <c r="G14" s="15">
        <v>19335</v>
      </c>
      <c r="H14" s="16">
        <f t="shared" si="0"/>
        <v>580050</v>
      </c>
      <c r="I14" s="7" t="str">
        <f>IF(B14="Taşıma",ROUNDUP(F14/Ayarlar_Depo!$B$6,0),"")</f>
        <v/>
      </c>
      <c r="J14" s="16" t="str">
        <f>IF(B14="Taşıma",I14*Ayarlar_Depo!$B$8,"")</f>
        <v/>
      </c>
      <c r="K14" s="16" t="str">
        <f>IF(B14="Taşıma",IFERROR(SUMIFS($H$4:H14,$C$4:C14,D14,$B$4:B14,"Alış")/SUMIFS($F$4:F14,$C$4:C14,D14,$B$4:B14,"Alış"),Ayarlar_Depo!$B$10),"")</f>
        <v/>
      </c>
      <c r="L14" s="16" t="str">
        <f t="shared" si="1"/>
        <v/>
      </c>
      <c r="M14" s="16">
        <f t="shared" si="2"/>
        <v>580050</v>
      </c>
      <c r="N14" s="17"/>
    </row>
    <row r="15" spans="1:14" x14ac:dyDescent="0.3">
      <c r="A15" s="14">
        <v>46203</v>
      </c>
      <c r="B15" s="15" t="s">
        <v>52</v>
      </c>
      <c r="C15" s="15"/>
      <c r="D15" s="15" t="s">
        <v>26</v>
      </c>
      <c r="E15" s="15" t="s">
        <v>33</v>
      </c>
      <c r="F15" s="15">
        <v>30</v>
      </c>
      <c r="G15" s="18"/>
      <c r="H15" s="16" t="str">
        <f t="shared" si="0"/>
        <v/>
      </c>
      <c r="I15" s="7">
        <f>IF(B15="Taşıma",ROUNDUP(F15/Ayarlar_Depo!$B$6,0),"")</f>
        <v>1</v>
      </c>
      <c r="J15" s="16">
        <f>IF(B15="Taşıma",I15*Ayarlar_Depo!$B$8,"")</f>
        <v>16650</v>
      </c>
      <c r="K15" s="16">
        <f>IF(B15="Taşıma",IFERROR(SUMIFS($H$4:H15,$C$4:C15,D15,$B$4:B15,"Alış")/SUMIFS($F$4:F15,$C$4:C15,D15,$B$4:B15,"Alış"),Ayarlar_Depo!$B$10),"")</f>
        <v>18780.185185185186</v>
      </c>
      <c r="L15" s="16">
        <f t="shared" si="1"/>
        <v>19335.185185185186</v>
      </c>
      <c r="M15" s="16">
        <f t="shared" si="2"/>
        <v>580055.55555555562</v>
      </c>
      <c r="N15" s="17"/>
    </row>
    <row r="16" spans="1:14" x14ac:dyDescent="0.3">
      <c r="A16" s="14">
        <v>46205</v>
      </c>
      <c r="B16" s="15" t="s">
        <v>52</v>
      </c>
      <c r="C16" s="15"/>
      <c r="D16" s="15" t="s">
        <v>28</v>
      </c>
      <c r="E16" s="15" t="s">
        <v>33</v>
      </c>
      <c r="F16" s="15">
        <v>20</v>
      </c>
      <c r="G16" s="18"/>
      <c r="H16" s="16" t="str">
        <f t="shared" si="0"/>
        <v/>
      </c>
      <c r="I16" s="7">
        <f>IF(B16="Taşıma",ROUNDUP(F16/Ayarlar_Depo!$B$6,0),"")</f>
        <v>1</v>
      </c>
      <c r="J16" s="16">
        <f>IF(B16="Taşıma",I16*Ayarlar_Depo!$B$8,"")</f>
        <v>16650</v>
      </c>
      <c r="K16" s="16">
        <f>IF(B16="Taşıma",IFERROR(SUMIFS($H$4:H16,$C$4:C16,D16,$B$4:B16,"Alış")/SUMIFS($F$4:F16,$C$4:C16,D16,$B$4:B16,"Alış"),Ayarlar_Depo!$B$10),"")</f>
        <v>18189.428571428572</v>
      </c>
      <c r="L16" s="16">
        <f t="shared" si="1"/>
        <v>19021.928571428572</v>
      </c>
      <c r="M16" s="16">
        <f t="shared" si="2"/>
        <v>380438.57142857148</v>
      </c>
      <c r="N16" s="17"/>
    </row>
    <row r="17" spans="1:14" x14ac:dyDescent="0.3">
      <c r="A17" s="14">
        <v>46206</v>
      </c>
      <c r="B17" s="15" t="s">
        <v>52</v>
      </c>
      <c r="C17" s="15"/>
      <c r="D17" s="15" t="s">
        <v>26</v>
      </c>
      <c r="E17" s="15" t="s">
        <v>31</v>
      </c>
      <c r="F17" s="15">
        <v>45</v>
      </c>
      <c r="G17" s="18"/>
      <c r="H17" s="16" t="str">
        <f t="shared" si="0"/>
        <v/>
      </c>
      <c r="I17" s="7">
        <f>IF(B17="Taşıma",ROUNDUP(F17/Ayarlar_Depo!$B$6,0),"")</f>
        <v>2</v>
      </c>
      <c r="J17" s="16">
        <f>IF(B17="Taşıma",I17*Ayarlar_Depo!$B$8,"")</f>
        <v>33300</v>
      </c>
      <c r="K17" s="16">
        <f>IF(B17="Taşıma",IFERROR(SUMIFS($H$4:H17,$C$4:C17,D17,$B$4:B17,"Alış")/SUMIFS($F$4:F17,$C$4:C17,D17,$B$4:B17,"Alış"),Ayarlar_Depo!$B$10),"")</f>
        <v>18780.185185185186</v>
      </c>
      <c r="L17" s="16">
        <f t="shared" si="1"/>
        <v>19520.185185185186</v>
      </c>
      <c r="M17" s="16">
        <f t="shared" si="2"/>
        <v>878408.33333333337</v>
      </c>
      <c r="N17" s="17"/>
    </row>
    <row r="18" spans="1:14" x14ac:dyDescent="0.3">
      <c r="A18" s="14">
        <v>46210</v>
      </c>
      <c r="B18" s="15" t="s">
        <v>51</v>
      </c>
      <c r="C18" s="15" t="s">
        <v>26</v>
      </c>
      <c r="D18" s="15"/>
      <c r="E18" s="15"/>
      <c r="F18" s="15">
        <v>25</v>
      </c>
      <c r="G18" s="15">
        <v>19595</v>
      </c>
      <c r="H18" s="16">
        <f t="shared" si="0"/>
        <v>489875</v>
      </c>
      <c r="I18" s="7" t="str">
        <f>IF(B18="Taşıma",ROUNDUP(F18/Ayarlar_Depo!$B$6,0),"")</f>
        <v/>
      </c>
      <c r="J18" s="16" t="str">
        <f>IF(B18="Taşıma",I18*Ayarlar_Depo!$B$8,"")</f>
        <v/>
      </c>
      <c r="K18" s="16" t="str">
        <f>IF(B18="Taşıma",IFERROR(SUMIFS($H$4:H18,$C$4:C18,D18,$B$4:B18,"Alış")/SUMIFS($F$4:F18,$C$4:C18,D18,$B$4:B18,"Alış"),Ayarlar_Depo!$B$10),"")</f>
        <v/>
      </c>
      <c r="L18" s="16" t="str">
        <f t="shared" si="1"/>
        <v/>
      </c>
      <c r="M18" s="16">
        <f t="shared" si="2"/>
        <v>489875</v>
      </c>
      <c r="N18" s="17"/>
    </row>
    <row r="19" spans="1:14" x14ac:dyDescent="0.3">
      <c r="A19" s="14">
        <v>46211</v>
      </c>
      <c r="B19" s="15" t="s">
        <v>53</v>
      </c>
      <c r="C19" s="15" t="s">
        <v>33</v>
      </c>
      <c r="D19" s="15"/>
      <c r="E19" s="15"/>
      <c r="F19" s="15">
        <v>6</v>
      </c>
      <c r="G19" s="18"/>
      <c r="H19" s="16" t="str">
        <f t="shared" si="0"/>
        <v/>
      </c>
      <c r="I19" s="7" t="str">
        <f>IF(B19="Taşıma",ROUNDUP(F19/Ayarlar_Depo!$B$6,0),"")</f>
        <v/>
      </c>
      <c r="J19" s="16" t="str">
        <f>IF(B19="Taşıma",I19*Ayarlar_Depo!$B$8,"")</f>
        <v/>
      </c>
      <c r="K19" s="16" t="str">
        <f>IF(B19="Taşıma",IFERROR(SUMIFS($H$4:H19,$C$4:C19,D19,$B$4:B19,"Alış")/SUMIFS($F$4:F19,$C$4:C19,D19,$B$4:B19,"Alış"),Ayarlar_Depo!$B$10),"")</f>
        <v/>
      </c>
      <c r="L19" s="16" t="str">
        <f t="shared" si="1"/>
        <v/>
      </c>
      <c r="M19" s="16" t="str">
        <f t="shared" si="2"/>
        <v/>
      </c>
      <c r="N19" s="17"/>
    </row>
    <row r="20" spans="1:14" x14ac:dyDescent="0.3">
      <c r="A20" s="14">
        <v>46212</v>
      </c>
      <c r="B20" s="15" t="s">
        <v>51</v>
      </c>
      <c r="C20" s="15" t="s">
        <v>28</v>
      </c>
      <c r="D20" s="15"/>
      <c r="E20" s="15"/>
      <c r="F20" s="15">
        <v>15</v>
      </c>
      <c r="G20" s="15">
        <v>17880</v>
      </c>
      <c r="H20" s="16">
        <f t="shared" si="0"/>
        <v>268200</v>
      </c>
      <c r="I20" s="7" t="str">
        <f>IF(B20="Taşıma",ROUNDUP(F20/Ayarlar_Depo!$B$6,0),"")</f>
        <v/>
      </c>
      <c r="J20" s="16" t="str">
        <f>IF(B20="Taşıma",I20*Ayarlar_Depo!$B$8,"")</f>
        <v/>
      </c>
      <c r="K20" s="16" t="str">
        <f>IF(B20="Taşıma",IFERROR(SUMIFS($H$4:H20,$C$4:C20,D20,$B$4:B20,"Alış")/SUMIFS($F$4:F20,$C$4:C20,D20,$B$4:B20,"Alış"),Ayarlar_Depo!$B$10),"")</f>
        <v/>
      </c>
      <c r="L20" s="16" t="str">
        <f t="shared" si="1"/>
        <v/>
      </c>
      <c r="M20" s="16">
        <f t="shared" si="2"/>
        <v>268200</v>
      </c>
      <c r="N20" s="17"/>
    </row>
    <row r="21" spans="1:14" x14ac:dyDescent="0.3">
      <c r="A21" s="14">
        <v>46213</v>
      </c>
      <c r="B21" s="15" t="s">
        <v>53</v>
      </c>
      <c r="C21" s="15" t="s">
        <v>32</v>
      </c>
      <c r="D21" s="15"/>
      <c r="E21" s="15"/>
      <c r="F21" s="15">
        <v>15</v>
      </c>
      <c r="G21" s="18"/>
      <c r="H21" s="16" t="str">
        <f t="shared" si="0"/>
        <v/>
      </c>
      <c r="I21" s="7" t="str">
        <f>IF(B21="Taşıma",ROUNDUP(F21/Ayarlar_Depo!$B$6,0),"")</f>
        <v/>
      </c>
      <c r="J21" s="16" t="str">
        <f>IF(B21="Taşıma",I21*Ayarlar_Depo!$B$8,"")</f>
        <v/>
      </c>
      <c r="K21" s="16" t="str">
        <f>IF(B21="Taşıma",IFERROR(SUMIFS($H$4:H21,$C$4:C21,D21,$B$4:B21,"Alış")/SUMIFS($F$4:F21,$C$4:C21,D21,$B$4:B21,"Alış"),Ayarlar_Depo!$B$10),"")</f>
        <v/>
      </c>
      <c r="L21" s="16" t="str">
        <f t="shared" si="1"/>
        <v/>
      </c>
      <c r="M21" s="16" t="str">
        <f t="shared" si="2"/>
        <v/>
      </c>
      <c r="N21" s="17"/>
    </row>
    <row r="22" spans="1:14" x14ac:dyDescent="0.3">
      <c r="A22" s="14">
        <v>46214</v>
      </c>
      <c r="B22" s="15" t="s">
        <v>52</v>
      </c>
      <c r="C22" s="15"/>
      <c r="D22" s="15" t="s">
        <v>28</v>
      </c>
      <c r="E22" s="15" t="s">
        <v>32</v>
      </c>
      <c r="F22" s="15">
        <v>15</v>
      </c>
      <c r="G22" s="18"/>
      <c r="H22" s="16" t="str">
        <f t="shared" si="0"/>
        <v/>
      </c>
      <c r="I22" s="7">
        <f>IF(B22="Taşıma",ROUNDUP(F22/Ayarlar_Depo!$B$6,0),"")</f>
        <v>1</v>
      </c>
      <c r="J22" s="16">
        <f>IF(B22="Taşıma",I22*Ayarlar_Depo!$B$8,"")</f>
        <v>16650</v>
      </c>
      <c r="K22" s="16">
        <f>IF(B22="Taşıma",IFERROR(SUMIFS($H$4:H22,$C$4:C22,D22,$B$4:B22,"Alış")/SUMIFS($F$4:F22,$C$4:C22,D22,$B$4:B22,"Alış"),Ayarlar_Depo!$B$10),"")</f>
        <v>18096.599999999999</v>
      </c>
      <c r="L22" s="16">
        <f t="shared" si="1"/>
        <v>19206.599999999999</v>
      </c>
      <c r="M22" s="16">
        <f t="shared" si="2"/>
        <v>288099</v>
      </c>
      <c r="N22" s="17"/>
    </row>
    <row r="23" spans="1:14" x14ac:dyDescent="0.3">
      <c r="A23" s="14">
        <v>46216</v>
      </c>
      <c r="B23" s="15" t="s">
        <v>52</v>
      </c>
      <c r="C23" s="15"/>
      <c r="D23" s="15" t="s">
        <v>26</v>
      </c>
      <c r="E23" s="15" t="s">
        <v>29</v>
      </c>
      <c r="F23" s="15">
        <v>25</v>
      </c>
      <c r="G23" s="18"/>
      <c r="H23" s="16" t="str">
        <f t="shared" si="0"/>
        <v/>
      </c>
      <c r="I23" s="7">
        <f>IF(B23="Taşıma",ROUNDUP(F23/Ayarlar_Depo!$B$6,0),"")</f>
        <v>1</v>
      </c>
      <c r="J23" s="16">
        <f>IF(B23="Taşıma",I23*Ayarlar_Depo!$B$8,"")</f>
        <v>16650</v>
      </c>
      <c r="K23" s="16">
        <f>IF(B23="Taşıma",IFERROR(SUMIFS($H$4:H23,$C$4:C23,D23,$B$4:B23,"Alış")/SUMIFS($F$4:F23,$C$4:C23,D23,$B$4:B23,"Alış"),Ayarlar_Depo!$B$10),"")</f>
        <v>18907.5</v>
      </c>
      <c r="L23" s="16">
        <f t="shared" si="1"/>
        <v>19573.5</v>
      </c>
      <c r="M23" s="16">
        <f t="shared" si="2"/>
        <v>489337.5</v>
      </c>
      <c r="N23" s="17"/>
    </row>
    <row r="24" spans="1:14" x14ac:dyDescent="0.3">
      <c r="A24" s="14">
        <v>46218</v>
      </c>
      <c r="B24" s="15" t="s">
        <v>51</v>
      </c>
      <c r="C24" s="15" t="s">
        <v>26</v>
      </c>
      <c r="D24" s="15"/>
      <c r="E24" s="15"/>
      <c r="F24" s="15">
        <v>25</v>
      </c>
      <c r="G24" s="15">
        <v>19802</v>
      </c>
      <c r="H24" s="16">
        <f t="shared" si="0"/>
        <v>495050</v>
      </c>
      <c r="I24" s="7" t="str">
        <f>IF(B24="Taşıma",ROUNDUP(F24/Ayarlar_Depo!$B$6,0),"")</f>
        <v/>
      </c>
      <c r="J24" s="16" t="str">
        <f>IF(B24="Taşıma",I24*Ayarlar_Depo!$B$8,"")</f>
        <v/>
      </c>
      <c r="K24" s="16" t="str">
        <f>IF(B24="Taşıma",IFERROR(SUMIFS($H$4:H24,$C$4:C24,D24,$B$4:B24,"Alış")/SUMIFS($F$4:F24,$C$4:C24,D24,$B$4:B24,"Alış"),Ayarlar_Depo!$B$10),"")</f>
        <v/>
      </c>
      <c r="L24" s="16" t="str">
        <f t="shared" si="1"/>
        <v/>
      </c>
      <c r="M24" s="16">
        <f t="shared" si="2"/>
        <v>495050</v>
      </c>
      <c r="N24" s="17"/>
    </row>
    <row r="25" spans="1:14" x14ac:dyDescent="0.3">
      <c r="A25" s="14">
        <v>46221</v>
      </c>
      <c r="B25" s="15" t="s">
        <v>52</v>
      </c>
      <c r="C25" s="15"/>
      <c r="D25" s="15" t="s">
        <v>26</v>
      </c>
      <c r="E25" s="15" t="s">
        <v>31</v>
      </c>
      <c r="F25" s="15">
        <v>25</v>
      </c>
      <c r="G25" s="18"/>
      <c r="H25" s="16" t="str">
        <f t="shared" si="0"/>
        <v/>
      </c>
      <c r="I25" s="7">
        <f>IF(B25="Taşıma",ROUNDUP(F25/Ayarlar_Depo!$B$6,0),"")</f>
        <v>1</v>
      </c>
      <c r="J25" s="16">
        <f>IF(B25="Taşıma",I25*Ayarlar_Depo!$B$8,"")</f>
        <v>16650</v>
      </c>
      <c r="K25" s="16">
        <f>IF(B25="Taşıma",IFERROR(SUMIFS($H$4:H25,$C$4:C25,D25,$B$4:B25,"Alış")/SUMIFS($F$4:F25,$C$4:C25,D25,$B$4:B25,"Alış"),Ayarlar_Depo!$B$10),"")</f>
        <v>19028.37837837838</v>
      </c>
      <c r="L25" s="16">
        <f t="shared" si="1"/>
        <v>19694.37837837838</v>
      </c>
      <c r="M25" s="16">
        <f t="shared" si="2"/>
        <v>492359.45945945953</v>
      </c>
      <c r="N25" s="17"/>
    </row>
    <row r="26" spans="1:14" x14ac:dyDescent="0.3">
      <c r="A26" s="14">
        <v>46227</v>
      </c>
      <c r="B26" s="15" t="s">
        <v>53</v>
      </c>
      <c r="C26" s="15" t="s">
        <v>33</v>
      </c>
      <c r="D26" s="15"/>
      <c r="E26" s="15"/>
      <c r="F26" s="15">
        <v>12</v>
      </c>
      <c r="G26" s="18"/>
      <c r="H26" s="16" t="str">
        <f t="shared" si="0"/>
        <v/>
      </c>
      <c r="I26" s="7" t="str">
        <f>IF(B26="Taşıma",ROUNDUP(F26/Ayarlar_Depo!$B$6,0),"")</f>
        <v/>
      </c>
      <c r="J26" s="16" t="str">
        <f>IF(B26="Taşıma",I26*Ayarlar_Depo!$B$8,"")</f>
        <v/>
      </c>
      <c r="K26" s="16" t="str">
        <f>IF(B26="Taşıma",IFERROR(SUMIFS($H$4:H26,$C$4:C26,D26,$B$4:B26,"Alış")/SUMIFS($F$4:F26,$C$4:C26,D26,$B$4:B26,"Alış"),Ayarlar_Depo!$B$10),"")</f>
        <v/>
      </c>
      <c r="L26" s="16" t="str">
        <f t="shared" si="1"/>
        <v/>
      </c>
      <c r="M26" s="16" t="str">
        <f t="shared" si="2"/>
        <v/>
      </c>
      <c r="N26" s="17"/>
    </row>
    <row r="27" spans="1:14" x14ac:dyDescent="0.3">
      <c r="A27" s="14">
        <v>46229</v>
      </c>
      <c r="B27" s="15" t="s">
        <v>51</v>
      </c>
      <c r="C27" s="15" t="s">
        <v>26</v>
      </c>
      <c r="D27" s="15"/>
      <c r="E27" s="15"/>
      <c r="F27" s="15">
        <v>35</v>
      </c>
      <c r="G27" s="15">
        <v>20129</v>
      </c>
      <c r="H27" s="16">
        <f t="shared" si="0"/>
        <v>704515</v>
      </c>
      <c r="I27" s="7" t="str">
        <f>IF(B27="Taşıma",ROUNDUP(F27/Ayarlar_Depo!$B$6,0),"")</f>
        <v/>
      </c>
      <c r="J27" s="16" t="str">
        <f>IF(B27="Taşıma",I27*Ayarlar_Depo!$B$8,"")</f>
        <v/>
      </c>
      <c r="K27" s="16" t="str">
        <f>IF(B27="Taşıma",IFERROR(SUMIFS($H$4:H27,$C$4:C27,D27,$B$4:B27,"Alış")/SUMIFS($F$4:F27,$C$4:C27,D27,$B$4:B27,"Alış"),Ayarlar_Depo!$B$10),"")</f>
        <v/>
      </c>
      <c r="L27" s="16" t="str">
        <f t="shared" si="1"/>
        <v/>
      </c>
      <c r="M27" s="16">
        <f t="shared" si="2"/>
        <v>704515</v>
      </c>
      <c r="N27" s="17"/>
    </row>
    <row r="28" spans="1:14" x14ac:dyDescent="0.3">
      <c r="A28" s="14">
        <v>46231</v>
      </c>
      <c r="B28" s="15" t="s">
        <v>53</v>
      </c>
      <c r="C28" s="15" t="s">
        <v>29</v>
      </c>
      <c r="D28" s="15"/>
      <c r="E28" s="15"/>
      <c r="F28" s="15">
        <v>6</v>
      </c>
      <c r="G28" s="18"/>
      <c r="H28" s="16" t="str">
        <f t="shared" si="0"/>
        <v/>
      </c>
      <c r="I28" s="7" t="str">
        <f>IF(B28="Taşıma",ROUNDUP(F28/Ayarlar_Depo!$B$6,0),"")</f>
        <v/>
      </c>
      <c r="J28" s="16" t="str">
        <f>IF(B28="Taşıma",I28*Ayarlar_Depo!$B$8,"")</f>
        <v/>
      </c>
      <c r="K28" s="16" t="str">
        <f>IF(B28="Taşıma",IFERROR(SUMIFS($H$4:H28,$C$4:C28,D28,$B$4:B28,"Alış")/SUMIFS($F$4:F28,$C$4:C28,D28,$B$4:B28,"Alış"),Ayarlar_Depo!$B$10),"")</f>
        <v/>
      </c>
      <c r="L28" s="16" t="str">
        <f t="shared" si="1"/>
        <v/>
      </c>
      <c r="M28" s="16" t="str">
        <f t="shared" si="2"/>
        <v/>
      </c>
      <c r="N28" s="17"/>
    </row>
    <row r="29" spans="1:14" x14ac:dyDescent="0.3">
      <c r="A29" s="14">
        <v>46232</v>
      </c>
      <c r="B29" s="15" t="s">
        <v>52</v>
      </c>
      <c r="C29" s="15"/>
      <c r="D29" s="15" t="s">
        <v>26</v>
      </c>
      <c r="E29" s="15" t="s">
        <v>33</v>
      </c>
      <c r="F29" s="15">
        <v>35</v>
      </c>
      <c r="G29" s="18"/>
      <c r="H29" s="16" t="str">
        <f t="shared" si="0"/>
        <v/>
      </c>
      <c r="I29" s="7">
        <f>IF(B29="Taşıma",ROUNDUP(F29/Ayarlar_Depo!$B$6,0),"")</f>
        <v>2</v>
      </c>
      <c r="J29" s="16">
        <f>IF(B29="Taşıma",I29*Ayarlar_Depo!$B$8,"")</f>
        <v>33300</v>
      </c>
      <c r="K29" s="16">
        <f>IF(B29="Taşıma",IFERROR(SUMIFS($H$4:H29,$C$4:C29,D29,$B$4:B29,"Alış")/SUMIFS($F$4:F29,$C$4:C29,D29,$B$4:B29,"Alış"),Ayarlar_Depo!$B$10),"")</f>
        <v>19203.477272727272</v>
      </c>
      <c r="L29" s="16">
        <f t="shared" si="1"/>
        <v>20154.905844155845</v>
      </c>
      <c r="M29" s="16">
        <f t="shared" si="2"/>
        <v>705421.70454545459</v>
      </c>
      <c r="N29" s="17"/>
    </row>
    <row r="30" spans="1:14" x14ac:dyDescent="0.3">
      <c r="A30" s="14">
        <v>46233</v>
      </c>
      <c r="B30" s="15" t="s">
        <v>53</v>
      </c>
      <c r="C30" s="15" t="s">
        <v>31</v>
      </c>
      <c r="D30" s="15"/>
      <c r="E30" s="15"/>
      <c r="F30" s="15">
        <v>10</v>
      </c>
      <c r="G30" s="18"/>
      <c r="H30" s="16" t="str">
        <f t="shared" si="0"/>
        <v/>
      </c>
      <c r="I30" s="7" t="str">
        <f>IF(B30="Taşıma",ROUNDUP(F30/Ayarlar_Depo!$B$6,0),"")</f>
        <v/>
      </c>
      <c r="J30" s="16" t="str">
        <f>IF(B30="Taşıma",I30*Ayarlar_Depo!$B$8,"")</f>
        <v/>
      </c>
      <c r="K30" s="16" t="str">
        <f>IF(B30="Taşıma",IFERROR(SUMIFS($H$4:H30,$C$4:C30,D30,$B$4:B30,"Alış")/SUMIFS($F$4:F30,$C$4:C30,D30,$B$4:B30,"Alış"),Ayarlar_Depo!$B$10),"")</f>
        <v/>
      </c>
      <c r="L30" s="16" t="str">
        <f t="shared" si="1"/>
        <v/>
      </c>
      <c r="M30" s="16" t="str">
        <f t="shared" si="2"/>
        <v/>
      </c>
      <c r="N30" s="17"/>
    </row>
    <row r="31" spans="1:14" x14ac:dyDescent="0.3">
      <c r="A31" s="14">
        <v>46236</v>
      </c>
      <c r="B31" s="15" t="s">
        <v>51</v>
      </c>
      <c r="C31" s="15" t="s">
        <v>28</v>
      </c>
      <c r="D31" s="15"/>
      <c r="E31" s="15"/>
      <c r="F31" s="15">
        <v>35</v>
      </c>
      <c r="G31" s="15">
        <v>18302</v>
      </c>
      <c r="H31" s="16">
        <f t="shared" si="0"/>
        <v>640570</v>
      </c>
      <c r="I31" s="7" t="str">
        <f>IF(B31="Taşıma",ROUNDUP(F31/Ayarlar_Depo!$B$6,0),"")</f>
        <v/>
      </c>
      <c r="J31" s="16" t="str">
        <f>IF(B31="Taşıma",I31*Ayarlar_Depo!$B$8,"")</f>
        <v/>
      </c>
      <c r="K31" s="16" t="str">
        <f>IF(B31="Taşıma",IFERROR(SUMIFS($H$4:H31,$C$4:C31,D31,$B$4:B31,"Alış")/SUMIFS($F$4:F31,$C$4:C31,D31,$B$4:B31,"Alış"),Ayarlar_Depo!$B$10),"")</f>
        <v/>
      </c>
      <c r="L31" s="16" t="str">
        <f t="shared" si="1"/>
        <v/>
      </c>
      <c r="M31" s="16">
        <f t="shared" si="2"/>
        <v>640570</v>
      </c>
      <c r="N31" s="17"/>
    </row>
    <row r="32" spans="1:14" x14ac:dyDescent="0.3">
      <c r="A32" s="14">
        <v>46240</v>
      </c>
      <c r="B32" s="15" t="s">
        <v>52</v>
      </c>
      <c r="C32" s="15"/>
      <c r="D32" s="15" t="s">
        <v>28</v>
      </c>
      <c r="E32" s="15" t="s">
        <v>32</v>
      </c>
      <c r="F32" s="15">
        <v>20</v>
      </c>
      <c r="G32" s="18"/>
      <c r="H32" s="16" t="str">
        <f t="shared" si="0"/>
        <v/>
      </c>
      <c r="I32" s="7">
        <f>IF(B32="Taşıma",ROUNDUP(F32/Ayarlar_Depo!$B$6,0),"")</f>
        <v>1</v>
      </c>
      <c r="J32" s="16">
        <f>IF(B32="Taşıma",I32*Ayarlar_Depo!$B$8,"")</f>
        <v>16650</v>
      </c>
      <c r="K32" s="16">
        <f>IF(B32="Taşıma",IFERROR(SUMIFS($H$4:H32,$C$4:C32,D32,$B$4:B32,"Alış")/SUMIFS($F$4:F32,$C$4:C32,D32,$B$4:B32,"Alış"),Ayarlar_Depo!$B$10),"")</f>
        <v>18181.176470588234</v>
      </c>
      <c r="L32" s="16">
        <f t="shared" si="1"/>
        <v>19013.676470588234</v>
      </c>
      <c r="M32" s="16">
        <f t="shared" si="2"/>
        <v>380273.5294117647</v>
      </c>
      <c r="N32" s="17"/>
    </row>
    <row r="33" spans="1:14" x14ac:dyDescent="0.3">
      <c r="A33" s="14">
        <v>46244</v>
      </c>
      <c r="B33" s="15" t="s">
        <v>53</v>
      </c>
      <c r="C33" s="15" t="s">
        <v>31</v>
      </c>
      <c r="D33" s="15"/>
      <c r="E33" s="15"/>
      <c r="F33" s="15">
        <v>10</v>
      </c>
      <c r="G33" s="18"/>
      <c r="H33" s="16" t="str">
        <f t="shared" si="0"/>
        <v/>
      </c>
      <c r="I33" s="7" t="str">
        <f>IF(B33="Taşıma",ROUNDUP(F33/Ayarlar_Depo!$B$6,0),"")</f>
        <v/>
      </c>
      <c r="J33" s="16" t="str">
        <f>IF(B33="Taşıma",I33*Ayarlar_Depo!$B$8,"")</f>
        <v/>
      </c>
      <c r="K33" s="16" t="str">
        <f>IF(B33="Taşıma",IFERROR(SUMIFS($H$4:H33,$C$4:C33,D33,$B$4:B33,"Alış")/SUMIFS($F$4:F33,$C$4:C33,D33,$B$4:B33,"Alış"),Ayarlar_Depo!$B$10),"")</f>
        <v/>
      </c>
      <c r="L33" s="16" t="str">
        <f t="shared" si="1"/>
        <v/>
      </c>
      <c r="M33" s="16" t="str">
        <f t="shared" si="2"/>
        <v/>
      </c>
      <c r="N33" s="17"/>
    </row>
  </sheetData>
  <mergeCells count="2">
    <mergeCell ref="A1:N1"/>
    <mergeCell ref="A2:N2"/>
  </mergeCells>
  <dataValidations count="4">
    <dataValidation type="list" allowBlank="1" showErrorMessage="1" errorTitle="Geçersiz Giriş" error="Lütfen listeden seçim yapın." sqref="B4:B1000">
      <formula1>"Alış,Taşıma,Kullanım"</formula1>
      <formula2>0</formula2>
    </dataValidation>
    <dataValidation type="list" allowBlank="1" showErrorMessage="1" errorTitle="Geçersiz Giriş" error="Lütfen listeden seçim yapın." sqref="C4:C1000">
      <formula1>"Kiralık Tanker 1,Kiralık Tanker 2,Ana Depo 1,Ana Depo 2,Ana Depo 3,Ana Depo 4"</formula1>
      <formula2>0</formula2>
    </dataValidation>
    <dataValidation type="list" allowBlank="1" showErrorMessage="1" errorTitle="Geçersiz Giriş" error="Lütfen listeden seçim yapın." sqref="D4:D1000">
      <formula1>"Kiralık Tanker 1,Kiralık Tanker 2"</formula1>
      <formula2>0</formula2>
    </dataValidation>
    <dataValidation type="list" allowBlank="1" showErrorMessage="1" errorTitle="Geçersiz Giriş" error="Lütfen listeden seçim yapın." sqref="E4:E1000">
      <formula1>"Ana Depo 1,Ana Depo 2,Ana Depo 3,Ana Depo 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2" width="16" customWidth="1"/>
    <col min="3" max="3" width="4" customWidth="1"/>
  </cols>
  <sheetData>
    <row r="1" spans="1:3" ht="21.75" customHeight="1" x14ac:dyDescent="0.3">
      <c r="A1" s="27" t="s">
        <v>54</v>
      </c>
      <c r="B1" s="27"/>
      <c r="C1" s="27"/>
    </row>
    <row r="2" spans="1:3" ht="6" customHeight="1" x14ac:dyDescent="0.3"/>
    <row r="3" spans="1:3" ht="18" customHeight="1" x14ac:dyDescent="0.3">
      <c r="A3" s="19" t="s">
        <v>55</v>
      </c>
      <c r="B3" s="20">
        <f>Ayarlar_Depo!C24</f>
        <v>480</v>
      </c>
    </row>
    <row r="4" spans="1:3" ht="18" customHeight="1" x14ac:dyDescent="0.3">
      <c r="A4" s="19" t="s">
        <v>56</v>
      </c>
      <c r="B4" s="20">
        <f>Ayarlar_Depo!D24</f>
        <v>236</v>
      </c>
    </row>
    <row r="5" spans="1:3" ht="18" customHeight="1" x14ac:dyDescent="0.3">
      <c r="A5" s="19" t="s">
        <v>57</v>
      </c>
      <c r="B5" s="21">
        <f>Ayarlar_Depo!E24</f>
        <v>0.49166666666666664</v>
      </c>
    </row>
    <row r="6" spans="1:3" ht="18" customHeight="1" x14ac:dyDescent="0.3">
      <c r="A6" s="19" t="s">
        <v>58</v>
      </c>
      <c r="B6" s="22">
        <f>COUNTIF(Ayarlar_Depo!F18:F23,"KRİTİK")</f>
        <v>2</v>
      </c>
    </row>
    <row r="7" spans="1:3" ht="18" customHeight="1" x14ac:dyDescent="0.3">
      <c r="A7" s="19" t="s">
        <v>59</v>
      </c>
      <c r="B7" s="20">
        <f>SUMIFS(Gunluk_Hareket!$F:$F,Gunluk_Hareket!$B:$B,"Alış")</f>
        <v>305</v>
      </c>
    </row>
    <row r="8" spans="1:3" ht="18" customHeight="1" x14ac:dyDescent="0.3">
      <c r="A8" s="19" t="s">
        <v>60</v>
      </c>
      <c r="B8" s="23">
        <f>SUMIFS(Gunluk_Hareket!$H:$H,Gunluk_Hareket!$B:$B,"Alış")</f>
        <v>5770165</v>
      </c>
    </row>
    <row r="9" spans="1:3" ht="18" customHeight="1" x14ac:dyDescent="0.3">
      <c r="A9" s="19" t="s">
        <v>61</v>
      </c>
      <c r="B9" s="23">
        <f>B8/B7</f>
        <v>18918.573770491803</v>
      </c>
    </row>
    <row r="10" spans="1:3" ht="18" customHeight="1" x14ac:dyDescent="0.3">
      <c r="A10" s="19" t="s">
        <v>62</v>
      </c>
      <c r="B10" s="24">
        <f>SUMIFS(Gunluk_Hareket!$I:$I,Gunluk_Hareket!$B:$B,"Taşıma")</f>
        <v>13</v>
      </c>
    </row>
    <row r="11" spans="1:3" ht="18" customHeight="1" x14ac:dyDescent="0.3">
      <c r="A11" s="19" t="s">
        <v>63</v>
      </c>
      <c r="B11" s="23">
        <f>SUMIFS(Gunluk_Hareket!$J:$J,Gunluk_Hareket!$B:$B,"Taşıma")</f>
        <v>216450</v>
      </c>
    </row>
    <row r="12" spans="1:3" ht="18" customHeight="1" x14ac:dyDescent="0.3">
      <c r="A12" s="19" t="s">
        <v>64</v>
      </c>
      <c r="B12" s="23">
        <f>SUMIFS(Gunluk_Hareket!$M:$M,Gunluk_Hareket!$B:$B,"Taşıma")/SUMIFS(Gunluk_Hareket!$F:$F,Gunluk_Hareket!$B:$B,"Taşıma")</f>
        <v>19390.758288738412</v>
      </c>
    </row>
    <row r="13" spans="1:3" ht="18" customHeight="1" x14ac:dyDescent="0.3">
      <c r="A13" s="19" t="s">
        <v>65</v>
      </c>
      <c r="B13" s="20">
        <f>SUMIFS(Gunluk_Hareket!$F:$F,Gunluk_Hareket!$B:$B,"Kullanım")</f>
        <v>69</v>
      </c>
    </row>
    <row r="15" spans="1:3" ht="19.5" customHeight="1" x14ac:dyDescent="0.3">
      <c r="A15" s="29" t="str">
        <f>IF(COUNTIF(Ayarlar_Depo!F18:F23,"KRİTİK")&gt;0,"⚠ DİKKAT: Kritik seviyede depo var!","Tüm depolar normal/düşük seviyede.")</f>
        <v>⚠ DİKKAT: Kritik seviyede depo var!</v>
      </c>
      <c r="B15" s="29"/>
    </row>
    <row r="17" spans="1:2" x14ac:dyDescent="0.3">
      <c r="A17" s="1" t="s">
        <v>66</v>
      </c>
      <c r="B17" s="1" t="s">
        <v>15</v>
      </c>
    </row>
    <row r="18" spans="1:2" x14ac:dyDescent="0.3">
      <c r="A18" s="25" t="s">
        <v>67</v>
      </c>
      <c r="B18" s="26">
        <f>B9</f>
        <v>18918.573770491803</v>
      </c>
    </row>
    <row r="19" spans="1:2" x14ac:dyDescent="0.3">
      <c r="A19" s="25" t="s">
        <v>68</v>
      </c>
      <c r="B19" s="26">
        <f>B12</f>
        <v>19390.758288738412</v>
      </c>
    </row>
  </sheetData>
  <mergeCells count="2">
    <mergeCell ref="A1:C1"/>
    <mergeCell ref="A15:B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Ayarlar_Depo</vt:lpstr>
      <vt:lpstr>Gunluk_Hareket</vt:lpstr>
      <vt:lpstr>Ozet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1</cp:revision>
  <dcterms:created xsi:type="dcterms:W3CDTF">2026-07-03T05:49:28Z</dcterms:created>
  <dcterms:modified xsi:type="dcterms:W3CDTF">2026-07-13T05:40:52Z</dcterms:modified>
  <cp:category/>
  <cp:contentStatus/>
</cp:coreProperties>
</file>