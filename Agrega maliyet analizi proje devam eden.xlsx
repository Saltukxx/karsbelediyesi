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dim\Desktop\ASFALT ŞANTİYESİ YENİ OLUŞTURULAN\"/>
    </mc:Choice>
  </mc:AlternateContent>
  <bookViews>
    <workbookView xWindow="0" yWindow="0" windowWidth="23040" windowHeight="9204" tabRatio="500" activeTab="1"/>
  </bookViews>
  <sheets>
    <sheet name="Parametreler" sheetId="1" r:id="rId1"/>
    <sheet name="Maliyet Hesaplama" sheetId="2" r:id="rId2"/>
    <sheet name="Stok ve Boyut Maliyeti" sheetId="3" r:id="rId3"/>
    <sheet name="Özet Rapor" sheetId="4" r:id="rId4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5" i="1" l="1"/>
  <c r="F7" i="2" l="1"/>
  <c r="D8" i="2"/>
  <c r="D9" i="2"/>
  <c r="D10" i="2"/>
  <c r="D14" i="2"/>
  <c r="D15" i="2" s="1"/>
  <c r="C23" i="4" s="1"/>
  <c r="D18" i="2"/>
  <c r="F18" i="2" s="1"/>
  <c r="D19" i="2"/>
  <c r="D20" i="2"/>
  <c r="D21" i="2" s="1"/>
  <c r="C24" i="4" s="1"/>
  <c r="D24" i="2"/>
  <c r="D25" i="2"/>
  <c r="C25" i="4" s="1"/>
  <c r="F8" i="2"/>
  <c r="F9" i="2"/>
  <c r="F10" i="2"/>
  <c r="F24" i="2"/>
  <c r="F25" i="2" s="1"/>
  <c r="D25" i="4" s="1"/>
  <c r="C13" i="3"/>
  <c r="F13" i="3"/>
  <c r="C14" i="3"/>
  <c r="G14" i="3" s="1"/>
  <c r="F14" i="3"/>
  <c r="C15" i="3"/>
  <c r="G15" i="3" s="1"/>
  <c r="F15" i="3"/>
  <c r="C16" i="3"/>
  <c r="G16" i="3" s="1"/>
  <c r="F16" i="3"/>
  <c r="C7" i="4"/>
  <c r="B16" i="3"/>
  <c r="B15" i="3"/>
  <c r="B14" i="3"/>
  <c r="B13" i="3"/>
  <c r="I5" i="3"/>
  <c r="I6" i="3"/>
  <c r="I7" i="3"/>
  <c r="I8" i="3"/>
  <c r="C5" i="3"/>
  <c r="C6" i="3"/>
  <c r="C7" i="3"/>
  <c r="C8" i="3"/>
  <c r="G8" i="3"/>
  <c r="B8" i="3"/>
  <c r="G7" i="3"/>
  <c r="B7" i="3"/>
  <c r="G6" i="3"/>
  <c r="B6" i="3"/>
  <c r="G5" i="3"/>
  <c r="B5" i="3"/>
  <c r="C35" i="1"/>
  <c r="G9" i="3"/>
  <c r="C17" i="4" s="1"/>
  <c r="I16" i="3" l="1"/>
  <c r="I9" i="3"/>
  <c r="I15" i="3"/>
  <c r="F20" i="2"/>
  <c r="F19" i="2"/>
  <c r="F21" i="2" s="1"/>
  <c r="D24" i="4" s="1"/>
  <c r="D9" i="3"/>
  <c r="F11" i="2"/>
  <c r="I13" i="3"/>
  <c r="C17" i="3"/>
  <c r="C13" i="4" s="1"/>
  <c r="D11" i="2"/>
  <c r="F14" i="2"/>
  <c r="F15" i="2" s="1"/>
  <c r="D23" i="4" s="1"/>
  <c r="C9" i="3"/>
  <c r="I14" i="3"/>
  <c r="G13" i="3"/>
  <c r="I17" i="3" l="1"/>
  <c r="C22" i="4"/>
  <c r="D27" i="2"/>
  <c r="G17" i="3"/>
  <c r="C15" i="4" s="1"/>
  <c r="F27" i="2"/>
  <c r="D22" i="4"/>
  <c r="C9" i="4" l="1"/>
  <c r="D26" i="4"/>
  <c r="C8" i="4"/>
  <c r="C10" i="4"/>
  <c r="D14" i="3"/>
  <c r="E14" i="3" s="1"/>
  <c r="H14" i="3" s="1"/>
  <c r="E6" i="3"/>
  <c r="E8" i="3"/>
  <c r="E9" i="3"/>
  <c r="H9" i="3" s="1"/>
  <c r="C18" i="4" s="1"/>
  <c r="C26" i="4"/>
  <c r="D13" i="3"/>
  <c r="E13" i="3" s="1"/>
  <c r="D16" i="3"/>
  <c r="E16" i="3" s="1"/>
  <c r="H16" i="3" s="1"/>
  <c r="C5" i="4"/>
  <c r="E5" i="3"/>
  <c r="E7" i="3"/>
  <c r="D15" i="3"/>
  <c r="E15" i="3" s="1"/>
  <c r="H15" i="3" s="1"/>
  <c r="E25" i="4"/>
  <c r="E24" i="4"/>
  <c r="E23" i="4"/>
  <c r="E22" i="4"/>
  <c r="H8" i="3" l="1"/>
  <c r="F8" i="3"/>
  <c r="H6" i="3"/>
  <c r="F6" i="3"/>
  <c r="E26" i="4"/>
  <c r="F7" i="3"/>
  <c r="H7" i="3"/>
  <c r="H5" i="3"/>
  <c r="F5" i="3"/>
  <c r="E17" i="3"/>
  <c r="C14" i="4" s="1"/>
  <c r="H13" i="3"/>
  <c r="H17" i="3" s="1"/>
  <c r="C16" i="4" s="1"/>
  <c r="F9" i="3" l="1"/>
</calcChain>
</file>

<file path=xl/sharedStrings.xml><?xml version="1.0" encoding="utf-8"?>
<sst xmlns="http://schemas.openxmlformats.org/spreadsheetml/2006/main" count="129" uniqueCount="108">
  <si>
    <t>AGREGA ÜRETİM MALİYET ANALİZİ – PARAMETRELER</t>
  </si>
  <si>
    <t>⚙  Mavi hücrelerdeki değerleri girin – tüm hesaplamalar otomatik güncellenir</t>
  </si>
  <si>
    <t>A) GENEL BİLGİLER</t>
  </si>
  <si>
    <t>—</t>
  </si>
  <si>
    <t>Doldurunuz</t>
  </si>
  <si>
    <t>Analiz Dönemi</t>
  </si>
  <si>
    <t>Yıl</t>
  </si>
  <si>
    <t>Üretim Kapasitesi (Hedef)</t>
  </si>
  <si>
    <t>ton/gün</t>
  </si>
  <si>
    <t>Tesis kapasitesine göre</t>
  </si>
  <si>
    <t>Yıllık Çalışma Günü</t>
  </si>
  <si>
    <t>gün</t>
  </si>
  <si>
    <t>B) MADEN KIRICI &amp; YÜKLEME MALİYETLERİ</t>
  </si>
  <si>
    <t>Kırıcı (Maden Sahası) Yakıt</t>
  </si>
  <si>
    <t>₺/ton</t>
  </si>
  <si>
    <t>Sahadaki birincil kırma</t>
  </si>
  <si>
    <t>Kırıcı Bakım &amp; Yedek Parça</t>
  </si>
  <si>
    <t>Yükleyici (Loder/Ekskavatör) Yakıt</t>
  </si>
  <si>
    <t>Yükleyici Bakım</t>
  </si>
  <si>
    <t>C) HARFİYAT NAKLİYESİ (Maden Sahası → İşleme Sahası)</t>
  </si>
  <si>
    <t>Kamyon Yakıt Maliyeti</t>
  </si>
  <si>
    <t>Mesafeye göre güncelleyin</t>
  </si>
  <si>
    <t>D) İŞLEME SAHASI – ELEME TESİSİ</t>
  </si>
  <si>
    <t>Elek Elektrik</t>
  </si>
  <si>
    <t>Eleme Tesisi Bakım &amp; Yedek Parça</t>
  </si>
  <si>
    <t>Aylık ortalama bölünerek</t>
  </si>
  <si>
    <t>Yıkama Suyu &amp; Pompa</t>
  </si>
  <si>
    <t>Gerekiyorsa</t>
  </si>
  <si>
    <t>E) GENEL GİDERLER</t>
  </si>
  <si>
    <t>Tüm dolaylı/sabit giderler tek kalemde</t>
  </si>
  <si>
    <t>F) AGREGA BOYUT DAĞILIMI &amp; SATIŞ FİYATI</t>
  </si>
  <si>
    <t>Boyut Grubu</t>
  </si>
  <si>
    <t>Üretim Payı (%)</t>
  </si>
  <si>
    <t>Satış Fiyatı (₺/ton)</t>
  </si>
  <si>
    <t>Stok Hedefi (ton)</t>
  </si>
  <si>
    <t>0-5 mm</t>
  </si>
  <si>
    <t>5-12 mm</t>
  </si>
  <si>
    <t>12-19 mm</t>
  </si>
  <si>
    <t>19-32 mm</t>
  </si>
  <si>
    <t>Toplam Pay Kontrolü (= %100 olmalı)</t>
  </si>
  <si>
    <t>AGREGA ÜRETİM MALİYET HESAPLAMA – TON BAŞINA &amp; TOPLAM</t>
  </si>
  <si>
    <t>MALİYET KALEMİ</t>
  </si>
  <si>
    <t>KAYNAK / NOT</t>
  </si>
  <si>
    <t>₺/Ton
(Birim Maliyet)</t>
  </si>
  <si>
    <t>Günlük Ton</t>
  </si>
  <si>
    <t>Toplam Maliyet (₺/gün)</t>
  </si>
  <si>
    <t>1.  MADEN KIRICI &amp; YÜKLEME MALİYETLERİ</t>
  </si>
  <si>
    <t>Yükleyici Yakıt</t>
  </si>
  <si>
    <t>ARA TOPLAM – Maden Kırıcı &amp; Yükleme</t>
  </si>
  <si>
    <t>2.  HARFİYAT NAKLİYESİ (Maden → İşleme Sahası)</t>
  </si>
  <si>
    <t>Mesafeye göre Parametreler'de güncelleyin</t>
  </si>
  <si>
    <t>ARA TOPLAM – Harfiyat Nakliyesi</t>
  </si>
  <si>
    <t>3.  İŞLEME SAHASI – ELEME TESİSİ</t>
  </si>
  <si>
    <t>ARA TOPLAM – Eleme Tesisi</t>
  </si>
  <si>
    <t>4.  GENEL GİDERLER</t>
  </si>
  <si>
    <t>Tek kalem – Parametreler'den</t>
  </si>
  <si>
    <t>ARA TOPLAM – Genel Giderler</t>
  </si>
  <si>
    <t>✅  TOPLAM ÜRETİM MALİYETİ (₺/Ton)</t>
  </si>
  <si>
    <t>KARS BELEDİYESİ – AGREGA BOYUT SINIFINA GÖRE MALİYET &amp; STOK ANALİZİ</t>
  </si>
  <si>
    <t>Veriler Parametreler sayfasından otomatik çekilmektedir</t>
  </si>
  <si>
    <t>AGREGA BOYUT SINIFI</t>
  </si>
  <si>
    <t>Üretim Payı
(%)</t>
  </si>
  <si>
    <t>Günlük Üretim
(ton)</t>
  </si>
  <si>
    <t>Toplam Maliyet
(₺/ton)</t>
  </si>
  <si>
    <t>Üretim Maliyeti
(₺/gün)</t>
  </si>
  <si>
    <t>Satış Fiyatı
(₺/ton)</t>
  </si>
  <si>
    <t>Brüt Kâr/Zarar
(₺/ton)</t>
  </si>
  <si>
    <t>Stok Hedefi
(ton)</t>
  </si>
  <si>
    <t>TOPLAM / AĞIRLIKLI ORTALAMA</t>
  </si>
  <si>
    <t>STOK ALANI – TOPLAM DEĞER ANALİZİ</t>
  </si>
  <si>
    <t>Boyut Sınıfı</t>
  </si>
  <si>
    <t>Maliyet
(₺/ton)</t>
  </si>
  <si>
    <t>Toplam Stok
Maliyeti (₺)</t>
  </si>
  <si>
    <t>Toplam Stok
Değeri (₺)</t>
  </si>
  <si>
    <t>Potansiyel Kâr
(₺)</t>
  </si>
  <si>
    <t>Stok Payı
(%)</t>
  </si>
  <si>
    <t>STOK GENEL TOPLAMI</t>
  </si>
  <si>
    <t>AGREGA ÜRETİM – YÖNETİM ÖZET RAPORU</t>
  </si>
  <si>
    <t>⚡  TEMEL MALİYET GÖSTERGELERİ</t>
  </si>
  <si>
    <t>Toplam Üretim Maliyeti (₺/ton)</t>
  </si>
  <si>
    <t>Günlük Üretim Hedefi (ton/gün)</t>
  </si>
  <si>
    <t>Yıllık Üretim Hedefi (ton/yıl)</t>
  </si>
  <si>
    <t>Günlük Toplam Maliyet (₺/gün)</t>
  </si>
  <si>
    <t>Aylık Toplam Maliyet (₺/ay)</t>
  </si>
  <si>
    <t>Yıllık Toplam Maliyet (₺/yıl)</t>
  </si>
  <si>
    <t>📦  STOK &amp; SATIŞ GÖSTERGELERİ</t>
  </si>
  <si>
    <t>Toplam Stok Hedefi (ton)</t>
  </si>
  <si>
    <t>Toplam Stok Maliyeti (₺)</t>
  </si>
  <si>
    <t>Toplam Stok Satış Değeri (₺)</t>
  </si>
  <si>
    <t>Potansiyel Toplam Kâr (₺)</t>
  </si>
  <si>
    <t>Ağırlıklı Ort. Satış Fiyatı (₺/ton)</t>
  </si>
  <si>
    <t>Ağırlıklı Ort. Kâr/Zarar (₺/ton)</t>
  </si>
  <si>
    <t>📊  MALİYET DAĞILIMI – ARA TOPLAMLAR</t>
  </si>
  <si>
    <t>Maliyet Grubu</t>
  </si>
  <si>
    <t>₺/Ton</t>
  </si>
  <si>
    <t>₺/Gün</t>
  </si>
  <si>
    <t>Toplam Payı (%)</t>
  </si>
  <si>
    <t>Maden Kırıcı &amp; Yükleme</t>
  </si>
  <si>
    <t>Harfiyat Nakliyesi</t>
  </si>
  <si>
    <t>İşleme Sahası – Eleme</t>
  </si>
  <si>
    <t>Genel Giderler</t>
  </si>
  <si>
    <t>GENEL TOPLAM</t>
  </si>
  <si>
    <t xml:space="preserve"> Agrega Temini</t>
  </si>
  <si>
    <t>KARS BELEDİYESİ</t>
  </si>
  <si>
    <t xml:space="preserve">Genel Giderler </t>
  </si>
  <si>
    <t xml:space="preserve">KARS BELEDİYESİ – </t>
  </si>
  <si>
    <t xml:space="preserve">Proje </t>
  </si>
  <si>
    <t xml:space="preserve">Maden Ocağı Adı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</si>
</sst>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₺&quot;* #,##0.00_-;\-&quot;₺&quot;* #,##0.00_-;_-&quot;₺&quot;* &quot;-&quot;??_-;_-@_-"/>
    <numFmt numFmtId="164" formatCode="#,##0.00&quot; ₺&quot;"/>
    <numFmt numFmtId="165" formatCode="#,##0.000"/>
  </numFmts>
  <fonts count="26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1"/>
      <color rgb="FFFFD70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8B"/>
      <name val="Arial"/>
      <charset val="1"/>
    </font>
    <font>
      <sz val="9"/>
      <color rgb="FF000000"/>
      <name val="Arial"/>
      <charset val="1"/>
    </font>
    <font>
      <i/>
      <sz val="8"/>
      <color rgb="FF595959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8B"/>
      <name val="Arial"/>
      <charset val="1"/>
    </font>
    <font>
      <b/>
      <sz val="10"/>
      <name val="Arial"/>
      <charset val="1"/>
    </font>
    <font>
      <b/>
      <sz val="10"/>
      <color rgb="FF000080"/>
      <name val="Arial"/>
      <charset val="1"/>
    </font>
    <font>
      <sz val="9"/>
      <color rgb="FF595959"/>
      <name val="Arial"/>
      <charset val="1"/>
    </font>
    <font>
      <b/>
      <sz val="9"/>
      <color rgb="FFFFD700"/>
      <name val="Arial"/>
      <charset val="1"/>
    </font>
    <font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12"/>
      <color rgb="FF1F3864"/>
      <name val="Arial"/>
      <charset val="1"/>
    </font>
    <font>
      <sz val="10"/>
      <color rgb="FF000080"/>
      <name val="Arial"/>
      <charset val="1"/>
    </font>
    <font>
      <b/>
      <sz val="8"/>
      <color rgb="FFFFFFFF"/>
      <name val="Arial"/>
      <charset val="1"/>
    </font>
    <font>
      <b/>
      <sz val="13"/>
      <color rgb="FFFFFFFF"/>
      <name val="Arial"/>
      <charset val="1"/>
    </font>
    <font>
      <b/>
      <sz val="11"/>
      <color rgb="FF1F3864"/>
      <name val="Arial"/>
      <charset val="1"/>
    </font>
    <font>
      <b/>
      <sz val="11"/>
      <color rgb="FFC00000"/>
      <name val="Arial"/>
      <charset val="1"/>
    </font>
    <font>
      <b/>
      <sz val="11"/>
      <color rgb="FF006600"/>
      <name val="Arial"/>
      <charset val="1"/>
    </font>
    <font>
      <b/>
      <sz val="11"/>
      <color theme="0"/>
      <name val="Calibri"/>
      <family val="2"/>
      <charset val="16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BF3FF"/>
      </patternFill>
    </fill>
    <fill>
      <patternFill patternType="solid">
        <fgColor rgb="FFC00000"/>
        <bgColor rgb="FF8B0000"/>
      </patternFill>
    </fill>
    <fill>
      <patternFill patternType="solid">
        <fgColor rgb="FFEB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D7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8B0000"/>
        <bgColor rgb="FF800000"/>
      </patternFill>
    </fill>
    <fill>
      <patternFill patternType="solid">
        <fgColor rgb="FF00008B"/>
        <bgColor rgb="FF000080"/>
      </patternFill>
    </fill>
    <fill>
      <patternFill patternType="solid">
        <fgColor rgb="FF5A5A5A"/>
        <bgColor rgb="FF595959"/>
      </patternFill>
    </fill>
    <fill>
      <patternFill patternType="solid">
        <fgColor rgb="FFFCE4D6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5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10" fontId="11" fillId="5" borderId="2" xfId="0" applyNumberFormat="1" applyFont="1" applyFill="1" applyBorder="1" applyAlignment="1">
      <alignment horizontal="center" vertical="center"/>
    </xf>
    <xf numFmtId="164" fontId="11" fillId="5" borderId="2" xfId="0" applyNumberFormat="1" applyFont="1" applyFill="1" applyBorder="1" applyAlignment="1">
      <alignment horizontal="center" vertical="center"/>
    </xf>
    <xf numFmtId="3" fontId="11" fillId="5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/>
    <xf numFmtId="10" fontId="12" fillId="7" borderId="2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8" fillId="6" borderId="2" xfId="0" applyFont="1" applyFill="1" applyBorder="1" applyAlignment="1">
      <alignment horizontal="center" vertical="center"/>
    </xf>
    <xf numFmtId="164" fontId="13" fillId="5" borderId="2" xfId="0" applyNumberFormat="1" applyFont="1" applyFill="1" applyBorder="1" applyAlignment="1">
      <alignment horizontal="center" vertical="center"/>
    </xf>
    <xf numFmtId="165" fontId="14" fillId="3" borderId="2" xfId="0" applyNumberFormat="1" applyFont="1" applyFill="1" applyBorder="1" applyAlignment="1">
      <alignment horizontal="center" vertical="center"/>
    </xf>
    <xf numFmtId="164" fontId="12" fillId="8" borderId="2" xfId="0" applyNumberFormat="1" applyFont="1" applyFill="1" applyBorder="1" applyAlignment="1">
      <alignment horizontal="center" vertical="center"/>
    </xf>
    <xf numFmtId="0" fontId="9" fillId="9" borderId="2" xfId="0" applyFont="1" applyFill="1" applyBorder="1"/>
    <xf numFmtId="0" fontId="0" fillId="9" borderId="2" xfId="0" applyFill="1" applyBorder="1"/>
    <xf numFmtId="164" fontId="15" fillId="9" borderId="2" xfId="0" applyNumberFormat="1" applyFont="1" applyFill="1" applyBorder="1" applyAlignment="1">
      <alignment horizontal="center" vertical="center"/>
    </xf>
    <xf numFmtId="165" fontId="16" fillId="9" borderId="2" xfId="0" applyNumberFormat="1" applyFont="1" applyFill="1" applyBorder="1" applyAlignment="1">
      <alignment horizontal="center" vertical="center"/>
    </xf>
    <xf numFmtId="0" fontId="9" fillId="10" borderId="2" xfId="0" applyFont="1" applyFill="1" applyBorder="1"/>
    <xf numFmtId="0" fontId="0" fillId="10" borderId="2" xfId="0" applyFill="1" applyBorder="1"/>
    <xf numFmtId="164" fontId="15" fillId="10" borderId="2" xfId="0" applyNumberFormat="1" applyFont="1" applyFill="1" applyBorder="1" applyAlignment="1">
      <alignment horizontal="center" vertical="center"/>
    </xf>
    <xf numFmtId="165" fontId="16" fillId="10" borderId="2" xfId="0" applyNumberFormat="1" applyFont="1" applyFill="1" applyBorder="1" applyAlignment="1">
      <alignment horizontal="center" vertical="center"/>
    </xf>
    <xf numFmtId="164" fontId="15" fillId="2" borderId="2" xfId="0" applyNumberFormat="1" applyFont="1" applyFill="1" applyBorder="1" applyAlignment="1">
      <alignment horizontal="center" vertical="center"/>
    </xf>
    <xf numFmtId="165" fontId="16" fillId="2" borderId="2" xfId="0" applyNumberFormat="1" applyFont="1" applyFill="1" applyBorder="1" applyAlignment="1">
      <alignment horizontal="center" vertical="center"/>
    </xf>
    <xf numFmtId="0" fontId="9" fillId="11" borderId="2" xfId="0" applyFont="1" applyFill="1" applyBorder="1"/>
    <xf numFmtId="0" fontId="0" fillId="11" borderId="2" xfId="0" applyFill="1" applyBorder="1"/>
    <xf numFmtId="164" fontId="15" fillId="11" borderId="2" xfId="0" applyNumberFormat="1" applyFont="1" applyFill="1" applyBorder="1" applyAlignment="1">
      <alignment horizontal="center" vertical="center"/>
    </xf>
    <xf numFmtId="165" fontId="16" fillId="11" borderId="2" xfId="0" applyNumberFormat="1" applyFont="1" applyFill="1" applyBorder="1" applyAlignment="1">
      <alignment horizontal="center" vertical="center"/>
    </xf>
    <xf numFmtId="164" fontId="18" fillId="7" borderId="2" xfId="0" applyNumberFormat="1" applyFon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0" fontId="19" fillId="5" borderId="2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4" fontId="19" fillId="5" borderId="2" xfId="0" applyNumberFormat="1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 vertical="center"/>
    </xf>
    <xf numFmtId="164" fontId="12" fillId="6" borderId="2" xfId="0" applyNumberFormat="1" applyFont="1" applyFill="1" applyBorder="1" applyAlignment="1">
      <alignment horizontal="center" vertical="center"/>
    </xf>
    <xf numFmtId="3" fontId="19" fillId="5" borderId="2" xfId="0" applyNumberFormat="1" applyFont="1" applyFill="1" applyBorder="1" applyAlignment="1">
      <alignment horizontal="center" vertical="center"/>
    </xf>
    <xf numFmtId="10" fontId="15" fillId="2" borderId="2" xfId="0" applyNumberFormat="1" applyFont="1" applyFill="1" applyBorder="1" applyAlignment="1">
      <alignment horizontal="center" vertical="center"/>
    </xf>
    <xf numFmtId="165" fontId="15" fillId="2" borderId="2" xfId="0" applyNumberFormat="1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3" fontId="13" fillId="5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0" fontId="5" fillId="3" borderId="2" xfId="0" applyNumberFormat="1" applyFont="1" applyFill="1" applyBorder="1" applyAlignment="1">
      <alignment horizontal="center" vertical="center"/>
    </xf>
    <xf numFmtId="164" fontId="22" fillId="7" borderId="2" xfId="0" applyNumberFormat="1" applyFont="1" applyFill="1" applyBorder="1" applyAlignment="1">
      <alignment horizontal="center" vertical="center"/>
    </xf>
    <xf numFmtId="3" fontId="22" fillId="7" borderId="2" xfId="0" applyNumberFormat="1" applyFont="1" applyFill="1" applyBorder="1" applyAlignment="1">
      <alignment horizontal="center" vertical="center"/>
    </xf>
    <xf numFmtId="164" fontId="23" fillId="12" borderId="2" xfId="0" applyNumberFormat="1" applyFont="1" applyFill="1" applyBorder="1" applyAlignment="1">
      <alignment horizontal="center" vertical="center"/>
    </xf>
    <xf numFmtId="164" fontId="24" fillId="8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2" borderId="2" xfId="0" applyFont="1" applyFill="1" applyBorder="1"/>
    <xf numFmtId="10" fontId="22" fillId="7" borderId="2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0" fillId="0" borderId="2" xfId="0" applyBorder="1" applyAlignment="1"/>
    <xf numFmtId="44" fontId="6" fillId="5" borderId="2" xfId="0" applyNumberFormat="1" applyFont="1" applyFill="1" applyBorder="1" applyAlignment="1">
      <alignment horizontal="center" vertical="center"/>
    </xf>
    <xf numFmtId="0" fontId="6" fillId="5" borderId="2" xfId="0" applyNumberFormat="1" applyFont="1" applyFill="1" applyBorder="1" applyAlignment="1">
      <alignment horizontal="center" vertical="center"/>
    </xf>
    <xf numFmtId="2" fontId="25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6600"/>
      <rgbColor rgb="FF000080"/>
      <rgbColor rgb="FF808000"/>
      <rgbColor rgb="FF800080"/>
      <rgbColor rgb="FF008080"/>
      <rgbColor rgb="FFC0C0C0"/>
      <rgbColor rgb="FF595959"/>
      <rgbColor rgb="FF9999FF"/>
      <rgbColor rgb="FF993366"/>
      <rgbColor rgb="FFF2F2F2"/>
      <rgbColor rgb="FFEBF3FF"/>
      <rgbColor rgb="FF660066"/>
      <rgbColor rgb="FFFF8080"/>
      <rgbColor rgb="FF0066CC"/>
      <rgbColor rgb="FFCCCCFF"/>
      <rgbColor rgb="FF00008B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D700"/>
      <rgbColor rgb="FFFF9900"/>
      <rgbColor rgb="FFFF6600"/>
      <rgbColor rgb="FF5A5A5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7621</xdr:rowOff>
    </xdr:from>
    <xdr:to>
      <xdr:col>1</xdr:col>
      <xdr:colOff>868680</xdr:colOff>
      <xdr:row>3</xdr:row>
      <xdr:rowOff>80113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621"/>
          <a:ext cx="876300" cy="8802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754380</xdr:colOff>
      <xdr:row>2</xdr:row>
      <xdr:rowOff>132908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0"/>
          <a:ext cx="754380" cy="7577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0</xdr:row>
      <xdr:rowOff>0</xdr:rowOff>
    </xdr:from>
    <xdr:to>
      <xdr:col>1</xdr:col>
      <xdr:colOff>609600</xdr:colOff>
      <xdr:row>2</xdr:row>
      <xdr:rowOff>140154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" y="0"/>
          <a:ext cx="670560" cy="6735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826889</xdr:colOff>
      <xdr:row>2</xdr:row>
      <xdr:rowOff>175260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0"/>
          <a:ext cx="826889" cy="830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B1:E35"/>
  <sheetViews>
    <sheetView showGridLines="0" topLeftCell="B1" zoomScaleNormal="100" workbookViewId="0">
      <selection activeCell="E32" sqref="E32"/>
    </sheetView>
  </sheetViews>
  <sheetFormatPr defaultColWidth="8.6640625" defaultRowHeight="14.4" x14ac:dyDescent="0.3"/>
  <cols>
    <col min="1" max="1" width="4" customWidth="1"/>
    <col min="2" max="2" width="38" customWidth="1"/>
    <col min="3" max="3" width="22" customWidth="1"/>
    <col min="4" max="4" width="18" customWidth="1"/>
    <col min="5" max="5" width="22" customWidth="1"/>
  </cols>
  <sheetData>
    <row r="1" spans="2:5" ht="27.75" customHeight="1" x14ac:dyDescent="0.3">
      <c r="B1" s="55" t="s">
        <v>103</v>
      </c>
      <c r="C1" s="55"/>
      <c r="D1" s="55"/>
      <c r="E1" s="55"/>
    </row>
    <row r="2" spans="2:5" ht="21.75" customHeight="1" x14ac:dyDescent="0.3">
      <c r="B2" s="56" t="s">
        <v>0</v>
      </c>
      <c r="C2" s="56"/>
      <c r="D2" s="56"/>
      <c r="E2" s="56"/>
    </row>
    <row r="3" spans="2:5" x14ac:dyDescent="0.3">
      <c r="B3" s="57" t="s">
        <v>1</v>
      </c>
      <c r="C3" s="57"/>
      <c r="D3" s="57"/>
      <c r="E3" s="57"/>
    </row>
    <row r="5" spans="2:5" ht="19.5" customHeight="1" x14ac:dyDescent="0.3">
      <c r="B5" s="54" t="s">
        <v>2</v>
      </c>
      <c r="C5" s="54"/>
      <c r="D5" s="54"/>
      <c r="E5" s="54"/>
    </row>
    <row r="6" spans="2:5" ht="18" customHeight="1" x14ac:dyDescent="0.3">
      <c r="B6" s="1" t="s">
        <v>106</v>
      </c>
      <c r="C6" s="2" t="s">
        <v>102</v>
      </c>
      <c r="D6" s="3" t="s">
        <v>3</v>
      </c>
      <c r="E6" s="4"/>
    </row>
    <row r="7" spans="2:5" ht="18" customHeight="1" x14ac:dyDescent="0.3">
      <c r="B7" s="1" t="s">
        <v>107</v>
      </c>
      <c r="C7" s="2" t="s">
        <v>103</v>
      </c>
      <c r="D7" s="3" t="s">
        <v>3</v>
      </c>
      <c r="E7" s="4" t="s">
        <v>4</v>
      </c>
    </row>
    <row r="8" spans="2:5" ht="18" customHeight="1" x14ac:dyDescent="0.3">
      <c r="B8" s="1" t="s">
        <v>5</v>
      </c>
      <c r="C8" s="2">
        <v>2026</v>
      </c>
      <c r="D8" s="3" t="s">
        <v>6</v>
      </c>
      <c r="E8" s="4"/>
    </row>
    <row r="9" spans="2:5" ht="18" customHeight="1" x14ac:dyDescent="0.3">
      <c r="B9" s="1" t="s">
        <v>7</v>
      </c>
      <c r="C9" s="62">
        <v>500</v>
      </c>
      <c r="D9" s="3" t="s">
        <v>8</v>
      </c>
      <c r="E9" s="4" t="s">
        <v>9</v>
      </c>
    </row>
    <row r="10" spans="2:5" ht="18" customHeight="1" x14ac:dyDescent="0.3">
      <c r="B10" s="1" t="s">
        <v>10</v>
      </c>
      <c r="C10" s="2">
        <v>250</v>
      </c>
      <c r="D10" s="3" t="s">
        <v>11</v>
      </c>
      <c r="E10" s="4"/>
    </row>
    <row r="12" spans="2:5" ht="19.5" customHeight="1" x14ac:dyDescent="0.3">
      <c r="B12" s="54" t="s">
        <v>12</v>
      </c>
      <c r="C12" s="54"/>
      <c r="D12" s="54"/>
      <c r="E12" s="54"/>
    </row>
    <row r="13" spans="2:5" ht="18" customHeight="1" x14ac:dyDescent="0.3">
      <c r="B13" s="1" t="s">
        <v>13</v>
      </c>
      <c r="C13" s="61">
        <v>8.5</v>
      </c>
      <c r="D13" s="3" t="s">
        <v>14</v>
      </c>
      <c r="E13" s="4" t="s">
        <v>15</v>
      </c>
    </row>
    <row r="14" spans="2:5" ht="18" customHeight="1" x14ac:dyDescent="0.3">
      <c r="B14" s="1" t="s">
        <v>16</v>
      </c>
      <c r="C14" s="61">
        <v>3.2</v>
      </c>
      <c r="D14" s="3" t="s">
        <v>14</v>
      </c>
      <c r="E14" s="4"/>
    </row>
    <row r="15" spans="2:5" ht="18" customHeight="1" x14ac:dyDescent="0.3">
      <c r="B15" s="1" t="s">
        <v>17</v>
      </c>
      <c r="C15" s="61">
        <v>6.8</v>
      </c>
      <c r="D15" s="3" t="s">
        <v>14</v>
      </c>
      <c r="E15" s="4"/>
    </row>
    <row r="16" spans="2:5" ht="18" customHeight="1" x14ac:dyDescent="0.3">
      <c r="B16" s="1" t="s">
        <v>18</v>
      </c>
      <c r="C16" s="61">
        <v>2.5</v>
      </c>
      <c r="D16" s="3" t="s">
        <v>14</v>
      </c>
      <c r="E16" s="4"/>
    </row>
    <row r="18" spans="2:5" ht="19.5" customHeight="1" x14ac:dyDescent="0.3">
      <c r="B18" s="54" t="s">
        <v>19</v>
      </c>
      <c r="C18" s="54"/>
      <c r="D18" s="54"/>
      <c r="E18" s="54"/>
    </row>
    <row r="19" spans="2:5" ht="18" customHeight="1" x14ac:dyDescent="0.3">
      <c r="B19" s="1" t="s">
        <v>20</v>
      </c>
      <c r="C19" s="61">
        <v>10</v>
      </c>
      <c r="D19" s="3" t="s">
        <v>14</v>
      </c>
      <c r="E19" s="4" t="s">
        <v>21</v>
      </c>
    </row>
    <row r="21" spans="2:5" ht="19.5" customHeight="1" x14ac:dyDescent="0.3">
      <c r="B21" s="54" t="s">
        <v>22</v>
      </c>
      <c r="C21" s="54"/>
      <c r="D21" s="54"/>
      <c r="E21" s="54"/>
    </row>
    <row r="22" spans="2:5" ht="18" customHeight="1" x14ac:dyDescent="0.3">
      <c r="B22" s="1" t="s">
        <v>23</v>
      </c>
      <c r="C22" s="61">
        <v>2.5</v>
      </c>
      <c r="D22" s="3" t="s">
        <v>14</v>
      </c>
      <c r="E22" s="4"/>
    </row>
    <row r="23" spans="2:5" ht="18" customHeight="1" x14ac:dyDescent="0.3">
      <c r="B23" s="1" t="s">
        <v>24</v>
      </c>
      <c r="C23" s="61">
        <v>6</v>
      </c>
      <c r="D23" s="3" t="s">
        <v>14</v>
      </c>
      <c r="E23" s="4" t="s">
        <v>25</v>
      </c>
    </row>
    <row r="24" spans="2:5" ht="18" customHeight="1" x14ac:dyDescent="0.3">
      <c r="B24" s="1" t="s">
        <v>26</v>
      </c>
      <c r="C24" s="61">
        <v>1.2</v>
      </c>
      <c r="D24" s="3" t="s">
        <v>14</v>
      </c>
      <c r="E24" s="4" t="s">
        <v>27</v>
      </c>
    </row>
    <row r="26" spans="2:5" ht="19.5" customHeight="1" x14ac:dyDescent="0.3">
      <c r="B26" s="54" t="s">
        <v>28</v>
      </c>
      <c r="C26" s="54"/>
      <c r="D26" s="54"/>
      <c r="E26" s="54"/>
    </row>
    <row r="27" spans="2:5" ht="30" customHeight="1" x14ac:dyDescent="0.3">
      <c r="B27" s="1" t="s">
        <v>104</v>
      </c>
      <c r="C27" s="61">
        <v>0</v>
      </c>
      <c r="D27" s="3" t="s">
        <v>14</v>
      </c>
      <c r="E27" s="4" t="s">
        <v>29</v>
      </c>
    </row>
    <row r="29" spans="2:5" ht="19.5" customHeight="1" x14ac:dyDescent="0.3">
      <c r="B29" s="54" t="s">
        <v>30</v>
      </c>
      <c r="C29" s="54"/>
      <c r="D29" s="54"/>
      <c r="E29" s="54"/>
    </row>
    <row r="30" spans="2:5" ht="19.5" customHeight="1" x14ac:dyDescent="0.3">
      <c r="B30" s="5" t="s">
        <v>31</v>
      </c>
      <c r="C30" s="5" t="s">
        <v>32</v>
      </c>
      <c r="D30" s="5" t="s">
        <v>33</v>
      </c>
      <c r="E30" s="5" t="s">
        <v>34</v>
      </c>
    </row>
    <row r="31" spans="2:5" ht="18" customHeight="1" x14ac:dyDescent="0.3">
      <c r="B31" s="6" t="s">
        <v>35</v>
      </c>
      <c r="C31" s="7">
        <v>0.3</v>
      </c>
      <c r="D31" s="8">
        <v>180</v>
      </c>
      <c r="E31" s="9">
        <v>1000</v>
      </c>
    </row>
    <row r="32" spans="2:5" ht="18" customHeight="1" x14ac:dyDescent="0.3">
      <c r="B32" s="6" t="s">
        <v>36</v>
      </c>
      <c r="C32" s="7">
        <v>0.25</v>
      </c>
      <c r="D32" s="8">
        <v>220</v>
      </c>
      <c r="E32" s="9">
        <v>1000</v>
      </c>
    </row>
    <row r="33" spans="2:5" ht="18" customHeight="1" x14ac:dyDescent="0.3">
      <c r="B33" s="6" t="s">
        <v>37</v>
      </c>
      <c r="C33" s="7">
        <v>0.25</v>
      </c>
      <c r="D33" s="8">
        <v>240</v>
      </c>
      <c r="E33" s="9">
        <v>1000</v>
      </c>
    </row>
    <row r="34" spans="2:5" ht="18" customHeight="1" x14ac:dyDescent="0.3">
      <c r="B34" s="6" t="s">
        <v>38</v>
      </c>
      <c r="C34" s="7">
        <v>0.2</v>
      </c>
      <c r="D34" s="8">
        <v>250</v>
      </c>
      <c r="E34" s="9">
        <v>1000</v>
      </c>
    </row>
    <row r="35" spans="2:5" ht="18" customHeight="1" x14ac:dyDescent="0.3">
      <c r="B35" s="10" t="s">
        <v>39</v>
      </c>
      <c r="C35" s="11">
        <f>SUM(C31:C34)</f>
        <v>1</v>
      </c>
      <c r="D35" s="12"/>
      <c r="E35" s="63">
        <f>SUM(E31:E34)</f>
        <v>4000</v>
      </c>
    </row>
  </sheetData>
  <mergeCells count="9">
    <mergeCell ref="B18:E18"/>
    <mergeCell ref="B21:E21"/>
    <mergeCell ref="B26:E26"/>
    <mergeCell ref="B29:E29"/>
    <mergeCell ref="B1:E1"/>
    <mergeCell ref="B2:E2"/>
    <mergeCell ref="B3:E3"/>
    <mergeCell ref="B5:E5"/>
    <mergeCell ref="B12:E1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F27"/>
  <sheetViews>
    <sheetView showGridLines="0" tabSelected="1" topLeftCell="A7" zoomScaleNormal="100" workbookViewId="0">
      <selection activeCell="B2" sqref="B2:F2"/>
    </sheetView>
  </sheetViews>
  <sheetFormatPr defaultColWidth="8.6640625" defaultRowHeight="14.4" x14ac:dyDescent="0.3"/>
  <cols>
    <col min="1" max="1" width="4" customWidth="1"/>
    <col min="2" max="2" width="36" customWidth="1"/>
    <col min="3" max="3" width="22" customWidth="1"/>
    <col min="4" max="5" width="18" customWidth="1"/>
    <col min="6" max="6" width="22" customWidth="1"/>
  </cols>
  <sheetData>
    <row r="1" spans="2:6" ht="27.75" customHeight="1" x14ac:dyDescent="0.3">
      <c r="B1" s="55" t="s">
        <v>105</v>
      </c>
      <c r="C1" s="55"/>
      <c r="D1" s="55"/>
      <c r="E1" s="55"/>
      <c r="F1" s="55"/>
    </row>
    <row r="2" spans="2:6" ht="21.75" customHeight="1" x14ac:dyDescent="0.3">
      <c r="B2" s="56" t="s">
        <v>40</v>
      </c>
      <c r="C2" s="56"/>
      <c r="D2" s="56"/>
      <c r="E2" s="56"/>
      <c r="F2" s="56"/>
    </row>
    <row r="4" spans="2:6" ht="37.5" customHeight="1" x14ac:dyDescent="0.3"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</row>
    <row r="6" spans="2:6" ht="19.5" customHeight="1" x14ac:dyDescent="0.3">
      <c r="B6" s="54" t="s">
        <v>46</v>
      </c>
      <c r="C6" s="54"/>
      <c r="D6" s="54"/>
      <c r="E6" s="54"/>
      <c r="F6" s="54"/>
    </row>
    <row r="7" spans="2:6" ht="18" customHeight="1" x14ac:dyDescent="0.3">
      <c r="B7" s="1" t="s">
        <v>13</v>
      </c>
      <c r="C7" s="13"/>
      <c r="D7" s="14">
        <v>7.5</v>
      </c>
      <c r="E7" s="15">
        <v>500</v>
      </c>
      <c r="F7" s="16">
        <f>D7*E7</f>
        <v>3750</v>
      </c>
    </row>
    <row r="8" spans="2:6" ht="18" customHeight="1" x14ac:dyDescent="0.3">
      <c r="B8" s="1" t="s">
        <v>16</v>
      </c>
      <c r="C8" s="13"/>
      <c r="D8" s="14">
        <f>Parametreler!C14</f>
        <v>3.2</v>
      </c>
      <c r="E8" s="15">
        <v>500</v>
      </c>
      <c r="F8" s="16">
        <f>D8*E8</f>
        <v>1600</v>
      </c>
    </row>
    <row r="9" spans="2:6" ht="18" customHeight="1" x14ac:dyDescent="0.3">
      <c r="B9" s="1" t="s">
        <v>47</v>
      </c>
      <c r="C9" s="13"/>
      <c r="D9" s="14">
        <f>Parametreler!C15</f>
        <v>6.8</v>
      </c>
      <c r="E9" s="15">
        <v>500</v>
      </c>
      <c r="F9" s="16">
        <f>D9*E9</f>
        <v>3400</v>
      </c>
    </row>
    <row r="10" spans="2:6" ht="18" customHeight="1" x14ac:dyDescent="0.3">
      <c r="B10" s="1" t="s">
        <v>18</v>
      </c>
      <c r="C10" s="13"/>
      <c r="D10" s="14">
        <f>Parametreler!C16</f>
        <v>2.5</v>
      </c>
      <c r="E10" s="15">
        <v>500</v>
      </c>
      <c r="F10" s="16">
        <f>D10*E10</f>
        <v>1250</v>
      </c>
    </row>
    <row r="11" spans="2:6" ht="18" customHeight="1" x14ac:dyDescent="0.3">
      <c r="B11" s="17" t="s">
        <v>48</v>
      </c>
      <c r="C11" s="18"/>
      <c r="D11" s="19">
        <f>SUM(D7:D10)</f>
        <v>20</v>
      </c>
      <c r="E11" s="20">
        <v>500</v>
      </c>
      <c r="F11" s="19">
        <f>SUM(F7:F10)</f>
        <v>10000</v>
      </c>
    </row>
    <row r="13" spans="2:6" ht="19.5" customHeight="1" x14ac:dyDescent="0.3">
      <c r="B13" s="54" t="s">
        <v>49</v>
      </c>
      <c r="C13" s="54"/>
      <c r="D13" s="54"/>
      <c r="E13" s="54"/>
      <c r="F13" s="54"/>
    </row>
    <row r="14" spans="2:6" ht="18" customHeight="1" x14ac:dyDescent="0.3">
      <c r="B14" s="1" t="s">
        <v>20</v>
      </c>
      <c r="C14" s="13" t="s">
        <v>50</v>
      </c>
      <c r="D14" s="14">
        <f>Parametreler!C19</f>
        <v>10</v>
      </c>
      <c r="E14" s="15">
        <v>500</v>
      </c>
      <c r="F14" s="16">
        <f>D14*E14</f>
        <v>5000</v>
      </c>
    </row>
    <row r="15" spans="2:6" ht="18" customHeight="1" x14ac:dyDescent="0.3">
      <c r="B15" s="21" t="s">
        <v>51</v>
      </c>
      <c r="C15" s="22"/>
      <c r="D15" s="23">
        <f>SUM(D14:D14)</f>
        <v>10</v>
      </c>
      <c r="E15" s="24">
        <v>500</v>
      </c>
      <c r="F15" s="23">
        <f>SUM(F14:F14)</f>
        <v>5000</v>
      </c>
    </row>
    <row r="17" spans="2:6" ht="19.5" customHeight="1" x14ac:dyDescent="0.3">
      <c r="B17" s="54" t="s">
        <v>52</v>
      </c>
      <c r="C17" s="54"/>
      <c r="D17" s="54"/>
      <c r="E17" s="54"/>
      <c r="F17" s="54"/>
    </row>
    <row r="18" spans="2:6" ht="18" customHeight="1" x14ac:dyDescent="0.3">
      <c r="B18" s="1" t="s">
        <v>23</v>
      </c>
      <c r="C18" s="13"/>
      <c r="D18" s="14">
        <f>Parametreler!C22</f>
        <v>2.5</v>
      </c>
      <c r="E18" s="15">
        <v>500</v>
      </c>
      <c r="F18" s="16">
        <f>D18*E18</f>
        <v>1250</v>
      </c>
    </row>
    <row r="19" spans="2:6" ht="18" customHeight="1" x14ac:dyDescent="0.3">
      <c r="B19" s="1" t="s">
        <v>24</v>
      </c>
      <c r="C19" s="13"/>
      <c r="D19" s="14">
        <f>Parametreler!C23</f>
        <v>6</v>
      </c>
      <c r="E19" s="15">
        <v>500</v>
      </c>
      <c r="F19" s="16">
        <f>D19*E19</f>
        <v>3000</v>
      </c>
    </row>
    <row r="20" spans="2:6" ht="18" customHeight="1" x14ac:dyDescent="0.3">
      <c r="B20" s="1" t="s">
        <v>26</v>
      </c>
      <c r="C20" s="13"/>
      <c r="D20" s="14">
        <f>Parametreler!C24</f>
        <v>1.2</v>
      </c>
      <c r="E20" s="15">
        <v>500</v>
      </c>
      <c r="F20" s="16">
        <f>D20*E20</f>
        <v>600</v>
      </c>
    </row>
    <row r="21" spans="2:6" ht="18" customHeight="1" x14ac:dyDescent="0.3">
      <c r="B21" s="10" t="s">
        <v>53</v>
      </c>
      <c r="C21" s="12"/>
      <c r="D21" s="25">
        <f>SUM(D18:D20)</f>
        <v>9.6999999999999993</v>
      </c>
      <c r="E21" s="26">
        <v>500</v>
      </c>
      <c r="F21" s="25">
        <f>SUM(F18:F20)</f>
        <v>4850</v>
      </c>
    </row>
    <row r="23" spans="2:6" ht="19.5" customHeight="1" x14ac:dyDescent="0.3">
      <c r="B23" s="54" t="s">
        <v>54</v>
      </c>
      <c r="C23" s="54"/>
      <c r="D23" s="54"/>
      <c r="E23" s="54"/>
      <c r="F23" s="54"/>
    </row>
    <row r="24" spans="2:6" ht="31.8" customHeight="1" x14ac:dyDescent="0.3">
      <c r="B24" s="1" t="s">
        <v>100</v>
      </c>
      <c r="C24" s="13" t="s">
        <v>55</v>
      </c>
      <c r="D24" s="14">
        <f>Parametreler!C27</f>
        <v>0</v>
      </c>
      <c r="E24" s="15">
        <v>500</v>
      </c>
      <c r="F24" s="16">
        <f>D24*E24</f>
        <v>0</v>
      </c>
    </row>
    <row r="25" spans="2:6" ht="18" customHeight="1" x14ac:dyDescent="0.3">
      <c r="B25" s="27" t="s">
        <v>56</v>
      </c>
      <c r="C25" s="28"/>
      <c r="D25" s="29">
        <f>SUM(D24:D24)</f>
        <v>0</v>
      </c>
      <c r="E25" s="30">
        <v>500</v>
      </c>
      <c r="F25" s="29">
        <f>SUM(F24:F24)</f>
        <v>0</v>
      </c>
    </row>
    <row r="27" spans="2:6" ht="27.75" customHeight="1" x14ac:dyDescent="0.3">
      <c r="B27" s="58" t="s">
        <v>57</v>
      </c>
      <c r="C27" s="58"/>
      <c r="D27" s="31">
        <f>D11+D15+D21+D25</f>
        <v>39.700000000000003</v>
      </c>
      <c r="E27" s="32">
        <v>500</v>
      </c>
      <c r="F27" s="31">
        <f>F11+F15+F21+F25</f>
        <v>19850</v>
      </c>
    </row>
  </sheetData>
  <mergeCells count="7">
    <mergeCell ref="B23:F23"/>
    <mergeCell ref="B27:C27"/>
    <mergeCell ref="B1:F1"/>
    <mergeCell ref="B2:F2"/>
    <mergeCell ref="B6:F6"/>
    <mergeCell ref="B13:F13"/>
    <mergeCell ref="B17:F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700"/>
  </sheetPr>
  <dimension ref="B1:I17"/>
  <sheetViews>
    <sheetView showGridLines="0" zoomScaleNormal="100" workbookViewId="0">
      <selection activeCell="B2" sqref="B2:I2"/>
    </sheetView>
  </sheetViews>
  <sheetFormatPr defaultColWidth="8.6640625" defaultRowHeight="14.4" x14ac:dyDescent="0.3"/>
  <cols>
    <col min="1" max="1" width="4" customWidth="1"/>
    <col min="2" max="2" width="22" customWidth="1"/>
    <col min="3" max="3" width="14" customWidth="1"/>
    <col min="4" max="9" width="16" customWidth="1"/>
  </cols>
  <sheetData>
    <row r="1" spans="2:9" ht="27.75" customHeight="1" x14ac:dyDescent="0.3">
      <c r="B1" s="55" t="s">
        <v>58</v>
      </c>
      <c r="C1" s="55"/>
      <c r="D1" s="55"/>
      <c r="E1" s="55"/>
      <c r="F1" s="55"/>
      <c r="G1" s="55"/>
      <c r="H1" s="55"/>
      <c r="I1" s="55"/>
    </row>
    <row r="2" spans="2:9" x14ac:dyDescent="0.3">
      <c r="B2" s="57" t="s">
        <v>59</v>
      </c>
      <c r="C2" s="57"/>
      <c r="D2" s="57"/>
      <c r="E2" s="57"/>
      <c r="F2" s="57"/>
      <c r="G2" s="57"/>
      <c r="H2" s="57"/>
      <c r="I2" s="57"/>
    </row>
    <row r="4" spans="2:9" ht="36" customHeight="1" x14ac:dyDescent="0.3"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66</v>
      </c>
      <c r="I4" s="5" t="s">
        <v>67</v>
      </c>
    </row>
    <row r="5" spans="2:9" ht="21.75" customHeight="1" x14ac:dyDescent="0.3">
      <c r="B5" s="6" t="str">
        <f>Parametreler!B31</f>
        <v>0-5 mm</v>
      </c>
      <c r="C5" s="33">
        <f>Parametreler!C31</f>
        <v>0.3</v>
      </c>
      <c r="D5" s="34">
        <v>150</v>
      </c>
      <c r="E5" s="35">
        <f>'Maliyet Hesaplama'!D27</f>
        <v>39.700000000000003</v>
      </c>
      <c r="F5" s="36">
        <f>D5*E5</f>
        <v>5955</v>
      </c>
      <c r="G5" s="14">
        <f>Parametreler!D31</f>
        <v>180</v>
      </c>
      <c r="H5" s="37">
        <f>G5-E5</f>
        <v>140.30000000000001</v>
      </c>
      <c r="I5" s="38">
        <f>Parametreler!E31</f>
        <v>1000</v>
      </c>
    </row>
    <row r="6" spans="2:9" ht="21.75" customHeight="1" x14ac:dyDescent="0.3">
      <c r="B6" s="6" t="str">
        <f>Parametreler!B32</f>
        <v>5-12 mm</v>
      </c>
      <c r="C6" s="33">
        <f>Parametreler!C32</f>
        <v>0.25</v>
      </c>
      <c r="D6" s="34">
        <v>125</v>
      </c>
      <c r="E6" s="35">
        <f>'Maliyet Hesaplama'!D27</f>
        <v>39.700000000000003</v>
      </c>
      <c r="F6" s="36">
        <f>D6*E6</f>
        <v>4962.5</v>
      </c>
      <c r="G6" s="14">
        <f>Parametreler!D32</f>
        <v>220</v>
      </c>
      <c r="H6" s="37">
        <f>G6-E6</f>
        <v>180.3</v>
      </c>
      <c r="I6" s="38">
        <f>Parametreler!E32</f>
        <v>1000</v>
      </c>
    </row>
    <row r="7" spans="2:9" ht="21.75" customHeight="1" x14ac:dyDescent="0.3">
      <c r="B7" s="6" t="str">
        <f>Parametreler!B33</f>
        <v>12-19 mm</v>
      </c>
      <c r="C7" s="33">
        <f>Parametreler!C33</f>
        <v>0.25</v>
      </c>
      <c r="D7" s="34">
        <v>125</v>
      </c>
      <c r="E7" s="35">
        <f>'Maliyet Hesaplama'!D27</f>
        <v>39.700000000000003</v>
      </c>
      <c r="F7" s="36">
        <f>D7*E7</f>
        <v>4962.5</v>
      </c>
      <c r="G7" s="14">
        <f>Parametreler!D33</f>
        <v>240</v>
      </c>
      <c r="H7" s="37">
        <f>G7-E7</f>
        <v>200.3</v>
      </c>
      <c r="I7" s="38">
        <f>Parametreler!E33</f>
        <v>1000</v>
      </c>
    </row>
    <row r="8" spans="2:9" ht="21.75" customHeight="1" x14ac:dyDescent="0.3">
      <c r="B8" s="6" t="str">
        <f>Parametreler!B34</f>
        <v>19-32 mm</v>
      </c>
      <c r="C8" s="33">
        <f>Parametreler!C34</f>
        <v>0.2</v>
      </c>
      <c r="D8" s="34">
        <v>100</v>
      </c>
      <c r="E8" s="35">
        <f>'Maliyet Hesaplama'!D27</f>
        <v>39.700000000000003</v>
      </c>
      <c r="F8" s="36">
        <f>D8*E8</f>
        <v>3970.0000000000005</v>
      </c>
      <c r="G8" s="14">
        <f>Parametreler!D34</f>
        <v>250</v>
      </c>
      <c r="H8" s="37">
        <f>G8-E8</f>
        <v>210.3</v>
      </c>
      <c r="I8" s="38">
        <f>Parametreler!E34</f>
        <v>1000</v>
      </c>
    </row>
    <row r="9" spans="2:9" ht="21.75" customHeight="1" x14ac:dyDescent="0.3">
      <c r="B9" s="10" t="s">
        <v>68</v>
      </c>
      <c r="C9" s="39">
        <f>SUM(C5:C8)</f>
        <v>1</v>
      </c>
      <c r="D9" s="40">
        <f>SUM(D5:D8)</f>
        <v>500</v>
      </c>
      <c r="E9" s="25">
        <f>'Maliyet Hesaplama'!D27</f>
        <v>39.700000000000003</v>
      </c>
      <c r="F9" s="25">
        <f>SUM(F5:F8)</f>
        <v>19850</v>
      </c>
      <c r="G9" s="25">
        <f>SUMPRODUCT(C5:C8,G5:G8)</f>
        <v>219</v>
      </c>
      <c r="H9" s="25">
        <f>G9-E9</f>
        <v>179.3</v>
      </c>
      <c r="I9" s="41">
        <f>SUM(I5:I8)</f>
        <v>4000</v>
      </c>
    </row>
    <row r="11" spans="2:9" ht="19.5" customHeight="1" x14ac:dyDescent="0.3">
      <c r="B11" s="54" t="s">
        <v>69</v>
      </c>
      <c r="C11" s="54"/>
      <c r="D11" s="54"/>
      <c r="E11" s="54"/>
      <c r="F11" s="54"/>
      <c r="G11" s="54"/>
      <c r="H11" s="54"/>
      <c r="I11" s="54"/>
    </row>
    <row r="12" spans="2:9" ht="30" customHeight="1" x14ac:dyDescent="0.3">
      <c r="B12" s="42" t="s">
        <v>70</v>
      </c>
      <c r="C12" s="42" t="s">
        <v>67</v>
      </c>
      <c r="D12" s="42" t="s">
        <v>71</v>
      </c>
      <c r="E12" s="42" t="s">
        <v>72</v>
      </c>
      <c r="F12" s="42" t="s">
        <v>65</v>
      </c>
      <c r="G12" s="42" t="s">
        <v>73</v>
      </c>
      <c r="H12" s="42" t="s">
        <v>74</v>
      </c>
      <c r="I12" s="42" t="s">
        <v>75</v>
      </c>
    </row>
    <row r="13" spans="2:9" ht="19.5" customHeight="1" x14ac:dyDescent="0.3">
      <c r="B13" s="6" t="str">
        <f>Parametreler!B31</f>
        <v>0-5 mm</v>
      </c>
      <c r="C13" s="43">
        <f>Parametreler!E31</f>
        <v>1000</v>
      </c>
      <c r="D13" s="44">
        <f>'Maliyet Hesaplama'!D27</f>
        <v>39.700000000000003</v>
      </c>
      <c r="E13" s="45">
        <f>C13*D13</f>
        <v>39700</v>
      </c>
      <c r="F13" s="14">
        <f>Parametreler!D31</f>
        <v>180</v>
      </c>
      <c r="G13" s="16">
        <f>C13*F13</f>
        <v>180000</v>
      </c>
      <c r="H13" s="37">
        <f>G13-E13</f>
        <v>140300</v>
      </c>
      <c r="I13" s="46">
        <f>IFERROR(C13/SUM(C$13:C$16),0)</f>
        <v>0.25</v>
      </c>
    </row>
    <row r="14" spans="2:9" ht="19.5" customHeight="1" x14ac:dyDescent="0.3">
      <c r="B14" s="6" t="str">
        <f>Parametreler!B32</f>
        <v>5-12 mm</v>
      </c>
      <c r="C14" s="43">
        <f>Parametreler!E32</f>
        <v>1000</v>
      </c>
      <c r="D14" s="44">
        <f>'Maliyet Hesaplama'!D27</f>
        <v>39.700000000000003</v>
      </c>
      <c r="E14" s="45">
        <f>C14*D14</f>
        <v>39700</v>
      </c>
      <c r="F14" s="14">
        <f>Parametreler!D32</f>
        <v>220</v>
      </c>
      <c r="G14" s="16">
        <f>C14*F14</f>
        <v>220000</v>
      </c>
      <c r="H14" s="37">
        <f>G14-E14</f>
        <v>180300</v>
      </c>
      <c r="I14" s="46">
        <f>IFERROR(C14/SUM(C$13:C$16),0)</f>
        <v>0.25</v>
      </c>
    </row>
    <row r="15" spans="2:9" ht="19.5" customHeight="1" x14ac:dyDescent="0.3">
      <c r="B15" s="6" t="str">
        <f>Parametreler!B33</f>
        <v>12-19 mm</v>
      </c>
      <c r="C15" s="43">
        <f>Parametreler!E33</f>
        <v>1000</v>
      </c>
      <c r="D15" s="44">
        <f>'Maliyet Hesaplama'!D27</f>
        <v>39.700000000000003</v>
      </c>
      <c r="E15" s="45">
        <f>C15*D15</f>
        <v>39700</v>
      </c>
      <c r="F15" s="14">
        <f>Parametreler!D33</f>
        <v>240</v>
      </c>
      <c r="G15" s="16">
        <f>C15*F15</f>
        <v>240000</v>
      </c>
      <c r="H15" s="37">
        <f>G15-E15</f>
        <v>200300</v>
      </c>
      <c r="I15" s="46">
        <f>IFERROR(C15/SUM(C$13:C$16),0)</f>
        <v>0.25</v>
      </c>
    </row>
    <row r="16" spans="2:9" ht="19.5" customHeight="1" x14ac:dyDescent="0.3">
      <c r="B16" s="6" t="str">
        <f>Parametreler!B34</f>
        <v>19-32 mm</v>
      </c>
      <c r="C16" s="43">
        <f>Parametreler!E34</f>
        <v>1000</v>
      </c>
      <c r="D16" s="44">
        <f>'Maliyet Hesaplama'!D27</f>
        <v>39.700000000000003</v>
      </c>
      <c r="E16" s="45">
        <f>C16*D16</f>
        <v>39700</v>
      </c>
      <c r="F16" s="14">
        <f>Parametreler!D34</f>
        <v>250</v>
      </c>
      <c r="G16" s="16">
        <f>C16*F16</f>
        <v>250000</v>
      </c>
      <c r="H16" s="37">
        <f>G16-E16</f>
        <v>210300</v>
      </c>
      <c r="I16" s="46">
        <f>IFERROR(C16/SUM(C$13:C$16),0)</f>
        <v>0.25</v>
      </c>
    </row>
    <row r="17" spans="2:9" ht="21.75" customHeight="1" x14ac:dyDescent="0.3">
      <c r="B17" s="10" t="s">
        <v>76</v>
      </c>
      <c r="C17" s="41">
        <f>SUM(C13:C16)</f>
        <v>4000</v>
      </c>
      <c r="D17" s="12"/>
      <c r="E17" s="25">
        <f>SUM(E13:E16)</f>
        <v>158800</v>
      </c>
      <c r="F17" s="12"/>
      <c r="G17" s="25">
        <f>SUM(G13:G16)</f>
        <v>890000</v>
      </c>
      <c r="H17" s="25">
        <f>SUM(H13:H16)</f>
        <v>731200</v>
      </c>
      <c r="I17" s="39">
        <f>SUM(I13:I16)</f>
        <v>1</v>
      </c>
    </row>
  </sheetData>
  <mergeCells count="3">
    <mergeCell ref="B1:I1"/>
    <mergeCell ref="B2:I2"/>
    <mergeCell ref="B11:I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B1:E26"/>
  <sheetViews>
    <sheetView showGridLines="0" topLeftCell="A10" zoomScaleNormal="100" workbookViewId="0">
      <selection activeCell="D6" sqref="D6:E6"/>
    </sheetView>
  </sheetViews>
  <sheetFormatPr defaultColWidth="8.6640625" defaultRowHeight="14.4" x14ac:dyDescent="0.3"/>
  <cols>
    <col min="1" max="1" width="4" customWidth="1"/>
    <col min="2" max="2" width="34" customWidth="1"/>
    <col min="3" max="5" width="20" customWidth="1"/>
  </cols>
  <sheetData>
    <row r="1" spans="2:5" ht="30" customHeight="1" x14ac:dyDescent="0.3">
      <c r="B1" s="59" t="s">
        <v>103</v>
      </c>
      <c r="C1" s="59"/>
      <c r="D1" s="59"/>
      <c r="E1" s="59"/>
    </row>
    <row r="2" spans="2:5" ht="21.75" customHeight="1" x14ac:dyDescent="0.3">
      <c r="B2" s="56" t="s">
        <v>77</v>
      </c>
      <c r="C2" s="56"/>
      <c r="D2" s="56"/>
      <c r="E2" s="56"/>
    </row>
    <row r="4" spans="2:5" ht="19.5" customHeight="1" x14ac:dyDescent="0.3">
      <c r="B4" s="54" t="s">
        <v>78</v>
      </c>
      <c r="C4" s="54"/>
      <c r="D4" s="54"/>
      <c r="E4" s="54"/>
    </row>
    <row r="5" spans="2:5" ht="21.75" customHeight="1" x14ac:dyDescent="0.3">
      <c r="B5" s="6" t="s">
        <v>79</v>
      </c>
      <c r="C5" s="47">
        <f>'Maliyet Hesaplama'!D27</f>
        <v>39.700000000000003</v>
      </c>
      <c r="D5" s="60"/>
      <c r="E5" s="60"/>
    </row>
    <row r="6" spans="2:5" ht="21.75" customHeight="1" x14ac:dyDescent="0.3">
      <c r="B6" s="6" t="s">
        <v>80</v>
      </c>
      <c r="C6" s="48">
        <v>500</v>
      </c>
      <c r="D6" s="60"/>
      <c r="E6" s="60"/>
    </row>
    <row r="7" spans="2:5" ht="21.75" customHeight="1" x14ac:dyDescent="0.3">
      <c r="B7" s="6" t="s">
        <v>81</v>
      </c>
      <c r="C7" s="48">
        <f>Parametreler!C10*Parametreler!C11</f>
        <v>0</v>
      </c>
      <c r="D7" s="60"/>
      <c r="E7" s="60"/>
    </row>
    <row r="8" spans="2:5" ht="21.75" customHeight="1" x14ac:dyDescent="0.3">
      <c r="B8" s="6" t="s">
        <v>82</v>
      </c>
      <c r="C8" s="47">
        <f>'Maliyet Hesaplama'!F27</f>
        <v>19850</v>
      </c>
      <c r="D8" s="60"/>
      <c r="E8" s="60"/>
    </row>
    <row r="9" spans="2:5" ht="21.75" customHeight="1" x14ac:dyDescent="0.3">
      <c r="B9" s="6" t="s">
        <v>83</v>
      </c>
      <c r="C9" s="47">
        <f>'Maliyet Hesaplama'!F27*(Parametreler!C11/12)</f>
        <v>0</v>
      </c>
      <c r="D9" s="60"/>
      <c r="E9" s="60"/>
    </row>
    <row r="10" spans="2:5" ht="21.75" customHeight="1" x14ac:dyDescent="0.3">
      <c r="B10" s="6" t="s">
        <v>84</v>
      </c>
      <c r="C10" s="47">
        <f>'Maliyet Hesaplama'!F27*Parametreler!C11</f>
        <v>0</v>
      </c>
      <c r="D10" s="60"/>
      <c r="E10" s="60"/>
    </row>
    <row r="12" spans="2:5" ht="19.5" customHeight="1" x14ac:dyDescent="0.3">
      <c r="B12" s="54" t="s">
        <v>85</v>
      </c>
      <c r="C12" s="54"/>
      <c r="D12" s="54"/>
      <c r="E12" s="54"/>
    </row>
    <row r="13" spans="2:5" ht="21.75" customHeight="1" x14ac:dyDescent="0.3">
      <c r="B13" s="6" t="s">
        <v>86</v>
      </c>
      <c r="C13" s="48">
        <f>'Stok ve Boyut Maliyeti'!C17</f>
        <v>4000</v>
      </c>
      <c r="D13" s="60"/>
      <c r="E13" s="60"/>
    </row>
    <row r="14" spans="2:5" ht="21.75" customHeight="1" x14ac:dyDescent="0.3">
      <c r="B14" s="6" t="s">
        <v>87</v>
      </c>
      <c r="C14" s="49">
        <f>'Stok ve Boyut Maliyeti'!E17</f>
        <v>158800</v>
      </c>
      <c r="D14" s="60"/>
      <c r="E14" s="60"/>
    </row>
    <row r="15" spans="2:5" ht="21.75" customHeight="1" x14ac:dyDescent="0.3">
      <c r="B15" s="6" t="s">
        <v>88</v>
      </c>
      <c r="C15" s="50">
        <f>'Stok ve Boyut Maliyeti'!G17</f>
        <v>890000</v>
      </c>
      <c r="D15" s="60"/>
      <c r="E15" s="60"/>
    </row>
    <row r="16" spans="2:5" ht="21.75" customHeight="1" x14ac:dyDescent="0.3">
      <c r="B16" s="6" t="s">
        <v>89</v>
      </c>
      <c r="C16" s="50">
        <f>'Stok ve Boyut Maliyeti'!H17</f>
        <v>731200</v>
      </c>
      <c r="D16" s="60"/>
      <c r="E16" s="60"/>
    </row>
    <row r="17" spans="2:5" ht="21.75" customHeight="1" x14ac:dyDescent="0.3">
      <c r="B17" s="6" t="s">
        <v>90</v>
      </c>
      <c r="C17" s="47">
        <f>'Stok ve Boyut Maliyeti'!G9</f>
        <v>219</v>
      </c>
      <c r="D17" s="60"/>
      <c r="E17" s="60"/>
    </row>
    <row r="18" spans="2:5" ht="21.75" customHeight="1" x14ac:dyDescent="0.3">
      <c r="B18" s="6" t="s">
        <v>91</v>
      </c>
      <c r="C18" s="47">
        <f>'Stok ve Boyut Maliyeti'!H9</f>
        <v>179.3</v>
      </c>
      <c r="D18" s="60"/>
      <c r="E18" s="60"/>
    </row>
    <row r="20" spans="2:5" ht="19.5" customHeight="1" x14ac:dyDescent="0.3">
      <c r="B20" s="54" t="s">
        <v>92</v>
      </c>
      <c r="C20" s="54"/>
      <c r="D20" s="54"/>
      <c r="E20" s="54"/>
    </row>
    <row r="21" spans="2:5" ht="21.75" customHeight="1" x14ac:dyDescent="0.3">
      <c r="B21" s="51" t="s">
        <v>93</v>
      </c>
      <c r="C21" s="51" t="s">
        <v>94</v>
      </c>
      <c r="D21" s="51" t="s">
        <v>95</v>
      </c>
      <c r="E21" s="51" t="s">
        <v>96</v>
      </c>
    </row>
    <row r="22" spans="2:5" ht="18" customHeight="1" x14ac:dyDescent="0.3">
      <c r="B22" s="1" t="s">
        <v>97</v>
      </c>
      <c r="C22" s="35">
        <f>'Maliyet Hesaplama'!D11</f>
        <v>20</v>
      </c>
      <c r="D22" s="36">
        <f>'Maliyet Hesaplama'!F11</f>
        <v>10000</v>
      </c>
      <c r="E22" s="46">
        <f>IFERROR(C22/'Maliyet Hesaplama'!D27,0)</f>
        <v>0.50377833753148615</v>
      </c>
    </row>
    <row r="23" spans="2:5" ht="18" customHeight="1" x14ac:dyDescent="0.3">
      <c r="B23" s="1" t="s">
        <v>98</v>
      </c>
      <c r="C23" s="35">
        <f>'Maliyet Hesaplama'!D15</f>
        <v>10</v>
      </c>
      <c r="D23" s="36">
        <f>'Maliyet Hesaplama'!F15</f>
        <v>5000</v>
      </c>
      <c r="E23" s="46">
        <f>IFERROR(C23/'Maliyet Hesaplama'!D27,0)</f>
        <v>0.25188916876574308</v>
      </c>
    </row>
    <row r="24" spans="2:5" ht="18" customHeight="1" x14ac:dyDescent="0.3">
      <c r="B24" s="1" t="s">
        <v>99</v>
      </c>
      <c r="C24" s="35">
        <f>'Maliyet Hesaplama'!D21</f>
        <v>9.6999999999999993</v>
      </c>
      <c r="D24" s="36">
        <f>'Maliyet Hesaplama'!F21</f>
        <v>4850</v>
      </c>
      <c r="E24" s="46">
        <f>IFERROR(C24/'Maliyet Hesaplama'!D27,0)</f>
        <v>0.24433249370277074</v>
      </c>
    </row>
    <row r="25" spans="2:5" ht="18" customHeight="1" x14ac:dyDescent="0.3">
      <c r="B25" s="1" t="s">
        <v>100</v>
      </c>
      <c r="C25" s="35">
        <f>'Maliyet Hesaplama'!D25</f>
        <v>0</v>
      </c>
      <c r="D25" s="36">
        <f>'Maliyet Hesaplama'!F25</f>
        <v>0</v>
      </c>
      <c r="E25" s="46">
        <f>IFERROR(C25/'Maliyet Hesaplama'!D27,0)</f>
        <v>0</v>
      </c>
    </row>
    <row r="26" spans="2:5" ht="24" customHeight="1" x14ac:dyDescent="0.3">
      <c r="B26" s="52" t="s">
        <v>101</v>
      </c>
      <c r="C26" s="47">
        <f>'Maliyet Hesaplama'!D27</f>
        <v>39.700000000000003</v>
      </c>
      <c r="D26" s="47">
        <f>'Maliyet Hesaplama'!F27</f>
        <v>19850</v>
      </c>
      <c r="E26" s="53">
        <f>SUM(E22:E25)</f>
        <v>1</v>
      </c>
    </row>
  </sheetData>
  <mergeCells count="17">
    <mergeCell ref="D18:E18"/>
    <mergeCell ref="B20:E20"/>
    <mergeCell ref="D13:E13"/>
    <mergeCell ref="D14:E14"/>
    <mergeCell ref="D15:E15"/>
    <mergeCell ref="D16:E16"/>
    <mergeCell ref="D17:E17"/>
    <mergeCell ref="D7:E7"/>
    <mergeCell ref="D8:E8"/>
    <mergeCell ref="D9:E9"/>
    <mergeCell ref="D10:E10"/>
    <mergeCell ref="B12:E12"/>
    <mergeCell ref="B1:E1"/>
    <mergeCell ref="B2:E2"/>
    <mergeCell ref="B4:E4"/>
    <mergeCell ref="D5:E5"/>
    <mergeCell ref="D6:E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Parametreler</vt:lpstr>
      <vt:lpstr>Maliyet Hesaplama</vt:lpstr>
      <vt:lpstr>Stok ve Boyut Maliyeti</vt:lpstr>
      <vt:lpstr>Özet Rapor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Kadim</cp:lastModifiedBy>
  <cp:revision>0</cp:revision>
  <dcterms:created xsi:type="dcterms:W3CDTF">2026-06-30T06:40:35Z</dcterms:created>
  <dcterms:modified xsi:type="dcterms:W3CDTF">2026-06-30T07:16:34Z</dcterms:modified>
  <cp:category/>
  <cp:contentStatus/>
</cp:coreProperties>
</file>