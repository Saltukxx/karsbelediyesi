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16380" windowHeight="8196" tabRatio="500"/>
  </bookViews>
  <sheets>
    <sheet name="Parametreler" sheetId="1" r:id="rId1"/>
    <sheet name="Maliyet Hesaplama" sheetId="2" r:id="rId2"/>
    <sheet name="Özet Rapor" sheetId="3" r:id="rId3"/>
  </sheets>
  <definedNames>
    <definedName name="_xlnm.Print_Area" localSheetId="1">'Maliyet Hesaplama'!$A$1:$E$42</definedName>
    <definedName name="_xlnm.Print_Area" localSheetId="2">'Özet Rapor'!$A$1:$H$43</definedName>
    <definedName name="_xlnm.Print_Area" localSheetId="0">Parametreler!$A$1:$E$43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2" l="1"/>
  <c r="C36" i="2"/>
  <c r="C5" i="2"/>
  <c r="C6" i="2"/>
  <c r="C7" i="2"/>
  <c r="C10" i="2"/>
  <c r="C11" i="2"/>
  <c r="C12" i="2"/>
  <c r="C15" i="2"/>
  <c r="C16" i="2"/>
  <c r="C17" i="2"/>
  <c r="C18" i="2"/>
  <c r="C19" i="2"/>
  <c r="C20" i="2"/>
  <c r="C23" i="2"/>
  <c r="C24" i="2"/>
  <c r="C25" i="2"/>
  <c r="C29" i="2"/>
  <c r="D36" i="2"/>
  <c r="E36" i="2"/>
  <c r="C29" i="3"/>
  <c r="B29" i="3"/>
  <c r="A29" i="3"/>
  <c r="B35" i="2"/>
  <c r="C35" i="2"/>
  <c r="D35" i="2"/>
  <c r="E35" i="2"/>
  <c r="C28" i="3"/>
  <c r="B28" i="3"/>
  <c r="A28" i="3"/>
  <c r="B34" i="2"/>
  <c r="C34" i="2"/>
  <c r="D34" i="2"/>
  <c r="E34" i="2"/>
  <c r="C27" i="3"/>
  <c r="B27" i="3"/>
  <c r="A27" i="3"/>
  <c r="B33" i="2"/>
  <c r="C33" i="2"/>
  <c r="D33" i="2"/>
  <c r="E33" i="2"/>
  <c r="C26" i="3"/>
  <c r="B26" i="3"/>
  <c r="A26" i="3"/>
  <c r="B6" i="3"/>
  <c r="C6" i="3"/>
  <c r="B7" i="3"/>
  <c r="C7" i="3"/>
  <c r="B8" i="3"/>
  <c r="C8" i="3"/>
  <c r="B9" i="3"/>
  <c r="C9" i="3"/>
  <c r="C10" i="3"/>
  <c r="B10" i="3"/>
  <c r="E37" i="2"/>
  <c r="C37" i="2"/>
  <c r="B37" i="2"/>
  <c r="C36" i="1"/>
</calcChain>
</file>

<file path=xl/sharedStrings.xml><?xml version="1.0" encoding="utf-8"?>
<sst xmlns="http://schemas.openxmlformats.org/spreadsheetml/2006/main" count="126" uniqueCount="97">
  <si>
    <t>Agrega Maliyet Analizi - Parametreler (Maden Ocağı → Kırıcı Tesis)</t>
  </si>
  <si>
    <t>A) GENEL PARAMETRELER</t>
  </si>
  <si>
    <t>Maden Ocağı - Tesis Mesafesi</t>
  </si>
  <si>
    <t>km</t>
  </si>
  <si>
    <t>Tek yön mesafe</t>
  </si>
  <si>
    <t>Motorin (Yakıt) Birim Fiyatı</t>
  </si>
  <si>
    <t>TL/lt</t>
  </si>
  <si>
    <t>Elektrik Birim Fiyatı</t>
  </si>
  <si>
    <t>TL/kWh</t>
  </si>
  <si>
    <t>B) MADENDE SÖKÜM - HİDROLİK KIRICI (Ekskavatör Ataşmanı)</t>
  </si>
  <si>
    <t>Saatlik Yakıt Tüketimi (Kırıcı Ekskavatörü)</t>
  </si>
  <si>
    <t>lt/saat</t>
  </si>
  <si>
    <t>Amortisman + Bakım-Onarım (saatlik)</t>
  </si>
  <si>
    <t>TL/saat</t>
  </si>
  <si>
    <t>Söküm Üretim Kapasitesi</t>
  </si>
  <si>
    <t>ton/saat</t>
  </si>
  <si>
    <t>C) EKSKAVATÖR İLE YÜKLEME (Sökülen Malzemenin Kamyona Yüklenmesi)</t>
  </si>
  <si>
    <t>Saatlik Yakıt Tüketimi (Yükleyici Ekskavatör)</t>
  </si>
  <si>
    <t>Yükleme Kapasitesi</t>
  </si>
  <si>
    <t>D) NAKLİYE (Maden Ocağından Tesise - Kamyon)</t>
  </si>
  <si>
    <t>Kamyon Taşıma Kapasitesi</t>
  </si>
  <si>
    <t>ton/sefer</t>
  </si>
  <si>
    <t>Kamyon Yakıt Tüketimi</t>
  </si>
  <si>
    <t>lt/km</t>
  </si>
  <si>
    <t>Yüklü+boş ortalama</t>
  </si>
  <si>
    <t>Ortalama Sefer Hızı</t>
  </si>
  <si>
    <t>km/saat</t>
  </si>
  <si>
    <t>Yükleme + Boşaltma Süresi (sefer başı)</t>
  </si>
  <si>
    <t>dakika</t>
  </si>
  <si>
    <t>Kamyon Amortisman + Bakım (saatlik)</t>
  </si>
  <si>
    <t>E) KIRICI TESİS (Kırma + Eleme / Boyutlandırma - Elektrik Tüketimi)</t>
  </si>
  <si>
    <t>Kırıcı Tesis Kurulu Gücü</t>
  </si>
  <si>
    <t>kW</t>
  </si>
  <si>
    <t>Tüm motorlar toplamı</t>
  </si>
  <si>
    <t>Ortalama Yük Faktörü</t>
  </si>
  <si>
    <t>%</t>
  </si>
  <si>
    <t>Kırıcı Tesis Üretim Kapasitesi</t>
  </si>
  <si>
    <t>F) KIRICI ÇIKIŞI BOYUT DAĞILIM ORANLARI</t>
  </si>
  <si>
    <t>0-5 mm Oranı</t>
  </si>
  <si>
    <t>5-12 mm Oranı</t>
  </si>
  <si>
    <t>12-19 mm Oranı</t>
  </si>
  <si>
    <t>19-32 mm Oranı</t>
  </si>
  <si>
    <t>Toplam Oran Kontrolü</t>
  </si>
  <si>
    <t>( 100% olmalı )</t>
  </si>
  <si>
    <t>G) DÖNEMLİK ÜRETİM HEDEFİ</t>
  </si>
  <si>
    <t>Hesaplanacak Dönem Toplam Üretim</t>
  </si>
  <si>
    <t>ton</t>
  </si>
  <si>
    <t>Aylık/yıllık - Maliyet Hesaplama sayfası için</t>
  </si>
  <si>
    <t>NOT: Sarı hücreler kullanıcı girişi içindir, ihtiyaca göre güncellenebilir. Diğer tüm hücreler otomatik hesaplanır. Maliyet detayları 'Maliyet Hesaplama' sayfasında, özet ve grafikler 'Özet Rapor' sayfasındadır.</t>
  </si>
  <si>
    <t>AGREGA MALİYET HESAPLAMA</t>
  </si>
  <si>
    <t>Maden Ocağı → Söküm → Yükleme → Nakliye → Kırıcı Tesis (Boyutlandırma)</t>
  </si>
  <si>
    <t>AŞAMA 1: MADENDE SÖKÜM (Hidrolik Kırıcı)</t>
  </si>
  <si>
    <t>Saatlik Yakıt Maliyeti</t>
  </si>
  <si>
    <t>Saatlik Toplam Maliyet (Yakıt+Amortisman)</t>
  </si>
  <si>
    <t>AŞAMA 1 BİRİM MALİYETİ</t>
  </si>
  <si>
    <t>TL/ton</t>
  </si>
  <si>
    <t>AŞAMA 2: EKSKAVATÖR İLE YÜKLEME</t>
  </si>
  <si>
    <t>AŞAMA 2 BİRİM MALİYETİ</t>
  </si>
  <si>
    <t>AŞAMA 3: NAKLİYE (Maden Ocağı → Tesis)</t>
  </si>
  <si>
    <t>Sefer Mesafesi (Gidiş-Dönüş)</t>
  </si>
  <si>
    <t>Sefer Yakıt Maliyeti</t>
  </si>
  <si>
    <t>TL/sefer</t>
  </si>
  <si>
    <t>Sefer Süresi (Yol + Yükleme/Boşaltma)</t>
  </si>
  <si>
    <t>saat</t>
  </si>
  <si>
    <t>Sefer Amortisman + Bakım Maliyeti</t>
  </si>
  <si>
    <t>Sefer Toplam Maliyeti</t>
  </si>
  <si>
    <t>AŞAMA 3 BİRİM MALİYETİ</t>
  </si>
  <si>
    <t>AŞAMA 4: KIRICI TESİS (Kırma + Eleme/Boyutlandırma - Elektrik)</t>
  </si>
  <si>
    <t>Saatlik Elektrik Tüketimi</t>
  </si>
  <si>
    <t>kWh/saat</t>
  </si>
  <si>
    <t>Saatlik Elektrik Maliyeti</t>
  </si>
  <si>
    <t>AŞAMA 4 BİRİM MALİYETİ</t>
  </si>
  <si>
    <t>TOPLAM BİRİM MALİYET (Maden → Kırıcı Çıkışı)</t>
  </si>
  <si>
    <t>TOPLAM BİRİM MALİYET</t>
  </si>
  <si>
    <t>DÖNEMLİK MALİYET VE BOYUT BAZINDA DAĞILIM</t>
  </si>
  <si>
    <t>Agrega Boyutu</t>
  </si>
  <si>
    <t>Oran</t>
  </si>
  <si>
    <t>Tonaj (ton)</t>
  </si>
  <si>
    <t>Birim Maliyet (TL/ton)</t>
  </si>
  <si>
    <t>Toplam Maliyet (TL)</t>
  </si>
  <si>
    <t>0-5 mm</t>
  </si>
  <si>
    <t>5-12 mm</t>
  </si>
  <si>
    <t>12-19 mm</t>
  </si>
  <si>
    <t>19-32 mm</t>
  </si>
  <si>
    <t>TOPLAM</t>
  </si>
  <si>
    <t>NOT: Tüm agrega boyutları aynı söküm-yükleme-nakliye-kırma sürecinden geçtiği için birim maliyet (TL/ton) boyuttan bağımsız aynıdır; toplam maliyet farkı yalnızca üretilen tonaja (oran) bağlıdır. Parametreler sayfasındaki sarı hücreler güncellendiğinde tüm tablo otomatik yeniden hesaplanır.</t>
  </si>
  <si>
    <t>ÖZET RAPOR</t>
  </si>
  <si>
    <t>Agrega Maliyet Analizi - Aşama ve Boyut Bazında Dağılım</t>
  </si>
  <si>
    <t>AŞAMA BAZINDA BİRİM MALİYET DAĞILIMI (TL/ton)</t>
  </si>
  <si>
    <t>Aşama</t>
  </si>
  <si>
    <t>Pay (%)</t>
  </si>
  <si>
    <t>1. Madende Söküm (Kırıcı)</t>
  </si>
  <si>
    <t>2. Ekskavatör Yükleme</t>
  </si>
  <si>
    <t>3. Nakliye (3 km)</t>
  </si>
  <si>
    <t>4. Kırıcı Tesis (Kırma+Eleme+Elektrik)</t>
  </si>
  <si>
    <t>BOYUT BAZINDA TONAJ VE TOPLAM MALİYET</t>
  </si>
  <si>
    <t xml:space="preserve">KARS BELEDİYESİ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</si>
</sst>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8"/>
      <color rgb="FF666666"/>
      <name val="Arial"/>
      <charset val="1"/>
    </font>
    <font>
      <b/>
      <i/>
      <sz val="9"/>
      <name val="Arial"/>
      <charset val="1"/>
    </font>
    <font>
      <b/>
      <sz val="9"/>
      <name val="Arial"/>
      <charset val="1"/>
    </font>
    <font>
      <b/>
      <sz val="10"/>
      <color rgb="FF1B3A6B"/>
      <name val="Arial"/>
      <charset val="1"/>
    </font>
    <font>
      <b/>
      <sz val="11"/>
      <color rgb="FF1B3A6B"/>
      <name val="Arial"/>
      <charset val="1"/>
    </font>
    <font>
      <b/>
      <sz val="12"/>
      <color rgb="FFB22222"/>
      <name val="Arial"/>
      <charset val="1"/>
    </font>
    <font>
      <b/>
      <sz val="13"/>
      <color rgb="FFB22222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8"/>
      <color rgb="FFFF0000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C9A227"/>
        <bgColor rgb="FF9BBB5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E8EEF7"/>
        <bgColor rgb="FFF2F2F2"/>
      </patternFill>
    </fill>
    <fill>
      <patternFill patternType="solid">
        <fgColor rgb="FFB22222"/>
        <bgColor rgb="FF993366"/>
      </patternFill>
    </fill>
    <fill>
      <patternFill patternType="solid">
        <fgColor rgb="FFF2F2F2"/>
        <bgColor rgb="FFE8EE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9" fontId="5" fillId="4" borderId="1" xfId="0" applyNumberFormat="1" applyFont="1" applyFill="1" applyBorder="1" applyAlignment="1">
      <alignment horizontal="center" vertical="center"/>
    </xf>
    <xf numFmtId="9" fontId="8" fillId="0" borderId="0" xfId="0" applyNumberFormat="1" applyFont="1" applyAlignment="1">
      <alignment horizontal="center"/>
    </xf>
    <xf numFmtId="0" fontId="6" fillId="0" borderId="0" xfId="0" applyFont="1"/>
    <xf numFmtId="3" fontId="4" fillId="5" borderId="1" xfId="0" applyNumberFormat="1" applyFont="1" applyFill="1" applyBorder="1" applyAlignment="1">
      <alignment horizontal="center" vertical="center"/>
    </xf>
    <xf numFmtId="4" fontId="10" fillId="6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4" fontId="12" fillId="6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indent="1"/>
    </xf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14" fillId="8" borderId="1" xfId="0" applyFont="1" applyFill="1" applyBorder="1"/>
    <xf numFmtId="9" fontId="14" fillId="8" borderId="1" xfId="0" applyNumberFormat="1" applyFont="1" applyFill="1" applyBorder="1" applyAlignment="1">
      <alignment horizontal="center"/>
    </xf>
    <xf numFmtId="3" fontId="14" fillId="8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5" fillId="8" borderId="1" xfId="0" applyFont="1" applyFill="1" applyBorder="1"/>
    <xf numFmtId="4" fontId="15" fillId="8" borderId="1" xfId="0" applyNumberFormat="1" applyFont="1" applyFill="1" applyBorder="1" applyAlignment="1">
      <alignment horizontal="center"/>
    </xf>
    <xf numFmtId="9" fontId="15" fillId="8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left" vertical="top" wrapText="1"/>
    </xf>
    <xf numFmtId="0" fontId="7" fillId="0" borderId="0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wrapText="1" indent="1"/>
    </xf>
    <xf numFmtId="0" fontId="16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0B0B0"/>
      <rgbColor rgb="FF878787"/>
      <rgbColor rgb="FF9999FF"/>
      <rgbColor rgb="FFC0504D"/>
      <rgbColor rgb="FFF2F2F2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C9A227"/>
      <rgbColor rgb="FFFF6600"/>
      <rgbColor rgb="FF8064A2"/>
      <rgbColor rgb="FF969696"/>
      <rgbColor rgb="FF1B3A6B"/>
      <rgbColor rgb="FF339966"/>
      <rgbColor rgb="FF003300"/>
      <rgbColor rgb="FF333300"/>
      <rgbColor rgb="FFB222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Aşama Bazında Birim Maliyet Payı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'Özet Rapor'!$B$5</c:f>
              <c:strCache>
                <c:ptCount val="1"/>
                <c:pt idx="0">
                  <c:v>Birim Maliyet (TL/ton)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421-4D1C-A7F2-A911DAC452E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D421-4D1C-A7F2-A911DAC452E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D421-4D1C-A7F2-A911DAC452E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D421-4D1C-A7F2-A911DAC452E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21-4D1C-A7F2-A911DAC452E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21-4D1C-A7F2-A911DAC452E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21-4D1C-A7F2-A911DAC452E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21-4D1C-A7F2-A911DAC45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'Özet Rapor'!$A$6:$A$9</c:f>
              <c:strCache>
                <c:ptCount val="4"/>
                <c:pt idx="0">
                  <c:v>1. Madende Söküm (Kırıcı)</c:v>
                </c:pt>
                <c:pt idx="1">
                  <c:v>2. Ekskavatör Yükleme</c:v>
                </c:pt>
                <c:pt idx="2">
                  <c:v>3. Nakliye (3 km)</c:v>
                </c:pt>
                <c:pt idx="3">
                  <c:v>4. Kırıcı Tesis (Kırma+Eleme+Elektrik)</c:v>
                </c:pt>
              </c:strCache>
            </c:strRef>
          </c:cat>
          <c:val>
            <c:numRef>
              <c:f>'Özet Rapor'!$B$6:$B$9</c:f>
              <c:numCache>
                <c:formatCode>#,##0.00</c:formatCode>
                <c:ptCount val="4"/>
                <c:pt idx="0">
                  <c:v>25.777777777777779</c:v>
                </c:pt>
                <c:pt idx="1">
                  <c:v>11.333333333333334</c:v>
                </c:pt>
                <c:pt idx="2">
                  <c:v>8.9700000000000006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D-DC4A-8622-704692B5B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Boyut Bazında Toplam Maliyet (TL)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'Özet Rapor'!$C$25</c:f>
              <c:strCache>
                <c:ptCount val="1"/>
                <c:pt idx="0">
                  <c:v>Toplam Maliyet (TL)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'Özet Rapor'!$A$26:$A$29</c:f>
              <c:strCache>
                <c:ptCount val="4"/>
                <c:pt idx="0">
                  <c:v>0-5 mm</c:v>
                </c:pt>
                <c:pt idx="1">
                  <c:v>5-12 mm</c:v>
                </c:pt>
                <c:pt idx="2">
                  <c:v>12-19 mm</c:v>
                </c:pt>
                <c:pt idx="3">
                  <c:v>19-32 mm</c:v>
                </c:pt>
              </c:strCache>
            </c:strRef>
          </c:cat>
          <c:val>
            <c:numRef>
              <c:f>'Özet Rapor'!$C$26:$C$29</c:f>
              <c:numCache>
                <c:formatCode>#,##0</c:formatCode>
                <c:ptCount val="4"/>
                <c:pt idx="0">
                  <c:v>81121.666666666672</c:v>
                </c:pt>
                <c:pt idx="1">
                  <c:v>67601.388888888891</c:v>
                </c:pt>
                <c:pt idx="2">
                  <c:v>67601.388888888891</c:v>
                </c:pt>
                <c:pt idx="3">
                  <c:v>54081.111111111109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2-1C40-B7FC-BD542DA9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3353"/>
        <c:axId val="13355300"/>
      </c:barChart>
      <c:catAx>
        <c:axId val="4803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13355300"/>
        <c:crosses val="autoZero"/>
        <c:auto val="1"/>
        <c:lblAlgn val="ctr"/>
        <c:lblOffset val="100"/>
        <c:noMultiLvlLbl val="0"/>
      </c:catAx>
      <c:valAx>
        <c:axId val="13355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TL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4803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</xdr:colOff>
      <xdr:row>2</xdr:row>
      <xdr:rowOff>152400</xdr:rowOff>
    </xdr:from>
    <xdr:to>
      <xdr:col>16</xdr:col>
      <xdr:colOff>166440</xdr:colOff>
      <xdr:row>17</xdr:row>
      <xdr:rowOff>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22860</xdr:colOff>
      <xdr:row>16</xdr:row>
      <xdr:rowOff>165480</xdr:rowOff>
    </xdr:from>
    <xdr:to>
      <xdr:col>16</xdr:col>
      <xdr:colOff>174060</xdr:colOff>
      <xdr:row>28</xdr:row>
      <xdr:rowOff>162960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showGridLines="0" tabSelected="1" zoomScaleNormal="100" workbookViewId="0">
      <pane ySplit="3" topLeftCell="A25" activePane="bottomLeft" state="frozen"/>
      <selection pane="bottomLeft" activeCell="A41" sqref="A41:E43"/>
    </sheetView>
  </sheetViews>
  <sheetFormatPr defaultColWidth="8.6640625" defaultRowHeight="14.4" x14ac:dyDescent="0.3"/>
  <cols>
    <col min="1" max="1" width="42" customWidth="1"/>
    <col min="2" max="2" width="4" customWidth="1"/>
    <col min="3" max="3" width="16" customWidth="1"/>
    <col min="4" max="4" width="14" customWidth="1"/>
    <col min="5" max="5" width="34" customWidth="1"/>
  </cols>
  <sheetData>
    <row r="1" spans="1:5" ht="33.75" customHeight="1" x14ac:dyDescent="0.3">
      <c r="A1" s="29" t="s">
        <v>96</v>
      </c>
      <c r="B1" s="29"/>
      <c r="C1" s="29"/>
      <c r="D1" s="29"/>
      <c r="E1" s="29"/>
    </row>
    <row r="2" spans="1:5" ht="15.75" customHeight="1" x14ac:dyDescent="0.3">
      <c r="A2" s="30" t="s">
        <v>0</v>
      </c>
      <c r="B2" s="30"/>
      <c r="C2" s="30"/>
      <c r="D2" s="30"/>
      <c r="E2" s="30"/>
    </row>
    <row r="4" spans="1:5" ht="19.5" customHeight="1" x14ac:dyDescent="0.3">
      <c r="A4" s="25" t="s">
        <v>1</v>
      </c>
      <c r="B4" s="25"/>
      <c r="C4" s="25"/>
      <c r="D4" s="25"/>
      <c r="E4" s="25"/>
    </row>
    <row r="5" spans="1:5" ht="15" customHeight="1" x14ac:dyDescent="0.3">
      <c r="A5" s="26" t="s">
        <v>2</v>
      </c>
      <c r="B5" s="26"/>
      <c r="C5" s="1">
        <v>3</v>
      </c>
      <c r="D5" s="2" t="s">
        <v>3</v>
      </c>
      <c r="E5" s="3" t="s">
        <v>4</v>
      </c>
    </row>
    <row r="6" spans="1:5" ht="15" customHeight="1" x14ac:dyDescent="0.3">
      <c r="A6" s="26" t="s">
        <v>5</v>
      </c>
      <c r="B6" s="26"/>
      <c r="C6" s="1">
        <v>45</v>
      </c>
      <c r="D6" s="2" t="s">
        <v>6</v>
      </c>
    </row>
    <row r="7" spans="1:5" ht="15" customHeight="1" x14ac:dyDescent="0.3">
      <c r="A7" s="26" t="s">
        <v>7</v>
      </c>
      <c r="B7" s="26"/>
      <c r="C7" s="1">
        <v>3.2</v>
      </c>
      <c r="D7" s="2" t="s">
        <v>8</v>
      </c>
    </row>
    <row r="9" spans="1:5" ht="19.5" customHeight="1" x14ac:dyDescent="0.3">
      <c r="A9" s="25" t="s">
        <v>9</v>
      </c>
      <c r="B9" s="25"/>
      <c r="C9" s="25"/>
      <c r="D9" s="25"/>
      <c r="E9" s="25"/>
    </row>
    <row r="10" spans="1:5" ht="15" customHeight="1" x14ac:dyDescent="0.3">
      <c r="A10" s="26" t="s">
        <v>10</v>
      </c>
      <c r="B10" s="26"/>
      <c r="C10" s="1">
        <v>18</v>
      </c>
      <c r="D10" s="2" t="s">
        <v>11</v>
      </c>
    </row>
    <row r="11" spans="1:5" ht="15" customHeight="1" x14ac:dyDescent="0.3">
      <c r="A11" s="26" t="s">
        <v>12</v>
      </c>
      <c r="B11" s="26"/>
      <c r="C11" s="1">
        <v>350</v>
      </c>
      <c r="D11" s="2" t="s">
        <v>13</v>
      </c>
    </row>
    <row r="12" spans="1:5" ht="15" customHeight="1" x14ac:dyDescent="0.3">
      <c r="A12" s="26" t="s">
        <v>14</v>
      </c>
      <c r="B12" s="26"/>
      <c r="C12" s="1">
        <v>45</v>
      </c>
      <c r="D12" s="2" t="s">
        <v>15</v>
      </c>
    </row>
    <row r="14" spans="1:5" ht="19.5" customHeight="1" x14ac:dyDescent="0.3">
      <c r="A14" s="25" t="s">
        <v>16</v>
      </c>
      <c r="B14" s="25"/>
      <c r="C14" s="25"/>
      <c r="D14" s="25"/>
      <c r="E14" s="25"/>
    </row>
    <row r="15" spans="1:5" ht="15" customHeight="1" x14ac:dyDescent="0.3">
      <c r="A15" s="26" t="s">
        <v>17</v>
      </c>
      <c r="B15" s="26"/>
      <c r="C15" s="1">
        <v>16</v>
      </c>
      <c r="D15" s="2" t="s">
        <v>11</v>
      </c>
    </row>
    <row r="16" spans="1:5" ht="15" customHeight="1" x14ac:dyDescent="0.3">
      <c r="A16" s="26" t="s">
        <v>12</v>
      </c>
      <c r="B16" s="26"/>
      <c r="C16" s="1">
        <v>300</v>
      </c>
      <c r="D16" s="2" t="s">
        <v>13</v>
      </c>
    </row>
    <row r="17" spans="1:5" ht="15" customHeight="1" x14ac:dyDescent="0.3">
      <c r="A17" s="26" t="s">
        <v>18</v>
      </c>
      <c r="B17" s="26"/>
      <c r="C17" s="1">
        <v>90</v>
      </c>
      <c r="D17" s="2" t="s">
        <v>15</v>
      </c>
    </row>
    <row r="19" spans="1:5" ht="19.5" customHeight="1" x14ac:dyDescent="0.3">
      <c r="A19" s="25" t="s">
        <v>19</v>
      </c>
      <c r="B19" s="25"/>
      <c r="C19" s="25"/>
      <c r="D19" s="25"/>
      <c r="E19" s="25"/>
    </row>
    <row r="20" spans="1:5" ht="15" customHeight="1" x14ac:dyDescent="0.3">
      <c r="A20" s="26" t="s">
        <v>20</v>
      </c>
      <c r="B20" s="26"/>
      <c r="C20" s="1">
        <v>20</v>
      </c>
      <c r="D20" s="2" t="s">
        <v>21</v>
      </c>
    </row>
    <row r="21" spans="1:5" ht="15" customHeight="1" x14ac:dyDescent="0.3">
      <c r="A21" s="26" t="s">
        <v>22</v>
      </c>
      <c r="B21" s="26"/>
      <c r="C21" s="1">
        <v>0.42</v>
      </c>
      <c r="D21" s="2" t="s">
        <v>23</v>
      </c>
      <c r="E21" s="3" t="s">
        <v>24</v>
      </c>
    </row>
    <row r="22" spans="1:5" ht="15" customHeight="1" x14ac:dyDescent="0.3">
      <c r="A22" s="26" t="s">
        <v>25</v>
      </c>
      <c r="B22" s="26"/>
      <c r="C22" s="1">
        <v>30</v>
      </c>
      <c r="D22" s="2" t="s">
        <v>26</v>
      </c>
    </row>
    <row r="23" spans="1:5" ht="15" customHeight="1" x14ac:dyDescent="0.3">
      <c r="A23" s="26" t="s">
        <v>27</v>
      </c>
      <c r="B23" s="26"/>
      <c r="C23" s="1">
        <v>10</v>
      </c>
      <c r="D23" s="2" t="s">
        <v>28</v>
      </c>
    </row>
    <row r="24" spans="1:5" ht="15" customHeight="1" x14ac:dyDescent="0.3">
      <c r="A24" s="26" t="s">
        <v>29</v>
      </c>
      <c r="B24" s="26"/>
      <c r="C24" s="1">
        <v>180</v>
      </c>
      <c r="D24" s="2" t="s">
        <v>13</v>
      </c>
    </row>
    <row r="26" spans="1:5" ht="19.5" customHeight="1" x14ac:dyDescent="0.3">
      <c r="A26" s="25" t="s">
        <v>30</v>
      </c>
      <c r="B26" s="25"/>
      <c r="C26" s="25"/>
      <c r="D26" s="25"/>
      <c r="E26" s="25"/>
    </row>
    <row r="27" spans="1:5" ht="15" customHeight="1" x14ac:dyDescent="0.3">
      <c r="A27" s="26" t="s">
        <v>31</v>
      </c>
      <c r="B27" s="26"/>
      <c r="C27" s="1">
        <v>400</v>
      </c>
      <c r="D27" s="2" t="s">
        <v>32</v>
      </c>
      <c r="E27" s="3" t="s">
        <v>33</v>
      </c>
    </row>
    <row r="28" spans="1:5" ht="15" customHeight="1" x14ac:dyDescent="0.3">
      <c r="A28" s="26" t="s">
        <v>34</v>
      </c>
      <c r="B28" s="26"/>
      <c r="C28" s="4">
        <v>0.75</v>
      </c>
      <c r="D28" s="2" t="s">
        <v>35</v>
      </c>
    </row>
    <row r="29" spans="1:5" ht="15" customHeight="1" x14ac:dyDescent="0.3">
      <c r="A29" s="26" t="s">
        <v>36</v>
      </c>
      <c r="B29" s="26"/>
      <c r="C29" s="1">
        <v>120</v>
      </c>
      <c r="D29" s="2" t="s">
        <v>15</v>
      </c>
    </row>
    <row r="31" spans="1:5" ht="19.5" customHeight="1" x14ac:dyDescent="0.3">
      <c r="A31" s="25" t="s">
        <v>37</v>
      </c>
      <c r="B31" s="25"/>
      <c r="C31" s="25"/>
      <c r="D31" s="25"/>
      <c r="E31" s="25"/>
    </row>
    <row r="32" spans="1:5" ht="15" customHeight="1" x14ac:dyDescent="0.3">
      <c r="A32" s="26" t="s">
        <v>38</v>
      </c>
      <c r="B32" s="26"/>
      <c r="C32" s="4">
        <v>0.3</v>
      </c>
      <c r="D32" s="2" t="s">
        <v>35</v>
      </c>
    </row>
    <row r="33" spans="1:5" ht="15" customHeight="1" x14ac:dyDescent="0.3">
      <c r="A33" s="26" t="s">
        <v>39</v>
      </c>
      <c r="B33" s="26"/>
      <c r="C33" s="4">
        <v>0.25</v>
      </c>
      <c r="D33" s="2" t="s">
        <v>35</v>
      </c>
    </row>
    <row r="34" spans="1:5" ht="15" customHeight="1" x14ac:dyDescent="0.3">
      <c r="A34" s="26" t="s">
        <v>40</v>
      </c>
      <c r="B34" s="26"/>
      <c r="C34" s="4">
        <v>0.25</v>
      </c>
      <c r="D34" s="2" t="s">
        <v>35</v>
      </c>
    </row>
    <row r="35" spans="1:5" ht="15" customHeight="1" x14ac:dyDescent="0.3">
      <c r="A35" s="26" t="s">
        <v>41</v>
      </c>
      <c r="B35" s="26"/>
      <c r="C35" s="4">
        <v>0.2</v>
      </c>
      <c r="D35" s="2" t="s">
        <v>35</v>
      </c>
    </row>
    <row r="36" spans="1:5" x14ac:dyDescent="0.3">
      <c r="A36" s="28" t="s">
        <v>42</v>
      </c>
      <c r="B36" s="28"/>
      <c r="C36" s="5">
        <f>SUM(C32:C35)</f>
        <v>1</v>
      </c>
      <c r="D36" s="6" t="s">
        <v>43</v>
      </c>
    </row>
    <row r="38" spans="1:5" ht="19.5" customHeight="1" x14ac:dyDescent="0.3">
      <c r="A38" s="25" t="s">
        <v>44</v>
      </c>
      <c r="B38" s="25"/>
      <c r="C38" s="25"/>
      <c r="D38" s="25"/>
      <c r="E38" s="25"/>
    </row>
    <row r="39" spans="1:5" ht="15" customHeight="1" x14ac:dyDescent="0.3">
      <c r="A39" s="26" t="s">
        <v>45</v>
      </c>
      <c r="B39" s="26"/>
      <c r="C39" s="1">
        <v>5000</v>
      </c>
      <c r="D39" s="2" t="s">
        <v>46</v>
      </c>
      <c r="E39" s="3" t="s">
        <v>47</v>
      </c>
    </row>
    <row r="41" spans="1:5" ht="15" customHeight="1" x14ac:dyDescent="0.3">
      <c r="A41" s="34" t="s">
        <v>48</v>
      </c>
      <c r="B41" s="34"/>
      <c r="C41" s="34"/>
      <c r="D41" s="34"/>
      <c r="E41" s="34"/>
    </row>
    <row r="42" spans="1:5" x14ac:dyDescent="0.3">
      <c r="A42" s="34"/>
      <c r="B42" s="34"/>
      <c r="C42" s="34"/>
      <c r="D42" s="34"/>
      <c r="E42" s="34"/>
    </row>
    <row r="43" spans="1:5" x14ac:dyDescent="0.3">
      <c r="A43" s="34"/>
      <c r="B43" s="34"/>
      <c r="C43" s="34"/>
      <c r="D43" s="34"/>
      <c r="E43" s="34"/>
    </row>
  </sheetData>
  <mergeCells count="33">
    <mergeCell ref="A1:E1"/>
    <mergeCell ref="A2:E2"/>
    <mergeCell ref="A4:E4"/>
    <mergeCell ref="A5:B5"/>
    <mergeCell ref="A6:B6"/>
    <mergeCell ref="A7:B7"/>
    <mergeCell ref="A9:E9"/>
    <mergeCell ref="A10:B10"/>
    <mergeCell ref="A11:B11"/>
    <mergeCell ref="A12:B12"/>
    <mergeCell ref="A14:E14"/>
    <mergeCell ref="A15:B15"/>
    <mergeCell ref="A16:B16"/>
    <mergeCell ref="A17:B17"/>
    <mergeCell ref="A19:E19"/>
    <mergeCell ref="A20:B20"/>
    <mergeCell ref="A21:B21"/>
    <mergeCell ref="A22:B22"/>
    <mergeCell ref="A23:B23"/>
    <mergeCell ref="A24:B24"/>
    <mergeCell ref="A26:E26"/>
    <mergeCell ref="A27:B27"/>
    <mergeCell ref="A28:B28"/>
    <mergeCell ref="A29:B29"/>
    <mergeCell ref="A31:E31"/>
    <mergeCell ref="A38:E38"/>
    <mergeCell ref="A39:B39"/>
    <mergeCell ref="A41:E43"/>
    <mergeCell ref="A32:B32"/>
    <mergeCell ref="A33:B33"/>
    <mergeCell ref="A34:B34"/>
    <mergeCell ref="A35:B35"/>
    <mergeCell ref="A36:B36"/>
  </mergeCells>
  <pageMargins left="0.75" right="0.75" top="1" bottom="1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"/>
  <sheetViews>
    <sheetView showGridLines="0"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46" customWidth="1"/>
    <col min="2" max="2" width="5.77734375" bestFit="1" customWidth="1"/>
    <col min="3" max="3" width="16" customWidth="1"/>
    <col min="4" max="4" width="14" customWidth="1"/>
    <col min="5" max="5" width="30" customWidth="1"/>
  </cols>
  <sheetData>
    <row r="1" spans="1:5" ht="33.75" customHeight="1" x14ac:dyDescent="0.3">
      <c r="A1" s="29" t="s">
        <v>49</v>
      </c>
      <c r="B1" s="29"/>
      <c r="C1" s="29"/>
      <c r="D1" s="29"/>
      <c r="E1" s="29"/>
    </row>
    <row r="2" spans="1:5" ht="15.75" customHeight="1" x14ac:dyDescent="0.3">
      <c r="A2" s="30" t="s">
        <v>50</v>
      </c>
      <c r="B2" s="30"/>
      <c r="C2" s="30"/>
      <c r="D2" s="30"/>
      <c r="E2" s="30"/>
    </row>
    <row r="4" spans="1:5" ht="19.5" customHeight="1" x14ac:dyDescent="0.3">
      <c r="A4" s="25" t="s">
        <v>51</v>
      </c>
      <c r="B4" s="25"/>
      <c r="C4" s="25"/>
      <c r="D4" s="25"/>
      <c r="E4" s="25"/>
    </row>
    <row r="5" spans="1:5" ht="15" customHeight="1" x14ac:dyDescent="0.3">
      <c r="A5" s="26" t="s">
        <v>52</v>
      </c>
      <c r="B5" s="26"/>
      <c r="C5" s="7">
        <f>Parametreler!$C$10*Parametreler!$C$6</f>
        <v>810</v>
      </c>
      <c r="D5" s="2" t="s">
        <v>13</v>
      </c>
    </row>
    <row r="6" spans="1:5" ht="15" customHeight="1" x14ac:dyDescent="0.3">
      <c r="A6" s="26" t="s">
        <v>53</v>
      </c>
      <c r="B6" s="26"/>
      <c r="C6" s="7">
        <f>C5+Parametreler!$C$11</f>
        <v>1160</v>
      </c>
      <c r="D6" s="2" t="s">
        <v>13</v>
      </c>
    </row>
    <row r="7" spans="1:5" ht="15" customHeight="1" x14ac:dyDescent="0.3">
      <c r="A7" s="31" t="s">
        <v>54</v>
      </c>
      <c r="B7" s="31"/>
      <c r="C7" s="8">
        <f>C6/Parametreler!$C$12</f>
        <v>25.777777777777779</v>
      </c>
      <c r="D7" s="2" t="s">
        <v>55</v>
      </c>
    </row>
    <row r="9" spans="1:5" ht="19.5" customHeight="1" x14ac:dyDescent="0.3">
      <c r="A9" s="25" t="s">
        <v>56</v>
      </c>
      <c r="B9" s="25"/>
      <c r="C9" s="25"/>
      <c r="D9" s="25"/>
      <c r="E9" s="25"/>
    </row>
    <row r="10" spans="1:5" ht="15" customHeight="1" x14ac:dyDescent="0.3">
      <c r="A10" s="26" t="s">
        <v>52</v>
      </c>
      <c r="B10" s="26"/>
      <c r="C10" s="7">
        <f>Parametreler!$C$15*Parametreler!$C$6</f>
        <v>720</v>
      </c>
      <c r="D10" s="2" t="s">
        <v>13</v>
      </c>
    </row>
    <row r="11" spans="1:5" ht="15" customHeight="1" x14ac:dyDescent="0.3">
      <c r="A11" s="26" t="s">
        <v>53</v>
      </c>
      <c r="B11" s="26"/>
      <c r="C11" s="7">
        <f>C10+Parametreler!$C$16</f>
        <v>1020</v>
      </c>
      <c r="D11" s="2" t="s">
        <v>13</v>
      </c>
    </row>
    <row r="12" spans="1:5" ht="15" customHeight="1" x14ac:dyDescent="0.3">
      <c r="A12" s="31" t="s">
        <v>57</v>
      </c>
      <c r="B12" s="31"/>
      <c r="C12" s="8">
        <f>C11/Parametreler!$C$17</f>
        <v>11.333333333333334</v>
      </c>
      <c r="D12" s="2" t="s">
        <v>55</v>
      </c>
    </row>
    <row r="14" spans="1:5" ht="19.5" customHeight="1" x14ac:dyDescent="0.3">
      <c r="A14" s="25" t="s">
        <v>58</v>
      </c>
      <c r="B14" s="25"/>
      <c r="C14" s="25"/>
      <c r="D14" s="25"/>
      <c r="E14" s="25"/>
    </row>
    <row r="15" spans="1:5" ht="15" customHeight="1" x14ac:dyDescent="0.3">
      <c r="A15" s="26" t="s">
        <v>59</v>
      </c>
      <c r="B15" s="26"/>
      <c r="C15" s="9">
        <f>2*Parametreler!$C$5</f>
        <v>6</v>
      </c>
      <c r="D15" s="2" t="s">
        <v>3</v>
      </c>
    </row>
    <row r="16" spans="1:5" ht="15" customHeight="1" x14ac:dyDescent="0.3">
      <c r="A16" s="26" t="s">
        <v>60</v>
      </c>
      <c r="B16" s="26"/>
      <c r="C16" s="7">
        <f>Parametreler!$C$21*C15*Parametreler!$C$6</f>
        <v>113.4</v>
      </c>
      <c r="D16" s="2" t="s">
        <v>61</v>
      </c>
    </row>
    <row r="17" spans="1:5" ht="15" customHeight="1" x14ac:dyDescent="0.3">
      <c r="A17" s="26" t="s">
        <v>62</v>
      </c>
      <c r="B17" s="26"/>
      <c r="C17" s="10">
        <f>(C15/Parametreler!$C$22)+(Parametreler!$C$23/60)</f>
        <v>0.3666666666666667</v>
      </c>
      <c r="D17" s="2" t="s">
        <v>63</v>
      </c>
    </row>
    <row r="18" spans="1:5" ht="15" customHeight="1" x14ac:dyDescent="0.3">
      <c r="A18" s="26" t="s">
        <v>64</v>
      </c>
      <c r="B18" s="26"/>
      <c r="C18" s="7">
        <f>Parametreler!$C$24*C17</f>
        <v>66</v>
      </c>
      <c r="D18" s="2" t="s">
        <v>61</v>
      </c>
    </row>
    <row r="19" spans="1:5" ht="15" customHeight="1" x14ac:dyDescent="0.3">
      <c r="A19" s="26" t="s">
        <v>65</v>
      </c>
      <c r="B19" s="26"/>
      <c r="C19" s="7">
        <f>C16+C18</f>
        <v>179.4</v>
      </c>
      <c r="D19" s="2" t="s">
        <v>61</v>
      </c>
    </row>
    <row r="20" spans="1:5" ht="15" customHeight="1" x14ac:dyDescent="0.3">
      <c r="A20" s="31" t="s">
        <v>66</v>
      </c>
      <c r="B20" s="31"/>
      <c r="C20" s="8">
        <f>C19/Parametreler!$C$20</f>
        <v>8.9700000000000006</v>
      </c>
      <c r="D20" s="2" t="s">
        <v>55</v>
      </c>
    </row>
    <row r="22" spans="1:5" ht="19.5" customHeight="1" x14ac:dyDescent="0.3">
      <c r="A22" s="25" t="s">
        <v>67</v>
      </c>
      <c r="B22" s="25"/>
      <c r="C22" s="25"/>
      <c r="D22" s="25"/>
      <c r="E22" s="25"/>
    </row>
    <row r="23" spans="1:5" ht="15" customHeight="1" x14ac:dyDescent="0.3">
      <c r="A23" s="26" t="s">
        <v>68</v>
      </c>
      <c r="B23" s="26"/>
      <c r="C23" s="7">
        <f>Parametreler!$C$27*Parametreler!$C$28</f>
        <v>300</v>
      </c>
      <c r="D23" s="2" t="s">
        <v>69</v>
      </c>
    </row>
    <row r="24" spans="1:5" ht="15" customHeight="1" x14ac:dyDescent="0.3">
      <c r="A24" s="26" t="s">
        <v>70</v>
      </c>
      <c r="B24" s="26"/>
      <c r="C24" s="7">
        <f>C23*Parametreler!$C$7</f>
        <v>960</v>
      </c>
      <c r="D24" s="2" t="s">
        <v>13</v>
      </c>
    </row>
    <row r="25" spans="1:5" ht="15" customHeight="1" x14ac:dyDescent="0.3">
      <c r="A25" s="31" t="s">
        <v>71</v>
      </c>
      <c r="B25" s="31"/>
      <c r="C25" s="8">
        <f>C24/Parametreler!$C$29</f>
        <v>8</v>
      </c>
      <c r="D25" s="2" t="s">
        <v>55</v>
      </c>
    </row>
    <row r="28" spans="1:5" ht="19.5" customHeight="1" x14ac:dyDescent="0.3">
      <c r="A28" s="32" t="s">
        <v>72</v>
      </c>
      <c r="B28" s="32"/>
      <c r="C28" s="32"/>
      <c r="D28" s="32"/>
      <c r="E28" s="32"/>
    </row>
    <row r="29" spans="1:5" ht="21.75" customHeight="1" x14ac:dyDescent="0.3">
      <c r="A29" s="33" t="s">
        <v>73</v>
      </c>
      <c r="B29" s="33"/>
      <c r="C29" s="11">
        <f>C7+C12+C20+C25</f>
        <v>54.081111111111113</v>
      </c>
      <c r="D29" s="2" t="s">
        <v>55</v>
      </c>
    </row>
    <row r="31" spans="1:5" ht="19.5" customHeight="1" x14ac:dyDescent="0.3">
      <c r="A31" s="25" t="s">
        <v>74</v>
      </c>
      <c r="B31" s="25"/>
      <c r="C31" s="25"/>
      <c r="D31" s="25"/>
      <c r="E31" s="25"/>
    </row>
    <row r="32" spans="1:5" ht="24" customHeight="1" x14ac:dyDescent="0.3">
      <c r="A32" s="12" t="s">
        <v>75</v>
      </c>
      <c r="B32" s="12" t="s">
        <v>76</v>
      </c>
      <c r="C32" s="12" t="s">
        <v>77</v>
      </c>
      <c r="D32" s="12" t="s">
        <v>78</v>
      </c>
      <c r="E32" s="12" t="s">
        <v>79</v>
      </c>
    </row>
    <row r="33" spans="1:5" x14ac:dyDescent="0.3">
      <c r="A33" s="13" t="s">
        <v>80</v>
      </c>
      <c r="B33" s="14">
        <f>Parametreler!$C$32</f>
        <v>0.3</v>
      </c>
      <c r="C33" s="15">
        <f>Parametreler!$C$39*B33</f>
        <v>1500</v>
      </c>
      <c r="D33" s="16">
        <f>C29</f>
        <v>54.081111111111113</v>
      </c>
      <c r="E33" s="15">
        <f>C33*D33</f>
        <v>81121.666666666672</v>
      </c>
    </row>
    <row r="34" spans="1:5" x14ac:dyDescent="0.3">
      <c r="A34" s="13" t="s">
        <v>81</v>
      </c>
      <c r="B34" s="14">
        <f>Parametreler!$C$33</f>
        <v>0.25</v>
      </c>
      <c r="C34" s="15">
        <f>Parametreler!$C$39*B34</f>
        <v>1250</v>
      </c>
      <c r="D34" s="16">
        <f>C29</f>
        <v>54.081111111111113</v>
      </c>
      <c r="E34" s="15">
        <f>C34*D34</f>
        <v>67601.388888888891</v>
      </c>
    </row>
    <row r="35" spans="1:5" x14ac:dyDescent="0.3">
      <c r="A35" s="13" t="s">
        <v>82</v>
      </c>
      <c r="B35" s="14">
        <f>Parametreler!$C$34</f>
        <v>0.25</v>
      </c>
      <c r="C35" s="15">
        <f>Parametreler!$C$39*B35</f>
        <v>1250</v>
      </c>
      <c r="D35" s="16">
        <f>C29</f>
        <v>54.081111111111113</v>
      </c>
      <c r="E35" s="15">
        <f>C35*D35</f>
        <v>67601.388888888891</v>
      </c>
    </row>
    <row r="36" spans="1:5" x14ac:dyDescent="0.3">
      <c r="A36" s="13" t="s">
        <v>83</v>
      </c>
      <c r="B36" s="14">
        <f>Parametreler!$C$35</f>
        <v>0.2</v>
      </c>
      <c r="C36" s="15">
        <f>Parametreler!$C$39*B36</f>
        <v>1000</v>
      </c>
      <c r="D36" s="16">
        <f>C29</f>
        <v>54.081111111111113</v>
      </c>
      <c r="E36" s="15">
        <f>C36*D36</f>
        <v>54081.111111111109</v>
      </c>
    </row>
    <row r="37" spans="1:5" x14ac:dyDescent="0.3">
      <c r="A37" s="17" t="s">
        <v>84</v>
      </c>
      <c r="B37" s="18">
        <f>SUM(B33:B36)</f>
        <v>1</v>
      </c>
      <c r="C37" s="19">
        <f>SUM(C33:C36)</f>
        <v>5000</v>
      </c>
      <c r="D37" s="20"/>
      <c r="E37" s="19">
        <f>SUM(E33:E36)</f>
        <v>270405.55555555556</v>
      </c>
    </row>
    <row r="39" spans="1:5" ht="15" customHeight="1" x14ac:dyDescent="0.3">
      <c r="A39" s="27" t="s">
        <v>85</v>
      </c>
      <c r="B39" s="27"/>
      <c r="C39" s="27"/>
      <c r="D39" s="27"/>
      <c r="E39" s="27"/>
    </row>
    <row r="40" spans="1:5" x14ac:dyDescent="0.3">
      <c r="A40" s="27"/>
      <c r="B40" s="27"/>
      <c r="C40" s="27"/>
      <c r="D40" s="27"/>
      <c r="E40" s="27"/>
    </row>
    <row r="41" spans="1:5" x14ac:dyDescent="0.3">
      <c r="A41" s="27"/>
      <c r="B41" s="27"/>
      <c r="C41" s="27"/>
      <c r="D41" s="27"/>
      <c r="E41" s="27"/>
    </row>
  </sheetData>
  <mergeCells count="25">
    <mergeCell ref="A1:E1"/>
    <mergeCell ref="A2:E2"/>
    <mergeCell ref="A4:E4"/>
    <mergeCell ref="A5:B5"/>
    <mergeCell ref="A6:B6"/>
    <mergeCell ref="A7:B7"/>
    <mergeCell ref="A9:E9"/>
    <mergeCell ref="A10:B10"/>
    <mergeCell ref="A11:B11"/>
    <mergeCell ref="A12:B12"/>
    <mergeCell ref="A14:E14"/>
    <mergeCell ref="A15:B15"/>
    <mergeCell ref="A16:B16"/>
    <mergeCell ref="A17:B17"/>
    <mergeCell ref="A18:B18"/>
    <mergeCell ref="A19:B19"/>
    <mergeCell ref="A20:B20"/>
    <mergeCell ref="A22:E22"/>
    <mergeCell ref="A23:B23"/>
    <mergeCell ref="A24:B24"/>
    <mergeCell ref="A25:B25"/>
    <mergeCell ref="A28:E28"/>
    <mergeCell ref="A29:B29"/>
    <mergeCell ref="A31:E31"/>
    <mergeCell ref="A39:E41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showGridLines="0" zoomScaleNormal="100" workbookViewId="0">
      <pane ySplit="3" topLeftCell="A4" activePane="bottomLeft" state="frozen"/>
      <selection pane="bottomLeft" sqref="A1:H1"/>
    </sheetView>
  </sheetViews>
  <sheetFormatPr defaultColWidth="8.6640625" defaultRowHeight="14.4" x14ac:dyDescent="0.3"/>
  <cols>
    <col min="1" max="1" width="30" customWidth="1"/>
    <col min="2" max="2" width="14" customWidth="1"/>
    <col min="3" max="3" width="7.109375" customWidth="1"/>
    <col min="4" max="8" width="4" customWidth="1"/>
  </cols>
  <sheetData>
    <row r="1" spans="1:8" ht="33.75" customHeight="1" x14ac:dyDescent="0.3">
      <c r="A1" s="29" t="s">
        <v>86</v>
      </c>
      <c r="B1" s="29"/>
      <c r="C1" s="29"/>
      <c r="D1" s="29"/>
      <c r="E1" s="29"/>
      <c r="F1" s="29"/>
      <c r="G1" s="29"/>
      <c r="H1" s="29"/>
    </row>
    <row r="2" spans="1:8" ht="15.75" customHeight="1" x14ac:dyDescent="0.3">
      <c r="A2" s="30" t="s">
        <v>87</v>
      </c>
      <c r="B2" s="30"/>
      <c r="C2" s="30"/>
      <c r="D2" s="30"/>
      <c r="E2" s="30"/>
      <c r="F2" s="30"/>
      <c r="G2" s="30"/>
      <c r="H2" s="30"/>
    </row>
    <row r="4" spans="1:8" ht="19.5" customHeight="1" x14ac:dyDescent="0.3">
      <c r="A4" s="25" t="s">
        <v>88</v>
      </c>
      <c r="B4" s="25"/>
      <c r="C4" s="25"/>
      <c r="D4" s="25"/>
      <c r="E4" s="25"/>
      <c r="F4" s="25"/>
      <c r="G4" s="25"/>
      <c r="H4" s="25"/>
    </row>
    <row r="5" spans="1:8" ht="26.4" x14ac:dyDescent="0.3">
      <c r="A5" s="12" t="s">
        <v>89</v>
      </c>
      <c r="B5" s="12" t="s">
        <v>78</v>
      </c>
      <c r="C5" s="12" t="s">
        <v>90</v>
      </c>
    </row>
    <row r="6" spans="1:8" x14ac:dyDescent="0.3">
      <c r="A6" s="13" t="s">
        <v>91</v>
      </c>
      <c r="B6" s="16">
        <f>'Maliyet Hesaplama'!C7</f>
        <v>25.777777777777779</v>
      </c>
      <c r="C6" s="14">
        <f>B6/'Maliyet Hesaplama'!C29</f>
        <v>0.47665029893370042</v>
      </c>
    </row>
    <row r="7" spans="1:8" x14ac:dyDescent="0.3">
      <c r="A7" s="13" t="s">
        <v>92</v>
      </c>
      <c r="B7" s="16">
        <f>'Maliyet Hesaplama'!C12</f>
        <v>11.333333333333334</v>
      </c>
      <c r="C7" s="14">
        <f>B7/'Maliyet Hesaplama'!C29</f>
        <v>0.20956176935878207</v>
      </c>
    </row>
    <row r="8" spans="1:8" x14ac:dyDescent="0.3">
      <c r="A8" s="13" t="s">
        <v>93</v>
      </c>
      <c r="B8" s="16">
        <f>'Maliyet Hesaplama'!C20</f>
        <v>8.9700000000000006</v>
      </c>
      <c r="C8" s="14">
        <f>B8/'Maliyet Hesaplama'!C29</f>
        <v>0.1658619768660243</v>
      </c>
    </row>
    <row r="9" spans="1:8" x14ac:dyDescent="0.3">
      <c r="A9" s="13" t="s">
        <v>94</v>
      </c>
      <c r="B9" s="16">
        <f>'Maliyet Hesaplama'!C25</f>
        <v>8</v>
      </c>
      <c r="C9" s="14">
        <f>B9/'Maliyet Hesaplama'!C29</f>
        <v>0.14792595484149323</v>
      </c>
    </row>
    <row r="10" spans="1:8" x14ac:dyDescent="0.3">
      <c r="A10" s="21" t="s">
        <v>84</v>
      </c>
      <c r="B10" s="22">
        <f>SUM(B6:B9)</f>
        <v>54.081111111111113</v>
      </c>
      <c r="C10" s="23">
        <f>SUM(C6:C9)</f>
        <v>1</v>
      </c>
    </row>
    <row r="24" spans="1:8" ht="19.5" customHeight="1" x14ac:dyDescent="0.3">
      <c r="A24" s="25" t="s">
        <v>95</v>
      </c>
      <c r="B24" s="25"/>
      <c r="C24" s="25"/>
      <c r="D24" s="25"/>
      <c r="E24" s="25"/>
      <c r="F24" s="25"/>
      <c r="G24" s="25"/>
      <c r="H24" s="25"/>
    </row>
    <row r="25" spans="1:8" ht="52.8" x14ac:dyDescent="0.3">
      <c r="A25" s="12" t="s">
        <v>75</v>
      </c>
      <c r="B25" s="12" t="s">
        <v>77</v>
      </c>
      <c r="C25" s="12" t="s">
        <v>79</v>
      </c>
    </row>
    <row r="26" spans="1:8" x14ac:dyDescent="0.3">
      <c r="A26" s="24" t="str">
        <f>'Maliyet Hesaplama'!A33</f>
        <v>0-5 mm</v>
      </c>
      <c r="B26" s="15">
        <f>'Maliyet Hesaplama'!C33</f>
        <v>1500</v>
      </c>
      <c r="C26" s="15">
        <f>'Maliyet Hesaplama'!E33</f>
        <v>81121.666666666672</v>
      </c>
    </row>
    <row r="27" spans="1:8" x14ac:dyDescent="0.3">
      <c r="A27" s="24" t="str">
        <f>'Maliyet Hesaplama'!A34</f>
        <v>5-12 mm</v>
      </c>
      <c r="B27" s="15">
        <f>'Maliyet Hesaplama'!C34</f>
        <v>1250</v>
      </c>
      <c r="C27" s="15">
        <f>'Maliyet Hesaplama'!E34</f>
        <v>67601.388888888891</v>
      </c>
    </row>
    <row r="28" spans="1:8" x14ac:dyDescent="0.3">
      <c r="A28" s="24" t="str">
        <f>'Maliyet Hesaplama'!A35</f>
        <v>12-19 mm</v>
      </c>
      <c r="B28" s="15">
        <f>'Maliyet Hesaplama'!C35</f>
        <v>1250</v>
      </c>
      <c r="C28" s="15">
        <f>'Maliyet Hesaplama'!E35</f>
        <v>67601.388888888891</v>
      </c>
    </row>
    <row r="29" spans="1:8" x14ac:dyDescent="0.3">
      <c r="A29" s="24" t="str">
        <f>'Maliyet Hesaplama'!A36</f>
        <v>19-32 mm</v>
      </c>
      <c r="B29" s="15">
        <f>'Maliyet Hesaplama'!C36</f>
        <v>1000</v>
      </c>
      <c r="C29" s="15">
        <f>'Maliyet Hesaplama'!E36</f>
        <v>54081.111111111109</v>
      </c>
    </row>
  </sheetData>
  <mergeCells count="4">
    <mergeCell ref="A1:H1"/>
    <mergeCell ref="A2:H2"/>
    <mergeCell ref="A4:H4"/>
    <mergeCell ref="A24:H24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Parametreler</vt:lpstr>
      <vt:lpstr>Maliyet Hesaplama</vt:lpstr>
      <vt:lpstr>Özet Rapor</vt:lpstr>
      <vt:lpstr>'Maliyet Hesaplama'!Yazdırma_Alanı</vt:lpstr>
      <vt:lpstr>'Özet Rapor'!Yazdırma_Alanı</vt:lpstr>
      <vt:lpstr>Parametreler!Yazdırma_Alanı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1</cp:revision>
  <dcterms:created xsi:type="dcterms:W3CDTF">2026-07-02T05:59:13Z</dcterms:created>
  <dcterms:modified xsi:type="dcterms:W3CDTF">2026-07-13T05:40:25Z</dcterms:modified>
  <cp:category/>
  <cp:contentStatus/>
</cp:coreProperties>
</file>