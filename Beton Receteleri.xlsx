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3040" windowHeight="9204" tabRatio="500" activeTab="3"/>
  </bookViews>
  <sheets>
    <sheet name="Ana Panel" sheetId="1" r:id="rId1"/>
    <sheet name="Receteler" sheetId="2" r:id="rId2"/>
    <sheet name="Uretim Hesaplama" sheetId="3" r:id="rId3"/>
    <sheet name="Malzeme Stok" sheetId="4" r:id="rId4"/>
  </sheets>
  <definedNames>
    <definedName name="BetonSiniflari">'Receteler'!$A$5:$A$24</definedName>
    <definedName name="StandartSiniflar">'Receteler'!$O$5:$O$23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4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D10" i="4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D9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D8" i="4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D7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D6" i="4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D5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K9" i="2"/>
  <c r="L9" i="2"/>
  <c r="J9" i="2"/>
  <c r="I9" i="2"/>
  <c r="K8" i="2"/>
  <c r="L8" i="2"/>
  <c r="J8" i="2"/>
  <c r="I8" i="2"/>
  <c r="K7" i="2"/>
  <c r="L7" i="2"/>
  <c r="J7" i="2"/>
  <c r="I7" i="2"/>
  <c r="K6" i="2"/>
  <c r="L6" i="2"/>
  <c r="J6" i="2"/>
  <c r="I6" i="2"/>
  <c r="K5" i="2"/>
  <c r="L5" i="2"/>
  <c r="J5" i="2"/>
  <c r="I5" i="2"/>
  <c r="E24" i="1"/>
  <c r="C24" i="1"/>
  <c r="B24" i="1"/>
  <c r="E23" i="1"/>
  <c r="C23" i="1"/>
  <c r="B23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D10" i="1"/>
  <c r="F5" i="1"/>
  <c r="D5" i="1"/>
  <c r="B5" i="1"/>
  <c r="A3" i="1"/>
  <c r="E11" i="4" l="1"/>
  <c r="F11" i="4" s="1"/>
  <c r="H11" i="4" s="1"/>
  <c r="F24" i="1" s="1"/>
  <c r="E8" i="4"/>
  <c r="F8" i="4" s="1"/>
  <c r="D21" i="1" s="1"/>
  <c r="E6" i="4"/>
  <c r="F6" i="4" s="1"/>
  <c r="D19" i="1" s="1"/>
  <c r="E5" i="4"/>
  <c r="F5" i="4" s="1"/>
  <c r="H5" i="4" s="1"/>
  <c r="E10" i="4"/>
  <c r="F10" i="4" s="1"/>
  <c r="D23" i="1" s="1"/>
  <c r="E7" i="4"/>
  <c r="F7" i="4" s="1"/>
  <c r="H7" i="4" s="1"/>
  <c r="F20" i="1" s="1"/>
  <c r="E9" i="4"/>
  <c r="F9" i="4" s="1"/>
  <c r="D22" i="1" s="1"/>
  <c r="H10" i="4" l="1"/>
  <c r="F23" i="1" s="1"/>
  <c r="D24" i="1"/>
  <c r="D18" i="1"/>
  <c r="H9" i="4"/>
  <c r="F22" i="1" s="1"/>
  <c r="H8" i="4"/>
  <c r="F21" i="1" s="1"/>
  <c r="D20" i="1"/>
  <c r="H6" i="4"/>
  <c r="F19" i="1" s="1"/>
  <c r="B10" i="1"/>
  <c r="F18" i="1"/>
</calcChain>
</file>

<file path=xl/sharedStrings.xml><?xml version="1.0" encoding="utf-8"?>
<sst xmlns="http://schemas.openxmlformats.org/spreadsheetml/2006/main" count="93" uniqueCount="68">
  <si>
    <t>BETON SANTRALI - RECETE, URETIM VE STOK YONETIM PANELI</t>
  </si>
  <si>
    <t>TANIMLI RECETE SAYISI</t>
  </si>
  <si>
    <t>BU AY URETIM (m3)</t>
  </si>
  <si>
    <t>TOPLAM PARTI SAYISI</t>
  </si>
  <si>
    <t>KRITIK SEVIYEDE MALZEME</t>
  </si>
  <si>
    <t>TOPLAM URETIM (m3, tum kayitlar)</t>
  </si>
  <si>
    <t>MALZEME STOK OZETI</t>
  </si>
  <si>
    <t>Malzeme</t>
  </si>
  <si>
    <t>Birim</t>
  </si>
  <si>
    <t>Guncel Stok</t>
  </si>
  <si>
    <t>Kritik Seviye</t>
  </si>
  <si>
    <t>Durum</t>
  </si>
  <si>
    <t>BETON RECETELERI (1 m3 ICIN)</t>
  </si>
  <si>
    <t>Beton Sinifi</t>
  </si>
  <si>
    <t>Cimento (kg)</t>
  </si>
  <si>
    <t>Kum (kg)</t>
  </si>
  <si>
    <t>Micir 0-5mm (kg)</t>
  </si>
  <si>
    <t>Micir 5-12mm (kg)</t>
  </si>
  <si>
    <t>Micir 12-19mm (kg)</t>
  </si>
  <si>
    <t>Su (lt)</t>
  </si>
  <si>
    <t>Katki (kg)</t>
  </si>
  <si>
    <t>Su/Cimento Orani</t>
  </si>
  <si>
    <t>Toplam Agrega (kg)</t>
  </si>
  <si>
    <t>Toplam Karisim - 1 m3 (kg)</t>
  </si>
  <si>
    <t>Yogunluk Kontrolu</t>
  </si>
  <si>
    <t>Aciklama</t>
  </si>
  <si>
    <t>Standart Siniflar</t>
  </si>
  <si>
    <t>C20</t>
  </si>
  <si>
    <t>Standart tasiyici beton</t>
  </si>
  <si>
    <t>C16</t>
  </si>
  <si>
    <t>C25</t>
  </si>
  <si>
    <t>C30</t>
  </si>
  <si>
    <t>Yuksek dayanim</t>
  </si>
  <si>
    <t>C35</t>
  </si>
  <si>
    <t>Yuksek dayanim / ozel imalat</t>
  </si>
  <si>
    <t>Grobeton</t>
  </si>
  <si>
    <t>Tesviye / dolgu betonu (C8/10)</t>
  </si>
  <si>
    <t>C40</t>
  </si>
  <si>
    <t>C45</t>
  </si>
  <si>
    <t>C50</t>
  </si>
  <si>
    <t>Yeni sinif icin bu listeye ekleyin,
sonra Beton Sinifi hucresine secin.</t>
  </si>
  <si>
    <t>NOT: Yukaridaki degerler 1 m3 beton icin baslangic/referans karisim degerleridir. Saha ve laboratuvar sonuclarina gore (agrega nem/granulometri, cimento tipi vb.) guncelleyiniz. Yogunluk Kontrolu sutunu, toplam karisimin normal beton yogunluk araligi olan 2300-2500 kg/m3 icinde olup olmadigini gosterir. Yeni beton sinifi eklemek icin once O sutunundaki Standart Siniflar listesine ekleyin, sonra bos bir satirda Beton Sinifi hucresinden secip degerleri girin.</t>
  </si>
  <si>
    <t>URETIM HESAPLAMA VE PARTI KAYITLARI</t>
  </si>
  <si>
    <t>Hedef m3 giriniz - malzeme miktarlari recetelere gore otomatik hesaplanir</t>
  </si>
  <si>
    <t>Tarih</t>
  </si>
  <si>
    <t>Hedef Uretim (m3)</t>
  </si>
  <si>
    <t>Notlar</t>
  </si>
  <si>
    <t>MALZEME STOK DURUMU</t>
  </si>
  <si>
    <t>Cikislar Uretim Hesaplama sayfasindan otomatik gelir - girisleri asagidaki tablodan isleyin</t>
  </si>
  <si>
    <t>Baslangic Stok</t>
  </si>
  <si>
    <t>Toplam Giris</t>
  </si>
  <si>
    <t>Toplam Cikis (Uretim)</t>
  </si>
  <si>
    <t>Kritik Stok Seviyesi</t>
  </si>
  <si>
    <t>Cimento</t>
  </si>
  <si>
    <t>kg</t>
  </si>
  <si>
    <t>Kum</t>
  </si>
  <si>
    <t>Micir 0-5mm</t>
  </si>
  <si>
    <t>Micir 5-12mm</t>
  </si>
  <si>
    <t>Micir 12-19mm</t>
  </si>
  <si>
    <t>Su</t>
  </si>
  <si>
    <t>lt</t>
  </si>
  <si>
    <t>Katki</t>
  </si>
  <si>
    <t>STOK GIRIS KAYITLARI</t>
  </si>
  <si>
    <t>Miktar</t>
  </si>
  <si>
    <t>Tedarikci</t>
  </si>
  <si>
    <t>Not</t>
  </si>
  <si>
    <t xml:space="preserve">KARS BELEDIYESI </t>
  </si>
  <si>
    <t>Kars Belediyesi  Beton Santrali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</si>
</sst>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\.mm\.yyyy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FFFFFF"/>
      <name val="Calibri"/>
      <charset val="1"/>
    </font>
    <font>
      <i/>
      <sz val="9"/>
      <color rgb="FF7F7F7F"/>
      <name val="Calibri"/>
      <charset val="1"/>
    </font>
    <font>
      <b/>
      <sz val="20"/>
      <color rgb="FF1F3864"/>
      <name val="Calibri"/>
      <charset val="1"/>
    </font>
    <font>
      <b/>
      <sz val="9"/>
      <color rgb="FFFFFFFF"/>
      <name val="Calibri"/>
      <charset val="1"/>
    </font>
    <font>
      <b/>
      <sz val="20"/>
      <color rgb="FFCC0000"/>
      <name val="Calibri"/>
      <charset val="1"/>
    </font>
    <font>
      <b/>
      <sz val="10"/>
      <color rgb="FFFFFFFF"/>
      <name val="Calibri"/>
      <charset val="1"/>
    </font>
    <font>
      <b/>
      <sz val="9"/>
      <color rgb="FF1F3864"/>
      <name val="Calibri"/>
      <charset val="1"/>
    </font>
    <font>
      <sz val="10"/>
      <color rgb="FF006100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b/>
      <sz val="9"/>
      <color rgb="FFFF0000"/>
      <name val="Calibri"/>
      <family val="2"/>
      <charset val="162"/>
    </font>
    <font>
      <b/>
      <sz val="8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FCE9B0"/>
        <bgColor rgb="FFFFF2CC"/>
      </patternFill>
    </fill>
    <fill>
      <patternFill patternType="solid">
        <fgColor rgb="FFF2F2F2"/>
        <bgColor rgb="FFF9F9F9"/>
      </patternFill>
    </fill>
    <fill>
      <patternFill patternType="solid">
        <fgColor rgb="FFBF9000"/>
        <bgColor rgb="FF808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2" fontId="10" fillId="7" borderId="1" xfId="0" applyNumberFormat="1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/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65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4" fontId="11" fillId="7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3" fontId="4" fillId="6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3" fontId="4" fillId="4" borderId="0" xfId="0" applyNumberFormat="1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38761D"/>
      </font>
      <fill>
        <patternFill>
          <bgColor rgb="FFD9EAD3"/>
        </patternFill>
      </fill>
    </dxf>
    <dxf>
      <font>
        <b/>
        <color rgb="FFBF9000"/>
      </font>
      <fill>
        <patternFill>
          <bgColor rgb="FFFFF2CC"/>
        </patternFill>
      </fill>
    </dxf>
    <dxf>
      <font>
        <b/>
        <color rgb="FFCC0000"/>
      </font>
      <fill>
        <patternFill>
          <bgColor rgb="FFF4CCCC"/>
        </patternFill>
      </fill>
    </dxf>
    <dxf>
      <font>
        <b/>
        <color rgb="FF38761D"/>
      </font>
      <fill>
        <patternFill>
          <bgColor rgb="FFD9EAD3"/>
        </patternFill>
      </fill>
    </dxf>
    <dxf>
      <font>
        <b/>
        <color rgb="FFCC0000"/>
      </font>
      <fill>
        <patternFill>
          <bgColor rgb="FFF4CCCC"/>
        </patternFill>
      </fill>
    </dxf>
    <dxf>
      <font>
        <b/>
        <color rgb="FF38761D"/>
      </font>
      <fill>
        <patternFill>
          <bgColor rgb="FFD9EAD3"/>
        </patternFill>
      </fill>
    </dxf>
    <dxf>
      <font>
        <b/>
        <color rgb="FFBF9000"/>
      </font>
      <fill>
        <patternFill>
          <bgColor rgb="FFFFF2CC"/>
        </patternFill>
      </fill>
    </dxf>
    <dxf>
      <font>
        <b/>
        <color rgb="FFCC00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EAD3"/>
      <rgbColor rgb="FFFCE9B0"/>
      <rgbColor rgb="FFF9F9F9"/>
      <rgbColor rgb="FFFF99CC"/>
      <rgbColor rgb="FFCC99FF"/>
      <rgbColor rgb="FFF4CCCC"/>
      <rgbColor rgb="FF3366FF"/>
      <rgbColor rgb="FF33CCCC"/>
      <rgbColor rgb="FF99CC00"/>
      <rgbColor rgb="FFFFCC00"/>
      <rgbColor rgb="FFBF9000"/>
      <rgbColor rgb="FFFF6600"/>
      <rgbColor rgb="FF4F81BD"/>
      <rgbColor rgb="FF878787"/>
      <rgbColor rgb="FF1F3864"/>
      <rgbColor rgb="FF38761D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Guncel Stok Seviyeleri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 Panel'!$D$17</c:f>
              <c:strCache>
                <c:ptCount val="1"/>
                <c:pt idx="0">
                  <c:v>Guncel Stok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 Panel'!$B$18:$B$24</c:f>
              <c:strCache>
                <c:ptCount val="7"/>
                <c:pt idx="0">
                  <c:v>Cimento</c:v>
                </c:pt>
                <c:pt idx="1">
                  <c:v>Kum</c:v>
                </c:pt>
                <c:pt idx="2">
                  <c:v>Micir 0-5mm</c:v>
                </c:pt>
                <c:pt idx="3">
                  <c:v>Micir 5-12mm</c:v>
                </c:pt>
                <c:pt idx="4">
                  <c:v>Micir 12-19mm</c:v>
                </c:pt>
                <c:pt idx="5">
                  <c:v>Su</c:v>
                </c:pt>
                <c:pt idx="6">
                  <c:v>Katki</c:v>
                </c:pt>
              </c:strCache>
            </c:strRef>
          </c:cat>
          <c:val>
            <c:numRef>
              <c:f>'Ana Panel'!$D$18:$D$24</c:f>
              <c:numCache>
                <c:formatCode>#,##0.0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4-4545-A374-1EC68F2D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67066"/>
        <c:axId val="83265228"/>
      </c:barChart>
      <c:catAx>
        <c:axId val="35367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83265228"/>
        <c:crosses val="autoZero"/>
        <c:auto val="1"/>
        <c:lblAlgn val="ctr"/>
        <c:lblOffset val="100"/>
        <c:noMultiLvlLbl val="0"/>
      </c:catAx>
      <c:valAx>
        <c:axId val="83265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Miktar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35367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6</xdr:col>
      <xdr:colOff>558720</xdr:colOff>
      <xdr:row>41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388620</xdr:colOff>
      <xdr:row>2</xdr:row>
      <xdr:rowOff>41059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2940" cy="665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662940</xdr:colOff>
      <xdr:row>2</xdr:row>
      <xdr:rowOff>56299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2940" cy="665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662940</xdr:colOff>
      <xdr:row>2</xdr:row>
      <xdr:rowOff>56299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2940" cy="6658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662940</xdr:colOff>
      <xdr:row>2</xdr:row>
      <xdr:rowOff>56299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2940" cy="6658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Receteler" displayName="Receteler" ref="A4:M24" totalsRowShown="0">
  <autoFilter ref="A4:M24"/>
  <tableColumns count="13">
    <tableColumn id="1" name="Beton Sinifi"/>
    <tableColumn id="2" name="Cimento (kg)"/>
    <tableColumn id="3" name="Kum (kg)"/>
    <tableColumn id="4" name="Micir 0-5mm (kg)"/>
    <tableColumn id="5" name="Micir 5-12mm (kg)"/>
    <tableColumn id="6" name="Micir 12-19mm (kg)"/>
    <tableColumn id="7" name="Su (lt)"/>
    <tableColumn id="8" name="Katki (kg)"/>
    <tableColumn id="9" name="Su/Cimento Orani"/>
    <tableColumn id="10" name="Toplam Agrega (kg)"/>
    <tableColumn id="11" name="Toplam Karisim - 1 m3 (kg)"/>
    <tableColumn id="12" name="Yogunluk Kontrolu"/>
    <tableColumn id="13" name="Acikla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UretimKayitlari" displayName="UretimKayitlari" ref="A4:K204" totalsRowShown="0">
  <autoFilter ref="A4:K204"/>
  <tableColumns count="11">
    <tableColumn id="1" name="Tarih"/>
    <tableColumn id="2" name="Beton Sinifi"/>
    <tableColumn id="3" name="Hedef Uretim (m3)"/>
    <tableColumn id="4" name="Cimento (kg)"/>
    <tableColumn id="5" name="Kum (kg)"/>
    <tableColumn id="6" name="Micir 0-5mm (kg)"/>
    <tableColumn id="7" name="Micir 5-12mm (kg)"/>
    <tableColumn id="8" name="Micir 12-19mm (kg)"/>
    <tableColumn id="9" name="Su (lt)"/>
    <tableColumn id="10" name="Katki (kg)"/>
    <tableColumn id="11" name="Notla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MalzemeStok" displayName="MalzemeStok" ref="A4:H11" totalsRowShown="0">
  <autoFilter ref="A4:H11"/>
  <tableColumns count="8">
    <tableColumn id="1" name="Malzeme"/>
    <tableColumn id="2" name="Birim"/>
    <tableColumn id="3" name="Baslangic Stok"/>
    <tableColumn id="4" name="Toplam Giris"/>
    <tableColumn id="5" name="Toplam Cikis (Uretim)"/>
    <tableColumn id="6" name="Guncel Stok"/>
    <tableColumn id="7" name="Kritik Stok Seviyesi"/>
    <tableColumn id="8" name="Durum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" name="StokGiris" displayName="StokGiris" ref="A15:E165" totalsRowShown="0">
  <autoFilter ref="A15:E165"/>
  <tableColumns count="5">
    <tableColumn id="1" name="Tarih"/>
    <tableColumn id="2" name="Malzeme"/>
    <tableColumn id="3" name="Miktar"/>
    <tableColumn id="4" name="Tedarikci"/>
    <tableColumn id="5" name="No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</sheetPr>
  <dimension ref="A1:H24"/>
  <sheetViews>
    <sheetView showGridLines="0" zoomScaleNormal="100" workbookViewId="0">
      <selection activeCell="A2" sqref="A2:H2"/>
    </sheetView>
  </sheetViews>
  <sheetFormatPr defaultColWidth="8.6640625" defaultRowHeight="14.4" x14ac:dyDescent="0.3"/>
  <cols>
    <col min="1" max="1" width="4" customWidth="1"/>
    <col min="2" max="2" width="20" customWidth="1"/>
    <col min="3" max="7" width="16" customWidth="1"/>
    <col min="8" max="8" width="4" customWidth="1"/>
  </cols>
  <sheetData>
    <row r="1" spans="1:8" ht="30" customHeight="1" x14ac:dyDescent="0.3">
      <c r="A1" s="39" t="s">
        <v>66</v>
      </c>
      <c r="B1" s="39"/>
      <c r="C1" s="39"/>
      <c r="D1" s="39"/>
      <c r="E1" s="39"/>
      <c r="F1" s="39"/>
      <c r="G1" s="39"/>
      <c r="H1" s="39"/>
    </row>
    <row r="2" spans="1:8" ht="19.5" customHeight="1" x14ac:dyDescent="0.3">
      <c r="A2" s="40" t="s">
        <v>0</v>
      </c>
      <c r="B2" s="40"/>
      <c r="C2" s="40"/>
      <c r="D2" s="40"/>
      <c r="E2" s="40"/>
      <c r="F2" s="40"/>
      <c r="G2" s="40"/>
      <c r="H2" s="40"/>
    </row>
    <row r="3" spans="1:8" ht="15.75" customHeight="1" x14ac:dyDescent="0.3">
      <c r="A3" s="41" t="str">
        <f ca="1">CONCATENATE("Guncelleme Tarihi: ",TEXT(TODAY(),"dd.mm.yyyy"))</f>
        <v>Guncelleme Tarihi: 00.mm.2026</v>
      </c>
      <c r="B3" s="41"/>
      <c r="C3" s="41"/>
      <c r="D3" s="41"/>
      <c r="E3" s="41"/>
      <c r="F3" s="41"/>
      <c r="G3" s="41"/>
      <c r="H3" s="41"/>
    </row>
    <row r="5" spans="1:8" ht="19.5" customHeight="1" x14ac:dyDescent="0.3">
      <c r="B5" s="42">
        <f>COUNTA(Receteler[Beton Sinifi])</f>
        <v>5</v>
      </c>
      <c r="C5" s="42"/>
      <c r="D5" s="42">
        <f ca="1">SUMPRODUCT((MONTH(UretimKayitlari[Tarih])=MONTH(TODAY()))*(YEAR(UretimKayitlari[Tarih])=YEAR(TODAY()))*UretimKayitlari[Hedef Uretim (m3)])</f>
        <v>0</v>
      </c>
      <c r="E5" s="42"/>
      <c r="F5" s="42">
        <f>COUNT(UretimKayitlari[Hedef Uretim (m3)])</f>
        <v>0</v>
      </c>
      <c r="G5" s="42"/>
    </row>
    <row r="6" spans="1:8" ht="19.5" customHeight="1" x14ac:dyDescent="0.3">
      <c r="B6" s="42"/>
      <c r="C6" s="42"/>
      <c r="D6" s="42"/>
      <c r="E6" s="42"/>
      <c r="F6" s="42"/>
      <c r="G6" s="42"/>
    </row>
    <row r="7" spans="1:8" ht="19.5" customHeight="1" x14ac:dyDescent="0.3">
      <c r="B7" s="42"/>
      <c r="C7" s="42"/>
      <c r="D7" s="42"/>
      <c r="E7" s="42"/>
      <c r="F7" s="42"/>
      <c r="G7" s="42"/>
    </row>
    <row r="8" spans="1:8" ht="19.5" customHeight="1" x14ac:dyDescent="0.3">
      <c r="B8" s="35" t="s">
        <v>1</v>
      </c>
      <c r="C8" s="35"/>
      <c r="D8" s="35" t="s">
        <v>2</v>
      </c>
      <c r="E8" s="35"/>
      <c r="F8" s="35" t="s">
        <v>3</v>
      </c>
      <c r="G8" s="35"/>
    </row>
    <row r="10" spans="1:8" ht="19.5" customHeight="1" x14ac:dyDescent="0.3">
      <c r="B10" s="37">
        <f>COUNTIF(MalzemeStok[Durum],"KRITIK")</f>
        <v>7</v>
      </c>
      <c r="C10" s="37"/>
      <c r="D10" s="38">
        <f>SUM(UretimKayitlari[Hedef Uretim (m3)])</f>
        <v>0</v>
      </c>
      <c r="E10" s="38"/>
    </row>
    <row r="11" spans="1:8" ht="19.5" customHeight="1" x14ac:dyDescent="0.3">
      <c r="B11" s="37"/>
      <c r="C11" s="37"/>
      <c r="D11" s="38"/>
      <c r="E11" s="38"/>
    </row>
    <row r="12" spans="1:8" ht="19.5" customHeight="1" x14ac:dyDescent="0.3">
      <c r="B12" s="37"/>
      <c r="C12" s="37"/>
      <c r="D12" s="38"/>
      <c r="E12" s="38"/>
    </row>
    <row r="13" spans="1:8" ht="19.5" customHeight="1" x14ac:dyDescent="0.3">
      <c r="B13" s="35" t="s">
        <v>4</v>
      </c>
      <c r="C13" s="35"/>
      <c r="D13" s="35" t="s">
        <v>5</v>
      </c>
      <c r="E13" s="35"/>
    </row>
    <row r="16" spans="1:8" ht="21.75" customHeight="1" x14ac:dyDescent="0.3">
      <c r="B16" s="36" t="s">
        <v>6</v>
      </c>
      <c r="C16" s="36"/>
      <c r="D16" s="36"/>
      <c r="E16" s="36"/>
      <c r="F16" s="36"/>
      <c r="G16" s="36"/>
    </row>
    <row r="17" spans="2:6" ht="18" customHeight="1" x14ac:dyDescent="0.3">
      <c r="B17" s="1" t="s">
        <v>7</v>
      </c>
      <c r="C17" s="1" t="s">
        <v>8</v>
      </c>
      <c r="D17" s="1" t="s">
        <v>9</v>
      </c>
      <c r="E17" s="1" t="s">
        <v>10</v>
      </c>
      <c r="F17" s="1" t="s">
        <v>11</v>
      </c>
    </row>
    <row r="18" spans="2:6" x14ac:dyDescent="0.3">
      <c r="B18" s="2" t="str">
        <f>'Malzeme Stok'!A5</f>
        <v>Cimento</v>
      </c>
      <c r="C18" s="2" t="str">
        <f>'Malzeme Stok'!B5</f>
        <v>kg</v>
      </c>
      <c r="D18" s="3">
        <f>'Malzeme Stok'!F5</f>
        <v>0</v>
      </c>
      <c r="E18" s="3">
        <f>'Malzeme Stok'!G5</f>
        <v>0</v>
      </c>
      <c r="F18" s="4" t="str">
        <f>'Malzeme Stok'!H5</f>
        <v>KRITIK</v>
      </c>
    </row>
    <row r="19" spans="2:6" x14ac:dyDescent="0.3">
      <c r="B19" s="5" t="str">
        <f>'Malzeme Stok'!A6</f>
        <v>Kum</v>
      </c>
      <c r="C19" s="5" t="str">
        <f>'Malzeme Stok'!B6</f>
        <v>kg</v>
      </c>
      <c r="D19" s="6">
        <f>'Malzeme Stok'!F6</f>
        <v>0</v>
      </c>
      <c r="E19" s="6">
        <f>'Malzeme Stok'!G6</f>
        <v>0</v>
      </c>
      <c r="F19" s="7" t="str">
        <f>'Malzeme Stok'!H6</f>
        <v>KRITIK</v>
      </c>
    </row>
    <row r="20" spans="2:6" x14ac:dyDescent="0.3">
      <c r="B20" s="2" t="str">
        <f>'Malzeme Stok'!A7</f>
        <v>Micir 0-5mm</v>
      </c>
      <c r="C20" s="2" t="str">
        <f>'Malzeme Stok'!B7</f>
        <v>kg</v>
      </c>
      <c r="D20" s="3">
        <f>'Malzeme Stok'!F7</f>
        <v>0</v>
      </c>
      <c r="E20" s="3">
        <f>'Malzeme Stok'!G7</f>
        <v>0</v>
      </c>
      <c r="F20" s="4" t="str">
        <f>'Malzeme Stok'!H7</f>
        <v>KRITIK</v>
      </c>
    </row>
    <row r="21" spans="2:6" x14ac:dyDescent="0.3">
      <c r="B21" s="5" t="str">
        <f>'Malzeme Stok'!A8</f>
        <v>Micir 5-12mm</v>
      </c>
      <c r="C21" s="5" t="str">
        <f>'Malzeme Stok'!B8</f>
        <v>kg</v>
      </c>
      <c r="D21" s="6">
        <f>'Malzeme Stok'!F8</f>
        <v>0</v>
      </c>
      <c r="E21" s="6">
        <f>'Malzeme Stok'!G8</f>
        <v>0</v>
      </c>
      <c r="F21" s="7" t="str">
        <f>'Malzeme Stok'!H8</f>
        <v>KRITIK</v>
      </c>
    </row>
    <row r="22" spans="2:6" x14ac:dyDescent="0.3">
      <c r="B22" s="2" t="str">
        <f>'Malzeme Stok'!A9</f>
        <v>Micir 12-19mm</v>
      </c>
      <c r="C22" s="2" t="str">
        <f>'Malzeme Stok'!B9</f>
        <v>kg</v>
      </c>
      <c r="D22" s="3">
        <f>'Malzeme Stok'!F9</f>
        <v>0</v>
      </c>
      <c r="E22" s="3">
        <f>'Malzeme Stok'!G9</f>
        <v>0</v>
      </c>
      <c r="F22" s="4" t="str">
        <f>'Malzeme Stok'!H9</f>
        <v>KRITIK</v>
      </c>
    </row>
    <row r="23" spans="2:6" x14ac:dyDescent="0.3">
      <c r="B23" s="5" t="str">
        <f>'Malzeme Stok'!A10</f>
        <v>Su</v>
      </c>
      <c r="C23" s="5" t="str">
        <f>'Malzeme Stok'!B10</f>
        <v>lt</v>
      </c>
      <c r="D23" s="6">
        <f>'Malzeme Stok'!F10</f>
        <v>0</v>
      </c>
      <c r="E23" s="6">
        <f>'Malzeme Stok'!G10</f>
        <v>0</v>
      </c>
      <c r="F23" s="7" t="str">
        <f>'Malzeme Stok'!H10</f>
        <v>KRITIK</v>
      </c>
    </row>
    <row r="24" spans="2:6" x14ac:dyDescent="0.3">
      <c r="B24" s="2" t="str">
        <f>'Malzeme Stok'!A11</f>
        <v>Katki</v>
      </c>
      <c r="C24" s="2" t="str">
        <f>'Malzeme Stok'!B11</f>
        <v>kg</v>
      </c>
      <c r="D24" s="3">
        <f>'Malzeme Stok'!F11</f>
        <v>0</v>
      </c>
      <c r="E24" s="3">
        <f>'Malzeme Stok'!G11</f>
        <v>0</v>
      </c>
      <c r="F24" s="4" t="str">
        <f>'Malzeme Stok'!H11</f>
        <v>KRITIK</v>
      </c>
    </row>
  </sheetData>
  <mergeCells count="14">
    <mergeCell ref="A1:H1"/>
    <mergeCell ref="A2:H2"/>
    <mergeCell ref="A3:H3"/>
    <mergeCell ref="B5:C7"/>
    <mergeCell ref="D5:E7"/>
    <mergeCell ref="F5:G7"/>
    <mergeCell ref="B13:C13"/>
    <mergeCell ref="D13:E13"/>
    <mergeCell ref="B16:G16"/>
    <mergeCell ref="B8:C8"/>
    <mergeCell ref="D8:E8"/>
    <mergeCell ref="F8:G8"/>
    <mergeCell ref="B10:C12"/>
    <mergeCell ref="D10:E12"/>
  </mergeCells>
  <conditionalFormatting sqref="F18:F24">
    <cfRule type="expression" dxfId="7" priority="2">
      <formula>F18="KRITIK"</formula>
    </cfRule>
    <cfRule type="expression" dxfId="6" priority="3">
      <formula>F18="AZ"</formula>
    </cfRule>
    <cfRule type="expression" dxfId="5" priority="4">
      <formula>F18="YETERLI"</formula>
    </cfRule>
  </conditionalFormatting>
  <pageMargins left="0.75" right="0.75" top="1" bottom="1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O27"/>
  <sheetViews>
    <sheetView showGridLines="0" zoomScaleNormal="100" workbookViewId="0">
      <pane ySplit="4" topLeftCell="A5" activePane="bottomLeft" state="frozen"/>
      <selection pane="bottomLeft" activeCell="O25" sqref="O25:O27"/>
    </sheetView>
  </sheetViews>
  <sheetFormatPr defaultColWidth="8.6640625" defaultRowHeight="14.4" x14ac:dyDescent="0.3"/>
  <cols>
    <col min="1" max="1" width="16" customWidth="1"/>
    <col min="2" max="4" width="12" customWidth="1"/>
    <col min="5" max="6" width="13" customWidth="1"/>
    <col min="7" max="8" width="10" customWidth="1"/>
    <col min="9" max="9" width="12" customWidth="1"/>
    <col min="10" max="10" width="14" customWidth="1"/>
    <col min="11" max="12" width="16" customWidth="1"/>
    <col min="13" max="13" width="30" customWidth="1"/>
    <col min="15" max="15" width="14" customWidth="1"/>
  </cols>
  <sheetData>
    <row r="1" spans="1:15" ht="30" customHeight="1" x14ac:dyDescent="0.3">
      <c r="A1" s="39" t="s">
        <v>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5" ht="18" customHeight="1" x14ac:dyDescent="0.3">
      <c r="A2" s="40" t="s">
        <v>67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spans="1:15" ht="31.5" customHeight="1" x14ac:dyDescent="0.3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O4" s="9" t="s">
        <v>26</v>
      </c>
    </row>
    <row r="5" spans="1:15" x14ac:dyDescent="0.3">
      <c r="A5" s="10" t="s">
        <v>27</v>
      </c>
      <c r="B5" s="11">
        <v>300</v>
      </c>
      <c r="C5" s="11">
        <v>670</v>
      </c>
      <c r="D5" s="11">
        <v>190</v>
      </c>
      <c r="E5" s="11">
        <v>480</v>
      </c>
      <c r="F5" s="11">
        <v>575</v>
      </c>
      <c r="G5" s="11">
        <v>180</v>
      </c>
      <c r="H5" s="11">
        <v>3</v>
      </c>
      <c r="I5" s="12">
        <f t="shared" ref="I5:I24" si="0">IFERROR(G5/B5,0)</f>
        <v>0.6</v>
      </c>
      <c r="J5" s="13">
        <f t="shared" ref="J5:J24" si="1">SUM(C5:F5)</f>
        <v>1915</v>
      </c>
      <c r="K5" s="14">
        <f>B5+C5+D5+E5+F5+G5+H5</f>
        <v>2398</v>
      </c>
      <c r="L5" s="4" t="str">
        <f t="shared" ref="L5:L24" si="2">IF(B5="","",IF(AND(K5&gt;=2300,K5&lt;=2500),"NORMAL (1 m3)","KONTROL ET"))</f>
        <v>NORMAL (1 m3)</v>
      </c>
      <c r="M5" s="15" t="s">
        <v>28</v>
      </c>
      <c r="O5" s="10" t="s">
        <v>29</v>
      </c>
    </row>
    <row r="6" spans="1:15" x14ac:dyDescent="0.3">
      <c r="A6" s="16" t="s">
        <v>30</v>
      </c>
      <c r="B6" s="17">
        <v>340</v>
      </c>
      <c r="C6" s="17">
        <v>660</v>
      </c>
      <c r="D6" s="17">
        <v>190</v>
      </c>
      <c r="E6" s="17">
        <v>470</v>
      </c>
      <c r="F6" s="17">
        <v>565</v>
      </c>
      <c r="G6" s="17">
        <v>175</v>
      </c>
      <c r="H6" s="17">
        <v>3.5</v>
      </c>
      <c r="I6" s="18">
        <f t="shared" si="0"/>
        <v>0.51470588235294112</v>
      </c>
      <c r="J6" s="19">
        <f t="shared" si="1"/>
        <v>1885</v>
      </c>
      <c r="K6" s="14">
        <f>B6+C6+D6+E6+F6+G6+H6</f>
        <v>2403.5</v>
      </c>
      <c r="L6" s="7" t="str">
        <f t="shared" si="2"/>
        <v>NORMAL (1 m3)</v>
      </c>
      <c r="M6" s="20" t="s">
        <v>28</v>
      </c>
      <c r="O6" s="10" t="s">
        <v>27</v>
      </c>
    </row>
    <row r="7" spans="1:15" x14ac:dyDescent="0.3">
      <c r="A7" s="10" t="s">
        <v>31</v>
      </c>
      <c r="B7" s="11">
        <v>380</v>
      </c>
      <c r="C7" s="11">
        <v>645</v>
      </c>
      <c r="D7" s="11">
        <v>185</v>
      </c>
      <c r="E7" s="11">
        <v>460</v>
      </c>
      <c r="F7" s="11">
        <v>555</v>
      </c>
      <c r="G7" s="11">
        <v>170</v>
      </c>
      <c r="H7" s="11">
        <v>4</v>
      </c>
      <c r="I7" s="12">
        <f t="shared" si="0"/>
        <v>0.44736842105263158</v>
      </c>
      <c r="J7" s="13">
        <f t="shared" si="1"/>
        <v>1845</v>
      </c>
      <c r="K7" s="14">
        <f>B7+C7+D7+E7+F7+G7+H7</f>
        <v>2399</v>
      </c>
      <c r="L7" s="4" t="str">
        <f t="shared" si="2"/>
        <v>NORMAL (1 m3)</v>
      </c>
      <c r="M7" s="15" t="s">
        <v>32</v>
      </c>
      <c r="O7" s="10" t="s">
        <v>30</v>
      </c>
    </row>
    <row r="8" spans="1:15" x14ac:dyDescent="0.3">
      <c r="A8" s="16" t="s">
        <v>33</v>
      </c>
      <c r="B8" s="17">
        <v>420</v>
      </c>
      <c r="C8" s="17">
        <v>630</v>
      </c>
      <c r="D8" s="17">
        <v>180</v>
      </c>
      <c r="E8" s="17">
        <v>450</v>
      </c>
      <c r="F8" s="17">
        <v>545</v>
      </c>
      <c r="G8" s="17">
        <v>165</v>
      </c>
      <c r="H8" s="17">
        <v>5</v>
      </c>
      <c r="I8" s="18">
        <f t="shared" si="0"/>
        <v>0.39285714285714285</v>
      </c>
      <c r="J8" s="19">
        <f t="shared" si="1"/>
        <v>1805</v>
      </c>
      <c r="K8" s="14">
        <f>B8+C8+D8+E8+F8+G8+H8</f>
        <v>2395</v>
      </c>
      <c r="L8" s="7" t="str">
        <f t="shared" si="2"/>
        <v>NORMAL (1 m3)</v>
      </c>
      <c r="M8" s="20" t="s">
        <v>34</v>
      </c>
      <c r="O8" s="10" t="s">
        <v>31</v>
      </c>
    </row>
    <row r="9" spans="1:15" x14ac:dyDescent="0.3">
      <c r="A9" s="10" t="s">
        <v>35</v>
      </c>
      <c r="B9" s="11">
        <v>150</v>
      </c>
      <c r="C9" s="11">
        <v>700</v>
      </c>
      <c r="D9" s="11">
        <v>200</v>
      </c>
      <c r="E9" s="11">
        <v>500</v>
      </c>
      <c r="F9" s="11">
        <v>600</v>
      </c>
      <c r="G9" s="11">
        <v>190</v>
      </c>
      <c r="H9" s="11">
        <v>0</v>
      </c>
      <c r="I9" s="12">
        <f t="shared" si="0"/>
        <v>1.2666666666666666</v>
      </c>
      <c r="J9" s="13">
        <f t="shared" si="1"/>
        <v>2000</v>
      </c>
      <c r="K9" s="14">
        <f>B9+C9+D9+E9+F9+G9+H9</f>
        <v>2340</v>
      </c>
      <c r="L9" s="4" t="str">
        <f t="shared" si="2"/>
        <v>NORMAL (1 m3)</v>
      </c>
      <c r="M9" s="15" t="s">
        <v>36</v>
      </c>
      <c r="O9" s="10" t="s">
        <v>33</v>
      </c>
    </row>
    <row r="10" spans="1:15" x14ac:dyDescent="0.3">
      <c r="A10" s="21"/>
      <c r="B10" s="22"/>
      <c r="C10" s="22"/>
      <c r="D10" s="22"/>
      <c r="E10" s="22"/>
      <c r="F10" s="22"/>
      <c r="G10" s="22"/>
      <c r="H10" s="22"/>
      <c r="I10" s="18">
        <f t="shared" si="0"/>
        <v>0</v>
      </c>
      <c r="J10" s="19">
        <f t="shared" si="1"/>
        <v>0</v>
      </c>
      <c r="K10" s="14" t="str">
        <f t="shared" ref="K10:K24" si="3">IF(B10="","",B10+C10+D10+E10+F10+G10+H10)</f>
        <v/>
      </c>
      <c r="L10" s="7" t="str">
        <f t="shared" si="2"/>
        <v/>
      </c>
      <c r="M10" s="23"/>
      <c r="O10" s="10" t="s">
        <v>37</v>
      </c>
    </row>
    <row r="11" spans="1:15" x14ac:dyDescent="0.3">
      <c r="A11" s="24"/>
      <c r="B11" s="25"/>
      <c r="C11" s="25"/>
      <c r="D11" s="25"/>
      <c r="E11" s="25"/>
      <c r="F11" s="25"/>
      <c r="G11" s="25"/>
      <c r="H11" s="25"/>
      <c r="I11" s="12">
        <f t="shared" si="0"/>
        <v>0</v>
      </c>
      <c r="J11" s="13">
        <f t="shared" si="1"/>
        <v>0</v>
      </c>
      <c r="K11" s="14" t="str">
        <f t="shared" si="3"/>
        <v/>
      </c>
      <c r="L11" s="4" t="str">
        <f t="shared" si="2"/>
        <v/>
      </c>
      <c r="M11" s="26"/>
      <c r="O11" s="10" t="s">
        <v>38</v>
      </c>
    </row>
    <row r="12" spans="1:15" x14ac:dyDescent="0.3">
      <c r="A12" s="21"/>
      <c r="B12" s="22"/>
      <c r="C12" s="22"/>
      <c r="D12" s="22"/>
      <c r="E12" s="22"/>
      <c r="F12" s="22"/>
      <c r="G12" s="22"/>
      <c r="H12" s="22"/>
      <c r="I12" s="18">
        <f t="shared" si="0"/>
        <v>0</v>
      </c>
      <c r="J12" s="19">
        <f t="shared" si="1"/>
        <v>0</v>
      </c>
      <c r="K12" s="14" t="str">
        <f t="shared" si="3"/>
        <v/>
      </c>
      <c r="L12" s="7" t="str">
        <f t="shared" si="2"/>
        <v/>
      </c>
      <c r="M12" s="23"/>
      <c r="O12" s="10" t="s">
        <v>39</v>
      </c>
    </row>
    <row r="13" spans="1:15" x14ac:dyDescent="0.3">
      <c r="A13" s="24"/>
      <c r="B13" s="25"/>
      <c r="C13" s="25"/>
      <c r="D13" s="25"/>
      <c r="E13" s="25"/>
      <c r="F13" s="25"/>
      <c r="G13" s="25"/>
      <c r="H13" s="25"/>
      <c r="I13" s="12">
        <f t="shared" si="0"/>
        <v>0</v>
      </c>
      <c r="J13" s="13">
        <f t="shared" si="1"/>
        <v>0</v>
      </c>
      <c r="K13" s="14" t="str">
        <f t="shared" si="3"/>
        <v/>
      </c>
      <c r="L13" s="4" t="str">
        <f t="shared" si="2"/>
        <v/>
      </c>
      <c r="M13" s="26"/>
      <c r="O13" s="10" t="s">
        <v>35</v>
      </c>
    </row>
    <row r="14" spans="1:15" x14ac:dyDescent="0.3">
      <c r="A14" s="21"/>
      <c r="B14" s="22"/>
      <c r="C14" s="22"/>
      <c r="D14" s="22"/>
      <c r="E14" s="22"/>
      <c r="F14" s="22"/>
      <c r="G14" s="22"/>
      <c r="H14" s="22"/>
      <c r="I14" s="18">
        <f t="shared" si="0"/>
        <v>0</v>
      </c>
      <c r="J14" s="19">
        <f t="shared" si="1"/>
        <v>0</v>
      </c>
      <c r="K14" s="14" t="str">
        <f t="shared" si="3"/>
        <v/>
      </c>
      <c r="L14" s="7" t="str">
        <f t="shared" si="2"/>
        <v/>
      </c>
      <c r="M14" s="23"/>
      <c r="O14" s="26"/>
    </row>
    <row r="15" spans="1:15" x14ac:dyDescent="0.3">
      <c r="A15" s="24"/>
      <c r="B15" s="25"/>
      <c r="C15" s="25"/>
      <c r="D15" s="25"/>
      <c r="E15" s="25"/>
      <c r="F15" s="25"/>
      <c r="G15" s="25"/>
      <c r="H15" s="25"/>
      <c r="I15" s="12">
        <f t="shared" si="0"/>
        <v>0</v>
      </c>
      <c r="J15" s="13">
        <f t="shared" si="1"/>
        <v>0</v>
      </c>
      <c r="K15" s="14" t="str">
        <f t="shared" si="3"/>
        <v/>
      </c>
      <c r="L15" s="4" t="str">
        <f t="shared" si="2"/>
        <v/>
      </c>
      <c r="M15" s="26"/>
      <c r="O15" s="26"/>
    </row>
    <row r="16" spans="1:15" x14ac:dyDescent="0.3">
      <c r="A16" s="21"/>
      <c r="B16" s="22"/>
      <c r="C16" s="22"/>
      <c r="D16" s="22"/>
      <c r="E16" s="22"/>
      <c r="F16" s="22"/>
      <c r="G16" s="22"/>
      <c r="H16" s="22"/>
      <c r="I16" s="18">
        <f t="shared" si="0"/>
        <v>0</v>
      </c>
      <c r="J16" s="19">
        <f t="shared" si="1"/>
        <v>0</v>
      </c>
      <c r="K16" s="14" t="str">
        <f t="shared" si="3"/>
        <v/>
      </c>
      <c r="L16" s="7" t="str">
        <f t="shared" si="2"/>
        <v/>
      </c>
      <c r="M16" s="23"/>
      <c r="O16" s="26"/>
    </row>
    <row r="17" spans="1:15" x14ac:dyDescent="0.3">
      <c r="A17" s="24"/>
      <c r="B17" s="25"/>
      <c r="C17" s="25"/>
      <c r="D17" s="25"/>
      <c r="E17" s="25"/>
      <c r="F17" s="25"/>
      <c r="G17" s="25"/>
      <c r="H17" s="25"/>
      <c r="I17" s="12">
        <f t="shared" si="0"/>
        <v>0</v>
      </c>
      <c r="J17" s="13">
        <f t="shared" si="1"/>
        <v>0</v>
      </c>
      <c r="K17" s="14" t="str">
        <f t="shared" si="3"/>
        <v/>
      </c>
      <c r="L17" s="4" t="str">
        <f t="shared" si="2"/>
        <v/>
      </c>
      <c r="M17" s="26"/>
      <c r="O17" s="26"/>
    </row>
    <row r="18" spans="1:15" x14ac:dyDescent="0.3">
      <c r="A18" s="21"/>
      <c r="B18" s="22"/>
      <c r="C18" s="22"/>
      <c r="D18" s="22"/>
      <c r="E18" s="22"/>
      <c r="F18" s="22"/>
      <c r="G18" s="22"/>
      <c r="H18" s="22"/>
      <c r="I18" s="18">
        <f t="shared" si="0"/>
        <v>0</v>
      </c>
      <c r="J18" s="19">
        <f t="shared" si="1"/>
        <v>0</v>
      </c>
      <c r="K18" s="14" t="str">
        <f t="shared" si="3"/>
        <v/>
      </c>
      <c r="L18" s="7" t="str">
        <f t="shared" si="2"/>
        <v/>
      </c>
      <c r="M18" s="23"/>
      <c r="O18" s="26"/>
    </row>
    <row r="19" spans="1:15" x14ac:dyDescent="0.3">
      <c r="A19" s="24"/>
      <c r="B19" s="25"/>
      <c r="C19" s="25"/>
      <c r="D19" s="25"/>
      <c r="E19" s="25"/>
      <c r="F19" s="25"/>
      <c r="G19" s="25"/>
      <c r="H19" s="25"/>
      <c r="I19" s="12">
        <f t="shared" si="0"/>
        <v>0</v>
      </c>
      <c r="J19" s="13">
        <f t="shared" si="1"/>
        <v>0</v>
      </c>
      <c r="K19" s="14" t="str">
        <f t="shared" si="3"/>
        <v/>
      </c>
      <c r="L19" s="4" t="str">
        <f t="shared" si="2"/>
        <v/>
      </c>
      <c r="M19" s="26"/>
      <c r="O19" s="26"/>
    </row>
    <row r="20" spans="1:15" x14ac:dyDescent="0.3">
      <c r="A20" s="21"/>
      <c r="B20" s="22"/>
      <c r="C20" s="22"/>
      <c r="D20" s="22"/>
      <c r="E20" s="22"/>
      <c r="F20" s="22"/>
      <c r="G20" s="22"/>
      <c r="H20" s="22"/>
      <c r="I20" s="18">
        <f t="shared" si="0"/>
        <v>0</v>
      </c>
      <c r="J20" s="19">
        <f t="shared" si="1"/>
        <v>0</v>
      </c>
      <c r="K20" s="14" t="str">
        <f t="shared" si="3"/>
        <v/>
      </c>
      <c r="L20" s="7" t="str">
        <f t="shared" si="2"/>
        <v/>
      </c>
      <c r="M20" s="23"/>
      <c r="O20" s="26"/>
    </row>
    <row r="21" spans="1:15" x14ac:dyDescent="0.3">
      <c r="A21" s="24"/>
      <c r="B21" s="25"/>
      <c r="C21" s="25"/>
      <c r="D21" s="25"/>
      <c r="E21" s="25"/>
      <c r="F21" s="25"/>
      <c r="G21" s="25"/>
      <c r="H21" s="25"/>
      <c r="I21" s="12">
        <f t="shared" si="0"/>
        <v>0</v>
      </c>
      <c r="J21" s="13">
        <f t="shared" si="1"/>
        <v>0</v>
      </c>
      <c r="K21" s="14" t="str">
        <f t="shared" si="3"/>
        <v/>
      </c>
      <c r="L21" s="4" t="str">
        <f t="shared" si="2"/>
        <v/>
      </c>
      <c r="M21" s="26"/>
      <c r="O21" s="26"/>
    </row>
    <row r="22" spans="1:15" x14ac:dyDescent="0.3">
      <c r="A22" s="21"/>
      <c r="B22" s="22"/>
      <c r="C22" s="22"/>
      <c r="D22" s="22"/>
      <c r="E22" s="22"/>
      <c r="F22" s="22"/>
      <c r="G22" s="22"/>
      <c r="H22" s="22"/>
      <c r="I22" s="18">
        <f t="shared" si="0"/>
        <v>0</v>
      </c>
      <c r="J22" s="19">
        <f t="shared" si="1"/>
        <v>0</v>
      </c>
      <c r="K22" s="14" t="str">
        <f t="shared" si="3"/>
        <v/>
      </c>
      <c r="L22" s="7" t="str">
        <f t="shared" si="2"/>
        <v/>
      </c>
      <c r="M22" s="23"/>
      <c r="O22" s="26"/>
    </row>
    <row r="23" spans="1:15" x14ac:dyDescent="0.3">
      <c r="A23" s="24"/>
      <c r="B23" s="25"/>
      <c r="C23" s="25"/>
      <c r="D23" s="25"/>
      <c r="E23" s="25"/>
      <c r="F23" s="25"/>
      <c r="G23" s="25"/>
      <c r="H23" s="25"/>
      <c r="I23" s="12">
        <f t="shared" si="0"/>
        <v>0</v>
      </c>
      <c r="J23" s="13">
        <f t="shared" si="1"/>
        <v>0</v>
      </c>
      <c r="K23" s="14" t="str">
        <f t="shared" si="3"/>
        <v/>
      </c>
      <c r="L23" s="4" t="str">
        <f t="shared" si="2"/>
        <v/>
      </c>
      <c r="M23" s="26"/>
      <c r="O23" s="26"/>
    </row>
    <row r="24" spans="1:15" x14ac:dyDescent="0.3">
      <c r="A24" s="21"/>
      <c r="B24" s="22"/>
      <c r="C24" s="22"/>
      <c r="D24" s="22"/>
      <c r="E24" s="22"/>
      <c r="F24" s="22"/>
      <c r="G24" s="22"/>
      <c r="H24" s="22"/>
      <c r="I24" s="18">
        <f t="shared" si="0"/>
        <v>0</v>
      </c>
      <c r="J24" s="19">
        <f t="shared" si="1"/>
        <v>0</v>
      </c>
      <c r="K24" s="14" t="str">
        <f t="shared" si="3"/>
        <v/>
      </c>
      <c r="L24" s="7" t="str">
        <f t="shared" si="2"/>
        <v/>
      </c>
      <c r="M24" s="23"/>
    </row>
    <row r="25" spans="1:15" ht="15" customHeight="1" x14ac:dyDescent="0.3">
      <c r="O25" s="45" t="s">
        <v>40</v>
      </c>
    </row>
    <row r="26" spans="1:15" ht="43.5" customHeight="1" x14ac:dyDescent="0.3">
      <c r="A26" s="44" t="s">
        <v>41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O26" s="45"/>
    </row>
    <row r="27" spans="1:15" x14ac:dyDescent="0.3">
      <c r="O27" s="45"/>
    </row>
  </sheetData>
  <mergeCells count="4">
    <mergeCell ref="A1:M1"/>
    <mergeCell ref="A2:M2"/>
    <mergeCell ref="O25:O27"/>
    <mergeCell ref="A26:M26"/>
  </mergeCells>
  <conditionalFormatting sqref="L5:L24">
    <cfRule type="expression" dxfId="4" priority="2">
      <formula>L5="KONTROL ET"</formula>
    </cfRule>
    <cfRule type="expression" dxfId="3" priority="3">
      <formula>L5="NORMAL (1 m3)"</formula>
    </cfRule>
  </conditionalFormatting>
  <dataValidations count="1">
    <dataValidation type="list" allowBlank="1" showErrorMessage="1" errorTitle="Gecersiz Beton Sinifi" error="Lutfen listeden bir beton sinifi seciniz, ya da once O sutunundaki Standart Siniflar listesine yeni sinifi ekleyin." sqref="A5:A24">
      <formula1>StandartSiniflar</formula1>
      <formula2>0</formula2>
    </dataValidation>
  </dataValidations>
  <printOptions horizontalCentered="1"/>
  <pageMargins left="0.75" right="0.75" top="1" bottom="1" header="0.511811023622047" footer="0.511811023622047"/>
  <pageSetup paperSize="9" orientation="landscape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395"/>
  </sheetPr>
  <dimension ref="A1:K204"/>
  <sheetViews>
    <sheetView showGridLines="0" zoomScaleNormal="100" workbookViewId="0">
      <pane ySplit="4" topLeftCell="A41" activePane="bottomLeft" state="frozen"/>
      <selection pane="bottomLeft" activeCell="B41" sqref="B41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4" customWidth="1"/>
    <col min="4" max="4" width="12" customWidth="1"/>
    <col min="5" max="5" width="10" customWidth="1"/>
    <col min="6" max="8" width="14" customWidth="1"/>
    <col min="9" max="9" width="9" customWidth="1"/>
    <col min="10" max="10" width="10" customWidth="1"/>
    <col min="11" max="11" width="24" customWidth="1"/>
  </cols>
  <sheetData>
    <row r="1" spans="1:11" ht="30" customHeight="1" x14ac:dyDescent="0.3">
      <c r="A1" s="39" t="s">
        <v>42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8" customHeight="1" x14ac:dyDescent="0.3">
      <c r="A2" s="40" t="s">
        <v>43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4" spans="1:11" ht="31.5" customHeight="1" x14ac:dyDescent="0.3">
      <c r="A4" s="8" t="s">
        <v>44</v>
      </c>
      <c r="B4" s="8" t="s">
        <v>13</v>
      </c>
      <c r="C4" s="8" t="s">
        <v>45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20</v>
      </c>
      <c r="K4" s="8" t="s">
        <v>46</v>
      </c>
    </row>
    <row r="5" spans="1:11" x14ac:dyDescent="0.3">
      <c r="A5" s="27"/>
      <c r="B5" s="10"/>
      <c r="C5" s="28"/>
      <c r="D5" s="3" t="str">
        <f>IFERROR(IF($B5="","",$C5*INDEX(Receteler[Cimento (kg)],MATCH($B5,Receteler[Beton Sinifi],0))),"")</f>
        <v/>
      </c>
      <c r="E5" s="3" t="str">
        <f>IFERROR(IF($B5="","",$C5*INDEX(Receteler[Kum (kg)],MATCH($B5,Receteler[Beton Sinifi],0))),"")</f>
        <v/>
      </c>
      <c r="F5" s="3" t="str">
        <f>IFERROR(IF($B5="","",$C5*INDEX(Receteler[Micir 0-5mm (kg)],MATCH($B5,Receteler[Beton Sinifi],0))),"")</f>
        <v/>
      </c>
      <c r="G5" s="3" t="str">
        <f>IFERROR(IF($B5="","",$C5*INDEX(Receteler[Micir 5-12mm (kg)],MATCH($B5,Receteler[Beton Sinifi],0))),"")</f>
        <v/>
      </c>
      <c r="H5" s="3" t="str">
        <f>IFERROR(IF($B5="","",$C5*INDEX(Receteler[Micir 12-19mm (kg)],MATCH($B5,Receteler[Beton Sinifi],0))),"")</f>
        <v/>
      </c>
      <c r="I5" s="3" t="str">
        <f>IFERROR(IF($B5="","",$C5*INDEX(Receteler[Su (lt)],MATCH($B5,Receteler[Beton Sinifi],0))),"")</f>
        <v/>
      </c>
      <c r="J5" s="3" t="str">
        <f>IFERROR(IF($B5="","",$C5*INDEX(Receteler[Katki (kg)],MATCH($B5,Receteler[Beton Sinifi],0))),"")</f>
        <v/>
      </c>
      <c r="K5" s="15"/>
    </row>
    <row r="6" spans="1:11" x14ac:dyDescent="0.3">
      <c r="A6" s="29"/>
      <c r="B6" s="16"/>
      <c r="C6" s="30"/>
      <c r="D6" s="6" t="str">
        <f>IFERROR(IF($B6="","",$C6*INDEX(Receteler[Cimento (kg)],MATCH($B6,Receteler[Beton Sinifi],0))),"")</f>
        <v/>
      </c>
      <c r="E6" s="6" t="str">
        <f>IFERROR(IF($B6="","",$C6*INDEX(Receteler[Kum (kg)],MATCH($B6,Receteler[Beton Sinifi],0))),"")</f>
        <v/>
      </c>
      <c r="F6" s="6" t="str">
        <f>IFERROR(IF($B6="","",$C6*INDEX(Receteler[Micir 0-5mm (kg)],MATCH($B6,Receteler[Beton Sinifi],0))),"")</f>
        <v/>
      </c>
      <c r="G6" s="6" t="str">
        <f>IFERROR(IF($B6="","",$C6*INDEX(Receteler[Micir 5-12mm (kg)],MATCH($B6,Receteler[Beton Sinifi],0))),"")</f>
        <v/>
      </c>
      <c r="H6" s="6" t="str">
        <f>IFERROR(IF($B6="","",$C6*INDEX(Receteler[Micir 12-19mm (kg)],MATCH($B6,Receteler[Beton Sinifi],0))),"")</f>
        <v/>
      </c>
      <c r="I6" s="6" t="str">
        <f>IFERROR(IF($B6="","",$C6*INDEX(Receteler[Su (lt)],MATCH($B6,Receteler[Beton Sinifi],0))),"")</f>
        <v/>
      </c>
      <c r="J6" s="6" t="str">
        <f>IFERROR(IF($B6="","",$C6*INDEX(Receteler[Katki (kg)],MATCH($B6,Receteler[Beton Sinifi],0))),"")</f>
        <v/>
      </c>
      <c r="K6" s="20"/>
    </row>
    <row r="7" spans="1:11" x14ac:dyDescent="0.3">
      <c r="A7" s="27"/>
      <c r="B7" s="10"/>
      <c r="C7" s="28"/>
      <c r="D7" s="3" t="str">
        <f>IFERROR(IF($B7="","",$C7*INDEX(Receteler[Cimento (kg)],MATCH($B7,Receteler[Beton Sinifi],0))),"")</f>
        <v/>
      </c>
      <c r="E7" s="3" t="str">
        <f>IFERROR(IF($B7="","",$C7*INDEX(Receteler[Kum (kg)],MATCH($B7,Receteler[Beton Sinifi],0))),"")</f>
        <v/>
      </c>
      <c r="F7" s="3" t="str">
        <f>IFERROR(IF($B7="","",$C7*INDEX(Receteler[Micir 0-5mm (kg)],MATCH($B7,Receteler[Beton Sinifi],0))),"")</f>
        <v/>
      </c>
      <c r="G7" s="3" t="str">
        <f>IFERROR(IF($B7="","",$C7*INDEX(Receteler[Micir 5-12mm (kg)],MATCH($B7,Receteler[Beton Sinifi],0))),"")</f>
        <v/>
      </c>
      <c r="H7" s="3" t="str">
        <f>IFERROR(IF($B7="","",$C7*INDEX(Receteler[Micir 12-19mm (kg)],MATCH($B7,Receteler[Beton Sinifi],0))),"")</f>
        <v/>
      </c>
      <c r="I7" s="3" t="str">
        <f>IFERROR(IF($B7="","",$C7*INDEX(Receteler[Su (lt)],MATCH($B7,Receteler[Beton Sinifi],0))),"")</f>
        <v/>
      </c>
      <c r="J7" s="3" t="str">
        <f>IFERROR(IF($B7="","",$C7*INDEX(Receteler[Katki (kg)],MATCH($B7,Receteler[Beton Sinifi],0))),"")</f>
        <v/>
      </c>
      <c r="K7" s="15"/>
    </row>
    <row r="8" spans="1:11" x14ac:dyDescent="0.3">
      <c r="A8" s="29"/>
      <c r="B8" s="16"/>
      <c r="C8" s="30"/>
      <c r="D8" s="6" t="str">
        <f>IFERROR(IF($B8="","",$C8*INDEX(Receteler[Cimento (kg)],MATCH($B8,Receteler[Beton Sinifi],0))),"")</f>
        <v/>
      </c>
      <c r="E8" s="6" t="str">
        <f>IFERROR(IF($B8="","",$C8*INDEX(Receteler[Kum (kg)],MATCH($B8,Receteler[Beton Sinifi],0))),"")</f>
        <v/>
      </c>
      <c r="F8" s="6" t="str">
        <f>IFERROR(IF($B8="","",$C8*INDEX(Receteler[Micir 0-5mm (kg)],MATCH($B8,Receteler[Beton Sinifi],0))),"")</f>
        <v/>
      </c>
      <c r="G8" s="6" t="str">
        <f>IFERROR(IF($B8="","",$C8*INDEX(Receteler[Micir 5-12mm (kg)],MATCH($B8,Receteler[Beton Sinifi],0))),"")</f>
        <v/>
      </c>
      <c r="H8" s="6" t="str">
        <f>IFERROR(IF($B8="","",$C8*INDEX(Receteler[Micir 12-19mm (kg)],MATCH($B8,Receteler[Beton Sinifi],0))),"")</f>
        <v/>
      </c>
      <c r="I8" s="6" t="str">
        <f>IFERROR(IF($B8="","",$C8*INDEX(Receteler[Su (lt)],MATCH($B8,Receteler[Beton Sinifi],0))),"")</f>
        <v/>
      </c>
      <c r="J8" s="6" t="str">
        <f>IFERROR(IF($B8="","",$C8*INDEX(Receteler[Katki (kg)],MATCH($B8,Receteler[Beton Sinifi],0))),"")</f>
        <v/>
      </c>
      <c r="K8" s="20"/>
    </row>
    <row r="9" spans="1:11" x14ac:dyDescent="0.3">
      <c r="A9" s="27"/>
      <c r="B9" s="10"/>
      <c r="C9" s="28"/>
      <c r="D9" s="3" t="str">
        <f>IFERROR(IF($B9="","",$C9*INDEX(Receteler[Cimento (kg)],MATCH($B9,Receteler[Beton Sinifi],0))),"")</f>
        <v/>
      </c>
      <c r="E9" s="3" t="str">
        <f>IFERROR(IF($B9="","",$C9*INDEX(Receteler[Kum (kg)],MATCH($B9,Receteler[Beton Sinifi],0))),"")</f>
        <v/>
      </c>
      <c r="F9" s="3" t="str">
        <f>IFERROR(IF($B9="","",$C9*INDEX(Receteler[Micir 0-5mm (kg)],MATCH($B9,Receteler[Beton Sinifi],0))),"")</f>
        <v/>
      </c>
      <c r="G9" s="3" t="str">
        <f>IFERROR(IF($B9="","",$C9*INDEX(Receteler[Micir 5-12mm (kg)],MATCH($B9,Receteler[Beton Sinifi],0))),"")</f>
        <v/>
      </c>
      <c r="H9" s="3" t="str">
        <f>IFERROR(IF($B9="","",$C9*INDEX(Receteler[Micir 12-19mm (kg)],MATCH($B9,Receteler[Beton Sinifi],0))),"")</f>
        <v/>
      </c>
      <c r="I9" s="3" t="str">
        <f>IFERROR(IF($B9="","",$C9*INDEX(Receteler[Su (lt)],MATCH($B9,Receteler[Beton Sinifi],0))),"")</f>
        <v/>
      </c>
      <c r="J9" s="3" t="str">
        <f>IFERROR(IF($B9="","",$C9*INDEX(Receteler[Katki (kg)],MATCH($B9,Receteler[Beton Sinifi],0))),"")</f>
        <v/>
      </c>
      <c r="K9" s="15"/>
    </row>
    <row r="10" spans="1:11" x14ac:dyDescent="0.3">
      <c r="A10" s="29"/>
      <c r="B10" s="16"/>
      <c r="C10" s="30"/>
      <c r="D10" s="6" t="str">
        <f>IFERROR(IF($B10="","",$C10*INDEX(Receteler[Cimento (kg)],MATCH($B10,Receteler[Beton Sinifi],0))),"")</f>
        <v/>
      </c>
      <c r="E10" s="6" t="str">
        <f>IFERROR(IF($B10="","",$C10*INDEX(Receteler[Kum (kg)],MATCH($B10,Receteler[Beton Sinifi],0))),"")</f>
        <v/>
      </c>
      <c r="F10" s="6" t="str">
        <f>IFERROR(IF($B10="","",$C10*INDEX(Receteler[Micir 0-5mm (kg)],MATCH($B10,Receteler[Beton Sinifi],0))),"")</f>
        <v/>
      </c>
      <c r="G10" s="6" t="str">
        <f>IFERROR(IF($B10="","",$C10*INDEX(Receteler[Micir 5-12mm (kg)],MATCH($B10,Receteler[Beton Sinifi],0))),"")</f>
        <v/>
      </c>
      <c r="H10" s="6" t="str">
        <f>IFERROR(IF($B10="","",$C10*INDEX(Receteler[Micir 12-19mm (kg)],MATCH($B10,Receteler[Beton Sinifi],0))),"")</f>
        <v/>
      </c>
      <c r="I10" s="6" t="str">
        <f>IFERROR(IF($B10="","",$C10*INDEX(Receteler[Su (lt)],MATCH($B10,Receteler[Beton Sinifi],0))),"")</f>
        <v/>
      </c>
      <c r="J10" s="6" t="str">
        <f>IFERROR(IF($B10="","",$C10*INDEX(Receteler[Katki (kg)],MATCH($B10,Receteler[Beton Sinifi],0))),"")</f>
        <v/>
      </c>
      <c r="K10" s="20"/>
    </row>
    <row r="11" spans="1:11" x14ac:dyDescent="0.3">
      <c r="A11" s="27"/>
      <c r="B11" s="10"/>
      <c r="C11" s="28"/>
      <c r="D11" s="3" t="str">
        <f>IFERROR(IF($B11="","",$C11*INDEX(Receteler[Cimento (kg)],MATCH($B11,Receteler[Beton Sinifi],0))),"")</f>
        <v/>
      </c>
      <c r="E11" s="3" t="str">
        <f>IFERROR(IF($B11="","",$C11*INDEX(Receteler[Kum (kg)],MATCH($B11,Receteler[Beton Sinifi],0))),"")</f>
        <v/>
      </c>
      <c r="F11" s="3" t="str">
        <f>IFERROR(IF($B11="","",$C11*INDEX(Receteler[Micir 0-5mm (kg)],MATCH($B11,Receteler[Beton Sinifi],0))),"")</f>
        <v/>
      </c>
      <c r="G11" s="3" t="str">
        <f>IFERROR(IF($B11="","",$C11*INDEX(Receteler[Micir 5-12mm (kg)],MATCH($B11,Receteler[Beton Sinifi],0))),"")</f>
        <v/>
      </c>
      <c r="H11" s="3" t="str">
        <f>IFERROR(IF($B11="","",$C11*INDEX(Receteler[Micir 12-19mm (kg)],MATCH($B11,Receteler[Beton Sinifi],0))),"")</f>
        <v/>
      </c>
      <c r="I11" s="3" t="str">
        <f>IFERROR(IF($B11="","",$C11*INDEX(Receteler[Su (lt)],MATCH($B11,Receteler[Beton Sinifi],0))),"")</f>
        <v/>
      </c>
      <c r="J11" s="3" t="str">
        <f>IFERROR(IF($B11="","",$C11*INDEX(Receteler[Katki (kg)],MATCH($B11,Receteler[Beton Sinifi],0))),"")</f>
        <v/>
      </c>
      <c r="K11" s="15"/>
    </row>
    <row r="12" spans="1:11" x14ac:dyDescent="0.3">
      <c r="A12" s="29"/>
      <c r="B12" s="16"/>
      <c r="C12" s="30"/>
      <c r="D12" s="6" t="str">
        <f>IFERROR(IF($B12="","",$C12*INDEX(Receteler[Cimento (kg)],MATCH($B12,Receteler[Beton Sinifi],0))),"")</f>
        <v/>
      </c>
      <c r="E12" s="6" t="str">
        <f>IFERROR(IF($B12="","",$C12*INDEX(Receteler[Kum (kg)],MATCH($B12,Receteler[Beton Sinifi],0))),"")</f>
        <v/>
      </c>
      <c r="F12" s="6" t="str">
        <f>IFERROR(IF($B12="","",$C12*INDEX(Receteler[Micir 0-5mm (kg)],MATCH($B12,Receteler[Beton Sinifi],0))),"")</f>
        <v/>
      </c>
      <c r="G12" s="6" t="str">
        <f>IFERROR(IF($B12="","",$C12*INDEX(Receteler[Micir 5-12mm (kg)],MATCH($B12,Receteler[Beton Sinifi],0))),"")</f>
        <v/>
      </c>
      <c r="H12" s="6" t="str">
        <f>IFERROR(IF($B12="","",$C12*INDEX(Receteler[Micir 12-19mm (kg)],MATCH($B12,Receteler[Beton Sinifi],0))),"")</f>
        <v/>
      </c>
      <c r="I12" s="6" t="str">
        <f>IFERROR(IF($B12="","",$C12*INDEX(Receteler[Su (lt)],MATCH($B12,Receteler[Beton Sinifi],0))),"")</f>
        <v/>
      </c>
      <c r="J12" s="6" t="str">
        <f>IFERROR(IF($B12="","",$C12*INDEX(Receteler[Katki (kg)],MATCH($B12,Receteler[Beton Sinifi],0))),"")</f>
        <v/>
      </c>
      <c r="K12" s="20"/>
    </row>
    <row r="13" spans="1:11" x14ac:dyDescent="0.3">
      <c r="A13" s="27"/>
      <c r="B13" s="10"/>
      <c r="C13" s="28"/>
      <c r="D13" s="3" t="str">
        <f>IFERROR(IF($B13="","",$C13*INDEX(Receteler[Cimento (kg)],MATCH($B13,Receteler[Beton Sinifi],0))),"")</f>
        <v/>
      </c>
      <c r="E13" s="3" t="str">
        <f>IFERROR(IF($B13="","",$C13*INDEX(Receteler[Kum (kg)],MATCH($B13,Receteler[Beton Sinifi],0))),"")</f>
        <v/>
      </c>
      <c r="F13" s="3" t="str">
        <f>IFERROR(IF($B13="","",$C13*INDEX(Receteler[Micir 0-5mm (kg)],MATCH($B13,Receteler[Beton Sinifi],0))),"")</f>
        <v/>
      </c>
      <c r="G13" s="3" t="str">
        <f>IFERROR(IF($B13="","",$C13*INDEX(Receteler[Micir 5-12mm (kg)],MATCH($B13,Receteler[Beton Sinifi],0))),"")</f>
        <v/>
      </c>
      <c r="H13" s="3" t="str">
        <f>IFERROR(IF($B13="","",$C13*INDEX(Receteler[Micir 12-19mm (kg)],MATCH($B13,Receteler[Beton Sinifi],0))),"")</f>
        <v/>
      </c>
      <c r="I13" s="3" t="str">
        <f>IFERROR(IF($B13="","",$C13*INDEX(Receteler[Su (lt)],MATCH($B13,Receteler[Beton Sinifi],0))),"")</f>
        <v/>
      </c>
      <c r="J13" s="3" t="str">
        <f>IFERROR(IF($B13="","",$C13*INDEX(Receteler[Katki (kg)],MATCH($B13,Receteler[Beton Sinifi],0))),"")</f>
        <v/>
      </c>
      <c r="K13" s="15"/>
    </row>
    <row r="14" spans="1:11" x14ac:dyDescent="0.3">
      <c r="A14" s="29"/>
      <c r="B14" s="16"/>
      <c r="C14" s="30"/>
      <c r="D14" s="6" t="str">
        <f>IFERROR(IF($B14="","",$C14*INDEX(Receteler[Cimento (kg)],MATCH($B14,Receteler[Beton Sinifi],0))),"")</f>
        <v/>
      </c>
      <c r="E14" s="6" t="str">
        <f>IFERROR(IF($B14="","",$C14*INDEX(Receteler[Kum (kg)],MATCH($B14,Receteler[Beton Sinifi],0))),"")</f>
        <v/>
      </c>
      <c r="F14" s="6" t="str">
        <f>IFERROR(IF($B14="","",$C14*INDEX(Receteler[Micir 0-5mm (kg)],MATCH($B14,Receteler[Beton Sinifi],0))),"")</f>
        <v/>
      </c>
      <c r="G14" s="6" t="str">
        <f>IFERROR(IF($B14="","",$C14*INDEX(Receteler[Micir 5-12mm (kg)],MATCH($B14,Receteler[Beton Sinifi],0))),"")</f>
        <v/>
      </c>
      <c r="H14" s="6" t="str">
        <f>IFERROR(IF($B14="","",$C14*INDEX(Receteler[Micir 12-19mm (kg)],MATCH($B14,Receteler[Beton Sinifi],0))),"")</f>
        <v/>
      </c>
      <c r="I14" s="6" t="str">
        <f>IFERROR(IF($B14="","",$C14*INDEX(Receteler[Su (lt)],MATCH($B14,Receteler[Beton Sinifi],0))),"")</f>
        <v/>
      </c>
      <c r="J14" s="6" t="str">
        <f>IFERROR(IF($B14="","",$C14*INDEX(Receteler[Katki (kg)],MATCH($B14,Receteler[Beton Sinifi],0))),"")</f>
        <v/>
      </c>
      <c r="K14" s="20"/>
    </row>
    <row r="15" spans="1:11" x14ac:dyDescent="0.3">
      <c r="A15" s="27"/>
      <c r="B15" s="10"/>
      <c r="C15" s="28"/>
      <c r="D15" s="3" t="str">
        <f>IFERROR(IF($B15="","",$C15*INDEX(Receteler[Cimento (kg)],MATCH($B15,Receteler[Beton Sinifi],0))),"")</f>
        <v/>
      </c>
      <c r="E15" s="3" t="str">
        <f>IFERROR(IF($B15="","",$C15*INDEX(Receteler[Kum (kg)],MATCH($B15,Receteler[Beton Sinifi],0))),"")</f>
        <v/>
      </c>
      <c r="F15" s="3" t="str">
        <f>IFERROR(IF($B15="","",$C15*INDEX(Receteler[Micir 0-5mm (kg)],MATCH($B15,Receteler[Beton Sinifi],0))),"")</f>
        <v/>
      </c>
      <c r="G15" s="3" t="str">
        <f>IFERROR(IF($B15="","",$C15*INDEX(Receteler[Micir 5-12mm (kg)],MATCH($B15,Receteler[Beton Sinifi],0))),"")</f>
        <v/>
      </c>
      <c r="H15" s="3" t="str">
        <f>IFERROR(IF($B15="","",$C15*INDEX(Receteler[Micir 12-19mm (kg)],MATCH($B15,Receteler[Beton Sinifi],0))),"")</f>
        <v/>
      </c>
      <c r="I15" s="3" t="str">
        <f>IFERROR(IF($B15="","",$C15*INDEX(Receteler[Su (lt)],MATCH($B15,Receteler[Beton Sinifi],0))),"")</f>
        <v/>
      </c>
      <c r="J15" s="3" t="str">
        <f>IFERROR(IF($B15="","",$C15*INDEX(Receteler[Katki (kg)],MATCH($B15,Receteler[Beton Sinifi],0))),"")</f>
        <v/>
      </c>
      <c r="K15" s="15"/>
    </row>
    <row r="16" spans="1:11" x14ac:dyDescent="0.3">
      <c r="A16" s="29"/>
      <c r="B16" s="16"/>
      <c r="C16" s="30"/>
      <c r="D16" s="6" t="str">
        <f>IFERROR(IF($B16="","",$C16*INDEX(Receteler[Cimento (kg)],MATCH($B16,Receteler[Beton Sinifi],0))),"")</f>
        <v/>
      </c>
      <c r="E16" s="6" t="str">
        <f>IFERROR(IF($B16="","",$C16*INDEX(Receteler[Kum (kg)],MATCH($B16,Receteler[Beton Sinifi],0))),"")</f>
        <v/>
      </c>
      <c r="F16" s="6" t="str">
        <f>IFERROR(IF($B16="","",$C16*INDEX(Receteler[Micir 0-5mm (kg)],MATCH($B16,Receteler[Beton Sinifi],0))),"")</f>
        <v/>
      </c>
      <c r="G16" s="6" t="str">
        <f>IFERROR(IF($B16="","",$C16*INDEX(Receteler[Micir 5-12mm (kg)],MATCH($B16,Receteler[Beton Sinifi],0))),"")</f>
        <v/>
      </c>
      <c r="H16" s="6" t="str">
        <f>IFERROR(IF($B16="","",$C16*INDEX(Receteler[Micir 12-19mm (kg)],MATCH($B16,Receteler[Beton Sinifi],0))),"")</f>
        <v/>
      </c>
      <c r="I16" s="6" t="str">
        <f>IFERROR(IF($B16="","",$C16*INDEX(Receteler[Su (lt)],MATCH($B16,Receteler[Beton Sinifi],0))),"")</f>
        <v/>
      </c>
      <c r="J16" s="6" t="str">
        <f>IFERROR(IF($B16="","",$C16*INDEX(Receteler[Katki (kg)],MATCH($B16,Receteler[Beton Sinifi],0))),"")</f>
        <v/>
      </c>
      <c r="K16" s="20"/>
    </row>
    <row r="17" spans="1:11" x14ac:dyDescent="0.3">
      <c r="A17" s="27"/>
      <c r="B17" s="10"/>
      <c r="C17" s="28"/>
      <c r="D17" s="3" t="str">
        <f>IFERROR(IF($B17="","",$C17*INDEX(Receteler[Cimento (kg)],MATCH($B17,Receteler[Beton Sinifi],0))),"")</f>
        <v/>
      </c>
      <c r="E17" s="3" t="str">
        <f>IFERROR(IF($B17="","",$C17*INDEX(Receteler[Kum (kg)],MATCH($B17,Receteler[Beton Sinifi],0))),"")</f>
        <v/>
      </c>
      <c r="F17" s="3" t="str">
        <f>IFERROR(IF($B17="","",$C17*INDEX(Receteler[Micir 0-5mm (kg)],MATCH($B17,Receteler[Beton Sinifi],0))),"")</f>
        <v/>
      </c>
      <c r="G17" s="3" t="str">
        <f>IFERROR(IF($B17="","",$C17*INDEX(Receteler[Micir 5-12mm (kg)],MATCH($B17,Receteler[Beton Sinifi],0))),"")</f>
        <v/>
      </c>
      <c r="H17" s="3" t="str">
        <f>IFERROR(IF($B17="","",$C17*INDEX(Receteler[Micir 12-19mm (kg)],MATCH($B17,Receteler[Beton Sinifi],0))),"")</f>
        <v/>
      </c>
      <c r="I17" s="3" t="str">
        <f>IFERROR(IF($B17="","",$C17*INDEX(Receteler[Su (lt)],MATCH($B17,Receteler[Beton Sinifi],0))),"")</f>
        <v/>
      </c>
      <c r="J17" s="3" t="str">
        <f>IFERROR(IF($B17="","",$C17*INDEX(Receteler[Katki (kg)],MATCH($B17,Receteler[Beton Sinifi],0))),"")</f>
        <v/>
      </c>
      <c r="K17" s="15"/>
    </row>
    <row r="18" spans="1:11" x14ac:dyDescent="0.3">
      <c r="A18" s="29"/>
      <c r="B18" s="16"/>
      <c r="C18" s="30"/>
      <c r="D18" s="6" t="str">
        <f>IFERROR(IF($B18="","",$C18*INDEX(Receteler[Cimento (kg)],MATCH($B18,Receteler[Beton Sinifi],0))),"")</f>
        <v/>
      </c>
      <c r="E18" s="6" t="str">
        <f>IFERROR(IF($B18="","",$C18*INDEX(Receteler[Kum (kg)],MATCH($B18,Receteler[Beton Sinifi],0))),"")</f>
        <v/>
      </c>
      <c r="F18" s="6" t="str">
        <f>IFERROR(IF($B18="","",$C18*INDEX(Receteler[Micir 0-5mm (kg)],MATCH($B18,Receteler[Beton Sinifi],0))),"")</f>
        <v/>
      </c>
      <c r="G18" s="6" t="str">
        <f>IFERROR(IF($B18="","",$C18*INDEX(Receteler[Micir 5-12mm (kg)],MATCH($B18,Receteler[Beton Sinifi],0))),"")</f>
        <v/>
      </c>
      <c r="H18" s="6" t="str">
        <f>IFERROR(IF($B18="","",$C18*INDEX(Receteler[Micir 12-19mm (kg)],MATCH($B18,Receteler[Beton Sinifi],0))),"")</f>
        <v/>
      </c>
      <c r="I18" s="6" t="str">
        <f>IFERROR(IF($B18="","",$C18*INDEX(Receteler[Su (lt)],MATCH($B18,Receteler[Beton Sinifi],0))),"")</f>
        <v/>
      </c>
      <c r="J18" s="6" t="str">
        <f>IFERROR(IF($B18="","",$C18*INDEX(Receteler[Katki (kg)],MATCH($B18,Receteler[Beton Sinifi],0))),"")</f>
        <v/>
      </c>
      <c r="K18" s="20"/>
    </row>
    <row r="19" spans="1:11" x14ac:dyDescent="0.3">
      <c r="A19" s="27"/>
      <c r="B19" s="10"/>
      <c r="C19" s="28"/>
      <c r="D19" s="3" t="str">
        <f>IFERROR(IF($B19="","",$C19*INDEX(Receteler[Cimento (kg)],MATCH($B19,Receteler[Beton Sinifi],0))),"")</f>
        <v/>
      </c>
      <c r="E19" s="3" t="str">
        <f>IFERROR(IF($B19="","",$C19*INDEX(Receteler[Kum (kg)],MATCH($B19,Receteler[Beton Sinifi],0))),"")</f>
        <v/>
      </c>
      <c r="F19" s="3" t="str">
        <f>IFERROR(IF($B19="","",$C19*INDEX(Receteler[Micir 0-5mm (kg)],MATCH($B19,Receteler[Beton Sinifi],0))),"")</f>
        <v/>
      </c>
      <c r="G19" s="3" t="str">
        <f>IFERROR(IF($B19="","",$C19*INDEX(Receteler[Micir 5-12mm (kg)],MATCH($B19,Receteler[Beton Sinifi],0))),"")</f>
        <v/>
      </c>
      <c r="H19" s="3" t="str">
        <f>IFERROR(IF($B19="","",$C19*INDEX(Receteler[Micir 12-19mm (kg)],MATCH($B19,Receteler[Beton Sinifi],0))),"")</f>
        <v/>
      </c>
      <c r="I19" s="3" t="str">
        <f>IFERROR(IF($B19="","",$C19*INDEX(Receteler[Su (lt)],MATCH($B19,Receteler[Beton Sinifi],0))),"")</f>
        <v/>
      </c>
      <c r="J19" s="3" t="str">
        <f>IFERROR(IF($B19="","",$C19*INDEX(Receteler[Katki (kg)],MATCH($B19,Receteler[Beton Sinifi],0))),"")</f>
        <v/>
      </c>
      <c r="K19" s="15"/>
    </row>
    <row r="20" spans="1:11" x14ac:dyDescent="0.3">
      <c r="A20" s="29"/>
      <c r="B20" s="16"/>
      <c r="C20" s="30"/>
      <c r="D20" s="6" t="str">
        <f>IFERROR(IF($B20="","",$C20*INDEX(Receteler[Cimento (kg)],MATCH($B20,Receteler[Beton Sinifi],0))),"")</f>
        <v/>
      </c>
      <c r="E20" s="6" t="str">
        <f>IFERROR(IF($B20="","",$C20*INDEX(Receteler[Kum (kg)],MATCH($B20,Receteler[Beton Sinifi],0))),"")</f>
        <v/>
      </c>
      <c r="F20" s="6" t="str">
        <f>IFERROR(IF($B20="","",$C20*INDEX(Receteler[Micir 0-5mm (kg)],MATCH($B20,Receteler[Beton Sinifi],0))),"")</f>
        <v/>
      </c>
      <c r="G20" s="6" t="str">
        <f>IFERROR(IF($B20="","",$C20*INDEX(Receteler[Micir 5-12mm (kg)],MATCH($B20,Receteler[Beton Sinifi],0))),"")</f>
        <v/>
      </c>
      <c r="H20" s="6" t="str">
        <f>IFERROR(IF($B20="","",$C20*INDEX(Receteler[Micir 12-19mm (kg)],MATCH($B20,Receteler[Beton Sinifi],0))),"")</f>
        <v/>
      </c>
      <c r="I20" s="6" t="str">
        <f>IFERROR(IF($B20="","",$C20*INDEX(Receteler[Su (lt)],MATCH($B20,Receteler[Beton Sinifi],0))),"")</f>
        <v/>
      </c>
      <c r="J20" s="6" t="str">
        <f>IFERROR(IF($B20="","",$C20*INDEX(Receteler[Katki (kg)],MATCH($B20,Receteler[Beton Sinifi],0))),"")</f>
        <v/>
      </c>
      <c r="K20" s="20"/>
    </row>
    <row r="21" spans="1:11" x14ac:dyDescent="0.3">
      <c r="A21" s="27"/>
      <c r="B21" s="10"/>
      <c r="C21" s="28"/>
      <c r="D21" s="3" t="str">
        <f>IFERROR(IF($B21="","",$C21*INDEX(Receteler[Cimento (kg)],MATCH($B21,Receteler[Beton Sinifi],0))),"")</f>
        <v/>
      </c>
      <c r="E21" s="3" t="str">
        <f>IFERROR(IF($B21="","",$C21*INDEX(Receteler[Kum (kg)],MATCH($B21,Receteler[Beton Sinifi],0))),"")</f>
        <v/>
      </c>
      <c r="F21" s="3" t="str">
        <f>IFERROR(IF($B21="","",$C21*INDEX(Receteler[Micir 0-5mm (kg)],MATCH($B21,Receteler[Beton Sinifi],0))),"")</f>
        <v/>
      </c>
      <c r="G21" s="3" t="str">
        <f>IFERROR(IF($B21="","",$C21*INDEX(Receteler[Micir 5-12mm (kg)],MATCH($B21,Receteler[Beton Sinifi],0))),"")</f>
        <v/>
      </c>
      <c r="H21" s="3" t="str">
        <f>IFERROR(IF($B21="","",$C21*INDEX(Receteler[Micir 12-19mm (kg)],MATCH($B21,Receteler[Beton Sinifi],0))),"")</f>
        <v/>
      </c>
      <c r="I21" s="3" t="str">
        <f>IFERROR(IF($B21="","",$C21*INDEX(Receteler[Su (lt)],MATCH($B21,Receteler[Beton Sinifi],0))),"")</f>
        <v/>
      </c>
      <c r="J21" s="3" t="str">
        <f>IFERROR(IF($B21="","",$C21*INDEX(Receteler[Katki (kg)],MATCH($B21,Receteler[Beton Sinifi],0))),"")</f>
        <v/>
      </c>
      <c r="K21" s="15"/>
    </row>
    <row r="22" spans="1:11" x14ac:dyDescent="0.3">
      <c r="A22" s="29"/>
      <c r="B22" s="16"/>
      <c r="C22" s="30"/>
      <c r="D22" s="6" t="str">
        <f>IFERROR(IF($B22="","",$C22*INDEX(Receteler[Cimento (kg)],MATCH($B22,Receteler[Beton Sinifi],0))),"")</f>
        <v/>
      </c>
      <c r="E22" s="6" t="str">
        <f>IFERROR(IF($B22="","",$C22*INDEX(Receteler[Kum (kg)],MATCH($B22,Receteler[Beton Sinifi],0))),"")</f>
        <v/>
      </c>
      <c r="F22" s="6" t="str">
        <f>IFERROR(IF($B22="","",$C22*INDEX(Receteler[Micir 0-5mm (kg)],MATCH($B22,Receteler[Beton Sinifi],0))),"")</f>
        <v/>
      </c>
      <c r="G22" s="6" t="str">
        <f>IFERROR(IF($B22="","",$C22*INDEX(Receteler[Micir 5-12mm (kg)],MATCH($B22,Receteler[Beton Sinifi],0))),"")</f>
        <v/>
      </c>
      <c r="H22" s="6" t="str">
        <f>IFERROR(IF($B22="","",$C22*INDEX(Receteler[Micir 12-19mm (kg)],MATCH($B22,Receteler[Beton Sinifi],0))),"")</f>
        <v/>
      </c>
      <c r="I22" s="6" t="str">
        <f>IFERROR(IF($B22="","",$C22*INDEX(Receteler[Su (lt)],MATCH($B22,Receteler[Beton Sinifi],0))),"")</f>
        <v/>
      </c>
      <c r="J22" s="6" t="str">
        <f>IFERROR(IF($B22="","",$C22*INDEX(Receteler[Katki (kg)],MATCH($B22,Receteler[Beton Sinifi],0))),"")</f>
        <v/>
      </c>
      <c r="K22" s="20"/>
    </row>
    <row r="23" spans="1:11" x14ac:dyDescent="0.3">
      <c r="A23" s="27"/>
      <c r="B23" s="10"/>
      <c r="C23" s="28"/>
      <c r="D23" s="3" t="str">
        <f>IFERROR(IF($B23="","",$C23*INDEX(Receteler[Cimento (kg)],MATCH($B23,Receteler[Beton Sinifi],0))),"")</f>
        <v/>
      </c>
      <c r="E23" s="3" t="str">
        <f>IFERROR(IF($B23="","",$C23*INDEX(Receteler[Kum (kg)],MATCH($B23,Receteler[Beton Sinifi],0))),"")</f>
        <v/>
      </c>
      <c r="F23" s="3" t="str">
        <f>IFERROR(IF($B23="","",$C23*INDEX(Receteler[Micir 0-5mm (kg)],MATCH($B23,Receteler[Beton Sinifi],0))),"")</f>
        <v/>
      </c>
      <c r="G23" s="3" t="str">
        <f>IFERROR(IF($B23="","",$C23*INDEX(Receteler[Micir 5-12mm (kg)],MATCH($B23,Receteler[Beton Sinifi],0))),"")</f>
        <v/>
      </c>
      <c r="H23" s="3" t="str">
        <f>IFERROR(IF($B23="","",$C23*INDEX(Receteler[Micir 12-19mm (kg)],MATCH($B23,Receteler[Beton Sinifi],0))),"")</f>
        <v/>
      </c>
      <c r="I23" s="3" t="str">
        <f>IFERROR(IF($B23="","",$C23*INDEX(Receteler[Su (lt)],MATCH($B23,Receteler[Beton Sinifi],0))),"")</f>
        <v/>
      </c>
      <c r="J23" s="3" t="str">
        <f>IFERROR(IF($B23="","",$C23*INDEX(Receteler[Katki (kg)],MATCH($B23,Receteler[Beton Sinifi],0))),"")</f>
        <v/>
      </c>
      <c r="K23" s="15"/>
    </row>
    <row r="24" spans="1:11" x14ac:dyDescent="0.3">
      <c r="A24" s="29"/>
      <c r="B24" s="16"/>
      <c r="C24" s="30"/>
      <c r="D24" s="6" t="str">
        <f>IFERROR(IF($B24="","",$C24*INDEX(Receteler[Cimento (kg)],MATCH($B24,Receteler[Beton Sinifi],0))),"")</f>
        <v/>
      </c>
      <c r="E24" s="6" t="str">
        <f>IFERROR(IF($B24="","",$C24*INDEX(Receteler[Kum (kg)],MATCH($B24,Receteler[Beton Sinifi],0))),"")</f>
        <v/>
      </c>
      <c r="F24" s="6" t="str">
        <f>IFERROR(IF($B24="","",$C24*INDEX(Receteler[Micir 0-5mm (kg)],MATCH($B24,Receteler[Beton Sinifi],0))),"")</f>
        <v/>
      </c>
      <c r="G24" s="6" t="str">
        <f>IFERROR(IF($B24="","",$C24*INDEX(Receteler[Micir 5-12mm (kg)],MATCH($B24,Receteler[Beton Sinifi],0))),"")</f>
        <v/>
      </c>
      <c r="H24" s="6" t="str">
        <f>IFERROR(IF($B24="","",$C24*INDEX(Receteler[Micir 12-19mm (kg)],MATCH($B24,Receteler[Beton Sinifi],0))),"")</f>
        <v/>
      </c>
      <c r="I24" s="6" t="str">
        <f>IFERROR(IF($B24="","",$C24*INDEX(Receteler[Su (lt)],MATCH($B24,Receteler[Beton Sinifi],0))),"")</f>
        <v/>
      </c>
      <c r="J24" s="6" t="str">
        <f>IFERROR(IF($B24="","",$C24*INDEX(Receteler[Katki (kg)],MATCH($B24,Receteler[Beton Sinifi],0))),"")</f>
        <v/>
      </c>
      <c r="K24" s="20"/>
    </row>
    <row r="25" spans="1:11" x14ac:dyDescent="0.3">
      <c r="A25" s="27"/>
      <c r="B25" s="10"/>
      <c r="C25" s="28"/>
      <c r="D25" s="3" t="str">
        <f>IFERROR(IF($B25="","",$C25*INDEX(Receteler[Cimento (kg)],MATCH($B25,Receteler[Beton Sinifi],0))),"")</f>
        <v/>
      </c>
      <c r="E25" s="3" t="str">
        <f>IFERROR(IF($B25="","",$C25*INDEX(Receteler[Kum (kg)],MATCH($B25,Receteler[Beton Sinifi],0))),"")</f>
        <v/>
      </c>
      <c r="F25" s="3" t="str">
        <f>IFERROR(IF($B25="","",$C25*INDEX(Receteler[Micir 0-5mm (kg)],MATCH($B25,Receteler[Beton Sinifi],0))),"")</f>
        <v/>
      </c>
      <c r="G25" s="3" t="str">
        <f>IFERROR(IF($B25="","",$C25*INDEX(Receteler[Micir 5-12mm (kg)],MATCH($B25,Receteler[Beton Sinifi],0))),"")</f>
        <v/>
      </c>
      <c r="H25" s="3" t="str">
        <f>IFERROR(IF($B25="","",$C25*INDEX(Receteler[Micir 12-19mm (kg)],MATCH($B25,Receteler[Beton Sinifi],0))),"")</f>
        <v/>
      </c>
      <c r="I25" s="3" t="str">
        <f>IFERROR(IF($B25="","",$C25*INDEX(Receteler[Su (lt)],MATCH($B25,Receteler[Beton Sinifi],0))),"")</f>
        <v/>
      </c>
      <c r="J25" s="3" t="str">
        <f>IFERROR(IF($B25="","",$C25*INDEX(Receteler[Katki (kg)],MATCH($B25,Receteler[Beton Sinifi],0))),"")</f>
        <v/>
      </c>
      <c r="K25" s="15"/>
    </row>
    <row r="26" spans="1:11" x14ac:dyDescent="0.3">
      <c r="A26" s="29"/>
      <c r="B26" s="16"/>
      <c r="C26" s="30"/>
      <c r="D26" s="6" t="str">
        <f>IFERROR(IF($B26="","",$C26*INDEX(Receteler[Cimento (kg)],MATCH($B26,Receteler[Beton Sinifi],0))),"")</f>
        <v/>
      </c>
      <c r="E26" s="6" t="str">
        <f>IFERROR(IF($B26="","",$C26*INDEX(Receteler[Kum (kg)],MATCH($B26,Receteler[Beton Sinifi],0))),"")</f>
        <v/>
      </c>
      <c r="F26" s="6" t="str">
        <f>IFERROR(IF($B26="","",$C26*INDEX(Receteler[Micir 0-5mm (kg)],MATCH($B26,Receteler[Beton Sinifi],0))),"")</f>
        <v/>
      </c>
      <c r="G26" s="6" t="str">
        <f>IFERROR(IF($B26="","",$C26*INDEX(Receteler[Micir 5-12mm (kg)],MATCH($B26,Receteler[Beton Sinifi],0))),"")</f>
        <v/>
      </c>
      <c r="H26" s="6" t="str">
        <f>IFERROR(IF($B26="","",$C26*INDEX(Receteler[Micir 12-19mm (kg)],MATCH($B26,Receteler[Beton Sinifi],0))),"")</f>
        <v/>
      </c>
      <c r="I26" s="6" t="str">
        <f>IFERROR(IF($B26="","",$C26*INDEX(Receteler[Su (lt)],MATCH($B26,Receteler[Beton Sinifi],0))),"")</f>
        <v/>
      </c>
      <c r="J26" s="6" t="str">
        <f>IFERROR(IF($B26="","",$C26*INDEX(Receteler[Katki (kg)],MATCH($B26,Receteler[Beton Sinifi],0))),"")</f>
        <v/>
      </c>
      <c r="K26" s="20"/>
    </row>
    <row r="27" spans="1:11" x14ac:dyDescent="0.3">
      <c r="A27" s="27"/>
      <c r="B27" s="10"/>
      <c r="C27" s="28"/>
      <c r="D27" s="3" t="str">
        <f>IFERROR(IF($B27="","",$C27*INDEX(Receteler[Cimento (kg)],MATCH($B27,Receteler[Beton Sinifi],0))),"")</f>
        <v/>
      </c>
      <c r="E27" s="3" t="str">
        <f>IFERROR(IF($B27="","",$C27*INDEX(Receteler[Kum (kg)],MATCH($B27,Receteler[Beton Sinifi],0))),"")</f>
        <v/>
      </c>
      <c r="F27" s="3" t="str">
        <f>IFERROR(IF($B27="","",$C27*INDEX(Receteler[Micir 0-5mm (kg)],MATCH($B27,Receteler[Beton Sinifi],0))),"")</f>
        <v/>
      </c>
      <c r="G27" s="3" t="str">
        <f>IFERROR(IF($B27="","",$C27*INDEX(Receteler[Micir 5-12mm (kg)],MATCH($B27,Receteler[Beton Sinifi],0))),"")</f>
        <v/>
      </c>
      <c r="H27" s="3" t="str">
        <f>IFERROR(IF($B27="","",$C27*INDEX(Receteler[Micir 12-19mm (kg)],MATCH($B27,Receteler[Beton Sinifi],0))),"")</f>
        <v/>
      </c>
      <c r="I27" s="3" t="str">
        <f>IFERROR(IF($B27="","",$C27*INDEX(Receteler[Su (lt)],MATCH($B27,Receteler[Beton Sinifi],0))),"")</f>
        <v/>
      </c>
      <c r="J27" s="3" t="str">
        <f>IFERROR(IF($B27="","",$C27*INDEX(Receteler[Katki (kg)],MATCH($B27,Receteler[Beton Sinifi],0))),"")</f>
        <v/>
      </c>
      <c r="K27" s="15"/>
    </row>
    <row r="28" spans="1:11" x14ac:dyDescent="0.3">
      <c r="A28" s="29"/>
      <c r="B28" s="16"/>
      <c r="C28" s="30"/>
      <c r="D28" s="6" t="str">
        <f>IFERROR(IF($B28="","",$C28*INDEX(Receteler[Cimento (kg)],MATCH($B28,Receteler[Beton Sinifi],0))),"")</f>
        <v/>
      </c>
      <c r="E28" s="6" t="str">
        <f>IFERROR(IF($B28="","",$C28*INDEX(Receteler[Kum (kg)],MATCH($B28,Receteler[Beton Sinifi],0))),"")</f>
        <v/>
      </c>
      <c r="F28" s="6" t="str">
        <f>IFERROR(IF($B28="","",$C28*INDEX(Receteler[Micir 0-5mm (kg)],MATCH($B28,Receteler[Beton Sinifi],0))),"")</f>
        <v/>
      </c>
      <c r="G28" s="6" t="str">
        <f>IFERROR(IF($B28="","",$C28*INDEX(Receteler[Micir 5-12mm (kg)],MATCH($B28,Receteler[Beton Sinifi],0))),"")</f>
        <v/>
      </c>
      <c r="H28" s="6" t="str">
        <f>IFERROR(IF($B28="","",$C28*INDEX(Receteler[Micir 12-19mm (kg)],MATCH($B28,Receteler[Beton Sinifi],0))),"")</f>
        <v/>
      </c>
      <c r="I28" s="6" t="str">
        <f>IFERROR(IF($B28="","",$C28*INDEX(Receteler[Su (lt)],MATCH($B28,Receteler[Beton Sinifi],0))),"")</f>
        <v/>
      </c>
      <c r="J28" s="6" t="str">
        <f>IFERROR(IF($B28="","",$C28*INDEX(Receteler[Katki (kg)],MATCH($B28,Receteler[Beton Sinifi],0))),"")</f>
        <v/>
      </c>
      <c r="K28" s="20"/>
    </row>
    <row r="29" spans="1:11" x14ac:dyDescent="0.3">
      <c r="A29" s="27"/>
      <c r="B29" s="10"/>
      <c r="C29" s="28"/>
      <c r="D29" s="3" t="str">
        <f>IFERROR(IF($B29="","",$C29*INDEX(Receteler[Cimento (kg)],MATCH($B29,Receteler[Beton Sinifi],0))),"")</f>
        <v/>
      </c>
      <c r="E29" s="3" t="str">
        <f>IFERROR(IF($B29="","",$C29*INDEX(Receteler[Kum (kg)],MATCH($B29,Receteler[Beton Sinifi],0))),"")</f>
        <v/>
      </c>
      <c r="F29" s="3" t="str">
        <f>IFERROR(IF($B29="","",$C29*INDEX(Receteler[Micir 0-5mm (kg)],MATCH($B29,Receteler[Beton Sinifi],0))),"")</f>
        <v/>
      </c>
      <c r="G29" s="3" t="str">
        <f>IFERROR(IF($B29="","",$C29*INDEX(Receteler[Micir 5-12mm (kg)],MATCH($B29,Receteler[Beton Sinifi],0))),"")</f>
        <v/>
      </c>
      <c r="H29" s="3" t="str">
        <f>IFERROR(IF($B29="","",$C29*INDEX(Receteler[Micir 12-19mm (kg)],MATCH($B29,Receteler[Beton Sinifi],0))),"")</f>
        <v/>
      </c>
      <c r="I29" s="3" t="str">
        <f>IFERROR(IF($B29="","",$C29*INDEX(Receteler[Su (lt)],MATCH($B29,Receteler[Beton Sinifi],0))),"")</f>
        <v/>
      </c>
      <c r="J29" s="3" t="str">
        <f>IFERROR(IF($B29="","",$C29*INDEX(Receteler[Katki (kg)],MATCH($B29,Receteler[Beton Sinifi],0))),"")</f>
        <v/>
      </c>
      <c r="K29" s="15"/>
    </row>
    <row r="30" spans="1:11" x14ac:dyDescent="0.3">
      <c r="A30" s="29"/>
      <c r="B30" s="16"/>
      <c r="C30" s="30"/>
      <c r="D30" s="6" t="str">
        <f>IFERROR(IF($B30="","",$C30*INDEX(Receteler[Cimento (kg)],MATCH($B30,Receteler[Beton Sinifi],0))),"")</f>
        <v/>
      </c>
      <c r="E30" s="6" t="str">
        <f>IFERROR(IF($B30="","",$C30*INDEX(Receteler[Kum (kg)],MATCH($B30,Receteler[Beton Sinifi],0))),"")</f>
        <v/>
      </c>
      <c r="F30" s="6" t="str">
        <f>IFERROR(IF($B30="","",$C30*INDEX(Receteler[Micir 0-5mm (kg)],MATCH($B30,Receteler[Beton Sinifi],0))),"")</f>
        <v/>
      </c>
      <c r="G30" s="6" t="str">
        <f>IFERROR(IF($B30="","",$C30*INDEX(Receteler[Micir 5-12mm (kg)],MATCH($B30,Receteler[Beton Sinifi],0))),"")</f>
        <v/>
      </c>
      <c r="H30" s="6" t="str">
        <f>IFERROR(IF($B30="","",$C30*INDEX(Receteler[Micir 12-19mm (kg)],MATCH($B30,Receteler[Beton Sinifi],0))),"")</f>
        <v/>
      </c>
      <c r="I30" s="6" t="str">
        <f>IFERROR(IF($B30="","",$C30*INDEX(Receteler[Su (lt)],MATCH($B30,Receteler[Beton Sinifi],0))),"")</f>
        <v/>
      </c>
      <c r="J30" s="6" t="str">
        <f>IFERROR(IF($B30="","",$C30*INDEX(Receteler[Katki (kg)],MATCH($B30,Receteler[Beton Sinifi],0))),"")</f>
        <v/>
      </c>
      <c r="K30" s="20"/>
    </row>
    <row r="31" spans="1:11" x14ac:dyDescent="0.3">
      <c r="A31" s="27"/>
      <c r="B31" s="10"/>
      <c r="C31" s="28"/>
      <c r="D31" s="3" t="str">
        <f>IFERROR(IF($B31="","",$C31*INDEX(Receteler[Cimento (kg)],MATCH($B31,Receteler[Beton Sinifi],0))),"")</f>
        <v/>
      </c>
      <c r="E31" s="3" t="str">
        <f>IFERROR(IF($B31="","",$C31*INDEX(Receteler[Kum (kg)],MATCH($B31,Receteler[Beton Sinifi],0))),"")</f>
        <v/>
      </c>
      <c r="F31" s="3" t="str">
        <f>IFERROR(IF($B31="","",$C31*INDEX(Receteler[Micir 0-5mm (kg)],MATCH($B31,Receteler[Beton Sinifi],0))),"")</f>
        <v/>
      </c>
      <c r="G31" s="3" t="str">
        <f>IFERROR(IF($B31="","",$C31*INDEX(Receteler[Micir 5-12mm (kg)],MATCH($B31,Receteler[Beton Sinifi],0))),"")</f>
        <v/>
      </c>
      <c r="H31" s="3" t="str">
        <f>IFERROR(IF($B31="","",$C31*INDEX(Receteler[Micir 12-19mm (kg)],MATCH($B31,Receteler[Beton Sinifi],0))),"")</f>
        <v/>
      </c>
      <c r="I31" s="3" t="str">
        <f>IFERROR(IF($B31="","",$C31*INDEX(Receteler[Su (lt)],MATCH($B31,Receteler[Beton Sinifi],0))),"")</f>
        <v/>
      </c>
      <c r="J31" s="3" t="str">
        <f>IFERROR(IF($B31="","",$C31*INDEX(Receteler[Katki (kg)],MATCH($B31,Receteler[Beton Sinifi],0))),"")</f>
        <v/>
      </c>
      <c r="K31" s="15"/>
    </row>
    <row r="32" spans="1:11" x14ac:dyDescent="0.3">
      <c r="A32" s="29"/>
      <c r="B32" s="16"/>
      <c r="C32" s="30"/>
      <c r="D32" s="6" t="str">
        <f>IFERROR(IF($B32="","",$C32*INDEX(Receteler[Cimento (kg)],MATCH($B32,Receteler[Beton Sinifi],0))),"")</f>
        <v/>
      </c>
      <c r="E32" s="6" t="str">
        <f>IFERROR(IF($B32="","",$C32*INDEX(Receteler[Kum (kg)],MATCH($B32,Receteler[Beton Sinifi],0))),"")</f>
        <v/>
      </c>
      <c r="F32" s="6" t="str">
        <f>IFERROR(IF($B32="","",$C32*INDEX(Receteler[Micir 0-5mm (kg)],MATCH($B32,Receteler[Beton Sinifi],0))),"")</f>
        <v/>
      </c>
      <c r="G32" s="6" t="str">
        <f>IFERROR(IF($B32="","",$C32*INDEX(Receteler[Micir 5-12mm (kg)],MATCH($B32,Receteler[Beton Sinifi],0))),"")</f>
        <v/>
      </c>
      <c r="H32" s="6" t="str">
        <f>IFERROR(IF($B32="","",$C32*INDEX(Receteler[Micir 12-19mm (kg)],MATCH($B32,Receteler[Beton Sinifi],0))),"")</f>
        <v/>
      </c>
      <c r="I32" s="6" t="str">
        <f>IFERROR(IF($B32="","",$C32*INDEX(Receteler[Su (lt)],MATCH($B32,Receteler[Beton Sinifi],0))),"")</f>
        <v/>
      </c>
      <c r="J32" s="6" t="str">
        <f>IFERROR(IF($B32="","",$C32*INDEX(Receteler[Katki (kg)],MATCH($B32,Receteler[Beton Sinifi],0))),"")</f>
        <v/>
      </c>
      <c r="K32" s="20"/>
    </row>
    <row r="33" spans="1:11" x14ac:dyDescent="0.3">
      <c r="A33" s="27"/>
      <c r="B33" s="10"/>
      <c r="C33" s="28"/>
      <c r="D33" s="3" t="str">
        <f>IFERROR(IF($B33="","",$C33*INDEX(Receteler[Cimento (kg)],MATCH($B33,Receteler[Beton Sinifi],0))),"")</f>
        <v/>
      </c>
      <c r="E33" s="3" t="str">
        <f>IFERROR(IF($B33="","",$C33*INDEX(Receteler[Kum (kg)],MATCH($B33,Receteler[Beton Sinifi],0))),"")</f>
        <v/>
      </c>
      <c r="F33" s="3" t="str">
        <f>IFERROR(IF($B33="","",$C33*INDEX(Receteler[Micir 0-5mm (kg)],MATCH($B33,Receteler[Beton Sinifi],0))),"")</f>
        <v/>
      </c>
      <c r="G33" s="3" t="str">
        <f>IFERROR(IF($B33="","",$C33*INDEX(Receteler[Micir 5-12mm (kg)],MATCH($B33,Receteler[Beton Sinifi],0))),"")</f>
        <v/>
      </c>
      <c r="H33" s="3" t="str">
        <f>IFERROR(IF($B33="","",$C33*INDEX(Receteler[Micir 12-19mm (kg)],MATCH($B33,Receteler[Beton Sinifi],0))),"")</f>
        <v/>
      </c>
      <c r="I33" s="3" t="str">
        <f>IFERROR(IF($B33="","",$C33*INDEX(Receteler[Su (lt)],MATCH($B33,Receteler[Beton Sinifi],0))),"")</f>
        <v/>
      </c>
      <c r="J33" s="3" t="str">
        <f>IFERROR(IF($B33="","",$C33*INDEX(Receteler[Katki (kg)],MATCH($B33,Receteler[Beton Sinifi],0))),"")</f>
        <v/>
      </c>
      <c r="K33" s="15"/>
    </row>
    <row r="34" spans="1:11" x14ac:dyDescent="0.3">
      <c r="A34" s="29"/>
      <c r="B34" s="16"/>
      <c r="C34" s="30"/>
      <c r="D34" s="6" t="str">
        <f>IFERROR(IF($B34="","",$C34*INDEX(Receteler[Cimento (kg)],MATCH($B34,Receteler[Beton Sinifi],0))),"")</f>
        <v/>
      </c>
      <c r="E34" s="6" t="str">
        <f>IFERROR(IF($B34="","",$C34*INDEX(Receteler[Kum (kg)],MATCH($B34,Receteler[Beton Sinifi],0))),"")</f>
        <v/>
      </c>
      <c r="F34" s="6" t="str">
        <f>IFERROR(IF($B34="","",$C34*INDEX(Receteler[Micir 0-5mm (kg)],MATCH($B34,Receteler[Beton Sinifi],0))),"")</f>
        <v/>
      </c>
      <c r="G34" s="6" t="str">
        <f>IFERROR(IF($B34="","",$C34*INDEX(Receteler[Micir 5-12mm (kg)],MATCH($B34,Receteler[Beton Sinifi],0))),"")</f>
        <v/>
      </c>
      <c r="H34" s="6" t="str">
        <f>IFERROR(IF($B34="","",$C34*INDEX(Receteler[Micir 12-19mm (kg)],MATCH($B34,Receteler[Beton Sinifi],0))),"")</f>
        <v/>
      </c>
      <c r="I34" s="6" t="str">
        <f>IFERROR(IF($B34="","",$C34*INDEX(Receteler[Su (lt)],MATCH($B34,Receteler[Beton Sinifi],0))),"")</f>
        <v/>
      </c>
      <c r="J34" s="6" t="str">
        <f>IFERROR(IF($B34="","",$C34*INDEX(Receteler[Katki (kg)],MATCH($B34,Receteler[Beton Sinifi],0))),"")</f>
        <v/>
      </c>
      <c r="K34" s="20"/>
    </row>
    <row r="35" spans="1:11" x14ac:dyDescent="0.3">
      <c r="A35" s="27"/>
      <c r="B35" s="10"/>
      <c r="C35" s="28"/>
      <c r="D35" s="3" t="str">
        <f>IFERROR(IF($B35="","",$C35*INDEX(Receteler[Cimento (kg)],MATCH($B35,Receteler[Beton Sinifi],0))),"")</f>
        <v/>
      </c>
      <c r="E35" s="3" t="str">
        <f>IFERROR(IF($B35="","",$C35*INDEX(Receteler[Kum (kg)],MATCH($B35,Receteler[Beton Sinifi],0))),"")</f>
        <v/>
      </c>
      <c r="F35" s="3" t="str">
        <f>IFERROR(IF($B35="","",$C35*INDEX(Receteler[Micir 0-5mm (kg)],MATCH($B35,Receteler[Beton Sinifi],0))),"")</f>
        <v/>
      </c>
      <c r="G35" s="3" t="str">
        <f>IFERROR(IF($B35="","",$C35*INDEX(Receteler[Micir 5-12mm (kg)],MATCH($B35,Receteler[Beton Sinifi],0))),"")</f>
        <v/>
      </c>
      <c r="H35" s="3" t="str">
        <f>IFERROR(IF($B35="","",$C35*INDEX(Receteler[Micir 12-19mm (kg)],MATCH($B35,Receteler[Beton Sinifi],0))),"")</f>
        <v/>
      </c>
      <c r="I35" s="3" t="str">
        <f>IFERROR(IF($B35="","",$C35*INDEX(Receteler[Su (lt)],MATCH($B35,Receteler[Beton Sinifi],0))),"")</f>
        <v/>
      </c>
      <c r="J35" s="3" t="str">
        <f>IFERROR(IF($B35="","",$C35*INDEX(Receteler[Katki (kg)],MATCH($B35,Receteler[Beton Sinifi],0))),"")</f>
        <v/>
      </c>
      <c r="K35" s="15"/>
    </row>
    <row r="36" spans="1:11" x14ac:dyDescent="0.3">
      <c r="A36" s="29"/>
      <c r="B36" s="16"/>
      <c r="C36" s="30"/>
      <c r="D36" s="6" t="str">
        <f>IFERROR(IF($B36="","",$C36*INDEX(Receteler[Cimento (kg)],MATCH($B36,Receteler[Beton Sinifi],0))),"")</f>
        <v/>
      </c>
      <c r="E36" s="6" t="str">
        <f>IFERROR(IF($B36="","",$C36*INDEX(Receteler[Kum (kg)],MATCH($B36,Receteler[Beton Sinifi],0))),"")</f>
        <v/>
      </c>
      <c r="F36" s="6" t="str">
        <f>IFERROR(IF($B36="","",$C36*INDEX(Receteler[Micir 0-5mm (kg)],MATCH($B36,Receteler[Beton Sinifi],0))),"")</f>
        <v/>
      </c>
      <c r="G36" s="6" t="str">
        <f>IFERROR(IF($B36="","",$C36*INDEX(Receteler[Micir 5-12mm (kg)],MATCH($B36,Receteler[Beton Sinifi],0))),"")</f>
        <v/>
      </c>
      <c r="H36" s="6" t="str">
        <f>IFERROR(IF($B36="","",$C36*INDEX(Receteler[Micir 12-19mm (kg)],MATCH($B36,Receteler[Beton Sinifi],0))),"")</f>
        <v/>
      </c>
      <c r="I36" s="6" t="str">
        <f>IFERROR(IF($B36="","",$C36*INDEX(Receteler[Su (lt)],MATCH($B36,Receteler[Beton Sinifi],0))),"")</f>
        <v/>
      </c>
      <c r="J36" s="6" t="str">
        <f>IFERROR(IF($B36="","",$C36*INDEX(Receteler[Katki (kg)],MATCH($B36,Receteler[Beton Sinifi],0))),"")</f>
        <v/>
      </c>
      <c r="K36" s="20"/>
    </row>
    <row r="37" spans="1:11" x14ac:dyDescent="0.3">
      <c r="A37" s="27"/>
      <c r="B37" s="10"/>
      <c r="C37" s="28"/>
      <c r="D37" s="3" t="str">
        <f>IFERROR(IF($B37="","",$C37*INDEX(Receteler[Cimento (kg)],MATCH($B37,Receteler[Beton Sinifi],0))),"")</f>
        <v/>
      </c>
      <c r="E37" s="3" t="str">
        <f>IFERROR(IF($B37="","",$C37*INDEX(Receteler[Kum (kg)],MATCH($B37,Receteler[Beton Sinifi],0))),"")</f>
        <v/>
      </c>
      <c r="F37" s="3" t="str">
        <f>IFERROR(IF($B37="","",$C37*INDEX(Receteler[Micir 0-5mm (kg)],MATCH($B37,Receteler[Beton Sinifi],0))),"")</f>
        <v/>
      </c>
      <c r="G37" s="3" t="str">
        <f>IFERROR(IF($B37="","",$C37*INDEX(Receteler[Micir 5-12mm (kg)],MATCH($B37,Receteler[Beton Sinifi],0))),"")</f>
        <v/>
      </c>
      <c r="H37" s="3" t="str">
        <f>IFERROR(IF($B37="","",$C37*INDEX(Receteler[Micir 12-19mm (kg)],MATCH($B37,Receteler[Beton Sinifi],0))),"")</f>
        <v/>
      </c>
      <c r="I37" s="3" t="str">
        <f>IFERROR(IF($B37="","",$C37*INDEX(Receteler[Su (lt)],MATCH($B37,Receteler[Beton Sinifi],0))),"")</f>
        <v/>
      </c>
      <c r="J37" s="3" t="str">
        <f>IFERROR(IF($B37="","",$C37*INDEX(Receteler[Katki (kg)],MATCH($B37,Receteler[Beton Sinifi],0))),"")</f>
        <v/>
      </c>
      <c r="K37" s="15"/>
    </row>
    <row r="38" spans="1:11" x14ac:dyDescent="0.3">
      <c r="A38" s="29"/>
      <c r="B38" s="16"/>
      <c r="C38" s="30"/>
      <c r="D38" s="6" t="str">
        <f>IFERROR(IF($B38="","",$C38*INDEX(Receteler[Cimento (kg)],MATCH($B38,Receteler[Beton Sinifi],0))),"")</f>
        <v/>
      </c>
      <c r="E38" s="6" t="str">
        <f>IFERROR(IF($B38="","",$C38*INDEX(Receteler[Kum (kg)],MATCH($B38,Receteler[Beton Sinifi],0))),"")</f>
        <v/>
      </c>
      <c r="F38" s="6" t="str">
        <f>IFERROR(IF($B38="","",$C38*INDEX(Receteler[Micir 0-5mm (kg)],MATCH($B38,Receteler[Beton Sinifi],0))),"")</f>
        <v/>
      </c>
      <c r="G38" s="6" t="str">
        <f>IFERROR(IF($B38="","",$C38*INDEX(Receteler[Micir 5-12mm (kg)],MATCH($B38,Receteler[Beton Sinifi],0))),"")</f>
        <v/>
      </c>
      <c r="H38" s="6" t="str">
        <f>IFERROR(IF($B38="","",$C38*INDEX(Receteler[Micir 12-19mm (kg)],MATCH($B38,Receteler[Beton Sinifi],0))),"")</f>
        <v/>
      </c>
      <c r="I38" s="6" t="str">
        <f>IFERROR(IF($B38="","",$C38*INDEX(Receteler[Su (lt)],MATCH($B38,Receteler[Beton Sinifi],0))),"")</f>
        <v/>
      </c>
      <c r="J38" s="6" t="str">
        <f>IFERROR(IF($B38="","",$C38*INDEX(Receteler[Katki (kg)],MATCH($B38,Receteler[Beton Sinifi],0))),"")</f>
        <v/>
      </c>
      <c r="K38" s="20"/>
    </row>
    <row r="39" spans="1:11" x14ac:dyDescent="0.3">
      <c r="A39" s="27"/>
      <c r="B39" s="10"/>
      <c r="C39" s="28"/>
      <c r="D39" s="3" t="str">
        <f>IFERROR(IF($B39="","",$C39*INDEX(Receteler[Cimento (kg)],MATCH($B39,Receteler[Beton Sinifi],0))),"")</f>
        <v/>
      </c>
      <c r="E39" s="3" t="str">
        <f>IFERROR(IF($B39="","",$C39*INDEX(Receteler[Kum (kg)],MATCH($B39,Receteler[Beton Sinifi],0))),"")</f>
        <v/>
      </c>
      <c r="F39" s="3" t="str">
        <f>IFERROR(IF($B39="","",$C39*INDEX(Receteler[Micir 0-5mm (kg)],MATCH($B39,Receteler[Beton Sinifi],0))),"")</f>
        <v/>
      </c>
      <c r="G39" s="3" t="str">
        <f>IFERROR(IF($B39="","",$C39*INDEX(Receteler[Micir 5-12mm (kg)],MATCH($B39,Receteler[Beton Sinifi],0))),"")</f>
        <v/>
      </c>
      <c r="H39" s="3" t="str">
        <f>IFERROR(IF($B39="","",$C39*INDEX(Receteler[Micir 12-19mm (kg)],MATCH($B39,Receteler[Beton Sinifi],0))),"")</f>
        <v/>
      </c>
      <c r="I39" s="3" t="str">
        <f>IFERROR(IF($B39="","",$C39*INDEX(Receteler[Su (lt)],MATCH($B39,Receteler[Beton Sinifi],0))),"")</f>
        <v/>
      </c>
      <c r="J39" s="3" t="str">
        <f>IFERROR(IF($B39="","",$C39*INDEX(Receteler[Katki (kg)],MATCH($B39,Receteler[Beton Sinifi],0))),"")</f>
        <v/>
      </c>
      <c r="K39" s="15"/>
    </row>
    <row r="40" spans="1:11" x14ac:dyDescent="0.3">
      <c r="A40" s="29"/>
      <c r="B40" s="16"/>
      <c r="C40" s="30"/>
      <c r="D40" s="6" t="str">
        <f>IFERROR(IF($B40="","",$C40*INDEX(Receteler[Cimento (kg)],MATCH($B40,Receteler[Beton Sinifi],0))),"")</f>
        <v/>
      </c>
      <c r="E40" s="6" t="str">
        <f>IFERROR(IF($B40="","",$C40*INDEX(Receteler[Kum (kg)],MATCH($B40,Receteler[Beton Sinifi],0))),"")</f>
        <v/>
      </c>
      <c r="F40" s="6" t="str">
        <f>IFERROR(IF($B40="","",$C40*INDEX(Receteler[Micir 0-5mm (kg)],MATCH($B40,Receteler[Beton Sinifi],0))),"")</f>
        <v/>
      </c>
      <c r="G40" s="6" t="str">
        <f>IFERROR(IF($B40="","",$C40*INDEX(Receteler[Micir 5-12mm (kg)],MATCH($B40,Receteler[Beton Sinifi],0))),"")</f>
        <v/>
      </c>
      <c r="H40" s="6" t="str">
        <f>IFERROR(IF($B40="","",$C40*INDEX(Receteler[Micir 12-19mm (kg)],MATCH($B40,Receteler[Beton Sinifi],0))),"")</f>
        <v/>
      </c>
      <c r="I40" s="6" t="str">
        <f>IFERROR(IF($B40="","",$C40*INDEX(Receteler[Su (lt)],MATCH($B40,Receteler[Beton Sinifi],0))),"")</f>
        <v/>
      </c>
      <c r="J40" s="6" t="str">
        <f>IFERROR(IF($B40="","",$C40*INDEX(Receteler[Katki (kg)],MATCH($B40,Receteler[Beton Sinifi],0))),"")</f>
        <v/>
      </c>
      <c r="K40" s="20"/>
    </row>
    <row r="41" spans="1:11" x14ac:dyDescent="0.3">
      <c r="A41" s="27"/>
      <c r="B41" s="10"/>
      <c r="C41" s="28"/>
      <c r="D41" s="3" t="str">
        <f>IFERROR(IF($B41="","",$C41*INDEX(Receteler[Cimento (kg)],MATCH($B41,Receteler[Beton Sinifi],0))),"")</f>
        <v/>
      </c>
      <c r="E41" s="3" t="str">
        <f>IFERROR(IF($B41="","",$C41*INDEX(Receteler[Kum (kg)],MATCH($B41,Receteler[Beton Sinifi],0))),"")</f>
        <v/>
      </c>
      <c r="F41" s="3" t="str">
        <f>IFERROR(IF($B41="","",$C41*INDEX(Receteler[Micir 0-5mm (kg)],MATCH($B41,Receteler[Beton Sinifi],0))),"")</f>
        <v/>
      </c>
      <c r="G41" s="3" t="str">
        <f>IFERROR(IF($B41="","",$C41*INDEX(Receteler[Micir 5-12mm (kg)],MATCH($B41,Receteler[Beton Sinifi],0))),"")</f>
        <v/>
      </c>
      <c r="H41" s="3" t="str">
        <f>IFERROR(IF($B41="","",$C41*INDEX(Receteler[Micir 12-19mm (kg)],MATCH($B41,Receteler[Beton Sinifi],0))),"")</f>
        <v/>
      </c>
      <c r="I41" s="3" t="str">
        <f>IFERROR(IF($B41="","",$C41*INDEX(Receteler[Su (lt)],MATCH($B41,Receteler[Beton Sinifi],0))),"")</f>
        <v/>
      </c>
      <c r="J41" s="3" t="str">
        <f>IFERROR(IF($B41="","",$C41*INDEX(Receteler[Katki (kg)],MATCH($B41,Receteler[Beton Sinifi],0))),"")</f>
        <v/>
      </c>
      <c r="K41" s="15"/>
    </row>
    <row r="42" spans="1:11" x14ac:dyDescent="0.3">
      <c r="A42" s="29"/>
      <c r="B42" s="16"/>
      <c r="C42" s="30"/>
      <c r="D42" s="6" t="str">
        <f>IFERROR(IF($B42="","",$C42*INDEX(Receteler[Cimento (kg)],MATCH($B42,Receteler[Beton Sinifi],0))),"")</f>
        <v/>
      </c>
      <c r="E42" s="6" t="str">
        <f>IFERROR(IF($B42="","",$C42*INDEX(Receteler[Kum (kg)],MATCH($B42,Receteler[Beton Sinifi],0))),"")</f>
        <v/>
      </c>
      <c r="F42" s="6" t="str">
        <f>IFERROR(IF($B42="","",$C42*INDEX(Receteler[Micir 0-5mm (kg)],MATCH($B42,Receteler[Beton Sinifi],0))),"")</f>
        <v/>
      </c>
      <c r="G42" s="6" t="str">
        <f>IFERROR(IF($B42="","",$C42*INDEX(Receteler[Micir 5-12mm (kg)],MATCH($B42,Receteler[Beton Sinifi],0))),"")</f>
        <v/>
      </c>
      <c r="H42" s="6" t="str">
        <f>IFERROR(IF($B42="","",$C42*INDEX(Receteler[Micir 12-19mm (kg)],MATCH($B42,Receteler[Beton Sinifi],0))),"")</f>
        <v/>
      </c>
      <c r="I42" s="6" t="str">
        <f>IFERROR(IF($B42="","",$C42*INDEX(Receteler[Su (lt)],MATCH($B42,Receteler[Beton Sinifi],0))),"")</f>
        <v/>
      </c>
      <c r="J42" s="6" t="str">
        <f>IFERROR(IF($B42="","",$C42*INDEX(Receteler[Katki (kg)],MATCH($B42,Receteler[Beton Sinifi],0))),"")</f>
        <v/>
      </c>
      <c r="K42" s="20"/>
    </row>
    <row r="43" spans="1:11" x14ac:dyDescent="0.3">
      <c r="A43" s="27"/>
      <c r="B43" s="10"/>
      <c r="C43" s="28"/>
      <c r="D43" s="3" t="str">
        <f>IFERROR(IF($B43="","",$C43*INDEX(Receteler[Cimento (kg)],MATCH($B43,Receteler[Beton Sinifi],0))),"")</f>
        <v/>
      </c>
      <c r="E43" s="3" t="str">
        <f>IFERROR(IF($B43="","",$C43*INDEX(Receteler[Kum (kg)],MATCH($B43,Receteler[Beton Sinifi],0))),"")</f>
        <v/>
      </c>
      <c r="F43" s="3" t="str">
        <f>IFERROR(IF($B43="","",$C43*INDEX(Receteler[Micir 0-5mm (kg)],MATCH($B43,Receteler[Beton Sinifi],0))),"")</f>
        <v/>
      </c>
      <c r="G43" s="3" t="str">
        <f>IFERROR(IF($B43="","",$C43*INDEX(Receteler[Micir 5-12mm (kg)],MATCH($B43,Receteler[Beton Sinifi],0))),"")</f>
        <v/>
      </c>
      <c r="H43" s="3" t="str">
        <f>IFERROR(IF($B43="","",$C43*INDEX(Receteler[Micir 12-19mm (kg)],MATCH($B43,Receteler[Beton Sinifi],0))),"")</f>
        <v/>
      </c>
      <c r="I43" s="3" t="str">
        <f>IFERROR(IF($B43="","",$C43*INDEX(Receteler[Su (lt)],MATCH($B43,Receteler[Beton Sinifi],0))),"")</f>
        <v/>
      </c>
      <c r="J43" s="3" t="str">
        <f>IFERROR(IF($B43="","",$C43*INDEX(Receteler[Katki (kg)],MATCH($B43,Receteler[Beton Sinifi],0))),"")</f>
        <v/>
      </c>
      <c r="K43" s="15"/>
    </row>
    <row r="44" spans="1:11" x14ac:dyDescent="0.3">
      <c r="A44" s="29"/>
      <c r="B44" s="16"/>
      <c r="C44" s="30"/>
      <c r="D44" s="6" t="str">
        <f>IFERROR(IF($B44="","",$C44*INDEX(Receteler[Cimento (kg)],MATCH($B44,Receteler[Beton Sinifi],0))),"")</f>
        <v/>
      </c>
      <c r="E44" s="6" t="str">
        <f>IFERROR(IF($B44="","",$C44*INDEX(Receteler[Kum (kg)],MATCH($B44,Receteler[Beton Sinifi],0))),"")</f>
        <v/>
      </c>
      <c r="F44" s="6" t="str">
        <f>IFERROR(IF($B44="","",$C44*INDEX(Receteler[Micir 0-5mm (kg)],MATCH($B44,Receteler[Beton Sinifi],0))),"")</f>
        <v/>
      </c>
      <c r="G44" s="6" t="str">
        <f>IFERROR(IF($B44="","",$C44*INDEX(Receteler[Micir 5-12mm (kg)],MATCH($B44,Receteler[Beton Sinifi],0))),"")</f>
        <v/>
      </c>
      <c r="H44" s="6" t="str">
        <f>IFERROR(IF($B44="","",$C44*INDEX(Receteler[Micir 12-19mm (kg)],MATCH($B44,Receteler[Beton Sinifi],0))),"")</f>
        <v/>
      </c>
      <c r="I44" s="6" t="str">
        <f>IFERROR(IF($B44="","",$C44*INDEX(Receteler[Su (lt)],MATCH($B44,Receteler[Beton Sinifi],0))),"")</f>
        <v/>
      </c>
      <c r="J44" s="6" t="str">
        <f>IFERROR(IF($B44="","",$C44*INDEX(Receteler[Katki (kg)],MATCH($B44,Receteler[Beton Sinifi],0))),"")</f>
        <v/>
      </c>
      <c r="K44" s="20"/>
    </row>
    <row r="45" spans="1:11" x14ac:dyDescent="0.3">
      <c r="A45" s="27"/>
      <c r="B45" s="10"/>
      <c r="C45" s="28"/>
      <c r="D45" s="3" t="str">
        <f>IFERROR(IF($B45="","",$C45*INDEX(Receteler[Cimento (kg)],MATCH($B45,Receteler[Beton Sinifi],0))),"")</f>
        <v/>
      </c>
      <c r="E45" s="3" t="str">
        <f>IFERROR(IF($B45="","",$C45*INDEX(Receteler[Kum (kg)],MATCH($B45,Receteler[Beton Sinifi],0))),"")</f>
        <v/>
      </c>
      <c r="F45" s="3" t="str">
        <f>IFERROR(IF($B45="","",$C45*INDEX(Receteler[Micir 0-5mm (kg)],MATCH($B45,Receteler[Beton Sinifi],0))),"")</f>
        <v/>
      </c>
      <c r="G45" s="3" t="str">
        <f>IFERROR(IF($B45="","",$C45*INDEX(Receteler[Micir 5-12mm (kg)],MATCH($B45,Receteler[Beton Sinifi],0))),"")</f>
        <v/>
      </c>
      <c r="H45" s="3" t="str">
        <f>IFERROR(IF($B45="","",$C45*INDEX(Receteler[Micir 12-19mm (kg)],MATCH($B45,Receteler[Beton Sinifi],0))),"")</f>
        <v/>
      </c>
      <c r="I45" s="3" t="str">
        <f>IFERROR(IF($B45="","",$C45*INDEX(Receteler[Su (lt)],MATCH($B45,Receteler[Beton Sinifi],0))),"")</f>
        <v/>
      </c>
      <c r="J45" s="3" t="str">
        <f>IFERROR(IF($B45="","",$C45*INDEX(Receteler[Katki (kg)],MATCH($B45,Receteler[Beton Sinifi],0))),"")</f>
        <v/>
      </c>
      <c r="K45" s="15"/>
    </row>
    <row r="46" spans="1:11" x14ac:dyDescent="0.3">
      <c r="A46" s="29"/>
      <c r="B46" s="16"/>
      <c r="C46" s="30"/>
      <c r="D46" s="6" t="str">
        <f>IFERROR(IF($B46="","",$C46*INDEX(Receteler[Cimento (kg)],MATCH($B46,Receteler[Beton Sinifi],0))),"")</f>
        <v/>
      </c>
      <c r="E46" s="6" t="str">
        <f>IFERROR(IF($B46="","",$C46*INDEX(Receteler[Kum (kg)],MATCH($B46,Receteler[Beton Sinifi],0))),"")</f>
        <v/>
      </c>
      <c r="F46" s="6" t="str">
        <f>IFERROR(IF($B46="","",$C46*INDEX(Receteler[Micir 0-5mm (kg)],MATCH($B46,Receteler[Beton Sinifi],0))),"")</f>
        <v/>
      </c>
      <c r="G46" s="6" t="str">
        <f>IFERROR(IF($B46="","",$C46*INDEX(Receteler[Micir 5-12mm (kg)],MATCH($B46,Receteler[Beton Sinifi],0))),"")</f>
        <v/>
      </c>
      <c r="H46" s="6" t="str">
        <f>IFERROR(IF($B46="","",$C46*INDEX(Receteler[Micir 12-19mm (kg)],MATCH($B46,Receteler[Beton Sinifi],0))),"")</f>
        <v/>
      </c>
      <c r="I46" s="6" t="str">
        <f>IFERROR(IF($B46="","",$C46*INDEX(Receteler[Su (lt)],MATCH($B46,Receteler[Beton Sinifi],0))),"")</f>
        <v/>
      </c>
      <c r="J46" s="6" t="str">
        <f>IFERROR(IF($B46="","",$C46*INDEX(Receteler[Katki (kg)],MATCH($B46,Receteler[Beton Sinifi],0))),"")</f>
        <v/>
      </c>
      <c r="K46" s="20"/>
    </row>
    <row r="47" spans="1:11" x14ac:dyDescent="0.3">
      <c r="A47" s="27"/>
      <c r="B47" s="10"/>
      <c r="C47" s="28"/>
      <c r="D47" s="3" t="str">
        <f>IFERROR(IF($B47="","",$C47*INDEX(Receteler[Cimento (kg)],MATCH($B47,Receteler[Beton Sinifi],0))),"")</f>
        <v/>
      </c>
      <c r="E47" s="3" t="str">
        <f>IFERROR(IF($B47="","",$C47*INDEX(Receteler[Kum (kg)],MATCH($B47,Receteler[Beton Sinifi],0))),"")</f>
        <v/>
      </c>
      <c r="F47" s="3" t="str">
        <f>IFERROR(IF($B47="","",$C47*INDEX(Receteler[Micir 0-5mm (kg)],MATCH($B47,Receteler[Beton Sinifi],0))),"")</f>
        <v/>
      </c>
      <c r="G47" s="3" t="str">
        <f>IFERROR(IF($B47="","",$C47*INDEX(Receteler[Micir 5-12mm (kg)],MATCH($B47,Receteler[Beton Sinifi],0))),"")</f>
        <v/>
      </c>
      <c r="H47" s="3" t="str">
        <f>IFERROR(IF($B47="","",$C47*INDEX(Receteler[Micir 12-19mm (kg)],MATCH($B47,Receteler[Beton Sinifi],0))),"")</f>
        <v/>
      </c>
      <c r="I47" s="3" t="str">
        <f>IFERROR(IF($B47="","",$C47*INDEX(Receteler[Su (lt)],MATCH($B47,Receteler[Beton Sinifi],0))),"")</f>
        <v/>
      </c>
      <c r="J47" s="3" t="str">
        <f>IFERROR(IF($B47="","",$C47*INDEX(Receteler[Katki (kg)],MATCH($B47,Receteler[Beton Sinifi],0))),"")</f>
        <v/>
      </c>
      <c r="K47" s="15"/>
    </row>
    <row r="48" spans="1:11" x14ac:dyDescent="0.3">
      <c r="A48" s="29"/>
      <c r="B48" s="16"/>
      <c r="C48" s="30"/>
      <c r="D48" s="6" t="str">
        <f>IFERROR(IF($B48="","",$C48*INDEX(Receteler[Cimento (kg)],MATCH($B48,Receteler[Beton Sinifi],0))),"")</f>
        <v/>
      </c>
      <c r="E48" s="6" t="str">
        <f>IFERROR(IF($B48="","",$C48*INDEX(Receteler[Kum (kg)],MATCH($B48,Receteler[Beton Sinifi],0))),"")</f>
        <v/>
      </c>
      <c r="F48" s="6" t="str">
        <f>IFERROR(IF($B48="","",$C48*INDEX(Receteler[Micir 0-5mm (kg)],MATCH($B48,Receteler[Beton Sinifi],0))),"")</f>
        <v/>
      </c>
      <c r="G48" s="6" t="str">
        <f>IFERROR(IF($B48="","",$C48*INDEX(Receteler[Micir 5-12mm (kg)],MATCH($B48,Receteler[Beton Sinifi],0))),"")</f>
        <v/>
      </c>
      <c r="H48" s="6" t="str">
        <f>IFERROR(IF($B48="","",$C48*INDEX(Receteler[Micir 12-19mm (kg)],MATCH($B48,Receteler[Beton Sinifi],0))),"")</f>
        <v/>
      </c>
      <c r="I48" s="6" t="str">
        <f>IFERROR(IF($B48="","",$C48*INDEX(Receteler[Su (lt)],MATCH($B48,Receteler[Beton Sinifi],0))),"")</f>
        <v/>
      </c>
      <c r="J48" s="6" t="str">
        <f>IFERROR(IF($B48="","",$C48*INDEX(Receteler[Katki (kg)],MATCH($B48,Receteler[Beton Sinifi],0))),"")</f>
        <v/>
      </c>
      <c r="K48" s="20"/>
    </row>
    <row r="49" spans="1:11" x14ac:dyDescent="0.3">
      <c r="A49" s="27"/>
      <c r="B49" s="10"/>
      <c r="C49" s="28"/>
      <c r="D49" s="3" t="str">
        <f>IFERROR(IF($B49="","",$C49*INDEX(Receteler[Cimento (kg)],MATCH($B49,Receteler[Beton Sinifi],0))),"")</f>
        <v/>
      </c>
      <c r="E49" s="3" t="str">
        <f>IFERROR(IF($B49="","",$C49*INDEX(Receteler[Kum (kg)],MATCH($B49,Receteler[Beton Sinifi],0))),"")</f>
        <v/>
      </c>
      <c r="F49" s="3" t="str">
        <f>IFERROR(IF($B49="","",$C49*INDEX(Receteler[Micir 0-5mm (kg)],MATCH($B49,Receteler[Beton Sinifi],0))),"")</f>
        <v/>
      </c>
      <c r="G49" s="3" t="str">
        <f>IFERROR(IF($B49="","",$C49*INDEX(Receteler[Micir 5-12mm (kg)],MATCH($B49,Receteler[Beton Sinifi],0))),"")</f>
        <v/>
      </c>
      <c r="H49" s="3" t="str">
        <f>IFERROR(IF($B49="","",$C49*INDEX(Receteler[Micir 12-19mm (kg)],MATCH($B49,Receteler[Beton Sinifi],0))),"")</f>
        <v/>
      </c>
      <c r="I49" s="3" t="str">
        <f>IFERROR(IF($B49="","",$C49*INDEX(Receteler[Su (lt)],MATCH($B49,Receteler[Beton Sinifi],0))),"")</f>
        <v/>
      </c>
      <c r="J49" s="3" t="str">
        <f>IFERROR(IF($B49="","",$C49*INDEX(Receteler[Katki (kg)],MATCH($B49,Receteler[Beton Sinifi],0))),"")</f>
        <v/>
      </c>
      <c r="K49" s="15"/>
    </row>
    <row r="50" spans="1:11" x14ac:dyDescent="0.3">
      <c r="A50" s="29"/>
      <c r="B50" s="16"/>
      <c r="C50" s="30"/>
      <c r="D50" s="6" t="str">
        <f>IFERROR(IF($B50="","",$C50*INDEX(Receteler[Cimento (kg)],MATCH($B50,Receteler[Beton Sinifi],0))),"")</f>
        <v/>
      </c>
      <c r="E50" s="6" t="str">
        <f>IFERROR(IF($B50="","",$C50*INDEX(Receteler[Kum (kg)],MATCH($B50,Receteler[Beton Sinifi],0))),"")</f>
        <v/>
      </c>
      <c r="F50" s="6" t="str">
        <f>IFERROR(IF($B50="","",$C50*INDEX(Receteler[Micir 0-5mm (kg)],MATCH($B50,Receteler[Beton Sinifi],0))),"")</f>
        <v/>
      </c>
      <c r="G50" s="6" t="str">
        <f>IFERROR(IF($B50="","",$C50*INDEX(Receteler[Micir 5-12mm (kg)],MATCH($B50,Receteler[Beton Sinifi],0))),"")</f>
        <v/>
      </c>
      <c r="H50" s="6" t="str">
        <f>IFERROR(IF($B50="","",$C50*INDEX(Receteler[Micir 12-19mm (kg)],MATCH($B50,Receteler[Beton Sinifi],0))),"")</f>
        <v/>
      </c>
      <c r="I50" s="6" t="str">
        <f>IFERROR(IF($B50="","",$C50*INDEX(Receteler[Su (lt)],MATCH($B50,Receteler[Beton Sinifi],0))),"")</f>
        <v/>
      </c>
      <c r="J50" s="6" t="str">
        <f>IFERROR(IF($B50="","",$C50*INDEX(Receteler[Katki (kg)],MATCH($B50,Receteler[Beton Sinifi],0))),"")</f>
        <v/>
      </c>
      <c r="K50" s="20"/>
    </row>
    <row r="51" spans="1:11" x14ac:dyDescent="0.3">
      <c r="A51" s="27"/>
      <c r="B51" s="10"/>
      <c r="C51" s="28"/>
      <c r="D51" s="3" t="str">
        <f>IFERROR(IF($B51="","",$C51*INDEX(Receteler[Cimento (kg)],MATCH($B51,Receteler[Beton Sinifi],0))),"")</f>
        <v/>
      </c>
      <c r="E51" s="3" t="str">
        <f>IFERROR(IF($B51="","",$C51*INDEX(Receteler[Kum (kg)],MATCH($B51,Receteler[Beton Sinifi],0))),"")</f>
        <v/>
      </c>
      <c r="F51" s="3" t="str">
        <f>IFERROR(IF($B51="","",$C51*INDEX(Receteler[Micir 0-5mm (kg)],MATCH($B51,Receteler[Beton Sinifi],0))),"")</f>
        <v/>
      </c>
      <c r="G51" s="3" t="str">
        <f>IFERROR(IF($B51="","",$C51*INDEX(Receteler[Micir 5-12mm (kg)],MATCH($B51,Receteler[Beton Sinifi],0))),"")</f>
        <v/>
      </c>
      <c r="H51" s="3" t="str">
        <f>IFERROR(IF($B51="","",$C51*INDEX(Receteler[Micir 12-19mm (kg)],MATCH($B51,Receteler[Beton Sinifi],0))),"")</f>
        <v/>
      </c>
      <c r="I51" s="3" t="str">
        <f>IFERROR(IF($B51="","",$C51*INDEX(Receteler[Su (lt)],MATCH($B51,Receteler[Beton Sinifi],0))),"")</f>
        <v/>
      </c>
      <c r="J51" s="3" t="str">
        <f>IFERROR(IF($B51="","",$C51*INDEX(Receteler[Katki (kg)],MATCH($B51,Receteler[Beton Sinifi],0))),"")</f>
        <v/>
      </c>
      <c r="K51" s="15"/>
    </row>
    <row r="52" spans="1:11" x14ac:dyDescent="0.3">
      <c r="A52" s="29"/>
      <c r="B52" s="16"/>
      <c r="C52" s="30"/>
      <c r="D52" s="6" t="str">
        <f>IFERROR(IF($B52="","",$C52*INDEX(Receteler[Cimento (kg)],MATCH($B52,Receteler[Beton Sinifi],0))),"")</f>
        <v/>
      </c>
      <c r="E52" s="6" t="str">
        <f>IFERROR(IF($B52="","",$C52*INDEX(Receteler[Kum (kg)],MATCH($B52,Receteler[Beton Sinifi],0))),"")</f>
        <v/>
      </c>
      <c r="F52" s="6" t="str">
        <f>IFERROR(IF($B52="","",$C52*INDEX(Receteler[Micir 0-5mm (kg)],MATCH($B52,Receteler[Beton Sinifi],0))),"")</f>
        <v/>
      </c>
      <c r="G52" s="6" t="str">
        <f>IFERROR(IF($B52="","",$C52*INDEX(Receteler[Micir 5-12mm (kg)],MATCH($B52,Receteler[Beton Sinifi],0))),"")</f>
        <v/>
      </c>
      <c r="H52" s="6" t="str">
        <f>IFERROR(IF($B52="","",$C52*INDEX(Receteler[Micir 12-19mm (kg)],MATCH($B52,Receteler[Beton Sinifi],0))),"")</f>
        <v/>
      </c>
      <c r="I52" s="6" t="str">
        <f>IFERROR(IF($B52="","",$C52*INDEX(Receteler[Su (lt)],MATCH($B52,Receteler[Beton Sinifi],0))),"")</f>
        <v/>
      </c>
      <c r="J52" s="6" t="str">
        <f>IFERROR(IF($B52="","",$C52*INDEX(Receteler[Katki (kg)],MATCH($B52,Receteler[Beton Sinifi],0))),"")</f>
        <v/>
      </c>
      <c r="K52" s="20"/>
    </row>
    <row r="53" spans="1:11" x14ac:dyDescent="0.3">
      <c r="A53" s="27"/>
      <c r="B53" s="10"/>
      <c r="C53" s="28"/>
      <c r="D53" s="3" t="str">
        <f>IFERROR(IF($B53="","",$C53*INDEX(Receteler[Cimento (kg)],MATCH($B53,Receteler[Beton Sinifi],0))),"")</f>
        <v/>
      </c>
      <c r="E53" s="3" t="str">
        <f>IFERROR(IF($B53="","",$C53*INDEX(Receteler[Kum (kg)],MATCH($B53,Receteler[Beton Sinifi],0))),"")</f>
        <v/>
      </c>
      <c r="F53" s="3" t="str">
        <f>IFERROR(IF($B53="","",$C53*INDEX(Receteler[Micir 0-5mm (kg)],MATCH($B53,Receteler[Beton Sinifi],0))),"")</f>
        <v/>
      </c>
      <c r="G53" s="3" t="str">
        <f>IFERROR(IF($B53="","",$C53*INDEX(Receteler[Micir 5-12mm (kg)],MATCH($B53,Receteler[Beton Sinifi],0))),"")</f>
        <v/>
      </c>
      <c r="H53" s="3" t="str">
        <f>IFERROR(IF($B53="","",$C53*INDEX(Receteler[Micir 12-19mm (kg)],MATCH($B53,Receteler[Beton Sinifi],0))),"")</f>
        <v/>
      </c>
      <c r="I53" s="3" t="str">
        <f>IFERROR(IF($B53="","",$C53*INDEX(Receteler[Su (lt)],MATCH($B53,Receteler[Beton Sinifi],0))),"")</f>
        <v/>
      </c>
      <c r="J53" s="3" t="str">
        <f>IFERROR(IF($B53="","",$C53*INDEX(Receteler[Katki (kg)],MATCH($B53,Receteler[Beton Sinifi],0))),"")</f>
        <v/>
      </c>
      <c r="K53" s="15"/>
    </row>
    <row r="54" spans="1:11" x14ac:dyDescent="0.3">
      <c r="A54" s="29"/>
      <c r="B54" s="16"/>
      <c r="C54" s="30"/>
      <c r="D54" s="6" t="str">
        <f>IFERROR(IF($B54="","",$C54*INDEX(Receteler[Cimento (kg)],MATCH($B54,Receteler[Beton Sinifi],0))),"")</f>
        <v/>
      </c>
      <c r="E54" s="6" t="str">
        <f>IFERROR(IF($B54="","",$C54*INDEX(Receteler[Kum (kg)],MATCH($B54,Receteler[Beton Sinifi],0))),"")</f>
        <v/>
      </c>
      <c r="F54" s="6" t="str">
        <f>IFERROR(IF($B54="","",$C54*INDEX(Receteler[Micir 0-5mm (kg)],MATCH($B54,Receteler[Beton Sinifi],0))),"")</f>
        <v/>
      </c>
      <c r="G54" s="6" t="str">
        <f>IFERROR(IF($B54="","",$C54*INDEX(Receteler[Micir 5-12mm (kg)],MATCH($B54,Receteler[Beton Sinifi],0))),"")</f>
        <v/>
      </c>
      <c r="H54" s="6" t="str">
        <f>IFERROR(IF($B54="","",$C54*INDEX(Receteler[Micir 12-19mm (kg)],MATCH($B54,Receteler[Beton Sinifi],0))),"")</f>
        <v/>
      </c>
      <c r="I54" s="6" t="str">
        <f>IFERROR(IF($B54="","",$C54*INDEX(Receteler[Su (lt)],MATCH($B54,Receteler[Beton Sinifi],0))),"")</f>
        <v/>
      </c>
      <c r="J54" s="6" t="str">
        <f>IFERROR(IF($B54="","",$C54*INDEX(Receteler[Katki (kg)],MATCH($B54,Receteler[Beton Sinifi],0))),"")</f>
        <v/>
      </c>
      <c r="K54" s="20"/>
    </row>
    <row r="55" spans="1:11" x14ac:dyDescent="0.3">
      <c r="A55" s="27"/>
      <c r="B55" s="10"/>
      <c r="C55" s="28"/>
      <c r="D55" s="3" t="str">
        <f>IFERROR(IF($B55="","",$C55*INDEX(Receteler[Cimento (kg)],MATCH($B55,Receteler[Beton Sinifi],0))),"")</f>
        <v/>
      </c>
      <c r="E55" s="3" t="str">
        <f>IFERROR(IF($B55="","",$C55*INDEX(Receteler[Kum (kg)],MATCH($B55,Receteler[Beton Sinifi],0))),"")</f>
        <v/>
      </c>
      <c r="F55" s="3" t="str">
        <f>IFERROR(IF($B55="","",$C55*INDEX(Receteler[Micir 0-5mm (kg)],MATCH($B55,Receteler[Beton Sinifi],0))),"")</f>
        <v/>
      </c>
      <c r="G55" s="3" t="str">
        <f>IFERROR(IF($B55="","",$C55*INDEX(Receteler[Micir 5-12mm (kg)],MATCH($B55,Receteler[Beton Sinifi],0))),"")</f>
        <v/>
      </c>
      <c r="H55" s="3" t="str">
        <f>IFERROR(IF($B55="","",$C55*INDEX(Receteler[Micir 12-19mm (kg)],MATCH($B55,Receteler[Beton Sinifi],0))),"")</f>
        <v/>
      </c>
      <c r="I55" s="3" t="str">
        <f>IFERROR(IF($B55="","",$C55*INDEX(Receteler[Su (lt)],MATCH($B55,Receteler[Beton Sinifi],0))),"")</f>
        <v/>
      </c>
      <c r="J55" s="3" t="str">
        <f>IFERROR(IF($B55="","",$C55*INDEX(Receteler[Katki (kg)],MATCH($B55,Receteler[Beton Sinifi],0))),"")</f>
        <v/>
      </c>
      <c r="K55" s="15"/>
    </row>
    <row r="56" spans="1:11" x14ac:dyDescent="0.3">
      <c r="A56" s="29"/>
      <c r="B56" s="16"/>
      <c r="C56" s="30"/>
      <c r="D56" s="6" t="str">
        <f>IFERROR(IF($B56="","",$C56*INDEX(Receteler[Cimento (kg)],MATCH($B56,Receteler[Beton Sinifi],0))),"")</f>
        <v/>
      </c>
      <c r="E56" s="6" t="str">
        <f>IFERROR(IF($B56="","",$C56*INDEX(Receteler[Kum (kg)],MATCH($B56,Receteler[Beton Sinifi],0))),"")</f>
        <v/>
      </c>
      <c r="F56" s="6" t="str">
        <f>IFERROR(IF($B56="","",$C56*INDEX(Receteler[Micir 0-5mm (kg)],MATCH($B56,Receteler[Beton Sinifi],0))),"")</f>
        <v/>
      </c>
      <c r="G56" s="6" t="str">
        <f>IFERROR(IF($B56="","",$C56*INDEX(Receteler[Micir 5-12mm (kg)],MATCH($B56,Receteler[Beton Sinifi],0))),"")</f>
        <v/>
      </c>
      <c r="H56" s="6" t="str">
        <f>IFERROR(IF($B56="","",$C56*INDEX(Receteler[Micir 12-19mm (kg)],MATCH($B56,Receteler[Beton Sinifi],0))),"")</f>
        <v/>
      </c>
      <c r="I56" s="6" t="str">
        <f>IFERROR(IF($B56="","",$C56*INDEX(Receteler[Su (lt)],MATCH($B56,Receteler[Beton Sinifi],0))),"")</f>
        <v/>
      </c>
      <c r="J56" s="6" t="str">
        <f>IFERROR(IF($B56="","",$C56*INDEX(Receteler[Katki (kg)],MATCH($B56,Receteler[Beton Sinifi],0))),"")</f>
        <v/>
      </c>
      <c r="K56" s="20"/>
    </row>
    <row r="57" spans="1:11" x14ac:dyDescent="0.3">
      <c r="A57" s="27"/>
      <c r="B57" s="10"/>
      <c r="C57" s="28"/>
      <c r="D57" s="3" t="str">
        <f>IFERROR(IF($B57="","",$C57*INDEX(Receteler[Cimento (kg)],MATCH($B57,Receteler[Beton Sinifi],0))),"")</f>
        <v/>
      </c>
      <c r="E57" s="3" t="str">
        <f>IFERROR(IF($B57="","",$C57*INDEX(Receteler[Kum (kg)],MATCH($B57,Receteler[Beton Sinifi],0))),"")</f>
        <v/>
      </c>
      <c r="F57" s="3" t="str">
        <f>IFERROR(IF($B57="","",$C57*INDEX(Receteler[Micir 0-5mm (kg)],MATCH($B57,Receteler[Beton Sinifi],0))),"")</f>
        <v/>
      </c>
      <c r="G57" s="3" t="str">
        <f>IFERROR(IF($B57="","",$C57*INDEX(Receteler[Micir 5-12mm (kg)],MATCH($B57,Receteler[Beton Sinifi],0))),"")</f>
        <v/>
      </c>
      <c r="H57" s="3" t="str">
        <f>IFERROR(IF($B57="","",$C57*INDEX(Receteler[Micir 12-19mm (kg)],MATCH($B57,Receteler[Beton Sinifi],0))),"")</f>
        <v/>
      </c>
      <c r="I57" s="3" t="str">
        <f>IFERROR(IF($B57="","",$C57*INDEX(Receteler[Su (lt)],MATCH($B57,Receteler[Beton Sinifi],0))),"")</f>
        <v/>
      </c>
      <c r="J57" s="3" t="str">
        <f>IFERROR(IF($B57="","",$C57*INDEX(Receteler[Katki (kg)],MATCH($B57,Receteler[Beton Sinifi],0))),"")</f>
        <v/>
      </c>
      <c r="K57" s="15"/>
    </row>
    <row r="58" spans="1:11" x14ac:dyDescent="0.3">
      <c r="A58" s="29"/>
      <c r="B58" s="16"/>
      <c r="C58" s="30"/>
      <c r="D58" s="6" t="str">
        <f>IFERROR(IF($B58="","",$C58*INDEX(Receteler[Cimento (kg)],MATCH($B58,Receteler[Beton Sinifi],0))),"")</f>
        <v/>
      </c>
      <c r="E58" s="6" t="str">
        <f>IFERROR(IF($B58="","",$C58*INDEX(Receteler[Kum (kg)],MATCH($B58,Receteler[Beton Sinifi],0))),"")</f>
        <v/>
      </c>
      <c r="F58" s="6" t="str">
        <f>IFERROR(IF($B58="","",$C58*INDEX(Receteler[Micir 0-5mm (kg)],MATCH($B58,Receteler[Beton Sinifi],0))),"")</f>
        <v/>
      </c>
      <c r="G58" s="6" t="str">
        <f>IFERROR(IF($B58="","",$C58*INDEX(Receteler[Micir 5-12mm (kg)],MATCH($B58,Receteler[Beton Sinifi],0))),"")</f>
        <v/>
      </c>
      <c r="H58" s="6" t="str">
        <f>IFERROR(IF($B58="","",$C58*INDEX(Receteler[Micir 12-19mm (kg)],MATCH($B58,Receteler[Beton Sinifi],0))),"")</f>
        <v/>
      </c>
      <c r="I58" s="6" t="str">
        <f>IFERROR(IF($B58="","",$C58*INDEX(Receteler[Su (lt)],MATCH($B58,Receteler[Beton Sinifi],0))),"")</f>
        <v/>
      </c>
      <c r="J58" s="6" t="str">
        <f>IFERROR(IF($B58="","",$C58*INDEX(Receteler[Katki (kg)],MATCH($B58,Receteler[Beton Sinifi],0))),"")</f>
        <v/>
      </c>
      <c r="K58" s="20"/>
    </row>
    <row r="59" spans="1:11" x14ac:dyDescent="0.3">
      <c r="A59" s="27"/>
      <c r="B59" s="10"/>
      <c r="C59" s="28"/>
      <c r="D59" s="3" t="str">
        <f>IFERROR(IF($B59="","",$C59*INDEX(Receteler[Cimento (kg)],MATCH($B59,Receteler[Beton Sinifi],0))),"")</f>
        <v/>
      </c>
      <c r="E59" s="3" t="str">
        <f>IFERROR(IF($B59="","",$C59*INDEX(Receteler[Kum (kg)],MATCH($B59,Receteler[Beton Sinifi],0))),"")</f>
        <v/>
      </c>
      <c r="F59" s="3" t="str">
        <f>IFERROR(IF($B59="","",$C59*INDEX(Receteler[Micir 0-5mm (kg)],MATCH($B59,Receteler[Beton Sinifi],0))),"")</f>
        <v/>
      </c>
      <c r="G59" s="3" t="str">
        <f>IFERROR(IF($B59="","",$C59*INDEX(Receteler[Micir 5-12mm (kg)],MATCH($B59,Receteler[Beton Sinifi],0))),"")</f>
        <v/>
      </c>
      <c r="H59" s="3" t="str">
        <f>IFERROR(IF($B59="","",$C59*INDEX(Receteler[Micir 12-19mm (kg)],MATCH($B59,Receteler[Beton Sinifi],0))),"")</f>
        <v/>
      </c>
      <c r="I59" s="3" t="str">
        <f>IFERROR(IF($B59="","",$C59*INDEX(Receteler[Su (lt)],MATCH($B59,Receteler[Beton Sinifi],0))),"")</f>
        <v/>
      </c>
      <c r="J59" s="3" t="str">
        <f>IFERROR(IF($B59="","",$C59*INDEX(Receteler[Katki (kg)],MATCH($B59,Receteler[Beton Sinifi],0))),"")</f>
        <v/>
      </c>
      <c r="K59" s="15"/>
    </row>
    <row r="60" spans="1:11" x14ac:dyDescent="0.3">
      <c r="A60" s="29"/>
      <c r="B60" s="16"/>
      <c r="C60" s="30"/>
      <c r="D60" s="6" t="str">
        <f>IFERROR(IF($B60="","",$C60*INDEX(Receteler[Cimento (kg)],MATCH($B60,Receteler[Beton Sinifi],0))),"")</f>
        <v/>
      </c>
      <c r="E60" s="6" t="str">
        <f>IFERROR(IF($B60="","",$C60*INDEX(Receteler[Kum (kg)],MATCH($B60,Receteler[Beton Sinifi],0))),"")</f>
        <v/>
      </c>
      <c r="F60" s="6" t="str">
        <f>IFERROR(IF($B60="","",$C60*INDEX(Receteler[Micir 0-5mm (kg)],MATCH($B60,Receteler[Beton Sinifi],0))),"")</f>
        <v/>
      </c>
      <c r="G60" s="6" t="str">
        <f>IFERROR(IF($B60="","",$C60*INDEX(Receteler[Micir 5-12mm (kg)],MATCH($B60,Receteler[Beton Sinifi],0))),"")</f>
        <v/>
      </c>
      <c r="H60" s="6" t="str">
        <f>IFERROR(IF($B60="","",$C60*INDEX(Receteler[Micir 12-19mm (kg)],MATCH($B60,Receteler[Beton Sinifi],0))),"")</f>
        <v/>
      </c>
      <c r="I60" s="6" t="str">
        <f>IFERROR(IF($B60="","",$C60*INDEX(Receteler[Su (lt)],MATCH($B60,Receteler[Beton Sinifi],0))),"")</f>
        <v/>
      </c>
      <c r="J60" s="6" t="str">
        <f>IFERROR(IF($B60="","",$C60*INDEX(Receteler[Katki (kg)],MATCH($B60,Receteler[Beton Sinifi],0))),"")</f>
        <v/>
      </c>
      <c r="K60" s="20"/>
    </row>
    <row r="61" spans="1:11" x14ac:dyDescent="0.3">
      <c r="A61" s="27"/>
      <c r="B61" s="10"/>
      <c r="C61" s="28"/>
      <c r="D61" s="3" t="str">
        <f>IFERROR(IF($B61="","",$C61*INDEX(Receteler[Cimento (kg)],MATCH($B61,Receteler[Beton Sinifi],0))),"")</f>
        <v/>
      </c>
      <c r="E61" s="3" t="str">
        <f>IFERROR(IF($B61="","",$C61*INDEX(Receteler[Kum (kg)],MATCH($B61,Receteler[Beton Sinifi],0))),"")</f>
        <v/>
      </c>
      <c r="F61" s="3" t="str">
        <f>IFERROR(IF($B61="","",$C61*INDEX(Receteler[Micir 0-5mm (kg)],MATCH($B61,Receteler[Beton Sinifi],0))),"")</f>
        <v/>
      </c>
      <c r="G61" s="3" t="str">
        <f>IFERROR(IF($B61="","",$C61*INDEX(Receteler[Micir 5-12mm (kg)],MATCH($B61,Receteler[Beton Sinifi],0))),"")</f>
        <v/>
      </c>
      <c r="H61" s="3" t="str">
        <f>IFERROR(IF($B61="","",$C61*INDEX(Receteler[Micir 12-19mm (kg)],MATCH($B61,Receteler[Beton Sinifi],0))),"")</f>
        <v/>
      </c>
      <c r="I61" s="3" t="str">
        <f>IFERROR(IF($B61="","",$C61*INDEX(Receteler[Su (lt)],MATCH($B61,Receteler[Beton Sinifi],0))),"")</f>
        <v/>
      </c>
      <c r="J61" s="3" t="str">
        <f>IFERROR(IF($B61="","",$C61*INDEX(Receteler[Katki (kg)],MATCH($B61,Receteler[Beton Sinifi],0))),"")</f>
        <v/>
      </c>
      <c r="K61" s="15"/>
    </row>
    <row r="62" spans="1:11" x14ac:dyDescent="0.3">
      <c r="A62" s="29"/>
      <c r="B62" s="16"/>
      <c r="C62" s="30"/>
      <c r="D62" s="6" t="str">
        <f>IFERROR(IF($B62="","",$C62*INDEX(Receteler[Cimento (kg)],MATCH($B62,Receteler[Beton Sinifi],0))),"")</f>
        <v/>
      </c>
      <c r="E62" s="6" t="str">
        <f>IFERROR(IF($B62="","",$C62*INDEX(Receteler[Kum (kg)],MATCH($B62,Receteler[Beton Sinifi],0))),"")</f>
        <v/>
      </c>
      <c r="F62" s="6" t="str">
        <f>IFERROR(IF($B62="","",$C62*INDEX(Receteler[Micir 0-5mm (kg)],MATCH($B62,Receteler[Beton Sinifi],0))),"")</f>
        <v/>
      </c>
      <c r="G62" s="6" t="str">
        <f>IFERROR(IF($B62="","",$C62*INDEX(Receteler[Micir 5-12mm (kg)],MATCH($B62,Receteler[Beton Sinifi],0))),"")</f>
        <v/>
      </c>
      <c r="H62" s="6" t="str">
        <f>IFERROR(IF($B62="","",$C62*INDEX(Receteler[Micir 12-19mm (kg)],MATCH($B62,Receteler[Beton Sinifi],0))),"")</f>
        <v/>
      </c>
      <c r="I62" s="6" t="str">
        <f>IFERROR(IF($B62="","",$C62*INDEX(Receteler[Su (lt)],MATCH($B62,Receteler[Beton Sinifi],0))),"")</f>
        <v/>
      </c>
      <c r="J62" s="6" t="str">
        <f>IFERROR(IF($B62="","",$C62*INDEX(Receteler[Katki (kg)],MATCH($B62,Receteler[Beton Sinifi],0))),"")</f>
        <v/>
      </c>
      <c r="K62" s="20"/>
    </row>
    <row r="63" spans="1:11" x14ac:dyDescent="0.3">
      <c r="A63" s="27"/>
      <c r="B63" s="10"/>
      <c r="C63" s="28"/>
      <c r="D63" s="3" t="str">
        <f>IFERROR(IF($B63="","",$C63*INDEX(Receteler[Cimento (kg)],MATCH($B63,Receteler[Beton Sinifi],0))),"")</f>
        <v/>
      </c>
      <c r="E63" s="3" t="str">
        <f>IFERROR(IF($B63="","",$C63*INDEX(Receteler[Kum (kg)],MATCH($B63,Receteler[Beton Sinifi],0))),"")</f>
        <v/>
      </c>
      <c r="F63" s="3" t="str">
        <f>IFERROR(IF($B63="","",$C63*INDEX(Receteler[Micir 0-5mm (kg)],MATCH($B63,Receteler[Beton Sinifi],0))),"")</f>
        <v/>
      </c>
      <c r="G63" s="3" t="str">
        <f>IFERROR(IF($B63="","",$C63*INDEX(Receteler[Micir 5-12mm (kg)],MATCH($B63,Receteler[Beton Sinifi],0))),"")</f>
        <v/>
      </c>
      <c r="H63" s="3" t="str">
        <f>IFERROR(IF($B63="","",$C63*INDEX(Receteler[Micir 12-19mm (kg)],MATCH($B63,Receteler[Beton Sinifi],0))),"")</f>
        <v/>
      </c>
      <c r="I63" s="3" t="str">
        <f>IFERROR(IF($B63="","",$C63*INDEX(Receteler[Su (lt)],MATCH($B63,Receteler[Beton Sinifi],0))),"")</f>
        <v/>
      </c>
      <c r="J63" s="3" t="str">
        <f>IFERROR(IF($B63="","",$C63*INDEX(Receteler[Katki (kg)],MATCH($B63,Receteler[Beton Sinifi],0))),"")</f>
        <v/>
      </c>
      <c r="K63" s="15"/>
    </row>
    <row r="64" spans="1:11" x14ac:dyDescent="0.3">
      <c r="A64" s="29"/>
      <c r="B64" s="16"/>
      <c r="C64" s="30"/>
      <c r="D64" s="6" t="str">
        <f>IFERROR(IF($B64="","",$C64*INDEX(Receteler[Cimento (kg)],MATCH($B64,Receteler[Beton Sinifi],0))),"")</f>
        <v/>
      </c>
      <c r="E64" s="6" t="str">
        <f>IFERROR(IF($B64="","",$C64*INDEX(Receteler[Kum (kg)],MATCH($B64,Receteler[Beton Sinifi],0))),"")</f>
        <v/>
      </c>
      <c r="F64" s="6" t="str">
        <f>IFERROR(IF($B64="","",$C64*INDEX(Receteler[Micir 0-5mm (kg)],MATCH($B64,Receteler[Beton Sinifi],0))),"")</f>
        <v/>
      </c>
      <c r="G64" s="6" t="str">
        <f>IFERROR(IF($B64="","",$C64*INDEX(Receteler[Micir 5-12mm (kg)],MATCH($B64,Receteler[Beton Sinifi],0))),"")</f>
        <v/>
      </c>
      <c r="H64" s="6" t="str">
        <f>IFERROR(IF($B64="","",$C64*INDEX(Receteler[Micir 12-19mm (kg)],MATCH($B64,Receteler[Beton Sinifi],0))),"")</f>
        <v/>
      </c>
      <c r="I64" s="6" t="str">
        <f>IFERROR(IF($B64="","",$C64*INDEX(Receteler[Su (lt)],MATCH($B64,Receteler[Beton Sinifi],0))),"")</f>
        <v/>
      </c>
      <c r="J64" s="6" t="str">
        <f>IFERROR(IF($B64="","",$C64*INDEX(Receteler[Katki (kg)],MATCH($B64,Receteler[Beton Sinifi],0))),"")</f>
        <v/>
      </c>
      <c r="K64" s="20"/>
    </row>
    <row r="65" spans="1:11" x14ac:dyDescent="0.3">
      <c r="A65" s="27"/>
      <c r="B65" s="10"/>
      <c r="C65" s="28"/>
      <c r="D65" s="3" t="str">
        <f>IFERROR(IF($B65="","",$C65*INDEX(Receteler[Cimento (kg)],MATCH($B65,Receteler[Beton Sinifi],0))),"")</f>
        <v/>
      </c>
      <c r="E65" s="3" t="str">
        <f>IFERROR(IF($B65="","",$C65*INDEX(Receteler[Kum (kg)],MATCH($B65,Receteler[Beton Sinifi],0))),"")</f>
        <v/>
      </c>
      <c r="F65" s="3" t="str">
        <f>IFERROR(IF($B65="","",$C65*INDEX(Receteler[Micir 0-5mm (kg)],MATCH($B65,Receteler[Beton Sinifi],0))),"")</f>
        <v/>
      </c>
      <c r="G65" s="3" t="str">
        <f>IFERROR(IF($B65="","",$C65*INDEX(Receteler[Micir 5-12mm (kg)],MATCH($B65,Receteler[Beton Sinifi],0))),"")</f>
        <v/>
      </c>
      <c r="H65" s="3" t="str">
        <f>IFERROR(IF($B65="","",$C65*INDEX(Receteler[Micir 12-19mm (kg)],MATCH($B65,Receteler[Beton Sinifi],0))),"")</f>
        <v/>
      </c>
      <c r="I65" s="3" t="str">
        <f>IFERROR(IF($B65="","",$C65*INDEX(Receteler[Su (lt)],MATCH($B65,Receteler[Beton Sinifi],0))),"")</f>
        <v/>
      </c>
      <c r="J65" s="3" t="str">
        <f>IFERROR(IF($B65="","",$C65*INDEX(Receteler[Katki (kg)],MATCH($B65,Receteler[Beton Sinifi],0))),"")</f>
        <v/>
      </c>
      <c r="K65" s="15"/>
    </row>
    <row r="66" spans="1:11" x14ac:dyDescent="0.3">
      <c r="A66" s="29"/>
      <c r="B66" s="16"/>
      <c r="C66" s="30"/>
      <c r="D66" s="6" t="str">
        <f>IFERROR(IF($B66="","",$C66*INDEX(Receteler[Cimento (kg)],MATCH($B66,Receteler[Beton Sinifi],0))),"")</f>
        <v/>
      </c>
      <c r="E66" s="6" t="str">
        <f>IFERROR(IF($B66="","",$C66*INDEX(Receteler[Kum (kg)],MATCH($B66,Receteler[Beton Sinifi],0))),"")</f>
        <v/>
      </c>
      <c r="F66" s="6" t="str">
        <f>IFERROR(IF($B66="","",$C66*INDEX(Receteler[Micir 0-5mm (kg)],MATCH($B66,Receteler[Beton Sinifi],0))),"")</f>
        <v/>
      </c>
      <c r="G66" s="6" t="str">
        <f>IFERROR(IF($B66="","",$C66*INDEX(Receteler[Micir 5-12mm (kg)],MATCH($B66,Receteler[Beton Sinifi],0))),"")</f>
        <v/>
      </c>
      <c r="H66" s="6" t="str">
        <f>IFERROR(IF($B66="","",$C66*INDEX(Receteler[Micir 12-19mm (kg)],MATCH($B66,Receteler[Beton Sinifi],0))),"")</f>
        <v/>
      </c>
      <c r="I66" s="6" t="str">
        <f>IFERROR(IF($B66="","",$C66*INDEX(Receteler[Su (lt)],MATCH($B66,Receteler[Beton Sinifi],0))),"")</f>
        <v/>
      </c>
      <c r="J66" s="6" t="str">
        <f>IFERROR(IF($B66="","",$C66*INDEX(Receteler[Katki (kg)],MATCH($B66,Receteler[Beton Sinifi],0))),"")</f>
        <v/>
      </c>
      <c r="K66" s="20"/>
    </row>
    <row r="67" spans="1:11" x14ac:dyDescent="0.3">
      <c r="A67" s="27"/>
      <c r="B67" s="10"/>
      <c r="C67" s="28"/>
      <c r="D67" s="3" t="str">
        <f>IFERROR(IF($B67="","",$C67*INDEX(Receteler[Cimento (kg)],MATCH($B67,Receteler[Beton Sinifi],0))),"")</f>
        <v/>
      </c>
      <c r="E67" s="3" t="str">
        <f>IFERROR(IF($B67="","",$C67*INDEX(Receteler[Kum (kg)],MATCH($B67,Receteler[Beton Sinifi],0))),"")</f>
        <v/>
      </c>
      <c r="F67" s="3" t="str">
        <f>IFERROR(IF($B67="","",$C67*INDEX(Receteler[Micir 0-5mm (kg)],MATCH($B67,Receteler[Beton Sinifi],0))),"")</f>
        <v/>
      </c>
      <c r="G67" s="3" t="str">
        <f>IFERROR(IF($B67="","",$C67*INDEX(Receteler[Micir 5-12mm (kg)],MATCH($B67,Receteler[Beton Sinifi],0))),"")</f>
        <v/>
      </c>
      <c r="H67" s="3" t="str">
        <f>IFERROR(IF($B67="","",$C67*INDEX(Receteler[Micir 12-19mm (kg)],MATCH($B67,Receteler[Beton Sinifi],0))),"")</f>
        <v/>
      </c>
      <c r="I67" s="3" t="str">
        <f>IFERROR(IF($B67="","",$C67*INDEX(Receteler[Su (lt)],MATCH($B67,Receteler[Beton Sinifi],0))),"")</f>
        <v/>
      </c>
      <c r="J67" s="3" t="str">
        <f>IFERROR(IF($B67="","",$C67*INDEX(Receteler[Katki (kg)],MATCH($B67,Receteler[Beton Sinifi],0))),"")</f>
        <v/>
      </c>
      <c r="K67" s="15"/>
    </row>
    <row r="68" spans="1:11" x14ac:dyDescent="0.3">
      <c r="A68" s="29"/>
      <c r="B68" s="16"/>
      <c r="C68" s="30"/>
      <c r="D68" s="6" t="str">
        <f>IFERROR(IF($B68="","",$C68*INDEX(Receteler[Cimento (kg)],MATCH($B68,Receteler[Beton Sinifi],0))),"")</f>
        <v/>
      </c>
      <c r="E68" s="6" t="str">
        <f>IFERROR(IF($B68="","",$C68*INDEX(Receteler[Kum (kg)],MATCH($B68,Receteler[Beton Sinifi],0))),"")</f>
        <v/>
      </c>
      <c r="F68" s="6" t="str">
        <f>IFERROR(IF($B68="","",$C68*INDEX(Receteler[Micir 0-5mm (kg)],MATCH($B68,Receteler[Beton Sinifi],0))),"")</f>
        <v/>
      </c>
      <c r="G68" s="6" t="str">
        <f>IFERROR(IF($B68="","",$C68*INDEX(Receteler[Micir 5-12mm (kg)],MATCH($B68,Receteler[Beton Sinifi],0))),"")</f>
        <v/>
      </c>
      <c r="H68" s="6" t="str">
        <f>IFERROR(IF($B68="","",$C68*INDEX(Receteler[Micir 12-19mm (kg)],MATCH($B68,Receteler[Beton Sinifi],0))),"")</f>
        <v/>
      </c>
      <c r="I68" s="6" t="str">
        <f>IFERROR(IF($B68="","",$C68*INDEX(Receteler[Su (lt)],MATCH($B68,Receteler[Beton Sinifi],0))),"")</f>
        <v/>
      </c>
      <c r="J68" s="6" t="str">
        <f>IFERROR(IF($B68="","",$C68*INDEX(Receteler[Katki (kg)],MATCH($B68,Receteler[Beton Sinifi],0))),"")</f>
        <v/>
      </c>
      <c r="K68" s="20"/>
    </row>
    <row r="69" spans="1:11" x14ac:dyDescent="0.3">
      <c r="A69" s="27"/>
      <c r="B69" s="10"/>
      <c r="C69" s="28"/>
      <c r="D69" s="3" t="str">
        <f>IFERROR(IF($B69="","",$C69*INDEX(Receteler[Cimento (kg)],MATCH($B69,Receteler[Beton Sinifi],0))),"")</f>
        <v/>
      </c>
      <c r="E69" s="3" t="str">
        <f>IFERROR(IF($B69="","",$C69*INDEX(Receteler[Kum (kg)],MATCH($B69,Receteler[Beton Sinifi],0))),"")</f>
        <v/>
      </c>
      <c r="F69" s="3" t="str">
        <f>IFERROR(IF($B69="","",$C69*INDEX(Receteler[Micir 0-5mm (kg)],MATCH($B69,Receteler[Beton Sinifi],0))),"")</f>
        <v/>
      </c>
      <c r="G69" s="3" t="str">
        <f>IFERROR(IF($B69="","",$C69*INDEX(Receteler[Micir 5-12mm (kg)],MATCH($B69,Receteler[Beton Sinifi],0))),"")</f>
        <v/>
      </c>
      <c r="H69" s="3" t="str">
        <f>IFERROR(IF($B69="","",$C69*INDEX(Receteler[Micir 12-19mm (kg)],MATCH($B69,Receteler[Beton Sinifi],0))),"")</f>
        <v/>
      </c>
      <c r="I69" s="3" t="str">
        <f>IFERROR(IF($B69="","",$C69*INDEX(Receteler[Su (lt)],MATCH($B69,Receteler[Beton Sinifi],0))),"")</f>
        <v/>
      </c>
      <c r="J69" s="3" t="str">
        <f>IFERROR(IF($B69="","",$C69*INDEX(Receteler[Katki (kg)],MATCH($B69,Receteler[Beton Sinifi],0))),"")</f>
        <v/>
      </c>
      <c r="K69" s="15"/>
    </row>
    <row r="70" spans="1:11" x14ac:dyDescent="0.3">
      <c r="A70" s="29"/>
      <c r="B70" s="16"/>
      <c r="C70" s="30"/>
      <c r="D70" s="6" t="str">
        <f>IFERROR(IF($B70="","",$C70*INDEX(Receteler[Cimento (kg)],MATCH($B70,Receteler[Beton Sinifi],0))),"")</f>
        <v/>
      </c>
      <c r="E70" s="6" t="str">
        <f>IFERROR(IF($B70="","",$C70*INDEX(Receteler[Kum (kg)],MATCH($B70,Receteler[Beton Sinifi],0))),"")</f>
        <v/>
      </c>
      <c r="F70" s="6" t="str">
        <f>IFERROR(IF($B70="","",$C70*INDEX(Receteler[Micir 0-5mm (kg)],MATCH($B70,Receteler[Beton Sinifi],0))),"")</f>
        <v/>
      </c>
      <c r="G70" s="6" t="str">
        <f>IFERROR(IF($B70="","",$C70*INDEX(Receteler[Micir 5-12mm (kg)],MATCH($B70,Receteler[Beton Sinifi],0))),"")</f>
        <v/>
      </c>
      <c r="H70" s="6" t="str">
        <f>IFERROR(IF($B70="","",$C70*INDEX(Receteler[Micir 12-19mm (kg)],MATCH($B70,Receteler[Beton Sinifi],0))),"")</f>
        <v/>
      </c>
      <c r="I70" s="6" t="str">
        <f>IFERROR(IF($B70="","",$C70*INDEX(Receteler[Su (lt)],MATCH($B70,Receteler[Beton Sinifi],0))),"")</f>
        <v/>
      </c>
      <c r="J70" s="6" t="str">
        <f>IFERROR(IF($B70="","",$C70*INDEX(Receteler[Katki (kg)],MATCH($B70,Receteler[Beton Sinifi],0))),"")</f>
        <v/>
      </c>
      <c r="K70" s="20"/>
    </row>
    <row r="71" spans="1:11" x14ac:dyDescent="0.3">
      <c r="A71" s="27"/>
      <c r="B71" s="10"/>
      <c r="C71" s="28"/>
      <c r="D71" s="3" t="str">
        <f>IFERROR(IF($B71="","",$C71*INDEX(Receteler[Cimento (kg)],MATCH($B71,Receteler[Beton Sinifi],0))),"")</f>
        <v/>
      </c>
      <c r="E71" s="3" t="str">
        <f>IFERROR(IF($B71="","",$C71*INDEX(Receteler[Kum (kg)],MATCH($B71,Receteler[Beton Sinifi],0))),"")</f>
        <v/>
      </c>
      <c r="F71" s="3" t="str">
        <f>IFERROR(IF($B71="","",$C71*INDEX(Receteler[Micir 0-5mm (kg)],MATCH($B71,Receteler[Beton Sinifi],0))),"")</f>
        <v/>
      </c>
      <c r="G71" s="3" t="str">
        <f>IFERROR(IF($B71="","",$C71*INDEX(Receteler[Micir 5-12mm (kg)],MATCH($B71,Receteler[Beton Sinifi],0))),"")</f>
        <v/>
      </c>
      <c r="H71" s="3" t="str">
        <f>IFERROR(IF($B71="","",$C71*INDEX(Receteler[Micir 12-19mm (kg)],MATCH($B71,Receteler[Beton Sinifi],0))),"")</f>
        <v/>
      </c>
      <c r="I71" s="3" t="str">
        <f>IFERROR(IF($B71="","",$C71*INDEX(Receteler[Su (lt)],MATCH($B71,Receteler[Beton Sinifi],0))),"")</f>
        <v/>
      </c>
      <c r="J71" s="3" t="str">
        <f>IFERROR(IF($B71="","",$C71*INDEX(Receteler[Katki (kg)],MATCH($B71,Receteler[Beton Sinifi],0))),"")</f>
        <v/>
      </c>
      <c r="K71" s="15"/>
    </row>
    <row r="72" spans="1:11" x14ac:dyDescent="0.3">
      <c r="A72" s="29"/>
      <c r="B72" s="16"/>
      <c r="C72" s="30"/>
      <c r="D72" s="6" t="str">
        <f>IFERROR(IF($B72="","",$C72*INDEX(Receteler[Cimento (kg)],MATCH($B72,Receteler[Beton Sinifi],0))),"")</f>
        <v/>
      </c>
      <c r="E72" s="6" t="str">
        <f>IFERROR(IF($B72="","",$C72*INDEX(Receteler[Kum (kg)],MATCH($B72,Receteler[Beton Sinifi],0))),"")</f>
        <v/>
      </c>
      <c r="F72" s="6" t="str">
        <f>IFERROR(IF($B72="","",$C72*INDEX(Receteler[Micir 0-5mm (kg)],MATCH($B72,Receteler[Beton Sinifi],0))),"")</f>
        <v/>
      </c>
      <c r="G72" s="6" t="str">
        <f>IFERROR(IF($B72="","",$C72*INDEX(Receteler[Micir 5-12mm (kg)],MATCH($B72,Receteler[Beton Sinifi],0))),"")</f>
        <v/>
      </c>
      <c r="H72" s="6" t="str">
        <f>IFERROR(IF($B72="","",$C72*INDEX(Receteler[Micir 12-19mm (kg)],MATCH($B72,Receteler[Beton Sinifi],0))),"")</f>
        <v/>
      </c>
      <c r="I72" s="6" t="str">
        <f>IFERROR(IF($B72="","",$C72*INDEX(Receteler[Su (lt)],MATCH($B72,Receteler[Beton Sinifi],0))),"")</f>
        <v/>
      </c>
      <c r="J72" s="6" t="str">
        <f>IFERROR(IF($B72="","",$C72*INDEX(Receteler[Katki (kg)],MATCH($B72,Receteler[Beton Sinifi],0))),"")</f>
        <v/>
      </c>
      <c r="K72" s="20"/>
    </row>
    <row r="73" spans="1:11" x14ac:dyDescent="0.3">
      <c r="A73" s="27"/>
      <c r="B73" s="10"/>
      <c r="C73" s="28"/>
      <c r="D73" s="3" t="str">
        <f>IFERROR(IF($B73="","",$C73*INDEX(Receteler[Cimento (kg)],MATCH($B73,Receteler[Beton Sinifi],0))),"")</f>
        <v/>
      </c>
      <c r="E73" s="3" t="str">
        <f>IFERROR(IF($B73="","",$C73*INDEX(Receteler[Kum (kg)],MATCH($B73,Receteler[Beton Sinifi],0))),"")</f>
        <v/>
      </c>
      <c r="F73" s="3" t="str">
        <f>IFERROR(IF($B73="","",$C73*INDEX(Receteler[Micir 0-5mm (kg)],MATCH($B73,Receteler[Beton Sinifi],0))),"")</f>
        <v/>
      </c>
      <c r="G73" s="3" t="str">
        <f>IFERROR(IF($B73="","",$C73*INDEX(Receteler[Micir 5-12mm (kg)],MATCH($B73,Receteler[Beton Sinifi],0))),"")</f>
        <v/>
      </c>
      <c r="H73" s="3" t="str">
        <f>IFERROR(IF($B73="","",$C73*INDEX(Receteler[Micir 12-19mm (kg)],MATCH($B73,Receteler[Beton Sinifi],0))),"")</f>
        <v/>
      </c>
      <c r="I73" s="3" t="str">
        <f>IFERROR(IF($B73="","",$C73*INDEX(Receteler[Su (lt)],MATCH($B73,Receteler[Beton Sinifi],0))),"")</f>
        <v/>
      </c>
      <c r="J73" s="3" t="str">
        <f>IFERROR(IF($B73="","",$C73*INDEX(Receteler[Katki (kg)],MATCH($B73,Receteler[Beton Sinifi],0))),"")</f>
        <v/>
      </c>
      <c r="K73" s="15"/>
    </row>
    <row r="74" spans="1:11" x14ac:dyDescent="0.3">
      <c r="A74" s="29"/>
      <c r="B74" s="16"/>
      <c r="C74" s="30"/>
      <c r="D74" s="6" t="str">
        <f>IFERROR(IF($B74="","",$C74*INDEX(Receteler[Cimento (kg)],MATCH($B74,Receteler[Beton Sinifi],0))),"")</f>
        <v/>
      </c>
      <c r="E74" s="6" t="str">
        <f>IFERROR(IF($B74="","",$C74*INDEX(Receteler[Kum (kg)],MATCH($B74,Receteler[Beton Sinifi],0))),"")</f>
        <v/>
      </c>
      <c r="F74" s="6" t="str">
        <f>IFERROR(IF($B74="","",$C74*INDEX(Receteler[Micir 0-5mm (kg)],MATCH($B74,Receteler[Beton Sinifi],0))),"")</f>
        <v/>
      </c>
      <c r="G74" s="6" t="str">
        <f>IFERROR(IF($B74="","",$C74*INDEX(Receteler[Micir 5-12mm (kg)],MATCH($B74,Receteler[Beton Sinifi],0))),"")</f>
        <v/>
      </c>
      <c r="H74" s="6" t="str">
        <f>IFERROR(IF($B74="","",$C74*INDEX(Receteler[Micir 12-19mm (kg)],MATCH($B74,Receteler[Beton Sinifi],0))),"")</f>
        <v/>
      </c>
      <c r="I74" s="6" t="str">
        <f>IFERROR(IF($B74="","",$C74*INDEX(Receteler[Su (lt)],MATCH($B74,Receteler[Beton Sinifi],0))),"")</f>
        <v/>
      </c>
      <c r="J74" s="6" t="str">
        <f>IFERROR(IF($B74="","",$C74*INDEX(Receteler[Katki (kg)],MATCH($B74,Receteler[Beton Sinifi],0))),"")</f>
        <v/>
      </c>
      <c r="K74" s="20"/>
    </row>
    <row r="75" spans="1:11" x14ac:dyDescent="0.3">
      <c r="A75" s="27"/>
      <c r="B75" s="10"/>
      <c r="C75" s="28"/>
      <c r="D75" s="3" t="str">
        <f>IFERROR(IF($B75="","",$C75*INDEX(Receteler[Cimento (kg)],MATCH($B75,Receteler[Beton Sinifi],0))),"")</f>
        <v/>
      </c>
      <c r="E75" s="3" t="str">
        <f>IFERROR(IF($B75="","",$C75*INDEX(Receteler[Kum (kg)],MATCH($B75,Receteler[Beton Sinifi],0))),"")</f>
        <v/>
      </c>
      <c r="F75" s="3" t="str">
        <f>IFERROR(IF($B75="","",$C75*INDEX(Receteler[Micir 0-5mm (kg)],MATCH($B75,Receteler[Beton Sinifi],0))),"")</f>
        <v/>
      </c>
      <c r="G75" s="3" t="str">
        <f>IFERROR(IF($B75="","",$C75*INDEX(Receteler[Micir 5-12mm (kg)],MATCH($B75,Receteler[Beton Sinifi],0))),"")</f>
        <v/>
      </c>
      <c r="H75" s="3" t="str">
        <f>IFERROR(IF($B75="","",$C75*INDEX(Receteler[Micir 12-19mm (kg)],MATCH($B75,Receteler[Beton Sinifi],0))),"")</f>
        <v/>
      </c>
      <c r="I75" s="3" t="str">
        <f>IFERROR(IF($B75="","",$C75*INDEX(Receteler[Su (lt)],MATCH($B75,Receteler[Beton Sinifi],0))),"")</f>
        <v/>
      </c>
      <c r="J75" s="3" t="str">
        <f>IFERROR(IF($B75="","",$C75*INDEX(Receteler[Katki (kg)],MATCH($B75,Receteler[Beton Sinifi],0))),"")</f>
        <v/>
      </c>
      <c r="K75" s="15"/>
    </row>
    <row r="76" spans="1:11" x14ac:dyDescent="0.3">
      <c r="A76" s="29"/>
      <c r="B76" s="16"/>
      <c r="C76" s="30"/>
      <c r="D76" s="6" t="str">
        <f>IFERROR(IF($B76="","",$C76*INDEX(Receteler[Cimento (kg)],MATCH($B76,Receteler[Beton Sinifi],0))),"")</f>
        <v/>
      </c>
      <c r="E76" s="6" t="str">
        <f>IFERROR(IF($B76="","",$C76*INDEX(Receteler[Kum (kg)],MATCH($B76,Receteler[Beton Sinifi],0))),"")</f>
        <v/>
      </c>
      <c r="F76" s="6" t="str">
        <f>IFERROR(IF($B76="","",$C76*INDEX(Receteler[Micir 0-5mm (kg)],MATCH($B76,Receteler[Beton Sinifi],0))),"")</f>
        <v/>
      </c>
      <c r="G76" s="6" t="str">
        <f>IFERROR(IF($B76="","",$C76*INDEX(Receteler[Micir 5-12mm (kg)],MATCH($B76,Receteler[Beton Sinifi],0))),"")</f>
        <v/>
      </c>
      <c r="H76" s="6" t="str">
        <f>IFERROR(IF($B76="","",$C76*INDEX(Receteler[Micir 12-19mm (kg)],MATCH($B76,Receteler[Beton Sinifi],0))),"")</f>
        <v/>
      </c>
      <c r="I76" s="6" t="str">
        <f>IFERROR(IF($B76="","",$C76*INDEX(Receteler[Su (lt)],MATCH($B76,Receteler[Beton Sinifi],0))),"")</f>
        <v/>
      </c>
      <c r="J76" s="6" t="str">
        <f>IFERROR(IF($B76="","",$C76*INDEX(Receteler[Katki (kg)],MATCH($B76,Receteler[Beton Sinifi],0))),"")</f>
        <v/>
      </c>
      <c r="K76" s="20"/>
    </row>
    <row r="77" spans="1:11" x14ac:dyDescent="0.3">
      <c r="A77" s="27"/>
      <c r="B77" s="10"/>
      <c r="C77" s="28"/>
      <c r="D77" s="3" t="str">
        <f>IFERROR(IF($B77="","",$C77*INDEX(Receteler[Cimento (kg)],MATCH($B77,Receteler[Beton Sinifi],0))),"")</f>
        <v/>
      </c>
      <c r="E77" s="3" t="str">
        <f>IFERROR(IF($B77="","",$C77*INDEX(Receteler[Kum (kg)],MATCH($B77,Receteler[Beton Sinifi],0))),"")</f>
        <v/>
      </c>
      <c r="F77" s="3" t="str">
        <f>IFERROR(IF($B77="","",$C77*INDEX(Receteler[Micir 0-5mm (kg)],MATCH($B77,Receteler[Beton Sinifi],0))),"")</f>
        <v/>
      </c>
      <c r="G77" s="3" t="str">
        <f>IFERROR(IF($B77="","",$C77*INDEX(Receteler[Micir 5-12mm (kg)],MATCH($B77,Receteler[Beton Sinifi],0))),"")</f>
        <v/>
      </c>
      <c r="H77" s="3" t="str">
        <f>IFERROR(IF($B77="","",$C77*INDEX(Receteler[Micir 12-19mm (kg)],MATCH($B77,Receteler[Beton Sinifi],0))),"")</f>
        <v/>
      </c>
      <c r="I77" s="3" t="str">
        <f>IFERROR(IF($B77="","",$C77*INDEX(Receteler[Su (lt)],MATCH($B77,Receteler[Beton Sinifi],0))),"")</f>
        <v/>
      </c>
      <c r="J77" s="3" t="str">
        <f>IFERROR(IF($B77="","",$C77*INDEX(Receteler[Katki (kg)],MATCH($B77,Receteler[Beton Sinifi],0))),"")</f>
        <v/>
      </c>
      <c r="K77" s="15"/>
    </row>
    <row r="78" spans="1:11" x14ac:dyDescent="0.3">
      <c r="A78" s="29"/>
      <c r="B78" s="16"/>
      <c r="C78" s="30"/>
      <c r="D78" s="6" t="str">
        <f>IFERROR(IF($B78="","",$C78*INDEX(Receteler[Cimento (kg)],MATCH($B78,Receteler[Beton Sinifi],0))),"")</f>
        <v/>
      </c>
      <c r="E78" s="6" t="str">
        <f>IFERROR(IF($B78="","",$C78*INDEX(Receteler[Kum (kg)],MATCH($B78,Receteler[Beton Sinifi],0))),"")</f>
        <v/>
      </c>
      <c r="F78" s="6" t="str">
        <f>IFERROR(IF($B78="","",$C78*INDEX(Receteler[Micir 0-5mm (kg)],MATCH($B78,Receteler[Beton Sinifi],0))),"")</f>
        <v/>
      </c>
      <c r="G78" s="6" t="str">
        <f>IFERROR(IF($B78="","",$C78*INDEX(Receteler[Micir 5-12mm (kg)],MATCH($B78,Receteler[Beton Sinifi],0))),"")</f>
        <v/>
      </c>
      <c r="H78" s="6" t="str">
        <f>IFERROR(IF($B78="","",$C78*INDEX(Receteler[Micir 12-19mm (kg)],MATCH($B78,Receteler[Beton Sinifi],0))),"")</f>
        <v/>
      </c>
      <c r="I78" s="6" t="str">
        <f>IFERROR(IF($B78="","",$C78*INDEX(Receteler[Su (lt)],MATCH($B78,Receteler[Beton Sinifi],0))),"")</f>
        <v/>
      </c>
      <c r="J78" s="6" t="str">
        <f>IFERROR(IF($B78="","",$C78*INDEX(Receteler[Katki (kg)],MATCH($B78,Receteler[Beton Sinifi],0))),"")</f>
        <v/>
      </c>
      <c r="K78" s="20"/>
    </row>
    <row r="79" spans="1:11" x14ac:dyDescent="0.3">
      <c r="A79" s="27"/>
      <c r="B79" s="10"/>
      <c r="C79" s="28"/>
      <c r="D79" s="3" t="str">
        <f>IFERROR(IF($B79="","",$C79*INDEX(Receteler[Cimento (kg)],MATCH($B79,Receteler[Beton Sinifi],0))),"")</f>
        <v/>
      </c>
      <c r="E79" s="3" t="str">
        <f>IFERROR(IF($B79="","",$C79*INDEX(Receteler[Kum (kg)],MATCH($B79,Receteler[Beton Sinifi],0))),"")</f>
        <v/>
      </c>
      <c r="F79" s="3" t="str">
        <f>IFERROR(IF($B79="","",$C79*INDEX(Receteler[Micir 0-5mm (kg)],MATCH($B79,Receteler[Beton Sinifi],0))),"")</f>
        <v/>
      </c>
      <c r="G79" s="3" t="str">
        <f>IFERROR(IF($B79="","",$C79*INDEX(Receteler[Micir 5-12mm (kg)],MATCH($B79,Receteler[Beton Sinifi],0))),"")</f>
        <v/>
      </c>
      <c r="H79" s="3" t="str">
        <f>IFERROR(IF($B79="","",$C79*INDEX(Receteler[Micir 12-19mm (kg)],MATCH($B79,Receteler[Beton Sinifi],0))),"")</f>
        <v/>
      </c>
      <c r="I79" s="3" t="str">
        <f>IFERROR(IF($B79="","",$C79*INDEX(Receteler[Su (lt)],MATCH($B79,Receteler[Beton Sinifi],0))),"")</f>
        <v/>
      </c>
      <c r="J79" s="3" t="str">
        <f>IFERROR(IF($B79="","",$C79*INDEX(Receteler[Katki (kg)],MATCH($B79,Receteler[Beton Sinifi],0))),"")</f>
        <v/>
      </c>
      <c r="K79" s="15"/>
    </row>
    <row r="80" spans="1:11" x14ac:dyDescent="0.3">
      <c r="A80" s="29"/>
      <c r="B80" s="16"/>
      <c r="C80" s="30"/>
      <c r="D80" s="6" t="str">
        <f>IFERROR(IF($B80="","",$C80*INDEX(Receteler[Cimento (kg)],MATCH($B80,Receteler[Beton Sinifi],0))),"")</f>
        <v/>
      </c>
      <c r="E80" s="6" t="str">
        <f>IFERROR(IF($B80="","",$C80*INDEX(Receteler[Kum (kg)],MATCH($B80,Receteler[Beton Sinifi],0))),"")</f>
        <v/>
      </c>
      <c r="F80" s="6" t="str">
        <f>IFERROR(IF($B80="","",$C80*INDEX(Receteler[Micir 0-5mm (kg)],MATCH($B80,Receteler[Beton Sinifi],0))),"")</f>
        <v/>
      </c>
      <c r="G80" s="6" t="str">
        <f>IFERROR(IF($B80="","",$C80*INDEX(Receteler[Micir 5-12mm (kg)],MATCH($B80,Receteler[Beton Sinifi],0))),"")</f>
        <v/>
      </c>
      <c r="H80" s="6" t="str">
        <f>IFERROR(IF($B80="","",$C80*INDEX(Receteler[Micir 12-19mm (kg)],MATCH($B80,Receteler[Beton Sinifi],0))),"")</f>
        <v/>
      </c>
      <c r="I80" s="6" t="str">
        <f>IFERROR(IF($B80="","",$C80*INDEX(Receteler[Su (lt)],MATCH($B80,Receteler[Beton Sinifi],0))),"")</f>
        <v/>
      </c>
      <c r="J80" s="6" t="str">
        <f>IFERROR(IF($B80="","",$C80*INDEX(Receteler[Katki (kg)],MATCH($B80,Receteler[Beton Sinifi],0))),"")</f>
        <v/>
      </c>
      <c r="K80" s="20"/>
    </row>
    <row r="81" spans="1:11" x14ac:dyDescent="0.3">
      <c r="A81" s="27"/>
      <c r="B81" s="10"/>
      <c r="C81" s="28"/>
      <c r="D81" s="3" t="str">
        <f>IFERROR(IF($B81="","",$C81*INDEX(Receteler[Cimento (kg)],MATCH($B81,Receteler[Beton Sinifi],0))),"")</f>
        <v/>
      </c>
      <c r="E81" s="3" t="str">
        <f>IFERROR(IF($B81="","",$C81*INDEX(Receteler[Kum (kg)],MATCH($B81,Receteler[Beton Sinifi],0))),"")</f>
        <v/>
      </c>
      <c r="F81" s="3" t="str">
        <f>IFERROR(IF($B81="","",$C81*INDEX(Receteler[Micir 0-5mm (kg)],MATCH($B81,Receteler[Beton Sinifi],0))),"")</f>
        <v/>
      </c>
      <c r="G81" s="3" t="str">
        <f>IFERROR(IF($B81="","",$C81*INDEX(Receteler[Micir 5-12mm (kg)],MATCH($B81,Receteler[Beton Sinifi],0))),"")</f>
        <v/>
      </c>
      <c r="H81" s="3" t="str">
        <f>IFERROR(IF($B81="","",$C81*INDEX(Receteler[Micir 12-19mm (kg)],MATCH($B81,Receteler[Beton Sinifi],0))),"")</f>
        <v/>
      </c>
      <c r="I81" s="3" t="str">
        <f>IFERROR(IF($B81="","",$C81*INDEX(Receteler[Su (lt)],MATCH($B81,Receteler[Beton Sinifi],0))),"")</f>
        <v/>
      </c>
      <c r="J81" s="3" t="str">
        <f>IFERROR(IF($B81="","",$C81*INDEX(Receteler[Katki (kg)],MATCH($B81,Receteler[Beton Sinifi],0))),"")</f>
        <v/>
      </c>
      <c r="K81" s="15"/>
    </row>
    <row r="82" spans="1:11" x14ac:dyDescent="0.3">
      <c r="A82" s="29"/>
      <c r="B82" s="16"/>
      <c r="C82" s="30"/>
      <c r="D82" s="6" t="str">
        <f>IFERROR(IF($B82="","",$C82*INDEX(Receteler[Cimento (kg)],MATCH($B82,Receteler[Beton Sinifi],0))),"")</f>
        <v/>
      </c>
      <c r="E82" s="6" t="str">
        <f>IFERROR(IF($B82="","",$C82*INDEX(Receteler[Kum (kg)],MATCH($B82,Receteler[Beton Sinifi],0))),"")</f>
        <v/>
      </c>
      <c r="F82" s="6" t="str">
        <f>IFERROR(IF($B82="","",$C82*INDEX(Receteler[Micir 0-5mm (kg)],MATCH($B82,Receteler[Beton Sinifi],0))),"")</f>
        <v/>
      </c>
      <c r="G82" s="6" t="str">
        <f>IFERROR(IF($B82="","",$C82*INDEX(Receteler[Micir 5-12mm (kg)],MATCH($B82,Receteler[Beton Sinifi],0))),"")</f>
        <v/>
      </c>
      <c r="H82" s="6" t="str">
        <f>IFERROR(IF($B82="","",$C82*INDEX(Receteler[Micir 12-19mm (kg)],MATCH($B82,Receteler[Beton Sinifi],0))),"")</f>
        <v/>
      </c>
      <c r="I82" s="6" t="str">
        <f>IFERROR(IF($B82="","",$C82*INDEX(Receteler[Su (lt)],MATCH($B82,Receteler[Beton Sinifi],0))),"")</f>
        <v/>
      </c>
      <c r="J82" s="6" t="str">
        <f>IFERROR(IF($B82="","",$C82*INDEX(Receteler[Katki (kg)],MATCH($B82,Receteler[Beton Sinifi],0))),"")</f>
        <v/>
      </c>
      <c r="K82" s="20"/>
    </row>
    <row r="83" spans="1:11" x14ac:dyDescent="0.3">
      <c r="A83" s="27"/>
      <c r="B83" s="10"/>
      <c r="C83" s="28"/>
      <c r="D83" s="3" t="str">
        <f>IFERROR(IF($B83="","",$C83*INDEX(Receteler[Cimento (kg)],MATCH($B83,Receteler[Beton Sinifi],0))),"")</f>
        <v/>
      </c>
      <c r="E83" s="3" t="str">
        <f>IFERROR(IF($B83="","",$C83*INDEX(Receteler[Kum (kg)],MATCH($B83,Receteler[Beton Sinifi],0))),"")</f>
        <v/>
      </c>
      <c r="F83" s="3" t="str">
        <f>IFERROR(IF($B83="","",$C83*INDEX(Receteler[Micir 0-5mm (kg)],MATCH($B83,Receteler[Beton Sinifi],0))),"")</f>
        <v/>
      </c>
      <c r="G83" s="3" t="str">
        <f>IFERROR(IF($B83="","",$C83*INDEX(Receteler[Micir 5-12mm (kg)],MATCH($B83,Receteler[Beton Sinifi],0))),"")</f>
        <v/>
      </c>
      <c r="H83" s="3" t="str">
        <f>IFERROR(IF($B83="","",$C83*INDEX(Receteler[Micir 12-19mm (kg)],MATCH($B83,Receteler[Beton Sinifi],0))),"")</f>
        <v/>
      </c>
      <c r="I83" s="3" t="str">
        <f>IFERROR(IF($B83="","",$C83*INDEX(Receteler[Su (lt)],MATCH($B83,Receteler[Beton Sinifi],0))),"")</f>
        <v/>
      </c>
      <c r="J83" s="3" t="str">
        <f>IFERROR(IF($B83="","",$C83*INDEX(Receteler[Katki (kg)],MATCH($B83,Receteler[Beton Sinifi],0))),"")</f>
        <v/>
      </c>
      <c r="K83" s="15"/>
    </row>
    <row r="84" spans="1:11" x14ac:dyDescent="0.3">
      <c r="A84" s="29"/>
      <c r="B84" s="16"/>
      <c r="C84" s="30"/>
      <c r="D84" s="6" t="str">
        <f>IFERROR(IF($B84="","",$C84*INDEX(Receteler[Cimento (kg)],MATCH($B84,Receteler[Beton Sinifi],0))),"")</f>
        <v/>
      </c>
      <c r="E84" s="6" t="str">
        <f>IFERROR(IF($B84="","",$C84*INDEX(Receteler[Kum (kg)],MATCH($B84,Receteler[Beton Sinifi],0))),"")</f>
        <v/>
      </c>
      <c r="F84" s="6" t="str">
        <f>IFERROR(IF($B84="","",$C84*INDEX(Receteler[Micir 0-5mm (kg)],MATCH($B84,Receteler[Beton Sinifi],0))),"")</f>
        <v/>
      </c>
      <c r="G84" s="6" t="str">
        <f>IFERROR(IF($B84="","",$C84*INDEX(Receteler[Micir 5-12mm (kg)],MATCH($B84,Receteler[Beton Sinifi],0))),"")</f>
        <v/>
      </c>
      <c r="H84" s="6" t="str">
        <f>IFERROR(IF($B84="","",$C84*INDEX(Receteler[Micir 12-19mm (kg)],MATCH($B84,Receteler[Beton Sinifi],0))),"")</f>
        <v/>
      </c>
      <c r="I84" s="6" t="str">
        <f>IFERROR(IF($B84="","",$C84*INDEX(Receteler[Su (lt)],MATCH($B84,Receteler[Beton Sinifi],0))),"")</f>
        <v/>
      </c>
      <c r="J84" s="6" t="str">
        <f>IFERROR(IF($B84="","",$C84*INDEX(Receteler[Katki (kg)],MATCH($B84,Receteler[Beton Sinifi],0))),"")</f>
        <v/>
      </c>
      <c r="K84" s="20"/>
    </row>
    <row r="85" spans="1:11" x14ac:dyDescent="0.3">
      <c r="A85" s="27"/>
      <c r="B85" s="10"/>
      <c r="C85" s="28"/>
      <c r="D85" s="3" t="str">
        <f>IFERROR(IF($B85="","",$C85*INDEX(Receteler[Cimento (kg)],MATCH($B85,Receteler[Beton Sinifi],0))),"")</f>
        <v/>
      </c>
      <c r="E85" s="3" t="str">
        <f>IFERROR(IF($B85="","",$C85*INDEX(Receteler[Kum (kg)],MATCH($B85,Receteler[Beton Sinifi],0))),"")</f>
        <v/>
      </c>
      <c r="F85" s="3" t="str">
        <f>IFERROR(IF($B85="","",$C85*INDEX(Receteler[Micir 0-5mm (kg)],MATCH($B85,Receteler[Beton Sinifi],0))),"")</f>
        <v/>
      </c>
      <c r="G85" s="3" t="str">
        <f>IFERROR(IF($B85="","",$C85*INDEX(Receteler[Micir 5-12mm (kg)],MATCH($B85,Receteler[Beton Sinifi],0))),"")</f>
        <v/>
      </c>
      <c r="H85" s="3" t="str">
        <f>IFERROR(IF($B85="","",$C85*INDEX(Receteler[Micir 12-19mm (kg)],MATCH($B85,Receteler[Beton Sinifi],0))),"")</f>
        <v/>
      </c>
      <c r="I85" s="3" t="str">
        <f>IFERROR(IF($B85="","",$C85*INDEX(Receteler[Su (lt)],MATCH($B85,Receteler[Beton Sinifi],0))),"")</f>
        <v/>
      </c>
      <c r="J85" s="3" t="str">
        <f>IFERROR(IF($B85="","",$C85*INDEX(Receteler[Katki (kg)],MATCH($B85,Receteler[Beton Sinifi],0))),"")</f>
        <v/>
      </c>
      <c r="K85" s="15"/>
    </row>
    <row r="86" spans="1:11" x14ac:dyDescent="0.3">
      <c r="A86" s="29"/>
      <c r="B86" s="16"/>
      <c r="C86" s="30"/>
      <c r="D86" s="6" t="str">
        <f>IFERROR(IF($B86="","",$C86*INDEX(Receteler[Cimento (kg)],MATCH($B86,Receteler[Beton Sinifi],0))),"")</f>
        <v/>
      </c>
      <c r="E86" s="6" t="str">
        <f>IFERROR(IF($B86="","",$C86*INDEX(Receteler[Kum (kg)],MATCH($B86,Receteler[Beton Sinifi],0))),"")</f>
        <v/>
      </c>
      <c r="F86" s="6" t="str">
        <f>IFERROR(IF($B86="","",$C86*INDEX(Receteler[Micir 0-5mm (kg)],MATCH($B86,Receteler[Beton Sinifi],0))),"")</f>
        <v/>
      </c>
      <c r="G86" s="6" t="str">
        <f>IFERROR(IF($B86="","",$C86*INDEX(Receteler[Micir 5-12mm (kg)],MATCH($B86,Receteler[Beton Sinifi],0))),"")</f>
        <v/>
      </c>
      <c r="H86" s="6" t="str">
        <f>IFERROR(IF($B86="","",$C86*INDEX(Receteler[Micir 12-19mm (kg)],MATCH($B86,Receteler[Beton Sinifi],0))),"")</f>
        <v/>
      </c>
      <c r="I86" s="6" t="str">
        <f>IFERROR(IF($B86="","",$C86*INDEX(Receteler[Su (lt)],MATCH($B86,Receteler[Beton Sinifi],0))),"")</f>
        <v/>
      </c>
      <c r="J86" s="6" t="str">
        <f>IFERROR(IF($B86="","",$C86*INDEX(Receteler[Katki (kg)],MATCH($B86,Receteler[Beton Sinifi],0))),"")</f>
        <v/>
      </c>
      <c r="K86" s="20"/>
    </row>
    <row r="87" spans="1:11" x14ac:dyDescent="0.3">
      <c r="A87" s="27"/>
      <c r="B87" s="10"/>
      <c r="C87" s="28"/>
      <c r="D87" s="3" t="str">
        <f>IFERROR(IF($B87="","",$C87*INDEX(Receteler[Cimento (kg)],MATCH($B87,Receteler[Beton Sinifi],0))),"")</f>
        <v/>
      </c>
      <c r="E87" s="3" t="str">
        <f>IFERROR(IF($B87="","",$C87*INDEX(Receteler[Kum (kg)],MATCH($B87,Receteler[Beton Sinifi],0))),"")</f>
        <v/>
      </c>
      <c r="F87" s="3" t="str">
        <f>IFERROR(IF($B87="","",$C87*INDEX(Receteler[Micir 0-5mm (kg)],MATCH($B87,Receteler[Beton Sinifi],0))),"")</f>
        <v/>
      </c>
      <c r="G87" s="3" t="str">
        <f>IFERROR(IF($B87="","",$C87*INDEX(Receteler[Micir 5-12mm (kg)],MATCH($B87,Receteler[Beton Sinifi],0))),"")</f>
        <v/>
      </c>
      <c r="H87" s="3" t="str">
        <f>IFERROR(IF($B87="","",$C87*INDEX(Receteler[Micir 12-19mm (kg)],MATCH($B87,Receteler[Beton Sinifi],0))),"")</f>
        <v/>
      </c>
      <c r="I87" s="3" t="str">
        <f>IFERROR(IF($B87="","",$C87*INDEX(Receteler[Su (lt)],MATCH($B87,Receteler[Beton Sinifi],0))),"")</f>
        <v/>
      </c>
      <c r="J87" s="3" t="str">
        <f>IFERROR(IF($B87="","",$C87*INDEX(Receteler[Katki (kg)],MATCH($B87,Receteler[Beton Sinifi],0))),"")</f>
        <v/>
      </c>
      <c r="K87" s="15"/>
    </row>
    <row r="88" spans="1:11" x14ac:dyDescent="0.3">
      <c r="A88" s="29"/>
      <c r="B88" s="16"/>
      <c r="C88" s="30"/>
      <c r="D88" s="6" t="str">
        <f>IFERROR(IF($B88="","",$C88*INDEX(Receteler[Cimento (kg)],MATCH($B88,Receteler[Beton Sinifi],0))),"")</f>
        <v/>
      </c>
      <c r="E88" s="6" t="str">
        <f>IFERROR(IF($B88="","",$C88*INDEX(Receteler[Kum (kg)],MATCH($B88,Receteler[Beton Sinifi],0))),"")</f>
        <v/>
      </c>
      <c r="F88" s="6" t="str">
        <f>IFERROR(IF($B88="","",$C88*INDEX(Receteler[Micir 0-5mm (kg)],MATCH($B88,Receteler[Beton Sinifi],0))),"")</f>
        <v/>
      </c>
      <c r="G88" s="6" t="str">
        <f>IFERROR(IF($B88="","",$C88*INDEX(Receteler[Micir 5-12mm (kg)],MATCH($B88,Receteler[Beton Sinifi],0))),"")</f>
        <v/>
      </c>
      <c r="H88" s="6" t="str">
        <f>IFERROR(IF($B88="","",$C88*INDEX(Receteler[Micir 12-19mm (kg)],MATCH($B88,Receteler[Beton Sinifi],0))),"")</f>
        <v/>
      </c>
      <c r="I88" s="6" t="str">
        <f>IFERROR(IF($B88="","",$C88*INDEX(Receteler[Su (lt)],MATCH($B88,Receteler[Beton Sinifi],0))),"")</f>
        <v/>
      </c>
      <c r="J88" s="6" t="str">
        <f>IFERROR(IF($B88="","",$C88*INDEX(Receteler[Katki (kg)],MATCH($B88,Receteler[Beton Sinifi],0))),"")</f>
        <v/>
      </c>
      <c r="K88" s="20"/>
    </row>
    <row r="89" spans="1:11" x14ac:dyDescent="0.3">
      <c r="A89" s="27"/>
      <c r="B89" s="10"/>
      <c r="C89" s="28"/>
      <c r="D89" s="3" t="str">
        <f>IFERROR(IF($B89="","",$C89*INDEX(Receteler[Cimento (kg)],MATCH($B89,Receteler[Beton Sinifi],0))),"")</f>
        <v/>
      </c>
      <c r="E89" s="3" t="str">
        <f>IFERROR(IF($B89="","",$C89*INDEX(Receteler[Kum (kg)],MATCH($B89,Receteler[Beton Sinifi],0))),"")</f>
        <v/>
      </c>
      <c r="F89" s="3" t="str">
        <f>IFERROR(IF($B89="","",$C89*INDEX(Receteler[Micir 0-5mm (kg)],MATCH($B89,Receteler[Beton Sinifi],0))),"")</f>
        <v/>
      </c>
      <c r="G89" s="3" t="str">
        <f>IFERROR(IF($B89="","",$C89*INDEX(Receteler[Micir 5-12mm (kg)],MATCH($B89,Receteler[Beton Sinifi],0))),"")</f>
        <v/>
      </c>
      <c r="H89" s="3" t="str">
        <f>IFERROR(IF($B89="","",$C89*INDEX(Receteler[Micir 12-19mm (kg)],MATCH($B89,Receteler[Beton Sinifi],0))),"")</f>
        <v/>
      </c>
      <c r="I89" s="3" t="str">
        <f>IFERROR(IF($B89="","",$C89*INDEX(Receteler[Su (lt)],MATCH($B89,Receteler[Beton Sinifi],0))),"")</f>
        <v/>
      </c>
      <c r="J89" s="3" t="str">
        <f>IFERROR(IF($B89="","",$C89*INDEX(Receteler[Katki (kg)],MATCH($B89,Receteler[Beton Sinifi],0))),"")</f>
        <v/>
      </c>
      <c r="K89" s="15"/>
    </row>
    <row r="90" spans="1:11" x14ac:dyDescent="0.3">
      <c r="A90" s="29"/>
      <c r="B90" s="16"/>
      <c r="C90" s="30"/>
      <c r="D90" s="6" t="str">
        <f>IFERROR(IF($B90="","",$C90*INDEX(Receteler[Cimento (kg)],MATCH($B90,Receteler[Beton Sinifi],0))),"")</f>
        <v/>
      </c>
      <c r="E90" s="6" t="str">
        <f>IFERROR(IF($B90="","",$C90*INDEX(Receteler[Kum (kg)],MATCH($B90,Receteler[Beton Sinifi],0))),"")</f>
        <v/>
      </c>
      <c r="F90" s="6" t="str">
        <f>IFERROR(IF($B90="","",$C90*INDEX(Receteler[Micir 0-5mm (kg)],MATCH($B90,Receteler[Beton Sinifi],0))),"")</f>
        <v/>
      </c>
      <c r="G90" s="6" t="str">
        <f>IFERROR(IF($B90="","",$C90*INDEX(Receteler[Micir 5-12mm (kg)],MATCH($B90,Receteler[Beton Sinifi],0))),"")</f>
        <v/>
      </c>
      <c r="H90" s="6" t="str">
        <f>IFERROR(IF($B90="","",$C90*INDEX(Receteler[Micir 12-19mm (kg)],MATCH($B90,Receteler[Beton Sinifi],0))),"")</f>
        <v/>
      </c>
      <c r="I90" s="6" t="str">
        <f>IFERROR(IF($B90="","",$C90*INDEX(Receteler[Su (lt)],MATCH($B90,Receteler[Beton Sinifi],0))),"")</f>
        <v/>
      </c>
      <c r="J90" s="6" t="str">
        <f>IFERROR(IF($B90="","",$C90*INDEX(Receteler[Katki (kg)],MATCH($B90,Receteler[Beton Sinifi],0))),"")</f>
        <v/>
      </c>
      <c r="K90" s="20"/>
    </row>
    <row r="91" spans="1:11" x14ac:dyDescent="0.3">
      <c r="A91" s="27"/>
      <c r="B91" s="10"/>
      <c r="C91" s="28"/>
      <c r="D91" s="3" t="str">
        <f>IFERROR(IF($B91="","",$C91*INDEX(Receteler[Cimento (kg)],MATCH($B91,Receteler[Beton Sinifi],0))),"")</f>
        <v/>
      </c>
      <c r="E91" s="3" t="str">
        <f>IFERROR(IF($B91="","",$C91*INDEX(Receteler[Kum (kg)],MATCH($B91,Receteler[Beton Sinifi],0))),"")</f>
        <v/>
      </c>
      <c r="F91" s="3" t="str">
        <f>IFERROR(IF($B91="","",$C91*INDEX(Receteler[Micir 0-5mm (kg)],MATCH($B91,Receteler[Beton Sinifi],0))),"")</f>
        <v/>
      </c>
      <c r="G91" s="3" t="str">
        <f>IFERROR(IF($B91="","",$C91*INDEX(Receteler[Micir 5-12mm (kg)],MATCH($B91,Receteler[Beton Sinifi],0))),"")</f>
        <v/>
      </c>
      <c r="H91" s="3" t="str">
        <f>IFERROR(IF($B91="","",$C91*INDEX(Receteler[Micir 12-19mm (kg)],MATCH($B91,Receteler[Beton Sinifi],0))),"")</f>
        <v/>
      </c>
      <c r="I91" s="3" t="str">
        <f>IFERROR(IF($B91="","",$C91*INDEX(Receteler[Su (lt)],MATCH($B91,Receteler[Beton Sinifi],0))),"")</f>
        <v/>
      </c>
      <c r="J91" s="3" t="str">
        <f>IFERROR(IF($B91="","",$C91*INDEX(Receteler[Katki (kg)],MATCH($B91,Receteler[Beton Sinifi],0))),"")</f>
        <v/>
      </c>
      <c r="K91" s="15"/>
    </row>
    <row r="92" spans="1:11" x14ac:dyDescent="0.3">
      <c r="A92" s="29"/>
      <c r="B92" s="16"/>
      <c r="C92" s="30"/>
      <c r="D92" s="6" t="str">
        <f>IFERROR(IF($B92="","",$C92*INDEX(Receteler[Cimento (kg)],MATCH($B92,Receteler[Beton Sinifi],0))),"")</f>
        <v/>
      </c>
      <c r="E92" s="6" t="str">
        <f>IFERROR(IF($B92="","",$C92*INDEX(Receteler[Kum (kg)],MATCH($B92,Receteler[Beton Sinifi],0))),"")</f>
        <v/>
      </c>
      <c r="F92" s="6" t="str">
        <f>IFERROR(IF($B92="","",$C92*INDEX(Receteler[Micir 0-5mm (kg)],MATCH($B92,Receteler[Beton Sinifi],0))),"")</f>
        <v/>
      </c>
      <c r="G92" s="6" t="str">
        <f>IFERROR(IF($B92="","",$C92*INDEX(Receteler[Micir 5-12mm (kg)],MATCH($B92,Receteler[Beton Sinifi],0))),"")</f>
        <v/>
      </c>
      <c r="H92" s="6" t="str">
        <f>IFERROR(IF($B92="","",$C92*INDEX(Receteler[Micir 12-19mm (kg)],MATCH($B92,Receteler[Beton Sinifi],0))),"")</f>
        <v/>
      </c>
      <c r="I92" s="6" t="str">
        <f>IFERROR(IF($B92="","",$C92*INDEX(Receteler[Su (lt)],MATCH($B92,Receteler[Beton Sinifi],0))),"")</f>
        <v/>
      </c>
      <c r="J92" s="6" t="str">
        <f>IFERROR(IF($B92="","",$C92*INDEX(Receteler[Katki (kg)],MATCH($B92,Receteler[Beton Sinifi],0))),"")</f>
        <v/>
      </c>
      <c r="K92" s="20"/>
    </row>
    <row r="93" spans="1:11" x14ac:dyDescent="0.3">
      <c r="A93" s="27"/>
      <c r="B93" s="10"/>
      <c r="C93" s="28"/>
      <c r="D93" s="3" t="str">
        <f>IFERROR(IF($B93="","",$C93*INDEX(Receteler[Cimento (kg)],MATCH($B93,Receteler[Beton Sinifi],0))),"")</f>
        <v/>
      </c>
      <c r="E93" s="3" t="str">
        <f>IFERROR(IF($B93="","",$C93*INDEX(Receteler[Kum (kg)],MATCH($B93,Receteler[Beton Sinifi],0))),"")</f>
        <v/>
      </c>
      <c r="F93" s="3" t="str">
        <f>IFERROR(IF($B93="","",$C93*INDEX(Receteler[Micir 0-5mm (kg)],MATCH($B93,Receteler[Beton Sinifi],0))),"")</f>
        <v/>
      </c>
      <c r="G93" s="3" t="str">
        <f>IFERROR(IF($B93="","",$C93*INDEX(Receteler[Micir 5-12mm (kg)],MATCH($B93,Receteler[Beton Sinifi],0))),"")</f>
        <v/>
      </c>
      <c r="H93" s="3" t="str">
        <f>IFERROR(IF($B93="","",$C93*INDEX(Receteler[Micir 12-19mm (kg)],MATCH($B93,Receteler[Beton Sinifi],0))),"")</f>
        <v/>
      </c>
      <c r="I93" s="3" t="str">
        <f>IFERROR(IF($B93="","",$C93*INDEX(Receteler[Su (lt)],MATCH($B93,Receteler[Beton Sinifi],0))),"")</f>
        <v/>
      </c>
      <c r="J93" s="3" t="str">
        <f>IFERROR(IF($B93="","",$C93*INDEX(Receteler[Katki (kg)],MATCH($B93,Receteler[Beton Sinifi],0))),"")</f>
        <v/>
      </c>
      <c r="K93" s="15"/>
    </row>
    <row r="94" spans="1:11" x14ac:dyDescent="0.3">
      <c r="A94" s="29"/>
      <c r="B94" s="16"/>
      <c r="C94" s="30"/>
      <c r="D94" s="6" t="str">
        <f>IFERROR(IF($B94="","",$C94*INDEX(Receteler[Cimento (kg)],MATCH($B94,Receteler[Beton Sinifi],0))),"")</f>
        <v/>
      </c>
      <c r="E94" s="6" t="str">
        <f>IFERROR(IF($B94="","",$C94*INDEX(Receteler[Kum (kg)],MATCH($B94,Receteler[Beton Sinifi],0))),"")</f>
        <v/>
      </c>
      <c r="F94" s="6" t="str">
        <f>IFERROR(IF($B94="","",$C94*INDEX(Receteler[Micir 0-5mm (kg)],MATCH($B94,Receteler[Beton Sinifi],0))),"")</f>
        <v/>
      </c>
      <c r="G94" s="6" t="str">
        <f>IFERROR(IF($B94="","",$C94*INDEX(Receteler[Micir 5-12mm (kg)],MATCH($B94,Receteler[Beton Sinifi],0))),"")</f>
        <v/>
      </c>
      <c r="H94" s="6" t="str">
        <f>IFERROR(IF($B94="","",$C94*INDEX(Receteler[Micir 12-19mm (kg)],MATCH($B94,Receteler[Beton Sinifi],0))),"")</f>
        <v/>
      </c>
      <c r="I94" s="6" t="str">
        <f>IFERROR(IF($B94="","",$C94*INDEX(Receteler[Su (lt)],MATCH($B94,Receteler[Beton Sinifi],0))),"")</f>
        <v/>
      </c>
      <c r="J94" s="6" t="str">
        <f>IFERROR(IF($B94="","",$C94*INDEX(Receteler[Katki (kg)],MATCH($B94,Receteler[Beton Sinifi],0))),"")</f>
        <v/>
      </c>
      <c r="K94" s="20"/>
    </row>
    <row r="95" spans="1:11" x14ac:dyDescent="0.3">
      <c r="A95" s="27"/>
      <c r="B95" s="10"/>
      <c r="C95" s="28"/>
      <c r="D95" s="3" t="str">
        <f>IFERROR(IF($B95="","",$C95*INDEX(Receteler[Cimento (kg)],MATCH($B95,Receteler[Beton Sinifi],0))),"")</f>
        <v/>
      </c>
      <c r="E95" s="3" t="str">
        <f>IFERROR(IF($B95="","",$C95*INDEX(Receteler[Kum (kg)],MATCH($B95,Receteler[Beton Sinifi],0))),"")</f>
        <v/>
      </c>
      <c r="F95" s="3" t="str">
        <f>IFERROR(IF($B95="","",$C95*INDEX(Receteler[Micir 0-5mm (kg)],MATCH($B95,Receteler[Beton Sinifi],0))),"")</f>
        <v/>
      </c>
      <c r="G95" s="3" t="str">
        <f>IFERROR(IF($B95="","",$C95*INDEX(Receteler[Micir 5-12mm (kg)],MATCH($B95,Receteler[Beton Sinifi],0))),"")</f>
        <v/>
      </c>
      <c r="H95" s="3" t="str">
        <f>IFERROR(IF($B95="","",$C95*INDEX(Receteler[Micir 12-19mm (kg)],MATCH($B95,Receteler[Beton Sinifi],0))),"")</f>
        <v/>
      </c>
      <c r="I95" s="3" t="str">
        <f>IFERROR(IF($B95="","",$C95*INDEX(Receteler[Su (lt)],MATCH($B95,Receteler[Beton Sinifi],0))),"")</f>
        <v/>
      </c>
      <c r="J95" s="3" t="str">
        <f>IFERROR(IF($B95="","",$C95*INDEX(Receteler[Katki (kg)],MATCH($B95,Receteler[Beton Sinifi],0))),"")</f>
        <v/>
      </c>
      <c r="K95" s="15"/>
    </row>
    <row r="96" spans="1:11" x14ac:dyDescent="0.3">
      <c r="A96" s="29"/>
      <c r="B96" s="16"/>
      <c r="C96" s="30"/>
      <c r="D96" s="6" t="str">
        <f>IFERROR(IF($B96="","",$C96*INDEX(Receteler[Cimento (kg)],MATCH($B96,Receteler[Beton Sinifi],0))),"")</f>
        <v/>
      </c>
      <c r="E96" s="6" t="str">
        <f>IFERROR(IF($B96="","",$C96*INDEX(Receteler[Kum (kg)],MATCH($B96,Receteler[Beton Sinifi],0))),"")</f>
        <v/>
      </c>
      <c r="F96" s="6" t="str">
        <f>IFERROR(IF($B96="","",$C96*INDEX(Receteler[Micir 0-5mm (kg)],MATCH($B96,Receteler[Beton Sinifi],0))),"")</f>
        <v/>
      </c>
      <c r="G96" s="6" t="str">
        <f>IFERROR(IF($B96="","",$C96*INDEX(Receteler[Micir 5-12mm (kg)],MATCH($B96,Receteler[Beton Sinifi],0))),"")</f>
        <v/>
      </c>
      <c r="H96" s="6" t="str">
        <f>IFERROR(IF($B96="","",$C96*INDEX(Receteler[Micir 12-19mm (kg)],MATCH($B96,Receteler[Beton Sinifi],0))),"")</f>
        <v/>
      </c>
      <c r="I96" s="6" t="str">
        <f>IFERROR(IF($B96="","",$C96*INDEX(Receteler[Su (lt)],MATCH($B96,Receteler[Beton Sinifi],0))),"")</f>
        <v/>
      </c>
      <c r="J96" s="6" t="str">
        <f>IFERROR(IF($B96="","",$C96*INDEX(Receteler[Katki (kg)],MATCH($B96,Receteler[Beton Sinifi],0))),"")</f>
        <v/>
      </c>
      <c r="K96" s="20"/>
    </row>
    <row r="97" spans="1:11" x14ac:dyDescent="0.3">
      <c r="A97" s="27"/>
      <c r="B97" s="10"/>
      <c r="C97" s="28"/>
      <c r="D97" s="3" t="str">
        <f>IFERROR(IF($B97="","",$C97*INDEX(Receteler[Cimento (kg)],MATCH($B97,Receteler[Beton Sinifi],0))),"")</f>
        <v/>
      </c>
      <c r="E97" s="3" t="str">
        <f>IFERROR(IF($B97="","",$C97*INDEX(Receteler[Kum (kg)],MATCH($B97,Receteler[Beton Sinifi],0))),"")</f>
        <v/>
      </c>
      <c r="F97" s="3" t="str">
        <f>IFERROR(IF($B97="","",$C97*INDEX(Receteler[Micir 0-5mm (kg)],MATCH($B97,Receteler[Beton Sinifi],0))),"")</f>
        <v/>
      </c>
      <c r="G97" s="3" t="str">
        <f>IFERROR(IF($B97="","",$C97*INDEX(Receteler[Micir 5-12mm (kg)],MATCH($B97,Receteler[Beton Sinifi],0))),"")</f>
        <v/>
      </c>
      <c r="H97" s="3" t="str">
        <f>IFERROR(IF($B97="","",$C97*INDEX(Receteler[Micir 12-19mm (kg)],MATCH($B97,Receteler[Beton Sinifi],0))),"")</f>
        <v/>
      </c>
      <c r="I97" s="3" t="str">
        <f>IFERROR(IF($B97="","",$C97*INDEX(Receteler[Su (lt)],MATCH($B97,Receteler[Beton Sinifi],0))),"")</f>
        <v/>
      </c>
      <c r="J97" s="3" t="str">
        <f>IFERROR(IF($B97="","",$C97*INDEX(Receteler[Katki (kg)],MATCH($B97,Receteler[Beton Sinifi],0))),"")</f>
        <v/>
      </c>
      <c r="K97" s="15"/>
    </row>
    <row r="98" spans="1:11" x14ac:dyDescent="0.3">
      <c r="A98" s="29"/>
      <c r="B98" s="16"/>
      <c r="C98" s="30"/>
      <c r="D98" s="6" t="str">
        <f>IFERROR(IF($B98="","",$C98*INDEX(Receteler[Cimento (kg)],MATCH($B98,Receteler[Beton Sinifi],0))),"")</f>
        <v/>
      </c>
      <c r="E98" s="6" t="str">
        <f>IFERROR(IF($B98="","",$C98*INDEX(Receteler[Kum (kg)],MATCH($B98,Receteler[Beton Sinifi],0))),"")</f>
        <v/>
      </c>
      <c r="F98" s="6" t="str">
        <f>IFERROR(IF($B98="","",$C98*INDEX(Receteler[Micir 0-5mm (kg)],MATCH($B98,Receteler[Beton Sinifi],0))),"")</f>
        <v/>
      </c>
      <c r="G98" s="6" t="str">
        <f>IFERROR(IF($B98="","",$C98*INDEX(Receteler[Micir 5-12mm (kg)],MATCH($B98,Receteler[Beton Sinifi],0))),"")</f>
        <v/>
      </c>
      <c r="H98" s="6" t="str">
        <f>IFERROR(IF($B98="","",$C98*INDEX(Receteler[Micir 12-19mm (kg)],MATCH($B98,Receteler[Beton Sinifi],0))),"")</f>
        <v/>
      </c>
      <c r="I98" s="6" t="str">
        <f>IFERROR(IF($B98="","",$C98*INDEX(Receteler[Su (lt)],MATCH($B98,Receteler[Beton Sinifi],0))),"")</f>
        <v/>
      </c>
      <c r="J98" s="6" t="str">
        <f>IFERROR(IF($B98="","",$C98*INDEX(Receteler[Katki (kg)],MATCH($B98,Receteler[Beton Sinifi],0))),"")</f>
        <v/>
      </c>
      <c r="K98" s="20"/>
    </row>
    <row r="99" spans="1:11" x14ac:dyDescent="0.3">
      <c r="A99" s="27"/>
      <c r="B99" s="10"/>
      <c r="C99" s="28"/>
      <c r="D99" s="3" t="str">
        <f>IFERROR(IF($B99="","",$C99*INDEX(Receteler[Cimento (kg)],MATCH($B99,Receteler[Beton Sinifi],0))),"")</f>
        <v/>
      </c>
      <c r="E99" s="3" t="str">
        <f>IFERROR(IF($B99="","",$C99*INDEX(Receteler[Kum (kg)],MATCH($B99,Receteler[Beton Sinifi],0))),"")</f>
        <v/>
      </c>
      <c r="F99" s="3" t="str">
        <f>IFERROR(IF($B99="","",$C99*INDEX(Receteler[Micir 0-5mm (kg)],MATCH($B99,Receteler[Beton Sinifi],0))),"")</f>
        <v/>
      </c>
      <c r="G99" s="3" t="str">
        <f>IFERROR(IF($B99="","",$C99*INDEX(Receteler[Micir 5-12mm (kg)],MATCH($B99,Receteler[Beton Sinifi],0))),"")</f>
        <v/>
      </c>
      <c r="H99" s="3" t="str">
        <f>IFERROR(IF($B99="","",$C99*INDEX(Receteler[Micir 12-19mm (kg)],MATCH($B99,Receteler[Beton Sinifi],0))),"")</f>
        <v/>
      </c>
      <c r="I99" s="3" t="str">
        <f>IFERROR(IF($B99="","",$C99*INDEX(Receteler[Su (lt)],MATCH($B99,Receteler[Beton Sinifi],0))),"")</f>
        <v/>
      </c>
      <c r="J99" s="3" t="str">
        <f>IFERROR(IF($B99="","",$C99*INDEX(Receteler[Katki (kg)],MATCH($B99,Receteler[Beton Sinifi],0))),"")</f>
        <v/>
      </c>
      <c r="K99" s="15"/>
    </row>
    <row r="100" spans="1:11" x14ac:dyDescent="0.3">
      <c r="A100" s="29"/>
      <c r="B100" s="16"/>
      <c r="C100" s="30"/>
      <c r="D100" s="6" t="str">
        <f>IFERROR(IF($B100="","",$C100*INDEX(Receteler[Cimento (kg)],MATCH($B100,Receteler[Beton Sinifi],0))),"")</f>
        <v/>
      </c>
      <c r="E100" s="6" t="str">
        <f>IFERROR(IF($B100="","",$C100*INDEX(Receteler[Kum (kg)],MATCH($B100,Receteler[Beton Sinifi],0))),"")</f>
        <v/>
      </c>
      <c r="F100" s="6" t="str">
        <f>IFERROR(IF($B100="","",$C100*INDEX(Receteler[Micir 0-5mm (kg)],MATCH($B100,Receteler[Beton Sinifi],0))),"")</f>
        <v/>
      </c>
      <c r="G100" s="6" t="str">
        <f>IFERROR(IF($B100="","",$C100*INDEX(Receteler[Micir 5-12mm (kg)],MATCH($B100,Receteler[Beton Sinifi],0))),"")</f>
        <v/>
      </c>
      <c r="H100" s="6" t="str">
        <f>IFERROR(IF($B100="","",$C100*INDEX(Receteler[Micir 12-19mm (kg)],MATCH($B100,Receteler[Beton Sinifi],0))),"")</f>
        <v/>
      </c>
      <c r="I100" s="6" t="str">
        <f>IFERROR(IF($B100="","",$C100*INDEX(Receteler[Su (lt)],MATCH($B100,Receteler[Beton Sinifi],0))),"")</f>
        <v/>
      </c>
      <c r="J100" s="6" t="str">
        <f>IFERROR(IF($B100="","",$C100*INDEX(Receteler[Katki (kg)],MATCH($B100,Receteler[Beton Sinifi],0))),"")</f>
        <v/>
      </c>
      <c r="K100" s="20"/>
    </row>
    <row r="101" spans="1:11" x14ac:dyDescent="0.3">
      <c r="A101" s="27"/>
      <c r="B101" s="10"/>
      <c r="C101" s="28"/>
      <c r="D101" s="3" t="str">
        <f>IFERROR(IF($B101="","",$C101*INDEX(Receteler[Cimento (kg)],MATCH($B101,Receteler[Beton Sinifi],0))),"")</f>
        <v/>
      </c>
      <c r="E101" s="3" t="str">
        <f>IFERROR(IF($B101="","",$C101*INDEX(Receteler[Kum (kg)],MATCH($B101,Receteler[Beton Sinifi],0))),"")</f>
        <v/>
      </c>
      <c r="F101" s="3" t="str">
        <f>IFERROR(IF($B101="","",$C101*INDEX(Receteler[Micir 0-5mm (kg)],MATCH($B101,Receteler[Beton Sinifi],0))),"")</f>
        <v/>
      </c>
      <c r="G101" s="3" t="str">
        <f>IFERROR(IF($B101="","",$C101*INDEX(Receteler[Micir 5-12mm (kg)],MATCH($B101,Receteler[Beton Sinifi],0))),"")</f>
        <v/>
      </c>
      <c r="H101" s="3" t="str">
        <f>IFERROR(IF($B101="","",$C101*INDEX(Receteler[Micir 12-19mm (kg)],MATCH($B101,Receteler[Beton Sinifi],0))),"")</f>
        <v/>
      </c>
      <c r="I101" s="3" t="str">
        <f>IFERROR(IF($B101="","",$C101*INDEX(Receteler[Su (lt)],MATCH($B101,Receteler[Beton Sinifi],0))),"")</f>
        <v/>
      </c>
      <c r="J101" s="3" t="str">
        <f>IFERROR(IF($B101="","",$C101*INDEX(Receteler[Katki (kg)],MATCH($B101,Receteler[Beton Sinifi],0))),"")</f>
        <v/>
      </c>
      <c r="K101" s="15"/>
    </row>
    <row r="102" spans="1:11" x14ac:dyDescent="0.3">
      <c r="A102" s="29"/>
      <c r="B102" s="16"/>
      <c r="C102" s="30"/>
      <c r="D102" s="6" t="str">
        <f>IFERROR(IF($B102="","",$C102*INDEX(Receteler[Cimento (kg)],MATCH($B102,Receteler[Beton Sinifi],0))),"")</f>
        <v/>
      </c>
      <c r="E102" s="6" t="str">
        <f>IFERROR(IF($B102="","",$C102*INDEX(Receteler[Kum (kg)],MATCH($B102,Receteler[Beton Sinifi],0))),"")</f>
        <v/>
      </c>
      <c r="F102" s="6" t="str">
        <f>IFERROR(IF($B102="","",$C102*INDEX(Receteler[Micir 0-5mm (kg)],MATCH($B102,Receteler[Beton Sinifi],0))),"")</f>
        <v/>
      </c>
      <c r="G102" s="6" t="str">
        <f>IFERROR(IF($B102="","",$C102*INDEX(Receteler[Micir 5-12mm (kg)],MATCH($B102,Receteler[Beton Sinifi],0))),"")</f>
        <v/>
      </c>
      <c r="H102" s="6" t="str">
        <f>IFERROR(IF($B102="","",$C102*INDEX(Receteler[Micir 12-19mm (kg)],MATCH($B102,Receteler[Beton Sinifi],0))),"")</f>
        <v/>
      </c>
      <c r="I102" s="6" t="str">
        <f>IFERROR(IF($B102="","",$C102*INDEX(Receteler[Su (lt)],MATCH($B102,Receteler[Beton Sinifi],0))),"")</f>
        <v/>
      </c>
      <c r="J102" s="6" t="str">
        <f>IFERROR(IF($B102="","",$C102*INDEX(Receteler[Katki (kg)],MATCH($B102,Receteler[Beton Sinifi],0))),"")</f>
        <v/>
      </c>
      <c r="K102" s="20"/>
    </row>
    <row r="103" spans="1:11" x14ac:dyDescent="0.3">
      <c r="A103" s="27"/>
      <c r="B103" s="10"/>
      <c r="C103" s="28"/>
      <c r="D103" s="3" t="str">
        <f>IFERROR(IF($B103="","",$C103*INDEX(Receteler[Cimento (kg)],MATCH($B103,Receteler[Beton Sinifi],0))),"")</f>
        <v/>
      </c>
      <c r="E103" s="3" t="str">
        <f>IFERROR(IF($B103="","",$C103*INDEX(Receteler[Kum (kg)],MATCH($B103,Receteler[Beton Sinifi],0))),"")</f>
        <v/>
      </c>
      <c r="F103" s="3" t="str">
        <f>IFERROR(IF($B103="","",$C103*INDEX(Receteler[Micir 0-5mm (kg)],MATCH($B103,Receteler[Beton Sinifi],0))),"")</f>
        <v/>
      </c>
      <c r="G103" s="3" t="str">
        <f>IFERROR(IF($B103="","",$C103*INDEX(Receteler[Micir 5-12mm (kg)],MATCH($B103,Receteler[Beton Sinifi],0))),"")</f>
        <v/>
      </c>
      <c r="H103" s="3" t="str">
        <f>IFERROR(IF($B103="","",$C103*INDEX(Receteler[Micir 12-19mm (kg)],MATCH($B103,Receteler[Beton Sinifi],0))),"")</f>
        <v/>
      </c>
      <c r="I103" s="3" t="str">
        <f>IFERROR(IF($B103="","",$C103*INDEX(Receteler[Su (lt)],MATCH($B103,Receteler[Beton Sinifi],0))),"")</f>
        <v/>
      </c>
      <c r="J103" s="3" t="str">
        <f>IFERROR(IF($B103="","",$C103*INDEX(Receteler[Katki (kg)],MATCH($B103,Receteler[Beton Sinifi],0))),"")</f>
        <v/>
      </c>
      <c r="K103" s="15"/>
    </row>
    <row r="104" spans="1:11" x14ac:dyDescent="0.3">
      <c r="A104" s="29"/>
      <c r="B104" s="16"/>
      <c r="C104" s="30"/>
      <c r="D104" s="6" t="str">
        <f>IFERROR(IF($B104="","",$C104*INDEX(Receteler[Cimento (kg)],MATCH($B104,Receteler[Beton Sinifi],0))),"")</f>
        <v/>
      </c>
      <c r="E104" s="6" t="str">
        <f>IFERROR(IF($B104="","",$C104*INDEX(Receteler[Kum (kg)],MATCH($B104,Receteler[Beton Sinifi],0))),"")</f>
        <v/>
      </c>
      <c r="F104" s="6" t="str">
        <f>IFERROR(IF($B104="","",$C104*INDEX(Receteler[Micir 0-5mm (kg)],MATCH($B104,Receteler[Beton Sinifi],0))),"")</f>
        <v/>
      </c>
      <c r="G104" s="6" t="str">
        <f>IFERROR(IF($B104="","",$C104*INDEX(Receteler[Micir 5-12mm (kg)],MATCH($B104,Receteler[Beton Sinifi],0))),"")</f>
        <v/>
      </c>
      <c r="H104" s="6" t="str">
        <f>IFERROR(IF($B104="","",$C104*INDEX(Receteler[Micir 12-19mm (kg)],MATCH($B104,Receteler[Beton Sinifi],0))),"")</f>
        <v/>
      </c>
      <c r="I104" s="6" t="str">
        <f>IFERROR(IF($B104="","",$C104*INDEX(Receteler[Su (lt)],MATCH($B104,Receteler[Beton Sinifi],0))),"")</f>
        <v/>
      </c>
      <c r="J104" s="6" t="str">
        <f>IFERROR(IF($B104="","",$C104*INDEX(Receteler[Katki (kg)],MATCH($B104,Receteler[Beton Sinifi],0))),"")</f>
        <v/>
      </c>
      <c r="K104" s="20"/>
    </row>
    <row r="105" spans="1:11" x14ac:dyDescent="0.3">
      <c r="A105" s="27"/>
      <c r="B105" s="10"/>
      <c r="C105" s="28"/>
      <c r="D105" s="3" t="str">
        <f>IFERROR(IF($B105="","",$C105*INDEX(Receteler[Cimento (kg)],MATCH($B105,Receteler[Beton Sinifi],0))),"")</f>
        <v/>
      </c>
      <c r="E105" s="3" t="str">
        <f>IFERROR(IF($B105="","",$C105*INDEX(Receteler[Kum (kg)],MATCH($B105,Receteler[Beton Sinifi],0))),"")</f>
        <v/>
      </c>
      <c r="F105" s="3" t="str">
        <f>IFERROR(IF($B105="","",$C105*INDEX(Receteler[Micir 0-5mm (kg)],MATCH($B105,Receteler[Beton Sinifi],0))),"")</f>
        <v/>
      </c>
      <c r="G105" s="3" t="str">
        <f>IFERROR(IF($B105="","",$C105*INDEX(Receteler[Micir 5-12mm (kg)],MATCH($B105,Receteler[Beton Sinifi],0))),"")</f>
        <v/>
      </c>
      <c r="H105" s="3" t="str">
        <f>IFERROR(IF($B105="","",$C105*INDEX(Receteler[Micir 12-19mm (kg)],MATCH($B105,Receteler[Beton Sinifi],0))),"")</f>
        <v/>
      </c>
      <c r="I105" s="3" t="str">
        <f>IFERROR(IF($B105="","",$C105*INDEX(Receteler[Su (lt)],MATCH($B105,Receteler[Beton Sinifi],0))),"")</f>
        <v/>
      </c>
      <c r="J105" s="3" t="str">
        <f>IFERROR(IF($B105="","",$C105*INDEX(Receteler[Katki (kg)],MATCH($B105,Receteler[Beton Sinifi],0))),"")</f>
        <v/>
      </c>
      <c r="K105" s="15"/>
    </row>
    <row r="106" spans="1:11" x14ac:dyDescent="0.3">
      <c r="A106" s="29"/>
      <c r="B106" s="16"/>
      <c r="C106" s="30"/>
      <c r="D106" s="6" t="str">
        <f>IFERROR(IF($B106="","",$C106*INDEX(Receteler[Cimento (kg)],MATCH($B106,Receteler[Beton Sinifi],0))),"")</f>
        <v/>
      </c>
      <c r="E106" s="6" t="str">
        <f>IFERROR(IF($B106="","",$C106*INDEX(Receteler[Kum (kg)],MATCH($B106,Receteler[Beton Sinifi],0))),"")</f>
        <v/>
      </c>
      <c r="F106" s="6" t="str">
        <f>IFERROR(IF($B106="","",$C106*INDEX(Receteler[Micir 0-5mm (kg)],MATCH($B106,Receteler[Beton Sinifi],0))),"")</f>
        <v/>
      </c>
      <c r="G106" s="6" t="str">
        <f>IFERROR(IF($B106="","",$C106*INDEX(Receteler[Micir 5-12mm (kg)],MATCH($B106,Receteler[Beton Sinifi],0))),"")</f>
        <v/>
      </c>
      <c r="H106" s="6" t="str">
        <f>IFERROR(IF($B106="","",$C106*INDEX(Receteler[Micir 12-19mm (kg)],MATCH($B106,Receteler[Beton Sinifi],0))),"")</f>
        <v/>
      </c>
      <c r="I106" s="6" t="str">
        <f>IFERROR(IF($B106="","",$C106*INDEX(Receteler[Su (lt)],MATCH($B106,Receteler[Beton Sinifi],0))),"")</f>
        <v/>
      </c>
      <c r="J106" s="6" t="str">
        <f>IFERROR(IF($B106="","",$C106*INDEX(Receteler[Katki (kg)],MATCH($B106,Receteler[Beton Sinifi],0))),"")</f>
        <v/>
      </c>
      <c r="K106" s="20"/>
    </row>
    <row r="107" spans="1:11" x14ac:dyDescent="0.3">
      <c r="A107" s="27"/>
      <c r="B107" s="10"/>
      <c r="C107" s="28"/>
      <c r="D107" s="3" t="str">
        <f>IFERROR(IF($B107="","",$C107*INDEX(Receteler[Cimento (kg)],MATCH($B107,Receteler[Beton Sinifi],0))),"")</f>
        <v/>
      </c>
      <c r="E107" s="3" t="str">
        <f>IFERROR(IF($B107="","",$C107*INDEX(Receteler[Kum (kg)],MATCH($B107,Receteler[Beton Sinifi],0))),"")</f>
        <v/>
      </c>
      <c r="F107" s="3" t="str">
        <f>IFERROR(IF($B107="","",$C107*INDEX(Receteler[Micir 0-5mm (kg)],MATCH($B107,Receteler[Beton Sinifi],0))),"")</f>
        <v/>
      </c>
      <c r="G107" s="3" t="str">
        <f>IFERROR(IF($B107="","",$C107*INDEX(Receteler[Micir 5-12mm (kg)],MATCH($B107,Receteler[Beton Sinifi],0))),"")</f>
        <v/>
      </c>
      <c r="H107" s="3" t="str">
        <f>IFERROR(IF($B107="","",$C107*INDEX(Receteler[Micir 12-19mm (kg)],MATCH($B107,Receteler[Beton Sinifi],0))),"")</f>
        <v/>
      </c>
      <c r="I107" s="3" t="str">
        <f>IFERROR(IF($B107="","",$C107*INDEX(Receteler[Su (lt)],MATCH($B107,Receteler[Beton Sinifi],0))),"")</f>
        <v/>
      </c>
      <c r="J107" s="3" t="str">
        <f>IFERROR(IF($B107="","",$C107*INDEX(Receteler[Katki (kg)],MATCH($B107,Receteler[Beton Sinifi],0))),"")</f>
        <v/>
      </c>
      <c r="K107" s="15"/>
    </row>
    <row r="108" spans="1:11" x14ac:dyDescent="0.3">
      <c r="A108" s="29"/>
      <c r="B108" s="16"/>
      <c r="C108" s="30"/>
      <c r="D108" s="6" t="str">
        <f>IFERROR(IF($B108="","",$C108*INDEX(Receteler[Cimento (kg)],MATCH($B108,Receteler[Beton Sinifi],0))),"")</f>
        <v/>
      </c>
      <c r="E108" s="6" t="str">
        <f>IFERROR(IF($B108="","",$C108*INDEX(Receteler[Kum (kg)],MATCH($B108,Receteler[Beton Sinifi],0))),"")</f>
        <v/>
      </c>
      <c r="F108" s="6" t="str">
        <f>IFERROR(IF($B108="","",$C108*INDEX(Receteler[Micir 0-5mm (kg)],MATCH($B108,Receteler[Beton Sinifi],0))),"")</f>
        <v/>
      </c>
      <c r="G108" s="6" t="str">
        <f>IFERROR(IF($B108="","",$C108*INDEX(Receteler[Micir 5-12mm (kg)],MATCH($B108,Receteler[Beton Sinifi],0))),"")</f>
        <v/>
      </c>
      <c r="H108" s="6" t="str">
        <f>IFERROR(IF($B108="","",$C108*INDEX(Receteler[Micir 12-19mm (kg)],MATCH($B108,Receteler[Beton Sinifi],0))),"")</f>
        <v/>
      </c>
      <c r="I108" s="6" t="str">
        <f>IFERROR(IF($B108="","",$C108*INDEX(Receteler[Su (lt)],MATCH($B108,Receteler[Beton Sinifi],0))),"")</f>
        <v/>
      </c>
      <c r="J108" s="6" t="str">
        <f>IFERROR(IF($B108="","",$C108*INDEX(Receteler[Katki (kg)],MATCH($B108,Receteler[Beton Sinifi],0))),"")</f>
        <v/>
      </c>
      <c r="K108" s="20"/>
    </row>
    <row r="109" spans="1:11" x14ac:dyDescent="0.3">
      <c r="A109" s="27"/>
      <c r="B109" s="10"/>
      <c r="C109" s="28"/>
      <c r="D109" s="3" t="str">
        <f>IFERROR(IF($B109="","",$C109*INDEX(Receteler[Cimento (kg)],MATCH($B109,Receteler[Beton Sinifi],0))),"")</f>
        <v/>
      </c>
      <c r="E109" s="3" t="str">
        <f>IFERROR(IF($B109="","",$C109*INDEX(Receteler[Kum (kg)],MATCH($B109,Receteler[Beton Sinifi],0))),"")</f>
        <v/>
      </c>
      <c r="F109" s="3" t="str">
        <f>IFERROR(IF($B109="","",$C109*INDEX(Receteler[Micir 0-5mm (kg)],MATCH($B109,Receteler[Beton Sinifi],0))),"")</f>
        <v/>
      </c>
      <c r="G109" s="3" t="str">
        <f>IFERROR(IF($B109="","",$C109*INDEX(Receteler[Micir 5-12mm (kg)],MATCH($B109,Receteler[Beton Sinifi],0))),"")</f>
        <v/>
      </c>
      <c r="H109" s="3" t="str">
        <f>IFERROR(IF($B109="","",$C109*INDEX(Receteler[Micir 12-19mm (kg)],MATCH($B109,Receteler[Beton Sinifi],0))),"")</f>
        <v/>
      </c>
      <c r="I109" s="3" t="str">
        <f>IFERROR(IF($B109="","",$C109*INDEX(Receteler[Su (lt)],MATCH($B109,Receteler[Beton Sinifi],0))),"")</f>
        <v/>
      </c>
      <c r="J109" s="3" t="str">
        <f>IFERROR(IF($B109="","",$C109*INDEX(Receteler[Katki (kg)],MATCH($B109,Receteler[Beton Sinifi],0))),"")</f>
        <v/>
      </c>
      <c r="K109" s="15"/>
    </row>
    <row r="110" spans="1:11" x14ac:dyDescent="0.3">
      <c r="A110" s="29"/>
      <c r="B110" s="16"/>
      <c r="C110" s="30"/>
      <c r="D110" s="6" t="str">
        <f>IFERROR(IF($B110="","",$C110*INDEX(Receteler[Cimento (kg)],MATCH($B110,Receteler[Beton Sinifi],0))),"")</f>
        <v/>
      </c>
      <c r="E110" s="6" t="str">
        <f>IFERROR(IF($B110="","",$C110*INDEX(Receteler[Kum (kg)],MATCH($B110,Receteler[Beton Sinifi],0))),"")</f>
        <v/>
      </c>
      <c r="F110" s="6" t="str">
        <f>IFERROR(IF($B110="","",$C110*INDEX(Receteler[Micir 0-5mm (kg)],MATCH($B110,Receteler[Beton Sinifi],0))),"")</f>
        <v/>
      </c>
      <c r="G110" s="6" t="str">
        <f>IFERROR(IF($B110="","",$C110*INDEX(Receteler[Micir 5-12mm (kg)],MATCH($B110,Receteler[Beton Sinifi],0))),"")</f>
        <v/>
      </c>
      <c r="H110" s="6" t="str">
        <f>IFERROR(IF($B110="","",$C110*INDEX(Receteler[Micir 12-19mm (kg)],MATCH($B110,Receteler[Beton Sinifi],0))),"")</f>
        <v/>
      </c>
      <c r="I110" s="6" t="str">
        <f>IFERROR(IF($B110="","",$C110*INDEX(Receteler[Su (lt)],MATCH($B110,Receteler[Beton Sinifi],0))),"")</f>
        <v/>
      </c>
      <c r="J110" s="6" t="str">
        <f>IFERROR(IF($B110="","",$C110*INDEX(Receteler[Katki (kg)],MATCH($B110,Receteler[Beton Sinifi],0))),"")</f>
        <v/>
      </c>
      <c r="K110" s="20"/>
    </row>
    <row r="111" spans="1:11" x14ac:dyDescent="0.3">
      <c r="A111" s="27"/>
      <c r="B111" s="10"/>
      <c r="C111" s="28"/>
      <c r="D111" s="3" t="str">
        <f>IFERROR(IF($B111="","",$C111*INDEX(Receteler[Cimento (kg)],MATCH($B111,Receteler[Beton Sinifi],0))),"")</f>
        <v/>
      </c>
      <c r="E111" s="3" t="str">
        <f>IFERROR(IF($B111="","",$C111*INDEX(Receteler[Kum (kg)],MATCH($B111,Receteler[Beton Sinifi],0))),"")</f>
        <v/>
      </c>
      <c r="F111" s="3" t="str">
        <f>IFERROR(IF($B111="","",$C111*INDEX(Receteler[Micir 0-5mm (kg)],MATCH($B111,Receteler[Beton Sinifi],0))),"")</f>
        <v/>
      </c>
      <c r="G111" s="3" t="str">
        <f>IFERROR(IF($B111="","",$C111*INDEX(Receteler[Micir 5-12mm (kg)],MATCH($B111,Receteler[Beton Sinifi],0))),"")</f>
        <v/>
      </c>
      <c r="H111" s="3" t="str">
        <f>IFERROR(IF($B111="","",$C111*INDEX(Receteler[Micir 12-19mm (kg)],MATCH($B111,Receteler[Beton Sinifi],0))),"")</f>
        <v/>
      </c>
      <c r="I111" s="3" t="str">
        <f>IFERROR(IF($B111="","",$C111*INDEX(Receteler[Su (lt)],MATCH($B111,Receteler[Beton Sinifi],0))),"")</f>
        <v/>
      </c>
      <c r="J111" s="3" t="str">
        <f>IFERROR(IF($B111="","",$C111*INDEX(Receteler[Katki (kg)],MATCH($B111,Receteler[Beton Sinifi],0))),"")</f>
        <v/>
      </c>
      <c r="K111" s="15"/>
    </row>
    <row r="112" spans="1:11" x14ac:dyDescent="0.3">
      <c r="A112" s="29"/>
      <c r="B112" s="16"/>
      <c r="C112" s="30"/>
      <c r="D112" s="6" t="str">
        <f>IFERROR(IF($B112="","",$C112*INDEX(Receteler[Cimento (kg)],MATCH($B112,Receteler[Beton Sinifi],0))),"")</f>
        <v/>
      </c>
      <c r="E112" s="6" t="str">
        <f>IFERROR(IF($B112="","",$C112*INDEX(Receteler[Kum (kg)],MATCH($B112,Receteler[Beton Sinifi],0))),"")</f>
        <v/>
      </c>
      <c r="F112" s="6" t="str">
        <f>IFERROR(IF($B112="","",$C112*INDEX(Receteler[Micir 0-5mm (kg)],MATCH($B112,Receteler[Beton Sinifi],0))),"")</f>
        <v/>
      </c>
      <c r="G112" s="6" t="str">
        <f>IFERROR(IF($B112="","",$C112*INDEX(Receteler[Micir 5-12mm (kg)],MATCH($B112,Receteler[Beton Sinifi],0))),"")</f>
        <v/>
      </c>
      <c r="H112" s="6" t="str">
        <f>IFERROR(IF($B112="","",$C112*INDEX(Receteler[Micir 12-19mm (kg)],MATCH($B112,Receteler[Beton Sinifi],0))),"")</f>
        <v/>
      </c>
      <c r="I112" s="6" t="str">
        <f>IFERROR(IF($B112="","",$C112*INDEX(Receteler[Su (lt)],MATCH($B112,Receteler[Beton Sinifi],0))),"")</f>
        <v/>
      </c>
      <c r="J112" s="6" t="str">
        <f>IFERROR(IF($B112="","",$C112*INDEX(Receteler[Katki (kg)],MATCH($B112,Receteler[Beton Sinifi],0))),"")</f>
        <v/>
      </c>
      <c r="K112" s="20"/>
    </row>
    <row r="113" spans="1:11" x14ac:dyDescent="0.3">
      <c r="A113" s="27"/>
      <c r="B113" s="10"/>
      <c r="C113" s="28"/>
      <c r="D113" s="3" t="str">
        <f>IFERROR(IF($B113="","",$C113*INDEX(Receteler[Cimento (kg)],MATCH($B113,Receteler[Beton Sinifi],0))),"")</f>
        <v/>
      </c>
      <c r="E113" s="3" t="str">
        <f>IFERROR(IF($B113="","",$C113*INDEX(Receteler[Kum (kg)],MATCH($B113,Receteler[Beton Sinifi],0))),"")</f>
        <v/>
      </c>
      <c r="F113" s="3" t="str">
        <f>IFERROR(IF($B113="","",$C113*INDEX(Receteler[Micir 0-5mm (kg)],MATCH($B113,Receteler[Beton Sinifi],0))),"")</f>
        <v/>
      </c>
      <c r="G113" s="3" t="str">
        <f>IFERROR(IF($B113="","",$C113*INDEX(Receteler[Micir 5-12mm (kg)],MATCH($B113,Receteler[Beton Sinifi],0))),"")</f>
        <v/>
      </c>
      <c r="H113" s="3" t="str">
        <f>IFERROR(IF($B113="","",$C113*INDEX(Receteler[Micir 12-19mm (kg)],MATCH($B113,Receteler[Beton Sinifi],0))),"")</f>
        <v/>
      </c>
      <c r="I113" s="3" t="str">
        <f>IFERROR(IF($B113="","",$C113*INDEX(Receteler[Su (lt)],MATCH($B113,Receteler[Beton Sinifi],0))),"")</f>
        <v/>
      </c>
      <c r="J113" s="3" t="str">
        <f>IFERROR(IF($B113="","",$C113*INDEX(Receteler[Katki (kg)],MATCH($B113,Receteler[Beton Sinifi],0))),"")</f>
        <v/>
      </c>
      <c r="K113" s="15"/>
    </row>
    <row r="114" spans="1:11" x14ac:dyDescent="0.3">
      <c r="A114" s="29"/>
      <c r="B114" s="16"/>
      <c r="C114" s="30"/>
      <c r="D114" s="6" t="str">
        <f>IFERROR(IF($B114="","",$C114*INDEX(Receteler[Cimento (kg)],MATCH($B114,Receteler[Beton Sinifi],0))),"")</f>
        <v/>
      </c>
      <c r="E114" s="6" t="str">
        <f>IFERROR(IF($B114="","",$C114*INDEX(Receteler[Kum (kg)],MATCH($B114,Receteler[Beton Sinifi],0))),"")</f>
        <v/>
      </c>
      <c r="F114" s="6" t="str">
        <f>IFERROR(IF($B114="","",$C114*INDEX(Receteler[Micir 0-5mm (kg)],MATCH($B114,Receteler[Beton Sinifi],0))),"")</f>
        <v/>
      </c>
      <c r="G114" s="6" t="str">
        <f>IFERROR(IF($B114="","",$C114*INDEX(Receteler[Micir 5-12mm (kg)],MATCH($B114,Receteler[Beton Sinifi],0))),"")</f>
        <v/>
      </c>
      <c r="H114" s="6" t="str">
        <f>IFERROR(IF($B114="","",$C114*INDEX(Receteler[Micir 12-19mm (kg)],MATCH($B114,Receteler[Beton Sinifi],0))),"")</f>
        <v/>
      </c>
      <c r="I114" s="6" t="str">
        <f>IFERROR(IF($B114="","",$C114*INDEX(Receteler[Su (lt)],MATCH($B114,Receteler[Beton Sinifi],0))),"")</f>
        <v/>
      </c>
      <c r="J114" s="6" t="str">
        <f>IFERROR(IF($B114="","",$C114*INDEX(Receteler[Katki (kg)],MATCH($B114,Receteler[Beton Sinifi],0))),"")</f>
        <v/>
      </c>
      <c r="K114" s="20"/>
    </row>
    <row r="115" spans="1:11" x14ac:dyDescent="0.3">
      <c r="A115" s="27"/>
      <c r="B115" s="10"/>
      <c r="C115" s="28"/>
      <c r="D115" s="3" t="str">
        <f>IFERROR(IF($B115="","",$C115*INDEX(Receteler[Cimento (kg)],MATCH($B115,Receteler[Beton Sinifi],0))),"")</f>
        <v/>
      </c>
      <c r="E115" s="3" t="str">
        <f>IFERROR(IF($B115="","",$C115*INDEX(Receteler[Kum (kg)],MATCH($B115,Receteler[Beton Sinifi],0))),"")</f>
        <v/>
      </c>
      <c r="F115" s="3" t="str">
        <f>IFERROR(IF($B115="","",$C115*INDEX(Receteler[Micir 0-5mm (kg)],MATCH($B115,Receteler[Beton Sinifi],0))),"")</f>
        <v/>
      </c>
      <c r="G115" s="3" t="str">
        <f>IFERROR(IF($B115="","",$C115*INDEX(Receteler[Micir 5-12mm (kg)],MATCH($B115,Receteler[Beton Sinifi],0))),"")</f>
        <v/>
      </c>
      <c r="H115" s="3" t="str">
        <f>IFERROR(IF($B115="","",$C115*INDEX(Receteler[Micir 12-19mm (kg)],MATCH($B115,Receteler[Beton Sinifi],0))),"")</f>
        <v/>
      </c>
      <c r="I115" s="3" t="str">
        <f>IFERROR(IF($B115="","",$C115*INDEX(Receteler[Su (lt)],MATCH($B115,Receteler[Beton Sinifi],0))),"")</f>
        <v/>
      </c>
      <c r="J115" s="3" t="str">
        <f>IFERROR(IF($B115="","",$C115*INDEX(Receteler[Katki (kg)],MATCH($B115,Receteler[Beton Sinifi],0))),"")</f>
        <v/>
      </c>
      <c r="K115" s="15"/>
    </row>
    <row r="116" spans="1:11" x14ac:dyDescent="0.3">
      <c r="A116" s="29"/>
      <c r="B116" s="16"/>
      <c r="C116" s="30"/>
      <c r="D116" s="6" t="str">
        <f>IFERROR(IF($B116="","",$C116*INDEX(Receteler[Cimento (kg)],MATCH($B116,Receteler[Beton Sinifi],0))),"")</f>
        <v/>
      </c>
      <c r="E116" s="6" t="str">
        <f>IFERROR(IF($B116="","",$C116*INDEX(Receteler[Kum (kg)],MATCH($B116,Receteler[Beton Sinifi],0))),"")</f>
        <v/>
      </c>
      <c r="F116" s="6" t="str">
        <f>IFERROR(IF($B116="","",$C116*INDEX(Receteler[Micir 0-5mm (kg)],MATCH($B116,Receteler[Beton Sinifi],0))),"")</f>
        <v/>
      </c>
      <c r="G116" s="6" t="str">
        <f>IFERROR(IF($B116="","",$C116*INDEX(Receteler[Micir 5-12mm (kg)],MATCH($B116,Receteler[Beton Sinifi],0))),"")</f>
        <v/>
      </c>
      <c r="H116" s="6" t="str">
        <f>IFERROR(IF($B116="","",$C116*INDEX(Receteler[Micir 12-19mm (kg)],MATCH($B116,Receteler[Beton Sinifi],0))),"")</f>
        <v/>
      </c>
      <c r="I116" s="6" t="str">
        <f>IFERROR(IF($B116="","",$C116*INDEX(Receteler[Su (lt)],MATCH($B116,Receteler[Beton Sinifi],0))),"")</f>
        <v/>
      </c>
      <c r="J116" s="6" t="str">
        <f>IFERROR(IF($B116="","",$C116*INDEX(Receteler[Katki (kg)],MATCH($B116,Receteler[Beton Sinifi],0))),"")</f>
        <v/>
      </c>
      <c r="K116" s="20"/>
    </row>
    <row r="117" spans="1:11" x14ac:dyDescent="0.3">
      <c r="A117" s="27"/>
      <c r="B117" s="10"/>
      <c r="C117" s="28"/>
      <c r="D117" s="3" t="str">
        <f>IFERROR(IF($B117="","",$C117*INDEX(Receteler[Cimento (kg)],MATCH($B117,Receteler[Beton Sinifi],0))),"")</f>
        <v/>
      </c>
      <c r="E117" s="3" t="str">
        <f>IFERROR(IF($B117="","",$C117*INDEX(Receteler[Kum (kg)],MATCH($B117,Receteler[Beton Sinifi],0))),"")</f>
        <v/>
      </c>
      <c r="F117" s="3" t="str">
        <f>IFERROR(IF($B117="","",$C117*INDEX(Receteler[Micir 0-5mm (kg)],MATCH($B117,Receteler[Beton Sinifi],0))),"")</f>
        <v/>
      </c>
      <c r="G117" s="3" t="str">
        <f>IFERROR(IF($B117="","",$C117*INDEX(Receteler[Micir 5-12mm (kg)],MATCH($B117,Receteler[Beton Sinifi],0))),"")</f>
        <v/>
      </c>
      <c r="H117" s="3" t="str">
        <f>IFERROR(IF($B117="","",$C117*INDEX(Receteler[Micir 12-19mm (kg)],MATCH($B117,Receteler[Beton Sinifi],0))),"")</f>
        <v/>
      </c>
      <c r="I117" s="3" t="str">
        <f>IFERROR(IF($B117="","",$C117*INDEX(Receteler[Su (lt)],MATCH($B117,Receteler[Beton Sinifi],0))),"")</f>
        <v/>
      </c>
      <c r="J117" s="3" t="str">
        <f>IFERROR(IF($B117="","",$C117*INDEX(Receteler[Katki (kg)],MATCH($B117,Receteler[Beton Sinifi],0))),"")</f>
        <v/>
      </c>
      <c r="K117" s="15"/>
    </row>
    <row r="118" spans="1:11" x14ac:dyDescent="0.3">
      <c r="A118" s="29"/>
      <c r="B118" s="16"/>
      <c r="C118" s="30"/>
      <c r="D118" s="6" t="str">
        <f>IFERROR(IF($B118="","",$C118*INDEX(Receteler[Cimento (kg)],MATCH($B118,Receteler[Beton Sinifi],0))),"")</f>
        <v/>
      </c>
      <c r="E118" s="6" t="str">
        <f>IFERROR(IF($B118="","",$C118*INDEX(Receteler[Kum (kg)],MATCH($B118,Receteler[Beton Sinifi],0))),"")</f>
        <v/>
      </c>
      <c r="F118" s="6" t="str">
        <f>IFERROR(IF($B118="","",$C118*INDEX(Receteler[Micir 0-5mm (kg)],MATCH($B118,Receteler[Beton Sinifi],0))),"")</f>
        <v/>
      </c>
      <c r="G118" s="6" t="str">
        <f>IFERROR(IF($B118="","",$C118*INDEX(Receteler[Micir 5-12mm (kg)],MATCH($B118,Receteler[Beton Sinifi],0))),"")</f>
        <v/>
      </c>
      <c r="H118" s="6" t="str">
        <f>IFERROR(IF($B118="","",$C118*INDEX(Receteler[Micir 12-19mm (kg)],MATCH($B118,Receteler[Beton Sinifi],0))),"")</f>
        <v/>
      </c>
      <c r="I118" s="6" t="str">
        <f>IFERROR(IF($B118="","",$C118*INDEX(Receteler[Su (lt)],MATCH($B118,Receteler[Beton Sinifi],0))),"")</f>
        <v/>
      </c>
      <c r="J118" s="6" t="str">
        <f>IFERROR(IF($B118="","",$C118*INDEX(Receteler[Katki (kg)],MATCH($B118,Receteler[Beton Sinifi],0))),"")</f>
        <v/>
      </c>
      <c r="K118" s="20"/>
    </row>
    <row r="119" spans="1:11" x14ac:dyDescent="0.3">
      <c r="A119" s="27"/>
      <c r="B119" s="10"/>
      <c r="C119" s="28"/>
      <c r="D119" s="3" t="str">
        <f>IFERROR(IF($B119="","",$C119*INDEX(Receteler[Cimento (kg)],MATCH($B119,Receteler[Beton Sinifi],0))),"")</f>
        <v/>
      </c>
      <c r="E119" s="3" t="str">
        <f>IFERROR(IF($B119="","",$C119*INDEX(Receteler[Kum (kg)],MATCH($B119,Receteler[Beton Sinifi],0))),"")</f>
        <v/>
      </c>
      <c r="F119" s="3" t="str">
        <f>IFERROR(IF($B119="","",$C119*INDEX(Receteler[Micir 0-5mm (kg)],MATCH($B119,Receteler[Beton Sinifi],0))),"")</f>
        <v/>
      </c>
      <c r="G119" s="3" t="str">
        <f>IFERROR(IF($B119="","",$C119*INDEX(Receteler[Micir 5-12mm (kg)],MATCH($B119,Receteler[Beton Sinifi],0))),"")</f>
        <v/>
      </c>
      <c r="H119" s="3" t="str">
        <f>IFERROR(IF($B119="","",$C119*INDEX(Receteler[Micir 12-19mm (kg)],MATCH($B119,Receteler[Beton Sinifi],0))),"")</f>
        <v/>
      </c>
      <c r="I119" s="3" t="str">
        <f>IFERROR(IF($B119="","",$C119*INDEX(Receteler[Su (lt)],MATCH($B119,Receteler[Beton Sinifi],0))),"")</f>
        <v/>
      </c>
      <c r="J119" s="3" t="str">
        <f>IFERROR(IF($B119="","",$C119*INDEX(Receteler[Katki (kg)],MATCH($B119,Receteler[Beton Sinifi],0))),"")</f>
        <v/>
      </c>
      <c r="K119" s="15"/>
    </row>
    <row r="120" spans="1:11" x14ac:dyDescent="0.3">
      <c r="A120" s="29"/>
      <c r="B120" s="16"/>
      <c r="C120" s="30"/>
      <c r="D120" s="6" t="str">
        <f>IFERROR(IF($B120="","",$C120*INDEX(Receteler[Cimento (kg)],MATCH($B120,Receteler[Beton Sinifi],0))),"")</f>
        <v/>
      </c>
      <c r="E120" s="6" t="str">
        <f>IFERROR(IF($B120="","",$C120*INDEX(Receteler[Kum (kg)],MATCH($B120,Receteler[Beton Sinifi],0))),"")</f>
        <v/>
      </c>
      <c r="F120" s="6" t="str">
        <f>IFERROR(IF($B120="","",$C120*INDEX(Receteler[Micir 0-5mm (kg)],MATCH($B120,Receteler[Beton Sinifi],0))),"")</f>
        <v/>
      </c>
      <c r="G120" s="6" t="str">
        <f>IFERROR(IF($B120="","",$C120*INDEX(Receteler[Micir 5-12mm (kg)],MATCH($B120,Receteler[Beton Sinifi],0))),"")</f>
        <v/>
      </c>
      <c r="H120" s="6" t="str">
        <f>IFERROR(IF($B120="","",$C120*INDEX(Receteler[Micir 12-19mm (kg)],MATCH($B120,Receteler[Beton Sinifi],0))),"")</f>
        <v/>
      </c>
      <c r="I120" s="6" t="str">
        <f>IFERROR(IF($B120="","",$C120*INDEX(Receteler[Su (lt)],MATCH($B120,Receteler[Beton Sinifi],0))),"")</f>
        <v/>
      </c>
      <c r="J120" s="6" t="str">
        <f>IFERROR(IF($B120="","",$C120*INDEX(Receteler[Katki (kg)],MATCH($B120,Receteler[Beton Sinifi],0))),"")</f>
        <v/>
      </c>
      <c r="K120" s="20"/>
    </row>
    <row r="121" spans="1:11" x14ac:dyDescent="0.3">
      <c r="A121" s="27"/>
      <c r="B121" s="10"/>
      <c r="C121" s="28"/>
      <c r="D121" s="3" t="str">
        <f>IFERROR(IF($B121="","",$C121*INDEX(Receteler[Cimento (kg)],MATCH($B121,Receteler[Beton Sinifi],0))),"")</f>
        <v/>
      </c>
      <c r="E121" s="3" t="str">
        <f>IFERROR(IF($B121="","",$C121*INDEX(Receteler[Kum (kg)],MATCH($B121,Receteler[Beton Sinifi],0))),"")</f>
        <v/>
      </c>
      <c r="F121" s="3" t="str">
        <f>IFERROR(IF($B121="","",$C121*INDEX(Receteler[Micir 0-5mm (kg)],MATCH($B121,Receteler[Beton Sinifi],0))),"")</f>
        <v/>
      </c>
      <c r="G121" s="3" t="str">
        <f>IFERROR(IF($B121="","",$C121*INDEX(Receteler[Micir 5-12mm (kg)],MATCH($B121,Receteler[Beton Sinifi],0))),"")</f>
        <v/>
      </c>
      <c r="H121" s="3" t="str">
        <f>IFERROR(IF($B121="","",$C121*INDEX(Receteler[Micir 12-19mm (kg)],MATCH($B121,Receteler[Beton Sinifi],0))),"")</f>
        <v/>
      </c>
      <c r="I121" s="3" t="str">
        <f>IFERROR(IF($B121="","",$C121*INDEX(Receteler[Su (lt)],MATCH($B121,Receteler[Beton Sinifi],0))),"")</f>
        <v/>
      </c>
      <c r="J121" s="3" t="str">
        <f>IFERROR(IF($B121="","",$C121*INDEX(Receteler[Katki (kg)],MATCH($B121,Receteler[Beton Sinifi],0))),"")</f>
        <v/>
      </c>
      <c r="K121" s="15"/>
    </row>
    <row r="122" spans="1:11" x14ac:dyDescent="0.3">
      <c r="A122" s="29"/>
      <c r="B122" s="16"/>
      <c r="C122" s="30"/>
      <c r="D122" s="6" t="str">
        <f>IFERROR(IF($B122="","",$C122*INDEX(Receteler[Cimento (kg)],MATCH($B122,Receteler[Beton Sinifi],0))),"")</f>
        <v/>
      </c>
      <c r="E122" s="6" t="str">
        <f>IFERROR(IF($B122="","",$C122*INDEX(Receteler[Kum (kg)],MATCH($B122,Receteler[Beton Sinifi],0))),"")</f>
        <v/>
      </c>
      <c r="F122" s="6" t="str">
        <f>IFERROR(IF($B122="","",$C122*INDEX(Receteler[Micir 0-5mm (kg)],MATCH($B122,Receteler[Beton Sinifi],0))),"")</f>
        <v/>
      </c>
      <c r="G122" s="6" t="str">
        <f>IFERROR(IF($B122="","",$C122*INDEX(Receteler[Micir 5-12mm (kg)],MATCH($B122,Receteler[Beton Sinifi],0))),"")</f>
        <v/>
      </c>
      <c r="H122" s="6" t="str">
        <f>IFERROR(IF($B122="","",$C122*INDEX(Receteler[Micir 12-19mm (kg)],MATCH($B122,Receteler[Beton Sinifi],0))),"")</f>
        <v/>
      </c>
      <c r="I122" s="6" t="str">
        <f>IFERROR(IF($B122="","",$C122*INDEX(Receteler[Su (lt)],MATCH($B122,Receteler[Beton Sinifi],0))),"")</f>
        <v/>
      </c>
      <c r="J122" s="6" t="str">
        <f>IFERROR(IF($B122="","",$C122*INDEX(Receteler[Katki (kg)],MATCH($B122,Receteler[Beton Sinifi],0))),"")</f>
        <v/>
      </c>
      <c r="K122" s="20"/>
    </row>
    <row r="123" spans="1:11" x14ac:dyDescent="0.3">
      <c r="A123" s="27"/>
      <c r="B123" s="10"/>
      <c r="C123" s="28"/>
      <c r="D123" s="3" t="str">
        <f>IFERROR(IF($B123="","",$C123*INDEX(Receteler[Cimento (kg)],MATCH($B123,Receteler[Beton Sinifi],0))),"")</f>
        <v/>
      </c>
      <c r="E123" s="3" t="str">
        <f>IFERROR(IF($B123="","",$C123*INDEX(Receteler[Kum (kg)],MATCH($B123,Receteler[Beton Sinifi],0))),"")</f>
        <v/>
      </c>
      <c r="F123" s="3" t="str">
        <f>IFERROR(IF($B123="","",$C123*INDEX(Receteler[Micir 0-5mm (kg)],MATCH($B123,Receteler[Beton Sinifi],0))),"")</f>
        <v/>
      </c>
      <c r="G123" s="3" t="str">
        <f>IFERROR(IF($B123="","",$C123*INDEX(Receteler[Micir 5-12mm (kg)],MATCH($B123,Receteler[Beton Sinifi],0))),"")</f>
        <v/>
      </c>
      <c r="H123" s="3" t="str">
        <f>IFERROR(IF($B123="","",$C123*INDEX(Receteler[Micir 12-19mm (kg)],MATCH($B123,Receteler[Beton Sinifi],0))),"")</f>
        <v/>
      </c>
      <c r="I123" s="3" t="str">
        <f>IFERROR(IF($B123="","",$C123*INDEX(Receteler[Su (lt)],MATCH($B123,Receteler[Beton Sinifi],0))),"")</f>
        <v/>
      </c>
      <c r="J123" s="3" t="str">
        <f>IFERROR(IF($B123="","",$C123*INDEX(Receteler[Katki (kg)],MATCH($B123,Receteler[Beton Sinifi],0))),"")</f>
        <v/>
      </c>
      <c r="K123" s="15"/>
    </row>
    <row r="124" spans="1:11" x14ac:dyDescent="0.3">
      <c r="A124" s="29"/>
      <c r="B124" s="16"/>
      <c r="C124" s="30"/>
      <c r="D124" s="6" t="str">
        <f>IFERROR(IF($B124="","",$C124*INDEX(Receteler[Cimento (kg)],MATCH($B124,Receteler[Beton Sinifi],0))),"")</f>
        <v/>
      </c>
      <c r="E124" s="6" t="str">
        <f>IFERROR(IF($B124="","",$C124*INDEX(Receteler[Kum (kg)],MATCH($B124,Receteler[Beton Sinifi],0))),"")</f>
        <v/>
      </c>
      <c r="F124" s="6" t="str">
        <f>IFERROR(IF($B124="","",$C124*INDEX(Receteler[Micir 0-5mm (kg)],MATCH($B124,Receteler[Beton Sinifi],0))),"")</f>
        <v/>
      </c>
      <c r="G124" s="6" t="str">
        <f>IFERROR(IF($B124="","",$C124*INDEX(Receteler[Micir 5-12mm (kg)],MATCH($B124,Receteler[Beton Sinifi],0))),"")</f>
        <v/>
      </c>
      <c r="H124" s="6" t="str">
        <f>IFERROR(IF($B124="","",$C124*INDEX(Receteler[Micir 12-19mm (kg)],MATCH($B124,Receteler[Beton Sinifi],0))),"")</f>
        <v/>
      </c>
      <c r="I124" s="6" t="str">
        <f>IFERROR(IF($B124="","",$C124*INDEX(Receteler[Su (lt)],MATCH($B124,Receteler[Beton Sinifi],0))),"")</f>
        <v/>
      </c>
      <c r="J124" s="6" t="str">
        <f>IFERROR(IF($B124="","",$C124*INDEX(Receteler[Katki (kg)],MATCH($B124,Receteler[Beton Sinifi],0))),"")</f>
        <v/>
      </c>
      <c r="K124" s="20"/>
    </row>
    <row r="125" spans="1:11" x14ac:dyDescent="0.3">
      <c r="A125" s="27"/>
      <c r="B125" s="10"/>
      <c r="C125" s="28"/>
      <c r="D125" s="3" t="str">
        <f>IFERROR(IF($B125="","",$C125*INDEX(Receteler[Cimento (kg)],MATCH($B125,Receteler[Beton Sinifi],0))),"")</f>
        <v/>
      </c>
      <c r="E125" s="3" t="str">
        <f>IFERROR(IF($B125="","",$C125*INDEX(Receteler[Kum (kg)],MATCH($B125,Receteler[Beton Sinifi],0))),"")</f>
        <v/>
      </c>
      <c r="F125" s="3" t="str">
        <f>IFERROR(IF($B125="","",$C125*INDEX(Receteler[Micir 0-5mm (kg)],MATCH($B125,Receteler[Beton Sinifi],0))),"")</f>
        <v/>
      </c>
      <c r="G125" s="3" t="str">
        <f>IFERROR(IF($B125="","",$C125*INDEX(Receteler[Micir 5-12mm (kg)],MATCH($B125,Receteler[Beton Sinifi],0))),"")</f>
        <v/>
      </c>
      <c r="H125" s="3" t="str">
        <f>IFERROR(IF($B125="","",$C125*INDEX(Receteler[Micir 12-19mm (kg)],MATCH($B125,Receteler[Beton Sinifi],0))),"")</f>
        <v/>
      </c>
      <c r="I125" s="3" t="str">
        <f>IFERROR(IF($B125="","",$C125*INDEX(Receteler[Su (lt)],MATCH($B125,Receteler[Beton Sinifi],0))),"")</f>
        <v/>
      </c>
      <c r="J125" s="3" t="str">
        <f>IFERROR(IF($B125="","",$C125*INDEX(Receteler[Katki (kg)],MATCH($B125,Receteler[Beton Sinifi],0))),"")</f>
        <v/>
      </c>
      <c r="K125" s="15"/>
    </row>
    <row r="126" spans="1:11" x14ac:dyDescent="0.3">
      <c r="A126" s="29"/>
      <c r="B126" s="16"/>
      <c r="C126" s="30"/>
      <c r="D126" s="6" t="str">
        <f>IFERROR(IF($B126="","",$C126*INDEX(Receteler[Cimento (kg)],MATCH($B126,Receteler[Beton Sinifi],0))),"")</f>
        <v/>
      </c>
      <c r="E126" s="6" t="str">
        <f>IFERROR(IF($B126="","",$C126*INDEX(Receteler[Kum (kg)],MATCH($B126,Receteler[Beton Sinifi],0))),"")</f>
        <v/>
      </c>
      <c r="F126" s="6" t="str">
        <f>IFERROR(IF($B126="","",$C126*INDEX(Receteler[Micir 0-5mm (kg)],MATCH($B126,Receteler[Beton Sinifi],0))),"")</f>
        <v/>
      </c>
      <c r="G126" s="6" t="str">
        <f>IFERROR(IF($B126="","",$C126*INDEX(Receteler[Micir 5-12mm (kg)],MATCH($B126,Receteler[Beton Sinifi],0))),"")</f>
        <v/>
      </c>
      <c r="H126" s="6" t="str">
        <f>IFERROR(IF($B126="","",$C126*INDEX(Receteler[Micir 12-19mm (kg)],MATCH($B126,Receteler[Beton Sinifi],0))),"")</f>
        <v/>
      </c>
      <c r="I126" s="6" t="str">
        <f>IFERROR(IF($B126="","",$C126*INDEX(Receteler[Su (lt)],MATCH($B126,Receteler[Beton Sinifi],0))),"")</f>
        <v/>
      </c>
      <c r="J126" s="6" t="str">
        <f>IFERROR(IF($B126="","",$C126*INDEX(Receteler[Katki (kg)],MATCH($B126,Receteler[Beton Sinifi],0))),"")</f>
        <v/>
      </c>
      <c r="K126" s="20"/>
    </row>
    <row r="127" spans="1:11" x14ac:dyDescent="0.3">
      <c r="A127" s="27"/>
      <c r="B127" s="10"/>
      <c r="C127" s="28"/>
      <c r="D127" s="3" t="str">
        <f>IFERROR(IF($B127="","",$C127*INDEX(Receteler[Cimento (kg)],MATCH($B127,Receteler[Beton Sinifi],0))),"")</f>
        <v/>
      </c>
      <c r="E127" s="3" t="str">
        <f>IFERROR(IF($B127="","",$C127*INDEX(Receteler[Kum (kg)],MATCH($B127,Receteler[Beton Sinifi],0))),"")</f>
        <v/>
      </c>
      <c r="F127" s="3" t="str">
        <f>IFERROR(IF($B127="","",$C127*INDEX(Receteler[Micir 0-5mm (kg)],MATCH($B127,Receteler[Beton Sinifi],0))),"")</f>
        <v/>
      </c>
      <c r="G127" s="3" t="str">
        <f>IFERROR(IF($B127="","",$C127*INDEX(Receteler[Micir 5-12mm (kg)],MATCH($B127,Receteler[Beton Sinifi],0))),"")</f>
        <v/>
      </c>
      <c r="H127" s="3" t="str">
        <f>IFERROR(IF($B127="","",$C127*INDEX(Receteler[Micir 12-19mm (kg)],MATCH($B127,Receteler[Beton Sinifi],0))),"")</f>
        <v/>
      </c>
      <c r="I127" s="3" t="str">
        <f>IFERROR(IF($B127="","",$C127*INDEX(Receteler[Su (lt)],MATCH($B127,Receteler[Beton Sinifi],0))),"")</f>
        <v/>
      </c>
      <c r="J127" s="3" t="str">
        <f>IFERROR(IF($B127="","",$C127*INDEX(Receteler[Katki (kg)],MATCH($B127,Receteler[Beton Sinifi],0))),"")</f>
        <v/>
      </c>
      <c r="K127" s="15"/>
    </row>
    <row r="128" spans="1:11" x14ac:dyDescent="0.3">
      <c r="A128" s="29"/>
      <c r="B128" s="16"/>
      <c r="C128" s="30"/>
      <c r="D128" s="6" t="str">
        <f>IFERROR(IF($B128="","",$C128*INDEX(Receteler[Cimento (kg)],MATCH($B128,Receteler[Beton Sinifi],0))),"")</f>
        <v/>
      </c>
      <c r="E128" s="6" t="str">
        <f>IFERROR(IF($B128="","",$C128*INDEX(Receteler[Kum (kg)],MATCH($B128,Receteler[Beton Sinifi],0))),"")</f>
        <v/>
      </c>
      <c r="F128" s="6" t="str">
        <f>IFERROR(IF($B128="","",$C128*INDEX(Receteler[Micir 0-5mm (kg)],MATCH($B128,Receteler[Beton Sinifi],0))),"")</f>
        <v/>
      </c>
      <c r="G128" s="6" t="str">
        <f>IFERROR(IF($B128="","",$C128*INDEX(Receteler[Micir 5-12mm (kg)],MATCH($B128,Receteler[Beton Sinifi],0))),"")</f>
        <v/>
      </c>
      <c r="H128" s="6" t="str">
        <f>IFERROR(IF($B128="","",$C128*INDEX(Receteler[Micir 12-19mm (kg)],MATCH($B128,Receteler[Beton Sinifi],0))),"")</f>
        <v/>
      </c>
      <c r="I128" s="6" t="str">
        <f>IFERROR(IF($B128="","",$C128*INDEX(Receteler[Su (lt)],MATCH($B128,Receteler[Beton Sinifi],0))),"")</f>
        <v/>
      </c>
      <c r="J128" s="6" t="str">
        <f>IFERROR(IF($B128="","",$C128*INDEX(Receteler[Katki (kg)],MATCH($B128,Receteler[Beton Sinifi],0))),"")</f>
        <v/>
      </c>
      <c r="K128" s="20"/>
    </row>
    <row r="129" spans="1:11" x14ac:dyDescent="0.3">
      <c r="A129" s="27"/>
      <c r="B129" s="10"/>
      <c r="C129" s="28"/>
      <c r="D129" s="3" t="str">
        <f>IFERROR(IF($B129="","",$C129*INDEX(Receteler[Cimento (kg)],MATCH($B129,Receteler[Beton Sinifi],0))),"")</f>
        <v/>
      </c>
      <c r="E129" s="3" t="str">
        <f>IFERROR(IF($B129="","",$C129*INDEX(Receteler[Kum (kg)],MATCH($B129,Receteler[Beton Sinifi],0))),"")</f>
        <v/>
      </c>
      <c r="F129" s="3" t="str">
        <f>IFERROR(IF($B129="","",$C129*INDEX(Receteler[Micir 0-5mm (kg)],MATCH($B129,Receteler[Beton Sinifi],0))),"")</f>
        <v/>
      </c>
      <c r="G129" s="3" t="str">
        <f>IFERROR(IF($B129="","",$C129*INDEX(Receteler[Micir 5-12mm (kg)],MATCH($B129,Receteler[Beton Sinifi],0))),"")</f>
        <v/>
      </c>
      <c r="H129" s="3" t="str">
        <f>IFERROR(IF($B129="","",$C129*INDEX(Receteler[Micir 12-19mm (kg)],MATCH($B129,Receteler[Beton Sinifi],0))),"")</f>
        <v/>
      </c>
      <c r="I129" s="3" t="str">
        <f>IFERROR(IF($B129="","",$C129*INDEX(Receteler[Su (lt)],MATCH($B129,Receteler[Beton Sinifi],0))),"")</f>
        <v/>
      </c>
      <c r="J129" s="3" t="str">
        <f>IFERROR(IF($B129="","",$C129*INDEX(Receteler[Katki (kg)],MATCH($B129,Receteler[Beton Sinifi],0))),"")</f>
        <v/>
      </c>
      <c r="K129" s="15"/>
    </row>
    <row r="130" spans="1:11" x14ac:dyDescent="0.3">
      <c r="A130" s="29"/>
      <c r="B130" s="16"/>
      <c r="C130" s="30"/>
      <c r="D130" s="6" t="str">
        <f>IFERROR(IF($B130="","",$C130*INDEX(Receteler[Cimento (kg)],MATCH($B130,Receteler[Beton Sinifi],0))),"")</f>
        <v/>
      </c>
      <c r="E130" s="6" t="str">
        <f>IFERROR(IF($B130="","",$C130*INDEX(Receteler[Kum (kg)],MATCH($B130,Receteler[Beton Sinifi],0))),"")</f>
        <v/>
      </c>
      <c r="F130" s="6" t="str">
        <f>IFERROR(IF($B130="","",$C130*INDEX(Receteler[Micir 0-5mm (kg)],MATCH($B130,Receteler[Beton Sinifi],0))),"")</f>
        <v/>
      </c>
      <c r="G130" s="6" t="str">
        <f>IFERROR(IF($B130="","",$C130*INDEX(Receteler[Micir 5-12mm (kg)],MATCH($B130,Receteler[Beton Sinifi],0))),"")</f>
        <v/>
      </c>
      <c r="H130" s="6" t="str">
        <f>IFERROR(IF($B130="","",$C130*INDEX(Receteler[Micir 12-19mm (kg)],MATCH($B130,Receteler[Beton Sinifi],0))),"")</f>
        <v/>
      </c>
      <c r="I130" s="6" t="str">
        <f>IFERROR(IF($B130="","",$C130*INDEX(Receteler[Su (lt)],MATCH($B130,Receteler[Beton Sinifi],0))),"")</f>
        <v/>
      </c>
      <c r="J130" s="6" t="str">
        <f>IFERROR(IF($B130="","",$C130*INDEX(Receteler[Katki (kg)],MATCH($B130,Receteler[Beton Sinifi],0))),"")</f>
        <v/>
      </c>
      <c r="K130" s="20"/>
    </row>
    <row r="131" spans="1:11" x14ac:dyDescent="0.3">
      <c r="A131" s="27"/>
      <c r="B131" s="10"/>
      <c r="C131" s="28"/>
      <c r="D131" s="3" t="str">
        <f>IFERROR(IF($B131="","",$C131*INDEX(Receteler[Cimento (kg)],MATCH($B131,Receteler[Beton Sinifi],0))),"")</f>
        <v/>
      </c>
      <c r="E131" s="3" t="str">
        <f>IFERROR(IF($B131="","",$C131*INDEX(Receteler[Kum (kg)],MATCH($B131,Receteler[Beton Sinifi],0))),"")</f>
        <v/>
      </c>
      <c r="F131" s="3" t="str">
        <f>IFERROR(IF($B131="","",$C131*INDEX(Receteler[Micir 0-5mm (kg)],MATCH($B131,Receteler[Beton Sinifi],0))),"")</f>
        <v/>
      </c>
      <c r="G131" s="3" t="str">
        <f>IFERROR(IF($B131="","",$C131*INDEX(Receteler[Micir 5-12mm (kg)],MATCH($B131,Receteler[Beton Sinifi],0))),"")</f>
        <v/>
      </c>
      <c r="H131" s="3" t="str">
        <f>IFERROR(IF($B131="","",$C131*INDEX(Receteler[Micir 12-19mm (kg)],MATCH($B131,Receteler[Beton Sinifi],0))),"")</f>
        <v/>
      </c>
      <c r="I131" s="3" t="str">
        <f>IFERROR(IF($B131="","",$C131*INDEX(Receteler[Su (lt)],MATCH($B131,Receteler[Beton Sinifi],0))),"")</f>
        <v/>
      </c>
      <c r="J131" s="3" t="str">
        <f>IFERROR(IF($B131="","",$C131*INDEX(Receteler[Katki (kg)],MATCH($B131,Receteler[Beton Sinifi],0))),"")</f>
        <v/>
      </c>
      <c r="K131" s="15"/>
    </row>
    <row r="132" spans="1:11" x14ac:dyDescent="0.3">
      <c r="A132" s="29"/>
      <c r="B132" s="16"/>
      <c r="C132" s="30"/>
      <c r="D132" s="6" t="str">
        <f>IFERROR(IF($B132="","",$C132*INDEX(Receteler[Cimento (kg)],MATCH($B132,Receteler[Beton Sinifi],0))),"")</f>
        <v/>
      </c>
      <c r="E132" s="6" t="str">
        <f>IFERROR(IF($B132="","",$C132*INDEX(Receteler[Kum (kg)],MATCH($B132,Receteler[Beton Sinifi],0))),"")</f>
        <v/>
      </c>
      <c r="F132" s="6" t="str">
        <f>IFERROR(IF($B132="","",$C132*INDEX(Receteler[Micir 0-5mm (kg)],MATCH($B132,Receteler[Beton Sinifi],0))),"")</f>
        <v/>
      </c>
      <c r="G132" s="6" t="str">
        <f>IFERROR(IF($B132="","",$C132*INDEX(Receteler[Micir 5-12mm (kg)],MATCH($B132,Receteler[Beton Sinifi],0))),"")</f>
        <v/>
      </c>
      <c r="H132" s="6" t="str">
        <f>IFERROR(IF($B132="","",$C132*INDEX(Receteler[Micir 12-19mm (kg)],MATCH($B132,Receteler[Beton Sinifi],0))),"")</f>
        <v/>
      </c>
      <c r="I132" s="6" t="str">
        <f>IFERROR(IF($B132="","",$C132*INDEX(Receteler[Su (lt)],MATCH($B132,Receteler[Beton Sinifi],0))),"")</f>
        <v/>
      </c>
      <c r="J132" s="6" t="str">
        <f>IFERROR(IF($B132="","",$C132*INDEX(Receteler[Katki (kg)],MATCH($B132,Receteler[Beton Sinifi],0))),"")</f>
        <v/>
      </c>
      <c r="K132" s="20"/>
    </row>
    <row r="133" spans="1:11" x14ac:dyDescent="0.3">
      <c r="A133" s="27"/>
      <c r="B133" s="10"/>
      <c r="C133" s="28"/>
      <c r="D133" s="3" t="str">
        <f>IFERROR(IF($B133="","",$C133*INDEX(Receteler[Cimento (kg)],MATCH($B133,Receteler[Beton Sinifi],0))),"")</f>
        <v/>
      </c>
      <c r="E133" s="3" t="str">
        <f>IFERROR(IF($B133="","",$C133*INDEX(Receteler[Kum (kg)],MATCH($B133,Receteler[Beton Sinifi],0))),"")</f>
        <v/>
      </c>
      <c r="F133" s="3" t="str">
        <f>IFERROR(IF($B133="","",$C133*INDEX(Receteler[Micir 0-5mm (kg)],MATCH($B133,Receteler[Beton Sinifi],0))),"")</f>
        <v/>
      </c>
      <c r="G133" s="3" t="str">
        <f>IFERROR(IF($B133="","",$C133*INDEX(Receteler[Micir 5-12mm (kg)],MATCH($B133,Receteler[Beton Sinifi],0))),"")</f>
        <v/>
      </c>
      <c r="H133" s="3" t="str">
        <f>IFERROR(IF($B133="","",$C133*INDEX(Receteler[Micir 12-19mm (kg)],MATCH($B133,Receteler[Beton Sinifi],0))),"")</f>
        <v/>
      </c>
      <c r="I133" s="3" t="str">
        <f>IFERROR(IF($B133="","",$C133*INDEX(Receteler[Su (lt)],MATCH($B133,Receteler[Beton Sinifi],0))),"")</f>
        <v/>
      </c>
      <c r="J133" s="3" t="str">
        <f>IFERROR(IF($B133="","",$C133*INDEX(Receteler[Katki (kg)],MATCH($B133,Receteler[Beton Sinifi],0))),"")</f>
        <v/>
      </c>
      <c r="K133" s="15"/>
    </row>
    <row r="134" spans="1:11" x14ac:dyDescent="0.3">
      <c r="A134" s="29"/>
      <c r="B134" s="16"/>
      <c r="C134" s="30"/>
      <c r="D134" s="6" t="str">
        <f>IFERROR(IF($B134="","",$C134*INDEX(Receteler[Cimento (kg)],MATCH($B134,Receteler[Beton Sinifi],0))),"")</f>
        <v/>
      </c>
      <c r="E134" s="6" t="str">
        <f>IFERROR(IF($B134="","",$C134*INDEX(Receteler[Kum (kg)],MATCH($B134,Receteler[Beton Sinifi],0))),"")</f>
        <v/>
      </c>
      <c r="F134" s="6" t="str">
        <f>IFERROR(IF($B134="","",$C134*INDEX(Receteler[Micir 0-5mm (kg)],MATCH($B134,Receteler[Beton Sinifi],0))),"")</f>
        <v/>
      </c>
      <c r="G134" s="6" t="str">
        <f>IFERROR(IF($B134="","",$C134*INDEX(Receteler[Micir 5-12mm (kg)],MATCH($B134,Receteler[Beton Sinifi],0))),"")</f>
        <v/>
      </c>
      <c r="H134" s="6" t="str">
        <f>IFERROR(IF($B134="","",$C134*INDEX(Receteler[Micir 12-19mm (kg)],MATCH($B134,Receteler[Beton Sinifi],0))),"")</f>
        <v/>
      </c>
      <c r="I134" s="6" t="str">
        <f>IFERROR(IF($B134="","",$C134*INDEX(Receteler[Su (lt)],MATCH($B134,Receteler[Beton Sinifi],0))),"")</f>
        <v/>
      </c>
      <c r="J134" s="6" t="str">
        <f>IFERROR(IF($B134="","",$C134*INDEX(Receteler[Katki (kg)],MATCH($B134,Receteler[Beton Sinifi],0))),"")</f>
        <v/>
      </c>
      <c r="K134" s="20"/>
    </row>
    <row r="135" spans="1:11" x14ac:dyDescent="0.3">
      <c r="A135" s="27"/>
      <c r="B135" s="10"/>
      <c r="C135" s="28"/>
      <c r="D135" s="3" t="str">
        <f>IFERROR(IF($B135="","",$C135*INDEX(Receteler[Cimento (kg)],MATCH($B135,Receteler[Beton Sinifi],0))),"")</f>
        <v/>
      </c>
      <c r="E135" s="3" t="str">
        <f>IFERROR(IF($B135="","",$C135*INDEX(Receteler[Kum (kg)],MATCH($B135,Receteler[Beton Sinifi],0))),"")</f>
        <v/>
      </c>
      <c r="F135" s="3" t="str">
        <f>IFERROR(IF($B135="","",$C135*INDEX(Receteler[Micir 0-5mm (kg)],MATCH($B135,Receteler[Beton Sinifi],0))),"")</f>
        <v/>
      </c>
      <c r="G135" s="3" t="str">
        <f>IFERROR(IF($B135="","",$C135*INDEX(Receteler[Micir 5-12mm (kg)],MATCH($B135,Receteler[Beton Sinifi],0))),"")</f>
        <v/>
      </c>
      <c r="H135" s="3" t="str">
        <f>IFERROR(IF($B135="","",$C135*INDEX(Receteler[Micir 12-19mm (kg)],MATCH($B135,Receteler[Beton Sinifi],0))),"")</f>
        <v/>
      </c>
      <c r="I135" s="3" t="str">
        <f>IFERROR(IF($B135="","",$C135*INDEX(Receteler[Su (lt)],MATCH($B135,Receteler[Beton Sinifi],0))),"")</f>
        <v/>
      </c>
      <c r="J135" s="3" t="str">
        <f>IFERROR(IF($B135="","",$C135*INDEX(Receteler[Katki (kg)],MATCH($B135,Receteler[Beton Sinifi],0))),"")</f>
        <v/>
      </c>
      <c r="K135" s="15"/>
    </row>
    <row r="136" spans="1:11" x14ac:dyDescent="0.3">
      <c r="A136" s="29"/>
      <c r="B136" s="16"/>
      <c r="C136" s="30"/>
      <c r="D136" s="6" t="str">
        <f>IFERROR(IF($B136="","",$C136*INDEX(Receteler[Cimento (kg)],MATCH($B136,Receteler[Beton Sinifi],0))),"")</f>
        <v/>
      </c>
      <c r="E136" s="6" t="str">
        <f>IFERROR(IF($B136="","",$C136*INDEX(Receteler[Kum (kg)],MATCH($B136,Receteler[Beton Sinifi],0))),"")</f>
        <v/>
      </c>
      <c r="F136" s="6" t="str">
        <f>IFERROR(IF($B136="","",$C136*INDEX(Receteler[Micir 0-5mm (kg)],MATCH($B136,Receteler[Beton Sinifi],0))),"")</f>
        <v/>
      </c>
      <c r="G136" s="6" t="str">
        <f>IFERROR(IF($B136="","",$C136*INDEX(Receteler[Micir 5-12mm (kg)],MATCH($B136,Receteler[Beton Sinifi],0))),"")</f>
        <v/>
      </c>
      <c r="H136" s="6" t="str">
        <f>IFERROR(IF($B136="","",$C136*INDEX(Receteler[Micir 12-19mm (kg)],MATCH($B136,Receteler[Beton Sinifi],0))),"")</f>
        <v/>
      </c>
      <c r="I136" s="6" t="str">
        <f>IFERROR(IF($B136="","",$C136*INDEX(Receteler[Su (lt)],MATCH($B136,Receteler[Beton Sinifi],0))),"")</f>
        <v/>
      </c>
      <c r="J136" s="6" t="str">
        <f>IFERROR(IF($B136="","",$C136*INDEX(Receteler[Katki (kg)],MATCH($B136,Receteler[Beton Sinifi],0))),"")</f>
        <v/>
      </c>
      <c r="K136" s="20"/>
    </row>
    <row r="137" spans="1:11" x14ac:dyDescent="0.3">
      <c r="A137" s="27"/>
      <c r="B137" s="10"/>
      <c r="C137" s="28"/>
      <c r="D137" s="3" t="str">
        <f>IFERROR(IF($B137="","",$C137*INDEX(Receteler[Cimento (kg)],MATCH($B137,Receteler[Beton Sinifi],0))),"")</f>
        <v/>
      </c>
      <c r="E137" s="3" t="str">
        <f>IFERROR(IF($B137="","",$C137*INDEX(Receteler[Kum (kg)],MATCH($B137,Receteler[Beton Sinifi],0))),"")</f>
        <v/>
      </c>
      <c r="F137" s="3" t="str">
        <f>IFERROR(IF($B137="","",$C137*INDEX(Receteler[Micir 0-5mm (kg)],MATCH($B137,Receteler[Beton Sinifi],0))),"")</f>
        <v/>
      </c>
      <c r="G137" s="3" t="str">
        <f>IFERROR(IF($B137="","",$C137*INDEX(Receteler[Micir 5-12mm (kg)],MATCH($B137,Receteler[Beton Sinifi],0))),"")</f>
        <v/>
      </c>
      <c r="H137" s="3" t="str">
        <f>IFERROR(IF($B137="","",$C137*INDEX(Receteler[Micir 12-19mm (kg)],MATCH($B137,Receteler[Beton Sinifi],0))),"")</f>
        <v/>
      </c>
      <c r="I137" s="3" t="str">
        <f>IFERROR(IF($B137="","",$C137*INDEX(Receteler[Su (lt)],MATCH($B137,Receteler[Beton Sinifi],0))),"")</f>
        <v/>
      </c>
      <c r="J137" s="3" t="str">
        <f>IFERROR(IF($B137="","",$C137*INDEX(Receteler[Katki (kg)],MATCH($B137,Receteler[Beton Sinifi],0))),"")</f>
        <v/>
      </c>
      <c r="K137" s="15"/>
    </row>
    <row r="138" spans="1:11" x14ac:dyDescent="0.3">
      <c r="A138" s="29"/>
      <c r="B138" s="16"/>
      <c r="C138" s="30"/>
      <c r="D138" s="6" t="str">
        <f>IFERROR(IF($B138="","",$C138*INDEX(Receteler[Cimento (kg)],MATCH($B138,Receteler[Beton Sinifi],0))),"")</f>
        <v/>
      </c>
      <c r="E138" s="6" t="str">
        <f>IFERROR(IF($B138="","",$C138*INDEX(Receteler[Kum (kg)],MATCH($B138,Receteler[Beton Sinifi],0))),"")</f>
        <v/>
      </c>
      <c r="F138" s="6" t="str">
        <f>IFERROR(IF($B138="","",$C138*INDEX(Receteler[Micir 0-5mm (kg)],MATCH($B138,Receteler[Beton Sinifi],0))),"")</f>
        <v/>
      </c>
      <c r="G138" s="6" t="str">
        <f>IFERROR(IF($B138="","",$C138*INDEX(Receteler[Micir 5-12mm (kg)],MATCH($B138,Receteler[Beton Sinifi],0))),"")</f>
        <v/>
      </c>
      <c r="H138" s="6" t="str">
        <f>IFERROR(IF($B138="","",$C138*INDEX(Receteler[Micir 12-19mm (kg)],MATCH($B138,Receteler[Beton Sinifi],0))),"")</f>
        <v/>
      </c>
      <c r="I138" s="6" t="str">
        <f>IFERROR(IF($B138="","",$C138*INDEX(Receteler[Su (lt)],MATCH($B138,Receteler[Beton Sinifi],0))),"")</f>
        <v/>
      </c>
      <c r="J138" s="6" t="str">
        <f>IFERROR(IF($B138="","",$C138*INDEX(Receteler[Katki (kg)],MATCH($B138,Receteler[Beton Sinifi],0))),"")</f>
        <v/>
      </c>
      <c r="K138" s="20"/>
    </row>
    <row r="139" spans="1:11" x14ac:dyDescent="0.3">
      <c r="A139" s="27"/>
      <c r="B139" s="10"/>
      <c r="C139" s="28"/>
      <c r="D139" s="3" t="str">
        <f>IFERROR(IF($B139="","",$C139*INDEX(Receteler[Cimento (kg)],MATCH($B139,Receteler[Beton Sinifi],0))),"")</f>
        <v/>
      </c>
      <c r="E139" s="3" t="str">
        <f>IFERROR(IF($B139="","",$C139*INDEX(Receteler[Kum (kg)],MATCH($B139,Receteler[Beton Sinifi],0))),"")</f>
        <v/>
      </c>
      <c r="F139" s="3" t="str">
        <f>IFERROR(IF($B139="","",$C139*INDEX(Receteler[Micir 0-5mm (kg)],MATCH($B139,Receteler[Beton Sinifi],0))),"")</f>
        <v/>
      </c>
      <c r="G139" s="3" t="str">
        <f>IFERROR(IF($B139="","",$C139*INDEX(Receteler[Micir 5-12mm (kg)],MATCH($B139,Receteler[Beton Sinifi],0))),"")</f>
        <v/>
      </c>
      <c r="H139" s="3" t="str">
        <f>IFERROR(IF($B139="","",$C139*INDEX(Receteler[Micir 12-19mm (kg)],MATCH($B139,Receteler[Beton Sinifi],0))),"")</f>
        <v/>
      </c>
      <c r="I139" s="3" t="str">
        <f>IFERROR(IF($B139="","",$C139*INDEX(Receteler[Su (lt)],MATCH($B139,Receteler[Beton Sinifi],0))),"")</f>
        <v/>
      </c>
      <c r="J139" s="3" t="str">
        <f>IFERROR(IF($B139="","",$C139*INDEX(Receteler[Katki (kg)],MATCH($B139,Receteler[Beton Sinifi],0))),"")</f>
        <v/>
      </c>
      <c r="K139" s="15"/>
    </row>
    <row r="140" spans="1:11" x14ac:dyDescent="0.3">
      <c r="A140" s="29"/>
      <c r="B140" s="16"/>
      <c r="C140" s="30"/>
      <c r="D140" s="6" t="str">
        <f>IFERROR(IF($B140="","",$C140*INDEX(Receteler[Cimento (kg)],MATCH($B140,Receteler[Beton Sinifi],0))),"")</f>
        <v/>
      </c>
      <c r="E140" s="6" t="str">
        <f>IFERROR(IF($B140="","",$C140*INDEX(Receteler[Kum (kg)],MATCH($B140,Receteler[Beton Sinifi],0))),"")</f>
        <v/>
      </c>
      <c r="F140" s="6" t="str">
        <f>IFERROR(IF($B140="","",$C140*INDEX(Receteler[Micir 0-5mm (kg)],MATCH($B140,Receteler[Beton Sinifi],0))),"")</f>
        <v/>
      </c>
      <c r="G140" s="6" t="str">
        <f>IFERROR(IF($B140="","",$C140*INDEX(Receteler[Micir 5-12mm (kg)],MATCH($B140,Receteler[Beton Sinifi],0))),"")</f>
        <v/>
      </c>
      <c r="H140" s="6" t="str">
        <f>IFERROR(IF($B140="","",$C140*INDEX(Receteler[Micir 12-19mm (kg)],MATCH($B140,Receteler[Beton Sinifi],0))),"")</f>
        <v/>
      </c>
      <c r="I140" s="6" t="str">
        <f>IFERROR(IF($B140="","",$C140*INDEX(Receteler[Su (lt)],MATCH($B140,Receteler[Beton Sinifi],0))),"")</f>
        <v/>
      </c>
      <c r="J140" s="6" t="str">
        <f>IFERROR(IF($B140="","",$C140*INDEX(Receteler[Katki (kg)],MATCH($B140,Receteler[Beton Sinifi],0))),"")</f>
        <v/>
      </c>
      <c r="K140" s="20"/>
    </row>
    <row r="141" spans="1:11" x14ac:dyDescent="0.3">
      <c r="A141" s="27"/>
      <c r="B141" s="10"/>
      <c r="C141" s="28"/>
      <c r="D141" s="3" t="str">
        <f>IFERROR(IF($B141="","",$C141*INDEX(Receteler[Cimento (kg)],MATCH($B141,Receteler[Beton Sinifi],0))),"")</f>
        <v/>
      </c>
      <c r="E141" s="3" t="str">
        <f>IFERROR(IF($B141="","",$C141*INDEX(Receteler[Kum (kg)],MATCH($B141,Receteler[Beton Sinifi],0))),"")</f>
        <v/>
      </c>
      <c r="F141" s="3" t="str">
        <f>IFERROR(IF($B141="","",$C141*INDEX(Receteler[Micir 0-5mm (kg)],MATCH($B141,Receteler[Beton Sinifi],0))),"")</f>
        <v/>
      </c>
      <c r="G141" s="3" t="str">
        <f>IFERROR(IF($B141="","",$C141*INDEX(Receteler[Micir 5-12mm (kg)],MATCH($B141,Receteler[Beton Sinifi],0))),"")</f>
        <v/>
      </c>
      <c r="H141" s="3" t="str">
        <f>IFERROR(IF($B141="","",$C141*INDEX(Receteler[Micir 12-19mm (kg)],MATCH($B141,Receteler[Beton Sinifi],0))),"")</f>
        <v/>
      </c>
      <c r="I141" s="3" t="str">
        <f>IFERROR(IF($B141="","",$C141*INDEX(Receteler[Su (lt)],MATCH($B141,Receteler[Beton Sinifi],0))),"")</f>
        <v/>
      </c>
      <c r="J141" s="3" t="str">
        <f>IFERROR(IF($B141="","",$C141*INDEX(Receteler[Katki (kg)],MATCH($B141,Receteler[Beton Sinifi],0))),"")</f>
        <v/>
      </c>
      <c r="K141" s="15"/>
    </row>
    <row r="142" spans="1:11" x14ac:dyDescent="0.3">
      <c r="A142" s="29"/>
      <c r="B142" s="16"/>
      <c r="C142" s="30"/>
      <c r="D142" s="6" t="str">
        <f>IFERROR(IF($B142="","",$C142*INDEX(Receteler[Cimento (kg)],MATCH($B142,Receteler[Beton Sinifi],0))),"")</f>
        <v/>
      </c>
      <c r="E142" s="6" t="str">
        <f>IFERROR(IF($B142="","",$C142*INDEX(Receteler[Kum (kg)],MATCH($B142,Receteler[Beton Sinifi],0))),"")</f>
        <v/>
      </c>
      <c r="F142" s="6" t="str">
        <f>IFERROR(IF($B142="","",$C142*INDEX(Receteler[Micir 0-5mm (kg)],MATCH($B142,Receteler[Beton Sinifi],0))),"")</f>
        <v/>
      </c>
      <c r="G142" s="6" t="str">
        <f>IFERROR(IF($B142="","",$C142*INDEX(Receteler[Micir 5-12mm (kg)],MATCH($B142,Receteler[Beton Sinifi],0))),"")</f>
        <v/>
      </c>
      <c r="H142" s="6" t="str">
        <f>IFERROR(IF($B142="","",$C142*INDEX(Receteler[Micir 12-19mm (kg)],MATCH($B142,Receteler[Beton Sinifi],0))),"")</f>
        <v/>
      </c>
      <c r="I142" s="6" t="str">
        <f>IFERROR(IF($B142="","",$C142*INDEX(Receteler[Su (lt)],MATCH($B142,Receteler[Beton Sinifi],0))),"")</f>
        <v/>
      </c>
      <c r="J142" s="6" t="str">
        <f>IFERROR(IF($B142="","",$C142*INDEX(Receteler[Katki (kg)],MATCH($B142,Receteler[Beton Sinifi],0))),"")</f>
        <v/>
      </c>
      <c r="K142" s="20"/>
    </row>
    <row r="143" spans="1:11" x14ac:dyDescent="0.3">
      <c r="A143" s="27"/>
      <c r="B143" s="10"/>
      <c r="C143" s="28"/>
      <c r="D143" s="3" t="str">
        <f>IFERROR(IF($B143="","",$C143*INDEX(Receteler[Cimento (kg)],MATCH($B143,Receteler[Beton Sinifi],0))),"")</f>
        <v/>
      </c>
      <c r="E143" s="3" t="str">
        <f>IFERROR(IF($B143="","",$C143*INDEX(Receteler[Kum (kg)],MATCH($B143,Receteler[Beton Sinifi],0))),"")</f>
        <v/>
      </c>
      <c r="F143" s="3" t="str">
        <f>IFERROR(IF($B143="","",$C143*INDEX(Receteler[Micir 0-5mm (kg)],MATCH($B143,Receteler[Beton Sinifi],0))),"")</f>
        <v/>
      </c>
      <c r="G143" s="3" t="str">
        <f>IFERROR(IF($B143="","",$C143*INDEX(Receteler[Micir 5-12mm (kg)],MATCH($B143,Receteler[Beton Sinifi],0))),"")</f>
        <v/>
      </c>
      <c r="H143" s="3" t="str">
        <f>IFERROR(IF($B143="","",$C143*INDEX(Receteler[Micir 12-19mm (kg)],MATCH($B143,Receteler[Beton Sinifi],0))),"")</f>
        <v/>
      </c>
      <c r="I143" s="3" t="str">
        <f>IFERROR(IF($B143="","",$C143*INDEX(Receteler[Su (lt)],MATCH($B143,Receteler[Beton Sinifi],0))),"")</f>
        <v/>
      </c>
      <c r="J143" s="3" t="str">
        <f>IFERROR(IF($B143="","",$C143*INDEX(Receteler[Katki (kg)],MATCH($B143,Receteler[Beton Sinifi],0))),"")</f>
        <v/>
      </c>
      <c r="K143" s="15"/>
    </row>
    <row r="144" spans="1:11" x14ac:dyDescent="0.3">
      <c r="A144" s="29"/>
      <c r="B144" s="16"/>
      <c r="C144" s="30"/>
      <c r="D144" s="6" t="str">
        <f>IFERROR(IF($B144="","",$C144*INDEX(Receteler[Cimento (kg)],MATCH($B144,Receteler[Beton Sinifi],0))),"")</f>
        <v/>
      </c>
      <c r="E144" s="6" t="str">
        <f>IFERROR(IF($B144="","",$C144*INDEX(Receteler[Kum (kg)],MATCH($B144,Receteler[Beton Sinifi],0))),"")</f>
        <v/>
      </c>
      <c r="F144" s="6" t="str">
        <f>IFERROR(IF($B144="","",$C144*INDEX(Receteler[Micir 0-5mm (kg)],MATCH($B144,Receteler[Beton Sinifi],0))),"")</f>
        <v/>
      </c>
      <c r="G144" s="6" t="str">
        <f>IFERROR(IF($B144="","",$C144*INDEX(Receteler[Micir 5-12mm (kg)],MATCH($B144,Receteler[Beton Sinifi],0))),"")</f>
        <v/>
      </c>
      <c r="H144" s="6" t="str">
        <f>IFERROR(IF($B144="","",$C144*INDEX(Receteler[Micir 12-19mm (kg)],MATCH($B144,Receteler[Beton Sinifi],0))),"")</f>
        <v/>
      </c>
      <c r="I144" s="6" t="str">
        <f>IFERROR(IF($B144="","",$C144*INDEX(Receteler[Su (lt)],MATCH($B144,Receteler[Beton Sinifi],0))),"")</f>
        <v/>
      </c>
      <c r="J144" s="6" t="str">
        <f>IFERROR(IF($B144="","",$C144*INDEX(Receteler[Katki (kg)],MATCH($B144,Receteler[Beton Sinifi],0))),"")</f>
        <v/>
      </c>
      <c r="K144" s="20"/>
    </row>
    <row r="145" spans="1:11" x14ac:dyDescent="0.3">
      <c r="A145" s="27"/>
      <c r="B145" s="10"/>
      <c r="C145" s="28"/>
      <c r="D145" s="3" t="str">
        <f>IFERROR(IF($B145="","",$C145*INDEX(Receteler[Cimento (kg)],MATCH($B145,Receteler[Beton Sinifi],0))),"")</f>
        <v/>
      </c>
      <c r="E145" s="3" t="str">
        <f>IFERROR(IF($B145="","",$C145*INDEX(Receteler[Kum (kg)],MATCH($B145,Receteler[Beton Sinifi],0))),"")</f>
        <v/>
      </c>
      <c r="F145" s="3" t="str">
        <f>IFERROR(IF($B145="","",$C145*INDEX(Receteler[Micir 0-5mm (kg)],MATCH($B145,Receteler[Beton Sinifi],0))),"")</f>
        <v/>
      </c>
      <c r="G145" s="3" t="str">
        <f>IFERROR(IF($B145="","",$C145*INDEX(Receteler[Micir 5-12mm (kg)],MATCH($B145,Receteler[Beton Sinifi],0))),"")</f>
        <v/>
      </c>
      <c r="H145" s="3" t="str">
        <f>IFERROR(IF($B145="","",$C145*INDEX(Receteler[Micir 12-19mm (kg)],MATCH($B145,Receteler[Beton Sinifi],0))),"")</f>
        <v/>
      </c>
      <c r="I145" s="3" t="str">
        <f>IFERROR(IF($B145="","",$C145*INDEX(Receteler[Su (lt)],MATCH($B145,Receteler[Beton Sinifi],0))),"")</f>
        <v/>
      </c>
      <c r="J145" s="3" t="str">
        <f>IFERROR(IF($B145="","",$C145*INDEX(Receteler[Katki (kg)],MATCH($B145,Receteler[Beton Sinifi],0))),"")</f>
        <v/>
      </c>
      <c r="K145" s="15"/>
    </row>
    <row r="146" spans="1:11" x14ac:dyDescent="0.3">
      <c r="A146" s="29"/>
      <c r="B146" s="16"/>
      <c r="C146" s="30"/>
      <c r="D146" s="6" t="str">
        <f>IFERROR(IF($B146="","",$C146*INDEX(Receteler[Cimento (kg)],MATCH($B146,Receteler[Beton Sinifi],0))),"")</f>
        <v/>
      </c>
      <c r="E146" s="6" t="str">
        <f>IFERROR(IF($B146="","",$C146*INDEX(Receteler[Kum (kg)],MATCH($B146,Receteler[Beton Sinifi],0))),"")</f>
        <v/>
      </c>
      <c r="F146" s="6" t="str">
        <f>IFERROR(IF($B146="","",$C146*INDEX(Receteler[Micir 0-5mm (kg)],MATCH($B146,Receteler[Beton Sinifi],0))),"")</f>
        <v/>
      </c>
      <c r="G146" s="6" t="str">
        <f>IFERROR(IF($B146="","",$C146*INDEX(Receteler[Micir 5-12mm (kg)],MATCH($B146,Receteler[Beton Sinifi],0))),"")</f>
        <v/>
      </c>
      <c r="H146" s="6" t="str">
        <f>IFERROR(IF($B146="","",$C146*INDEX(Receteler[Micir 12-19mm (kg)],MATCH($B146,Receteler[Beton Sinifi],0))),"")</f>
        <v/>
      </c>
      <c r="I146" s="6" t="str">
        <f>IFERROR(IF($B146="","",$C146*INDEX(Receteler[Su (lt)],MATCH($B146,Receteler[Beton Sinifi],0))),"")</f>
        <v/>
      </c>
      <c r="J146" s="6" t="str">
        <f>IFERROR(IF($B146="","",$C146*INDEX(Receteler[Katki (kg)],MATCH($B146,Receteler[Beton Sinifi],0))),"")</f>
        <v/>
      </c>
      <c r="K146" s="20"/>
    </row>
    <row r="147" spans="1:11" x14ac:dyDescent="0.3">
      <c r="A147" s="27"/>
      <c r="B147" s="10"/>
      <c r="C147" s="28"/>
      <c r="D147" s="3" t="str">
        <f>IFERROR(IF($B147="","",$C147*INDEX(Receteler[Cimento (kg)],MATCH($B147,Receteler[Beton Sinifi],0))),"")</f>
        <v/>
      </c>
      <c r="E147" s="3" t="str">
        <f>IFERROR(IF($B147="","",$C147*INDEX(Receteler[Kum (kg)],MATCH($B147,Receteler[Beton Sinifi],0))),"")</f>
        <v/>
      </c>
      <c r="F147" s="3" t="str">
        <f>IFERROR(IF($B147="","",$C147*INDEX(Receteler[Micir 0-5mm (kg)],MATCH($B147,Receteler[Beton Sinifi],0))),"")</f>
        <v/>
      </c>
      <c r="G147" s="3" t="str">
        <f>IFERROR(IF($B147="","",$C147*INDEX(Receteler[Micir 5-12mm (kg)],MATCH($B147,Receteler[Beton Sinifi],0))),"")</f>
        <v/>
      </c>
      <c r="H147" s="3" t="str">
        <f>IFERROR(IF($B147="","",$C147*INDEX(Receteler[Micir 12-19mm (kg)],MATCH($B147,Receteler[Beton Sinifi],0))),"")</f>
        <v/>
      </c>
      <c r="I147" s="3" t="str">
        <f>IFERROR(IF($B147="","",$C147*INDEX(Receteler[Su (lt)],MATCH($B147,Receteler[Beton Sinifi],0))),"")</f>
        <v/>
      </c>
      <c r="J147" s="3" t="str">
        <f>IFERROR(IF($B147="","",$C147*INDEX(Receteler[Katki (kg)],MATCH($B147,Receteler[Beton Sinifi],0))),"")</f>
        <v/>
      </c>
      <c r="K147" s="15"/>
    </row>
    <row r="148" spans="1:11" x14ac:dyDescent="0.3">
      <c r="A148" s="29"/>
      <c r="B148" s="16"/>
      <c r="C148" s="30"/>
      <c r="D148" s="6" t="str">
        <f>IFERROR(IF($B148="","",$C148*INDEX(Receteler[Cimento (kg)],MATCH($B148,Receteler[Beton Sinifi],0))),"")</f>
        <v/>
      </c>
      <c r="E148" s="6" t="str">
        <f>IFERROR(IF($B148="","",$C148*INDEX(Receteler[Kum (kg)],MATCH($B148,Receteler[Beton Sinifi],0))),"")</f>
        <v/>
      </c>
      <c r="F148" s="6" t="str">
        <f>IFERROR(IF($B148="","",$C148*INDEX(Receteler[Micir 0-5mm (kg)],MATCH($B148,Receteler[Beton Sinifi],0))),"")</f>
        <v/>
      </c>
      <c r="G148" s="6" t="str">
        <f>IFERROR(IF($B148="","",$C148*INDEX(Receteler[Micir 5-12mm (kg)],MATCH($B148,Receteler[Beton Sinifi],0))),"")</f>
        <v/>
      </c>
      <c r="H148" s="6" t="str">
        <f>IFERROR(IF($B148="","",$C148*INDEX(Receteler[Micir 12-19mm (kg)],MATCH($B148,Receteler[Beton Sinifi],0))),"")</f>
        <v/>
      </c>
      <c r="I148" s="6" t="str">
        <f>IFERROR(IF($B148="","",$C148*INDEX(Receteler[Su (lt)],MATCH($B148,Receteler[Beton Sinifi],0))),"")</f>
        <v/>
      </c>
      <c r="J148" s="6" t="str">
        <f>IFERROR(IF($B148="","",$C148*INDEX(Receteler[Katki (kg)],MATCH($B148,Receteler[Beton Sinifi],0))),"")</f>
        <v/>
      </c>
      <c r="K148" s="20"/>
    </row>
    <row r="149" spans="1:11" x14ac:dyDescent="0.3">
      <c r="A149" s="27"/>
      <c r="B149" s="10"/>
      <c r="C149" s="28"/>
      <c r="D149" s="3" t="str">
        <f>IFERROR(IF($B149="","",$C149*INDEX(Receteler[Cimento (kg)],MATCH($B149,Receteler[Beton Sinifi],0))),"")</f>
        <v/>
      </c>
      <c r="E149" s="3" t="str">
        <f>IFERROR(IF($B149="","",$C149*INDEX(Receteler[Kum (kg)],MATCH($B149,Receteler[Beton Sinifi],0))),"")</f>
        <v/>
      </c>
      <c r="F149" s="3" t="str">
        <f>IFERROR(IF($B149="","",$C149*INDEX(Receteler[Micir 0-5mm (kg)],MATCH($B149,Receteler[Beton Sinifi],0))),"")</f>
        <v/>
      </c>
      <c r="G149" s="3" t="str">
        <f>IFERROR(IF($B149="","",$C149*INDEX(Receteler[Micir 5-12mm (kg)],MATCH($B149,Receteler[Beton Sinifi],0))),"")</f>
        <v/>
      </c>
      <c r="H149" s="3" t="str">
        <f>IFERROR(IF($B149="","",$C149*INDEX(Receteler[Micir 12-19mm (kg)],MATCH($B149,Receteler[Beton Sinifi],0))),"")</f>
        <v/>
      </c>
      <c r="I149" s="3" t="str">
        <f>IFERROR(IF($B149="","",$C149*INDEX(Receteler[Su (lt)],MATCH($B149,Receteler[Beton Sinifi],0))),"")</f>
        <v/>
      </c>
      <c r="J149" s="3" t="str">
        <f>IFERROR(IF($B149="","",$C149*INDEX(Receteler[Katki (kg)],MATCH($B149,Receteler[Beton Sinifi],0))),"")</f>
        <v/>
      </c>
      <c r="K149" s="15"/>
    </row>
    <row r="150" spans="1:11" x14ac:dyDescent="0.3">
      <c r="A150" s="29"/>
      <c r="B150" s="16"/>
      <c r="C150" s="30"/>
      <c r="D150" s="6" t="str">
        <f>IFERROR(IF($B150="","",$C150*INDEX(Receteler[Cimento (kg)],MATCH($B150,Receteler[Beton Sinifi],0))),"")</f>
        <v/>
      </c>
      <c r="E150" s="6" t="str">
        <f>IFERROR(IF($B150="","",$C150*INDEX(Receteler[Kum (kg)],MATCH($B150,Receteler[Beton Sinifi],0))),"")</f>
        <v/>
      </c>
      <c r="F150" s="6" t="str">
        <f>IFERROR(IF($B150="","",$C150*INDEX(Receteler[Micir 0-5mm (kg)],MATCH($B150,Receteler[Beton Sinifi],0))),"")</f>
        <v/>
      </c>
      <c r="G150" s="6" t="str">
        <f>IFERROR(IF($B150="","",$C150*INDEX(Receteler[Micir 5-12mm (kg)],MATCH($B150,Receteler[Beton Sinifi],0))),"")</f>
        <v/>
      </c>
      <c r="H150" s="6" t="str">
        <f>IFERROR(IF($B150="","",$C150*INDEX(Receteler[Micir 12-19mm (kg)],MATCH($B150,Receteler[Beton Sinifi],0))),"")</f>
        <v/>
      </c>
      <c r="I150" s="6" t="str">
        <f>IFERROR(IF($B150="","",$C150*INDEX(Receteler[Su (lt)],MATCH($B150,Receteler[Beton Sinifi],0))),"")</f>
        <v/>
      </c>
      <c r="J150" s="6" t="str">
        <f>IFERROR(IF($B150="","",$C150*INDEX(Receteler[Katki (kg)],MATCH($B150,Receteler[Beton Sinifi],0))),"")</f>
        <v/>
      </c>
      <c r="K150" s="20"/>
    </row>
    <row r="151" spans="1:11" x14ac:dyDescent="0.3">
      <c r="A151" s="27"/>
      <c r="B151" s="10"/>
      <c r="C151" s="28"/>
      <c r="D151" s="3" t="str">
        <f>IFERROR(IF($B151="","",$C151*INDEX(Receteler[Cimento (kg)],MATCH($B151,Receteler[Beton Sinifi],0))),"")</f>
        <v/>
      </c>
      <c r="E151" s="3" t="str">
        <f>IFERROR(IF($B151="","",$C151*INDEX(Receteler[Kum (kg)],MATCH($B151,Receteler[Beton Sinifi],0))),"")</f>
        <v/>
      </c>
      <c r="F151" s="3" t="str">
        <f>IFERROR(IF($B151="","",$C151*INDEX(Receteler[Micir 0-5mm (kg)],MATCH($B151,Receteler[Beton Sinifi],0))),"")</f>
        <v/>
      </c>
      <c r="G151" s="3" t="str">
        <f>IFERROR(IF($B151="","",$C151*INDEX(Receteler[Micir 5-12mm (kg)],MATCH($B151,Receteler[Beton Sinifi],0))),"")</f>
        <v/>
      </c>
      <c r="H151" s="3" t="str">
        <f>IFERROR(IF($B151="","",$C151*INDEX(Receteler[Micir 12-19mm (kg)],MATCH($B151,Receteler[Beton Sinifi],0))),"")</f>
        <v/>
      </c>
      <c r="I151" s="3" t="str">
        <f>IFERROR(IF($B151="","",$C151*INDEX(Receteler[Su (lt)],MATCH($B151,Receteler[Beton Sinifi],0))),"")</f>
        <v/>
      </c>
      <c r="J151" s="3" t="str">
        <f>IFERROR(IF($B151="","",$C151*INDEX(Receteler[Katki (kg)],MATCH($B151,Receteler[Beton Sinifi],0))),"")</f>
        <v/>
      </c>
      <c r="K151" s="15"/>
    </row>
    <row r="152" spans="1:11" x14ac:dyDescent="0.3">
      <c r="A152" s="29"/>
      <c r="B152" s="16"/>
      <c r="C152" s="30"/>
      <c r="D152" s="6" t="str">
        <f>IFERROR(IF($B152="","",$C152*INDEX(Receteler[Cimento (kg)],MATCH($B152,Receteler[Beton Sinifi],0))),"")</f>
        <v/>
      </c>
      <c r="E152" s="6" t="str">
        <f>IFERROR(IF($B152="","",$C152*INDEX(Receteler[Kum (kg)],MATCH($B152,Receteler[Beton Sinifi],0))),"")</f>
        <v/>
      </c>
      <c r="F152" s="6" t="str">
        <f>IFERROR(IF($B152="","",$C152*INDEX(Receteler[Micir 0-5mm (kg)],MATCH($B152,Receteler[Beton Sinifi],0))),"")</f>
        <v/>
      </c>
      <c r="G152" s="6" t="str">
        <f>IFERROR(IF($B152="","",$C152*INDEX(Receteler[Micir 5-12mm (kg)],MATCH($B152,Receteler[Beton Sinifi],0))),"")</f>
        <v/>
      </c>
      <c r="H152" s="6" t="str">
        <f>IFERROR(IF($B152="","",$C152*INDEX(Receteler[Micir 12-19mm (kg)],MATCH($B152,Receteler[Beton Sinifi],0))),"")</f>
        <v/>
      </c>
      <c r="I152" s="6" t="str">
        <f>IFERROR(IF($B152="","",$C152*INDEX(Receteler[Su (lt)],MATCH($B152,Receteler[Beton Sinifi],0))),"")</f>
        <v/>
      </c>
      <c r="J152" s="6" t="str">
        <f>IFERROR(IF($B152="","",$C152*INDEX(Receteler[Katki (kg)],MATCH($B152,Receteler[Beton Sinifi],0))),"")</f>
        <v/>
      </c>
      <c r="K152" s="20"/>
    </row>
    <row r="153" spans="1:11" x14ac:dyDescent="0.3">
      <c r="A153" s="27"/>
      <c r="B153" s="10"/>
      <c r="C153" s="28"/>
      <c r="D153" s="3" t="str">
        <f>IFERROR(IF($B153="","",$C153*INDEX(Receteler[Cimento (kg)],MATCH($B153,Receteler[Beton Sinifi],0))),"")</f>
        <v/>
      </c>
      <c r="E153" s="3" t="str">
        <f>IFERROR(IF($B153="","",$C153*INDEX(Receteler[Kum (kg)],MATCH($B153,Receteler[Beton Sinifi],0))),"")</f>
        <v/>
      </c>
      <c r="F153" s="3" t="str">
        <f>IFERROR(IF($B153="","",$C153*INDEX(Receteler[Micir 0-5mm (kg)],MATCH($B153,Receteler[Beton Sinifi],0))),"")</f>
        <v/>
      </c>
      <c r="G153" s="3" t="str">
        <f>IFERROR(IF($B153="","",$C153*INDEX(Receteler[Micir 5-12mm (kg)],MATCH($B153,Receteler[Beton Sinifi],0))),"")</f>
        <v/>
      </c>
      <c r="H153" s="3" t="str">
        <f>IFERROR(IF($B153="","",$C153*INDEX(Receteler[Micir 12-19mm (kg)],MATCH($B153,Receteler[Beton Sinifi],0))),"")</f>
        <v/>
      </c>
      <c r="I153" s="3" t="str">
        <f>IFERROR(IF($B153="","",$C153*INDEX(Receteler[Su (lt)],MATCH($B153,Receteler[Beton Sinifi],0))),"")</f>
        <v/>
      </c>
      <c r="J153" s="3" t="str">
        <f>IFERROR(IF($B153="","",$C153*INDEX(Receteler[Katki (kg)],MATCH($B153,Receteler[Beton Sinifi],0))),"")</f>
        <v/>
      </c>
      <c r="K153" s="15"/>
    </row>
    <row r="154" spans="1:11" x14ac:dyDescent="0.3">
      <c r="A154" s="29"/>
      <c r="B154" s="16"/>
      <c r="C154" s="30"/>
      <c r="D154" s="6" t="str">
        <f>IFERROR(IF($B154="","",$C154*INDEX(Receteler[Cimento (kg)],MATCH($B154,Receteler[Beton Sinifi],0))),"")</f>
        <v/>
      </c>
      <c r="E154" s="6" t="str">
        <f>IFERROR(IF($B154="","",$C154*INDEX(Receteler[Kum (kg)],MATCH($B154,Receteler[Beton Sinifi],0))),"")</f>
        <v/>
      </c>
      <c r="F154" s="6" t="str">
        <f>IFERROR(IF($B154="","",$C154*INDEX(Receteler[Micir 0-5mm (kg)],MATCH($B154,Receteler[Beton Sinifi],0))),"")</f>
        <v/>
      </c>
      <c r="G154" s="6" t="str">
        <f>IFERROR(IF($B154="","",$C154*INDEX(Receteler[Micir 5-12mm (kg)],MATCH($B154,Receteler[Beton Sinifi],0))),"")</f>
        <v/>
      </c>
      <c r="H154" s="6" t="str">
        <f>IFERROR(IF($B154="","",$C154*INDEX(Receteler[Micir 12-19mm (kg)],MATCH($B154,Receteler[Beton Sinifi],0))),"")</f>
        <v/>
      </c>
      <c r="I154" s="6" t="str">
        <f>IFERROR(IF($B154="","",$C154*INDEX(Receteler[Su (lt)],MATCH($B154,Receteler[Beton Sinifi],0))),"")</f>
        <v/>
      </c>
      <c r="J154" s="6" t="str">
        <f>IFERROR(IF($B154="","",$C154*INDEX(Receteler[Katki (kg)],MATCH($B154,Receteler[Beton Sinifi],0))),"")</f>
        <v/>
      </c>
      <c r="K154" s="20"/>
    </row>
    <row r="155" spans="1:11" x14ac:dyDescent="0.3">
      <c r="A155" s="27"/>
      <c r="B155" s="10"/>
      <c r="C155" s="28"/>
      <c r="D155" s="3" t="str">
        <f>IFERROR(IF($B155="","",$C155*INDEX(Receteler[Cimento (kg)],MATCH($B155,Receteler[Beton Sinifi],0))),"")</f>
        <v/>
      </c>
      <c r="E155" s="3" t="str">
        <f>IFERROR(IF($B155="","",$C155*INDEX(Receteler[Kum (kg)],MATCH($B155,Receteler[Beton Sinifi],0))),"")</f>
        <v/>
      </c>
      <c r="F155" s="3" t="str">
        <f>IFERROR(IF($B155="","",$C155*INDEX(Receteler[Micir 0-5mm (kg)],MATCH($B155,Receteler[Beton Sinifi],0))),"")</f>
        <v/>
      </c>
      <c r="G155" s="3" t="str">
        <f>IFERROR(IF($B155="","",$C155*INDEX(Receteler[Micir 5-12mm (kg)],MATCH($B155,Receteler[Beton Sinifi],0))),"")</f>
        <v/>
      </c>
      <c r="H155" s="3" t="str">
        <f>IFERROR(IF($B155="","",$C155*INDEX(Receteler[Micir 12-19mm (kg)],MATCH($B155,Receteler[Beton Sinifi],0))),"")</f>
        <v/>
      </c>
      <c r="I155" s="3" t="str">
        <f>IFERROR(IF($B155="","",$C155*INDEX(Receteler[Su (lt)],MATCH($B155,Receteler[Beton Sinifi],0))),"")</f>
        <v/>
      </c>
      <c r="J155" s="3" t="str">
        <f>IFERROR(IF($B155="","",$C155*INDEX(Receteler[Katki (kg)],MATCH($B155,Receteler[Beton Sinifi],0))),"")</f>
        <v/>
      </c>
      <c r="K155" s="15"/>
    </row>
    <row r="156" spans="1:11" x14ac:dyDescent="0.3">
      <c r="A156" s="29"/>
      <c r="B156" s="16"/>
      <c r="C156" s="30"/>
      <c r="D156" s="6" t="str">
        <f>IFERROR(IF($B156="","",$C156*INDEX(Receteler[Cimento (kg)],MATCH($B156,Receteler[Beton Sinifi],0))),"")</f>
        <v/>
      </c>
      <c r="E156" s="6" t="str">
        <f>IFERROR(IF($B156="","",$C156*INDEX(Receteler[Kum (kg)],MATCH($B156,Receteler[Beton Sinifi],0))),"")</f>
        <v/>
      </c>
      <c r="F156" s="6" t="str">
        <f>IFERROR(IF($B156="","",$C156*INDEX(Receteler[Micir 0-5mm (kg)],MATCH($B156,Receteler[Beton Sinifi],0))),"")</f>
        <v/>
      </c>
      <c r="G156" s="6" t="str">
        <f>IFERROR(IF($B156="","",$C156*INDEX(Receteler[Micir 5-12mm (kg)],MATCH($B156,Receteler[Beton Sinifi],0))),"")</f>
        <v/>
      </c>
      <c r="H156" s="6" t="str">
        <f>IFERROR(IF($B156="","",$C156*INDEX(Receteler[Micir 12-19mm (kg)],MATCH($B156,Receteler[Beton Sinifi],0))),"")</f>
        <v/>
      </c>
      <c r="I156" s="6" t="str">
        <f>IFERROR(IF($B156="","",$C156*INDEX(Receteler[Su (lt)],MATCH($B156,Receteler[Beton Sinifi],0))),"")</f>
        <v/>
      </c>
      <c r="J156" s="6" t="str">
        <f>IFERROR(IF($B156="","",$C156*INDEX(Receteler[Katki (kg)],MATCH($B156,Receteler[Beton Sinifi],0))),"")</f>
        <v/>
      </c>
      <c r="K156" s="20"/>
    </row>
    <row r="157" spans="1:11" x14ac:dyDescent="0.3">
      <c r="A157" s="27"/>
      <c r="B157" s="10"/>
      <c r="C157" s="28"/>
      <c r="D157" s="3" t="str">
        <f>IFERROR(IF($B157="","",$C157*INDEX(Receteler[Cimento (kg)],MATCH($B157,Receteler[Beton Sinifi],0))),"")</f>
        <v/>
      </c>
      <c r="E157" s="3" t="str">
        <f>IFERROR(IF($B157="","",$C157*INDEX(Receteler[Kum (kg)],MATCH($B157,Receteler[Beton Sinifi],0))),"")</f>
        <v/>
      </c>
      <c r="F157" s="3" t="str">
        <f>IFERROR(IF($B157="","",$C157*INDEX(Receteler[Micir 0-5mm (kg)],MATCH($B157,Receteler[Beton Sinifi],0))),"")</f>
        <v/>
      </c>
      <c r="G157" s="3" t="str">
        <f>IFERROR(IF($B157="","",$C157*INDEX(Receteler[Micir 5-12mm (kg)],MATCH($B157,Receteler[Beton Sinifi],0))),"")</f>
        <v/>
      </c>
      <c r="H157" s="3" t="str">
        <f>IFERROR(IF($B157="","",$C157*INDEX(Receteler[Micir 12-19mm (kg)],MATCH($B157,Receteler[Beton Sinifi],0))),"")</f>
        <v/>
      </c>
      <c r="I157" s="3" t="str">
        <f>IFERROR(IF($B157="","",$C157*INDEX(Receteler[Su (lt)],MATCH($B157,Receteler[Beton Sinifi],0))),"")</f>
        <v/>
      </c>
      <c r="J157" s="3" t="str">
        <f>IFERROR(IF($B157="","",$C157*INDEX(Receteler[Katki (kg)],MATCH($B157,Receteler[Beton Sinifi],0))),"")</f>
        <v/>
      </c>
      <c r="K157" s="15"/>
    </row>
    <row r="158" spans="1:11" x14ac:dyDescent="0.3">
      <c r="A158" s="29"/>
      <c r="B158" s="16"/>
      <c r="C158" s="30"/>
      <c r="D158" s="6" t="str">
        <f>IFERROR(IF($B158="","",$C158*INDEX(Receteler[Cimento (kg)],MATCH($B158,Receteler[Beton Sinifi],0))),"")</f>
        <v/>
      </c>
      <c r="E158" s="6" t="str">
        <f>IFERROR(IF($B158="","",$C158*INDEX(Receteler[Kum (kg)],MATCH($B158,Receteler[Beton Sinifi],0))),"")</f>
        <v/>
      </c>
      <c r="F158" s="6" t="str">
        <f>IFERROR(IF($B158="","",$C158*INDEX(Receteler[Micir 0-5mm (kg)],MATCH($B158,Receteler[Beton Sinifi],0))),"")</f>
        <v/>
      </c>
      <c r="G158" s="6" t="str">
        <f>IFERROR(IF($B158="","",$C158*INDEX(Receteler[Micir 5-12mm (kg)],MATCH($B158,Receteler[Beton Sinifi],0))),"")</f>
        <v/>
      </c>
      <c r="H158" s="6" t="str">
        <f>IFERROR(IF($B158="","",$C158*INDEX(Receteler[Micir 12-19mm (kg)],MATCH($B158,Receteler[Beton Sinifi],0))),"")</f>
        <v/>
      </c>
      <c r="I158" s="6" t="str">
        <f>IFERROR(IF($B158="","",$C158*INDEX(Receteler[Su (lt)],MATCH($B158,Receteler[Beton Sinifi],0))),"")</f>
        <v/>
      </c>
      <c r="J158" s="6" t="str">
        <f>IFERROR(IF($B158="","",$C158*INDEX(Receteler[Katki (kg)],MATCH($B158,Receteler[Beton Sinifi],0))),"")</f>
        <v/>
      </c>
      <c r="K158" s="20"/>
    </row>
    <row r="159" spans="1:11" x14ac:dyDescent="0.3">
      <c r="A159" s="27"/>
      <c r="B159" s="10"/>
      <c r="C159" s="28"/>
      <c r="D159" s="3" t="str">
        <f>IFERROR(IF($B159="","",$C159*INDEX(Receteler[Cimento (kg)],MATCH($B159,Receteler[Beton Sinifi],0))),"")</f>
        <v/>
      </c>
      <c r="E159" s="3" t="str">
        <f>IFERROR(IF($B159="","",$C159*INDEX(Receteler[Kum (kg)],MATCH($B159,Receteler[Beton Sinifi],0))),"")</f>
        <v/>
      </c>
      <c r="F159" s="3" t="str">
        <f>IFERROR(IF($B159="","",$C159*INDEX(Receteler[Micir 0-5mm (kg)],MATCH($B159,Receteler[Beton Sinifi],0))),"")</f>
        <v/>
      </c>
      <c r="G159" s="3" t="str">
        <f>IFERROR(IF($B159="","",$C159*INDEX(Receteler[Micir 5-12mm (kg)],MATCH($B159,Receteler[Beton Sinifi],0))),"")</f>
        <v/>
      </c>
      <c r="H159" s="3" t="str">
        <f>IFERROR(IF($B159="","",$C159*INDEX(Receteler[Micir 12-19mm (kg)],MATCH($B159,Receteler[Beton Sinifi],0))),"")</f>
        <v/>
      </c>
      <c r="I159" s="3" t="str">
        <f>IFERROR(IF($B159="","",$C159*INDEX(Receteler[Su (lt)],MATCH($B159,Receteler[Beton Sinifi],0))),"")</f>
        <v/>
      </c>
      <c r="J159" s="3" t="str">
        <f>IFERROR(IF($B159="","",$C159*INDEX(Receteler[Katki (kg)],MATCH($B159,Receteler[Beton Sinifi],0))),"")</f>
        <v/>
      </c>
      <c r="K159" s="15"/>
    </row>
    <row r="160" spans="1:11" x14ac:dyDescent="0.3">
      <c r="A160" s="29"/>
      <c r="B160" s="16"/>
      <c r="C160" s="30"/>
      <c r="D160" s="6" t="str">
        <f>IFERROR(IF($B160="","",$C160*INDEX(Receteler[Cimento (kg)],MATCH($B160,Receteler[Beton Sinifi],0))),"")</f>
        <v/>
      </c>
      <c r="E160" s="6" t="str">
        <f>IFERROR(IF($B160="","",$C160*INDEX(Receteler[Kum (kg)],MATCH($B160,Receteler[Beton Sinifi],0))),"")</f>
        <v/>
      </c>
      <c r="F160" s="6" t="str">
        <f>IFERROR(IF($B160="","",$C160*INDEX(Receteler[Micir 0-5mm (kg)],MATCH($B160,Receteler[Beton Sinifi],0))),"")</f>
        <v/>
      </c>
      <c r="G160" s="6" t="str">
        <f>IFERROR(IF($B160="","",$C160*INDEX(Receteler[Micir 5-12mm (kg)],MATCH($B160,Receteler[Beton Sinifi],0))),"")</f>
        <v/>
      </c>
      <c r="H160" s="6" t="str">
        <f>IFERROR(IF($B160="","",$C160*INDEX(Receteler[Micir 12-19mm (kg)],MATCH($B160,Receteler[Beton Sinifi],0))),"")</f>
        <v/>
      </c>
      <c r="I160" s="6" t="str">
        <f>IFERROR(IF($B160="","",$C160*INDEX(Receteler[Su (lt)],MATCH($B160,Receteler[Beton Sinifi],0))),"")</f>
        <v/>
      </c>
      <c r="J160" s="6" t="str">
        <f>IFERROR(IF($B160="","",$C160*INDEX(Receteler[Katki (kg)],MATCH($B160,Receteler[Beton Sinifi],0))),"")</f>
        <v/>
      </c>
      <c r="K160" s="20"/>
    </row>
    <row r="161" spans="1:11" x14ac:dyDescent="0.3">
      <c r="A161" s="27"/>
      <c r="B161" s="10"/>
      <c r="C161" s="28"/>
      <c r="D161" s="3" t="str">
        <f>IFERROR(IF($B161="","",$C161*INDEX(Receteler[Cimento (kg)],MATCH($B161,Receteler[Beton Sinifi],0))),"")</f>
        <v/>
      </c>
      <c r="E161" s="3" t="str">
        <f>IFERROR(IF($B161="","",$C161*INDEX(Receteler[Kum (kg)],MATCH($B161,Receteler[Beton Sinifi],0))),"")</f>
        <v/>
      </c>
      <c r="F161" s="3" t="str">
        <f>IFERROR(IF($B161="","",$C161*INDEX(Receteler[Micir 0-5mm (kg)],MATCH($B161,Receteler[Beton Sinifi],0))),"")</f>
        <v/>
      </c>
      <c r="G161" s="3" t="str">
        <f>IFERROR(IF($B161="","",$C161*INDEX(Receteler[Micir 5-12mm (kg)],MATCH($B161,Receteler[Beton Sinifi],0))),"")</f>
        <v/>
      </c>
      <c r="H161" s="3" t="str">
        <f>IFERROR(IF($B161="","",$C161*INDEX(Receteler[Micir 12-19mm (kg)],MATCH($B161,Receteler[Beton Sinifi],0))),"")</f>
        <v/>
      </c>
      <c r="I161" s="3" t="str">
        <f>IFERROR(IF($B161="","",$C161*INDEX(Receteler[Su (lt)],MATCH($B161,Receteler[Beton Sinifi],0))),"")</f>
        <v/>
      </c>
      <c r="J161" s="3" t="str">
        <f>IFERROR(IF($B161="","",$C161*INDEX(Receteler[Katki (kg)],MATCH($B161,Receteler[Beton Sinifi],0))),"")</f>
        <v/>
      </c>
      <c r="K161" s="15"/>
    </row>
    <row r="162" spans="1:11" x14ac:dyDescent="0.3">
      <c r="A162" s="29"/>
      <c r="B162" s="16"/>
      <c r="C162" s="30"/>
      <c r="D162" s="6" t="str">
        <f>IFERROR(IF($B162="","",$C162*INDEX(Receteler[Cimento (kg)],MATCH($B162,Receteler[Beton Sinifi],0))),"")</f>
        <v/>
      </c>
      <c r="E162" s="6" t="str">
        <f>IFERROR(IF($B162="","",$C162*INDEX(Receteler[Kum (kg)],MATCH($B162,Receteler[Beton Sinifi],0))),"")</f>
        <v/>
      </c>
      <c r="F162" s="6" t="str">
        <f>IFERROR(IF($B162="","",$C162*INDEX(Receteler[Micir 0-5mm (kg)],MATCH($B162,Receteler[Beton Sinifi],0))),"")</f>
        <v/>
      </c>
      <c r="G162" s="6" t="str">
        <f>IFERROR(IF($B162="","",$C162*INDEX(Receteler[Micir 5-12mm (kg)],MATCH($B162,Receteler[Beton Sinifi],0))),"")</f>
        <v/>
      </c>
      <c r="H162" s="6" t="str">
        <f>IFERROR(IF($B162="","",$C162*INDEX(Receteler[Micir 12-19mm (kg)],MATCH($B162,Receteler[Beton Sinifi],0))),"")</f>
        <v/>
      </c>
      <c r="I162" s="6" t="str">
        <f>IFERROR(IF($B162="","",$C162*INDEX(Receteler[Su (lt)],MATCH($B162,Receteler[Beton Sinifi],0))),"")</f>
        <v/>
      </c>
      <c r="J162" s="6" t="str">
        <f>IFERROR(IF($B162="","",$C162*INDEX(Receteler[Katki (kg)],MATCH($B162,Receteler[Beton Sinifi],0))),"")</f>
        <v/>
      </c>
      <c r="K162" s="20"/>
    </row>
    <row r="163" spans="1:11" x14ac:dyDescent="0.3">
      <c r="A163" s="27"/>
      <c r="B163" s="10"/>
      <c r="C163" s="28"/>
      <c r="D163" s="3" t="str">
        <f>IFERROR(IF($B163="","",$C163*INDEX(Receteler[Cimento (kg)],MATCH($B163,Receteler[Beton Sinifi],0))),"")</f>
        <v/>
      </c>
      <c r="E163" s="3" t="str">
        <f>IFERROR(IF($B163="","",$C163*INDEX(Receteler[Kum (kg)],MATCH($B163,Receteler[Beton Sinifi],0))),"")</f>
        <v/>
      </c>
      <c r="F163" s="3" t="str">
        <f>IFERROR(IF($B163="","",$C163*INDEX(Receteler[Micir 0-5mm (kg)],MATCH($B163,Receteler[Beton Sinifi],0))),"")</f>
        <v/>
      </c>
      <c r="G163" s="3" t="str">
        <f>IFERROR(IF($B163="","",$C163*INDEX(Receteler[Micir 5-12mm (kg)],MATCH($B163,Receteler[Beton Sinifi],0))),"")</f>
        <v/>
      </c>
      <c r="H163" s="3" t="str">
        <f>IFERROR(IF($B163="","",$C163*INDEX(Receteler[Micir 12-19mm (kg)],MATCH($B163,Receteler[Beton Sinifi],0))),"")</f>
        <v/>
      </c>
      <c r="I163" s="3" t="str">
        <f>IFERROR(IF($B163="","",$C163*INDEX(Receteler[Su (lt)],MATCH($B163,Receteler[Beton Sinifi],0))),"")</f>
        <v/>
      </c>
      <c r="J163" s="3" t="str">
        <f>IFERROR(IF($B163="","",$C163*INDEX(Receteler[Katki (kg)],MATCH($B163,Receteler[Beton Sinifi],0))),"")</f>
        <v/>
      </c>
      <c r="K163" s="15"/>
    </row>
    <row r="164" spans="1:11" x14ac:dyDescent="0.3">
      <c r="A164" s="29"/>
      <c r="B164" s="16"/>
      <c r="C164" s="30"/>
      <c r="D164" s="6" t="str">
        <f>IFERROR(IF($B164="","",$C164*INDEX(Receteler[Cimento (kg)],MATCH($B164,Receteler[Beton Sinifi],0))),"")</f>
        <v/>
      </c>
      <c r="E164" s="6" t="str">
        <f>IFERROR(IF($B164="","",$C164*INDEX(Receteler[Kum (kg)],MATCH($B164,Receteler[Beton Sinifi],0))),"")</f>
        <v/>
      </c>
      <c r="F164" s="6" t="str">
        <f>IFERROR(IF($B164="","",$C164*INDEX(Receteler[Micir 0-5mm (kg)],MATCH($B164,Receteler[Beton Sinifi],0))),"")</f>
        <v/>
      </c>
      <c r="G164" s="6" t="str">
        <f>IFERROR(IF($B164="","",$C164*INDEX(Receteler[Micir 5-12mm (kg)],MATCH($B164,Receteler[Beton Sinifi],0))),"")</f>
        <v/>
      </c>
      <c r="H164" s="6" t="str">
        <f>IFERROR(IF($B164="","",$C164*INDEX(Receteler[Micir 12-19mm (kg)],MATCH($B164,Receteler[Beton Sinifi],0))),"")</f>
        <v/>
      </c>
      <c r="I164" s="6" t="str">
        <f>IFERROR(IF($B164="","",$C164*INDEX(Receteler[Su (lt)],MATCH($B164,Receteler[Beton Sinifi],0))),"")</f>
        <v/>
      </c>
      <c r="J164" s="6" t="str">
        <f>IFERROR(IF($B164="","",$C164*INDEX(Receteler[Katki (kg)],MATCH($B164,Receteler[Beton Sinifi],0))),"")</f>
        <v/>
      </c>
      <c r="K164" s="20"/>
    </row>
    <row r="165" spans="1:11" x14ac:dyDescent="0.3">
      <c r="A165" s="27"/>
      <c r="B165" s="10"/>
      <c r="C165" s="28"/>
      <c r="D165" s="3" t="str">
        <f>IFERROR(IF($B165="","",$C165*INDEX(Receteler[Cimento (kg)],MATCH($B165,Receteler[Beton Sinifi],0))),"")</f>
        <v/>
      </c>
      <c r="E165" s="3" t="str">
        <f>IFERROR(IF($B165="","",$C165*INDEX(Receteler[Kum (kg)],MATCH($B165,Receteler[Beton Sinifi],0))),"")</f>
        <v/>
      </c>
      <c r="F165" s="3" t="str">
        <f>IFERROR(IF($B165="","",$C165*INDEX(Receteler[Micir 0-5mm (kg)],MATCH($B165,Receteler[Beton Sinifi],0))),"")</f>
        <v/>
      </c>
      <c r="G165" s="3" t="str">
        <f>IFERROR(IF($B165="","",$C165*INDEX(Receteler[Micir 5-12mm (kg)],MATCH($B165,Receteler[Beton Sinifi],0))),"")</f>
        <v/>
      </c>
      <c r="H165" s="3" t="str">
        <f>IFERROR(IF($B165="","",$C165*INDEX(Receteler[Micir 12-19mm (kg)],MATCH($B165,Receteler[Beton Sinifi],0))),"")</f>
        <v/>
      </c>
      <c r="I165" s="3" t="str">
        <f>IFERROR(IF($B165="","",$C165*INDEX(Receteler[Su (lt)],MATCH($B165,Receteler[Beton Sinifi],0))),"")</f>
        <v/>
      </c>
      <c r="J165" s="3" t="str">
        <f>IFERROR(IF($B165="","",$C165*INDEX(Receteler[Katki (kg)],MATCH($B165,Receteler[Beton Sinifi],0))),"")</f>
        <v/>
      </c>
      <c r="K165" s="15"/>
    </row>
    <row r="166" spans="1:11" x14ac:dyDescent="0.3">
      <c r="A166" s="29"/>
      <c r="B166" s="16"/>
      <c r="C166" s="30"/>
      <c r="D166" s="6" t="str">
        <f>IFERROR(IF($B166="","",$C166*INDEX(Receteler[Cimento (kg)],MATCH($B166,Receteler[Beton Sinifi],0))),"")</f>
        <v/>
      </c>
      <c r="E166" s="6" t="str">
        <f>IFERROR(IF($B166="","",$C166*INDEX(Receteler[Kum (kg)],MATCH($B166,Receteler[Beton Sinifi],0))),"")</f>
        <v/>
      </c>
      <c r="F166" s="6" t="str">
        <f>IFERROR(IF($B166="","",$C166*INDEX(Receteler[Micir 0-5mm (kg)],MATCH($B166,Receteler[Beton Sinifi],0))),"")</f>
        <v/>
      </c>
      <c r="G166" s="6" t="str">
        <f>IFERROR(IF($B166="","",$C166*INDEX(Receteler[Micir 5-12mm (kg)],MATCH($B166,Receteler[Beton Sinifi],0))),"")</f>
        <v/>
      </c>
      <c r="H166" s="6" t="str">
        <f>IFERROR(IF($B166="","",$C166*INDEX(Receteler[Micir 12-19mm (kg)],MATCH($B166,Receteler[Beton Sinifi],0))),"")</f>
        <v/>
      </c>
      <c r="I166" s="6" t="str">
        <f>IFERROR(IF($B166="","",$C166*INDEX(Receteler[Su (lt)],MATCH($B166,Receteler[Beton Sinifi],0))),"")</f>
        <v/>
      </c>
      <c r="J166" s="6" t="str">
        <f>IFERROR(IF($B166="","",$C166*INDEX(Receteler[Katki (kg)],MATCH($B166,Receteler[Beton Sinifi],0))),"")</f>
        <v/>
      </c>
      <c r="K166" s="20"/>
    </row>
    <row r="167" spans="1:11" x14ac:dyDescent="0.3">
      <c r="A167" s="27"/>
      <c r="B167" s="10"/>
      <c r="C167" s="28"/>
      <c r="D167" s="3" t="str">
        <f>IFERROR(IF($B167="","",$C167*INDEX(Receteler[Cimento (kg)],MATCH($B167,Receteler[Beton Sinifi],0))),"")</f>
        <v/>
      </c>
      <c r="E167" s="3" t="str">
        <f>IFERROR(IF($B167="","",$C167*INDEX(Receteler[Kum (kg)],MATCH($B167,Receteler[Beton Sinifi],0))),"")</f>
        <v/>
      </c>
      <c r="F167" s="3" t="str">
        <f>IFERROR(IF($B167="","",$C167*INDEX(Receteler[Micir 0-5mm (kg)],MATCH($B167,Receteler[Beton Sinifi],0))),"")</f>
        <v/>
      </c>
      <c r="G167" s="3" t="str">
        <f>IFERROR(IF($B167="","",$C167*INDEX(Receteler[Micir 5-12mm (kg)],MATCH($B167,Receteler[Beton Sinifi],0))),"")</f>
        <v/>
      </c>
      <c r="H167" s="3" t="str">
        <f>IFERROR(IF($B167="","",$C167*INDEX(Receteler[Micir 12-19mm (kg)],MATCH($B167,Receteler[Beton Sinifi],0))),"")</f>
        <v/>
      </c>
      <c r="I167" s="3" t="str">
        <f>IFERROR(IF($B167="","",$C167*INDEX(Receteler[Su (lt)],MATCH($B167,Receteler[Beton Sinifi],0))),"")</f>
        <v/>
      </c>
      <c r="J167" s="3" t="str">
        <f>IFERROR(IF($B167="","",$C167*INDEX(Receteler[Katki (kg)],MATCH($B167,Receteler[Beton Sinifi],0))),"")</f>
        <v/>
      </c>
      <c r="K167" s="15"/>
    </row>
    <row r="168" spans="1:11" x14ac:dyDescent="0.3">
      <c r="A168" s="29"/>
      <c r="B168" s="16"/>
      <c r="C168" s="30"/>
      <c r="D168" s="6" t="str">
        <f>IFERROR(IF($B168="","",$C168*INDEX(Receteler[Cimento (kg)],MATCH($B168,Receteler[Beton Sinifi],0))),"")</f>
        <v/>
      </c>
      <c r="E168" s="6" t="str">
        <f>IFERROR(IF($B168="","",$C168*INDEX(Receteler[Kum (kg)],MATCH($B168,Receteler[Beton Sinifi],0))),"")</f>
        <v/>
      </c>
      <c r="F168" s="6" t="str">
        <f>IFERROR(IF($B168="","",$C168*INDEX(Receteler[Micir 0-5mm (kg)],MATCH($B168,Receteler[Beton Sinifi],0))),"")</f>
        <v/>
      </c>
      <c r="G168" s="6" t="str">
        <f>IFERROR(IF($B168="","",$C168*INDEX(Receteler[Micir 5-12mm (kg)],MATCH($B168,Receteler[Beton Sinifi],0))),"")</f>
        <v/>
      </c>
      <c r="H168" s="6" t="str">
        <f>IFERROR(IF($B168="","",$C168*INDEX(Receteler[Micir 12-19mm (kg)],MATCH($B168,Receteler[Beton Sinifi],0))),"")</f>
        <v/>
      </c>
      <c r="I168" s="6" t="str">
        <f>IFERROR(IF($B168="","",$C168*INDEX(Receteler[Su (lt)],MATCH($B168,Receteler[Beton Sinifi],0))),"")</f>
        <v/>
      </c>
      <c r="J168" s="6" t="str">
        <f>IFERROR(IF($B168="","",$C168*INDEX(Receteler[Katki (kg)],MATCH($B168,Receteler[Beton Sinifi],0))),"")</f>
        <v/>
      </c>
      <c r="K168" s="20"/>
    </row>
    <row r="169" spans="1:11" x14ac:dyDescent="0.3">
      <c r="A169" s="27"/>
      <c r="B169" s="10"/>
      <c r="C169" s="28"/>
      <c r="D169" s="3" t="str">
        <f>IFERROR(IF($B169="","",$C169*INDEX(Receteler[Cimento (kg)],MATCH($B169,Receteler[Beton Sinifi],0))),"")</f>
        <v/>
      </c>
      <c r="E169" s="3" t="str">
        <f>IFERROR(IF($B169="","",$C169*INDEX(Receteler[Kum (kg)],MATCH($B169,Receteler[Beton Sinifi],0))),"")</f>
        <v/>
      </c>
      <c r="F169" s="3" t="str">
        <f>IFERROR(IF($B169="","",$C169*INDEX(Receteler[Micir 0-5mm (kg)],MATCH($B169,Receteler[Beton Sinifi],0))),"")</f>
        <v/>
      </c>
      <c r="G169" s="3" t="str">
        <f>IFERROR(IF($B169="","",$C169*INDEX(Receteler[Micir 5-12mm (kg)],MATCH($B169,Receteler[Beton Sinifi],0))),"")</f>
        <v/>
      </c>
      <c r="H169" s="3" t="str">
        <f>IFERROR(IF($B169="","",$C169*INDEX(Receteler[Micir 12-19mm (kg)],MATCH($B169,Receteler[Beton Sinifi],0))),"")</f>
        <v/>
      </c>
      <c r="I169" s="3" t="str">
        <f>IFERROR(IF($B169="","",$C169*INDEX(Receteler[Su (lt)],MATCH($B169,Receteler[Beton Sinifi],0))),"")</f>
        <v/>
      </c>
      <c r="J169" s="3" t="str">
        <f>IFERROR(IF($B169="","",$C169*INDEX(Receteler[Katki (kg)],MATCH($B169,Receteler[Beton Sinifi],0))),"")</f>
        <v/>
      </c>
      <c r="K169" s="15"/>
    </row>
    <row r="170" spans="1:11" x14ac:dyDescent="0.3">
      <c r="A170" s="29"/>
      <c r="B170" s="16"/>
      <c r="C170" s="30"/>
      <c r="D170" s="6" t="str">
        <f>IFERROR(IF($B170="","",$C170*INDEX(Receteler[Cimento (kg)],MATCH($B170,Receteler[Beton Sinifi],0))),"")</f>
        <v/>
      </c>
      <c r="E170" s="6" t="str">
        <f>IFERROR(IF($B170="","",$C170*INDEX(Receteler[Kum (kg)],MATCH($B170,Receteler[Beton Sinifi],0))),"")</f>
        <v/>
      </c>
      <c r="F170" s="6" t="str">
        <f>IFERROR(IF($B170="","",$C170*INDEX(Receteler[Micir 0-5mm (kg)],MATCH($B170,Receteler[Beton Sinifi],0))),"")</f>
        <v/>
      </c>
      <c r="G170" s="6" t="str">
        <f>IFERROR(IF($B170="","",$C170*INDEX(Receteler[Micir 5-12mm (kg)],MATCH($B170,Receteler[Beton Sinifi],0))),"")</f>
        <v/>
      </c>
      <c r="H170" s="6" t="str">
        <f>IFERROR(IF($B170="","",$C170*INDEX(Receteler[Micir 12-19mm (kg)],MATCH($B170,Receteler[Beton Sinifi],0))),"")</f>
        <v/>
      </c>
      <c r="I170" s="6" t="str">
        <f>IFERROR(IF($B170="","",$C170*INDEX(Receteler[Su (lt)],MATCH($B170,Receteler[Beton Sinifi],0))),"")</f>
        <v/>
      </c>
      <c r="J170" s="6" t="str">
        <f>IFERROR(IF($B170="","",$C170*INDEX(Receteler[Katki (kg)],MATCH($B170,Receteler[Beton Sinifi],0))),"")</f>
        <v/>
      </c>
      <c r="K170" s="20"/>
    </row>
    <row r="171" spans="1:11" x14ac:dyDescent="0.3">
      <c r="A171" s="27"/>
      <c r="B171" s="10"/>
      <c r="C171" s="28"/>
      <c r="D171" s="3" t="str">
        <f>IFERROR(IF($B171="","",$C171*INDEX(Receteler[Cimento (kg)],MATCH($B171,Receteler[Beton Sinifi],0))),"")</f>
        <v/>
      </c>
      <c r="E171" s="3" t="str">
        <f>IFERROR(IF($B171="","",$C171*INDEX(Receteler[Kum (kg)],MATCH($B171,Receteler[Beton Sinifi],0))),"")</f>
        <v/>
      </c>
      <c r="F171" s="3" t="str">
        <f>IFERROR(IF($B171="","",$C171*INDEX(Receteler[Micir 0-5mm (kg)],MATCH($B171,Receteler[Beton Sinifi],0))),"")</f>
        <v/>
      </c>
      <c r="G171" s="3" t="str">
        <f>IFERROR(IF($B171="","",$C171*INDEX(Receteler[Micir 5-12mm (kg)],MATCH($B171,Receteler[Beton Sinifi],0))),"")</f>
        <v/>
      </c>
      <c r="H171" s="3" t="str">
        <f>IFERROR(IF($B171="","",$C171*INDEX(Receteler[Micir 12-19mm (kg)],MATCH($B171,Receteler[Beton Sinifi],0))),"")</f>
        <v/>
      </c>
      <c r="I171" s="3" t="str">
        <f>IFERROR(IF($B171="","",$C171*INDEX(Receteler[Su (lt)],MATCH($B171,Receteler[Beton Sinifi],0))),"")</f>
        <v/>
      </c>
      <c r="J171" s="3" t="str">
        <f>IFERROR(IF($B171="","",$C171*INDEX(Receteler[Katki (kg)],MATCH($B171,Receteler[Beton Sinifi],0))),"")</f>
        <v/>
      </c>
      <c r="K171" s="15"/>
    </row>
    <row r="172" spans="1:11" x14ac:dyDescent="0.3">
      <c r="A172" s="29"/>
      <c r="B172" s="16"/>
      <c r="C172" s="30"/>
      <c r="D172" s="6" t="str">
        <f>IFERROR(IF($B172="","",$C172*INDEX(Receteler[Cimento (kg)],MATCH($B172,Receteler[Beton Sinifi],0))),"")</f>
        <v/>
      </c>
      <c r="E172" s="6" t="str">
        <f>IFERROR(IF($B172="","",$C172*INDEX(Receteler[Kum (kg)],MATCH($B172,Receteler[Beton Sinifi],0))),"")</f>
        <v/>
      </c>
      <c r="F172" s="6" t="str">
        <f>IFERROR(IF($B172="","",$C172*INDEX(Receteler[Micir 0-5mm (kg)],MATCH($B172,Receteler[Beton Sinifi],0))),"")</f>
        <v/>
      </c>
      <c r="G172" s="6" t="str">
        <f>IFERROR(IF($B172="","",$C172*INDEX(Receteler[Micir 5-12mm (kg)],MATCH($B172,Receteler[Beton Sinifi],0))),"")</f>
        <v/>
      </c>
      <c r="H172" s="6" t="str">
        <f>IFERROR(IF($B172="","",$C172*INDEX(Receteler[Micir 12-19mm (kg)],MATCH($B172,Receteler[Beton Sinifi],0))),"")</f>
        <v/>
      </c>
      <c r="I172" s="6" t="str">
        <f>IFERROR(IF($B172="","",$C172*INDEX(Receteler[Su (lt)],MATCH($B172,Receteler[Beton Sinifi],0))),"")</f>
        <v/>
      </c>
      <c r="J172" s="6" t="str">
        <f>IFERROR(IF($B172="","",$C172*INDEX(Receteler[Katki (kg)],MATCH($B172,Receteler[Beton Sinifi],0))),"")</f>
        <v/>
      </c>
      <c r="K172" s="20"/>
    </row>
    <row r="173" spans="1:11" x14ac:dyDescent="0.3">
      <c r="A173" s="27"/>
      <c r="B173" s="10"/>
      <c r="C173" s="28"/>
      <c r="D173" s="3" t="str">
        <f>IFERROR(IF($B173="","",$C173*INDEX(Receteler[Cimento (kg)],MATCH($B173,Receteler[Beton Sinifi],0))),"")</f>
        <v/>
      </c>
      <c r="E173" s="3" t="str">
        <f>IFERROR(IF($B173="","",$C173*INDEX(Receteler[Kum (kg)],MATCH($B173,Receteler[Beton Sinifi],0))),"")</f>
        <v/>
      </c>
      <c r="F173" s="3" t="str">
        <f>IFERROR(IF($B173="","",$C173*INDEX(Receteler[Micir 0-5mm (kg)],MATCH($B173,Receteler[Beton Sinifi],0))),"")</f>
        <v/>
      </c>
      <c r="G173" s="3" t="str">
        <f>IFERROR(IF($B173="","",$C173*INDEX(Receteler[Micir 5-12mm (kg)],MATCH($B173,Receteler[Beton Sinifi],0))),"")</f>
        <v/>
      </c>
      <c r="H173" s="3" t="str">
        <f>IFERROR(IF($B173="","",$C173*INDEX(Receteler[Micir 12-19mm (kg)],MATCH($B173,Receteler[Beton Sinifi],0))),"")</f>
        <v/>
      </c>
      <c r="I173" s="3" t="str">
        <f>IFERROR(IF($B173="","",$C173*INDEX(Receteler[Su (lt)],MATCH($B173,Receteler[Beton Sinifi],0))),"")</f>
        <v/>
      </c>
      <c r="J173" s="3" t="str">
        <f>IFERROR(IF($B173="","",$C173*INDEX(Receteler[Katki (kg)],MATCH($B173,Receteler[Beton Sinifi],0))),"")</f>
        <v/>
      </c>
      <c r="K173" s="15"/>
    </row>
    <row r="174" spans="1:11" x14ac:dyDescent="0.3">
      <c r="A174" s="29"/>
      <c r="B174" s="16"/>
      <c r="C174" s="30"/>
      <c r="D174" s="6" t="str">
        <f>IFERROR(IF($B174="","",$C174*INDEX(Receteler[Cimento (kg)],MATCH($B174,Receteler[Beton Sinifi],0))),"")</f>
        <v/>
      </c>
      <c r="E174" s="6" t="str">
        <f>IFERROR(IF($B174="","",$C174*INDEX(Receteler[Kum (kg)],MATCH($B174,Receteler[Beton Sinifi],0))),"")</f>
        <v/>
      </c>
      <c r="F174" s="6" t="str">
        <f>IFERROR(IF($B174="","",$C174*INDEX(Receteler[Micir 0-5mm (kg)],MATCH($B174,Receteler[Beton Sinifi],0))),"")</f>
        <v/>
      </c>
      <c r="G174" s="6" t="str">
        <f>IFERROR(IF($B174="","",$C174*INDEX(Receteler[Micir 5-12mm (kg)],MATCH($B174,Receteler[Beton Sinifi],0))),"")</f>
        <v/>
      </c>
      <c r="H174" s="6" t="str">
        <f>IFERROR(IF($B174="","",$C174*INDEX(Receteler[Micir 12-19mm (kg)],MATCH($B174,Receteler[Beton Sinifi],0))),"")</f>
        <v/>
      </c>
      <c r="I174" s="6" t="str">
        <f>IFERROR(IF($B174="","",$C174*INDEX(Receteler[Su (lt)],MATCH($B174,Receteler[Beton Sinifi],0))),"")</f>
        <v/>
      </c>
      <c r="J174" s="6" t="str">
        <f>IFERROR(IF($B174="","",$C174*INDEX(Receteler[Katki (kg)],MATCH($B174,Receteler[Beton Sinifi],0))),"")</f>
        <v/>
      </c>
      <c r="K174" s="20"/>
    </row>
    <row r="175" spans="1:11" x14ac:dyDescent="0.3">
      <c r="A175" s="27"/>
      <c r="B175" s="10"/>
      <c r="C175" s="28"/>
      <c r="D175" s="3" t="str">
        <f>IFERROR(IF($B175="","",$C175*INDEX(Receteler[Cimento (kg)],MATCH($B175,Receteler[Beton Sinifi],0))),"")</f>
        <v/>
      </c>
      <c r="E175" s="3" t="str">
        <f>IFERROR(IF($B175="","",$C175*INDEX(Receteler[Kum (kg)],MATCH($B175,Receteler[Beton Sinifi],0))),"")</f>
        <v/>
      </c>
      <c r="F175" s="3" t="str">
        <f>IFERROR(IF($B175="","",$C175*INDEX(Receteler[Micir 0-5mm (kg)],MATCH($B175,Receteler[Beton Sinifi],0))),"")</f>
        <v/>
      </c>
      <c r="G175" s="3" t="str">
        <f>IFERROR(IF($B175="","",$C175*INDEX(Receteler[Micir 5-12mm (kg)],MATCH($B175,Receteler[Beton Sinifi],0))),"")</f>
        <v/>
      </c>
      <c r="H175" s="3" t="str">
        <f>IFERROR(IF($B175="","",$C175*INDEX(Receteler[Micir 12-19mm (kg)],MATCH($B175,Receteler[Beton Sinifi],0))),"")</f>
        <v/>
      </c>
      <c r="I175" s="3" t="str">
        <f>IFERROR(IF($B175="","",$C175*INDEX(Receteler[Su (lt)],MATCH($B175,Receteler[Beton Sinifi],0))),"")</f>
        <v/>
      </c>
      <c r="J175" s="3" t="str">
        <f>IFERROR(IF($B175="","",$C175*INDEX(Receteler[Katki (kg)],MATCH($B175,Receteler[Beton Sinifi],0))),"")</f>
        <v/>
      </c>
      <c r="K175" s="15"/>
    </row>
    <row r="176" spans="1:11" x14ac:dyDescent="0.3">
      <c r="A176" s="29"/>
      <c r="B176" s="16"/>
      <c r="C176" s="30"/>
      <c r="D176" s="6" t="str">
        <f>IFERROR(IF($B176="","",$C176*INDEX(Receteler[Cimento (kg)],MATCH($B176,Receteler[Beton Sinifi],0))),"")</f>
        <v/>
      </c>
      <c r="E176" s="6" t="str">
        <f>IFERROR(IF($B176="","",$C176*INDEX(Receteler[Kum (kg)],MATCH($B176,Receteler[Beton Sinifi],0))),"")</f>
        <v/>
      </c>
      <c r="F176" s="6" t="str">
        <f>IFERROR(IF($B176="","",$C176*INDEX(Receteler[Micir 0-5mm (kg)],MATCH($B176,Receteler[Beton Sinifi],0))),"")</f>
        <v/>
      </c>
      <c r="G176" s="6" t="str">
        <f>IFERROR(IF($B176="","",$C176*INDEX(Receteler[Micir 5-12mm (kg)],MATCH($B176,Receteler[Beton Sinifi],0))),"")</f>
        <v/>
      </c>
      <c r="H176" s="6" t="str">
        <f>IFERROR(IF($B176="","",$C176*INDEX(Receteler[Micir 12-19mm (kg)],MATCH($B176,Receteler[Beton Sinifi],0))),"")</f>
        <v/>
      </c>
      <c r="I176" s="6" t="str">
        <f>IFERROR(IF($B176="","",$C176*INDEX(Receteler[Su (lt)],MATCH($B176,Receteler[Beton Sinifi],0))),"")</f>
        <v/>
      </c>
      <c r="J176" s="6" t="str">
        <f>IFERROR(IF($B176="","",$C176*INDEX(Receteler[Katki (kg)],MATCH($B176,Receteler[Beton Sinifi],0))),"")</f>
        <v/>
      </c>
      <c r="K176" s="20"/>
    </row>
    <row r="177" spans="1:11" x14ac:dyDescent="0.3">
      <c r="A177" s="27"/>
      <c r="B177" s="10"/>
      <c r="C177" s="28"/>
      <c r="D177" s="3" t="str">
        <f>IFERROR(IF($B177="","",$C177*INDEX(Receteler[Cimento (kg)],MATCH($B177,Receteler[Beton Sinifi],0))),"")</f>
        <v/>
      </c>
      <c r="E177" s="3" t="str">
        <f>IFERROR(IF($B177="","",$C177*INDEX(Receteler[Kum (kg)],MATCH($B177,Receteler[Beton Sinifi],0))),"")</f>
        <v/>
      </c>
      <c r="F177" s="3" t="str">
        <f>IFERROR(IF($B177="","",$C177*INDEX(Receteler[Micir 0-5mm (kg)],MATCH($B177,Receteler[Beton Sinifi],0))),"")</f>
        <v/>
      </c>
      <c r="G177" s="3" t="str">
        <f>IFERROR(IF($B177="","",$C177*INDEX(Receteler[Micir 5-12mm (kg)],MATCH($B177,Receteler[Beton Sinifi],0))),"")</f>
        <v/>
      </c>
      <c r="H177" s="3" t="str">
        <f>IFERROR(IF($B177="","",$C177*INDEX(Receteler[Micir 12-19mm (kg)],MATCH($B177,Receteler[Beton Sinifi],0))),"")</f>
        <v/>
      </c>
      <c r="I177" s="3" t="str">
        <f>IFERROR(IF($B177="","",$C177*INDEX(Receteler[Su (lt)],MATCH($B177,Receteler[Beton Sinifi],0))),"")</f>
        <v/>
      </c>
      <c r="J177" s="3" t="str">
        <f>IFERROR(IF($B177="","",$C177*INDEX(Receteler[Katki (kg)],MATCH($B177,Receteler[Beton Sinifi],0))),"")</f>
        <v/>
      </c>
      <c r="K177" s="15"/>
    </row>
    <row r="178" spans="1:11" x14ac:dyDescent="0.3">
      <c r="A178" s="29"/>
      <c r="B178" s="16"/>
      <c r="C178" s="30"/>
      <c r="D178" s="6" t="str">
        <f>IFERROR(IF($B178="","",$C178*INDEX(Receteler[Cimento (kg)],MATCH($B178,Receteler[Beton Sinifi],0))),"")</f>
        <v/>
      </c>
      <c r="E178" s="6" t="str">
        <f>IFERROR(IF($B178="","",$C178*INDEX(Receteler[Kum (kg)],MATCH($B178,Receteler[Beton Sinifi],0))),"")</f>
        <v/>
      </c>
      <c r="F178" s="6" t="str">
        <f>IFERROR(IF($B178="","",$C178*INDEX(Receteler[Micir 0-5mm (kg)],MATCH($B178,Receteler[Beton Sinifi],0))),"")</f>
        <v/>
      </c>
      <c r="G178" s="6" t="str">
        <f>IFERROR(IF($B178="","",$C178*INDEX(Receteler[Micir 5-12mm (kg)],MATCH($B178,Receteler[Beton Sinifi],0))),"")</f>
        <v/>
      </c>
      <c r="H178" s="6" t="str">
        <f>IFERROR(IF($B178="","",$C178*INDEX(Receteler[Micir 12-19mm (kg)],MATCH($B178,Receteler[Beton Sinifi],0))),"")</f>
        <v/>
      </c>
      <c r="I178" s="6" t="str">
        <f>IFERROR(IF($B178="","",$C178*INDEX(Receteler[Su (lt)],MATCH($B178,Receteler[Beton Sinifi],0))),"")</f>
        <v/>
      </c>
      <c r="J178" s="6" t="str">
        <f>IFERROR(IF($B178="","",$C178*INDEX(Receteler[Katki (kg)],MATCH($B178,Receteler[Beton Sinifi],0))),"")</f>
        <v/>
      </c>
      <c r="K178" s="20"/>
    </row>
    <row r="179" spans="1:11" x14ac:dyDescent="0.3">
      <c r="A179" s="27"/>
      <c r="B179" s="10"/>
      <c r="C179" s="28"/>
      <c r="D179" s="3" t="str">
        <f>IFERROR(IF($B179="","",$C179*INDEX(Receteler[Cimento (kg)],MATCH($B179,Receteler[Beton Sinifi],0))),"")</f>
        <v/>
      </c>
      <c r="E179" s="3" t="str">
        <f>IFERROR(IF($B179="","",$C179*INDEX(Receteler[Kum (kg)],MATCH($B179,Receteler[Beton Sinifi],0))),"")</f>
        <v/>
      </c>
      <c r="F179" s="3" t="str">
        <f>IFERROR(IF($B179="","",$C179*INDEX(Receteler[Micir 0-5mm (kg)],MATCH($B179,Receteler[Beton Sinifi],0))),"")</f>
        <v/>
      </c>
      <c r="G179" s="3" t="str">
        <f>IFERROR(IF($B179="","",$C179*INDEX(Receteler[Micir 5-12mm (kg)],MATCH($B179,Receteler[Beton Sinifi],0))),"")</f>
        <v/>
      </c>
      <c r="H179" s="3" t="str">
        <f>IFERROR(IF($B179="","",$C179*INDEX(Receteler[Micir 12-19mm (kg)],MATCH($B179,Receteler[Beton Sinifi],0))),"")</f>
        <v/>
      </c>
      <c r="I179" s="3" t="str">
        <f>IFERROR(IF($B179="","",$C179*INDEX(Receteler[Su (lt)],MATCH($B179,Receteler[Beton Sinifi],0))),"")</f>
        <v/>
      </c>
      <c r="J179" s="3" t="str">
        <f>IFERROR(IF($B179="","",$C179*INDEX(Receteler[Katki (kg)],MATCH($B179,Receteler[Beton Sinifi],0))),"")</f>
        <v/>
      </c>
      <c r="K179" s="15"/>
    </row>
    <row r="180" spans="1:11" x14ac:dyDescent="0.3">
      <c r="A180" s="29"/>
      <c r="B180" s="16"/>
      <c r="C180" s="30"/>
      <c r="D180" s="6" t="str">
        <f>IFERROR(IF($B180="","",$C180*INDEX(Receteler[Cimento (kg)],MATCH($B180,Receteler[Beton Sinifi],0))),"")</f>
        <v/>
      </c>
      <c r="E180" s="6" t="str">
        <f>IFERROR(IF($B180="","",$C180*INDEX(Receteler[Kum (kg)],MATCH($B180,Receteler[Beton Sinifi],0))),"")</f>
        <v/>
      </c>
      <c r="F180" s="6" t="str">
        <f>IFERROR(IF($B180="","",$C180*INDEX(Receteler[Micir 0-5mm (kg)],MATCH($B180,Receteler[Beton Sinifi],0))),"")</f>
        <v/>
      </c>
      <c r="G180" s="6" t="str">
        <f>IFERROR(IF($B180="","",$C180*INDEX(Receteler[Micir 5-12mm (kg)],MATCH($B180,Receteler[Beton Sinifi],0))),"")</f>
        <v/>
      </c>
      <c r="H180" s="6" t="str">
        <f>IFERROR(IF($B180="","",$C180*INDEX(Receteler[Micir 12-19mm (kg)],MATCH($B180,Receteler[Beton Sinifi],0))),"")</f>
        <v/>
      </c>
      <c r="I180" s="6" t="str">
        <f>IFERROR(IF($B180="","",$C180*INDEX(Receteler[Su (lt)],MATCH($B180,Receteler[Beton Sinifi],0))),"")</f>
        <v/>
      </c>
      <c r="J180" s="6" t="str">
        <f>IFERROR(IF($B180="","",$C180*INDEX(Receteler[Katki (kg)],MATCH($B180,Receteler[Beton Sinifi],0))),"")</f>
        <v/>
      </c>
      <c r="K180" s="20"/>
    </row>
    <row r="181" spans="1:11" x14ac:dyDescent="0.3">
      <c r="A181" s="27"/>
      <c r="B181" s="10"/>
      <c r="C181" s="28"/>
      <c r="D181" s="3" t="str">
        <f>IFERROR(IF($B181="","",$C181*INDEX(Receteler[Cimento (kg)],MATCH($B181,Receteler[Beton Sinifi],0))),"")</f>
        <v/>
      </c>
      <c r="E181" s="3" t="str">
        <f>IFERROR(IF($B181="","",$C181*INDEX(Receteler[Kum (kg)],MATCH($B181,Receteler[Beton Sinifi],0))),"")</f>
        <v/>
      </c>
      <c r="F181" s="3" t="str">
        <f>IFERROR(IF($B181="","",$C181*INDEX(Receteler[Micir 0-5mm (kg)],MATCH($B181,Receteler[Beton Sinifi],0))),"")</f>
        <v/>
      </c>
      <c r="G181" s="3" t="str">
        <f>IFERROR(IF($B181="","",$C181*INDEX(Receteler[Micir 5-12mm (kg)],MATCH($B181,Receteler[Beton Sinifi],0))),"")</f>
        <v/>
      </c>
      <c r="H181" s="3" t="str">
        <f>IFERROR(IF($B181="","",$C181*INDEX(Receteler[Micir 12-19mm (kg)],MATCH($B181,Receteler[Beton Sinifi],0))),"")</f>
        <v/>
      </c>
      <c r="I181" s="3" t="str">
        <f>IFERROR(IF($B181="","",$C181*INDEX(Receteler[Su (lt)],MATCH($B181,Receteler[Beton Sinifi],0))),"")</f>
        <v/>
      </c>
      <c r="J181" s="3" t="str">
        <f>IFERROR(IF($B181="","",$C181*INDEX(Receteler[Katki (kg)],MATCH($B181,Receteler[Beton Sinifi],0))),"")</f>
        <v/>
      </c>
      <c r="K181" s="15"/>
    </row>
    <row r="182" spans="1:11" x14ac:dyDescent="0.3">
      <c r="A182" s="29"/>
      <c r="B182" s="16"/>
      <c r="C182" s="30"/>
      <c r="D182" s="6" t="str">
        <f>IFERROR(IF($B182="","",$C182*INDEX(Receteler[Cimento (kg)],MATCH($B182,Receteler[Beton Sinifi],0))),"")</f>
        <v/>
      </c>
      <c r="E182" s="6" t="str">
        <f>IFERROR(IF($B182="","",$C182*INDEX(Receteler[Kum (kg)],MATCH($B182,Receteler[Beton Sinifi],0))),"")</f>
        <v/>
      </c>
      <c r="F182" s="6" t="str">
        <f>IFERROR(IF($B182="","",$C182*INDEX(Receteler[Micir 0-5mm (kg)],MATCH($B182,Receteler[Beton Sinifi],0))),"")</f>
        <v/>
      </c>
      <c r="G182" s="6" t="str">
        <f>IFERROR(IF($B182="","",$C182*INDEX(Receteler[Micir 5-12mm (kg)],MATCH($B182,Receteler[Beton Sinifi],0))),"")</f>
        <v/>
      </c>
      <c r="H182" s="6" t="str">
        <f>IFERROR(IF($B182="","",$C182*INDEX(Receteler[Micir 12-19mm (kg)],MATCH($B182,Receteler[Beton Sinifi],0))),"")</f>
        <v/>
      </c>
      <c r="I182" s="6" t="str">
        <f>IFERROR(IF($B182="","",$C182*INDEX(Receteler[Su (lt)],MATCH($B182,Receteler[Beton Sinifi],0))),"")</f>
        <v/>
      </c>
      <c r="J182" s="6" t="str">
        <f>IFERROR(IF($B182="","",$C182*INDEX(Receteler[Katki (kg)],MATCH($B182,Receteler[Beton Sinifi],0))),"")</f>
        <v/>
      </c>
      <c r="K182" s="20"/>
    </row>
    <row r="183" spans="1:11" x14ac:dyDescent="0.3">
      <c r="A183" s="27"/>
      <c r="B183" s="10"/>
      <c r="C183" s="28"/>
      <c r="D183" s="3" t="str">
        <f>IFERROR(IF($B183="","",$C183*INDEX(Receteler[Cimento (kg)],MATCH($B183,Receteler[Beton Sinifi],0))),"")</f>
        <v/>
      </c>
      <c r="E183" s="3" t="str">
        <f>IFERROR(IF($B183="","",$C183*INDEX(Receteler[Kum (kg)],MATCH($B183,Receteler[Beton Sinifi],0))),"")</f>
        <v/>
      </c>
      <c r="F183" s="3" t="str">
        <f>IFERROR(IF($B183="","",$C183*INDEX(Receteler[Micir 0-5mm (kg)],MATCH($B183,Receteler[Beton Sinifi],0))),"")</f>
        <v/>
      </c>
      <c r="G183" s="3" t="str">
        <f>IFERROR(IF($B183="","",$C183*INDEX(Receteler[Micir 5-12mm (kg)],MATCH($B183,Receteler[Beton Sinifi],0))),"")</f>
        <v/>
      </c>
      <c r="H183" s="3" t="str">
        <f>IFERROR(IF($B183="","",$C183*INDEX(Receteler[Micir 12-19mm (kg)],MATCH($B183,Receteler[Beton Sinifi],0))),"")</f>
        <v/>
      </c>
      <c r="I183" s="3" t="str">
        <f>IFERROR(IF($B183="","",$C183*INDEX(Receteler[Su (lt)],MATCH($B183,Receteler[Beton Sinifi],0))),"")</f>
        <v/>
      </c>
      <c r="J183" s="3" t="str">
        <f>IFERROR(IF($B183="","",$C183*INDEX(Receteler[Katki (kg)],MATCH($B183,Receteler[Beton Sinifi],0))),"")</f>
        <v/>
      </c>
      <c r="K183" s="15"/>
    </row>
    <row r="184" spans="1:11" x14ac:dyDescent="0.3">
      <c r="A184" s="29"/>
      <c r="B184" s="16"/>
      <c r="C184" s="30"/>
      <c r="D184" s="6" t="str">
        <f>IFERROR(IF($B184="","",$C184*INDEX(Receteler[Cimento (kg)],MATCH($B184,Receteler[Beton Sinifi],0))),"")</f>
        <v/>
      </c>
      <c r="E184" s="6" t="str">
        <f>IFERROR(IF($B184="","",$C184*INDEX(Receteler[Kum (kg)],MATCH($B184,Receteler[Beton Sinifi],0))),"")</f>
        <v/>
      </c>
      <c r="F184" s="6" t="str">
        <f>IFERROR(IF($B184="","",$C184*INDEX(Receteler[Micir 0-5mm (kg)],MATCH($B184,Receteler[Beton Sinifi],0))),"")</f>
        <v/>
      </c>
      <c r="G184" s="6" t="str">
        <f>IFERROR(IF($B184="","",$C184*INDEX(Receteler[Micir 5-12mm (kg)],MATCH($B184,Receteler[Beton Sinifi],0))),"")</f>
        <v/>
      </c>
      <c r="H184" s="6" t="str">
        <f>IFERROR(IF($B184="","",$C184*INDEX(Receteler[Micir 12-19mm (kg)],MATCH($B184,Receteler[Beton Sinifi],0))),"")</f>
        <v/>
      </c>
      <c r="I184" s="6" t="str">
        <f>IFERROR(IF($B184="","",$C184*INDEX(Receteler[Su (lt)],MATCH($B184,Receteler[Beton Sinifi],0))),"")</f>
        <v/>
      </c>
      <c r="J184" s="6" t="str">
        <f>IFERROR(IF($B184="","",$C184*INDEX(Receteler[Katki (kg)],MATCH($B184,Receteler[Beton Sinifi],0))),"")</f>
        <v/>
      </c>
      <c r="K184" s="20"/>
    </row>
    <row r="185" spans="1:11" x14ac:dyDescent="0.3">
      <c r="A185" s="27"/>
      <c r="B185" s="10"/>
      <c r="C185" s="28"/>
      <c r="D185" s="3" t="str">
        <f>IFERROR(IF($B185="","",$C185*INDEX(Receteler[Cimento (kg)],MATCH($B185,Receteler[Beton Sinifi],0))),"")</f>
        <v/>
      </c>
      <c r="E185" s="3" t="str">
        <f>IFERROR(IF($B185="","",$C185*INDEX(Receteler[Kum (kg)],MATCH($B185,Receteler[Beton Sinifi],0))),"")</f>
        <v/>
      </c>
      <c r="F185" s="3" t="str">
        <f>IFERROR(IF($B185="","",$C185*INDEX(Receteler[Micir 0-5mm (kg)],MATCH($B185,Receteler[Beton Sinifi],0))),"")</f>
        <v/>
      </c>
      <c r="G185" s="3" t="str">
        <f>IFERROR(IF($B185="","",$C185*INDEX(Receteler[Micir 5-12mm (kg)],MATCH($B185,Receteler[Beton Sinifi],0))),"")</f>
        <v/>
      </c>
      <c r="H185" s="3" t="str">
        <f>IFERROR(IF($B185="","",$C185*INDEX(Receteler[Micir 12-19mm (kg)],MATCH($B185,Receteler[Beton Sinifi],0))),"")</f>
        <v/>
      </c>
      <c r="I185" s="3" t="str">
        <f>IFERROR(IF($B185="","",$C185*INDEX(Receteler[Su (lt)],MATCH($B185,Receteler[Beton Sinifi],0))),"")</f>
        <v/>
      </c>
      <c r="J185" s="3" t="str">
        <f>IFERROR(IF($B185="","",$C185*INDEX(Receteler[Katki (kg)],MATCH($B185,Receteler[Beton Sinifi],0))),"")</f>
        <v/>
      </c>
      <c r="K185" s="15"/>
    </row>
    <row r="186" spans="1:11" x14ac:dyDescent="0.3">
      <c r="A186" s="29"/>
      <c r="B186" s="16"/>
      <c r="C186" s="30"/>
      <c r="D186" s="6" t="str">
        <f>IFERROR(IF($B186="","",$C186*INDEX(Receteler[Cimento (kg)],MATCH($B186,Receteler[Beton Sinifi],0))),"")</f>
        <v/>
      </c>
      <c r="E186" s="6" t="str">
        <f>IFERROR(IF($B186="","",$C186*INDEX(Receteler[Kum (kg)],MATCH($B186,Receteler[Beton Sinifi],0))),"")</f>
        <v/>
      </c>
      <c r="F186" s="6" t="str">
        <f>IFERROR(IF($B186="","",$C186*INDEX(Receteler[Micir 0-5mm (kg)],MATCH($B186,Receteler[Beton Sinifi],0))),"")</f>
        <v/>
      </c>
      <c r="G186" s="6" t="str">
        <f>IFERROR(IF($B186="","",$C186*INDEX(Receteler[Micir 5-12mm (kg)],MATCH($B186,Receteler[Beton Sinifi],0))),"")</f>
        <v/>
      </c>
      <c r="H186" s="6" t="str">
        <f>IFERROR(IF($B186="","",$C186*INDEX(Receteler[Micir 12-19mm (kg)],MATCH($B186,Receteler[Beton Sinifi],0))),"")</f>
        <v/>
      </c>
      <c r="I186" s="6" t="str">
        <f>IFERROR(IF($B186="","",$C186*INDEX(Receteler[Su (lt)],MATCH($B186,Receteler[Beton Sinifi],0))),"")</f>
        <v/>
      </c>
      <c r="J186" s="6" t="str">
        <f>IFERROR(IF($B186="","",$C186*INDEX(Receteler[Katki (kg)],MATCH($B186,Receteler[Beton Sinifi],0))),"")</f>
        <v/>
      </c>
      <c r="K186" s="20"/>
    </row>
    <row r="187" spans="1:11" x14ac:dyDescent="0.3">
      <c r="A187" s="27"/>
      <c r="B187" s="10"/>
      <c r="C187" s="28"/>
      <c r="D187" s="3" t="str">
        <f>IFERROR(IF($B187="","",$C187*INDEX(Receteler[Cimento (kg)],MATCH($B187,Receteler[Beton Sinifi],0))),"")</f>
        <v/>
      </c>
      <c r="E187" s="3" t="str">
        <f>IFERROR(IF($B187="","",$C187*INDEX(Receteler[Kum (kg)],MATCH($B187,Receteler[Beton Sinifi],0))),"")</f>
        <v/>
      </c>
      <c r="F187" s="3" t="str">
        <f>IFERROR(IF($B187="","",$C187*INDEX(Receteler[Micir 0-5mm (kg)],MATCH($B187,Receteler[Beton Sinifi],0))),"")</f>
        <v/>
      </c>
      <c r="G187" s="3" t="str">
        <f>IFERROR(IF($B187="","",$C187*INDEX(Receteler[Micir 5-12mm (kg)],MATCH($B187,Receteler[Beton Sinifi],0))),"")</f>
        <v/>
      </c>
      <c r="H187" s="3" t="str">
        <f>IFERROR(IF($B187="","",$C187*INDEX(Receteler[Micir 12-19mm (kg)],MATCH($B187,Receteler[Beton Sinifi],0))),"")</f>
        <v/>
      </c>
      <c r="I187" s="3" t="str">
        <f>IFERROR(IF($B187="","",$C187*INDEX(Receteler[Su (lt)],MATCH($B187,Receteler[Beton Sinifi],0))),"")</f>
        <v/>
      </c>
      <c r="J187" s="3" t="str">
        <f>IFERROR(IF($B187="","",$C187*INDEX(Receteler[Katki (kg)],MATCH($B187,Receteler[Beton Sinifi],0))),"")</f>
        <v/>
      </c>
      <c r="K187" s="15"/>
    </row>
    <row r="188" spans="1:11" x14ac:dyDescent="0.3">
      <c r="A188" s="29"/>
      <c r="B188" s="16"/>
      <c r="C188" s="30"/>
      <c r="D188" s="6" t="str">
        <f>IFERROR(IF($B188="","",$C188*INDEX(Receteler[Cimento (kg)],MATCH($B188,Receteler[Beton Sinifi],0))),"")</f>
        <v/>
      </c>
      <c r="E188" s="6" t="str">
        <f>IFERROR(IF($B188="","",$C188*INDEX(Receteler[Kum (kg)],MATCH($B188,Receteler[Beton Sinifi],0))),"")</f>
        <v/>
      </c>
      <c r="F188" s="6" t="str">
        <f>IFERROR(IF($B188="","",$C188*INDEX(Receteler[Micir 0-5mm (kg)],MATCH($B188,Receteler[Beton Sinifi],0))),"")</f>
        <v/>
      </c>
      <c r="G188" s="6" t="str">
        <f>IFERROR(IF($B188="","",$C188*INDEX(Receteler[Micir 5-12mm (kg)],MATCH($B188,Receteler[Beton Sinifi],0))),"")</f>
        <v/>
      </c>
      <c r="H188" s="6" t="str">
        <f>IFERROR(IF($B188="","",$C188*INDEX(Receteler[Micir 12-19mm (kg)],MATCH($B188,Receteler[Beton Sinifi],0))),"")</f>
        <v/>
      </c>
      <c r="I188" s="6" t="str">
        <f>IFERROR(IF($B188="","",$C188*INDEX(Receteler[Su (lt)],MATCH($B188,Receteler[Beton Sinifi],0))),"")</f>
        <v/>
      </c>
      <c r="J188" s="6" t="str">
        <f>IFERROR(IF($B188="","",$C188*INDEX(Receteler[Katki (kg)],MATCH($B188,Receteler[Beton Sinifi],0))),"")</f>
        <v/>
      </c>
      <c r="K188" s="20"/>
    </row>
    <row r="189" spans="1:11" x14ac:dyDescent="0.3">
      <c r="A189" s="27"/>
      <c r="B189" s="10"/>
      <c r="C189" s="28"/>
      <c r="D189" s="3" t="str">
        <f>IFERROR(IF($B189="","",$C189*INDEX(Receteler[Cimento (kg)],MATCH($B189,Receteler[Beton Sinifi],0))),"")</f>
        <v/>
      </c>
      <c r="E189" s="3" t="str">
        <f>IFERROR(IF($B189="","",$C189*INDEX(Receteler[Kum (kg)],MATCH($B189,Receteler[Beton Sinifi],0))),"")</f>
        <v/>
      </c>
      <c r="F189" s="3" t="str">
        <f>IFERROR(IF($B189="","",$C189*INDEX(Receteler[Micir 0-5mm (kg)],MATCH($B189,Receteler[Beton Sinifi],0))),"")</f>
        <v/>
      </c>
      <c r="G189" s="3" t="str">
        <f>IFERROR(IF($B189="","",$C189*INDEX(Receteler[Micir 5-12mm (kg)],MATCH($B189,Receteler[Beton Sinifi],0))),"")</f>
        <v/>
      </c>
      <c r="H189" s="3" t="str">
        <f>IFERROR(IF($B189="","",$C189*INDEX(Receteler[Micir 12-19mm (kg)],MATCH($B189,Receteler[Beton Sinifi],0))),"")</f>
        <v/>
      </c>
      <c r="I189" s="3" t="str">
        <f>IFERROR(IF($B189="","",$C189*INDEX(Receteler[Su (lt)],MATCH($B189,Receteler[Beton Sinifi],0))),"")</f>
        <v/>
      </c>
      <c r="J189" s="3" t="str">
        <f>IFERROR(IF($B189="","",$C189*INDEX(Receteler[Katki (kg)],MATCH($B189,Receteler[Beton Sinifi],0))),"")</f>
        <v/>
      </c>
      <c r="K189" s="15"/>
    </row>
    <row r="190" spans="1:11" x14ac:dyDescent="0.3">
      <c r="A190" s="29"/>
      <c r="B190" s="16"/>
      <c r="C190" s="30"/>
      <c r="D190" s="6" t="str">
        <f>IFERROR(IF($B190="","",$C190*INDEX(Receteler[Cimento (kg)],MATCH($B190,Receteler[Beton Sinifi],0))),"")</f>
        <v/>
      </c>
      <c r="E190" s="6" t="str">
        <f>IFERROR(IF($B190="","",$C190*INDEX(Receteler[Kum (kg)],MATCH($B190,Receteler[Beton Sinifi],0))),"")</f>
        <v/>
      </c>
      <c r="F190" s="6" t="str">
        <f>IFERROR(IF($B190="","",$C190*INDEX(Receteler[Micir 0-5mm (kg)],MATCH($B190,Receteler[Beton Sinifi],0))),"")</f>
        <v/>
      </c>
      <c r="G190" s="6" t="str">
        <f>IFERROR(IF($B190="","",$C190*INDEX(Receteler[Micir 5-12mm (kg)],MATCH($B190,Receteler[Beton Sinifi],0))),"")</f>
        <v/>
      </c>
      <c r="H190" s="6" t="str">
        <f>IFERROR(IF($B190="","",$C190*INDEX(Receteler[Micir 12-19mm (kg)],MATCH($B190,Receteler[Beton Sinifi],0))),"")</f>
        <v/>
      </c>
      <c r="I190" s="6" t="str">
        <f>IFERROR(IF($B190="","",$C190*INDEX(Receteler[Su (lt)],MATCH($B190,Receteler[Beton Sinifi],0))),"")</f>
        <v/>
      </c>
      <c r="J190" s="6" t="str">
        <f>IFERROR(IF($B190="","",$C190*INDEX(Receteler[Katki (kg)],MATCH($B190,Receteler[Beton Sinifi],0))),"")</f>
        <v/>
      </c>
      <c r="K190" s="20"/>
    </row>
    <row r="191" spans="1:11" x14ac:dyDescent="0.3">
      <c r="A191" s="27"/>
      <c r="B191" s="10"/>
      <c r="C191" s="28"/>
      <c r="D191" s="3" t="str">
        <f>IFERROR(IF($B191="","",$C191*INDEX(Receteler[Cimento (kg)],MATCH($B191,Receteler[Beton Sinifi],0))),"")</f>
        <v/>
      </c>
      <c r="E191" s="3" t="str">
        <f>IFERROR(IF($B191="","",$C191*INDEX(Receteler[Kum (kg)],MATCH($B191,Receteler[Beton Sinifi],0))),"")</f>
        <v/>
      </c>
      <c r="F191" s="3" t="str">
        <f>IFERROR(IF($B191="","",$C191*INDEX(Receteler[Micir 0-5mm (kg)],MATCH($B191,Receteler[Beton Sinifi],0))),"")</f>
        <v/>
      </c>
      <c r="G191" s="3" t="str">
        <f>IFERROR(IF($B191="","",$C191*INDEX(Receteler[Micir 5-12mm (kg)],MATCH($B191,Receteler[Beton Sinifi],0))),"")</f>
        <v/>
      </c>
      <c r="H191" s="3" t="str">
        <f>IFERROR(IF($B191="","",$C191*INDEX(Receteler[Micir 12-19mm (kg)],MATCH($B191,Receteler[Beton Sinifi],0))),"")</f>
        <v/>
      </c>
      <c r="I191" s="3" t="str">
        <f>IFERROR(IF($B191="","",$C191*INDEX(Receteler[Su (lt)],MATCH($B191,Receteler[Beton Sinifi],0))),"")</f>
        <v/>
      </c>
      <c r="J191" s="3" t="str">
        <f>IFERROR(IF($B191="","",$C191*INDEX(Receteler[Katki (kg)],MATCH($B191,Receteler[Beton Sinifi],0))),"")</f>
        <v/>
      </c>
      <c r="K191" s="15"/>
    </row>
    <row r="192" spans="1:11" x14ac:dyDescent="0.3">
      <c r="A192" s="29"/>
      <c r="B192" s="16"/>
      <c r="C192" s="30"/>
      <c r="D192" s="6" t="str">
        <f>IFERROR(IF($B192="","",$C192*INDEX(Receteler[Cimento (kg)],MATCH($B192,Receteler[Beton Sinifi],0))),"")</f>
        <v/>
      </c>
      <c r="E192" s="6" t="str">
        <f>IFERROR(IF($B192="","",$C192*INDEX(Receteler[Kum (kg)],MATCH($B192,Receteler[Beton Sinifi],0))),"")</f>
        <v/>
      </c>
      <c r="F192" s="6" t="str">
        <f>IFERROR(IF($B192="","",$C192*INDEX(Receteler[Micir 0-5mm (kg)],MATCH($B192,Receteler[Beton Sinifi],0))),"")</f>
        <v/>
      </c>
      <c r="G192" s="6" t="str">
        <f>IFERROR(IF($B192="","",$C192*INDEX(Receteler[Micir 5-12mm (kg)],MATCH($B192,Receteler[Beton Sinifi],0))),"")</f>
        <v/>
      </c>
      <c r="H192" s="6" t="str">
        <f>IFERROR(IF($B192="","",$C192*INDEX(Receteler[Micir 12-19mm (kg)],MATCH($B192,Receteler[Beton Sinifi],0))),"")</f>
        <v/>
      </c>
      <c r="I192" s="6" t="str">
        <f>IFERROR(IF($B192="","",$C192*INDEX(Receteler[Su (lt)],MATCH($B192,Receteler[Beton Sinifi],0))),"")</f>
        <v/>
      </c>
      <c r="J192" s="6" t="str">
        <f>IFERROR(IF($B192="","",$C192*INDEX(Receteler[Katki (kg)],MATCH($B192,Receteler[Beton Sinifi],0))),"")</f>
        <v/>
      </c>
      <c r="K192" s="20"/>
    </row>
    <row r="193" spans="1:11" x14ac:dyDescent="0.3">
      <c r="A193" s="27"/>
      <c r="B193" s="10"/>
      <c r="C193" s="28"/>
      <c r="D193" s="3" t="str">
        <f>IFERROR(IF($B193="","",$C193*INDEX(Receteler[Cimento (kg)],MATCH($B193,Receteler[Beton Sinifi],0))),"")</f>
        <v/>
      </c>
      <c r="E193" s="3" t="str">
        <f>IFERROR(IF($B193="","",$C193*INDEX(Receteler[Kum (kg)],MATCH($B193,Receteler[Beton Sinifi],0))),"")</f>
        <v/>
      </c>
      <c r="F193" s="3" t="str">
        <f>IFERROR(IF($B193="","",$C193*INDEX(Receteler[Micir 0-5mm (kg)],MATCH($B193,Receteler[Beton Sinifi],0))),"")</f>
        <v/>
      </c>
      <c r="G193" s="3" t="str">
        <f>IFERROR(IF($B193="","",$C193*INDEX(Receteler[Micir 5-12mm (kg)],MATCH($B193,Receteler[Beton Sinifi],0))),"")</f>
        <v/>
      </c>
      <c r="H193" s="3" t="str">
        <f>IFERROR(IF($B193="","",$C193*INDEX(Receteler[Micir 12-19mm (kg)],MATCH($B193,Receteler[Beton Sinifi],0))),"")</f>
        <v/>
      </c>
      <c r="I193" s="3" t="str">
        <f>IFERROR(IF($B193="","",$C193*INDEX(Receteler[Su (lt)],MATCH($B193,Receteler[Beton Sinifi],0))),"")</f>
        <v/>
      </c>
      <c r="J193" s="3" t="str">
        <f>IFERROR(IF($B193="","",$C193*INDEX(Receteler[Katki (kg)],MATCH($B193,Receteler[Beton Sinifi],0))),"")</f>
        <v/>
      </c>
      <c r="K193" s="15"/>
    </row>
    <row r="194" spans="1:11" x14ac:dyDescent="0.3">
      <c r="A194" s="29"/>
      <c r="B194" s="16"/>
      <c r="C194" s="30"/>
      <c r="D194" s="6" t="str">
        <f>IFERROR(IF($B194="","",$C194*INDEX(Receteler[Cimento (kg)],MATCH($B194,Receteler[Beton Sinifi],0))),"")</f>
        <v/>
      </c>
      <c r="E194" s="6" t="str">
        <f>IFERROR(IF($B194="","",$C194*INDEX(Receteler[Kum (kg)],MATCH($B194,Receteler[Beton Sinifi],0))),"")</f>
        <v/>
      </c>
      <c r="F194" s="6" t="str">
        <f>IFERROR(IF($B194="","",$C194*INDEX(Receteler[Micir 0-5mm (kg)],MATCH($B194,Receteler[Beton Sinifi],0))),"")</f>
        <v/>
      </c>
      <c r="G194" s="6" t="str">
        <f>IFERROR(IF($B194="","",$C194*INDEX(Receteler[Micir 5-12mm (kg)],MATCH($B194,Receteler[Beton Sinifi],0))),"")</f>
        <v/>
      </c>
      <c r="H194" s="6" t="str">
        <f>IFERROR(IF($B194="","",$C194*INDEX(Receteler[Micir 12-19mm (kg)],MATCH($B194,Receteler[Beton Sinifi],0))),"")</f>
        <v/>
      </c>
      <c r="I194" s="6" t="str">
        <f>IFERROR(IF($B194="","",$C194*INDEX(Receteler[Su (lt)],MATCH($B194,Receteler[Beton Sinifi],0))),"")</f>
        <v/>
      </c>
      <c r="J194" s="6" t="str">
        <f>IFERROR(IF($B194="","",$C194*INDEX(Receteler[Katki (kg)],MATCH($B194,Receteler[Beton Sinifi],0))),"")</f>
        <v/>
      </c>
      <c r="K194" s="20"/>
    </row>
    <row r="195" spans="1:11" x14ac:dyDescent="0.3">
      <c r="A195" s="27"/>
      <c r="B195" s="10"/>
      <c r="C195" s="28"/>
      <c r="D195" s="3" t="str">
        <f>IFERROR(IF($B195="","",$C195*INDEX(Receteler[Cimento (kg)],MATCH($B195,Receteler[Beton Sinifi],0))),"")</f>
        <v/>
      </c>
      <c r="E195" s="3" t="str">
        <f>IFERROR(IF($B195="","",$C195*INDEX(Receteler[Kum (kg)],MATCH($B195,Receteler[Beton Sinifi],0))),"")</f>
        <v/>
      </c>
      <c r="F195" s="3" t="str">
        <f>IFERROR(IF($B195="","",$C195*INDEX(Receteler[Micir 0-5mm (kg)],MATCH($B195,Receteler[Beton Sinifi],0))),"")</f>
        <v/>
      </c>
      <c r="G195" s="3" t="str">
        <f>IFERROR(IF($B195="","",$C195*INDEX(Receteler[Micir 5-12mm (kg)],MATCH($B195,Receteler[Beton Sinifi],0))),"")</f>
        <v/>
      </c>
      <c r="H195" s="3" t="str">
        <f>IFERROR(IF($B195="","",$C195*INDEX(Receteler[Micir 12-19mm (kg)],MATCH($B195,Receteler[Beton Sinifi],0))),"")</f>
        <v/>
      </c>
      <c r="I195" s="3" t="str">
        <f>IFERROR(IF($B195="","",$C195*INDEX(Receteler[Su (lt)],MATCH($B195,Receteler[Beton Sinifi],0))),"")</f>
        <v/>
      </c>
      <c r="J195" s="3" t="str">
        <f>IFERROR(IF($B195="","",$C195*INDEX(Receteler[Katki (kg)],MATCH($B195,Receteler[Beton Sinifi],0))),"")</f>
        <v/>
      </c>
      <c r="K195" s="15"/>
    </row>
    <row r="196" spans="1:11" x14ac:dyDescent="0.3">
      <c r="A196" s="29"/>
      <c r="B196" s="16"/>
      <c r="C196" s="30"/>
      <c r="D196" s="6" t="str">
        <f>IFERROR(IF($B196="","",$C196*INDEX(Receteler[Cimento (kg)],MATCH($B196,Receteler[Beton Sinifi],0))),"")</f>
        <v/>
      </c>
      <c r="E196" s="6" t="str">
        <f>IFERROR(IF($B196="","",$C196*INDEX(Receteler[Kum (kg)],MATCH($B196,Receteler[Beton Sinifi],0))),"")</f>
        <v/>
      </c>
      <c r="F196" s="6" t="str">
        <f>IFERROR(IF($B196="","",$C196*INDEX(Receteler[Micir 0-5mm (kg)],MATCH($B196,Receteler[Beton Sinifi],0))),"")</f>
        <v/>
      </c>
      <c r="G196" s="6" t="str">
        <f>IFERROR(IF($B196="","",$C196*INDEX(Receteler[Micir 5-12mm (kg)],MATCH($B196,Receteler[Beton Sinifi],0))),"")</f>
        <v/>
      </c>
      <c r="H196" s="6" t="str">
        <f>IFERROR(IF($B196="","",$C196*INDEX(Receteler[Micir 12-19mm (kg)],MATCH($B196,Receteler[Beton Sinifi],0))),"")</f>
        <v/>
      </c>
      <c r="I196" s="6" t="str">
        <f>IFERROR(IF($B196="","",$C196*INDEX(Receteler[Su (lt)],MATCH($B196,Receteler[Beton Sinifi],0))),"")</f>
        <v/>
      </c>
      <c r="J196" s="6" t="str">
        <f>IFERROR(IF($B196="","",$C196*INDEX(Receteler[Katki (kg)],MATCH($B196,Receteler[Beton Sinifi],0))),"")</f>
        <v/>
      </c>
      <c r="K196" s="20"/>
    </row>
    <row r="197" spans="1:11" x14ac:dyDescent="0.3">
      <c r="A197" s="27"/>
      <c r="B197" s="10"/>
      <c r="C197" s="28"/>
      <c r="D197" s="3" t="str">
        <f>IFERROR(IF($B197="","",$C197*INDEX(Receteler[Cimento (kg)],MATCH($B197,Receteler[Beton Sinifi],0))),"")</f>
        <v/>
      </c>
      <c r="E197" s="3" t="str">
        <f>IFERROR(IF($B197="","",$C197*INDEX(Receteler[Kum (kg)],MATCH($B197,Receteler[Beton Sinifi],0))),"")</f>
        <v/>
      </c>
      <c r="F197" s="3" t="str">
        <f>IFERROR(IF($B197="","",$C197*INDEX(Receteler[Micir 0-5mm (kg)],MATCH($B197,Receteler[Beton Sinifi],0))),"")</f>
        <v/>
      </c>
      <c r="G197" s="3" t="str">
        <f>IFERROR(IF($B197="","",$C197*INDEX(Receteler[Micir 5-12mm (kg)],MATCH($B197,Receteler[Beton Sinifi],0))),"")</f>
        <v/>
      </c>
      <c r="H197" s="3" t="str">
        <f>IFERROR(IF($B197="","",$C197*INDEX(Receteler[Micir 12-19mm (kg)],MATCH($B197,Receteler[Beton Sinifi],0))),"")</f>
        <v/>
      </c>
      <c r="I197" s="3" t="str">
        <f>IFERROR(IF($B197="","",$C197*INDEX(Receteler[Su (lt)],MATCH($B197,Receteler[Beton Sinifi],0))),"")</f>
        <v/>
      </c>
      <c r="J197" s="3" t="str">
        <f>IFERROR(IF($B197="","",$C197*INDEX(Receteler[Katki (kg)],MATCH($B197,Receteler[Beton Sinifi],0))),"")</f>
        <v/>
      </c>
      <c r="K197" s="15"/>
    </row>
    <row r="198" spans="1:11" x14ac:dyDescent="0.3">
      <c r="A198" s="29"/>
      <c r="B198" s="16"/>
      <c r="C198" s="30"/>
      <c r="D198" s="6" t="str">
        <f>IFERROR(IF($B198="","",$C198*INDEX(Receteler[Cimento (kg)],MATCH($B198,Receteler[Beton Sinifi],0))),"")</f>
        <v/>
      </c>
      <c r="E198" s="6" t="str">
        <f>IFERROR(IF($B198="","",$C198*INDEX(Receteler[Kum (kg)],MATCH($B198,Receteler[Beton Sinifi],0))),"")</f>
        <v/>
      </c>
      <c r="F198" s="6" t="str">
        <f>IFERROR(IF($B198="","",$C198*INDEX(Receteler[Micir 0-5mm (kg)],MATCH($B198,Receteler[Beton Sinifi],0))),"")</f>
        <v/>
      </c>
      <c r="G198" s="6" t="str">
        <f>IFERROR(IF($B198="","",$C198*INDEX(Receteler[Micir 5-12mm (kg)],MATCH($B198,Receteler[Beton Sinifi],0))),"")</f>
        <v/>
      </c>
      <c r="H198" s="6" t="str">
        <f>IFERROR(IF($B198="","",$C198*INDEX(Receteler[Micir 12-19mm (kg)],MATCH($B198,Receteler[Beton Sinifi],0))),"")</f>
        <v/>
      </c>
      <c r="I198" s="6" t="str">
        <f>IFERROR(IF($B198="","",$C198*INDEX(Receteler[Su (lt)],MATCH($B198,Receteler[Beton Sinifi],0))),"")</f>
        <v/>
      </c>
      <c r="J198" s="6" t="str">
        <f>IFERROR(IF($B198="","",$C198*INDEX(Receteler[Katki (kg)],MATCH($B198,Receteler[Beton Sinifi],0))),"")</f>
        <v/>
      </c>
      <c r="K198" s="20"/>
    </row>
    <row r="199" spans="1:11" x14ac:dyDescent="0.3">
      <c r="A199" s="27"/>
      <c r="B199" s="10"/>
      <c r="C199" s="28"/>
      <c r="D199" s="3" t="str">
        <f>IFERROR(IF($B199="","",$C199*INDEX(Receteler[Cimento (kg)],MATCH($B199,Receteler[Beton Sinifi],0))),"")</f>
        <v/>
      </c>
      <c r="E199" s="3" t="str">
        <f>IFERROR(IF($B199="","",$C199*INDEX(Receteler[Kum (kg)],MATCH($B199,Receteler[Beton Sinifi],0))),"")</f>
        <v/>
      </c>
      <c r="F199" s="3" t="str">
        <f>IFERROR(IF($B199="","",$C199*INDEX(Receteler[Micir 0-5mm (kg)],MATCH($B199,Receteler[Beton Sinifi],0))),"")</f>
        <v/>
      </c>
      <c r="G199" s="3" t="str">
        <f>IFERROR(IF($B199="","",$C199*INDEX(Receteler[Micir 5-12mm (kg)],MATCH($B199,Receteler[Beton Sinifi],0))),"")</f>
        <v/>
      </c>
      <c r="H199" s="3" t="str">
        <f>IFERROR(IF($B199="","",$C199*INDEX(Receteler[Micir 12-19mm (kg)],MATCH($B199,Receteler[Beton Sinifi],0))),"")</f>
        <v/>
      </c>
      <c r="I199" s="3" t="str">
        <f>IFERROR(IF($B199="","",$C199*INDEX(Receteler[Su (lt)],MATCH($B199,Receteler[Beton Sinifi],0))),"")</f>
        <v/>
      </c>
      <c r="J199" s="3" t="str">
        <f>IFERROR(IF($B199="","",$C199*INDEX(Receteler[Katki (kg)],MATCH($B199,Receteler[Beton Sinifi],0))),"")</f>
        <v/>
      </c>
      <c r="K199" s="15"/>
    </row>
    <row r="200" spans="1:11" x14ac:dyDescent="0.3">
      <c r="A200" s="29"/>
      <c r="B200" s="16"/>
      <c r="C200" s="30"/>
      <c r="D200" s="6" t="str">
        <f>IFERROR(IF($B200="","",$C200*INDEX(Receteler[Cimento (kg)],MATCH($B200,Receteler[Beton Sinifi],0))),"")</f>
        <v/>
      </c>
      <c r="E200" s="6" t="str">
        <f>IFERROR(IF($B200="","",$C200*INDEX(Receteler[Kum (kg)],MATCH($B200,Receteler[Beton Sinifi],0))),"")</f>
        <v/>
      </c>
      <c r="F200" s="6" t="str">
        <f>IFERROR(IF($B200="","",$C200*INDEX(Receteler[Micir 0-5mm (kg)],MATCH($B200,Receteler[Beton Sinifi],0))),"")</f>
        <v/>
      </c>
      <c r="G200" s="6" t="str">
        <f>IFERROR(IF($B200="","",$C200*INDEX(Receteler[Micir 5-12mm (kg)],MATCH($B200,Receteler[Beton Sinifi],0))),"")</f>
        <v/>
      </c>
      <c r="H200" s="6" t="str">
        <f>IFERROR(IF($B200="","",$C200*INDEX(Receteler[Micir 12-19mm (kg)],MATCH($B200,Receteler[Beton Sinifi],0))),"")</f>
        <v/>
      </c>
      <c r="I200" s="6" t="str">
        <f>IFERROR(IF($B200="","",$C200*INDEX(Receteler[Su (lt)],MATCH($B200,Receteler[Beton Sinifi],0))),"")</f>
        <v/>
      </c>
      <c r="J200" s="6" t="str">
        <f>IFERROR(IF($B200="","",$C200*INDEX(Receteler[Katki (kg)],MATCH($B200,Receteler[Beton Sinifi],0))),"")</f>
        <v/>
      </c>
      <c r="K200" s="20"/>
    </row>
    <row r="201" spans="1:11" x14ac:dyDescent="0.3">
      <c r="A201" s="27"/>
      <c r="B201" s="10"/>
      <c r="C201" s="28"/>
      <c r="D201" s="3" t="str">
        <f>IFERROR(IF($B201="","",$C201*INDEX(Receteler[Cimento (kg)],MATCH($B201,Receteler[Beton Sinifi],0))),"")</f>
        <v/>
      </c>
      <c r="E201" s="3" t="str">
        <f>IFERROR(IF($B201="","",$C201*INDEX(Receteler[Kum (kg)],MATCH($B201,Receteler[Beton Sinifi],0))),"")</f>
        <v/>
      </c>
      <c r="F201" s="3" t="str">
        <f>IFERROR(IF($B201="","",$C201*INDEX(Receteler[Micir 0-5mm (kg)],MATCH($B201,Receteler[Beton Sinifi],0))),"")</f>
        <v/>
      </c>
      <c r="G201" s="3" t="str">
        <f>IFERROR(IF($B201="","",$C201*INDEX(Receteler[Micir 5-12mm (kg)],MATCH($B201,Receteler[Beton Sinifi],0))),"")</f>
        <v/>
      </c>
      <c r="H201" s="3" t="str">
        <f>IFERROR(IF($B201="","",$C201*INDEX(Receteler[Micir 12-19mm (kg)],MATCH($B201,Receteler[Beton Sinifi],0))),"")</f>
        <v/>
      </c>
      <c r="I201" s="3" t="str">
        <f>IFERROR(IF($B201="","",$C201*INDEX(Receteler[Su (lt)],MATCH($B201,Receteler[Beton Sinifi],0))),"")</f>
        <v/>
      </c>
      <c r="J201" s="3" t="str">
        <f>IFERROR(IF($B201="","",$C201*INDEX(Receteler[Katki (kg)],MATCH($B201,Receteler[Beton Sinifi],0))),"")</f>
        <v/>
      </c>
      <c r="K201" s="15"/>
    </row>
    <row r="202" spans="1:11" x14ac:dyDescent="0.3">
      <c r="A202" s="29"/>
      <c r="B202" s="16"/>
      <c r="C202" s="30"/>
      <c r="D202" s="6" t="str">
        <f>IFERROR(IF($B202="","",$C202*INDEX(Receteler[Cimento (kg)],MATCH($B202,Receteler[Beton Sinifi],0))),"")</f>
        <v/>
      </c>
      <c r="E202" s="6" t="str">
        <f>IFERROR(IF($B202="","",$C202*INDEX(Receteler[Kum (kg)],MATCH($B202,Receteler[Beton Sinifi],0))),"")</f>
        <v/>
      </c>
      <c r="F202" s="6" t="str">
        <f>IFERROR(IF($B202="","",$C202*INDEX(Receteler[Micir 0-5mm (kg)],MATCH($B202,Receteler[Beton Sinifi],0))),"")</f>
        <v/>
      </c>
      <c r="G202" s="6" t="str">
        <f>IFERROR(IF($B202="","",$C202*INDEX(Receteler[Micir 5-12mm (kg)],MATCH($B202,Receteler[Beton Sinifi],0))),"")</f>
        <v/>
      </c>
      <c r="H202" s="6" t="str">
        <f>IFERROR(IF($B202="","",$C202*INDEX(Receteler[Micir 12-19mm (kg)],MATCH($B202,Receteler[Beton Sinifi],0))),"")</f>
        <v/>
      </c>
      <c r="I202" s="6" t="str">
        <f>IFERROR(IF($B202="","",$C202*INDEX(Receteler[Su (lt)],MATCH($B202,Receteler[Beton Sinifi],0))),"")</f>
        <v/>
      </c>
      <c r="J202" s="6" t="str">
        <f>IFERROR(IF($B202="","",$C202*INDEX(Receteler[Katki (kg)],MATCH($B202,Receteler[Beton Sinifi],0))),"")</f>
        <v/>
      </c>
      <c r="K202" s="20"/>
    </row>
    <row r="203" spans="1:11" x14ac:dyDescent="0.3">
      <c r="A203" s="27"/>
      <c r="B203" s="10"/>
      <c r="C203" s="28"/>
      <c r="D203" s="3" t="str">
        <f>IFERROR(IF($B203="","",$C203*INDEX(Receteler[Cimento (kg)],MATCH($B203,Receteler[Beton Sinifi],0))),"")</f>
        <v/>
      </c>
      <c r="E203" s="3" t="str">
        <f>IFERROR(IF($B203="","",$C203*INDEX(Receteler[Kum (kg)],MATCH($B203,Receteler[Beton Sinifi],0))),"")</f>
        <v/>
      </c>
      <c r="F203" s="3" t="str">
        <f>IFERROR(IF($B203="","",$C203*INDEX(Receteler[Micir 0-5mm (kg)],MATCH($B203,Receteler[Beton Sinifi],0))),"")</f>
        <v/>
      </c>
      <c r="G203" s="3" t="str">
        <f>IFERROR(IF($B203="","",$C203*INDEX(Receteler[Micir 5-12mm (kg)],MATCH($B203,Receteler[Beton Sinifi],0))),"")</f>
        <v/>
      </c>
      <c r="H203" s="3" t="str">
        <f>IFERROR(IF($B203="","",$C203*INDEX(Receteler[Micir 12-19mm (kg)],MATCH($B203,Receteler[Beton Sinifi],0))),"")</f>
        <v/>
      </c>
      <c r="I203" s="3" t="str">
        <f>IFERROR(IF($B203="","",$C203*INDEX(Receteler[Su (lt)],MATCH($B203,Receteler[Beton Sinifi],0))),"")</f>
        <v/>
      </c>
      <c r="J203" s="3" t="str">
        <f>IFERROR(IF($B203="","",$C203*INDEX(Receteler[Katki (kg)],MATCH($B203,Receteler[Beton Sinifi],0))),"")</f>
        <v/>
      </c>
      <c r="K203" s="15"/>
    </row>
    <row r="204" spans="1:11" x14ac:dyDescent="0.3">
      <c r="A204" s="29"/>
      <c r="B204" s="16"/>
      <c r="C204" s="30"/>
      <c r="D204" s="6" t="str">
        <f>IFERROR(IF($B204="","",$C204*INDEX(Receteler[Cimento (kg)],MATCH($B204,Receteler[Beton Sinifi],0))),"")</f>
        <v/>
      </c>
      <c r="E204" s="6" t="str">
        <f>IFERROR(IF($B204="","",$C204*INDEX(Receteler[Kum (kg)],MATCH($B204,Receteler[Beton Sinifi],0))),"")</f>
        <v/>
      </c>
      <c r="F204" s="6" t="str">
        <f>IFERROR(IF($B204="","",$C204*INDEX(Receteler[Micir 0-5mm (kg)],MATCH($B204,Receteler[Beton Sinifi],0))),"")</f>
        <v/>
      </c>
      <c r="G204" s="6" t="str">
        <f>IFERROR(IF($B204="","",$C204*INDEX(Receteler[Micir 5-12mm (kg)],MATCH($B204,Receteler[Beton Sinifi],0))),"")</f>
        <v/>
      </c>
      <c r="H204" s="6" t="str">
        <f>IFERROR(IF($B204="","",$C204*INDEX(Receteler[Micir 12-19mm (kg)],MATCH($B204,Receteler[Beton Sinifi],0))),"")</f>
        <v/>
      </c>
      <c r="I204" s="6" t="str">
        <f>IFERROR(IF($B204="","",$C204*INDEX(Receteler[Su (lt)],MATCH($B204,Receteler[Beton Sinifi],0))),"")</f>
        <v/>
      </c>
      <c r="J204" s="6" t="str">
        <f>IFERROR(IF($B204="","",$C204*INDEX(Receteler[Katki (kg)],MATCH($B204,Receteler[Beton Sinifi],0))),"")</f>
        <v/>
      </c>
      <c r="K204" s="20"/>
    </row>
  </sheetData>
  <mergeCells count="2">
    <mergeCell ref="A1:K1"/>
    <mergeCell ref="A2:K2"/>
  </mergeCells>
  <dataValidations count="1">
    <dataValidation type="list" allowBlank="1" showErrorMessage="1" errorTitle="Gecersiz Beton Sinifi" error="Lutfen listeden bir beton sinifi seciniz (Receteler sayfasindaki yazimla birebir ayni olmalidir)." sqref="B5:B204">
      <formula1>BetonSiniflari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</sheetPr>
  <dimension ref="A1:H165"/>
  <sheetViews>
    <sheetView showGridLines="0" tabSelected="1" zoomScaleNormal="100" workbookViewId="0">
      <pane ySplit="4" topLeftCell="A5" activePane="bottomLeft" state="frozen"/>
      <selection pane="bottomLeft" activeCell="H5" sqref="H5"/>
    </sheetView>
  </sheetViews>
  <sheetFormatPr defaultColWidth="8.6640625" defaultRowHeight="14.4" x14ac:dyDescent="0.3"/>
  <cols>
    <col min="1" max="1" width="20" customWidth="1"/>
    <col min="2" max="2" width="13.109375" customWidth="1"/>
    <col min="3" max="6" width="14" customWidth="1"/>
    <col min="7" max="7" width="16" customWidth="1"/>
    <col min="8" max="8" width="12" customWidth="1"/>
  </cols>
  <sheetData>
    <row r="1" spans="1:8" ht="30" customHeight="1" x14ac:dyDescent="0.3">
      <c r="A1" s="39" t="s">
        <v>47</v>
      </c>
      <c r="B1" s="39"/>
      <c r="C1" s="39"/>
      <c r="D1" s="39"/>
      <c r="E1" s="39"/>
      <c r="F1" s="39"/>
      <c r="G1" s="39"/>
      <c r="H1" s="39"/>
    </row>
    <row r="2" spans="1:8" ht="18" customHeight="1" x14ac:dyDescent="0.3">
      <c r="A2" s="40" t="s">
        <v>48</v>
      </c>
      <c r="B2" s="40"/>
      <c r="C2" s="40"/>
      <c r="D2" s="40"/>
      <c r="E2" s="40"/>
      <c r="F2" s="40"/>
      <c r="G2" s="40"/>
      <c r="H2" s="40"/>
    </row>
    <row r="4" spans="1:8" ht="31.5" customHeight="1" x14ac:dyDescent="0.3">
      <c r="A4" s="8" t="s">
        <v>7</v>
      </c>
      <c r="B4" s="8" t="s">
        <v>8</v>
      </c>
      <c r="C4" s="8" t="s">
        <v>49</v>
      </c>
      <c r="D4" s="8" t="s">
        <v>50</v>
      </c>
      <c r="E4" s="8" t="s">
        <v>51</v>
      </c>
      <c r="F4" s="8" t="s">
        <v>9</v>
      </c>
      <c r="G4" s="8" t="s">
        <v>52</v>
      </c>
      <c r="H4" s="8" t="s">
        <v>11</v>
      </c>
    </row>
    <row r="5" spans="1:8" x14ac:dyDescent="0.3">
      <c r="A5" s="31" t="s">
        <v>53</v>
      </c>
      <c r="B5" s="4" t="s">
        <v>54</v>
      </c>
      <c r="C5" s="32">
        <v>0</v>
      </c>
      <c r="D5" s="3">
        <f>SUMIF(StokGiris[Malzeme],A5,StokGiris[Miktar])</f>
        <v>0</v>
      </c>
      <c r="E5" s="3">
        <f>SUM(UretimKayitlari[Cimento (kg)])</f>
        <v>0</v>
      </c>
      <c r="F5" s="13">
        <f t="shared" ref="F5:F11" si="0">C5+D5-E5</f>
        <v>0</v>
      </c>
      <c r="G5" s="32">
        <v>0</v>
      </c>
      <c r="H5" s="4" t="str">
        <f t="shared" ref="H5:H11" si="1">IF(F5&lt;=G5,"KRITIK",IF(F5&lt;=G5*1.5,"AZ","YETERLI"))</f>
        <v>KRITIK</v>
      </c>
    </row>
    <row r="6" spans="1:8" x14ac:dyDescent="0.3">
      <c r="A6" s="31" t="s">
        <v>55</v>
      </c>
      <c r="B6" s="4" t="s">
        <v>54</v>
      </c>
      <c r="C6" s="32">
        <v>0</v>
      </c>
      <c r="D6" s="3">
        <f>SUMIF(StokGiris[Malzeme],A6,StokGiris[Miktar])</f>
        <v>0</v>
      </c>
      <c r="E6" s="3">
        <f>SUM(UretimKayitlari[Kum (kg)])</f>
        <v>0</v>
      </c>
      <c r="F6" s="13">
        <f t="shared" si="0"/>
        <v>0</v>
      </c>
      <c r="G6" s="32">
        <v>0</v>
      </c>
      <c r="H6" s="4" t="str">
        <f t="shared" si="1"/>
        <v>KRITIK</v>
      </c>
    </row>
    <row r="7" spans="1:8" x14ac:dyDescent="0.3">
      <c r="A7" s="31" t="s">
        <v>56</v>
      </c>
      <c r="B7" s="4" t="s">
        <v>54</v>
      </c>
      <c r="C7" s="32">
        <v>0</v>
      </c>
      <c r="D7" s="3">
        <f>SUMIF(StokGiris[Malzeme],A7,StokGiris[Miktar])</f>
        <v>0</v>
      </c>
      <c r="E7" s="3">
        <f>SUM(UretimKayitlari[Micir 0-5mm (kg)])</f>
        <v>0</v>
      </c>
      <c r="F7" s="13">
        <f t="shared" si="0"/>
        <v>0</v>
      </c>
      <c r="G7" s="32">
        <v>0</v>
      </c>
      <c r="H7" s="4" t="str">
        <f t="shared" si="1"/>
        <v>KRITIK</v>
      </c>
    </row>
    <row r="8" spans="1:8" x14ac:dyDescent="0.3">
      <c r="A8" s="31" t="s">
        <v>57</v>
      </c>
      <c r="B8" s="4" t="s">
        <v>54</v>
      </c>
      <c r="C8" s="32">
        <v>0</v>
      </c>
      <c r="D8" s="3">
        <f>SUMIF(StokGiris[Malzeme],A8,StokGiris[Miktar])</f>
        <v>0</v>
      </c>
      <c r="E8" s="3">
        <f>SUM(UretimKayitlari[Micir 5-12mm (kg)])</f>
        <v>0</v>
      </c>
      <c r="F8" s="13">
        <f t="shared" si="0"/>
        <v>0</v>
      </c>
      <c r="G8" s="32">
        <v>0</v>
      </c>
      <c r="H8" s="4" t="str">
        <f t="shared" si="1"/>
        <v>KRITIK</v>
      </c>
    </row>
    <row r="9" spans="1:8" x14ac:dyDescent="0.3">
      <c r="A9" s="31" t="s">
        <v>58</v>
      </c>
      <c r="B9" s="4" t="s">
        <v>54</v>
      </c>
      <c r="C9" s="32">
        <v>0</v>
      </c>
      <c r="D9" s="3">
        <f>SUMIF(StokGiris[Malzeme],A9,StokGiris[Miktar])</f>
        <v>0</v>
      </c>
      <c r="E9" s="3">
        <f>SUM(UretimKayitlari[Micir 12-19mm (kg)])</f>
        <v>0</v>
      </c>
      <c r="F9" s="13">
        <f t="shared" si="0"/>
        <v>0</v>
      </c>
      <c r="G9" s="32">
        <v>0</v>
      </c>
      <c r="H9" s="4" t="str">
        <f t="shared" si="1"/>
        <v>KRITIK</v>
      </c>
    </row>
    <row r="10" spans="1:8" x14ac:dyDescent="0.3">
      <c r="A10" s="31" t="s">
        <v>59</v>
      </c>
      <c r="B10" s="4" t="s">
        <v>60</v>
      </c>
      <c r="C10" s="32">
        <v>0</v>
      </c>
      <c r="D10" s="3">
        <f>SUMIF(StokGiris[Malzeme],A10,StokGiris[Miktar])</f>
        <v>0</v>
      </c>
      <c r="E10" s="3">
        <f>SUM(UretimKayitlari[Su (lt)])</f>
        <v>0</v>
      </c>
      <c r="F10" s="13">
        <f t="shared" si="0"/>
        <v>0</v>
      </c>
      <c r="G10" s="32">
        <v>0</v>
      </c>
      <c r="H10" s="4" t="str">
        <f t="shared" si="1"/>
        <v>KRITIK</v>
      </c>
    </row>
    <row r="11" spans="1:8" x14ac:dyDescent="0.3">
      <c r="A11" s="31" t="s">
        <v>61</v>
      </c>
      <c r="B11" s="4" t="s">
        <v>54</v>
      </c>
      <c r="C11" s="32">
        <v>0</v>
      </c>
      <c r="D11" s="3">
        <f>SUMIF(StokGiris[Malzeme],A11,StokGiris[Miktar])</f>
        <v>0</v>
      </c>
      <c r="E11" s="3">
        <f>SUM(UretimKayitlari[Katki (kg)])</f>
        <v>0</v>
      </c>
      <c r="F11" s="13">
        <f t="shared" si="0"/>
        <v>0</v>
      </c>
      <c r="G11" s="32">
        <v>0</v>
      </c>
      <c r="H11" s="4" t="str">
        <f t="shared" si="1"/>
        <v>KRITIK</v>
      </c>
    </row>
    <row r="14" spans="1:8" ht="21.75" customHeight="1" x14ac:dyDescent="0.3">
      <c r="A14" s="43" t="s">
        <v>62</v>
      </c>
      <c r="B14" s="43"/>
      <c r="C14" s="43"/>
      <c r="D14" s="43"/>
      <c r="E14" s="43"/>
    </row>
    <row r="15" spans="1:8" ht="24" customHeight="1" x14ac:dyDescent="0.3">
      <c r="A15" s="9" t="s">
        <v>44</v>
      </c>
      <c r="B15" s="9" t="s">
        <v>7</v>
      </c>
      <c r="C15" s="9" t="s">
        <v>63</v>
      </c>
      <c r="D15" s="9" t="s">
        <v>64</v>
      </c>
      <c r="E15" s="9" t="s">
        <v>65</v>
      </c>
    </row>
    <row r="16" spans="1:8" x14ac:dyDescent="0.3">
      <c r="A16" s="27"/>
      <c r="B16" s="10"/>
      <c r="C16" s="10"/>
      <c r="D16" s="10"/>
      <c r="E16" s="33"/>
    </row>
    <row r="17" spans="1:5" x14ac:dyDescent="0.3">
      <c r="A17" s="29"/>
      <c r="B17" s="16"/>
      <c r="C17" s="16"/>
      <c r="D17" s="16"/>
      <c r="E17" s="34"/>
    </row>
    <row r="18" spans="1:5" x14ac:dyDescent="0.3">
      <c r="A18" s="27"/>
      <c r="B18" s="10"/>
      <c r="C18" s="10"/>
      <c r="D18" s="10"/>
      <c r="E18" s="33"/>
    </row>
    <row r="19" spans="1:5" x14ac:dyDescent="0.3">
      <c r="A19" s="29"/>
      <c r="B19" s="16"/>
      <c r="C19" s="16"/>
      <c r="D19" s="16"/>
      <c r="E19" s="34"/>
    </row>
    <row r="20" spans="1:5" x14ac:dyDescent="0.3">
      <c r="A20" s="27"/>
      <c r="B20" s="10"/>
      <c r="C20" s="10"/>
      <c r="D20" s="10"/>
      <c r="E20" s="33"/>
    </row>
    <row r="21" spans="1:5" x14ac:dyDescent="0.3">
      <c r="A21" s="29"/>
      <c r="B21" s="16"/>
      <c r="C21" s="16"/>
      <c r="D21" s="16"/>
      <c r="E21" s="34"/>
    </row>
    <row r="22" spans="1:5" x14ac:dyDescent="0.3">
      <c r="A22" s="27"/>
      <c r="B22" s="10"/>
      <c r="C22" s="10"/>
      <c r="D22" s="10"/>
      <c r="E22" s="33"/>
    </row>
    <row r="23" spans="1:5" x14ac:dyDescent="0.3">
      <c r="A23" s="29"/>
      <c r="B23" s="16"/>
      <c r="C23" s="16"/>
      <c r="D23" s="16"/>
      <c r="E23" s="34"/>
    </row>
    <row r="24" spans="1:5" x14ac:dyDescent="0.3">
      <c r="A24" s="27"/>
      <c r="B24" s="10"/>
      <c r="C24" s="10"/>
      <c r="D24" s="10"/>
      <c r="E24" s="33"/>
    </row>
    <row r="25" spans="1:5" x14ac:dyDescent="0.3">
      <c r="A25" s="29"/>
      <c r="B25" s="16"/>
      <c r="C25" s="16"/>
      <c r="D25" s="16"/>
      <c r="E25" s="34"/>
    </row>
    <row r="26" spans="1:5" x14ac:dyDescent="0.3">
      <c r="A26" s="27"/>
      <c r="B26" s="10"/>
      <c r="C26" s="10"/>
      <c r="D26" s="10"/>
      <c r="E26" s="33"/>
    </row>
    <row r="27" spans="1:5" x14ac:dyDescent="0.3">
      <c r="A27" s="29"/>
      <c r="B27" s="16"/>
      <c r="C27" s="16"/>
      <c r="D27" s="16"/>
      <c r="E27" s="34"/>
    </row>
    <row r="28" spans="1:5" x14ac:dyDescent="0.3">
      <c r="A28" s="27"/>
      <c r="B28" s="10"/>
      <c r="C28" s="10"/>
      <c r="D28" s="10"/>
      <c r="E28" s="33"/>
    </row>
    <row r="29" spans="1:5" x14ac:dyDescent="0.3">
      <c r="A29" s="29"/>
      <c r="B29" s="16"/>
      <c r="C29" s="16"/>
      <c r="D29" s="16"/>
      <c r="E29" s="34"/>
    </row>
    <row r="30" spans="1:5" x14ac:dyDescent="0.3">
      <c r="A30" s="27"/>
      <c r="B30" s="10"/>
      <c r="C30" s="10"/>
      <c r="D30" s="10"/>
      <c r="E30" s="33"/>
    </row>
    <row r="31" spans="1:5" x14ac:dyDescent="0.3">
      <c r="A31" s="29"/>
      <c r="B31" s="16"/>
      <c r="C31" s="16"/>
      <c r="D31" s="16"/>
      <c r="E31" s="34"/>
    </row>
    <row r="32" spans="1:5" x14ac:dyDescent="0.3">
      <c r="A32" s="27"/>
      <c r="B32" s="10"/>
      <c r="C32" s="10"/>
      <c r="D32" s="10"/>
      <c r="E32" s="33"/>
    </row>
    <row r="33" spans="1:5" x14ac:dyDescent="0.3">
      <c r="A33" s="29"/>
      <c r="B33" s="16"/>
      <c r="C33" s="16"/>
      <c r="D33" s="16"/>
      <c r="E33" s="34"/>
    </row>
    <row r="34" spans="1:5" x14ac:dyDescent="0.3">
      <c r="A34" s="27"/>
      <c r="B34" s="10"/>
      <c r="C34" s="10"/>
      <c r="D34" s="10"/>
      <c r="E34" s="33"/>
    </row>
    <row r="35" spans="1:5" x14ac:dyDescent="0.3">
      <c r="A35" s="29"/>
      <c r="B35" s="16"/>
      <c r="C35" s="16"/>
      <c r="D35" s="16"/>
      <c r="E35" s="34"/>
    </row>
    <row r="36" spans="1:5" x14ac:dyDescent="0.3">
      <c r="A36" s="27"/>
      <c r="B36" s="10"/>
      <c r="C36" s="10"/>
      <c r="D36" s="10"/>
      <c r="E36" s="33"/>
    </row>
    <row r="37" spans="1:5" x14ac:dyDescent="0.3">
      <c r="A37" s="29"/>
      <c r="B37" s="16"/>
      <c r="C37" s="16"/>
      <c r="D37" s="16"/>
      <c r="E37" s="34"/>
    </row>
    <row r="38" spans="1:5" x14ac:dyDescent="0.3">
      <c r="A38" s="27"/>
      <c r="B38" s="10"/>
      <c r="C38" s="10"/>
      <c r="D38" s="10"/>
      <c r="E38" s="33"/>
    </row>
    <row r="39" spans="1:5" x14ac:dyDescent="0.3">
      <c r="A39" s="29"/>
      <c r="B39" s="16"/>
      <c r="C39" s="16"/>
      <c r="D39" s="16"/>
      <c r="E39" s="34"/>
    </row>
    <row r="40" spans="1:5" x14ac:dyDescent="0.3">
      <c r="A40" s="27"/>
      <c r="B40" s="10"/>
      <c r="C40" s="10"/>
      <c r="D40" s="10"/>
      <c r="E40" s="33"/>
    </row>
    <row r="41" spans="1:5" x14ac:dyDescent="0.3">
      <c r="A41" s="29"/>
      <c r="B41" s="16"/>
      <c r="C41" s="16"/>
      <c r="D41" s="16"/>
      <c r="E41" s="34"/>
    </row>
    <row r="42" spans="1:5" x14ac:dyDescent="0.3">
      <c r="A42" s="27"/>
      <c r="B42" s="10"/>
      <c r="C42" s="10"/>
      <c r="D42" s="10"/>
      <c r="E42" s="33"/>
    </row>
    <row r="43" spans="1:5" x14ac:dyDescent="0.3">
      <c r="A43" s="29"/>
      <c r="B43" s="16"/>
      <c r="C43" s="16"/>
      <c r="D43" s="16"/>
      <c r="E43" s="34"/>
    </row>
    <row r="44" spans="1:5" x14ac:dyDescent="0.3">
      <c r="A44" s="27"/>
      <c r="B44" s="10"/>
      <c r="C44" s="10"/>
      <c r="D44" s="10"/>
      <c r="E44" s="33"/>
    </row>
    <row r="45" spans="1:5" x14ac:dyDescent="0.3">
      <c r="A45" s="29"/>
      <c r="B45" s="16"/>
      <c r="C45" s="16"/>
      <c r="D45" s="16"/>
      <c r="E45" s="34"/>
    </row>
    <row r="46" spans="1:5" x14ac:dyDescent="0.3">
      <c r="A46" s="27"/>
      <c r="B46" s="10"/>
      <c r="C46" s="10"/>
      <c r="D46" s="10"/>
      <c r="E46" s="33"/>
    </row>
    <row r="47" spans="1:5" x14ac:dyDescent="0.3">
      <c r="A47" s="29"/>
      <c r="B47" s="16"/>
      <c r="C47" s="16"/>
      <c r="D47" s="16"/>
      <c r="E47" s="34"/>
    </row>
    <row r="48" spans="1:5" x14ac:dyDescent="0.3">
      <c r="A48" s="27"/>
      <c r="B48" s="10"/>
      <c r="C48" s="10"/>
      <c r="D48" s="10"/>
      <c r="E48" s="33"/>
    </row>
    <row r="49" spans="1:5" x14ac:dyDescent="0.3">
      <c r="A49" s="29"/>
      <c r="B49" s="16"/>
      <c r="C49" s="16"/>
      <c r="D49" s="16"/>
      <c r="E49" s="34"/>
    </row>
    <row r="50" spans="1:5" x14ac:dyDescent="0.3">
      <c r="A50" s="27"/>
      <c r="B50" s="10"/>
      <c r="C50" s="10"/>
      <c r="D50" s="10"/>
      <c r="E50" s="33"/>
    </row>
    <row r="51" spans="1:5" x14ac:dyDescent="0.3">
      <c r="A51" s="29"/>
      <c r="B51" s="16"/>
      <c r="C51" s="16"/>
      <c r="D51" s="16"/>
      <c r="E51" s="34"/>
    </row>
    <row r="52" spans="1:5" x14ac:dyDescent="0.3">
      <c r="A52" s="27"/>
      <c r="B52" s="10"/>
      <c r="C52" s="10"/>
      <c r="D52" s="10"/>
      <c r="E52" s="33"/>
    </row>
    <row r="53" spans="1:5" x14ac:dyDescent="0.3">
      <c r="A53" s="29"/>
      <c r="B53" s="16"/>
      <c r="C53" s="16"/>
      <c r="D53" s="16"/>
      <c r="E53" s="34"/>
    </row>
    <row r="54" spans="1:5" x14ac:dyDescent="0.3">
      <c r="A54" s="27"/>
      <c r="B54" s="10"/>
      <c r="C54" s="10"/>
      <c r="D54" s="10"/>
      <c r="E54" s="33"/>
    </row>
    <row r="55" spans="1:5" x14ac:dyDescent="0.3">
      <c r="A55" s="29"/>
      <c r="B55" s="16"/>
      <c r="C55" s="16"/>
      <c r="D55" s="16"/>
      <c r="E55" s="34"/>
    </row>
    <row r="56" spans="1:5" x14ac:dyDescent="0.3">
      <c r="A56" s="27"/>
      <c r="B56" s="10"/>
      <c r="C56" s="10"/>
      <c r="D56" s="10"/>
      <c r="E56" s="33"/>
    </row>
    <row r="57" spans="1:5" x14ac:dyDescent="0.3">
      <c r="A57" s="29"/>
      <c r="B57" s="16"/>
      <c r="C57" s="16"/>
      <c r="D57" s="16"/>
      <c r="E57" s="34"/>
    </row>
    <row r="58" spans="1:5" x14ac:dyDescent="0.3">
      <c r="A58" s="27"/>
      <c r="B58" s="10"/>
      <c r="C58" s="10"/>
      <c r="D58" s="10"/>
      <c r="E58" s="33"/>
    </row>
    <row r="59" spans="1:5" x14ac:dyDescent="0.3">
      <c r="A59" s="29"/>
      <c r="B59" s="16"/>
      <c r="C59" s="16"/>
      <c r="D59" s="16"/>
      <c r="E59" s="34"/>
    </row>
    <row r="60" spans="1:5" x14ac:dyDescent="0.3">
      <c r="A60" s="27"/>
      <c r="B60" s="10"/>
      <c r="C60" s="10"/>
      <c r="D60" s="10"/>
      <c r="E60" s="33"/>
    </row>
    <row r="61" spans="1:5" x14ac:dyDescent="0.3">
      <c r="A61" s="29"/>
      <c r="B61" s="16"/>
      <c r="C61" s="16"/>
      <c r="D61" s="16"/>
      <c r="E61" s="34"/>
    </row>
    <row r="62" spans="1:5" x14ac:dyDescent="0.3">
      <c r="A62" s="27"/>
      <c r="B62" s="10"/>
      <c r="C62" s="10"/>
      <c r="D62" s="10"/>
      <c r="E62" s="33"/>
    </row>
    <row r="63" spans="1:5" x14ac:dyDescent="0.3">
      <c r="A63" s="29"/>
      <c r="B63" s="16"/>
      <c r="C63" s="16"/>
      <c r="D63" s="16"/>
      <c r="E63" s="34"/>
    </row>
    <row r="64" spans="1:5" x14ac:dyDescent="0.3">
      <c r="A64" s="27"/>
      <c r="B64" s="10"/>
      <c r="C64" s="10"/>
      <c r="D64" s="10"/>
      <c r="E64" s="33"/>
    </row>
    <row r="65" spans="1:5" x14ac:dyDescent="0.3">
      <c r="A65" s="29"/>
      <c r="B65" s="16"/>
      <c r="C65" s="16"/>
      <c r="D65" s="16"/>
      <c r="E65" s="34"/>
    </row>
    <row r="66" spans="1:5" x14ac:dyDescent="0.3">
      <c r="A66" s="27"/>
      <c r="B66" s="10"/>
      <c r="C66" s="10"/>
      <c r="D66" s="10"/>
      <c r="E66" s="33"/>
    </row>
    <row r="67" spans="1:5" x14ac:dyDescent="0.3">
      <c r="A67" s="29"/>
      <c r="B67" s="16"/>
      <c r="C67" s="16"/>
      <c r="D67" s="16"/>
      <c r="E67" s="34"/>
    </row>
    <row r="68" spans="1:5" x14ac:dyDescent="0.3">
      <c r="A68" s="27"/>
      <c r="B68" s="10"/>
      <c r="C68" s="10"/>
      <c r="D68" s="10"/>
      <c r="E68" s="33"/>
    </row>
    <row r="69" spans="1:5" x14ac:dyDescent="0.3">
      <c r="A69" s="29"/>
      <c r="B69" s="16"/>
      <c r="C69" s="16"/>
      <c r="D69" s="16"/>
      <c r="E69" s="34"/>
    </row>
    <row r="70" spans="1:5" x14ac:dyDescent="0.3">
      <c r="A70" s="27"/>
      <c r="B70" s="10"/>
      <c r="C70" s="10"/>
      <c r="D70" s="10"/>
      <c r="E70" s="33"/>
    </row>
    <row r="71" spans="1:5" x14ac:dyDescent="0.3">
      <c r="A71" s="29"/>
      <c r="B71" s="16"/>
      <c r="C71" s="16"/>
      <c r="D71" s="16"/>
      <c r="E71" s="34"/>
    </row>
    <row r="72" spans="1:5" x14ac:dyDescent="0.3">
      <c r="A72" s="27"/>
      <c r="B72" s="10"/>
      <c r="C72" s="10"/>
      <c r="D72" s="10"/>
      <c r="E72" s="33"/>
    </row>
    <row r="73" spans="1:5" x14ac:dyDescent="0.3">
      <c r="A73" s="29"/>
      <c r="B73" s="16"/>
      <c r="C73" s="16"/>
      <c r="D73" s="16"/>
      <c r="E73" s="34"/>
    </row>
    <row r="74" spans="1:5" x14ac:dyDescent="0.3">
      <c r="A74" s="27"/>
      <c r="B74" s="10"/>
      <c r="C74" s="10"/>
      <c r="D74" s="10"/>
      <c r="E74" s="33"/>
    </row>
    <row r="75" spans="1:5" x14ac:dyDescent="0.3">
      <c r="A75" s="29"/>
      <c r="B75" s="16"/>
      <c r="C75" s="16"/>
      <c r="D75" s="16"/>
      <c r="E75" s="34"/>
    </row>
    <row r="76" spans="1:5" x14ac:dyDescent="0.3">
      <c r="A76" s="27"/>
      <c r="B76" s="10"/>
      <c r="C76" s="10"/>
      <c r="D76" s="10"/>
      <c r="E76" s="33"/>
    </row>
    <row r="77" spans="1:5" x14ac:dyDescent="0.3">
      <c r="A77" s="29"/>
      <c r="B77" s="16"/>
      <c r="C77" s="16"/>
      <c r="D77" s="16"/>
      <c r="E77" s="34"/>
    </row>
    <row r="78" spans="1:5" x14ac:dyDescent="0.3">
      <c r="A78" s="27"/>
      <c r="B78" s="10"/>
      <c r="C78" s="10"/>
      <c r="D78" s="10"/>
      <c r="E78" s="33"/>
    </row>
    <row r="79" spans="1:5" x14ac:dyDescent="0.3">
      <c r="A79" s="29"/>
      <c r="B79" s="16"/>
      <c r="C79" s="16"/>
      <c r="D79" s="16"/>
      <c r="E79" s="34"/>
    </row>
    <row r="80" spans="1:5" x14ac:dyDescent="0.3">
      <c r="A80" s="27"/>
      <c r="B80" s="10"/>
      <c r="C80" s="10"/>
      <c r="D80" s="10"/>
      <c r="E80" s="33"/>
    </row>
    <row r="81" spans="1:5" x14ac:dyDescent="0.3">
      <c r="A81" s="29"/>
      <c r="B81" s="16"/>
      <c r="C81" s="16"/>
      <c r="D81" s="16"/>
      <c r="E81" s="34"/>
    </row>
    <row r="82" spans="1:5" x14ac:dyDescent="0.3">
      <c r="A82" s="27"/>
      <c r="B82" s="10"/>
      <c r="C82" s="10"/>
      <c r="D82" s="10"/>
      <c r="E82" s="33"/>
    </row>
    <row r="83" spans="1:5" x14ac:dyDescent="0.3">
      <c r="A83" s="29"/>
      <c r="B83" s="16"/>
      <c r="C83" s="16"/>
      <c r="D83" s="16"/>
      <c r="E83" s="34"/>
    </row>
    <row r="84" spans="1:5" x14ac:dyDescent="0.3">
      <c r="A84" s="27"/>
      <c r="B84" s="10"/>
      <c r="C84" s="10"/>
      <c r="D84" s="10"/>
      <c r="E84" s="33"/>
    </row>
    <row r="85" spans="1:5" x14ac:dyDescent="0.3">
      <c r="A85" s="29"/>
      <c r="B85" s="16"/>
      <c r="C85" s="16"/>
      <c r="D85" s="16"/>
      <c r="E85" s="34"/>
    </row>
    <row r="86" spans="1:5" x14ac:dyDescent="0.3">
      <c r="A86" s="27"/>
      <c r="B86" s="10"/>
      <c r="C86" s="10"/>
      <c r="D86" s="10"/>
      <c r="E86" s="33"/>
    </row>
    <row r="87" spans="1:5" x14ac:dyDescent="0.3">
      <c r="A87" s="29"/>
      <c r="B87" s="16"/>
      <c r="C87" s="16"/>
      <c r="D87" s="16"/>
      <c r="E87" s="34"/>
    </row>
    <row r="88" spans="1:5" x14ac:dyDescent="0.3">
      <c r="A88" s="27"/>
      <c r="B88" s="10"/>
      <c r="C88" s="10"/>
      <c r="D88" s="10"/>
      <c r="E88" s="33"/>
    </row>
    <row r="89" spans="1:5" x14ac:dyDescent="0.3">
      <c r="A89" s="29"/>
      <c r="B89" s="16"/>
      <c r="C89" s="16"/>
      <c r="D89" s="16"/>
      <c r="E89" s="34"/>
    </row>
    <row r="90" spans="1:5" x14ac:dyDescent="0.3">
      <c r="A90" s="27"/>
      <c r="B90" s="10"/>
      <c r="C90" s="10"/>
      <c r="D90" s="10"/>
      <c r="E90" s="33"/>
    </row>
    <row r="91" spans="1:5" x14ac:dyDescent="0.3">
      <c r="A91" s="29"/>
      <c r="B91" s="16"/>
      <c r="C91" s="16"/>
      <c r="D91" s="16"/>
      <c r="E91" s="34"/>
    </row>
    <row r="92" spans="1:5" x14ac:dyDescent="0.3">
      <c r="A92" s="27"/>
      <c r="B92" s="10"/>
      <c r="C92" s="10"/>
      <c r="D92" s="10"/>
      <c r="E92" s="33"/>
    </row>
    <row r="93" spans="1:5" x14ac:dyDescent="0.3">
      <c r="A93" s="29"/>
      <c r="B93" s="16"/>
      <c r="C93" s="16"/>
      <c r="D93" s="16"/>
      <c r="E93" s="34"/>
    </row>
    <row r="94" spans="1:5" x14ac:dyDescent="0.3">
      <c r="A94" s="27"/>
      <c r="B94" s="10"/>
      <c r="C94" s="10"/>
      <c r="D94" s="10"/>
      <c r="E94" s="33"/>
    </row>
    <row r="95" spans="1:5" x14ac:dyDescent="0.3">
      <c r="A95" s="29"/>
      <c r="B95" s="16"/>
      <c r="C95" s="16"/>
      <c r="D95" s="16"/>
      <c r="E95" s="34"/>
    </row>
    <row r="96" spans="1:5" x14ac:dyDescent="0.3">
      <c r="A96" s="27"/>
      <c r="B96" s="10"/>
      <c r="C96" s="10"/>
      <c r="D96" s="10"/>
      <c r="E96" s="33"/>
    </row>
    <row r="97" spans="1:5" x14ac:dyDescent="0.3">
      <c r="A97" s="29"/>
      <c r="B97" s="16"/>
      <c r="C97" s="16"/>
      <c r="D97" s="16"/>
      <c r="E97" s="34"/>
    </row>
    <row r="98" spans="1:5" x14ac:dyDescent="0.3">
      <c r="A98" s="27"/>
      <c r="B98" s="10"/>
      <c r="C98" s="10"/>
      <c r="D98" s="10"/>
      <c r="E98" s="33"/>
    </row>
    <row r="99" spans="1:5" x14ac:dyDescent="0.3">
      <c r="A99" s="29"/>
      <c r="B99" s="16"/>
      <c r="C99" s="16"/>
      <c r="D99" s="16"/>
      <c r="E99" s="34"/>
    </row>
    <row r="100" spans="1:5" x14ac:dyDescent="0.3">
      <c r="A100" s="27"/>
      <c r="B100" s="10"/>
      <c r="C100" s="10"/>
      <c r="D100" s="10"/>
      <c r="E100" s="33"/>
    </row>
    <row r="101" spans="1:5" x14ac:dyDescent="0.3">
      <c r="A101" s="29"/>
      <c r="B101" s="16"/>
      <c r="C101" s="16"/>
      <c r="D101" s="16"/>
      <c r="E101" s="34"/>
    </row>
    <row r="102" spans="1:5" x14ac:dyDescent="0.3">
      <c r="A102" s="27"/>
      <c r="B102" s="10"/>
      <c r="C102" s="10"/>
      <c r="D102" s="10"/>
      <c r="E102" s="33"/>
    </row>
    <row r="103" spans="1:5" x14ac:dyDescent="0.3">
      <c r="A103" s="29"/>
      <c r="B103" s="16"/>
      <c r="C103" s="16"/>
      <c r="D103" s="16"/>
      <c r="E103" s="34"/>
    </row>
    <row r="104" spans="1:5" x14ac:dyDescent="0.3">
      <c r="A104" s="27"/>
      <c r="B104" s="10"/>
      <c r="C104" s="10"/>
      <c r="D104" s="10"/>
      <c r="E104" s="33"/>
    </row>
    <row r="105" spans="1:5" x14ac:dyDescent="0.3">
      <c r="A105" s="29"/>
      <c r="B105" s="16"/>
      <c r="C105" s="16"/>
      <c r="D105" s="16"/>
      <c r="E105" s="34"/>
    </row>
    <row r="106" spans="1:5" x14ac:dyDescent="0.3">
      <c r="A106" s="27"/>
      <c r="B106" s="10"/>
      <c r="C106" s="10"/>
      <c r="D106" s="10"/>
      <c r="E106" s="33"/>
    </row>
    <row r="107" spans="1:5" x14ac:dyDescent="0.3">
      <c r="A107" s="29"/>
      <c r="B107" s="16"/>
      <c r="C107" s="16"/>
      <c r="D107" s="16"/>
      <c r="E107" s="34"/>
    </row>
    <row r="108" spans="1:5" x14ac:dyDescent="0.3">
      <c r="A108" s="27"/>
      <c r="B108" s="10"/>
      <c r="C108" s="10"/>
      <c r="D108" s="10"/>
      <c r="E108" s="33"/>
    </row>
    <row r="109" spans="1:5" x14ac:dyDescent="0.3">
      <c r="A109" s="29"/>
      <c r="B109" s="16"/>
      <c r="C109" s="16"/>
      <c r="D109" s="16"/>
      <c r="E109" s="34"/>
    </row>
    <row r="110" spans="1:5" x14ac:dyDescent="0.3">
      <c r="A110" s="27"/>
      <c r="B110" s="10"/>
      <c r="C110" s="10"/>
      <c r="D110" s="10"/>
      <c r="E110" s="33"/>
    </row>
    <row r="111" spans="1:5" x14ac:dyDescent="0.3">
      <c r="A111" s="29"/>
      <c r="B111" s="16"/>
      <c r="C111" s="16"/>
      <c r="D111" s="16"/>
      <c r="E111" s="34"/>
    </row>
    <row r="112" spans="1:5" x14ac:dyDescent="0.3">
      <c r="A112" s="27"/>
      <c r="B112" s="10"/>
      <c r="C112" s="10"/>
      <c r="D112" s="10"/>
      <c r="E112" s="33"/>
    </row>
    <row r="113" spans="1:5" x14ac:dyDescent="0.3">
      <c r="A113" s="29"/>
      <c r="B113" s="16"/>
      <c r="C113" s="16"/>
      <c r="D113" s="16"/>
      <c r="E113" s="34"/>
    </row>
    <row r="114" spans="1:5" x14ac:dyDescent="0.3">
      <c r="A114" s="27"/>
      <c r="B114" s="10"/>
      <c r="C114" s="10"/>
      <c r="D114" s="10"/>
      <c r="E114" s="33"/>
    </row>
    <row r="115" spans="1:5" x14ac:dyDescent="0.3">
      <c r="A115" s="29"/>
      <c r="B115" s="16"/>
      <c r="C115" s="16"/>
      <c r="D115" s="16"/>
      <c r="E115" s="34"/>
    </row>
    <row r="116" spans="1:5" x14ac:dyDescent="0.3">
      <c r="A116" s="27"/>
      <c r="B116" s="10"/>
      <c r="C116" s="10"/>
      <c r="D116" s="10"/>
      <c r="E116" s="33"/>
    </row>
    <row r="117" spans="1:5" x14ac:dyDescent="0.3">
      <c r="A117" s="29"/>
      <c r="B117" s="16"/>
      <c r="C117" s="16"/>
      <c r="D117" s="16"/>
      <c r="E117" s="34"/>
    </row>
    <row r="118" spans="1:5" x14ac:dyDescent="0.3">
      <c r="A118" s="27"/>
      <c r="B118" s="10"/>
      <c r="C118" s="10"/>
      <c r="D118" s="10"/>
      <c r="E118" s="33"/>
    </row>
    <row r="119" spans="1:5" x14ac:dyDescent="0.3">
      <c r="A119" s="29"/>
      <c r="B119" s="16"/>
      <c r="C119" s="16"/>
      <c r="D119" s="16"/>
      <c r="E119" s="34"/>
    </row>
    <row r="120" spans="1:5" x14ac:dyDescent="0.3">
      <c r="A120" s="27"/>
      <c r="B120" s="10"/>
      <c r="C120" s="10"/>
      <c r="D120" s="10"/>
      <c r="E120" s="33"/>
    </row>
    <row r="121" spans="1:5" x14ac:dyDescent="0.3">
      <c r="A121" s="29"/>
      <c r="B121" s="16"/>
      <c r="C121" s="16"/>
      <c r="D121" s="16"/>
      <c r="E121" s="34"/>
    </row>
    <row r="122" spans="1:5" x14ac:dyDescent="0.3">
      <c r="A122" s="27"/>
      <c r="B122" s="10"/>
      <c r="C122" s="10"/>
      <c r="D122" s="10"/>
      <c r="E122" s="33"/>
    </row>
    <row r="123" spans="1:5" x14ac:dyDescent="0.3">
      <c r="A123" s="29"/>
      <c r="B123" s="16"/>
      <c r="C123" s="16"/>
      <c r="D123" s="16"/>
      <c r="E123" s="34"/>
    </row>
    <row r="124" spans="1:5" x14ac:dyDescent="0.3">
      <c r="A124" s="27"/>
      <c r="B124" s="10"/>
      <c r="C124" s="10"/>
      <c r="D124" s="10"/>
      <c r="E124" s="33"/>
    </row>
    <row r="125" spans="1:5" x14ac:dyDescent="0.3">
      <c r="A125" s="29"/>
      <c r="B125" s="16"/>
      <c r="C125" s="16"/>
      <c r="D125" s="16"/>
      <c r="E125" s="34"/>
    </row>
    <row r="126" spans="1:5" x14ac:dyDescent="0.3">
      <c r="A126" s="27"/>
      <c r="B126" s="10"/>
      <c r="C126" s="10"/>
      <c r="D126" s="10"/>
      <c r="E126" s="33"/>
    </row>
    <row r="127" spans="1:5" x14ac:dyDescent="0.3">
      <c r="A127" s="29"/>
      <c r="B127" s="16"/>
      <c r="C127" s="16"/>
      <c r="D127" s="16"/>
      <c r="E127" s="34"/>
    </row>
    <row r="128" spans="1:5" x14ac:dyDescent="0.3">
      <c r="A128" s="27"/>
      <c r="B128" s="10"/>
      <c r="C128" s="10"/>
      <c r="D128" s="10"/>
      <c r="E128" s="33"/>
    </row>
    <row r="129" spans="1:5" x14ac:dyDescent="0.3">
      <c r="A129" s="29"/>
      <c r="B129" s="16"/>
      <c r="C129" s="16"/>
      <c r="D129" s="16"/>
      <c r="E129" s="34"/>
    </row>
    <row r="130" spans="1:5" x14ac:dyDescent="0.3">
      <c r="A130" s="27"/>
      <c r="B130" s="10"/>
      <c r="C130" s="10"/>
      <c r="D130" s="10"/>
      <c r="E130" s="33"/>
    </row>
    <row r="131" spans="1:5" x14ac:dyDescent="0.3">
      <c r="A131" s="29"/>
      <c r="B131" s="16"/>
      <c r="C131" s="16"/>
      <c r="D131" s="16"/>
      <c r="E131" s="34"/>
    </row>
    <row r="132" spans="1:5" x14ac:dyDescent="0.3">
      <c r="A132" s="27"/>
      <c r="B132" s="10"/>
      <c r="C132" s="10"/>
      <c r="D132" s="10"/>
      <c r="E132" s="33"/>
    </row>
    <row r="133" spans="1:5" x14ac:dyDescent="0.3">
      <c r="A133" s="29"/>
      <c r="B133" s="16"/>
      <c r="C133" s="16"/>
      <c r="D133" s="16"/>
      <c r="E133" s="34"/>
    </row>
    <row r="134" spans="1:5" x14ac:dyDescent="0.3">
      <c r="A134" s="27"/>
      <c r="B134" s="10"/>
      <c r="C134" s="10"/>
      <c r="D134" s="10"/>
      <c r="E134" s="33"/>
    </row>
    <row r="135" spans="1:5" x14ac:dyDescent="0.3">
      <c r="A135" s="29"/>
      <c r="B135" s="16"/>
      <c r="C135" s="16"/>
      <c r="D135" s="16"/>
      <c r="E135" s="34"/>
    </row>
    <row r="136" spans="1:5" x14ac:dyDescent="0.3">
      <c r="A136" s="27"/>
      <c r="B136" s="10"/>
      <c r="C136" s="10"/>
      <c r="D136" s="10"/>
      <c r="E136" s="33"/>
    </row>
    <row r="137" spans="1:5" x14ac:dyDescent="0.3">
      <c r="A137" s="29"/>
      <c r="B137" s="16"/>
      <c r="C137" s="16"/>
      <c r="D137" s="16"/>
      <c r="E137" s="34"/>
    </row>
    <row r="138" spans="1:5" x14ac:dyDescent="0.3">
      <c r="A138" s="27"/>
      <c r="B138" s="10"/>
      <c r="C138" s="10"/>
      <c r="D138" s="10"/>
      <c r="E138" s="33"/>
    </row>
    <row r="139" spans="1:5" x14ac:dyDescent="0.3">
      <c r="A139" s="29"/>
      <c r="B139" s="16"/>
      <c r="C139" s="16"/>
      <c r="D139" s="16"/>
      <c r="E139" s="34"/>
    </row>
    <row r="140" spans="1:5" x14ac:dyDescent="0.3">
      <c r="A140" s="27"/>
      <c r="B140" s="10"/>
      <c r="C140" s="10"/>
      <c r="D140" s="10"/>
      <c r="E140" s="33"/>
    </row>
    <row r="141" spans="1:5" x14ac:dyDescent="0.3">
      <c r="A141" s="29"/>
      <c r="B141" s="16"/>
      <c r="C141" s="16"/>
      <c r="D141" s="16"/>
      <c r="E141" s="34"/>
    </row>
    <row r="142" spans="1:5" x14ac:dyDescent="0.3">
      <c r="A142" s="27"/>
      <c r="B142" s="10"/>
      <c r="C142" s="10"/>
      <c r="D142" s="10"/>
      <c r="E142" s="33"/>
    </row>
    <row r="143" spans="1:5" x14ac:dyDescent="0.3">
      <c r="A143" s="29"/>
      <c r="B143" s="16"/>
      <c r="C143" s="16"/>
      <c r="D143" s="16"/>
      <c r="E143" s="34"/>
    </row>
    <row r="144" spans="1:5" x14ac:dyDescent="0.3">
      <c r="A144" s="27"/>
      <c r="B144" s="10"/>
      <c r="C144" s="10"/>
      <c r="D144" s="10"/>
      <c r="E144" s="33"/>
    </row>
    <row r="145" spans="1:5" x14ac:dyDescent="0.3">
      <c r="A145" s="29"/>
      <c r="B145" s="16"/>
      <c r="C145" s="16"/>
      <c r="D145" s="16"/>
      <c r="E145" s="34"/>
    </row>
    <row r="146" spans="1:5" x14ac:dyDescent="0.3">
      <c r="A146" s="27"/>
      <c r="B146" s="10"/>
      <c r="C146" s="10"/>
      <c r="D146" s="10"/>
      <c r="E146" s="33"/>
    </row>
    <row r="147" spans="1:5" x14ac:dyDescent="0.3">
      <c r="A147" s="29"/>
      <c r="B147" s="16"/>
      <c r="C147" s="16"/>
      <c r="D147" s="16"/>
      <c r="E147" s="34"/>
    </row>
    <row r="148" spans="1:5" x14ac:dyDescent="0.3">
      <c r="A148" s="27"/>
      <c r="B148" s="10"/>
      <c r="C148" s="10"/>
      <c r="D148" s="10"/>
      <c r="E148" s="33"/>
    </row>
    <row r="149" spans="1:5" x14ac:dyDescent="0.3">
      <c r="A149" s="29"/>
      <c r="B149" s="16"/>
      <c r="C149" s="16"/>
      <c r="D149" s="16"/>
      <c r="E149" s="34"/>
    </row>
    <row r="150" spans="1:5" x14ac:dyDescent="0.3">
      <c r="A150" s="27"/>
      <c r="B150" s="10"/>
      <c r="C150" s="10"/>
      <c r="D150" s="10"/>
      <c r="E150" s="33"/>
    </row>
    <row r="151" spans="1:5" x14ac:dyDescent="0.3">
      <c r="A151" s="29"/>
      <c r="B151" s="16"/>
      <c r="C151" s="16"/>
      <c r="D151" s="16"/>
      <c r="E151" s="34"/>
    </row>
    <row r="152" spans="1:5" x14ac:dyDescent="0.3">
      <c r="A152" s="27"/>
      <c r="B152" s="10"/>
      <c r="C152" s="10"/>
      <c r="D152" s="10"/>
      <c r="E152" s="33"/>
    </row>
    <row r="153" spans="1:5" x14ac:dyDescent="0.3">
      <c r="A153" s="29"/>
      <c r="B153" s="16"/>
      <c r="C153" s="16"/>
      <c r="D153" s="16"/>
      <c r="E153" s="34"/>
    </row>
    <row r="154" spans="1:5" x14ac:dyDescent="0.3">
      <c r="A154" s="27"/>
      <c r="B154" s="10"/>
      <c r="C154" s="10"/>
      <c r="D154" s="10"/>
      <c r="E154" s="33"/>
    </row>
    <row r="155" spans="1:5" x14ac:dyDescent="0.3">
      <c r="A155" s="29"/>
      <c r="B155" s="16"/>
      <c r="C155" s="16"/>
      <c r="D155" s="16"/>
      <c r="E155" s="34"/>
    </row>
    <row r="156" spans="1:5" x14ac:dyDescent="0.3">
      <c r="A156" s="27"/>
      <c r="B156" s="10"/>
      <c r="C156" s="10"/>
      <c r="D156" s="10"/>
      <c r="E156" s="33"/>
    </row>
    <row r="157" spans="1:5" x14ac:dyDescent="0.3">
      <c r="A157" s="29"/>
      <c r="B157" s="16"/>
      <c r="C157" s="16"/>
      <c r="D157" s="16"/>
      <c r="E157" s="34"/>
    </row>
    <row r="158" spans="1:5" x14ac:dyDescent="0.3">
      <c r="A158" s="27"/>
      <c r="B158" s="10"/>
      <c r="C158" s="10"/>
      <c r="D158" s="10"/>
      <c r="E158" s="33"/>
    </row>
    <row r="159" spans="1:5" x14ac:dyDescent="0.3">
      <c r="A159" s="29"/>
      <c r="B159" s="16"/>
      <c r="C159" s="16"/>
      <c r="D159" s="16"/>
      <c r="E159" s="34"/>
    </row>
    <row r="160" spans="1:5" x14ac:dyDescent="0.3">
      <c r="A160" s="27"/>
      <c r="B160" s="10"/>
      <c r="C160" s="10"/>
      <c r="D160" s="10"/>
      <c r="E160" s="33"/>
    </row>
    <row r="161" spans="1:5" x14ac:dyDescent="0.3">
      <c r="A161" s="29"/>
      <c r="B161" s="16"/>
      <c r="C161" s="16"/>
      <c r="D161" s="16"/>
      <c r="E161" s="34"/>
    </row>
    <row r="162" spans="1:5" x14ac:dyDescent="0.3">
      <c r="A162" s="27"/>
      <c r="B162" s="10"/>
      <c r="C162" s="10"/>
      <c r="D162" s="10"/>
      <c r="E162" s="33"/>
    </row>
    <row r="163" spans="1:5" x14ac:dyDescent="0.3">
      <c r="A163" s="29"/>
      <c r="B163" s="16"/>
      <c r="C163" s="16"/>
      <c r="D163" s="16"/>
      <c r="E163" s="34"/>
    </row>
    <row r="164" spans="1:5" x14ac:dyDescent="0.3">
      <c r="A164" s="27"/>
      <c r="B164" s="10"/>
      <c r="C164" s="10"/>
      <c r="D164" s="10"/>
      <c r="E164" s="33"/>
    </row>
    <row r="165" spans="1:5" x14ac:dyDescent="0.3">
      <c r="A165" s="29"/>
      <c r="B165" s="16"/>
      <c r="C165" s="16"/>
      <c r="D165" s="16"/>
      <c r="E165" s="34"/>
    </row>
  </sheetData>
  <mergeCells count="3">
    <mergeCell ref="A1:H1"/>
    <mergeCell ref="A2:H2"/>
    <mergeCell ref="A14:E14"/>
  </mergeCells>
  <conditionalFormatting sqref="H5:H11">
    <cfRule type="expression" dxfId="2" priority="2">
      <formula>H5="KRITIK"</formula>
    </cfRule>
    <cfRule type="expression" dxfId="1" priority="3">
      <formula>H5="AZ"</formula>
    </cfRule>
    <cfRule type="expression" dxfId="0" priority="4">
      <formula>H5="YETERLI"</formula>
    </cfRule>
  </conditionalFormatting>
  <dataValidations count="1">
    <dataValidation type="list" allowBlank="1" showErrorMessage="1" errorTitle="Gecersiz Malzeme" error="Lutfen listeden bir malzeme seciniz." sqref="B16:B165">
      <formula1>$A$5:$A$11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Ana Panel</vt:lpstr>
      <vt:lpstr>Receteler</vt:lpstr>
      <vt:lpstr>Uretim Hesaplama</vt:lpstr>
      <vt:lpstr>Malzeme Stok</vt:lpstr>
      <vt:lpstr>BetonSiniflari</vt:lpstr>
      <vt:lpstr>StandartSiniflar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1</cp:revision>
  <dcterms:created xsi:type="dcterms:W3CDTF">2026-07-09T11:38:25Z</dcterms:created>
  <dcterms:modified xsi:type="dcterms:W3CDTF">2026-07-13T05:42:12Z</dcterms:modified>
  <cp:category/>
  <cp:contentStatus/>
</cp:coreProperties>
</file>