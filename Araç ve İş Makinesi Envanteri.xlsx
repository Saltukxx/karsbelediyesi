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activeTab="3"/>
  </bookViews>
  <sheets>
    <sheet name="Araç Envanteri" sheetId="1" r:id="rId1"/>
    <sheet name="Bakım Takip" sheetId="2" r:id="rId2"/>
    <sheet name="Yakıt Takip" sheetId="3" r:id="rId3"/>
    <sheet name="Özet Panel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F26" i="4"/>
  <c r="F23" i="4"/>
  <c r="H23" i="4"/>
  <c r="G23" i="4"/>
  <c r="F22" i="4"/>
  <c r="H22" i="4"/>
  <c r="G22" i="4"/>
  <c r="F21" i="4"/>
  <c r="H21" i="4"/>
  <c r="G21" i="4"/>
  <c r="F20" i="4"/>
  <c r="H20" i="4"/>
  <c r="G20" i="4"/>
  <c r="F19" i="4"/>
  <c r="H19" i="4"/>
  <c r="G19" i="4"/>
  <c r="F18" i="4"/>
  <c r="H18" i="4"/>
  <c r="G18" i="4"/>
  <c r="F17" i="4"/>
  <c r="H17" i="4"/>
  <c r="G17" i="4"/>
  <c r="D17" i="4"/>
  <c r="F16" i="4"/>
  <c r="H16" i="4"/>
  <c r="G16" i="4"/>
  <c r="D16" i="4"/>
  <c r="F15" i="4"/>
  <c r="H15" i="4"/>
  <c r="G15" i="4"/>
  <c r="D15" i="4"/>
  <c r="F14" i="4"/>
  <c r="H14" i="4"/>
  <c r="G14" i="4"/>
  <c r="D14" i="4"/>
  <c r="D13" i="4"/>
  <c r="G9" i="4"/>
  <c r="E9" i="4"/>
  <c r="C9" i="4"/>
  <c r="A9" i="4"/>
  <c r="G5" i="4"/>
  <c r="E5" i="4"/>
  <c r="C5" i="4"/>
  <c r="A5" i="4"/>
  <c r="H204" i="3"/>
  <c r="F204" i="3"/>
  <c r="D203" i="3"/>
  <c r="A203" i="3"/>
  <c r="D202" i="3"/>
  <c r="A202" i="3"/>
  <c r="D201" i="3"/>
  <c r="A201" i="3"/>
  <c r="D200" i="3"/>
  <c r="A200" i="3"/>
  <c r="D199" i="3"/>
  <c r="A199" i="3"/>
  <c r="D198" i="3"/>
  <c r="A198" i="3"/>
  <c r="D197" i="3"/>
  <c r="A197" i="3"/>
  <c r="D196" i="3"/>
  <c r="A196" i="3"/>
  <c r="D195" i="3"/>
  <c r="A195" i="3"/>
  <c r="D194" i="3"/>
  <c r="A194" i="3"/>
  <c r="D193" i="3"/>
  <c r="A193" i="3"/>
  <c r="D192" i="3"/>
  <c r="A192" i="3"/>
  <c r="D191" i="3"/>
  <c r="A191" i="3"/>
  <c r="D190" i="3"/>
  <c r="A190" i="3"/>
  <c r="D189" i="3"/>
  <c r="A189" i="3"/>
  <c r="D188" i="3"/>
  <c r="A188" i="3"/>
  <c r="D187" i="3"/>
  <c r="A187" i="3"/>
  <c r="D186" i="3"/>
  <c r="A186" i="3"/>
  <c r="D185" i="3"/>
  <c r="A185" i="3"/>
  <c r="D184" i="3"/>
  <c r="A184" i="3"/>
  <c r="D183" i="3"/>
  <c r="A183" i="3"/>
  <c r="D182" i="3"/>
  <c r="A182" i="3"/>
  <c r="D181" i="3"/>
  <c r="A181" i="3"/>
  <c r="D180" i="3"/>
  <c r="A180" i="3"/>
  <c r="D179" i="3"/>
  <c r="A179" i="3"/>
  <c r="D178" i="3"/>
  <c r="A178" i="3"/>
  <c r="D177" i="3"/>
  <c r="A177" i="3"/>
  <c r="D176" i="3"/>
  <c r="A176" i="3"/>
  <c r="D175" i="3"/>
  <c r="A175" i="3"/>
  <c r="D174" i="3"/>
  <c r="A174" i="3"/>
  <c r="D173" i="3"/>
  <c r="A173" i="3"/>
  <c r="D172" i="3"/>
  <c r="A172" i="3"/>
  <c r="D171" i="3"/>
  <c r="A171" i="3"/>
  <c r="D170" i="3"/>
  <c r="A170" i="3"/>
  <c r="D169" i="3"/>
  <c r="A169" i="3"/>
  <c r="D168" i="3"/>
  <c r="A168" i="3"/>
  <c r="D167" i="3"/>
  <c r="A167" i="3"/>
  <c r="D166" i="3"/>
  <c r="A166" i="3"/>
  <c r="D165" i="3"/>
  <c r="A165" i="3"/>
  <c r="D164" i="3"/>
  <c r="A164" i="3"/>
  <c r="D163" i="3"/>
  <c r="A163" i="3"/>
  <c r="D162" i="3"/>
  <c r="A162" i="3"/>
  <c r="D161" i="3"/>
  <c r="A161" i="3"/>
  <c r="D160" i="3"/>
  <c r="A160" i="3"/>
  <c r="D159" i="3"/>
  <c r="A159" i="3"/>
  <c r="D158" i="3"/>
  <c r="A158" i="3"/>
  <c r="D157" i="3"/>
  <c r="A157" i="3"/>
  <c r="D156" i="3"/>
  <c r="A156" i="3"/>
  <c r="D155" i="3"/>
  <c r="A155" i="3"/>
  <c r="D154" i="3"/>
  <c r="A154" i="3"/>
  <c r="D153" i="3"/>
  <c r="A153" i="3"/>
  <c r="D152" i="3"/>
  <c r="A152" i="3"/>
  <c r="D151" i="3"/>
  <c r="A151" i="3"/>
  <c r="D150" i="3"/>
  <c r="A150" i="3"/>
  <c r="D149" i="3"/>
  <c r="A149" i="3"/>
  <c r="D148" i="3"/>
  <c r="A148" i="3"/>
  <c r="D147" i="3"/>
  <c r="A147" i="3"/>
  <c r="D146" i="3"/>
  <c r="A146" i="3"/>
  <c r="D145" i="3"/>
  <c r="A145" i="3"/>
  <c r="D144" i="3"/>
  <c r="A144" i="3"/>
  <c r="D143" i="3"/>
  <c r="A143" i="3"/>
  <c r="D142" i="3"/>
  <c r="A142" i="3"/>
  <c r="D141" i="3"/>
  <c r="A141" i="3"/>
  <c r="D140" i="3"/>
  <c r="A140" i="3"/>
  <c r="D139" i="3"/>
  <c r="A139" i="3"/>
  <c r="D138" i="3"/>
  <c r="A138" i="3"/>
  <c r="D137" i="3"/>
  <c r="A137" i="3"/>
  <c r="D136" i="3"/>
  <c r="A136" i="3"/>
  <c r="D135" i="3"/>
  <c r="A135" i="3"/>
  <c r="D134" i="3"/>
  <c r="A134" i="3"/>
  <c r="D133" i="3"/>
  <c r="A133" i="3"/>
  <c r="D132" i="3"/>
  <c r="A132" i="3"/>
  <c r="D131" i="3"/>
  <c r="A131" i="3"/>
  <c r="D130" i="3"/>
  <c r="A130" i="3"/>
  <c r="D129" i="3"/>
  <c r="A129" i="3"/>
  <c r="D128" i="3"/>
  <c r="A128" i="3"/>
  <c r="D127" i="3"/>
  <c r="A127" i="3"/>
  <c r="D126" i="3"/>
  <c r="A126" i="3"/>
  <c r="D125" i="3"/>
  <c r="A125" i="3"/>
  <c r="D124" i="3"/>
  <c r="A124" i="3"/>
  <c r="D123" i="3"/>
  <c r="A123" i="3"/>
  <c r="D122" i="3"/>
  <c r="A122" i="3"/>
  <c r="D121" i="3"/>
  <c r="A121" i="3"/>
  <c r="D120" i="3"/>
  <c r="A120" i="3"/>
  <c r="D119" i="3"/>
  <c r="A119" i="3"/>
  <c r="D118" i="3"/>
  <c r="A118" i="3"/>
  <c r="D117" i="3"/>
  <c r="A117" i="3"/>
  <c r="D116" i="3"/>
  <c r="A116" i="3"/>
  <c r="D115" i="3"/>
  <c r="A115" i="3"/>
  <c r="D114" i="3"/>
  <c r="A114" i="3"/>
  <c r="D113" i="3"/>
  <c r="A113" i="3"/>
  <c r="D112" i="3"/>
  <c r="A112" i="3"/>
  <c r="D111" i="3"/>
  <c r="A111" i="3"/>
  <c r="D110" i="3"/>
  <c r="A110" i="3"/>
  <c r="D109" i="3"/>
  <c r="A109" i="3"/>
  <c r="D108" i="3"/>
  <c r="A108" i="3"/>
  <c r="D107" i="3"/>
  <c r="A107" i="3"/>
  <c r="D106" i="3"/>
  <c r="A106" i="3"/>
  <c r="D105" i="3"/>
  <c r="A105" i="3"/>
  <c r="D104" i="3"/>
  <c r="A104" i="3"/>
  <c r="D103" i="3"/>
  <c r="A103" i="3"/>
  <c r="D102" i="3"/>
  <c r="A102" i="3"/>
  <c r="D101" i="3"/>
  <c r="A101" i="3"/>
  <c r="D100" i="3"/>
  <c r="A100" i="3"/>
  <c r="D99" i="3"/>
  <c r="A99" i="3"/>
  <c r="D98" i="3"/>
  <c r="A98" i="3"/>
  <c r="D97" i="3"/>
  <c r="A97" i="3"/>
  <c r="D96" i="3"/>
  <c r="A96" i="3"/>
  <c r="D95" i="3"/>
  <c r="A95" i="3"/>
  <c r="D94" i="3"/>
  <c r="A94" i="3"/>
  <c r="D93" i="3"/>
  <c r="A93" i="3"/>
  <c r="D92" i="3"/>
  <c r="A92" i="3"/>
  <c r="D91" i="3"/>
  <c r="A91" i="3"/>
  <c r="D90" i="3"/>
  <c r="A90" i="3"/>
  <c r="D89" i="3"/>
  <c r="A89" i="3"/>
  <c r="D88" i="3"/>
  <c r="A88" i="3"/>
  <c r="D87" i="3"/>
  <c r="A87" i="3"/>
  <c r="D86" i="3"/>
  <c r="A86" i="3"/>
  <c r="D85" i="3"/>
  <c r="A85" i="3"/>
  <c r="D84" i="3"/>
  <c r="A84" i="3"/>
  <c r="D83" i="3"/>
  <c r="A83" i="3"/>
  <c r="D82" i="3"/>
  <c r="A82" i="3"/>
  <c r="D81" i="3"/>
  <c r="A81" i="3"/>
  <c r="D80" i="3"/>
  <c r="A80" i="3"/>
  <c r="D79" i="3"/>
  <c r="A79" i="3"/>
  <c r="D78" i="3"/>
  <c r="A78" i="3"/>
  <c r="D77" i="3"/>
  <c r="A77" i="3"/>
  <c r="D76" i="3"/>
  <c r="A76" i="3"/>
  <c r="D75" i="3"/>
  <c r="A75" i="3"/>
  <c r="D74" i="3"/>
  <c r="A74" i="3"/>
  <c r="D73" i="3"/>
  <c r="A73" i="3"/>
  <c r="D72" i="3"/>
  <c r="A72" i="3"/>
  <c r="D71" i="3"/>
  <c r="A71" i="3"/>
  <c r="D70" i="3"/>
  <c r="A70" i="3"/>
  <c r="D69" i="3"/>
  <c r="A69" i="3"/>
  <c r="D68" i="3"/>
  <c r="A68" i="3"/>
  <c r="D67" i="3"/>
  <c r="A67" i="3"/>
  <c r="D66" i="3"/>
  <c r="A66" i="3"/>
  <c r="D65" i="3"/>
  <c r="A65" i="3"/>
  <c r="D64" i="3"/>
  <c r="A64" i="3"/>
  <c r="D63" i="3"/>
  <c r="A63" i="3"/>
  <c r="D62" i="3"/>
  <c r="A62" i="3"/>
  <c r="D61" i="3"/>
  <c r="A61" i="3"/>
  <c r="D60" i="3"/>
  <c r="A60" i="3"/>
  <c r="D59" i="3"/>
  <c r="A59" i="3"/>
  <c r="D58" i="3"/>
  <c r="A58" i="3"/>
  <c r="D57" i="3"/>
  <c r="A57" i="3"/>
  <c r="D56" i="3"/>
  <c r="A56" i="3"/>
  <c r="D55" i="3"/>
  <c r="A55" i="3"/>
  <c r="D54" i="3"/>
  <c r="A54" i="3"/>
  <c r="D53" i="3"/>
  <c r="A53" i="3"/>
  <c r="D52" i="3"/>
  <c r="A52" i="3"/>
  <c r="D51" i="3"/>
  <c r="A51" i="3"/>
  <c r="D50" i="3"/>
  <c r="A50" i="3"/>
  <c r="D49" i="3"/>
  <c r="A49" i="3"/>
  <c r="D48" i="3"/>
  <c r="A48" i="3"/>
  <c r="D47" i="3"/>
  <c r="A47" i="3"/>
  <c r="D46" i="3"/>
  <c r="A46" i="3"/>
  <c r="D45" i="3"/>
  <c r="A45" i="3"/>
  <c r="D44" i="3"/>
  <c r="A44" i="3"/>
  <c r="D43" i="3"/>
  <c r="A43" i="3"/>
  <c r="D42" i="3"/>
  <c r="A42" i="3"/>
  <c r="D41" i="3"/>
  <c r="A41" i="3"/>
  <c r="D40" i="3"/>
  <c r="A40" i="3"/>
  <c r="D39" i="3"/>
  <c r="A39" i="3"/>
  <c r="D38" i="3"/>
  <c r="A38" i="3"/>
  <c r="D37" i="3"/>
  <c r="A37" i="3"/>
  <c r="D36" i="3"/>
  <c r="A36" i="3"/>
  <c r="D35" i="3"/>
  <c r="A35" i="3"/>
  <c r="D34" i="3"/>
  <c r="A34" i="3"/>
  <c r="D33" i="3"/>
  <c r="A33" i="3"/>
  <c r="D32" i="3"/>
  <c r="A32" i="3"/>
  <c r="D31" i="3"/>
  <c r="A31" i="3"/>
  <c r="D30" i="3"/>
  <c r="A30" i="3"/>
  <c r="D29" i="3"/>
  <c r="A29" i="3"/>
  <c r="D28" i="3"/>
  <c r="A28" i="3"/>
  <c r="D27" i="3"/>
  <c r="A27" i="3"/>
  <c r="D26" i="3"/>
  <c r="A26" i="3"/>
  <c r="D25" i="3"/>
  <c r="A25" i="3"/>
  <c r="D24" i="3"/>
  <c r="A24" i="3"/>
  <c r="D23" i="3"/>
  <c r="A23" i="3"/>
  <c r="D22" i="3"/>
  <c r="A22" i="3"/>
  <c r="D21" i="3"/>
  <c r="A21" i="3"/>
  <c r="D20" i="3"/>
  <c r="A20" i="3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A4" i="3"/>
  <c r="H204" i="2"/>
  <c r="D203" i="2"/>
  <c r="A203" i="2"/>
  <c r="D202" i="2"/>
  <c r="A202" i="2"/>
  <c r="D201" i="2"/>
  <c r="A201" i="2"/>
  <c r="D200" i="2"/>
  <c r="A200" i="2"/>
  <c r="D199" i="2"/>
  <c r="A199" i="2"/>
  <c r="D198" i="2"/>
  <c r="A198" i="2"/>
  <c r="D197" i="2"/>
  <c r="A197" i="2"/>
  <c r="D196" i="2"/>
  <c r="A196" i="2"/>
  <c r="D195" i="2"/>
  <c r="A195" i="2"/>
  <c r="D194" i="2"/>
  <c r="A194" i="2"/>
  <c r="D193" i="2"/>
  <c r="A193" i="2"/>
  <c r="D192" i="2"/>
  <c r="A192" i="2"/>
  <c r="D191" i="2"/>
  <c r="A191" i="2"/>
  <c r="D190" i="2"/>
  <c r="A190" i="2"/>
  <c r="D189" i="2"/>
  <c r="A189" i="2"/>
  <c r="D188" i="2"/>
  <c r="A188" i="2"/>
  <c r="D187" i="2"/>
  <c r="A187" i="2"/>
  <c r="D186" i="2"/>
  <c r="A186" i="2"/>
  <c r="D185" i="2"/>
  <c r="A185" i="2"/>
  <c r="D184" i="2"/>
  <c r="A184" i="2"/>
  <c r="D183" i="2"/>
  <c r="A183" i="2"/>
  <c r="D182" i="2"/>
  <c r="A182" i="2"/>
  <c r="D181" i="2"/>
  <c r="A181" i="2"/>
  <c r="D180" i="2"/>
  <c r="A180" i="2"/>
  <c r="D179" i="2"/>
  <c r="A179" i="2"/>
  <c r="D178" i="2"/>
  <c r="A178" i="2"/>
  <c r="D177" i="2"/>
  <c r="A177" i="2"/>
  <c r="D176" i="2"/>
  <c r="A176" i="2"/>
  <c r="D175" i="2"/>
  <c r="A175" i="2"/>
  <c r="D174" i="2"/>
  <c r="A174" i="2"/>
  <c r="D173" i="2"/>
  <c r="A173" i="2"/>
  <c r="D172" i="2"/>
  <c r="A172" i="2"/>
  <c r="D171" i="2"/>
  <c r="A171" i="2"/>
  <c r="D170" i="2"/>
  <c r="A170" i="2"/>
  <c r="D169" i="2"/>
  <c r="A169" i="2"/>
  <c r="D168" i="2"/>
  <c r="A168" i="2"/>
  <c r="D167" i="2"/>
  <c r="A167" i="2"/>
  <c r="D166" i="2"/>
  <c r="A166" i="2"/>
  <c r="D165" i="2"/>
  <c r="A165" i="2"/>
  <c r="D164" i="2"/>
  <c r="A164" i="2"/>
  <c r="D163" i="2"/>
  <c r="A163" i="2"/>
  <c r="D162" i="2"/>
  <c r="A162" i="2"/>
  <c r="D161" i="2"/>
  <c r="A161" i="2"/>
  <c r="D160" i="2"/>
  <c r="A160" i="2"/>
  <c r="D159" i="2"/>
  <c r="A159" i="2"/>
  <c r="D158" i="2"/>
  <c r="A158" i="2"/>
  <c r="D157" i="2"/>
  <c r="A157" i="2"/>
  <c r="D156" i="2"/>
  <c r="A156" i="2"/>
  <c r="D155" i="2"/>
  <c r="A155" i="2"/>
  <c r="D154" i="2"/>
  <c r="A154" i="2"/>
  <c r="D153" i="2"/>
  <c r="A153" i="2"/>
  <c r="D152" i="2"/>
  <c r="A152" i="2"/>
  <c r="D151" i="2"/>
  <c r="A151" i="2"/>
  <c r="D150" i="2"/>
  <c r="A150" i="2"/>
  <c r="D149" i="2"/>
  <c r="A149" i="2"/>
  <c r="D148" i="2"/>
  <c r="A148" i="2"/>
  <c r="D147" i="2"/>
  <c r="A147" i="2"/>
  <c r="D146" i="2"/>
  <c r="A146" i="2"/>
  <c r="D145" i="2"/>
  <c r="A145" i="2"/>
  <c r="D144" i="2"/>
  <c r="A144" i="2"/>
  <c r="D143" i="2"/>
  <c r="A143" i="2"/>
  <c r="D142" i="2"/>
  <c r="A142" i="2"/>
  <c r="D141" i="2"/>
  <c r="A141" i="2"/>
  <c r="D140" i="2"/>
  <c r="A140" i="2"/>
  <c r="D139" i="2"/>
  <c r="A139" i="2"/>
  <c r="D138" i="2"/>
  <c r="A138" i="2"/>
  <c r="D137" i="2"/>
  <c r="A137" i="2"/>
  <c r="D136" i="2"/>
  <c r="A136" i="2"/>
  <c r="D135" i="2"/>
  <c r="A135" i="2"/>
  <c r="D134" i="2"/>
  <c r="A134" i="2"/>
  <c r="D133" i="2"/>
  <c r="A133" i="2"/>
  <c r="D132" i="2"/>
  <c r="A132" i="2"/>
  <c r="D131" i="2"/>
  <c r="A131" i="2"/>
  <c r="D130" i="2"/>
  <c r="A130" i="2"/>
  <c r="D129" i="2"/>
  <c r="A129" i="2"/>
  <c r="D128" i="2"/>
  <c r="A128" i="2"/>
  <c r="D127" i="2"/>
  <c r="A127" i="2"/>
  <c r="D126" i="2"/>
  <c r="A126" i="2"/>
  <c r="D125" i="2"/>
  <c r="A125" i="2"/>
  <c r="D124" i="2"/>
  <c r="A124" i="2"/>
  <c r="D123" i="2"/>
  <c r="A123" i="2"/>
  <c r="D122" i="2"/>
  <c r="A122" i="2"/>
  <c r="D121" i="2"/>
  <c r="A121" i="2"/>
  <c r="D120" i="2"/>
  <c r="A120" i="2"/>
  <c r="D119" i="2"/>
  <c r="A119" i="2"/>
  <c r="D118" i="2"/>
  <c r="A118" i="2"/>
  <c r="D117" i="2"/>
  <c r="A117" i="2"/>
  <c r="D116" i="2"/>
  <c r="A116" i="2"/>
  <c r="D115" i="2"/>
  <c r="A115" i="2"/>
  <c r="D114" i="2"/>
  <c r="A114" i="2"/>
  <c r="D113" i="2"/>
  <c r="A113" i="2"/>
  <c r="D112" i="2"/>
  <c r="A112" i="2"/>
  <c r="D111" i="2"/>
  <c r="A111" i="2"/>
  <c r="D110" i="2"/>
  <c r="A110" i="2"/>
  <c r="D109" i="2"/>
  <c r="A109" i="2"/>
  <c r="D108" i="2"/>
  <c r="A108" i="2"/>
  <c r="D107" i="2"/>
  <c r="A107" i="2"/>
  <c r="D106" i="2"/>
  <c r="A106" i="2"/>
  <c r="D105" i="2"/>
  <c r="A105" i="2"/>
  <c r="D104" i="2"/>
  <c r="A104" i="2"/>
  <c r="D103" i="2"/>
  <c r="A103" i="2"/>
  <c r="D102" i="2"/>
  <c r="A102" i="2"/>
  <c r="D101" i="2"/>
  <c r="A101" i="2"/>
  <c r="D100" i="2"/>
  <c r="A100" i="2"/>
  <c r="D99" i="2"/>
  <c r="A99" i="2"/>
  <c r="D98" i="2"/>
  <c r="A98" i="2"/>
  <c r="D97" i="2"/>
  <c r="A97" i="2"/>
  <c r="D96" i="2"/>
  <c r="A96" i="2"/>
  <c r="D95" i="2"/>
  <c r="A95" i="2"/>
  <c r="D94" i="2"/>
  <c r="A94" i="2"/>
  <c r="D93" i="2"/>
  <c r="A93" i="2"/>
  <c r="D92" i="2"/>
  <c r="A92" i="2"/>
  <c r="D91" i="2"/>
  <c r="A91" i="2"/>
  <c r="D90" i="2"/>
  <c r="A90" i="2"/>
  <c r="D89" i="2"/>
  <c r="A89" i="2"/>
  <c r="D88" i="2"/>
  <c r="A88" i="2"/>
  <c r="D87" i="2"/>
  <c r="A87" i="2"/>
  <c r="D86" i="2"/>
  <c r="A86" i="2"/>
  <c r="D85" i="2"/>
  <c r="A85" i="2"/>
  <c r="D84" i="2"/>
  <c r="A84" i="2"/>
  <c r="D83" i="2"/>
  <c r="A83" i="2"/>
  <c r="D82" i="2"/>
  <c r="A82" i="2"/>
  <c r="D81" i="2"/>
  <c r="A81" i="2"/>
  <c r="D80" i="2"/>
  <c r="A80" i="2"/>
  <c r="D79" i="2"/>
  <c r="A79" i="2"/>
  <c r="D78" i="2"/>
  <c r="A78" i="2"/>
  <c r="D77" i="2"/>
  <c r="A77" i="2"/>
  <c r="D76" i="2"/>
  <c r="A76" i="2"/>
  <c r="D75" i="2"/>
  <c r="A75" i="2"/>
  <c r="D74" i="2"/>
  <c r="A74" i="2"/>
  <c r="D73" i="2"/>
  <c r="A73" i="2"/>
  <c r="D72" i="2"/>
  <c r="A72" i="2"/>
  <c r="D71" i="2"/>
  <c r="A71" i="2"/>
  <c r="D70" i="2"/>
  <c r="A70" i="2"/>
  <c r="D69" i="2"/>
  <c r="A69" i="2"/>
  <c r="D68" i="2"/>
  <c r="A68" i="2"/>
  <c r="D67" i="2"/>
  <c r="A67" i="2"/>
  <c r="D66" i="2"/>
  <c r="A66" i="2"/>
  <c r="D65" i="2"/>
  <c r="A65" i="2"/>
  <c r="D64" i="2"/>
  <c r="A64" i="2"/>
  <c r="D63" i="2"/>
  <c r="A63" i="2"/>
  <c r="D62" i="2"/>
  <c r="A62" i="2"/>
  <c r="D61" i="2"/>
  <c r="A61" i="2"/>
  <c r="D60" i="2"/>
  <c r="A60" i="2"/>
  <c r="D59" i="2"/>
  <c r="A59" i="2"/>
  <c r="D58" i="2"/>
  <c r="A58" i="2"/>
  <c r="D57" i="2"/>
  <c r="A57" i="2"/>
  <c r="D56" i="2"/>
  <c r="A56" i="2"/>
  <c r="D55" i="2"/>
  <c r="A55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D46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</calcChain>
</file>

<file path=xl/sharedStrings.xml><?xml version="1.0" encoding="utf-8"?>
<sst xmlns="http://schemas.openxmlformats.org/spreadsheetml/2006/main" count="72" uniqueCount="66">
  <si>
    <t>⚙️  Araçları bu sayfaya manuel girin — diğer sekmeler otomatik güncellenir   |   Son Güncelleme: 10.06.2026</t>
  </si>
  <si>
    <t>Sıra
No</t>
  </si>
  <si>
    <t>Plaka / Seri No</t>
  </si>
  <si>
    <t>Araç / Makine Adı</t>
  </si>
  <si>
    <t>Marka</t>
  </si>
  <si>
    <t>Model</t>
  </si>
  <si>
    <t>Model
Yılı</t>
  </si>
  <si>
    <t>Sayaç
(KM / Saat)</t>
  </si>
  <si>
    <t>Muayene
Tarihi</t>
  </si>
  <si>
    <t>Sigorta
Bitiş</t>
  </si>
  <si>
    <t>Son Bakım
Tarihi</t>
  </si>
  <si>
    <t>Sonraki Bakım
Tarihi</t>
  </si>
  <si>
    <t>Bağlı Birim</t>
  </si>
  <si>
    <t>Durum</t>
  </si>
  <si>
    <t>Notlar</t>
  </si>
  <si>
    <t>C sütununa plakayı girin → Araç adı ve birimi otomatik gelir</t>
  </si>
  <si>
    <t>No</t>
  </si>
  <si>
    <t>Bakım
Tarihi</t>
  </si>
  <si>
    <t>Araç / Makine Adı
(Otomatik)</t>
  </si>
  <si>
    <t>Bakım Türü</t>
  </si>
  <si>
    <t>Yapılan İşlemler</t>
  </si>
  <si>
    <t>Kullanılan
Malzeme</t>
  </si>
  <si>
    <t>Maliyet
(TL)</t>
  </si>
  <si>
    <t>Yapan Firma /
Personel</t>
  </si>
  <si>
    <t>TOPLAM BAKIM MALİYETİ</t>
  </si>
  <si>
    <t>C sütununa plakayı girin → Araç adı otomatik gelir  |  Toplam Tutar = Miktar × Birim Fiyat (otomatik)</t>
  </si>
  <si>
    <t>Tarih</t>
  </si>
  <si>
    <t>Yakıt Türü</t>
  </si>
  <si>
    <t>Miktar
(Litre)</t>
  </si>
  <si>
    <t>Birim
Fiyat (TL)</t>
  </si>
  <si>
    <t>Toplam Tutar
(TL – Otomatik)</t>
  </si>
  <si>
    <t>Sayaç
(KM/Saat)</t>
  </si>
  <si>
    <t>Sorumlu Personel</t>
  </si>
  <si>
    <t>TOPLAM YAKIT GİDERİ</t>
  </si>
  <si>
    <t>★  Tüm veriler Araç Envanteri, Bakım Takip ve Yakıt Takip sekmelerinden otomatik çekilmektedir</t>
  </si>
  <si>
    <t>🚛  TOPLAM ARAÇ / MAKİNE</t>
  </si>
  <si>
    <t>✅  AKTİF</t>
  </si>
  <si>
    <t>🔧  BAKIMDA</t>
  </si>
  <si>
    <t>⚠️  ARIZALI</t>
  </si>
  <si>
    <t>Kayıtlı araç sayısı</t>
  </si>
  <si>
    <t>Çalışır durumda</t>
  </si>
  <si>
    <t>Bakım / onarımda</t>
  </si>
  <si>
    <t>Arıza mevcut</t>
  </si>
  <si>
    <t>🔩  BAKIM KAYIT SAYISI</t>
  </si>
  <si>
    <t>💰  TOPLAM BAKIM MALİYETİ</t>
  </si>
  <si>
    <t>⛽  TOPLAM YAKIT (LT)</t>
  </si>
  <si>
    <t>💵  TOPLAM YAKIT MALİYETİ</t>
  </si>
  <si>
    <t>Toplam bakım girişi</t>
  </si>
  <si>
    <t>Tüm bakım giderleri</t>
  </si>
  <si>
    <t>Toplam yakıt tüketimi</t>
  </si>
  <si>
    <t>Tüm yakıt giderleri</t>
  </si>
  <si>
    <t>ARAÇ DURUM DAĞILIMI</t>
  </si>
  <si>
    <t>YAKLAŞAN BAKIMLAR (Son Girilen 10)</t>
  </si>
  <si>
    <t>Aktif</t>
  </si>
  <si>
    <t>Plaka</t>
  </si>
  <si>
    <t>Araç Adı</t>
  </si>
  <si>
    <t>Sonraki Bakım</t>
  </si>
  <si>
    <t>Bakımda</t>
  </si>
  <si>
    <t>Arızalı</t>
  </si>
  <si>
    <t>Hurdaya Ayrıldı</t>
  </si>
  <si>
    <t>TOPLAM</t>
  </si>
  <si>
    <t>GENEL TOPLAM MALİYET (Bakım + Yakıt)</t>
  </si>
  <si>
    <t>ARAÇ VE İŞ MAKİNESİ ENVANTERİ</t>
  </si>
  <si>
    <t>BAKIM VE ONARIM TAKİP ÇİZELGESİ</t>
  </si>
  <si>
    <t>YAKIT TAKİP ÇİZELGESİ</t>
  </si>
  <si>
    <t xml:space="preserve"> YÖNETİM ÖZET PANELİ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</si>
</sst>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TL&quot;"/>
    <numFmt numFmtId="165" formatCode="#,##0.00\ &quot;Lt&quot;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5"/>
      <color rgb="FFFFFFFF"/>
      <name val="Arial"/>
      <family val="2"/>
      <charset val="162"/>
    </font>
    <font>
      <b/>
      <sz val="20"/>
      <color rgb="FFFFFFFF"/>
      <name val="Arial"/>
      <family val="2"/>
      <charset val="162"/>
    </font>
    <font>
      <i/>
      <sz val="9"/>
      <color rgb="FFFFFFFF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375623"/>
      <name val="Arial"/>
      <family val="2"/>
      <charset val="162"/>
    </font>
    <font>
      <b/>
      <sz val="12"/>
      <color rgb="FF843C0C"/>
      <name val="Arial"/>
      <family val="2"/>
      <charset val="162"/>
    </font>
    <font>
      <b/>
      <sz val="12"/>
      <color rgb="FFC00000"/>
      <name val="Arial"/>
      <family val="2"/>
      <charset val="162"/>
    </font>
    <font>
      <b/>
      <sz val="12"/>
      <color rgb="FF595959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D7D31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FD7D7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/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/>
    <xf numFmtId="0" fontId="4" fillId="8" borderId="1" xfId="0" applyFont="1" applyFill="1" applyBorder="1" applyAlignment="1">
      <alignment horizontal="center" vertical="center" wrapText="1"/>
    </xf>
    <xf numFmtId="1" fontId="6" fillId="12" borderId="1" xfId="0" applyNumberFormat="1" applyFont="1" applyFill="1" applyBorder="1" applyAlignment="1">
      <alignment horizontal="center" vertical="center" wrapText="1"/>
    </xf>
    <xf numFmtId="164" fontId="6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/>
    <xf numFmtId="0" fontId="3" fillId="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14" fillId="11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/>
    <xf numFmtId="0" fontId="8" fillId="2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/>
    <xf numFmtId="0" fontId="7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/>
    <xf numFmtId="0" fontId="2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/>
    <xf numFmtId="1" fontId="6" fillId="4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203"/>
  <sheetViews>
    <sheetView workbookViewId="0">
      <pane xSplit="1" ySplit="3" topLeftCell="B4" activePane="bottomRight" state="frozen"/>
      <selection pane="topRight"/>
      <selection pane="bottomLeft"/>
      <selection pane="bottomRight" activeCell="A2" sqref="A2:N2"/>
    </sheetView>
  </sheetViews>
  <sheetFormatPr defaultRowHeight="14.4" x14ac:dyDescent="0.3"/>
  <cols>
    <col min="1" max="1" width="6" customWidth="1"/>
    <col min="2" max="2" width="15" customWidth="1"/>
    <col min="3" max="3" width="24" customWidth="1"/>
    <col min="4" max="5" width="14" customWidth="1"/>
    <col min="6" max="6" width="8" customWidth="1"/>
    <col min="7" max="7" width="16" customWidth="1"/>
    <col min="8" max="10" width="14" customWidth="1"/>
    <col min="11" max="11" width="16" customWidth="1"/>
    <col min="12" max="12" width="20" customWidth="1"/>
    <col min="13" max="13" width="14" customWidth="1"/>
    <col min="14" max="14" width="24" customWidth="1"/>
  </cols>
  <sheetData>
    <row r="1" spans="1:15" ht="38.1" customHeight="1" x14ac:dyDescent="0.3">
      <c r="A1" s="22" t="s">
        <v>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7"/>
    </row>
    <row r="2" spans="1:15" ht="20.100000000000001" customHeight="1" x14ac:dyDescent="0.3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17"/>
    </row>
    <row r="3" spans="1:15" ht="42" customHeight="1" x14ac:dyDescent="0.3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7"/>
    </row>
    <row r="4" spans="1:15" ht="20.100000000000001" customHeight="1" x14ac:dyDescent="0.3">
      <c r="A4" s="21" t="str">
        <f t="shared" ref="A4:A35" si="0">IF(B4&lt;&gt;"",ROW()-3,"")</f>
        <v/>
      </c>
      <c r="B4" s="21"/>
      <c r="C4" s="1"/>
      <c r="D4" s="21"/>
      <c r="E4" s="21"/>
      <c r="F4" s="21"/>
      <c r="G4" s="21"/>
      <c r="H4" s="21"/>
      <c r="I4" s="21"/>
      <c r="J4" s="21"/>
      <c r="K4" s="21"/>
      <c r="L4" s="1"/>
      <c r="M4" s="21"/>
      <c r="N4" s="1"/>
      <c r="O4" s="17"/>
    </row>
    <row r="5" spans="1:15" ht="20.100000000000001" customHeight="1" x14ac:dyDescent="0.3">
      <c r="A5" s="2" t="str">
        <f t="shared" si="0"/>
        <v/>
      </c>
      <c r="B5" s="2"/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3"/>
      <c r="O5" s="17"/>
    </row>
    <row r="6" spans="1:15" ht="20.100000000000001" customHeight="1" x14ac:dyDescent="0.3">
      <c r="A6" s="21" t="str">
        <f t="shared" si="0"/>
        <v/>
      </c>
      <c r="B6" s="21"/>
      <c r="C6" s="1"/>
      <c r="D6" s="21"/>
      <c r="E6" s="21"/>
      <c r="F6" s="21"/>
      <c r="G6" s="21"/>
      <c r="H6" s="21"/>
      <c r="I6" s="21"/>
      <c r="J6" s="21"/>
      <c r="K6" s="21"/>
      <c r="L6" s="1"/>
      <c r="M6" s="21"/>
      <c r="N6" s="1"/>
      <c r="O6" s="17"/>
    </row>
    <row r="7" spans="1:15" ht="20.100000000000001" customHeight="1" x14ac:dyDescent="0.3">
      <c r="A7" s="2" t="str">
        <f t="shared" si="0"/>
        <v/>
      </c>
      <c r="B7" s="2"/>
      <c r="C7" s="3"/>
      <c r="D7" s="2"/>
      <c r="E7" s="2"/>
      <c r="F7" s="2"/>
      <c r="G7" s="2"/>
      <c r="H7" s="2"/>
      <c r="I7" s="2"/>
      <c r="J7" s="2"/>
      <c r="K7" s="2"/>
      <c r="L7" s="3"/>
      <c r="M7" s="2"/>
      <c r="N7" s="3"/>
      <c r="O7" s="17"/>
    </row>
    <row r="8" spans="1:15" ht="20.100000000000001" customHeight="1" x14ac:dyDescent="0.3">
      <c r="A8" s="21" t="str">
        <f t="shared" si="0"/>
        <v/>
      </c>
      <c r="B8" s="21"/>
      <c r="C8" s="1"/>
      <c r="D8" s="21"/>
      <c r="E8" s="21"/>
      <c r="F8" s="21"/>
      <c r="G8" s="21"/>
      <c r="H8" s="21"/>
      <c r="I8" s="21"/>
      <c r="J8" s="21"/>
      <c r="K8" s="21"/>
      <c r="L8" s="1"/>
      <c r="M8" s="21"/>
      <c r="N8" s="1"/>
      <c r="O8" s="17"/>
    </row>
    <row r="9" spans="1:15" ht="20.100000000000001" customHeight="1" x14ac:dyDescent="0.3">
      <c r="A9" s="2" t="str">
        <f t="shared" si="0"/>
        <v/>
      </c>
      <c r="B9" s="2"/>
      <c r="C9" s="3"/>
      <c r="D9" s="2"/>
      <c r="E9" s="2"/>
      <c r="F9" s="2"/>
      <c r="G9" s="2"/>
      <c r="H9" s="2"/>
      <c r="I9" s="2"/>
      <c r="J9" s="2"/>
      <c r="K9" s="2"/>
      <c r="L9" s="3"/>
      <c r="M9" s="2"/>
      <c r="N9" s="3"/>
      <c r="O9" s="17"/>
    </row>
    <row r="10" spans="1:15" ht="20.100000000000001" customHeight="1" x14ac:dyDescent="0.3">
      <c r="A10" s="21" t="str">
        <f t="shared" si="0"/>
        <v/>
      </c>
      <c r="B10" s="21"/>
      <c r="C10" s="1"/>
      <c r="D10" s="21"/>
      <c r="E10" s="21"/>
      <c r="F10" s="21"/>
      <c r="G10" s="21"/>
      <c r="H10" s="21"/>
      <c r="I10" s="21"/>
      <c r="J10" s="21"/>
      <c r="K10" s="21"/>
      <c r="L10" s="1"/>
      <c r="M10" s="21"/>
      <c r="N10" s="1"/>
      <c r="O10" s="17"/>
    </row>
    <row r="11" spans="1:15" ht="20.100000000000001" customHeight="1" x14ac:dyDescent="0.3">
      <c r="A11" s="2" t="str">
        <f t="shared" si="0"/>
        <v/>
      </c>
      <c r="B11" s="2"/>
      <c r="C11" s="3"/>
      <c r="D11" s="2"/>
      <c r="E11" s="2"/>
      <c r="F11" s="2"/>
      <c r="G11" s="2"/>
      <c r="H11" s="2"/>
      <c r="I11" s="2"/>
      <c r="J11" s="2"/>
      <c r="K11" s="2"/>
      <c r="L11" s="3"/>
      <c r="M11" s="2"/>
      <c r="N11" s="3"/>
      <c r="O11" s="17"/>
    </row>
    <row r="12" spans="1:15" ht="20.100000000000001" customHeight="1" x14ac:dyDescent="0.3">
      <c r="A12" s="21" t="str">
        <f t="shared" si="0"/>
        <v/>
      </c>
      <c r="B12" s="21"/>
      <c r="C12" s="1"/>
      <c r="D12" s="21"/>
      <c r="E12" s="21"/>
      <c r="F12" s="21"/>
      <c r="G12" s="21"/>
      <c r="H12" s="21"/>
      <c r="I12" s="21"/>
      <c r="J12" s="21"/>
      <c r="K12" s="21"/>
      <c r="L12" s="1"/>
      <c r="M12" s="21"/>
      <c r="N12" s="1"/>
      <c r="O12" s="17"/>
    </row>
    <row r="13" spans="1:15" ht="20.100000000000001" customHeight="1" x14ac:dyDescent="0.3">
      <c r="A13" s="2" t="str">
        <f t="shared" si="0"/>
        <v/>
      </c>
      <c r="B13" s="2"/>
      <c r="C13" s="3"/>
      <c r="D13" s="2"/>
      <c r="E13" s="2"/>
      <c r="F13" s="2"/>
      <c r="G13" s="2"/>
      <c r="H13" s="2"/>
      <c r="I13" s="2"/>
      <c r="J13" s="2"/>
      <c r="K13" s="2"/>
      <c r="L13" s="3"/>
      <c r="M13" s="2"/>
      <c r="N13" s="3"/>
      <c r="O13" s="17"/>
    </row>
    <row r="14" spans="1:15" ht="20.100000000000001" customHeight="1" x14ac:dyDescent="0.3">
      <c r="A14" s="21" t="str">
        <f t="shared" si="0"/>
        <v/>
      </c>
      <c r="B14" s="21"/>
      <c r="C14" s="1"/>
      <c r="D14" s="21"/>
      <c r="E14" s="21"/>
      <c r="F14" s="21"/>
      <c r="G14" s="21"/>
      <c r="H14" s="21"/>
      <c r="I14" s="21"/>
      <c r="J14" s="21"/>
      <c r="K14" s="21"/>
      <c r="L14" s="1"/>
      <c r="M14" s="21"/>
      <c r="N14" s="1"/>
      <c r="O14" s="17"/>
    </row>
    <row r="15" spans="1:15" ht="20.100000000000001" customHeight="1" x14ac:dyDescent="0.3">
      <c r="A15" s="2" t="str">
        <f t="shared" si="0"/>
        <v/>
      </c>
      <c r="B15" s="2"/>
      <c r="C15" s="3"/>
      <c r="D15" s="2"/>
      <c r="E15" s="2"/>
      <c r="F15" s="2"/>
      <c r="G15" s="2"/>
      <c r="H15" s="2"/>
      <c r="I15" s="2"/>
      <c r="J15" s="2"/>
      <c r="K15" s="2"/>
      <c r="L15" s="3"/>
      <c r="M15" s="2"/>
      <c r="N15" s="3"/>
      <c r="O15" s="17"/>
    </row>
    <row r="16" spans="1:15" ht="20.100000000000001" customHeight="1" x14ac:dyDescent="0.3">
      <c r="A16" s="21" t="str">
        <f t="shared" si="0"/>
        <v/>
      </c>
      <c r="B16" s="21"/>
      <c r="C16" s="1"/>
      <c r="D16" s="21"/>
      <c r="E16" s="21"/>
      <c r="F16" s="21"/>
      <c r="G16" s="21"/>
      <c r="H16" s="21"/>
      <c r="I16" s="21"/>
      <c r="J16" s="21"/>
      <c r="K16" s="21"/>
      <c r="L16" s="1"/>
      <c r="M16" s="21"/>
      <c r="N16" s="1"/>
      <c r="O16" s="17"/>
    </row>
    <row r="17" spans="1:15" ht="20.100000000000001" customHeight="1" x14ac:dyDescent="0.3">
      <c r="A17" s="2" t="str">
        <f t="shared" si="0"/>
        <v/>
      </c>
      <c r="B17" s="2"/>
      <c r="C17" s="3"/>
      <c r="D17" s="2"/>
      <c r="E17" s="2"/>
      <c r="F17" s="2"/>
      <c r="G17" s="2"/>
      <c r="H17" s="2"/>
      <c r="I17" s="2"/>
      <c r="J17" s="2"/>
      <c r="K17" s="2"/>
      <c r="L17" s="3"/>
      <c r="M17" s="2"/>
      <c r="N17" s="3"/>
      <c r="O17" s="17"/>
    </row>
    <row r="18" spans="1:15" ht="20.100000000000001" customHeight="1" x14ac:dyDescent="0.3">
      <c r="A18" s="21" t="str">
        <f t="shared" si="0"/>
        <v/>
      </c>
      <c r="B18" s="21"/>
      <c r="C18" s="1"/>
      <c r="D18" s="21"/>
      <c r="E18" s="21"/>
      <c r="F18" s="21"/>
      <c r="G18" s="21"/>
      <c r="H18" s="21"/>
      <c r="I18" s="21"/>
      <c r="J18" s="21"/>
      <c r="K18" s="21"/>
      <c r="L18" s="1"/>
      <c r="M18" s="21"/>
      <c r="N18" s="1"/>
      <c r="O18" s="17"/>
    </row>
    <row r="19" spans="1:15" ht="20.100000000000001" customHeight="1" x14ac:dyDescent="0.3">
      <c r="A19" s="2" t="str">
        <f t="shared" si="0"/>
        <v/>
      </c>
      <c r="B19" s="2"/>
      <c r="C19" s="3"/>
      <c r="D19" s="2"/>
      <c r="E19" s="2"/>
      <c r="F19" s="2"/>
      <c r="G19" s="2"/>
      <c r="H19" s="2"/>
      <c r="I19" s="2"/>
      <c r="J19" s="2"/>
      <c r="K19" s="2"/>
      <c r="L19" s="3"/>
      <c r="M19" s="2"/>
      <c r="N19" s="3"/>
      <c r="O19" s="17"/>
    </row>
    <row r="20" spans="1:15" ht="20.100000000000001" customHeight="1" x14ac:dyDescent="0.3">
      <c r="A20" s="21" t="str">
        <f t="shared" si="0"/>
        <v/>
      </c>
      <c r="B20" s="21"/>
      <c r="C20" s="1"/>
      <c r="D20" s="21"/>
      <c r="E20" s="21"/>
      <c r="F20" s="21"/>
      <c r="G20" s="21"/>
      <c r="H20" s="21"/>
      <c r="I20" s="21"/>
      <c r="J20" s="21"/>
      <c r="K20" s="21"/>
      <c r="L20" s="1"/>
      <c r="M20" s="21"/>
      <c r="N20" s="1"/>
      <c r="O20" s="17"/>
    </row>
    <row r="21" spans="1:15" ht="20.100000000000001" customHeight="1" x14ac:dyDescent="0.3">
      <c r="A21" s="2" t="str">
        <f t="shared" si="0"/>
        <v/>
      </c>
      <c r="B21" s="2"/>
      <c r="C21" s="3"/>
      <c r="D21" s="2"/>
      <c r="E21" s="2"/>
      <c r="F21" s="2"/>
      <c r="G21" s="2"/>
      <c r="H21" s="2"/>
      <c r="I21" s="2"/>
      <c r="J21" s="2"/>
      <c r="K21" s="2"/>
      <c r="L21" s="3"/>
      <c r="M21" s="2"/>
      <c r="N21" s="3"/>
      <c r="O21" s="17"/>
    </row>
    <row r="22" spans="1:15" ht="20.100000000000001" customHeight="1" x14ac:dyDescent="0.3">
      <c r="A22" s="21" t="str">
        <f t="shared" si="0"/>
        <v/>
      </c>
      <c r="B22" s="21"/>
      <c r="C22" s="1"/>
      <c r="D22" s="21"/>
      <c r="E22" s="21"/>
      <c r="F22" s="21"/>
      <c r="G22" s="21"/>
      <c r="H22" s="21"/>
      <c r="I22" s="21"/>
      <c r="J22" s="21"/>
      <c r="K22" s="21"/>
      <c r="L22" s="1"/>
      <c r="M22" s="21"/>
      <c r="N22" s="1"/>
      <c r="O22" s="17"/>
    </row>
    <row r="23" spans="1:15" ht="20.100000000000001" customHeight="1" x14ac:dyDescent="0.3">
      <c r="A23" s="2" t="str">
        <f t="shared" si="0"/>
        <v/>
      </c>
      <c r="B23" s="2"/>
      <c r="C23" s="3"/>
      <c r="D23" s="2"/>
      <c r="E23" s="2"/>
      <c r="F23" s="2"/>
      <c r="G23" s="2"/>
      <c r="H23" s="2"/>
      <c r="I23" s="2"/>
      <c r="J23" s="2"/>
      <c r="K23" s="2"/>
      <c r="L23" s="3"/>
      <c r="M23" s="2"/>
      <c r="N23" s="3"/>
      <c r="O23" s="17"/>
    </row>
    <row r="24" spans="1:15" ht="20.100000000000001" customHeight="1" x14ac:dyDescent="0.3">
      <c r="A24" s="21" t="str">
        <f t="shared" si="0"/>
        <v/>
      </c>
      <c r="B24" s="21"/>
      <c r="C24" s="1"/>
      <c r="D24" s="21"/>
      <c r="E24" s="21"/>
      <c r="F24" s="21"/>
      <c r="G24" s="21"/>
      <c r="H24" s="21"/>
      <c r="I24" s="21"/>
      <c r="J24" s="21"/>
      <c r="K24" s="21"/>
      <c r="L24" s="1"/>
      <c r="M24" s="21"/>
      <c r="N24" s="1"/>
      <c r="O24" s="17"/>
    </row>
    <row r="25" spans="1:15" ht="20.100000000000001" customHeight="1" x14ac:dyDescent="0.3">
      <c r="A25" s="2" t="str">
        <f t="shared" si="0"/>
        <v/>
      </c>
      <c r="B25" s="2"/>
      <c r="C25" s="3"/>
      <c r="D25" s="2"/>
      <c r="E25" s="2"/>
      <c r="F25" s="2"/>
      <c r="G25" s="2"/>
      <c r="H25" s="2"/>
      <c r="I25" s="2"/>
      <c r="J25" s="2"/>
      <c r="K25" s="2"/>
      <c r="L25" s="3"/>
      <c r="M25" s="2"/>
      <c r="N25" s="3"/>
      <c r="O25" s="17"/>
    </row>
    <row r="26" spans="1:15" ht="20.100000000000001" customHeight="1" x14ac:dyDescent="0.3">
      <c r="A26" s="21" t="str">
        <f t="shared" si="0"/>
        <v/>
      </c>
      <c r="B26" s="21"/>
      <c r="C26" s="1"/>
      <c r="D26" s="21"/>
      <c r="E26" s="21"/>
      <c r="F26" s="21"/>
      <c r="G26" s="21"/>
      <c r="H26" s="21"/>
      <c r="I26" s="21"/>
      <c r="J26" s="21"/>
      <c r="K26" s="21"/>
      <c r="L26" s="1"/>
      <c r="M26" s="21"/>
      <c r="N26" s="1"/>
      <c r="O26" s="17"/>
    </row>
    <row r="27" spans="1:15" ht="20.100000000000001" customHeight="1" x14ac:dyDescent="0.3">
      <c r="A27" s="2" t="str">
        <f t="shared" si="0"/>
        <v/>
      </c>
      <c r="B27" s="2"/>
      <c r="C27" s="3"/>
      <c r="D27" s="2"/>
      <c r="E27" s="2"/>
      <c r="F27" s="2"/>
      <c r="G27" s="2"/>
      <c r="H27" s="2"/>
      <c r="I27" s="2"/>
      <c r="J27" s="2"/>
      <c r="K27" s="2"/>
      <c r="L27" s="3"/>
      <c r="M27" s="2"/>
      <c r="N27" s="3"/>
      <c r="O27" s="17"/>
    </row>
    <row r="28" spans="1:15" ht="20.100000000000001" customHeight="1" x14ac:dyDescent="0.3">
      <c r="A28" s="21" t="str">
        <f t="shared" si="0"/>
        <v/>
      </c>
      <c r="B28" s="21"/>
      <c r="C28" s="1"/>
      <c r="D28" s="21"/>
      <c r="E28" s="21"/>
      <c r="F28" s="21"/>
      <c r="G28" s="21"/>
      <c r="H28" s="21"/>
      <c r="I28" s="21"/>
      <c r="J28" s="21"/>
      <c r="K28" s="21"/>
      <c r="L28" s="1"/>
      <c r="M28" s="21"/>
      <c r="N28" s="1"/>
      <c r="O28" s="17"/>
    </row>
    <row r="29" spans="1:15" ht="20.100000000000001" customHeight="1" x14ac:dyDescent="0.3">
      <c r="A29" s="2" t="str">
        <f t="shared" si="0"/>
        <v/>
      </c>
      <c r="B29" s="2"/>
      <c r="C29" s="3"/>
      <c r="D29" s="2"/>
      <c r="E29" s="2"/>
      <c r="F29" s="2"/>
      <c r="G29" s="2"/>
      <c r="H29" s="2"/>
      <c r="I29" s="2"/>
      <c r="J29" s="2"/>
      <c r="K29" s="2"/>
      <c r="L29" s="3"/>
      <c r="M29" s="2"/>
      <c r="N29" s="3"/>
      <c r="O29" s="17"/>
    </row>
    <row r="30" spans="1:15" ht="20.100000000000001" customHeight="1" x14ac:dyDescent="0.3">
      <c r="A30" s="21" t="str">
        <f t="shared" si="0"/>
        <v/>
      </c>
      <c r="B30" s="21"/>
      <c r="C30" s="1"/>
      <c r="D30" s="21"/>
      <c r="E30" s="21"/>
      <c r="F30" s="21"/>
      <c r="G30" s="21"/>
      <c r="H30" s="21"/>
      <c r="I30" s="21"/>
      <c r="J30" s="21"/>
      <c r="K30" s="21"/>
      <c r="L30" s="1"/>
      <c r="M30" s="21"/>
      <c r="N30" s="1"/>
      <c r="O30" s="17"/>
    </row>
    <row r="31" spans="1:15" ht="20.100000000000001" customHeight="1" x14ac:dyDescent="0.3">
      <c r="A31" s="2" t="str">
        <f t="shared" si="0"/>
        <v/>
      </c>
      <c r="B31" s="2"/>
      <c r="C31" s="3"/>
      <c r="D31" s="2"/>
      <c r="E31" s="2"/>
      <c r="F31" s="2"/>
      <c r="G31" s="2"/>
      <c r="H31" s="2"/>
      <c r="I31" s="2"/>
      <c r="J31" s="2"/>
      <c r="K31" s="2"/>
      <c r="L31" s="3"/>
      <c r="M31" s="2"/>
      <c r="N31" s="3"/>
      <c r="O31" s="17"/>
    </row>
    <row r="32" spans="1:15" ht="20.100000000000001" customHeight="1" x14ac:dyDescent="0.3">
      <c r="A32" s="21" t="str">
        <f t="shared" si="0"/>
        <v/>
      </c>
      <c r="B32" s="21"/>
      <c r="C32" s="1"/>
      <c r="D32" s="21"/>
      <c r="E32" s="21"/>
      <c r="F32" s="21"/>
      <c r="G32" s="21"/>
      <c r="H32" s="21"/>
      <c r="I32" s="21"/>
      <c r="J32" s="21"/>
      <c r="K32" s="21"/>
      <c r="L32" s="1"/>
      <c r="M32" s="21"/>
      <c r="N32" s="1"/>
      <c r="O32" s="17"/>
    </row>
    <row r="33" spans="1:15" ht="20.100000000000001" customHeight="1" x14ac:dyDescent="0.3">
      <c r="A33" s="2" t="str">
        <f t="shared" si="0"/>
        <v/>
      </c>
      <c r="B33" s="2"/>
      <c r="C33" s="3"/>
      <c r="D33" s="2"/>
      <c r="E33" s="2"/>
      <c r="F33" s="2"/>
      <c r="G33" s="2"/>
      <c r="H33" s="2"/>
      <c r="I33" s="2"/>
      <c r="J33" s="2"/>
      <c r="K33" s="2"/>
      <c r="L33" s="3"/>
      <c r="M33" s="2"/>
      <c r="N33" s="3"/>
      <c r="O33" s="17"/>
    </row>
    <row r="34" spans="1:15" ht="20.100000000000001" customHeight="1" x14ac:dyDescent="0.3">
      <c r="A34" s="21" t="str">
        <f t="shared" si="0"/>
        <v/>
      </c>
      <c r="B34" s="21"/>
      <c r="C34" s="1"/>
      <c r="D34" s="21"/>
      <c r="E34" s="21"/>
      <c r="F34" s="21"/>
      <c r="G34" s="21"/>
      <c r="H34" s="21"/>
      <c r="I34" s="21"/>
      <c r="J34" s="21"/>
      <c r="K34" s="21"/>
      <c r="L34" s="1"/>
      <c r="M34" s="21"/>
      <c r="N34" s="1"/>
      <c r="O34" s="17"/>
    </row>
    <row r="35" spans="1:15" ht="20.100000000000001" customHeight="1" x14ac:dyDescent="0.3">
      <c r="A35" s="2" t="str">
        <f t="shared" si="0"/>
        <v/>
      </c>
      <c r="B35" s="2"/>
      <c r="C35" s="3"/>
      <c r="D35" s="2"/>
      <c r="E35" s="2"/>
      <c r="F35" s="2"/>
      <c r="G35" s="2"/>
      <c r="H35" s="2"/>
      <c r="I35" s="2"/>
      <c r="J35" s="2"/>
      <c r="K35" s="2"/>
      <c r="L35" s="3"/>
      <c r="M35" s="2"/>
      <c r="N35" s="3"/>
      <c r="O35" s="17"/>
    </row>
    <row r="36" spans="1:15" ht="20.100000000000001" customHeight="1" x14ac:dyDescent="0.3">
      <c r="A36" s="21" t="str">
        <f t="shared" ref="A36:A67" si="1">IF(B36&lt;&gt;"",ROW()-3,"")</f>
        <v/>
      </c>
      <c r="B36" s="21"/>
      <c r="C36" s="1"/>
      <c r="D36" s="21"/>
      <c r="E36" s="21"/>
      <c r="F36" s="21"/>
      <c r="G36" s="21"/>
      <c r="H36" s="21"/>
      <c r="I36" s="21"/>
      <c r="J36" s="21"/>
      <c r="K36" s="21"/>
      <c r="L36" s="1"/>
      <c r="M36" s="21"/>
      <c r="N36" s="1"/>
      <c r="O36" s="17"/>
    </row>
    <row r="37" spans="1:15" ht="20.100000000000001" customHeight="1" x14ac:dyDescent="0.3">
      <c r="A37" s="2" t="str">
        <f t="shared" si="1"/>
        <v/>
      </c>
      <c r="B37" s="2"/>
      <c r="C37" s="3"/>
      <c r="D37" s="2"/>
      <c r="E37" s="2"/>
      <c r="F37" s="2"/>
      <c r="G37" s="2"/>
      <c r="H37" s="2"/>
      <c r="I37" s="2"/>
      <c r="J37" s="2"/>
      <c r="K37" s="2"/>
      <c r="L37" s="3"/>
      <c r="M37" s="2"/>
      <c r="N37" s="3"/>
      <c r="O37" s="17"/>
    </row>
    <row r="38" spans="1:15" ht="20.100000000000001" customHeight="1" x14ac:dyDescent="0.3">
      <c r="A38" s="21" t="str">
        <f t="shared" si="1"/>
        <v/>
      </c>
      <c r="B38" s="21"/>
      <c r="C38" s="1"/>
      <c r="D38" s="21"/>
      <c r="E38" s="21"/>
      <c r="F38" s="21"/>
      <c r="G38" s="21"/>
      <c r="H38" s="21"/>
      <c r="I38" s="21"/>
      <c r="J38" s="21"/>
      <c r="K38" s="21"/>
      <c r="L38" s="1"/>
      <c r="M38" s="21"/>
      <c r="N38" s="1"/>
      <c r="O38" s="17"/>
    </row>
    <row r="39" spans="1:15" ht="20.100000000000001" customHeight="1" x14ac:dyDescent="0.3">
      <c r="A39" s="2" t="str">
        <f t="shared" si="1"/>
        <v/>
      </c>
      <c r="B39" s="2"/>
      <c r="C39" s="3"/>
      <c r="D39" s="2"/>
      <c r="E39" s="2"/>
      <c r="F39" s="2"/>
      <c r="G39" s="2"/>
      <c r="H39" s="2"/>
      <c r="I39" s="2"/>
      <c r="J39" s="2"/>
      <c r="K39" s="2"/>
      <c r="L39" s="3"/>
      <c r="M39" s="2"/>
      <c r="N39" s="3"/>
      <c r="O39" s="17"/>
    </row>
    <row r="40" spans="1:15" ht="20.100000000000001" customHeight="1" x14ac:dyDescent="0.3">
      <c r="A40" s="21" t="str">
        <f t="shared" si="1"/>
        <v/>
      </c>
      <c r="B40" s="21"/>
      <c r="C40" s="1"/>
      <c r="D40" s="21"/>
      <c r="E40" s="21"/>
      <c r="F40" s="21"/>
      <c r="G40" s="21"/>
      <c r="H40" s="21"/>
      <c r="I40" s="21"/>
      <c r="J40" s="21"/>
      <c r="K40" s="21"/>
      <c r="L40" s="1"/>
      <c r="M40" s="21"/>
      <c r="N40" s="1"/>
      <c r="O40" s="17"/>
    </row>
    <row r="41" spans="1:15" ht="20.100000000000001" customHeight="1" x14ac:dyDescent="0.3">
      <c r="A41" s="2" t="str">
        <f t="shared" si="1"/>
        <v/>
      </c>
      <c r="B41" s="2"/>
      <c r="C41" s="3"/>
      <c r="D41" s="2"/>
      <c r="E41" s="2"/>
      <c r="F41" s="2"/>
      <c r="G41" s="2"/>
      <c r="H41" s="2"/>
      <c r="I41" s="2"/>
      <c r="J41" s="2"/>
      <c r="K41" s="2"/>
      <c r="L41" s="3"/>
      <c r="M41" s="2"/>
      <c r="N41" s="3"/>
      <c r="O41" s="17"/>
    </row>
    <row r="42" spans="1:15" ht="20.100000000000001" customHeight="1" x14ac:dyDescent="0.3">
      <c r="A42" s="21" t="str">
        <f t="shared" si="1"/>
        <v/>
      </c>
      <c r="B42" s="21"/>
      <c r="C42" s="1"/>
      <c r="D42" s="21"/>
      <c r="E42" s="21"/>
      <c r="F42" s="21"/>
      <c r="G42" s="21"/>
      <c r="H42" s="21"/>
      <c r="I42" s="21"/>
      <c r="J42" s="21"/>
      <c r="K42" s="21"/>
      <c r="L42" s="1"/>
      <c r="M42" s="21"/>
      <c r="N42" s="1"/>
      <c r="O42" s="17"/>
    </row>
    <row r="43" spans="1:15" ht="20.100000000000001" customHeight="1" x14ac:dyDescent="0.3">
      <c r="A43" s="2" t="str">
        <f t="shared" si="1"/>
        <v/>
      </c>
      <c r="B43" s="2"/>
      <c r="C43" s="3"/>
      <c r="D43" s="2"/>
      <c r="E43" s="2"/>
      <c r="F43" s="2"/>
      <c r="G43" s="2"/>
      <c r="H43" s="2"/>
      <c r="I43" s="2"/>
      <c r="J43" s="2"/>
      <c r="K43" s="2"/>
      <c r="L43" s="3"/>
      <c r="M43" s="2"/>
      <c r="N43" s="3"/>
      <c r="O43" s="17"/>
    </row>
    <row r="44" spans="1:15" ht="20.100000000000001" customHeight="1" x14ac:dyDescent="0.3">
      <c r="A44" s="21" t="str">
        <f t="shared" si="1"/>
        <v/>
      </c>
      <c r="B44" s="21"/>
      <c r="C44" s="1"/>
      <c r="D44" s="21"/>
      <c r="E44" s="21"/>
      <c r="F44" s="21"/>
      <c r="G44" s="21"/>
      <c r="H44" s="21"/>
      <c r="I44" s="21"/>
      <c r="J44" s="21"/>
      <c r="K44" s="21"/>
      <c r="L44" s="1"/>
      <c r="M44" s="21"/>
      <c r="N44" s="1"/>
      <c r="O44" s="17"/>
    </row>
    <row r="45" spans="1:15" ht="20.100000000000001" customHeight="1" x14ac:dyDescent="0.3">
      <c r="A45" s="2" t="str">
        <f t="shared" si="1"/>
        <v/>
      </c>
      <c r="B45" s="2"/>
      <c r="C45" s="3"/>
      <c r="D45" s="2"/>
      <c r="E45" s="2"/>
      <c r="F45" s="2"/>
      <c r="G45" s="2"/>
      <c r="H45" s="2"/>
      <c r="I45" s="2"/>
      <c r="J45" s="2"/>
      <c r="K45" s="2"/>
      <c r="L45" s="3"/>
      <c r="M45" s="2"/>
      <c r="N45" s="3"/>
      <c r="O45" s="17"/>
    </row>
    <row r="46" spans="1:15" ht="20.100000000000001" customHeight="1" x14ac:dyDescent="0.3">
      <c r="A46" s="21" t="str">
        <f t="shared" si="1"/>
        <v/>
      </c>
      <c r="B46" s="21"/>
      <c r="C46" s="1"/>
      <c r="D46" s="21"/>
      <c r="E46" s="21"/>
      <c r="F46" s="21"/>
      <c r="G46" s="21"/>
      <c r="H46" s="21"/>
      <c r="I46" s="21"/>
      <c r="J46" s="21"/>
      <c r="K46" s="21"/>
      <c r="L46" s="1"/>
      <c r="M46" s="21"/>
      <c r="N46" s="1"/>
      <c r="O46" s="17"/>
    </row>
    <row r="47" spans="1:15" ht="20.100000000000001" customHeight="1" x14ac:dyDescent="0.3">
      <c r="A47" s="2" t="str">
        <f t="shared" si="1"/>
        <v/>
      </c>
      <c r="B47" s="2"/>
      <c r="C47" s="3"/>
      <c r="D47" s="2"/>
      <c r="E47" s="2"/>
      <c r="F47" s="2"/>
      <c r="G47" s="2"/>
      <c r="H47" s="2"/>
      <c r="I47" s="2"/>
      <c r="J47" s="2"/>
      <c r="K47" s="2"/>
      <c r="L47" s="3"/>
      <c r="M47" s="2"/>
      <c r="N47" s="3"/>
      <c r="O47" s="17"/>
    </row>
    <row r="48" spans="1:15" ht="20.100000000000001" customHeight="1" x14ac:dyDescent="0.3">
      <c r="A48" s="21" t="str">
        <f t="shared" si="1"/>
        <v/>
      </c>
      <c r="B48" s="21"/>
      <c r="C48" s="1"/>
      <c r="D48" s="21"/>
      <c r="E48" s="21"/>
      <c r="F48" s="21"/>
      <c r="G48" s="21"/>
      <c r="H48" s="21"/>
      <c r="I48" s="21"/>
      <c r="J48" s="21"/>
      <c r="K48" s="21"/>
      <c r="L48" s="1"/>
      <c r="M48" s="21"/>
      <c r="N48" s="1"/>
      <c r="O48" s="17"/>
    </row>
    <row r="49" spans="1:15" ht="20.100000000000001" customHeight="1" x14ac:dyDescent="0.3">
      <c r="A49" s="2" t="str">
        <f t="shared" si="1"/>
        <v/>
      </c>
      <c r="B49" s="2"/>
      <c r="C49" s="3"/>
      <c r="D49" s="2"/>
      <c r="E49" s="2"/>
      <c r="F49" s="2"/>
      <c r="G49" s="2"/>
      <c r="H49" s="2"/>
      <c r="I49" s="2"/>
      <c r="J49" s="2"/>
      <c r="K49" s="2"/>
      <c r="L49" s="3"/>
      <c r="M49" s="2"/>
      <c r="N49" s="3"/>
      <c r="O49" s="17"/>
    </row>
    <row r="50" spans="1:15" ht="20.100000000000001" customHeight="1" x14ac:dyDescent="0.3">
      <c r="A50" s="21" t="str">
        <f t="shared" si="1"/>
        <v/>
      </c>
      <c r="B50" s="21"/>
      <c r="C50" s="1"/>
      <c r="D50" s="21"/>
      <c r="E50" s="21"/>
      <c r="F50" s="21"/>
      <c r="G50" s="21"/>
      <c r="H50" s="21"/>
      <c r="I50" s="21"/>
      <c r="J50" s="21"/>
      <c r="K50" s="21"/>
      <c r="L50" s="1"/>
      <c r="M50" s="21"/>
      <c r="N50" s="1"/>
      <c r="O50" s="17"/>
    </row>
    <row r="51" spans="1:15" ht="20.100000000000001" customHeight="1" x14ac:dyDescent="0.3">
      <c r="A51" s="2" t="str">
        <f t="shared" si="1"/>
        <v/>
      </c>
      <c r="B51" s="2"/>
      <c r="C51" s="3"/>
      <c r="D51" s="2"/>
      <c r="E51" s="2"/>
      <c r="F51" s="2"/>
      <c r="G51" s="2"/>
      <c r="H51" s="2"/>
      <c r="I51" s="2"/>
      <c r="J51" s="2"/>
      <c r="K51" s="2"/>
      <c r="L51" s="3"/>
      <c r="M51" s="2"/>
      <c r="N51" s="3"/>
      <c r="O51" s="17"/>
    </row>
    <row r="52" spans="1:15" ht="20.100000000000001" customHeight="1" x14ac:dyDescent="0.3">
      <c r="A52" s="21" t="str">
        <f t="shared" si="1"/>
        <v/>
      </c>
      <c r="B52" s="21"/>
      <c r="C52" s="1"/>
      <c r="D52" s="21"/>
      <c r="E52" s="21"/>
      <c r="F52" s="21"/>
      <c r="G52" s="21"/>
      <c r="H52" s="21"/>
      <c r="I52" s="21"/>
      <c r="J52" s="21"/>
      <c r="K52" s="21"/>
      <c r="L52" s="1"/>
      <c r="M52" s="21"/>
      <c r="N52" s="1"/>
      <c r="O52" s="17"/>
    </row>
    <row r="53" spans="1:15" ht="20.100000000000001" customHeight="1" x14ac:dyDescent="0.3">
      <c r="A53" s="2" t="str">
        <f t="shared" si="1"/>
        <v/>
      </c>
      <c r="B53" s="2"/>
      <c r="C53" s="3"/>
      <c r="D53" s="2"/>
      <c r="E53" s="2"/>
      <c r="F53" s="2"/>
      <c r="G53" s="2"/>
      <c r="H53" s="2"/>
      <c r="I53" s="2"/>
      <c r="J53" s="2"/>
      <c r="K53" s="2"/>
      <c r="L53" s="3"/>
      <c r="M53" s="2"/>
      <c r="N53" s="3"/>
      <c r="O53" s="17"/>
    </row>
    <row r="54" spans="1:15" ht="20.100000000000001" customHeight="1" x14ac:dyDescent="0.3">
      <c r="A54" s="21" t="str">
        <f t="shared" si="1"/>
        <v/>
      </c>
      <c r="B54" s="21"/>
      <c r="C54" s="1"/>
      <c r="D54" s="21"/>
      <c r="E54" s="21"/>
      <c r="F54" s="21"/>
      <c r="G54" s="21"/>
      <c r="H54" s="21"/>
      <c r="I54" s="21"/>
      <c r="J54" s="21"/>
      <c r="K54" s="21"/>
      <c r="L54" s="1"/>
      <c r="M54" s="21"/>
      <c r="N54" s="1"/>
      <c r="O54" s="17"/>
    </row>
    <row r="55" spans="1:15" ht="20.100000000000001" customHeight="1" x14ac:dyDescent="0.3">
      <c r="A55" s="2" t="str">
        <f t="shared" si="1"/>
        <v/>
      </c>
      <c r="B55" s="2"/>
      <c r="C55" s="3"/>
      <c r="D55" s="2"/>
      <c r="E55" s="2"/>
      <c r="F55" s="2"/>
      <c r="G55" s="2"/>
      <c r="H55" s="2"/>
      <c r="I55" s="2"/>
      <c r="J55" s="2"/>
      <c r="K55" s="2"/>
      <c r="L55" s="3"/>
      <c r="M55" s="2"/>
      <c r="N55" s="3"/>
      <c r="O55" s="17"/>
    </row>
    <row r="56" spans="1:15" ht="20.100000000000001" customHeight="1" x14ac:dyDescent="0.3">
      <c r="A56" s="21" t="str">
        <f t="shared" si="1"/>
        <v/>
      </c>
      <c r="B56" s="21"/>
      <c r="C56" s="1"/>
      <c r="D56" s="21"/>
      <c r="E56" s="21"/>
      <c r="F56" s="21"/>
      <c r="G56" s="21"/>
      <c r="H56" s="21"/>
      <c r="I56" s="21"/>
      <c r="J56" s="21"/>
      <c r="K56" s="21"/>
      <c r="L56" s="1"/>
      <c r="M56" s="21"/>
      <c r="N56" s="1"/>
      <c r="O56" s="17"/>
    </row>
    <row r="57" spans="1:15" ht="20.100000000000001" customHeight="1" x14ac:dyDescent="0.3">
      <c r="A57" s="2" t="str">
        <f t="shared" si="1"/>
        <v/>
      </c>
      <c r="B57" s="2"/>
      <c r="C57" s="3"/>
      <c r="D57" s="2"/>
      <c r="E57" s="2"/>
      <c r="F57" s="2"/>
      <c r="G57" s="2"/>
      <c r="H57" s="2"/>
      <c r="I57" s="2"/>
      <c r="J57" s="2"/>
      <c r="K57" s="2"/>
      <c r="L57" s="3"/>
      <c r="M57" s="2"/>
      <c r="N57" s="3"/>
      <c r="O57" s="17"/>
    </row>
    <row r="58" spans="1:15" ht="20.100000000000001" customHeight="1" x14ac:dyDescent="0.3">
      <c r="A58" s="21" t="str">
        <f t="shared" si="1"/>
        <v/>
      </c>
      <c r="B58" s="21"/>
      <c r="C58" s="1"/>
      <c r="D58" s="21"/>
      <c r="E58" s="21"/>
      <c r="F58" s="21"/>
      <c r="G58" s="21"/>
      <c r="H58" s="21"/>
      <c r="I58" s="21"/>
      <c r="J58" s="21"/>
      <c r="K58" s="21"/>
      <c r="L58" s="1"/>
      <c r="M58" s="21"/>
      <c r="N58" s="1"/>
      <c r="O58" s="17"/>
    </row>
    <row r="59" spans="1:15" ht="20.100000000000001" customHeight="1" x14ac:dyDescent="0.3">
      <c r="A59" s="2" t="str">
        <f t="shared" si="1"/>
        <v/>
      </c>
      <c r="B59" s="2"/>
      <c r="C59" s="3"/>
      <c r="D59" s="2"/>
      <c r="E59" s="2"/>
      <c r="F59" s="2"/>
      <c r="G59" s="2"/>
      <c r="H59" s="2"/>
      <c r="I59" s="2"/>
      <c r="J59" s="2"/>
      <c r="K59" s="2"/>
      <c r="L59" s="3"/>
      <c r="M59" s="2"/>
      <c r="N59" s="3"/>
      <c r="O59" s="17"/>
    </row>
    <row r="60" spans="1:15" ht="20.100000000000001" customHeight="1" x14ac:dyDescent="0.3">
      <c r="A60" s="21" t="str">
        <f t="shared" si="1"/>
        <v/>
      </c>
      <c r="B60" s="21"/>
      <c r="C60" s="1"/>
      <c r="D60" s="21"/>
      <c r="E60" s="21"/>
      <c r="F60" s="21"/>
      <c r="G60" s="21"/>
      <c r="H60" s="21"/>
      <c r="I60" s="21"/>
      <c r="J60" s="21"/>
      <c r="K60" s="21"/>
      <c r="L60" s="1"/>
      <c r="M60" s="21"/>
      <c r="N60" s="1"/>
      <c r="O60" s="17"/>
    </row>
    <row r="61" spans="1:15" ht="20.100000000000001" customHeight="1" x14ac:dyDescent="0.3">
      <c r="A61" s="2" t="str">
        <f t="shared" si="1"/>
        <v/>
      </c>
      <c r="B61" s="2"/>
      <c r="C61" s="3"/>
      <c r="D61" s="2"/>
      <c r="E61" s="2"/>
      <c r="F61" s="2"/>
      <c r="G61" s="2"/>
      <c r="H61" s="2"/>
      <c r="I61" s="2"/>
      <c r="J61" s="2"/>
      <c r="K61" s="2"/>
      <c r="L61" s="3"/>
      <c r="M61" s="2"/>
      <c r="N61" s="3"/>
      <c r="O61" s="17"/>
    </row>
    <row r="62" spans="1:15" ht="20.100000000000001" customHeight="1" x14ac:dyDescent="0.3">
      <c r="A62" s="21" t="str">
        <f t="shared" si="1"/>
        <v/>
      </c>
      <c r="B62" s="21"/>
      <c r="C62" s="1"/>
      <c r="D62" s="21"/>
      <c r="E62" s="21"/>
      <c r="F62" s="21"/>
      <c r="G62" s="21"/>
      <c r="H62" s="21"/>
      <c r="I62" s="21"/>
      <c r="J62" s="21"/>
      <c r="K62" s="21"/>
      <c r="L62" s="1"/>
      <c r="M62" s="21"/>
      <c r="N62" s="1"/>
      <c r="O62" s="17"/>
    </row>
    <row r="63" spans="1:15" ht="20.100000000000001" customHeight="1" x14ac:dyDescent="0.3">
      <c r="A63" s="2" t="str">
        <f t="shared" si="1"/>
        <v/>
      </c>
      <c r="B63" s="2"/>
      <c r="C63" s="3"/>
      <c r="D63" s="2"/>
      <c r="E63" s="2"/>
      <c r="F63" s="2"/>
      <c r="G63" s="2"/>
      <c r="H63" s="2"/>
      <c r="I63" s="2"/>
      <c r="J63" s="2"/>
      <c r="K63" s="2"/>
      <c r="L63" s="3"/>
      <c r="M63" s="2"/>
      <c r="N63" s="3"/>
      <c r="O63" s="17"/>
    </row>
    <row r="64" spans="1:15" ht="20.100000000000001" customHeight="1" x14ac:dyDescent="0.3">
      <c r="A64" s="21" t="str">
        <f t="shared" si="1"/>
        <v/>
      </c>
      <c r="B64" s="21"/>
      <c r="C64" s="1"/>
      <c r="D64" s="21"/>
      <c r="E64" s="21"/>
      <c r="F64" s="21"/>
      <c r="G64" s="21"/>
      <c r="H64" s="21"/>
      <c r="I64" s="21"/>
      <c r="J64" s="21"/>
      <c r="K64" s="21"/>
      <c r="L64" s="1"/>
      <c r="M64" s="21"/>
      <c r="N64" s="1"/>
      <c r="O64" s="17"/>
    </row>
    <row r="65" spans="1:15" ht="20.100000000000001" customHeight="1" x14ac:dyDescent="0.3">
      <c r="A65" s="2" t="str">
        <f t="shared" si="1"/>
        <v/>
      </c>
      <c r="B65" s="2"/>
      <c r="C65" s="3"/>
      <c r="D65" s="2"/>
      <c r="E65" s="2"/>
      <c r="F65" s="2"/>
      <c r="G65" s="2"/>
      <c r="H65" s="2"/>
      <c r="I65" s="2"/>
      <c r="J65" s="2"/>
      <c r="K65" s="2"/>
      <c r="L65" s="3"/>
      <c r="M65" s="2"/>
      <c r="N65" s="3"/>
      <c r="O65" s="17"/>
    </row>
    <row r="66" spans="1:15" ht="20.100000000000001" customHeight="1" x14ac:dyDescent="0.3">
      <c r="A66" s="21" t="str">
        <f t="shared" si="1"/>
        <v/>
      </c>
      <c r="B66" s="21"/>
      <c r="C66" s="1"/>
      <c r="D66" s="21"/>
      <c r="E66" s="21"/>
      <c r="F66" s="21"/>
      <c r="G66" s="21"/>
      <c r="H66" s="21"/>
      <c r="I66" s="21"/>
      <c r="J66" s="21"/>
      <c r="K66" s="21"/>
      <c r="L66" s="1"/>
      <c r="M66" s="21"/>
      <c r="N66" s="1"/>
      <c r="O66" s="17"/>
    </row>
    <row r="67" spans="1:15" ht="20.100000000000001" customHeight="1" x14ac:dyDescent="0.3">
      <c r="A67" s="2" t="str">
        <f t="shared" si="1"/>
        <v/>
      </c>
      <c r="B67" s="2"/>
      <c r="C67" s="3"/>
      <c r="D67" s="2"/>
      <c r="E67" s="2"/>
      <c r="F67" s="2"/>
      <c r="G67" s="2"/>
      <c r="H67" s="2"/>
      <c r="I67" s="2"/>
      <c r="J67" s="2"/>
      <c r="K67" s="2"/>
      <c r="L67" s="3"/>
      <c r="M67" s="2"/>
      <c r="N67" s="3"/>
      <c r="O67" s="17"/>
    </row>
    <row r="68" spans="1:15" ht="20.100000000000001" customHeight="1" x14ac:dyDescent="0.3">
      <c r="A68" s="21" t="str">
        <f t="shared" ref="A68:A99" si="2">IF(B68&lt;&gt;"",ROW()-3,"")</f>
        <v/>
      </c>
      <c r="B68" s="21"/>
      <c r="C68" s="1"/>
      <c r="D68" s="21"/>
      <c r="E68" s="21"/>
      <c r="F68" s="21"/>
      <c r="G68" s="21"/>
      <c r="H68" s="21"/>
      <c r="I68" s="21"/>
      <c r="J68" s="21"/>
      <c r="K68" s="21"/>
      <c r="L68" s="1"/>
      <c r="M68" s="21"/>
      <c r="N68" s="1"/>
      <c r="O68" s="17"/>
    </row>
    <row r="69" spans="1:15" ht="20.100000000000001" customHeight="1" x14ac:dyDescent="0.3">
      <c r="A69" s="2" t="str">
        <f t="shared" si="2"/>
        <v/>
      </c>
      <c r="B69" s="2"/>
      <c r="C69" s="3"/>
      <c r="D69" s="2"/>
      <c r="E69" s="2"/>
      <c r="F69" s="2"/>
      <c r="G69" s="2"/>
      <c r="H69" s="2"/>
      <c r="I69" s="2"/>
      <c r="J69" s="2"/>
      <c r="K69" s="2"/>
      <c r="L69" s="3"/>
      <c r="M69" s="2"/>
      <c r="N69" s="3"/>
      <c r="O69" s="17"/>
    </row>
    <row r="70" spans="1:15" ht="20.100000000000001" customHeight="1" x14ac:dyDescent="0.3">
      <c r="A70" s="21" t="str">
        <f t="shared" si="2"/>
        <v/>
      </c>
      <c r="B70" s="21"/>
      <c r="C70" s="1"/>
      <c r="D70" s="21"/>
      <c r="E70" s="21"/>
      <c r="F70" s="21"/>
      <c r="G70" s="21"/>
      <c r="H70" s="21"/>
      <c r="I70" s="21"/>
      <c r="J70" s="21"/>
      <c r="K70" s="21"/>
      <c r="L70" s="1"/>
      <c r="M70" s="21"/>
      <c r="N70" s="1"/>
      <c r="O70" s="17"/>
    </row>
    <row r="71" spans="1:15" ht="20.100000000000001" customHeight="1" x14ac:dyDescent="0.3">
      <c r="A71" s="2" t="str">
        <f t="shared" si="2"/>
        <v/>
      </c>
      <c r="B71" s="2"/>
      <c r="C71" s="3"/>
      <c r="D71" s="2"/>
      <c r="E71" s="2"/>
      <c r="F71" s="2"/>
      <c r="G71" s="2"/>
      <c r="H71" s="2"/>
      <c r="I71" s="2"/>
      <c r="J71" s="2"/>
      <c r="K71" s="2"/>
      <c r="L71" s="3"/>
      <c r="M71" s="2"/>
      <c r="N71" s="3"/>
      <c r="O71" s="17"/>
    </row>
    <row r="72" spans="1:15" ht="20.100000000000001" customHeight="1" x14ac:dyDescent="0.3">
      <c r="A72" s="21" t="str">
        <f t="shared" si="2"/>
        <v/>
      </c>
      <c r="B72" s="21"/>
      <c r="C72" s="1"/>
      <c r="D72" s="21"/>
      <c r="E72" s="21"/>
      <c r="F72" s="21"/>
      <c r="G72" s="21"/>
      <c r="H72" s="21"/>
      <c r="I72" s="21"/>
      <c r="J72" s="21"/>
      <c r="K72" s="21"/>
      <c r="L72" s="1"/>
      <c r="M72" s="21"/>
      <c r="N72" s="1"/>
      <c r="O72" s="17"/>
    </row>
    <row r="73" spans="1:15" ht="20.100000000000001" customHeight="1" x14ac:dyDescent="0.3">
      <c r="A73" s="2" t="str">
        <f t="shared" si="2"/>
        <v/>
      </c>
      <c r="B73" s="2"/>
      <c r="C73" s="3"/>
      <c r="D73" s="2"/>
      <c r="E73" s="2"/>
      <c r="F73" s="2"/>
      <c r="G73" s="2"/>
      <c r="H73" s="2"/>
      <c r="I73" s="2"/>
      <c r="J73" s="2"/>
      <c r="K73" s="2"/>
      <c r="L73" s="3"/>
      <c r="M73" s="2"/>
      <c r="N73" s="3"/>
      <c r="O73" s="17"/>
    </row>
    <row r="74" spans="1:15" ht="20.100000000000001" customHeight="1" x14ac:dyDescent="0.3">
      <c r="A74" s="21" t="str">
        <f t="shared" si="2"/>
        <v/>
      </c>
      <c r="B74" s="21"/>
      <c r="C74" s="1"/>
      <c r="D74" s="21"/>
      <c r="E74" s="21"/>
      <c r="F74" s="21"/>
      <c r="G74" s="21"/>
      <c r="H74" s="21"/>
      <c r="I74" s="21"/>
      <c r="J74" s="21"/>
      <c r="K74" s="21"/>
      <c r="L74" s="1"/>
      <c r="M74" s="21"/>
      <c r="N74" s="1"/>
      <c r="O74" s="17"/>
    </row>
    <row r="75" spans="1:15" ht="20.100000000000001" customHeight="1" x14ac:dyDescent="0.3">
      <c r="A75" s="2" t="str">
        <f t="shared" si="2"/>
        <v/>
      </c>
      <c r="B75" s="2"/>
      <c r="C75" s="3"/>
      <c r="D75" s="2"/>
      <c r="E75" s="2"/>
      <c r="F75" s="2"/>
      <c r="G75" s="2"/>
      <c r="H75" s="2"/>
      <c r="I75" s="2"/>
      <c r="J75" s="2"/>
      <c r="K75" s="2"/>
      <c r="L75" s="3"/>
      <c r="M75" s="2"/>
      <c r="N75" s="3"/>
      <c r="O75" s="17"/>
    </row>
    <row r="76" spans="1:15" ht="20.100000000000001" customHeight="1" x14ac:dyDescent="0.3">
      <c r="A76" s="21" t="str">
        <f t="shared" si="2"/>
        <v/>
      </c>
      <c r="B76" s="21"/>
      <c r="C76" s="1"/>
      <c r="D76" s="21"/>
      <c r="E76" s="21"/>
      <c r="F76" s="21"/>
      <c r="G76" s="21"/>
      <c r="H76" s="21"/>
      <c r="I76" s="21"/>
      <c r="J76" s="21"/>
      <c r="K76" s="21"/>
      <c r="L76" s="1"/>
      <c r="M76" s="21"/>
      <c r="N76" s="1"/>
      <c r="O76" s="17"/>
    </row>
    <row r="77" spans="1:15" ht="20.100000000000001" customHeight="1" x14ac:dyDescent="0.3">
      <c r="A77" s="2" t="str">
        <f t="shared" si="2"/>
        <v/>
      </c>
      <c r="B77" s="2"/>
      <c r="C77" s="3"/>
      <c r="D77" s="2"/>
      <c r="E77" s="2"/>
      <c r="F77" s="2"/>
      <c r="G77" s="2"/>
      <c r="H77" s="2"/>
      <c r="I77" s="2"/>
      <c r="J77" s="2"/>
      <c r="K77" s="2"/>
      <c r="L77" s="3"/>
      <c r="M77" s="2"/>
      <c r="N77" s="3"/>
      <c r="O77" s="17"/>
    </row>
    <row r="78" spans="1:15" ht="20.100000000000001" customHeight="1" x14ac:dyDescent="0.3">
      <c r="A78" s="21" t="str">
        <f t="shared" si="2"/>
        <v/>
      </c>
      <c r="B78" s="21"/>
      <c r="C78" s="1"/>
      <c r="D78" s="21"/>
      <c r="E78" s="21"/>
      <c r="F78" s="21"/>
      <c r="G78" s="21"/>
      <c r="H78" s="21"/>
      <c r="I78" s="21"/>
      <c r="J78" s="21"/>
      <c r="K78" s="21"/>
      <c r="L78" s="1"/>
      <c r="M78" s="21"/>
      <c r="N78" s="1"/>
      <c r="O78" s="17"/>
    </row>
    <row r="79" spans="1:15" ht="20.100000000000001" customHeight="1" x14ac:dyDescent="0.3">
      <c r="A79" s="2" t="str">
        <f t="shared" si="2"/>
        <v/>
      </c>
      <c r="B79" s="2"/>
      <c r="C79" s="3"/>
      <c r="D79" s="2"/>
      <c r="E79" s="2"/>
      <c r="F79" s="2"/>
      <c r="G79" s="2"/>
      <c r="H79" s="2"/>
      <c r="I79" s="2"/>
      <c r="J79" s="2"/>
      <c r="K79" s="2"/>
      <c r="L79" s="3"/>
      <c r="M79" s="2"/>
      <c r="N79" s="3"/>
      <c r="O79" s="17"/>
    </row>
    <row r="80" spans="1:15" ht="20.100000000000001" customHeight="1" x14ac:dyDescent="0.3">
      <c r="A80" s="21" t="str">
        <f t="shared" si="2"/>
        <v/>
      </c>
      <c r="B80" s="21"/>
      <c r="C80" s="1"/>
      <c r="D80" s="21"/>
      <c r="E80" s="21"/>
      <c r="F80" s="21"/>
      <c r="G80" s="21"/>
      <c r="H80" s="21"/>
      <c r="I80" s="21"/>
      <c r="J80" s="21"/>
      <c r="K80" s="21"/>
      <c r="L80" s="1"/>
      <c r="M80" s="21"/>
      <c r="N80" s="1"/>
      <c r="O80" s="17"/>
    </row>
    <row r="81" spans="1:15" ht="20.100000000000001" customHeight="1" x14ac:dyDescent="0.3">
      <c r="A81" s="2" t="str">
        <f t="shared" si="2"/>
        <v/>
      </c>
      <c r="B81" s="2"/>
      <c r="C81" s="3"/>
      <c r="D81" s="2"/>
      <c r="E81" s="2"/>
      <c r="F81" s="2"/>
      <c r="G81" s="2"/>
      <c r="H81" s="2"/>
      <c r="I81" s="2"/>
      <c r="J81" s="2"/>
      <c r="K81" s="2"/>
      <c r="L81" s="3"/>
      <c r="M81" s="2"/>
      <c r="N81" s="3"/>
      <c r="O81" s="17"/>
    </row>
    <row r="82" spans="1:15" ht="20.100000000000001" customHeight="1" x14ac:dyDescent="0.3">
      <c r="A82" s="21" t="str">
        <f t="shared" si="2"/>
        <v/>
      </c>
      <c r="B82" s="21"/>
      <c r="C82" s="1"/>
      <c r="D82" s="21"/>
      <c r="E82" s="21"/>
      <c r="F82" s="21"/>
      <c r="G82" s="21"/>
      <c r="H82" s="21"/>
      <c r="I82" s="21"/>
      <c r="J82" s="21"/>
      <c r="K82" s="21"/>
      <c r="L82" s="1"/>
      <c r="M82" s="21"/>
      <c r="N82" s="1"/>
      <c r="O82" s="17"/>
    </row>
    <row r="83" spans="1:15" ht="20.100000000000001" customHeight="1" x14ac:dyDescent="0.3">
      <c r="A83" s="2" t="str">
        <f t="shared" si="2"/>
        <v/>
      </c>
      <c r="B83" s="2"/>
      <c r="C83" s="3"/>
      <c r="D83" s="2"/>
      <c r="E83" s="2"/>
      <c r="F83" s="2"/>
      <c r="G83" s="2"/>
      <c r="H83" s="2"/>
      <c r="I83" s="2"/>
      <c r="J83" s="2"/>
      <c r="K83" s="2"/>
      <c r="L83" s="3"/>
      <c r="M83" s="2"/>
      <c r="N83" s="3"/>
      <c r="O83" s="17"/>
    </row>
    <row r="84" spans="1:15" ht="20.100000000000001" customHeight="1" x14ac:dyDescent="0.3">
      <c r="A84" s="21" t="str">
        <f t="shared" si="2"/>
        <v/>
      </c>
      <c r="B84" s="21"/>
      <c r="C84" s="1"/>
      <c r="D84" s="21"/>
      <c r="E84" s="21"/>
      <c r="F84" s="21"/>
      <c r="G84" s="21"/>
      <c r="H84" s="21"/>
      <c r="I84" s="21"/>
      <c r="J84" s="21"/>
      <c r="K84" s="21"/>
      <c r="L84" s="1"/>
      <c r="M84" s="21"/>
      <c r="N84" s="1"/>
      <c r="O84" s="17"/>
    </row>
    <row r="85" spans="1:15" ht="20.100000000000001" customHeight="1" x14ac:dyDescent="0.3">
      <c r="A85" s="2" t="str">
        <f t="shared" si="2"/>
        <v/>
      </c>
      <c r="B85" s="2"/>
      <c r="C85" s="3"/>
      <c r="D85" s="2"/>
      <c r="E85" s="2"/>
      <c r="F85" s="2"/>
      <c r="G85" s="2"/>
      <c r="H85" s="2"/>
      <c r="I85" s="2"/>
      <c r="J85" s="2"/>
      <c r="K85" s="2"/>
      <c r="L85" s="3"/>
      <c r="M85" s="2"/>
      <c r="N85" s="3"/>
      <c r="O85" s="17"/>
    </row>
    <row r="86" spans="1:15" ht="20.100000000000001" customHeight="1" x14ac:dyDescent="0.3">
      <c r="A86" s="21" t="str">
        <f t="shared" si="2"/>
        <v/>
      </c>
      <c r="B86" s="21"/>
      <c r="C86" s="1"/>
      <c r="D86" s="21"/>
      <c r="E86" s="21"/>
      <c r="F86" s="21"/>
      <c r="G86" s="21"/>
      <c r="H86" s="21"/>
      <c r="I86" s="21"/>
      <c r="J86" s="21"/>
      <c r="K86" s="21"/>
      <c r="L86" s="1"/>
      <c r="M86" s="21"/>
      <c r="N86" s="1"/>
      <c r="O86" s="17"/>
    </row>
    <row r="87" spans="1:15" ht="20.100000000000001" customHeight="1" x14ac:dyDescent="0.3">
      <c r="A87" s="2" t="str">
        <f t="shared" si="2"/>
        <v/>
      </c>
      <c r="B87" s="2"/>
      <c r="C87" s="3"/>
      <c r="D87" s="2"/>
      <c r="E87" s="2"/>
      <c r="F87" s="2"/>
      <c r="G87" s="2"/>
      <c r="H87" s="2"/>
      <c r="I87" s="2"/>
      <c r="J87" s="2"/>
      <c r="K87" s="2"/>
      <c r="L87" s="3"/>
      <c r="M87" s="2"/>
      <c r="N87" s="3"/>
      <c r="O87" s="17"/>
    </row>
    <row r="88" spans="1:15" ht="20.100000000000001" customHeight="1" x14ac:dyDescent="0.3">
      <c r="A88" s="21" t="str">
        <f t="shared" si="2"/>
        <v/>
      </c>
      <c r="B88" s="21"/>
      <c r="C88" s="1"/>
      <c r="D88" s="21"/>
      <c r="E88" s="21"/>
      <c r="F88" s="21"/>
      <c r="G88" s="21"/>
      <c r="H88" s="21"/>
      <c r="I88" s="21"/>
      <c r="J88" s="21"/>
      <c r="K88" s="21"/>
      <c r="L88" s="1"/>
      <c r="M88" s="21"/>
      <c r="N88" s="1"/>
      <c r="O88" s="17"/>
    </row>
    <row r="89" spans="1:15" ht="20.100000000000001" customHeight="1" x14ac:dyDescent="0.3">
      <c r="A89" s="2" t="str">
        <f t="shared" si="2"/>
        <v/>
      </c>
      <c r="B89" s="2"/>
      <c r="C89" s="3"/>
      <c r="D89" s="2"/>
      <c r="E89" s="2"/>
      <c r="F89" s="2"/>
      <c r="G89" s="2"/>
      <c r="H89" s="2"/>
      <c r="I89" s="2"/>
      <c r="J89" s="2"/>
      <c r="K89" s="2"/>
      <c r="L89" s="3"/>
      <c r="M89" s="2"/>
      <c r="N89" s="3"/>
      <c r="O89" s="17"/>
    </row>
    <row r="90" spans="1:15" ht="20.100000000000001" customHeight="1" x14ac:dyDescent="0.3">
      <c r="A90" s="21" t="str">
        <f t="shared" si="2"/>
        <v/>
      </c>
      <c r="B90" s="21"/>
      <c r="C90" s="1"/>
      <c r="D90" s="21"/>
      <c r="E90" s="21"/>
      <c r="F90" s="21"/>
      <c r="G90" s="21"/>
      <c r="H90" s="21"/>
      <c r="I90" s="21"/>
      <c r="J90" s="21"/>
      <c r="K90" s="21"/>
      <c r="L90" s="1"/>
      <c r="M90" s="21"/>
      <c r="N90" s="1"/>
      <c r="O90" s="17"/>
    </row>
    <row r="91" spans="1:15" ht="20.100000000000001" customHeight="1" x14ac:dyDescent="0.3">
      <c r="A91" s="2" t="str">
        <f t="shared" si="2"/>
        <v/>
      </c>
      <c r="B91" s="2"/>
      <c r="C91" s="3"/>
      <c r="D91" s="2"/>
      <c r="E91" s="2"/>
      <c r="F91" s="2"/>
      <c r="G91" s="2"/>
      <c r="H91" s="2"/>
      <c r="I91" s="2"/>
      <c r="J91" s="2"/>
      <c r="K91" s="2"/>
      <c r="L91" s="3"/>
      <c r="M91" s="2"/>
      <c r="N91" s="3"/>
      <c r="O91" s="17"/>
    </row>
    <row r="92" spans="1:15" ht="20.100000000000001" customHeight="1" x14ac:dyDescent="0.3">
      <c r="A92" s="21" t="str">
        <f t="shared" si="2"/>
        <v/>
      </c>
      <c r="B92" s="21"/>
      <c r="C92" s="1"/>
      <c r="D92" s="21"/>
      <c r="E92" s="21"/>
      <c r="F92" s="21"/>
      <c r="G92" s="21"/>
      <c r="H92" s="21"/>
      <c r="I92" s="21"/>
      <c r="J92" s="21"/>
      <c r="K92" s="21"/>
      <c r="L92" s="1"/>
      <c r="M92" s="21"/>
      <c r="N92" s="1"/>
      <c r="O92" s="17"/>
    </row>
    <row r="93" spans="1:15" ht="20.100000000000001" customHeight="1" x14ac:dyDescent="0.3">
      <c r="A93" s="2" t="str">
        <f t="shared" si="2"/>
        <v/>
      </c>
      <c r="B93" s="2"/>
      <c r="C93" s="3"/>
      <c r="D93" s="2"/>
      <c r="E93" s="2"/>
      <c r="F93" s="2"/>
      <c r="G93" s="2"/>
      <c r="H93" s="2"/>
      <c r="I93" s="2"/>
      <c r="J93" s="2"/>
      <c r="K93" s="2"/>
      <c r="L93" s="3"/>
      <c r="M93" s="2"/>
      <c r="N93" s="3"/>
      <c r="O93" s="17"/>
    </row>
    <row r="94" spans="1:15" ht="20.100000000000001" customHeight="1" x14ac:dyDescent="0.3">
      <c r="A94" s="21" t="str">
        <f t="shared" si="2"/>
        <v/>
      </c>
      <c r="B94" s="21"/>
      <c r="C94" s="1"/>
      <c r="D94" s="21"/>
      <c r="E94" s="21"/>
      <c r="F94" s="21"/>
      <c r="G94" s="21"/>
      <c r="H94" s="21"/>
      <c r="I94" s="21"/>
      <c r="J94" s="21"/>
      <c r="K94" s="21"/>
      <c r="L94" s="1"/>
      <c r="M94" s="21"/>
      <c r="N94" s="1"/>
      <c r="O94" s="17"/>
    </row>
    <row r="95" spans="1:15" ht="20.100000000000001" customHeight="1" x14ac:dyDescent="0.3">
      <c r="A95" s="2" t="str">
        <f t="shared" si="2"/>
        <v/>
      </c>
      <c r="B95" s="2"/>
      <c r="C95" s="3"/>
      <c r="D95" s="2"/>
      <c r="E95" s="2"/>
      <c r="F95" s="2"/>
      <c r="G95" s="2"/>
      <c r="H95" s="2"/>
      <c r="I95" s="2"/>
      <c r="J95" s="2"/>
      <c r="K95" s="2"/>
      <c r="L95" s="3"/>
      <c r="M95" s="2"/>
      <c r="N95" s="3"/>
      <c r="O95" s="17"/>
    </row>
    <row r="96" spans="1:15" ht="20.100000000000001" customHeight="1" x14ac:dyDescent="0.3">
      <c r="A96" s="21" t="str">
        <f t="shared" si="2"/>
        <v/>
      </c>
      <c r="B96" s="21"/>
      <c r="C96" s="1"/>
      <c r="D96" s="21"/>
      <c r="E96" s="21"/>
      <c r="F96" s="21"/>
      <c r="G96" s="21"/>
      <c r="H96" s="21"/>
      <c r="I96" s="21"/>
      <c r="J96" s="21"/>
      <c r="K96" s="21"/>
      <c r="L96" s="1"/>
      <c r="M96" s="21"/>
      <c r="N96" s="1"/>
      <c r="O96" s="17"/>
    </row>
    <row r="97" spans="1:15" ht="20.100000000000001" customHeight="1" x14ac:dyDescent="0.3">
      <c r="A97" s="2" t="str">
        <f t="shared" si="2"/>
        <v/>
      </c>
      <c r="B97" s="2"/>
      <c r="C97" s="3"/>
      <c r="D97" s="2"/>
      <c r="E97" s="2"/>
      <c r="F97" s="2"/>
      <c r="G97" s="2"/>
      <c r="H97" s="2"/>
      <c r="I97" s="2"/>
      <c r="J97" s="2"/>
      <c r="K97" s="2"/>
      <c r="L97" s="3"/>
      <c r="M97" s="2"/>
      <c r="N97" s="3"/>
      <c r="O97" s="17"/>
    </row>
    <row r="98" spans="1:15" ht="20.100000000000001" customHeight="1" x14ac:dyDescent="0.3">
      <c r="A98" s="21" t="str">
        <f t="shared" si="2"/>
        <v/>
      </c>
      <c r="B98" s="21"/>
      <c r="C98" s="1"/>
      <c r="D98" s="21"/>
      <c r="E98" s="21"/>
      <c r="F98" s="21"/>
      <c r="G98" s="21"/>
      <c r="H98" s="21"/>
      <c r="I98" s="21"/>
      <c r="J98" s="21"/>
      <c r="K98" s="21"/>
      <c r="L98" s="1"/>
      <c r="M98" s="21"/>
      <c r="N98" s="1"/>
      <c r="O98" s="17"/>
    </row>
    <row r="99" spans="1:15" ht="20.100000000000001" customHeight="1" x14ac:dyDescent="0.3">
      <c r="A99" s="2" t="str">
        <f t="shared" si="2"/>
        <v/>
      </c>
      <c r="B99" s="2"/>
      <c r="C99" s="3"/>
      <c r="D99" s="2"/>
      <c r="E99" s="2"/>
      <c r="F99" s="2"/>
      <c r="G99" s="2"/>
      <c r="H99" s="2"/>
      <c r="I99" s="2"/>
      <c r="J99" s="2"/>
      <c r="K99" s="2"/>
      <c r="L99" s="3"/>
      <c r="M99" s="2"/>
      <c r="N99" s="3"/>
      <c r="O99" s="17"/>
    </row>
    <row r="100" spans="1:15" ht="20.100000000000001" customHeight="1" x14ac:dyDescent="0.3">
      <c r="A100" s="21" t="str">
        <f t="shared" ref="A100:A131" si="3">IF(B100&lt;&gt;"",ROW()-3,"")</f>
        <v/>
      </c>
      <c r="B100" s="21"/>
      <c r="C100" s="1"/>
      <c r="D100" s="21"/>
      <c r="E100" s="21"/>
      <c r="F100" s="21"/>
      <c r="G100" s="21"/>
      <c r="H100" s="21"/>
      <c r="I100" s="21"/>
      <c r="J100" s="21"/>
      <c r="K100" s="21"/>
      <c r="L100" s="1"/>
      <c r="M100" s="21"/>
      <c r="N100" s="1"/>
      <c r="O100" s="17"/>
    </row>
    <row r="101" spans="1:15" ht="20.100000000000001" customHeight="1" x14ac:dyDescent="0.3">
      <c r="A101" s="2" t="str">
        <f t="shared" si="3"/>
        <v/>
      </c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3"/>
      <c r="O101" s="17"/>
    </row>
    <row r="102" spans="1:15" ht="20.100000000000001" customHeight="1" x14ac:dyDescent="0.3">
      <c r="A102" s="21" t="str">
        <f t="shared" si="3"/>
        <v/>
      </c>
      <c r="B102" s="21"/>
      <c r="C102" s="1"/>
      <c r="D102" s="21"/>
      <c r="E102" s="21"/>
      <c r="F102" s="21"/>
      <c r="G102" s="21"/>
      <c r="H102" s="21"/>
      <c r="I102" s="21"/>
      <c r="J102" s="21"/>
      <c r="K102" s="21"/>
      <c r="L102" s="1"/>
      <c r="M102" s="21"/>
      <c r="N102" s="1"/>
      <c r="O102" s="17"/>
    </row>
    <row r="103" spans="1:15" ht="20.100000000000001" customHeight="1" x14ac:dyDescent="0.3">
      <c r="A103" s="2" t="str">
        <f t="shared" si="3"/>
        <v/>
      </c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3"/>
      <c r="O103" s="17"/>
    </row>
    <row r="104" spans="1:15" ht="20.100000000000001" customHeight="1" x14ac:dyDescent="0.3">
      <c r="A104" s="21" t="str">
        <f t="shared" si="3"/>
        <v/>
      </c>
      <c r="B104" s="21"/>
      <c r="C104" s="1"/>
      <c r="D104" s="21"/>
      <c r="E104" s="21"/>
      <c r="F104" s="21"/>
      <c r="G104" s="21"/>
      <c r="H104" s="21"/>
      <c r="I104" s="21"/>
      <c r="J104" s="21"/>
      <c r="K104" s="21"/>
      <c r="L104" s="1"/>
      <c r="M104" s="21"/>
      <c r="N104" s="1"/>
      <c r="O104" s="17"/>
    </row>
    <row r="105" spans="1:15" ht="20.100000000000001" customHeight="1" x14ac:dyDescent="0.3">
      <c r="A105" s="2" t="str">
        <f t="shared" si="3"/>
        <v/>
      </c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3"/>
      <c r="O105" s="17"/>
    </row>
    <row r="106" spans="1:15" ht="20.100000000000001" customHeight="1" x14ac:dyDescent="0.3">
      <c r="A106" s="21" t="str">
        <f t="shared" si="3"/>
        <v/>
      </c>
      <c r="B106" s="21"/>
      <c r="C106" s="1"/>
      <c r="D106" s="21"/>
      <c r="E106" s="21"/>
      <c r="F106" s="21"/>
      <c r="G106" s="21"/>
      <c r="H106" s="21"/>
      <c r="I106" s="21"/>
      <c r="J106" s="21"/>
      <c r="K106" s="21"/>
      <c r="L106" s="1"/>
      <c r="M106" s="21"/>
      <c r="N106" s="1"/>
      <c r="O106" s="17"/>
    </row>
    <row r="107" spans="1:15" ht="20.100000000000001" customHeight="1" x14ac:dyDescent="0.3">
      <c r="A107" s="2" t="str">
        <f t="shared" si="3"/>
        <v/>
      </c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3"/>
      <c r="O107" s="17"/>
    </row>
    <row r="108" spans="1:15" ht="20.100000000000001" customHeight="1" x14ac:dyDescent="0.3">
      <c r="A108" s="21" t="str">
        <f t="shared" si="3"/>
        <v/>
      </c>
      <c r="B108" s="21"/>
      <c r="C108" s="1"/>
      <c r="D108" s="21"/>
      <c r="E108" s="21"/>
      <c r="F108" s="21"/>
      <c r="G108" s="21"/>
      <c r="H108" s="21"/>
      <c r="I108" s="21"/>
      <c r="J108" s="21"/>
      <c r="K108" s="21"/>
      <c r="L108" s="1"/>
      <c r="M108" s="21"/>
      <c r="N108" s="1"/>
      <c r="O108" s="17"/>
    </row>
    <row r="109" spans="1:15" ht="20.100000000000001" customHeight="1" x14ac:dyDescent="0.3">
      <c r="A109" s="2" t="str">
        <f t="shared" si="3"/>
        <v/>
      </c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3"/>
      <c r="O109" s="17"/>
    </row>
    <row r="110" spans="1:15" ht="20.100000000000001" customHeight="1" x14ac:dyDescent="0.3">
      <c r="A110" s="21" t="str">
        <f t="shared" si="3"/>
        <v/>
      </c>
      <c r="B110" s="21"/>
      <c r="C110" s="1"/>
      <c r="D110" s="21"/>
      <c r="E110" s="21"/>
      <c r="F110" s="21"/>
      <c r="G110" s="21"/>
      <c r="H110" s="21"/>
      <c r="I110" s="21"/>
      <c r="J110" s="21"/>
      <c r="K110" s="21"/>
      <c r="L110" s="1"/>
      <c r="M110" s="21"/>
      <c r="N110" s="1"/>
      <c r="O110" s="17"/>
    </row>
    <row r="111" spans="1:15" ht="20.100000000000001" customHeight="1" x14ac:dyDescent="0.3">
      <c r="A111" s="2" t="str">
        <f t="shared" si="3"/>
        <v/>
      </c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3"/>
      <c r="O111" s="17"/>
    </row>
    <row r="112" spans="1:15" ht="20.100000000000001" customHeight="1" x14ac:dyDescent="0.3">
      <c r="A112" s="21" t="str">
        <f t="shared" si="3"/>
        <v/>
      </c>
      <c r="B112" s="21"/>
      <c r="C112" s="1"/>
      <c r="D112" s="21"/>
      <c r="E112" s="21"/>
      <c r="F112" s="21"/>
      <c r="G112" s="21"/>
      <c r="H112" s="21"/>
      <c r="I112" s="21"/>
      <c r="J112" s="21"/>
      <c r="K112" s="21"/>
      <c r="L112" s="1"/>
      <c r="M112" s="21"/>
      <c r="N112" s="1"/>
      <c r="O112" s="17"/>
    </row>
    <row r="113" spans="1:15" ht="20.100000000000001" customHeight="1" x14ac:dyDescent="0.3">
      <c r="A113" s="2" t="str">
        <f t="shared" si="3"/>
        <v/>
      </c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3"/>
      <c r="O113" s="17"/>
    </row>
    <row r="114" spans="1:15" ht="20.100000000000001" customHeight="1" x14ac:dyDescent="0.3">
      <c r="A114" s="21" t="str">
        <f t="shared" si="3"/>
        <v/>
      </c>
      <c r="B114" s="21"/>
      <c r="C114" s="1"/>
      <c r="D114" s="21"/>
      <c r="E114" s="21"/>
      <c r="F114" s="21"/>
      <c r="G114" s="21"/>
      <c r="H114" s="21"/>
      <c r="I114" s="21"/>
      <c r="J114" s="21"/>
      <c r="K114" s="21"/>
      <c r="L114" s="1"/>
      <c r="M114" s="21"/>
      <c r="N114" s="1"/>
      <c r="O114" s="17"/>
    </row>
    <row r="115" spans="1:15" ht="20.100000000000001" customHeight="1" x14ac:dyDescent="0.3">
      <c r="A115" s="2" t="str">
        <f t="shared" si="3"/>
        <v/>
      </c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3"/>
      <c r="O115" s="17"/>
    </row>
    <row r="116" spans="1:15" ht="20.100000000000001" customHeight="1" x14ac:dyDescent="0.3">
      <c r="A116" s="21" t="str">
        <f t="shared" si="3"/>
        <v/>
      </c>
      <c r="B116" s="21"/>
      <c r="C116" s="1"/>
      <c r="D116" s="21"/>
      <c r="E116" s="21"/>
      <c r="F116" s="21"/>
      <c r="G116" s="21"/>
      <c r="H116" s="21"/>
      <c r="I116" s="21"/>
      <c r="J116" s="21"/>
      <c r="K116" s="21"/>
      <c r="L116" s="1"/>
      <c r="M116" s="21"/>
      <c r="N116" s="1"/>
      <c r="O116" s="17"/>
    </row>
    <row r="117" spans="1:15" ht="20.100000000000001" customHeight="1" x14ac:dyDescent="0.3">
      <c r="A117" s="2" t="str">
        <f t="shared" si="3"/>
        <v/>
      </c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3"/>
      <c r="O117" s="17"/>
    </row>
    <row r="118" spans="1:15" ht="20.100000000000001" customHeight="1" x14ac:dyDescent="0.3">
      <c r="A118" s="21" t="str">
        <f t="shared" si="3"/>
        <v/>
      </c>
      <c r="B118" s="21"/>
      <c r="C118" s="1"/>
      <c r="D118" s="21"/>
      <c r="E118" s="21"/>
      <c r="F118" s="21"/>
      <c r="G118" s="21"/>
      <c r="H118" s="21"/>
      <c r="I118" s="21"/>
      <c r="J118" s="21"/>
      <c r="K118" s="21"/>
      <c r="L118" s="1"/>
      <c r="M118" s="21"/>
      <c r="N118" s="1"/>
      <c r="O118" s="17"/>
    </row>
    <row r="119" spans="1:15" ht="20.100000000000001" customHeight="1" x14ac:dyDescent="0.3">
      <c r="A119" s="2" t="str">
        <f t="shared" si="3"/>
        <v/>
      </c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3"/>
      <c r="O119" s="17"/>
    </row>
    <row r="120" spans="1:15" ht="20.100000000000001" customHeight="1" x14ac:dyDescent="0.3">
      <c r="A120" s="21" t="str">
        <f t="shared" si="3"/>
        <v/>
      </c>
      <c r="B120" s="21"/>
      <c r="C120" s="1"/>
      <c r="D120" s="21"/>
      <c r="E120" s="21"/>
      <c r="F120" s="21"/>
      <c r="G120" s="21"/>
      <c r="H120" s="21"/>
      <c r="I120" s="21"/>
      <c r="J120" s="21"/>
      <c r="K120" s="21"/>
      <c r="L120" s="1"/>
      <c r="M120" s="21"/>
      <c r="N120" s="1"/>
      <c r="O120" s="17"/>
    </row>
    <row r="121" spans="1:15" ht="20.100000000000001" customHeight="1" x14ac:dyDescent="0.3">
      <c r="A121" s="2" t="str">
        <f t="shared" si="3"/>
        <v/>
      </c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3"/>
      <c r="O121" s="17"/>
    </row>
    <row r="122" spans="1:15" ht="20.100000000000001" customHeight="1" x14ac:dyDescent="0.3">
      <c r="A122" s="21" t="str">
        <f t="shared" si="3"/>
        <v/>
      </c>
      <c r="B122" s="21"/>
      <c r="C122" s="1"/>
      <c r="D122" s="21"/>
      <c r="E122" s="21"/>
      <c r="F122" s="21"/>
      <c r="G122" s="21"/>
      <c r="H122" s="21"/>
      <c r="I122" s="21"/>
      <c r="J122" s="21"/>
      <c r="K122" s="21"/>
      <c r="L122" s="1"/>
      <c r="M122" s="21"/>
      <c r="N122" s="1"/>
      <c r="O122" s="17"/>
    </row>
    <row r="123" spans="1:15" ht="20.100000000000001" customHeight="1" x14ac:dyDescent="0.3">
      <c r="A123" s="2" t="str">
        <f t="shared" si="3"/>
        <v/>
      </c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3"/>
      <c r="O123" s="17"/>
    </row>
    <row r="124" spans="1:15" ht="20.100000000000001" customHeight="1" x14ac:dyDescent="0.3">
      <c r="A124" s="21" t="str">
        <f t="shared" si="3"/>
        <v/>
      </c>
      <c r="B124" s="21"/>
      <c r="C124" s="1"/>
      <c r="D124" s="21"/>
      <c r="E124" s="21"/>
      <c r="F124" s="21"/>
      <c r="G124" s="21"/>
      <c r="H124" s="21"/>
      <c r="I124" s="21"/>
      <c r="J124" s="21"/>
      <c r="K124" s="21"/>
      <c r="L124" s="1"/>
      <c r="M124" s="21"/>
      <c r="N124" s="1"/>
      <c r="O124" s="17"/>
    </row>
    <row r="125" spans="1:15" ht="20.100000000000001" customHeight="1" x14ac:dyDescent="0.3">
      <c r="A125" s="2" t="str">
        <f t="shared" si="3"/>
        <v/>
      </c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3"/>
      <c r="O125" s="17"/>
    </row>
    <row r="126" spans="1:15" ht="20.100000000000001" customHeight="1" x14ac:dyDescent="0.3">
      <c r="A126" s="21" t="str">
        <f t="shared" si="3"/>
        <v/>
      </c>
      <c r="B126" s="21"/>
      <c r="C126" s="1"/>
      <c r="D126" s="21"/>
      <c r="E126" s="21"/>
      <c r="F126" s="21"/>
      <c r="G126" s="21"/>
      <c r="H126" s="21"/>
      <c r="I126" s="21"/>
      <c r="J126" s="21"/>
      <c r="K126" s="21"/>
      <c r="L126" s="1"/>
      <c r="M126" s="21"/>
      <c r="N126" s="1"/>
      <c r="O126" s="17"/>
    </row>
    <row r="127" spans="1:15" ht="20.100000000000001" customHeight="1" x14ac:dyDescent="0.3">
      <c r="A127" s="2" t="str">
        <f t="shared" si="3"/>
        <v/>
      </c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3"/>
      <c r="O127" s="17"/>
    </row>
    <row r="128" spans="1:15" ht="20.100000000000001" customHeight="1" x14ac:dyDescent="0.3">
      <c r="A128" s="21" t="str">
        <f t="shared" si="3"/>
        <v/>
      </c>
      <c r="B128" s="21"/>
      <c r="C128" s="1"/>
      <c r="D128" s="21"/>
      <c r="E128" s="21"/>
      <c r="F128" s="21"/>
      <c r="G128" s="21"/>
      <c r="H128" s="21"/>
      <c r="I128" s="21"/>
      <c r="J128" s="21"/>
      <c r="K128" s="21"/>
      <c r="L128" s="1"/>
      <c r="M128" s="21"/>
      <c r="N128" s="1"/>
      <c r="O128" s="17"/>
    </row>
    <row r="129" spans="1:15" ht="20.100000000000001" customHeight="1" x14ac:dyDescent="0.3">
      <c r="A129" s="2" t="str">
        <f t="shared" si="3"/>
        <v/>
      </c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3"/>
      <c r="O129" s="17"/>
    </row>
    <row r="130" spans="1:15" ht="20.100000000000001" customHeight="1" x14ac:dyDescent="0.3">
      <c r="A130" s="21" t="str">
        <f t="shared" si="3"/>
        <v/>
      </c>
      <c r="B130" s="21"/>
      <c r="C130" s="1"/>
      <c r="D130" s="21"/>
      <c r="E130" s="21"/>
      <c r="F130" s="21"/>
      <c r="G130" s="21"/>
      <c r="H130" s="21"/>
      <c r="I130" s="21"/>
      <c r="J130" s="21"/>
      <c r="K130" s="21"/>
      <c r="L130" s="1"/>
      <c r="M130" s="21"/>
      <c r="N130" s="1"/>
      <c r="O130" s="17"/>
    </row>
    <row r="131" spans="1:15" ht="20.100000000000001" customHeight="1" x14ac:dyDescent="0.3">
      <c r="A131" s="2" t="str">
        <f t="shared" si="3"/>
        <v/>
      </c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3"/>
      <c r="O131" s="17"/>
    </row>
    <row r="132" spans="1:15" ht="20.100000000000001" customHeight="1" x14ac:dyDescent="0.3">
      <c r="A132" s="21" t="str">
        <f t="shared" ref="A132:A163" si="4">IF(B132&lt;&gt;"",ROW()-3,"")</f>
        <v/>
      </c>
      <c r="B132" s="21"/>
      <c r="C132" s="1"/>
      <c r="D132" s="21"/>
      <c r="E132" s="21"/>
      <c r="F132" s="21"/>
      <c r="G132" s="21"/>
      <c r="H132" s="21"/>
      <c r="I132" s="21"/>
      <c r="J132" s="21"/>
      <c r="K132" s="21"/>
      <c r="L132" s="1"/>
      <c r="M132" s="21"/>
      <c r="N132" s="1"/>
      <c r="O132" s="17"/>
    </row>
    <row r="133" spans="1:15" ht="20.100000000000001" customHeight="1" x14ac:dyDescent="0.3">
      <c r="A133" s="2" t="str">
        <f t="shared" si="4"/>
        <v/>
      </c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3"/>
      <c r="O133" s="17"/>
    </row>
    <row r="134" spans="1:15" ht="20.100000000000001" customHeight="1" x14ac:dyDescent="0.3">
      <c r="A134" s="21" t="str">
        <f t="shared" si="4"/>
        <v/>
      </c>
      <c r="B134" s="21"/>
      <c r="C134" s="1"/>
      <c r="D134" s="21"/>
      <c r="E134" s="21"/>
      <c r="F134" s="21"/>
      <c r="G134" s="21"/>
      <c r="H134" s="21"/>
      <c r="I134" s="21"/>
      <c r="J134" s="21"/>
      <c r="K134" s="21"/>
      <c r="L134" s="1"/>
      <c r="M134" s="21"/>
      <c r="N134" s="1"/>
      <c r="O134" s="17"/>
    </row>
    <row r="135" spans="1:15" ht="20.100000000000001" customHeight="1" x14ac:dyDescent="0.3">
      <c r="A135" s="2" t="str">
        <f t="shared" si="4"/>
        <v/>
      </c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3"/>
      <c r="O135" s="17"/>
    </row>
    <row r="136" spans="1:15" ht="20.100000000000001" customHeight="1" x14ac:dyDescent="0.3">
      <c r="A136" s="21" t="str">
        <f t="shared" si="4"/>
        <v/>
      </c>
      <c r="B136" s="21"/>
      <c r="C136" s="1"/>
      <c r="D136" s="21"/>
      <c r="E136" s="21"/>
      <c r="F136" s="21"/>
      <c r="G136" s="21"/>
      <c r="H136" s="21"/>
      <c r="I136" s="21"/>
      <c r="J136" s="21"/>
      <c r="K136" s="21"/>
      <c r="L136" s="1"/>
      <c r="M136" s="21"/>
      <c r="N136" s="1"/>
      <c r="O136" s="17"/>
    </row>
    <row r="137" spans="1:15" ht="20.100000000000001" customHeight="1" x14ac:dyDescent="0.3">
      <c r="A137" s="2" t="str">
        <f t="shared" si="4"/>
        <v/>
      </c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3"/>
      <c r="O137" s="17"/>
    </row>
    <row r="138" spans="1:15" ht="20.100000000000001" customHeight="1" x14ac:dyDescent="0.3">
      <c r="A138" s="21" t="str">
        <f t="shared" si="4"/>
        <v/>
      </c>
      <c r="B138" s="21"/>
      <c r="C138" s="1"/>
      <c r="D138" s="21"/>
      <c r="E138" s="21"/>
      <c r="F138" s="21"/>
      <c r="G138" s="21"/>
      <c r="H138" s="21"/>
      <c r="I138" s="21"/>
      <c r="J138" s="21"/>
      <c r="K138" s="21"/>
      <c r="L138" s="1"/>
      <c r="M138" s="21"/>
      <c r="N138" s="1"/>
      <c r="O138" s="17"/>
    </row>
    <row r="139" spans="1:15" ht="20.100000000000001" customHeight="1" x14ac:dyDescent="0.3">
      <c r="A139" s="2" t="str">
        <f t="shared" si="4"/>
        <v/>
      </c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3"/>
      <c r="O139" s="17"/>
    </row>
    <row r="140" spans="1:15" ht="20.100000000000001" customHeight="1" x14ac:dyDescent="0.3">
      <c r="A140" s="21" t="str">
        <f t="shared" si="4"/>
        <v/>
      </c>
      <c r="B140" s="21"/>
      <c r="C140" s="1"/>
      <c r="D140" s="21"/>
      <c r="E140" s="21"/>
      <c r="F140" s="21"/>
      <c r="G140" s="21"/>
      <c r="H140" s="21"/>
      <c r="I140" s="21"/>
      <c r="J140" s="21"/>
      <c r="K140" s="21"/>
      <c r="L140" s="1"/>
      <c r="M140" s="21"/>
      <c r="N140" s="1"/>
      <c r="O140" s="17"/>
    </row>
    <row r="141" spans="1:15" ht="20.100000000000001" customHeight="1" x14ac:dyDescent="0.3">
      <c r="A141" s="2" t="str">
        <f t="shared" si="4"/>
        <v/>
      </c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3"/>
      <c r="O141" s="17"/>
    </row>
    <row r="142" spans="1:15" ht="20.100000000000001" customHeight="1" x14ac:dyDescent="0.3">
      <c r="A142" s="21" t="str">
        <f t="shared" si="4"/>
        <v/>
      </c>
      <c r="B142" s="21"/>
      <c r="C142" s="1"/>
      <c r="D142" s="21"/>
      <c r="E142" s="21"/>
      <c r="F142" s="21"/>
      <c r="G142" s="21"/>
      <c r="H142" s="21"/>
      <c r="I142" s="21"/>
      <c r="J142" s="21"/>
      <c r="K142" s="21"/>
      <c r="L142" s="1"/>
      <c r="M142" s="21"/>
      <c r="N142" s="1"/>
      <c r="O142" s="17"/>
    </row>
    <row r="143" spans="1:15" ht="20.100000000000001" customHeight="1" x14ac:dyDescent="0.3">
      <c r="A143" s="2" t="str">
        <f t="shared" si="4"/>
        <v/>
      </c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3"/>
      <c r="O143" s="17"/>
    </row>
    <row r="144" spans="1:15" ht="20.100000000000001" customHeight="1" x14ac:dyDescent="0.3">
      <c r="A144" s="21" t="str">
        <f t="shared" si="4"/>
        <v/>
      </c>
      <c r="B144" s="21"/>
      <c r="C144" s="1"/>
      <c r="D144" s="21"/>
      <c r="E144" s="21"/>
      <c r="F144" s="21"/>
      <c r="G144" s="21"/>
      <c r="H144" s="21"/>
      <c r="I144" s="21"/>
      <c r="J144" s="21"/>
      <c r="K144" s="21"/>
      <c r="L144" s="1"/>
      <c r="M144" s="21"/>
      <c r="N144" s="1"/>
      <c r="O144" s="17"/>
    </row>
    <row r="145" spans="1:15" ht="20.100000000000001" customHeight="1" x14ac:dyDescent="0.3">
      <c r="A145" s="2" t="str">
        <f t="shared" si="4"/>
        <v/>
      </c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3"/>
      <c r="O145" s="17"/>
    </row>
    <row r="146" spans="1:15" ht="20.100000000000001" customHeight="1" x14ac:dyDescent="0.3">
      <c r="A146" s="21" t="str">
        <f t="shared" si="4"/>
        <v/>
      </c>
      <c r="B146" s="21"/>
      <c r="C146" s="1"/>
      <c r="D146" s="21"/>
      <c r="E146" s="21"/>
      <c r="F146" s="21"/>
      <c r="G146" s="21"/>
      <c r="H146" s="21"/>
      <c r="I146" s="21"/>
      <c r="J146" s="21"/>
      <c r="K146" s="21"/>
      <c r="L146" s="1"/>
      <c r="M146" s="21"/>
      <c r="N146" s="1"/>
      <c r="O146" s="17"/>
    </row>
    <row r="147" spans="1:15" ht="20.100000000000001" customHeight="1" x14ac:dyDescent="0.3">
      <c r="A147" s="2" t="str">
        <f t="shared" si="4"/>
        <v/>
      </c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3"/>
      <c r="O147" s="17"/>
    </row>
    <row r="148" spans="1:15" ht="20.100000000000001" customHeight="1" x14ac:dyDescent="0.3">
      <c r="A148" s="21" t="str">
        <f t="shared" si="4"/>
        <v/>
      </c>
      <c r="B148" s="21"/>
      <c r="C148" s="1"/>
      <c r="D148" s="21"/>
      <c r="E148" s="21"/>
      <c r="F148" s="21"/>
      <c r="G148" s="21"/>
      <c r="H148" s="21"/>
      <c r="I148" s="21"/>
      <c r="J148" s="21"/>
      <c r="K148" s="21"/>
      <c r="L148" s="1"/>
      <c r="M148" s="21"/>
      <c r="N148" s="1"/>
      <c r="O148" s="17"/>
    </row>
    <row r="149" spans="1:15" ht="20.100000000000001" customHeight="1" x14ac:dyDescent="0.3">
      <c r="A149" s="2" t="str">
        <f t="shared" si="4"/>
        <v/>
      </c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3"/>
      <c r="O149" s="17"/>
    </row>
    <row r="150" spans="1:15" ht="20.100000000000001" customHeight="1" x14ac:dyDescent="0.3">
      <c r="A150" s="21" t="str">
        <f t="shared" si="4"/>
        <v/>
      </c>
      <c r="B150" s="21"/>
      <c r="C150" s="1"/>
      <c r="D150" s="21"/>
      <c r="E150" s="21"/>
      <c r="F150" s="21"/>
      <c r="G150" s="21"/>
      <c r="H150" s="21"/>
      <c r="I150" s="21"/>
      <c r="J150" s="21"/>
      <c r="K150" s="21"/>
      <c r="L150" s="1"/>
      <c r="M150" s="21"/>
      <c r="N150" s="1"/>
      <c r="O150" s="17"/>
    </row>
    <row r="151" spans="1:15" ht="20.100000000000001" customHeight="1" x14ac:dyDescent="0.3">
      <c r="A151" s="2" t="str">
        <f t="shared" si="4"/>
        <v/>
      </c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3"/>
      <c r="O151" s="17"/>
    </row>
    <row r="152" spans="1:15" ht="20.100000000000001" customHeight="1" x14ac:dyDescent="0.3">
      <c r="A152" s="21" t="str">
        <f t="shared" si="4"/>
        <v/>
      </c>
      <c r="B152" s="21"/>
      <c r="C152" s="1"/>
      <c r="D152" s="21"/>
      <c r="E152" s="21"/>
      <c r="F152" s="21"/>
      <c r="G152" s="21"/>
      <c r="H152" s="21"/>
      <c r="I152" s="21"/>
      <c r="J152" s="21"/>
      <c r="K152" s="21"/>
      <c r="L152" s="1"/>
      <c r="M152" s="21"/>
      <c r="N152" s="1"/>
      <c r="O152" s="17"/>
    </row>
    <row r="153" spans="1:15" ht="20.100000000000001" customHeight="1" x14ac:dyDescent="0.3">
      <c r="A153" s="2" t="str">
        <f t="shared" si="4"/>
        <v/>
      </c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3"/>
      <c r="O153" s="17"/>
    </row>
    <row r="154" spans="1:15" ht="20.100000000000001" customHeight="1" x14ac:dyDescent="0.3">
      <c r="A154" s="21" t="str">
        <f t="shared" si="4"/>
        <v/>
      </c>
      <c r="B154" s="21"/>
      <c r="C154" s="1"/>
      <c r="D154" s="21"/>
      <c r="E154" s="21"/>
      <c r="F154" s="21"/>
      <c r="G154" s="21"/>
      <c r="H154" s="21"/>
      <c r="I154" s="21"/>
      <c r="J154" s="21"/>
      <c r="K154" s="21"/>
      <c r="L154" s="1"/>
      <c r="M154" s="21"/>
      <c r="N154" s="1"/>
      <c r="O154" s="17"/>
    </row>
    <row r="155" spans="1:15" ht="20.100000000000001" customHeight="1" x14ac:dyDescent="0.3">
      <c r="A155" s="2" t="str">
        <f t="shared" si="4"/>
        <v/>
      </c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3"/>
      <c r="O155" s="17"/>
    </row>
    <row r="156" spans="1:15" ht="20.100000000000001" customHeight="1" x14ac:dyDescent="0.3">
      <c r="A156" s="21" t="str">
        <f t="shared" si="4"/>
        <v/>
      </c>
      <c r="B156" s="21"/>
      <c r="C156" s="1"/>
      <c r="D156" s="21"/>
      <c r="E156" s="21"/>
      <c r="F156" s="21"/>
      <c r="G156" s="21"/>
      <c r="H156" s="21"/>
      <c r="I156" s="21"/>
      <c r="J156" s="21"/>
      <c r="K156" s="21"/>
      <c r="L156" s="1"/>
      <c r="M156" s="21"/>
      <c r="N156" s="1"/>
      <c r="O156" s="17"/>
    </row>
    <row r="157" spans="1:15" ht="20.100000000000001" customHeight="1" x14ac:dyDescent="0.3">
      <c r="A157" s="2" t="str">
        <f t="shared" si="4"/>
        <v/>
      </c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3"/>
      <c r="O157" s="17"/>
    </row>
    <row r="158" spans="1:15" ht="20.100000000000001" customHeight="1" x14ac:dyDescent="0.3">
      <c r="A158" s="21" t="str">
        <f t="shared" si="4"/>
        <v/>
      </c>
      <c r="B158" s="21"/>
      <c r="C158" s="1"/>
      <c r="D158" s="21"/>
      <c r="E158" s="21"/>
      <c r="F158" s="21"/>
      <c r="G158" s="21"/>
      <c r="H158" s="21"/>
      <c r="I158" s="21"/>
      <c r="J158" s="21"/>
      <c r="K158" s="21"/>
      <c r="L158" s="1"/>
      <c r="M158" s="21"/>
      <c r="N158" s="1"/>
      <c r="O158" s="17"/>
    </row>
    <row r="159" spans="1:15" ht="20.100000000000001" customHeight="1" x14ac:dyDescent="0.3">
      <c r="A159" s="2" t="str">
        <f t="shared" si="4"/>
        <v/>
      </c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3"/>
      <c r="O159" s="17"/>
    </row>
    <row r="160" spans="1:15" ht="20.100000000000001" customHeight="1" x14ac:dyDescent="0.3">
      <c r="A160" s="21" t="str">
        <f t="shared" si="4"/>
        <v/>
      </c>
      <c r="B160" s="21"/>
      <c r="C160" s="1"/>
      <c r="D160" s="21"/>
      <c r="E160" s="21"/>
      <c r="F160" s="21"/>
      <c r="G160" s="21"/>
      <c r="H160" s="21"/>
      <c r="I160" s="21"/>
      <c r="J160" s="21"/>
      <c r="K160" s="21"/>
      <c r="L160" s="1"/>
      <c r="M160" s="21"/>
      <c r="N160" s="1"/>
      <c r="O160" s="17"/>
    </row>
    <row r="161" spans="1:15" ht="20.100000000000001" customHeight="1" x14ac:dyDescent="0.3">
      <c r="A161" s="2" t="str">
        <f t="shared" si="4"/>
        <v/>
      </c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3"/>
      <c r="O161" s="17"/>
    </row>
    <row r="162" spans="1:15" ht="20.100000000000001" customHeight="1" x14ac:dyDescent="0.3">
      <c r="A162" s="21" t="str">
        <f t="shared" si="4"/>
        <v/>
      </c>
      <c r="B162" s="21"/>
      <c r="C162" s="1"/>
      <c r="D162" s="21"/>
      <c r="E162" s="21"/>
      <c r="F162" s="21"/>
      <c r="G162" s="21"/>
      <c r="H162" s="21"/>
      <c r="I162" s="21"/>
      <c r="J162" s="21"/>
      <c r="K162" s="21"/>
      <c r="L162" s="1"/>
      <c r="M162" s="21"/>
      <c r="N162" s="1"/>
      <c r="O162" s="17"/>
    </row>
    <row r="163" spans="1:15" ht="20.100000000000001" customHeight="1" x14ac:dyDescent="0.3">
      <c r="A163" s="2" t="str">
        <f t="shared" si="4"/>
        <v/>
      </c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3"/>
      <c r="O163" s="17"/>
    </row>
    <row r="164" spans="1:15" ht="20.100000000000001" customHeight="1" x14ac:dyDescent="0.3">
      <c r="A164" s="21" t="str">
        <f t="shared" ref="A164:A195" si="5">IF(B164&lt;&gt;"",ROW()-3,"")</f>
        <v/>
      </c>
      <c r="B164" s="21"/>
      <c r="C164" s="1"/>
      <c r="D164" s="21"/>
      <c r="E164" s="21"/>
      <c r="F164" s="21"/>
      <c r="G164" s="21"/>
      <c r="H164" s="21"/>
      <c r="I164" s="21"/>
      <c r="J164" s="21"/>
      <c r="K164" s="21"/>
      <c r="L164" s="1"/>
      <c r="M164" s="21"/>
      <c r="N164" s="1"/>
      <c r="O164" s="17"/>
    </row>
    <row r="165" spans="1:15" ht="20.100000000000001" customHeight="1" x14ac:dyDescent="0.3">
      <c r="A165" s="2" t="str">
        <f t="shared" si="5"/>
        <v/>
      </c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3"/>
      <c r="O165" s="17"/>
    </row>
    <row r="166" spans="1:15" ht="20.100000000000001" customHeight="1" x14ac:dyDescent="0.3">
      <c r="A166" s="21" t="str">
        <f t="shared" si="5"/>
        <v/>
      </c>
      <c r="B166" s="21"/>
      <c r="C166" s="1"/>
      <c r="D166" s="21"/>
      <c r="E166" s="21"/>
      <c r="F166" s="21"/>
      <c r="G166" s="21"/>
      <c r="H166" s="21"/>
      <c r="I166" s="21"/>
      <c r="J166" s="21"/>
      <c r="K166" s="21"/>
      <c r="L166" s="1"/>
      <c r="M166" s="21"/>
      <c r="N166" s="1"/>
      <c r="O166" s="17"/>
    </row>
    <row r="167" spans="1:15" ht="20.100000000000001" customHeight="1" x14ac:dyDescent="0.3">
      <c r="A167" s="2" t="str">
        <f t="shared" si="5"/>
        <v/>
      </c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3"/>
      <c r="O167" s="17"/>
    </row>
    <row r="168" spans="1:15" ht="20.100000000000001" customHeight="1" x14ac:dyDescent="0.3">
      <c r="A168" s="21" t="str">
        <f t="shared" si="5"/>
        <v/>
      </c>
      <c r="B168" s="21"/>
      <c r="C168" s="1"/>
      <c r="D168" s="21"/>
      <c r="E168" s="21"/>
      <c r="F168" s="21"/>
      <c r="G168" s="21"/>
      <c r="H168" s="21"/>
      <c r="I168" s="21"/>
      <c r="J168" s="21"/>
      <c r="K168" s="21"/>
      <c r="L168" s="1"/>
      <c r="M168" s="21"/>
      <c r="N168" s="1"/>
      <c r="O168" s="17"/>
    </row>
    <row r="169" spans="1:15" ht="20.100000000000001" customHeight="1" x14ac:dyDescent="0.3">
      <c r="A169" s="2" t="str">
        <f t="shared" si="5"/>
        <v/>
      </c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3"/>
      <c r="O169" s="17"/>
    </row>
    <row r="170" spans="1:15" ht="20.100000000000001" customHeight="1" x14ac:dyDescent="0.3">
      <c r="A170" s="21" t="str">
        <f t="shared" si="5"/>
        <v/>
      </c>
      <c r="B170" s="21"/>
      <c r="C170" s="1"/>
      <c r="D170" s="21"/>
      <c r="E170" s="21"/>
      <c r="F170" s="21"/>
      <c r="G170" s="21"/>
      <c r="H170" s="21"/>
      <c r="I170" s="21"/>
      <c r="J170" s="21"/>
      <c r="K170" s="21"/>
      <c r="L170" s="1"/>
      <c r="M170" s="21"/>
      <c r="N170" s="1"/>
      <c r="O170" s="17"/>
    </row>
    <row r="171" spans="1:15" ht="20.100000000000001" customHeight="1" x14ac:dyDescent="0.3">
      <c r="A171" s="2" t="str">
        <f t="shared" si="5"/>
        <v/>
      </c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3"/>
      <c r="O171" s="17"/>
    </row>
    <row r="172" spans="1:15" ht="20.100000000000001" customHeight="1" x14ac:dyDescent="0.3">
      <c r="A172" s="21" t="str">
        <f t="shared" si="5"/>
        <v/>
      </c>
      <c r="B172" s="21"/>
      <c r="C172" s="1"/>
      <c r="D172" s="21"/>
      <c r="E172" s="21"/>
      <c r="F172" s="21"/>
      <c r="G172" s="21"/>
      <c r="H172" s="21"/>
      <c r="I172" s="21"/>
      <c r="J172" s="21"/>
      <c r="K172" s="21"/>
      <c r="L172" s="1"/>
      <c r="M172" s="21"/>
      <c r="N172" s="1"/>
      <c r="O172" s="17"/>
    </row>
    <row r="173" spans="1:15" ht="20.100000000000001" customHeight="1" x14ac:dyDescent="0.3">
      <c r="A173" s="2" t="str">
        <f t="shared" si="5"/>
        <v/>
      </c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3"/>
      <c r="O173" s="17"/>
    </row>
    <row r="174" spans="1:15" ht="20.100000000000001" customHeight="1" x14ac:dyDescent="0.3">
      <c r="A174" s="21" t="str">
        <f t="shared" si="5"/>
        <v/>
      </c>
      <c r="B174" s="21"/>
      <c r="C174" s="1"/>
      <c r="D174" s="21"/>
      <c r="E174" s="21"/>
      <c r="F174" s="21"/>
      <c r="G174" s="21"/>
      <c r="H174" s="21"/>
      <c r="I174" s="21"/>
      <c r="J174" s="21"/>
      <c r="K174" s="21"/>
      <c r="L174" s="1"/>
      <c r="M174" s="21"/>
      <c r="N174" s="1"/>
      <c r="O174" s="17"/>
    </row>
    <row r="175" spans="1:15" ht="20.100000000000001" customHeight="1" x14ac:dyDescent="0.3">
      <c r="A175" s="2" t="str">
        <f t="shared" si="5"/>
        <v/>
      </c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3"/>
      <c r="O175" s="17"/>
    </row>
    <row r="176" spans="1:15" ht="20.100000000000001" customHeight="1" x14ac:dyDescent="0.3">
      <c r="A176" s="21" t="str">
        <f t="shared" si="5"/>
        <v/>
      </c>
      <c r="B176" s="21"/>
      <c r="C176" s="1"/>
      <c r="D176" s="21"/>
      <c r="E176" s="21"/>
      <c r="F176" s="21"/>
      <c r="G176" s="21"/>
      <c r="H176" s="21"/>
      <c r="I176" s="21"/>
      <c r="J176" s="21"/>
      <c r="K176" s="21"/>
      <c r="L176" s="1"/>
      <c r="M176" s="21"/>
      <c r="N176" s="1"/>
      <c r="O176" s="17"/>
    </row>
    <row r="177" spans="1:15" ht="20.100000000000001" customHeight="1" x14ac:dyDescent="0.3">
      <c r="A177" s="2" t="str">
        <f t="shared" si="5"/>
        <v/>
      </c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3"/>
      <c r="O177" s="17"/>
    </row>
    <row r="178" spans="1:15" ht="20.100000000000001" customHeight="1" x14ac:dyDescent="0.3">
      <c r="A178" s="21" t="str">
        <f t="shared" si="5"/>
        <v/>
      </c>
      <c r="B178" s="21"/>
      <c r="C178" s="1"/>
      <c r="D178" s="21"/>
      <c r="E178" s="21"/>
      <c r="F178" s="21"/>
      <c r="G178" s="21"/>
      <c r="H178" s="21"/>
      <c r="I178" s="21"/>
      <c r="J178" s="21"/>
      <c r="K178" s="21"/>
      <c r="L178" s="1"/>
      <c r="M178" s="21"/>
      <c r="N178" s="1"/>
      <c r="O178" s="17"/>
    </row>
    <row r="179" spans="1:15" ht="20.100000000000001" customHeight="1" x14ac:dyDescent="0.3">
      <c r="A179" s="2" t="str">
        <f t="shared" si="5"/>
        <v/>
      </c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3"/>
      <c r="O179" s="17"/>
    </row>
    <row r="180" spans="1:15" ht="20.100000000000001" customHeight="1" x14ac:dyDescent="0.3">
      <c r="A180" s="21" t="str">
        <f t="shared" si="5"/>
        <v/>
      </c>
      <c r="B180" s="21"/>
      <c r="C180" s="1"/>
      <c r="D180" s="21"/>
      <c r="E180" s="21"/>
      <c r="F180" s="21"/>
      <c r="G180" s="21"/>
      <c r="H180" s="21"/>
      <c r="I180" s="21"/>
      <c r="J180" s="21"/>
      <c r="K180" s="21"/>
      <c r="L180" s="1"/>
      <c r="M180" s="21"/>
      <c r="N180" s="1"/>
      <c r="O180" s="17"/>
    </row>
    <row r="181" spans="1:15" ht="20.100000000000001" customHeight="1" x14ac:dyDescent="0.3">
      <c r="A181" s="2" t="str">
        <f t="shared" si="5"/>
        <v/>
      </c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3"/>
      <c r="O181" s="17"/>
    </row>
    <row r="182" spans="1:15" ht="20.100000000000001" customHeight="1" x14ac:dyDescent="0.3">
      <c r="A182" s="21" t="str">
        <f t="shared" si="5"/>
        <v/>
      </c>
      <c r="B182" s="21"/>
      <c r="C182" s="1"/>
      <c r="D182" s="21"/>
      <c r="E182" s="21"/>
      <c r="F182" s="21"/>
      <c r="G182" s="21"/>
      <c r="H182" s="21"/>
      <c r="I182" s="21"/>
      <c r="J182" s="21"/>
      <c r="K182" s="21"/>
      <c r="L182" s="1"/>
      <c r="M182" s="21"/>
      <c r="N182" s="1"/>
      <c r="O182" s="17"/>
    </row>
    <row r="183" spans="1:15" ht="20.100000000000001" customHeight="1" x14ac:dyDescent="0.3">
      <c r="A183" s="2" t="str">
        <f t="shared" si="5"/>
        <v/>
      </c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3"/>
      <c r="O183" s="17"/>
    </row>
    <row r="184" spans="1:15" ht="20.100000000000001" customHeight="1" x14ac:dyDescent="0.3">
      <c r="A184" s="21" t="str">
        <f t="shared" si="5"/>
        <v/>
      </c>
      <c r="B184" s="21"/>
      <c r="C184" s="1"/>
      <c r="D184" s="21"/>
      <c r="E184" s="21"/>
      <c r="F184" s="21"/>
      <c r="G184" s="21"/>
      <c r="H184" s="21"/>
      <c r="I184" s="21"/>
      <c r="J184" s="21"/>
      <c r="K184" s="21"/>
      <c r="L184" s="1"/>
      <c r="M184" s="21"/>
      <c r="N184" s="1"/>
      <c r="O184" s="17"/>
    </row>
    <row r="185" spans="1:15" ht="20.100000000000001" customHeight="1" x14ac:dyDescent="0.3">
      <c r="A185" s="2" t="str">
        <f t="shared" si="5"/>
        <v/>
      </c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3"/>
      <c r="O185" s="17"/>
    </row>
    <row r="186" spans="1:15" ht="20.100000000000001" customHeight="1" x14ac:dyDescent="0.3">
      <c r="A186" s="21" t="str">
        <f t="shared" si="5"/>
        <v/>
      </c>
      <c r="B186" s="21"/>
      <c r="C186" s="1"/>
      <c r="D186" s="21"/>
      <c r="E186" s="21"/>
      <c r="F186" s="21"/>
      <c r="G186" s="21"/>
      <c r="H186" s="21"/>
      <c r="I186" s="21"/>
      <c r="J186" s="21"/>
      <c r="K186" s="21"/>
      <c r="L186" s="1"/>
      <c r="M186" s="21"/>
      <c r="N186" s="1"/>
      <c r="O186" s="17"/>
    </row>
    <row r="187" spans="1:15" ht="20.100000000000001" customHeight="1" x14ac:dyDescent="0.3">
      <c r="A187" s="2" t="str">
        <f t="shared" si="5"/>
        <v/>
      </c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3"/>
      <c r="O187" s="17"/>
    </row>
    <row r="188" spans="1:15" ht="20.100000000000001" customHeight="1" x14ac:dyDescent="0.3">
      <c r="A188" s="21" t="str">
        <f t="shared" si="5"/>
        <v/>
      </c>
      <c r="B188" s="21"/>
      <c r="C188" s="1"/>
      <c r="D188" s="21"/>
      <c r="E188" s="21"/>
      <c r="F188" s="21"/>
      <c r="G188" s="21"/>
      <c r="H188" s="21"/>
      <c r="I188" s="21"/>
      <c r="J188" s="21"/>
      <c r="K188" s="21"/>
      <c r="L188" s="1"/>
      <c r="M188" s="21"/>
      <c r="N188" s="1"/>
      <c r="O188" s="17"/>
    </row>
    <row r="189" spans="1:15" ht="20.100000000000001" customHeight="1" x14ac:dyDescent="0.3">
      <c r="A189" s="2" t="str">
        <f t="shared" si="5"/>
        <v/>
      </c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3"/>
      <c r="O189" s="17"/>
    </row>
    <row r="190" spans="1:15" ht="20.100000000000001" customHeight="1" x14ac:dyDescent="0.3">
      <c r="A190" s="21" t="str">
        <f t="shared" si="5"/>
        <v/>
      </c>
      <c r="B190" s="21"/>
      <c r="C190" s="1"/>
      <c r="D190" s="21"/>
      <c r="E190" s="21"/>
      <c r="F190" s="21"/>
      <c r="G190" s="21"/>
      <c r="H190" s="21"/>
      <c r="I190" s="21"/>
      <c r="J190" s="21"/>
      <c r="K190" s="21"/>
      <c r="L190" s="1"/>
      <c r="M190" s="21"/>
      <c r="N190" s="1"/>
      <c r="O190" s="17"/>
    </row>
    <row r="191" spans="1:15" ht="20.100000000000001" customHeight="1" x14ac:dyDescent="0.3">
      <c r="A191" s="2" t="str">
        <f t="shared" si="5"/>
        <v/>
      </c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3"/>
      <c r="O191" s="17"/>
    </row>
    <row r="192" spans="1:15" ht="20.100000000000001" customHeight="1" x14ac:dyDescent="0.3">
      <c r="A192" s="21" t="str">
        <f t="shared" si="5"/>
        <v/>
      </c>
      <c r="B192" s="21"/>
      <c r="C192" s="1"/>
      <c r="D192" s="21"/>
      <c r="E192" s="21"/>
      <c r="F192" s="21"/>
      <c r="G192" s="21"/>
      <c r="H192" s="21"/>
      <c r="I192" s="21"/>
      <c r="J192" s="21"/>
      <c r="K192" s="21"/>
      <c r="L192" s="1"/>
      <c r="M192" s="21"/>
      <c r="N192" s="1"/>
      <c r="O192" s="17"/>
    </row>
    <row r="193" spans="1:15" ht="20.100000000000001" customHeight="1" x14ac:dyDescent="0.3">
      <c r="A193" s="2" t="str">
        <f t="shared" si="5"/>
        <v/>
      </c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3"/>
      <c r="O193" s="17"/>
    </row>
    <row r="194" spans="1:15" ht="20.100000000000001" customHeight="1" x14ac:dyDescent="0.3">
      <c r="A194" s="21" t="str">
        <f t="shared" si="5"/>
        <v/>
      </c>
      <c r="B194" s="21"/>
      <c r="C194" s="1"/>
      <c r="D194" s="21"/>
      <c r="E194" s="21"/>
      <c r="F194" s="21"/>
      <c r="G194" s="21"/>
      <c r="H194" s="21"/>
      <c r="I194" s="21"/>
      <c r="J194" s="21"/>
      <c r="K194" s="21"/>
      <c r="L194" s="1"/>
      <c r="M194" s="21"/>
      <c r="N194" s="1"/>
      <c r="O194" s="17"/>
    </row>
    <row r="195" spans="1:15" ht="20.100000000000001" customHeight="1" x14ac:dyDescent="0.3">
      <c r="A195" s="2" t="str">
        <f t="shared" si="5"/>
        <v/>
      </c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3"/>
      <c r="O195" s="17"/>
    </row>
    <row r="196" spans="1:15" ht="20.100000000000001" customHeight="1" x14ac:dyDescent="0.3">
      <c r="A196" s="21" t="str">
        <f t="shared" ref="A196:A203" si="6">IF(B196&lt;&gt;"",ROW()-3,"")</f>
        <v/>
      </c>
      <c r="B196" s="21"/>
      <c r="C196" s="1"/>
      <c r="D196" s="21"/>
      <c r="E196" s="21"/>
      <c r="F196" s="21"/>
      <c r="G196" s="21"/>
      <c r="H196" s="21"/>
      <c r="I196" s="21"/>
      <c r="J196" s="21"/>
      <c r="K196" s="21"/>
      <c r="L196" s="1"/>
      <c r="M196" s="21"/>
      <c r="N196" s="1"/>
      <c r="O196" s="17"/>
    </row>
    <row r="197" spans="1:15" ht="20.100000000000001" customHeight="1" x14ac:dyDescent="0.3">
      <c r="A197" s="2" t="str">
        <f t="shared" si="6"/>
        <v/>
      </c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3"/>
      <c r="O197" s="17"/>
    </row>
    <row r="198" spans="1:15" ht="20.100000000000001" customHeight="1" x14ac:dyDescent="0.3">
      <c r="A198" s="21" t="str">
        <f t="shared" si="6"/>
        <v/>
      </c>
      <c r="B198" s="21"/>
      <c r="C198" s="1"/>
      <c r="D198" s="21"/>
      <c r="E198" s="21"/>
      <c r="F198" s="21"/>
      <c r="G198" s="21"/>
      <c r="H198" s="21"/>
      <c r="I198" s="21"/>
      <c r="J198" s="21"/>
      <c r="K198" s="21"/>
      <c r="L198" s="1"/>
      <c r="M198" s="21"/>
      <c r="N198" s="1"/>
      <c r="O198" s="17"/>
    </row>
    <row r="199" spans="1:15" ht="20.100000000000001" customHeight="1" x14ac:dyDescent="0.3">
      <c r="A199" s="2" t="str">
        <f t="shared" si="6"/>
        <v/>
      </c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3"/>
      <c r="O199" s="17"/>
    </row>
    <row r="200" spans="1:15" ht="20.100000000000001" customHeight="1" x14ac:dyDescent="0.3">
      <c r="A200" s="21" t="str">
        <f t="shared" si="6"/>
        <v/>
      </c>
      <c r="B200" s="21"/>
      <c r="C200" s="1"/>
      <c r="D200" s="21"/>
      <c r="E200" s="21"/>
      <c r="F200" s="21"/>
      <c r="G200" s="21"/>
      <c r="H200" s="21"/>
      <c r="I200" s="21"/>
      <c r="J200" s="21"/>
      <c r="K200" s="21"/>
      <c r="L200" s="1"/>
      <c r="M200" s="21"/>
      <c r="N200" s="1"/>
      <c r="O200" s="17"/>
    </row>
    <row r="201" spans="1:15" ht="20.100000000000001" customHeight="1" x14ac:dyDescent="0.3">
      <c r="A201" s="2" t="str">
        <f t="shared" si="6"/>
        <v/>
      </c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3"/>
      <c r="O201" s="17"/>
    </row>
    <row r="202" spans="1:15" ht="20.100000000000001" customHeight="1" x14ac:dyDescent="0.3">
      <c r="A202" s="21" t="str">
        <f t="shared" si="6"/>
        <v/>
      </c>
      <c r="B202" s="21"/>
      <c r="C202" s="1"/>
      <c r="D202" s="21"/>
      <c r="E202" s="21"/>
      <c r="F202" s="21"/>
      <c r="G202" s="21"/>
      <c r="H202" s="21"/>
      <c r="I202" s="21"/>
      <c r="J202" s="21"/>
      <c r="K202" s="21"/>
      <c r="L202" s="1"/>
      <c r="M202" s="21"/>
      <c r="N202" s="1"/>
      <c r="O202" s="17"/>
    </row>
    <row r="203" spans="1:15" ht="20.100000000000001" customHeight="1" x14ac:dyDescent="0.3">
      <c r="A203" s="2" t="str">
        <f t="shared" si="6"/>
        <v/>
      </c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3"/>
      <c r="O203" s="17"/>
    </row>
  </sheetData>
  <mergeCells count="2">
    <mergeCell ref="A1:N1"/>
    <mergeCell ref="A2:N2"/>
  </mergeCells>
  <dataValidations count="1">
    <dataValidation type="list" allowBlank="1" sqref="M4:M203">
      <formula1>"Aktif,Bakımda,Arızalı,Hurdaya Ayrıldı"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204"/>
  <sheetViews>
    <sheetView workbookViewId="0">
      <pane xSplit="1" ySplit="3" topLeftCell="B4" activePane="bottomRight" state="frozen"/>
      <selection pane="topRight"/>
      <selection pane="bottomLeft"/>
      <selection pane="bottomRight" activeCell="A2" sqref="A2:K2"/>
    </sheetView>
  </sheetViews>
  <sheetFormatPr defaultRowHeight="14.4" x14ac:dyDescent="0.3"/>
  <cols>
    <col min="1" max="1" width="6" customWidth="1"/>
    <col min="2" max="2" width="13" customWidth="1"/>
    <col min="3" max="3" width="16" customWidth="1"/>
    <col min="4" max="4" width="26" customWidth="1"/>
    <col min="5" max="5" width="18" customWidth="1"/>
    <col min="6" max="6" width="28" customWidth="1"/>
    <col min="7" max="7" width="26" customWidth="1"/>
    <col min="8" max="8" width="16" customWidth="1"/>
    <col min="9" max="9" width="22" customWidth="1"/>
    <col min="10" max="10" width="16" customWidth="1"/>
    <col min="11" max="11" width="14" customWidth="1"/>
  </cols>
  <sheetData>
    <row r="1" spans="1:11" ht="38.1" customHeight="1" x14ac:dyDescent="0.3">
      <c r="A1" s="22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0.100000000000001" customHeight="1" x14ac:dyDescent="0.3">
      <c r="A2" s="61" t="s">
        <v>15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42" customHeight="1" x14ac:dyDescent="0.3">
      <c r="A3" s="19" t="s">
        <v>16</v>
      </c>
      <c r="B3" s="19" t="s">
        <v>17</v>
      </c>
      <c r="C3" s="19" t="s">
        <v>2</v>
      </c>
      <c r="D3" s="19" t="s">
        <v>18</v>
      </c>
      <c r="E3" s="19" t="s">
        <v>19</v>
      </c>
      <c r="F3" s="19" t="s">
        <v>20</v>
      </c>
      <c r="G3" s="19" t="s">
        <v>21</v>
      </c>
      <c r="H3" s="19" t="s">
        <v>22</v>
      </c>
      <c r="I3" s="19" t="s">
        <v>23</v>
      </c>
      <c r="J3" s="19" t="s">
        <v>11</v>
      </c>
      <c r="K3" s="19" t="s">
        <v>13</v>
      </c>
    </row>
    <row r="4" spans="1:11" ht="20.100000000000001" customHeight="1" x14ac:dyDescent="0.3">
      <c r="A4" s="21" t="str">
        <f t="shared" ref="A4:A35" si="0">IF(C4&lt;&gt;"",ROW()-3,"")</f>
        <v/>
      </c>
      <c r="B4" s="21"/>
      <c r="C4" s="21"/>
      <c r="D4" s="4" t="str">
        <f>IF(C4&lt;&gt;"",IFERROR(VLOOKUP(C4,'Araç Envanteri'!$B$4:$C$203,2,0),"Bulunamadı"),"")</f>
        <v/>
      </c>
      <c r="E4" s="21"/>
      <c r="F4" s="1"/>
      <c r="G4" s="1"/>
      <c r="H4" s="5"/>
      <c r="I4" s="21"/>
      <c r="J4" s="21"/>
      <c r="K4" s="21"/>
    </row>
    <row r="5" spans="1:11" ht="20.100000000000001" customHeight="1" x14ac:dyDescent="0.3">
      <c r="A5" s="2" t="str">
        <f t="shared" si="0"/>
        <v/>
      </c>
      <c r="B5" s="2"/>
      <c r="C5" s="2"/>
      <c r="D5" s="4" t="str">
        <f>IF(C5&lt;&gt;"",IFERROR(VLOOKUP(C5,'Araç Envanteri'!$B$4:$C$203,2,0),"Bulunamadı"),"")</f>
        <v/>
      </c>
      <c r="E5" s="2"/>
      <c r="F5" s="3"/>
      <c r="G5" s="3"/>
      <c r="H5" s="6"/>
      <c r="I5" s="2"/>
      <c r="J5" s="2"/>
      <c r="K5" s="2"/>
    </row>
    <row r="6" spans="1:11" ht="20.100000000000001" customHeight="1" x14ac:dyDescent="0.3">
      <c r="A6" s="21" t="str">
        <f t="shared" si="0"/>
        <v/>
      </c>
      <c r="B6" s="21"/>
      <c r="C6" s="21"/>
      <c r="D6" s="4" t="str">
        <f>IF(C6&lt;&gt;"",IFERROR(VLOOKUP(C6,'Araç Envanteri'!$B$4:$C$203,2,0),"Bulunamadı"),"")</f>
        <v/>
      </c>
      <c r="E6" s="21"/>
      <c r="F6" s="1"/>
      <c r="G6" s="1"/>
      <c r="H6" s="5"/>
      <c r="I6" s="21"/>
      <c r="J6" s="21"/>
      <c r="K6" s="21"/>
    </row>
    <row r="7" spans="1:11" ht="20.100000000000001" customHeight="1" x14ac:dyDescent="0.3">
      <c r="A7" s="2" t="str">
        <f t="shared" si="0"/>
        <v/>
      </c>
      <c r="B7" s="2"/>
      <c r="C7" s="2"/>
      <c r="D7" s="4" t="str">
        <f>IF(C7&lt;&gt;"",IFERROR(VLOOKUP(C7,'Araç Envanteri'!$B$4:$C$203,2,0),"Bulunamadı"),"")</f>
        <v/>
      </c>
      <c r="E7" s="2"/>
      <c r="F7" s="3"/>
      <c r="G7" s="3"/>
      <c r="H7" s="6"/>
      <c r="I7" s="2"/>
      <c r="J7" s="2"/>
      <c r="K7" s="2"/>
    </row>
    <row r="8" spans="1:11" ht="20.100000000000001" customHeight="1" x14ac:dyDescent="0.3">
      <c r="A8" s="21" t="str">
        <f t="shared" si="0"/>
        <v/>
      </c>
      <c r="B8" s="21"/>
      <c r="C8" s="21"/>
      <c r="D8" s="4" t="str">
        <f>IF(C8&lt;&gt;"",IFERROR(VLOOKUP(C8,'Araç Envanteri'!$B$4:$C$203,2,0),"Bulunamadı"),"")</f>
        <v/>
      </c>
      <c r="E8" s="21"/>
      <c r="F8" s="1"/>
      <c r="G8" s="1"/>
      <c r="H8" s="5"/>
      <c r="I8" s="21"/>
      <c r="J8" s="21"/>
      <c r="K8" s="21"/>
    </row>
    <row r="9" spans="1:11" ht="20.100000000000001" customHeight="1" x14ac:dyDescent="0.3">
      <c r="A9" s="2" t="str">
        <f t="shared" si="0"/>
        <v/>
      </c>
      <c r="B9" s="2"/>
      <c r="C9" s="2"/>
      <c r="D9" s="4" t="str">
        <f>IF(C9&lt;&gt;"",IFERROR(VLOOKUP(C9,'Araç Envanteri'!$B$4:$C$203,2,0),"Bulunamadı"),"")</f>
        <v/>
      </c>
      <c r="E9" s="2"/>
      <c r="F9" s="3"/>
      <c r="G9" s="3"/>
      <c r="H9" s="6"/>
      <c r="I9" s="2"/>
      <c r="J9" s="2"/>
      <c r="K9" s="2"/>
    </row>
    <row r="10" spans="1:11" ht="20.100000000000001" customHeight="1" x14ac:dyDescent="0.3">
      <c r="A10" s="21" t="str">
        <f t="shared" si="0"/>
        <v/>
      </c>
      <c r="B10" s="21"/>
      <c r="C10" s="21"/>
      <c r="D10" s="4" t="str">
        <f>IF(C10&lt;&gt;"",IFERROR(VLOOKUP(C10,'Araç Envanteri'!$B$4:$C$203,2,0),"Bulunamadı"),"")</f>
        <v/>
      </c>
      <c r="E10" s="21"/>
      <c r="F10" s="1"/>
      <c r="G10" s="1"/>
      <c r="H10" s="5"/>
      <c r="I10" s="21"/>
      <c r="J10" s="21"/>
      <c r="K10" s="21"/>
    </row>
    <row r="11" spans="1:11" ht="20.100000000000001" customHeight="1" x14ac:dyDescent="0.3">
      <c r="A11" s="2" t="str">
        <f t="shared" si="0"/>
        <v/>
      </c>
      <c r="B11" s="2"/>
      <c r="C11" s="2"/>
      <c r="D11" s="4" t="str">
        <f>IF(C11&lt;&gt;"",IFERROR(VLOOKUP(C11,'Araç Envanteri'!$B$4:$C$203,2,0),"Bulunamadı"),"")</f>
        <v/>
      </c>
      <c r="E11" s="2"/>
      <c r="F11" s="3"/>
      <c r="G11" s="3"/>
      <c r="H11" s="6"/>
      <c r="I11" s="2"/>
      <c r="J11" s="2"/>
      <c r="K11" s="2"/>
    </row>
    <row r="12" spans="1:11" ht="20.100000000000001" customHeight="1" x14ac:dyDescent="0.3">
      <c r="A12" s="21" t="str">
        <f t="shared" si="0"/>
        <v/>
      </c>
      <c r="B12" s="21"/>
      <c r="C12" s="21"/>
      <c r="D12" s="4" t="str">
        <f>IF(C12&lt;&gt;"",IFERROR(VLOOKUP(C12,'Araç Envanteri'!$B$4:$C$203,2,0),"Bulunamadı"),"")</f>
        <v/>
      </c>
      <c r="E12" s="21"/>
      <c r="F12" s="1"/>
      <c r="G12" s="1"/>
      <c r="H12" s="5"/>
      <c r="I12" s="21"/>
      <c r="J12" s="21"/>
      <c r="K12" s="21"/>
    </row>
    <row r="13" spans="1:11" ht="20.100000000000001" customHeight="1" x14ac:dyDescent="0.3">
      <c r="A13" s="2" t="str">
        <f t="shared" si="0"/>
        <v/>
      </c>
      <c r="B13" s="2"/>
      <c r="C13" s="2"/>
      <c r="D13" s="4" t="str">
        <f>IF(C13&lt;&gt;"",IFERROR(VLOOKUP(C13,'Araç Envanteri'!$B$4:$C$203,2,0),"Bulunamadı"),"")</f>
        <v/>
      </c>
      <c r="E13" s="2"/>
      <c r="F13" s="3"/>
      <c r="G13" s="3"/>
      <c r="H13" s="6"/>
      <c r="I13" s="2"/>
      <c r="J13" s="2"/>
      <c r="K13" s="2"/>
    </row>
    <row r="14" spans="1:11" ht="20.100000000000001" customHeight="1" x14ac:dyDescent="0.3">
      <c r="A14" s="21" t="str">
        <f t="shared" si="0"/>
        <v/>
      </c>
      <c r="B14" s="21"/>
      <c r="C14" s="21"/>
      <c r="D14" s="4" t="str">
        <f>IF(C14&lt;&gt;"",IFERROR(VLOOKUP(C14,'Araç Envanteri'!$B$4:$C$203,2,0),"Bulunamadı"),"")</f>
        <v/>
      </c>
      <c r="E14" s="21"/>
      <c r="F14" s="1"/>
      <c r="G14" s="1"/>
      <c r="H14" s="5"/>
      <c r="I14" s="21"/>
      <c r="J14" s="21"/>
      <c r="K14" s="21"/>
    </row>
    <row r="15" spans="1:11" ht="20.100000000000001" customHeight="1" x14ac:dyDescent="0.3">
      <c r="A15" s="2" t="str">
        <f t="shared" si="0"/>
        <v/>
      </c>
      <c r="B15" s="2"/>
      <c r="C15" s="2"/>
      <c r="D15" s="4" t="str">
        <f>IF(C15&lt;&gt;"",IFERROR(VLOOKUP(C15,'Araç Envanteri'!$B$4:$C$203,2,0),"Bulunamadı"),"")</f>
        <v/>
      </c>
      <c r="E15" s="2"/>
      <c r="F15" s="3"/>
      <c r="G15" s="3"/>
      <c r="H15" s="6"/>
      <c r="I15" s="2"/>
      <c r="J15" s="2"/>
      <c r="K15" s="2"/>
    </row>
    <row r="16" spans="1:11" ht="20.100000000000001" customHeight="1" x14ac:dyDescent="0.3">
      <c r="A16" s="21" t="str">
        <f t="shared" si="0"/>
        <v/>
      </c>
      <c r="B16" s="21"/>
      <c r="C16" s="21"/>
      <c r="D16" s="4" t="str">
        <f>IF(C16&lt;&gt;"",IFERROR(VLOOKUP(C16,'Araç Envanteri'!$B$4:$C$203,2,0),"Bulunamadı"),"")</f>
        <v/>
      </c>
      <c r="E16" s="21"/>
      <c r="F16" s="1"/>
      <c r="G16" s="1"/>
      <c r="H16" s="5"/>
      <c r="I16" s="21"/>
      <c r="J16" s="21"/>
      <c r="K16" s="21"/>
    </row>
    <row r="17" spans="1:11" ht="20.100000000000001" customHeight="1" x14ac:dyDescent="0.3">
      <c r="A17" s="2" t="str">
        <f t="shared" si="0"/>
        <v/>
      </c>
      <c r="B17" s="2"/>
      <c r="C17" s="2"/>
      <c r="D17" s="4" t="str">
        <f>IF(C17&lt;&gt;"",IFERROR(VLOOKUP(C17,'Araç Envanteri'!$B$4:$C$203,2,0),"Bulunamadı"),"")</f>
        <v/>
      </c>
      <c r="E17" s="2"/>
      <c r="F17" s="3"/>
      <c r="G17" s="3"/>
      <c r="H17" s="6"/>
      <c r="I17" s="2"/>
      <c r="J17" s="2"/>
      <c r="K17" s="2"/>
    </row>
    <row r="18" spans="1:11" ht="20.100000000000001" customHeight="1" x14ac:dyDescent="0.3">
      <c r="A18" s="21" t="str">
        <f t="shared" si="0"/>
        <v/>
      </c>
      <c r="B18" s="21"/>
      <c r="C18" s="21"/>
      <c r="D18" s="4" t="str">
        <f>IF(C18&lt;&gt;"",IFERROR(VLOOKUP(C18,'Araç Envanteri'!$B$4:$C$203,2,0),"Bulunamadı"),"")</f>
        <v/>
      </c>
      <c r="E18" s="21"/>
      <c r="F18" s="1"/>
      <c r="G18" s="1"/>
      <c r="H18" s="5"/>
      <c r="I18" s="21"/>
      <c r="J18" s="21"/>
      <c r="K18" s="21"/>
    </row>
    <row r="19" spans="1:11" ht="20.100000000000001" customHeight="1" x14ac:dyDescent="0.3">
      <c r="A19" s="2" t="str">
        <f t="shared" si="0"/>
        <v/>
      </c>
      <c r="B19" s="2"/>
      <c r="C19" s="2"/>
      <c r="D19" s="4" t="str">
        <f>IF(C19&lt;&gt;"",IFERROR(VLOOKUP(C19,'Araç Envanteri'!$B$4:$C$203,2,0),"Bulunamadı"),"")</f>
        <v/>
      </c>
      <c r="E19" s="2"/>
      <c r="F19" s="3"/>
      <c r="G19" s="3"/>
      <c r="H19" s="6"/>
      <c r="I19" s="2"/>
      <c r="J19" s="2"/>
      <c r="K19" s="2"/>
    </row>
    <row r="20" spans="1:11" ht="20.100000000000001" customHeight="1" x14ac:dyDescent="0.3">
      <c r="A20" s="21" t="str">
        <f t="shared" si="0"/>
        <v/>
      </c>
      <c r="B20" s="21"/>
      <c r="C20" s="21"/>
      <c r="D20" s="4" t="str">
        <f>IF(C20&lt;&gt;"",IFERROR(VLOOKUP(C20,'Araç Envanteri'!$B$4:$C$203,2,0),"Bulunamadı"),"")</f>
        <v/>
      </c>
      <c r="E20" s="21"/>
      <c r="F20" s="1"/>
      <c r="G20" s="1"/>
      <c r="H20" s="5"/>
      <c r="I20" s="21"/>
      <c r="J20" s="21"/>
      <c r="K20" s="21"/>
    </row>
    <row r="21" spans="1:11" ht="20.100000000000001" customHeight="1" x14ac:dyDescent="0.3">
      <c r="A21" s="2" t="str">
        <f t="shared" si="0"/>
        <v/>
      </c>
      <c r="B21" s="2"/>
      <c r="C21" s="2"/>
      <c r="D21" s="4" t="str">
        <f>IF(C21&lt;&gt;"",IFERROR(VLOOKUP(C21,'Araç Envanteri'!$B$4:$C$203,2,0),"Bulunamadı"),"")</f>
        <v/>
      </c>
      <c r="E21" s="2"/>
      <c r="F21" s="3"/>
      <c r="G21" s="3"/>
      <c r="H21" s="6"/>
      <c r="I21" s="2"/>
      <c r="J21" s="2"/>
      <c r="K21" s="2"/>
    </row>
    <row r="22" spans="1:11" ht="20.100000000000001" customHeight="1" x14ac:dyDescent="0.3">
      <c r="A22" s="21" t="str">
        <f t="shared" si="0"/>
        <v/>
      </c>
      <c r="B22" s="21"/>
      <c r="C22" s="21"/>
      <c r="D22" s="4" t="str">
        <f>IF(C22&lt;&gt;"",IFERROR(VLOOKUP(C22,'Araç Envanteri'!$B$4:$C$203,2,0),"Bulunamadı"),"")</f>
        <v/>
      </c>
      <c r="E22" s="21"/>
      <c r="F22" s="1"/>
      <c r="G22" s="1"/>
      <c r="H22" s="5"/>
      <c r="I22" s="21"/>
      <c r="J22" s="21"/>
      <c r="K22" s="21"/>
    </row>
    <row r="23" spans="1:11" ht="20.100000000000001" customHeight="1" x14ac:dyDescent="0.3">
      <c r="A23" s="2" t="str">
        <f t="shared" si="0"/>
        <v/>
      </c>
      <c r="B23" s="2"/>
      <c r="C23" s="2"/>
      <c r="D23" s="4" t="str">
        <f>IF(C23&lt;&gt;"",IFERROR(VLOOKUP(C23,'Araç Envanteri'!$B$4:$C$203,2,0),"Bulunamadı"),"")</f>
        <v/>
      </c>
      <c r="E23" s="2"/>
      <c r="F23" s="3"/>
      <c r="G23" s="3"/>
      <c r="H23" s="6"/>
      <c r="I23" s="2"/>
      <c r="J23" s="2"/>
      <c r="K23" s="2"/>
    </row>
    <row r="24" spans="1:11" ht="20.100000000000001" customHeight="1" x14ac:dyDescent="0.3">
      <c r="A24" s="21" t="str">
        <f t="shared" si="0"/>
        <v/>
      </c>
      <c r="B24" s="21"/>
      <c r="C24" s="21"/>
      <c r="D24" s="4" t="str">
        <f>IF(C24&lt;&gt;"",IFERROR(VLOOKUP(C24,'Araç Envanteri'!$B$4:$C$203,2,0),"Bulunamadı"),"")</f>
        <v/>
      </c>
      <c r="E24" s="21"/>
      <c r="F24" s="1"/>
      <c r="G24" s="1"/>
      <c r="H24" s="5"/>
      <c r="I24" s="21"/>
      <c r="J24" s="21"/>
      <c r="K24" s="21"/>
    </row>
    <row r="25" spans="1:11" ht="20.100000000000001" customHeight="1" x14ac:dyDescent="0.3">
      <c r="A25" s="2" t="str">
        <f t="shared" si="0"/>
        <v/>
      </c>
      <c r="B25" s="2"/>
      <c r="C25" s="2"/>
      <c r="D25" s="4" t="str">
        <f>IF(C25&lt;&gt;"",IFERROR(VLOOKUP(C25,'Araç Envanteri'!$B$4:$C$203,2,0),"Bulunamadı"),"")</f>
        <v/>
      </c>
      <c r="E25" s="2"/>
      <c r="F25" s="3"/>
      <c r="G25" s="3"/>
      <c r="H25" s="6"/>
      <c r="I25" s="2"/>
      <c r="J25" s="2"/>
      <c r="K25" s="2"/>
    </row>
    <row r="26" spans="1:11" ht="20.100000000000001" customHeight="1" x14ac:dyDescent="0.3">
      <c r="A26" s="21" t="str">
        <f t="shared" si="0"/>
        <v/>
      </c>
      <c r="B26" s="21"/>
      <c r="C26" s="21"/>
      <c r="D26" s="4" t="str">
        <f>IF(C26&lt;&gt;"",IFERROR(VLOOKUP(C26,'Araç Envanteri'!$B$4:$C$203,2,0),"Bulunamadı"),"")</f>
        <v/>
      </c>
      <c r="E26" s="21"/>
      <c r="F26" s="1"/>
      <c r="G26" s="1"/>
      <c r="H26" s="5"/>
      <c r="I26" s="21"/>
      <c r="J26" s="21"/>
      <c r="K26" s="21"/>
    </row>
    <row r="27" spans="1:11" ht="20.100000000000001" customHeight="1" x14ac:dyDescent="0.3">
      <c r="A27" s="2" t="str">
        <f t="shared" si="0"/>
        <v/>
      </c>
      <c r="B27" s="2"/>
      <c r="C27" s="2"/>
      <c r="D27" s="4" t="str">
        <f>IF(C27&lt;&gt;"",IFERROR(VLOOKUP(C27,'Araç Envanteri'!$B$4:$C$203,2,0),"Bulunamadı"),"")</f>
        <v/>
      </c>
      <c r="E27" s="2"/>
      <c r="F27" s="3"/>
      <c r="G27" s="3"/>
      <c r="H27" s="6"/>
      <c r="I27" s="2"/>
      <c r="J27" s="2"/>
      <c r="K27" s="2"/>
    </row>
    <row r="28" spans="1:11" ht="20.100000000000001" customHeight="1" x14ac:dyDescent="0.3">
      <c r="A28" s="21" t="str">
        <f t="shared" si="0"/>
        <v/>
      </c>
      <c r="B28" s="21"/>
      <c r="C28" s="21"/>
      <c r="D28" s="4" t="str">
        <f>IF(C28&lt;&gt;"",IFERROR(VLOOKUP(C28,'Araç Envanteri'!$B$4:$C$203,2,0),"Bulunamadı"),"")</f>
        <v/>
      </c>
      <c r="E28" s="21"/>
      <c r="F28" s="1"/>
      <c r="G28" s="1"/>
      <c r="H28" s="5"/>
      <c r="I28" s="21"/>
      <c r="J28" s="21"/>
      <c r="K28" s="21"/>
    </row>
    <row r="29" spans="1:11" ht="20.100000000000001" customHeight="1" x14ac:dyDescent="0.3">
      <c r="A29" s="2" t="str">
        <f t="shared" si="0"/>
        <v/>
      </c>
      <c r="B29" s="2"/>
      <c r="C29" s="2"/>
      <c r="D29" s="4" t="str">
        <f>IF(C29&lt;&gt;"",IFERROR(VLOOKUP(C29,'Araç Envanteri'!$B$4:$C$203,2,0),"Bulunamadı"),"")</f>
        <v/>
      </c>
      <c r="E29" s="2"/>
      <c r="F29" s="3"/>
      <c r="G29" s="3"/>
      <c r="H29" s="6"/>
      <c r="I29" s="2"/>
      <c r="J29" s="2"/>
      <c r="K29" s="2"/>
    </row>
    <row r="30" spans="1:11" ht="20.100000000000001" customHeight="1" x14ac:dyDescent="0.3">
      <c r="A30" s="21" t="str">
        <f t="shared" si="0"/>
        <v/>
      </c>
      <c r="B30" s="21"/>
      <c r="C30" s="21"/>
      <c r="D30" s="4" t="str">
        <f>IF(C30&lt;&gt;"",IFERROR(VLOOKUP(C30,'Araç Envanteri'!$B$4:$C$203,2,0),"Bulunamadı"),"")</f>
        <v/>
      </c>
      <c r="E30" s="21"/>
      <c r="F30" s="1"/>
      <c r="G30" s="1"/>
      <c r="H30" s="5"/>
      <c r="I30" s="21"/>
      <c r="J30" s="21"/>
      <c r="K30" s="21"/>
    </row>
    <row r="31" spans="1:11" ht="20.100000000000001" customHeight="1" x14ac:dyDescent="0.3">
      <c r="A31" s="2" t="str">
        <f t="shared" si="0"/>
        <v/>
      </c>
      <c r="B31" s="2"/>
      <c r="C31" s="2"/>
      <c r="D31" s="4" t="str">
        <f>IF(C31&lt;&gt;"",IFERROR(VLOOKUP(C31,'Araç Envanteri'!$B$4:$C$203,2,0),"Bulunamadı"),"")</f>
        <v/>
      </c>
      <c r="E31" s="2"/>
      <c r="F31" s="3"/>
      <c r="G31" s="3"/>
      <c r="H31" s="6"/>
      <c r="I31" s="2"/>
      <c r="J31" s="2"/>
      <c r="K31" s="2"/>
    </row>
    <row r="32" spans="1:11" ht="20.100000000000001" customHeight="1" x14ac:dyDescent="0.3">
      <c r="A32" s="21" t="str">
        <f t="shared" si="0"/>
        <v/>
      </c>
      <c r="B32" s="21"/>
      <c r="C32" s="21"/>
      <c r="D32" s="4" t="str">
        <f>IF(C32&lt;&gt;"",IFERROR(VLOOKUP(C32,'Araç Envanteri'!$B$4:$C$203,2,0),"Bulunamadı"),"")</f>
        <v/>
      </c>
      <c r="E32" s="21"/>
      <c r="F32" s="1"/>
      <c r="G32" s="1"/>
      <c r="H32" s="5"/>
      <c r="I32" s="21"/>
      <c r="J32" s="21"/>
      <c r="K32" s="21"/>
    </row>
    <row r="33" spans="1:11" ht="20.100000000000001" customHeight="1" x14ac:dyDescent="0.3">
      <c r="A33" s="2" t="str">
        <f t="shared" si="0"/>
        <v/>
      </c>
      <c r="B33" s="2"/>
      <c r="C33" s="2"/>
      <c r="D33" s="4" t="str">
        <f>IF(C33&lt;&gt;"",IFERROR(VLOOKUP(C33,'Araç Envanteri'!$B$4:$C$203,2,0),"Bulunamadı"),"")</f>
        <v/>
      </c>
      <c r="E33" s="2"/>
      <c r="F33" s="3"/>
      <c r="G33" s="3"/>
      <c r="H33" s="6"/>
      <c r="I33" s="2"/>
      <c r="J33" s="2"/>
      <c r="K33" s="2"/>
    </row>
    <row r="34" spans="1:11" ht="20.100000000000001" customHeight="1" x14ac:dyDescent="0.3">
      <c r="A34" s="21" t="str">
        <f t="shared" si="0"/>
        <v/>
      </c>
      <c r="B34" s="21"/>
      <c r="C34" s="21"/>
      <c r="D34" s="4" t="str">
        <f>IF(C34&lt;&gt;"",IFERROR(VLOOKUP(C34,'Araç Envanteri'!$B$4:$C$203,2,0),"Bulunamadı"),"")</f>
        <v/>
      </c>
      <c r="E34" s="21"/>
      <c r="F34" s="1"/>
      <c r="G34" s="1"/>
      <c r="H34" s="5"/>
      <c r="I34" s="21"/>
      <c r="J34" s="21"/>
      <c r="K34" s="21"/>
    </row>
    <row r="35" spans="1:11" ht="20.100000000000001" customHeight="1" x14ac:dyDescent="0.3">
      <c r="A35" s="2" t="str">
        <f t="shared" si="0"/>
        <v/>
      </c>
      <c r="B35" s="2"/>
      <c r="C35" s="2"/>
      <c r="D35" s="4" t="str">
        <f>IF(C35&lt;&gt;"",IFERROR(VLOOKUP(C35,'Araç Envanteri'!$B$4:$C$203,2,0),"Bulunamadı"),"")</f>
        <v/>
      </c>
      <c r="E35" s="2"/>
      <c r="F35" s="3"/>
      <c r="G35" s="3"/>
      <c r="H35" s="6"/>
      <c r="I35" s="2"/>
      <c r="J35" s="2"/>
      <c r="K35" s="2"/>
    </row>
    <row r="36" spans="1:11" ht="20.100000000000001" customHeight="1" x14ac:dyDescent="0.3">
      <c r="A36" s="21" t="str">
        <f t="shared" ref="A36:A67" si="1">IF(C36&lt;&gt;"",ROW()-3,"")</f>
        <v/>
      </c>
      <c r="B36" s="21"/>
      <c r="C36" s="21"/>
      <c r="D36" s="4" t="str">
        <f>IF(C36&lt;&gt;"",IFERROR(VLOOKUP(C36,'Araç Envanteri'!$B$4:$C$203,2,0),"Bulunamadı"),"")</f>
        <v/>
      </c>
      <c r="E36" s="21"/>
      <c r="F36" s="1"/>
      <c r="G36" s="1"/>
      <c r="H36" s="5"/>
      <c r="I36" s="21"/>
      <c r="J36" s="21"/>
      <c r="K36" s="21"/>
    </row>
    <row r="37" spans="1:11" ht="20.100000000000001" customHeight="1" x14ac:dyDescent="0.3">
      <c r="A37" s="2" t="str">
        <f t="shared" si="1"/>
        <v/>
      </c>
      <c r="B37" s="2"/>
      <c r="C37" s="2"/>
      <c r="D37" s="4" t="str">
        <f>IF(C37&lt;&gt;"",IFERROR(VLOOKUP(C37,'Araç Envanteri'!$B$4:$C$203,2,0),"Bulunamadı"),"")</f>
        <v/>
      </c>
      <c r="E37" s="2"/>
      <c r="F37" s="3"/>
      <c r="G37" s="3"/>
      <c r="H37" s="6"/>
      <c r="I37" s="2"/>
      <c r="J37" s="2"/>
      <c r="K37" s="2"/>
    </row>
    <row r="38" spans="1:11" ht="20.100000000000001" customHeight="1" x14ac:dyDescent="0.3">
      <c r="A38" s="21" t="str">
        <f t="shared" si="1"/>
        <v/>
      </c>
      <c r="B38" s="21"/>
      <c r="C38" s="21"/>
      <c r="D38" s="4" t="str">
        <f>IF(C38&lt;&gt;"",IFERROR(VLOOKUP(C38,'Araç Envanteri'!$B$4:$C$203,2,0),"Bulunamadı"),"")</f>
        <v/>
      </c>
      <c r="E38" s="21"/>
      <c r="F38" s="1"/>
      <c r="G38" s="1"/>
      <c r="H38" s="5"/>
      <c r="I38" s="21"/>
      <c r="J38" s="21"/>
      <c r="K38" s="21"/>
    </row>
    <row r="39" spans="1:11" ht="20.100000000000001" customHeight="1" x14ac:dyDescent="0.3">
      <c r="A39" s="2" t="str">
        <f t="shared" si="1"/>
        <v/>
      </c>
      <c r="B39" s="2"/>
      <c r="C39" s="2"/>
      <c r="D39" s="4" t="str">
        <f>IF(C39&lt;&gt;"",IFERROR(VLOOKUP(C39,'Araç Envanteri'!$B$4:$C$203,2,0),"Bulunamadı"),"")</f>
        <v/>
      </c>
      <c r="E39" s="2"/>
      <c r="F39" s="3"/>
      <c r="G39" s="3"/>
      <c r="H39" s="6"/>
      <c r="I39" s="2"/>
      <c r="J39" s="2"/>
      <c r="K39" s="2"/>
    </row>
    <row r="40" spans="1:11" ht="20.100000000000001" customHeight="1" x14ac:dyDescent="0.3">
      <c r="A40" s="21" t="str">
        <f t="shared" si="1"/>
        <v/>
      </c>
      <c r="B40" s="21"/>
      <c r="C40" s="21"/>
      <c r="D40" s="4" t="str">
        <f>IF(C40&lt;&gt;"",IFERROR(VLOOKUP(C40,'Araç Envanteri'!$B$4:$C$203,2,0),"Bulunamadı"),"")</f>
        <v/>
      </c>
      <c r="E40" s="21"/>
      <c r="F40" s="1"/>
      <c r="G40" s="1"/>
      <c r="H40" s="5"/>
      <c r="I40" s="21"/>
      <c r="J40" s="21"/>
      <c r="K40" s="21"/>
    </row>
    <row r="41" spans="1:11" ht="20.100000000000001" customHeight="1" x14ac:dyDescent="0.3">
      <c r="A41" s="2" t="str">
        <f t="shared" si="1"/>
        <v/>
      </c>
      <c r="B41" s="2"/>
      <c r="C41" s="2"/>
      <c r="D41" s="4" t="str">
        <f>IF(C41&lt;&gt;"",IFERROR(VLOOKUP(C41,'Araç Envanteri'!$B$4:$C$203,2,0),"Bulunamadı"),"")</f>
        <v/>
      </c>
      <c r="E41" s="2"/>
      <c r="F41" s="3"/>
      <c r="G41" s="3"/>
      <c r="H41" s="6"/>
      <c r="I41" s="2"/>
      <c r="J41" s="2"/>
      <c r="K41" s="2"/>
    </row>
    <row r="42" spans="1:11" ht="20.100000000000001" customHeight="1" x14ac:dyDescent="0.3">
      <c r="A42" s="21" t="str">
        <f t="shared" si="1"/>
        <v/>
      </c>
      <c r="B42" s="21"/>
      <c r="C42" s="21"/>
      <c r="D42" s="4" t="str">
        <f>IF(C42&lt;&gt;"",IFERROR(VLOOKUP(C42,'Araç Envanteri'!$B$4:$C$203,2,0),"Bulunamadı"),"")</f>
        <v/>
      </c>
      <c r="E42" s="21"/>
      <c r="F42" s="1"/>
      <c r="G42" s="1"/>
      <c r="H42" s="5"/>
      <c r="I42" s="21"/>
      <c r="J42" s="21"/>
      <c r="K42" s="21"/>
    </row>
    <row r="43" spans="1:11" ht="20.100000000000001" customHeight="1" x14ac:dyDescent="0.3">
      <c r="A43" s="2" t="str">
        <f t="shared" si="1"/>
        <v/>
      </c>
      <c r="B43" s="2"/>
      <c r="C43" s="2"/>
      <c r="D43" s="4" t="str">
        <f>IF(C43&lt;&gt;"",IFERROR(VLOOKUP(C43,'Araç Envanteri'!$B$4:$C$203,2,0),"Bulunamadı"),"")</f>
        <v/>
      </c>
      <c r="E43" s="2"/>
      <c r="F43" s="3"/>
      <c r="G43" s="3"/>
      <c r="H43" s="6"/>
      <c r="I43" s="2"/>
      <c r="J43" s="2"/>
      <c r="K43" s="2"/>
    </row>
    <row r="44" spans="1:11" ht="20.100000000000001" customHeight="1" x14ac:dyDescent="0.3">
      <c r="A44" s="21" t="str">
        <f t="shared" si="1"/>
        <v/>
      </c>
      <c r="B44" s="21"/>
      <c r="C44" s="21"/>
      <c r="D44" s="4" t="str">
        <f>IF(C44&lt;&gt;"",IFERROR(VLOOKUP(C44,'Araç Envanteri'!$B$4:$C$203,2,0),"Bulunamadı"),"")</f>
        <v/>
      </c>
      <c r="E44" s="21"/>
      <c r="F44" s="1"/>
      <c r="G44" s="1"/>
      <c r="H44" s="5"/>
      <c r="I44" s="21"/>
      <c r="J44" s="21"/>
      <c r="K44" s="21"/>
    </row>
    <row r="45" spans="1:11" ht="20.100000000000001" customHeight="1" x14ac:dyDescent="0.3">
      <c r="A45" s="2" t="str">
        <f t="shared" si="1"/>
        <v/>
      </c>
      <c r="B45" s="2"/>
      <c r="C45" s="2"/>
      <c r="D45" s="4" t="str">
        <f>IF(C45&lt;&gt;"",IFERROR(VLOOKUP(C45,'Araç Envanteri'!$B$4:$C$203,2,0),"Bulunamadı"),"")</f>
        <v/>
      </c>
      <c r="E45" s="2"/>
      <c r="F45" s="3"/>
      <c r="G45" s="3"/>
      <c r="H45" s="6"/>
      <c r="I45" s="2"/>
      <c r="J45" s="2"/>
      <c r="K45" s="2"/>
    </row>
    <row r="46" spans="1:11" ht="20.100000000000001" customHeight="1" x14ac:dyDescent="0.3">
      <c r="A46" s="21" t="str">
        <f t="shared" si="1"/>
        <v/>
      </c>
      <c r="B46" s="21"/>
      <c r="C46" s="21"/>
      <c r="D46" s="4" t="str">
        <f>IF(C46&lt;&gt;"",IFERROR(VLOOKUP(C46,'Araç Envanteri'!$B$4:$C$203,2,0),"Bulunamadı"),"")</f>
        <v/>
      </c>
      <c r="E46" s="21"/>
      <c r="F46" s="1"/>
      <c r="G46" s="1"/>
      <c r="H46" s="5"/>
      <c r="I46" s="21"/>
      <c r="J46" s="21"/>
      <c r="K46" s="21"/>
    </row>
    <row r="47" spans="1:11" ht="20.100000000000001" customHeight="1" x14ac:dyDescent="0.3">
      <c r="A47" s="2" t="str">
        <f t="shared" si="1"/>
        <v/>
      </c>
      <c r="B47" s="2"/>
      <c r="C47" s="2"/>
      <c r="D47" s="4" t="str">
        <f>IF(C47&lt;&gt;"",IFERROR(VLOOKUP(C47,'Araç Envanteri'!$B$4:$C$203,2,0),"Bulunamadı"),"")</f>
        <v/>
      </c>
      <c r="E47" s="2"/>
      <c r="F47" s="3"/>
      <c r="G47" s="3"/>
      <c r="H47" s="6"/>
      <c r="I47" s="2"/>
      <c r="J47" s="2"/>
      <c r="K47" s="2"/>
    </row>
    <row r="48" spans="1:11" ht="20.100000000000001" customHeight="1" x14ac:dyDescent="0.3">
      <c r="A48" s="21" t="str">
        <f t="shared" si="1"/>
        <v/>
      </c>
      <c r="B48" s="21"/>
      <c r="C48" s="21"/>
      <c r="D48" s="4" t="str">
        <f>IF(C48&lt;&gt;"",IFERROR(VLOOKUP(C48,'Araç Envanteri'!$B$4:$C$203,2,0),"Bulunamadı"),"")</f>
        <v/>
      </c>
      <c r="E48" s="21"/>
      <c r="F48" s="1"/>
      <c r="G48" s="1"/>
      <c r="H48" s="5"/>
      <c r="I48" s="21"/>
      <c r="J48" s="21"/>
      <c r="K48" s="21"/>
    </row>
    <row r="49" spans="1:11" ht="20.100000000000001" customHeight="1" x14ac:dyDescent="0.3">
      <c r="A49" s="2" t="str">
        <f t="shared" si="1"/>
        <v/>
      </c>
      <c r="B49" s="2"/>
      <c r="C49" s="2"/>
      <c r="D49" s="4" t="str">
        <f>IF(C49&lt;&gt;"",IFERROR(VLOOKUP(C49,'Araç Envanteri'!$B$4:$C$203,2,0),"Bulunamadı"),"")</f>
        <v/>
      </c>
      <c r="E49" s="2"/>
      <c r="F49" s="3"/>
      <c r="G49" s="3"/>
      <c r="H49" s="6"/>
      <c r="I49" s="2"/>
      <c r="J49" s="2"/>
      <c r="K49" s="2"/>
    </row>
    <row r="50" spans="1:11" ht="20.100000000000001" customHeight="1" x14ac:dyDescent="0.3">
      <c r="A50" s="21" t="str">
        <f t="shared" si="1"/>
        <v/>
      </c>
      <c r="B50" s="21"/>
      <c r="C50" s="21"/>
      <c r="D50" s="4" t="str">
        <f>IF(C50&lt;&gt;"",IFERROR(VLOOKUP(C50,'Araç Envanteri'!$B$4:$C$203,2,0),"Bulunamadı"),"")</f>
        <v/>
      </c>
      <c r="E50" s="21"/>
      <c r="F50" s="1"/>
      <c r="G50" s="1"/>
      <c r="H50" s="5"/>
      <c r="I50" s="21"/>
      <c r="J50" s="21"/>
      <c r="K50" s="21"/>
    </row>
    <row r="51" spans="1:11" ht="20.100000000000001" customHeight="1" x14ac:dyDescent="0.3">
      <c r="A51" s="2" t="str">
        <f t="shared" si="1"/>
        <v/>
      </c>
      <c r="B51" s="2"/>
      <c r="C51" s="2"/>
      <c r="D51" s="4" t="str">
        <f>IF(C51&lt;&gt;"",IFERROR(VLOOKUP(C51,'Araç Envanteri'!$B$4:$C$203,2,0),"Bulunamadı"),"")</f>
        <v/>
      </c>
      <c r="E51" s="2"/>
      <c r="F51" s="3"/>
      <c r="G51" s="3"/>
      <c r="H51" s="6"/>
      <c r="I51" s="2"/>
      <c r="J51" s="2"/>
      <c r="K51" s="2"/>
    </row>
    <row r="52" spans="1:11" ht="20.100000000000001" customHeight="1" x14ac:dyDescent="0.3">
      <c r="A52" s="21" t="str">
        <f t="shared" si="1"/>
        <v/>
      </c>
      <c r="B52" s="21"/>
      <c r="C52" s="21"/>
      <c r="D52" s="4" t="str">
        <f>IF(C52&lt;&gt;"",IFERROR(VLOOKUP(C52,'Araç Envanteri'!$B$4:$C$203,2,0),"Bulunamadı"),"")</f>
        <v/>
      </c>
      <c r="E52" s="21"/>
      <c r="F52" s="1"/>
      <c r="G52" s="1"/>
      <c r="H52" s="5"/>
      <c r="I52" s="21"/>
      <c r="J52" s="21"/>
      <c r="K52" s="21"/>
    </row>
    <row r="53" spans="1:11" ht="20.100000000000001" customHeight="1" x14ac:dyDescent="0.3">
      <c r="A53" s="2" t="str">
        <f t="shared" si="1"/>
        <v/>
      </c>
      <c r="B53" s="2"/>
      <c r="C53" s="2"/>
      <c r="D53" s="4" t="str">
        <f>IF(C53&lt;&gt;"",IFERROR(VLOOKUP(C53,'Araç Envanteri'!$B$4:$C$203,2,0),"Bulunamadı"),"")</f>
        <v/>
      </c>
      <c r="E53" s="2"/>
      <c r="F53" s="3"/>
      <c r="G53" s="3"/>
      <c r="H53" s="6"/>
      <c r="I53" s="2"/>
      <c r="J53" s="2"/>
      <c r="K53" s="2"/>
    </row>
    <row r="54" spans="1:11" ht="20.100000000000001" customHeight="1" x14ac:dyDescent="0.3">
      <c r="A54" s="21" t="str">
        <f t="shared" si="1"/>
        <v/>
      </c>
      <c r="B54" s="21"/>
      <c r="C54" s="21"/>
      <c r="D54" s="4" t="str">
        <f>IF(C54&lt;&gt;"",IFERROR(VLOOKUP(C54,'Araç Envanteri'!$B$4:$C$203,2,0),"Bulunamadı"),"")</f>
        <v/>
      </c>
      <c r="E54" s="21"/>
      <c r="F54" s="1"/>
      <c r="G54" s="1"/>
      <c r="H54" s="5"/>
      <c r="I54" s="21"/>
      <c r="J54" s="21"/>
      <c r="K54" s="21"/>
    </row>
    <row r="55" spans="1:11" ht="20.100000000000001" customHeight="1" x14ac:dyDescent="0.3">
      <c r="A55" s="2" t="str">
        <f t="shared" si="1"/>
        <v/>
      </c>
      <c r="B55" s="2"/>
      <c r="C55" s="2"/>
      <c r="D55" s="4" t="str">
        <f>IF(C55&lt;&gt;"",IFERROR(VLOOKUP(C55,'Araç Envanteri'!$B$4:$C$203,2,0),"Bulunamadı"),"")</f>
        <v/>
      </c>
      <c r="E55" s="2"/>
      <c r="F55" s="3"/>
      <c r="G55" s="3"/>
      <c r="H55" s="6"/>
      <c r="I55" s="2"/>
      <c r="J55" s="2"/>
      <c r="K55" s="2"/>
    </row>
    <row r="56" spans="1:11" ht="20.100000000000001" customHeight="1" x14ac:dyDescent="0.3">
      <c r="A56" s="21" t="str">
        <f t="shared" si="1"/>
        <v/>
      </c>
      <c r="B56" s="21"/>
      <c r="C56" s="21"/>
      <c r="D56" s="4" t="str">
        <f>IF(C56&lt;&gt;"",IFERROR(VLOOKUP(C56,'Araç Envanteri'!$B$4:$C$203,2,0),"Bulunamadı"),"")</f>
        <v/>
      </c>
      <c r="E56" s="21"/>
      <c r="F56" s="1"/>
      <c r="G56" s="1"/>
      <c r="H56" s="5"/>
      <c r="I56" s="21"/>
      <c r="J56" s="21"/>
      <c r="K56" s="21"/>
    </row>
    <row r="57" spans="1:11" ht="20.100000000000001" customHeight="1" x14ac:dyDescent="0.3">
      <c r="A57" s="2" t="str">
        <f t="shared" si="1"/>
        <v/>
      </c>
      <c r="B57" s="2"/>
      <c r="C57" s="2"/>
      <c r="D57" s="4" t="str">
        <f>IF(C57&lt;&gt;"",IFERROR(VLOOKUP(C57,'Araç Envanteri'!$B$4:$C$203,2,0),"Bulunamadı"),"")</f>
        <v/>
      </c>
      <c r="E57" s="2"/>
      <c r="F57" s="3"/>
      <c r="G57" s="3"/>
      <c r="H57" s="6"/>
      <c r="I57" s="2"/>
      <c r="J57" s="2"/>
      <c r="K57" s="2"/>
    </row>
    <row r="58" spans="1:11" ht="20.100000000000001" customHeight="1" x14ac:dyDescent="0.3">
      <c r="A58" s="21" t="str">
        <f t="shared" si="1"/>
        <v/>
      </c>
      <c r="B58" s="21"/>
      <c r="C58" s="21"/>
      <c r="D58" s="4" t="str">
        <f>IF(C58&lt;&gt;"",IFERROR(VLOOKUP(C58,'Araç Envanteri'!$B$4:$C$203,2,0),"Bulunamadı"),"")</f>
        <v/>
      </c>
      <c r="E58" s="21"/>
      <c r="F58" s="1"/>
      <c r="G58" s="1"/>
      <c r="H58" s="5"/>
      <c r="I58" s="21"/>
      <c r="J58" s="21"/>
      <c r="K58" s="21"/>
    </row>
    <row r="59" spans="1:11" ht="20.100000000000001" customHeight="1" x14ac:dyDescent="0.3">
      <c r="A59" s="2" t="str">
        <f t="shared" si="1"/>
        <v/>
      </c>
      <c r="B59" s="2"/>
      <c r="C59" s="2"/>
      <c r="D59" s="4" t="str">
        <f>IF(C59&lt;&gt;"",IFERROR(VLOOKUP(C59,'Araç Envanteri'!$B$4:$C$203,2,0),"Bulunamadı"),"")</f>
        <v/>
      </c>
      <c r="E59" s="2"/>
      <c r="F59" s="3"/>
      <c r="G59" s="3"/>
      <c r="H59" s="6"/>
      <c r="I59" s="2"/>
      <c r="J59" s="2"/>
      <c r="K59" s="2"/>
    </row>
    <row r="60" spans="1:11" ht="20.100000000000001" customHeight="1" x14ac:dyDescent="0.3">
      <c r="A60" s="21" t="str">
        <f t="shared" si="1"/>
        <v/>
      </c>
      <c r="B60" s="21"/>
      <c r="C60" s="21"/>
      <c r="D60" s="4" t="str">
        <f>IF(C60&lt;&gt;"",IFERROR(VLOOKUP(C60,'Araç Envanteri'!$B$4:$C$203,2,0),"Bulunamadı"),"")</f>
        <v/>
      </c>
      <c r="E60" s="21"/>
      <c r="F60" s="1"/>
      <c r="G60" s="1"/>
      <c r="H60" s="5"/>
      <c r="I60" s="21"/>
      <c r="J60" s="21"/>
      <c r="K60" s="21"/>
    </row>
    <row r="61" spans="1:11" ht="20.100000000000001" customHeight="1" x14ac:dyDescent="0.3">
      <c r="A61" s="2" t="str">
        <f t="shared" si="1"/>
        <v/>
      </c>
      <c r="B61" s="2"/>
      <c r="C61" s="2"/>
      <c r="D61" s="4" t="str">
        <f>IF(C61&lt;&gt;"",IFERROR(VLOOKUP(C61,'Araç Envanteri'!$B$4:$C$203,2,0),"Bulunamadı"),"")</f>
        <v/>
      </c>
      <c r="E61" s="2"/>
      <c r="F61" s="3"/>
      <c r="G61" s="3"/>
      <c r="H61" s="6"/>
      <c r="I61" s="2"/>
      <c r="J61" s="2"/>
      <c r="K61" s="2"/>
    </row>
    <row r="62" spans="1:11" ht="20.100000000000001" customHeight="1" x14ac:dyDescent="0.3">
      <c r="A62" s="21" t="str">
        <f t="shared" si="1"/>
        <v/>
      </c>
      <c r="B62" s="21"/>
      <c r="C62" s="21"/>
      <c r="D62" s="4" t="str">
        <f>IF(C62&lt;&gt;"",IFERROR(VLOOKUP(C62,'Araç Envanteri'!$B$4:$C$203,2,0),"Bulunamadı"),"")</f>
        <v/>
      </c>
      <c r="E62" s="21"/>
      <c r="F62" s="1"/>
      <c r="G62" s="1"/>
      <c r="H62" s="5"/>
      <c r="I62" s="21"/>
      <c r="J62" s="21"/>
      <c r="K62" s="21"/>
    </row>
    <row r="63" spans="1:11" ht="20.100000000000001" customHeight="1" x14ac:dyDescent="0.3">
      <c r="A63" s="2" t="str">
        <f t="shared" si="1"/>
        <v/>
      </c>
      <c r="B63" s="2"/>
      <c r="C63" s="2"/>
      <c r="D63" s="4" t="str">
        <f>IF(C63&lt;&gt;"",IFERROR(VLOOKUP(C63,'Araç Envanteri'!$B$4:$C$203,2,0),"Bulunamadı"),"")</f>
        <v/>
      </c>
      <c r="E63" s="2"/>
      <c r="F63" s="3"/>
      <c r="G63" s="3"/>
      <c r="H63" s="6"/>
      <c r="I63" s="2"/>
      <c r="J63" s="2"/>
      <c r="K63" s="2"/>
    </row>
    <row r="64" spans="1:11" ht="20.100000000000001" customHeight="1" x14ac:dyDescent="0.3">
      <c r="A64" s="21" t="str">
        <f t="shared" si="1"/>
        <v/>
      </c>
      <c r="B64" s="21"/>
      <c r="C64" s="21"/>
      <c r="D64" s="4" t="str">
        <f>IF(C64&lt;&gt;"",IFERROR(VLOOKUP(C64,'Araç Envanteri'!$B$4:$C$203,2,0),"Bulunamadı"),"")</f>
        <v/>
      </c>
      <c r="E64" s="21"/>
      <c r="F64" s="1"/>
      <c r="G64" s="1"/>
      <c r="H64" s="5"/>
      <c r="I64" s="21"/>
      <c r="J64" s="21"/>
      <c r="K64" s="21"/>
    </row>
    <row r="65" spans="1:11" ht="20.100000000000001" customHeight="1" x14ac:dyDescent="0.3">
      <c r="A65" s="2" t="str">
        <f t="shared" si="1"/>
        <v/>
      </c>
      <c r="B65" s="2"/>
      <c r="C65" s="2"/>
      <c r="D65" s="4" t="str">
        <f>IF(C65&lt;&gt;"",IFERROR(VLOOKUP(C65,'Araç Envanteri'!$B$4:$C$203,2,0),"Bulunamadı"),"")</f>
        <v/>
      </c>
      <c r="E65" s="2"/>
      <c r="F65" s="3"/>
      <c r="G65" s="3"/>
      <c r="H65" s="6"/>
      <c r="I65" s="2"/>
      <c r="J65" s="2"/>
      <c r="K65" s="2"/>
    </row>
    <row r="66" spans="1:11" ht="20.100000000000001" customHeight="1" x14ac:dyDescent="0.3">
      <c r="A66" s="21" t="str">
        <f t="shared" si="1"/>
        <v/>
      </c>
      <c r="B66" s="21"/>
      <c r="C66" s="21"/>
      <c r="D66" s="4" t="str">
        <f>IF(C66&lt;&gt;"",IFERROR(VLOOKUP(C66,'Araç Envanteri'!$B$4:$C$203,2,0),"Bulunamadı"),"")</f>
        <v/>
      </c>
      <c r="E66" s="21"/>
      <c r="F66" s="1"/>
      <c r="G66" s="1"/>
      <c r="H66" s="5"/>
      <c r="I66" s="21"/>
      <c r="J66" s="21"/>
      <c r="K66" s="21"/>
    </row>
    <row r="67" spans="1:11" ht="20.100000000000001" customHeight="1" x14ac:dyDescent="0.3">
      <c r="A67" s="2" t="str">
        <f t="shared" si="1"/>
        <v/>
      </c>
      <c r="B67" s="2"/>
      <c r="C67" s="2"/>
      <c r="D67" s="4" t="str">
        <f>IF(C67&lt;&gt;"",IFERROR(VLOOKUP(C67,'Araç Envanteri'!$B$4:$C$203,2,0),"Bulunamadı"),"")</f>
        <v/>
      </c>
      <c r="E67" s="2"/>
      <c r="F67" s="3"/>
      <c r="G67" s="3"/>
      <c r="H67" s="6"/>
      <c r="I67" s="2"/>
      <c r="J67" s="2"/>
      <c r="K67" s="2"/>
    </row>
    <row r="68" spans="1:11" ht="20.100000000000001" customHeight="1" x14ac:dyDescent="0.3">
      <c r="A68" s="21" t="str">
        <f t="shared" ref="A68:A99" si="2">IF(C68&lt;&gt;"",ROW()-3,"")</f>
        <v/>
      </c>
      <c r="B68" s="21"/>
      <c r="C68" s="21"/>
      <c r="D68" s="4" t="str">
        <f>IF(C68&lt;&gt;"",IFERROR(VLOOKUP(C68,'Araç Envanteri'!$B$4:$C$203,2,0),"Bulunamadı"),"")</f>
        <v/>
      </c>
      <c r="E68" s="21"/>
      <c r="F68" s="1"/>
      <c r="G68" s="1"/>
      <c r="H68" s="5"/>
      <c r="I68" s="21"/>
      <c r="J68" s="21"/>
      <c r="K68" s="21"/>
    </row>
    <row r="69" spans="1:11" ht="20.100000000000001" customHeight="1" x14ac:dyDescent="0.3">
      <c r="A69" s="2" t="str">
        <f t="shared" si="2"/>
        <v/>
      </c>
      <c r="B69" s="2"/>
      <c r="C69" s="2"/>
      <c r="D69" s="4" t="str">
        <f>IF(C69&lt;&gt;"",IFERROR(VLOOKUP(C69,'Araç Envanteri'!$B$4:$C$203,2,0),"Bulunamadı"),"")</f>
        <v/>
      </c>
      <c r="E69" s="2"/>
      <c r="F69" s="3"/>
      <c r="G69" s="3"/>
      <c r="H69" s="6"/>
      <c r="I69" s="2"/>
      <c r="J69" s="2"/>
      <c r="K69" s="2"/>
    </row>
    <row r="70" spans="1:11" ht="20.100000000000001" customHeight="1" x14ac:dyDescent="0.3">
      <c r="A70" s="21" t="str">
        <f t="shared" si="2"/>
        <v/>
      </c>
      <c r="B70" s="21"/>
      <c r="C70" s="21"/>
      <c r="D70" s="4" t="str">
        <f>IF(C70&lt;&gt;"",IFERROR(VLOOKUP(C70,'Araç Envanteri'!$B$4:$C$203,2,0),"Bulunamadı"),"")</f>
        <v/>
      </c>
      <c r="E70" s="21"/>
      <c r="F70" s="1"/>
      <c r="G70" s="1"/>
      <c r="H70" s="5"/>
      <c r="I70" s="21"/>
      <c r="J70" s="21"/>
      <c r="K70" s="21"/>
    </row>
    <row r="71" spans="1:11" ht="20.100000000000001" customHeight="1" x14ac:dyDescent="0.3">
      <c r="A71" s="2" t="str">
        <f t="shared" si="2"/>
        <v/>
      </c>
      <c r="B71" s="2"/>
      <c r="C71" s="2"/>
      <c r="D71" s="4" t="str">
        <f>IF(C71&lt;&gt;"",IFERROR(VLOOKUP(C71,'Araç Envanteri'!$B$4:$C$203,2,0),"Bulunamadı"),"")</f>
        <v/>
      </c>
      <c r="E71" s="2"/>
      <c r="F71" s="3"/>
      <c r="G71" s="3"/>
      <c r="H71" s="6"/>
      <c r="I71" s="2"/>
      <c r="J71" s="2"/>
      <c r="K71" s="2"/>
    </row>
    <row r="72" spans="1:11" ht="20.100000000000001" customHeight="1" x14ac:dyDescent="0.3">
      <c r="A72" s="21" t="str">
        <f t="shared" si="2"/>
        <v/>
      </c>
      <c r="B72" s="21"/>
      <c r="C72" s="21"/>
      <c r="D72" s="4" t="str">
        <f>IF(C72&lt;&gt;"",IFERROR(VLOOKUP(C72,'Araç Envanteri'!$B$4:$C$203,2,0),"Bulunamadı"),"")</f>
        <v/>
      </c>
      <c r="E72" s="21"/>
      <c r="F72" s="1"/>
      <c r="G72" s="1"/>
      <c r="H72" s="5"/>
      <c r="I72" s="21"/>
      <c r="J72" s="21"/>
      <c r="K72" s="21"/>
    </row>
    <row r="73" spans="1:11" ht="20.100000000000001" customHeight="1" x14ac:dyDescent="0.3">
      <c r="A73" s="2" t="str">
        <f t="shared" si="2"/>
        <v/>
      </c>
      <c r="B73" s="2"/>
      <c r="C73" s="2"/>
      <c r="D73" s="4" t="str">
        <f>IF(C73&lt;&gt;"",IFERROR(VLOOKUP(C73,'Araç Envanteri'!$B$4:$C$203,2,0),"Bulunamadı"),"")</f>
        <v/>
      </c>
      <c r="E73" s="2"/>
      <c r="F73" s="3"/>
      <c r="G73" s="3"/>
      <c r="H73" s="6"/>
      <c r="I73" s="2"/>
      <c r="J73" s="2"/>
      <c r="K73" s="2"/>
    </row>
    <row r="74" spans="1:11" ht="20.100000000000001" customHeight="1" x14ac:dyDescent="0.3">
      <c r="A74" s="21" t="str">
        <f t="shared" si="2"/>
        <v/>
      </c>
      <c r="B74" s="21"/>
      <c r="C74" s="21"/>
      <c r="D74" s="4" t="str">
        <f>IF(C74&lt;&gt;"",IFERROR(VLOOKUP(C74,'Araç Envanteri'!$B$4:$C$203,2,0),"Bulunamadı"),"")</f>
        <v/>
      </c>
      <c r="E74" s="21"/>
      <c r="F74" s="1"/>
      <c r="G74" s="1"/>
      <c r="H74" s="5"/>
      <c r="I74" s="21"/>
      <c r="J74" s="21"/>
      <c r="K74" s="21"/>
    </row>
    <row r="75" spans="1:11" ht="20.100000000000001" customHeight="1" x14ac:dyDescent="0.3">
      <c r="A75" s="2" t="str">
        <f t="shared" si="2"/>
        <v/>
      </c>
      <c r="B75" s="2"/>
      <c r="C75" s="2"/>
      <c r="D75" s="4" t="str">
        <f>IF(C75&lt;&gt;"",IFERROR(VLOOKUP(C75,'Araç Envanteri'!$B$4:$C$203,2,0),"Bulunamadı"),"")</f>
        <v/>
      </c>
      <c r="E75" s="2"/>
      <c r="F75" s="3"/>
      <c r="G75" s="3"/>
      <c r="H75" s="6"/>
      <c r="I75" s="2"/>
      <c r="J75" s="2"/>
      <c r="K75" s="2"/>
    </row>
    <row r="76" spans="1:11" ht="20.100000000000001" customHeight="1" x14ac:dyDescent="0.3">
      <c r="A76" s="21" t="str">
        <f t="shared" si="2"/>
        <v/>
      </c>
      <c r="B76" s="21"/>
      <c r="C76" s="21"/>
      <c r="D76" s="4" t="str">
        <f>IF(C76&lt;&gt;"",IFERROR(VLOOKUP(C76,'Araç Envanteri'!$B$4:$C$203,2,0),"Bulunamadı"),"")</f>
        <v/>
      </c>
      <c r="E76" s="21"/>
      <c r="F76" s="1"/>
      <c r="G76" s="1"/>
      <c r="H76" s="5"/>
      <c r="I76" s="21"/>
      <c r="J76" s="21"/>
      <c r="K76" s="21"/>
    </row>
    <row r="77" spans="1:11" ht="20.100000000000001" customHeight="1" x14ac:dyDescent="0.3">
      <c r="A77" s="2" t="str">
        <f t="shared" si="2"/>
        <v/>
      </c>
      <c r="B77" s="2"/>
      <c r="C77" s="2"/>
      <c r="D77" s="4" t="str">
        <f>IF(C77&lt;&gt;"",IFERROR(VLOOKUP(C77,'Araç Envanteri'!$B$4:$C$203,2,0),"Bulunamadı"),"")</f>
        <v/>
      </c>
      <c r="E77" s="2"/>
      <c r="F77" s="3"/>
      <c r="G77" s="3"/>
      <c r="H77" s="6"/>
      <c r="I77" s="2"/>
      <c r="J77" s="2"/>
      <c r="K77" s="2"/>
    </row>
    <row r="78" spans="1:11" ht="20.100000000000001" customHeight="1" x14ac:dyDescent="0.3">
      <c r="A78" s="21" t="str">
        <f t="shared" si="2"/>
        <v/>
      </c>
      <c r="B78" s="21"/>
      <c r="C78" s="21"/>
      <c r="D78" s="4" t="str">
        <f>IF(C78&lt;&gt;"",IFERROR(VLOOKUP(C78,'Araç Envanteri'!$B$4:$C$203,2,0),"Bulunamadı"),"")</f>
        <v/>
      </c>
      <c r="E78" s="21"/>
      <c r="F78" s="1"/>
      <c r="G78" s="1"/>
      <c r="H78" s="5"/>
      <c r="I78" s="21"/>
      <c r="J78" s="21"/>
      <c r="K78" s="21"/>
    </row>
    <row r="79" spans="1:11" ht="20.100000000000001" customHeight="1" x14ac:dyDescent="0.3">
      <c r="A79" s="2" t="str">
        <f t="shared" si="2"/>
        <v/>
      </c>
      <c r="B79" s="2"/>
      <c r="C79" s="2"/>
      <c r="D79" s="4" t="str">
        <f>IF(C79&lt;&gt;"",IFERROR(VLOOKUP(C79,'Araç Envanteri'!$B$4:$C$203,2,0),"Bulunamadı"),"")</f>
        <v/>
      </c>
      <c r="E79" s="2"/>
      <c r="F79" s="3"/>
      <c r="G79" s="3"/>
      <c r="H79" s="6"/>
      <c r="I79" s="2"/>
      <c r="J79" s="2"/>
      <c r="K79" s="2"/>
    </row>
    <row r="80" spans="1:11" ht="20.100000000000001" customHeight="1" x14ac:dyDescent="0.3">
      <c r="A80" s="21" t="str">
        <f t="shared" si="2"/>
        <v/>
      </c>
      <c r="B80" s="21"/>
      <c r="C80" s="21"/>
      <c r="D80" s="4" t="str">
        <f>IF(C80&lt;&gt;"",IFERROR(VLOOKUP(C80,'Araç Envanteri'!$B$4:$C$203,2,0),"Bulunamadı"),"")</f>
        <v/>
      </c>
      <c r="E80" s="21"/>
      <c r="F80" s="1"/>
      <c r="G80" s="1"/>
      <c r="H80" s="5"/>
      <c r="I80" s="21"/>
      <c r="J80" s="21"/>
      <c r="K80" s="21"/>
    </row>
    <row r="81" spans="1:11" ht="20.100000000000001" customHeight="1" x14ac:dyDescent="0.3">
      <c r="A81" s="2" t="str">
        <f t="shared" si="2"/>
        <v/>
      </c>
      <c r="B81" s="2"/>
      <c r="C81" s="2"/>
      <c r="D81" s="4" t="str">
        <f>IF(C81&lt;&gt;"",IFERROR(VLOOKUP(C81,'Araç Envanteri'!$B$4:$C$203,2,0),"Bulunamadı"),"")</f>
        <v/>
      </c>
      <c r="E81" s="2"/>
      <c r="F81" s="3"/>
      <c r="G81" s="3"/>
      <c r="H81" s="6"/>
      <c r="I81" s="2"/>
      <c r="J81" s="2"/>
      <c r="K81" s="2"/>
    </row>
    <row r="82" spans="1:11" ht="20.100000000000001" customHeight="1" x14ac:dyDescent="0.3">
      <c r="A82" s="21" t="str">
        <f t="shared" si="2"/>
        <v/>
      </c>
      <c r="B82" s="21"/>
      <c r="C82" s="21"/>
      <c r="D82" s="4" t="str">
        <f>IF(C82&lt;&gt;"",IFERROR(VLOOKUP(C82,'Araç Envanteri'!$B$4:$C$203,2,0),"Bulunamadı"),"")</f>
        <v/>
      </c>
      <c r="E82" s="21"/>
      <c r="F82" s="1"/>
      <c r="G82" s="1"/>
      <c r="H82" s="5"/>
      <c r="I82" s="21"/>
      <c r="J82" s="21"/>
      <c r="K82" s="21"/>
    </row>
    <row r="83" spans="1:11" ht="20.100000000000001" customHeight="1" x14ac:dyDescent="0.3">
      <c r="A83" s="2" t="str">
        <f t="shared" si="2"/>
        <v/>
      </c>
      <c r="B83" s="2"/>
      <c r="C83" s="2"/>
      <c r="D83" s="4" t="str">
        <f>IF(C83&lt;&gt;"",IFERROR(VLOOKUP(C83,'Araç Envanteri'!$B$4:$C$203,2,0),"Bulunamadı"),"")</f>
        <v/>
      </c>
      <c r="E83" s="2"/>
      <c r="F83" s="3"/>
      <c r="G83" s="3"/>
      <c r="H83" s="6"/>
      <c r="I83" s="2"/>
      <c r="J83" s="2"/>
      <c r="K83" s="2"/>
    </row>
    <row r="84" spans="1:11" ht="20.100000000000001" customHeight="1" x14ac:dyDescent="0.3">
      <c r="A84" s="21" t="str">
        <f t="shared" si="2"/>
        <v/>
      </c>
      <c r="B84" s="21"/>
      <c r="C84" s="21"/>
      <c r="D84" s="4" t="str">
        <f>IF(C84&lt;&gt;"",IFERROR(VLOOKUP(C84,'Araç Envanteri'!$B$4:$C$203,2,0),"Bulunamadı"),"")</f>
        <v/>
      </c>
      <c r="E84" s="21"/>
      <c r="F84" s="1"/>
      <c r="G84" s="1"/>
      <c r="H84" s="5"/>
      <c r="I84" s="21"/>
      <c r="J84" s="21"/>
      <c r="K84" s="21"/>
    </row>
    <row r="85" spans="1:11" ht="20.100000000000001" customHeight="1" x14ac:dyDescent="0.3">
      <c r="A85" s="2" t="str">
        <f t="shared" si="2"/>
        <v/>
      </c>
      <c r="B85" s="2"/>
      <c r="C85" s="2"/>
      <c r="D85" s="4" t="str">
        <f>IF(C85&lt;&gt;"",IFERROR(VLOOKUP(C85,'Araç Envanteri'!$B$4:$C$203,2,0),"Bulunamadı"),"")</f>
        <v/>
      </c>
      <c r="E85" s="2"/>
      <c r="F85" s="3"/>
      <c r="G85" s="3"/>
      <c r="H85" s="6"/>
      <c r="I85" s="2"/>
      <c r="J85" s="2"/>
      <c r="K85" s="2"/>
    </row>
    <row r="86" spans="1:11" ht="20.100000000000001" customHeight="1" x14ac:dyDescent="0.3">
      <c r="A86" s="21" t="str">
        <f t="shared" si="2"/>
        <v/>
      </c>
      <c r="B86" s="21"/>
      <c r="C86" s="21"/>
      <c r="D86" s="4" t="str">
        <f>IF(C86&lt;&gt;"",IFERROR(VLOOKUP(C86,'Araç Envanteri'!$B$4:$C$203,2,0),"Bulunamadı"),"")</f>
        <v/>
      </c>
      <c r="E86" s="21"/>
      <c r="F86" s="1"/>
      <c r="G86" s="1"/>
      <c r="H86" s="5"/>
      <c r="I86" s="21"/>
      <c r="J86" s="21"/>
      <c r="K86" s="21"/>
    </row>
    <row r="87" spans="1:11" ht="20.100000000000001" customHeight="1" x14ac:dyDescent="0.3">
      <c r="A87" s="2" t="str">
        <f t="shared" si="2"/>
        <v/>
      </c>
      <c r="B87" s="2"/>
      <c r="C87" s="2"/>
      <c r="D87" s="4" t="str">
        <f>IF(C87&lt;&gt;"",IFERROR(VLOOKUP(C87,'Araç Envanteri'!$B$4:$C$203,2,0),"Bulunamadı"),"")</f>
        <v/>
      </c>
      <c r="E87" s="2"/>
      <c r="F87" s="3"/>
      <c r="G87" s="3"/>
      <c r="H87" s="6"/>
      <c r="I87" s="2"/>
      <c r="J87" s="2"/>
      <c r="K87" s="2"/>
    </row>
    <row r="88" spans="1:11" ht="20.100000000000001" customHeight="1" x14ac:dyDescent="0.3">
      <c r="A88" s="21" t="str">
        <f t="shared" si="2"/>
        <v/>
      </c>
      <c r="B88" s="21"/>
      <c r="C88" s="21"/>
      <c r="D88" s="4" t="str">
        <f>IF(C88&lt;&gt;"",IFERROR(VLOOKUP(C88,'Araç Envanteri'!$B$4:$C$203,2,0),"Bulunamadı"),"")</f>
        <v/>
      </c>
      <c r="E88" s="21"/>
      <c r="F88" s="1"/>
      <c r="G88" s="1"/>
      <c r="H88" s="5"/>
      <c r="I88" s="21"/>
      <c r="J88" s="21"/>
      <c r="K88" s="21"/>
    </row>
    <row r="89" spans="1:11" ht="20.100000000000001" customHeight="1" x14ac:dyDescent="0.3">
      <c r="A89" s="2" t="str">
        <f t="shared" si="2"/>
        <v/>
      </c>
      <c r="B89" s="2"/>
      <c r="C89" s="2"/>
      <c r="D89" s="4" t="str">
        <f>IF(C89&lt;&gt;"",IFERROR(VLOOKUP(C89,'Araç Envanteri'!$B$4:$C$203,2,0),"Bulunamadı"),"")</f>
        <v/>
      </c>
      <c r="E89" s="2"/>
      <c r="F89" s="3"/>
      <c r="G89" s="3"/>
      <c r="H89" s="6"/>
      <c r="I89" s="2"/>
      <c r="J89" s="2"/>
      <c r="K89" s="2"/>
    </row>
    <row r="90" spans="1:11" ht="20.100000000000001" customHeight="1" x14ac:dyDescent="0.3">
      <c r="A90" s="21" t="str">
        <f t="shared" si="2"/>
        <v/>
      </c>
      <c r="B90" s="21"/>
      <c r="C90" s="21"/>
      <c r="D90" s="4" t="str">
        <f>IF(C90&lt;&gt;"",IFERROR(VLOOKUP(C90,'Araç Envanteri'!$B$4:$C$203,2,0),"Bulunamadı"),"")</f>
        <v/>
      </c>
      <c r="E90" s="21"/>
      <c r="F90" s="1"/>
      <c r="G90" s="1"/>
      <c r="H90" s="5"/>
      <c r="I90" s="21"/>
      <c r="J90" s="21"/>
      <c r="K90" s="21"/>
    </row>
    <row r="91" spans="1:11" ht="20.100000000000001" customHeight="1" x14ac:dyDescent="0.3">
      <c r="A91" s="2" t="str">
        <f t="shared" si="2"/>
        <v/>
      </c>
      <c r="B91" s="2"/>
      <c r="C91" s="2"/>
      <c r="D91" s="4" t="str">
        <f>IF(C91&lt;&gt;"",IFERROR(VLOOKUP(C91,'Araç Envanteri'!$B$4:$C$203,2,0),"Bulunamadı"),"")</f>
        <v/>
      </c>
      <c r="E91" s="2"/>
      <c r="F91" s="3"/>
      <c r="G91" s="3"/>
      <c r="H91" s="6"/>
      <c r="I91" s="2"/>
      <c r="J91" s="2"/>
      <c r="K91" s="2"/>
    </row>
    <row r="92" spans="1:11" ht="20.100000000000001" customHeight="1" x14ac:dyDescent="0.3">
      <c r="A92" s="21" t="str">
        <f t="shared" si="2"/>
        <v/>
      </c>
      <c r="B92" s="21"/>
      <c r="C92" s="21"/>
      <c r="D92" s="4" t="str">
        <f>IF(C92&lt;&gt;"",IFERROR(VLOOKUP(C92,'Araç Envanteri'!$B$4:$C$203,2,0),"Bulunamadı"),"")</f>
        <v/>
      </c>
      <c r="E92" s="21"/>
      <c r="F92" s="1"/>
      <c r="G92" s="1"/>
      <c r="H92" s="5"/>
      <c r="I92" s="21"/>
      <c r="J92" s="21"/>
      <c r="K92" s="21"/>
    </row>
    <row r="93" spans="1:11" ht="20.100000000000001" customHeight="1" x14ac:dyDescent="0.3">
      <c r="A93" s="2" t="str">
        <f t="shared" si="2"/>
        <v/>
      </c>
      <c r="B93" s="2"/>
      <c r="C93" s="2"/>
      <c r="D93" s="4" t="str">
        <f>IF(C93&lt;&gt;"",IFERROR(VLOOKUP(C93,'Araç Envanteri'!$B$4:$C$203,2,0),"Bulunamadı"),"")</f>
        <v/>
      </c>
      <c r="E93" s="2"/>
      <c r="F93" s="3"/>
      <c r="G93" s="3"/>
      <c r="H93" s="6"/>
      <c r="I93" s="2"/>
      <c r="J93" s="2"/>
      <c r="K93" s="2"/>
    </row>
    <row r="94" spans="1:11" ht="20.100000000000001" customHeight="1" x14ac:dyDescent="0.3">
      <c r="A94" s="21" t="str">
        <f t="shared" si="2"/>
        <v/>
      </c>
      <c r="B94" s="21"/>
      <c r="C94" s="21"/>
      <c r="D94" s="4" t="str">
        <f>IF(C94&lt;&gt;"",IFERROR(VLOOKUP(C94,'Araç Envanteri'!$B$4:$C$203,2,0),"Bulunamadı"),"")</f>
        <v/>
      </c>
      <c r="E94" s="21"/>
      <c r="F94" s="1"/>
      <c r="G94" s="1"/>
      <c r="H94" s="5"/>
      <c r="I94" s="21"/>
      <c r="J94" s="21"/>
      <c r="K94" s="21"/>
    </row>
    <row r="95" spans="1:11" ht="20.100000000000001" customHeight="1" x14ac:dyDescent="0.3">
      <c r="A95" s="2" t="str">
        <f t="shared" si="2"/>
        <v/>
      </c>
      <c r="B95" s="2"/>
      <c r="C95" s="2"/>
      <c r="D95" s="4" t="str">
        <f>IF(C95&lt;&gt;"",IFERROR(VLOOKUP(C95,'Araç Envanteri'!$B$4:$C$203,2,0),"Bulunamadı"),"")</f>
        <v/>
      </c>
      <c r="E95" s="2"/>
      <c r="F95" s="3"/>
      <c r="G95" s="3"/>
      <c r="H95" s="6"/>
      <c r="I95" s="2"/>
      <c r="J95" s="2"/>
      <c r="K95" s="2"/>
    </row>
    <row r="96" spans="1:11" ht="20.100000000000001" customHeight="1" x14ac:dyDescent="0.3">
      <c r="A96" s="21" t="str">
        <f t="shared" si="2"/>
        <v/>
      </c>
      <c r="B96" s="21"/>
      <c r="C96" s="21"/>
      <c r="D96" s="4" t="str">
        <f>IF(C96&lt;&gt;"",IFERROR(VLOOKUP(C96,'Araç Envanteri'!$B$4:$C$203,2,0),"Bulunamadı"),"")</f>
        <v/>
      </c>
      <c r="E96" s="21"/>
      <c r="F96" s="1"/>
      <c r="G96" s="1"/>
      <c r="H96" s="5"/>
      <c r="I96" s="21"/>
      <c r="J96" s="21"/>
      <c r="K96" s="21"/>
    </row>
    <row r="97" spans="1:11" ht="20.100000000000001" customHeight="1" x14ac:dyDescent="0.3">
      <c r="A97" s="2" t="str">
        <f t="shared" si="2"/>
        <v/>
      </c>
      <c r="B97" s="2"/>
      <c r="C97" s="2"/>
      <c r="D97" s="4" t="str">
        <f>IF(C97&lt;&gt;"",IFERROR(VLOOKUP(C97,'Araç Envanteri'!$B$4:$C$203,2,0),"Bulunamadı"),"")</f>
        <v/>
      </c>
      <c r="E97" s="2"/>
      <c r="F97" s="3"/>
      <c r="G97" s="3"/>
      <c r="H97" s="6"/>
      <c r="I97" s="2"/>
      <c r="J97" s="2"/>
      <c r="K97" s="2"/>
    </row>
    <row r="98" spans="1:11" ht="20.100000000000001" customHeight="1" x14ac:dyDescent="0.3">
      <c r="A98" s="21" t="str">
        <f t="shared" si="2"/>
        <v/>
      </c>
      <c r="B98" s="21"/>
      <c r="C98" s="21"/>
      <c r="D98" s="4" t="str">
        <f>IF(C98&lt;&gt;"",IFERROR(VLOOKUP(C98,'Araç Envanteri'!$B$4:$C$203,2,0),"Bulunamadı"),"")</f>
        <v/>
      </c>
      <c r="E98" s="21"/>
      <c r="F98" s="1"/>
      <c r="G98" s="1"/>
      <c r="H98" s="5"/>
      <c r="I98" s="21"/>
      <c r="J98" s="21"/>
      <c r="K98" s="21"/>
    </row>
    <row r="99" spans="1:11" ht="20.100000000000001" customHeight="1" x14ac:dyDescent="0.3">
      <c r="A99" s="2" t="str">
        <f t="shared" si="2"/>
        <v/>
      </c>
      <c r="B99" s="2"/>
      <c r="C99" s="2"/>
      <c r="D99" s="4" t="str">
        <f>IF(C99&lt;&gt;"",IFERROR(VLOOKUP(C99,'Araç Envanteri'!$B$4:$C$203,2,0),"Bulunamadı"),"")</f>
        <v/>
      </c>
      <c r="E99" s="2"/>
      <c r="F99" s="3"/>
      <c r="G99" s="3"/>
      <c r="H99" s="6"/>
      <c r="I99" s="2"/>
      <c r="J99" s="2"/>
      <c r="K99" s="2"/>
    </row>
    <row r="100" spans="1:11" ht="20.100000000000001" customHeight="1" x14ac:dyDescent="0.3">
      <c r="A100" s="21" t="str">
        <f t="shared" ref="A100:A131" si="3">IF(C100&lt;&gt;"",ROW()-3,"")</f>
        <v/>
      </c>
      <c r="B100" s="21"/>
      <c r="C100" s="21"/>
      <c r="D100" s="4" t="str">
        <f>IF(C100&lt;&gt;"",IFERROR(VLOOKUP(C100,'Araç Envanteri'!$B$4:$C$203,2,0),"Bulunamadı"),"")</f>
        <v/>
      </c>
      <c r="E100" s="21"/>
      <c r="F100" s="1"/>
      <c r="G100" s="1"/>
      <c r="H100" s="5"/>
      <c r="I100" s="21"/>
      <c r="J100" s="21"/>
      <c r="K100" s="21"/>
    </row>
    <row r="101" spans="1:11" ht="20.100000000000001" customHeight="1" x14ac:dyDescent="0.3">
      <c r="A101" s="2" t="str">
        <f t="shared" si="3"/>
        <v/>
      </c>
      <c r="B101" s="2"/>
      <c r="C101" s="2"/>
      <c r="D101" s="4" t="str">
        <f>IF(C101&lt;&gt;"",IFERROR(VLOOKUP(C101,'Araç Envanteri'!$B$4:$C$203,2,0),"Bulunamadı"),"")</f>
        <v/>
      </c>
      <c r="E101" s="2"/>
      <c r="F101" s="3"/>
      <c r="G101" s="3"/>
      <c r="H101" s="6"/>
      <c r="I101" s="2"/>
      <c r="J101" s="2"/>
      <c r="K101" s="2"/>
    </row>
    <row r="102" spans="1:11" ht="20.100000000000001" customHeight="1" x14ac:dyDescent="0.3">
      <c r="A102" s="21" t="str">
        <f t="shared" si="3"/>
        <v/>
      </c>
      <c r="B102" s="21"/>
      <c r="C102" s="21"/>
      <c r="D102" s="4" t="str">
        <f>IF(C102&lt;&gt;"",IFERROR(VLOOKUP(C102,'Araç Envanteri'!$B$4:$C$203,2,0),"Bulunamadı"),"")</f>
        <v/>
      </c>
      <c r="E102" s="21"/>
      <c r="F102" s="1"/>
      <c r="G102" s="1"/>
      <c r="H102" s="5"/>
      <c r="I102" s="21"/>
      <c r="J102" s="21"/>
      <c r="K102" s="21"/>
    </row>
    <row r="103" spans="1:11" ht="20.100000000000001" customHeight="1" x14ac:dyDescent="0.3">
      <c r="A103" s="2" t="str">
        <f t="shared" si="3"/>
        <v/>
      </c>
      <c r="B103" s="2"/>
      <c r="C103" s="2"/>
      <c r="D103" s="4" t="str">
        <f>IF(C103&lt;&gt;"",IFERROR(VLOOKUP(C103,'Araç Envanteri'!$B$4:$C$203,2,0),"Bulunamadı"),"")</f>
        <v/>
      </c>
      <c r="E103" s="2"/>
      <c r="F103" s="3"/>
      <c r="G103" s="3"/>
      <c r="H103" s="6"/>
      <c r="I103" s="2"/>
      <c r="J103" s="2"/>
      <c r="K103" s="2"/>
    </row>
    <row r="104" spans="1:11" ht="20.100000000000001" customHeight="1" x14ac:dyDescent="0.3">
      <c r="A104" s="21" t="str">
        <f t="shared" si="3"/>
        <v/>
      </c>
      <c r="B104" s="21"/>
      <c r="C104" s="21"/>
      <c r="D104" s="4" t="str">
        <f>IF(C104&lt;&gt;"",IFERROR(VLOOKUP(C104,'Araç Envanteri'!$B$4:$C$203,2,0),"Bulunamadı"),"")</f>
        <v/>
      </c>
      <c r="E104" s="21"/>
      <c r="F104" s="1"/>
      <c r="G104" s="1"/>
      <c r="H104" s="5"/>
      <c r="I104" s="21"/>
      <c r="J104" s="21"/>
      <c r="K104" s="21"/>
    </row>
    <row r="105" spans="1:11" ht="20.100000000000001" customHeight="1" x14ac:dyDescent="0.3">
      <c r="A105" s="2" t="str">
        <f t="shared" si="3"/>
        <v/>
      </c>
      <c r="B105" s="2"/>
      <c r="C105" s="2"/>
      <c r="D105" s="4" t="str">
        <f>IF(C105&lt;&gt;"",IFERROR(VLOOKUP(C105,'Araç Envanteri'!$B$4:$C$203,2,0),"Bulunamadı"),"")</f>
        <v/>
      </c>
      <c r="E105" s="2"/>
      <c r="F105" s="3"/>
      <c r="G105" s="3"/>
      <c r="H105" s="6"/>
      <c r="I105" s="2"/>
      <c r="J105" s="2"/>
      <c r="K105" s="2"/>
    </row>
    <row r="106" spans="1:11" ht="20.100000000000001" customHeight="1" x14ac:dyDescent="0.3">
      <c r="A106" s="21" t="str">
        <f t="shared" si="3"/>
        <v/>
      </c>
      <c r="B106" s="21"/>
      <c r="C106" s="21"/>
      <c r="D106" s="4" t="str">
        <f>IF(C106&lt;&gt;"",IFERROR(VLOOKUP(C106,'Araç Envanteri'!$B$4:$C$203,2,0),"Bulunamadı"),"")</f>
        <v/>
      </c>
      <c r="E106" s="21"/>
      <c r="F106" s="1"/>
      <c r="G106" s="1"/>
      <c r="H106" s="5"/>
      <c r="I106" s="21"/>
      <c r="J106" s="21"/>
      <c r="K106" s="21"/>
    </row>
    <row r="107" spans="1:11" ht="20.100000000000001" customHeight="1" x14ac:dyDescent="0.3">
      <c r="A107" s="2" t="str">
        <f t="shared" si="3"/>
        <v/>
      </c>
      <c r="B107" s="2"/>
      <c r="C107" s="2"/>
      <c r="D107" s="4" t="str">
        <f>IF(C107&lt;&gt;"",IFERROR(VLOOKUP(C107,'Araç Envanteri'!$B$4:$C$203,2,0),"Bulunamadı"),"")</f>
        <v/>
      </c>
      <c r="E107" s="2"/>
      <c r="F107" s="3"/>
      <c r="G107" s="3"/>
      <c r="H107" s="6"/>
      <c r="I107" s="2"/>
      <c r="J107" s="2"/>
      <c r="K107" s="2"/>
    </row>
    <row r="108" spans="1:11" ht="20.100000000000001" customHeight="1" x14ac:dyDescent="0.3">
      <c r="A108" s="21" t="str">
        <f t="shared" si="3"/>
        <v/>
      </c>
      <c r="B108" s="21"/>
      <c r="C108" s="21"/>
      <c r="D108" s="4" t="str">
        <f>IF(C108&lt;&gt;"",IFERROR(VLOOKUP(C108,'Araç Envanteri'!$B$4:$C$203,2,0),"Bulunamadı"),"")</f>
        <v/>
      </c>
      <c r="E108" s="21"/>
      <c r="F108" s="1"/>
      <c r="G108" s="1"/>
      <c r="H108" s="5"/>
      <c r="I108" s="21"/>
      <c r="J108" s="21"/>
      <c r="K108" s="21"/>
    </row>
    <row r="109" spans="1:11" ht="20.100000000000001" customHeight="1" x14ac:dyDescent="0.3">
      <c r="A109" s="2" t="str">
        <f t="shared" si="3"/>
        <v/>
      </c>
      <c r="B109" s="2"/>
      <c r="C109" s="2"/>
      <c r="D109" s="4" t="str">
        <f>IF(C109&lt;&gt;"",IFERROR(VLOOKUP(C109,'Araç Envanteri'!$B$4:$C$203,2,0),"Bulunamadı"),"")</f>
        <v/>
      </c>
      <c r="E109" s="2"/>
      <c r="F109" s="3"/>
      <c r="G109" s="3"/>
      <c r="H109" s="6"/>
      <c r="I109" s="2"/>
      <c r="J109" s="2"/>
      <c r="K109" s="2"/>
    </row>
    <row r="110" spans="1:11" ht="20.100000000000001" customHeight="1" x14ac:dyDescent="0.3">
      <c r="A110" s="21" t="str">
        <f t="shared" si="3"/>
        <v/>
      </c>
      <c r="B110" s="21"/>
      <c r="C110" s="21"/>
      <c r="D110" s="4" t="str">
        <f>IF(C110&lt;&gt;"",IFERROR(VLOOKUP(C110,'Araç Envanteri'!$B$4:$C$203,2,0),"Bulunamadı"),"")</f>
        <v/>
      </c>
      <c r="E110" s="21"/>
      <c r="F110" s="1"/>
      <c r="G110" s="1"/>
      <c r="H110" s="5"/>
      <c r="I110" s="21"/>
      <c r="J110" s="21"/>
      <c r="K110" s="21"/>
    </row>
    <row r="111" spans="1:11" ht="20.100000000000001" customHeight="1" x14ac:dyDescent="0.3">
      <c r="A111" s="2" t="str">
        <f t="shared" si="3"/>
        <v/>
      </c>
      <c r="B111" s="2"/>
      <c r="C111" s="2"/>
      <c r="D111" s="4" t="str">
        <f>IF(C111&lt;&gt;"",IFERROR(VLOOKUP(C111,'Araç Envanteri'!$B$4:$C$203,2,0),"Bulunamadı"),"")</f>
        <v/>
      </c>
      <c r="E111" s="2"/>
      <c r="F111" s="3"/>
      <c r="G111" s="3"/>
      <c r="H111" s="6"/>
      <c r="I111" s="2"/>
      <c r="J111" s="2"/>
      <c r="K111" s="2"/>
    </row>
    <row r="112" spans="1:11" ht="20.100000000000001" customHeight="1" x14ac:dyDescent="0.3">
      <c r="A112" s="21" t="str">
        <f t="shared" si="3"/>
        <v/>
      </c>
      <c r="B112" s="21"/>
      <c r="C112" s="21"/>
      <c r="D112" s="4" t="str">
        <f>IF(C112&lt;&gt;"",IFERROR(VLOOKUP(C112,'Araç Envanteri'!$B$4:$C$203,2,0),"Bulunamadı"),"")</f>
        <v/>
      </c>
      <c r="E112" s="21"/>
      <c r="F112" s="1"/>
      <c r="G112" s="1"/>
      <c r="H112" s="5"/>
      <c r="I112" s="21"/>
      <c r="J112" s="21"/>
      <c r="K112" s="21"/>
    </row>
    <row r="113" spans="1:11" ht="20.100000000000001" customHeight="1" x14ac:dyDescent="0.3">
      <c r="A113" s="2" t="str">
        <f t="shared" si="3"/>
        <v/>
      </c>
      <c r="B113" s="2"/>
      <c r="C113" s="2"/>
      <c r="D113" s="4" t="str">
        <f>IF(C113&lt;&gt;"",IFERROR(VLOOKUP(C113,'Araç Envanteri'!$B$4:$C$203,2,0),"Bulunamadı"),"")</f>
        <v/>
      </c>
      <c r="E113" s="2"/>
      <c r="F113" s="3"/>
      <c r="G113" s="3"/>
      <c r="H113" s="6"/>
      <c r="I113" s="2"/>
      <c r="J113" s="2"/>
      <c r="K113" s="2"/>
    </row>
    <row r="114" spans="1:11" ht="20.100000000000001" customHeight="1" x14ac:dyDescent="0.3">
      <c r="A114" s="21" t="str">
        <f t="shared" si="3"/>
        <v/>
      </c>
      <c r="B114" s="21"/>
      <c r="C114" s="21"/>
      <c r="D114" s="4" t="str">
        <f>IF(C114&lt;&gt;"",IFERROR(VLOOKUP(C114,'Araç Envanteri'!$B$4:$C$203,2,0),"Bulunamadı"),"")</f>
        <v/>
      </c>
      <c r="E114" s="21"/>
      <c r="F114" s="1"/>
      <c r="G114" s="1"/>
      <c r="H114" s="5"/>
      <c r="I114" s="21"/>
      <c r="J114" s="21"/>
      <c r="K114" s="21"/>
    </row>
    <row r="115" spans="1:11" ht="20.100000000000001" customHeight="1" x14ac:dyDescent="0.3">
      <c r="A115" s="2" t="str">
        <f t="shared" si="3"/>
        <v/>
      </c>
      <c r="B115" s="2"/>
      <c r="C115" s="2"/>
      <c r="D115" s="4" t="str">
        <f>IF(C115&lt;&gt;"",IFERROR(VLOOKUP(C115,'Araç Envanteri'!$B$4:$C$203,2,0),"Bulunamadı"),"")</f>
        <v/>
      </c>
      <c r="E115" s="2"/>
      <c r="F115" s="3"/>
      <c r="G115" s="3"/>
      <c r="H115" s="6"/>
      <c r="I115" s="2"/>
      <c r="J115" s="2"/>
      <c r="K115" s="2"/>
    </row>
    <row r="116" spans="1:11" ht="20.100000000000001" customHeight="1" x14ac:dyDescent="0.3">
      <c r="A116" s="21" t="str">
        <f t="shared" si="3"/>
        <v/>
      </c>
      <c r="B116" s="21"/>
      <c r="C116" s="21"/>
      <c r="D116" s="4" t="str">
        <f>IF(C116&lt;&gt;"",IFERROR(VLOOKUP(C116,'Araç Envanteri'!$B$4:$C$203,2,0),"Bulunamadı"),"")</f>
        <v/>
      </c>
      <c r="E116" s="21"/>
      <c r="F116" s="1"/>
      <c r="G116" s="1"/>
      <c r="H116" s="5"/>
      <c r="I116" s="21"/>
      <c r="J116" s="21"/>
      <c r="K116" s="21"/>
    </row>
    <row r="117" spans="1:11" ht="20.100000000000001" customHeight="1" x14ac:dyDescent="0.3">
      <c r="A117" s="2" t="str">
        <f t="shared" si="3"/>
        <v/>
      </c>
      <c r="B117" s="2"/>
      <c r="C117" s="2"/>
      <c r="D117" s="4" t="str">
        <f>IF(C117&lt;&gt;"",IFERROR(VLOOKUP(C117,'Araç Envanteri'!$B$4:$C$203,2,0),"Bulunamadı"),"")</f>
        <v/>
      </c>
      <c r="E117" s="2"/>
      <c r="F117" s="3"/>
      <c r="G117" s="3"/>
      <c r="H117" s="6"/>
      <c r="I117" s="2"/>
      <c r="J117" s="2"/>
      <c r="K117" s="2"/>
    </row>
    <row r="118" spans="1:11" ht="20.100000000000001" customHeight="1" x14ac:dyDescent="0.3">
      <c r="A118" s="21" t="str">
        <f t="shared" si="3"/>
        <v/>
      </c>
      <c r="B118" s="21"/>
      <c r="C118" s="21"/>
      <c r="D118" s="4" t="str">
        <f>IF(C118&lt;&gt;"",IFERROR(VLOOKUP(C118,'Araç Envanteri'!$B$4:$C$203,2,0),"Bulunamadı"),"")</f>
        <v/>
      </c>
      <c r="E118" s="21"/>
      <c r="F118" s="1"/>
      <c r="G118" s="1"/>
      <c r="H118" s="5"/>
      <c r="I118" s="21"/>
      <c r="J118" s="21"/>
      <c r="K118" s="21"/>
    </row>
    <row r="119" spans="1:11" ht="20.100000000000001" customHeight="1" x14ac:dyDescent="0.3">
      <c r="A119" s="2" t="str">
        <f t="shared" si="3"/>
        <v/>
      </c>
      <c r="B119" s="2"/>
      <c r="C119" s="2"/>
      <c r="D119" s="4" t="str">
        <f>IF(C119&lt;&gt;"",IFERROR(VLOOKUP(C119,'Araç Envanteri'!$B$4:$C$203,2,0),"Bulunamadı"),"")</f>
        <v/>
      </c>
      <c r="E119" s="2"/>
      <c r="F119" s="3"/>
      <c r="G119" s="3"/>
      <c r="H119" s="6"/>
      <c r="I119" s="2"/>
      <c r="J119" s="2"/>
      <c r="K119" s="2"/>
    </row>
    <row r="120" spans="1:11" ht="20.100000000000001" customHeight="1" x14ac:dyDescent="0.3">
      <c r="A120" s="21" t="str">
        <f t="shared" si="3"/>
        <v/>
      </c>
      <c r="B120" s="21"/>
      <c r="C120" s="21"/>
      <c r="D120" s="4" t="str">
        <f>IF(C120&lt;&gt;"",IFERROR(VLOOKUP(C120,'Araç Envanteri'!$B$4:$C$203,2,0),"Bulunamadı"),"")</f>
        <v/>
      </c>
      <c r="E120" s="21"/>
      <c r="F120" s="1"/>
      <c r="G120" s="1"/>
      <c r="H120" s="5"/>
      <c r="I120" s="21"/>
      <c r="J120" s="21"/>
      <c r="K120" s="21"/>
    </row>
    <row r="121" spans="1:11" ht="20.100000000000001" customHeight="1" x14ac:dyDescent="0.3">
      <c r="A121" s="2" t="str">
        <f t="shared" si="3"/>
        <v/>
      </c>
      <c r="B121" s="2"/>
      <c r="C121" s="2"/>
      <c r="D121" s="4" t="str">
        <f>IF(C121&lt;&gt;"",IFERROR(VLOOKUP(C121,'Araç Envanteri'!$B$4:$C$203,2,0),"Bulunamadı"),"")</f>
        <v/>
      </c>
      <c r="E121" s="2"/>
      <c r="F121" s="3"/>
      <c r="G121" s="3"/>
      <c r="H121" s="6"/>
      <c r="I121" s="2"/>
      <c r="J121" s="2"/>
      <c r="K121" s="2"/>
    </row>
    <row r="122" spans="1:11" ht="20.100000000000001" customHeight="1" x14ac:dyDescent="0.3">
      <c r="A122" s="21" t="str">
        <f t="shared" si="3"/>
        <v/>
      </c>
      <c r="B122" s="21"/>
      <c r="C122" s="21"/>
      <c r="D122" s="4" t="str">
        <f>IF(C122&lt;&gt;"",IFERROR(VLOOKUP(C122,'Araç Envanteri'!$B$4:$C$203,2,0),"Bulunamadı"),"")</f>
        <v/>
      </c>
      <c r="E122" s="21"/>
      <c r="F122" s="1"/>
      <c r="G122" s="1"/>
      <c r="H122" s="5"/>
      <c r="I122" s="21"/>
      <c r="J122" s="21"/>
      <c r="K122" s="21"/>
    </row>
    <row r="123" spans="1:11" ht="20.100000000000001" customHeight="1" x14ac:dyDescent="0.3">
      <c r="A123" s="2" t="str">
        <f t="shared" si="3"/>
        <v/>
      </c>
      <c r="B123" s="2"/>
      <c r="C123" s="2"/>
      <c r="D123" s="4" t="str">
        <f>IF(C123&lt;&gt;"",IFERROR(VLOOKUP(C123,'Araç Envanteri'!$B$4:$C$203,2,0),"Bulunamadı"),"")</f>
        <v/>
      </c>
      <c r="E123" s="2"/>
      <c r="F123" s="3"/>
      <c r="G123" s="3"/>
      <c r="H123" s="6"/>
      <c r="I123" s="2"/>
      <c r="J123" s="2"/>
      <c r="K123" s="2"/>
    </row>
    <row r="124" spans="1:11" ht="20.100000000000001" customHeight="1" x14ac:dyDescent="0.3">
      <c r="A124" s="21" t="str">
        <f t="shared" si="3"/>
        <v/>
      </c>
      <c r="B124" s="21"/>
      <c r="C124" s="21"/>
      <c r="D124" s="4" t="str">
        <f>IF(C124&lt;&gt;"",IFERROR(VLOOKUP(C124,'Araç Envanteri'!$B$4:$C$203,2,0),"Bulunamadı"),"")</f>
        <v/>
      </c>
      <c r="E124" s="21"/>
      <c r="F124" s="1"/>
      <c r="G124" s="1"/>
      <c r="H124" s="5"/>
      <c r="I124" s="21"/>
      <c r="J124" s="21"/>
      <c r="K124" s="21"/>
    </row>
    <row r="125" spans="1:11" ht="20.100000000000001" customHeight="1" x14ac:dyDescent="0.3">
      <c r="A125" s="2" t="str">
        <f t="shared" si="3"/>
        <v/>
      </c>
      <c r="B125" s="2"/>
      <c r="C125" s="2"/>
      <c r="D125" s="4" t="str">
        <f>IF(C125&lt;&gt;"",IFERROR(VLOOKUP(C125,'Araç Envanteri'!$B$4:$C$203,2,0),"Bulunamadı"),"")</f>
        <v/>
      </c>
      <c r="E125" s="2"/>
      <c r="F125" s="3"/>
      <c r="G125" s="3"/>
      <c r="H125" s="6"/>
      <c r="I125" s="2"/>
      <c r="J125" s="2"/>
      <c r="K125" s="2"/>
    </row>
    <row r="126" spans="1:11" ht="20.100000000000001" customHeight="1" x14ac:dyDescent="0.3">
      <c r="A126" s="21" t="str">
        <f t="shared" si="3"/>
        <v/>
      </c>
      <c r="B126" s="21"/>
      <c r="C126" s="21"/>
      <c r="D126" s="4" t="str">
        <f>IF(C126&lt;&gt;"",IFERROR(VLOOKUP(C126,'Araç Envanteri'!$B$4:$C$203,2,0),"Bulunamadı"),"")</f>
        <v/>
      </c>
      <c r="E126" s="21"/>
      <c r="F126" s="1"/>
      <c r="G126" s="1"/>
      <c r="H126" s="5"/>
      <c r="I126" s="21"/>
      <c r="J126" s="21"/>
      <c r="K126" s="21"/>
    </row>
    <row r="127" spans="1:11" ht="20.100000000000001" customHeight="1" x14ac:dyDescent="0.3">
      <c r="A127" s="2" t="str">
        <f t="shared" si="3"/>
        <v/>
      </c>
      <c r="B127" s="2"/>
      <c r="C127" s="2"/>
      <c r="D127" s="4" t="str">
        <f>IF(C127&lt;&gt;"",IFERROR(VLOOKUP(C127,'Araç Envanteri'!$B$4:$C$203,2,0),"Bulunamadı"),"")</f>
        <v/>
      </c>
      <c r="E127" s="2"/>
      <c r="F127" s="3"/>
      <c r="G127" s="3"/>
      <c r="H127" s="6"/>
      <c r="I127" s="2"/>
      <c r="J127" s="2"/>
      <c r="K127" s="2"/>
    </row>
    <row r="128" spans="1:11" ht="20.100000000000001" customHeight="1" x14ac:dyDescent="0.3">
      <c r="A128" s="21" t="str">
        <f t="shared" si="3"/>
        <v/>
      </c>
      <c r="B128" s="21"/>
      <c r="C128" s="21"/>
      <c r="D128" s="4" t="str">
        <f>IF(C128&lt;&gt;"",IFERROR(VLOOKUP(C128,'Araç Envanteri'!$B$4:$C$203,2,0),"Bulunamadı"),"")</f>
        <v/>
      </c>
      <c r="E128" s="21"/>
      <c r="F128" s="1"/>
      <c r="G128" s="1"/>
      <c r="H128" s="5"/>
      <c r="I128" s="21"/>
      <c r="J128" s="21"/>
      <c r="K128" s="21"/>
    </row>
    <row r="129" spans="1:11" ht="20.100000000000001" customHeight="1" x14ac:dyDescent="0.3">
      <c r="A129" s="2" t="str">
        <f t="shared" si="3"/>
        <v/>
      </c>
      <c r="B129" s="2"/>
      <c r="C129" s="2"/>
      <c r="D129" s="4" t="str">
        <f>IF(C129&lt;&gt;"",IFERROR(VLOOKUP(C129,'Araç Envanteri'!$B$4:$C$203,2,0),"Bulunamadı"),"")</f>
        <v/>
      </c>
      <c r="E129" s="2"/>
      <c r="F129" s="3"/>
      <c r="G129" s="3"/>
      <c r="H129" s="6"/>
      <c r="I129" s="2"/>
      <c r="J129" s="2"/>
      <c r="K129" s="2"/>
    </row>
    <row r="130" spans="1:11" ht="20.100000000000001" customHeight="1" x14ac:dyDescent="0.3">
      <c r="A130" s="21" t="str">
        <f t="shared" si="3"/>
        <v/>
      </c>
      <c r="B130" s="21"/>
      <c r="C130" s="21"/>
      <c r="D130" s="4" t="str">
        <f>IF(C130&lt;&gt;"",IFERROR(VLOOKUP(C130,'Araç Envanteri'!$B$4:$C$203,2,0),"Bulunamadı"),"")</f>
        <v/>
      </c>
      <c r="E130" s="21"/>
      <c r="F130" s="1"/>
      <c r="G130" s="1"/>
      <c r="H130" s="5"/>
      <c r="I130" s="21"/>
      <c r="J130" s="21"/>
      <c r="K130" s="21"/>
    </row>
    <row r="131" spans="1:11" ht="20.100000000000001" customHeight="1" x14ac:dyDescent="0.3">
      <c r="A131" s="2" t="str">
        <f t="shared" si="3"/>
        <v/>
      </c>
      <c r="B131" s="2"/>
      <c r="C131" s="2"/>
      <c r="D131" s="4" t="str">
        <f>IF(C131&lt;&gt;"",IFERROR(VLOOKUP(C131,'Araç Envanteri'!$B$4:$C$203,2,0),"Bulunamadı"),"")</f>
        <v/>
      </c>
      <c r="E131" s="2"/>
      <c r="F131" s="3"/>
      <c r="G131" s="3"/>
      <c r="H131" s="6"/>
      <c r="I131" s="2"/>
      <c r="J131" s="2"/>
      <c r="K131" s="2"/>
    </row>
    <row r="132" spans="1:11" ht="20.100000000000001" customHeight="1" x14ac:dyDescent="0.3">
      <c r="A132" s="21" t="str">
        <f t="shared" ref="A132:A163" si="4">IF(C132&lt;&gt;"",ROW()-3,"")</f>
        <v/>
      </c>
      <c r="B132" s="21"/>
      <c r="C132" s="21"/>
      <c r="D132" s="4" t="str">
        <f>IF(C132&lt;&gt;"",IFERROR(VLOOKUP(C132,'Araç Envanteri'!$B$4:$C$203,2,0),"Bulunamadı"),"")</f>
        <v/>
      </c>
      <c r="E132" s="21"/>
      <c r="F132" s="1"/>
      <c r="G132" s="1"/>
      <c r="H132" s="5"/>
      <c r="I132" s="21"/>
      <c r="J132" s="21"/>
      <c r="K132" s="21"/>
    </row>
    <row r="133" spans="1:11" ht="20.100000000000001" customHeight="1" x14ac:dyDescent="0.3">
      <c r="A133" s="2" t="str">
        <f t="shared" si="4"/>
        <v/>
      </c>
      <c r="B133" s="2"/>
      <c r="C133" s="2"/>
      <c r="D133" s="4" t="str">
        <f>IF(C133&lt;&gt;"",IFERROR(VLOOKUP(C133,'Araç Envanteri'!$B$4:$C$203,2,0),"Bulunamadı"),"")</f>
        <v/>
      </c>
      <c r="E133" s="2"/>
      <c r="F133" s="3"/>
      <c r="G133" s="3"/>
      <c r="H133" s="6"/>
      <c r="I133" s="2"/>
      <c r="J133" s="2"/>
      <c r="K133" s="2"/>
    </row>
    <row r="134" spans="1:11" ht="20.100000000000001" customHeight="1" x14ac:dyDescent="0.3">
      <c r="A134" s="21" t="str">
        <f t="shared" si="4"/>
        <v/>
      </c>
      <c r="B134" s="21"/>
      <c r="C134" s="21"/>
      <c r="D134" s="4" t="str">
        <f>IF(C134&lt;&gt;"",IFERROR(VLOOKUP(C134,'Araç Envanteri'!$B$4:$C$203,2,0),"Bulunamadı"),"")</f>
        <v/>
      </c>
      <c r="E134" s="21"/>
      <c r="F134" s="1"/>
      <c r="G134" s="1"/>
      <c r="H134" s="5"/>
      <c r="I134" s="21"/>
      <c r="J134" s="21"/>
      <c r="K134" s="21"/>
    </row>
    <row r="135" spans="1:11" ht="20.100000000000001" customHeight="1" x14ac:dyDescent="0.3">
      <c r="A135" s="2" t="str">
        <f t="shared" si="4"/>
        <v/>
      </c>
      <c r="B135" s="2"/>
      <c r="C135" s="2"/>
      <c r="D135" s="4" t="str">
        <f>IF(C135&lt;&gt;"",IFERROR(VLOOKUP(C135,'Araç Envanteri'!$B$4:$C$203,2,0),"Bulunamadı"),"")</f>
        <v/>
      </c>
      <c r="E135" s="2"/>
      <c r="F135" s="3"/>
      <c r="G135" s="3"/>
      <c r="H135" s="6"/>
      <c r="I135" s="2"/>
      <c r="J135" s="2"/>
      <c r="K135" s="2"/>
    </row>
    <row r="136" spans="1:11" ht="20.100000000000001" customHeight="1" x14ac:dyDescent="0.3">
      <c r="A136" s="21" t="str">
        <f t="shared" si="4"/>
        <v/>
      </c>
      <c r="B136" s="21"/>
      <c r="C136" s="21"/>
      <c r="D136" s="4" t="str">
        <f>IF(C136&lt;&gt;"",IFERROR(VLOOKUP(C136,'Araç Envanteri'!$B$4:$C$203,2,0),"Bulunamadı"),"")</f>
        <v/>
      </c>
      <c r="E136" s="21"/>
      <c r="F136" s="1"/>
      <c r="G136" s="1"/>
      <c r="H136" s="5"/>
      <c r="I136" s="21"/>
      <c r="J136" s="21"/>
      <c r="K136" s="21"/>
    </row>
    <row r="137" spans="1:11" ht="20.100000000000001" customHeight="1" x14ac:dyDescent="0.3">
      <c r="A137" s="2" t="str">
        <f t="shared" si="4"/>
        <v/>
      </c>
      <c r="B137" s="2"/>
      <c r="C137" s="2"/>
      <c r="D137" s="4" t="str">
        <f>IF(C137&lt;&gt;"",IFERROR(VLOOKUP(C137,'Araç Envanteri'!$B$4:$C$203,2,0),"Bulunamadı"),"")</f>
        <v/>
      </c>
      <c r="E137" s="2"/>
      <c r="F137" s="3"/>
      <c r="G137" s="3"/>
      <c r="H137" s="6"/>
      <c r="I137" s="2"/>
      <c r="J137" s="2"/>
      <c r="K137" s="2"/>
    </row>
    <row r="138" spans="1:11" ht="20.100000000000001" customHeight="1" x14ac:dyDescent="0.3">
      <c r="A138" s="21" t="str">
        <f t="shared" si="4"/>
        <v/>
      </c>
      <c r="B138" s="21"/>
      <c r="C138" s="21"/>
      <c r="D138" s="4" t="str">
        <f>IF(C138&lt;&gt;"",IFERROR(VLOOKUP(C138,'Araç Envanteri'!$B$4:$C$203,2,0),"Bulunamadı"),"")</f>
        <v/>
      </c>
      <c r="E138" s="21"/>
      <c r="F138" s="1"/>
      <c r="G138" s="1"/>
      <c r="H138" s="5"/>
      <c r="I138" s="21"/>
      <c r="J138" s="21"/>
      <c r="K138" s="21"/>
    </row>
    <row r="139" spans="1:11" ht="20.100000000000001" customHeight="1" x14ac:dyDescent="0.3">
      <c r="A139" s="2" t="str">
        <f t="shared" si="4"/>
        <v/>
      </c>
      <c r="B139" s="2"/>
      <c r="C139" s="2"/>
      <c r="D139" s="4" t="str">
        <f>IF(C139&lt;&gt;"",IFERROR(VLOOKUP(C139,'Araç Envanteri'!$B$4:$C$203,2,0),"Bulunamadı"),"")</f>
        <v/>
      </c>
      <c r="E139" s="2"/>
      <c r="F139" s="3"/>
      <c r="G139" s="3"/>
      <c r="H139" s="6"/>
      <c r="I139" s="2"/>
      <c r="J139" s="2"/>
      <c r="K139" s="2"/>
    </row>
    <row r="140" spans="1:11" ht="20.100000000000001" customHeight="1" x14ac:dyDescent="0.3">
      <c r="A140" s="21" t="str">
        <f t="shared" si="4"/>
        <v/>
      </c>
      <c r="B140" s="21"/>
      <c r="C140" s="21"/>
      <c r="D140" s="4" t="str">
        <f>IF(C140&lt;&gt;"",IFERROR(VLOOKUP(C140,'Araç Envanteri'!$B$4:$C$203,2,0),"Bulunamadı"),"")</f>
        <v/>
      </c>
      <c r="E140" s="21"/>
      <c r="F140" s="1"/>
      <c r="G140" s="1"/>
      <c r="H140" s="5"/>
      <c r="I140" s="21"/>
      <c r="J140" s="21"/>
      <c r="K140" s="21"/>
    </row>
    <row r="141" spans="1:11" ht="20.100000000000001" customHeight="1" x14ac:dyDescent="0.3">
      <c r="A141" s="2" t="str">
        <f t="shared" si="4"/>
        <v/>
      </c>
      <c r="B141" s="2"/>
      <c r="C141" s="2"/>
      <c r="D141" s="4" t="str">
        <f>IF(C141&lt;&gt;"",IFERROR(VLOOKUP(C141,'Araç Envanteri'!$B$4:$C$203,2,0),"Bulunamadı"),"")</f>
        <v/>
      </c>
      <c r="E141" s="2"/>
      <c r="F141" s="3"/>
      <c r="G141" s="3"/>
      <c r="H141" s="6"/>
      <c r="I141" s="2"/>
      <c r="J141" s="2"/>
      <c r="K141" s="2"/>
    </row>
    <row r="142" spans="1:11" ht="20.100000000000001" customHeight="1" x14ac:dyDescent="0.3">
      <c r="A142" s="21" t="str">
        <f t="shared" si="4"/>
        <v/>
      </c>
      <c r="B142" s="21"/>
      <c r="C142" s="21"/>
      <c r="D142" s="4" t="str">
        <f>IF(C142&lt;&gt;"",IFERROR(VLOOKUP(C142,'Araç Envanteri'!$B$4:$C$203,2,0),"Bulunamadı"),"")</f>
        <v/>
      </c>
      <c r="E142" s="21"/>
      <c r="F142" s="1"/>
      <c r="G142" s="1"/>
      <c r="H142" s="5"/>
      <c r="I142" s="21"/>
      <c r="J142" s="21"/>
      <c r="K142" s="21"/>
    </row>
    <row r="143" spans="1:11" ht="20.100000000000001" customHeight="1" x14ac:dyDescent="0.3">
      <c r="A143" s="2" t="str">
        <f t="shared" si="4"/>
        <v/>
      </c>
      <c r="B143" s="2"/>
      <c r="C143" s="2"/>
      <c r="D143" s="4" t="str">
        <f>IF(C143&lt;&gt;"",IFERROR(VLOOKUP(C143,'Araç Envanteri'!$B$4:$C$203,2,0),"Bulunamadı"),"")</f>
        <v/>
      </c>
      <c r="E143" s="2"/>
      <c r="F143" s="3"/>
      <c r="G143" s="3"/>
      <c r="H143" s="6"/>
      <c r="I143" s="2"/>
      <c r="J143" s="2"/>
      <c r="K143" s="2"/>
    </row>
    <row r="144" spans="1:11" ht="20.100000000000001" customHeight="1" x14ac:dyDescent="0.3">
      <c r="A144" s="21" t="str">
        <f t="shared" si="4"/>
        <v/>
      </c>
      <c r="B144" s="21"/>
      <c r="C144" s="21"/>
      <c r="D144" s="4" t="str">
        <f>IF(C144&lt;&gt;"",IFERROR(VLOOKUP(C144,'Araç Envanteri'!$B$4:$C$203,2,0),"Bulunamadı"),"")</f>
        <v/>
      </c>
      <c r="E144" s="21"/>
      <c r="F144" s="1"/>
      <c r="G144" s="1"/>
      <c r="H144" s="5"/>
      <c r="I144" s="21"/>
      <c r="J144" s="21"/>
      <c r="K144" s="21"/>
    </row>
    <row r="145" spans="1:11" ht="20.100000000000001" customHeight="1" x14ac:dyDescent="0.3">
      <c r="A145" s="2" t="str">
        <f t="shared" si="4"/>
        <v/>
      </c>
      <c r="B145" s="2"/>
      <c r="C145" s="2"/>
      <c r="D145" s="4" t="str">
        <f>IF(C145&lt;&gt;"",IFERROR(VLOOKUP(C145,'Araç Envanteri'!$B$4:$C$203,2,0),"Bulunamadı"),"")</f>
        <v/>
      </c>
      <c r="E145" s="2"/>
      <c r="F145" s="3"/>
      <c r="G145" s="3"/>
      <c r="H145" s="6"/>
      <c r="I145" s="2"/>
      <c r="J145" s="2"/>
      <c r="K145" s="2"/>
    </row>
    <row r="146" spans="1:11" ht="20.100000000000001" customHeight="1" x14ac:dyDescent="0.3">
      <c r="A146" s="21" t="str">
        <f t="shared" si="4"/>
        <v/>
      </c>
      <c r="B146" s="21"/>
      <c r="C146" s="21"/>
      <c r="D146" s="4" t="str">
        <f>IF(C146&lt;&gt;"",IFERROR(VLOOKUP(C146,'Araç Envanteri'!$B$4:$C$203,2,0),"Bulunamadı"),"")</f>
        <v/>
      </c>
      <c r="E146" s="21"/>
      <c r="F146" s="1"/>
      <c r="G146" s="1"/>
      <c r="H146" s="5"/>
      <c r="I146" s="21"/>
      <c r="J146" s="21"/>
      <c r="K146" s="21"/>
    </row>
    <row r="147" spans="1:11" ht="20.100000000000001" customHeight="1" x14ac:dyDescent="0.3">
      <c r="A147" s="2" t="str">
        <f t="shared" si="4"/>
        <v/>
      </c>
      <c r="B147" s="2"/>
      <c r="C147" s="2"/>
      <c r="D147" s="4" t="str">
        <f>IF(C147&lt;&gt;"",IFERROR(VLOOKUP(C147,'Araç Envanteri'!$B$4:$C$203,2,0),"Bulunamadı"),"")</f>
        <v/>
      </c>
      <c r="E147" s="2"/>
      <c r="F147" s="3"/>
      <c r="G147" s="3"/>
      <c r="H147" s="6"/>
      <c r="I147" s="2"/>
      <c r="J147" s="2"/>
      <c r="K147" s="2"/>
    </row>
    <row r="148" spans="1:11" ht="20.100000000000001" customHeight="1" x14ac:dyDescent="0.3">
      <c r="A148" s="21" t="str">
        <f t="shared" si="4"/>
        <v/>
      </c>
      <c r="B148" s="21"/>
      <c r="C148" s="21"/>
      <c r="D148" s="4" t="str">
        <f>IF(C148&lt;&gt;"",IFERROR(VLOOKUP(C148,'Araç Envanteri'!$B$4:$C$203,2,0),"Bulunamadı"),"")</f>
        <v/>
      </c>
      <c r="E148" s="21"/>
      <c r="F148" s="1"/>
      <c r="G148" s="1"/>
      <c r="H148" s="5"/>
      <c r="I148" s="21"/>
      <c r="J148" s="21"/>
      <c r="K148" s="21"/>
    </row>
    <row r="149" spans="1:11" ht="20.100000000000001" customHeight="1" x14ac:dyDescent="0.3">
      <c r="A149" s="2" t="str">
        <f t="shared" si="4"/>
        <v/>
      </c>
      <c r="B149" s="2"/>
      <c r="C149" s="2"/>
      <c r="D149" s="4" t="str">
        <f>IF(C149&lt;&gt;"",IFERROR(VLOOKUP(C149,'Araç Envanteri'!$B$4:$C$203,2,0),"Bulunamadı"),"")</f>
        <v/>
      </c>
      <c r="E149" s="2"/>
      <c r="F149" s="3"/>
      <c r="G149" s="3"/>
      <c r="H149" s="6"/>
      <c r="I149" s="2"/>
      <c r="J149" s="2"/>
      <c r="K149" s="2"/>
    </row>
    <row r="150" spans="1:11" ht="20.100000000000001" customHeight="1" x14ac:dyDescent="0.3">
      <c r="A150" s="21" t="str">
        <f t="shared" si="4"/>
        <v/>
      </c>
      <c r="B150" s="21"/>
      <c r="C150" s="21"/>
      <c r="D150" s="4" t="str">
        <f>IF(C150&lt;&gt;"",IFERROR(VLOOKUP(C150,'Araç Envanteri'!$B$4:$C$203,2,0),"Bulunamadı"),"")</f>
        <v/>
      </c>
      <c r="E150" s="21"/>
      <c r="F150" s="1"/>
      <c r="G150" s="1"/>
      <c r="H150" s="5"/>
      <c r="I150" s="21"/>
      <c r="J150" s="21"/>
      <c r="K150" s="21"/>
    </row>
    <row r="151" spans="1:11" ht="20.100000000000001" customHeight="1" x14ac:dyDescent="0.3">
      <c r="A151" s="2" t="str">
        <f t="shared" si="4"/>
        <v/>
      </c>
      <c r="B151" s="2"/>
      <c r="C151" s="2"/>
      <c r="D151" s="4" t="str">
        <f>IF(C151&lt;&gt;"",IFERROR(VLOOKUP(C151,'Araç Envanteri'!$B$4:$C$203,2,0),"Bulunamadı"),"")</f>
        <v/>
      </c>
      <c r="E151" s="2"/>
      <c r="F151" s="3"/>
      <c r="G151" s="3"/>
      <c r="H151" s="6"/>
      <c r="I151" s="2"/>
      <c r="J151" s="2"/>
      <c r="K151" s="2"/>
    </row>
    <row r="152" spans="1:11" ht="20.100000000000001" customHeight="1" x14ac:dyDescent="0.3">
      <c r="A152" s="21" t="str">
        <f t="shared" si="4"/>
        <v/>
      </c>
      <c r="B152" s="21"/>
      <c r="C152" s="21"/>
      <c r="D152" s="4" t="str">
        <f>IF(C152&lt;&gt;"",IFERROR(VLOOKUP(C152,'Araç Envanteri'!$B$4:$C$203,2,0),"Bulunamadı"),"")</f>
        <v/>
      </c>
      <c r="E152" s="21"/>
      <c r="F152" s="1"/>
      <c r="G152" s="1"/>
      <c r="H152" s="5"/>
      <c r="I152" s="21"/>
      <c r="J152" s="21"/>
      <c r="K152" s="21"/>
    </row>
    <row r="153" spans="1:11" ht="20.100000000000001" customHeight="1" x14ac:dyDescent="0.3">
      <c r="A153" s="2" t="str">
        <f t="shared" si="4"/>
        <v/>
      </c>
      <c r="B153" s="2"/>
      <c r="C153" s="2"/>
      <c r="D153" s="4" t="str">
        <f>IF(C153&lt;&gt;"",IFERROR(VLOOKUP(C153,'Araç Envanteri'!$B$4:$C$203,2,0),"Bulunamadı"),"")</f>
        <v/>
      </c>
      <c r="E153" s="2"/>
      <c r="F153" s="3"/>
      <c r="G153" s="3"/>
      <c r="H153" s="6"/>
      <c r="I153" s="2"/>
      <c r="J153" s="2"/>
      <c r="K153" s="2"/>
    </row>
    <row r="154" spans="1:11" ht="20.100000000000001" customHeight="1" x14ac:dyDescent="0.3">
      <c r="A154" s="21" t="str">
        <f t="shared" si="4"/>
        <v/>
      </c>
      <c r="B154" s="21"/>
      <c r="C154" s="21"/>
      <c r="D154" s="4" t="str">
        <f>IF(C154&lt;&gt;"",IFERROR(VLOOKUP(C154,'Araç Envanteri'!$B$4:$C$203,2,0),"Bulunamadı"),"")</f>
        <v/>
      </c>
      <c r="E154" s="21"/>
      <c r="F154" s="1"/>
      <c r="G154" s="1"/>
      <c r="H154" s="5"/>
      <c r="I154" s="21"/>
      <c r="J154" s="21"/>
      <c r="K154" s="21"/>
    </row>
    <row r="155" spans="1:11" ht="20.100000000000001" customHeight="1" x14ac:dyDescent="0.3">
      <c r="A155" s="2" t="str">
        <f t="shared" si="4"/>
        <v/>
      </c>
      <c r="B155" s="2"/>
      <c r="C155" s="2"/>
      <c r="D155" s="4" t="str">
        <f>IF(C155&lt;&gt;"",IFERROR(VLOOKUP(C155,'Araç Envanteri'!$B$4:$C$203,2,0),"Bulunamadı"),"")</f>
        <v/>
      </c>
      <c r="E155" s="2"/>
      <c r="F155" s="3"/>
      <c r="G155" s="3"/>
      <c r="H155" s="6"/>
      <c r="I155" s="2"/>
      <c r="J155" s="2"/>
      <c r="K155" s="2"/>
    </row>
    <row r="156" spans="1:11" ht="20.100000000000001" customHeight="1" x14ac:dyDescent="0.3">
      <c r="A156" s="21" t="str">
        <f t="shared" si="4"/>
        <v/>
      </c>
      <c r="B156" s="21"/>
      <c r="C156" s="21"/>
      <c r="D156" s="4" t="str">
        <f>IF(C156&lt;&gt;"",IFERROR(VLOOKUP(C156,'Araç Envanteri'!$B$4:$C$203,2,0),"Bulunamadı"),"")</f>
        <v/>
      </c>
      <c r="E156" s="21"/>
      <c r="F156" s="1"/>
      <c r="G156" s="1"/>
      <c r="H156" s="5"/>
      <c r="I156" s="21"/>
      <c r="J156" s="21"/>
      <c r="K156" s="21"/>
    </row>
    <row r="157" spans="1:11" ht="20.100000000000001" customHeight="1" x14ac:dyDescent="0.3">
      <c r="A157" s="2" t="str">
        <f t="shared" si="4"/>
        <v/>
      </c>
      <c r="B157" s="2"/>
      <c r="C157" s="2"/>
      <c r="D157" s="4" t="str">
        <f>IF(C157&lt;&gt;"",IFERROR(VLOOKUP(C157,'Araç Envanteri'!$B$4:$C$203,2,0),"Bulunamadı"),"")</f>
        <v/>
      </c>
      <c r="E157" s="2"/>
      <c r="F157" s="3"/>
      <c r="G157" s="3"/>
      <c r="H157" s="6"/>
      <c r="I157" s="2"/>
      <c r="J157" s="2"/>
      <c r="K157" s="2"/>
    </row>
    <row r="158" spans="1:11" ht="20.100000000000001" customHeight="1" x14ac:dyDescent="0.3">
      <c r="A158" s="21" t="str">
        <f t="shared" si="4"/>
        <v/>
      </c>
      <c r="B158" s="21"/>
      <c r="C158" s="21"/>
      <c r="D158" s="4" t="str">
        <f>IF(C158&lt;&gt;"",IFERROR(VLOOKUP(C158,'Araç Envanteri'!$B$4:$C$203,2,0),"Bulunamadı"),"")</f>
        <v/>
      </c>
      <c r="E158" s="21"/>
      <c r="F158" s="1"/>
      <c r="G158" s="1"/>
      <c r="H158" s="5"/>
      <c r="I158" s="21"/>
      <c r="J158" s="21"/>
      <c r="K158" s="21"/>
    </row>
    <row r="159" spans="1:11" ht="20.100000000000001" customHeight="1" x14ac:dyDescent="0.3">
      <c r="A159" s="2" t="str">
        <f t="shared" si="4"/>
        <v/>
      </c>
      <c r="B159" s="2"/>
      <c r="C159" s="2"/>
      <c r="D159" s="4" t="str">
        <f>IF(C159&lt;&gt;"",IFERROR(VLOOKUP(C159,'Araç Envanteri'!$B$4:$C$203,2,0),"Bulunamadı"),"")</f>
        <v/>
      </c>
      <c r="E159" s="2"/>
      <c r="F159" s="3"/>
      <c r="G159" s="3"/>
      <c r="H159" s="6"/>
      <c r="I159" s="2"/>
      <c r="J159" s="2"/>
      <c r="K159" s="2"/>
    </row>
    <row r="160" spans="1:11" ht="20.100000000000001" customHeight="1" x14ac:dyDescent="0.3">
      <c r="A160" s="21" t="str">
        <f t="shared" si="4"/>
        <v/>
      </c>
      <c r="B160" s="21"/>
      <c r="C160" s="21"/>
      <c r="D160" s="4" t="str">
        <f>IF(C160&lt;&gt;"",IFERROR(VLOOKUP(C160,'Araç Envanteri'!$B$4:$C$203,2,0),"Bulunamadı"),"")</f>
        <v/>
      </c>
      <c r="E160" s="21"/>
      <c r="F160" s="1"/>
      <c r="G160" s="1"/>
      <c r="H160" s="5"/>
      <c r="I160" s="21"/>
      <c r="J160" s="21"/>
      <c r="K160" s="21"/>
    </row>
    <row r="161" spans="1:11" ht="20.100000000000001" customHeight="1" x14ac:dyDescent="0.3">
      <c r="A161" s="2" t="str">
        <f t="shared" si="4"/>
        <v/>
      </c>
      <c r="B161" s="2"/>
      <c r="C161" s="2"/>
      <c r="D161" s="4" t="str">
        <f>IF(C161&lt;&gt;"",IFERROR(VLOOKUP(C161,'Araç Envanteri'!$B$4:$C$203,2,0),"Bulunamadı"),"")</f>
        <v/>
      </c>
      <c r="E161" s="2"/>
      <c r="F161" s="3"/>
      <c r="G161" s="3"/>
      <c r="H161" s="6"/>
      <c r="I161" s="2"/>
      <c r="J161" s="2"/>
      <c r="K161" s="2"/>
    </row>
    <row r="162" spans="1:11" ht="20.100000000000001" customHeight="1" x14ac:dyDescent="0.3">
      <c r="A162" s="21" t="str">
        <f t="shared" si="4"/>
        <v/>
      </c>
      <c r="B162" s="21"/>
      <c r="C162" s="21"/>
      <c r="D162" s="4" t="str">
        <f>IF(C162&lt;&gt;"",IFERROR(VLOOKUP(C162,'Araç Envanteri'!$B$4:$C$203,2,0),"Bulunamadı"),"")</f>
        <v/>
      </c>
      <c r="E162" s="21"/>
      <c r="F162" s="1"/>
      <c r="G162" s="1"/>
      <c r="H162" s="5"/>
      <c r="I162" s="21"/>
      <c r="J162" s="21"/>
      <c r="K162" s="21"/>
    </row>
    <row r="163" spans="1:11" ht="20.100000000000001" customHeight="1" x14ac:dyDescent="0.3">
      <c r="A163" s="2" t="str">
        <f t="shared" si="4"/>
        <v/>
      </c>
      <c r="B163" s="2"/>
      <c r="C163" s="2"/>
      <c r="D163" s="4" t="str">
        <f>IF(C163&lt;&gt;"",IFERROR(VLOOKUP(C163,'Araç Envanteri'!$B$4:$C$203,2,0),"Bulunamadı"),"")</f>
        <v/>
      </c>
      <c r="E163" s="2"/>
      <c r="F163" s="3"/>
      <c r="G163" s="3"/>
      <c r="H163" s="6"/>
      <c r="I163" s="2"/>
      <c r="J163" s="2"/>
      <c r="K163" s="2"/>
    </row>
    <row r="164" spans="1:11" ht="20.100000000000001" customHeight="1" x14ac:dyDescent="0.3">
      <c r="A164" s="21" t="str">
        <f t="shared" ref="A164:A195" si="5">IF(C164&lt;&gt;"",ROW()-3,"")</f>
        <v/>
      </c>
      <c r="B164" s="21"/>
      <c r="C164" s="21"/>
      <c r="D164" s="4" t="str">
        <f>IF(C164&lt;&gt;"",IFERROR(VLOOKUP(C164,'Araç Envanteri'!$B$4:$C$203,2,0),"Bulunamadı"),"")</f>
        <v/>
      </c>
      <c r="E164" s="21"/>
      <c r="F164" s="1"/>
      <c r="G164" s="1"/>
      <c r="H164" s="5"/>
      <c r="I164" s="21"/>
      <c r="J164" s="21"/>
      <c r="K164" s="21"/>
    </row>
    <row r="165" spans="1:11" ht="20.100000000000001" customHeight="1" x14ac:dyDescent="0.3">
      <c r="A165" s="2" t="str">
        <f t="shared" si="5"/>
        <v/>
      </c>
      <c r="B165" s="2"/>
      <c r="C165" s="2"/>
      <c r="D165" s="4" t="str">
        <f>IF(C165&lt;&gt;"",IFERROR(VLOOKUP(C165,'Araç Envanteri'!$B$4:$C$203,2,0),"Bulunamadı"),"")</f>
        <v/>
      </c>
      <c r="E165" s="2"/>
      <c r="F165" s="3"/>
      <c r="G165" s="3"/>
      <c r="H165" s="6"/>
      <c r="I165" s="2"/>
      <c r="J165" s="2"/>
      <c r="K165" s="2"/>
    </row>
    <row r="166" spans="1:11" ht="20.100000000000001" customHeight="1" x14ac:dyDescent="0.3">
      <c r="A166" s="21" t="str">
        <f t="shared" si="5"/>
        <v/>
      </c>
      <c r="B166" s="21"/>
      <c r="C166" s="21"/>
      <c r="D166" s="4" t="str">
        <f>IF(C166&lt;&gt;"",IFERROR(VLOOKUP(C166,'Araç Envanteri'!$B$4:$C$203,2,0),"Bulunamadı"),"")</f>
        <v/>
      </c>
      <c r="E166" s="21"/>
      <c r="F166" s="1"/>
      <c r="G166" s="1"/>
      <c r="H166" s="5"/>
      <c r="I166" s="21"/>
      <c r="J166" s="21"/>
      <c r="K166" s="21"/>
    </row>
    <row r="167" spans="1:11" ht="20.100000000000001" customHeight="1" x14ac:dyDescent="0.3">
      <c r="A167" s="2" t="str">
        <f t="shared" si="5"/>
        <v/>
      </c>
      <c r="B167" s="2"/>
      <c r="C167" s="2"/>
      <c r="D167" s="4" t="str">
        <f>IF(C167&lt;&gt;"",IFERROR(VLOOKUP(C167,'Araç Envanteri'!$B$4:$C$203,2,0),"Bulunamadı"),"")</f>
        <v/>
      </c>
      <c r="E167" s="2"/>
      <c r="F167" s="3"/>
      <c r="G167" s="3"/>
      <c r="H167" s="6"/>
      <c r="I167" s="2"/>
      <c r="J167" s="2"/>
      <c r="K167" s="2"/>
    </row>
    <row r="168" spans="1:11" ht="20.100000000000001" customHeight="1" x14ac:dyDescent="0.3">
      <c r="A168" s="21" t="str">
        <f t="shared" si="5"/>
        <v/>
      </c>
      <c r="B168" s="21"/>
      <c r="C168" s="21"/>
      <c r="D168" s="4" t="str">
        <f>IF(C168&lt;&gt;"",IFERROR(VLOOKUP(C168,'Araç Envanteri'!$B$4:$C$203,2,0),"Bulunamadı"),"")</f>
        <v/>
      </c>
      <c r="E168" s="21"/>
      <c r="F168" s="1"/>
      <c r="G168" s="1"/>
      <c r="H168" s="5"/>
      <c r="I168" s="21"/>
      <c r="J168" s="21"/>
      <c r="K168" s="21"/>
    </row>
    <row r="169" spans="1:11" ht="20.100000000000001" customHeight="1" x14ac:dyDescent="0.3">
      <c r="A169" s="2" t="str">
        <f t="shared" si="5"/>
        <v/>
      </c>
      <c r="B169" s="2"/>
      <c r="C169" s="2"/>
      <c r="D169" s="4" t="str">
        <f>IF(C169&lt;&gt;"",IFERROR(VLOOKUP(C169,'Araç Envanteri'!$B$4:$C$203,2,0),"Bulunamadı"),"")</f>
        <v/>
      </c>
      <c r="E169" s="2"/>
      <c r="F169" s="3"/>
      <c r="G169" s="3"/>
      <c r="H169" s="6"/>
      <c r="I169" s="2"/>
      <c r="J169" s="2"/>
      <c r="K169" s="2"/>
    </row>
    <row r="170" spans="1:11" ht="20.100000000000001" customHeight="1" x14ac:dyDescent="0.3">
      <c r="A170" s="21" t="str">
        <f t="shared" si="5"/>
        <v/>
      </c>
      <c r="B170" s="21"/>
      <c r="C170" s="21"/>
      <c r="D170" s="4" t="str">
        <f>IF(C170&lt;&gt;"",IFERROR(VLOOKUP(C170,'Araç Envanteri'!$B$4:$C$203,2,0),"Bulunamadı"),"")</f>
        <v/>
      </c>
      <c r="E170" s="21"/>
      <c r="F170" s="1"/>
      <c r="G170" s="1"/>
      <c r="H170" s="5"/>
      <c r="I170" s="21"/>
      <c r="J170" s="21"/>
      <c r="K170" s="21"/>
    </row>
    <row r="171" spans="1:11" ht="20.100000000000001" customHeight="1" x14ac:dyDescent="0.3">
      <c r="A171" s="2" t="str">
        <f t="shared" si="5"/>
        <v/>
      </c>
      <c r="B171" s="2"/>
      <c r="C171" s="2"/>
      <c r="D171" s="4" t="str">
        <f>IF(C171&lt;&gt;"",IFERROR(VLOOKUP(C171,'Araç Envanteri'!$B$4:$C$203,2,0),"Bulunamadı"),"")</f>
        <v/>
      </c>
      <c r="E171" s="2"/>
      <c r="F171" s="3"/>
      <c r="G171" s="3"/>
      <c r="H171" s="6"/>
      <c r="I171" s="2"/>
      <c r="J171" s="2"/>
      <c r="K171" s="2"/>
    </row>
    <row r="172" spans="1:11" ht="20.100000000000001" customHeight="1" x14ac:dyDescent="0.3">
      <c r="A172" s="21" t="str">
        <f t="shared" si="5"/>
        <v/>
      </c>
      <c r="B172" s="21"/>
      <c r="C172" s="21"/>
      <c r="D172" s="4" t="str">
        <f>IF(C172&lt;&gt;"",IFERROR(VLOOKUP(C172,'Araç Envanteri'!$B$4:$C$203,2,0),"Bulunamadı"),"")</f>
        <v/>
      </c>
      <c r="E172" s="21"/>
      <c r="F172" s="1"/>
      <c r="G172" s="1"/>
      <c r="H172" s="5"/>
      <c r="I172" s="21"/>
      <c r="J172" s="21"/>
      <c r="K172" s="21"/>
    </row>
    <row r="173" spans="1:11" ht="20.100000000000001" customHeight="1" x14ac:dyDescent="0.3">
      <c r="A173" s="2" t="str">
        <f t="shared" si="5"/>
        <v/>
      </c>
      <c r="B173" s="2"/>
      <c r="C173" s="2"/>
      <c r="D173" s="4" t="str">
        <f>IF(C173&lt;&gt;"",IFERROR(VLOOKUP(C173,'Araç Envanteri'!$B$4:$C$203,2,0),"Bulunamadı"),"")</f>
        <v/>
      </c>
      <c r="E173" s="2"/>
      <c r="F173" s="3"/>
      <c r="G173" s="3"/>
      <c r="H173" s="6"/>
      <c r="I173" s="2"/>
      <c r="J173" s="2"/>
      <c r="K173" s="2"/>
    </row>
    <row r="174" spans="1:11" ht="20.100000000000001" customHeight="1" x14ac:dyDescent="0.3">
      <c r="A174" s="21" t="str">
        <f t="shared" si="5"/>
        <v/>
      </c>
      <c r="B174" s="21"/>
      <c r="C174" s="21"/>
      <c r="D174" s="4" t="str">
        <f>IF(C174&lt;&gt;"",IFERROR(VLOOKUP(C174,'Araç Envanteri'!$B$4:$C$203,2,0),"Bulunamadı"),"")</f>
        <v/>
      </c>
      <c r="E174" s="21"/>
      <c r="F174" s="1"/>
      <c r="G174" s="1"/>
      <c r="H174" s="5"/>
      <c r="I174" s="21"/>
      <c r="J174" s="21"/>
      <c r="K174" s="21"/>
    </row>
    <row r="175" spans="1:11" ht="20.100000000000001" customHeight="1" x14ac:dyDescent="0.3">
      <c r="A175" s="2" t="str">
        <f t="shared" si="5"/>
        <v/>
      </c>
      <c r="B175" s="2"/>
      <c r="C175" s="2"/>
      <c r="D175" s="4" t="str">
        <f>IF(C175&lt;&gt;"",IFERROR(VLOOKUP(C175,'Araç Envanteri'!$B$4:$C$203,2,0),"Bulunamadı"),"")</f>
        <v/>
      </c>
      <c r="E175" s="2"/>
      <c r="F175" s="3"/>
      <c r="G175" s="3"/>
      <c r="H175" s="6"/>
      <c r="I175" s="2"/>
      <c r="J175" s="2"/>
      <c r="K175" s="2"/>
    </row>
    <row r="176" spans="1:11" ht="20.100000000000001" customHeight="1" x14ac:dyDescent="0.3">
      <c r="A176" s="21" t="str">
        <f t="shared" si="5"/>
        <v/>
      </c>
      <c r="B176" s="21"/>
      <c r="C176" s="21"/>
      <c r="D176" s="4" t="str">
        <f>IF(C176&lt;&gt;"",IFERROR(VLOOKUP(C176,'Araç Envanteri'!$B$4:$C$203,2,0),"Bulunamadı"),"")</f>
        <v/>
      </c>
      <c r="E176" s="21"/>
      <c r="F176" s="1"/>
      <c r="G176" s="1"/>
      <c r="H176" s="5"/>
      <c r="I176" s="21"/>
      <c r="J176" s="21"/>
      <c r="K176" s="21"/>
    </row>
    <row r="177" spans="1:11" ht="20.100000000000001" customHeight="1" x14ac:dyDescent="0.3">
      <c r="A177" s="2" t="str">
        <f t="shared" si="5"/>
        <v/>
      </c>
      <c r="B177" s="2"/>
      <c r="C177" s="2"/>
      <c r="D177" s="4" t="str">
        <f>IF(C177&lt;&gt;"",IFERROR(VLOOKUP(C177,'Araç Envanteri'!$B$4:$C$203,2,0),"Bulunamadı"),"")</f>
        <v/>
      </c>
      <c r="E177" s="2"/>
      <c r="F177" s="3"/>
      <c r="G177" s="3"/>
      <c r="H177" s="6"/>
      <c r="I177" s="2"/>
      <c r="J177" s="2"/>
      <c r="K177" s="2"/>
    </row>
    <row r="178" spans="1:11" ht="20.100000000000001" customHeight="1" x14ac:dyDescent="0.3">
      <c r="A178" s="21" t="str">
        <f t="shared" si="5"/>
        <v/>
      </c>
      <c r="B178" s="21"/>
      <c r="C178" s="21"/>
      <c r="D178" s="4" t="str">
        <f>IF(C178&lt;&gt;"",IFERROR(VLOOKUP(C178,'Araç Envanteri'!$B$4:$C$203,2,0),"Bulunamadı"),"")</f>
        <v/>
      </c>
      <c r="E178" s="21"/>
      <c r="F178" s="1"/>
      <c r="G178" s="1"/>
      <c r="H178" s="5"/>
      <c r="I178" s="21"/>
      <c r="J178" s="21"/>
      <c r="K178" s="21"/>
    </row>
    <row r="179" spans="1:11" ht="20.100000000000001" customHeight="1" x14ac:dyDescent="0.3">
      <c r="A179" s="2" t="str">
        <f t="shared" si="5"/>
        <v/>
      </c>
      <c r="B179" s="2"/>
      <c r="C179" s="2"/>
      <c r="D179" s="4" t="str">
        <f>IF(C179&lt;&gt;"",IFERROR(VLOOKUP(C179,'Araç Envanteri'!$B$4:$C$203,2,0),"Bulunamadı"),"")</f>
        <v/>
      </c>
      <c r="E179" s="2"/>
      <c r="F179" s="3"/>
      <c r="G179" s="3"/>
      <c r="H179" s="6"/>
      <c r="I179" s="2"/>
      <c r="J179" s="2"/>
      <c r="K179" s="2"/>
    </row>
    <row r="180" spans="1:11" ht="20.100000000000001" customHeight="1" x14ac:dyDescent="0.3">
      <c r="A180" s="21" t="str">
        <f t="shared" si="5"/>
        <v/>
      </c>
      <c r="B180" s="21"/>
      <c r="C180" s="21"/>
      <c r="D180" s="4" t="str">
        <f>IF(C180&lt;&gt;"",IFERROR(VLOOKUP(C180,'Araç Envanteri'!$B$4:$C$203,2,0),"Bulunamadı"),"")</f>
        <v/>
      </c>
      <c r="E180" s="21"/>
      <c r="F180" s="1"/>
      <c r="G180" s="1"/>
      <c r="H180" s="5"/>
      <c r="I180" s="21"/>
      <c r="J180" s="21"/>
      <c r="K180" s="21"/>
    </row>
    <row r="181" spans="1:11" ht="20.100000000000001" customHeight="1" x14ac:dyDescent="0.3">
      <c r="A181" s="2" t="str">
        <f t="shared" si="5"/>
        <v/>
      </c>
      <c r="B181" s="2"/>
      <c r="C181" s="2"/>
      <c r="D181" s="4" t="str">
        <f>IF(C181&lt;&gt;"",IFERROR(VLOOKUP(C181,'Araç Envanteri'!$B$4:$C$203,2,0),"Bulunamadı"),"")</f>
        <v/>
      </c>
      <c r="E181" s="2"/>
      <c r="F181" s="3"/>
      <c r="G181" s="3"/>
      <c r="H181" s="6"/>
      <c r="I181" s="2"/>
      <c r="J181" s="2"/>
      <c r="K181" s="2"/>
    </row>
    <row r="182" spans="1:11" ht="20.100000000000001" customHeight="1" x14ac:dyDescent="0.3">
      <c r="A182" s="21" t="str">
        <f t="shared" si="5"/>
        <v/>
      </c>
      <c r="B182" s="21"/>
      <c r="C182" s="21"/>
      <c r="D182" s="4" t="str">
        <f>IF(C182&lt;&gt;"",IFERROR(VLOOKUP(C182,'Araç Envanteri'!$B$4:$C$203,2,0),"Bulunamadı"),"")</f>
        <v/>
      </c>
      <c r="E182" s="21"/>
      <c r="F182" s="1"/>
      <c r="G182" s="1"/>
      <c r="H182" s="5"/>
      <c r="I182" s="21"/>
      <c r="J182" s="21"/>
      <c r="K182" s="21"/>
    </row>
    <row r="183" spans="1:11" ht="20.100000000000001" customHeight="1" x14ac:dyDescent="0.3">
      <c r="A183" s="2" t="str">
        <f t="shared" si="5"/>
        <v/>
      </c>
      <c r="B183" s="2"/>
      <c r="C183" s="2"/>
      <c r="D183" s="4" t="str">
        <f>IF(C183&lt;&gt;"",IFERROR(VLOOKUP(C183,'Araç Envanteri'!$B$4:$C$203,2,0),"Bulunamadı"),"")</f>
        <v/>
      </c>
      <c r="E183" s="2"/>
      <c r="F183" s="3"/>
      <c r="G183" s="3"/>
      <c r="H183" s="6"/>
      <c r="I183" s="2"/>
      <c r="J183" s="2"/>
      <c r="K183" s="2"/>
    </row>
    <row r="184" spans="1:11" ht="20.100000000000001" customHeight="1" x14ac:dyDescent="0.3">
      <c r="A184" s="21" t="str">
        <f t="shared" si="5"/>
        <v/>
      </c>
      <c r="B184" s="21"/>
      <c r="C184" s="21"/>
      <c r="D184" s="4" t="str">
        <f>IF(C184&lt;&gt;"",IFERROR(VLOOKUP(C184,'Araç Envanteri'!$B$4:$C$203,2,0),"Bulunamadı"),"")</f>
        <v/>
      </c>
      <c r="E184" s="21"/>
      <c r="F184" s="1"/>
      <c r="G184" s="1"/>
      <c r="H184" s="5"/>
      <c r="I184" s="21"/>
      <c r="J184" s="21"/>
      <c r="K184" s="21"/>
    </row>
    <row r="185" spans="1:11" ht="20.100000000000001" customHeight="1" x14ac:dyDescent="0.3">
      <c r="A185" s="2" t="str">
        <f t="shared" si="5"/>
        <v/>
      </c>
      <c r="B185" s="2"/>
      <c r="C185" s="2"/>
      <c r="D185" s="4" t="str">
        <f>IF(C185&lt;&gt;"",IFERROR(VLOOKUP(C185,'Araç Envanteri'!$B$4:$C$203,2,0),"Bulunamadı"),"")</f>
        <v/>
      </c>
      <c r="E185" s="2"/>
      <c r="F185" s="3"/>
      <c r="G185" s="3"/>
      <c r="H185" s="6"/>
      <c r="I185" s="2"/>
      <c r="J185" s="2"/>
      <c r="K185" s="2"/>
    </row>
    <row r="186" spans="1:11" ht="20.100000000000001" customHeight="1" x14ac:dyDescent="0.3">
      <c r="A186" s="21" t="str">
        <f t="shared" si="5"/>
        <v/>
      </c>
      <c r="B186" s="21"/>
      <c r="C186" s="21"/>
      <c r="D186" s="4" t="str">
        <f>IF(C186&lt;&gt;"",IFERROR(VLOOKUP(C186,'Araç Envanteri'!$B$4:$C$203,2,0),"Bulunamadı"),"")</f>
        <v/>
      </c>
      <c r="E186" s="21"/>
      <c r="F186" s="1"/>
      <c r="G186" s="1"/>
      <c r="H186" s="5"/>
      <c r="I186" s="21"/>
      <c r="J186" s="21"/>
      <c r="K186" s="21"/>
    </row>
    <row r="187" spans="1:11" ht="20.100000000000001" customHeight="1" x14ac:dyDescent="0.3">
      <c r="A187" s="2" t="str">
        <f t="shared" si="5"/>
        <v/>
      </c>
      <c r="B187" s="2"/>
      <c r="C187" s="2"/>
      <c r="D187" s="4" t="str">
        <f>IF(C187&lt;&gt;"",IFERROR(VLOOKUP(C187,'Araç Envanteri'!$B$4:$C$203,2,0),"Bulunamadı"),"")</f>
        <v/>
      </c>
      <c r="E187" s="2"/>
      <c r="F187" s="3"/>
      <c r="G187" s="3"/>
      <c r="H187" s="6"/>
      <c r="I187" s="2"/>
      <c r="J187" s="2"/>
      <c r="K187" s="2"/>
    </row>
    <row r="188" spans="1:11" ht="20.100000000000001" customHeight="1" x14ac:dyDescent="0.3">
      <c r="A188" s="21" t="str">
        <f t="shared" si="5"/>
        <v/>
      </c>
      <c r="B188" s="21"/>
      <c r="C188" s="21"/>
      <c r="D188" s="4" t="str">
        <f>IF(C188&lt;&gt;"",IFERROR(VLOOKUP(C188,'Araç Envanteri'!$B$4:$C$203,2,0),"Bulunamadı"),"")</f>
        <v/>
      </c>
      <c r="E188" s="21"/>
      <c r="F188" s="1"/>
      <c r="G188" s="1"/>
      <c r="H188" s="5"/>
      <c r="I188" s="21"/>
      <c r="J188" s="21"/>
      <c r="K188" s="21"/>
    </row>
    <row r="189" spans="1:11" ht="20.100000000000001" customHeight="1" x14ac:dyDescent="0.3">
      <c r="A189" s="2" t="str">
        <f t="shared" si="5"/>
        <v/>
      </c>
      <c r="B189" s="2"/>
      <c r="C189" s="2"/>
      <c r="D189" s="4" t="str">
        <f>IF(C189&lt;&gt;"",IFERROR(VLOOKUP(C189,'Araç Envanteri'!$B$4:$C$203,2,0),"Bulunamadı"),"")</f>
        <v/>
      </c>
      <c r="E189" s="2"/>
      <c r="F189" s="3"/>
      <c r="G189" s="3"/>
      <c r="H189" s="6"/>
      <c r="I189" s="2"/>
      <c r="J189" s="2"/>
      <c r="K189" s="2"/>
    </row>
    <row r="190" spans="1:11" ht="20.100000000000001" customHeight="1" x14ac:dyDescent="0.3">
      <c r="A190" s="21" t="str">
        <f t="shared" si="5"/>
        <v/>
      </c>
      <c r="B190" s="21"/>
      <c r="C190" s="21"/>
      <c r="D190" s="4" t="str">
        <f>IF(C190&lt;&gt;"",IFERROR(VLOOKUP(C190,'Araç Envanteri'!$B$4:$C$203,2,0),"Bulunamadı"),"")</f>
        <v/>
      </c>
      <c r="E190" s="21"/>
      <c r="F190" s="1"/>
      <c r="G190" s="1"/>
      <c r="H190" s="5"/>
      <c r="I190" s="21"/>
      <c r="J190" s="21"/>
      <c r="K190" s="21"/>
    </row>
    <row r="191" spans="1:11" ht="20.100000000000001" customHeight="1" x14ac:dyDescent="0.3">
      <c r="A191" s="2" t="str">
        <f t="shared" si="5"/>
        <v/>
      </c>
      <c r="B191" s="2"/>
      <c r="C191" s="2"/>
      <c r="D191" s="4" t="str">
        <f>IF(C191&lt;&gt;"",IFERROR(VLOOKUP(C191,'Araç Envanteri'!$B$4:$C$203,2,0),"Bulunamadı"),"")</f>
        <v/>
      </c>
      <c r="E191" s="2"/>
      <c r="F191" s="3"/>
      <c r="G191" s="3"/>
      <c r="H191" s="6"/>
      <c r="I191" s="2"/>
      <c r="J191" s="2"/>
      <c r="K191" s="2"/>
    </row>
    <row r="192" spans="1:11" ht="20.100000000000001" customHeight="1" x14ac:dyDescent="0.3">
      <c r="A192" s="21" t="str">
        <f t="shared" si="5"/>
        <v/>
      </c>
      <c r="B192" s="21"/>
      <c r="C192" s="21"/>
      <c r="D192" s="4" t="str">
        <f>IF(C192&lt;&gt;"",IFERROR(VLOOKUP(C192,'Araç Envanteri'!$B$4:$C$203,2,0),"Bulunamadı"),"")</f>
        <v/>
      </c>
      <c r="E192" s="21"/>
      <c r="F192" s="1"/>
      <c r="G192" s="1"/>
      <c r="H192" s="5"/>
      <c r="I192" s="21"/>
      <c r="J192" s="21"/>
      <c r="K192" s="21"/>
    </row>
    <row r="193" spans="1:11" ht="20.100000000000001" customHeight="1" x14ac:dyDescent="0.3">
      <c r="A193" s="2" t="str">
        <f t="shared" si="5"/>
        <v/>
      </c>
      <c r="B193" s="2"/>
      <c r="C193" s="2"/>
      <c r="D193" s="4" t="str">
        <f>IF(C193&lt;&gt;"",IFERROR(VLOOKUP(C193,'Araç Envanteri'!$B$4:$C$203,2,0),"Bulunamadı"),"")</f>
        <v/>
      </c>
      <c r="E193" s="2"/>
      <c r="F193" s="3"/>
      <c r="G193" s="3"/>
      <c r="H193" s="6"/>
      <c r="I193" s="2"/>
      <c r="J193" s="2"/>
      <c r="K193" s="2"/>
    </row>
    <row r="194" spans="1:11" ht="20.100000000000001" customHeight="1" x14ac:dyDescent="0.3">
      <c r="A194" s="21" t="str">
        <f t="shared" si="5"/>
        <v/>
      </c>
      <c r="B194" s="21"/>
      <c r="C194" s="21"/>
      <c r="D194" s="4" t="str">
        <f>IF(C194&lt;&gt;"",IFERROR(VLOOKUP(C194,'Araç Envanteri'!$B$4:$C$203,2,0),"Bulunamadı"),"")</f>
        <v/>
      </c>
      <c r="E194" s="21"/>
      <c r="F194" s="1"/>
      <c r="G194" s="1"/>
      <c r="H194" s="5"/>
      <c r="I194" s="21"/>
      <c r="J194" s="21"/>
      <c r="K194" s="21"/>
    </row>
    <row r="195" spans="1:11" ht="20.100000000000001" customHeight="1" x14ac:dyDescent="0.3">
      <c r="A195" s="2" t="str">
        <f t="shared" si="5"/>
        <v/>
      </c>
      <c r="B195" s="2"/>
      <c r="C195" s="2"/>
      <c r="D195" s="4" t="str">
        <f>IF(C195&lt;&gt;"",IFERROR(VLOOKUP(C195,'Araç Envanteri'!$B$4:$C$203,2,0),"Bulunamadı"),"")</f>
        <v/>
      </c>
      <c r="E195" s="2"/>
      <c r="F195" s="3"/>
      <c r="G195" s="3"/>
      <c r="H195" s="6"/>
      <c r="I195" s="2"/>
      <c r="J195" s="2"/>
      <c r="K195" s="2"/>
    </row>
    <row r="196" spans="1:11" ht="20.100000000000001" customHeight="1" x14ac:dyDescent="0.3">
      <c r="A196" s="21" t="str">
        <f t="shared" ref="A196:A203" si="6">IF(C196&lt;&gt;"",ROW()-3,"")</f>
        <v/>
      </c>
      <c r="B196" s="21"/>
      <c r="C196" s="21"/>
      <c r="D196" s="4" t="str">
        <f>IF(C196&lt;&gt;"",IFERROR(VLOOKUP(C196,'Araç Envanteri'!$B$4:$C$203,2,0),"Bulunamadı"),"")</f>
        <v/>
      </c>
      <c r="E196" s="21"/>
      <c r="F196" s="1"/>
      <c r="G196" s="1"/>
      <c r="H196" s="5"/>
      <c r="I196" s="21"/>
      <c r="J196" s="21"/>
      <c r="K196" s="21"/>
    </row>
    <row r="197" spans="1:11" ht="20.100000000000001" customHeight="1" x14ac:dyDescent="0.3">
      <c r="A197" s="2" t="str">
        <f t="shared" si="6"/>
        <v/>
      </c>
      <c r="B197" s="2"/>
      <c r="C197" s="2"/>
      <c r="D197" s="4" t="str">
        <f>IF(C197&lt;&gt;"",IFERROR(VLOOKUP(C197,'Araç Envanteri'!$B$4:$C$203,2,0),"Bulunamadı"),"")</f>
        <v/>
      </c>
      <c r="E197" s="2"/>
      <c r="F197" s="3"/>
      <c r="G197" s="3"/>
      <c r="H197" s="6"/>
      <c r="I197" s="2"/>
      <c r="J197" s="2"/>
      <c r="K197" s="2"/>
    </row>
    <row r="198" spans="1:11" ht="20.100000000000001" customHeight="1" x14ac:dyDescent="0.3">
      <c r="A198" s="21" t="str">
        <f t="shared" si="6"/>
        <v/>
      </c>
      <c r="B198" s="21"/>
      <c r="C198" s="21"/>
      <c r="D198" s="4" t="str">
        <f>IF(C198&lt;&gt;"",IFERROR(VLOOKUP(C198,'Araç Envanteri'!$B$4:$C$203,2,0),"Bulunamadı"),"")</f>
        <v/>
      </c>
      <c r="E198" s="21"/>
      <c r="F198" s="1"/>
      <c r="G198" s="1"/>
      <c r="H198" s="5"/>
      <c r="I198" s="21"/>
      <c r="J198" s="21"/>
      <c r="K198" s="21"/>
    </row>
    <row r="199" spans="1:11" ht="20.100000000000001" customHeight="1" x14ac:dyDescent="0.3">
      <c r="A199" s="2" t="str">
        <f t="shared" si="6"/>
        <v/>
      </c>
      <c r="B199" s="2"/>
      <c r="C199" s="2"/>
      <c r="D199" s="4" t="str">
        <f>IF(C199&lt;&gt;"",IFERROR(VLOOKUP(C199,'Araç Envanteri'!$B$4:$C$203,2,0),"Bulunamadı"),"")</f>
        <v/>
      </c>
      <c r="E199" s="2"/>
      <c r="F199" s="3"/>
      <c r="G199" s="3"/>
      <c r="H199" s="6"/>
      <c r="I199" s="2"/>
      <c r="J199" s="2"/>
      <c r="K199" s="2"/>
    </row>
    <row r="200" spans="1:11" ht="20.100000000000001" customHeight="1" x14ac:dyDescent="0.3">
      <c r="A200" s="21" t="str">
        <f t="shared" si="6"/>
        <v/>
      </c>
      <c r="B200" s="21"/>
      <c r="C200" s="21"/>
      <c r="D200" s="4" t="str">
        <f>IF(C200&lt;&gt;"",IFERROR(VLOOKUP(C200,'Araç Envanteri'!$B$4:$C$203,2,0),"Bulunamadı"),"")</f>
        <v/>
      </c>
      <c r="E200" s="21"/>
      <c r="F200" s="1"/>
      <c r="G200" s="1"/>
      <c r="H200" s="5"/>
      <c r="I200" s="21"/>
      <c r="J200" s="21"/>
      <c r="K200" s="21"/>
    </row>
    <row r="201" spans="1:11" ht="20.100000000000001" customHeight="1" x14ac:dyDescent="0.3">
      <c r="A201" s="2" t="str">
        <f t="shared" si="6"/>
        <v/>
      </c>
      <c r="B201" s="2"/>
      <c r="C201" s="2"/>
      <c r="D201" s="4" t="str">
        <f>IF(C201&lt;&gt;"",IFERROR(VLOOKUP(C201,'Araç Envanteri'!$B$4:$C$203,2,0),"Bulunamadı"),"")</f>
        <v/>
      </c>
      <c r="E201" s="2"/>
      <c r="F201" s="3"/>
      <c r="G201" s="3"/>
      <c r="H201" s="6"/>
      <c r="I201" s="2"/>
      <c r="J201" s="2"/>
      <c r="K201" s="2"/>
    </row>
    <row r="202" spans="1:11" ht="20.100000000000001" customHeight="1" x14ac:dyDescent="0.3">
      <c r="A202" s="21" t="str">
        <f t="shared" si="6"/>
        <v/>
      </c>
      <c r="B202" s="21"/>
      <c r="C202" s="21"/>
      <c r="D202" s="4" t="str">
        <f>IF(C202&lt;&gt;"",IFERROR(VLOOKUP(C202,'Araç Envanteri'!$B$4:$C$203,2,0),"Bulunamadı"),"")</f>
        <v/>
      </c>
      <c r="E202" s="21"/>
      <c r="F202" s="1"/>
      <c r="G202" s="1"/>
      <c r="H202" s="5"/>
      <c r="I202" s="21"/>
      <c r="J202" s="21"/>
      <c r="K202" s="21"/>
    </row>
    <row r="203" spans="1:11" ht="20.100000000000001" customHeight="1" x14ac:dyDescent="0.3">
      <c r="A203" s="2" t="str">
        <f t="shared" si="6"/>
        <v/>
      </c>
      <c r="B203" s="2"/>
      <c r="C203" s="2"/>
      <c r="D203" s="4" t="str">
        <f>IF(C203&lt;&gt;"",IFERROR(VLOOKUP(C203,'Araç Envanteri'!$B$4:$C$203,2,0),"Bulunamadı"),"")</f>
        <v/>
      </c>
      <c r="E203" s="2"/>
      <c r="F203" s="3"/>
      <c r="G203" s="3"/>
      <c r="H203" s="6"/>
      <c r="I203" s="2"/>
      <c r="J203" s="2"/>
      <c r="K203" s="2"/>
    </row>
    <row r="204" spans="1:11" ht="24" customHeight="1" x14ac:dyDescent="0.3">
      <c r="A204" s="24" t="s">
        <v>24</v>
      </c>
      <c r="B204" s="23"/>
      <c r="C204" s="23"/>
      <c r="D204" s="23"/>
      <c r="E204" s="23"/>
      <c r="F204" s="23"/>
      <c r="G204" s="23"/>
      <c r="H204" s="7">
        <f>IFERROR(SUM(H4:H203),0)</f>
        <v>0</v>
      </c>
      <c r="I204" s="25"/>
      <c r="J204" s="23"/>
      <c r="K204" s="23"/>
    </row>
  </sheetData>
  <mergeCells count="4">
    <mergeCell ref="A2:K2"/>
    <mergeCell ref="A204:G204"/>
    <mergeCell ref="A1:K1"/>
    <mergeCell ref="I204:K204"/>
  </mergeCells>
  <dataValidations count="2">
    <dataValidation type="list" allowBlank="1" sqref="E4:E203">
      <formula1>"Periyodik Bakım,Büyük Bakım,Arıza Onarımı,Lastik,Yağ Değişimi,Diğer"</formula1>
    </dataValidation>
    <dataValidation type="list" allowBlank="1" sqref="K4:K203">
      <formula1>"Tamamlandı,Devam Ediyor,Planlandı"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04"/>
  <sheetViews>
    <sheetView workbookViewId="0">
      <pane xSplit="1" ySplit="3" topLeftCell="D4" activePane="bottomRight" state="frozen"/>
      <selection pane="topRight"/>
      <selection pane="bottomLeft"/>
      <selection pane="bottomRight" activeCell="A2" sqref="A2:J2"/>
    </sheetView>
  </sheetViews>
  <sheetFormatPr defaultRowHeight="14.4" x14ac:dyDescent="0.3"/>
  <cols>
    <col min="1" max="1" width="6" customWidth="1"/>
    <col min="2" max="2" width="13" customWidth="1"/>
    <col min="3" max="3" width="16" customWidth="1"/>
    <col min="4" max="4" width="26" customWidth="1"/>
    <col min="5" max="5" width="14" customWidth="1"/>
    <col min="6" max="6" width="13" customWidth="1"/>
    <col min="7" max="7" width="15" customWidth="1"/>
    <col min="8" max="8" width="20" customWidth="1"/>
    <col min="9" max="9" width="16" customWidth="1"/>
    <col min="10" max="10" width="22" customWidth="1"/>
  </cols>
  <sheetData>
    <row r="1" spans="1:10" ht="38.1" customHeight="1" x14ac:dyDescent="0.3">
      <c r="A1" s="22" t="s">
        <v>64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0.100000000000001" customHeight="1" x14ac:dyDescent="0.3">
      <c r="A2" s="61" t="s">
        <v>25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42" customHeight="1" x14ac:dyDescent="0.3">
      <c r="A3" s="19" t="s">
        <v>16</v>
      </c>
      <c r="B3" s="19" t="s">
        <v>26</v>
      </c>
      <c r="C3" s="19" t="s">
        <v>2</v>
      </c>
      <c r="D3" s="19" t="s">
        <v>18</v>
      </c>
      <c r="E3" s="19" t="s">
        <v>27</v>
      </c>
      <c r="F3" s="19" t="s">
        <v>28</v>
      </c>
      <c r="G3" s="19" t="s">
        <v>29</v>
      </c>
      <c r="H3" s="19" t="s">
        <v>30</v>
      </c>
      <c r="I3" s="19" t="s">
        <v>31</v>
      </c>
      <c r="J3" s="19" t="s">
        <v>32</v>
      </c>
    </row>
    <row r="4" spans="1:10" ht="20.100000000000001" customHeight="1" x14ac:dyDescent="0.3">
      <c r="A4" s="21" t="str">
        <f t="shared" ref="A4:A35" si="0">IF(C4&lt;&gt;"",ROW()-3,"")</f>
        <v/>
      </c>
      <c r="B4" s="21"/>
      <c r="C4" s="21"/>
      <c r="D4" s="4" t="str">
        <f>IF(C4&lt;&gt;"",IFERROR(VLOOKUP(C4,'Araç Envanteri'!$B$4:$C$203,2,0),"Bulunamadı"),"")</f>
        <v/>
      </c>
      <c r="E4" s="21"/>
      <c r="F4" s="8"/>
      <c r="G4" s="8"/>
      <c r="H4" s="9" t="str">
        <f t="shared" ref="H4:H35" si="1">IF(C4&lt;&gt;"",IFERROR(F4*G4,""),"")</f>
        <v/>
      </c>
      <c r="I4" s="21"/>
      <c r="J4" s="1"/>
    </row>
    <row r="5" spans="1:10" ht="20.100000000000001" customHeight="1" x14ac:dyDescent="0.3">
      <c r="A5" s="2" t="str">
        <f t="shared" si="0"/>
        <v/>
      </c>
      <c r="B5" s="2"/>
      <c r="C5" s="2"/>
      <c r="D5" s="4" t="str">
        <f>IF(C5&lt;&gt;"",IFERROR(VLOOKUP(C5,'Araç Envanteri'!$B$4:$C$203,2,0),"Bulunamadı"),"")</f>
        <v/>
      </c>
      <c r="E5" s="2"/>
      <c r="F5" s="10"/>
      <c r="G5" s="10"/>
      <c r="H5" s="9" t="str">
        <f t="shared" si="1"/>
        <v/>
      </c>
      <c r="I5" s="2"/>
      <c r="J5" s="3"/>
    </row>
    <row r="6" spans="1:10" ht="20.100000000000001" customHeight="1" x14ac:dyDescent="0.3">
      <c r="A6" s="21" t="str">
        <f t="shared" si="0"/>
        <v/>
      </c>
      <c r="B6" s="21"/>
      <c r="C6" s="21"/>
      <c r="D6" s="4" t="str">
        <f>IF(C6&lt;&gt;"",IFERROR(VLOOKUP(C6,'Araç Envanteri'!$B$4:$C$203,2,0),"Bulunamadı"),"")</f>
        <v/>
      </c>
      <c r="E6" s="21"/>
      <c r="F6" s="8"/>
      <c r="G6" s="8"/>
      <c r="H6" s="9" t="str">
        <f t="shared" si="1"/>
        <v/>
      </c>
      <c r="I6" s="21"/>
      <c r="J6" s="1"/>
    </row>
    <row r="7" spans="1:10" ht="20.100000000000001" customHeight="1" x14ac:dyDescent="0.3">
      <c r="A7" s="2" t="str">
        <f t="shared" si="0"/>
        <v/>
      </c>
      <c r="B7" s="2"/>
      <c r="C7" s="2"/>
      <c r="D7" s="4" t="str">
        <f>IF(C7&lt;&gt;"",IFERROR(VLOOKUP(C7,'Araç Envanteri'!$B$4:$C$203,2,0),"Bulunamadı"),"")</f>
        <v/>
      </c>
      <c r="E7" s="2"/>
      <c r="F7" s="10"/>
      <c r="G7" s="10"/>
      <c r="H7" s="9" t="str">
        <f t="shared" si="1"/>
        <v/>
      </c>
      <c r="I7" s="2"/>
      <c r="J7" s="3"/>
    </row>
    <row r="8" spans="1:10" ht="20.100000000000001" customHeight="1" x14ac:dyDescent="0.3">
      <c r="A8" s="21" t="str">
        <f t="shared" si="0"/>
        <v/>
      </c>
      <c r="B8" s="21"/>
      <c r="C8" s="21"/>
      <c r="D8" s="4" t="str">
        <f>IF(C8&lt;&gt;"",IFERROR(VLOOKUP(C8,'Araç Envanteri'!$B$4:$C$203,2,0),"Bulunamadı"),"")</f>
        <v/>
      </c>
      <c r="E8" s="21"/>
      <c r="F8" s="8"/>
      <c r="G8" s="8"/>
      <c r="H8" s="9" t="str">
        <f t="shared" si="1"/>
        <v/>
      </c>
      <c r="I8" s="21"/>
      <c r="J8" s="1"/>
    </row>
    <row r="9" spans="1:10" ht="20.100000000000001" customHeight="1" x14ac:dyDescent="0.3">
      <c r="A9" s="2" t="str">
        <f t="shared" si="0"/>
        <v/>
      </c>
      <c r="B9" s="2"/>
      <c r="C9" s="2"/>
      <c r="D9" s="4" t="str">
        <f>IF(C9&lt;&gt;"",IFERROR(VLOOKUP(C9,'Araç Envanteri'!$B$4:$C$203,2,0),"Bulunamadı"),"")</f>
        <v/>
      </c>
      <c r="E9" s="2"/>
      <c r="F9" s="10"/>
      <c r="G9" s="10"/>
      <c r="H9" s="9" t="str">
        <f t="shared" si="1"/>
        <v/>
      </c>
      <c r="I9" s="2"/>
      <c r="J9" s="3"/>
    </row>
    <row r="10" spans="1:10" ht="20.100000000000001" customHeight="1" x14ac:dyDescent="0.3">
      <c r="A10" s="21" t="str">
        <f t="shared" si="0"/>
        <v/>
      </c>
      <c r="B10" s="21"/>
      <c r="C10" s="21"/>
      <c r="D10" s="4" t="str">
        <f>IF(C10&lt;&gt;"",IFERROR(VLOOKUP(C10,'Araç Envanteri'!$B$4:$C$203,2,0),"Bulunamadı"),"")</f>
        <v/>
      </c>
      <c r="E10" s="21"/>
      <c r="F10" s="8"/>
      <c r="G10" s="8"/>
      <c r="H10" s="9" t="str">
        <f t="shared" si="1"/>
        <v/>
      </c>
      <c r="I10" s="21"/>
      <c r="J10" s="1"/>
    </row>
    <row r="11" spans="1:10" ht="20.100000000000001" customHeight="1" x14ac:dyDescent="0.3">
      <c r="A11" s="2" t="str">
        <f t="shared" si="0"/>
        <v/>
      </c>
      <c r="B11" s="2"/>
      <c r="C11" s="2"/>
      <c r="D11" s="4" t="str">
        <f>IF(C11&lt;&gt;"",IFERROR(VLOOKUP(C11,'Araç Envanteri'!$B$4:$C$203,2,0),"Bulunamadı"),"")</f>
        <v/>
      </c>
      <c r="E11" s="2"/>
      <c r="F11" s="10"/>
      <c r="G11" s="10"/>
      <c r="H11" s="9" t="str">
        <f t="shared" si="1"/>
        <v/>
      </c>
      <c r="I11" s="2"/>
      <c r="J11" s="3"/>
    </row>
    <row r="12" spans="1:10" ht="20.100000000000001" customHeight="1" x14ac:dyDescent="0.3">
      <c r="A12" s="21" t="str">
        <f t="shared" si="0"/>
        <v/>
      </c>
      <c r="B12" s="21"/>
      <c r="C12" s="21"/>
      <c r="D12" s="4" t="str">
        <f>IF(C12&lt;&gt;"",IFERROR(VLOOKUP(C12,'Araç Envanteri'!$B$4:$C$203,2,0),"Bulunamadı"),"")</f>
        <v/>
      </c>
      <c r="E12" s="21"/>
      <c r="F12" s="8"/>
      <c r="G12" s="8"/>
      <c r="H12" s="9" t="str">
        <f t="shared" si="1"/>
        <v/>
      </c>
      <c r="I12" s="21"/>
      <c r="J12" s="1"/>
    </row>
    <row r="13" spans="1:10" ht="20.100000000000001" customHeight="1" x14ac:dyDescent="0.3">
      <c r="A13" s="2" t="str">
        <f t="shared" si="0"/>
        <v/>
      </c>
      <c r="B13" s="2"/>
      <c r="C13" s="2"/>
      <c r="D13" s="4" t="str">
        <f>IF(C13&lt;&gt;"",IFERROR(VLOOKUP(C13,'Araç Envanteri'!$B$4:$C$203,2,0),"Bulunamadı"),"")</f>
        <v/>
      </c>
      <c r="E13" s="2"/>
      <c r="F13" s="10"/>
      <c r="G13" s="10"/>
      <c r="H13" s="9" t="str">
        <f t="shared" si="1"/>
        <v/>
      </c>
      <c r="I13" s="2"/>
      <c r="J13" s="3"/>
    </row>
    <row r="14" spans="1:10" ht="20.100000000000001" customHeight="1" x14ac:dyDescent="0.3">
      <c r="A14" s="21" t="str">
        <f t="shared" si="0"/>
        <v/>
      </c>
      <c r="B14" s="21"/>
      <c r="C14" s="21"/>
      <c r="D14" s="4" t="str">
        <f>IF(C14&lt;&gt;"",IFERROR(VLOOKUP(C14,'Araç Envanteri'!$B$4:$C$203,2,0),"Bulunamadı"),"")</f>
        <v/>
      </c>
      <c r="E14" s="21"/>
      <c r="F14" s="8"/>
      <c r="G14" s="8"/>
      <c r="H14" s="9" t="str">
        <f t="shared" si="1"/>
        <v/>
      </c>
      <c r="I14" s="21"/>
      <c r="J14" s="1"/>
    </row>
    <row r="15" spans="1:10" ht="20.100000000000001" customHeight="1" x14ac:dyDescent="0.3">
      <c r="A15" s="2" t="str">
        <f t="shared" si="0"/>
        <v/>
      </c>
      <c r="B15" s="2"/>
      <c r="C15" s="2"/>
      <c r="D15" s="4" t="str">
        <f>IF(C15&lt;&gt;"",IFERROR(VLOOKUP(C15,'Araç Envanteri'!$B$4:$C$203,2,0),"Bulunamadı"),"")</f>
        <v/>
      </c>
      <c r="E15" s="2"/>
      <c r="F15" s="10"/>
      <c r="G15" s="10"/>
      <c r="H15" s="9" t="str">
        <f t="shared" si="1"/>
        <v/>
      </c>
      <c r="I15" s="2"/>
      <c r="J15" s="3"/>
    </row>
    <row r="16" spans="1:10" ht="20.100000000000001" customHeight="1" x14ac:dyDescent="0.3">
      <c r="A16" s="21" t="str">
        <f t="shared" si="0"/>
        <v/>
      </c>
      <c r="B16" s="21"/>
      <c r="C16" s="21"/>
      <c r="D16" s="4" t="str">
        <f>IF(C16&lt;&gt;"",IFERROR(VLOOKUP(C16,'Araç Envanteri'!$B$4:$C$203,2,0),"Bulunamadı"),"")</f>
        <v/>
      </c>
      <c r="E16" s="21"/>
      <c r="F16" s="8"/>
      <c r="G16" s="8"/>
      <c r="H16" s="9" t="str">
        <f t="shared" si="1"/>
        <v/>
      </c>
      <c r="I16" s="21"/>
      <c r="J16" s="1"/>
    </row>
    <row r="17" spans="1:10" ht="20.100000000000001" customHeight="1" x14ac:dyDescent="0.3">
      <c r="A17" s="2" t="str">
        <f t="shared" si="0"/>
        <v/>
      </c>
      <c r="B17" s="2"/>
      <c r="C17" s="2"/>
      <c r="D17" s="4" t="str">
        <f>IF(C17&lt;&gt;"",IFERROR(VLOOKUP(C17,'Araç Envanteri'!$B$4:$C$203,2,0),"Bulunamadı"),"")</f>
        <v/>
      </c>
      <c r="E17" s="2"/>
      <c r="F17" s="10"/>
      <c r="G17" s="10"/>
      <c r="H17" s="9" t="str">
        <f t="shared" si="1"/>
        <v/>
      </c>
      <c r="I17" s="2"/>
      <c r="J17" s="3"/>
    </row>
    <row r="18" spans="1:10" ht="20.100000000000001" customHeight="1" x14ac:dyDescent="0.3">
      <c r="A18" s="21" t="str">
        <f t="shared" si="0"/>
        <v/>
      </c>
      <c r="B18" s="21"/>
      <c r="C18" s="21"/>
      <c r="D18" s="4" t="str">
        <f>IF(C18&lt;&gt;"",IFERROR(VLOOKUP(C18,'Araç Envanteri'!$B$4:$C$203,2,0),"Bulunamadı"),"")</f>
        <v/>
      </c>
      <c r="E18" s="21"/>
      <c r="F18" s="8"/>
      <c r="G18" s="8"/>
      <c r="H18" s="9" t="str">
        <f t="shared" si="1"/>
        <v/>
      </c>
      <c r="I18" s="21"/>
      <c r="J18" s="1"/>
    </row>
    <row r="19" spans="1:10" ht="20.100000000000001" customHeight="1" x14ac:dyDescent="0.3">
      <c r="A19" s="2" t="str">
        <f t="shared" si="0"/>
        <v/>
      </c>
      <c r="B19" s="2"/>
      <c r="C19" s="2"/>
      <c r="D19" s="4" t="str">
        <f>IF(C19&lt;&gt;"",IFERROR(VLOOKUP(C19,'Araç Envanteri'!$B$4:$C$203,2,0),"Bulunamadı"),"")</f>
        <v/>
      </c>
      <c r="E19" s="2"/>
      <c r="F19" s="10"/>
      <c r="G19" s="10"/>
      <c r="H19" s="9" t="str">
        <f t="shared" si="1"/>
        <v/>
      </c>
      <c r="I19" s="2"/>
      <c r="J19" s="3"/>
    </row>
    <row r="20" spans="1:10" ht="20.100000000000001" customHeight="1" x14ac:dyDescent="0.3">
      <c r="A20" s="21" t="str">
        <f t="shared" si="0"/>
        <v/>
      </c>
      <c r="B20" s="21"/>
      <c r="C20" s="21"/>
      <c r="D20" s="4" t="str">
        <f>IF(C20&lt;&gt;"",IFERROR(VLOOKUP(C20,'Araç Envanteri'!$B$4:$C$203,2,0),"Bulunamadı"),"")</f>
        <v/>
      </c>
      <c r="E20" s="21"/>
      <c r="F20" s="8"/>
      <c r="G20" s="8"/>
      <c r="H20" s="9" t="str">
        <f t="shared" si="1"/>
        <v/>
      </c>
      <c r="I20" s="21"/>
      <c r="J20" s="1"/>
    </row>
    <row r="21" spans="1:10" ht="20.100000000000001" customHeight="1" x14ac:dyDescent="0.3">
      <c r="A21" s="2" t="str">
        <f t="shared" si="0"/>
        <v/>
      </c>
      <c r="B21" s="2"/>
      <c r="C21" s="2"/>
      <c r="D21" s="4" t="str">
        <f>IF(C21&lt;&gt;"",IFERROR(VLOOKUP(C21,'Araç Envanteri'!$B$4:$C$203,2,0),"Bulunamadı"),"")</f>
        <v/>
      </c>
      <c r="E21" s="2"/>
      <c r="F21" s="10"/>
      <c r="G21" s="10"/>
      <c r="H21" s="9" t="str">
        <f t="shared" si="1"/>
        <v/>
      </c>
      <c r="I21" s="2"/>
      <c r="J21" s="3"/>
    </row>
    <row r="22" spans="1:10" ht="20.100000000000001" customHeight="1" x14ac:dyDescent="0.3">
      <c r="A22" s="21" t="str">
        <f t="shared" si="0"/>
        <v/>
      </c>
      <c r="B22" s="21"/>
      <c r="C22" s="21"/>
      <c r="D22" s="4" t="str">
        <f>IF(C22&lt;&gt;"",IFERROR(VLOOKUP(C22,'Araç Envanteri'!$B$4:$C$203,2,0),"Bulunamadı"),"")</f>
        <v/>
      </c>
      <c r="E22" s="21"/>
      <c r="F22" s="8"/>
      <c r="G22" s="8"/>
      <c r="H22" s="9" t="str">
        <f t="shared" si="1"/>
        <v/>
      </c>
      <c r="I22" s="21"/>
      <c r="J22" s="1"/>
    </row>
    <row r="23" spans="1:10" ht="20.100000000000001" customHeight="1" x14ac:dyDescent="0.3">
      <c r="A23" s="2" t="str">
        <f t="shared" si="0"/>
        <v/>
      </c>
      <c r="B23" s="2"/>
      <c r="C23" s="2"/>
      <c r="D23" s="4" t="str">
        <f>IF(C23&lt;&gt;"",IFERROR(VLOOKUP(C23,'Araç Envanteri'!$B$4:$C$203,2,0),"Bulunamadı"),"")</f>
        <v/>
      </c>
      <c r="E23" s="2"/>
      <c r="F23" s="10"/>
      <c r="G23" s="10"/>
      <c r="H23" s="9" t="str">
        <f t="shared" si="1"/>
        <v/>
      </c>
      <c r="I23" s="2"/>
      <c r="J23" s="3"/>
    </row>
    <row r="24" spans="1:10" ht="20.100000000000001" customHeight="1" x14ac:dyDescent="0.3">
      <c r="A24" s="21" t="str">
        <f t="shared" si="0"/>
        <v/>
      </c>
      <c r="B24" s="21"/>
      <c r="C24" s="21"/>
      <c r="D24" s="4" t="str">
        <f>IF(C24&lt;&gt;"",IFERROR(VLOOKUP(C24,'Araç Envanteri'!$B$4:$C$203,2,0),"Bulunamadı"),"")</f>
        <v/>
      </c>
      <c r="E24" s="21"/>
      <c r="F24" s="8"/>
      <c r="G24" s="8"/>
      <c r="H24" s="9" t="str">
        <f t="shared" si="1"/>
        <v/>
      </c>
      <c r="I24" s="21"/>
      <c r="J24" s="1"/>
    </row>
    <row r="25" spans="1:10" ht="20.100000000000001" customHeight="1" x14ac:dyDescent="0.3">
      <c r="A25" s="2" t="str">
        <f t="shared" si="0"/>
        <v/>
      </c>
      <c r="B25" s="2"/>
      <c r="C25" s="2"/>
      <c r="D25" s="4" t="str">
        <f>IF(C25&lt;&gt;"",IFERROR(VLOOKUP(C25,'Araç Envanteri'!$B$4:$C$203,2,0),"Bulunamadı"),"")</f>
        <v/>
      </c>
      <c r="E25" s="2"/>
      <c r="F25" s="10"/>
      <c r="G25" s="10"/>
      <c r="H25" s="9" t="str">
        <f t="shared" si="1"/>
        <v/>
      </c>
      <c r="I25" s="2"/>
      <c r="J25" s="3"/>
    </row>
    <row r="26" spans="1:10" ht="20.100000000000001" customHeight="1" x14ac:dyDescent="0.3">
      <c r="A26" s="21" t="str">
        <f t="shared" si="0"/>
        <v/>
      </c>
      <c r="B26" s="21"/>
      <c r="C26" s="21"/>
      <c r="D26" s="4" t="str">
        <f>IF(C26&lt;&gt;"",IFERROR(VLOOKUP(C26,'Araç Envanteri'!$B$4:$C$203,2,0),"Bulunamadı"),"")</f>
        <v/>
      </c>
      <c r="E26" s="21"/>
      <c r="F26" s="8"/>
      <c r="G26" s="8"/>
      <c r="H26" s="9" t="str">
        <f t="shared" si="1"/>
        <v/>
      </c>
      <c r="I26" s="21"/>
      <c r="J26" s="1"/>
    </row>
    <row r="27" spans="1:10" ht="20.100000000000001" customHeight="1" x14ac:dyDescent="0.3">
      <c r="A27" s="2" t="str">
        <f t="shared" si="0"/>
        <v/>
      </c>
      <c r="B27" s="2"/>
      <c r="C27" s="2"/>
      <c r="D27" s="4" t="str">
        <f>IF(C27&lt;&gt;"",IFERROR(VLOOKUP(C27,'Araç Envanteri'!$B$4:$C$203,2,0),"Bulunamadı"),"")</f>
        <v/>
      </c>
      <c r="E27" s="2"/>
      <c r="F27" s="10"/>
      <c r="G27" s="10"/>
      <c r="H27" s="9" t="str">
        <f t="shared" si="1"/>
        <v/>
      </c>
      <c r="I27" s="2"/>
      <c r="J27" s="3"/>
    </row>
    <row r="28" spans="1:10" ht="20.100000000000001" customHeight="1" x14ac:dyDescent="0.3">
      <c r="A28" s="21" t="str">
        <f t="shared" si="0"/>
        <v/>
      </c>
      <c r="B28" s="21"/>
      <c r="C28" s="21"/>
      <c r="D28" s="4" t="str">
        <f>IF(C28&lt;&gt;"",IFERROR(VLOOKUP(C28,'Araç Envanteri'!$B$4:$C$203,2,0),"Bulunamadı"),"")</f>
        <v/>
      </c>
      <c r="E28" s="21"/>
      <c r="F28" s="8"/>
      <c r="G28" s="8"/>
      <c r="H28" s="9" t="str">
        <f t="shared" si="1"/>
        <v/>
      </c>
      <c r="I28" s="21"/>
      <c r="J28" s="1"/>
    </row>
    <row r="29" spans="1:10" ht="20.100000000000001" customHeight="1" x14ac:dyDescent="0.3">
      <c r="A29" s="2" t="str">
        <f t="shared" si="0"/>
        <v/>
      </c>
      <c r="B29" s="2"/>
      <c r="C29" s="2"/>
      <c r="D29" s="4" t="str">
        <f>IF(C29&lt;&gt;"",IFERROR(VLOOKUP(C29,'Araç Envanteri'!$B$4:$C$203,2,0),"Bulunamadı"),"")</f>
        <v/>
      </c>
      <c r="E29" s="2"/>
      <c r="F29" s="10"/>
      <c r="G29" s="10"/>
      <c r="H29" s="9" t="str">
        <f t="shared" si="1"/>
        <v/>
      </c>
      <c r="I29" s="2"/>
      <c r="J29" s="3"/>
    </row>
    <row r="30" spans="1:10" ht="20.100000000000001" customHeight="1" x14ac:dyDescent="0.3">
      <c r="A30" s="21" t="str">
        <f t="shared" si="0"/>
        <v/>
      </c>
      <c r="B30" s="21"/>
      <c r="C30" s="21"/>
      <c r="D30" s="4" t="str">
        <f>IF(C30&lt;&gt;"",IFERROR(VLOOKUP(C30,'Araç Envanteri'!$B$4:$C$203,2,0),"Bulunamadı"),"")</f>
        <v/>
      </c>
      <c r="E30" s="21"/>
      <c r="F30" s="8"/>
      <c r="G30" s="8"/>
      <c r="H30" s="9" t="str">
        <f t="shared" si="1"/>
        <v/>
      </c>
      <c r="I30" s="21"/>
      <c r="J30" s="1"/>
    </row>
    <row r="31" spans="1:10" ht="20.100000000000001" customHeight="1" x14ac:dyDescent="0.3">
      <c r="A31" s="2" t="str">
        <f t="shared" si="0"/>
        <v/>
      </c>
      <c r="B31" s="2"/>
      <c r="C31" s="2"/>
      <c r="D31" s="4" t="str">
        <f>IF(C31&lt;&gt;"",IFERROR(VLOOKUP(C31,'Araç Envanteri'!$B$4:$C$203,2,0),"Bulunamadı"),"")</f>
        <v/>
      </c>
      <c r="E31" s="2"/>
      <c r="F31" s="10"/>
      <c r="G31" s="10"/>
      <c r="H31" s="9" t="str">
        <f t="shared" si="1"/>
        <v/>
      </c>
      <c r="I31" s="2"/>
      <c r="J31" s="3"/>
    </row>
    <row r="32" spans="1:10" ht="20.100000000000001" customHeight="1" x14ac:dyDescent="0.3">
      <c r="A32" s="21" t="str">
        <f t="shared" si="0"/>
        <v/>
      </c>
      <c r="B32" s="21"/>
      <c r="C32" s="21"/>
      <c r="D32" s="4" t="str">
        <f>IF(C32&lt;&gt;"",IFERROR(VLOOKUP(C32,'Araç Envanteri'!$B$4:$C$203,2,0),"Bulunamadı"),"")</f>
        <v/>
      </c>
      <c r="E32" s="21"/>
      <c r="F32" s="8"/>
      <c r="G32" s="8"/>
      <c r="H32" s="9" t="str">
        <f t="shared" si="1"/>
        <v/>
      </c>
      <c r="I32" s="21"/>
      <c r="J32" s="1"/>
    </row>
    <row r="33" spans="1:10" ht="20.100000000000001" customHeight="1" x14ac:dyDescent="0.3">
      <c r="A33" s="2" t="str">
        <f t="shared" si="0"/>
        <v/>
      </c>
      <c r="B33" s="2"/>
      <c r="C33" s="2"/>
      <c r="D33" s="4" t="str">
        <f>IF(C33&lt;&gt;"",IFERROR(VLOOKUP(C33,'Araç Envanteri'!$B$4:$C$203,2,0),"Bulunamadı"),"")</f>
        <v/>
      </c>
      <c r="E33" s="2"/>
      <c r="F33" s="10"/>
      <c r="G33" s="10"/>
      <c r="H33" s="9" t="str">
        <f t="shared" si="1"/>
        <v/>
      </c>
      <c r="I33" s="2"/>
      <c r="J33" s="3"/>
    </row>
    <row r="34" spans="1:10" ht="20.100000000000001" customHeight="1" x14ac:dyDescent="0.3">
      <c r="A34" s="21" t="str">
        <f t="shared" si="0"/>
        <v/>
      </c>
      <c r="B34" s="21"/>
      <c r="C34" s="21"/>
      <c r="D34" s="4" t="str">
        <f>IF(C34&lt;&gt;"",IFERROR(VLOOKUP(C34,'Araç Envanteri'!$B$4:$C$203,2,0),"Bulunamadı"),"")</f>
        <v/>
      </c>
      <c r="E34" s="21"/>
      <c r="F34" s="8"/>
      <c r="G34" s="8"/>
      <c r="H34" s="9" t="str">
        <f t="shared" si="1"/>
        <v/>
      </c>
      <c r="I34" s="21"/>
      <c r="J34" s="1"/>
    </row>
    <row r="35" spans="1:10" ht="20.100000000000001" customHeight="1" x14ac:dyDescent="0.3">
      <c r="A35" s="2" t="str">
        <f t="shared" si="0"/>
        <v/>
      </c>
      <c r="B35" s="2"/>
      <c r="C35" s="2"/>
      <c r="D35" s="4" t="str">
        <f>IF(C35&lt;&gt;"",IFERROR(VLOOKUP(C35,'Araç Envanteri'!$B$4:$C$203,2,0),"Bulunamadı"),"")</f>
        <v/>
      </c>
      <c r="E35" s="2"/>
      <c r="F35" s="10"/>
      <c r="G35" s="10"/>
      <c r="H35" s="9" t="str">
        <f t="shared" si="1"/>
        <v/>
      </c>
      <c r="I35" s="2"/>
      <c r="J35" s="3"/>
    </row>
    <row r="36" spans="1:10" ht="20.100000000000001" customHeight="1" x14ac:dyDescent="0.3">
      <c r="A36" s="21" t="str">
        <f t="shared" ref="A36:A67" si="2">IF(C36&lt;&gt;"",ROW()-3,"")</f>
        <v/>
      </c>
      <c r="B36" s="21"/>
      <c r="C36" s="21"/>
      <c r="D36" s="4" t="str">
        <f>IF(C36&lt;&gt;"",IFERROR(VLOOKUP(C36,'Araç Envanteri'!$B$4:$C$203,2,0),"Bulunamadı"),"")</f>
        <v/>
      </c>
      <c r="E36" s="21"/>
      <c r="F36" s="8"/>
      <c r="G36" s="8"/>
      <c r="H36" s="9" t="str">
        <f t="shared" ref="H36:H67" si="3">IF(C36&lt;&gt;"",IFERROR(F36*G36,""),"")</f>
        <v/>
      </c>
      <c r="I36" s="21"/>
      <c r="J36" s="1"/>
    </row>
    <row r="37" spans="1:10" ht="20.100000000000001" customHeight="1" x14ac:dyDescent="0.3">
      <c r="A37" s="2" t="str">
        <f t="shared" si="2"/>
        <v/>
      </c>
      <c r="B37" s="2"/>
      <c r="C37" s="2"/>
      <c r="D37" s="4" t="str">
        <f>IF(C37&lt;&gt;"",IFERROR(VLOOKUP(C37,'Araç Envanteri'!$B$4:$C$203,2,0),"Bulunamadı"),"")</f>
        <v/>
      </c>
      <c r="E37" s="2"/>
      <c r="F37" s="10"/>
      <c r="G37" s="10"/>
      <c r="H37" s="9" t="str">
        <f t="shared" si="3"/>
        <v/>
      </c>
      <c r="I37" s="2"/>
      <c r="J37" s="3"/>
    </row>
    <row r="38" spans="1:10" ht="20.100000000000001" customHeight="1" x14ac:dyDescent="0.3">
      <c r="A38" s="21" t="str">
        <f t="shared" si="2"/>
        <v/>
      </c>
      <c r="B38" s="21"/>
      <c r="C38" s="21"/>
      <c r="D38" s="4" t="str">
        <f>IF(C38&lt;&gt;"",IFERROR(VLOOKUP(C38,'Araç Envanteri'!$B$4:$C$203,2,0),"Bulunamadı"),"")</f>
        <v/>
      </c>
      <c r="E38" s="21"/>
      <c r="F38" s="8"/>
      <c r="G38" s="8"/>
      <c r="H38" s="9" t="str">
        <f t="shared" si="3"/>
        <v/>
      </c>
      <c r="I38" s="21"/>
      <c r="J38" s="1"/>
    </row>
    <row r="39" spans="1:10" ht="20.100000000000001" customHeight="1" x14ac:dyDescent="0.3">
      <c r="A39" s="2" t="str">
        <f t="shared" si="2"/>
        <v/>
      </c>
      <c r="B39" s="2"/>
      <c r="C39" s="2"/>
      <c r="D39" s="4" t="str">
        <f>IF(C39&lt;&gt;"",IFERROR(VLOOKUP(C39,'Araç Envanteri'!$B$4:$C$203,2,0),"Bulunamadı"),"")</f>
        <v/>
      </c>
      <c r="E39" s="2"/>
      <c r="F39" s="10"/>
      <c r="G39" s="10"/>
      <c r="H39" s="9" t="str">
        <f t="shared" si="3"/>
        <v/>
      </c>
      <c r="I39" s="2"/>
      <c r="J39" s="3"/>
    </row>
    <row r="40" spans="1:10" ht="20.100000000000001" customHeight="1" x14ac:dyDescent="0.3">
      <c r="A40" s="21" t="str">
        <f t="shared" si="2"/>
        <v/>
      </c>
      <c r="B40" s="21"/>
      <c r="C40" s="21"/>
      <c r="D40" s="4" t="str">
        <f>IF(C40&lt;&gt;"",IFERROR(VLOOKUP(C40,'Araç Envanteri'!$B$4:$C$203,2,0),"Bulunamadı"),"")</f>
        <v/>
      </c>
      <c r="E40" s="21"/>
      <c r="F40" s="8"/>
      <c r="G40" s="8"/>
      <c r="H40" s="9" t="str">
        <f t="shared" si="3"/>
        <v/>
      </c>
      <c r="I40" s="21"/>
      <c r="J40" s="1"/>
    </row>
    <row r="41" spans="1:10" ht="20.100000000000001" customHeight="1" x14ac:dyDescent="0.3">
      <c r="A41" s="2" t="str">
        <f t="shared" si="2"/>
        <v/>
      </c>
      <c r="B41" s="2"/>
      <c r="C41" s="2"/>
      <c r="D41" s="4" t="str">
        <f>IF(C41&lt;&gt;"",IFERROR(VLOOKUP(C41,'Araç Envanteri'!$B$4:$C$203,2,0),"Bulunamadı"),"")</f>
        <v/>
      </c>
      <c r="E41" s="2"/>
      <c r="F41" s="10"/>
      <c r="G41" s="10"/>
      <c r="H41" s="9" t="str">
        <f t="shared" si="3"/>
        <v/>
      </c>
      <c r="I41" s="2"/>
      <c r="J41" s="3"/>
    </row>
    <row r="42" spans="1:10" ht="20.100000000000001" customHeight="1" x14ac:dyDescent="0.3">
      <c r="A42" s="21" t="str">
        <f t="shared" si="2"/>
        <v/>
      </c>
      <c r="B42" s="21"/>
      <c r="C42" s="21"/>
      <c r="D42" s="4" t="str">
        <f>IF(C42&lt;&gt;"",IFERROR(VLOOKUP(C42,'Araç Envanteri'!$B$4:$C$203,2,0),"Bulunamadı"),"")</f>
        <v/>
      </c>
      <c r="E42" s="21"/>
      <c r="F42" s="8"/>
      <c r="G42" s="8"/>
      <c r="H42" s="9" t="str">
        <f t="shared" si="3"/>
        <v/>
      </c>
      <c r="I42" s="21"/>
      <c r="J42" s="1"/>
    </row>
    <row r="43" spans="1:10" ht="20.100000000000001" customHeight="1" x14ac:dyDescent="0.3">
      <c r="A43" s="2" t="str">
        <f t="shared" si="2"/>
        <v/>
      </c>
      <c r="B43" s="2"/>
      <c r="C43" s="2"/>
      <c r="D43" s="4" t="str">
        <f>IF(C43&lt;&gt;"",IFERROR(VLOOKUP(C43,'Araç Envanteri'!$B$4:$C$203,2,0),"Bulunamadı"),"")</f>
        <v/>
      </c>
      <c r="E43" s="2"/>
      <c r="F43" s="10"/>
      <c r="G43" s="10"/>
      <c r="H43" s="9" t="str">
        <f t="shared" si="3"/>
        <v/>
      </c>
      <c r="I43" s="2"/>
      <c r="J43" s="3"/>
    </row>
    <row r="44" spans="1:10" ht="20.100000000000001" customHeight="1" x14ac:dyDescent="0.3">
      <c r="A44" s="21" t="str">
        <f t="shared" si="2"/>
        <v/>
      </c>
      <c r="B44" s="21"/>
      <c r="C44" s="21"/>
      <c r="D44" s="4" t="str">
        <f>IF(C44&lt;&gt;"",IFERROR(VLOOKUP(C44,'Araç Envanteri'!$B$4:$C$203,2,0),"Bulunamadı"),"")</f>
        <v/>
      </c>
      <c r="E44" s="21"/>
      <c r="F44" s="8"/>
      <c r="G44" s="8"/>
      <c r="H44" s="9" t="str">
        <f t="shared" si="3"/>
        <v/>
      </c>
      <c r="I44" s="21"/>
      <c r="J44" s="1"/>
    </row>
    <row r="45" spans="1:10" ht="20.100000000000001" customHeight="1" x14ac:dyDescent="0.3">
      <c r="A45" s="2" t="str">
        <f t="shared" si="2"/>
        <v/>
      </c>
      <c r="B45" s="2"/>
      <c r="C45" s="2"/>
      <c r="D45" s="4" t="str">
        <f>IF(C45&lt;&gt;"",IFERROR(VLOOKUP(C45,'Araç Envanteri'!$B$4:$C$203,2,0),"Bulunamadı"),"")</f>
        <v/>
      </c>
      <c r="E45" s="2"/>
      <c r="F45" s="10"/>
      <c r="G45" s="10"/>
      <c r="H45" s="9" t="str">
        <f t="shared" si="3"/>
        <v/>
      </c>
      <c r="I45" s="2"/>
      <c r="J45" s="3"/>
    </row>
    <row r="46" spans="1:10" ht="20.100000000000001" customHeight="1" x14ac:dyDescent="0.3">
      <c r="A46" s="21" t="str">
        <f t="shared" si="2"/>
        <v/>
      </c>
      <c r="B46" s="21"/>
      <c r="C46" s="21"/>
      <c r="D46" s="4" t="str">
        <f>IF(C46&lt;&gt;"",IFERROR(VLOOKUP(C46,'Araç Envanteri'!$B$4:$C$203,2,0),"Bulunamadı"),"")</f>
        <v/>
      </c>
      <c r="E46" s="21"/>
      <c r="F46" s="8"/>
      <c r="G46" s="8"/>
      <c r="H46" s="9" t="str">
        <f t="shared" si="3"/>
        <v/>
      </c>
      <c r="I46" s="21"/>
      <c r="J46" s="1"/>
    </row>
    <row r="47" spans="1:10" ht="20.100000000000001" customHeight="1" x14ac:dyDescent="0.3">
      <c r="A47" s="2" t="str">
        <f t="shared" si="2"/>
        <v/>
      </c>
      <c r="B47" s="2"/>
      <c r="C47" s="2"/>
      <c r="D47" s="4" t="str">
        <f>IF(C47&lt;&gt;"",IFERROR(VLOOKUP(C47,'Araç Envanteri'!$B$4:$C$203,2,0),"Bulunamadı"),"")</f>
        <v/>
      </c>
      <c r="E47" s="2"/>
      <c r="F47" s="10"/>
      <c r="G47" s="10"/>
      <c r="H47" s="9" t="str">
        <f t="shared" si="3"/>
        <v/>
      </c>
      <c r="I47" s="2"/>
      <c r="J47" s="3"/>
    </row>
    <row r="48" spans="1:10" ht="20.100000000000001" customHeight="1" x14ac:dyDescent="0.3">
      <c r="A48" s="21" t="str">
        <f t="shared" si="2"/>
        <v/>
      </c>
      <c r="B48" s="21"/>
      <c r="C48" s="21"/>
      <c r="D48" s="4" t="str">
        <f>IF(C48&lt;&gt;"",IFERROR(VLOOKUP(C48,'Araç Envanteri'!$B$4:$C$203,2,0),"Bulunamadı"),"")</f>
        <v/>
      </c>
      <c r="E48" s="21"/>
      <c r="F48" s="8"/>
      <c r="G48" s="8"/>
      <c r="H48" s="9" t="str">
        <f t="shared" si="3"/>
        <v/>
      </c>
      <c r="I48" s="21"/>
      <c r="J48" s="1"/>
    </row>
    <row r="49" spans="1:10" ht="20.100000000000001" customHeight="1" x14ac:dyDescent="0.3">
      <c r="A49" s="2" t="str">
        <f t="shared" si="2"/>
        <v/>
      </c>
      <c r="B49" s="2"/>
      <c r="C49" s="2"/>
      <c r="D49" s="4" t="str">
        <f>IF(C49&lt;&gt;"",IFERROR(VLOOKUP(C49,'Araç Envanteri'!$B$4:$C$203,2,0),"Bulunamadı"),"")</f>
        <v/>
      </c>
      <c r="E49" s="2"/>
      <c r="F49" s="10"/>
      <c r="G49" s="10"/>
      <c r="H49" s="9" t="str">
        <f t="shared" si="3"/>
        <v/>
      </c>
      <c r="I49" s="2"/>
      <c r="J49" s="3"/>
    </row>
    <row r="50" spans="1:10" ht="20.100000000000001" customHeight="1" x14ac:dyDescent="0.3">
      <c r="A50" s="21" t="str">
        <f t="shared" si="2"/>
        <v/>
      </c>
      <c r="B50" s="21"/>
      <c r="C50" s="21"/>
      <c r="D50" s="4" t="str">
        <f>IF(C50&lt;&gt;"",IFERROR(VLOOKUP(C50,'Araç Envanteri'!$B$4:$C$203,2,0),"Bulunamadı"),"")</f>
        <v/>
      </c>
      <c r="E50" s="21"/>
      <c r="F50" s="8"/>
      <c r="G50" s="8"/>
      <c r="H50" s="9" t="str">
        <f t="shared" si="3"/>
        <v/>
      </c>
      <c r="I50" s="21"/>
      <c r="J50" s="1"/>
    </row>
    <row r="51" spans="1:10" ht="20.100000000000001" customHeight="1" x14ac:dyDescent="0.3">
      <c r="A51" s="2" t="str">
        <f t="shared" si="2"/>
        <v/>
      </c>
      <c r="B51" s="2"/>
      <c r="C51" s="2"/>
      <c r="D51" s="4" t="str">
        <f>IF(C51&lt;&gt;"",IFERROR(VLOOKUP(C51,'Araç Envanteri'!$B$4:$C$203,2,0),"Bulunamadı"),"")</f>
        <v/>
      </c>
      <c r="E51" s="2"/>
      <c r="F51" s="10"/>
      <c r="G51" s="10"/>
      <c r="H51" s="9" t="str">
        <f t="shared" si="3"/>
        <v/>
      </c>
      <c r="I51" s="2"/>
      <c r="J51" s="3"/>
    </row>
    <row r="52" spans="1:10" ht="20.100000000000001" customHeight="1" x14ac:dyDescent="0.3">
      <c r="A52" s="21" t="str">
        <f t="shared" si="2"/>
        <v/>
      </c>
      <c r="B52" s="21"/>
      <c r="C52" s="21"/>
      <c r="D52" s="4" t="str">
        <f>IF(C52&lt;&gt;"",IFERROR(VLOOKUP(C52,'Araç Envanteri'!$B$4:$C$203,2,0),"Bulunamadı"),"")</f>
        <v/>
      </c>
      <c r="E52" s="21"/>
      <c r="F52" s="8"/>
      <c r="G52" s="8"/>
      <c r="H52" s="9" t="str">
        <f t="shared" si="3"/>
        <v/>
      </c>
      <c r="I52" s="21"/>
      <c r="J52" s="1"/>
    </row>
    <row r="53" spans="1:10" ht="20.100000000000001" customHeight="1" x14ac:dyDescent="0.3">
      <c r="A53" s="2" t="str">
        <f t="shared" si="2"/>
        <v/>
      </c>
      <c r="B53" s="2"/>
      <c r="C53" s="2"/>
      <c r="D53" s="4" t="str">
        <f>IF(C53&lt;&gt;"",IFERROR(VLOOKUP(C53,'Araç Envanteri'!$B$4:$C$203,2,0),"Bulunamadı"),"")</f>
        <v/>
      </c>
      <c r="E53" s="2"/>
      <c r="F53" s="10"/>
      <c r="G53" s="10"/>
      <c r="H53" s="9" t="str">
        <f t="shared" si="3"/>
        <v/>
      </c>
      <c r="I53" s="2"/>
      <c r="J53" s="3"/>
    </row>
    <row r="54" spans="1:10" ht="20.100000000000001" customHeight="1" x14ac:dyDescent="0.3">
      <c r="A54" s="21" t="str">
        <f t="shared" si="2"/>
        <v/>
      </c>
      <c r="B54" s="21"/>
      <c r="C54" s="21"/>
      <c r="D54" s="4" t="str">
        <f>IF(C54&lt;&gt;"",IFERROR(VLOOKUP(C54,'Araç Envanteri'!$B$4:$C$203,2,0),"Bulunamadı"),"")</f>
        <v/>
      </c>
      <c r="E54" s="21"/>
      <c r="F54" s="8"/>
      <c r="G54" s="8"/>
      <c r="H54" s="9" t="str">
        <f t="shared" si="3"/>
        <v/>
      </c>
      <c r="I54" s="21"/>
      <c r="J54" s="1"/>
    </row>
    <row r="55" spans="1:10" ht="20.100000000000001" customHeight="1" x14ac:dyDescent="0.3">
      <c r="A55" s="2" t="str">
        <f t="shared" si="2"/>
        <v/>
      </c>
      <c r="B55" s="2"/>
      <c r="C55" s="2"/>
      <c r="D55" s="4" t="str">
        <f>IF(C55&lt;&gt;"",IFERROR(VLOOKUP(C55,'Araç Envanteri'!$B$4:$C$203,2,0),"Bulunamadı"),"")</f>
        <v/>
      </c>
      <c r="E55" s="2"/>
      <c r="F55" s="10"/>
      <c r="G55" s="10"/>
      <c r="H55" s="9" t="str">
        <f t="shared" si="3"/>
        <v/>
      </c>
      <c r="I55" s="2"/>
      <c r="J55" s="3"/>
    </row>
    <row r="56" spans="1:10" ht="20.100000000000001" customHeight="1" x14ac:dyDescent="0.3">
      <c r="A56" s="21" t="str">
        <f t="shared" si="2"/>
        <v/>
      </c>
      <c r="B56" s="21"/>
      <c r="C56" s="21"/>
      <c r="D56" s="4" t="str">
        <f>IF(C56&lt;&gt;"",IFERROR(VLOOKUP(C56,'Araç Envanteri'!$B$4:$C$203,2,0),"Bulunamadı"),"")</f>
        <v/>
      </c>
      <c r="E56" s="21"/>
      <c r="F56" s="8"/>
      <c r="G56" s="8"/>
      <c r="H56" s="9" t="str">
        <f t="shared" si="3"/>
        <v/>
      </c>
      <c r="I56" s="21"/>
      <c r="J56" s="1"/>
    </row>
    <row r="57" spans="1:10" ht="20.100000000000001" customHeight="1" x14ac:dyDescent="0.3">
      <c r="A57" s="2" t="str">
        <f t="shared" si="2"/>
        <v/>
      </c>
      <c r="B57" s="2"/>
      <c r="C57" s="2"/>
      <c r="D57" s="4" t="str">
        <f>IF(C57&lt;&gt;"",IFERROR(VLOOKUP(C57,'Araç Envanteri'!$B$4:$C$203,2,0),"Bulunamadı"),"")</f>
        <v/>
      </c>
      <c r="E57" s="2"/>
      <c r="F57" s="10"/>
      <c r="G57" s="10"/>
      <c r="H57" s="9" t="str">
        <f t="shared" si="3"/>
        <v/>
      </c>
      <c r="I57" s="2"/>
      <c r="J57" s="3"/>
    </row>
    <row r="58" spans="1:10" ht="20.100000000000001" customHeight="1" x14ac:dyDescent="0.3">
      <c r="A58" s="21" t="str">
        <f t="shared" si="2"/>
        <v/>
      </c>
      <c r="B58" s="21"/>
      <c r="C58" s="21"/>
      <c r="D58" s="4" t="str">
        <f>IF(C58&lt;&gt;"",IFERROR(VLOOKUP(C58,'Araç Envanteri'!$B$4:$C$203,2,0),"Bulunamadı"),"")</f>
        <v/>
      </c>
      <c r="E58" s="21"/>
      <c r="F58" s="8"/>
      <c r="G58" s="8"/>
      <c r="H58" s="9" t="str">
        <f t="shared" si="3"/>
        <v/>
      </c>
      <c r="I58" s="21"/>
      <c r="J58" s="1"/>
    </row>
    <row r="59" spans="1:10" ht="20.100000000000001" customHeight="1" x14ac:dyDescent="0.3">
      <c r="A59" s="2" t="str">
        <f t="shared" si="2"/>
        <v/>
      </c>
      <c r="B59" s="2"/>
      <c r="C59" s="2"/>
      <c r="D59" s="4" t="str">
        <f>IF(C59&lt;&gt;"",IFERROR(VLOOKUP(C59,'Araç Envanteri'!$B$4:$C$203,2,0),"Bulunamadı"),"")</f>
        <v/>
      </c>
      <c r="E59" s="2"/>
      <c r="F59" s="10"/>
      <c r="G59" s="10"/>
      <c r="H59" s="9" t="str">
        <f t="shared" si="3"/>
        <v/>
      </c>
      <c r="I59" s="2"/>
      <c r="J59" s="3"/>
    </row>
    <row r="60" spans="1:10" ht="20.100000000000001" customHeight="1" x14ac:dyDescent="0.3">
      <c r="A60" s="21" t="str">
        <f t="shared" si="2"/>
        <v/>
      </c>
      <c r="B60" s="21"/>
      <c r="C60" s="21"/>
      <c r="D60" s="4" t="str">
        <f>IF(C60&lt;&gt;"",IFERROR(VLOOKUP(C60,'Araç Envanteri'!$B$4:$C$203,2,0),"Bulunamadı"),"")</f>
        <v/>
      </c>
      <c r="E60" s="21"/>
      <c r="F60" s="8"/>
      <c r="G60" s="8"/>
      <c r="H60" s="9" t="str">
        <f t="shared" si="3"/>
        <v/>
      </c>
      <c r="I60" s="21"/>
      <c r="J60" s="1"/>
    </row>
    <row r="61" spans="1:10" ht="20.100000000000001" customHeight="1" x14ac:dyDescent="0.3">
      <c r="A61" s="2" t="str">
        <f t="shared" si="2"/>
        <v/>
      </c>
      <c r="B61" s="2"/>
      <c r="C61" s="2"/>
      <c r="D61" s="4" t="str">
        <f>IF(C61&lt;&gt;"",IFERROR(VLOOKUP(C61,'Araç Envanteri'!$B$4:$C$203,2,0),"Bulunamadı"),"")</f>
        <v/>
      </c>
      <c r="E61" s="2"/>
      <c r="F61" s="10"/>
      <c r="G61" s="10"/>
      <c r="H61" s="9" t="str">
        <f t="shared" si="3"/>
        <v/>
      </c>
      <c r="I61" s="2"/>
      <c r="J61" s="3"/>
    </row>
    <row r="62" spans="1:10" ht="20.100000000000001" customHeight="1" x14ac:dyDescent="0.3">
      <c r="A62" s="21" t="str">
        <f t="shared" si="2"/>
        <v/>
      </c>
      <c r="B62" s="21"/>
      <c r="C62" s="21"/>
      <c r="D62" s="4" t="str">
        <f>IF(C62&lt;&gt;"",IFERROR(VLOOKUP(C62,'Araç Envanteri'!$B$4:$C$203,2,0),"Bulunamadı"),"")</f>
        <v/>
      </c>
      <c r="E62" s="21"/>
      <c r="F62" s="8"/>
      <c r="G62" s="8"/>
      <c r="H62" s="9" t="str">
        <f t="shared" si="3"/>
        <v/>
      </c>
      <c r="I62" s="21"/>
      <c r="J62" s="1"/>
    </row>
    <row r="63" spans="1:10" ht="20.100000000000001" customHeight="1" x14ac:dyDescent="0.3">
      <c r="A63" s="2" t="str">
        <f t="shared" si="2"/>
        <v/>
      </c>
      <c r="B63" s="2"/>
      <c r="C63" s="2"/>
      <c r="D63" s="4" t="str">
        <f>IF(C63&lt;&gt;"",IFERROR(VLOOKUP(C63,'Araç Envanteri'!$B$4:$C$203,2,0),"Bulunamadı"),"")</f>
        <v/>
      </c>
      <c r="E63" s="2"/>
      <c r="F63" s="10"/>
      <c r="G63" s="10"/>
      <c r="H63" s="9" t="str">
        <f t="shared" si="3"/>
        <v/>
      </c>
      <c r="I63" s="2"/>
      <c r="J63" s="3"/>
    </row>
    <row r="64" spans="1:10" ht="20.100000000000001" customHeight="1" x14ac:dyDescent="0.3">
      <c r="A64" s="21" t="str">
        <f t="shared" si="2"/>
        <v/>
      </c>
      <c r="B64" s="21"/>
      <c r="C64" s="21"/>
      <c r="D64" s="4" t="str">
        <f>IF(C64&lt;&gt;"",IFERROR(VLOOKUP(C64,'Araç Envanteri'!$B$4:$C$203,2,0),"Bulunamadı"),"")</f>
        <v/>
      </c>
      <c r="E64" s="21"/>
      <c r="F64" s="8"/>
      <c r="G64" s="8"/>
      <c r="H64" s="9" t="str">
        <f t="shared" si="3"/>
        <v/>
      </c>
      <c r="I64" s="21"/>
      <c r="J64" s="1"/>
    </row>
    <row r="65" spans="1:10" ht="20.100000000000001" customHeight="1" x14ac:dyDescent="0.3">
      <c r="A65" s="2" t="str">
        <f t="shared" si="2"/>
        <v/>
      </c>
      <c r="B65" s="2"/>
      <c r="C65" s="2"/>
      <c r="D65" s="4" t="str">
        <f>IF(C65&lt;&gt;"",IFERROR(VLOOKUP(C65,'Araç Envanteri'!$B$4:$C$203,2,0),"Bulunamadı"),"")</f>
        <v/>
      </c>
      <c r="E65" s="2"/>
      <c r="F65" s="10"/>
      <c r="G65" s="10"/>
      <c r="H65" s="9" t="str">
        <f t="shared" si="3"/>
        <v/>
      </c>
      <c r="I65" s="2"/>
      <c r="J65" s="3"/>
    </row>
    <row r="66" spans="1:10" ht="20.100000000000001" customHeight="1" x14ac:dyDescent="0.3">
      <c r="A66" s="21" t="str">
        <f t="shared" si="2"/>
        <v/>
      </c>
      <c r="B66" s="21"/>
      <c r="C66" s="21"/>
      <c r="D66" s="4" t="str">
        <f>IF(C66&lt;&gt;"",IFERROR(VLOOKUP(C66,'Araç Envanteri'!$B$4:$C$203,2,0),"Bulunamadı"),"")</f>
        <v/>
      </c>
      <c r="E66" s="21"/>
      <c r="F66" s="8"/>
      <c r="G66" s="8"/>
      <c r="H66" s="9" t="str">
        <f t="shared" si="3"/>
        <v/>
      </c>
      <c r="I66" s="21"/>
      <c r="J66" s="1"/>
    </row>
    <row r="67" spans="1:10" ht="20.100000000000001" customHeight="1" x14ac:dyDescent="0.3">
      <c r="A67" s="2" t="str">
        <f t="shared" si="2"/>
        <v/>
      </c>
      <c r="B67" s="2"/>
      <c r="C67" s="2"/>
      <c r="D67" s="4" t="str">
        <f>IF(C67&lt;&gt;"",IFERROR(VLOOKUP(C67,'Araç Envanteri'!$B$4:$C$203,2,0),"Bulunamadı"),"")</f>
        <v/>
      </c>
      <c r="E67" s="2"/>
      <c r="F67" s="10"/>
      <c r="G67" s="10"/>
      <c r="H67" s="9" t="str">
        <f t="shared" si="3"/>
        <v/>
      </c>
      <c r="I67" s="2"/>
      <c r="J67" s="3"/>
    </row>
    <row r="68" spans="1:10" ht="20.100000000000001" customHeight="1" x14ac:dyDescent="0.3">
      <c r="A68" s="21" t="str">
        <f t="shared" ref="A68:A99" si="4">IF(C68&lt;&gt;"",ROW()-3,"")</f>
        <v/>
      </c>
      <c r="B68" s="21"/>
      <c r="C68" s="21"/>
      <c r="D68" s="4" t="str">
        <f>IF(C68&lt;&gt;"",IFERROR(VLOOKUP(C68,'Araç Envanteri'!$B$4:$C$203,2,0),"Bulunamadı"),"")</f>
        <v/>
      </c>
      <c r="E68" s="21"/>
      <c r="F68" s="8"/>
      <c r="G68" s="8"/>
      <c r="H68" s="9" t="str">
        <f t="shared" ref="H68:H99" si="5">IF(C68&lt;&gt;"",IFERROR(F68*G68,""),"")</f>
        <v/>
      </c>
      <c r="I68" s="21"/>
      <c r="J68" s="1"/>
    </row>
    <row r="69" spans="1:10" ht="20.100000000000001" customHeight="1" x14ac:dyDescent="0.3">
      <c r="A69" s="2" t="str">
        <f t="shared" si="4"/>
        <v/>
      </c>
      <c r="B69" s="2"/>
      <c r="C69" s="2"/>
      <c r="D69" s="4" t="str">
        <f>IF(C69&lt;&gt;"",IFERROR(VLOOKUP(C69,'Araç Envanteri'!$B$4:$C$203,2,0),"Bulunamadı"),"")</f>
        <v/>
      </c>
      <c r="E69" s="2"/>
      <c r="F69" s="10"/>
      <c r="G69" s="10"/>
      <c r="H69" s="9" t="str">
        <f t="shared" si="5"/>
        <v/>
      </c>
      <c r="I69" s="2"/>
      <c r="J69" s="3"/>
    </row>
    <row r="70" spans="1:10" ht="20.100000000000001" customHeight="1" x14ac:dyDescent="0.3">
      <c r="A70" s="21" t="str">
        <f t="shared" si="4"/>
        <v/>
      </c>
      <c r="B70" s="21"/>
      <c r="C70" s="21"/>
      <c r="D70" s="4" t="str">
        <f>IF(C70&lt;&gt;"",IFERROR(VLOOKUP(C70,'Araç Envanteri'!$B$4:$C$203,2,0),"Bulunamadı"),"")</f>
        <v/>
      </c>
      <c r="E70" s="21"/>
      <c r="F70" s="8"/>
      <c r="G70" s="8"/>
      <c r="H70" s="9" t="str">
        <f t="shared" si="5"/>
        <v/>
      </c>
      <c r="I70" s="21"/>
      <c r="J70" s="1"/>
    </row>
    <row r="71" spans="1:10" ht="20.100000000000001" customHeight="1" x14ac:dyDescent="0.3">
      <c r="A71" s="2" t="str">
        <f t="shared" si="4"/>
        <v/>
      </c>
      <c r="B71" s="2"/>
      <c r="C71" s="2"/>
      <c r="D71" s="4" t="str">
        <f>IF(C71&lt;&gt;"",IFERROR(VLOOKUP(C71,'Araç Envanteri'!$B$4:$C$203,2,0),"Bulunamadı"),"")</f>
        <v/>
      </c>
      <c r="E71" s="2"/>
      <c r="F71" s="10"/>
      <c r="G71" s="10"/>
      <c r="H71" s="9" t="str">
        <f t="shared" si="5"/>
        <v/>
      </c>
      <c r="I71" s="2"/>
      <c r="J71" s="3"/>
    </row>
    <row r="72" spans="1:10" ht="20.100000000000001" customHeight="1" x14ac:dyDescent="0.3">
      <c r="A72" s="21" t="str">
        <f t="shared" si="4"/>
        <v/>
      </c>
      <c r="B72" s="21"/>
      <c r="C72" s="21"/>
      <c r="D72" s="4" t="str">
        <f>IF(C72&lt;&gt;"",IFERROR(VLOOKUP(C72,'Araç Envanteri'!$B$4:$C$203,2,0),"Bulunamadı"),"")</f>
        <v/>
      </c>
      <c r="E72" s="21"/>
      <c r="F72" s="8"/>
      <c r="G72" s="8"/>
      <c r="H72" s="9" t="str">
        <f t="shared" si="5"/>
        <v/>
      </c>
      <c r="I72" s="21"/>
      <c r="J72" s="1"/>
    </row>
    <row r="73" spans="1:10" ht="20.100000000000001" customHeight="1" x14ac:dyDescent="0.3">
      <c r="A73" s="2" t="str">
        <f t="shared" si="4"/>
        <v/>
      </c>
      <c r="B73" s="2"/>
      <c r="C73" s="2"/>
      <c r="D73" s="4" t="str">
        <f>IF(C73&lt;&gt;"",IFERROR(VLOOKUP(C73,'Araç Envanteri'!$B$4:$C$203,2,0),"Bulunamadı"),"")</f>
        <v/>
      </c>
      <c r="E73" s="2"/>
      <c r="F73" s="10"/>
      <c r="G73" s="10"/>
      <c r="H73" s="9" t="str">
        <f t="shared" si="5"/>
        <v/>
      </c>
      <c r="I73" s="2"/>
      <c r="J73" s="3"/>
    </row>
    <row r="74" spans="1:10" ht="20.100000000000001" customHeight="1" x14ac:dyDescent="0.3">
      <c r="A74" s="21" t="str">
        <f t="shared" si="4"/>
        <v/>
      </c>
      <c r="B74" s="21"/>
      <c r="C74" s="21"/>
      <c r="D74" s="4" t="str">
        <f>IF(C74&lt;&gt;"",IFERROR(VLOOKUP(C74,'Araç Envanteri'!$B$4:$C$203,2,0),"Bulunamadı"),"")</f>
        <v/>
      </c>
      <c r="E74" s="21"/>
      <c r="F74" s="8"/>
      <c r="G74" s="8"/>
      <c r="H74" s="9" t="str">
        <f t="shared" si="5"/>
        <v/>
      </c>
      <c r="I74" s="21"/>
      <c r="J74" s="1"/>
    </row>
    <row r="75" spans="1:10" ht="20.100000000000001" customHeight="1" x14ac:dyDescent="0.3">
      <c r="A75" s="2" t="str">
        <f t="shared" si="4"/>
        <v/>
      </c>
      <c r="B75" s="2"/>
      <c r="C75" s="2"/>
      <c r="D75" s="4" t="str">
        <f>IF(C75&lt;&gt;"",IFERROR(VLOOKUP(C75,'Araç Envanteri'!$B$4:$C$203,2,0),"Bulunamadı"),"")</f>
        <v/>
      </c>
      <c r="E75" s="2"/>
      <c r="F75" s="10"/>
      <c r="G75" s="10"/>
      <c r="H75" s="9" t="str">
        <f t="shared" si="5"/>
        <v/>
      </c>
      <c r="I75" s="2"/>
      <c r="J75" s="3"/>
    </row>
    <row r="76" spans="1:10" ht="20.100000000000001" customHeight="1" x14ac:dyDescent="0.3">
      <c r="A76" s="21" t="str">
        <f t="shared" si="4"/>
        <v/>
      </c>
      <c r="B76" s="21"/>
      <c r="C76" s="21"/>
      <c r="D76" s="4" t="str">
        <f>IF(C76&lt;&gt;"",IFERROR(VLOOKUP(C76,'Araç Envanteri'!$B$4:$C$203,2,0),"Bulunamadı"),"")</f>
        <v/>
      </c>
      <c r="E76" s="21"/>
      <c r="F76" s="8"/>
      <c r="G76" s="8"/>
      <c r="H76" s="9" t="str">
        <f t="shared" si="5"/>
        <v/>
      </c>
      <c r="I76" s="21"/>
      <c r="J76" s="1"/>
    </row>
    <row r="77" spans="1:10" ht="20.100000000000001" customHeight="1" x14ac:dyDescent="0.3">
      <c r="A77" s="2" t="str">
        <f t="shared" si="4"/>
        <v/>
      </c>
      <c r="B77" s="2"/>
      <c r="C77" s="2"/>
      <c r="D77" s="4" t="str">
        <f>IF(C77&lt;&gt;"",IFERROR(VLOOKUP(C77,'Araç Envanteri'!$B$4:$C$203,2,0),"Bulunamadı"),"")</f>
        <v/>
      </c>
      <c r="E77" s="2"/>
      <c r="F77" s="10"/>
      <c r="G77" s="10"/>
      <c r="H77" s="9" t="str">
        <f t="shared" si="5"/>
        <v/>
      </c>
      <c r="I77" s="2"/>
      <c r="J77" s="3"/>
    </row>
    <row r="78" spans="1:10" ht="20.100000000000001" customHeight="1" x14ac:dyDescent="0.3">
      <c r="A78" s="21" t="str">
        <f t="shared" si="4"/>
        <v/>
      </c>
      <c r="B78" s="21"/>
      <c r="C78" s="21"/>
      <c r="D78" s="4" t="str">
        <f>IF(C78&lt;&gt;"",IFERROR(VLOOKUP(C78,'Araç Envanteri'!$B$4:$C$203,2,0),"Bulunamadı"),"")</f>
        <v/>
      </c>
      <c r="E78" s="21"/>
      <c r="F78" s="8"/>
      <c r="G78" s="8"/>
      <c r="H78" s="9" t="str">
        <f t="shared" si="5"/>
        <v/>
      </c>
      <c r="I78" s="21"/>
      <c r="J78" s="1"/>
    </row>
    <row r="79" spans="1:10" ht="20.100000000000001" customHeight="1" x14ac:dyDescent="0.3">
      <c r="A79" s="2" t="str">
        <f t="shared" si="4"/>
        <v/>
      </c>
      <c r="B79" s="2"/>
      <c r="C79" s="2"/>
      <c r="D79" s="4" t="str">
        <f>IF(C79&lt;&gt;"",IFERROR(VLOOKUP(C79,'Araç Envanteri'!$B$4:$C$203,2,0),"Bulunamadı"),"")</f>
        <v/>
      </c>
      <c r="E79" s="2"/>
      <c r="F79" s="10"/>
      <c r="G79" s="10"/>
      <c r="H79" s="9" t="str">
        <f t="shared" si="5"/>
        <v/>
      </c>
      <c r="I79" s="2"/>
      <c r="J79" s="3"/>
    </row>
    <row r="80" spans="1:10" ht="20.100000000000001" customHeight="1" x14ac:dyDescent="0.3">
      <c r="A80" s="21" t="str">
        <f t="shared" si="4"/>
        <v/>
      </c>
      <c r="B80" s="21"/>
      <c r="C80" s="21"/>
      <c r="D80" s="4" t="str">
        <f>IF(C80&lt;&gt;"",IFERROR(VLOOKUP(C80,'Araç Envanteri'!$B$4:$C$203,2,0),"Bulunamadı"),"")</f>
        <v/>
      </c>
      <c r="E80" s="21"/>
      <c r="F80" s="8"/>
      <c r="G80" s="8"/>
      <c r="H80" s="9" t="str">
        <f t="shared" si="5"/>
        <v/>
      </c>
      <c r="I80" s="21"/>
      <c r="J80" s="1"/>
    </row>
    <row r="81" spans="1:10" ht="20.100000000000001" customHeight="1" x14ac:dyDescent="0.3">
      <c r="A81" s="2" t="str">
        <f t="shared" si="4"/>
        <v/>
      </c>
      <c r="B81" s="2"/>
      <c r="C81" s="2"/>
      <c r="D81" s="4" t="str">
        <f>IF(C81&lt;&gt;"",IFERROR(VLOOKUP(C81,'Araç Envanteri'!$B$4:$C$203,2,0),"Bulunamadı"),"")</f>
        <v/>
      </c>
      <c r="E81" s="2"/>
      <c r="F81" s="10"/>
      <c r="G81" s="10"/>
      <c r="H81" s="9" t="str">
        <f t="shared" si="5"/>
        <v/>
      </c>
      <c r="I81" s="2"/>
      <c r="J81" s="3"/>
    </row>
    <row r="82" spans="1:10" ht="20.100000000000001" customHeight="1" x14ac:dyDescent="0.3">
      <c r="A82" s="21" t="str">
        <f t="shared" si="4"/>
        <v/>
      </c>
      <c r="B82" s="21"/>
      <c r="C82" s="21"/>
      <c r="D82" s="4" t="str">
        <f>IF(C82&lt;&gt;"",IFERROR(VLOOKUP(C82,'Araç Envanteri'!$B$4:$C$203,2,0),"Bulunamadı"),"")</f>
        <v/>
      </c>
      <c r="E82" s="21"/>
      <c r="F82" s="8"/>
      <c r="G82" s="8"/>
      <c r="H82" s="9" t="str">
        <f t="shared" si="5"/>
        <v/>
      </c>
      <c r="I82" s="21"/>
      <c r="J82" s="1"/>
    </row>
    <row r="83" spans="1:10" ht="20.100000000000001" customHeight="1" x14ac:dyDescent="0.3">
      <c r="A83" s="2" t="str">
        <f t="shared" si="4"/>
        <v/>
      </c>
      <c r="B83" s="2"/>
      <c r="C83" s="2"/>
      <c r="D83" s="4" t="str">
        <f>IF(C83&lt;&gt;"",IFERROR(VLOOKUP(C83,'Araç Envanteri'!$B$4:$C$203,2,0),"Bulunamadı"),"")</f>
        <v/>
      </c>
      <c r="E83" s="2"/>
      <c r="F83" s="10"/>
      <c r="G83" s="10"/>
      <c r="H83" s="9" t="str">
        <f t="shared" si="5"/>
        <v/>
      </c>
      <c r="I83" s="2"/>
      <c r="J83" s="3"/>
    </row>
    <row r="84" spans="1:10" ht="20.100000000000001" customHeight="1" x14ac:dyDescent="0.3">
      <c r="A84" s="21" t="str">
        <f t="shared" si="4"/>
        <v/>
      </c>
      <c r="B84" s="21"/>
      <c r="C84" s="21"/>
      <c r="D84" s="4" t="str">
        <f>IF(C84&lt;&gt;"",IFERROR(VLOOKUP(C84,'Araç Envanteri'!$B$4:$C$203,2,0),"Bulunamadı"),"")</f>
        <v/>
      </c>
      <c r="E84" s="21"/>
      <c r="F84" s="8"/>
      <c r="G84" s="8"/>
      <c r="H84" s="9" t="str">
        <f t="shared" si="5"/>
        <v/>
      </c>
      <c r="I84" s="21"/>
      <c r="J84" s="1"/>
    </row>
    <row r="85" spans="1:10" ht="20.100000000000001" customHeight="1" x14ac:dyDescent="0.3">
      <c r="A85" s="2" t="str">
        <f t="shared" si="4"/>
        <v/>
      </c>
      <c r="B85" s="2"/>
      <c r="C85" s="2"/>
      <c r="D85" s="4" t="str">
        <f>IF(C85&lt;&gt;"",IFERROR(VLOOKUP(C85,'Araç Envanteri'!$B$4:$C$203,2,0),"Bulunamadı"),"")</f>
        <v/>
      </c>
      <c r="E85" s="2"/>
      <c r="F85" s="10"/>
      <c r="G85" s="10"/>
      <c r="H85" s="9" t="str">
        <f t="shared" si="5"/>
        <v/>
      </c>
      <c r="I85" s="2"/>
      <c r="J85" s="3"/>
    </row>
    <row r="86" spans="1:10" ht="20.100000000000001" customHeight="1" x14ac:dyDescent="0.3">
      <c r="A86" s="21" t="str">
        <f t="shared" si="4"/>
        <v/>
      </c>
      <c r="B86" s="21"/>
      <c r="C86" s="21"/>
      <c r="D86" s="4" t="str">
        <f>IF(C86&lt;&gt;"",IFERROR(VLOOKUP(C86,'Araç Envanteri'!$B$4:$C$203,2,0),"Bulunamadı"),"")</f>
        <v/>
      </c>
      <c r="E86" s="21"/>
      <c r="F86" s="8"/>
      <c r="G86" s="8"/>
      <c r="H86" s="9" t="str">
        <f t="shared" si="5"/>
        <v/>
      </c>
      <c r="I86" s="21"/>
      <c r="J86" s="1"/>
    </row>
    <row r="87" spans="1:10" ht="20.100000000000001" customHeight="1" x14ac:dyDescent="0.3">
      <c r="A87" s="2" t="str">
        <f t="shared" si="4"/>
        <v/>
      </c>
      <c r="B87" s="2"/>
      <c r="C87" s="2"/>
      <c r="D87" s="4" t="str">
        <f>IF(C87&lt;&gt;"",IFERROR(VLOOKUP(C87,'Araç Envanteri'!$B$4:$C$203,2,0),"Bulunamadı"),"")</f>
        <v/>
      </c>
      <c r="E87" s="2"/>
      <c r="F87" s="10"/>
      <c r="G87" s="10"/>
      <c r="H87" s="9" t="str">
        <f t="shared" si="5"/>
        <v/>
      </c>
      <c r="I87" s="2"/>
      <c r="J87" s="3"/>
    </row>
    <row r="88" spans="1:10" ht="20.100000000000001" customHeight="1" x14ac:dyDescent="0.3">
      <c r="A88" s="21" t="str">
        <f t="shared" si="4"/>
        <v/>
      </c>
      <c r="B88" s="21"/>
      <c r="C88" s="21"/>
      <c r="D88" s="4" t="str">
        <f>IF(C88&lt;&gt;"",IFERROR(VLOOKUP(C88,'Araç Envanteri'!$B$4:$C$203,2,0),"Bulunamadı"),"")</f>
        <v/>
      </c>
      <c r="E88" s="21"/>
      <c r="F88" s="8"/>
      <c r="G88" s="8"/>
      <c r="H88" s="9" t="str">
        <f t="shared" si="5"/>
        <v/>
      </c>
      <c r="I88" s="21"/>
      <c r="J88" s="1"/>
    </row>
    <row r="89" spans="1:10" ht="20.100000000000001" customHeight="1" x14ac:dyDescent="0.3">
      <c r="A89" s="2" t="str">
        <f t="shared" si="4"/>
        <v/>
      </c>
      <c r="B89" s="2"/>
      <c r="C89" s="2"/>
      <c r="D89" s="4" t="str">
        <f>IF(C89&lt;&gt;"",IFERROR(VLOOKUP(C89,'Araç Envanteri'!$B$4:$C$203,2,0),"Bulunamadı"),"")</f>
        <v/>
      </c>
      <c r="E89" s="2"/>
      <c r="F89" s="10"/>
      <c r="G89" s="10"/>
      <c r="H89" s="9" t="str">
        <f t="shared" si="5"/>
        <v/>
      </c>
      <c r="I89" s="2"/>
      <c r="J89" s="3"/>
    </row>
    <row r="90" spans="1:10" ht="20.100000000000001" customHeight="1" x14ac:dyDescent="0.3">
      <c r="A90" s="21" t="str">
        <f t="shared" si="4"/>
        <v/>
      </c>
      <c r="B90" s="21"/>
      <c r="C90" s="21"/>
      <c r="D90" s="4" t="str">
        <f>IF(C90&lt;&gt;"",IFERROR(VLOOKUP(C90,'Araç Envanteri'!$B$4:$C$203,2,0),"Bulunamadı"),"")</f>
        <v/>
      </c>
      <c r="E90" s="21"/>
      <c r="F90" s="8"/>
      <c r="G90" s="8"/>
      <c r="H90" s="9" t="str">
        <f t="shared" si="5"/>
        <v/>
      </c>
      <c r="I90" s="21"/>
      <c r="J90" s="1"/>
    </row>
    <row r="91" spans="1:10" ht="20.100000000000001" customHeight="1" x14ac:dyDescent="0.3">
      <c r="A91" s="2" t="str">
        <f t="shared" si="4"/>
        <v/>
      </c>
      <c r="B91" s="2"/>
      <c r="C91" s="2"/>
      <c r="D91" s="4" t="str">
        <f>IF(C91&lt;&gt;"",IFERROR(VLOOKUP(C91,'Araç Envanteri'!$B$4:$C$203,2,0),"Bulunamadı"),"")</f>
        <v/>
      </c>
      <c r="E91" s="2"/>
      <c r="F91" s="10"/>
      <c r="G91" s="10"/>
      <c r="H91" s="9" t="str">
        <f t="shared" si="5"/>
        <v/>
      </c>
      <c r="I91" s="2"/>
      <c r="J91" s="3"/>
    </row>
    <row r="92" spans="1:10" ht="20.100000000000001" customHeight="1" x14ac:dyDescent="0.3">
      <c r="A92" s="21" t="str">
        <f t="shared" si="4"/>
        <v/>
      </c>
      <c r="B92" s="21"/>
      <c r="C92" s="21"/>
      <c r="D92" s="4" t="str">
        <f>IF(C92&lt;&gt;"",IFERROR(VLOOKUP(C92,'Araç Envanteri'!$B$4:$C$203,2,0),"Bulunamadı"),"")</f>
        <v/>
      </c>
      <c r="E92" s="21"/>
      <c r="F92" s="8"/>
      <c r="G92" s="8"/>
      <c r="H92" s="9" t="str">
        <f t="shared" si="5"/>
        <v/>
      </c>
      <c r="I92" s="21"/>
      <c r="J92" s="1"/>
    </row>
    <row r="93" spans="1:10" ht="20.100000000000001" customHeight="1" x14ac:dyDescent="0.3">
      <c r="A93" s="2" t="str">
        <f t="shared" si="4"/>
        <v/>
      </c>
      <c r="B93" s="2"/>
      <c r="C93" s="2"/>
      <c r="D93" s="4" t="str">
        <f>IF(C93&lt;&gt;"",IFERROR(VLOOKUP(C93,'Araç Envanteri'!$B$4:$C$203,2,0),"Bulunamadı"),"")</f>
        <v/>
      </c>
      <c r="E93" s="2"/>
      <c r="F93" s="10"/>
      <c r="G93" s="10"/>
      <c r="H93" s="9" t="str">
        <f t="shared" si="5"/>
        <v/>
      </c>
      <c r="I93" s="2"/>
      <c r="J93" s="3"/>
    </row>
    <row r="94" spans="1:10" ht="20.100000000000001" customHeight="1" x14ac:dyDescent="0.3">
      <c r="A94" s="21" t="str">
        <f t="shared" si="4"/>
        <v/>
      </c>
      <c r="B94" s="21"/>
      <c r="C94" s="21"/>
      <c r="D94" s="4" t="str">
        <f>IF(C94&lt;&gt;"",IFERROR(VLOOKUP(C94,'Araç Envanteri'!$B$4:$C$203,2,0),"Bulunamadı"),"")</f>
        <v/>
      </c>
      <c r="E94" s="21"/>
      <c r="F94" s="8"/>
      <c r="G94" s="8"/>
      <c r="H94" s="9" t="str">
        <f t="shared" si="5"/>
        <v/>
      </c>
      <c r="I94" s="21"/>
      <c r="J94" s="1"/>
    </row>
    <row r="95" spans="1:10" ht="20.100000000000001" customHeight="1" x14ac:dyDescent="0.3">
      <c r="A95" s="2" t="str">
        <f t="shared" si="4"/>
        <v/>
      </c>
      <c r="B95" s="2"/>
      <c r="C95" s="2"/>
      <c r="D95" s="4" t="str">
        <f>IF(C95&lt;&gt;"",IFERROR(VLOOKUP(C95,'Araç Envanteri'!$B$4:$C$203,2,0),"Bulunamadı"),"")</f>
        <v/>
      </c>
      <c r="E95" s="2"/>
      <c r="F95" s="10"/>
      <c r="G95" s="10"/>
      <c r="H95" s="9" t="str">
        <f t="shared" si="5"/>
        <v/>
      </c>
      <c r="I95" s="2"/>
      <c r="J95" s="3"/>
    </row>
    <row r="96" spans="1:10" ht="20.100000000000001" customHeight="1" x14ac:dyDescent="0.3">
      <c r="A96" s="21" t="str">
        <f t="shared" si="4"/>
        <v/>
      </c>
      <c r="B96" s="21"/>
      <c r="C96" s="21"/>
      <c r="D96" s="4" t="str">
        <f>IF(C96&lt;&gt;"",IFERROR(VLOOKUP(C96,'Araç Envanteri'!$B$4:$C$203,2,0),"Bulunamadı"),"")</f>
        <v/>
      </c>
      <c r="E96" s="21"/>
      <c r="F96" s="8"/>
      <c r="G96" s="8"/>
      <c r="H96" s="9" t="str">
        <f t="shared" si="5"/>
        <v/>
      </c>
      <c r="I96" s="21"/>
      <c r="J96" s="1"/>
    </row>
    <row r="97" spans="1:10" ht="20.100000000000001" customHeight="1" x14ac:dyDescent="0.3">
      <c r="A97" s="2" t="str">
        <f t="shared" si="4"/>
        <v/>
      </c>
      <c r="B97" s="2"/>
      <c r="C97" s="2"/>
      <c r="D97" s="4" t="str">
        <f>IF(C97&lt;&gt;"",IFERROR(VLOOKUP(C97,'Araç Envanteri'!$B$4:$C$203,2,0),"Bulunamadı"),"")</f>
        <v/>
      </c>
      <c r="E97" s="2"/>
      <c r="F97" s="10"/>
      <c r="G97" s="10"/>
      <c r="H97" s="9" t="str">
        <f t="shared" si="5"/>
        <v/>
      </c>
      <c r="I97" s="2"/>
      <c r="J97" s="3"/>
    </row>
    <row r="98" spans="1:10" ht="20.100000000000001" customHeight="1" x14ac:dyDescent="0.3">
      <c r="A98" s="21" t="str">
        <f t="shared" si="4"/>
        <v/>
      </c>
      <c r="B98" s="21"/>
      <c r="C98" s="21"/>
      <c r="D98" s="4" t="str">
        <f>IF(C98&lt;&gt;"",IFERROR(VLOOKUP(C98,'Araç Envanteri'!$B$4:$C$203,2,0),"Bulunamadı"),"")</f>
        <v/>
      </c>
      <c r="E98" s="21"/>
      <c r="F98" s="8"/>
      <c r="G98" s="8"/>
      <c r="H98" s="9" t="str">
        <f t="shared" si="5"/>
        <v/>
      </c>
      <c r="I98" s="21"/>
      <c r="J98" s="1"/>
    </row>
    <row r="99" spans="1:10" ht="20.100000000000001" customHeight="1" x14ac:dyDescent="0.3">
      <c r="A99" s="2" t="str">
        <f t="shared" si="4"/>
        <v/>
      </c>
      <c r="B99" s="2"/>
      <c r="C99" s="2"/>
      <c r="D99" s="4" t="str">
        <f>IF(C99&lt;&gt;"",IFERROR(VLOOKUP(C99,'Araç Envanteri'!$B$4:$C$203,2,0),"Bulunamadı"),"")</f>
        <v/>
      </c>
      <c r="E99" s="2"/>
      <c r="F99" s="10"/>
      <c r="G99" s="10"/>
      <c r="H99" s="9" t="str">
        <f t="shared" si="5"/>
        <v/>
      </c>
      <c r="I99" s="2"/>
      <c r="J99" s="3"/>
    </row>
    <row r="100" spans="1:10" ht="20.100000000000001" customHeight="1" x14ac:dyDescent="0.3">
      <c r="A100" s="21" t="str">
        <f t="shared" ref="A100:A131" si="6">IF(C100&lt;&gt;"",ROW()-3,"")</f>
        <v/>
      </c>
      <c r="B100" s="21"/>
      <c r="C100" s="21"/>
      <c r="D100" s="4" t="str">
        <f>IF(C100&lt;&gt;"",IFERROR(VLOOKUP(C100,'Araç Envanteri'!$B$4:$C$203,2,0),"Bulunamadı"),"")</f>
        <v/>
      </c>
      <c r="E100" s="21"/>
      <c r="F100" s="8"/>
      <c r="G100" s="8"/>
      <c r="H100" s="9" t="str">
        <f t="shared" ref="H100:H131" si="7">IF(C100&lt;&gt;"",IFERROR(F100*G100,""),"")</f>
        <v/>
      </c>
      <c r="I100" s="21"/>
      <c r="J100" s="1"/>
    </row>
    <row r="101" spans="1:10" ht="20.100000000000001" customHeight="1" x14ac:dyDescent="0.3">
      <c r="A101" s="2" t="str">
        <f t="shared" si="6"/>
        <v/>
      </c>
      <c r="B101" s="2"/>
      <c r="C101" s="2"/>
      <c r="D101" s="4" t="str">
        <f>IF(C101&lt;&gt;"",IFERROR(VLOOKUP(C101,'Araç Envanteri'!$B$4:$C$203,2,0),"Bulunamadı"),"")</f>
        <v/>
      </c>
      <c r="E101" s="2"/>
      <c r="F101" s="10"/>
      <c r="G101" s="10"/>
      <c r="H101" s="9" t="str">
        <f t="shared" si="7"/>
        <v/>
      </c>
      <c r="I101" s="2"/>
      <c r="J101" s="3"/>
    </row>
    <row r="102" spans="1:10" ht="20.100000000000001" customHeight="1" x14ac:dyDescent="0.3">
      <c r="A102" s="21" t="str">
        <f t="shared" si="6"/>
        <v/>
      </c>
      <c r="B102" s="21"/>
      <c r="C102" s="21"/>
      <c r="D102" s="4" t="str">
        <f>IF(C102&lt;&gt;"",IFERROR(VLOOKUP(C102,'Araç Envanteri'!$B$4:$C$203,2,0),"Bulunamadı"),"")</f>
        <v/>
      </c>
      <c r="E102" s="21"/>
      <c r="F102" s="8"/>
      <c r="G102" s="8"/>
      <c r="H102" s="9" t="str">
        <f t="shared" si="7"/>
        <v/>
      </c>
      <c r="I102" s="21"/>
      <c r="J102" s="1"/>
    </row>
    <row r="103" spans="1:10" ht="20.100000000000001" customHeight="1" x14ac:dyDescent="0.3">
      <c r="A103" s="2" t="str">
        <f t="shared" si="6"/>
        <v/>
      </c>
      <c r="B103" s="2"/>
      <c r="C103" s="2"/>
      <c r="D103" s="4" t="str">
        <f>IF(C103&lt;&gt;"",IFERROR(VLOOKUP(C103,'Araç Envanteri'!$B$4:$C$203,2,0),"Bulunamadı"),"")</f>
        <v/>
      </c>
      <c r="E103" s="2"/>
      <c r="F103" s="10"/>
      <c r="G103" s="10"/>
      <c r="H103" s="9" t="str">
        <f t="shared" si="7"/>
        <v/>
      </c>
      <c r="I103" s="2"/>
      <c r="J103" s="3"/>
    </row>
    <row r="104" spans="1:10" ht="20.100000000000001" customHeight="1" x14ac:dyDescent="0.3">
      <c r="A104" s="21" t="str">
        <f t="shared" si="6"/>
        <v/>
      </c>
      <c r="B104" s="21"/>
      <c r="C104" s="21"/>
      <c r="D104" s="4" t="str">
        <f>IF(C104&lt;&gt;"",IFERROR(VLOOKUP(C104,'Araç Envanteri'!$B$4:$C$203,2,0),"Bulunamadı"),"")</f>
        <v/>
      </c>
      <c r="E104" s="21"/>
      <c r="F104" s="8"/>
      <c r="G104" s="8"/>
      <c r="H104" s="9" t="str">
        <f t="shared" si="7"/>
        <v/>
      </c>
      <c r="I104" s="21"/>
      <c r="J104" s="1"/>
    </row>
    <row r="105" spans="1:10" ht="20.100000000000001" customHeight="1" x14ac:dyDescent="0.3">
      <c r="A105" s="2" t="str">
        <f t="shared" si="6"/>
        <v/>
      </c>
      <c r="B105" s="2"/>
      <c r="C105" s="2"/>
      <c r="D105" s="4" t="str">
        <f>IF(C105&lt;&gt;"",IFERROR(VLOOKUP(C105,'Araç Envanteri'!$B$4:$C$203,2,0),"Bulunamadı"),"")</f>
        <v/>
      </c>
      <c r="E105" s="2"/>
      <c r="F105" s="10"/>
      <c r="G105" s="10"/>
      <c r="H105" s="9" t="str">
        <f t="shared" si="7"/>
        <v/>
      </c>
      <c r="I105" s="2"/>
      <c r="J105" s="3"/>
    </row>
    <row r="106" spans="1:10" ht="20.100000000000001" customHeight="1" x14ac:dyDescent="0.3">
      <c r="A106" s="21" t="str">
        <f t="shared" si="6"/>
        <v/>
      </c>
      <c r="B106" s="21"/>
      <c r="C106" s="21"/>
      <c r="D106" s="4" t="str">
        <f>IF(C106&lt;&gt;"",IFERROR(VLOOKUP(C106,'Araç Envanteri'!$B$4:$C$203,2,0),"Bulunamadı"),"")</f>
        <v/>
      </c>
      <c r="E106" s="21"/>
      <c r="F106" s="8"/>
      <c r="G106" s="8"/>
      <c r="H106" s="9" t="str">
        <f t="shared" si="7"/>
        <v/>
      </c>
      <c r="I106" s="21"/>
      <c r="J106" s="1"/>
    </row>
    <row r="107" spans="1:10" ht="20.100000000000001" customHeight="1" x14ac:dyDescent="0.3">
      <c r="A107" s="2" t="str">
        <f t="shared" si="6"/>
        <v/>
      </c>
      <c r="B107" s="2"/>
      <c r="C107" s="2"/>
      <c r="D107" s="4" t="str">
        <f>IF(C107&lt;&gt;"",IFERROR(VLOOKUP(C107,'Araç Envanteri'!$B$4:$C$203,2,0),"Bulunamadı"),"")</f>
        <v/>
      </c>
      <c r="E107" s="2"/>
      <c r="F107" s="10"/>
      <c r="G107" s="10"/>
      <c r="H107" s="9" t="str">
        <f t="shared" si="7"/>
        <v/>
      </c>
      <c r="I107" s="2"/>
      <c r="J107" s="3"/>
    </row>
    <row r="108" spans="1:10" ht="20.100000000000001" customHeight="1" x14ac:dyDescent="0.3">
      <c r="A108" s="21" t="str">
        <f t="shared" si="6"/>
        <v/>
      </c>
      <c r="B108" s="21"/>
      <c r="C108" s="21"/>
      <c r="D108" s="4" t="str">
        <f>IF(C108&lt;&gt;"",IFERROR(VLOOKUP(C108,'Araç Envanteri'!$B$4:$C$203,2,0),"Bulunamadı"),"")</f>
        <v/>
      </c>
      <c r="E108" s="21"/>
      <c r="F108" s="8"/>
      <c r="G108" s="8"/>
      <c r="H108" s="9" t="str">
        <f t="shared" si="7"/>
        <v/>
      </c>
      <c r="I108" s="21"/>
      <c r="J108" s="1"/>
    </row>
    <row r="109" spans="1:10" ht="20.100000000000001" customHeight="1" x14ac:dyDescent="0.3">
      <c r="A109" s="2" t="str">
        <f t="shared" si="6"/>
        <v/>
      </c>
      <c r="B109" s="2"/>
      <c r="C109" s="2"/>
      <c r="D109" s="4" t="str">
        <f>IF(C109&lt;&gt;"",IFERROR(VLOOKUP(C109,'Araç Envanteri'!$B$4:$C$203,2,0),"Bulunamadı"),"")</f>
        <v/>
      </c>
      <c r="E109" s="2"/>
      <c r="F109" s="10"/>
      <c r="G109" s="10"/>
      <c r="H109" s="9" t="str">
        <f t="shared" si="7"/>
        <v/>
      </c>
      <c r="I109" s="2"/>
      <c r="J109" s="3"/>
    </row>
    <row r="110" spans="1:10" ht="20.100000000000001" customHeight="1" x14ac:dyDescent="0.3">
      <c r="A110" s="21" t="str">
        <f t="shared" si="6"/>
        <v/>
      </c>
      <c r="B110" s="21"/>
      <c r="C110" s="21"/>
      <c r="D110" s="4" t="str">
        <f>IF(C110&lt;&gt;"",IFERROR(VLOOKUP(C110,'Araç Envanteri'!$B$4:$C$203,2,0),"Bulunamadı"),"")</f>
        <v/>
      </c>
      <c r="E110" s="21"/>
      <c r="F110" s="8"/>
      <c r="G110" s="8"/>
      <c r="H110" s="9" t="str">
        <f t="shared" si="7"/>
        <v/>
      </c>
      <c r="I110" s="21"/>
      <c r="J110" s="1"/>
    </row>
    <row r="111" spans="1:10" ht="20.100000000000001" customHeight="1" x14ac:dyDescent="0.3">
      <c r="A111" s="2" t="str">
        <f t="shared" si="6"/>
        <v/>
      </c>
      <c r="B111" s="2"/>
      <c r="C111" s="2"/>
      <c r="D111" s="4" t="str">
        <f>IF(C111&lt;&gt;"",IFERROR(VLOOKUP(C111,'Araç Envanteri'!$B$4:$C$203,2,0),"Bulunamadı"),"")</f>
        <v/>
      </c>
      <c r="E111" s="2"/>
      <c r="F111" s="10"/>
      <c r="G111" s="10"/>
      <c r="H111" s="9" t="str">
        <f t="shared" si="7"/>
        <v/>
      </c>
      <c r="I111" s="2"/>
      <c r="J111" s="3"/>
    </row>
    <row r="112" spans="1:10" ht="20.100000000000001" customHeight="1" x14ac:dyDescent="0.3">
      <c r="A112" s="21" t="str">
        <f t="shared" si="6"/>
        <v/>
      </c>
      <c r="B112" s="21"/>
      <c r="C112" s="21"/>
      <c r="D112" s="4" t="str">
        <f>IF(C112&lt;&gt;"",IFERROR(VLOOKUP(C112,'Araç Envanteri'!$B$4:$C$203,2,0),"Bulunamadı"),"")</f>
        <v/>
      </c>
      <c r="E112" s="21"/>
      <c r="F112" s="8"/>
      <c r="G112" s="8"/>
      <c r="H112" s="9" t="str">
        <f t="shared" si="7"/>
        <v/>
      </c>
      <c r="I112" s="21"/>
      <c r="J112" s="1"/>
    </row>
    <row r="113" spans="1:10" ht="20.100000000000001" customHeight="1" x14ac:dyDescent="0.3">
      <c r="A113" s="2" t="str">
        <f t="shared" si="6"/>
        <v/>
      </c>
      <c r="B113" s="2"/>
      <c r="C113" s="2"/>
      <c r="D113" s="4" t="str">
        <f>IF(C113&lt;&gt;"",IFERROR(VLOOKUP(C113,'Araç Envanteri'!$B$4:$C$203,2,0),"Bulunamadı"),"")</f>
        <v/>
      </c>
      <c r="E113" s="2"/>
      <c r="F113" s="10"/>
      <c r="G113" s="10"/>
      <c r="H113" s="9" t="str">
        <f t="shared" si="7"/>
        <v/>
      </c>
      <c r="I113" s="2"/>
      <c r="J113" s="3"/>
    </row>
    <row r="114" spans="1:10" ht="20.100000000000001" customHeight="1" x14ac:dyDescent="0.3">
      <c r="A114" s="21" t="str">
        <f t="shared" si="6"/>
        <v/>
      </c>
      <c r="B114" s="21"/>
      <c r="C114" s="21"/>
      <c r="D114" s="4" t="str">
        <f>IF(C114&lt;&gt;"",IFERROR(VLOOKUP(C114,'Araç Envanteri'!$B$4:$C$203,2,0),"Bulunamadı"),"")</f>
        <v/>
      </c>
      <c r="E114" s="21"/>
      <c r="F114" s="8"/>
      <c r="G114" s="8"/>
      <c r="H114" s="9" t="str">
        <f t="shared" si="7"/>
        <v/>
      </c>
      <c r="I114" s="21"/>
      <c r="J114" s="1"/>
    </row>
    <row r="115" spans="1:10" ht="20.100000000000001" customHeight="1" x14ac:dyDescent="0.3">
      <c r="A115" s="2" t="str">
        <f t="shared" si="6"/>
        <v/>
      </c>
      <c r="B115" s="2"/>
      <c r="C115" s="2"/>
      <c r="D115" s="4" t="str">
        <f>IF(C115&lt;&gt;"",IFERROR(VLOOKUP(C115,'Araç Envanteri'!$B$4:$C$203,2,0),"Bulunamadı"),"")</f>
        <v/>
      </c>
      <c r="E115" s="2"/>
      <c r="F115" s="10"/>
      <c r="G115" s="10"/>
      <c r="H115" s="9" t="str">
        <f t="shared" si="7"/>
        <v/>
      </c>
      <c r="I115" s="2"/>
      <c r="J115" s="3"/>
    </row>
    <row r="116" spans="1:10" ht="20.100000000000001" customHeight="1" x14ac:dyDescent="0.3">
      <c r="A116" s="21" t="str">
        <f t="shared" si="6"/>
        <v/>
      </c>
      <c r="B116" s="21"/>
      <c r="C116" s="21"/>
      <c r="D116" s="4" t="str">
        <f>IF(C116&lt;&gt;"",IFERROR(VLOOKUP(C116,'Araç Envanteri'!$B$4:$C$203,2,0),"Bulunamadı"),"")</f>
        <v/>
      </c>
      <c r="E116" s="21"/>
      <c r="F116" s="8"/>
      <c r="G116" s="8"/>
      <c r="H116" s="9" t="str">
        <f t="shared" si="7"/>
        <v/>
      </c>
      <c r="I116" s="21"/>
      <c r="J116" s="1"/>
    </row>
    <row r="117" spans="1:10" ht="20.100000000000001" customHeight="1" x14ac:dyDescent="0.3">
      <c r="A117" s="2" t="str">
        <f t="shared" si="6"/>
        <v/>
      </c>
      <c r="B117" s="2"/>
      <c r="C117" s="2"/>
      <c r="D117" s="4" t="str">
        <f>IF(C117&lt;&gt;"",IFERROR(VLOOKUP(C117,'Araç Envanteri'!$B$4:$C$203,2,0),"Bulunamadı"),"")</f>
        <v/>
      </c>
      <c r="E117" s="2"/>
      <c r="F117" s="10"/>
      <c r="G117" s="10"/>
      <c r="H117" s="9" t="str">
        <f t="shared" si="7"/>
        <v/>
      </c>
      <c r="I117" s="2"/>
      <c r="J117" s="3"/>
    </row>
    <row r="118" spans="1:10" ht="20.100000000000001" customHeight="1" x14ac:dyDescent="0.3">
      <c r="A118" s="21" t="str">
        <f t="shared" si="6"/>
        <v/>
      </c>
      <c r="B118" s="21"/>
      <c r="C118" s="21"/>
      <c r="D118" s="4" t="str">
        <f>IF(C118&lt;&gt;"",IFERROR(VLOOKUP(C118,'Araç Envanteri'!$B$4:$C$203,2,0),"Bulunamadı"),"")</f>
        <v/>
      </c>
      <c r="E118" s="21"/>
      <c r="F118" s="8"/>
      <c r="G118" s="8"/>
      <c r="H118" s="9" t="str">
        <f t="shared" si="7"/>
        <v/>
      </c>
      <c r="I118" s="21"/>
      <c r="J118" s="1"/>
    </row>
    <row r="119" spans="1:10" ht="20.100000000000001" customHeight="1" x14ac:dyDescent="0.3">
      <c r="A119" s="2" t="str">
        <f t="shared" si="6"/>
        <v/>
      </c>
      <c r="B119" s="2"/>
      <c r="C119" s="2"/>
      <c r="D119" s="4" t="str">
        <f>IF(C119&lt;&gt;"",IFERROR(VLOOKUP(C119,'Araç Envanteri'!$B$4:$C$203,2,0),"Bulunamadı"),"")</f>
        <v/>
      </c>
      <c r="E119" s="2"/>
      <c r="F119" s="10"/>
      <c r="G119" s="10"/>
      <c r="H119" s="9" t="str">
        <f t="shared" si="7"/>
        <v/>
      </c>
      <c r="I119" s="2"/>
      <c r="J119" s="3"/>
    </row>
    <row r="120" spans="1:10" ht="20.100000000000001" customHeight="1" x14ac:dyDescent="0.3">
      <c r="A120" s="21" t="str">
        <f t="shared" si="6"/>
        <v/>
      </c>
      <c r="B120" s="21"/>
      <c r="C120" s="21"/>
      <c r="D120" s="4" t="str">
        <f>IF(C120&lt;&gt;"",IFERROR(VLOOKUP(C120,'Araç Envanteri'!$B$4:$C$203,2,0),"Bulunamadı"),"")</f>
        <v/>
      </c>
      <c r="E120" s="21"/>
      <c r="F120" s="8"/>
      <c r="G120" s="8"/>
      <c r="H120" s="9" t="str">
        <f t="shared" si="7"/>
        <v/>
      </c>
      <c r="I120" s="21"/>
      <c r="J120" s="1"/>
    </row>
    <row r="121" spans="1:10" ht="20.100000000000001" customHeight="1" x14ac:dyDescent="0.3">
      <c r="A121" s="2" t="str">
        <f t="shared" si="6"/>
        <v/>
      </c>
      <c r="B121" s="2"/>
      <c r="C121" s="2"/>
      <c r="D121" s="4" t="str">
        <f>IF(C121&lt;&gt;"",IFERROR(VLOOKUP(C121,'Araç Envanteri'!$B$4:$C$203,2,0),"Bulunamadı"),"")</f>
        <v/>
      </c>
      <c r="E121" s="2"/>
      <c r="F121" s="10"/>
      <c r="G121" s="10"/>
      <c r="H121" s="9" t="str">
        <f t="shared" si="7"/>
        <v/>
      </c>
      <c r="I121" s="2"/>
      <c r="J121" s="3"/>
    </row>
    <row r="122" spans="1:10" ht="20.100000000000001" customHeight="1" x14ac:dyDescent="0.3">
      <c r="A122" s="21" t="str">
        <f t="shared" si="6"/>
        <v/>
      </c>
      <c r="B122" s="21"/>
      <c r="C122" s="21"/>
      <c r="D122" s="4" t="str">
        <f>IF(C122&lt;&gt;"",IFERROR(VLOOKUP(C122,'Araç Envanteri'!$B$4:$C$203,2,0),"Bulunamadı"),"")</f>
        <v/>
      </c>
      <c r="E122" s="21"/>
      <c r="F122" s="8"/>
      <c r="G122" s="8"/>
      <c r="H122" s="9" t="str">
        <f t="shared" si="7"/>
        <v/>
      </c>
      <c r="I122" s="21"/>
      <c r="J122" s="1"/>
    </row>
    <row r="123" spans="1:10" ht="20.100000000000001" customHeight="1" x14ac:dyDescent="0.3">
      <c r="A123" s="2" t="str">
        <f t="shared" si="6"/>
        <v/>
      </c>
      <c r="B123" s="2"/>
      <c r="C123" s="2"/>
      <c r="D123" s="4" t="str">
        <f>IF(C123&lt;&gt;"",IFERROR(VLOOKUP(C123,'Araç Envanteri'!$B$4:$C$203,2,0),"Bulunamadı"),"")</f>
        <v/>
      </c>
      <c r="E123" s="2"/>
      <c r="F123" s="10"/>
      <c r="G123" s="10"/>
      <c r="H123" s="9" t="str">
        <f t="shared" si="7"/>
        <v/>
      </c>
      <c r="I123" s="2"/>
      <c r="J123" s="3"/>
    </row>
    <row r="124" spans="1:10" ht="20.100000000000001" customHeight="1" x14ac:dyDescent="0.3">
      <c r="A124" s="21" t="str">
        <f t="shared" si="6"/>
        <v/>
      </c>
      <c r="B124" s="21"/>
      <c r="C124" s="21"/>
      <c r="D124" s="4" t="str">
        <f>IF(C124&lt;&gt;"",IFERROR(VLOOKUP(C124,'Araç Envanteri'!$B$4:$C$203,2,0),"Bulunamadı"),"")</f>
        <v/>
      </c>
      <c r="E124" s="21"/>
      <c r="F124" s="8"/>
      <c r="G124" s="8"/>
      <c r="H124" s="9" t="str">
        <f t="shared" si="7"/>
        <v/>
      </c>
      <c r="I124" s="21"/>
      <c r="J124" s="1"/>
    </row>
    <row r="125" spans="1:10" ht="20.100000000000001" customHeight="1" x14ac:dyDescent="0.3">
      <c r="A125" s="2" t="str">
        <f t="shared" si="6"/>
        <v/>
      </c>
      <c r="B125" s="2"/>
      <c r="C125" s="2"/>
      <c r="D125" s="4" t="str">
        <f>IF(C125&lt;&gt;"",IFERROR(VLOOKUP(C125,'Araç Envanteri'!$B$4:$C$203,2,0),"Bulunamadı"),"")</f>
        <v/>
      </c>
      <c r="E125" s="2"/>
      <c r="F125" s="10"/>
      <c r="G125" s="10"/>
      <c r="H125" s="9" t="str">
        <f t="shared" si="7"/>
        <v/>
      </c>
      <c r="I125" s="2"/>
      <c r="J125" s="3"/>
    </row>
    <row r="126" spans="1:10" ht="20.100000000000001" customHeight="1" x14ac:dyDescent="0.3">
      <c r="A126" s="21" t="str">
        <f t="shared" si="6"/>
        <v/>
      </c>
      <c r="B126" s="21"/>
      <c r="C126" s="21"/>
      <c r="D126" s="4" t="str">
        <f>IF(C126&lt;&gt;"",IFERROR(VLOOKUP(C126,'Araç Envanteri'!$B$4:$C$203,2,0),"Bulunamadı"),"")</f>
        <v/>
      </c>
      <c r="E126" s="21"/>
      <c r="F126" s="8"/>
      <c r="G126" s="8"/>
      <c r="H126" s="9" t="str">
        <f t="shared" si="7"/>
        <v/>
      </c>
      <c r="I126" s="21"/>
      <c r="J126" s="1"/>
    </row>
    <row r="127" spans="1:10" ht="20.100000000000001" customHeight="1" x14ac:dyDescent="0.3">
      <c r="A127" s="2" t="str">
        <f t="shared" si="6"/>
        <v/>
      </c>
      <c r="B127" s="2"/>
      <c r="C127" s="2"/>
      <c r="D127" s="4" t="str">
        <f>IF(C127&lt;&gt;"",IFERROR(VLOOKUP(C127,'Araç Envanteri'!$B$4:$C$203,2,0),"Bulunamadı"),"")</f>
        <v/>
      </c>
      <c r="E127" s="2"/>
      <c r="F127" s="10"/>
      <c r="G127" s="10"/>
      <c r="H127" s="9" t="str">
        <f t="shared" si="7"/>
        <v/>
      </c>
      <c r="I127" s="2"/>
      <c r="J127" s="3"/>
    </row>
    <row r="128" spans="1:10" ht="20.100000000000001" customHeight="1" x14ac:dyDescent="0.3">
      <c r="A128" s="21" t="str">
        <f t="shared" si="6"/>
        <v/>
      </c>
      <c r="B128" s="21"/>
      <c r="C128" s="21"/>
      <c r="D128" s="4" t="str">
        <f>IF(C128&lt;&gt;"",IFERROR(VLOOKUP(C128,'Araç Envanteri'!$B$4:$C$203,2,0),"Bulunamadı"),"")</f>
        <v/>
      </c>
      <c r="E128" s="21"/>
      <c r="F128" s="8"/>
      <c r="G128" s="8"/>
      <c r="H128" s="9" t="str">
        <f t="shared" si="7"/>
        <v/>
      </c>
      <c r="I128" s="21"/>
      <c r="J128" s="1"/>
    </row>
    <row r="129" spans="1:10" ht="20.100000000000001" customHeight="1" x14ac:dyDescent="0.3">
      <c r="A129" s="2" t="str">
        <f t="shared" si="6"/>
        <v/>
      </c>
      <c r="B129" s="2"/>
      <c r="C129" s="2"/>
      <c r="D129" s="4" t="str">
        <f>IF(C129&lt;&gt;"",IFERROR(VLOOKUP(C129,'Araç Envanteri'!$B$4:$C$203,2,0),"Bulunamadı"),"")</f>
        <v/>
      </c>
      <c r="E129" s="2"/>
      <c r="F129" s="10"/>
      <c r="G129" s="10"/>
      <c r="H129" s="9" t="str">
        <f t="shared" si="7"/>
        <v/>
      </c>
      <c r="I129" s="2"/>
      <c r="J129" s="3"/>
    </row>
    <row r="130" spans="1:10" ht="20.100000000000001" customHeight="1" x14ac:dyDescent="0.3">
      <c r="A130" s="21" t="str">
        <f t="shared" si="6"/>
        <v/>
      </c>
      <c r="B130" s="21"/>
      <c r="C130" s="21"/>
      <c r="D130" s="4" t="str">
        <f>IF(C130&lt;&gt;"",IFERROR(VLOOKUP(C130,'Araç Envanteri'!$B$4:$C$203,2,0),"Bulunamadı"),"")</f>
        <v/>
      </c>
      <c r="E130" s="21"/>
      <c r="F130" s="8"/>
      <c r="G130" s="8"/>
      <c r="H130" s="9" t="str">
        <f t="shared" si="7"/>
        <v/>
      </c>
      <c r="I130" s="21"/>
      <c r="J130" s="1"/>
    </row>
    <row r="131" spans="1:10" ht="20.100000000000001" customHeight="1" x14ac:dyDescent="0.3">
      <c r="A131" s="2" t="str">
        <f t="shared" si="6"/>
        <v/>
      </c>
      <c r="B131" s="2"/>
      <c r="C131" s="2"/>
      <c r="D131" s="4" t="str">
        <f>IF(C131&lt;&gt;"",IFERROR(VLOOKUP(C131,'Araç Envanteri'!$B$4:$C$203,2,0),"Bulunamadı"),"")</f>
        <v/>
      </c>
      <c r="E131" s="2"/>
      <c r="F131" s="10"/>
      <c r="G131" s="10"/>
      <c r="H131" s="9" t="str">
        <f t="shared" si="7"/>
        <v/>
      </c>
      <c r="I131" s="2"/>
      <c r="J131" s="3"/>
    </row>
    <row r="132" spans="1:10" ht="20.100000000000001" customHeight="1" x14ac:dyDescent="0.3">
      <c r="A132" s="21" t="str">
        <f t="shared" ref="A132:A163" si="8">IF(C132&lt;&gt;"",ROW()-3,"")</f>
        <v/>
      </c>
      <c r="B132" s="21"/>
      <c r="C132" s="21"/>
      <c r="D132" s="4" t="str">
        <f>IF(C132&lt;&gt;"",IFERROR(VLOOKUP(C132,'Araç Envanteri'!$B$4:$C$203,2,0),"Bulunamadı"),"")</f>
        <v/>
      </c>
      <c r="E132" s="21"/>
      <c r="F132" s="8"/>
      <c r="G132" s="8"/>
      <c r="H132" s="9" t="str">
        <f t="shared" ref="H132:H163" si="9">IF(C132&lt;&gt;"",IFERROR(F132*G132,""),"")</f>
        <v/>
      </c>
      <c r="I132" s="21"/>
      <c r="J132" s="1"/>
    </row>
    <row r="133" spans="1:10" ht="20.100000000000001" customHeight="1" x14ac:dyDescent="0.3">
      <c r="A133" s="2" t="str">
        <f t="shared" si="8"/>
        <v/>
      </c>
      <c r="B133" s="2"/>
      <c r="C133" s="2"/>
      <c r="D133" s="4" t="str">
        <f>IF(C133&lt;&gt;"",IFERROR(VLOOKUP(C133,'Araç Envanteri'!$B$4:$C$203,2,0),"Bulunamadı"),"")</f>
        <v/>
      </c>
      <c r="E133" s="2"/>
      <c r="F133" s="10"/>
      <c r="G133" s="10"/>
      <c r="H133" s="9" t="str">
        <f t="shared" si="9"/>
        <v/>
      </c>
      <c r="I133" s="2"/>
      <c r="J133" s="3"/>
    </row>
    <row r="134" spans="1:10" ht="20.100000000000001" customHeight="1" x14ac:dyDescent="0.3">
      <c r="A134" s="21" t="str">
        <f t="shared" si="8"/>
        <v/>
      </c>
      <c r="B134" s="21"/>
      <c r="C134" s="21"/>
      <c r="D134" s="4" t="str">
        <f>IF(C134&lt;&gt;"",IFERROR(VLOOKUP(C134,'Araç Envanteri'!$B$4:$C$203,2,0),"Bulunamadı"),"")</f>
        <v/>
      </c>
      <c r="E134" s="21"/>
      <c r="F134" s="8"/>
      <c r="G134" s="8"/>
      <c r="H134" s="9" t="str">
        <f t="shared" si="9"/>
        <v/>
      </c>
      <c r="I134" s="21"/>
      <c r="J134" s="1"/>
    </row>
    <row r="135" spans="1:10" ht="20.100000000000001" customHeight="1" x14ac:dyDescent="0.3">
      <c r="A135" s="2" t="str">
        <f t="shared" si="8"/>
        <v/>
      </c>
      <c r="B135" s="2"/>
      <c r="C135" s="2"/>
      <c r="D135" s="4" t="str">
        <f>IF(C135&lt;&gt;"",IFERROR(VLOOKUP(C135,'Araç Envanteri'!$B$4:$C$203,2,0),"Bulunamadı"),"")</f>
        <v/>
      </c>
      <c r="E135" s="2"/>
      <c r="F135" s="10"/>
      <c r="G135" s="10"/>
      <c r="H135" s="9" t="str">
        <f t="shared" si="9"/>
        <v/>
      </c>
      <c r="I135" s="2"/>
      <c r="J135" s="3"/>
    </row>
    <row r="136" spans="1:10" ht="20.100000000000001" customHeight="1" x14ac:dyDescent="0.3">
      <c r="A136" s="21" t="str">
        <f t="shared" si="8"/>
        <v/>
      </c>
      <c r="B136" s="21"/>
      <c r="C136" s="21"/>
      <c r="D136" s="4" t="str">
        <f>IF(C136&lt;&gt;"",IFERROR(VLOOKUP(C136,'Araç Envanteri'!$B$4:$C$203,2,0),"Bulunamadı"),"")</f>
        <v/>
      </c>
      <c r="E136" s="21"/>
      <c r="F136" s="8"/>
      <c r="G136" s="8"/>
      <c r="H136" s="9" t="str">
        <f t="shared" si="9"/>
        <v/>
      </c>
      <c r="I136" s="21"/>
      <c r="J136" s="1"/>
    </row>
    <row r="137" spans="1:10" ht="20.100000000000001" customHeight="1" x14ac:dyDescent="0.3">
      <c r="A137" s="2" t="str">
        <f t="shared" si="8"/>
        <v/>
      </c>
      <c r="B137" s="2"/>
      <c r="C137" s="2"/>
      <c r="D137" s="4" t="str">
        <f>IF(C137&lt;&gt;"",IFERROR(VLOOKUP(C137,'Araç Envanteri'!$B$4:$C$203,2,0),"Bulunamadı"),"")</f>
        <v/>
      </c>
      <c r="E137" s="2"/>
      <c r="F137" s="10"/>
      <c r="G137" s="10"/>
      <c r="H137" s="9" t="str">
        <f t="shared" si="9"/>
        <v/>
      </c>
      <c r="I137" s="2"/>
      <c r="J137" s="3"/>
    </row>
    <row r="138" spans="1:10" ht="20.100000000000001" customHeight="1" x14ac:dyDescent="0.3">
      <c r="A138" s="21" t="str">
        <f t="shared" si="8"/>
        <v/>
      </c>
      <c r="B138" s="21"/>
      <c r="C138" s="21"/>
      <c r="D138" s="4" t="str">
        <f>IF(C138&lt;&gt;"",IFERROR(VLOOKUP(C138,'Araç Envanteri'!$B$4:$C$203,2,0),"Bulunamadı"),"")</f>
        <v/>
      </c>
      <c r="E138" s="21"/>
      <c r="F138" s="8"/>
      <c r="G138" s="8"/>
      <c r="H138" s="9" t="str">
        <f t="shared" si="9"/>
        <v/>
      </c>
      <c r="I138" s="21"/>
      <c r="J138" s="1"/>
    </row>
    <row r="139" spans="1:10" ht="20.100000000000001" customHeight="1" x14ac:dyDescent="0.3">
      <c r="A139" s="2" t="str">
        <f t="shared" si="8"/>
        <v/>
      </c>
      <c r="B139" s="2"/>
      <c r="C139" s="2"/>
      <c r="D139" s="4" t="str">
        <f>IF(C139&lt;&gt;"",IFERROR(VLOOKUP(C139,'Araç Envanteri'!$B$4:$C$203,2,0),"Bulunamadı"),"")</f>
        <v/>
      </c>
      <c r="E139" s="2"/>
      <c r="F139" s="10"/>
      <c r="G139" s="10"/>
      <c r="H139" s="9" t="str">
        <f t="shared" si="9"/>
        <v/>
      </c>
      <c r="I139" s="2"/>
      <c r="J139" s="3"/>
    </row>
    <row r="140" spans="1:10" ht="20.100000000000001" customHeight="1" x14ac:dyDescent="0.3">
      <c r="A140" s="21" t="str">
        <f t="shared" si="8"/>
        <v/>
      </c>
      <c r="B140" s="21"/>
      <c r="C140" s="21"/>
      <c r="D140" s="4" t="str">
        <f>IF(C140&lt;&gt;"",IFERROR(VLOOKUP(C140,'Araç Envanteri'!$B$4:$C$203,2,0),"Bulunamadı"),"")</f>
        <v/>
      </c>
      <c r="E140" s="21"/>
      <c r="F140" s="8"/>
      <c r="G140" s="8"/>
      <c r="H140" s="9" t="str">
        <f t="shared" si="9"/>
        <v/>
      </c>
      <c r="I140" s="21"/>
      <c r="J140" s="1"/>
    </row>
    <row r="141" spans="1:10" ht="20.100000000000001" customHeight="1" x14ac:dyDescent="0.3">
      <c r="A141" s="2" t="str">
        <f t="shared" si="8"/>
        <v/>
      </c>
      <c r="B141" s="2"/>
      <c r="C141" s="2"/>
      <c r="D141" s="4" t="str">
        <f>IF(C141&lt;&gt;"",IFERROR(VLOOKUP(C141,'Araç Envanteri'!$B$4:$C$203,2,0),"Bulunamadı"),"")</f>
        <v/>
      </c>
      <c r="E141" s="2"/>
      <c r="F141" s="10"/>
      <c r="G141" s="10"/>
      <c r="H141" s="9" t="str">
        <f t="shared" si="9"/>
        <v/>
      </c>
      <c r="I141" s="2"/>
      <c r="J141" s="3"/>
    </row>
    <row r="142" spans="1:10" ht="20.100000000000001" customHeight="1" x14ac:dyDescent="0.3">
      <c r="A142" s="21" t="str">
        <f t="shared" si="8"/>
        <v/>
      </c>
      <c r="B142" s="21"/>
      <c r="C142" s="21"/>
      <c r="D142" s="4" t="str">
        <f>IF(C142&lt;&gt;"",IFERROR(VLOOKUP(C142,'Araç Envanteri'!$B$4:$C$203,2,0),"Bulunamadı"),"")</f>
        <v/>
      </c>
      <c r="E142" s="21"/>
      <c r="F142" s="8"/>
      <c r="G142" s="8"/>
      <c r="H142" s="9" t="str">
        <f t="shared" si="9"/>
        <v/>
      </c>
      <c r="I142" s="21"/>
      <c r="J142" s="1"/>
    </row>
    <row r="143" spans="1:10" ht="20.100000000000001" customHeight="1" x14ac:dyDescent="0.3">
      <c r="A143" s="2" t="str">
        <f t="shared" si="8"/>
        <v/>
      </c>
      <c r="B143" s="2"/>
      <c r="C143" s="2"/>
      <c r="D143" s="4" t="str">
        <f>IF(C143&lt;&gt;"",IFERROR(VLOOKUP(C143,'Araç Envanteri'!$B$4:$C$203,2,0),"Bulunamadı"),"")</f>
        <v/>
      </c>
      <c r="E143" s="2"/>
      <c r="F143" s="10"/>
      <c r="G143" s="10"/>
      <c r="H143" s="9" t="str">
        <f t="shared" si="9"/>
        <v/>
      </c>
      <c r="I143" s="2"/>
      <c r="J143" s="3"/>
    </row>
    <row r="144" spans="1:10" ht="20.100000000000001" customHeight="1" x14ac:dyDescent="0.3">
      <c r="A144" s="21" t="str">
        <f t="shared" si="8"/>
        <v/>
      </c>
      <c r="B144" s="21"/>
      <c r="C144" s="21"/>
      <c r="D144" s="4" t="str">
        <f>IF(C144&lt;&gt;"",IFERROR(VLOOKUP(C144,'Araç Envanteri'!$B$4:$C$203,2,0),"Bulunamadı"),"")</f>
        <v/>
      </c>
      <c r="E144" s="21"/>
      <c r="F144" s="8"/>
      <c r="G144" s="8"/>
      <c r="H144" s="9" t="str">
        <f t="shared" si="9"/>
        <v/>
      </c>
      <c r="I144" s="21"/>
      <c r="J144" s="1"/>
    </row>
    <row r="145" spans="1:10" ht="20.100000000000001" customHeight="1" x14ac:dyDescent="0.3">
      <c r="A145" s="2" t="str">
        <f t="shared" si="8"/>
        <v/>
      </c>
      <c r="B145" s="2"/>
      <c r="C145" s="2"/>
      <c r="D145" s="4" t="str">
        <f>IF(C145&lt;&gt;"",IFERROR(VLOOKUP(C145,'Araç Envanteri'!$B$4:$C$203,2,0),"Bulunamadı"),"")</f>
        <v/>
      </c>
      <c r="E145" s="2"/>
      <c r="F145" s="10"/>
      <c r="G145" s="10"/>
      <c r="H145" s="9" t="str">
        <f t="shared" si="9"/>
        <v/>
      </c>
      <c r="I145" s="2"/>
      <c r="J145" s="3"/>
    </row>
    <row r="146" spans="1:10" ht="20.100000000000001" customHeight="1" x14ac:dyDescent="0.3">
      <c r="A146" s="21" t="str">
        <f t="shared" si="8"/>
        <v/>
      </c>
      <c r="B146" s="21"/>
      <c r="C146" s="21"/>
      <c r="D146" s="4" t="str">
        <f>IF(C146&lt;&gt;"",IFERROR(VLOOKUP(C146,'Araç Envanteri'!$B$4:$C$203,2,0),"Bulunamadı"),"")</f>
        <v/>
      </c>
      <c r="E146" s="21"/>
      <c r="F146" s="8"/>
      <c r="G146" s="8"/>
      <c r="H146" s="9" t="str">
        <f t="shared" si="9"/>
        <v/>
      </c>
      <c r="I146" s="21"/>
      <c r="J146" s="1"/>
    </row>
    <row r="147" spans="1:10" ht="20.100000000000001" customHeight="1" x14ac:dyDescent="0.3">
      <c r="A147" s="2" t="str">
        <f t="shared" si="8"/>
        <v/>
      </c>
      <c r="B147" s="2"/>
      <c r="C147" s="2"/>
      <c r="D147" s="4" t="str">
        <f>IF(C147&lt;&gt;"",IFERROR(VLOOKUP(C147,'Araç Envanteri'!$B$4:$C$203,2,0),"Bulunamadı"),"")</f>
        <v/>
      </c>
      <c r="E147" s="2"/>
      <c r="F147" s="10"/>
      <c r="G147" s="10"/>
      <c r="H147" s="9" t="str">
        <f t="shared" si="9"/>
        <v/>
      </c>
      <c r="I147" s="2"/>
      <c r="J147" s="3"/>
    </row>
    <row r="148" spans="1:10" ht="20.100000000000001" customHeight="1" x14ac:dyDescent="0.3">
      <c r="A148" s="21" t="str">
        <f t="shared" si="8"/>
        <v/>
      </c>
      <c r="B148" s="21"/>
      <c r="C148" s="21"/>
      <c r="D148" s="4" t="str">
        <f>IF(C148&lt;&gt;"",IFERROR(VLOOKUP(C148,'Araç Envanteri'!$B$4:$C$203,2,0),"Bulunamadı"),"")</f>
        <v/>
      </c>
      <c r="E148" s="21"/>
      <c r="F148" s="8"/>
      <c r="G148" s="8"/>
      <c r="H148" s="9" t="str">
        <f t="shared" si="9"/>
        <v/>
      </c>
      <c r="I148" s="21"/>
      <c r="J148" s="1"/>
    </row>
    <row r="149" spans="1:10" ht="20.100000000000001" customHeight="1" x14ac:dyDescent="0.3">
      <c r="A149" s="2" t="str">
        <f t="shared" si="8"/>
        <v/>
      </c>
      <c r="B149" s="2"/>
      <c r="C149" s="2"/>
      <c r="D149" s="4" t="str">
        <f>IF(C149&lt;&gt;"",IFERROR(VLOOKUP(C149,'Araç Envanteri'!$B$4:$C$203,2,0),"Bulunamadı"),"")</f>
        <v/>
      </c>
      <c r="E149" s="2"/>
      <c r="F149" s="10"/>
      <c r="G149" s="10"/>
      <c r="H149" s="9" t="str">
        <f t="shared" si="9"/>
        <v/>
      </c>
      <c r="I149" s="2"/>
      <c r="J149" s="3"/>
    </row>
    <row r="150" spans="1:10" ht="20.100000000000001" customHeight="1" x14ac:dyDescent="0.3">
      <c r="A150" s="21" t="str">
        <f t="shared" si="8"/>
        <v/>
      </c>
      <c r="B150" s="21"/>
      <c r="C150" s="21"/>
      <c r="D150" s="4" t="str">
        <f>IF(C150&lt;&gt;"",IFERROR(VLOOKUP(C150,'Araç Envanteri'!$B$4:$C$203,2,0),"Bulunamadı"),"")</f>
        <v/>
      </c>
      <c r="E150" s="21"/>
      <c r="F150" s="8"/>
      <c r="G150" s="8"/>
      <c r="H150" s="9" t="str">
        <f t="shared" si="9"/>
        <v/>
      </c>
      <c r="I150" s="21"/>
      <c r="J150" s="1"/>
    </row>
    <row r="151" spans="1:10" ht="20.100000000000001" customHeight="1" x14ac:dyDescent="0.3">
      <c r="A151" s="2" t="str">
        <f t="shared" si="8"/>
        <v/>
      </c>
      <c r="B151" s="2"/>
      <c r="C151" s="2"/>
      <c r="D151" s="4" t="str">
        <f>IF(C151&lt;&gt;"",IFERROR(VLOOKUP(C151,'Araç Envanteri'!$B$4:$C$203,2,0),"Bulunamadı"),"")</f>
        <v/>
      </c>
      <c r="E151" s="2"/>
      <c r="F151" s="10"/>
      <c r="G151" s="10"/>
      <c r="H151" s="9" t="str">
        <f t="shared" si="9"/>
        <v/>
      </c>
      <c r="I151" s="2"/>
      <c r="J151" s="3"/>
    </row>
    <row r="152" spans="1:10" ht="20.100000000000001" customHeight="1" x14ac:dyDescent="0.3">
      <c r="A152" s="21" t="str">
        <f t="shared" si="8"/>
        <v/>
      </c>
      <c r="B152" s="21"/>
      <c r="C152" s="21"/>
      <c r="D152" s="4" t="str">
        <f>IF(C152&lt;&gt;"",IFERROR(VLOOKUP(C152,'Araç Envanteri'!$B$4:$C$203,2,0),"Bulunamadı"),"")</f>
        <v/>
      </c>
      <c r="E152" s="21"/>
      <c r="F152" s="8"/>
      <c r="G152" s="8"/>
      <c r="H152" s="9" t="str">
        <f t="shared" si="9"/>
        <v/>
      </c>
      <c r="I152" s="21"/>
      <c r="J152" s="1"/>
    </row>
    <row r="153" spans="1:10" ht="20.100000000000001" customHeight="1" x14ac:dyDescent="0.3">
      <c r="A153" s="2" t="str">
        <f t="shared" si="8"/>
        <v/>
      </c>
      <c r="B153" s="2"/>
      <c r="C153" s="2"/>
      <c r="D153" s="4" t="str">
        <f>IF(C153&lt;&gt;"",IFERROR(VLOOKUP(C153,'Araç Envanteri'!$B$4:$C$203,2,0),"Bulunamadı"),"")</f>
        <v/>
      </c>
      <c r="E153" s="2"/>
      <c r="F153" s="10"/>
      <c r="G153" s="10"/>
      <c r="H153" s="9" t="str">
        <f t="shared" si="9"/>
        <v/>
      </c>
      <c r="I153" s="2"/>
      <c r="J153" s="3"/>
    </row>
    <row r="154" spans="1:10" ht="20.100000000000001" customHeight="1" x14ac:dyDescent="0.3">
      <c r="A154" s="21" t="str">
        <f t="shared" si="8"/>
        <v/>
      </c>
      <c r="B154" s="21"/>
      <c r="C154" s="21"/>
      <c r="D154" s="4" t="str">
        <f>IF(C154&lt;&gt;"",IFERROR(VLOOKUP(C154,'Araç Envanteri'!$B$4:$C$203,2,0),"Bulunamadı"),"")</f>
        <v/>
      </c>
      <c r="E154" s="21"/>
      <c r="F154" s="8"/>
      <c r="G154" s="8"/>
      <c r="H154" s="9" t="str">
        <f t="shared" si="9"/>
        <v/>
      </c>
      <c r="I154" s="21"/>
      <c r="J154" s="1"/>
    </row>
    <row r="155" spans="1:10" ht="20.100000000000001" customHeight="1" x14ac:dyDescent="0.3">
      <c r="A155" s="2" t="str">
        <f t="shared" si="8"/>
        <v/>
      </c>
      <c r="B155" s="2"/>
      <c r="C155" s="2"/>
      <c r="D155" s="4" t="str">
        <f>IF(C155&lt;&gt;"",IFERROR(VLOOKUP(C155,'Araç Envanteri'!$B$4:$C$203,2,0),"Bulunamadı"),"")</f>
        <v/>
      </c>
      <c r="E155" s="2"/>
      <c r="F155" s="10"/>
      <c r="G155" s="10"/>
      <c r="H155" s="9" t="str">
        <f t="shared" si="9"/>
        <v/>
      </c>
      <c r="I155" s="2"/>
      <c r="J155" s="3"/>
    </row>
    <row r="156" spans="1:10" ht="20.100000000000001" customHeight="1" x14ac:dyDescent="0.3">
      <c r="A156" s="21" t="str">
        <f t="shared" si="8"/>
        <v/>
      </c>
      <c r="B156" s="21"/>
      <c r="C156" s="21"/>
      <c r="D156" s="4" t="str">
        <f>IF(C156&lt;&gt;"",IFERROR(VLOOKUP(C156,'Araç Envanteri'!$B$4:$C$203,2,0),"Bulunamadı"),"")</f>
        <v/>
      </c>
      <c r="E156" s="21"/>
      <c r="F156" s="8"/>
      <c r="G156" s="8"/>
      <c r="H156" s="9" t="str">
        <f t="shared" si="9"/>
        <v/>
      </c>
      <c r="I156" s="21"/>
      <c r="J156" s="1"/>
    </row>
    <row r="157" spans="1:10" ht="20.100000000000001" customHeight="1" x14ac:dyDescent="0.3">
      <c r="A157" s="2" t="str">
        <f t="shared" si="8"/>
        <v/>
      </c>
      <c r="B157" s="2"/>
      <c r="C157" s="2"/>
      <c r="D157" s="4" t="str">
        <f>IF(C157&lt;&gt;"",IFERROR(VLOOKUP(C157,'Araç Envanteri'!$B$4:$C$203,2,0),"Bulunamadı"),"")</f>
        <v/>
      </c>
      <c r="E157" s="2"/>
      <c r="F157" s="10"/>
      <c r="G157" s="10"/>
      <c r="H157" s="9" t="str">
        <f t="shared" si="9"/>
        <v/>
      </c>
      <c r="I157" s="2"/>
      <c r="J157" s="3"/>
    </row>
    <row r="158" spans="1:10" ht="20.100000000000001" customHeight="1" x14ac:dyDescent="0.3">
      <c r="A158" s="21" t="str">
        <f t="shared" si="8"/>
        <v/>
      </c>
      <c r="B158" s="21"/>
      <c r="C158" s="21"/>
      <c r="D158" s="4" t="str">
        <f>IF(C158&lt;&gt;"",IFERROR(VLOOKUP(C158,'Araç Envanteri'!$B$4:$C$203,2,0),"Bulunamadı"),"")</f>
        <v/>
      </c>
      <c r="E158" s="21"/>
      <c r="F158" s="8"/>
      <c r="G158" s="8"/>
      <c r="H158" s="9" t="str">
        <f t="shared" si="9"/>
        <v/>
      </c>
      <c r="I158" s="21"/>
      <c r="J158" s="1"/>
    </row>
    <row r="159" spans="1:10" ht="20.100000000000001" customHeight="1" x14ac:dyDescent="0.3">
      <c r="A159" s="2" t="str">
        <f t="shared" si="8"/>
        <v/>
      </c>
      <c r="B159" s="2"/>
      <c r="C159" s="2"/>
      <c r="D159" s="4" t="str">
        <f>IF(C159&lt;&gt;"",IFERROR(VLOOKUP(C159,'Araç Envanteri'!$B$4:$C$203,2,0),"Bulunamadı"),"")</f>
        <v/>
      </c>
      <c r="E159" s="2"/>
      <c r="F159" s="10"/>
      <c r="G159" s="10"/>
      <c r="H159" s="9" t="str">
        <f t="shared" si="9"/>
        <v/>
      </c>
      <c r="I159" s="2"/>
      <c r="J159" s="3"/>
    </row>
    <row r="160" spans="1:10" ht="20.100000000000001" customHeight="1" x14ac:dyDescent="0.3">
      <c r="A160" s="21" t="str">
        <f t="shared" si="8"/>
        <v/>
      </c>
      <c r="B160" s="21"/>
      <c r="C160" s="21"/>
      <c r="D160" s="4" t="str">
        <f>IF(C160&lt;&gt;"",IFERROR(VLOOKUP(C160,'Araç Envanteri'!$B$4:$C$203,2,0),"Bulunamadı"),"")</f>
        <v/>
      </c>
      <c r="E160" s="21"/>
      <c r="F160" s="8"/>
      <c r="G160" s="8"/>
      <c r="H160" s="9" t="str">
        <f t="shared" si="9"/>
        <v/>
      </c>
      <c r="I160" s="21"/>
      <c r="J160" s="1"/>
    </row>
    <row r="161" spans="1:10" ht="20.100000000000001" customHeight="1" x14ac:dyDescent="0.3">
      <c r="A161" s="2" t="str">
        <f t="shared" si="8"/>
        <v/>
      </c>
      <c r="B161" s="2"/>
      <c r="C161" s="2"/>
      <c r="D161" s="4" t="str">
        <f>IF(C161&lt;&gt;"",IFERROR(VLOOKUP(C161,'Araç Envanteri'!$B$4:$C$203,2,0),"Bulunamadı"),"")</f>
        <v/>
      </c>
      <c r="E161" s="2"/>
      <c r="F161" s="10"/>
      <c r="G161" s="10"/>
      <c r="H161" s="9" t="str">
        <f t="shared" si="9"/>
        <v/>
      </c>
      <c r="I161" s="2"/>
      <c r="J161" s="3"/>
    </row>
    <row r="162" spans="1:10" ht="20.100000000000001" customHeight="1" x14ac:dyDescent="0.3">
      <c r="A162" s="21" t="str">
        <f t="shared" si="8"/>
        <v/>
      </c>
      <c r="B162" s="21"/>
      <c r="C162" s="21"/>
      <c r="D162" s="4" t="str">
        <f>IF(C162&lt;&gt;"",IFERROR(VLOOKUP(C162,'Araç Envanteri'!$B$4:$C$203,2,0),"Bulunamadı"),"")</f>
        <v/>
      </c>
      <c r="E162" s="21"/>
      <c r="F162" s="8"/>
      <c r="G162" s="8"/>
      <c r="H162" s="9" t="str">
        <f t="shared" si="9"/>
        <v/>
      </c>
      <c r="I162" s="21"/>
      <c r="J162" s="1"/>
    </row>
    <row r="163" spans="1:10" ht="20.100000000000001" customHeight="1" x14ac:dyDescent="0.3">
      <c r="A163" s="2" t="str">
        <f t="shared" si="8"/>
        <v/>
      </c>
      <c r="B163" s="2"/>
      <c r="C163" s="2"/>
      <c r="D163" s="4" t="str">
        <f>IF(C163&lt;&gt;"",IFERROR(VLOOKUP(C163,'Araç Envanteri'!$B$4:$C$203,2,0),"Bulunamadı"),"")</f>
        <v/>
      </c>
      <c r="E163" s="2"/>
      <c r="F163" s="10"/>
      <c r="G163" s="10"/>
      <c r="H163" s="9" t="str">
        <f t="shared" si="9"/>
        <v/>
      </c>
      <c r="I163" s="2"/>
      <c r="J163" s="3"/>
    </row>
    <row r="164" spans="1:10" ht="20.100000000000001" customHeight="1" x14ac:dyDescent="0.3">
      <c r="A164" s="21" t="str">
        <f t="shared" ref="A164:A195" si="10">IF(C164&lt;&gt;"",ROW()-3,"")</f>
        <v/>
      </c>
      <c r="B164" s="21"/>
      <c r="C164" s="21"/>
      <c r="D164" s="4" t="str">
        <f>IF(C164&lt;&gt;"",IFERROR(VLOOKUP(C164,'Araç Envanteri'!$B$4:$C$203,2,0),"Bulunamadı"),"")</f>
        <v/>
      </c>
      <c r="E164" s="21"/>
      <c r="F164" s="8"/>
      <c r="G164" s="8"/>
      <c r="H164" s="9" t="str">
        <f t="shared" ref="H164:H195" si="11">IF(C164&lt;&gt;"",IFERROR(F164*G164,""),"")</f>
        <v/>
      </c>
      <c r="I164" s="21"/>
      <c r="J164" s="1"/>
    </row>
    <row r="165" spans="1:10" ht="20.100000000000001" customHeight="1" x14ac:dyDescent="0.3">
      <c r="A165" s="2" t="str">
        <f t="shared" si="10"/>
        <v/>
      </c>
      <c r="B165" s="2"/>
      <c r="C165" s="2"/>
      <c r="D165" s="4" t="str">
        <f>IF(C165&lt;&gt;"",IFERROR(VLOOKUP(C165,'Araç Envanteri'!$B$4:$C$203,2,0),"Bulunamadı"),"")</f>
        <v/>
      </c>
      <c r="E165" s="2"/>
      <c r="F165" s="10"/>
      <c r="G165" s="10"/>
      <c r="H165" s="9" t="str">
        <f t="shared" si="11"/>
        <v/>
      </c>
      <c r="I165" s="2"/>
      <c r="J165" s="3"/>
    </row>
    <row r="166" spans="1:10" ht="20.100000000000001" customHeight="1" x14ac:dyDescent="0.3">
      <c r="A166" s="21" t="str">
        <f t="shared" si="10"/>
        <v/>
      </c>
      <c r="B166" s="21"/>
      <c r="C166" s="21"/>
      <c r="D166" s="4" t="str">
        <f>IF(C166&lt;&gt;"",IFERROR(VLOOKUP(C166,'Araç Envanteri'!$B$4:$C$203,2,0),"Bulunamadı"),"")</f>
        <v/>
      </c>
      <c r="E166" s="21"/>
      <c r="F166" s="8"/>
      <c r="G166" s="8"/>
      <c r="H166" s="9" t="str">
        <f t="shared" si="11"/>
        <v/>
      </c>
      <c r="I166" s="21"/>
      <c r="J166" s="1"/>
    </row>
    <row r="167" spans="1:10" ht="20.100000000000001" customHeight="1" x14ac:dyDescent="0.3">
      <c r="A167" s="2" t="str">
        <f t="shared" si="10"/>
        <v/>
      </c>
      <c r="B167" s="2"/>
      <c r="C167" s="2"/>
      <c r="D167" s="4" t="str">
        <f>IF(C167&lt;&gt;"",IFERROR(VLOOKUP(C167,'Araç Envanteri'!$B$4:$C$203,2,0),"Bulunamadı"),"")</f>
        <v/>
      </c>
      <c r="E167" s="2"/>
      <c r="F167" s="10"/>
      <c r="G167" s="10"/>
      <c r="H167" s="9" t="str">
        <f t="shared" si="11"/>
        <v/>
      </c>
      <c r="I167" s="2"/>
      <c r="J167" s="3"/>
    </row>
    <row r="168" spans="1:10" ht="20.100000000000001" customHeight="1" x14ac:dyDescent="0.3">
      <c r="A168" s="21" t="str">
        <f t="shared" si="10"/>
        <v/>
      </c>
      <c r="B168" s="21"/>
      <c r="C168" s="21"/>
      <c r="D168" s="4" t="str">
        <f>IF(C168&lt;&gt;"",IFERROR(VLOOKUP(C168,'Araç Envanteri'!$B$4:$C$203,2,0),"Bulunamadı"),"")</f>
        <v/>
      </c>
      <c r="E168" s="21"/>
      <c r="F168" s="8"/>
      <c r="G168" s="8"/>
      <c r="H168" s="9" t="str">
        <f t="shared" si="11"/>
        <v/>
      </c>
      <c r="I168" s="21"/>
      <c r="J168" s="1"/>
    </row>
    <row r="169" spans="1:10" ht="20.100000000000001" customHeight="1" x14ac:dyDescent="0.3">
      <c r="A169" s="2" t="str">
        <f t="shared" si="10"/>
        <v/>
      </c>
      <c r="B169" s="2"/>
      <c r="C169" s="2"/>
      <c r="D169" s="4" t="str">
        <f>IF(C169&lt;&gt;"",IFERROR(VLOOKUP(C169,'Araç Envanteri'!$B$4:$C$203,2,0),"Bulunamadı"),"")</f>
        <v/>
      </c>
      <c r="E169" s="2"/>
      <c r="F169" s="10"/>
      <c r="G169" s="10"/>
      <c r="H169" s="9" t="str">
        <f t="shared" si="11"/>
        <v/>
      </c>
      <c r="I169" s="2"/>
      <c r="J169" s="3"/>
    </row>
    <row r="170" spans="1:10" ht="20.100000000000001" customHeight="1" x14ac:dyDescent="0.3">
      <c r="A170" s="21" t="str">
        <f t="shared" si="10"/>
        <v/>
      </c>
      <c r="B170" s="21"/>
      <c r="C170" s="21"/>
      <c r="D170" s="4" t="str">
        <f>IF(C170&lt;&gt;"",IFERROR(VLOOKUP(C170,'Araç Envanteri'!$B$4:$C$203,2,0),"Bulunamadı"),"")</f>
        <v/>
      </c>
      <c r="E170" s="21"/>
      <c r="F170" s="8"/>
      <c r="G170" s="8"/>
      <c r="H170" s="9" t="str">
        <f t="shared" si="11"/>
        <v/>
      </c>
      <c r="I170" s="21"/>
      <c r="J170" s="1"/>
    </row>
    <row r="171" spans="1:10" ht="20.100000000000001" customHeight="1" x14ac:dyDescent="0.3">
      <c r="A171" s="2" t="str">
        <f t="shared" si="10"/>
        <v/>
      </c>
      <c r="B171" s="2"/>
      <c r="C171" s="2"/>
      <c r="D171" s="4" t="str">
        <f>IF(C171&lt;&gt;"",IFERROR(VLOOKUP(C171,'Araç Envanteri'!$B$4:$C$203,2,0),"Bulunamadı"),"")</f>
        <v/>
      </c>
      <c r="E171" s="2"/>
      <c r="F171" s="10"/>
      <c r="G171" s="10"/>
      <c r="H171" s="9" t="str">
        <f t="shared" si="11"/>
        <v/>
      </c>
      <c r="I171" s="2"/>
      <c r="J171" s="3"/>
    </row>
    <row r="172" spans="1:10" ht="20.100000000000001" customHeight="1" x14ac:dyDescent="0.3">
      <c r="A172" s="21" t="str">
        <f t="shared" si="10"/>
        <v/>
      </c>
      <c r="B172" s="21"/>
      <c r="C172" s="21"/>
      <c r="D172" s="4" t="str">
        <f>IF(C172&lt;&gt;"",IFERROR(VLOOKUP(C172,'Araç Envanteri'!$B$4:$C$203,2,0),"Bulunamadı"),"")</f>
        <v/>
      </c>
      <c r="E172" s="21"/>
      <c r="F172" s="8"/>
      <c r="G172" s="8"/>
      <c r="H172" s="9" t="str">
        <f t="shared" si="11"/>
        <v/>
      </c>
      <c r="I172" s="21"/>
      <c r="J172" s="1"/>
    </row>
    <row r="173" spans="1:10" ht="20.100000000000001" customHeight="1" x14ac:dyDescent="0.3">
      <c r="A173" s="2" t="str">
        <f t="shared" si="10"/>
        <v/>
      </c>
      <c r="B173" s="2"/>
      <c r="C173" s="2"/>
      <c r="D173" s="4" t="str">
        <f>IF(C173&lt;&gt;"",IFERROR(VLOOKUP(C173,'Araç Envanteri'!$B$4:$C$203,2,0),"Bulunamadı"),"")</f>
        <v/>
      </c>
      <c r="E173" s="2"/>
      <c r="F173" s="10"/>
      <c r="G173" s="10"/>
      <c r="H173" s="9" t="str">
        <f t="shared" si="11"/>
        <v/>
      </c>
      <c r="I173" s="2"/>
      <c r="J173" s="3"/>
    </row>
    <row r="174" spans="1:10" ht="20.100000000000001" customHeight="1" x14ac:dyDescent="0.3">
      <c r="A174" s="21" t="str">
        <f t="shared" si="10"/>
        <v/>
      </c>
      <c r="B174" s="21"/>
      <c r="C174" s="21"/>
      <c r="D174" s="4" t="str">
        <f>IF(C174&lt;&gt;"",IFERROR(VLOOKUP(C174,'Araç Envanteri'!$B$4:$C$203,2,0),"Bulunamadı"),"")</f>
        <v/>
      </c>
      <c r="E174" s="21"/>
      <c r="F174" s="8"/>
      <c r="G174" s="8"/>
      <c r="H174" s="9" t="str">
        <f t="shared" si="11"/>
        <v/>
      </c>
      <c r="I174" s="21"/>
      <c r="J174" s="1"/>
    </row>
    <row r="175" spans="1:10" ht="20.100000000000001" customHeight="1" x14ac:dyDescent="0.3">
      <c r="A175" s="2" t="str">
        <f t="shared" si="10"/>
        <v/>
      </c>
      <c r="B175" s="2"/>
      <c r="C175" s="2"/>
      <c r="D175" s="4" t="str">
        <f>IF(C175&lt;&gt;"",IFERROR(VLOOKUP(C175,'Araç Envanteri'!$B$4:$C$203,2,0),"Bulunamadı"),"")</f>
        <v/>
      </c>
      <c r="E175" s="2"/>
      <c r="F175" s="10"/>
      <c r="G175" s="10"/>
      <c r="H175" s="9" t="str">
        <f t="shared" si="11"/>
        <v/>
      </c>
      <c r="I175" s="2"/>
      <c r="J175" s="3"/>
    </row>
    <row r="176" spans="1:10" ht="20.100000000000001" customHeight="1" x14ac:dyDescent="0.3">
      <c r="A176" s="21" t="str">
        <f t="shared" si="10"/>
        <v/>
      </c>
      <c r="B176" s="21"/>
      <c r="C176" s="21"/>
      <c r="D176" s="4" t="str">
        <f>IF(C176&lt;&gt;"",IFERROR(VLOOKUP(C176,'Araç Envanteri'!$B$4:$C$203,2,0),"Bulunamadı"),"")</f>
        <v/>
      </c>
      <c r="E176" s="21"/>
      <c r="F176" s="8"/>
      <c r="G176" s="8"/>
      <c r="H176" s="9" t="str">
        <f t="shared" si="11"/>
        <v/>
      </c>
      <c r="I176" s="21"/>
      <c r="J176" s="1"/>
    </row>
    <row r="177" spans="1:10" ht="20.100000000000001" customHeight="1" x14ac:dyDescent="0.3">
      <c r="A177" s="2" t="str">
        <f t="shared" si="10"/>
        <v/>
      </c>
      <c r="B177" s="2"/>
      <c r="C177" s="2"/>
      <c r="D177" s="4" t="str">
        <f>IF(C177&lt;&gt;"",IFERROR(VLOOKUP(C177,'Araç Envanteri'!$B$4:$C$203,2,0),"Bulunamadı"),"")</f>
        <v/>
      </c>
      <c r="E177" s="2"/>
      <c r="F177" s="10"/>
      <c r="G177" s="10"/>
      <c r="H177" s="9" t="str">
        <f t="shared" si="11"/>
        <v/>
      </c>
      <c r="I177" s="2"/>
      <c r="J177" s="3"/>
    </row>
    <row r="178" spans="1:10" ht="20.100000000000001" customHeight="1" x14ac:dyDescent="0.3">
      <c r="A178" s="21" t="str">
        <f t="shared" si="10"/>
        <v/>
      </c>
      <c r="B178" s="21"/>
      <c r="C178" s="21"/>
      <c r="D178" s="4" t="str">
        <f>IF(C178&lt;&gt;"",IFERROR(VLOOKUP(C178,'Araç Envanteri'!$B$4:$C$203,2,0),"Bulunamadı"),"")</f>
        <v/>
      </c>
      <c r="E178" s="21"/>
      <c r="F178" s="8"/>
      <c r="G178" s="8"/>
      <c r="H178" s="9" t="str">
        <f t="shared" si="11"/>
        <v/>
      </c>
      <c r="I178" s="21"/>
      <c r="J178" s="1"/>
    </row>
    <row r="179" spans="1:10" ht="20.100000000000001" customHeight="1" x14ac:dyDescent="0.3">
      <c r="A179" s="2" t="str">
        <f t="shared" si="10"/>
        <v/>
      </c>
      <c r="B179" s="2"/>
      <c r="C179" s="2"/>
      <c r="D179" s="4" t="str">
        <f>IF(C179&lt;&gt;"",IFERROR(VLOOKUP(C179,'Araç Envanteri'!$B$4:$C$203,2,0),"Bulunamadı"),"")</f>
        <v/>
      </c>
      <c r="E179" s="2"/>
      <c r="F179" s="10"/>
      <c r="G179" s="10"/>
      <c r="H179" s="9" t="str">
        <f t="shared" si="11"/>
        <v/>
      </c>
      <c r="I179" s="2"/>
      <c r="J179" s="3"/>
    </row>
    <row r="180" spans="1:10" ht="20.100000000000001" customHeight="1" x14ac:dyDescent="0.3">
      <c r="A180" s="21" t="str">
        <f t="shared" si="10"/>
        <v/>
      </c>
      <c r="B180" s="21"/>
      <c r="C180" s="21"/>
      <c r="D180" s="4" t="str">
        <f>IF(C180&lt;&gt;"",IFERROR(VLOOKUP(C180,'Araç Envanteri'!$B$4:$C$203,2,0),"Bulunamadı"),"")</f>
        <v/>
      </c>
      <c r="E180" s="21"/>
      <c r="F180" s="8"/>
      <c r="G180" s="8"/>
      <c r="H180" s="9" t="str">
        <f t="shared" si="11"/>
        <v/>
      </c>
      <c r="I180" s="21"/>
      <c r="J180" s="1"/>
    </row>
    <row r="181" spans="1:10" ht="20.100000000000001" customHeight="1" x14ac:dyDescent="0.3">
      <c r="A181" s="2" t="str">
        <f t="shared" si="10"/>
        <v/>
      </c>
      <c r="B181" s="2"/>
      <c r="C181" s="2"/>
      <c r="D181" s="4" t="str">
        <f>IF(C181&lt;&gt;"",IFERROR(VLOOKUP(C181,'Araç Envanteri'!$B$4:$C$203,2,0),"Bulunamadı"),"")</f>
        <v/>
      </c>
      <c r="E181" s="2"/>
      <c r="F181" s="10"/>
      <c r="G181" s="10"/>
      <c r="H181" s="9" t="str">
        <f t="shared" si="11"/>
        <v/>
      </c>
      <c r="I181" s="2"/>
      <c r="J181" s="3"/>
    </row>
    <row r="182" spans="1:10" ht="20.100000000000001" customHeight="1" x14ac:dyDescent="0.3">
      <c r="A182" s="21" t="str">
        <f t="shared" si="10"/>
        <v/>
      </c>
      <c r="B182" s="21"/>
      <c r="C182" s="21"/>
      <c r="D182" s="4" t="str">
        <f>IF(C182&lt;&gt;"",IFERROR(VLOOKUP(C182,'Araç Envanteri'!$B$4:$C$203,2,0),"Bulunamadı"),"")</f>
        <v/>
      </c>
      <c r="E182" s="21"/>
      <c r="F182" s="8"/>
      <c r="G182" s="8"/>
      <c r="H182" s="9" t="str">
        <f t="shared" si="11"/>
        <v/>
      </c>
      <c r="I182" s="21"/>
      <c r="J182" s="1"/>
    </row>
    <row r="183" spans="1:10" ht="20.100000000000001" customHeight="1" x14ac:dyDescent="0.3">
      <c r="A183" s="2" t="str">
        <f t="shared" si="10"/>
        <v/>
      </c>
      <c r="B183" s="2"/>
      <c r="C183" s="2"/>
      <c r="D183" s="4" t="str">
        <f>IF(C183&lt;&gt;"",IFERROR(VLOOKUP(C183,'Araç Envanteri'!$B$4:$C$203,2,0),"Bulunamadı"),"")</f>
        <v/>
      </c>
      <c r="E183" s="2"/>
      <c r="F183" s="10"/>
      <c r="G183" s="10"/>
      <c r="H183" s="9" t="str">
        <f t="shared" si="11"/>
        <v/>
      </c>
      <c r="I183" s="2"/>
      <c r="J183" s="3"/>
    </row>
    <row r="184" spans="1:10" ht="20.100000000000001" customHeight="1" x14ac:dyDescent="0.3">
      <c r="A184" s="21" t="str">
        <f t="shared" si="10"/>
        <v/>
      </c>
      <c r="B184" s="21"/>
      <c r="C184" s="21"/>
      <c r="D184" s="4" t="str">
        <f>IF(C184&lt;&gt;"",IFERROR(VLOOKUP(C184,'Araç Envanteri'!$B$4:$C$203,2,0),"Bulunamadı"),"")</f>
        <v/>
      </c>
      <c r="E184" s="21"/>
      <c r="F184" s="8"/>
      <c r="G184" s="8"/>
      <c r="H184" s="9" t="str">
        <f t="shared" si="11"/>
        <v/>
      </c>
      <c r="I184" s="21"/>
      <c r="J184" s="1"/>
    </row>
    <row r="185" spans="1:10" ht="20.100000000000001" customHeight="1" x14ac:dyDescent="0.3">
      <c r="A185" s="2" t="str">
        <f t="shared" si="10"/>
        <v/>
      </c>
      <c r="B185" s="2"/>
      <c r="C185" s="2"/>
      <c r="D185" s="4" t="str">
        <f>IF(C185&lt;&gt;"",IFERROR(VLOOKUP(C185,'Araç Envanteri'!$B$4:$C$203,2,0),"Bulunamadı"),"")</f>
        <v/>
      </c>
      <c r="E185" s="2"/>
      <c r="F185" s="10"/>
      <c r="G185" s="10"/>
      <c r="H185" s="9" t="str">
        <f t="shared" si="11"/>
        <v/>
      </c>
      <c r="I185" s="2"/>
      <c r="J185" s="3"/>
    </row>
    <row r="186" spans="1:10" ht="20.100000000000001" customHeight="1" x14ac:dyDescent="0.3">
      <c r="A186" s="21" t="str">
        <f t="shared" si="10"/>
        <v/>
      </c>
      <c r="B186" s="21"/>
      <c r="C186" s="21"/>
      <c r="D186" s="4" t="str">
        <f>IF(C186&lt;&gt;"",IFERROR(VLOOKUP(C186,'Araç Envanteri'!$B$4:$C$203,2,0),"Bulunamadı"),"")</f>
        <v/>
      </c>
      <c r="E186" s="21"/>
      <c r="F186" s="8"/>
      <c r="G186" s="8"/>
      <c r="H186" s="9" t="str">
        <f t="shared" si="11"/>
        <v/>
      </c>
      <c r="I186" s="21"/>
      <c r="J186" s="1"/>
    </row>
    <row r="187" spans="1:10" ht="20.100000000000001" customHeight="1" x14ac:dyDescent="0.3">
      <c r="A187" s="2" t="str">
        <f t="shared" si="10"/>
        <v/>
      </c>
      <c r="B187" s="2"/>
      <c r="C187" s="2"/>
      <c r="D187" s="4" t="str">
        <f>IF(C187&lt;&gt;"",IFERROR(VLOOKUP(C187,'Araç Envanteri'!$B$4:$C$203,2,0),"Bulunamadı"),"")</f>
        <v/>
      </c>
      <c r="E187" s="2"/>
      <c r="F187" s="10"/>
      <c r="G187" s="10"/>
      <c r="H187" s="9" t="str">
        <f t="shared" si="11"/>
        <v/>
      </c>
      <c r="I187" s="2"/>
      <c r="J187" s="3"/>
    </row>
    <row r="188" spans="1:10" ht="20.100000000000001" customHeight="1" x14ac:dyDescent="0.3">
      <c r="A188" s="21" t="str">
        <f t="shared" si="10"/>
        <v/>
      </c>
      <c r="B188" s="21"/>
      <c r="C188" s="21"/>
      <c r="D188" s="4" t="str">
        <f>IF(C188&lt;&gt;"",IFERROR(VLOOKUP(C188,'Araç Envanteri'!$B$4:$C$203,2,0),"Bulunamadı"),"")</f>
        <v/>
      </c>
      <c r="E188" s="21"/>
      <c r="F188" s="8"/>
      <c r="G188" s="8"/>
      <c r="H188" s="9" t="str">
        <f t="shared" si="11"/>
        <v/>
      </c>
      <c r="I188" s="21"/>
      <c r="J188" s="1"/>
    </row>
    <row r="189" spans="1:10" ht="20.100000000000001" customHeight="1" x14ac:dyDescent="0.3">
      <c r="A189" s="2" t="str">
        <f t="shared" si="10"/>
        <v/>
      </c>
      <c r="B189" s="2"/>
      <c r="C189" s="2"/>
      <c r="D189" s="4" t="str">
        <f>IF(C189&lt;&gt;"",IFERROR(VLOOKUP(C189,'Araç Envanteri'!$B$4:$C$203,2,0),"Bulunamadı"),"")</f>
        <v/>
      </c>
      <c r="E189" s="2"/>
      <c r="F189" s="10"/>
      <c r="G189" s="10"/>
      <c r="H189" s="9" t="str">
        <f t="shared" si="11"/>
        <v/>
      </c>
      <c r="I189" s="2"/>
      <c r="J189" s="3"/>
    </row>
    <row r="190" spans="1:10" ht="20.100000000000001" customHeight="1" x14ac:dyDescent="0.3">
      <c r="A190" s="21" t="str">
        <f t="shared" si="10"/>
        <v/>
      </c>
      <c r="B190" s="21"/>
      <c r="C190" s="21"/>
      <c r="D190" s="4" t="str">
        <f>IF(C190&lt;&gt;"",IFERROR(VLOOKUP(C190,'Araç Envanteri'!$B$4:$C$203,2,0),"Bulunamadı"),"")</f>
        <v/>
      </c>
      <c r="E190" s="21"/>
      <c r="F190" s="8"/>
      <c r="G190" s="8"/>
      <c r="H190" s="9" t="str">
        <f t="shared" si="11"/>
        <v/>
      </c>
      <c r="I190" s="21"/>
      <c r="J190" s="1"/>
    </row>
    <row r="191" spans="1:10" ht="20.100000000000001" customHeight="1" x14ac:dyDescent="0.3">
      <c r="A191" s="2" t="str">
        <f t="shared" si="10"/>
        <v/>
      </c>
      <c r="B191" s="2"/>
      <c r="C191" s="2"/>
      <c r="D191" s="4" t="str">
        <f>IF(C191&lt;&gt;"",IFERROR(VLOOKUP(C191,'Araç Envanteri'!$B$4:$C$203,2,0),"Bulunamadı"),"")</f>
        <v/>
      </c>
      <c r="E191" s="2"/>
      <c r="F191" s="10"/>
      <c r="G191" s="10"/>
      <c r="H191" s="9" t="str">
        <f t="shared" si="11"/>
        <v/>
      </c>
      <c r="I191" s="2"/>
      <c r="J191" s="3"/>
    </row>
    <row r="192" spans="1:10" ht="20.100000000000001" customHeight="1" x14ac:dyDescent="0.3">
      <c r="A192" s="21" t="str">
        <f t="shared" si="10"/>
        <v/>
      </c>
      <c r="B192" s="21"/>
      <c r="C192" s="21"/>
      <c r="D192" s="4" t="str">
        <f>IF(C192&lt;&gt;"",IFERROR(VLOOKUP(C192,'Araç Envanteri'!$B$4:$C$203,2,0),"Bulunamadı"),"")</f>
        <v/>
      </c>
      <c r="E192" s="21"/>
      <c r="F192" s="8"/>
      <c r="G192" s="8"/>
      <c r="H192" s="9" t="str">
        <f t="shared" si="11"/>
        <v/>
      </c>
      <c r="I192" s="21"/>
      <c r="J192" s="1"/>
    </row>
    <row r="193" spans="1:10" ht="20.100000000000001" customHeight="1" x14ac:dyDescent="0.3">
      <c r="A193" s="2" t="str">
        <f t="shared" si="10"/>
        <v/>
      </c>
      <c r="B193" s="2"/>
      <c r="C193" s="2"/>
      <c r="D193" s="4" t="str">
        <f>IF(C193&lt;&gt;"",IFERROR(VLOOKUP(C193,'Araç Envanteri'!$B$4:$C$203,2,0),"Bulunamadı"),"")</f>
        <v/>
      </c>
      <c r="E193" s="2"/>
      <c r="F193" s="10"/>
      <c r="G193" s="10"/>
      <c r="H193" s="9" t="str">
        <f t="shared" si="11"/>
        <v/>
      </c>
      <c r="I193" s="2"/>
      <c r="J193" s="3"/>
    </row>
    <row r="194" spans="1:10" ht="20.100000000000001" customHeight="1" x14ac:dyDescent="0.3">
      <c r="A194" s="21" t="str">
        <f t="shared" si="10"/>
        <v/>
      </c>
      <c r="B194" s="21"/>
      <c r="C194" s="21"/>
      <c r="D194" s="4" t="str">
        <f>IF(C194&lt;&gt;"",IFERROR(VLOOKUP(C194,'Araç Envanteri'!$B$4:$C$203,2,0),"Bulunamadı"),"")</f>
        <v/>
      </c>
      <c r="E194" s="21"/>
      <c r="F194" s="8"/>
      <c r="G194" s="8"/>
      <c r="H194" s="9" t="str">
        <f t="shared" si="11"/>
        <v/>
      </c>
      <c r="I194" s="21"/>
      <c r="J194" s="1"/>
    </row>
    <row r="195" spans="1:10" ht="20.100000000000001" customHeight="1" x14ac:dyDescent="0.3">
      <c r="A195" s="2" t="str">
        <f t="shared" si="10"/>
        <v/>
      </c>
      <c r="B195" s="2"/>
      <c r="C195" s="2"/>
      <c r="D195" s="4" t="str">
        <f>IF(C195&lt;&gt;"",IFERROR(VLOOKUP(C195,'Araç Envanteri'!$B$4:$C$203,2,0),"Bulunamadı"),"")</f>
        <v/>
      </c>
      <c r="E195" s="2"/>
      <c r="F195" s="10"/>
      <c r="G195" s="10"/>
      <c r="H195" s="9" t="str">
        <f t="shared" si="11"/>
        <v/>
      </c>
      <c r="I195" s="2"/>
      <c r="J195" s="3"/>
    </row>
    <row r="196" spans="1:10" ht="20.100000000000001" customHeight="1" x14ac:dyDescent="0.3">
      <c r="A196" s="21" t="str">
        <f t="shared" ref="A196:A203" si="12">IF(C196&lt;&gt;"",ROW()-3,"")</f>
        <v/>
      </c>
      <c r="B196" s="21"/>
      <c r="C196" s="21"/>
      <c r="D196" s="4" t="str">
        <f>IF(C196&lt;&gt;"",IFERROR(VLOOKUP(C196,'Araç Envanteri'!$B$4:$C$203,2,0),"Bulunamadı"),"")</f>
        <v/>
      </c>
      <c r="E196" s="21"/>
      <c r="F196" s="8"/>
      <c r="G196" s="8"/>
      <c r="H196" s="9" t="str">
        <f t="shared" ref="H196:H203" si="13">IF(C196&lt;&gt;"",IFERROR(F196*G196,""),"")</f>
        <v/>
      </c>
      <c r="I196" s="21"/>
      <c r="J196" s="1"/>
    </row>
    <row r="197" spans="1:10" ht="20.100000000000001" customHeight="1" x14ac:dyDescent="0.3">
      <c r="A197" s="2" t="str">
        <f t="shared" si="12"/>
        <v/>
      </c>
      <c r="B197" s="2"/>
      <c r="C197" s="2"/>
      <c r="D197" s="4" t="str">
        <f>IF(C197&lt;&gt;"",IFERROR(VLOOKUP(C197,'Araç Envanteri'!$B$4:$C$203,2,0),"Bulunamadı"),"")</f>
        <v/>
      </c>
      <c r="E197" s="2"/>
      <c r="F197" s="10"/>
      <c r="G197" s="10"/>
      <c r="H197" s="9" t="str">
        <f t="shared" si="13"/>
        <v/>
      </c>
      <c r="I197" s="2"/>
      <c r="J197" s="3"/>
    </row>
    <row r="198" spans="1:10" ht="20.100000000000001" customHeight="1" x14ac:dyDescent="0.3">
      <c r="A198" s="21" t="str">
        <f t="shared" si="12"/>
        <v/>
      </c>
      <c r="B198" s="21"/>
      <c r="C198" s="21"/>
      <c r="D198" s="4" t="str">
        <f>IF(C198&lt;&gt;"",IFERROR(VLOOKUP(C198,'Araç Envanteri'!$B$4:$C$203,2,0),"Bulunamadı"),"")</f>
        <v/>
      </c>
      <c r="E198" s="21"/>
      <c r="F198" s="8"/>
      <c r="G198" s="8"/>
      <c r="H198" s="9" t="str">
        <f t="shared" si="13"/>
        <v/>
      </c>
      <c r="I198" s="21"/>
      <c r="J198" s="1"/>
    </row>
    <row r="199" spans="1:10" ht="20.100000000000001" customHeight="1" x14ac:dyDescent="0.3">
      <c r="A199" s="2" t="str">
        <f t="shared" si="12"/>
        <v/>
      </c>
      <c r="B199" s="2"/>
      <c r="C199" s="2"/>
      <c r="D199" s="4" t="str">
        <f>IF(C199&lt;&gt;"",IFERROR(VLOOKUP(C199,'Araç Envanteri'!$B$4:$C$203,2,0),"Bulunamadı"),"")</f>
        <v/>
      </c>
      <c r="E199" s="2"/>
      <c r="F199" s="10"/>
      <c r="G199" s="10"/>
      <c r="H199" s="9" t="str">
        <f t="shared" si="13"/>
        <v/>
      </c>
      <c r="I199" s="2"/>
      <c r="J199" s="3"/>
    </row>
    <row r="200" spans="1:10" ht="20.100000000000001" customHeight="1" x14ac:dyDescent="0.3">
      <c r="A200" s="21" t="str">
        <f t="shared" si="12"/>
        <v/>
      </c>
      <c r="B200" s="21"/>
      <c r="C200" s="21"/>
      <c r="D200" s="4" t="str">
        <f>IF(C200&lt;&gt;"",IFERROR(VLOOKUP(C200,'Araç Envanteri'!$B$4:$C$203,2,0),"Bulunamadı"),"")</f>
        <v/>
      </c>
      <c r="E200" s="21"/>
      <c r="F200" s="8"/>
      <c r="G200" s="8"/>
      <c r="H200" s="9" t="str">
        <f t="shared" si="13"/>
        <v/>
      </c>
      <c r="I200" s="21"/>
      <c r="J200" s="1"/>
    </row>
    <row r="201" spans="1:10" ht="20.100000000000001" customHeight="1" x14ac:dyDescent="0.3">
      <c r="A201" s="2" t="str">
        <f t="shared" si="12"/>
        <v/>
      </c>
      <c r="B201" s="2"/>
      <c r="C201" s="2"/>
      <c r="D201" s="4" t="str">
        <f>IF(C201&lt;&gt;"",IFERROR(VLOOKUP(C201,'Araç Envanteri'!$B$4:$C$203,2,0),"Bulunamadı"),"")</f>
        <v/>
      </c>
      <c r="E201" s="2"/>
      <c r="F201" s="10"/>
      <c r="G201" s="10"/>
      <c r="H201" s="9" t="str">
        <f t="shared" si="13"/>
        <v/>
      </c>
      <c r="I201" s="2"/>
      <c r="J201" s="3"/>
    </row>
    <row r="202" spans="1:10" ht="20.100000000000001" customHeight="1" x14ac:dyDescent="0.3">
      <c r="A202" s="21" t="str">
        <f t="shared" si="12"/>
        <v/>
      </c>
      <c r="B202" s="21"/>
      <c r="C202" s="21"/>
      <c r="D202" s="4" t="str">
        <f>IF(C202&lt;&gt;"",IFERROR(VLOOKUP(C202,'Araç Envanteri'!$B$4:$C$203,2,0),"Bulunamadı"),"")</f>
        <v/>
      </c>
      <c r="E202" s="21"/>
      <c r="F202" s="8"/>
      <c r="G202" s="8"/>
      <c r="H202" s="9" t="str">
        <f t="shared" si="13"/>
        <v/>
      </c>
      <c r="I202" s="21"/>
      <c r="J202" s="1"/>
    </row>
    <row r="203" spans="1:10" ht="20.100000000000001" customHeight="1" x14ac:dyDescent="0.3">
      <c r="A203" s="2" t="str">
        <f t="shared" si="12"/>
        <v/>
      </c>
      <c r="B203" s="2"/>
      <c r="C203" s="2"/>
      <c r="D203" s="4" t="str">
        <f>IF(C203&lt;&gt;"",IFERROR(VLOOKUP(C203,'Araç Envanteri'!$B$4:$C$203,2,0),"Bulunamadı"),"")</f>
        <v/>
      </c>
      <c r="E203" s="2"/>
      <c r="F203" s="10"/>
      <c r="G203" s="10"/>
      <c r="H203" s="9" t="str">
        <f t="shared" si="13"/>
        <v/>
      </c>
      <c r="I203" s="2"/>
      <c r="J203" s="3"/>
    </row>
    <row r="204" spans="1:10" ht="24" customHeight="1" x14ac:dyDescent="0.3">
      <c r="A204" s="24" t="s">
        <v>33</v>
      </c>
      <c r="B204" s="23"/>
      <c r="C204" s="23"/>
      <c r="D204" s="23"/>
      <c r="E204" s="23"/>
      <c r="F204" s="11">
        <f>IFERROR(SUM(F4:F203),0)</f>
        <v>0</v>
      </c>
      <c r="G204" s="18"/>
      <c r="H204" s="7">
        <f>IFERROR(SUM(H4:H203),0)</f>
        <v>0</v>
      </c>
      <c r="I204" s="25"/>
      <c r="J204" s="23"/>
    </row>
  </sheetData>
  <mergeCells count="4">
    <mergeCell ref="A204:E204"/>
    <mergeCell ref="A1:J1"/>
    <mergeCell ref="I204:J204"/>
    <mergeCell ref="A2:J2"/>
  </mergeCells>
  <dataValidations count="1">
    <dataValidation type="list" allowBlank="1" sqref="E4:E203">
      <formula1>"Motorin,Benzin,LPG,Elektrik,Diğer"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6"/>
  <sheetViews>
    <sheetView showGridLines="0" tabSelected="1" workbookViewId="0">
      <selection activeCell="A2" sqref="A2:H2"/>
    </sheetView>
  </sheetViews>
  <sheetFormatPr defaultRowHeight="14.4" x14ac:dyDescent="0.3"/>
  <cols>
    <col min="1" max="1" width="20" customWidth="1"/>
    <col min="2" max="2" width="14" customWidth="1"/>
    <col min="3" max="3" width="20" customWidth="1"/>
    <col min="4" max="4" width="12" customWidth="1"/>
    <col min="5" max="5" width="8" customWidth="1"/>
    <col min="6" max="6" width="18" customWidth="1"/>
    <col min="7" max="7" width="24" customWidth="1"/>
    <col min="8" max="8" width="18" customWidth="1"/>
  </cols>
  <sheetData>
    <row r="1" spans="1:8" ht="42" customHeight="1" x14ac:dyDescent="0.3">
      <c r="A1" s="46" t="s">
        <v>65</v>
      </c>
      <c r="B1" s="23"/>
      <c r="C1" s="23"/>
      <c r="D1" s="23"/>
      <c r="E1" s="23"/>
      <c r="F1" s="23"/>
      <c r="G1" s="23"/>
      <c r="H1" s="23"/>
    </row>
    <row r="2" spans="1:8" ht="21.9" customHeight="1" x14ac:dyDescent="0.3">
      <c r="A2" s="61" t="s">
        <v>34</v>
      </c>
      <c r="B2" s="62"/>
      <c r="C2" s="62"/>
      <c r="D2" s="62"/>
      <c r="E2" s="62"/>
      <c r="F2" s="62"/>
      <c r="G2" s="62"/>
      <c r="H2" s="62"/>
    </row>
    <row r="4" spans="1:8" ht="26.1" customHeight="1" x14ac:dyDescent="0.3">
      <c r="A4" s="59" t="s">
        <v>35</v>
      </c>
      <c r="B4" s="49"/>
      <c r="C4" s="51" t="s">
        <v>36</v>
      </c>
      <c r="D4" s="52"/>
      <c r="E4" s="50" t="s">
        <v>37</v>
      </c>
      <c r="F4" s="42"/>
      <c r="G4" s="37" t="s">
        <v>38</v>
      </c>
      <c r="H4" s="38"/>
    </row>
    <row r="5" spans="1:8" ht="26.1" customHeight="1" x14ac:dyDescent="0.3">
      <c r="A5" s="53">
        <f>COUNTIF('Araç Envanteri'!B4:B203,"&lt;&gt;")</f>
        <v>0</v>
      </c>
      <c r="B5" s="49"/>
      <c r="C5" s="56">
        <f>COUNTIF('Araç Envanteri'!M4:M203,"Aktif")</f>
        <v>0</v>
      </c>
      <c r="D5" s="52"/>
      <c r="E5" s="57">
        <f>COUNTIF('Araç Envanteri'!M4:M203,"Bakımda")</f>
        <v>0</v>
      </c>
      <c r="F5" s="42"/>
      <c r="G5" s="54">
        <f>COUNTIF('Araç Envanteri'!M4:M203,"Arızalı")</f>
        <v>0</v>
      </c>
      <c r="H5" s="38"/>
    </row>
    <row r="6" spans="1:8" ht="26.1" customHeight="1" x14ac:dyDescent="0.3">
      <c r="A6" s="48" t="s">
        <v>39</v>
      </c>
      <c r="B6" s="49"/>
      <c r="C6" s="55" t="s">
        <v>40</v>
      </c>
      <c r="D6" s="52"/>
      <c r="E6" s="43" t="s">
        <v>41</v>
      </c>
      <c r="F6" s="42"/>
      <c r="G6" s="44" t="s">
        <v>42</v>
      </c>
      <c r="H6" s="38"/>
    </row>
    <row r="8" spans="1:8" ht="26.1" customHeight="1" x14ac:dyDescent="0.3">
      <c r="A8" s="58" t="s">
        <v>43</v>
      </c>
      <c r="B8" s="27"/>
      <c r="C8" s="37" t="s">
        <v>44</v>
      </c>
      <c r="D8" s="38"/>
      <c r="E8" s="50" t="s">
        <v>45</v>
      </c>
      <c r="F8" s="42"/>
      <c r="G8" s="47" t="s">
        <v>46</v>
      </c>
      <c r="H8" s="31"/>
    </row>
    <row r="9" spans="1:8" ht="26.1" customHeight="1" x14ac:dyDescent="0.3">
      <c r="A9" s="29">
        <f>COUNTIF('Bakım Takip'!C4:C203,"&lt;&gt;")</f>
        <v>0</v>
      </c>
      <c r="B9" s="27"/>
      <c r="C9" s="40">
        <f>IFERROR(SUM('Bakım Takip'!H4:H203),0)</f>
        <v>0</v>
      </c>
      <c r="D9" s="38"/>
      <c r="E9" s="41">
        <f>IFERROR(SUM('Yakıt Takip'!F4:F203),0)</f>
        <v>0</v>
      </c>
      <c r="F9" s="42"/>
      <c r="G9" s="30">
        <f>IFERROR(SUM('Yakıt Takip'!H4:H203),0)</f>
        <v>0</v>
      </c>
      <c r="H9" s="31"/>
    </row>
    <row r="10" spans="1:8" ht="26.1" customHeight="1" x14ac:dyDescent="0.3">
      <c r="A10" s="26" t="s">
        <v>47</v>
      </c>
      <c r="B10" s="27"/>
      <c r="C10" s="44" t="s">
        <v>48</v>
      </c>
      <c r="D10" s="38"/>
      <c r="E10" s="43" t="s">
        <v>49</v>
      </c>
      <c r="F10" s="42"/>
      <c r="G10" s="45" t="s">
        <v>50</v>
      </c>
      <c r="H10" s="31"/>
    </row>
    <row r="11" spans="1:8" ht="14.1" customHeight="1" x14ac:dyDescent="0.3">
      <c r="A11" s="17"/>
      <c r="B11" s="17"/>
      <c r="C11" s="17"/>
      <c r="D11" s="17"/>
      <c r="E11" s="17"/>
      <c r="F11" s="17"/>
      <c r="G11" s="17"/>
      <c r="H11" s="17"/>
    </row>
    <row r="12" spans="1:8" ht="30" customHeight="1" x14ac:dyDescent="0.3">
      <c r="A12" s="39" t="s">
        <v>51</v>
      </c>
      <c r="B12" s="23"/>
      <c r="C12" s="23"/>
      <c r="D12" s="23"/>
      <c r="E12" s="17"/>
      <c r="F12" s="28" t="s">
        <v>52</v>
      </c>
      <c r="G12" s="23"/>
      <c r="H12" s="23"/>
    </row>
    <row r="13" spans="1:8" ht="20.100000000000001" customHeight="1" x14ac:dyDescent="0.3">
      <c r="A13" s="34" t="s">
        <v>53</v>
      </c>
      <c r="B13" s="23"/>
      <c r="C13" s="23"/>
      <c r="D13" s="12">
        <f>COUNTIF('Araç Envanteri'!M4:M203,"Aktif")</f>
        <v>0</v>
      </c>
      <c r="E13" s="17"/>
      <c r="F13" s="13" t="s">
        <v>54</v>
      </c>
      <c r="G13" s="13" t="s">
        <v>55</v>
      </c>
      <c r="H13" s="13" t="s">
        <v>56</v>
      </c>
    </row>
    <row r="14" spans="1:8" ht="20.100000000000001" customHeight="1" x14ac:dyDescent="0.3">
      <c r="A14" s="36" t="s">
        <v>57</v>
      </c>
      <c r="B14" s="23"/>
      <c r="C14" s="23"/>
      <c r="D14" s="14">
        <f>COUNTIF('Araç Envanteri'!M4:M203,"Bakımda")</f>
        <v>0</v>
      </c>
      <c r="E14" s="17"/>
      <c r="F14" s="21">
        <f>IFERROR(INDEX('Bakım Takip'!C$4:C$203,LARGE(IF('Bakım Takip'!C$4:C$203&lt;&gt;"",ROW('Bakım Takip'!C$4:C$203)-3),1)),"")</f>
        <v>0</v>
      </c>
      <c r="G14" s="21" t="str">
        <f>IF(F14&lt;&gt;"",IFERROR(VLOOKUP(F14,'Araç Envanteri'!$B$4:$C$203,2,0),""),"")</f>
        <v/>
      </c>
      <c r="H14" s="21" t="str">
        <f>IF(F14&lt;&gt;"",IFERROR(VLOOKUP(F14,'Bakım Takip'!$C$4:$J$203,8,0),""),"")</f>
        <v/>
      </c>
    </row>
    <row r="15" spans="1:8" ht="20.100000000000001" customHeight="1" x14ac:dyDescent="0.3">
      <c r="A15" s="33" t="s">
        <v>58</v>
      </c>
      <c r="B15" s="23"/>
      <c r="C15" s="23"/>
      <c r="D15" s="15">
        <f>COUNTIF('Araç Envanteri'!M4:M203,"Arızalı")</f>
        <v>0</v>
      </c>
      <c r="E15" s="17"/>
      <c r="F15" s="2" t="str">
        <f>IFERROR(INDEX('Bakım Takip'!C$4:C$203,LARGE(IF('Bakım Takip'!C$4:C$203&lt;&gt;"",ROW('Bakım Takip'!C$4:C$203)-3),2)),"")</f>
        <v/>
      </c>
      <c r="G15" s="2" t="str">
        <f>IF(F15&lt;&gt;"",IFERROR(VLOOKUP(F15,'Araç Envanteri'!$B$4:$C$203,2,0),""),"")</f>
        <v/>
      </c>
      <c r="H15" s="2" t="str">
        <f>IF(F15&lt;&gt;"",IFERROR(VLOOKUP(F15,'Bakım Takip'!$C$4:$J$203,8,0),""),"")</f>
        <v/>
      </c>
    </row>
    <row r="16" spans="1:8" ht="20.100000000000001" customHeight="1" x14ac:dyDescent="0.3">
      <c r="A16" s="32" t="s">
        <v>59</v>
      </c>
      <c r="B16" s="23"/>
      <c r="C16" s="23"/>
      <c r="D16" s="16">
        <f>COUNTIF('Araç Envanteri'!M4:M203,"Hurdaya Ayrıldı")</f>
        <v>0</v>
      </c>
      <c r="E16" s="17"/>
      <c r="F16" s="21" t="str">
        <f>IFERROR(INDEX('Bakım Takip'!C$4:C$203,LARGE(IF('Bakım Takip'!C$4:C$203&lt;&gt;"",ROW('Bakım Takip'!C$4:C$203)-3),3)),"")</f>
        <v/>
      </c>
      <c r="G16" s="21" t="str">
        <f>IF(F16&lt;&gt;"",IFERROR(VLOOKUP(F16,'Araç Envanteri'!$B$4:$C$203,2,0),""),"")</f>
        <v/>
      </c>
      <c r="H16" s="21" t="str">
        <f>IF(F16&lt;&gt;"",IFERROR(VLOOKUP(F16,'Bakım Takip'!$C$4:$J$203,8,0),""),"")</f>
        <v/>
      </c>
    </row>
    <row r="17" spans="1:8" ht="20.100000000000001" customHeight="1" x14ac:dyDescent="0.3">
      <c r="A17" s="24" t="s">
        <v>60</v>
      </c>
      <c r="B17" s="23"/>
      <c r="C17" s="23"/>
      <c r="D17" s="20">
        <f>COUNTIF('Araç Envanteri'!B4:B203,"&lt;&gt;")</f>
        <v>0</v>
      </c>
      <c r="E17" s="17"/>
      <c r="F17" s="2" t="str">
        <f>IFERROR(INDEX('Bakım Takip'!C$4:C$203,LARGE(IF('Bakım Takip'!C$4:C$203&lt;&gt;"",ROW('Bakım Takip'!C$4:C$203)-3),4)),"")</f>
        <v/>
      </c>
      <c r="G17" s="2" t="str">
        <f>IF(F17&lt;&gt;"",IFERROR(VLOOKUP(F17,'Araç Envanteri'!$B$4:$C$203,2,0),""),"")</f>
        <v/>
      </c>
      <c r="H17" s="2" t="str">
        <f>IF(F17&lt;&gt;"",IFERROR(VLOOKUP(F17,'Bakım Takip'!$C$4:$J$203,8,0),""),"")</f>
        <v/>
      </c>
    </row>
    <row r="18" spans="1:8" ht="20.100000000000001" customHeight="1" x14ac:dyDescent="0.3">
      <c r="A18" s="17"/>
      <c r="B18" s="17"/>
      <c r="C18" s="17"/>
      <c r="D18" s="17"/>
      <c r="E18" s="17"/>
      <c r="F18" s="21" t="str">
        <f>IFERROR(INDEX('Bakım Takip'!C$4:C$203,LARGE(IF('Bakım Takip'!C$4:C$203&lt;&gt;"",ROW('Bakım Takip'!C$4:C$203)-3),5)),"")</f>
        <v/>
      </c>
      <c r="G18" s="21" t="str">
        <f>IF(F18&lt;&gt;"",IFERROR(VLOOKUP(F18,'Araç Envanteri'!$B$4:$C$203,2,0),""),"")</f>
        <v/>
      </c>
      <c r="H18" s="21" t="str">
        <f>IF(F18&lt;&gt;"",IFERROR(VLOOKUP(F18,'Bakım Takip'!$C$4:$J$203,8,0),""),"")</f>
        <v/>
      </c>
    </row>
    <row r="19" spans="1:8" ht="20.100000000000001" customHeight="1" x14ac:dyDescent="0.3">
      <c r="A19" s="17"/>
      <c r="B19" s="17"/>
      <c r="C19" s="17"/>
      <c r="D19" s="17"/>
      <c r="E19" s="17"/>
      <c r="F19" s="2" t="str">
        <f>IFERROR(INDEX('Bakım Takip'!C$4:C$203,LARGE(IF('Bakım Takip'!C$4:C$203&lt;&gt;"",ROW('Bakım Takip'!C$4:C$203)-3),6)),"")</f>
        <v/>
      </c>
      <c r="G19" s="2" t="str">
        <f>IF(F19&lt;&gt;"",IFERROR(VLOOKUP(F19,'Araç Envanteri'!$B$4:$C$203,2,0),""),"")</f>
        <v/>
      </c>
      <c r="H19" s="2" t="str">
        <f>IF(F19&lt;&gt;"",IFERROR(VLOOKUP(F19,'Bakım Takip'!$C$4:$J$203,8,0),""),"")</f>
        <v/>
      </c>
    </row>
    <row r="20" spans="1:8" ht="20.100000000000001" customHeight="1" x14ac:dyDescent="0.3">
      <c r="A20" s="17"/>
      <c r="B20" s="17"/>
      <c r="C20" s="17"/>
      <c r="D20" s="17"/>
      <c r="E20" s="17"/>
      <c r="F20" s="21" t="str">
        <f>IFERROR(INDEX('Bakım Takip'!C$4:C$203,LARGE(IF('Bakım Takip'!C$4:C$203&lt;&gt;"",ROW('Bakım Takip'!C$4:C$203)-3),7)),"")</f>
        <v/>
      </c>
      <c r="G20" s="21" t="str">
        <f>IF(F20&lt;&gt;"",IFERROR(VLOOKUP(F20,'Araç Envanteri'!$B$4:$C$203,2,0),""),"")</f>
        <v/>
      </c>
      <c r="H20" s="21" t="str">
        <f>IF(F20&lt;&gt;"",IFERROR(VLOOKUP(F20,'Bakım Takip'!$C$4:$J$203,8,0),""),"")</f>
        <v/>
      </c>
    </row>
    <row r="21" spans="1:8" ht="20.100000000000001" customHeight="1" x14ac:dyDescent="0.3">
      <c r="A21" s="17"/>
      <c r="B21" s="17"/>
      <c r="C21" s="17"/>
      <c r="D21" s="17"/>
      <c r="E21" s="17"/>
      <c r="F21" s="2" t="str">
        <f>IFERROR(INDEX('Bakım Takip'!C$4:C$203,LARGE(IF('Bakım Takip'!C$4:C$203&lt;&gt;"",ROW('Bakım Takip'!C$4:C$203)-3),8)),"")</f>
        <v/>
      </c>
      <c r="G21" s="2" t="str">
        <f>IF(F21&lt;&gt;"",IFERROR(VLOOKUP(F21,'Araç Envanteri'!$B$4:$C$203,2,0),""),"")</f>
        <v/>
      </c>
      <c r="H21" s="2" t="str">
        <f>IF(F21&lt;&gt;"",IFERROR(VLOOKUP(F21,'Bakım Takip'!$C$4:$J$203,8,0),""),"")</f>
        <v/>
      </c>
    </row>
    <row r="22" spans="1:8" ht="20.100000000000001" customHeight="1" x14ac:dyDescent="0.3">
      <c r="A22" s="17"/>
      <c r="B22" s="17"/>
      <c r="C22" s="17"/>
      <c r="D22" s="17"/>
      <c r="E22" s="17"/>
      <c r="F22" s="21" t="str">
        <f>IFERROR(INDEX('Bakım Takip'!C$4:C$203,LARGE(IF('Bakım Takip'!C$4:C$203&lt;&gt;"",ROW('Bakım Takip'!C$4:C$203)-3),9)),"")</f>
        <v/>
      </c>
      <c r="G22" s="21" t="str">
        <f>IF(F22&lt;&gt;"",IFERROR(VLOOKUP(F22,'Araç Envanteri'!$B$4:$C$203,2,0),""),"")</f>
        <v/>
      </c>
      <c r="H22" s="21" t="str">
        <f>IF(F22&lt;&gt;"",IFERROR(VLOOKUP(F22,'Bakım Takip'!$C$4:$J$203,8,0),""),"")</f>
        <v/>
      </c>
    </row>
    <row r="23" spans="1:8" ht="20.100000000000001" customHeight="1" x14ac:dyDescent="0.3">
      <c r="A23" s="17"/>
      <c r="B23" s="17"/>
      <c r="C23" s="17"/>
      <c r="D23" s="17"/>
      <c r="E23" s="17"/>
      <c r="F23" s="2" t="str">
        <f>IFERROR(INDEX('Bakım Takip'!C$4:C$203,LARGE(IF('Bakım Takip'!C$4:C$203&lt;&gt;"",ROW('Bakım Takip'!C$4:C$203)-3),10)),"")</f>
        <v/>
      </c>
      <c r="G23" s="2" t="str">
        <f>IF(F23&lt;&gt;"",IFERROR(VLOOKUP(F23,'Araç Envanteri'!$B$4:$C$203,2,0),""),"")</f>
        <v/>
      </c>
      <c r="H23" s="2" t="str">
        <f>IF(F23&lt;&gt;"",IFERROR(VLOOKUP(F23,'Bakım Takip'!$C$4:$J$203,8,0),""),"")</f>
        <v/>
      </c>
    </row>
    <row r="25" spans="1:8" ht="14.1" customHeight="1" x14ac:dyDescent="0.3">
      <c r="A25" s="17"/>
      <c r="B25" s="17"/>
      <c r="C25" s="17"/>
      <c r="D25" s="17"/>
      <c r="E25" s="17"/>
      <c r="F25" s="17"/>
      <c r="G25" s="17"/>
      <c r="H25" s="17"/>
    </row>
    <row r="26" spans="1:8" ht="27.9" customHeight="1" x14ac:dyDescent="0.3">
      <c r="A26" s="24" t="s">
        <v>61</v>
      </c>
      <c r="B26" s="23"/>
      <c r="C26" s="23"/>
      <c r="D26" s="23"/>
      <c r="E26" s="17"/>
      <c r="F26" s="35">
        <f>IFERROR(SUM('Bakım Takip'!H4:H203)+SUM('Yakıt Takip'!H4:H203),0)</f>
        <v>0</v>
      </c>
      <c r="G26" s="23"/>
      <c r="H26" s="23"/>
    </row>
  </sheetData>
  <mergeCells count="35">
    <mergeCell ref="A1:H1"/>
    <mergeCell ref="G8:H8"/>
    <mergeCell ref="A6:B6"/>
    <mergeCell ref="E8:F8"/>
    <mergeCell ref="C4:D4"/>
    <mergeCell ref="E4:F4"/>
    <mergeCell ref="G6:H6"/>
    <mergeCell ref="A2:H2"/>
    <mergeCell ref="A5:B5"/>
    <mergeCell ref="G5:H5"/>
    <mergeCell ref="C6:D6"/>
    <mergeCell ref="C5:D5"/>
    <mergeCell ref="E5:F5"/>
    <mergeCell ref="A8:B8"/>
    <mergeCell ref="C8:D8"/>
    <mergeCell ref="A4:B4"/>
    <mergeCell ref="G4:H4"/>
    <mergeCell ref="A12:D12"/>
    <mergeCell ref="C9:D9"/>
    <mergeCell ref="E9:F9"/>
    <mergeCell ref="E6:F6"/>
    <mergeCell ref="C10:D10"/>
    <mergeCell ref="E10:F10"/>
    <mergeCell ref="G10:H10"/>
    <mergeCell ref="A26:D26"/>
    <mergeCell ref="A10:B10"/>
    <mergeCell ref="F12:H12"/>
    <mergeCell ref="A9:B9"/>
    <mergeCell ref="G9:H9"/>
    <mergeCell ref="A16:C16"/>
    <mergeCell ref="A15:C15"/>
    <mergeCell ref="A13:C13"/>
    <mergeCell ref="F26:H26"/>
    <mergeCell ref="A14:C14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Araç Envanteri</vt:lpstr>
      <vt:lpstr>Bakım Takip</vt:lpstr>
      <vt:lpstr>Yakıt Takip</vt:lpstr>
      <vt:lpstr>Özet Panel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/>
  <dcterms:created xsi:type="dcterms:W3CDTF">2026-06-10T12:36:14Z</dcterms:created>
  <dcterms:modified xsi:type="dcterms:W3CDTF">2026-07-13T06:21:09Z</dcterms:modified>
  <cp:category/>
  <cp:contentStatus/>
</cp:coreProperties>
</file>