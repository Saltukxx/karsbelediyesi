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23040" windowHeight="9204" tabRatio="500"/>
  </bookViews>
  <sheets>
    <sheet name="Personel Listesi" sheetId="1" r:id="rId1"/>
    <sheet name="Araç Listesi" sheetId="2" r:id="rId2"/>
    <sheet name="Araç Günlük Takip" sheetId="3" r:id="rId3"/>
    <sheet name="Personel Günlük Takip" sheetId="4" r:id="rId4"/>
    <sheet name="Aylık Özet" sheetId="5" r:id="rId5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4" i="5" l="1"/>
  <c r="F14" i="5"/>
  <c r="H33" i="5" l="1"/>
  <c r="H34" i="5"/>
  <c r="H35" i="5"/>
  <c r="H36" i="5"/>
  <c r="H37" i="5"/>
  <c r="G35" i="5"/>
  <c r="G36" i="5"/>
  <c r="G37" i="5"/>
  <c r="F33" i="5"/>
  <c r="F34" i="5"/>
  <c r="F35" i="5"/>
  <c r="F36" i="5"/>
  <c r="F37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F28" i="5"/>
  <c r="H28" i="5" s="1"/>
  <c r="A28" i="5"/>
  <c r="D28" i="5" s="1"/>
  <c r="F27" i="5"/>
  <c r="H27" i="5" s="1"/>
  <c r="A27" i="5"/>
  <c r="D27" i="5" s="1"/>
  <c r="F26" i="5"/>
  <c r="H26" i="5" s="1"/>
  <c r="A26" i="5"/>
  <c r="D26" i="5" s="1"/>
  <c r="F25" i="5"/>
  <c r="H25" i="5" s="1"/>
  <c r="A25" i="5"/>
  <c r="D25" i="5" s="1"/>
  <c r="F24" i="5"/>
  <c r="H24" i="5" s="1"/>
  <c r="A24" i="5"/>
  <c r="D24" i="5" s="1"/>
  <c r="F23" i="5"/>
  <c r="G23" i="5" s="1"/>
  <c r="A23" i="5"/>
  <c r="D23" i="5" s="1"/>
  <c r="F22" i="5"/>
  <c r="H22" i="5" s="1"/>
  <c r="A22" i="5"/>
  <c r="C22" i="5" s="1"/>
  <c r="F21" i="5"/>
  <c r="H21" i="5" s="1"/>
  <c r="A21" i="5"/>
  <c r="D21" i="5" s="1"/>
  <c r="F20" i="5"/>
  <c r="H20" i="5" s="1"/>
  <c r="A20" i="5"/>
  <c r="D20" i="5" s="1"/>
  <c r="F19" i="5"/>
  <c r="H19" i="5" s="1"/>
  <c r="A19" i="5"/>
  <c r="D19" i="5" s="1"/>
  <c r="F18" i="5"/>
  <c r="H18" i="5" s="1"/>
  <c r="A18" i="5"/>
  <c r="D18" i="5" s="1"/>
  <c r="F17" i="5"/>
  <c r="H17" i="5" s="1"/>
  <c r="A17" i="5"/>
  <c r="C17" i="5" s="1"/>
  <c r="F16" i="5"/>
  <c r="H16" i="5" s="1"/>
  <c r="A16" i="5"/>
  <c r="C16" i="5" s="1"/>
  <c r="F15" i="5"/>
  <c r="H15" i="5" s="1"/>
  <c r="A15" i="5"/>
  <c r="D15" i="5" s="1"/>
  <c r="H14" i="5"/>
  <c r="C14" i="5"/>
  <c r="D14" i="5"/>
  <c r="G9" i="5"/>
  <c r="J4" i="4"/>
  <c r="E9" i="5" s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G5" i="5"/>
  <c r="E5" i="5"/>
  <c r="J4" i="3"/>
  <c r="C5" i="5" s="1"/>
  <c r="J5" i="3"/>
  <c r="G34" i="5" s="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A5" i="5"/>
  <c r="H304" i="4"/>
  <c r="D303" i="4"/>
  <c r="A303" i="4"/>
  <c r="D302" i="4"/>
  <c r="A302" i="4"/>
  <c r="D301" i="4"/>
  <c r="A301" i="4"/>
  <c r="D300" i="4"/>
  <c r="A300" i="4"/>
  <c r="D299" i="4"/>
  <c r="A299" i="4"/>
  <c r="D298" i="4"/>
  <c r="A298" i="4"/>
  <c r="D297" i="4"/>
  <c r="A297" i="4"/>
  <c r="D296" i="4"/>
  <c r="A296" i="4"/>
  <c r="D295" i="4"/>
  <c r="A295" i="4"/>
  <c r="D294" i="4"/>
  <c r="A294" i="4"/>
  <c r="D293" i="4"/>
  <c r="A293" i="4"/>
  <c r="D292" i="4"/>
  <c r="A292" i="4"/>
  <c r="D291" i="4"/>
  <c r="A291" i="4"/>
  <c r="D290" i="4"/>
  <c r="A290" i="4"/>
  <c r="D289" i="4"/>
  <c r="A289" i="4"/>
  <c r="D288" i="4"/>
  <c r="A288" i="4"/>
  <c r="D287" i="4"/>
  <c r="A287" i="4"/>
  <c r="D286" i="4"/>
  <c r="A286" i="4"/>
  <c r="D285" i="4"/>
  <c r="A285" i="4"/>
  <c r="D284" i="4"/>
  <c r="A284" i="4"/>
  <c r="D283" i="4"/>
  <c r="A283" i="4"/>
  <c r="D282" i="4"/>
  <c r="A282" i="4"/>
  <c r="D281" i="4"/>
  <c r="A281" i="4"/>
  <c r="D280" i="4"/>
  <c r="A280" i="4"/>
  <c r="D279" i="4"/>
  <c r="A279" i="4"/>
  <c r="D278" i="4"/>
  <c r="A278" i="4"/>
  <c r="D277" i="4"/>
  <c r="A277" i="4"/>
  <c r="D276" i="4"/>
  <c r="A276" i="4"/>
  <c r="D275" i="4"/>
  <c r="A275" i="4"/>
  <c r="D274" i="4"/>
  <c r="A274" i="4"/>
  <c r="D273" i="4"/>
  <c r="A273" i="4"/>
  <c r="D272" i="4"/>
  <c r="A272" i="4"/>
  <c r="D271" i="4"/>
  <c r="A271" i="4"/>
  <c r="D270" i="4"/>
  <c r="A270" i="4"/>
  <c r="D269" i="4"/>
  <c r="A269" i="4"/>
  <c r="D268" i="4"/>
  <c r="A268" i="4"/>
  <c r="D267" i="4"/>
  <c r="A267" i="4"/>
  <c r="D266" i="4"/>
  <c r="A266" i="4"/>
  <c r="D265" i="4"/>
  <c r="A265" i="4"/>
  <c r="D264" i="4"/>
  <c r="A264" i="4"/>
  <c r="D263" i="4"/>
  <c r="A263" i="4"/>
  <c r="D262" i="4"/>
  <c r="A262" i="4"/>
  <c r="D261" i="4"/>
  <c r="A261" i="4"/>
  <c r="D260" i="4"/>
  <c r="A260" i="4"/>
  <c r="D259" i="4"/>
  <c r="A259" i="4"/>
  <c r="D258" i="4"/>
  <c r="A258" i="4"/>
  <c r="D257" i="4"/>
  <c r="A257" i="4"/>
  <c r="D256" i="4"/>
  <c r="A256" i="4"/>
  <c r="D255" i="4"/>
  <c r="A255" i="4"/>
  <c r="D254" i="4"/>
  <c r="A254" i="4"/>
  <c r="D253" i="4"/>
  <c r="A253" i="4"/>
  <c r="D252" i="4"/>
  <c r="A252" i="4"/>
  <c r="D251" i="4"/>
  <c r="A251" i="4"/>
  <c r="D250" i="4"/>
  <c r="A250" i="4"/>
  <c r="D249" i="4"/>
  <c r="A249" i="4"/>
  <c r="D248" i="4"/>
  <c r="A248" i="4"/>
  <c r="D247" i="4"/>
  <c r="A247" i="4"/>
  <c r="D246" i="4"/>
  <c r="A246" i="4"/>
  <c r="D245" i="4"/>
  <c r="A245" i="4"/>
  <c r="D244" i="4"/>
  <c r="A244" i="4"/>
  <c r="D243" i="4"/>
  <c r="A243" i="4"/>
  <c r="D242" i="4"/>
  <c r="A242" i="4"/>
  <c r="D241" i="4"/>
  <c r="A241" i="4"/>
  <c r="D240" i="4"/>
  <c r="A240" i="4"/>
  <c r="D239" i="4"/>
  <c r="A239" i="4"/>
  <c r="D238" i="4"/>
  <c r="A238" i="4"/>
  <c r="D237" i="4"/>
  <c r="A237" i="4"/>
  <c r="D236" i="4"/>
  <c r="A236" i="4"/>
  <c r="D235" i="4"/>
  <c r="A235" i="4"/>
  <c r="D234" i="4"/>
  <c r="A234" i="4"/>
  <c r="D233" i="4"/>
  <c r="A233" i="4"/>
  <c r="D232" i="4"/>
  <c r="A232" i="4"/>
  <c r="D231" i="4"/>
  <c r="A231" i="4"/>
  <c r="D230" i="4"/>
  <c r="A230" i="4"/>
  <c r="D229" i="4"/>
  <c r="A229" i="4"/>
  <c r="D228" i="4"/>
  <c r="A228" i="4"/>
  <c r="D227" i="4"/>
  <c r="A227" i="4"/>
  <c r="D226" i="4"/>
  <c r="A226" i="4"/>
  <c r="D225" i="4"/>
  <c r="A225" i="4"/>
  <c r="D224" i="4"/>
  <c r="A224" i="4"/>
  <c r="D223" i="4"/>
  <c r="A223" i="4"/>
  <c r="D222" i="4"/>
  <c r="A222" i="4"/>
  <c r="D221" i="4"/>
  <c r="A221" i="4"/>
  <c r="D220" i="4"/>
  <c r="A220" i="4"/>
  <c r="D219" i="4"/>
  <c r="A219" i="4"/>
  <c r="D218" i="4"/>
  <c r="A218" i="4"/>
  <c r="D217" i="4"/>
  <c r="A217" i="4"/>
  <c r="D216" i="4"/>
  <c r="A216" i="4"/>
  <c r="D215" i="4"/>
  <c r="A215" i="4"/>
  <c r="D214" i="4"/>
  <c r="A214" i="4"/>
  <c r="D213" i="4"/>
  <c r="A213" i="4"/>
  <c r="D212" i="4"/>
  <c r="A212" i="4"/>
  <c r="D211" i="4"/>
  <c r="A211" i="4"/>
  <c r="D210" i="4"/>
  <c r="A210" i="4"/>
  <c r="D209" i="4"/>
  <c r="A209" i="4"/>
  <c r="D208" i="4"/>
  <c r="A208" i="4"/>
  <c r="D207" i="4"/>
  <c r="A207" i="4"/>
  <c r="D206" i="4"/>
  <c r="A206" i="4"/>
  <c r="D205" i="4"/>
  <c r="A205" i="4"/>
  <c r="D204" i="4"/>
  <c r="A204" i="4"/>
  <c r="D203" i="4"/>
  <c r="A203" i="4"/>
  <c r="D202" i="4"/>
  <c r="A202" i="4"/>
  <c r="D201" i="4"/>
  <c r="A201" i="4"/>
  <c r="D200" i="4"/>
  <c r="A200" i="4"/>
  <c r="D199" i="4"/>
  <c r="A199" i="4"/>
  <c r="D198" i="4"/>
  <c r="A198" i="4"/>
  <c r="D197" i="4"/>
  <c r="A197" i="4"/>
  <c r="D196" i="4"/>
  <c r="A196" i="4"/>
  <c r="D195" i="4"/>
  <c r="A195" i="4"/>
  <c r="D194" i="4"/>
  <c r="A194" i="4"/>
  <c r="D193" i="4"/>
  <c r="A193" i="4"/>
  <c r="D192" i="4"/>
  <c r="A192" i="4"/>
  <c r="D191" i="4"/>
  <c r="A191" i="4"/>
  <c r="D190" i="4"/>
  <c r="A190" i="4"/>
  <c r="D189" i="4"/>
  <c r="A189" i="4"/>
  <c r="D188" i="4"/>
  <c r="A188" i="4"/>
  <c r="D187" i="4"/>
  <c r="A187" i="4"/>
  <c r="D186" i="4"/>
  <c r="A186" i="4"/>
  <c r="D185" i="4"/>
  <c r="A185" i="4"/>
  <c r="D184" i="4"/>
  <c r="A184" i="4"/>
  <c r="D183" i="4"/>
  <c r="A183" i="4"/>
  <c r="D182" i="4"/>
  <c r="A182" i="4"/>
  <c r="D181" i="4"/>
  <c r="A181" i="4"/>
  <c r="D180" i="4"/>
  <c r="A180" i="4"/>
  <c r="D179" i="4"/>
  <c r="A179" i="4"/>
  <c r="D178" i="4"/>
  <c r="A178" i="4"/>
  <c r="D177" i="4"/>
  <c r="A177" i="4"/>
  <c r="D176" i="4"/>
  <c r="A176" i="4"/>
  <c r="D175" i="4"/>
  <c r="A175" i="4"/>
  <c r="D174" i="4"/>
  <c r="A174" i="4"/>
  <c r="D173" i="4"/>
  <c r="A173" i="4"/>
  <c r="D172" i="4"/>
  <c r="A172" i="4"/>
  <c r="D171" i="4"/>
  <c r="A171" i="4"/>
  <c r="D170" i="4"/>
  <c r="A170" i="4"/>
  <c r="D169" i="4"/>
  <c r="A169" i="4"/>
  <c r="D168" i="4"/>
  <c r="A168" i="4"/>
  <c r="D167" i="4"/>
  <c r="A167" i="4"/>
  <c r="D166" i="4"/>
  <c r="A166" i="4"/>
  <c r="D165" i="4"/>
  <c r="A165" i="4"/>
  <c r="D164" i="4"/>
  <c r="A164" i="4"/>
  <c r="D163" i="4"/>
  <c r="A163" i="4"/>
  <c r="D162" i="4"/>
  <c r="A162" i="4"/>
  <c r="D161" i="4"/>
  <c r="A161" i="4"/>
  <c r="D160" i="4"/>
  <c r="A160" i="4"/>
  <c r="D159" i="4"/>
  <c r="A159" i="4"/>
  <c r="D158" i="4"/>
  <c r="A158" i="4"/>
  <c r="D157" i="4"/>
  <c r="A157" i="4"/>
  <c r="D156" i="4"/>
  <c r="A156" i="4"/>
  <c r="D155" i="4"/>
  <c r="A155" i="4"/>
  <c r="D154" i="4"/>
  <c r="A154" i="4"/>
  <c r="D153" i="4"/>
  <c r="A153" i="4"/>
  <c r="D152" i="4"/>
  <c r="A152" i="4"/>
  <c r="D151" i="4"/>
  <c r="A151" i="4"/>
  <c r="D150" i="4"/>
  <c r="A150" i="4"/>
  <c r="D149" i="4"/>
  <c r="A149" i="4"/>
  <c r="D148" i="4"/>
  <c r="A148" i="4"/>
  <c r="D147" i="4"/>
  <c r="A147" i="4"/>
  <c r="D146" i="4"/>
  <c r="A146" i="4"/>
  <c r="D145" i="4"/>
  <c r="A145" i="4"/>
  <c r="D144" i="4"/>
  <c r="A144" i="4"/>
  <c r="D143" i="4"/>
  <c r="A143" i="4"/>
  <c r="D142" i="4"/>
  <c r="A142" i="4"/>
  <c r="D141" i="4"/>
  <c r="A141" i="4"/>
  <c r="D140" i="4"/>
  <c r="A140" i="4"/>
  <c r="D139" i="4"/>
  <c r="A139" i="4"/>
  <c r="D138" i="4"/>
  <c r="A138" i="4"/>
  <c r="D137" i="4"/>
  <c r="A137" i="4"/>
  <c r="D136" i="4"/>
  <c r="A136" i="4"/>
  <c r="D135" i="4"/>
  <c r="A135" i="4"/>
  <c r="D134" i="4"/>
  <c r="A134" i="4"/>
  <c r="D133" i="4"/>
  <c r="A133" i="4"/>
  <c r="D132" i="4"/>
  <c r="A132" i="4"/>
  <c r="D131" i="4"/>
  <c r="A131" i="4"/>
  <c r="D130" i="4"/>
  <c r="A130" i="4"/>
  <c r="D129" i="4"/>
  <c r="A129" i="4"/>
  <c r="D128" i="4"/>
  <c r="A128" i="4"/>
  <c r="D127" i="4"/>
  <c r="A127" i="4"/>
  <c r="D126" i="4"/>
  <c r="A126" i="4"/>
  <c r="D125" i="4"/>
  <c r="A125" i="4"/>
  <c r="D124" i="4"/>
  <c r="A124" i="4"/>
  <c r="D123" i="4"/>
  <c r="A123" i="4"/>
  <c r="D122" i="4"/>
  <c r="A122" i="4"/>
  <c r="D121" i="4"/>
  <c r="A121" i="4"/>
  <c r="D120" i="4"/>
  <c r="A120" i="4"/>
  <c r="D119" i="4"/>
  <c r="A119" i="4"/>
  <c r="D118" i="4"/>
  <c r="A118" i="4"/>
  <c r="D117" i="4"/>
  <c r="A117" i="4"/>
  <c r="D116" i="4"/>
  <c r="A116" i="4"/>
  <c r="D115" i="4"/>
  <c r="A115" i="4"/>
  <c r="D114" i="4"/>
  <c r="A114" i="4"/>
  <c r="D113" i="4"/>
  <c r="A113" i="4"/>
  <c r="D112" i="4"/>
  <c r="A112" i="4"/>
  <c r="D111" i="4"/>
  <c r="A111" i="4"/>
  <c r="D110" i="4"/>
  <c r="A110" i="4"/>
  <c r="D109" i="4"/>
  <c r="A109" i="4"/>
  <c r="D108" i="4"/>
  <c r="A108" i="4"/>
  <c r="D107" i="4"/>
  <c r="A107" i="4"/>
  <c r="D106" i="4"/>
  <c r="A106" i="4"/>
  <c r="D105" i="4"/>
  <c r="A105" i="4"/>
  <c r="D104" i="4"/>
  <c r="A104" i="4"/>
  <c r="D103" i="4"/>
  <c r="A103" i="4"/>
  <c r="D102" i="4"/>
  <c r="A102" i="4"/>
  <c r="D101" i="4"/>
  <c r="A101" i="4"/>
  <c r="D100" i="4"/>
  <c r="A100" i="4"/>
  <c r="D99" i="4"/>
  <c r="A99" i="4"/>
  <c r="D98" i="4"/>
  <c r="A98" i="4"/>
  <c r="D97" i="4"/>
  <c r="A97" i="4"/>
  <c r="D96" i="4"/>
  <c r="A96" i="4"/>
  <c r="D95" i="4"/>
  <c r="A95" i="4"/>
  <c r="D94" i="4"/>
  <c r="A94" i="4"/>
  <c r="D93" i="4"/>
  <c r="A93" i="4"/>
  <c r="D92" i="4"/>
  <c r="A92" i="4"/>
  <c r="D91" i="4"/>
  <c r="A91" i="4"/>
  <c r="D90" i="4"/>
  <c r="A90" i="4"/>
  <c r="D89" i="4"/>
  <c r="A89" i="4"/>
  <c r="D88" i="4"/>
  <c r="A88" i="4"/>
  <c r="D87" i="4"/>
  <c r="A87" i="4"/>
  <c r="D86" i="4"/>
  <c r="A86" i="4"/>
  <c r="D85" i="4"/>
  <c r="A85" i="4"/>
  <c r="D84" i="4"/>
  <c r="A84" i="4"/>
  <c r="D83" i="4"/>
  <c r="A83" i="4"/>
  <c r="D82" i="4"/>
  <c r="A82" i="4"/>
  <c r="D81" i="4"/>
  <c r="A81" i="4"/>
  <c r="D80" i="4"/>
  <c r="A80" i="4"/>
  <c r="D79" i="4"/>
  <c r="A79" i="4"/>
  <c r="D78" i="4"/>
  <c r="A78" i="4"/>
  <c r="D77" i="4"/>
  <c r="A77" i="4"/>
  <c r="D76" i="4"/>
  <c r="A76" i="4"/>
  <c r="D75" i="4"/>
  <c r="A75" i="4"/>
  <c r="D74" i="4"/>
  <c r="A74" i="4"/>
  <c r="D73" i="4"/>
  <c r="A73" i="4"/>
  <c r="D72" i="4"/>
  <c r="A72" i="4"/>
  <c r="D71" i="4"/>
  <c r="A71" i="4"/>
  <c r="D70" i="4"/>
  <c r="A70" i="4"/>
  <c r="D69" i="4"/>
  <c r="A69" i="4"/>
  <c r="D68" i="4"/>
  <c r="A68" i="4"/>
  <c r="D67" i="4"/>
  <c r="A67" i="4"/>
  <c r="D66" i="4"/>
  <c r="A66" i="4"/>
  <c r="D65" i="4"/>
  <c r="A65" i="4"/>
  <c r="D64" i="4"/>
  <c r="A64" i="4"/>
  <c r="D63" i="4"/>
  <c r="A63" i="4"/>
  <c r="D62" i="4"/>
  <c r="A62" i="4"/>
  <c r="D61" i="4"/>
  <c r="A61" i="4"/>
  <c r="D60" i="4"/>
  <c r="A60" i="4"/>
  <c r="D59" i="4"/>
  <c r="A59" i="4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51" i="4"/>
  <c r="A51" i="4"/>
  <c r="D50" i="4"/>
  <c r="A50" i="4"/>
  <c r="D49" i="4"/>
  <c r="A49" i="4"/>
  <c r="D48" i="4"/>
  <c r="A48" i="4"/>
  <c r="D47" i="4"/>
  <c r="A47" i="4"/>
  <c r="D46" i="4"/>
  <c r="A46" i="4"/>
  <c r="D45" i="4"/>
  <c r="A45" i="4"/>
  <c r="D44" i="4"/>
  <c r="A44" i="4"/>
  <c r="D43" i="4"/>
  <c r="A43" i="4"/>
  <c r="D42" i="4"/>
  <c r="A42" i="4"/>
  <c r="D41" i="4"/>
  <c r="A41" i="4"/>
  <c r="D40" i="4"/>
  <c r="A40" i="4"/>
  <c r="D39" i="4"/>
  <c r="A39" i="4"/>
  <c r="D38" i="4"/>
  <c r="A38" i="4"/>
  <c r="D37" i="4"/>
  <c r="A37" i="4"/>
  <c r="D36" i="4"/>
  <c r="A36" i="4"/>
  <c r="D35" i="4"/>
  <c r="A35" i="4"/>
  <c r="D34" i="4"/>
  <c r="A34" i="4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21" i="4"/>
  <c r="A21" i="4"/>
  <c r="D20" i="4"/>
  <c r="A20" i="4"/>
  <c r="D19" i="4"/>
  <c r="A19" i="4"/>
  <c r="D18" i="4"/>
  <c r="A18" i="4"/>
  <c r="D17" i="4"/>
  <c r="A17" i="4"/>
  <c r="D16" i="4"/>
  <c r="A16" i="4"/>
  <c r="D15" i="4"/>
  <c r="A15" i="4"/>
  <c r="D14" i="4"/>
  <c r="A14" i="4"/>
  <c r="D13" i="4"/>
  <c r="A13" i="4"/>
  <c r="D12" i="4"/>
  <c r="A12" i="4"/>
  <c r="D11" i="4"/>
  <c r="A11" i="4"/>
  <c r="D10" i="4"/>
  <c r="A10" i="4"/>
  <c r="D9" i="4"/>
  <c r="A9" i="4"/>
  <c r="D8" i="4"/>
  <c r="A8" i="4"/>
  <c r="D7" i="4"/>
  <c r="A7" i="4"/>
  <c r="D6" i="4"/>
  <c r="A6" i="4"/>
  <c r="D5" i="4"/>
  <c r="A5" i="4"/>
  <c r="D4" i="4"/>
  <c r="A4" i="4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K304" i="3"/>
  <c r="D303" i="3"/>
  <c r="A303" i="3"/>
  <c r="D302" i="3"/>
  <c r="A302" i="3"/>
  <c r="D301" i="3"/>
  <c r="A301" i="3"/>
  <c r="D300" i="3"/>
  <c r="A300" i="3"/>
  <c r="D299" i="3"/>
  <c r="A299" i="3"/>
  <c r="D298" i="3"/>
  <c r="A298" i="3"/>
  <c r="D297" i="3"/>
  <c r="A297" i="3"/>
  <c r="D296" i="3"/>
  <c r="A296" i="3"/>
  <c r="D295" i="3"/>
  <c r="A295" i="3"/>
  <c r="D294" i="3"/>
  <c r="A294" i="3"/>
  <c r="D293" i="3"/>
  <c r="A293" i="3"/>
  <c r="D292" i="3"/>
  <c r="A292" i="3"/>
  <c r="D291" i="3"/>
  <c r="A291" i="3"/>
  <c r="D290" i="3"/>
  <c r="A290" i="3"/>
  <c r="D289" i="3"/>
  <c r="A289" i="3"/>
  <c r="D288" i="3"/>
  <c r="A288" i="3"/>
  <c r="D287" i="3"/>
  <c r="A287" i="3"/>
  <c r="D286" i="3"/>
  <c r="A286" i="3"/>
  <c r="D285" i="3"/>
  <c r="A285" i="3"/>
  <c r="D284" i="3"/>
  <c r="A284" i="3"/>
  <c r="D283" i="3"/>
  <c r="A283" i="3"/>
  <c r="D282" i="3"/>
  <c r="A282" i="3"/>
  <c r="D281" i="3"/>
  <c r="A281" i="3"/>
  <c r="D280" i="3"/>
  <c r="A280" i="3"/>
  <c r="D279" i="3"/>
  <c r="A279" i="3"/>
  <c r="D278" i="3"/>
  <c r="A278" i="3"/>
  <c r="D277" i="3"/>
  <c r="A277" i="3"/>
  <c r="D276" i="3"/>
  <c r="A276" i="3"/>
  <c r="D275" i="3"/>
  <c r="A275" i="3"/>
  <c r="D274" i="3"/>
  <c r="A274" i="3"/>
  <c r="D273" i="3"/>
  <c r="A273" i="3"/>
  <c r="D272" i="3"/>
  <c r="A272" i="3"/>
  <c r="D271" i="3"/>
  <c r="A271" i="3"/>
  <c r="D270" i="3"/>
  <c r="A270" i="3"/>
  <c r="D269" i="3"/>
  <c r="A269" i="3"/>
  <c r="D268" i="3"/>
  <c r="A268" i="3"/>
  <c r="D267" i="3"/>
  <c r="A267" i="3"/>
  <c r="D266" i="3"/>
  <c r="A266" i="3"/>
  <c r="D265" i="3"/>
  <c r="A265" i="3"/>
  <c r="D264" i="3"/>
  <c r="A264" i="3"/>
  <c r="D263" i="3"/>
  <c r="A263" i="3"/>
  <c r="D262" i="3"/>
  <c r="A262" i="3"/>
  <c r="D261" i="3"/>
  <c r="A261" i="3"/>
  <c r="D260" i="3"/>
  <c r="A260" i="3"/>
  <c r="D259" i="3"/>
  <c r="A259" i="3"/>
  <c r="D258" i="3"/>
  <c r="A258" i="3"/>
  <c r="D257" i="3"/>
  <c r="A257" i="3"/>
  <c r="D256" i="3"/>
  <c r="A256" i="3"/>
  <c r="D255" i="3"/>
  <c r="A255" i="3"/>
  <c r="D254" i="3"/>
  <c r="A254" i="3"/>
  <c r="D253" i="3"/>
  <c r="A253" i="3"/>
  <c r="D252" i="3"/>
  <c r="A252" i="3"/>
  <c r="D251" i="3"/>
  <c r="A251" i="3"/>
  <c r="D250" i="3"/>
  <c r="A250" i="3"/>
  <c r="D249" i="3"/>
  <c r="A249" i="3"/>
  <c r="D248" i="3"/>
  <c r="A248" i="3"/>
  <c r="D247" i="3"/>
  <c r="A247" i="3"/>
  <c r="D246" i="3"/>
  <c r="A246" i="3"/>
  <c r="D245" i="3"/>
  <c r="A245" i="3"/>
  <c r="D244" i="3"/>
  <c r="A244" i="3"/>
  <c r="D243" i="3"/>
  <c r="A243" i="3"/>
  <c r="D242" i="3"/>
  <c r="A242" i="3"/>
  <c r="D241" i="3"/>
  <c r="A241" i="3"/>
  <c r="D240" i="3"/>
  <c r="A240" i="3"/>
  <c r="D239" i="3"/>
  <c r="A239" i="3"/>
  <c r="D238" i="3"/>
  <c r="A238" i="3"/>
  <c r="D237" i="3"/>
  <c r="A237" i="3"/>
  <c r="D236" i="3"/>
  <c r="A236" i="3"/>
  <c r="D235" i="3"/>
  <c r="A235" i="3"/>
  <c r="D234" i="3"/>
  <c r="A234" i="3"/>
  <c r="D233" i="3"/>
  <c r="A233" i="3"/>
  <c r="D232" i="3"/>
  <c r="A232" i="3"/>
  <c r="D231" i="3"/>
  <c r="A231" i="3"/>
  <c r="D230" i="3"/>
  <c r="A230" i="3"/>
  <c r="D229" i="3"/>
  <c r="A229" i="3"/>
  <c r="D228" i="3"/>
  <c r="A228" i="3"/>
  <c r="D227" i="3"/>
  <c r="A227" i="3"/>
  <c r="D226" i="3"/>
  <c r="A226" i="3"/>
  <c r="D225" i="3"/>
  <c r="A225" i="3"/>
  <c r="D224" i="3"/>
  <c r="A224" i="3"/>
  <c r="D223" i="3"/>
  <c r="A223" i="3"/>
  <c r="D222" i="3"/>
  <c r="A222" i="3"/>
  <c r="D221" i="3"/>
  <c r="A221" i="3"/>
  <c r="D220" i="3"/>
  <c r="A220" i="3"/>
  <c r="D219" i="3"/>
  <c r="A219" i="3"/>
  <c r="D218" i="3"/>
  <c r="A218" i="3"/>
  <c r="D217" i="3"/>
  <c r="A217" i="3"/>
  <c r="D216" i="3"/>
  <c r="A216" i="3"/>
  <c r="D215" i="3"/>
  <c r="A215" i="3"/>
  <c r="D214" i="3"/>
  <c r="A214" i="3"/>
  <c r="D213" i="3"/>
  <c r="A213" i="3"/>
  <c r="D212" i="3"/>
  <c r="A212" i="3"/>
  <c r="D211" i="3"/>
  <c r="A211" i="3"/>
  <c r="D210" i="3"/>
  <c r="A210" i="3"/>
  <c r="D209" i="3"/>
  <c r="A209" i="3"/>
  <c r="D208" i="3"/>
  <c r="A208" i="3"/>
  <c r="D207" i="3"/>
  <c r="A207" i="3"/>
  <c r="D206" i="3"/>
  <c r="A206" i="3"/>
  <c r="D205" i="3"/>
  <c r="A205" i="3"/>
  <c r="D204" i="3"/>
  <c r="A204" i="3"/>
  <c r="D203" i="3"/>
  <c r="A203" i="3"/>
  <c r="D202" i="3"/>
  <c r="A202" i="3"/>
  <c r="D201" i="3"/>
  <c r="A201" i="3"/>
  <c r="D200" i="3"/>
  <c r="A200" i="3"/>
  <c r="D199" i="3"/>
  <c r="A199" i="3"/>
  <c r="D198" i="3"/>
  <c r="A198" i="3"/>
  <c r="D197" i="3"/>
  <c r="A197" i="3"/>
  <c r="D196" i="3"/>
  <c r="A196" i="3"/>
  <c r="D195" i="3"/>
  <c r="A195" i="3"/>
  <c r="D194" i="3"/>
  <c r="A194" i="3"/>
  <c r="D193" i="3"/>
  <c r="A193" i="3"/>
  <c r="D192" i="3"/>
  <c r="A192" i="3"/>
  <c r="D191" i="3"/>
  <c r="A191" i="3"/>
  <c r="D190" i="3"/>
  <c r="A190" i="3"/>
  <c r="D189" i="3"/>
  <c r="A189" i="3"/>
  <c r="D188" i="3"/>
  <c r="A188" i="3"/>
  <c r="D187" i="3"/>
  <c r="A187" i="3"/>
  <c r="D186" i="3"/>
  <c r="A186" i="3"/>
  <c r="D185" i="3"/>
  <c r="A185" i="3"/>
  <c r="D184" i="3"/>
  <c r="A184" i="3"/>
  <c r="D183" i="3"/>
  <c r="A183" i="3"/>
  <c r="D182" i="3"/>
  <c r="A182" i="3"/>
  <c r="D181" i="3"/>
  <c r="A181" i="3"/>
  <c r="D180" i="3"/>
  <c r="A180" i="3"/>
  <c r="D179" i="3"/>
  <c r="A179" i="3"/>
  <c r="D178" i="3"/>
  <c r="A178" i="3"/>
  <c r="D177" i="3"/>
  <c r="A177" i="3"/>
  <c r="D176" i="3"/>
  <c r="A176" i="3"/>
  <c r="D175" i="3"/>
  <c r="A175" i="3"/>
  <c r="D174" i="3"/>
  <c r="A174" i="3"/>
  <c r="D173" i="3"/>
  <c r="A173" i="3"/>
  <c r="D172" i="3"/>
  <c r="A172" i="3"/>
  <c r="D171" i="3"/>
  <c r="A171" i="3"/>
  <c r="D170" i="3"/>
  <c r="A170" i="3"/>
  <c r="D169" i="3"/>
  <c r="A169" i="3"/>
  <c r="D168" i="3"/>
  <c r="A168" i="3"/>
  <c r="D167" i="3"/>
  <c r="A167" i="3"/>
  <c r="D166" i="3"/>
  <c r="A166" i="3"/>
  <c r="D165" i="3"/>
  <c r="A165" i="3"/>
  <c r="D164" i="3"/>
  <c r="A164" i="3"/>
  <c r="D163" i="3"/>
  <c r="A163" i="3"/>
  <c r="D162" i="3"/>
  <c r="A162" i="3"/>
  <c r="D161" i="3"/>
  <c r="A161" i="3"/>
  <c r="D160" i="3"/>
  <c r="A160" i="3"/>
  <c r="D159" i="3"/>
  <c r="A159" i="3"/>
  <c r="D158" i="3"/>
  <c r="A158" i="3"/>
  <c r="D157" i="3"/>
  <c r="A157" i="3"/>
  <c r="D156" i="3"/>
  <c r="A156" i="3"/>
  <c r="D155" i="3"/>
  <c r="A155" i="3"/>
  <c r="D154" i="3"/>
  <c r="A154" i="3"/>
  <c r="D153" i="3"/>
  <c r="A153" i="3"/>
  <c r="D152" i="3"/>
  <c r="A152" i="3"/>
  <c r="D151" i="3"/>
  <c r="A151" i="3"/>
  <c r="D150" i="3"/>
  <c r="A150" i="3"/>
  <c r="D149" i="3"/>
  <c r="A149" i="3"/>
  <c r="D148" i="3"/>
  <c r="A148" i="3"/>
  <c r="D147" i="3"/>
  <c r="A147" i="3"/>
  <c r="D146" i="3"/>
  <c r="A146" i="3"/>
  <c r="D145" i="3"/>
  <c r="A145" i="3"/>
  <c r="D144" i="3"/>
  <c r="A144" i="3"/>
  <c r="D143" i="3"/>
  <c r="A143" i="3"/>
  <c r="D142" i="3"/>
  <c r="A142" i="3"/>
  <c r="D141" i="3"/>
  <c r="A141" i="3"/>
  <c r="D140" i="3"/>
  <c r="A140" i="3"/>
  <c r="D139" i="3"/>
  <c r="A139" i="3"/>
  <c r="D138" i="3"/>
  <c r="A138" i="3"/>
  <c r="D137" i="3"/>
  <c r="A137" i="3"/>
  <c r="D136" i="3"/>
  <c r="A136" i="3"/>
  <c r="D135" i="3"/>
  <c r="A135" i="3"/>
  <c r="D134" i="3"/>
  <c r="A134" i="3"/>
  <c r="D133" i="3"/>
  <c r="A133" i="3"/>
  <c r="D132" i="3"/>
  <c r="A132" i="3"/>
  <c r="D131" i="3"/>
  <c r="A131" i="3"/>
  <c r="D130" i="3"/>
  <c r="A130" i="3"/>
  <c r="D129" i="3"/>
  <c r="A129" i="3"/>
  <c r="D128" i="3"/>
  <c r="A128" i="3"/>
  <c r="D127" i="3"/>
  <c r="A127" i="3"/>
  <c r="D126" i="3"/>
  <c r="A126" i="3"/>
  <c r="D125" i="3"/>
  <c r="A125" i="3"/>
  <c r="D124" i="3"/>
  <c r="A124" i="3"/>
  <c r="D123" i="3"/>
  <c r="A123" i="3"/>
  <c r="D122" i="3"/>
  <c r="A122" i="3"/>
  <c r="D121" i="3"/>
  <c r="A121" i="3"/>
  <c r="D120" i="3"/>
  <c r="A120" i="3"/>
  <c r="D119" i="3"/>
  <c r="A119" i="3"/>
  <c r="D118" i="3"/>
  <c r="A118" i="3"/>
  <c r="D117" i="3"/>
  <c r="A117" i="3"/>
  <c r="D116" i="3"/>
  <c r="A116" i="3"/>
  <c r="D115" i="3"/>
  <c r="A115" i="3"/>
  <c r="D114" i="3"/>
  <c r="A114" i="3"/>
  <c r="D113" i="3"/>
  <c r="A113" i="3"/>
  <c r="D112" i="3"/>
  <c r="A112" i="3"/>
  <c r="D111" i="3"/>
  <c r="A111" i="3"/>
  <c r="D110" i="3"/>
  <c r="A110" i="3"/>
  <c r="D109" i="3"/>
  <c r="A109" i="3"/>
  <c r="D108" i="3"/>
  <c r="A108" i="3"/>
  <c r="D107" i="3"/>
  <c r="A107" i="3"/>
  <c r="D106" i="3"/>
  <c r="A106" i="3"/>
  <c r="D105" i="3"/>
  <c r="A105" i="3"/>
  <c r="D104" i="3"/>
  <c r="A104" i="3"/>
  <c r="D103" i="3"/>
  <c r="A103" i="3"/>
  <c r="D102" i="3"/>
  <c r="A102" i="3"/>
  <c r="D101" i="3"/>
  <c r="A101" i="3"/>
  <c r="D100" i="3"/>
  <c r="A100" i="3"/>
  <c r="D99" i="3"/>
  <c r="A99" i="3"/>
  <c r="D98" i="3"/>
  <c r="A98" i="3"/>
  <c r="D97" i="3"/>
  <c r="A97" i="3"/>
  <c r="D96" i="3"/>
  <c r="A96" i="3"/>
  <c r="D95" i="3"/>
  <c r="A95" i="3"/>
  <c r="D94" i="3"/>
  <c r="A94" i="3"/>
  <c r="D93" i="3"/>
  <c r="A93" i="3"/>
  <c r="D92" i="3"/>
  <c r="A92" i="3"/>
  <c r="D91" i="3"/>
  <c r="A91" i="3"/>
  <c r="D90" i="3"/>
  <c r="A90" i="3"/>
  <c r="D89" i="3"/>
  <c r="A89" i="3"/>
  <c r="D88" i="3"/>
  <c r="A88" i="3"/>
  <c r="D87" i="3"/>
  <c r="A87" i="3"/>
  <c r="D86" i="3"/>
  <c r="A86" i="3"/>
  <c r="D85" i="3"/>
  <c r="A85" i="3"/>
  <c r="D84" i="3"/>
  <c r="A84" i="3"/>
  <c r="D83" i="3"/>
  <c r="A83" i="3"/>
  <c r="D82" i="3"/>
  <c r="A82" i="3"/>
  <c r="D81" i="3"/>
  <c r="A81" i="3"/>
  <c r="D80" i="3"/>
  <c r="A80" i="3"/>
  <c r="D79" i="3"/>
  <c r="A79" i="3"/>
  <c r="D78" i="3"/>
  <c r="A78" i="3"/>
  <c r="D77" i="3"/>
  <c r="A77" i="3"/>
  <c r="D76" i="3"/>
  <c r="A76" i="3"/>
  <c r="D75" i="3"/>
  <c r="A75" i="3"/>
  <c r="D74" i="3"/>
  <c r="A74" i="3"/>
  <c r="D73" i="3"/>
  <c r="A73" i="3"/>
  <c r="D72" i="3"/>
  <c r="A72" i="3"/>
  <c r="D71" i="3"/>
  <c r="A71" i="3"/>
  <c r="D70" i="3"/>
  <c r="A70" i="3"/>
  <c r="D69" i="3"/>
  <c r="A69" i="3"/>
  <c r="D68" i="3"/>
  <c r="A68" i="3"/>
  <c r="D67" i="3"/>
  <c r="A67" i="3"/>
  <c r="D66" i="3"/>
  <c r="A66" i="3"/>
  <c r="D65" i="3"/>
  <c r="A65" i="3"/>
  <c r="D64" i="3"/>
  <c r="A64" i="3"/>
  <c r="D63" i="3"/>
  <c r="A63" i="3"/>
  <c r="D62" i="3"/>
  <c r="A62" i="3"/>
  <c r="D61" i="3"/>
  <c r="A61" i="3"/>
  <c r="D60" i="3"/>
  <c r="A60" i="3"/>
  <c r="D59" i="3"/>
  <c r="A59" i="3"/>
  <c r="D58" i="3"/>
  <c r="A58" i="3"/>
  <c r="D57" i="3"/>
  <c r="A57" i="3"/>
  <c r="D56" i="3"/>
  <c r="A56" i="3"/>
  <c r="D55" i="3"/>
  <c r="A55" i="3"/>
  <c r="D54" i="3"/>
  <c r="A54" i="3"/>
  <c r="D53" i="3"/>
  <c r="A53" i="3"/>
  <c r="D52" i="3"/>
  <c r="A52" i="3"/>
  <c r="D51" i="3"/>
  <c r="A51" i="3"/>
  <c r="D50" i="3"/>
  <c r="A50" i="3"/>
  <c r="D49" i="3"/>
  <c r="A49" i="3"/>
  <c r="D48" i="3"/>
  <c r="A48" i="3"/>
  <c r="D47" i="3"/>
  <c r="A47" i="3"/>
  <c r="D46" i="3"/>
  <c r="A46" i="3"/>
  <c r="D45" i="3"/>
  <c r="A45" i="3"/>
  <c r="D44" i="3"/>
  <c r="A44" i="3"/>
  <c r="D43" i="3"/>
  <c r="A43" i="3"/>
  <c r="D42" i="3"/>
  <c r="A42" i="3"/>
  <c r="D41" i="3"/>
  <c r="A41" i="3"/>
  <c r="D40" i="3"/>
  <c r="A40" i="3"/>
  <c r="D39" i="3"/>
  <c r="A39" i="3"/>
  <c r="D38" i="3"/>
  <c r="A38" i="3"/>
  <c r="D37" i="3"/>
  <c r="A37" i="3"/>
  <c r="D36" i="3"/>
  <c r="A36" i="3"/>
  <c r="D35" i="3"/>
  <c r="A35" i="3"/>
  <c r="D34" i="3"/>
  <c r="A34" i="3"/>
  <c r="D33" i="3"/>
  <c r="A33" i="3"/>
  <c r="D32" i="3"/>
  <c r="A32" i="3"/>
  <c r="D31" i="3"/>
  <c r="A31" i="3"/>
  <c r="D30" i="3"/>
  <c r="A30" i="3"/>
  <c r="D29" i="3"/>
  <c r="A29" i="3"/>
  <c r="D28" i="3"/>
  <c r="A28" i="3"/>
  <c r="D27" i="3"/>
  <c r="A27" i="3"/>
  <c r="D26" i="3"/>
  <c r="A26" i="3"/>
  <c r="D25" i="3"/>
  <c r="A25" i="3"/>
  <c r="D24" i="3"/>
  <c r="A24" i="3"/>
  <c r="D23" i="3"/>
  <c r="A23" i="3"/>
  <c r="D22" i="3"/>
  <c r="A22" i="3"/>
  <c r="D21" i="3"/>
  <c r="A21" i="3"/>
  <c r="D20" i="3"/>
  <c r="A20" i="3"/>
  <c r="D19" i="3"/>
  <c r="A19" i="3"/>
  <c r="D18" i="3"/>
  <c r="A18" i="3"/>
  <c r="D17" i="3"/>
  <c r="A17" i="3"/>
  <c r="D16" i="3"/>
  <c r="A16" i="3"/>
  <c r="D15" i="3"/>
  <c r="A15" i="3"/>
  <c r="D14" i="3"/>
  <c r="A14" i="3"/>
  <c r="D13" i="3"/>
  <c r="A13" i="3"/>
  <c r="D12" i="3"/>
  <c r="A12" i="3"/>
  <c r="D11" i="3"/>
  <c r="A11" i="3"/>
  <c r="D10" i="3"/>
  <c r="A10" i="3"/>
  <c r="D9" i="3"/>
  <c r="A9" i="3"/>
  <c r="D8" i="3"/>
  <c r="A8" i="3"/>
  <c r="D7" i="3"/>
  <c r="A7" i="3"/>
  <c r="D6" i="3"/>
  <c r="A6" i="3"/>
  <c r="D5" i="3"/>
  <c r="A5" i="3"/>
  <c r="D4" i="3"/>
  <c r="A4" i="3"/>
  <c r="B25" i="5" l="1"/>
  <c r="B20" i="5"/>
  <c r="D16" i="5"/>
  <c r="C25" i="5"/>
  <c r="D17" i="5"/>
  <c r="B24" i="5"/>
  <c r="C24" i="5"/>
  <c r="G28" i="5"/>
  <c r="G21" i="5"/>
  <c r="C9" i="5"/>
  <c r="A9" i="5"/>
  <c r="I304" i="4"/>
  <c r="J304" i="4"/>
  <c r="H23" i="5"/>
  <c r="G14" i="5"/>
  <c r="G22" i="5"/>
  <c r="G26" i="5"/>
  <c r="G20" i="5"/>
  <c r="G18" i="5"/>
  <c r="C34" i="5"/>
  <c r="B33" i="5"/>
  <c r="D36" i="5"/>
  <c r="G16" i="5"/>
  <c r="C36" i="5"/>
  <c r="D33" i="5"/>
  <c r="C33" i="5"/>
  <c r="D35" i="5"/>
  <c r="G15" i="5"/>
  <c r="G25" i="5"/>
  <c r="G27" i="5"/>
  <c r="B37" i="5"/>
  <c r="C35" i="5"/>
  <c r="G24" i="5"/>
  <c r="B36" i="5"/>
  <c r="D37" i="5"/>
  <c r="G17" i="5"/>
  <c r="G19" i="5"/>
  <c r="B35" i="5"/>
  <c r="C37" i="5"/>
  <c r="D34" i="5"/>
  <c r="B34" i="5"/>
  <c r="B23" i="5"/>
  <c r="B16" i="5"/>
  <c r="B22" i="5"/>
  <c r="B21" i="5"/>
  <c r="D22" i="5"/>
  <c r="B28" i="5"/>
  <c r="C21" i="5"/>
  <c r="B15" i="5"/>
  <c r="J304" i="3"/>
  <c r="G33" i="5"/>
  <c r="G38" i="5" s="1"/>
  <c r="F38" i="5"/>
  <c r="H38" i="5"/>
  <c r="B19" i="5"/>
  <c r="C20" i="5"/>
  <c r="B27" i="5"/>
  <c r="C28" i="5"/>
  <c r="B18" i="5"/>
  <c r="C19" i="5"/>
  <c r="B26" i="5"/>
  <c r="C27" i="5"/>
  <c r="B17" i="5"/>
  <c r="C18" i="5"/>
  <c r="C26" i="5"/>
  <c r="B14" i="5"/>
  <c r="C15" i="5"/>
  <c r="C23" i="5"/>
  <c r="E34" i="5" l="1"/>
  <c r="E36" i="5"/>
  <c r="B38" i="5"/>
  <c r="E33" i="5"/>
  <c r="C38" i="5"/>
  <c r="D38" i="5"/>
  <c r="E35" i="5"/>
  <c r="E37" i="5"/>
  <c r="E38" i="5" l="1"/>
</calcChain>
</file>

<file path=xl/sharedStrings.xml><?xml version="1.0" encoding="utf-8"?>
<sst xmlns="http://schemas.openxmlformats.org/spreadsheetml/2006/main" count="94" uniqueCount="78">
  <si>
    <t>Bu sayfaya personel bilgilerini girin → Diğer sekmeler bu listeden otomatik okur</t>
  </si>
  <si>
    <t>No</t>
  </si>
  <si>
    <t>Ad Soyad</t>
  </si>
  <si>
    <t>Unvan / Görevi</t>
  </si>
  <si>
    <t>Bağlı Birim</t>
  </si>
  <si>
    <t>Tel No</t>
  </si>
  <si>
    <t>İşe Giriş
Tarihi</t>
  </si>
  <si>
    <t>Durum</t>
  </si>
  <si>
    <t>Bu sayfaya araçları girin → Diğer sekmeler bu listeden otomatik okur</t>
  </si>
  <si>
    <t>Plaka / Seri No</t>
  </si>
  <si>
    <t>Araç / Makine Adı</t>
  </si>
  <si>
    <t>Marka</t>
  </si>
  <si>
    <t>Model</t>
  </si>
  <si>
    <t>C sütununa plaka girin → Araç adı otomatik gelir  |  J = Çalışma Saati otomatik hesaplanır  |  Tarih: 11.06.2026</t>
  </si>
  <si>
    <t>Tarih</t>
  </si>
  <si>
    <t>Plaka /
Seri No</t>
  </si>
  <si>
    <t>Araç / Makine
Adı (Otomatik)</t>
  </si>
  <si>
    <t>Şoför /
Operatör</t>
  </si>
  <si>
    <t>Görev /
İş Tanımı</t>
  </si>
  <si>
    <t>Görevlendirildiği
Yer / Bölge</t>
  </si>
  <si>
    <t>Giriş
Saati</t>
  </si>
  <si>
    <t>Çıkış
Saati</t>
  </si>
  <si>
    <t>Çalışma
Saati (Oto.)</t>
  </si>
  <si>
    <t>Yakıt
(Litre)</t>
  </si>
  <si>
    <t>Notlar</t>
  </si>
  <si>
    <t>Onaylayan</t>
  </si>
  <si>
    <t>TOPLAM</t>
  </si>
  <si>
    <t>C sütununa personel adını girin → Unvan ve birim otomatik gelir  |  Normal mesai: 08:00–12:00 + 13:00–17:00 (8 saat)  |  17:00 sonrası otomatik mesai hesaplanır  |  Görevlendirilen Birim: M sütunu</t>
  </si>
  <si>
    <t>Unvan
(Otomatik)</t>
  </si>
  <si>
    <t>Birim
(Otomatik)</t>
  </si>
  <si>
    <t>Normal
Saat (Oto.)
08:00-17:00</t>
  </si>
  <si>
    <t>Mesai
Saat (Oto.)
17:00 Sonrası</t>
  </si>
  <si>
    <t>Toplam
Saat (Oto.)</t>
  </si>
  <si>
    <t>Çalışma
Tipi</t>
  </si>
  <si>
    <t>Yapılan İş /
Görev Tanımı</t>
  </si>
  <si>
    <t>Görevlendirilen
Birim</t>
  </si>
  <si>
    <t>★  Tüm veriler Araç ve Personel Günlük Takip sekmelerinden otomatik hesaplanmaktadır</t>
  </si>
  <si>
    <t>🚛  TOPLAM ARAÇ KAYDI</t>
  </si>
  <si>
    <t>⏱  TOPLAM ARAÇ ÇALIŞMA</t>
  </si>
  <si>
    <t>⛽  TOPLAM YAKIT</t>
  </si>
  <si>
    <t>👷  TOPLAM PERSONEL KAYDI</t>
  </si>
  <si>
    <t>Günlük giriş sayısı</t>
  </si>
  <si>
    <t>Toplam çalışma saati</t>
  </si>
  <si>
    <t>Toplam yakıt tüketimi</t>
  </si>
  <si>
    <t>🕐  NORMAL ÇALIŞMA SAATİ</t>
  </si>
  <si>
    <t>🌙  FAZLA MESAİ SAATİ</t>
  </si>
  <si>
    <t>⏰  TOPLAM PERSONEL SAATİ</t>
  </si>
  <si>
    <t>📋  ÇALIŞMA TİPİ (Mesai)</t>
  </si>
  <si>
    <t>Toplam normal mesai</t>
  </si>
  <si>
    <t>Toplam fazla mesai</t>
  </si>
  <si>
    <t>Normal + Mesai toplamı</t>
  </si>
  <si>
    <t>Fazla mesai kayıt sayısı</t>
  </si>
  <si>
    <t>ARAÇ BAZLI ÇALIŞMA ÖZETİ</t>
  </si>
  <si>
    <t>PERSONEL ÇALIŞMA ÖZETİ</t>
  </si>
  <si>
    <t>Plaka</t>
  </si>
  <si>
    <t>Araç Adı (Otomatik)</t>
  </si>
  <si>
    <t>Toplam Çalışma
Saati</t>
  </si>
  <si>
    <t>Toplam Yakıt
(Lt)</t>
  </si>
  <si>
    <t>Normal
Saat</t>
  </si>
  <si>
    <t>Mesai
Saat</t>
  </si>
  <si>
    <t>BİRİM BAZLI ÇALIŞMA ÖZETİ</t>
  </si>
  <si>
    <t>Birim</t>
  </si>
  <si>
    <t>Personel
Sayısı</t>
  </si>
  <si>
    <t>Toplam
Saat</t>
  </si>
  <si>
    <t>Araç
Sayısı</t>
  </si>
  <si>
    <t>Araç Çalışma
Saati</t>
  </si>
  <si>
    <t>Toplam
Yakıt (Lt)</t>
  </si>
  <si>
    <t>Fen İşleri Müdürlüğü</t>
  </si>
  <si>
    <t>Su ve Kanalizasyon İşleri</t>
  </si>
  <si>
    <t>Temizlik İşleri</t>
  </si>
  <si>
    <t>Park ve Bahçeler Müdürlüğü</t>
  </si>
  <si>
    <t>Diğer</t>
  </si>
  <si>
    <t>GENEL TOPLAM</t>
  </si>
  <si>
    <t>GÜNLÜK ÇALIŞMA TAKİBİ AYLIK ÖZET</t>
  </si>
  <si>
    <t xml:space="preserve"> PERSONEL GÜNLÜK ÇALIŞMA TAKİBİ</t>
  </si>
  <si>
    <t xml:space="preserve"> ARAÇ / İŞ MAKİNESİ GÜNLÜK ÇALIŞMA TAKİBİ</t>
  </si>
  <si>
    <t>ARAÇ / İŞ MAKİNESİ LİSTESİ</t>
  </si>
  <si>
    <t xml:space="preserve"> — PERSONEL LİSTESİ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</si>
</sst>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"/>
    <numFmt numFmtId="165" formatCode="0.00&quot; saat&quot;"/>
    <numFmt numFmtId="166" formatCode="0.00&quot; Lt&quot;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375623"/>
      <name val="Arial"/>
      <charset val="1"/>
    </font>
    <font>
      <b/>
      <sz val="11"/>
      <color rgb="FFFFFFFF"/>
      <name val="Arial"/>
      <charset val="1"/>
    </font>
    <font>
      <i/>
      <sz val="10"/>
      <color rgb="FF595959"/>
      <name val="Arial"/>
      <charset val="1"/>
    </font>
    <font>
      <b/>
      <sz val="20"/>
      <color rgb="FFFFFFFF"/>
      <name val="Arial"/>
      <charset val="1"/>
    </font>
    <font>
      <i/>
      <sz val="9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F6B75"/>
        <bgColor rgb="FF008080"/>
      </patternFill>
    </fill>
    <fill>
      <patternFill patternType="solid">
        <fgColor rgb="FFD9EEF1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9EEF1"/>
      </patternFill>
    </fill>
    <fill>
      <patternFill patternType="solid">
        <fgColor rgb="FFEAD1F5"/>
        <bgColor rgb="FFD9EEF1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/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20" fontId="4" fillId="5" borderId="1" xfId="0" applyNumberFormat="1" applyFont="1" applyFill="1" applyBorder="1" applyAlignment="1">
      <alignment horizontal="center" vertical="center" wrapText="1"/>
    </xf>
    <xf numFmtId="165" fontId="5" fillId="9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20" fontId="4" fillId="6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165" fontId="6" fillId="10" borderId="1" xfId="0" applyNumberFormat="1" applyFont="1" applyFill="1" applyBorder="1" applyAlignment="1">
      <alignment horizontal="center" vertical="center" wrapText="1"/>
    </xf>
    <xf numFmtId="166" fontId="6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165" fontId="5" fillId="14" borderId="1" xfId="0" applyNumberFormat="1" applyFont="1" applyFill="1" applyBorder="1" applyAlignment="1">
      <alignment horizontal="center" vertical="center" wrapText="1"/>
    </xf>
    <xf numFmtId="165" fontId="5" fillId="15" borderId="1" xfId="0" applyNumberFormat="1" applyFont="1" applyFill="1" applyBorder="1" applyAlignment="1">
      <alignment horizontal="center" vertical="center" wrapText="1"/>
    </xf>
    <xf numFmtId="165" fontId="6" fillId="11" borderId="1" xfId="0" applyNumberFormat="1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66" fontId="6" fillId="7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 applyBorder="1" applyAlignment="1"/>
    <xf numFmtId="0" fontId="10" fillId="2" borderId="2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" fontId="8" fillId="16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6" fontId="8" fillId="10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8B8B8"/>
      <rgbColor rgb="FF808080"/>
      <rgbColor rgb="FF9999FF"/>
      <rgbColor rgb="FF7030A0"/>
      <rgbColor rgb="FFFFF2CC"/>
      <rgbColor rgb="FFD9EE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EAD1F5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0</xdr:rowOff>
    </xdr:from>
    <xdr:to>
      <xdr:col>1</xdr:col>
      <xdr:colOff>883920</xdr:colOff>
      <xdr:row>0</xdr:row>
      <xdr:rowOff>880212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" y="0"/>
          <a:ext cx="876300" cy="8802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7620</xdr:rowOff>
    </xdr:from>
    <xdr:to>
      <xdr:col>1</xdr:col>
      <xdr:colOff>967740</xdr:colOff>
      <xdr:row>1</xdr:row>
      <xdr:rowOff>19492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7620"/>
          <a:ext cx="952500" cy="9567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0</xdr:rowOff>
    </xdr:from>
    <xdr:to>
      <xdr:col>2</xdr:col>
      <xdr:colOff>76200</xdr:colOff>
      <xdr:row>0</xdr:row>
      <xdr:rowOff>895520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" y="0"/>
          <a:ext cx="891540" cy="895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0</xdr:row>
      <xdr:rowOff>1056254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5860" cy="10562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53340</xdr:rowOff>
    </xdr:from>
    <xdr:to>
      <xdr:col>0</xdr:col>
      <xdr:colOff>1059180</xdr:colOff>
      <xdr:row>0</xdr:row>
      <xdr:rowOff>1063160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40"/>
          <a:ext cx="1021080" cy="1009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defaultColWidth="8.6640625" defaultRowHeight="14.4" x14ac:dyDescent="0.3"/>
  <cols>
    <col min="1" max="1" width="5" style="1" customWidth="1"/>
    <col min="2" max="2" width="24" style="1" customWidth="1"/>
    <col min="3" max="3" width="20" style="1" customWidth="1"/>
    <col min="4" max="4" width="22" style="1" customWidth="1"/>
    <col min="5" max="6" width="14" style="1" customWidth="1"/>
    <col min="7" max="7" width="10" style="1" customWidth="1"/>
  </cols>
  <sheetData>
    <row r="1" spans="1:7" ht="69.599999999999994" customHeight="1" x14ac:dyDescent="0.3">
      <c r="A1" s="39" t="s">
        <v>77</v>
      </c>
      <c r="B1" s="39"/>
      <c r="C1" s="39"/>
      <c r="D1" s="39"/>
      <c r="E1" s="39"/>
      <c r="F1" s="39"/>
      <c r="G1" s="39"/>
    </row>
    <row r="2" spans="1:7" ht="19.5" customHeight="1" x14ac:dyDescent="0.3">
      <c r="A2" s="40" t="s">
        <v>0</v>
      </c>
      <c r="B2" s="40"/>
      <c r="C2" s="40"/>
      <c r="D2" s="40"/>
      <c r="E2" s="40"/>
      <c r="F2" s="40"/>
      <c r="G2" s="40"/>
    </row>
    <row r="3" spans="1:7" ht="37.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9.5" customHeight="1" x14ac:dyDescent="0.3">
      <c r="A4" s="3" t="str">
        <f t="shared" ref="A4:A67" si="0">IF(B4&lt;&gt;"",ROW()-3,"")</f>
        <v/>
      </c>
      <c r="B4" s="4"/>
      <c r="C4" s="4"/>
      <c r="D4" s="4"/>
      <c r="E4" s="4"/>
      <c r="F4" s="5"/>
      <c r="G4" s="3"/>
    </row>
    <row r="5" spans="1:7" ht="19.5" customHeight="1" x14ac:dyDescent="0.3">
      <c r="A5" s="6" t="str">
        <f t="shared" si="0"/>
        <v/>
      </c>
      <c r="B5" s="7"/>
      <c r="C5" s="7"/>
      <c r="D5" s="7"/>
      <c r="E5" s="7"/>
      <c r="F5" s="8"/>
      <c r="G5" s="6"/>
    </row>
    <row r="6" spans="1:7" ht="19.5" customHeight="1" x14ac:dyDescent="0.3">
      <c r="A6" s="3" t="str">
        <f t="shared" si="0"/>
        <v/>
      </c>
      <c r="B6" s="4"/>
      <c r="C6" s="4"/>
      <c r="D6" s="4"/>
      <c r="E6" s="4"/>
      <c r="F6" s="5"/>
      <c r="G6" s="3"/>
    </row>
    <row r="7" spans="1:7" ht="19.5" customHeight="1" x14ac:dyDescent="0.3">
      <c r="A7" s="6" t="str">
        <f t="shared" si="0"/>
        <v/>
      </c>
      <c r="B7" s="7"/>
      <c r="C7" s="7"/>
      <c r="D7" s="7"/>
      <c r="E7" s="7"/>
      <c r="F7" s="8"/>
      <c r="G7" s="6"/>
    </row>
    <row r="8" spans="1:7" ht="19.5" customHeight="1" x14ac:dyDescent="0.3">
      <c r="A8" s="3" t="str">
        <f t="shared" si="0"/>
        <v/>
      </c>
      <c r="B8" s="4"/>
      <c r="C8" s="4"/>
      <c r="D8" s="4"/>
      <c r="E8" s="4"/>
      <c r="F8" s="5"/>
      <c r="G8" s="3"/>
    </row>
    <row r="9" spans="1:7" ht="19.5" customHeight="1" x14ac:dyDescent="0.3">
      <c r="A9" s="6" t="str">
        <f t="shared" si="0"/>
        <v/>
      </c>
      <c r="B9" s="7"/>
      <c r="C9" s="7"/>
      <c r="D9" s="7"/>
      <c r="E9" s="7"/>
      <c r="F9" s="8"/>
      <c r="G9" s="6"/>
    </row>
    <row r="10" spans="1:7" ht="19.5" customHeight="1" x14ac:dyDescent="0.3">
      <c r="A10" s="3" t="str">
        <f t="shared" si="0"/>
        <v/>
      </c>
      <c r="B10" s="4"/>
      <c r="C10" s="4"/>
      <c r="D10" s="4"/>
      <c r="E10" s="4"/>
      <c r="F10" s="5"/>
      <c r="G10" s="3"/>
    </row>
    <row r="11" spans="1:7" ht="19.5" customHeight="1" x14ac:dyDescent="0.3">
      <c r="A11" s="6" t="str">
        <f t="shared" si="0"/>
        <v/>
      </c>
      <c r="B11" s="7"/>
      <c r="C11" s="7"/>
      <c r="D11" s="7"/>
      <c r="E11" s="7"/>
      <c r="F11" s="8"/>
      <c r="G11" s="6"/>
    </row>
    <row r="12" spans="1:7" ht="19.5" customHeight="1" x14ac:dyDescent="0.3">
      <c r="A12" s="3" t="str">
        <f t="shared" si="0"/>
        <v/>
      </c>
      <c r="B12" s="4"/>
      <c r="C12" s="4"/>
      <c r="D12" s="4"/>
      <c r="E12" s="4"/>
      <c r="F12" s="5"/>
      <c r="G12" s="3"/>
    </row>
    <row r="13" spans="1:7" ht="19.5" customHeight="1" x14ac:dyDescent="0.3">
      <c r="A13" s="6" t="str">
        <f t="shared" si="0"/>
        <v/>
      </c>
      <c r="B13" s="7"/>
      <c r="C13" s="7"/>
      <c r="D13" s="7"/>
      <c r="E13" s="7"/>
      <c r="F13" s="8"/>
      <c r="G13" s="6"/>
    </row>
    <row r="14" spans="1:7" ht="19.5" customHeight="1" x14ac:dyDescent="0.3">
      <c r="A14" s="3" t="str">
        <f t="shared" si="0"/>
        <v/>
      </c>
      <c r="B14" s="4"/>
      <c r="C14" s="4"/>
      <c r="D14" s="4"/>
      <c r="E14" s="4"/>
      <c r="F14" s="5"/>
      <c r="G14" s="3"/>
    </row>
    <row r="15" spans="1:7" ht="19.5" customHeight="1" x14ac:dyDescent="0.3">
      <c r="A15" s="6" t="str">
        <f t="shared" si="0"/>
        <v/>
      </c>
      <c r="B15" s="7"/>
      <c r="C15" s="7"/>
      <c r="D15" s="7"/>
      <c r="E15" s="7"/>
      <c r="F15" s="8"/>
      <c r="G15" s="6"/>
    </row>
    <row r="16" spans="1:7" ht="19.5" customHeight="1" x14ac:dyDescent="0.3">
      <c r="A16" s="3" t="str">
        <f t="shared" si="0"/>
        <v/>
      </c>
      <c r="B16" s="4"/>
      <c r="C16" s="4"/>
      <c r="D16" s="4"/>
      <c r="E16" s="4"/>
      <c r="F16" s="5"/>
      <c r="G16" s="3"/>
    </row>
    <row r="17" spans="1:7" ht="19.5" customHeight="1" x14ac:dyDescent="0.3">
      <c r="A17" s="6" t="str">
        <f t="shared" si="0"/>
        <v/>
      </c>
      <c r="B17" s="7"/>
      <c r="C17" s="7"/>
      <c r="D17" s="7"/>
      <c r="E17" s="7"/>
      <c r="F17" s="8"/>
      <c r="G17" s="6"/>
    </row>
    <row r="18" spans="1:7" ht="19.5" customHeight="1" x14ac:dyDescent="0.3">
      <c r="A18" s="3" t="str">
        <f t="shared" si="0"/>
        <v/>
      </c>
      <c r="B18" s="4"/>
      <c r="C18" s="4"/>
      <c r="D18" s="4"/>
      <c r="E18" s="4"/>
      <c r="F18" s="5"/>
      <c r="G18" s="3"/>
    </row>
    <row r="19" spans="1:7" ht="19.5" customHeight="1" x14ac:dyDescent="0.3">
      <c r="A19" s="6" t="str">
        <f t="shared" si="0"/>
        <v/>
      </c>
      <c r="B19" s="7"/>
      <c r="C19" s="7"/>
      <c r="D19" s="7"/>
      <c r="E19" s="7"/>
      <c r="F19" s="8"/>
      <c r="G19" s="6"/>
    </row>
    <row r="20" spans="1:7" ht="19.5" customHeight="1" x14ac:dyDescent="0.3">
      <c r="A20" s="3" t="str">
        <f t="shared" si="0"/>
        <v/>
      </c>
      <c r="B20" s="4"/>
      <c r="C20" s="4"/>
      <c r="D20" s="4"/>
      <c r="E20" s="4"/>
      <c r="F20" s="5"/>
      <c r="G20" s="3"/>
    </row>
    <row r="21" spans="1:7" ht="19.5" customHeight="1" x14ac:dyDescent="0.3">
      <c r="A21" s="6" t="str">
        <f t="shared" si="0"/>
        <v/>
      </c>
      <c r="B21" s="7"/>
      <c r="C21" s="7"/>
      <c r="D21" s="7"/>
      <c r="E21" s="7"/>
      <c r="F21" s="8"/>
      <c r="G21" s="6"/>
    </row>
    <row r="22" spans="1:7" ht="19.5" customHeight="1" x14ac:dyDescent="0.3">
      <c r="A22" s="3" t="str">
        <f t="shared" si="0"/>
        <v/>
      </c>
      <c r="B22" s="4"/>
      <c r="C22" s="4"/>
      <c r="D22" s="4"/>
      <c r="E22" s="4"/>
      <c r="F22" s="5"/>
      <c r="G22" s="3"/>
    </row>
    <row r="23" spans="1:7" ht="19.5" customHeight="1" x14ac:dyDescent="0.3">
      <c r="A23" s="6" t="str">
        <f t="shared" si="0"/>
        <v/>
      </c>
      <c r="B23" s="7"/>
      <c r="C23" s="7"/>
      <c r="D23" s="7"/>
      <c r="E23" s="7"/>
      <c r="F23" s="8"/>
      <c r="G23" s="6"/>
    </row>
    <row r="24" spans="1:7" ht="19.5" customHeight="1" x14ac:dyDescent="0.3">
      <c r="A24" s="3" t="str">
        <f t="shared" si="0"/>
        <v/>
      </c>
      <c r="B24" s="4"/>
      <c r="C24" s="4"/>
      <c r="D24" s="4"/>
      <c r="E24" s="4"/>
      <c r="F24" s="5"/>
      <c r="G24" s="3"/>
    </row>
    <row r="25" spans="1:7" ht="19.5" customHeight="1" x14ac:dyDescent="0.3">
      <c r="A25" s="6" t="str">
        <f t="shared" si="0"/>
        <v/>
      </c>
      <c r="B25" s="7"/>
      <c r="C25" s="7"/>
      <c r="D25" s="7"/>
      <c r="E25" s="7"/>
      <c r="F25" s="8"/>
      <c r="G25" s="6"/>
    </row>
    <row r="26" spans="1:7" ht="19.5" customHeight="1" x14ac:dyDescent="0.3">
      <c r="A26" s="3" t="str">
        <f t="shared" si="0"/>
        <v/>
      </c>
      <c r="B26" s="4"/>
      <c r="C26" s="4"/>
      <c r="D26" s="4"/>
      <c r="E26" s="4"/>
      <c r="F26" s="5"/>
      <c r="G26" s="3"/>
    </row>
    <row r="27" spans="1:7" ht="19.5" customHeight="1" x14ac:dyDescent="0.3">
      <c r="A27" s="6" t="str">
        <f t="shared" si="0"/>
        <v/>
      </c>
      <c r="B27" s="7"/>
      <c r="C27" s="7"/>
      <c r="D27" s="7"/>
      <c r="E27" s="7"/>
      <c r="F27" s="8"/>
      <c r="G27" s="6"/>
    </row>
    <row r="28" spans="1:7" ht="19.5" customHeight="1" x14ac:dyDescent="0.3">
      <c r="A28" s="3" t="str">
        <f t="shared" si="0"/>
        <v/>
      </c>
      <c r="B28" s="4"/>
      <c r="C28" s="4"/>
      <c r="D28" s="4"/>
      <c r="E28" s="4"/>
      <c r="F28" s="5"/>
      <c r="G28" s="3"/>
    </row>
    <row r="29" spans="1:7" ht="19.5" customHeight="1" x14ac:dyDescent="0.3">
      <c r="A29" s="6" t="str">
        <f t="shared" si="0"/>
        <v/>
      </c>
      <c r="B29" s="7"/>
      <c r="C29" s="7"/>
      <c r="D29" s="7"/>
      <c r="E29" s="7"/>
      <c r="F29" s="8"/>
      <c r="G29" s="6"/>
    </row>
    <row r="30" spans="1:7" ht="19.5" customHeight="1" x14ac:dyDescent="0.3">
      <c r="A30" s="3" t="str">
        <f t="shared" si="0"/>
        <v/>
      </c>
      <c r="B30" s="4"/>
      <c r="C30" s="4"/>
      <c r="D30" s="4"/>
      <c r="E30" s="4"/>
      <c r="F30" s="5"/>
      <c r="G30" s="3"/>
    </row>
    <row r="31" spans="1:7" ht="19.5" customHeight="1" x14ac:dyDescent="0.3">
      <c r="A31" s="6" t="str">
        <f t="shared" si="0"/>
        <v/>
      </c>
      <c r="B31" s="7"/>
      <c r="C31" s="7"/>
      <c r="D31" s="7"/>
      <c r="E31" s="7"/>
      <c r="F31" s="8"/>
      <c r="G31" s="6"/>
    </row>
    <row r="32" spans="1:7" ht="19.5" customHeight="1" x14ac:dyDescent="0.3">
      <c r="A32" s="3" t="str">
        <f t="shared" si="0"/>
        <v/>
      </c>
      <c r="B32" s="4"/>
      <c r="C32" s="4"/>
      <c r="D32" s="4"/>
      <c r="E32" s="4"/>
      <c r="F32" s="5"/>
      <c r="G32" s="3"/>
    </row>
    <row r="33" spans="1:7" ht="19.5" customHeight="1" x14ac:dyDescent="0.3">
      <c r="A33" s="6" t="str">
        <f t="shared" si="0"/>
        <v/>
      </c>
      <c r="B33" s="7"/>
      <c r="C33" s="7"/>
      <c r="D33" s="7"/>
      <c r="E33" s="7"/>
      <c r="F33" s="8"/>
      <c r="G33" s="6"/>
    </row>
    <row r="34" spans="1:7" ht="19.5" customHeight="1" x14ac:dyDescent="0.3">
      <c r="A34" s="3" t="str">
        <f t="shared" si="0"/>
        <v/>
      </c>
      <c r="B34" s="4"/>
      <c r="C34" s="4"/>
      <c r="D34" s="4"/>
      <c r="E34" s="4"/>
      <c r="F34" s="5"/>
      <c r="G34" s="3"/>
    </row>
    <row r="35" spans="1:7" ht="19.5" customHeight="1" x14ac:dyDescent="0.3">
      <c r="A35" s="6" t="str">
        <f t="shared" si="0"/>
        <v/>
      </c>
      <c r="B35" s="7"/>
      <c r="C35" s="7"/>
      <c r="D35" s="7"/>
      <c r="E35" s="7"/>
      <c r="F35" s="8"/>
      <c r="G35" s="6"/>
    </row>
    <row r="36" spans="1:7" ht="19.5" customHeight="1" x14ac:dyDescent="0.3">
      <c r="A36" s="3" t="str">
        <f t="shared" si="0"/>
        <v/>
      </c>
      <c r="B36" s="4"/>
      <c r="C36" s="4"/>
      <c r="D36" s="4"/>
      <c r="E36" s="4"/>
      <c r="F36" s="5"/>
      <c r="G36" s="3"/>
    </row>
    <row r="37" spans="1:7" ht="19.5" customHeight="1" x14ac:dyDescent="0.3">
      <c r="A37" s="6" t="str">
        <f t="shared" si="0"/>
        <v/>
      </c>
      <c r="B37" s="7"/>
      <c r="C37" s="7"/>
      <c r="D37" s="7"/>
      <c r="E37" s="7"/>
      <c r="F37" s="8"/>
      <c r="G37" s="6"/>
    </row>
    <row r="38" spans="1:7" ht="19.5" customHeight="1" x14ac:dyDescent="0.3">
      <c r="A38" s="3" t="str">
        <f t="shared" si="0"/>
        <v/>
      </c>
      <c r="B38" s="4"/>
      <c r="C38" s="4"/>
      <c r="D38" s="4"/>
      <c r="E38" s="4"/>
      <c r="F38" s="5"/>
      <c r="G38" s="3"/>
    </row>
    <row r="39" spans="1:7" ht="19.5" customHeight="1" x14ac:dyDescent="0.3">
      <c r="A39" s="6" t="str">
        <f t="shared" si="0"/>
        <v/>
      </c>
      <c r="B39" s="7"/>
      <c r="C39" s="7"/>
      <c r="D39" s="7"/>
      <c r="E39" s="7"/>
      <c r="F39" s="8"/>
      <c r="G39" s="6"/>
    </row>
    <row r="40" spans="1:7" ht="19.5" customHeight="1" x14ac:dyDescent="0.3">
      <c r="A40" s="3" t="str">
        <f t="shared" si="0"/>
        <v/>
      </c>
      <c r="B40" s="4"/>
      <c r="C40" s="4"/>
      <c r="D40" s="4"/>
      <c r="E40" s="4"/>
      <c r="F40" s="5"/>
      <c r="G40" s="3"/>
    </row>
    <row r="41" spans="1:7" ht="19.5" customHeight="1" x14ac:dyDescent="0.3">
      <c r="A41" s="6" t="str">
        <f t="shared" si="0"/>
        <v/>
      </c>
      <c r="B41" s="7"/>
      <c r="C41" s="7"/>
      <c r="D41" s="7"/>
      <c r="E41" s="7"/>
      <c r="F41" s="8"/>
      <c r="G41" s="6"/>
    </row>
    <row r="42" spans="1:7" ht="19.5" customHeight="1" x14ac:dyDescent="0.3">
      <c r="A42" s="3" t="str">
        <f t="shared" si="0"/>
        <v/>
      </c>
      <c r="B42" s="4"/>
      <c r="C42" s="4"/>
      <c r="D42" s="4"/>
      <c r="E42" s="4"/>
      <c r="F42" s="5"/>
      <c r="G42" s="3"/>
    </row>
    <row r="43" spans="1:7" ht="19.5" customHeight="1" x14ac:dyDescent="0.3">
      <c r="A43" s="6" t="str">
        <f t="shared" si="0"/>
        <v/>
      </c>
      <c r="B43" s="7"/>
      <c r="C43" s="7"/>
      <c r="D43" s="7"/>
      <c r="E43" s="7"/>
      <c r="F43" s="8"/>
      <c r="G43" s="6"/>
    </row>
    <row r="44" spans="1:7" ht="19.5" customHeight="1" x14ac:dyDescent="0.3">
      <c r="A44" s="3" t="str">
        <f t="shared" si="0"/>
        <v/>
      </c>
      <c r="B44" s="4"/>
      <c r="C44" s="4"/>
      <c r="D44" s="4"/>
      <c r="E44" s="4"/>
      <c r="F44" s="5"/>
      <c r="G44" s="3"/>
    </row>
    <row r="45" spans="1:7" ht="19.5" customHeight="1" x14ac:dyDescent="0.3">
      <c r="A45" s="6" t="str">
        <f t="shared" si="0"/>
        <v/>
      </c>
      <c r="B45" s="7"/>
      <c r="C45" s="7"/>
      <c r="D45" s="7"/>
      <c r="E45" s="7"/>
      <c r="F45" s="8"/>
      <c r="G45" s="6"/>
    </row>
    <row r="46" spans="1:7" ht="19.5" customHeight="1" x14ac:dyDescent="0.3">
      <c r="A46" s="3" t="str">
        <f t="shared" si="0"/>
        <v/>
      </c>
      <c r="B46" s="4"/>
      <c r="C46" s="4"/>
      <c r="D46" s="4"/>
      <c r="E46" s="4"/>
      <c r="F46" s="5"/>
      <c r="G46" s="3"/>
    </row>
    <row r="47" spans="1:7" ht="19.5" customHeight="1" x14ac:dyDescent="0.3">
      <c r="A47" s="6" t="str">
        <f t="shared" si="0"/>
        <v/>
      </c>
      <c r="B47" s="7"/>
      <c r="C47" s="7"/>
      <c r="D47" s="7"/>
      <c r="E47" s="7"/>
      <c r="F47" s="8"/>
      <c r="G47" s="6"/>
    </row>
    <row r="48" spans="1:7" ht="19.5" customHeight="1" x14ac:dyDescent="0.3">
      <c r="A48" s="3" t="str">
        <f t="shared" si="0"/>
        <v/>
      </c>
      <c r="B48" s="4"/>
      <c r="C48" s="4"/>
      <c r="D48" s="4"/>
      <c r="E48" s="4"/>
      <c r="F48" s="5"/>
      <c r="G48" s="3"/>
    </row>
    <row r="49" spans="1:7" ht="19.5" customHeight="1" x14ac:dyDescent="0.3">
      <c r="A49" s="6" t="str">
        <f t="shared" si="0"/>
        <v/>
      </c>
      <c r="B49" s="7"/>
      <c r="C49" s="7"/>
      <c r="D49" s="7"/>
      <c r="E49" s="7"/>
      <c r="F49" s="8"/>
      <c r="G49" s="6"/>
    </row>
    <row r="50" spans="1:7" ht="19.5" customHeight="1" x14ac:dyDescent="0.3">
      <c r="A50" s="3" t="str">
        <f t="shared" si="0"/>
        <v/>
      </c>
      <c r="B50" s="4"/>
      <c r="C50" s="4"/>
      <c r="D50" s="4"/>
      <c r="E50" s="4"/>
      <c r="F50" s="5"/>
      <c r="G50" s="3"/>
    </row>
    <row r="51" spans="1:7" ht="19.5" customHeight="1" x14ac:dyDescent="0.3">
      <c r="A51" s="6" t="str">
        <f t="shared" si="0"/>
        <v/>
      </c>
      <c r="B51" s="7"/>
      <c r="C51" s="7"/>
      <c r="D51" s="7"/>
      <c r="E51" s="7"/>
      <c r="F51" s="8"/>
      <c r="G51" s="6"/>
    </row>
    <row r="52" spans="1:7" ht="19.5" customHeight="1" x14ac:dyDescent="0.3">
      <c r="A52" s="3" t="str">
        <f t="shared" si="0"/>
        <v/>
      </c>
      <c r="B52" s="4"/>
      <c r="C52" s="4"/>
      <c r="D52" s="4"/>
      <c r="E52" s="4"/>
      <c r="F52" s="5"/>
      <c r="G52" s="3"/>
    </row>
    <row r="53" spans="1:7" ht="19.5" customHeight="1" x14ac:dyDescent="0.3">
      <c r="A53" s="6" t="str">
        <f t="shared" si="0"/>
        <v/>
      </c>
      <c r="B53" s="7"/>
      <c r="C53" s="7"/>
      <c r="D53" s="7"/>
      <c r="E53" s="7"/>
      <c r="F53" s="8"/>
      <c r="G53" s="6"/>
    </row>
    <row r="54" spans="1:7" ht="19.5" customHeight="1" x14ac:dyDescent="0.3">
      <c r="A54" s="3" t="str">
        <f t="shared" si="0"/>
        <v/>
      </c>
      <c r="B54" s="4"/>
      <c r="C54" s="4"/>
      <c r="D54" s="4"/>
      <c r="E54" s="4"/>
      <c r="F54" s="5"/>
      <c r="G54" s="3"/>
    </row>
    <row r="55" spans="1:7" ht="19.5" customHeight="1" x14ac:dyDescent="0.3">
      <c r="A55" s="6" t="str">
        <f t="shared" si="0"/>
        <v/>
      </c>
      <c r="B55" s="7"/>
      <c r="C55" s="7"/>
      <c r="D55" s="7"/>
      <c r="E55" s="7"/>
      <c r="F55" s="8"/>
      <c r="G55" s="6"/>
    </row>
    <row r="56" spans="1:7" ht="19.5" customHeight="1" x14ac:dyDescent="0.3">
      <c r="A56" s="3" t="str">
        <f t="shared" si="0"/>
        <v/>
      </c>
      <c r="B56" s="4"/>
      <c r="C56" s="4"/>
      <c r="D56" s="4"/>
      <c r="E56" s="4"/>
      <c r="F56" s="5"/>
      <c r="G56" s="3"/>
    </row>
    <row r="57" spans="1:7" ht="19.5" customHeight="1" x14ac:dyDescent="0.3">
      <c r="A57" s="6" t="str">
        <f t="shared" si="0"/>
        <v/>
      </c>
      <c r="B57" s="7"/>
      <c r="C57" s="7"/>
      <c r="D57" s="7"/>
      <c r="E57" s="7"/>
      <c r="F57" s="8"/>
      <c r="G57" s="6"/>
    </row>
    <row r="58" spans="1:7" ht="19.5" customHeight="1" x14ac:dyDescent="0.3">
      <c r="A58" s="3" t="str">
        <f t="shared" si="0"/>
        <v/>
      </c>
      <c r="B58" s="4"/>
      <c r="C58" s="4"/>
      <c r="D58" s="4"/>
      <c r="E58" s="4"/>
      <c r="F58" s="5"/>
      <c r="G58" s="3"/>
    </row>
    <row r="59" spans="1:7" ht="19.5" customHeight="1" x14ac:dyDescent="0.3">
      <c r="A59" s="6" t="str">
        <f t="shared" si="0"/>
        <v/>
      </c>
      <c r="B59" s="7"/>
      <c r="C59" s="7"/>
      <c r="D59" s="7"/>
      <c r="E59" s="7"/>
      <c r="F59" s="8"/>
      <c r="G59" s="6"/>
    </row>
    <row r="60" spans="1:7" ht="19.5" customHeight="1" x14ac:dyDescent="0.3">
      <c r="A60" s="3" t="str">
        <f t="shared" si="0"/>
        <v/>
      </c>
      <c r="B60" s="4"/>
      <c r="C60" s="4"/>
      <c r="D60" s="4"/>
      <c r="E60" s="4"/>
      <c r="F60" s="5"/>
      <c r="G60" s="3"/>
    </row>
    <row r="61" spans="1:7" ht="19.5" customHeight="1" x14ac:dyDescent="0.3">
      <c r="A61" s="6" t="str">
        <f t="shared" si="0"/>
        <v/>
      </c>
      <c r="B61" s="7"/>
      <c r="C61" s="7"/>
      <c r="D61" s="7"/>
      <c r="E61" s="7"/>
      <c r="F61" s="8"/>
      <c r="G61" s="6"/>
    </row>
    <row r="62" spans="1:7" ht="19.5" customHeight="1" x14ac:dyDescent="0.3">
      <c r="A62" s="3" t="str">
        <f t="shared" si="0"/>
        <v/>
      </c>
      <c r="B62" s="4"/>
      <c r="C62" s="4"/>
      <c r="D62" s="4"/>
      <c r="E62" s="4"/>
      <c r="F62" s="5"/>
      <c r="G62" s="3"/>
    </row>
    <row r="63" spans="1:7" ht="19.5" customHeight="1" x14ac:dyDescent="0.3">
      <c r="A63" s="6" t="str">
        <f t="shared" si="0"/>
        <v/>
      </c>
      <c r="B63" s="7"/>
      <c r="C63" s="7"/>
      <c r="D63" s="7"/>
      <c r="E63" s="7"/>
      <c r="F63" s="8"/>
      <c r="G63" s="6"/>
    </row>
    <row r="64" spans="1:7" ht="19.5" customHeight="1" x14ac:dyDescent="0.3">
      <c r="A64" s="3" t="str">
        <f t="shared" si="0"/>
        <v/>
      </c>
      <c r="B64" s="4"/>
      <c r="C64" s="4"/>
      <c r="D64" s="4"/>
      <c r="E64" s="4"/>
      <c r="F64" s="5"/>
      <c r="G64" s="3"/>
    </row>
    <row r="65" spans="1:7" ht="19.5" customHeight="1" x14ac:dyDescent="0.3">
      <c r="A65" s="6" t="str">
        <f t="shared" si="0"/>
        <v/>
      </c>
      <c r="B65" s="7"/>
      <c r="C65" s="7"/>
      <c r="D65" s="7"/>
      <c r="E65" s="7"/>
      <c r="F65" s="8"/>
      <c r="G65" s="6"/>
    </row>
    <row r="66" spans="1:7" ht="19.5" customHeight="1" x14ac:dyDescent="0.3">
      <c r="A66" s="3" t="str">
        <f t="shared" si="0"/>
        <v/>
      </c>
      <c r="B66" s="4"/>
      <c r="C66" s="4"/>
      <c r="D66" s="4"/>
      <c r="E66" s="4"/>
      <c r="F66" s="5"/>
      <c r="G66" s="3"/>
    </row>
    <row r="67" spans="1:7" ht="19.5" customHeight="1" x14ac:dyDescent="0.3">
      <c r="A67" s="6" t="str">
        <f t="shared" si="0"/>
        <v/>
      </c>
      <c r="B67" s="7"/>
      <c r="C67" s="7"/>
      <c r="D67" s="7"/>
      <c r="E67" s="7"/>
      <c r="F67" s="8"/>
      <c r="G67" s="6"/>
    </row>
    <row r="68" spans="1:7" ht="19.5" customHeight="1" x14ac:dyDescent="0.3">
      <c r="A68" s="3" t="str">
        <f t="shared" ref="A68:A131" si="1">IF(B68&lt;&gt;"",ROW()-3,"")</f>
        <v/>
      </c>
      <c r="B68" s="4"/>
      <c r="C68" s="4"/>
      <c r="D68" s="4"/>
      <c r="E68" s="4"/>
      <c r="F68" s="5"/>
      <c r="G68" s="3"/>
    </row>
    <row r="69" spans="1:7" ht="19.5" customHeight="1" x14ac:dyDescent="0.3">
      <c r="A69" s="6" t="str">
        <f t="shared" si="1"/>
        <v/>
      </c>
      <c r="B69" s="7"/>
      <c r="C69" s="7"/>
      <c r="D69" s="7"/>
      <c r="E69" s="7"/>
      <c r="F69" s="8"/>
      <c r="G69" s="6"/>
    </row>
    <row r="70" spans="1:7" ht="19.5" customHeight="1" x14ac:dyDescent="0.3">
      <c r="A70" s="3" t="str">
        <f t="shared" si="1"/>
        <v/>
      </c>
      <c r="B70" s="4"/>
      <c r="C70" s="4"/>
      <c r="D70" s="4"/>
      <c r="E70" s="4"/>
      <c r="F70" s="5"/>
      <c r="G70" s="3"/>
    </row>
    <row r="71" spans="1:7" ht="19.5" customHeight="1" x14ac:dyDescent="0.3">
      <c r="A71" s="6" t="str">
        <f t="shared" si="1"/>
        <v/>
      </c>
      <c r="B71" s="7"/>
      <c r="C71" s="7"/>
      <c r="D71" s="7"/>
      <c r="E71" s="7"/>
      <c r="F71" s="8"/>
      <c r="G71" s="6"/>
    </row>
    <row r="72" spans="1:7" ht="19.5" customHeight="1" x14ac:dyDescent="0.3">
      <c r="A72" s="3" t="str">
        <f t="shared" si="1"/>
        <v/>
      </c>
      <c r="B72" s="4"/>
      <c r="C72" s="4"/>
      <c r="D72" s="4"/>
      <c r="E72" s="4"/>
      <c r="F72" s="5"/>
      <c r="G72" s="3"/>
    </row>
    <row r="73" spans="1:7" ht="19.5" customHeight="1" x14ac:dyDescent="0.3">
      <c r="A73" s="6" t="str">
        <f t="shared" si="1"/>
        <v/>
      </c>
      <c r="B73" s="7"/>
      <c r="C73" s="7"/>
      <c r="D73" s="7"/>
      <c r="E73" s="7"/>
      <c r="F73" s="8"/>
      <c r="G73" s="6"/>
    </row>
    <row r="74" spans="1:7" ht="19.5" customHeight="1" x14ac:dyDescent="0.3">
      <c r="A74" s="3" t="str">
        <f t="shared" si="1"/>
        <v/>
      </c>
      <c r="B74" s="4"/>
      <c r="C74" s="4"/>
      <c r="D74" s="4"/>
      <c r="E74" s="4"/>
      <c r="F74" s="5"/>
      <c r="G74" s="3"/>
    </row>
    <row r="75" spans="1:7" ht="19.5" customHeight="1" x14ac:dyDescent="0.3">
      <c r="A75" s="6" t="str">
        <f t="shared" si="1"/>
        <v/>
      </c>
      <c r="B75" s="7"/>
      <c r="C75" s="7"/>
      <c r="D75" s="7"/>
      <c r="E75" s="7"/>
      <c r="F75" s="8"/>
      <c r="G75" s="6"/>
    </row>
    <row r="76" spans="1:7" ht="19.5" customHeight="1" x14ac:dyDescent="0.3">
      <c r="A76" s="3" t="str">
        <f t="shared" si="1"/>
        <v/>
      </c>
      <c r="B76" s="4"/>
      <c r="C76" s="4"/>
      <c r="D76" s="4"/>
      <c r="E76" s="4"/>
      <c r="F76" s="5"/>
      <c r="G76" s="3"/>
    </row>
    <row r="77" spans="1:7" ht="19.5" customHeight="1" x14ac:dyDescent="0.3">
      <c r="A77" s="6" t="str">
        <f t="shared" si="1"/>
        <v/>
      </c>
      <c r="B77" s="7"/>
      <c r="C77" s="7"/>
      <c r="D77" s="7"/>
      <c r="E77" s="7"/>
      <c r="F77" s="8"/>
      <c r="G77" s="6"/>
    </row>
    <row r="78" spans="1:7" ht="19.5" customHeight="1" x14ac:dyDescent="0.3">
      <c r="A78" s="3" t="str">
        <f t="shared" si="1"/>
        <v/>
      </c>
      <c r="B78" s="4"/>
      <c r="C78" s="4"/>
      <c r="D78" s="4"/>
      <c r="E78" s="4"/>
      <c r="F78" s="5"/>
      <c r="G78" s="3"/>
    </row>
    <row r="79" spans="1:7" ht="19.5" customHeight="1" x14ac:dyDescent="0.3">
      <c r="A79" s="6" t="str">
        <f t="shared" si="1"/>
        <v/>
      </c>
      <c r="B79" s="7"/>
      <c r="C79" s="7"/>
      <c r="D79" s="7"/>
      <c r="E79" s="7"/>
      <c r="F79" s="8"/>
      <c r="G79" s="6"/>
    </row>
    <row r="80" spans="1:7" ht="19.5" customHeight="1" x14ac:dyDescent="0.3">
      <c r="A80" s="3" t="str">
        <f t="shared" si="1"/>
        <v/>
      </c>
      <c r="B80" s="4"/>
      <c r="C80" s="4"/>
      <c r="D80" s="4"/>
      <c r="E80" s="4"/>
      <c r="F80" s="5"/>
      <c r="G80" s="3"/>
    </row>
    <row r="81" spans="1:7" ht="19.5" customHeight="1" x14ac:dyDescent="0.3">
      <c r="A81" s="6" t="str">
        <f t="shared" si="1"/>
        <v/>
      </c>
      <c r="B81" s="7"/>
      <c r="C81" s="7"/>
      <c r="D81" s="7"/>
      <c r="E81" s="7"/>
      <c r="F81" s="8"/>
      <c r="G81" s="6"/>
    </row>
    <row r="82" spans="1:7" ht="19.5" customHeight="1" x14ac:dyDescent="0.3">
      <c r="A82" s="3" t="str">
        <f t="shared" si="1"/>
        <v/>
      </c>
      <c r="B82" s="4"/>
      <c r="C82" s="4"/>
      <c r="D82" s="4"/>
      <c r="E82" s="4"/>
      <c r="F82" s="5"/>
      <c r="G82" s="3"/>
    </row>
    <row r="83" spans="1:7" ht="19.5" customHeight="1" x14ac:dyDescent="0.3">
      <c r="A83" s="6" t="str">
        <f t="shared" si="1"/>
        <v/>
      </c>
      <c r="B83" s="7"/>
      <c r="C83" s="7"/>
      <c r="D83" s="7"/>
      <c r="E83" s="7"/>
      <c r="F83" s="8"/>
      <c r="G83" s="6"/>
    </row>
    <row r="84" spans="1:7" ht="19.5" customHeight="1" x14ac:dyDescent="0.3">
      <c r="A84" s="3" t="str">
        <f t="shared" si="1"/>
        <v/>
      </c>
      <c r="B84" s="4"/>
      <c r="C84" s="4"/>
      <c r="D84" s="4"/>
      <c r="E84" s="4"/>
      <c r="F84" s="5"/>
      <c r="G84" s="3"/>
    </row>
    <row r="85" spans="1:7" ht="19.5" customHeight="1" x14ac:dyDescent="0.3">
      <c r="A85" s="6" t="str">
        <f t="shared" si="1"/>
        <v/>
      </c>
      <c r="B85" s="7"/>
      <c r="C85" s="7"/>
      <c r="D85" s="7"/>
      <c r="E85" s="7"/>
      <c r="F85" s="8"/>
      <c r="G85" s="6"/>
    </row>
    <row r="86" spans="1:7" ht="19.5" customHeight="1" x14ac:dyDescent="0.3">
      <c r="A86" s="3" t="str">
        <f t="shared" si="1"/>
        <v/>
      </c>
      <c r="B86" s="4"/>
      <c r="C86" s="4"/>
      <c r="D86" s="4"/>
      <c r="E86" s="4"/>
      <c r="F86" s="5"/>
      <c r="G86" s="3"/>
    </row>
    <row r="87" spans="1:7" ht="19.5" customHeight="1" x14ac:dyDescent="0.3">
      <c r="A87" s="6" t="str">
        <f t="shared" si="1"/>
        <v/>
      </c>
      <c r="B87" s="7"/>
      <c r="C87" s="7"/>
      <c r="D87" s="7"/>
      <c r="E87" s="7"/>
      <c r="F87" s="8"/>
      <c r="G87" s="6"/>
    </row>
    <row r="88" spans="1:7" ht="19.5" customHeight="1" x14ac:dyDescent="0.3">
      <c r="A88" s="3" t="str">
        <f t="shared" si="1"/>
        <v/>
      </c>
      <c r="B88" s="4"/>
      <c r="C88" s="4"/>
      <c r="D88" s="4"/>
      <c r="E88" s="4"/>
      <c r="F88" s="5"/>
      <c r="G88" s="3"/>
    </row>
    <row r="89" spans="1:7" ht="19.5" customHeight="1" x14ac:dyDescent="0.3">
      <c r="A89" s="6" t="str">
        <f t="shared" si="1"/>
        <v/>
      </c>
      <c r="B89" s="7"/>
      <c r="C89" s="7"/>
      <c r="D89" s="7"/>
      <c r="E89" s="7"/>
      <c r="F89" s="8"/>
      <c r="G89" s="6"/>
    </row>
    <row r="90" spans="1:7" ht="19.5" customHeight="1" x14ac:dyDescent="0.3">
      <c r="A90" s="3" t="str">
        <f t="shared" si="1"/>
        <v/>
      </c>
      <c r="B90" s="4"/>
      <c r="C90" s="4"/>
      <c r="D90" s="4"/>
      <c r="E90" s="4"/>
      <c r="F90" s="5"/>
      <c r="G90" s="3"/>
    </row>
    <row r="91" spans="1:7" ht="19.5" customHeight="1" x14ac:dyDescent="0.3">
      <c r="A91" s="6" t="str">
        <f t="shared" si="1"/>
        <v/>
      </c>
      <c r="B91" s="7"/>
      <c r="C91" s="7"/>
      <c r="D91" s="7"/>
      <c r="E91" s="7"/>
      <c r="F91" s="8"/>
      <c r="G91" s="6"/>
    </row>
    <row r="92" spans="1:7" ht="19.5" customHeight="1" x14ac:dyDescent="0.3">
      <c r="A92" s="3" t="str">
        <f t="shared" si="1"/>
        <v/>
      </c>
      <c r="B92" s="4"/>
      <c r="C92" s="4"/>
      <c r="D92" s="4"/>
      <c r="E92" s="4"/>
      <c r="F92" s="5"/>
      <c r="G92" s="3"/>
    </row>
    <row r="93" spans="1:7" ht="19.5" customHeight="1" x14ac:dyDescent="0.3">
      <c r="A93" s="6" t="str">
        <f t="shared" si="1"/>
        <v/>
      </c>
      <c r="B93" s="7"/>
      <c r="C93" s="7"/>
      <c r="D93" s="7"/>
      <c r="E93" s="7"/>
      <c r="F93" s="8"/>
      <c r="G93" s="6"/>
    </row>
    <row r="94" spans="1:7" ht="19.5" customHeight="1" x14ac:dyDescent="0.3">
      <c r="A94" s="3" t="str">
        <f t="shared" si="1"/>
        <v/>
      </c>
      <c r="B94" s="4"/>
      <c r="C94" s="4"/>
      <c r="D94" s="4"/>
      <c r="E94" s="4"/>
      <c r="F94" s="5"/>
      <c r="G94" s="3"/>
    </row>
    <row r="95" spans="1:7" ht="19.5" customHeight="1" x14ac:dyDescent="0.3">
      <c r="A95" s="6" t="str">
        <f t="shared" si="1"/>
        <v/>
      </c>
      <c r="B95" s="7"/>
      <c r="C95" s="7"/>
      <c r="D95" s="7"/>
      <c r="E95" s="7"/>
      <c r="F95" s="8"/>
      <c r="G95" s="6"/>
    </row>
    <row r="96" spans="1:7" ht="19.5" customHeight="1" x14ac:dyDescent="0.3">
      <c r="A96" s="3" t="str">
        <f t="shared" si="1"/>
        <v/>
      </c>
      <c r="B96" s="4"/>
      <c r="C96" s="4"/>
      <c r="D96" s="4"/>
      <c r="E96" s="4"/>
      <c r="F96" s="5"/>
      <c r="G96" s="3"/>
    </row>
    <row r="97" spans="1:7" ht="19.5" customHeight="1" x14ac:dyDescent="0.3">
      <c r="A97" s="6" t="str">
        <f t="shared" si="1"/>
        <v/>
      </c>
      <c r="B97" s="7"/>
      <c r="C97" s="7"/>
      <c r="D97" s="7"/>
      <c r="E97" s="7"/>
      <c r="F97" s="8"/>
      <c r="G97" s="6"/>
    </row>
    <row r="98" spans="1:7" ht="19.5" customHeight="1" x14ac:dyDescent="0.3">
      <c r="A98" s="3" t="str">
        <f t="shared" si="1"/>
        <v/>
      </c>
      <c r="B98" s="4"/>
      <c r="C98" s="4"/>
      <c r="D98" s="4"/>
      <c r="E98" s="4"/>
      <c r="F98" s="5"/>
      <c r="G98" s="3"/>
    </row>
    <row r="99" spans="1:7" ht="19.5" customHeight="1" x14ac:dyDescent="0.3">
      <c r="A99" s="6" t="str">
        <f t="shared" si="1"/>
        <v/>
      </c>
      <c r="B99" s="7"/>
      <c r="C99" s="7"/>
      <c r="D99" s="7"/>
      <c r="E99" s="7"/>
      <c r="F99" s="8"/>
      <c r="G99" s="6"/>
    </row>
    <row r="100" spans="1:7" ht="19.5" customHeight="1" x14ac:dyDescent="0.3">
      <c r="A100" s="3" t="str">
        <f t="shared" si="1"/>
        <v/>
      </c>
      <c r="B100" s="4"/>
      <c r="C100" s="4"/>
      <c r="D100" s="4"/>
      <c r="E100" s="4"/>
      <c r="F100" s="5"/>
      <c r="G100" s="3"/>
    </row>
    <row r="101" spans="1:7" ht="19.5" customHeight="1" x14ac:dyDescent="0.3">
      <c r="A101" s="6" t="str">
        <f t="shared" si="1"/>
        <v/>
      </c>
      <c r="B101" s="7"/>
      <c r="C101" s="7"/>
      <c r="D101" s="7"/>
      <c r="E101" s="7"/>
      <c r="F101" s="8"/>
      <c r="G101" s="6"/>
    </row>
    <row r="102" spans="1:7" ht="19.5" customHeight="1" x14ac:dyDescent="0.3">
      <c r="A102" s="3" t="str">
        <f t="shared" si="1"/>
        <v/>
      </c>
      <c r="B102" s="4"/>
      <c r="C102" s="4"/>
      <c r="D102" s="4"/>
      <c r="E102" s="4"/>
      <c r="F102" s="5"/>
      <c r="G102" s="3"/>
    </row>
    <row r="103" spans="1:7" ht="19.5" customHeight="1" x14ac:dyDescent="0.3">
      <c r="A103" s="6" t="str">
        <f t="shared" si="1"/>
        <v/>
      </c>
      <c r="B103" s="7"/>
      <c r="C103" s="7"/>
      <c r="D103" s="7"/>
      <c r="E103" s="7"/>
      <c r="F103" s="8"/>
      <c r="G103" s="6"/>
    </row>
    <row r="104" spans="1:7" ht="19.5" customHeight="1" x14ac:dyDescent="0.3">
      <c r="A104" s="3" t="str">
        <f t="shared" si="1"/>
        <v/>
      </c>
      <c r="B104" s="4"/>
      <c r="C104" s="4"/>
      <c r="D104" s="4"/>
      <c r="E104" s="4"/>
      <c r="F104" s="5"/>
      <c r="G104" s="3"/>
    </row>
    <row r="105" spans="1:7" ht="19.5" customHeight="1" x14ac:dyDescent="0.3">
      <c r="A105" s="6" t="str">
        <f t="shared" si="1"/>
        <v/>
      </c>
      <c r="B105" s="7"/>
      <c r="C105" s="7"/>
      <c r="D105" s="7"/>
      <c r="E105" s="7"/>
      <c r="F105" s="8"/>
      <c r="G105" s="6"/>
    </row>
    <row r="106" spans="1:7" ht="19.5" customHeight="1" x14ac:dyDescent="0.3">
      <c r="A106" s="3" t="str">
        <f t="shared" si="1"/>
        <v/>
      </c>
      <c r="B106" s="4"/>
      <c r="C106" s="4"/>
      <c r="D106" s="4"/>
      <c r="E106" s="4"/>
      <c r="F106" s="5"/>
      <c r="G106" s="3"/>
    </row>
    <row r="107" spans="1:7" ht="19.5" customHeight="1" x14ac:dyDescent="0.3">
      <c r="A107" s="6" t="str">
        <f t="shared" si="1"/>
        <v/>
      </c>
      <c r="B107" s="7"/>
      <c r="C107" s="7"/>
      <c r="D107" s="7"/>
      <c r="E107" s="7"/>
      <c r="F107" s="8"/>
      <c r="G107" s="6"/>
    </row>
    <row r="108" spans="1:7" ht="19.5" customHeight="1" x14ac:dyDescent="0.3">
      <c r="A108" s="3" t="str">
        <f t="shared" si="1"/>
        <v/>
      </c>
      <c r="B108" s="4"/>
      <c r="C108" s="4"/>
      <c r="D108" s="4"/>
      <c r="E108" s="4"/>
      <c r="F108" s="5"/>
      <c r="G108" s="3"/>
    </row>
    <row r="109" spans="1:7" ht="19.5" customHeight="1" x14ac:dyDescent="0.3">
      <c r="A109" s="6" t="str">
        <f t="shared" si="1"/>
        <v/>
      </c>
      <c r="B109" s="7"/>
      <c r="C109" s="7"/>
      <c r="D109" s="7"/>
      <c r="E109" s="7"/>
      <c r="F109" s="8"/>
      <c r="G109" s="6"/>
    </row>
    <row r="110" spans="1:7" ht="19.5" customHeight="1" x14ac:dyDescent="0.3">
      <c r="A110" s="3" t="str">
        <f t="shared" si="1"/>
        <v/>
      </c>
      <c r="B110" s="4"/>
      <c r="C110" s="4"/>
      <c r="D110" s="4"/>
      <c r="E110" s="4"/>
      <c r="F110" s="5"/>
      <c r="G110" s="3"/>
    </row>
    <row r="111" spans="1:7" ht="19.5" customHeight="1" x14ac:dyDescent="0.3">
      <c r="A111" s="6" t="str">
        <f t="shared" si="1"/>
        <v/>
      </c>
      <c r="B111" s="7"/>
      <c r="C111" s="7"/>
      <c r="D111" s="7"/>
      <c r="E111" s="7"/>
      <c r="F111" s="8"/>
      <c r="G111" s="6"/>
    </row>
    <row r="112" spans="1:7" ht="19.5" customHeight="1" x14ac:dyDescent="0.3">
      <c r="A112" s="3" t="str">
        <f t="shared" si="1"/>
        <v/>
      </c>
      <c r="B112" s="4"/>
      <c r="C112" s="4"/>
      <c r="D112" s="4"/>
      <c r="E112" s="4"/>
      <c r="F112" s="5"/>
      <c r="G112" s="3"/>
    </row>
    <row r="113" spans="1:7" ht="19.5" customHeight="1" x14ac:dyDescent="0.3">
      <c r="A113" s="6" t="str">
        <f t="shared" si="1"/>
        <v/>
      </c>
      <c r="B113" s="7"/>
      <c r="C113" s="7"/>
      <c r="D113" s="7"/>
      <c r="E113" s="7"/>
      <c r="F113" s="8"/>
      <c r="G113" s="6"/>
    </row>
    <row r="114" spans="1:7" ht="19.5" customHeight="1" x14ac:dyDescent="0.3">
      <c r="A114" s="3" t="str">
        <f t="shared" si="1"/>
        <v/>
      </c>
      <c r="B114" s="4"/>
      <c r="C114" s="4"/>
      <c r="D114" s="4"/>
      <c r="E114" s="4"/>
      <c r="F114" s="5"/>
      <c r="G114" s="3"/>
    </row>
    <row r="115" spans="1:7" ht="19.5" customHeight="1" x14ac:dyDescent="0.3">
      <c r="A115" s="6" t="str">
        <f t="shared" si="1"/>
        <v/>
      </c>
      <c r="B115" s="7"/>
      <c r="C115" s="7"/>
      <c r="D115" s="7"/>
      <c r="E115" s="7"/>
      <c r="F115" s="8"/>
      <c r="G115" s="6"/>
    </row>
    <row r="116" spans="1:7" ht="19.5" customHeight="1" x14ac:dyDescent="0.3">
      <c r="A116" s="3" t="str">
        <f t="shared" si="1"/>
        <v/>
      </c>
      <c r="B116" s="4"/>
      <c r="C116" s="4"/>
      <c r="D116" s="4"/>
      <c r="E116" s="4"/>
      <c r="F116" s="5"/>
      <c r="G116" s="3"/>
    </row>
    <row r="117" spans="1:7" ht="19.5" customHeight="1" x14ac:dyDescent="0.3">
      <c r="A117" s="6" t="str">
        <f t="shared" si="1"/>
        <v/>
      </c>
      <c r="B117" s="7"/>
      <c r="C117" s="7"/>
      <c r="D117" s="7"/>
      <c r="E117" s="7"/>
      <c r="F117" s="8"/>
      <c r="G117" s="6"/>
    </row>
    <row r="118" spans="1:7" ht="19.5" customHeight="1" x14ac:dyDescent="0.3">
      <c r="A118" s="3" t="str">
        <f t="shared" si="1"/>
        <v/>
      </c>
      <c r="B118" s="4"/>
      <c r="C118" s="4"/>
      <c r="D118" s="4"/>
      <c r="E118" s="4"/>
      <c r="F118" s="5"/>
      <c r="G118" s="3"/>
    </row>
    <row r="119" spans="1:7" ht="19.5" customHeight="1" x14ac:dyDescent="0.3">
      <c r="A119" s="6" t="str">
        <f t="shared" si="1"/>
        <v/>
      </c>
      <c r="B119" s="7"/>
      <c r="C119" s="7"/>
      <c r="D119" s="7"/>
      <c r="E119" s="7"/>
      <c r="F119" s="8"/>
      <c r="G119" s="6"/>
    </row>
    <row r="120" spans="1:7" ht="19.5" customHeight="1" x14ac:dyDescent="0.3">
      <c r="A120" s="3" t="str">
        <f t="shared" si="1"/>
        <v/>
      </c>
      <c r="B120" s="4"/>
      <c r="C120" s="4"/>
      <c r="D120" s="4"/>
      <c r="E120" s="4"/>
      <c r="F120" s="5"/>
      <c r="G120" s="3"/>
    </row>
    <row r="121" spans="1:7" ht="19.5" customHeight="1" x14ac:dyDescent="0.3">
      <c r="A121" s="6" t="str">
        <f t="shared" si="1"/>
        <v/>
      </c>
      <c r="B121" s="7"/>
      <c r="C121" s="7"/>
      <c r="D121" s="7"/>
      <c r="E121" s="7"/>
      <c r="F121" s="8"/>
      <c r="G121" s="6"/>
    </row>
    <row r="122" spans="1:7" ht="19.5" customHeight="1" x14ac:dyDescent="0.3">
      <c r="A122" s="3" t="str">
        <f t="shared" si="1"/>
        <v/>
      </c>
      <c r="B122" s="4"/>
      <c r="C122" s="4"/>
      <c r="D122" s="4"/>
      <c r="E122" s="4"/>
      <c r="F122" s="5"/>
      <c r="G122" s="3"/>
    </row>
    <row r="123" spans="1:7" ht="19.5" customHeight="1" x14ac:dyDescent="0.3">
      <c r="A123" s="6" t="str">
        <f t="shared" si="1"/>
        <v/>
      </c>
      <c r="B123" s="7"/>
      <c r="C123" s="7"/>
      <c r="D123" s="7"/>
      <c r="E123" s="7"/>
      <c r="F123" s="8"/>
      <c r="G123" s="6"/>
    </row>
    <row r="124" spans="1:7" ht="19.5" customHeight="1" x14ac:dyDescent="0.3">
      <c r="A124" s="3" t="str">
        <f t="shared" si="1"/>
        <v/>
      </c>
      <c r="B124" s="4"/>
      <c r="C124" s="4"/>
      <c r="D124" s="4"/>
      <c r="E124" s="4"/>
      <c r="F124" s="5"/>
      <c r="G124" s="3"/>
    </row>
    <row r="125" spans="1:7" ht="19.5" customHeight="1" x14ac:dyDescent="0.3">
      <c r="A125" s="6" t="str">
        <f t="shared" si="1"/>
        <v/>
      </c>
      <c r="B125" s="7"/>
      <c r="C125" s="7"/>
      <c r="D125" s="7"/>
      <c r="E125" s="7"/>
      <c r="F125" s="8"/>
      <c r="G125" s="6"/>
    </row>
    <row r="126" spans="1:7" ht="19.5" customHeight="1" x14ac:dyDescent="0.3">
      <c r="A126" s="3" t="str">
        <f t="shared" si="1"/>
        <v/>
      </c>
      <c r="B126" s="4"/>
      <c r="C126" s="4"/>
      <c r="D126" s="4"/>
      <c r="E126" s="4"/>
      <c r="F126" s="5"/>
      <c r="G126" s="3"/>
    </row>
    <row r="127" spans="1:7" ht="19.5" customHeight="1" x14ac:dyDescent="0.3">
      <c r="A127" s="6" t="str">
        <f t="shared" si="1"/>
        <v/>
      </c>
      <c r="B127" s="7"/>
      <c r="C127" s="7"/>
      <c r="D127" s="7"/>
      <c r="E127" s="7"/>
      <c r="F127" s="8"/>
      <c r="G127" s="6"/>
    </row>
    <row r="128" spans="1:7" ht="19.5" customHeight="1" x14ac:dyDescent="0.3">
      <c r="A128" s="3" t="str">
        <f t="shared" si="1"/>
        <v/>
      </c>
      <c r="B128" s="4"/>
      <c r="C128" s="4"/>
      <c r="D128" s="4"/>
      <c r="E128" s="4"/>
      <c r="F128" s="5"/>
      <c r="G128" s="3"/>
    </row>
    <row r="129" spans="1:7" ht="19.5" customHeight="1" x14ac:dyDescent="0.3">
      <c r="A129" s="6" t="str">
        <f t="shared" si="1"/>
        <v/>
      </c>
      <c r="B129" s="7"/>
      <c r="C129" s="7"/>
      <c r="D129" s="7"/>
      <c r="E129" s="7"/>
      <c r="F129" s="8"/>
      <c r="G129" s="6"/>
    </row>
    <row r="130" spans="1:7" ht="19.5" customHeight="1" x14ac:dyDescent="0.3">
      <c r="A130" s="3" t="str">
        <f t="shared" si="1"/>
        <v/>
      </c>
      <c r="B130" s="4"/>
      <c r="C130" s="4"/>
      <c r="D130" s="4"/>
      <c r="E130" s="4"/>
      <c r="F130" s="5"/>
      <c r="G130" s="3"/>
    </row>
    <row r="131" spans="1:7" ht="19.5" customHeight="1" x14ac:dyDescent="0.3">
      <c r="A131" s="6" t="str">
        <f t="shared" si="1"/>
        <v/>
      </c>
      <c r="B131" s="7"/>
      <c r="C131" s="7"/>
      <c r="D131" s="7"/>
      <c r="E131" s="7"/>
      <c r="F131" s="8"/>
      <c r="G131" s="6"/>
    </row>
    <row r="132" spans="1:7" ht="19.5" customHeight="1" x14ac:dyDescent="0.3">
      <c r="A132" s="3" t="str">
        <f t="shared" ref="A132:A195" si="2">IF(B132&lt;&gt;"",ROW()-3,"")</f>
        <v/>
      </c>
      <c r="B132" s="4"/>
      <c r="C132" s="4"/>
      <c r="D132" s="4"/>
      <c r="E132" s="4"/>
      <c r="F132" s="5"/>
      <c r="G132" s="3"/>
    </row>
    <row r="133" spans="1:7" ht="19.5" customHeight="1" x14ac:dyDescent="0.3">
      <c r="A133" s="6" t="str">
        <f t="shared" si="2"/>
        <v/>
      </c>
      <c r="B133" s="7"/>
      <c r="C133" s="7"/>
      <c r="D133" s="7"/>
      <c r="E133" s="7"/>
      <c r="F133" s="8"/>
      <c r="G133" s="6"/>
    </row>
    <row r="134" spans="1:7" ht="19.5" customHeight="1" x14ac:dyDescent="0.3">
      <c r="A134" s="3" t="str">
        <f t="shared" si="2"/>
        <v/>
      </c>
      <c r="B134" s="4"/>
      <c r="C134" s="4"/>
      <c r="D134" s="4"/>
      <c r="E134" s="4"/>
      <c r="F134" s="5"/>
      <c r="G134" s="3"/>
    </row>
    <row r="135" spans="1:7" ht="19.5" customHeight="1" x14ac:dyDescent="0.3">
      <c r="A135" s="6" t="str">
        <f t="shared" si="2"/>
        <v/>
      </c>
      <c r="B135" s="7"/>
      <c r="C135" s="7"/>
      <c r="D135" s="7"/>
      <c r="E135" s="7"/>
      <c r="F135" s="8"/>
      <c r="G135" s="6"/>
    </row>
    <row r="136" spans="1:7" ht="19.5" customHeight="1" x14ac:dyDescent="0.3">
      <c r="A136" s="3" t="str">
        <f t="shared" si="2"/>
        <v/>
      </c>
      <c r="B136" s="4"/>
      <c r="C136" s="4"/>
      <c r="D136" s="4"/>
      <c r="E136" s="4"/>
      <c r="F136" s="5"/>
      <c r="G136" s="3"/>
    </row>
    <row r="137" spans="1:7" ht="19.5" customHeight="1" x14ac:dyDescent="0.3">
      <c r="A137" s="6" t="str">
        <f t="shared" si="2"/>
        <v/>
      </c>
      <c r="B137" s="7"/>
      <c r="C137" s="7"/>
      <c r="D137" s="7"/>
      <c r="E137" s="7"/>
      <c r="F137" s="8"/>
      <c r="G137" s="6"/>
    </row>
    <row r="138" spans="1:7" ht="19.5" customHeight="1" x14ac:dyDescent="0.3">
      <c r="A138" s="3" t="str">
        <f t="shared" si="2"/>
        <v/>
      </c>
      <c r="B138" s="4"/>
      <c r="C138" s="4"/>
      <c r="D138" s="4"/>
      <c r="E138" s="4"/>
      <c r="F138" s="5"/>
      <c r="G138" s="3"/>
    </row>
    <row r="139" spans="1:7" ht="19.5" customHeight="1" x14ac:dyDescent="0.3">
      <c r="A139" s="6" t="str">
        <f t="shared" si="2"/>
        <v/>
      </c>
      <c r="B139" s="7"/>
      <c r="C139" s="7"/>
      <c r="D139" s="7"/>
      <c r="E139" s="7"/>
      <c r="F139" s="8"/>
      <c r="G139" s="6"/>
    </row>
    <row r="140" spans="1:7" ht="19.5" customHeight="1" x14ac:dyDescent="0.3">
      <c r="A140" s="3" t="str">
        <f t="shared" si="2"/>
        <v/>
      </c>
      <c r="B140" s="4"/>
      <c r="C140" s="4"/>
      <c r="D140" s="4"/>
      <c r="E140" s="4"/>
      <c r="F140" s="5"/>
      <c r="G140" s="3"/>
    </row>
    <row r="141" spans="1:7" ht="19.5" customHeight="1" x14ac:dyDescent="0.3">
      <c r="A141" s="6" t="str">
        <f t="shared" si="2"/>
        <v/>
      </c>
      <c r="B141" s="7"/>
      <c r="C141" s="7"/>
      <c r="D141" s="7"/>
      <c r="E141" s="7"/>
      <c r="F141" s="8"/>
      <c r="G141" s="6"/>
    </row>
    <row r="142" spans="1:7" ht="19.5" customHeight="1" x14ac:dyDescent="0.3">
      <c r="A142" s="3" t="str">
        <f t="shared" si="2"/>
        <v/>
      </c>
      <c r="B142" s="4"/>
      <c r="C142" s="4"/>
      <c r="D142" s="4"/>
      <c r="E142" s="4"/>
      <c r="F142" s="5"/>
      <c r="G142" s="3"/>
    </row>
    <row r="143" spans="1:7" ht="19.5" customHeight="1" x14ac:dyDescent="0.3">
      <c r="A143" s="6" t="str">
        <f t="shared" si="2"/>
        <v/>
      </c>
      <c r="B143" s="7"/>
      <c r="C143" s="7"/>
      <c r="D143" s="7"/>
      <c r="E143" s="7"/>
      <c r="F143" s="8"/>
      <c r="G143" s="6"/>
    </row>
    <row r="144" spans="1:7" ht="19.5" customHeight="1" x14ac:dyDescent="0.3">
      <c r="A144" s="3" t="str">
        <f t="shared" si="2"/>
        <v/>
      </c>
      <c r="B144" s="4"/>
      <c r="C144" s="4"/>
      <c r="D144" s="4"/>
      <c r="E144" s="4"/>
      <c r="F144" s="5"/>
      <c r="G144" s="3"/>
    </row>
    <row r="145" spans="1:7" ht="19.5" customHeight="1" x14ac:dyDescent="0.3">
      <c r="A145" s="6" t="str">
        <f t="shared" si="2"/>
        <v/>
      </c>
      <c r="B145" s="7"/>
      <c r="C145" s="7"/>
      <c r="D145" s="7"/>
      <c r="E145" s="7"/>
      <c r="F145" s="8"/>
      <c r="G145" s="6"/>
    </row>
    <row r="146" spans="1:7" ht="19.5" customHeight="1" x14ac:dyDescent="0.3">
      <c r="A146" s="3" t="str">
        <f t="shared" si="2"/>
        <v/>
      </c>
      <c r="B146" s="4"/>
      <c r="C146" s="4"/>
      <c r="D146" s="4"/>
      <c r="E146" s="4"/>
      <c r="F146" s="5"/>
      <c r="G146" s="3"/>
    </row>
    <row r="147" spans="1:7" ht="19.5" customHeight="1" x14ac:dyDescent="0.3">
      <c r="A147" s="6" t="str">
        <f t="shared" si="2"/>
        <v/>
      </c>
      <c r="B147" s="7"/>
      <c r="C147" s="7"/>
      <c r="D147" s="7"/>
      <c r="E147" s="7"/>
      <c r="F147" s="8"/>
      <c r="G147" s="6"/>
    </row>
    <row r="148" spans="1:7" ht="19.5" customHeight="1" x14ac:dyDescent="0.3">
      <c r="A148" s="3" t="str">
        <f t="shared" si="2"/>
        <v/>
      </c>
      <c r="B148" s="4"/>
      <c r="C148" s="4"/>
      <c r="D148" s="4"/>
      <c r="E148" s="4"/>
      <c r="F148" s="5"/>
      <c r="G148" s="3"/>
    </row>
    <row r="149" spans="1:7" ht="19.5" customHeight="1" x14ac:dyDescent="0.3">
      <c r="A149" s="6" t="str">
        <f t="shared" si="2"/>
        <v/>
      </c>
      <c r="B149" s="7"/>
      <c r="C149" s="7"/>
      <c r="D149" s="7"/>
      <c r="E149" s="7"/>
      <c r="F149" s="8"/>
      <c r="G149" s="6"/>
    </row>
    <row r="150" spans="1:7" ht="19.5" customHeight="1" x14ac:dyDescent="0.3">
      <c r="A150" s="3" t="str">
        <f t="shared" si="2"/>
        <v/>
      </c>
      <c r="B150" s="4"/>
      <c r="C150" s="4"/>
      <c r="D150" s="4"/>
      <c r="E150" s="4"/>
      <c r="F150" s="5"/>
      <c r="G150" s="3"/>
    </row>
    <row r="151" spans="1:7" ht="19.5" customHeight="1" x14ac:dyDescent="0.3">
      <c r="A151" s="6" t="str">
        <f t="shared" si="2"/>
        <v/>
      </c>
      <c r="B151" s="7"/>
      <c r="C151" s="7"/>
      <c r="D151" s="7"/>
      <c r="E151" s="7"/>
      <c r="F151" s="8"/>
      <c r="G151" s="6"/>
    </row>
    <row r="152" spans="1:7" ht="19.5" customHeight="1" x14ac:dyDescent="0.3">
      <c r="A152" s="3" t="str">
        <f t="shared" si="2"/>
        <v/>
      </c>
      <c r="B152" s="4"/>
      <c r="C152" s="4"/>
      <c r="D152" s="4"/>
      <c r="E152" s="4"/>
      <c r="F152" s="5"/>
      <c r="G152" s="3"/>
    </row>
    <row r="153" spans="1:7" ht="19.5" customHeight="1" x14ac:dyDescent="0.3">
      <c r="A153" s="6" t="str">
        <f t="shared" si="2"/>
        <v/>
      </c>
      <c r="B153" s="7"/>
      <c r="C153" s="7"/>
      <c r="D153" s="7"/>
      <c r="E153" s="7"/>
      <c r="F153" s="8"/>
      <c r="G153" s="6"/>
    </row>
    <row r="154" spans="1:7" ht="19.5" customHeight="1" x14ac:dyDescent="0.3">
      <c r="A154" s="3" t="str">
        <f t="shared" si="2"/>
        <v/>
      </c>
      <c r="B154" s="4"/>
      <c r="C154" s="4"/>
      <c r="D154" s="4"/>
      <c r="E154" s="4"/>
      <c r="F154" s="5"/>
      <c r="G154" s="3"/>
    </row>
    <row r="155" spans="1:7" ht="19.5" customHeight="1" x14ac:dyDescent="0.3">
      <c r="A155" s="6" t="str">
        <f t="shared" si="2"/>
        <v/>
      </c>
      <c r="B155" s="7"/>
      <c r="C155" s="7"/>
      <c r="D155" s="7"/>
      <c r="E155" s="7"/>
      <c r="F155" s="8"/>
      <c r="G155" s="6"/>
    </row>
    <row r="156" spans="1:7" ht="19.5" customHeight="1" x14ac:dyDescent="0.3">
      <c r="A156" s="3" t="str">
        <f t="shared" si="2"/>
        <v/>
      </c>
      <c r="B156" s="4"/>
      <c r="C156" s="4"/>
      <c r="D156" s="4"/>
      <c r="E156" s="4"/>
      <c r="F156" s="5"/>
      <c r="G156" s="3"/>
    </row>
    <row r="157" spans="1:7" ht="19.5" customHeight="1" x14ac:dyDescent="0.3">
      <c r="A157" s="6" t="str">
        <f t="shared" si="2"/>
        <v/>
      </c>
      <c r="B157" s="7"/>
      <c r="C157" s="7"/>
      <c r="D157" s="7"/>
      <c r="E157" s="7"/>
      <c r="F157" s="8"/>
      <c r="G157" s="6"/>
    </row>
    <row r="158" spans="1:7" ht="19.5" customHeight="1" x14ac:dyDescent="0.3">
      <c r="A158" s="3" t="str">
        <f t="shared" si="2"/>
        <v/>
      </c>
      <c r="B158" s="4"/>
      <c r="C158" s="4"/>
      <c r="D158" s="4"/>
      <c r="E158" s="4"/>
      <c r="F158" s="5"/>
      <c r="G158" s="3"/>
    </row>
    <row r="159" spans="1:7" ht="19.5" customHeight="1" x14ac:dyDescent="0.3">
      <c r="A159" s="6" t="str">
        <f t="shared" si="2"/>
        <v/>
      </c>
      <c r="B159" s="7"/>
      <c r="C159" s="7"/>
      <c r="D159" s="7"/>
      <c r="E159" s="7"/>
      <c r="F159" s="8"/>
      <c r="G159" s="6"/>
    </row>
    <row r="160" spans="1:7" ht="19.5" customHeight="1" x14ac:dyDescent="0.3">
      <c r="A160" s="3" t="str">
        <f t="shared" si="2"/>
        <v/>
      </c>
      <c r="B160" s="4"/>
      <c r="C160" s="4"/>
      <c r="D160" s="4"/>
      <c r="E160" s="4"/>
      <c r="F160" s="5"/>
      <c r="G160" s="3"/>
    </row>
    <row r="161" spans="1:7" ht="19.5" customHeight="1" x14ac:dyDescent="0.3">
      <c r="A161" s="6" t="str">
        <f t="shared" si="2"/>
        <v/>
      </c>
      <c r="B161" s="7"/>
      <c r="C161" s="7"/>
      <c r="D161" s="7"/>
      <c r="E161" s="7"/>
      <c r="F161" s="8"/>
      <c r="G161" s="6"/>
    </row>
    <row r="162" spans="1:7" ht="19.5" customHeight="1" x14ac:dyDescent="0.3">
      <c r="A162" s="3" t="str">
        <f t="shared" si="2"/>
        <v/>
      </c>
      <c r="B162" s="4"/>
      <c r="C162" s="4"/>
      <c r="D162" s="4"/>
      <c r="E162" s="4"/>
      <c r="F162" s="5"/>
      <c r="G162" s="3"/>
    </row>
    <row r="163" spans="1:7" ht="19.5" customHeight="1" x14ac:dyDescent="0.3">
      <c r="A163" s="6" t="str">
        <f t="shared" si="2"/>
        <v/>
      </c>
      <c r="B163" s="7"/>
      <c r="C163" s="7"/>
      <c r="D163" s="7"/>
      <c r="E163" s="7"/>
      <c r="F163" s="8"/>
      <c r="G163" s="6"/>
    </row>
    <row r="164" spans="1:7" ht="19.5" customHeight="1" x14ac:dyDescent="0.3">
      <c r="A164" s="3" t="str">
        <f t="shared" si="2"/>
        <v/>
      </c>
      <c r="B164" s="4"/>
      <c r="C164" s="4"/>
      <c r="D164" s="4"/>
      <c r="E164" s="4"/>
      <c r="F164" s="5"/>
      <c r="G164" s="3"/>
    </row>
    <row r="165" spans="1:7" ht="19.5" customHeight="1" x14ac:dyDescent="0.3">
      <c r="A165" s="6" t="str">
        <f t="shared" si="2"/>
        <v/>
      </c>
      <c r="B165" s="7"/>
      <c r="C165" s="7"/>
      <c r="D165" s="7"/>
      <c r="E165" s="7"/>
      <c r="F165" s="8"/>
      <c r="G165" s="6"/>
    </row>
    <row r="166" spans="1:7" ht="19.5" customHeight="1" x14ac:dyDescent="0.3">
      <c r="A166" s="3" t="str">
        <f t="shared" si="2"/>
        <v/>
      </c>
      <c r="B166" s="4"/>
      <c r="C166" s="4"/>
      <c r="D166" s="4"/>
      <c r="E166" s="4"/>
      <c r="F166" s="5"/>
      <c r="G166" s="3"/>
    </row>
    <row r="167" spans="1:7" ht="19.5" customHeight="1" x14ac:dyDescent="0.3">
      <c r="A167" s="6" t="str">
        <f t="shared" si="2"/>
        <v/>
      </c>
      <c r="B167" s="7"/>
      <c r="C167" s="7"/>
      <c r="D167" s="7"/>
      <c r="E167" s="7"/>
      <c r="F167" s="8"/>
      <c r="G167" s="6"/>
    </row>
    <row r="168" spans="1:7" ht="19.5" customHeight="1" x14ac:dyDescent="0.3">
      <c r="A168" s="3" t="str">
        <f t="shared" si="2"/>
        <v/>
      </c>
      <c r="B168" s="4"/>
      <c r="C168" s="4"/>
      <c r="D168" s="4"/>
      <c r="E168" s="4"/>
      <c r="F168" s="5"/>
      <c r="G168" s="3"/>
    </row>
    <row r="169" spans="1:7" ht="19.5" customHeight="1" x14ac:dyDescent="0.3">
      <c r="A169" s="6" t="str">
        <f t="shared" si="2"/>
        <v/>
      </c>
      <c r="B169" s="7"/>
      <c r="C169" s="7"/>
      <c r="D169" s="7"/>
      <c r="E169" s="7"/>
      <c r="F169" s="8"/>
      <c r="G169" s="6"/>
    </row>
    <row r="170" spans="1:7" ht="19.5" customHeight="1" x14ac:dyDescent="0.3">
      <c r="A170" s="3" t="str">
        <f t="shared" si="2"/>
        <v/>
      </c>
      <c r="B170" s="4"/>
      <c r="C170" s="4"/>
      <c r="D170" s="4"/>
      <c r="E170" s="4"/>
      <c r="F170" s="5"/>
      <c r="G170" s="3"/>
    </row>
    <row r="171" spans="1:7" ht="19.5" customHeight="1" x14ac:dyDescent="0.3">
      <c r="A171" s="6" t="str">
        <f t="shared" si="2"/>
        <v/>
      </c>
      <c r="B171" s="7"/>
      <c r="C171" s="7"/>
      <c r="D171" s="7"/>
      <c r="E171" s="7"/>
      <c r="F171" s="8"/>
      <c r="G171" s="6"/>
    </row>
    <row r="172" spans="1:7" ht="19.5" customHeight="1" x14ac:dyDescent="0.3">
      <c r="A172" s="3" t="str">
        <f t="shared" si="2"/>
        <v/>
      </c>
      <c r="B172" s="4"/>
      <c r="C172" s="4"/>
      <c r="D172" s="4"/>
      <c r="E172" s="4"/>
      <c r="F172" s="5"/>
      <c r="G172" s="3"/>
    </row>
    <row r="173" spans="1:7" ht="19.5" customHeight="1" x14ac:dyDescent="0.3">
      <c r="A173" s="6" t="str">
        <f t="shared" si="2"/>
        <v/>
      </c>
      <c r="B173" s="7"/>
      <c r="C173" s="7"/>
      <c r="D173" s="7"/>
      <c r="E173" s="7"/>
      <c r="F173" s="8"/>
      <c r="G173" s="6"/>
    </row>
    <row r="174" spans="1:7" ht="19.5" customHeight="1" x14ac:dyDescent="0.3">
      <c r="A174" s="3" t="str">
        <f t="shared" si="2"/>
        <v/>
      </c>
      <c r="B174" s="4"/>
      <c r="C174" s="4"/>
      <c r="D174" s="4"/>
      <c r="E174" s="4"/>
      <c r="F174" s="5"/>
      <c r="G174" s="3"/>
    </row>
    <row r="175" spans="1:7" ht="19.5" customHeight="1" x14ac:dyDescent="0.3">
      <c r="A175" s="6" t="str">
        <f t="shared" si="2"/>
        <v/>
      </c>
      <c r="B175" s="7"/>
      <c r="C175" s="7"/>
      <c r="D175" s="7"/>
      <c r="E175" s="7"/>
      <c r="F175" s="8"/>
      <c r="G175" s="6"/>
    </row>
    <row r="176" spans="1:7" ht="19.5" customHeight="1" x14ac:dyDescent="0.3">
      <c r="A176" s="3" t="str">
        <f t="shared" si="2"/>
        <v/>
      </c>
      <c r="B176" s="4"/>
      <c r="C176" s="4"/>
      <c r="D176" s="4"/>
      <c r="E176" s="4"/>
      <c r="F176" s="5"/>
      <c r="G176" s="3"/>
    </row>
    <row r="177" spans="1:7" ht="19.5" customHeight="1" x14ac:dyDescent="0.3">
      <c r="A177" s="6" t="str">
        <f t="shared" si="2"/>
        <v/>
      </c>
      <c r="B177" s="7"/>
      <c r="C177" s="7"/>
      <c r="D177" s="7"/>
      <c r="E177" s="7"/>
      <c r="F177" s="8"/>
      <c r="G177" s="6"/>
    </row>
    <row r="178" spans="1:7" ht="19.5" customHeight="1" x14ac:dyDescent="0.3">
      <c r="A178" s="3" t="str">
        <f t="shared" si="2"/>
        <v/>
      </c>
      <c r="B178" s="4"/>
      <c r="C178" s="4"/>
      <c r="D178" s="4"/>
      <c r="E178" s="4"/>
      <c r="F178" s="5"/>
      <c r="G178" s="3"/>
    </row>
    <row r="179" spans="1:7" ht="19.5" customHeight="1" x14ac:dyDescent="0.3">
      <c r="A179" s="6" t="str">
        <f t="shared" si="2"/>
        <v/>
      </c>
      <c r="B179" s="7"/>
      <c r="C179" s="7"/>
      <c r="D179" s="7"/>
      <c r="E179" s="7"/>
      <c r="F179" s="8"/>
      <c r="G179" s="6"/>
    </row>
    <row r="180" spans="1:7" ht="19.5" customHeight="1" x14ac:dyDescent="0.3">
      <c r="A180" s="3" t="str">
        <f t="shared" si="2"/>
        <v/>
      </c>
      <c r="B180" s="4"/>
      <c r="C180" s="4"/>
      <c r="D180" s="4"/>
      <c r="E180" s="4"/>
      <c r="F180" s="5"/>
      <c r="G180" s="3"/>
    </row>
    <row r="181" spans="1:7" ht="19.5" customHeight="1" x14ac:dyDescent="0.3">
      <c r="A181" s="6" t="str">
        <f t="shared" si="2"/>
        <v/>
      </c>
      <c r="B181" s="7"/>
      <c r="C181" s="7"/>
      <c r="D181" s="7"/>
      <c r="E181" s="7"/>
      <c r="F181" s="8"/>
      <c r="G181" s="6"/>
    </row>
    <row r="182" spans="1:7" ht="19.5" customHeight="1" x14ac:dyDescent="0.3">
      <c r="A182" s="3" t="str">
        <f t="shared" si="2"/>
        <v/>
      </c>
      <c r="B182" s="4"/>
      <c r="C182" s="4"/>
      <c r="D182" s="4"/>
      <c r="E182" s="4"/>
      <c r="F182" s="5"/>
      <c r="G182" s="3"/>
    </row>
    <row r="183" spans="1:7" ht="19.5" customHeight="1" x14ac:dyDescent="0.3">
      <c r="A183" s="6" t="str">
        <f t="shared" si="2"/>
        <v/>
      </c>
      <c r="B183" s="7"/>
      <c r="C183" s="7"/>
      <c r="D183" s="7"/>
      <c r="E183" s="7"/>
      <c r="F183" s="8"/>
      <c r="G183" s="6"/>
    </row>
    <row r="184" spans="1:7" ht="19.5" customHeight="1" x14ac:dyDescent="0.3">
      <c r="A184" s="3" t="str">
        <f t="shared" si="2"/>
        <v/>
      </c>
      <c r="B184" s="4"/>
      <c r="C184" s="4"/>
      <c r="D184" s="4"/>
      <c r="E184" s="4"/>
      <c r="F184" s="5"/>
      <c r="G184" s="3"/>
    </row>
    <row r="185" spans="1:7" ht="19.5" customHeight="1" x14ac:dyDescent="0.3">
      <c r="A185" s="6" t="str">
        <f t="shared" si="2"/>
        <v/>
      </c>
      <c r="B185" s="7"/>
      <c r="C185" s="7"/>
      <c r="D185" s="7"/>
      <c r="E185" s="7"/>
      <c r="F185" s="8"/>
      <c r="G185" s="6"/>
    </row>
    <row r="186" spans="1:7" ht="19.5" customHeight="1" x14ac:dyDescent="0.3">
      <c r="A186" s="3" t="str">
        <f t="shared" si="2"/>
        <v/>
      </c>
      <c r="B186" s="4"/>
      <c r="C186" s="4"/>
      <c r="D186" s="4"/>
      <c r="E186" s="4"/>
      <c r="F186" s="5"/>
      <c r="G186" s="3"/>
    </row>
    <row r="187" spans="1:7" ht="19.5" customHeight="1" x14ac:dyDescent="0.3">
      <c r="A187" s="6" t="str">
        <f t="shared" si="2"/>
        <v/>
      </c>
      <c r="B187" s="7"/>
      <c r="C187" s="7"/>
      <c r="D187" s="7"/>
      <c r="E187" s="7"/>
      <c r="F187" s="8"/>
      <c r="G187" s="6"/>
    </row>
    <row r="188" spans="1:7" ht="19.5" customHeight="1" x14ac:dyDescent="0.3">
      <c r="A188" s="3" t="str">
        <f t="shared" si="2"/>
        <v/>
      </c>
      <c r="B188" s="4"/>
      <c r="C188" s="4"/>
      <c r="D188" s="4"/>
      <c r="E188" s="4"/>
      <c r="F188" s="5"/>
      <c r="G188" s="3"/>
    </row>
    <row r="189" spans="1:7" ht="19.5" customHeight="1" x14ac:dyDescent="0.3">
      <c r="A189" s="6" t="str">
        <f t="shared" si="2"/>
        <v/>
      </c>
      <c r="B189" s="7"/>
      <c r="C189" s="7"/>
      <c r="D189" s="7"/>
      <c r="E189" s="7"/>
      <c r="F189" s="8"/>
      <c r="G189" s="6"/>
    </row>
    <row r="190" spans="1:7" ht="19.5" customHeight="1" x14ac:dyDescent="0.3">
      <c r="A190" s="3" t="str">
        <f t="shared" si="2"/>
        <v/>
      </c>
      <c r="B190" s="4"/>
      <c r="C190" s="4"/>
      <c r="D190" s="4"/>
      <c r="E190" s="4"/>
      <c r="F190" s="5"/>
      <c r="G190" s="3"/>
    </row>
    <row r="191" spans="1:7" ht="19.5" customHeight="1" x14ac:dyDescent="0.3">
      <c r="A191" s="6" t="str">
        <f t="shared" si="2"/>
        <v/>
      </c>
      <c r="B191" s="7"/>
      <c r="C191" s="7"/>
      <c r="D191" s="7"/>
      <c r="E191" s="7"/>
      <c r="F191" s="8"/>
      <c r="G191" s="6"/>
    </row>
    <row r="192" spans="1:7" ht="19.5" customHeight="1" x14ac:dyDescent="0.3">
      <c r="A192" s="3" t="str">
        <f t="shared" si="2"/>
        <v/>
      </c>
      <c r="B192" s="4"/>
      <c r="C192" s="4"/>
      <c r="D192" s="4"/>
      <c r="E192" s="4"/>
      <c r="F192" s="5"/>
      <c r="G192" s="3"/>
    </row>
    <row r="193" spans="1:7" ht="19.5" customHeight="1" x14ac:dyDescent="0.3">
      <c r="A193" s="6" t="str">
        <f t="shared" si="2"/>
        <v/>
      </c>
      <c r="B193" s="7"/>
      <c r="C193" s="7"/>
      <c r="D193" s="7"/>
      <c r="E193" s="7"/>
      <c r="F193" s="8"/>
      <c r="G193" s="6"/>
    </row>
    <row r="194" spans="1:7" ht="19.5" customHeight="1" x14ac:dyDescent="0.3">
      <c r="A194" s="3" t="str">
        <f t="shared" si="2"/>
        <v/>
      </c>
      <c r="B194" s="4"/>
      <c r="C194" s="4"/>
      <c r="D194" s="4"/>
      <c r="E194" s="4"/>
      <c r="F194" s="5"/>
      <c r="G194" s="3"/>
    </row>
    <row r="195" spans="1:7" ht="19.5" customHeight="1" x14ac:dyDescent="0.3">
      <c r="A195" s="6" t="str">
        <f t="shared" si="2"/>
        <v/>
      </c>
      <c r="B195" s="7"/>
      <c r="C195" s="7"/>
      <c r="D195" s="7"/>
      <c r="E195" s="7"/>
      <c r="F195" s="8"/>
      <c r="G195" s="6"/>
    </row>
    <row r="196" spans="1:7" ht="19.5" customHeight="1" x14ac:dyDescent="0.3">
      <c r="A196" s="3" t="str">
        <f t="shared" ref="A196:A259" si="3">IF(B196&lt;&gt;"",ROW()-3,"")</f>
        <v/>
      </c>
      <c r="B196" s="4"/>
      <c r="C196" s="4"/>
      <c r="D196" s="4"/>
      <c r="E196" s="4"/>
      <c r="F196" s="5"/>
      <c r="G196" s="3"/>
    </row>
    <row r="197" spans="1:7" ht="19.5" customHeight="1" x14ac:dyDescent="0.3">
      <c r="A197" s="6" t="str">
        <f t="shared" si="3"/>
        <v/>
      </c>
      <c r="B197" s="7"/>
      <c r="C197" s="7"/>
      <c r="D197" s="7"/>
      <c r="E197" s="7"/>
      <c r="F197" s="8"/>
      <c r="G197" s="6"/>
    </row>
    <row r="198" spans="1:7" ht="19.5" customHeight="1" x14ac:dyDescent="0.3">
      <c r="A198" s="3" t="str">
        <f t="shared" si="3"/>
        <v/>
      </c>
      <c r="B198" s="4"/>
      <c r="C198" s="4"/>
      <c r="D198" s="4"/>
      <c r="E198" s="4"/>
      <c r="F198" s="5"/>
      <c r="G198" s="3"/>
    </row>
    <row r="199" spans="1:7" ht="19.5" customHeight="1" x14ac:dyDescent="0.3">
      <c r="A199" s="6" t="str">
        <f t="shared" si="3"/>
        <v/>
      </c>
      <c r="B199" s="7"/>
      <c r="C199" s="7"/>
      <c r="D199" s="7"/>
      <c r="E199" s="7"/>
      <c r="F199" s="8"/>
      <c r="G199" s="6"/>
    </row>
    <row r="200" spans="1:7" ht="19.5" customHeight="1" x14ac:dyDescent="0.3">
      <c r="A200" s="3" t="str">
        <f t="shared" si="3"/>
        <v/>
      </c>
      <c r="B200" s="4"/>
      <c r="C200" s="4"/>
      <c r="D200" s="4"/>
      <c r="E200" s="4"/>
      <c r="F200" s="5"/>
      <c r="G200" s="3"/>
    </row>
    <row r="201" spans="1:7" ht="19.5" customHeight="1" x14ac:dyDescent="0.3">
      <c r="A201" s="6" t="str">
        <f t="shared" si="3"/>
        <v/>
      </c>
      <c r="B201" s="7"/>
      <c r="C201" s="7"/>
      <c r="D201" s="7"/>
      <c r="E201" s="7"/>
      <c r="F201" s="8"/>
      <c r="G201" s="6"/>
    </row>
    <row r="202" spans="1:7" ht="19.5" customHeight="1" x14ac:dyDescent="0.3">
      <c r="A202" s="3" t="str">
        <f t="shared" si="3"/>
        <v/>
      </c>
      <c r="B202" s="4"/>
      <c r="C202" s="4"/>
      <c r="D202" s="4"/>
      <c r="E202" s="4"/>
      <c r="F202" s="5"/>
      <c r="G202" s="3"/>
    </row>
    <row r="203" spans="1:7" ht="19.5" customHeight="1" x14ac:dyDescent="0.3">
      <c r="A203" s="6" t="str">
        <f t="shared" si="3"/>
        <v/>
      </c>
      <c r="B203" s="7"/>
      <c r="C203" s="7"/>
      <c r="D203" s="7"/>
      <c r="E203" s="7"/>
      <c r="F203" s="8"/>
      <c r="G203" s="6"/>
    </row>
    <row r="204" spans="1:7" ht="19.5" customHeight="1" x14ac:dyDescent="0.3">
      <c r="A204" s="3" t="str">
        <f t="shared" si="3"/>
        <v/>
      </c>
      <c r="B204" s="4"/>
      <c r="C204" s="4"/>
      <c r="D204" s="4"/>
      <c r="E204" s="4"/>
      <c r="F204" s="5"/>
      <c r="G204" s="3"/>
    </row>
    <row r="205" spans="1:7" ht="19.5" customHeight="1" x14ac:dyDescent="0.3">
      <c r="A205" s="6" t="str">
        <f t="shared" si="3"/>
        <v/>
      </c>
      <c r="B205" s="7"/>
      <c r="C205" s="7"/>
      <c r="D205" s="7"/>
      <c r="E205" s="7"/>
      <c r="F205" s="8"/>
      <c r="G205" s="6"/>
    </row>
    <row r="206" spans="1:7" ht="19.5" customHeight="1" x14ac:dyDescent="0.3">
      <c r="A206" s="3" t="str">
        <f t="shared" si="3"/>
        <v/>
      </c>
      <c r="B206" s="4"/>
      <c r="C206" s="4"/>
      <c r="D206" s="4"/>
      <c r="E206" s="4"/>
      <c r="F206" s="5"/>
      <c r="G206" s="3"/>
    </row>
    <row r="207" spans="1:7" ht="19.5" customHeight="1" x14ac:dyDescent="0.3">
      <c r="A207" s="6" t="str">
        <f t="shared" si="3"/>
        <v/>
      </c>
      <c r="B207" s="7"/>
      <c r="C207" s="7"/>
      <c r="D207" s="7"/>
      <c r="E207" s="7"/>
      <c r="F207" s="8"/>
      <c r="G207" s="6"/>
    </row>
    <row r="208" spans="1:7" ht="19.5" customHeight="1" x14ac:dyDescent="0.3">
      <c r="A208" s="3" t="str">
        <f t="shared" si="3"/>
        <v/>
      </c>
      <c r="B208" s="4"/>
      <c r="C208" s="4"/>
      <c r="D208" s="4"/>
      <c r="E208" s="4"/>
      <c r="F208" s="5"/>
      <c r="G208" s="3"/>
    </row>
    <row r="209" spans="1:7" ht="19.5" customHeight="1" x14ac:dyDescent="0.3">
      <c r="A209" s="6" t="str">
        <f t="shared" si="3"/>
        <v/>
      </c>
      <c r="B209" s="7"/>
      <c r="C209" s="7"/>
      <c r="D209" s="7"/>
      <c r="E209" s="7"/>
      <c r="F209" s="8"/>
      <c r="G209" s="6"/>
    </row>
    <row r="210" spans="1:7" ht="19.5" customHeight="1" x14ac:dyDescent="0.3">
      <c r="A210" s="3" t="str">
        <f t="shared" si="3"/>
        <v/>
      </c>
      <c r="B210" s="4"/>
      <c r="C210" s="4"/>
      <c r="D210" s="4"/>
      <c r="E210" s="4"/>
      <c r="F210" s="5"/>
      <c r="G210" s="3"/>
    </row>
    <row r="211" spans="1:7" ht="19.5" customHeight="1" x14ac:dyDescent="0.3">
      <c r="A211" s="6" t="str">
        <f t="shared" si="3"/>
        <v/>
      </c>
      <c r="B211" s="7"/>
      <c r="C211" s="7"/>
      <c r="D211" s="7"/>
      <c r="E211" s="7"/>
      <c r="F211" s="8"/>
      <c r="G211" s="6"/>
    </row>
    <row r="212" spans="1:7" ht="19.5" customHeight="1" x14ac:dyDescent="0.3">
      <c r="A212" s="3" t="str">
        <f t="shared" si="3"/>
        <v/>
      </c>
      <c r="B212" s="4"/>
      <c r="C212" s="4"/>
      <c r="D212" s="4"/>
      <c r="E212" s="4"/>
      <c r="F212" s="5"/>
      <c r="G212" s="3"/>
    </row>
    <row r="213" spans="1:7" ht="19.5" customHeight="1" x14ac:dyDescent="0.3">
      <c r="A213" s="6" t="str">
        <f t="shared" si="3"/>
        <v/>
      </c>
      <c r="B213" s="7"/>
      <c r="C213" s="7"/>
      <c r="D213" s="7"/>
      <c r="E213" s="7"/>
      <c r="F213" s="8"/>
      <c r="G213" s="6"/>
    </row>
    <row r="214" spans="1:7" ht="19.5" customHeight="1" x14ac:dyDescent="0.3">
      <c r="A214" s="3" t="str">
        <f t="shared" si="3"/>
        <v/>
      </c>
      <c r="B214" s="4"/>
      <c r="C214" s="4"/>
      <c r="D214" s="4"/>
      <c r="E214" s="4"/>
      <c r="F214" s="5"/>
      <c r="G214" s="3"/>
    </row>
    <row r="215" spans="1:7" ht="19.5" customHeight="1" x14ac:dyDescent="0.3">
      <c r="A215" s="6" t="str">
        <f t="shared" si="3"/>
        <v/>
      </c>
      <c r="B215" s="7"/>
      <c r="C215" s="7"/>
      <c r="D215" s="7"/>
      <c r="E215" s="7"/>
      <c r="F215" s="8"/>
      <c r="G215" s="6"/>
    </row>
    <row r="216" spans="1:7" ht="19.5" customHeight="1" x14ac:dyDescent="0.3">
      <c r="A216" s="3" t="str">
        <f t="shared" si="3"/>
        <v/>
      </c>
      <c r="B216" s="4"/>
      <c r="C216" s="4"/>
      <c r="D216" s="4"/>
      <c r="E216" s="4"/>
      <c r="F216" s="5"/>
      <c r="G216" s="3"/>
    </row>
    <row r="217" spans="1:7" ht="19.5" customHeight="1" x14ac:dyDescent="0.3">
      <c r="A217" s="6" t="str">
        <f t="shared" si="3"/>
        <v/>
      </c>
      <c r="B217" s="7"/>
      <c r="C217" s="7"/>
      <c r="D217" s="7"/>
      <c r="E217" s="7"/>
      <c r="F217" s="8"/>
      <c r="G217" s="6"/>
    </row>
    <row r="218" spans="1:7" ht="19.5" customHeight="1" x14ac:dyDescent="0.3">
      <c r="A218" s="3" t="str">
        <f t="shared" si="3"/>
        <v/>
      </c>
      <c r="B218" s="4"/>
      <c r="C218" s="4"/>
      <c r="D218" s="4"/>
      <c r="E218" s="4"/>
      <c r="F218" s="5"/>
      <c r="G218" s="3"/>
    </row>
    <row r="219" spans="1:7" ht="19.5" customHeight="1" x14ac:dyDescent="0.3">
      <c r="A219" s="6" t="str">
        <f t="shared" si="3"/>
        <v/>
      </c>
      <c r="B219" s="7"/>
      <c r="C219" s="7"/>
      <c r="D219" s="7"/>
      <c r="E219" s="7"/>
      <c r="F219" s="8"/>
      <c r="G219" s="6"/>
    </row>
    <row r="220" spans="1:7" ht="19.5" customHeight="1" x14ac:dyDescent="0.3">
      <c r="A220" s="3" t="str">
        <f t="shared" si="3"/>
        <v/>
      </c>
      <c r="B220" s="4"/>
      <c r="C220" s="4"/>
      <c r="D220" s="4"/>
      <c r="E220" s="4"/>
      <c r="F220" s="5"/>
      <c r="G220" s="3"/>
    </row>
    <row r="221" spans="1:7" ht="19.5" customHeight="1" x14ac:dyDescent="0.3">
      <c r="A221" s="6" t="str">
        <f t="shared" si="3"/>
        <v/>
      </c>
      <c r="B221" s="7"/>
      <c r="C221" s="7"/>
      <c r="D221" s="7"/>
      <c r="E221" s="7"/>
      <c r="F221" s="8"/>
      <c r="G221" s="6"/>
    </row>
    <row r="222" spans="1:7" ht="19.5" customHeight="1" x14ac:dyDescent="0.3">
      <c r="A222" s="3" t="str">
        <f t="shared" si="3"/>
        <v/>
      </c>
      <c r="B222" s="4"/>
      <c r="C222" s="4"/>
      <c r="D222" s="4"/>
      <c r="E222" s="4"/>
      <c r="F222" s="5"/>
      <c r="G222" s="3"/>
    </row>
    <row r="223" spans="1:7" ht="19.5" customHeight="1" x14ac:dyDescent="0.3">
      <c r="A223" s="6" t="str">
        <f t="shared" si="3"/>
        <v/>
      </c>
      <c r="B223" s="7"/>
      <c r="C223" s="7"/>
      <c r="D223" s="7"/>
      <c r="E223" s="7"/>
      <c r="F223" s="8"/>
      <c r="G223" s="6"/>
    </row>
    <row r="224" spans="1:7" ht="19.5" customHeight="1" x14ac:dyDescent="0.3">
      <c r="A224" s="3" t="str">
        <f t="shared" si="3"/>
        <v/>
      </c>
      <c r="B224" s="4"/>
      <c r="C224" s="4"/>
      <c r="D224" s="4"/>
      <c r="E224" s="4"/>
      <c r="F224" s="5"/>
      <c r="G224" s="3"/>
    </row>
    <row r="225" spans="1:7" ht="19.5" customHeight="1" x14ac:dyDescent="0.3">
      <c r="A225" s="6" t="str">
        <f t="shared" si="3"/>
        <v/>
      </c>
      <c r="B225" s="7"/>
      <c r="C225" s="7"/>
      <c r="D225" s="7"/>
      <c r="E225" s="7"/>
      <c r="F225" s="8"/>
      <c r="G225" s="6"/>
    </row>
    <row r="226" spans="1:7" ht="19.5" customHeight="1" x14ac:dyDescent="0.3">
      <c r="A226" s="3" t="str">
        <f t="shared" si="3"/>
        <v/>
      </c>
      <c r="B226" s="4"/>
      <c r="C226" s="4"/>
      <c r="D226" s="4"/>
      <c r="E226" s="4"/>
      <c r="F226" s="5"/>
      <c r="G226" s="3"/>
    </row>
    <row r="227" spans="1:7" ht="19.5" customHeight="1" x14ac:dyDescent="0.3">
      <c r="A227" s="6" t="str">
        <f t="shared" si="3"/>
        <v/>
      </c>
      <c r="B227" s="7"/>
      <c r="C227" s="7"/>
      <c r="D227" s="7"/>
      <c r="E227" s="7"/>
      <c r="F227" s="8"/>
      <c r="G227" s="6"/>
    </row>
    <row r="228" spans="1:7" ht="19.5" customHeight="1" x14ac:dyDescent="0.3">
      <c r="A228" s="3" t="str">
        <f t="shared" si="3"/>
        <v/>
      </c>
      <c r="B228" s="4"/>
      <c r="C228" s="4"/>
      <c r="D228" s="4"/>
      <c r="E228" s="4"/>
      <c r="F228" s="5"/>
      <c r="G228" s="3"/>
    </row>
    <row r="229" spans="1:7" ht="19.5" customHeight="1" x14ac:dyDescent="0.3">
      <c r="A229" s="6" t="str">
        <f t="shared" si="3"/>
        <v/>
      </c>
      <c r="B229" s="7"/>
      <c r="C229" s="7"/>
      <c r="D229" s="7"/>
      <c r="E229" s="7"/>
      <c r="F229" s="8"/>
      <c r="G229" s="6"/>
    </row>
    <row r="230" spans="1:7" ht="19.5" customHeight="1" x14ac:dyDescent="0.3">
      <c r="A230" s="3" t="str">
        <f t="shared" si="3"/>
        <v/>
      </c>
      <c r="B230" s="4"/>
      <c r="C230" s="4"/>
      <c r="D230" s="4"/>
      <c r="E230" s="4"/>
      <c r="F230" s="5"/>
      <c r="G230" s="3"/>
    </row>
    <row r="231" spans="1:7" ht="19.5" customHeight="1" x14ac:dyDescent="0.3">
      <c r="A231" s="6" t="str">
        <f t="shared" si="3"/>
        <v/>
      </c>
      <c r="B231" s="7"/>
      <c r="C231" s="7"/>
      <c r="D231" s="7"/>
      <c r="E231" s="7"/>
      <c r="F231" s="8"/>
      <c r="G231" s="6"/>
    </row>
    <row r="232" spans="1:7" ht="19.5" customHeight="1" x14ac:dyDescent="0.3">
      <c r="A232" s="3" t="str">
        <f t="shared" si="3"/>
        <v/>
      </c>
      <c r="B232" s="4"/>
      <c r="C232" s="4"/>
      <c r="D232" s="4"/>
      <c r="E232" s="4"/>
      <c r="F232" s="5"/>
      <c r="G232" s="3"/>
    </row>
    <row r="233" spans="1:7" ht="19.5" customHeight="1" x14ac:dyDescent="0.3">
      <c r="A233" s="6" t="str">
        <f t="shared" si="3"/>
        <v/>
      </c>
      <c r="B233" s="7"/>
      <c r="C233" s="7"/>
      <c r="D233" s="7"/>
      <c r="E233" s="7"/>
      <c r="F233" s="8"/>
      <c r="G233" s="6"/>
    </row>
    <row r="234" spans="1:7" ht="19.5" customHeight="1" x14ac:dyDescent="0.3">
      <c r="A234" s="3" t="str">
        <f t="shared" si="3"/>
        <v/>
      </c>
      <c r="B234" s="4"/>
      <c r="C234" s="4"/>
      <c r="D234" s="4"/>
      <c r="E234" s="4"/>
      <c r="F234" s="5"/>
      <c r="G234" s="3"/>
    </row>
    <row r="235" spans="1:7" ht="19.5" customHeight="1" x14ac:dyDescent="0.3">
      <c r="A235" s="6" t="str">
        <f t="shared" si="3"/>
        <v/>
      </c>
      <c r="B235" s="7"/>
      <c r="C235" s="7"/>
      <c r="D235" s="7"/>
      <c r="E235" s="7"/>
      <c r="F235" s="8"/>
      <c r="G235" s="6"/>
    </row>
    <row r="236" spans="1:7" ht="19.5" customHeight="1" x14ac:dyDescent="0.3">
      <c r="A236" s="3" t="str">
        <f t="shared" si="3"/>
        <v/>
      </c>
      <c r="B236" s="4"/>
      <c r="C236" s="4"/>
      <c r="D236" s="4"/>
      <c r="E236" s="4"/>
      <c r="F236" s="5"/>
      <c r="G236" s="3"/>
    </row>
    <row r="237" spans="1:7" ht="19.5" customHeight="1" x14ac:dyDescent="0.3">
      <c r="A237" s="6" t="str">
        <f t="shared" si="3"/>
        <v/>
      </c>
      <c r="B237" s="7"/>
      <c r="C237" s="7"/>
      <c r="D237" s="7"/>
      <c r="E237" s="7"/>
      <c r="F237" s="8"/>
      <c r="G237" s="6"/>
    </row>
    <row r="238" spans="1:7" ht="19.5" customHeight="1" x14ac:dyDescent="0.3">
      <c r="A238" s="3" t="str">
        <f t="shared" si="3"/>
        <v/>
      </c>
      <c r="B238" s="4"/>
      <c r="C238" s="4"/>
      <c r="D238" s="4"/>
      <c r="E238" s="4"/>
      <c r="F238" s="5"/>
      <c r="G238" s="3"/>
    </row>
    <row r="239" spans="1:7" ht="19.5" customHeight="1" x14ac:dyDescent="0.3">
      <c r="A239" s="6" t="str">
        <f t="shared" si="3"/>
        <v/>
      </c>
      <c r="B239" s="7"/>
      <c r="C239" s="7"/>
      <c r="D239" s="7"/>
      <c r="E239" s="7"/>
      <c r="F239" s="8"/>
      <c r="G239" s="6"/>
    </row>
    <row r="240" spans="1:7" ht="19.5" customHeight="1" x14ac:dyDescent="0.3">
      <c r="A240" s="3" t="str">
        <f t="shared" si="3"/>
        <v/>
      </c>
      <c r="B240" s="4"/>
      <c r="C240" s="4"/>
      <c r="D240" s="4"/>
      <c r="E240" s="4"/>
      <c r="F240" s="5"/>
      <c r="G240" s="3"/>
    </row>
    <row r="241" spans="1:7" ht="19.5" customHeight="1" x14ac:dyDescent="0.3">
      <c r="A241" s="6" t="str">
        <f t="shared" si="3"/>
        <v/>
      </c>
      <c r="B241" s="7"/>
      <c r="C241" s="7"/>
      <c r="D241" s="7"/>
      <c r="E241" s="7"/>
      <c r="F241" s="8"/>
      <c r="G241" s="6"/>
    </row>
    <row r="242" spans="1:7" ht="19.5" customHeight="1" x14ac:dyDescent="0.3">
      <c r="A242" s="3" t="str">
        <f t="shared" si="3"/>
        <v/>
      </c>
      <c r="B242" s="4"/>
      <c r="C242" s="4"/>
      <c r="D242" s="4"/>
      <c r="E242" s="4"/>
      <c r="F242" s="5"/>
      <c r="G242" s="3"/>
    </row>
    <row r="243" spans="1:7" ht="19.5" customHeight="1" x14ac:dyDescent="0.3">
      <c r="A243" s="6" t="str">
        <f t="shared" si="3"/>
        <v/>
      </c>
      <c r="B243" s="7"/>
      <c r="C243" s="7"/>
      <c r="D243" s="7"/>
      <c r="E243" s="7"/>
      <c r="F243" s="8"/>
      <c r="G243" s="6"/>
    </row>
    <row r="244" spans="1:7" ht="19.5" customHeight="1" x14ac:dyDescent="0.3">
      <c r="A244" s="3" t="str">
        <f t="shared" si="3"/>
        <v/>
      </c>
      <c r="B244" s="4"/>
      <c r="C244" s="4"/>
      <c r="D244" s="4"/>
      <c r="E244" s="4"/>
      <c r="F244" s="5"/>
      <c r="G244" s="3"/>
    </row>
    <row r="245" spans="1:7" ht="19.5" customHeight="1" x14ac:dyDescent="0.3">
      <c r="A245" s="6" t="str">
        <f t="shared" si="3"/>
        <v/>
      </c>
      <c r="B245" s="7"/>
      <c r="C245" s="7"/>
      <c r="D245" s="7"/>
      <c r="E245" s="7"/>
      <c r="F245" s="8"/>
      <c r="G245" s="6"/>
    </row>
    <row r="246" spans="1:7" ht="19.5" customHeight="1" x14ac:dyDescent="0.3">
      <c r="A246" s="3" t="str">
        <f t="shared" si="3"/>
        <v/>
      </c>
      <c r="B246" s="4"/>
      <c r="C246" s="4"/>
      <c r="D246" s="4"/>
      <c r="E246" s="4"/>
      <c r="F246" s="5"/>
      <c r="G246" s="3"/>
    </row>
    <row r="247" spans="1:7" ht="19.5" customHeight="1" x14ac:dyDescent="0.3">
      <c r="A247" s="6" t="str">
        <f t="shared" si="3"/>
        <v/>
      </c>
      <c r="B247" s="7"/>
      <c r="C247" s="7"/>
      <c r="D247" s="7"/>
      <c r="E247" s="7"/>
      <c r="F247" s="8"/>
      <c r="G247" s="6"/>
    </row>
    <row r="248" spans="1:7" ht="19.5" customHeight="1" x14ac:dyDescent="0.3">
      <c r="A248" s="3" t="str">
        <f t="shared" si="3"/>
        <v/>
      </c>
      <c r="B248" s="4"/>
      <c r="C248" s="4"/>
      <c r="D248" s="4"/>
      <c r="E248" s="4"/>
      <c r="F248" s="5"/>
      <c r="G248" s="3"/>
    </row>
    <row r="249" spans="1:7" ht="19.5" customHeight="1" x14ac:dyDescent="0.3">
      <c r="A249" s="6" t="str">
        <f t="shared" si="3"/>
        <v/>
      </c>
      <c r="B249" s="7"/>
      <c r="C249" s="7"/>
      <c r="D249" s="7"/>
      <c r="E249" s="7"/>
      <c r="F249" s="8"/>
      <c r="G249" s="6"/>
    </row>
    <row r="250" spans="1:7" ht="19.5" customHeight="1" x14ac:dyDescent="0.3">
      <c r="A250" s="3" t="str">
        <f t="shared" si="3"/>
        <v/>
      </c>
      <c r="B250" s="4"/>
      <c r="C250" s="4"/>
      <c r="D250" s="4"/>
      <c r="E250" s="4"/>
      <c r="F250" s="5"/>
      <c r="G250" s="3"/>
    </row>
    <row r="251" spans="1:7" ht="19.5" customHeight="1" x14ac:dyDescent="0.3">
      <c r="A251" s="6" t="str">
        <f t="shared" si="3"/>
        <v/>
      </c>
      <c r="B251" s="7"/>
      <c r="C251" s="7"/>
      <c r="D251" s="7"/>
      <c r="E251" s="7"/>
      <c r="F251" s="8"/>
      <c r="G251" s="6"/>
    </row>
    <row r="252" spans="1:7" ht="19.5" customHeight="1" x14ac:dyDescent="0.3">
      <c r="A252" s="3" t="str">
        <f t="shared" si="3"/>
        <v/>
      </c>
      <c r="B252" s="4"/>
      <c r="C252" s="4"/>
      <c r="D252" s="4"/>
      <c r="E252" s="4"/>
      <c r="F252" s="5"/>
      <c r="G252" s="3"/>
    </row>
    <row r="253" spans="1:7" ht="19.5" customHeight="1" x14ac:dyDescent="0.3">
      <c r="A253" s="6" t="str">
        <f t="shared" si="3"/>
        <v/>
      </c>
      <c r="B253" s="7"/>
      <c r="C253" s="7"/>
      <c r="D253" s="7"/>
      <c r="E253" s="7"/>
      <c r="F253" s="8"/>
      <c r="G253" s="6"/>
    </row>
    <row r="254" spans="1:7" ht="19.5" customHeight="1" x14ac:dyDescent="0.3">
      <c r="A254" s="3" t="str">
        <f t="shared" si="3"/>
        <v/>
      </c>
      <c r="B254" s="4"/>
      <c r="C254" s="4"/>
      <c r="D254" s="4"/>
      <c r="E254" s="4"/>
      <c r="F254" s="5"/>
      <c r="G254" s="3"/>
    </row>
    <row r="255" spans="1:7" ht="19.5" customHeight="1" x14ac:dyDescent="0.3">
      <c r="A255" s="6" t="str">
        <f t="shared" si="3"/>
        <v/>
      </c>
      <c r="B255" s="7"/>
      <c r="C255" s="7"/>
      <c r="D255" s="7"/>
      <c r="E255" s="7"/>
      <c r="F255" s="8"/>
      <c r="G255" s="6"/>
    </row>
    <row r="256" spans="1:7" ht="19.5" customHeight="1" x14ac:dyDescent="0.3">
      <c r="A256" s="3" t="str">
        <f t="shared" si="3"/>
        <v/>
      </c>
      <c r="B256" s="4"/>
      <c r="C256" s="4"/>
      <c r="D256" s="4"/>
      <c r="E256" s="4"/>
      <c r="F256" s="5"/>
      <c r="G256" s="3"/>
    </row>
    <row r="257" spans="1:7" ht="19.5" customHeight="1" x14ac:dyDescent="0.3">
      <c r="A257" s="6" t="str">
        <f t="shared" si="3"/>
        <v/>
      </c>
      <c r="B257" s="7"/>
      <c r="C257" s="7"/>
      <c r="D257" s="7"/>
      <c r="E257" s="7"/>
      <c r="F257" s="8"/>
      <c r="G257" s="6"/>
    </row>
    <row r="258" spans="1:7" ht="19.5" customHeight="1" x14ac:dyDescent="0.3">
      <c r="A258" s="3" t="str">
        <f t="shared" si="3"/>
        <v/>
      </c>
      <c r="B258" s="4"/>
      <c r="C258" s="4"/>
      <c r="D258" s="4"/>
      <c r="E258" s="4"/>
      <c r="F258" s="5"/>
      <c r="G258" s="3"/>
    </row>
    <row r="259" spans="1:7" ht="19.5" customHeight="1" x14ac:dyDescent="0.3">
      <c r="A259" s="6" t="str">
        <f t="shared" si="3"/>
        <v/>
      </c>
      <c r="B259" s="7"/>
      <c r="C259" s="7"/>
      <c r="D259" s="7"/>
      <c r="E259" s="7"/>
      <c r="F259" s="8"/>
      <c r="G259" s="6"/>
    </row>
    <row r="260" spans="1:7" ht="19.5" customHeight="1" x14ac:dyDescent="0.3">
      <c r="A260" s="3" t="str">
        <f t="shared" ref="A260:A303" si="4">IF(B260&lt;&gt;"",ROW()-3,"")</f>
        <v/>
      </c>
      <c r="B260" s="4"/>
      <c r="C260" s="4"/>
      <c r="D260" s="4"/>
      <c r="E260" s="4"/>
      <c r="F260" s="5"/>
      <c r="G260" s="3"/>
    </row>
    <row r="261" spans="1:7" ht="19.5" customHeight="1" x14ac:dyDescent="0.3">
      <c r="A261" s="6" t="str">
        <f t="shared" si="4"/>
        <v/>
      </c>
      <c r="B261" s="7"/>
      <c r="C261" s="7"/>
      <c r="D261" s="7"/>
      <c r="E261" s="7"/>
      <c r="F261" s="8"/>
      <c r="G261" s="6"/>
    </row>
    <row r="262" spans="1:7" ht="19.5" customHeight="1" x14ac:dyDescent="0.3">
      <c r="A262" s="3" t="str">
        <f t="shared" si="4"/>
        <v/>
      </c>
      <c r="B262" s="4"/>
      <c r="C262" s="4"/>
      <c r="D262" s="4"/>
      <c r="E262" s="4"/>
      <c r="F262" s="5"/>
      <c r="G262" s="3"/>
    </row>
    <row r="263" spans="1:7" ht="19.5" customHeight="1" x14ac:dyDescent="0.3">
      <c r="A263" s="6" t="str">
        <f t="shared" si="4"/>
        <v/>
      </c>
      <c r="B263" s="7"/>
      <c r="C263" s="7"/>
      <c r="D263" s="7"/>
      <c r="E263" s="7"/>
      <c r="F263" s="8"/>
      <c r="G263" s="6"/>
    </row>
    <row r="264" spans="1:7" ht="19.5" customHeight="1" x14ac:dyDescent="0.3">
      <c r="A264" s="3" t="str">
        <f t="shared" si="4"/>
        <v/>
      </c>
      <c r="B264" s="4"/>
      <c r="C264" s="4"/>
      <c r="D264" s="4"/>
      <c r="E264" s="4"/>
      <c r="F264" s="5"/>
      <c r="G264" s="3"/>
    </row>
    <row r="265" spans="1:7" ht="19.5" customHeight="1" x14ac:dyDescent="0.3">
      <c r="A265" s="6" t="str">
        <f t="shared" si="4"/>
        <v/>
      </c>
      <c r="B265" s="7"/>
      <c r="C265" s="7"/>
      <c r="D265" s="7"/>
      <c r="E265" s="7"/>
      <c r="F265" s="8"/>
      <c r="G265" s="6"/>
    </row>
    <row r="266" spans="1:7" ht="19.5" customHeight="1" x14ac:dyDescent="0.3">
      <c r="A266" s="3" t="str">
        <f t="shared" si="4"/>
        <v/>
      </c>
      <c r="B266" s="4"/>
      <c r="C266" s="4"/>
      <c r="D266" s="4"/>
      <c r="E266" s="4"/>
      <c r="F266" s="5"/>
      <c r="G266" s="3"/>
    </row>
    <row r="267" spans="1:7" ht="19.5" customHeight="1" x14ac:dyDescent="0.3">
      <c r="A267" s="6" t="str">
        <f t="shared" si="4"/>
        <v/>
      </c>
      <c r="B267" s="7"/>
      <c r="C267" s="7"/>
      <c r="D267" s="7"/>
      <c r="E267" s="7"/>
      <c r="F267" s="8"/>
      <c r="G267" s="6"/>
    </row>
    <row r="268" spans="1:7" ht="19.5" customHeight="1" x14ac:dyDescent="0.3">
      <c r="A268" s="3" t="str">
        <f t="shared" si="4"/>
        <v/>
      </c>
      <c r="B268" s="4"/>
      <c r="C268" s="4"/>
      <c r="D268" s="4"/>
      <c r="E268" s="4"/>
      <c r="F268" s="5"/>
      <c r="G268" s="3"/>
    </row>
    <row r="269" spans="1:7" ht="19.5" customHeight="1" x14ac:dyDescent="0.3">
      <c r="A269" s="6" t="str">
        <f t="shared" si="4"/>
        <v/>
      </c>
      <c r="B269" s="7"/>
      <c r="C269" s="7"/>
      <c r="D269" s="7"/>
      <c r="E269" s="7"/>
      <c r="F269" s="8"/>
      <c r="G269" s="6"/>
    </row>
    <row r="270" spans="1:7" ht="19.5" customHeight="1" x14ac:dyDescent="0.3">
      <c r="A270" s="3" t="str">
        <f t="shared" si="4"/>
        <v/>
      </c>
      <c r="B270" s="4"/>
      <c r="C270" s="4"/>
      <c r="D270" s="4"/>
      <c r="E270" s="4"/>
      <c r="F270" s="5"/>
      <c r="G270" s="3"/>
    </row>
    <row r="271" spans="1:7" ht="19.5" customHeight="1" x14ac:dyDescent="0.3">
      <c r="A271" s="6" t="str">
        <f t="shared" si="4"/>
        <v/>
      </c>
      <c r="B271" s="7"/>
      <c r="C271" s="7"/>
      <c r="D271" s="7"/>
      <c r="E271" s="7"/>
      <c r="F271" s="8"/>
      <c r="G271" s="6"/>
    </row>
    <row r="272" spans="1:7" ht="19.5" customHeight="1" x14ac:dyDescent="0.3">
      <c r="A272" s="3" t="str">
        <f t="shared" si="4"/>
        <v/>
      </c>
      <c r="B272" s="4"/>
      <c r="C272" s="4"/>
      <c r="D272" s="4"/>
      <c r="E272" s="4"/>
      <c r="F272" s="5"/>
      <c r="G272" s="3"/>
    </row>
    <row r="273" spans="1:7" ht="19.5" customHeight="1" x14ac:dyDescent="0.3">
      <c r="A273" s="6" t="str">
        <f t="shared" si="4"/>
        <v/>
      </c>
      <c r="B273" s="7"/>
      <c r="C273" s="7"/>
      <c r="D273" s="7"/>
      <c r="E273" s="7"/>
      <c r="F273" s="8"/>
      <c r="G273" s="6"/>
    </row>
    <row r="274" spans="1:7" ht="19.5" customHeight="1" x14ac:dyDescent="0.3">
      <c r="A274" s="3" t="str">
        <f t="shared" si="4"/>
        <v/>
      </c>
      <c r="B274" s="4"/>
      <c r="C274" s="4"/>
      <c r="D274" s="4"/>
      <c r="E274" s="4"/>
      <c r="F274" s="5"/>
      <c r="G274" s="3"/>
    </row>
    <row r="275" spans="1:7" ht="19.5" customHeight="1" x14ac:dyDescent="0.3">
      <c r="A275" s="6" t="str">
        <f t="shared" si="4"/>
        <v/>
      </c>
      <c r="B275" s="7"/>
      <c r="C275" s="7"/>
      <c r="D275" s="7"/>
      <c r="E275" s="7"/>
      <c r="F275" s="8"/>
      <c r="G275" s="6"/>
    </row>
    <row r="276" spans="1:7" ht="19.5" customHeight="1" x14ac:dyDescent="0.3">
      <c r="A276" s="3" t="str">
        <f t="shared" si="4"/>
        <v/>
      </c>
      <c r="B276" s="4"/>
      <c r="C276" s="4"/>
      <c r="D276" s="4"/>
      <c r="E276" s="4"/>
      <c r="F276" s="5"/>
      <c r="G276" s="3"/>
    </row>
    <row r="277" spans="1:7" ht="19.5" customHeight="1" x14ac:dyDescent="0.3">
      <c r="A277" s="6" t="str">
        <f t="shared" si="4"/>
        <v/>
      </c>
      <c r="B277" s="7"/>
      <c r="C277" s="7"/>
      <c r="D277" s="7"/>
      <c r="E277" s="7"/>
      <c r="F277" s="8"/>
      <c r="G277" s="6"/>
    </row>
    <row r="278" spans="1:7" ht="19.5" customHeight="1" x14ac:dyDescent="0.3">
      <c r="A278" s="3" t="str">
        <f t="shared" si="4"/>
        <v/>
      </c>
      <c r="B278" s="4"/>
      <c r="C278" s="4"/>
      <c r="D278" s="4"/>
      <c r="E278" s="4"/>
      <c r="F278" s="5"/>
      <c r="G278" s="3"/>
    </row>
    <row r="279" spans="1:7" ht="19.5" customHeight="1" x14ac:dyDescent="0.3">
      <c r="A279" s="6" t="str">
        <f t="shared" si="4"/>
        <v/>
      </c>
      <c r="B279" s="7"/>
      <c r="C279" s="7"/>
      <c r="D279" s="7"/>
      <c r="E279" s="7"/>
      <c r="F279" s="8"/>
      <c r="G279" s="6"/>
    </row>
    <row r="280" spans="1:7" ht="19.5" customHeight="1" x14ac:dyDescent="0.3">
      <c r="A280" s="3" t="str">
        <f t="shared" si="4"/>
        <v/>
      </c>
      <c r="B280" s="4"/>
      <c r="C280" s="4"/>
      <c r="D280" s="4"/>
      <c r="E280" s="4"/>
      <c r="F280" s="5"/>
      <c r="G280" s="3"/>
    </row>
    <row r="281" spans="1:7" ht="19.5" customHeight="1" x14ac:dyDescent="0.3">
      <c r="A281" s="6" t="str">
        <f t="shared" si="4"/>
        <v/>
      </c>
      <c r="B281" s="7"/>
      <c r="C281" s="7"/>
      <c r="D281" s="7"/>
      <c r="E281" s="7"/>
      <c r="F281" s="8"/>
      <c r="G281" s="6"/>
    </row>
    <row r="282" spans="1:7" ht="19.5" customHeight="1" x14ac:dyDescent="0.3">
      <c r="A282" s="3" t="str">
        <f t="shared" si="4"/>
        <v/>
      </c>
      <c r="B282" s="4"/>
      <c r="C282" s="4"/>
      <c r="D282" s="4"/>
      <c r="E282" s="4"/>
      <c r="F282" s="5"/>
      <c r="G282" s="3"/>
    </row>
    <row r="283" spans="1:7" ht="19.5" customHeight="1" x14ac:dyDescent="0.3">
      <c r="A283" s="6" t="str">
        <f t="shared" si="4"/>
        <v/>
      </c>
      <c r="B283" s="7"/>
      <c r="C283" s="7"/>
      <c r="D283" s="7"/>
      <c r="E283" s="7"/>
      <c r="F283" s="8"/>
      <c r="G283" s="6"/>
    </row>
    <row r="284" spans="1:7" ht="19.5" customHeight="1" x14ac:dyDescent="0.3">
      <c r="A284" s="3" t="str">
        <f t="shared" si="4"/>
        <v/>
      </c>
      <c r="B284" s="4"/>
      <c r="C284" s="4"/>
      <c r="D284" s="4"/>
      <c r="E284" s="4"/>
      <c r="F284" s="5"/>
      <c r="G284" s="3"/>
    </row>
    <row r="285" spans="1:7" ht="19.5" customHeight="1" x14ac:dyDescent="0.3">
      <c r="A285" s="6" t="str">
        <f t="shared" si="4"/>
        <v/>
      </c>
      <c r="B285" s="7"/>
      <c r="C285" s="7"/>
      <c r="D285" s="7"/>
      <c r="E285" s="7"/>
      <c r="F285" s="8"/>
      <c r="G285" s="6"/>
    </row>
    <row r="286" spans="1:7" ht="19.5" customHeight="1" x14ac:dyDescent="0.3">
      <c r="A286" s="3" t="str">
        <f t="shared" si="4"/>
        <v/>
      </c>
      <c r="B286" s="4"/>
      <c r="C286" s="4"/>
      <c r="D286" s="4"/>
      <c r="E286" s="4"/>
      <c r="F286" s="5"/>
      <c r="G286" s="3"/>
    </row>
    <row r="287" spans="1:7" ht="19.5" customHeight="1" x14ac:dyDescent="0.3">
      <c r="A287" s="6" t="str">
        <f t="shared" si="4"/>
        <v/>
      </c>
      <c r="B287" s="7"/>
      <c r="C287" s="7"/>
      <c r="D287" s="7"/>
      <c r="E287" s="7"/>
      <c r="F287" s="8"/>
      <c r="G287" s="6"/>
    </row>
    <row r="288" spans="1:7" ht="19.5" customHeight="1" x14ac:dyDescent="0.3">
      <c r="A288" s="3" t="str">
        <f t="shared" si="4"/>
        <v/>
      </c>
      <c r="B288" s="4"/>
      <c r="C288" s="4"/>
      <c r="D288" s="4"/>
      <c r="E288" s="4"/>
      <c r="F288" s="5"/>
      <c r="G288" s="3"/>
    </row>
    <row r="289" spans="1:7" ht="19.5" customHeight="1" x14ac:dyDescent="0.3">
      <c r="A289" s="6" t="str">
        <f t="shared" si="4"/>
        <v/>
      </c>
      <c r="B289" s="7"/>
      <c r="C289" s="7"/>
      <c r="D289" s="7"/>
      <c r="E289" s="7"/>
      <c r="F289" s="8"/>
      <c r="G289" s="6"/>
    </row>
    <row r="290" spans="1:7" ht="19.5" customHeight="1" x14ac:dyDescent="0.3">
      <c r="A290" s="3" t="str">
        <f t="shared" si="4"/>
        <v/>
      </c>
      <c r="B290" s="4"/>
      <c r="C290" s="4"/>
      <c r="D290" s="4"/>
      <c r="E290" s="4"/>
      <c r="F290" s="5"/>
      <c r="G290" s="3"/>
    </row>
    <row r="291" spans="1:7" ht="19.5" customHeight="1" x14ac:dyDescent="0.3">
      <c r="A291" s="6" t="str">
        <f t="shared" si="4"/>
        <v/>
      </c>
      <c r="B291" s="7"/>
      <c r="C291" s="7"/>
      <c r="D291" s="7"/>
      <c r="E291" s="7"/>
      <c r="F291" s="8"/>
      <c r="G291" s="6"/>
    </row>
    <row r="292" spans="1:7" ht="19.5" customHeight="1" x14ac:dyDescent="0.3">
      <c r="A292" s="3" t="str">
        <f t="shared" si="4"/>
        <v/>
      </c>
      <c r="B292" s="4"/>
      <c r="C292" s="4"/>
      <c r="D292" s="4"/>
      <c r="E292" s="4"/>
      <c r="F292" s="5"/>
      <c r="G292" s="3"/>
    </row>
    <row r="293" spans="1:7" ht="19.5" customHeight="1" x14ac:dyDescent="0.3">
      <c r="A293" s="6" t="str">
        <f t="shared" si="4"/>
        <v/>
      </c>
      <c r="B293" s="7"/>
      <c r="C293" s="7"/>
      <c r="D293" s="7"/>
      <c r="E293" s="7"/>
      <c r="F293" s="8"/>
      <c r="G293" s="6"/>
    </row>
    <row r="294" spans="1:7" ht="19.5" customHeight="1" x14ac:dyDescent="0.3">
      <c r="A294" s="3" t="str">
        <f t="shared" si="4"/>
        <v/>
      </c>
      <c r="B294" s="4"/>
      <c r="C294" s="4"/>
      <c r="D294" s="4"/>
      <c r="E294" s="4"/>
      <c r="F294" s="5"/>
      <c r="G294" s="3"/>
    </row>
    <row r="295" spans="1:7" ht="19.5" customHeight="1" x14ac:dyDescent="0.3">
      <c r="A295" s="6" t="str">
        <f t="shared" si="4"/>
        <v/>
      </c>
      <c r="B295" s="7"/>
      <c r="C295" s="7"/>
      <c r="D295" s="7"/>
      <c r="E295" s="7"/>
      <c r="F295" s="8"/>
      <c r="G295" s="6"/>
    </row>
    <row r="296" spans="1:7" ht="19.5" customHeight="1" x14ac:dyDescent="0.3">
      <c r="A296" s="3" t="str">
        <f t="shared" si="4"/>
        <v/>
      </c>
      <c r="B296" s="4"/>
      <c r="C296" s="4"/>
      <c r="D296" s="4"/>
      <c r="E296" s="4"/>
      <c r="F296" s="5"/>
      <c r="G296" s="3"/>
    </row>
    <row r="297" spans="1:7" ht="19.5" customHeight="1" x14ac:dyDescent="0.3">
      <c r="A297" s="6" t="str">
        <f t="shared" si="4"/>
        <v/>
      </c>
      <c r="B297" s="7"/>
      <c r="C297" s="7"/>
      <c r="D297" s="7"/>
      <c r="E297" s="7"/>
      <c r="F297" s="8"/>
      <c r="G297" s="6"/>
    </row>
    <row r="298" spans="1:7" ht="19.5" customHeight="1" x14ac:dyDescent="0.3">
      <c r="A298" s="3" t="str">
        <f t="shared" si="4"/>
        <v/>
      </c>
      <c r="B298" s="4"/>
      <c r="C298" s="4"/>
      <c r="D298" s="4"/>
      <c r="E298" s="4"/>
      <c r="F298" s="5"/>
      <c r="G298" s="3"/>
    </row>
    <row r="299" spans="1:7" ht="19.5" customHeight="1" x14ac:dyDescent="0.3">
      <c r="A299" s="6" t="str">
        <f t="shared" si="4"/>
        <v/>
      </c>
      <c r="B299" s="7"/>
      <c r="C299" s="7"/>
      <c r="D299" s="7"/>
      <c r="E299" s="7"/>
      <c r="F299" s="8"/>
      <c r="G299" s="6"/>
    </row>
    <row r="300" spans="1:7" ht="19.5" customHeight="1" x14ac:dyDescent="0.3">
      <c r="A300" s="3" t="str">
        <f t="shared" si="4"/>
        <v/>
      </c>
      <c r="B300" s="4"/>
      <c r="C300" s="4"/>
      <c r="D300" s="4"/>
      <c r="E300" s="4"/>
      <c r="F300" s="5"/>
      <c r="G300" s="3"/>
    </row>
    <row r="301" spans="1:7" ht="19.5" customHeight="1" x14ac:dyDescent="0.3">
      <c r="A301" s="6" t="str">
        <f t="shared" si="4"/>
        <v/>
      </c>
      <c r="B301" s="7"/>
      <c r="C301" s="7"/>
      <c r="D301" s="7"/>
      <c r="E301" s="7"/>
      <c r="F301" s="8"/>
      <c r="G301" s="6"/>
    </row>
    <row r="302" spans="1:7" ht="19.5" customHeight="1" x14ac:dyDescent="0.3">
      <c r="A302" s="3" t="str">
        <f t="shared" si="4"/>
        <v/>
      </c>
      <c r="B302" s="4"/>
      <c r="C302" s="4"/>
      <c r="D302" s="4"/>
      <c r="E302" s="4"/>
      <c r="F302" s="5"/>
      <c r="G302" s="3"/>
    </row>
    <row r="303" spans="1:7" ht="19.5" customHeight="1" x14ac:dyDescent="0.3">
      <c r="A303" s="6" t="str">
        <f t="shared" si="4"/>
        <v/>
      </c>
      <c r="B303" s="7"/>
      <c r="C303" s="7"/>
      <c r="D303" s="7"/>
      <c r="E303" s="7"/>
      <c r="F303" s="8"/>
      <c r="G303" s="6"/>
    </row>
  </sheetData>
  <mergeCells count="2">
    <mergeCell ref="A1:G1"/>
    <mergeCell ref="A2:G2"/>
  </mergeCells>
  <dataValidations count="2">
    <dataValidation type="list" allowBlank="1" sqref="G4:G303">
      <formula1>"Aktif,İzinli,Raporlu,Ayrıldı"</formula1>
      <formula2>0</formula2>
    </dataValidation>
    <dataValidation type="list" allowBlank="1" sqref="D4:D303">
      <formula1>"Fen İşleri Müdürlüğü,Su ve Kanalizasyon İşleri,Temizlik İşleri,Park ve Bahçeler Müdürlüğü,Diğer"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8.6640625" defaultRowHeight="14.4" x14ac:dyDescent="0.3"/>
  <cols>
    <col min="1" max="1" width="5" style="1" customWidth="1"/>
    <col min="2" max="2" width="16" style="1" customWidth="1"/>
    <col min="3" max="3" width="24" style="1" customWidth="1"/>
    <col min="4" max="5" width="14" style="1" customWidth="1"/>
    <col min="6" max="6" width="20" style="1" customWidth="1"/>
    <col min="7" max="7" width="10" style="1" customWidth="1"/>
  </cols>
  <sheetData>
    <row r="1" spans="1:7" ht="74.400000000000006" customHeight="1" x14ac:dyDescent="0.3">
      <c r="A1" s="39" t="s">
        <v>76</v>
      </c>
      <c r="B1" s="39"/>
      <c r="C1" s="39"/>
      <c r="D1" s="39"/>
      <c r="E1" s="39"/>
      <c r="F1" s="39"/>
      <c r="G1" s="39"/>
    </row>
    <row r="2" spans="1:7" ht="19.5" customHeight="1" x14ac:dyDescent="0.3">
      <c r="A2" s="40" t="s">
        <v>8</v>
      </c>
      <c r="B2" s="40"/>
      <c r="C2" s="40"/>
      <c r="D2" s="40"/>
      <c r="E2" s="40"/>
      <c r="F2" s="40"/>
      <c r="G2" s="40"/>
    </row>
    <row r="3" spans="1:7" ht="37.5" customHeight="1" x14ac:dyDescent="0.3">
      <c r="A3" s="9" t="s">
        <v>1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4</v>
      </c>
      <c r="G3" s="9" t="s">
        <v>7</v>
      </c>
    </row>
    <row r="4" spans="1:7" ht="19.5" customHeight="1" x14ac:dyDescent="0.3">
      <c r="A4" s="3" t="str">
        <f t="shared" ref="A4:A67" si="0">IF(B4&lt;&gt;"",ROW()-3,"")</f>
        <v/>
      </c>
      <c r="B4" s="3"/>
      <c r="C4" s="4"/>
      <c r="D4" s="4"/>
      <c r="E4" s="4"/>
      <c r="F4" s="4"/>
      <c r="G4" s="3"/>
    </row>
    <row r="5" spans="1:7" ht="19.5" customHeight="1" x14ac:dyDescent="0.3">
      <c r="A5" s="6" t="str">
        <f t="shared" si="0"/>
        <v/>
      </c>
      <c r="B5" s="6"/>
      <c r="C5" s="7"/>
      <c r="D5" s="7"/>
      <c r="E5" s="7"/>
      <c r="F5" s="7"/>
      <c r="G5" s="6"/>
    </row>
    <row r="6" spans="1:7" ht="19.5" customHeight="1" x14ac:dyDescent="0.3">
      <c r="A6" s="3" t="str">
        <f t="shared" si="0"/>
        <v/>
      </c>
      <c r="B6" s="3"/>
      <c r="C6" s="4"/>
      <c r="D6" s="4"/>
      <c r="E6" s="4"/>
      <c r="F6" s="4"/>
      <c r="G6" s="3"/>
    </row>
    <row r="7" spans="1:7" ht="19.5" customHeight="1" x14ac:dyDescent="0.3">
      <c r="A7" s="6" t="str">
        <f t="shared" si="0"/>
        <v/>
      </c>
      <c r="B7" s="6"/>
      <c r="C7" s="7"/>
      <c r="D7" s="7"/>
      <c r="E7" s="7"/>
      <c r="F7" s="7"/>
      <c r="G7" s="6"/>
    </row>
    <row r="8" spans="1:7" ht="19.5" customHeight="1" x14ac:dyDescent="0.3">
      <c r="A8" s="3" t="str">
        <f t="shared" si="0"/>
        <v/>
      </c>
      <c r="B8" s="3"/>
      <c r="C8" s="4"/>
      <c r="D8" s="4"/>
      <c r="E8" s="4"/>
      <c r="F8" s="4"/>
      <c r="G8" s="3"/>
    </row>
    <row r="9" spans="1:7" ht="19.5" customHeight="1" x14ac:dyDescent="0.3">
      <c r="A9" s="6" t="str">
        <f t="shared" si="0"/>
        <v/>
      </c>
      <c r="B9" s="6"/>
      <c r="C9" s="7"/>
      <c r="D9" s="7"/>
      <c r="E9" s="7"/>
      <c r="F9" s="7"/>
      <c r="G9" s="6"/>
    </row>
    <row r="10" spans="1:7" ht="19.5" customHeight="1" x14ac:dyDescent="0.3">
      <c r="A10" s="3" t="str">
        <f t="shared" si="0"/>
        <v/>
      </c>
      <c r="B10" s="3"/>
      <c r="C10" s="4"/>
      <c r="D10" s="4"/>
      <c r="E10" s="4"/>
      <c r="F10" s="4"/>
      <c r="G10" s="3"/>
    </row>
    <row r="11" spans="1:7" ht="19.5" customHeight="1" x14ac:dyDescent="0.3">
      <c r="A11" s="6" t="str">
        <f t="shared" si="0"/>
        <v/>
      </c>
      <c r="B11" s="6"/>
      <c r="C11" s="7"/>
      <c r="D11" s="7"/>
      <c r="E11" s="7"/>
      <c r="F11" s="7"/>
      <c r="G11" s="6"/>
    </row>
    <row r="12" spans="1:7" ht="19.5" customHeight="1" x14ac:dyDescent="0.3">
      <c r="A12" s="3" t="str">
        <f t="shared" si="0"/>
        <v/>
      </c>
      <c r="B12" s="3"/>
      <c r="C12" s="4"/>
      <c r="D12" s="4"/>
      <c r="E12" s="4"/>
      <c r="F12" s="4"/>
      <c r="G12" s="3"/>
    </row>
    <row r="13" spans="1:7" ht="19.5" customHeight="1" x14ac:dyDescent="0.3">
      <c r="A13" s="6" t="str">
        <f t="shared" si="0"/>
        <v/>
      </c>
      <c r="B13" s="6"/>
      <c r="C13" s="7"/>
      <c r="D13" s="7"/>
      <c r="E13" s="7"/>
      <c r="F13" s="7"/>
      <c r="G13" s="6"/>
    </row>
    <row r="14" spans="1:7" ht="19.5" customHeight="1" x14ac:dyDescent="0.3">
      <c r="A14" s="3" t="str">
        <f t="shared" si="0"/>
        <v/>
      </c>
      <c r="B14" s="3"/>
      <c r="C14" s="4"/>
      <c r="D14" s="4"/>
      <c r="E14" s="4"/>
      <c r="F14" s="4"/>
      <c r="G14" s="3"/>
    </row>
    <row r="15" spans="1:7" ht="19.5" customHeight="1" x14ac:dyDescent="0.3">
      <c r="A15" s="6" t="str">
        <f t="shared" si="0"/>
        <v/>
      </c>
      <c r="B15" s="6"/>
      <c r="C15" s="7"/>
      <c r="D15" s="7"/>
      <c r="E15" s="7"/>
      <c r="F15" s="7"/>
      <c r="G15" s="6"/>
    </row>
    <row r="16" spans="1:7" ht="19.5" customHeight="1" x14ac:dyDescent="0.3">
      <c r="A16" s="3" t="str">
        <f t="shared" si="0"/>
        <v/>
      </c>
      <c r="B16" s="3"/>
      <c r="C16" s="4"/>
      <c r="D16" s="4"/>
      <c r="E16" s="4"/>
      <c r="F16" s="4"/>
      <c r="G16" s="3"/>
    </row>
    <row r="17" spans="1:7" ht="19.5" customHeight="1" x14ac:dyDescent="0.3">
      <c r="A17" s="6" t="str">
        <f t="shared" si="0"/>
        <v/>
      </c>
      <c r="B17" s="6"/>
      <c r="C17" s="7"/>
      <c r="D17" s="7"/>
      <c r="E17" s="7"/>
      <c r="F17" s="7"/>
      <c r="G17" s="6"/>
    </row>
    <row r="18" spans="1:7" ht="19.5" customHeight="1" x14ac:dyDescent="0.3">
      <c r="A18" s="3" t="str">
        <f t="shared" si="0"/>
        <v/>
      </c>
      <c r="B18" s="3"/>
      <c r="C18" s="4"/>
      <c r="D18" s="4"/>
      <c r="E18" s="4"/>
      <c r="F18" s="4"/>
      <c r="G18" s="3"/>
    </row>
    <row r="19" spans="1:7" ht="19.5" customHeight="1" x14ac:dyDescent="0.3">
      <c r="A19" s="6" t="str">
        <f t="shared" si="0"/>
        <v/>
      </c>
      <c r="B19" s="6"/>
      <c r="C19" s="7"/>
      <c r="D19" s="7"/>
      <c r="E19" s="7"/>
      <c r="F19" s="7"/>
      <c r="G19" s="6"/>
    </row>
    <row r="20" spans="1:7" ht="19.5" customHeight="1" x14ac:dyDescent="0.3">
      <c r="A20" s="3" t="str">
        <f t="shared" si="0"/>
        <v/>
      </c>
      <c r="B20" s="3"/>
      <c r="C20" s="4"/>
      <c r="D20" s="4"/>
      <c r="E20" s="4"/>
      <c r="F20" s="4"/>
      <c r="G20" s="3"/>
    </row>
    <row r="21" spans="1:7" ht="19.5" customHeight="1" x14ac:dyDescent="0.3">
      <c r="A21" s="6" t="str">
        <f t="shared" si="0"/>
        <v/>
      </c>
      <c r="B21" s="6"/>
      <c r="C21" s="7"/>
      <c r="D21" s="7"/>
      <c r="E21" s="7"/>
      <c r="F21" s="7"/>
      <c r="G21" s="6"/>
    </row>
    <row r="22" spans="1:7" ht="19.5" customHeight="1" x14ac:dyDescent="0.3">
      <c r="A22" s="3" t="str">
        <f t="shared" si="0"/>
        <v/>
      </c>
      <c r="B22" s="3"/>
      <c r="C22" s="4"/>
      <c r="D22" s="4"/>
      <c r="E22" s="4"/>
      <c r="F22" s="4"/>
      <c r="G22" s="3"/>
    </row>
    <row r="23" spans="1:7" ht="19.5" customHeight="1" x14ac:dyDescent="0.3">
      <c r="A23" s="6" t="str">
        <f t="shared" si="0"/>
        <v/>
      </c>
      <c r="B23" s="6"/>
      <c r="C23" s="7"/>
      <c r="D23" s="7"/>
      <c r="E23" s="7"/>
      <c r="F23" s="7"/>
      <c r="G23" s="6"/>
    </row>
    <row r="24" spans="1:7" ht="19.5" customHeight="1" x14ac:dyDescent="0.3">
      <c r="A24" s="3" t="str">
        <f t="shared" si="0"/>
        <v/>
      </c>
      <c r="B24" s="3"/>
      <c r="C24" s="4"/>
      <c r="D24" s="4"/>
      <c r="E24" s="4"/>
      <c r="F24" s="4"/>
      <c r="G24" s="3"/>
    </row>
    <row r="25" spans="1:7" ht="19.5" customHeight="1" x14ac:dyDescent="0.3">
      <c r="A25" s="6" t="str">
        <f t="shared" si="0"/>
        <v/>
      </c>
      <c r="B25" s="6"/>
      <c r="C25" s="7"/>
      <c r="D25" s="7"/>
      <c r="E25" s="7"/>
      <c r="F25" s="7"/>
      <c r="G25" s="6"/>
    </row>
    <row r="26" spans="1:7" ht="19.5" customHeight="1" x14ac:dyDescent="0.3">
      <c r="A26" s="3" t="str">
        <f t="shared" si="0"/>
        <v/>
      </c>
      <c r="B26" s="3"/>
      <c r="C26" s="4"/>
      <c r="D26" s="4"/>
      <c r="E26" s="4"/>
      <c r="F26" s="4"/>
      <c r="G26" s="3"/>
    </row>
    <row r="27" spans="1:7" ht="19.5" customHeight="1" x14ac:dyDescent="0.3">
      <c r="A27" s="6" t="str">
        <f t="shared" si="0"/>
        <v/>
      </c>
      <c r="B27" s="6"/>
      <c r="C27" s="7"/>
      <c r="D27" s="7"/>
      <c r="E27" s="7"/>
      <c r="F27" s="7"/>
      <c r="G27" s="6"/>
    </row>
    <row r="28" spans="1:7" ht="19.5" customHeight="1" x14ac:dyDescent="0.3">
      <c r="A28" s="3" t="str">
        <f t="shared" si="0"/>
        <v/>
      </c>
      <c r="B28" s="3"/>
      <c r="C28" s="4"/>
      <c r="D28" s="4"/>
      <c r="E28" s="4"/>
      <c r="F28" s="4"/>
      <c r="G28" s="3"/>
    </row>
    <row r="29" spans="1:7" ht="19.5" customHeight="1" x14ac:dyDescent="0.3">
      <c r="A29" s="6" t="str">
        <f t="shared" si="0"/>
        <v/>
      </c>
      <c r="B29" s="6"/>
      <c r="C29" s="7"/>
      <c r="D29" s="7"/>
      <c r="E29" s="7"/>
      <c r="F29" s="7"/>
      <c r="G29" s="6"/>
    </row>
    <row r="30" spans="1:7" ht="19.5" customHeight="1" x14ac:dyDescent="0.3">
      <c r="A30" s="3" t="str">
        <f t="shared" si="0"/>
        <v/>
      </c>
      <c r="B30" s="3"/>
      <c r="C30" s="4"/>
      <c r="D30" s="4"/>
      <c r="E30" s="4"/>
      <c r="F30" s="4"/>
      <c r="G30" s="3"/>
    </row>
    <row r="31" spans="1:7" ht="19.5" customHeight="1" x14ac:dyDescent="0.3">
      <c r="A31" s="6" t="str">
        <f t="shared" si="0"/>
        <v/>
      </c>
      <c r="B31" s="6"/>
      <c r="C31" s="7"/>
      <c r="D31" s="7"/>
      <c r="E31" s="7"/>
      <c r="F31" s="7"/>
      <c r="G31" s="6"/>
    </row>
    <row r="32" spans="1:7" ht="19.5" customHeight="1" x14ac:dyDescent="0.3">
      <c r="A32" s="3" t="str">
        <f t="shared" si="0"/>
        <v/>
      </c>
      <c r="B32" s="3"/>
      <c r="C32" s="4"/>
      <c r="D32" s="4"/>
      <c r="E32" s="4"/>
      <c r="F32" s="4"/>
      <c r="G32" s="3"/>
    </row>
    <row r="33" spans="1:7" ht="19.5" customHeight="1" x14ac:dyDescent="0.3">
      <c r="A33" s="6" t="str">
        <f t="shared" si="0"/>
        <v/>
      </c>
      <c r="B33" s="6"/>
      <c r="C33" s="7"/>
      <c r="D33" s="7"/>
      <c r="E33" s="7"/>
      <c r="F33" s="7"/>
      <c r="G33" s="6"/>
    </row>
    <row r="34" spans="1:7" ht="19.5" customHeight="1" x14ac:dyDescent="0.3">
      <c r="A34" s="3" t="str">
        <f t="shared" si="0"/>
        <v/>
      </c>
      <c r="B34" s="3"/>
      <c r="C34" s="4"/>
      <c r="D34" s="4"/>
      <c r="E34" s="4"/>
      <c r="F34" s="4"/>
      <c r="G34" s="3"/>
    </row>
    <row r="35" spans="1:7" ht="19.5" customHeight="1" x14ac:dyDescent="0.3">
      <c r="A35" s="6" t="str">
        <f t="shared" si="0"/>
        <v/>
      </c>
      <c r="B35" s="6"/>
      <c r="C35" s="7"/>
      <c r="D35" s="7"/>
      <c r="E35" s="7"/>
      <c r="F35" s="7"/>
      <c r="G35" s="6"/>
    </row>
    <row r="36" spans="1:7" ht="19.5" customHeight="1" x14ac:dyDescent="0.3">
      <c r="A36" s="3" t="str">
        <f t="shared" si="0"/>
        <v/>
      </c>
      <c r="B36" s="3"/>
      <c r="C36" s="4"/>
      <c r="D36" s="4"/>
      <c r="E36" s="4"/>
      <c r="F36" s="4"/>
      <c r="G36" s="3"/>
    </row>
    <row r="37" spans="1:7" ht="19.5" customHeight="1" x14ac:dyDescent="0.3">
      <c r="A37" s="6" t="str">
        <f t="shared" si="0"/>
        <v/>
      </c>
      <c r="B37" s="6"/>
      <c r="C37" s="7"/>
      <c r="D37" s="7"/>
      <c r="E37" s="7"/>
      <c r="F37" s="7"/>
      <c r="G37" s="6"/>
    </row>
    <row r="38" spans="1:7" ht="19.5" customHeight="1" x14ac:dyDescent="0.3">
      <c r="A38" s="3" t="str">
        <f t="shared" si="0"/>
        <v/>
      </c>
      <c r="B38" s="3"/>
      <c r="C38" s="4"/>
      <c r="D38" s="4"/>
      <c r="E38" s="4"/>
      <c r="F38" s="4"/>
      <c r="G38" s="3"/>
    </row>
    <row r="39" spans="1:7" ht="19.5" customHeight="1" x14ac:dyDescent="0.3">
      <c r="A39" s="6" t="str">
        <f t="shared" si="0"/>
        <v/>
      </c>
      <c r="B39" s="6"/>
      <c r="C39" s="7"/>
      <c r="D39" s="7"/>
      <c r="E39" s="7"/>
      <c r="F39" s="7"/>
      <c r="G39" s="6"/>
    </row>
    <row r="40" spans="1:7" ht="19.5" customHeight="1" x14ac:dyDescent="0.3">
      <c r="A40" s="3" t="str">
        <f t="shared" si="0"/>
        <v/>
      </c>
      <c r="B40" s="3"/>
      <c r="C40" s="4"/>
      <c r="D40" s="4"/>
      <c r="E40" s="4"/>
      <c r="F40" s="4"/>
      <c r="G40" s="3"/>
    </row>
    <row r="41" spans="1:7" ht="19.5" customHeight="1" x14ac:dyDescent="0.3">
      <c r="A41" s="6" t="str">
        <f t="shared" si="0"/>
        <v/>
      </c>
      <c r="B41" s="6"/>
      <c r="C41" s="7"/>
      <c r="D41" s="7"/>
      <c r="E41" s="7"/>
      <c r="F41" s="7"/>
      <c r="G41" s="6"/>
    </row>
    <row r="42" spans="1:7" ht="19.5" customHeight="1" x14ac:dyDescent="0.3">
      <c r="A42" s="3" t="str">
        <f t="shared" si="0"/>
        <v/>
      </c>
      <c r="B42" s="3"/>
      <c r="C42" s="4"/>
      <c r="D42" s="4"/>
      <c r="E42" s="4"/>
      <c r="F42" s="4"/>
      <c r="G42" s="3"/>
    </row>
    <row r="43" spans="1:7" ht="19.5" customHeight="1" x14ac:dyDescent="0.3">
      <c r="A43" s="6" t="str">
        <f t="shared" si="0"/>
        <v/>
      </c>
      <c r="B43" s="6"/>
      <c r="C43" s="7"/>
      <c r="D43" s="7"/>
      <c r="E43" s="7"/>
      <c r="F43" s="7"/>
      <c r="G43" s="6"/>
    </row>
    <row r="44" spans="1:7" ht="19.5" customHeight="1" x14ac:dyDescent="0.3">
      <c r="A44" s="3" t="str">
        <f t="shared" si="0"/>
        <v/>
      </c>
      <c r="B44" s="3"/>
      <c r="C44" s="4"/>
      <c r="D44" s="4"/>
      <c r="E44" s="4"/>
      <c r="F44" s="4"/>
      <c r="G44" s="3"/>
    </row>
    <row r="45" spans="1:7" ht="19.5" customHeight="1" x14ac:dyDescent="0.3">
      <c r="A45" s="6" t="str">
        <f t="shared" si="0"/>
        <v/>
      </c>
      <c r="B45" s="6"/>
      <c r="C45" s="7"/>
      <c r="D45" s="7"/>
      <c r="E45" s="7"/>
      <c r="F45" s="7"/>
      <c r="G45" s="6"/>
    </row>
    <row r="46" spans="1:7" ht="19.5" customHeight="1" x14ac:dyDescent="0.3">
      <c r="A46" s="3" t="str">
        <f t="shared" si="0"/>
        <v/>
      </c>
      <c r="B46" s="3"/>
      <c r="C46" s="4"/>
      <c r="D46" s="4"/>
      <c r="E46" s="4"/>
      <c r="F46" s="4"/>
      <c r="G46" s="3"/>
    </row>
    <row r="47" spans="1:7" ht="19.5" customHeight="1" x14ac:dyDescent="0.3">
      <c r="A47" s="6" t="str">
        <f t="shared" si="0"/>
        <v/>
      </c>
      <c r="B47" s="6"/>
      <c r="C47" s="7"/>
      <c r="D47" s="7"/>
      <c r="E47" s="7"/>
      <c r="F47" s="7"/>
      <c r="G47" s="6"/>
    </row>
    <row r="48" spans="1:7" ht="19.5" customHeight="1" x14ac:dyDescent="0.3">
      <c r="A48" s="3" t="str">
        <f t="shared" si="0"/>
        <v/>
      </c>
      <c r="B48" s="3"/>
      <c r="C48" s="4"/>
      <c r="D48" s="4"/>
      <c r="E48" s="4"/>
      <c r="F48" s="4"/>
      <c r="G48" s="3"/>
    </row>
    <row r="49" spans="1:7" ht="19.5" customHeight="1" x14ac:dyDescent="0.3">
      <c r="A49" s="6" t="str">
        <f t="shared" si="0"/>
        <v/>
      </c>
      <c r="B49" s="6"/>
      <c r="C49" s="7"/>
      <c r="D49" s="7"/>
      <c r="E49" s="7"/>
      <c r="F49" s="7"/>
      <c r="G49" s="6"/>
    </row>
    <row r="50" spans="1:7" ht="19.5" customHeight="1" x14ac:dyDescent="0.3">
      <c r="A50" s="3" t="str">
        <f t="shared" si="0"/>
        <v/>
      </c>
      <c r="B50" s="3"/>
      <c r="C50" s="4"/>
      <c r="D50" s="4"/>
      <c r="E50" s="4"/>
      <c r="F50" s="4"/>
      <c r="G50" s="3"/>
    </row>
    <row r="51" spans="1:7" ht="19.5" customHeight="1" x14ac:dyDescent="0.3">
      <c r="A51" s="6" t="str">
        <f t="shared" si="0"/>
        <v/>
      </c>
      <c r="B51" s="6"/>
      <c r="C51" s="7"/>
      <c r="D51" s="7"/>
      <c r="E51" s="7"/>
      <c r="F51" s="7"/>
      <c r="G51" s="6"/>
    </row>
    <row r="52" spans="1:7" ht="19.5" customHeight="1" x14ac:dyDescent="0.3">
      <c r="A52" s="3" t="str">
        <f t="shared" si="0"/>
        <v/>
      </c>
      <c r="B52" s="3"/>
      <c r="C52" s="4"/>
      <c r="D52" s="4"/>
      <c r="E52" s="4"/>
      <c r="F52" s="4"/>
      <c r="G52" s="3"/>
    </row>
    <row r="53" spans="1:7" ht="19.5" customHeight="1" x14ac:dyDescent="0.3">
      <c r="A53" s="6" t="str">
        <f t="shared" si="0"/>
        <v/>
      </c>
      <c r="B53" s="6"/>
      <c r="C53" s="7"/>
      <c r="D53" s="7"/>
      <c r="E53" s="7"/>
      <c r="F53" s="7"/>
      <c r="G53" s="6"/>
    </row>
    <row r="54" spans="1:7" ht="19.5" customHeight="1" x14ac:dyDescent="0.3">
      <c r="A54" s="3" t="str">
        <f t="shared" si="0"/>
        <v/>
      </c>
      <c r="B54" s="3"/>
      <c r="C54" s="4"/>
      <c r="D54" s="4"/>
      <c r="E54" s="4"/>
      <c r="F54" s="4"/>
      <c r="G54" s="3"/>
    </row>
    <row r="55" spans="1:7" ht="19.5" customHeight="1" x14ac:dyDescent="0.3">
      <c r="A55" s="6" t="str">
        <f t="shared" si="0"/>
        <v/>
      </c>
      <c r="B55" s="6"/>
      <c r="C55" s="7"/>
      <c r="D55" s="7"/>
      <c r="E55" s="7"/>
      <c r="F55" s="7"/>
      <c r="G55" s="6"/>
    </row>
    <row r="56" spans="1:7" ht="19.5" customHeight="1" x14ac:dyDescent="0.3">
      <c r="A56" s="3" t="str">
        <f t="shared" si="0"/>
        <v/>
      </c>
      <c r="B56" s="3"/>
      <c r="C56" s="4"/>
      <c r="D56" s="4"/>
      <c r="E56" s="4"/>
      <c r="F56" s="4"/>
      <c r="G56" s="3"/>
    </row>
    <row r="57" spans="1:7" ht="19.5" customHeight="1" x14ac:dyDescent="0.3">
      <c r="A57" s="6" t="str">
        <f t="shared" si="0"/>
        <v/>
      </c>
      <c r="B57" s="6"/>
      <c r="C57" s="7"/>
      <c r="D57" s="7"/>
      <c r="E57" s="7"/>
      <c r="F57" s="7"/>
      <c r="G57" s="6"/>
    </row>
    <row r="58" spans="1:7" ht="19.5" customHeight="1" x14ac:dyDescent="0.3">
      <c r="A58" s="3" t="str">
        <f t="shared" si="0"/>
        <v/>
      </c>
      <c r="B58" s="3"/>
      <c r="C58" s="4"/>
      <c r="D58" s="4"/>
      <c r="E58" s="4"/>
      <c r="F58" s="4"/>
      <c r="G58" s="3"/>
    </row>
    <row r="59" spans="1:7" ht="19.5" customHeight="1" x14ac:dyDescent="0.3">
      <c r="A59" s="6" t="str">
        <f t="shared" si="0"/>
        <v/>
      </c>
      <c r="B59" s="6"/>
      <c r="C59" s="7"/>
      <c r="D59" s="7"/>
      <c r="E59" s="7"/>
      <c r="F59" s="7"/>
      <c r="G59" s="6"/>
    </row>
    <row r="60" spans="1:7" ht="19.5" customHeight="1" x14ac:dyDescent="0.3">
      <c r="A60" s="3" t="str">
        <f t="shared" si="0"/>
        <v/>
      </c>
      <c r="B60" s="3"/>
      <c r="C60" s="4"/>
      <c r="D60" s="4"/>
      <c r="E60" s="4"/>
      <c r="F60" s="4"/>
      <c r="G60" s="3"/>
    </row>
    <row r="61" spans="1:7" ht="19.5" customHeight="1" x14ac:dyDescent="0.3">
      <c r="A61" s="6" t="str">
        <f t="shared" si="0"/>
        <v/>
      </c>
      <c r="B61" s="6"/>
      <c r="C61" s="7"/>
      <c r="D61" s="7"/>
      <c r="E61" s="7"/>
      <c r="F61" s="7"/>
      <c r="G61" s="6"/>
    </row>
    <row r="62" spans="1:7" ht="19.5" customHeight="1" x14ac:dyDescent="0.3">
      <c r="A62" s="3" t="str">
        <f t="shared" si="0"/>
        <v/>
      </c>
      <c r="B62" s="3"/>
      <c r="C62" s="4"/>
      <c r="D62" s="4"/>
      <c r="E62" s="4"/>
      <c r="F62" s="4"/>
      <c r="G62" s="3"/>
    </row>
    <row r="63" spans="1:7" ht="19.5" customHeight="1" x14ac:dyDescent="0.3">
      <c r="A63" s="6" t="str">
        <f t="shared" si="0"/>
        <v/>
      </c>
      <c r="B63" s="6"/>
      <c r="C63" s="7"/>
      <c r="D63" s="7"/>
      <c r="E63" s="7"/>
      <c r="F63" s="7"/>
      <c r="G63" s="6"/>
    </row>
    <row r="64" spans="1:7" ht="19.5" customHeight="1" x14ac:dyDescent="0.3">
      <c r="A64" s="3" t="str">
        <f t="shared" si="0"/>
        <v/>
      </c>
      <c r="B64" s="3"/>
      <c r="C64" s="4"/>
      <c r="D64" s="4"/>
      <c r="E64" s="4"/>
      <c r="F64" s="4"/>
      <c r="G64" s="3"/>
    </row>
    <row r="65" spans="1:7" ht="19.5" customHeight="1" x14ac:dyDescent="0.3">
      <c r="A65" s="6" t="str">
        <f t="shared" si="0"/>
        <v/>
      </c>
      <c r="B65" s="6"/>
      <c r="C65" s="7"/>
      <c r="D65" s="7"/>
      <c r="E65" s="7"/>
      <c r="F65" s="7"/>
      <c r="G65" s="6"/>
    </row>
    <row r="66" spans="1:7" ht="19.5" customHeight="1" x14ac:dyDescent="0.3">
      <c r="A66" s="3" t="str">
        <f t="shared" si="0"/>
        <v/>
      </c>
      <c r="B66" s="3"/>
      <c r="C66" s="4"/>
      <c r="D66" s="4"/>
      <c r="E66" s="4"/>
      <c r="F66" s="4"/>
      <c r="G66" s="3"/>
    </row>
    <row r="67" spans="1:7" ht="19.5" customHeight="1" x14ac:dyDescent="0.3">
      <c r="A67" s="6" t="str">
        <f t="shared" si="0"/>
        <v/>
      </c>
      <c r="B67" s="6"/>
      <c r="C67" s="7"/>
      <c r="D67" s="7"/>
      <c r="E67" s="7"/>
      <c r="F67" s="7"/>
      <c r="G67" s="6"/>
    </row>
    <row r="68" spans="1:7" ht="19.5" customHeight="1" x14ac:dyDescent="0.3">
      <c r="A68" s="3" t="str">
        <f t="shared" ref="A68:A131" si="1">IF(B68&lt;&gt;"",ROW()-3,"")</f>
        <v/>
      </c>
      <c r="B68" s="3"/>
      <c r="C68" s="4"/>
      <c r="D68" s="4"/>
      <c r="E68" s="4"/>
      <c r="F68" s="4"/>
      <c r="G68" s="3"/>
    </row>
    <row r="69" spans="1:7" ht="19.5" customHeight="1" x14ac:dyDescent="0.3">
      <c r="A69" s="6" t="str">
        <f t="shared" si="1"/>
        <v/>
      </c>
      <c r="B69" s="6"/>
      <c r="C69" s="7"/>
      <c r="D69" s="7"/>
      <c r="E69" s="7"/>
      <c r="F69" s="7"/>
      <c r="G69" s="6"/>
    </row>
    <row r="70" spans="1:7" ht="19.5" customHeight="1" x14ac:dyDescent="0.3">
      <c r="A70" s="3" t="str">
        <f t="shared" si="1"/>
        <v/>
      </c>
      <c r="B70" s="3"/>
      <c r="C70" s="4"/>
      <c r="D70" s="4"/>
      <c r="E70" s="4"/>
      <c r="F70" s="4"/>
      <c r="G70" s="3"/>
    </row>
    <row r="71" spans="1:7" ht="19.5" customHeight="1" x14ac:dyDescent="0.3">
      <c r="A71" s="6" t="str">
        <f t="shared" si="1"/>
        <v/>
      </c>
      <c r="B71" s="6"/>
      <c r="C71" s="7"/>
      <c r="D71" s="7"/>
      <c r="E71" s="7"/>
      <c r="F71" s="7"/>
      <c r="G71" s="6"/>
    </row>
    <row r="72" spans="1:7" ht="19.5" customHeight="1" x14ac:dyDescent="0.3">
      <c r="A72" s="3" t="str">
        <f t="shared" si="1"/>
        <v/>
      </c>
      <c r="B72" s="3"/>
      <c r="C72" s="4"/>
      <c r="D72" s="4"/>
      <c r="E72" s="4"/>
      <c r="F72" s="4"/>
      <c r="G72" s="3"/>
    </row>
    <row r="73" spans="1:7" ht="19.5" customHeight="1" x14ac:dyDescent="0.3">
      <c r="A73" s="6" t="str">
        <f t="shared" si="1"/>
        <v/>
      </c>
      <c r="B73" s="6"/>
      <c r="C73" s="7"/>
      <c r="D73" s="7"/>
      <c r="E73" s="7"/>
      <c r="F73" s="7"/>
      <c r="G73" s="6"/>
    </row>
    <row r="74" spans="1:7" ht="19.5" customHeight="1" x14ac:dyDescent="0.3">
      <c r="A74" s="3" t="str">
        <f t="shared" si="1"/>
        <v/>
      </c>
      <c r="B74" s="3"/>
      <c r="C74" s="4"/>
      <c r="D74" s="4"/>
      <c r="E74" s="4"/>
      <c r="F74" s="4"/>
      <c r="G74" s="3"/>
    </row>
    <row r="75" spans="1:7" ht="19.5" customHeight="1" x14ac:dyDescent="0.3">
      <c r="A75" s="6" t="str">
        <f t="shared" si="1"/>
        <v/>
      </c>
      <c r="B75" s="6"/>
      <c r="C75" s="7"/>
      <c r="D75" s="7"/>
      <c r="E75" s="7"/>
      <c r="F75" s="7"/>
      <c r="G75" s="6"/>
    </row>
    <row r="76" spans="1:7" ht="19.5" customHeight="1" x14ac:dyDescent="0.3">
      <c r="A76" s="3" t="str">
        <f t="shared" si="1"/>
        <v/>
      </c>
      <c r="B76" s="3"/>
      <c r="C76" s="4"/>
      <c r="D76" s="4"/>
      <c r="E76" s="4"/>
      <c r="F76" s="4"/>
      <c r="G76" s="3"/>
    </row>
    <row r="77" spans="1:7" ht="19.5" customHeight="1" x14ac:dyDescent="0.3">
      <c r="A77" s="6" t="str">
        <f t="shared" si="1"/>
        <v/>
      </c>
      <c r="B77" s="6"/>
      <c r="C77" s="7"/>
      <c r="D77" s="7"/>
      <c r="E77" s="7"/>
      <c r="F77" s="7"/>
      <c r="G77" s="6"/>
    </row>
    <row r="78" spans="1:7" ht="19.5" customHeight="1" x14ac:dyDescent="0.3">
      <c r="A78" s="3" t="str">
        <f t="shared" si="1"/>
        <v/>
      </c>
      <c r="B78" s="3"/>
      <c r="C78" s="4"/>
      <c r="D78" s="4"/>
      <c r="E78" s="4"/>
      <c r="F78" s="4"/>
      <c r="G78" s="3"/>
    </row>
    <row r="79" spans="1:7" ht="19.5" customHeight="1" x14ac:dyDescent="0.3">
      <c r="A79" s="6" t="str">
        <f t="shared" si="1"/>
        <v/>
      </c>
      <c r="B79" s="6"/>
      <c r="C79" s="7"/>
      <c r="D79" s="7"/>
      <c r="E79" s="7"/>
      <c r="F79" s="7"/>
      <c r="G79" s="6"/>
    </row>
    <row r="80" spans="1:7" ht="19.5" customHeight="1" x14ac:dyDescent="0.3">
      <c r="A80" s="3" t="str">
        <f t="shared" si="1"/>
        <v/>
      </c>
      <c r="B80" s="3"/>
      <c r="C80" s="4"/>
      <c r="D80" s="4"/>
      <c r="E80" s="4"/>
      <c r="F80" s="4"/>
      <c r="G80" s="3"/>
    </row>
    <row r="81" spans="1:7" ht="19.5" customHeight="1" x14ac:dyDescent="0.3">
      <c r="A81" s="6" t="str">
        <f t="shared" si="1"/>
        <v/>
      </c>
      <c r="B81" s="6"/>
      <c r="C81" s="7"/>
      <c r="D81" s="7"/>
      <c r="E81" s="7"/>
      <c r="F81" s="7"/>
      <c r="G81" s="6"/>
    </row>
    <row r="82" spans="1:7" ht="19.5" customHeight="1" x14ac:dyDescent="0.3">
      <c r="A82" s="3" t="str">
        <f t="shared" si="1"/>
        <v/>
      </c>
      <c r="B82" s="3"/>
      <c r="C82" s="4"/>
      <c r="D82" s="4"/>
      <c r="E82" s="4"/>
      <c r="F82" s="4"/>
      <c r="G82" s="3"/>
    </row>
    <row r="83" spans="1:7" ht="19.5" customHeight="1" x14ac:dyDescent="0.3">
      <c r="A83" s="6" t="str">
        <f t="shared" si="1"/>
        <v/>
      </c>
      <c r="B83" s="6"/>
      <c r="C83" s="7"/>
      <c r="D83" s="7"/>
      <c r="E83" s="7"/>
      <c r="F83" s="7"/>
      <c r="G83" s="6"/>
    </row>
    <row r="84" spans="1:7" ht="19.5" customHeight="1" x14ac:dyDescent="0.3">
      <c r="A84" s="3" t="str">
        <f t="shared" si="1"/>
        <v/>
      </c>
      <c r="B84" s="3"/>
      <c r="C84" s="4"/>
      <c r="D84" s="4"/>
      <c r="E84" s="4"/>
      <c r="F84" s="4"/>
      <c r="G84" s="3"/>
    </row>
    <row r="85" spans="1:7" ht="19.5" customHeight="1" x14ac:dyDescent="0.3">
      <c r="A85" s="6" t="str">
        <f t="shared" si="1"/>
        <v/>
      </c>
      <c r="B85" s="6"/>
      <c r="C85" s="7"/>
      <c r="D85" s="7"/>
      <c r="E85" s="7"/>
      <c r="F85" s="7"/>
      <c r="G85" s="6"/>
    </row>
    <row r="86" spans="1:7" ht="19.5" customHeight="1" x14ac:dyDescent="0.3">
      <c r="A86" s="3" t="str">
        <f t="shared" si="1"/>
        <v/>
      </c>
      <c r="B86" s="3"/>
      <c r="C86" s="4"/>
      <c r="D86" s="4"/>
      <c r="E86" s="4"/>
      <c r="F86" s="4"/>
      <c r="G86" s="3"/>
    </row>
    <row r="87" spans="1:7" ht="19.5" customHeight="1" x14ac:dyDescent="0.3">
      <c r="A87" s="6" t="str">
        <f t="shared" si="1"/>
        <v/>
      </c>
      <c r="B87" s="6"/>
      <c r="C87" s="7"/>
      <c r="D87" s="7"/>
      <c r="E87" s="7"/>
      <c r="F87" s="7"/>
      <c r="G87" s="6"/>
    </row>
    <row r="88" spans="1:7" ht="19.5" customHeight="1" x14ac:dyDescent="0.3">
      <c r="A88" s="3" t="str">
        <f t="shared" si="1"/>
        <v/>
      </c>
      <c r="B88" s="3"/>
      <c r="C88" s="4"/>
      <c r="D88" s="4"/>
      <c r="E88" s="4"/>
      <c r="F88" s="4"/>
      <c r="G88" s="3"/>
    </row>
    <row r="89" spans="1:7" ht="19.5" customHeight="1" x14ac:dyDescent="0.3">
      <c r="A89" s="6" t="str">
        <f t="shared" si="1"/>
        <v/>
      </c>
      <c r="B89" s="6"/>
      <c r="C89" s="7"/>
      <c r="D89" s="7"/>
      <c r="E89" s="7"/>
      <c r="F89" s="7"/>
      <c r="G89" s="6"/>
    </row>
    <row r="90" spans="1:7" ht="19.5" customHeight="1" x14ac:dyDescent="0.3">
      <c r="A90" s="3" t="str">
        <f t="shared" si="1"/>
        <v/>
      </c>
      <c r="B90" s="3"/>
      <c r="C90" s="4"/>
      <c r="D90" s="4"/>
      <c r="E90" s="4"/>
      <c r="F90" s="4"/>
      <c r="G90" s="3"/>
    </row>
    <row r="91" spans="1:7" ht="19.5" customHeight="1" x14ac:dyDescent="0.3">
      <c r="A91" s="6" t="str">
        <f t="shared" si="1"/>
        <v/>
      </c>
      <c r="B91" s="6"/>
      <c r="C91" s="7"/>
      <c r="D91" s="7"/>
      <c r="E91" s="7"/>
      <c r="F91" s="7"/>
      <c r="G91" s="6"/>
    </row>
    <row r="92" spans="1:7" ht="19.5" customHeight="1" x14ac:dyDescent="0.3">
      <c r="A92" s="3" t="str">
        <f t="shared" si="1"/>
        <v/>
      </c>
      <c r="B92" s="3"/>
      <c r="C92" s="4"/>
      <c r="D92" s="4"/>
      <c r="E92" s="4"/>
      <c r="F92" s="4"/>
      <c r="G92" s="3"/>
    </row>
    <row r="93" spans="1:7" ht="19.5" customHeight="1" x14ac:dyDescent="0.3">
      <c r="A93" s="6" t="str">
        <f t="shared" si="1"/>
        <v/>
      </c>
      <c r="B93" s="6"/>
      <c r="C93" s="7"/>
      <c r="D93" s="7"/>
      <c r="E93" s="7"/>
      <c r="F93" s="7"/>
      <c r="G93" s="6"/>
    </row>
    <row r="94" spans="1:7" ht="19.5" customHeight="1" x14ac:dyDescent="0.3">
      <c r="A94" s="3" t="str">
        <f t="shared" si="1"/>
        <v/>
      </c>
      <c r="B94" s="3"/>
      <c r="C94" s="4"/>
      <c r="D94" s="4"/>
      <c r="E94" s="4"/>
      <c r="F94" s="4"/>
      <c r="G94" s="3"/>
    </row>
    <row r="95" spans="1:7" ht="19.5" customHeight="1" x14ac:dyDescent="0.3">
      <c r="A95" s="6" t="str">
        <f t="shared" si="1"/>
        <v/>
      </c>
      <c r="B95" s="6"/>
      <c r="C95" s="7"/>
      <c r="D95" s="7"/>
      <c r="E95" s="7"/>
      <c r="F95" s="7"/>
      <c r="G95" s="6"/>
    </row>
    <row r="96" spans="1:7" ht="19.5" customHeight="1" x14ac:dyDescent="0.3">
      <c r="A96" s="3" t="str">
        <f t="shared" si="1"/>
        <v/>
      </c>
      <c r="B96" s="3"/>
      <c r="C96" s="4"/>
      <c r="D96" s="4"/>
      <c r="E96" s="4"/>
      <c r="F96" s="4"/>
      <c r="G96" s="3"/>
    </row>
    <row r="97" spans="1:7" ht="19.5" customHeight="1" x14ac:dyDescent="0.3">
      <c r="A97" s="6" t="str">
        <f t="shared" si="1"/>
        <v/>
      </c>
      <c r="B97" s="6"/>
      <c r="C97" s="7"/>
      <c r="D97" s="7"/>
      <c r="E97" s="7"/>
      <c r="F97" s="7"/>
      <c r="G97" s="6"/>
    </row>
    <row r="98" spans="1:7" ht="19.5" customHeight="1" x14ac:dyDescent="0.3">
      <c r="A98" s="3" t="str">
        <f t="shared" si="1"/>
        <v/>
      </c>
      <c r="B98" s="3"/>
      <c r="C98" s="4"/>
      <c r="D98" s="4"/>
      <c r="E98" s="4"/>
      <c r="F98" s="4"/>
      <c r="G98" s="3"/>
    </row>
    <row r="99" spans="1:7" ht="19.5" customHeight="1" x14ac:dyDescent="0.3">
      <c r="A99" s="6" t="str">
        <f t="shared" si="1"/>
        <v/>
      </c>
      <c r="B99" s="6"/>
      <c r="C99" s="7"/>
      <c r="D99" s="7"/>
      <c r="E99" s="7"/>
      <c r="F99" s="7"/>
      <c r="G99" s="6"/>
    </row>
    <row r="100" spans="1:7" ht="19.5" customHeight="1" x14ac:dyDescent="0.3">
      <c r="A100" s="3" t="str">
        <f t="shared" si="1"/>
        <v/>
      </c>
      <c r="B100" s="3"/>
      <c r="C100" s="4"/>
      <c r="D100" s="4"/>
      <c r="E100" s="4"/>
      <c r="F100" s="4"/>
      <c r="G100" s="3"/>
    </row>
    <row r="101" spans="1:7" ht="19.5" customHeight="1" x14ac:dyDescent="0.3">
      <c r="A101" s="6" t="str">
        <f t="shared" si="1"/>
        <v/>
      </c>
      <c r="B101" s="6"/>
      <c r="C101" s="7"/>
      <c r="D101" s="7"/>
      <c r="E101" s="7"/>
      <c r="F101" s="7"/>
      <c r="G101" s="6"/>
    </row>
    <row r="102" spans="1:7" ht="19.5" customHeight="1" x14ac:dyDescent="0.3">
      <c r="A102" s="3" t="str">
        <f t="shared" si="1"/>
        <v/>
      </c>
      <c r="B102" s="3"/>
      <c r="C102" s="4"/>
      <c r="D102" s="4"/>
      <c r="E102" s="4"/>
      <c r="F102" s="4"/>
      <c r="G102" s="3"/>
    </row>
    <row r="103" spans="1:7" ht="19.5" customHeight="1" x14ac:dyDescent="0.3">
      <c r="A103" s="6" t="str">
        <f t="shared" si="1"/>
        <v/>
      </c>
      <c r="B103" s="6"/>
      <c r="C103" s="7"/>
      <c r="D103" s="7"/>
      <c r="E103" s="7"/>
      <c r="F103" s="7"/>
      <c r="G103" s="6"/>
    </row>
    <row r="104" spans="1:7" ht="19.5" customHeight="1" x14ac:dyDescent="0.3">
      <c r="A104" s="3" t="str">
        <f t="shared" si="1"/>
        <v/>
      </c>
      <c r="B104" s="3"/>
      <c r="C104" s="4"/>
      <c r="D104" s="4"/>
      <c r="E104" s="4"/>
      <c r="F104" s="4"/>
      <c r="G104" s="3"/>
    </row>
    <row r="105" spans="1:7" ht="19.5" customHeight="1" x14ac:dyDescent="0.3">
      <c r="A105" s="6" t="str">
        <f t="shared" si="1"/>
        <v/>
      </c>
      <c r="B105" s="6"/>
      <c r="C105" s="7"/>
      <c r="D105" s="7"/>
      <c r="E105" s="7"/>
      <c r="F105" s="7"/>
      <c r="G105" s="6"/>
    </row>
    <row r="106" spans="1:7" ht="19.5" customHeight="1" x14ac:dyDescent="0.3">
      <c r="A106" s="3" t="str">
        <f t="shared" si="1"/>
        <v/>
      </c>
      <c r="B106" s="3"/>
      <c r="C106" s="4"/>
      <c r="D106" s="4"/>
      <c r="E106" s="4"/>
      <c r="F106" s="4"/>
      <c r="G106" s="3"/>
    </row>
    <row r="107" spans="1:7" ht="19.5" customHeight="1" x14ac:dyDescent="0.3">
      <c r="A107" s="6" t="str">
        <f t="shared" si="1"/>
        <v/>
      </c>
      <c r="B107" s="6"/>
      <c r="C107" s="7"/>
      <c r="D107" s="7"/>
      <c r="E107" s="7"/>
      <c r="F107" s="7"/>
      <c r="G107" s="6"/>
    </row>
    <row r="108" spans="1:7" ht="19.5" customHeight="1" x14ac:dyDescent="0.3">
      <c r="A108" s="3" t="str">
        <f t="shared" si="1"/>
        <v/>
      </c>
      <c r="B108" s="3"/>
      <c r="C108" s="4"/>
      <c r="D108" s="4"/>
      <c r="E108" s="4"/>
      <c r="F108" s="4"/>
      <c r="G108" s="3"/>
    </row>
    <row r="109" spans="1:7" ht="19.5" customHeight="1" x14ac:dyDescent="0.3">
      <c r="A109" s="6" t="str">
        <f t="shared" si="1"/>
        <v/>
      </c>
      <c r="B109" s="6"/>
      <c r="C109" s="7"/>
      <c r="D109" s="7"/>
      <c r="E109" s="7"/>
      <c r="F109" s="7"/>
      <c r="G109" s="6"/>
    </row>
    <row r="110" spans="1:7" ht="19.5" customHeight="1" x14ac:dyDescent="0.3">
      <c r="A110" s="3" t="str">
        <f t="shared" si="1"/>
        <v/>
      </c>
      <c r="B110" s="3"/>
      <c r="C110" s="4"/>
      <c r="D110" s="4"/>
      <c r="E110" s="4"/>
      <c r="F110" s="4"/>
      <c r="G110" s="3"/>
    </row>
    <row r="111" spans="1:7" ht="19.5" customHeight="1" x14ac:dyDescent="0.3">
      <c r="A111" s="6" t="str">
        <f t="shared" si="1"/>
        <v/>
      </c>
      <c r="B111" s="6"/>
      <c r="C111" s="7"/>
      <c r="D111" s="7"/>
      <c r="E111" s="7"/>
      <c r="F111" s="7"/>
      <c r="G111" s="6"/>
    </row>
    <row r="112" spans="1:7" ht="19.5" customHeight="1" x14ac:dyDescent="0.3">
      <c r="A112" s="3" t="str">
        <f t="shared" si="1"/>
        <v/>
      </c>
      <c r="B112" s="3"/>
      <c r="C112" s="4"/>
      <c r="D112" s="4"/>
      <c r="E112" s="4"/>
      <c r="F112" s="4"/>
      <c r="G112" s="3"/>
    </row>
    <row r="113" spans="1:7" ht="19.5" customHeight="1" x14ac:dyDescent="0.3">
      <c r="A113" s="6" t="str">
        <f t="shared" si="1"/>
        <v/>
      </c>
      <c r="B113" s="6"/>
      <c r="C113" s="7"/>
      <c r="D113" s="7"/>
      <c r="E113" s="7"/>
      <c r="F113" s="7"/>
      <c r="G113" s="6"/>
    </row>
    <row r="114" spans="1:7" ht="19.5" customHeight="1" x14ac:dyDescent="0.3">
      <c r="A114" s="3" t="str">
        <f t="shared" si="1"/>
        <v/>
      </c>
      <c r="B114" s="3"/>
      <c r="C114" s="4"/>
      <c r="D114" s="4"/>
      <c r="E114" s="4"/>
      <c r="F114" s="4"/>
      <c r="G114" s="3"/>
    </row>
    <row r="115" spans="1:7" ht="19.5" customHeight="1" x14ac:dyDescent="0.3">
      <c r="A115" s="6" t="str">
        <f t="shared" si="1"/>
        <v/>
      </c>
      <c r="B115" s="6"/>
      <c r="C115" s="7"/>
      <c r="D115" s="7"/>
      <c r="E115" s="7"/>
      <c r="F115" s="7"/>
      <c r="G115" s="6"/>
    </row>
    <row r="116" spans="1:7" ht="19.5" customHeight="1" x14ac:dyDescent="0.3">
      <c r="A116" s="3" t="str">
        <f t="shared" si="1"/>
        <v/>
      </c>
      <c r="B116" s="3"/>
      <c r="C116" s="4"/>
      <c r="D116" s="4"/>
      <c r="E116" s="4"/>
      <c r="F116" s="4"/>
      <c r="G116" s="3"/>
    </row>
    <row r="117" spans="1:7" ht="19.5" customHeight="1" x14ac:dyDescent="0.3">
      <c r="A117" s="6" t="str">
        <f t="shared" si="1"/>
        <v/>
      </c>
      <c r="B117" s="6"/>
      <c r="C117" s="7"/>
      <c r="D117" s="7"/>
      <c r="E117" s="7"/>
      <c r="F117" s="7"/>
      <c r="G117" s="6"/>
    </row>
    <row r="118" spans="1:7" ht="19.5" customHeight="1" x14ac:dyDescent="0.3">
      <c r="A118" s="3" t="str">
        <f t="shared" si="1"/>
        <v/>
      </c>
      <c r="B118" s="3"/>
      <c r="C118" s="4"/>
      <c r="D118" s="4"/>
      <c r="E118" s="4"/>
      <c r="F118" s="4"/>
      <c r="G118" s="3"/>
    </row>
    <row r="119" spans="1:7" ht="19.5" customHeight="1" x14ac:dyDescent="0.3">
      <c r="A119" s="6" t="str">
        <f t="shared" si="1"/>
        <v/>
      </c>
      <c r="B119" s="6"/>
      <c r="C119" s="7"/>
      <c r="D119" s="7"/>
      <c r="E119" s="7"/>
      <c r="F119" s="7"/>
      <c r="G119" s="6"/>
    </row>
    <row r="120" spans="1:7" ht="19.5" customHeight="1" x14ac:dyDescent="0.3">
      <c r="A120" s="3" t="str">
        <f t="shared" si="1"/>
        <v/>
      </c>
      <c r="B120" s="3"/>
      <c r="C120" s="4"/>
      <c r="D120" s="4"/>
      <c r="E120" s="4"/>
      <c r="F120" s="4"/>
      <c r="G120" s="3"/>
    </row>
    <row r="121" spans="1:7" ht="19.5" customHeight="1" x14ac:dyDescent="0.3">
      <c r="A121" s="6" t="str">
        <f t="shared" si="1"/>
        <v/>
      </c>
      <c r="B121" s="6"/>
      <c r="C121" s="7"/>
      <c r="D121" s="7"/>
      <c r="E121" s="7"/>
      <c r="F121" s="7"/>
      <c r="G121" s="6"/>
    </row>
    <row r="122" spans="1:7" ht="19.5" customHeight="1" x14ac:dyDescent="0.3">
      <c r="A122" s="3" t="str">
        <f t="shared" si="1"/>
        <v/>
      </c>
      <c r="B122" s="3"/>
      <c r="C122" s="4"/>
      <c r="D122" s="4"/>
      <c r="E122" s="4"/>
      <c r="F122" s="4"/>
      <c r="G122" s="3"/>
    </row>
    <row r="123" spans="1:7" ht="19.5" customHeight="1" x14ac:dyDescent="0.3">
      <c r="A123" s="6" t="str">
        <f t="shared" si="1"/>
        <v/>
      </c>
      <c r="B123" s="6"/>
      <c r="C123" s="7"/>
      <c r="D123" s="7"/>
      <c r="E123" s="7"/>
      <c r="F123" s="7"/>
      <c r="G123" s="6"/>
    </row>
    <row r="124" spans="1:7" ht="19.5" customHeight="1" x14ac:dyDescent="0.3">
      <c r="A124" s="3" t="str">
        <f t="shared" si="1"/>
        <v/>
      </c>
      <c r="B124" s="3"/>
      <c r="C124" s="4"/>
      <c r="D124" s="4"/>
      <c r="E124" s="4"/>
      <c r="F124" s="4"/>
      <c r="G124" s="3"/>
    </row>
    <row r="125" spans="1:7" ht="19.5" customHeight="1" x14ac:dyDescent="0.3">
      <c r="A125" s="6" t="str">
        <f t="shared" si="1"/>
        <v/>
      </c>
      <c r="B125" s="6"/>
      <c r="C125" s="7"/>
      <c r="D125" s="7"/>
      <c r="E125" s="7"/>
      <c r="F125" s="7"/>
      <c r="G125" s="6"/>
    </row>
    <row r="126" spans="1:7" ht="19.5" customHeight="1" x14ac:dyDescent="0.3">
      <c r="A126" s="3" t="str">
        <f t="shared" si="1"/>
        <v/>
      </c>
      <c r="B126" s="3"/>
      <c r="C126" s="4"/>
      <c r="D126" s="4"/>
      <c r="E126" s="4"/>
      <c r="F126" s="4"/>
      <c r="G126" s="3"/>
    </row>
    <row r="127" spans="1:7" ht="19.5" customHeight="1" x14ac:dyDescent="0.3">
      <c r="A127" s="6" t="str">
        <f t="shared" si="1"/>
        <v/>
      </c>
      <c r="B127" s="6"/>
      <c r="C127" s="7"/>
      <c r="D127" s="7"/>
      <c r="E127" s="7"/>
      <c r="F127" s="7"/>
      <c r="G127" s="6"/>
    </row>
    <row r="128" spans="1:7" ht="19.5" customHeight="1" x14ac:dyDescent="0.3">
      <c r="A128" s="3" t="str">
        <f t="shared" si="1"/>
        <v/>
      </c>
      <c r="B128" s="3"/>
      <c r="C128" s="4"/>
      <c r="D128" s="4"/>
      <c r="E128" s="4"/>
      <c r="F128" s="4"/>
      <c r="G128" s="3"/>
    </row>
    <row r="129" spans="1:7" ht="19.5" customHeight="1" x14ac:dyDescent="0.3">
      <c r="A129" s="6" t="str">
        <f t="shared" si="1"/>
        <v/>
      </c>
      <c r="B129" s="6"/>
      <c r="C129" s="7"/>
      <c r="D129" s="7"/>
      <c r="E129" s="7"/>
      <c r="F129" s="7"/>
      <c r="G129" s="6"/>
    </row>
    <row r="130" spans="1:7" ht="19.5" customHeight="1" x14ac:dyDescent="0.3">
      <c r="A130" s="3" t="str">
        <f t="shared" si="1"/>
        <v/>
      </c>
      <c r="B130" s="3"/>
      <c r="C130" s="4"/>
      <c r="D130" s="4"/>
      <c r="E130" s="4"/>
      <c r="F130" s="4"/>
      <c r="G130" s="3"/>
    </row>
    <row r="131" spans="1:7" ht="19.5" customHeight="1" x14ac:dyDescent="0.3">
      <c r="A131" s="6" t="str">
        <f t="shared" si="1"/>
        <v/>
      </c>
      <c r="B131" s="6"/>
      <c r="C131" s="7"/>
      <c r="D131" s="7"/>
      <c r="E131" s="7"/>
      <c r="F131" s="7"/>
      <c r="G131" s="6"/>
    </row>
    <row r="132" spans="1:7" ht="19.5" customHeight="1" x14ac:dyDescent="0.3">
      <c r="A132" s="3" t="str">
        <f t="shared" ref="A132:A195" si="2">IF(B132&lt;&gt;"",ROW()-3,"")</f>
        <v/>
      </c>
      <c r="B132" s="3"/>
      <c r="C132" s="4"/>
      <c r="D132" s="4"/>
      <c r="E132" s="4"/>
      <c r="F132" s="4"/>
      <c r="G132" s="3"/>
    </row>
    <row r="133" spans="1:7" ht="19.5" customHeight="1" x14ac:dyDescent="0.3">
      <c r="A133" s="6" t="str">
        <f t="shared" si="2"/>
        <v/>
      </c>
      <c r="B133" s="6"/>
      <c r="C133" s="7"/>
      <c r="D133" s="7"/>
      <c r="E133" s="7"/>
      <c r="F133" s="7"/>
      <c r="G133" s="6"/>
    </row>
    <row r="134" spans="1:7" ht="19.5" customHeight="1" x14ac:dyDescent="0.3">
      <c r="A134" s="3" t="str">
        <f t="shared" si="2"/>
        <v/>
      </c>
      <c r="B134" s="3"/>
      <c r="C134" s="4"/>
      <c r="D134" s="4"/>
      <c r="E134" s="4"/>
      <c r="F134" s="4"/>
      <c r="G134" s="3"/>
    </row>
    <row r="135" spans="1:7" ht="19.5" customHeight="1" x14ac:dyDescent="0.3">
      <c r="A135" s="6" t="str">
        <f t="shared" si="2"/>
        <v/>
      </c>
      <c r="B135" s="6"/>
      <c r="C135" s="7"/>
      <c r="D135" s="7"/>
      <c r="E135" s="7"/>
      <c r="F135" s="7"/>
      <c r="G135" s="6"/>
    </row>
    <row r="136" spans="1:7" ht="19.5" customHeight="1" x14ac:dyDescent="0.3">
      <c r="A136" s="3" t="str">
        <f t="shared" si="2"/>
        <v/>
      </c>
      <c r="B136" s="3"/>
      <c r="C136" s="4"/>
      <c r="D136" s="4"/>
      <c r="E136" s="4"/>
      <c r="F136" s="4"/>
      <c r="G136" s="3"/>
    </row>
    <row r="137" spans="1:7" ht="19.5" customHeight="1" x14ac:dyDescent="0.3">
      <c r="A137" s="6" t="str">
        <f t="shared" si="2"/>
        <v/>
      </c>
      <c r="B137" s="6"/>
      <c r="C137" s="7"/>
      <c r="D137" s="7"/>
      <c r="E137" s="7"/>
      <c r="F137" s="7"/>
      <c r="G137" s="6"/>
    </row>
    <row r="138" spans="1:7" ht="19.5" customHeight="1" x14ac:dyDescent="0.3">
      <c r="A138" s="3" t="str">
        <f t="shared" si="2"/>
        <v/>
      </c>
      <c r="B138" s="3"/>
      <c r="C138" s="4"/>
      <c r="D138" s="4"/>
      <c r="E138" s="4"/>
      <c r="F138" s="4"/>
      <c r="G138" s="3"/>
    </row>
    <row r="139" spans="1:7" ht="19.5" customHeight="1" x14ac:dyDescent="0.3">
      <c r="A139" s="6" t="str">
        <f t="shared" si="2"/>
        <v/>
      </c>
      <c r="B139" s="6"/>
      <c r="C139" s="7"/>
      <c r="D139" s="7"/>
      <c r="E139" s="7"/>
      <c r="F139" s="7"/>
      <c r="G139" s="6"/>
    </row>
    <row r="140" spans="1:7" ht="19.5" customHeight="1" x14ac:dyDescent="0.3">
      <c r="A140" s="3" t="str">
        <f t="shared" si="2"/>
        <v/>
      </c>
      <c r="B140" s="3"/>
      <c r="C140" s="4"/>
      <c r="D140" s="4"/>
      <c r="E140" s="4"/>
      <c r="F140" s="4"/>
      <c r="G140" s="3"/>
    </row>
    <row r="141" spans="1:7" ht="19.5" customHeight="1" x14ac:dyDescent="0.3">
      <c r="A141" s="6" t="str">
        <f t="shared" si="2"/>
        <v/>
      </c>
      <c r="B141" s="6"/>
      <c r="C141" s="7"/>
      <c r="D141" s="7"/>
      <c r="E141" s="7"/>
      <c r="F141" s="7"/>
      <c r="G141" s="6"/>
    </row>
    <row r="142" spans="1:7" ht="19.5" customHeight="1" x14ac:dyDescent="0.3">
      <c r="A142" s="3" t="str">
        <f t="shared" si="2"/>
        <v/>
      </c>
      <c r="B142" s="3"/>
      <c r="C142" s="4"/>
      <c r="D142" s="4"/>
      <c r="E142" s="4"/>
      <c r="F142" s="4"/>
      <c r="G142" s="3"/>
    </row>
    <row r="143" spans="1:7" ht="19.5" customHeight="1" x14ac:dyDescent="0.3">
      <c r="A143" s="6" t="str">
        <f t="shared" si="2"/>
        <v/>
      </c>
      <c r="B143" s="6"/>
      <c r="C143" s="7"/>
      <c r="D143" s="7"/>
      <c r="E143" s="7"/>
      <c r="F143" s="7"/>
      <c r="G143" s="6"/>
    </row>
    <row r="144" spans="1:7" ht="19.5" customHeight="1" x14ac:dyDescent="0.3">
      <c r="A144" s="3" t="str">
        <f t="shared" si="2"/>
        <v/>
      </c>
      <c r="B144" s="3"/>
      <c r="C144" s="4"/>
      <c r="D144" s="4"/>
      <c r="E144" s="4"/>
      <c r="F144" s="4"/>
      <c r="G144" s="3"/>
    </row>
    <row r="145" spans="1:7" ht="19.5" customHeight="1" x14ac:dyDescent="0.3">
      <c r="A145" s="6" t="str">
        <f t="shared" si="2"/>
        <v/>
      </c>
      <c r="B145" s="6"/>
      <c r="C145" s="7"/>
      <c r="D145" s="7"/>
      <c r="E145" s="7"/>
      <c r="F145" s="7"/>
      <c r="G145" s="6"/>
    </row>
    <row r="146" spans="1:7" ht="19.5" customHeight="1" x14ac:dyDescent="0.3">
      <c r="A146" s="3" t="str">
        <f t="shared" si="2"/>
        <v/>
      </c>
      <c r="B146" s="3"/>
      <c r="C146" s="4"/>
      <c r="D146" s="4"/>
      <c r="E146" s="4"/>
      <c r="F146" s="4"/>
      <c r="G146" s="3"/>
    </row>
    <row r="147" spans="1:7" ht="19.5" customHeight="1" x14ac:dyDescent="0.3">
      <c r="A147" s="6" t="str">
        <f t="shared" si="2"/>
        <v/>
      </c>
      <c r="B147" s="6"/>
      <c r="C147" s="7"/>
      <c r="D147" s="7"/>
      <c r="E147" s="7"/>
      <c r="F147" s="7"/>
      <c r="G147" s="6"/>
    </row>
    <row r="148" spans="1:7" ht="19.5" customHeight="1" x14ac:dyDescent="0.3">
      <c r="A148" s="3" t="str">
        <f t="shared" si="2"/>
        <v/>
      </c>
      <c r="B148" s="3"/>
      <c r="C148" s="4"/>
      <c r="D148" s="4"/>
      <c r="E148" s="4"/>
      <c r="F148" s="4"/>
      <c r="G148" s="3"/>
    </row>
    <row r="149" spans="1:7" ht="19.5" customHeight="1" x14ac:dyDescent="0.3">
      <c r="A149" s="6" t="str">
        <f t="shared" si="2"/>
        <v/>
      </c>
      <c r="B149" s="6"/>
      <c r="C149" s="7"/>
      <c r="D149" s="7"/>
      <c r="E149" s="7"/>
      <c r="F149" s="7"/>
      <c r="G149" s="6"/>
    </row>
    <row r="150" spans="1:7" ht="19.5" customHeight="1" x14ac:dyDescent="0.3">
      <c r="A150" s="3" t="str">
        <f t="shared" si="2"/>
        <v/>
      </c>
      <c r="B150" s="3"/>
      <c r="C150" s="4"/>
      <c r="D150" s="4"/>
      <c r="E150" s="4"/>
      <c r="F150" s="4"/>
      <c r="G150" s="3"/>
    </row>
    <row r="151" spans="1:7" ht="19.5" customHeight="1" x14ac:dyDescent="0.3">
      <c r="A151" s="6" t="str">
        <f t="shared" si="2"/>
        <v/>
      </c>
      <c r="B151" s="6"/>
      <c r="C151" s="7"/>
      <c r="D151" s="7"/>
      <c r="E151" s="7"/>
      <c r="F151" s="7"/>
      <c r="G151" s="6"/>
    </row>
    <row r="152" spans="1:7" ht="19.5" customHeight="1" x14ac:dyDescent="0.3">
      <c r="A152" s="3" t="str">
        <f t="shared" si="2"/>
        <v/>
      </c>
      <c r="B152" s="3"/>
      <c r="C152" s="4"/>
      <c r="D152" s="4"/>
      <c r="E152" s="4"/>
      <c r="F152" s="4"/>
      <c r="G152" s="3"/>
    </row>
    <row r="153" spans="1:7" ht="19.5" customHeight="1" x14ac:dyDescent="0.3">
      <c r="A153" s="6" t="str">
        <f t="shared" si="2"/>
        <v/>
      </c>
      <c r="B153" s="6"/>
      <c r="C153" s="7"/>
      <c r="D153" s="7"/>
      <c r="E153" s="7"/>
      <c r="F153" s="7"/>
      <c r="G153" s="6"/>
    </row>
    <row r="154" spans="1:7" ht="19.5" customHeight="1" x14ac:dyDescent="0.3">
      <c r="A154" s="3" t="str">
        <f t="shared" si="2"/>
        <v/>
      </c>
      <c r="B154" s="3"/>
      <c r="C154" s="4"/>
      <c r="D154" s="4"/>
      <c r="E154" s="4"/>
      <c r="F154" s="4"/>
      <c r="G154" s="3"/>
    </row>
    <row r="155" spans="1:7" ht="19.5" customHeight="1" x14ac:dyDescent="0.3">
      <c r="A155" s="6" t="str">
        <f t="shared" si="2"/>
        <v/>
      </c>
      <c r="B155" s="6"/>
      <c r="C155" s="7"/>
      <c r="D155" s="7"/>
      <c r="E155" s="7"/>
      <c r="F155" s="7"/>
      <c r="G155" s="6"/>
    </row>
    <row r="156" spans="1:7" ht="19.5" customHeight="1" x14ac:dyDescent="0.3">
      <c r="A156" s="3" t="str">
        <f t="shared" si="2"/>
        <v/>
      </c>
      <c r="B156" s="3"/>
      <c r="C156" s="4"/>
      <c r="D156" s="4"/>
      <c r="E156" s="4"/>
      <c r="F156" s="4"/>
      <c r="G156" s="3"/>
    </row>
    <row r="157" spans="1:7" ht="19.5" customHeight="1" x14ac:dyDescent="0.3">
      <c r="A157" s="6" t="str">
        <f t="shared" si="2"/>
        <v/>
      </c>
      <c r="B157" s="6"/>
      <c r="C157" s="7"/>
      <c r="D157" s="7"/>
      <c r="E157" s="7"/>
      <c r="F157" s="7"/>
      <c r="G157" s="6"/>
    </row>
    <row r="158" spans="1:7" ht="19.5" customHeight="1" x14ac:dyDescent="0.3">
      <c r="A158" s="3" t="str">
        <f t="shared" si="2"/>
        <v/>
      </c>
      <c r="B158" s="3"/>
      <c r="C158" s="4"/>
      <c r="D158" s="4"/>
      <c r="E158" s="4"/>
      <c r="F158" s="4"/>
      <c r="G158" s="3"/>
    </row>
    <row r="159" spans="1:7" ht="19.5" customHeight="1" x14ac:dyDescent="0.3">
      <c r="A159" s="6" t="str">
        <f t="shared" si="2"/>
        <v/>
      </c>
      <c r="B159" s="6"/>
      <c r="C159" s="7"/>
      <c r="D159" s="7"/>
      <c r="E159" s="7"/>
      <c r="F159" s="7"/>
      <c r="G159" s="6"/>
    </row>
    <row r="160" spans="1:7" ht="19.5" customHeight="1" x14ac:dyDescent="0.3">
      <c r="A160" s="3" t="str">
        <f t="shared" si="2"/>
        <v/>
      </c>
      <c r="B160" s="3"/>
      <c r="C160" s="4"/>
      <c r="D160" s="4"/>
      <c r="E160" s="4"/>
      <c r="F160" s="4"/>
      <c r="G160" s="3"/>
    </row>
    <row r="161" spans="1:7" ht="19.5" customHeight="1" x14ac:dyDescent="0.3">
      <c r="A161" s="6" t="str">
        <f t="shared" si="2"/>
        <v/>
      </c>
      <c r="B161" s="6"/>
      <c r="C161" s="7"/>
      <c r="D161" s="7"/>
      <c r="E161" s="7"/>
      <c r="F161" s="7"/>
      <c r="G161" s="6"/>
    </row>
    <row r="162" spans="1:7" ht="19.5" customHeight="1" x14ac:dyDescent="0.3">
      <c r="A162" s="3" t="str">
        <f t="shared" si="2"/>
        <v/>
      </c>
      <c r="B162" s="3"/>
      <c r="C162" s="4"/>
      <c r="D162" s="4"/>
      <c r="E162" s="4"/>
      <c r="F162" s="4"/>
      <c r="G162" s="3"/>
    </row>
    <row r="163" spans="1:7" ht="19.5" customHeight="1" x14ac:dyDescent="0.3">
      <c r="A163" s="6" t="str">
        <f t="shared" si="2"/>
        <v/>
      </c>
      <c r="B163" s="6"/>
      <c r="C163" s="7"/>
      <c r="D163" s="7"/>
      <c r="E163" s="7"/>
      <c r="F163" s="7"/>
      <c r="G163" s="6"/>
    </row>
    <row r="164" spans="1:7" ht="19.5" customHeight="1" x14ac:dyDescent="0.3">
      <c r="A164" s="3" t="str">
        <f t="shared" si="2"/>
        <v/>
      </c>
      <c r="B164" s="3"/>
      <c r="C164" s="4"/>
      <c r="D164" s="4"/>
      <c r="E164" s="4"/>
      <c r="F164" s="4"/>
      <c r="G164" s="3"/>
    </row>
    <row r="165" spans="1:7" ht="19.5" customHeight="1" x14ac:dyDescent="0.3">
      <c r="A165" s="6" t="str">
        <f t="shared" si="2"/>
        <v/>
      </c>
      <c r="B165" s="6"/>
      <c r="C165" s="7"/>
      <c r="D165" s="7"/>
      <c r="E165" s="7"/>
      <c r="F165" s="7"/>
      <c r="G165" s="6"/>
    </row>
    <row r="166" spans="1:7" ht="19.5" customHeight="1" x14ac:dyDescent="0.3">
      <c r="A166" s="3" t="str">
        <f t="shared" si="2"/>
        <v/>
      </c>
      <c r="B166" s="3"/>
      <c r="C166" s="4"/>
      <c r="D166" s="4"/>
      <c r="E166" s="4"/>
      <c r="F166" s="4"/>
      <c r="G166" s="3"/>
    </row>
    <row r="167" spans="1:7" ht="19.5" customHeight="1" x14ac:dyDescent="0.3">
      <c r="A167" s="6" t="str">
        <f t="shared" si="2"/>
        <v/>
      </c>
      <c r="B167" s="6"/>
      <c r="C167" s="7"/>
      <c r="D167" s="7"/>
      <c r="E167" s="7"/>
      <c r="F167" s="7"/>
      <c r="G167" s="6"/>
    </row>
    <row r="168" spans="1:7" ht="19.5" customHeight="1" x14ac:dyDescent="0.3">
      <c r="A168" s="3" t="str">
        <f t="shared" si="2"/>
        <v/>
      </c>
      <c r="B168" s="3"/>
      <c r="C168" s="4"/>
      <c r="D168" s="4"/>
      <c r="E168" s="4"/>
      <c r="F168" s="4"/>
      <c r="G168" s="3"/>
    </row>
    <row r="169" spans="1:7" ht="19.5" customHeight="1" x14ac:dyDescent="0.3">
      <c r="A169" s="6" t="str">
        <f t="shared" si="2"/>
        <v/>
      </c>
      <c r="B169" s="6"/>
      <c r="C169" s="7"/>
      <c r="D169" s="7"/>
      <c r="E169" s="7"/>
      <c r="F169" s="7"/>
      <c r="G169" s="6"/>
    </row>
    <row r="170" spans="1:7" ht="19.5" customHeight="1" x14ac:dyDescent="0.3">
      <c r="A170" s="3" t="str">
        <f t="shared" si="2"/>
        <v/>
      </c>
      <c r="B170" s="3"/>
      <c r="C170" s="4"/>
      <c r="D170" s="4"/>
      <c r="E170" s="4"/>
      <c r="F170" s="4"/>
      <c r="G170" s="3"/>
    </row>
    <row r="171" spans="1:7" ht="19.5" customHeight="1" x14ac:dyDescent="0.3">
      <c r="A171" s="6" t="str">
        <f t="shared" si="2"/>
        <v/>
      </c>
      <c r="B171" s="6"/>
      <c r="C171" s="7"/>
      <c r="D171" s="7"/>
      <c r="E171" s="7"/>
      <c r="F171" s="7"/>
      <c r="G171" s="6"/>
    </row>
    <row r="172" spans="1:7" ht="19.5" customHeight="1" x14ac:dyDescent="0.3">
      <c r="A172" s="3" t="str">
        <f t="shared" si="2"/>
        <v/>
      </c>
      <c r="B172" s="3"/>
      <c r="C172" s="4"/>
      <c r="D172" s="4"/>
      <c r="E172" s="4"/>
      <c r="F172" s="4"/>
      <c r="G172" s="3"/>
    </row>
    <row r="173" spans="1:7" ht="19.5" customHeight="1" x14ac:dyDescent="0.3">
      <c r="A173" s="6" t="str">
        <f t="shared" si="2"/>
        <v/>
      </c>
      <c r="B173" s="6"/>
      <c r="C173" s="7"/>
      <c r="D173" s="7"/>
      <c r="E173" s="7"/>
      <c r="F173" s="7"/>
      <c r="G173" s="6"/>
    </row>
    <row r="174" spans="1:7" ht="19.5" customHeight="1" x14ac:dyDescent="0.3">
      <c r="A174" s="3" t="str">
        <f t="shared" si="2"/>
        <v/>
      </c>
      <c r="B174" s="3"/>
      <c r="C174" s="4"/>
      <c r="D174" s="4"/>
      <c r="E174" s="4"/>
      <c r="F174" s="4"/>
      <c r="G174" s="3"/>
    </row>
    <row r="175" spans="1:7" ht="19.5" customHeight="1" x14ac:dyDescent="0.3">
      <c r="A175" s="6" t="str">
        <f t="shared" si="2"/>
        <v/>
      </c>
      <c r="B175" s="6"/>
      <c r="C175" s="7"/>
      <c r="D175" s="7"/>
      <c r="E175" s="7"/>
      <c r="F175" s="7"/>
      <c r="G175" s="6"/>
    </row>
    <row r="176" spans="1:7" ht="19.5" customHeight="1" x14ac:dyDescent="0.3">
      <c r="A176" s="3" t="str">
        <f t="shared" si="2"/>
        <v/>
      </c>
      <c r="B176" s="3"/>
      <c r="C176" s="4"/>
      <c r="D176" s="4"/>
      <c r="E176" s="4"/>
      <c r="F176" s="4"/>
      <c r="G176" s="3"/>
    </row>
    <row r="177" spans="1:7" ht="19.5" customHeight="1" x14ac:dyDescent="0.3">
      <c r="A177" s="6" t="str">
        <f t="shared" si="2"/>
        <v/>
      </c>
      <c r="B177" s="6"/>
      <c r="C177" s="7"/>
      <c r="D177" s="7"/>
      <c r="E177" s="7"/>
      <c r="F177" s="7"/>
      <c r="G177" s="6"/>
    </row>
    <row r="178" spans="1:7" ht="19.5" customHeight="1" x14ac:dyDescent="0.3">
      <c r="A178" s="3" t="str">
        <f t="shared" si="2"/>
        <v/>
      </c>
      <c r="B178" s="3"/>
      <c r="C178" s="4"/>
      <c r="D178" s="4"/>
      <c r="E178" s="4"/>
      <c r="F178" s="4"/>
      <c r="G178" s="3"/>
    </row>
    <row r="179" spans="1:7" ht="19.5" customHeight="1" x14ac:dyDescent="0.3">
      <c r="A179" s="6" t="str">
        <f t="shared" si="2"/>
        <v/>
      </c>
      <c r="B179" s="6"/>
      <c r="C179" s="7"/>
      <c r="D179" s="7"/>
      <c r="E179" s="7"/>
      <c r="F179" s="7"/>
      <c r="G179" s="6"/>
    </row>
    <row r="180" spans="1:7" ht="19.5" customHeight="1" x14ac:dyDescent="0.3">
      <c r="A180" s="3" t="str">
        <f t="shared" si="2"/>
        <v/>
      </c>
      <c r="B180" s="3"/>
      <c r="C180" s="4"/>
      <c r="D180" s="4"/>
      <c r="E180" s="4"/>
      <c r="F180" s="4"/>
      <c r="G180" s="3"/>
    </row>
    <row r="181" spans="1:7" ht="19.5" customHeight="1" x14ac:dyDescent="0.3">
      <c r="A181" s="6" t="str">
        <f t="shared" si="2"/>
        <v/>
      </c>
      <c r="B181" s="6"/>
      <c r="C181" s="7"/>
      <c r="D181" s="7"/>
      <c r="E181" s="7"/>
      <c r="F181" s="7"/>
      <c r="G181" s="6"/>
    </row>
    <row r="182" spans="1:7" ht="19.5" customHeight="1" x14ac:dyDescent="0.3">
      <c r="A182" s="3" t="str">
        <f t="shared" si="2"/>
        <v/>
      </c>
      <c r="B182" s="3"/>
      <c r="C182" s="4"/>
      <c r="D182" s="4"/>
      <c r="E182" s="4"/>
      <c r="F182" s="4"/>
      <c r="G182" s="3"/>
    </row>
    <row r="183" spans="1:7" ht="19.5" customHeight="1" x14ac:dyDescent="0.3">
      <c r="A183" s="6" t="str">
        <f t="shared" si="2"/>
        <v/>
      </c>
      <c r="B183" s="6"/>
      <c r="C183" s="7"/>
      <c r="D183" s="7"/>
      <c r="E183" s="7"/>
      <c r="F183" s="7"/>
      <c r="G183" s="6"/>
    </row>
    <row r="184" spans="1:7" ht="19.5" customHeight="1" x14ac:dyDescent="0.3">
      <c r="A184" s="3" t="str">
        <f t="shared" si="2"/>
        <v/>
      </c>
      <c r="B184" s="3"/>
      <c r="C184" s="4"/>
      <c r="D184" s="4"/>
      <c r="E184" s="4"/>
      <c r="F184" s="4"/>
      <c r="G184" s="3"/>
    </row>
    <row r="185" spans="1:7" ht="19.5" customHeight="1" x14ac:dyDescent="0.3">
      <c r="A185" s="6" t="str">
        <f t="shared" si="2"/>
        <v/>
      </c>
      <c r="B185" s="6"/>
      <c r="C185" s="7"/>
      <c r="D185" s="7"/>
      <c r="E185" s="7"/>
      <c r="F185" s="7"/>
      <c r="G185" s="6"/>
    </row>
    <row r="186" spans="1:7" ht="19.5" customHeight="1" x14ac:dyDescent="0.3">
      <c r="A186" s="3" t="str">
        <f t="shared" si="2"/>
        <v/>
      </c>
      <c r="B186" s="3"/>
      <c r="C186" s="4"/>
      <c r="D186" s="4"/>
      <c r="E186" s="4"/>
      <c r="F186" s="4"/>
      <c r="G186" s="3"/>
    </row>
    <row r="187" spans="1:7" ht="19.5" customHeight="1" x14ac:dyDescent="0.3">
      <c r="A187" s="6" t="str">
        <f t="shared" si="2"/>
        <v/>
      </c>
      <c r="B187" s="6"/>
      <c r="C187" s="7"/>
      <c r="D187" s="7"/>
      <c r="E187" s="7"/>
      <c r="F187" s="7"/>
      <c r="G187" s="6"/>
    </row>
    <row r="188" spans="1:7" ht="19.5" customHeight="1" x14ac:dyDescent="0.3">
      <c r="A188" s="3" t="str">
        <f t="shared" si="2"/>
        <v/>
      </c>
      <c r="B188" s="3"/>
      <c r="C188" s="4"/>
      <c r="D188" s="4"/>
      <c r="E188" s="4"/>
      <c r="F188" s="4"/>
      <c r="G188" s="3"/>
    </row>
    <row r="189" spans="1:7" ht="19.5" customHeight="1" x14ac:dyDescent="0.3">
      <c r="A189" s="6" t="str">
        <f t="shared" si="2"/>
        <v/>
      </c>
      <c r="B189" s="6"/>
      <c r="C189" s="7"/>
      <c r="D189" s="7"/>
      <c r="E189" s="7"/>
      <c r="F189" s="7"/>
      <c r="G189" s="6"/>
    </row>
    <row r="190" spans="1:7" ht="19.5" customHeight="1" x14ac:dyDescent="0.3">
      <c r="A190" s="3" t="str">
        <f t="shared" si="2"/>
        <v/>
      </c>
      <c r="B190" s="3"/>
      <c r="C190" s="4"/>
      <c r="D190" s="4"/>
      <c r="E190" s="4"/>
      <c r="F190" s="4"/>
      <c r="G190" s="3"/>
    </row>
    <row r="191" spans="1:7" ht="19.5" customHeight="1" x14ac:dyDescent="0.3">
      <c r="A191" s="6" t="str">
        <f t="shared" si="2"/>
        <v/>
      </c>
      <c r="B191" s="6"/>
      <c r="C191" s="7"/>
      <c r="D191" s="7"/>
      <c r="E191" s="7"/>
      <c r="F191" s="7"/>
      <c r="G191" s="6"/>
    </row>
    <row r="192" spans="1:7" ht="19.5" customHeight="1" x14ac:dyDescent="0.3">
      <c r="A192" s="3" t="str">
        <f t="shared" si="2"/>
        <v/>
      </c>
      <c r="B192" s="3"/>
      <c r="C192" s="4"/>
      <c r="D192" s="4"/>
      <c r="E192" s="4"/>
      <c r="F192" s="4"/>
      <c r="G192" s="3"/>
    </row>
    <row r="193" spans="1:7" ht="19.5" customHeight="1" x14ac:dyDescent="0.3">
      <c r="A193" s="6" t="str">
        <f t="shared" si="2"/>
        <v/>
      </c>
      <c r="B193" s="6"/>
      <c r="C193" s="7"/>
      <c r="D193" s="7"/>
      <c r="E193" s="7"/>
      <c r="F193" s="7"/>
      <c r="G193" s="6"/>
    </row>
    <row r="194" spans="1:7" ht="19.5" customHeight="1" x14ac:dyDescent="0.3">
      <c r="A194" s="3" t="str">
        <f t="shared" si="2"/>
        <v/>
      </c>
      <c r="B194" s="3"/>
      <c r="C194" s="4"/>
      <c r="D194" s="4"/>
      <c r="E194" s="4"/>
      <c r="F194" s="4"/>
      <c r="G194" s="3"/>
    </row>
    <row r="195" spans="1:7" ht="19.5" customHeight="1" x14ac:dyDescent="0.3">
      <c r="A195" s="6" t="str">
        <f t="shared" si="2"/>
        <v/>
      </c>
      <c r="B195" s="6"/>
      <c r="C195" s="7"/>
      <c r="D195" s="7"/>
      <c r="E195" s="7"/>
      <c r="F195" s="7"/>
      <c r="G195" s="6"/>
    </row>
    <row r="196" spans="1:7" ht="19.5" customHeight="1" x14ac:dyDescent="0.3">
      <c r="A196" s="3" t="str">
        <f t="shared" ref="A196:A259" si="3">IF(B196&lt;&gt;"",ROW()-3,"")</f>
        <v/>
      </c>
      <c r="B196" s="3"/>
      <c r="C196" s="4"/>
      <c r="D196" s="4"/>
      <c r="E196" s="4"/>
      <c r="F196" s="4"/>
      <c r="G196" s="3"/>
    </row>
    <row r="197" spans="1:7" ht="19.5" customHeight="1" x14ac:dyDescent="0.3">
      <c r="A197" s="6" t="str">
        <f t="shared" si="3"/>
        <v/>
      </c>
      <c r="B197" s="6"/>
      <c r="C197" s="7"/>
      <c r="D197" s="7"/>
      <c r="E197" s="7"/>
      <c r="F197" s="7"/>
      <c r="G197" s="6"/>
    </row>
    <row r="198" spans="1:7" ht="19.5" customHeight="1" x14ac:dyDescent="0.3">
      <c r="A198" s="3" t="str">
        <f t="shared" si="3"/>
        <v/>
      </c>
      <c r="B198" s="3"/>
      <c r="C198" s="4"/>
      <c r="D198" s="4"/>
      <c r="E198" s="4"/>
      <c r="F198" s="4"/>
      <c r="G198" s="3"/>
    </row>
    <row r="199" spans="1:7" ht="19.5" customHeight="1" x14ac:dyDescent="0.3">
      <c r="A199" s="6" t="str">
        <f t="shared" si="3"/>
        <v/>
      </c>
      <c r="B199" s="6"/>
      <c r="C199" s="7"/>
      <c r="D199" s="7"/>
      <c r="E199" s="7"/>
      <c r="F199" s="7"/>
      <c r="G199" s="6"/>
    </row>
    <row r="200" spans="1:7" ht="19.5" customHeight="1" x14ac:dyDescent="0.3">
      <c r="A200" s="3" t="str">
        <f t="shared" si="3"/>
        <v/>
      </c>
      <c r="B200" s="3"/>
      <c r="C200" s="4"/>
      <c r="D200" s="4"/>
      <c r="E200" s="4"/>
      <c r="F200" s="4"/>
      <c r="G200" s="3"/>
    </row>
    <row r="201" spans="1:7" ht="19.5" customHeight="1" x14ac:dyDescent="0.3">
      <c r="A201" s="6" t="str">
        <f t="shared" si="3"/>
        <v/>
      </c>
      <c r="B201" s="6"/>
      <c r="C201" s="7"/>
      <c r="D201" s="7"/>
      <c r="E201" s="7"/>
      <c r="F201" s="7"/>
      <c r="G201" s="6"/>
    </row>
    <row r="202" spans="1:7" ht="19.5" customHeight="1" x14ac:dyDescent="0.3">
      <c r="A202" s="3" t="str">
        <f t="shared" si="3"/>
        <v/>
      </c>
      <c r="B202" s="3"/>
      <c r="C202" s="4"/>
      <c r="D202" s="4"/>
      <c r="E202" s="4"/>
      <c r="F202" s="4"/>
      <c r="G202" s="3"/>
    </row>
    <row r="203" spans="1:7" ht="19.5" customHeight="1" x14ac:dyDescent="0.3">
      <c r="A203" s="6" t="str">
        <f t="shared" si="3"/>
        <v/>
      </c>
      <c r="B203" s="6"/>
      <c r="C203" s="7"/>
      <c r="D203" s="7"/>
      <c r="E203" s="7"/>
      <c r="F203" s="7"/>
      <c r="G203" s="6"/>
    </row>
    <row r="204" spans="1:7" ht="19.5" customHeight="1" x14ac:dyDescent="0.3">
      <c r="A204" s="3" t="str">
        <f t="shared" si="3"/>
        <v/>
      </c>
      <c r="B204" s="3"/>
      <c r="C204" s="4"/>
      <c r="D204" s="4"/>
      <c r="E204" s="4"/>
      <c r="F204" s="4"/>
      <c r="G204" s="3"/>
    </row>
    <row r="205" spans="1:7" ht="19.5" customHeight="1" x14ac:dyDescent="0.3">
      <c r="A205" s="6" t="str">
        <f t="shared" si="3"/>
        <v/>
      </c>
      <c r="B205" s="6"/>
      <c r="C205" s="7"/>
      <c r="D205" s="7"/>
      <c r="E205" s="7"/>
      <c r="F205" s="7"/>
      <c r="G205" s="6"/>
    </row>
    <row r="206" spans="1:7" ht="19.5" customHeight="1" x14ac:dyDescent="0.3">
      <c r="A206" s="3" t="str">
        <f t="shared" si="3"/>
        <v/>
      </c>
      <c r="B206" s="3"/>
      <c r="C206" s="4"/>
      <c r="D206" s="4"/>
      <c r="E206" s="4"/>
      <c r="F206" s="4"/>
      <c r="G206" s="3"/>
    </row>
    <row r="207" spans="1:7" ht="19.5" customHeight="1" x14ac:dyDescent="0.3">
      <c r="A207" s="6" t="str">
        <f t="shared" si="3"/>
        <v/>
      </c>
      <c r="B207" s="6"/>
      <c r="C207" s="7"/>
      <c r="D207" s="7"/>
      <c r="E207" s="7"/>
      <c r="F207" s="7"/>
      <c r="G207" s="6"/>
    </row>
    <row r="208" spans="1:7" ht="19.5" customHeight="1" x14ac:dyDescent="0.3">
      <c r="A208" s="3" t="str">
        <f t="shared" si="3"/>
        <v/>
      </c>
      <c r="B208" s="3"/>
      <c r="C208" s="4"/>
      <c r="D208" s="4"/>
      <c r="E208" s="4"/>
      <c r="F208" s="4"/>
      <c r="G208" s="3"/>
    </row>
    <row r="209" spans="1:7" ht="19.5" customHeight="1" x14ac:dyDescent="0.3">
      <c r="A209" s="6" t="str">
        <f t="shared" si="3"/>
        <v/>
      </c>
      <c r="B209" s="6"/>
      <c r="C209" s="7"/>
      <c r="D209" s="7"/>
      <c r="E209" s="7"/>
      <c r="F209" s="7"/>
      <c r="G209" s="6"/>
    </row>
    <row r="210" spans="1:7" ht="19.5" customHeight="1" x14ac:dyDescent="0.3">
      <c r="A210" s="3" t="str">
        <f t="shared" si="3"/>
        <v/>
      </c>
      <c r="B210" s="3"/>
      <c r="C210" s="4"/>
      <c r="D210" s="4"/>
      <c r="E210" s="4"/>
      <c r="F210" s="4"/>
      <c r="G210" s="3"/>
    </row>
    <row r="211" spans="1:7" ht="19.5" customHeight="1" x14ac:dyDescent="0.3">
      <c r="A211" s="6" t="str">
        <f t="shared" si="3"/>
        <v/>
      </c>
      <c r="B211" s="6"/>
      <c r="C211" s="7"/>
      <c r="D211" s="7"/>
      <c r="E211" s="7"/>
      <c r="F211" s="7"/>
      <c r="G211" s="6"/>
    </row>
    <row r="212" spans="1:7" ht="19.5" customHeight="1" x14ac:dyDescent="0.3">
      <c r="A212" s="3" t="str">
        <f t="shared" si="3"/>
        <v/>
      </c>
      <c r="B212" s="3"/>
      <c r="C212" s="4"/>
      <c r="D212" s="4"/>
      <c r="E212" s="4"/>
      <c r="F212" s="4"/>
      <c r="G212" s="3"/>
    </row>
    <row r="213" spans="1:7" ht="19.5" customHeight="1" x14ac:dyDescent="0.3">
      <c r="A213" s="6" t="str">
        <f t="shared" si="3"/>
        <v/>
      </c>
      <c r="B213" s="6"/>
      <c r="C213" s="7"/>
      <c r="D213" s="7"/>
      <c r="E213" s="7"/>
      <c r="F213" s="7"/>
      <c r="G213" s="6"/>
    </row>
    <row r="214" spans="1:7" ht="19.5" customHeight="1" x14ac:dyDescent="0.3">
      <c r="A214" s="3" t="str">
        <f t="shared" si="3"/>
        <v/>
      </c>
      <c r="B214" s="3"/>
      <c r="C214" s="4"/>
      <c r="D214" s="4"/>
      <c r="E214" s="4"/>
      <c r="F214" s="4"/>
      <c r="G214" s="3"/>
    </row>
    <row r="215" spans="1:7" ht="19.5" customHeight="1" x14ac:dyDescent="0.3">
      <c r="A215" s="6" t="str">
        <f t="shared" si="3"/>
        <v/>
      </c>
      <c r="B215" s="6"/>
      <c r="C215" s="7"/>
      <c r="D215" s="7"/>
      <c r="E215" s="7"/>
      <c r="F215" s="7"/>
      <c r="G215" s="6"/>
    </row>
    <row r="216" spans="1:7" ht="19.5" customHeight="1" x14ac:dyDescent="0.3">
      <c r="A216" s="3" t="str">
        <f t="shared" si="3"/>
        <v/>
      </c>
      <c r="B216" s="3"/>
      <c r="C216" s="4"/>
      <c r="D216" s="4"/>
      <c r="E216" s="4"/>
      <c r="F216" s="4"/>
      <c r="G216" s="3"/>
    </row>
    <row r="217" spans="1:7" ht="19.5" customHeight="1" x14ac:dyDescent="0.3">
      <c r="A217" s="6" t="str">
        <f t="shared" si="3"/>
        <v/>
      </c>
      <c r="B217" s="6"/>
      <c r="C217" s="7"/>
      <c r="D217" s="7"/>
      <c r="E217" s="7"/>
      <c r="F217" s="7"/>
      <c r="G217" s="6"/>
    </row>
    <row r="218" spans="1:7" ht="19.5" customHeight="1" x14ac:dyDescent="0.3">
      <c r="A218" s="3" t="str">
        <f t="shared" si="3"/>
        <v/>
      </c>
      <c r="B218" s="3"/>
      <c r="C218" s="4"/>
      <c r="D218" s="4"/>
      <c r="E218" s="4"/>
      <c r="F218" s="4"/>
      <c r="G218" s="3"/>
    </row>
    <row r="219" spans="1:7" ht="19.5" customHeight="1" x14ac:dyDescent="0.3">
      <c r="A219" s="6" t="str">
        <f t="shared" si="3"/>
        <v/>
      </c>
      <c r="B219" s="6"/>
      <c r="C219" s="7"/>
      <c r="D219" s="7"/>
      <c r="E219" s="7"/>
      <c r="F219" s="7"/>
      <c r="G219" s="6"/>
    </row>
    <row r="220" spans="1:7" ht="19.5" customHeight="1" x14ac:dyDescent="0.3">
      <c r="A220" s="3" t="str">
        <f t="shared" si="3"/>
        <v/>
      </c>
      <c r="B220" s="3"/>
      <c r="C220" s="4"/>
      <c r="D220" s="4"/>
      <c r="E220" s="4"/>
      <c r="F220" s="4"/>
      <c r="G220" s="3"/>
    </row>
    <row r="221" spans="1:7" ht="19.5" customHeight="1" x14ac:dyDescent="0.3">
      <c r="A221" s="6" t="str">
        <f t="shared" si="3"/>
        <v/>
      </c>
      <c r="B221" s="6"/>
      <c r="C221" s="7"/>
      <c r="D221" s="7"/>
      <c r="E221" s="7"/>
      <c r="F221" s="7"/>
      <c r="G221" s="6"/>
    </row>
    <row r="222" spans="1:7" ht="19.5" customHeight="1" x14ac:dyDescent="0.3">
      <c r="A222" s="3" t="str">
        <f t="shared" si="3"/>
        <v/>
      </c>
      <c r="B222" s="3"/>
      <c r="C222" s="4"/>
      <c r="D222" s="4"/>
      <c r="E222" s="4"/>
      <c r="F222" s="4"/>
      <c r="G222" s="3"/>
    </row>
    <row r="223" spans="1:7" ht="19.5" customHeight="1" x14ac:dyDescent="0.3">
      <c r="A223" s="6" t="str">
        <f t="shared" si="3"/>
        <v/>
      </c>
      <c r="B223" s="6"/>
      <c r="C223" s="7"/>
      <c r="D223" s="7"/>
      <c r="E223" s="7"/>
      <c r="F223" s="7"/>
      <c r="G223" s="6"/>
    </row>
    <row r="224" spans="1:7" ht="19.5" customHeight="1" x14ac:dyDescent="0.3">
      <c r="A224" s="3" t="str">
        <f t="shared" si="3"/>
        <v/>
      </c>
      <c r="B224" s="3"/>
      <c r="C224" s="4"/>
      <c r="D224" s="4"/>
      <c r="E224" s="4"/>
      <c r="F224" s="4"/>
      <c r="G224" s="3"/>
    </row>
    <row r="225" spans="1:7" ht="19.5" customHeight="1" x14ac:dyDescent="0.3">
      <c r="A225" s="6" t="str">
        <f t="shared" si="3"/>
        <v/>
      </c>
      <c r="B225" s="6"/>
      <c r="C225" s="7"/>
      <c r="D225" s="7"/>
      <c r="E225" s="7"/>
      <c r="F225" s="7"/>
      <c r="G225" s="6"/>
    </row>
    <row r="226" spans="1:7" ht="19.5" customHeight="1" x14ac:dyDescent="0.3">
      <c r="A226" s="3" t="str">
        <f t="shared" si="3"/>
        <v/>
      </c>
      <c r="B226" s="3"/>
      <c r="C226" s="4"/>
      <c r="D226" s="4"/>
      <c r="E226" s="4"/>
      <c r="F226" s="4"/>
      <c r="G226" s="3"/>
    </row>
    <row r="227" spans="1:7" ht="19.5" customHeight="1" x14ac:dyDescent="0.3">
      <c r="A227" s="6" t="str">
        <f t="shared" si="3"/>
        <v/>
      </c>
      <c r="B227" s="6"/>
      <c r="C227" s="7"/>
      <c r="D227" s="7"/>
      <c r="E227" s="7"/>
      <c r="F227" s="7"/>
      <c r="G227" s="6"/>
    </row>
    <row r="228" spans="1:7" ht="19.5" customHeight="1" x14ac:dyDescent="0.3">
      <c r="A228" s="3" t="str">
        <f t="shared" si="3"/>
        <v/>
      </c>
      <c r="B228" s="3"/>
      <c r="C228" s="4"/>
      <c r="D228" s="4"/>
      <c r="E228" s="4"/>
      <c r="F228" s="4"/>
      <c r="G228" s="3"/>
    </row>
    <row r="229" spans="1:7" ht="19.5" customHeight="1" x14ac:dyDescent="0.3">
      <c r="A229" s="6" t="str">
        <f t="shared" si="3"/>
        <v/>
      </c>
      <c r="B229" s="6"/>
      <c r="C229" s="7"/>
      <c r="D229" s="7"/>
      <c r="E229" s="7"/>
      <c r="F229" s="7"/>
      <c r="G229" s="6"/>
    </row>
    <row r="230" spans="1:7" ht="19.5" customHeight="1" x14ac:dyDescent="0.3">
      <c r="A230" s="3" t="str">
        <f t="shared" si="3"/>
        <v/>
      </c>
      <c r="B230" s="3"/>
      <c r="C230" s="4"/>
      <c r="D230" s="4"/>
      <c r="E230" s="4"/>
      <c r="F230" s="4"/>
      <c r="G230" s="3"/>
    </row>
    <row r="231" spans="1:7" ht="19.5" customHeight="1" x14ac:dyDescent="0.3">
      <c r="A231" s="6" t="str">
        <f t="shared" si="3"/>
        <v/>
      </c>
      <c r="B231" s="6"/>
      <c r="C231" s="7"/>
      <c r="D231" s="7"/>
      <c r="E231" s="7"/>
      <c r="F231" s="7"/>
      <c r="G231" s="6"/>
    </row>
    <row r="232" spans="1:7" ht="19.5" customHeight="1" x14ac:dyDescent="0.3">
      <c r="A232" s="3" t="str">
        <f t="shared" si="3"/>
        <v/>
      </c>
      <c r="B232" s="3"/>
      <c r="C232" s="4"/>
      <c r="D232" s="4"/>
      <c r="E232" s="4"/>
      <c r="F232" s="4"/>
      <c r="G232" s="3"/>
    </row>
    <row r="233" spans="1:7" ht="19.5" customHeight="1" x14ac:dyDescent="0.3">
      <c r="A233" s="6" t="str">
        <f t="shared" si="3"/>
        <v/>
      </c>
      <c r="B233" s="6"/>
      <c r="C233" s="7"/>
      <c r="D233" s="7"/>
      <c r="E233" s="7"/>
      <c r="F233" s="7"/>
      <c r="G233" s="6"/>
    </row>
    <row r="234" spans="1:7" ht="19.5" customHeight="1" x14ac:dyDescent="0.3">
      <c r="A234" s="3" t="str">
        <f t="shared" si="3"/>
        <v/>
      </c>
      <c r="B234" s="3"/>
      <c r="C234" s="4"/>
      <c r="D234" s="4"/>
      <c r="E234" s="4"/>
      <c r="F234" s="4"/>
      <c r="G234" s="3"/>
    </row>
    <row r="235" spans="1:7" ht="19.5" customHeight="1" x14ac:dyDescent="0.3">
      <c r="A235" s="6" t="str">
        <f t="shared" si="3"/>
        <v/>
      </c>
      <c r="B235" s="6"/>
      <c r="C235" s="7"/>
      <c r="D235" s="7"/>
      <c r="E235" s="7"/>
      <c r="F235" s="7"/>
      <c r="G235" s="6"/>
    </row>
    <row r="236" spans="1:7" ht="19.5" customHeight="1" x14ac:dyDescent="0.3">
      <c r="A236" s="3" t="str">
        <f t="shared" si="3"/>
        <v/>
      </c>
      <c r="B236" s="3"/>
      <c r="C236" s="4"/>
      <c r="D236" s="4"/>
      <c r="E236" s="4"/>
      <c r="F236" s="4"/>
      <c r="G236" s="3"/>
    </row>
    <row r="237" spans="1:7" ht="19.5" customHeight="1" x14ac:dyDescent="0.3">
      <c r="A237" s="6" t="str">
        <f t="shared" si="3"/>
        <v/>
      </c>
      <c r="B237" s="6"/>
      <c r="C237" s="7"/>
      <c r="D237" s="7"/>
      <c r="E237" s="7"/>
      <c r="F237" s="7"/>
      <c r="G237" s="6"/>
    </row>
    <row r="238" spans="1:7" ht="19.5" customHeight="1" x14ac:dyDescent="0.3">
      <c r="A238" s="3" t="str">
        <f t="shared" si="3"/>
        <v/>
      </c>
      <c r="B238" s="3"/>
      <c r="C238" s="4"/>
      <c r="D238" s="4"/>
      <c r="E238" s="4"/>
      <c r="F238" s="4"/>
      <c r="G238" s="3"/>
    </row>
    <row r="239" spans="1:7" ht="19.5" customHeight="1" x14ac:dyDescent="0.3">
      <c r="A239" s="6" t="str">
        <f t="shared" si="3"/>
        <v/>
      </c>
      <c r="B239" s="6"/>
      <c r="C239" s="7"/>
      <c r="D239" s="7"/>
      <c r="E239" s="7"/>
      <c r="F239" s="7"/>
      <c r="G239" s="6"/>
    </row>
    <row r="240" spans="1:7" ht="19.5" customHeight="1" x14ac:dyDescent="0.3">
      <c r="A240" s="3" t="str">
        <f t="shared" si="3"/>
        <v/>
      </c>
      <c r="B240" s="3"/>
      <c r="C240" s="4"/>
      <c r="D240" s="4"/>
      <c r="E240" s="4"/>
      <c r="F240" s="4"/>
      <c r="G240" s="3"/>
    </row>
    <row r="241" spans="1:7" ht="19.5" customHeight="1" x14ac:dyDescent="0.3">
      <c r="A241" s="6" t="str">
        <f t="shared" si="3"/>
        <v/>
      </c>
      <c r="B241" s="6"/>
      <c r="C241" s="7"/>
      <c r="D241" s="7"/>
      <c r="E241" s="7"/>
      <c r="F241" s="7"/>
      <c r="G241" s="6"/>
    </row>
    <row r="242" spans="1:7" ht="19.5" customHeight="1" x14ac:dyDescent="0.3">
      <c r="A242" s="3" t="str">
        <f t="shared" si="3"/>
        <v/>
      </c>
      <c r="B242" s="3"/>
      <c r="C242" s="4"/>
      <c r="D242" s="4"/>
      <c r="E242" s="4"/>
      <c r="F242" s="4"/>
      <c r="G242" s="3"/>
    </row>
    <row r="243" spans="1:7" ht="19.5" customHeight="1" x14ac:dyDescent="0.3">
      <c r="A243" s="6" t="str">
        <f t="shared" si="3"/>
        <v/>
      </c>
      <c r="B243" s="6"/>
      <c r="C243" s="7"/>
      <c r="D243" s="7"/>
      <c r="E243" s="7"/>
      <c r="F243" s="7"/>
      <c r="G243" s="6"/>
    </row>
    <row r="244" spans="1:7" ht="19.5" customHeight="1" x14ac:dyDescent="0.3">
      <c r="A244" s="3" t="str">
        <f t="shared" si="3"/>
        <v/>
      </c>
      <c r="B244" s="3"/>
      <c r="C244" s="4"/>
      <c r="D244" s="4"/>
      <c r="E244" s="4"/>
      <c r="F244" s="4"/>
      <c r="G244" s="3"/>
    </row>
    <row r="245" spans="1:7" ht="19.5" customHeight="1" x14ac:dyDescent="0.3">
      <c r="A245" s="6" t="str">
        <f t="shared" si="3"/>
        <v/>
      </c>
      <c r="B245" s="6"/>
      <c r="C245" s="7"/>
      <c r="D245" s="7"/>
      <c r="E245" s="7"/>
      <c r="F245" s="7"/>
      <c r="G245" s="6"/>
    </row>
    <row r="246" spans="1:7" ht="19.5" customHeight="1" x14ac:dyDescent="0.3">
      <c r="A246" s="3" t="str">
        <f t="shared" si="3"/>
        <v/>
      </c>
      <c r="B246" s="3"/>
      <c r="C246" s="4"/>
      <c r="D246" s="4"/>
      <c r="E246" s="4"/>
      <c r="F246" s="4"/>
      <c r="G246" s="3"/>
    </row>
    <row r="247" spans="1:7" ht="19.5" customHeight="1" x14ac:dyDescent="0.3">
      <c r="A247" s="6" t="str">
        <f t="shared" si="3"/>
        <v/>
      </c>
      <c r="B247" s="6"/>
      <c r="C247" s="7"/>
      <c r="D247" s="7"/>
      <c r="E247" s="7"/>
      <c r="F247" s="7"/>
      <c r="G247" s="6"/>
    </row>
    <row r="248" spans="1:7" ht="19.5" customHeight="1" x14ac:dyDescent="0.3">
      <c r="A248" s="3" t="str">
        <f t="shared" si="3"/>
        <v/>
      </c>
      <c r="B248" s="3"/>
      <c r="C248" s="4"/>
      <c r="D248" s="4"/>
      <c r="E248" s="4"/>
      <c r="F248" s="4"/>
      <c r="G248" s="3"/>
    </row>
    <row r="249" spans="1:7" ht="19.5" customHeight="1" x14ac:dyDescent="0.3">
      <c r="A249" s="6" t="str">
        <f t="shared" si="3"/>
        <v/>
      </c>
      <c r="B249" s="6"/>
      <c r="C249" s="7"/>
      <c r="D249" s="7"/>
      <c r="E249" s="7"/>
      <c r="F249" s="7"/>
      <c r="G249" s="6"/>
    </row>
    <row r="250" spans="1:7" ht="19.5" customHeight="1" x14ac:dyDescent="0.3">
      <c r="A250" s="3" t="str">
        <f t="shared" si="3"/>
        <v/>
      </c>
      <c r="B250" s="3"/>
      <c r="C250" s="4"/>
      <c r="D250" s="4"/>
      <c r="E250" s="4"/>
      <c r="F250" s="4"/>
      <c r="G250" s="3"/>
    </row>
    <row r="251" spans="1:7" ht="19.5" customHeight="1" x14ac:dyDescent="0.3">
      <c r="A251" s="6" t="str">
        <f t="shared" si="3"/>
        <v/>
      </c>
      <c r="B251" s="6"/>
      <c r="C251" s="7"/>
      <c r="D251" s="7"/>
      <c r="E251" s="7"/>
      <c r="F251" s="7"/>
      <c r="G251" s="6"/>
    </row>
    <row r="252" spans="1:7" ht="19.5" customHeight="1" x14ac:dyDescent="0.3">
      <c r="A252" s="3" t="str">
        <f t="shared" si="3"/>
        <v/>
      </c>
      <c r="B252" s="3"/>
      <c r="C252" s="4"/>
      <c r="D252" s="4"/>
      <c r="E252" s="4"/>
      <c r="F252" s="4"/>
      <c r="G252" s="3"/>
    </row>
    <row r="253" spans="1:7" ht="19.5" customHeight="1" x14ac:dyDescent="0.3">
      <c r="A253" s="6" t="str">
        <f t="shared" si="3"/>
        <v/>
      </c>
      <c r="B253" s="6"/>
      <c r="C253" s="7"/>
      <c r="D253" s="7"/>
      <c r="E253" s="7"/>
      <c r="F253" s="7"/>
      <c r="G253" s="6"/>
    </row>
    <row r="254" spans="1:7" ht="19.5" customHeight="1" x14ac:dyDescent="0.3">
      <c r="A254" s="3" t="str">
        <f t="shared" si="3"/>
        <v/>
      </c>
      <c r="B254" s="3"/>
      <c r="C254" s="4"/>
      <c r="D254" s="4"/>
      <c r="E254" s="4"/>
      <c r="F254" s="4"/>
      <c r="G254" s="3"/>
    </row>
    <row r="255" spans="1:7" ht="19.5" customHeight="1" x14ac:dyDescent="0.3">
      <c r="A255" s="6" t="str">
        <f t="shared" si="3"/>
        <v/>
      </c>
      <c r="B255" s="6"/>
      <c r="C255" s="7"/>
      <c r="D255" s="7"/>
      <c r="E255" s="7"/>
      <c r="F255" s="7"/>
      <c r="G255" s="6"/>
    </row>
    <row r="256" spans="1:7" ht="19.5" customHeight="1" x14ac:dyDescent="0.3">
      <c r="A256" s="3" t="str">
        <f t="shared" si="3"/>
        <v/>
      </c>
      <c r="B256" s="3"/>
      <c r="C256" s="4"/>
      <c r="D256" s="4"/>
      <c r="E256" s="4"/>
      <c r="F256" s="4"/>
      <c r="G256" s="3"/>
    </row>
    <row r="257" spans="1:7" ht="19.5" customHeight="1" x14ac:dyDescent="0.3">
      <c r="A257" s="6" t="str">
        <f t="shared" si="3"/>
        <v/>
      </c>
      <c r="B257" s="6"/>
      <c r="C257" s="7"/>
      <c r="D257" s="7"/>
      <c r="E257" s="7"/>
      <c r="F257" s="7"/>
      <c r="G257" s="6"/>
    </row>
    <row r="258" spans="1:7" ht="19.5" customHeight="1" x14ac:dyDescent="0.3">
      <c r="A258" s="3" t="str">
        <f t="shared" si="3"/>
        <v/>
      </c>
      <c r="B258" s="3"/>
      <c r="C258" s="4"/>
      <c r="D258" s="4"/>
      <c r="E258" s="4"/>
      <c r="F258" s="4"/>
      <c r="G258" s="3"/>
    </row>
    <row r="259" spans="1:7" ht="19.5" customHeight="1" x14ac:dyDescent="0.3">
      <c r="A259" s="6" t="str">
        <f t="shared" si="3"/>
        <v/>
      </c>
      <c r="B259" s="6"/>
      <c r="C259" s="7"/>
      <c r="D259" s="7"/>
      <c r="E259" s="7"/>
      <c r="F259" s="7"/>
      <c r="G259" s="6"/>
    </row>
    <row r="260" spans="1:7" ht="19.5" customHeight="1" x14ac:dyDescent="0.3">
      <c r="A260" s="3" t="str">
        <f t="shared" ref="A260:A303" si="4">IF(B260&lt;&gt;"",ROW()-3,"")</f>
        <v/>
      </c>
      <c r="B260" s="3"/>
      <c r="C260" s="4"/>
      <c r="D260" s="4"/>
      <c r="E260" s="4"/>
      <c r="F260" s="4"/>
      <c r="G260" s="3"/>
    </row>
    <row r="261" spans="1:7" ht="19.5" customHeight="1" x14ac:dyDescent="0.3">
      <c r="A261" s="6" t="str">
        <f t="shared" si="4"/>
        <v/>
      </c>
      <c r="B261" s="6"/>
      <c r="C261" s="7"/>
      <c r="D261" s="7"/>
      <c r="E261" s="7"/>
      <c r="F261" s="7"/>
      <c r="G261" s="6"/>
    </row>
    <row r="262" spans="1:7" ht="19.5" customHeight="1" x14ac:dyDescent="0.3">
      <c r="A262" s="3" t="str">
        <f t="shared" si="4"/>
        <v/>
      </c>
      <c r="B262" s="3"/>
      <c r="C262" s="4"/>
      <c r="D262" s="4"/>
      <c r="E262" s="4"/>
      <c r="F262" s="4"/>
      <c r="G262" s="3"/>
    </row>
    <row r="263" spans="1:7" ht="19.5" customHeight="1" x14ac:dyDescent="0.3">
      <c r="A263" s="6" t="str">
        <f t="shared" si="4"/>
        <v/>
      </c>
      <c r="B263" s="6"/>
      <c r="C263" s="7"/>
      <c r="D263" s="7"/>
      <c r="E263" s="7"/>
      <c r="F263" s="7"/>
      <c r="G263" s="6"/>
    </row>
    <row r="264" spans="1:7" ht="19.5" customHeight="1" x14ac:dyDescent="0.3">
      <c r="A264" s="3" t="str">
        <f t="shared" si="4"/>
        <v/>
      </c>
      <c r="B264" s="3"/>
      <c r="C264" s="4"/>
      <c r="D264" s="4"/>
      <c r="E264" s="4"/>
      <c r="F264" s="4"/>
      <c r="G264" s="3"/>
    </row>
    <row r="265" spans="1:7" ht="19.5" customHeight="1" x14ac:dyDescent="0.3">
      <c r="A265" s="6" t="str">
        <f t="shared" si="4"/>
        <v/>
      </c>
      <c r="B265" s="6"/>
      <c r="C265" s="7"/>
      <c r="D265" s="7"/>
      <c r="E265" s="7"/>
      <c r="F265" s="7"/>
      <c r="G265" s="6"/>
    </row>
    <row r="266" spans="1:7" ht="19.5" customHeight="1" x14ac:dyDescent="0.3">
      <c r="A266" s="3" t="str">
        <f t="shared" si="4"/>
        <v/>
      </c>
      <c r="B266" s="3"/>
      <c r="C266" s="4"/>
      <c r="D266" s="4"/>
      <c r="E266" s="4"/>
      <c r="F266" s="4"/>
      <c r="G266" s="3"/>
    </row>
    <row r="267" spans="1:7" ht="19.5" customHeight="1" x14ac:dyDescent="0.3">
      <c r="A267" s="6" t="str">
        <f t="shared" si="4"/>
        <v/>
      </c>
      <c r="B267" s="6"/>
      <c r="C267" s="7"/>
      <c r="D267" s="7"/>
      <c r="E267" s="7"/>
      <c r="F267" s="7"/>
      <c r="G267" s="6"/>
    </row>
    <row r="268" spans="1:7" ht="19.5" customHeight="1" x14ac:dyDescent="0.3">
      <c r="A268" s="3" t="str">
        <f t="shared" si="4"/>
        <v/>
      </c>
      <c r="B268" s="3"/>
      <c r="C268" s="4"/>
      <c r="D268" s="4"/>
      <c r="E268" s="4"/>
      <c r="F268" s="4"/>
      <c r="G268" s="3"/>
    </row>
    <row r="269" spans="1:7" ht="19.5" customHeight="1" x14ac:dyDescent="0.3">
      <c r="A269" s="6" t="str">
        <f t="shared" si="4"/>
        <v/>
      </c>
      <c r="B269" s="6"/>
      <c r="C269" s="7"/>
      <c r="D269" s="7"/>
      <c r="E269" s="7"/>
      <c r="F269" s="7"/>
      <c r="G269" s="6"/>
    </row>
    <row r="270" spans="1:7" ht="19.5" customHeight="1" x14ac:dyDescent="0.3">
      <c r="A270" s="3" t="str">
        <f t="shared" si="4"/>
        <v/>
      </c>
      <c r="B270" s="3"/>
      <c r="C270" s="4"/>
      <c r="D270" s="4"/>
      <c r="E270" s="4"/>
      <c r="F270" s="4"/>
      <c r="G270" s="3"/>
    </row>
    <row r="271" spans="1:7" ht="19.5" customHeight="1" x14ac:dyDescent="0.3">
      <c r="A271" s="6" t="str">
        <f t="shared" si="4"/>
        <v/>
      </c>
      <c r="B271" s="6"/>
      <c r="C271" s="7"/>
      <c r="D271" s="7"/>
      <c r="E271" s="7"/>
      <c r="F271" s="7"/>
      <c r="G271" s="6"/>
    </row>
    <row r="272" spans="1:7" ht="19.5" customHeight="1" x14ac:dyDescent="0.3">
      <c r="A272" s="3" t="str">
        <f t="shared" si="4"/>
        <v/>
      </c>
      <c r="B272" s="3"/>
      <c r="C272" s="4"/>
      <c r="D272" s="4"/>
      <c r="E272" s="4"/>
      <c r="F272" s="4"/>
      <c r="G272" s="3"/>
    </row>
    <row r="273" spans="1:7" ht="19.5" customHeight="1" x14ac:dyDescent="0.3">
      <c r="A273" s="6" t="str">
        <f t="shared" si="4"/>
        <v/>
      </c>
      <c r="B273" s="6"/>
      <c r="C273" s="7"/>
      <c r="D273" s="7"/>
      <c r="E273" s="7"/>
      <c r="F273" s="7"/>
      <c r="G273" s="6"/>
    </row>
    <row r="274" spans="1:7" ht="19.5" customHeight="1" x14ac:dyDescent="0.3">
      <c r="A274" s="3" t="str">
        <f t="shared" si="4"/>
        <v/>
      </c>
      <c r="B274" s="3"/>
      <c r="C274" s="4"/>
      <c r="D274" s="4"/>
      <c r="E274" s="4"/>
      <c r="F274" s="4"/>
      <c r="G274" s="3"/>
    </row>
    <row r="275" spans="1:7" ht="19.5" customHeight="1" x14ac:dyDescent="0.3">
      <c r="A275" s="6" t="str">
        <f t="shared" si="4"/>
        <v/>
      </c>
      <c r="B275" s="6"/>
      <c r="C275" s="7"/>
      <c r="D275" s="7"/>
      <c r="E275" s="7"/>
      <c r="F275" s="7"/>
      <c r="G275" s="6"/>
    </row>
    <row r="276" spans="1:7" ht="19.5" customHeight="1" x14ac:dyDescent="0.3">
      <c r="A276" s="3" t="str">
        <f t="shared" si="4"/>
        <v/>
      </c>
      <c r="B276" s="3"/>
      <c r="C276" s="4"/>
      <c r="D276" s="4"/>
      <c r="E276" s="4"/>
      <c r="F276" s="4"/>
      <c r="G276" s="3"/>
    </row>
    <row r="277" spans="1:7" ht="19.5" customHeight="1" x14ac:dyDescent="0.3">
      <c r="A277" s="6" t="str">
        <f t="shared" si="4"/>
        <v/>
      </c>
      <c r="B277" s="6"/>
      <c r="C277" s="7"/>
      <c r="D277" s="7"/>
      <c r="E277" s="7"/>
      <c r="F277" s="7"/>
      <c r="G277" s="6"/>
    </row>
    <row r="278" spans="1:7" ht="19.5" customHeight="1" x14ac:dyDescent="0.3">
      <c r="A278" s="3" t="str">
        <f t="shared" si="4"/>
        <v/>
      </c>
      <c r="B278" s="3"/>
      <c r="C278" s="4"/>
      <c r="D278" s="4"/>
      <c r="E278" s="4"/>
      <c r="F278" s="4"/>
      <c r="G278" s="3"/>
    </row>
    <row r="279" spans="1:7" ht="19.5" customHeight="1" x14ac:dyDescent="0.3">
      <c r="A279" s="6" t="str">
        <f t="shared" si="4"/>
        <v/>
      </c>
      <c r="B279" s="6"/>
      <c r="C279" s="7"/>
      <c r="D279" s="7"/>
      <c r="E279" s="7"/>
      <c r="F279" s="7"/>
      <c r="G279" s="6"/>
    </row>
    <row r="280" spans="1:7" ht="19.5" customHeight="1" x14ac:dyDescent="0.3">
      <c r="A280" s="3" t="str">
        <f t="shared" si="4"/>
        <v/>
      </c>
      <c r="B280" s="3"/>
      <c r="C280" s="4"/>
      <c r="D280" s="4"/>
      <c r="E280" s="4"/>
      <c r="F280" s="4"/>
      <c r="G280" s="3"/>
    </row>
    <row r="281" spans="1:7" ht="19.5" customHeight="1" x14ac:dyDescent="0.3">
      <c r="A281" s="6" t="str">
        <f t="shared" si="4"/>
        <v/>
      </c>
      <c r="B281" s="6"/>
      <c r="C281" s="7"/>
      <c r="D281" s="7"/>
      <c r="E281" s="7"/>
      <c r="F281" s="7"/>
      <c r="G281" s="6"/>
    </row>
    <row r="282" spans="1:7" ht="19.5" customHeight="1" x14ac:dyDescent="0.3">
      <c r="A282" s="3" t="str">
        <f t="shared" si="4"/>
        <v/>
      </c>
      <c r="B282" s="3"/>
      <c r="C282" s="4"/>
      <c r="D282" s="4"/>
      <c r="E282" s="4"/>
      <c r="F282" s="4"/>
      <c r="G282" s="3"/>
    </row>
    <row r="283" spans="1:7" ht="19.5" customHeight="1" x14ac:dyDescent="0.3">
      <c r="A283" s="6" t="str">
        <f t="shared" si="4"/>
        <v/>
      </c>
      <c r="B283" s="6"/>
      <c r="C283" s="7"/>
      <c r="D283" s="7"/>
      <c r="E283" s="7"/>
      <c r="F283" s="7"/>
      <c r="G283" s="6"/>
    </row>
    <row r="284" spans="1:7" ht="19.5" customHeight="1" x14ac:dyDescent="0.3">
      <c r="A284" s="3" t="str">
        <f t="shared" si="4"/>
        <v/>
      </c>
      <c r="B284" s="3"/>
      <c r="C284" s="4"/>
      <c r="D284" s="4"/>
      <c r="E284" s="4"/>
      <c r="F284" s="4"/>
      <c r="G284" s="3"/>
    </row>
    <row r="285" spans="1:7" ht="19.5" customHeight="1" x14ac:dyDescent="0.3">
      <c r="A285" s="6" t="str">
        <f t="shared" si="4"/>
        <v/>
      </c>
      <c r="B285" s="6"/>
      <c r="C285" s="7"/>
      <c r="D285" s="7"/>
      <c r="E285" s="7"/>
      <c r="F285" s="7"/>
      <c r="G285" s="6"/>
    </row>
    <row r="286" spans="1:7" ht="19.5" customHeight="1" x14ac:dyDescent="0.3">
      <c r="A286" s="3" t="str">
        <f t="shared" si="4"/>
        <v/>
      </c>
      <c r="B286" s="3"/>
      <c r="C286" s="4"/>
      <c r="D286" s="4"/>
      <c r="E286" s="4"/>
      <c r="F286" s="4"/>
      <c r="G286" s="3"/>
    </row>
    <row r="287" spans="1:7" ht="19.5" customHeight="1" x14ac:dyDescent="0.3">
      <c r="A287" s="6" t="str">
        <f t="shared" si="4"/>
        <v/>
      </c>
      <c r="B287" s="6"/>
      <c r="C287" s="7"/>
      <c r="D287" s="7"/>
      <c r="E287" s="7"/>
      <c r="F287" s="7"/>
      <c r="G287" s="6"/>
    </row>
    <row r="288" spans="1:7" ht="19.5" customHeight="1" x14ac:dyDescent="0.3">
      <c r="A288" s="3" t="str">
        <f t="shared" si="4"/>
        <v/>
      </c>
      <c r="B288" s="3"/>
      <c r="C288" s="4"/>
      <c r="D288" s="4"/>
      <c r="E288" s="4"/>
      <c r="F288" s="4"/>
      <c r="G288" s="3"/>
    </row>
    <row r="289" spans="1:7" ht="19.5" customHeight="1" x14ac:dyDescent="0.3">
      <c r="A289" s="6" t="str">
        <f t="shared" si="4"/>
        <v/>
      </c>
      <c r="B289" s="6"/>
      <c r="C289" s="7"/>
      <c r="D289" s="7"/>
      <c r="E289" s="7"/>
      <c r="F289" s="7"/>
      <c r="G289" s="6"/>
    </row>
    <row r="290" spans="1:7" ht="19.5" customHeight="1" x14ac:dyDescent="0.3">
      <c r="A290" s="3" t="str">
        <f t="shared" si="4"/>
        <v/>
      </c>
      <c r="B290" s="3"/>
      <c r="C290" s="4"/>
      <c r="D290" s="4"/>
      <c r="E290" s="4"/>
      <c r="F290" s="4"/>
      <c r="G290" s="3"/>
    </row>
    <row r="291" spans="1:7" ht="19.5" customHeight="1" x14ac:dyDescent="0.3">
      <c r="A291" s="6" t="str">
        <f t="shared" si="4"/>
        <v/>
      </c>
      <c r="B291" s="6"/>
      <c r="C291" s="7"/>
      <c r="D291" s="7"/>
      <c r="E291" s="7"/>
      <c r="F291" s="7"/>
      <c r="G291" s="6"/>
    </row>
    <row r="292" spans="1:7" ht="19.5" customHeight="1" x14ac:dyDescent="0.3">
      <c r="A292" s="3" t="str">
        <f t="shared" si="4"/>
        <v/>
      </c>
      <c r="B292" s="3"/>
      <c r="C292" s="4"/>
      <c r="D292" s="4"/>
      <c r="E292" s="4"/>
      <c r="F292" s="4"/>
      <c r="G292" s="3"/>
    </row>
    <row r="293" spans="1:7" ht="19.5" customHeight="1" x14ac:dyDescent="0.3">
      <c r="A293" s="6" t="str">
        <f t="shared" si="4"/>
        <v/>
      </c>
      <c r="B293" s="6"/>
      <c r="C293" s="7"/>
      <c r="D293" s="7"/>
      <c r="E293" s="7"/>
      <c r="F293" s="7"/>
      <c r="G293" s="6"/>
    </row>
    <row r="294" spans="1:7" ht="19.5" customHeight="1" x14ac:dyDescent="0.3">
      <c r="A294" s="3" t="str">
        <f t="shared" si="4"/>
        <v/>
      </c>
      <c r="B294" s="3"/>
      <c r="C294" s="4"/>
      <c r="D294" s="4"/>
      <c r="E294" s="4"/>
      <c r="F294" s="4"/>
      <c r="G294" s="3"/>
    </row>
    <row r="295" spans="1:7" ht="19.5" customHeight="1" x14ac:dyDescent="0.3">
      <c r="A295" s="6" t="str">
        <f t="shared" si="4"/>
        <v/>
      </c>
      <c r="B295" s="6"/>
      <c r="C295" s="7"/>
      <c r="D295" s="7"/>
      <c r="E295" s="7"/>
      <c r="F295" s="7"/>
      <c r="G295" s="6"/>
    </row>
    <row r="296" spans="1:7" ht="19.5" customHeight="1" x14ac:dyDescent="0.3">
      <c r="A296" s="3" t="str">
        <f t="shared" si="4"/>
        <v/>
      </c>
      <c r="B296" s="3"/>
      <c r="C296" s="4"/>
      <c r="D296" s="4"/>
      <c r="E296" s="4"/>
      <c r="F296" s="4"/>
      <c r="G296" s="3"/>
    </row>
    <row r="297" spans="1:7" ht="19.5" customHeight="1" x14ac:dyDescent="0.3">
      <c r="A297" s="6" t="str">
        <f t="shared" si="4"/>
        <v/>
      </c>
      <c r="B297" s="6"/>
      <c r="C297" s="7"/>
      <c r="D297" s="7"/>
      <c r="E297" s="7"/>
      <c r="F297" s="7"/>
      <c r="G297" s="6"/>
    </row>
    <row r="298" spans="1:7" ht="19.5" customHeight="1" x14ac:dyDescent="0.3">
      <c r="A298" s="3" t="str">
        <f t="shared" si="4"/>
        <v/>
      </c>
      <c r="B298" s="3"/>
      <c r="C298" s="4"/>
      <c r="D298" s="4"/>
      <c r="E298" s="4"/>
      <c r="F298" s="4"/>
      <c r="G298" s="3"/>
    </row>
    <row r="299" spans="1:7" ht="19.5" customHeight="1" x14ac:dyDescent="0.3">
      <c r="A299" s="6" t="str">
        <f t="shared" si="4"/>
        <v/>
      </c>
      <c r="B299" s="6"/>
      <c r="C299" s="7"/>
      <c r="D299" s="7"/>
      <c r="E299" s="7"/>
      <c r="F299" s="7"/>
      <c r="G299" s="6"/>
    </row>
    <row r="300" spans="1:7" ht="19.5" customHeight="1" x14ac:dyDescent="0.3">
      <c r="A300" s="3" t="str">
        <f t="shared" si="4"/>
        <v/>
      </c>
      <c r="B300" s="3"/>
      <c r="C300" s="4"/>
      <c r="D300" s="4"/>
      <c r="E300" s="4"/>
      <c r="F300" s="4"/>
      <c r="G300" s="3"/>
    </row>
    <row r="301" spans="1:7" ht="19.5" customHeight="1" x14ac:dyDescent="0.3">
      <c r="A301" s="6" t="str">
        <f t="shared" si="4"/>
        <v/>
      </c>
      <c r="B301" s="6"/>
      <c r="C301" s="7"/>
      <c r="D301" s="7"/>
      <c r="E301" s="7"/>
      <c r="F301" s="7"/>
      <c r="G301" s="6"/>
    </row>
    <row r="302" spans="1:7" ht="19.5" customHeight="1" x14ac:dyDescent="0.3">
      <c r="A302" s="3" t="str">
        <f t="shared" si="4"/>
        <v/>
      </c>
      <c r="B302" s="3"/>
      <c r="C302" s="4"/>
      <c r="D302" s="4"/>
      <c r="E302" s="4"/>
      <c r="F302" s="4"/>
      <c r="G302" s="3"/>
    </row>
    <row r="303" spans="1:7" ht="19.5" customHeight="1" x14ac:dyDescent="0.3">
      <c r="A303" s="6" t="str">
        <f t="shared" si="4"/>
        <v/>
      </c>
      <c r="B303" s="6"/>
      <c r="C303" s="7"/>
      <c r="D303" s="7"/>
      <c r="E303" s="7"/>
      <c r="F303" s="7"/>
      <c r="G303" s="6"/>
    </row>
  </sheetData>
  <mergeCells count="2">
    <mergeCell ref="A1:G1"/>
    <mergeCell ref="A2:G2"/>
  </mergeCells>
  <dataValidations count="2">
    <dataValidation type="list" allowBlank="1" sqref="G4:G303">
      <formula1>"Aktif,Bakımda,Arızalı"</formula1>
      <formula2>0</formula2>
    </dataValidation>
    <dataValidation type="list" allowBlank="1" sqref="F4:F303">
      <formula1>"Fen İşleri Müdürlüğü,Su ve Kanalizasyon İşleri,Temizlik İşleri,Park ve Bahçeler Müdürlüğü,Diğer"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defaultColWidth="8.6640625" defaultRowHeight="14.4" x14ac:dyDescent="0.3"/>
  <cols>
    <col min="1" max="1" width="5" style="1" customWidth="1"/>
    <col min="2" max="2" width="12" style="1" customWidth="1"/>
    <col min="3" max="3" width="14" style="1" customWidth="1"/>
    <col min="4" max="4" width="24" style="1" customWidth="1"/>
    <col min="5" max="5" width="20" style="1" customWidth="1"/>
    <col min="6" max="7" width="24" style="1" customWidth="1"/>
    <col min="8" max="9" width="10" style="1" customWidth="1"/>
    <col min="10" max="10" width="14" style="1" customWidth="1"/>
    <col min="11" max="11" width="10" style="1" customWidth="1"/>
    <col min="12" max="12" width="20" style="1" customWidth="1"/>
    <col min="13" max="13" width="16" style="1" customWidth="1"/>
  </cols>
  <sheetData>
    <row r="1" spans="1:13" ht="71.400000000000006" customHeight="1" x14ac:dyDescent="0.3">
      <c r="A1" s="39" t="s">
        <v>75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9.5" customHeight="1" x14ac:dyDescent="0.3">
      <c r="A2" s="40" t="s">
        <v>13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42" customHeight="1" x14ac:dyDescent="0.3">
      <c r="A3" s="9" t="s">
        <v>1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9" t="s">
        <v>24</v>
      </c>
      <c r="M3" s="9" t="s">
        <v>25</v>
      </c>
    </row>
    <row r="4" spans="1:13" ht="19.5" customHeight="1" x14ac:dyDescent="0.3">
      <c r="A4" s="3" t="str">
        <f t="shared" ref="A4:A67" si="0">IF(B4&lt;&gt;"",ROW()-3,"")</f>
        <v/>
      </c>
      <c r="B4" s="5"/>
      <c r="C4" s="3"/>
      <c r="D4" s="10" t="str">
        <f>IF(C4&lt;&gt;"",IFERROR(VLOOKUP(C4,'Araç Listesi'!$B$4:$C$303,2,0),"Bulunamadı"),"")</f>
        <v/>
      </c>
      <c r="E4" s="4"/>
      <c r="F4" s="4"/>
      <c r="G4" s="4"/>
      <c r="H4" s="11"/>
      <c r="I4" s="11"/>
      <c r="J4" s="12" t="str">
        <f t="shared" ref="J4:J67" si="1">IF(AND(H4&lt;&gt;"",I4&lt;&gt;""),IFERROR(IF(I4&gt;H4,(I4-H4)*24,(1+I4-H4)*24),""),"")</f>
        <v/>
      </c>
      <c r="K4" s="13"/>
      <c r="L4" s="4"/>
      <c r="M4" s="4"/>
    </row>
    <row r="5" spans="1:13" ht="19.5" customHeight="1" x14ac:dyDescent="0.3">
      <c r="A5" s="6" t="str">
        <f t="shared" si="0"/>
        <v/>
      </c>
      <c r="B5" s="8"/>
      <c r="C5" s="6"/>
      <c r="D5" s="10" t="str">
        <f>IF(C5&lt;&gt;"",IFERROR(VLOOKUP(C5,'Araç Listesi'!$B$4:$C$303,2,0),"Bulunamadı"),"")</f>
        <v/>
      </c>
      <c r="E5" s="7"/>
      <c r="F5" s="7"/>
      <c r="G5" s="7"/>
      <c r="H5" s="14"/>
      <c r="I5" s="14"/>
      <c r="J5" s="12" t="str">
        <f t="shared" si="1"/>
        <v/>
      </c>
      <c r="K5" s="15"/>
      <c r="L5" s="7"/>
      <c r="M5" s="7"/>
    </row>
    <row r="6" spans="1:13" ht="19.5" customHeight="1" x14ac:dyDescent="0.3">
      <c r="A6" s="3" t="str">
        <f t="shared" si="0"/>
        <v/>
      </c>
      <c r="B6" s="5"/>
      <c r="C6" s="3"/>
      <c r="D6" s="10" t="str">
        <f>IF(C6&lt;&gt;"",IFERROR(VLOOKUP(C6,'Araç Listesi'!$B$4:$C$303,2,0),"Bulunamadı"),"")</f>
        <v/>
      </c>
      <c r="E6" s="4"/>
      <c r="F6" s="4"/>
      <c r="G6" s="4"/>
      <c r="H6" s="11"/>
      <c r="I6" s="11"/>
      <c r="J6" s="12" t="str">
        <f t="shared" si="1"/>
        <v/>
      </c>
      <c r="K6" s="13"/>
      <c r="L6" s="4"/>
      <c r="M6" s="4"/>
    </row>
    <row r="7" spans="1:13" ht="19.5" customHeight="1" x14ac:dyDescent="0.3">
      <c r="A7" s="6" t="str">
        <f t="shared" si="0"/>
        <v/>
      </c>
      <c r="B7" s="8"/>
      <c r="C7" s="6"/>
      <c r="D7" s="10" t="str">
        <f>IF(C7&lt;&gt;"",IFERROR(VLOOKUP(C7,'Araç Listesi'!$B$4:$C$303,2,0),"Bulunamadı"),"")</f>
        <v/>
      </c>
      <c r="E7" s="7"/>
      <c r="F7" s="7"/>
      <c r="G7" s="7"/>
      <c r="H7" s="14"/>
      <c r="I7" s="14"/>
      <c r="J7" s="12" t="str">
        <f t="shared" si="1"/>
        <v/>
      </c>
      <c r="K7" s="15"/>
      <c r="L7" s="7"/>
      <c r="M7" s="7"/>
    </row>
    <row r="8" spans="1:13" ht="19.5" customHeight="1" x14ac:dyDescent="0.3">
      <c r="A8" s="3" t="str">
        <f t="shared" si="0"/>
        <v/>
      </c>
      <c r="B8" s="5"/>
      <c r="C8" s="3"/>
      <c r="D8" s="10" t="str">
        <f>IF(C8&lt;&gt;"",IFERROR(VLOOKUP(C8,'Araç Listesi'!$B$4:$C$303,2,0),"Bulunamadı"),"")</f>
        <v/>
      </c>
      <c r="E8" s="4"/>
      <c r="F8" s="4"/>
      <c r="G8" s="4"/>
      <c r="H8" s="11"/>
      <c r="I8" s="11"/>
      <c r="J8" s="12" t="str">
        <f t="shared" si="1"/>
        <v/>
      </c>
      <c r="K8" s="13"/>
      <c r="L8" s="4"/>
      <c r="M8" s="4"/>
    </row>
    <row r="9" spans="1:13" ht="19.5" customHeight="1" x14ac:dyDescent="0.3">
      <c r="A9" s="6" t="str">
        <f t="shared" si="0"/>
        <v/>
      </c>
      <c r="B9" s="8"/>
      <c r="C9" s="6"/>
      <c r="D9" s="10" t="str">
        <f>IF(C9&lt;&gt;"",IFERROR(VLOOKUP(C9,'Araç Listesi'!$B$4:$C$303,2,0),"Bulunamadı"),"")</f>
        <v/>
      </c>
      <c r="E9" s="7"/>
      <c r="F9" s="7"/>
      <c r="G9" s="7"/>
      <c r="H9" s="14"/>
      <c r="I9" s="14"/>
      <c r="J9" s="12" t="str">
        <f t="shared" si="1"/>
        <v/>
      </c>
      <c r="K9" s="15"/>
      <c r="L9" s="7"/>
      <c r="M9" s="7"/>
    </row>
    <row r="10" spans="1:13" ht="19.5" customHeight="1" x14ac:dyDescent="0.3">
      <c r="A10" s="3" t="str">
        <f t="shared" si="0"/>
        <v/>
      </c>
      <c r="B10" s="5"/>
      <c r="C10" s="3"/>
      <c r="D10" s="10" t="str">
        <f>IF(C10&lt;&gt;"",IFERROR(VLOOKUP(C10,'Araç Listesi'!$B$4:$C$303,2,0),"Bulunamadı"),"")</f>
        <v/>
      </c>
      <c r="E10" s="4"/>
      <c r="F10" s="4"/>
      <c r="G10" s="4"/>
      <c r="H10" s="11"/>
      <c r="I10" s="11"/>
      <c r="J10" s="12" t="str">
        <f t="shared" si="1"/>
        <v/>
      </c>
      <c r="K10" s="13"/>
      <c r="L10" s="4"/>
      <c r="M10" s="4"/>
    </row>
    <row r="11" spans="1:13" ht="19.5" customHeight="1" x14ac:dyDescent="0.3">
      <c r="A11" s="6" t="str">
        <f t="shared" si="0"/>
        <v/>
      </c>
      <c r="B11" s="8"/>
      <c r="C11" s="6"/>
      <c r="D11" s="10" t="str">
        <f>IF(C11&lt;&gt;"",IFERROR(VLOOKUP(C11,'Araç Listesi'!$B$4:$C$303,2,0),"Bulunamadı"),"")</f>
        <v/>
      </c>
      <c r="E11" s="7"/>
      <c r="F11" s="7"/>
      <c r="G11" s="7"/>
      <c r="H11" s="14"/>
      <c r="I11" s="14"/>
      <c r="J11" s="12" t="str">
        <f t="shared" si="1"/>
        <v/>
      </c>
      <c r="K11" s="15"/>
      <c r="L11" s="7"/>
      <c r="M11" s="7"/>
    </row>
    <row r="12" spans="1:13" ht="19.5" customHeight="1" x14ac:dyDescent="0.3">
      <c r="A12" s="3" t="str">
        <f t="shared" si="0"/>
        <v/>
      </c>
      <c r="B12" s="5"/>
      <c r="C12" s="3"/>
      <c r="D12" s="10" t="str">
        <f>IF(C12&lt;&gt;"",IFERROR(VLOOKUP(C12,'Araç Listesi'!$B$4:$C$303,2,0),"Bulunamadı"),"")</f>
        <v/>
      </c>
      <c r="E12" s="4"/>
      <c r="F12" s="4"/>
      <c r="G12" s="4"/>
      <c r="H12" s="11"/>
      <c r="I12" s="11"/>
      <c r="J12" s="12" t="str">
        <f t="shared" si="1"/>
        <v/>
      </c>
      <c r="K12" s="13"/>
      <c r="L12" s="4"/>
      <c r="M12" s="4"/>
    </row>
    <row r="13" spans="1:13" ht="19.5" customHeight="1" x14ac:dyDescent="0.3">
      <c r="A13" s="6" t="str">
        <f t="shared" si="0"/>
        <v/>
      </c>
      <c r="B13" s="8"/>
      <c r="C13" s="6"/>
      <c r="D13" s="10" t="str">
        <f>IF(C13&lt;&gt;"",IFERROR(VLOOKUP(C13,'Araç Listesi'!$B$4:$C$303,2,0),"Bulunamadı"),"")</f>
        <v/>
      </c>
      <c r="E13" s="7"/>
      <c r="F13" s="7"/>
      <c r="G13" s="7"/>
      <c r="H13" s="14"/>
      <c r="I13" s="14"/>
      <c r="J13" s="12" t="str">
        <f t="shared" si="1"/>
        <v/>
      </c>
      <c r="K13" s="15"/>
      <c r="L13" s="7"/>
      <c r="M13" s="7"/>
    </row>
    <row r="14" spans="1:13" ht="19.5" customHeight="1" x14ac:dyDescent="0.3">
      <c r="A14" s="3" t="str">
        <f t="shared" si="0"/>
        <v/>
      </c>
      <c r="B14" s="5"/>
      <c r="C14" s="3"/>
      <c r="D14" s="10" t="str">
        <f>IF(C14&lt;&gt;"",IFERROR(VLOOKUP(C14,'Araç Listesi'!$B$4:$C$303,2,0),"Bulunamadı"),"")</f>
        <v/>
      </c>
      <c r="E14" s="4"/>
      <c r="F14" s="4"/>
      <c r="G14" s="4"/>
      <c r="H14" s="11"/>
      <c r="I14" s="11"/>
      <c r="J14" s="12" t="str">
        <f t="shared" si="1"/>
        <v/>
      </c>
      <c r="K14" s="13"/>
      <c r="L14" s="4"/>
      <c r="M14" s="4"/>
    </row>
    <row r="15" spans="1:13" ht="19.5" customHeight="1" x14ac:dyDescent="0.3">
      <c r="A15" s="6" t="str">
        <f t="shared" si="0"/>
        <v/>
      </c>
      <c r="B15" s="8"/>
      <c r="C15" s="6"/>
      <c r="D15" s="10" t="str">
        <f>IF(C15&lt;&gt;"",IFERROR(VLOOKUP(C15,'Araç Listesi'!$B$4:$C$303,2,0),"Bulunamadı"),"")</f>
        <v/>
      </c>
      <c r="E15" s="7"/>
      <c r="F15" s="7"/>
      <c r="G15" s="7"/>
      <c r="H15" s="14"/>
      <c r="I15" s="14"/>
      <c r="J15" s="12" t="str">
        <f t="shared" si="1"/>
        <v/>
      </c>
      <c r="K15" s="15"/>
      <c r="L15" s="7"/>
      <c r="M15" s="7"/>
    </row>
    <row r="16" spans="1:13" ht="19.5" customHeight="1" x14ac:dyDescent="0.3">
      <c r="A16" s="3" t="str">
        <f t="shared" si="0"/>
        <v/>
      </c>
      <c r="B16" s="5"/>
      <c r="C16" s="3"/>
      <c r="D16" s="10" t="str">
        <f>IF(C16&lt;&gt;"",IFERROR(VLOOKUP(C16,'Araç Listesi'!$B$4:$C$303,2,0),"Bulunamadı"),"")</f>
        <v/>
      </c>
      <c r="E16" s="4"/>
      <c r="F16" s="4"/>
      <c r="G16" s="4"/>
      <c r="H16" s="11"/>
      <c r="I16" s="11"/>
      <c r="J16" s="12" t="str">
        <f t="shared" si="1"/>
        <v/>
      </c>
      <c r="K16" s="13"/>
      <c r="L16" s="4"/>
      <c r="M16" s="4"/>
    </row>
    <row r="17" spans="1:13" ht="19.5" customHeight="1" x14ac:dyDescent="0.3">
      <c r="A17" s="6" t="str">
        <f t="shared" si="0"/>
        <v/>
      </c>
      <c r="B17" s="8"/>
      <c r="C17" s="6"/>
      <c r="D17" s="10" t="str">
        <f>IF(C17&lt;&gt;"",IFERROR(VLOOKUP(C17,'Araç Listesi'!$B$4:$C$303,2,0),"Bulunamadı"),"")</f>
        <v/>
      </c>
      <c r="E17" s="7"/>
      <c r="F17" s="7"/>
      <c r="G17" s="7"/>
      <c r="H17" s="14"/>
      <c r="I17" s="14"/>
      <c r="J17" s="12" t="str">
        <f t="shared" si="1"/>
        <v/>
      </c>
      <c r="K17" s="15"/>
      <c r="L17" s="7"/>
      <c r="M17" s="7"/>
    </row>
    <row r="18" spans="1:13" ht="19.5" customHeight="1" x14ac:dyDescent="0.3">
      <c r="A18" s="3" t="str">
        <f t="shared" si="0"/>
        <v/>
      </c>
      <c r="B18" s="5"/>
      <c r="C18" s="3"/>
      <c r="D18" s="10" t="str">
        <f>IF(C18&lt;&gt;"",IFERROR(VLOOKUP(C18,'Araç Listesi'!$B$4:$C$303,2,0),"Bulunamadı"),"")</f>
        <v/>
      </c>
      <c r="E18" s="4"/>
      <c r="F18" s="4"/>
      <c r="G18" s="4"/>
      <c r="H18" s="11"/>
      <c r="I18" s="11"/>
      <c r="J18" s="12" t="str">
        <f t="shared" si="1"/>
        <v/>
      </c>
      <c r="K18" s="13"/>
      <c r="L18" s="4"/>
      <c r="M18" s="4"/>
    </row>
    <row r="19" spans="1:13" ht="19.5" customHeight="1" x14ac:dyDescent="0.3">
      <c r="A19" s="6" t="str">
        <f t="shared" si="0"/>
        <v/>
      </c>
      <c r="B19" s="8"/>
      <c r="C19" s="6"/>
      <c r="D19" s="10" t="str">
        <f>IF(C19&lt;&gt;"",IFERROR(VLOOKUP(C19,'Araç Listesi'!$B$4:$C$303,2,0),"Bulunamadı"),"")</f>
        <v/>
      </c>
      <c r="E19" s="7"/>
      <c r="F19" s="7"/>
      <c r="G19" s="7"/>
      <c r="H19" s="14"/>
      <c r="I19" s="14"/>
      <c r="J19" s="12" t="str">
        <f t="shared" si="1"/>
        <v/>
      </c>
      <c r="K19" s="15"/>
      <c r="L19" s="7"/>
      <c r="M19" s="7"/>
    </row>
    <row r="20" spans="1:13" ht="19.5" customHeight="1" x14ac:dyDescent="0.3">
      <c r="A20" s="3" t="str">
        <f t="shared" si="0"/>
        <v/>
      </c>
      <c r="B20" s="5"/>
      <c r="C20" s="3"/>
      <c r="D20" s="10" t="str">
        <f>IF(C20&lt;&gt;"",IFERROR(VLOOKUP(C20,'Araç Listesi'!$B$4:$C$303,2,0),"Bulunamadı"),"")</f>
        <v/>
      </c>
      <c r="E20" s="4"/>
      <c r="F20" s="4"/>
      <c r="G20" s="4"/>
      <c r="H20" s="11"/>
      <c r="I20" s="11"/>
      <c r="J20" s="12" t="str">
        <f t="shared" si="1"/>
        <v/>
      </c>
      <c r="K20" s="13"/>
      <c r="L20" s="4"/>
      <c r="M20" s="4"/>
    </row>
    <row r="21" spans="1:13" ht="19.5" customHeight="1" x14ac:dyDescent="0.3">
      <c r="A21" s="6" t="str">
        <f t="shared" si="0"/>
        <v/>
      </c>
      <c r="B21" s="8"/>
      <c r="C21" s="6"/>
      <c r="D21" s="10" t="str">
        <f>IF(C21&lt;&gt;"",IFERROR(VLOOKUP(C21,'Araç Listesi'!$B$4:$C$303,2,0),"Bulunamadı"),"")</f>
        <v/>
      </c>
      <c r="E21" s="7"/>
      <c r="F21" s="7"/>
      <c r="G21" s="7"/>
      <c r="H21" s="14"/>
      <c r="I21" s="14"/>
      <c r="J21" s="12" t="str">
        <f t="shared" si="1"/>
        <v/>
      </c>
      <c r="K21" s="15"/>
      <c r="L21" s="7"/>
      <c r="M21" s="7"/>
    </row>
    <row r="22" spans="1:13" ht="19.5" customHeight="1" x14ac:dyDescent="0.3">
      <c r="A22" s="3" t="str">
        <f t="shared" si="0"/>
        <v/>
      </c>
      <c r="B22" s="5"/>
      <c r="C22" s="3"/>
      <c r="D22" s="10" t="str">
        <f>IF(C22&lt;&gt;"",IFERROR(VLOOKUP(C22,'Araç Listesi'!$B$4:$C$303,2,0),"Bulunamadı"),"")</f>
        <v/>
      </c>
      <c r="E22" s="4"/>
      <c r="F22" s="4"/>
      <c r="G22" s="4"/>
      <c r="H22" s="11"/>
      <c r="I22" s="11"/>
      <c r="J22" s="12" t="str">
        <f t="shared" si="1"/>
        <v/>
      </c>
      <c r="K22" s="13"/>
      <c r="L22" s="4"/>
      <c r="M22" s="4"/>
    </row>
    <row r="23" spans="1:13" ht="19.5" customHeight="1" x14ac:dyDescent="0.3">
      <c r="A23" s="6" t="str">
        <f t="shared" si="0"/>
        <v/>
      </c>
      <c r="B23" s="8"/>
      <c r="C23" s="6"/>
      <c r="D23" s="10" t="str">
        <f>IF(C23&lt;&gt;"",IFERROR(VLOOKUP(C23,'Araç Listesi'!$B$4:$C$303,2,0),"Bulunamadı"),"")</f>
        <v/>
      </c>
      <c r="E23" s="7"/>
      <c r="F23" s="7"/>
      <c r="G23" s="7"/>
      <c r="H23" s="14"/>
      <c r="I23" s="14"/>
      <c r="J23" s="12" t="str">
        <f t="shared" si="1"/>
        <v/>
      </c>
      <c r="K23" s="15"/>
      <c r="L23" s="7"/>
      <c r="M23" s="7"/>
    </row>
    <row r="24" spans="1:13" ht="19.5" customHeight="1" x14ac:dyDescent="0.3">
      <c r="A24" s="3" t="str">
        <f t="shared" si="0"/>
        <v/>
      </c>
      <c r="B24" s="5"/>
      <c r="C24" s="3"/>
      <c r="D24" s="10" t="str">
        <f>IF(C24&lt;&gt;"",IFERROR(VLOOKUP(C24,'Araç Listesi'!$B$4:$C$303,2,0),"Bulunamadı"),"")</f>
        <v/>
      </c>
      <c r="E24" s="4"/>
      <c r="F24" s="4"/>
      <c r="G24" s="4"/>
      <c r="H24" s="11"/>
      <c r="I24" s="11"/>
      <c r="J24" s="12" t="str">
        <f t="shared" si="1"/>
        <v/>
      </c>
      <c r="K24" s="13"/>
      <c r="L24" s="4"/>
      <c r="M24" s="4"/>
    </row>
    <row r="25" spans="1:13" ht="19.5" customHeight="1" x14ac:dyDescent="0.3">
      <c r="A25" s="6" t="str">
        <f t="shared" si="0"/>
        <v/>
      </c>
      <c r="B25" s="8"/>
      <c r="C25" s="6"/>
      <c r="D25" s="10" t="str">
        <f>IF(C25&lt;&gt;"",IFERROR(VLOOKUP(C25,'Araç Listesi'!$B$4:$C$303,2,0),"Bulunamadı"),"")</f>
        <v/>
      </c>
      <c r="E25" s="7"/>
      <c r="F25" s="7"/>
      <c r="G25" s="7"/>
      <c r="H25" s="14"/>
      <c r="I25" s="14"/>
      <c r="J25" s="12" t="str">
        <f t="shared" si="1"/>
        <v/>
      </c>
      <c r="K25" s="15"/>
      <c r="L25" s="7"/>
      <c r="M25" s="7"/>
    </row>
    <row r="26" spans="1:13" ht="19.5" customHeight="1" x14ac:dyDescent="0.3">
      <c r="A26" s="3" t="str">
        <f t="shared" si="0"/>
        <v/>
      </c>
      <c r="B26" s="5"/>
      <c r="C26" s="3"/>
      <c r="D26" s="10" t="str">
        <f>IF(C26&lt;&gt;"",IFERROR(VLOOKUP(C26,'Araç Listesi'!$B$4:$C$303,2,0),"Bulunamadı"),"")</f>
        <v/>
      </c>
      <c r="E26" s="4"/>
      <c r="F26" s="4"/>
      <c r="G26" s="4"/>
      <c r="H26" s="11"/>
      <c r="I26" s="11"/>
      <c r="J26" s="12" t="str">
        <f t="shared" si="1"/>
        <v/>
      </c>
      <c r="K26" s="13"/>
      <c r="L26" s="4"/>
      <c r="M26" s="4"/>
    </row>
    <row r="27" spans="1:13" ht="19.5" customHeight="1" x14ac:dyDescent="0.3">
      <c r="A27" s="6" t="str">
        <f t="shared" si="0"/>
        <v/>
      </c>
      <c r="B27" s="8"/>
      <c r="C27" s="6"/>
      <c r="D27" s="10" t="str">
        <f>IF(C27&lt;&gt;"",IFERROR(VLOOKUP(C27,'Araç Listesi'!$B$4:$C$303,2,0),"Bulunamadı"),"")</f>
        <v/>
      </c>
      <c r="E27" s="7"/>
      <c r="F27" s="7"/>
      <c r="G27" s="7"/>
      <c r="H27" s="14"/>
      <c r="I27" s="14"/>
      <c r="J27" s="12" t="str">
        <f t="shared" si="1"/>
        <v/>
      </c>
      <c r="K27" s="15"/>
      <c r="L27" s="7"/>
      <c r="M27" s="7"/>
    </row>
    <row r="28" spans="1:13" ht="19.5" customHeight="1" x14ac:dyDescent="0.3">
      <c r="A28" s="3" t="str">
        <f t="shared" si="0"/>
        <v/>
      </c>
      <c r="B28" s="5"/>
      <c r="C28" s="3"/>
      <c r="D28" s="10" t="str">
        <f>IF(C28&lt;&gt;"",IFERROR(VLOOKUP(C28,'Araç Listesi'!$B$4:$C$303,2,0),"Bulunamadı"),"")</f>
        <v/>
      </c>
      <c r="E28" s="4"/>
      <c r="F28" s="4"/>
      <c r="G28" s="4"/>
      <c r="H28" s="11"/>
      <c r="I28" s="11"/>
      <c r="J28" s="12" t="str">
        <f t="shared" si="1"/>
        <v/>
      </c>
      <c r="K28" s="13"/>
      <c r="L28" s="4"/>
      <c r="M28" s="4"/>
    </row>
    <row r="29" spans="1:13" ht="19.5" customHeight="1" x14ac:dyDescent="0.3">
      <c r="A29" s="6" t="str">
        <f t="shared" si="0"/>
        <v/>
      </c>
      <c r="B29" s="8"/>
      <c r="C29" s="6"/>
      <c r="D29" s="10" t="str">
        <f>IF(C29&lt;&gt;"",IFERROR(VLOOKUP(C29,'Araç Listesi'!$B$4:$C$303,2,0),"Bulunamadı"),"")</f>
        <v/>
      </c>
      <c r="E29" s="7"/>
      <c r="F29" s="7"/>
      <c r="G29" s="7"/>
      <c r="H29" s="14"/>
      <c r="I29" s="14"/>
      <c r="J29" s="12" t="str">
        <f t="shared" si="1"/>
        <v/>
      </c>
      <c r="K29" s="15"/>
      <c r="L29" s="7"/>
      <c r="M29" s="7"/>
    </row>
    <row r="30" spans="1:13" ht="19.5" customHeight="1" x14ac:dyDescent="0.3">
      <c r="A30" s="3" t="str">
        <f t="shared" si="0"/>
        <v/>
      </c>
      <c r="B30" s="5"/>
      <c r="C30" s="3"/>
      <c r="D30" s="10" t="str">
        <f>IF(C30&lt;&gt;"",IFERROR(VLOOKUP(C30,'Araç Listesi'!$B$4:$C$303,2,0),"Bulunamadı"),"")</f>
        <v/>
      </c>
      <c r="E30" s="4"/>
      <c r="F30" s="4"/>
      <c r="G30" s="4"/>
      <c r="H30" s="11"/>
      <c r="I30" s="11"/>
      <c r="J30" s="12" t="str">
        <f t="shared" si="1"/>
        <v/>
      </c>
      <c r="K30" s="13"/>
      <c r="L30" s="4"/>
      <c r="M30" s="4"/>
    </row>
    <row r="31" spans="1:13" ht="19.5" customHeight="1" x14ac:dyDescent="0.3">
      <c r="A31" s="6" t="str">
        <f t="shared" si="0"/>
        <v/>
      </c>
      <c r="B31" s="8"/>
      <c r="C31" s="6"/>
      <c r="D31" s="10" t="str">
        <f>IF(C31&lt;&gt;"",IFERROR(VLOOKUP(C31,'Araç Listesi'!$B$4:$C$303,2,0),"Bulunamadı"),"")</f>
        <v/>
      </c>
      <c r="E31" s="7"/>
      <c r="F31" s="7"/>
      <c r="G31" s="7"/>
      <c r="H31" s="14"/>
      <c r="I31" s="14"/>
      <c r="J31" s="12" t="str">
        <f t="shared" si="1"/>
        <v/>
      </c>
      <c r="K31" s="15"/>
      <c r="L31" s="7"/>
      <c r="M31" s="7"/>
    </row>
    <row r="32" spans="1:13" ht="19.5" customHeight="1" x14ac:dyDescent="0.3">
      <c r="A32" s="3" t="str">
        <f t="shared" si="0"/>
        <v/>
      </c>
      <c r="B32" s="5"/>
      <c r="C32" s="3"/>
      <c r="D32" s="10" t="str">
        <f>IF(C32&lt;&gt;"",IFERROR(VLOOKUP(C32,'Araç Listesi'!$B$4:$C$303,2,0),"Bulunamadı"),"")</f>
        <v/>
      </c>
      <c r="E32" s="4"/>
      <c r="F32" s="4"/>
      <c r="G32" s="4"/>
      <c r="H32" s="11"/>
      <c r="I32" s="11"/>
      <c r="J32" s="12" t="str">
        <f t="shared" si="1"/>
        <v/>
      </c>
      <c r="K32" s="13"/>
      <c r="L32" s="4"/>
      <c r="M32" s="4"/>
    </row>
    <row r="33" spans="1:13" ht="19.5" customHeight="1" x14ac:dyDescent="0.3">
      <c r="A33" s="6" t="str">
        <f t="shared" si="0"/>
        <v/>
      </c>
      <c r="B33" s="8"/>
      <c r="C33" s="6"/>
      <c r="D33" s="10" t="str">
        <f>IF(C33&lt;&gt;"",IFERROR(VLOOKUP(C33,'Araç Listesi'!$B$4:$C$303,2,0),"Bulunamadı"),"")</f>
        <v/>
      </c>
      <c r="E33" s="7"/>
      <c r="F33" s="7"/>
      <c r="G33" s="7"/>
      <c r="H33" s="14"/>
      <c r="I33" s="14"/>
      <c r="J33" s="12" t="str">
        <f t="shared" si="1"/>
        <v/>
      </c>
      <c r="K33" s="15"/>
      <c r="L33" s="7"/>
      <c r="M33" s="7"/>
    </row>
    <row r="34" spans="1:13" ht="19.5" customHeight="1" x14ac:dyDescent="0.3">
      <c r="A34" s="3" t="str">
        <f t="shared" si="0"/>
        <v/>
      </c>
      <c r="B34" s="5"/>
      <c r="C34" s="3"/>
      <c r="D34" s="10" t="str">
        <f>IF(C34&lt;&gt;"",IFERROR(VLOOKUP(C34,'Araç Listesi'!$B$4:$C$303,2,0),"Bulunamadı"),"")</f>
        <v/>
      </c>
      <c r="E34" s="4"/>
      <c r="F34" s="4"/>
      <c r="G34" s="4"/>
      <c r="H34" s="11"/>
      <c r="I34" s="11"/>
      <c r="J34" s="12" t="str">
        <f t="shared" si="1"/>
        <v/>
      </c>
      <c r="K34" s="13"/>
      <c r="L34" s="4"/>
      <c r="M34" s="4"/>
    </row>
    <row r="35" spans="1:13" ht="19.5" customHeight="1" x14ac:dyDescent="0.3">
      <c r="A35" s="6" t="str">
        <f t="shared" si="0"/>
        <v/>
      </c>
      <c r="B35" s="8"/>
      <c r="C35" s="6"/>
      <c r="D35" s="10" t="str">
        <f>IF(C35&lt;&gt;"",IFERROR(VLOOKUP(C35,'Araç Listesi'!$B$4:$C$303,2,0),"Bulunamadı"),"")</f>
        <v/>
      </c>
      <c r="E35" s="7"/>
      <c r="F35" s="7"/>
      <c r="G35" s="7"/>
      <c r="H35" s="14"/>
      <c r="I35" s="14"/>
      <c r="J35" s="12" t="str">
        <f t="shared" si="1"/>
        <v/>
      </c>
      <c r="K35" s="15"/>
      <c r="L35" s="7"/>
      <c r="M35" s="7"/>
    </row>
    <row r="36" spans="1:13" ht="19.5" customHeight="1" x14ac:dyDescent="0.3">
      <c r="A36" s="3" t="str">
        <f t="shared" si="0"/>
        <v/>
      </c>
      <c r="B36" s="5"/>
      <c r="C36" s="3"/>
      <c r="D36" s="10" t="str">
        <f>IF(C36&lt;&gt;"",IFERROR(VLOOKUP(C36,'Araç Listesi'!$B$4:$C$303,2,0),"Bulunamadı"),"")</f>
        <v/>
      </c>
      <c r="E36" s="4"/>
      <c r="F36" s="4"/>
      <c r="G36" s="4"/>
      <c r="H36" s="11"/>
      <c r="I36" s="11"/>
      <c r="J36" s="12" t="str">
        <f t="shared" si="1"/>
        <v/>
      </c>
      <c r="K36" s="13"/>
      <c r="L36" s="4"/>
      <c r="M36" s="4"/>
    </row>
    <row r="37" spans="1:13" ht="19.5" customHeight="1" x14ac:dyDescent="0.3">
      <c r="A37" s="6" t="str">
        <f t="shared" si="0"/>
        <v/>
      </c>
      <c r="B37" s="8"/>
      <c r="C37" s="6"/>
      <c r="D37" s="10" t="str">
        <f>IF(C37&lt;&gt;"",IFERROR(VLOOKUP(C37,'Araç Listesi'!$B$4:$C$303,2,0),"Bulunamadı"),"")</f>
        <v/>
      </c>
      <c r="E37" s="7"/>
      <c r="F37" s="7"/>
      <c r="G37" s="7"/>
      <c r="H37" s="14"/>
      <c r="I37" s="14"/>
      <c r="J37" s="12" t="str">
        <f t="shared" si="1"/>
        <v/>
      </c>
      <c r="K37" s="15"/>
      <c r="L37" s="7"/>
      <c r="M37" s="7"/>
    </row>
    <row r="38" spans="1:13" ht="19.5" customHeight="1" x14ac:dyDescent="0.3">
      <c r="A38" s="3" t="str">
        <f t="shared" si="0"/>
        <v/>
      </c>
      <c r="B38" s="5"/>
      <c r="C38" s="3"/>
      <c r="D38" s="10" t="str">
        <f>IF(C38&lt;&gt;"",IFERROR(VLOOKUP(C38,'Araç Listesi'!$B$4:$C$303,2,0),"Bulunamadı"),"")</f>
        <v/>
      </c>
      <c r="E38" s="4"/>
      <c r="F38" s="4"/>
      <c r="G38" s="4"/>
      <c r="H38" s="11"/>
      <c r="I38" s="11"/>
      <c r="J38" s="12" t="str">
        <f t="shared" si="1"/>
        <v/>
      </c>
      <c r="K38" s="13"/>
      <c r="L38" s="4"/>
      <c r="M38" s="4"/>
    </row>
    <row r="39" spans="1:13" ht="19.5" customHeight="1" x14ac:dyDescent="0.3">
      <c r="A39" s="6" t="str">
        <f t="shared" si="0"/>
        <v/>
      </c>
      <c r="B39" s="8"/>
      <c r="C39" s="6"/>
      <c r="D39" s="10" t="str">
        <f>IF(C39&lt;&gt;"",IFERROR(VLOOKUP(C39,'Araç Listesi'!$B$4:$C$303,2,0),"Bulunamadı"),"")</f>
        <v/>
      </c>
      <c r="E39" s="7"/>
      <c r="F39" s="7"/>
      <c r="G39" s="7"/>
      <c r="H39" s="14"/>
      <c r="I39" s="14"/>
      <c r="J39" s="12" t="str">
        <f t="shared" si="1"/>
        <v/>
      </c>
      <c r="K39" s="15"/>
      <c r="L39" s="7"/>
      <c r="M39" s="7"/>
    </row>
    <row r="40" spans="1:13" ht="19.5" customHeight="1" x14ac:dyDescent="0.3">
      <c r="A40" s="3" t="str">
        <f t="shared" si="0"/>
        <v/>
      </c>
      <c r="B40" s="5"/>
      <c r="C40" s="3"/>
      <c r="D40" s="10" t="str">
        <f>IF(C40&lt;&gt;"",IFERROR(VLOOKUP(C40,'Araç Listesi'!$B$4:$C$303,2,0),"Bulunamadı"),"")</f>
        <v/>
      </c>
      <c r="E40" s="4"/>
      <c r="F40" s="4"/>
      <c r="G40" s="4"/>
      <c r="H40" s="11"/>
      <c r="I40" s="11"/>
      <c r="J40" s="12" t="str">
        <f t="shared" si="1"/>
        <v/>
      </c>
      <c r="K40" s="13"/>
      <c r="L40" s="4"/>
      <c r="M40" s="4"/>
    </row>
    <row r="41" spans="1:13" ht="19.5" customHeight="1" x14ac:dyDescent="0.3">
      <c r="A41" s="6" t="str">
        <f t="shared" si="0"/>
        <v/>
      </c>
      <c r="B41" s="8"/>
      <c r="C41" s="6"/>
      <c r="D41" s="10" t="str">
        <f>IF(C41&lt;&gt;"",IFERROR(VLOOKUP(C41,'Araç Listesi'!$B$4:$C$303,2,0),"Bulunamadı"),"")</f>
        <v/>
      </c>
      <c r="E41" s="7"/>
      <c r="F41" s="7"/>
      <c r="G41" s="7"/>
      <c r="H41" s="14"/>
      <c r="I41" s="14"/>
      <c r="J41" s="12" t="str">
        <f t="shared" si="1"/>
        <v/>
      </c>
      <c r="K41" s="15"/>
      <c r="L41" s="7"/>
      <c r="M41" s="7"/>
    </row>
    <row r="42" spans="1:13" ht="19.5" customHeight="1" x14ac:dyDescent="0.3">
      <c r="A42" s="3" t="str">
        <f t="shared" si="0"/>
        <v/>
      </c>
      <c r="B42" s="5"/>
      <c r="C42" s="3"/>
      <c r="D42" s="10" t="str">
        <f>IF(C42&lt;&gt;"",IFERROR(VLOOKUP(C42,'Araç Listesi'!$B$4:$C$303,2,0),"Bulunamadı"),"")</f>
        <v/>
      </c>
      <c r="E42" s="4"/>
      <c r="F42" s="4"/>
      <c r="G42" s="4"/>
      <c r="H42" s="11"/>
      <c r="I42" s="11"/>
      <c r="J42" s="12" t="str">
        <f t="shared" si="1"/>
        <v/>
      </c>
      <c r="K42" s="13"/>
      <c r="L42" s="4"/>
      <c r="M42" s="4"/>
    </row>
    <row r="43" spans="1:13" ht="19.5" customHeight="1" x14ac:dyDescent="0.3">
      <c r="A43" s="6" t="str">
        <f t="shared" si="0"/>
        <v/>
      </c>
      <c r="B43" s="8"/>
      <c r="C43" s="6"/>
      <c r="D43" s="10" t="str">
        <f>IF(C43&lt;&gt;"",IFERROR(VLOOKUP(C43,'Araç Listesi'!$B$4:$C$303,2,0),"Bulunamadı"),"")</f>
        <v/>
      </c>
      <c r="E43" s="7"/>
      <c r="F43" s="7"/>
      <c r="G43" s="7"/>
      <c r="H43" s="14"/>
      <c r="I43" s="14"/>
      <c r="J43" s="12" t="str">
        <f t="shared" si="1"/>
        <v/>
      </c>
      <c r="K43" s="15"/>
      <c r="L43" s="7"/>
      <c r="M43" s="7"/>
    </row>
    <row r="44" spans="1:13" ht="19.5" customHeight="1" x14ac:dyDescent="0.3">
      <c r="A44" s="3" t="str">
        <f t="shared" si="0"/>
        <v/>
      </c>
      <c r="B44" s="5"/>
      <c r="C44" s="3"/>
      <c r="D44" s="10" t="str">
        <f>IF(C44&lt;&gt;"",IFERROR(VLOOKUP(C44,'Araç Listesi'!$B$4:$C$303,2,0),"Bulunamadı"),"")</f>
        <v/>
      </c>
      <c r="E44" s="4"/>
      <c r="F44" s="4"/>
      <c r="G44" s="4"/>
      <c r="H44" s="11"/>
      <c r="I44" s="11"/>
      <c r="J44" s="12" t="str">
        <f t="shared" si="1"/>
        <v/>
      </c>
      <c r="K44" s="13"/>
      <c r="L44" s="4"/>
      <c r="M44" s="4"/>
    </row>
    <row r="45" spans="1:13" ht="19.5" customHeight="1" x14ac:dyDescent="0.3">
      <c r="A45" s="6" t="str">
        <f t="shared" si="0"/>
        <v/>
      </c>
      <c r="B45" s="8"/>
      <c r="C45" s="6"/>
      <c r="D45" s="10" t="str">
        <f>IF(C45&lt;&gt;"",IFERROR(VLOOKUP(C45,'Araç Listesi'!$B$4:$C$303,2,0),"Bulunamadı"),"")</f>
        <v/>
      </c>
      <c r="E45" s="7"/>
      <c r="F45" s="7"/>
      <c r="G45" s="7"/>
      <c r="H45" s="14"/>
      <c r="I45" s="14"/>
      <c r="J45" s="12" t="str">
        <f t="shared" si="1"/>
        <v/>
      </c>
      <c r="K45" s="15"/>
      <c r="L45" s="7"/>
      <c r="M45" s="7"/>
    </row>
    <row r="46" spans="1:13" ht="19.5" customHeight="1" x14ac:dyDescent="0.3">
      <c r="A46" s="3" t="str">
        <f t="shared" si="0"/>
        <v/>
      </c>
      <c r="B46" s="5"/>
      <c r="C46" s="3"/>
      <c r="D46" s="10" t="str">
        <f>IF(C46&lt;&gt;"",IFERROR(VLOOKUP(C46,'Araç Listesi'!$B$4:$C$303,2,0),"Bulunamadı"),"")</f>
        <v/>
      </c>
      <c r="E46" s="4"/>
      <c r="F46" s="4"/>
      <c r="G46" s="4"/>
      <c r="H46" s="11"/>
      <c r="I46" s="11"/>
      <c r="J46" s="12" t="str">
        <f t="shared" si="1"/>
        <v/>
      </c>
      <c r="K46" s="13"/>
      <c r="L46" s="4"/>
      <c r="M46" s="4"/>
    </row>
    <row r="47" spans="1:13" ht="19.5" customHeight="1" x14ac:dyDescent="0.3">
      <c r="A47" s="6" t="str">
        <f t="shared" si="0"/>
        <v/>
      </c>
      <c r="B47" s="8"/>
      <c r="C47" s="6"/>
      <c r="D47" s="10" t="str">
        <f>IF(C47&lt;&gt;"",IFERROR(VLOOKUP(C47,'Araç Listesi'!$B$4:$C$303,2,0),"Bulunamadı"),"")</f>
        <v/>
      </c>
      <c r="E47" s="7"/>
      <c r="F47" s="7"/>
      <c r="G47" s="7"/>
      <c r="H47" s="14"/>
      <c r="I47" s="14"/>
      <c r="J47" s="12" t="str">
        <f t="shared" si="1"/>
        <v/>
      </c>
      <c r="K47" s="15"/>
      <c r="L47" s="7"/>
      <c r="M47" s="7"/>
    </row>
    <row r="48" spans="1:13" ht="19.5" customHeight="1" x14ac:dyDescent="0.3">
      <c r="A48" s="3" t="str">
        <f t="shared" si="0"/>
        <v/>
      </c>
      <c r="B48" s="5"/>
      <c r="C48" s="3"/>
      <c r="D48" s="10" t="str">
        <f>IF(C48&lt;&gt;"",IFERROR(VLOOKUP(C48,'Araç Listesi'!$B$4:$C$303,2,0),"Bulunamadı"),"")</f>
        <v/>
      </c>
      <c r="E48" s="4"/>
      <c r="F48" s="4"/>
      <c r="G48" s="4"/>
      <c r="H48" s="11"/>
      <c r="I48" s="11"/>
      <c r="J48" s="12" t="str">
        <f t="shared" si="1"/>
        <v/>
      </c>
      <c r="K48" s="13"/>
      <c r="L48" s="4"/>
      <c r="M48" s="4"/>
    </row>
    <row r="49" spans="1:13" ht="19.5" customHeight="1" x14ac:dyDescent="0.3">
      <c r="A49" s="6" t="str">
        <f t="shared" si="0"/>
        <v/>
      </c>
      <c r="B49" s="8"/>
      <c r="C49" s="6"/>
      <c r="D49" s="10" t="str">
        <f>IF(C49&lt;&gt;"",IFERROR(VLOOKUP(C49,'Araç Listesi'!$B$4:$C$303,2,0),"Bulunamadı"),"")</f>
        <v/>
      </c>
      <c r="E49" s="7"/>
      <c r="F49" s="7"/>
      <c r="G49" s="7"/>
      <c r="H49" s="14"/>
      <c r="I49" s="14"/>
      <c r="J49" s="12" t="str">
        <f t="shared" si="1"/>
        <v/>
      </c>
      <c r="K49" s="15"/>
      <c r="L49" s="7"/>
      <c r="M49" s="7"/>
    </row>
    <row r="50" spans="1:13" ht="19.5" customHeight="1" x14ac:dyDescent="0.3">
      <c r="A50" s="3" t="str">
        <f t="shared" si="0"/>
        <v/>
      </c>
      <c r="B50" s="5"/>
      <c r="C50" s="3"/>
      <c r="D50" s="10" t="str">
        <f>IF(C50&lt;&gt;"",IFERROR(VLOOKUP(C50,'Araç Listesi'!$B$4:$C$303,2,0),"Bulunamadı"),"")</f>
        <v/>
      </c>
      <c r="E50" s="4"/>
      <c r="F50" s="4"/>
      <c r="G50" s="4"/>
      <c r="H50" s="11"/>
      <c r="I50" s="11"/>
      <c r="J50" s="12" t="str">
        <f t="shared" si="1"/>
        <v/>
      </c>
      <c r="K50" s="13"/>
      <c r="L50" s="4"/>
      <c r="M50" s="4"/>
    </row>
    <row r="51" spans="1:13" ht="19.5" customHeight="1" x14ac:dyDescent="0.3">
      <c r="A51" s="6" t="str">
        <f t="shared" si="0"/>
        <v/>
      </c>
      <c r="B51" s="8"/>
      <c r="C51" s="6"/>
      <c r="D51" s="10" t="str">
        <f>IF(C51&lt;&gt;"",IFERROR(VLOOKUP(C51,'Araç Listesi'!$B$4:$C$303,2,0),"Bulunamadı"),"")</f>
        <v/>
      </c>
      <c r="E51" s="7"/>
      <c r="F51" s="7"/>
      <c r="G51" s="7"/>
      <c r="H51" s="14"/>
      <c r="I51" s="14"/>
      <c r="J51" s="12" t="str">
        <f t="shared" si="1"/>
        <v/>
      </c>
      <c r="K51" s="15"/>
      <c r="L51" s="7"/>
      <c r="M51" s="7"/>
    </row>
    <row r="52" spans="1:13" ht="19.5" customHeight="1" x14ac:dyDescent="0.3">
      <c r="A52" s="3" t="str">
        <f t="shared" si="0"/>
        <v/>
      </c>
      <c r="B52" s="5"/>
      <c r="C52" s="3"/>
      <c r="D52" s="10" t="str">
        <f>IF(C52&lt;&gt;"",IFERROR(VLOOKUP(C52,'Araç Listesi'!$B$4:$C$303,2,0),"Bulunamadı"),"")</f>
        <v/>
      </c>
      <c r="E52" s="4"/>
      <c r="F52" s="4"/>
      <c r="G52" s="4"/>
      <c r="H52" s="11"/>
      <c r="I52" s="11"/>
      <c r="J52" s="12" t="str">
        <f t="shared" si="1"/>
        <v/>
      </c>
      <c r="K52" s="13"/>
      <c r="L52" s="4"/>
      <c r="M52" s="4"/>
    </row>
    <row r="53" spans="1:13" ht="19.5" customHeight="1" x14ac:dyDescent="0.3">
      <c r="A53" s="6" t="str">
        <f t="shared" si="0"/>
        <v/>
      </c>
      <c r="B53" s="8"/>
      <c r="C53" s="6"/>
      <c r="D53" s="10" t="str">
        <f>IF(C53&lt;&gt;"",IFERROR(VLOOKUP(C53,'Araç Listesi'!$B$4:$C$303,2,0),"Bulunamadı"),"")</f>
        <v/>
      </c>
      <c r="E53" s="7"/>
      <c r="F53" s="7"/>
      <c r="G53" s="7"/>
      <c r="H53" s="14"/>
      <c r="I53" s="14"/>
      <c r="J53" s="12" t="str">
        <f t="shared" si="1"/>
        <v/>
      </c>
      <c r="K53" s="15"/>
      <c r="L53" s="7"/>
      <c r="M53" s="7"/>
    </row>
    <row r="54" spans="1:13" ht="19.5" customHeight="1" x14ac:dyDescent="0.3">
      <c r="A54" s="3" t="str">
        <f t="shared" si="0"/>
        <v/>
      </c>
      <c r="B54" s="5"/>
      <c r="C54" s="3"/>
      <c r="D54" s="10" t="str">
        <f>IF(C54&lt;&gt;"",IFERROR(VLOOKUP(C54,'Araç Listesi'!$B$4:$C$303,2,0),"Bulunamadı"),"")</f>
        <v/>
      </c>
      <c r="E54" s="4"/>
      <c r="F54" s="4"/>
      <c r="G54" s="4"/>
      <c r="H54" s="11"/>
      <c r="I54" s="11"/>
      <c r="J54" s="12" t="str">
        <f t="shared" si="1"/>
        <v/>
      </c>
      <c r="K54" s="13"/>
      <c r="L54" s="4"/>
      <c r="M54" s="4"/>
    </row>
    <row r="55" spans="1:13" ht="19.5" customHeight="1" x14ac:dyDescent="0.3">
      <c r="A55" s="6" t="str">
        <f t="shared" si="0"/>
        <v/>
      </c>
      <c r="B55" s="8"/>
      <c r="C55" s="6"/>
      <c r="D55" s="10" t="str">
        <f>IF(C55&lt;&gt;"",IFERROR(VLOOKUP(C55,'Araç Listesi'!$B$4:$C$303,2,0),"Bulunamadı"),"")</f>
        <v/>
      </c>
      <c r="E55" s="7"/>
      <c r="F55" s="7"/>
      <c r="G55" s="7"/>
      <c r="H55" s="14"/>
      <c r="I55" s="14"/>
      <c r="J55" s="12" t="str">
        <f t="shared" si="1"/>
        <v/>
      </c>
      <c r="K55" s="15"/>
      <c r="L55" s="7"/>
      <c r="M55" s="7"/>
    </row>
    <row r="56" spans="1:13" ht="19.5" customHeight="1" x14ac:dyDescent="0.3">
      <c r="A56" s="3" t="str">
        <f t="shared" si="0"/>
        <v/>
      </c>
      <c r="B56" s="5"/>
      <c r="C56" s="3"/>
      <c r="D56" s="10" t="str">
        <f>IF(C56&lt;&gt;"",IFERROR(VLOOKUP(C56,'Araç Listesi'!$B$4:$C$303,2,0),"Bulunamadı"),"")</f>
        <v/>
      </c>
      <c r="E56" s="4"/>
      <c r="F56" s="4"/>
      <c r="G56" s="4"/>
      <c r="H56" s="11"/>
      <c r="I56" s="11"/>
      <c r="J56" s="12" t="str">
        <f t="shared" si="1"/>
        <v/>
      </c>
      <c r="K56" s="13"/>
      <c r="L56" s="4"/>
      <c r="M56" s="4"/>
    </row>
    <row r="57" spans="1:13" ht="19.5" customHeight="1" x14ac:dyDescent="0.3">
      <c r="A57" s="6" t="str">
        <f t="shared" si="0"/>
        <v/>
      </c>
      <c r="B57" s="8"/>
      <c r="C57" s="6"/>
      <c r="D57" s="10" t="str">
        <f>IF(C57&lt;&gt;"",IFERROR(VLOOKUP(C57,'Araç Listesi'!$B$4:$C$303,2,0),"Bulunamadı"),"")</f>
        <v/>
      </c>
      <c r="E57" s="7"/>
      <c r="F57" s="7"/>
      <c r="G57" s="7"/>
      <c r="H57" s="14"/>
      <c r="I57" s="14"/>
      <c r="J57" s="12" t="str">
        <f t="shared" si="1"/>
        <v/>
      </c>
      <c r="K57" s="15"/>
      <c r="L57" s="7"/>
      <c r="M57" s="7"/>
    </row>
    <row r="58" spans="1:13" ht="19.5" customHeight="1" x14ac:dyDescent="0.3">
      <c r="A58" s="3" t="str">
        <f t="shared" si="0"/>
        <v/>
      </c>
      <c r="B58" s="5"/>
      <c r="C58" s="3"/>
      <c r="D58" s="10" t="str">
        <f>IF(C58&lt;&gt;"",IFERROR(VLOOKUP(C58,'Araç Listesi'!$B$4:$C$303,2,0),"Bulunamadı"),"")</f>
        <v/>
      </c>
      <c r="E58" s="4"/>
      <c r="F58" s="4"/>
      <c r="G58" s="4"/>
      <c r="H58" s="11"/>
      <c r="I58" s="11"/>
      <c r="J58" s="12" t="str">
        <f t="shared" si="1"/>
        <v/>
      </c>
      <c r="K58" s="13"/>
      <c r="L58" s="4"/>
      <c r="M58" s="4"/>
    </row>
    <row r="59" spans="1:13" ht="19.5" customHeight="1" x14ac:dyDescent="0.3">
      <c r="A59" s="6" t="str">
        <f t="shared" si="0"/>
        <v/>
      </c>
      <c r="B59" s="8"/>
      <c r="C59" s="6"/>
      <c r="D59" s="10" t="str">
        <f>IF(C59&lt;&gt;"",IFERROR(VLOOKUP(C59,'Araç Listesi'!$B$4:$C$303,2,0),"Bulunamadı"),"")</f>
        <v/>
      </c>
      <c r="E59" s="7"/>
      <c r="F59" s="7"/>
      <c r="G59" s="7"/>
      <c r="H59" s="14"/>
      <c r="I59" s="14"/>
      <c r="J59" s="12" t="str">
        <f t="shared" si="1"/>
        <v/>
      </c>
      <c r="K59" s="15"/>
      <c r="L59" s="7"/>
      <c r="M59" s="7"/>
    </row>
    <row r="60" spans="1:13" ht="19.5" customHeight="1" x14ac:dyDescent="0.3">
      <c r="A60" s="3" t="str">
        <f t="shared" si="0"/>
        <v/>
      </c>
      <c r="B60" s="5"/>
      <c r="C60" s="3"/>
      <c r="D60" s="10" t="str">
        <f>IF(C60&lt;&gt;"",IFERROR(VLOOKUP(C60,'Araç Listesi'!$B$4:$C$303,2,0),"Bulunamadı"),"")</f>
        <v/>
      </c>
      <c r="E60" s="4"/>
      <c r="F60" s="4"/>
      <c r="G60" s="4"/>
      <c r="H60" s="11"/>
      <c r="I60" s="11"/>
      <c r="J60" s="12" t="str">
        <f t="shared" si="1"/>
        <v/>
      </c>
      <c r="K60" s="13"/>
      <c r="L60" s="4"/>
      <c r="M60" s="4"/>
    </row>
    <row r="61" spans="1:13" ht="19.5" customHeight="1" x14ac:dyDescent="0.3">
      <c r="A61" s="6" t="str">
        <f t="shared" si="0"/>
        <v/>
      </c>
      <c r="B61" s="8"/>
      <c r="C61" s="6"/>
      <c r="D61" s="10" t="str">
        <f>IF(C61&lt;&gt;"",IFERROR(VLOOKUP(C61,'Araç Listesi'!$B$4:$C$303,2,0),"Bulunamadı"),"")</f>
        <v/>
      </c>
      <c r="E61" s="7"/>
      <c r="F61" s="7"/>
      <c r="G61" s="7"/>
      <c r="H61" s="14"/>
      <c r="I61" s="14"/>
      <c r="J61" s="12" t="str">
        <f t="shared" si="1"/>
        <v/>
      </c>
      <c r="K61" s="15"/>
      <c r="L61" s="7"/>
      <c r="M61" s="7"/>
    </row>
    <row r="62" spans="1:13" ht="19.5" customHeight="1" x14ac:dyDescent="0.3">
      <c r="A62" s="3" t="str">
        <f t="shared" si="0"/>
        <v/>
      </c>
      <c r="B62" s="5"/>
      <c r="C62" s="3"/>
      <c r="D62" s="10" t="str">
        <f>IF(C62&lt;&gt;"",IFERROR(VLOOKUP(C62,'Araç Listesi'!$B$4:$C$303,2,0),"Bulunamadı"),"")</f>
        <v/>
      </c>
      <c r="E62" s="4"/>
      <c r="F62" s="4"/>
      <c r="G62" s="4"/>
      <c r="H62" s="11"/>
      <c r="I62" s="11"/>
      <c r="J62" s="12" t="str">
        <f t="shared" si="1"/>
        <v/>
      </c>
      <c r="K62" s="13"/>
      <c r="L62" s="4"/>
      <c r="M62" s="4"/>
    </row>
    <row r="63" spans="1:13" ht="19.5" customHeight="1" x14ac:dyDescent="0.3">
      <c r="A63" s="6" t="str">
        <f t="shared" si="0"/>
        <v/>
      </c>
      <c r="B63" s="8"/>
      <c r="C63" s="6"/>
      <c r="D63" s="10" t="str">
        <f>IF(C63&lt;&gt;"",IFERROR(VLOOKUP(C63,'Araç Listesi'!$B$4:$C$303,2,0),"Bulunamadı"),"")</f>
        <v/>
      </c>
      <c r="E63" s="7"/>
      <c r="F63" s="7"/>
      <c r="G63" s="7"/>
      <c r="H63" s="14"/>
      <c r="I63" s="14"/>
      <c r="J63" s="12" t="str">
        <f t="shared" si="1"/>
        <v/>
      </c>
      <c r="K63" s="15"/>
      <c r="L63" s="7"/>
      <c r="M63" s="7"/>
    </row>
    <row r="64" spans="1:13" ht="19.5" customHeight="1" x14ac:dyDescent="0.3">
      <c r="A64" s="3" t="str">
        <f t="shared" si="0"/>
        <v/>
      </c>
      <c r="B64" s="5"/>
      <c r="C64" s="3"/>
      <c r="D64" s="10" t="str">
        <f>IF(C64&lt;&gt;"",IFERROR(VLOOKUP(C64,'Araç Listesi'!$B$4:$C$303,2,0),"Bulunamadı"),"")</f>
        <v/>
      </c>
      <c r="E64" s="4"/>
      <c r="F64" s="4"/>
      <c r="G64" s="4"/>
      <c r="H64" s="11"/>
      <c r="I64" s="11"/>
      <c r="J64" s="12" t="str">
        <f t="shared" si="1"/>
        <v/>
      </c>
      <c r="K64" s="13"/>
      <c r="L64" s="4"/>
      <c r="M64" s="4"/>
    </row>
    <row r="65" spans="1:13" ht="19.5" customHeight="1" x14ac:dyDescent="0.3">
      <c r="A65" s="6" t="str">
        <f t="shared" si="0"/>
        <v/>
      </c>
      <c r="B65" s="8"/>
      <c r="C65" s="6"/>
      <c r="D65" s="10" t="str">
        <f>IF(C65&lt;&gt;"",IFERROR(VLOOKUP(C65,'Araç Listesi'!$B$4:$C$303,2,0),"Bulunamadı"),"")</f>
        <v/>
      </c>
      <c r="E65" s="7"/>
      <c r="F65" s="7"/>
      <c r="G65" s="7"/>
      <c r="H65" s="14"/>
      <c r="I65" s="14"/>
      <c r="J65" s="12" t="str">
        <f t="shared" si="1"/>
        <v/>
      </c>
      <c r="K65" s="15"/>
      <c r="L65" s="7"/>
      <c r="M65" s="7"/>
    </row>
    <row r="66" spans="1:13" ht="19.5" customHeight="1" x14ac:dyDescent="0.3">
      <c r="A66" s="3" t="str">
        <f t="shared" si="0"/>
        <v/>
      </c>
      <c r="B66" s="5"/>
      <c r="C66" s="3"/>
      <c r="D66" s="10" t="str">
        <f>IF(C66&lt;&gt;"",IFERROR(VLOOKUP(C66,'Araç Listesi'!$B$4:$C$303,2,0),"Bulunamadı"),"")</f>
        <v/>
      </c>
      <c r="E66" s="4"/>
      <c r="F66" s="4"/>
      <c r="G66" s="4"/>
      <c r="H66" s="11"/>
      <c r="I66" s="11"/>
      <c r="J66" s="12" t="str">
        <f t="shared" si="1"/>
        <v/>
      </c>
      <c r="K66" s="13"/>
      <c r="L66" s="4"/>
      <c r="M66" s="4"/>
    </row>
    <row r="67" spans="1:13" ht="19.5" customHeight="1" x14ac:dyDescent="0.3">
      <c r="A67" s="6" t="str">
        <f t="shared" si="0"/>
        <v/>
      </c>
      <c r="B67" s="8"/>
      <c r="C67" s="6"/>
      <c r="D67" s="10" t="str">
        <f>IF(C67&lt;&gt;"",IFERROR(VLOOKUP(C67,'Araç Listesi'!$B$4:$C$303,2,0),"Bulunamadı"),"")</f>
        <v/>
      </c>
      <c r="E67" s="7"/>
      <c r="F67" s="7"/>
      <c r="G67" s="7"/>
      <c r="H67" s="14"/>
      <c r="I67" s="14"/>
      <c r="J67" s="12" t="str">
        <f t="shared" si="1"/>
        <v/>
      </c>
      <c r="K67" s="15"/>
      <c r="L67" s="7"/>
      <c r="M67" s="7"/>
    </row>
    <row r="68" spans="1:13" ht="19.5" customHeight="1" x14ac:dyDescent="0.3">
      <c r="A68" s="3" t="str">
        <f t="shared" ref="A68:A131" si="2">IF(B68&lt;&gt;"",ROW()-3,"")</f>
        <v/>
      </c>
      <c r="B68" s="5"/>
      <c r="C68" s="3"/>
      <c r="D68" s="10" t="str">
        <f>IF(C68&lt;&gt;"",IFERROR(VLOOKUP(C68,'Araç Listesi'!$B$4:$C$303,2,0),"Bulunamadı"),"")</f>
        <v/>
      </c>
      <c r="E68" s="4"/>
      <c r="F68" s="4"/>
      <c r="G68" s="4"/>
      <c r="H68" s="11"/>
      <c r="I68" s="11"/>
      <c r="J68" s="12" t="str">
        <f t="shared" ref="J68:J131" si="3">IF(AND(H68&lt;&gt;"",I68&lt;&gt;""),IFERROR(IF(I68&gt;H68,(I68-H68)*24,(1+I68-H68)*24),""),"")</f>
        <v/>
      </c>
      <c r="K68" s="13"/>
      <c r="L68" s="4"/>
      <c r="M68" s="4"/>
    </row>
    <row r="69" spans="1:13" ht="19.5" customHeight="1" x14ac:dyDescent="0.3">
      <c r="A69" s="6" t="str">
        <f t="shared" si="2"/>
        <v/>
      </c>
      <c r="B69" s="8"/>
      <c r="C69" s="6"/>
      <c r="D69" s="10" t="str">
        <f>IF(C69&lt;&gt;"",IFERROR(VLOOKUP(C69,'Araç Listesi'!$B$4:$C$303,2,0),"Bulunamadı"),"")</f>
        <v/>
      </c>
      <c r="E69" s="7"/>
      <c r="F69" s="7"/>
      <c r="G69" s="7"/>
      <c r="H69" s="14"/>
      <c r="I69" s="14"/>
      <c r="J69" s="12" t="str">
        <f t="shared" si="3"/>
        <v/>
      </c>
      <c r="K69" s="15"/>
      <c r="L69" s="7"/>
      <c r="M69" s="7"/>
    </row>
    <row r="70" spans="1:13" ht="19.5" customHeight="1" x14ac:dyDescent="0.3">
      <c r="A70" s="3" t="str">
        <f t="shared" si="2"/>
        <v/>
      </c>
      <c r="B70" s="5"/>
      <c r="C70" s="3"/>
      <c r="D70" s="10" t="str">
        <f>IF(C70&lt;&gt;"",IFERROR(VLOOKUP(C70,'Araç Listesi'!$B$4:$C$303,2,0),"Bulunamadı"),"")</f>
        <v/>
      </c>
      <c r="E70" s="4"/>
      <c r="F70" s="4"/>
      <c r="G70" s="4"/>
      <c r="H70" s="11"/>
      <c r="I70" s="11"/>
      <c r="J70" s="12" t="str">
        <f t="shared" si="3"/>
        <v/>
      </c>
      <c r="K70" s="13"/>
      <c r="L70" s="4"/>
      <c r="M70" s="4"/>
    </row>
    <row r="71" spans="1:13" ht="19.5" customHeight="1" x14ac:dyDescent="0.3">
      <c r="A71" s="6" t="str">
        <f t="shared" si="2"/>
        <v/>
      </c>
      <c r="B71" s="8"/>
      <c r="C71" s="6"/>
      <c r="D71" s="10" t="str">
        <f>IF(C71&lt;&gt;"",IFERROR(VLOOKUP(C71,'Araç Listesi'!$B$4:$C$303,2,0),"Bulunamadı"),"")</f>
        <v/>
      </c>
      <c r="E71" s="7"/>
      <c r="F71" s="7"/>
      <c r="G71" s="7"/>
      <c r="H71" s="14"/>
      <c r="I71" s="14"/>
      <c r="J71" s="12" t="str">
        <f t="shared" si="3"/>
        <v/>
      </c>
      <c r="K71" s="15"/>
      <c r="L71" s="7"/>
      <c r="M71" s="7"/>
    </row>
    <row r="72" spans="1:13" ht="19.5" customHeight="1" x14ac:dyDescent="0.3">
      <c r="A72" s="3" t="str">
        <f t="shared" si="2"/>
        <v/>
      </c>
      <c r="B72" s="5"/>
      <c r="C72" s="3"/>
      <c r="D72" s="10" t="str">
        <f>IF(C72&lt;&gt;"",IFERROR(VLOOKUP(C72,'Araç Listesi'!$B$4:$C$303,2,0),"Bulunamadı"),"")</f>
        <v/>
      </c>
      <c r="E72" s="4"/>
      <c r="F72" s="4"/>
      <c r="G72" s="4"/>
      <c r="H72" s="11"/>
      <c r="I72" s="11"/>
      <c r="J72" s="12" t="str">
        <f t="shared" si="3"/>
        <v/>
      </c>
      <c r="K72" s="13"/>
      <c r="L72" s="4"/>
      <c r="M72" s="4"/>
    </row>
    <row r="73" spans="1:13" ht="19.5" customHeight="1" x14ac:dyDescent="0.3">
      <c r="A73" s="6" t="str">
        <f t="shared" si="2"/>
        <v/>
      </c>
      <c r="B73" s="8"/>
      <c r="C73" s="6"/>
      <c r="D73" s="10" t="str">
        <f>IF(C73&lt;&gt;"",IFERROR(VLOOKUP(C73,'Araç Listesi'!$B$4:$C$303,2,0),"Bulunamadı"),"")</f>
        <v/>
      </c>
      <c r="E73" s="7"/>
      <c r="F73" s="7"/>
      <c r="G73" s="7"/>
      <c r="H73" s="14"/>
      <c r="I73" s="14"/>
      <c r="J73" s="12" t="str">
        <f t="shared" si="3"/>
        <v/>
      </c>
      <c r="K73" s="15"/>
      <c r="L73" s="7"/>
      <c r="M73" s="7"/>
    </row>
    <row r="74" spans="1:13" ht="19.5" customHeight="1" x14ac:dyDescent="0.3">
      <c r="A74" s="3" t="str">
        <f t="shared" si="2"/>
        <v/>
      </c>
      <c r="B74" s="5"/>
      <c r="C74" s="3"/>
      <c r="D74" s="10" t="str">
        <f>IF(C74&lt;&gt;"",IFERROR(VLOOKUP(C74,'Araç Listesi'!$B$4:$C$303,2,0),"Bulunamadı"),"")</f>
        <v/>
      </c>
      <c r="E74" s="4"/>
      <c r="F74" s="4"/>
      <c r="G74" s="4"/>
      <c r="H74" s="11"/>
      <c r="I74" s="11"/>
      <c r="J74" s="12" t="str">
        <f t="shared" si="3"/>
        <v/>
      </c>
      <c r="K74" s="13"/>
      <c r="L74" s="4"/>
      <c r="M74" s="4"/>
    </row>
    <row r="75" spans="1:13" ht="19.5" customHeight="1" x14ac:dyDescent="0.3">
      <c r="A75" s="6" t="str">
        <f t="shared" si="2"/>
        <v/>
      </c>
      <c r="B75" s="8"/>
      <c r="C75" s="6"/>
      <c r="D75" s="10" t="str">
        <f>IF(C75&lt;&gt;"",IFERROR(VLOOKUP(C75,'Araç Listesi'!$B$4:$C$303,2,0),"Bulunamadı"),"")</f>
        <v/>
      </c>
      <c r="E75" s="7"/>
      <c r="F75" s="7"/>
      <c r="G75" s="7"/>
      <c r="H75" s="14"/>
      <c r="I75" s="14"/>
      <c r="J75" s="12" t="str">
        <f t="shared" si="3"/>
        <v/>
      </c>
      <c r="K75" s="15"/>
      <c r="L75" s="7"/>
      <c r="M75" s="7"/>
    </row>
    <row r="76" spans="1:13" ht="19.5" customHeight="1" x14ac:dyDescent="0.3">
      <c r="A76" s="3" t="str">
        <f t="shared" si="2"/>
        <v/>
      </c>
      <c r="B76" s="5"/>
      <c r="C76" s="3"/>
      <c r="D76" s="10" t="str">
        <f>IF(C76&lt;&gt;"",IFERROR(VLOOKUP(C76,'Araç Listesi'!$B$4:$C$303,2,0),"Bulunamadı"),"")</f>
        <v/>
      </c>
      <c r="E76" s="4"/>
      <c r="F76" s="4"/>
      <c r="G76" s="4"/>
      <c r="H76" s="11"/>
      <c r="I76" s="11"/>
      <c r="J76" s="12" t="str">
        <f t="shared" si="3"/>
        <v/>
      </c>
      <c r="K76" s="13"/>
      <c r="L76" s="4"/>
      <c r="M76" s="4"/>
    </row>
    <row r="77" spans="1:13" ht="19.5" customHeight="1" x14ac:dyDescent="0.3">
      <c r="A77" s="6" t="str">
        <f t="shared" si="2"/>
        <v/>
      </c>
      <c r="B77" s="8"/>
      <c r="C77" s="6"/>
      <c r="D77" s="10" t="str">
        <f>IF(C77&lt;&gt;"",IFERROR(VLOOKUP(C77,'Araç Listesi'!$B$4:$C$303,2,0),"Bulunamadı"),"")</f>
        <v/>
      </c>
      <c r="E77" s="7"/>
      <c r="F77" s="7"/>
      <c r="G77" s="7"/>
      <c r="H77" s="14"/>
      <c r="I77" s="14"/>
      <c r="J77" s="12" t="str">
        <f t="shared" si="3"/>
        <v/>
      </c>
      <c r="K77" s="15"/>
      <c r="L77" s="7"/>
      <c r="M77" s="7"/>
    </row>
    <row r="78" spans="1:13" ht="19.5" customHeight="1" x14ac:dyDescent="0.3">
      <c r="A78" s="3" t="str">
        <f t="shared" si="2"/>
        <v/>
      </c>
      <c r="B78" s="5"/>
      <c r="C78" s="3"/>
      <c r="D78" s="10" t="str">
        <f>IF(C78&lt;&gt;"",IFERROR(VLOOKUP(C78,'Araç Listesi'!$B$4:$C$303,2,0),"Bulunamadı"),"")</f>
        <v/>
      </c>
      <c r="E78" s="4"/>
      <c r="F78" s="4"/>
      <c r="G78" s="4"/>
      <c r="H78" s="11"/>
      <c r="I78" s="11"/>
      <c r="J78" s="12" t="str">
        <f t="shared" si="3"/>
        <v/>
      </c>
      <c r="K78" s="13"/>
      <c r="L78" s="4"/>
      <c r="M78" s="4"/>
    </row>
    <row r="79" spans="1:13" ht="19.5" customHeight="1" x14ac:dyDescent="0.3">
      <c r="A79" s="6" t="str">
        <f t="shared" si="2"/>
        <v/>
      </c>
      <c r="B79" s="8"/>
      <c r="C79" s="6"/>
      <c r="D79" s="10" t="str">
        <f>IF(C79&lt;&gt;"",IFERROR(VLOOKUP(C79,'Araç Listesi'!$B$4:$C$303,2,0),"Bulunamadı"),"")</f>
        <v/>
      </c>
      <c r="E79" s="7"/>
      <c r="F79" s="7"/>
      <c r="G79" s="7"/>
      <c r="H79" s="14"/>
      <c r="I79" s="14"/>
      <c r="J79" s="12" t="str">
        <f t="shared" si="3"/>
        <v/>
      </c>
      <c r="K79" s="15"/>
      <c r="L79" s="7"/>
      <c r="M79" s="7"/>
    </row>
    <row r="80" spans="1:13" ht="19.5" customHeight="1" x14ac:dyDescent="0.3">
      <c r="A80" s="3" t="str">
        <f t="shared" si="2"/>
        <v/>
      </c>
      <c r="B80" s="5"/>
      <c r="C80" s="3"/>
      <c r="D80" s="10" t="str">
        <f>IF(C80&lt;&gt;"",IFERROR(VLOOKUP(C80,'Araç Listesi'!$B$4:$C$303,2,0),"Bulunamadı"),"")</f>
        <v/>
      </c>
      <c r="E80" s="4"/>
      <c r="F80" s="4"/>
      <c r="G80" s="4"/>
      <c r="H80" s="11"/>
      <c r="I80" s="11"/>
      <c r="J80" s="12" t="str">
        <f t="shared" si="3"/>
        <v/>
      </c>
      <c r="K80" s="13"/>
      <c r="L80" s="4"/>
      <c r="M80" s="4"/>
    </row>
    <row r="81" spans="1:13" ht="19.5" customHeight="1" x14ac:dyDescent="0.3">
      <c r="A81" s="6" t="str">
        <f t="shared" si="2"/>
        <v/>
      </c>
      <c r="B81" s="8"/>
      <c r="C81" s="6"/>
      <c r="D81" s="10" t="str">
        <f>IF(C81&lt;&gt;"",IFERROR(VLOOKUP(C81,'Araç Listesi'!$B$4:$C$303,2,0),"Bulunamadı"),"")</f>
        <v/>
      </c>
      <c r="E81" s="7"/>
      <c r="F81" s="7"/>
      <c r="G81" s="7"/>
      <c r="H81" s="14"/>
      <c r="I81" s="14"/>
      <c r="J81" s="12" t="str">
        <f t="shared" si="3"/>
        <v/>
      </c>
      <c r="K81" s="15"/>
      <c r="L81" s="7"/>
      <c r="M81" s="7"/>
    </row>
    <row r="82" spans="1:13" ht="19.5" customHeight="1" x14ac:dyDescent="0.3">
      <c r="A82" s="3" t="str">
        <f t="shared" si="2"/>
        <v/>
      </c>
      <c r="B82" s="5"/>
      <c r="C82" s="3"/>
      <c r="D82" s="10" t="str">
        <f>IF(C82&lt;&gt;"",IFERROR(VLOOKUP(C82,'Araç Listesi'!$B$4:$C$303,2,0),"Bulunamadı"),"")</f>
        <v/>
      </c>
      <c r="E82" s="4"/>
      <c r="F82" s="4"/>
      <c r="G82" s="4"/>
      <c r="H82" s="11"/>
      <c r="I82" s="11"/>
      <c r="J82" s="12" t="str">
        <f t="shared" si="3"/>
        <v/>
      </c>
      <c r="K82" s="13"/>
      <c r="L82" s="4"/>
      <c r="M82" s="4"/>
    </row>
    <row r="83" spans="1:13" ht="19.5" customHeight="1" x14ac:dyDescent="0.3">
      <c r="A83" s="6" t="str">
        <f t="shared" si="2"/>
        <v/>
      </c>
      <c r="B83" s="8"/>
      <c r="C83" s="6"/>
      <c r="D83" s="10" t="str">
        <f>IF(C83&lt;&gt;"",IFERROR(VLOOKUP(C83,'Araç Listesi'!$B$4:$C$303,2,0),"Bulunamadı"),"")</f>
        <v/>
      </c>
      <c r="E83" s="7"/>
      <c r="F83" s="7"/>
      <c r="G83" s="7"/>
      <c r="H83" s="14"/>
      <c r="I83" s="14"/>
      <c r="J83" s="12" t="str">
        <f t="shared" si="3"/>
        <v/>
      </c>
      <c r="K83" s="15"/>
      <c r="L83" s="7"/>
      <c r="M83" s="7"/>
    </row>
    <row r="84" spans="1:13" ht="19.5" customHeight="1" x14ac:dyDescent="0.3">
      <c r="A84" s="3" t="str">
        <f t="shared" si="2"/>
        <v/>
      </c>
      <c r="B84" s="5"/>
      <c r="C84" s="3"/>
      <c r="D84" s="10" t="str">
        <f>IF(C84&lt;&gt;"",IFERROR(VLOOKUP(C84,'Araç Listesi'!$B$4:$C$303,2,0),"Bulunamadı"),"")</f>
        <v/>
      </c>
      <c r="E84" s="4"/>
      <c r="F84" s="4"/>
      <c r="G84" s="4"/>
      <c r="H84" s="11"/>
      <c r="I84" s="11"/>
      <c r="J84" s="12" t="str">
        <f t="shared" si="3"/>
        <v/>
      </c>
      <c r="K84" s="13"/>
      <c r="L84" s="4"/>
      <c r="M84" s="4"/>
    </row>
    <row r="85" spans="1:13" ht="19.5" customHeight="1" x14ac:dyDescent="0.3">
      <c r="A85" s="6" t="str">
        <f t="shared" si="2"/>
        <v/>
      </c>
      <c r="B85" s="8"/>
      <c r="C85" s="6"/>
      <c r="D85" s="10" t="str">
        <f>IF(C85&lt;&gt;"",IFERROR(VLOOKUP(C85,'Araç Listesi'!$B$4:$C$303,2,0),"Bulunamadı"),"")</f>
        <v/>
      </c>
      <c r="E85" s="7"/>
      <c r="F85" s="7"/>
      <c r="G85" s="7"/>
      <c r="H85" s="14"/>
      <c r="I85" s="14"/>
      <c r="J85" s="12" t="str">
        <f t="shared" si="3"/>
        <v/>
      </c>
      <c r="K85" s="15"/>
      <c r="L85" s="7"/>
      <c r="M85" s="7"/>
    </row>
    <row r="86" spans="1:13" ht="19.5" customHeight="1" x14ac:dyDescent="0.3">
      <c r="A86" s="3" t="str">
        <f t="shared" si="2"/>
        <v/>
      </c>
      <c r="B86" s="5"/>
      <c r="C86" s="3"/>
      <c r="D86" s="10" t="str">
        <f>IF(C86&lt;&gt;"",IFERROR(VLOOKUP(C86,'Araç Listesi'!$B$4:$C$303,2,0),"Bulunamadı"),"")</f>
        <v/>
      </c>
      <c r="E86" s="4"/>
      <c r="F86" s="4"/>
      <c r="G86" s="4"/>
      <c r="H86" s="11"/>
      <c r="I86" s="11"/>
      <c r="J86" s="12" t="str">
        <f t="shared" si="3"/>
        <v/>
      </c>
      <c r="K86" s="13"/>
      <c r="L86" s="4"/>
      <c r="M86" s="4"/>
    </row>
    <row r="87" spans="1:13" ht="19.5" customHeight="1" x14ac:dyDescent="0.3">
      <c r="A87" s="6" t="str">
        <f t="shared" si="2"/>
        <v/>
      </c>
      <c r="B87" s="8"/>
      <c r="C87" s="6"/>
      <c r="D87" s="10" t="str">
        <f>IF(C87&lt;&gt;"",IFERROR(VLOOKUP(C87,'Araç Listesi'!$B$4:$C$303,2,0),"Bulunamadı"),"")</f>
        <v/>
      </c>
      <c r="E87" s="7"/>
      <c r="F87" s="7"/>
      <c r="G87" s="7"/>
      <c r="H87" s="14"/>
      <c r="I87" s="14"/>
      <c r="J87" s="12" t="str">
        <f t="shared" si="3"/>
        <v/>
      </c>
      <c r="K87" s="15"/>
      <c r="L87" s="7"/>
      <c r="M87" s="7"/>
    </row>
    <row r="88" spans="1:13" ht="19.5" customHeight="1" x14ac:dyDescent="0.3">
      <c r="A88" s="3" t="str">
        <f t="shared" si="2"/>
        <v/>
      </c>
      <c r="B88" s="5"/>
      <c r="C88" s="3"/>
      <c r="D88" s="10" t="str">
        <f>IF(C88&lt;&gt;"",IFERROR(VLOOKUP(C88,'Araç Listesi'!$B$4:$C$303,2,0),"Bulunamadı"),"")</f>
        <v/>
      </c>
      <c r="E88" s="4"/>
      <c r="F88" s="4"/>
      <c r="G88" s="4"/>
      <c r="H88" s="11"/>
      <c r="I88" s="11"/>
      <c r="J88" s="12" t="str">
        <f t="shared" si="3"/>
        <v/>
      </c>
      <c r="K88" s="13"/>
      <c r="L88" s="4"/>
      <c r="M88" s="4"/>
    </row>
    <row r="89" spans="1:13" ht="19.5" customHeight="1" x14ac:dyDescent="0.3">
      <c r="A89" s="6" t="str">
        <f t="shared" si="2"/>
        <v/>
      </c>
      <c r="B89" s="8"/>
      <c r="C89" s="6"/>
      <c r="D89" s="10" t="str">
        <f>IF(C89&lt;&gt;"",IFERROR(VLOOKUP(C89,'Araç Listesi'!$B$4:$C$303,2,0),"Bulunamadı"),"")</f>
        <v/>
      </c>
      <c r="E89" s="7"/>
      <c r="F89" s="7"/>
      <c r="G89" s="7"/>
      <c r="H89" s="14"/>
      <c r="I89" s="14"/>
      <c r="J89" s="12" t="str">
        <f t="shared" si="3"/>
        <v/>
      </c>
      <c r="K89" s="15"/>
      <c r="L89" s="7"/>
      <c r="M89" s="7"/>
    </row>
    <row r="90" spans="1:13" ht="19.5" customHeight="1" x14ac:dyDescent="0.3">
      <c r="A90" s="3" t="str">
        <f t="shared" si="2"/>
        <v/>
      </c>
      <c r="B90" s="5"/>
      <c r="C90" s="3"/>
      <c r="D90" s="10" t="str">
        <f>IF(C90&lt;&gt;"",IFERROR(VLOOKUP(C90,'Araç Listesi'!$B$4:$C$303,2,0),"Bulunamadı"),"")</f>
        <v/>
      </c>
      <c r="E90" s="4"/>
      <c r="F90" s="4"/>
      <c r="G90" s="4"/>
      <c r="H90" s="11"/>
      <c r="I90" s="11"/>
      <c r="J90" s="12" t="str">
        <f t="shared" si="3"/>
        <v/>
      </c>
      <c r="K90" s="13"/>
      <c r="L90" s="4"/>
      <c r="M90" s="4"/>
    </row>
    <row r="91" spans="1:13" ht="19.5" customHeight="1" x14ac:dyDescent="0.3">
      <c r="A91" s="6" t="str">
        <f t="shared" si="2"/>
        <v/>
      </c>
      <c r="B91" s="8"/>
      <c r="C91" s="6"/>
      <c r="D91" s="10" t="str">
        <f>IF(C91&lt;&gt;"",IFERROR(VLOOKUP(C91,'Araç Listesi'!$B$4:$C$303,2,0),"Bulunamadı"),"")</f>
        <v/>
      </c>
      <c r="E91" s="7"/>
      <c r="F91" s="7"/>
      <c r="G91" s="7"/>
      <c r="H91" s="14"/>
      <c r="I91" s="14"/>
      <c r="J91" s="12" t="str">
        <f t="shared" si="3"/>
        <v/>
      </c>
      <c r="K91" s="15"/>
      <c r="L91" s="7"/>
      <c r="M91" s="7"/>
    </row>
    <row r="92" spans="1:13" ht="19.5" customHeight="1" x14ac:dyDescent="0.3">
      <c r="A92" s="3" t="str">
        <f t="shared" si="2"/>
        <v/>
      </c>
      <c r="B92" s="5"/>
      <c r="C92" s="3"/>
      <c r="D92" s="10" t="str">
        <f>IF(C92&lt;&gt;"",IFERROR(VLOOKUP(C92,'Araç Listesi'!$B$4:$C$303,2,0),"Bulunamadı"),"")</f>
        <v/>
      </c>
      <c r="E92" s="4"/>
      <c r="F92" s="4"/>
      <c r="G92" s="4"/>
      <c r="H92" s="11"/>
      <c r="I92" s="11"/>
      <c r="J92" s="12" t="str">
        <f t="shared" si="3"/>
        <v/>
      </c>
      <c r="K92" s="13"/>
      <c r="L92" s="4"/>
      <c r="M92" s="4"/>
    </row>
    <row r="93" spans="1:13" ht="19.5" customHeight="1" x14ac:dyDescent="0.3">
      <c r="A93" s="6" t="str">
        <f t="shared" si="2"/>
        <v/>
      </c>
      <c r="B93" s="8"/>
      <c r="C93" s="6"/>
      <c r="D93" s="10" t="str">
        <f>IF(C93&lt;&gt;"",IFERROR(VLOOKUP(C93,'Araç Listesi'!$B$4:$C$303,2,0),"Bulunamadı"),"")</f>
        <v/>
      </c>
      <c r="E93" s="7"/>
      <c r="F93" s="7"/>
      <c r="G93" s="7"/>
      <c r="H93" s="14"/>
      <c r="I93" s="14"/>
      <c r="J93" s="12" t="str">
        <f t="shared" si="3"/>
        <v/>
      </c>
      <c r="K93" s="15"/>
      <c r="L93" s="7"/>
      <c r="M93" s="7"/>
    </row>
    <row r="94" spans="1:13" ht="19.5" customHeight="1" x14ac:dyDescent="0.3">
      <c r="A94" s="3" t="str">
        <f t="shared" si="2"/>
        <v/>
      </c>
      <c r="B94" s="5"/>
      <c r="C94" s="3"/>
      <c r="D94" s="10" t="str">
        <f>IF(C94&lt;&gt;"",IFERROR(VLOOKUP(C94,'Araç Listesi'!$B$4:$C$303,2,0),"Bulunamadı"),"")</f>
        <v/>
      </c>
      <c r="E94" s="4"/>
      <c r="F94" s="4"/>
      <c r="G94" s="4"/>
      <c r="H94" s="11"/>
      <c r="I94" s="11"/>
      <c r="J94" s="12" t="str">
        <f t="shared" si="3"/>
        <v/>
      </c>
      <c r="K94" s="13"/>
      <c r="L94" s="4"/>
      <c r="M94" s="4"/>
    </row>
    <row r="95" spans="1:13" ht="19.5" customHeight="1" x14ac:dyDescent="0.3">
      <c r="A95" s="6" t="str">
        <f t="shared" si="2"/>
        <v/>
      </c>
      <c r="B95" s="8"/>
      <c r="C95" s="6"/>
      <c r="D95" s="10" t="str">
        <f>IF(C95&lt;&gt;"",IFERROR(VLOOKUP(C95,'Araç Listesi'!$B$4:$C$303,2,0),"Bulunamadı"),"")</f>
        <v/>
      </c>
      <c r="E95" s="7"/>
      <c r="F95" s="7"/>
      <c r="G95" s="7"/>
      <c r="H95" s="14"/>
      <c r="I95" s="14"/>
      <c r="J95" s="12" t="str">
        <f t="shared" si="3"/>
        <v/>
      </c>
      <c r="K95" s="15"/>
      <c r="L95" s="7"/>
      <c r="M95" s="7"/>
    </row>
    <row r="96" spans="1:13" ht="19.5" customHeight="1" x14ac:dyDescent="0.3">
      <c r="A96" s="3" t="str">
        <f t="shared" si="2"/>
        <v/>
      </c>
      <c r="B96" s="5"/>
      <c r="C96" s="3"/>
      <c r="D96" s="10" t="str">
        <f>IF(C96&lt;&gt;"",IFERROR(VLOOKUP(C96,'Araç Listesi'!$B$4:$C$303,2,0),"Bulunamadı"),"")</f>
        <v/>
      </c>
      <c r="E96" s="4"/>
      <c r="F96" s="4"/>
      <c r="G96" s="4"/>
      <c r="H96" s="11"/>
      <c r="I96" s="11"/>
      <c r="J96" s="12" t="str">
        <f t="shared" si="3"/>
        <v/>
      </c>
      <c r="K96" s="13"/>
      <c r="L96" s="4"/>
      <c r="M96" s="4"/>
    </row>
    <row r="97" spans="1:13" ht="19.5" customHeight="1" x14ac:dyDescent="0.3">
      <c r="A97" s="6" t="str">
        <f t="shared" si="2"/>
        <v/>
      </c>
      <c r="B97" s="8"/>
      <c r="C97" s="6"/>
      <c r="D97" s="10" t="str">
        <f>IF(C97&lt;&gt;"",IFERROR(VLOOKUP(C97,'Araç Listesi'!$B$4:$C$303,2,0),"Bulunamadı"),"")</f>
        <v/>
      </c>
      <c r="E97" s="7"/>
      <c r="F97" s="7"/>
      <c r="G97" s="7"/>
      <c r="H97" s="14"/>
      <c r="I97" s="14"/>
      <c r="J97" s="12" t="str">
        <f t="shared" si="3"/>
        <v/>
      </c>
      <c r="K97" s="15"/>
      <c r="L97" s="7"/>
      <c r="M97" s="7"/>
    </row>
    <row r="98" spans="1:13" ht="19.5" customHeight="1" x14ac:dyDescent="0.3">
      <c r="A98" s="3" t="str">
        <f t="shared" si="2"/>
        <v/>
      </c>
      <c r="B98" s="5"/>
      <c r="C98" s="3"/>
      <c r="D98" s="10" t="str">
        <f>IF(C98&lt;&gt;"",IFERROR(VLOOKUP(C98,'Araç Listesi'!$B$4:$C$303,2,0),"Bulunamadı"),"")</f>
        <v/>
      </c>
      <c r="E98" s="4"/>
      <c r="F98" s="4"/>
      <c r="G98" s="4"/>
      <c r="H98" s="11"/>
      <c r="I98" s="11"/>
      <c r="J98" s="12" t="str">
        <f t="shared" si="3"/>
        <v/>
      </c>
      <c r="K98" s="13"/>
      <c r="L98" s="4"/>
      <c r="M98" s="4"/>
    </row>
    <row r="99" spans="1:13" ht="19.5" customHeight="1" x14ac:dyDescent="0.3">
      <c r="A99" s="6" t="str">
        <f t="shared" si="2"/>
        <v/>
      </c>
      <c r="B99" s="8"/>
      <c r="C99" s="6"/>
      <c r="D99" s="10" t="str">
        <f>IF(C99&lt;&gt;"",IFERROR(VLOOKUP(C99,'Araç Listesi'!$B$4:$C$303,2,0),"Bulunamadı"),"")</f>
        <v/>
      </c>
      <c r="E99" s="7"/>
      <c r="F99" s="7"/>
      <c r="G99" s="7"/>
      <c r="H99" s="14"/>
      <c r="I99" s="14"/>
      <c r="J99" s="12" t="str">
        <f t="shared" si="3"/>
        <v/>
      </c>
      <c r="K99" s="15"/>
      <c r="L99" s="7"/>
      <c r="M99" s="7"/>
    </row>
    <row r="100" spans="1:13" ht="19.5" customHeight="1" x14ac:dyDescent="0.3">
      <c r="A100" s="3" t="str">
        <f t="shared" si="2"/>
        <v/>
      </c>
      <c r="B100" s="5"/>
      <c r="C100" s="3"/>
      <c r="D100" s="10" t="str">
        <f>IF(C100&lt;&gt;"",IFERROR(VLOOKUP(C100,'Araç Listesi'!$B$4:$C$303,2,0),"Bulunamadı"),"")</f>
        <v/>
      </c>
      <c r="E100" s="4"/>
      <c r="F100" s="4"/>
      <c r="G100" s="4"/>
      <c r="H100" s="11"/>
      <c r="I100" s="11"/>
      <c r="J100" s="12" t="str">
        <f t="shared" si="3"/>
        <v/>
      </c>
      <c r="K100" s="13"/>
      <c r="L100" s="4"/>
      <c r="M100" s="4"/>
    </row>
    <row r="101" spans="1:13" ht="19.5" customHeight="1" x14ac:dyDescent="0.3">
      <c r="A101" s="6" t="str">
        <f t="shared" si="2"/>
        <v/>
      </c>
      <c r="B101" s="8"/>
      <c r="C101" s="6"/>
      <c r="D101" s="10" t="str">
        <f>IF(C101&lt;&gt;"",IFERROR(VLOOKUP(C101,'Araç Listesi'!$B$4:$C$303,2,0),"Bulunamadı"),"")</f>
        <v/>
      </c>
      <c r="E101" s="7"/>
      <c r="F101" s="7"/>
      <c r="G101" s="7"/>
      <c r="H101" s="14"/>
      <c r="I101" s="14"/>
      <c r="J101" s="12" t="str">
        <f t="shared" si="3"/>
        <v/>
      </c>
      <c r="K101" s="15"/>
      <c r="L101" s="7"/>
      <c r="M101" s="7"/>
    </row>
    <row r="102" spans="1:13" ht="19.5" customHeight="1" x14ac:dyDescent="0.3">
      <c r="A102" s="3" t="str">
        <f t="shared" si="2"/>
        <v/>
      </c>
      <c r="B102" s="5"/>
      <c r="C102" s="3"/>
      <c r="D102" s="10" t="str">
        <f>IF(C102&lt;&gt;"",IFERROR(VLOOKUP(C102,'Araç Listesi'!$B$4:$C$303,2,0),"Bulunamadı"),"")</f>
        <v/>
      </c>
      <c r="E102" s="4"/>
      <c r="F102" s="4"/>
      <c r="G102" s="4"/>
      <c r="H102" s="11"/>
      <c r="I102" s="11"/>
      <c r="J102" s="12" t="str">
        <f t="shared" si="3"/>
        <v/>
      </c>
      <c r="K102" s="13"/>
      <c r="L102" s="4"/>
      <c r="M102" s="4"/>
    </row>
    <row r="103" spans="1:13" ht="19.5" customHeight="1" x14ac:dyDescent="0.3">
      <c r="A103" s="6" t="str">
        <f t="shared" si="2"/>
        <v/>
      </c>
      <c r="B103" s="8"/>
      <c r="C103" s="6"/>
      <c r="D103" s="10" t="str">
        <f>IF(C103&lt;&gt;"",IFERROR(VLOOKUP(C103,'Araç Listesi'!$B$4:$C$303,2,0),"Bulunamadı"),"")</f>
        <v/>
      </c>
      <c r="E103" s="7"/>
      <c r="F103" s="7"/>
      <c r="G103" s="7"/>
      <c r="H103" s="14"/>
      <c r="I103" s="14"/>
      <c r="J103" s="12" t="str">
        <f t="shared" si="3"/>
        <v/>
      </c>
      <c r="K103" s="15"/>
      <c r="L103" s="7"/>
      <c r="M103" s="7"/>
    </row>
    <row r="104" spans="1:13" ht="19.5" customHeight="1" x14ac:dyDescent="0.3">
      <c r="A104" s="3" t="str">
        <f t="shared" si="2"/>
        <v/>
      </c>
      <c r="B104" s="5"/>
      <c r="C104" s="3"/>
      <c r="D104" s="10" t="str">
        <f>IF(C104&lt;&gt;"",IFERROR(VLOOKUP(C104,'Araç Listesi'!$B$4:$C$303,2,0),"Bulunamadı"),"")</f>
        <v/>
      </c>
      <c r="E104" s="4"/>
      <c r="F104" s="4"/>
      <c r="G104" s="4"/>
      <c r="H104" s="11"/>
      <c r="I104" s="11"/>
      <c r="J104" s="12" t="str">
        <f t="shared" si="3"/>
        <v/>
      </c>
      <c r="K104" s="13"/>
      <c r="L104" s="4"/>
      <c r="M104" s="4"/>
    </row>
    <row r="105" spans="1:13" ht="19.5" customHeight="1" x14ac:dyDescent="0.3">
      <c r="A105" s="6" t="str">
        <f t="shared" si="2"/>
        <v/>
      </c>
      <c r="B105" s="8"/>
      <c r="C105" s="6"/>
      <c r="D105" s="10" t="str">
        <f>IF(C105&lt;&gt;"",IFERROR(VLOOKUP(C105,'Araç Listesi'!$B$4:$C$303,2,0),"Bulunamadı"),"")</f>
        <v/>
      </c>
      <c r="E105" s="7"/>
      <c r="F105" s="7"/>
      <c r="G105" s="7"/>
      <c r="H105" s="14"/>
      <c r="I105" s="14"/>
      <c r="J105" s="12" t="str">
        <f t="shared" si="3"/>
        <v/>
      </c>
      <c r="K105" s="15"/>
      <c r="L105" s="7"/>
      <c r="M105" s="7"/>
    </row>
    <row r="106" spans="1:13" ht="19.5" customHeight="1" x14ac:dyDescent="0.3">
      <c r="A106" s="3" t="str">
        <f t="shared" si="2"/>
        <v/>
      </c>
      <c r="B106" s="5"/>
      <c r="C106" s="3"/>
      <c r="D106" s="10" t="str">
        <f>IF(C106&lt;&gt;"",IFERROR(VLOOKUP(C106,'Araç Listesi'!$B$4:$C$303,2,0),"Bulunamadı"),"")</f>
        <v/>
      </c>
      <c r="E106" s="4"/>
      <c r="F106" s="4"/>
      <c r="G106" s="4"/>
      <c r="H106" s="11"/>
      <c r="I106" s="11"/>
      <c r="J106" s="12" t="str">
        <f t="shared" si="3"/>
        <v/>
      </c>
      <c r="K106" s="13"/>
      <c r="L106" s="4"/>
      <c r="M106" s="4"/>
    </row>
    <row r="107" spans="1:13" ht="19.5" customHeight="1" x14ac:dyDescent="0.3">
      <c r="A107" s="6" t="str">
        <f t="shared" si="2"/>
        <v/>
      </c>
      <c r="B107" s="8"/>
      <c r="C107" s="6"/>
      <c r="D107" s="10" t="str">
        <f>IF(C107&lt;&gt;"",IFERROR(VLOOKUP(C107,'Araç Listesi'!$B$4:$C$303,2,0),"Bulunamadı"),"")</f>
        <v/>
      </c>
      <c r="E107" s="7"/>
      <c r="F107" s="7"/>
      <c r="G107" s="7"/>
      <c r="H107" s="14"/>
      <c r="I107" s="14"/>
      <c r="J107" s="12" t="str">
        <f t="shared" si="3"/>
        <v/>
      </c>
      <c r="K107" s="15"/>
      <c r="L107" s="7"/>
      <c r="M107" s="7"/>
    </row>
    <row r="108" spans="1:13" ht="19.5" customHeight="1" x14ac:dyDescent="0.3">
      <c r="A108" s="3" t="str">
        <f t="shared" si="2"/>
        <v/>
      </c>
      <c r="B108" s="5"/>
      <c r="C108" s="3"/>
      <c r="D108" s="10" t="str">
        <f>IF(C108&lt;&gt;"",IFERROR(VLOOKUP(C108,'Araç Listesi'!$B$4:$C$303,2,0),"Bulunamadı"),"")</f>
        <v/>
      </c>
      <c r="E108" s="4"/>
      <c r="F108" s="4"/>
      <c r="G108" s="4"/>
      <c r="H108" s="11"/>
      <c r="I108" s="11"/>
      <c r="J108" s="12" t="str">
        <f t="shared" si="3"/>
        <v/>
      </c>
      <c r="K108" s="13"/>
      <c r="L108" s="4"/>
      <c r="M108" s="4"/>
    </row>
    <row r="109" spans="1:13" ht="19.5" customHeight="1" x14ac:dyDescent="0.3">
      <c r="A109" s="6" t="str">
        <f t="shared" si="2"/>
        <v/>
      </c>
      <c r="B109" s="8"/>
      <c r="C109" s="6"/>
      <c r="D109" s="10" t="str">
        <f>IF(C109&lt;&gt;"",IFERROR(VLOOKUP(C109,'Araç Listesi'!$B$4:$C$303,2,0),"Bulunamadı"),"")</f>
        <v/>
      </c>
      <c r="E109" s="7"/>
      <c r="F109" s="7"/>
      <c r="G109" s="7"/>
      <c r="H109" s="14"/>
      <c r="I109" s="14"/>
      <c r="J109" s="12" t="str">
        <f t="shared" si="3"/>
        <v/>
      </c>
      <c r="K109" s="15"/>
      <c r="L109" s="7"/>
      <c r="M109" s="7"/>
    </row>
    <row r="110" spans="1:13" ht="19.5" customHeight="1" x14ac:dyDescent="0.3">
      <c r="A110" s="3" t="str">
        <f t="shared" si="2"/>
        <v/>
      </c>
      <c r="B110" s="5"/>
      <c r="C110" s="3"/>
      <c r="D110" s="10" t="str">
        <f>IF(C110&lt;&gt;"",IFERROR(VLOOKUP(C110,'Araç Listesi'!$B$4:$C$303,2,0),"Bulunamadı"),"")</f>
        <v/>
      </c>
      <c r="E110" s="4"/>
      <c r="F110" s="4"/>
      <c r="G110" s="4"/>
      <c r="H110" s="11"/>
      <c r="I110" s="11"/>
      <c r="J110" s="12" t="str">
        <f t="shared" si="3"/>
        <v/>
      </c>
      <c r="K110" s="13"/>
      <c r="L110" s="4"/>
      <c r="M110" s="4"/>
    </row>
    <row r="111" spans="1:13" ht="19.5" customHeight="1" x14ac:dyDescent="0.3">
      <c r="A111" s="6" t="str">
        <f t="shared" si="2"/>
        <v/>
      </c>
      <c r="B111" s="8"/>
      <c r="C111" s="6"/>
      <c r="D111" s="10" t="str">
        <f>IF(C111&lt;&gt;"",IFERROR(VLOOKUP(C111,'Araç Listesi'!$B$4:$C$303,2,0),"Bulunamadı"),"")</f>
        <v/>
      </c>
      <c r="E111" s="7"/>
      <c r="F111" s="7"/>
      <c r="G111" s="7"/>
      <c r="H111" s="14"/>
      <c r="I111" s="14"/>
      <c r="J111" s="12" t="str">
        <f t="shared" si="3"/>
        <v/>
      </c>
      <c r="K111" s="15"/>
      <c r="L111" s="7"/>
      <c r="M111" s="7"/>
    </row>
    <row r="112" spans="1:13" ht="19.5" customHeight="1" x14ac:dyDescent="0.3">
      <c r="A112" s="3" t="str">
        <f t="shared" si="2"/>
        <v/>
      </c>
      <c r="B112" s="5"/>
      <c r="C112" s="3"/>
      <c r="D112" s="10" t="str">
        <f>IF(C112&lt;&gt;"",IFERROR(VLOOKUP(C112,'Araç Listesi'!$B$4:$C$303,2,0),"Bulunamadı"),"")</f>
        <v/>
      </c>
      <c r="E112" s="4"/>
      <c r="F112" s="4"/>
      <c r="G112" s="4"/>
      <c r="H112" s="11"/>
      <c r="I112" s="11"/>
      <c r="J112" s="12" t="str">
        <f t="shared" si="3"/>
        <v/>
      </c>
      <c r="K112" s="13"/>
      <c r="L112" s="4"/>
      <c r="M112" s="4"/>
    </row>
    <row r="113" spans="1:13" ht="19.5" customHeight="1" x14ac:dyDescent="0.3">
      <c r="A113" s="6" t="str">
        <f t="shared" si="2"/>
        <v/>
      </c>
      <c r="B113" s="8"/>
      <c r="C113" s="6"/>
      <c r="D113" s="10" t="str">
        <f>IF(C113&lt;&gt;"",IFERROR(VLOOKUP(C113,'Araç Listesi'!$B$4:$C$303,2,0),"Bulunamadı"),"")</f>
        <v/>
      </c>
      <c r="E113" s="7"/>
      <c r="F113" s="7"/>
      <c r="G113" s="7"/>
      <c r="H113" s="14"/>
      <c r="I113" s="14"/>
      <c r="J113" s="12" t="str">
        <f t="shared" si="3"/>
        <v/>
      </c>
      <c r="K113" s="15"/>
      <c r="L113" s="7"/>
      <c r="M113" s="7"/>
    </row>
    <row r="114" spans="1:13" ht="19.5" customHeight="1" x14ac:dyDescent="0.3">
      <c r="A114" s="3" t="str">
        <f t="shared" si="2"/>
        <v/>
      </c>
      <c r="B114" s="5"/>
      <c r="C114" s="3"/>
      <c r="D114" s="10" t="str">
        <f>IF(C114&lt;&gt;"",IFERROR(VLOOKUP(C114,'Araç Listesi'!$B$4:$C$303,2,0),"Bulunamadı"),"")</f>
        <v/>
      </c>
      <c r="E114" s="4"/>
      <c r="F114" s="4"/>
      <c r="G114" s="4"/>
      <c r="H114" s="11"/>
      <c r="I114" s="11"/>
      <c r="J114" s="12" t="str">
        <f t="shared" si="3"/>
        <v/>
      </c>
      <c r="K114" s="13"/>
      <c r="L114" s="4"/>
      <c r="M114" s="4"/>
    </row>
    <row r="115" spans="1:13" ht="19.5" customHeight="1" x14ac:dyDescent="0.3">
      <c r="A115" s="6" t="str">
        <f t="shared" si="2"/>
        <v/>
      </c>
      <c r="B115" s="8"/>
      <c r="C115" s="6"/>
      <c r="D115" s="10" t="str">
        <f>IF(C115&lt;&gt;"",IFERROR(VLOOKUP(C115,'Araç Listesi'!$B$4:$C$303,2,0),"Bulunamadı"),"")</f>
        <v/>
      </c>
      <c r="E115" s="7"/>
      <c r="F115" s="7"/>
      <c r="G115" s="7"/>
      <c r="H115" s="14"/>
      <c r="I115" s="14"/>
      <c r="J115" s="12" t="str">
        <f t="shared" si="3"/>
        <v/>
      </c>
      <c r="K115" s="15"/>
      <c r="L115" s="7"/>
      <c r="M115" s="7"/>
    </row>
    <row r="116" spans="1:13" ht="19.5" customHeight="1" x14ac:dyDescent="0.3">
      <c r="A116" s="3" t="str">
        <f t="shared" si="2"/>
        <v/>
      </c>
      <c r="B116" s="5"/>
      <c r="C116" s="3"/>
      <c r="D116" s="10" t="str">
        <f>IF(C116&lt;&gt;"",IFERROR(VLOOKUP(C116,'Araç Listesi'!$B$4:$C$303,2,0),"Bulunamadı"),"")</f>
        <v/>
      </c>
      <c r="E116" s="4"/>
      <c r="F116" s="4"/>
      <c r="G116" s="4"/>
      <c r="H116" s="11"/>
      <c r="I116" s="11"/>
      <c r="J116" s="12" t="str">
        <f t="shared" si="3"/>
        <v/>
      </c>
      <c r="K116" s="13"/>
      <c r="L116" s="4"/>
      <c r="M116" s="4"/>
    </row>
    <row r="117" spans="1:13" ht="19.5" customHeight="1" x14ac:dyDescent="0.3">
      <c r="A117" s="6" t="str">
        <f t="shared" si="2"/>
        <v/>
      </c>
      <c r="B117" s="8"/>
      <c r="C117" s="6"/>
      <c r="D117" s="10" t="str">
        <f>IF(C117&lt;&gt;"",IFERROR(VLOOKUP(C117,'Araç Listesi'!$B$4:$C$303,2,0),"Bulunamadı"),"")</f>
        <v/>
      </c>
      <c r="E117" s="7"/>
      <c r="F117" s="7"/>
      <c r="G117" s="7"/>
      <c r="H117" s="14"/>
      <c r="I117" s="14"/>
      <c r="J117" s="12" t="str">
        <f t="shared" si="3"/>
        <v/>
      </c>
      <c r="K117" s="15"/>
      <c r="L117" s="7"/>
      <c r="M117" s="7"/>
    </row>
    <row r="118" spans="1:13" ht="19.5" customHeight="1" x14ac:dyDescent="0.3">
      <c r="A118" s="3" t="str">
        <f t="shared" si="2"/>
        <v/>
      </c>
      <c r="B118" s="5"/>
      <c r="C118" s="3"/>
      <c r="D118" s="10" t="str">
        <f>IF(C118&lt;&gt;"",IFERROR(VLOOKUP(C118,'Araç Listesi'!$B$4:$C$303,2,0),"Bulunamadı"),"")</f>
        <v/>
      </c>
      <c r="E118" s="4"/>
      <c r="F118" s="4"/>
      <c r="G118" s="4"/>
      <c r="H118" s="11"/>
      <c r="I118" s="11"/>
      <c r="J118" s="12" t="str">
        <f t="shared" si="3"/>
        <v/>
      </c>
      <c r="K118" s="13"/>
      <c r="L118" s="4"/>
      <c r="M118" s="4"/>
    </row>
    <row r="119" spans="1:13" ht="19.5" customHeight="1" x14ac:dyDescent="0.3">
      <c r="A119" s="6" t="str">
        <f t="shared" si="2"/>
        <v/>
      </c>
      <c r="B119" s="8"/>
      <c r="C119" s="6"/>
      <c r="D119" s="10" t="str">
        <f>IF(C119&lt;&gt;"",IFERROR(VLOOKUP(C119,'Araç Listesi'!$B$4:$C$303,2,0),"Bulunamadı"),"")</f>
        <v/>
      </c>
      <c r="E119" s="7"/>
      <c r="F119" s="7"/>
      <c r="G119" s="7"/>
      <c r="H119" s="14"/>
      <c r="I119" s="14"/>
      <c r="J119" s="12" t="str">
        <f t="shared" si="3"/>
        <v/>
      </c>
      <c r="K119" s="15"/>
      <c r="L119" s="7"/>
      <c r="M119" s="7"/>
    </row>
    <row r="120" spans="1:13" ht="19.5" customHeight="1" x14ac:dyDescent="0.3">
      <c r="A120" s="3" t="str">
        <f t="shared" si="2"/>
        <v/>
      </c>
      <c r="B120" s="5"/>
      <c r="C120" s="3"/>
      <c r="D120" s="10" t="str">
        <f>IF(C120&lt;&gt;"",IFERROR(VLOOKUP(C120,'Araç Listesi'!$B$4:$C$303,2,0),"Bulunamadı"),"")</f>
        <v/>
      </c>
      <c r="E120" s="4"/>
      <c r="F120" s="4"/>
      <c r="G120" s="4"/>
      <c r="H120" s="11"/>
      <c r="I120" s="11"/>
      <c r="J120" s="12" t="str">
        <f t="shared" si="3"/>
        <v/>
      </c>
      <c r="K120" s="13"/>
      <c r="L120" s="4"/>
      <c r="M120" s="4"/>
    </row>
    <row r="121" spans="1:13" ht="19.5" customHeight="1" x14ac:dyDescent="0.3">
      <c r="A121" s="6" t="str">
        <f t="shared" si="2"/>
        <v/>
      </c>
      <c r="B121" s="8"/>
      <c r="C121" s="6"/>
      <c r="D121" s="10" t="str">
        <f>IF(C121&lt;&gt;"",IFERROR(VLOOKUP(C121,'Araç Listesi'!$B$4:$C$303,2,0),"Bulunamadı"),"")</f>
        <v/>
      </c>
      <c r="E121" s="7"/>
      <c r="F121" s="7"/>
      <c r="G121" s="7"/>
      <c r="H121" s="14"/>
      <c r="I121" s="14"/>
      <c r="J121" s="12" t="str">
        <f t="shared" si="3"/>
        <v/>
      </c>
      <c r="K121" s="15"/>
      <c r="L121" s="7"/>
      <c r="M121" s="7"/>
    </row>
    <row r="122" spans="1:13" ht="19.5" customHeight="1" x14ac:dyDescent="0.3">
      <c r="A122" s="3" t="str">
        <f t="shared" si="2"/>
        <v/>
      </c>
      <c r="B122" s="5"/>
      <c r="C122" s="3"/>
      <c r="D122" s="10" t="str">
        <f>IF(C122&lt;&gt;"",IFERROR(VLOOKUP(C122,'Araç Listesi'!$B$4:$C$303,2,0),"Bulunamadı"),"")</f>
        <v/>
      </c>
      <c r="E122" s="4"/>
      <c r="F122" s="4"/>
      <c r="G122" s="4"/>
      <c r="H122" s="11"/>
      <c r="I122" s="11"/>
      <c r="J122" s="12" t="str">
        <f t="shared" si="3"/>
        <v/>
      </c>
      <c r="K122" s="13"/>
      <c r="L122" s="4"/>
      <c r="M122" s="4"/>
    </row>
    <row r="123" spans="1:13" ht="19.5" customHeight="1" x14ac:dyDescent="0.3">
      <c r="A123" s="6" t="str">
        <f t="shared" si="2"/>
        <v/>
      </c>
      <c r="B123" s="8"/>
      <c r="C123" s="6"/>
      <c r="D123" s="10" t="str">
        <f>IF(C123&lt;&gt;"",IFERROR(VLOOKUP(C123,'Araç Listesi'!$B$4:$C$303,2,0),"Bulunamadı"),"")</f>
        <v/>
      </c>
      <c r="E123" s="7"/>
      <c r="F123" s="7"/>
      <c r="G123" s="7"/>
      <c r="H123" s="14"/>
      <c r="I123" s="14"/>
      <c r="J123" s="12" t="str">
        <f t="shared" si="3"/>
        <v/>
      </c>
      <c r="K123" s="15"/>
      <c r="L123" s="7"/>
      <c r="M123" s="7"/>
    </row>
    <row r="124" spans="1:13" ht="19.5" customHeight="1" x14ac:dyDescent="0.3">
      <c r="A124" s="3" t="str">
        <f t="shared" si="2"/>
        <v/>
      </c>
      <c r="B124" s="5"/>
      <c r="C124" s="3"/>
      <c r="D124" s="10" t="str">
        <f>IF(C124&lt;&gt;"",IFERROR(VLOOKUP(C124,'Araç Listesi'!$B$4:$C$303,2,0),"Bulunamadı"),"")</f>
        <v/>
      </c>
      <c r="E124" s="4"/>
      <c r="F124" s="4"/>
      <c r="G124" s="4"/>
      <c r="H124" s="11"/>
      <c r="I124" s="11"/>
      <c r="J124" s="12" t="str">
        <f t="shared" si="3"/>
        <v/>
      </c>
      <c r="K124" s="13"/>
      <c r="L124" s="4"/>
      <c r="M124" s="4"/>
    </row>
    <row r="125" spans="1:13" ht="19.5" customHeight="1" x14ac:dyDescent="0.3">
      <c r="A125" s="6" t="str">
        <f t="shared" si="2"/>
        <v/>
      </c>
      <c r="B125" s="8"/>
      <c r="C125" s="6"/>
      <c r="D125" s="10" t="str">
        <f>IF(C125&lt;&gt;"",IFERROR(VLOOKUP(C125,'Araç Listesi'!$B$4:$C$303,2,0),"Bulunamadı"),"")</f>
        <v/>
      </c>
      <c r="E125" s="7"/>
      <c r="F125" s="7"/>
      <c r="G125" s="7"/>
      <c r="H125" s="14"/>
      <c r="I125" s="14"/>
      <c r="J125" s="12" t="str">
        <f t="shared" si="3"/>
        <v/>
      </c>
      <c r="K125" s="15"/>
      <c r="L125" s="7"/>
      <c r="M125" s="7"/>
    </row>
    <row r="126" spans="1:13" ht="19.5" customHeight="1" x14ac:dyDescent="0.3">
      <c r="A126" s="3" t="str">
        <f t="shared" si="2"/>
        <v/>
      </c>
      <c r="B126" s="5"/>
      <c r="C126" s="3"/>
      <c r="D126" s="10" t="str">
        <f>IF(C126&lt;&gt;"",IFERROR(VLOOKUP(C126,'Araç Listesi'!$B$4:$C$303,2,0),"Bulunamadı"),"")</f>
        <v/>
      </c>
      <c r="E126" s="4"/>
      <c r="F126" s="4"/>
      <c r="G126" s="4"/>
      <c r="H126" s="11"/>
      <c r="I126" s="11"/>
      <c r="J126" s="12" t="str">
        <f t="shared" si="3"/>
        <v/>
      </c>
      <c r="K126" s="13"/>
      <c r="L126" s="4"/>
      <c r="M126" s="4"/>
    </row>
    <row r="127" spans="1:13" ht="19.5" customHeight="1" x14ac:dyDescent="0.3">
      <c r="A127" s="6" t="str">
        <f t="shared" si="2"/>
        <v/>
      </c>
      <c r="B127" s="8"/>
      <c r="C127" s="6"/>
      <c r="D127" s="10" t="str">
        <f>IF(C127&lt;&gt;"",IFERROR(VLOOKUP(C127,'Araç Listesi'!$B$4:$C$303,2,0),"Bulunamadı"),"")</f>
        <v/>
      </c>
      <c r="E127" s="7"/>
      <c r="F127" s="7"/>
      <c r="G127" s="7"/>
      <c r="H127" s="14"/>
      <c r="I127" s="14"/>
      <c r="J127" s="12" t="str">
        <f t="shared" si="3"/>
        <v/>
      </c>
      <c r="K127" s="15"/>
      <c r="L127" s="7"/>
      <c r="M127" s="7"/>
    </row>
    <row r="128" spans="1:13" ht="19.5" customHeight="1" x14ac:dyDescent="0.3">
      <c r="A128" s="3" t="str">
        <f t="shared" si="2"/>
        <v/>
      </c>
      <c r="B128" s="5"/>
      <c r="C128" s="3"/>
      <c r="D128" s="10" t="str">
        <f>IF(C128&lt;&gt;"",IFERROR(VLOOKUP(C128,'Araç Listesi'!$B$4:$C$303,2,0),"Bulunamadı"),"")</f>
        <v/>
      </c>
      <c r="E128" s="4"/>
      <c r="F128" s="4"/>
      <c r="G128" s="4"/>
      <c r="H128" s="11"/>
      <c r="I128" s="11"/>
      <c r="J128" s="12" t="str">
        <f t="shared" si="3"/>
        <v/>
      </c>
      <c r="K128" s="13"/>
      <c r="L128" s="4"/>
      <c r="M128" s="4"/>
    </row>
    <row r="129" spans="1:13" ht="19.5" customHeight="1" x14ac:dyDescent="0.3">
      <c r="A129" s="6" t="str">
        <f t="shared" si="2"/>
        <v/>
      </c>
      <c r="B129" s="8"/>
      <c r="C129" s="6"/>
      <c r="D129" s="10" t="str">
        <f>IF(C129&lt;&gt;"",IFERROR(VLOOKUP(C129,'Araç Listesi'!$B$4:$C$303,2,0),"Bulunamadı"),"")</f>
        <v/>
      </c>
      <c r="E129" s="7"/>
      <c r="F129" s="7"/>
      <c r="G129" s="7"/>
      <c r="H129" s="14"/>
      <c r="I129" s="14"/>
      <c r="J129" s="12" t="str">
        <f t="shared" si="3"/>
        <v/>
      </c>
      <c r="K129" s="15"/>
      <c r="L129" s="7"/>
      <c r="M129" s="7"/>
    </row>
    <row r="130" spans="1:13" ht="19.5" customHeight="1" x14ac:dyDescent="0.3">
      <c r="A130" s="3" t="str">
        <f t="shared" si="2"/>
        <v/>
      </c>
      <c r="B130" s="5"/>
      <c r="C130" s="3"/>
      <c r="D130" s="10" t="str">
        <f>IF(C130&lt;&gt;"",IFERROR(VLOOKUP(C130,'Araç Listesi'!$B$4:$C$303,2,0),"Bulunamadı"),"")</f>
        <v/>
      </c>
      <c r="E130" s="4"/>
      <c r="F130" s="4"/>
      <c r="G130" s="4"/>
      <c r="H130" s="11"/>
      <c r="I130" s="11"/>
      <c r="J130" s="12" t="str">
        <f t="shared" si="3"/>
        <v/>
      </c>
      <c r="K130" s="13"/>
      <c r="L130" s="4"/>
      <c r="M130" s="4"/>
    </row>
    <row r="131" spans="1:13" ht="19.5" customHeight="1" x14ac:dyDescent="0.3">
      <c r="A131" s="6" t="str">
        <f t="shared" si="2"/>
        <v/>
      </c>
      <c r="B131" s="8"/>
      <c r="C131" s="6"/>
      <c r="D131" s="10" t="str">
        <f>IF(C131&lt;&gt;"",IFERROR(VLOOKUP(C131,'Araç Listesi'!$B$4:$C$303,2,0),"Bulunamadı"),"")</f>
        <v/>
      </c>
      <c r="E131" s="7"/>
      <c r="F131" s="7"/>
      <c r="G131" s="7"/>
      <c r="H131" s="14"/>
      <c r="I131" s="14"/>
      <c r="J131" s="12" t="str">
        <f t="shared" si="3"/>
        <v/>
      </c>
      <c r="K131" s="15"/>
      <c r="L131" s="7"/>
      <c r="M131" s="7"/>
    </row>
    <row r="132" spans="1:13" ht="19.5" customHeight="1" x14ac:dyDescent="0.3">
      <c r="A132" s="3" t="str">
        <f t="shared" ref="A132:A195" si="4">IF(B132&lt;&gt;"",ROW()-3,"")</f>
        <v/>
      </c>
      <c r="B132" s="5"/>
      <c r="C132" s="3"/>
      <c r="D132" s="10" t="str">
        <f>IF(C132&lt;&gt;"",IFERROR(VLOOKUP(C132,'Araç Listesi'!$B$4:$C$303,2,0),"Bulunamadı"),"")</f>
        <v/>
      </c>
      <c r="E132" s="4"/>
      <c r="F132" s="4"/>
      <c r="G132" s="4"/>
      <c r="H132" s="11"/>
      <c r="I132" s="11"/>
      <c r="J132" s="12" t="str">
        <f t="shared" ref="J132:J195" si="5">IF(AND(H132&lt;&gt;"",I132&lt;&gt;""),IFERROR(IF(I132&gt;H132,(I132-H132)*24,(1+I132-H132)*24),""),"")</f>
        <v/>
      </c>
      <c r="K132" s="13"/>
      <c r="L132" s="4"/>
      <c r="M132" s="4"/>
    </row>
    <row r="133" spans="1:13" ht="19.5" customHeight="1" x14ac:dyDescent="0.3">
      <c r="A133" s="6" t="str">
        <f t="shared" si="4"/>
        <v/>
      </c>
      <c r="B133" s="8"/>
      <c r="C133" s="6"/>
      <c r="D133" s="10" t="str">
        <f>IF(C133&lt;&gt;"",IFERROR(VLOOKUP(C133,'Araç Listesi'!$B$4:$C$303,2,0),"Bulunamadı"),"")</f>
        <v/>
      </c>
      <c r="E133" s="7"/>
      <c r="F133" s="7"/>
      <c r="G133" s="7"/>
      <c r="H133" s="14"/>
      <c r="I133" s="14"/>
      <c r="J133" s="12" t="str">
        <f t="shared" si="5"/>
        <v/>
      </c>
      <c r="K133" s="15"/>
      <c r="L133" s="7"/>
      <c r="M133" s="7"/>
    </row>
    <row r="134" spans="1:13" ht="19.5" customHeight="1" x14ac:dyDescent="0.3">
      <c r="A134" s="3" t="str">
        <f t="shared" si="4"/>
        <v/>
      </c>
      <c r="B134" s="5"/>
      <c r="C134" s="3"/>
      <c r="D134" s="10" t="str">
        <f>IF(C134&lt;&gt;"",IFERROR(VLOOKUP(C134,'Araç Listesi'!$B$4:$C$303,2,0),"Bulunamadı"),"")</f>
        <v/>
      </c>
      <c r="E134" s="4"/>
      <c r="F134" s="4"/>
      <c r="G134" s="4"/>
      <c r="H134" s="11"/>
      <c r="I134" s="11"/>
      <c r="J134" s="12" t="str">
        <f t="shared" si="5"/>
        <v/>
      </c>
      <c r="K134" s="13"/>
      <c r="L134" s="4"/>
      <c r="M134" s="4"/>
    </row>
    <row r="135" spans="1:13" ht="19.5" customHeight="1" x14ac:dyDescent="0.3">
      <c r="A135" s="6" t="str">
        <f t="shared" si="4"/>
        <v/>
      </c>
      <c r="B135" s="8"/>
      <c r="C135" s="6"/>
      <c r="D135" s="10" t="str">
        <f>IF(C135&lt;&gt;"",IFERROR(VLOOKUP(C135,'Araç Listesi'!$B$4:$C$303,2,0),"Bulunamadı"),"")</f>
        <v/>
      </c>
      <c r="E135" s="7"/>
      <c r="F135" s="7"/>
      <c r="G135" s="7"/>
      <c r="H135" s="14"/>
      <c r="I135" s="14"/>
      <c r="J135" s="12" t="str">
        <f t="shared" si="5"/>
        <v/>
      </c>
      <c r="K135" s="15"/>
      <c r="L135" s="7"/>
      <c r="M135" s="7"/>
    </row>
    <row r="136" spans="1:13" ht="19.5" customHeight="1" x14ac:dyDescent="0.3">
      <c r="A136" s="3" t="str">
        <f t="shared" si="4"/>
        <v/>
      </c>
      <c r="B136" s="5"/>
      <c r="C136" s="3"/>
      <c r="D136" s="10" t="str">
        <f>IF(C136&lt;&gt;"",IFERROR(VLOOKUP(C136,'Araç Listesi'!$B$4:$C$303,2,0),"Bulunamadı"),"")</f>
        <v/>
      </c>
      <c r="E136" s="4"/>
      <c r="F136" s="4"/>
      <c r="G136" s="4"/>
      <c r="H136" s="11"/>
      <c r="I136" s="11"/>
      <c r="J136" s="12" t="str">
        <f t="shared" si="5"/>
        <v/>
      </c>
      <c r="K136" s="13"/>
      <c r="L136" s="4"/>
      <c r="M136" s="4"/>
    </row>
    <row r="137" spans="1:13" ht="19.5" customHeight="1" x14ac:dyDescent="0.3">
      <c r="A137" s="6" t="str">
        <f t="shared" si="4"/>
        <v/>
      </c>
      <c r="B137" s="8"/>
      <c r="C137" s="6"/>
      <c r="D137" s="10" t="str">
        <f>IF(C137&lt;&gt;"",IFERROR(VLOOKUP(C137,'Araç Listesi'!$B$4:$C$303,2,0),"Bulunamadı"),"")</f>
        <v/>
      </c>
      <c r="E137" s="7"/>
      <c r="F137" s="7"/>
      <c r="G137" s="7"/>
      <c r="H137" s="14"/>
      <c r="I137" s="14"/>
      <c r="J137" s="12" t="str">
        <f t="shared" si="5"/>
        <v/>
      </c>
      <c r="K137" s="15"/>
      <c r="L137" s="7"/>
      <c r="M137" s="7"/>
    </row>
    <row r="138" spans="1:13" ht="19.5" customHeight="1" x14ac:dyDescent="0.3">
      <c r="A138" s="3" t="str">
        <f t="shared" si="4"/>
        <v/>
      </c>
      <c r="B138" s="5"/>
      <c r="C138" s="3"/>
      <c r="D138" s="10" t="str">
        <f>IF(C138&lt;&gt;"",IFERROR(VLOOKUP(C138,'Araç Listesi'!$B$4:$C$303,2,0),"Bulunamadı"),"")</f>
        <v/>
      </c>
      <c r="E138" s="4"/>
      <c r="F138" s="4"/>
      <c r="G138" s="4"/>
      <c r="H138" s="11"/>
      <c r="I138" s="11"/>
      <c r="J138" s="12" t="str">
        <f t="shared" si="5"/>
        <v/>
      </c>
      <c r="K138" s="13"/>
      <c r="L138" s="4"/>
      <c r="M138" s="4"/>
    </row>
    <row r="139" spans="1:13" ht="19.5" customHeight="1" x14ac:dyDescent="0.3">
      <c r="A139" s="6" t="str">
        <f t="shared" si="4"/>
        <v/>
      </c>
      <c r="B139" s="8"/>
      <c r="C139" s="6"/>
      <c r="D139" s="10" t="str">
        <f>IF(C139&lt;&gt;"",IFERROR(VLOOKUP(C139,'Araç Listesi'!$B$4:$C$303,2,0),"Bulunamadı"),"")</f>
        <v/>
      </c>
      <c r="E139" s="7"/>
      <c r="F139" s="7"/>
      <c r="G139" s="7"/>
      <c r="H139" s="14"/>
      <c r="I139" s="14"/>
      <c r="J139" s="12" t="str">
        <f t="shared" si="5"/>
        <v/>
      </c>
      <c r="K139" s="15"/>
      <c r="L139" s="7"/>
      <c r="M139" s="7"/>
    </row>
    <row r="140" spans="1:13" ht="19.5" customHeight="1" x14ac:dyDescent="0.3">
      <c r="A140" s="3" t="str">
        <f t="shared" si="4"/>
        <v/>
      </c>
      <c r="B140" s="5"/>
      <c r="C140" s="3"/>
      <c r="D140" s="10" t="str">
        <f>IF(C140&lt;&gt;"",IFERROR(VLOOKUP(C140,'Araç Listesi'!$B$4:$C$303,2,0),"Bulunamadı"),"")</f>
        <v/>
      </c>
      <c r="E140" s="4"/>
      <c r="F140" s="4"/>
      <c r="G140" s="4"/>
      <c r="H140" s="11"/>
      <c r="I140" s="11"/>
      <c r="J140" s="12" t="str">
        <f t="shared" si="5"/>
        <v/>
      </c>
      <c r="K140" s="13"/>
      <c r="L140" s="4"/>
      <c r="M140" s="4"/>
    </row>
    <row r="141" spans="1:13" ht="19.5" customHeight="1" x14ac:dyDescent="0.3">
      <c r="A141" s="6" t="str">
        <f t="shared" si="4"/>
        <v/>
      </c>
      <c r="B141" s="8"/>
      <c r="C141" s="6"/>
      <c r="D141" s="10" t="str">
        <f>IF(C141&lt;&gt;"",IFERROR(VLOOKUP(C141,'Araç Listesi'!$B$4:$C$303,2,0),"Bulunamadı"),"")</f>
        <v/>
      </c>
      <c r="E141" s="7"/>
      <c r="F141" s="7"/>
      <c r="G141" s="7"/>
      <c r="H141" s="14"/>
      <c r="I141" s="14"/>
      <c r="J141" s="12" t="str">
        <f t="shared" si="5"/>
        <v/>
      </c>
      <c r="K141" s="15"/>
      <c r="L141" s="7"/>
      <c r="M141" s="7"/>
    </row>
    <row r="142" spans="1:13" ht="19.5" customHeight="1" x14ac:dyDescent="0.3">
      <c r="A142" s="3" t="str">
        <f t="shared" si="4"/>
        <v/>
      </c>
      <c r="B142" s="5"/>
      <c r="C142" s="3"/>
      <c r="D142" s="10" t="str">
        <f>IF(C142&lt;&gt;"",IFERROR(VLOOKUP(C142,'Araç Listesi'!$B$4:$C$303,2,0),"Bulunamadı"),"")</f>
        <v/>
      </c>
      <c r="E142" s="4"/>
      <c r="F142" s="4"/>
      <c r="G142" s="4"/>
      <c r="H142" s="11"/>
      <c r="I142" s="11"/>
      <c r="J142" s="12" t="str">
        <f t="shared" si="5"/>
        <v/>
      </c>
      <c r="K142" s="13"/>
      <c r="L142" s="4"/>
      <c r="M142" s="4"/>
    </row>
    <row r="143" spans="1:13" ht="19.5" customHeight="1" x14ac:dyDescent="0.3">
      <c r="A143" s="6" t="str">
        <f t="shared" si="4"/>
        <v/>
      </c>
      <c r="B143" s="8"/>
      <c r="C143" s="6"/>
      <c r="D143" s="10" t="str">
        <f>IF(C143&lt;&gt;"",IFERROR(VLOOKUP(C143,'Araç Listesi'!$B$4:$C$303,2,0),"Bulunamadı"),"")</f>
        <v/>
      </c>
      <c r="E143" s="7"/>
      <c r="F143" s="7"/>
      <c r="G143" s="7"/>
      <c r="H143" s="14"/>
      <c r="I143" s="14"/>
      <c r="J143" s="12" t="str">
        <f t="shared" si="5"/>
        <v/>
      </c>
      <c r="K143" s="15"/>
      <c r="L143" s="7"/>
      <c r="M143" s="7"/>
    </row>
    <row r="144" spans="1:13" ht="19.5" customHeight="1" x14ac:dyDescent="0.3">
      <c r="A144" s="3" t="str">
        <f t="shared" si="4"/>
        <v/>
      </c>
      <c r="B144" s="5"/>
      <c r="C144" s="3"/>
      <c r="D144" s="10" t="str">
        <f>IF(C144&lt;&gt;"",IFERROR(VLOOKUP(C144,'Araç Listesi'!$B$4:$C$303,2,0),"Bulunamadı"),"")</f>
        <v/>
      </c>
      <c r="E144" s="4"/>
      <c r="F144" s="4"/>
      <c r="G144" s="4"/>
      <c r="H144" s="11"/>
      <c r="I144" s="11"/>
      <c r="J144" s="12" t="str">
        <f t="shared" si="5"/>
        <v/>
      </c>
      <c r="K144" s="13"/>
      <c r="L144" s="4"/>
      <c r="M144" s="4"/>
    </row>
    <row r="145" spans="1:13" ht="19.5" customHeight="1" x14ac:dyDescent="0.3">
      <c r="A145" s="6" t="str">
        <f t="shared" si="4"/>
        <v/>
      </c>
      <c r="B145" s="8"/>
      <c r="C145" s="6"/>
      <c r="D145" s="10" t="str">
        <f>IF(C145&lt;&gt;"",IFERROR(VLOOKUP(C145,'Araç Listesi'!$B$4:$C$303,2,0),"Bulunamadı"),"")</f>
        <v/>
      </c>
      <c r="E145" s="7"/>
      <c r="F145" s="7"/>
      <c r="G145" s="7"/>
      <c r="H145" s="14"/>
      <c r="I145" s="14"/>
      <c r="J145" s="12" t="str">
        <f t="shared" si="5"/>
        <v/>
      </c>
      <c r="K145" s="15"/>
      <c r="L145" s="7"/>
      <c r="M145" s="7"/>
    </row>
    <row r="146" spans="1:13" ht="19.5" customHeight="1" x14ac:dyDescent="0.3">
      <c r="A146" s="3" t="str">
        <f t="shared" si="4"/>
        <v/>
      </c>
      <c r="B146" s="5"/>
      <c r="C146" s="3"/>
      <c r="D146" s="10" t="str">
        <f>IF(C146&lt;&gt;"",IFERROR(VLOOKUP(C146,'Araç Listesi'!$B$4:$C$303,2,0),"Bulunamadı"),"")</f>
        <v/>
      </c>
      <c r="E146" s="4"/>
      <c r="F146" s="4"/>
      <c r="G146" s="4"/>
      <c r="H146" s="11"/>
      <c r="I146" s="11"/>
      <c r="J146" s="12" t="str">
        <f t="shared" si="5"/>
        <v/>
      </c>
      <c r="K146" s="13"/>
      <c r="L146" s="4"/>
      <c r="M146" s="4"/>
    </row>
    <row r="147" spans="1:13" ht="19.5" customHeight="1" x14ac:dyDescent="0.3">
      <c r="A147" s="6" t="str">
        <f t="shared" si="4"/>
        <v/>
      </c>
      <c r="B147" s="8"/>
      <c r="C147" s="6"/>
      <c r="D147" s="10" t="str">
        <f>IF(C147&lt;&gt;"",IFERROR(VLOOKUP(C147,'Araç Listesi'!$B$4:$C$303,2,0),"Bulunamadı"),"")</f>
        <v/>
      </c>
      <c r="E147" s="7"/>
      <c r="F147" s="7"/>
      <c r="G147" s="7"/>
      <c r="H147" s="14"/>
      <c r="I147" s="14"/>
      <c r="J147" s="12" t="str">
        <f t="shared" si="5"/>
        <v/>
      </c>
      <c r="K147" s="15"/>
      <c r="L147" s="7"/>
      <c r="M147" s="7"/>
    </row>
    <row r="148" spans="1:13" ht="19.5" customHeight="1" x14ac:dyDescent="0.3">
      <c r="A148" s="3" t="str">
        <f t="shared" si="4"/>
        <v/>
      </c>
      <c r="B148" s="5"/>
      <c r="C148" s="3"/>
      <c r="D148" s="10" t="str">
        <f>IF(C148&lt;&gt;"",IFERROR(VLOOKUP(C148,'Araç Listesi'!$B$4:$C$303,2,0),"Bulunamadı"),"")</f>
        <v/>
      </c>
      <c r="E148" s="4"/>
      <c r="F148" s="4"/>
      <c r="G148" s="4"/>
      <c r="H148" s="11"/>
      <c r="I148" s="11"/>
      <c r="J148" s="12" t="str">
        <f t="shared" si="5"/>
        <v/>
      </c>
      <c r="K148" s="13"/>
      <c r="L148" s="4"/>
      <c r="M148" s="4"/>
    </row>
    <row r="149" spans="1:13" ht="19.5" customHeight="1" x14ac:dyDescent="0.3">
      <c r="A149" s="6" t="str">
        <f t="shared" si="4"/>
        <v/>
      </c>
      <c r="B149" s="8"/>
      <c r="C149" s="6"/>
      <c r="D149" s="10" t="str">
        <f>IF(C149&lt;&gt;"",IFERROR(VLOOKUP(C149,'Araç Listesi'!$B$4:$C$303,2,0),"Bulunamadı"),"")</f>
        <v/>
      </c>
      <c r="E149" s="7"/>
      <c r="F149" s="7"/>
      <c r="G149" s="7"/>
      <c r="H149" s="14"/>
      <c r="I149" s="14"/>
      <c r="J149" s="12" t="str">
        <f t="shared" si="5"/>
        <v/>
      </c>
      <c r="K149" s="15"/>
      <c r="L149" s="7"/>
      <c r="M149" s="7"/>
    </row>
    <row r="150" spans="1:13" ht="19.5" customHeight="1" x14ac:dyDescent="0.3">
      <c r="A150" s="3" t="str">
        <f t="shared" si="4"/>
        <v/>
      </c>
      <c r="B150" s="5"/>
      <c r="C150" s="3"/>
      <c r="D150" s="10" t="str">
        <f>IF(C150&lt;&gt;"",IFERROR(VLOOKUP(C150,'Araç Listesi'!$B$4:$C$303,2,0),"Bulunamadı"),"")</f>
        <v/>
      </c>
      <c r="E150" s="4"/>
      <c r="F150" s="4"/>
      <c r="G150" s="4"/>
      <c r="H150" s="11"/>
      <c r="I150" s="11"/>
      <c r="J150" s="12" t="str">
        <f t="shared" si="5"/>
        <v/>
      </c>
      <c r="K150" s="13"/>
      <c r="L150" s="4"/>
      <c r="M150" s="4"/>
    </row>
    <row r="151" spans="1:13" ht="19.5" customHeight="1" x14ac:dyDescent="0.3">
      <c r="A151" s="6" t="str">
        <f t="shared" si="4"/>
        <v/>
      </c>
      <c r="B151" s="8"/>
      <c r="C151" s="6"/>
      <c r="D151" s="10" t="str">
        <f>IF(C151&lt;&gt;"",IFERROR(VLOOKUP(C151,'Araç Listesi'!$B$4:$C$303,2,0),"Bulunamadı"),"")</f>
        <v/>
      </c>
      <c r="E151" s="7"/>
      <c r="F151" s="7"/>
      <c r="G151" s="7"/>
      <c r="H151" s="14"/>
      <c r="I151" s="14"/>
      <c r="J151" s="12" t="str">
        <f t="shared" si="5"/>
        <v/>
      </c>
      <c r="K151" s="15"/>
      <c r="L151" s="7"/>
      <c r="M151" s="7"/>
    </row>
    <row r="152" spans="1:13" ht="19.5" customHeight="1" x14ac:dyDescent="0.3">
      <c r="A152" s="3" t="str">
        <f t="shared" si="4"/>
        <v/>
      </c>
      <c r="B152" s="5"/>
      <c r="C152" s="3"/>
      <c r="D152" s="10" t="str">
        <f>IF(C152&lt;&gt;"",IFERROR(VLOOKUP(C152,'Araç Listesi'!$B$4:$C$303,2,0),"Bulunamadı"),"")</f>
        <v/>
      </c>
      <c r="E152" s="4"/>
      <c r="F152" s="4"/>
      <c r="G152" s="4"/>
      <c r="H152" s="11"/>
      <c r="I152" s="11"/>
      <c r="J152" s="12" t="str">
        <f t="shared" si="5"/>
        <v/>
      </c>
      <c r="K152" s="13"/>
      <c r="L152" s="4"/>
      <c r="M152" s="4"/>
    </row>
    <row r="153" spans="1:13" ht="19.5" customHeight="1" x14ac:dyDescent="0.3">
      <c r="A153" s="6" t="str">
        <f t="shared" si="4"/>
        <v/>
      </c>
      <c r="B153" s="8"/>
      <c r="C153" s="6"/>
      <c r="D153" s="10" t="str">
        <f>IF(C153&lt;&gt;"",IFERROR(VLOOKUP(C153,'Araç Listesi'!$B$4:$C$303,2,0),"Bulunamadı"),"")</f>
        <v/>
      </c>
      <c r="E153" s="7"/>
      <c r="F153" s="7"/>
      <c r="G153" s="7"/>
      <c r="H153" s="14"/>
      <c r="I153" s="14"/>
      <c r="J153" s="12" t="str">
        <f t="shared" si="5"/>
        <v/>
      </c>
      <c r="K153" s="15"/>
      <c r="L153" s="7"/>
      <c r="M153" s="7"/>
    </row>
    <row r="154" spans="1:13" ht="19.5" customHeight="1" x14ac:dyDescent="0.3">
      <c r="A154" s="3" t="str">
        <f t="shared" si="4"/>
        <v/>
      </c>
      <c r="B154" s="5"/>
      <c r="C154" s="3"/>
      <c r="D154" s="10" t="str">
        <f>IF(C154&lt;&gt;"",IFERROR(VLOOKUP(C154,'Araç Listesi'!$B$4:$C$303,2,0),"Bulunamadı"),"")</f>
        <v/>
      </c>
      <c r="E154" s="4"/>
      <c r="F154" s="4"/>
      <c r="G154" s="4"/>
      <c r="H154" s="11"/>
      <c r="I154" s="11"/>
      <c r="J154" s="12" t="str">
        <f t="shared" si="5"/>
        <v/>
      </c>
      <c r="K154" s="13"/>
      <c r="L154" s="4"/>
      <c r="M154" s="4"/>
    </row>
    <row r="155" spans="1:13" ht="19.5" customHeight="1" x14ac:dyDescent="0.3">
      <c r="A155" s="6" t="str">
        <f t="shared" si="4"/>
        <v/>
      </c>
      <c r="B155" s="8"/>
      <c r="C155" s="6"/>
      <c r="D155" s="10" t="str">
        <f>IF(C155&lt;&gt;"",IFERROR(VLOOKUP(C155,'Araç Listesi'!$B$4:$C$303,2,0),"Bulunamadı"),"")</f>
        <v/>
      </c>
      <c r="E155" s="7"/>
      <c r="F155" s="7"/>
      <c r="G155" s="7"/>
      <c r="H155" s="14"/>
      <c r="I155" s="14"/>
      <c r="J155" s="12" t="str">
        <f t="shared" si="5"/>
        <v/>
      </c>
      <c r="K155" s="15"/>
      <c r="L155" s="7"/>
      <c r="M155" s="7"/>
    </row>
    <row r="156" spans="1:13" ht="19.5" customHeight="1" x14ac:dyDescent="0.3">
      <c r="A156" s="3" t="str">
        <f t="shared" si="4"/>
        <v/>
      </c>
      <c r="B156" s="5"/>
      <c r="C156" s="3"/>
      <c r="D156" s="10" t="str">
        <f>IF(C156&lt;&gt;"",IFERROR(VLOOKUP(C156,'Araç Listesi'!$B$4:$C$303,2,0),"Bulunamadı"),"")</f>
        <v/>
      </c>
      <c r="E156" s="4"/>
      <c r="F156" s="4"/>
      <c r="G156" s="4"/>
      <c r="H156" s="11"/>
      <c r="I156" s="11"/>
      <c r="J156" s="12" t="str">
        <f t="shared" si="5"/>
        <v/>
      </c>
      <c r="K156" s="13"/>
      <c r="L156" s="4"/>
      <c r="M156" s="4"/>
    </row>
    <row r="157" spans="1:13" ht="19.5" customHeight="1" x14ac:dyDescent="0.3">
      <c r="A157" s="6" t="str">
        <f t="shared" si="4"/>
        <v/>
      </c>
      <c r="B157" s="8"/>
      <c r="C157" s="6"/>
      <c r="D157" s="10" t="str">
        <f>IF(C157&lt;&gt;"",IFERROR(VLOOKUP(C157,'Araç Listesi'!$B$4:$C$303,2,0),"Bulunamadı"),"")</f>
        <v/>
      </c>
      <c r="E157" s="7"/>
      <c r="F157" s="7"/>
      <c r="G157" s="7"/>
      <c r="H157" s="14"/>
      <c r="I157" s="14"/>
      <c r="J157" s="12" t="str">
        <f t="shared" si="5"/>
        <v/>
      </c>
      <c r="K157" s="15"/>
      <c r="L157" s="7"/>
      <c r="M157" s="7"/>
    </row>
    <row r="158" spans="1:13" ht="19.5" customHeight="1" x14ac:dyDescent="0.3">
      <c r="A158" s="3" t="str">
        <f t="shared" si="4"/>
        <v/>
      </c>
      <c r="B158" s="5"/>
      <c r="C158" s="3"/>
      <c r="D158" s="10" t="str">
        <f>IF(C158&lt;&gt;"",IFERROR(VLOOKUP(C158,'Araç Listesi'!$B$4:$C$303,2,0),"Bulunamadı"),"")</f>
        <v/>
      </c>
      <c r="E158" s="4"/>
      <c r="F158" s="4"/>
      <c r="G158" s="4"/>
      <c r="H158" s="11"/>
      <c r="I158" s="11"/>
      <c r="J158" s="12" t="str">
        <f t="shared" si="5"/>
        <v/>
      </c>
      <c r="K158" s="13"/>
      <c r="L158" s="4"/>
      <c r="M158" s="4"/>
    </row>
    <row r="159" spans="1:13" ht="19.5" customHeight="1" x14ac:dyDescent="0.3">
      <c r="A159" s="6" t="str">
        <f t="shared" si="4"/>
        <v/>
      </c>
      <c r="B159" s="8"/>
      <c r="C159" s="6"/>
      <c r="D159" s="10" t="str">
        <f>IF(C159&lt;&gt;"",IFERROR(VLOOKUP(C159,'Araç Listesi'!$B$4:$C$303,2,0),"Bulunamadı"),"")</f>
        <v/>
      </c>
      <c r="E159" s="7"/>
      <c r="F159" s="7"/>
      <c r="G159" s="7"/>
      <c r="H159" s="14"/>
      <c r="I159" s="14"/>
      <c r="J159" s="12" t="str">
        <f t="shared" si="5"/>
        <v/>
      </c>
      <c r="K159" s="15"/>
      <c r="L159" s="7"/>
      <c r="M159" s="7"/>
    </row>
    <row r="160" spans="1:13" ht="19.5" customHeight="1" x14ac:dyDescent="0.3">
      <c r="A160" s="3" t="str">
        <f t="shared" si="4"/>
        <v/>
      </c>
      <c r="B160" s="5"/>
      <c r="C160" s="3"/>
      <c r="D160" s="10" t="str">
        <f>IF(C160&lt;&gt;"",IFERROR(VLOOKUP(C160,'Araç Listesi'!$B$4:$C$303,2,0),"Bulunamadı"),"")</f>
        <v/>
      </c>
      <c r="E160" s="4"/>
      <c r="F160" s="4"/>
      <c r="G160" s="4"/>
      <c r="H160" s="11"/>
      <c r="I160" s="11"/>
      <c r="J160" s="12" t="str">
        <f t="shared" si="5"/>
        <v/>
      </c>
      <c r="K160" s="13"/>
      <c r="L160" s="4"/>
      <c r="M160" s="4"/>
    </row>
    <row r="161" spans="1:13" ht="19.5" customHeight="1" x14ac:dyDescent="0.3">
      <c r="A161" s="6" t="str">
        <f t="shared" si="4"/>
        <v/>
      </c>
      <c r="B161" s="8"/>
      <c r="C161" s="6"/>
      <c r="D161" s="10" t="str">
        <f>IF(C161&lt;&gt;"",IFERROR(VLOOKUP(C161,'Araç Listesi'!$B$4:$C$303,2,0),"Bulunamadı"),"")</f>
        <v/>
      </c>
      <c r="E161" s="7"/>
      <c r="F161" s="7"/>
      <c r="G161" s="7"/>
      <c r="H161" s="14"/>
      <c r="I161" s="14"/>
      <c r="J161" s="12" t="str">
        <f t="shared" si="5"/>
        <v/>
      </c>
      <c r="K161" s="15"/>
      <c r="L161" s="7"/>
      <c r="M161" s="7"/>
    </row>
    <row r="162" spans="1:13" ht="19.5" customHeight="1" x14ac:dyDescent="0.3">
      <c r="A162" s="3" t="str">
        <f t="shared" si="4"/>
        <v/>
      </c>
      <c r="B162" s="5"/>
      <c r="C162" s="3"/>
      <c r="D162" s="10" t="str">
        <f>IF(C162&lt;&gt;"",IFERROR(VLOOKUP(C162,'Araç Listesi'!$B$4:$C$303,2,0),"Bulunamadı"),"")</f>
        <v/>
      </c>
      <c r="E162" s="4"/>
      <c r="F162" s="4"/>
      <c r="G162" s="4"/>
      <c r="H162" s="11"/>
      <c r="I162" s="11"/>
      <c r="J162" s="12" t="str">
        <f t="shared" si="5"/>
        <v/>
      </c>
      <c r="K162" s="13"/>
      <c r="L162" s="4"/>
      <c r="M162" s="4"/>
    </row>
    <row r="163" spans="1:13" ht="19.5" customHeight="1" x14ac:dyDescent="0.3">
      <c r="A163" s="6" t="str">
        <f t="shared" si="4"/>
        <v/>
      </c>
      <c r="B163" s="8"/>
      <c r="C163" s="6"/>
      <c r="D163" s="10" t="str">
        <f>IF(C163&lt;&gt;"",IFERROR(VLOOKUP(C163,'Araç Listesi'!$B$4:$C$303,2,0),"Bulunamadı"),"")</f>
        <v/>
      </c>
      <c r="E163" s="7"/>
      <c r="F163" s="7"/>
      <c r="G163" s="7"/>
      <c r="H163" s="14"/>
      <c r="I163" s="14"/>
      <c r="J163" s="12" t="str">
        <f t="shared" si="5"/>
        <v/>
      </c>
      <c r="K163" s="15"/>
      <c r="L163" s="7"/>
      <c r="M163" s="7"/>
    </row>
    <row r="164" spans="1:13" ht="19.5" customHeight="1" x14ac:dyDescent="0.3">
      <c r="A164" s="3" t="str">
        <f t="shared" si="4"/>
        <v/>
      </c>
      <c r="B164" s="5"/>
      <c r="C164" s="3"/>
      <c r="D164" s="10" t="str">
        <f>IF(C164&lt;&gt;"",IFERROR(VLOOKUP(C164,'Araç Listesi'!$B$4:$C$303,2,0),"Bulunamadı"),"")</f>
        <v/>
      </c>
      <c r="E164" s="4"/>
      <c r="F164" s="4"/>
      <c r="G164" s="4"/>
      <c r="H164" s="11"/>
      <c r="I164" s="11"/>
      <c r="J164" s="12" t="str">
        <f t="shared" si="5"/>
        <v/>
      </c>
      <c r="K164" s="13"/>
      <c r="L164" s="4"/>
      <c r="M164" s="4"/>
    </row>
    <row r="165" spans="1:13" ht="19.5" customHeight="1" x14ac:dyDescent="0.3">
      <c r="A165" s="6" t="str">
        <f t="shared" si="4"/>
        <v/>
      </c>
      <c r="B165" s="8"/>
      <c r="C165" s="6"/>
      <c r="D165" s="10" t="str">
        <f>IF(C165&lt;&gt;"",IFERROR(VLOOKUP(C165,'Araç Listesi'!$B$4:$C$303,2,0),"Bulunamadı"),"")</f>
        <v/>
      </c>
      <c r="E165" s="7"/>
      <c r="F165" s="7"/>
      <c r="G165" s="7"/>
      <c r="H165" s="14"/>
      <c r="I165" s="14"/>
      <c r="J165" s="12" t="str">
        <f t="shared" si="5"/>
        <v/>
      </c>
      <c r="K165" s="15"/>
      <c r="L165" s="7"/>
      <c r="M165" s="7"/>
    </row>
    <row r="166" spans="1:13" ht="19.5" customHeight="1" x14ac:dyDescent="0.3">
      <c r="A166" s="3" t="str">
        <f t="shared" si="4"/>
        <v/>
      </c>
      <c r="B166" s="5"/>
      <c r="C166" s="3"/>
      <c r="D166" s="10" t="str">
        <f>IF(C166&lt;&gt;"",IFERROR(VLOOKUP(C166,'Araç Listesi'!$B$4:$C$303,2,0),"Bulunamadı"),"")</f>
        <v/>
      </c>
      <c r="E166" s="4"/>
      <c r="F166" s="4"/>
      <c r="G166" s="4"/>
      <c r="H166" s="11"/>
      <c r="I166" s="11"/>
      <c r="J166" s="12" t="str">
        <f t="shared" si="5"/>
        <v/>
      </c>
      <c r="K166" s="13"/>
      <c r="L166" s="4"/>
      <c r="M166" s="4"/>
    </row>
    <row r="167" spans="1:13" ht="19.5" customHeight="1" x14ac:dyDescent="0.3">
      <c r="A167" s="6" t="str">
        <f t="shared" si="4"/>
        <v/>
      </c>
      <c r="B167" s="8"/>
      <c r="C167" s="6"/>
      <c r="D167" s="10" t="str">
        <f>IF(C167&lt;&gt;"",IFERROR(VLOOKUP(C167,'Araç Listesi'!$B$4:$C$303,2,0),"Bulunamadı"),"")</f>
        <v/>
      </c>
      <c r="E167" s="7"/>
      <c r="F167" s="7"/>
      <c r="G167" s="7"/>
      <c r="H167" s="14"/>
      <c r="I167" s="14"/>
      <c r="J167" s="12" t="str">
        <f t="shared" si="5"/>
        <v/>
      </c>
      <c r="K167" s="15"/>
      <c r="L167" s="7"/>
      <c r="M167" s="7"/>
    </row>
    <row r="168" spans="1:13" ht="19.5" customHeight="1" x14ac:dyDescent="0.3">
      <c r="A168" s="3" t="str">
        <f t="shared" si="4"/>
        <v/>
      </c>
      <c r="B168" s="5"/>
      <c r="C168" s="3"/>
      <c r="D168" s="10" t="str">
        <f>IF(C168&lt;&gt;"",IFERROR(VLOOKUP(C168,'Araç Listesi'!$B$4:$C$303,2,0),"Bulunamadı"),"")</f>
        <v/>
      </c>
      <c r="E168" s="4"/>
      <c r="F168" s="4"/>
      <c r="G168" s="4"/>
      <c r="H168" s="11"/>
      <c r="I168" s="11"/>
      <c r="J168" s="12" t="str">
        <f t="shared" si="5"/>
        <v/>
      </c>
      <c r="K168" s="13"/>
      <c r="L168" s="4"/>
      <c r="M168" s="4"/>
    </row>
    <row r="169" spans="1:13" ht="19.5" customHeight="1" x14ac:dyDescent="0.3">
      <c r="A169" s="6" t="str">
        <f t="shared" si="4"/>
        <v/>
      </c>
      <c r="B169" s="8"/>
      <c r="C169" s="6"/>
      <c r="D169" s="10" t="str">
        <f>IF(C169&lt;&gt;"",IFERROR(VLOOKUP(C169,'Araç Listesi'!$B$4:$C$303,2,0),"Bulunamadı"),"")</f>
        <v/>
      </c>
      <c r="E169" s="7"/>
      <c r="F169" s="7"/>
      <c r="G169" s="7"/>
      <c r="H169" s="14"/>
      <c r="I169" s="14"/>
      <c r="J169" s="12" t="str">
        <f t="shared" si="5"/>
        <v/>
      </c>
      <c r="K169" s="15"/>
      <c r="L169" s="7"/>
      <c r="M169" s="7"/>
    </row>
    <row r="170" spans="1:13" ht="19.5" customHeight="1" x14ac:dyDescent="0.3">
      <c r="A170" s="3" t="str">
        <f t="shared" si="4"/>
        <v/>
      </c>
      <c r="B170" s="5"/>
      <c r="C170" s="3"/>
      <c r="D170" s="10" t="str">
        <f>IF(C170&lt;&gt;"",IFERROR(VLOOKUP(C170,'Araç Listesi'!$B$4:$C$303,2,0),"Bulunamadı"),"")</f>
        <v/>
      </c>
      <c r="E170" s="4"/>
      <c r="F170" s="4"/>
      <c r="G170" s="4"/>
      <c r="H170" s="11"/>
      <c r="I170" s="11"/>
      <c r="J170" s="12" t="str">
        <f t="shared" si="5"/>
        <v/>
      </c>
      <c r="K170" s="13"/>
      <c r="L170" s="4"/>
      <c r="M170" s="4"/>
    </row>
    <row r="171" spans="1:13" ht="19.5" customHeight="1" x14ac:dyDescent="0.3">
      <c r="A171" s="6" t="str">
        <f t="shared" si="4"/>
        <v/>
      </c>
      <c r="B171" s="8"/>
      <c r="C171" s="6"/>
      <c r="D171" s="10" t="str">
        <f>IF(C171&lt;&gt;"",IFERROR(VLOOKUP(C171,'Araç Listesi'!$B$4:$C$303,2,0),"Bulunamadı"),"")</f>
        <v/>
      </c>
      <c r="E171" s="7"/>
      <c r="F171" s="7"/>
      <c r="G171" s="7"/>
      <c r="H171" s="14"/>
      <c r="I171" s="14"/>
      <c r="J171" s="12" t="str">
        <f t="shared" si="5"/>
        <v/>
      </c>
      <c r="K171" s="15"/>
      <c r="L171" s="7"/>
      <c r="M171" s="7"/>
    </row>
    <row r="172" spans="1:13" ht="19.5" customHeight="1" x14ac:dyDescent="0.3">
      <c r="A172" s="3" t="str">
        <f t="shared" si="4"/>
        <v/>
      </c>
      <c r="B172" s="5"/>
      <c r="C172" s="3"/>
      <c r="D172" s="10" t="str">
        <f>IF(C172&lt;&gt;"",IFERROR(VLOOKUP(C172,'Araç Listesi'!$B$4:$C$303,2,0),"Bulunamadı"),"")</f>
        <v/>
      </c>
      <c r="E172" s="4"/>
      <c r="F172" s="4"/>
      <c r="G172" s="4"/>
      <c r="H172" s="11"/>
      <c r="I172" s="11"/>
      <c r="J172" s="12" t="str">
        <f t="shared" si="5"/>
        <v/>
      </c>
      <c r="K172" s="13"/>
      <c r="L172" s="4"/>
      <c r="M172" s="4"/>
    </row>
    <row r="173" spans="1:13" ht="19.5" customHeight="1" x14ac:dyDescent="0.3">
      <c r="A173" s="6" t="str">
        <f t="shared" si="4"/>
        <v/>
      </c>
      <c r="B173" s="8"/>
      <c r="C173" s="6"/>
      <c r="D173" s="10" t="str">
        <f>IF(C173&lt;&gt;"",IFERROR(VLOOKUP(C173,'Araç Listesi'!$B$4:$C$303,2,0),"Bulunamadı"),"")</f>
        <v/>
      </c>
      <c r="E173" s="7"/>
      <c r="F173" s="7"/>
      <c r="G173" s="7"/>
      <c r="H173" s="14"/>
      <c r="I173" s="14"/>
      <c r="J173" s="12" t="str">
        <f t="shared" si="5"/>
        <v/>
      </c>
      <c r="K173" s="15"/>
      <c r="L173" s="7"/>
      <c r="M173" s="7"/>
    </row>
    <row r="174" spans="1:13" ht="19.5" customHeight="1" x14ac:dyDescent="0.3">
      <c r="A174" s="3" t="str">
        <f t="shared" si="4"/>
        <v/>
      </c>
      <c r="B174" s="5"/>
      <c r="C174" s="3"/>
      <c r="D174" s="10" t="str">
        <f>IF(C174&lt;&gt;"",IFERROR(VLOOKUP(C174,'Araç Listesi'!$B$4:$C$303,2,0),"Bulunamadı"),"")</f>
        <v/>
      </c>
      <c r="E174" s="4"/>
      <c r="F174" s="4"/>
      <c r="G174" s="4"/>
      <c r="H174" s="11"/>
      <c r="I174" s="11"/>
      <c r="J174" s="12" t="str">
        <f t="shared" si="5"/>
        <v/>
      </c>
      <c r="K174" s="13"/>
      <c r="L174" s="4"/>
      <c r="M174" s="4"/>
    </row>
    <row r="175" spans="1:13" ht="19.5" customHeight="1" x14ac:dyDescent="0.3">
      <c r="A175" s="6" t="str">
        <f t="shared" si="4"/>
        <v/>
      </c>
      <c r="B175" s="8"/>
      <c r="C175" s="6"/>
      <c r="D175" s="10" t="str">
        <f>IF(C175&lt;&gt;"",IFERROR(VLOOKUP(C175,'Araç Listesi'!$B$4:$C$303,2,0),"Bulunamadı"),"")</f>
        <v/>
      </c>
      <c r="E175" s="7"/>
      <c r="F175" s="7"/>
      <c r="G175" s="7"/>
      <c r="H175" s="14"/>
      <c r="I175" s="14"/>
      <c r="J175" s="12" t="str">
        <f t="shared" si="5"/>
        <v/>
      </c>
      <c r="K175" s="15"/>
      <c r="L175" s="7"/>
      <c r="M175" s="7"/>
    </row>
    <row r="176" spans="1:13" ht="19.5" customHeight="1" x14ac:dyDescent="0.3">
      <c r="A176" s="3" t="str">
        <f t="shared" si="4"/>
        <v/>
      </c>
      <c r="B176" s="5"/>
      <c r="C176" s="3"/>
      <c r="D176" s="10" t="str">
        <f>IF(C176&lt;&gt;"",IFERROR(VLOOKUP(C176,'Araç Listesi'!$B$4:$C$303,2,0),"Bulunamadı"),"")</f>
        <v/>
      </c>
      <c r="E176" s="4"/>
      <c r="F176" s="4"/>
      <c r="G176" s="4"/>
      <c r="H176" s="11"/>
      <c r="I176" s="11"/>
      <c r="J176" s="12" t="str">
        <f t="shared" si="5"/>
        <v/>
      </c>
      <c r="K176" s="13"/>
      <c r="L176" s="4"/>
      <c r="M176" s="4"/>
    </row>
    <row r="177" spans="1:13" ht="19.5" customHeight="1" x14ac:dyDescent="0.3">
      <c r="A177" s="6" t="str">
        <f t="shared" si="4"/>
        <v/>
      </c>
      <c r="B177" s="8"/>
      <c r="C177" s="6"/>
      <c r="D177" s="10" t="str">
        <f>IF(C177&lt;&gt;"",IFERROR(VLOOKUP(C177,'Araç Listesi'!$B$4:$C$303,2,0),"Bulunamadı"),"")</f>
        <v/>
      </c>
      <c r="E177" s="7"/>
      <c r="F177" s="7"/>
      <c r="G177" s="7"/>
      <c r="H177" s="14"/>
      <c r="I177" s="14"/>
      <c r="J177" s="12" t="str">
        <f t="shared" si="5"/>
        <v/>
      </c>
      <c r="K177" s="15"/>
      <c r="L177" s="7"/>
      <c r="M177" s="7"/>
    </row>
    <row r="178" spans="1:13" ht="19.5" customHeight="1" x14ac:dyDescent="0.3">
      <c r="A178" s="3" t="str">
        <f t="shared" si="4"/>
        <v/>
      </c>
      <c r="B178" s="5"/>
      <c r="C178" s="3"/>
      <c r="D178" s="10" t="str">
        <f>IF(C178&lt;&gt;"",IFERROR(VLOOKUP(C178,'Araç Listesi'!$B$4:$C$303,2,0),"Bulunamadı"),"")</f>
        <v/>
      </c>
      <c r="E178" s="4"/>
      <c r="F178" s="4"/>
      <c r="G178" s="4"/>
      <c r="H178" s="11"/>
      <c r="I178" s="11"/>
      <c r="J178" s="12" t="str">
        <f t="shared" si="5"/>
        <v/>
      </c>
      <c r="K178" s="13"/>
      <c r="L178" s="4"/>
      <c r="M178" s="4"/>
    </row>
    <row r="179" spans="1:13" ht="19.5" customHeight="1" x14ac:dyDescent="0.3">
      <c r="A179" s="6" t="str">
        <f t="shared" si="4"/>
        <v/>
      </c>
      <c r="B179" s="8"/>
      <c r="C179" s="6"/>
      <c r="D179" s="10" t="str">
        <f>IF(C179&lt;&gt;"",IFERROR(VLOOKUP(C179,'Araç Listesi'!$B$4:$C$303,2,0),"Bulunamadı"),"")</f>
        <v/>
      </c>
      <c r="E179" s="7"/>
      <c r="F179" s="7"/>
      <c r="G179" s="7"/>
      <c r="H179" s="14"/>
      <c r="I179" s="14"/>
      <c r="J179" s="12" t="str">
        <f t="shared" si="5"/>
        <v/>
      </c>
      <c r="K179" s="15"/>
      <c r="L179" s="7"/>
      <c r="M179" s="7"/>
    </row>
    <row r="180" spans="1:13" ht="19.5" customHeight="1" x14ac:dyDescent="0.3">
      <c r="A180" s="3" t="str">
        <f t="shared" si="4"/>
        <v/>
      </c>
      <c r="B180" s="5"/>
      <c r="C180" s="3"/>
      <c r="D180" s="10" t="str">
        <f>IF(C180&lt;&gt;"",IFERROR(VLOOKUP(C180,'Araç Listesi'!$B$4:$C$303,2,0),"Bulunamadı"),"")</f>
        <v/>
      </c>
      <c r="E180" s="4"/>
      <c r="F180" s="4"/>
      <c r="G180" s="4"/>
      <c r="H180" s="11"/>
      <c r="I180" s="11"/>
      <c r="J180" s="12" t="str">
        <f t="shared" si="5"/>
        <v/>
      </c>
      <c r="K180" s="13"/>
      <c r="L180" s="4"/>
      <c r="M180" s="4"/>
    </row>
    <row r="181" spans="1:13" ht="19.5" customHeight="1" x14ac:dyDescent="0.3">
      <c r="A181" s="6" t="str">
        <f t="shared" si="4"/>
        <v/>
      </c>
      <c r="B181" s="8"/>
      <c r="C181" s="6"/>
      <c r="D181" s="10" t="str">
        <f>IF(C181&lt;&gt;"",IFERROR(VLOOKUP(C181,'Araç Listesi'!$B$4:$C$303,2,0),"Bulunamadı"),"")</f>
        <v/>
      </c>
      <c r="E181" s="7"/>
      <c r="F181" s="7"/>
      <c r="G181" s="7"/>
      <c r="H181" s="14"/>
      <c r="I181" s="14"/>
      <c r="J181" s="12" t="str">
        <f t="shared" si="5"/>
        <v/>
      </c>
      <c r="K181" s="15"/>
      <c r="L181" s="7"/>
      <c r="M181" s="7"/>
    </row>
    <row r="182" spans="1:13" ht="19.5" customHeight="1" x14ac:dyDescent="0.3">
      <c r="A182" s="3" t="str">
        <f t="shared" si="4"/>
        <v/>
      </c>
      <c r="B182" s="5"/>
      <c r="C182" s="3"/>
      <c r="D182" s="10" t="str">
        <f>IF(C182&lt;&gt;"",IFERROR(VLOOKUP(C182,'Araç Listesi'!$B$4:$C$303,2,0),"Bulunamadı"),"")</f>
        <v/>
      </c>
      <c r="E182" s="4"/>
      <c r="F182" s="4"/>
      <c r="G182" s="4"/>
      <c r="H182" s="11"/>
      <c r="I182" s="11"/>
      <c r="J182" s="12" t="str">
        <f t="shared" si="5"/>
        <v/>
      </c>
      <c r="K182" s="13"/>
      <c r="L182" s="4"/>
      <c r="M182" s="4"/>
    </row>
    <row r="183" spans="1:13" ht="19.5" customHeight="1" x14ac:dyDescent="0.3">
      <c r="A183" s="6" t="str">
        <f t="shared" si="4"/>
        <v/>
      </c>
      <c r="B183" s="8"/>
      <c r="C183" s="6"/>
      <c r="D183" s="10" t="str">
        <f>IF(C183&lt;&gt;"",IFERROR(VLOOKUP(C183,'Araç Listesi'!$B$4:$C$303,2,0),"Bulunamadı"),"")</f>
        <v/>
      </c>
      <c r="E183" s="7"/>
      <c r="F183" s="7"/>
      <c r="G183" s="7"/>
      <c r="H183" s="14"/>
      <c r="I183" s="14"/>
      <c r="J183" s="12" t="str">
        <f t="shared" si="5"/>
        <v/>
      </c>
      <c r="K183" s="15"/>
      <c r="L183" s="7"/>
      <c r="M183" s="7"/>
    </row>
    <row r="184" spans="1:13" ht="19.5" customHeight="1" x14ac:dyDescent="0.3">
      <c r="A184" s="3" t="str">
        <f t="shared" si="4"/>
        <v/>
      </c>
      <c r="B184" s="5"/>
      <c r="C184" s="3"/>
      <c r="D184" s="10" t="str">
        <f>IF(C184&lt;&gt;"",IFERROR(VLOOKUP(C184,'Araç Listesi'!$B$4:$C$303,2,0),"Bulunamadı"),"")</f>
        <v/>
      </c>
      <c r="E184" s="4"/>
      <c r="F184" s="4"/>
      <c r="G184" s="4"/>
      <c r="H184" s="11"/>
      <c r="I184" s="11"/>
      <c r="J184" s="12" t="str">
        <f t="shared" si="5"/>
        <v/>
      </c>
      <c r="K184" s="13"/>
      <c r="L184" s="4"/>
      <c r="M184" s="4"/>
    </row>
    <row r="185" spans="1:13" ht="19.5" customHeight="1" x14ac:dyDescent="0.3">
      <c r="A185" s="6" t="str">
        <f t="shared" si="4"/>
        <v/>
      </c>
      <c r="B185" s="8"/>
      <c r="C185" s="6"/>
      <c r="D185" s="10" t="str">
        <f>IF(C185&lt;&gt;"",IFERROR(VLOOKUP(C185,'Araç Listesi'!$B$4:$C$303,2,0),"Bulunamadı"),"")</f>
        <v/>
      </c>
      <c r="E185" s="7"/>
      <c r="F185" s="7"/>
      <c r="G185" s="7"/>
      <c r="H185" s="14"/>
      <c r="I185" s="14"/>
      <c r="J185" s="12" t="str">
        <f t="shared" si="5"/>
        <v/>
      </c>
      <c r="K185" s="15"/>
      <c r="L185" s="7"/>
      <c r="M185" s="7"/>
    </row>
    <row r="186" spans="1:13" ht="19.5" customHeight="1" x14ac:dyDescent="0.3">
      <c r="A186" s="3" t="str">
        <f t="shared" si="4"/>
        <v/>
      </c>
      <c r="B186" s="5"/>
      <c r="C186" s="3"/>
      <c r="D186" s="10" t="str">
        <f>IF(C186&lt;&gt;"",IFERROR(VLOOKUP(C186,'Araç Listesi'!$B$4:$C$303,2,0),"Bulunamadı"),"")</f>
        <v/>
      </c>
      <c r="E186" s="4"/>
      <c r="F186" s="4"/>
      <c r="G186" s="4"/>
      <c r="H186" s="11"/>
      <c r="I186" s="11"/>
      <c r="J186" s="12" t="str">
        <f t="shared" si="5"/>
        <v/>
      </c>
      <c r="K186" s="13"/>
      <c r="L186" s="4"/>
      <c r="M186" s="4"/>
    </row>
    <row r="187" spans="1:13" ht="19.5" customHeight="1" x14ac:dyDescent="0.3">
      <c r="A187" s="6" t="str">
        <f t="shared" si="4"/>
        <v/>
      </c>
      <c r="B187" s="8"/>
      <c r="C187" s="6"/>
      <c r="D187" s="10" t="str">
        <f>IF(C187&lt;&gt;"",IFERROR(VLOOKUP(C187,'Araç Listesi'!$B$4:$C$303,2,0),"Bulunamadı"),"")</f>
        <v/>
      </c>
      <c r="E187" s="7"/>
      <c r="F187" s="7"/>
      <c r="G187" s="7"/>
      <c r="H187" s="14"/>
      <c r="I187" s="14"/>
      <c r="J187" s="12" t="str">
        <f t="shared" si="5"/>
        <v/>
      </c>
      <c r="K187" s="15"/>
      <c r="L187" s="7"/>
      <c r="M187" s="7"/>
    </row>
    <row r="188" spans="1:13" ht="19.5" customHeight="1" x14ac:dyDescent="0.3">
      <c r="A188" s="3" t="str">
        <f t="shared" si="4"/>
        <v/>
      </c>
      <c r="B188" s="5"/>
      <c r="C188" s="3"/>
      <c r="D188" s="10" t="str">
        <f>IF(C188&lt;&gt;"",IFERROR(VLOOKUP(C188,'Araç Listesi'!$B$4:$C$303,2,0),"Bulunamadı"),"")</f>
        <v/>
      </c>
      <c r="E188" s="4"/>
      <c r="F188" s="4"/>
      <c r="G188" s="4"/>
      <c r="H188" s="11"/>
      <c r="I188" s="11"/>
      <c r="J188" s="12" t="str">
        <f t="shared" si="5"/>
        <v/>
      </c>
      <c r="K188" s="13"/>
      <c r="L188" s="4"/>
      <c r="M188" s="4"/>
    </row>
    <row r="189" spans="1:13" ht="19.5" customHeight="1" x14ac:dyDescent="0.3">
      <c r="A189" s="6" t="str">
        <f t="shared" si="4"/>
        <v/>
      </c>
      <c r="B189" s="8"/>
      <c r="C189" s="6"/>
      <c r="D189" s="10" t="str">
        <f>IF(C189&lt;&gt;"",IFERROR(VLOOKUP(C189,'Araç Listesi'!$B$4:$C$303,2,0),"Bulunamadı"),"")</f>
        <v/>
      </c>
      <c r="E189" s="7"/>
      <c r="F189" s="7"/>
      <c r="G189" s="7"/>
      <c r="H189" s="14"/>
      <c r="I189" s="14"/>
      <c r="J189" s="12" t="str">
        <f t="shared" si="5"/>
        <v/>
      </c>
      <c r="K189" s="15"/>
      <c r="L189" s="7"/>
      <c r="M189" s="7"/>
    </row>
    <row r="190" spans="1:13" ht="19.5" customHeight="1" x14ac:dyDescent="0.3">
      <c r="A190" s="3" t="str">
        <f t="shared" si="4"/>
        <v/>
      </c>
      <c r="B190" s="5"/>
      <c r="C190" s="3"/>
      <c r="D190" s="10" t="str">
        <f>IF(C190&lt;&gt;"",IFERROR(VLOOKUP(C190,'Araç Listesi'!$B$4:$C$303,2,0),"Bulunamadı"),"")</f>
        <v/>
      </c>
      <c r="E190" s="4"/>
      <c r="F190" s="4"/>
      <c r="G190" s="4"/>
      <c r="H190" s="11"/>
      <c r="I190" s="11"/>
      <c r="J190" s="12" t="str">
        <f t="shared" si="5"/>
        <v/>
      </c>
      <c r="K190" s="13"/>
      <c r="L190" s="4"/>
      <c r="M190" s="4"/>
    </row>
    <row r="191" spans="1:13" ht="19.5" customHeight="1" x14ac:dyDescent="0.3">
      <c r="A191" s="6" t="str">
        <f t="shared" si="4"/>
        <v/>
      </c>
      <c r="B191" s="8"/>
      <c r="C191" s="6"/>
      <c r="D191" s="10" t="str">
        <f>IF(C191&lt;&gt;"",IFERROR(VLOOKUP(C191,'Araç Listesi'!$B$4:$C$303,2,0),"Bulunamadı"),"")</f>
        <v/>
      </c>
      <c r="E191" s="7"/>
      <c r="F191" s="7"/>
      <c r="G191" s="7"/>
      <c r="H191" s="14"/>
      <c r="I191" s="14"/>
      <c r="J191" s="12" t="str">
        <f t="shared" si="5"/>
        <v/>
      </c>
      <c r="K191" s="15"/>
      <c r="L191" s="7"/>
      <c r="M191" s="7"/>
    </row>
    <row r="192" spans="1:13" ht="19.5" customHeight="1" x14ac:dyDescent="0.3">
      <c r="A192" s="3" t="str">
        <f t="shared" si="4"/>
        <v/>
      </c>
      <c r="B192" s="5"/>
      <c r="C192" s="3"/>
      <c r="D192" s="10" t="str">
        <f>IF(C192&lt;&gt;"",IFERROR(VLOOKUP(C192,'Araç Listesi'!$B$4:$C$303,2,0),"Bulunamadı"),"")</f>
        <v/>
      </c>
      <c r="E192" s="4"/>
      <c r="F192" s="4"/>
      <c r="G192" s="4"/>
      <c r="H192" s="11"/>
      <c r="I192" s="11"/>
      <c r="J192" s="12" t="str">
        <f t="shared" si="5"/>
        <v/>
      </c>
      <c r="K192" s="13"/>
      <c r="L192" s="4"/>
      <c r="M192" s="4"/>
    </row>
    <row r="193" spans="1:13" ht="19.5" customHeight="1" x14ac:dyDescent="0.3">
      <c r="A193" s="6" t="str">
        <f t="shared" si="4"/>
        <v/>
      </c>
      <c r="B193" s="8"/>
      <c r="C193" s="6"/>
      <c r="D193" s="10" t="str">
        <f>IF(C193&lt;&gt;"",IFERROR(VLOOKUP(C193,'Araç Listesi'!$B$4:$C$303,2,0),"Bulunamadı"),"")</f>
        <v/>
      </c>
      <c r="E193" s="7"/>
      <c r="F193" s="7"/>
      <c r="G193" s="7"/>
      <c r="H193" s="14"/>
      <c r="I193" s="14"/>
      <c r="J193" s="12" t="str">
        <f t="shared" si="5"/>
        <v/>
      </c>
      <c r="K193" s="15"/>
      <c r="L193" s="7"/>
      <c r="M193" s="7"/>
    </row>
    <row r="194" spans="1:13" ht="19.5" customHeight="1" x14ac:dyDescent="0.3">
      <c r="A194" s="3" t="str">
        <f t="shared" si="4"/>
        <v/>
      </c>
      <c r="B194" s="5"/>
      <c r="C194" s="3"/>
      <c r="D194" s="10" t="str">
        <f>IF(C194&lt;&gt;"",IFERROR(VLOOKUP(C194,'Araç Listesi'!$B$4:$C$303,2,0),"Bulunamadı"),"")</f>
        <v/>
      </c>
      <c r="E194" s="4"/>
      <c r="F194" s="4"/>
      <c r="G194" s="4"/>
      <c r="H194" s="11"/>
      <c r="I194" s="11"/>
      <c r="J194" s="12" t="str">
        <f t="shared" si="5"/>
        <v/>
      </c>
      <c r="K194" s="13"/>
      <c r="L194" s="4"/>
      <c r="M194" s="4"/>
    </row>
    <row r="195" spans="1:13" ht="19.5" customHeight="1" x14ac:dyDescent="0.3">
      <c r="A195" s="6" t="str">
        <f t="shared" si="4"/>
        <v/>
      </c>
      <c r="B195" s="8"/>
      <c r="C195" s="6"/>
      <c r="D195" s="10" t="str">
        <f>IF(C195&lt;&gt;"",IFERROR(VLOOKUP(C195,'Araç Listesi'!$B$4:$C$303,2,0),"Bulunamadı"),"")</f>
        <v/>
      </c>
      <c r="E195" s="7"/>
      <c r="F195" s="7"/>
      <c r="G195" s="7"/>
      <c r="H195" s="14"/>
      <c r="I195" s="14"/>
      <c r="J195" s="12" t="str">
        <f t="shared" si="5"/>
        <v/>
      </c>
      <c r="K195" s="15"/>
      <c r="L195" s="7"/>
      <c r="M195" s="7"/>
    </row>
    <row r="196" spans="1:13" ht="19.5" customHeight="1" x14ac:dyDescent="0.3">
      <c r="A196" s="3" t="str">
        <f t="shared" ref="A196:A259" si="6">IF(B196&lt;&gt;"",ROW()-3,"")</f>
        <v/>
      </c>
      <c r="B196" s="5"/>
      <c r="C196" s="3"/>
      <c r="D196" s="10" t="str">
        <f>IF(C196&lt;&gt;"",IFERROR(VLOOKUP(C196,'Araç Listesi'!$B$4:$C$303,2,0),"Bulunamadı"),"")</f>
        <v/>
      </c>
      <c r="E196" s="4"/>
      <c r="F196" s="4"/>
      <c r="G196" s="4"/>
      <c r="H196" s="11"/>
      <c r="I196" s="11"/>
      <c r="J196" s="12" t="str">
        <f t="shared" ref="J196:J259" si="7">IF(AND(H196&lt;&gt;"",I196&lt;&gt;""),IFERROR(IF(I196&gt;H196,(I196-H196)*24,(1+I196-H196)*24),""),"")</f>
        <v/>
      </c>
      <c r="K196" s="13"/>
      <c r="L196" s="4"/>
      <c r="M196" s="4"/>
    </row>
    <row r="197" spans="1:13" ht="19.5" customHeight="1" x14ac:dyDescent="0.3">
      <c r="A197" s="6" t="str">
        <f t="shared" si="6"/>
        <v/>
      </c>
      <c r="B197" s="8"/>
      <c r="C197" s="6"/>
      <c r="D197" s="10" t="str">
        <f>IF(C197&lt;&gt;"",IFERROR(VLOOKUP(C197,'Araç Listesi'!$B$4:$C$303,2,0),"Bulunamadı"),"")</f>
        <v/>
      </c>
      <c r="E197" s="7"/>
      <c r="F197" s="7"/>
      <c r="G197" s="7"/>
      <c r="H197" s="14"/>
      <c r="I197" s="14"/>
      <c r="J197" s="12" t="str">
        <f t="shared" si="7"/>
        <v/>
      </c>
      <c r="K197" s="15"/>
      <c r="L197" s="7"/>
      <c r="M197" s="7"/>
    </row>
    <row r="198" spans="1:13" ht="19.5" customHeight="1" x14ac:dyDescent="0.3">
      <c r="A198" s="3" t="str">
        <f t="shared" si="6"/>
        <v/>
      </c>
      <c r="B198" s="5"/>
      <c r="C198" s="3"/>
      <c r="D198" s="10" t="str">
        <f>IF(C198&lt;&gt;"",IFERROR(VLOOKUP(C198,'Araç Listesi'!$B$4:$C$303,2,0),"Bulunamadı"),"")</f>
        <v/>
      </c>
      <c r="E198" s="4"/>
      <c r="F198" s="4"/>
      <c r="G198" s="4"/>
      <c r="H198" s="11"/>
      <c r="I198" s="11"/>
      <c r="J198" s="12" t="str">
        <f t="shared" si="7"/>
        <v/>
      </c>
      <c r="K198" s="13"/>
      <c r="L198" s="4"/>
      <c r="M198" s="4"/>
    </row>
    <row r="199" spans="1:13" ht="19.5" customHeight="1" x14ac:dyDescent="0.3">
      <c r="A199" s="6" t="str">
        <f t="shared" si="6"/>
        <v/>
      </c>
      <c r="B199" s="8"/>
      <c r="C199" s="6"/>
      <c r="D199" s="10" t="str">
        <f>IF(C199&lt;&gt;"",IFERROR(VLOOKUP(C199,'Araç Listesi'!$B$4:$C$303,2,0),"Bulunamadı"),"")</f>
        <v/>
      </c>
      <c r="E199" s="7"/>
      <c r="F199" s="7"/>
      <c r="G199" s="7"/>
      <c r="H199" s="14"/>
      <c r="I199" s="14"/>
      <c r="J199" s="12" t="str">
        <f t="shared" si="7"/>
        <v/>
      </c>
      <c r="K199" s="15"/>
      <c r="L199" s="7"/>
      <c r="M199" s="7"/>
    </row>
    <row r="200" spans="1:13" ht="19.5" customHeight="1" x14ac:dyDescent="0.3">
      <c r="A200" s="3" t="str">
        <f t="shared" si="6"/>
        <v/>
      </c>
      <c r="B200" s="5"/>
      <c r="C200" s="3"/>
      <c r="D200" s="10" t="str">
        <f>IF(C200&lt;&gt;"",IFERROR(VLOOKUP(C200,'Araç Listesi'!$B$4:$C$303,2,0),"Bulunamadı"),"")</f>
        <v/>
      </c>
      <c r="E200" s="4"/>
      <c r="F200" s="4"/>
      <c r="G200" s="4"/>
      <c r="H200" s="11"/>
      <c r="I200" s="11"/>
      <c r="J200" s="12" t="str">
        <f t="shared" si="7"/>
        <v/>
      </c>
      <c r="K200" s="13"/>
      <c r="L200" s="4"/>
      <c r="M200" s="4"/>
    </row>
    <row r="201" spans="1:13" ht="19.5" customHeight="1" x14ac:dyDescent="0.3">
      <c r="A201" s="6" t="str">
        <f t="shared" si="6"/>
        <v/>
      </c>
      <c r="B201" s="8"/>
      <c r="C201" s="6"/>
      <c r="D201" s="10" t="str">
        <f>IF(C201&lt;&gt;"",IFERROR(VLOOKUP(C201,'Araç Listesi'!$B$4:$C$303,2,0),"Bulunamadı"),"")</f>
        <v/>
      </c>
      <c r="E201" s="7"/>
      <c r="F201" s="7"/>
      <c r="G201" s="7"/>
      <c r="H201" s="14"/>
      <c r="I201" s="14"/>
      <c r="J201" s="12" t="str">
        <f t="shared" si="7"/>
        <v/>
      </c>
      <c r="K201" s="15"/>
      <c r="L201" s="7"/>
      <c r="M201" s="7"/>
    </row>
    <row r="202" spans="1:13" ht="19.5" customHeight="1" x14ac:dyDescent="0.3">
      <c r="A202" s="3" t="str">
        <f t="shared" si="6"/>
        <v/>
      </c>
      <c r="B202" s="5"/>
      <c r="C202" s="3"/>
      <c r="D202" s="10" t="str">
        <f>IF(C202&lt;&gt;"",IFERROR(VLOOKUP(C202,'Araç Listesi'!$B$4:$C$303,2,0),"Bulunamadı"),"")</f>
        <v/>
      </c>
      <c r="E202" s="4"/>
      <c r="F202" s="4"/>
      <c r="G202" s="4"/>
      <c r="H202" s="11"/>
      <c r="I202" s="11"/>
      <c r="J202" s="12" t="str">
        <f t="shared" si="7"/>
        <v/>
      </c>
      <c r="K202" s="13"/>
      <c r="L202" s="4"/>
      <c r="M202" s="4"/>
    </row>
    <row r="203" spans="1:13" ht="19.5" customHeight="1" x14ac:dyDescent="0.3">
      <c r="A203" s="6" t="str">
        <f t="shared" si="6"/>
        <v/>
      </c>
      <c r="B203" s="8"/>
      <c r="C203" s="6"/>
      <c r="D203" s="10" t="str">
        <f>IF(C203&lt;&gt;"",IFERROR(VLOOKUP(C203,'Araç Listesi'!$B$4:$C$303,2,0),"Bulunamadı"),"")</f>
        <v/>
      </c>
      <c r="E203" s="7"/>
      <c r="F203" s="7"/>
      <c r="G203" s="7"/>
      <c r="H203" s="14"/>
      <c r="I203" s="14"/>
      <c r="J203" s="12" t="str">
        <f t="shared" si="7"/>
        <v/>
      </c>
      <c r="K203" s="15"/>
      <c r="L203" s="7"/>
      <c r="M203" s="7"/>
    </row>
    <row r="204" spans="1:13" ht="19.5" customHeight="1" x14ac:dyDescent="0.3">
      <c r="A204" s="3" t="str">
        <f t="shared" si="6"/>
        <v/>
      </c>
      <c r="B204" s="5"/>
      <c r="C204" s="3"/>
      <c r="D204" s="10" t="str">
        <f>IF(C204&lt;&gt;"",IFERROR(VLOOKUP(C204,'Araç Listesi'!$B$4:$C$303,2,0),"Bulunamadı"),"")</f>
        <v/>
      </c>
      <c r="E204" s="4"/>
      <c r="F204" s="4"/>
      <c r="G204" s="4"/>
      <c r="H204" s="11"/>
      <c r="I204" s="11"/>
      <c r="J204" s="12" t="str">
        <f t="shared" si="7"/>
        <v/>
      </c>
      <c r="K204" s="13"/>
      <c r="L204" s="4"/>
      <c r="M204" s="4"/>
    </row>
    <row r="205" spans="1:13" ht="19.5" customHeight="1" x14ac:dyDescent="0.3">
      <c r="A205" s="6" t="str">
        <f t="shared" si="6"/>
        <v/>
      </c>
      <c r="B205" s="8"/>
      <c r="C205" s="6"/>
      <c r="D205" s="10" t="str">
        <f>IF(C205&lt;&gt;"",IFERROR(VLOOKUP(C205,'Araç Listesi'!$B$4:$C$303,2,0),"Bulunamadı"),"")</f>
        <v/>
      </c>
      <c r="E205" s="7"/>
      <c r="F205" s="7"/>
      <c r="G205" s="7"/>
      <c r="H205" s="14"/>
      <c r="I205" s="14"/>
      <c r="J205" s="12" t="str">
        <f t="shared" si="7"/>
        <v/>
      </c>
      <c r="K205" s="15"/>
      <c r="L205" s="7"/>
      <c r="M205" s="7"/>
    </row>
    <row r="206" spans="1:13" ht="19.5" customHeight="1" x14ac:dyDescent="0.3">
      <c r="A206" s="3" t="str">
        <f t="shared" si="6"/>
        <v/>
      </c>
      <c r="B206" s="5"/>
      <c r="C206" s="3"/>
      <c r="D206" s="10" t="str">
        <f>IF(C206&lt;&gt;"",IFERROR(VLOOKUP(C206,'Araç Listesi'!$B$4:$C$303,2,0),"Bulunamadı"),"")</f>
        <v/>
      </c>
      <c r="E206" s="4"/>
      <c r="F206" s="4"/>
      <c r="G206" s="4"/>
      <c r="H206" s="11"/>
      <c r="I206" s="11"/>
      <c r="J206" s="12" t="str">
        <f t="shared" si="7"/>
        <v/>
      </c>
      <c r="K206" s="13"/>
      <c r="L206" s="4"/>
      <c r="M206" s="4"/>
    </row>
    <row r="207" spans="1:13" ht="19.5" customHeight="1" x14ac:dyDescent="0.3">
      <c r="A207" s="6" t="str">
        <f t="shared" si="6"/>
        <v/>
      </c>
      <c r="B207" s="8"/>
      <c r="C207" s="6"/>
      <c r="D207" s="10" t="str">
        <f>IF(C207&lt;&gt;"",IFERROR(VLOOKUP(C207,'Araç Listesi'!$B$4:$C$303,2,0),"Bulunamadı"),"")</f>
        <v/>
      </c>
      <c r="E207" s="7"/>
      <c r="F207" s="7"/>
      <c r="G207" s="7"/>
      <c r="H207" s="14"/>
      <c r="I207" s="14"/>
      <c r="J207" s="12" t="str">
        <f t="shared" si="7"/>
        <v/>
      </c>
      <c r="K207" s="15"/>
      <c r="L207" s="7"/>
      <c r="M207" s="7"/>
    </row>
    <row r="208" spans="1:13" ht="19.5" customHeight="1" x14ac:dyDescent="0.3">
      <c r="A208" s="3" t="str">
        <f t="shared" si="6"/>
        <v/>
      </c>
      <c r="B208" s="5"/>
      <c r="C208" s="3"/>
      <c r="D208" s="10" t="str">
        <f>IF(C208&lt;&gt;"",IFERROR(VLOOKUP(C208,'Araç Listesi'!$B$4:$C$303,2,0),"Bulunamadı"),"")</f>
        <v/>
      </c>
      <c r="E208" s="4"/>
      <c r="F208" s="4"/>
      <c r="G208" s="4"/>
      <c r="H208" s="11"/>
      <c r="I208" s="11"/>
      <c r="J208" s="12" t="str">
        <f t="shared" si="7"/>
        <v/>
      </c>
      <c r="K208" s="13"/>
      <c r="L208" s="4"/>
      <c r="M208" s="4"/>
    </row>
    <row r="209" spans="1:13" ht="19.5" customHeight="1" x14ac:dyDescent="0.3">
      <c r="A209" s="6" t="str">
        <f t="shared" si="6"/>
        <v/>
      </c>
      <c r="B209" s="8"/>
      <c r="C209" s="6"/>
      <c r="D209" s="10" t="str">
        <f>IF(C209&lt;&gt;"",IFERROR(VLOOKUP(C209,'Araç Listesi'!$B$4:$C$303,2,0),"Bulunamadı"),"")</f>
        <v/>
      </c>
      <c r="E209" s="7"/>
      <c r="F209" s="7"/>
      <c r="G209" s="7"/>
      <c r="H209" s="14"/>
      <c r="I209" s="14"/>
      <c r="J209" s="12" t="str">
        <f t="shared" si="7"/>
        <v/>
      </c>
      <c r="K209" s="15"/>
      <c r="L209" s="7"/>
      <c r="M209" s="7"/>
    </row>
    <row r="210" spans="1:13" ht="19.5" customHeight="1" x14ac:dyDescent="0.3">
      <c r="A210" s="3" t="str">
        <f t="shared" si="6"/>
        <v/>
      </c>
      <c r="B210" s="5"/>
      <c r="C210" s="3"/>
      <c r="D210" s="10" t="str">
        <f>IF(C210&lt;&gt;"",IFERROR(VLOOKUP(C210,'Araç Listesi'!$B$4:$C$303,2,0),"Bulunamadı"),"")</f>
        <v/>
      </c>
      <c r="E210" s="4"/>
      <c r="F210" s="4"/>
      <c r="G210" s="4"/>
      <c r="H210" s="11"/>
      <c r="I210" s="11"/>
      <c r="J210" s="12" t="str">
        <f t="shared" si="7"/>
        <v/>
      </c>
      <c r="K210" s="13"/>
      <c r="L210" s="4"/>
      <c r="M210" s="4"/>
    </row>
    <row r="211" spans="1:13" ht="19.5" customHeight="1" x14ac:dyDescent="0.3">
      <c r="A211" s="6" t="str">
        <f t="shared" si="6"/>
        <v/>
      </c>
      <c r="B211" s="8"/>
      <c r="C211" s="6"/>
      <c r="D211" s="10" t="str">
        <f>IF(C211&lt;&gt;"",IFERROR(VLOOKUP(C211,'Araç Listesi'!$B$4:$C$303,2,0),"Bulunamadı"),"")</f>
        <v/>
      </c>
      <c r="E211" s="7"/>
      <c r="F211" s="7"/>
      <c r="G211" s="7"/>
      <c r="H211" s="14"/>
      <c r="I211" s="14"/>
      <c r="J211" s="12" t="str">
        <f t="shared" si="7"/>
        <v/>
      </c>
      <c r="K211" s="15"/>
      <c r="L211" s="7"/>
      <c r="M211" s="7"/>
    </row>
    <row r="212" spans="1:13" ht="19.5" customHeight="1" x14ac:dyDescent="0.3">
      <c r="A212" s="3" t="str">
        <f t="shared" si="6"/>
        <v/>
      </c>
      <c r="B212" s="5"/>
      <c r="C212" s="3"/>
      <c r="D212" s="10" t="str">
        <f>IF(C212&lt;&gt;"",IFERROR(VLOOKUP(C212,'Araç Listesi'!$B$4:$C$303,2,0),"Bulunamadı"),"")</f>
        <v/>
      </c>
      <c r="E212" s="4"/>
      <c r="F212" s="4"/>
      <c r="G212" s="4"/>
      <c r="H212" s="11"/>
      <c r="I212" s="11"/>
      <c r="J212" s="12" t="str">
        <f t="shared" si="7"/>
        <v/>
      </c>
      <c r="K212" s="13"/>
      <c r="L212" s="4"/>
      <c r="M212" s="4"/>
    </row>
    <row r="213" spans="1:13" ht="19.5" customHeight="1" x14ac:dyDescent="0.3">
      <c r="A213" s="6" t="str">
        <f t="shared" si="6"/>
        <v/>
      </c>
      <c r="B213" s="8"/>
      <c r="C213" s="6"/>
      <c r="D213" s="10" t="str">
        <f>IF(C213&lt;&gt;"",IFERROR(VLOOKUP(C213,'Araç Listesi'!$B$4:$C$303,2,0),"Bulunamadı"),"")</f>
        <v/>
      </c>
      <c r="E213" s="7"/>
      <c r="F213" s="7"/>
      <c r="G213" s="7"/>
      <c r="H213" s="14"/>
      <c r="I213" s="14"/>
      <c r="J213" s="12" t="str">
        <f t="shared" si="7"/>
        <v/>
      </c>
      <c r="K213" s="15"/>
      <c r="L213" s="7"/>
      <c r="M213" s="7"/>
    </row>
    <row r="214" spans="1:13" ht="19.5" customHeight="1" x14ac:dyDescent="0.3">
      <c r="A214" s="3" t="str">
        <f t="shared" si="6"/>
        <v/>
      </c>
      <c r="B214" s="5"/>
      <c r="C214" s="3"/>
      <c r="D214" s="10" t="str">
        <f>IF(C214&lt;&gt;"",IFERROR(VLOOKUP(C214,'Araç Listesi'!$B$4:$C$303,2,0),"Bulunamadı"),"")</f>
        <v/>
      </c>
      <c r="E214" s="4"/>
      <c r="F214" s="4"/>
      <c r="G214" s="4"/>
      <c r="H214" s="11"/>
      <c r="I214" s="11"/>
      <c r="J214" s="12" t="str">
        <f t="shared" si="7"/>
        <v/>
      </c>
      <c r="K214" s="13"/>
      <c r="L214" s="4"/>
      <c r="M214" s="4"/>
    </row>
    <row r="215" spans="1:13" ht="19.5" customHeight="1" x14ac:dyDescent="0.3">
      <c r="A215" s="6" t="str">
        <f t="shared" si="6"/>
        <v/>
      </c>
      <c r="B215" s="8"/>
      <c r="C215" s="6"/>
      <c r="D215" s="10" t="str">
        <f>IF(C215&lt;&gt;"",IFERROR(VLOOKUP(C215,'Araç Listesi'!$B$4:$C$303,2,0),"Bulunamadı"),"")</f>
        <v/>
      </c>
      <c r="E215" s="7"/>
      <c r="F215" s="7"/>
      <c r="G215" s="7"/>
      <c r="H215" s="14"/>
      <c r="I215" s="14"/>
      <c r="J215" s="12" t="str">
        <f t="shared" si="7"/>
        <v/>
      </c>
      <c r="K215" s="15"/>
      <c r="L215" s="7"/>
      <c r="M215" s="7"/>
    </row>
    <row r="216" spans="1:13" ht="19.5" customHeight="1" x14ac:dyDescent="0.3">
      <c r="A216" s="3" t="str">
        <f t="shared" si="6"/>
        <v/>
      </c>
      <c r="B216" s="5"/>
      <c r="C216" s="3"/>
      <c r="D216" s="10" t="str">
        <f>IF(C216&lt;&gt;"",IFERROR(VLOOKUP(C216,'Araç Listesi'!$B$4:$C$303,2,0),"Bulunamadı"),"")</f>
        <v/>
      </c>
      <c r="E216" s="4"/>
      <c r="F216" s="4"/>
      <c r="G216" s="4"/>
      <c r="H216" s="11"/>
      <c r="I216" s="11"/>
      <c r="J216" s="12" t="str">
        <f t="shared" si="7"/>
        <v/>
      </c>
      <c r="K216" s="13"/>
      <c r="L216" s="4"/>
      <c r="M216" s="4"/>
    </row>
    <row r="217" spans="1:13" ht="19.5" customHeight="1" x14ac:dyDescent="0.3">
      <c r="A217" s="6" t="str">
        <f t="shared" si="6"/>
        <v/>
      </c>
      <c r="B217" s="8"/>
      <c r="C217" s="6"/>
      <c r="D217" s="10" t="str">
        <f>IF(C217&lt;&gt;"",IFERROR(VLOOKUP(C217,'Araç Listesi'!$B$4:$C$303,2,0),"Bulunamadı"),"")</f>
        <v/>
      </c>
      <c r="E217" s="7"/>
      <c r="F217" s="7"/>
      <c r="G217" s="7"/>
      <c r="H217" s="14"/>
      <c r="I217" s="14"/>
      <c r="J217" s="12" t="str">
        <f t="shared" si="7"/>
        <v/>
      </c>
      <c r="K217" s="15"/>
      <c r="L217" s="7"/>
      <c r="M217" s="7"/>
    </row>
    <row r="218" spans="1:13" ht="19.5" customHeight="1" x14ac:dyDescent="0.3">
      <c r="A218" s="3" t="str">
        <f t="shared" si="6"/>
        <v/>
      </c>
      <c r="B218" s="5"/>
      <c r="C218" s="3"/>
      <c r="D218" s="10" t="str">
        <f>IF(C218&lt;&gt;"",IFERROR(VLOOKUP(C218,'Araç Listesi'!$B$4:$C$303,2,0),"Bulunamadı"),"")</f>
        <v/>
      </c>
      <c r="E218" s="4"/>
      <c r="F218" s="4"/>
      <c r="G218" s="4"/>
      <c r="H218" s="11"/>
      <c r="I218" s="11"/>
      <c r="J218" s="12" t="str">
        <f t="shared" si="7"/>
        <v/>
      </c>
      <c r="K218" s="13"/>
      <c r="L218" s="4"/>
      <c r="M218" s="4"/>
    </row>
    <row r="219" spans="1:13" ht="19.5" customHeight="1" x14ac:dyDescent="0.3">
      <c r="A219" s="6" t="str">
        <f t="shared" si="6"/>
        <v/>
      </c>
      <c r="B219" s="8"/>
      <c r="C219" s="6"/>
      <c r="D219" s="10" t="str">
        <f>IF(C219&lt;&gt;"",IFERROR(VLOOKUP(C219,'Araç Listesi'!$B$4:$C$303,2,0),"Bulunamadı"),"")</f>
        <v/>
      </c>
      <c r="E219" s="7"/>
      <c r="F219" s="7"/>
      <c r="G219" s="7"/>
      <c r="H219" s="14"/>
      <c r="I219" s="14"/>
      <c r="J219" s="12" t="str">
        <f t="shared" si="7"/>
        <v/>
      </c>
      <c r="K219" s="15"/>
      <c r="L219" s="7"/>
      <c r="M219" s="7"/>
    </row>
    <row r="220" spans="1:13" ht="19.5" customHeight="1" x14ac:dyDescent="0.3">
      <c r="A220" s="3" t="str">
        <f t="shared" si="6"/>
        <v/>
      </c>
      <c r="B220" s="5"/>
      <c r="C220" s="3"/>
      <c r="D220" s="10" t="str">
        <f>IF(C220&lt;&gt;"",IFERROR(VLOOKUP(C220,'Araç Listesi'!$B$4:$C$303,2,0),"Bulunamadı"),"")</f>
        <v/>
      </c>
      <c r="E220" s="4"/>
      <c r="F220" s="4"/>
      <c r="G220" s="4"/>
      <c r="H220" s="11"/>
      <c r="I220" s="11"/>
      <c r="J220" s="12" t="str">
        <f t="shared" si="7"/>
        <v/>
      </c>
      <c r="K220" s="13"/>
      <c r="L220" s="4"/>
      <c r="M220" s="4"/>
    </row>
    <row r="221" spans="1:13" ht="19.5" customHeight="1" x14ac:dyDescent="0.3">
      <c r="A221" s="6" t="str">
        <f t="shared" si="6"/>
        <v/>
      </c>
      <c r="B221" s="8"/>
      <c r="C221" s="6"/>
      <c r="D221" s="10" t="str">
        <f>IF(C221&lt;&gt;"",IFERROR(VLOOKUP(C221,'Araç Listesi'!$B$4:$C$303,2,0),"Bulunamadı"),"")</f>
        <v/>
      </c>
      <c r="E221" s="7"/>
      <c r="F221" s="7"/>
      <c r="G221" s="7"/>
      <c r="H221" s="14"/>
      <c r="I221" s="14"/>
      <c r="J221" s="12" t="str">
        <f t="shared" si="7"/>
        <v/>
      </c>
      <c r="K221" s="15"/>
      <c r="L221" s="7"/>
      <c r="M221" s="7"/>
    </row>
    <row r="222" spans="1:13" ht="19.5" customHeight="1" x14ac:dyDescent="0.3">
      <c r="A222" s="3" t="str">
        <f t="shared" si="6"/>
        <v/>
      </c>
      <c r="B222" s="5"/>
      <c r="C222" s="3"/>
      <c r="D222" s="10" t="str">
        <f>IF(C222&lt;&gt;"",IFERROR(VLOOKUP(C222,'Araç Listesi'!$B$4:$C$303,2,0),"Bulunamadı"),"")</f>
        <v/>
      </c>
      <c r="E222" s="4"/>
      <c r="F222" s="4"/>
      <c r="G222" s="4"/>
      <c r="H222" s="11"/>
      <c r="I222" s="11"/>
      <c r="J222" s="12" t="str">
        <f t="shared" si="7"/>
        <v/>
      </c>
      <c r="K222" s="13"/>
      <c r="L222" s="4"/>
      <c r="M222" s="4"/>
    </row>
    <row r="223" spans="1:13" ht="19.5" customHeight="1" x14ac:dyDescent="0.3">
      <c r="A223" s="6" t="str">
        <f t="shared" si="6"/>
        <v/>
      </c>
      <c r="B223" s="8"/>
      <c r="C223" s="6"/>
      <c r="D223" s="10" t="str">
        <f>IF(C223&lt;&gt;"",IFERROR(VLOOKUP(C223,'Araç Listesi'!$B$4:$C$303,2,0),"Bulunamadı"),"")</f>
        <v/>
      </c>
      <c r="E223" s="7"/>
      <c r="F223" s="7"/>
      <c r="G223" s="7"/>
      <c r="H223" s="14"/>
      <c r="I223" s="14"/>
      <c r="J223" s="12" t="str">
        <f t="shared" si="7"/>
        <v/>
      </c>
      <c r="K223" s="15"/>
      <c r="L223" s="7"/>
      <c r="M223" s="7"/>
    </row>
    <row r="224" spans="1:13" ht="19.5" customHeight="1" x14ac:dyDescent="0.3">
      <c r="A224" s="3" t="str">
        <f t="shared" si="6"/>
        <v/>
      </c>
      <c r="B224" s="5"/>
      <c r="C224" s="3"/>
      <c r="D224" s="10" t="str">
        <f>IF(C224&lt;&gt;"",IFERROR(VLOOKUP(C224,'Araç Listesi'!$B$4:$C$303,2,0),"Bulunamadı"),"")</f>
        <v/>
      </c>
      <c r="E224" s="4"/>
      <c r="F224" s="4"/>
      <c r="G224" s="4"/>
      <c r="H224" s="11"/>
      <c r="I224" s="11"/>
      <c r="J224" s="12" t="str">
        <f t="shared" si="7"/>
        <v/>
      </c>
      <c r="K224" s="13"/>
      <c r="L224" s="4"/>
      <c r="M224" s="4"/>
    </row>
    <row r="225" spans="1:13" ht="19.5" customHeight="1" x14ac:dyDescent="0.3">
      <c r="A225" s="6" t="str">
        <f t="shared" si="6"/>
        <v/>
      </c>
      <c r="B225" s="8"/>
      <c r="C225" s="6"/>
      <c r="D225" s="10" t="str">
        <f>IF(C225&lt;&gt;"",IFERROR(VLOOKUP(C225,'Araç Listesi'!$B$4:$C$303,2,0),"Bulunamadı"),"")</f>
        <v/>
      </c>
      <c r="E225" s="7"/>
      <c r="F225" s="7"/>
      <c r="G225" s="7"/>
      <c r="H225" s="14"/>
      <c r="I225" s="14"/>
      <c r="J225" s="12" t="str">
        <f t="shared" si="7"/>
        <v/>
      </c>
      <c r="K225" s="15"/>
      <c r="L225" s="7"/>
      <c r="M225" s="7"/>
    </row>
    <row r="226" spans="1:13" ht="19.5" customHeight="1" x14ac:dyDescent="0.3">
      <c r="A226" s="3" t="str">
        <f t="shared" si="6"/>
        <v/>
      </c>
      <c r="B226" s="5"/>
      <c r="C226" s="3"/>
      <c r="D226" s="10" t="str">
        <f>IF(C226&lt;&gt;"",IFERROR(VLOOKUP(C226,'Araç Listesi'!$B$4:$C$303,2,0),"Bulunamadı"),"")</f>
        <v/>
      </c>
      <c r="E226" s="4"/>
      <c r="F226" s="4"/>
      <c r="G226" s="4"/>
      <c r="H226" s="11"/>
      <c r="I226" s="11"/>
      <c r="J226" s="12" t="str">
        <f t="shared" si="7"/>
        <v/>
      </c>
      <c r="K226" s="13"/>
      <c r="L226" s="4"/>
      <c r="M226" s="4"/>
    </row>
    <row r="227" spans="1:13" ht="19.5" customHeight="1" x14ac:dyDescent="0.3">
      <c r="A227" s="6" t="str">
        <f t="shared" si="6"/>
        <v/>
      </c>
      <c r="B227" s="8"/>
      <c r="C227" s="6"/>
      <c r="D227" s="10" t="str">
        <f>IF(C227&lt;&gt;"",IFERROR(VLOOKUP(C227,'Araç Listesi'!$B$4:$C$303,2,0),"Bulunamadı"),"")</f>
        <v/>
      </c>
      <c r="E227" s="7"/>
      <c r="F227" s="7"/>
      <c r="G227" s="7"/>
      <c r="H227" s="14"/>
      <c r="I227" s="14"/>
      <c r="J227" s="12" t="str">
        <f t="shared" si="7"/>
        <v/>
      </c>
      <c r="K227" s="15"/>
      <c r="L227" s="7"/>
      <c r="M227" s="7"/>
    </row>
    <row r="228" spans="1:13" ht="19.5" customHeight="1" x14ac:dyDescent="0.3">
      <c r="A228" s="3" t="str">
        <f t="shared" si="6"/>
        <v/>
      </c>
      <c r="B228" s="5"/>
      <c r="C228" s="3"/>
      <c r="D228" s="10" t="str">
        <f>IF(C228&lt;&gt;"",IFERROR(VLOOKUP(C228,'Araç Listesi'!$B$4:$C$303,2,0),"Bulunamadı"),"")</f>
        <v/>
      </c>
      <c r="E228" s="4"/>
      <c r="F228" s="4"/>
      <c r="G228" s="4"/>
      <c r="H228" s="11"/>
      <c r="I228" s="11"/>
      <c r="J228" s="12" t="str">
        <f t="shared" si="7"/>
        <v/>
      </c>
      <c r="K228" s="13"/>
      <c r="L228" s="4"/>
      <c r="M228" s="4"/>
    </row>
    <row r="229" spans="1:13" ht="19.5" customHeight="1" x14ac:dyDescent="0.3">
      <c r="A229" s="6" t="str">
        <f t="shared" si="6"/>
        <v/>
      </c>
      <c r="B229" s="8"/>
      <c r="C229" s="6"/>
      <c r="D229" s="10" t="str">
        <f>IF(C229&lt;&gt;"",IFERROR(VLOOKUP(C229,'Araç Listesi'!$B$4:$C$303,2,0),"Bulunamadı"),"")</f>
        <v/>
      </c>
      <c r="E229" s="7"/>
      <c r="F229" s="7"/>
      <c r="G229" s="7"/>
      <c r="H229" s="14"/>
      <c r="I229" s="14"/>
      <c r="J229" s="12" t="str">
        <f t="shared" si="7"/>
        <v/>
      </c>
      <c r="K229" s="15"/>
      <c r="L229" s="7"/>
      <c r="M229" s="7"/>
    </row>
    <row r="230" spans="1:13" ht="19.5" customHeight="1" x14ac:dyDescent="0.3">
      <c r="A230" s="3" t="str">
        <f t="shared" si="6"/>
        <v/>
      </c>
      <c r="B230" s="5"/>
      <c r="C230" s="3"/>
      <c r="D230" s="10" t="str">
        <f>IF(C230&lt;&gt;"",IFERROR(VLOOKUP(C230,'Araç Listesi'!$B$4:$C$303,2,0),"Bulunamadı"),"")</f>
        <v/>
      </c>
      <c r="E230" s="4"/>
      <c r="F230" s="4"/>
      <c r="G230" s="4"/>
      <c r="H230" s="11"/>
      <c r="I230" s="11"/>
      <c r="J230" s="12" t="str">
        <f t="shared" si="7"/>
        <v/>
      </c>
      <c r="K230" s="13"/>
      <c r="L230" s="4"/>
      <c r="M230" s="4"/>
    </row>
    <row r="231" spans="1:13" ht="19.5" customHeight="1" x14ac:dyDescent="0.3">
      <c r="A231" s="6" t="str">
        <f t="shared" si="6"/>
        <v/>
      </c>
      <c r="B231" s="8"/>
      <c r="C231" s="6"/>
      <c r="D231" s="10" t="str">
        <f>IF(C231&lt;&gt;"",IFERROR(VLOOKUP(C231,'Araç Listesi'!$B$4:$C$303,2,0),"Bulunamadı"),"")</f>
        <v/>
      </c>
      <c r="E231" s="7"/>
      <c r="F231" s="7"/>
      <c r="G231" s="7"/>
      <c r="H231" s="14"/>
      <c r="I231" s="14"/>
      <c r="J231" s="12" t="str">
        <f t="shared" si="7"/>
        <v/>
      </c>
      <c r="K231" s="15"/>
      <c r="L231" s="7"/>
      <c r="M231" s="7"/>
    </row>
    <row r="232" spans="1:13" ht="19.5" customHeight="1" x14ac:dyDescent="0.3">
      <c r="A232" s="3" t="str">
        <f t="shared" si="6"/>
        <v/>
      </c>
      <c r="B232" s="5"/>
      <c r="C232" s="3"/>
      <c r="D232" s="10" t="str">
        <f>IF(C232&lt;&gt;"",IFERROR(VLOOKUP(C232,'Araç Listesi'!$B$4:$C$303,2,0),"Bulunamadı"),"")</f>
        <v/>
      </c>
      <c r="E232" s="4"/>
      <c r="F232" s="4"/>
      <c r="G232" s="4"/>
      <c r="H232" s="11"/>
      <c r="I232" s="11"/>
      <c r="J232" s="12" t="str">
        <f t="shared" si="7"/>
        <v/>
      </c>
      <c r="K232" s="13"/>
      <c r="L232" s="4"/>
      <c r="M232" s="4"/>
    </row>
    <row r="233" spans="1:13" ht="19.5" customHeight="1" x14ac:dyDescent="0.3">
      <c r="A233" s="6" t="str">
        <f t="shared" si="6"/>
        <v/>
      </c>
      <c r="B233" s="8"/>
      <c r="C233" s="6"/>
      <c r="D233" s="10" t="str">
        <f>IF(C233&lt;&gt;"",IFERROR(VLOOKUP(C233,'Araç Listesi'!$B$4:$C$303,2,0),"Bulunamadı"),"")</f>
        <v/>
      </c>
      <c r="E233" s="7"/>
      <c r="F233" s="7"/>
      <c r="G233" s="7"/>
      <c r="H233" s="14"/>
      <c r="I233" s="14"/>
      <c r="J233" s="12" t="str">
        <f t="shared" si="7"/>
        <v/>
      </c>
      <c r="K233" s="15"/>
      <c r="L233" s="7"/>
      <c r="M233" s="7"/>
    </row>
    <row r="234" spans="1:13" ht="19.5" customHeight="1" x14ac:dyDescent="0.3">
      <c r="A234" s="3" t="str">
        <f t="shared" si="6"/>
        <v/>
      </c>
      <c r="B234" s="5"/>
      <c r="C234" s="3"/>
      <c r="D234" s="10" t="str">
        <f>IF(C234&lt;&gt;"",IFERROR(VLOOKUP(C234,'Araç Listesi'!$B$4:$C$303,2,0),"Bulunamadı"),"")</f>
        <v/>
      </c>
      <c r="E234" s="4"/>
      <c r="F234" s="4"/>
      <c r="G234" s="4"/>
      <c r="H234" s="11"/>
      <c r="I234" s="11"/>
      <c r="J234" s="12" t="str">
        <f t="shared" si="7"/>
        <v/>
      </c>
      <c r="K234" s="13"/>
      <c r="L234" s="4"/>
      <c r="M234" s="4"/>
    </row>
    <row r="235" spans="1:13" ht="19.5" customHeight="1" x14ac:dyDescent="0.3">
      <c r="A235" s="6" t="str">
        <f t="shared" si="6"/>
        <v/>
      </c>
      <c r="B235" s="8"/>
      <c r="C235" s="6"/>
      <c r="D235" s="10" t="str">
        <f>IF(C235&lt;&gt;"",IFERROR(VLOOKUP(C235,'Araç Listesi'!$B$4:$C$303,2,0),"Bulunamadı"),"")</f>
        <v/>
      </c>
      <c r="E235" s="7"/>
      <c r="F235" s="7"/>
      <c r="G235" s="7"/>
      <c r="H235" s="14"/>
      <c r="I235" s="14"/>
      <c r="J235" s="12" t="str">
        <f t="shared" si="7"/>
        <v/>
      </c>
      <c r="K235" s="15"/>
      <c r="L235" s="7"/>
      <c r="M235" s="7"/>
    </row>
    <row r="236" spans="1:13" ht="19.5" customHeight="1" x14ac:dyDescent="0.3">
      <c r="A236" s="3" t="str">
        <f t="shared" si="6"/>
        <v/>
      </c>
      <c r="B236" s="5"/>
      <c r="C236" s="3"/>
      <c r="D236" s="10" t="str">
        <f>IF(C236&lt;&gt;"",IFERROR(VLOOKUP(C236,'Araç Listesi'!$B$4:$C$303,2,0),"Bulunamadı"),"")</f>
        <v/>
      </c>
      <c r="E236" s="4"/>
      <c r="F236" s="4"/>
      <c r="G236" s="4"/>
      <c r="H236" s="11"/>
      <c r="I236" s="11"/>
      <c r="J236" s="12" t="str">
        <f t="shared" si="7"/>
        <v/>
      </c>
      <c r="K236" s="13"/>
      <c r="L236" s="4"/>
      <c r="M236" s="4"/>
    </row>
    <row r="237" spans="1:13" ht="19.5" customHeight="1" x14ac:dyDescent="0.3">
      <c r="A237" s="6" t="str">
        <f t="shared" si="6"/>
        <v/>
      </c>
      <c r="B237" s="8"/>
      <c r="C237" s="6"/>
      <c r="D237" s="10" t="str">
        <f>IF(C237&lt;&gt;"",IFERROR(VLOOKUP(C237,'Araç Listesi'!$B$4:$C$303,2,0),"Bulunamadı"),"")</f>
        <v/>
      </c>
      <c r="E237" s="7"/>
      <c r="F237" s="7"/>
      <c r="G237" s="7"/>
      <c r="H237" s="14"/>
      <c r="I237" s="14"/>
      <c r="J237" s="12" t="str">
        <f t="shared" si="7"/>
        <v/>
      </c>
      <c r="K237" s="15"/>
      <c r="L237" s="7"/>
      <c r="M237" s="7"/>
    </row>
    <row r="238" spans="1:13" ht="19.5" customHeight="1" x14ac:dyDescent="0.3">
      <c r="A238" s="3" t="str">
        <f t="shared" si="6"/>
        <v/>
      </c>
      <c r="B238" s="5"/>
      <c r="C238" s="3"/>
      <c r="D238" s="10" t="str">
        <f>IF(C238&lt;&gt;"",IFERROR(VLOOKUP(C238,'Araç Listesi'!$B$4:$C$303,2,0),"Bulunamadı"),"")</f>
        <v/>
      </c>
      <c r="E238" s="4"/>
      <c r="F238" s="4"/>
      <c r="G238" s="4"/>
      <c r="H238" s="11"/>
      <c r="I238" s="11"/>
      <c r="J238" s="12" t="str">
        <f t="shared" si="7"/>
        <v/>
      </c>
      <c r="K238" s="13"/>
      <c r="L238" s="4"/>
      <c r="M238" s="4"/>
    </row>
    <row r="239" spans="1:13" ht="19.5" customHeight="1" x14ac:dyDescent="0.3">
      <c r="A239" s="6" t="str">
        <f t="shared" si="6"/>
        <v/>
      </c>
      <c r="B239" s="8"/>
      <c r="C239" s="6"/>
      <c r="D239" s="10" t="str">
        <f>IF(C239&lt;&gt;"",IFERROR(VLOOKUP(C239,'Araç Listesi'!$B$4:$C$303,2,0),"Bulunamadı"),"")</f>
        <v/>
      </c>
      <c r="E239" s="7"/>
      <c r="F239" s="7"/>
      <c r="G239" s="7"/>
      <c r="H239" s="14"/>
      <c r="I239" s="14"/>
      <c r="J239" s="12" t="str">
        <f t="shared" si="7"/>
        <v/>
      </c>
      <c r="K239" s="15"/>
      <c r="L239" s="7"/>
      <c r="M239" s="7"/>
    </row>
    <row r="240" spans="1:13" ht="19.5" customHeight="1" x14ac:dyDescent="0.3">
      <c r="A240" s="3" t="str">
        <f t="shared" si="6"/>
        <v/>
      </c>
      <c r="B240" s="5"/>
      <c r="C240" s="3"/>
      <c r="D240" s="10" t="str">
        <f>IF(C240&lt;&gt;"",IFERROR(VLOOKUP(C240,'Araç Listesi'!$B$4:$C$303,2,0),"Bulunamadı"),"")</f>
        <v/>
      </c>
      <c r="E240" s="4"/>
      <c r="F240" s="4"/>
      <c r="G240" s="4"/>
      <c r="H240" s="11"/>
      <c r="I240" s="11"/>
      <c r="J240" s="12" t="str">
        <f t="shared" si="7"/>
        <v/>
      </c>
      <c r="K240" s="13"/>
      <c r="L240" s="4"/>
      <c r="M240" s="4"/>
    </row>
    <row r="241" spans="1:13" ht="19.5" customHeight="1" x14ac:dyDescent="0.3">
      <c r="A241" s="6" t="str">
        <f t="shared" si="6"/>
        <v/>
      </c>
      <c r="B241" s="8"/>
      <c r="C241" s="6"/>
      <c r="D241" s="10" t="str">
        <f>IF(C241&lt;&gt;"",IFERROR(VLOOKUP(C241,'Araç Listesi'!$B$4:$C$303,2,0),"Bulunamadı"),"")</f>
        <v/>
      </c>
      <c r="E241" s="7"/>
      <c r="F241" s="7"/>
      <c r="G241" s="7"/>
      <c r="H241" s="14"/>
      <c r="I241" s="14"/>
      <c r="J241" s="12" t="str">
        <f t="shared" si="7"/>
        <v/>
      </c>
      <c r="K241" s="15"/>
      <c r="L241" s="7"/>
      <c r="M241" s="7"/>
    </row>
    <row r="242" spans="1:13" ht="19.5" customHeight="1" x14ac:dyDescent="0.3">
      <c r="A242" s="3" t="str">
        <f t="shared" si="6"/>
        <v/>
      </c>
      <c r="B242" s="5"/>
      <c r="C242" s="3"/>
      <c r="D242" s="10" t="str">
        <f>IF(C242&lt;&gt;"",IFERROR(VLOOKUP(C242,'Araç Listesi'!$B$4:$C$303,2,0),"Bulunamadı"),"")</f>
        <v/>
      </c>
      <c r="E242" s="4"/>
      <c r="F242" s="4"/>
      <c r="G242" s="4"/>
      <c r="H242" s="11"/>
      <c r="I242" s="11"/>
      <c r="J242" s="12" t="str">
        <f t="shared" si="7"/>
        <v/>
      </c>
      <c r="K242" s="13"/>
      <c r="L242" s="4"/>
      <c r="M242" s="4"/>
    </row>
    <row r="243" spans="1:13" ht="19.5" customHeight="1" x14ac:dyDescent="0.3">
      <c r="A243" s="6" t="str">
        <f t="shared" si="6"/>
        <v/>
      </c>
      <c r="B243" s="8"/>
      <c r="C243" s="6"/>
      <c r="D243" s="10" t="str">
        <f>IF(C243&lt;&gt;"",IFERROR(VLOOKUP(C243,'Araç Listesi'!$B$4:$C$303,2,0),"Bulunamadı"),"")</f>
        <v/>
      </c>
      <c r="E243" s="7"/>
      <c r="F243" s="7"/>
      <c r="G243" s="7"/>
      <c r="H243" s="14"/>
      <c r="I243" s="14"/>
      <c r="J243" s="12" t="str">
        <f t="shared" si="7"/>
        <v/>
      </c>
      <c r="K243" s="15"/>
      <c r="L243" s="7"/>
      <c r="M243" s="7"/>
    </row>
    <row r="244" spans="1:13" ht="19.5" customHeight="1" x14ac:dyDescent="0.3">
      <c r="A244" s="3" t="str">
        <f t="shared" si="6"/>
        <v/>
      </c>
      <c r="B244" s="5"/>
      <c r="C244" s="3"/>
      <c r="D244" s="10" t="str">
        <f>IF(C244&lt;&gt;"",IFERROR(VLOOKUP(C244,'Araç Listesi'!$B$4:$C$303,2,0),"Bulunamadı"),"")</f>
        <v/>
      </c>
      <c r="E244" s="4"/>
      <c r="F244" s="4"/>
      <c r="G244" s="4"/>
      <c r="H244" s="11"/>
      <c r="I244" s="11"/>
      <c r="J244" s="12" t="str">
        <f t="shared" si="7"/>
        <v/>
      </c>
      <c r="K244" s="13"/>
      <c r="L244" s="4"/>
      <c r="M244" s="4"/>
    </row>
    <row r="245" spans="1:13" ht="19.5" customHeight="1" x14ac:dyDescent="0.3">
      <c r="A245" s="6" t="str">
        <f t="shared" si="6"/>
        <v/>
      </c>
      <c r="B245" s="8"/>
      <c r="C245" s="6"/>
      <c r="D245" s="10" t="str">
        <f>IF(C245&lt;&gt;"",IFERROR(VLOOKUP(C245,'Araç Listesi'!$B$4:$C$303,2,0),"Bulunamadı"),"")</f>
        <v/>
      </c>
      <c r="E245" s="7"/>
      <c r="F245" s="7"/>
      <c r="G245" s="7"/>
      <c r="H245" s="14"/>
      <c r="I245" s="14"/>
      <c r="J245" s="12" t="str">
        <f t="shared" si="7"/>
        <v/>
      </c>
      <c r="K245" s="15"/>
      <c r="L245" s="7"/>
      <c r="M245" s="7"/>
    </row>
    <row r="246" spans="1:13" ht="19.5" customHeight="1" x14ac:dyDescent="0.3">
      <c r="A246" s="3" t="str">
        <f t="shared" si="6"/>
        <v/>
      </c>
      <c r="B246" s="5"/>
      <c r="C246" s="3"/>
      <c r="D246" s="10" t="str">
        <f>IF(C246&lt;&gt;"",IFERROR(VLOOKUP(C246,'Araç Listesi'!$B$4:$C$303,2,0),"Bulunamadı"),"")</f>
        <v/>
      </c>
      <c r="E246" s="4"/>
      <c r="F246" s="4"/>
      <c r="G246" s="4"/>
      <c r="H246" s="11"/>
      <c r="I246" s="11"/>
      <c r="J246" s="12" t="str">
        <f t="shared" si="7"/>
        <v/>
      </c>
      <c r="K246" s="13"/>
      <c r="L246" s="4"/>
      <c r="M246" s="4"/>
    </row>
    <row r="247" spans="1:13" ht="19.5" customHeight="1" x14ac:dyDescent="0.3">
      <c r="A247" s="6" t="str">
        <f t="shared" si="6"/>
        <v/>
      </c>
      <c r="B247" s="8"/>
      <c r="C247" s="6"/>
      <c r="D247" s="10" t="str">
        <f>IF(C247&lt;&gt;"",IFERROR(VLOOKUP(C247,'Araç Listesi'!$B$4:$C$303,2,0),"Bulunamadı"),"")</f>
        <v/>
      </c>
      <c r="E247" s="7"/>
      <c r="F247" s="7"/>
      <c r="G247" s="7"/>
      <c r="H247" s="14"/>
      <c r="I247" s="14"/>
      <c r="J247" s="12" t="str">
        <f t="shared" si="7"/>
        <v/>
      </c>
      <c r="K247" s="15"/>
      <c r="L247" s="7"/>
      <c r="M247" s="7"/>
    </row>
    <row r="248" spans="1:13" ht="19.5" customHeight="1" x14ac:dyDescent="0.3">
      <c r="A248" s="3" t="str">
        <f t="shared" si="6"/>
        <v/>
      </c>
      <c r="B248" s="5"/>
      <c r="C248" s="3"/>
      <c r="D248" s="10" t="str">
        <f>IF(C248&lt;&gt;"",IFERROR(VLOOKUP(C248,'Araç Listesi'!$B$4:$C$303,2,0),"Bulunamadı"),"")</f>
        <v/>
      </c>
      <c r="E248" s="4"/>
      <c r="F248" s="4"/>
      <c r="G248" s="4"/>
      <c r="H248" s="11"/>
      <c r="I248" s="11"/>
      <c r="J248" s="12" t="str">
        <f t="shared" si="7"/>
        <v/>
      </c>
      <c r="K248" s="13"/>
      <c r="L248" s="4"/>
      <c r="M248" s="4"/>
    </row>
    <row r="249" spans="1:13" ht="19.5" customHeight="1" x14ac:dyDescent="0.3">
      <c r="A249" s="6" t="str">
        <f t="shared" si="6"/>
        <v/>
      </c>
      <c r="B249" s="8"/>
      <c r="C249" s="6"/>
      <c r="D249" s="10" t="str">
        <f>IF(C249&lt;&gt;"",IFERROR(VLOOKUP(C249,'Araç Listesi'!$B$4:$C$303,2,0),"Bulunamadı"),"")</f>
        <v/>
      </c>
      <c r="E249" s="7"/>
      <c r="F249" s="7"/>
      <c r="G249" s="7"/>
      <c r="H249" s="14"/>
      <c r="I249" s="14"/>
      <c r="J249" s="12" t="str">
        <f t="shared" si="7"/>
        <v/>
      </c>
      <c r="K249" s="15"/>
      <c r="L249" s="7"/>
      <c r="M249" s="7"/>
    </row>
    <row r="250" spans="1:13" ht="19.5" customHeight="1" x14ac:dyDescent="0.3">
      <c r="A250" s="3" t="str">
        <f t="shared" si="6"/>
        <v/>
      </c>
      <c r="B250" s="5"/>
      <c r="C250" s="3"/>
      <c r="D250" s="10" t="str">
        <f>IF(C250&lt;&gt;"",IFERROR(VLOOKUP(C250,'Araç Listesi'!$B$4:$C$303,2,0),"Bulunamadı"),"")</f>
        <v/>
      </c>
      <c r="E250" s="4"/>
      <c r="F250" s="4"/>
      <c r="G250" s="4"/>
      <c r="H250" s="11"/>
      <c r="I250" s="11"/>
      <c r="J250" s="12" t="str">
        <f t="shared" si="7"/>
        <v/>
      </c>
      <c r="K250" s="13"/>
      <c r="L250" s="4"/>
      <c r="M250" s="4"/>
    </row>
    <row r="251" spans="1:13" ht="19.5" customHeight="1" x14ac:dyDescent="0.3">
      <c r="A251" s="6" t="str">
        <f t="shared" si="6"/>
        <v/>
      </c>
      <c r="B251" s="8"/>
      <c r="C251" s="6"/>
      <c r="D251" s="10" t="str">
        <f>IF(C251&lt;&gt;"",IFERROR(VLOOKUP(C251,'Araç Listesi'!$B$4:$C$303,2,0),"Bulunamadı"),"")</f>
        <v/>
      </c>
      <c r="E251" s="7"/>
      <c r="F251" s="7"/>
      <c r="G251" s="7"/>
      <c r="H251" s="14"/>
      <c r="I251" s="14"/>
      <c r="J251" s="12" t="str">
        <f t="shared" si="7"/>
        <v/>
      </c>
      <c r="K251" s="15"/>
      <c r="L251" s="7"/>
      <c r="M251" s="7"/>
    </row>
    <row r="252" spans="1:13" ht="19.5" customHeight="1" x14ac:dyDescent="0.3">
      <c r="A252" s="3" t="str">
        <f t="shared" si="6"/>
        <v/>
      </c>
      <c r="B252" s="5"/>
      <c r="C252" s="3"/>
      <c r="D252" s="10" t="str">
        <f>IF(C252&lt;&gt;"",IFERROR(VLOOKUP(C252,'Araç Listesi'!$B$4:$C$303,2,0),"Bulunamadı"),"")</f>
        <v/>
      </c>
      <c r="E252" s="4"/>
      <c r="F252" s="4"/>
      <c r="G252" s="4"/>
      <c r="H252" s="11"/>
      <c r="I252" s="11"/>
      <c r="J252" s="12" t="str">
        <f t="shared" si="7"/>
        <v/>
      </c>
      <c r="K252" s="13"/>
      <c r="L252" s="4"/>
      <c r="M252" s="4"/>
    </row>
    <row r="253" spans="1:13" ht="19.5" customHeight="1" x14ac:dyDescent="0.3">
      <c r="A253" s="6" t="str">
        <f t="shared" si="6"/>
        <v/>
      </c>
      <c r="B253" s="8"/>
      <c r="C253" s="6"/>
      <c r="D253" s="10" t="str">
        <f>IF(C253&lt;&gt;"",IFERROR(VLOOKUP(C253,'Araç Listesi'!$B$4:$C$303,2,0),"Bulunamadı"),"")</f>
        <v/>
      </c>
      <c r="E253" s="7"/>
      <c r="F253" s="7"/>
      <c r="G253" s="7"/>
      <c r="H253" s="14"/>
      <c r="I253" s="14"/>
      <c r="J253" s="12" t="str">
        <f t="shared" si="7"/>
        <v/>
      </c>
      <c r="K253" s="15"/>
      <c r="L253" s="7"/>
      <c r="M253" s="7"/>
    </row>
    <row r="254" spans="1:13" ht="19.5" customHeight="1" x14ac:dyDescent="0.3">
      <c r="A254" s="3" t="str">
        <f t="shared" si="6"/>
        <v/>
      </c>
      <c r="B254" s="5"/>
      <c r="C254" s="3"/>
      <c r="D254" s="10" t="str">
        <f>IF(C254&lt;&gt;"",IFERROR(VLOOKUP(C254,'Araç Listesi'!$B$4:$C$303,2,0),"Bulunamadı"),"")</f>
        <v/>
      </c>
      <c r="E254" s="4"/>
      <c r="F254" s="4"/>
      <c r="G254" s="4"/>
      <c r="H254" s="11"/>
      <c r="I254" s="11"/>
      <c r="J254" s="12" t="str">
        <f t="shared" si="7"/>
        <v/>
      </c>
      <c r="K254" s="13"/>
      <c r="L254" s="4"/>
      <c r="M254" s="4"/>
    </row>
    <row r="255" spans="1:13" ht="19.5" customHeight="1" x14ac:dyDescent="0.3">
      <c r="A255" s="6" t="str">
        <f t="shared" si="6"/>
        <v/>
      </c>
      <c r="B255" s="8"/>
      <c r="C255" s="6"/>
      <c r="D255" s="10" t="str">
        <f>IF(C255&lt;&gt;"",IFERROR(VLOOKUP(C255,'Araç Listesi'!$B$4:$C$303,2,0),"Bulunamadı"),"")</f>
        <v/>
      </c>
      <c r="E255" s="7"/>
      <c r="F255" s="7"/>
      <c r="G255" s="7"/>
      <c r="H255" s="14"/>
      <c r="I255" s="14"/>
      <c r="J255" s="12" t="str">
        <f t="shared" si="7"/>
        <v/>
      </c>
      <c r="K255" s="15"/>
      <c r="L255" s="7"/>
      <c r="M255" s="7"/>
    </row>
    <row r="256" spans="1:13" ht="19.5" customHeight="1" x14ac:dyDescent="0.3">
      <c r="A256" s="3" t="str">
        <f t="shared" si="6"/>
        <v/>
      </c>
      <c r="B256" s="5"/>
      <c r="C256" s="3"/>
      <c r="D256" s="10" t="str">
        <f>IF(C256&lt;&gt;"",IFERROR(VLOOKUP(C256,'Araç Listesi'!$B$4:$C$303,2,0),"Bulunamadı"),"")</f>
        <v/>
      </c>
      <c r="E256" s="4"/>
      <c r="F256" s="4"/>
      <c r="G256" s="4"/>
      <c r="H256" s="11"/>
      <c r="I256" s="11"/>
      <c r="J256" s="12" t="str">
        <f t="shared" si="7"/>
        <v/>
      </c>
      <c r="K256" s="13"/>
      <c r="L256" s="4"/>
      <c r="M256" s="4"/>
    </row>
    <row r="257" spans="1:13" ht="19.5" customHeight="1" x14ac:dyDescent="0.3">
      <c r="A257" s="6" t="str">
        <f t="shared" si="6"/>
        <v/>
      </c>
      <c r="B257" s="8"/>
      <c r="C257" s="6"/>
      <c r="D257" s="10" t="str">
        <f>IF(C257&lt;&gt;"",IFERROR(VLOOKUP(C257,'Araç Listesi'!$B$4:$C$303,2,0),"Bulunamadı"),"")</f>
        <v/>
      </c>
      <c r="E257" s="7"/>
      <c r="F257" s="7"/>
      <c r="G257" s="7"/>
      <c r="H257" s="14"/>
      <c r="I257" s="14"/>
      <c r="J257" s="12" t="str">
        <f t="shared" si="7"/>
        <v/>
      </c>
      <c r="K257" s="15"/>
      <c r="L257" s="7"/>
      <c r="M257" s="7"/>
    </row>
    <row r="258" spans="1:13" ht="19.5" customHeight="1" x14ac:dyDescent="0.3">
      <c r="A258" s="3" t="str">
        <f t="shared" si="6"/>
        <v/>
      </c>
      <c r="B258" s="5"/>
      <c r="C258" s="3"/>
      <c r="D258" s="10" t="str">
        <f>IF(C258&lt;&gt;"",IFERROR(VLOOKUP(C258,'Araç Listesi'!$B$4:$C$303,2,0),"Bulunamadı"),"")</f>
        <v/>
      </c>
      <c r="E258" s="4"/>
      <c r="F258" s="4"/>
      <c r="G258" s="4"/>
      <c r="H258" s="11"/>
      <c r="I258" s="11"/>
      <c r="J258" s="12" t="str">
        <f t="shared" si="7"/>
        <v/>
      </c>
      <c r="K258" s="13"/>
      <c r="L258" s="4"/>
      <c r="M258" s="4"/>
    </row>
    <row r="259" spans="1:13" ht="19.5" customHeight="1" x14ac:dyDescent="0.3">
      <c r="A259" s="6" t="str">
        <f t="shared" si="6"/>
        <v/>
      </c>
      <c r="B259" s="8"/>
      <c r="C259" s="6"/>
      <c r="D259" s="10" t="str">
        <f>IF(C259&lt;&gt;"",IFERROR(VLOOKUP(C259,'Araç Listesi'!$B$4:$C$303,2,0),"Bulunamadı"),"")</f>
        <v/>
      </c>
      <c r="E259" s="7"/>
      <c r="F259" s="7"/>
      <c r="G259" s="7"/>
      <c r="H259" s="14"/>
      <c r="I259" s="14"/>
      <c r="J259" s="12" t="str">
        <f t="shared" si="7"/>
        <v/>
      </c>
      <c r="K259" s="15"/>
      <c r="L259" s="7"/>
      <c r="M259" s="7"/>
    </row>
    <row r="260" spans="1:13" ht="19.5" customHeight="1" x14ac:dyDescent="0.3">
      <c r="A260" s="3" t="str">
        <f t="shared" ref="A260:A303" si="8">IF(B260&lt;&gt;"",ROW()-3,"")</f>
        <v/>
      </c>
      <c r="B260" s="5"/>
      <c r="C260" s="3"/>
      <c r="D260" s="10" t="str">
        <f>IF(C260&lt;&gt;"",IFERROR(VLOOKUP(C260,'Araç Listesi'!$B$4:$C$303,2,0),"Bulunamadı"),"")</f>
        <v/>
      </c>
      <c r="E260" s="4"/>
      <c r="F260" s="4"/>
      <c r="G260" s="4"/>
      <c r="H260" s="11"/>
      <c r="I260" s="11"/>
      <c r="J260" s="12" t="str">
        <f t="shared" ref="J260:J303" si="9">IF(AND(H260&lt;&gt;"",I260&lt;&gt;""),IFERROR(IF(I260&gt;H260,(I260-H260)*24,(1+I260-H260)*24),""),"")</f>
        <v/>
      </c>
      <c r="K260" s="13"/>
      <c r="L260" s="4"/>
      <c r="M260" s="4"/>
    </row>
    <row r="261" spans="1:13" ht="19.5" customHeight="1" x14ac:dyDescent="0.3">
      <c r="A261" s="6" t="str">
        <f t="shared" si="8"/>
        <v/>
      </c>
      <c r="B261" s="8"/>
      <c r="C261" s="6"/>
      <c r="D261" s="10" t="str">
        <f>IF(C261&lt;&gt;"",IFERROR(VLOOKUP(C261,'Araç Listesi'!$B$4:$C$303,2,0),"Bulunamadı"),"")</f>
        <v/>
      </c>
      <c r="E261" s="7"/>
      <c r="F261" s="7"/>
      <c r="G261" s="7"/>
      <c r="H261" s="14"/>
      <c r="I261" s="14"/>
      <c r="J261" s="12" t="str">
        <f t="shared" si="9"/>
        <v/>
      </c>
      <c r="K261" s="15"/>
      <c r="L261" s="7"/>
      <c r="M261" s="7"/>
    </row>
    <row r="262" spans="1:13" ht="19.5" customHeight="1" x14ac:dyDescent="0.3">
      <c r="A262" s="3" t="str">
        <f t="shared" si="8"/>
        <v/>
      </c>
      <c r="B262" s="5"/>
      <c r="C262" s="3"/>
      <c r="D262" s="10" t="str">
        <f>IF(C262&lt;&gt;"",IFERROR(VLOOKUP(C262,'Araç Listesi'!$B$4:$C$303,2,0),"Bulunamadı"),"")</f>
        <v/>
      </c>
      <c r="E262" s="4"/>
      <c r="F262" s="4"/>
      <c r="G262" s="4"/>
      <c r="H262" s="11"/>
      <c r="I262" s="11"/>
      <c r="J262" s="12" t="str">
        <f t="shared" si="9"/>
        <v/>
      </c>
      <c r="K262" s="13"/>
      <c r="L262" s="4"/>
      <c r="M262" s="4"/>
    </row>
    <row r="263" spans="1:13" ht="19.5" customHeight="1" x14ac:dyDescent="0.3">
      <c r="A263" s="6" t="str">
        <f t="shared" si="8"/>
        <v/>
      </c>
      <c r="B263" s="8"/>
      <c r="C263" s="6"/>
      <c r="D263" s="10" t="str">
        <f>IF(C263&lt;&gt;"",IFERROR(VLOOKUP(C263,'Araç Listesi'!$B$4:$C$303,2,0),"Bulunamadı"),"")</f>
        <v/>
      </c>
      <c r="E263" s="7"/>
      <c r="F263" s="7"/>
      <c r="G263" s="7"/>
      <c r="H263" s="14"/>
      <c r="I263" s="14"/>
      <c r="J263" s="12" t="str">
        <f t="shared" si="9"/>
        <v/>
      </c>
      <c r="K263" s="15"/>
      <c r="L263" s="7"/>
      <c r="M263" s="7"/>
    </row>
    <row r="264" spans="1:13" ht="19.5" customHeight="1" x14ac:dyDescent="0.3">
      <c r="A264" s="3" t="str">
        <f t="shared" si="8"/>
        <v/>
      </c>
      <c r="B264" s="5"/>
      <c r="C264" s="3"/>
      <c r="D264" s="10" t="str">
        <f>IF(C264&lt;&gt;"",IFERROR(VLOOKUP(C264,'Araç Listesi'!$B$4:$C$303,2,0),"Bulunamadı"),"")</f>
        <v/>
      </c>
      <c r="E264" s="4"/>
      <c r="F264" s="4"/>
      <c r="G264" s="4"/>
      <c r="H264" s="11"/>
      <c r="I264" s="11"/>
      <c r="J264" s="12" t="str">
        <f t="shared" si="9"/>
        <v/>
      </c>
      <c r="K264" s="13"/>
      <c r="L264" s="4"/>
      <c r="M264" s="4"/>
    </row>
    <row r="265" spans="1:13" ht="19.5" customHeight="1" x14ac:dyDescent="0.3">
      <c r="A265" s="6" t="str">
        <f t="shared" si="8"/>
        <v/>
      </c>
      <c r="B265" s="8"/>
      <c r="C265" s="6"/>
      <c r="D265" s="10" t="str">
        <f>IF(C265&lt;&gt;"",IFERROR(VLOOKUP(C265,'Araç Listesi'!$B$4:$C$303,2,0),"Bulunamadı"),"")</f>
        <v/>
      </c>
      <c r="E265" s="7"/>
      <c r="F265" s="7"/>
      <c r="G265" s="7"/>
      <c r="H265" s="14"/>
      <c r="I265" s="14"/>
      <c r="J265" s="12" t="str">
        <f t="shared" si="9"/>
        <v/>
      </c>
      <c r="K265" s="15"/>
      <c r="L265" s="7"/>
      <c r="M265" s="7"/>
    </row>
    <row r="266" spans="1:13" ht="19.5" customHeight="1" x14ac:dyDescent="0.3">
      <c r="A266" s="3" t="str">
        <f t="shared" si="8"/>
        <v/>
      </c>
      <c r="B266" s="5"/>
      <c r="C266" s="3"/>
      <c r="D266" s="10" t="str">
        <f>IF(C266&lt;&gt;"",IFERROR(VLOOKUP(C266,'Araç Listesi'!$B$4:$C$303,2,0),"Bulunamadı"),"")</f>
        <v/>
      </c>
      <c r="E266" s="4"/>
      <c r="F266" s="4"/>
      <c r="G266" s="4"/>
      <c r="H266" s="11"/>
      <c r="I266" s="11"/>
      <c r="J266" s="12" t="str">
        <f t="shared" si="9"/>
        <v/>
      </c>
      <c r="K266" s="13"/>
      <c r="L266" s="4"/>
      <c r="M266" s="4"/>
    </row>
    <row r="267" spans="1:13" ht="19.5" customHeight="1" x14ac:dyDescent="0.3">
      <c r="A267" s="6" t="str">
        <f t="shared" si="8"/>
        <v/>
      </c>
      <c r="B267" s="8"/>
      <c r="C267" s="6"/>
      <c r="D267" s="10" t="str">
        <f>IF(C267&lt;&gt;"",IFERROR(VLOOKUP(C267,'Araç Listesi'!$B$4:$C$303,2,0),"Bulunamadı"),"")</f>
        <v/>
      </c>
      <c r="E267" s="7"/>
      <c r="F267" s="7"/>
      <c r="G267" s="7"/>
      <c r="H267" s="14"/>
      <c r="I267" s="14"/>
      <c r="J267" s="12" t="str">
        <f t="shared" si="9"/>
        <v/>
      </c>
      <c r="K267" s="15"/>
      <c r="L267" s="7"/>
      <c r="M267" s="7"/>
    </row>
    <row r="268" spans="1:13" ht="19.5" customHeight="1" x14ac:dyDescent="0.3">
      <c r="A268" s="3" t="str">
        <f t="shared" si="8"/>
        <v/>
      </c>
      <c r="B268" s="5"/>
      <c r="C268" s="3"/>
      <c r="D268" s="10" t="str">
        <f>IF(C268&lt;&gt;"",IFERROR(VLOOKUP(C268,'Araç Listesi'!$B$4:$C$303,2,0),"Bulunamadı"),"")</f>
        <v/>
      </c>
      <c r="E268" s="4"/>
      <c r="F268" s="4"/>
      <c r="G268" s="4"/>
      <c r="H268" s="11"/>
      <c r="I268" s="11"/>
      <c r="J268" s="12" t="str">
        <f t="shared" si="9"/>
        <v/>
      </c>
      <c r="K268" s="13"/>
      <c r="L268" s="4"/>
      <c r="M268" s="4"/>
    </row>
    <row r="269" spans="1:13" ht="19.5" customHeight="1" x14ac:dyDescent="0.3">
      <c r="A269" s="6" t="str">
        <f t="shared" si="8"/>
        <v/>
      </c>
      <c r="B269" s="8"/>
      <c r="C269" s="6"/>
      <c r="D269" s="10" t="str">
        <f>IF(C269&lt;&gt;"",IFERROR(VLOOKUP(C269,'Araç Listesi'!$B$4:$C$303,2,0),"Bulunamadı"),"")</f>
        <v/>
      </c>
      <c r="E269" s="7"/>
      <c r="F269" s="7"/>
      <c r="G269" s="7"/>
      <c r="H269" s="14"/>
      <c r="I269" s="14"/>
      <c r="J269" s="12" t="str">
        <f t="shared" si="9"/>
        <v/>
      </c>
      <c r="K269" s="15"/>
      <c r="L269" s="7"/>
      <c r="M269" s="7"/>
    </row>
    <row r="270" spans="1:13" ht="19.5" customHeight="1" x14ac:dyDescent="0.3">
      <c r="A270" s="3" t="str">
        <f t="shared" si="8"/>
        <v/>
      </c>
      <c r="B270" s="5"/>
      <c r="C270" s="3"/>
      <c r="D270" s="10" t="str">
        <f>IF(C270&lt;&gt;"",IFERROR(VLOOKUP(C270,'Araç Listesi'!$B$4:$C$303,2,0),"Bulunamadı"),"")</f>
        <v/>
      </c>
      <c r="E270" s="4"/>
      <c r="F270" s="4"/>
      <c r="G270" s="4"/>
      <c r="H270" s="11"/>
      <c r="I270" s="11"/>
      <c r="J270" s="12" t="str">
        <f t="shared" si="9"/>
        <v/>
      </c>
      <c r="K270" s="13"/>
      <c r="L270" s="4"/>
      <c r="M270" s="4"/>
    </row>
    <row r="271" spans="1:13" ht="19.5" customHeight="1" x14ac:dyDescent="0.3">
      <c r="A271" s="6" t="str">
        <f t="shared" si="8"/>
        <v/>
      </c>
      <c r="B271" s="8"/>
      <c r="C271" s="6"/>
      <c r="D271" s="10" t="str">
        <f>IF(C271&lt;&gt;"",IFERROR(VLOOKUP(C271,'Araç Listesi'!$B$4:$C$303,2,0),"Bulunamadı"),"")</f>
        <v/>
      </c>
      <c r="E271" s="7"/>
      <c r="F271" s="7"/>
      <c r="G271" s="7"/>
      <c r="H271" s="14"/>
      <c r="I271" s="14"/>
      <c r="J271" s="12" t="str">
        <f t="shared" si="9"/>
        <v/>
      </c>
      <c r="K271" s="15"/>
      <c r="L271" s="7"/>
      <c r="M271" s="7"/>
    </row>
    <row r="272" spans="1:13" ht="19.5" customHeight="1" x14ac:dyDescent="0.3">
      <c r="A272" s="3" t="str">
        <f t="shared" si="8"/>
        <v/>
      </c>
      <c r="B272" s="5"/>
      <c r="C272" s="3"/>
      <c r="D272" s="10" t="str">
        <f>IF(C272&lt;&gt;"",IFERROR(VLOOKUP(C272,'Araç Listesi'!$B$4:$C$303,2,0),"Bulunamadı"),"")</f>
        <v/>
      </c>
      <c r="E272" s="4"/>
      <c r="F272" s="4"/>
      <c r="G272" s="4"/>
      <c r="H272" s="11"/>
      <c r="I272" s="11"/>
      <c r="J272" s="12" t="str">
        <f t="shared" si="9"/>
        <v/>
      </c>
      <c r="K272" s="13"/>
      <c r="L272" s="4"/>
      <c r="M272" s="4"/>
    </row>
    <row r="273" spans="1:13" ht="19.5" customHeight="1" x14ac:dyDescent="0.3">
      <c r="A273" s="6" t="str">
        <f t="shared" si="8"/>
        <v/>
      </c>
      <c r="B273" s="8"/>
      <c r="C273" s="6"/>
      <c r="D273" s="10" t="str">
        <f>IF(C273&lt;&gt;"",IFERROR(VLOOKUP(C273,'Araç Listesi'!$B$4:$C$303,2,0),"Bulunamadı"),"")</f>
        <v/>
      </c>
      <c r="E273" s="7"/>
      <c r="F273" s="7"/>
      <c r="G273" s="7"/>
      <c r="H273" s="14"/>
      <c r="I273" s="14"/>
      <c r="J273" s="12" t="str">
        <f t="shared" si="9"/>
        <v/>
      </c>
      <c r="K273" s="15"/>
      <c r="L273" s="7"/>
      <c r="M273" s="7"/>
    </row>
    <row r="274" spans="1:13" ht="19.5" customHeight="1" x14ac:dyDescent="0.3">
      <c r="A274" s="3" t="str">
        <f t="shared" si="8"/>
        <v/>
      </c>
      <c r="B274" s="5"/>
      <c r="C274" s="3"/>
      <c r="D274" s="10" t="str">
        <f>IF(C274&lt;&gt;"",IFERROR(VLOOKUP(C274,'Araç Listesi'!$B$4:$C$303,2,0),"Bulunamadı"),"")</f>
        <v/>
      </c>
      <c r="E274" s="4"/>
      <c r="F274" s="4"/>
      <c r="G274" s="4"/>
      <c r="H274" s="11"/>
      <c r="I274" s="11"/>
      <c r="J274" s="12" t="str">
        <f t="shared" si="9"/>
        <v/>
      </c>
      <c r="K274" s="13"/>
      <c r="L274" s="4"/>
      <c r="M274" s="4"/>
    </row>
    <row r="275" spans="1:13" ht="19.5" customHeight="1" x14ac:dyDescent="0.3">
      <c r="A275" s="6" t="str">
        <f t="shared" si="8"/>
        <v/>
      </c>
      <c r="B275" s="8"/>
      <c r="C275" s="6"/>
      <c r="D275" s="10" t="str">
        <f>IF(C275&lt;&gt;"",IFERROR(VLOOKUP(C275,'Araç Listesi'!$B$4:$C$303,2,0),"Bulunamadı"),"")</f>
        <v/>
      </c>
      <c r="E275" s="7"/>
      <c r="F275" s="7"/>
      <c r="G275" s="7"/>
      <c r="H275" s="14"/>
      <c r="I275" s="14"/>
      <c r="J275" s="12" t="str">
        <f t="shared" si="9"/>
        <v/>
      </c>
      <c r="K275" s="15"/>
      <c r="L275" s="7"/>
      <c r="M275" s="7"/>
    </row>
    <row r="276" spans="1:13" ht="19.5" customHeight="1" x14ac:dyDescent="0.3">
      <c r="A276" s="3" t="str">
        <f t="shared" si="8"/>
        <v/>
      </c>
      <c r="B276" s="5"/>
      <c r="C276" s="3"/>
      <c r="D276" s="10" t="str">
        <f>IF(C276&lt;&gt;"",IFERROR(VLOOKUP(C276,'Araç Listesi'!$B$4:$C$303,2,0),"Bulunamadı"),"")</f>
        <v/>
      </c>
      <c r="E276" s="4"/>
      <c r="F276" s="4"/>
      <c r="G276" s="4"/>
      <c r="H276" s="11"/>
      <c r="I276" s="11"/>
      <c r="J276" s="12" t="str">
        <f t="shared" si="9"/>
        <v/>
      </c>
      <c r="K276" s="13"/>
      <c r="L276" s="4"/>
      <c r="M276" s="4"/>
    </row>
    <row r="277" spans="1:13" ht="19.5" customHeight="1" x14ac:dyDescent="0.3">
      <c r="A277" s="6" t="str">
        <f t="shared" si="8"/>
        <v/>
      </c>
      <c r="B277" s="8"/>
      <c r="C277" s="6"/>
      <c r="D277" s="10" t="str">
        <f>IF(C277&lt;&gt;"",IFERROR(VLOOKUP(C277,'Araç Listesi'!$B$4:$C$303,2,0),"Bulunamadı"),"")</f>
        <v/>
      </c>
      <c r="E277" s="7"/>
      <c r="F277" s="7"/>
      <c r="G277" s="7"/>
      <c r="H277" s="14"/>
      <c r="I277" s="14"/>
      <c r="J277" s="12" t="str">
        <f t="shared" si="9"/>
        <v/>
      </c>
      <c r="K277" s="15"/>
      <c r="L277" s="7"/>
      <c r="M277" s="7"/>
    </row>
    <row r="278" spans="1:13" ht="19.5" customHeight="1" x14ac:dyDescent="0.3">
      <c r="A278" s="3" t="str">
        <f t="shared" si="8"/>
        <v/>
      </c>
      <c r="B278" s="5"/>
      <c r="C278" s="3"/>
      <c r="D278" s="10" t="str">
        <f>IF(C278&lt;&gt;"",IFERROR(VLOOKUP(C278,'Araç Listesi'!$B$4:$C$303,2,0),"Bulunamadı"),"")</f>
        <v/>
      </c>
      <c r="E278" s="4"/>
      <c r="F278" s="4"/>
      <c r="G278" s="4"/>
      <c r="H278" s="11"/>
      <c r="I278" s="11"/>
      <c r="J278" s="12" t="str">
        <f t="shared" si="9"/>
        <v/>
      </c>
      <c r="K278" s="13"/>
      <c r="L278" s="4"/>
      <c r="M278" s="4"/>
    </row>
    <row r="279" spans="1:13" ht="19.5" customHeight="1" x14ac:dyDescent="0.3">
      <c r="A279" s="6" t="str">
        <f t="shared" si="8"/>
        <v/>
      </c>
      <c r="B279" s="8"/>
      <c r="C279" s="6"/>
      <c r="D279" s="10" t="str">
        <f>IF(C279&lt;&gt;"",IFERROR(VLOOKUP(C279,'Araç Listesi'!$B$4:$C$303,2,0),"Bulunamadı"),"")</f>
        <v/>
      </c>
      <c r="E279" s="7"/>
      <c r="F279" s="7"/>
      <c r="G279" s="7"/>
      <c r="H279" s="14"/>
      <c r="I279" s="14"/>
      <c r="J279" s="12" t="str">
        <f t="shared" si="9"/>
        <v/>
      </c>
      <c r="K279" s="15"/>
      <c r="L279" s="7"/>
      <c r="M279" s="7"/>
    </row>
    <row r="280" spans="1:13" ht="19.5" customHeight="1" x14ac:dyDescent="0.3">
      <c r="A280" s="3" t="str">
        <f t="shared" si="8"/>
        <v/>
      </c>
      <c r="B280" s="5"/>
      <c r="C280" s="3"/>
      <c r="D280" s="10" t="str">
        <f>IF(C280&lt;&gt;"",IFERROR(VLOOKUP(C280,'Araç Listesi'!$B$4:$C$303,2,0),"Bulunamadı"),"")</f>
        <v/>
      </c>
      <c r="E280" s="4"/>
      <c r="F280" s="4"/>
      <c r="G280" s="4"/>
      <c r="H280" s="11"/>
      <c r="I280" s="11"/>
      <c r="J280" s="12" t="str">
        <f t="shared" si="9"/>
        <v/>
      </c>
      <c r="K280" s="13"/>
      <c r="L280" s="4"/>
      <c r="M280" s="4"/>
    </row>
    <row r="281" spans="1:13" ht="19.5" customHeight="1" x14ac:dyDescent="0.3">
      <c r="A281" s="6" t="str">
        <f t="shared" si="8"/>
        <v/>
      </c>
      <c r="B281" s="8"/>
      <c r="C281" s="6"/>
      <c r="D281" s="10" t="str">
        <f>IF(C281&lt;&gt;"",IFERROR(VLOOKUP(C281,'Araç Listesi'!$B$4:$C$303,2,0),"Bulunamadı"),"")</f>
        <v/>
      </c>
      <c r="E281" s="7"/>
      <c r="F281" s="7"/>
      <c r="G281" s="7"/>
      <c r="H281" s="14"/>
      <c r="I281" s="14"/>
      <c r="J281" s="12" t="str">
        <f t="shared" si="9"/>
        <v/>
      </c>
      <c r="K281" s="15"/>
      <c r="L281" s="7"/>
      <c r="M281" s="7"/>
    </row>
    <row r="282" spans="1:13" ht="19.5" customHeight="1" x14ac:dyDescent="0.3">
      <c r="A282" s="3" t="str">
        <f t="shared" si="8"/>
        <v/>
      </c>
      <c r="B282" s="5"/>
      <c r="C282" s="3"/>
      <c r="D282" s="10" t="str">
        <f>IF(C282&lt;&gt;"",IFERROR(VLOOKUP(C282,'Araç Listesi'!$B$4:$C$303,2,0),"Bulunamadı"),"")</f>
        <v/>
      </c>
      <c r="E282" s="4"/>
      <c r="F282" s="4"/>
      <c r="G282" s="4"/>
      <c r="H282" s="11"/>
      <c r="I282" s="11"/>
      <c r="J282" s="12" t="str">
        <f t="shared" si="9"/>
        <v/>
      </c>
      <c r="K282" s="13"/>
      <c r="L282" s="4"/>
      <c r="M282" s="4"/>
    </row>
    <row r="283" spans="1:13" ht="19.5" customHeight="1" x14ac:dyDescent="0.3">
      <c r="A283" s="6" t="str">
        <f t="shared" si="8"/>
        <v/>
      </c>
      <c r="B283" s="8"/>
      <c r="C283" s="6"/>
      <c r="D283" s="10" t="str">
        <f>IF(C283&lt;&gt;"",IFERROR(VLOOKUP(C283,'Araç Listesi'!$B$4:$C$303,2,0),"Bulunamadı"),"")</f>
        <v/>
      </c>
      <c r="E283" s="7"/>
      <c r="F283" s="7"/>
      <c r="G283" s="7"/>
      <c r="H283" s="14"/>
      <c r="I283" s="14"/>
      <c r="J283" s="12" t="str">
        <f t="shared" si="9"/>
        <v/>
      </c>
      <c r="K283" s="15"/>
      <c r="L283" s="7"/>
      <c r="M283" s="7"/>
    </row>
    <row r="284" spans="1:13" ht="19.5" customHeight="1" x14ac:dyDescent="0.3">
      <c r="A284" s="3" t="str">
        <f t="shared" si="8"/>
        <v/>
      </c>
      <c r="B284" s="5"/>
      <c r="C284" s="3"/>
      <c r="D284" s="10" t="str">
        <f>IF(C284&lt;&gt;"",IFERROR(VLOOKUP(C284,'Araç Listesi'!$B$4:$C$303,2,0),"Bulunamadı"),"")</f>
        <v/>
      </c>
      <c r="E284" s="4"/>
      <c r="F284" s="4"/>
      <c r="G284" s="4"/>
      <c r="H284" s="11"/>
      <c r="I284" s="11"/>
      <c r="J284" s="12" t="str">
        <f t="shared" si="9"/>
        <v/>
      </c>
      <c r="K284" s="13"/>
      <c r="L284" s="4"/>
      <c r="M284" s="4"/>
    </row>
    <row r="285" spans="1:13" ht="19.5" customHeight="1" x14ac:dyDescent="0.3">
      <c r="A285" s="6" t="str">
        <f t="shared" si="8"/>
        <v/>
      </c>
      <c r="B285" s="8"/>
      <c r="C285" s="6"/>
      <c r="D285" s="10" t="str">
        <f>IF(C285&lt;&gt;"",IFERROR(VLOOKUP(C285,'Araç Listesi'!$B$4:$C$303,2,0),"Bulunamadı"),"")</f>
        <v/>
      </c>
      <c r="E285" s="7"/>
      <c r="F285" s="7"/>
      <c r="G285" s="7"/>
      <c r="H285" s="14"/>
      <c r="I285" s="14"/>
      <c r="J285" s="12" t="str">
        <f t="shared" si="9"/>
        <v/>
      </c>
      <c r="K285" s="15"/>
      <c r="L285" s="7"/>
      <c r="M285" s="7"/>
    </row>
    <row r="286" spans="1:13" ht="19.5" customHeight="1" x14ac:dyDescent="0.3">
      <c r="A286" s="3" t="str">
        <f t="shared" si="8"/>
        <v/>
      </c>
      <c r="B286" s="5"/>
      <c r="C286" s="3"/>
      <c r="D286" s="10" t="str">
        <f>IF(C286&lt;&gt;"",IFERROR(VLOOKUP(C286,'Araç Listesi'!$B$4:$C$303,2,0),"Bulunamadı"),"")</f>
        <v/>
      </c>
      <c r="E286" s="4"/>
      <c r="F286" s="4"/>
      <c r="G286" s="4"/>
      <c r="H286" s="11"/>
      <c r="I286" s="11"/>
      <c r="J286" s="12" t="str">
        <f t="shared" si="9"/>
        <v/>
      </c>
      <c r="K286" s="13"/>
      <c r="L286" s="4"/>
      <c r="M286" s="4"/>
    </row>
    <row r="287" spans="1:13" ht="19.5" customHeight="1" x14ac:dyDescent="0.3">
      <c r="A287" s="6" t="str">
        <f t="shared" si="8"/>
        <v/>
      </c>
      <c r="B287" s="8"/>
      <c r="C287" s="6"/>
      <c r="D287" s="10" t="str">
        <f>IF(C287&lt;&gt;"",IFERROR(VLOOKUP(C287,'Araç Listesi'!$B$4:$C$303,2,0),"Bulunamadı"),"")</f>
        <v/>
      </c>
      <c r="E287" s="7"/>
      <c r="F287" s="7"/>
      <c r="G287" s="7"/>
      <c r="H287" s="14"/>
      <c r="I287" s="14"/>
      <c r="J287" s="12" t="str">
        <f t="shared" si="9"/>
        <v/>
      </c>
      <c r="K287" s="15"/>
      <c r="L287" s="7"/>
      <c r="M287" s="7"/>
    </row>
    <row r="288" spans="1:13" ht="19.5" customHeight="1" x14ac:dyDescent="0.3">
      <c r="A288" s="3" t="str">
        <f t="shared" si="8"/>
        <v/>
      </c>
      <c r="B288" s="5"/>
      <c r="C288" s="3"/>
      <c r="D288" s="10" t="str">
        <f>IF(C288&lt;&gt;"",IFERROR(VLOOKUP(C288,'Araç Listesi'!$B$4:$C$303,2,0),"Bulunamadı"),"")</f>
        <v/>
      </c>
      <c r="E288" s="4"/>
      <c r="F288" s="4"/>
      <c r="G288" s="4"/>
      <c r="H288" s="11"/>
      <c r="I288" s="11"/>
      <c r="J288" s="12" t="str">
        <f t="shared" si="9"/>
        <v/>
      </c>
      <c r="K288" s="13"/>
      <c r="L288" s="4"/>
      <c r="M288" s="4"/>
    </row>
    <row r="289" spans="1:13" ht="19.5" customHeight="1" x14ac:dyDescent="0.3">
      <c r="A289" s="6" t="str">
        <f t="shared" si="8"/>
        <v/>
      </c>
      <c r="B289" s="8"/>
      <c r="C289" s="6"/>
      <c r="D289" s="10" t="str">
        <f>IF(C289&lt;&gt;"",IFERROR(VLOOKUP(C289,'Araç Listesi'!$B$4:$C$303,2,0),"Bulunamadı"),"")</f>
        <v/>
      </c>
      <c r="E289" s="7"/>
      <c r="F289" s="7"/>
      <c r="G289" s="7"/>
      <c r="H289" s="14"/>
      <c r="I289" s="14"/>
      <c r="J289" s="12" t="str">
        <f t="shared" si="9"/>
        <v/>
      </c>
      <c r="K289" s="15"/>
      <c r="L289" s="7"/>
      <c r="M289" s="7"/>
    </row>
    <row r="290" spans="1:13" ht="19.5" customHeight="1" x14ac:dyDescent="0.3">
      <c r="A290" s="3" t="str">
        <f t="shared" si="8"/>
        <v/>
      </c>
      <c r="B290" s="5"/>
      <c r="C290" s="3"/>
      <c r="D290" s="10" t="str">
        <f>IF(C290&lt;&gt;"",IFERROR(VLOOKUP(C290,'Araç Listesi'!$B$4:$C$303,2,0),"Bulunamadı"),"")</f>
        <v/>
      </c>
      <c r="E290" s="4"/>
      <c r="F290" s="4"/>
      <c r="G290" s="4"/>
      <c r="H290" s="11"/>
      <c r="I290" s="11"/>
      <c r="J290" s="12" t="str">
        <f t="shared" si="9"/>
        <v/>
      </c>
      <c r="K290" s="13"/>
      <c r="L290" s="4"/>
      <c r="M290" s="4"/>
    </row>
    <row r="291" spans="1:13" ht="19.5" customHeight="1" x14ac:dyDescent="0.3">
      <c r="A291" s="6" t="str">
        <f t="shared" si="8"/>
        <v/>
      </c>
      <c r="B291" s="8"/>
      <c r="C291" s="6"/>
      <c r="D291" s="10" t="str">
        <f>IF(C291&lt;&gt;"",IFERROR(VLOOKUP(C291,'Araç Listesi'!$B$4:$C$303,2,0),"Bulunamadı"),"")</f>
        <v/>
      </c>
      <c r="E291" s="7"/>
      <c r="F291" s="7"/>
      <c r="G291" s="7"/>
      <c r="H291" s="14"/>
      <c r="I291" s="14"/>
      <c r="J291" s="12" t="str">
        <f t="shared" si="9"/>
        <v/>
      </c>
      <c r="K291" s="15"/>
      <c r="L291" s="7"/>
      <c r="M291" s="7"/>
    </row>
    <row r="292" spans="1:13" ht="19.5" customHeight="1" x14ac:dyDescent="0.3">
      <c r="A292" s="3" t="str">
        <f t="shared" si="8"/>
        <v/>
      </c>
      <c r="B292" s="5"/>
      <c r="C292" s="3"/>
      <c r="D292" s="10" t="str">
        <f>IF(C292&lt;&gt;"",IFERROR(VLOOKUP(C292,'Araç Listesi'!$B$4:$C$303,2,0),"Bulunamadı"),"")</f>
        <v/>
      </c>
      <c r="E292" s="4"/>
      <c r="F292" s="4"/>
      <c r="G292" s="4"/>
      <c r="H292" s="11"/>
      <c r="I292" s="11"/>
      <c r="J292" s="12" t="str">
        <f t="shared" si="9"/>
        <v/>
      </c>
      <c r="K292" s="13"/>
      <c r="L292" s="4"/>
      <c r="M292" s="4"/>
    </row>
    <row r="293" spans="1:13" ht="19.5" customHeight="1" x14ac:dyDescent="0.3">
      <c r="A293" s="6" t="str">
        <f t="shared" si="8"/>
        <v/>
      </c>
      <c r="B293" s="8"/>
      <c r="C293" s="6"/>
      <c r="D293" s="10" t="str">
        <f>IF(C293&lt;&gt;"",IFERROR(VLOOKUP(C293,'Araç Listesi'!$B$4:$C$303,2,0),"Bulunamadı"),"")</f>
        <v/>
      </c>
      <c r="E293" s="7"/>
      <c r="F293" s="7"/>
      <c r="G293" s="7"/>
      <c r="H293" s="14"/>
      <c r="I293" s="14"/>
      <c r="J293" s="12" t="str">
        <f t="shared" si="9"/>
        <v/>
      </c>
      <c r="K293" s="15"/>
      <c r="L293" s="7"/>
      <c r="M293" s="7"/>
    </row>
    <row r="294" spans="1:13" ht="19.5" customHeight="1" x14ac:dyDescent="0.3">
      <c r="A294" s="3" t="str">
        <f t="shared" si="8"/>
        <v/>
      </c>
      <c r="B294" s="5"/>
      <c r="C294" s="3"/>
      <c r="D294" s="10" t="str">
        <f>IF(C294&lt;&gt;"",IFERROR(VLOOKUP(C294,'Araç Listesi'!$B$4:$C$303,2,0),"Bulunamadı"),"")</f>
        <v/>
      </c>
      <c r="E294" s="4"/>
      <c r="F294" s="4"/>
      <c r="G294" s="4"/>
      <c r="H294" s="11"/>
      <c r="I294" s="11"/>
      <c r="J294" s="12" t="str">
        <f t="shared" si="9"/>
        <v/>
      </c>
      <c r="K294" s="13"/>
      <c r="L294" s="4"/>
      <c r="M294" s="4"/>
    </row>
    <row r="295" spans="1:13" ht="19.5" customHeight="1" x14ac:dyDescent="0.3">
      <c r="A295" s="6" t="str">
        <f t="shared" si="8"/>
        <v/>
      </c>
      <c r="B295" s="8"/>
      <c r="C295" s="6"/>
      <c r="D295" s="10" t="str">
        <f>IF(C295&lt;&gt;"",IFERROR(VLOOKUP(C295,'Araç Listesi'!$B$4:$C$303,2,0),"Bulunamadı"),"")</f>
        <v/>
      </c>
      <c r="E295" s="7"/>
      <c r="F295" s="7"/>
      <c r="G295" s="7"/>
      <c r="H295" s="14"/>
      <c r="I295" s="14"/>
      <c r="J295" s="12" t="str">
        <f t="shared" si="9"/>
        <v/>
      </c>
      <c r="K295" s="15"/>
      <c r="L295" s="7"/>
      <c r="M295" s="7"/>
    </row>
    <row r="296" spans="1:13" ht="19.5" customHeight="1" x14ac:dyDescent="0.3">
      <c r="A296" s="3" t="str">
        <f t="shared" si="8"/>
        <v/>
      </c>
      <c r="B296" s="5"/>
      <c r="C296" s="3"/>
      <c r="D296" s="10" t="str">
        <f>IF(C296&lt;&gt;"",IFERROR(VLOOKUP(C296,'Araç Listesi'!$B$4:$C$303,2,0),"Bulunamadı"),"")</f>
        <v/>
      </c>
      <c r="E296" s="4"/>
      <c r="F296" s="4"/>
      <c r="G296" s="4"/>
      <c r="H296" s="11"/>
      <c r="I296" s="11"/>
      <c r="J296" s="12" t="str">
        <f t="shared" si="9"/>
        <v/>
      </c>
      <c r="K296" s="13"/>
      <c r="L296" s="4"/>
      <c r="M296" s="4"/>
    </row>
    <row r="297" spans="1:13" ht="19.5" customHeight="1" x14ac:dyDescent="0.3">
      <c r="A297" s="6" t="str">
        <f t="shared" si="8"/>
        <v/>
      </c>
      <c r="B297" s="8"/>
      <c r="C297" s="6"/>
      <c r="D297" s="10" t="str">
        <f>IF(C297&lt;&gt;"",IFERROR(VLOOKUP(C297,'Araç Listesi'!$B$4:$C$303,2,0),"Bulunamadı"),"")</f>
        <v/>
      </c>
      <c r="E297" s="7"/>
      <c r="F297" s="7"/>
      <c r="G297" s="7"/>
      <c r="H297" s="14"/>
      <c r="I297" s="14"/>
      <c r="J297" s="12" t="str">
        <f t="shared" si="9"/>
        <v/>
      </c>
      <c r="K297" s="15"/>
      <c r="L297" s="7"/>
      <c r="M297" s="7"/>
    </row>
    <row r="298" spans="1:13" ht="19.5" customHeight="1" x14ac:dyDescent="0.3">
      <c r="A298" s="3" t="str">
        <f t="shared" si="8"/>
        <v/>
      </c>
      <c r="B298" s="5"/>
      <c r="C298" s="3"/>
      <c r="D298" s="10" t="str">
        <f>IF(C298&lt;&gt;"",IFERROR(VLOOKUP(C298,'Araç Listesi'!$B$4:$C$303,2,0),"Bulunamadı"),"")</f>
        <v/>
      </c>
      <c r="E298" s="4"/>
      <c r="F298" s="4"/>
      <c r="G298" s="4"/>
      <c r="H298" s="11"/>
      <c r="I298" s="11"/>
      <c r="J298" s="12" t="str">
        <f t="shared" si="9"/>
        <v/>
      </c>
      <c r="K298" s="13"/>
      <c r="L298" s="4"/>
      <c r="M298" s="4"/>
    </row>
    <row r="299" spans="1:13" ht="19.5" customHeight="1" x14ac:dyDescent="0.3">
      <c r="A299" s="6" t="str">
        <f t="shared" si="8"/>
        <v/>
      </c>
      <c r="B299" s="8"/>
      <c r="C299" s="6"/>
      <c r="D299" s="10" t="str">
        <f>IF(C299&lt;&gt;"",IFERROR(VLOOKUP(C299,'Araç Listesi'!$B$4:$C$303,2,0),"Bulunamadı"),"")</f>
        <v/>
      </c>
      <c r="E299" s="7"/>
      <c r="F299" s="7"/>
      <c r="G299" s="7"/>
      <c r="H299" s="14"/>
      <c r="I299" s="14"/>
      <c r="J299" s="12" t="str">
        <f t="shared" si="9"/>
        <v/>
      </c>
      <c r="K299" s="15"/>
      <c r="L299" s="7"/>
      <c r="M299" s="7"/>
    </row>
    <row r="300" spans="1:13" ht="19.5" customHeight="1" x14ac:dyDescent="0.3">
      <c r="A300" s="3" t="str">
        <f t="shared" si="8"/>
        <v/>
      </c>
      <c r="B300" s="5"/>
      <c r="C300" s="3"/>
      <c r="D300" s="10" t="str">
        <f>IF(C300&lt;&gt;"",IFERROR(VLOOKUP(C300,'Araç Listesi'!$B$4:$C$303,2,0),"Bulunamadı"),"")</f>
        <v/>
      </c>
      <c r="E300" s="4"/>
      <c r="F300" s="4"/>
      <c r="G300" s="4"/>
      <c r="H300" s="11"/>
      <c r="I300" s="11"/>
      <c r="J300" s="12" t="str">
        <f t="shared" si="9"/>
        <v/>
      </c>
      <c r="K300" s="13"/>
      <c r="L300" s="4"/>
      <c r="M300" s="4"/>
    </row>
    <row r="301" spans="1:13" ht="19.5" customHeight="1" x14ac:dyDescent="0.3">
      <c r="A301" s="6" t="str">
        <f t="shared" si="8"/>
        <v/>
      </c>
      <c r="B301" s="8"/>
      <c r="C301" s="6"/>
      <c r="D301" s="10" t="str">
        <f>IF(C301&lt;&gt;"",IFERROR(VLOOKUP(C301,'Araç Listesi'!$B$4:$C$303,2,0),"Bulunamadı"),"")</f>
        <v/>
      </c>
      <c r="E301" s="7"/>
      <c r="F301" s="7"/>
      <c r="G301" s="7"/>
      <c r="H301" s="14"/>
      <c r="I301" s="14"/>
      <c r="J301" s="12" t="str">
        <f t="shared" si="9"/>
        <v/>
      </c>
      <c r="K301" s="15"/>
      <c r="L301" s="7"/>
      <c r="M301" s="7"/>
    </row>
    <row r="302" spans="1:13" ht="19.5" customHeight="1" x14ac:dyDescent="0.3">
      <c r="A302" s="3" t="str">
        <f t="shared" si="8"/>
        <v/>
      </c>
      <c r="B302" s="5"/>
      <c r="C302" s="3"/>
      <c r="D302" s="10" t="str">
        <f>IF(C302&lt;&gt;"",IFERROR(VLOOKUP(C302,'Araç Listesi'!$B$4:$C$303,2,0),"Bulunamadı"),"")</f>
        <v/>
      </c>
      <c r="E302" s="4"/>
      <c r="F302" s="4"/>
      <c r="G302" s="4"/>
      <c r="H302" s="11"/>
      <c r="I302" s="11"/>
      <c r="J302" s="12" t="str">
        <f t="shared" si="9"/>
        <v/>
      </c>
      <c r="K302" s="13"/>
      <c r="L302" s="4"/>
      <c r="M302" s="4"/>
    </row>
    <row r="303" spans="1:13" ht="19.5" customHeight="1" x14ac:dyDescent="0.3">
      <c r="A303" s="6" t="str">
        <f t="shared" si="8"/>
        <v/>
      </c>
      <c r="B303" s="8"/>
      <c r="C303" s="6"/>
      <c r="D303" s="10" t="str">
        <f>IF(C303&lt;&gt;"",IFERROR(VLOOKUP(C303,'Araç Listesi'!$B$4:$C$303,2,0),"Bulunamadı"),"")</f>
        <v/>
      </c>
      <c r="E303" s="7"/>
      <c r="F303" s="7"/>
      <c r="G303" s="7"/>
      <c r="H303" s="14"/>
      <c r="I303" s="14"/>
      <c r="J303" s="12" t="str">
        <f t="shared" si="9"/>
        <v/>
      </c>
      <c r="K303" s="15"/>
      <c r="L303" s="7"/>
      <c r="M303" s="7"/>
    </row>
    <row r="304" spans="1:13" ht="24" customHeight="1" x14ac:dyDescent="0.3">
      <c r="A304" s="41" t="s">
        <v>26</v>
      </c>
      <c r="B304" s="41"/>
      <c r="C304" s="41"/>
      <c r="D304" s="41"/>
      <c r="E304" s="41"/>
      <c r="F304" s="41"/>
      <c r="G304" s="41"/>
      <c r="H304" s="41"/>
      <c r="I304" s="41"/>
      <c r="J304" s="16">
        <f>IFERROR(SUM(J4:J303),0)</f>
        <v>0</v>
      </c>
      <c r="K304" s="17">
        <f>IFERROR(SUM(K4:K303),0)</f>
        <v>0</v>
      </c>
      <c r="L304" s="42"/>
      <c r="M304" s="42"/>
    </row>
  </sheetData>
  <mergeCells count="4">
    <mergeCell ref="A1:M1"/>
    <mergeCell ref="A2:M2"/>
    <mergeCell ref="A304:I304"/>
    <mergeCell ref="L304:M304"/>
  </mergeCells>
  <dataValidations count="1">
    <dataValidation type="list" allowBlank="1" sqref="G4:G303">
      <formula1>"Fen İşleri Müdürlüğü,Su ve Kanalizasyon İşleri,Temizlik İşleri,Park ve Bahçeler Müdürlüğü,Diğer"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4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8.6640625" defaultRowHeight="14.4" x14ac:dyDescent="0.3"/>
  <cols>
    <col min="1" max="1" width="5" style="1" customWidth="1"/>
    <col min="2" max="2" width="12" style="1" customWidth="1"/>
    <col min="3" max="3" width="22" style="1" customWidth="1"/>
    <col min="4" max="5" width="20" style="1" customWidth="1"/>
    <col min="6" max="7" width="10" style="1" customWidth="1"/>
    <col min="8" max="11" width="14" style="1" customWidth="1"/>
    <col min="12" max="12" width="26" style="1" customWidth="1"/>
    <col min="13" max="14" width="28" style="1" customWidth="1"/>
    <col min="15" max="15" width="16" style="1" customWidth="1"/>
  </cols>
  <sheetData>
    <row r="1" spans="1:15" ht="83.4" customHeight="1" x14ac:dyDescent="0.3">
      <c r="A1" s="39" t="s">
        <v>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19.5" customHeight="1" x14ac:dyDescent="0.3">
      <c r="A2" s="40" t="s">
        <v>27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42" customHeight="1" x14ac:dyDescent="0.3">
      <c r="A3" s="2" t="s">
        <v>1</v>
      </c>
      <c r="B3" s="2" t="s">
        <v>14</v>
      </c>
      <c r="C3" s="2" t="s">
        <v>2</v>
      </c>
      <c r="D3" s="2" t="s">
        <v>28</v>
      </c>
      <c r="E3" s="2" t="s">
        <v>29</v>
      </c>
      <c r="F3" s="2" t="s">
        <v>20</v>
      </c>
      <c r="G3" s="2" t="s">
        <v>21</v>
      </c>
      <c r="H3" s="18" t="s">
        <v>30</v>
      </c>
      <c r="I3" s="19" t="s">
        <v>31</v>
      </c>
      <c r="J3" s="20" t="s">
        <v>32</v>
      </c>
      <c r="K3" s="2" t="s">
        <v>33</v>
      </c>
      <c r="L3" s="2" t="s">
        <v>34</v>
      </c>
      <c r="M3" s="21" t="s">
        <v>35</v>
      </c>
      <c r="N3" s="2" t="s">
        <v>24</v>
      </c>
      <c r="O3" s="2" t="s">
        <v>25</v>
      </c>
    </row>
    <row r="4" spans="1:15" ht="19.5" customHeight="1" x14ac:dyDescent="0.3">
      <c r="A4" s="3" t="str">
        <f t="shared" ref="A4:A67" si="0">IF(B4&lt;&gt;"",ROW()-3,"")</f>
        <v/>
      </c>
      <c r="B4" s="5"/>
      <c r="C4" s="4"/>
      <c r="D4" s="22" t="str">
        <f>IF(C4&lt;&gt;"",IFERROR(VLOOKUP(C4,'Personel Listesi'!$B$4:$C$303,2,0),"Bulunamadı"),"")</f>
        <v/>
      </c>
      <c r="E4" s="22" t="str">
        <f>IF(C4&lt;&gt;"",IFERROR(VLOOKUP(C4,'Personel Listesi'!$B$4:$D$303,3,0),""),"")</f>
        <v/>
      </c>
      <c r="F4" s="11"/>
      <c r="G4" s="11"/>
      <c r="H4" s="23" t="str">
        <f t="shared" ref="H4:H67" si="1">IF(AND(F4&lt;&gt;"",G4&lt;&gt;""),IFERROR(MAX(0,MAX(0,(MIN(17/24,G4)-MAX(8/24,F4))*24)-MAX(0,(MIN(13/24,G4)-MAX(12/24,F4))*24)),""),"")</f>
        <v/>
      </c>
      <c r="I4" s="24" t="str">
        <f t="shared" ref="I4:I67" si="2">IF(AND(F4&lt;&gt;"",G4&lt;&gt;""),IFERROR(MAX(0,(G4-17/24)*24),""),"")</f>
        <v/>
      </c>
      <c r="J4" s="12" t="str">
        <f t="shared" ref="J4:J67" si="3">IF(AND(F4&lt;&gt;"",G4&lt;&gt;""),IFERROR(H4+I4,""),"")</f>
        <v/>
      </c>
      <c r="K4" s="3"/>
      <c r="L4" s="4"/>
      <c r="M4" s="4"/>
      <c r="N4" s="4"/>
      <c r="O4" s="4"/>
    </row>
    <row r="5" spans="1:15" ht="19.5" customHeight="1" x14ac:dyDescent="0.3">
      <c r="A5" s="6" t="str">
        <f t="shared" si="0"/>
        <v/>
      </c>
      <c r="B5" s="8"/>
      <c r="C5" s="7"/>
      <c r="D5" s="22" t="str">
        <f>IF(C5&lt;&gt;"",IFERROR(VLOOKUP(C5,'Personel Listesi'!$B$4:$C$303,2,0),"Bulunamadı"),"")</f>
        <v/>
      </c>
      <c r="E5" s="22" t="str">
        <f>IF(C5&lt;&gt;"",IFERROR(VLOOKUP(C5,'Personel Listesi'!$B$4:$D$303,3,0),""),"")</f>
        <v/>
      </c>
      <c r="F5" s="14"/>
      <c r="G5" s="14"/>
      <c r="H5" s="23" t="str">
        <f t="shared" si="1"/>
        <v/>
      </c>
      <c r="I5" s="24" t="str">
        <f t="shared" si="2"/>
        <v/>
      </c>
      <c r="J5" s="12" t="str">
        <f t="shared" si="3"/>
        <v/>
      </c>
      <c r="K5" s="6"/>
      <c r="L5" s="7"/>
      <c r="M5" s="7"/>
      <c r="N5" s="7"/>
      <c r="O5" s="7"/>
    </row>
    <row r="6" spans="1:15" ht="19.5" customHeight="1" x14ac:dyDescent="0.3">
      <c r="A6" s="3" t="str">
        <f t="shared" si="0"/>
        <v/>
      </c>
      <c r="B6" s="5"/>
      <c r="C6" s="4"/>
      <c r="D6" s="22" t="str">
        <f>IF(C6&lt;&gt;"",IFERROR(VLOOKUP(C6,'Personel Listesi'!$B$4:$C$303,2,0),"Bulunamadı"),"")</f>
        <v/>
      </c>
      <c r="E6" s="22" t="str">
        <f>IF(C6&lt;&gt;"",IFERROR(VLOOKUP(C6,'Personel Listesi'!$B$4:$D$303,3,0),""),"")</f>
        <v/>
      </c>
      <c r="F6" s="11"/>
      <c r="G6" s="11"/>
      <c r="H6" s="23" t="str">
        <f t="shared" si="1"/>
        <v/>
      </c>
      <c r="I6" s="24" t="str">
        <f t="shared" si="2"/>
        <v/>
      </c>
      <c r="J6" s="12" t="str">
        <f t="shared" si="3"/>
        <v/>
      </c>
      <c r="K6" s="3"/>
      <c r="L6" s="4"/>
      <c r="M6" s="4"/>
      <c r="N6" s="4"/>
      <c r="O6" s="4"/>
    </row>
    <row r="7" spans="1:15" ht="19.5" customHeight="1" x14ac:dyDescent="0.3">
      <c r="A7" s="6" t="str">
        <f t="shared" si="0"/>
        <v/>
      </c>
      <c r="B7" s="8"/>
      <c r="C7" s="7"/>
      <c r="D7" s="22" t="str">
        <f>IF(C7&lt;&gt;"",IFERROR(VLOOKUP(C7,'Personel Listesi'!$B$4:$C$303,2,0),"Bulunamadı"),"")</f>
        <v/>
      </c>
      <c r="E7" s="22" t="str">
        <f>IF(C7&lt;&gt;"",IFERROR(VLOOKUP(C7,'Personel Listesi'!$B$4:$D$303,3,0),""),"")</f>
        <v/>
      </c>
      <c r="F7" s="14"/>
      <c r="G7" s="14"/>
      <c r="H7" s="23" t="str">
        <f t="shared" si="1"/>
        <v/>
      </c>
      <c r="I7" s="24" t="str">
        <f t="shared" si="2"/>
        <v/>
      </c>
      <c r="J7" s="12" t="str">
        <f t="shared" si="3"/>
        <v/>
      </c>
      <c r="K7" s="6"/>
      <c r="L7" s="7"/>
      <c r="M7" s="7"/>
      <c r="N7" s="7"/>
      <c r="O7" s="7"/>
    </row>
    <row r="8" spans="1:15" ht="19.5" customHeight="1" x14ac:dyDescent="0.3">
      <c r="A8" s="3" t="str">
        <f t="shared" si="0"/>
        <v/>
      </c>
      <c r="B8" s="5"/>
      <c r="C8" s="4"/>
      <c r="D8" s="22" t="str">
        <f>IF(C8&lt;&gt;"",IFERROR(VLOOKUP(C8,'Personel Listesi'!$B$4:$C$303,2,0),"Bulunamadı"),"")</f>
        <v/>
      </c>
      <c r="E8" s="22" t="str">
        <f>IF(C8&lt;&gt;"",IFERROR(VLOOKUP(C8,'Personel Listesi'!$B$4:$D$303,3,0),""),"")</f>
        <v/>
      </c>
      <c r="F8" s="11"/>
      <c r="G8" s="11"/>
      <c r="H8" s="23" t="str">
        <f t="shared" si="1"/>
        <v/>
      </c>
      <c r="I8" s="24" t="str">
        <f t="shared" si="2"/>
        <v/>
      </c>
      <c r="J8" s="12" t="str">
        <f t="shared" si="3"/>
        <v/>
      </c>
      <c r="K8" s="3"/>
      <c r="L8" s="4"/>
      <c r="M8" s="4"/>
      <c r="N8" s="4"/>
      <c r="O8" s="4"/>
    </row>
    <row r="9" spans="1:15" ht="19.5" customHeight="1" x14ac:dyDescent="0.3">
      <c r="A9" s="6" t="str">
        <f t="shared" si="0"/>
        <v/>
      </c>
      <c r="B9" s="8"/>
      <c r="C9" s="7"/>
      <c r="D9" s="22" t="str">
        <f>IF(C9&lt;&gt;"",IFERROR(VLOOKUP(C9,'Personel Listesi'!$B$4:$C$303,2,0),"Bulunamadı"),"")</f>
        <v/>
      </c>
      <c r="E9" s="22" t="str">
        <f>IF(C9&lt;&gt;"",IFERROR(VLOOKUP(C9,'Personel Listesi'!$B$4:$D$303,3,0),""),"")</f>
        <v/>
      </c>
      <c r="F9" s="14"/>
      <c r="G9" s="14"/>
      <c r="H9" s="23" t="str">
        <f t="shared" si="1"/>
        <v/>
      </c>
      <c r="I9" s="24" t="str">
        <f t="shared" si="2"/>
        <v/>
      </c>
      <c r="J9" s="12" t="str">
        <f t="shared" si="3"/>
        <v/>
      </c>
      <c r="K9" s="6"/>
      <c r="L9" s="7"/>
      <c r="M9" s="7"/>
      <c r="N9" s="7"/>
      <c r="O9" s="7"/>
    </row>
    <row r="10" spans="1:15" ht="19.5" customHeight="1" x14ac:dyDescent="0.3">
      <c r="A10" s="3" t="str">
        <f t="shared" si="0"/>
        <v/>
      </c>
      <c r="B10" s="5"/>
      <c r="C10" s="4"/>
      <c r="D10" s="22" t="str">
        <f>IF(C10&lt;&gt;"",IFERROR(VLOOKUP(C10,'Personel Listesi'!$B$4:$C$303,2,0),"Bulunamadı"),"")</f>
        <v/>
      </c>
      <c r="E10" s="22" t="str">
        <f>IF(C10&lt;&gt;"",IFERROR(VLOOKUP(C10,'Personel Listesi'!$B$4:$D$303,3,0),""),"")</f>
        <v/>
      </c>
      <c r="F10" s="11"/>
      <c r="G10" s="11"/>
      <c r="H10" s="23" t="str">
        <f t="shared" si="1"/>
        <v/>
      </c>
      <c r="I10" s="24" t="str">
        <f t="shared" si="2"/>
        <v/>
      </c>
      <c r="J10" s="12" t="str">
        <f t="shared" si="3"/>
        <v/>
      </c>
      <c r="K10" s="3"/>
      <c r="L10" s="4"/>
      <c r="M10" s="4"/>
      <c r="N10" s="4"/>
      <c r="O10" s="4"/>
    </row>
    <row r="11" spans="1:15" ht="19.5" customHeight="1" x14ac:dyDescent="0.3">
      <c r="A11" s="6" t="str">
        <f t="shared" si="0"/>
        <v/>
      </c>
      <c r="B11" s="8"/>
      <c r="C11" s="7"/>
      <c r="D11" s="22" t="str">
        <f>IF(C11&lt;&gt;"",IFERROR(VLOOKUP(C11,'Personel Listesi'!$B$4:$C$303,2,0),"Bulunamadı"),"")</f>
        <v/>
      </c>
      <c r="E11" s="22" t="str">
        <f>IF(C11&lt;&gt;"",IFERROR(VLOOKUP(C11,'Personel Listesi'!$B$4:$D$303,3,0),""),"")</f>
        <v/>
      </c>
      <c r="F11" s="14"/>
      <c r="G11" s="14"/>
      <c r="H11" s="23" t="str">
        <f t="shared" si="1"/>
        <v/>
      </c>
      <c r="I11" s="24" t="str">
        <f t="shared" si="2"/>
        <v/>
      </c>
      <c r="J11" s="12" t="str">
        <f t="shared" si="3"/>
        <v/>
      </c>
      <c r="K11" s="6"/>
      <c r="L11" s="7"/>
      <c r="M11" s="7"/>
      <c r="N11" s="7"/>
      <c r="O11" s="7"/>
    </row>
    <row r="12" spans="1:15" ht="19.5" customHeight="1" x14ac:dyDescent="0.3">
      <c r="A12" s="3" t="str">
        <f t="shared" si="0"/>
        <v/>
      </c>
      <c r="B12" s="5"/>
      <c r="C12" s="4"/>
      <c r="D12" s="22" t="str">
        <f>IF(C12&lt;&gt;"",IFERROR(VLOOKUP(C12,'Personel Listesi'!$B$4:$C$303,2,0),"Bulunamadı"),"")</f>
        <v/>
      </c>
      <c r="E12" s="22" t="str">
        <f>IF(C12&lt;&gt;"",IFERROR(VLOOKUP(C12,'Personel Listesi'!$B$4:$D$303,3,0),""),"")</f>
        <v/>
      </c>
      <c r="F12" s="11"/>
      <c r="G12" s="11"/>
      <c r="H12" s="23" t="str">
        <f t="shared" si="1"/>
        <v/>
      </c>
      <c r="I12" s="24" t="str">
        <f t="shared" si="2"/>
        <v/>
      </c>
      <c r="J12" s="12" t="str">
        <f t="shared" si="3"/>
        <v/>
      </c>
      <c r="K12" s="3"/>
      <c r="L12" s="4"/>
      <c r="M12" s="4"/>
      <c r="N12" s="4"/>
      <c r="O12" s="4"/>
    </row>
    <row r="13" spans="1:15" ht="19.5" customHeight="1" x14ac:dyDescent="0.3">
      <c r="A13" s="6" t="str">
        <f t="shared" si="0"/>
        <v/>
      </c>
      <c r="B13" s="8"/>
      <c r="C13" s="7"/>
      <c r="D13" s="22" t="str">
        <f>IF(C13&lt;&gt;"",IFERROR(VLOOKUP(C13,'Personel Listesi'!$B$4:$C$303,2,0),"Bulunamadı"),"")</f>
        <v/>
      </c>
      <c r="E13" s="22" t="str">
        <f>IF(C13&lt;&gt;"",IFERROR(VLOOKUP(C13,'Personel Listesi'!$B$4:$D$303,3,0),""),"")</f>
        <v/>
      </c>
      <c r="F13" s="14"/>
      <c r="G13" s="14"/>
      <c r="H13" s="23" t="str">
        <f t="shared" si="1"/>
        <v/>
      </c>
      <c r="I13" s="24" t="str">
        <f t="shared" si="2"/>
        <v/>
      </c>
      <c r="J13" s="12" t="str">
        <f t="shared" si="3"/>
        <v/>
      </c>
      <c r="K13" s="6"/>
      <c r="L13" s="7"/>
      <c r="M13" s="7"/>
      <c r="N13" s="7"/>
      <c r="O13" s="7"/>
    </row>
    <row r="14" spans="1:15" ht="19.5" customHeight="1" x14ac:dyDescent="0.3">
      <c r="A14" s="3" t="str">
        <f t="shared" si="0"/>
        <v/>
      </c>
      <c r="B14" s="5"/>
      <c r="C14" s="4"/>
      <c r="D14" s="22" t="str">
        <f>IF(C14&lt;&gt;"",IFERROR(VLOOKUP(C14,'Personel Listesi'!$B$4:$C$303,2,0),"Bulunamadı"),"")</f>
        <v/>
      </c>
      <c r="E14" s="22" t="str">
        <f>IF(C14&lt;&gt;"",IFERROR(VLOOKUP(C14,'Personel Listesi'!$B$4:$D$303,3,0),""),"")</f>
        <v/>
      </c>
      <c r="F14" s="11"/>
      <c r="G14" s="11"/>
      <c r="H14" s="23" t="str">
        <f t="shared" si="1"/>
        <v/>
      </c>
      <c r="I14" s="24" t="str">
        <f t="shared" si="2"/>
        <v/>
      </c>
      <c r="J14" s="12" t="str">
        <f t="shared" si="3"/>
        <v/>
      </c>
      <c r="K14" s="3"/>
      <c r="L14" s="4"/>
      <c r="M14" s="4"/>
      <c r="N14" s="4"/>
      <c r="O14" s="4"/>
    </row>
    <row r="15" spans="1:15" ht="19.5" customHeight="1" x14ac:dyDescent="0.3">
      <c r="A15" s="6" t="str">
        <f t="shared" si="0"/>
        <v/>
      </c>
      <c r="B15" s="8"/>
      <c r="C15" s="7"/>
      <c r="D15" s="22" t="str">
        <f>IF(C15&lt;&gt;"",IFERROR(VLOOKUP(C15,'Personel Listesi'!$B$4:$C$303,2,0),"Bulunamadı"),"")</f>
        <v/>
      </c>
      <c r="E15" s="22" t="str">
        <f>IF(C15&lt;&gt;"",IFERROR(VLOOKUP(C15,'Personel Listesi'!$B$4:$D$303,3,0),""),"")</f>
        <v/>
      </c>
      <c r="F15" s="14"/>
      <c r="G15" s="14"/>
      <c r="H15" s="23" t="str">
        <f t="shared" si="1"/>
        <v/>
      </c>
      <c r="I15" s="24" t="str">
        <f t="shared" si="2"/>
        <v/>
      </c>
      <c r="J15" s="12" t="str">
        <f t="shared" si="3"/>
        <v/>
      </c>
      <c r="K15" s="6"/>
      <c r="L15" s="7"/>
      <c r="M15" s="7"/>
      <c r="N15" s="7"/>
      <c r="O15" s="7"/>
    </row>
    <row r="16" spans="1:15" ht="19.5" customHeight="1" x14ac:dyDescent="0.3">
      <c r="A16" s="3" t="str">
        <f t="shared" si="0"/>
        <v/>
      </c>
      <c r="B16" s="5"/>
      <c r="C16" s="4"/>
      <c r="D16" s="22" t="str">
        <f>IF(C16&lt;&gt;"",IFERROR(VLOOKUP(C16,'Personel Listesi'!$B$4:$C$303,2,0),"Bulunamadı"),"")</f>
        <v/>
      </c>
      <c r="E16" s="22" t="str">
        <f>IF(C16&lt;&gt;"",IFERROR(VLOOKUP(C16,'Personel Listesi'!$B$4:$D$303,3,0),""),"")</f>
        <v/>
      </c>
      <c r="F16" s="11"/>
      <c r="G16" s="11"/>
      <c r="H16" s="23" t="str">
        <f t="shared" si="1"/>
        <v/>
      </c>
      <c r="I16" s="24" t="str">
        <f t="shared" si="2"/>
        <v/>
      </c>
      <c r="J16" s="12" t="str">
        <f t="shared" si="3"/>
        <v/>
      </c>
      <c r="K16" s="3"/>
      <c r="L16" s="4"/>
      <c r="M16" s="4"/>
      <c r="N16" s="4"/>
      <c r="O16" s="4"/>
    </row>
    <row r="17" spans="1:15" ht="19.5" customHeight="1" x14ac:dyDescent="0.3">
      <c r="A17" s="6" t="str">
        <f t="shared" si="0"/>
        <v/>
      </c>
      <c r="B17" s="8"/>
      <c r="C17" s="7"/>
      <c r="D17" s="22" t="str">
        <f>IF(C17&lt;&gt;"",IFERROR(VLOOKUP(C17,'Personel Listesi'!$B$4:$C$303,2,0),"Bulunamadı"),"")</f>
        <v/>
      </c>
      <c r="E17" s="22" t="str">
        <f>IF(C17&lt;&gt;"",IFERROR(VLOOKUP(C17,'Personel Listesi'!$B$4:$D$303,3,0),""),"")</f>
        <v/>
      </c>
      <c r="F17" s="14"/>
      <c r="G17" s="14"/>
      <c r="H17" s="23" t="str">
        <f t="shared" si="1"/>
        <v/>
      </c>
      <c r="I17" s="24" t="str">
        <f t="shared" si="2"/>
        <v/>
      </c>
      <c r="J17" s="12" t="str">
        <f t="shared" si="3"/>
        <v/>
      </c>
      <c r="K17" s="6"/>
      <c r="L17" s="7"/>
      <c r="M17" s="7"/>
      <c r="N17" s="7"/>
      <c r="O17" s="7"/>
    </row>
    <row r="18" spans="1:15" ht="19.5" customHeight="1" x14ac:dyDescent="0.3">
      <c r="A18" s="3" t="str">
        <f t="shared" si="0"/>
        <v/>
      </c>
      <c r="B18" s="5"/>
      <c r="C18" s="4"/>
      <c r="D18" s="22" t="str">
        <f>IF(C18&lt;&gt;"",IFERROR(VLOOKUP(C18,'Personel Listesi'!$B$4:$C$303,2,0),"Bulunamadı"),"")</f>
        <v/>
      </c>
      <c r="E18" s="22" t="str">
        <f>IF(C18&lt;&gt;"",IFERROR(VLOOKUP(C18,'Personel Listesi'!$B$4:$D$303,3,0),""),"")</f>
        <v/>
      </c>
      <c r="F18" s="11"/>
      <c r="G18" s="11"/>
      <c r="H18" s="23" t="str">
        <f t="shared" si="1"/>
        <v/>
      </c>
      <c r="I18" s="24" t="str">
        <f t="shared" si="2"/>
        <v/>
      </c>
      <c r="J18" s="12" t="str">
        <f t="shared" si="3"/>
        <v/>
      </c>
      <c r="K18" s="3"/>
      <c r="L18" s="4"/>
      <c r="M18" s="4"/>
      <c r="N18" s="4"/>
      <c r="O18" s="4"/>
    </row>
    <row r="19" spans="1:15" ht="19.5" customHeight="1" x14ac:dyDescent="0.3">
      <c r="A19" s="6" t="str">
        <f t="shared" si="0"/>
        <v/>
      </c>
      <c r="B19" s="8"/>
      <c r="C19" s="7"/>
      <c r="D19" s="22" t="str">
        <f>IF(C19&lt;&gt;"",IFERROR(VLOOKUP(C19,'Personel Listesi'!$B$4:$C$303,2,0),"Bulunamadı"),"")</f>
        <v/>
      </c>
      <c r="E19" s="22" t="str">
        <f>IF(C19&lt;&gt;"",IFERROR(VLOOKUP(C19,'Personel Listesi'!$B$4:$D$303,3,0),""),"")</f>
        <v/>
      </c>
      <c r="F19" s="14"/>
      <c r="G19" s="14"/>
      <c r="H19" s="23" t="str">
        <f t="shared" si="1"/>
        <v/>
      </c>
      <c r="I19" s="24" t="str">
        <f t="shared" si="2"/>
        <v/>
      </c>
      <c r="J19" s="12" t="str">
        <f t="shared" si="3"/>
        <v/>
      </c>
      <c r="K19" s="6"/>
      <c r="L19" s="7"/>
      <c r="M19" s="7"/>
      <c r="N19" s="7"/>
      <c r="O19" s="7"/>
    </row>
    <row r="20" spans="1:15" ht="19.5" customHeight="1" x14ac:dyDescent="0.3">
      <c r="A20" s="3" t="str">
        <f t="shared" si="0"/>
        <v/>
      </c>
      <c r="B20" s="5"/>
      <c r="C20" s="4"/>
      <c r="D20" s="22" t="str">
        <f>IF(C20&lt;&gt;"",IFERROR(VLOOKUP(C20,'Personel Listesi'!$B$4:$C$303,2,0),"Bulunamadı"),"")</f>
        <v/>
      </c>
      <c r="E20" s="22" t="str">
        <f>IF(C20&lt;&gt;"",IFERROR(VLOOKUP(C20,'Personel Listesi'!$B$4:$D$303,3,0),""),"")</f>
        <v/>
      </c>
      <c r="F20" s="11"/>
      <c r="G20" s="11"/>
      <c r="H20" s="23" t="str">
        <f t="shared" si="1"/>
        <v/>
      </c>
      <c r="I20" s="24" t="str">
        <f t="shared" si="2"/>
        <v/>
      </c>
      <c r="J20" s="12" t="str">
        <f t="shared" si="3"/>
        <v/>
      </c>
      <c r="K20" s="3"/>
      <c r="L20" s="4"/>
      <c r="M20" s="4"/>
      <c r="N20" s="4"/>
      <c r="O20" s="4"/>
    </row>
    <row r="21" spans="1:15" ht="19.5" customHeight="1" x14ac:dyDescent="0.3">
      <c r="A21" s="6" t="str">
        <f t="shared" si="0"/>
        <v/>
      </c>
      <c r="B21" s="8"/>
      <c r="C21" s="7"/>
      <c r="D21" s="22" t="str">
        <f>IF(C21&lt;&gt;"",IFERROR(VLOOKUP(C21,'Personel Listesi'!$B$4:$C$303,2,0),"Bulunamadı"),"")</f>
        <v/>
      </c>
      <c r="E21" s="22" t="str">
        <f>IF(C21&lt;&gt;"",IFERROR(VLOOKUP(C21,'Personel Listesi'!$B$4:$D$303,3,0),""),"")</f>
        <v/>
      </c>
      <c r="F21" s="14"/>
      <c r="G21" s="14"/>
      <c r="H21" s="23" t="str">
        <f t="shared" si="1"/>
        <v/>
      </c>
      <c r="I21" s="24" t="str">
        <f t="shared" si="2"/>
        <v/>
      </c>
      <c r="J21" s="12" t="str">
        <f t="shared" si="3"/>
        <v/>
      </c>
      <c r="K21" s="6"/>
      <c r="L21" s="7"/>
      <c r="M21" s="7"/>
      <c r="N21" s="7"/>
      <c r="O21" s="7"/>
    </row>
    <row r="22" spans="1:15" ht="19.5" customHeight="1" x14ac:dyDescent="0.3">
      <c r="A22" s="3" t="str">
        <f t="shared" si="0"/>
        <v/>
      </c>
      <c r="B22" s="5"/>
      <c r="C22" s="4"/>
      <c r="D22" s="22" t="str">
        <f>IF(C22&lt;&gt;"",IFERROR(VLOOKUP(C22,'Personel Listesi'!$B$4:$C$303,2,0),"Bulunamadı"),"")</f>
        <v/>
      </c>
      <c r="E22" s="22" t="str">
        <f>IF(C22&lt;&gt;"",IFERROR(VLOOKUP(C22,'Personel Listesi'!$B$4:$D$303,3,0),""),"")</f>
        <v/>
      </c>
      <c r="F22" s="11"/>
      <c r="G22" s="11"/>
      <c r="H22" s="23" t="str">
        <f t="shared" si="1"/>
        <v/>
      </c>
      <c r="I22" s="24" t="str">
        <f t="shared" si="2"/>
        <v/>
      </c>
      <c r="J22" s="12" t="str">
        <f t="shared" si="3"/>
        <v/>
      </c>
      <c r="K22" s="3"/>
      <c r="L22" s="4"/>
      <c r="M22" s="4"/>
      <c r="N22" s="4"/>
      <c r="O22" s="4"/>
    </row>
    <row r="23" spans="1:15" ht="19.5" customHeight="1" x14ac:dyDescent="0.3">
      <c r="A23" s="6" t="str">
        <f t="shared" si="0"/>
        <v/>
      </c>
      <c r="B23" s="8"/>
      <c r="C23" s="7"/>
      <c r="D23" s="22" t="str">
        <f>IF(C23&lt;&gt;"",IFERROR(VLOOKUP(C23,'Personel Listesi'!$B$4:$C$303,2,0),"Bulunamadı"),"")</f>
        <v/>
      </c>
      <c r="E23" s="22" t="str">
        <f>IF(C23&lt;&gt;"",IFERROR(VLOOKUP(C23,'Personel Listesi'!$B$4:$D$303,3,0),""),"")</f>
        <v/>
      </c>
      <c r="F23" s="14"/>
      <c r="G23" s="14"/>
      <c r="H23" s="23" t="str">
        <f t="shared" si="1"/>
        <v/>
      </c>
      <c r="I23" s="24" t="str">
        <f t="shared" si="2"/>
        <v/>
      </c>
      <c r="J23" s="12" t="str">
        <f t="shared" si="3"/>
        <v/>
      </c>
      <c r="K23" s="6"/>
      <c r="L23" s="7"/>
      <c r="M23" s="7"/>
      <c r="N23" s="7"/>
      <c r="O23" s="7"/>
    </row>
    <row r="24" spans="1:15" ht="19.5" customHeight="1" x14ac:dyDescent="0.3">
      <c r="A24" s="3" t="str">
        <f t="shared" si="0"/>
        <v/>
      </c>
      <c r="B24" s="5"/>
      <c r="C24" s="4"/>
      <c r="D24" s="22" t="str">
        <f>IF(C24&lt;&gt;"",IFERROR(VLOOKUP(C24,'Personel Listesi'!$B$4:$C$303,2,0),"Bulunamadı"),"")</f>
        <v/>
      </c>
      <c r="E24" s="22" t="str">
        <f>IF(C24&lt;&gt;"",IFERROR(VLOOKUP(C24,'Personel Listesi'!$B$4:$D$303,3,0),""),"")</f>
        <v/>
      </c>
      <c r="F24" s="11"/>
      <c r="G24" s="11"/>
      <c r="H24" s="23" t="str">
        <f t="shared" si="1"/>
        <v/>
      </c>
      <c r="I24" s="24" t="str">
        <f t="shared" si="2"/>
        <v/>
      </c>
      <c r="J24" s="12" t="str">
        <f t="shared" si="3"/>
        <v/>
      </c>
      <c r="K24" s="3"/>
      <c r="L24" s="4"/>
      <c r="M24" s="4"/>
      <c r="N24" s="4"/>
      <c r="O24" s="4"/>
    </row>
    <row r="25" spans="1:15" ht="19.5" customHeight="1" x14ac:dyDescent="0.3">
      <c r="A25" s="6" t="str">
        <f t="shared" si="0"/>
        <v/>
      </c>
      <c r="B25" s="8"/>
      <c r="C25" s="7"/>
      <c r="D25" s="22" t="str">
        <f>IF(C25&lt;&gt;"",IFERROR(VLOOKUP(C25,'Personel Listesi'!$B$4:$C$303,2,0),"Bulunamadı"),"")</f>
        <v/>
      </c>
      <c r="E25" s="22" t="str">
        <f>IF(C25&lt;&gt;"",IFERROR(VLOOKUP(C25,'Personel Listesi'!$B$4:$D$303,3,0),""),"")</f>
        <v/>
      </c>
      <c r="F25" s="14"/>
      <c r="G25" s="14"/>
      <c r="H25" s="23" t="str">
        <f t="shared" si="1"/>
        <v/>
      </c>
      <c r="I25" s="24" t="str">
        <f t="shared" si="2"/>
        <v/>
      </c>
      <c r="J25" s="12" t="str">
        <f t="shared" si="3"/>
        <v/>
      </c>
      <c r="K25" s="6"/>
      <c r="L25" s="7"/>
      <c r="M25" s="7"/>
      <c r="N25" s="7"/>
      <c r="O25" s="7"/>
    </row>
    <row r="26" spans="1:15" ht="19.5" customHeight="1" x14ac:dyDescent="0.3">
      <c r="A26" s="3" t="str">
        <f t="shared" si="0"/>
        <v/>
      </c>
      <c r="B26" s="5"/>
      <c r="C26" s="4"/>
      <c r="D26" s="22" t="str">
        <f>IF(C26&lt;&gt;"",IFERROR(VLOOKUP(C26,'Personel Listesi'!$B$4:$C$303,2,0),"Bulunamadı"),"")</f>
        <v/>
      </c>
      <c r="E26" s="22" t="str">
        <f>IF(C26&lt;&gt;"",IFERROR(VLOOKUP(C26,'Personel Listesi'!$B$4:$D$303,3,0),""),"")</f>
        <v/>
      </c>
      <c r="F26" s="11"/>
      <c r="G26" s="11"/>
      <c r="H26" s="23" t="str">
        <f t="shared" si="1"/>
        <v/>
      </c>
      <c r="I26" s="24" t="str">
        <f t="shared" si="2"/>
        <v/>
      </c>
      <c r="J26" s="12" t="str">
        <f t="shared" si="3"/>
        <v/>
      </c>
      <c r="K26" s="3"/>
      <c r="L26" s="4"/>
      <c r="M26" s="4"/>
      <c r="N26" s="4"/>
      <c r="O26" s="4"/>
    </row>
    <row r="27" spans="1:15" ht="19.5" customHeight="1" x14ac:dyDescent="0.3">
      <c r="A27" s="6" t="str">
        <f t="shared" si="0"/>
        <v/>
      </c>
      <c r="B27" s="8"/>
      <c r="C27" s="7"/>
      <c r="D27" s="22" t="str">
        <f>IF(C27&lt;&gt;"",IFERROR(VLOOKUP(C27,'Personel Listesi'!$B$4:$C$303,2,0),"Bulunamadı"),"")</f>
        <v/>
      </c>
      <c r="E27" s="22" t="str">
        <f>IF(C27&lt;&gt;"",IFERROR(VLOOKUP(C27,'Personel Listesi'!$B$4:$D$303,3,0),""),"")</f>
        <v/>
      </c>
      <c r="F27" s="14"/>
      <c r="G27" s="14"/>
      <c r="H27" s="23" t="str">
        <f t="shared" si="1"/>
        <v/>
      </c>
      <c r="I27" s="24" t="str">
        <f t="shared" si="2"/>
        <v/>
      </c>
      <c r="J27" s="12" t="str">
        <f t="shared" si="3"/>
        <v/>
      </c>
      <c r="K27" s="6"/>
      <c r="L27" s="7"/>
      <c r="M27" s="7"/>
      <c r="N27" s="7"/>
      <c r="O27" s="7"/>
    </row>
    <row r="28" spans="1:15" ht="19.5" customHeight="1" x14ac:dyDescent="0.3">
      <c r="A28" s="3" t="str">
        <f t="shared" si="0"/>
        <v/>
      </c>
      <c r="B28" s="5"/>
      <c r="C28" s="4"/>
      <c r="D28" s="22" t="str">
        <f>IF(C28&lt;&gt;"",IFERROR(VLOOKUP(C28,'Personel Listesi'!$B$4:$C$303,2,0),"Bulunamadı"),"")</f>
        <v/>
      </c>
      <c r="E28" s="22" t="str">
        <f>IF(C28&lt;&gt;"",IFERROR(VLOOKUP(C28,'Personel Listesi'!$B$4:$D$303,3,0),""),"")</f>
        <v/>
      </c>
      <c r="F28" s="11"/>
      <c r="G28" s="11"/>
      <c r="H28" s="23" t="str">
        <f t="shared" si="1"/>
        <v/>
      </c>
      <c r="I28" s="24" t="str">
        <f t="shared" si="2"/>
        <v/>
      </c>
      <c r="J28" s="12" t="str">
        <f t="shared" si="3"/>
        <v/>
      </c>
      <c r="K28" s="3"/>
      <c r="L28" s="4"/>
      <c r="M28" s="4"/>
      <c r="N28" s="4"/>
      <c r="O28" s="4"/>
    </row>
    <row r="29" spans="1:15" ht="19.5" customHeight="1" x14ac:dyDescent="0.3">
      <c r="A29" s="6" t="str">
        <f t="shared" si="0"/>
        <v/>
      </c>
      <c r="B29" s="8"/>
      <c r="C29" s="7"/>
      <c r="D29" s="22" t="str">
        <f>IF(C29&lt;&gt;"",IFERROR(VLOOKUP(C29,'Personel Listesi'!$B$4:$C$303,2,0),"Bulunamadı"),"")</f>
        <v/>
      </c>
      <c r="E29" s="22" t="str">
        <f>IF(C29&lt;&gt;"",IFERROR(VLOOKUP(C29,'Personel Listesi'!$B$4:$D$303,3,0),""),"")</f>
        <v/>
      </c>
      <c r="F29" s="14"/>
      <c r="G29" s="14"/>
      <c r="H29" s="23" t="str">
        <f t="shared" si="1"/>
        <v/>
      </c>
      <c r="I29" s="24" t="str">
        <f t="shared" si="2"/>
        <v/>
      </c>
      <c r="J29" s="12" t="str">
        <f t="shared" si="3"/>
        <v/>
      </c>
      <c r="K29" s="6"/>
      <c r="L29" s="7"/>
      <c r="M29" s="7"/>
      <c r="N29" s="7"/>
      <c r="O29" s="7"/>
    </row>
    <row r="30" spans="1:15" ht="19.5" customHeight="1" x14ac:dyDescent="0.3">
      <c r="A30" s="3" t="str">
        <f t="shared" si="0"/>
        <v/>
      </c>
      <c r="B30" s="5"/>
      <c r="C30" s="4"/>
      <c r="D30" s="22" t="str">
        <f>IF(C30&lt;&gt;"",IFERROR(VLOOKUP(C30,'Personel Listesi'!$B$4:$C$303,2,0),"Bulunamadı"),"")</f>
        <v/>
      </c>
      <c r="E30" s="22" t="str">
        <f>IF(C30&lt;&gt;"",IFERROR(VLOOKUP(C30,'Personel Listesi'!$B$4:$D$303,3,0),""),"")</f>
        <v/>
      </c>
      <c r="F30" s="11"/>
      <c r="G30" s="11"/>
      <c r="H30" s="23" t="str">
        <f t="shared" si="1"/>
        <v/>
      </c>
      <c r="I30" s="24" t="str">
        <f t="shared" si="2"/>
        <v/>
      </c>
      <c r="J30" s="12" t="str">
        <f t="shared" si="3"/>
        <v/>
      </c>
      <c r="K30" s="3"/>
      <c r="L30" s="4"/>
      <c r="M30" s="4"/>
      <c r="N30" s="4"/>
      <c r="O30" s="4"/>
    </row>
    <row r="31" spans="1:15" ht="19.5" customHeight="1" x14ac:dyDescent="0.3">
      <c r="A31" s="6" t="str">
        <f t="shared" si="0"/>
        <v/>
      </c>
      <c r="B31" s="8"/>
      <c r="C31" s="7"/>
      <c r="D31" s="22" t="str">
        <f>IF(C31&lt;&gt;"",IFERROR(VLOOKUP(C31,'Personel Listesi'!$B$4:$C$303,2,0),"Bulunamadı"),"")</f>
        <v/>
      </c>
      <c r="E31" s="22" t="str">
        <f>IF(C31&lt;&gt;"",IFERROR(VLOOKUP(C31,'Personel Listesi'!$B$4:$D$303,3,0),""),"")</f>
        <v/>
      </c>
      <c r="F31" s="14"/>
      <c r="G31" s="14"/>
      <c r="H31" s="23" t="str">
        <f t="shared" si="1"/>
        <v/>
      </c>
      <c r="I31" s="24" t="str">
        <f t="shared" si="2"/>
        <v/>
      </c>
      <c r="J31" s="12" t="str">
        <f t="shared" si="3"/>
        <v/>
      </c>
      <c r="K31" s="6"/>
      <c r="L31" s="7"/>
      <c r="M31" s="7"/>
      <c r="N31" s="7"/>
      <c r="O31" s="7"/>
    </row>
    <row r="32" spans="1:15" ht="19.5" customHeight="1" x14ac:dyDescent="0.3">
      <c r="A32" s="3" t="str">
        <f t="shared" si="0"/>
        <v/>
      </c>
      <c r="B32" s="5"/>
      <c r="C32" s="4"/>
      <c r="D32" s="22" t="str">
        <f>IF(C32&lt;&gt;"",IFERROR(VLOOKUP(C32,'Personel Listesi'!$B$4:$C$303,2,0),"Bulunamadı"),"")</f>
        <v/>
      </c>
      <c r="E32" s="22" t="str">
        <f>IF(C32&lt;&gt;"",IFERROR(VLOOKUP(C32,'Personel Listesi'!$B$4:$D$303,3,0),""),"")</f>
        <v/>
      </c>
      <c r="F32" s="11"/>
      <c r="G32" s="11"/>
      <c r="H32" s="23" t="str">
        <f t="shared" si="1"/>
        <v/>
      </c>
      <c r="I32" s="24" t="str">
        <f t="shared" si="2"/>
        <v/>
      </c>
      <c r="J32" s="12" t="str">
        <f t="shared" si="3"/>
        <v/>
      </c>
      <c r="K32" s="3"/>
      <c r="L32" s="4"/>
      <c r="M32" s="4"/>
      <c r="N32" s="4"/>
      <c r="O32" s="4"/>
    </row>
    <row r="33" spans="1:15" ht="19.5" customHeight="1" x14ac:dyDescent="0.3">
      <c r="A33" s="6" t="str">
        <f t="shared" si="0"/>
        <v/>
      </c>
      <c r="B33" s="8"/>
      <c r="C33" s="7"/>
      <c r="D33" s="22" t="str">
        <f>IF(C33&lt;&gt;"",IFERROR(VLOOKUP(C33,'Personel Listesi'!$B$4:$C$303,2,0),"Bulunamadı"),"")</f>
        <v/>
      </c>
      <c r="E33" s="22" t="str">
        <f>IF(C33&lt;&gt;"",IFERROR(VLOOKUP(C33,'Personel Listesi'!$B$4:$D$303,3,0),""),"")</f>
        <v/>
      </c>
      <c r="F33" s="14"/>
      <c r="G33" s="14"/>
      <c r="H33" s="23" t="str">
        <f t="shared" si="1"/>
        <v/>
      </c>
      <c r="I33" s="24" t="str">
        <f t="shared" si="2"/>
        <v/>
      </c>
      <c r="J33" s="12" t="str">
        <f t="shared" si="3"/>
        <v/>
      </c>
      <c r="K33" s="6"/>
      <c r="L33" s="7"/>
      <c r="M33" s="7"/>
      <c r="N33" s="7"/>
      <c r="O33" s="7"/>
    </row>
    <row r="34" spans="1:15" ht="19.5" customHeight="1" x14ac:dyDescent="0.3">
      <c r="A34" s="3" t="str">
        <f t="shared" si="0"/>
        <v/>
      </c>
      <c r="B34" s="5"/>
      <c r="C34" s="4"/>
      <c r="D34" s="22" t="str">
        <f>IF(C34&lt;&gt;"",IFERROR(VLOOKUP(C34,'Personel Listesi'!$B$4:$C$303,2,0),"Bulunamadı"),"")</f>
        <v/>
      </c>
      <c r="E34" s="22" t="str">
        <f>IF(C34&lt;&gt;"",IFERROR(VLOOKUP(C34,'Personel Listesi'!$B$4:$D$303,3,0),""),"")</f>
        <v/>
      </c>
      <c r="F34" s="11"/>
      <c r="G34" s="11"/>
      <c r="H34" s="23" t="str">
        <f t="shared" si="1"/>
        <v/>
      </c>
      <c r="I34" s="24" t="str">
        <f t="shared" si="2"/>
        <v/>
      </c>
      <c r="J34" s="12" t="str">
        <f t="shared" si="3"/>
        <v/>
      </c>
      <c r="K34" s="3"/>
      <c r="L34" s="4"/>
      <c r="M34" s="4"/>
      <c r="N34" s="4"/>
      <c r="O34" s="4"/>
    </row>
    <row r="35" spans="1:15" ht="19.5" customHeight="1" x14ac:dyDescent="0.3">
      <c r="A35" s="6" t="str">
        <f t="shared" si="0"/>
        <v/>
      </c>
      <c r="B35" s="8"/>
      <c r="C35" s="7"/>
      <c r="D35" s="22" t="str">
        <f>IF(C35&lt;&gt;"",IFERROR(VLOOKUP(C35,'Personel Listesi'!$B$4:$C$303,2,0),"Bulunamadı"),"")</f>
        <v/>
      </c>
      <c r="E35" s="22" t="str">
        <f>IF(C35&lt;&gt;"",IFERROR(VLOOKUP(C35,'Personel Listesi'!$B$4:$D$303,3,0),""),"")</f>
        <v/>
      </c>
      <c r="F35" s="14"/>
      <c r="G35" s="14"/>
      <c r="H35" s="23" t="str">
        <f t="shared" si="1"/>
        <v/>
      </c>
      <c r="I35" s="24" t="str">
        <f t="shared" si="2"/>
        <v/>
      </c>
      <c r="J35" s="12" t="str">
        <f t="shared" si="3"/>
        <v/>
      </c>
      <c r="K35" s="6"/>
      <c r="L35" s="7"/>
      <c r="M35" s="7"/>
      <c r="N35" s="7"/>
      <c r="O35" s="7"/>
    </row>
    <row r="36" spans="1:15" ht="19.5" customHeight="1" x14ac:dyDescent="0.3">
      <c r="A36" s="3" t="str">
        <f t="shared" si="0"/>
        <v/>
      </c>
      <c r="B36" s="5"/>
      <c r="C36" s="4"/>
      <c r="D36" s="22" t="str">
        <f>IF(C36&lt;&gt;"",IFERROR(VLOOKUP(C36,'Personel Listesi'!$B$4:$C$303,2,0),"Bulunamadı"),"")</f>
        <v/>
      </c>
      <c r="E36" s="22" t="str">
        <f>IF(C36&lt;&gt;"",IFERROR(VLOOKUP(C36,'Personel Listesi'!$B$4:$D$303,3,0),""),"")</f>
        <v/>
      </c>
      <c r="F36" s="11"/>
      <c r="G36" s="11"/>
      <c r="H36" s="23" t="str">
        <f t="shared" si="1"/>
        <v/>
      </c>
      <c r="I36" s="24" t="str">
        <f t="shared" si="2"/>
        <v/>
      </c>
      <c r="J36" s="12" t="str">
        <f t="shared" si="3"/>
        <v/>
      </c>
      <c r="K36" s="3"/>
      <c r="L36" s="4"/>
      <c r="M36" s="4"/>
      <c r="N36" s="4"/>
      <c r="O36" s="4"/>
    </row>
    <row r="37" spans="1:15" ht="19.5" customHeight="1" x14ac:dyDescent="0.3">
      <c r="A37" s="6" t="str">
        <f t="shared" si="0"/>
        <v/>
      </c>
      <c r="B37" s="8"/>
      <c r="C37" s="7"/>
      <c r="D37" s="22" t="str">
        <f>IF(C37&lt;&gt;"",IFERROR(VLOOKUP(C37,'Personel Listesi'!$B$4:$C$303,2,0),"Bulunamadı"),"")</f>
        <v/>
      </c>
      <c r="E37" s="22" t="str">
        <f>IF(C37&lt;&gt;"",IFERROR(VLOOKUP(C37,'Personel Listesi'!$B$4:$D$303,3,0),""),"")</f>
        <v/>
      </c>
      <c r="F37" s="14"/>
      <c r="G37" s="14"/>
      <c r="H37" s="23" t="str">
        <f t="shared" si="1"/>
        <v/>
      </c>
      <c r="I37" s="24" t="str">
        <f t="shared" si="2"/>
        <v/>
      </c>
      <c r="J37" s="12" t="str">
        <f t="shared" si="3"/>
        <v/>
      </c>
      <c r="K37" s="6"/>
      <c r="L37" s="7"/>
      <c r="M37" s="7"/>
      <c r="N37" s="7"/>
      <c r="O37" s="7"/>
    </row>
    <row r="38" spans="1:15" ht="19.5" customHeight="1" x14ac:dyDescent="0.3">
      <c r="A38" s="3" t="str">
        <f t="shared" si="0"/>
        <v/>
      </c>
      <c r="B38" s="5"/>
      <c r="C38" s="4"/>
      <c r="D38" s="22" t="str">
        <f>IF(C38&lt;&gt;"",IFERROR(VLOOKUP(C38,'Personel Listesi'!$B$4:$C$303,2,0),"Bulunamadı"),"")</f>
        <v/>
      </c>
      <c r="E38" s="22" t="str">
        <f>IF(C38&lt;&gt;"",IFERROR(VLOOKUP(C38,'Personel Listesi'!$B$4:$D$303,3,0),""),"")</f>
        <v/>
      </c>
      <c r="F38" s="11"/>
      <c r="G38" s="11"/>
      <c r="H38" s="23" t="str">
        <f t="shared" si="1"/>
        <v/>
      </c>
      <c r="I38" s="24" t="str">
        <f t="shared" si="2"/>
        <v/>
      </c>
      <c r="J38" s="12" t="str">
        <f t="shared" si="3"/>
        <v/>
      </c>
      <c r="K38" s="3"/>
      <c r="L38" s="4"/>
      <c r="M38" s="4"/>
      <c r="N38" s="4"/>
      <c r="O38" s="4"/>
    </row>
    <row r="39" spans="1:15" ht="19.5" customHeight="1" x14ac:dyDescent="0.3">
      <c r="A39" s="6" t="str">
        <f t="shared" si="0"/>
        <v/>
      </c>
      <c r="B39" s="8"/>
      <c r="C39" s="7"/>
      <c r="D39" s="22" t="str">
        <f>IF(C39&lt;&gt;"",IFERROR(VLOOKUP(C39,'Personel Listesi'!$B$4:$C$303,2,0),"Bulunamadı"),"")</f>
        <v/>
      </c>
      <c r="E39" s="22" t="str">
        <f>IF(C39&lt;&gt;"",IFERROR(VLOOKUP(C39,'Personel Listesi'!$B$4:$D$303,3,0),""),"")</f>
        <v/>
      </c>
      <c r="F39" s="14"/>
      <c r="G39" s="14"/>
      <c r="H39" s="23" t="str">
        <f t="shared" si="1"/>
        <v/>
      </c>
      <c r="I39" s="24" t="str">
        <f t="shared" si="2"/>
        <v/>
      </c>
      <c r="J39" s="12" t="str">
        <f t="shared" si="3"/>
        <v/>
      </c>
      <c r="K39" s="6"/>
      <c r="L39" s="7"/>
      <c r="M39" s="7"/>
      <c r="N39" s="7"/>
      <c r="O39" s="7"/>
    </row>
    <row r="40" spans="1:15" ht="19.5" customHeight="1" x14ac:dyDescent="0.3">
      <c r="A40" s="3" t="str">
        <f t="shared" si="0"/>
        <v/>
      </c>
      <c r="B40" s="5"/>
      <c r="C40" s="4"/>
      <c r="D40" s="22" t="str">
        <f>IF(C40&lt;&gt;"",IFERROR(VLOOKUP(C40,'Personel Listesi'!$B$4:$C$303,2,0),"Bulunamadı"),"")</f>
        <v/>
      </c>
      <c r="E40" s="22" t="str">
        <f>IF(C40&lt;&gt;"",IFERROR(VLOOKUP(C40,'Personel Listesi'!$B$4:$D$303,3,0),""),"")</f>
        <v/>
      </c>
      <c r="F40" s="11"/>
      <c r="G40" s="11"/>
      <c r="H40" s="23" t="str">
        <f t="shared" si="1"/>
        <v/>
      </c>
      <c r="I40" s="24" t="str">
        <f t="shared" si="2"/>
        <v/>
      </c>
      <c r="J40" s="12" t="str">
        <f t="shared" si="3"/>
        <v/>
      </c>
      <c r="K40" s="3"/>
      <c r="L40" s="4"/>
      <c r="M40" s="4"/>
      <c r="N40" s="4"/>
      <c r="O40" s="4"/>
    </row>
    <row r="41" spans="1:15" ht="19.5" customHeight="1" x14ac:dyDescent="0.3">
      <c r="A41" s="6" t="str">
        <f t="shared" si="0"/>
        <v/>
      </c>
      <c r="B41" s="8"/>
      <c r="C41" s="7"/>
      <c r="D41" s="22" t="str">
        <f>IF(C41&lt;&gt;"",IFERROR(VLOOKUP(C41,'Personel Listesi'!$B$4:$C$303,2,0),"Bulunamadı"),"")</f>
        <v/>
      </c>
      <c r="E41" s="22" t="str">
        <f>IF(C41&lt;&gt;"",IFERROR(VLOOKUP(C41,'Personel Listesi'!$B$4:$D$303,3,0),""),"")</f>
        <v/>
      </c>
      <c r="F41" s="14"/>
      <c r="G41" s="14"/>
      <c r="H41" s="23" t="str">
        <f t="shared" si="1"/>
        <v/>
      </c>
      <c r="I41" s="24" t="str">
        <f t="shared" si="2"/>
        <v/>
      </c>
      <c r="J41" s="12" t="str">
        <f t="shared" si="3"/>
        <v/>
      </c>
      <c r="K41" s="6"/>
      <c r="L41" s="7"/>
      <c r="M41" s="7"/>
      <c r="N41" s="7"/>
      <c r="O41" s="7"/>
    </row>
    <row r="42" spans="1:15" ht="19.5" customHeight="1" x14ac:dyDescent="0.3">
      <c r="A42" s="3" t="str">
        <f t="shared" si="0"/>
        <v/>
      </c>
      <c r="B42" s="5"/>
      <c r="C42" s="4"/>
      <c r="D42" s="22" t="str">
        <f>IF(C42&lt;&gt;"",IFERROR(VLOOKUP(C42,'Personel Listesi'!$B$4:$C$303,2,0),"Bulunamadı"),"")</f>
        <v/>
      </c>
      <c r="E42" s="22" t="str">
        <f>IF(C42&lt;&gt;"",IFERROR(VLOOKUP(C42,'Personel Listesi'!$B$4:$D$303,3,0),""),"")</f>
        <v/>
      </c>
      <c r="F42" s="11"/>
      <c r="G42" s="11"/>
      <c r="H42" s="23" t="str">
        <f t="shared" si="1"/>
        <v/>
      </c>
      <c r="I42" s="24" t="str">
        <f t="shared" si="2"/>
        <v/>
      </c>
      <c r="J42" s="12" t="str">
        <f t="shared" si="3"/>
        <v/>
      </c>
      <c r="K42" s="3"/>
      <c r="L42" s="4"/>
      <c r="M42" s="4"/>
      <c r="N42" s="4"/>
      <c r="O42" s="4"/>
    </row>
    <row r="43" spans="1:15" ht="19.5" customHeight="1" x14ac:dyDescent="0.3">
      <c r="A43" s="6" t="str">
        <f t="shared" si="0"/>
        <v/>
      </c>
      <c r="B43" s="8"/>
      <c r="C43" s="7"/>
      <c r="D43" s="22" t="str">
        <f>IF(C43&lt;&gt;"",IFERROR(VLOOKUP(C43,'Personel Listesi'!$B$4:$C$303,2,0),"Bulunamadı"),"")</f>
        <v/>
      </c>
      <c r="E43" s="22" t="str">
        <f>IF(C43&lt;&gt;"",IFERROR(VLOOKUP(C43,'Personel Listesi'!$B$4:$D$303,3,0),""),"")</f>
        <v/>
      </c>
      <c r="F43" s="14"/>
      <c r="G43" s="14"/>
      <c r="H43" s="23" t="str">
        <f t="shared" si="1"/>
        <v/>
      </c>
      <c r="I43" s="24" t="str">
        <f t="shared" si="2"/>
        <v/>
      </c>
      <c r="J43" s="12" t="str">
        <f t="shared" si="3"/>
        <v/>
      </c>
      <c r="K43" s="6"/>
      <c r="L43" s="7"/>
      <c r="M43" s="7"/>
      <c r="N43" s="7"/>
      <c r="O43" s="7"/>
    </row>
    <row r="44" spans="1:15" ht="19.5" customHeight="1" x14ac:dyDescent="0.3">
      <c r="A44" s="3" t="str">
        <f t="shared" si="0"/>
        <v/>
      </c>
      <c r="B44" s="5"/>
      <c r="C44" s="4"/>
      <c r="D44" s="22" t="str">
        <f>IF(C44&lt;&gt;"",IFERROR(VLOOKUP(C44,'Personel Listesi'!$B$4:$C$303,2,0),"Bulunamadı"),"")</f>
        <v/>
      </c>
      <c r="E44" s="22" t="str">
        <f>IF(C44&lt;&gt;"",IFERROR(VLOOKUP(C44,'Personel Listesi'!$B$4:$D$303,3,0),""),"")</f>
        <v/>
      </c>
      <c r="F44" s="11"/>
      <c r="G44" s="11"/>
      <c r="H44" s="23" t="str">
        <f t="shared" si="1"/>
        <v/>
      </c>
      <c r="I44" s="24" t="str">
        <f t="shared" si="2"/>
        <v/>
      </c>
      <c r="J44" s="12" t="str">
        <f t="shared" si="3"/>
        <v/>
      </c>
      <c r="K44" s="3"/>
      <c r="L44" s="4"/>
      <c r="M44" s="4"/>
      <c r="N44" s="4"/>
      <c r="O44" s="4"/>
    </row>
    <row r="45" spans="1:15" ht="19.5" customHeight="1" x14ac:dyDescent="0.3">
      <c r="A45" s="6" t="str">
        <f t="shared" si="0"/>
        <v/>
      </c>
      <c r="B45" s="8"/>
      <c r="C45" s="7"/>
      <c r="D45" s="22" t="str">
        <f>IF(C45&lt;&gt;"",IFERROR(VLOOKUP(C45,'Personel Listesi'!$B$4:$C$303,2,0),"Bulunamadı"),"")</f>
        <v/>
      </c>
      <c r="E45" s="22" t="str">
        <f>IF(C45&lt;&gt;"",IFERROR(VLOOKUP(C45,'Personel Listesi'!$B$4:$D$303,3,0),""),"")</f>
        <v/>
      </c>
      <c r="F45" s="14"/>
      <c r="G45" s="14"/>
      <c r="H45" s="23" t="str">
        <f t="shared" si="1"/>
        <v/>
      </c>
      <c r="I45" s="24" t="str">
        <f t="shared" si="2"/>
        <v/>
      </c>
      <c r="J45" s="12" t="str">
        <f t="shared" si="3"/>
        <v/>
      </c>
      <c r="K45" s="6"/>
      <c r="L45" s="7"/>
      <c r="M45" s="7"/>
      <c r="N45" s="7"/>
      <c r="O45" s="7"/>
    </row>
    <row r="46" spans="1:15" ht="19.5" customHeight="1" x14ac:dyDescent="0.3">
      <c r="A46" s="3" t="str">
        <f t="shared" si="0"/>
        <v/>
      </c>
      <c r="B46" s="5"/>
      <c r="C46" s="4"/>
      <c r="D46" s="22" t="str">
        <f>IF(C46&lt;&gt;"",IFERROR(VLOOKUP(C46,'Personel Listesi'!$B$4:$C$303,2,0),"Bulunamadı"),"")</f>
        <v/>
      </c>
      <c r="E46" s="22" t="str">
        <f>IF(C46&lt;&gt;"",IFERROR(VLOOKUP(C46,'Personel Listesi'!$B$4:$D$303,3,0),""),"")</f>
        <v/>
      </c>
      <c r="F46" s="11"/>
      <c r="G46" s="11"/>
      <c r="H46" s="23" t="str">
        <f t="shared" si="1"/>
        <v/>
      </c>
      <c r="I46" s="24" t="str">
        <f t="shared" si="2"/>
        <v/>
      </c>
      <c r="J46" s="12" t="str">
        <f t="shared" si="3"/>
        <v/>
      </c>
      <c r="K46" s="3"/>
      <c r="L46" s="4"/>
      <c r="M46" s="4"/>
      <c r="N46" s="4"/>
      <c r="O46" s="4"/>
    </row>
    <row r="47" spans="1:15" ht="19.5" customHeight="1" x14ac:dyDescent="0.3">
      <c r="A47" s="6" t="str">
        <f t="shared" si="0"/>
        <v/>
      </c>
      <c r="B47" s="8"/>
      <c r="C47" s="7"/>
      <c r="D47" s="22" t="str">
        <f>IF(C47&lt;&gt;"",IFERROR(VLOOKUP(C47,'Personel Listesi'!$B$4:$C$303,2,0),"Bulunamadı"),"")</f>
        <v/>
      </c>
      <c r="E47" s="22" t="str">
        <f>IF(C47&lt;&gt;"",IFERROR(VLOOKUP(C47,'Personel Listesi'!$B$4:$D$303,3,0),""),"")</f>
        <v/>
      </c>
      <c r="F47" s="14"/>
      <c r="G47" s="14"/>
      <c r="H47" s="23" t="str">
        <f t="shared" si="1"/>
        <v/>
      </c>
      <c r="I47" s="24" t="str">
        <f t="shared" si="2"/>
        <v/>
      </c>
      <c r="J47" s="12" t="str">
        <f t="shared" si="3"/>
        <v/>
      </c>
      <c r="K47" s="6"/>
      <c r="L47" s="7"/>
      <c r="M47" s="7"/>
      <c r="N47" s="7"/>
      <c r="O47" s="7"/>
    </row>
    <row r="48" spans="1:15" ht="19.5" customHeight="1" x14ac:dyDescent="0.3">
      <c r="A48" s="3" t="str">
        <f t="shared" si="0"/>
        <v/>
      </c>
      <c r="B48" s="5"/>
      <c r="C48" s="4"/>
      <c r="D48" s="22" t="str">
        <f>IF(C48&lt;&gt;"",IFERROR(VLOOKUP(C48,'Personel Listesi'!$B$4:$C$303,2,0),"Bulunamadı"),"")</f>
        <v/>
      </c>
      <c r="E48" s="22" t="str">
        <f>IF(C48&lt;&gt;"",IFERROR(VLOOKUP(C48,'Personel Listesi'!$B$4:$D$303,3,0),""),"")</f>
        <v/>
      </c>
      <c r="F48" s="11"/>
      <c r="G48" s="11"/>
      <c r="H48" s="23" t="str">
        <f t="shared" si="1"/>
        <v/>
      </c>
      <c r="I48" s="24" t="str">
        <f t="shared" si="2"/>
        <v/>
      </c>
      <c r="J48" s="12" t="str">
        <f t="shared" si="3"/>
        <v/>
      </c>
      <c r="K48" s="3"/>
      <c r="L48" s="4"/>
      <c r="M48" s="4"/>
      <c r="N48" s="4"/>
      <c r="O48" s="4"/>
    </row>
    <row r="49" spans="1:15" ht="19.5" customHeight="1" x14ac:dyDescent="0.3">
      <c r="A49" s="6" t="str">
        <f t="shared" si="0"/>
        <v/>
      </c>
      <c r="B49" s="8"/>
      <c r="C49" s="7"/>
      <c r="D49" s="22" t="str">
        <f>IF(C49&lt;&gt;"",IFERROR(VLOOKUP(C49,'Personel Listesi'!$B$4:$C$303,2,0),"Bulunamadı"),"")</f>
        <v/>
      </c>
      <c r="E49" s="22" t="str">
        <f>IF(C49&lt;&gt;"",IFERROR(VLOOKUP(C49,'Personel Listesi'!$B$4:$D$303,3,0),""),"")</f>
        <v/>
      </c>
      <c r="F49" s="14"/>
      <c r="G49" s="14"/>
      <c r="H49" s="23" t="str">
        <f t="shared" si="1"/>
        <v/>
      </c>
      <c r="I49" s="24" t="str">
        <f t="shared" si="2"/>
        <v/>
      </c>
      <c r="J49" s="12" t="str">
        <f t="shared" si="3"/>
        <v/>
      </c>
      <c r="K49" s="6"/>
      <c r="L49" s="7"/>
      <c r="M49" s="7"/>
      <c r="N49" s="7"/>
      <c r="O49" s="7"/>
    </row>
    <row r="50" spans="1:15" ht="19.5" customHeight="1" x14ac:dyDescent="0.3">
      <c r="A50" s="3" t="str">
        <f t="shared" si="0"/>
        <v/>
      </c>
      <c r="B50" s="5"/>
      <c r="C50" s="4"/>
      <c r="D50" s="22" t="str">
        <f>IF(C50&lt;&gt;"",IFERROR(VLOOKUP(C50,'Personel Listesi'!$B$4:$C$303,2,0),"Bulunamadı"),"")</f>
        <v/>
      </c>
      <c r="E50" s="22" t="str">
        <f>IF(C50&lt;&gt;"",IFERROR(VLOOKUP(C50,'Personel Listesi'!$B$4:$D$303,3,0),""),"")</f>
        <v/>
      </c>
      <c r="F50" s="11"/>
      <c r="G50" s="11"/>
      <c r="H50" s="23" t="str">
        <f t="shared" si="1"/>
        <v/>
      </c>
      <c r="I50" s="24" t="str">
        <f t="shared" si="2"/>
        <v/>
      </c>
      <c r="J50" s="12" t="str">
        <f t="shared" si="3"/>
        <v/>
      </c>
      <c r="K50" s="3"/>
      <c r="L50" s="4"/>
      <c r="M50" s="4"/>
      <c r="N50" s="4"/>
      <c r="O50" s="4"/>
    </row>
    <row r="51" spans="1:15" ht="19.5" customHeight="1" x14ac:dyDescent="0.3">
      <c r="A51" s="6" t="str">
        <f t="shared" si="0"/>
        <v/>
      </c>
      <c r="B51" s="8"/>
      <c r="C51" s="7"/>
      <c r="D51" s="22" t="str">
        <f>IF(C51&lt;&gt;"",IFERROR(VLOOKUP(C51,'Personel Listesi'!$B$4:$C$303,2,0),"Bulunamadı"),"")</f>
        <v/>
      </c>
      <c r="E51" s="22" t="str">
        <f>IF(C51&lt;&gt;"",IFERROR(VLOOKUP(C51,'Personel Listesi'!$B$4:$D$303,3,0),""),"")</f>
        <v/>
      </c>
      <c r="F51" s="14"/>
      <c r="G51" s="14"/>
      <c r="H51" s="23" t="str">
        <f t="shared" si="1"/>
        <v/>
      </c>
      <c r="I51" s="24" t="str">
        <f t="shared" si="2"/>
        <v/>
      </c>
      <c r="J51" s="12" t="str">
        <f t="shared" si="3"/>
        <v/>
      </c>
      <c r="K51" s="6"/>
      <c r="L51" s="7"/>
      <c r="M51" s="7"/>
      <c r="N51" s="7"/>
      <c r="O51" s="7"/>
    </row>
    <row r="52" spans="1:15" ht="19.5" customHeight="1" x14ac:dyDescent="0.3">
      <c r="A52" s="3" t="str">
        <f t="shared" si="0"/>
        <v/>
      </c>
      <c r="B52" s="5"/>
      <c r="C52" s="4"/>
      <c r="D52" s="22" t="str">
        <f>IF(C52&lt;&gt;"",IFERROR(VLOOKUP(C52,'Personel Listesi'!$B$4:$C$303,2,0),"Bulunamadı"),"")</f>
        <v/>
      </c>
      <c r="E52" s="22" t="str">
        <f>IF(C52&lt;&gt;"",IFERROR(VLOOKUP(C52,'Personel Listesi'!$B$4:$D$303,3,0),""),"")</f>
        <v/>
      </c>
      <c r="F52" s="11"/>
      <c r="G52" s="11"/>
      <c r="H52" s="23" t="str">
        <f t="shared" si="1"/>
        <v/>
      </c>
      <c r="I52" s="24" t="str">
        <f t="shared" si="2"/>
        <v/>
      </c>
      <c r="J52" s="12" t="str">
        <f t="shared" si="3"/>
        <v/>
      </c>
      <c r="K52" s="3"/>
      <c r="L52" s="4"/>
      <c r="M52" s="4"/>
      <c r="N52" s="4"/>
      <c r="O52" s="4"/>
    </row>
    <row r="53" spans="1:15" ht="19.5" customHeight="1" x14ac:dyDescent="0.3">
      <c r="A53" s="6" t="str">
        <f t="shared" si="0"/>
        <v/>
      </c>
      <c r="B53" s="8"/>
      <c r="C53" s="7"/>
      <c r="D53" s="22" t="str">
        <f>IF(C53&lt;&gt;"",IFERROR(VLOOKUP(C53,'Personel Listesi'!$B$4:$C$303,2,0),"Bulunamadı"),"")</f>
        <v/>
      </c>
      <c r="E53" s="22" t="str">
        <f>IF(C53&lt;&gt;"",IFERROR(VLOOKUP(C53,'Personel Listesi'!$B$4:$D$303,3,0),""),"")</f>
        <v/>
      </c>
      <c r="F53" s="14"/>
      <c r="G53" s="14"/>
      <c r="H53" s="23" t="str">
        <f t="shared" si="1"/>
        <v/>
      </c>
      <c r="I53" s="24" t="str">
        <f t="shared" si="2"/>
        <v/>
      </c>
      <c r="J53" s="12" t="str">
        <f t="shared" si="3"/>
        <v/>
      </c>
      <c r="K53" s="6"/>
      <c r="L53" s="7"/>
      <c r="M53" s="7"/>
      <c r="N53" s="7"/>
      <c r="O53" s="7"/>
    </row>
    <row r="54" spans="1:15" ht="19.5" customHeight="1" x14ac:dyDescent="0.3">
      <c r="A54" s="3" t="str">
        <f t="shared" si="0"/>
        <v/>
      </c>
      <c r="B54" s="5"/>
      <c r="C54" s="4"/>
      <c r="D54" s="22" t="str">
        <f>IF(C54&lt;&gt;"",IFERROR(VLOOKUP(C54,'Personel Listesi'!$B$4:$C$303,2,0),"Bulunamadı"),"")</f>
        <v/>
      </c>
      <c r="E54" s="22" t="str">
        <f>IF(C54&lt;&gt;"",IFERROR(VLOOKUP(C54,'Personel Listesi'!$B$4:$D$303,3,0),""),"")</f>
        <v/>
      </c>
      <c r="F54" s="11"/>
      <c r="G54" s="11"/>
      <c r="H54" s="23" t="str">
        <f t="shared" si="1"/>
        <v/>
      </c>
      <c r="I54" s="24" t="str">
        <f t="shared" si="2"/>
        <v/>
      </c>
      <c r="J54" s="12" t="str">
        <f t="shared" si="3"/>
        <v/>
      </c>
      <c r="K54" s="3"/>
      <c r="L54" s="4"/>
      <c r="M54" s="4"/>
      <c r="N54" s="4"/>
      <c r="O54" s="4"/>
    </row>
    <row r="55" spans="1:15" ht="19.5" customHeight="1" x14ac:dyDescent="0.3">
      <c r="A55" s="6" t="str">
        <f t="shared" si="0"/>
        <v/>
      </c>
      <c r="B55" s="8"/>
      <c r="C55" s="7"/>
      <c r="D55" s="22" t="str">
        <f>IF(C55&lt;&gt;"",IFERROR(VLOOKUP(C55,'Personel Listesi'!$B$4:$C$303,2,0),"Bulunamadı"),"")</f>
        <v/>
      </c>
      <c r="E55" s="22" t="str">
        <f>IF(C55&lt;&gt;"",IFERROR(VLOOKUP(C55,'Personel Listesi'!$B$4:$D$303,3,0),""),"")</f>
        <v/>
      </c>
      <c r="F55" s="14"/>
      <c r="G55" s="14"/>
      <c r="H55" s="23" t="str">
        <f t="shared" si="1"/>
        <v/>
      </c>
      <c r="I55" s="24" t="str">
        <f t="shared" si="2"/>
        <v/>
      </c>
      <c r="J55" s="12" t="str">
        <f t="shared" si="3"/>
        <v/>
      </c>
      <c r="K55" s="6"/>
      <c r="L55" s="7"/>
      <c r="M55" s="7"/>
      <c r="N55" s="7"/>
      <c r="O55" s="7"/>
    </row>
    <row r="56" spans="1:15" ht="19.5" customHeight="1" x14ac:dyDescent="0.3">
      <c r="A56" s="3" t="str">
        <f t="shared" si="0"/>
        <v/>
      </c>
      <c r="B56" s="5"/>
      <c r="C56" s="4"/>
      <c r="D56" s="22" t="str">
        <f>IF(C56&lt;&gt;"",IFERROR(VLOOKUP(C56,'Personel Listesi'!$B$4:$C$303,2,0),"Bulunamadı"),"")</f>
        <v/>
      </c>
      <c r="E56" s="22" t="str">
        <f>IF(C56&lt;&gt;"",IFERROR(VLOOKUP(C56,'Personel Listesi'!$B$4:$D$303,3,0),""),"")</f>
        <v/>
      </c>
      <c r="F56" s="11"/>
      <c r="G56" s="11"/>
      <c r="H56" s="23" t="str">
        <f t="shared" si="1"/>
        <v/>
      </c>
      <c r="I56" s="24" t="str">
        <f t="shared" si="2"/>
        <v/>
      </c>
      <c r="J56" s="12" t="str">
        <f t="shared" si="3"/>
        <v/>
      </c>
      <c r="K56" s="3"/>
      <c r="L56" s="4"/>
      <c r="M56" s="4"/>
      <c r="N56" s="4"/>
      <c r="O56" s="4"/>
    </row>
    <row r="57" spans="1:15" ht="19.5" customHeight="1" x14ac:dyDescent="0.3">
      <c r="A57" s="6" t="str">
        <f t="shared" si="0"/>
        <v/>
      </c>
      <c r="B57" s="8"/>
      <c r="C57" s="7"/>
      <c r="D57" s="22" t="str">
        <f>IF(C57&lt;&gt;"",IFERROR(VLOOKUP(C57,'Personel Listesi'!$B$4:$C$303,2,0),"Bulunamadı"),"")</f>
        <v/>
      </c>
      <c r="E57" s="22" t="str">
        <f>IF(C57&lt;&gt;"",IFERROR(VLOOKUP(C57,'Personel Listesi'!$B$4:$D$303,3,0),""),"")</f>
        <v/>
      </c>
      <c r="F57" s="14"/>
      <c r="G57" s="14"/>
      <c r="H57" s="23" t="str">
        <f t="shared" si="1"/>
        <v/>
      </c>
      <c r="I57" s="24" t="str">
        <f t="shared" si="2"/>
        <v/>
      </c>
      <c r="J57" s="12" t="str">
        <f t="shared" si="3"/>
        <v/>
      </c>
      <c r="K57" s="6"/>
      <c r="L57" s="7"/>
      <c r="M57" s="7"/>
      <c r="N57" s="7"/>
      <c r="O57" s="7"/>
    </row>
    <row r="58" spans="1:15" ht="19.5" customHeight="1" x14ac:dyDescent="0.3">
      <c r="A58" s="3" t="str">
        <f t="shared" si="0"/>
        <v/>
      </c>
      <c r="B58" s="5"/>
      <c r="C58" s="4"/>
      <c r="D58" s="22" t="str">
        <f>IF(C58&lt;&gt;"",IFERROR(VLOOKUP(C58,'Personel Listesi'!$B$4:$C$303,2,0),"Bulunamadı"),"")</f>
        <v/>
      </c>
      <c r="E58" s="22" t="str">
        <f>IF(C58&lt;&gt;"",IFERROR(VLOOKUP(C58,'Personel Listesi'!$B$4:$D$303,3,0),""),"")</f>
        <v/>
      </c>
      <c r="F58" s="11"/>
      <c r="G58" s="11"/>
      <c r="H58" s="23" t="str">
        <f t="shared" si="1"/>
        <v/>
      </c>
      <c r="I58" s="24" t="str">
        <f t="shared" si="2"/>
        <v/>
      </c>
      <c r="J58" s="12" t="str">
        <f t="shared" si="3"/>
        <v/>
      </c>
      <c r="K58" s="3"/>
      <c r="L58" s="4"/>
      <c r="M58" s="4"/>
      <c r="N58" s="4"/>
      <c r="O58" s="4"/>
    </row>
    <row r="59" spans="1:15" ht="19.5" customHeight="1" x14ac:dyDescent="0.3">
      <c r="A59" s="6" t="str">
        <f t="shared" si="0"/>
        <v/>
      </c>
      <c r="B59" s="8"/>
      <c r="C59" s="7"/>
      <c r="D59" s="22" t="str">
        <f>IF(C59&lt;&gt;"",IFERROR(VLOOKUP(C59,'Personel Listesi'!$B$4:$C$303,2,0),"Bulunamadı"),"")</f>
        <v/>
      </c>
      <c r="E59" s="22" t="str">
        <f>IF(C59&lt;&gt;"",IFERROR(VLOOKUP(C59,'Personel Listesi'!$B$4:$D$303,3,0),""),"")</f>
        <v/>
      </c>
      <c r="F59" s="14"/>
      <c r="G59" s="14"/>
      <c r="H59" s="23" t="str">
        <f t="shared" si="1"/>
        <v/>
      </c>
      <c r="I59" s="24" t="str">
        <f t="shared" si="2"/>
        <v/>
      </c>
      <c r="J59" s="12" t="str">
        <f t="shared" si="3"/>
        <v/>
      </c>
      <c r="K59" s="6"/>
      <c r="L59" s="7"/>
      <c r="M59" s="7"/>
      <c r="N59" s="7"/>
      <c r="O59" s="7"/>
    </row>
    <row r="60" spans="1:15" ht="19.5" customHeight="1" x14ac:dyDescent="0.3">
      <c r="A60" s="3" t="str">
        <f t="shared" si="0"/>
        <v/>
      </c>
      <c r="B60" s="5"/>
      <c r="C60" s="4"/>
      <c r="D60" s="22" t="str">
        <f>IF(C60&lt;&gt;"",IFERROR(VLOOKUP(C60,'Personel Listesi'!$B$4:$C$303,2,0),"Bulunamadı"),"")</f>
        <v/>
      </c>
      <c r="E60" s="22" t="str">
        <f>IF(C60&lt;&gt;"",IFERROR(VLOOKUP(C60,'Personel Listesi'!$B$4:$D$303,3,0),""),"")</f>
        <v/>
      </c>
      <c r="F60" s="11"/>
      <c r="G60" s="11"/>
      <c r="H60" s="23" t="str">
        <f t="shared" si="1"/>
        <v/>
      </c>
      <c r="I60" s="24" t="str">
        <f t="shared" si="2"/>
        <v/>
      </c>
      <c r="J60" s="12" t="str">
        <f t="shared" si="3"/>
        <v/>
      </c>
      <c r="K60" s="3"/>
      <c r="L60" s="4"/>
      <c r="M60" s="4"/>
      <c r="N60" s="4"/>
      <c r="O60" s="4"/>
    </row>
    <row r="61" spans="1:15" ht="19.5" customHeight="1" x14ac:dyDescent="0.3">
      <c r="A61" s="6" t="str">
        <f t="shared" si="0"/>
        <v/>
      </c>
      <c r="B61" s="8"/>
      <c r="C61" s="7"/>
      <c r="D61" s="22" t="str">
        <f>IF(C61&lt;&gt;"",IFERROR(VLOOKUP(C61,'Personel Listesi'!$B$4:$C$303,2,0),"Bulunamadı"),"")</f>
        <v/>
      </c>
      <c r="E61" s="22" t="str">
        <f>IF(C61&lt;&gt;"",IFERROR(VLOOKUP(C61,'Personel Listesi'!$B$4:$D$303,3,0),""),"")</f>
        <v/>
      </c>
      <c r="F61" s="14"/>
      <c r="G61" s="14"/>
      <c r="H61" s="23" t="str">
        <f t="shared" si="1"/>
        <v/>
      </c>
      <c r="I61" s="24" t="str">
        <f t="shared" si="2"/>
        <v/>
      </c>
      <c r="J61" s="12" t="str">
        <f t="shared" si="3"/>
        <v/>
      </c>
      <c r="K61" s="6"/>
      <c r="L61" s="7"/>
      <c r="M61" s="7"/>
      <c r="N61" s="7"/>
      <c r="O61" s="7"/>
    </row>
    <row r="62" spans="1:15" ht="19.5" customHeight="1" x14ac:dyDescent="0.3">
      <c r="A62" s="3" t="str">
        <f t="shared" si="0"/>
        <v/>
      </c>
      <c r="B62" s="5"/>
      <c r="C62" s="4"/>
      <c r="D62" s="22" t="str">
        <f>IF(C62&lt;&gt;"",IFERROR(VLOOKUP(C62,'Personel Listesi'!$B$4:$C$303,2,0),"Bulunamadı"),"")</f>
        <v/>
      </c>
      <c r="E62" s="22" t="str">
        <f>IF(C62&lt;&gt;"",IFERROR(VLOOKUP(C62,'Personel Listesi'!$B$4:$D$303,3,0),""),"")</f>
        <v/>
      </c>
      <c r="F62" s="11"/>
      <c r="G62" s="11"/>
      <c r="H62" s="23" t="str">
        <f t="shared" si="1"/>
        <v/>
      </c>
      <c r="I62" s="24" t="str">
        <f t="shared" si="2"/>
        <v/>
      </c>
      <c r="J62" s="12" t="str">
        <f t="shared" si="3"/>
        <v/>
      </c>
      <c r="K62" s="3"/>
      <c r="L62" s="4"/>
      <c r="M62" s="4"/>
      <c r="N62" s="4"/>
      <c r="O62" s="4"/>
    </row>
    <row r="63" spans="1:15" ht="19.5" customHeight="1" x14ac:dyDescent="0.3">
      <c r="A63" s="6" t="str">
        <f t="shared" si="0"/>
        <v/>
      </c>
      <c r="B63" s="8"/>
      <c r="C63" s="7"/>
      <c r="D63" s="22" t="str">
        <f>IF(C63&lt;&gt;"",IFERROR(VLOOKUP(C63,'Personel Listesi'!$B$4:$C$303,2,0),"Bulunamadı"),"")</f>
        <v/>
      </c>
      <c r="E63" s="22" t="str">
        <f>IF(C63&lt;&gt;"",IFERROR(VLOOKUP(C63,'Personel Listesi'!$B$4:$D$303,3,0),""),"")</f>
        <v/>
      </c>
      <c r="F63" s="14"/>
      <c r="G63" s="14"/>
      <c r="H63" s="23" t="str">
        <f t="shared" si="1"/>
        <v/>
      </c>
      <c r="I63" s="24" t="str">
        <f t="shared" si="2"/>
        <v/>
      </c>
      <c r="J63" s="12" t="str">
        <f t="shared" si="3"/>
        <v/>
      </c>
      <c r="K63" s="6"/>
      <c r="L63" s="7"/>
      <c r="M63" s="7"/>
      <c r="N63" s="7"/>
      <c r="O63" s="7"/>
    </row>
    <row r="64" spans="1:15" ht="19.5" customHeight="1" x14ac:dyDescent="0.3">
      <c r="A64" s="3" t="str">
        <f t="shared" si="0"/>
        <v/>
      </c>
      <c r="B64" s="5"/>
      <c r="C64" s="4"/>
      <c r="D64" s="22" t="str">
        <f>IF(C64&lt;&gt;"",IFERROR(VLOOKUP(C64,'Personel Listesi'!$B$4:$C$303,2,0),"Bulunamadı"),"")</f>
        <v/>
      </c>
      <c r="E64" s="22" t="str">
        <f>IF(C64&lt;&gt;"",IFERROR(VLOOKUP(C64,'Personel Listesi'!$B$4:$D$303,3,0),""),"")</f>
        <v/>
      </c>
      <c r="F64" s="11"/>
      <c r="G64" s="11"/>
      <c r="H64" s="23" t="str">
        <f t="shared" si="1"/>
        <v/>
      </c>
      <c r="I64" s="24" t="str">
        <f t="shared" si="2"/>
        <v/>
      </c>
      <c r="J64" s="12" t="str">
        <f t="shared" si="3"/>
        <v/>
      </c>
      <c r="K64" s="3"/>
      <c r="L64" s="4"/>
      <c r="M64" s="4"/>
      <c r="N64" s="4"/>
      <c r="O64" s="4"/>
    </row>
    <row r="65" spans="1:15" ht="19.5" customHeight="1" x14ac:dyDescent="0.3">
      <c r="A65" s="6" t="str">
        <f t="shared" si="0"/>
        <v/>
      </c>
      <c r="B65" s="8"/>
      <c r="C65" s="7"/>
      <c r="D65" s="22" t="str">
        <f>IF(C65&lt;&gt;"",IFERROR(VLOOKUP(C65,'Personel Listesi'!$B$4:$C$303,2,0),"Bulunamadı"),"")</f>
        <v/>
      </c>
      <c r="E65" s="22" t="str">
        <f>IF(C65&lt;&gt;"",IFERROR(VLOOKUP(C65,'Personel Listesi'!$B$4:$D$303,3,0),""),"")</f>
        <v/>
      </c>
      <c r="F65" s="14"/>
      <c r="G65" s="14"/>
      <c r="H65" s="23" t="str">
        <f t="shared" si="1"/>
        <v/>
      </c>
      <c r="I65" s="24" t="str">
        <f t="shared" si="2"/>
        <v/>
      </c>
      <c r="J65" s="12" t="str">
        <f t="shared" si="3"/>
        <v/>
      </c>
      <c r="K65" s="6"/>
      <c r="L65" s="7"/>
      <c r="M65" s="7"/>
      <c r="N65" s="7"/>
      <c r="O65" s="7"/>
    </row>
    <row r="66" spans="1:15" ht="19.5" customHeight="1" x14ac:dyDescent="0.3">
      <c r="A66" s="3" t="str">
        <f t="shared" si="0"/>
        <v/>
      </c>
      <c r="B66" s="5"/>
      <c r="C66" s="4"/>
      <c r="D66" s="22" t="str">
        <f>IF(C66&lt;&gt;"",IFERROR(VLOOKUP(C66,'Personel Listesi'!$B$4:$C$303,2,0),"Bulunamadı"),"")</f>
        <v/>
      </c>
      <c r="E66" s="22" t="str">
        <f>IF(C66&lt;&gt;"",IFERROR(VLOOKUP(C66,'Personel Listesi'!$B$4:$D$303,3,0),""),"")</f>
        <v/>
      </c>
      <c r="F66" s="11"/>
      <c r="G66" s="11"/>
      <c r="H66" s="23" t="str">
        <f t="shared" si="1"/>
        <v/>
      </c>
      <c r="I66" s="24" t="str">
        <f t="shared" si="2"/>
        <v/>
      </c>
      <c r="J66" s="12" t="str">
        <f t="shared" si="3"/>
        <v/>
      </c>
      <c r="K66" s="3"/>
      <c r="L66" s="4"/>
      <c r="M66" s="4"/>
      <c r="N66" s="4"/>
      <c r="O66" s="4"/>
    </row>
    <row r="67" spans="1:15" ht="19.5" customHeight="1" x14ac:dyDescent="0.3">
      <c r="A67" s="6" t="str">
        <f t="shared" si="0"/>
        <v/>
      </c>
      <c r="B67" s="8"/>
      <c r="C67" s="7"/>
      <c r="D67" s="22" t="str">
        <f>IF(C67&lt;&gt;"",IFERROR(VLOOKUP(C67,'Personel Listesi'!$B$4:$C$303,2,0),"Bulunamadı"),"")</f>
        <v/>
      </c>
      <c r="E67" s="22" t="str">
        <f>IF(C67&lt;&gt;"",IFERROR(VLOOKUP(C67,'Personel Listesi'!$B$4:$D$303,3,0),""),"")</f>
        <v/>
      </c>
      <c r="F67" s="14"/>
      <c r="G67" s="14"/>
      <c r="H67" s="23" t="str">
        <f t="shared" si="1"/>
        <v/>
      </c>
      <c r="I67" s="24" t="str">
        <f t="shared" si="2"/>
        <v/>
      </c>
      <c r="J67" s="12" t="str">
        <f t="shared" si="3"/>
        <v/>
      </c>
      <c r="K67" s="6"/>
      <c r="L67" s="7"/>
      <c r="M67" s="7"/>
      <c r="N67" s="7"/>
      <c r="O67" s="7"/>
    </row>
    <row r="68" spans="1:15" ht="19.5" customHeight="1" x14ac:dyDescent="0.3">
      <c r="A68" s="3" t="str">
        <f t="shared" ref="A68:A131" si="4">IF(B68&lt;&gt;"",ROW()-3,"")</f>
        <v/>
      </c>
      <c r="B68" s="5"/>
      <c r="C68" s="4"/>
      <c r="D68" s="22" t="str">
        <f>IF(C68&lt;&gt;"",IFERROR(VLOOKUP(C68,'Personel Listesi'!$B$4:$C$303,2,0),"Bulunamadı"),"")</f>
        <v/>
      </c>
      <c r="E68" s="22" t="str">
        <f>IF(C68&lt;&gt;"",IFERROR(VLOOKUP(C68,'Personel Listesi'!$B$4:$D$303,3,0),""),"")</f>
        <v/>
      </c>
      <c r="F68" s="11"/>
      <c r="G68" s="11"/>
      <c r="H68" s="23" t="str">
        <f t="shared" ref="H68:H131" si="5">IF(AND(F68&lt;&gt;"",G68&lt;&gt;""),IFERROR(MAX(0,MAX(0,(MIN(17/24,G68)-MAX(8/24,F68))*24)-MAX(0,(MIN(13/24,G68)-MAX(12/24,F68))*24)),""),"")</f>
        <v/>
      </c>
      <c r="I68" s="24" t="str">
        <f t="shared" ref="I68:I131" si="6">IF(AND(F68&lt;&gt;"",G68&lt;&gt;""),IFERROR(MAX(0,(G68-17/24)*24),""),"")</f>
        <v/>
      </c>
      <c r="J68" s="12" t="str">
        <f t="shared" ref="J68:J131" si="7">IF(AND(F68&lt;&gt;"",G68&lt;&gt;""),IFERROR(H68+I68,""),"")</f>
        <v/>
      </c>
      <c r="K68" s="3"/>
      <c r="L68" s="4"/>
      <c r="M68" s="4"/>
      <c r="N68" s="4"/>
      <c r="O68" s="4"/>
    </row>
    <row r="69" spans="1:15" ht="19.5" customHeight="1" x14ac:dyDescent="0.3">
      <c r="A69" s="6" t="str">
        <f t="shared" si="4"/>
        <v/>
      </c>
      <c r="B69" s="8"/>
      <c r="C69" s="7"/>
      <c r="D69" s="22" t="str">
        <f>IF(C69&lt;&gt;"",IFERROR(VLOOKUP(C69,'Personel Listesi'!$B$4:$C$303,2,0),"Bulunamadı"),"")</f>
        <v/>
      </c>
      <c r="E69" s="22" t="str">
        <f>IF(C69&lt;&gt;"",IFERROR(VLOOKUP(C69,'Personel Listesi'!$B$4:$D$303,3,0),""),"")</f>
        <v/>
      </c>
      <c r="F69" s="14"/>
      <c r="G69" s="14"/>
      <c r="H69" s="23" t="str">
        <f t="shared" si="5"/>
        <v/>
      </c>
      <c r="I69" s="24" t="str">
        <f t="shared" si="6"/>
        <v/>
      </c>
      <c r="J69" s="12" t="str">
        <f t="shared" si="7"/>
        <v/>
      </c>
      <c r="K69" s="6"/>
      <c r="L69" s="7"/>
      <c r="M69" s="7"/>
      <c r="N69" s="7"/>
      <c r="O69" s="7"/>
    </row>
    <row r="70" spans="1:15" ht="19.5" customHeight="1" x14ac:dyDescent="0.3">
      <c r="A70" s="3" t="str">
        <f t="shared" si="4"/>
        <v/>
      </c>
      <c r="B70" s="5"/>
      <c r="C70" s="4"/>
      <c r="D70" s="22" t="str">
        <f>IF(C70&lt;&gt;"",IFERROR(VLOOKUP(C70,'Personel Listesi'!$B$4:$C$303,2,0),"Bulunamadı"),"")</f>
        <v/>
      </c>
      <c r="E70" s="22" t="str">
        <f>IF(C70&lt;&gt;"",IFERROR(VLOOKUP(C70,'Personel Listesi'!$B$4:$D$303,3,0),""),"")</f>
        <v/>
      </c>
      <c r="F70" s="11"/>
      <c r="G70" s="11"/>
      <c r="H70" s="23" t="str">
        <f t="shared" si="5"/>
        <v/>
      </c>
      <c r="I70" s="24" t="str">
        <f t="shared" si="6"/>
        <v/>
      </c>
      <c r="J70" s="12" t="str">
        <f t="shared" si="7"/>
        <v/>
      </c>
      <c r="K70" s="3"/>
      <c r="L70" s="4"/>
      <c r="M70" s="4"/>
      <c r="N70" s="4"/>
      <c r="O70" s="4"/>
    </row>
    <row r="71" spans="1:15" ht="19.5" customHeight="1" x14ac:dyDescent="0.3">
      <c r="A71" s="6" t="str">
        <f t="shared" si="4"/>
        <v/>
      </c>
      <c r="B71" s="8"/>
      <c r="C71" s="7"/>
      <c r="D71" s="22" t="str">
        <f>IF(C71&lt;&gt;"",IFERROR(VLOOKUP(C71,'Personel Listesi'!$B$4:$C$303,2,0),"Bulunamadı"),"")</f>
        <v/>
      </c>
      <c r="E71" s="22" t="str">
        <f>IF(C71&lt;&gt;"",IFERROR(VLOOKUP(C71,'Personel Listesi'!$B$4:$D$303,3,0),""),"")</f>
        <v/>
      </c>
      <c r="F71" s="14"/>
      <c r="G71" s="14"/>
      <c r="H71" s="23" t="str">
        <f t="shared" si="5"/>
        <v/>
      </c>
      <c r="I71" s="24" t="str">
        <f t="shared" si="6"/>
        <v/>
      </c>
      <c r="J71" s="12" t="str">
        <f t="shared" si="7"/>
        <v/>
      </c>
      <c r="K71" s="6"/>
      <c r="L71" s="7"/>
      <c r="M71" s="7"/>
      <c r="N71" s="7"/>
      <c r="O71" s="7"/>
    </row>
    <row r="72" spans="1:15" ht="19.5" customHeight="1" x14ac:dyDescent="0.3">
      <c r="A72" s="3" t="str">
        <f t="shared" si="4"/>
        <v/>
      </c>
      <c r="B72" s="5"/>
      <c r="C72" s="4"/>
      <c r="D72" s="22" t="str">
        <f>IF(C72&lt;&gt;"",IFERROR(VLOOKUP(C72,'Personel Listesi'!$B$4:$C$303,2,0),"Bulunamadı"),"")</f>
        <v/>
      </c>
      <c r="E72" s="22" t="str">
        <f>IF(C72&lt;&gt;"",IFERROR(VLOOKUP(C72,'Personel Listesi'!$B$4:$D$303,3,0),""),"")</f>
        <v/>
      </c>
      <c r="F72" s="11"/>
      <c r="G72" s="11"/>
      <c r="H72" s="23" t="str">
        <f t="shared" si="5"/>
        <v/>
      </c>
      <c r="I72" s="24" t="str">
        <f t="shared" si="6"/>
        <v/>
      </c>
      <c r="J72" s="12" t="str">
        <f t="shared" si="7"/>
        <v/>
      </c>
      <c r="K72" s="3"/>
      <c r="L72" s="4"/>
      <c r="M72" s="4"/>
      <c r="N72" s="4"/>
      <c r="O72" s="4"/>
    </row>
    <row r="73" spans="1:15" ht="19.5" customHeight="1" x14ac:dyDescent="0.3">
      <c r="A73" s="6" t="str">
        <f t="shared" si="4"/>
        <v/>
      </c>
      <c r="B73" s="8"/>
      <c r="C73" s="7"/>
      <c r="D73" s="22" t="str">
        <f>IF(C73&lt;&gt;"",IFERROR(VLOOKUP(C73,'Personel Listesi'!$B$4:$C$303,2,0),"Bulunamadı"),"")</f>
        <v/>
      </c>
      <c r="E73" s="22" t="str">
        <f>IF(C73&lt;&gt;"",IFERROR(VLOOKUP(C73,'Personel Listesi'!$B$4:$D$303,3,0),""),"")</f>
        <v/>
      </c>
      <c r="F73" s="14"/>
      <c r="G73" s="14"/>
      <c r="H73" s="23" t="str">
        <f t="shared" si="5"/>
        <v/>
      </c>
      <c r="I73" s="24" t="str">
        <f t="shared" si="6"/>
        <v/>
      </c>
      <c r="J73" s="12" t="str">
        <f t="shared" si="7"/>
        <v/>
      </c>
      <c r="K73" s="6"/>
      <c r="L73" s="7"/>
      <c r="M73" s="7"/>
      <c r="N73" s="7"/>
      <c r="O73" s="7"/>
    </row>
    <row r="74" spans="1:15" ht="19.5" customHeight="1" x14ac:dyDescent="0.3">
      <c r="A74" s="3" t="str">
        <f t="shared" si="4"/>
        <v/>
      </c>
      <c r="B74" s="5"/>
      <c r="C74" s="4"/>
      <c r="D74" s="22" t="str">
        <f>IF(C74&lt;&gt;"",IFERROR(VLOOKUP(C74,'Personel Listesi'!$B$4:$C$303,2,0),"Bulunamadı"),"")</f>
        <v/>
      </c>
      <c r="E74" s="22" t="str">
        <f>IF(C74&lt;&gt;"",IFERROR(VLOOKUP(C74,'Personel Listesi'!$B$4:$D$303,3,0),""),"")</f>
        <v/>
      </c>
      <c r="F74" s="11"/>
      <c r="G74" s="11"/>
      <c r="H74" s="23" t="str">
        <f t="shared" si="5"/>
        <v/>
      </c>
      <c r="I74" s="24" t="str">
        <f t="shared" si="6"/>
        <v/>
      </c>
      <c r="J74" s="12" t="str">
        <f t="shared" si="7"/>
        <v/>
      </c>
      <c r="K74" s="3"/>
      <c r="L74" s="4"/>
      <c r="M74" s="4"/>
      <c r="N74" s="4"/>
      <c r="O74" s="4"/>
    </row>
    <row r="75" spans="1:15" ht="19.5" customHeight="1" x14ac:dyDescent="0.3">
      <c r="A75" s="6" t="str">
        <f t="shared" si="4"/>
        <v/>
      </c>
      <c r="B75" s="8"/>
      <c r="C75" s="7"/>
      <c r="D75" s="22" t="str">
        <f>IF(C75&lt;&gt;"",IFERROR(VLOOKUP(C75,'Personel Listesi'!$B$4:$C$303,2,0),"Bulunamadı"),"")</f>
        <v/>
      </c>
      <c r="E75" s="22" t="str">
        <f>IF(C75&lt;&gt;"",IFERROR(VLOOKUP(C75,'Personel Listesi'!$B$4:$D$303,3,0),""),"")</f>
        <v/>
      </c>
      <c r="F75" s="14"/>
      <c r="G75" s="14"/>
      <c r="H75" s="23" t="str">
        <f t="shared" si="5"/>
        <v/>
      </c>
      <c r="I75" s="24" t="str">
        <f t="shared" si="6"/>
        <v/>
      </c>
      <c r="J75" s="12" t="str">
        <f t="shared" si="7"/>
        <v/>
      </c>
      <c r="K75" s="6"/>
      <c r="L75" s="7"/>
      <c r="M75" s="7"/>
      <c r="N75" s="7"/>
      <c r="O75" s="7"/>
    </row>
    <row r="76" spans="1:15" ht="19.5" customHeight="1" x14ac:dyDescent="0.3">
      <c r="A76" s="3" t="str">
        <f t="shared" si="4"/>
        <v/>
      </c>
      <c r="B76" s="5"/>
      <c r="C76" s="4"/>
      <c r="D76" s="22" t="str">
        <f>IF(C76&lt;&gt;"",IFERROR(VLOOKUP(C76,'Personel Listesi'!$B$4:$C$303,2,0),"Bulunamadı"),"")</f>
        <v/>
      </c>
      <c r="E76" s="22" t="str">
        <f>IF(C76&lt;&gt;"",IFERROR(VLOOKUP(C76,'Personel Listesi'!$B$4:$D$303,3,0),""),"")</f>
        <v/>
      </c>
      <c r="F76" s="11"/>
      <c r="G76" s="11"/>
      <c r="H76" s="23" t="str">
        <f t="shared" si="5"/>
        <v/>
      </c>
      <c r="I76" s="24" t="str">
        <f t="shared" si="6"/>
        <v/>
      </c>
      <c r="J76" s="12" t="str">
        <f t="shared" si="7"/>
        <v/>
      </c>
      <c r="K76" s="3"/>
      <c r="L76" s="4"/>
      <c r="M76" s="4"/>
      <c r="N76" s="4"/>
      <c r="O76" s="4"/>
    </row>
    <row r="77" spans="1:15" ht="19.5" customHeight="1" x14ac:dyDescent="0.3">
      <c r="A77" s="6" t="str">
        <f t="shared" si="4"/>
        <v/>
      </c>
      <c r="B77" s="8"/>
      <c r="C77" s="7"/>
      <c r="D77" s="22" t="str">
        <f>IF(C77&lt;&gt;"",IFERROR(VLOOKUP(C77,'Personel Listesi'!$B$4:$C$303,2,0),"Bulunamadı"),"")</f>
        <v/>
      </c>
      <c r="E77" s="22" t="str">
        <f>IF(C77&lt;&gt;"",IFERROR(VLOOKUP(C77,'Personel Listesi'!$B$4:$D$303,3,0),""),"")</f>
        <v/>
      </c>
      <c r="F77" s="14"/>
      <c r="G77" s="14"/>
      <c r="H77" s="23" t="str">
        <f t="shared" si="5"/>
        <v/>
      </c>
      <c r="I77" s="24" t="str">
        <f t="shared" si="6"/>
        <v/>
      </c>
      <c r="J77" s="12" t="str">
        <f t="shared" si="7"/>
        <v/>
      </c>
      <c r="K77" s="6"/>
      <c r="L77" s="7"/>
      <c r="M77" s="7"/>
      <c r="N77" s="7"/>
      <c r="O77" s="7"/>
    </row>
    <row r="78" spans="1:15" ht="19.5" customHeight="1" x14ac:dyDescent="0.3">
      <c r="A78" s="3" t="str">
        <f t="shared" si="4"/>
        <v/>
      </c>
      <c r="B78" s="5"/>
      <c r="C78" s="4"/>
      <c r="D78" s="22" t="str">
        <f>IF(C78&lt;&gt;"",IFERROR(VLOOKUP(C78,'Personel Listesi'!$B$4:$C$303,2,0),"Bulunamadı"),"")</f>
        <v/>
      </c>
      <c r="E78" s="22" t="str">
        <f>IF(C78&lt;&gt;"",IFERROR(VLOOKUP(C78,'Personel Listesi'!$B$4:$D$303,3,0),""),"")</f>
        <v/>
      </c>
      <c r="F78" s="11"/>
      <c r="G78" s="11"/>
      <c r="H78" s="23" t="str">
        <f t="shared" si="5"/>
        <v/>
      </c>
      <c r="I78" s="24" t="str">
        <f t="shared" si="6"/>
        <v/>
      </c>
      <c r="J78" s="12" t="str">
        <f t="shared" si="7"/>
        <v/>
      </c>
      <c r="K78" s="3"/>
      <c r="L78" s="4"/>
      <c r="M78" s="4"/>
      <c r="N78" s="4"/>
      <c r="O78" s="4"/>
    </row>
    <row r="79" spans="1:15" ht="19.5" customHeight="1" x14ac:dyDescent="0.3">
      <c r="A79" s="6" t="str">
        <f t="shared" si="4"/>
        <v/>
      </c>
      <c r="B79" s="8"/>
      <c r="C79" s="7"/>
      <c r="D79" s="22" t="str">
        <f>IF(C79&lt;&gt;"",IFERROR(VLOOKUP(C79,'Personel Listesi'!$B$4:$C$303,2,0),"Bulunamadı"),"")</f>
        <v/>
      </c>
      <c r="E79" s="22" t="str">
        <f>IF(C79&lt;&gt;"",IFERROR(VLOOKUP(C79,'Personel Listesi'!$B$4:$D$303,3,0),""),"")</f>
        <v/>
      </c>
      <c r="F79" s="14"/>
      <c r="G79" s="14"/>
      <c r="H79" s="23" t="str">
        <f t="shared" si="5"/>
        <v/>
      </c>
      <c r="I79" s="24" t="str">
        <f t="shared" si="6"/>
        <v/>
      </c>
      <c r="J79" s="12" t="str">
        <f t="shared" si="7"/>
        <v/>
      </c>
      <c r="K79" s="6"/>
      <c r="L79" s="7"/>
      <c r="M79" s="7"/>
      <c r="N79" s="7"/>
      <c r="O79" s="7"/>
    </row>
    <row r="80" spans="1:15" ht="19.5" customHeight="1" x14ac:dyDescent="0.3">
      <c r="A80" s="3" t="str">
        <f t="shared" si="4"/>
        <v/>
      </c>
      <c r="B80" s="5"/>
      <c r="C80" s="4"/>
      <c r="D80" s="22" t="str">
        <f>IF(C80&lt;&gt;"",IFERROR(VLOOKUP(C80,'Personel Listesi'!$B$4:$C$303,2,0),"Bulunamadı"),"")</f>
        <v/>
      </c>
      <c r="E80" s="22" t="str">
        <f>IF(C80&lt;&gt;"",IFERROR(VLOOKUP(C80,'Personel Listesi'!$B$4:$D$303,3,0),""),"")</f>
        <v/>
      </c>
      <c r="F80" s="11"/>
      <c r="G80" s="11"/>
      <c r="H80" s="23" t="str">
        <f t="shared" si="5"/>
        <v/>
      </c>
      <c r="I80" s="24" t="str">
        <f t="shared" si="6"/>
        <v/>
      </c>
      <c r="J80" s="12" t="str">
        <f t="shared" si="7"/>
        <v/>
      </c>
      <c r="K80" s="3"/>
      <c r="L80" s="4"/>
      <c r="M80" s="4"/>
      <c r="N80" s="4"/>
      <c r="O80" s="4"/>
    </row>
    <row r="81" spans="1:15" ht="19.5" customHeight="1" x14ac:dyDescent="0.3">
      <c r="A81" s="6" t="str">
        <f t="shared" si="4"/>
        <v/>
      </c>
      <c r="B81" s="8"/>
      <c r="C81" s="7"/>
      <c r="D81" s="22" t="str">
        <f>IF(C81&lt;&gt;"",IFERROR(VLOOKUP(C81,'Personel Listesi'!$B$4:$C$303,2,0),"Bulunamadı"),"")</f>
        <v/>
      </c>
      <c r="E81" s="22" t="str">
        <f>IF(C81&lt;&gt;"",IFERROR(VLOOKUP(C81,'Personel Listesi'!$B$4:$D$303,3,0),""),"")</f>
        <v/>
      </c>
      <c r="F81" s="14"/>
      <c r="G81" s="14"/>
      <c r="H81" s="23" t="str">
        <f t="shared" si="5"/>
        <v/>
      </c>
      <c r="I81" s="24" t="str">
        <f t="shared" si="6"/>
        <v/>
      </c>
      <c r="J81" s="12" t="str">
        <f t="shared" si="7"/>
        <v/>
      </c>
      <c r="K81" s="6"/>
      <c r="L81" s="7"/>
      <c r="M81" s="7"/>
      <c r="N81" s="7"/>
      <c r="O81" s="7"/>
    </row>
    <row r="82" spans="1:15" ht="19.5" customHeight="1" x14ac:dyDescent="0.3">
      <c r="A82" s="3" t="str">
        <f t="shared" si="4"/>
        <v/>
      </c>
      <c r="B82" s="5"/>
      <c r="C82" s="4"/>
      <c r="D82" s="22" t="str">
        <f>IF(C82&lt;&gt;"",IFERROR(VLOOKUP(C82,'Personel Listesi'!$B$4:$C$303,2,0),"Bulunamadı"),"")</f>
        <v/>
      </c>
      <c r="E82" s="22" t="str">
        <f>IF(C82&lt;&gt;"",IFERROR(VLOOKUP(C82,'Personel Listesi'!$B$4:$D$303,3,0),""),"")</f>
        <v/>
      </c>
      <c r="F82" s="11"/>
      <c r="G82" s="11"/>
      <c r="H82" s="23" t="str">
        <f t="shared" si="5"/>
        <v/>
      </c>
      <c r="I82" s="24" t="str">
        <f t="shared" si="6"/>
        <v/>
      </c>
      <c r="J82" s="12" t="str">
        <f t="shared" si="7"/>
        <v/>
      </c>
      <c r="K82" s="3"/>
      <c r="L82" s="4"/>
      <c r="M82" s="4"/>
      <c r="N82" s="4"/>
      <c r="O82" s="4"/>
    </row>
    <row r="83" spans="1:15" ht="19.5" customHeight="1" x14ac:dyDescent="0.3">
      <c r="A83" s="6" t="str">
        <f t="shared" si="4"/>
        <v/>
      </c>
      <c r="B83" s="8"/>
      <c r="C83" s="7"/>
      <c r="D83" s="22" t="str">
        <f>IF(C83&lt;&gt;"",IFERROR(VLOOKUP(C83,'Personel Listesi'!$B$4:$C$303,2,0),"Bulunamadı"),"")</f>
        <v/>
      </c>
      <c r="E83" s="22" t="str">
        <f>IF(C83&lt;&gt;"",IFERROR(VLOOKUP(C83,'Personel Listesi'!$B$4:$D$303,3,0),""),"")</f>
        <v/>
      </c>
      <c r="F83" s="14"/>
      <c r="G83" s="14"/>
      <c r="H83" s="23" t="str">
        <f t="shared" si="5"/>
        <v/>
      </c>
      <c r="I83" s="24" t="str">
        <f t="shared" si="6"/>
        <v/>
      </c>
      <c r="J83" s="12" t="str">
        <f t="shared" si="7"/>
        <v/>
      </c>
      <c r="K83" s="6"/>
      <c r="L83" s="7"/>
      <c r="M83" s="7"/>
      <c r="N83" s="7"/>
      <c r="O83" s="7"/>
    </row>
    <row r="84" spans="1:15" ht="19.5" customHeight="1" x14ac:dyDescent="0.3">
      <c r="A84" s="3" t="str">
        <f t="shared" si="4"/>
        <v/>
      </c>
      <c r="B84" s="5"/>
      <c r="C84" s="4"/>
      <c r="D84" s="22" t="str">
        <f>IF(C84&lt;&gt;"",IFERROR(VLOOKUP(C84,'Personel Listesi'!$B$4:$C$303,2,0),"Bulunamadı"),"")</f>
        <v/>
      </c>
      <c r="E84" s="22" t="str">
        <f>IF(C84&lt;&gt;"",IFERROR(VLOOKUP(C84,'Personel Listesi'!$B$4:$D$303,3,0),""),"")</f>
        <v/>
      </c>
      <c r="F84" s="11"/>
      <c r="G84" s="11"/>
      <c r="H84" s="23" t="str">
        <f t="shared" si="5"/>
        <v/>
      </c>
      <c r="I84" s="24" t="str">
        <f t="shared" si="6"/>
        <v/>
      </c>
      <c r="J84" s="12" t="str">
        <f t="shared" si="7"/>
        <v/>
      </c>
      <c r="K84" s="3"/>
      <c r="L84" s="4"/>
      <c r="M84" s="4"/>
      <c r="N84" s="4"/>
      <c r="O84" s="4"/>
    </row>
    <row r="85" spans="1:15" ht="19.5" customHeight="1" x14ac:dyDescent="0.3">
      <c r="A85" s="6" t="str">
        <f t="shared" si="4"/>
        <v/>
      </c>
      <c r="B85" s="8"/>
      <c r="C85" s="7"/>
      <c r="D85" s="22" t="str">
        <f>IF(C85&lt;&gt;"",IFERROR(VLOOKUP(C85,'Personel Listesi'!$B$4:$C$303,2,0),"Bulunamadı"),"")</f>
        <v/>
      </c>
      <c r="E85" s="22" t="str">
        <f>IF(C85&lt;&gt;"",IFERROR(VLOOKUP(C85,'Personel Listesi'!$B$4:$D$303,3,0),""),"")</f>
        <v/>
      </c>
      <c r="F85" s="14"/>
      <c r="G85" s="14"/>
      <c r="H85" s="23" t="str">
        <f t="shared" si="5"/>
        <v/>
      </c>
      <c r="I85" s="24" t="str">
        <f t="shared" si="6"/>
        <v/>
      </c>
      <c r="J85" s="12" t="str">
        <f t="shared" si="7"/>
        <v/>
      </c>
      <c r="K85" s="6"/>
      <c r="L85" s="7"/>
      <c r="M85" s="7"/>
      <c r="N85" s="7"/>
      <c r="O85" s="7"/>
    </row>
    <row r="86" spans="1:15" ht="19.5" customHeight="1" x14ac:dyDescent="0.3">
      <c r="A86" s="3" t="str">
        <f t="shared" si="4"/>
        <v/>
      </c>
      <c r="B86" s="5"/>
      <c r="C86" s="4"/>
      <c r="D86" s="22" t="str">
        <f>IF(C86&lt;&gt;"",IFERROR(VLOOKUP(C86,'Personel Listesi'!$B$4:$C$303,2,0),"Bulunamadı"),"")</f>
        <v/>
      </c>
      <c r="E86" s="22" t="str">
        <f>IF(C86&lt;&gt;"",IFERROR(VLOOKUP(C86,'Personel Listesi'!$B$4:$D$303,3,0),""),"")</f>
        <v/>
      </c>
      <c r="F86" s="11"/>
      <c r="G86" s="11"/>
      <c r="H86" s="23" t="str">
        <f t="shared" si="5"/>
        <v/>
      </c>
      <c r="I86" s="24" t="str">
        <f t="shared" si="6"/>
        <v/>
      </c>
      <c r="J86" s="12" t="str">
        <f t="shared" si="7"/>
        <v/>
      </c>
      <c r="K86" s="3"/>
      <c r="L86" s="4"/>
      <c r="M86" s="4"/>
      <c r="N86" s="4"/>
      <c r="O86" s="4"/>
    </row>
    <row r="87" spans="1:15" ht="19.5" customHeight="1" x14ac:dyDescent="0.3">
      <c r="A87" s="6" t="str">
        <f t="shared" si="4"/>
        <v/>
      </c>
      <c r="B87" s="8"/>
      <c r="C87" s="7"/>
      <c r="D87" s="22" t="str">
        <f>IF(C87&lt;&gt;"",IFERROR(VLOOKUP(C87,'Personel Listesi'!$B$4:$C$303,2,0),"Bulunamadı"),"")</f>
        <v/>
      </c>
      <c r="E87" s="22" t="str">
        <f>IF(C87&lt;&gt;"",IFERROR(VLOOKUP(C87,'Personel Listesi'!$B$4:$D$303,3,0),""),"")</f>
        <v/>
      </c>
      <c r="F87" s="14"/>
      <c r="G87" s="14"/>
      <c r="H87" s="23" t="str">
        <f t="shared" si="5"/>
        <v/>
      </c>
      <c r="I87" s="24" t="str">
        <f t="shared" si="6"/>
        <v/>
      </c>
      <c r="J87" s="12" t="str">
        <f t="shared" si="7"/>
        <v/>
      </c>
      <c r="K87" s="6"/>
      <c r="L87" s="7"/>
      <c r="M87" s="7"/>
      <c r="N87" s="7"/>
      <c r="O87" s="7"/>
    </row>
    <row r="88" spans="1:15" ht="19.5" customHeight="1" x14ac:dyDescent="0.3">
      <c r="A88" s="3" t="str">
        <f t="shared" si="4"/>
        <v/>
      </c>
      <c r="B88" s="5"/>
      <c r="C88" s="4"/>
      <c r="D88" s="22" t="str">
        <f>IF(C88&lt;&gt;"",IFERROR(VLOOKUP(C88,'Personel Listesi'!$B$4:$C$303,2,0),"Bulunamadı"),"")</f>
        <v/>
      </c>
      <c r="E88" s="22" t="str">
        <f>IF(C88&lt;&gt;"",IFERROR(VLOOKUP(C88,'Personel Listesi'!$B$4:$D$303,3,0),""),"")</f>
        <v/>
      </c>
      <c r="F88" s="11"/>
      <c r="G88" s="11"/>
      <c r="H88" s="23" t="str">
        <f t="shared" si="5"/>
        <v/>
      </c>
      <c r="I88" s="24" t="str">
        <f t="shared" si="6"/>
        <v/>
      </c>
      <c r="J88" s="12" t="str">
        <f t="shared" si="7"/>
        <v/>
      </c>
      <c r="K88" s="3"/>
      <c r="L88" s="4"/>
      <c r="M88" s="4"/>
      <c r="N88" s="4"/>
      <c r="O88" s="4"/>
    </row>
    <row r="89" spans="1:15" ht="19.5" customHeight="1" x14ac:dyDescent="0.3">
      <c r="A89" s="6" t="str">
        <f t="shared" si="4"/>
        <v/>
      </c>
      <c r="B89" s="8"/>
      <c r="C89" s="7"/>
      <c r="D89" s="22" t="str">
        <f>IF(C89&lt;&gt;"",IFERROR(VLOOKUP(C89,'Personel Listesi'!$B$4:$C$303,2,0),"Bulunamadı"),"")</f>
        <v/>
      </c>
      <c r="E89" s="22" t="str">
        <f>IF(C89&lt;&gt;"",IFERROR(VLOOKUP(C89,'Personel Listesi'!$B$4:$D$303,3,0),""),"")</f>
        <v/>
      </c>
      <c r="F89" s="14"/>
      <c r="G89" s="14"/>
      <c r="H89" s="23" t="str">
        <f t="shared" si="5"/>
        <v/>
      </c>
      <c r="I89" s="24" t="str">
        <f t="shared" si="6"/>
        <v/>
      </c>
      <c r="J89" s="12" t="str">
        <f t="shared" si="7"/>
        <v/>
      </c>
      <c r="K89" s="6"/>
      <c r="L89" s="7"/>
      <c r="M89" s="7"/>
      <c r="N89" s="7"/>
      <c r="O89" s="7"/>
    </row>
    <row r="90" spans="1:15" ht="19.5" customHeight="1" x14ac:dyDescent="0.3">
      <c r="A90" s="3" t="str">
        <f t="shared" si="4"/>
        <v/>
      </c>
      <c r="B90" s="5"/>
      <c r="C90" s="4"/>
      <c r="D90" s="22" t="str">
        <f>IF(C90&lt;&gt;"",IFERROR(VLOOKUP(C90,'Personel Listesi'!$B$4:$C$303,2,0),"Bulunamadı"),"")</f>
        <v/>
      </c>
      <c r="E90" s="22" t="str">
        <f>IF(C90&lt;&gt;"",IFERROR(VLOOKUP(C90,'Personel Listesi'!$B$4:$D$303,3,0),""),"")</f>
        <v/>
      </c>
      <c r="F90" s="11"/>
      <c r="G90" s="11"/>
      <c r="H90" s="23" t="str">
        <f t="shared" si="5"/>
        <v/>
      </c>
      <c r="I90" s="24" t="str">
        <f t="shared" si="6"/>
        <v/>
      </c>
      <c r="J90" s="12" t="str">
        <f t="shared" si="7"/>
        <v/>
      </c>
      <c r="K90" s="3"/>
      <c r="L90" s="4"/>
      <c r="M90" s="4"/>
      <c r="N90" s="4"/>
      <c r="O90" s="4"/>
    </row>
    <row r="91" spans="1:15" ht="19.5" customHeight="1" x14ac:dyDescent="0.3">
      <c r="A91" s="6" t="str">
        <f t="shared" si="4"/>
        <v/>
      </c>
      <c r="B91" s="8"/>
      <c r="C91" s="7"/>
      <c r="D91" s="22" t="str">
        <f>IF(C91&lt;&gt;"",IFERROR(VLOOKUP(C91,'Personel Listesi'!$B$4:$C$303,2,0),"Bulunamadı"),"")</f>
        <v/>
      </c>
      <c r="E91" s="22" t="str">
        <f>IF(C91&lt;&gt;"",IFERROR(VLOOKUP(C91,'Personel Listesi'!$B$4:$D$303,3,0),""),"")</f>
        <v/>
      </c>
      <c r="F91" s="14"/>
      <c r="G91" s="14"/>
      <c r="H91" s="23" t="str">
        <f t="shared" si="5"/>
        <v/>
      </c>
      <c r="I91" s="24" t="str">
        <f t="shared" si="6"/>
        <v/>
      </c>
      <c r="J91" s="12" t="str">
        <f t="shared" si="7"/>
        <v/>
      </c>
      <c r="K91" s="6"/>
      <c r="L91" s="7"/>
      <c r="M91" s="7"/>
      <c r="N91" s="7"/>
      <c r="O91" s="7"/>
    </row>
    <row r="92" spans="1:15" ht="19.5" customHeight="1" x14ac:dyDescent="0.3">
      <c r="A92" s="3" t="str">
        <f t="shared" si="4"/>
        <v/>
      </c>
      <c r="B92" s="5"/>
      <c r="C92" s="4"/>
      <c r="D92" s="22" t="str">
        <f>IF(C92&lt;&gt;"",IFERROR(VLOOKUP(C92,'Personel Listesi'!$B$4:$C$303,2,0),"Bulunamadı"),"")</f>
        <v/>
      </c>
      <c r="E92" s="22" t="str">
        <f>IF(C92&lt;&gt;"",IFERROR(VLOOKUP(C92,'Personel Listesi'!$B$4:$D$303,3,0),""),"")</f>
        <v/>
      </c>
      <c r="F92" s="11"/>
      <c r="G92" s="11"/>
      <c r="H92" s="23" t="str">
        <f t="shared" si="5"/>
        <v/>
      </c>
      <c r="I92" s="24" t="str">
        <f t="shared" si="6"/>
        <v/>
      </c>
      <c r="J92" s="12" t="str">
        <f t="shared" si="7"/>
        <v/>
      </c>
      <c r="K92" s="3"/>
      <c r="L92" s="4"/>
      <c r="M92" s="4"/>
      <c r="N92" s="4"/>
      <c r="O92" s="4"/>
    </row>
    <row r="93" spans="1:15" ht="19.5" customHeight="1" x14ac:dyDescent="0.3">
      <c r="A93" s="6" t="str">
        <f t="shared" si="4"/>
        <v/>
      </c>
      <c r="B93" s="8"/>
      <c r="C93" s="7"/>
      <c r="D93" s="22" t="str">
        <f>IF(C93&lt;&gt;"",IFERROR(VLOOKUP(C93,'Personel Listesi'!$B$4:$C$303,2,0),"Bulunamadı"),"")</f>
        <v/>
      </c>
      <c r="E93" s="22" t="str">
        <f>IF(C93&lt;&gt;"",IFERROR(VLOOKUP(C93,'Personel Listesi'!$B$4:$D$303,3,0),""),"")</f>
        <v/>
      </c>
      <c r="F93" s="14"/>
      <c r="G93" s="14"/>
      <c r="H93" s="23" t="str">
        <f t="shared" si="5"/>
        <v/>
      </c>
      <c r="I93" s="24" t="str">
        <f t="shared" si="6"/>
        <v/>
      </c>
      <c r="J93" s="12" t="str">
        <f t="shared" si="7"/>
        <v/>
      </c>
      <c r="K93" s="6"/>
      <c r="L93" s="7"/>
      <c r="M93" s="7"/>
      <c r="N93" s="7"/>
      <c r="O93" s="7"/>
    </row>
    <row r="94" spans="1:15" ht="19.5" customHeight="1" x14ac:dyDescent="0.3">
      <c r="A94" s="3" t="str">
        <f t="shared" si="4"/>
        <v/>
      </c>
      <c r="B94" s="5"/>
      <c r="C94" s="4"/>
      <c r="D94" s="22" t="str">
        <f>IF(C94&lt;&gt;"",IFERROR(VLOOKUP(C94,'Personel Listesi'!$B$4:$C$303,2,0),"Bulunamadı"),"")</f>
        <v/>
      </c>
      <c r="E94" s="22" t="str">
        <f>IF(C94&lt;&gt;"",IFERROR(VLOOKUP(C94,'Personel Listesi'!$B$4:$D$303,3,0),""),"")</f>
        <v/>
      </c>
      <c r="F94" s="11"/>
      <c r="G94" s="11"/>
      <c r="H94" s="23" t="str">
        <f t="shared" si="5"/>
        <v/>
      </c>
      <c r="I94" s="24" t="str">
        <f t="shared" si="6"/>
        <v/>
      </c>
      <c r="J94" s="12" t="str">
        <f t="shared" si="7"/>
        <v/>
      </c>
      <c r="K94" s="3"/>
      <c r="L94" s="4"/>
      <c r="M94" s="4"/>
      <c r="N94" s="4"/>
      <c r="O94" s="4"/>
    </row>
    <row r="95" spans="1:15" ht="19.5" customHeight="1" x14ac:dyDescent="0.3">
      <c r="A95" s="6" t="str">
        <f t="shared" si="4"/>
        <v/>
      </c>
      <c r="B95" s="8"/>
      <c r="C95" s="7"/>
      <c r="D95" s="22" t="str">
        <f>IF(C95&lt;&gt;"",IFERROR(VLOOKUP(C95,'Personel Listesi'!$B$4:$C$303,2,0),"Bulunamadı"),"")</f>
        <v/>
      </c>
      <c r="E95" s="22" t="str">
        <f>IF(C95&lt;&gt;"",IFERROR(VLOOKUP(C95,'Personel Listesi'!$B$4:$D$303,3,0),""),"")</f>
        <v/>
      </c>
      <c r="F95" s="14"/>
      <c r="G95" s="14"/>
      <c r="H95" s="23" t="str">
        <f t="shared" si="5"/>
        <v/>
      </c>
      <c r="I95" s="24" t="str">
        <f t="shared" si="6"/>
        <v/>
      </c>
      <c r="J95" s="12" t="str">
        <f t="shared" si="7"/>
        <v/>
      </c>
      <c r="K95" s="6"/>
      <c r="L95" s="7"/>
      <c r="M95" s="7"/>
      <c r="N95" s="7"/>
      <c r="O95" s="7"/>
    </row>
    <row r="96" spans="1:15" ht="19.5" customHeight="1" x14ac:dyDescent="0.3">
      <c r="A96" s="3" t="str">
        <f t="shared" si="4"/>
        <v/>
      </c>
      <c r="B96" s="5"/>
      <c r="C96" s="4"/>
      <c r="D96" s="22" t="str">
        <f>IF(C96&lt;&gt;"",IFERROR(VLOOKUP(C96,'Personel Listesi'!$B$4:$C$303,2,0),"Bulunamadı"),"")</f>
        <v/>
      </c>
      <c r="E96" s="22" t="str">
        <f>IF(C96&lt;&gt;"",IFERROR(VLOOKUP(C96,'Personel Listesi'!$B$4:$D$303,3,0),""),"")</f>
        <v/>
      </c>
      <c r="F96" s="11"/>
      <c r="G96" s="11"/>
      <c r="H96" s="23" t="str">
        <f t="shared" si="5"/>
        <v/>
      </c>
      <c r="I96" s="24" t="str">
        <f t="shared" si="6"/>
        <v/>
      </c>
      <c r="J96" s="12" t="str">
        <f t="shared" si="7"/>
        <v/>
      </c>
      <c r="K96" s="3"/>
      <c r="L96" s="4"/>
      <c r="M96" s="4"/>
      <c r="N96" s="4"/>
      <c r="O96" s="4"/>
    </row>
    <row r="97" spans="1:15" ht="19.5" customHeight="1" x14ac:dyDescent="0.3">
      <c r="A97" s="6" t="str">
        <f t="shared" si="4"/>
        <v/>
      </c>
      <c r="B97" s="8"/>
      <c r="C97" s="7"/>
      <c r="D97" s="22" t="str">
        <f>IF(C97&lt;&gt;"",IFERROR(VLOOKUP(C97,'Personel Listesi'!$B$4:$C$303,2,0),"Bulunamadı"),"")</f>
        <v/>
      </c>
      <c r="E97" s="22" t="str">
        <f>IF(C97&lt;&gt;"",IFERROR(VLOOKUP(C97,'Personel Listesi'!$B$4:$D$303,3,0),""),"")</f>
        <v/>
      </c>
      <c r="F97" s="14"/>
      <c r="G97" s="14"/>
      <c r="H97" s="23" t="str">
        <f t="shared" si="5"/>
        <v/>
      </c>
      <c r="I97" s="24" t="str">
        <f t="shared" si="6"/>
        <v/>
      </c>
      <c r="J97" s="12" t="str">
        <f t="shared" si="7"/>
        <v/>
      </c>
      <c r="K97" s="6"/>
      <c r="L97" s="7"/>
      <c r="M97" s="7"/>
      <c r="N97" s="7"/>
      <c r="O97" s="7"/>
    </row>
    <row r="98" spans="1:15" ht="19.5" customHeight="1" x14ac:dyDescent="0.3">
      <c r="A98" s="3" t="str">
        <f t="shared" si="4"/>
        <v/>
      </c>
      <c r="B98" s="5"/>
      <c r="C98" s="4"/>
      <c r="D98" s="22" t="str">
        <f>IF(C98&lt;&gt;"",IFERROR(VLOOKUP(C98,'Personel Listesi'!$B$4:$C$303,2,0),"Bulunamadı"),"")</f>
        <v/>
      </c>
      <c r="E98" s="22" t="str">
        <f>IF(C98&lt;&gt;"",IFERROR(VLOOKUP(C98,'Personel Listesi'!$B$4:$D$303,3,0),""),"")</f>
        <v/>
      </c>
      <c r="F98" s="11"/>
      <c r="G98" s="11"/>
      <c r="H98" s="23" t="str">
        <f t="shared" si="5"/>
        <v/>
      </c>
      <c r="I98" s="24" t="str">
        <f t="shared" si="6"/>
        <v/>
      </c>
      <c r="J98" s="12" t="str">
        <f t="shared" si="7"/>
        <v/>
      </c>
      <c r="K98" s="3"/>
      <c r="L98" s="4"/>
      <c r="M98" s="4"/>
      <c r="N98" s="4"/>
      <c r="O98" s="4"/>
    </row>
    <row r="99" spans="1:15" ht="19.5" customHeight="1" x14ac:dyDescent="0.3">
      <c r="A99" s="6" t="str">
        <f t="shared" si="4"/>
        <v/>
      </c>
      <c r="B99" s="8"/>
      <c r="C99" s="7"/>
      <c r="D99" s="22" t="str">
        <f>IF(C99&lt;&gt;"",IFERROR(VLOOKUP(C99,'Personel Listesi'!$B$4:$C$303,2,0),"Bulunamadı"),"")</f>
        <v/>
      </c>
      <c r="E99" s="22" t="str">
        <f>IF(C99&lt;&gt;"",IFERROR(VLOOKUP(C99,'Personel Listesi'!$B$4:$D$303,3,0),""),"")</f>
        <v/>
      </c>
      <c r="F99" s="14"/>
      <c r="G99" s="14"/>
      <c r="H99" s="23" t="str">
        <f t="shared" si="5"/>
        <v/>
      </c>
      <c r="I99" s="24" t="str">
        <f t="shared" si="6"/>
        <v/>
      </c>
      <c r="J99" s="12" t="str">
        <f t="shared" si="7"/>
        <v/>
      </c>
      <c r="K99" s="6"/>
      <c r="L99" s="7"/>
      <c r="M99" s="7"/>
      <c r="N99" s="7"/>
      <c r="O99" s="7"/>
    </row>
    <row r="100" spans="1:15" ht="19.5" customHeight="1" x14ac:dyDescent="0.3">
      <c r="A100" s="3" t="str">
        <f t="shared" si="4"/>
        <v/>
      </c>
      <c r="B100" s="5"/>
      <c r="C100" s="4"/>
      <c r="D100" s="22" t="str">
        <f>IF(C100&lt;&gt;"",IFERROR(VLOOKUP(C100,'Personel Listesi'!$B$4:$C$303,2,0),"Bulunamadı"),"")</f>
        <v/>
      </c>
      <c r="E100" s="22" t="str">
        <f>IF(C100&lt;&gt;"",IFERROR(VLOOKUP(C100,'Personel Listesi'!$B$4:$D$303,3,0),""),"")</f>
        <v/>
      </c>
      <c r="F100" s="11"/>
      <c r="G100" s="11"/>
      <c r="H100" s="23" t="str">
        <f t="shared" si="5"/>
        <v/>
      </c>
      <c r="I100" s="24" t="str">
        <f t="shared" si="6"/>
        <v/>
      </c>
      <c r="J100" s="12" t="str">
        <f t="shared" si="7"/>
        <v/>
      </c>
      <c r="K100" s="3"/>
      <c r="L100" s="4"/>
      <c r="M100" s="4"/>
      <c r="N100" s="4"/>
      <c r="O100" s="4"/>
    </row>
    <row r="101" spans="1:15" ht="19.5" customHeight="1" x14ac:dyDescent="0.3">
      <c r="A101" s="6" t="str">
        <f t="shared" si="4"/>
        <v/>
      </c>
      <c r="B101" s="8"/>
      <c r="C101" s="7"/>
      <c r="D101" s="22" t="str">
        <f>IF(C101&lt;&gt;"",IFERROR(VLOOKUP(C101,'Personel Listesi'!$B$4:$C$303,2,0),"Bulunamadı"),"")</f>
        <v/>
      </c>
      <c r="E101" s="22" t="str">
        <f>IF(C101&lt;&gt;"",IFERROR(VLOOKUP(C101,'Personel Listesi'!$B$4:$D$303,3,0),""),"")</f>
        <v/>
      </c>
      <c r="F101" s="14"/>
      <c r="G101" s="14"/>
      <c r="H101" s="23" t="str">
        <f t="shared" si="5"/>
        <v/>
      </c>
      <c r="I101" s="24" t="str">
        <f t="shared" si="6"/>
        <v/>
      </c>
      <c r="J101" s="12" t="str">
        <f t="shared" si="7"/>
        <v/>
      </c>
      <c r="K101" s="6"/>
      <c r="L101" s="7"/>
      <c r="M101" s="7"/>
      <c r="N101" s="7"/>
      <c r="O101" s="7"/>
    </row>
    <row r="102" spans="1:15" ht="19.5" customHeight="1" x14ac:dyDescent="0.3">
      <c r="A102" s="3" t="str">
        <f t="shared" si="4"/>
        <v/>
      </c>
      <c r="B102" s="5"/>
      <c r="C102" s="4"/>
      <c r="D102" s="22" t="str">
        <f>IF(C102&lt;&gt;"",IFERROR(VLOOKUP(C102,'Personel Listesi'!$B$4:$C$303,2,0),"Bulunamadı"),"")</f>
        <v/>
      </c>
      <c r="E102" s="22" t="str">
        <f>IF(C102&lt;&gt;"",IFERROR(VLOOKUP(C102,'Personel Listesi'!$B$4:$D$303,3,0),""),"")</f>
        <v/>
      </c>
      <c r="F102" s="11"/>
      <c r="G102" s="11"/>
      <c r="H102" s="23" t="str">
        <f t="shared" si="5"/>
        <v/>
      </c>
      <c r="I102" s="24" t="str">
        <f t="shared" si="6"/>
        <v/>
      </c>
      <c r="J102" s="12" t="str">
        <f t="shared" si="7"/>
        <v/>
      </c>
      <c r="K102" s="3"/>
      <c r="L102" s="4"/>
      <c r="M102" s="4"/>
      <c r="N102" s="4"/>
      <c r="O102" s="4"/>
    </row>
    <row r="103" spans="1:15" ht="19.5" customHeight="1" x14ac:dyDescent="0.3">
      <c r="A103" s="6" t="str">
        <f t="shared" si="4"/>
        <v/>
      </c>
      <c r="B103" s="8"/>
      <c r="C103" s="7"/>
      <c r="D103" s="22" t="str">
        <f>IF(C103&lt;&gt;"",IFERROR(VLOOKUP(C103,'Personel Listesi'!$B$4:$C$303,2,0),"Bulunamadı"),"")</f>
        <v/>
      </c>
      <c r="E103" s="22" t="str">
        <f>IF(C103&lt;&gt;"",IFERROR(VLOOKUP(C103,'Personel Listesi'!$B$4:$D$303,3,0),""),"")</f>
        <v/>
      </c>
      <c r="F103" s="14"/>
      <c r="G103" s="14"/>
      <c r="H103" s="23" t="str">
        <f t="shared" si="5"/>
        <v/>
      </c>
      <c r="I103" s="24" t="str">
        <f t="shared" si="6"/>
        <v/>
      </c>
      <c r="J103" s="12" t="str">
        <f t="shared" si="7"/>
        <v/>
      </c>
      <c r="K103" s="6"/>
      <c r="L103" s="7"/>
      <c r="M103" s="7"/>
      <c r="N103" s="7"/>
      <c r="O103" s="7"/>
    </row>
    <row r="104" spans="1:15" ht="19.5" customHeight="1" x14ac:dyDescent="0.3">
      <c r="A104" s="3" t="str">
        <f t="shared" si="4"/>
        <v/>
      </c>
      <c r="B104" s="5"/>
      <c r="C104" s="4"/>
      <c r="D104" s="22" t="str">
        <f>IF(C104&lt;&gt;"",IFERROR(VLOOKUP(C104,'Personel Listesi'!$B$4:$C$303,2,0),"Bulunamadı"),"")</f>
        <v/>
      </c>
      <c r="E104" s="22" t="str">
        <f>IF(C104&lt;&gt;"",IFERROR(VLOOKUP(C104,'Personel Listesi'!$B$4:$D$303,3,0),""),"")</f>
        <v/>
      </c>
      <c r="F104" s="11"/>
      <c r="G104" s="11"/>
      <c r="H104" s="23" t="str">
        <f t="shared" si="5"/>
        <v/>
      </c>
      <c r="I104" s="24" t="str">
        <f t="shared" si="6"/>
        <v/>
      </c>
      <c r="J104" s="12" t="str">
        <f t="shared" si="7"/>
        <v/>
      </c>
      <c r="K104" s="3"/>
      <c r="L104" s="4"/>
      <c r="M104" s="4"/>
      <c r="N104" s="4"/>
      <c r="O104" s="4"/>
    </row>
    <row r="105" spans="1:15" ht="19.5" customHeight="1" x14ac:dyDescent="0.3">
      <c r="A105" s="6" t="str">
        <f t="shared" si="4"/>
        <v/>
      </c>
      <c r="B105" s="8"/>
      <c r="C105" s="7"/>
      <c r="D105" s="22" t="str">
        <f>IF(C105&lt;&gt;"",IFERROR(VLOOKUP(C105,'Personel Listesi'!$B$4:$C$303,2,0),"Bulunamadı"),"")</f>
        <v/>
      </c>
      <c r="E105" s="22" t="str">
        <f>IF(C105&lt;&gt;"",IFERROR(VLOOKUP(C105,'Personel Listesi'!$B$4:$D$303,3,0),""),"")</f>
        <v/>
      </c>
      <c r="F105" s="14"/>
      <c r="G105" s="14"/>
      <c r="H105" s="23" t="str">
        <f t="shared" si="5"/>
        <v/>
      </c>
      <c r="I105" s="24" t="str">
        <f t="shared" si="6"/>
        <v/>
      </c>
      <c r="J105" s="12" t="str">
        <f t="shared" si="7"/>
        <v/>
      </c>
      <c r="K105" s="6"/>
      <c r="L105" s="7"/>
      <c r="M105" s="7"/>
      <c r="N105" s="7"/>
      <c r="O105" s="7"/>
    </row>
    <row r="106" spans="1:15" ht="19.5" customHeight="1" x14ac:dyDescent="0.3">
      <c r="A106" s="3" t="str">
        <f t="shared" si="4"/>
        <v/>
      </c>
      <c r="B106" s="5"/>
      <c r="C106" s="4"/>
      <c r="D106" s="22" t="str">
        <f>IF(C106&lt;&gt;"",IFERROR(VLOOKUP(C106,'Personel Listesi'!$B$4:$C$303,2,0),"Bulunamadı"),"")</f>
        <v/>
      </c>
      <c r="E106" s="22" t="str">
        <f>IF(C106&lt;&gt;"",IFERROR(VLOOKUP(C106,'Personel Listesi'!$B$4:$D$303,3,0),""),"")</f>
        <v/>
      </c>
      <c r="F106" s="11"/>
      <c r="G106" s="11"/>
      <c r="H106" s="23" t="str">
        <f t="shared" si="5"/>
        <v/>
      </c>
      <c r="I106" s="24" t="str">
        <f t="shared" si="6"/>
        <v/>
      </c>
      <c r="J106" s="12" t="str">
        <f t="shared" si="7"/>
        <v/>
      </c>
      <c r="K106" s="3"/>
      <c r="L106" s="4"/>
      <c r="M106" s="4"/>
      <c r="N106" s="4"/>
      <c r="O106" s="4"/>
    </row>
    <row r="107" spans="1:15" ht="19.5" customHeight="1" x14ac:dyDescent="0.3">
      <c r="A107" s="6" t="str">
        <f t="shared" si="4"/>
        <v/>
      </c>
      <c r="B107" s="8"/>
      <c r="C107" s="7"/>
      <c r="D107" s="22" t="str">
        <f>IF(C107&lt;&gt;"",IFERROR(VLOOKUP(C107,'Personel Listesi'!$B$4:$C$303,2,0),"Bulunamadı"),"")</f>
        <v/>
      </c>
      <c r="E107" s="22" t="str">
        <f>IF(C107&lt;&gt;"",IFERROR(VLOOKUP(C107,'Personel Listesi'!$B$4:$D$303,3,0),""),"")</f>
        <v/>
      </c>
      <c r="F107" s="14"/>
      <c r="G107" s="14"/>
      <c r="H107" s="23" t="str">
        <f t="shared" si="5"/>
        <v/>
      </c>
      <c r="I107" s="24" t="str">
        <f t="shared" si="6"/>
        <v/>
      </c>
      <c r="J107" s="12" t="str">
        <f t="shared" si="7"/>
        <v/>
      </c>
      <c r="K107" s="6"/>
      <c r="L107" s="7"/>
      <c r="M107" s="7"/>
      <c r="N107" s="7"/>
      <c r="O107" s="7"/>
    </row>
    <row r="108" spans="1:15" ht="19.5" customHeight="1" x14ac:dyDescent="0.3">
      <c r="A108" s="3" t="str">
        <f t="shared" si="4"/>
        <v/>
      </c>
      <c r="B108" s="5"/>
      <c r="C108" s="4"/>
      <c r="D108" s="22" t="str">
        <f>IF(C108&lt;&gt;"",IFERROR(VLOOKUP(C108,'Personel Listesi'!$B$4:$C$303,2,0),"Bulunamadı"),"")</f>
        <v/>
      </c>
      <c r="E108" s="22" t="str">
        <f>IF(C108&lt;&gt;"",IFERROR(VLOOKUP(C108,'Personel Listesi'!$B$4:$D$303,3,0),""),"")</f>
        <v/>
      </c>
      <c r="F108" s="11"/>
      <c r="G108" s="11"/>
      <c r="H108" s="23" t="str">
        <f t="shared" si="5"/>
        <v/>
      </c>
      <c r="I108" s="24" t="str">
        <f t="shared" si="6"/>
        <v/>
      </c>
      <c r="J108" s="12" t="str">
        <f t="shared" si="7"/>
        <v/>
      </c>
      <c r="K108" s="3"/>
      <c r="L108" s="4"/>
      <c r="M108" s="4"/>
      <c r="N108" s="4"/>
      <c r="O108" s="4"/>
    </row>
    <row r="109" spans="1:15" ht="19.5" customHeight="1" x14ac:dyDescent="0.3">
      <c r="A109" s="6" t="str">
        <f t="shared" si="4"/>
        <v/>
      </c>
      <c r="B109" s="8"/>
      <c r="C109" s="7"/>
      <c r="D109" s="22" t="str">
        <f>IF(C109&lt;&gt;"",IFERROR(VLOOKUP(C109,'Personel Listesi'!$B$4:$C$303,2,0),"Bulunamadı"),"")</f>
        <v/>
      </c>
      <c r="E109" s="22" t="str">
        <f>IF(C109&lt;&gt;"",IFERROR(VLOOKUP(C109,'Personel Listesi'!$B$4:$D$303,3,0),""),"")</f>
        <v/>
      </c>
      <c r="F109" s="14"/>
      <c r="G109" s="14"/>
      <c r="H109" s="23" t="str">
        <f t="shared" si="5"/>
        <v/>
      </c>
      <c r="I109" s="24" t="str">
        <f t="shared" si="6"/>
        <v/>
      </c>
      <c r="J109" s="12" t="str">
        <f t="shared" si="7"/>
        <v/>
      </c>
      <c r="K109" s="6"/>
      <c r="L109" s="7"/>
      <c r="M109" s="7"/>
      <c r="N109" s="7"/>
      <c r="O109" s="7"/>
    </row>
    <row r="110" spans="1:15" ht="19.5" customHeight="1" x14ac:dyDescent="0.3">
      <c r="A110" s="3" t="str">
        <f t="shared" si="4"/>
        <v/>
      </c>
      <c r="B110" s="5"/>
      <c r="C110" s="4"/>
      <c r="D110" s="22" t="str">
        <f>IF(C110&lt;&gt;"",IFERROR(VLOOKUP(C110,'Personel Listesi'!$B$4:$C$303,2,0),"Bulunamadı"),"")</f>
        <v/>
      </c>
      <c r="E110" s="22" t="str">
        <f>IF(C110&lt;&gt;"",IFERROR(VLOOKUP(C110,'Personel Listesi'!$B$4:$D$303,3,0),""),"")</f>
        <v/>
      </c>
      <c r="F110" s="11"/>
      <c r="G110" s="11"/>
      <c r="H110" s="23" t="str">
        <f t="shared" si="5"/>
        <v/>
      </c>
      <c r="I110" s="24" t="str">
        <f t="shared" si="6"/>
        <v/>
      </c>
      <c r="J110" s="12" t="str">
        <f t="shared" si="7"/>
        <v/>
      </c>
      <c r="K110" s="3"/>
      <c r="L110" s="4"/>
      <c r="M110" s="4"/>
      <c r="N110" s="4"/>
      <c r="O110" s="4"/>
    </row>
    <row r="111" spans="1:15" ht="19.5" customHeight="1" x14ac:dyDescent="0.3">
      <c r="A111" s="6" t="str">
        <f t="shared" si="4"/>
        <v/>
      </c>
      <c r="B111" s="8"/>
      <c r="C111" s="7"/>
      <c r="D111" s="22" t="str">
        <f>IF(C111&lt;&gt;"",IFERROR(VLOOKUP(C111,'Personel Listesi'!$B$4:$C$303,2,0),"Bulunamadı"),"")</f>
        <v/>
      </c>
      <c r="E111" s="22" t="str">
        <f>IF(C111&lt;&gt;"",IFERROR(VLOOKUP(C111,'Personel Listesi'!$B$4:$D$303,3,0),""),"")</f>
        <v/>
      </c>
      <c r="F111" s="14"/>
      <c r="G111" s="14"/>
      <c r="H111" s="23" t="str">
        <f t="shared" si="5"/>
        <v/>
      </c>
      <c r="I111" s="24" t="str">
        <f t="shared" si="6"/>
        <v/>
      </c>
      <c r="J111" s="12" t="str">
        <f t="shared" si="7"/>
        <v/>
      </c>
      <c r="K111" s="6"/>
      <c r="L111" s="7"/>
      <c r="M111" s="7"/>
      <c r="N111" s="7"/>
      <c r="O111" s="7"/>
    </row>
    <row r="112" spans="1:15" ht="19.5" customHeight="1" x14ac:dyDescent="0.3">
      <c r="A112" s="3" t="str">
        <f t="shared" si="4"/>
        <v/>
      </c>
      <c r="B112" s="5"/>
      <c r="C112" s="4"/>
      <c r="D112" s="22" t="str">
        <f>IF(C112&lt;&gt;"",IFERROR(VLOOKUP(C112,'Personel Listesi'!$B$4:$C$303,2,0),"Bulunamadı"),"")</f>
        <v/>
      </c>
      <c r="E112" s="22" t="str">
        <f>IF(C112&lt;&gt;"",IFERROR(VLOOKUP(C112,'Personel Listesi'!$B$4:$D$303,3,0),""),"")</f>
        <v/>
      </c>
      <c r="F112" s="11"/>
      <c r="G112" s="11"/>
      <c r="H112" s="23" t="str">
        <f t="shared" si="5"/>
        <v/>
      </c>
      <c r="I112" s="24" t="str">
        <f t="shared" si="6"/>
        <v/>
      </c>
      <c r="J112" s="12" t="str">
        <f t="shared" si="7"/>
        <v/>
      </c>
      <c r="K112" s="3"/>
      <c r="L112" s="4"/>
      <c r="M112" s="4"/>
      <c r="N112" s="4"/>
      <c r="O112" s="4"/>
    </row>
    <row r="113" spans="1:15" ht="19.5" customHeight="1" x14ac:dyDescent="0.3">
      <c r="A113" s="6" t="str">
        <f t="shared" si="4"/>
        <v/>
      </c>
      <c r="B113" s="8"/>
      <c r="C113" s="7"/>
      <c r="D113" s="22" t="str">
        <f>IF(C113&lt;&gt;"",IFERROR(VLOOKUP(C113,'Personel Listesi'!$B$4:$C$303,2,0),"Bulunamadı"),"")</f>
        <v/>
      </c>
      <c r="E113" s="22" t="str">
        <f>IF(C113&lt;&gt;"",IFERROR(VLOOKUP(C113,'Personel Listesi'!$B$4:$D$303,3,0),""),"")</f>
        <v/>
      </c>
      <c r="F113" s="14"/>
      <c r="G113" s="14"/>
      <c r="H113" s="23" t="str">
        <f t="shared" si="5"/>
        <v/>
      </c>
      <c r="I113" s="24" t="str">
        <f t="shared" si="6"/>
        <v/>
      </c>
      <c r="J113" s="12" t="str">
        <f t="shared" si="7"/>
        <v/>
      </c>
      <c r="K113" s="6"/>
      <c r="L113" s="7"/>
      <c r="M113" s="7"/>
      <c r="N113" s="7"/>
      <c r="O113" s="7"/>
    </row>
    <row r="114" spans="1:15" ht="19.5" customHeight="1" x14ac:dyDescent="0.3">
      <c r="A114" s="3" t="str">
        <f t="shared" si="4"/>
        <v/>
      </c>
      <c r="B114" s="5"/>
      <c r="C114" s="4"/>
      <c r="D114" s="22" t="str">
        <f>IF(C114&lt;&gt;"",IFERROR(VLOOKUP(C114,'Personel Listesi'!$B$4:$C$303,2,0),"Bulunamadı"),"")</f>
        <v/>
      </c>
      <c r="E114" s="22" t="str">
        <f>IF(C114&lt;&gt;"",IFERROR(VLOOKUP(C114,'Personel Listesi'!$B$4:$D$303,3,0),""),"")</f>
        <v/>
      </c>
      <c r="F114" s="11"/>
      <c r="G114" s="11"/>
      <c r="H114" s="23" t="str">
        <f t="shared" si="5"/>
        <v/>
      </c>
      <c r="I114" s="24" t="str">
        <f t="shared" si="6"/>
        <v/>
      </c>
      <c r="J114" s="12" t="str">
        <f t="shared" si="7"/>
        <v/>
      </c>
      <c r="K114" s="3"/>
      <c r="L114" s="4"/>
      <c r="M114" s="4"/>
      <c r="N114" s="4"/>
      <c r="O114" s="4"/>
    </row>
    <row r="115" spans="1:15" ht="19.5" customHeight="1" x14ac:dyDescent="0.3">
      <c r="A115" s="6" t="str">
        <f t="shared" si="4"/>
        <v/>
      </c>
      <c r="B115" s="8"/>
      <c r="C115" s="7"/>
      <c r="D115" s="22" t="str">
        <f>IF(C115&lt;&gt;"",IFERROR(VLOOKUP(C115,'Personel Listesi'!$B$4:$C$303,2,0),"Bulunamadı"),"")</f>
        <v/>
      </c>
      <c r="E115" s="22" t="str">
        <f>IF(C115&lt;&gt;"",IFERROR(VLOOKUP(C115,'Personel Listesi'!$B$4:$D$303,3,0),""),"")</f>
        <v/>
      </c>
      <c r="F115" s="14"/>
      <c r="G115" s="14"/>
      <c r="H115" s="23" t="str">
        <f t="shared" si="5"/>
        <v/>
      </c>
      <c r="I115" s="24" t="str">
        <f t="shared" si="6"/>
        <v/>
      </c>
      <c r="J115" s="12" t="str">
        <f t="shared" si="7"/>
        <v/>
      </c>
      <c r="K115" s="6"/>
      <c r="L115" s="7"/>
      <c r="M115" s="7"/>
      <c r="N115" s="7"/>
      <c r="O115" s="7"/>
    </row>
    <row r="116" spans="1:15" ht="19.5" customHeight="1" x14ac:dyDescent="0.3">
      <c r="A116" s="3" t="str">
        <f t="shared" si="4"/>
        <v/>
      </c>
      <c r="B116" s="5"/>
      <c r="C116" s="4"/>
      <c r="D116" s="22" t="str">
        <f>IF(C116&lt;&gt;"",IFERROR(VLOOKUP(C116,'Personel Listesi'!$B$4:$C$303,2,0),"Bulunamadı"),"")</f>
        <v/>
      </c>
      <c r="E116" s="22" t="str">
        <f>IF(C116&lt;&gt;"",IFERROR(VLOOKUP(C116,'Personel Listesi'!$B$4:$D$303,3,0),""),"")</f>
        <v/>
      </c>
      <c r="F116" s="11"/>
      <c r="G116" s="11"/>
      <c r="H116" s="23" t="str">
        <f t="shared" si="5"/>
        <v/>
      </c>
      <c r="I116" s="24" t="str">
        <f t="shared" si="6"/>
        <v/>
      </c>
      <c r="J116" s="12" t="str">
        <f t="shared" si="7"/>
        <v/>
      </c>
      <c r="K116" s="3"/>
      <c r="L116" s="4"/>
      <c r="M116" s="4"/>
      <c r="N116" s="4"/>
      <c r="O116" s="4"/>
    </row>
    <row r="117" spans="1:15" ht="19.5" customHeight="1" x14ac:dyDescent="0.3">
      <c r="A117" s="6" t="str">
        <f t="shared" si="4"/>
        <v/>
      </c>
      <c r="B117" s="8"/>
      <c r="C117" s="7"/>
      <c r="D117" s="22" t="str">
        <f>IF(C117&lt;&gt;"",IFERROR(VLOOKUP(C117,'Personel Listesi'!$B$4:$C$303,2,0),"Bulunamadı"),"")</f>
        <v/>
      </c>
      <c r="E117" s="22" t="str">
        <f>IF(C117&lt;&gt;"",IFERROR(VLOOKUP(C117,'Personel Listesi'!$B$4:$D$303,3,0),""),"")</f>
        <v/>
      </c>
      <c r="F117" s="14"/>
      <c r="G117" s="14"/>
      <c r="H117" s="23" t="str">
        <f t="shared" si="5"/>
        <v/>
      </c>
      <c r="I117" s="24" t="str">
        <f t="shared" si="6"/>
        <v/>
      </c>
      <c r="J117" s="12" t="str">
        <f t="shared" si="7"/>
        <v/>
      </c>
      <c r="K117" s="6"/>
      <c r="L117" s="7"/>
      <c r="M117" s="7"/>
      <c r="N117" s="7"/>
      <c r="O117" s="7"/>
    </row>
    <row r="118" spans="1:15" ht="19.5" customHeight="1" x14ac:dyDescent="0.3">
      <c r="A118" s="3" t="str">
        <f t="shared" si="4"/>
        <v/>
      </c>
      <c r="B118" s="5"/>
      <c r="C118" s="4"/>
      <c r="D118" s="22" t="str">
        <f>IF(C118&lt;&gt;"",IFERROR(VLOOKUP(C118,'Personel Listesi'!$B$4:$C$303,2,0),"Bulunamadı"),"")</f>
        <v/>
      </c>
      <c r="E118" s="22" t="str">
        <f>IF(C118&lt;&gt;"",IFERROR(VLOOKUP(C118,'Personel Listesi'!$B$4:$D$303,3,0),""),"")</f>
        <v/>
      </c>
      <c r="F118" s="11"/>
      <c r="G118" s="11"/>
      <c r="H118" s="23" t="str">
        <f t="shared" si="5"/>
        <v/>
      </c>
      <c r="I118" s="24" t="str">
        <f t="shared" si="6"/>
        <v/>
      </c>
      <c r="J118" s="12" t="str">
        <f t="shared" si="7"/>
        <v/>
      </c>
      <c r="K118" s="3"/>
      <c r="L118" s="4"/>
      <c r="M118" s="4"/>
      <c r="N118" s="4"/>
      <c r="O118" s="4"/>
    </row>
    <row r="119" spans="1:15" ht="19.5" customHeight="1" x14ac:dyDescent="0.3">
      <c r="A119" s="6" t="str">
        <f t="shared" si="4"/>
        <v/>
      </c>
      <c r="B119" s="8"/>
      <c r="C119" s="7"/>
      <c r="D119" s="22" t="str">
        <f>IF(C119&lt;&gt;"",IFERROR(VLOOKUP(C119,'Personel Listesi'!$B$4:$C$303,2,0),"Bulunamadı"),"")</f>
        <v/>
      </c>
      <c r="E119" s="22" t="str">
        <f>IF(C119&lt;&gt;"",IFERROR(VLOOKUP(C119,'Personel Listesi'!$B$4:$D$303,3,0),""),"")</f>
        <v/>
      </c>
      <c r="F119" s="14"/>
      <c r="G119" s="14"/>
      <c r="H119" s="23" t="str">
        <f t="shared" si="5"/>
        <v/>
      </c>
      <c r="I119" s="24" t="str">
        <f t="shared" si="6"/>
        <v/>
      </c>
      <c r="J119" s="12" t="str">
        <f t="shared" si="7"/>
        <v/>
      </c>
      <c r="K119" s="6"/>
      <c r="L119" s="7"/>
      <c r="M119" s="7"/>
      <c r="N119" s="7"/>
      <c r="O119" s="7"/>
    </row>
    <row r="120" spans="1:15" ht="19.5" customHeight="1" x14ac:dyDescent="0.3">
      <c r="A120" s="3" t="str">
        <f t="shared" si="4"/>
        <v/>
      </c>
      <c r="B120" s="5"/>
      <c r="C120" s="4"/>
      <c r="D120" s="22" t="str">
        <f>IF(C120&lt;&gt;"",IFERROR(VLOOKUP(C120,'Personel Listesi'!$B$4:$C$303,2,0),"Bulunamadı"),"")</f>
        <v/>
      </c>
      <c r="E120" s="22" t="str">
        <f>IF(C120&lt;&gt;"",IFERROR(VLOOKUP(C120,'Personel Listesi'!$B$4:$D$303,3,0),""),"")</f>
        <v/>
      </c>
      <c r="F120" s="11"/>
      <c r="G120" s="11"/>
      <c r="H120" s="23" t="str">
        <f t="shared" si="5"/>
        <v/>
      </c>
      <c r="I120" s="24" t="str">
        <f t="shared" si="6"/>
        <v/>
      </c>
      <c r="J120" s="12" t="str">
        <f t="shared" si="7"/>
        <v/>
      </c>
      <c r="K120" s="3"/>
      <c r="L120" s="4"/>
      <c r="M120" s="4"/>
      <c r="N120" s="4"/>
      <c r="O120" s="4"/>
    </row>
    <row r="121" spans="1:15" ht="19.5" customHeight="1" x14ac:dyDescent="0.3">
      <c r="A121" s="6" t="str">
        <f t="shared" si="4"/>
        <v/>
      </c>
      <c r="B121" s="8"/>
      <c r="C121" s="7"/>
      <c r="D121" s="22" t="str">
        <f>IF(C121&lt;&gt;"",IFERROR(VLOOKUP(C121,'Personel Listesi'!$B$4:$C$303,2,0),"Bulunamadı"),"")</f>
        <v/>
      </c>
      <c r="E121" s="22" t="str">
        <f>IF(C121&lt;&gt;"",IFERROR(VLOOKUP(C121,'Personel Listesi'!$B$4:$D$303,3,0),""),"")</f>
        <v/>
      </c>
      <c r="F121" s="14"/>
      <c r="G121" s="14"/>
      <c r="H121" s="23" t="str">
        <f t="shared" si="5"/>
        <v/>
      </c>
      <c r="I121" s="24" t="str">
        <f t="shared" si="6"/>
        <v/>
      </c>
      <c r="J121" s="12" t="str">
        <f t="shared" si="7"/>
        <v/>
      </c>
      <c r="K121" s="6"/>
      <c r="L121" s="7"/>
      <c r="M121" s="7"/>
      <c r="N121" s="7"/>
      <c r="O121" s="7"/>
    </row>
    <row r="122" spans="1:15" ht="19.5" customHeight="1" x14ac:dyDescent="0.3">
      <c r="A122" s="3" t="str">
        <f t="shared" si="4"/>
        <v/>
      </c>
      <c r="B122" s="5"/>
      <c r="C122" s="4"/>
      <c r="D122" s="22" t="str">
        <f>IF(C122&lt;&gt;"",IFERROR(VLOOKUP(C122,'Personel Listesi'!$B$4:$C$303,2,0),"Bulunamadı"),"")</f>
        <v/>
      </c>
      <c r="E122" s="22" t="str">
        <f>IF(C122&lt;&gt;"",IFERROR(VLOOKUP(C122,'Personel Listesi'!$B$4:$D$303,3,0),""),"")</f>
        <v/>
      </c>
      <c r="F122" s="11"/>
      <c r="G122" s="11"/>
      <c r="H122" s="23" t="str">
        <f t="shared" si="5"/>
        <v/>
      </c>
      <c r="I122" s="24" t="str">
        <f t="shared" si="6"/>
        <v/>
      </c>
      <c r="J122" s="12" t="str">
        <f t="shared" si="7"/>
        <v/>
      </c>
      <c r="K122" s="3"/>
      <c r="L122" s="4"/>
      <c r="M122" s="4"/>
      <c r="N122" s="4"/>
      <c r="O122" s="4"/>
    </row>
    <row r="123" spans="1:15" ht="19.5" customHeight="1" x14ac:dyDescent="0.3">
      <c r="A123" s="6" t="str">
        <f t="shared" si="4"/>
        <v/>
      </c>
      <c r="B123" s="8"/>
      <c r="C123" s="7"/>
      <c r="D123" s="22" t="str">
        <f>IF(C123&lt;&gt;"",IFERROR(VLOOKUP(C123,'Personel Listesi'!$B$4:$C$303,2,0),"Bulunamadı"),"")</f>
        <v/>
      </c>
      <c r="E123" s="22" t="str">
        <f>IF(C123&lt;&gt;"",IFERROR(VLOOKUP(C123,'Personel Listesi'!$B$4:$D$303,3,0),""),"")</f>
        <v/>
      </c>
      <c r="F123" s="14"/>
      <c r="G123" s="14"/>
      <c r="H123" s="23" t="str">
        <f t="shared" si="5"/>
        <v/>
      </c>
      <c r="I123" s="24" t="str">
        <f t="shared" si="6"/>
        <v/>
      </c>
      <c r="J123" s="12" t="str">
        <f t="shared" si="7"/>
        <v/>
      </c>
      <c r="K123" s="6"/>
      <c r="L123" s="7"/>
      <c r="M123" s="7"/>
      <c r="N123" s="7"/>
      <c r="O123" s="7"/>
    </row>
    <row r="124" spans="1:15" ht="19.5" customHeight="1" x14ac:dyDescent="0.3">
      <c r="A124" s="3" t="str">
        <f t="shared" si="4"/>
        <v/>
      </c>
      <c r="B124" s="5"/>
      <c r="C124" s="4"/>
      <c r="D124" s="22" t="str">
        <f>IF(C124&lt;&gt;"",IFERROR(VLOOKUP(C124,'Personel Listesi'!$B$4:$C$303,2,0),"Bulunamadı"),"")</f>
        <v/>
      </c>
      <c r="E124" s="22" t="str">
        <f>IF(C124&lt;&gt;"",IFERROR(VLOOKUP(C124,'Personel Listesi'!$B$4:$D$303,3,0),""),"")</f>
        <v/>
      </c>
      <c r="F124" s="11"/>
      <c r="G124" s="11"/>
      <c r="H124" s="23" t="str">
        <f t="shared" si="5"/>
        <v/>
      </c>
      <c r="I124" s="24" t="str">
        <f t="shared" si="6"/>
        <v/>
      </c>
      <c r="J124" s="12" t="str">
        <f t="shared" si="7"/>
        <v/>
      </c>
      <c r="K124" s="3"/>
      <c r="L124" s="4"/>
      <c r="M124" s="4"/>
      <c r="N124" s="4"/>
      <c r="O124" s="4"/>
    </row>
    <row r="125" spans="1:15" ht="19.5" customHeight="1" x14ac:dyDescent="0.3">
      <c r="A125" s="6" t="str">
        <f t="shared" si="4"/>
        <v/>
      </c>
      <c r="B125" s="8"/>
      <c r="C125" s="7"/>
      <c r="D125" s="22" t="str">
        <f>IF(C125&lt;&gt;"",IFERROR(VLOOKUP(C125,'Personel Listesi'!$B$4:$C$303,2,0),"Bulunamadı"),"")</f>
        <v/>
      </c>
      <c r="E125" s="22" t="str">
        <f>IF(C125&lt;&gt;"",IFERROR(VLOOKUP(C125,'Personel Listesi'!$B$4:$D$303,3,0),""),"")</f>
        <v/>
      </c>
      <c r="F125" s="14"/>
      <c r="G125" s="14"/>
      <c r="H125" s="23" t="str">
        <f t="shared" si="5"/>
        <v/>
      </c>
      <c r="I125" s="24" t="str">
        <f t="shared" si="6"/>
        <v/>
      </c>
      <c r="J125" s="12" t="str">
        <f t="shared" si="7"/>
        <v/>
      </c>
      <c r="K125" s="6"/>
      <c r="L125" s="7"/>
      <c r="M125" s="7"/>
      <c r="N125" s="7"/>
      <c r="O125" s="7"/>
    </row>
    <row r="126" spans="1:15" ht="19.5" customHeight="1" x14ac:dyDescent="0.3">
      <c r="A126" s="3" t="str">
        <f t="shared" si="4"/>
        <v/>
      </c>
      <c r="B126" s="5"/>
      <c r="C126" s="4"/>
      <c r="D126" s="22" t="str">
        <f>IF(C126&lt;&gt;"",IFERROR(VLOOKUP(C126,'Personel Listesi'!$B$4:$C$303,2,0),"Bulunamadı"),"")</f>
        <v/>
      </c>
      <c r="E126" s="22" t="str">
        <f>IF(C126&lt;&gt;"",IFERROR(VLOOKUP(C126,'Personel Listesi'!$B$4:$D$303,3,0),""),"")</f>
        <v/>
      </c>
      <c r="F126" s="11"/>
      <c r="G126" s="11"/>
      <c r="H126" s="23" t="str">
        <f t="shared" si="5"/>
        <v/>
      </c>
      <c r="I126" s="24" t="str">
        <f t="shared" si="6"/>
        <v/>
      </c>
      <c r="J126" s="12" t="str">
        <f t="shared" si="7"/>
        <v/>
      </c>
      <c r="K126" s="3"/>
      <c r="L126" s="4"/>
      <c r="M126" s="4"/>
      <c r="N126" s="4"/>
      <c r="O126" s="4"/>
    </row>
    <row r="127" spans="1:15" ht="19.5" customHeight="1" x14ac:dyDescent="0.3">
      <c r="A127" s="6" t="str">
        <f t="shared" si="4"/>
        <v/>
      </c>
      <c r="B127" s="8"/>
      <c r="C127" s="7"/>
      <c r="D127" s="22" t="str">
        <f>IF(C127&lt;&gt;"",IFERROR(VLOOKUP(C127,'Personel Listesi'!$B$4:$C$303,2,0),"Bulunamadı"),"")</f>
        <v/>
      </c>
      <c r="E127" s="22" t="str">
        <f>IF(C127&lt;&gt;"",IFERROR(VLOOKUP(C127,'Personel Listesi'!$B$4:$D$303,3,0),""),"")</f>
        <v/>
      </c>
      <c r="F127" s="14"/>
      <c r="G127" s="14"/>
      <c r="H127" s="23" t="str">
        <f t="shared" si="5"/>
        <v/>
      </c>
      <c r="I127" s="24" t="str">
        <f t="shared" si="6"/>
        <v/>
      </c>
      <c r="J127" s="12" t="str">
        <f t="shared" si="7"/>
        <v/>
      </c>
      <c r="K127" s="6"/>
      <c r="L127" s="7"/>
      <c r="M127" s="7"/>
      <c r="N127" s="7"/>
      <c r="O127" s="7"/>
    </row>
    <row r="128" spans="1:15" ht="19.5" customHeight="1" x14ac:dyDescent="0.3">
      <c r="A128" s="3" t="str">
        <f t="shared" si="4"/>
        <v/>
      </c>
      <c r="B128" s="5"/>
      <c r="C128" s="4"/>
      <c r="D128" s="22" t="str">
        <f>IF(C128&lt;&gt;"",IFERROR(VLOOKUP(C128,'Personel Listesi'!$B$4:$C$303,2,0),"Bulunamadı"),"")</f>
        <v/>
      </c>
      <c r="E128" s="22" t="str">
        <f>IF(C128&lt;&gt;"",IFERROR(VLOOKUP(C128,'Personel Listesi'!$B$4:$D$303,3,0),""),"")</f>
        <v/>
      </c>
      <c r="F128" s="11"/>
      <c r="G128" s="11"/>
      <c r="H128" s="23" t="str">
        <f t="shared" si="5"/>
        <v/>
      </c>
      <c r="I128" s="24" t="str">
        <f t="shared" si="6"/>
        <v/>
      </c>
      <c r="J128" s="12" t="str">
        <f t="shared" si="7"/>
        <v/>
      </c>
      <c r="K128" s="3"/>
      <c r="L128" s="4"/>
      <c r="M128" s="4"/>
      <c r="N128" s="4"/>
      <c r="O128" s="4"/>
    </row>
    <row r="129" spans="1:15" ht="19.5" customHeight="1" x14ac:dyDescent="0.3">
      <c r="A129" s="6" t="str">
        <f t="shared" si="4"/>
        <v/>
      </c>
      <c r="B129" s="8"/>
      <c r="C129" s="7"/>
      <c r="D129" s="22" t="str">
        <f>IF(C129&lt;&gt;"",IFERROR(VLOOKUP(C129,'Personel Listesi'!$B$4:$C$303,2,0),"Bulunamadı"),"")</f>
        <v/>
      </c>
      <c r="E129" s="22" t="str">
        <f>IF(C129&lt;&gt;"",IFERROR(VLOOKUP(C129,'Personel Listesi'!$B$4:$D$303,3,0),""),"")</f>
        <v/>
      </c>
      <c r="F129" s="14"/>
      <c r="G129" s="14"/>
      <c r="H129" s="23" t="str">
        <f t="shared" si="5"/>
        <v/>
      </c>
      <c r="I129" s="24" t="str">
        <f t="shared" si="6"/>
        <v/>
      </c>
      <c r="J129" s="12" t="str">
        <f t="shared" si="7"/>
        <v/>
      </c>
      <c r="K129" s="6"/>
      <c r="L129" s="7"/>
      <c r="M129" s="7"/>
      <c r="N129" s="7"/>
      <c r="O129" s="7"/>
    </row>
    <row r="130" spans="1:15" ht="19.5" customHeight="1" x14ac:dyDescent="0.3">
      <c r="A130" s="3" t="str">
        <f t="shared" si="4"/>
        <v/>
      </c>
      <c r="B130" s="5"/>
      <c r="C130" s="4"/>
      <c r="D130" s="22" t="str">
        <f>IF(C130&lt;&gt;"",IFERROR(VLOOKUP(C130,'Personel Listesi'!$B$4:$C$303,2,0),"Bulunamadı"),"")</f>
        <v/>
      </c>
      <c r="E130" s="22" t="str">
        <f>IF(C130&lt;&gt;"",IFERROR(VLOOKUP(C130,'Personel Listesi'!$B$4:$D$303,3,0),""),"")</f>
        <v/>
      </c>
      <c r="F130" s="11"/>
      <c r="G130" s="11"/>
      <c r="H130" s="23" t="str">
        <f t="shared" si="5"/>
        <v/>
      </c>
      <c r="I130" s="24" t="str">
        <f t="shared" si="6"/>
        <v/>
      </c>
      <c r="J130" s="12" t="str">
        <f t="shared" si="7"/>
        <v/>
      </c>
      <c r="K130" s="3"/>
      <c r="L130" s="4"/>
      <c r="M130" s="4"/>
      <c r="N130" s="4"/>
      <c r="O130" s="4"/>
    </row>
    <row r="131" spans="1:15" ht="19.5" customHeight="1" x14ac:dyDescent="0.3">
      <c r="A131" s="6" t="str">
        <f t="shared" si="4"/>
        <v/>
      </c>
      <c r="B131" s="8"/>
      <c r="C131" s="7"/>
      <c r="D131" s="22" t="str">
        <f>IF(C131&lt;&gt;"",IFERROR(VLOOKUP(C131,'Personel Listesi'!$B$4:$C$303,2,0),"Bulunamadı"),"")</f>
        <v/>
      </c>
      <c r="E131" s="22" t="str">
        <f>IF(C131&lt;&gt;"",IFERROR(VLOOKUP(C131,'Personel Listesi'!$B$4:$D$303,3,0),""),"")</f>
        <v/>
      </c>
      <c r="F131" s="14"/>
      <c r="G131" s="14"/>
      <c r="H131" s="23" t="str">
        <f t="shared" si="5"/>
        <v/>
      </c>
      <c r="I131" s="24" t="str">
        <f t="shared" si="6"/>
        <v/>
      </c>
      <c r="J131" s="12" t="str">
        <f t="shared" si="7"/>
        <v/>
      </c>
      <c r="K131" s="6"/>
      <c r="L131" s="7"/>
      <c r="M131" s="7"/>
      <c r="N131" s="7"/>
      <c r="O131" s="7"/>
    </row>
    <row r="132" spans="1:15" ht="19.5" customHeight="1" x14ac:dyDescent="0.3">
      <c r="A132" s="3" t="str">
        <f t="shared" ref="A132:A195" si="8">IF(B132&lt;&gt;"",ROW()-3,"")</f>
        <v/>
      </c>
      <c r="B132" s="5"/>
      <c r="C132" s="4"/>
      <c r="D132" s="22" t="str">
        <f>IF(C132&lt;&gt;"",IFERROR(VLOOKUP(C132,'Personel Listesi'!$B$4:$C$303,2,0),"Bulunamadı"),"")</f>
        <v/>
      </c>
      <c r="E132" s="22" t="str">
        <f>IF(C132&lt;&gt;"",IFERROR(VLOOKUP(C132,'Personel Listesi'!$B$4:$D$303,3,0),""),"")</f>
        <v/>
      </c>
      <c r="F132" s="11"/>
      <c r="G132" s="11"/>
      <c r="H132" s="23" t="str">
        <f t="shared" ref="H132:H195" si="9">IF(AND(F132&lt;&gt;"",G132&lt;&gt;""),IFERROR(MAX(0,MAX(0,(MIN(17/24,G132)-MAX(8/24,F132))*24)-MAX(0,(MIN(13/24,G132)-MAX(12/24,F132))*24)),""),"")</f>
        <v/>
      </c>
      <c r="I132" s="24" t="str">
        <f t="shared" ref="I132:I195" si="10">IF(AND(F132&lt;&gt;"",G132&lt;&gt;""),IFERROR(MAX(0,(G132-17/24)*24),""),"")</f>
        <v/>
      </c>
      <c r="J132" s="12" t="str">
        <f t="shared" ref="J132:J195" si="11">IF(AND(F132&lt;&gt;"",G132&lt;&gt;""),IFERROR(H132+I132,""),"")</f>
        <v/>
      </c>
      <c r="K132" s="3"/>
      <c r="L132" s="4"/>
      <c r="M132" s="4"/>
      <c r="N132" s="4"/>
      <c r="O132" s="4"/>
    </row>
    <row r="133" spans="1:15" ht="19.5" customHeight="1" x14ac:dyDescent="0.3">
      <c r="A133" s="6" t="str">
        <f t="shared" si="8"/>
        <v/>
      </c>
      <c r="B133" s="8"/>
      <c r="C133" s="7"/>
      <c r="D133" s="22" t="str">
        <f>IF(C133&lt;&gt;"",IFERROR(VLOOKUP(C133,'Personel Listesi'!$B$4:$C$303,2,0),"Bulunamadı"),"")</f>
        <v/>
      </c>
      <c r="E133" s="22" t="str">
        <f>IF(C133&lt;&gt;"",IFERROR(VLOOKUP(C133,'Personel Listesi'!$B$4:$D$303,3,0),""),"")</f>
        <v/>
      </c>
      <c r="F133" s="14"/>
      <c r="G133" s="14"/>
      <c r="H133" s="23" t="str">
        <f t="shared" si="9"/>
        <v/>
      </c>
      <c r="I133" s="24" t="str">
        <f t="shared" si="10"/>
        <v/>
      </c>
      <c r="J133" s="12" t="str">
        <f t="shared" si="11"/>
        <v/>
      </c>
      <c r="K133" s="6"/>
      <c r="L133" s="7"/>
      <c r="M133" s="7"/>
      <c r="N133" s="7"/>
      <c r="O133" s="7"/>
    </row>
    <row r="134" spans="1:15" ht="19.5" customHeight="1" x14ac:dyDescent="0.3">
      <c r="A134" s="3" t="str">
        <f t="shared" si="8"/>
        <v/>
      </c>
      <c r="B134" s="5"/>
      <c r="C134" s="4"/>
      <c r="D134" s="22" t="str">
        <f>IF(C134&lt;&gt;"",IFERROR(VLOOKUP(C134,'Personel Listesi'!$B$4:$C$303,2,0),"Bulunamadı"),"")</f>
        <v/>
      </c>
      <c r="E134" s="22" t="str">
        <f>IF(C134&lt;&gt;"",IFERROR(VLOOKUP(C134,'Personel Listesi'!$B$4:$D$303,3,0),""),"")</f>
        <v/>
      </c>
      <c r="F134" s="11"/>
      <c r="G134" s="11"/>
      <c r="H134" s="23" t="str">
        <f t="shared" si="9"/>
        <v/>
      </c>
      <c r="I134" s="24" t="str">
        <f t="shared" si="10"/>
        <v/>
      </c>
      <c r="J134" s="12" t="str">
        <f t="shared" si="11"/>
        <v/>
      </c>
      <c r="K134" s="3"/>
      <c r="L134" s="4"/>
      <c r="M134" s="4"/>
      <c r="N134" s="4"/>
      <c r="O134" s="4"/>
    </row>
    <row r="135" spans="1:15" ht="19.5" customHeight="1" x14ac:dyDescent="0.3">
      <c r="A135" s="6" t="str">
        <f t="shared" si="8"/>
        <v/>
      </c>
      <c r="B135" s="8"/>
      <c r="C135" s="7"/>
      <c r="D135" s="22" t="str">
        <f>IF(C135&lt;&gt;"",IFERROR(VLOOKUP(C135,'Personel Listesi'!$B$4:$C$303,2,0),"Bulunamadı"),"")</f>
        <v/>
      </c>
      <c r="E135" s="22" t="str">
        <f>IF(C135&lt;&gt;"",IFERROR(VLOOKUP(C135,'Personel Listesi'!$B$4:$D$303,3,0),""),"")</f>
        <v/>
      </c>
      <c r="F135" s="14"/>
      <c r="G135" s="14"/>
      <c r="H135" s="23" t="str">
        <f t="shared" si="9"/>
        <v/>
      </c>
      <c r="I135" s="24" t="str">
        <f t="shared" si="10"/>
        <v/>
      </c>
      <c r="J135" s="12" t="str">
        <f t="shared" si="11"/>
        <v/>
      </c>
      <c r="K135" s="6"/>
      <c r="L135" s="7"/>
      <c r="M135" s="7"/>
      <c r="N135" s="7"/>
      <c r="O135" s="7"/>
    </row>
    <row r="136" spans="1:15" ht="19.5" customHeight="1" x14ac:dyDescent="0.3">
      <c r="A136" s="3" t="str">
        <f t="shared" si="8"/>
        <v/>
      </c>
      <c r="B136" s="5"/>
      <c r="C136" s="4"/>
      <c r="D136" s="22" t="str">
        <f>IF(C136&lt;&gt;"",IFERROR(VLOOKUP(C136,'Personel Listesi'!$B$4:$C$303,2,0),"Bulunamadı"),"")</f>
        <v/>
      </c>
      <c r="E136" s="22" t="str">
        <f>IF(C136&lt;&gt;"",IFERROR(VLOOKUP(C136,'Personel Listesi'!$B$4:$D$303,3,0),""),"")</f>
        <v/>
      </c>
      <c r="F136" s="11"/>
      <c r="G136" s="11"/>
      <c r="H136" s="23" t="str">
        <f t="shared" si="9"/>
        <v/>
      </c>
      <c r="I136" s="24" t="str">
        <f t="shared" si="10"/>
        <v/>
      </c>
      <c r="J136" s="12" t="str">
        <f t="shared" si="11"/>
        <v/>
      </c>
      <c r="K136" s="3"/>
      <c r="L136" s="4"/>
      <c r="M136" s="4"/>
      <c r="N136" s="4"/>
      <c r="O136" s="4"/>
    </row>
    <row r="137" spans="1:15" ht="19.5" customHeight="1" x14ac:dyDescent="0.3">
      <c r="A137" s="6" t="str">
        <f t="shared" si="8"/>
        <v/>
      </c>
      <c r="B137" s="8"/>
      <c r="C137" s="7"/>
      <c r="D137" s="22" t="str">
        <f>IF(C137&lt;&gt;"",IFERROR(VLOOKUP(C137,'Personel Listesi'!$B$4:$C$303,2,0),"Bulunamadı"),"")</f>
        <v/>
      </c>
      <c r="E137" s="22" t="str">
        <f>IF(C137&lt;&gt;"",IFERROR(VLOOKUP(C137,'Personel Listesi'!$B$4:$D$303,3,0),""),"")</f>
        <v/>
      </c>
      <c r="F137" s="14"/>
      <c r="G137" s="14"/>
      <c r="H137" s="23" t="str">
        <f t="shared" si="9"/>
        <v/>
      </c>
      <c r="I137" s="24" t="str">
        <f t="shared" si="10"/>
        <v/>
      </c>
      <c r="J137" s="12" t="str">
        <f t="shared" si="11"/>
        <v/>
      </c>
      <c r="K137" s="6"/>
      <c r="L137" s="7"/>
      <c r="M137" s="7"/>
      <c r="N137" s="7"/>
      <c r="O137" s="7"/>
    </row>
    <row r="138" spans="1:15" ht="19.5" customHeight="1" x14ac:dyDescent="0.3">
      <c r="A138" s="3" t="str">
        <f t="shared" si="8"/>
        <v/>
      </c>
      <c r="B138" s="5"/>
      <c r="C138" s="4"/>
      <c r="D138" s="22" t="str">
        <f>IF(C138&lt;&gt;"",IFERROR(VLOOKUP(C138,'Personel Listesi'!$B$4:$C$303,2,0),"Bulunamadı"),"")</f>
        <v/>
      </c>
      <c r="E138" s="22" t="str">
        <f>IF(C138&lt;&gt;"",IFERROR(VLOOKUP(C138,'Personel Listesi'!$B$4:$D$303,3,0),""),"")</f>
        <v/>
      </c>
      <c r="F138" s="11"/>
      <c r="G138" s="11"/>
      <c r="H138" s="23" t="str">
        <f t="shared" si="9"/>
        <v/>
      </c>
      <c r="I138" s="24" t="str">
        <f t="shared" si="10"/>
        <v/>
      </c>
      <c r="J138" s="12" t="str">
        <f t="shared" si="11"/>
        <v/>
      </c>
      <c r="K138" s="3"/>
      <c r="L138" s="4"/>
      <c r="M138" s="4"/>
      <c r="N138" s="4"/>
      <c r="O138" s="4"/>
    </row>
    <row r="139" spans="1:15" ht="19.5" customHeight="1" x14ac:dyDescent="0.3">
      <c r="A139" s="6" t="str">
        <f t="shared" si="8"/>
        <v/>
      </c>
      <c r="B139" s="8"/>
      <c r="C139" s="7"/>
      <c r="D139" s="22" t="str">
        <f>IF(C139&lt;&gt;"",IFERROR(VLOOKUP(C139,'Personel Listesi'!$B$4:$C$303,2,0),"Bulunamadı"),"")</f>
        <v/>
      </c>
      <c r="E139" s="22" t="str">
        <f>IF(C139&lt;&gt;"",IFERROR(VLOOKUP(C139,'Personel Listesi'!$B$4:$D$303,3,0),""),"")</f>
        <v/>
      </c>
      <c r="F139" s="14"/>
      <c r="G139" s="14"/>
      <c r="H139" s="23" t="str">
        <f t="shared" si="9"/>
        <v/>
      </c>
      <c r="I139" s="24" t="str">
        <f t="shared" si="10"/>
        <v/>
      </c>
      <c r="J139" s="12" t="str">
        <f t="shared" si="11"/>
        <v/>
      </c>
      <c r="K139" s="6"/>
      <c r="L139" s="7"/>
      <c r="M139" s="7"/>
      <c r="N139" s="7"/>
      <c r="O139" s="7"/>
    </row>
    <row r="140" spans="1:15" ht="19.5" customHeight="1" x14ac:dyDescent="0.3">
      <c r="A140" s="3" t="str">
        <f t="shared" si="8"/>
        <v/>
      </c>
      <c r="B140" s="5"/>
      <c r="C140" s="4"/>
      <c r="D140" s="22" t="str">
        <f>IF(C140&lt;&gt;"",IFERROR(VLOOKUP(C140,'Personel Listesi'!$B$4:$C$303,2,0),"Bulunamadı"),"")</f>
        <v/>
      </c>
      <c r="E140" s="22" t="str">
        <f>IF(C140&lt;&gt;"",IFERROR(VLOOKUP(C140,'Personel Listesi'!$B$4:$D$303,3,0),""),"")</f>
        <v/>
      </c>
      <c r="F140" s="11"/>
      <c r="G140" s="11"/>
      <c r="H140" s="23" t="str">
        <f t="shared" si="9"/>
        <v/>
      </c>
      <c r="I140" s="24" t="str">
        <f t="shared" si="10"/>
        <v/>
      </c>
      <c r="J140" s="12" t="str">
        <f t="shared" si="11"/>
        <v/>
      </c>
      <c r="K140" s="3"/>
      <c r="L140" s="4"/>
      <c r="M140" s="4"/>
      <c r="N140" s="4"/>
      <c r="O140" s="4"/>
    </row>
    <row r="141" spans="1:15" ht="19.5" customHeight="1" x14ac:dyDescent="0.3">
      <c r="A141" s="6" t="str">
        <f t="shared" si="8"/>
        <v/>
      </c>
      <c r="B141" s="8"/>
      <c r="C141" s="7"/>
      <c r="D141" s="22" t="str">
        <f>IF(C141&lt;&gt;"",IFERROR(VLOOKUP(C141,'Personel Listesi'!$B$4:$C$303,2,0),"Bulunamadı"),"")</f>
        <v/>
      </c>
      <c r="E141" s="22" t="str">
        <f>IF(C141&lt;&gt;"",IFERROR(VLOOKUP(C141,'Personel Listesi'!$B$4:$D$303,3,0),""),"")</f>
        <v/>
      </c>
      <c r="F141" s="14"/>
      <c r="G141" s="14"/>
      <c r="H141" s="23" t="str">
        <f t="shared" si="9"/>
        <v/>
      </c>
      <c r="I141" s="24" t="str">
        <f t="shared" si="10"/>
        <v/>
      </c>
      <c r="J141" s="12" t="str">
        <f t="shared" si="11"/>
        <v/>
      </c>
      <c r="K141" s="6"/>
      <c r="L141" s="7"/>
      <c r="M141" s="7"/>
      <c r="N141" s="7"/>
      <c r="O141" s="7"/>
    </row>
    <row r="142" spans="1:15" ht="19.5" customHeight="1" x14ac:dyDescent="0.3">
      <c r="A142" s="3" t="str">
        <f t="shared" si="8"/>
        <v/>
      </c>
      <c r="B142" s="5"/>
      <c r="C142" s="4"/>
      <c r="D142" s="22" t="str">
        <f>IF(C142&lt;&gt;"",IFERROR(VLOOKUP(C142,'Personel Listesi'!$B$4:$C$303,2,0),"Bulunamadı"),"")</f>
        <v/>
      </c>
      <c r="E142" s="22" t="str">
        <f>IF(C142&lt;&gt;"",IFERROR(VLOOKUP(C142,'Personel Listesi'!$B$4:$D$303,3,0),""),"")</f>
        <v/>
      </c>
      <c r="F142" s="11"/>
      <c r="G142" s="11"/>
      <c r="H142" s="23" t="str">
        <f t="shared" si="9"/>
        <v/>
      </c>
      <c r="I142" s="24" t="str">
        <f t="shared" si="10"/>
        <v/>
      </c>
      <c r="J142" s="12" t="str">
        <f t="shared" si="11"/>
        <v/>
      </c>
      <c r="K142" s="3"/>
      <c r="L142" s="4"/>
      <c r="M142" s="4"/>
      <c r="N142" s="4"/>
      <c r="O142" s="4"/>
    </row>
    <row r="143" spans="1:15" ht="19.5" customHeight="1" x14ac:dyDescent="0.3">
      <c r="A143" s="6" t="str">
        <f t="shared" si="8"/>
        <v/>
      </c>
      <c r="B143" s="8"/>
      <c r="C143" s="7"/>
      <c r="D143" s="22" t="str">
        <f>IF(C143&lt;&gt;"",IFERROR(VLOOKUP(C143,'Personel Listesi'!$B$4:$C$303,2,0),"Bulunamadı"),"")</f>
        <v/>
      </c>
      <c r="E143" s="22" t="str">
        <f>IF(C143&lt;&gt;"",IFERROR(VLOOKUP(C143,'Personel Listesi'!$B$4:$D$303,3,0),""),"")</f>
        <v/>
      </c>
      <c r="F143" s="14"/>
      <c r="G143" s="14"/>
      <c r="H143" s="23" t="str">
        <f t="shared" si="9"/>
        <v/>
      </c>
      <c r="I143" s="24" t="str">
        <f t="shared" si="10"/>
        <v/>
      </c>
      <c r="J143" s="12" t="str">
        <f t="shared" si="11"/>
        <v/>
      </c>
      <c r="K143" s="6"/>
      <c r="L143" s="7"/>
      <c r="M143" s="7"/>
      <c r="N143" s="7"/>
      <c r="O143" s="7"/>
    </row>
    <row r="144" spans="1:15" ht="19.5" customHeight="1" x14ac:dyDescent="0.3">
      <c r="A144" s="3" t="str">
        <f t="shared" si="8"/>
        <v/>
      </c>
      <c r="B144" s="5"/>
      <c r="C144" s="4"/>
      <c r="D144" s="22" t="str">
        <f>IF(C144&lt;&gt;"",IFERROR(VLOOKUP(C144,'Personel Listesi'!$B$4:$C$303,2,0),"Bulunamadı"),"")</f>
        <v/>
      </c>
      <c r="E144" s="22" t="str">
        <f>IF(C144&lt;&gt;"",IFERROR(VLOOKUP(C144,'Personel Listesi'!$B$4:$D$303,3,0),""),"")</f>
        <v/>
      </c>
      <c r="F144" s="11"/>
      <c r="G144" s="11"/>
      <c r="H144" s="23" t="str">
        <f t="shared" si="9"/>
        <v/>
      </c>
      <c r="I144" s="24" t="str">
        <f t="shared" si="10"/>
        <v/>
      </c>
      <c r="J144" s="12" t="str">
        <f t="shared" si="11"/>
        <v/>
      </c>
      <c r="K144" s="3"/>
      <c r="L144" s="4"/>
      <c r="M144" s="4"/>
      <c r="N144" s="4"/>
      <c r="O144" s="4"/>
    </row>
    <row r="145" spans="1:15" ht="19.5" customHeight="1" x14ac:dyDescent="0.3">
      <c r="A145" s="6" t="str">
        <f t="shared" si="8"/>
        <v/>
      </c>
      <c r="B145" s="8"/>
      <c r="C145" s="7"/>
      <c r="D145" s="22" t="str">
        <f>IF(C145&lt;&gt;"",IFERROR(VLOOKUP(C145,'Personel Listesi'!$B$4:$C$303,2,0),"Bulunamadı"),"")</f>
        <v/>
      </c>
      <c r="E145" s="22" t="str">
        <f>IF(C145&lt;&gt;"",IFERROR(VLOOKUP(C145,'Personel Listesi'!$B$4:$D$303,3,0),""),"")</f>
        <v/>
      </c>
      <c r="F145" s="14"/>
      <c r="G145" s="14"/>
      <c r="H145" s="23" t="str">
        <f t="shared" si="9"/>
        <v/>
      </c>
      <c r="I145" s="24" t="str">
        <f t="shared" si="10"/>
        <v/>
      </c>
      <c r="J145" s="12" t="str">
        <f t="shared" si="11"/>
        <v/>
      </c>
      <c r="K145" s="6"/>
      <c r="L145" s="7"/>
      <c r="M145" s="7"/>
      <c r="N145" s="7"/>
      <c r="O145" s="7"/>
    </row>
    <row r="146" spans="1:15" ht="19.5" customHeight="1" x14ac:dyDescent="0.3">
      <c r="A146" s="3" t="str">
        <f t="shared" si="8"/>
        <v/>
      </c>
      <c r="B146" s="5"/>
      <c r="C146" s="4"/>
      <c r="D146" s="22" t="str">
        <f>IF(C146&lt;&gt;"",IFERROR(VLOOKUP(C146,'Personel Listesi'!$B$4:$C$303,2,0),"Bulunamadı"),"")</f>
        <v/>
      </c>
      <c r="E146" s="22" t="str">
        <f>IF(C146&lt;&gt;"",IFERROR(VLOOKUP(C146,'Personel Listesi'!$B$4:$D$303,3,0),""),"")</f>
        <v/>
      </c>
      <c r="F146" s="11"/>
      <c r="G146" s="11"/>
      <c r="H146" s="23" t="str">
        <f t="shared" si="9"/>
        <v/>
      </c>
      <c r="I146" s="24" t="str">
        <f t="shared" si="10"/>
        <v/>
      </c>
      <c r="J146" s="12" t="str">
        <f t="shared" si="11"/>
        <v/>
      </c>
      <c r="K146" s="3"/>
      <c r="L146" s="4"/>
      <c r="M146" s="4"/>
      <c r="N146" s="4"/>
      <c r="O146" s="4"/>
    </row>
    <row r="147" spans="1:15" ht="19.5" customHeight="1" x14ac:dyDescent="0.3">
      <c r="A147" s="6" t="str">
        <f t="shared" si="8"/>
        <v/>
      </c>
      <c r="B147" s="8"/>
      <c r="C147" s="7"/>
      <c r="D147" s="22" t="str">
        <f>IF(C147&lt;&gt;"",IFERROR(VLOOKUP(C147,'Personel Listesi'!$B$4:$C$303,2,0),"Bulunamadı"),"")</f>
        <v/>
      </c>
      <c r="E147" s="22" t="str">
        <f>IF(C147&lt;&gt;"",IFERROR(VLOOKUP(C147,'Personel Listesi'!$B$4:$D$303,3,0),""),"")</f>
        <v/>
      </c>
      <c r="F147" s="14"/>
      <c r="G147" s="14"/>
      <c r="H147" s="23" t="str">
        <f t="shared" si="9"/>
        <v/>
      </c>
      <c r="I147" s="24" t="str">
        <f t="shared" si="10"/>
        <v/>
      </c>
      <c r="J147" s="12" t="str">
        <f t="shared" si="11"/>
        <v/>
      </c>
      <c r="K147" s="6"/>
      <c r="L147" s="7"/>
      <c r="M147" s="7"/>
      <c r="N147" s="7"/>
      <c r="O147" s="7"/>
    </row>
    <row r="148" spans="1:15" ht="19.5" customHeight="1" x14ac:dyDescent="0.3">
      <c r="A148" s="3" t="str">
        <f t="shared" si="8"/>
        <v/>
      </c>
      <c r="B148" s="5"/>
      <c r="C148" s="4"/>
      <c r="D148" s="22" t="str">
        <f>IF(C148&lt;&gt;"",IFERROR(VLOOKUP(C148,'Personel Listesi'!$B$4:$C$303,2,0),"Bulunamadı"),"")</f>
        <v/>
      </c>
      <c r="E148" s="22" t="str">
        <f>IF(C148&lt;&gt;"",IFERROR(VLOOKUP(C148,'Personel Listesi'!$B$4:$D$303,3,0),""),"")</f>
        <v/>
      </c>
      <c r="F148" s="11"/>
      <c r="G148" s="11"/>
      <c r="H148" s="23" t="str">
        <f t="shared" si="9"/>
        <v/>
      </c>
      <c r="I148" s="24" t="str">
        <f t="shared" si="10"/>
        <v/>
      </c>
      <c r="J148" s="12" t="str">
        <f t="shared" si="11"/>
        <v/>
      </c>
      <c r="K148" s="3"/>
      <c r="L148" s="4"/>
      <c r="M148" s="4"/>
      <c r="N148" s="4"/>
      <c r="O148" s="4"/>
    </row>
    <row r="149" spans="1:15" ht="19.5" customHeight="1" x14ac:dyDescent="0.3">
      <c r="A149" s="6" t="str">
        <f t="shared" si="8"/>
        <v/>
      </c>
      <c r="B149" s="8"/>
      <c r="C149" s="7"/>
      <c r="D149" s="22" t="str">
        <f>IF(C149&lt;&gt;"",IFERROR(VLOOKUP(C149,'Personel Listesi'!$B$4:$C$303,2,0),"Bulunamadı"),"")</f>
        <v/>
      </c>
      <c r="E149" s="22" t="str">
        <f>IF(C149&lt;&gt;"",IFERROR(VLOOKUP(C149,'Personel Listesi'!$B$4:$D$303,3,0),""),"")</f>
        <v/>
      </c>
      <c r="F149" s="14"/>
      <c r="G149" s="14"/>
      <c r="H149" s="23" t="str">
        <f t="shared" si="9"/>
        <v/>
      </c>
      <c r="I149" s="24" t="str">
        <f t="shared" si="10"/>
        <v/>
      </c>
      <c r="J149" s="12" t="str">
        <f t="shared" si="11"/>
        <v/>
      </c>
      <c r="K149" s="6"/>
      <c r="L149" s="7"/>
      <c r="M149" s="7"/>
      <c r="N149" s="7"/>
      <c r="O149" s="7"/>
    </row>
    <row r="150" spans="1:15" ht="19.5" customHeight="1" x14ac:dyDescent="0.3">
      <c r="A150" s="3" t="str">
        <f t="shared" si="8"/>
        <v/>
      </c>
      <c r="B150" s="5"/>
      <c r="C150" s="4"/>
      <c r="D150" s="22" t="str">
        <f>IF(C150&lt;&gt;"",IFERROR(VLOOKUP(C150,'Personel Listesi'!$B$4:$C$303,2,0),"Bulunamadı"),"")</f>
        <v/>
      </c>
      <c r="E150" s="22" t="str">
        <f>IF(C150&lt;&gt;"",IFERROR(VLOOKUP(C150,'Personel Listesi'!$B$4:$D$303,3,0),""),"")</f>
        <v/>
      </c>
      <c r="F150" s="11"/>
      <c r="G150" s="11"/>
      <c r="H150" s="23" t="str">
        <f t="shared" si="9"/>
        <v/>
      </c>
      <c r="I150" s="24" t="str">
        <f t="shared" si="10"/>
        <v/>
      </c>
      <c r="J150" s="12" t="str">
        <f t="shared" si="11"/>
        <v/>
      </c>
      <c r="K150" s="3"/>
      <c r="L150" s="4"/>
      <c r="M150" s="4"/>
      <c r="N150" s="4"/>
      <c r="O150" s="4"/>
    </row>
    <row r="151" spans="1:15" ht="19.5" customHeight="1" x14ac:dyDescent="0.3">
      <c r="A151" s="6" t="str">
        <f t="shared" si="8"/>
        <v/>
      </c>
      <c r="B151" s="8"/>
      <c r="C151" s="7"/>
      <c r="D151" s="22" t="str">
        <f>IF(C151&lt;&gt;"",IFERROR(VLOOKUP(C151,'Personel Listesi'!$B$4:$C$303,2,0),"Bulunamadı"),"")</f>
        <v/>
      </c>
      <c r="E151" s="22" t="str">
        <f>IF(C151&lt;&gt;"",IFERROR(VLOOKUP(C151,'Personel Listesi'!$B$4:$D$303,3,0),""),"")</f>
        <v/>
      </c>
      <c r="F151" s="14"/>
      <c r="G151" s="14"/>
      <c r="H151" s="23" t="str">
        <f t="shared" si="9"/>
        <v/>
      </c>
      <c r="I151" s="24" t="str">
        <f t="shared" si="10"/>
        <v/>
      </c>
      <c r="J151" s="12" t="str">
        <f t="shared" si="11"/>
        <v/>
      </c>
      <c r="K151" s="6"/>
      <c r="L151" s="7"/>
      <c r="M151" s="7"/>
      <c r="N151" s="7"/>
      <c r="O151" s="7"/>
    </row>
    <row r="152" spans="1:15" ht="19.5" customHeight="1" x14ac:dyDescent="0.3">
      <c r="A152" s="3" t="str">
        <f t="shared" si="8"/>
        <v/>
      </c>
      <c r="B152" s="5"/>
      <c r="C152" s="4"/>
      <c r="D152" s="22" t="str">
        <f>IF(C152&lt;&gt;"",IFERROR(VLOOKUP(C152,'Personel Listesi'!$B$4:$C$303,2,0),"Bulunamadı"),"")</f>
        <v/>
      </c>
      <c r="E152" s="22" t="str">
        <f>IF(C152&lt;&gt;"",IFERROR(VLOOKUP(C152,'Personel Listesi'!$B$4:$D$303,3,0),""),"")</f>
        <v/>
      </c>
      <c r="F152" s="11"/>
      <c r="G152" s="11"/>
      <c r="H152" s="23" t="str">
        <f t="shared" si="9"/>
        <v/>
      </c>
      <c r="I152" s="24" t="str">
        <f t="shared" si="10"/>
        <v/>
      </c>
      <c r="J152" s="12" t="str">
        <f t="shared" si="11"/>
        <v/>
      </c>
      <c r="K152" s="3"/>
      <c r="L152" s="4"/>
      <c r="M152" s="4"/>
      <c r="N152" s="4"/>
      <c r="O152" s="4"/>
    </row>
    <row r="153" spans="1:15" ht="19.5" customHeight="1" x14ac:dyDescent="0.3">
      <c r="A153" s="6" t="str">
        <f t="shared" si="8"/>
        <v/>
      </c>
      <c r="B153" s="8"/>
      <c r="C153" s="7"/>
      <c r="D153" s="22" t="str">
        <f>IF(C153&lt;&gt;"",IFERROR(VLOOKUP(C153,'Personel Listesi'!$B$4:$C$303,2,0),"Bulunamadı"),"")</f>
        <v/>
      </c>
      <c r="E153" s="22" t="str">
        <f>IF(C153&lt;&gt;"",IFERROR(VLOOKUP(C153,'Personel Listesi'!$B$4:$D$303,3,0),""),"")</f>
        <v/>
      </c>
      <c r="F153" s="14"/>
      <c r="G153" s="14"/>
      <c r="H153" s="23" t="str">
        <f t="shared" si="9"/>
        <v/>
      </c>
      <c r="I153" s="24" t="str">
        <f t="shared" si="10"/>
        <v/>
      </c>
      <c r="J153" s="12" t="str">
        <f t="shared" si="11"/>
        <v/>
      </c>
      <c r="K153" s="6"/>
      <c r="L153" s="7"/>
      <c r="M153" s="7"/>
      <c r="N153" s="7"/>
      <c r="O153" s="7"/>
    </row>
    <row r="154" spans="1:15" ht="19.5" customHeight="1" x14ac:dyDescent="0.3">
      <c r="A154" s="3" t="str">
        <f t="shared" si="8"/>
        <v/>
      </c>
      <c r="B154" s="5"/>
      <c r="C154" s="4"/>
      <c r="D154" s="22" t="str">
        <f>IF(C154&lt;&gt;"",IFERROR(VLOOKUP(C154,'Personel Listesi'!$B$4:$C$303,2,0),"Bulunamadı"),"")</f>
        <v/>
      </c>
      <c r="E154" s="22" t="str">
        <f>IF(C154&lt;&gt;"",IFERROR(VLOOKUP(C154,'Personel Listesi'!$B$4:$D$303,3,0),""),"")</f>
        <v/>
      </c>
      <c r="F154" s="11"/>
      <c r="G154" s="11"/>
      <c r="H154" s="23" t="str">
        <f t="shared" si="9"/>
        <v/>
      </c>
      <c r="I154" s="24" t="str">
        <f t="shared" si="10"/>
        <v/>
      </c>
      <c r="J154" s="12" t="str">
        <f t="shared" si="11"/>
        <v/>
      </c>
      <c r="K154" s="3"/>
      <c r="L154" s="4"/>
      <c r="M154" s="4"/>
      <c r="N154" s="4"/>
      <c r="O154" s="4"/>
    </row>
    <row r="155" spans="1:15" ht="19.5" customHeight="1" x14ac:dyDescent="0.3">
      <c r="A155" s="6" t="str">
        <f t="shared" si="8"/>
        <v/>
      </c>
      <c r="B155" s="8"/>
      <c r="C155" s="7"/>
      <c r="D155" s="22" t="str">
        <f>IF(C155&lt;&gt;"",IFERROR(VLOOKUP(C155,'Personel Listesi'!$B$4:$C$303,2,0),"Bulunamadı"),"")</f>
        <v/>
      </c>
      <c r="E155" s="22" t="str">
        <f>IF(C155&lt;&gt;"",IFERROR(VLOOKUP(C155,'Personel Listesi'!$B$4:$D$303,3,0),""),"")</f>
        <v/>
      </c>
      <c r="F155" s="14"/>
      <c r="G155" s="14"/>
      <c r="H155" s="23" t="str">
        <f t="shared" si="9"/>
        <v/>
      </c>
      <c r="I155" s="24" t="str">
        <f t="shared" si="10"/>
        <v/>
      </c>
      <c r="J155" s="12" t="str">
        <f t="shared" si="11"/>
        <v/>
      </c>
      <c r="K155" s="6"/>
      <c r="L155" s="7"/>
      <c r="M155" s="7"/>
      <c r="N155" s="7"/>
      <c r="O155" s="7"/>
    </row>
    <row r="156" spans="1:15" ht="19.5" customHeight="1" x14ac:dyDescent="0.3">
      <c r="A156" s="3" t="str">
        <f t="shared" si="8"/>
        <v/>
      </c>
      <c r="B156" s="5"/>
      <c r="C156" s="4"/>
      <c r="D156" s="22" t="str">
        <f>IF(C156&lt;&gt;"",IFERROR(VLOOKUP(C156,'Personel Listesi'!$B$4:$C$303,2,0),"Bulunamadı"),"")</f>
        <v/>
      </c>
      <c r="E156" s="22" t="str">
        <f>IF(C156&lt;&gt;"",IFERROR(VLOOKUP(C156,'Personel Listesi'!$B$4:$D$303,3,0),""),"")</f>
        <v/>
      </c>
      <c r="F156" s="11"/>
      <c r="G156" s="11"/>
      <c r="H156" s="23" t="str">
        <f t="shared" si="9"/>
        <v/>
      </c>
      <c r="I156" s="24" t="str">
        <f t="shared" si="10"/>
        <v/>
      </c>
      <c r="J156" s="12" t="str">
        <f t="shared" si="11"/>
        <v/>
      </c>
      <c r="K156" s="3"/>
      <c r="L156" s="4"/>
      <c r="M156" s="4"/>
      <c r="N156" s="4"/>
      <c r="O156" s="4"/>
    </row>
    <row r="157" spans="1:15" ht="19.5" customHeight="1" x14ac:dyDescent="0.3">
      <c r="A157" s="6" t="str">
        <f t="shared" si="8"/>
        <v/>
      </c>
      <c r="B157" s="8"/>
      <c r="C157" s="7"/>
      <c r="D157" s="22" t="str">
        <f>IF(C157&lt;&gt;"",IFERROR(VLOOKUP(C157,'Personel Listesi'!$B$4:$C$303,2,0),"Bulunamadı"),"")</f>
        <v/>
      </c>
      <c r="E157" s="22" t="str">
        <f>IF(C157&lt;&gt;"",IFERROR(VLOOKUP(C157,'Personel Listesi'!$B$4:$D$303,3,0),""),"")</f>
        <v/>
      </c>
      <c r="F157" s="14"/>
      <c r="G157" s="14"/>
      <c r="H157" s="23" t="str">
        <f t="shared" si="9"/>
        <v/>
      </c>
      <c r="I157" s="24" t="str">
        <f t="shared" si="10"/>
        <v/>
      </c>
      <c r="J157" s="12" t="str">
        <f t="shared" si="11"/>
        <v/>
      </c>
      <c r="K157" s="6"/>
      <c r="L157" s="7"/>
      <c r="M157" s="7"/>
      <c r="N157" s="7"/>
      <c r="O157" s="7"/>
    </row>
    <row r="158" spans="1:15" ht="19.5" customHeight="1" x14ac:dyDescent="0.3">
      <c r="A158" s="3" t="str">
        <f t="shared" si="8"/>
        <v/>
      </c>
      <c r="B158" s="5"/>
      <c r="C158" s="4"/>
      <c r="D158" s="22" t="str">
        <f>IF(C158&lt;&gt;"",IFERROR(VLOOKUP(C158,'Personel Listesi'!$B$4:$C$303,2,0),"Bulunamadı"),"")</f>
        <v/>
      </c>
      <c r="E158" s="22" t="str">
        <f>IF(C158&lt;&gt;"",IFERROR(VLOOKUP(C158,'Personel Listesi'!$B$4:$D$303,3,0),""),"")</f>
        <v/>
      </c>
      <c r="F158" s="11"/>
      <c r="G158" s="11"/>
      <c r="H158" s="23" t="str">
        <f t="shared" si="9"/>
        <v/>
      </c>
      <c r="I158" s="24" t="str">
        <f t="shared" si="10"/>
        <v/>
      </c>
      <c r="J158" s="12" t="str">
        <f t="shared" si="11"/>
        <v/>
      </c>
      <c r="K158" s="3"/>
      <c r="L158" s="4"/>
      <c r="M158" s="4"/>
      <c r="N158" s="4"/>
      <c r="O158" s="4"/>
    </row>
    <row r="159" spans="1:15" ht="19.5" customHeight="1" x14ac:dyDescent="0.3">
      <c r="A159" s="6" t="str">
        <f t="shared" si="8"/>
        <v/>
      </c>
      <c r="B159" s="8"/>
      <c r="C159" s="7"/>
      <c r="D159" s="22" t="str">
        <f>IF(C159&lt;&gt;"",IFERROR(VLOOKUP(C159,'Personel Listesi'!$B$4:$C$303,2,0),"Bulunamadı"),"")</f>
        <v/>
      </c>
      <c r="E159" s="22" t="str">
        <f>IF(C159&lt;&gt;"",IFERROR(VLOOKUP(C159,'Personel Listesi'!$B$4:$D$303,3,0),""),"")</f>
        <v/>
      </c>
      <c r="F159" s="14"/>
      <c r="G159" s="14"/>
      <c r="H159" s="23" t="str">
        <f t="shared" si="9"/>
        <v/>
      </c>
      <c r="I159" s="24" t="str">
        <f t="shared" si="10"/>
        <v/>
      </c>
      <c r="J159" s="12" t="str">
        <f t="shared" si="11"/>
        <v/>
      </c>
      <c r="K159" s="6"/>
      <c r="L159" s="7"/>
      <c r="M159" s="7"/>
      <c r="N159" s="7"/>
      <c r="O159" s="7"/>
    </row>
    <row r="160" spans="1:15" ht="19.5" customHeight="1" x14ac:dyDescent="0.3">
      <c r="A160" s="3" t="str">
        <f t="shared" si="8"/>
        <v/>
      </c>
      <c r="B160" s="5"/>
      <c r="C160" s="4"/>
      <c r="D160" s="22" t="str">
        <f>IF(C160&lt;&gt;"",IFERROR(VLOOKUP(C160,'Personel Listesi'!$B$4:$C$303,2,0),"Bulunamadı"),"")</f>
        <v/>
      </c>
      <c r="E160" s="22" t="str">
        <f>IF(C160&lt;&gt;"",IFERROR(VLOOKUP(C160,'Personel Listesi'!$B$4:$D$303,3,0),""),"")</f>
        <v/>
      </c>
      <c r="F160" s="11"/>
      <c r="G160" s="11"/>
      <c r="H160" s="23" t="str">
        <f t="shared" si="9"/>
        <v/>
      </c>
      <c r="I160" s="24" t="str">
        <f t="shared" si="10"/>
        <v/>
      </c>
      <c r="J160" s="12" t="str">
        <f t="shared" si="11"/>
        <v/>
      </c>
      <c r="K160" s="3"/>
      <c r="L160" s="4"/>
      <c r="M160" s="4"/>
      <c r="N160" s="4"/>
      <c r="O160" s="4"/>
    </row>
    <row r="161" spans="1:15" ht="19.5" customHeight="1" x14ac:dyDescent="0.3">
      <c r="A161" s="6" t="str">
        <f t="shared" si="8"/>
        <v/>
      </c>
      <c r="B161" s="8"/>
      <c r="C161" s="7"/>
      <c r="D161" s="22" t="str">
        <f>IF(C161&lt;&gt;"",IFERROR(VLOOKUP(C161,'Personel Listesi'!$B$4:$C$303,2,0),"Bulunamadı"),"")</f>
        <v/>
      </c>
      <c r="E161" s="22" t="str">
        <f>IF(C161&lt;&gt;"",IFERROR(VLOOKUP(C161,'Personel Listesi'!$B$4:$D$303,3,0),""),"")</f>
        <v/>
      </c>
      <c r="F161" s="14"/>
      <c r="G161" s="14"/>
      <c r="H161" s="23" t="str">
        <f t="shared" si="9"/>
        <v/>
      </c>
      <c r="I161" s="24" t="str">
        <f t="shared" si="10"/>
        <v/>
      </c>
      <c r="J161" s="12" t="str">
        <f t="shared" si="11"/>
        <v/>
      </c>
      <c r="K161" s="6"/>
      <c r="L161" s="7"/>
      <c r="M161" s="7"/>
      <c r="N161" s="7"/>
      <c r="O161" s="7"/>
    </row>
    <row r="162" spans="1:15" ht="19.5" customHeight="1" x14ac:dyDescent="0.3">
      <c r="A162" s="3" t="str">
        <f t="shared" si="8"/>
        <v/>
      </c>
      <c r="B162" s="5"/>
      <c r="C162" s="4"/>
      <c r="D162" s="22" t="str">
        <f>IF(C162&lt;&gt;"",IFERROR(VLOOKUP(C162,'Personel Listesi'!$B$4:$C$303,2,0),"Bulunamadı"),"")</f>
        <v/>
      </c>
      <c r="E162" s="22" t="str">
        <f>IF(C162&lt;&gt;"",IFERROR(VLOOKUP(C162,'Personel Listesi'!$B$4:$D$303,3,0),""),"")</f>
        <v/>
      </c>
      <c r="F162" s="11"/>
      <c r="G162" s="11"/>
      <c r="H162" s="23" t="str">
        <f t="shared" si="9"/>
        <v/>
      </c>
      <c r="I162" s="24" t="str">
        <f t="shared" si="10"/>
        <v/>
      </c>
      <c r="J162" s="12" t="str">
        <f t="shared" si="11"/>
        <v/>
      </c>
      <c r="K162" s="3"/>
      <c r="L162" s="4"/>
      <c r="M162" s="4"/>
      <c r="N162" s="4"/>
      <c r="O162" s="4"/>
    </row>
    <row r="163" spans="1:15" ht="19.5" customHeight="1" x14ac:dyDescent="0.3">
      <c r="A163" s="6" t="str">
        <f t="shared" si="8"/>
        <v/>
      </c>
      <c r="B163" s="8"/>
      <c r="C163" s="7"/>
      <c r="D163" s="22" t="str">
        <f>IF(C163&lt;&gt;"",IFERROR(VLOOKUP(C163,'Personel Listesi'!$B$4:$C$303,2,0),"Bulunamadı"),"")</f>
        <v/>
      </c>
      <c r="E163" s="22" t="str">
        <f>IF(C163&lt;&gt;"",IFERROR(VLOOKUP(C163,'Personel Listesi'!$B$4:$D$303,3,0),""),"")</f>
        <v/>
      </c>
      <c r="F163" s="14"/>
      <c r="G163" s="14"/>
      <c r="H163" s="23" t="str">
        <f t="shared" si="9"/>
        <v/>
      </c>
      <c r="I163" s="24" t="str">
        <f t="shared" si="10"/>
        <v/>
      </c>
      <c r="J163" s="12" t="str">
        <f t="shared" si="11"/>
        <v/>
      </c>
      <c r="K163" s="6"/>
      <c r="L163" s="7"/>
      <c r="M163" s="7"/>
      <c r="N163" s="7"/>
      <c r="O163" s="7"/>
    </row>
    <row r="164" spans="1:15" ht="19.5" customHeight="1" x14ac:dyDescent="0.3">
      <c r="A164" s="3" t="str">
        <f t="shared" si="8"/>
        <v/>
      </c>
      <c r="B164" s="5"/>
      <c r="C164" s="4"/>
      <c r="D164" s="22" t="str">
        <f>IF(C164&lt;&gt;"",IFERROR(VLOOKUP(C164,'Personel Listesi'!$B$4:$C$303,2,0),"Bulunamadı"),"")</f>
        <v/>
      </c>
      <c r="E164" s="22" t="str">
        <f>IF(C164&lt;&gt;"",IFERROR(VLOOKUP(C164,'Personel Listesi'!$B$4:$D$303,3,0),""),"")</f>
        <v/>
      </c>
      <c r="F164" s="11"/>
      <c r="G164" s="11"/>
      <c r="H164" s="23" t="str">
        <f t="shared" si="9"/>
        <v/>
      </c>
      <c r="I164" s="24" t="str">
        <f t="shared" si="10"/>
        <v/>
      </c>
      <c r="J164" s="12" t="str">
        <f t="shared" si="11"/>
        <v/>
      </c>
      <c r="K164" s="3"/>
      <c r="L164" s="4"/>
      <c r="M164" s="4"/>
      <c r="N164" s="4"/>
      <c r="O164" s="4"/>
    </row>
    <row r="165" spans="1:15" ht="19.5" customHeight="1" x14ac:dyDescent="0.3">
      <c r="A165" s="6" t="str">
        <f t="shared" si="8"/>
        <v/>
      </c>
      <c r="B165" s="8"/>
      <c r="C165" s="7"/>
      <c r="D165" s="22" t="str">
        <f>IF(C165&lt;&gt;"",IFERROR(VLOOKUP(C165,'Personel Listesi'!$B$4:$C$303,2,0),"Bulunamadı"),"")</f>
        <v/>
      </c>
      <c r="E165" s="22" t="str">
        <f>IF(C165&lt;&gt;"",IFERROR(VLOOKUP(C165,'Personel Listesi'!$B$4:$D$303,3,0),""),"")</f>
        <v/>
      </c>
      <c r="F165" s="14"/>
      <c r="G165" s="14"/>
      <c r="H165" s="23" t="str">
        <f t="shared" si="9"/>
        <v/>
      </c>
      <c r="I165" s="24" t="str">
        <f t="shared" si="10"/>
        <v/>
      </c>
      <c r="J165" s="12" t="str">
        <f t="shared" si="11"/>
        <v/>
      </c>
      <c r="K165" s="6"/>
      <c r="L165" s="7"/>
      <c r="M165" s="7"/>
      <c r="N165" s="7"/>
      <c r="O165" s="7"/>
    </row>
    <row r="166" spans="1:15" ht="19.5" customHeight="1" x14ac:dyDescent="0.3">
      <c r="A166" s="3" t="str">
        <f t="shared" si="8"/>
        <v/>
      </c>
      <c r="B166" s="5"/>
      <c r="C166" s="4"/>
      <c r="D166" s="22" t="str">
        <f>IF(C166&lt;&gt;"",IFERROR(VLOOKUP(C166,'Personel Listesi'!$B$4:$C$303,2,0),"Bulunamadı"),"")</f>
        <v/>
      </c>
      <c r="E166" s="22" t="str">
        <f>IF(C166&lt;&gt;"",IFERROR(VLOOKUP(C166,'Personel Listesi'!$B$4:$D$303,3,0),""),"")</f>
        <v/>
      </c>
      <c r="F166" s="11"/>
      <c r="G166" s="11"/>
      <c r="H166" s="23" t="str">
        <f t="shared" si="9"/>
        <v/>
      </c>
      <c r="I166" s="24" t="str">
        <f t="shared" si="10"/>
        <v/>
      </c>
      <c r="J166" s="12" t="str">
        <f t="shared" si="11"/>
        <v/>
      </c>
      <c r="K166" s="3"/>
      <c r="L166" s="4"/>
      <c r="M166" s="4"/>
      <c r="N166" s="4"/>
      <c r="O166" s="4"/>
    </row>
    <row r="167" spans="1:15" ht="19.5" customHeight="1" x14ac:dyDescent="0.3">
      <c r="A167" s="6" t="str">
        <f t="shared" si="8"/>
        <v/>
      </c>
      <c r="B167" s="8"/>
      <c r="C167" s="7"/>
      <c r="D167" s="22" t="str">
        <f>IF(C167&lt;&gt;"",IFERROR(VLOOKUP(C167,'Personel Listesi'!$B$4:$C$303,2,0),"Bulunamadı"),"")</f>
        <v/>
      </c>
      <c r="E167" s="22" t="str">
        <f>IF(C167&lt;&gt;"",IFERROR(VLOOKUP(C167,'Personel Listesi'!$B$4:$D$303,3,0),""),"")</f>
        <v/>
      </c>
      <c r="F167" s="14"/>
      <c r="G167" s="14"/>
      <c r="H167" s="23" t="str">
        <f t="shared" si="9"/>
        <v/>
      </c>
      <c r="I167" s="24" t="str">
        <f t="shared" si="10"/>
        <v/>
      </c>
      <c r="J167" s="12" t="str">
        <f t="shared" si="11"/>
        <v/>
      </c>
      <c r="K167" s="6"/>
      <c r="L167" s="7"/>
      <c r="M167" s="7"/>
      <c r="N167" s="7"/>
      <c r="O167" s="7"/>
    </row>
    <row r="168" spans="1:15" ht="19.5" customHeight="1" x14ac:dyDescent="0.3">
      <c r="A168" s="3" t="str">
        <f t="shared" si="8"/>
        <v/>
      </c>
      <c r="B168" s="5"/>
      <c r="C168" s="4"/>
      <c r="D168" s="22" t="str">
        <f>IF(C168&lt;&gt;"",IFERROR(VLOOKUP(C168,'Personel Listesi'!$B$4:$C$303,2,0),"Bulunamadı"),"")</f>
        <v/>
      </c>
      <c r="E168" s="22" t="str">
        <f>IF(C168&lt;&gt;"",IFERROR(VLOOKUP(C168,'Personel Listesi'!$B$4:$D$303,3,0),""),"")</f>
        <v/>
      </c>
      <c r="F168" s="11"/>
      <c r="G168" s="11"/>
      <c r="H168" s="23" t="str">
        <f t="shared" si="9"/>
        <v/>
      </c>
      <c r="I168" s="24" t="str">
        <f t="shared" si="10"/>
        <v/>
      </c>
      <c r="J168" s="12" t="str">
        <f t="shared" si="11"/>
        <v/>
      </c>
      <c r="K168" s="3"/>
      <c r="L168" s="4"/>
      <c r="M168" s="4"/>
      <c r="N168" s="4"/>
      <c r="O168" s="4"/>
    </row>
    <row r="169" spans="1:15" ht="19.5" customHeight="1" x14ac:dyDescent="0.3">
      <c r="A169" s="6" t="str">
        <f t="shared" si="8"/>
        <v/>
      </c>
      <c r="B169" s="8"/>
      <c r="C169" s="7"/>
      <c r="D169" s="22" t="str">
        <f>IF(C169&lt;&gt;"",IFERROR(VLOOKUP(C169,'Personel Listesi'!$B$4:$C$303,2,0),"Bulunamadı"),"")</f>
        <v/>
      </c>
      <c r="E169" s="22" t="str">
        <f>IF(C169&lt;&gt;"",IFERROR(VLOOKUP(C169,'Personel Listesi'!$B$4:$D$303,3,0),""),"")</f>
        <v/>
      </c>
      <c r="F169" s="14"/>
      <c r="G169" s="14"/>
      <c r="H169" s="23" t="str">
        <f t="shared" si="9"/>
        <v/>
      </c>
      <c r="I169" s="24" t="str">
        <f t="shared" si="10"/>
        <v/>
      </c>
      <c r="J169" s="12" t="str">
        <f t="shared" si="11"/>
        <v/>
      </c>
      <c r="K169" s="6"/>
      <c r="L169" s="7"/>
      <c r="M169" s="7"/>
      <c r="N169" s="7"/>
      <c r="O169" s="7"/>
    </row>
    <row r="170" spans="1:15" ht="19.5" customHeight="1" x14ac:dyDescent="0.3">
      <c r="A170" s="3" t="str">
        <f t="shared" si="8"/>
        <v/>
      </c>
      <c r="B170" s="5"/>
      <c r="C170" s="4"/>
      <c r="D170" s="22" t="str">
        <f>IF(C170&lt;&gt;"",IFERROR(VLOOKUP(C170,'Personel Listesi'!$B$4:$C$303,2,0),"Bulunamadı"),"")</f>
        <v/>
      </c>
      <c r="E170" s="22" t="str">
        <f>IF(C170&lt;&gt;"",IFERROR(VLOOKUP(C170,'Personel Listesi'!$B$4:$D$303,3,0),""),"")</f>
        <v/>
      </c>
      <c r="F170" s="11"/>
      <c r="G170" s="11"/>
      <c r="H170" s="23" t="str">
        <f t="shared" si="9"/>
        <v/>
      </c>
      <c r="I170" s="24" t="str">
        <f t="shared" si="10"/>
        <v/>
      </c>
      <c r="J170" s="12" t="str">
        <f t="shared" si="11"/>
        <v/>
      </c>
      <c r="K170" s="3"/>
      <c r="L170" s="4"/>
      <c r="M170" s="4"/>
      <c r="N170" s="4"/>
      <c r="O170" s="4"/>
    </row>
    <row r="171" spans="1:15" ht="19.5" customHeight="1" x14ac:dyDescent="0.3">
      <c r="A171" s="6" t="str">
        <f t="shared" si="8"/>
        <v/>
      </c>
      <c r="B171" s="8"/>
      <c r="C171" s="7"/>
      <c r="D171" s="22" t="str">
        <f>IF(C171&lt;&gt;"",IFERROR(VLOOKUP(C171,'Personel Listesi'!$B$4:$C$303,2,0),"Bulunamadı"),"")</f>
        <v/>
      </c>
      <c r="E171" s="22" t="str">
        <f>IF(C171&lt;&gt;"",IFERROR(VLOOKUP(C171,'Personel Listesi'!$B$4:$D$303,3,0),""),"")</f>
        <v/>
      </c>
      <c r="F171" s="14"/>
      <c r="G171" s="14"/>
      <c r="H171" s="23" t="str">
        <f t="shared" si="9"/>
        <v/>
      </c>
      <c r="I171" s="24" t="str">
        <f t="shared" si="10"/>
        <v/>
      </c>
      <c r="J171" s="12" t="str">
        <f t="shared" si="11"/>
        <v/>
      </c>
      <c r="K171" s="6"/>
      <c r="L171" s="7"/>
      <c r="M171" s="7"/>
      <c r="N171" s="7"/>
      <c r="O171" s="7"/>
    </row>
    <row r="172" spans="1:15" ht="19.5" customHeight="1" x14ac:dyDescent="0.3">
      <c r="A172" s="3" t="str">
        <f t="shared" si="8"/>
        <v/>
      </c>
      <c r="B172" s="5"/>
      <c r="C172" s="4"/>
      <c r="D172" s="22" t="str">
        <f>IF(C172&lt;&gt;"",IFERROR(VLOOKUP(C172,'Personel Listesi'!$B$4:$C$303,2,0),"Bulunamadı"),"")</f>
        <v/>
      </c>
      <c r="E172" s="22" t="str">
        <f>IF(C172&lt;&gt;"",IFERROR(VLOOKUP(C172,'Personel Listesi'!$B$4:$D$303,3,0),""),"")</f>
        <v/>
      </c>
      <c r="F172" s="11"/>
      <c r="G172" s="11"/>
      <c r="H172" s="23" t="str">
        <f t="shared" si="9"/>
        <v/>
      </c>
      <c r="I172" s="24" t="str">
        <f t="shared" si="10"/>
        <v/>
      </c>
      <c r="J172" s="12" t="str">
        <f t="shared" si="11"/>
        <v/>
      </c>
      <c r="K172" s="3"/>
      <c r="L172" s="4"/>
      <c r="M172" s="4"/>
      <c r="N172" s="4"/>
      <c r="O172" s="4"/>
    </row>
    <row r="173" spans="1:15" ht="19.5" customHeight="1" x14ac:dyDescent="0.3">
      <c r="A173" s="6" t="str">
        <f t="shared" si="8"/>
        <v/>
      </c>
      <c r="B173" s="8"/>
      <c r="C173" s="7"/>
      <c r="D173" s="22" t="str">
        <f>IF(C173&lt;&gt;"",IFERROR(VLOOKUP(C173,'Personel Listesi'!$B$4:$C$303,2,0),"Bulunamadı"),"")</f>
        <v/>
      </c>
      <c r="E173" s="22" t="str">
        <f>IF(C173&lt;&gt;"",IFERROR(VLOOKUP(C173,'Personel Listesi'!$B$4:$D$303,3,0),""),"")</f>
        <v/>
      </c>
      <c r="F173" s="14"/>
      <c r="G173" s="14"/>
      <c r="H173" s="23" t="str">
        <f t="shared" si="9"/>
        <v/>
      </c>
      <c r="I173" s="24" t="str">
        <f t="shared" si="10"/>
        <v/>
      </c>
      <c r="J173" s="12" t="str">
        <f t="shared" si="11"/>
        <v/>
      </c>
      <c r="K173" s="6"/>
      <c r="L173" s="7"/>
      <c r="M173" s="7"/>
      <c r="N173" s="7"/>
      <c r="O173" s="7"/>
    </row>
    <row r="174" spans="1:15" ht="19.5" customHeight="1" x14ac:dyDescent="0.3">
      <c r="A174" s="3" t="str">
        <f t="shared" si="8"/>
        <v/>
      </c>
      <c r="B174" s="5"/>
      <c r="C174" s="4"/>
      <c r="D174" s="22" t="str">
        <f>IF(C174&lt;&gt;"",IFERROR(VLOOKUP(C174,'Personel Listesi'!$B$4:$C$303,2,0),"Bulunamadı"),"")</f>
        <v/>
      </c>
      <c r="E174" s="22" t="str">
        <f>IF(C174&lt;&gt;"",IFERROR(VLOOKUP(C174,'Personel Listesi'!$B$4:$D$303,3,0),""),"")</f>
        <v/>
      </c>
      <c r="F174" s="11"/>
      <c r="G174" s="11"/>
      <c r="H174" s="23" t="str">
        <f t="shared" si="9"/>
        <v/>
      </c>
      <c r="I174" s="24" t="str">
        <f t="shared" si="10"/>
        <v/>
      </c>
      <c r="J174" s="12" t="str">
        <f t="shared" si="11"/>
        <v/>
      </c>
      <c r="K174" s="3"/>
      <c r="L174" s="4"/>
      <c r="M174" s="4"/>
      <c r="N174" s="4"/>
      <c r="O174" s="4"/>
    </row>
    <row r="175" spans="1:15" ht="19.5" customHeight="1" x14ac:dyDescent="0.3">
      <c r="A175" s="6" t="str">
        <f t="shared" si="8"/>
        <v/>
      </c>
      <c r="B175" s="8"/>
      <c r="C175" s="7"/>
      <c r="D175" s="22" t="str">
        <f>IF(C175&lt;&gt;"",IFERROR(VLOOKUP(C175,'Personel Listesi'!$B$4:$C$303,2,0),"Bulunamadı"),"")</f>
        <v/>
      </c>
      <c r="E175" s="22" t="str">
        <f>IF(C175&lt;&gt;"",IFERROR(VLOOKUP(C175,'Personel Listesi'!$B$4:$D$303,3,0),""),"")</f>
        <v/>
      </c>
      <c r="F175" s="14"/>
      <c r="G175" s="14"/>
      <c r="H175" s="23" t="str">
        <f t="shared" si="9"/>
        <v/>
      </c>
      <c r="I175" s="24" t="str">
        <f t="shared" si="10"/>
        <v/>
      </c>
      <c r="J175" s="12" t="str">
        <f t="shared" si="11"/>
        <v/>
      </c>
      <c r="K175" s="6"/>
      <c r="L175" s="7"/>
      <c r="M175" s="7"/>
      <c r="N175" s="7"/>
      <c r="O175" s="7"/>
    </row>
    <row r="176" spans="1:15" ht="19.5" customHeight="1" x14ac:dyDescent="0.3">
      <c r="A176" s="3" t="str">
        <f t="shared" si="8"/>
        <v/>
      </c>
      <c r="B176" s="5"/>
      <c r="C176" s="4"/>
      <c r="D176" s="22" t="str">
        <f>IF(C176&lt;&gt;"",IFERROR(VLOOKUP(C176,'Personel Listesi'!$B$4:$C$303,2,0),"Bulunamadı"),"")</f>
        <v/>
      </c>
      <c r="E176" s="22" t="str">
        <f>IF(C176&lt;&gt;"",IFERROR(VLOOKUP(C176,'Personel Listesi'!$B$4:$D$303,3,0),""),"")</f>
        <v/>
      </c>
      <c r="F176" s="11"/>
      <c r="G176" s="11"/>
      <c r="H176" s="23" t="str">
        <f t="shared" si="9"/>
        <v/>
      </c>
      <c r="I176" s="24" t="str">
        <f t="shared" si="10"/>
        <v/>
      </c>
      <c r="J176" s="12" t="str">
        <f t="shared" si="11"/>
        <v/>
      </c>
      <c r="K176" s="3"/>
      <c r="L176" s="4"/>
      <c r="M176" s="4"/>
      <c r="N176" s="4"/>
      <c r="O176" s="4"/>
    </row>
    <row r="177" spans="1:15" ht="19.5" customHeight="1" x14ac:dyDescent="0.3">
      <c r="A177" s="6" t="str">
        <f t="shared" si="8"/>
        <v/>
      </c>
      <c r="B177" s="8"/>
      <c r="C177" s="7"/>
      <c r="D177" s="22" t="str">
        <f>IF(C177&lt;&gt;"",IFERROR(VLOOKUP(C177,'Personel Listesi'!$B$4:$C$303,2,0),"Bulunamadı"),"")</f>
        <v/>
      </c>
      <c r="E177" s="22" t="str">
        <f>IF(C177&lt;&gt;"",IFERROR(VLOOKUP(C177,'Personel Listesi'!$B$4:$D$303,3,0),""),"")</f>
        <v/>
      </c>
      <c r="F177" s="14"/>
      <c r="G177" s="14"/>
      <c r="H177" s="23" t="str">
        <f t="shared" si="9"/>
        <v/>
      </c>
      <c r="I177" s="24" t="str">
        <f t="shared" si="10"/>
        <v/>
      </c>
      <c r="J177" s="12" t="str">
        <f t="shared" si="11"/>
        <v/>
      </c>
      <c r="K177" s="6"/>
      <c r="L177" s="7"/>
      <c r="M177" s="7"/>
      <c r="N177" s="7"/>
      <c r="O177" s="7"/>
    </row>
    <row r="178" spans="1:15" ht="19.5" customHeight="1" x14ac:dyDescent="0.3">
      <c r="A178" s="3" t="str">
        <f t="shared" si="8"/>
        <v/>
      </c>
      <c r="B178" s="5"/>
      <c r="C178" s="4"/>
      <c r="D178" s="22" t="str">
        <f>IF(C178&lt;&gt;"",IFERROR(VLOOKUP(C178,'Personel Listesi'!$B$4:$C$303,2,0),"Bulunamadı"),"")</f>
        <v/>
      </c>
      <c r="E178" s="22" t="str">
        <f>IF(C178&lt;&gt;"",IFERROR(VLOOKUP(C178,'Personel Listesi'!$B$4:$D$303,3,0),""),"")</f>
        <v/>
      </c>
      <c r="F178" s="11"/>
      <c r="G178" s="11"/>
      <c r="H178" s="23" t="str">
        <f t="shared" si="9"/>
        <v/>
      </c>
      <c r="I178" s="24" t="str">
        <f t="shared" si="10"/>
        <v/>
      </c>
      <c r="J178" s="12" t="str">
        <f t="shared" si="11"/>
        <v/>
      </c>
      <c r="K178" s="3"/>
      <c r="L178" s="4"/>
      <c r="M178" s="4"/>
      <c r="N178" s="4"/>
      <c r="O178" s="4"/>
    </row>
    <row r="179" spans="1:15" ht="19.5" customHeight="1" x14ac:dyDescent="0.3">
      <c r="A179" s="6" t="str">
        <f t="shared" si="8"/>
        <v/>
      </c>
      <c r="B179" s="8"/>
      <c r="C179" s="7"/>
      <c r="D179" s="22" t="str">
        <f>IF(C179&lt;&gt;"",IFERROR(VLOOKUP(C179,'Personel Listesi'!$B$4:$C$303,2,0),"Bulunamadı"),"")</f>
        <v/>
      </c>
      <c r="E179" s="22" t="str">
        <f>IF(C179&lt;&gt;"",IFERROR(VLOOKUP(C179,'Personel Listesi'!$B$4:$D$303,3,0),""),"")</f>
        <v/>
      </c>
      <c r="F179" s="14"/>
      <c r="G179" s="14"/>
      <c r="H179" s="23" t="str">
        <f t="shared" si="9"/>
        <v/>
      </c>
      <c r="I179" s="24" t="str">
        <f t="shared" si="10"/>
        <v/>
      </c>
      <c r="J179" s="12" t="str">
        <f t="shared" si="11"/>
        <v/>
      </c>
      <c r="K179" s="6"/>
      <c r="L179" s="7"/>
      <c r="M179" s="7"/>
      <c r="N179" s="7"/>
      <c r="O179" s="7"/>
    </row>
    <row r="180" spans="1:15" ht="19.5" customHeight="1" x14ac:dyDescent="0.3">
      <c r="A180" s="3" t="str">
        <f t="shared" si="8"/>
        <v/>
      </c>
      <c r="B180" s="5"/>
      <c r="C180" s="4"/>
      <c r="D180" s="22" t="str">
        <f>IF(C180&lt;&gt;"",IFERROR(VLOOKUP(C180,'Personel Listesi'!$B$4:$C$303,2,0),"Bulunamadı"),"")</f>
        <v/>
      </c>
      <c r="E180" s="22" t="str">
        <f>IF(C180&lt;&gt;"",IFERROR(VLOOKUP(C180,'Personel Listesi'!$B$4:$D$303,3,0),""),"")</f>
        <v/>
      </c>
      <c r="F180" s="11"/>
      <c r="G180" s="11"/>
      <c r="H180" s="23" t="str">
        <f t="shared" si="9"/>
        <v/>
      </c>
      <c r="I180" s="24" t="str">
        <f t="shared" si="10"/>
        <v/>
      </c>
      <c r="J180" s="12" t="str">
        <f t="shared" si="11"/>
        <v/>
      </c>
      <c r="K180" s="3"/>
      <c r="L180" s="4"/>
      <c r="M180" s="4"/>
      <c r="N180" s="4"/>
      <c r="O180" s="4"/>
    </row>
    <row r="181" spans="1:15" ht="19.5" customHeight="1" x14ac:dyDescent="0.3">
      <c r="A181" s="6" t="str">
        <f t="shared" si="8"/>
        <v/>
      </c>
      <c r="B181" s="8"/>
      <c r="C181" s="7"/>
      <c r="D181" s="22" t="str">
        <f>IF(C181&lt;&gt;"",IFERROR(VLOOKUP(C181,'Personel Listesi'!$B$4:$C$303,2,0),"Bulunamadı"),"")</f>
        <v/>
      </c>
      <c r="E181" s="22" t="str">
        <f>IF(C181&lt;&gt;"",IFERROR(VLOOKUP(C181,'Personel Listesi'!$B$4:$D$303,3,0),""),"")</f>
        <v/>
      </c>
      <c r="F181" s="14"/>
      <c r="G181" s="14"/>
      <c r="H181" s="23" t="str">
        <f t="shared" si="9"/>
        <v/>
      </c>
      <c r="I181" s="24" t="str">
        <f t="shared" si="10"/>
        <v/>
      </c>
      <c r="J181" s="12" t="str">
        <f t="shared" si="11"/>
        <v/>
      </c>
      <c r="K181" s="6"/>
      <c r="L181" s="7"/>
      <c r="M181" s="7"/>
      <c r="N181" s="7"/>
      <c r="O181" s="7"/>
    </row>
    <row r="182" spans="1:15" ht="19.5" customHeight="1" x14ac:dyDescent="0.3">
      <c r="A182" s="3" t="str">
        <f t="shared" si="8"/>
        <v/>
      </c>
      <c r="B182" s="5"/>
      <c r="C182" s="4"/>
      <c r="D182" s="22" t="str">
        <f>IF(C182&lt;&gt;"",IFERROR(VLOOKUP(C182,'Personel Listesi'!$B$4:$C$303,2,0),"Bulunamadı"),"")</f>
        <v/>
      </c>
      <c r="E182" s="22" t="str">
        <f>IF(C182&lt;&gt;"",IFERROR(VLOOKUP(C182,'Personel Listesi'!$B$4:$D$303,3,0),""),"")</f>
        <v/>
      </c>
      <c r="F182" s="11"/>
      <c r="G182" s="11"/>
      <c r="H182" s="23" t="str">
        <f t="shared" si="9"/>
        <v/>
      </c>
      <c r="I182" s="24" t="str">
        <f t="shared" si="10"/>
        <v/>
      </c>
      <c r="J182" s="12" t="str">
        <f t="shared" si="11"/>
        <v/>
      </c>
      <c r="K182" s="3"/>
      <c r="L182" s="4"/>
      <c r="M182" s="4"/>
      <c r="N182" s="4"/>
      <c r="O182" s="4"/>
    </row>
    <row r="183" spans="1:15" ht="19.5" customHeight="1" x14ac:dyDescent="0.3">
      <c r="A183" s="6" t="str">
        <f t="shared" si="8"/>
        <v/>
      </c>
      <c r="B183" s="8"/>
      <c r="C183" s="7"/>
      <c r="D183" s="22" t="str">
        <f>IF(C183&lt;&gt;"",IFERROR(VLOOKUP(C183,'Personel Listesi'!$B$4:$C$303,2,0),"Bulunamadı"),"")</f>
        <v/>
      </c>
      <c r="E183" s="22" t="str">
        <f>IF(C183&lt;&gt;"",IFERROR(VLOOKUP(C183,'Personel Listesi'!$B$4:$D$303,3,0),""),"")</f>
        <v/>
      </c>
      <c r="F183" s="14"/>
      <c r="G183" s="14"/>
      <c r="H183" s="23" t="str">
        <f t="shared" si="9"/>
        <v/>
      </c>
      <c r="I183" s="24" t="str">
        <f t="shared" si="10"/>
        <v/>
      </c>
      <c r="J183" s="12" t="str">
        <f t="shared" si="11"/>
        <v/>
      </c>
      <c r="K183" s="6"/>
      <c r="L183" s="7"/>
      <c r="M183" s="7"/>
      <c r="N183" s="7"/>
      <c r="O183" s="7"/>
    </row>
    <row r="184" spans="1:15" ht="19.5" customHeight="1" x14ac:dyDescent="0.3">
      <c r="A184" s="3" t="str">
        <f t="shared" si="8"/>
        <v/>
      </c>
      <c r="B184" s="5"/>
      <c r="C184" s="4"/>
      <c r="D184" s="22" t="str">
        <f>IF(C184&lt;&gt;"",IFERROR(VLOOKUP(C184,'Personel Listesi'!$B$4:$C$303,2,0),"Bulunamadı"),"")</f>
        <v/>
      </c>
      <c r="E184" s="22" t="str">
        <f>IF(C184&lt;&gt;"",IFERROR(VLOOKUP(C184,'Personel Listesi'!$B$4:$D$303,3,0),""),"")</f>
        <v/>
      </c>
      <c r="F184" s="11"/>
      <c r="G184" s="11"/>
      <c r="H184" s="23" t="str">
        <f t="shared" si="9"/>
        <v/>
      </c>
      <c r="I184" s="24" t="str">
        <f t="shared" si="10"/>
        <v/>
      </c>
      <c r="J184" s="12" t="str">
        <f t="shared" si="11"/>
        <v/>
      </c>
      <c r="K184" s="3"/>
      <c r="L184" s="4"/>
      <c r="M184" s="4"/>
      <c r="N184" s="4"/>
      <c r="O184" s="4"/>
    </row>
    <row r="185" spans="1:15" ht="19.5" customHeight="1" x14ac:dyDescent="0.3">
      <c r="A185" s="6" t="str">
        <f t="shared" si="8"/>
        <v/>
      </c>
      <c r="B185" s="8"/>
      <c r="C185" s="7"/>
      <c r="D185" s="22" t="str">
        <f>IF(C185&lt;&gt;"",IFERROR(VLOOKUP(C185,'Personel Listesi'!$B$4:$C$303,2,0),"Bulunamadı"),"")</f>
        <v/>
      </c>
      <c r="E185" s="22" t="str">
        <f>IF(C185&lt;&gt;"",IFERROR(VLOOKUP(C185,'Personel Listesi'!$B$4:$D$303,3,0),""),"")</f>
        <v/>
      </c>
      <c r="F185" s="14"/>
      <c r="G185" s="14"/>
      <c r="H185" s="23" t="str">
        <f t="shared" si="9"/>
        <v/>
      </c>
      <c r="I185" s="24" t="str">
        <f t="shared" si="10"/>
        <v/>
      </c>
      <c r="J185" s="12" t="str">
        <f t="shared" si="11"/>
        <v/>
      </c>
      <c r="K185" s="6"/>
      <c r="L185" s="7"/>
      <c r="M185" s="7"/>
      <c r="N185" s="7"/>
      <c r="O185" s="7"/>
    </row>
    <row r="186" spans="1:15" ht="19.5" customHeight="1" x14ac:dyDescent="0.3">
      <c r="A186" s="3" t="str">
        <f t="shared" si="8"/>
        <v/>
      </c>
      <c r="B186" s="5"/>
      <c r="C186" s="4"/>
      <c r="D186" s="22" t="str">
        <f>IF(C186&lt;&gt;"",IFERROR(VLOOKUP(C186,'Personel Listesi'!$B$4:$C$303,2,0),"Bulunamadı"),"")</f>
        <v/>
      </c>
      <c r="E186" s="22" t="str">
        <f>IF(C186&lt;&gt;"",IFERROR(VLOOKUP(C186,'Personel Listesi'!$B$4:$D$303,3,0),""),"")</f>
        <v/>
      </c>
      <c r="F186" s="11"/>
      <c r="G186" s="11"/>
      <c r="H186" s="23" t="str">
        <f t="shared" si="9"/>
        <v/>
      </c>
      <c r="I186" s="24" t="str">
        <f t="shared" si="10"/>
        <v/>
      </c>
      <c r="J186" s="12" t="str">
        <f t="shared" si="11"/>
        <v/>
      </c>
      <c r="K186" s="3"/>
      <c r="L186" s="4"/>
      <c r="M186" s="4"/>
      <c r="N186" s="4"/>
      <c r="O186" s="4"/>
    </row>
    <row r="187" spans="1:15" ht="19.5" customHeight="1" x14ac:dyDescent="0.3">
      <c r="A187" s="6" t="str">
        <f t="shared" si="8"/>
        <v/>
      </c>
      <c r="B187" s="8"/>
      <c r="C187" s="7"/>
      <c r="D187" s="22" t="str">
        <f>IF(C187&lt;&gt;"",IFERROR(VLOOKUP(C187,'Personel Listesi'!$B$4:$C$303,2,0),"Bulunamadı"),"")</f>
        <v/>
      </c>
      <c r="E187" s="22" t="str">
        <f>IF(C187&lt;&gt;"",IFERROR(VLOOKUP(C187,'Personel Listesi'!$B$4:$D$303,3,0),""),"")</f>
        <v/>
      </c>
      <c r="F187" s="14"/>
      <c r="G187" s="14"/>
      <c r="H187" s="23" t="str">
        <f t="shared" si="9"/>
        <v/>
      </c>
      <c r="I187" s="24" t="str">
        <f t="shared" si="10"/>
        <v/>
      </c>
      <c r="J187" s="12" t="str">
        <f t="shared" si="11"/>
        <v/>
      </c>
      <c r="K187" s="6"/>
      <c r="L187" s="7"/>
      <c r="M187" s="7"/>
      <c r="N187" s="7"/>
      <c r="O187" s="7"/>
    </row>
    <row r="188" spans="1:15" ht="19.5" customHeight="1" x14ac:dyDescent="0.3">
      <c r="A188" s="3" t="str">
        <f t="shared" si="8"/>
        <v/>
      </c>
      <c r="B188" s="5"/>
      <c r="C188" s="4"/>
      <c r="D188" s="22" t="str">
        <f>IF(C188&lt;&gt;"",IFERROR(VLOOKUP(C188,'Personel Listesi'!$B$4:$C$303,2,0),"Bulunamadı"),"")</f>
        <v/>
      </c>
      <c r="E188" s="22" t="str">
        <f>IF(C188&lt;&gt;"",IFERROR(VLOOKUP(C188,'Personel Listesi'!$B$4:$D$303,3,0),""),"")</f>
        <v/>
      </c>
      <c r="F188" s="11"/>
      <c r="G188" s="11"/>
      <c r="H188" s="23" t="str">
        <f t="shared" si="9"/>
        <v/>
      </c>
      <c r="I188" s="24" t="str">
        <f t="shared" si="10"/>
        <v/>
      </c>
      <c r="J188" s="12" t="str">
        <f t="shared" si="11"/>
        <v/>
      </c>
      <c r="K188" s="3"/>
      <c r="L188" s="4"/>
      <c r="M188" s="4"/>
      <c r="N188" s="4"/>
      <c r="O188" s="4"/>
    </row>
    <row r="189" spans="1:15" ht="19.5" customHeight="1" x14ac:dyDescent="0.3">
      <c r="A189" s="6" t="str">
        <f t="shared" si="8"/>
        <v/>
      </c>
      <c r="B189" s="8"/>
      <c r="C189" s="7"/>
      <c r="D189" s="22" t="str">
        <f>IF(C189&lt;&gt;"",IFERROR(VLOOKUP(C189,'Personel Listesi'!$B$4:$C$303,2,0),"Bulunamadı"),"")</f>
        <v/>
      </c>
      <c r="E189" s="22" t="str">
        <f>IF(C189&lt;&gt;"",IFERROR(VLOOKUP(C189,'Personel Listesi'!$B$4:$D$303,3,0),""),"")</f>
        <v/>
      </c>
      <c r="F189" s="14"/>
      <c r="G189" s="14"/>
      <c r="H189" s="23" t="str">
        <f t="shared" si="9"/>
        <v/>
      </c>
      <c r="I189" s="24" t="str">
        <f t="shared" si="10"/>
        <v/>
      </c>
      <c r="J189" s="12" t="str">
        <f t="shared" si="11"/>
        <v/>
      </c>
      <c r="K189" s="6"/>
      <c r="L189" s="7"/>
      <c r="M189" s="7"/>
      <c r="N189" s="7"/>
      <c r="O189" s="7"/>
    </row>
    <row r="190" spans="1:15" ht="19.5" customHeight="1" x14ac:dyDescent="0.3">
      <c r="A190" s="3" t="str">
        <f t="shared" si="8"/>
        <v/>
      </c>
      <c r="B190" s="5"/>
      <c r="C190" s="4"/>
      <c r="D190" s="22" t="str">
        <f>IF(C190&lt;&gt;"",IFERROR(VLOOKUP(C190,'Personel Listesi'!$B$4:$C$303,2,0),"Bulunamadı"),"")</f>
        <v/>
      </c>
      <c r="E190" s="22" t="str">
        <f>IF(C190&lt;&gt;"",IFERROR(VLOOKUP(C190,'Personel Listesi'!$B$4:$D$303,3,0),""),"")</f>
        <v/>
      </c>
      <c r="F190" s="11"/>
      <c r="G190" s="11"/>
      <c r="H190" s="23" t="str">
        <f t="shared" si="9"/>
        <v/>
      </c>
      <c r="I190" s="24" t="str">
        <f t="shared" si="10"/>
        <v/>
      </c>
      <c r="J190" s="12" t="str">
        <f t="shared" si="11"/>
        <v/>
      </c>
      <c r="K190" s="3"/>
      <c r="L190" s="4"/>
      <c r="M190" s="4"/>
      <c r="N190" s="4"/>
      <c r="O190" s="4"/>
    </row>
    <row r="191" spans="1:15" ht="19.5" customHeight="1" x14ac:dyDescent="0.3">
      <c r="A191" s="6" t="str">
        <f t="shared" si="8"/>
        <v/>
      </c>
      <c r="B191" s="8"/>
      <c r="C191" s="7"/>
      <c r="D191" s="22" t="str">
        <f>IF(C191&lt;&gt;"",IFERROR(VLOOKUP(C191,'Personel Listesi'!$B$4:$C$303,2,0),"Bulunamadı"),"")</f>
        <v/>
      </c>
      <c r="E191" s="22" t="str">
        <f>IF(C191&lt;&gt;"",IFERROR(VLOOKUP(C191,'Personel Listesi'!$B$4:$D$303,3,0),""),"")</f>
        <v/>
      </c>
      <c r="F191" s="14"/>
      <c r="G191" s="14"/>
      <c r="H191" s="23" t="str">
        <f t="shared" si="9"/>
        <v/>
      </c>
      <c r="I191" s="24" t="str">
        <f t="shared" si="10"/>
        <v/>
      </c>
      <c r="J191" s="12" t="str">
        <f t="shared" si="11"/>
        <v/>
      </c>
      <c r="K191" s="6"/>
      <c r="L191" s="7"/>
      <c r="M191" s="7"/>
      <c r="N191" s="7"/>
      <c r="O191" s="7"/>
    </row>
    <row r="192" spans="1:15" ht="19.5" customHeight="1" x14ac:dyDescent="0.3">
      <c r="A192" s="3" t="str">
        <f t="shared" si="8"/>
        <v/>
      </c>
      <c r="B192" s="5"/>
      <c r="C192" s="4"/>
      <c r="D192" s="22" t="str">
        <f>IF(C192&lt;&gt;"",IFERROR(VLOOKUP(C192,'Personel Listesi'!$B$4:$C$303,2,0),"Bulunamadı"),"")</f>
        <v/>
      </c>
      <c r="E192" s="22" t="str">
        <f>IF(C192&lt;&gt;"",IFERROR(VLOOKUP(C192,'Personel Listesi'!$B$4:$D$303,3,0),""),"")</f>
        <v/>
      </c>
      <c r="F192" s="11"/>
      <c r="G192" s="11"/>
      <c r="H192" s="23" t="str">
        <f t="shared" si="9"/>
        <v/>
      </c>
      <c r="I192" s="24" t="str">
        <f t="shared" si="10"/>
        <v/>
      </c>
      <c r="J192" s="12" t="str">
        <f t="shared" si="11"/>
        <v/>
      </c>
      <c r="K192" s="3"/>
      <c r="L192" s="4"/>
      <c r="M192" s="4"/>
      <c r="N192" s="4"/>
      <c r="O192" s="4"/>
    </row>
    <row r="193" spans="1:15" ht="19.5" customHeight="1" x14ac:dyDescent="0.3">
      <c r="A193" s="6" t="str">
        <f t="shared" si="8"/>
        <v/>
      </c>
      <c r="B193" s="8"/>
      <c r="C193" s="7"/>
      <c r="D193" s="22" t="str">
        <f>IF(C193&lt;&gt;"",IFERROR(VLOOKUP(C193,'Personel Listesi'!$B$4:$C$303,2,0),"Bulunamadı"),"")</f>
        <v/>
      </c>
      <c r="E193" s="22" t="str">
        <f>IF(C193&lt;&gt;"",IFERROR(VLOOKUP(C193,'Personel Listesi'!$B$4:$D$303,3,0),""),"")</f>
        <v/>
      </c>
      <c r="F193" s="14"/>
      <c r="G193" s="14"/>
      <c r="H193" s="23" t="str">
        <f t="shared" si="9"/>
        <v/>
      </c>
      <c r="I193" s="24" t="str">
        <f t="shared" si="10"/>
        <v/>
      </c>
      <c r="J193" s="12" t="str">
        <f t="shared" si="11"/>
        <v/>
      </c>
      <c r="K193" s="6"/>
      <c r="L193" s="7"/>
      <c r="M193" s="7"/>
      <c r="N193" s="7"/>
      <c r="O193" s="7"/>
    </row>
    <row r="194" spans="1:15" ht="19.5" customHeight="1" x14ac:dyDescent="0.3">
      <c r="A194" s="3" t="str">
        <f t="shared" si="8"/>
        <v/>
      </c>
      <c r="B194" s="5"/>
      <c r="C194" s="4"/>
      <c r="D194" s="22" t="str">
        <f>IF(C194&lt;&gt;"",IFERROR(VLOOKUP(C194,'Personel Listesi'!$B$4:$C$303,2,0),"Bulunamadı"),"")</f>
        <v/>
      </c>
      <c r="E194" s="22" t="str">
        <f>IF(C194&lt;&gt;"",IFERROR(VLOOKUP(C194,'Personel Listesi'!$B$4:$D$303,3,0),""),"")</f>
        <v/>
      </c>
      <c r="F194" s="11"/>
      <c r="G194" s="11"/>
      <c r="H194" s="23" t="str">
        <f t="shared" si="9"/>
        <v/>
      </c>
      <c r="I194" s="24" t="str">
        <f t="shared" si="10"/>
        <v/>
      </c>
      <c r="J194" s="12" t="str">
        <f t="shared" si="11"/>
        <v/>
      </c>
      <c r="K194" s="3"/>
      <c r="L194" s="4"/>
      <c r="M194" s="4"/>
      <c r="N194" s="4"/>
      <c r="O194" s="4"/>
    </row>
    <row r="195" spans="1:15" ht="19.5" customHeight="1" x14ac:dyDescent="0.3">
      <c r="A195" s="6" t="str">
        <f t="shared" si="8"/>
        <v/>
      </c>
      <c r="B195" s="8"/>
      <c r="C195" s="7"/>
      <c r="D195" s="22" t="str">
        <f>IF(C195&lt;&gt;"",IFERROR(VLOOKUP(C195,'Personel Listesi'!$B$4:$C$303,2,0),"Bulunamadı"),"")</f>
        <v/>
      </c>
      <c r="E195" s="22" t="str">
        <f>IF(C195&lt;&gt;"",IFERROR(VLOOKUP(C195,'Personel Listesi'!$B$4:$D$303,3,0),""),"")</f>
        <v/>
      </c>
      <c r="F195" s="14"/>
      <c r="G195" s="14"/>
      <c r="H195" s="23" t="str">
        <f t="shared" si="9"/>
        <v/>
      </c>
      <c r="I195" s="24" t="str">
        <f t="shared" si="10"/>
        <v/>
      </c>
      <c r="J195" s="12" t="str">
        <f t="shared" si="11"/>
        <v/>
      </c>
      <c r="K195" s="6"/>
      <c r="L195" s="7"/>
      <c r="M195" s="7"/>
      <c r="N195" s="7"/>
      <c r="O195" s="7"/>
    </row>
    <row r="196" spans="1:15" ht="19.5" customHeight="1" x14ac:dyDescent="0.3">
      <c r="A196" s="3" t="str">
        <f t="shared" ref="A196:A259" si="12">IF(B196&lt;&gt;"",ROW()-3,"")</f>
        <v/>
      </c>
      <c r="B196" s="5"/>
      <c r="C196" s="4"/>
      <c r="D196" s="22" t="str">
        <f>IF(C196&lt;&gt;"",IFERROR(VLOOKUP(C196,'Personel Listesi'!$B$4:$C$303,2,0),"Bulunamadı"),"")</f>
        <v/>
      </c>
      <c r="E196" s="22" t="str">
        <f>IF(C196&lt;&gt;"",IFERROR(VLOOKUP(C196,'Personel Listesi'!$B$4:$D$303,3,0),""),"")</f>
        <v/>
      </c>
      <c r="F196" s="11"/>
      <c r="G196" s="11"/>
      <c r="H196" s="23" t="str">
        <f t="shared" ref="H196:H259" si="13">IF(AND(F196&lt;&gt;"",G196&lt;&gt;""),IFERROR(MAX(0,MAX(0,(MIN(17/24,G196)-MAX(8/24,F196))*24)-MAX(0,(MIN(13/24,G196)-MAX(12/24,F196))*24)),""),"")</f>
        <v/>
      </c>
      <c r="I196" s="24" t="str">
        <f t="shared" ref="I196:I259" si="14">IF(AND(F196&lt;&gt;"",G196&lt;&gt;""),IFERROR(MAX(0,(G196-17/24)*24),""),"")</f>
        <v/>
      </c>
      <c r="J196" s="12" t="str">
        <f t="shared" ref="J196:J259" si="15">IF(AND(F196&lt;&gt;"",G196&lt;&gt;""),IFERROR(H196+I196,""),"")</f>
        <v/>
      </c>
      <c r="K196" s="3"/>
      <c r="L196" s="4"/>
      <c r="M196" s="4"/>
      <c r="N196" s="4"/>
      <c r="O196" s="4"/>
    </row>
    <row r="197" spans="1:15" ht="19.5" customHeight="1" x14ac:dyDescent="0.3">
      <c r="A197" s="6" t="str">
        <f t="shared" si="12"/>
        <v/>
      </c>
      <c r="B197" s="8"/>
      <c r="C197" s="7"/>
      <c r="D197" s="22" t="str">
        <f>IF(C197&lt;&gt;"",IFERROR(VLOOKUP(C197,'Personel Listesi'!$B$4:$C$303,2,0),"Bulunamadı"),"")</f>
        <v/>
      </c>
      <c r="E197" s="22" t="str">
        <f>IF(C197&lt;&gt;"",IFERROR(VLOOKUP(C197,'Personel Listesi'!$B$4:$D$303,3,0),""),"")</f>
        <v/>
      </c>
      <c r="F197" s="14"/>
      <c r="G197" s="14"/>
      <c r="H197" s="23" t="str">
        <f t="shared" si="13"/>
        <v/>
      </c>
      <c r="I197" s="24" t="str">
        <f t="shared" si="14"/>
        <v/>
      </c>
      <c r="J197" s="12" t="str">
        <f t="shared" si="15"/>
        <v/>
      </c>
      <c r="K197" s="6"/>
      <c r="L197" s="7"/>
      <c r="M197" s="7"/>
      <c r="N197" s="7"/>
      <c r="O197" s="7"/>
    </row>
    <row r="198" spans="1:15" ht="19.5" customHeight="1" x14ac:dyDescent="0.3">
      <c r="A198" s="3" t="str">
        <f t="shared" si="12"/>
        <v/>
      </c>
      <c r="B198" s="5"/>
      <c r="C198" s="4"/>
      <c r="D198" s="22" t="str">
        <f>IF(C198&lt;&gt;"",IFERROR(VLOOKUP(C198,'Personel Listesi'!$B$4:$C$303,2,0),"Bulunamadı"),"")</f>
        <v/>
      </c>
      <c r="E198" s="22" t="str">
        <f>IF(C198&lt;&gt;"",IFERROR(VLOOKUP(C198,'Personel Listesi'!$B$4:$D$303,3,0),""),"")</f>
        <v/>
      </c>
      <c r="F198" s="11"/>
      <c r="G198" s="11"/>
      <c r="H198" s="23" t="str">
        <f t="shared" si="13"/>
        <v/>
      </c>
      <c r="I198" s="24" t="str">
        <f t="shared" si="14"/>
        <v/>
      </c>
      <c r="J198" s="12" t="str">
        <f t="shared" si="15"/>
        <v/>
      </c>
      <c r="K198" s="3"/>
      <c r="L198" s="4"/>
      <c r="M198" s="4"/>
      <c r="N198" s="4"/>
      <c r="O198" s="4"/>
    </row>
    <row r="199" spans="1:15" ht="19.5" customHeight="1" x14ac:dyDescent="0.3">
      <c r="A199" s="6" t="str">
        <f t="shared" si="12"/>
        <v/>
      </c>
      <c r="B199" s="8"/>
      <c r="C199" s="7"/>
      <c r="D199" s="22" t="str">
        <f>IF(C199&lt;&gt;"",IFERROR(VLOOKUP(C199,'Personel Listesi'!$B$4:$C$303,2,0),"Bulunamadı"),"")</f>
        <v/>
      </c>
      <c r="E199" s="22" t="str">
        <f>IF(C199&lt;&gt;"",IFERROR(VLOOKUP(C199,'Personel Listesi'!$B$4:$D$303,3,0),""),"")</f>
        <v/>
      </c>
      <c r="F199" s="14"/>
      <c r="G199" s="14"/>
      <c r="H199" s="23" t="str">
        <f t="shared" si="13"/>
        <v/>
      </c>
      <c r="I199" s="24" t="str">
        <f t="shared" si="14"/>
        <v/>
      </c>
      <c r="J199" s="12" t="str">
        <f t="shared" si="15"/>
        <v/>
      </c>
      <c r="K199" s="6"/>
      <c r="L199" s="7"/>
      <c r="M199" s="7"/>
      <c r="N199" s="7"/>
      <c r="O199" s="7"/>
    </row>
    <row r="200" spans="1:15" ht="19.5" customHeight="1" x14ac:dyDescent="0.3">
      <c r="A200" s="3" t="str">
        <f t="shared" si="12"/>
        <v/>
      </c>
      <c r="B200" s="5"/>
      <c r="C200" s="4"/>
      <c r="D200" s="22" t="str">
        <f>IF(C200&lt;&gt;"",IFERROR(VLOOKUP(C200,'Personel Listesi'!$B$4:$C$303,2,0),"Bulunamadı"),"")</f>
        <v/>
      </c>
      <c r="E200" s="22" t="str">
        <f>IF(C200&lt;&gt;"",IFERROR(VLOOKUP(C200,'Personel Listesi'!$B$4:$D$303,3,0),""),"")</f>
        <v/>
      </c>
      <c r="F200" s="11"/>
      <c r="G200" s="11"/>
      <c r="H200" s="23" t="str">
        <f t="shared" si="13"/>
        <v/>
      </c>
      <c r="I200" s="24" t="str">
        <f t="shared" si="14"/>
        <v/>
      </c>
      <c r="J200" s="12" t="str">
        <f t="shared" si="15"/>
        <v/>
      </c>
      <c r="K200" s="3"/>
      <c r="L200" s="4"/>
      <c r="M200" s="4"/>
      <c r="N200" s="4"/>
      <c r="O200" s="4"/>
    </row>
    <row r="201" spans="1:15" ht="19.5" customHeight="1" x14ac:dyDescent="0.3">
      <c r="A201" s="6" t="str">
        <f t="shared" si="12"/>
        <v/>
      </c>
      <c r="B201" s="8"/>
      <c r="C201" s="7"/>
      <c r="D201" s="22" t="str">
        <f>IF(C201&lt;&gt;"",IFERROR(VLOOKUP(C201,'Personel Listesi'!$B$4:$C$303,2,0),"Bulunamadı"),"")</f>
        <v/>
      </c>
      <c r="E201" s="22" t="str">
        <f>IF(C201&lt;&gt;"",IFERROR(VLOOKUP(C201,'Personel Listesi'!$B$4:$D$303,3,0),""),"")</f>
        <v/>
      </c>
      <c r="F201" s="14"/>
      <c r="G201" s="14"/>
      <c r="H201" s="23" t="str">
        <f t="shared" si="13"/>
        <v/>
      </c>
      <c r="I201" s="24" t="str">
        <f t="shared" si="14"/>
        <v/>
      </c>
      <c r="J201" s="12" t="str">
        <f t="shared" si="15"/>
        <v/>
      </c>
      <c r="K201" s="6"/>
      <c r="L201" s="7"/>
      <c r="M201" s="7"/>
      <c r="N201" s="7"/>
      <c r="O201" s="7"/>
    </row>
    <row r="202" spans="1:15" ht="19.5" customHeight="1" x14ac:dyDescent="0.3">
      <c r="A202" s="3" t="str">
        <f t="shared" si="12"/>
        <v/>
      </c>
      <c r="B202" s="5"/>
      <c r="C202" s="4"/>
      <c r="D202" s="22" t="str">
        <f>IF(C202&lt;&gt;"",IFERROR(VLOOKUP(C202,'Personel Listesi'!$B$4:$C$303,2,0),"Bulunamadı"),"")</f>
        <v/>
      </c>
      <c r="E202" s="22" t="str">
        <f>IF(C202&lt;&gt;"",IFERROR(VLOOKUP(C202,'Personel Listesi'!$B$4:$D$303,3,0),""),"")</f>
        <v/>
      </c>
      <c r="F202" s="11"/>
      <c r="G202" s="11"/>
      <c r="H202" s="23" t="str">
        <f t="shared" si="13"/>
        <v/>
      </c>
      <c r="I202" s="24" t="str">
        <f t="shared" si="14"/>
        <v/>
      </c>
      <c r="J202" s="12" t="str">
        <f t="shared" si="15"/>
        <v/>
      </c>
      <c r="K202" s="3"/>
      <c r="L202" s="4"/>
      <c r="M202" s="4"/>
      <c r="N202" s="4"/>
      <c r="O202" s="4"/>
    </row>
    <row r="203" spans="1:15" ht="19.5" customHeight="1" x14ac:dyDescent="0.3">
      <c r="A203" s="6" t="str">
        <f t="shared" si="12"/>
        <v/>
      </c>
      <c r="B203" s="8"/>
      <c r="C203" s="7"/>
      <c r="D203" s="22" t="str">
        <f>IF(C203&lt;&gt;"",IFERROR(VLOOKUP(C203,'Personel Listesi'!$B$4:$C$303,2,0),"Bulunamadı"),"")</f>
        <v/>
      </c>
      <c r="E203" s="22" t="str">
        <f>IF(C203&lt;&gt;"",IFERROR(VLOOKUP(C203,'Personel Listesi'!$B$4:$D$303,3,0),""),"")</f>
        <v/>
      </c>
      <c r="F203" s="14"/>
      <c r="G203" s="14"/>
      <c r="H203" s="23" t="str">
        <f t="shared" si="13"/>
        <v/>
      </c>
      <c r="I203" s="24" t="str">
        <f t="shared" si="14"/>
        <v/>
      </c>
      <c r="J203" s="12" t="str">
        <f t="shared" si="15"/>
        <v/>
      </c>
      <c r="K203" s="6"/>
      <c r="L203" s="7"/>
      <c r="M203" s="7"/>
      <c r="N203" s="7"/>
      <c r="O203" s="7"/>
    </row>
    <row r="204" spans="1:15" ht="19.5" customHeight="1" x14ac:dyDescent="0.3">
      <c r="A204" s="3" t="str">
        <f t="shared" si="12"/>
        <v/>
      </c>
      <c r="B204" s="5"/>
      <c r="C204" s="4"/>
      <c r="D204" s="22" t="str">
        <f>IF(C204&lt;&gt;"",IFERROR(VLOOKUP(C204,'Personel Listesi'!$B$4:$C$303,2,0),"Bulunamadı"),"")</f>
        <v/>
      </c>
      <c r="E204" s="22" t="str">
        <f>IF(C204&lt;&gt;"",IFERROR(VLOOKUP(C204,'Personel Listesi'!$B$4:$D$303,3,0),""),"")</f>
        <v/>
      </c>
      <c r="F204" s="11"/>
      <c r="G204" s="11"/>
      <c r="H204" s="23" t="str">
        <f t="shared" si="13"/>
        <v/>
      </c>
      <c r="I204" s="24" t="str">
        <f t="shared" si="14"/>
        <v/>
      </c>
      <c r="J204" s="12" t="str">
        <f t="shared" si="15"/>
        <v/>
      </c>
      <c r="K204" s="3"/>
      <c r="L204" s="4"/>
      <c r="M204" s="4"/>
      <c r="N204" s="4"/>
      <c r="O204" s="4"/>
    </row>
    <row r="205" spans="1:15" ht="19.5" customHeight="1" x14ac:dyDescent="0.3">
      <c r="A205" s="6" t="str">
        <f t="shared" si="12"/>
        <v/>
      </c>
      <c r="B205" s="8"/>
      <c r="C205" s="7"/>
      <c r="D205" s="22" t="str">
        <f>IF(C205&lt;&gt;"",IFERROR(VLOOKUP(C205,'Personel Listesi'!$B$4:$C$303,2,0),"Bulunamadı"),"")</f>
        <v/>
      </c>
      <c r="E205" s="22" t="str">
        <f>IF(C205&lt;&gt;"",IFERROR(VLOOKUP(C205,'Personel Listesi'!$B$4:$D$303,3,0),""),"")</f>
        <v/>
      </c>
      <c r="F205" s="14"/>
      <c r="G205" s="14"/>
      <c r="H205" s="23" t="str">
        <f t="shared" si="13"/>
        <v/>
      </c>
      <c r="I205" s="24" t="str">
        <f t="shared" si="14"/>
        <v/>
      </c>
      <c r="J205" s="12" t="str">
        <f t="shared" si="15"/>
        <v/>
      </c>
      <c r="K205" s="6"/>
      <c r="L205" s="7"/>
      <c r="M205" s="7"/>
      <c r="N205" s="7"/>
      <c r="O205" s="7"/>
    </row>
    <row r="206" spans="1:15" ht="19.5" customHeight="1" x14ac:dyDescent="0.3">
      <c r="A206" s="3" t="str">
        <f t="shared" si="12"/>
        <v/>
      </c>
      <c r="B206" s="5"/>
      <c r="C206" s="4"/>
      <c r="D206" s="22" t="str">
        <f>IF(C206&lt;&gt;"",IFERROR(VLOOKUP(C206,'Personel Listesi'!$B$4:$C$303,2,0),"Bulunamadı"),"")</f>
        <v/>
      </c>
      <c r="E206" s="22" t="str">
        <f>IF(C206&lt;&gt;"",IFERROR(VLOOKUP(C206,'Personel Listesi'!$B$4:$D$303,3,0),""),"")</f>
        <v/>
      </c>
      <c r="F206" s="11"/>
      <c r="G206" s="11"/>
      <c r="H206" s="23" t="str">
        <f t="shared" si="13"/>
        <v/>
      </c>
      <c r="I206" s="24" t="str">
        <f t="shared" si="14"/>
        <v/>
      </c>
      <c r="J206" s="12" t="str">
        <f t="shared" si="15"/>
        <v/>
      </c>
      <c r="K206" s="3"/>
      <c r="L206" s="4"/>
      <c r="M206" s="4"/>
      <c r="N206" s="4"/>
      <c r="O206" s="4"/>
    </row>
    <row r="207" spans="1:15" ht="19.5" customHeight="1" x14ac:dyDescent="0.3">
      <c r="A207" s="6" t="str">
        <f t="shared" si="12"/>
        <v/>
      </c>
      <c r="B207" s="8"/>
      <c r="C207" s="7"/>
      <c r="D207" s="22" t="str">
        <f>IF(C207&lt;&gt;"",IFERROR(VLOOKUP(C207,'Personel Listesi'!$B$4:$C$303,2,0),"Bulunamadı"),"")</f>
        <v/>
      </c>
      <c r="E207" s="22" t="str">
        <f>IF(C207&lt;&gt;"",IFERROR(VLOOKUP(C207,'Personel Listesi'!$B$4:$D$303,3,0),""),"")</f>
        <v/>
      </c>
      <c r="F207" s="14"/>
      <c r="G207" s="14"/>
      <c r="H207" s="23" t="str">
        <f t="shared" si="13"/>
        <v/>
      </c>
      <c r="I207" s="24" t="str">
        <f t="shared" si="14"/>
        <v/>
      </c>
      <c r="J207" s="12" t="str">
        <f t="shared" si="15"/>
        <v/>
      </c>
      <c r="K207" s="6"/>
      <c r="L207" s="7"/>
      <c r="M207" s="7"/>
      <c r="N207" s="7"/>
      <c r="O207" s="7"/>
    </row>
    <row r="208" spans="1:15" ht="19.5" customHeight="1" x14ac:dyDescent="0.3">
      <c r="A208" s="3" t="str">
        <f t="shared" si="12"/>
        <v/>
      </c>
      <c r="B208" s="5"/>
      <c r="C208" s="4"/>
      <c r="D208" s="22" t="str">
        <f>IF(C208&lt;&gt;"",IFERROR(VLOOKUP(C208,'Personel Listesi'!$B$4:$C$303,2,0),"Bulunamadı"),"")</f>
        <v/>
      </c>
      <c r="E208" s="22" t="str">
        <f>IF(C208&lt;&gt;"",IFERROR(VLOOKUP(C208,'Personel Listesi'!$B$4:$D$303,3,0),""),"")</f>
        <v/>
      </c>
      <c r="F208" s="11"/>
      <c r="G208" s="11"/>
      <c r="H208" s="23" t="str">
        <f t="shared" si="13"/>
        <v/>
      </c>
      <c r="I208" s="24" t="str">
        <f t="shared" si="14"/>
        <v/>
      </c>
      <c r="J208" s="12" t="str">
        <f t="shared" si="15"/>
        <v/>
      </c>
      <c r="K208" s="3"/>
      <c r="L208" s="4"/>
      <c r="M208" s="4"/>
      <c r="N208" s="4"/>
      <c r="O208" s="4"/>
    </row>
    <row r="209" spans="1:15" ht="19.5" customHeight="1" x14ac:dyDescent="0.3">
      <c r="A209" s="6" t="str">
        <f t="shared" si="12"/>
        <v/>
      </c>
      <c r="B209" s="8"/>
      <c r="C209" s="7"/>
      <c r="D209" s="22" t="str">
        <f>IF(C209&lt;&gt;"",IFERROR(VLOOKUP(C209,'Personel Listesi'!$B$4:$C$303,2,0),"Bulunamadı"),"")</f>
        <v/>
      </c>
      <c r="E209" s="22" t="str">
        <f>IF(C209&lt;&gt;"",IFERROR(VLOOKUP(C209,'Personel Listesi'!$B$4:$D$303,3,0),""),"")</f>
        <v/>
      </c>
      <c r="F209" s="14"/>
      <c r="G209" s="14"/>
      <c r="H209" s="23" t="str">
        <f t="shared" si="13"/>
        <v/>
      </c>
      <c r="I209" s="24" t="str">
        <f t="shared" si="14"/>
        <v/>
      </c>
      <c r="J209" s="12" t="str">
        <f t="shared" si="15"/>
        <v/>
      </c>
      <c r="K209" s="6"/>
      <c r="L209" s="7"/>
      <c r="M209" s="7"/>
      <c r="N209" s="7"/>
      <c r="O209" s="7"/>
    </row>
    <row r="210" spans="1:15" ht="19.5" customHeight="1" x14ac:dyDescent="0.3">
      <c r="A210" s="3" t="str">
        <f t="shared" si="12"/>
        <v/>
      </c>
      <c r="B210" s="5"/>
      <c r="C210" s="4"/>
      <c r="D210" s="22" t="str">
        <f>IF(C210&lt;&gt;"",IFERROR(VLOOKUP(C210,'Personel Listesi'!$B$4:$C$303,2,0),"Bulunamadı"),"")</f>
        <v/>
      </c>
      <c r="E210" s="22" t="str">
        <f>IF(C210&lt;&gt;"",IFERROR(VLOOKUP(C210,'Personel Listesi'!$B$4:$D$303,3,0),""),"")</f>
        <v/>
      </c>
      <c r="F210" s="11"/>
      <c r="G210" s="11"/>
      <c r="H210" s="23" t="str">
        <f t="shared" si="13"/>
        <v/>
      </c>
      <c r="I210" s="24" t="str">
        <f t="shared" si="14"/>
        <v/>
      </c>
      <c r="J210" s="12" t="str">
        <f t="shared" si="15"/>
        <v/>
      </c>
      <c r="K210" s="3"/>
      <c r="L210" s="4"/>
      <c r="M210" s="4"/>
      <c r="N210" s="4"/>
      <c r="O210" s="4"/>
    </row>
    <row r="211" spans="1:15" ht="19.5" customHeight="1" x14ac:dyDescent="0.3">
      <c r="A211" s="6" t="str">
        <f t="shared" si="12"/>
        <v/>
      </c>
      <c r="B211" s="8"/>
      <c r="C211" s="7"/>
      <c r="D211" s="22" t="str">
        <f>IF(C211&lt;&gt;"",IFERROR(VLOOKUP(C211,'Personel Listesi'!$B$4:$C$303,2,0),"Bulunamadı"),"")</f>
        <v/>
      </c>
      <c r="E211" s="22" t="str">
        <f>IF(C211&lt;&gt;"",IFERROR(VLOOKUP(C211,'Personel Listesi'!$B$4:$D$303,3,0),""),"")</f>
        <v/>
      </c>
      <c r="F211" s="14"/>
      <c r="G211" s="14"/>
      <c r="H211" s="23" t="str">
        <f t="shared" si="13"/>
        <v/>
      </c>
      <c r="I211" s="24" t="str">
        <f t="shared" si="14"/>
        <v/>
      </c>
      <c r="J211" s="12" t="str">
        <f t="shared" si="15"/>
        <v/>
      </c>
      <c r="K211" s="6"/>
      <c r="L211" s="7"/>
      <c r="M211" s="7"/>
      <c r="N211" s="7"/>
      <c r="O211" s="7"/>
    </row>
    <row r="212" spans="1:15" ht="19.5" customHeight="1" x14ac:dyDescent="0.3">
      <c r="A212" s="3" t="str">
        <f t="shared" si="12"/>
        <v/>
      </c>
      <c r="B212" s="5"/>
      <c r="C212" s="4"/>
      <c r="D212" s="22" t="str">
        <f>IF(C212&lt;&gt;"",IFERROR(VLOOKUP(C212,'Personel Listesi'!$B$4:$C$303,2,0),"Bulunamadı"),"")</f>
        <v/>
      </c>
      <c r="E212" s="22" t="str">
        <f>IF(C212&lt;&gt;"",IFERROR(VLOOKUP(C212,'Personel Listesi'!$B$4:$D$303,3,0),""),"")</f>
        <v/>
      </c>
      <c r="F212" s="11"/>
      <c r="G212" s="11"/>
      <c r="H212" s="23" t="str">
        <f t="shared" si="13"/>
        <v/>
      </c>
      <c r="I212" s="24" t="str">
        <f t="shared" si="14"/>
        <v/>
      </c>
      <c r="J212" s="12" t="str">
        <f t="shared" si="15"/>
        <v/>
      </c>
      <c r="K212" s="3"/>
      <c r="L212" s="4"/>
      <c r="M212" s="4"/>
      <c r="N212" s="4"/>
      <c r="O212" s="4"/>
    </row>
    <row r="213" spans="1:15" ht="19.5" customHeight="1" x14ac:dyDescent="0.3">
      <c r="A213" s="6" t="str">
        <f t="shared" si="12"/>
        <v/>
      </c>
      <c r="B213" s="8"/>
      <c r="C213" s="7"/>
      <c r="D213" s="22" t="str">
        <f>IF(C213&lt;&gt;"",IFERROR(VLOOKUP(C213,'Personel Listesi'!$B$4:$C$303,2,0),"Bulunamadı"),"")</f>
        <v/>
      </c>
      <c r="E213" s="22" t="str">
        <f>IF(C213&lt;&gt;"",IFERROR(VLOOKUP(C213,'Personel Listesi'!$B$4:$D$303,3,0),""),"")</f>
        <v/>
      </c>
      <c r="F213" s="14"/>
      <c r="G213" s="14"/>
      <c r="H213" s="23" t="str">
        <f t="shared" si="13"/>
        <v/>
      </c>
      <c r="I213" s="24" t="str">
        <f t="shared" si="14"/>
        <v/>
      </c>
      <c r="J213" s="12" t="str">
        <f t="shared" si="15"/>
        <v/>
      </c>
      <c r="K213" s="6"/>
      <c r="L213" s="7"/>
      <c r="M213" s="7"/>
      <c r="N213" s="7"/>
      <c r="O213" s="7"/>
    </row>
    <row r="214" spans="1:15" ht="19.5" customHeight="1" x14ac:dyDescent="0.3">
      <c r="A214" s="3" t="str">
        <f t="shared" si="12"/>
        <v/>
      </c>
      <c r="B214" s="5"/>
      <c r="C214" s="4"/>
      <c r="D214" s="22" t="str">
        <f>IF(C214&lt;&gt;"",IFERROR(VLOOKUP(C214,'Personel Listesi'!$B$4:$C$303,2,0),"Bulunamadı"),"")</f>
        <v/>
      </c>
      <c r="E214" s="22" t="str">
        <f>IF(C214&lt;&gt;"",IFERROR(VLOOKUP(C214,'Personel Listesi'!$B$4:$D$303,3,0),""),"")</f>
        <v/>
      </c>
      <c r="F214" s="11"/>
      <c r="G214" s="11"/>
      <c r="H214" s="23" t="str">
        <f t="shared" si="13"/>
        <v/>
      </c>
      <c r="I214" s="24" t="str">
        <f t="shared" si="14"/>
        <v/>
      </c>
      <c r="J214" s="12" t="str">
        <f t="shared" si="15"/>
        <v/>
      </c>
      <c r="K214" s="3"/>
      <c r="L214" s="4"/>
      <c r="M214" s="4"/>
      <c r="N214" s="4"/>
      <c r="O214" s="4"/>
    </row>
    <row r="215" spans="1:15" ht="19.5" customHeight="1" x14ac:dyDescent="0.3">
      <c r="A215" s="6" t="str">
        <f t="shared" si="12"/>
        <v/>
      </c>
      <c r="B215" s="8"/>
      <c r="C215" s="7"/>
      <c r="D215" s="22" t="str">
        <f>IF(C215&lt;&gt;"",IFERROR(VLOOKUP(C215,'Personel Listesi'!$B$4:$C$303,2,0),"Bulunamadı"),"")</f>
        <v/>
      </c>
      <c r="E215" s="22" t="str">
        <f>IF(C215&lt;&gt;"",IFERROR(VLOOKUP(C215,'Personel Listesi'!$B$4:$D$303,3,0),""),"")</f>
        <v/>
      </c>
      <c r="F215" s="14"/>
      <c r="G215" s="14"/>
      <c r="H215" s="23" t="str">
        <f t="shared" si="13"/>
        <v/>
      </c>
      <c r="I215" s="24" t="str">
        <f t="shared" si="14"/>
        <v/>
      </c>
      <c r="J215" s="12" t="str">
        <f t="shared" si="15"/>
        <v/>
      </c>
      <c r="K215" s="6"/>
      <c r="L215" s="7"/>
      <c r="M215" s="7"/>
      <c r="N215" s="7"/>
      <c r="O215" s="7"/>
    </row>
    <row r="216" spans="1:15" ht="19.5" customHeight="1" x14ac:dyDescent="0.3">
      <c r="A216" s="3" t="str">
        <f t="shared" si="12"/>
        <v/>
      </c>
      <c r="B216" s="5"/>
      <c r="C216" s="4"/>
      <c r="D216" s="22" t="str">
        <f>IF(C216&lt;&gt;"",IFERROR(VLOOKUP(C216,'Personel Listesi'!$B$4:$C$303,2,0),"Bulunamadı"),"")</f>
        <v/>
      </c>
      <c r="E216" s="22" t="str">
        <f>IF(C216&lt;&gt;"",IFERROR(VLOOKUP(C216,'Personel Listesi'!$B$4:$D$303,3,0),""),"")</f>
        <v/>
      </c>
      <c r="F216" s="11"/>
      <c r="G216" s="11"/>
      <c r="H216" s="23" t="str">
        <f t="shared" si="13"/>
        <v/>
      </c>
      <c r="I216" s="24" t="str">
        <f t="shared" si="14"/>
        <v/>
      </c>
      <c r="J216" s="12" t="str">
        <f t="shared" si="15"/>
        <v/>
      </c>
      <c r="K216" s="3"/>
      <c r="L216" s="4"/>
      <c r="M216" s="4"/>
      <c r="N216" s="4"/>
      <c r="O216" s="4"/>
    </row>
    <row r="217" spans="1:15" ht="19.5" customHeight="1" x14ac:dyDescent="0.3">
      <c r="A217" s="6" t="str">
        <f t="shared" si="12"/>
        <v/>
      </c>
      <c r="B217" s="8"/>
      <c r="C217" s="7"/>
      <c r="D217" s="22" t="str">
        <f>IF(C217&lt;&gt;"",IFERROR(VLOOKUP(C217,'Personel Listesi'!$B$4:$C$303,2,0),"Bulunamadı"),"")</f>
        <v/>
      </c>
      <c r="E217" s="22" t="str">
        <f>IF(C217&lt;&gt;"",IFERROR(VLOOKUP(C217,'Personel Listesi'!$B$4:$D$303,3,0),""),"")</f>
        <v/>
      </c>
      <c r="F217" s="14"/>
      <c r="G217" s="14"/>
      <c r="H217" s="23" t="str">
        <f t="shared" si="13"/>
        <v/>
      </c>
      <c r="I217" s="24" t="str">
        <f t="shared" si="14"/>
        <v/>
      </c>
      <c r="J217" s="12" t="str">
        <f t="shared" si="15"/>
        <v/>
      </c>
      <c r="K217" s="6"/>
      <c r="L217" s="7"/>
      <c r="M217" s="7"/>
      <c r="N217" s="7"/>
      <c r="O217" s="7"/>
    </row>
    <row r="218" spans="1:15" ht="19.5" customHeight="1" x14ac:dyDescent="0.3">
      <c r="A218" s="3" t="str">
        <f t="shared" si="12"/>
        <v/>
      </c>
      <c r="B218" s="5"/>
      <c r="C218" s="4"/>
      <c r="D218" s="22" t="str">
        <f>IF(C218&lt;&gt;"",IFERROR(VLOOKUP(C218,'Personel Listesi'!$B$4:$C$303,2,0),"Bulunamadı"),"")</f>
        <v/>
      </c>
      <c r="E218" s="22" t="str">
        <f>IF(C218&lt;&gt;"",IFERROR(VLOOKUP(C218,'Personel Listesi'!$B$4:$D$303,3,0),""),"")</f>
        <v/>
      </c>
      <c r="F218" s="11"/>
      <c r="G218" s="11"/>
      <c r="H218" s="23" t="str">
        <f t="shared" si="13"/>
        <v/>
      </c>
      <c r="I218" s="24" t="str">
        <f t="shared" si="14"/>
        <v/>
      </c>
      <c r="J218" s="12" t="str">
        <f t="shared" si="15"/>
        <v/>
      </c>
      <c r="K218" s="3"/>
      <c r="L218" s="4"/>
      <c r="M218" s="4"/>
      <c r="N218" s="4"/>
      <c r="O218" s="4"/>
    </row>
    <row r="219" spans="1:15" ht="19.5" customHeight="1" x14ac:dyDescent="0.3">
      <c r="A219" s="6" t="str">
        <f t="shared" si="12"/>
        <v/>
      </c>
      <c r="B219" s="8"/>
      <c r="C219" s="7"/>
      <c r="D219" s="22" t="str">
        <f>IF(C219&lt;&gt;"",IFERROR(VLOOKUP(C219,'Personel Listesi'!$B$4:$C$303,2,0),"Bulunamadı"),"")</f>
        <v/>
      </c>
      <c r="E219" s="22" t="str">
        <f>IF(C219&lt;&gt;"",IFERROR(VLOOKUP(C219,'Personel Listesi'!$B$4:$D$303,3,0),""),"")</f>
        <v/>
      </c>
      <c r="F219" s="14"/>
      <c r="G219" s="14"/>
      <c r="H219" s="23" t="str">
        <f t="shared" si="13"/>
        <v/>
      </c>
      <c r="I219" s="24" t="str">
        <f t="shared" si="14"/>
        <v/>
      </c>
      <c r="J219" s="12" t="str">
        <f t="shared" si="15"/>
        <v/>
      </c>
      <c r="K219" s="6"/>
      <c r="L219" s="7"/>
      <c r="M219" s="7"/>
      <c r="N219" s="7"/>
      <c r="O219" s="7"/>
    </row>
    <row r="220" spans="1:15" ht="19.5" customHeight="1" x14ac:dyDescent="0.3">
      <c r="A220" s="3" t="str">
        <f t="shared" si="12"/>
        <v/>
      </c>
      <c r="B220" s="5"/>
      <c r="C220" s="4"/>
      <c r="D220" s="22" t="str">
        <f>IF(C220&lt;&gt;"",IFERROR(VLOOKUP(C220,'Personel Listesi'!$B$4:$C$303,2,0),"Bulunamadı"),"")</f>
        <v/>
      </c>
      <c r="E220" s="22" t="str">
        <f>IF(C220&lt;&gt;"",IFERROR(VLOOKUP(C220,'Personel Listesi'!$B$4:$D$303,3,0),""),"")</f>
        <v/>
      </c>
      <c r="F220" s="11"/>
      <c r="G220" s="11"/>
      <c r="H220" s="23" t="str">
        <f t="shared" si="13"/>
        <v/>
      </c>
      <c r="I220" s="24" t="str">
        <f t="shared" si="14"/>
        <v/>
      </c>
      <c r="J220" s="12" t="str">
        <f t="shared" si="15"/>
        <v/>
      </c>
      <c r="K220" s="3"/>
      <c r="L220" s="4"/>
      <c r="M220" s="4"/>
      <c r="N220" s="4"/>
      <c r="O220" s="4"/>
    </row>
    <row r="221" spans="1:15" ht="19.5" customHeight="1" x14ac:dyDescent="0.3">
      <c r="A221" s="6" t="str">
        <f t="shared" si="12"/>
        <v/>
      </c>
      <c r="B221" s="8"/>
      <c r="C221" s="7"/>
      <c r="D221" s="22" t="str">
        <f>IF(C221&lt;&gt;"",IFERROR(VLOOKUP(C221,'Personel Listesi'!$B$4:$C$303,2,0),"Bulunamadı"),"")</f>
        <v/>
      </c>
      <c r="E221" s="22" t="str">
        <f>IF(C221&lt;&gt;"",IFERROR(VLOOKUP(C221,'Personel Listesi'!$B$4:$D$303,3,0),""),"")</f>
        <v/>
      </c>
      <c r="F221" s="14"/>
      <c r="G221" s="14"/>
      <c r="H221" s="23" t="str">
        <f t="shared" si="13"/>
        <v/>
      </c>
      <c r="I221" s="24" t="str">
        <f t="shared" si="14"/>
        <v/>
      </c>
      <c r="J221" s="12" t="str">
        <f t="shared" si="15"/>
        <v/>
      </c>
      <c r="K221" s="6"/>
      <c r="L221" s="7"/>
      <c r="M221" s="7"/>
      <c r="N221" s="7"/>
      <c r="O221" s="7"/>
    </row>
    <row r="222" spans="1:15" ht="19.5" customHeight="1" x14ac:dyDescent="0.3">
      <c r="A222" s="3" t="str">
        <f t="shared" si="12"/>
        <v/>
      </c>
      <c r="B222" s="5"/>
      <c r="C222" s="4"/>
      <c r="D222" s="22" t="str">
        <f>IF(C222&lt;&gt;"",IFERROR(VLOOKUP(C222,'Personel Listesi'!$B$4:$C$303,2,0),"Bulunamadı"),"")</f>
        <v/>
      </c>
      <c r="E222" s="22" t="str">
        <f>IF(C222&lt;&gt;"",IFERROR(VLOOKUP(C222,'Personel Listesi'!$B$4:$D$303,3,0),""),"")</f>
        <v/>
      </c>
      <c r="F222" s="11"/>
      <c r="G222" s="11"/>
      <c r="H222" s="23" t="str">
        <f t="shared" si="13"/>
        <v/>
      </c>
      <c r="I222" s="24" t="str">
        <f t="shared" si="14"/>
        <v/>
      </c>
      <c r="J222" s="12" t="str">
        <f t="shared" si="15"/>
        <v/>
      </c>
      <c r="K222" s="3"/>
      <c r="L222" s="4"/>
      <c r="M222" s="4"/>
      <c r="N222" s="4"/>
      <c r="O222" s="4"/>
    </row>
    <row r="223" spans="1:15" ht="19.5" customHeight="1" x14ac:dyDescent="0.3">
      <c r="A223" s="6" t="str">
        <f t="shared" si="12"/>
        <v/>
      </c>
      <c r="B223" s="8"/>
      <c r="C223" s="7"/>
      <c r="D223" s="22" t="str">
        <f>IF(C223&lt;&gt;"",IFERROR(VLOOKUP(C223,'Personel Listesi'!$B$4:$C$303,2,0),"Bulunamadı"),"")</f>
        <v/>
      </c>
      <c r="E223" s="22" t="str">
        <f>IF(C223&lt;&gt;"",IFERROR(VLOOKUP(C223,'Personel Listesi'!$B$4:$D$303,3,0),""),"")</f>
        <v/>
      </c>
      <c r="F223" s="14"/>
      <c r="G223" s="14"/>
      <c r="H223" s="23" t="str">
        <f t="shared" si="13"/>
        <v/>
      </c>
      <c r="I223" s="24" t="str">
        <f t="shared" si="14"/>
        <v/>
      </c>
      <c r="J223" s="12" t="str">
        <f t="shared" si="15"/>
        <v/>
      </c>
      <c r="K223" s="6"/>
      <c r="L223" s="7"/>
      <c r="M223" s="7"/>
      <c r="N223" s="7"/>
      <c r="O223" s="7"/>
    </row>
    <row r="224" spans="1:15" ht="19.5" customHeight="1" x14ac:dyDescent="0.3">
      <c r="A224" s="3" t="str">
        <f t="shared" si="12"/>
        <v/>
      </c>
      <c r="B224" s="5"/>
      <c r="C224" s="4"/>
      <c r="D224" s="22" t="str">
        <f>IF(C224&lt;&gt;"",IFERROR(VLOOKUP(C224,'Personel Listesi'!$B$4:$C$303,2,0),"Bulunamadı"),"")</f>
        <v/>
      </c>
      <c r="E224" s="22" t="str">
        <f>IF(C224&lt;&gt;"",IFERROR(VLOOKUP(C224,'Personel Listesi'!$B$4:$D$303,3,0),""),"")</f>
        <v/>
      </c>
      <c r="F224" s="11"/>
      <c r="G224" s="11"/>
      <c r="H224" s="23" t="str">
        <f t="shared" si="13"/>
        <v/>
      </c>
      <c r="I224" s="24" t="str">
        <f t="shared" si="14"/>
        <v/>
      </c>
      <c r="J224" s="12" t="str">
        <f t="shared" si="15"/>
        <v/>
      </c>
      <c r="K224" s="3"/>
      <c r="L224" s="4"/>
      <c r="M224" s="4"/>
      <c r="N224" s="4"/>
      <c r="O224" s="4"/>
    </row>
    <row r="225" spans="1:15" ht="19.5" customHeight="1" x14ac:dyDescent="0.3">
      <c r="A225" s="6" t="str">
        <f t="shared" si="12"/>
        <v/>
      </c>
      <c r="B225" s="8"/>
      <c r="C225" s="7"/>
      <c r="D225" s="22" t="str">
        <f>IF(C225&lt;&gt;"",IFERROR(VLOOKUP(C225,'Personel Listesi'!$B$4:$C$303,2,0),"Bulunamadı"),"")</f>
        <v/>
      </c>
      <c r="E225" s="22" t="str">
        <f>IF(C225&lt;&gt;"",IFERROR(VLOOKUP(C225,'Personel Listesi'!$B$4:$D$303,3,0),""),"")</f>
        <v/>
      </c>
      <c r="F225" s="14"/>
      <c r="G225" s="14"/>
      <c r="H225" s="23" t="str">
        <f t="shared" si="13"/>
        <v/>
      </c>
      <c r="I225" s="24" t="str">
        <f t="shared" si="14"/>
        <v/>
      </c>
      <c r="J225" s="12" t="str">
        <f t="shared" si="15"/>
        <v/>
      </c>
      <c r="K225" s="6"/>
      <c r="L225" s="7"/>
      <c r="M225" s="7"/>
      <c r="N225" s="7"/>
      <c r="O225" s="7"/>
    </row>
    <row r="226" spans="1:15" ht="19.5" customHeight="1" x14ac:dyDescent="0.3">
      <c r="A226" s="3" t="str">
        <f t="shared" si="12"/>
        <v/>
      </c>
      <c r="B226" s="5"/>
      <c r="C226" s="4"/>
      <c r="D226" s="22" t="str">
        <f>IF(C226&lt;&gt;"",IFERROR(VLOOKUP(C226,'Personel Listesi'!$B$4:$C$303,2,0),"Bulunamadı"),"")</f>
        <v/>
      </c>
      <c r="E226" s="22" t="str">
        <f>IF(C226&lt;&gt;"",IFERROR(VLOOKUP(C226,'Personel Listesi'!$B$4:$D$303,3,0),""),"")</f>
        <v/>
      </c>
      <c r="F226" s="11"/>
      <c r="G226" s="11"/>
      <c r="H226" s="23" t="str">
        <f t="shared" si="13"/>
        <v/>
      </c>
      <c r="I226" s="24" t="str">
        <f t="shared" si="14"/>
        <v/>
      </c>
      <c r="J226" s="12" t="str">
        <f t="shared" si="15"/>
        <v/>
      </c>
      <c r="K226" s="3"/>
      <c r="L226" s="4"/>
      <c r="M226" s="4"/>
      <c r="N226" s="4"/>
      <c r="O226" s="4"/>
    </row>
    <row r="227" spans="1:15" ht="19.5" customHeight="1" x14ac:dyDescent="0.3">
      <c r="A227" s="6" t="str">
        <f t="shared" si="12"/>
        <v/>
      </c>
      <c r="B227" s="8"/>
      <c r="C227" s="7"/>
      <c r="D227" s="22" t="str">
        <f>IF(C227&lt;&gt;"",IFERROR(VLOOKUP(C227,'Personel Listesi'!$B$4:$C$303,2,0),"Bulunamadı"),"")</f>
        <v/>
      </c>
      <c r="E227" s="22" t="str">
        <f>IF(C227&lt;&gt;"",IFERROR(VLOOKUP(C227,'Personel Listesi'!$B$4:$D$303,3,0),""),"")</f>
        <v/>
      </c>
      <c r="F227" s="14"/>
      <c r="G227" s="14"/>
      <c r="H227" s="23" t="str">
        <f t="shared" si="13"/>
        <v/>
      </c>
      <c r="I227" s="24" t="str">
        <f t="shared" si="14"/>
        <v/>
      </c>
      <c r="J227" s="12" t="str">
        <f t="shared" si="15"/>
        <v/>
      </c>
      <c r="K227" s="6"/>
      <c r="L227" s="7"/>
      <c r="M227" s="7"/>
      <c r="N227" s="7"/>
      <c r="O227" s="7"/>
    </row>
    <row r="228" spans="1:15" ht="19.5" customHeight="1" x14ac:dyDescent="0.3">
      <c r="A228" s="3" t="str">
        <f t="shared" si="12"/>
        <v/>
      </c>
      <c r="B228" s="5"/>
      <c r="C228" s="4"/>
      <c r="D228" s="22" t="str">
        <f>IF(C228&lt;&gt;"",IFERROR(VLOOKUP(C228,'Personel Listesi'!$B$4:$C$303,2,0),"Bulunamadı"),"")</f>
        <v/>
      </c>
      <c r="E228" s="22" t="str">
        <f>IF(C228&lt;&gt;"",IFERROR(VLOOKUP(C228,'Personel Listesi'!$B$4:$D$303,3,0),""),"")</f>
        <v/>
      </c>
      <c r="F228" s="11"/>
      <c r="G228" s="11"/>
      <c r="H228" s="23" t="str">
        <f t="shared" si="13"/>
        <v/>
      </c>
      <c r="I228" s="24" t="str">
        <f t="shared" si="14"/>
        <v/>
      </c>
      <c r="J228" s="12" t="str">
        <f t="shared" si="15"/>
        <v/>
      </c>
      <c r="K228" s="3"/>
      <c r="L228" s="4"/>
      <c r="M228" s="4"/>
      <c r="N228" s="4"/>
      <c r="O228" s="4"/>
    </row>
    <row r="229" spans="1:15" ht="19.5" customHeight="1" x14ac:dyDescent="0.3">
      <c r="A229" s="6" t="str">
        <f t="shared" si="12"/>
        <v/>
      </c>
      <c r="B229" s="8"/>
      <c r="C229" s="7"/>
      <c r="D229" s="22" t="str">
        <f>IF(C229&lt;&gt;"",IFERROR(VLOOKUP(C229,'Personel Listesi'!$B$4:$C$303,2,0),"Bulunamadı"),"")</f>
        <v/>
      </c>
      <c r="E229" s="22" t="str">
        <f>IF(C229&lt;&gt;"",IFERROR(VLOOKUP(C229,'Personel Listesi'!$B$4:$D$303,3,0),""),"")</f>
        <v/>
      </c>
      <c r="F229" s="14"/>
      <c r="G229" s="14"/>
      <c r="H229" s="23" t="str">
        <f t="shared" si="13"/>
        <v/>
      </c>
      <c r="I229" s="24" t="str">
        <f t="shared" si="14"/>
        <v/>
      </c>
      <c r="J229" s="12" t="str">
        <f t="shared" si="15"/>
        <v/>
      </c>
      <c r="K229" s="6"/>
      <c r="L229" s="7"/>
      <c r="M229" s="7"/>
      <c r="N229" s="7"/>
      <c r="O229" s="7"/>
    </row>
    <row r="230" spans="1:15" ht="19.5" customHeight="1" x14ac:dyDescent="0.3">
      <c r="A230" s="3" t="str">
        <f t="shared" si="12"/>
        <v/>
      </c>
      <c r="B230" s="5"/>
      <c r="C230" s="4"/>
      <c r="D230" s="22" t="str">
        <f>IF(C230&lt;&gt;"",IFERROR(VLOOKUP(C230,'Personel Listesi'!$B$4:$C$303,2,0),"Bulunamadı"),"")</f>
        <v/>
      </c>
      <c r="E230" s="22" t="str">
        <f>IF(C230&lt;&gt;"",IFERROR(VLOOKUP(C230,'Personel Listesi'!$B$4:$D$303,3,0),""),"")</f>
        <v/>
      </c>
      <c r="F230" s="11"/>
      <c r="G230" s="11"/>
      <c r="H230" s="23" t="str">
        <f t="shared" si="13"/>
        <v/>
      </c>
      <c r="I230" s="24" t="str">
        <f t="shared" si="14"/>
        <v/>
      </c>
      <c r="J230" s="12" t="str">
        <f t="shared" si="15"/>
        <v/>
      </c>
      <c r="K230" s="3"/>
      <c r="L230" s="4"/>
      <c r="M230" s="4"/>
      <c r="N230" s="4"/>
      <c r="O230" s="4"/>
    </row>
    <row r="231" spans="1:15" ht="19.5" customHeight="1" x14ac:dyDescent="0.3">
      <c r="A231" s="6" t="str">
        <f t="shared" si="12"/>
        <v/>
      </c>
      <c r="B231" s="8"/>
      <c r="C231" s="7"/>
      <c r="D231" s="22" t="str">
        <f>IF(C231&lt;&gt;"",IFERROR(VLOOKUP(C231,'Personel Listesi'!$B$4:$C$303,2,0),"Bulunamadı"),"")</f>
        <v/>
      </c>
      <c r="E231" s="22" t="str">
        <f>IF(C231&lt;&gt;"",IFERROR(VLOOKUP(C231,'Personel Listesi'!$B$4:$D$303,3,0),""),"")</f>
        <v/>
      </c>
      <c r="F231" s="14"/>
      <c r="G231" s="14"/>
      <c r="H231" s="23" t="str">
        <f t="shared" si="13"/>
        <v/>
      </c>
      <c r="I231" s="24" t="str">
        <f t="shared" si="14"/>
        <v/>
      </c>
      <c r="J231" s="12" t="str">
        <f t="shared" si="15"/>
        <v/>
      </c>
      <c r="K231" s="6"/>
      <c r="L231" s="7"/>
      <c r="M231" s="7"/>
      <c r="N231" s="7"/>
      <c r="O231" s="7"/>
    </row>
    <row r="232" spans="1:15" ht="19.5" customHeight="1" x14ac:dyDescent="0.3">
      <c r="A232" s="3" t="str">
        <f t="shared" si="12"/>
        <v/>
      </c>
      <c r="B232" s="5"/>
      <c r="C232" s="4"/>
      <c r="D232" s="22" t="str">
        <f>IF(C232&lt;&gt;"",IFERROR(VLOOKUP(C232,'Personel Listesi'!$B$4:$C$303,2,0),"Bulunamadı"),"")</f>
        <v/>
      </c>
      <c r="E232" s="22" t="str">
        <f>IF(C232&lt;&gt;"",IFERROR(VLOOKUP(C232,'Personel Listesi'!$B$4:$D$303,3,0),""),"")</f>
        <v/>
      </c>
      <c r="F232" s="11"/>
      <c r="G232" s="11"/>
      <c r="H232" s="23" t="str">
        <f t="shared" si="13"/>
        <v/>
      </c>
      <c r="I232" s="24" t="str">
        <f t="shared" si="14"/>
        <v/>
      </c>
      <c r="J232" s="12" t="str">
        <f t="shared" si="15"/>
        <v/>
      </c>
      <c r="K232" s="3"/>
      <c r="L232" s="4"/>
      <c r="M232" s="4"/>
      <c r="N232" s="4"/>
      <c r="O232" s="4"/>
    </row>
    <row r="233" spans="1:15" ht="19.5" customHeight="1" x14ac:dyDescent="0.3">
      <c r="A233" s="6" t="str">
        <f t="shared" si="12"/>
        <v/>
      </c>
      <c r="B233" s="8"/>
      <c r="C233" s="7"/>
      <c r="D233" s="22" t="str">
        <f>IF(C233&lt;&gt;"",IFERROR(VLOOKUP(C233,'Personel Listesi'!$B$4:$C$303,2,0),"Bulunamadı"),"")</f>
        <v/>
      </c>
      <c r="E233" s="22" t="str">
        <f>IF(C233&lt;&gt;"",IFERROR(VLOOKUP(C233,'Personel Listesi'!$B$4:$D$303,3,0),""),"")</f>
        <v/>
      </c>
      <c r="F233" s="14"/>
      <c r="G233" s="14"/>
      <c r="H233" s="23" t="str">
        <f t="shared" si="13"/>
        <v/>
      </c>
      <c r="I233" s="24" t="str">
        <f t="shared" si="14"/>
        <v/>
      </c>
      <c r="J233" s="12" t="str">
        <f t="shared" si="15"/>
        <v/>
      </c>
      <c r="K233" s="6"/>
      <c r="L233" s="7"/>
      <c r="M233" s="7"/>
      <c r="N233" s="7"/>
      <c r="O233" s="7"/>
    </row>
    <row r="234" spans="1:15" ht="19.5" customHeight="1" x14ac:dyDescent="0.3">
      <c r="A234" s="3" t="str">
        <f t="shared" si="12"/>
        <v/>
      </c>
      <c r="B234" s="5"/>
      <c r="C234" s="4"/>
      <c r="D234" s="22" t="str">
        <f>IF(C234&lt;&gt;"",IFERROR(VLOOKUP(C234,'Personel Listesi'!$B$4:$C$303,2,0),"Bulunamadı"),"")</f>
        <v/>
      </c>
      <c r="E234" s="22" t="str">
        <f>IF(C234&lt;&gt;"",IFERROR(VLOOKUP(C234,'Personel Listesi'!$B$4:$D$303,3,0),""),"")</f>
        <v/>
      </c>
      <c r="F234" s="11"/>
      <c r="G234" s="11"/>
      <c r="H234" s="23" t="str">
        <f t="shared" si="13"/>
        <v/>
      </c>
      <c r="I234" s="24" t="str">
        <f t="shared" si="14"/>
        <v/>
      </c>
      <c r="J234" s="12" t="str">
        <f t="shared" si="15"/>
        <v/>
      </c>
      <c r="K234" s="3"/>
      <c r="L234" s="4"/>
      <c r="M234" s="4"/>
      <c r="N234" s="4"/>
      <c r="O234" s="4"/>
    </row>
    <row r="235" spans="1:15" ht="19.5" customHeight="1" x14ac:dyDescent="0.3">
      <c r="A235" s="6" t="str">
        <f t="shared" si="12"/>
        <v/>
      </c>
      <c r="B235" s="8"/>
      <c r="C235" s="7"/>
      <c r="D235" s="22" t="str">
        <f>IF(C235&lt;&gt;"",IFERROR(VLOOKUP(C235,'Personel Listesi'!$B$4:$C$303,2,0),"Bulunamadı"),"")</f>
        <v/>
      </c>
      <c r="E235" s="22" t="str">
        <f>IF(C235&lt;&gt;"",IFERROR(VLOOKUP(C235,'Personel Listesi'!$B$4:$D$303,3,0),""),"")</f>
        <v/>
      </c>
      <c r="F235" s="14"/>
      <c r="G235" s="14"/>
      <c r="H235" s="23" t="str">
        <f t="shared" si="13"/>
        <v/>
      </c>
      <c r="I235" s="24" t="str">
        <f t="shared" si="14"/>
        <v/>
      </c>
      <c r="J235" s="12" t="str">
        <f t="shared" si="15"/>
        <v/>
      </c>
      <c r="K235" s="6"/>
      <c r="L235" s="7"/>
      <c r="M235" s="7"/>
      <c r="N235" s="7"/>
      <c r="O235" s="7"/>
    </row>
    <row r="236" spans="1:15" ht="19.5" customHeight="1" x14ac:dyDescent="0.3">
      <c r="A236" s="3" t="str">
        <f t="shared" si="12"/>
        <v/>
      </c>
      <c r="B236" s="5"/>
      <c r="C236" s="4"/>
      <c r="D236" s="22" t="str">
        <f>IF(C236&lt;&gt;"",IFERROR(VLOOKUP(C236,'Personel Listesi'!$B$4:$C$303,2,0),"Bulunamadı"),"")</f>
        <v/>
      </c>
      <c r="E236" s="22" t="str">
        <f>IF(C236&lt;&gt;"",IFERROR(VLOOKUP(C236,'Personel Listesi'!$B$4:$D$303,3,0),""),"")</f>
        <v/>
      </c>
      <c r="F236" s="11"/>
      <c r="G236" s="11"/>
      <c r="H236" s="23" t="str">
        <f t="shared" si="13"/>
        <v/>
      </c>
      <c r="I236" s="24" t="str">
        <f t="shared" si="14"/>
        <v/>
      </c>
      <c r="J236" s="12" t="str">
        <f t="shared" si="15"/>
        <v/>
      </c>
      <c r="K236" s="3"/>
      <c r="L236" s="4"/>
      <c r="M236" s="4"/>
      <c r="N236" s="4"/>
      <c r="O236" s="4"/>
    </row>
    <row r="237" spans="1:15" ht="19.5" customHeight="1" x14ac:dyDescent="0.3">
      <c r="A237" s="6" t="str">
        <f t="shared" si="12"/>
        <v/>
      </c>
      <c r="B237" s="8"/>
      <c r="C237" s="7"/>
      <c r="D237" s="22" t="str">
        <f>IF(C237&lt;&gt;"",IFERROR(VLOOKUP(C237,'Personel Listesi'!$B$4:$C$303,2,0),"Bulunamadı"),"")</f>
        <v/>
      </c>
      <c r="E237" s="22" t="str">
        <f>IF(C237&lt;&gt;"",IFERROR(VLOOKUP(C237,'Personel Listesi'!$B$4:$D$303,3,0),""),"")</f>
        <v/>
      </c>
      <c r="F237" s="14"/>
      <c r="G237" s="14"/>
      <c r="H237" s="23" t="str">
        <f t="shared" si="13"/>
        <v/>
      </c>
      <c r="I237" s="24" t="str">
        <f t="shared" si="14"/>
        <v/>
      </c>
      <c r="J237" s="12" t="str">
        <f t="shared" si="15"/>
        <v/>
      </c>
      <c r="K237" s="6"/>
      <c r="L237" s="7"/>
      <c r="M237" s="7"/>
      <c r="N237" s="7"/>
      <c r="O237" s="7"/>
    </row>
    <row r="238" spans="1:15" ht="19.5" customHeight="1" x14ac:dyDescent="0.3">
      <c r="A238" s="3" t="str">
        <f t="shared" si="12"/>
        <v/>
      </c>
      <c r="B238" s="5"/>
      <c r="C238" s="4"/>
      <c r="D238" s="22" t="str">
        <f>IF(C238&lt;&gt;"",IFERROR(VLOOKUP(C238,'Personel Listesi'!$B$4:$C$303,2,0),"Bulunamadı"),"")</f>
        <v/>
      </c>
      <c r="E238" s="22" t="str">
        <f>IF(C238&lt;&gt;"",IFERROR(VLOOKUP(C238,'Personel Listesi'!$B$4:$D$303,3,0),""),"")</f>
        <v/>
      </c>
      <c r="F238" s="11"/>
      <c r="G238" s="11"/>
      <c r="H238" s="23" t="str">
        <f t="shared" si="13"/>
        <v/>
      </c>
      <c r="I238" s="24" t="str">
        <f t="shared" si="14"/>
        <v/>
      </c>
      <c r="J238" s="12" t="str">
        <f t="shared" si="15"/>
        <v/>
      </c>
      <c r="K238" s="3"/>
      <c r="L238" s="4"/>
      <c r="M238" s="4"/>
      <c r="N238" s="4"/>
      <c r="O238" s="4"/>
    </row>
    <row r="239" spans="1:15" ht="19.5" customHeight="1" x14ac:dyDescent="0.3">
      <c r="A239" s="6" t="str">
        <f t="shared" si="12"/>
        <v/>
      </c>
      <c r="B239" s="8"/>
      <c r="C239" s="7"/>
      <c r="D239" s="22" t="str">
        <f>IF(C239&lt;&gt;"",IFERROR(VLOOKUP(C239,'Personel Listesi'!$B$4:$C$303,2,0),"Bulunamadı"),"")</f>
        <v/>
      </c>
      <c r="E239" s="22" t="str">
        <f>IF(C239&lt;&gt;"",IFERROR(VLOOKUP(C239,'Personel Listesi'!$B$4:$D$303,3,0),""),"")</f>
        <v/>
      </c>
      <c r="F239" s="14"/>
      <c r="G239" s="14"/>
      <c r="H239" s="23" t="str">
        <f t="shared" si="13"/>
        <v/>
      </c>
      <c r="I239" s="24" t="str">
        <f t="shared" si="14"/>
        <v/>
      </c>
      <c r="J239" s="12" t="str">
        <f t="shared" si="15"/>
        <v/>
      </c>
      <c r="K239" s="6"/>
      <c r="L239" s="7"/>
      <c r="M239" s="7"/>
      <c r="N239" s="7"/>
      <c r="O239" s="7"/>
    </row>
    <row r="240" spans="1:15" ht="19.5" customHeight="1" x14ac:dyDescent="0.3">
      <c r="A240" s="3" t="str">
        <f t="shared" si="12"/>
        <v/>
      </c>
      <c r="B240" s="5"/>
      <c r="C240" s="4"/>
      <c r="D240" s="22" t="str">
        <f>IF(C240&lt;&gt;"",IFERROR(VLOOKUP(C240,'Personel Listesi'!$B$4:$C$303,2,0),"Bulunamadı"),"")</f>
        <v/>
      </c>
      <c r="E240" s="22" t="str">
        <f>IF(C240&lt;&gt;"",IFERROR(VLOOKUP(C240,'Personel Listesi'!$B$4:$D$303,3,0),""),"")</f>
        <v/>
      </c>
      <c r="F240" s="11"/>
      <c r="G240" s="11"/>
      <c r="H240" s="23" t="str">
        <f t="shared" si="13"/>
        <v/>
      </c>
      <c r="I240" s="24" t="str">
        <f t="shared" si="14"/>
        <v/>
      </c>
      <c r="J240" s="12" t="str">
        <f t="shared" si="15"/>
        <v/>
      </c>
      <c r="K240" s="3"/>
      <c r="L240" s="4"/>
      <c r="M240" s="4"/>
      <c r="N240" s="4"/>
      <c r="O240" s="4"/>
    </row>
    <row r="241" spans="1:15" ht="19.5" customHeight="1" x14ac:dyDescent="0.3">
      <c r="A241" s="6" t="str">
        <f t="shared" si="12"/>
        <v/>
      </c>
      <c r="B241" s="8"/>
      <c r="C241" s="7"/>
      <c r="D241" s="22" t="str">
        <f>IF(C241&lt;&gt;"",IFERROR(VLOOKUP(C241,'Personel Listesi'!$B$4:$C$303,2,0),"Bulunamadı"),"")</f>
        <v/>
      </c>
      <c r="E241" s="22" t="str">
        <f>IF(C241&lt;&gt;"",IFERROR(VLOOKUP(C241,'Personel Listesi'!$B$4:$D$303,3,0),""),"")</f>
        <v/>
      </c>
      <c r="F241" s="14"/>
      <c r="G241" s="14"/>
      <c r="H241" s="23" t="str">
        <f t="shared" si="13"/>
        <v/>
      </c>
      <c r="I241" s="24" t="str">
        <f t="shared" si="14"/>
        <v/>
      </c>
      <c r="J241" s="12" t="str">
        <f t="shared" si="15"/>
        <v/>
      </c>
      <c r="K241" s="6"/>
      <c r="L241" s="7"/>
      <c r="M241" s="7"/>
      <c r="N241" s="7"/>
      <c r="O241" s="7"/>
    </row>
    <row r="242" spans="1:15" ht="19.5" customHeight="1" x14ac:dyDescent="0.3">
      <c r="A242" s="3" t="str">
        <f t="shared" si="12"/>
        <v/>
      </c>
      <c r="B242" s="5"/>
      <c r="C242" s="4"/>
      <c r="D242" s="22" t="str">
        <f>IF(C242&lt;&gt;"",IFERROR(VLOOKUP(C242,'Personel Listesi'!$B$4:$C$303,2,0),"Bulunamadı"),"")</f>
        <v/>
      </c>
      <c r="E242" s="22" t="str">
        <f>IF(C242&lt;&gt;"",IFERROR(VLOOKUP(C242,'Personel Listesi'!$B$4:$D$303,3,0),""),"")</f>
        <v/>
      </c>
      <c r="F242" s="11"/>
      <c r="G242" s="11"/>
      <c r="H242" s="23" t="str">
        <f t="shared" si="13"/>
        <v/>
      </c>
      <c r="I242" s="24" t="str">
        <f t="shared" si="14"/>
        <v/>
      </c>
      <c r="J242" s="12" t="str">
        <f t="shared" si="15"/>
        <v/>
      </c>
      <c r="K242" s="3"/>
      <c r="L242" s="4"/>
      <c r="M242" s="4"/>
      <c r="N242" s="4"/>
      <c r="O242" s="4"/>
    </row>
    <row r="243" spans="1:15" ht="19.5" customHeight="1" x14ac:dyDescent="0.3">
      <c r="A243" s="6" t="str">
        <f t="shared" si="12"/>
        <v/>
      </c>
      <c r="B243" s="8"/>
      <c r="C243" s="7"/>
      <c r="D243" s="22" t="str">
        <f>IF(C243&lt;&gt;"",IFERROR(VLOOKUP(C243,'Personel Listesi'!$B$4:$C$303,2,0),"Bulunamadı"),"")</f>
        <v/>
      </c>
      <c r="E243" s="22" t="str">
        <f>IF(C243&lt;&gt;"",IFERROR(VLOOKUP(C243,'Personel Listesi'!$B$4:$D$303,3,0),""),"")</f>
        <v/>
      </c>
      <c r="F243" s="14"/>
      <c r="G243" s="14"/>
      <c r="H243" s="23" t="str">
        <f t="shared" si="13"/>
        <v/>
      </c>
      <c r="I243" s="24" t="str">
        <f t="shared" si="14"/>
        <v/>
      </c>
      <c r="J243" s="12" t="str">
        <f t="shared" si="15"/>
        <v/>
      </c>
      <c r="K243" s="6"/>
      <c r="L243" s="7"/>
      <c r="M243" s="7"/>
      <c r="N243" s="7"/>
      <c r="O243" s="7"/>
    </row>
    <row r="244" spans="1:15" ht="19.5" customHeight="1" x14ac:dyDescent="0.3">
      <c r="A244" s="3" t="str">
        <f t="shared" si="12"/>
        <v/>
      </c>
      <c r="B244" s="5"/>
      <c r="C244" s="4"/>
      <c r="D244" s="22" t="str">
        <f>IF(C244&lt;&gt;"",IFERROR(VLOOKUP(C244,'Personel Listesi'!$B$4:$C$303,2,0),"Bulunamadı"),"")</f>
        <v/>
      </c>
      <c r="E244" s="22" t="str">
        <f>IF(C244&lt;&gt;"",IFERROR(VLOOKUP(C244,'Personel Listesi'!$B$4:$D$303,3,0),""),"")</f>
        <v/>
      </c>
      <c r="F244" s="11"/>
      <c r="G244" s="11"/>
      <c r="H244" s="23" t="str">
        <f t="shared" si="13"/>
        <v/>
      </c>
      <c r="I244" s="24" t="str">
        <f t="shared" si="14"/>
        <v/>
      </c>
      <c r="J244" s="12" t="str">
        <f t="shared" si="15"/>
        <v/>
      </c>
      <c r="K244" s="3"/>
      <c r="L244" s="4"/>
      <c r="M244" s="4"/>
      <c r="N244" s="4"/>
      <c r="O244" s="4"/>
    </row>
    <row r="245" spans="1:15" ht="19.5" customHeight="1" x14ac:dyDescent="0.3">
      <c r="A245" s="6" t="str">
        <f t="shared" si="12"/>
        <v/>
      </c>
      <c r="B245" s="8"/>
      <c r="C245" s="7"/>
      <c r="D245" s="22" t="str">
        <f>IF(C245&lt;&gt;"",IFERROR(VLOOKUP(C245,'Personel Listesi'!$B$4:$C$303,2,0),"Bulunamadı"),"")</f>
        <v/>
      </c>
      <c r="E245" s="22" t="str">
        <f>IF(C245&lt;&gt;"",IFERROR(VLOOKUP(C245,'Personel Listesi'!$B$4:$D$303,3,0),""),"")</f>
        <v/>
      </c>
      <c r="F245" s="14"/>
      <c r="G245" s="14"/>
      <c r="H245" s="23" t="str">
        <f t="shared" si="13"/>
        <v/>
      </c>
      <c r="I245" s="24" t="str">
        <f t="shared" si="14"/>
        <v/>
      </c>
      <c r="J245" s="12" t="str">
        <f t="shared" si="15"/>
        <v/>
      </c>
      <c r="K245" s="6"/>
      <c r="L245" s="7"/>
      <c r="M245" s="7"/>
      <c r="N245" s="7"/>
      <c r="O245" s="7"/>
    </row>
    <row r="246" spans="1:15" ht="19.5" customHeight="1" x14ac:dyDescent="0.3">
      <c r="A246" s="3" t="str">
        <f t="shared" si="12"/>
        <v/>
      </c>
      <c r="B246" s="5"/>
      <c r="C246" s="4"/>
      <c r="D246" s="22" t="str">
        <f>IF(C246&lt;&gt;"",IFERROR(VLOOKUP(C246,'Personel Listesi'!$B$4:$C$303,2,0),"Bulunamadı"),"")</f>
        <v/>
      </c>
      <c r="E246" s="22" t="str">
        <f>IF(C246&lt;&gt;"",IFERROR(VLOOKUP(C246,'Personel Listesi'!$B$4:$D$303,3,0),""),"")</f>
        <v/>
      </c>
      <c r="F246" s="11"/>
      <c r="G246" s="11"/>
      <c r="H246" s="23" t="str">
        <f t="shared" si="13"/>
        <v/>
      </c>
      <c r="I246" s="24" t="str">
        <f t="shared" si="14"/>
        <v/>
      </c>
      <c r="J246" s="12" t="str">
        <f t="shared" si="15"/>
        <v/>
      </c>
      <c r="K246" s="3"/>
      <c r="L246" s="4"/>
      <c r="M246" s="4"/>
      <c r="N246" s="4"/>
      <c r="O246" s="4"/>
    </row>
    <row r="247" spans="1:15" ht="19.5" customHeight="1" x14ac:dyDescent="0.3">
      <c r="A247" s="6" t="str">
        <f t="shared" si="12"/>
        <v/>
      </c>
      <c r="B247" s="8"/>
      <c r="C247" s="7"/>
      <c r="D247" s="22" t="str">
        <f>IF(C247&lt;&gt;"",IFERROR(VLOOKUP(C247,'Personel Listesi'!$B$4:$C$303,2,0),"Bulunamadı"),"")</f>
        <v/>
      </c>
      <c r="E247" s="22" t="str">
        <f>IF(C247&lt;&gt;"",IFERROR(VLOOKUP(C247,'Personel Listesi'!$B$4:$D$303,3,0),""),"")</f>
        <v/>
      </c>
      <c r="F247" s="14"/>
      <c r="G247" s="14"/>
      <c r="H247" s="23" t="str">
        <f t="shared" si="13"/>
        <v/>
      </c>
      <c r="I247" s="24" t="str">
        <f t="shared" si="14"/>
        <v/>
      </c>
      <c r="J247" s="12" t="str">
        <f t="shared" si="15"/>
        <v/>
      </c>
      <c r="K247" s="6"/>
      <c r="L247" s="7"/>
      <c r="M247" s="7"/>
      <c r="N247" s="7"/>
      <c r="O247" s="7"/>
    </row>
    <row r="248" spans="1:15" ht="19.5" customHeight="1" x14ac:dyDescent="0.3">
      <c r="A248" s="3" t="str">
        <f t="shared" si="12"/>
        <v/>
      </c>
      <c r="B248" s="5"/>
      <c r="C248" s="4"/>
      <c r="D248" s="22" t="str">
        <f>IF(C248&lt;&gt;"",IFERROR(VLOOKUP(C248,'Personel Listesi'!$B$4:$C$303,2,0),"Bulunamadı"),"")</f>
        <v/>
      </c>
      <c r="E248" s="22" t="str">
        <f>IF(C248&lt;&gt;"",IFERROR(VLOOKUP(C248,'Personel Listesi'!$B$4:$D$303,3,0),""),"")</f>
        <v/>
      </c>
      <c r="F248" s="11"/>
      <c r="G248" s="11"/>
      <c r="H248" s="23" t="str">
        <f t="shared" si="13"/>
        <v/>
      </c>
      <c r="I248" s="24" t="str">
        <f t="shared" si="14"/>
        <v/>
      </c>
      <c r="J248" s="12" t="str">
        <f t="shared" si="15"/>
        <v/>
      </c>
      <c r="K248" s="3"/>
      <c r="L248" s="4"/>
      <c r="M248" s="4"/>
      <c r="N248" s="4"/>
      <c r="O248" s="4"/>
    </row>
    <row r="249" spans="1:15" ht="19.5" customHeight="1" x14ac:dyDescent="0.3">
      <c r="A249" s="6" t="str">
        <f t="shared" si="12"/>
        <v/>
      </c>
      <c r="B249" s="8"/>
      <c r="C249" s="7"/>
      <c r="D249" s="22" t="str">
        <f>IF(C249&lt;&gt;"",IFERROR(VLOOKUP(C249,'Personel Listesi'!$B$4:$C$303,2,0),"Bulunamadı"),"")</f>
        <v/>
      </c>
      <c r="E249" s="22" t="str">
        <f>IF(C249&lt;&gt;"",IFERROR(VLOOKUP(C249,'Personel Listesi'!$B$4:$D$303,3,0),""),"")</f>
        <v/>
      </c>
      <c r="F249" s="14"/>
      <c r="G249" s="14"/>
      <c r="H249" s="23" t="str">
        <f t="shared" si="13"/>
        <v/>
      </c>
      <c r="I249" s="24" t="str">
        <f t="shared" si="14"/>
        <v/>
      </c>
      <c r="J249" s="12" t="str">
        <f t="shared" si="15"/>
        <v/>
      </c>
      <c r="K249" s="6"/>
      <c r="L249" s="7"/>
      <c r="M249" s="7"/>
      <c r="N249" s="7"/>
      <c r="O249" s="7"/>
    </row>
    <row r="250" spans="1:15" ht="19.5" customHeight="1" x14ac:dyDescent="0.3">
      <c r="A250" s="3" t="str">
        <f t="shared" si="12"/>
        <v/>
      </c>
      <c r="B250" s="5"/>
      <c r="C250" s="4"/>
      <c r="D250" s="22" t="str">
        <f>IF(C250&lt;&gt;"",IFERROR(VLOOKUP(C250,'Personel Listesi'!$B$4:$C$303,2,0),"Bulunamadı"),"")</f>
        <v/>
      </c>
      <c r="E250" s="22" t="str">
        <f>IF(C250&lt;&gt;"",IFERROR(VLOOKUP(C250,'Personel Listesi'!$B$4:$D$303,3,0),""),"")</f>
        <v/>
      </c>
      <c r="F250" s="11"/>
      <c r="G250" s="11"/>
      <c r="H250" s="23" t="str">
        <f t="shared" si="13"/>
        <v/>
      </c>
      <c r="I250" s="24" t="str">
        <f t="shared" si="14"/>
        <v/>
      </c>
      <c r="J250" s="12" t="str">
        <f t="shared" si="15"/>
        <v/>
      </c>
      <c r="K250" s="3"/>
      <c r="L250" s="4"/>
      <c r="M250" s="4"/>
      <c r="N250" s="4"/>
      <c r="O250" s="4"/>
    </row>
    <row r="251" spans="1:15" ht="19.5" customHeight="1" x14ac:dyDescent="0.3">
      <c r="A251" s="6" t="str">
        <f t="shared" si="12"/>
        <v/>
      </c>
      <c r="B251" s="8"/>
      <c r="C251" s="7"/>
      <c r="D251" s="22" t="str">
        <f>IF(C251&lt;&gt;"",IFERROR(VLOOKUP(C251,'Personel Listesi'!$B$4:$C$303,2,0),"Bulunamadı"),"")</f>
        <v/>
      </c>
      <c r="E251" s="22" t="str">
        <f>IF(C251&lt;&gt;"",IFERROR(VLOOKUP(C251,'Personel Listesi'!$B$4:$D$303,3,0),""),"")</f>
        <v/>
      </c>
      <c r="F251" s="14"/>
      <c r="G251" s="14"/>
      <c r="H251" s="23" t="str">
        <f t="shared" si="13"/>
        <v/>
      </c>
      <c r="I251" s="24" t="str">
        <f t="shared" si="14"/>
        <v/>
      </c>
      <c r="J251" s="12" t="str">
        <f t="shared" si="15"/>
        <v/>
      </c>
      <c r="K251" s="6"/>
      <c r="L251" s="7"/>
      <c r="M251" s="7"/>
      <c r="N251" s="7"/>
      <c r="O251" s="7"/>
    </row>
    <row r="252" spans="1:15" ht="19.5" customHeight="1" x14ac:dyDescent="0.3">
      <c r="A252" s="3" t="str">
        <f t="shared" si="12"/>
        <v/>
      </c>
      <c r="B252" s="5"/>
      <c r="C252" s="4"/>
      <c r="D252" s="22" t="str">
        <f>IF(C252&lt;&gt;"",IFERROR(VLOOKUP(C252,'Personel Listesi'!$B$4:$C$303,2,0),"Bulunamadı"),"")</f>
        <v/>
      </c>
      <c r="E252" s="22" t="str">
        <f>IF(C252&lt;&gt;"",IFERROR(VLOOKUP(C252,'Personel Listesi'!$B$4:$D$303,3,0),""),"")</f>
        <v/>
      </c>
      <c r="F252" s="11"/>
      <c r="G252" s="11"/>
      <c r="H252" s="23" t="str">
        <f t="shared" si="13"/>
        <v/>
      </c>
      <c r="I252" s="24" t="str">
        <f t="shared" si="14"/>
        <v/>
      </c>
      <c r="J252" s="12" t="str">
        <f t="shared" si="15"/>
        <v/>
      </c>
      <c r="K252" s="3"/>
      <c r="L252" s="4"/>
      <c r="M252" s="4"/>
      <c r="N252" s="4"/>
      <c r="O252" s="4"/>
    </row>
    <row r="253" spans="1:15" ht="19.5" customHeight="1" x14ac:dyDescent="0.3">
      <c r="A253" s="6" t="str">
        <f t="shared" si="12"/>
        <v/>
      </c>
      <c r="B253" s="8"/>
      <c r="C253" s="7"/>
      <c r="D253" s="22" t="str">
        <f>IF(C253&lt;&gt;"",IFERROR(VLOOKUP(C253,'Personel Listesi'!$B$4:$C$303,2,0),"Bulunamadı"),"")</f>
        <v/>
      </c>
      <c r="E253" s="22" t="str">
        <f>IF(C253&lt;&gt;"",IFERROR(VLOOKUP(C253,'Personel Listesi'!$B$4:$D$303,3,0),""),"")</f>
        <v/>
      </c>
      <c r="F253" s="14"/>
      <c r="G253" s="14"/>
      <c r="H253" s="23" t="str">
        <f t="shared" si="13"/>
        <v/>
      </c>
      <c r="I253" s="24" t="str">
        <f t="shared" si="14"/>
        <v/>
      </c>
      <c r="J253" s="12" t="str">
        <f t="shared" si="15"/>
        <v/>
      </c>
      <c r="K253" s="6"/>
      <c r="L253" s="7"/>
      <c r="M253" s="7"/>
      <c r="N253" s="7"/>
      <c r="O253" s="7"/>
    </row>
    <row r="254" spans="1:15" ht="19.5" customHeight="1" x14ac:dyDescent="0.3">
      <c r="A254" s="3" t="str">
        <f t="shared" si="12"/>
        <v/>
      </c>
      <c r="B254" s="5"/>
      <c r="C254" s="4"/>
      <c r="D254" s="22" t="str">
        <f>IF(C254&lt;&gt;"",IFERROR(VLOOKUP(C254,'Personel Listesi'!$B$4:$C$303,2,0),"Bulunamadı"),"")</f>
        <v/>
      </c>
      <c r="E254" s="22" t="str">
        <f>IF(C254&lt;&gt;"",IFERROR(VLOOKUP(C254,'Personel Listesi'!$B$4:$D$303,3,0),""),"")</f>
        <v/>
      </c>
      <c r="F254" s="11"/>
      <c r="G254" s="11"/>
      <c r="H254" s="23" t="str">
        <f t="shared" si="13"/>
        <v/>
      </c>
      <c r="I254" s="24" t="str">
        <f t="shared" si="14"/>
        <v/>
      </c>
      <c r="J254" s="12" t="str">
        <f t="shared" si="15"/>
        <v/>
      </c>
      <c r="K254" s="3"/>
      <c r="L254" s="4"/>
      <c r="M254" s="4"/>
      <c r="N254" s="4"/>
      <c r="O254" s="4"/>
    </row>
    <row r="255" spans="1:15" ht="19.5" customHeight="1" x14ac:dyDescent="0.3">
      <c r="A255" s="6" t="str">
        <f t="shared" si="12"/>
        <v/>
      </c>
      <c r="B255" s="8"/>
      <c r="C255" s="7"/>
      <c r="D255" s="22" t="str">
        <f>IF(C255&lt;&gt;"",IFERROR(VLOOKUP(C255,'Personel Listesi'!$B$4:$C$303,2,0),"Bulunamadı"),"")</f>
        <v/>
      </c>
      <c r="E255" s="22" t="str">
        <f>IF(C255&lt;&gt;"",IFERROR(VLOOKUP(C255,'Personel Listesi'!$B$4:$D$303,3,0),""),"")</f>
        <v/>
      </c>
      <c r="F255" s="14"/>
      <c r="G255" s="14"/>
      <c r="H255" s="23" t="str">
        <f t="shared" si="13"/>
        <v/>
      </c>
      <c r="I255" s="24" t="str">
        <f t="shared" si="14"/>
        <v/>
      </c>
      <c r="J255" s="12" t="str">
        <f t="shared" si="15"/>
        <v/>
      </c>
      <c r="K255" s="6"/>
      <c r="L255" s="7"/>
      <c r="M255" s="7"/>
      <c r="N255" s="7"/>
      <c r="O255" s="7"/>
    </row>
    <row r="256" spans="1:15" ht="19.5" customHeight="1" x14ac:dyDescent="0.3">
      <c r="A256" s="3" t="str">
        <f t="shared" si="12"/>
        <v/>
      </c>
      <c r="B256" s="5"/>
      <c r="C256" s="4"/>
      <c r="D256" s="22" t="str">
        <f>IF(C256&lt;&gt;"",IFERROR(VLOOKUP(C256,'Personel Listesi'!$B$4:$C$303,2,0),"Bulunamadı"),"")</f>
        <v/>
      </c>
      <c r="E256" s="22" t="str">
        <f>IF(C256&lt;&gt;"",IFERROR(VLOOKUP(C256,'Personel Listesi'!$B$4:$D$303,3,0),""),"")</f>
        <v/>
      </c>
      <c r="F256" s="11"/>
      <c r="G256" s="11"/>
      <c r="H256" s="23" t="str">
        <f t="shared" si="13"/>
        <v/>
      </c>
      <c r="I256" s="24" t="str">
        <f t="shared" si="14"/>
        <v/>
      </c>
      <c r="J256" s="12" t="str">
        <f t="shared" si="15"/>
        <v/>
      </c>
      <c r="K256" s="3"/>
      <c r="L256" s="4"/>
      <c r="M256" s="4"/>
      <c r="N256" s="4"/>
      <c r="O256" s="4"/>
    </row>
    <row r="257" spans="1:15" ht="19.5" customHeight="1" x14ac:dyDescent="0.3">
      <c r="A257" s="6" t="str">
        <f t="shared" si="12"/>
        <v/>
      </c>
      <c r="B257" s="8"/>
      <c r="C257" s="7"/>
      <c r="D257" s="22" t="str">
        <f>IF(C257&lt;&gt;"",IFERROR(VLOOKUP(C257,'Personel Listesi'!$B$4:$C$303,2,0),"Bulunamadı"),"")</f>
        <v/>
      </c>
      <c r="E257" s="22" t="str">
        <f>IF(C257&lt;&gt;"",IFERROR(VLOOKUP(C257,'Personel Listesi'!$B$4:$D$303,3,0),""),"")</f>
        <v/>
      </c>
      <c r="F257" s="14"/>
      <c r="G257" s="14"/>
      <c r="H257" s="23" t="str">
        <f t="shared" si="13"/>
        <v/>
      </c>
      <c r="I257" s="24" t="str">
        <f t="shared" si="14"/>
        <v/>
      </c>
      <c r="J257" s="12" t="str">
        <f t="shared" si="15"/>
        <v/>
      </c>
      <c r="K257" s="6"/>
      <c r="L257" s="7"/>
      <c r="M257" s="7"/>
      <c r="N257" s="7"/>
      <c r="O257" s="7"/>
    </row>
    <row r="258" spans="1:15" ht="19.5" customHeight="1" x14ac:dyDescent="0.3">
      <c r="A258" s="3" t="str">
        <f t="shared" si="12"/>
        <v/>
      </c>
      <c r="B258" s="5"/>
      <c r="C258" s="4"/>
      <c r="D258" s="22" t="str">
        <f>IF(C258&lt;&gt;"",IFERROR(VLOOKUP(C258,'Personel Listesi'!$B$4:$C$303,2,0),"Bulunamadı"),"")</f>
        <v/>
      </c>
      <c r="E258" s="22" t="str">
        <f>IF(C258&lt;&gt;"",IFERROR(VLOOKUP(C258,'Personel Listesi'!$B$4:$D$303,3,0),""),"")</f>
        <v/>
      </c>
      <c r="F258" s="11"/>
      <c r="G258" s="11"/>
      <c r="H258" s="23" t="str">
        <f t="shared" si="13"/>
        <v/>
      </c>
      <c r="I258" s="24" t="str">
        <f t="shared" si="14"/>
        <v/>
      </c>
      <c r="J258" s="12" t="str">
        <f t="shared" si="15"/>
        <v/>
      </c>
      <c r="K258" s="3"/>
      <c r="L258" s="4"/>
      <c r="M258" s="4"/>
      <c r="N258" s="4"/>
      <c r="O258" s="4"/>
    </row>
    <row r="259" spans="1:15" ht="19.5" customHeight="1" x14ac:dyDescent="0.3">
      <c r="A259" s="6" t="str">
        <f t="shared" si="12"/>
        <v/>
      </c>
      <c r="B259" s="8"/>
      <c r="C259" s="7"/>
      <c r="D259" s="22" t="str">
        <f>IF(C259&lt;&gt;"",IFERROR(VLOOKUP(C259,'Personel Listesi'!$B$4:$C$303,2,0),"Bulunamadı"),"")</f>
        <v/>
      </c>
      <c r="E259" s="22" t="str">
        <f>IF(C259&lt;&gt;"",IFERROR(VLOOKUP(C259,'Personel Listesi'!$B$4:$D$303,3,0),""),"")</f>
        <v/>
      </c>
      <c r="F259" s="14"/>
      <c r="G259" s="14"/>
      <c r="H259" s="23" t="str">
        <f t="shared" si="13"/>
        <v/>
      </c>
      <c r="I259" s="24" t="str">
        <f t="shared" si="14"/>
        <v/>
      </c>
      <c r="J259" s="12" t="str">
        <f t="shared" si="15"/>
        <v/>
      </c>
      <c r="K259" s="6"/>
      <c r="L259" s="7"/>
      <c r="M259" s="7"/>
      <c r="N259" s="7"/>
      <c r="O259" s="7"/>
    </row>
    <row r="260" spans="1:15" ht="19.5" customHeight="1" x14ac:dyDescent="0.3">
      <c r="A260" s="3" t="str">
        <f t="shared" ref="A260:A303" si="16">IF(B260&lt;&gt;"",ROW()-3,"")</f>
        <v/>
      </c>
      <c r="B260" s="5"/>
      <c r="C260" s="4"/>
      <c r="D260" s="22" t="str">
        <f>IF(C260&lt;&gt;"",IFERROR(VLOOKUP(C260,'Personel Listesi'!$B$4:$C$303,2,0),"Bulunamadı"),"")</f>
        <v/>
      </c>
      <c r="E260" s="22" t="str">
        <f>IF(C260&lt;&gt;"",IFERROR(VLOOKUP(C260,'Personel Listesi'!$B$4:$D$303,3,0),""),"")</f>
        <v/>
      </c>
      <c r="F260" s="11"/>
      <c r="G260" s="11"/>
      <c r="H260" s="23" t="str">
        <f t="shared" ref="H260:H303" si="17">IF(AND(F260&lt;&gt;"",G260&lt;&gt;""),IFERROR(MAX(0,MAX(0,(MIN(17/24,G260)-MAX(8/24,F260))*24)-MAX(0,(MIN(13/24,G260)-MAX(12/24,F260))*24)),""),"")</f>
        <v/>
      </c>
      <c r="I260" s="24" t="str">
        <f t="shared" ref="I260:I303" si="18">IF(AND(F260&lt;&gt;"",G260&lt;&gt;""),IFERROR(MAX(0,(G260-17/24)*24),""),"")</f>
        <v/>
      </c>
      <c r="J260" s="12" t="str">
        <f t="shared" ref="J260:J303" si="19">IF(AND(F260&lt;&gt;"",G260&lt;&gt;""),IFERROR(H260+I260,""),"")</f>
        <v/>
      </c>
      <c r="K260" s="3"/>
      <c r="L260" s="4"/>
      <c r="M260" s="4"/>
      <c r="N260" s="4"/>
      <c r="O260" s="4"/>
    </row>
    <row r="261" spans="1:15" ht="19.5" customHeight="1" x14ac:dyDescent="0.3">
      <c r="A261" s="6" t="str">
        <f t="shared" si="16"/>
        <v/>
      </c>
      <c r="B261" s="8"/>
      <c r="C261" s="7"/>
      <c r="D261" s="22" t="str">
        <f>IF(C261&lt;&gt;"",IFERROR(VLOOKUP(C261,'Personel Listesi'!$B$4:$C$303,2,0),"Bulunamadı"),"")</f>
        <v/>
      </c>
      <c r="E261" s="22" t="str">
        <f>IF(C261&lt;&gt;"",IFERROR(VLOOKUP(C261,'Personel Listesi'!$B$4:$D$303,3,0),""),"")</f>
        <v/>
      </c>
      <c r="F261" s="14"/>
      <c r="G261" s="14"/>
      <c r="H261" s="23" t="str">
        <f t="shared" si="17"/>
        <v/>
      </c>
      <c r="I261" s="24" t="str">
        <f t="shared" si="18"/>
        <v/>
      </c>
      <c r="J261" s="12" t="str">
        <f t="shared" si="19"/>
        <v/>
      </c>
      <c r="K261" s="6"/>
      <c r="L261" s="7"/>
      <c r="M261" s="7"/>
      <c r="N261" s="7"/>
      <c r="O261" s="7"/>
    </row>
    <row r="262" spans="1:15" ht="19.5" customHeight="1" x14ac:dyDescent="0.3">
      <c r="A262" s="3" t="str">
        <f t="shared" si="16"/>
        <v/>
      </c>
      <c r="B262" s="5"/>
      <c r="C262" s="4"/>
      <c r="D262" s="22" t="str">
        <f>IF(C262&lt;&gt;"",IFERROR(VLOOKUP(C262,'Personel Listesi'!$B$4:$C$303,2,0),"Bulunamadı"),"")</f>
        <v/>
      </c>
      <c r="E262" s="22" t="str">
        <f>IF(C262&lt;&gt;"",IFERROR(VLOOKUP(C262,'Personel Listesi'!$B$4:$D$303,3,0),""),"")</f>
        <v/>
      </c>
      <c r="F262" s="11"/>
      <c r="G262" s="11"/>
      <c r="H262" s="23" t="str">
        <f t="shared" si="17"/>
        <v/>
      </c>
      <c r="I262" s="24" t="str">
        <f t="shared" si="18"/>
        <v/>
      </c>
      <c r="J262" s="12" t="str">
        <f t="shared" si="19"/>
        <v/>
      </c>
      <c r="K262" s="3"/>
      <c r="L262" s="4"/>
      <c r="M262" s="4"/>
      <c r="N262" s="4"/>
      <c r="O262" s="4"/>
    </row>
    <row r="263" spans="1:15" ht="19.5" customHeight="1" x14ac:dyDescent="0.3">
      <c r="A263" s="6" t="str">
        <f t="shared" si="16"/>
        <v/>
      </c>
      <c r="B263" s="8"/>
      <c r="C263" s="7"/>
      <c r="D263" s="22" t="str">
        <f>IF(C263&lt;&gt;"",IFERROR(VLOOKUP(C263,'Personel Listesi'!$B$4:$C$303,2,0),"Bulunamadı"),"")</f>
        <v/>
      </c>
      <c r="E263" s="22" t="str">
        <f>IF(C263&lt;&gt;"",IFERROR(VLOOKUP(C263,'Personel Listesi'!$B$4:$D$303,3,0),""),"")</f>
        <v/>
      </c>
      <c r="F263" s="14"/>
      <c r="G263" s="14"/>
      <c r="H263" s="23" t="str">
        <f t="shared" si="17"/>
        <v/>
      </c>
      <c r="I263" s="24" t="str">
        <f t="shared" si="18"/>
        <v/>
      </c>
      <c r="J263" s="12" t="str">
        <f t="shared" si="19"/>
        <v/>
      </c>
      <c r="K263" s="6"/>
      <c r="L263" s="7"/>
      <c r="M263" s="7"/>
      <c r="N263" s="7"/>
      <c r="O263" s="7"/>
    </row>
    <row r="264" spans="1:15" ht="19.5" customHeight="1" x14ac:dyDescent="0.3">
      <c r="A264" s="3" t="str">
        <f t="shared" si="16"/>
        <v/>
      </c>
      <c r="B264" s="5"/>
      <c r="C264" s="4"/>
      <c r="D264" s="22" t="str">
        <f>IF(C264&lt;&gt;"",IFERROR(VLOOKUP(C264,'Personel Listesi'!$B$4:$C$303,2,0),"Bulunamadı"),"")</f>
        <v/>
      </c>
      <c r="E264" s="22" t="str">
        <f>IF(C264&lt;&gt;"",IFERROR(VLOOKUP(C264,'Personel Listesi'!$B$4:$D$303,3,0),""),"")</f>
        <v/>
      </c>
      <c r="F264" s="11"/>
      <c r="G264" s="11"/>
      <c r="H264" s="23" t="str">
        <f t="shared" si="17"/>
        <v/>
      </c>
      <c r="I264" s="24" t="str">
        <f t="shared" si="18"/>
        <v/>
      </c>
      <c r="J264" s="12" t="str">
        <f t="shared" si="19"/>
        <v/>
      </c>
      <c r="K264" s="3"/>
      <c r="L264" s="4"/>
      <c r="M264" s="4"/>
      <c r="N264" s="4"/>
      <c r="O264" s="4"/>
    </row>
    <row r="265" spans="1:15" ht="19.5" customHeight="1" x14ac:dyDescent="0.3">
      <c r="A265" s="6" t="str">
        <f t="shared" si="16"/>
        <v/>
      </c>
      <c r="B265" s="8"/>
      <c r="C265" s="7"/>
      <c r="D265" s="22" t="str">
        <f>IF(C265&lt;&gt;"",IFERROR(VLOOKUP(C265,'Personel Listesi'!$B$4:$C$303,2,0),"Bulunamadı"),"")</f>
        <v/>
      </c>
      <c r="E265" s="22" t="str">
        <f>IF(C265&lt;&gt;"",IFERROR(VLOOKUP(C265,'Personel Listesi'!$B$4:$D$303,3,0),""),"")</f>
        <v/>
      </c>
      <c r="F265" s="14"/>
      <c r="G265" s="14"/>
      <c r="H265" s="23" t="str">
        <f t="shared" si="17"/>
        <v/>
      </c>
      <c r="I265" s="24" t="str">
        <f t="shared" si="18"/>
        <v/>
      </c>
      <c r="J265" s="12" t="str">
        <f t="shared" si="19"/>
        <v/>
      </c>
      <c r="K265" s="6"/>
      <c r="L265" s="7"/>
      <c r="M265" s="7"/>
      <c r="N265" s="7"/>
      <c r="O265" s="7"/>
    </row>
    <row r="266" spans="1:15" ht="19.5" customHeight="1" x14ac:dyDescent="0.3">
      <c r="A266" s="3" t="str">
        <f t="shared" si="16"/>
        <v/>
      </c>
      <c r="B266" s="5"/>
      <c r="C266" s="4"/>
      <c r="D266" s="22" t="str">
        <f>IF(C266&lt;&gt;"",IFERROR(VLOOKUP(C266,'Personel Listesi'!$B$4:$C$303,2,0),"Bulunamadı"),"")</f>
        <v/>
      </c>
      <c r="E266" s="22" t="str">
        <f>IF(C266&lt;&gt;"",IFERROR(VLOOKUP(C266,'Personel Listesi'!$B$4:$D$303,3,0),""),"")</f>
        <v/>
      </c>
      <c r="F266" s="11"/>
      <c r="G266" s="11"/>
      <c r="H266" s="23" t="str">
        <f t="shared" si="17"/>
        <v/>
      </c>
      <c r="I266" s="24" t="str">
        <f t="shared" si="18"/>
        <v/>
      </c>
      <c r="J266" s="12" t="str">
        <f t="shared" si="19"/>
        <v/>
      </c>
      <c r="K266" s="3"/>
      <c r="L266" s="4"/>
      <c r="M266" s="4"/>
      <c r="N266" s="4"/>
      <c r="O266" s="4"/>
    </row>
    <row r="267" spans="1:15" ht="19.5" customHeight="1" x14ac:dyDescent="0.3">
      <c r="A267" s="6" t="str">
        <f t="shared" si="16"/>
        <v/>
      </c>
      <c r="B267" s="8"/>
      <c r="C267" s="7"/>
      <c r="D267" s="22" t="str">
        <f>IF(C267&lt;&gt;"",IFERROR(VLOOKUP(C267,'Personel Listesi'!$B$4:$C$303,2,0),"Bulunamadı"),"")</f>
        <v/>
      </c>
      <c r="E267" s="22" t="str">
        <f>IF(C267&lt;&gt;"",IFERROR(VLOOKUP(C267,'Personel Listesi'!$B$4:$D$303,3,0),""),"")</f>
        <v/>
      </c>
      <c r="F267" s="14"/>
      <c r="G267" s="14"/>
      <c r="H267" s="23" t="str">
        <f t="shared" si="17"/>
        <v/>
      </c>
      <c r="I267" s="24" t="str">
        <f t="shared" si="18"/>
        <v/>
      </c>
      <c r="J267" s="12" t="str">
        <f t="shared" si="19"/>
        <v/>
      </c>
      <c r="K267" s="6"/>
      <c r="L267" s="7"/>
      <c r="M267" s="7"/>
      <c r="N267" s="7"/>
      <c r="O267" s="7"/>
    </row>
    <row r="268" spans="1:15" ht="19.5" customHeight="1" x14ac:dyDescent="0.3">
      <c r="A268" s="3" t="str">
        <f t="shared" si="16"/>
        <v/>
      </c>
      <c r="B268" s="5"/>
      <c r="C268" s="4"/>
      <c r="D268" s="22" t="str">
        <f>IF(C268&lt;&gt;"",IFERROR(VLOOKUP(C268,'Personel Listesi'!$B$4:$C$303,2,0),"Bulunamadı"),"")</f>
        <v/>
      </c>
      <c r="E268" s="22" t="str">
        <f>IF(C268&lt;&gt;"",IFERROR(VLOOKUP(C268,'Personel Listesi'!$B$4:$D$303,3,0),""),"")</f>
        <v/>
      </c>
      <c r="F268" s="11"/>
      <c r="G268" s="11"/>
      <c r="H268" s="23" t="str">
        <f t="shared" si="17"/>
        <v/>
      </c>
      <c r="I268" s="24" t="str">
        <f t="shared" si="18"/>
        <v/>
      </c>
      <c r="J268" s="12" t="str">
        <f t="shared" si="19"/>
        <v/>
      </c>
      <c r="K268" s="3"/>
      <c r="L268" s="4"/>
      <c r="M268" s="4"/>
      <c r="N268" s="4"/>
      <c r="O268" s="4"/>
    </row>
    <row r="269" spans="1:15" ht="19.5" customHeight="1" x14ac:dyDescent="0.3">
      <c r="A269" s="6" t="str">
        <f t="shared" si="16"/>
        <v/>
      </c>
      <c r="B269" s="8"/>
      <c r="C269" s="7"/>
      <c r="D269" s="22" t="str">
        <f>IF(C269&lt;&gt;"",IFERROR(VLOOKUP(C269,'Personel Listesi'!$B$4:$C$303,2,0),"Bulunamadı"),"")</f>
        <v/>
      </c>
      <c r="E269" s="22" t="str">
        <f>IF(C269&lt;&gt;"",IFERROR(VLOOKUP(C269,'Personel Listesi'!$B$4:$D$303,3,0),""),"")</f>
        <v/>
      </c>
      <c r="F269" s="14"/>
      <c r="G269" s="14"/>
      <c r="H269" s="23" t="str">
        <f t="shared" si="17"/>
        <v/>
      </c>
      <c r="I269" s="24" t="str">
        <f t="shared" si="18"/>
        <v/>
      </c>
      <c r="J269" s="12" t="str">
        <f t="shared" si="19"/>
        <v/>
      </c>
      <c r="K269" s="6"/>
      <c r="L269" s="7"/>
      <c r="M269" s="7"/>
      <c r="N269" s="7"/>
      <c r="O269" s="7"/>
    </row>
    <row r="270" spans="1:15" ht="19.5" customHeight="1" x14ac:dyDescent="0.3">
      <c r="A270" s="3" t="str">
        <f t="shared" si="16"/>
        <v/>
      </c>
      <c r="B270" s="5"/>
      <c r="C270" s="4"/>
      <c r="D270" s="22" t="str">
        <f>IF(C270&lt;&gt;"",IFERROR(VLOOKUP(C270,'Personel Listesi'!$B$4:$C$303,2,0),"Bulunamadı"),"")</f>
        <v/>
      </c>
      <c r="E270" s="22" t="str">
        <f>IF(C270&lt;&gt;"",IFERROR(VLOOKUP(C270,'Personel Listesi'!$B$4:$D$303,3,0),""),"")</f>
        <v/>
      </c>
      <c r="F270" s="11"/>
      <c r="G270" s="11"/>
      <c r="H270" s="23" t="str">
        <f t="shared" si="17"/>
        <v/>
      </c>
      <c r="I270" s="24" t="str">
        <f t="shared" si="18"/>
        <v/>
      </c>
      <c r="J270" s="12" t="str">
        <f t="shared" si="19"/>
        <v/>
      </c>
      <c r="K270" s="3"/>
      <c r="L270" s="4"/>
      <c r="M270" s="4"/>
      <c r="N270" s="4"/>
      <c r="O270" s="4"/>
    </row>
    <row r="271" spans="1:15" ht="19.5" customHeight="1" x14ac:dyDescent="0.3">
      <c r="A271" s="6" t="str">
        <f t="shared" si="16"/>
        <v/>
      </c>
      <c r="B271" s="8"/>
      <c r="C271" s="7"/>
      <c r="D271" s="22" t="str">
        <f>IF(C271&lt;&gt;"",IFERROR(VLOOKUP(C271,'Personel Listesi'!$B$4:$C$303,2,0),"Bulunamadı"),"")</f>
        <v/>
      </c>
      <c r="E271" s="22" t="str">
        <f>IF(C271&lt;&gt;"",IFERROR(VLOOKUP(C271,'Personel Listesi'!$B$4:$D$303,3,0),""),"")</f>
        <v/>
      </c>
      <c r="F271" s="14"/>
      <c r="G271" s="14"/>
      <c r="H271" s="23" t="str">
        <f t="shared" si="17"/>
        <v/>
      </c>
      <c r="I271" s="24" t="str">
        <f t="shared" si="18"/>
        <v/>
      </c>
      <c r="J271" s="12" t="str">
        <f t="shared" si="19"/>
        <v/>
      </c>
      <c r="K271" s="6"/>
      <c r="L271" s="7"/>
      <c r="M271" s="7"/>
      <c r="N271" s="7"/>
      <c r="O271" s="7"/>
    </row>
    <row r="272" spans="1:15" ht="19.5" customHeight="1" x14ac:dyDescent="0.3">
      <c r="A272" s="3" t="str">
        <f t="shared" si="16"/>
        <v/>
      </c>
      <c r="B272" s="5"/>
      <c r="C272" s="4"/>
      <c r="D272" s="22" t="str">
        <f>IF(C272&lt;&gt;"",IFERROR(VLOOKUP(C272,'Personel Listesi'!$B$4:$C$303,2,0),"Bulunamadı"),"")</f>
        <v/>
      </c>
      <c r="E272" s="22" t="str">
        <f>IF(C272&lt;&gt;"",IFERROR(VLOOKUP(C272,'Personel Listesi'!$B$4:$D$303,3,0),""),"")</f>
        <v/>
      </c>
      <c r="F272" s="11"/>
      <c r="G272" s="11"/>
      <c r="H272" s="23" t="str">
        <f t="shared" si="17"/>
        <v/>
      </c>
      <c r="I272" s="24" t="str">
        <f t="shared" si="18"/>
        <v/>
      </c>
      <c r="J272" s="12" t="str">
        <f t="shared" si="19"/>
        <v/>
      </c>
      <c r="K272" s="3"/>
      <c r="L272" s="4"/>
      <c r="M272" s="4"/>
      <c r="N272" s="4"/>
      <c r="O272" s="4"/>
    </row>
    <row r="273" spans="1:15" ht="19.5" customHeight="1" x14ac:dyDescent="0.3">
      <c r="A273" s="6" t="str">
        <f t="shared" si="16"/>
        <v/>
      </c>
      <c r="B273" s="8"/>
      <c r="C273" s="7"/>
      <c r="D273" s="22" t="str">
        <f>IF(C273&lt;&gt;"",IFERROR(VLOOKUP(C273,'Personel Listesi'!$B$4:$C$303,2,0),"Bulunamadı"),"")</f>
        <v/>
      </c>
      <c r="E273" s="22" t="str">
        <f>IF(C273&lt;&gt;"",IFERROR(VLOOKUP(C273,'Personel Listesi'!$B$4:$D$303,3,0),""),"")</f>
        <v/>
      </c>
      <c r="F273" s="14"/>
      <c r="G273" s="14"/>
      <c r="H273" s="23" t="str">
        <f t="shared" si="17"/>
        <v/>
      </c>
      <c r="I273" s="24" t="str">
        <f t="shared" si="18"/>
        <v/>
      </c>
      <c r="J273" s="12" t="str">
        <f t="shared" si="19"/>
        <v/>
      </c>
      <c r="K273" s="6"/>
      <c r="L273" s="7"/>
      <c r="M273" s="7"/>
      <c r="N273" s="7"/>
      <c r="O273" s="7"/>
    </row>
    <row r="274" spans="1:15" ht="19.5" customHeight="1" x14ac:dyDescent="0.3">
      <c r="A274" s="3" t="str">
        <f t="shared" si="16"/>
        <v/>
      </c>
      <c r="B274" s="5"/>
      <c r="C274" s="4"/>
      <c r="D274" s="22" t="str">
        <f>IF(C274&lt;&gt;"",IFERROR(VLOOKUP(C274,'Personel Listesi'!$B$4:$C$303,2,0),"Bulunamadı"),"")</f>
        <v/>
      </c>
      <c r="E274" s="22" t="str">
        <f>IF(C274&lt;&gt;"",IFERROR(VLOOKUP(C274,'Personel Listesi'!$B$4:$D$303,3,0),""),"")</f>
        <v/>
      </c>
      <c r="F274" s="11"/>
      <c r="G274" s="11"/>
      <c r="H274" s="23" t="str">
        <f t="shared" si="17"/>
        <v/>
      </c>
      <c r="I274" s="24" t="str">
        <f t="shared" si="18"/>
        <v/>
      </c>
      <c r="J274" s="12" t="str">
        <f t="shared" si="19"/>
        <v/>
      </c>
      <c r="K274" s="3"/>
      <c r="L274" s="4"/>
      <c r="M274" s="4"/>
      <c r="N274" s="4"/>
      <c r="O274" s="4"/>
    </row>
    <row r="275" spans="1:15" ht="19.5" customHeight="1" x14ac:dyDescent="0.3">
      <c r="A275" s="6" t="str">
        <f t="shared" si="16"/>
        <v/>
      </c>
      <c r="B275" s="8"/>
      <c r="C275" s="7"/>
      <c r="D275" s="22" t="str">
        <f>IF(C275&lt;&gt;"",IFERROR(VLOOKUP(C275,'Personel Listesi'!$B$4:$C$303,2,0),"Bulunamadı"),"")</f>
        <v/>
      </c>
      <c r="E275" s="22" t="str">
        <f>IF(C275&lt;&gt;"",IFERROR(VLOOKUP(C275,'Personel Listesi'!$B$4:$D$303,3,0),""),"")</f>
        <v/>
      </c>
      <c r="F275" s="14"/>
      <c r="G275" s="14"/>
      <c r="H275" s="23" t="str">
        <f t="shared" si="17"/>
        <v/>
      </c>
      <c r="I275" s="24" t="str">
        <f t="shared" si="18"/>
        <v/>
      </c>
      <c r="J275" s="12" t="str">
        <f t="shared" si="19"/>
        <v/>
      </c>
      <c r="K275" s="6"/>
      <c r="L275" s="7"/>
      <c r="M275" s="7"/>
      <c r="N275" s="7"/>
      <c r="O275" s="7"/>
    </row>
    <row r="276" spans="1:15" ht="19.5" customHeight="1" x14ac:dyDescent="0.3">
      <c r="A276" s="3" t="str">
        <f t="shared" si="16"/>
        <v/>
      </c>
      <c r="B276" s="5"/>
      <c r="C276" s="4"/>
      <c r="D276" s="22" t="str">
        <f>IF(C276&lt;&gt;"",IFERROR(VLOOKUP(C276,'Personel Listesi'!$B$4:$C$303,2,0),"Bulunamadı"),"")</f>
        <v/>
      </c>
      <c r="E276" s="22" t="str">
        <f>IF(C276&lt;&gt;"",IFERROR(VLOOKUP(C276,'Personel Listesi'!$B$4:$D$303,3,0),""),"")</f>
        <v/>
      </c>
      <c r="F276" s="11"/>
      <c r="G276" s="11"/>
      <c r="H276" s="23" t="str">
        <f t="shared" si="17"/>
        <v/>
      </c>
      <c r="I276" s="24" t="str">
        <f t="shared" si="18"/>
        <v/>
      </c>
      <c r="J276" s="12" t="str">
        <f t="shared" si="19"/>
        <v/>
      </c>
      <c r="K276" s="3"/>
      <c r="L276" s="4"/>
      <c r="M276" s="4"/>
      <c r="N276" s="4"/>
      <c r="O276" s="4"/>
    </row>
    <row r="277" spans="1:15" ht="19.5" customHeight="1" x14ac:dyDescent="0.3">
      <c r="A277" s="6" t="str">
        <f t="shared" si="16"/>
        <v/>
      </c>
      <c r="B277" s="8"/>
      <c r="C277" s="7"/>
      <c r="D277" s="22" t="str">
        <f>IF(C277&lt;&gt;"",IFERROR(VLOOKUP(C277,'Personel Listesi'!$B$4:$C$303,2,0),"Bulunamadı"),"")</f>
        <v/>
      </c>
      <c r="E277" s="22" t="str">
        <f>IF(C277&lt;&gt;"",IFERROR(VLOOKUP(C277,'Personel Listesi'!$B$4:$D$303,3,0),""),"")</f>
        <v/>
      </c>
      <c r="F277" s="14"/>
      <c r="G277" s="14"/>
      <c r="H277" s="23" t="str">
        <f t="shared" si="17"/>
        <v/>
      </c>
      <c r="I277" s="24" t="str">
        <f t="shared" si="18"/>
        <v/>
      </c>
      <c r="J277" s="12" t="str">
        <f t="shared" si="19"/>
        <v/>
      </c>
      <c r="K277" s="6"/>
      <c r="L277" s="7"/>
      <c r="M277" s="7"/>
      <c r="N277" s="7"/>
      <c r="O277" s="7"/>
    </row>
    <row r="278" spans="1:15" ht="19.5" customHeight="1" x14ac:dyDescent="0.3">
      <c r="A278" s="3" t="str">
        <f t="shared" si="16"/>
        <v/>
      </c>
      <c r="B278" s="5"/>
      <c r="C278" s="4"/>
      <c r="D278" s="22" t="str">
        <f>IF(C278&lt;&gt;"",IFERROR(VLOOKUP(C278,'Personel Listesi'!$B$4:$C$303,2,0),"Bulunamadı"),"")</f>
        <v/>
      </c>
      <c r="E278" s="22" t="str">
        <f>IF(C278&lt;&gt;"",IFERROR(VLOOKUP(C278,'Personel Listesi'!$B$4:$D$303,3,0),""),"")</f>
        <v/>
      </c>
      <c r="F278" s="11"/>
      <c r="G278" s="11"/>
      <c r="H278" s="23" t="str">
        <f t="shared" si="17"/>
        <v/>
      </c>
      <c r="I278" s="24" t="str">
        <f t="shared" si="18"/>
        <v/>
      </c>
      <c r="J278" s="12" t="str">
        <f t="shared" si="19"/>
        <v/>
      </c>
      <c r="K278" s="3"/>
      <c r="L278" s="4"/>
      <c r="M278" s="4"/>
      <c r="N278" s="4"/>
      <c r="O278" s="4"/>
    </row>
    <row r="279" spans="1:15" ht="19.5" customHeight="1" x14ac:dyDescent="0.3">
      <c r="A279" s="6" t="str">
        <f t="shared" si="16"/>
        <v/>
      </c>
      <c r="B279" s="8"/>
      <c r="C279" s="7"/>
      <c r="D279" s="22" t="str">
        <f>IF(C279&lt;&gt;"",IFERROR(VLOOKUP(C279,'Personel Listesi'!$B$4:$C$303,2,0),"Bulunamadı"),"")</f>
        <v/>
      </c>
      <c r="E279" s="22" t="str">
        <f>IF(C279&lt;&gt;"",IFERROR(VLOOKUP(C279,'Personel Listesi'!$B$4:$D$303,3,0),""),"")</f>
        <v/>
      </c>
      <c r="F279" s="14"/>
      <c r="G279" s="14"/>
      <c r="H279" s="23" t="str">
        <f t="shared" si="17"/>
        <v/>
      </c>
      <c r="I279" s="24" t="str">
        <f t="shared" si="18"/>
        <v/>
      </c>
      <c r="J279" s="12" t="str">
        <f t="shared" si="19"/>
        <v/>
      </c>
      <c r="K279" s="6"/>
      <c r="L279" s="7"/>
      <c r="M279" s="7"/>
      <c r="N279" s="7"/>
      <c r="O279" s="7"/>
    </row>
    <row r="280" spans="1:15" ht="19.5" customHeight="1" x14ac:dyDescent="0.3">
      <c r="A280" s="3" t="str">
        <f t="shared" si="16"/>
        <v/>
      </c>
      <c r="B280" s="5"/>
      <c r="C280" s="4"/>
      <c r="D280" s="22" t="str">
        <f>IF(C280&lt;&gt;"",IFERROR(VLOOKUP(C280,'Personel Listesi'!$B$4:$C$303,2,0),"Bulunamadı"),"")</f>
        <v/>
      </c>
      <c r="E280" s="22" t="str">
        <f>IF(C280&lt;&gt;"",IFERROR(VLOOKUP(C280,'Personel Listesi'!$B$4:$D$303,3,0),""),"")</f>
        <v/>
      </c>
      <c r="F280" s="11"/>
      <c r="G280" s="11"/>
      <c r="H280" s="23" t="str">
        <f t="shared" si="17"/>
        <v/>
      </c>
      <c r="I280" s="24" t="str">
        <f t="shared" si="18"/>
        <v/>
      </c>
      <c r="J280" s="12" t="str">
        <f t="shared" si="19"/>
        <v/>
      </c>
      <c r="K280" s="3"/>
      <c r="L280" s="4"/>
      <c r="M280" s="4"/>
      <c r="N280" s="4"/>
      <c r="O280" s="4"/>
    </row>
    <row r="281" spans="1:15" ht="19.5" customHeight="1" x14ac:dyDescent="0.3">
      <c r="A281" s="6" t="str">
        <f t="shared" si="16"/>
        <v/>
      </c>
      <c r="B281" s="8"/>
      <c r="C281" s="7"/>
      <c r="D281" s="22" t="str">
        <f>IF(C281&lt;&gt;"",IFERROR(VLOOKUP(C281,'Personel Listesi'!$B$4:$C$303,2,0),"Bulunamadı"),"")</f>
        <v/>
      </c>
      <c r="E281" s="22" t="str">
        <f>IF(C281&lt;&gt;"",IFERROR(VLOOKUP(C281,'Personel Listesi'!$B$4:$D$303,3,0),""),"")</f>
        <v/>
      </c>
      <c r="F281" s="14"/>
      <c r="G281" s="14"/>
      <c r="H281" s="23" t="str">
        <f t="shared" si="17"/>
        <v/>
      </c>
      <c r="I281" s="24" t="str">
        <f t="shared" si="18"/>
        <v/>
      </c>
      <c r="J281" s="12" t="str">
        <f t="shared" si="19"/>
        <v/>
      </c>
      <c r="K281" s="6"/>
      <c r="L281" s="7"/>
      <c r="M281" s="7"/>
      <c r="N281" s="7"/>
      <c r="O281" s="7"/>
    </row>
    <row r="282" spans="1:15" ht="19.5" customHeight="1" x14ac:dyDescent="0.3">
      <c r="A282" s="3" t="str">
        <f t="shared" si="16"/>
        <v/>
      </c>
      <c r="B282" s="5"/>
      <c r="C282" s="4"/>
      <c r="D282" s="22" t="str">
        <f>IF(C282&lt;&gt;"",IFERROR(VLOOKUP(C282,'Personel Listesi'!$B$4:$C$303,2,0),"Bulunamadı"),"")</f>
        <v/>
      </c>
      <c r="E282" s="22" t="str">
        <f>IF(C282&lt;&gt;"",IFERROR(VLOOKUP(C282,'Personel Listesi'!$B$4:$D$303,3,0),""),"")</f>
        <v/>
      </c>
      <c r="F282" s="11"/>
      <c r="G282" s="11"/>
      <c r="H282" s="23" t="str">
        <f t="shared" si="17"/>
        <v/>
      </c>
      <c r="I282" s="24" t="str">
        <f t="shared" si="18"/>
        <v/>
      </c>
      <c r="J282" s="12" t="str">
        <f t="shared" si="19"/>
        <v/>
      </c>
      <c r="K282" s="3"/>
      <c r="L282" s="4"/>
      <c r="M282" s="4"/>
      <c r="N282" s="4"/>
      <c r="O282" s="4"/>
    </row>
    <row r="283" spans="1:15" ht="19.5" customHeight="1" x14ac:dyDescent="0.3">
      <c r="A283" s="6" t="str">
        <f t="shared" si="16"/>
        <v/>
      </c>
      <c r="B283" s="8"/>
      <c r="C283" s="7"/>
      <c r="D283" s="22" t="str">
        <f>IF(C283&lt;&gt;"",IFERROR(VLOOKUP(C283,'Personel Listesi'!$B$4:$C$303,2,0),"Bulunamadı"),"")</f>
        <v/>
      </c>
      <c r="E283" s="22" t="str">
        <f>IF(C283&lt;&gt;"",IFERROR(VLOOKUP(C283,'Personel Listesi'!$B$4:$D$303,3,0),""),"")</f>
        <v/>
      </c>
      <c r="F283" s="14"/>
      <c r="G283" s="14"/>
      <c r="H283" s="23" t="str">
        <f t="shared" si="17"/>
        <v/>
      </c>
      <c r="I283" s="24" t="str">
        <f t="shared" si="18"/>
        <v/>
      </c>
      <c r="J283" s="12" t="str">
        <f t="shared" si="19"/>
        <v/>
      </c>
      <c r="K283" s="6"/>
      <c r="L283" s="7"/>
      <c r="M283" s="7"/>
      <c r="N283" s="7"/>
      <c r="O283" s="7"/>
    </row>
    <row r="284" spans="1:15" ht="19.5" customHeight="1" x14ac:dyDescent="0.3">
      <c r="A284" s="3" t="str">
        <f t="shared" si="16"/>
        <v/>
      </c>
      <c r="B284" s="5"/>
      <c r="C284" s="4"/>
      <c r="D284" s="22" t="str">
        <f>IF(C284&lt;&gt;"",IFERROR(VLOOKUP(C284,'Personel Listesi'!$B$4:$C$303,2,0),"Bulunamadı"),"")</f>
        <v/>
      </c>
      <c r="E284" s="22" t="str">
        <f>IF(C284&lt;&gt;"",IFERROR(VLOOKUP(C284,'Personel Listesi'!$B$4:$D$303,3,0),""),"")</f>
        <v/>
      </c>
      <c r="F284" s="11"/>
      <c r="G284" s="11"/>
      <c r="H284" s="23" t="str">
        <f t="shared" si="17"/>
        <v/>
      </c>
      <c r="I284" s="24" t="str">
        <f t="shared" si="18"/>
        <v/>
      </c>
      <c r="J284" s="12" t="str">
        <f t="shared" si="19"/>
        <v/>
      </c>
      <c r="K284" s="3"/>
      <c r="L284" s="4"/>
      <c r="M284" s="4"/>
      <c r="N284" s="4"/>
      <c r="O284" s="4"/>
    </row>
    <row r="285" spans="1:15" ht="19.5" customHeight="1" x14ac:dyDescent="0.3">
      <c r="A285" s="6" t="str">
        <f t="shared" si="16"/>
        <v/>
      </c>
      <c r="B285" s="8"/>
      <c r="C285" s="7"/>
      <c r="D285" s="22" t="str">
        <f>IF(C285&lt;&gt;"",IFERROR(VLOOKUP(C285,'Personel Listesi'!$B$4:$C$303,2,0),"Bulunamadı"),"")</f>
        <v/>
      </c>
      <c r="E285" s="22" t="str">
        <f>IF(C285&lt;&gt;"",IFERROR(VLOOKUP(C285,'Personel Listesi'!$B$4:$D$303,3,0),""),"")</f>
        <v/>
      </c>
      <c r="F285" s="14"/>
      <c r="G285" s="14"/>
      <c r="H285" s="23" t="str">
        <f t="shared" si="17"/>
        <v/>
      </c>
      <c r="I285" s="24" t="str">
        <f t="shared" si="18"/>
        <v/>
      </c>
      <c r="J285" s="12" t="str">
        <f t="shared" si="19"/>
        <v/>
      </c>
      <c r="K285" s="6"/>
      <c r="L285" s="7"/>
      <c r="M285" s="7"/>
      <c r="N285" s="7"/>
      <c r="O285" s="7"/>
    </row>
    <row r="286" spans="1:15" ht="19.5" customHeight="1" x14ac:dyDescent="0.3">
      <c r="A286" s="3" t="str">
        <f t="shared" si="16"/>
        <v/>
      </c>
      <c r="B286" s="5"/>
      <c r="C286" s="4"/>
      <c r="D286" s="22" t="str">
        <f>IF(C286&lt;&gt;"",IFERROR(VLOOKUP(C286,'Personel Listesi'!$B$4:$C$303,2,0),"Bulunamadı"),"")</f>
        <v/>
      </c>
      <c r="E286" s="22" t="str">
        <f>IF(C286&lt;&gt;"",IFERROR(VLOOKUP(C286,'Personel Listesi'!$B$4:$D$303,3,0),""),"")</f>
        <v/>
      </c>
      <c r="F286" s="11"/>
      <c r="G286" s="11"/>
      <c r="H286" s="23" t="str">
        <f t="shared" si="17"/>
        <v/>
      </c>
      <c r="I286" s="24" t="str">
        <f t="shared" si="18"/>
        <v/>
      </c>
      <c r="J286" s="12" t="str">
        <f t="shared" si="19"/>
        <v/>
      </c>
      <c r="K286" s="3"/>
      <c r="L286" s="4"/>
      <c r="M286" s="4"/>
      <c r="N286" s="4"/>
      <c r="O286" s="4"/>
    </row>
    <row r="287" spans="1:15" ht="19.5" customHeight="1" x14ac:dyDescent="0.3">
      <c r="A287" s="6" t="str">
        <f t="shared" si="16"/>
        <v/>
      </c>
      <c r="B287" s="8"/>
      <c r="C287" s="7"/>
      <c r="D287" s="22" t="str">
        <f>IF(C287&lt;&gt;"",IFERROR(VLOOKUP(C287,'Personel Listesi'!$B$4:$C$303,2,0),"Bulunamadı"),"")</f>
        <v/>
      </c>
      <c r="E287" s="22" t="str">
        <f>IF(C287&lt;&gt;"",IFERROR(VLOOKUP(C287,'Personel Listesi'!$B$4:$D$303,3,0),""),"")</f>
        <v/>
      </c>
      <c r="F287" s="14"/>
      <c r="G287" s="14"/>
      <c r="H287" s="23" t="str">
        <f t="shared" si="17"/>
        <v/>
      </c>
      <c r="I287" s="24" t="str">
        <f t="shared" si="18"/>
        <v/>
      </c>
      <c r="J287" s="12" t="str">
        <f t="shared" si="19"/>
        <v/>
      </c>
      <c r="K287" s="6"/>
      <c r="L287" s="7"/>
      <c r="M287" s="7"/>
      <c r="N287" s="7"/>
      <c r="O287" s="7"/>
    </row>
    <row r="288" spans="1:15" ht="19.5" customHeight="1" x14ac:dyDescent="0.3">
      <c r="A288" s="3" t="str">
        <f t="shared" si="16"/>
        <v/>
      </c>
      <c r="B288" s="5"/>
      <c r="C288" s="4"/>
      <c r="D288" s="22" t="str">
        <f>IF(C288&lt;&gt;"",IFERROR(VLOOKUP(C288,'Personel Listesi'!$B$4:$C$303,2,0),"Bulunamadı"),"")</f>
        <v/>
      </c>
      <c r="E288" s="22" t="str">
        <f>IF(C288&lt;&gt;"",IFERROR(VLOOKUP(C288,'Personel Listesi'!$B$4:$D$303,3,0),""),"")</f>
        <v/>
      </c>
      <c r="F288" s="11"/>
      <c r="G288" s="11"/>
      <c r="H288" s="23" t="str">
        <f t="shared" si="17"/>
        <v/>
      </c>
      <c r="I288" s="24" t="str">
        <f t="shared" si="18"/>
        <v/>
      </c>
      <c r="J288" s="12" t="str">
        <f t="shared" si="19"/>
        <v/>
      </c>
      <c r="K288" s="3"/>
      <c r="L288" s="4"/>
      <c r="M288" s="4"/>
      <c r="N288" s="4"/>
      <c r="O288" s="4"/>
    </row>
    <row r="289" spans="1:15" ht="19.5" customHeight="1" x14ac:dyDescent="0.3">
      <c r="A289" s="6" t="str">
        <f t="shared" si="16"/>
        <v/>
      </c>
      <c r="B289" s="8"/>
      <c r="C289" s="7"/>
      <c r="D289" s="22" t="str">
        <f>IF(C289&lt;&gt;"",IFERROR(VLOOKUP(C289,'Personel Listesi'!$B$4:$C$303,2,0),"Bulunamadı"),"")</f>
        <v/>
      </c>
      <c r="E289" s="22" t="str">
        <f>IF(C289&lt;&gt;"",IFERROR(VLOOKUP(C289,'Personel Listesi'!$B$4:$D$303,3,0),""),"")</f>
        <v/>
      </c>
      <c r="F289" s="14"/>
      <c r="G289" s="14"/>
      <c r="H289" s="23" t="str">
        <f t="shared" si="17"/>
        <v/>
      </c>
      <c r="I289" s="24" t="str">
        <f t="shared" si="18"/>
        <v/>
      </c>
      <c r="J289" s="12" t="str">
        <f t="shared" si="19"/>
        <v/>
      </c>
      <c r="K289" s="6"/>
      <c r="L289" s="7"/>
      <c r="M289" s="7"/>
      <c r="N289" s="7"/>
      <c r="O289" s="7"/>
    </row>
    <row r="290" spans="1:15" ht="19.5" customHeight="1" x14ac:dyDescent="0.3">
      <c r="A290" s="3" t="str">
        <f t="shared" si="16"/>
        <v/>
      </c>
      <c r="B290" s="5"/>
      <c r="C290" s="4"/>
      <c r="D290" s="22" t="str">
        <f>IF(C290&lt;&gt;"",IFERROR(VLOOKUP(C290,'Personel Listesi'!$B$4:$C$303,2,0),"Bulunamadı"),"")</f>
        <v/>
      </c>
      <c r="E290" s="22" t="str">
        <f>IF(C290&lt;&gt;"",IFERROR(VLOOKUP(C290,'Personel Listesi'!$B$4:$D$303,3,0),""),"")</f>
        <v/>
      </c>
      <c r="F290" s="11"/>
      <c r="G290" s="11"/>
      <c r="H290" s="23" t="str">
        <f t="shared" si="17"/>
        <v/>
      </c>
      <c r="I290" s="24" t="str">
        <f t="shared" si="18"/>
        <v/>
      </c>
      <c r="J290" s="12" t="str">
        <f t="shared" si="19"/>
        <v/>
      </c>
      <c r="K290" s="3"/>
      <c r="L290" s="4"/>
      <c r="M290" s="4"/>
      <c r="N290" s="4"/>
      <c r="O290" s="4"/>
    </row>
    <row r="291" spans="1:15" ht="19.5" customHeight="1" x14ac:dyDescent="0.3">
      <c r="A291" s="6" t="str">
        <f t="shared" si="16"/>
        <v/>
      </c>
      <c r="B291" s="8"/>
      <c r="C291" s="7"/>
      <c r="D291" s="22" t="str">
        <f>IF(C291&lt;&gt;"",IFERROR(VLOOKUP(C291,'Personel Listesi'!$B$4:$C$303,2,0),"Bulunamadı"),"")</f>
        <v/>
      </c>
      <c r="E291" s="22" t="str">
        <f>IF(C291&lt;&gt;"",IFERROR(VLOOKUP(C291,'Personel Listesi'!$B$4:$D$303,3,0),""),"")</f>
        <v/>
      </c>
      <c r="F291" s="14"/>
      <c r="G291" s="14"/>
      <c r="H291" s="23" t="str">
        <f t="shared" si="17"/>
        <v/>
      </c>
      <c r="I291" s="24" t="str">
        <f t="shared" si="18"/>
        <v/>
      </c>
      <c r="J291" s="12" t="str">
        <f t="shared" si="19"/>
        <v/>
      </c>
      <c r="K291" s="6"/>
      <c r="L291" s="7"/>
      <c r="M291" s="7"/>
      <c r="N291" s="7"/>
      <c r="O291" s="7"/>
    </row>
    <row r="292" spans="1:15" ht="19.5" customHeight="1" x14ac:dyDescent="0.3">
      <c r="A292" s="3" t="str">
        <f t="shared" si="16"/>
        <v/>
      </c>
      <c r="B292" s="5"/>
      <c r="C292" s="4"/>
      <c r="D292" s="22" t="str">
        <f>IF(C292&lt;&gt;"",IFERROR(VLOOKUP(C292,'Personel Listesi'!$B$4:$C$303,2,0),"Bulunamadı"),"")</f>
        <v/>
      </c>
      <c r="E292" s="22" t="str">
        <f>IF(C292&lt;&gt;"",IFERROR(VLOOKUP(C292,'Personel Listesi'!$B$4:$D$303,3,0),""),"")</f>
        <v/>
      </c>
      <c r="F292" s="11"/>
      <c r="G292" s="11"/>
      <c r="H292" s="23" t="str">
        <f t="shared" si="17"/>
        <v/>
      </c>
      <c r="I292" s="24" t="str">
        <f t="shared" si="18"/>
        <v/>
      </c>
      <c r="J292" s="12" t="str">
        <f t="shared" si="19"/>
        <v/>
      </c>
      <c r="K292" s="3"/>
      <c r="L292" s="4"/>
      <c r="M292" s="4"/>
      <c r="N292" s="4"/>
      <c r="O292" s="4"/>
    </row>
    <row r="293" spans="1:15" ht="19.5" customHeight="1" x14ac:dyDescent="0.3">
      <c r="A293" s="6" t="str">
        <f t="shared" si="16"/>
        <v/>
      </c>
      <c r="B293" s="8"/>
      <c r="C293" s="7"/>
      <c r="D293" s="22" t="str">
        <f>IF(C293&lt;&gt;"",IFERROR(VLOOKUP(C293,'Personel Listesi'!$B$4:$C$303,2,0),"Bulunamadı"),"")</f>
        <v/>
      </c>
      <c r="E293" s="22" t="str">
        <f>IF(C293&lt;&gt;"",IFERROR(VLOOKUP(C293,'Personel Listesi'!$B$4:$D$303,3,0),""),"")</f>
        <v/>
      </c>
      <c r="F293" s="14"/>
      <c r="G293" s="14"/>
      <c r="H293" s="23" t="str">
        <f t="shared" si="17"/>
        <v/>
      </c>
      <c r="I293" s="24" t="str">
        <f t="shared" si="18"/>
        <v/>
      </c>
      <c r="J293" s="12" t="str">
        <f t="shared" si="19"/>
        <v/>
      </c>
      <c r="K293" s="6"/>
      <c r="L293" s="7"/>
      <c r="M293" s="7"/>
      <c r="N293" s="7"/>
      <c r="O293" s="7"/>
    </row>
    <row r="294" spans="1:15" ht="19.5" customHeight="1" x14ac:dyDescent="0.3">
      <c r="A294" s="3" t="str">
        <f t="shared" si="16"/>
        <v/>
      </c>
      <c r="B294" s="5"/>
      <c r="C294" s="4"/>
      <c r="D294" s="22" t="str">
        <f>IF(C294&lt;&gt;"",IFERROR(VLOOKUP(C294,'Personel Listesi'!$B$4:$C$303,2,0),"Bulunamadı"),"")</f>
        <v/>
      </c>
      <c r="E294" s="22" t="str">
        <f>IF(C294&lt;&gt;"",IFERROR(VLOOKUP(C294,'Personel Listesi'!$B$4:$D$303,3,0),""),"")</f>
        <v/>
      </c>
      <c r="F294" s="11"/>
      <c r="G294" s="11"/>
      <c r="H294" s="23" t="str">
        <f t="shared" si="17"/>
        <v/>
      </c>
      <c r="I294" s="24" t="str">
        <f t="shared" si="18"/>
        <v/>
      </c>
      <c r="J294" s="12" t="str">
        <f t="shared" si="19"/>
        <v/>
      </c>
      <c r="K294" s="3"/>
      <c r="L294" s="4"/>
      <c r="M294" s="4"/>
      <c r="N294" s="4"/>
      <c r="O294" s="4"/>
    </row>
    <row r="295" spans="1:15" ht="19.5" customHeight="1" x14ac:dyDescent="0.3">
      <c r="A295" s="6" t="str">
        <f t="shared" si="16"/>
        <v/>
      </c>
      <c r="B295" s="8"/>
      <c r="C295" s="7"/>
      <c r="D295" s="22" t="str">
        <f>IF(C295&lt;&gt;"",IFERROR(VLOOKUP(C295,'Personel Listesi'!$B$4:$C$303,2,0),"Bulunamadı"),"")</f>
        <v/>
      </c>
      <c r="E295" s="22" t="str">
        <f>IF(C295&lt;&gt;"",IFERROR(VLOOKUP(C295,'Personel Listesi'!$B$4:$D$303,3,0),""),"")</f>
        <v/>
      </c>
      <c r="F295" s="14"/>
      <c r="G295" s="14"/>
      <c r="H295" s="23" t="str">
        <f t="shared" si="17"/>
        <v/>
      </c>
      <c r="I295" s="24" t="str">
        <f t="shared" si="18"/>
        <v/>
      </c>
      <c r="J295" s="12" t="str">
        <f t="shared" si="19"/>
        <v/>
      </c>
      <c r="K295" s="6"/>
      <c r="L295" s="7"/>
      <c r="M295" s="7"/>
      <c r="N295" s="7"/>
      <c r="O295" s="7"/>
    </row>
    <row r="296" spans="1:15" ht="19.5" customHeight="1" x14ac:dyDescent="0.3">
      <c r="A296" s="3" t="str">
        <f t="shared" si="16"/>
        <v/>
      </c>
      <c r="B296" s="5"/>
      <c r="C296" s="4"/>
      <c r="D296" s="22" t="str">
        <f>IF(C296&lt;&gt;"",IFERROR(VLOOKUP(C296,'Personel Listesi'!$B$4:$C$303,2,0),"Bulunamadı"),"")</f>
        <v/>
      </c>
      <c r="E296" s="22" t="str">
        <f>IF(C296&lt;&gt;"",IFERROR(VLOOKUP(C296,'Personel Listesi'!$B$4:$D$303,3,0),""),"")</f>
        <v/>
      </c>
      <c r="F296" s="11"/>
      <c r="G296" s="11"/>
      <c r="H296" s="23" t="str">
        <f t="shared" si="17"/>
        <v/>
      </c>
      <c r="I296" s="24" t="str">
        <f t="shared" si="18"/>
        <v/>
      </c>
      <c r="J296" s="12" t="str">
        <f t="shared" si="19"/>
        <v/>
      </c>
      <c r="K296" s="3"/>
      <c r="L296" s="4"/>
      <c r="M296" s="4"/>
      <c r="N296" s="4"/>
      <c r="O296" s="4"/>
    </row>
    <row r="297" spans="1:15" ht="19.5" customHeight="1" x14ac:dyDescent="0.3">
      <c r="A297" s="6" t="str">
        <f t="shared" si="16"/>
        <v/>
      </c>
      <c r="B297" s="8"/>
      <c r="C297" s="7"/>
      <c r="D297" s="22" t="str">
        <f>IF(C297&lt;&gt;"",IFERROR(VLOOKUP(C297,'Personel Listesi'!$B$4:$C$303,2,0),"Bulunamadı"),"")</f>
        <v/>
      </c>
      <c r="E297" s="22" t="str">
        <f>IF(C297&lt;&gt;"",IFERROR(VLOOKUP(C297,'Personel Listesi'!$B$4:$D$303,3,0),""),"")</f>
        <v/>
      </c>
      <c r="F297" s="14"/>
      <c r="G297" s="14"/>
      <c r="H297" s="23" t="str">
        <f t="shared" si="17"/>
        <v/>
      </c>
      <c r="I297" s="24" t="str">
        <f t="shared" si="18"/>
        <v/>
      </c>
      <c r="J297" s="12" t="str">
        <f t="shared" si="19"/>
        <v/>
      </c>
      <c r="K297" s="6"/>
      <c r="L297" s="7"/>
      <c r="M297" s="7"/>
      <c r="N297" s="7"/>
      <c r="O297" s="7"/>
    </row>
    <row r="298" spans="1:15" ht="19.5" customHeight="1" x14ac:dyDescent="0.3">
      <c r="A298" s="3" t="str">
        <f t="shared" si="16"/>
        <v/>
      </c>
      <c r="B298" s="5"/>
      <c r="C298" s="4"/>
      <c r="D298" s="22" t="str">
        <f>IF(C298&lt;&gt;"",IFERROR(VLOOKUP(C298,'Personel Listesi'!$B$4:$C$303,2,0),"Bulunamadı"),"")</f>
        <v/>
      </c>
      <c r="E298" s="22" t="str">
        <f>IF(C298&lt;&gt;"",IFERROR(VLOOKUP(C298,'Personel Listesi'!$B$4:$D$303,3,0),""),"")</f>
        <v/>
      </c>
      <c r="F298" s="11"/>
      <c r="G298" s="11"/>
      <c r="H298" s="23" t="str">
        <f t="shared" si="17"/>
        <v/>
      </c>
      <c r="I298" s="24" t="str">
        <f t="shared" si="18"/>
        <v/>
      </c>
      <c r="J298" s="12" t="str">
        <f t="shared" si="19"/>
        <v/>
      </c>
      <c r="K298" s="3"/>
      <c r="L298" s="4"/>
      <c r="M298" s="4"/>
      <c r="N298" s="4"/>
      <c r="O298" s="4"/>
    </row>
    <row r="299" spans="1:15" ht="19.5" customHeight="1" x14ac:dyDescent="0.3">
      <c r="A299" s="6" t="str">
        <f t="shared" si="16"/>
        <v/>
      </c>
      <c r="B299" s="8"/>
      <c r="C299" s="7"/>
      <c r="D299" s="22" t="str">
        <f>IF(C299&lt;&gt;"",IFERROR(VLOOKUP(C299,'Personel Listesi'!$B$4:$C$303,2,0),"Bulunamadı"),"")</f>
        <v/>
      </c>
      <c r="E299" s="22" t="str">
        <f>IF(C299&lt;&gt;"",IFERROR(VLOOKUP(C299,'Personel Listesi'!$B$4:$D$303,3,0),""),"")</f>
        <v/>
      </c>
      <c r="F299" s="14"/>
      <c r="G299" s="14"/>
      <c r="H299" s="23" t="str">
        <f t="shared" si="17"/>
        <v/>
      </c>
      <c r="I299" s="24" t="str">
        <f t="shared" si="18"/>
        <v/>
      </c>
      <c r="J299" s="12" t="str">
        <f t="shared" si="19"/>
        <v/>
      </c>
      <c r="K299" s="6"/>
      <c r="L299" s="7"/>
      <c r="M299" s="7"/>
      <c r="N299" s="7"/>
      <c r="O299" s="7"/>
    </row>
    <row r="300" spans="1:15" ht="19.5" customHeight="1" x14ac:dyDescent="0.3">
      <c r="A300" s="3" t="str">
        <f t="shared" si="16"/>
        <v/>
      </c>
      <c r="B300" s="5"/>
      <c r="C300" s="4"/>
      <c r="D300" s="22" t="str">
        <f>IF(C300&lt;&gt;"",IFERROR(VLOOKUP(C300,'Personel Listesi'!$B$4:$C$303,2,0),"Bulunamadı"),"")</f>
        <v/>
      </c>
      <c r="E300" s="22" t="str">
        <f>IF(C300&lt;&gt;"",IFERROR(VLOOKUP(C300,'Personel Listesi'!$B$4:$D$303,3,0),""),"")</f>
        <v/>
      </c>
      <c r="F300" s="11"/>
      <c r="G300" s="11"/>
      <c r="H300" s="23" t="str">
        <f t="shared" si="17"/>
        <v/>
      </c>
      <c r="I300" s="24" t="str">
        <f t="shared" si="18"/>
        <v/>
      </c>
      <c r="J300" s="12" t="str">
        <f t="shared" si="19"/>
        <v/>
      </c>
      <c r="K300" s="3"/>
      <c r="L300" s="4"/>
      <c r="M300" s="4"/>
      <c r="N300" s="4"/>
      <c r="O300" s="4"/>
    </row>
    <row r="301" spans="1:15" ht="19.5" customHeight="1" x14ac:dyDescent="0.3">
      <c r="A301" s="6" t="str">
        <f t="shared" si="16"/>
        <v/>
      </c>
      <c r="B301" s="8"/>
      <c r="C301" s="7"/>
      <c r="D301" s="22" t="str">
        <f>IF(C301&lt;&gt;"",IFERROR(VLOOKUP(C301,'Personel Listesi'!$B$4:$C$303,2,0),"Bulunamadı"),"")</f>
        <v/>
      </c>
      <c r="E301" s="22" t="str">
        <f>IF(C301&lt;&gt;"",IFERROR(VLOOKUP(C301,'Personel Listesi'!$B$4:$D$303,3,0),""),"")</f>
        <v/>
      </c>
      <c r="F301" s="14"/>
      <c r="G301" s="14"/>
      <c r="H301" s="23" t="str">
        <f t="shared" si="17"/>
        <v/>
      </c>
      <c r="I301" s="24" t="str">
        <f t="shared" si="18"/>
        <v/>
      </c>
      <c r="J301" s="12" t="str">
        <f t="shared" si="19"/>
        <v/>
      </c>
      <c r="K301" s="6"/>
      <c r="L301" s="7"/>
      <c r="M301" s="7"/>
      <c r="N301" s="7"/>
      <c r="O301" s="7"/>
    </row>
    <row r="302" spans="1:15" ht="19.5" customHeight="1" x14ac:dyDescent="0.3">
      <c r="A302" s="3" t="str">
        <f t="shared" si="16"/>
        <v/>
      </c>
      <c r="B302" s="5"/>
      <c r="C302" s="4"/>
      <c r="D302" s="22" t="str">
        <f>IF(C302&lt;&gt;"",IFERROR(VLOOKUP(C302,'Personel Listesi'!$B$4:$C$303,2,0),"Bulunamadı"),"")</f>
        <v/>
      </c>
      <c r="E302" s="22" t="str">
        <f>IF(C302&lt;&gt;"",IFERROR(VLOOKUP(C302,'Personel Listesi'!$B$4:$D$303,3,0),""),"")</f>
        <v/>
      </c>
      <c r="F302" s="11"/>
      <c r="G302" s="11"/>
      <c r="H302" s="23" t="str">
        <f t="shared" si="17"/>
        <v/>
      </c>
      <c r="I302" s="24" t="str">
        <f t="shared" si="18"/>
        <v/>
      </c>
      <c r="J302" s="12" t="str">
        <f t="shared" si="19"/>
        <v/>
      </c>
      <c r="K302" s="3"/>
      <c r="L302" s="4"/>
      <c r="M302" s="4"/>
      <c r="N302" s="4"/>
      <c r="O302" s="4"/>
    </row>
    <row r="303" spans="1:15" ht="19.5" customHeight="1" x14ac:dyDescent="0.3">
      <c r="A303" s="6" t="str">
        <f t="shared" si="16"/>
        <v/>
      </c>
      <c r="B303" s="8"/>
      <c r="C303" s="7"/>
      <c r="D303" s="22" t="str">
        <f>IF(C303&lt;&gt;"",IFERROR(VLOOKUP(C303,'Personel Listesi'!$B$4:$C$303,2,0),"Bulunamadı"),"")</f>
        <v/>
      </c>
      <c r="E303" s="22" t="str">
        <f>IF(C303&lt;&gt;"",IFERROR(VLOOKUP(C303,'Personel Listesi'!$B$4:$D$303,3,0),""),"")</f>
        <v/>
      </c>
      <c r="F303" s="14"/>
      <c r="G303" s="14"/>
      <c r="H303" s="23" t="str">
        <f t="shared" si="17"/>
        <v/>
      </c>
      <c r="I303" s="24" t="str">
        <f t="shared" si="18"/>
        <v/>
      </c>
      <c r="J303" s="12" t="str">
        <f t="shared" si="19"/>
        <v/>
      </c>
      <c r="K303" s="6"/>
      <c r="L303" s="7"/>
      <c r="M303" s="7"/>
      <c r="N303" s="7"/>
      <c r="O303" s="7"/>
    </row>
    <row r="304" spans="1:15" ht="24" customHeight="1" x14ac:dyDescent="0.3">
      <c r="A304" s="41" t="s">
        <v>26</v>
      </c>
      <c r="B304" s="41"/>
      <c r="C304" s="41"/>
      <c r="D304" s="41"/>
      <c r="E304" s="41"/>
      <c r="F304" s="41"/>
      <c r="G304" s="41"/>
      <c r="H304" s="25">
        <f>IFERROR(SUM(H4:H303),0)</f>
        <v>0</v>
      </c>
      <c r="I304" s="26">
        <f>IFERROR(SUM(I4:I303),0)</f>
        <v>0</v>
      </c>
      <c r="J304" s="16">
        <f>IFERROR(SUM(J4:J303),0)</f>
        <v>0</v>
      </c>
      <c r="K304" s="42"/>
      <c r="L304" s="42"/>
      <c r="M304" s="42"/>
      <c r="N304" s="42"/>
      <c r="O304" s="42"/>
    </row>
  </sheetData>
  <mergeCells count="4">
    <mergeCell ref="A1:O1"/>
    <mergeCell ref="A2:O2"/>
    <mergeCell ref="A304:G304"/>
    <mergeCell ref="K304:O304"/>
  </mergeCells>
  <dataValidations count="2">
    <dataValidation type="list" allowBlank="1" sqref="K4:K303">
      <formula1>"Normal Mesai,Fazla Mesai,Resmi Tatil,Hafta Sonu,İzin,Rapor"</formula1>
      <formula2>0</formula2>
    </dataValidation>
    <dataValidation type="list" allowBlank="1" sqref="M4:M303">
      <formula1>"Fen İşleri Müdürlüğü,Su ve Kanalizasyon İşleri,Temizlik İşleri,Park ve Bahçeler Müdürlüğü,Diğer"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showGridLines="0" zoomScaleNormal="100" workbookViewId="0">
      <selection activeCell="A14" sqref="A14"/>
    </sheetView>
  </sheetViews>
  <sheetFormatPr defaultColWidth="8.6640625" defaultRowHeight="14.4" x14ac:dyDescent="0.3"/>
  <cols>
    <col min="1" max="1" width="16" style="1" customWidth="1"/>
    <col min="2" max="2" width="24" style="1" customWidth="1"/>
    <col min="3" max="3" width="16" style="1" customWidth="1"/>
    <col min="4" max="4" width="12" style="1" customWidth="1"/>
    <col min="5" max="5" width="9.5546875" style="1" customWidth="1"/>
    <col min="6" max="6" width="22" style="1" customWidth="1"/>
    <col min="7" max="7" width="16" style="1" customWidth="1"/>
    <col min="8" max="8" width="14" style="1" customWidth="1"/>
  </cols>
  <sheetData>
    <row r="1" spans="1:8" ht="87.6" customHeight="1" x14ac:dyDescent="0.3">
      <c r="A1" s="39" t="s">
        <v>73</v>
      </c>
      <c r="B1" s="39"/>
      <c r="C1" s="39"/>
      <c r="D1" s="39"/>
      <c r="E1" s="39"/>
      <c r="F1" s="39"/>
      <c r="G1" s="39"/>
      <c r="H1" s="39"/>
    </row>
    <row r="2" spans="1:8" ht="21.75" customHeight="1" x14ac:dyDescent="0.3">
      <c r="A2" s="64" t="s">
        <v>36</v>
      </c>
      <c r="B2" s="64"/>
      <c r="C2" s="64"/>
      <c r="D2" s="64"/>
      <c r="E2" s="64"/>
      <c r="F2" s="64"/>
      <c r="G2" s="64"/>
      <c r="H2" s="64"/>
    </row>
    <row r="4" spans="1:8" ht="25.5" customHeight="1" x14ac:dyDescent="0.3">
      <c r="A4" s="65" t="s">
        <v>37</v>
      </c>
      <c r="B4" s="65"/>
      <c r="C4" s="66" t="s">
        <v>38</v>
      </c>
      <c r="D4" s="66"/>
      <c r="E4" s="52" t="s">
        <v>39</v>
      </c>
      <c r="F4" s="52"/>
      <c r="G4" s="66" t="s">
        <v>40</v>
      </c>
      <c r="H4" s="66"/>
    </row>
    <row r="5" spans="1:8" ht="25.5" customHeight="1" x14ac:dyDescent="0.3">
      <c r="A5" s="58">
        <f>COUNTIF('Araç Günlük Takip'!B4:B303,"&lt;&gt;")</f>
        <v>0</v>
      </c>
      <c r="B5" s="58"/>
      <c r="C5" s="59">
        <f>IFERROR(SUM('Araç Günlük Takip'!J4:J303),0)</f>
        <v>0</v>
      </c>
      <c r="D5" s="59"/>
      <c r="E5" s="60">
        <f>IFERROR(SUM('Araç Günlük Takip'!K4:K303),0)</f>
        <v>0</v>
      </c>
      <c r="F5" s="60"/>
      <c r="G5" s="61">
        <f>COUNTIF('Personel Günlük Takip'!B4:B303,"&lt;&gt;")</f>
        <v>0</v>
      </c>
      <c r="H5" s="61"/>
    </row>
    <row r="6" spans="1:8" ht="25.5" customHeight="1" x14ac:dyDescent="0.3">
      <c r="A6" s="62" t="s">
        <v>41</v>
      </c>
      <c r="B6" s="62"/>
      <c r="C6" s="63" t="s">
        <v>42</v>
      </c>
      <c r="D6" s="63"/>
      <c r="E6" s="46" t="s">
        <v>43</v>
      </c>
      <c r="F6" s="46"/>
      <c r="G6" s="63" t="s">
        <v>41</v>
      </c>
      <c r="H6" s="63"/>
    </row>
    <row r="8" spans="1:8" ht="25.5" customHeight="1" x14ac:dyDescent="0.3">
      <c r="A8" s="50" t="s">
        <v>44</v>
      </c>
      <c r="B8" s="50"/>
      <c r="C8" s="51" t="s">
        <v>45</v>
      </c>
      <c r="D8" s="51"/>
      <c r="E8" s="52" t="s">
        <v>46</v>
      </c>
      <c r="F8" s="52"/>
      <c r="G8" s="53" t="s">
        <v>47</v>
      </c>
      <c r="H8" s="53"/>
    </row>
    <row r="9" spans="1:8" ht="25.5" customHeight="1" x14ac:dyDescent="0.3">
      <c r="A9" s="54">
        <f>IFERROR(SUM('Personel Günlük Takip'!H4:H303),0)</f>
        <v>0</v>
      </c>
      <c r="B9" s="54"/>
      <c r="C9" s="55">
        <f>IFERROR(SUM('Personel Günlük Takip'!I4:I303),0)</f>
        <v>0</v>
      </c>
      <c r="D9" s="55"/>
      <c r="E9" s="56">
        <f>IFERROR(SUM('Personel Günlük Takip'!J4:J303),0)</f>
        <v>0</v>
      </c>
      <c r="F9" s="56"/>
      <c r="G9" s="57">
        <f>COUNTIF('Personel Günlük Takip'!K4:K303,"Fazla Mesai")</f>
        <v>0</v>
      </c>
      <c r="H9" s="57"/>
    </row>
    <row r="10" spans="1:8" ht="25.5" customHeight="1" x14ac:dyDescent="0.3">
      <c r="A10" s="44" t="s">
        <v>48</v>
      </c>
      <c r="B10" s="44"/>
      <c r="C10" s="45" t="s">
        <v>49</v>
      </c>
      <c r="D10" s="45"/>
      <c r="E10" s="46" t="s">
        <v>50</v>
      </c>
      <c r="F10" s="46"/>
      <c r="G10" s="47" t="s">
        <v>51</v>
      </c>
      <c r="H10" s="47"/>
    </row>
    <row r="11" spans="1:8" ht="15.75" customHeight="1" x14ac:dyDescent="0.3"/>
    <row r="12" spans="1:8" ht="30" customHeight="1" x14ac:dyDescent="0.3">
      <c r="A12" s="48" t="s">
        <v>52</v>
      </c>
      <c r="B12" s="48"/>
      <c r="C12" s="48"/>
      <c r="D12" s="48"/>
      <c r="F12" s="49" t="s">
        <v>53</v>
      </c>
      <c r="G12" s="49"/>
      <c r="H12" s="49"/>
    </row>
    <row r="13" spans="1:8" ht="33.75" customHeight="1" x14ac:dyDescent="0.3">
      <c r="A13" s="27" t="s">
        <v>54</v>
      </c>
      <c r="B13" s="27" t="s">
        <v>55</v>
      </c>
      <c r="C13" s="27" t="s">
        <v>56</v>
      </c>
      <c r="D13" s="27" t="s">
        <v>57</v>
      </c>
      <c r="F13" s="27" t="s">
        <v>2</v>
      </c>
      <c r="G13" s="27" t="s">
        <v>58</v>
      </c>
      <c r="H13" s="27" t="s">
        <v>59</v>
      </c>
    </row>
    <row r="14" spans="1:8" ht="19.5" customHeight="1" x14ac:dyDescent="0.3">
      <c r="A14" s="3">
        <f>IFERROR(INDEX('Araç Listesi'!$B$4:$B$303,SMALL(IF('Araç Listesi'!$B$4:$B$303&lt;&gt;"",ROW('Araç Listesi'!$B$4:$B$303)-3),1)),"")</f>
        <v>0</v>
      </c>
      <c r="B14" s="10" t="str">
        <f>IF(A14&lt;&gt;"",IFERROR(VLOOKUP(A14,'Araç Listesi'!$B$4:$C$303,2,0),""),"")</f>
        <v/>
      </c>
      <c r="C14" s="28">
        <f>IF(A14&lt;&gt;"",IFERROR(SUMIF('Araç Günlük Takip'!$C$4:$C$303,A14,'Araç Günlük Takip'!$J$4:$J$303),0),"")</f>
        <v>0</v>
      </c>
      <c r="D14" s="29">
        <f>IF(A14&lt;&gt;"",IFERROR(SUMIF('Araç Günlük Takip'!$C$4:$C$303,A14,'Araç Günlük Takip'!$K$4:$K$303),0),"")</f>
        <v>0</v>
      </c>
      <c r="F14" s="4">
        <f>IFERROR(INDEX('Personel Listesi'!$B$4:$B$303,SMALL(IF('Personel Listesi'!$B$4:$B$303&lt;&gt;"",ROW('Personel Listesi'!$B$4:$B$303)-3),1)),"")</f>
        <v>0</v>
      </c>
      <c r="G14" s="23">
        <f>IF(F14&lt;&gt;"",IFERROR(SUMIF('Personel Günlük Takip'!$C$4:$C$303,F14,'Personel Günlük Takip'!$H$4:$H$303),0),"")</f>
        <v>0</v>
      </c>
      <c r="H14" s="24">
        <f>IF(F14&lt;&gt;"",IFERROR(SUMIF('Personel Günlük Takip'!$C$4:$C$303,F14,'Personel Günlük Takip'!$I$4:$I$303),0),"")</f>
        <v>0</v>
      </c>
    </row>
    <row r="15" spans="1:8" ht="19.5" customHeight="1" x14ac:dyDescent="0.3">
      <c r="A15" s="6" t="str">
        <f>IFERROR(INDEX('Araç Listesi'!$B$4:$B$303,SMALL(IF('Araç Listesi'!$B$4:$B$303&lt;&gt;"",ROW('Araç Listesi'!$B$4:$B$303)-3),2)),"")</f>
        <v/>
      </c>
      <c r="B15" s="10" t="str">
        <f>IF(A15&lt;&gt;"",IFERROR(VLOOKUP(A15,'Araç Listesi'!$B$4:$C$303,2,0),""),"")</f>
        <v/>
      </c>
      <c r="C15" s="28" t="str">
        <f>IF(A15&lt;&gt;"",IFERROR(SUMIF('Araç Günlük Takip'!$C$4:$C$303,A15,'Araç Günlük Takip'!$J$4:$J$303),0),"")</f>
        <v/>
      </c>
      <c r="D15" s="29" t="str">
        <f>IF(A15&lt;&gt;"",IFERROR(SUMIF('Araç Günlük Takip'!$C$4:$C$303,A15,'Araç Günlük Takip'!$K$4:$K$303),0),"")</f>
        <v/>
      </c>
      <c r="F15" s="7" t="str">
        <f>IFERROR(INDEX('Personel Listesi'!$B$4:$B$303,SMALL(IF('Personel Listesi'!$B$4:$B$303&lt;&gt;"",ROW('Personel Listesi'!$B$4:$B$303)-3),2)),"")</f>
        <v/>
      </c>
      <c r="G15" s="23" t="str">
        <f>IF(F15&lt;&gt;"",IFERROR(SUMIF('Personel Günlük Takip'!$C$4:$C$303,F15,'Personel Günlük Takip'!$H$4:$H$303),0),"")</f>
        <v/>
      </c>
      <c r="H15" s="24" t="str">
        <f>IF(F15&lt;&gt;"",IFERROR(SUMIF('Personel Günlük Takip'!$C$4:$C$303,F15,'Personel Günlük Takip'!$I$4:$I$303),0),"")</f>
        <v/>
      </c>
    </row>
    <row r="16" spans="1:8" ht="19.5" customHeight="1" x14ac:dyDescent="0.3">
      <c r="A16" s="3" t="str">
        <f>IFERROR(INDEX('Araç Listesi'!$B$4:$B$303,SMALL(IF('Araç Listesi'!$B$4:$B$303&lt;&gt;"",ROW('Araç Listesi'!$B$4:$B$303)-3),3)),"")</f>
        <v/>
      </c>
      <c r="B16" s="10" t="str">
        <f>IF(A16&lt;&gt;"",IFERROR(VLOOKUP(A16,'Araç Listesi'!$B$4:$C$303,2,0),""),"")</f>
        <v/>
      </c>
      <c r="C16" s="28" t="str">
        <f>IF(A16&lt;&gt;"",IFERROR(SUMIF('Araç Günlük Takip'!$C$4:$C$303,A16,'Araç Günlük Takip'!$J$4:$J$303),0),"")</f>
        <v/>
      </c>
      <c r="D16" s="29" t="str">
        <f>IF(A16&lt;&gt;"",IFERROR(SUMIF('Araç Günlük Takip'!$C$4:$C$303,A16,'Araç Günlük Takip'!$K$4:$K$303),0),"")</f>
        <v/>
      </c>
      <c r="F16" s="4" t="str">
        <f>IFERROR(INDEX('Personel Listesi'!$B$4:$B$303,SMALL(IF('Personel Listesi'!$B$4:$B$303&lt;&gt;"",ROW('Personel Listesi'!$B$4:$B$303)-3),3)),"")</f>
        <v/>
      </c>
      <c r="G16" s="23" t="str">
        <f>IF(F16&lt;&gt;"",IFERROR(SUMIF('Personel Günlük Takip'!$C$4:$C$303,F16,'Personel Günlük Takip'!$H$4:$H$303),0),"")</f>
        <v/>
      </c>
      <c r="H16" s="24" t="str">
        <f>IF(F16&lt;&gt;"",IFERROR(SUMIF('Personel Günlük Takip'!$C$4:$C$303,F16,'Personel Günlük Takip'!$I$4:$I$303),0),"")</f>
        <v/>
      </c>
    </row>
    <row r="17" spans="1:8" ht="19.5" customHeight="1" x14ac:dyDescent="0.3">
      <c r="A17" s="6" t="str">
        <f>IFERROR(INDEX('Araç Listesi'!$B$4:$B$303,SMALL(IF('Araç Listesi'!$B$4:$B$303&lt;&gt;"",ROW('Araç Listesi'!$B$4:$B$303)-3),4)),"")</f>
        <v/>
      </c>
      <c r="B17" s="10" t="str">
        <f>IF(A17&lt;&gt;"",IFERROR(VLOOKUP(A17,'Araç Listesi'!$B$4:$C$303,2,0),""),"")</f>
        <v/>
      </c>
      <c r="C17" s="28" t="str">
        <f>IF(A17&lt;&gt;"",IFERROR(SUMIF('Araç Günlük Takip'!$C$4:$C$303,A17,'Araç Günlük Takip'!$J$4:$J$303),0),"")</f>
        <v/>
      </c>
      <c r="D17" s="29" t="str">
        <f>IF(A17&lt;&gt;"",IFERROR(SUMIF('Araç Günlük Takip'!$C$4:$C$303,A17,'Araç Günlük Takip'!$K$4:$K$303),0),"")</f>
        <v/>
      </c>
      <c r="F17" s="7" t="str">
        <f>IFERROR(INDEX('Personel Listesi'!$B$4:$B$303,SMALL(IF('Personel Listesi'!$B$4:$B$303&lt;&gt;"",ROW('Personel Listesi'!$B$4:$B$303)-3),4)),"")</f>
        <v/>
      </c>
      <c r="G17" s="23" t="str">
        <f>IF(F17&lt;&gt;"",IFERROR(SUMIF('Personel Günlük Takip'!$C$4:$C$303,F17,'Personel Günlük Takip'!$H$4:$H$303),0),"")</f>
        <v/>
      </c>
      <c r="H17" s="24" t="str">
        <f>IF(F17&lt;&gt;"",IFERROR(SUMIF('Personel Günlük Takip'!$C$4:$C$303,F17,'Personel Günlük Takip'!$I$4:$I$303),0),"")</f>
        <v/>
      </c>
    </row>
    <row r="18" spans="1:8" ht="19.5" customHeight="1" x14ac:dyDescent="0.3">
      <c r="A18" s="3" t="str">
        <f>IFERROR(INDEX('Araç Listesi'!$B$4:$B$303,SMALL(IF('Araç Listesi'!$B$4:$B$303&lt;&gt;"",ROW('Araç Listesi'!$B$4:$B$303)-3),5)),"")</f>
        <v/>
      </c>
      <c r="B18" s="10" t="str">
        <f>IF(A18&lt;&gt;"",IFERROR(VLOOKUP(A18,'Araç Listesi'!$B$4:$C$303,2,0),""),"")</f>
        <v/>
      </c>
      <c r="C18" s="28" t="str">
        <f>IF(A18&lt;&gt;"",IFERROR(SUMIF('Araç Günlük Takip'!$C$4:$C$303,A18,'Araç Günlük Takip'!$J$4:$J$303),0),"")</f>
        <v/>
      </c>
      <c r="D18" s="29" t="str">
        <f>IF(A18&lt;&gt;"",IFERROR(SUMIF('Araç Günlük Takip'!$C$4:$C$303,A18,'Araç Günlük Takip'!$K$4:$K$303),0),"")</f>
        <v/>
      </c>
      <c r="F18" s="4" t="str">
        <f>IFERROR(INDEX('Personel Listesi'!$B$4:$B$303,SMALL(IF('Personel Listesi'!$B$4:$B$303&lt;&gt;"",ROW('Personel Listesi'!$B$4:$B$303)-3),5)),"")</f>
        <v/>
      </c>
      <c r="G18" s="23" t="str">
        <f>IF(F18&lt;&gt;"",IFERROR(SUMIF('Personel Günlük Takip'!$C$4:$C$303,F18,'Personel Günlük Takip'!$H$4:$H$303),0),"")</f>
        <v/>
      </c>
      <c r="H18" s="24" t="str">
        <f>IF(F18&lt;&gt;"",IFERROR(SUMIF('Personel Günlük Takip'!$C$4:$C$303,F18,'Personel Günlük Takip'!$I$4:$I$303),0),"")</f>
        <v/>
      </c>
    </row>
    <row r="19" spans="1:8" ht="19.5" customHeight="1" x14ac:dyDescent="0.3">
      <c r="A19" s="6" t="str">
        <f>IFERROR(INDEX('Araç Listesi'!$B$4:$B$303,SMALL(IF('Araç Listesi'!$B$4:$B$303&lt;&gt;"",ROW('Araç Listesi'!$B$4:$B$303)-3),6)),"")</f>
        <v/>
      </c>
      <c r="B19" s="10" t="str">
        <f>IF(A19&lt;&gt;"",IFERROR(VLOOKUP(A19,'Araç Listesi'!$B$4:$C$303,2,0),""),"")</f>
        <v/>
      </c>
      <c r="C19" s="28" t="str">
        <f>IF(A19&lt;&gt;"",IFERROR(SUMIF('Araç Günlük Takip'!$C$4:$C$303,A19,'Araç Günlük Takip'!$J$4:$J$303),0),"")</f>
        <v/>
      </c>
      <c r="D19" s="29" t="str">
        <f>IF(A19&lt;&gt;"",IFERROR(SUMIF('Araç Günlük Takip'!$C$4:$C$303,A19,'Araç Günlük Takip'!$K$4:$K$303),0),"")</f>
        <v/>
      </c>
      <c r="F19" s="7" t="str">
        <f>IFERROR(INDEX('Personel Listesi'!$B$4:$B$303,SMALL(IF('Personel Listesi'!$B$4:$B$303&lt;&gt;"",ROW('Personel Listesi'!$B$4:$B$303)-3),6)),"")</f>
        <v/>
      </c>
      <c r="G19" s="23" t="str">
        <f>IF(F19&lt;&gt;"",IFERROR(SUMIF('Personel Günlük Takip'!$C$4:$C$303,F19,'Personel Günlük Takip'!$H$4:$H$303),0),"")</f>
        <v/>
      </c>
      <c r="H19" s="24" t="str">
        <f>IF(F19&lt;&gt;"",IFERROR(SUMIF('Personel Günlük Takip'!$C$4:$C$303,F19,'Personel Günlük Takip'!$I$4:$I$303),0),"")</f>
        <v/>
      </c>
    </row>
    <row r="20" spans="1:8" ht="19.5" customHeight="1" x14ac:dyDescent="0.3">
      <c r="A20" s="3" t="str">
        <f>IFERROR(INDEX('Araç Listesi'!$B$4:$B$303,SMALL(IF('Araç Listesi'!$B$4:$B$303&lt;&gt;"",ROW('Araç Listesi'!$B$4:$B$303)-3),7)),"")</f>
        <v/>
      </c>
      <c r="B20" s="10" t="str">
        <f>IF(A20&lt;&gt;"",IFERROR(VLOOKUP(A20,'Araç Listesi'!$B$4:$C$303,2,0),""),"")</f>
        <v/>
      </c>
      <c r="C20" s="28" t="str">
        <f>IF(A20&lt;&gt;"",IFERROR(SUMIF('Araç Günlük Takip'!$C$4:$C$303,A20,'Araç Günlük Takip'!$J$4:$J$303),0),"")</f>
        <v/>
      </c>
      <c r="D20" s="29" t="str">
        <f>IF(A20&lt;&gt;"",IFERROR(SUMIF('Araç Günlük Takip'!$C$4:$C$303,A20,'Araç Günlük Takip'!$K$4:$K$303),0),"")</f>
        <v/>
      </c>
      <c r="F20" s="4" t="str">
        <f>IFERROR(INDEX('Personel Listesi'!$B$4:$B$303,SMALL(IF('Personel Listesi'!$B$4:$B$303&lt;&gt;"",ROW('Personel Listesi'!$B$4:$B$303)-3),7)),"")</f>
        <v/>
      </c>
      <c r="G20" s="23" t="str">
        <f>IF(F20&lt;&gt;"",IFERROR(SUMIF('Personel Günlük Takip'!$C$4:$C$303,F20,'Personel Günlük Takip'!$H$4:$H$303),0),"")</f>
        <v/>
      </c>
      <c r="H20" s="24" t="str">
        <f>IF(F20&lt;&gt;"",IFERROR(SUMIF('Personel Günlük Takip'!$C$4:$C$303,F20,'Personel Günlük Takip'!$I$4:$I$303),0),"")</f>
        <v/>
      </c>
    </row>
    <row r="21" spans="1:8" ht="19.5" customHeight="1" x14ac:dyDescent="0.3">
      <c r="A21" s="6" t="str">
        <f>IFERROR(INDEX('Araç Listesi'!$B$4:$B$303,SMALL(IF('Araç Listesi'!$B$4:$B$303&lt;&gt;"",ROW('Araç Listesi'!$B$4:$B$303)-3),8)),"")</f>
        <v/>
      </c>
      <c r="B21" s="10" t="str">
        <f>IF(A21&lt;&gt;"",IFERROR(VLOOKUP(A21,'Araç Listesi'!$B$4:$C$303,2,0),""),"")</f>
        <v/>
      </c>
      <c r="C21" s="28" t="str">
        <f>IF(A21&lt;&gt;"",IFERROR(SUMIF('Araç Günlük Takip'!$C$4:$C$303,A21,'Araç Günlük Takip'!$J$4:$J$303),0),"")</f>
        <v/>
      </c>
      <c r="D21" s="29" t="str">
        <f>IF(A21&lt;&gt;"",IFERROR(SUMIF('Araç Günlük Takip'!$C$4:$C$303,A21,'Araç Günlük Takip'!$K$4:$K$303),0),"")</f>
        <v/>
      </c>
      <c r="F21" s="7" t="str">
        <f>IFERROR(INDEX('Personel Listesi'!$B$4:$B$303,SMALL(IF('Personel Listesi'!$B$4:$B$303&lt;&gt;"",ROW('Personel Listesi'!$B$4:$B$303)-3),8)),"")</f>
        <v/>
      </c>
      <c r="G21" s="23" t="str">
        <f>IF(F21&lt;&gt;"",IFERROR(SUMIF('Personel Günlük Takip'!$C$4:$C$303,F21,'Personel Günlük Takip'!$H$4:$H$303),0),"")</f>
        <v/>
      </c>
      <c r="H21" s="24" t="str">
        <f>IF(F21&lt;&gt;"",IFERROR(SUMIF('Personel Günlük Takip'!$C$4:$C$303,F21,'Personel Günlük Takip'!$I$4:$I$303),0),"")</f>
        <v/>
      </c>
    </row>
    <row r="22" spans="1:8" ht="19.5" customHeight="1" x14ac:dyDescent="0.3">
      <c r="A22" s="3" t="str">
        <f>IFERROR(INDEX('Araç Listesi'!$B$4:$B$303,SMALL(IF('Araç Listesi'!$B$4:$B$303&lt;&gt;"",ROW('Araç Listesi'!$B$4:$B$303)-3),9)),"")</f>
        <v/>
      </c>
      <c r="B22" s="10" t="str">
        <f>IF(A22&lt;&gt;"",IFERROR(VLOOKUP(A22,'Araç Listesi'!$B$4:$C$303,2,0),""),"")</f>
        <v/>
      </c>
      <c r="C22" s="28" t="str">
        <f>IF(A22&lt;&gt;"",IFERROR(SUMIF('Araç Günlük Takip'!$C$4:$C$303,A22,'Araç Günlük Takip'!$J$4:$J$303),0),"")</f>
        <v/>
      </c>
      <c r="D22" s="29" t="str">
        <f>IF(A22&lt;&gt;"",IFERROR(SUMIF('Araç Günlük Takip'!$C$4:$C$303,A22,'Araç Günlük Takip'!$K$4:$K$303),0),"")</f>
        <v/>
      </c>
      <c r="F22" s="4" t="str">
        <f>IFERROR(INDEX('Personel Listesi'!$B$4:$B$303,SMALL(IF('Personel Listesi'!$B$4:$B$303&lt;&gt;"",ROW('Personel Listesi'!$B$4:$B$303)-3),9)),"")</f>
        <v/>
      </c>
      <c r="G22" s="23" t="str">
        <f>IF(F22&lt;&gt;"",IFERROR(SUMIF('Personel Günlük Takip'!$C$4:$C$303,F22,'Personel Günlük Takip'!$H$4:$H$303),0),"")</f>
        <v/>
      </c>
      <c r="H22" s="24" t="str">
        <f>IF(F22&lt;&gt;"",IFERROR(SUMIF('Personel Günlük Takip'!$C$4:$C$303,F22,'Personel Günlük Takip'!$I$4:$I$303),0),"")</f>
        <v/>
      </c>
    </row>
    <row r="23" spans="1:8" ht="19.5" customHeight="1" x14ac:dyDescent="0.3">
      <c r="A23" s="6" t="str">
        <f>IFERROR(INDEX('Araç Listesi'!$B$4:$B$303,SMALL(IF('Araç Listesi'!$B$4:$B$303&lt;&gt;"",ROW('Araç Listesi'!$B$4:$B$303)-3),10)),"")</f>
        <v/>
      </c>
      <c r="B23" s="10" t="str">
        <f>IF(A23&lt;&gt;"",IFERROR(VLOOKUP(A23,'Araç Listesi'!$B$4:$C$303,2,0),""),"")</f>
        <v/>
      </c>
      <c r="C23" s="28" t="str">
        <f>IF(A23&lt;&gt;"",IFERROR(SUMIF('Araç Günlük Takip'!$C$4:$C$303,A23,'Araç Günlük Takip'!$J$4:$J$303),0),"")</f>
        <v/>
      </c>
      <c r="D23" s="29" t="str">
        <f>IF(A23&lt;&gt;"",IFERROR(SUMIF('Araç Günlük Takip'!$C$4:$C$303,A23,'Araç Günlük Takip'!$K$4:$K$303),0),"")</f>
        <v/>
      </c>
      <c r="F23" s="7" t="str">
        <f>IFERROR(INDEX('Personel Listesi'!$B$4:$B$303,SMALL(IF('Personel Listesi'!$B$4:$B$303&lt;&gt;"",ROW('Personel Listesi'!$B$4:$B$303)-3),10)),"")</f>
        <v/>
      </c>
      <c r="G23" s="23" t="str">
        <f>IF(F23&lt;&gt;"",IFERROR(SUMIF('Personel Günlük Takip'!$C$4:$C$303,F23,'Personel Günlük Takip'!$H$4:$H$303),0),"")</f>
        <v/>
      </c>
      <c r="H23" s="24" t="str">
        <f>IF(F23&lt;&gt;"",IFERROR(SUMIF('Personel Günlük Takip'!$C$4:$C$303,F23,'Personel Günlük Takip'!$I$4:$I$303),0),"")</f>
        <v/>
      </c>
    </row>
    <row r="24" spans="1:8" ht="19.5" customHeight="1" x14ac:dyDescent="0.3">
      <c r="A24" s="3" t="str">
        <f>IFERROR(INDEX('Araç Listesi'!$B$4:$B$303,SMALL(IF('Araç Listesi'!$B$4:$B$303&lt;&gt;"",ROW('Araç Listesi'!$B$4:$B$303)-3),11)),"")</f>
        <v/>
      </c>
      <c r="B24" s="10" t="str">
        <f>IF(A24&lt;&gt;"",IFERROR(VLOOKUP(A24,'Araç Listesi'!$B$4:$C$303,2,0),""),"")</f>
        <v/>
      </c>
      <c r="C24" s="28" t="str">
        <f>IF(A24&lt;&gt;"",IFERROR(SUMIF('Araç Günlük Takip'!$C$4:$C$303,A24,'Araç Günlük Takip'!$J$4:$J$303),0),"")</f>
        <v/>
      </c>
      <c r="D24" s="29" t="str">
        <f>IF(A24&lt;&gt;"",IFERROR(SUMIF('Araç Günlük Takip'!$C$4:$C$303,A24,'Araç Günlük Takip'!$K$4:$K$303),0),"")</f>
        <v/>
      </c>
      <c r="F24" s="4" t="str">
        <f>IFERROR(INDEX('Personel Listesi'!$B$4:$B$303,SMALL(IF('Personel Listesi'!$B$4:$B$303&lt;&gt;"",ROW('Personel Listesi'!$B$4:$B$303)-3),11)),"")</f>
        <v/>
      </c>
      <c r="G24" s="23" t="str">
        <f>IF(F24&lt;&gt;"",IFERROR(SUMIF('Personel Günlük Takip'!$C$4:$C$303,F24,'Personel Günlük Takip'!$H$4:$H$303),0),"")</f>
        <v/>
      </c>
      <c r="H24" s="24" t="str">
        <f>IF(F24&lt;&gt;"",IFERROR(SUMIF('Personel Günlük Takip'!$C$4:$C$303,F24,'Personel Günlük Takip'!$I$4:$I$303),0),"")</f>
        <v/>
      </c>
    </row>
    <row r="25" spans="1:8" ht="19.5" customHeight="1" x14ac:dyDescent="0.3">
      <c r="A25" s="6" t="str">
        <f>IFERROR(INDEX('Araç Listesi'!$B$4:$B$303,SMALL(IF('Araç Listesi'!$B$4:$B$303&lt;&gt;"",ROW('Araç Listesi'!$B$4:$B$303)-3),12)),"")</f>
        <v/>
      </c>
      <c r="B25" s="10" t="str">
        <f>IF(A25&lt;&gt;"",IFERROR(VLOOKUP(A25,'Araç Listesi'!$B$4:$C$303,2,0),""),"")</f>
        <v/>
      </c>
      <c r="C25" s="28" t="str">
        <f>IF(A25&lt;&gt;"",IFERROR(SUMIF('Araç Günlük Takip'!$C$4:$C$303,A25,'Araç Günlük Takip'!$J$4:$J$303),0),"")</f>
        <v/>
      </c>
      <c r="D25" s="29" t="str">
        <f>IF(A25&lt;&gt;"",IFERROR(SUMIF('Araç Günlük Takip'!$C$4:$C$303,A25,'Araç Günlük Takip'!$K$4:$K$303),0),"")</f>
        <v/>
      </c>
      <c r="F25" s="7" t="str">
        <f>IFERROR(INDEX('Personel Listesi'!$B$4:$B$303,SMALL(IF('Personel Listesi'!$B$4:$B$303&lt;&gt;"",ROW('Personel Listesi'!$B$4:$B$303)-3),12)),"")</f>
        <v/>
      </c>
      <c r="G25" s="23" t="str">
        <f>IF(F25&lt;&gt;"",IFERROR(SUMIF('Personel Günlük Takip'!$C$4:$C$303,F25,'Personel Günlük Takip'!$H$4:$H$303),0),"")</f>
        <v/>
      </c>
      <c r="H25" s="24" t="str">
        <f>IF(F25&lt;&gt;"",IFERROR(SUMIF('Personel Günlük Takip'!$C$4:$C$303,F25,'Personel Günlük Takip'!$I$4:$I$303),0),"")</f>
        <v/>
      </c>
    </row>
    <row r="26" spans="1:8" ht="19.5" customHeight="1" x14ac:dyDescent="0.3">
      <c r="A26" s="3" t="str">
        <f>IFERROR(INDEX('Araç Listesi'!$B$4:$B$303,SMALL(IF('Araç Listesi'!$B$4:$B$303&lt;&gt;"",ROW('Araç Listesi'!$B$4:$B$303)-3),13)),"")</f>
        <v/>
      </c>
      <c r="B26" s="10" t="str">
        <f>IF(A26&lt;&gt;"",IFERROR(VLOOKUP(A26,'Araç Listesi'!$B$4:$C$303,2,0),""),"")</f>
        <v/>
      </c>
      <c r="C26" s="28" t="str">
        <f>IF(A26&lt;&gt;"",IFERROR(SUMIF('Araç Günlük Takip'!$C$4:$C$303,A26,'Araç Günlük Takip'!$J$4:$J$303),0),"")</f>
        <v/>
      </c>
      <c r="D26" s="29" t="str">
        <f>IF(A26&lt;&gt;"",IFERROR(SUMIF('Araç Günlük Takip'!$C$4:$C$303,A26,'Araç Günlük Takip'!$K$4:$K$303),0),"")</f>
        <v/>
      </c>
      <c r="F26" s="4" t="str">
        <f>IFERROR(INDEX('Personel Listesi'!$B$4:$B$303,SMALL(IF('Personel Listesi'!$B$4:$B$303&lt;&gt;"",ROW('Personel Listesi'!$B$4:$B$303)-3),13)),"")</f>
        <v/>
      </c>
      <c r="G26" s="23" t="str">
        <f>IF(F26&lt;&gt;"",IFERROR(SUMIF('Personel Günlük Takip'!$C$4:$C$303,F26,'Personel Günlük Takip'!$H$4:$H$303),0),"")</f>
        <v/>
      </c>
      <c r="H26" s="24" t="str">
        <f>IF(F26&lt;&gt;"",IFERROR(SUMIF('Personel Günlük Takip'!$C$4:$C$303,F26,'Personel Günlük Takip'!$I$4:$I$303),0),"")</f>
        <v/>
      </c>
    </row>
    <row r="27" spans="1:8" ht="19.5" customHeight="1" x14ac:dyDescent="0.3">
      <c r="A27" s="6" t="str">
        <f>IFERROR(INDEX('Araç Listesi'!$B$4:$B$303,SMALL(IF('Araç Listesi'!$B$4:$B$303&lt;&gt;"",ROW('Araç Listesi'!$B$4:$B$303)-3),14)),"")</f>
        <v/>
      </c>
      <c r="B27" s="10" t="str">
        <f>IF(A27&lt;&gt;"",IFERROR(VLOOKUP(A27,'Araç Listesi'!$B$4:$C$303,2,0),""),"")</f>
        <v/>
      </c>
      <c r="C27" s="28" t="str">
        <f>IF(A27&lt;&gt;"",IFERROR(SUMIF('Araç Günlük Takip'!$C$4:$C$303,A27,'Araç Günlük Takip'!$J$4:$J$303),0),"")</f>
        <v/>
      </c>
      <c r="D27" s="29" t="str">
        <f>IF(A27&lt;&gt;"",IFERROR(SUMIF('Araç Günlük Takip'!$C$4:$C$303,A27,'Araç Günlük Takip'!$K$4:$K$303),0),"")</f>
        <v/>
      </c>
      <c r="F27" s="7" t="str">
        <f>IFERROR(INDEX('Personel Listesi'!$B$4:$B$303,SMALL(IF('Personel Listesi'!$B$4:$B$303&lt;&gt;"",ROW('Personel Listesi'!$B$4:$B$303)-3),14)),"")</f>
        <v/>
      </c>
      <c r="G27" s="23" t="str">
        <f>IF(F27&lt;&gt;"",IFERROR(SUMIF('Personel Günlük Takip'!$C$4:$C$303,F27,'Personel Günlük Takip'!$H$4:$H$303),0),"")</f>
        <v/>
      </c>
      <c r="H27" s="24" t="str">
        <f>IF(F27&lt;&gt;"",IFERROR(SUMIF('Personel Günlük Takip'!$C$4:$C$303,F27,'Personel Günlük Takip'!$I$4:$I$303),0),"")</f>
        <v/>
      </c>
    </row>
    <row r="28" spans="1:8" ht="19.5" customHeight="1" x14ac:dyDescent="0.3">
      <c r="A28" s="3" t="str">
        <f>IFERROR(INDEX('Araç Listesi'!$B$4:$B$303,SMALL(IF('Araç Listesi'!$B$4:$B$303&lt;&gt;"",ROW('Araç Listesi'!$B$4:$B$303)-3),15)),"")</f>
        <v/>
      </c>
      <c r="B28" s="10" t="str">
        <f>IF(A28&lt;&gt;"",IFERROR(VLOOKUP(A28,'Araç Listesi'!$B$4:$C$303,2,0),""),"")</f>
        <v/>
      </c>
      <c r="C28" s="28" t="str">
        <f>IF(A28&lt;&gt;"",IFERROR(SUMIF('Araç Günlük Takip'!$C$4:$C$303,A28,'Araç Günlük Takip'!$J$4:$J$303),0),"")</f>
        <v/>
      </c>
      <c r="D28" s="29" t="str">
        <f>IF(A28&lt;&gt;"",IFERROR(SUMIF('Araç Günlük Takip'!$C$4:$C$303,A28,'Araç Günlük Takip'!$K$4:$K$303),0),"")</f>
        <v/>
      </c>
      <c r="F28" s="4" t="str">
        <f>IFERROR(INDEX('Personel Listesi'!$B$4:$B$303,SMALL(IF('Personel Listesi'!$B$4:$B$303&lt;&gt;"",ROW('Personel Listesi'!$B$4:$B$303)-3),15)),"")</f>
        <v/>
      </c>
      <c r="G28" s="23" t="str">
        <f>IF(F28&lt;&gt;"",IFERROR(SUMIF('Personel Günlük Takip'!$C$4:$C$303,F28,'Personel Günlük Takip'!$H$4:$H$303),0),"")</f>
        <v/>
      </c>
      <c r="H28" s="24" t="str">
        <f>IF(F28&lt;&gt;"",IFERROR(SUMIF('Personel Günlük Takip'!$C$4:$C$303,F28,'Personel Günlük Takip'!$I$4:$I$303),0),"")</f>
        <v/>
      </c>
    </row>
    <row r="30" spans="1:8" ht="15.75" customHeight="1" x14ac:dyDescent="0.3"/>
    <row r="31" spans="1:8" ht="30" customHeight="1" x14ac:dyDescent="0.3">
      <c r="A31" s="43" t="s">
        <v>60</v>
      </c>
      <c r="B31" s="43"/>
      <c r="C31" s="43"/>
      <c r="D31" s="43"/>
      <c r="E31" s="43"/>
      <c r="F31" s="43"/>
      <c r="G31" s="43"/>
      <c r="H31" s="43"/>
    </row>
    <row r="32" spans="1:8" ht="36" customHeight="1" x14ac:dyDescent="0.3">
      <c r="A32" s="21" t="s">
        <v>61</v>
      </c>
      <c r="B32" s="21" t="s">
        <v>62</v>
      </c>
      <c r="C32" s="21" t="s">
        <v>58</v>
      </c>
      <c r="D32" s="21" t="s">
        <v>59</v>
      </c>
      <c r="E32" s="21" t="s">
        <v>63</v>
      </c>
      <c r="F32" s="21" t="s">
        <v>64</v>
      </c>
      <c r="G32" s="21" t="s">
        <v>65</v>
      </c>
      <c r="H32" s="21" t="s">
        <v>66</v>
      </c>
    </row>
    <row r="33" spans="1:8" ht="21.75" customHeight="1" x14ac:dyDescent="0.3">
      <c r="A33" s="30" t="s">
        <v>67</v>
      </c>
      <c r="B33" s="31">
        <f>IFERROR(COUNTIF('Personel Günlük Takip'!$E$4:$E$303,A33),0)</f>
        <v>0</v>
      </c>
      <c r="C33" s="23">
        <f>IFERROR(SUMIF('Personel Günlük Takip'!$E$4:$E$303,A33,'Personel Günlük Takip'!$H$4:$H$303),0)</f>
        <v>0</v>
      </c>
      <c r="D33" s="24">
        <f>IFERROR(SUMIF('Personel Günlük Takip'!$E$4:$E$303,A33,'Personel Günlük Takip'!$I$4:$I$303),0)</f>
        <v>0</v>
      </c>
      <c r="E33" s="12">
        <f>IFERROR(C33+D33,0)</f>
        <v>0</v>
      </c>
      <c r="F33" s="32">
        <f>IFERROR(COUNTIF('Araç Günlük Takip'!$G$4:$G$303,A33),0)</f>
        <v>0</v>
      </c>
      <c r="G33" s="28">
        <f>IFERROR(SUMIF('Araç Günlük Takip'!$G$4:$G$303,A33,'Araç Günlük Takip'!$J$4:$J$303),0)</f>
        <v>0</v>
      </c>
      <c r="H33" s="29">
        <f>IFERROR(SUMIF('Araç Günlük Takip'!$G$4:$G$303,A33,'Araç Günlük Takip'!$K$4:$K$303),0)</f>
        <v>0</v>
      </c>
    </row>
    <row r="34" spans="1:8" ht="21.75" customHeight="1" x14ac:dyDescent="0.3">
      <c r="A34" s="33" t="s">
        <v>68</v>
      </c>
      <c r="B34" s="31">
        <f>IFERROR(COUNTIF('Personel Günlük Takip'!$E$4:$E$303,A34),0)</f>
        <v>0</v>
      </c>
      <c r="C34" s="23">
        <f>IFERROR(SUMIF('Personel Günlük Takip'!$E$4:$E$303,A34,'Personel Günlük Takip'!$H$4:$H$303),0)</f>
        <v>0</v>
      </c>
      <c r="D34" s="24">
        <f>IFERROR(SUMIF('Personel Günlük Takip'!$E$4:$E$303,A34,'Personel Günlük Takip'!$I$4:$I$303),0)</f>
        <v>0</v>
      </c>
      <c r="E34" s="12">
        <f>IFERROR(C34+D34,0)</f>
        <v>0</v>
      </c>
      <c r="F34" s="32">
        <f>IFERROR(COUNTIF('Araç Günlük Takip'!$G$4:$G$303,A34),0)</f>
        <v>0</v>
      </c>
      <c r="G34" s="28">
        <f>IFERROR(SUMIF('Araç Günlük Takip'!$G$4:$G$303,A34,'Araç Günlük Takip'!$J$4:$J$303),0)</f>
        <v>0</v>
      </c>
      <c r="H34" s="29">
        <f>IFERROR(SUMIF('Araç Günlük Takip'!$G$4:$G$303,A34,'Araç Günlük Takip'!$K$4:$K$303),0)</f>
        <v>0</v>
      </c>
    </row>
    <row r="35" spans="1:8" ht="21.75" customHeight="1" x14ac:dyDescent="0.3">
      <c r="A35" s="30" t="s">
        <v>69</v>
      </c>
      <c r="B35" s="31">
        <f>IFERROR(COUNTIF('Personel Günlük Takip'!$E$4:$E$303,A35),0)</f>
        <v>0</v>
      </c>
      <c r="C35" s="23">
        <f>IFERROR(SUMIF('Personel Günlük Takip'!$E$4:$E$303,A35,'Personel Günlük Takip'!$H$4:$H$303),0)</f>
        <v>0</v>
      </c>
      <c r="D35" s="24">
        <f>IFERROR(SUMIF('Personel Günlük Takip'!$E$4:$E$303,A35,'Personel Günlük Takip'!$I$4:$I$303),0)</f>
        <v>0</v>
      </c>
      <c r="E35" s="12">
        <f>IFERROR(C35+D35,0)</f>
        <v>0</v>
      </c>
      <c r="F35" s="32">
        <f>IFERROR(COUNTIF('Araç Günlük Takip'!$G$4:$G$303,A35),0)</f>
        <v>0</v>
      </c>
      <c r="G35" s="28">
        <f>IFERROR(SUMIF('Araç Günlük Takip'!$G$4:$G$303,A35,'Araç Günlük Takip'!$J$4:$J$303),0)</f>
        <v>0</v>
      </c>
      <c r="H35" s="29">
        <f>IFERROR(SUMIF('Araç Günlük Takip'!$G$4:$G$303,A35,'Araç Günlük Takip'!$K$4:$K$303),0)</f>
        <v>0</v>
      </c>
    </row>
    <row r="36" spans="1:8" ht="21.75" customHeight="1" x14ac:dyDescent="0.3">
      <c r="A36" s="33" t="s">
        <v>70</v>
      </c>
      <c r="B36" s="31">
        <f>IFERROR(COUNTIF('Personel Günlük Takip'!$E$4:$E$303,A36),0)</f>
        <v>0</v>
      </c>
      <c r="C36" s="23">
        <f>IFERROR(SUMIF('Personel Günlük Takip'!$E$4:$E$303,A36,'Personel Günlük Takip'!$H$4:$H$303),0)</f>
        <v>0</v>
      </c>
      <c r="D36" s="24">
        <f>IFERROR(SUMIF('Personel Günlük Takip'!$E$4:$E$303,A36,'Personel Günlük Takip'!$I$4:$I$303),0)</f>
        <v>0</v>
      </c>
      <c r="E36" s="12">
        <f>IFERROR(C36+D36,0)</f>
        <v>0</v>
      </c>
      <c r="F36" s="32">
        <f>IFERROR(COUNTIF('Araç Günlük Takip'!$G$4:$G$303,A36),0)</f>
        <v>0</v>
      </c>
      <c r="G36" s="28">
        <f>IFERROR(SUMIF('Araç Günlük Takip'!$G$4:$G$303,A36,'Araç Günlük Takip'!$J$4:$J$303),0)</f>
        <v>0</v>
      </c>
      <c r="H36" s="29">
        <f>IFERROR(SUMIF('Araç Günlük Takip'!$G$4:$G$303,A36,'Araç Günlük Takip'!$K$4:$K$303),0)</f>
        <v>0</v>
      </c>
    </row>
    <row r="37" spans="1:8" ht="21.75" customHeight="1" x14ac:dyDescent="0.3">
      <c r="A37" s="30" t="s">
        <v>71</v>
      </c>
      <c r="B37" s="31">
        <f>IFERROR(COUNTIF('Personel Günlük Takip'!$E$4:$E$303,A37),0)</f>
        <v>0</v>
      </c>
      <c r="C37" s="23">
        <f>IFERROR(SUMIF('Personel Günlük Takip'!$E$4:$E$303,A37,'Personel Günlük Takip'!$H$4:$H$303),0)</f>
        <v>0</v>
      </c>
      <c r="D37" s="24">
        <f>IFERROR(SUMIF('Personel Günlük Takip'!$E$4:$E$303,A37,'Personel Günlük Takip'!$I$4:$I$303),0)</f>
        <v>0</v>
      </c>
      <c r="E37" s="12">
        <f>IFERROR(C37+D37,0)</f>
        <v>0</v>
      </c>
      <c r="F37" s="32">
        <f>IFERROR(COUNTIF('Araç Günlük Takip'!$G$4:$G$303,A37),0)</f>
        <v>0</v>
      </c>
      <c r="G37" s="28">
        <f>IFERROR(SUMIF('Araç Günlük Takip'!$G$4:$G$303,A37,'Araç Günlük Takip'!$J$4:$J$303),0)</f>
        <v>0</v>
      </c>
      <c r="H37" s="29">
        <f>IFERROR(SUMIF('Araç Günlük Takip'!$G$4:$G$303,A37,'Araç Günlük Takip'!$K$4:$K$303),0)</f>
        <v>0</v>
      </c>
    </row>
    <row r="38" spans="1:8" ht="24" customHeight="1" x14ac:dyDescent="0.3">
      <c r="A38" s="34" t="s">
        <v>72</v>
      </c>
      <c r="B38" s="35">
        <f t="shared" ref="B38:H38" si="0">SUM(B33:B37)</f>
        <v>0</v>
      </c>
      <c r="C38" s="25">
        <f t="shared" si="0"/>
        <v>0</v>
      </c>
      <c r="D38" s="26">
        <f t="shared" si="0"/>
        <v>0</v>
      </c>
      <c r="E38" s="16">
        <f t="shared" si="0"/>
        <v>0</v>
      </c>
      <c r="F38" s="36">
        <f t="shared" si="0"/>
        <v>0</v>
      </c>
      <c r="G38" s="37">
        <f t="shared" si="0"/>
        <v>0</v>
      </c>
      <c r="H38" s="38">
        <f t="shared" si="0"/>
        <v>0</v>
      </c>
    </row>
  </sheetData>
  <mergeCells count="29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B8"/>
    <mergeCell ref="C8:D8"/>
    <mergeCell ref="E8:F8"/>
    <mergeCell ref="G8:H8"/>
    <mergeCell ref="A9:B9"/>
    <mergeCell ref="C9:D9"/>
    <mergeCell ref="E9:F9"/>
    <mergeCell ref="G9:H9"/>
    <mergeCell ref="A31:H31"/>
    <mergeCell ref="A10:B10"/>
    <mergeCell ref="C10:D10"/>
    <mergeCell ref="E10:F10"/>
    <mergeCell ref="G10:H10"/>
    <mergeCell ref="A12:D12"/>
    <mergeCell ref="F12:H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Personel Listesi</vt:lpstr>
      <vt:lpstr>Araç Listesi</vt:lpstr>
      <vt:lpstr>Araç Günlük Takip</vt:lpstr>
      <vt:lpstr>Personel Günlük Takip</vt:lpstr>
      <vt:lpstr>Aylık Özet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0</cp:revision>
  <dcterms:created xsi:type="dcterms:W3CDTF">2026-06-11T11:43:07Z</dcterms:created>
  <dcterms:modified xsi:type="dcterms:W3CDTF">2026-06-25T10:30:24Z</dcterms:modified>
  <cp:category/>
  <cp:contentStatus/>
</cp:coreProperties>
</file>