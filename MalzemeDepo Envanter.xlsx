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adim\Desktop\ASFALT ŞANTİYESİ YENİ OLUŞTURULAN\"/>
    </mc:Choice>
  </mc:AlternateContent>
  <bookViews>
    <workbookView xWindow="0" yWindow="0" windowWidth="23040" windowHeight="9204" tabRatio="500" activeTab="3"/>
  </bookViews>
  <sheets>
    <sheet name="Malzeme Tanımlama" sheetId="1" r:id="rId1"/>
    <sheet name="Stok Hareketleri" sheetId="2" r:id="rId2"/>
    <sheet name="Stok Durumu" sheetId="3" r:id="rId3"/>
    <sheet name="Aylık Hareket Raporu" sheetId="4" r:id="rId4"/>
    <sheet name="Parametreler" sheetId="5" state="hidden" r:id="rId5"/>
  </sheets>
  <definedNames>
    <definedName name="LST_AY">Parametreler!$F$4:$F$15</definedName>
    <definedName name="LST_BIRIM">Parametreler!$C$4:$C$14</definedName>
    <definedName name="LST_DEPO">Parametreler!$D$4:$D$8</definedName>
    <definedName name="LST_HAREKETTURU">Parametreler!$E$4:$E$5</definedName>
    <definedName name="LST_KATEGORI">Parametreler!$B$4:$B$14</definedName>
    <definedName name="LST_MALZEMEKODU">'Malzeme Tanımlama'!$A$5:$A$300</definedName>
    <definedName name="LST_MUDURLUK">Parametreler!$A$4:$A$17</definedName>
    <definedName name="_xlnm.Print_Area" localSheetId="3">'Aylık Hareket Raporu'!$A$1:$G$311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" i="4" l="1"/>
  <c r="F7" i="4"/>
  <c r="A8" i="4"/>
  <c r="F8" i="4"/>
  <c r="A9" i="4"/>
  <c r="F9" i="4"/>
  <c r="A10" i="4"/>
  <c r="F10" i="4"/>
  <c r="A11" i="4"/>
  <c r="F11" i="4"/>
  <c r="A12" i="4"/>
  <c r="F12" i="4"/>
  <c r="A13" i="4"/>
  <c r="F13" i="4"/>
  <c r="A14" i="4"/>
  <c r="F14" i="4"/>
  <c r="A15" i="4"/>
  <c r="F15" i="4"/>
  <c r="A16" i="4"/>
  <c r="F16" i="4"/>
  <c r="A17" i="4"/>
  <c r="F17" i="4"/>
  <c r="A18" i="4"/>
  <c r="F18" i="4"/>
  <c r="A19" i="4"/>
  <c r="F19" i="4"/>
  <c r="A20" i="4"/>
  <c r="F20" i="4"/>
  <c r="A21" i="4"/>
  <c r="F21" i="4"/>
  <c r="A22" i="4"/>
  <c r="F22" i="4"/>
  <c r="A23" i="4"/>
  <c r="F23" i="4"/>
  <c r="A24" i="4"/>
  <c r="F24" i="4"/>
  <c r="A25" i="4"/>
  <c r="F25" i="4"/>
  <c r="A26" i="4"/>
  <c r="F26" i="4"/>
  <c r="A27" i="4"/>
  <c r="F27" i="4"/>
  <c r="A28" i="4"/>
  <c r="F28" i="4"/>
  <c r="A29" i="4"/>
  <c r="F29" i="4"/>
  <c r="A30" i="4"/>
  <c r="F30" i="4"/>
  <c r="A31" i="4"/>
  <c r="F31" i="4"/>
  <c r="A32" i="4"/>
  <c r="F32" i="4"/>
  <c r="A33" i="4"/>
  <c r="F33" i="4"/>
  <c r="A34" i="4"/>
  <c r="F34" i="4"/>
  <c r="A35" i="4"/>
  <c r="F35" i="4"/>
  <c r="A36" i="4"/>
  <c r="F36" i="4"/>
  <c r="A37" i="4"/>
  <c r="F37" i="4"/>
  <c r="A38" i="4"/>
  <c r="F38" i="4"/>
  <c r="A39" i="4"/>
  <c r="F39" i="4"/>
  <c r="A40" i="4"/>
  <c r="F40" i="4"/>
  <c r="A41" i="4"/>
  <c r="F41" i="4"/>
  <c r="A42" i="4"/>
  <c r="F42" i="4"/>
  <c r="A43" i="4"/>
  <c r="F43" i="4"/>
  <c r="A44" i="4"/>
  <c r="F44" i="4"/>
  <c r="A45" i="4"/>
  <c r="F45" i="4"/>
  <c r="A46" i="4"/>
  <c r="F46" i="4"/>
  <c r="A47" i="4"/>
  <c r="F47" i="4"/>
  <c r="A48" i="4"/>
  <c r="F48" i="4"/>
  <c r="A49" i="4"/>
  <c r="F49" i="4"/>
  <c r="A50" i="4"/>
  <c r="F50" i="4"/>
  <c r="A51" i="4"/>
  <c r="F51" i="4"/>
  <c r="A52" i="4"/>
  <c r="F52" i="4"/>
  <c r="A53" i="4"/>
  <c r="F53" i="4"/>
  <c r="A54" i="4"/>
  <c r="F54" i="4"/>
  <c r="A55" i="4"/>
  <c r="F55" i="4"/>
  <c r="A56" i="4"/>
  <c r="F56" i="4"/>
  <c r="A57" i="4"/>
  <c r="F57" i="4"/>
  <c r="A58" i="4"/>
  <c r="F58" i="4"/>
  <c r="A59" i="4"/>
  <c r="F59" i="4"/>
  <c r="A60" i="4"/>
  <c r="F60" i="4"/>
  <c r="A61" i="4"/>
  <c r="F61" i="4"/>
  <c r="A62" i="4"/>
  <c r="F62" i="4"/>
  <c r="A63" i="4"/>
  <c r="F63" i="4"/>
  <c r="A64" i="4"/>
  <c r="F64" i="4"/>
  <c r="A65" i="4"/>
  <c r="F65" i="4"/>
  <c r="A66" i="4"/>
  <c r="F66" i="4"/>
  <c r="A67" i="4"/>
  <c r="F67" i="4"/>
  <c r="A68" i="4"/>
  <c r="F68" i="4"/>
  <c r="A69" i="4"/>
  <c r="F69" i="4"/>
  <c r="A70" i="4"/>
  <c r="F70" i="4"/>
  <c r="A71" i="4"/>
  <c r="F71" i="4"/>
  <c r="A72" i="4"/>
  <c r="F72" i="4"/>
  <c r="A73" i="4"/>
  <c r="F73" i="4"/>
  <c r="A74" i="4"/>
  <c r="F74" i="4"/>
  <c r="A75" i="4"/>
  <c r="F75" i="4"/>
  <c r="A76" i="4"/>
  <c r="F76" i="4"/>
  <c r="A77" i="4"/>
  <c r="F77" i="4"/>
  <c r="A78" i="4"/>
  <c r="F78" i="4"/>
  <c r="A79" i="4"/>
  <c r="F79" i="4"/>
  <c r="A80" i="4"/>
  <c r="F80" i="4"/>
  <c r="A81" i="4"/>
  <c r="F81" i="4"/>
  <c r="A82" i="4"/>
  <c r="F82" i="4"/>
  <c r="A83" i="4"/>
  <c r="F83" i="4"/>
  <c r="A84" i="4"/>
  <c r="F84" i="4"/>
  <c r="A85" i="4"/>
  <c r="F85" i="4"/>
  <c r="A86" i="4"/>
  <c r="F86" i="4"/>
  <c r="A87" i="4"/>
  <c r="F87" i="4"/>
  <c r="A88" i="4"/>
  <c r="F88" i="4"/>
  <c r="A89" i="4"/>
  <c r="F89" i="4"/>
  <c r="A90" i="4"/>
  <c r="F90" i="4"/>
  <c r="A91" i="4"/>
  <c r="F91" i="4"/>
  <c r="A92" i="4"/>
  <c r="F92" i="4"/>
  <c r="A93" i="4"/>
  <c r="F93" i="4"/>
  <c r="A94" i="4"/>
  <c r="F94" i="4"/>
  <c r="A95" i="4"/>
  <c r="F95" i="4"/>
  <c r="A96" i="4"/>
  <c r="F96" i="4"/>
  <c r="A97" i="4"/>
  <c r="F97" i="4"/>
  <c r="A98" i="4"/>
  <c r="F98" i="4"/>
  <c r="A99" i="4"/>
  <c r="F99" i="4"/>
  <c r="A100" i="4"/>
  <c r="F100" i="4"/>
  <c r="A101" i="4"/>
  <c r="F101" i="4"/>
  <c r="A102" i="4"/>
  <c r="F102" i="4"/>
  <c r="A103" i="4"/>
  <c r="F103" i="4"/>
  <c r="A104" i="4"/>
  <c r="F104" i="4"/>
  <c r="A105" i="4"/>
  <c r="F105" i="4"/>
  <c r="A106" i="4"/>
  <c r="F106" i="4"/>
  <c r="A107" i="4"/>
  <c r="F107" i="4"/>
  <c r="A108" i="4"/>
  <c r="F108" i="4"/>
  <c r="A109" i="4"/>
  <c r="F109" i="4"/>
  <c r="A110" i="4"/>
  <c r="F110" i="4"/>
  <c r="A111" i="4"/>
  <c r="F111" i="4"/>
  <c r="A112" i="4"/>
  <c r="F112" i="4"/>
  <c r="A113" i="4"/>
  <c r="F113" i="4"/>
  <c r="A114" i="4"/>
  <c r="F114" i="4"/>
  <c r="A115" i="4"/>
  <c r="F115" i="4"/>
  <c r="A116" i="4"/>
  <c r="F116" i="4"/>
  <c r="A117" i="4"/>
  <c r="F117" i="4"/>
  <c r="A118" i="4"/>
  <c r="F118" i="4"/>
  <c r="A119" i="4"/>
  <c r="F119" i="4"/>
  <c r="A120" i="4"/>
  <c r="F120" i="4"/>
  <c r="A121" i="4"/>
  <c r="F121" i="4"/>
  <c r="A122" i="4"/>
  <c r="F122" i="4"/>
  <c r="A123" i="4"/>
  <c r="F123" i="4"/>
  <c r="A124" i="4"/>
  <c r="F124" i="4"/>
  <c r="A125" i="4"/>
  <c r="F125" i="4"/>
  <c r="A126" i="4"/>
  <c r="F126" i="4"/>
  <c r="A127" i="4"/>
  <c r="F127" i="4"/>
  <c r="A128" i="4"/>
  <c r="F128" i="4"/>
  <c r="A129" i="4"/>
  <c r="F129" i="4"/>
  <c r="A130" i="4"/>
  <c r="F130" i="4"/>
  <c r="A131" i="4"/>
  <c r="F131" i="4"/>
  <c r="A132" i="4"/>
  <c r="F132" i="4"/>
  <c r="A133" i="4"/>
  <c r="F133" i="4"/>
  <c r="A134" i="4"/>
  <c r="F134" i="4"/>
  <c r="A135" i="4"/>
  <c r="F135" i="4"/>
  <c r="A136" i="4"/>
  <c r="F136" i="4"/>
  <c r="A137" i="4"/>
  <c r="F137" i="4"/>
  <c r="A138" i="4"/>
  <c r="F138" i="4"/>
  <c r="A139" i="4"/>
  <c r="F139" i="4"/>
  <c r="A140" i="4"/>
  <c r="F140" i="4"/>
  <c r="A141" i="4"/>
  <c r="F141" i="4"/>
  <c r="A142" i="4"/>
  <c r="F142" i="4"/>
  <c r="A143" i="4"/>
  <c r="F143" i="4"/>
  <c r="A144" i="4"/>
  <c r="F144" i="4"/>
  <c r="A145" i="4"/>
  <c r="F145" i="4"/>
  <c r="A146" i="4"/>
  <c r="F146" i="4"/>
  <c r="A147" i="4"/>
  <c r="F147" i="4"/>
  <c r="A148" i="4"/>
  <c r="F148" i="4"/>
  <c r="A149" i="4"/>
  <c r="F149" i="4"/>
  <c r="A150" i="4"/>
  <c r="F150" i="4"/>
  <c r="A151" i="4"/>
  <c r="F151" i="4"/>
  <c r="A152" i="4"/>
  <c r="F152" i="4"/>
  <c r="A153" i="4"/>
  <c r="F153" i="4"/>
  <c r="A154" i="4"/>
  <c r="F154" i="4"/>
  <c r="A155" i="4"/>
  <c r="F155" i="4"/>
  <c r="A156" i="4"/>
  <c r="F156" i="4"/>
  <c r="A157" i="4"/>
  <c r="F157" i="4"/>
  <c r="A158" i="4"/>
  <c r="F158" i="4"/>
  <c r="A159" i="4"/>
  <c r="F159" i="4"/>
  <c r="A160" i="4"/>
  <c r="F160" i="4"/>
  <c r="A161" i="4"/>
  <c r="F161" i="4"/>
  <c r="A162" i="4"/>
  <c r="F162" i="4"/>
  <c r="A163" i="4"/>
  <c r="F163" i="4"/>
  <c r="A164" i="4"/>
  <c r="F164" i="4"/>
  <c r="A165" i="4"/>
  <c r="F165" i="4"/>
  <c r="A166" i="4"/>
  <c r="F166" i="4"/>
  <c r="A167" i="4"/>
  <c r="F167" i="4"/>
  <c r="A168" i="4"/>
  <c r="F168" i="4"/>
  <c r="A169" i="4"/>
  <c r="F169" i="4"/>
  <c r="A170" i="4"/>
  <c r="F170" i="4"/>
  <c r="A171" i="4"/>
  <c r="F171" i="4"/>
  <c r="A172" i="4"/>
  <c r="F172" i="4"/>
  <c r="A173" i="4"/>
  <c r="F173" i="4"/>
  <c r="A174" i="4"/>
  <c r="F174" i="4"/>
  <c r="A175" i="4"/>
  <c r="F175" i="4"/>
  <c r="A176" i="4"/>
  <c r="F176" i="4"/>
  <c r="A177" i="4"/>
  <c r="F177" i="4"/>
  <c r="A178" i="4"/>
  <c r="F178" i="4"/>
  <c r="A179" i="4"/>
  <c r="F179" i="4"/>
  <c r="A180" i="4"/>
  <c r="F180" i="4"/>
  <c r="A181" i="4"/>
  <c r="F181" i="4"/>
  <c r="A182" i="4"/>
  <c r="F182" i="4"/>
  <c r="A183" i="4"/>
  <c r="F183" i="4"/>
  <c r="A184" i="4"/>
  <c r="F184" i="4"/>
  <c r="A185" i="4"/>
  <c r="F185" i="4"/>
  <c r="A186" i="4"/>
  <c r="F186" i="4"/>
  <c r="A187" i="4"/>
  <c r="F187" i="4"/>
  <c r="A188" i="4"/>
  <c r="F188" i="4"/>
  <c r="A189" i="4"/>
  <c r="F189" i="4"/>
  <c r="A190" i="4"/>
  <c r="F190" i="4"/>
  <c r="A191" i="4"/>
  <c r="F191" i="4"/>
  <c r="A192" i="4"/>
  <c r="F192" i="4"/>
  <c r="A193" i="4"/>
  <c r="F193" i="4"/>
  <c r="A194" i="4"/>
  <c r="F194" i="4"/>
  <c r="A195" i="4"/>
  <c r="F195" i="4"/>
  <c r="A196" i="4"/>
  <c r="F196" i="4"/>
  <c r="A197" i="4"/>
  <c r="F197" i="4"/>
  <c r="A198" i="4"/>
  <c r="F198" i="4"/>
  <c r="A199" i="4"/>
  <c r="F199" i="4"/>
  <c r="A200" i="4"/>
  <c r="F200" i="4"/>
  <c r="A201" i="4"/>
  <c r="F201" i="4"/>
  <c r="A202" i="4"/>
  <c r="F202" i="4"/>
  <c r="A203" i="4"/>
  <c r="F203" i="4"/>
  <c r="A204" i="4"/>
  <c r="F204" i="4"/>
  <c r="A205" i="4"/>
  <c r="F205" i="4"/>
  <c r="A206" i="4"/>
  <c r="F206" i="4"/>
  <c r="A207" i="4"/>
  <c r="F207" i="4"/>
  <c r="A208" i="4"/>
  <c r="F208" i="4"/>
  <c r="A209" i="4"/>
  <c r="F209" i="4"/>
  <c r="A210" i="4"/>
  <c r="F210" i="4"/>
  <c r="A211" i="4"/>
  <c r="F211" i="4"/>
  <c r="A212" i="4"/>
  <c r="F212" i="4"/>
  <c r="A213" i="4"/>
  <c r="F213" i="4"/>
  <c r="A214" i="4"/>
  <c r="F214" i="4"/>
  <c r="A215" i="4"/>
  <c r="F215" i="4"/>
  <c r="A216" i="4"/>
  <c r="F216" i="4"/>
  <c r="A217" i="4"/>
  <c r="F217" i="4"/>
  <c r="A218" i="4"/>
  <c r="F218" i="4"/>
  <c r="A219" i="4"/>
  <c r="F219" i="4"/>
  <c r="A220" i="4"/>
  <c r="F220" i="4"/>
  <c r="A221" i="4"/>
  <c r="F221" i="4"/>
  <c r="A222" i="4"/>
  <c r="F222" i="4"/>
  <c r="A223" i="4"/>
  <c r="F223" i="4"/>
  <c r="A224" i="4"/>
  <c r="F224" i="4"/>
  <c r="A225" i="4"/>
  <c r="F225" i="4"/>
  <c r="A226" i="4"/>
  <c r="F226" i="4"/>
  <c r="A227" i="4"/>
  <c r="F227" i="4"/>
  <c r="A228" i="4"/>
  <c r="F228" i="4"/>
  <c r="A229" i="4"/>
  <c r="F229" i="4"/>
  <c r="A230" i="4"/>
  <c r="F230" i="4"/>
  <c r="A231" i="4"/>
  <c r="F231" i="4"/>
  <c r="A232" i="4"/>
  <c r="F232" i="4"/>
  <c r="A233" i="4"/>
  <c r="F233" i="4"/>
  <c r="A234" i="4"/>
  <c r="F234" i="4"/>
  <c r="A235" i="4"/>
  <c r="F235" i="4"/>
  <c r="A236" i="4"/>
  <c r="F236" i="4"/>
  <c r="A237" i="4"/>
  <c r="F237" i="4"/>
  <c r="A238" i="4"/>
  <c r="F238" i="4"/>
  <c r="A239" i="4"/>
  <c r="F239" i="4"/>
  <c r="A240" i="4"/>
  <c r="F240" i="4"/>
  <c r="A241" i="4"/>
  <c r="F241" i="4"/>
  <c r="A242" i="4"/>
  <c r="F242" i="4"/>
  <c r="A243" i="4"/>
  <c r="F243" i="4"/>
  <c r="A244" i="4"/>
  <c r="F244" i="4"/>
  <c r="A245" i="4"/>
  <c r="F245" i="4"/>
  <c r="A246" i="4"/>
  <c r="F246" i="4"/>
  <c r="A247" i="4"/>
  <c r="F247" i="4"/>
  <c r="A248" i="4"/>
  <c r="F248" i="4"/>
  <c r="A249" i="4"/>
  <c r="F249" i="4"/>
  <c r="A250" i="4"/>
  <c r="F250" i="4"/>
  <c r="A251" i="4"/>
  <c r="F251" i="4"/>
  <c r="A252" i="4"/>
  <c r="F252" i="4"/>
  <c r="A253" i="4"/>
  <c r="F253" i="4"/>
  <c r="A254" i="4"/>
  <c r="F254" i="4"/>
  <c r="A255" i="4"/>
  <c r="F255" i="4"/>
  <c r="A256" i="4"/>
  <c r="F256" i="4"/>
  <c r="A257" i="4"/>
  <c r="F257" i="4"/>
  <c r="A258" i="4"/>
  <c r="F258" i="4"/>
  <c r="A259" i="4"/>
  <c r="F259" i="4"/>
  <c r="A260" i="4"/>
  <c r="F260" i="4"/>
  <c r="A261" i="4"/>
  <c r="F261" i="4"/>
  <c r="A262" i="4"/>
  <c r="F262" i="4"/>
  <c r="A263" i="4"/>
  <c r="F263" i="4"/>
  <c r="A264" i="4"/>
  <c r="F264" i="4"/>
  <c r="A265" i="4"/>
  <c r="F265" i="4"/>
  <c r="A266" i="4"/>
  <c r="F266" i="4"/>
  <c r="A267" i="4"/>
  <c r="F267" i="4"/>
  <c r="A268" i="4"/>
  <c r="F268" i="4"/>
  <c r="A269" i="4"/>
  <c r="F269" i="4"/>
  <c r="A270" i="4"/>
  <c r="F270" i="4"/>
  <c r="A271" i="4"/>
  <c r="F271" i="4"/>
  <c r="A272" i="4"/>
  <c r="F272" i="4"/>
  <c r="A273" i="4"/>
  <c r="F273" i="4"/>
  <c r="A274" i="4"/>
  <c r="F274" i="4"/>
  <c r="A275" i="4"/>
  <c r="F275" i="4"/>
  <c r="A276" i="4"/>
  <c r="F276" i="4"/>
  <c r="A277" i="4"/>
  <c r="F277" i="4"/>
  <c r="A278" i="4"/>
  <c r="F278" i="4"/>
  <c r="A279" i="4"/>
  <c r="F279" i="4"/>
  <c r="A280" i="4"/>
  <c r="F280" i="4"/>
  <c r="A281" i="4"/>
  <c r="F281" i="4"/>
  <c r="A282" i="4"/>
  <c r="F282" i="4"/>
  <c r="A283" i="4"/>
  <c r="F283" i="4"/>
  <c r="A284" i="4"/>
  <c r="F284" i="4"/>
  <c r="A285" i="4"/>
  <c r="F285" i="4"/>
  <c r="A286" i="4"/>
  <c r="F286" i="4"/>
  <c r="A287" i="4"/>
  <c r="F287" i="4"/>
  <c r="A288" i="4"/>
  <c r="F288" i="4"/>
  <c r="A289" i="4"/>
  <c r="F289" i="4"/>
  <c r="A290" i="4"/>
  <c r="F290" i="4"/>
  <c r="A291" i="4"/>
  <c r="F291" i="4"/>
  <c r="A292" i="4"/>
  <c r="F292" i="4"/>
  <c r="A293" i="4"/>
  <c r="F293" i="4"/>
  <c r="A294" i="4"/>
  <c r="F294" i="4"/>
  <c r="A295" i="4"/>
  <c r="F295" i="4"/>
  <c r="A296" i="4"/>
  <c r="F296" i="4"/>
  <c r="A297" i="4"/>
  <c r="F297" i="4"/>
  <c r="A298" i="4"/>
  <c r="F298" i="4"/>
  <c r="A299" i="4"/>
  <c r="F299" i="4"/>
  <c r="A300" i="4"/>
  <c r="F300" i="4"/>
  <c r="A301" i="4"/>
  <c r="F301" i="4"/>
  <c r="A302" i="4"/>
  <c r="F302" i="4"/>
  <c r="F303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G302" i="4"/>
  <c r="C302" i="4"/>
  <c r="B302" i="4"/>
  <c r="G301" i="4"/>
  <c r="C301" i="4"/>
  <c r="B301" i="4"/>
  <c r="G300" i="4"/>
  <c r="C300" i="4"/>
  <c r="B300" i="4"/>
  <c r="G299" i="4"/>
  <c r="C299" i="4"/>
  <c r="B299" i="4"/>
  <c r="G298" i="4"/>
  <c r="C298" i="4"/>
  <c r="B298" i="4"/>
  <c r="G297" i="4"/>
  <c r="C297" i="4"/>
  <c r="B297" i="4"/>
  <c r="G296" i="4"/>
  <c r="C296" i="4"/>
  <c r="B296" i="4"/>
  <c r="G295" i="4"/>
  <c r="C295" i="4"/>
  <c r="B295" i="4"/>
  <c r="G294" i="4"/>
  <c r="C294" i="4"/>
  <c r="B294" i="4"/>
  <c r="G293" i="4"/>
  <c r="C293" i="4"/>
  <c r="B293" i="4"/>
  <c r="G292" i="4"/>
  <c r="C292" i="4"/>
  <c r="B292" i="4"/>
  <c r="G291" i="4"/>
  <c r="C291" i="4"/>
  <c r="B291" i="4"/>
  <c r="G290" i="4"/>
  <c r="C290" i="4"/>
  <c r="B290" i="4"/>
  <c r="G289" i="4"/>
  <c r="C289" i="4"/>
  <c r="B289" i="4"/>
  <c r="G288" i="4"/>
  <c r="C288" i="4"/>
  <c r="B288" i="4"/>
  <c r="G287" i="4"/>
  <c r="C287" i="4"/>
  <c r="B287" i="4"/>
  <c r="G286" i="4"/>
  <c r="C286" i="4"/>
  <c r="B286" i="4"/>
  <c r="G285" i="4"/>
  <c r="C285" i="4"/>
  <c r="B285" i="4"/>
  <c r="G284" i="4"/>
  <c r="C284" i="4"/>
  <c r="B284" i="4"/>
  <c r="G283" i="4"/>
  <c r="C283" i="4"/>
  <c r="B283" i="4"/>
  <c r="G282" i="4"/>
  <c r="C282" i="4"/>
  <c r="B282" i="4"/>
  <c r="G281" i="4"/>
  <c r="C281" i="4"/>
  <c r="B281" i="4"/>
  <c r="G280" i="4"/>
  <c r="C280" i="4"/>
  <c r="B280" i="4"/>
  <c r="G279" i="4"/>
  <c r="C279" i="4"/>
  <c r="B279" i="4"/>
  <c r="G278" i="4"/>
  <c r="C278" i="4"/>
  <c r="B278" i="4"/>
  <c r="G277" i="4"/>
  <c r="C277" i="4"/>
  <c r="B277" i="4"/>
  <c r="G276" i="4"/>
  <c r="C276" i="4"/>
  <c r="B276" i="4"/>
  <c r="G275" i="4"/>
  <c r="C275" i="4"/>
  <c r="B275" i="4"/>
  <c r="G274" i="4"/>
  <c r="C274" i="4"/>
  <c r="B274" i="4"/>
  <c r="G273" i="4"/>
  <c r="C273" i="4"/>
  <c r="B273" i="4"/>
  <c r="G272" i="4"/>
  <c r="C272" i="4"/>
  <c r="B272" i="4"/>
  <c r="G271" i="4"/>
  <c r="C271" i="4"/>
  <c r="B271" i="4"/>
  <c r="G270" i="4"/>
  <c r="C270" i="4"/>
  <c r="B270" i="4"/>
  <c r="G269" i="4"/>
  <c r="C269" i="4"/>
  <c r="B269" i="4"/>
  <c r="G268" i="4"/>
  <c r="C268" i="4"/>
  <c r="B268" i="4"/>
  <c r="G267" i="4"/>
  <c r="C267" i="4"/>
  <c r="B267" i="4"/>
  <c r="G266" i="4"/>
  <c r="C266" i="4"/>
  <c r="B266" i="4"/>
  <c r="G265" i="4"/>
  <c r="C265" i="4"/>
  <c r="B265" i="4"/>
  <c r="G264" i="4"/>
  <c r="C264" i="4"/>
  <c r="B264" i="4"/>
  <c r="G263" i="4"/>
  <c r="C263" i="4"/>
  <c r="B263" i="4"/>
  <c r="G262" i="4"/>
  <c r="C262" i="4"/>
  <c r="B262" i="4"/>
  <c r="G261" i="4"/>
  <c r="C261" i="4"/>
  <c r="B261" i="4"/>
  <c r="G260" i="4"/>
  <c r="C260" i="4"/>
  <c r="B260" i="4"/>
  <c r="G259" i="4"/>
  <c r="C259" i="4"/>
  <c r="B259" i="4"/>
  <c r="G258" i="4"/>
  <c r="C258" i="4"/>
  <c r="B258" i="4"/>
  <c r="G257" i="4"/>
  <c r="C257" i="4"/>
  <c r="B257" i="4"/>
  <c r="G256" i="4"/>
  <c r="C256" i="4"/>
  <c r="B256" i="4"/>
  <c r="G255" i="4"/>
  <c r="C255" i="4"/>
  <c r="B255" i="4"/>
  <c r="G254" i="4"/>
  <c r="C254" i="4"/>
  <c r="B254" i="4"/>
  <c r="G253" i="4"/>
  <c r="C253" i="4"/>
  <c r="B253" i="4"/>
  <c r="G252" i="4"/>
  <c r="C252" i="4"/>
  <c r="B252" i="4"/>
  <c r="G251" i="4"/>
  <c r="C251" i="4"/>
  <c r="B251" i="4"/>
  <c r="G250" i="4"/>
  <c r="C250" i="4"/>
  <c r="B250" i="4"/>
  <c r="G249" i="4"/>
  <c r="C249" i="4"/>
  <c r="B249" i="4"/>
  <c r="G248" i="4"/>
  <c r="C248" i="4"/>
  <c r="B248" i="4"/>
  <c r="G247" i="4"/>
  <c r="C247" i="4"/>
  <c r="B247" i="4"/>
  <c r="G246" i="4"/>
  <c r="C246" i="4"/>
  <c r="B246" i="4"/>
  <c r="G245" i="4"/>
  <c r="C245" i="4"/>
  <c r="B245" i="4"/>
  <c r="G244" i="4"/>
  <c r="C244" i="4"/>
  <c r="B244" i="4"/>
  <c r="G243" i="4"/>
  <c r="C243" i="4"/>
  <c r="B243" i="4"/>
  <c r="G242" i="4"/>
  <c r="C242" i="4"/>
  <c r="B242" i="4"/>
  <c r="G241" i="4"/>
  <c r="C241" i="4"/>
  <c r="B241" i="4"/>
  <c r="G240" i="4"/>
  <c r="C240" i="4"/>
  <c r="B240" i="4"/>
  <c r="G239" i="4"/>
  <c r="C239" i="4"/>
  <c r="B239" i="4"/>
  <c r="G238" i="4"/>
  <c r="C238" i="4"/>
  <c r="B238" i="4"/>
  <c r="G237" i="4"/>
  <c r="C237" i="4"/>
  <c r="B237" i="4"/>
  <c r="G236" i="4"/>
  <c r="C236" i="4"/>
  <c r="B236" i="4"/>
  <c r="G235" i="4"/>
  <c r="C235" i="4"/>
  <c r="B235" i="4"/>
  <c r="G234" i="4"/>
  <c r="C234" i="4"/>
  <c r="B234" i="4"/>
  <c r="G233" i="4"/>
  <c r="C233" i="4"/>
  <c r="B233" i="4"/>
  <c r="G232" i="4"/>
  <c r="C232" i="4"/>
  <c r="B232" i="4"/>
  <c r="G231" i="4"/>
  <c r="C231" i="4"/>
  <c r="B231" i="4"/>
  <c r="G230" i="4"/>
  <c r="C230" i="4"/>
  <c r="B230" i="4"/>
  <c r="G229" i="4"/>
  <c r="C229" i="4"/>
  <c r="B229" i="4"/>
  <c r="G228" i="4"/>
  <c r="C228" i="4"/>
  <c r="B228" i="4"/>
  <c r="G227" i="4"/>
  <c r="C227" i="4"/>
  <c r="B227" i="4"/>
  <c r="G226" i="4"/>
  <c r="C226" i="4"/>
  <c r="B226" i="4"/>
  <c r="G225" i="4"/>
  <c r="C225" i="4"/>
  <c r="B225" i="4"/>
  <c r="G224" i="4"/>
  <c r="C224" i="4"/>
  <c r="B224" i="4"/>
  <c r="G223" i="4"/>
  <c r="C223" i="4"/>
  <c r="B223" i="4"/>
  <c r="G222" i="4"/>
  <c r="C222" i="4"/>
  <c r="B222" i="4"/>
  <c r="G221" i="4"/>
  <c r="C221" i="4"/>
  <c r="B221" i="4"/>
  <c r="G220" i="4"/>
  <c r="C220" i="4"/>
  <c r="B220" i="4"/>
  <c r="G219" i="4"/>
  <c r="C219" i="4"/>
  <c r="B219" i="4"/>
  <c r="G218" i="4"/>
  <c r="C218" i="4"/>
  <c r="B218" i="4"/>
  <c r="G217" i="4"/>
  <c r="C217" i="4"/>
  <c r="B217" i="4"/>
  <c r="G216" i="4"/>
  <c r="C216" i="4"/>
  <c r="B216" i="4"/>
  <c r="G215" i="4"/>
  <c r="C215" i="4"/>
  <c r="B215" i="4"/>
  <c r="G214" i="4"/>
  <c r="C214" i="4"/>
  <c r="B214" i="4"/>
  <c r="G213" i="4"/>
  <c r="C213" i="4"/>
  <c r="B213" i="4"/>
  <c r="G212" i="4"/>
  <c r="C212" i="4"/>
  <c r="B212" i="4"/>
  <c r="G211" i="4"/>
  <c r="C211" i="4"/>
  <c r="B211" i="4"/>
  <c r="G210" i="4"/>
  <c r="C210" i="4"/>
  <c r="B210" i="4"/>
  <c r="G209" i="4"/>
  <c r="C209" i="4"/>
  <c r="B209" i="4"/>
  <c r="G208" i="4"/>
  <c r="C208" i="4"/>
  <c r="B208" i="4"/>
  <c r="G207" i="4"/>
  <c r="C207" i="4"/>
  <c r="B207" i="4"/>
  <c r="G206" i="4"/>
  <c r="C206" i="4"/>
  <c r="B206" i="4"/>
  <c r="G205" i="4"/>
  <c r="C205" i="4"/>
  <c r="B205" i="4"/>
  <c r="G204" i="4"/>
  <c r="C204" i="4"/>
  <c r="B204" i="4"/>
  <c r="G203" i="4"/>
  <c r="C203" i="4"/>
  <c r="B203" i="4"/>
  <c r="G202" i="4"/>
  <c r="C202" i="4"/>
  <c r="B202" i="4"/>
  <c r="G201" i="4"/>
  <c r="C201" i="4"/>
  <c r="B201" i="4"/>
  <c r="G200" i="4"/>
  <c r="C200" i="4"/>
  <c r="B200" i="4"/>
  <c r="G199" i="4"/>
  <c r="C199" i="4"/>
  <c r="B199" i="4"/>
  <c r="G198" i="4"/>
  <c r="C198" i="4"/>
  <c r="B198" i="4"/>
  <c r="G197" i="4"/>
  <c r="C197" i="4"/>
  <c r="B197" i="4"/>
  <c r="G196" i="4"/>
  <c r="C196" i="4"/>
  <c r="B196" i="4"/>
  <c r="G195" i="4"/>
  <c r="C195" i="4"/>
  <c r="B195" i="4"/>
  <c r="G194" i="4"/>
  <c r="C194" i="4"/>
  <c r="B194" i="4"/>
  <c r="G193" i="4"/>
  <c r="C193" i="4"/>
  <c r="B193" i="4"/>
  <c r="G192" i="4"/>
  <c r="C192" i="4"/>
  <c r="B192" i="4"/>
  <c r="G191" i="4"/>
  <c r="C191" i="4"/>
  <c r="B191" i="4"/>
  <c r="G190" i="4"/>
  <c r="C190" i="4"/>
  <c r="B190" i="4"/>
  <c r="G189" i="4"/>
  <c r="C189" i="4"/>
  <c r="B189" i="4"/>
  <c r="G188" i="4"/>
  <c r="C188" i="4"/>
  <c r="B188" i="4"/>
  <c r="G187" i="4"/>
  <c r="C187" i="4"/>
  <c r="B187" i="4"/>
  <c r="G186" i="4"/>
  <c r="C186" i="4"/>
  <c r="B186" i="4"/>
  <c r="G185" i="4"/>
  <c r="C185" i="4"/>
  <c r="B185" i="4"/>
  <c r="G184" i="4"/>
  <c r="C184" i="4"/>
  <c r="B184" i="4"/>
  <c r="G183" i="4"/>
  <c r="C183" i="4"/>
  <c r="B183" i="4"/>
  <c r="G182" i="4"/>
  <c r="C182" i="4"/>
  <c r="B182" i="4"/>
  <c r="G181" i="4"/>
  <c r="C181" i="4"/>
  <c r="B181" i="4"/>
  <c r="G180" i="4"/>
  <c r="C180" i="4"/>
  <c r="B180" i="4"/>
  <c r="G179" i="4"/>
  <c r="C179" i="4"/>
  <c r="B179" i="4"/>
  <c r="G178" i="4"/>
  <c r="C178" i="4"/>
  <c r="B178" i="4"/>
  <c r="G177" i="4"/>
  <c r="C177" i="4"/>
  <c r="B177" i="4"/>
  <c r="G176" i="4"/>
  <c r="C176" i="4"/>
  <c r="B176" i="4"/>
  <c r="G175" i="4"/>
  <c r="C175" i="4"/>
  <c r="B175" i="4"/>
  <c r="G174" i="4"/>
  <c r="C174" i="4"/>
  <c r="B174" i="4"/>
  <c r="G173" i="4"/>
  <c r="C173" i="4"/>
  <c r="B173" i="4"/>
  <c r="G172" i="4"/>
  <c r="C172" i="4"/>
  <c r="B172" i="4"/>
  <c r="G171" i="4"/>
  <c r="C171" i="4"/>
  <c r="B171" i="4"/>
  <c r="G170" i="4"/>
  <c r="C170" i="4"/>
  <c r="B170" i="4"/>
  <c r="G169" i="4"/>
  <c r="C169" i="4"/>
  <c r="B169" i="4"/>
  <c r="G168" i="4"/>
  <c r="C168" i="4"/>
  <c r="B168" i="4"/>
  <c r="G167" i="4"/>
  <c r="C167" i="4"/>
  <c r="B167" i="4"/>
  <c r="G166" i="4"/>
  <c r="C166" i="4"/>
  <c r="B166" i="4"/>
  <c r="G165" i="4"/>
  <c r="C165" i="4"/>
  <c r="B165" i="4"/>
  <c r="G164" i="4"/>
  <c r="C164" i="4"/>
  <c r="B164" i="4"/>
  <c r="G163" i="4"/>
  <c r="C163" i="4"/>
  <c r="B163" i="4"/>
  <c r="G162" i="4"/>
  <c r="C162" i="4"/>
  <c r="B162" i="4"/>
  <c r="G161" i="4"/>
  <c r="C161" i="4"/>
  <c r="B161" i="4"/>
  <c r="G160" i="4"/>
  <c r="C160" i="4"/>
  <c r="B160" i="4"/>
  <c r="G159" i="4"/>
  <c r="C159" i="4"/>
  <c r="B159" i="4"/>
  <c r="G158" i="4"/>
  <c r="C158" i="4"/>
  <c r="B158" i="4"/>
  <c r="G157" i="4"/>
  <c r="C157" i="4"/>
  <c r="B157" i="4"/>
  <c r="G156" i="4"/>
  <c r="C156" i="4"/>
  <c r="B156" i="4"/>
  <c r="G155" i="4"/>
  <c r="C155" i="4"/>
  <c r="B155" i="4"/>
  <c r="G154" i="4"/>
  <c r="C154" i="4"/>
  <c r="B154" i="4"/>
  <c r="G153" i="4"/>
  <c r="C153" i="4"/>
  <c r="B153" i="4"/>
  <c r="G152" i="4"/>
  <c r="C152" i="4"/>
  <c r="B152" i="4"/>
  <c r="G151" i="4"/>
  <c r="C151" i="4"/>
  <c r="B151" i="4"/>
  <c r="G150" i="4"/>
  <c r="C150" i="4"/>
  <c r="B150" i="4"/>
  <c r="G149" i="4"/>
  <c r="C149" i="4"/>
  <c r="B149" i="4"/>
  <c r="G148" i="4"/>
  <c r="C148" i="4"/>
  <c r="B148" i="4"/>
  <c r="G147" i="4"/>
  <c r="C147" i="4"/>
  <c r="B147" i="4"/>
  <c r="G146" i="4"/>
  <c r="C146" i="4"/>
  <c r="B146" i="4"/>
  <c r="G145" i="4"/>
  <c r="C145" i="4"/>
  <c r="B145" i="4"/>
  <c r="G144" i="4"/>
  <c r="C144" i="4"/>
  <c r="B144" i="4"/>
  <c r="G143" i="4"/>
  <c r="C143" i="4"/>
  <c r="B143" i="4"/>
  <c r="G142" i="4"/>
  <c r="C142" i="4"/>
  <c r="B142" i="4"/>
  <c r="G141" i="4"/>
  <c r="C141" i="4"/>
  <c r="B141" i="4"/>
  <c r="G140" i="4"/>
  <c r="C140" i="4"/>
  <c r="B140" i="4"/>
  <c r="G139" i="4"/>
  <c r="C139" i="4"/>
  <c r="B139" i="4"/>
  <c r="G138" i="4"/>
  <c r="C138" i="4"/>
  <c r="B138" i="4"/>
  <c r="G137" i="4"/>
  <c r="C137" i="4"/>
  <c r="B137" i="4"/>
  <c r="G136" i="4"/>
  <c r="C136" i="4"/>
  <c r="B136" i="4"/>
  <c r="G135" i="4"/>
  <c r="C135" i="4"/>
  <c r="B135" i="4"/>
  <c r="G134" i="4"/>
  <c r="C134" i="4"/>
  <c r="B134" i="4"/>
  <c r="G133" i="4"/>
  <c r="C133" i="4"/>
  <c r="B133" i="4"/>
  <c r="G132" i="4"/>
  <c r="C132" i="4"/>
  <c r="B132" i="4"/>
  <c r="G131" i="4"/>
  <c r="C131" i="4"/>
  <c r="B131" i="4"/>
  <c r="G130" i="4"/>
  <c r="C130" i="4"/>
  <c r="B130" i="4"/>
  <c r="G129" i="4"/>
  <c r="C129" i="4"/>
  <c r="B129" i="4"/>
  <c r="G128" i="4"/>
  <c r="C128" i="4"/>
  <c r="B128" i="4"/>
  <c r="G127" i="4"/>
  <c r="C127" i="4"/>
  <c r="B127" i="4"/>
  <c r="G126" i="4"/>
  <c r="C126" i="4"/>
  <c r="B126" i="4"/>
  <c r="G125" i="4"/>
  <c r="C125" i="4"/>
  <c r="B125" i="4"/>
  <c r="G124" i="4"/>
  <c r="C124" i="4"/>
  <c r="B124" i="4"/>
  <c r="G123" i="4"/>
  <c r="C123" i="4"/>
  <c r="B123" i="4"/>
  <c r="G122" i="4"/>
  <c r="C122" i="4"/>
  <c r="B122" i="4"/>
  <c r="G121" i="4"/>
  <c r="C121" i="4"/>
  <c r="B121" i="4"/>
  <c r="G120" i="4"/>
  <c r="C120" i="4"/>
  <c r="B120" i="4"/>
  <c r="G119" i="4"/>
  <c r="C119" i="4"/>
  <c r="B119" i="4"/>
  <c r="G118" i="4"/>
  <c r="C118" i="4"/>
  <c r="B118" i="4"/>
  <c r="G117" i="4"/>
  <c r="C117" i="4"/>
  <c r="B117" i="4"/>
  <c r="G116" i="4"/>
  <c r="C116" i="4"/>
  <c r="B116" i="4"/>
  <c r="G115" i="4"/>
  <c r="C115" i="4"/>
  <c r="B115" i="4"/>
  <c r="G114" i="4"/>
  <c r="C114" i="4"/>
  <c r="B114" i="4"/>
  <c r="G113" i="4"/>
  <c r="C113" i="4"/>
  <c r="B113" i="4"/>
  <c r="G112" i="4"/>
  <c r="C112" i="4"/>
  <c r="B112" i="4"/>
  <c r="G111" i="4"/>
  <c r="C111" i="4"/>
  <c r="B111" i="4"/>
  <c r="G110" i="4"/>
  <c r="C110" i="4"/>
  <c r="B110" i="4"/>
  <c r="G109" i="4"/>
  <c r="C109" i="4"/>
  <c r="B109" i="4"/>
  <c r="G108" i="4"/>
  <c r="C108" i="4"/>
  <c r="B108" i="4"/>
  <c r="G107" i="4"/>
  <c r="C107" i="4"/>
  <c r="B107" i="4"/>
  <c r="G106" i="4"/>
  <c r="C106" i="4"/>
  <c r="B106" i="4"/>
  <c r="G105" i="4"/>
  <c r="C105" i="4"/>
  <c r="B105" i="4"/>
  <c r="G104" i="4"/>
  <c r="C104" i="4"/>
  <c r="B104" i="4"/>
  <c r="G103" i="4"/>
  <c r="C103" i="4"/>
  <c r="B103" i="4"/>
  <c r="G102" i="4"/>
  <c r="C102" i="4"/>
  <c r="B102" i="4"/>
  <c r="G101" i="4"/>
  <c r="C101" i="4"/>
  <c r="B101" i="4"/>
  <c r="G100" i="4"/>
  <c r="C100" i="4"/>
  <c r="B100" i="4"/>
  <c r="G99" i="4"/>
  <c r="C99" i="4"/>
  <c r="B99" i="4"/>
  <c r="G98" i="4"/>
  <c r="C98" i="4"/>
  <c r="B98" i="4"/>
  <c r="G97" i="4"/>
  <c r="C97" i="4"/>
  <c r="B97" i="4"/>
  <c r="G96" i="4"/>
  <c r="C96" i="4"/>
  <c r="B96" i="4"/>
  <c r="G95" i="4"/>
  <c r="C95" i="4"/>
  <c r="B95" i="4"/>
  <c r="G94" i="4"/>
  <c r="C94" i="4"/>
  <c r="B94" i="4"/>
  <c r="G93" i="4"/>
  <c r="C93" i="4"/>
  <c r="B93" i="4"/>
  <c r="G92" i="4"/>
  <c r="C92" i="4"/>
  <c r="B92" i="4"/>
  <c r="G91" i="4"/>
  <c r="C91" i="4"/>
  <c r="B91" i="4"/>
  <c r="G90" i="4"/>
  <c r="C90" i="4"/>
  <c r="B90" i="4"/>
  <c r="G89" i="4"/>
  <c r="C89" i="4"/>
  <c r="B89" i="4"/>
  <c r="G88" i="4"/>
  <c r="C88" i="4"/>
  <c r="B88" i="4"/>
  <c r="G87" i="4"/>
  <c r="C87" i="4"/>
  <c r="B87" i="4"/>
  <c r="G86" i="4"/>
  <c r="C86" i="4"/>
  <c r="B86" i="4"/>
  <c r="G85" i="4"/>
  <c r="C85" i="4"/>
  <c r="B85" i="4"/>
  <c r="G84" i="4"/>
  <c r="C84" i="4"/>
  <c r="B84" i="4"/>
  <c r="G83" i="4"/>
  <c r="C83" i="4"/>
  <c r="B83" i="4"/>
  <c r="G82" i="4"/>
  <c r="C82" i="4"/>
  <c r="B82" i="4"/>
  <c r="G81" i="4"/>
  <c r="C81" i="4"/>
  <c r="B81" i="4"/>
  <c r="G80" i="4"/>
  <c r="C80" i="4"/>
  <c r="B80" i="4"/>
  <c r="G79" i="4"/>
  <c r="C79" i="4"/>
  <c r="B79" i="4"/>
  <c r="G78" i="4"/>
  <c r="C78" i="4"/>
  <c r="B78" i="4"/>
  <c r="G77" i="4"/>
  <c r="C77" i="4"/>
  <c r="B77" i="4"/>
  <c r="G76" i="4"/>
  <c r="C76" i="4"/>
  <c r="B76" i="4"/>
  <c r="G75" i="4"/>
  <c r="C75" i="4"/>
  <c r="B75" i="4"/>
  <c r="G74" i="4"/>
  <c r="C74" i="4"/>
  <c r="B74" i="4"/>
  <c r="G73" i="4"/>
  <c r="C73" i="4"/>
  <c r="B73" i="4"/>
  <c r="G72" i="4"/>
  <c r="C72" i="4"/>
  <c r="B72" i="4"/>
  <c r="G71" i="4"/>
  <c r="C71" i="4"/>
  <c r="B71" i="4"/>
  <c r="G70" i="4"/>
  <c r="C70" i="4"/>
  <c r="B70" i="4"/>
  <c r="G69" i="4"/>
  <c r="C69" i="4"/>
  <c r="B69" i="4"/>
  <c r="G68" i="4"/>
  <c r="C68" i="4"/>
  <c r="B68" i="4"/>
  <c r="G67" i="4"/>
  <c r="C67" i="4"/>
  <c r="B67" i="4"/>
  <c r="G66" i="4"/>
  <c r="C66" i="4"/>
  <c r="B66" i="4"/>
  <c r="G65" i="4"/>
  <c r="C65" i="4"/>
  <c r="B65" i="4"/>
  <c r="G64" i="4"/>
  <c r="C64" i="4"/>
  <c r="B64" i="4"/>
  <c r="G63" i="4"/>
  <c r="C63" i="4"/>
  <c r="B63" i="4"/>
  <c r="G62" i="4"/>
  <c r="C62" i="4"/>
  <c r="B62" i="4"/>
  <c r="G61" i="4"/>
  <c r="C61" i="4"/>
  <c r="B61" i="4"/>
  <c r="G60" i="4"/>
  <c r="C60" i="4"/>
  <c r="B60" i="4"/>
  <c r="G59" i="4"/>
  <c r="C59" i="4"/>
  <c r="B59" i="4"/>
  <c r="G58" i="4"/>
  <c r="C58" i="4"/>
  <c r="B58" i="4"/>
  <c r="G57" i="4"/>
  <c r="C57" i="4"/>
  <c r="B57" i="4"/>
  <c r="G56" i="4"/>
  <c r="C56" i="4"/>
  <c r="B56" i="4"/>
  <c r="G55" i="4"/>
  <c r="C55" i="4"/>
  <c r="B55" i="4"/>
  <c r="G54" i="4"/>
  <c r="C54" i="4"/>
  <c r="B54" i="4"/>
  <c r="G53" i="4"/>
  <c r="C53" i="4"/>
  <c r="B53" i="4"/>
  <c r="G52" i="4"/>
  <c r="C52" i="4"/>
  <c r="B52" i="4"/>
  <c r="G51" i="4"/>
  <c r="C51" i="4"/>
  <c r="B51" i="4"/>
  <c r="G50" i="4"/>
  <c r="C50" i="4"/>
  <c r="B50" i="4"/>
  <c r="G49" i="4"/>
  <c r="C49" i="4"/>
  <c r="B49" i="4"/>
  <c r="G48" i="4"/>
  <c r="C48" i="4"/>
  <c r="B48" i="4"/>
  <c r="G47" i="4"/>
  <c r="C47" i="4"/>
  <c r="B47" i="4"/>
  <c r="G46" i="4"/>
  <c r="C46" i="4"/>
  <c r="B46" i="4"/>
  <c r="G45" i="4"/>
  <c r="C45" i="4"/>
  <c r="B45" i="4"/>
  <c r="G44" i="4"/>
  <c r="C44" i="4"/>
  <c r="B44" i="4"/>
  <c r="G43" i="4"/>
  <c r="C43" i="4"/>
  <c r="B43" i="4"/>
  <c r="G42" i="4"/>
  <c r="C42" i="4"/>
  <c r="B42" i="4"/>
  <c r="G41" i="4"/>
  <c r="C41" i="4"/>
  <c r="B41" i="4"/>
  <c r="G40" i="4"/>
  <c r="C40" i="4"/>
  <c r="B40" i="4"/>
  <c r="G39" i="4"/>
  <c r="C39" i="4"/>
  <c r="B39" i="4"/>
  <c r="G38" i="4"/>
  <c r="C38" i="4"/>
  <c r="B38" i="4"/>
  <c r="G37" i="4"/>
  <c r="C37" i="4"/>
  <c r="B37" i="4"/>
  <c r="G36" i="4"/>
  <c r="C36" i="4"/>
  <c r="B36" i="4"/>
  <c r="G35" i="4"/>
  <c r="C35" i="4"/>
  <c r="B35" i="4"/>
  <c r="G34" i="4"/>
  <c r="C34" i="4"/>
  <c r="B34" i="4"/>
  <c r="G33" i="4"/>
  <c r="C33" i="4"/>
  <c r="B33" i="4"/>
  <c r="G32" i="4"/>
  <c r="C32" i="4"/>
  <c r="B32" i="4"/>
  <c r="G31" i="4"/>
  <c r="C31" i="4"/>
  <c r="B31" i="4"/>
  <c r="G30" i="4"/>
  <c r="C30" i="4"/>
  <c r="B30" i="4"/>
  <c r="G29" i="4"/>
  <c r="C29" i="4"/>
  <c r="B29" i="4"/>
  <c r="G28" i="4"/>
  <c r="C28" i="4"/>
  <c r="B28" i="4"/>
  <c r="G27" i="4"/>
  <c r="C27" i="4"/>
  <c r="B27" i="4"/>
  <c r="G26" i="4"/>
  <c r="C26" i="4"/>
  <c r="B26" i="4"/>
  <c r="G25" i="4"/>
  <c r="C25" i="4"/>
  <c r="B25" i="4"/>
  <c r="G24" i="4"/>
  <c r="C24" i="4"/>
  <c r="B24" i="4"/>
  <c r="G23" i="4"/>
  <c r="C23" i="4"/>
  <c r="B23" i="4"/>
  <c r="G22" i="4"/>
  <c r="C22" i="4"/>
  <c r="B22" i="4"/>
  <c r="G21" i="4"/>
  <c r="C21" i="4"/>
  <c r="B21" i="4"/>
  <c r="G20" i="4"/>
  <c r="C20" i="4"/>
  <c r="B20" i="4"/>
  <c r="G19" i="4"/>
  <c r="C19" i="4"/>
  <c r="B19" i="4"/>
  <c r="G18" i="4"/>
  <c r="C18" i="4"/>
  <c r="B18" i="4"/>
  <c r="G17" i="4"/>
  <c r="C17" i="4"/>
  <c r="B17" i="4"/>
  <c r="G16" i="4"/>
  <c r="C16" i="4"/>
  <c r="B16" i="4"/>
  <c r="G15" i="4"/>
  <c r="C15" i="4"/>
  <c r="B15" i="4"/>
  <c r="G14" i="4"/>
  <c r="C14" i="4"/>
  <c r="B14" i="4"/>
  <c r="G13" i="4"/>
  <c r="C13" i="4"/>
  <c r="B13" i="4"/>
  <c r="G12" i="4"/>
  <c r="C12" i="4"/>
  <c r="B12" i="4"/>
  <c r="G11" i="4"/>
  <c r="C11" i="4"/>
  <c r="B11" i="4"/>
  <c r="G10" i="4"/>
  <c r="C10" i="4"/>
  <c r="B10" i="4"/>
  <c r="G9" i="4"/>
  <c r="C9" i="4"/>
  <c r="B9" i="4"/>
  <c r="G8" i="4"/>
  <c r="C8" i="4"/>
  <c r="B8" i="4"/>
  <c r="G7" i="4"/>
  <c r="C7" i="4"/>
  <c r="B7" i="4"/>
  <c r="A300" i="3"/>
  <c r="I300" i="3"/>
  <c r="H300" i="3"/>
  <c r="G300" i="3"/>
  <c r="F300" i="3"/>
  <c r="E300" i="3"/>
  <c r="D300" i="3"/>
  <c r="C300" i="3"/>
  <c r="B300" i="3"/>
  <c r="A299" i="3"/>
  <c r="I299" i="3"/>
  <c r="H299" i="3"/>
  <c r="G299" i="3"/>
  <c r="F299" i="3"/>
  <c r="E299" i="3"/>
  <c r="D299" i="3"/>
  <c r="C299" i="3"/>
  <c r="B299" i="3"/>
  <c r="A298" i="3"/>
  <c r="I298" i="3"/>
  <c r="H298" i="3"/>
  <c r="G298" i="3"/>
  <c r="F298" i="3"/>
  <c r="E298" i="3"/>
  <c r="D298" i="3"/>
  <c r="C298" i="3"/>
  <c r="B298" i="3"/>
  <c r="A297" i="3"/>
  <c r="I297" i="3"/>
  <c r="H297" i="3"/>
  <c r="G297" i="3"/>
  <c r="F297" i="3"/>
  <c r="E297" i="3"/>
  <c r="D297" i="3"/>
  <c r="C297" i="3"/>
  <c r="B297" i="3"/>
  <c r="A296" i="3"/>
  <c r="I296" i="3"/>
  <c r="H296" i="3"/>
  <c r="G296" i="3"/>
  <c r="F296" i="3"/>
  <c r="E296" i="3"/>
  <c r="D296" i="3"/>
  <c r="C296" i="3"/>
  <c r="B296" i="3"/>
  <c r="A295" i="3"/>
  <c r="I295" i="3"/>
  <c r="H295" i="3"/>
  <c r="G295" i="3"/>
  <c r="F295" i="3"/>
  <c r="E295" i="3"/>
  <c r="D295" i="3"/>
  <c r="C295" i="3"/>
  <c r="B295" i="3"/>
  <c r="A294" i="3"/>
  <c r="I294" i="3"/>
  <c r="H294" i="3"/>
  <c r="G294" i="3"/>
  <c r="F294" i="3"/>
  <c r="E294" i="3"/>
  <c r="D294" i="3"/>
  <c r="C294" i="3"/>
  <c r="B294" i="3"/>
  <c r="A293" i="3"/>
  <c r="I293" i="3"/>
  <c r="H293" i="3"/>
  <c r="G293" i="3"/>
  <c r="F293" i="3"/>
  <c r="E293" i="3"/>
  <c r="D293" i="3"/>
  <c r="C293" i="3"/>
  <c r="B293" i="3"/>
  <c r="A292" i="3"/>
  <c r="I292" i="3"/>
  <c r="H292" i="3"/>
  <c r="G292" i="3"/>
  <c r="F292" i="3"/>
  <c r="E292" i="3"/>
  <c r="D292" i="3"/>
  <c r="C292" i="3"/>
  <c r="B292" i="3"/>
  <c r="A291" i="3"/>
  <c r="I291" i="3"/>
  <c r="H291" i="3"/>
  <c r="G291" i="3"/>
  <c r="F291" i="3"/>
  <c r="E291" i="3"/>
  <c r="D291" i="3"/>
  <c r="C291" i="3"/>
  <c r="B291" i="3"/>
  <c r="A290" i="3"/>
  <c r="I290" i="3"/>
  <c r="H290" i="3"/>
  <c r="G290" i="3"/>
  <c r="F290" i="3"/>
  <c r="E290" i="3"/>
  <c r="D290" i="3"/>
  <c r="C290" i="3"/>
  <c r="B290" i="3"/>
  <c r="A289" i="3"/>
  <c r="I289" i="3"/>
  <c r="H289" i="3"/>
  <c r="G289" i="3"/>
  <c r="F289" i="3"/>
  <c r="E289" i="3"/>
  <c r="D289" i="3"/>
  <c r="C289" i="3"/>
  <c r="B289" i="3"/>
  <c r="A288" i="3"/>
  <c r="I288" i="3"/>
  <c r="H288" i="3"/>
  <c r="G288" i="3"/>
  <c r="F288" i="3"/>
  <c r="E288" i="3"/>
  <c r="D288" i="3"/>
  <c r="C288" i="3"/>
  <c r="B288" i="3"/>
  <c r="A287" i="3"/>
  <c r="I287" i="3"/>
  <c r="H287" i="3"/>
  <c r="G287" i="3"/>
  <c r="F287" i="3"/>
  <c r="E287" i="3"/>
  <c r="D287" i="3"/>
  <c r="C287" i="3"/>
  <c r="B287" i="3"/>
  <c r="A286" i="3"/>
  <c r="I286" i="3"/>
  <c r="H286" i="3"/>
  <c r="G286" i="3"/>
  <c r="F286" i="3"/>
  <c r="E286" i="3"/>
  <c r="D286" i="3"/>
  <c r="C286" i="3"/>
  <c r="B286" i="3"/>
  <c r="A285" i="3"/>
  <c r="I285" i="3"/>
  <c r="H285" i="3"/>
  <c r="G285" i="3"/>
  <c r="F285" i="3"/>
  <c r="E285" i="3"/>
  <c r="D285" i="3"/>
  <c r="C285" i="3"/>
  <c r="B285" i="3"/>
  <c r="A284" i="3"/>
  <c r="I284" i="3"/>
  <c r="H284" i="3"/>
  <c r="G284" i="3"/>
  <c r="F284" i="3"/>
  <c r="E284" i="3"/>
  <c r="D284" i="3"/>
  <c r="C284" i="3"/>
  <c r="B284" i="3"/>
  <c r="A283" i="3"/>
  <c r="I283" i="3"/>
  <c r="H283" i="3"/>
  <c r="G283" i="3"/>
  <c r="F283" i="3"/>
  <c r="E283" i="3"/>
  <c r="D283" i="3"/>
  <c r="C283" i="3"/>
  <c r="B283" i="3"/>
  <c r="A282" i="3"/>
  <c r="I282" i="3"/>
  <c r="H282" i="3"/>
  <c r="G282" i="3"/>
  <c r="F282" i="3"/>
  <c r="E282" i="3"/>
  <c r="D282" i="3"/>
  <c r="C282" i="3"/>
  <c r="B282" i="3"/>
  <c r="A281" i="3"/>
  <c r="I281" i="3"/>
  <c r="H281" i="3"/>
  <c r="G281" i="3"/>
  <c r="F281" i="3"/>
  <c r="E281" i="3"/>
  <c r="D281" i="3"/>
  <c r="C281" i="3"/>
  <c r="B281" i="3"/>
  <c r="A280" i="3"/>
  <c r="I280" i="3"/>
  <c r="H280" i="3"/>
  <c r="G280" i="3"/>
  <c r="F280" i="3"/>
  <c r="E280" i="3"/>
  <c r="D280" i="3"/>
  <c r="C280" i="3"/>
  <c r="B280" i="3"/>
  <c r="A279" i="3"/>
  <c r="I279" i="3"/>
  <c r="H279" i="3"/>
  <c r="G279" i="3"/>
  <c r="F279" i="3"/>
  <c r="E279" i="3"/>
  <c r="D279" i="3"/>
  <c r="C279" i="3"/>
  <c r="B279" i="3"/>
  <c r="A278" i="3"/>
  <c r="I278" i="3"/>
  <c r="H278" i="3"/>
  <c r="G278" i="3"/>
  <c r="F278" i="3"/>
  <c r="E278" i="3"/>
  <c r="D278" i="3"/>
  <c r="C278" i="3"/>
  <c r="B278" i="3"/>
  <c r="A277" i="3"/>
  <c r="I277" i="3"/>
  <c r="H277" i="3"/>
  <c r="G277" i="3"/>
  <c r="F277" i="3"/>
  <c r="E277" i="3"/>
  <c r="D277" i="3"/>
  <c r="C277" i="3"/>
  <c r="B277" i="3"/>
  <c r="A276" i="3"/>
  <c r="I276" i="3"/>
  <c r="H276" i="3"/>
  <c r="G276" i="3"/>
  <c r="F276" i="3"/>
  <c r="E276" i="3"/>
  <c r="D276" i="3"/>
  <c r="C276" i="3"/>
  <c r="B276" i="3"/>
  <c r="A275" i="3"/>
  <c r="I275" i="3"/>
  <c r="H275" i="3"/>
  <c r="G275" i="3"/>
  <c r="F275" i="3"/>
  <c r="E275" i="3"/>
  <c r="D275" i="3"/>
  <c r="C275" i="3"/>
  <c r="B275" i="3"/>
  <c r="A274" i="3"/>
  <c r="I274" i="3"/>
  <c r="H274" i="3"/>
  <c r="G274" i="3"/>
  <c r="F274" i="3"/>
  <c r="E274" i="3"/>
  <c r="D274" i="3"/>
  <c r="C274" i="3"/>
  <c r="B274" i="3"/>
  <c r="A273" i="3"/>
  <c r="I273" i="3"/>
  <c r="H273" i="3"/>
  <c r="G273" i="3"/>
  <c r="F273" i="3"/>
  <c r="E273" i="3"/>
  <c r="D273" i="3"/>
  <c r="C273" i="3"/>
  <c r="B273" i="3"/>
  <c r="A272" i="3"/>
  <c r="I272" i="3"/>
  <c r="H272" i="3"/>
  <c r="G272" i="3"/>
  <c r="F272" i="3"/>
  <c r="E272" i="3"/>
  <c r="D272" i="3"/>
  <c r="C272" i="3"/>
  <c r="B272" i="3"/>
  <c r="A271" i="3"/>
  <c r="I271" i="3"/>
  <c r="H271" i="3"/>
  <c r="G271" i="3"/>
  <c r="F271" i="3"/>
  <c r="E271" i="3"/>
  <c r="D271" i="3"/>
  <c r="C271" i="3"/>
  <c r="B271" i="3"/>
  <c r="A270" i="3"/>
  <c r="I270" i="3"/>
  <c r="H270" i="3"/>
  <c r="G270" i="3"/>
  <c r="F270" i="3"/>
  <c r="E270" i="3"/>
  <c r="D270" i="3"/>
  <c r="C270" i="3"/>
  <c r="B270" i="3"/>
  <c r="A269" i="3"/>
  <c r="I269" i="3"/>
  <c r="H269" i="3"/>
  <c r="G269" i="3"/>
  <c r="F269" i="3"/>
  <c r="E269" i="3"/>
  <c r="D269" i="3"/>
  <c r="C269" i="3"/>
  <c r="B269" i="3"/>
  <c r="A268" i="3"/>
  <c r="I268" i="3"/>
  <c r="H268" i="3"/>
  <c r="G268" i="3"/>
  <c r="F268" i="3"/>
  <c r="E268" i="3"/>
  <c r="D268" i="3"/>
  <c r="C268" i="3"/>
  <c r="B268" i="3"/>
  <c r="A267" i="3"/>
  <c r="I267" i="3"/>
  <c r="H267" i="3"/>
  <c r="G267" i="3"/>
  <c r="F267" i="3"/>
  <c r="E267" i="3"/>
  <c r="D267" i="3"/>
  <c r="C267" i="3"/>
  <c r="B267" i="3"/>
  <c r="A266" i="3"/>
  <c r="I266" i="3"/>
  <c r="H266" i="3"/>
  <c r="G266" i="3"/>
  <c r="F266" i="3"/>
  <c r="E266" i="3"/>
  <c r="D266" i="3"/>
  <c r="C266" i="3"/>
  <c r="B266" i="3"/>
  <c r="A265" i="3"/>
  <c r="I265" i="3"/>
  <c r="H265" i="3"/>
  <c r="G265" i="3"/>
  <c r="F265" i="3"/>
  <c r="E265" i="3"/>
  <c r="D265" i="3"/>
  <c r="C265" i="3"/>
  <c r="B265" i="3"/>
  <c r="A264" i="3"/>
  <c r="I264" i="3"/>
  <c r="H264" i="3"/>
  <c r="G264" i="3"/>
  <c r="F264" i="3"/>
  <c r="E264" i="3"/>
  <c r="D264" i="3"/>
  <c r="C264" i="3"/>
  <c r="B264" i="3"/>
  <c r="A263" i="3"/>
  <c r="I263" i="3"/>
  <c r="H263" i="3"/>
  <c r="G263" i="3"/>
  <c r="F263" i="3"/>
  <c r="E263" i="3"/>
  <c r="D263" i="3"/>
  <c r="C263" i="3"/>
  <c r="B263" i="3"/>
  <c r="A262" i="3"/>
  <c r="I262" i="3"/>
  <c r="H262" i="3"/>
  <c r="G262" i="3"/>
  <c r="F262" i="3"/>
  <c r="E262" i="3"/>
  <c r="D262" i="3"/>
  <c r="C262" i="3"/>
  <c r="B262" i="3"/>
  <c r="A261" i="3"/>
  <c r="I261" i="3"/>
  <c r="H261" i="3"/>
  <c r="G261" i="3"/>
  <c r="F261" i="3"/>
  <c r="E261" i="3"/>
  <c r="D261" i="3"/>
  <c r="C261" i="3"/>
  <c r="B261" i="3"/>
  <c r="A260" i="3"/>
  <c r="I260" i="3"/>
  <c r="H260" i="3"/>
  <c r="G260" i="3"/>
  <c r="F260" i="3"/>
  <c r="E260" i="3"/>
  <c r="D260" i="3"/>
  <c r="C260" i="3"/>
  <c r="B260" i="3"/>
  <c r="A259" i="3"/>
  <c r="I259" i="3"/>
  <c r="H259" i="3"/>
  <c r="G259" i="3"/>
  <c r="F259" i="3"/>
  <c r="E259" i="3"/>
  <c r="D259" i="3"/>
  <c r="C259" i="3"/>
  <c r="B259" i="3"/>
  <c r="A258" i="3"/>
  <c r="I258" i="3"/>
  <c r="H258" i="3"/>
  <c r="G258" i="3"/>
  <c r="F258" i="3"/>
  <c r="E258" i="3"/>
  <c r="D258" i="3"/>
  <c r="C258" i="3"/>
  <c r="B258" i="3"/>
  <c r="A257" i="3"/>
  <c r="I257" i="3"/>
  <c r="H257" i="3"/>
  <c r="G257" i="3"/>
  <c r="F257" i="3"/>
  <c r="E257" i="3"/>
  <c r="D257" i="3"/>
  <c r="C257" i="3"/>
  <c r="B257" i="3"/>
  <c r="A256" i="3"/>
  <c r="I256" i="3"/>
  <c r="H256" i="3"/>
  <c r="G256" i="3"/>
  <c r="F256" i="3"/>
  <c r="E256" i="3"/>
  <c r="D256" i="3"/>
  <c r="C256" i="3"/>
  <c r="B256" i="3"/>
  <c r="A255" i="3"/>
  <c r="I255" i="3"/>
  <c r="H255" i="3"/>
  <c r="G255" i="3"/>
  <c r="F255" i="3"/>
  <c r="E255" i="3"/>
  <c r="D255" i="3"/>
  <c r="C255" i="3"/>
  <c r="B255" i="3"/>
  <c r="A254" i="3"/>
  <c r="I254" i="3"/>
  <c r="H254" i="3"/>
  <c r="G254" i="3"/>
  <c r="F254" i="3"/>
  <c r="E254" i="3"/>
  <c r="D254" i="3"/>
  <c r="C254" i="3"/>
  <c r="B254" i="3"/>
  <c r="A253" i="3"/>
  <c r="I253" i="3"/>
  <c r="H253" i="3"/>
  <c r="G253" i="3"/>
  <c r="F253" i="3"/>
  <c r="E253" i="3"/>
  <c r="D253" i="3"/>
  <c r="C253" i="3"/>
  <c r="B253" i="3"/>
  <c r="A252" i="3"/>
  <c r="I252" i="3"/>
  <c r="H252" i="3"/>
  <c r="G252" i="3"/>
  <c r="F252" i="3"/>
  <c r="E252" i="3"/>
  <c r="D252" i="3"/>
  <c r="C252" i="3"/>
  <c r="B252" i="3"/>
  <c r="A251" i="3"/>
  <c r="I251" i="3"/>
  <c r="H251" i="3"/>
  <c r="G251" i="3"/>
  <c r="F251" i="3"/>
  <c r="E251" i="3"/>
  <c r="D251" i="3"/>
  <c r="C251" i="3"/>
  <c r="B251" i="3"/>
  <c r="A250" i="3"/>
  <c r="I250" i="3"/>
  <c r="H250" i="3"/>
  <c r="G250" i="3"/>
  <c r="F250" i="3"/>
  <c r="E250" i="3"/>
  <c r="D250" i="3"/>
  <c r="C250" i="3"/>
  <c r="B250" i="3"/>
  <c r="A249" i="3"/>
  <c r="I249" i="3"/>
  <c r="H249" i="3"/>
  <c r="G249" i="3"/>
  <c r="F249" i="3"/>
  <c r="E249" i="3"/>
  <c r="D249" i="3"/>
  <c r="C249" i="3"/>
  <c r="B249" i="3"/>
  <c r="A248" i="3"/>
  <c r="I248" i="3"/>
  <c r="H248" i="3"/>
  <c r="G248" i="3"/>
  <c r="F248" i="3"/>
  <c r="E248" i="3"/>
  <c r="D248" i="3"/>
  <c r="C248" i="3"/>
  <c r="B248" i="3"/>
  <c r="A247" i="3"/>
  <c r="I247" i="3"/>
  <c r="H247" i="3"/>
  <c r="G247" i="3"/>
  <c r="F247" i="3"/>
  <c r="E247" i="3"/>
  <c r="D247" i="3"/>
  <c r="C247" i="3"/>
  <c r="B247" i="3"/>
  <c r="A246" i="3"/>
  <c r="I246" i="3"/>
  <c r="H246" i="3"/>
  <c r="G246" i="3"/>
  <c r="F246" i="3"/>
  <c r="E246" i="3"/>
  <c r="D246" i="3"/>
  <c r="C246" i="3"/>
  <c r="B246" i="3"/>
  <c r="A245" i="3"/>
  <c r="I245" i="3"/>
  <c r="H245" i="3"/>
  <c r="G245" i="3"/>
  <c r="F245" i="3"/>
  <c r="E245" i="3"/>
  <c r="D245" i="3"/>
  <c r="C245" i="3"/>
  <c r="B245" i="3"/>
  <c r="A244" i="3"/>
  <c r="I244" i="3"/>
  <c r="H244" i="3"/>
  <c r="G244" i="3"/>
  <c r="F244" i="3"/>
  <c r="E244" i="3"/>
  <c r="D244" i="3"/>
  <c r="C244" i="3"/>
  <c r="B244" i="3"/>
  <c r="A243" i="3"/>
  <c r="I243" i="3"/>
  <c r="H243" i="3"/>
  <c r="G243" i="3"/>
  <c r="F243" i="3"/>
  <c r="E243" i="3"/>
  <c r="D243" i="3"/>
  <c r="C243" i="3"/>
  <c r="B243" i="3"/>
  <c r="A242" i="3"/>
  <c r="I242" i="3"/>
  <c r="H242" i="3"/>
  <c r="G242" i="3"/>
  <c r="F242" i="3"/>
  <c r="E242" i="3"/>
  <c r="D242" i="3"/>
  <c r="C242" i="3"/>
  <c r="B242" i="3"/>
  <c r="A241" i="3"/>
  <c r="I241" i="3"/>
  <c r="H241" i="3"/>
  <c r="G241" i="3"/>
  <c r="F241" i="3"/>
  <c r="E241" i="3"/>
  <c r="D241" i="3"/>
  <c r="C241" i="3"/>
  <c r="B241" i="3"/>
  <c r="A240" i="3"/>
  <c r="I240" i="3"/>
  <c r="H240" i="3"/>
  <c r="G240" i="3"/>
  <c r="F240" i="3"/>
  <c r="E240" i="3"/>
  <c r="D240" i="3"/>
  <c r="C240" i="3"/>
  <c r="B240" i="3"/>
  <c r="A239" i="3"/>
  <c r="I239" i="3"/>
  <c r="H239" i="3"/>
  <c r="G239" i="3"/>
  <c r="F239" i="3"/>
  <c r="E239" i="3"/>
  <c r="D239" i="3"/>
  <c r="C239" i="3"/>
  <c r="B239" i="3"/>
  <c r="A238" i="3"/>
  <c r="I238" i="3"/>
  <c r="H238" i="3"/>
  <c r="G238" i="3"/>
  <c r="F238" i="3"/>
  <c r="E238" i="3"/>
  <c r="D238" i="3"/>
  <c r="C238" i="3"/>
  <c r="B238" i="3"/>
  <c r="A237" i="3"/>
  <c r="I237" i="3"/>
  <c r="H237" i="3"/>
  <c r="G237" i="3"/>
  <c r="F237" i="3"/>
  <c r="E237" i="3"/>
  <c r="D237" i="3"/>
  <c r="C237" i="3"/>
  <c r="B237" i="3"/>
  <c r="A236" i="3"/>
  <c r="I236" i="3"/>
  <c r="H236" i="3"/>
  <c r="G236" i="3"/>
  <c r="F236" i="3"/>
  <c r="E236" i="3"/>
  <c r="D236" i="3"/>
  <c r="C236" i="3"/>
  <c r="B236" i="3"/>
  <c r="A235" i="3"/>
  <c r="I235" i="3"/>
  <c r="H235" i="3"/>
  <c r="G235" i="3"/>
  <c r="F235" i="3"/>
  <c r="E235" i="3"/>
  <c r="D235" i="3"/>
  <c r="C235" i="3"/>
  <c r="B235" i="3"/>
  <c r="A234" i="3"/>
  <c r="I234" i="3"/>
  <c r="H234" i="3"/>
  <c r="G234" i="3"/>
  <c r="F234" i="3"/>
  <c r="E234" i="3"/>
  <c r="D234" i="3"/>
  <c r="C234" i="3"/>
  <c r="B234" i="3"/>
  <c r="A233" i="3"/>
  <c r="I233" i="3"/>
  <c r="H233" i="3"/>
  <c r="G233" i="3"/>
  <c r="F233" i="3"/>
  <c r="E233" i="3"/>
  <c r="D233" i="3"/>
  <c r="C233" i="3"/>
  <c r="B233" i="3"/>
  <c r="A232" i="3"/>
  <c r="I232" i="3"/>
  <c r="H232" i="3"/>
  <c r="G232" i="3"/>
  <c r="F232" i="3"/>
  <c r="E232" i="3"/>
  <c r="D232" i="3"/>
  <c r="C232" i="3"/>
  <c r="B232" i="3"/>
  <c r="A231" i="3"/>
  <c r="I231" i="3"/>
  <c r="H231" i="3"/>
  <c r="G231" i="3"/>
  <c r="F231" i="3"/>
  <c r="E231" i="3"/>
  <c r="D231" i="3"/>
  <c r="C231" i="3"/>
  <c r="B231" i="3"/>
  <c r="A230" i="3"/>
  <c r="I230" i="3"/>
  <c r="H230" i="3"/>
  <c r="G230" i="3"/>
  <c r="F230" i="3"/>
  <c r="E230" i="3"/>
  <c r="D230" i="3"/>
  <c r="C230" i="3"/>
  <c r="B230" i="3"/>
  <c r="A229" i="3"/>
  <c r="I229" i="3"/>
  <c r="H229" i="3"/>
  <c r="G229" i="3"/>
  <c r="F229" i="3"/>
  <c r="E229" i="3"/>
  <c r="D229" i="3"/>
  <c r="C229" i="3"/>
  <c r="B229" i="3"/>
  <c r="A228" i="3"/>
  <c r="I228" i="3"/>
  <c r="H228" i="3"/>
  <c r="G228" i="3"/>
  <c r="F228" i="3"/>
  <c r="E228" i="3"/>
  <c r="D228" i="3"/>
  <c r="C228" i="3"/>
  <c r="B228" i="3"/>
  <c r="A227" i="3"/>
  <c r="I227" i="3"/>
  <c r="H227" i="3"/>
  <c r="G227" i="3"/>
  <c r="F227" i="3"/>
  <c r="E227" i="3"/>
  <c r="D227" i="3"/>
  <c r="C227" i="3"/>
  <c r="B227" i="3"/>
  <c r="A226" i="3"/>
  <c r="I226" i="3"/>
  <c r="H226" i="3"/>
  <c r="G226" i="3"/>
  <c r="F226" i="3"/>
  <c r="E226" i="3"/>
  <c r="D226" i="3"/>
  <c r="C226" i="3"/>
  <c r="B226" i="3"/>
  <c r="A225" i="3"/>
  <c r="I225" i="3"/>
  <c r="H225" i="3"/>
  <c r="G225" i="3"/>
  <c r="F225" i="3"/>
  <c r="E225" i="3"/>
  <c r="D225" i="3"/>
  <c r="C225" i="3"/>
  <c r="B225" i="3"/>
  <c r="A224" i="3"/>
  <c r="I224" i="3"/>
  <c r="H224" i="3"/>
  <c r="G224" i="3"/>
  <c r="F224" i="3"/>
  <c r="E224" i="3"/>
  <c r="D224" i="3"/>
  <c r="C224" i="3"/>
  <c r="B224" i="3"/>
  <c r="A223" i="3"/>
  <c r="I223" i="3"/>
  <c r="H223" i="3"/>
  <c r="G223" i="3"/>
  <c r="F223" i="3"/>
  <c r="E223" i="3"/>
  <c r="D223" i="3"/>
  <c r="C223" i="3"/>
  <c r="B223" i="3"/>
  <c r="A222" i="3"/>
  <c r="I222" i="3"/>
  <c r="H222" i="3"/>
  <c r="G222" i="3"/>
  <c r="F222" i="3"/>
  <c r="E222" i="3"/>
  <c r="D222" i="3"/>
  <c r="C222" i="3"/>
  <c r="B222" i="3"/>
  <c r="A221" i="3"/>
  <c r="I221" i="3"/>
  <c r="H221" i="3"/>
  <c r="G221" i="3"/>
  <c r="F221" i="3"/>
  <c r="E221" i="3"/>
  <c r="D221" i="3"/>
  <c r="C221" i="3"/>
  <c r="B221" i="3"/>
  <c r="A220" i="3"/>
  <c r="I220" i="3"/>
  <c r="H220" i="3"/>
  <c r="G220" i="3"/>
  <c r="F220" i="3"/>
  <c r="E220" i="3"/>
  <c r="D220" i="3"/>
  <c r="C220" i="3"/>
  <c r="B220" i="3"/>
  <c r="A219" i="3"/>
  <c r="I219" i="3"/>
  <c r="H219" i="3"/>
  <c r="G219" i="3"/>
  <c r="F219" i="3"/>
  <c r="E219" i="3"/>
  <c r="D219" i="3"/>
  <c r="C219" i="3"/>
  <c r="B219" i="3"/>
  <c r="A218" i="3"/>
  <c r="I218" i="3"/>
  <c r="H218" i="3"/>
  <c r="G218" i="3"/>
  <c r="F218" i="3"/>
  <c r="E218" i="3"/>
  <c r="D218" i="3"/>
  <c r="C218" i="3"/>
  <c r="B218" i="3"/>
  <c r="A217" i="3"/>
  <c r="I217" i="3"/>
  <c r="H217" i="3"/>
  <c r="G217" i="3"/>
  <c r="F217" i="3"/>
  <c r="E217" i="3"/>
  <c r="D217" i="3"/>
  <c r="C217" i="3"/>
  <c r="B217" i="3"/>
  <c r="A216" i="3"/>
  <c r="I216" i="3"/>
  <c r="H216" i="3"/>
  <c r="G216" i="3"/>
  <c r="F216" i="3"/>
  <c r="E216" i="3"/>
  <c r="D216" i="3"/>
  <c r="C216" i="3"/>
  <c r="B216" i="3"/>
  <c r="A215" i="3"/>
  <c r="I215" i="3"/>
  <c r="H215" i="3"/>
  <c r="G215" i="3"/>
  <c r="F215" i="3"/>
  <c r="E215" i="3"/>
  <c r="D215" i="3"/>
  <c r="C215" i="3"/>
  <c r="B215" i="3"/>
  <c r="A214" i="3"/>
  <c r="I214" i="3"/>
  <c r="H214" i="3"/>
  <c r="G214" i="3"/>
  <c r="F214" i="3"/>
  <c r="E214" i="3"/>
  <c r="D214" i="3"/>
  <c r="C214" i="3"/>
  <c r="B214" i="3"/>
  <c r="A213" i="3"/>
  <c r="I213" i="3"/>
  <c r="H213" i="3"/>
  <c r="G213" i="3"/>
  <c r="F213" i="3"/>
  <c r="E213" i="3"/>
  <c r="D213" i="3"/>
  <c r="C213" i="3"/>
  <c r="B213" i="3"/>
  <c r="A212" i="3"/>
  <c r="I212" i="3"/>
  <c r="H212" i="3"/>
  <c r="G212" i="3"/>
  <c r="F212" i="3"/>
  <c r="E212" i="3"/>
  <c r="D212" i="3"/>
  <c r="C212" i="3"/>
  <c r="B212" i="3"/>
  <c r="A211" i="3"/>
  <c r="I211" i="3"/>
  <c r="H211" i="3"/>
  <c r="G211" i="3"/>
  <c r="F211" i="3"/>
  <c r="E211" i="3"/>
  <c r="D211" i="3"/>
  <c r="C211" i="3"/>
  <c r="B211" i="3"/>
  <c r="A210" i="3"/>
  <c r="I210" i="3"/>
  <c r="H210" i="3"/>
  <c r="G210" i="3"/>
  <c r="F210" i="3"/>
  <c r="E210" i="3"/>
  <c r="D210" i="3"/>
  <c r="C210" i="3"/>
  <c r="B210" i="3"/>
  <c r="A209" i="3"/>
  <c r="I209" i="3"/>
  <c r="H209" i="3"/>
  <c r="G209" i="3"/>
  <c r="F209" i="3"/>
  <c r="E209" i="3"/>
  <c r="D209" i="3"/>
  <c r="C209" i="3"/>
  <c r="B209" i="3"/>
  <c r="A208" i="3"/>
  <c r="I208" i="3"/>
  <c r="H208" i="3"/>
  <c r="G208" i="3"/>
  <c r="F208" i="3"/>
  <c r="E208" i="3"/>
  <c r="D208" i="3"/>
  <c r="C208" i="3"/>
  <c r="B208" i="3"/>
  <c r="A207" i="3"/>
  <c r="I207" i="3"/>
  <c r="H207" i="3"/>
  <c r="G207" i="3"/>
  <c r="F207" i="3"/>
  <c r="E207" i="3"/>
  <c r="D207" i="3"/>
  <c r="C207" i="3"/>
  <c r="B207" i="3"/>
  <c r="A206" i="3"/>
  <c r="I206" i="3"/>
  <c r="H206" i="3"/>
  <c r="G206" i="3"/>
  <c r="F206" i="3"/>
  <c r="E206" i="3"/>
  <c r="D206" i="3"/>
  <c r="C206" i="3"/>
  <c r="B206" i="3"/>
  <c r="A205" i="3"/>
  <c r="I205" i="3"/>
  <c r="H205" i="3"/>
  <c r="G205" i="3"/>
  <c r="F205" i="3"/>
  <c r="E205" i="3"/>
  <c r="D205" i="3"/>
  <c r="C205" i="3"/>
  <c r="B205" i="3"/>
  <c r="A204" i="3"/>
  <c r="I204" i="3"/>
  <c r="H204" i="3"/>
  <c r="G204" i="3"/>
  <c r="F204" i="3"/>
  <c r="E204" i="3"/>
  <c r="D204" i="3"/>
  <c r="C204" i="3"/>
  <c r="B204" i="3"/>
  <c r="A203" i="3"/>
  <c r="I203" i="3"/>
  <c r="H203" i="3"/>
  <c r="G203" i="3"/>
  <c r="F203" i="3"/>
  <c r="E203" i="3"/>
  <c r="D203" i="3"/>
  <c r="C203" i="3"/>
  <c r="B203" i="3"/>
  <c r="A202" i="3"/>
  <c r="I202" i="3"/>
  <c r="H202" i="3"/>
  <c r="G202" i="3"/>
  <c r="F202" i="3"/>
  <c r="E202" i="3"/>
  <c r="D202" i="3"/>
  <c r="C202" i="3"/>
  <c r="B202" i="3"/>
  <c r="A201" i="3"/>
  <c r="I201" i="3"/>
  <c r="H201" i="3"/>
  <c r="G201" i="3"/>
  <c r="F201" i="3"/>
  <c r="E201" i="3"/>
  <c r="D201" i="3"/>
  <c r="C201" i="3"/>
  <c r="B201" i="3"/>
  <c r="A200" i="3"/>
  <c r="I200" i="3"/>
  <c r="H200" i="3"/>
  <c r="G200" i="3"/>
  <c r="F200" i="3"/>
  <c r="E200" i="3"/>
  <c r="D200" i="3"/>
  <c r="C200" i="3"/>
  <c r="B200" i="3"/>
  <c r="A199" i="3"/>
  <c r="I199" i="3"/>
  <c r="H199" i="3"/>
  <c r="G199" i="3"/>
  <c r="F199" i="3"/>
  <c r="E199" i="3"/>
  <c r="D199" i="3"/>
  <c r="C199" i="3"/>
  <c r="B199" i="3"/>
  <c r="A198" i="3"/>
  <c r="I198" i="3"/>
  <c r="H198" i="3"/>
  <c r="G198" i="3"/>
  <c r="F198" i="3"/>
  <c r="E198" i="3"/>
  <c r="D198" i="3"/>
  <c r="C198" i="3"/>
  <c r="B198" i="3"/>
  <c r="A197" i="3"/>
  <c r="I197" i="3"/>
  <c r="H197" i="3"/>
  <c r="G197" i="3"/>
  <c r="F197" i="3"/>
  <c r="E197" i="3"/>
  <c r="D197" i="3"/>
  <c r="C197" i="3"/>
  <c r="B197" i="3"/>
  <c r="A196" i="3"/>
  <c r="I196" i="3"/>
  <c r="H196" i="3"/>
  <c r="G196" i="3"/>
  <c r="F196" i="3"/>
  <c r="E196" i="3"/>
  <c r="D196" i="3"/>
  <c r="C196" i="3"/>
  <c r="B196" i="3"/>
  <c r="A195" i="3"/>
  <c r="I195" i="3"/>
  <c r="H195" i="3"/>
  <c r="G195" i="3"/>
  <c r="F195" i="3"/>
  <c r="E195" i="3"/>
  <c r="D195" i="3"/>
  <c r="C195" i="3"/>
  <c r="B195" i="3"/>
  <c r="A194" i="3"/>
  <c r="I194" i="3"/>
  <c r="H194" i="3"/>
  <c r="G194" i="3"/>
  <c r="F194" i="3"/>
  <c r="E194" i="3"/>
  <c r="D194" i="3"/>
  <c r="C194" i="3"/>
  <c r="B194" i="3"/>
  <c r="A193" i="3"/>
  <c r="I193" i="3"/>
  <c r="H193" i="3"/>
  <c r="G193" i="3"/>
  <c r="F193" i="3"/>
  <c r="E193" i="3"/>
  <c r="D193" i="3"/>
  <c r="C193" i="3"/>
  <c r="B193" i="3"/>
  <c r="A192" i="3"/>
  <c r="I192" i="3"/>
  <c r="H192" i="3"/>
  <c r="G192" i="3"/>
  <c r="F192" i="3"/>
  <c r="E192" i="3"/>
  <c r="D192" i="3"/>
  <c r="C192" i="3"/>
  <c r="B192" i="3"/>
  <c r="A191" i="3"/>
  <c r="I191" i="3"/>
  <c r="H191" i="3"/>
  <c r="G191" i="3"/>
  <c r="F191" i="3"/>
  <c r="E191" i="3"/>
  <c r="D191" i="3"/>
  <c r="C191" i="3"/>
  <c r="B191" i="3"/>
  <c r="A190" i="3"/>
  <c r="I190" i="3"/>
  <c r="H190" i="3"/>
  <c r="G190" i="3"/>
  <c r="F190" i="3"/>
  <c r="E190" i="3"/>
  <c r="D190" i="3"/>
  <c r="C190" i="3"/>
  <c r="B190" i="3"/>
  <c r="A189" i="3"/>
  <c r="I189" i="3"/>
  <c r="H189" i="3"/>
  <c r="G189" i="3"/>
  <c r="F189" i="3"/>
  <c r="E189" i="3"/>
  <c r="D189" i="3"/>
  <c r="C189" i="3"/>
  <c r="B189" i="3"/>
  <c r="A188" i="3"/>
  <c r="I188" i="3"/>
  <c r="H188" i="3"/>
  <c r="G188" i="3"/>
  <c r="F188" i="3"/>
  <c r="E188" i="3"/>
  <c r="D188" i="3"/>
  <c r="C188" i="3"/>
  <c r="B188" i="3"/>
  <c r="A187" i="3"/>
  <c r="I187" i="3"/>
  <c r="H187" i="3"/>
  <c r="G187" i="3"/>
  <c r="F187" i="3"/>
  <c r="E187" i="3"/>
  <c r="D187" i="3"/>
  <c r="C187" i="3"/>
  <c r="B187" i="3"/>
  <c r="A186" i="3"/>
  <c r="I186" i="3"/>
  <c r="H186" i="3"/>
  <c r="G186" i="3"/>
  <c r="F186" i="3"/>
  <c r="E186" i="3"/>
  <c r="D186" i="3"/>
  <c r="C186" i="3"/>
  <c r="B186" i="3"/>
  <c r="A185" i="3"/>
  <c r="I185" i="3"/>
  <c r="H185" i="3"/>
  <c r="G185" i="3"/>
  <c r="F185" i="3"/>
  <c r="E185" i="3"/>
  <c r="D185" i="3"/>
  <c r="C185" i="3"/>
  <c r="B185" i="3"/>
  <c r="A184" i="3"/>
  <c r="I184" i="3"/>
  <c r="H184" i="3"/>
  <c r="G184" i="3"/>
  <c r="F184" i="3"/>
  <c r="E184" i="3"/>
  <c r="D184" i="3"/>
  <c r="C184" i="3"/>
  <c r="B184" i="3"/>
  <c r="A183" i="3"/>
  <c r="I183" i="3"/>
  <c r="H183" i="3"/>
  <c r="G183" i="3"/>
  <c r="F183" i="3"/>
  <c r="E183" i="3"/>
  <c r="D183" i="3"/>
  <c r="C183" i="3"/>
  <c r="B183" i="3"/>
  <c r="A182" i="3"/>
  <c r="I182" i="3"/>
  <c r="H182" i="3"/>
  <c r="G182" i="3"/>
  <c r="F182" i="3"/>
  <c r="E182" i="3"/>
  <c r="D182" i="3"/>
  <c r="C182" i="3"/>
  <c r="B182" i="3"/>
  <c r="A181" i="3"/>
  <c r="I181" i="3"/>
  <c r="H181" i="3"/>
  <c r="G181" i="3"/>
  <c r="F181" i="3"/>
  <c r="E181" i="3"/>
  <c r="D181" i="3"/>
  <c r="C181" i="3"/>
  <c r="B181" i="3"/>
  <c r="A180" i="3"/>
  <c r="I180" i="3"/>
  <c r="H180" i="3"/>
  <c r="G180" i="3"/>
  <c r="F180" i="3"/>
  <c r="E180" i="3"/>
  <c r="D180" i="3"/>
  <c r="C180" i="3"/>
  <c r="B180" i="3"/>
  <c r="A179" i="3"/>
  <c r="I179" i="3"/>
  <c r="H179" i="3"/>
  <c r="G179" i="3"/>
  <c r="F179" i="3"/>
  <c r="E179" i="3"/>
  <c r="D179" i="3"/>
  <c r="C179" i="3"/>
  <c r="B179" i="3"/>
  <c r="A178" i="3"/>
  <c r="I178" i="3"/>
  <c r="H178" i="3"/>
  <c r="G178" i="3"/>
  <c r="F178" i="3"/>
  <c r="E178" i="3"/>
  <c r="D178" i="3"/>
  <c r="C178" i="3"/>
  <c r="B178" i="3"/>
  <c r="A177" i="3"/>
  <c r="I177" i="3"/>
  <c r="H177" i="3"/>
  <c r="G177" i="3"/>
  <c r="F177" i="3"/>
  <c r="E177" i="3"/>
  <c r="D177" i="3"/>
  <c r="C177" i="3"/>
  <c r="B177" i="3"/>
  <c r="A176" i="3"/>
  <c r="I176" i="3"/>
  <c r="H176" i="3"/>
  <c r="G176" i="3"/>
  <c r="F176" i="3"/>
  <c r="E176" i="3"/>
  <c r="D176" i="3"/>
  <c r="C176" i="3"/>
  <c r="B176" i="3"/>
  <c r="A175" i="3"/>
  <c r="I175" i="3"/>
  <c r="H175" i="3"/>
  <c r="G175" i="3"/>
  <c r="F175" i="3"/>
  <c r="E175" i="3"/>
  <c r="D175" i="3"/>
  <c r="C175" i="3"/>
  <c r="B175" i="3"/>
  <c r="A174" i="3"/>
  <c r="I174" i="3"/>
  <c r="H174" i="3"/>
  <c r="G174" i="3"/>
  <c r="F174" i="3"/>
  <c r="E174" i="3"/>
  <c r="D174" i="3"/>
  <c r="C174" i="3"/>
  <c r="B174" i="3"/>
  <c r="A173" i="3"/>
  <c r="I173" i="3"/>
  <c r="H173" i="3"/>
  <c r="G173" i="3"/>
  <c r="F173" i="3"/>
  <c r="E173" i="3"/>
  <c r="D173" i="3"/>
  <c r="C173" i="3"/>
  <c r="B173" i="3"/>
  <c r="A172" i="3"/>
  <c r="I172" i="3"/>
  <c r="H172" i="3"/>
  <c r="G172" i="3"/>
  <c r="F172" i="3"/>
  <c r="E172" i="3"/>
  <c r="D172" i="3"/>
  <c r="C172" i="3"/>
  <c r="B172" i="3"/>
  <c r="A171" i="3"/>
  <c r="I171" i="3"/>
  <c r="H171" i="3"/>
  <c r="G171" i="3"/>
  <c r="F171" i="3"/>
  <c r="E171" i="3"/>
  <c r="D171" i="3"/>
  <c r="C171" i="3"/>
  <c r="B171" i="3"/>
  <c r="A170" i="3"/>
  <c r="I170" i="3"/>
  <c r="H170" i="3"/>
  <c r="G170" i="3"/>
  <c r="F170" i="3"/>
  <c r="E170" i="3"/>
  <c r="D170" i="3"/>
  <c r="C170" i="3"/>
  <c r="B170" i="3"/>
  <c r="A169" i="3"/>
  <c r="I169" i="3"/>
  <c r="H169" i="3"/>
  <c r="G169" i="3"/>
  <c r="F169" i="3"/>
  <c r="E169" i="3"/>
  <c r="D169" i="3"/>
  <c r="C169" i="3"/>
  <c r="B169" i="3"/>
  <c r="A168" i="3"/>
  <c r="I168" i="3"/>
  <c r="H168" i="3"/>
  <c r="G168" i="3"/>
  <c r="F168" i="3"/>
  <c r="E168" i="3"/>
  <c r="D168" i="3"/>
  <c r="C168" i="3"/>
  <c r="B168" i="3"/>
  <c r="A167" i="3"/>
  <c r="I167" i="3"/>
  <c r="H167" i="3"/>
  <c r="G167" i="3"/>
  <c r="F167" i="3"/>
  <c r="E167" i="3"/>
  <c r="D167" i="3"/>
  <c r="C167" i="3"/>
  <c r="B167" i="3"/>
  <c r="A166" i="3"/>
  <c r="I166" i="3"/>
  <c r="H166" i="3"/>
  <c r="G166" i="3"/>
  <c r="F166" i="3"/>
  <c r="E166" i="3"/>
  <c r="D166" i="3"/>
  <c r="C166" i="3"/>
  <c r="B166" i="3"/>
  <c r="A165" i="3"/>
  <c r="I165" i="3"/>
  <c r="H165" i="3"/>
  <c r="G165" i="3"/>
  <c r="F165" i="3"/>
  <c r="E165" i="3"/>
  <c r="D165" i="3"/>
  <c r="C165" i="3"/>
  <c r="B165" i="3"/>
  <c r="A164" i="3"/>
  <c r="I164" i="3"/>
  <c r="H164" i="3"/>
  <c r="G164" i="3"/>
  <c r="F164" i="3"/>
  <c r="E164" i="3"/>
  <c r="D164" i="3"/>
  <c r="C164" i="3"/>
  <c r="B164" i="3"/>
  <c r="A163" i="3"/>
  <c r="I163" i="3"/>
  <c r="H163" i="3"/>
  <c r="G163" i="3"/>
  <c r="F163" i="3"/>
  <c r="E163" i="3"/>
  <c r="D163" i="3"/>
  <c r="C163" i="3"/>
  <c r="B163" i="3"/>
  <c r="A162" i="3"/>
  <c r="I162" i="3"/>
  <c r="H162" i="3"/>
  <c r="G162" i="3"/>
  <c r="F162" i="3"/>
  <c r="E162" i="3"/>
  <c r="D162" i="3"/>
  <c r="C162" i="3"/>
  <c r="B162" i="3"/>
  <c r="A161" i="3"/>
  <c r="I161" i="3"/>
  <c r="H161" i="3"/>
  <c r="G161" i="3"/>
  <c r="F161" i="3"/>
  <c r="E161" i="3"/>
  <c r="D161" i="3"/>
  <c r="C161" i="3"/>
  <c r="B161" i="3"/>
  <c r="A160" i="3"/>
  <c r="I160" i="3"/>
  <c r="H160" i="3"/>
  <c r="G160" i="3"/>
  <c r="F160" i="3"/>
  <c r="E160" i="3"/>
  <c r="D160" i="3"/>
  <c r="C160" i="3"/>
  <c r="B160" i="3"/>
  <c r="A159" i="3"/>
  <c r="I159" i="3"/>
  <c r="H159" i="3"/>
  <c r="G159" i="3"/>
  <c r="F159" i="3"/>
  <c r="E159" i="3"/>
  <c r="D159" i="3"/>
  <c r="C159" i="3"/>
  <c r="B159" i="3"/>
  <c r="A158" i="3"/>
  <c r="I158" i="3"/>
  <c r="H158" i="3"/>
  <c r="G158" i="3"/>
  <c r="F158" i="3"/>
  <c r="E158" i="3"/>
  <c r="D158" i="3"/>
  <c r="C158" i="3"/>
  <c r="B158" i="3"/>
  <c r="A157" i="3"/>
  <c r="I157" i="3"/>
  <c r="H157" i="3"/>
  <c r="G157" i="3"/>
  <c r="F157" i="3"/>
  <c r="E157" i="3"/>
  <c r="D157" i="3"/>
  <c r="C157" i="3"/>
  <c r="B157" i="3"/>
  <c r="A156" i="3"/>
  <c r="I156" i="3"/>
  <c r="H156" i="3"/>
  <c r="G156" i="3"/>
  <c r="F156" i="3"/>
  <c r="E156" i="3"/>
  <c r="D156" i="3"/>
  <c r="C156" i="3"/>
  <c r="B156" i="3"/>
  <c r="A155" i="3"/>
  <c r="I155" i="3"/>
  <c r="H155" i="3"/>
  <c r="G155" i="3"/>
  <c r="F155" i="3"/>
  <c r="E155" i="3"/>
  <c r="D155" i="3"/>
  <c r="C155" i="3"/>
  <c r="B155" i="3"/>
  <c r="A154" i="3"/>
  <c r="I154" i="3"/>
  <c r="H154" i="3"/>
  <c r="G154" i="3"/>
  <c r="F154" i="3"/>
  <c r="E154" i="3"/>
  <c r="D154" i="3"/>
  <c r="C154" i="3"/>
  <c r="B154" i="3"/>
  <c r="A153" i="3"/>
  <c r="I153" i="3"/>
  <c r="H153" i="3"/>
  <c r="G153" i="3"/>
  <c r="F153" i="3"/>
  <c r="E153" i="3"/>
  <c r="D153" i="3"/>
  <c r="C153" i="3"/>
  <c r="B153" i="3"/>
  <c r="A152" i="3"/>
  <c r="I152" i="3"/>
  <c r="H152" i="3"/>
  <c r="G152" i="3"/>
  <c r="F152" i="3"/>
  <c r="E152" i="3"/>
  <c r="D152" i="3"/>
  <c r="C152" i="3"/>
  <c r="B152" i="3"/>
  <c r="A151" i="3"/>
  <c r="I151" i="3"/>
  <c r="H151" i="3"/>
  <c r="G151" i="3"/>
  <c r="F151" i="3"/>
  <c r="E151" i="3"/>
  <c r="D151" i="3"/>
  <c r="C151" i="3"/>
  <c r="B151" i="3"/>
  <c r="A150" i="3"/>
  <c r="I150" i="3"/>
  <c r="H150" i="3"/>
  <c r="G150" i="3"/>
  <c r="F150" i="3"/>
  <c r="E150" i="3"/>
  <c r="D150" i="3"/>
  <c r="C150" i="3"/>
  <c r="B150" i="3"/>
  <c r="A149" i="3"/>
  <c r="I149" i="3"/>
  <c r="H149" i="3"/>
  <c r="G149" i="3"/>
  <c r="F149" i="3"/>
  <c r="E149" i="3"/>
  <c r="D149" i="3"/>
  <c r="C149" i="3"/>
  <c r="B149" i="3"/>
  <c r="A148" i="3"/>
  <c r="I148" i="3"/>
  <c r="H148" i="3"/>
  <c r="G148" i="3"/>
  <c r="F148" i="3"/>
  <c r="E148" i="3"/>
  <c r="D148" i="3"/>
  <c r="C148" i="3"/>
  <c r="B148" i="3"/>
  <c r="A147" i="3"/>
  <c r="I147" i="3"/>
  <c r="H147" i="3"/>
  <c r="G147" i="3"/>
  <c r="F147" i="3"/>
  <c r="E147" i="3"/>
  <c r="D147" i="3"/>
  <c r="C147" i="3"/>
  <c r="B147" i="3"/>
  <c r="A146" i="3"/>
  <c r="I146" i="3"/>
  <c r="H146" i="3"/>
  <c r="G146" i="3"/>
  <c r="F146" i="3"/>
  <c r="E146" i="3"/>
  <c r="D146" i="3"/>
  <c r="C146" i="3"/>
  <c r="B146" i="3"/>
  <c r="A145" i="3"/>
  <c r="I145" i="3"/>
  <c r="H145" i="3"/>
  <c r="G145" i="3"/>
  <c r="F145" i="3"/>
  <c r="E145" i="3"/>
  <c r="D145" i="3"/>
  <c r="C145" i="3"/>
  <c r="B145" i="3"/>
  <c r="A144" i="3"/>
  <c r="I144" i="3"/>
  <c r="H144" i="3"/>
  <c r="G144" i="3"/>
  <c r="F144" i="3"/>
  <c r="E144" i="3"/>
  <c r="D144" i="3"/>
  <c r="C144" i="3"/>
  <c r="B144" i="3"/>
  <c r="A143" i="3"/>
  <c r="I143" i="3"/>
  <c r="H143" i="3"/>
  <c r="G143" i="3"/>
  <c r="F143" i="3"/>
  <c r="E143" i="3"/>
  <c r="D143" i="3"/>
  <c r="C143" i="3"/>
  <c r="B143" i="3"/>
  <c r="A142" i="3"/>
  <c r="I142" i="3"/>
  <c r="H142" i="3"/>
  <c r="G142" i="3"/>
  <c r="F142" i="3"/>
  <c r="E142" i="3"/>
  <c r="D142" i="3"/>
  <c r="C142" i="3"/>
  <c r="B142" i="3"/>
  <c r="A141" i="3"/>
  <c r="I141" i="3"/>
  <c r="H141" i="3"/>
  <c r="G141" i="3"/>
  <c r="F141" i="3"/>
  <c r="E141" i="3"/>
  <c r="D141" i="3"/>
  <c r="C141" i="3"/>
  <c r="B141" i="3"/>
  <c r="A140" i="3"/>
  <c r="I140" i="3"/>
  <c r="H140" i="3"/>
  <c r="G140" i="3"/>
  <c r="F140" i="3"/>
  <c r="E140" i="3"/>
  <c r="D140" i="3"/>
  <c r="C140" i="3"/>
  <c r="B140" i="3"/>
  <c r="A139" i="3"/>
  <c r="I139" i="3"/>
  <c r="H139" i="3"/>
  <c r="G139" i="3"/>
  <c r="F139" i="3"/>
  <c r="E139" i="3"/>
  <c r="D139" i="3"/>
  <c r="C139" i="3"/>
  <c r="B139" i="3"/>
  <c r="A138" i="3"/>
  <c r="I138" i="3"/>
  <c r="H138" i="3"/>
  <c r="G138" i="3"/>
  <c r="F138" i="3"/>
  <c r="E138" i="3"/>
  <c r="D138" i="3"/>
  <c r="C138" i="3"/>
  <c r="B138" i="3"/>
  <c r="A137" i="3"/>
  <c r="I137" i="3"/>
  <c r="H137" i="3"/>
  <c r="G137" i="3"/>
  <c r="F137" i="3"/>
  <c r="E137" i="3"/>
  <c r="D137" i="3"/>
  <c r="C137" i="3"/>
  <c r="B137" i="3"/>
  <c r="A136" i="3"/>
  <c r="I136" i="3"/>
  <c r="H136" i="3"/>
  <c r="G136" i="3"/>
  <c r="F136" i="3"/>
  <c r="E136" i="3"/>
  <c r="D136" i="3"/>
  <c r="C136" i="3"/>
  <c r="B136" i="3"/>
  <c r="A135" i="3"/>
  <c r="I135" i="3"/>
  <c r="H135" i="3"/>
  <c r="G135" i="3"/>
  <c r="F135" i="3"/>
  <c r="E135" i="3"/>
  <c r="D135" i="3"/>
  <c r="C135" i="3"/>
  <c r="B135" i="3"/>
  <c r="A134" i="3"/>
  <c r="I134" i="3"/>
  <c r="H134" i="3"/>
  <c r="G134" i="3"/>
  <c r="F134" i="3"/>
  <c r="E134" i="3"/>
  <c r="D134" i="3"/>
  <c r="C134" i="3"/>
  <c r="B134" i="3"/>
  <c r="A133" i="3"/>
  <c r="I133" i="3"/>
  <c r="H133" i="3"/>
  <c r="G133" i="3"/>
  <c r="F133" i="3"/>
  <c r="E133" i="3"/>
  <c r="D133" i="3"/>
  <c r="C133" i="3"/>
  <c r="B133" i="3"/>
  <c r="A132" i="3"/>
  <c r="I132" i="3"/>
  <c r="H132" i="3"/>
  <c r="G132" i="3"/>
  <c r="F132" i="3"/>
  <c r="E132" i="3"/>
  <c r="D132" i="3"/>
  <c r="C132" i="3"/>
  <c r="B132" i="3"/>
  <c r="A131" i="3"/>
  <c r="I131" i="3"/>
  <c r="H131" i="3"/>
  <c r="G131" i="3"/>
  <c r="F131" i="3"/>
  <c r="E131" i="3"/>
  <c r="D131" i="3"/>
  <c r="C131" i="3"/>
  <c r="B131" i="3"/>
  <c r="A130" i="3"/>
  <c r="I130" i="3"/>
  <c r="H130" i="3"/>
  <c r="G130" i="3"/>
  <c r="F130" i="3"/>
  <c r="E130" i="3"/>
  <c r="D130" i="3"/>
  <c r="C130" i="3"/>
  <c r="B130" i="3"/>
  <c r="A129" i="3"/>
  <c r="I129" i="3"/>
  <c r="H129" i="3"/>
  <c r="G129" i="3"/>
  <c r="F129" i="3"/>
  <c r="E129" i="3"/>
  <c r="D129" i="3"/>
  <c r="C129" i="3"/>
  <c r="B129" i="3"/>
  <c r="A128" i="3"/>
  <c r="I128" i="3"/>
  <c r="H128" i="3"/>
  <c r="G128" i="3"/>
  <c r="F128" i="3"/>
  <c r="E128" i="3"/>
  <c r="D128" i="3"/>
  <c r="C128" i="3"/>
  <c r="B128" i="3"/>
  <c r="A127" i="3"/>
  <c r="I127" i="3"/>
  <c r="H127" i="3"/>
  <c r="G127" i="3"/>
  <c r="F127" i="3"/>
  <c r="E127" i="3"/>
  <c r="D127" i="3"/>
  <c r="C127" i="3"/>
  <c r="B127" i="3"/>
  <c r="A126" i="3"/>
  <c r="I126" i="3"/>
  <c r="H126" i="3"/>
  <c r="G126" i="3"/>
  <c r="F126" i="3"/>
  <c r="E126" i="3"/>
  <c r="D126" i="3"/>
  <c r="C126" i="3"/>
  <c r="B126" i="3"/>
  <c r="A125" i="3"/>
  <c r="I125" i="3"/>
  <c r="H125" i="3"/>
  <c r="G125" i="3"/>
  <c r="F125" i="3"/>
  <c r="E125" i="3"/>
  <c r="D125" i="3"/>
  <c r="C125" i="3"/>
  <c r="B125" i="3"/>
  <c r="A124" i="3"/>
  <c r="I124" i="3"/>
  <c r="H124" i="3"/>
  <c r="G124" i="3"/>
  <c r="F124" i="3"/>
  <c r="E124" i="3"/>
  <c r="D124" i="3"/>
  <c r="C124" i="3"/>
  <c r="B124" i="3"/>
  <c r="A123" i="3"/>
  <c r="I123" i="3"/>
  <c r="H123" i="3"/>
  <c r="G123" i="3"/>
  <c r="F123" i="3"/>
  <c r="E123" i="3"/>
  <c r="D123" i="3"/>
  <c r="C123" i="3"/>
  <c r="B123" i="3"/>
  <c r="A122" i="3"/>
  <c r="I122" i="3"/>
  <c r="H122" i="3"/>
  <c r="G122" i="3"/>
  <c r="F122" i="3"/>
  <c r="E122" i="3"/>
  <c r="D122" i="3"/>
  <c r="C122" i="3"/>
  <c r="B122" i="3"/>
  <c r="A121" i="3"/>
  <c r="I121" i="3"/>
  <c r="H121" i="3"/>
  <c r="G121" i="3"/>
  <c r="F121" i="3"/>
  <c r="E121" i="3"/>
  <c r="D121" i="3"/>
  <c r="C121" i="3"/>
  <c r="B121" i="3"/>
  <c r="A120" i="3"/>
  <c r="I120" i="3"/>
  <c r="H120" i="3"/>
  <c r="G120" i="3"/>
  <c r="F120" i="3"/>
  <c r="E120" i="3"/>
  <c r="D120" i="3"/>
  <c r="C120" i="3"/>
  <c r="B120" i="3"/>
  <c r="A119" i="3"/>
  <c r="I119" i="3"/>
  <c r="H119" i="3"/>
  <c r="G119" i="3"/>
  <c r="F119" i="3"/>
  <c r="E119" i="3"/>
  <c r="D119" i="3"/>
  <c r="C119" i="3"/>
  <c r="B119" i="3"/>
  <c r="A118" i="3"/>
  <c r="I118" i="3"/>
  <c r="H118" i="3"/>
  <c r="G118" i="3"/>
  <c r="F118" i="3"/>
  <c r="E118" i="3"/>
  <c r="D118" i="3"/>
  <c r="C118" i="3"/>
  <c r="B118" i="3"/>
  <c r="A117" i="3"/>
  <c r="I117" i="3"/>
  <c r="H117" i="3"/>
  <c r="G117" i="3"/>
  <c r="F117" i="3"/>
  <c r="E117" i="3"/>
  <c r="D117" i="3"/>
  <c r="C117" i="3"/>
  <c r="B117" i="3"/>
  <c r="A116" i="3"/>
  <c r="I116" i="3"/>
  <c r="H116" i="3"/>
  <c r="G116" i="3"/>
  <c r="F116" i="3"/>
  <c r="E116" i="3"/>
  <c r="D116" i="3"/>
  <c r="C116" i="3"/>
  <c r="B116" i="3"/>
  <c r="A115" i="3"/>
  <c r="I115" i="3"/>
  <c r="H115" i="3"/>
  <c r="G115" i="3"/>
  <c r="F115" i="3"/>
  <c r="E115" i="3"/>
  <c r="D115" i="3"/>
  <c r="C115" i="3"/>
  <c r="B115" i="3"/>
  <c r="A114" i="3"/>
  <c r="I114" i="3"/>
  <c r="H114" i="3"/>
  <c r="G114" i="3"/>
  <c r="F114" i="3"/>
  <c r="E114" i="3"/>
  <c r="D114" i="3"/>
  <c r="C114" i="3"/>
  <c r="B114" i="3"/>
  <c r="A113" i="3"/>
  <c r="I113" i="3"/>
  <c r="H113" i="3"/>
  <c r="G113" i="3"/>
  <c r="F113" i="3"/>
  <c r="E113" i="3"/>
  <c r="D113" i="3"/>
  <c r="C113" i="3"/>
  <c r="B113" i="3"/>
  <c r="A112" i="3"/>
  <c r="I112" i="3"/>
  <c r="H112" i="3"/>
  <c r="G112" i="3"/>
  <c r="F112" i="3"/>
  <c r="E112" i="3"/>
  <c r="D112" i="3"/>
  <c r="C112" i="3"/>
  <c r="B112" i="3"/>
  <c r="A111" i="3"/>
  <c r="I111" i="3"/>
  <c r="H111" i="3"/>
  <c r="G111" i="3"/>
  <c r="F111" i="3"/>
  <c r="E111" i="3"/>
  <c r="D111" i="3"/>
  <c r="C111" i="3"/>
  <c r="B111" i="3"/>
  <c r="A110" i="3"/>
  <c r="I110" i="3"/>
  <c r="H110" i="3"/>
  <c r="G110" i="3"/>
  <c r="F110" i="3"/>
  <c r="E110" i="3"/>
  <c r="D110" i="3"/>
  <c r="C110" i="3"/>
  <c r="B110" i="3"/>
  <c r="A109" i="3"/>
  <c r="I109" i="3"/>
  <c r="H109" i="3"/>
  <c r="G109" i="3"/>
  <c r="F109" i="3"/>
  <c r="E109" i="3"/>
  <c r="D109" i="3"/>
  <c r="C109" i="3"/>
  <c r="B109" i="3"/>
  <c r="A108" i="3"/>
  <c r="I108" i="3"/>
  <c r="H108" i="3"/>
  <c r="G108" i="3"/>
  <c r="F108" i="3"/>
  <c r="E108" i="3"/>
  <c r="D108" i="3"/>
  <c r="C108" i="3"/>
  <c r="B108" i="3"/>
  <c r="A107" i="3"/>
  <c r="I107" i="3"/>
  <c r="H107" i="3"/>
  <c r="G107" i="3"/>
  <c r="F107" i="3"/>
  <c r="E107" i="3"/>
  <c r="D107" i="3"/>
  <c r="C107" i="3"/>
  <c r="B107" i="3"/>
  <c r="A106" i="3"/>
  <c r="I106" i="3"/>
  <c r="H106" i="3"/>
  <c r="G106" i="3"/>
  <c r="F106" i="3"/>
  <c r="E106" i="3"/>
  <c r="D106" i="3"/>
  <c r="C106" i="3"/>
  <c r="B106" i="3"/>
  <c r="A105" i="3"/>
  <c r="I105" i="3"/>
  <c r="H105" i="3"/>
  <c r="G105" i="3"/>
  <c r="F105" i="3"/>
  <c r="E105" i="3"/>
  <c r="D105" i="3"/>
  <c r="C105" i="3"/>
  <c r="B105" i="3"/>
  <c r="A104" i="3"/>
  <c r="I104" i="3"/>
  <c r="H104" i="3"/>
  <c r="G104" i="3"/>
  <c r="F104" i="3"/>
  <c r="E104" i="3"/>
  <c r="D104" i="3"/>
  <c r="C104" i="3"/>
  <c r="B104" i="3"/>
  <c r="A103" i="3"/>
  <c r="I103" i="3"/>
  <c r="H103" i="3"/>
  <c r="G103" i="3"/>
  <c r="F103" i="3"/>
  <c r="E103" i="3"/>
  <c r="D103" i="3"/>
  <c r="C103" i="3"/>
  <c r="B103" i="3"/>
  <c r="A102" i="3"/>
  <c r="I102" i="3"/>
  <c r="H102" i="3"/>
  <c r="G102" i="3"/>
  <c r="F102" i="3"/>
  <c r="E102" i="3"/>
  <c r="D102" i="3"/>
  <c r="C102" i="3"/>
  <c r="B102" i="3"/>
  <c r="A101" i="3"/>
  <c r="I101" i="3"/>
  <c r="H101" i="3"/>
  <c r="G101" i="3"/>
  <c r="F101" i="3"/>
  <c r="E101" i="3"/>
  <c r="D101" i="3"/>
  <c r="C101" i="3"/>
  <c r="B101" i="3"/>
  <c r="A100" i="3"/>
  <c r="I100" i="3"/>
  <c r="H100" i="3"/>
  <c r="G100" i="3"/>
  <c r="F100" i="3"/>
  <c r="E100" i="3"/>
  <c r="D100" i="3"/>
  <c r="C100" i="3"/>
  <c r="B100" i="3"/>
  <c r="A99" i="3"/>
  <c r="I99" i="3"/>
  <c r="H99" i="3"/>
  <c r="G99" i="3"/>
  <c r="F99" i="3"/>
  <c r="E99" i="3"/>
  <c r="D99" i="3"/>
  <c r="C99" i="3"/>
  <c r="B99" i="3"/>
  <c r="A98" i="3"/>
  <c r="I98" i="3"/>
  <c r="H98" i="3"/>
  <c r="G98" i="3"/>
  <c r="F98" i="3"/>
  <c r="E98" i="3"/>
  <c r="D98" i="3"/>
  <c r="C98" i="3"/>
  <c r="B98" i="3"/>
  <c r="A97" i="3"/>
  <c r="I97" i="3"/>
  <c r="H97" i="3"/>
  <c r="G97" i="3"/>
  <c r="F97" i="3"/>
  <c r="E97" i="3"/>
  <c r="D97" i="3"/>
  <c r="C97" i="3"/>
  <c r="B97" i="3"/>
  <c r="A96" i="3"/>
  <c r="I96" i="3"/>
  <c r="H96" i="3"/>
  <c r="G96" i="3"/>
  <c r="F96" i="3"/>
  <c r="E96" i="3"/>
  <c r="D96" i="3"/>
  <c r="C96" i="3"/>
  <c r="B96" i="3"/>
  <c r="A95" i="3"/>
  <c r="I95" i="3"/>
  <c r="H95" i="3"/>
  <c r="G95" i="3"/>
  <c r="F95" i="3"/>
  <c r="E95" i="3"/>
  <c r="D95" i="3"/>
  <c r="C95" i="3"/>
  <c r="B95" i="3"/>
  <c r="A94" i="3"/>
  <c r="I94" i="3"/>
  <c r="H94" i="3"/>
  <c r="G94" i="3"/>
  <c r="F94" i="3"/>
  <c r="E94" i="3"/>
  <c r="D94" i="3"/>
  <c r="C94" i="3"/>
  <c r="B94" i="3"/>
  <c r="A93" i="3"/>
  <c r="I93" i="3"/>
  <c r="H93" i="3"/>
  <c r="G93" i="3"/>
  <c r="F93" i="3"/>
  <c r="E93" i="3"/>
  <c r="D93" i="3"/>
  <c r="C93" i="3"/>
  <c r="B93" i="3"/>
  <c r="A92" i="3"/>
  <c r="I92" i="3"/>
  <c r="H92" i="3"/>
  <c r="G92" i="3"/>
  <c r="F92" i="3"/>
  <c r="E92" i="3"/>
  <c r="D92" i="3"/>
  <c r="C92" i="3"/>
  <c r="B92" i="3"/>
  <c r="A91" i="3"/>
  <c r="I91" i="3"/>
  <c r="H91" i="3"/>
  <c r="G91" i="3"/>
  <c r="F91" i="3"/>
  <c r="E91" i="3"/>
  <c r="D91" i="3"/>
  <c r="C91" i="3"/>
  <c r="B91" i="3"/>
  <c r="A90" i="3"/>
  <c r="I90" i="3"/>
  <c r="H90" i="3"/>
  <c r="G90" i="3"/>
  <c r="F90" i="3"/>
  <c r="E90" i="3"/>
  <c r="D90" i="3"/>
  <c r="C90" i="3"/>
  <c r="B90" i="3"/>
  <c r="A89" i="3"/>
  <c r="I89" i="3"/>
  <c r="H89" i="3"/>
  <c r="G89" i="3"/>
  <c r="F89" i="3"/>
  <c r="E89" i="3"/>
  <c r="D89" i="3"/>
  <c r="C89" i="3"/>
  <c r="B89" i="3"/>
  <c r="A88" i="3"/>
  <c r="I88" i="3"/>
  <c r="H88" i="3"/>
  <c r="G88" i="3"/>
  <c r="F88" i="3"/>
  <c r="E88" i="3"/>
  <c r="D88" i="3"/>
  <c r="C88" i="3"/>
  <c r="B88" i="3"/>
  <c r="A87" i="3"/>
  <c r="I87" i="3"/>
  <c r="H87" i="3"/>
  <c r="G87" i="3"/>
  <c r="F87" i="3"/>
  <c r="E87" i="3"/>
  <c r="D87" i="3"/>
  <c r="C87" i="3"/>
  <c r="B87" i="3"/>
  <c r="A86" i="3"/>
  <c r="I86" i="3"/>
  <c r="H86" i="3"/>
  <c r="G86" i="3"/>
  <c r="F86" i="3"/>
  <c r="E86" i="3"/>
  <c r="D86" i="3"/>
  <c r="C86" i="3"/>
  <c r="B86" i="3"/>
  <c r="A85" i="3"/>
  <c r="I85" i="3"/>
  <c r="H85" i="3"/>
  <c r="G85" i="3"/>
  <c r="F85" i="3"/>
  <c r="E85" i="3"/>
  <c r="D85" i="3"/>
  <c r="C85" i="3"/>
  <c r="B85" i="3"/>
  <c r="A84" i="3"/>
  <c r="I84" i="3"/>
  <c r="H84" i="3"/>
  <c r="G84" i="3"/>
  <c r="F84" i="3"/>
  <c r="E84" i="3"/>
  <c r="D84" i="3"/>
  <c r="C84" i="3"/>
  <c r="B84" i="3"/>
  <c r="A83" i="3"/>
  <c r="I83" i="3"/>
  <c r="H83" i="3"/>
  <c r="G83" i="3"/>
  <c r="F83" i="3"/>
  <c r="E83" i="3"/>
  <c r="D83" i="3"/>
  <c r="C83" i="3"/>
  <c r="B83" i="3"/>
  <c r="A82" i="3"/>
  <c r="I82" i="3"/>
  <c r="H82" i="3"/>
  <c r="G82" i="3"/>
  <c r="F82" i="3"/>
  <c r="E82" i="3"/>
  <c r="D82" i="3"/>
  <c r="C82" i="3"/>
  <c r="B82" i="3"/>
  <c r="A81" i="3"/>
  <c r="I81" i="3"/>
  <c r="H81" i="3"/>
  <c r="G81" i="3"/>
  <c r="F81" i="3"/>
  <c r="E81" i="3"/>
  <c r="D81" i="3"/>
  <c r="C81" i="3"/>
  <c r="B81" i="3"/>
  <c r="A80" i="3"/>
  <c r="I80" i="3"/>
  <c r="H80" i="3"/>
  <c r="G80" i="3"/>
  <c r="F80" i="3"/>
  <c r="E80" i="3"/>
  <c r="D80" i="3"/>
  <c r="C80" i="3"/>
  <c r="B80" i="3"/>
  <c r="A79" i="3"/>
  <c r="I79" i="3"/>
  <c r="H79" i="3"/>
  <c r="G79" i="3"/>
  <c r="F79" i="3"/>
  <c r="E79" i="3"/>
  <c r="D79" i="3"/>
  <c r="C79" i="3"/>
  <c r="B79" i="3"/>
  <c r="A78" i="3"/>
  <c r="I78" i="3"/>
  <c r="H78" i="3"/>
  <c r="G78" i="3"/>
  <c r="F78" i="3"/>
  <c r="E78" i="3"/>
  <c r="D78" i="3"/>
  <c r="C78" i="3"/>
  <c r="B78" i="3"/>
  <c r="A77" i="3"/>
  <c r="I77" i="3"/>
  <c r="H77" i="3"/>
  <c r="G77" i="3"/>
  <c r="F77" i="3"/>
  <c r="E77" i="3"/>
  <c r="D77" i="3"/>
  <c r="C77" i="3"/>
  <c r="B77" i="3"/>
  <c r="A76" i="3"/>
  <c r="I76" i="3"/>
  <c r="H76" i="3"/>
  <c r="G76" i="3"/>
  <c r="F76" i="3"/>
  <c r="E76" i="3"/>
  <c r="D76" i="3"/>
  <c r="C76" i="3"/>
  <c r="B76" i="3"/>
  <c r="A75" i="3"/>
  <c r="I75" i="3"/>
  <c r="H75" i="3"/>
  <c r="G75" i="3"/>
  <c r="F75" i="3"/>
  <c r="E75" i="3"/>
  <c r="D75" i="3"/>
  <c r="C75" i="3"/>
  <c r="B75" i="3"/>
  <c r="A74" i="3"/>
  <c r="I74" i="3"/>
  <c r="H74" i="3"/>
  <c r="G74" i="3"/>
  <c r="F74" i="3"/>
  <c r="E74" i="3"/>
  <c r="D74" i="3"/>
  <c r="C74" i="3"/>
  <c r="B74" i="3"/>
  <c r="A73" i="3"/>
  <c r="I73" i="3"/>
  <c r="H73" i="3"/>
  <c r="G73" i="3"/>
  <c r="F73" i="3"/>
  <c r="E73" i="3"/>
  <c r="D73" i="3"/>
  <c r="C73" i="3"/>
  <c r="B73" i="3"/>
  <c r="A72" i="3"/>
  <c r="I72" i="3"/>
  <c r="H72" i="3"/>
  <c r="G72" i="3"/>
  <c r="F72" i="3"/>
  <c r="E72" i="3"/>
  <c r="D72" i="3"/>
  <c r="C72" i="3"/>
  <c r="B72" i="3"/>
  <c r="A71" i="3"/>
  <c r="I71" i="3"/>
  <c r="H71" i="3"/>
  <c r="G71" i="3"/>
  <c r="F71" i="3"/>
  <c r="E71" i="3"/>
  <c r="D71" i="3"/>
  <c r="C71" i="3"/>
  <c r="B71" i="3"/>
  <c r="A70" i="3"/>
  <c r="I70" i="3"/>
  <c r="H70" i="3"/>
  <c r="G70" i="3"/>
  <c r="F70" i="3"/>
  <c r="E70" i="3"/>
  <c r="D70" i="3"/>
  <c r="C70" i="3"/>
  <c r="B70" i="3"/>
  <c r="A69" i="3"/>
  <c r="I69" i="3"/>
  <c r="H69" i="3"/>
  <c r="G69" i="3"/>
  <c r="F69" i="3"/>
  <c r="E69" i="3"/>
  <c r="D69" i="3"/>
  <c r="C69" i="3"/>
  <c r="B69" i="3"/>
  <c r="A68" i="3"/>
  <c r="I68" i="3"/>
  <c r="H68" i="3"/>
  <c r="G68" i="3"/>
  <c r="F68" i="3"/>
  <c r="E68" i="3"/>
  <c r="D68" i="3"/>
  <c r="C68" i="3"/>
  <c r="B68" i="3"/>
  <c r="A67" i="3"/>
  <c r="I67" i="3"/>
  <c r="H67" i="3"/>
  <c r="G67" i="3"/>
  <c r="F67" i="3"/>
  <c r="E67" i="3"/>
  <c r="D67" i="3"/>
  <c r="C67" i="3"/>
  <c r="B67" i="3"/>
  <c r="A66" i="3"/>
  <c r="I66" i="3"/>
  <c r="H66" i="3"/>
  <c r="G66" i="3"/>
  <c r="F66" i="3"/>
  <c r="E66" i="3"/>
  <c r="D66" i="3"/>
  <c r="C66" i="3"/>
  <c r="B66" i="3"/>
  <c r="A65" i="3"/>
  <c r="I65" i="3"/>
  <c r="H65" i="3"/>
  <c r="G65" i="3"/>
  <c r="F65" i="3"/>
  <c r="E65" i="3"/>
  <c r="D65" i="3"/>
  <c r="C65" i="3"/>
  <c r="B65" i="3"/>
  <c r="A64" i="3"/>
  <c r="I64" i="3"/>
  <c r="H64" i="3"/>
  <c r="G64" i="3"/>
  <c r="F64" i="3"/>
  <c r="E64" i="3"/>
  <c r="D64" i="3"/>
  <c r="C64" i="3"/>
  <c r="B64" i="3"/>
  <c r="A63" i="3"/>
  <c r="I63" i="3"/>
  <c r="H63" i="3"/>
  <c r="G63" i="3"/>
  <c r="F63" i="3"/>
  <c r="E63" i="3"/>
  <c r="D63" i="3"/>
  <c r="C63" i="3"/>
  <c r="B63" i="3"/>
  <c r="A62" i="3"/>
  <c r="I62" i="3"/>
  <c r="H62" i="3"/>
  <c r="G62" i="3"/>
  <c r="F62" i="3"/>
  <c r="E62" i="3"/>
  <c r="D62" i="3"/>
  <c r="C62" i="3"/>
  <c r="B62" i="3"/>
  <c r="A61" i="3"/>
  <c r="I61" i="3"/>
  <c r="H61" i="3"/>
  <c r="G61" i="3"/>
  <c r="F61" i="3"/>
  <c r="E61" i="3"/>
  <c r="D61" i="3"/>
  <c r="C61" i="3"/>
  <c r="B61" i="3"/>
  <c r="A60" i="3"/>
  <c r="I60" i="3"/>
  <c r="H60" i="3"/>
  <c r="G60" i="3"/>
  <c r="F60" i="3"/>
  <c r="E60" i="3"/>
  <c r="D60" i="3"/>
  <c r="C60" i="3"/>
  <c r="B60" i="3"/>
  <c r="A59" i="3"/>
  <c r="I59" i="3"/>
  <c r="H59" i="3"/>
  <c r="G59" i="3"/>
  <c r="F59" i="3"/>
  <c r="E59" i="3"/>
  <c r="D59" i="3"/>
  <c r="C59" i="3"/>
  <c r="B59" i="3"/>
  <c r="A58" i="3"/>
  <c r="I58" i="3"/>
  <c r="H58" i="3"/>
  <c r="G58" i="3"/>
  <c r="F58" i="3"/>
  <c r="E58" i="3"/>
  <c r="D58" i="3"/>
  <c r="C58" i="3"/>
  <c r="B58" i="3"/>
  <c r="A57" i="3"/>
  <c r="I57" i="3"/>
  <c r="H57" i="3"/>
  <c r="G57" i="3"/>
  <c r="F57" i="3"/>
  <c r="E57" i="3"/>
  <c r="D57" i="3"/>
  <c r="C57" i="3"/>
  <c r="B57" i="3"/>
  <c r="A56" i="3"/>
  <c r="I56" i="3"/>
  <c r="H56" i="3"/>
  <c r="G56" i="3"/>
  <c r="F56" i="3"/>
  <c r="E56" i="3"/>
  <c r="D56" i="3"/>
  <c r="C56" i="3"/>
  <c r="B56" i="3"/>
  <c r="A55" i="3"/>
  <c r="I55" i="3"/>
  <c r="H55" i="3"/>
  <c r="G55" i="3"/>
  <c r="F55" i="3"/>
  <c r="E55" i="3"/>
  <c r="D55" i="3"/>
  <c r="C55" i="3"/>
  <c r="B55" i="3"/>
  <c r="A54" i="3"/>
  <c r="I54" i="3"/>
  <c r="H54" i="3"/>
  <c r="G54" i="3"/>
  <c r="F54" i="3"/>
  <c r="E54" i="3"/>
  <c r="D54" i="3"/>
  <c r="C54" i="3"/>
  <c r="B54" i="3"/>
  <c r="A53" i="3"/>
  <c r="I53" i="3"/>
  <c r="H53" i="3"/>
  <c r="G53" i="3"/>
  <c r="F53" i="3"/>
  <c r="E53" i="3"/>
  <c r="D53" i="3"/>
  <c r="C53" i="3"/>
  <c r="B53" i="3"/>
  <c r="A52" i="3"/>
  <c r="I52" i="3"/>
  <c r="H52" i="3"/>
  <c r="G52" i="3"/>
  <c r="F52" i="3"/>
  <c r="E52" i="3"/>
  <c r="D52" i="3"/>
  <c r="C52" i="3"/>
  <c r="B52" i="3"/>
  <c r="A51" i="3"/>
  <c r="I51" i="3"/>
  <c r="H51" i="3"/>
  <c r="G51" i="3"/>
  <c r="F51" i="3"/>
  <c r="E51" i="3"/>
  <c r="D51" i="3"/>
  <c r="C51" i="3"/>
  <c r="B51" i="3"/>
  <c r="A50" i="3"/>
  <c r="I50" i="3"/>
  <c r="H50" i="3"/>
  <c r="G50" i="3"/>
  <c r="F50" i="3"/>
  <c r="E50" i="3"/>
  <c r="D50" i="3"/>
  <c r="C50" i="3"/>
  <c r="B50" i="3"/>
  <c r="A49" i="3"/>
  <c r="I49" i="3"/>
  <c r="H49" i="3"/>
  <c r="G49" i="3"/>
  <c r="F49" i="3"/>
  <c r="E49" i="3"/>
  <c r="D49" i="3"/>
  <c r="C49" i="3"/>
  <c r="B49" i="3"/>
  <c r="A48" i="3"/>
  <c r="I48" i="3"/>
  <c r="H48" i="3"/>
  <c r="G48" i="3"/>
  <c r="F48" i="3"/>
  <c r="E48" i="3"/>
  <c r="D48" i="3"/>
  <c r="C48" i="3"/>
  <c r="B48" i="3"/>
  <c r="A47" i="3"/>
  <c r="I47" i="3"/>
  <c r="H47" i="3"/>
  <c r="G47" i="3"/>
  <c r="F47" i="3"/>
  <c r="E47" i="3"/>
  <c r="D47" i="3"/>
  <c r="C47" i="3"/>
  <c r="B47" i="3"/>
  <c r="A46" i="3"/>
  <c r="I46" i="3"/>
  <c r="H46" i="3"/>
  <c r="G46" i="3"/>
  <c r="F46" i="3"/>
  <c r="E46" i="3"/>
  <c r="D46" i="3"/>
  <c r="C46" i="3"/>
  <c r="B46" i="3"/>
  <c r="A45" i="3"/>
  <c r="I45" i="3"/>
  <c r="H45" i="3"/>
  <c r="G45" i="3"/>
  <c r="F45" i="3"/>
  <c r="E45" i="3"/>
  <c r="D45" i="3"/>
  <c r="C45" i="3"/>
  <c r="B45" i="3"/>
  <c r="A44" i="3"/>
  <c r="I44" i="3"/>
  <c r="H44" i="3"/>
  <c r="G44" i="3"/>
  <c r="F44" i="3"/>
  <c r="E44" i="3"/>
  <c r="D44" i="3"/>
  <c r="C44" i="3"/>
  <c r="B44" i="3"/>
  <c r="A43" i="3"/>
  <c r="I43" i="3"/>
  <c r="H43" i="3"/>
  <c r="G43" i="3"/>
  <c r="F43" i="3"/>
  <c r="E43" i="3"/>
  <c r="D43" i="3"/>
  <c r="C43" i="3"/>
  <c r="B43" i="3"/>
  <c r="A42" i="3"/>
  <c r="I42" i="3"/>
  <c r="H42" i="3"/>
  <c r="G42" i="3"/>
  <c r="F42" i="3"/>
  <c r="E42" i="3"/>
  <c r="D42" i="3"/>
  <c r="C42" i="3"/>
  <c r="B42" i="3"/>
  <c r="A41" i="3"/>
  <c r="I41" i="3"/>
  <c r="H41" i="3"/>
  <c r="G41" i="3"/>
  <c r="F41" i="3"/>
  <c r="E41" i="3"/>
  <c r="D41" i="3"/>
  <c r="C41" i="3"/>
  <c r="B41" i="3"/>
  <c r="A40" i="3"/>
  <c r="I40" i="3"/>
  <c r="H40" i="3"/>
  <c r="G40" i="3"/>
  <c r="F40" i="3"/>
  <c r="E40" i="3"/>
  <c r="D40" i="3"/>
  <c r="C40" i="3"/>
  <c r="B40" i="3"/>
  <c r="A39" i="3"/>
  <c r="I39" i="3"/>
  <c r="H39" i="3"/>
  <c r="G39" i="3"/>
  <c r="F39" i="3"/>
  <c r="E39" i="3"/>
  <c r="D39" i="3"/>
  <c r="C39" i="3"/>
  <c r="B39" i="3"/>
  <c r="A38" i="3"/>
  <c r="I38" i="3"/>
  <c r="H38" i="3"/>
  <c r="G38" i="3"/>
  <c r="F38" i="3"/>
  <c r="E38" i="3"/>
  <c r="D38" i="3"/>
  <c r="C38" i="3"/>
  <c r="B38" i="3"/>
  <c r="A37" i="3"/>
  <c r="I37" i="3"/>
  <c r="H37" i="3"/>
  <c r="G37" i="3"/>
  <c r="F37" i="3"/>
  <c r="E37" i="3"/>
  <c r="D37" i="3"/>
  <c r="C37" i="3"/>
  <c r="B37" i="3"/>
  <c r="A36" i="3"/>
  <c r="I36" i="3"/>
  <c r="H36" i="3"/>
  <c r="G36" i="3"/>
  <c r="F36" i="3"/>
  <c r="E36" i="3"/>
  <c r="D36" i="3"/>
  <c r="C36" i="3"/>
  <c r="B36" i="3"/>
  <c r="A35" i="3"/>
  <c r="I35" i="3"/>
  <c r="H35" i="3"/>
  <c r="G35" i="3"/>
  <c r="F35" i="3"/>
  <c r="E35" i="3"/>
  <c r="D35" i="3"/>
  <c r="C35" i="3"/>
  <c r="B35" i="3"/>
  <c r="A34" i="3"/>
  <c r="I34" i="3"/>
  <c r="H34" i="3"/>
  <c r="G34" i="3"/>
  <c r="F34" i="3"/>
  <c r="E34" i="3"/>
  <c r="D34" i="3"/>
  <c r="C34" i="3"/>
  <c r="B34" i="3"/>
  <c r="A33" i="3"/>
  <c r="I33" i="3"/>
  <c r="H33" i="3"/>
  <c r="G33" i="3"/>
  <c r="F33" i="3"/>
  <c r="E33" i="3"/>
  <c r="D33" i="3"/>
  <c r="C33" i="3"/>
  <c r="B33" i="3"/>
  <c r="A32" i="3"/>
  <c r="I32" i="3"/>
  <c r="H32" i="3"/>
  <c r="G32" i="3"/>
  <c r="F32" i="3"/>
  <c r="E32" i="3"/>
  <c r="D32" i="3"/>
  <c r="C32" i="3"/>
  <c r="B32" i="3"/>
  <c r="A31" i="3"/>
  <c r="I31" i="3"/>
  <c r="H31" i="3"/>
  <c r="G31" i="3"/>
  <c r="F31" i="3"/>
  <c r="E31" i="3"/>
  <c r="D31" i="3"/>
  <c r="C31" i="3"/>
  <c r="B31" i="3"/>
  <c r="A30" i="3"/>
  <c r="I30" i="3"/>
  <c r="H30" i="3"/>
  <c r="G30" i="3"/>
  <c r="F30" i="3"/>
  <c r="E30" i="3"/>
  <c r="D30" i="3"/>
  <c r="C30" i="3"/>
  <c r="B30" i="3"/>
  <c r="A29" i="3"/>
  <c r="I29" i="3"/>
  <c r="H29" i="3"/>
  <c r="G29" i="3"/>
  <c r="F29" i="3"/>
  <c r="E29" i="3"/>
  <c r="D29" i="3"/>
  <c r="C29" i="3"/>
  <c r="B29" i="3"/>
  <c r="A28" i="3"/>
  <c r="I28" i="3"/>
  <c r="H28" i="3"/>
  <c r="G28" i="3"/>
  <c r="F28" i="3"/>
  <c r="E28" i="3"/>
  <c r="D28" i="3"/>
  <c r="C28" i="3"/>
  <c r="B28" i="3"/>
  <c r="A27" i="3"/>
  <c r="I27" i="3"/>
  <c r="H27" i="3"/>
  <c r="G27" i="3"/>
  <c r="F27" i="3"/>
  <c r="E27" i="3"/>
  <c r="D27" i="3"/>
  <c r="C27" i="3"/>
  <c r="B27" i="3"/>
  <c r="A26" i="3"/>
  <c r="I26" i="3"/>
  <c r="H26" i="3"/>
  <c r="G26" i="3"/>
  <c r="F26" i="3"/>
  <c r="E26" i="3"/>
  <c r="D26" i="3"/>
  <c r="C26" i="3"/>
  <c r="B26" i="3"/>
  <c r="A25" i="3"/>
  <c r="I25" i="3"/>
  <c r="H25" i="3"/>
  <c r="G25" i="3"/>
  <c r="F25" i="3"/>
  <c r="E25" i="3"/>
  <c r="D25" i="3"/>
  <c r="C25" i="3"/>
  <c r="B25" i="3"/>
  <c r="A24" i="3"/>
  <c r="I24" i="3"/>
  <c r="H24" i="3"/>
  <c r="G24" i="3"/>
  <c r="F24" i="3"/>
  <c r="E24" i="3"/>
  <c r="D24" i="3"/>
  <c r="C24" i="3"/>
  <c r="B24" i="3"/>
  <c r="A23" i="3"/>
  <c r="I23" i="3"/>
  <c r="H23" i="3"/>
  <c r="G23" i="3"/>
  <c r="F23" i="3"/>
  <c r="E23" i="3"/>
  <c r="D23" i="3"/>
  <c r="C23" i="3"/>
  <c r="B23" i="3"/>
  <c r="A22" i="3"/>
  <c r="I22" i="3"/>
  <c r="H22" i="3"/>
  <c r="G22" i="3"/>
  <c r="F22" i="3"/>
  <c r="E22" i="3"/>
  <c r="D22" i="3"/>
  <c r="C22" i="3"/>
  <c r="B22" i="3"/>
  <c r="A21" i="3"/>
  <c r="I21" i="3"/>
  <c r="H21" i="3"/>
  <c r="G21" i="3"/>
  <c r="F21" i="3"/>
  <c r="E21" i="3"/>
  <c r="D21" i="3"/>
  <c r="C21" i="3"/>
  <c r="B21" i="3"/>
  <c r="A20" i="3"/>
  <c r="I20" i="3"/>
  <c r="H20" i="3"/>
  <c r="G20" i="3"/>
  <c r="F20" i="3"/>
  <c r="E20" i="3"/>
  <c r="D20" i="3"/>
  <c r="C20" i="3"/>
  <c r="B20" i="3"/>
  <c r="A19" i="3"/>
  <c r="I19" i="3"/>
  <c r="H19" i="3"/>
  <c r="G19" i="3"/>
  <c r="F19" i="3"/>
  <c r="E19" i="3"/>
  <c r="D19" i="3"/>
  <c r="C19" i="3"/>
  <c r="B19" i="3"/>
  <c r="A18" i="3"/>
  <c r="I18" i="3"/>
  <c r="H18" i="3"/>
  <c r="G18" i="3"/>
  <c r="F18" i="3"/>
  <c r="E18" i="3"/>
  <c r="D18" i="3"/>
  <c r="C18" i="3"/>
  <c r="B18" i="3"/>
  <c r="A17" i="3"/>
  <c r="I17" i="3"/>
  <c r="H17" i="3"/>
  <c r="G17" i="3"/>
  <c r="F17" i="3"/>
  <c r="E17" i="3"/>
  <c r="D17" i="3"/>
  <c r="C17" i="3"/>
  <c r="B17" i="3"/>
  <c r="A16" i="3"/>
  <c r="I16" i="3"/>
  <c r="H16" i="3"/>
  <c r="G16" i="3"/>
  <c r="F16" i="3"/>
  <c r="E16" i="3"/>
  <c r="D16" i="3"/>
  <c r="C16" i="3"/>
  <c r="B16" i="3"/>
  <c r="A15" i="3"/>
  <c r="I15" i="3"/>
  <c r="H15" i="3"/>
  <c r="G15" i="3"/>
  <c r="F15" i="3"/>
  <c r="E15" i="3"/>
  <c r="D15" i="3"/>
  <c r="C15" i="3"/>
  <c r="B15" i="3"/>
  <c r="A14" i="3"/>
  <c r="I14" i="3"/>
  <c r="H14" i="3"/>
  <c r="G14" i="3"/>
  <c r="F14" i="3"/>
  <c r="E14" i="3"/>
  <c r="D14" i="3"/>
  <c r="C14" i="3"/>
  <c r="B14" i="3"/>
  <c r="A13" i="3"/>
  <c r="I13" i="3"/>
  <c r="H13" i="3"/>
  <c r="G13" i="3"/>
  <c r="F13" i="3"/>
  <c r="E13" i="3"/>
  <c r="D13" i="3"/>
  <c r="C13" i="3"/>
  <c r="B13" i="3"/>
  <c r="A12" i="3"/>
  <c r="I12" i="3"/>
  <c r="H12" i="3"/>
  <c r="G12" i="3"/>
  <c r="F12" i="3"/>
  <c r="E12" i="3"/>
  <c r="D12" i="3"/>
  <c r="C12" i="3"/>
  <c r="B12" i="3"/>
  <c r="A11" i="3"/>
  <c r="I11" i="3"/>
  <c r="H11" i="3"/>
  <c r="G11" i="3"/>
  <c r="F11" i="3"/>
  <c r="E11" i="3"/>
  <c r="D11" i="3"/>
  <c r="C11" i="3"/>
  <c r="B11" i="3"/>
  <c r="A10" i="3"/>
  <c r="I10" i="3"/>
  <c r="H10" i="3"/>
  <c r="G10" i="3"/>
  <c r="F10" i="3"/>
  <c r="E10" i="3"/>
  <c r="D10" i="3"/>
  <c r="C10" i="3"/>
  <c r="B10" i="3"/>
  <c r="A9" i="3"/>
  <c r="I9" i="3"/>
  <c r="H9" i="3"/>
  <c r="G9" i="3"/>
  <c r="F9" i="3"/>
  <c r="E9" i="3"/>
  <c r="D9" i="3"/>
  <c r="C9" i="3"/>
  <c r="B9" i="3"/>
  <c r="A8" i="3"/>
  <c r="I8" i="3"/>
  <c r="H8" i="3"/>
  <c r="G8" i="3"/>
  <c r="F8" i="3"/>
  <c r="E8" i="3"/>
  <c r="D8" i="3"/>
  <c r="C8" i="3"/>
  <c r="B8" i="3"/>
  <c r="A7" i="3"/>
  <c r="I7" i="3"/>
  <c r="H7" i="3"/>
  <c r="G7" i="3"/>
  <c r="F7" i="3"/>
  <c r="E7" i="3"/>
  <c r="D7" i="3"/>
  <c r="C7" i="3"/>
  <c r="B7" i="3"/>
  <c r="A6" i="3"/>
  <c r="I6" i="3"/>
  <c r="H6" i="3"/>
  <c r="G6" i="3"/>
  <c r="F6" i="3"/>
  <c r="E6" i="3"/>
  <c r="D6" i="3"/>
  <c r="C6" i="3"/>
  <c r="B6" i="3"/>
  <c r="A5" i="3"/>
  <c r="E5" i="3"/>
  <c r="F5" i="3"/>
  <c r="G5" i="3"/>
  <c r="H5" i="3"/>
  <c r="I5" i="3"/>
  <c r="D5" i="3"/>
  <c r="C5" i="3"/>
  <c r="B5" i="3"/>
  <c r="H2000" i="2"/>
  <c r="E2000" i="2"/>
  <c r="C2000" i="2"/>
  <c r="A2000" i="2"/>
  <c r="H1999" i="2"/>
  <c r="E1999" i="2"/>
  <c r="C1999" i="2"/>
  <c r="A1999" i="2"/>
  <c r="H1998" i="2"/>
  <c r="E1998" i="2"/>
  <c r="C1998" i="2"/>
  <c r="A1998" i="2"/>
  <c r="H1997" i="2"/>
  <c r="E1997" i="2"/>
  <c r="C1997" i="2"/>
  <c r="A1997" i="2"/>
  <c r="H1996" i="2"/>
  <c r="E1996" i="2"/>
  <c r="C1996" i="2"/>
  <c r="A1996" i="2"/>
  <c r="H1995" i="2"/>
  <c r="E1995" i="2"/>
  <c r="C1995" i="2"/>
  <c r="A1995" i="2"/>
  <c r="H1994" i="2"/>
  <c r="E1994" i="2"/>
  <c r="C1994" i="2"/>
  <c r="A1994" i="2"/>
  <c r="H1993" i="2"/>
  <c r="E1993" i="2"/>
  <c r="C1993" i="2"/>
  <c r="A1993" i="2"/>
  <c r="H1992" i="2"/>
  <c r="E1992" i="2"/>
  <c r="C1992" i="2"/>
  <c r="A1992" i="2"/>
  <c r="H1991" i="2"/>
  <c r="E1991" i="2"/>
  <c r="C1991" i="2"/>
  <c r="A1991" i="2"/>
  <c r="H1990" i="2"/>
  <c r="E1990" i="2"/>
  <c r="C1990" i="2"/>
  <c r="A1990" i="2"/>
  <c r="H1989" i="2"/>
  <c r="E1989" i="2"/>
  <c r="C1989" i="2"/>
  <c r="A1989" i="2"/>
  <c r="H1988" i="2"/>
  <c r="E1988" i="2"/>
  <c r="C1988" i="2"/>
  <c r="A1988" i="2"/>
  <c r="H1987" i="2"/>
  <c r="E1987" i="2"/>
  <c r="C1987" i="2"/>
  <c r="A1987" i="2"/>
  <c r="H1986" i="2"/>
  <c r="E1986" i="2"/>
  <c r="C1986" i="2"/>
  <c r="A1986" i="2"/>
  <c r="H1985" i="2"/>
  <c r="E1985" i="2"/>
  <c r="C1985" i="2"/>
  <c r="A1985" i="2"/>
  <c r="H1984" i="2"/>
  <c r="E1984" i="2"/>
  <c r="C1984" i="2"/>
  <c r="A1984" i="2"/>
  <c r="H1983" i="2"/>
  <c r="E1983" i="2"/>
  <c r="C1983" i="2"/>
  <c r="A1983" i="2"/>
  <c r="H1982" i="2"/>
  <c r="E1982" i="2"/>
  <c r="C1982" i="2"/>
  <c r="A1982" i="2"/>
  <c r="H1981" i="2"/>
  <c r="E1981" i="2"/>
  <c r="C1981" i="2"/>
  <c r="A1981" i="2"/>
  <c r="H1980" i="2"/>
  <c r="E1980" i="2"/>
  <c r="C1980" i="2"/>
  <c r="A1980" i="2"/>
  <c r="H1979" i="2"/>
  <c r="E1979" i="2"/>
  <c r="C1979" i="2"/>
  <c r="A1979" i="2"/>
  <c r="H1978" i="2"/>
  <c r="E1978" i="2"/>
  <c r="C1978" i="2"/>
  <c r="A1978" i="2"/>
  <c r="H1977" i="2"/>
  <c r="E1977" i="2"/>
  <c r="C1977" i="2"/>
  <c r="A1977" i="2"/>
  <c r="H1976" i="2"/>
  <c r="E1976" i="2"/>
  <c r="C1976" i="2"/>
  <c r="A1976" i="2"/>
  <c r="H1975" i="2"/>
  <c r="E1975" i="2"/>
  <c r="C1975" i="2"/>
  <c r="A1975" i="2"/>
  <c r="H1974" i="2"/>
  <c r="E1974" i="2"/>
  <c r="C1974" i="2"/>
  <c r="A1974" i="2"/>
  <c r="H1973" i="2"/>
  <c r="E1973" i="2"/>
  <c r="C1973" i="2"/>
  <c r="A1973" i="2"/>
  <c r="H1972" i="2"/>
  <c r="E1972" i="2"/>
  <c r="C1972" i="2"/>
  <c r="A1972" i="2"/>
  <c r="H1971" i="2"/>
  <c r="E1971" i="2"/>
  <c r="C1971" i="2"/>
  <c r="A1971" i="2"/>
  <c r="H1970" i="2"/>
  <c r="E1970" i="2"/>
  <c r="C1970" i="2"/>
  <c r="A1970" i="2"/>
  <c r="H1969" i="2"/>
  <c r="E1969" i="2"/>
  <c r="C1969" i="2"/>
  <c r="A1969" i="2"/>
  <c r="H1968" i="2"/>
  <c r="E1968" i="2"/>
  <c r="C1968" i="2"/>
  <c r="A1968" i="2"/>
  <c r="H1967" i="2"/>
  <c r="E1967" i="2"/>
  <c r="C1967" i="2"/>
  <c r="A1967" i="2"/>
  <c r="H1966" i="2"/>
  <c r="E1966" i="2"/>
  <c r="C1966" i="2"/>
  <c r="A1966" i="2"/>
  <c r="H1965" i="2"/>
  <c r="E1965" i="2"/>
  <c r="C1965" i="2"/>
  <c r="A1965" i="2"/>
  <c r="H1964" i="2"/>
  <c r="E1964" i="2"/>
  <c r="C1964" i="2"/>
  <c r="A1964" i="2"/>
  <c r="H1963" i="2"/>
  <c r="E1963" i="2"/>
  <c r="C1963" i="2"/>
  <c r="A1963" i="2"/>
  <c r="H1962" i="2"/>
  <c r="E1962" i="2"/>
  <c r="C1962" i="2"/>
  <c r="A1962" i="2"/>
  <c r="H1961" i="2"/>
  <c r="E1961" i="2"/>
  <c r="C1961" i="2"/>
  <c r="A1961" i="2"/>
  <c r="H1960" i="2"/>
  <c r="E1960" i="2"/>
  <c r="C1960" i="2"/>
  <c r="A1960" i="2"/>
  <c r="H1959" i="2"/>
  <c r="E1959" i="2"/>
  <c r="C1959" i="2"/>
  <c r="A1959" i="2"/>
  <c r="H1958" i="2"/>
  <c r="E1958" i="2"/>
  <c r="C1958" i="2"/>
  <c r="A1958" i="2"/>
  <c r="H1957" i="2"/>
  <c r="E1957" i="2"/>
  <c r="C1957" i="2"/>
  <c r="A1957" i="2"/>
  <c r="H1956" i="2"/>
  <c r="E1956" i="2"/>
  <c r="C1956" i="2"/>
  <c r="A1956" i="2"/>
  <c r="H1955" i="2"/>
  <c r="E1955" i="2"/>
  <c r="C1955" i="2"/>
  <c r="A1955" i="2"/>
  <c r="H1954" i="2"/>
  <c r="E1954" i="2"/>
  <c r="C1954" i="2"/>
  <c r="A1954" i="2"/>
  <c r="H1953" i="2"/>
  <c r="E1953" i="2"/>
  <c r="C1953" i="2"/>
  <c r="A1953" i="2"/>
  <c r="H1952" i="2"/>
  <c r="E1952" i="2"/>
  <c r="C1952" i="2"/>
  <c r="A1952" i="2"/>
  <c r="H1951" i="2"/>
  <c r="E1951" i="2"/>
  <c r="C1951" i="2"/>
  <c r="A1951" i="2"/>
  <c r="H1950" i="2"/>
  <c r="E1950" i="2"/>
  <c r="C1950" i="2"/>
  <c r="A1950" i="2"/>
  <c r="H1949" i="2"/>
  <c r="E1949" i="2"/>
  <c r="C1949" i="2"/>
  <c r="A1949" i="2"/>
  <c r="H1948" i="2"/>
  <c r="E1948" i="2"/>
  <c r="C1948" i="2"/>
  <c r="A1948" i="2"/>
  <c r="H1947" i="2"/>
  <c r="E1947" i="2"/>
  <c r="C1947" i="2"/>
  <c r="A1947" i="2"/>
  <c r="H1946" i="2"/>
  <c r="E1946" i="2"/>
  <c r="C1946" i="2"/>
  <c r="A1946" i="2"/>
  <c r="H1945" i="2"/>
  <c r="E1945" i="2"/>
  <c r="C1945" i="2"/>
  <c r="A1945" i="2"/>
  <c r="H1944" i="2"/>
  <c r="E1944" i="2"/>
  <c r="C1944" i="2"/>
  <c r="A1944" i="2"/>
  <c r="H1943" i="2"/>
  <c r="E1943" i="2"/>
  <c r="C1943" i="2"/>
  <c r="A1943" i="2"/>
  <c r="H1942" i="2"/>
  <c r="E1942" i="2"/>
  <c r="C1942" i="2"/>
  <c r="A1942" i="2"/>
  <c r="H1941" i="2"/>
  <c r="E1941" i="2"/>
  <c r="C1941" i="2"/>
  <c r="A1941" i="2"/>
  <c r="H1940" i="2"/>
  <c r="E1940" i="2"/>
  <c r="C1940" i="2"/>
  <c r="A1940" i="2"/>
  <c r="H1939" i="2"/>
  <c r="E1939" i="2"/>
  <c r="C1939" i="2"/>
  <c r="A1939" i="2"/>
  <c r="H1938" i="2"/>
  <c r="E1938" i="2"/>
  <c r="C1938" i="2"/>
  <c r="A1938" i="2"/>
  <c r="H1937" i="2"/>
  <c r="E1937" i="2"/>
  <c r="C1937" i="2"/>
  <c r="A1937" i="2"/>
  <c r="H1936" i="2"/>
  <c r="E1936" i="2"/>
  <c r="C1936" i="2"/>
  <c r="A1936" i="2"/>
  <c r="H1935" i="2"/>
  <c r="E1935" i="2"/>
  <c r="C1935" i="2"/>
  <c r="A1935" i="2"/>
  <c r="H1934" i="2"/>
  <c r="E1934" i="2"/>
  <c r="C1934" i="2"/>
  <c r="A1934" i="2"/>
  <c r="H1933" i="2"/>
  <c r="E1933" i="2"/>
  <c r="C1933" i="2"/>
  <c r="A1933" i="2"/>
  <c r="H1932" i="2"/>
  <c r="E1932" i="2"/>
  <c r="C1932" i="2"/>
  <c r="A1932" i="2"/>
  <c r="H1931" i="2"/>
  <c r="E1931" i="2"/>
  <c r="C1931" i="2"/>
  <c r="A1931" i="2"/>
  <c r="H1930" i="2"/>
  <c r="E1930" i="2"/>
  <c r="C1930" i="2"/>
  <c r="A1930" i="2"/>
  <c r="H1929" i="2"/>
  <c r="E1929" i="2"/>
  <c r="C1929" i="2"/>
  <c r="A1929" i="2"/>
  <c r="H1928" i="2"/>
  <c r="E1928" i="2"/>
  <c r="C1928" i="2"/>
  <c r="A1928" i="2"/>
  <c r="H1927" i="2"/>
  <c r="E1927" i="2"/>
  <c r="C1927" i="2"/>
  <c r="A1927" i="2"/>
  <c r="H1926" i="2"/>
  <c r="E1926" i="2"/>
  <c r="C1926" i="2"/>
  <c r="A1926" i="2"/>
  <c r="H1925" i="2"/>
  <c r="E1925" i="2"/>
  <c r="C1925" i="2"/>
  <c r="A1925" i="2"/>
  <c r="H1924" i="2"/>
  <c r="E1924" i="2"/>
  <c r="C1924" i="2"/>
  <c r="A1924" i="2"/>
  <c r="H1923" i="2"/>
  <c r="E1923" i="2"/>
  <c r="C1923" i="2"/>
  <c r="A1923" i="2"/>
  <c r="H1922" i="2"/>
  <c r="E1922" i="2"/>
  <c r="C1922" i="2"/>
  <c r="A1922" i="2"/>
  <c r="H1921" i="2"/>
  <c r="E1921" i="2"/>
  <c r="C1921" i="2"/>
  <c r="A1921" i="2"/>
  <c r="H1920" i="2"/>
  <c r="E1920" i="2"/>
  <c r="C1920" i="2"/>
  <c r="A1920" i="2"/>
  <c r="H1919" i="2"/>
  <c r="E1919" i="2"/>
  <c r="C1919" i="2"/>
  <c r="A1919" i="2"/>
  <c r="H1918" i="2"/>
  <c r="E1918" i="2"/>
  <c r="C1918" i="2"/>
  <c r="A1918" i="2"/>
  <c r="H1917" i="2"/>
  <c r="E1917" i="2"/>
  <c r="C1917" i="2"/>
  <c r="A1917" i="2"/>
  <c r="H1916" i="2"/>
  <c r="E1916" i="2"/>
  <c r="C1916" i="2"/>
  <c r="A1916" i="2"/>
  <c r="H1915" i="2"/>
  <c r="E1915" i="2"/>
  <c r="C1915" i="2"/>
  <c r="A1915" i="2"/>
  <c r="H1914" i="2"/>
  <c r="E1914" i="2"/>
  <c r="C1914" i="2"/>
  <c r="A1914" i="2"/>
  <c r="H1913" i="2"/>
  <c r="E1913" i="2"/>
  <c r="C1913" i="2"/>
  <c r="A1913" i="2"/>
  <c r="H1912" i="2"/>
  <c r="E1912" i="2"/>
  <c r="C1912" i="2"/>
  <c r="A1912" i="2"/>
  <c r="H1911" i="2"/>
  <c r="E1911" i="2"/>
  <c r="C1911" i="2"/>
  <c r="A1911" i="2"/>
  <c r="H1910" i="2"/>
  <c r="E1910" i="2"/>
  <c r="C1910" i="2"/>
  <c r="A1910" i="2"/>
  <c r="H1909" i="2"/>
  <c r="E1909" i="2"/>
  <c r="C1909" i="2"/>
  <c r="A1909" i="2"/>
  <c r="H1908" i="2"/>
  <c r="E1908" i="2"/>
  <c r="C1908" i="2"/>
  <c r="A1908" i="2"/>
  <c r="H1907" i="2"/>
  <c r="E1907" i="2"/>
  <c r="C1907" i="2"/>
  <c r="A1907" i="2"/>
  <c r="H1906" i="2"/>
  <c r="E1906" i="2"/>
  <c r="C1906" i="2"/>
  <c r="A1906" i="2"/>
  <c r="H1905" i="2"/>
  <c r="E1905" i="2"/>
  <c r="C1905" i="2"/>
  <c r="A1905" i="2"/>
  <c r="H1904" i="2"/>
  <c r="E1904" i="2"/>
  <c r="C1904" i="2"/>
  <c r="A1904" i="2"/>
  <c r="H1903" i="2"/>
  <c r="E1903" i="2"/>
  <c r="C1903" i="2"/>
  <c r="A1903" i="2"/>
  <c r="H1902" i="2"/>
  <c r="E1902" i="2"/>
  <c r="C1902" i="2"/>
  <c r="A1902" i="2"/>
  <c r="H1901" i="2"/>
  <c r="E1901" i="2"/>
  <c r="C1901" i="2"/>
  <c r="A1901" i="2"/>
  <c r="H1900" i="2"/>
  <c r="E1900" i="2"/>
  <c r="C1900" i="2"/>
  <c r="A1900" i="2"/>
  <c r="H1899" i="2"/>
  <c r="E1899" i="2"/>
  <c r="C1899" i="2"/>
  <c r="A1899" i="2"/>
  <c r="H1898" i="2"/>
  <c r="E1898" i="2"/>
  <c r="C1898" i="2"/>
  <c r="A1898" i="2"/>
  <c r="H1897" i="2"/>
  <c r="E1897" i="2"/>
  <c r="C1897" i="2"/>
  <c r="A1897" i="2"/>
  <c r="H1896" i="2"/>
  <c r="E1896" i="2"/>
  <c r="C1896" i="2"/>
  <c r="A1896" i="2"/>
  <c r="H1895" i="2"/>
  <c r="E1895" i="2"/>
  <c r="C1895" i="2"/>
  <c r="A1895" i="2"/>
  <c r="H1894" i="2"/>
  <c r="E1894" i="2"/>
  <c r="C1894" i="2"/>
  <c r="A1894" i="2"/>
  <c r="H1893" i="2"/>
  <c r="E1893" i="2"/>
  <c r="C1893" i="2"/>
  <c r="A1893" i="2"/>
  <c r="H1892" i="2"/>
  <c r="E1892" i="2"/>
  <c r="C1892" i="2"/>
  <c r="A1892" i="2"/>
  <c r="H1891" i="2"/>
  <c r="E1891" i="2"/>
  <c r="C1891" i="2"/>
  <c r="A1891" i="2"/>
  <c r="H1890" i="2"/>
  <c r="E1890" i="2"/>
  <c r="C1890" i="2"/>
  <c r="A1890" i="2"/>
  <c r="H1889" i="2"/>
  <c r="E1889" i="2"/>
  <c r="C1889" i="2"/>
  <c r="A1889" i="2"/>
  <c r="H1888" i="2"/>
  <c r="E1888" i="2"/>
  <c r="C1888" i="2"/>
  <c r="A1888" i="2"/>
  <c r="H1887" i="2"/>
  <c r="E1887" i="2"/>
  <c r="C1887" i="2"/>
  <c r="A1887" i="2"/>
  <c r="H1886" i="2"/>
  <c r="E1886" i="2"/>
  <c r="C1886" i="2"/>
  <c r="A1886" i="2"/>
  <c r="H1885" i="2"/>
  <c r="E1885" i="2"/>
  <c r="C1885" i="2"/>
  <c r="A1885" i="2"/>
  <c r="H1884" i="2"/>
  <c r="E1884" i="2"/>
  <c r="C1884" i="2"/>
  <c r="A1884" i="2"/>
  <c r="H1883" i="2"/>
  <c r="E1883" i="2"/>
  <c r="C1883" i="2"/>
  <c r="A1883" i="2"/>
  <c r="H1882" i="2"/>
  <c r="E1882" i="2"/>
  <c r="C1882" i="2"/>
  <c r="A1882" i="2"/>
  <c r="H1881" i="2"/>
  <c r="E1881" i="2"/>
  <c r="C1881" i="2"/>
  <c r="A1881" i="2"/>
  <c r="H1880" i="2"/>
  <c r="E1880" i="2"/>
  <c r="C1880" i="2"/>
  <c r="A1880" i="2"/>
  <c r="H1879" i="2"/>
  <c r="E1879" i="2"/>
  <c r="C1879" i="2"/>
  <c r="A1879" i="2"/>
  <c r="H1878" i="2"/>
  <c r="E1878" i="2"/>
  <c r="C1878" i="2"/>
  <c r="A1878" i="2"/>
  <c r="H1877" i="2"/>
  <c r="E1877" i="2"/>
  <c r="C1877" i="2"/>
  <c r="A1877" i="2"/>
  <c r="H1876" i="2"/>
  <c r="E1876" i="2"/>
  <c r="C1876" i="2"/>
  <c r="A1876" i="2"/>
  <c r="H1875" i="2"/>
  <c r="E1875" i="2"/>
  <c r="C1875" i="2"/>
  <c r="A1875" i="2"/>
  <c r="H1874" i="2"/>
  <c r="E1874" i="2"/>
  <c r="C1874" i="2"/>
  <c r="A1874" i="2"/>
  <c r="H1873" i="2"/>
  <c r="E1873" i="2"/>
  <c r="C1873" i="2"/>
  <c r="A1873" i="2"/>
  <c r="H1872" i="2"/>
  <c r="E1872" i="2"/>
  <c r="C1872" i="2"/>
  <c r="A1872" i="2"/>
  <c r="H1871" i="2"/>
  <c r="E1871" i="2"/>
  <c r="C1871" i="2"/>
  <c r="A1871" i="2"/>
  <c r="H1870" i="2"/>
  <c r="E1870" i="2"/>
  <c r="C1870" i="2"/>
  <c r="A1870" i="2"/>
  <c r="H1869" i="2"/>
  <c r="E1869" i="2"/>
  <c r="C1869" i="2"/>
  <c r="A1869" i="2"/>
  <c r="H1868" i="2"/>
  <c r="E1868" i="2"/>
  <c r="C1868" i="2"/>
  <c r="A1868" i="2"/>
  <c r="H1867" i="2"/>
  <c r="E1867" i="2"/>
  <c r="C1867" i="2"/>
  <c r="A1867" i="2"/>
  <c r="H1866" i="2"/>
  <c r="E1866" i="2"/>
  <c r="C1866" i="2"/>
  <c r="A1866" i="2"/>
  <c r="H1865" i="2"/>
  <c r="E1865" i="2"/>
  <c r="C1865" i="2"/>
  <c r="A1865" i="2"/>
  <c r="H1864" i="2"/>
  <c r="E1864" i="2"/>
  <c r="C1864" i="2"/>
  <c r="A1864" i="2"/>
  <c r="H1863" i="2"/>
  <c r="E1863" i="2"/>
  <c r="C1863" i="2"/>
  <c r="A1863" i="2"/>
  <c r="H1862" i="2"/>
  <c r="E1862" i="2"/>
  <c r="C1862" i="2"/>
  <c r="A1862" i="2"/>
  <c r="H1861" i="2"/>
  <c r="E1861" i="2"/>
  <c r="C1861" i="2"/>
  <c r="A1861" i="2"/>
  <c r="H1860" i="2"/>
  <c r="E1860" i="2"/>
  <c r="C1860" i="2"/>
  <c r="A1860" i="2"/>
  <c r="H1859" i="2"/>
  <c r="E1859" i="2"/>
  <c r="C1859" i="2"/>
  <c r="A1859" i="2"/>
  <c r="H1858" i="2"/>
  <c r="E1858" i="2"/>
  <c r="C1858" i="2"/>
  <c r="A1858" i="2"/>
  <c r="H1857" i="2"/>
  <c r="E1857" i="2"/>
  <c r="C1857" i="2"/>
  <c r="A1857" i="2"/>
  <c r="H1856" i="2"/>
  <c r="E1856" i="2"/>
  <c r="C1856" i="2"/>
  <c r="A1856" i="2"/>
  <c r="H1855" i="2"/>
  <c r="E1855" i="2"/>
  <c r="C1855" i="2"/>
  <c r="A1855" i="2"/>
  <c r="H1854" i="2"/>
  <c r="E1854" i="2"/>
  <c r="C1854" i="2"/>
  <c r="A1854" i="2"/>
  <c r="H1853" i="2"/>
  <c r="E1853" i="2"/>
  <c r="C1853" i="2"/>
  <c r="A1853" i="2"/>
  <c r="H1852" i="2"/>
  <c r="E1852" i="2"/>
  <c r="C1852" i="2"/>
  <c r="A1852" i="2"/>
  <c r="H1851" i="2"/>
  <c r="E1851" i="2"/>
  <c r="C1851" i="2"/>
  <c r="A1851" i="2"/>
  <c r="H1850" i="2"/>
  <c r="E1850" i="2"/>
  <c r="C1850" i="2"/>
  <c r="A1850" i="2"/>
  <c r="H1849" i="2"/>
  <c r="E1849" i="2"/>
  <c r="C1849" i="2"/>
  <c r="A1849" i="2"/>
  <c r="H1848" i="2"/>
  <c r="E1848" i="2"/>
  <c r="C1848" i="2"/>
  <c r="A1848" i="2"/>
  <c r="H1847" i="2"/>
  <c r="E1847" i="2"/>
  <c r="C1847" i="2"/>
  <c r="A1847" i="2"/>
  <c r="H1846" i="2"/>
  <c r="E1846" i="2"/>
  <c r="C1846" i="2"/>
  <c r="A1846" i="2"/>
  <c r="H1845" i="2"/>
  <c r="E1845" i="2"/>
  <c r="C1845" i="2"/>
  <c r="A1845" i="2"/>
  <c r="H1844" i="2"/>
  <c r="E1844" i="2"/>
  <c r="C1844" i="2"/>
  <c r="A1844" i="2"/>
  <c r="H1843" i="2"/>
  <c r="E1843" i="2"/>
  <c r="C1843" i="2"/>
  <c r="A1843" i="2"/>
  <c r="H1842" i="2"/>
  <c r="E1842" i="2"/>
  <c r="C1842" i="2"/>
  <c r="A1842" i="2"/>
  <c r="H1841" i="2"/>
  <c r="E1841" i="2"/>
  <c r="C1841" i="2"/>
  <c r="A1841" i="2"/>
  <c r="H1840" i="2"/>
  <c r="E1840" i="2"/>
  <c r="C1840" i="2"/>
  <c r="A1840" i="2"/>
  <c r="H1839" i="2"/>
  <c r="E1839" i="2"/>
  <c r="C1839" i="2"/>
  <c r="A1839" i="2"/>
  <c r="H1838" i="2"/>
  <c r="E1838" i="2"/>
  <c r="C1838" i="2"/>
  <c r="A1838" i="2"/>
  <c r="H1837" i="2"/>
  <c r="E1837" i="2"/>
  <c r="C1837" i="2"/>
  <c r="A1837" i="2"/>
  <c r="H1836" i="2"/>
  <c r="E1836" i="2"/>
  <c r="C1836" i="2"/>
  <c r="A1836" i="2"/>
  <c r="H1835" i="2"/>
  <c r="E1835" i="2"/>
  <c r="C1835" i="2"/>
  <c r="A1835" i="2"/>
  <c r="H1834" i="2"/>
  <c r="E1834" i="2"/>
  <c r="C1834" i="2"/>
  <c r="A1834" i="2"/>
  <c r="H1833" i="2"/>
  <c r="E1833" i="2"/>
  <c r="C1833" i="2"/>
  <c r="A1833" i="2"/>
  <c r="H1832" i="2"/>
  <c r="E1832" i="2"/>
  <c r="C1832" i="2"/>
  <c r="A1832" i="2"/>
  <c r="H1831" i="2"/>
  <c r="E1831" i="2"/>
  <c r="C1831" i="2"/>
  <c r="A1831" i="2"/>
  <c r="H1830" i="2"/>
  <c r="E1830" i="2"/>
  <c r="C1830" i="2"/>
  <c r="A1830" i="2"/>
  <c r="H1829" i="2"/>
  <c r="E1829" i="2"/>
  <c r="C1829" i="2"/>
  <c r="A1829" i="2"/>
  <c r="H1828" i="2"/>
  <c r="E1828" i="2"/>
  <c r="C1828" i="2"/>
  <c r="A1828" i="2"/>
  <c r="H1827" i="2"/>
  <c r="E1827" i="2"/>
  <c r="C1827" i="2"/>
  <c r="A1827" i="2"/>
  <c r="H1826" i="2"/>
  <c r="E1826" i="2"/>
  <c r="C1826" i="2"/>
  <c r="A1826" i="2"/>
  <c r="H1825" i="2"/>
  <c r="E1825" i="2"/>
  <c r="C1825" i="2"/>
  <c r="A1825" i="2"/>
  <c r="H1824" i="2"/>
  <c r="E1824" i="2"/>
  <c r="C1824" i="2"/>
  <c r="A1824" i="2"/>
  <c r="H1823" i="2"/>
  <c r="E1823" i="2"/>
  <c r="C1823" i="2"/>
  <c r="A1823" i="2"/>
  <c r="H1822" i="2"/>
  <c r="E1822" i="2"/>
  <c r="C1822" i="2"/>
  <c r="A1822" i="2"/>
  <c r="H1821" i="2"/>
  <c r="E1821" i="2"/>
  <c r="C1821" i="2"/>
  <c r="A1821" i="2"/>
  <c r="H1820" i="2"/>
  <c r="E1820" i="2"/>
  <c r="C1820" i="2"/>
  <c r="A1820" i="2"/>
  <c r="H1819" i="2"/>
  <c r="E1819" i="2"/>
  <c r="C1819" i="2"/>
  <c r="A1819" i="2"/>
  <c r="H1818" i="2"/>
  <c r="E1818" i="2"/>
  <c r="C1818" i="2"/>
  <c r="A1818" i="2"/>
  <c r="H1817" i="2"/>
  <c r="E1817" i="2"/>
  <c r="C1817" i="2"/>
  <c r="A1817" i="2"/>
  <c r="H1816" i="2"/>
  <c r="E1816" i="2"/>
  <c r="C1816" i="2"/>
  <c r="A1816" i="2"/>
  <c r="H1815" i="2"/>
  <c r="E1815" i="2"/>
  <c r="C1815" i="2"/>
  <c r="A1815" i="2"/>
  <c r="H1814" i="2"/>
  <c r="E1814" i="2"/>
  <c r="C1814" i="2"/>
  <c r="A1814" i="2"/>
  <c r="H1813" i="2"/>
  <c r="E1813" i="2"/>
  <c r="C1813" i="2"/>
  <c r="A1813" i="2"/>
  <c r="H1812" i="2"/>
  <c r="E1812" i="2"/>
  <c r="C1812" i="2"/>
  <c r="A1812" i="2"/>
  <c r="H1811" i="2"/>
  <c r="E1811" i="2"/>
  <c r="C1811" i="2"/>
  <c r="A1811" i="2"/>
  <c r="H1810" i="2"/>
  <c r="E1810" i="2"/>
  <c r="C1810" i="2"/>
  <c r="A1810" i="2"/>
  <c r="H1809" i="2"/>
  <c r="E1809" i="2"/>
  <c r="C1809" i="2"/>
  <c r="A1809" i="2"/>
  <c r="H1808" i="2"/>
  <c r="E1808" i="2"/>
  <c r="C1808" i="2"/>
  <c r="A1808" i="2"/>
  <c r="H1807" i="2"/>
  <c r="E1807" i="2"/>
  <c r="C1807" i="2"/>
  <c r="A1807" i="2"/>
  <c r="H1806" i="2"/>
  <c r="E1806" i="2"/>
  <c r="C1806" i="2"/>
  <c r="A1806" i="2"/>
  <c r="H1805" i="2"/>
  <c r="E1805" i="2"/>
  <c r="C1805" i="2"/>
  <c r="A1805" i="2"/>
  <c r="H1804" i="2"/>
  <c r="E1804" i="2"/>
  <c r="C1804" i="2"/>
  <c r="A1804" i="2"/>
  <c r="H1803" i="2"/>
  <c r="E1803" i="2"/>
  <c r="C1803" i="2"/>
  <c r="A1803" i="2"/>
  <c r="H1802" i="2"/>
  <c r="E1802" i="2"/>
  <c r="C1802" i="2"/>
  <c r="A1802" i="2"/>
  <c r="H1801" i="2"/>
  <c r="E1801" i="2"/>
  <c r="C1801" i="2"/>
  <c r="A1801" i="2"/>
  <c r="H1800" i="2"/>
  <c r="E1800" i="2"/>
  <c r="C1800" i="2"/>
  <c r="A1800" i="2"/>
  <c r="H1799" i="2"/>
  <c r="E1799" i="2"/>
  <c r="C1799" i="2"/>
  <c r="A1799" i="2"/>
  <c r="H1798" i="2"/>
  <c r="E1798" i="2"/>
  <c r="C1798" i="2"/>
  <c r="A1798" i="2"/>
  <c r="H1797" i="2"/>
  <c r="E1797" i="2"/>
  <c r="C1797" i="2"/>
  <c r="A1797" i="2"/>
  <c r="H1796" i="2"/>
  <c r="E1796" i="2"/>
  <c r="C1796" i="2"/>
  <c r="A1796" i="2"/>
  <c r="H1795" i="2"/>
  <c r="E1795" i="2"/>
  <c r="C1795" i="2"/>
  <c r="A1795" i="2"/>
  <c r="H1794" i="2"/>
  <c r="E1794" i="2"/>
  <c r="C1794" i="2"/>
  <c r="A1794" i="2"/>
  <c r="H1793" i="2"/>
  <c r="E1793" i="2"/>
  <c r="C1793" i="2"/>
  <c r="A1793" i="2"/>
  <c r="H1792" i="2"/>
  <c r="E1792" i="2"/>
  <c r="C1792" i="2"/>
  <c r="A1792" i="2"/>
  <c r="H1791" i="2"/>
  <c r="E1791" i="2"/>
  <c r="C1791" i="2"/>
  <c r="A1791" i="2"/>
  <c r="H1790" i="2"/>
  <c r="E1790" i="2"/>
  <c r="C1790" i="2"/>
  <c r="A1790" i="2"/>
  <c r="H1789" i="2"/>
  <c r="E1789" i="2"/>
  <c r="C1789" i="2"/>
  <c r="A1789" i="2"/>
  <c r="H1788" i="2"/>
  <c r="E1788" i="2"/>
  <c r="C1788" i="2"/>
  <c r="A1788" i="2"/>
  <c r="H1787" i="2"/>
  <c r="E1787" i="2"/>
  <c r="C1787" i="2"/>
  <c r="A1787" i="2"/>
  <c r="H1786" i="2"/>
  <c r="E1786" i="2"/>
  <c r="C1786" i="2"/>
  <c r="A1786" i="2"/>
  <c r="H1785" i="2"/>
  <c r="E1785" i="2"/>
  <c r="C1785" i="2"/>
  <c r="A1785" i="2"/>
  <c r="H1784" i="2"/>
  <c r="E1784" i="2"/>
  <c r="C1784" i="2"/>
  <c r="A1784" i="2"/>
  <c r="H1783" i="2"/>
  <c r="E1783" i="2"/>
  <c r="C1783" i="2"/>
  <c r="A1783" i="2"/>
  <c r="H1782" i="2"/>
  <c r="E1782" i="2"/>
  <c r="C1782" i="2"/>
  <c r="A1782" i="2"/>
  <c r="H1781" i="2"/>
  <c r="E1781" i="2"/>
  <c r="C1781" i="2"/>
  <c r="A1781" i="2"/>
  <c r="H1780" i="2"/>
  <c r="E1780" i="2"/>
  <c r="C1780" i="2"/>
  <c r="A1780" i="2"/>
  <c r="H1779" i="2"/>
  <c r="E1779" i="2"/>
  <c r="C1779" i="2"/>
  <c r="A1779" i="2"/>
  <c r="H1778" i="2"/>
  <c r="E1778" i="2"/>
  <c r="C1778" i="2"/>
  <c r="A1778" i="2"/>
  <c r="H1777" i="2"/>
  <c r="E1777" i="2"/>
  <c r="C1777" i="2"/>
  <c r="A1777" i="2"/>
  <c r="H1776" i="2"/>
  <c r="E1776" i="2"/>
  <c r="C1776" i="2"/>
  <c r="A1776" i="2"/>
  <c r="H1775" i="2"/>
  <c r="E1775" i="2"/>
  <c r="C1775" i="2"/>
  <c r="A1775" i="2"/>
  <c r="H1774" i="2"/>
  <c r="E1774" i="2"/>
  <c r="C1774" i="2"/>
  <c r="A1774" i="2"/>
  <c r="H1773" i="2"/>
  <c r="E1773" i="2"/>
  <c r="C1773" i="2"/>
  <c r="A1773" i="2"/>
  <c r="H1772" i="2"/>
  <c r="E1772" i="2"/>
  <c r="C1772" i="2"/>
  <c r="A1772" i="2"/>
  <c r="H1771" i="2"/>
  <c r="E1771" i="2"/>
  <c r="C1771" i="2"/>
  <c r="A1771" i="2"/>
  <c r="H1770" i="2"/>
  <c r="E1770" i="2"/>
  <c r="C1770" i="2"/>
  <c r="A1770" i="2"/>
  <c r="H1769" i="2"/>
  <c r="E1769" i="2"/>
  <c r="C1769" i="2"/>
  <c r="A1769" i="2"/>
  <c r="H1768" i="2"/>
  <c r="E1768" i="2"/>
  <c r="C1768" i="2"/>
  <c r="A1768" i="2"/>
  <c r="H1767" i="2"/>
  <c r="E1767" i="2"/>
  <c r="C1767" i="2"/>
  <c r="A1767" i="2"/>
  <c r="H1766" i="2"/>
  <c r="E1766" i="2"/>
  <c r="C1766" i="2"/>
  <c r="A1766" i="2"/>
  <c r="H1765" i="2"/>
  <c r="E1765" i="2"/>
  <c r="C1765" i="2"/>
  <c r="A1765" i="2"/>
  <c r="H1764" i="2"/>
  <c r="E1764" i="2"/>
  <c r="C1764" i="2"/>
  <c r="A1764" i="2"/>
  <c r="H1763" i="2"/>
  <c r="E1763" i="2"/>
  <c r="C1763" i="2"/>
  <c r="A1763" i="2"/>
  <c r="H1762" i="2"/>
  <c r="E1762" i="2"/>
  <c r="C1762" i="2"/>
  <c r="A1762" i="2"/>
  <c r="H1761" i="2"/>
  <c r="E1761" i="2"/>
  <c r="C1761" i="2"/>
  <c r="A1761" i="2"/>
  <c r="H1760" i="2"/>
  <c r="E1760" i="2"/>
  <c r="C1760" i="2"/>
  <c r="A1760" i="2"/>
  <c r="H1759" i="2"/>
  <c r="E1759" i="2"/>
  <c r="C1759" i="2"/>
  <c r="A1759" i="2"/>
  <c r="H1758" i="2"/>
  <c r="E1758" i="2"/>
  <c r="C1758" i="2"/>
  <c r="A1758" i="2"/>
  <c r="H1757" i="2"/>
  <c r="E1757" i="2"/>
  <c r="C1757" i="2"/>
  <c r="A1757" i="2"/>
  <c r="H1756" i="2"/>
  <c r="E1756" i="2"/>
  <c r="C1756" i="2"/>
  <c r="A1756" i="2"/>
  <c r="H1755" i="2"/>
  <c r="E1755" i="2"/>
  <c r="C1755" i="2"/>
  <c r="A1755" i="2"/>
  <c r="H1754" i="2"/>
  <c r="E1754" i="2"/>
  <c r="C1754" i="2"/>
  <c r="A1754" i="2"/>
  <c r="H1753" i="2"/>
  <c r="E1753" i="2"/>
  <c r="C1753" i="2"/>
  <c r="A1753" i="2"/>
  <c r="H1752" i="2"/>
  <c r="E1752" i="2"/>
  <c r="C1752" i="2"/>
  <c r="A1752" i="2"/>
  <c r="H1751" i="2"/>
  <c r="E1751" i="2"/>
  <c r="C1751" i="2"/>
  <c r="A1751" i="2"/>
  <c r="H1750" i="2"/>
  <c r="E1750" i="2"/>
  <c r="C1750" i="2"/>
  <c r="A1750" i="2"/>
  <c r="H1749" i="2"/>
  <c r="E1749" i="2"/>
  <c r="C1749" i="2"/>
  <c r="A1749" i="2"/>
  <c r="H1748" i="2"/>
  <c r="E1748" i="2"/>
  <c r="C1748" i="2"/>
  <c r="A1748" i="2"/>
  <c r="H1747" i="2"/>
  <c r="E1747" i="2"/>
  <c r="C1747" i="2"/>
  <c r="A1747" i="2"/>
  <c r="H1746" i="2"/>
  <c r="E1746" i="2"/>
  <c r="C1746" i="2"/>
  <c r="A1746" i="2"/>
  <c r="H1745" i="2"/>
  <c r="E1745" i="2"/>
  <c r="C1745" i="2"/>
  <c r="A1745" i="2"/>
  <c r="H1744" i="2"/>
  <c r="E1744" i="2"/>
  <c r="C1744" i="2"/>
  <c r="A1744" i="2"/>
  <c r="H1743" i="2"/>
  <c r="E1743" i="2"/>
  <c r="C1743" i="2"/>
  <c r="A1743" i="2"/>
  <c r="H1742" i="2"/>
  <c r="E1742" i="2"/>
  <c r="C1742" i="2"/>
  <c r="A1742" i="2"/>
  <c r="H1741" i="2"/>
  <c r="E1741" i="2"/>
  <c r="C1741" i="2"/>
  <c r="A1741" i="2"/>
  <c r="H1740" i="2"/>
  <c r="E1740" i="2"/>
  <c r="C1740" i="2"/>
  <c r="A1740" i="2"/>
  <c r="H1739" i="2"/>
  <c r="E1739" i="2"/>
  <c r="C1739" i="2"/>
  <c r="A1739" i="2"/>
  <c r="H1738" i="2"/>
  <c r="E1738" i="2"/>
  <c r="C1738" i="2"/>
  <c r="A1738" i="2"/>
  <c r="H1737" i="2"/>
  <c r="E1737" i="2"/>
  <c r="C1737" i="2"/>
  <c r="A1737" i="2"/>
  <c r="H1736" i="2"/>
  <c r="E1736" i="2"/>
  <c r="C1736" i="2"/>
  <c r="A1736" i="2"/>
  <c r="H1735" i="2"/>
  <c r="E1735" i="2"/>
  <c r="C1735" i="2"/>
  <c r="A1735" i="2"/>
  <c r="H1734" i="2"/>
  <c r="E1734" i="2"/>
  <c r="C1734" i="2"/>
  <c r="A1734" i="2"/>
  <c r="H1733" i="2"/>
  <c r="E1733" i="2"/>
  <c r="C1733" i="2"/>
  <c r="A1733" i="2"/>
  <c r="H1732" i="2"/>
  <c r="E1732" i="2"/>
  <c r="C1732" i="2"/>
  <c r="A1732" i="2"/>
  <c r="H1731" i="2"/>
  <c r="E1731" i="2"/>
  <c r="C1731" i="2"/>
  <c r="A1731" i="2"/>
  <c r="H1730" i="2"/>
  <c r="E1730" i="2"/>
  <c r="C1730" i="2"/>
  <c r="A1730" i="2"/>
  <c r="H1729" i="2"/>
  <c r="E1729" i="2"/>
  <c r="C1729" i="2"/>
  <c r="A1729" i="2"/>
  <c r="H1728" i="2"/>
  <c r="E1728" i="2"/>
  <c r="C1728" i="2"/>
  <c r="A1728" i="2"/>
  <c r="H1727" i="2"/>
  <c r="E1727" i="2"/>
  <c r="C1727" i="2"/>
  <c r="A1727" i="2"/>
  <c r="H1726" i="2"/>
  <c r="E1726" i="2"/>
  <c r="C1726" i="2"/>
  <c r="A1726" i="2"/>
  <c r="H1725" i="2"/>
  <c r="E1725" i="2"/>
  <c r="C1725" i="2"/>
  <c r="A1725" i="2"/>
  <c r="H1724" i="2"/>
  <c r="E1724" i="2"/>
  <c r="C1724" i="2"/>
  <c r="A1724" i="2"/>
  <c r="H1723" i="2"/>
  <c r="E1723" i="2"/>
  <c r="C1723" i="2"/>
  <c r="A1723" i="2"/>
  <c r="H1722" i="2"/>
  <c r="E1722" i="2"/>
  <c r="C1722" i="2"/>
  <c r="A1722" i="2"/>
  <c r="H1721" i="2"/>
  <c r="E1721" i="2"/>
  <c r="C1721" i="2"/>
  <c r="A1721" i="2"/>
  <c r="H1720" i="2"/>
  <c r="E1720" i="2"/>
  <c r="C1720" i="2"/>
  <c r="A1720" i="2"/>
  <c r="H1719" i="2"/>
  <c r="E1719" i="2"/>
  <c r="C1719" i="2"/>
  <c r="A1719" i="2"/>
  <c r="H1718" i="2"/>
  <c r="E1718" i="2"/>
  <c r="C1718" i="2"/>
  <c r="A1718" i="2"/>
  <c r="H1717" i="2"/>
  <c r="E1717" i="2"/>
  <c r="C1717" i="2"/>
  <c r="A1717" i="2"/>
  <c r="H1716" i="2"/>
  <c r="E1716" i="2"/>
  <c r="C1716" i="2"/>
  <c r="A1716" i="2"/>
  <c r="H1715" i="2"/>
  <c r="E1715" i="2"/>
  <c r="C1715" i="2"/>
  <c r="A1715" i="2"/>
  <c r="H1714" i="2"/>
  <c r="E1714" i="2"/>
  <c r="C1714" i="2"/>
  <c r="A1714" i="2"/>
  <c r="H1713" i="2"/>
  <c r="E1713" i="2"/>
  <c r="C1713" i="2"/>
  <c r="A1713" i="2"/>
  <c r="H1712" i="2"/>
  <c r="E1712" i="2"/>
  <c r="C1712" i="2"/>
  <c r="A1712" i="2"/>
  <c r="H1711" i="2"/>
  <c r="E1711" i="2"/>
  <c r="C1711" i="2"/>
  <c r="A1711" i="2"/>
  <c r="H1710" i="2"/>
  <c r="E1710" i="2"/>
  <c r="C1710" i="2"/>
  <c r="A1710" i="2"/>
  <c r="H1709" i="2"/>
  <c r="E1709" i="2"/>
  <c r="C1709" i="2"/>
  <c r="A1709" i="2"/>
  <c r="H1708" i="2"/>
  <c r="E1708" i="2"/>
  <c r="C1708" i="2"/>
  <c r="A1708" i="2"/>
  <c r="H1707" i="2"/>
  <c r="E1707" i="2"/>
  <c r="C1707" i="2"/>
  <c r="A1707" i="2"/>
  <c r="H1706" i="2"/>
  <c r="E1706" i="2"/>
  <c r="C1706" i="2"/>
  <c r="A1706" i="2"/>
  <c r="H1705" i="2"/>
  <c r="E1705" i="2"/>
  <c r="C1705" i="2"/>
  <c r="A1705" i="2"/>
  <c r="H1704" i="2"/>
  <c r="E1704" i="2"/>
  <c r="C1704" i="2"/>
  <c r="A1704" i="2"/>
  <c r="H1703" i="2"/>
  <c r="E1703" i="2"/>
  <c r="C1703" i="2"/>
  <c r="A1703" i="2"/>
  <c r="H1702" i="2"/>
  <c r="E1702" i="2"/>
  <c r="C1702" i="2"/>
  <c r="A1702" i="2"/>
  <c r="H1701" i="2"/>
  <c r="E1701" i="2"/>
  <c r="C1701" i="2"/>
  <c r="A1701" i="2"/>
  <c r="H1700" i="2"/>
  <c r="E1700" i="2"/>
  <c r="C1700" i="2"/>
  <c r="A1700" i="2"/>
  <c r="H1699" i="2"/>
  <c r="E1699" i="2"/>
  <c r="C1699" i="2"/>
  <c r="A1699" i="2"/>
  <c r="H1698" i="2"/>
  <c r="E1698" i="2"/>
  <c r="C1698" i="2"/>
  <c r="A1698" i="2"/>
  <c r="H1697" i="2"/>
  <c r="E1697" i="2"/>
  <c r="C1697" i="2"/>
  <c r="A1697" i="2"/>
  <c r="H1696" i="2"/>
  <c r="E1696" i="2"/>
  <c r="C1696" i="2"/>
  <c r="A1696" i="2"/>
  <c r="H1695" i="2"/>
  <c r="E1695" i="2"/>
  <c r="C1695" i="2"/>
  <c r="A1695" i="2"/>
  <c r="H1694" i="2"/>
  <c r="E1694" i="2"/>
  <c r="C1694" i="2"/>
  <c r="A1694" i="2"/>
  <c r="H1693" i="2"/>
  <c r="E1693" i="2"/>
  <c r="C1693" i="2"/>
  <c r="A1693" i="2"/>
  <c r="H1692" i="2"/>
  <c r="E1692" i="2"/>
  <c r="C1692" i="2"/>
  <c r="A1692" i="2"/>
  <c r="H1691" i="2"/>
  <c r="E1691" i="2"/>
  <c r="C1691" i="2"/>
  <c r="A1691" i="2"/>
  <c r="H1690" i="2"/>
  <c r="E1690" i="2"/>
  <c r="C1690" i="2"/>
  <c r="A1690" i="2"/>
  <c r="H1689" i="2"/>
  <c r="E1689" i="2"/>
  <c r="C1689" i="2"/>
  <c r="A1689" i="2"/>
  <c r="H1688" i="2"/>
  <c r="E1688" i="2"/>
  <c r="C1688" i="2"/>
  <c r="A1688" i="2"/>
  <c r="H1687" i="2"/>
  <c r="E1687" i="2"/>
  <c r="C1687" i="2"/>
  <c r="A1687" i="2"/>
  <c r="H1686" i="2"/>
  <c r="E1686" i="2"/>
  <c r="C1686" i="2"/>
  <c r="A1686" i="2"/>
  <c r="H1685" i="2"/>
  <c r="E1685" i="2"/>
  <c r="C1685" i="2"/>
  <c r="A1685" i="2"/>
  <c r="H1684" i="2"/>
  <c r="E1684" i="2"/>
  <c r="C1684" i="2"/>
  <c r="A1684" i="2"/>
  <c r="H1683" i="2"/>
  <c r="E1683" i="2"/>
  <c r="C1683" i="2"/>
  <c r="A1683" i="2"/>
  <c r="H1682" i="2"/>
  <c r="E1682" i="2"/>
  <c r="C1682" i="2"/>
  <c r="A1682" i="2"/>
  <c r="H1681" i="2"/>
  <c r="E1681" i="2"/>
  <c r="C1681" i="2"/>
  <c r="A1681" i="2"/>
  <c r="H1680" i="2"/>
  <c r="E1680" i="2"/>
  <c r="C1680" i="2"/>
  <c r="A1680" i="2"/>
  <c r="H1679" i="2"/>
  <c r="E1679" i="2"/>
  <c r="C1679" i="2"/>
  <c r="A1679" i="2"/>
  <c r="H1678" i="2"/>
  <c r="E1678" i="2"/>
  <c r="C1678" i="2"/>
  <c r="A1678" i="2"/>
  <c r="H1677" i="2"/>
  <c r="E1677" i="2"/>
  <c r="C1677" i="2"/>
  <c r="A1677" i="2"/>
  <c r="H1676" i="2"/>
  <c r="E1676" i="2"/>
  <c r="C1676" i="2"/>
  <c r="A1676" i="2"/>
  <c r="H1675" i="2"/>
  <c r="E1675" i="2"/>
  <c r="C1675" i="2"/>
  <c r="A1675" i="2"/>
  <c r="H1674" i="2"/>
  <c r="E1674" i="2"/>
  <c r="C1674" i="2"/>
  <c r="A1674" i="2"/>
  <c r="H1673" i="2"/>
  <c r="E1673" i="2"/>
  <c r="C1673" i="2"/>
  <c r="A1673" i="2"/>
  <c r="H1672" i="2"/>
  <c r="E1672" i="2"/>
  <c r="C1672" i="2"/>
  <c r="A1672" i="2"/>
  <c r="H1671" i="2"/>
  <c r="E1671" i="2"/>
  <c r="C1671" i="2"/>
  <c r="A1671" i="2"/>
  <c r="H1670" i="2"/>
  <c r="E1670" i="2"/>
  <c r="C1670" i="2"/>
  <c r="A1670" i="2"/>
  <c r="H1669" i="2"/>
  <c r="E1669" i="2"/>
  <c r="C1669" i="2"/>
  <c r="A1669" i="2"/>
  <c r="H1668" i="2"/>
  <c r="E1668" i="2"/>
  <c r="C1668" i="2"/>
  <c r="A1668" i="2"/>
  <c r="H1667" i="2"/>
  <c r="E1667" i="2"/>
  <c r="C1667" i="2"/>
  <c r="A1667" i="2"/>
  <c r="H1666" i="2"/>
  <c r="E1666" i="2"/>
  <c r="C1666" i="2"/>
  <c r="A1666" i="2"/>
  <c r="H1665" i="2"/>
  <c r="E1665" i="2"/>
  <c r="C1665" i="2"/>
  <c r="A1665" i="2"/>
  <c r="H1664" i="2"/>
  <c r="E1664" i="2"/>
  <c r="C1664" i="2"/>
  <c r="A1664" i="2"/>
  <c r="H1663" i="2"/>
  <c r="E1663" i="2"/>
  <c r="C1663" i="2"/>
  <c r="A1663" i="2"/>
  <c r="H1662" i="2"/>
  <c r="E1662" i="2"/>
  <c r="C1662" i="2"/>
  <c r="A1662" i="2"/>
  <c r="H1661" i="2"/>
  <c r="E1661" i="2"/>
  <c r="C1661" i="2"/>
  <c r="A1661" i="2"/>
  <c r="H1660" i="2"/>
  <c r="E1660" i="2"/>
  <c r="C1660" i="2"/>
  <c r="A1660" i="2"/>
  <c r="H1659" i="2"/>
  <c r="E1659" i="2"/>
  <c r="C1659" i="2"/>
  <c r="A1659" i="2"/>
  <c r="H1658" i="2"/>
  <c r="E1658" i="2"/>
  <c r="C1658" i="2"/>
  <c r="A1658" i="2"/>
  <c r="H1657" i="2"/>
  <c r="E1657" i="2"/>
  <c r="C1657" i="2"/>
  <c r="A1657" i="2"/>
  <c r="H1656" i="2"/>
  <c r="E1656" i="2"/>
  <c r="C1656" i="2"/>
  <c r="A1656" i="2"/>
  <c r="H1655" i="2"/>
  <c r="E1655" i="2"/>
  <c r="C1655" i="2"/>
  <c r="A1655" i="2"/>
  <c r="H1654" i="2"/>
  <c r="E1654" i="2"/>
  <c r="C1654" i="2"/>
  <c r="A1654" i="2"/>
  <c r="H1653" i="2"/>
  <c r="E1653" i="2"/>
  <c r="C1653" i="2"/>
  <c r="A1653" i="2"/>
  <c r="H1652" i="2"/>
  <c r="E1652" i="2"/>
  <c r="C1652" i="2"/>
  <c r="A1652" i="2"/>
  <c r="H1651" i="2"/>
  <c r="E1651" i="2"/>
  <c r="C1651" i="2"/>
  <c r="A1651" i="2"/>
  <c r="H1650" i="2"/>
  <c r="E1650" i="2"/>
  <c r="C1650" i="2"/>
  <c r="A1650" i="2"/>
  <c r="H1649" i="2"/>
  <c r="E1649" i="2"/>
  <c r="C1649" i="2"/>
  <c r="A1649" i="2"/>
  <c r="H1648" i="2"/>
  <c r="E1648" i="2"/>
  <c r="C1648" i="2"/>
  <c r="A1648" i="2"/>
  <c r="H1647" i="2"/>
  <c r="E1647" i="2"/>
  <c r="C1647" i="2"/>
  <c r="A1647" i="2"/>
  <c r="H1646" i="2"/>
  <c r="E1646" i="2"/>
  <c r="C1646" i="2"/>
  <c r="A1646" i="2"/>
  <c r="H1645" i="2"/>
  <c r="E1645" i="2"/>
  <c r="C1645" i="2"/>
  <c r="A1645" i="2"/>
  <c r="H1644" i="2"/>
  <c r="E1644" i="2"/>
  <c r="C1644" i="2"/>
  <c r="A1644" i="2"/>
  <c r="H1643" i="2"/>
  <c r="E1643" i="2"/>
  <c r="C1643" i="2"/>
  <c r="A1643" i="2"/>
  <c r="H1642" i="2"/>
  <c r="E1642" i="2"/>
  <c r="C1642" i="2"/>
  <c r="A1642" i="2"/>
  <c r="H1641" i="2"/>
  <c r="E1641" i="2"/>
  <c r="C1641" i="2"/>
  <c r="A1641" i="2"/>
  <c r="H1640" i="2"/>
  <c r="E1640" i="2"/>
  <c r="C1640" i="2"/>
  <c r="A1640" i="2"/>
  <c r="H1639" i="2"/>
  <c r="E1639" i="2"/>
  <c r="C1639" i="2"/>
  <c r="A1639" i="2"/>
  <c r="H1638" i="2"/>
  <c r="E1638" i="2"/>
  <c r="C1638" i="2"/>
  <c r="A1638" i="2"/>
  <c r="H1637" i="2"/>
  <c r="E1637" i="2"/>
  <c r="C1637" i="2"/>
  <c r="A1637" i="2"/>
  <c r="H1636" i="2"/>
  <c r="E1636" i="2"/>
  <c r="C1636" i="2"/>
  <c r="A1636" i="2"/>
  <c r="H1635" i="2"/>
  <c r="E1635" i="2"/>
  <c r="C1635" i="2"/>
  <c r="A1635" i="2"/>
  <c r="H1634" i="2"/>
  <c r="E1634" i="2"/>
  <c r="C1634" i="2"/>
  <c r="A1634" i="2"/>
  <c r="H1633" i="2"/>
  <c r="E1633" i="2"/>
  <c r="C1633" i="2"/>
  <c r="A1633" i="2"/>
  <c r="H1632" i="2"/>
  <c r="E1632" i="2"/>
  <c r="C1632" i="2"/>
  <c r="A1632" i="2"/>
  <c r="H1631" i="2"/>
  <c r="E1631" i="2"/>
  <c r="C1631" i="2"/>
  <c r="A1631" i="2"/>
  <c r="H1630" i="2"/>
  <c r="E1630" i="2"/>
  <c r="C1630" i="2"/>
  <c r="A1630" i="2"/>
  <c r="H1629" i="2"/>
  <c r="E1629" i="2"/>
  <c r="C1629" i="2"/>
  <c r="A1629" i="2"/>
  <c r="H1628" i="2"/>
  <c r="E1628" i="2"/>
  <c r="C1628" i="2"/>
  <c r="A1628" i="2"/>
  <c r="H1627" i="2"/>
  <c r="E1627" i="2"/>
  <c r="C1627" i="2"/>
  <c r="A1627" i="2"/>
  <c r="H1626" i="2"/>
  <c r="E1626" i="2"/>
  <c r="C1626" i="2"/>
  <c r="A1626" i="2"/>
  <c r="H1625" i="2"/>
  <c r="E1625" i="2"/>
  <c r="C1625" i="2"/>
  <c r="A1625" i="2"/>
  <c r="H1624" i="2"/>
  <c r="E1624" i="2"/>
  <c r="C1624" i="2"/>
  <c r="A1624" i="2"/>
  <c r="H1623" i="2"/>
  <c r="E1623" i="2"/>
  <c r="C1623" i="2"/>
  <c r="A1623" i="2"/>
  <c r="H1622" i="2"/>
  <c r="E1622" i="2"/>
  <c r="C1622" i="2"/>
  <c r="A1622" i="2"/>
  <c r="H1621" i="2"/>
  <c r="E1621" i="2"/>
  <c r="C1621" i="2"/>
  <c r="A1621" i="2"/>
  <c r="H1620" i="2"/>
  <c r="E1620" i="2"/>
  <c r="C1620" i="2"/>
  <c r="A1620" i="2"/>
  <c r="H1619" i="2"/>
  <c r="E1619" i="2"/>
  <c r="C1619" i="2"/>
  <c r="A1619" i="2"/>
  <c r="H1618" i="2"/>
  <c r="E1618" i="2"/>
  <c r="C1618" i="2"/>
  <c r="A1618" i="2"/>
  <c r="H1617" i="2"/>
  <c r="E1617" i="2"/>
  <c r="C1617" i="2"/>
  <c r="A1617" i="2"/>
  <c r="H1616" i="2"/>
  <c r="E1616" i="2"/>
  <c r="C1616" i="2"/>
  <c r="A1616" i="2"/>
  <c r="H1615" i="2"/>
  <c r="E1615" i="2"/>
  <c r="C1615" i="2"/>
  <c r="A1615" i="2"/>
  <c r="H1614" i="2"/>
  <c r="E1614" i="2"/>
  <c r="C1614" i="2"/>
  <c r="A1614" i="2"/>
  <c r="H1613" i="2"/>
  <c r="E1613" i="2"/>
  <c r="C1613" i="2"/>
  <c r="A1613" i="2"/>
  <c r="H1612" i="2"/>
  <c r="E1612" i="2"/>
  <c r="C1612" i="2"/>
  <c r="A1612" i="2"/>
  <c r="H1611" i="2"/>
  <c r="E1611" i="2"/>
  <c r="C1611" i="2"/>
  <c r="A1611" i="2"/>
  <c r="H1610" i="2"/>
  <c r="E1610" i="2"/>
  <c r="C1610" i="2"/>
  <c r="A1610" i="2"/>
  <c r="H1609" i="2"/>
  <c r="E1609" i="2"/>
  <c r="C1609" i="2"/>
  <c r="A1609" i="2"/>
  <c r="H1608" i="2"/>
  <c r="E1608" i="2"/>
  <c r="C1608" i="2"/>
  <c r="A1608" i="2"/>
  <c r="H1607" i="2"/>
  <c r="E1607" i="2"/>
  <c r="C1607" i="2"/>
  <c r="A1607" i="2"/>
  <c r="H1606" i="2"/>
  <c r="E1606" i="2"/>
  <c r="C1606" i="2"/>
  <c r="A1606" i="2"/>
  <c r="H1605" i="2"/>
  <c r="E1605" i="2"/>
  <c r="C1605" i="2"/>
  <c r="A1605" i="2"/>
  <c r="H1604" i="2"/>
  <c r="E1604" i="2"/>
  <c r="C1604" i="2"/>
  <c r="A1604" i="2"/>
  <c r="H1603" i="2"/>
  <c r="E1603" i="2"/>
  <c r="C1603" i="2"/>
  <c r="A1603" i="2"/>
  <c r="H1602" i="2"/>
  <c r="E1602" i="2"/>
  <c r="C1602" i="2"/>
  <c r="A1602" i="2"/>
  <c r="H1601" i="2"/>
  <c r="E1601" i="2"/>
  <c r="C1601" i="2"/>
  <c r="A1601" i="2"/>
  <c r="H1600" i="2"/>
  <c r="E1600" i="2"/>
  <c r="C1600" i="2"/>
  <c r="A1600" i="2"/>
  <c r="H1599" i="2"/>
  <c r="E1599" i="2"/>
  <c r="C1599" i="2"/>
  <c r="A1599" i="2"/>
  <c r="H1598" i="2"/>
  <c r="E1598" i="2"/>
  <c r="C1598" i="2"/>
  <c r="A1598" i="2"/>
  <c r="H1597" i="2"/>
  <c r="E1597" i="2"/>
  <c r="C1597" i="2"/>
  <c r="A1597" i="2"/>
  <c r="H1596" i="2"/>
  <c r="E1596" i="2"/>
  <c r="C1596" i="2"/>
  <c r="A1596" i="2"/>
  <c r="H1595" i="2"/>
  <c r="E1595" i="2"/>
  <c r="C1595" i="2"/>
  <c r="A1595" i="2"/>
  <c r="H1594" i="2"/>
  <c r="E1594" i="2"/>
  <c r="C1594" i="2"/>
  <c r="A1594" i="2"/>
  <c r="H1593" i="2"/>
  <c r="E1593" i="2"/>
  <c r="C1593" i="2"/>
  <c r="A1593" i="2"/>
  <c r="H1592" i="2"/>
  <c r="E1592" i="2"/>
  <c r="C1592" i="2"/>
  <c r="A1592" i="2"/>
  <c r="H1591" i="2"/>
  <c r="E1591" i="2"/>
  <c r="C1591" i="2"/>
  <c r="A1591" i="2"/>
  <c r="H1590" i="2"/>
  <c r="E1590" i="2"/>
  <c r="C1590" i="2"/>
  <c r="A1590" i="2"/>
  <c r="H1589" i="2"/>
  <c r="E1589" i="2"/>
  <c r="C1589" i="2"/>
  <c r="A1589" i="2"/>
  <c r="H1588" i="2"/>
  <c r="E1588" i="2"/>
  <c r="C1588" i="2"/>
  <c r="A1588" i="2"/>
  <c r="H1587" i="2"/>
  <c r="E1587" i="2"/>
  <c r="C1587" i="2"/>
  <c r="A1587" i="2"/>
  <c r="H1586" i="2"/>
  <c r="E1586" i="2"/>
  <c r="C1586" i="2"/>
  <c r="A1586" i="2"/>
  <c r="H1585" i="2"/>
  <c r="E1585" i="2"/>
  <c r="C1585" i="2"/>
  <c r="A1585" i="2"/>
  <c r="H1584" i="2"/>
  <c r="E1584" i="2"/>
  <c r="C1584" i="2"/>
  <c r="A1584" i="2"/>
  <c r="H1583" i="2"/>
  <c r="E1583" i="2"/>
  <c r="C1583" i="2"/>
  <c r="A1583" i="2"/>
  <c r="H1582" i="2"/>
  <c r="E1582" i="2"/>
  <c r="C1582" i="2"/>
  <c r="A1582" i="2"/>
  <c r="H1581" i="2"/>
  <c r="E1581" i="2"/>
  <c r="C1581" i="2"/>
  <c r="A1581" i="2"/>
  <c r="H1580" i="2"/>
  <c r="E1580" i="2"/>
  <c r="C1580" i="2"/>
  <c r="A1580" i="2"/>
  <c r="H1579" i="2"/>
  <c r="E1579" i="2"/>
  <c r="C1579" i="2"/>
  <c r="A1579" i="2"/>
  <c r="H1578" i="2"/>
  <c r="E1578" i="2"/>
  <c r="C1578" i="2"/>
  <c r="A1578" i="2"/>
  <c r="H1577" i="2"/>
  <c r="E1577" i="2"/>
  <c r="C1577" i="2"/>
  <c r="A1577" i="2"/>
  <c r="H1576" i="2"/>
  <c r="E1576" i="2"/>
  <c r="C1576" i="2"/>
  <c r="A1576" i="2"/>
  <c r="H1575" i="2"/>
  <c r="E1575" i="2"/>
  <c r="C1575" i="2"/>
  <c r="A1575" i="2"/>
  <c r="H1574" i="2"/>
  <c r="E1574" i="2"/>
  <c r="C1574" i="2"/>
  <c r="A1574" i="2"/>
  <c r="H1573" i="2"/>
  <c r="E1573" i="2"/>
  <c r="C1573" i="2"/>
  <c r="A1573" i="2"/>
  <c r="H1572" i="2"/>
  <c r="E1572" i="2"/>
  <c r="C1572" i="2"/>
  <c r="A1572" i="2"/>
  <c r="H1571" i="2"/>
  <c r="E1571" i="2"/>
  <c r="C1571" i="2"/>
  <c r="A1571" i="2"/>
  <c r="H1570" i="2"/>
  <c r="E1570" i="2"/>
  <c r="C1570" i="2"/>
  <c r="A1570" i="2"/>
  <c r="H1569" i="2"/>
  <c r="E1569" i="2"/>
  <c r="C1569" i="2"/>
  <c r="A1569" i="2"/>
  <c r="H1568" i="2"/>
  <c r="E1568" i="2"/>
  <c r="C1568" i="2"/>
  <c r="A1568" i="2"/>
  <c r="H1567" i="2"/>
  <c r="E1567" i="2"/>
  <c r="C1567" i="2"/>
  <c r="A1567" i="2"/>
  <c r="H1566" i="2"/>
  <c r="E1566" i="2"/>
  <c r="C1566" i="2"/>
  <c r="A1566" i="2"/>
  <c r="H1565" i="2"/>
  <c r="E1565" i="2"/>
  <c r="C1565" i="2"/>
  <c r="A1565" i="2"/>
  <c r="H1564" i="2"/>
  <c r="E1564" i="2"/>
  <c r="C1564" i="2"/>
  <c r="A1564" i="2"/>
  <c r="H1563" i="2"/>
  <c r="E1563" i="2"/>
  <c r="C1563" i="2"/>
  <c r="A1563" i="2"/>
  <c r="H1562" i="2"/>
  <c r="E1562" i="2"/>
  <c r="C1562" i="2"/>
  <c r="A1562" i="2"/>
  <c r="H1561" i="2"/>
  <c r="E1561" i="2"/>
  <c r="C1561" i="2"/>
  <c r="A1561" i="2"/>
  <c r="H1560" i="2"/>
  <c r="E1560" i="2"/>
  <c r="C1560" i="2"/>
  <c r="A1560" i="2"/>
  <c r="H1559" i="2"/>
  <c r="E1559" i="2"/>
  <c r="C1559" i="2"/>
  <c r="A1559" i="2"/>
  <c r="H1558" i="2"/>
  <c r="E1558" i="2"/>
  <c r="C1558" i="2"/>
  <c r="A1558" i="2"/>
  <c r="H1557" i="2"/>
  <c r="E1557" i="2"/>
  <c r="C1557" i="2"/>
  <c r="A1557" i="2"/>
  <c r="H1556" i="2"/>
  <c r="E1556" i="2"/>
  <c r="C1556" i="2"/>
  <c r="A1556" i="2"/>
  <c r="H1555" i="2"/>
  <c r="E1555" i="2"/>
  <c r="C1555" i="2"/>
  <c r="A1555" i="2"/>
  <c r="H1554" i="2"/>
  <c r="E1554" i="2"/>
  <c r="C1554" i="2"/>
  <c r="A1554" i="2"/>
  <c r="H1553" i="2"/>
  <c r="E1553" i="2"/>
  <c r="C1553" i="2"/>
  <c r="A1553" i="2"/>
  <c r="H1552" i="2"/>
  <c r="E1552" i="2"/>
  <c r="C1552" i="2"/>
  <c r="A1552" i="2"/>
  <c r="H1551" i="2"/>
  <c r="E1551" i="2"/>
  <c r="C1551" i="2"/>
  <c r="A1551" i="2"/>
  <c r="H1550" i="2"/>
  <c r="E1550" i="2"/>
  <c r="C1550" i="2"/>
  <c r="A1550" i="2"/>
  <c r="H1549" i="2"/>
  <c r="E1549" i="2"/>
  <c r="C1549" i="2"/>
  <c r="A1549" i="2"/>
  <c r="H1548" i="2"/>
  <c r="E1548" i="2"/>
  <c r="C1548" i="2"/>
  <c r="A1548" i="2"/>
  <c r="H1547" i="2"/>
  <c r="E1547" i="2"/>
  <c r="C1547" i="2"/>
  <c r="A1547" i="2"/>
  <c r="H1546" i="2"/>
  <c r="E1546" i="2"/>
  <c r="C1546" i="2"/>
  <c r="A1546" i="2"/>
  <c r="H1545" i="2"/>
  <c r="E1545" i="2"/>
  <c r="C1545" i="2"/>
  <c r="A1545" i="2"/>
  <c r="H1544" i="2"/>
  <c r="E1544" i="2"/>
  <c r="C1544" i="2"/>
  <c r="A1544" i="2"/>
  <c r="H1543" i="2"/>
  <c r="E1543" i="2"/>
  <c r="C1543" i="2"/>
  <c r="A1543" i="2"/>
  <c r="H1542" i="2"/>
  <c r="E1542" i="2"/>
  <c r="C1542" i="2"/>
  <c r="A1542" i="2"/>
  <c r="H1541" i="2"/>
  <c r="E1541" i="2"/>
  <c r="C1541" i="2"/>
  <c r="A1541" i="2"/>
  <c r="H1540" i="2"/>
  <c r="E1540" i="2"/>
  <c r="C1540" i="2"/>
  <c r="A1540" i="2"/>
  <c r="H1539" i="2"/>
  <c r="E1539" i="2"/>
  <c r="C1539" i="2"/>
  <c r="A1539" i="2"/>
  <c r="H1538" i="2"/>
  <c r="E1538" i="2"/>
  <c r="C1538" i="2"/>
  <c r="A1538" i="2"/>
  <c r="H1537" i="2"/>
  <c r="E1537" i="2"/>
  <c r="C1537" i="2"/>
  <c r="A1537" i="2"/>
  <c r="H1536" i="2"/>
  <c r="E1536" i="2"/>
  <c r="C1536" i="2"/>
  <c r="A1536" i="2"/>
  <c r="H1535" i="2"/>
  <c r="E1535" i="2"/>
  <c r="C1535" i="2"/>
  <c r="A1535" i="2"/>
  <c r="H1534" i="2"/>
  <c r="E1534" i="2"/>
  <c r="C1534" i="2"/>
  <c r="A1534" i="2"/>
  <c r="H1533" i="2"/>
  <c r="E1533" i="2"/>
  <c r="C1533" i="2"/>
  <c r="A1533" i="2"/>
  <c r="H1532" i="2"/>
  <c r="E1532" i="2"/>
  <c r="C1532" i="2"/>
  <c r="A1532" i="2"/>
  <c r="H1531" i="2"/>
  <c r="E1531" i="2"/>
  <c r="C1531" i="2"/>
  <c r="A1531" i="2"/>
  <c r="H1530" i="2"/>
  <c r="E1530" i="2"/>
  <c r="C1530" i="2"/>
  <c r="A1530" i="2"/>
  <c r="H1529" i="2"/>
  <c r="E1529" i="2"/>
  <c r="C1529" i="2"/>
  <c r="A1529" i="2"/>
  <c r="H1528" i="2"/>
  <c r="E1528" i="2"/>
  <c r="C1528" i="2"/>
  <c r="A1528" i="2"/>
  <c r="H1527" i="2"/>
  <c r="E1527" i="2"/>
  <c r="C1527" i="2"/>
  <c r="A1527" i="2"/>
  <c r="H1526" i="2"/>
  <c r="E1526" i="2"/>
  <c r="C1526" i="2"/>
  <c r="A1526" i="2"/>
  <c r="H1525" i="2"/>
  <c r="E1525" i="2"/>
  <c r="C1525" i="2"/>
  <c r="A1525" i="2"/>
  <c r="H1524" i="2"/>
  <c r="E1524" i="2"/>
  <c r="C1524" i="2"/>
  <c r="A1524" i="2"/>
  <c r="H1523" i="2"/>
  <c r="E1523" i="2"/>
  <c r="C1523" i="2"/>
  <c r="A1523" i="2"/>
  <c r="H1522" i="2"/>
  <c r="E1522" i="2"/>
  <c r="C1522" i="2"/>
  <c r="A1522" i="2"/>
  <c r="H1521" i="2"/>
  <c r="E1521" i="2"/>
  <c r="C1521" i="2"/>
  <c r="A1521" i="2"/>
  <c r="H1520" i="2"/>
  <c r="E1520" i="2"/>
  <c r="C1520" i="2"/>
  <c r="A1520" i="2"/>
  <c r="H1519" i="2"/>
  <c r="E1519" i="2"/>
  <c r="C1519" i="2"/>
  <c r="A1519" i="2"/>
  <c r="H1518" i="2"/>
  <c r="E1518" i="2"/>
  <c r="C1518" i="2"/>
  <c r="A1518" i="2"/>
  <c r="H1517" i="2"/>
  <c r="E1517" i="2"/>
  <c r="C1517" i="2"/>
  <c r="A1517" i="2"/>
  <c r="H1516" i="2"/>
  <c r="E1516" i="2"/>
  <c r="C1516" i="2"/>
  <c r="A1516" i="2"/>
  <c r="H1515" i="2"/>
  <c r="E1515" i="2"/>
  <c r="C1515" i="2"/>
  <c r="A1515" i="2"/>
  <c r="H1514" i="2"/>
  <c r="E1514" i="2"/>
  <c r="C1514" i="2"/>
  <c r="A1514" i="2"/>
  <c r="H1513" i="2"/>
  <c r="E1513" i="2"/>
  <c r="C1513" i="2"/>
  <c r="A1513" i="2"/>
  <c r="H1512" i="2"/>
  <c r="E1512" i="2"/>
  <c r="C1512" i="2"/>
  <c r="A1512" i="2"/>
  <c r="H1511" i="2"/>
  <c r="E1511" i="2"/>
  <c r="C1511" i="2"/>
  <c r="A1511" i="2"/>
  <c r="H1510" i="2"/>
  <c r="E1510" i="2"/>
  <c r="C1510" i="2"/>
  <c r="A1510" i="2"/>
  <c r="H1509" i="2"/>
  <c r="E1509" i="2"/>
  <c r="C1509" i="2"/>
  <c r="A1509" i="2"/>
  <c r="H1508" i="2"/>
  <c r="E1508" i="2"/>
  <c r="C1508" i="2"/>
  <c r="A1508" i="2"/>
  <c r="H1507" i="2"/>
  <c r="E1507" i="2"/>
  <c r="C1507" i="2"/>
  <c r="A1507" i="2"/>
  <c r="H1506" i="2"/>
  <c r="E1506" i="2"/>
  <c r="C1506" i="2"/>
  <c r="A1506" i="2"/>
  <c r="H1505" i="2"/>
  <c r="E1505" i="2"/>
  <c r="C1505" i="2"/>
  <c r="A1505" i="2"/>
  <c r="H1504" i="2"/>
  <c r="E1504" i="2"/>
  <c r="C1504" i="2"/>
  <c r="A1504" i="2"/>
  <c r="H1503" i="2"/>
  <c r="E1503" i="2"/>
  <c r="C1503" i="2"/>
  <c r="A1503" i="2"/>
  <c r="H1502" i="2"/>
  <c r="E1502" i="2"/>
  <c r="C1502" i="2"/>
  <c r="A1502" i="2"/>
  <c r="H1501" i="2"/>
  <c r="E1501" i="2"/>
  <c r="C1501" i="2"/>
  <c r="A1501" i="2"/>
  <c r="H1500" i="2"/>
  <c r="E1500" i="2"/>
  <c r="C1500" i="2"/>
  <c r="A1500" i="2"/>
  <c r="H1499" i="2"/>
  <c r="E1499" i="2"/>
  <c r="C1499" i="2"/>
  <c r="A1499" i="2"/>
  <c r="H1498" i="2"/>
  <c r="E1498" i="2"/>
  <c r="C1498" i="2"/>
  <c r="A1498" i="2"/>
  <c r="H1497" i="2"/>
  <c r="E1497" i="2"/>
  <c r="C1497" i="2"/>
  <c r="A1497" i="2"/>
  <c r="H1496" i="2"/>
  <c r="E1496" i="2"/>
  <c r="C1496" i="2"/>
  <c r="A1496" i="2"/>
  <c r="H1495" i="2"/>
  <c r="E1495" i="2"/>
  <c r="C1495" i="2"/>
  <c r="A1495" i="2"/>
  <c r="H1494" i="2"/>
  <c r="E1494" i="2"/>
  <c r="C1494" i="2"/>
  <c r="A1494" i="2"/>
  <c r="H1493" i="2"/>
  <c r="E1493" i="2"/>
  <c r="C1493" i="2"/>
  <c r="A1493" i="2"/>
  <c r="H1492" i="2"/>
  <c r="E1492" i="2"/>
  <c r="C1492" i="2"/>
  <c r="A1492" i="2"/>
  <c r="H1491" i="2"/>
  <c r="E1491" i="2"/>
  <c r="C1491" i="2"/>
  <c r="A1491" i="2"/>
  <c r="H1490" i="2"/>
  <c r="E1490" i="2"/>
  <c r="C1490" i="2"/>
  <c r="A1490" i="2"/>
  <c r="H1489" i="2"/>
  <c r="E1489" i="2"/>
  <c r="C1489" i="2"/>
  <c r="A1489" i="2"/>
  <c r="H1488" i="2"/>
  <c r="E1488" i="2"/>
  <c r="C1488" i="2"/>
  <c r="A1488" i="2"/>
  <c r="H1487" i="2"/>
  <c r="E1487" i="2"/>
  <c r="C1487" i="2"/>
  <c r="A1487" i="2"/>
  <c r="H1486" i="2"/>
  <c r="E1486" i="2"/>
  <c r="C1486" i="2"/>
  <c r="A1486" i="2"/>
  <c r="H1485" i="2"/>
  <c r="E1485" i="2"/>
  <c r="C1485" i="2"/>
  <c r="A1485" i="2"/>
  <c r="H1484" i="2"/>
  <c r="E1484" i="2"/>
  <c r="C1484" i="2"/>
  <c r="A1484" i="2"/>
  <c r="H1483" i="2"/>
  <c r="E1483" i="2"/>
  <c r="C1483" i="2"/>
  <c r="A1483" i="2"/>
  <c r="H1482" i="2"/>
  <c r="E1482" i="2"/>
  <c r="C1482" i="2"/>
  <c r="A1482" i="2"/>
  <c r="H1481" i="2"/>
  <c r="E1481" i="2"/>
  <c r="C1481" i="2"/>
  <c r="A1481" i="2"/>
  <c r="H1480" i="2"/>
  <c r="E1480" i="2"/>
  <c r="C1480" i="2"/>
  <c r="A1480" i="2"/>
  <c r="H1479" i="2"/>
  <c r="E1479" i="2"/>
  <c r="C1479" i="2"/>
  <c r="A1479" i="2"/>
  <c r="H1478" i="2"/>
  <c r="E1478" i="2"/>
  <c r="C1478" i="2"/>
  <c r="A1478" i="2"/>
  <c r="H1477" i="2"/>
  <c r="E1477" i="2"/>
  <c r="C1477" i="2"/>
  <c r="A1477" i="2"/>
  <c r="H1476" i="2"/>
  <c r="E1476" i="2"/>
  <c r="C1476" i="2"/>
  <c r="A1476" i="2"/>
  <c r="H1475" i="2"/>
  <c r="E1475" i="2"/>
  <c r="C1475" i="2"/>
  <c r="A1475" i="2"/>
  <c r="H1474" i="2"/>
  <c r="E1474" i="2"/>
  <c r="C1474" i="2"/>
  <c r="A1474" i="2"/>
  <c r="H1473" i="2"/>
  <c r="E1473" i="2"/>
  <c r="C1473" i="2"/>
  <c r="A1473" i="2"/>
  <c r="H1472" i="2"/>
  <c r="E1472" i="2"/>
  <c r="C1472" i="2"/>
  <c r="A1472" i="2"/>
  <c r="H1471" i="2"/>
  <c r="E1471" i="2"/>
  <c r="C1471" i="2"/>
  <c r="A1471" i="2"/>
  <c r="H1470" i="2"/>
  <c r="E1470" i="2"/>
  <c r="C1470" i="2"/>
  <c r="A1470" i="2"/>
  <c r="H1469" i="2"/>
  <c r="E1469" i="2"/>
  <c r="C1469" i="2"/>
  <c r="A1469" i="2"/>
  <c r="H1468" i="2"/>
  <c r="E1468" i="2"/>
  <c r="C1468" i="2"/>
  <c r="A1468" i="2"/>
  <c r="H1467" i="2"/>
  <c r="E1467" i="2"/>
  <c r="C1467" i="2"/>
  <c r="A1467" i="2"/>
  <c r="H1466" i="2"/>
  <c r="E1466" i="2"/>
  <c r="C1466" i="2"/>
  <c r="A1466" i="2"/>
  <c r="H1465" i="2"/>
  <c r="E1465" i="2"/>
  <c r="C1465" i="2"/>
  <c r="A1465" i="2"/>
  <c r="H1464" i="2"/>
  <c r="E1464" i="2"/>
  <c r="C1464" i="2"/>
  <c r="A1464" i="2"/>
  <c r="H1463" i="2"/>
  <c r="E1463" i="2"/>
  <c r="C1463" i="2"/>
  <c r="A1463" i="2"/>
  <c r="H1462" i="2"/>
  <c r="E1462" i="2"/>
  <c r="C1462" i="2"/>
  <c r="A1462" i="2"/>
  <c r="H1461" i="2"/>
  <c r="E1461" i="2"/>
  <c r="C1461" i="2"/>
  <c r="A1461" i="2"/>
  <c r="H1460" i="2"/>
  <c r="E1460" i="2"/>
  <c r="C1460" i="2"/>
  <c r="A1460" i="2"/>
  <c r="H1459" i="2"/>
  <c r="E1459" i="2"/>
  <c r="C1459" i="2"/>
  <c r="A1459" i="2"/>
  <c r="H1458" i="2"/>
  <c r="E1458" i="2"/>
  <c r="C1458" i="2"/>
  <c r="A1458" i="2"/>
  <c r="H1457" i="2"/>
  <c r="E1457" i="2"/>
  <c r="C1457" i="2"/>
  <c r="A1457" i="2"/>
  <c r="H1456" i="2"/>
  <c r="E1456" i="2"/>
  <c r="C1456" i="2"/>
  <c r="A1456" i="2"/>
  <c r="H1455" i="2"/>
  <c r="E1455" i="2"/>
  <c r="C1455" i="2"/>
  <c r="A1455" i="2"/>
  <c r="H1454" i="2"/>
  <c r="E1454" i="2"/>
  <c r="C1454" i="2"/>
  <c r="A1454" i="2"/>
  <c r="H1453" i="2"/>
  <c r="E1453" i="2"/>
  <c r="C1453" i="2"/>
  <c r="A1453" i="2"/>
  <c r="H1452" i="2"/>
  <c r="E1452" i="2"/>
  <c r="C1452" i="2"/>
  <c r="A1452" i="2"/>
  <c r="H1451" i="2"/>
  <c r="E1451" i="2"/>
  <c r="C1451" i="2"/>
  <c r="A1451" i="2"/>
  <c r="H1450" i="2"/>
  <c r="E1450" i="2"/>
  <c r="C1450" i="2"/>
  <c r="A1450" i="2"/>
  <c r="H1449" i="2"/>
  <c r="E1449" i="2"/>
  <c r="C1449" i="2"/>
  <c r="A1449" i="2"/>
  <c r="H1448" i="2"/>
  <c r="E1448" i="2"/>
  <c r="C1448" i="2"/>
  <c r="A1448" i="2"/>
  <c r="H1447" i="2"/>
  <c r="E1447" i="2"/>
  <c r="C1447" i="2"/>
  <c r="A1447" i="2"/>
  <c r="H1446" i="2"/>
  <c r="E1446" i="2"/>
  <c r="C1446" i="2"/>
  <c r="A1446" i="2"/>
  <c r="H1445" i="2"/>
  <c r="E1445" i="2"/>
  <c r="C1445" i="2"/>
  <c r="A1445" i="2"/>
  <c r="H1444" i="2"/>
  <c r="E1444" i="2"/>
  <c r="C1444" i="2"/>
  <c r="A1444" i="2"/>
  <c r="H1443" i="2"/>
  <c r="E1443" i="2"/>
  <c r="C1443" i="2"/>
  <c r="A1443" i="2"/>
  <c r="H1442" i="2"/>
  <c r="E1442" i="2"/>
  <c r="C1442" i="2"/>
  <c r="A1442" i="2"/>
  <c r="H1441" i="2"/>
  <c r="E1441" i="2"/>
  <c r="C1441" i="2"/>
  <c r="A1441" i="2"/>
  <c r="H1440" i="2"/>
  <c r="E1440" i="2"/>
  <c r="C1440" i="2"/>
  <c r="A1440" i="2"/>
  <c r="H1439" i="2"/>
  <c r="E1439" i="2"/>
  <c r="C1439" i="2"/>
  <c r="A1439" i="2"/>
  <c r="H1438" i="2"/>
  <c r="E1438" i="2"/>
  <c r="C1438" i="2"/>
  <c r="A1438" i="2"/>
  <c r="H1437" i="2"/>
  <c r="E1437" i="2"/>
  <c r="C1437" i="2"/>
  <c r="A1437" i="2"/>
  <c r="H1436" i="2"/>
  <c r="E1436" i="2"/>
  <c r="C1436" i="2"/>
  <c r="A1436" i="2"/>
  <c r="H1435" i="2"/>
  <c r="E1435" i="2"/>
  <c r="C1435" i="2"/>
  <c r="A1435" i="2"/>
  <c r="H1434" i="2"/>
  <c r="E1434" i="2"/>
  <c r="C1434" i="2"/>
  <c r="A1434" i="2"/>
  <c r="H1433" i="2"/>
  <c r="E1433" i="2"/>
  <c r="C1433" i="2"/>
  <c r="A1433" i="2"/>
  <c r="H1432" i="2"/>
  <c r="E1432" i="2"/>
  <c r="C1432" i="2"/>
  <c r="A1432" i="2"/>
  <c r="H1431" i="2"/>
  <c r="E1431" i="2"/>
  <c r="C1431" i="2"/>
  <c r="A1431" i="2"/>
  <c r="H1430" i="2"/>
  <c r="E1430" i="2"/>
  <c r="C1430" i="2"/>
  <c r="A1430" i="2"/>
  <c r="H1429" i="2"/>
  <c r="E1429" i="2"/>
  <c r="C1429" i="2"/>
  <c r="A1429" i="2"/>
  <c r="H1428" i="2"/>
  <c r="E1428" i="2"/>
  <c r="C1428" i="2"/>
  <c r="A1428" i="2"/>
  <c r="H1427" i="2"/>
  <c r="E1427" i="2"/>
  <c r="C1427" i="2"/>
  <c r="A1427" i="2"/>
  <c r="H1426" i="2"/>
  <c r="E1426" i="2"/>
  <c r="C1426" i="2"/>
  <c r="A1426" i="2"/>
  <c r="H1425" i="2"/>
  <c r="E1425" i="2"/>
  <c r="C1425" i="2"/>
  <c r="A1425" i="2"/>
  <c r="H1424" i="2"/>
  <c r="E1424" i="2"/>
  <c r="C1424" i="2"/>
  <c r="A1424" i="2"/>
  <c r="H1423" i="2"/>
  <c r="E1423" i="2"/>
  <c r="C1423" i="2"/>
  <c r="A1423" i="2"/>
  <c r="H1422" i="2"/>
  <c r="E1422" i="2"/>
  <c r="C1422" i="2"/>
  <c r="A1422" i="2"/>
  <c r="H1421" i="2"/>
  <c r="E1421" i="2"/>
  <c r="C1421" i="2"/>
  <c r="A1421" i="2"/>
  <c r="H1420" i="2"/>
  <c r="E1420" i="2"/>
  <c r="C1420" i="2"/>
  <c r="A1420" i="2"/>
  <c r="H1419" i="2"/>
  <c r="E1419" i="2"/>
  <c r="C1419" i="2"/>
  <c r="A1419" i="2"/>
  <c r="H1418" i="2"/>
  <c r="E1418" i="2"/>
  <c r="C1418" i="2"/>
  <c r="A1418" i="2"/>
  <c r="H1417" i="2"/>
  <c r="E1417" i="2"/>
  <c r="C1417" i="2"/>
  <c r="A1417" i="2"/>
  <c r="H1416" i="2"/>
  <c r="E1416" i="2"/>
  <c r="C1416" i="2"/>
  <c r="A1416" i="2"/>
  <c r="H1415" i="2"/>
  <c r="E1415" i="2"/>
  <c r="C1415" i="2"/>
  <c r="A1415" i="2"/>
  <c r="H1414" i="2"/>
  <c r="E1414" i="2"/>
  <c r="C1414" i="2"/>
  <c r="A1414" i="2"/>
  <c r="H1413" i="2"/>
  <c r="E1413" i="2"/>
  <c r="C1413" i="2"/>
  <c r="A1413" i="2"/>
  <c r="H1412" i="2"/>
  <c r="E1412" i="2"/>
  <c r="C1412" i="2"/>
  <c r="A1412" i="2"/>
  <c r="H1411" i="2"/>
  <c r="E1411" i="2"/>
  <c r="C1411" i="2"/>
  <c r="A1411" i="2"/>
  <c r="H1410" i="2"/>
  <c r="E1410" i="2"/>
  <c r="C1410" i="2"/>
  <c r="A1410" i="2"/>
  <c r="H1409" i="2"/>
  <c r="E1409" i="2"/>
  <c r="C1409" i="2"/>
  <c r="A1409" i="2"/>
  <c r="H1408" i="2"/>
  <c r="E1408" i="2"/>
  <c r="C1408" i="2"/>
  <c r="A1408" i="2"/>
  <c r="H1407" i="2"/>
  <c r="E1407" i="2"/>
  <c r="C1407" i="2"/>
  <c r="A1407" i="2"/>
  <c r="H1406" i="2"/>
  <c r="E1406" i="2"/>
  <c r="C1406" i="2"/>
  <c r="A1406" i="2"/>
  <c r="H1405" i="2"/>
  <c r="E1405" i="2"/>
  <c r="C1405" i="2"/>
  <c r="A1405" i="2"/>
  <c r="H1404" i="2"/>
  <c r="E1404" i="2"/>
  <c r="C1404" i="2"/>
  <c r="A1404" i="2"/>
  <c r="H1403" i="2"/>
  <c r="E1403" i="2"/>
  <c r="C1403" i="2"/>
  <c r="A1403" i="2"/>
  <c r="H1402" i="2"/>
  <c r="E1402" i="2"/>
  <c r="C1402" i="2"/>
  <c r="A1402" i="2"/>
  <c r="H1401" i="2"/>
  <c r="E1401" i="2"/>
  <c r="C1401" i="2"/>
  <c r="A1401" i="2"/>
  <c r="H1400" i="2"/>
  <c r="E1400" i="2"/>
  <c r="C1400" i="2"/>
  <c r="A1400" i="2"/>
  <c r="H1399" i="2"/>
  <c r="E1399" i="2"/>
  <c r="C1399" i="2"/>
  <c r="A1399" i="2"/>
  <c r="H1398" i="2"/>
  <c r="E1398" i="2"/>
  <c r="C1398" i="2"/>
  <c r="A1398" i="2"/>
  <c r="H1397" i="2"/>
  <c r="E1397" i="2"/>
  <c r="C1397" i="2"/>
  <c r="A1397" i="2"/>
  <c r="H1396" i="2"/>
  <c r="E1396" i="2"/>
  <c r="C1396" i="2"/>
  <c r="A1396" i="2"/>
  <c r="H1395" i="2"/>
  <c r="E1395" i="2"/>
  <c r="C1395" i="2"/>
  <c r="A1395" i="2"/>
  <c r="H1394" i="2"/>
  <c r="E1394" i="2"/>
  <c r="C1394" i="2"/>
  <c r="A1394" i="2"/>
  <c r="H1393" i="2"/>
  <c r="E1393" i="2"/>
  <c r="C1393" i="2"/>
  <c r="A1393" i="2"/>
  <c r="H1392" i="2"/>
  <c r="E1392" i="2"/>
  <c r="C1392" i="2"/>
  <c r="A1392" i="2"/>
  <c r="H1391" i="2"/>
  <c r="E1391" i="2"/>
  <c r="C1391" i="2"/>
  <c r="A1391" i="2"/>
  <c r="H1390" i="2"/>
  <c r="E1390" i="2"/>
  <c r="C1390" i="2"/>
  <c r="A1390" i="2"/>
  <c r="H1389" i="2"/>
  <c r="E1389" i="2"/>
  <c r="C1389" i="2"/>
  <c r="A1389" i="2"/>
  <c r="H1388" i="2"/>
  <c r="E1388" i="2"/>
  <c r="C1388" i="2"/>
  <c r="A1388" i="2"/>
  <c r="H1387" i="2"/>
  <c r="E1387" i="2"/>
  <c r="C1387" i="2"/>
  <c r="A1387" i="2"/>
  <c r="H1386" i="2"/>
  <c r="E1386" i="2"/>
  <c r="C1386" i="2"/>
  <c r="A1386" i="2"/>
  <c r="H1385" i="2"/>
  <c r="E1385" i="2"/>
  <c r="C1385" i="2"/>
  <c r="A1385" i="2"/>
  <c r="H1384" i="2"/>
  <c r="E1384" i="2"/>
  <c r="C1384" i="2"/>
  <c r="A1384" i="2"/>
  <c r="H1383" i="2"/>
  <c r="E1383" i="2"/>
  <c r="C1383" i="2"/>
  <c r="A1383" i="2"/>
  <c r="H1382" i="2"/>
  <c r="E1382" i="2"/>
  <c r="C1382" i="2"/>
  <c r="A1382" i="2"/>
  <c r="H1381" i="2"/>
  <c r="E1381" i="2"/>
  <c r="C1381" i="2"/>
  <c r="A1381" i="2"/>
  <c r="H1380" i="2"/>
  <c r="E1380" i="2"/>
  <c r="C1380" i="2"/>
  <c r="A1380" i="2"/>
  <c r="H1379" i="2"/>
  <c r="E1379" i="2"/>
  <c r="C1379" i="2"/>
  <c r="A1379" i="2"/>
  <c r="H1378" i="2"/>
  <c r="E1378" i="2"/>
  <c r="C1378" i="2"/>
  <c r="A1378" i="2"/>
  <c r="H1377" i="2"/>
  <c r="E1377" i="2"/>
  <c r="C1377" i="2"/>
  <c r="A1377" i="2"/>
  <c r="H1376" i="2"/>
  <c r="E1376" i="2"/>
  <c r="C1376" i="2"/>
  <c r="A1376" i="2"/>
  <c r="H1375" i="2"/>
  <c r="E1375" i="2"/>
  <c r="C1375" i="2"/>
  <c r="A1375" i="2"/>
  <c r="H1374" i="2"/>
  <c r="E1374" i="2"/>
  <c r="C1374" i="2"/>
  <c r="A1374" i="2"/>
  <c r="H1373" i="2"/>
  <c r="E1373" i="2"/>
  <c r="C1373" i="2"/>
  <c r="A1373" i="2"/>
  <c r="H1372" i="2"/>
  <c r="E1372" i="2"/>
  <c r="C1372" i="2"/>
  <c r="A1372" i="2"/>
  <c r="H1371" i="2"/>
  <c r="E1371" i="2"/>
  <c r="C1371" i="2"/>
  <c r="A1371" i="2"/>
  <c r="H1370" i="2"/>
  <c r="E1370" i="2"/>
  <c r="C1370" i="2"/>
  <c r="A1370" i="2"/>
  <c r="H1369" i="2"/>
  <c r="E1369" i="2"/>
  <c r="C1369" i="2"/>
  <c r="A1369" i="2"/>
  <c r="H1368" i="2"/>
  <c r="E1368" i="2"/>
  <c r="C1368" i="2"/>
  <c r="A1368" i="2"/>
  <c r="H1367" i="2"/>
  <c r="E1367" i="2"/>
  <c r="C1367" i="2"/>
  <c r="A1367" i="2"/>
  <c r="H1366" i="2"/>
  <c r="E1366" i="2"/>
  <c r="C1366" i="2"/>
  <c r="A1366" i="2"/>
  <c r="H1365" i="2"/>
  <c r="E1365" i="2"/>
  <c r="C1365" i="2"/>
  <c r="A1365" i="2"/>
  <c r="H1364" i="2"/>
  <c r="E1364" i="2"/>
  <c r="C1364" i="2"/>
  <c r="A1364" i="2"/>
  <c r="H1363" i="2"/>
  <c r="E1363" i="2"/>
  <c r="C1363" i="2"/>
  <c r="A1363" i="2"/>
  <c r="H1362" i="2"/>
  <c r="E1362" i="2"/>
  <c r="C1362" i="2"/>
  <c r="A1362" i="2"/>
  <c r="H1361" i="2"/>
  <c r="E1361" i="2"/>
  <c r="C1361" i="2"/>
  <c r="A1361" i="2"/>
  <c r="H1360" i="2"/>
  <c r="E1360" i="2"/>
  <c r="C1360" i="2"/>
  <c r="A1360" i="2"/>
  <c r="H1359" i="2"/>
  <c r="E1359" i="2"/>
  <c r="C1359" i="2"/>
  <c r="A1359" i="2"/>
  <c r="H1358" i="2"/>
  <c r="E1358" i="2"/>
  <c r="C1358" i="2"/>
  <c r="A1358" i="2"/>
  <c r="H1357" i="2"/>
  <c r="E1357" i="2"/>
  <c r="C1357" i="2"/>
  <c r="A1357" i="2"/>
  <c r="H1356" i="2"/>
  <c r="E1356" i="2"/>
  <c r="C1356" i="2"/>
  <c r="A1356" i="2"/>
  <c r="H1355" i="2"/>
  <c r="E1355" i="2"/>
  <c r="C1355" i="2"/>
  <c r="A1355" i="2"/>
  <c r="H1354" i="2"/>
  <c r="E1354" i="2"/>
  <c r="C1354" i="2"/>
  <c r="A1354" i="2"/>
  <c r="H1353" i="2"/>
  <c r="E1353" i="2"/>
  <c r="C1353" i="2"/>
  <c r="A1353" i="2"/>
  <c r="H1352" i="2"/>
  <c r="E1352" i="2"/>
  <c r="C1352" i="2"/>
  <c r="A1352" i="2"/>
  <c r="H1351" i="2"/>
  <c r="E1351" i="2"/>
  <c r="C1351" i="2"/>
  <c r="A1351" i="2"/>
  <c r="H1350" i="2"/>
  <c r="E1350" i="2"/>
  <c r="C1350" i="2"/>
  <c r="A1350" i="2"/>
  <c r="H1349" i="2"/>
  <c r="E1349" i="2"/>
  <c r="C1349" i="2"/>
  <c r="A1349" i="2"/>
  <c r="H1348" i="2"/>
  <c r="E1348" i="2"/>
  <c r="C1348" i="2"/>
  <c r="A1348" i="2"/>
  <c r="H1347" i="2"/>
  <c r="E1347" i="2"/>
  <c r="C1347" i="2"/>
  <c r="A1347" i="2"/>
  <c r="H1346" i="2"/>
  <c r="E1346" i="2"/>
  <c r="C1346" i="2"/>
  <c r="A1346" i="2"/>
  <c r="H1345" i="2"/>
  <c r="E1345" i="2"/>
  <c r="C1345" i="2"/>
  <c r="A1345" i="2"/>
  <c r="H1344" i="2"/>
  <c r="E1344" i="2"/>
  <c r="C1344" i="2"/>
  <c r="A1344" i="2"/>
  <c r="H1343" i="2"/>
  <c r="E1343" i="2"/>
  <c r="C1343" i="2"/>
  <c r="A1343" i="2"/>
  <c r="H1342" i="2"/>
  <c r="E1342" i="2"/>
  <c r="C1342" i="2"/>
  <c r="A1342" i="2"/>
  <c r="H1341" i="2"/>
  <c r="E1341" i="2"/>
  <c r="C1341" i="2"/>
  <c r="A1341" i="2"/>
  <c r="H1340" i="2"/>
  <c r="E1340" i="2"/>
  <c r="C1340" i="2"/>
  <c r="A1340" i="2"/>
  <c r="H1339" i="2"/>
  <c r="E1339" i="2"/>
  <c r="C1339" i="2"/>
  <c r="A1339" i="2"/>
  <c r="H1338" i="2"/>
  <c r="E1338" i="2"/>
  <c r="C1338" i="2"/>
  <c r="A1338" i="2"/>
  <c r="H1337" i="2"/>
  <c r="E1337" i="2"/>
  <c r="C1337" i="2"/>
  <c r="A1337" i="2"/>
  <c r="H1336" i="2"/>
  <c r="E1336" i="2"/>
  <c r="C1336" i="2"/>
  <c r="A1336" i="2"/>
  <c r="H1335" i="2"/>
  <c r="E1335" i="2"/>
  <c r="C1335" i="2"/>
  <c r="A1335" i="2"/>
  <c r="H1334" i="2"/>
  <c r="E1334" i="2"/>
  <c r="C1334" i="2"/>
  <c r="A1334" i="2"/>
  <c r="H1333" i="2"/>
  <c r="E1333" i="2"/>
  <c r="C1333" i="2"/>
  <c r="A1333" i="2"/>
  <c r="H1332" i="2"/>
  <c r="E1332" i="2"/>
  <c r="C1332" i="2"/>
  <c r="A1332" i="2"/>
  <c r="H1331" i="2"/>
  <c r="E1331" i="2"/>
  <c r="C1331" i="2"/>
  <c r="A1331" i="2"/>
  <c r="H1330" i="2"/>
  <c r="E1330" i="2"/>
  <c r="C1330" i="2"/>
  <c r="A1330" i="2"/>
  <c r="H1329" i="2"/>
  <c r="E1329" i="2"/>
  <c r="C1329" i="2"/>
  <c r="A1329" i="2"/>
  <c r="H1328" i="2"/>
  <c r="E1328" i="2"/>
  <c r="C1328" i="2"/>
  <c r="A1328" i="2"/>
  <c r="H1327" i="2"/>
  <c r="E1327" i="2"/>
  <c r="C1327" i="2"/>
  <c r="A1327" i="2"/>
  <c r="H1326" i="2"/>
  <c r="E1326" i="2"/>
  <c r="C1326" i="2"/>
  <c r="A1326" i="2"/>
  <c r="H1325" i="2"/>
  <c r="E1325" i="2"/>
  <c r="C1325" i="2"/>
  <c r="A1325" i="2"/>
  <c r="H1324" i="2"/>
  <c r="E1324" i="2"/>
  <c r="C1324" i="2"/>
  <c r="A1324" i="2"/>
  <c r="H1323" i="2"/>
  <c r="E1323" i="2"/>
  <c r="C1323" i="2"/>
  <c r="A1323" i="2"/>
  <c r="H1322" i="2"/>
  <c r="E1322" i="2"/>
  <c r="C1322" i="2"/>
  <c r="A1322" i="2"/>
  <c r="H1321" i="2"/>
  <c r="E1321" i="2"/>
  <c r="C1321" i="2"/>
  <c r="A1321" i="2"/>
  <c r="H1320" i="2"/>
  <c r="E1320" i="2"/>
  <c r="C1320" i="2"/>
  <c r="A1320" i="2"/>
  <c r="H1319" i="2"/>
  <c r="E1319" i="2"/>
  <c r="C1319" i="2"/>
  <c r="A1319" i="2"/>
  <c r="H1318" i="2"/>
  <c r="E1318" i="2"/>
  <c r="C1318" i="2"/>
  <c r="A1318" i="2"/>
  <c r="H1317" i="2"/>
  <c r="E1317" i="2"/>
  <c r="C1317" i="2"/>
  <c r="A1317" i="2"/>
  <c r="H1316" i="2"/>
  <c r="E1316" i="2"/>
  <c r="C1316" i="2"/>
  <c r="A1316" i="2"/>
  <c r="H1315" i="2"/>
  <c r="E1315" i="2"/>
  <c r="C1315" i="2"/>
  <c r="A1315" i="2"/>
  <c r="H1314" i="2"/>
  <c r="E1314" i="2"/>
  <c r="C1314" i="2"/>
  <c r="A1314" i="2"/>
  <c r="H1313" i="2"/>
  <c r="E1313" i="2"/>
  <c r="C1313" i="2"/>
  <c r="A1313" i="2"/>
  <c r="H1312" i="2"/>
  <c r="E1312" i="2"/>
  <c r="C1312" i="2"/>
  <c r="A1312" i="2"/>
  <c r="H1311" i="2"/>
  <c r="E1311" i="2"/>
  <c r="C1311" i="2"/>
  <c r="A1311" i="2"/>
  <c r="H1310" i="2"/>
  <c r="E1310" i="2"/>
  <c r="C1310" i="2"/>
  <c r="A1310" i="2"/>
  <c r="H1309" i="2"/>
  <c r="E1309" i="2"/>
  <c r="C1309" i="2"/>
  <c r="A1309" i="2"/>
  <c r="H1308" i="2"/>
  <c r="E1308" i="2"/>
  <c r="C1308" i="2"/>
  <c r="A1308" i="2"/>
  <c r="H1307" i="2"/>
  <c r="E1307" i="2"/>
  <c r="C1307" i="2"/>
  <c r="A1307" i="2"/>
  <c r="H1306" i="2"/>
  <c r="E1306" i="2"/>
  <c r="C1306" i="2"/>
  <c r="A1306" i="2"/>
  <c r="H1305" i="2"/>
  <c r="E1305" i="2"/>
  <c r="C1305" i="2"/>
  <c r="A1305" i="2"/>
  <c r="H1304" i="2"/>
  <c r="E1304" i="2"/>
  <c r="C1304" i="2"/>
  <c r="A1304" i="2"/>
  <c r="H1303" i="2"/>
  <c r="E1303" i="2"/>
  <c r="C1303" i="2"/>
  <c r="A1303" i="2"/>
  <c r="H1302" i="2"/>
  <c r="E1302" i="2"/>
  <c r="C1302" i="2"/>
  <c r="A1302" i="2"/>
  <c r="H1301" i="2"/>
  <c r="E1301" i="2"/>
  <c r="C1301" i="2"/>
  <c r="A1301" i="2"/>
  <c r="H1300" i="2"/>
  <c r="E1300" i="2"/>
  <c r="C1300" i="2"/>
  <c r="A1300" i="2"/>
  <c r="H1299" i="2"/>
  <c r="E1299" i="2"/>
  <c r="C1299" i="2"/>
  <c r="A1299" i="2"/>
  <c r="H1298" i="2"/>
  <c r="E1298" i="2"/>
  <c r="C1298" i="2"/>
  <c r="A1298" i="2"/>
  <c r="H1297" i="2"/>
  <c r="E1297" i="2"/>
  <c r="C1297" i="2"/>
  <c r="A1297" i="2"/>
  <c r="H1296" i="2"/>
  <c r="E1296" i="2"/>
  <c r="C1296" i="2"/>
  <c r="A1296" i="2"/>
  <c r="H1295" i="2"/>
  <c r="E1295" i="2"/>
  <c r="C1295" i="2"/>
  <c r="A1295" i="2"/>
  <c r="H1294" i="2"/>
  <c r="E1294" i="2"/>
  <c r="C1294" i="2"/>
  <c r="A1294" i="2"/>
  <c r="H1293" i="2"/>
  <c r="E1293" i="2"/>
  <c r="C1293" i="2"/>
  <c r="A1293" i="2"/>
  <c r="H1292" i="2"/>
  <c r="E1292" i="2"/>
  <c r="C1292" i="2"/>
  <c r="A1292" i="2"/>
  <c r="H1291" i="2"/>
  <c r="E1291" i="2"/>
  <c r="C1291" i="2"/>
  <c r="A1291" i="2"/>
  <c r="H1290" i="2"/>
  <c r="E1290" i="2"/>
  <c r="C1290" i="2"/>
  <c r="A1290" i="2"/>
  <c r="H1289" i="2"/>
  <c r="E1289" i="2"/>
  <c r="C1289" i="2"/>
  <c r="A1289" i="2"/>
  <c r="H1288" i="2"/>
  <c r="E1288" i="2"/>
  <c r="C1288" i="2"/>
  <c r="A1288" i="2"/>
  <c r="H1287" i="2"/>
  <c r="E1287" i="2"/>
  <c r="C1287" i="2"/>
  <c r="A1287" i="2"/>
  <c r="H1286" i="2"/>
  <c r="E1286" i="2"/>
  <c r="C1286" i="2"/>
  <c r="A1286" i="2"/>
  <c r="H1285" i="2"/>
  <c r="E1285" i="2"/>
  <c r="C1285" i="2"/>
  <c r="A1285" i="2"/>
  <c r="H1284" i="2"/>
  <c r="E1284" i="2"/>
  <c r="C1284" i="2"/>
  <c r="A1284" i="2"/>
  <c r="H1283" i="2"/>
  <c r="E1283" i="2"/>
  <c r="C1283" i="2"/>
  <c r="A1283" i="2"/>
  <c r="H1282" i="2"/>
  <c r="E1282" i="2"/>
  <c r="C1282" i="2"/>
  <c r="A1282" i="2"/>
  <c r="H1281" i="2"/>
  <c r="E1281" i="2"/>
  <c r="C1281" i="2"/>
  <c r="A1281" i="2"/>
  <c r="H1280" i="2"/>
  <c r="E1280" i="2"/>
  <c r="C1280" i="2"/>
  <c r="A1280" i="2"/>
  <c r="H1279" i="2"/>
  <c r="E1279" i="2"/>
  <c r="C1279" i="2"/>
  <c r="A1279" i="2"/>
  <c r="H1278" i="2"/>
  <c r="E1278" i="2"/>
  <c r="C1278" i="2"/>
  <c r="A1278" i="2"/>
  <c r="H1277" i="2"/>
  <c r="E1277" i="2"/>
  <c r="C1277" i="2"/>
  <c r="A1277" i="2"/>
  <c r="H1276" i="2"/>
  <c r="E1276" i="2"/>
  <c r="C1276" i="2"/>
  <c r="A1276" i="2"/>
  <c r="H1275" i="2"/>
  <c r="E1275" i="2"/>
  <c r="C1275" i="2"/>
  <c r="A1275" i="2"/>
  <c r="H1274" i="2"/>
  <c r="E1274" i="2"/>
  <c r="C1274" i="2"/>
  <c r="A1274" i="2"/>
  <c r="H1273" i="2"/>
  <c r="E1273" i="2"/>
  <c r="C1273" i="2"/>
  <c r="A1273" i="2"/>
  <c r="H1272" i="2"/>
  <c r="E1272" i="2"/>
  <c r="C1272" i="2"/>
  <c r="A1272" i="2"/>
  <c r="H1271" i="2"/>
  <c r="E1271" i="2"/>
  <c r="C1271" i="2"/>
  <c r="A1271" i="2"/>
  <c r="H1270" i="2"/>
  <c r="E1270" i="2"/>
  <c r="C1270" i="2"/>
  <c r="A1270" i="2"/>
  <c r="H1269" i="2"/>
  <c r="E1269" i="2"/>
  <c r="C1269" i="2"/>
  <c r="A1269" i="2"/>
  <c r="H1268" i="2"/>
  <c r="E1268" i="2"/>
  <c r="C1268" i="2"/>
  <c r="A1268" i="2"/>
  <c r="H1267" i="2"/>
  <c r="E1267" i="2"/>
  <c r="C1267" i="2"/>
  <c r="A1267" i="2"/>
  <c r="H1266" i="2"/>
  <c r="E1266" i="2"/>
  <c r="C1266" i="2"/>
  <c r="A1266" i="2"/>
  <c r="H1265" i="2"/>
  <c r="E1265" i="2"/>
  <c r="C1265" i="2"/>
  <c r="A1265" i="2"/>
  <c r="H1264" i="2"/>
  <c r="E1264" i="2"/>
  <c r="C1264" i="2"/>
  <c r="A1264" i="2"/>
  <c r="H1263" i="2"/>
  <c r="E1263" i="2"/>
  <c r="C1263" i="2"/>
  <c r="A1263" i="2"/>
  <c r="H1262" i="2"/>
  <c r="E1262" i="2"/>
  <c r="C1262" i="2"/>
  <c r="A1262" i="2"/>
  <c r="H1261" i="2"/>
  <c r="E1261" i="2"/>
  <c r="C1261" i="2"/>
  <c r="A1261" i="2"/>
  <c r="H1260" i="2"/>
  <c r="E1260" i="2"/>
  <c r="C1260" i="2"/>
  <c r="A1260" i="2"/>
  <c r="H1259" i="2"/>
  <c r="E1259" i="2"/>
  <c r="C1259" i="2"/>
  <c r="A1259" i="2"/>
  <c r="H1258" i="2"/>
  <c r="E1258" i="2"/>
  <c r="C1258" i="2"/>
  <c r="A1258" i="2"/>
  <c r="H1257" i="2"/>
  <c r="E1257" i="2"/>
  <c r="C1257" i="2"/>
  <c r="A1257" i="2"/>
  <c r="H1256" i="2"/>
  <c r="E1256" i="2"/>
  <c r="C1256" i="2"/>
  <c r="A1256" i="2"/>
  <c r="H1255" i="2"/>
  <c r="E1255" i="2"/>
  <c r="C1255" i="2"/>
  <c r="A1255" i="2"/>
  <c r="H1254" i="2"/>
  <c r="E1254" i="2"/>
  <c r="C1254" i="2"/>
  <c r="A1254" i="2"/>
  <c r="H1253" i="2"/>
  <c r="E1253" i="2"/>
  <c r="C1253" i="2"/>
  <c r="A1253" i="2"/>
  <c r="H1252" i="2"/>
  <c r="E1252" i="2"/>
  <c r="C1252" i="2"/>
  <c r="A1252" i="2"/>
  <c r="H1251" i="2"/>
  <c r="E1251" i="2"/>
  <c r="C1251" i="2"/>
  <c r="A1251" i="2"/>
  <c r="H1250" i="2"/>
  <c r="E1250" i="2"/>
  <c r="C1250" i="2"/>
  <c r="A1250" i="2"/>
  <c r="H1249" i="2"/>
  <c r="E1249" i="2"/>
  <c r="C1249" i="2"/>
  <c r="A1249" i="2"/>
  <c r="H1248" i="2"/>
  <c r="E1248" i="2"/>
  <c r="C1248" i="2"/>
  <c r="A1248" i="2"/>
  <c r="H1247" i="2"/>
  <c r="E1247" i="2"/>
  <c r="C1247" i="2"/>
  <c r="A1247" i="2"/>
  <c r="H1246" i="2"/>
  <c r="E1246" i="2"/>
  <c r="C1246" i="2"/>
  <c r="A1246" i="2"/>
  <c r="H1245" i="2"/>
  <c r="E1245" i="2"/>
  <c r="C1245" i="2"/>
  <c r="A1245" i="2"/>
  <c r="H1244" i="2"/>
  <c r="E1244" i="2"/>
  <c r="C1244" i="2"/>
  <c r="A1244" i="2"/>
  <c r="H1243" i="2"/>
  <c r="E1243" i="2"/>
  <c r="C1243" i="2"/>
  <c r="A1243" i="2"/>
  <c r="H1242" i="2"/>
  <c r="E1242" i="2"/>
  <c r="C1242" i="2"/>
  <c r="A1242" i="2"/>
  <c r="H1241" i="2"/>
  <c r="E1241" i="2"/>
  <c r="C1241" i="2"/>
  <c r="A1241" i="2"/>
  <c r="H1240" i="2"/>
  <c r="E1240" i="2"/>
  <c r="C1240" i="2"/>
  <c r="A1240" i="2"/>
  <c r="H1239" i="2"/>
  <c r="E1239" i="2"/>
  <c r="C1239" i="2"/>
  <c r="A1239" i="2"/>
  <c r="H1238" i="2"/>
  <c r="E1238" i="2"/>
  <c r="C1238" i="2"/>
  <c r="A1238" i="2"/>
  <c r="H1237" i="2"/>
  <c r="E1237" i="2"/>
  <c r="C1237" i="2"/>
  <c r="A1237" i="2"/>
  <c r="H1236" i="2"/>
  <c r="E1236" i="2"/>
  <c r="C1236" i="2"/>
  <c r="A1236" i="2"/>
  <c r="H1235" i="2"/>
  <c r="E1235" i="2"/>
  <c r="C1235" i="2"/>
  <c r="A1235" i="2"/>
  <c r="H1234" i="2"/>
  <c r="E1234" i="2"/>
  <c r="C1234" i="2"/>
  <c r="A1234" i="2"/>
  <c r="H1233" i="2"/>
  <c r="E1233" i="2"/>
  <c r="C1233" i="2"/>
  <c r="A1233" i="2"/>
  <c r="H1232" i="2"/>
  <c r="E1232" i="2"/>
  <c r="C1232" i="2"/>
  <c r="A1232" i="2"/>
  <c r="H1231" i="2"/>
  <c r="E1231" i="2"/>
  <c r="C1231" i="2"/>
  <c r="A1231" i="2"/>
  <c r="H1230" i="2"/>
  <c r="E1230" i="2"/>
  <c r="C1230" i="2"/>
  <c r="A1230" i="2"/>
  <c r="H1229" i="2"/>
  <c r="E1229" i="2"/>
  <c r="C1229" i="2"/>
  <c r="A1229" i="2"/>
  <c r="H1228" i="2"/>
  <c r="E1228" i="2"/>
  <c r="C1228" i="2"/>
  <c r="A1228" i="2"/>
  <c r="H1227" i="2"/>
  <c r="E1227" i="2"/>
  <c r="C1227" i="2"/>
  <c r="A1227" i="2"/>
  <c r="H1226" i="2"/>
  <c r="E1226" i="2"/>
  <c r="C1226" i="2"/>
  <c r="A1226" i="2"/>
  <c r="H1225" i="2"/>
  <c r="E1225" i="2"/>
  <c r="C1225" i="2"/>
  <c r="A1225" i="2"/>
  <c r="H1224" i="2"/>
  <c r="E1224" i="2"/>
  <c r="C1224" i="2"/>
  <c r="A1224" i="2"/>
  <c r="H1223" i="2"/>
  <c r="E1223" i="2"/>
  <c r="C1223" i="2"/>
  <c r="A1223" i="2"/>
  <c r="H1222" i="2"/>
  <c r="E1222" i="2"/>
  <c r="C1222" i="2"/>
  <c r="A1222" i="2"/>
  <c r="H1221" i="2"/>
  <c r="E1221" i="2"/>
  <c r="C1221" i="2"/>
  <c r="A1221" i="2"/>
  <c r="H1220" i="2"/>
  <c r="E1220" i="2"/>
  <c r="C1220" i="2"/>
  <c r="A1220" i="2"/>
  <c r="H1219" i="2"/>
  <c r="E1219" i="2"/>
  <c r="C1219" i="2"/>
  <c r="A1219" i="2"/>
  <c r="H1218" i="2"/>
  <c r="E1218" i="2"/>
  <c r="C1218" i="2"/>
  <c r="A1218" i="2"/>
  <c r="H1217" i="2"/>
  <c r="E1217" i="2"/>
  <c r="C1217" i="2"/>
  <c r="A1217" i="2"/>
  <c r="H1216" i="2"/>
  <c r="E1216" i="2"/>
  <c r="C1216" i="2"/>
  <c r="A1216" i="2"/>
  <c r="H1215" i="2"/>
  <c r="E1215" i="2"/>
  <c r="C1215" i="2"/>
  <c r="A1215" i="2"/>
  <c r="H1214" i="2"/>
  <c r="E1214" i="2"/>
  <c r="C1214" i="2"/>
  <c r="A1214" i="2"/>
  <c r="H1213" i="2"/>
  <c r="E1213" i="2"/>
  <c r="C1213" i="2"/>
  <c r="A1213" i="2"/>
  <c r="H1212" i="2"/>
  <c r="E1212" i="2"/>
  <c r="C1212" i="2"/>
  <c r="A1212" i="2"/>
  <c r="H1211" i="2"/>
  <c r="E1211" i="2"/>
  <c r="C1211" i="2"/>
  <c r="A1211" i="2"/>
  <c r="H1210" i="2"/>
  <c r="E1210" i="2"/>
  <c r="C1210" i="2"/>
  <c r="A1210" i="2"/>
  <c r="H1209" i="2"/>
  <c r="E1209" i="2"/>
  <c r="C1209" i="2"/>
  <c r="A1209" i="2"/>
  <c r="H1208" i="2"/>
  <c r="E1208" i="2"/>
  <c r="C1208" i="2"/>
  <c r="A1208" i="2"/>
  <c r="H1207" i="2"/>
  <c r="E1207" i="2"/>
  <c r="C1207" i="2"/>
  <c r="A1207" i="2"/>
  <c r="H1206" i="2"/>
  <c r="E1206" i="2"/>
  <c r="C1206" i="2"/>
  <c r="A1206" i="2"/>
  <c r="H1205" i="2"/>
  <c r="E1205" i="2"/>
  <c r="C1205" i="2"/>
  <c r="A1205" i="2"/>
  <c r="H1204" i="2"/>
  <c r="E1204" i="2"/>
  <c r="C1204" i="2"/>
  <c r="A1204" i="2"/>
  <c r="H1203" i="2"/>
  <c r="E1203" i="2"/>
  <c r="C1203" i="2"/>
  <c r="A1203" i="2"/>
  <c r="H1202" i="2"/>
  <c r="E1202" i="2"/>
  <c r="C1202" i="2"/>
  <c r="A1202" i="2"/>
  <c r="H1201" i="2"/>
  <c r="E1201" i="2"/>
  <c r="C1201" i="2"/>
  <c r="A1201" i="2"/>
  <c r="H1200" i="2"/>
  <c r="E1200" i="2"/>
  <c r="C1200" i="2"/>
  <c r="A1200" i="2"/>
  <c r="H1199" i="2"/>
  <c r="E1199" i="2"/>
  <c r="C1199" i="2"/>
  <c r="A1199" i="2"/>
  <c r="H1198" i="2"/>
  <c r="E1198" i="2"/>
  <c r="C1198" i="2"/>
  <c r="A1198" i="2"/>
  <c r="H1197" i="2"/>
  <c r="E1197" i="2"/>
  <c r="C1197" i="2"/>
  <c r="A1197" i="2"/>
  <c r="H1196" i="2"/>
  <c r="E1196" i="2"/>
  <c r="C1196" i="2"/>
  <c r="A1196" i="2"/>
  <c r="H1195" i="2"/>
  <c r="E1195" i="2"/>
  <c r="C1195" i="2"/>
  <c r="A1195" i="2"/>
  <c r="H1194" i="2"/>
  <c r="E1194" i="2"/>
  <c r="C1194" i="2"/>
  <c r="A1194" i="2"/>
  <c r="H1193" i="2"/>
  <c r="E1193" i="2"/>
  <c r="C1193" i="2"/>
  <c r="A1193" i="2"/>
  <c r="H1192" i="2"/>
  <c r="E1192" i="2"/>
  <c r="C1192" i="2"/>
  <c r="A1192" i="2"/>
  <c r="H1191" i="2"/>
  <c r="E1191" i="2"/>
  <c r="C1191" i="2"/>
  <c r="A1191" i="2"/>
  <c r="H1190" i="2"/>
  <c r="E1190" i="2"/>
  <c r="C1190" i="2"/>
  <c r="A1190" i="2"/>
  <c r="H1189" i="2"/>
  <c r="E1189" i="2"/>
  <c r="C1189" i="2"/>
  <c r="A1189" i="2"/>
  <c r="H1188" i="2"/>
  <c r="E1188" i="2"/>
  <c r="C1188" i="2"/>
  <c r="A1188" i="2"/>
  <c r="H1187" i="2"/>
  <c r="E1187" i="2"/>
  <c r="C1187" i="2"/>
  <c r="A1187" i="2"/>
  <c r="H1186" i="2"/>
  <c r="E1186" i="2"/>
  <c r="C1186" i="2"/>
  <c r="A1186" i="2"/>
  <c r="H1185" i="2"/>
  <c r="E1185" i="2"/>
  <c r="C1185" i="2"/>
  <c r="A1185" i="2"/>
  <c r="H1184" i="2"/>
  <c r="E1184" i="2"/>
  <c r="C1184" i="2"/>
  <c r="A1184" i="2"/>
  <c r="H1183" i="2"/>
  <c r="E1183" i="2"/>
  <c r="C1183" i="2"/>
  <c r="A1183" i="2"/>
  <c r="H1182" i="2"/>
  <c r="E1182" i="2"/>
  <c r="C1182" i="2"/>
  <c r="A1182" i="2"/>
  <c r="H1181" i="2"/>
  <c r="E1181" i="2"/>
  <c r="C1181" i="2"/>
  <c r="A1181" i="2"/>
  <c r="H1180" i="2"/>
  <c r="E1180" i="2"/>
  <c r="C1180" i="2"/>
  <c r="A1180" i="2"/>
  <c r="H1179" i="2"/>
  <c r="E1179" i="2"/>
  <c r="C1179" i="2"/>
  <c r="A1179" i="2"/>
  <c r="H1178" i="2"/>
  <c r="E1178" i="2"/>
  <c r="C1178" i="2"/>
  <c r="A1178" i="2"/>
  <c r="H1177" i="2"/>
  <c r="E1177" i="2"/>
  <c r="C1177" i="2"/>
  <c r="A1177" i="2"/>
  <c r="H1176" i="2"/>
  <c r="E1176" i="2"/>
  <c r="C1176" i="2"/>
  <c r="A1176" i="2"/>
  <c r="H1175" i="2"/>
  <c r="E1175" i="2"/>
  <c r="C1175" i="2"/>
  <c r="A1175" i="2"/>
  <c r="H1174" i="2"/>
  <c r="E1174" i="2"/>
  <c r="C1174" i="2"/>
  <c r="A1174" i="2"/>
  <c r="H1173" i="2"/>
  <c r="E1173" i="2"/>
  <c r="C1173" i="2"/>
  <c r="A1173" i="2"/>
  <c r="H1172" i="2"/>
  <c r="E1172" i="2"/>
  <c r="C1172" i="2"/>
  <c r="A1172" i="2"/>
  <c r="H1171" i="2"/>
  <c r="E1171" i="2"/>
  <c r="C1171" i="2"/>
  <c r="A1171" i="2"/>
  <c r="H1170" i="2"/>
  <c r="E1170" i="2"/>
  <c r="C1170" i="2"/>
  <c r="A1170" i="2"/>
  <c r="H1169" i="2"/>
  <c r="E1169" i="2"/>
  <c r="C1169" i="2"/>
  <c r="A1169" i="2"/>
  <c r="H1168" i="2"/>
  <c r="E1168" i="2"/>
  <c r="C1168" i="2"/>
  <c r="A1168" i="2"/>
  <c r="H1167" i="2"/>
  <c r="E1167" i="2"/>
  <c r="C1167" i="2"/>
  <c r="A1167" i="2"/>
  <c r="H1166" i="2"/>
  <c r="E1166" i="2"/>
  <c r="C1166" i="2"/>
  <c r="A1166" i="2"/>
  <c r="H1165" i="2"/>
  <c r="E1165" i="2"/>
  <c r="C1165" i="2"/>
  <c r="A1165" i="2"/>
  <c r="H1164" i="2"/>
  <c r="E1164" i="2"/>
  <c r="C1164" i="2"/>
  <c r="A1164" i="2"/>
  <c r="H1163" i="2"/>
  <c r="E1163" i="2"/>
  <c r="C1163" i="2"/>
  <c r="A1163" i="2"/>
  <c r="H1162" i="2"/>
  <c r="E1162" i="2"/>
  <c r="C1162" i="2"/>
  <c r="A1162" i="2"/>
  <c r="H1161" i="2"/>
  <c r="E1161" i="2"/>
  <c r="C1161" i="2"/>
  <c r="A1161" i="2"/>
  <c r="H1160" i="2"/>
  <c r="E1160" i="2"/>
  <c r="C1160" i="2"/>
  <c r="A1160" i="2"/>
  <c r="H1159" i="2"/>
  <c r="E1159" i="2"/>
  <c r="C1159" i="2"/>
  <c r="A1159" i="2"/>
  <c r="H1158" i="2"/>
  <c r="E1158" i="2"/>
  <c r="C1158" i="2"/>
  <c r="A1158" i="2"/>
  <c r="H1157" i="2"/>
  <c r="E1157" i="2"/>
  <c r="C1157" i="2"/>
  <c r="A1157" i="2"/>
  <c r="H1156" i="2"/>
  <c r="E1156" i="2"/>
  <c r="C1156" i="2"/>
  <c r="A1156" i="2"/>
  <c r="H1155" i="2"/>
  <c r="E1155" i="2"/>
  <c r="C1155" i="2"/>
  <c r="A1155" i="2"/>
  <c r="H1154" i="2"/>
  <c r="E1154" i="2"/>
  <c r="C1154" i="2"/>
  <c r="A1154" i="2"/>
  <c r="H1153" i="2"/>
  <c r="E1153" i="2"/>
  <c r="C1153" i="2"/>
  <c r="A1153" i="2"/>
  <c r="H1152" i="2"/>
  <c r="E1152" i="2"/>
  <c r="C1152" i="2"/>
  <c r="A1152" i="2"/>
  <c r="H1151" i="2"/>
  <c r="E1151" i="2"/>
  <c r="C1151" i="2"/>
  <c r="A1151" i="2"/>
  <c r="H1150" i="2"/>
  <c r="E1150" i="2"/>
  <c r="C1150" i="2"/>
  <c r="A1150" i="2"/>
  <c r="H1149" i="2"/>
  <c r="E1149" i="2"/>
  <c r="C1149" i="2"/>
  <c r="A1149" i="2"/>
  <c r="H1148" i="2"/>
  <c r="E1148" i="2"/>
  <c r="C1148" i="2"/>
  <c r="A1148" i="2"/>
  <c r="H1147" i="2"/>
  <c r="E1147" i="2"/>
  <c r="C1147" i="2"/>
  <c r="A1147" i="2"/>
  <c r="H1146" i="2"/>
  <c r="E1146" i="2"/>
  <c r="C1146" i="2"/>
  <c r="A1146" i="2"/>
  <c r="H1145" i="2"/>
  <c r="E1145" i="2"/>
  <c r="C1145" i="2"/>
  <c r="A1145" i="2"/>
  <c r="H1144" i="2"/>
  <c r="E1144" i="2"/>
  <c r="C1144" i="2"/>
  <c r="A1144" i="2"/>
  <c r="H1143" i="2"/>
  <c r="E1143" i="2"/>
  <c r="C1143" i="2"/>
  <c r="A1143" i="2"/>
  <c r="H1142" i="2"/>
  <c r="E1142" i="2"/>
  <c r="C1142" i="2"/>
  <c r="A1142" i="2"/>
  <c r="H1141" i="2"/>
  <c r="E1141" i="2"/>
  <c r="C1141" i="2"/>
  <c r="A1141" i="2"/>
  <c r="H1140" i="2"/>
  <c r="E1140" i="2"/>
  <c r="C1140" i="2"/>
  <c r="A1140" i="2"/>
  <c r="H1139" i="2"/>
  <c r="E1139" i="2"/>
  <c r="C1139" i="2"/>
  <c r="A1139" i="2"/>
  <c r="H1138" i="2"/>
  <c r="E1138" i="2"/>
  <c r="C1138" i="2"/>
  <c r="A1138" i="2"/>
  <c r="H1137" i="2"/>
  <c r="E1137" i="2"/>
  <c r="C1137" i="2"/>
  <c r="A1137" i="2"/>
  <c r="H1136" i="2"/>
  <c r="E1136" i="2"/>
  <c r="C1136" i="2"/>
  <c r="A1136" i="2"/>
  <c r="H1135" i="2"/>
  <c r="E1135" i="2"/>
  <c r="C1135" i="2"/>
  <c r="A1135" i="2"/>
  <c r="H1134" i="2"/>
  <c r="E1134" i="2"/>
  <c r="C1134" i="2"/>
  <c r="A1134" i="2"/>
  <c r="H1133" i="2"/>
  <c r="E1133" i="2"/>
  <c r="C1133" i="2"/>
  <c r="A1133" i="2"/>
  <c r="H1132" i="2"/>
  <c r="E1132" i="2"/>
  <c r="C1132" i="2"/>
  <c r="A1132" i="2"/>
  <c r="H1131" i="2"/>
  <c r="E1131" i="2"/>
  <c r="C1131" i="2"/>
  <c r="A1131" i="2"/>
  <c r="H1130" i="2"/>
  <c r="E1130" i="2"/>
  <c r="C1130" i="2"/>
  <c r="A1130" i="2"/>
  <c r="H1129" i="2"/>
  <c r="E1129" i="2"/>
  <c r="C1129" i="2"/>
  <c r="A1129" i="2"/>
  <c r="H1128" i="2"/>
  <c r="E1128" i="2"/>
  <c r="C1128" i="2"/>
  <c r="A1128" i="2"/>
  <c r="H1127" i="2"/>
  <c r="E1127" i="2"/>
  <c r="C1127" i="2"/>
  <c r="A1127" i="2"/>
  <c r="H1126" i="2"/>
  <c r="E1126" i="2"/>
  <c r="C1126" i="2"/>
  <c r="A1126" i="2"/>
  <c r="H1125" i="2"/>
  <c r="E1125" i="2"/>
  <c r="C1125" i="2"/>
  <c r="A1125" i="2"/>
  <c r="H1124" i="2"/>
  <c r="E1124" i="2"/>
  <c r="C1124" i="2"/>
  <c r="A1124" i="2"/>
  <c r="H1123" i="2"/>
  <c r="E1123" i="2"/>
  <c r="C1123" i="2"/>
  <c r="A1123" i="2"/>
  <c r="H1122" i="2"/>
  <c r="E1122" i="2"/>
  <c r="C1122" i="2"/>
  <c r="A1122" i="2"/>
  <c r="H1121" i="2"/>
  <c r="E1121" i="2"/>
  <c r="C1121" i="2"/>
  <c r="A1121" i="2"/>
  <c r="H1120" i="2"/>
  <c r="E1120" i="2"/>
  <c r="C1120" i="2"/>
  <c r="A1120" i="2"/>
  <c r="H1119" i="2"/>
  <c r="E1119" i="2"/>
  <c r="C1119" i="2"/>
  <c r="A1119" i="2"/>
  <c r="H1118" i="2"/>
  <c r="E1118" i="2"/>
  <c r="C1118" i="2"/>
  <c r="A1118" i="2"/>
  <c r="H1117" i="2"/>
  <c r="E1117" i="2"/>
  <c r="C1117" i="2"/>
  <c r="A1117" i="2"/>
  <c r="H1116" i="2"/>
  <c r="E1116" i="2"/>
  <c r="C1116" i="2"/>
  <c r="A1116" i="2"/>
  <c r="H1115" i="2"/>
  <c r="E1115" i="2"/>
  <c r="C1115" i="2"/>
  <c r="A1115" i="2"/>
  <c r="H1114" i="2"/>
  <c r="E1114" i="2"/>
  <c r="C1114" i="2"/>
  <c r="A1114" i="2"/>
  <c r="H1113" i="2"/>
  <c r="E1113" i="2"/>
  <c r="C1113" i="2"/>
  <c r="A1113" i="2"/>
  <c r="H1112" i="2"/>
  <c r="E1112" i="2"/>
  <c r="C1112" i="2"/>
  <c r="A1112" i="2"/>
  <c r="H1111" i="2"/>
  <c r="E1111" i="2"/>
  <c r="C1111" i="2"/>
  <c r="A1111" i="2"/>
  <c r="H1110" i="2"/>
  <c r="E1110" i="2"/>
  <c r="C1110" i="2"/>
  <c r="A1110" i="2"/>
  <c r="H1109" i="2"/>
  <c r="E1109" i="2"/>
  <c r="C1109" i="2"/>
  <c r="A1109" i="2"/>
  <c r="H1108" i="2"/>
  <c r="E1108" i="2"/>
  <c r="C1108" i="2"/>
  <c r="A1108" i="2"/>
  <c r="H1107" i="2"/>
  <c r="E1107" i="2"/>
  <c r="C1107" i="2"/>
  <c r="A1107" i="2"/>
  <c r="H1106" i="2"/>
  <c r="E1106" i="2"/>
  <c r="C1106" i="2"/>
  <c r="A1106" i="2"/>
  <c r="H1105" i="2"/>
  <c r="E1105" i="2"/>
  <c r="C1105" i="2"/>
  <c r="A1105" i="2"/>
  <c r="H1104" i="2"/>
  <c r="E1104" i="2"/>
  <c r="C1104" i="2"/>
  <c r="A1104" i="2"/>
  <c r="H1103" i="2"/>
  <c r="E1103" i="2"/>
  <c r="C1103" i="2"/>
  <c r="A1103" i="2"/>
  <c r="H1102" i="2"/>
  <c r="E1102" i="2"/>
  <c r="C1102" i="2"/>
  <c r="A1102" i="2"/>
  <c r="H1101" i="2"/>
  <c r="E1101" i="2"/>
  <c r="C1101" i="2"/>
  <c r="A1101" i="2"/>
  <c r="H1100" i="2"/>
  <c r="E1100" i="2"/>
  <c r="C1100" i="2"/>
  <c r="A1100" i="2"/>
  <c r="H1099" i="2"/>
  <c r="E1099" i="2"/>
  <c r="C1099" i="2"/>
  <c r="A1099" i="2"/>
  <c r="H1098" i="2"/>
  <c r="E1098" i="2"/>
  <c r="C1098" i="2"/>
  <c r="A1098" i="2"/>
  <c r="H1097" i="2"/>
  <c r="E1097" i="2"/>
  <c r="C1097" i="2"/>
  <c r="A1097" i="2"/>
  <c r="H1096" i="2"/>
  <c r="E1096" i="2"/>
  <c r="C1096" i="2"/>
  <c r="A1096" i="2"/>
  <c r="H1095" i="2"/>
  <c r="E1095" i="2"/>
  <c r="C1095" i="2"/>
  <c r="A1095" i="2"/>
  <c r="H1094" i="2"/>
  <c r="E1094" i="2"/>
  <c r="C1094" i="2"/>
  <c r="A1094" i="2"/>
  <c r="H1093" i="2"/>
  <c r="E1093" i="2"/>
  <c r="C1093" i="2"/>
  <c r="A1093" i="2"/>
  <c r="H1092" i="2"/>
  <c r="E1092" i="2"/>
  <c r="C1092" i="2"/>
  <c r="A1092" i="2"/>
  <c r="H1091" i="2"/>
  <c r="E1091" i="2"/>
  <c r="C1091" i="2"/>
  <c r="A1091" i="2"/>
  <c r="H1090" i="2"/>
  <c r="E1090" i="2"/>
  <c r="C1090" i="2"/>
  <c r="A1090" i="2"/>
  <c r="H1089" i="2"/>
  <c r="E1089" i="2"/>
  <c r="C1089" i="2"/>
  <c r="A1089" i="2"/>
  <c r="H1088" i="2"/>
  <c r="E1088" i="2"/>
  <c r="C1088" i="2"/>
  <c r="A1088" i="2"/>
  <c r="H1087" i="2"/>
  <c r="E1087" i="2"/>
  <c r="C1087" i="2"/>
  <c r="A1087" i="2"/>
  <c r="H1086" i="2"/>
  <c r="E1086" i="2"/>
  <c r="C1086" i="2"/>
  <c r="A1086" i="2"/>
  <c r="H1085" i="2"/>
  <c r="E1085" i="2"/>
  <c r="C1085" i="2"/>
  <c r="A1085" i="2"/>
  <c r="H1084" i="2"/>
  <c r="E1084" i="2"/>
  <c r="C1084" i="2"/>
  <c r="A1084" i="2"/>
  <c r="H1083" i="2"/>
  <c r="E1083" i="2"/>
  <c r="C1083" i="2"/>
  <c r="A1083" i="2"/>
  <c r="H1082" i="2"/>
  <c r="E1082" i="2"/>
  <c r="C1082" i="2"/>
  <c r="A1082" i="2"/>
  <c r="H1081" i="2"/>
  <c r="E1081" i="2"/>
  <c r="C1081" i="2"/>
  <c r="A1081" i="2"/>
  <c r="H1080" i="2"/>
  <c r="E1080" i="2"/>
  <c r="C1080" i="2"/>
  <c r="A1080" i="2"/>
  <c r="H1079" i="2"/>
  <c r="E1079" i="2"/>
  <c r="C1079" i="2"/>
  <c r="A1079" i="2"/>
  <c r="H1078" i="2"/>
  <c r="E1078" i="2"/>
  <c r="C1078" i="2"/>
  <c r="A1078" i="2"/>
  <c r="H1077" i="2"/>
  <c r="E1077" i="2"/>
  <c r="C1077" i="2"/>
  <c r="A1077" i="2"/>
  <c r="H1076" i="2"/>
  <c r="E1076" i="2"/>
  <c r="C1076" i="2"/>
  <c r="A1076" i="2"/>
  <c r="H1075" i="2"/>
  <c r="E1075" i="2"/>
  <c r="C1075" i="2"/>
  <c r="A1075" i="2"/>
  <c r="H1074" i="2"/>
  <c r="E1074" i="2"/>
  <c r="C1074" i="2"/>
  <c r="A1074" i="2"/>
  <c r="H1073" i="2"/>
  <c r="E1073" i="2"/>
  <c r="C1073" i="2"/>
  <c r="A1073" i="2"/>
  <c r="H1072" i="2"/>
  <c r="E1072" i="2"/>
  <c r="C1072" i="2"/>
  <c r="A1072" i="2"/>
  <c r="H1071" i="2"/>
  <c r="E1071" i="2"/>
  <c r="C1071" i="2"/>
  <c r="A1071" i="2"/>
  <c r="H1070" i="2"/>
  <c r="E1070" i="2"/>
  <c r="C1070" i="2"/>
  <c r="A1070" i="2"/>
  <c r="H1069" i="2"/>
  <c r="E1069" i="2"/>
  <c r="C1069" i="2"/>
  <c r="A1069" i="2"/>
  <c r="H1068" i="2"/>
  <c r="E1068" i="2"/>
  <c r="C1068" i="2"/>
  <c r="A1068" i="2"/>
  <c r="H1067" i="2"/>
  <c r="E1067" i="2"/>
  <c r="C1067" i="2"/>
  <c r="A1067" i="2"/>
  <c r="H1066" i="2"/>
  <c r="E1066" i="2"/>
  <c r="C1066" i="2"/>
  <c r="A1066" i="2"/>
  <c r="H1065" i="2"/>
  <c r="E1065" i="2"/>
  <c r="C1065" i="2"/>
  <c r="A1065" i="2"/>
  <c r="H1064" i="2"/>
  <c r="E1064" i="2"/>
  <c r="C1064" i="2"/>
  <c r="A1064" i="2"/>
  <c r="H1063" i="2"/>
  <c r="E1063" i="2"/>
  <c r="C1063" i="2"/>
  <c r="A1063" i="2"/>
  <c r="H1062" i="2"/>
  <c r="E1062" i="2"/>
  <c r="C1062" i="2"/>
  <c r="A1062" i="2"/>
  <c r="H1061" i="2"/>
  <c r="E1061" i="2"/>
  <c r="C1061" i="2"/>
  <c r="A1061" i="2"/>
  <c r="H1060" i="2"/>
  <c r="E1060" i="2"/>
  <c r="C1060" i="2"/>
  <c r="A1060" i="2"/>
  <c r="H1059" i="2"/>
  <c r="E1059" i="2"/>
  <c r="C1059" i="2"/>
  <c r="A1059" i="2"/>
  <c r="H1058" i="2"/>
  <c r="E1058" i="2"/>
  <c r="C1058" i="2"/>
  <c r="A1058" i="2"/>
  <c r="H1057" i="2"/>
  <c r="E1057" i="2"/>
  <c r="C1057" i="2"/>
  <c r="A1057" i="2"/>
  <c r="H1056" i="2"/>
  <c r="E1056" i="2"/>
  <c r="C1056" i="2"/>
  <c r="A1056" i="2"/>
  <c r="H1055" i="2"/>
  <c r="E1055" i="2"/>
  <c r="C1055" i="2"/>
  <c r="A1055" i="2"/>
  <c r="H1054" i="2"/>
  <c r="E1054" i="2"/>
  <c r="C1054" i="2"/>
  <c r="A1054" i="2"/>
  <c r="H1053" i="2"/>
  <c r="E1053" i="2"/>
  <c r="C1053" i="2"/>
  <c r="A1053" i="2"/>
  <c r="H1052" i="2"/>
  <c r="E1052" i="2"/>
  <c r="C1052" i="2"/>
  <c r="A1052" i="2"/>
  <c r="H1051" i="2"/>
  <c r="E1051" i="2"/>
  <c r="C1051" i="2"/>
  <c r="A1051" i="2"/>
  <c r="H1050" i="2"/>
  <c r="E1050" i="2"/>
  <c r="C1050" i="2"/>
  <c r="A1050" i="2"/>
  <c r="H1049" i="2"/>
  <c r="E1049" i="2"/>
  <c r="C1049" i="2"/>
  <c r="A1049" i="2"/>
  <c r="H1048" i="2"/>
  <c r="E1048" i="2"/>
  <c r="C1048" i="2"/>
  <c r="A1048" i="2"/>
  <c r="H1047" i="2"/>
  <c r="E1047" i="2"/>
  <c r="C1047" i="2"/>
  <c r="A1047" i="2"/>
  <c r="H1046" i="2"/>
  <c r="E1046" i="2"/>
  <c r="C1046" i="2"/>
  <c r="A1046" i="2"/>
  <c r="H1045" i="2"/>
  <c r="E1045" i="2"/>
  <c r="C1045" i="2"/>
  <c r="A1045" i="2"/>
  <c r="H1044" i="2"/>
  <c r="E1044" i="2"/>
  <c r="C1044" i="2"/>
  <c r="A1044" i="2"/>
  <c r="H1043" i="2"/>
  <c r="E1043" i="2"/>
  <c r="C1043" i="2"/>
  <c r="A1043" i="2"/>
  <c r="H1042" i="2"/>
  <c r="E1042" i="2"/>
  <c r="C1042" i="2"/>
  <c r="A1042" i="2"/>
  <c r="H1041" i="2"/>
  <c r="E1041" i="2"/>
  <c r="C1041" i="2"/>
  <c r="A1041" i="2"/>
  <c r="H1040" i="2"/>
  <c r="E1040" i="2"/>
  <c r="C1040" i="2"/>
  <c r="A1040" i="2"/>
  <c r="H1039" i="2"/>
  <c r="E1039" i="2"/>
  <c r="C1039" i="2"/>
  <c r="A1039" i="2"/>
  <c r="H1038" i="2"/>
  <c r="E1038" i="2"/>
  <c r="C1038" i="2"/>
  <c r="A1038" i="2"/>
  <c r="H1037" i="2"/>
  <c r="E1037" i="2"/>
  <c r="C1037" i="2"/>
  <c r="A1037" i="2"/>
  <c r="H1036" i="2"/>
  <c r="E1036" i="2"/>
  <c r="C1036" i="2"/>
  <c r="A1036" i="2"/>
  <c r="H1035" i="2"/>
  <c r="E1035" i="2"/>
  <c r="C1035" i="2"/>
  <c r="A1035" i="2"/>
  <c r="H1034" i="2"/>
  <c r="E1034" i="2"/>
  <c r="C1034" i="2"/>
  <c r="A1034" i="2"/>
  <c r="H1033" i="2"/>
  <c r="E1033" i="2"/>
  <c r="C1033" i="2"/>
  <c r="A1033" i="2"/>
  <c r="H1032" i="2"/>
  <c r="E1032" i="2"/>
  <c r="C1032" i="2"/>
  <c r="A1032" i="2"/>
  <c r="H1031" i="2"/>
  <c r="E1031" i="2"/>
  <c r="C1031" i="2"/>
  <c r="A1031" i="2"/>
  <c r="H1030" i="2"/>
  <c r="E1030" i="2"/>
  <c r="C1030" i="2"/>
  <c r="A1030" i="2"/>
  <c r="H1029" i="2"/>
  <c r="E1029" i="2"/>
  <c r="C1029" i="2"/>
  <c r="A1029" i="2"/>
  <c r="H1028" i="2"/>
  <c r="E1028" i="2"/>
  <c r="C1028" i="2"/>
  <c r="A1028" i="2"/>
  <c r="H1027" i="2"/>
  <c r="E1027" i="2"/>
  <c r="C1027" i="2"/>
  <c r="A1027" i="2"/>
  <c r="H1026" i="2"/>
  <c r="E1026" i="2"/>
  <c r="C1026" i="2"/>
  <c r="A1026" i="2"/>
  <c r="H1025" i="2"/>
  <c r="E1025" i="2"/>
  <c r="C1025" i="2"/>
  <c r="A1025" i="2"/>
  <c r="H1024" i="2"/>
  <c r="E1024" i="2"/>
  <c r="C1024" i="2"/>
  <c r="A1024" i="2"/>
  <c r="H1023" i="2"/>
  <c r="E1023" i="2"/>
  <c r="C1023" i="2"/>
  <c r="A1023" i="2"/>
  <c r="H1022" i="2"/>
  <c r="E1022" i="2"/>
  <c r="C1022" i="2"/>
  <c r="A1022" i="2"/>
  <c r="H1021" i="2"/>
  <c r="E1021" i="2"/>
  <c r="C1021" i="2"/>
  <c r="A1021" i="2"/>
  <c r="H1020" i="2"/>
  <c r="E1020" i="2"/>
  <c r="C1020" i="2"/>
  <c r="A1020" i="2"/>
  <c r="H1019" i="2"/>
  <c r="E1019" i="2"/>
  <c r="C1019" i="2"/>
  <c r="A1019" i="2"/>
  <c r="H1018" i="2"/>
  <c r="E1018" i="2"/>
  <c r="C1018" i="2"/>
  <c r="A1018" i="2"/>
  <c r="H1017" i="2"/>
  <c r="E1017" i="2"/>
  <c r="C1017" i="2"/>
  <c r="A1017" i="2"/>
  <c r="H1016" i="2"/>
  <c r="E1016" i="2"/>
  <c r="C1016" i="2"/>
  <c r="A1016" i="2"/>
  <c r="H1015" i="2"/>
  <c r="E1015" i="2"/>
  <c r="C1015" i="2"/>
  <c r="A1015" i="2"/>
  <c r="H1014" i="2"/>
  <c r="E1014" i="2"/>
  <c r="C1014" i="2"/>
  <c r="A1014" i="2"/>
  <c r="H1013" i="2"/>
  <c r="E1013" i="2"/>
  <c r="C1013" i="2"/>
  <c r="A1013" i="2"/>
  <c r="H1012" i="2"/>
  <c r="E1012" i="2"/>
  <c r="C1012" i="2"/>
  <c r="A1012" i="2"/>
  <c r="H1011" i="2"/>
  <c r="E1011" i="2"/>
  <c r="C1011" i="2"/>
  <c r="A1011" i="2"/>
  <c r="H1010" i="2"/>
  <c r="E1010" i="2"/>
  <c r="C1010" i="2"/>
  <c r="A1010" i="2"/>
  <c r="H1009" i="2"/>
  <c r="E1009" i="2"/>
  <c r="C1009" i="2"/>
  <c r="A1009" i="2"/>
  <c r="H1008" i="2"/>
  <c r="E1008" i="2"/>
  <c r="C1008" i="2"/>
  <c r="A1008" i="2"/>
  <c r="H1007" i="2"/>
  <c r="E1007" i="2"/>
  <c r="C1007" i="2"/>
  <c r="A1007" i="2"/>
  <c r="H1006" i="2"/>
  <c r="E1006" i="2"/>
  <c r="C1006" i="2"/>
  <c r="A1006" i="2"/>
  <c r="H1005" i="2"/>
  <c r="E1005" i="2"/>
  <c r="C1005" i="2"/>
  <c r="A1005" i="2"/>
  <c r="H1004" i="2"/>
  <c r="E1004" i="2"/>
  <c r="C1004" i="2"/>
  <c r="A1004" i="2"/>
  <c r="H1003" i="2"/>
  <c r="E1003" i="2"/>
  <c r="C1003" i="2"/>
  <c r="A1003" i="2"/>
  <c r="H1002" i="2"/>
  <c r="E1002" i="2"/>
  <c r="C1002" i="2"/>
  <c r="A1002" i="2"/>
  <c r="H1001" i="2"/>
  <c r="E1001" i="2"/>
  <c r="C1001" i="2"/>
  <c r="A1001" i="2"/>
  <c r="H1000" i="2"/>
  <c r="E1000" i="2"/>
  <c r="C1000" i="2"/>
  <c r="A1000" i="2"/>
  <c r="H999" i="2"/>
  <c r="E999" i="2"/>
  <c r="C999" i="2"/>
  <c r="A999" i="2"/>
  <c r="H998" i="2"/>
  <c r="E998" i="2"/>
  <c r="C998" i="2"/>
  <c r="A998" i="2"/>
  <c r="H997" i="2"/>
  <c r="E997" i="2"/>
  <c r="C997" i="2"/>
  <c r="A997" i="2"/>
  <c r="H996" i="2"/>
  <c r="E996" i="2"/>
  <c r="C996" i="2"/>
  <c r="A996" i="2"/>
  <c r="H995" i="2"/>
  <c r="E995" i="2"/>
  <c r="C995" i="2"/>
  <c r="A995" i="2"/>
  <c r="H994" i="2"/>
  <c r="E994" i="2"/>
  <c r="C994" i="2"/>
  <c r="A994" i="2"/>
  <c r="H993" i="2"/>
  <c r="E993" i="2"/>
  <c r="C993" i="2"/>
  <c r="A993" i="2"/>
  <c r="H992" i="2"/>
  <c r="E992" i="2"/>
  <c r="C992" i="2"/>
  <c r="A992" i="2"/>
  <c r="H991" i="2"/>
  <c r="E991" i="2"/>
  <c r="C991" i="2"/>
  <c r="A991" i="2"/>
  <c r="H990" i="2"/>
  <c r="E990" i="2"/>
  <c r="C990" i="2"/>
  <c r="A990" i="2"/>
  <c r="H989" i="2"/>
  <c r="E989" i="2"/>
  <c r="C989" i="2"/>
  <c r="A989" i="2"/>
  <c r="H988" i="2"/>
  <c r="E988" i="2"/>
  <c r="C988" i="2"/>
  <c r="A988" i="2"/>
  <c r="H987" i="2"/>
  <c r="E987" i="2"/>
  <c r="C987" i="2"/>
  <c r="A987" i="2"/>
  <c r="H986" i="2"/>
  <c r="E986" i="2"/>
  <c r="C986" i="2"/>
  <c r="A986" i="2"/>
  <c r="H985" i="2"/>
  <c r="E985" i="2"/>
  <c r="C985" i="2"/>
  <c r="A985" i="2"/>
  <c r="H984" i="2"/>
  <c r="E984" i="2"/>
  <c r="C984" i="2"/>
  <c r="A984" i="2"/>
  <c r="H983" i="2"/>
  <c r="E983" i="2"/>
  <c r="C983" i="2"/>
  <c r="A983" i="2"/>
  <c r="H982" i="2"/>
  <c r="E982" i="2"/>
  <c r="C982" i="2"/>
  <c r="A982" i="2"/>
  <c r="H981" i="2"/>
  <c r="E981" i="2"/>
  <c r="C981" i="2"/>
  <c r="A981" i="2"/>
  <c r="H980" i="2"/>
  <c r="E980" i="2"/>
  <c r="C980" i="2"/>
  <c r="A980" i="2"/>
  <c r="H979" i="2"/>
  <c r="E979" i="2"/>
  <c r="C979" i="2"/>
  <c r="A979" i="2"/>
  <c r="H978" i="2"/>
  <c r="E978" i="2"/>
  <c r="C978" i="2"/>
  <c r="A978" i="2"/>
  <c r="H977" i="2"/>
  <c r="E977" i="2"/>
  <c r="C977" i="2"/>
  <c r="A977" i="2"/>
  <c r="H976" i="2"/>
  <c r="E976" i="2"/>
  <c r="C976" i="2"/>
  <c r="A976" i="2"/>
  <c r="H975" i="2"/>
  <c r="E975" i="2"/>
  <c r="C975" i="2"/>
  <c r="A975" i="2"/>
  <c r="H974" i="2"/>
  <c r="E974" i="2"/>
  <c r="C974" i="2"/>
  <c r="A974" i="2"/>
  <c r="H973" i="2"/>
  <c r="E973" i="2"/>
  <c r="C973" i="2"/>
  <c r="A973" i="2"/>
  <c r="H972" i="2"/>
  <c r="E972" i="2"/>
  <c r="C972" i="2"/>
  <c r="A972" i="2"/>
  <c r="H971" i="2"/>
  <c r="E971" i="2"/>
  <c r="C971" i="2"/>
  <c r="A971" i="2"/>
  <c r="H970" i="2"/>
  <c r="E970" i="2"/>
  <c r="C970" i="2"/>
  <c r="A970" i="2"/>
  <c r="H969" i="2"/>
  <c r="E969" i="2"/>
  <c r="C969" i="2"/>
  <c r="A969" i="2"/>
  <c r="H968" i="2"/>
  <c r="E968" i="2"/>
  <c r="C968" i="2"/>
  <c r="A968" i="2"/>
  <c r="H967" i="2"/>
  <c r="E967" i="2"/>
  <c r="C967" i="2"/>
  <c r="A967" i="2"/>
  <c r="H966" i="2"/>
  <c r="E966" i="2"/>
  <c r="C966" i="2"/>
  <c r="A966" i="2"/>
  <c r="H965" i="2"/>
  <c r="E965" i="2"/>
  <c r="C965" i="2"/>
  <c r="A965" i="2"/>
  <c r="H964" i="2"/>
  <c r="E964" i="2"/>
  <c r="C964" i="2"/>
  <c r="A964" i="2"/>
  <c r="H963" i="2"/>
  <c r="E963" i="2"/>
  <c r="C963" i="2"/>
  <c r="A963" i="2"/>
  <c r="H962" i="2"/>
  <c r="E962" i="2"/>
  <c r="C962" i="2"/>
  <c r="A962" i="2"/>
  <c r="H961" i="2"/>
  <c r="E961" i="2"/>
  <c r="C961" i="2"/>
  <c r="A961" i="2"/>
  <c r="H960" i="2"/>
  <c r="E960" i="2"/>
  <c r="C960" i="2"/>
  <c r="A960" i="2"/>
  <c r="H959" i="2"/>
  <c r="E959" i="2"/>
  <c r="C959" i="2"/>
  <c r="A959" i="2"/>
  <c r="H958" i="2"/>
  <c r="E958" i="2"/>
  <c r="C958" i="2"/>
  <c r="A958" i="2"/>
  <c r="H957" i="2"/>
  <c r="E957" i="2"/>
  <c r="C957" i="2"/>
  <c r="A957" i="2"/>
  <c r="H956" i="2"/>
  <c r="E956" i="2"/>
  <c r="C956" i="2"/>
  <c r="A956" i="2"/>
  <c r="H955" i="2"/>
  <c r="E955" i="2"/>
  <c r="C955" i="2"/>
  <c r="A955" i="2"/>
  <c r="H954" i="2"/>
  <c r="E954" i="2"/>
  <c r="C954" i="2"/>
  <c r="A954" i="2"/>
  <c r="H953" i="2"/>
  <c r="E953" i="2"/>
  <c r="C953" i="2"/>
  <c r="A953" i="2"/>
  <c r="H952" i="2"/>
  <c r="E952" i="2"/>
  <c r="C952" i="2"/>
  <c r="A952" i="2"/>
  <c r="H951" i="2"/>
  <c r="E951" i="2"/>
  <c r="C951" i="2"/>
  <c r="A951" i="2"/>
  <c r="H950" i="2"/>
  <c r="E950" i="2"/>
  <c r="C950" i="2"/>
  <c r="A950" i="2"/>
  <c r="H949" i="2"/>
  <c r="E949" i="2"/>
  <c r="C949" i="2"/>
  <c r="A949" i="2"/>
  <c r="H948" i="2"/>
  <c r="E948" i="2"/>
  <c r="C948" i="2"/>
  <c r="A948" i="2"/>
  <c r="H947" i="2"/>
  <c r="E947" i="2"/>
  <c r="C947" i="2"/>
  <c r="A947" i="2"/>
  <c r="H946" i="2"/>
  <c r="E946" i="2"/>
  <c r="C946" i="2"/>
  <c r="A946" i="2"/>
  <c r="H945" i="2"/>
  <c r="E945" i="2"/>
  <c r="C945" i="2"/>
  <c r="A945" i="2"/>
  <c r="H944" i="2"/>
  <c r="E944" i="2"/>
  <c r="C944" i="2"/>
  <c r="A944" i="2"/>
  <c r="H943" i="2"/>
  <c r="E943" i="2"/>
  <c r="C943" i="2"/>
  <c r="A943" i="2"/>
  <c r="H942" i="2"/>
  <c r="E942" i="2"/>
  <c r="C942" i="2"/>
  <c r="A942" i="2"/>
  <c r="H941" i="2"/>
  <c r="E941" i="2"/>
  <c r="C941" i="2"/>
  <c r="A941" i="2"/>
  <c r="H940" i="2"/>
  <c r="E940" i="2"/>
  <c r="C940" i="2"/>
  <c r="A940" i="2"/>
  <c r="H939" i="2"/>
  <c r="E939" i="2"/>
  <c r="C939" i="2"/>
  <c r="A939" i="2"/>
  <c r="H938" i="2"/>
  <c r="E938" i="2"/>
  <c r="C938" i="2"/>
  <c r="A938" i="2"/>
  <c r="H937" i="2"/>
  <c r="E937" i="2"/>
  <c r="C937" i="2"/>
  <c r="A937" i="2"/>
  <c r="H936" i="2"/>
  <c r="E936" i="2"/>
  <c r="C936" i="2"/>
  <c r="A936" i="2"/>
  <c r="H935" i="2"/>
  <c r="E935" i="2"/>
  <c r="C935" i="2"/>
  <c r="A935" i="2"/>
  <c r="H934" i="2"/>
  <c r="E934" i="2"/>
  <c r="C934" i="2"/>
  <c r="A934" i="2"/>
  <c r="H933" i="2"/>
  <c r="E933" i="2"/>
  <c r="C933" i="2"/>
  <c r="A933" i="2"/>
  <c r="H932" i="2"/>
  <c r="E932" i="2"/>
  <c r="C932" i="2"/>
  <c r="A932" i="2"/>
  <c r="H931" i="2"/>
  <c r="E931" i="2"/>
  <c r="C931" i="2"/>
  <c r="A931" i="2"/>
  <c r="H930" i="2"/>
  <c r="E930" i="2"/>
  <c r="C930" i="2"/>
  <c r="A930" i="2"/>
  <c r="H929" i="2"/>
  <c r="E929" i="2"/>
  <c r="C929" i="2"/>
  <c r="A929" i="2"/>
  <c r="H928" i="2"/>
  <c r="E928" i="2"/>
  <c r="C928" i="2"/>
  <c r="A928" i="2"/>
  <c r="H927" i="2"/>
  <c r="E927" i="2"/>
  <c r="C927" i="2"/>
  <c r="A927" i="2"/>
  <c r="H926" i="2"/>
  <c r="E926" i="2"/>
  <c r="C926" i="2"/>
  <c r="A926" i="2"/>
  <c r="H925" i="2"/>
  <c r="E925" i="2"/>
  <c r="C925" i="2"/>
  <c r="A925" i="2"/>
  <c r="H924" i="2"/>
  <c r="E924" i="2"/>
  <c r="C924" i="2"/>
  <c r="A924" i="2"/>
  <c r="H923" i="2"/>
  <c r="E923" i="2"/>
  <c r="C923" i="2"/>
  <c r="A923" i="2"/>
  <c r="H922" i="2"/>
  <c r="E922" i="2"/>
  <c r="C922" i="2"/>
  <c r="A922" i="2"/>
  <c r="H921" i="2"/>
  <c r="E921" i="2"/>
  <c r="C921" i="2"/>
  <c r="A921" i="2"/>
  <c r="H920" i="2"/>
  <c r="E920" i="2"/>
  <c r="C920" i="2"/>
  <c r="A920" i="2"/>
  <c r="H919" i="2"/>
  <c r="E919" i="2"/>
  <c r="C919" i="2"/>
  <c r="A919" i="2"/>
  <c r="H918" i="2"/>
  <c r="E918" i="2"/>
  <c r="C918" i="2"/>
  <c r="A918" i="2"/>
  <c r="H917" i="2"/>
  <c r="E917" i="2"/>
  <c r="C917" i="2"/>
  <c r="A917" i="2"/>
  <c r="H916" i="2"/>
  <c r="E916" i="2"/>
  <c r="C916" i="2"/>
  <c r="A916" i="2"/>
  <c r="H915" i="2"/>
  <c r="E915" i="2"/>
  <c r="C915" i="2"/>
  <c r="A915" i="2"/>
  <c r="H914" i="2"/>
  <c r="E914" i="2"/>
  <c r="C914" i="2"/>
  <c r="A914" i="2"/>
  <c r="H913" i="2"/>
  <c r="E913" i="2"/>
  <c r="C913" i="2"/>
  <c r="A913" i="2"/>
  <c r="H912" i="2"/>
  <c r="E912" i="2"/>
  <c r="C912" i="2"/>
  <c r="A912" i="2"/>
  <c r="H911" i="2"/>
  <c r="E911" i="2"/>
  <c r="C911" i="2"/>
  <c r="A911" i="2"/>
  <c r="H910" i="2"/>
  <c r="E910" i="2"/>
  <c r="C910" i="2"/>
  <c r="A910" i="2"/>
  <c r="H909" i="2"/>
  <c r="E909" i="2"/>
  <c r="C909" i="2"/>
  <c r="A909" i="2"/>
  <c r="H908" i="2"/>
  <c r="E908" i="2"/>
  <c r="C908" i="2"/>
  <c r="A908" i="2"/>
  <c r="H907" i="2"/>
  <c r="E907" i="2"/>
  <c r="C907" i="2"/>
  <c r="A907" i="2"/>
  <c r="H906" i="2"/>
  <c r="E906" i="2"/>
  <c r="C906" i="2"/>
  <c r="A906" i="2"/>
  <c r="H905" i="2"/>
  <c r="E905" i="2"/>
  <c r="C905" i="2"/>
  <c r="A905" i="2"/>
  <c r="H904" i="2"/>
  <c r="E904" i="2"/>
  <c r="C904" i="2"/>
  <c r="A904" i="2"/>
  <c r="H903" i="2"/>
  <c r="E903" i="2"/>
  <c r="C903" i="2"/>
  <c r="A903" i="2"/>
  <c r="H902" i="2"/>
  <c r="E902" i="2"/>
  <c r="C902" i="2"/>
  <c r="A902" i="2"/>
  <c r="H901" i="2"/>
  <c r="E901" i="2"/>
  <c r="C901" i="2"/>
  <c r="A901" i="2"/>
  <c r="H900" i="2"/>
  <c r="E900" i="2"/>
  <c r="C900" i="2"/>
  <c r="A900" i="2"/>
  <c r="H899" i="2"/>
  <c r="E899" i="2"/>
  <c r="C899" i="2"/>
  <c r="A899" i="2"/>
  <c r="H898" i="2"/>
  <c r="E898" i="2"/>
  <c r="C898" i="2"/>
  <c r="A898" i="2"/>
  <c r="H897" i="2"/>
  <c r="E897" i="2"/>
  <c r="C897" i="2"/>
  <c r="A897" i="2"/>
  <c r="H896" i="2"/>
  <c r="E896" i="2"/>
  <c r="C896" i="2"/>
  <c r="A896" i="2"/>
  <c r="H895" i="2"/>
  <c r="E895" i="2"/>
  <c r="C895" i="2"/>
  <c r="A895" i="2"/>
  <c r="H894" i="2"/>
  <c r="E894" i="2"/>
  <c r="C894" i="2"/>
  <c r="A894" i="2"/>
  <c r="H893" i="2"/>
  <c r="E893" i="2"/>
  <c r="C893" i="2"/>
  <c r="A893" i="2"/>
  <c r="H892" i="2"/>
  <c r="E892" i="2"/>
  <c r="C892" i="2"/>
  <c r="A892" i="2"/>
  <c r="H891" i="2"/>
  <c r="E891" i="2"/>
  <c r="C891" i="2"/>
  <c r="A891" i="2"/>
  <c r="H890" i="2"/>
  <c r="E890" i="2"/>
  <c r="C890" i="2"/>
  <c r="A890" i="2"/>
  <c r="H889" i="2"/>
  <c r="E889" i="2"/>
  <c r="C889" i="2"/>
  <c r="A889" i="2"/>
  <c r="H888" i="2"/>
  <c r="E888" i="2"/>
  <c r="C888" i="2"/>
  <c r="A888" i="2"/>
  <c r="H887" i="2"/>
  <c r="E887" i="2"/>
  <c r="C887" i="2"/>
  <c r="A887" i="2"/>
  <c r="H886" i="2"/>
  <c r="E886" i="2"/>
  <c r="C886" i="2"/>
  <c r="A886" i="2"/>
  <c r="H885" i="2"/>
  <c r="E885" i="2"/>
  <c r="C885" i="2"/>
  <c r="A885" i="2"/>
  <c r="H884" i="2"/>
  <c r="E884" i="2"/>
  <c r="C884" i="2"/>
  <c r="A884" i="2"/>
  <c r="H883" i="2"/>
  <c r="E883" i="2"/>
  <c r="C883" i="2"/>
  <c r="A883" i="2"/>
  <c r="H882" i="2"/>
  <c r="E882" i="2"/>
  <c r="C882" i="2"/>
  <c r="A882" i="2"/>
  <c r="H881" i="2"/>
  <c r="E881" i="2"/>
  <c r="C881" i="2"/>
  <c r="A881" i="2"/>
  <c r="H880" i="2"/>
  <c r="E880" i="2"/>
  <c r="C880" i="2"/>
  <c r="A880" i="2"/>
  <c r="H879" i="2"/>
  <c r="E879" i="2"/>
  <c r="C879" i="2"/>
  <c r="A879" i="2"/>
  <c r="H878" i="2"/>
  <c r="E878" i="2"/>
  <c r="C878" i="2"/>
  <c r="A878" i="2"/>
  <c r="H877" i="2"/>
  <c r="E877" i="2"/>
  <c r="C877" i="2"/>
  <c r="A877" i="2"/>
  <c r="H876" i="2"/>
  <c r="E876" i="2"/>
  <c r="C876" i="2"/>
  <c r="A876" i="2"/>
  <c r="H875" i="2"/>
  <c r="E875" i="2"/>
  <c r="C875" i="2"/>
  <c r="A875" i="2"/>
  <c r="H874" i="2"/>
  <c r="E874" i="2"/>
  <c r="C874" i="2"/>
  <c r="A874" i="2"/>
  <c r="H873" i="2"/>
  <c r="E873" i="2"/>
  <c r="C873" i="2"/>
  <c r="A873" i="2"/>
  <c r="H872" i="2"/>
  <c r="E872" i="2"/>
  <c r="C872" i="2"/>
  <c r="A872" i="2"/>
  <c r="H871" i="2"/>
  <c r="E871" i="2"/>
  <c r="C871" i="2"/>
  <c r="A871" i="2"/>
  <c r="H870" i="2"/>
  <c r="E870" i="2"/>
  <c r="C870" i="2"/>
  <c r="A870" i="2"/>
  <c r="H869" i="2"/>
  <c r="E869" i="2"/>
  <c r="C869" i="2"/>
  <c r="A869" i="2"/>
  <c r="H868" i="2"/>
  <c r="E868" i="2"/>
  <c r="C868" i="2"/>
  <c r="A868" i="2"/>
  <c r="H867" i="2"/>
  <c r="E867" i="2"/>
  <c r="C867" i="2"/>
  <c r="A867" i="2"/>
  <c r="H866" i="2"/>
  <c r="E866" i="2"/>
  <c r="C866" i="2"/>
  <c r="A866" i="2"/>
  <c r="H865" i="2"/>
  <c r="E865" i="2"/>
  <c r="C865" i="2"/>
  <c r="A865" i="2"/>
  <c r="H864" i="2"/>
  <c r="E864" i="2"/>
  <c r="C864" i="2"/>
  <c r="A864" i="2"/>
  <c r="H863" i="2"/>
  <c r="E863" i="2"/>
  <c r="C863" i="2"/>
  <c r="A863" i="2"/>
  <c r="H862" i="2"/>
  <c r="E862" i="2"/>
  <c r="C862" i="2"/>
  <c r="A862" i="2"/>
  <c r="H861" i="2"/>
  <c r="E861" i="2"/>
  <c r="C861" i="2"/>
  <c r="A861" i="2"/>
  <c r="H860" i="2"/>
  <c r="E860" i="2"/>
  <c r="C860" i="2"/>
  <c r="A860" i="2"/>
  <c r="H859" i="2"/>
  <c r="E859" i="2"/>
  <c r="C859" i="2"/>
  <c r="A859" i="2"/>
  <c r="H858" i="2"/>
  <c r="E858" i="2"/>
  <c r="C858" i="2"/>
  <c r="A858" i="2"/>
  <c r="H857" i="2"/>
  <c r="E857" i="2"/>
  <c r="C857" i="2"/>
  <c r="A857" i="2"/>
  <c r="H856" i="2"/>
  <c r="E856" i="2"/>
  <c r="C856" i="2"/>
  <c r="A856" i="2"/>
  <c r="H855" i="2"/>
  <c r="E855" i="2"/>
  <c r="C855" i="2"/>
  <c r="A855" i="2"/>
  <c r="H854" i="2"/>
  <c r="E854" i="2"/>
  <c r="C854" i="2"/>
  <c r="A854" i="2"/>
  <c r="H853" i="2"/>
  <c r="E853" i="2"/>
  <c r="C853" i="2"/>
  <c r="A853" i="2"/>
  <c r="H852" i="2"/>
  <c r="E852" i="2"/>
  <c r="C852" i="2"/>
  <c r="A852" i="2"/>
  <c r="H851" i="2"/>
  <c r="E851" i="2"/>
  <c r="C851" i="2"/>
  <c r="A851" i="2"/>
  <c r="H850" i="2"/>
  <c r="E850" i="2"/>
  <c r="C850" i="2"/>
  <c r="A850" i="2"/>
  <c r="H849" i="2"/>
  <c r="E849" i="2"/>
  <c r="C849" i="2"/>
  <c r="A849" i="2"/>
  <c r="H848" i="2"/>
  <c r="E848" i="2"/>
  <c r="C848" i="2"/>
  <c r="A848" i="2"/>
  <c r="H847" i="2"/>
  <c r="E847" i="2"/>
  <c r="C847" i="2"/>
  <c r="A847" i="2"/>
  <c r="H846" i="2"/>
  <c r="E846" i="2"/>
  <c r="C846" i="2"/>
  <c r="A846" i="2"/>
  <c r="H845" i="2"/>
  <c r="E845" i="2"/>
  <c r="C845" i="2"/>
  <c r="A845" i="2"/>
  <c r="H844" i="2"/>
  <c r="E844" i="2"/>
  <c r="C844" i="2"/>
  <c r="A844" i="2"/>
  <c r="H843" i="2"/>
  <c r="E843" i="2"/>
  <c r="C843" i="2"/>
  <c r="A843" i="2"/>
  <c r="H842" i="2"/>
  <c r="E842" i="2"/>
  <c r="C842" i="2"/>
  <c r="A842" i="2"/>
  <c r="H841" i="2"/>
  <c r="E841" i="2"/>
  <c r="C841" i="2"/>
  <c r="A841" i="2"/>
  <c r="H840" i="2"/>
  <c r="E840" i="2"/>
  <c r="C840" i="2"/>
  <c r="A840" i="2"/>
  <c r="H839" i="2"/>
  <c r="E839" i="2"/>
  <c r="C839" i="2"/>
  <c r="A839" i="2"/>
  <c r="H838" i="2"/>
  <c r="E838" i="2"/>
  <c r="C838" i="2"/>
  <c r="A838" i="2"/>
  <c r="H837" i="2"/>
  <c r="E837" i="2"/>
  <c r="C837" i="2"/>
  <c r="A837" i="2"/>
  <c r="H836" i="2"/>
  <c r="E836" i="2"/>
  <c r="C836" i="2"/>
  <c r="A836" i="2"/>
  <c r="H835" i="2"/>
  <c r="E835" i="2"/>
  <c r="C835" i="2"/>
  <c r="A835" i="2"/>
  <c r="H834" i="2"/>
  <c r="E834" i="2"/>
  <c r="C834" i="2"/>
  <c r="A834" i="2"/>
  <c r="H833" i="2"/>
  <c r="E833" i="2"/>
  <c r="C833" i="2"/>
  <c r="A833" i="2"/>
  <c r="H832" i="2"/>
  <c r="E832" i="2"/>
  <c r="C832" i="2"/>
  <c r="A832" i="2"/>
  <c r="H831" i="2"/>
  <c r="E831" i="2"/>
  <c r="C831" i="2"/>
  <c r="A831" i="2"/>
  <c r="H830" i="2"/>
  <c r="E830" i="2"/>
  <c r="C830" i="2"/>
  <c r="A830" i="2"/>
  <c r="H829" i="2"/>
  <c r="E829" i="2"/>
  <c r="C829" i="2"/>
  <c r="A829" i="2"/>
  <c r="H828" i="2"/>
  <c r="E828" i="2"/>
  <c r="C828" i="2"/>
  <c r="A828" i="2"/>
  <c r="H827" i="2"/>
  <c r="E827" i="2"/>
  <c r="C827" i="2"/>
  <c r="A827" i="2"/>
  <c r="H826" i="2"/>
  <c r="E826" i="2"/>
  <c r="C826" i="2"/>
  <c r="A826" i="2"/>
  <c r="H825" i="2"/>
  <c r="E825" i="2"/>
  <c r="C825" i="2"/>
  <c r="A825" i="2"/>
  <c r="H824" i="2"/>
  <c r="E824" i="2"/>
  <c r="C824" i="2"/>
  <c r="A824" i="2"/>
  <c r="H823" i="2"/>
  <c r="E823" i="2"/>
  <c r="C823" i="2"/>
  <c r="A823" i="2"/>
  <c r="H822" i="2"/>
  <c r="E822" i="2"/>
  <c r="C822" i="2"/>
  <c r="A822" i="2"/>
  <c r="H821" i="2"/>
  <c r="E821" i="2"/>
  <c r="C821" i="2"/>
  <c r="A821" i="2"/>
  <c r="H820" i="2"/>
  <c r="E820" i="2"/>
  <c r="C820" i="2"/>
  <c r="A820" i="2"/>
  <c r="H819" i="2"/>
  <c r="E819" i="2"/>
  <c r="C819" i="2"/>
  <c r="A819" i="2"/>
  <c r="H818" i="2"/>
  <c r="E818" i="2"/>
  <c r="C818" i="2"/>
  <c r="A818" i="2"/>
  <c r="H817" i="2"/>
  <c r="E817" i="2"/>
  <c r="C817" i="2"/>
  <c r="A817" i="2"/>
  <c r="H816" i="2"/>
  <c r="E816" i="2"/>
  <c r="C816" i="2"/>
  <c r="A816" i="2"/>
  <c r="H815" i="2"/>
  <c r="E815" i="2"/>
  <c r="C815" i="2"/>
  <c r="A815" i="2"/>
  <c r="H814" i="2"/>
  <c r="E814" i="2"/>
  <c r="C814" i="2"/>
  <c r="A814" i="2"/>
  <c r="H813" i="2"/>
  <c r="E813" i="2"/>
  <c r="C813" i="2"/>
  <c r="A813" i="2"/>
  <c r="H812" i="2"/>
  <c r="E812" i="2"/>
  <c r="C812" i="2"/>
  <c r="A812" i="2"/>
  <c r="H811" i="2"/>
  <c r="E811" i="2"/>
  <c r="C811" i="2"/>
  <c r="A811" i="2"/>
  <c r="H810" i="2"/>
  <c r="E810" i="2"/>
  <c r="C810" i="2"/>
  <c r="A810" i="2"/>
  <c r="H809" i="2"/>
  <c r="E809" i="2"/>
  <c r="C809" i="2"/>
  <c r="A809" i="2"/>
  <c r="H808" i="2"/>
  <c r="E808" i="2"/>
  <c r="C808" i="2"/>
  <c r="A808" i="2"/>
  <c r="H807" i="2"/>
  <c r="E807" i="2"/>
  <c r="C807" i="2"/>
  <c r="A807" i="2"/>
  <c r="H806" i="2"/>
  <c r="E806" i="2"/>
  <c r="C806" i="2"/>
  <c r="A806" i="2"/>
  <c r="H805" i="2"/>
  <c r="E805" i="2"/>
  <c r="C805" i="2"/>
  <c r="A805" i="2"/>
  <c r="H804" i="2"/>
  <c r="E804" i="2"/>
  <c r="C804" i="2"/>
  <c r="A804" i="2"/>
  <c r="H803" i="2"/>
  <c r="E803" i="2"/>
  <c r="C803" i="2"/>
  <c r="A803" i="2"/>
  <c r="H802" i="2"/>
  <c r="E802" i="2"/>
  <c r="C802" i="2"/>
  <c r="A802" i="2"/>
  <c r="H801" i="2"/>
  <c r="E801" i="2"/>
  <c r="C801" i="2"/>
  <c r="A801" i="2"/>
  <c r="H800" i="2"/>
  <c r="E800" i="2"/>
  <c r="C800" i="2"/>
  <c r="A800" i="2"/>
  <c r="H799" i="2"/>
  <c r="E799" i="2"/>
  <c r="C799" i="2"/>
  <c r="A799" i="2"/>
  <c r="H798" i="2"/>
  <c r="E798" i="2"/>
  <c r="C798" i="2"/>
  <c r="A798" i="2"/>
  <c r="H797" i="2"/>
  <c r="E797" i="2"/>
  <c r="C797" i="2"/>
  <c r="A797" i="2"/>
  <c r="H796" i="2"/>
  <c r="E796" i="2"/>
  <c r="C796" i="2"/>
  <c r="A796" i="2"/>
  <c r="H795" i="2"/>
  <c r="E795" i="2"/>
  <c r="C795" i="2"/>
  <c r="A795" i="2"/>
  <c r="H794" i="2"/>
  <c r="E794" i="2"/>
  <c r="C794" i="2"/>
  <c r="A794" i="2"/>
  <c r="H793" i="2"/>
  <c r="E793" i="2"/>
  <c r="C793" i="2"/>
  <c r="A793" i="2"/>
  <c r="H792" i="2"/>
  <c r="E792" i="2"/>
  <c r="C792" i="2"/>
  <c r="A792" i="2"/>
  <c r="H791" i="2"/>
  <c r="E791" i="2"/>
  <c r="C791" i="2"/>
  <c r="A791" i="2"/>
  <c r="H790" i="2"/>
  <c r="E790" i="2"/>
  <c r="C790" i="2"/>
  <c r="A790" i="2"/>
  <c r="H789" i="2"/>
  <c r="E789" i="2"/>
  <c r="C789" i="2"/>
  <c r="A789" i="2"/>
  <c r="H788" i="2"/>
  <c r="E788" i="2"/>
  <c r="C788" i="2"/>
  <c r="A788" i="2"/>
  <c r="H787" i="2"/>
  <c r="E787" i="2"/>
  <c r="C787" i="2"/>
  <c r="A787" i="2"/>
  <c r="H786" i="2"/>
  <c r="E786" i="2"/>
  <c r="C786" i="2"/>
  <c r="A786" i="2"/>
  <c r="H785" i="2"/>
  <c r="E785" i="2"/>
  <c r="C785" i="2"/>
  <c r="A785" i="2"/>
  <c r="H784" i="2"/>
  <c r="E784" i="2"/>
  <c r="C784" i="2"/>
  <c r="A784" i="2"/>
  <c r="H783" i="2"/>
  <c r="E783" i="2"/>
  <c r="C783" i="2"/>
  <c r="A783" i="2"/>
  <c r="H782" i="2"/>
  <c r="E782" i="2"/>
  <c r="C782" i="2"/>
  <c r="A782" i="2"/>
  <c r="H781" i="2"/>
  <c r="E781" i="2"/>
  <c r="C781" i="2"/>
  <c r="A781" i="2"/>
  <c r="H780" i="2"/>
  <c r="E780" i="2"/>
  <c r="C780" i="2"/>
  <c r="A780" i="2"/>
  <c r="H779" i="2"/>
  <c r="E779" i="2"/>
  <c r="C779" i="2"/>
  <c r="A779" i="2"/>
  <c r="H778" i="2"/>
  <c r="E778" i="2"/>
  <c r="C778" i="2"/>
  <c r="A778" i="2"/>
  <c r="H777" i="2"/>
  <c r="E777" i="2"/>
  <c r="C777" i="2"/>
  <c r="A777" i="2"/>
  <c r="H776" i="2"/>
  <c r="E776" i="2"/>
  <c r="C776" i="2"/>
  <c r="A776" i="2"/>
  <c r="H775" i="2"/>
  <c r="E775" i="2"/>
  <c r="C775" i="2"/>
  <c r="A775" i="2"/>
  <c r="H774" i="2"/>
  <c r="E774" i="2"/>
  <c r="C774" i="2"/>
  <c r="A774" i="2"/>
  <c r="H773" i="2"/>
  <c r="E773" i="2"/>
  <c r="C773" i="2"/>
  <c r="A773" i="2"/>
  <c r="H772" i="2"/>
  <c r="E772" i="2"/>
  <c r="C772" i="2"/>
  <c r="A772" i="2"/>
  <c r="H771" i="2"/>
  <c r="E771" i="2"/>
  <c r="C771" i="2"/>
  <c r="A771" i="2"/>
  <c r="H770" i="2"/>
  <c r="E770" i="2"/>
  <c r="C770" i="2"/>
  <c r="A770" i="2"/>
  <c r="H769" i="2"/>
  <c r="E769" i="2"/>
  <c r="C769" i="2"/>
  <c r="A769" i="2"/>
  <c r="H768" i="2"/>
  <c r="E768" i="2"/>
  <c r="C768" i="2"/>
  <c r="A768" i="2"/>
  <c r="H767" i="2"/>
  <c r="E767" i="2"/>
  <c r="C767" i="2"/>
  <c r="A767" i="2"/>
  <c r="H766" i="2"/>
  <c r="E766" i="2"/>
  <c r="C766" i="2"/>
  <c r="A766" i="2"/>
  <c r="H765" i="2"/>
  <c r="E765" i="2"/>
  <c r="C765" i="2"/>
  <c r="A765" i="2"/>
  <c r="H764" i="2"/>
  <c r="E764" i="2"/>
  <c r="C764" i="2"/>
  <c r="A764" i="2"/>
  <c r="H763" i="2"/>
  <c r="E763" i="2"/>
  <c r="C763" i="2"/>
  <c r="A763" i="2"/>
  <c r="H762" i="2"/>
  <c r="E762" i="2"/>
  <c r="C762" i="2"/>
  <c r="A762" i="2"/>
  <c r="H761" i="2"/>
  <c r="E761" i="2"/>
  <c r="C761" i="2"/>
  <c r="A761" i="2"/>
  <c r="H760" i="2"/>
  <c r="E760" i="2"/>
  <c r="C760" i="2"/>
  <c r="A760" i="2"/>
  <c r="H759" i="2"/>
  <c r="E759" i="2"/>
  <c r="C759" i="2"/>
  <c r="A759" i="2"/>
  <c r="H758" i="2"/>
  <c r="E758" i="2"/>
  <c r="C758" i="2"/>
  <c r="A758" i="2"/>
  <c r="H757" i="2"/>
  <c r="E757" i="2"/>
  <c r="C757" i="2"/>
  <c r="A757" i="2"/>
  <c r="H756" i="2"/>
  <c r="E756" i="2"/>
  <c r="C756" i="2"/>
  <c r="A756" i="2"/>
  <c r="H755" i="2"/>
  <c r="E755" i="2"/>
  <c r="C755" i="2"/>
  <c r="A755" i="2"/>
  <c r="H754" i="2"/>
  <c r="E754" i="2"/>
  <c r="C754" i="2"/>
  <c r="A754" i="2"/>
  <c r="H753" i="2"/>
  <c r="E753" i="2"/>
  <c r="C753" i="2"/>
  <c r="A753" i="2"/>
  <c r="H752" i="2"/>
  <c r="E752" i="2"/>
  <c r="C752" i="2"/>
  <c r="A752" i="2"/>
  <c r="H751" i="2"/>
  <c r="E751" i="2"/>
  <c r="C751" i="2"/>
  <c r="A751" i="2"/>
  <c r="H750" i="2"/>
  <c r="E750" i="2"/>
  <c r="C750" i="2"/>
  <c r="A750" i="2"/>
  <c r="H749" i="2"/>
  <c r="E749" i="2"/>
  <c r="C749" i="2"/>
  <c r="A749" i="2"/>
  <c r="H748" i="2"/>
  <c r="E748" i="2"/>
  <c r="C748" i="2"/>
  <c r="A748" i="2"/>
  <c r="H747" i="2"/>
  <c r="E747" i="2"/>
  <c r="C747" i="2"/>
  <c r="A747" i="2"/>
  <c r="H746" i="2"/>
  <c r="E746" i="2"/>
  <c r="C746" i="2"/>
  <c r="A746" i="2"/>
  <c r="H745" i="2"/>
  <c r="E745" i="2"/>
  <c r="C745" i="2"/>
  <c r="A745" i="2"/>
  <c r="H744" i="2"/>
  <c r="E744" i="2"/>
  <c r="C744" i="2"/>
  <c r="A744" i="2"/>
  <c r="H743" i="2"/>
  <c r="E743" i="2"/>
  <c r="C743" i="2"/>
  <c r="A743" i="2"/>
  <c r="H742" i="2"/>
  <c r="E742" i="2"/>
  <c r="C742" i="2"/>
  <c r="A742" i="2"/>
  <c r="H741" i="2"/>
  <c r="E741" i="2"/>
  <c r="C741" i="2"/>
  <c r="A741" i="2"/>
  <c r="H740" i="2"/>
  <c r="E740" i="2"/>
  <c r="C740" i="2"/>
  <c r="A740" i="2"/>
  <c r="H739" i="2"/>
  <c r="E739" i="2"/>
  <c r="C739" i="2"/>
  <c r="A739" i="2"/>
  <c r="H738" i="2"/>
  <c r="E738" i="2"/>
  <c r="C738" i="2"/>
  <c r="A738" i="2"/>
  <c r="H737" i="2"/>
  <c r="E737" i="2"/>
  <c r="C737" i="2"/>
  <c r="A737" i="2"/>
  <c r="H736" i="2"/>
  <c r="E736" i="2"/>
  <c r="C736" i="2"/>
  <c r="A736" i="2"/>
  <c r="H735" i="2"/>
  <c r="E735" i="2"/>
  <c r="C735" i="2"/>
  <c r="A735" i="2"/>
  <c r="H734" i="2"/>
  <c r="E734" i="2"/>
  <c r="C734" i="2"/>
  <c r="A734" i="2"/>
  <c r="H733" i="2"/>
  <c r="E733" i="2"/>
  <c r="C733" i="2"/>
  <c r="A733" i="2"/>
  <c r="H732" i="2"/>
  <c r="E732" i="2"/>
  <c r="C732" i="2"/>
  <c r="A732" i="2"/>
  <c r="H731" i="2"/>
  <c r="E731" i="2"/>
  <c r="C731" i="2"/>
  <c r="A731" i="2"/>
  <c r="H730" i="2"/>
  <c r="E730" i="2"/>
  <c r="C730" i="2"/>
  <c r="A730" i="2"/>
  <c r="H729" i="2"/>
  <c r="E729" i="2"/>
  <c r="C729" i="2"/>
  <c r="A729" i="2"/>
  <c r="H728" i="2"/>
  <c r="E728" i="2"/>
  <c r="C728" i="2"/>
  <c r="A728" i="2"/>
  <c r="H727" i="2"/>
  <c r="E727" i="2"/>
  <c r="C727" i="2"/>
  <c r="A727" i="2"/>
  <c r="H726" i="2"/>
  <c r="E726" i="2"/>
  <c r="C726" i="2"/>
  <c r="A726" i="2"/>
  <c r="H725" i="2"/>
  <c r="E725" i="2"/>
  <c r="C725" i="2"/>
  <c r="A725" i="2"/>
  <c r="H724" i="2"/>
  <c r="E724" i="2"/>
  <c r="C724" i="2"/>
  <c r="A724" i="2"/>
  <c r="H723" i="2"/>
  <c r="E723" i="2"/>
  <c r="C723" i="2"/>
  <c r="A723" i="2"/>
  <c r="H722" i="2"/>
  <c r="E722" i="2"/>
  <c r="C722" i="2"/>
  <c r="A722" i="2"/>
  <c r="H721" i="2"/>
  <c r="E721" i="2"/>
  <c r="C721" i="2"/>
  <c r="A721" i="2"/>
  <c r="H720" i="2"/>
  <c r="E720" i="2"/>
  <c r="C720" i="2"/>
  <c r="A720" i="2"/>
  <c r="H719" i="2"/>
  <c r="E719" i="2"/>
  <c r="C719" i="2"/>
  <c r="A719" i="2"/>
  <c r="H718" i="2"/>
  <c r="E718" i="2"/>
  <c r="C718" i="2"/>
  <c r="A718" i="2"/>
  <c r="H717" i="2"/>
  <c r="E717" i="2"/>
  <c r="C717" i="2"/>
  <c r="A717" i="2"/>
  <c r="H716" i="2"/>
  <c r="E716" i="2"/>
  <c r="C716" i="2"/>
  <c r="A716" i="2"/>
  <c r="H715" i="2"/>
  <c r="E715" i="2"/>
  <c r="C715" i="2"/>
  <c r="A715" i="2"/>
  <c r="H714" i="2"/>
  <c r="E714" i="2"/>
  <c r="C714" i="2"/>
  <c r="A714" i="2"/>
  <c r="H713" i="2"/>
  <c r="E713" i="2"/>
  <c r="C713" i="2"/>
  <c r="A713" i="2"/>
  <c r="H712" i="2"/>
  <c r="E712" i="2"/>
  <c r="C712" i="2"/>
  <c r="A712" i="2"/>
  <c r="H711" i="2"/>
  <c r="E711" i="2"/>
  <c r="C711" i="2"/>
  <c r="A711" i="2"/>
  <c r="H710" i="2"/>
  <c r="E710" i="2"/>
  <c r="C710" i="2"/>
  <c r="A710" i="2"/>
  <c r="H709" i="2"/>
  <c r="E709" i="2"/>
  <c r="C709" i="2"/>
  <c r="A709" i="2"/>
  <c r="H708" i="2"/>
  <c r="E708" i="2"/>
  <c r="C708" i="2"/>
  <c r="A708" i="2"/>
  <c r="H707" i="2"/>
  <c r="E707" i="2"/>
  <c r="C707" i="2"/>
  <c r="A707" i="2"/>
  <c r="H706" i="2"/>
  <c r="E706" i="2"/>
  <c r="C706" i="2"/>
  <c r="A706" i="2"/>
  <c r="H705" i="2"/>
  <c r="E705" i="2"/>
  <c r="C705" i="2"/>
  <c r="A705" i="2"/>
  <c r="H704" i="2"/>
  <c r="E704" i="2"/>
  <c r="C704" i="2"/>
  <c r="A704" i="2"/>
  <c r="H703" i="2"/>
  <c r="E703" i="2"/>
  <c r="C703" i="2"/>
  <c r="A703" i="2"/>
  <c r="H702" i="2"/>
  <c r="E702" i="2"/>
  <c r="C702" i="2"/>
  <c r="A702" i="2"/>
  <c r="H701" i="2"/>
  <c r="E701" i="2"/>
  <c r="C701" i="2"/>
  <c r="A701" i="2"/>
  <c r="H700" i="2"/>
  <c r="E700" i="2"/>
  <c r="C700" i="2"/>
  <c r="A700" i="2"/>
  <c r="H699" i="2"/>
  <c r="E699" i="2"/>
  <c r="C699" i="2"/>
  <c r="A699" i="2"/>
  <c r="H698" i="2"/>
  <c r="E698" i="2"/>
  <c r="C698" i="2"/>
  <c r="A698" i="2"/>
  <c r="H697" i="2"/>
  <c r="E697" i="2"/>
  <c r="C697" i="2"/>
  <c r="A697" i="2"/>
  <c r="H696" i="2"/>
  <c r="E696" i="2"/>
  <c r="C696" i="2"/>
  <c r="A696" i="2"/>
  <c r="H695" i="2"/>
  <c r="E695" i="2"/>
  <c r="C695" i="2"/>
  <c r="A695" i="2"/>
  <c r="H694" i="2"/>
  <c r="E694" i="2"/>
  <c r="C694" i="2"/>
  <c r="A694" i="2"/>
  <c r="H693" i="2"/>
  <c r="E693" i="2"/>
  <c r="C693" i="2"/>
  <c r="A693" i="2"/>
  <c r="H692" i="2"/>
  <c r="E692" i="2"/>
  <c r="C692" i="2"/>
  <c r="A692" i="2"/>
  <c r="H691" i="2"/>
  <c r="E691" i="2"/>
  <c r="C691" i="2"/>
  <c r="A691" i="2"/>
  <c r="H690" i="2"/>
  <c r="E690" i="2"/>
  <c r="C690" i="2"/>
  <c r="A690" i="2"/>
  <c r="H689" i="2"/>
  <c r="E689" i="2"/>
  <c r="C689" i="2"/>
  <c r="A689" i="2"/>
  <c r="H688" i="2"/>
  <c r="E688" i="2"/>
  <c r="C688" i="2"/>
  <c r="A688" i="2"/>
  <c r="H687" i="2"/>
  <c r="E687" i="2"/>
  <c r="C687" i="2"/>
  <c r="A687" i="2"/>
  <c r="H686" i="2"/>
  <c r="E686" i="2"/>
  <c r="C686" i="2"/>
  <c r="A686" i="2"/>
  <c r="H685" i="2"/>
  <c r="E685" i="2"/>
  <c r="C685" i="2"/>
  <c r="A685" i="2"/>
  <c r="H684" i="2"/>
  <c r="E684" i="2"/>
  <c r="C684" i="2"/>
  <c r="A684" i="2"/>
  <c r="H683" i="2"/>
  <c r="E683" i="2"/>
  <c r="C683" i="2"/>
  <c r="A683" i="2"/>
  <c r="H682" i="2"/>
  <c r="E682" i="2"/>
  <c r="C682" i="2"/>
  <c r="A682" i="2"/>
  <c r="H681" i="2"/>
  <c r="E681" i="2"/>
  <c r="C681" i="2"/>
  <c r="A681" i="2"/>
  <c r="H680" i="2"/>
  <c r="E680" i="2"/>
  <c r="C680" i="2"/>
  <c r="A680" i="2"/>
  <c r="H679" i="2"/>
  <c r="E679" i="2"/>
  <c r="C679" i="2"/>
  <c r="A679" i="2"/>
  <c r="H678" i="2"/>
  <c r="E678" i="2"/>
  <c r="C678" i="2"/>
  <c r="A678" i="2"/>
  <c r="H677" i="2"/>
  <c r="E677" i="2"/>
  <c r="C677" i="2"/>
  <c r="A677" i="2"/>
  <c r="H676" i="2"/>
  <c r="E676" i="2"/>
  <c r="C676" i="2"/>
  <c r="A676" i="2"/>
  <c r="H675" i="2"/>
  <c r="E675" i="2"/>
  <c r="C675" i="2"/>
  <c r="A675" i="2"/>
  <c r="H674" i="2"/>
  <c r="E674" i="2"/>
  <c r="C674" i="2"/>
  <c r="A674" i="2"/>
  <c r="H673" i="2"/>
  <c r="E673" i="2"/>
  <c r="C673" i="2"/>
  <c r="A673" i="2"/>
  <c r="H672" i="2"/>
  <c r="E672" i="2"/>
  <c r="C672" i="2"/>
  <c r="A672" i="2"/>
  <c r="H671" i="2"/>
  <c r="E671" i="2"/>
  <c r="C671" i="2"/>
  <c r="A671" i="2"/>
  <c r="H670" i="2"/>
  <c r="E670" i="2"/>
  <c r="C670" i="2"/>
  <c r="A670" i="2"/>
  <c r="H669" i="2"/>
  <c r="E669" i="2"/>
  <c r="C669" i="2"/>
  <c r="A669" i="2"/>
  <c r="H668" i="2"/>
  <c r="E668" i="2"/>
  <c r="C668" i="2"/>
  <c r="A668" i="2"/>
  <c r="H667" i="2"/>
  <c r="E667" i="2"/>
  <c r="C667" i="2"/>
  <c r="A667" i="2"/>
  <c r="H666" i="2"/>
  <c r="E666" i="2"/>
  <c r="C666" i="2"/>
  <c r="A666" i="2"/>
  <c r="H665" i="2"/>
  <c r="E665" i="2"/>
  <c r="C665" i="2"/>
  <c r="A665" i="2"/>
  <c r="H664" i="2"/>
  <c r="E664" i="2"/>
  <c r="C664" i="2"/>
  <c r="A664" i="2"/>
  <c r="H663" i="2"/>
  <c r="E663" i="2"/>
  <c r="C663" i="2"/>
  <c r="A663" i="2"/>
  <c r="H662" i="2"/>
  <c r="E662" i="2"/>
  <c r="C662" i="2"/>
  <c r="A662" i="2"/>
  <c r="H661" i="2"/>
  <c r="E661" i="2"/>
  <c r="C661" i="2"/>
  <c r="A661" i="2"/>
  <c r="H660" i="2"/>
  <c r="E660" i="2"/>
  <c r="C660" i="2"/>
  <c r="A660" i="2"/>
  <c r="H659" i="2"/>
  <c r="E659" i="2"/>
  <c r="C659" i="2"/>
  <c r="A659" i="2"/>
  <c r="H658" i="2"/>
  <c r="E658" i="2"/>
  <c r="C658" i="2"/>
  <c r="A658" i="2"/>
  <c r="H657" i="2"/>
  <c r="E657" i="2"/>
  <c r="C657" i="2"/>
  <c r="A657" i="2"/>
  <c r="H656" i="2"/>
  <c r="E656" i="2"/>
  <c r="C656" i="2"/>
  <c r="A656" i="2"/>
  <c r="H655" i="2"/>
  <c r="E655" i="2"/>
  <c r="C655" i="2"/>
  <c r="A655" i="2"/>
  <c r="H654" i="2"/>
  <c r="E654" i="2"/>
  <c r="C654" i="2"/>
  <c r="A654" i="2"/>
  <c r="H653" i="2"/>
  <c r="E653" i="2"/>
  <c r="C653" i="2"/>
  <c r="A653" i="2"/>
  <c r="H652" i="2"/>
  <c r="E652" i="2"/>
  <c r="C652" i="2"/>
  <c r="A652" i="2"/>
  <c r="H651" i="2"/>
  <c r="E651" i="2"/>
  <c r="C651" i="2"/>
  <c r="A651" i="2"/>
  <c r="H650" i="2"/>
  <c r="E650" i="2"/>
  <c r="C650" i="2"/>
  <c r="A650" i="2"/>
  <c r="H649" i="2"/>
  <c r="E649" i="2"/>
  <c r="C649" i="2"/>
  <c r="A649" i="2"/>
  <c r="H648" i="2"/>
  <c r="E648" i="2"/>
  <c r="C648" i="2"/>
  <c r="A648" i="2"/>
  <c r="H647" i="2"/>
  <c r="E647" i="2"/>
  <c r="C647" i="2"/>
  <c r="A647" i="2"/>
  <c r="H646" i="2"/>
  <c r="E646" i="2"/>
  <c r="C646" i="2"/>
  <c r="A646" i="2"/>
  <c r="H645" i="2"/>
  <c r="E645" i="2"/>
  <c r="C645" i="2"/>
  <c r="A645" i="2"/>
  <c r="H644" i="2"/>
  <c r="E644" i="2"/>
  <c r="C644" i="2"/>
  <c r="A644" i="2"/>
  <c r="H643" i="2"/>
  <c r="E643" i="2"/>
  <c r="C643" i="2"/>
  <c r="A643" i="2"/>
  <c r="H642" i="2"/>
  <c r="E642" i="2"/>
  <c r="C642" i="2"/>
  <c r="A642" i="2"/>
  <c r="H641" i="2"/>
  <c r="E641" i="2"/>
  <c r="C641" i="2"/>
  <c r="A641" i="2"/>
  <c r="H640" i="2"/>
  <c r="E640" i="2"/>
  <c r="C640" i="2"/>
  <c r="A640" i="2"/>
  <c r="H639" i="2"/>
  <c r="E639" i="2"/>
  <c r="C639" i="2"/>
  <c r="A639" i="2"/>
  <c r="H638" i="2"/>
  <c r="E638" i="2"/>
  <c r="C638" i="2"/>
  <c r="A638" i="2"/>
  <c r="H637" i="2"/>
  <c r="E637" i="2"/>
  <c r="C637" i="2"/>
  <c r="A637" i="2"/>
  <c r="H636" i="2"/>
  <c r="E636" i="2"/>
  <c r="C636" i="2"/>
  <c r="A636" i="2"/>
  <c r="H635" i="2"/>
  <c r="E635" i="2"/>
  <c r="C635" i="2"/>
  <c r="A635" i="2"/>
  <c r="H634" i="2"/>
  <c r="E634" i="2"/>
  <c r="C634" i="2"/>
  <c r="A634" i="2"/>
  <c r="H633" i="2"/>
  <c r="E633" i="2"/>
  <c r="C633" i="2"/>
  <c r="A633" i="2"/>
  <c r="H632" i="2"/>
  <c r="E632" i="2"/>
  <c r="C632" i="2"/>
  <c r="A632" i="2"/>
  <c r="H631" i="2"/>
  <c r="E631" i="2"/>
  <c r="C631" i="2"/>
  <c r="A631" i="2"/>
  <c r="H630" i="2"/>
  <c r="E630" i="2"/>
  <c r="C630" i="2"/>
  <c r="A630" i="2"/>
  <c r="H629" i="2"/>
  <c r="E629" i="2"/>
  <c r="C629" i="2"/>
  <c r="A629" i="2"/>
  <c r="H628" i="2"/>
  <c r="E628" i="2"/>
  <c r="C628" i="2"/>
  <c r="A628" i="2"/>
  <c r="H627" i="2"/>
  <c r="E627" i="2"/>
  <c r="C627" i="2"/>
  <c r="A627" i="2"/>
  <c r="H626" i="2"/>
  <c r="E626" i="2"/>
  <c r="C626" i="2"/>
  <c r="A626" i="2"/>
  <c r="H625" i="2"/>
  <c r="E625" i="2"/>
  <c r="C625" i="2"/>
  <c r="A625" i="2"/>
  <c r="H624" i="2"/>
  <c r="E624" i="2"/>
  <c r="C624" i="2"/>
  <c r="A624" i="2"/>
  <c r="H623" i="2"/>
  <c r="E623" i="2"/>
  <c r="C623" i="2"/>
  <c r="A623" i="2"/>
  <c r="H622" i="2"/>
  <c r="E622" i="2"/>
  <c r="C622" i="2"/>
  <c r="A622" i="2"/>
  <c r="H621" i="2"/>
  <c r="E621" i="2"/>
  <c r="C621" i="2"/>
  <c r="A621" i="2"/>
  <c r="H620" i="2"/>
  <c r="E620" i="2"/>
  <c r="C620" i="2"/>
  <c r="A620" i="2"/>
  <c r="H619" i="2"/>
  <c r="E619" i="2"/>
  <c r="C619" i="2"/>
  <c r="A619" i="2"/>
  <c r="H618" i="2"/>
  <c r="E618" i="2"/>
  <c r="C618" i="2"/>
  <c r="A618" i="2"/>
  <c r="H617" i="2"/>
  <c r="E617" i="2"/>
  <c r="C617" i="2"/>
  <c r="A617" i="2"/>
  <c r="H616" i="2"/>
  <c r="E616" i="2"/>
  <c r="C616" i="2"/>
  <c r="A616" i="2"/>
  <c r="H615" i="2"/>
  <c r="E615" i="2"/>
  <c r="C615" i="2"/>
  <c r="A615" i="2"/>
  <c r="H614" i="2"/>
  <c r="E614" i="2"/>
  <c r="C614" i="2"/>
  <c r="A614" i="2"/>
  <c r="H613" i="2"/>
  <c r="E613" i="2"/>
  <c r="C613" i="2"/>
  <c r="A613" i="2"/>
  <c r="H612" i="2"/>
  <c r="E612" i="2"/>
  <c r="C612" i="2"/>
  <c r="A612" i="2"/>
  <c r="H611" i="2"/>
  <c r="E611" i="2"/>
  <c r="C611" i="2"/>
  <c r="A611" i="2"/>
  <c r="H610" i="2"/>
  <c r="E610" i="2"/>
  <c r="C610" i="2"/>
  <c r="A610" i="2"/>
  <c r="H609" i="2"/>
  <c r="E609" i="2"/>
  <c r="C609" i="2"/>
  <c r="A609" i="2"/>
  <c r="H608" i="2"/>
  <c r="E608" i="2"/>
  <c r="C608" i="2"/>
  <c r="A608" i="2"/>
  <c r="H607" i="2"/>
  <c r="E607" i="2"/>
  <c r="C607" i="2"/>
  <c r="A607" i="2"/>
  <c r="H606" i="2"/>
  <c r="E606" i="2"/>
  <c r="C606" i="2"/>
  <c r="A606" i="2"/>
  <c r="H605" i="2"/>
  <c r="E605" i="2"/>
  <c r="C605" i="2"/>
  <c r="A605" i="2"/>
  <c r="H604" i="2"/>
  <c r="E604" i="2"/>
  <c r="C604" i="2"/>
  <c r="A604" i="2"/>
  <c r="H603" i="2"/>
  <c r="E603" i="2"/>
  <c r="C603" i="2"/>
  <c r="A603" i="2"/>
  <c r="H602" i="2"/>
  <c r="E602" i="2"/>
  <c r="C602" i="2"/>
  <c r="A602" i="2"/>
  <c r="H601" i="2"/>
  <c r="E601" i="2"/>
  <c r="C601" i="2"/>
  <c r="A601" i="2"/>
  <c r="H600" i="2"/>
  <c r="E600" i="2"/>
  <c r="C600" i="2"/>
  <c r="A600" i="2"/>
  <c r="H599" i="2"/>
  <c r="E599" i="2"/>
  <c r="C599" i="2"/>
  <c r="A599" i="2"/>
  <c r="H598" i="2"/>
  <c r="E598" i="2"/>
  <c r="C598" i="2"/>
  <c r="A598" i="2"/>
  <c r="H597" i="2"/>
  <c r="E597" i="2"/>
  <c r="C597" i="2"/>
  <c r="A597" i="2"/>
  <c r="H596" i="2"/>
  <c r="E596" i="2"/>
  <c r="C596" i="2"/>
  <c r="A596" i="2"/>
  <c r="H595" i="2"/>
  <c r="E595" i="2"/>
  <c r="C595" i="2"/>
  <c r="A595" i="2"/>
  <c r="H594" i="2"/>
  <c r="E594" i="2"/>
  <c r="C594" i="2"/>
  <c r="A594" i="2"/>
  <c r="H593" i="2"/>
  <c r="E593" i="2"/>
  <c r="C593" i="2"/>
  <c r="A593" i="2"/>
  <c r="H592" i="2"/>
  <c r="E592" i="2"/>
  <c r="C592" i="2"/>
  <c r="A592" i="2"/>
  <c r="H591" i="2"/>
  <c r="E591" i="2"/>
  <c r="C591" i="2"/>
  <c r="A591" i="2"/>
  <c r="H590" i="2"/>
  <c r="E590" i="2"/>
  <c r="C590" i="2"/>
  <c r="A590" i="2"/>
  <c r="H589" i="2"/>
  <c r="E589" i="2"/>
  <c r="C589" i="2"/>
  <c r="A589" i="2"/>
  <c r="H588" i="2"/>
  <c r="E588" i="2"/>
  <c r="C588" i="2"/>
  <c r="A588" i="2"/>
  <c r="H587" i="2"/>
  <c r="E587" i="2"/>
  <c r="C587" i="2"/>
  <c r="A587" i="2"/>
  <c r="H586" i="2"/>
  <c r="E586" i="2"/>
  <c r="C586" i="2"/>
  <c r="A586" i="2"/>
  <c r="H585" i="2"/>
  <c r="E585" i="2"/>
  <c r="C585" i="2"/>
  <c r="A585" i="2"/>
  <c r="H584" i="2"/>
  <c r="E584" i="2"/>
  <c r="C584" i="2"/>
  <c r="A584" i="2"/>
  <c r="H583" i="2"/>
  <c r="E583" i="2"/>
  <c r="C583" i="2"/>
  <c r="A583" i="2"/>
  <c r="H582" i="2"/>
  <c r="E582" i="2"/>
  <c r="C582" i="2"/>
  <c r="A582" i="2"/>
  <c r="H581" i="2"/>
  <c r="E581" i="2"/>
  <c r="C581" i="2"/>
  <c r="A581" i="2"/>
  <c r="H580" i="2"/>
  <c r="E580" i="2"/>
  <c r="C580" i="2"/>
  <c r="A580" i="2"/>
  <c r="H579" i="2"/>
  <c r="E579" i="2"/>
  <c r="C579" i="2"/>
  <c r="A579" i="2"/>
  <c r="H578" i="2"/>
  <c r="E578" i="2"/>
  <c r="C578" i="2"/>
  <c r="A578" i="2"/>
  <c r="H577" i="2"/>
  <c r="E577" i="2"/>
  <c r="C577" i="2"/>
  <c r="A577" i="2"/>
  <c r="H576" i="2"/>
  <c r="E576" i="2"/>
  <c r="C576" i="2"/>
  <c r="A576" i="2"/>
  <c r="H575" i="2"/>
  <c r="E575" i="2"/>
  <c r="C575" i="2"/>
  <c r="A575" i="2"/>
  <c r="H574" i="2"/>
  <c r="E574" i="2"/>
  <c r="C574" i="2"/>
  <c r="A574" i="2"/>
  <c r="H573" i="2"/>
  <c r="E573" i="2"/>
  <c r="C573" i="2"/>
  <c r="A573" i="2"/>
  <c r="H572" i="2"/>
  <c r="E572" i="2"/>
  <c r="C572" i="2"/>
  <c r="A572" i="2"/>
  <c r="H571" i="2"/>
  <c r="E571" i="2"/>
  <c r="C571" i="2"/>
  <c r="A571" i="2"/>
  <c r="H570" i="2"/>
  <c r="E570" i="2"/>
  <c r="C570" i="2"/>
  <c r="A570" i="2"/>
  <c r="H569" i="2"/>
  <c r="E569" i="2"/>
  <c r="C569" i="2"/>
  <c r="A569" i="2"/>
  <c r="H568" i="2"/>
  <c r="E568" i="2"/>
  <c r="C568" i="2"/>
  <c r="A568" i="2"/>
  <c r="H567" i="2"/>
  <c r="E567" i="2"/>
  <c r="C567" i="2"/>
  <c r="A567" i="2"/>
  <c r="H566" i="2"/>
  <c r="E566" i="2"/>
  <c r="C566" i="2"/>
  <c r="A566" i="2"/>
  <c r="H565" i="2"/>
  <c r="E565" i="2"/>
  <c r="C565" i="2"/>
  <c r="A565" i="2"/>
  <c r="H564" i="2"/>
  <c r="E564" i="2"/>
  <c r="C564" i="2"/>
  <c r="A564" i="2"/>
  <c r="H563" i="2"/>
  <c r="E563" i="2"/>
  <c r="C563" i="2"/>
  <c r="A563" i="2"/>
  <c r="H562" i="2"/>
  <c r="E562" i="2"/>
  <c r="C562" i="2"/>
  <c r="A562" i="2"/>
  <c r="H561" i="2"/>
  <c r="E561" i="2"/>
  <c r="C561" i="2"/>
  <c r="A561" i="2"/>
  <c r="H560" i="2"/>
  <c r="E560" i="2"/>
  <c r="C560" i="2"/>
  <c r="A560" i="2"/>
  <c r="H559" i="2"/>
  <c r="E559" i="2"/>
  <c r="C559" i="2"/>
  <c r="A559" i="2"/>
  <c r="H558" i="2"/>
  <c r="E558" i="2"/>
  <c r="C558" i="2"/>
  <c r="A558" i="2"/>
  <c r="H557" i="2"/>
  <c r="E557" i="2"/>
  <c r="C557" i="2"/>
  <c r="A557" i="2"/>
  <c r="H556" i="2"/>
  <c r="E556" i="2"/>
  <c r="C556" i="2"/>
  <c r="A556" i="2"/>
  <c r="H555" i="2"/>
  <c r="E555" i="2"/>
  <c r="C555" i="2"/>
  <c r="A555" i="2"/>
  <c r="H554" i="2"/>
  <c r="E554" i="2"/>
  <c r="C554" i="2"/>
  <c r="A554" i="2"/>
  <c r="H553" i="2"/>
  <c r="E553" i="2"/>
  <c r="C553" i="2"/>
  <c r="A553" i="2"/>
  <c r="H552" i="2"/>
  <c r="E552" i="2"/>
  <c r="C552" i="2"/>
  <c r="A552" i="2"/>
  <c r="H551" i="2"/>
  <c r="E551" i="2"/>
  <c r="C551" i="2"/>
  <c r="A551" i="2"/>
  <c r="H550" i="2"/>
  <c r="E550" i="2"/>
  <c r="C550" i="2"/>
  <c r="A550" i="2"/>
  <c r="H549" i="2"/>
  <c r="E549" i="2"/>
  <c r="C549" i="2"/>
  <c r="A549" i="2"/>
  <c r="H548" i="2"/>
  <c r="E548" i="2"/>
  <c r="C548" i="2"/>
  <c r="A548" i="2"/>
  <c r="H547" i="2"/>
  <c r="E547" i="2"/>
  <c r="C547" i="2"/>
  <c r="A547" i="2"/>
  <c r="H546" i="2"/>
  <c r="E546" i="2"/>
  <c r="C546" i="2"/>
  <c r="A546" i="2"/>
  <c r="H545" i="2"/>
  <c r="E545" i="2"/>
  <c r="C545" i="2"/>
  <c r="A545" i="2"/>
  <c r="H544" i="2"/>
  <c r="E544" i="2"/>
  <c r="C544" i="2"/>
  <c r="A544" i="2"/>
  <c r="H543" i="2"/>
  <c r="E543" i="2"/>
  <c r="C543" i="2"/>
  <c r="A543" i="2"/>
  <c r="H542" i="2"/>
  <c r="E542" i="2"/>
  <c r="C542" i="2"/>
  <c r="A542" i="2"/>
  <c r="H541" i="2"/>
  <c r="E541" i="2"/>
  <c r="C541" i="2"/>
  <c r="A541" i="2"/>
  <c r="H540" i="2"/>
  <c r="E540" i="2"/>
  <c r="C540" i="2"/>
  <c r="A540" i="2"/>
  <c r="H539" i="2"/>
  <c r="E539" i="2"/>
  <c r="C539" i="2"/>
  <c r="A539" i="2"/>
  <c r="H538" i="2"/>
  <c r="E538" i="2"/>
  <c r="C538" i="2"/>
  <c r="A538" i="2"/>
  <c r="H537" i="2"/>
  <c r="E537" i="2"/>
  <c r="C537" i="2"/>
  <c r="A537" i="2"/>
  <c r="H536" i="2"/>
  <c r="E536" i="2"/>
  <c r="C536" i="2"/>
  <c r="A536" i="2"/>
  <c r="H535" i="2"/>
  <c r="E535" i="2"/>
  <c r="C535" i="2"/>
  <c r="A535" i="2"/>
  <c r="H534" i="2"/>
  <c r="E534" i="2"/>
  <c r="C534" i="2"/>
  <c r="A534" i="2"/>
  <c r="H533" i="2"/>
  <c r="E533" i="2"/>
  <c r="C533" i="2"/>
  <c r="A533" i="2"/>
  <c r="H532" i="2"/>
  <c r="E532" i="2"/>
  <c r="C532" i="2"/>
  <c r="A532" i="2"/>
  <c r="H531" i="2"/>
  <c r="E531" i="2"/>
  <c r="C531" i="2"/>
  <c r="A531" i="2"/>
  <c r="H530" i="2"/>
  <c r="E530" i="2"/>
  <c r="C530" i="2"/>
  <c r="A530" i="2"/>
  <c r="H529" i="2"/>
  <c r="E529" i="2"/>
  <c r="C529" i="2"/>
  <c r="A529" i="2"/>
  <c r="H528" i="2"/>
  <c r="E528" i="2"/>
  <c r="C528" i="2"/>
  <c r="A528" i="2"/>
  <c r="H527" i="2"/>
  <c r="E527" i="2"/>
  <c r="C527" i="2"/>
  <c r="A527" i="2"/>
  <c r="H526" i="2"/>
  <c r="E526" i="2"/>
  <c r="C526" i="2"/>
  <c r="A526" i="2"/>
  <c r="H525" i="2"/>
  <c r="E525" i="2"/>
  <c r="C525" i="2"/>
  <c r="A525" i="2"/>
  <c r="H524" i="2"/>
  <c r="E524" i="2"/>
  <c r="C524" i="2"/>
  <c r="A524" i="2"/>
  <c r="H523" i="2"/>
  <c r="E523" i="2"/>
  <c r="C523" i="2"/>
  <c r="A523" i="2"/>
  <c r="H522" i="2"/>
  <c r="E522" i="2"/>
  <c r="C522" i="2"/>
  <c r="A522" i="2"/>
  <c r="H521" i="2"/>
  <c r="E521" i="2"/>
  <c r="C521" i="2"/>
  <c r="A521" i="2"/>
  <c r="H520" i="2"/>
  <c r="E520" i="2"/>
  <c r="C520" i="2"/>
  <c r="A520" i="2"/>
  <c r="H519" i="2"/>
  <c r="E519" i="2"/>
  <c r="C519" i="2"/>
  <c r="A519" i="2"/>
  <c r="H518" i="2"/>
  <c r="E518" i="2"/>
  <c r="C518" i="2"/>
  <c r="A518" i="2"/>
  <c r="H517" i="2"/>
  <c r="E517" i="2"/>
  <c r="C517" i="2"/>
  <c r="A517" i="2"/>
  <c r="H516" i="2"/>
  <c r="E516" i="2"/>
  <c r="C516" i="2"/>
  <c r="A516" i="2"/>
  <c r="H515" i="2"/>
  <c r="E515" i="2"/>
  <c r="C515" i="2"/>
  <c r="A515" i="2"/>
  <c r="H514" i="2"/>
  <c r="E514" i="2"/>
  <c r="C514" i="2"/>
  <c r="A514" i="2"/>
  <c r="H513" i="2"/>
  <c r="E513" i="2"/>
  <c r="C513" i="2"/>
  <c r="A513" i="2"/>
  <c r="H512" i="2"/>
  <c r="E512" i="2"/>
  <c r="C512" i="2"/>
  <c r="A512" i="2"/>
  <c r="H511" i="2"/>
  <c r="E511" i="2"/>
  <c r="C511" i="2"/>
  <c r="A511" i="2"/>
  <c r="H510" i="2"/>
  <c r="E510" i="2"/>
  <c r="C510" i="2"/>
  <c r="A510" i="2"/>
  <c r="H509" i="2"/>
  <c r="E509" i="2"/>
  <c r="C509" i="2"/>
  <c r="A509" i="2"/>
  <c r="H508" i="2"/>
  <c r="E508" i="2"/>
  <c r="C508" i="2"/>
  <c r="A508" i="2"/>
  <c r="H507" i="2"/>
  <c r="E507" i="2"/>
  <c r="C507" i="2"/>
  <c r="A507" i="2"/>
  <c r="H506" i="2"/>
  <c r="E506" i="2"/>
  <c r="C506" i="2"/>
  <c r="A506" i="2"/>
  <c r="H505" i="2"/>
  <c r="E505" i="2"/>
  <c r="C505" i="2"/>
  <c r="A505" i="2"/>
  <c r="H504" i="2"/>
  <c r="E504" i="2"/>
  <c r="C504" i="2"/>
  <c r="A504" i="2"/>
  <c r="H503" i="2"/>
  <c r="E503" i="2"/>
  <c r="C503" i="2"/>
  <c r="A503" i="2"/>
  <c r="H502" i="2"/>
  <c r="E502" i="2"/>
  <c r="C502" i="2"/>
  <c r="A502" i="2"/>
  <c r="H501" i="2"/>
  <c r="E501" i="2"/>
  <c r="C501" i="2"/>
  <c r="A501" i="2"/>
  <c r="H500" i="2"/>
  <c r="E500" i="2"/>
  <c r="C500" i="2"/>
  <c r="A500" i="2"/>
  <c r="H499" i="2"/>
  <c r="E499" i="2"/>
  <c r="C499" i="2"/>
  <c r="A499" i="2"/>
  <c r="H498" i="2"/>
  <c r="E498" i="2"/>
  <c r="C498" i="2"/>
  <c r="A498" i="2"/>
  <c r="H497" i="2"/>
  <c r="E497" i="2"/>
  <c r="C497" i="2"/>
  <c r="A497" i="2"/>
  <c r="H496" i="2"/>
  <c r="E496" i="2"/>
  <c r="C496" i="2"/>
  <c r="A496" i="2"/>
  <c r="H495" i="2"/>
  <c r="E495" i="2"/>
  <c r="C495" i="2"/>
  <c r="A495" i="2"/>
  <c r="H494" i="2"/>
  <c r="E494" i="2"/>
  <c r="C494" i="2"/>
  <c r="A494" i="2"/>
  <c r="H493" i="2"/>
  <c r="E493" i="2"/>
  <c r="C493" i="2"/>
  <c r="A493" i="2"/>
  <c r="H492" i="2"/>
  <c r="E492" i="2"/>
  <c r="C492" i="2"/>
  <c r="A492" i="2"/>
  <c r="H491" i="2"/>
  <c r="E491" i="2"/>
  <c r="C491" i="2"/>
  <c r="A491" i="2"/>
  <c r="H490" i="2"/>
  <c r="E490" i="2"/>
  <c r="C490" i="2"/>
  <c r="A490" i="2"/>
  <c r="H489" i="2"/>
  <c r="E489" i="2"/>
  <c r="C489" i="2"/>
  <c r="A489" i="2"/>
  <c r="H488" i="2"/>
  <c r="E488" i="2"/>
  <c r="C488" i="2"/>
  <c r="A488" i="2"/>
  <c r="H487" i="2"/>
  <c r="E487" i="2"/>
  <c r="C487" i="2"/>
  <c r="A487" i="2"/>
  <c r="H486" i="2"/>
  <c r="E486" i="2"/>
  <c r="C486" i="2"/>
  <c r="A486" i="2"/>
  <c r="H485" i="2"/>
  <c r="E485" i="2"/>
  <c r="C485" i="2"/>
  <c r="A485" i="2"/>
  <c r="H484" i="2"/>
  <c r="E484" i="2"/>
  <c r="C484" i="2"/>
  <c r="A484" i="2"/>
  <c r="H483" i="2"/>
  <c r="E483" i="2"/>
  <c r="C483" i="2"/>
  <c r="A483" i="2"/>
  <c r="H482" i="2"/>
  <c r="E482" i="2"/>
  <c r="C482" i="2"/>
  <c r="A482" i="2"/>
  <c r="H481" i="2"/>
  <c r="E481" i="2"/>
  <c r="C481" i="2"/>
  <c r="A481" i="2"/>
  <c r="H480" i="2"/>
  <c r="E480" i="2"/>
  <c r="C480" i="2"/>
  <c r="A480" i="2"/>
  <c r="H479" i="2"/>
  <c r="E479" i="2"/>
  <c r="C479" i="2"/>
  <c r="A479" i="2"/>
  <c r="H478" i="2"/>
  <c r="E478" i="2"/>
  <c r="C478" i="2"/>
  <c r="A478" i="2"/>
  <c r="H477" i="2"/>
  <c r="E477" i="2"/>
  <c r="C477" i="2"/>
  <c r="A477" i="2"/>
  <c r="H476" i="2"/>
  <c r="E476" i="2"/>
  <c r="C476" i="2"/>
  <c r="A476" i="2"/>
  <c r="H475" i="2"/>
  <c r="E475" i="2"/>
  <c r="C475" i="2"/>
  <c r="A475" i="2"/>
  <c r="H474" i="2"/>
  <c r="E474" i="2"/>
  <c r="C474" i="2"/>
  <c r="A474" i="2"/>
  <c r="H473" i="2"/>
  <c r="E473" i="2"/>
  <c r="C473" i="2"/>
  <c r="A473" i="2"/>
  <c r="H472" i="2"/>
  <c r="E472" i="2"/>
  <c r="C472" i="2"/>
  <c r="A472" i="2"/>
  <c r="H471" i="2"/>
  <c r="E471" i="2"/>
  <c r="C471" i="2"/>
  <c r="A471" i="2"/>
  <c r="H470" i="2"/>
  <c r="E470" i="2"/>
  <c r="C470" i="2"/>
  <c r="A470" i="2"/>
  <c r="H469" i="2"/>
  <c r="E469" i="2"/>
  <c r="C469" i="2"/>
  <c r="A469" i="2"/>
  <c r="H468" i="2"/>
  <c r="E468" i="2"/>
  <c r="C468" i="2"/>
  <c r="A468" i="2"/>
  <c r="H467" i="2"/>
  <c r="E467" i="2"/>
  <c r="C467" i="2"/>
  <c r="A467" i="2"/>
  <c r="H466" i="2"/>
  <c r="E466" i="2"/>
  <c r="C466" i="2"/>
  <c r="A466" i="2"/>
  <c r="H465" i="2"/>
  <c r="E465" i="2"/>
  <c r="C465" i="2"/>
  <c r="A465" i="2"/>
  <c r="H464" i="2"/>
  <c r="E464" i="2"/>
  <c r="C464" i="2"/>
  <c r="A464" i="2"/>
  <c r="H463" i="2"/>
  <c r="E463" i="2"/>
  <c r="C463" i="2"/>
  <c r="A463" i="2"/>
  <c r="H462" i="2"/>
  <c r="E462" i="2"/>
  <c r="C462" i="2"/>
  <c r="A462" i="2"/>
  <c r="H461" i="2"/>
  <c r="E461" i="2"/>
  <c r="C461" i="2"/>
  <c r="A461" i="2"/>
  <c r="H460" i="2"/>
  <c r="E460" i="2"/>
  <c r="C460" i="2"/>
  <c r="A460" i="2"/>
  <c r="H459" i="2"/>
  <c r="E459" i="2"/>
  <c r="C459" i="2"/>
  <c r="A459" i="2"/>
  <c r="H458" i="2"/>
  <c r="E458" i="2"/>
  <c r="C458" i="2"/>
  <c r="A458" i="2"/>
  <c r="H457" i="2"/>
  <c r="E457" i="2"/>
  <c r="C457" i="2"/>
  <c r="A457" i="2"/>
  <c r="H456" i="2"/>
  <c r="E456" i="2"/>
  <c r="C456" i="2"/>
  <c r="A456" i="2"/>
  <c r="H455" i="2"/>
  <c r="E455" i="2"/>
  <c r="C455" i="2"/>
  <c r="A455" i="2"/>
  <c r="H454" i="2"/>
  <c r="E454" i="2"/>
  <c r="C454" i="2"/>
  <c r="A454" i="2"/>
  <c r="H453" i="2"/>
  <c r="E453" i="2"/>
  <c r="C453" i="2"/>
  <c r="A453" i="2"/>
  <c r="H452" i="2"/>
  <c r="E452" i="2"/>
  <c r="C452" i="2"/>
  <c r="A452" i="2"/>
  <c r="H451" i="2"/>
  <c r="E451" i="2"/>
  <c r="C451" i="2"/>
  <c r="A451" i="2"/>
  <c r="H450" i="2"/>
  <c r="E450" i="2"/>
  <c r="C450" i="2"/>
  <c r="A450" i="2"/>
  <c r="H449" i="2"/>
  <c r="E449" i="2"/>
  <c r="C449" i="2"/>
  <c r="A449" i="2"/>
  <c r="H448" i="2"/>
  <c r="E448" i="2"/>
  <c r="C448" i="2"/>
  <c r="A448" i="2"/>
  <c r="H447" i="2"/>
  <c r="E447" i="2"/>
  <c r="C447" i="2"/>
  <c r="A447" i="2"/>
  <c r="H446" i="2"/>
  <c r="E446" i="2"/>
  <c r="C446" i="2"/>
  <c r="A446" i="2"/>
  <c r="H445" i="2"/>
  <c r="E445" i="2"/>
  <c r="C445" i="2"/>
  <c r="A445" i="2"/>
  <c r="H444" i="2"/>
  <c r="E444" i="2"/>
  <c r="C444" i="2"/>
  <c r="A444" i="2"/>
  <c r="H443" i="2"/>
  <c r="E443" i="2"/>
  <c r="C443" i="2"/>
  <c r="A443" i="2"/>
  <c r="H442" i="2"/>
  <c r="E442" i="2"/>
  <c r="C442" i="2"/>
  <c r="A442" i="2"/>
  <c r="H441" i="2"/>
  <c r="E441" i="2"/>
  <c r="C441" i="2"/>
  <c r="A441" i="2"/>
  <c r="H440" i="2"/>
  <c r="E440" i="2"/>
  <c r="C440" i="2"/>
  <c r="A440" i="2"/>
  <c r="H439" i="2"/>
  <c r="E439" i="2"/>
  <c r="C439" i="2"/>
  <c r="A439" i="2"/>
  <c r="H438" i="2"/>
  <c r="E438" i="2"/>
  <c r="C438" i="2"/>
  <c r="A438" i="2"/>
  <c r="H437" i="2"/>
  <c r="E437" i="2"/>
  <c r="C437" i="2"/>
  <c r="A437" i="2"/>
  <c r="H436" i="2"/>
  <c r="E436" i="2"/>
  <c r="C436" i="2"/>
  <c r="A436" i="2"/>
  <c r="H435" i="2"/>
  <c r="E435" i="2"/>
  <c r="C435" i="2"/>
  <c r="A435" i="2"/>
  <c r="H434" i="2"/>
  <c r="E434" i="2"/>
  <c r="C434" i="2"/>
  <c r="A434" i="2"/>
  <c r="H433" i="2"/>
  <c r="E433" i="2"/>
  <c r="C433" i="2"/>
  <c r="A433" i="2"/>
  <c r="H432" i="2"/>
  <c r="E432" i="2"/>
  <c r="C432" i="2"/>
  <c r="A432" i="2"/>
  <c r="H431" i="2"/>
  <c r="E431" i="2"/>
  <c r="C431" i="2"/>
  <c r="A431" i="2"/>
  <c r="H430" i="2"/>
  <c r="E430" i="2"/>
  <c r="C430" i="2"/>
  <c r="A430" i="2"/>
  <c r="H429" i="2"/>
  <c r="E429" i="2"/>
  <c r="C429" i="2"/>
  <c r="A429" i="2"/>
  <c r="H428" i="2"/>
  <c r="E428" i="2"/>
  <c r="C428" i="2"/>
  <c r="A428" i="2"/>
  <c r="H427" i="2"/>
  <c r="E427" i="2"/>
  <c r="C427" i="2"/>
  <c r="A427" i="2"/>
  <c r="H426" i="2"/>
  <c r="E426" i="2"/>
  <c r="C426" i="2"/>
  <c r="A426" i="2"/>
  <c r="H425" i="2"/>
  <c r="E425" i="2"/>
  <c r="C425" i="2"/>
  <c r="A425" i="2"/>
  <c r="H424" i="2"/>
  <c r="E424" i="2"/>
  <c r="C424" i="2"/>
  <c r="A424" i="2"/>
  <c r="H423" i="2"/>
  <c r="E423" i="2"/>
  <c r="C423" i="2"/>
  <c r="A423" i="2"/>
  <c r="H422" i="2"/>
  <c r="E422" i="2"/>
  <c r="C422" i="2"/>
  <c r="A422" i="2"/>
  <c r="H421" i="2"/>
  <c r="E421" i="2"/>
  <c r="C421" i="2"/>
  <c r="A421" i="2"/>
  <c r="H420" i="2"/>
  <c r="E420" i="2"/>
  <c r="C420" i="2"/>
  <c r="A420" i="2"/>
  <c r="H419" i="2"/>
  <c r="E419" i="2"/>
  <c r="C419" i="2"/>
  <c r="A419" i="2"/>
  <c r="H418" i="2"/>
  <c r="E418" i="2"/>
  <c r="C418" i="2"/>
  <c r="A418" i="2"/>
  <c r="H417" i="2"/>
  <c r="E417" i="2"/>
  <c r="C417" i="2"/>
  <c r="A417" i="2"/>
  <c r="H416" i="2"/>
  <c r="E416" i="2"/>
  <c r="C416" i="2"/>
  <c r="A416" i="2"/>
  <c r="H415" i="2"/>
  <c r="E415" i="2"/>
  <c r="C415" i="2"/>
  <c r="A415" i="2"/>
  <c r="H414" i="2"/>
  <c r="E414" i="2"/>
  <c r="C414" i="2"/>
  <c r="A414" i="2"/>
  <c r="H413" i="2"/>
  <c r="E413" i="2"/>
  <c r="C413" i="2"/>
  <c r="A413" i="2"/>
  <c r="H412" i="2"/>
  <c r="E412" i="2"/>
  <c r="C412" i="2"/>
  <c r="A412" i="2"/>
  <c r="H411" i="2"/>
  <c r="E411" i="2"/>
  <c r="C411" i="2"/>
  <c r="A411" i="2"/>
  <c r="H410" i="2"/>
  <c r="E410" i="2"/>
  <c r="C410" i="2"/>
  <c r="A410" i="2"/>
  <c r="H409" i="2"/>
  <c r="E409" i="2"/>
  <c r="C409" i="2"/>
  <c r="A409" i="2"/>
  <c r="H408" i="2"/>
  <c r="E408" i="2"/>
  <c r="C408" i="2"/>
  <c r="A408" i="2"/>
  <c r="H407" i="2"/>
  <c r="E407" i="2"/>
  <c r="C407" i="2"/>
  <c r="A407" i="2"/>
  <c r="H406" i="2"/>
  <c r="E406" i="2"/>
  <c r="C406" i="2"/>
  <c r="A406" i="2"/>
  <c r="H405" i="2"/>
  <c r="E405" i="2"/>
  <c r="C405" i="2"/>
  <c r="A405" i="2"/>
  <c r="H404" i="2"/>
  <c r="E404" i="2"/>
  <c r="C404" i="2"/>
  <c r="A404" i="2"/>
  <c r="H403" i="2"/>
  <c r="E403" i="2"/>
  <c r="C403" i="2"/>
  <c r="A403" i="2"/>
  <c r="H402" i="2"/>
  <c r="E402" i="2"/>
  <c r="C402" i="2"/>
  <c r="A402" i="2"/>
  <c r="H401" i="2"/>
  <c r="E401" i="2"/>
  <c r="C401" i="2"/>
  <c r="A401" i="2"/>
  <c r="H400" i="2"/>
  <c r="E400" i="2"/>
  <c r="C400" i="2"/>
  <c r="A400" i="2"/>
  <c r="H399" i="2"/>
  <c r="E399" i="2"/>
  <c r="C399" i="2"/>
  <c r="A399" i="2"/>
  <c r="H398" i="2"/>
  <c r="E398" i="2"/>
  <c r="C398" i="2"/>
  <c r="A398" i="2"/>
  <c r="H397" i="2"/>
  <c r="E397" i="2"/>
  <c r="C397" i="2"/>
  <c r="A397" i="2"/>
  <c r="H396" i="2"/>
  <c r="E396" i="2"/>
  <c r="C396" i="2"/>
  <c r="A396" i="2"/>
  <c r="H395" i="2"/>
  <c r="E395" i="2"/>
  <c r="C395" i="2"/>
  <c r="A395" i="2"/>
  <c r="H394" i="2"/>
  <c r="E394" i="2"/>
  <c r="C394" i="2"/>
  <c r="A394" i="2"/>
  <c r="H393" i="2"/>
  <c r="E393" i="2"/>
  <c r="C393" i="2"/>
  <c r="A393" i="2"/>
  <c r="H392" i="2"/>
  <c r="E392" i="2"/>
  <c r="C392" i="2"/>
  <c r="A392" i="2"/>
  <c r="H391" i="2"/>
  <c r="E391" i="2"/>
  <c r="C391" i="2"/>
  <c r="A391" i="2"/>
  <c r="H390" i="2"/>
  <c r="E390" i="2"/>
  <c r="C390" i="2"/>
  <c r="A390" i="2"/>
  <c r="H389" i="2"/>
  <c r="E389" i="2"/>
  <c r="C389" i="2"/>
  <c r="A389" i="2"/>
  <c r="H388" i="2"/>
  <c r="E388" i="2"/>
  <c r="C388" i="2"/>
  <c r="A388" i="2"/>
  <c r="H387" i="2"/>
  <c r="E387" i="2"/>
  <c r="C387" i="2"/>
  <c r="A387" i="2"/>
  <c r="H386" i="2"/>
  <c r="E386" i="2"/>
  <c r="C386" i="2"/>
  <c r="A386" i="2"/>
  <c r="H385" i="2"/>
  <c r="E385" i="2"/>
  <c r="C385" i="2"/>
  <c r="A385" i="2"/>
  <c r="H384" i="2"/>
  <c r="E384" i="2"/>
  <c r="C384" i="2"/>
  <c r="A384" i="2"/>
  <c r="H383" i="2"/>
  <c r="E383" i="2"/>
  <c r="C383" i="2"/>
  <c r="A383" i="2"/>
  <c r="H382" i="2"/>
  <c r="E382" i="2"/>
  <c r="C382" i="2"/>
  <c r="A382" i="2"/>
  <c r="H381" i="2"/>
  <c r="E381" i="2"/>
  <c r="C381" i="2"/>
  <c r="A381" i="2"/>
  <c r="H380" i="2"/>
  <c r="E380" i="2"/>
  <c r="C380" i="2"/>
  <c r="A380" i="2"/>
  <c r="H379" i="2"/>
  <c r="E379" i="2"/>
  <c r="C379" i="2"/>
  <c r="A379" i="2"/>
  <c r="H378" i="2"/>
  <c r="E378" i="2"/>
  <c r="C378" i="2"/>
  <c r="A378" i="2"/>
  <c r="H377" i="2"/>
  <c r="E377" i="2"/>
  <c r="C377" i="2"/>
  <c r="A377" i="2"/>
  <c r="H376" i="2"/>
  <c r="E376" i="2"/>
  <c r="C376" i="2"/>
  <c r="A376" i="2"/>
  <c r="H375" i="2"/>
  <c r="E375" i="2"/>
  <c r="C375" i="2"/>
  <c r="A375" i="2"/>
  <c r="H374" i="2"/>
  <c r="E374" i="2"/>
  <c r="C374" i="2"/>
  <c r="A374" i="2"/>
  <c r="H373" i="2"/>
  <c r="E373" i="2"/>
  <c r="C373" i="2"/>
  <c r="A373" i="2"/>
  <c r="H372" i="2"/>
  <c r="E372" i="2"/>
  <c r="C372" i="2"/>
  <c r="A372" i="2"/>
  <c r="H371" i="2"/>
  <c r="E371" i="2"/>
  <c r="C371" i="2"/>
  <c r="A371" i="2"/>
  <c r="H370" i="2"/>
  <c r="E370" i="2"/>
  <c r="C370" i="2"/>
  <c r="A370" i="2"/>
  <c r="H369" i="2"/>
  <c r="E369" i="2"/>
  <c r="C369" i="2"/>
  <c r="A369" i="2"/>
  <c r="H368" i="2"/>
  <c r="E368" i="2"/>
  <c r="C368" i="2"/>
  <c r="A368" i="2"/>
  <c r="H367" i="2"/>
  <c r="E367" i="2"/>
  <c r="C367" i="2"/>
  <c r="A367" i="2"/>
  <c r="H366" i="2"/>
  <c r="E366" i="2"/>
  <c r="C366" i="2"/>
  <c r="A366" i="2"/>
  <c r="H365" i="2"/>
  <c r="E365" i="2"/>
  <c r="C365" i="2"/>
  <c r="A365" i="2"/>
  <c r="H364" i="2"/>
  <c r="E364" i="2"/>
  <c r="C364" i="2"/>
  <c r="A364" i="2"/>
  <c r="H363" i="2"/>
  <c r="E363" i="2"/>
  <c r="C363" i="2"/>
  <c r="A363" i="2"/>
  <c r="H362" i="2"/>
  <c r="E362" i="2"/>
  <c r="C362" i="2"/>
  <c r="A362" i="2"/>
  <c r="H361" i="2"/>
  <c r="E361" i="2"/>
  <c r="C361" i="2"/>
  <c r="A361" i="2"/>
  <c r="H360" i="2"/>
  <c r="E360" i="2"/>
  <c r="C360" i="2"/>
  <c r="A360" i="2"/>
  <c r="H359" i="2"/>
  <c r="E359" i="2"/>
  <c r="C359" i="2"/>
  <c r="A359" i="2"/>
  <c r="H358" i="2"/>
  <c r="E358" i="2"/>
  <c r="C358" i="2"/>
  <c r="A358" i="2"/>
  <c r="H357" i="2"/>
  <c r="E357" i="2"/>
  <c r="C357" i="2"/>
  <c r="A357" i="2"/>
  <c r="H356" i="2"/>
  <c r="E356" i="2"/>
  <c r="C356" i="2"/>
  <c r="A356" i="2"/>
  <c r="H355" i="2"/>
  <c r="E355" i="2"/>
  <c r="C355" i="2"/>
  <c r="A355" i="2"/>
  <c r="H354" i="2"/>
  <c r="E354" i="2"/>
  <c r="C354" i="2"/>
  <c r="A354" i="2"/>
  <c r="H353" i="2"/>
  <c r="E353" i="2"/>
  <c r="C353" i="2"/>
  <c r="A353" i="2"/>
  <c r="H352" i="2"/>
  <c r="E352" i="2"/>
  <c r="C352" i="2"/>
  <c r="A352" i="2"/>
  <c r="H351" i="2"/>
  <c r="E351" i="2"/>
  <c r="C351" i="2"/>
  <c r="A351" i="2"/>
  <c r="H350" i="2"/>
  <c r="E350" i="2"/>
  <c r="C350" i="2"/>
  <c r="A350" i="2"/>
  <c r="H349" i="2"/>
  <c r="E349" i="2"/>
  <c r="C349" i="2"/>
  <c r="A349" i="2"/>
  <c r="H348" i="2"/>
  <c r="E348" i="2"/>
  <c r="C348" i="2"/>
  <c r="A348" i="2"/>
  <c r="H347" i="2"/>
  <c r="E347" i="2"/>
  <c r="C347" i="2"/>
  <c r="A347" i="2"/>
  <c r="H346" i="2"/>
  <c r="E346" i="2"/>
  <c r="C346" i="2"/>
  <c r="A346" i="2"/>
  <c r="H345" i="2"/>
  <c r="E345" i="2"/>
  <c r="C345" i="2"/>
  <c r="A345" i="2"/>
  <c r="H344" i="2"/>
  <c r="E344" i="2"/>
  <c r="C344" i="2"/>
  <c r="A344" i="2"/>
  <c r="H343" i="2"/>
  <c r="E343" i="2"/>
  <c r="C343" i="2"/>
  <c r="A343" i="2"/>
  <c r="H342" i="2"/>
  <c r="E342" i="2"/>
  <c r="C342" i="2"/>
  <c r="A342" i="2"/>
  <c r="H341" i="2"/>
  <c r="E341" i="2"/>
  <c r="C341" i="2"/>
  <c r="A341" i="2"/>
  <c r="H340" i="2"/>
  <c r="E340" i="2"/>
  <c r="C340" i="2"/>
  <c r="A340" i="2"/>
  <c r="H339" i="2"/>
  <c r="E339" i="2"/>
  <c r="C339" i="2"/>
  <c r="A339" i="2"/>
  <c r="H338" i="2"/>
  <c r="E338" i="2"/>
  <c r="C338" i="2"/>
  <c r="A338" i="2"/>
  <c r="H337" i="2"/>
  <c r="E337" i="2"/>
  <c r="C337" i="2"/>
  <c r="A337" i="2"/>
  <c r="H336" i="2"/>
  <c r="E336" i="2"/>
  <c r="C336" i="2"/>
  <c r="A336" i="2"/>
  <c r="H335" i="2"/>
  <c r="E335" i="2"/>
  <c r="C335" i="2"/>
  <c r="A335" i="2"/>
  <c r="H334" i="2"/>
  <c r="E334" i="2"/>
  <c r="C334" i="2"/>
  <c r="A334" i="2"/>
  <c r="H333" i="2"/>
  <c r="E333" i="2"/>
  <c r="C333" i="2"/>
  <c r="A333" i="2"/>
  <c r="H332" i="2"/>
  <c r="E332" i="2"/>
  <c r="C332" i="2"/>
  <c r="A332" i="2"/>
  <c r="H331" i="2"/>
  <c r="E331" i="2"/>
  <c r="C331" i="2"/>
  <c r="A331" i="2"/>
  <c r="H330" i="2"/>
  <c r="E330" i="2"/>
  <c r="C330" i="2"/>
  <c r="A330" i="2"/>
  <c r="H329" i="2"/>
  <c r="E329" i="2"/>
  <c r="C329" i="2"/>
  <c r="A329" i="2"/>
  <c r="H328" i="2"/>
  <c r="E328" i="2"/>
  <c r="C328" i="2"/>
  <c r="A328" i="2"/>
  <c r="H327" i="2"/>
  <c r="E327" i="2"/>
  <c r="C327" i="2"/>
  <c r="A327" i="2"/>
  <c r="H326" i="2"/>
  <c r="E326" i="2"/>
  <c r="C326" i="2"/>
  <c r="A326" i="2"/>
  <c r="H325" i="2"/>
  <c r="E325" i="2"/>
  <c r="C325" i="2"/>
  <c r="A325" i="2"/>
  <c r="H324" i="2"/>
  <c r="E324" i="2"/>
  <c r="C324" i="2"/>
  <c r="A324" i="2"/>
  <c r="H323" i="2"/>
  <c r="E323" i="2"/>
  <c r="C323" i="2"/>
  <c r="A323" i="2"/>
  <c r="H322" i="2"/>
  <c r="E322" i="2"/>
  <c r="C322" i="2"/>
  <c r="A322" i="2"/>
  <c r="H321" i="2"/>
  <c r="E321" i="2"/>
  <c r="C321" i="2"/>
  <c r="A321" i="2"/>
  <c r="H320" i="2"/>
  <c r="E320" i="2"/>
  <c r="C320" i="2"/>
  <c r="A320" i="2"/>
  <c r="H319" i="2"/>
  <c r="E319" i="2"/>
  <c r="C319" i="2"/>
  <c r="A319" i="2"/>
  <c r="H318" i="2"/>
  <c r="E318" i="2"/>
  <c r="C318" i="2"/>
  <c r="A318" i="2"/>
  <c r="H317" i="2"/>
  <c r="E317" i="2"/>
  <c r="C317" i="2"/>
  <c r="A317" i="2"/>
  <c r="H316" i="2"/>
  <c r="E316" i="2"/>
  <c r="C316" i="2"/>
  <c r="A316" i="2"/>
  <c r="H315" i="2"/>
  <c r="E315" i="2"/>
  <c r="C315" i="2"/>
  <c r="A315" i="2"/>
  <c r="H314" i="2"/>
  <c r="E314" i="2"/>
  <c r="C314" i="2"/>
  <c r="A314" i="2"/>
  <c r="H313" i="2"/>
  <c r="E313" i="2"/>
  <c r="C313" i="2"/>
  <c r="A313" i="2"/>
  <c r="H312" i="2"/>
  <c r="E312" i="2"/>
  <c r="C312" i="2"/>
  <c r="A312" i="2"/>
  <c r="H311" i="2"/>
  <c r="E311" i="2"/>
  <c r="C311" i="2"/>
  <c r="A311" i="2"/>
  <c r="H310" i="2"/>
  <c r="E310" i="2"/>
  <c r="C310" i="2"/>
  <c r="A310" i="2"/>
  <c r="H309" i="2"/>
  <c r="E309" i="2"/>
  <c r="C309" i="2"/>
  <c r="A309" i="2"/>
  <c r="H308" i="2"/>
  <c r="E308" i="2"/>
  <c r="C308" i="2"/>
  <c r="A308" i="2"/>
  <c r="H307" i="2"/>
  <c r="E307" i="2"/>
  <c r="C307" i="2"/>
  <c r="A307" i="2"/>
  <c r="H306" i="2"/>
  <c r="E306" i="2"/>
  <c r="C306" i="2"/>
  <c r="A306" i="2"/>
  <c r="H305" i="2"/>
  <c r="E305" i="2"/>
  <c r="C305" i="2"/>
  <c r="A305" i="2"/>
  <c r="H304" i="2"/>
  <c r="E304" i="2"/>
  <c r="C304" i="2"/>
  <c r="A304" i="2"/>
  <c r="H303" i="2"/>
  <c r="E303" i="2"/>
  <c r="C303" i="2"/>
  <c r="A303" i="2"/>
  <c r="H302" i="2"/>
  <c r="E302" i="2"/>
  <c r="C302" i="2"/>
  <c r="A302" i="2"/>
  <c r="H301" i="2"/>
  <c r="E301" i="2"/>
  <c r="C301" i="2"/>
  <c r="A301" i="2"/>
  <c r="H300" i="2"/>
  <c r="E300" i="2"/>
  <c r="C300" i="2"/>
  <c r="A300" i="2"/>
  <c r="H299" i="2"/>
  <c r="E299" i="2"/>
  <c r="C299" i="2"/>
  <c r="A299" i="2"/>
  <c r="H298" i="2"/>
  <c r="E298" i="2"/>
  <c r="C298" i="2"/>
  <c r="A298" i="2"/>
  <c r="H297" i="2"/>
  <c r="E297" i="2"/>
  <c r="C297" i="2"/>
  <c r="A297" i="2"/>
  <c r="H296" i="2"/>
  <c r="E296" i="2"/>
  <c r="C296" i="2"/>
  <c r="A296" i="2"/>
  <c r="H295" i="2"/>
  <c r="E295" i="2"/>
  <c r="C295" i="2"/>
  <c r="A295" i="2"/>
  <c r="H294" i="2"/>
  <c r="E294" i="2"/>
  <c r="C294" i="2"/>
  <c r="A294" i="2"/>
  <c r="H293" i="2"/>
  <c r="E293" i="2"/>
  <c r="C293" i="2"/>
  <c r="A293" i="2"/>
  <c r="H292" i="2"/>
  <c r="E292" i="2"/>
  <c r="C292" i="2"/>
  <c r="A292" i="2"/>
  <c r="H291" i="2"/>
  <c r="E291" i="2"/>
  <c r="C291" i="2"/>
  <c r="A291" i="2"/>
  <c r="H290" i="2"/>
  <c r="E290" i="2"/>
  <c r="C290" i="2"/>
  <c r="A290" i="2"/>
  <c r="H289" i="2"/>
  <c r="E289" i="2"/>
  <c r="C289" i="2"/>
  <c r="A289" i="2"/>
  <c r="H288" i="2"/>
  <c r="E288" i="2"/>
  <c r="C288" i="2"/>
  <c r="A288" i="2"/>
  <c r="H287" i="2"/>
  <c r="E287" i="2"/>
  <c r="C287" i="2"/>
  <c r="A287" i="2"/>
  <c r="H286" i="2"/>
  <c r="E286" i="2"/>
  <c r="C286" i="2"/>
  <c r="A286" i="2"/>
  <c r="H285" i="2"/>
  <c r="E285" i="2"/>
  <c r="C285" i="2"/>
  <c r="A285" i="2"/>
  <c r="H284" i="2"/>
  <c r="E284" i="2"/>
  <c r="C284" i="2"/>
  <c r="A284" i="2"/>
  <c r="H283" i="2"/>
  <c r="E283" i="2"/>
  <c r="C283" i="2"/>
  <c r="A283" i="2"/>
  <c r="H282" i="2"/>
  <c r="E282" i="2"/>
  <c r="C282" i="2"/>
  <c r="A282" i="2"/>
  <c r="H281" i="2"/>
  <c r="E281" i="2"/>
  <c r="C281" i="2"/>
  <c r="A281" i="2"/>
  <c r="H280" i="2"/>
  <c r="E280" i="2"/>
  <c r="C280" i="2"/>
  <c r="A280" i="2"/>
  <c r="H279" i="2"/>
  <c r="E279" i="2"/>
  <c r="C279" i="2"/>
  <c r="A279" i="2"/>
  <c r="H278" i="2"/>
  <c r="E278" i="2"/>
  <c r="C278" i="2"/>
  <c r="A278" i="2"/>
  <c r="H277" i="2"/>
  <c r="E277" i="2"/>
  <c r="C277" i="2"/>
  <c r="A277" i="2"/>
  <c r="H276" i="2"/>
  <c r="E276" i="2"/>
  <c r="C276" i="2"/>
  <c r="A276" i="2"/>
  <c r="H275" i="2"/>
  <c r="E275" i="2"/>
  <c r="C275" i="2"/>
  <c r="A275" i="2"/>
  <c r="H274" i="2"/>
  <c r="E274" i="2"/>
  <c r="C274" i="2"/>
  <c r="A274" i="2"/>
  <c r="H273" i="2"/>
  <c r="E273" i="2"/>
  <c r="C273" i="2"/>
  <c r="A273" i="2"/>
  <c r="H272" i="2"/>
  <c r="E272" i="2"/>
  <c r="C272" i="2"/>
  <c r="A272" i="2"/>
  <c r="H271" i="2"/>
  <c r="E271" i="2"/>
  <c r="C271" i="2"/>
  <c r="A271" i="2"/>
  <c r="H270" i="2"/>
  <c r="E270" i="2"/>
  <c r="C270" i="2"/>
  <c r="A270" i="2"/>
  <c r="H269" i="2"/>
  <c r="E269" i="2"/>
  <c r="C269" i="2"/>
  <c r="A269" i="2"/>
  <c r="H268" i="2"/>
  <c r="E268" i="2"/>
  <c r="C268" i="2"/>
  <c r="A268" i="2"/>
  <c r="H267" i="2"/>
  <c r="E267" i="2"/>
  <c r="C267" i="2"/>
  <c r="A267" i="2"/>
  <c r="H266" i="2"/>
  <c r="E266" i="2"/>
  <c r="C266" i="2"/>
  <c r="A266" i="2"/>
  <c r="H265" i="2"/>
  <c r="E265" i="2"/>
  <c r="C265" i="2"/>
  <c r="A265" i="2"/>
  <c r="H264" i="2"/>
  <c r="E264" i="2"/>
  <c r="C264" i="2"/>
  <c r="A264" i="2"/>
  <c r="H263" i="2"/>
  <c r="E263" i="2"/>
  <c r="C263" i="2"/>
  <c r="A263" i="2"/>
  <c r="H262" i="2"/>
  <c r="E262" i="2"/>
  <c r="C262" i="2"/>
  <c r="A262" i="2"/>
  <c r="H261" i="2"/>
  <c r="E261" i="2"/>
  <c r="C261" i="2"/>
  <c r="A261" i="2"/>
  <c r="H260" i="2"/>
  <c r="E260" i="2"/>
  <c r="C260" i="2"/>
  <c r="A260" i="2"/>
  <c r="H259" i="2"/>
  <c r="E259" i="2"/>
  <c r="C259" i="2"/>
  <c r="A259" i="2"/>
  <c r="H258" i="2"/>
  <c r="E258" i="2"/>
  <c r="C258" i="2"/>
  <c r="A258" i="2"/>
  <c r="H257" i="2"/>
  <c r="E257" i="2"/>
  <c r="C257" i="2"/>
  <c r="A257" i="2"/>
  <c r="H256" i="2"/>
  <c r="E256" i="2"/>
  <c r="C256" i="2"/>
  <c r="A256" i="2"/>
  <c r="H255" i="2"/>
  <c r="E255" i="2"/>
  <c r="C255" i="2"/>
  <c r="A255" i="2"/>
  <c r="H254" i="2"/>
  <c r="E254" i="2"/>
  <c r="C254" i="2"/>
  <c r="A254" i="2"/>
  <c r="H253" i="2"/>
  <c r="E253" i="2"/>
  <c r="C253" i="2"/>
  <c r="A253" i="2"/>
  <c r="H252" i="2"/>
  <c r="E252" i="2"/>
  <c r="C252" i="2"/>
  <c r="A252" i="2"/>
  <c r="H251" i="2"/>
  <c r="E251" i="2"/>
  <c r="C251" i="2"/>
  <c r="A251" i="2"/>
  <c r="H250" i="2"/>
  <c r="E250" i="2"/>
  <c r="C250" i="2"/>
  <c r="A250" i="2"/>
  <c r="H249" i="2"/>
  <c r="E249" i="2"/>
  <c r="C249" i="2"/>
  <c r="A249" i="2"/>
  <c r="H248" i="2"/>
  <c r="E248" i="2"/>
  <c r="C248" i="2"/>
  <c r="A248" i="2"/>
  <c r="H247" i="2"/>
  <c r="E247" i="2"/>
  <c r="C247" i="2"/>
  <c r="A247" i="2"/>
  <c r="H246" i="2"/>
  <c r="E246" i="2"/>
  <c r="C246" i="2"/>
  <c r="A246" i="2"/>
  <c r="H245" i="2"/>
  <c r="E245" i="2"/>
  <c r="C245" i="2"/>
  <c r="A245" i="2"/>
  <c r="H244" i="2"/>
  <c r="E244" i="2"/>
  <c r="C244" i="2"/>
  <c r="A244" i="2"/>
  <c r="H243" i="2"/>
  <c r="E243" i="2"/>
  <c r="C243" i="2"/>
  <c r="A243" i="2"/>
  <c r="H242" i="2"/>
  <c r="E242" i="2"/>
  <c r="C242" i="2"/>
  <c r="A242" i="2"/>
  <c r="H241" i="2"/>
  <c r="E241" i="2"/>
  <c r="C241" i="2"/>
  <c r="A241" i="2"/>
  <c r="H240" i="2"/>
  <c r="E240" i="2"/>
  <c r="C240" i="2"/>
  <c r="A240" i="2"/>
  <c r="H239" i="2"/>
  <c r="E239" i="2"/>
  <c r="C239" i="2"/>
  <c r="A239" i="2"/>
  <c r="H238" i="2"/>
  <c r="E238" i="2"/>
  <c r="C238" i="2"/>
  <c r="A238" i="2"/>
  <c r="H237" i="2"/>
  <c r="E237" i="2"/>
  <c r="C237" i="2"/>
  <c r="A237" i="2"/>
  <c r="H236" i="2"/>
  <c r="E236" i="2"/>
  <c r="C236" i="2"/>
  <c r="A236" i="2"/>
  <c r="H235" i="2"/>
  <c r="E235" i="2"/>
  <c r="C235" i="2"/>
  <c r="A235" i="2"/>
  <c r="H234" i="2"/>
  <c r="E234" i="2"/>
  <c r="C234" i="2"/>
  <c r="A234" i="2"/>
  <c r="H233" i="2"/>
  <c r="E233" i="2"/>
  <c r="C233" i="2"/>
  <c r="A233" i="2"/>
  <c r="H232" i="2"/>
  <c r="E232" i="2"/>
  <c r="C232" i="2"/>
  <c r="A232" i="2"/>
  <c r="H231" i="2"/>
  <c r="E231" i="2"/>
  <c r="C231" i="2"/>
  <c r="A231" i="2"/>
  <c r="H230" i="2"/>
  <c r="E230" i="2"/>
  <c r="C230" i="2"/>
  <c r="A230" i="2"/>
  <c r="H229" i="2"/>
  <c r="E229" i="2"/>
  <c r="C229" i="2"/>
  <c r="A229" i="2"/>
  <c r="H228" i="2"/>
  <c r="E228" i="2"/>
  <c r="C228" i="2"/>
  <c r="A228" i="2"/>
  <c r="H227" i="2"/>
  <c r="E227" i="2"/>
  <c r="C227" i="2"/>
  <c r="A227" i="2"/>
  <c r="H226" i="2"/>
  <c r="E226" i="2"/>
  <c r="C226" i="2"/>
  <c r="A226" i="2"/>
  <c r="H225" i="2"/>
  <c r="E225" i="2"/>
  <c r="C225" i="2"/>
  <c r="A225" i="2"/>
  <c r="H224" i="2"/>
  <c r="E224" i="2"/>
  <c r="C224" i="2"/>
  <c r="A224" i="2"/>
  <c r="H223" i="2"/>
  <c r="E223" i="2"/>
  <c r="C223" i="2"/>
  <c r="A223" i="2"/>
  <c r="H222" i="2"/>
  <c r="E222" i="2"/>
  <c r="C222" i="2"/>
  <c r="A222" i="2"/>
  <c r="H221" i="2"/>
  <c r="E221" i="2"/>
  <c r="C221" i="2"/>
  <c r="A221" i="2"/>
  <c r="H220" i="2"/>
  <c r="E220" i="2"/>
  <c r="C220" i="2"/>
  <c r="A220" i="2"/>
  <c r="H219" i="2"/>
  <c r="E219" i="2"/>
  <c r="C219" i="2"/>
  <c r="A219" i="2"/>
  <c r="H218" i="2"/>
  <c r="E218" i="2"/>
  <c r="C218" i="2"/>
  <c r="A218" i="2"/>
  <c r="H217" i="2"/>
  <c r="E217" i="2"/>
  <c r="C217" i="2"/>
  <c r="A217" i="2"/>
  <c r="H216" i="2"/>
  <c r="E216" i="2"/>
  <c r="C216" i="2"/>
  <c r="A216" i="2"/>
  <c r="H215" i="2"/>
  <c r="E215" i="2"/>
  <c r="C215" i="2"/>
  <c r="A215" i="2"/>
  <c r="H214" i="2"/>
  <c r="E214" i="2"/>
  <c r="C214" i="2"/>
  <c r="A214" i="2"/>
  <c r="H213" i="2"/>
  <c r="E213" i="2"/>
  <c r="C213" i="2"/>
  <c r="A213" i="2"/>
  <c r="H212" i="2"/>
  <c r="E212" i="2"/>
  <c r="C212" i="2"/>
  <c r="A212" i="2"/>
  <c r="H211" i="2"/>
  <c r="E211" i="2"/>
  <c r="C211" i="2"/>
  <c r="A211" i="2"/>
  <c r="H210" i="2"/>
  <c r="E210" i="2"/>
  <c r="C210" i="2"/>
  <c r="A210" i="2"/>
  <c r="H209" i="2"/>
  <c r="E209" i="2"/>
  <c r="C209" i="2"/>
  <c r="A209" i="2"/>
  <c r="H208" i="2"/>
  <c r="E208" i="2"/>
  <c r="C208" i="2"/>
  <c r="A208" i="2"/>
  <c r="H207" i="2"/>
  <c r="E207" i="2"/>
  <c r="C207" i="2"/>
  <c r="A207" i="2"/>
  <c r="H206" i="2"/>
  <c r="E206" i="2"/>
  <c r="C206" i="2"/>
  <c r="A206" i="2"/>
  <c r="H205" i="2"/>
  <c r="E205" i="2"/>
  <c r="C205" i="2"/>
  <c r="A205" i="2"/>
  <c r="H204" i="2"/>
  <c r="E204" i="2"/>
  <c r="C204" i="2"/>
  <c r="A204" i="2"/>
  <c r="H203" i="2"/>
  <c r="E203" i="2"/>
  <c r="C203" i="2"/>
  <c r="A203" i="2"/>
  <c r="H202" i="2"/>
  <c r="E202" i="2"/>
  <c r="C202" i="2"/>
  <c r="A202" i="2"/>
  <c r="H201" i="2"/>
  <c r="E201" i="2"/>
  <c r="C201" i="2"/>
  <c r="A201" i="2"/>
  <c r="H200" i="2"/>
  <c r="E200" i="2"/>
  <c r="C200" i="2"/>
  <c r="A200" i="2"/>
  <c r="H199" i="2"/>
  <c r="E199" i="2"/>
  <c r="C199" i="2"/>
  <c r="A199" i="2"/>
  <c r="H198" i="2"/>
  <c r="E198" i="2"/>
  <c r="C198" i="2"/>
  <c r="A198" i="2"/>
  <c r="H197" i="2"/>
  <c r="E197" i="2"/>
  <c r="C197" i="2"/>
  <c r="A197" i="2"/>
  <c r="H196" i="2"/>
  <c r="E196" i="2"/>
  <c r="C196" i="2"/>
  <c r="A196" i="2"/>
  <c r="H195" i="2"/>
  <c r="E195" i="2"/>
  <c r="C195" i="2"/>
  <c r="A195" i="2"/>
  <c r="H194" i="2"/>
  <c r="E194" i="2"/>
  <c r="C194" i="2"/>
  <c r="A194" i="2"/>
  <c r="H193" i="2"/>
  <c r="E193" i="2"/>
  <c r="C193" i="2"/>
  <c r="A193" i="2"/>
  <c r="H192" i="2"/>
  <c r="E192" i="2"/>
  <c r="C192" i="2"/>
  <c r="A192" i="2"/>
  <c r="H191" i="2"/>
  <c r="E191" i="2"/>
  <c r="C191" i="2"/>
  <c r="A191" i="2"/>
  <c r="H190" i="2"/>
  <c r="E190" i="2"/>
  <c r="C190" i="2"/>
  <c r="A190" i="2"/>
  <c r="H189" i="2"/>
  <c r="E189" i="2"/>
  <c r="C189" i="2"/>
  <c r="A189" i="2"/>
  <c r="H188" i="2"/>
  <c r="E188" i="2"/>
  <c r="C188" i="2"/>
  <c r="A188" i="2"/>
  <c r="H187" i="2"/>
  <c r="E187" i="2"/>
  <c r="C187" i="2"/>
  <c r="A187" i="2"/>
  <c r="H186" i="2"/>
  <c r="E186" i="2"/>
  <c r="C186" i="2"/>
  <c r="A186" i="2"/>
  <c r="H185" i="2"/>
  <c r="E185" i="2"/>
  <c r="C185" i="2"/>
  <c r="A185" i="2"/>
  <c r="H184" i="2"/>
  <c r="E184" i="2"/>
  <c r="C184" i="2"/>
  <c r="A184" i="2"/>
  <c r="H183" i="2"/>
  <c r="E183" i="2"/>
  <c r="C183" i="2"/>
  <c r="A183" i="2"/>
  <c r="H182" i="2"/>
  <c r="E182" i="2"/>
  <c r="C182" i="2"/>
  <c r="A182" i="2"/>
  <c r="H181" i="2"/>
  <c r="E181" i="2"/>
  <c r="C181" i="2"/>
  <c r="A181" i="2"/>
  <c r="H180" i="2"/>
  <c r="E180" i="2"/>
  <c r="C180" i="2"/>
  <c r="A180" i="2"/>
  <c r="H179" i="2"/>
  <c r="E179" i="2"/>
  <c r="C179" i="2"/>
  <c r="A179" i="2"/>
  <c r="H178" i="2"/>
  <c r="E178" i="2"/>
  <c r="C178" i="2"/>
  <c r="A178" i="2"/>
  <c r="H177" i="2"/>
  <c r="E177" i="2"/>
  <c r="C177" i="2"/>
  <c r="A177" i="2"/>
  <c r="H176" i="2"/>
  <c r="E176" i="2"/>
  <c r="C176" i="2"/>
  <c r="A176" i="2"/>
  <c r="H175" i="2"/>
  <c r="E175" i="2"/>
  <c r="C175" i="2"/>
  <c r="A175" i="2"/>
  <c r="H174" i="2"/>
  <c r="E174" i="2"/>
  <c r="C174" i="2"/>
  <c r="A174" i="2"/>
  <c r="H173" i="2"/>
  <c r="E173" i="2"/>
  <c r="C173" i="2"/>
  <c r="A173" i="2"/>
  <c r="H172" i="2"/>
  <c r="E172" i="2"/>
  <c r="C172" i="2"/>
  <c r="A172" i="2"/>
  <c r="H171" i="2"/>
  <c r="E171" i="2"/>
  <c r="C171" i="2"/>
  <c r="A171" i="2"/>
  <c r="H170" i="2"/>
  <c r="E170" i="2"/>
  <c r="C170" i="2"/>
  <c r="A170" i="2"/>
  <c r="H169" i="2"/>
  <c r="E169" i="2"/>
  <c r="C169" i="2"/>
  <c r="A169" i="2"/>
  <c r="H168" i="2"/>
  <c r="E168" i="2"/>
  <c r="C168" i="2"/>
  <c r="A168" i="2"/>
  <c r="H167" i="2"/>
  <c r="E167" i="2"/>
  <c r="C167" i="2"/>
  <c r="A167" i="2"/>
  <c r="H166" i="2"/>
  <c r="E166" i="2"/>
  <c r="C166" i="2"/>
  <c r="A166" i="2"/>
  <c r="H165" i="2"/>
  <c r="E165" i="2"/>
  <c r="C165" i="2"/>
  <c r="A165" i="2"/>
  <c r="H164" i="2"/>
  <c r="E164" i="2"/>
  <c r="C164" i="2"/>
  <c r="A164" i="2"/>
  <c r="H163" i="2"/>
  <c r="E163" i="2"/>
  <c r="C163" i="2"/>
  <c r="A163" i="2"/>
  <c r="H162" i="2"/>
  <c r="E162" i="2"/>
  <c r="C162" i="2"/>
  <c r="A162" i="2"/>
  <c r="H161" i="2"/>
  <c r="E161" i="2"/>
  <c r="C161" i="2"/>
  <c r="A161" i="2"/>
  <c r="H160" i="2"/>
  <c r="E160" i="2"/>
  <c r="C160" i="2"/>
  <c r="A160" i="2"/>
  <c r="H159" i="2"/>
  <c r="E159" i="2"/>
  <c r="C159" i="2"/>
  <c r="A159" i="2"/>
  <c r="H158" i="2"/>
  <c r="E158" i="2"/>
  <c r="C158" i="2"/>
  <c r="A158" i="2"/>
  <c r="H157" i="2"/>
  <c r="E157" i="2"/>
  <c r="C157" i="2"/>
  <c r="A157" i="2"/>
  <c r="H156" i="2"/>
  <c r="E156" i="2"/>
  <c r="C156" i="2"/>
  <c r="A156" i="2"/>
  <c r="H155" i="2"/>
  <c r="E155" i="2"/>
  <c r="C155" i="2"/>
  <c r="A155" i="2"/>
  <c r="H154" i="2"/>
  <c r="E154" i="2"/>
  <c r="C154" i="2"/>
  <c r="A154" i="2"/>
  <c r="H153" i="2"/>
  <c r="E153" i="2"/>
  <c r="C153" i="2"/>
  <c r="A153" i="2"/>
  <c r="H152" i="2"/>
  <c r="E152" i="2"/>
  <c r="C152" i="2"/>
  <c r="A152" i="2"/>
  <c r="H151" i="2"/>
  <c r="E151" i="2"/>
  <c r="C151" i="2"/>
  <c r="A151" i="2"/>
  <c r="H150" i="2"/>
  <c r="E150" i="2"/>
  <c r="C150" i="2"/>
  <c r="A150" i="2"/>
  <c r="H149" i="2"/>
  <c r="E149" i="2"/>
  <c r="C149" i="2"/>
  <c r="A149" i="2"/>
  <c r="H148" i="2"/>
  <c r="E148" i="2"/>
  <c r="C148" i="2"/>
  <c r="A148" i="2"/>
  <c r="H147" i="2"/>
  <c r="E147" i="2"/>
  <c r="C147" i="2"/>
  <c r="A147" i="2"/>
  <c r="H146" i="2"/>
  <c r="E146" i="2"/>
  <c r="C146" i="2"/>
  <c r="A146" i="2"/>
  <c r="H145" i="2"/>
  <c r="E145" i="2"/>
  <c r="C145" i="2"/>
  <c r="A145" i="2"/>
  <c r="H144" i="2"/>
  <c r="E144" i="2"/>
  <c r="C144" i="2"/>
  <c r="A144" i="2"/>
  <c r="H143" i="2"/>
  <c r="E143" i="2"/>
  <c r="C143" i="2"/>
  <c r="A143" i="2"/>
  <c r="H142" i="2"/>
  <c r="E142" i="2"/>
  <c r="C142" i="2"/>
  <c r="A142" i="2"/>
  <c r="H141" i="2"/>
  <c r="E141" i="2"/>
  <c r="C141" i="2"/>
  <c r="A141" i="2"/>
  <c r="H140" i="2"/>
  <c r="E140" i="2"/>
  <c r="C140" i="2"/>
  <c r="A140" i="2"/>
  <c r="H139" i="2"/>
  <c r="E139" i="2"/>
  <c r="C139" i="2"/>
  <c r="A139" i="2"/>
  <c r="H138" i="2"/>
  <c r="E138" i="2"/>
  <c r="C138" i="2"/>
  <c r="A138" i="2"/>
  <c r="H137" i="2"/>
  <c r="E137" i="2"/>
  <c r="C137" i="2"/>
  <c r="A137" i="2"/>
  <c r="H136" i="2"/>
  <c r="E136" i="2"/>
  <c r="C136" i="2"/>
  <c r="A136" i="2"/>
  <c r="H135" i="2"/>
  <c r="E135" i="2"/>
  <c r="C135" i="2"/>
  <c r="A135" i="2"/>
  <c r="H134" i="2"/>
  <c r="E134" i="2"/>
  <c r="C134" i="2"/>
  <c r="A134" i="2"/>
  <c r="H133" i="2"/>
  <c r="E133" i="2"/>
  <c r="C133" i="2"/>
  <c r="A133" i="2"/>
  <c r="H132" i="2"/>
  <c r="E132" i="2"/>
  <c r="C132" i="2"/>
  <c r="A132" i="2"/>
  <c r="H131" i="2"/>
  <c r="E131" i="2"/>
  <c r="C131" i="2"/>
  <c r="A131" i="2"/>
  <c r="H130" i="2"/>
  <c r="E130" i="2"/>
  <c r="C130" i="2"/>
  <c r="A130" i="2"/>
  <c r="H129" i="2"/>
  <c r="E129" i="2"/>
  <c r="C129" i="2"/>
  <c r="A129" i="2"/>
  <c r="H128" i="2"/>
  <c r="E128" i="2"/>
  <c r="C128" i="2"/>
  <c r="A128" i="2"/>
  <c r="H127" i="2"/>
  <c r="E127" i="2"/>
  <c r="C127" i="2"/>
  <c r="A127" i="2"/>
  <c r="H126" i="2"/>
  <c r="E126" i="2"/>
  <c r="C126" i="2"/>
  <c r="A126" i="2"/>
  <c r="H125" i="2"/>
  <c r="E125" i="2"/>
  <c r="C125" i="2"/>
  <c r="A125" i="2"/>
  <c r="H124" i="2"/>
  <c r="E124" i="2"/>
  <c r="C124" i="2"/>
  <c r="A124" i="2"/>
  <c r="H123" i="2"/>
  <c r="E123" i="2"/>
  <c r="C123" i="2"/>
  <c r="A123" i="2"/>
  <c r="H122" i="2"/>
  <c r="E122" i="2"/>
  <c r="C122" i="2"/>
  <c r="A122" i="2"/>
  <c r="H121" i="2"/>
  <c r="E121" i="2"/>
  <c r="C121" i="2"/>
  <c r="A121" i="2"/>
  <c r="H120" i="2"/>
  <c r="E120" i="2"/>
  <c r="C120" i="2"/>
  <c r="A120" i="2"/>
  <c r="H119" i="2"/>
  <c r="E119" i="2"/>
  <c r="C119" i="2"/>
  <c r="A119" i="2"/>
  <c r="H118" i="2"/>
  <c r="E118" i="2"/>
  <c r="C118" i="2"/>
  <c r="A118" i="2"/>
  <c r="H117" i="2"/>
  <c r="E117" i="2"/>
  <c r="C117" i="2"/>
  <c r="A117" i="2"/>
  <c r="H116" i="2"/>
  <c r="E116" i="2"/>
  <c r="C116" i="2"/>
  <c r="A116" i="2"/>
  <c r="H115" i="2"/>
  <c r="E115" i="2"/>
  <c r="C115" i="2"/>
  <c r="A115" i="2"/>
  <c r="H114" i="2"/>
  <c r="E114" i="2"/>
  <c r="C114" i="2"/>
  <c r="A114" i="2"/>
  <c r="H113" i="2"/>
  <c r="E113" i="2"/>
  <c r="C113" i="2"/>
  <c r="A113" i="2"/>
  <c r="H112" i="2"/>
  <c r="E112" i="2"/>
  <c r="C112" i="2"/>
  <c r="A112" i="2"/>
  <c r="H111" i="2"/>
  <c r="E111" i="2"/>
  <c r="C111" i="2"/>
  <c r="A111" i="2"/>
  <c r="H110" i="2"/>
  <c r="E110" i="2"/>
  <c r="C110" i="2"/>
  <c r="A110" i="2"/>
  <c r="H109" i="2"/>
  <c r="E109" i="2"/>
  <c r="C109" i="2"/>
  <c r="A109" i="2"/>
  <c r="H108" i="2"/>
  <c r="E108" i="2"/>
  <c r="C108" i="2"/>
  <c r="A108" i="2"/>
  <c r="H107" i="2"/>
  <c r="E107" i="2"/>
  <c r="C107" i="2"/>
  <c r="A107" i="2"/>
  <c r="H106" i="2"/>
  <c r="E106" i="2"/>
  <c r="C106" i="2"/>
  <c r="A106" i="2"/>
  <c r="H105" i="2"/>
  <c r="E105" i="2"/>
  <c r="C105" i="2"/>
  <c r="A105" i="2"/>
  <c r="H104" i="2"/>
  <c r="E104" i="2"/>
  <c r="C104" i="2"/>
  <c r="A104" i="2"/>
  <c r="H103" i="2"/>
  <c r="E103" i="2"/>
  <c r="C103" i="2"/>
  <c r="A103" i="2"/>
  <c r="H102" i="2"/>
  <c r="E102" i="2"/>
  <c r="C102" i="2"/>
  <c r="A102" i="2"/>
  <c r="H101" i="2"/>
  <c r="E101" i="2"/>
  <c r="C101" i="2"/>
  <c r="A101" i="2"/>
  <c r="H100" i="2"/>
  <c r="E100" i="2"/>
  <c r="C100" i="2"/>
  <c r="A100" i="2"/>
  <c r="H99" i="2"/>
  <c r="E99" i="2"/>
  <c r="C99" i="2"/>
  <c r="A99" i="2"/>
  <c r="H98" i="2"/>
  <c r="E98" i="2"/>
  <c r="C98" i="2"/>
  <c r="A98" i="2"/>
  <c r="H97" i="2"/>
  <c r="E97" i="2"/>
  <c r="C97" i="2"/>
  <c r="A97" i="2"/>
  <c r="H96" i="2"/>
  <c r="E96" i="2"/>
  <c r="C96" i="2"/>
  <c r="A96" i="2"/>
  <c r="H95" i="2"/>
  <c r="E95" i="2"/>
  <c r="C95" i="2"/>
  <c r="A95" i="2"/>
  <c r="H94" i="2"/>
  <c r="E94" i="2"/>
  <c r="C94" i="2"/>
  <c r="A94" i="2"/>
  <c r="H93" i="2"/>
  <c r="E93" i="2"/>
  <c r="C93" i="2"/>
  <c r="A93" i="2"/>
  <c r="H92" i="2"/>
  <c r="E92" i="2"/>
  <c r="C92" i="2"/>
  <c r="A92" i="2"/>
  <c r="H91" i="2"/>
  <c r="E91" i="2"/>
  <c r="C91" i="2"/>
  <c r="A91" i="2"/>
  <c r="H90" i="2"/>
  <c r="E90" i="2"/>
  <c r="C90" i="2"/>
  <c r="A90" i="2"/>
  <c r="H89" i="2"/>
  <c r="E89" i="2"/>
  <c r="C89" i="2"/>
  <c r="A89" i="2"/>
  <c r="H88" i="2"/>
  <c r="E88" i="2"/>
  <c r="C88" i="2"/>
  <c r="A88" i="2"/>
  <c r="H87" i="2"/>
  <c r="E87" i="2"/>
  <c r="C87" i="2"/>
  <c r="A87" i="2"/>
  <c r="H86" i="2"/>
  <c r="E86" i="2"/>
  <c r="C86" i="2"/>
  <c r="A86" i="2"/>
  <c r="H85" i="2"/>
  <c r="E85" i="2"/>
  <c r="C85" i="2"/>
  <c r="A85" i="2"/>
  <c r="H84" i="2"/>
  <c r="E84" i="2"/>
  <c r="C84" i="2"/>
  <c r="A84" i="2"/>
  <c r="H83" i="2"/>
  <c r="E83" i="2"/>
  <c r="C83" i="2"/>
  <c r="A83" i="2"/>
  <c r="H82" i="2"/>
  <c r="E82" i="2"/>
  <c r="C82" i="2"/>
  <c r="A82" i="2"/>
  <c r="H81" i="2"/>
  <c r="E81" i="2"/>
  <c r="C81" i="2"/>
  <c r="A81" i="2"/>
  <c r="H80" i="2"/>
  <c r="E80" i="2"/>
  <c r="C80" i="2"/>
  <c r="A80" i="2"/>
  <c r="H79" i="2"/>
  <c r="E79" i="2"/>
  <c r="C79" i="2"/>
  <c r="A79" i="2"/>
  <c r="H78" i="2"/>
  <c r="E78" i="2"/>
  <c r="C78" i="2"/>
  <c r="A78" i="2"/>
  <c r="H77" i="2"/>
  <c r="E77" i="2"/>
  <c r="C77" i="2"/>
  <c r="A77" i="2"/>
  <c r="H76" i="2"/>
  <c r="E76" i="2"/>
  <c r="C76" i="2"/>
  <c r="A76" i="2"/>
  <c r="H75" i="2"/>
  <c r="E75" i="2"/>
  <c r="C75" i="2"/>
  <c r="A75" i="2"/>
  <c r="H74" i="2"/>
  <c r="E74" i="2"/>
  <c r="C74" i="2"/>
  <c r="A74" i="2"/>
  <c r="H73" i="2"/>
  <c r="E73" i="2"/>
  <c r="C73" i="2"/>
  <c r="A73" i="2"/>
  <c r="H72" i="2"/>
  <c r="E72" i="2"/>
  <c r="C72" i="2"/>
  <c r="A72" i="2"/>
  <c r="H71" i="2"/>
  <c r="E71" i="2"/>
  <c r="C71" i="2"/>
  <c r="A71" i="2"/>
  <c r="H70" i="2"/>
  <c r="E70" i="2"/>
  <c r="C70" i="2"/>
  <c r="A70" i="2"/>
  <c r="H69" i="2"/>
  <c r="E69" i="2"/>
  <c r="C69" i="2"/>
  <c r="A69" i="2"/>
  <c r="H68" i="2"/>
  <c r="E68" i="2"/>
  <c r="C68" i="2"/>
  <c r="A68" i="2"/>
  <c r="H67" i="2"/>
  <c r="E67" i="2"/>
  <c r="C67" i="2"/>
  <c r="A67" i="2"/>
  <c r="H66" i="2"/>
  <c r="E66" i="2"/>
  <c r="C66" i="2"/>
  <c r="A66" i="2"/>
  <c r="H65" i="2"/>
  <c r="E65" i="2"/>
  <c r="C65" i="2"/>
  <c r="A65" i="2"/>
  <c r="H64" i="2"/>
  <c r="E64" i="2"/>
  <c r="C64" i="2"/>
  <c r="A64" i="2"/>
  <c r="H63" i="2"/>
  <c r="E63" i="2"/>
  <c r="C63" i="2"/>
  <c r="A63" i="2"/>
  <c r="H62" i="2"/>
  <c r="E62" i="2"/>
  <c r="C62" i="2"/>
  <c r="A62" i="2"/>
  <c r="H61" i="2"/>
  <c r="E61" i="2"/>
  <c r="C61" i="2"/>
  <c r="A61" i="2"/>
  <c r="H60" i="2"/>
  <c r="E60" i="2"/>
  <c r="C60" i="2"/>
  <c r="A60" i="2"/>
  <c r="H59" i="2"/>
  <c r="E59" i="2"/>
  <c r="C59" i="2"/>
  <c r="A59" i="2"/>
  <c r="H58" i="2"/>
  <c r="E58" i="2"/>
  <c r="C58" i="2"/>
  <c r="A58" i="2"/>
  <c r="H57" i="2"/>
  <c r="E57" i="2"/>
  <c r="C57" i="2"/>
  <c r="A57" i="2"/>
  <c r="H56" i="2"/>
  <c r="E56" i="2"/>
  <c r="C56" i="2"/>
  <c r="A56" i="2"/>
  <c r="H55" i="2"/>
  <c r="E55" i="2"/>
  <c r="C55" i="2"/>
  <c r="A55" i="2"/>
  <c r="H54" i="2"/>
  <c r="E54" i="2"/>
  <c r="C54" i="2"/>
  <c r="A54" i="2"/>
  <c r="H53" i="2"/>
  <c r="E53" i="2"/>
  <c r="C53" i="2"/>
  <c r="A53" i="2"/>
  <c r="H52" i="2"/>
  <c r="E52" i="2"/>
  <c r="C52" i="2"/>
  <c r="A52" i="2"/>
  <c r="H51" i="2"/>
  <c r="E51" i="2"/>
  <c r="C51" i="2"/>
  <c r="A51" i="2"/>
  <c r="H50" i="2"/>
  <c r="E50" i="2"/>
  <c r="C50" i="2"/>
  <c r="A50" i="2"/>
  <c r="H49" i="2"/>
  <c r="E49" i="2"/>
  <c r="C49" i="2"/>
  <c r="A49" i="2"/>
  <c r="H48" i="2"/>
  <c r="E48" i="2"/>
  <c r="C48" i="2"/>
  <c r="A48" i="2"/>
  <c r="H47" i="2"/>
  <c r="E47" i="2"/>
  <c r="C47" i="2"/>
  <c r="A47" i="2"/>
  <c r="H46" i="2"/>
  <c r="E46" i="2"/>
  <c r="C46" i="2"/>
  <c r="A46" i="2"/>
  <c r="H45" i="2"/>
  <c r="E45" i="2"/>
  <c r="C45" i="2"/>
  <c r="A45" i="2"/>
  <c r="H44" i="2"/>
  <c r="E44" i="2"/>
  <c r="C44" i="2"/>
  <c r="A44" i="2"/>
  <c r="H43" i="2"/>
  <c r="E43" i="2"/>
  <c r="C43" i="2"/>
  <c r="A43" i="2"/>
  <c r="H42" i="2"/>
  <c r="E42" i="2"/>
  <c r="C42" i="2"/>
  <c r="A42" i="2"/>
  <c r="H41" i="2"/>
  <c r="E41" i="2"/>
  <c r="C41" i="2"/>
  <c r="A41" i="2"/>
  <c r="H40" i="2"/>
  <c r="E40" i="2"/>
  <c r="C40" i="2"/>
  <c r="A40" i="2"/>
  <c r="H39" i="2"/>
  <c r="E39" i="2"/>
  <c r="C39" i="2"/>
  <c r="A39" i="2"/>
  <c r="H38" i="2"/>
  <c r="E38" i="2"/>
  <c r="C38" i="2"/>
  <c r="A38" i="2"/>
  <c r="H37" i="2"/>
  <c r="E37" i="2"/>
  <c r="C37" i="2"/>
  <c r="A37" i="2"/>
  <c r="H36" i="2"/>
  <c r="E36" i="2"/>
  <c r="C36" i="2"/>
  <c r="A36" i="2"/>
  <c r="H35" i="2"/>
  <c r="E35" i="2"/>
  <c r="C35" i="2"/>
  <c r="A35" i="2"/>
  <c r="H34" i="2"/>
  <c r="E34" i="2"/>
  <c r="C34" i="2"/>
  <c r="A34" i="2"/>
  <c r="H33" i="2"/>
  <c r="E33" i="2"/>
  <c r="C33" i="2"/>
  <c r="A33" i="2"/>
  <c r="H32" i="2"/>
  <c r="E32" i="2"/>
  <c r="C32" i="2"/>
  <c r="A32" i="2"/>
  <c r="H31" i="2"/>
  <c r="E31" i="2"/>
  <c r="C31" i="2"/>
  <c r="A31" i="2"/>
  <c r="H30" i="2"/>
  <c r="E30" i="2"/>
  <c r="C30" i="2"/>
  <c r="A30" i="2"/>
  <c r="H29" i="2"/>
  <c r="E29" i="2"/>
  <c r="C29" i="2"/>
  <c r="A29" i="2"/>
  <c r="H28" i="2"/>
  <c r="E28" i="2"/>
  <c r="C28" i="2"/>
  <c r="A28" i="2"/>
  <c r="H27" i="2"/>
  <c r="E27" i="2"/>
  <c r="C27" i="2"/>
  <c r="A27" i="2"/>
  <c r="H26" i="2"/>
  <c r="E26" i="2"/>
  <c r="C26" i="2"/>
  <c r="A26" i="2"/>
  <c r="H25" i="2"/>
  <c r="E25" i="2"/>
  <c r="C25" i="2"/>
  <c r="A25" i="2"/>
  <c r="H24" i="2"/>
  <c r="E24" i="2"/>
  <c r="C24" i="2"/>
  <c r="A24" i="2"/>
  <c r="H23" i="2"/>
  <c r="E23" i="2"/>
  <c r="C23" i="2"/>
  <c r="A23" i="2"/>
  <c r="H22" i="2"/>
  <c r="E22" i="2"/>
  <c r="C22" i="2"/>
  <c r="A22" i="2"/>
  <c r="H21" i="2"/>
  <c r="E21" i="2"/>
  <c r="C21" i="2"/>
  <c r="A21" i="2"/>
  <c r="H20" i="2"/>
  <c r="E20" i="2"/>
  <c r="C20" i="2"/>
  <c r="A20" i="2"/>
  <c r="H19" i="2"/>
  <c r="E19" i="2"/>
  <c r="C19" i="2"/>
  <c r="A19" i="2"/>
  <c r="H18" i="2"/>
  <c r="E18" i="2"/>
  <c r="C18" i="2"/>
  <c r="A18" i="2"/>
  <c r="H17" i="2"/>
  <c r="E17" i="2"/>
  <c r="C17" i="2"/>
  <c r="A17" i="2"/>
  <c r="H16" i="2"/>
  <c r="E16" i="2"/>
  <c r="C16" i="2"/>
  <c r="A16" i="2"/>
  <c r="H15" i="2"/>
  <c r="E15" i="2"/>
  <c r="C15" i="2"/>
  <c r="A15" i="2"/>
  <c r="H14" i="2"/>
  <c r="E14" i="2"/>
  <c r="C14" i="2"/>
  <c r="A14" i="2"/>
  <c r="H13" i="2"/>
  <c r="E13" i="2"/>
  <c r="C13" i="2"/>
  <c r="A13" i="2"/>
  <c r="H12" i="2"/>
  <c r="E12" i="2"/>
  <c r="C12" i="2"/>
  <c r="A12" i="2"/>
  <c r="H11" i="2"/>
  <c r="E11" i="2"/>
  <c r="C11" i="2"/>
  <c r="A11" i="2"/>
  <c r="H10" i="2"/>
  <c r="E10" i="2"/>
  <c r="C10" i="2"/>
  <c r="A10" i="2"/>
  <c r="H9" i="2"/>
  <c r="E9" i="2"/>
  <c r="C9" i="2"/>
  <c r="A9" i="2"/>
  <c r="H8" i="2"/>
  <c r="E8" i="2"/>
  <c r="C8" i="2"/>
  <c r="A8" i="2"/>
  <c r="H7" i="2"/>
  <c r="E7" i="2"/>
  <c r="C7" i="2"/>
  <c r="A7" i="2"/>
  <c r="H6" i="2"/>
  <c r="E6" i="2"/>
  <c r="C6" i="2"/>
  <c r="A6" i="2"/>
  <c r="H5" i="2"/>
  <c r="E5" i="2"/>
  <c r="C5" i="2"/>
</calcChain>
</file>

<file path=xl/sharedStrings.xml><?xml version="1.0" encoding="utf-8"?>
<sst xmlns="http://schemas.openxmlformats.org/spreadsheetml/2006/main" count="128" uniqueCount="103">
  <si>
    <t>KARS BELEDİYESİ MALZEME/DEPO GENEL ENVANTER - MALZEME KARTLARI</t>
  </si>
  <si>
    <t>Diğer sayfalardaki malzeme kodu açılır listeleri bu tablodan beslenir</t>
  </si>
  <si>
    <t>Malzeme Kodu</t>
  </si>
  <si>
    <t>Malzeme Adı</t>
  </si>
  <si>
    <t>Kategori</t>
  </si>
  <si>
    <t>Birim</t>
  </si>
  <si>
    <t>Depo Lokasyonu</t>
  </si>
  <si>
    <t>Kritik Stok Seviyesi</t>
  </si>
  <si>
    <t>Birim Fiyat (TL)</t>
  </si>
  <si>
    <t>Açıklama</t>
  </si>
  <si>
    <t>MLZ-0001</t>
  </si>
  <si>
    <t>PVC Boru 110mm (6m boy)</t>
  </si>
  <si>
    <t>Sıhhi Tesisat Malzemesi</t>
  </si>
  <si>
    <t>Adet</t>
  </si>
  <si>
    <t>Ana Depo (Merkez)</t>
  </si>
  <si>
    <t>Kanalizasyon bağlantı işlerinde kullanılır</t>
  </si>
  <si>
    <t>Açıklama: Malzeme Kodu benzersiz olmalıdır (örn. MLZ-0001). Kritik Stok Seviyesi altına düşen malzemeler Stok Durumu sayfasında KRİTİK olarak işaretlenir.</t>
  </si>
  <si>
    <t>KARS BELEDİYESİ MALZEME STOK HAREKETLERİ (GİRİŞ/ÇIKIŞ) KAYIT DEFTERİ</t>
  </si>
  <si>
    <t>Malzeme Kodu seçildiğinde Malzeme Adı, Kategori ve Birim otomatik doldurulur</t>
  </si>
  <si>
    <t>Sıra No</t>
  </si>
  <si>
    <t>Tarih</t>
  </si>
  <si>
    <t>Ay</t>
  </si>
  <si>
    <t>Hareket Türü</t>
  </si>
  <si>
    <t>Miktar</t>
  </si>
  <si>
    <t>Talep Eden Müdürlük</t>
  </si>
  <si>
    <t>Belge No</t>
  </si>
  <si>
    <t>Çıkış</t>
  </si>
  <si>
    <t>Su ve Kanalizasyon Müdürlüğü</t>
  </si>
  <si>
    <t>ÇKS-2026-0091</t>
  </si>
  <si>
    <t>Yağmur suyu hattı onarımı</t>
  </si>
  <si>
    <t>Açıklama: Sarı hücreler veri girişi içindir. 'Çıkış' hareketlerinde Talep Eden Müdürlük doldurulmalıdır.</t>
  </si>
  <si>
    <t>KARS BELEDİYESİ MALZEME STOK DURUMU</t>
  </si>
  <si>
    <t>Malzeme Tanımlama ve Stok Hareketleri sayfalarından otomatik hesaplanır</t>
  </si>
  <si>
    <t>Toplam Giriş</t>
  </si>
  <si>
    <t>Toplam Çıkış</t>
  </si>
  <si>
    <t>Mevcut Stok</t>
  </si>
  <si>
    <t>Durum</t>
  </si>
  <si>
    <t>Not: KRİTİK = mevcut stok kritik seviyenin altında/eşit, DİKKAT = kritik seviyenin %0-30 üzerinde, NORMAL = %30 üzeri.</t>
  </si>
  <si>
    <t>KARS BELEDİYESİ AYLIK MALZEME HAREKET RAPORU</t>
  </si>
  <si>
    <t>Kategori Seçin:</t>
  </si>
  <si>
    <t>İnşaat Malzemesi</t>
  </si>
  <si>
    <t>Ay Seçin:</t>
  </si>
  <si>
    <t>Ocak</t>
  </si>
  <si>
    <t>Aya Ait Giriş</t>
  </si>
  <si>
    <t>Aya Ait Çıkış</t>
  </si>
  <si>
    <t>Net Hareket</t>
  </si>
  <si>
    <t>Dönem Sonu Stok</t>
  </si>
  <si>
    <t>TOPLAM</t>
  </si>
  <si>
    <t>Not: Boş satırlar seçilen kategoriye ait malzeme bulunmadığını gösterir, göz ardı edilebilir.</t>
  </si>
  <si>
    <t>Kars Belediyesi Fen İşleri Müdürlüğü</t>
  </si>
  <si>
    <t>Hazırlayan</t>
  </si>
  <si>
    <t>Kontrol Eden</t>
  </si>
  <si>
    <t>Onaylayan</t>
  </si>
  <si>
    <t>PARAMETRELER (Açılır Liste Kaynakları)</t>
  </si>
  <si>
    <t>Müdürlükler</t>
  </si>
  <si>
    <t>Fen İşleri Müdürlüğü</t>
  </si>
  <si>
    <t>Giriş</t>
  </si>
  <si>
    <t>Elektrik Malzemesi</t>
  </si>
  <si>
    <t>Kg</t>
  </si>
  <si>
    <t>Fen İşleri Şantiye Deposu</t>
  </si>
  <si>
    <t>Şubat</t>
  </si>
  <si>
    <t>İmar ve Şehircilik Müdürlüğü</t>
  </si>
  <si>
    <t>Lt</t>
  </si>
  <si>
    <t>Beton Santrali Deposu</t>
  </si>
  <si>
    <t>Mart</t>
  </si>
  <si>
    <t>Temizlik İşleri Müdürlüğü</t>
  </si>
  <si>
    <t>Boya/Kimyasal</t>
  </si>
  <si>
    <t>Metre</t>
  </si>
  <si>
    <t>Asfalt Plent Deposu</t>
  </si>
  <si>
    <t>Nisan</t>
  </si>
  <si>
    <t>Park ve Bahçeler Müdürlüğü</t>
  </si>
  <si>
    <t>Yedek Parça (Araç/İş Makinesi)</t>
  </si>
  <si>
    <t>M²</t>
  </si>
  <si>
    <t>Araç Bakım Atölyesi Deposu</t>
  </si>
  <si>
    <t>Mayıs</t>
  </si>
  <si>
    <t>Zabıta Müdürlüğü</t>
  </si>
  <si>
    <t>El Aletleri</t>
  </si>
  <si>
    <t>M³</t>
  </si>
  <si>
    <t>Haziran</t>
  </si>
  <si>
    <t>Mali Hizmetler Müdürlüğü</t>
  </si>
  <si>
    <t>Kırtasiye/Ofis Malzemesi</t>
  </si>
  <si>
    <t>Paket</t>
  </si>
  <si>
    <t>Temmuz</t>
  </si>
  <si>
    <t>İnsan Kaynakları Müdürlüğü</t>
  </si>
  <si>
    <t>Temizlik Malzemesi</t>
  </si>
  <si>
    <t>Kutu</t>
  </si>
  <si>
    <t>Ağustos</t>
  </si>
  <si>
    <t>Destek Hizmetleri Müdürlüğü</t>
  </si>
  <si>
    <t>İş Güvenliği Malzemesi (KKD)</t>
  </si>
  <si>
    <t>Rulo</t>
  </si>
  <si>
    <t>Eylül</t>
  </si>
  <si>
    <t>Kültür ve Sosyal İşler Müdürlüğü</t>
  </si>
  <si>
    <t>Kaynak/Metal Malzemesi</t>
  </si>
  <si>
    <t>Takım</t>
  </si>
  <si>
    <t>Ekim</t>
  </si>
  <si>
    <t>Veteriner İşleri Müdürlüğü</t>
  </si>
  <si>
    <t>Diğer</t>
  </si>
  <si>
    <t>Ton</t>
  </si>
  <si>
    <t>Kasım</t>
  </si>
  <si>
    <t>Yazı İşleri Müdürlüğü</t>
  </si>
  <si>
    <t>Aralık</t>
  </si>
  <si>
    <t>Ulaşım Hizmetleri Müdürlüğü</t>
  </si>
  <si>
    <t>Emlak ve İstimlak Müdürlüğü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</si>
</sst>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TL&quot;"/>
    <numFmt numFmtId="165" formatCode="dd\.mm\.yyyy"/>
  </numFmts>
  <fonts count="8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808080"/>
      <name val="Arial"/>
      <charset val="1"/>
    </font>
    <font>
      <b/>
      <sz val="10"/>
      <name val="Arial"/>
      <charset val="1"/>
    </font>
    <font>
      <b/>
      <sz val="13"/>
      <color rgb="FF1F3864"/>
      <name val="Arial"/>
      <charset val="1"/>
    </font>
    <font>
      <b/>
      <sz val="10"/>
      <color rgb="FFFF000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EB9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164" fontId="3" fillId="3" borderId="1" xfId="0" applyNumberFormat="1" applyFont="1" applyFill="1" applyBorder="1"/>
    <xf numFmtId="0" fontId="4" fillId="0" borderId="0" xfId="0" applyFont="1"/>
    <xf numFmtId="0" fontId="3" fillId="0" borderId="1" xfId="0" applyFont="1" applyBorder="1"/>
    <xf numFmtId="165" fontId="3" fillId="3" borderId="1" xfId="0" applyNumberFormat="1" applyFont="1" applyFill="1" applyBorder="1"/>
    <xf numFmtId="0" fontId="0" fillId="0" borderId="1" xfId="0" applyBorder="1"/>
    <xf numFmtId="0" fontId="5" fillId="0" borderId="0" xfId="0" applyFont="1"/>
    <xf numFmtId="0" fontId="5" fillId="4" borderId="1" xfId="0" applyFont="1" applyFill="1" applyBorder="1"/>
    <xf numFmtId="0" fontId="0" fillId="4" borderId="1" xfId="0" applyFill="1" applyBorder="1"/>
    <xf numFmtId="0" fontId="6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2" xfId="0" applyBorder="1" applyAlignment="1"/>
    <xf numFmtId="0" fontId="7" fillId="0" borderId="0" xfId="0" applyFont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90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H303"/>
  <sheetViews>
    <sheetView showGridLines="0" zoomScaleNormal="100" workbookViewId="0">
      <pane ySplit="4" topLeftCell="A5" activePane="bottomLeft" state="frozen"/>
      <selection pane="bottomLeft" activeCell="A2" sqref="A2:H2"/>
    </sheetView>
  </sheetViews>
  <sheetFormatPr defaultColWidth="8.6640625" defaultRowHeight="14.4" x14ac:dyDescent="0.3"/>
  <cols>
    <col min="1" max="1" width="14" customWidth="1"/>
    <col min="2" max="2" width="30" customWidth="1"/>
    <col min="3" max="3" width="24" customWidth="1"/>
    <col min="4" max="4" width="10" customWidth="1"/>
    <col min="5" max="5" width="24" customWidth="1"/>
    <col min="6" max="6" width="16" customWidth="1"/>
    <col min="7" max="7" width="14" customWidth="1"/>
    <col min="8" max="8" width="26" customWidth="1"/>
  </cols>
  <sheetData>
    <row r="1" spans="1:8" ht="27.7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.75" customHeight="1" x14ac:dyDescent="0.3">
      <c r="A2" s="17" t="s">
        <v>1</v>
      </c>
      <c r="B2" s="17"/>
      <c r="C2" s="17"/>
      <c r="D2" s="17"/>
      <c r="E2" s="17"/>
      <c r="F2" s="17"/>
      <c r="G2" s="17"/>
      <c r="H2" s="17"/>
    </row>
    <row r="4" spans="1:8" ht="21.7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>
        <v>50</v>
      </c>
      <c r="G5" s="3">
        <v>285</v>
      </c>
      <c r="H5" s="2" t="s">
        <v>15</v>
      </c>
    </row>
    <row r="6" spans="1:8" x14ac:dyDescent="0.3">
      <c r="A6" s="2"/>
      <c r="B6" s="2"/>
      <c r="C6" s="2"/>
      <c r="D6" s="2"/>
      <c r="E6" s="2"/>
      <c r="F6" s="2"/>
      <c r="G6" s="3"/>
      <c r="H6" s="2"/>
    </row>
    <row r="7" spans="1:8" x14ac:dyDescent="0.3">
      <c r="A7" s="2"/>
      <c r="B7" s="2"/>
      <c r="C7" s="2"/>
      <c r="D7" s="2"/>
      <c r="E7" s="2"/>
      <c r="F7" s="2"/>
      <c r="G7" s="3"/>
      <c r="H7" s="2"/>
    </row>
    <row r="8" spans="1:8" x14ac:dyDescent="0.3">
      <c r="A8" s="2"/>
      <c r="B8" s="2"/>
      <c r="C8" s="2"/>
      <c r="D8" s="2"/>
      <c r="E8" s="2"/>
      <c r="F8" s="2"/>
      <c r="G8" s="3"/>
      <c r="H8" s="2"/>
    </row>
    <row r="9" spans="1:8" x14ac:dyDescent="0.3">
      <c r="A9" s="2"/>
      <c r="B9" s="2"/>
      <c r="C9" s="2"/>
      <c r="D9" s="2"/>
      <c r="E9" s="2"/>
      <c r="F9" s="2"/>
      <c r="G9" s="3"/>
      <c r="H9" s="2"/>
    </row>
    <row r="10" spans="1:8" x14ac:dyDescent="0.3">
      <c r="A10" s="2"/>
      <c r="B10" s="2"/>
      <c r="C10" s="2"/>
      <c r="D10" s="2"/>
      <c r="E10" s="2"/>
      <c r="F10" s="2"/>
      <c r="G10" s="3"/>
      <c r="H10" s="2"/>
    </row>
    <row r="11" spans="1:8" x14ac:dyDescent="0.3">
      <c r="A11" s="2"/>
      <c r="B11" s="2"/>
      <c r="C11" s="2"/>
      <c r="D11" s="2"/>
      <c r="E11" s="2"/>
      <c r="F11" s="2"/>
      <c r="G11" s="3"/>
      <c r="H11" s="2"/>
    </row>
    <row r="12" spans="1:8" x14ac:dyDescent="0.3">
      <c r="A12" s="2"/>
      <c r="B12" s="2"/>
      <c r="C12" s="2"/>
      <c r="D12" s="2"/>
      <c r="E12" s="2"/>
      <c r="F12" s="2"/>
      <c r="G12" s="3"/>
      <c r="H12" s="2"/>
    </row>
    <row r="13" spans="1:8" x14ac:dyDescent="0.3">
      <c r="A13" s="2"/>
      <c r="B13" s="2"/>
      <c r="C13" s="2"/>
      <c r="D13" s="2"/>
      <c r="E13" s="2"/>
      <c r="F13" s="2"/>
      <c r="G13" s="3"/>
      <c r="H13" s="2"/>
    </row>
    <row r="14" spans="1:8" x14ac:dyDescent="0.3">
      <c r="A14" s="2"/>
      <c r="B14" s="2"/>
      <c r="C14" s="2"/>
      <c r="D14" s="2"/>
      <c r="E14" s="2"/>
      <c r="F14" s="2"/>
      <c r="G14" s="3"/>
      <c r="H14" s="2"/>
    </row>
    <row r="15" spans="1:8" x14ac:dyDescent="0.3">
      <c r="A15" s="2"/>
      <c r="B15" s="2"/>
      <c r="C15" s="2"/>
      <c r="D15" s="2"/>
      <c r="E15" s="2"/>
      <c r="F15" s="2"/>
      <c r="G15" s="3"/>
      <c r="H15" s="2"/>
    </row>
    <row r="16" spans="1:8" x14ac:dyDescent="0.3">
      <c r="A16" s="2"/>
      <c r="B16" s="2"/>
      <c r="C16" s="2"/>
      <c r="D16" s="2"/>
      <c r="E16" s="2"/>
      <c r="F16" s="2"/>
      <c r="G16" s="3"/>
      <c r="H16" s="2"/>
    </row>
    <row r="17" spans="1:8" x14ac:dyDescent="0.3">
      <c r="A17" s="2"/>
      <c r="B17" s="2"/>
      <c r="C17" s="2"/>
      <c r="D17" s="2"/>
      <c r="E17" s="2"/>
      <c r="F17" s="2"/>
      <c r="G17" s="3"/>
      <c r="H17" s="2"/>
    </row>
    <row r="18" spans="1:8" x14ac:dyDescent="0.3">
      <c r="A18" s="2"/>
      <c r="B18" s="2"/>
      <c r="C18" s="2"/>
      <c r="D18" s="2"/>
      <c r="E18" s="2"/>
      <c r="F18" s="2"/>
      <c r="G18" s="3"/>
      <c r="H18" s="2"/>
    </row>
    <row r="19" spans="1:8" x14ac:dyDescent="0.3">
      <c r="A19" s="2"/>
      <c r="B19" s="2"/>
      <c r="C19" s="2"/>
      <c r="D19" s="2"/>
      <c r="E19" s="2"/>
      <c r="F19" s="2"/>
      <c r="G19" s="3"/>
      <c r="H19" s="2"/>
    </row>
    <row r="20" spans="1:8" x14ac:dyDescent="0.3">
      <c r="A20" s="2"/>
      <c r="B20" s="2"/>
      <c r="C20" s="2"/>
      <c r="D20" s="2"/>
      <c r="E20" s="2"/>
      <c r="F20" s="2"/>
      <c r="G20" s="3"/>
      <c r="H20" s="2"/>
    </row>
    <row r="21" spans="1:8" x14ac:dyDescent="0.3">
      <c r="A21" s="2"/>
      <c r="B21" s="2"/>
      <c r="C21" s="2"/>
      <c r="D21" s="2"/>
      <c r="E21" s="2"/>
      <c r="F21" s="2"/>
      <c r="G21" s="3"/>
      <c r="H21" s="2"/>
    </row>
    <row r="22" spans="1:8" x14ac:dyDescent="0.3">
      <c r="A22" s="2"/>
      <c r="B22" s="2"/>
      <c r="C22" s="2"/>
      <c r="D22" s="2"/>
      <c r="E22" s="2"/>
      <c r="F22" s="2"/>
      <c r="G22" s="3"/>
      <c r="H22" s="2"/>
    </row>
    <row r="23" spans="1:8" x14ac:dyDescent="0.3">
      <c r="A23" s="2"/>
      <c r="B23" s="2"/>
      <c r="C23" s="2"/>
      <c r="D23" s="2"/>
      <c r="E23" s="2"/>
      <c r="F23" s="2"/>
      <c r="G23" s="3"/>
      <c r="H23" s="2"/>
    </row>
    <row r="24" spans="1:8" x14ac:dyDescent="0.3">
      <c r="A24" s="2"/>
      <c r="B24" s="2"/>
      <c r="C24" s="2"/>
      <c r="D24" s="2"/>
      <c r="E24" s="2"/>
      <c r="F24" s="2"/>
      <c r="G24" s="3"/>
      <c r="H24" s="2"/>
    </row>
    <row r="25" spans="1:8" x14ac:dyDescent="0.3">
      <c r="A25" s="2"/>
      <c r="B25" s="2"/>
      <c r="C25" s="2"/>
      <c r="D25" s="2"/>
      <c r="E25" s="2"/>
      <c r="F25" s="2"/>
      <c r="G25" s="3"/>
      <c r="H25" s="2"/>
    </row>
    <row r="26" spans="1:8" x14ac:dyDescent="0.3">
      <c r="A26" s="2"/>
      <c r="B26" s="2"/>
      <c r="C26" s="2"/>
      <c r="D26" s="2"/>
      <c r="E26" s="2"/>
      <c r="F26" s="2"/>
      <c r="G26" s="3"/>
      <c r="H26" s="2"/>
    </row>
    <row r="27" spans="1:8" x14ac:dyDescent="0.3">
      <c r="A27" s="2"/>
      <c r="B27" s="2"/>
      <c r="C27" s="2"/>
      <c r="D27" s="2"/>
      <c r="E27" s="2"/>
      <c r="F27" s="2"/>
      <c r="G27" s="3"/>
      <c r="H27" s="2"/>
    </row>
    <row r="28" spans="1:8" x14ac:dyDescent="0.3">
      <c r="A28" s="2"/>
      <c r="B28" s="2"/>
      <c r="C28" s="2"/>
      <c r="D28" s="2"/>
      <c r="E28" s="2"/>
      <c r="F28" s="2"/>
      <c r="G28" s="3"/>
      <c r="H28" s="2"/>
    </row>
    <row r="29" spans="1:8" x14ac:dyDescent="0.3">
      <c r="A29" s="2"/>
      <c r="B29" s="2"/>
      <c r="C29" s="2"/>
      <c r="D29" s="2"/>
      <c r="E29" s="2"/>
      <c r="F29" s="2"/>
      <c r="G29" s="3"/>
      <c r="H29" s="2"/>
    </row>
    <row r="30" spans="1:8" x14ac:dyDescent="0.3">
      <c r="A30" s="2"/>
      <c r="B30" s="2"/>
      <c r="C30" s="2"/>
      <c r="D30" s="2"/>
      <c r="E30" s="2"/>
      <c r="F30" s="2"/>
      <c r="G30" s="3"/>
      <c r="H30" s="2"/>
    </row>
    <row r="31" spans="1:8" x14ac:dyDescent="0.3">
      <c r="A31" s="2"/>
      <c r="B31" s="2"/>
      <c r="C31" s="2"/>
      <c r="D31" s="2"/>
      <c r="E31" s="2"/>
      <c r="F31" s="2"/>
      <c r="G31" s="3"/>
      <c r="H31" s="2"/>
    </row>
    <row r="32" spans="1:8" x14ac:dyDescent="0.3">
      <c r="A32" s="2"/>
      <c r="B32" s="2"/>
      <c r="C32" s="2"/>
      <c r="D32" s="2"/>
      <c r="E32" s="2"/>
      <c r="F32" s="2"/>
      <c r="G32" s="3"/>
      <c r="H32" s="2"/>
    </row>
    <row r="33" spans="1:8" x14ac:dyDescent="0.3">
      <c r="A33" s="2"/>
      <c r="B33" s="2"/>
      <c r="C33" s="2"/>
      <c r="D33" s="2"/>
      <c r="E33" s="2"/>
      <c r="F33" s="2"/>
      <c r="G33" s="3"/>
      <c r="H33" s="2"/>
    </row>
    <row r="34" spans="1:8" x14ac:dyDescent="0.3">
      <c r="A34" s="2"/>
      <c r="B34" s="2"/>
      <c r="C34" s="2"/>
      <c r="D34" s="2"/>
      <c r="E34" s="2"/>
      <c r="F34" s="2"/>
      <c r="G34" s="3"/>
      <c r="H34" s="2"/>
    </row>
    <row r="35" spans="1:8" x14ac:dyDescent="0.3">
      <c r="A35" s="2"/>
      <c r="B35" s="2"/>
      <c r="C35" s="2"/>
      <c r="D35" s="2"/>
      <c r="E35" s="2"/>
      <c r="F35" s="2"/>
      <c r="G35" s="3"/>
      <c r="H35" s="2"/>
    </row>
    <row r="36" spans="1:8" x14ac:dyDescent="0.3">
      <c r="A36" s="2"/>
      <c r="B36" s="2"/>
      <c r="C36" s="2"/>
      <c r="D36" s="2"/>
      <c r="E36" s="2"/>
      <c r="F36" s="2"/>
      <c r="G36" s="3"/>
      <c r="H36" s="2"/>
    </row>
    <row r="37" spans="1:8" x14ac:dyDescent="0.3">
      <c r="A37" s="2"/>
      <c r="B37" s="2"/>
      <c r="C37" s="2"/>
      <c r="D37" s="2"/>
      <c r="E37" s="2"/>
      <c r="F37" s="2"/>
      <c r="G37" s="3"/>
      <c r="H37" s="2"/>
    </row>
    <row r="38" spans="1:8" x14ac:dyDescent="0.3">
      <c r="A38" s="2"/>
      <c r="B38" s="2"/>
      <c r="C38" s="2"/>
      <c r="D38" s="2"/>
      <c r="E38" s="2"/>
      <c r="F38" s="2"/>
      <c r="G38" s="3"/>
      <c r="H38" s="2"/>
    </row>
    <row r="39" spans="1:8" x14ac:dyDescent="0.3">
      <c r="A39" s="2"/>
      <c r="B39" s="2"/>
      <c r="C39" s="2"/>
      <c r="D39" s="2"/>
      <c r="E39" s="2"/>
      <c r="F39" s="2"/>
      <c r="G39" s="3"/>
      <c r="H39" s="2"/>
    </row>
    <row r="40" spans="1:8" x14ac:dyDescent="0.3">
      <c r="A40" s="2"/>
      <c r="B40" s="2"/>
      <c r="C40" s="2"/>
      <c r="D40" s="2"/>
      <c r="E40" s="2"/>
      <c r="F40" s="2"/>
      <c r="G40" s="3"/>
      <c r="H40" s="2"/>
    </row>
    <row r="41" spans="1:8" x14ac:dyDescent="0.3">
      <c r="A41" s="2"/>
      <c r="B41" s="2"/>
      <c r="C41" s="2"/>
      <c r="D41" s="2"/>
      <c r="E41" s="2"/>
      <c r="F41" s="2"/>
      <c r="G41" s="3"/>
      <c r="H41" s="2"/>
    </row>
    <row r="42" spans="1:8" x14ac:dyDescent="0.3">
      <c r="A42" s="2"/>
      <c r="B42" s="2"/>
      <c r="C42" s="2"/>
      <c r="D42" s="2"/>
      <c r="E42" s="2"/>
      <c r="F42" s="2"/>
      <c r="G42" s="3"/>
      <c r="H42" s="2"/>
    </row>
    <row r="43" spans="1:8" x14ac:dyDescent="0.3">
      <c r="A43" s="2"/>
      <c r="B43" s="2"/>
      <c r="C43" s="2"/>
      <c r="D43" s="2"/>
      <c r="E43" s="2"/>
      <c r="F43" s="2"/>
      <c r="G43" s="3"/>
      <c r="H43" s="2"/>
    </row>
    <row r="44" spans="1:8" x14ac:dyDescent="0.3">
      <c r="A44" s="2"/>
      <c r="B44" s="2"/>
      <c r="C44" s="2"/>
      <c r="D44" s="2"/>
      <c r="E44" s="2"/>
      <c r="F44" s="2"/>
      <c r="G44" s="3"/>
      <c r="H44" s="2"/>
    </row>
    <row r="45" spans="1:8" x14ac:dyDescent="0.3">
      <c r="A45" s="2"/>
      <c r="B45" s="2"/>
      <c r="C45" s="2"/>
      <c r="D45" s="2"/>
      <c r="E45" s="2"/>
      <c r="F45" s="2"/>
      <c r="G45" s="3"/>
      <c r="H45" s="2"/>
    </row>
    <row r="46" spans="1:8" x14ac:dyDescent="0.3">
      <c r="A46" s="2"/>
      <c r="B46" s="2"/>
      <c r="C46" s="2"/>
      <c r="D46" s="2"/>
      <c r="E46" s="2"/>
      <c r="F46" s="2"/>
      <c r="G46" s="3"/>
      <c r="H46" s="2"/>
    </row>
    <row r="47" spans="1:8" x14ac:dyDescent="0.3">
      <c r="A47" s="2"/>
      <c r="B47" s="2"/>
      <c r="C47" s="2"/>
      <c r="D47" s="2"/>
      <c r="E47" s="2"/>
      <c r="F47" s="2"/>
      <c r="G47" s="3"/>
      <c r="H47" s="2"/>
    </row>
    <row r="48" spans="1:8" x14ac:dyDescent="0.3">
      <c r="A48" s="2"/>
      <c r="B48" s="2"/>
      <c r="C48" s="2"/>
      <c r="D48" s="2"/>
      <c r="E48" s="2"/>
      <c r="F48" s="2"/>
      <c r="G48" s="3"/>
      <c r="H48" s="2"/>
    </row>
    <row r="49" spans="1:8" x14ac:dyDescent="0.3">
      <c r="A49" s="2"/>
      <c r="B49" s="2"/>
      <c r="C49" s="2"/>
      <c r="D49" s="2"/>
      <c r="E49" s="2"/>
      <c r="F49" s="2"/>
      <c r="G49" s="3"/>
      <c r="H49" s="2"/>
    </row>
    <row r="50" spans="1:8" x14ac:dyDescent="0.3">
      <c r="A50" s="2"/>
      <c r="B50" s="2"/>
      <c r="C50" s="2"/>
      <c r="D50" s="2"/>
      <c r="E50" s="2"/>
      <c r="F50" s="2"/>
      <c r="G50" s="3"/>
      <c r="H50" s="2"/>
    </row>
    <row r="51" spans="1:8" x14ac:dyDescent="0.3">
      <c r="A51" s="2"/>
      <c r="B51" s="2"/>
      <c r="C51" s="2"/>
      <c r="D51" s="2"/>
      <c r="E51" s="2"/>
      <c r="F51" s="2"/>
      <c r="G51" s="3"/>
      <c r="H51" s="2"/>
    </row>
    <row r="52" spans="1:8" x14ac:dyDescent="0.3">
      <c r="A52" s="2"/>
      <c r="B52" s="2"/>
      <c r="C52" s="2"/>
      <c r="D52" s="2"/>
      <c r="E52" s="2"/>
      <c r="F52" s="2"/>
      <c r="G52" s="3"/>
      <c r="H52" s="2"/>
    </row>
    <row r="53" spans="1:8" x14ac:dyDescent="0.3">
      <c r="A53" s="2"/>
      <c r="B53" s="2"/>
      <c r="C53" s="2"/>
      <c r="D53" s="2"/>
      <c r="E53" s="2"/>
      <c r="F53" s="2"/>
      <c r="G53" s="3"/>
      <c r="H53" s="2"/>
    </row>
    <row r="54" spans="1:8" x14ac:dyDescent="0.3">
      <c r="A54" s="2"/>
      <c r="B54" s="2"/>
      <c r="C54" s="2"/>
      <c r="D54" s="2"/>
      <c r="E54" s="2"/>
      <c r="F54" s="2"/>
      <c r="G54" s="3"/>
      <c r="H54" s="2"/>
    </row>
    <row r="55" spans="1:8" x14ac:dyDescent="0.3">
      <c r="A55" s="2"/>
      <c r="B55" s="2"/>
      <c r="C55" s="2"/>
      <c r="D55" s="2"/>
      <c r="E55" s="2"/>
      <c r="F55" s="2"/>
      <c r="G55" s="3"/>
      <c r="H55" s="2"/>
    </row>
    <row r="56" spans="1:8" x14ac:dyDescent="0.3">
      <c r="A56" s="2"/>
      <c r="B56" s="2"/>
      <c r="C56" s="2"/>
      <c r="D56" s="2"/>
      <c r="E56" s="2"/>
      <c r="F56" s="2"/>
      <c r="G56" s="3"/>
      <c r="H56" s="2"/>
    </row>
    <row r="57" spans="1:8" x14ac:dyDescent="0.3">
      <c r="A57" s="2"/>
      <c r="B57" s="2"/>
      <c r="C57" s="2"/>
      <c r="D57" s="2"/>
      <c r="E57" s="2"/>
      <c r="F57" s="2"/>
      <c r="G57" s="3"/>
      <c r="H57" s="2"/>
    </row>
    <row r="58" spans="1:8" x14ac:dyDescent="0.3">
      <c r="A58" s="2"/>
      <c r="B58" s="2"/>
      <c r="C58" s="2"/>
      <c r="D58" s="2"/>
      <c r="E58" s="2"/>
      <c r="F58" s="2"/>
      <c r="G58" s="3"/>
      <c r="H58" s="2"/>
    </row>
    <row r="59" spans="1:8" x14ac:dyDescent="0.3">
      <c r="A59" s="2"/>
      <c r="B59" s="2"/>
      <c r="C59" s="2"/>
      <c r="D59" s="2"/>
      <c r="E59" s="2"/>
      <c r="F59" s="2"/>
      <c r="G59" s="3"/>
      <c r="H59" s="2"/>
    </row>
    <row r="60" spans="1:8" x14ac:dyDescent="0.3">
      <c r="A60" s="2"/>
      <c r="B60" s="2"/>
      <c r="C60" s="2"/>
      <c r="D60" s="2"/>
      <c r="E60" s="2"/>
      <c r="F60" s="2"/>
      <c r="G60" s="3"/>
      <c r="H60" s="2"/>
    </row>
    <row r="61" spans="1:8" x14ac:dyDescent="0.3">
      <c r="A61" s="2"/>
      <c r="B61" s="2"/>
      <c r="C61" s="2"/>
      <c r="D61" s="2"/>
      <c r="E61" s="2"/>
      <c r="F61" s="2"/>
      <c r="G61" s="3"/>
      <c r="H61" s="2"/>
    </row>
    <row r="62" spans="1:8" x14ac:dyDescent="0.3">
      <c r="A62" s="2"/>
      <c r="B62" s="2"/>
      <c r="C62" s="2"/>
      <c r="D62" s="2"/>
      <c r="E62" s="2"/>
      <c r="F62" s="2"/>
      <c r="G62" s="3"/>
      <c r="H62" s="2"/>
    </row>
    <row r="63" spans="1:8" x14ac:dyDescent="0.3">
      <c r="A63" s="2"/>
      <c r="B63" s="2"/>
      <c r="C63" s="2"/>
      <c r="D63" s="2"/>
      <c r="E63" s="2"/>
      <c r="F63" s="2"/>
      <c r="G63" s="3"/>
      <c r="H63" s="2"/>
    </row>
    <row r="64" spans="1:8" x14ac:dyDescent="0.3">
      <c r="A64" s="2"/>
      <c r="B64" s="2"/>
      <c r="C64" s="2"/>
      <c r="D64" s="2"/>
      <c r="E64" s="2"/>
      <c r="F64" s="2"/>
      <c r="G64" s="3"/>
      <c r="H64" s="2"/>
    </row>
    <row r="65" spans="1:8" x14ac:dyDescent="0.3">
      <c r="A65" s="2"/>
      <c r="B65" s="2"/>
      <c r="C65" s="2"/>
      <c r="D65" s="2"/>
      <c r="E65" s="2"/>
      <c r="F65" s="2"/>
      <c r="G65" s="3"/>
      <c r="H65" s="2"/>
    </row>
    <row r="66" spans="1:8" x14ac:dyDescent="0.3">
      <c r="A66" s="2"/>
      <c r="B66" s="2"/>
      <c r="C66" s="2"/>
      <c r="D66" s="2"/>
      <c r="E66" s="2"/>
      <c r="F66" s="2"/>
      <c r="G66" s="3"/>
      <c r="H66" s="2"/>
    </row>
    <row r="67" spans="1:8" x14ac:dyDescent="0.3">
      <c r="A67" s="2"/>
      <c r="B67" s="2"/>
      <c r="C67" s="2"/>
      <c r="D67" s="2"/>
      <c r="E67" s="2"/>
      <c r="F67" s="2"/>
      <c r="G67" s="3"/>
      <c r="H67" s="2"/>
    </row>
    <row r="68" spans="1:8" x14ac:dyDescent="0.3">
      <c r="A68" s="2"/>
      <c r="B68" s="2"/>
      <c r="C68" s="2"/>
      <c r="D68" s="2"/>
      <c r="E68" s="2"/>
      <c r="F68" s="2"/>
      <c r="G68" s="3"/>
      <c r="H68" s="2"/>
    </row>
    <row r="69" spans="1:8" x14ac:dyDescent="0.3">
      <c r="A69" s="2"/>
      <c r="B69" s="2"/>
      <c r="C69" s="2"/>
      <c r="D69" s="2"/>
      <c r="E69" s="2"/>
      <c r="F69" s="2"/>
      <c r="G69" s="3"/>
      <c r="H69" s="2"/>
    </row>
    <row r="70" spans="1:8" x14ac:dyDescent="0.3">
      <c r="A70" s="2"/>
      <c r="B70" s="2"/>
      <c r="C70" s="2"/>
      <c r="D70" s="2"/>
      <c r="E70" s="2"/>
      <c r="F70" s="2"/>
      <c r="G70" s="3"/>
      <c r="H70" s="2"/>
    </row>
    <row r="71" spans="1:8" x14ac:dyDescent="0.3">
      <c r="A71" s="2"/>
      <c r="B71" s="2"/>
      <c r="C71" s="2"/>
      <c r="D71" s="2"/>
      <c r="E71" s="2"/>
      <c r="F71" s="2"/>
      <c r="G71" s="3"/>
      <c r="H71" s="2"/>
    </row>
    <row r="72" spans="1:8" x14ac:dyDescent="0.3">
      <c r="A72" s="2"/>
      <c r="B72" s="2"/>
      <c r="C72" s="2"/>
      <c r="D72" s="2"/>
      <c r="E72" s="2"/>
      <c r="F72" s="2"/>
      <c r="G72" s="3"/>
      <c r="H72" s="2"/>
    </row>
    <row r="73" spans="1:8" x14ac:dyDescent="0.3">
      <c r="A73" s="2"/>
      <c r="B73" s="2"/>
      <c r="C73" s="2"/>
      <c r="D73" s="2"/>
      <c r="E73" s="2"/>
      <c r="F73" s="2"/>
      <c r="G73" s="3"/>
      <c r="H73" s="2"/>
    </row>
    <row r="74" spans="1:8" x14ac:dyDescent="0.3">
      <c r="A74" s="2"/>
      <c r="B74" s="2"/>
      <c r="C74" s="2"/>
      <c r="D74" s="2"/>
      <c r="E74" s="2"/>
      <c r="F74" s="2"/>
      <c r="G74" s="3"/>
      <c r="H74" s="2"/>
    </row>
    <row r="75" spans="1:8" x14ac:dyDescent="0.3">
      <c r="A75" s="2"/>
      <c r="B75" s="2"/>
      <c r="C75" s="2"/>
      <c r="D75" s="2"/>
      <c r="E75" s="2"/>
      <c r="F75" s="2"/>
      <c r="G75" s="3"/>
      <c r="H75" s="2"/>
    </row>
    <row r="76" spans="1:8" x14ac:dyDescent="0.3">
      <c r="A76" s="2"/>
      <c r="B76" s="2"/>
      <c r="C76" s="2"/>
      <c r="D76" s="2"/>
      <c r="E76" s="2"/>
      <c r="F76" s="2"/>
      <c r="G76" s="3"/>
      <c r="H76" s="2"/>
    </row>
    <row r="77" spans="1:8" x14ac:dyDescent="0.3">
      <c r="A77" s="2"/>
      <c r="B77" s="2"/>
      <c r="C77" s="2"/>
      <c r="D77" s="2"/>
      <c r="E77" s="2"/>
      <c r="F77" s="2"/>
      <c r="G77" s="3"/>
      <c r="H77" s="2"/>
    </row>
    <row r="78" spans="1:8" x14ac:dyDescent="0.3">
      <c r="A78" s="2"/>
      <c r="B78" s="2"/>
      <c r="C78" s="2"/>
      <c r="D78" s="2"/>
      <c r="E78" s="2"/>
      <c r="F78" s="2"/>
      <c r="G78" s="3"/>
      <c r="H78" s="2"/>
    </row>
    <row r="79" spans="1:8" x14ac:dyDescent="0.3">
      <c r="A79" s="2"/>
      <c r="B79" s="2"/>
      <c r="C79" s="2"/>
      <c r="D79" s="2"/>
      <c r="E79" s="2"/>
      <c r="F79" s="2"/>
      <c r="G79" s="3"/>
      <c r="H79" s="2"/>
    </row>
    <row r="80" spans="1:8" x14ac:dyDescent="0.3">
      <c r="A80" s="2"/>
      <c r="B80" s="2"/>
      <c r="C80" s="2"/>
      <c r="D80" s="2"/>
      <c r="E80" s="2"/>
      <c r="F80" s="2"/>
      <c r="G80" s="3"/>
      <c r="H80" s="2"/>
    </row>
    <row r="81" spans="1:8" x14ac:dyDescent="0.3">
      <c r="A81" s="2"/>
      <c r="B81" s="2"/>
      <c r="C81" s="2"/>
      <c r="D81" s="2"/>
      <c r="E81" s="2"/>
      <c r="F81" s="2"/>
      <c r="G81" s="3"/>
      <c r="H81" s="2"/>
    </row>
    <row r="82" spans="1:8" x14ac:dyDescent="0.3">
      <c r="A82" s="2"/>
      <c r="B82" s="2"/>
      <c r="C82" s="2"/>
      <c r="D82" s="2"/>
      <c r="E82" s="2"/>
      <c r="F82" s="2"/>
      <c r="G82" s="3"/>
      <c r="H82" s="2"/>
    </row>
    <row r="83" spans="1:8" x14ac:dyDescent="0.3">
      <c r="A83" s="2"/>
      <c r="B83" s="2"/>
      <c r="C83" s="2"/>
      <c r="D83" s="2"/>
      <c r="E83" s="2"/>
      <c r="F83" s="2"/>
      <c r="G83" s="3"/>
      <c r="H83" s="2"/>
    </row>
    <row r="84" spans="1:8" x14ac:dyDescent="0.3">
      <c r="A84" s="2"/>
      <c r="B84" s="2"/>
      <c r="C84" s="2"/>
      <c r="D84" s="2"/>
      <c r="E84" s="2"/>
      <c r="F84" s="2"/>
      <c r="G84" s="3"/>
      <c r="H84" s="2"/>
    </row>
    <row r="85" spans="1:8" x14ac:dyDescent="0.3">
      <c r="A85" s="2"/>
      <c r="B85" s="2"/>
      <c r="C85" s="2"/>
      <c r="D85" s="2"/>
      <c r="E85" s="2"/>
      <c r="F85" s="2"/>
      <c r="G85" s="3"/>
      <c r="H85" s="2"/>
    </row>
    <row r="86" spans="1:8" x14ac:dyDescent="0.3">
      <c r="A86" s="2"/>
      <c r="B86" s="2"/>
      <c r="C86" s="2"/>
      <c r="D86" s="2"/>
      <c r="E86" s="2"/>
      <c r="F86" s="2"/>
      <c r="G86" s="3"/>
      <c r="H86" s="2"/>
    </row>
    <row r="87" spans="1:8" x14ac:dyDescent="0.3">
      <c r="A87" s="2"/>
      <c r="B87" s="2"/>
      <c r="C87" s="2"/>
      <c r="D87" s="2"/>
      <c r="E87" s="2"/>
      <c r="F87" s="2"/>
      <c r="G87" s="3"/>
      <c r="H87" s="2"/>
    </row>
    <row r="88" spans="1:8" x14ac:dyDescent="0.3">
      <c r="A88" s="2"/>
      <c r="B88" s="2"/>
      <c r="C88" s="2"/>
      <c r="D88" s="2"/>
      <c r="E88" s="2"/>
      <c r="F88" s="2"/>
      <c r="G88" s="3"/>
      <c r="H88" s="2"/>
    </row>
    <row r="89" spans="1:8" x14ac:dyDescent="0.3">
      <c r="A89" s="2"/>
      <c r="B89" s="2"/>
      <c r="C89" s="2"/>
      <c r="D89" s="2"/>
      <c r="E89" s="2"/>
      <c r="F89" s="2"/>
      <c r="G89" s="3"/>
      <c r="H89" s="2"/>
    </row>
    <row r="90" spans="1:8" x14ac:dyDescent="0.3">
      <c r="A90" s="2"/>
      <c r="B90" s="2"/>
      <c r="C90" s="2"/>
      <c r="D90" s="2"/>
      <c r="E90" s="2"/>
      <c r="F90" s="2"/>
      <c r="G90" s="3"/>
      <c r="H90" s="2"/>
    </row>
    <row r="91" spans="1:8" x14ac:dyDescent="0.3">
      <c r="A91" s="2"/>
      <c r="B91" s="2"/>
      <c r="C91" s="2"/>
      <c r="D91" s="2"/>
      <c r="E91" s="2"/>
      <c r="F91" s="2"/>
      <c r="G91" s="3"/>
      <c r="H91" s="2"/>
    </row>
    <row r="92" spans="1:8" x14ac:dyDescent="0.3">
      <c r="A92" s="2"/>
      <c r="B92" s="2"/>
      <c r="C92" s="2"/>
      <c r="D92" s="2"/>
      <c r="E92" s="2"/>
      <c r="F92" s="2"/>
      <c r="G92" s="3"/>
      <c r="H92" s="2"/>
    </row>
    <row r="93" spans="1:8" x14ac:dyDescent="0.3">
      <c r="A93" s="2"/>
      <c r="B93" s="2"/>
      <c r="C93" s="2"/>
      <c r="D93" s="2"/>
      <c r="E93" s="2"/>
      <c r="F93" s="2"/>
      <c r="G93" s="3"/>
      <c r="H93" s="2"/>
    </row>
    <row r="94" spans="1:8" x14ac:dyDescent="0.3">
      <c r="A94" s="2"/>
      <c r="B94" s="2"/>
      <c r="C94" s="2"/>
      <c r="D94" s="2"/>
      <c r="E94" s="2"/>
      <c r="F94" s="2"/>
      <c r="G94" s="3"/>
      <c r="H94" s="2"/>
    </row>
    <row r="95" spans="1:8" x14ac:dyDescent="0.3">
      <c r="A95" s="2"/>
      <c r="B95" s="2"/>
      <c r="C95" s="2"/>
      <c r="D95" s="2"/>
      <c r="E95" s="2"/>
      <c r="F95" s="2"/>
      <c r="G95" s="3"/>
      <c r="H95" s="2"/>
    </row>
    <row r="96" spans="1:8" x14ac:dyDescent="0.3">
      <c r="A96" s="2"/>
      <c r="B96" s="2"/>
      <c r="C96" s="2"/>
      <c r="D96" s="2"/>
      <c r="E96" s="2"/>
      <c r="F96" s="2"/>
      <c r="G96" s="3"/>
      <c r="H96" s="2"/>
    </row>
    <row r="97" spans="1:8" x14ac:dyDescent="0.3">
      <c r="A97" s="2"/>
      <c r="B97" s="2"/>
      <c r="C97" s="2"/>
      <c r="D97" s="2"/>
      <c r="E97" s="2"/>
      <c r="F97" s="2"/>
      <c r="G97" s="3"/>
      <c r="H97" s="2"/>
    </row>
    <row r="98" spans="1:8" x14ac:dyDescent="0.3">
      <c r="A98" s="2"/>
      <c r="B98" s="2"/>
      <c r="C98" s="2"/>
      <c r="D98" s="2"/>
      <c r="E98" s="2"/>
      <c r="F98" s="2"/>
      <c r="G98" s="3"/>
      <c r="H98" s="2"/>
    </row>
    <row r="99" spans="1:8" x14ac:dyDescent="0.3">
      <c r="A99" s="2"/>
      <c r="B99" s="2"/>
      <c r="C99" s="2"/>
      <c r="D99" s="2"/>
      <c r="E99" s="2"/>
      <c r="F99" s="2"/>
      <c r="G99" s="3"/>
      <c r="H99" s="2"/>
    </row>
    <row r="100" spans="1:8" x14ac:dyDescent="0.3">
      <c r="A100" s="2"/>
      <c r="B100" s="2"/>
      <c r="C100" s="2"/>
      <c r="D100" s="2"/>
      <c r="E100" s="2"/>
      <c r="F100" s="2"/>
      <c r="G100" s="3"/>
      <c r="H100" s="2"/>
    </row>
    <row r="101" spans="1:8" x14ac:dyDescent="0.3">
      <c r="A101" s="2"/>
      <c r="B101" s="2"/>
      <c r="C101" s="2"/>
      <c r="D101" s="2"/>
      <c r="E101" s="2"/>
      <c r="F101" s="2"/>
      <c r="G101" s="3"/>
      <c r="H101" s="2"/>
    </row>
    <row r="102" spans="1:8" x14ac:dyDescent="0.3">
      <c r="A102" s="2"/>
      <c r="B102" s="2"/>
      <c r="C102" s="2"/>
      <c r="D102" s="2"/>
      <c r="E102" s="2"/>
      <c r="F102" s="2"/>
      <c r="G102" s="3"/>
      <c r="H102" s="2"/>
    </row>
    <row r="103" spans="1:8" x14ac:dyDescent="0.3">
      <c r="A103" s="2"/>
      <c r="B103" s="2"/>
      <c r="C103" s="2"/>
      <c r="D103" s="2"/>
      <c r="E103" s="2"/>
      <c r="F103" s="2"/>
      <c r="G103" s="3"/>
      <c r="H103" s="2"/>
    </row>
    <row r="104" spans="1:8" x14ac:dyDescent="0.3">
      <c r="A104" s="2"/>
      <c r="B104" s="2"/>
      <c r="C104" s="2"/>
      <c r="D104" s="2"/>
      <c r="E104" s="2"/>
      <c r="F104" s="2"/>
      <c r="G104" s="3"/>
      <c r="H104" s="2"/>
    </row>
    <row r="105" spans="1:8" x14ac:dyDescent="0.3">
      <c r="A105" s="2"/>
      <c r="B105" s="2"/>
      <c r="C105" s="2"/>
      <c r="D105" s="2"/>
      <c r="E105" s="2"/>
      <c r="F105" s="2"/>
      <c r="G105" s="3"/>
      <c r="H105" s="2"/>
    </row>
    <row r="106" spans="1:8" x14ac:dyDescent="0.3">
      <c r="A106" s="2"/>
      <c r="B106" s="2"/>
      <c r="C106" s="2"/>
      <c r="D106" s="2"/>
      <c r="E106" s="2"/>
      <c r="F106" s="2"/>
      <c r="G106" s="3"/>
      <c r="H106" s="2"/>
    </row>
    <row r="107" spans="1:8" x14ac:dyDescent="0.3">
      <c r="A107" s="2"/>
      <c r="B107" s="2"/>
      <c r="C107" s="2"/>
      <c r="D107" s="2"/>
      <c r="E107" s="2"/>
      <c r="F107" s="2"/>
      <c r="G107" s="3"/>
      <c r="H107" s="2"/>
    </row>
    <row r="108" spans="1:8" x14ac:dyDescent="0.3">
      <c r="A108" s="2"/>
      <c r="B108" s="2"/>
      <c r="C108" s="2"/>
      <c r="D108" s="2"/>
      <c r="E108" s="2"/>
      <c r="F108" s="2"/>
      <c r="G108" s="3"/>
      <c r="H108" s="2"/>
    </row>
    <row r="109" spans="1:8" x14ac:dyDescent="0.3">
      <c r="A109" s="2"/>
      <c r="B109" s="2"/>
      <c r="C109" s="2"/>
      <c r="D109" s="2"/>
      <c r="E109" s="2"/>
      <c r="F109" s="2"/>
      <c r="G109" s="3"/>
      <c r="H109" s="2"/>
    </row>
    <row r="110" spans="1:8" x14ac:dyDescent="0.3">
      <c r="A110" s="2"/>
      <c r="B110" s="2"/>
      <c r="C110" s="2"/>
      <c r="D110" s="2"/>
      <c r="E110" s="2"/>
      <c r="F110" s="2"/>
      <c r="G110" s="3"/>
      <c r="H110" s="2"/>
    </row>
    <row r="111" spans="1:8" x14ac:dyDescent="0.3">
      <c r="A111" s="2"/>
      <c r="B111" s="2"/>
      <c r="C111" s="2"/>
      <c r="D111" s="2"/>
      <c r="E111" s="2"/>
      <c r="F111" s="2"/>
      <c r="G111" s="3"/>
      <c r="H111" s="2"/>
    </row>
    <row r="112" spans="1:8" x14ac:dyDescent="0.3">
      <c r="A112" s="2"/>
      <c r="B112" s="2"/>
      <c r="C112" s="2"/>
      <c r="D112" s="2"/>
      <c r="E112" s="2"/>
      <c r="F112" s="2"/>
      <c r="G112" s="3"/>
      <c r="H112" s="2"/>
    </row>
    <row r="113" spans="1:8" x14ac:dyDescent="0.3">
      <c r="A113" s="2"/>
      <c r="B113" s="2"/>
      <c r="C113" s="2"/>
      <c r="D113" s="2"/>
      <c r="E113" s="2"/>
      <c r="F113" s="2"/>
      <c r="G113" s="3"/>
      <c r="H113" s="2"/>
    </row>
    <row r="114" spans="1:8" x14ac:dyDescent="0.3">
      <c r="A114" s="2"/>
      <c r="B114" s="2"/>
      <c r="C114" s="2"/>
      <c r="D114" s="2"/>
      <c r="E114" s="2"/>
      <c r="F114" s="2"/>
      <c r="G114" s="3"/>
      <c r="H114" s="2"/>
    </row>
    <row r="115" spans="1:8" x14ac:dyDescent="0.3">
      <c r="A115" s="2"/>
      <c r="B115" s="2"/>
      <c r="C115" s="2"/>
      <c r="D115" s="2"/>
      <c r="E115" s="2"/>
      <c r="F115" s="2"/>
      <c r="G115" s="3"/>
      <c r="H115" s="2"/>
    </row>
    <row r="116" spans="1:8" x14ac:dyDescent="0.3">
      <c r="A116" s="2"/>
      <c r="B116" s="2"/>
      <c r="C116" s="2"/>
      <c r="D116" s="2"/>
      <c r="E116" s="2"/>
      <c r="F116" s="2"/>
      <c r="G116" s="3"/>
      <c r="H116" s="2"/>
    </row>
    <row r="117" spans="1:8" x14ac:dyDescent="0.3">
      <c r="A117" s="2"/>
      <c r="B117" s="2"/>
      <c r="C117" s="2"/>
      <c r="D117" s="2"/>
      <c r="E117" s="2"/>
      <c r="F117" s="2"/>
      <c r="G117" s="3"/>
      <c r="H117" s="2"/>
    </row>
    <row r="118" spans="1:8" x14ac:dyDescent="0.3">
      <c r="A118" s="2"/>
      <c r="B118" s="2"/>
      <c r="C118" s="2"/>
      <c r="D118" s="2"/>
      <c r="E118" s="2"/>
      <c r="F118" s="2"/>
      <c r="G118" s="3"/>
      <c r="H118" s="2"/>
    </row>
    <row r="119" spans="1:8" x14ac:dyDescent="0.3">
      <c r="A119" s="2"/>
      <c r="B119" s="2"/>
      <c r="C119" s="2"/>
      <c r="D119" s="2"/>
      <c r="E119" s="2"/>
      <c r="F119" s="2"/>
      <c r="G119" s="3"/>
      <c r="H119" s="2"/>
    </row>
    <row r="120" spans="1:8" x14ac:dyDescent="0.3">
      <c r="A120" s="2"/>
      <c r="B120" s="2"/>
      <c r="C120" s="2"/>
      <c r="D120" s="2"/>
      <c r="E120" s="2"/>
      <c r="F120" s="2"/>
      <c r="G120" s="3"/>
      <c r="H120" s="2"/>
    </row>
    <row r="121" spans="1:8" x14ac:dyDescent="0.3">
      <c r="A121" s="2"/>
      <c r="B121" s="2"/>
      <c r="C121" s="2"/>
      <c r="D121" s="2"/>
      <c r="E121" s="2"/>
      <c r="F121" s="2"/>
      <c r="G121" s="3"/>
      <c r="H121" s="2"/>
    </row>
    <row r="122" spans="1:8" x14ac:dyDescent="0.3">
      <c r="A122" s="2"/>
      <c r="B122" s="2"/>
      <c r="C122" s="2"/>
      <c r="D122" s="2"/>
      <c r="E122" s="2"/>
      <c r="F122" s="2"/>
      <c r="G122" s="3"/>
      <c r="H122" s="2"/>
    </row>
    <row r="123" spans="1:8" x14ac:dyDescent="0.3">
      <c r="A123" s="2"/>
      <c r="B123" s="2"/>
      <c r="C123" s="2"/>
      <c r="D123" s="2"/>
      <c r="E123" s="2"/>
      <c r="F123" s="2"/>
      <c r="G123" s="3"/>
      <c r="H123" s="2"/>
    </row>
    <row r="124" spans="1:8" x14ac:dyDescent="0.3">
      <c r="A124" s="2"/>
      <c r="B124" s="2"/>
      <c r="C124" s="2"/>
      <c r="D124" s="2"/>
      <c r="E124" s="2"/>
      <c r="F124" s="2"/>
      <c r="G124" s="3"/>
      <c r="H124" s="2"/>
    </row>
    <row r="125" spans="1:8" x14ac:dyDescent="0.3">
      <c r="A125" s="2"/>
      <c r="B125" s="2"/>
      <c r="C125" s="2"/>
      <c r="D125" s="2"/>
      <c r="E125" s="2"/>
      <c r="F125" s="2"/>
      <c r="G125" s="3"/>
      <c r="H125" s="2"/>
    </row>
    <row r="126" spans="1:8" x14ac:dyDescent="0.3">
      <c r="A126" s="2"/>
      <c r="B126" s="2"/>
      <c r="C126" s="2"/>
      <c r="D126" s="2"/>
      <c r="E126" s="2"/>
      <c r="F126" s="2"/>
      <c r="G126" s="3"/>
      <c r="H126" s="2"/>
    </row>
    <row r="127" spans="1:8" x14ac:dyDescent="0.3">
      <c r="A127" s="2"/>
      <c r="B127" s="2"/>
      <c r="C127" s="2"/>
      <c r="D127" s="2"/>
      <c r="E127" s="2"/>
      <c r="F127" s="2"/>
      <c r="G127" s="3"/>
      <c r="H127" s="2"/>
    </row>
    <row r="128" spans="1:8" x14ac:dyDescent="0.3">
      <c r="A128" s="2"/>
      <c r="B128" s="2"/>
      <c r="C128" s="2"/>
      <c r="D128" s="2"/>
      <c r="E128" s="2"/>
      <c r="F128" s="2"/>
      <c r="G128" s="3"/>
      <c r="H128" s="2"/>
    </row>
    <row r="129" spans="1:8" x14ac:dyDescent="0.3">
      <c r="A129" s="2"/>
      <c r="B129" s="2"/>
      <c r="C129" s="2"/>
      <c r="D129" s="2"/>
      <c r="E129" s="2"/>
      <c r="F129" s="2"/>
      <c r="G129" s="3"/>
      <c r="H129" s="2"/>
    </row>
    <row r="130" spans="1:8" x14ac:dyDescent="0.3">
      <c r="A130" s="2"/>
      <c r="B130" s="2"/>
      <c r="C130" s="2"/>
      <c r="D130" s="2"/>
      <c r="E130" s="2"/>
      <c r="F130" s="2"/>
      <c r="G130" s="3"/>
      <c r="H130" s="2"/>
    </row>
    <row r="131" spans="1:8" x14ac:dyDescent="0.3">
      <c r="A131" s="2"/>
      <c r="B131" s="2"/>
      <c r="C131" s="2"/>
      <c r="D131" s="2"/>
      <c r="E131" s="2"/>
      <c r="F131" s="2"/>
      <c r="G131" s="3"/>
      <c r="H131" s="2"/>
    </row>
    <row r="132" spans="1:8" x14ac:dyDescent="0.3">
      <c r="A132" s="2"/>
      <c r="B132" s="2"/>
      <c r="C132" s="2"/>
      <c r="D132" s="2"/>
      <c r="E132" s="2"/>
      <c r="F132" s="2"/>
      <c r="G132" s="3"/>
      <c r="H132" s="2"/>
    </row>
    <row r="133" spans="1:8" x14ac:dyDescent="0.3">
      <c r="A133" s="2"/>
      <c r="B133" s="2"/>
      <c r="C133" s="2"/>
      <c r="D133" s="2"/>
      <c r="E133" s="2"/>
      <c r="F133" s="2"/>
      <c r="G133" s="3"/>
      <c r="H133" s="2"/>
    </row>
    <row r="134" spans="1:8" x14ac:dyDescent="0.3">
      <c r="A134" s="2"/>
      <c r="B134" s="2"/>
      <c r="C134" s="2"/>
      <c r="D134" s="2"/>
      <c r="E134" s="2"/>
      <c r="F134" s="2"/>
      <c r="G134" s="3"/>
      <c r="H134" s="2"/>
    </row>
    <row r="135" spans="1:8" x14ac:dyDescent="0.3">
      <c r="A135" s="2"/>
      <c r="B135" s="2"/>
      <c r="C135" s="2"/>
      <c r="D135" s="2"/>
      <c r="E135" s="2"/>
      <c r="F135" s="2"/>
      <c r="G135" s="3"/>
      <c r="H135" s="2"/>
    </row>
    <row r="136" spans="1:8" x14ac:dyDescent="0.3">
      <c r="A136" s="2"/>
      <c r="B136" s="2"/>
      <c r="C136" s="2"/>
      <c r="D136" s="2"/>
      <c r="E136" s="2"/>
      <c r="F136" s="2"/>
      <c r="G136" s="3"/>
      <c r="H136" s="2"/>
    </row>
    <row r="137" spans="1:8" x14ac:dyDescent="0.3">
      <c r="A137" s="2"/>
      <c r="B137" s="2"/>
      <c r="C137" s="2"/>
      <c r="D137" s="2"/>
      <c r="E137" s="2"/>
      <c r="F137" s="2"/>
      <c r="G137" s="3"/>
      <c r="H137" s="2"/>
    </row>
    <row r="138" spans="1:8" x14ac:dyDescent="0.3">
      <c r="A138" s="2"/>
      <c r="B138" s="2"/>
      <c r="C138" s="2"/>
      <c r="D138" s="2"/>
      <c r="E138" s="2"/>
      <c r="F138" s="2"/>
      <c r="G138" s="3"/>
      <c r="H138" s="2"/>
    </row>
    <row r="139" spans="1:8" x14ac:dyDescent="0.3">
      <c r="A139" s="2"/>
      <c r="B139" s="2"/>
      <c r="C139" s="2"/>
      <c r="D139" s="2"/>
      <c r="E139" s="2"/>
      <c r="F139" s="2"/>
      <c r="G139" s="3"/>
      <c r="H139" s="2"/>
    </row>
    <row r="140" spans="1:8" x14ac:dyDescent="0.3">
      <c r="A140" s="2"/>
      <c r="B140" s="2"/>
      <c r="C140" s="2"/>
      <c r="D140" s="2"/>
      <c r="E140" s="2"/>
      <c r="F140" s="2"/>
      <c r="G140" s="3"/>
      <c r="H140" s="2"/>
    </row>
    <row r="141" spans="1:8" x14ac:dyDescent="0.3">
      <c r="A141" s="2"/>
      <c r="B141" s="2"/>
      <c r="C141" s="2"/>
      <c r="D141" s="2"/>
      <c r="E141" s="2"/>
      <c r="F141" s="2"/>
      <c r="G141" s="3"/>
      <c r="H141" s="2"/>
    </row>
    <row r="142" spans="1:8" x14ac:dyDescent="0.3">
      <c r="A142" s="2"/>
      <c r="B142" s="2"/>
      <c r="C142" s="2"/>
      <c r="D142" s="2"/>
      <c r="E142" s="2"/>
      <c r="F142" s="2"/>
      <c r="G142" s="3"/>
      <c r="H142" s="2"/>
    </row>
    <row r="143" spans="1:8" x14ac:dyDescent="0.3">
      <c r="A143" s="2"/>
      <c r="B143" s="2"/>
      <c r="C143" s="2"/>
      <c r="D143" s="2"/>
      <c r="E143" s="2"/>
      <c r="F143" s="2"/>
      <c r="G143" s="3"/>
      <c r="H143" s="2"/>
    </row>
    <row r="144" spans="1:8" x14ac:dyDescent="0.3">
      <c r="A144" s="2"/>
      <c r="B144" s="2"/>
      <c r="C144" s="2"/>
      <c r="D144" s="2"/>
      <c r="E144" s="2"/>
      <c r="F144" s="2"/>
      <c r="G144" s="3"/>
      <c r="H144" s="2"/>
    </row>
    <row r="145" spans="1:8" x14ac:dyDescent="0.3">
      <c r="A145" s="2"/>
      <c r="B145" s="2"/>
      <c r="C145" s="2"/>
      <c r="D145" s="2"/>
      <c r="E145" s="2"/>
      <c r="F145" s="2"/>
      <c r="G145" s="3"/>
      <c r="H145" s="2"/>
    </row>
    <row r="146" spans="1:8" x14ac:dyDescent="0.3">
      <c r="A146" s="2"/>
      <c r="B146" s="2"/>
      <c r="C146" s="2"/>
      <c r="D146" s="2"/>
      <c r="E146" s="2"/>
      <c r="F146" s="2"/>
      <c r="G146" s="3"/>
      <c r="H146" s="2"/>
    </row>
    <row r="147" spans="1:8" x14ac:dyDescent="0.3">
      <c r="A147" s="2"/>
      <c r="B147" s="2"/>
      <c r="C147" s="2"/>
      <c r="D147" s="2"/>
      <c r="E147" s="2"/>
      <c r="F147" s="2"/>
      <c r="G147" s="3"/>
      <c r="H147" s="2"/>
    </row>
    <row r="148" spans="1:8" x14ac:dyDescent="0.3">
      <c r="A148" s="2"/>
      <c r="B148" s="2"/>
      <c r="C148" s="2"/>
      <c r="D148" s="2"/>
      <c r="E148" s="2"/>
      <c r="F148" s="2"/>
      <c r="G148" s="3"/>
      <c r="H148" s="2"/>
    </row>
    <row r="149" spans="1:8" x14ac:dyDescent="0.3">
      <c r="A149" s="2"/>
      <c r="B149" s="2"/>
      <c r="C149" s="2"/>
      <c r="D149" s="2"/>
      <c r="E149" s="2"/>
      <c r="F149" s="2"/>
      <c r="G149" s="3"/>
      <c r="H149" s="2"/>
    </row>
    <row r="150" spans="1:8" x14ac:dyDescent="0.3">
      <c r="A150" s="2"/>
      <c r="B150" s="2"/>
      <c r="C150" s="2"/>
      <c r="D150" s="2"/>
      <c r="E150" s="2"/>
      <c r="F150" s="2"/>
      <c r="G150" s="3"/>
      <c r="H150" s="2"/>
    </row>
    <row r="151" spans="1:8" x14ac:dyDescent="0.3">
      <c r="A151" s="2"/>
      <c r="B151" s="2"/>
      <c r="C151" s="2"/>
      <c r="D151" s="2"/>
      <c r="E151" s="2"/>
      <c r="F151" s="2"/>
      <c r="G151" s="3"/>
      <c r="H151" s="2"/>
    </row>
    <row r="152" spans="1:8" x14ac:dyDescent="0.3">
      <c r="A152" s="2"/>
      <c r="B152" s="2"/>
      <c r="C152" s="2"/>
      <c r="D152" s="2"/>
      <c r="E152" s="2"/>
      <c r="F152" s="2"/>
      <c r="G152" s="3"/>
      <c r="H152" s="2"/>
    </row>
    <row r="153" spans="1:8" x14ac:dyDescent="0.3">
      <c r="A153" s="2"/>
      <c r="B153" s="2"/>
      <c r="C153" s="2"/>
      <c r="D153" s="2"/>
      <c r="E153" s="2"/>
      <c r="F153" s="2"/>
      <c r="G153" s="3"/>
      <c r="H153" s="2"/>
    </row>
    <row r="154" spans="1:8" x14ac:dyDescent="0.3">
      <c r="A154" s="2"/>
      <c r="B154" s="2"/>
      <c r="C154" s="2"/>
      <c r="D154" s="2"/>
      <c r="E154" s="2"/>
      <c r="F154" s="2"/>
      <c r="G154" s="3"/>
      <c r="H154" s="2"/>
    </row>
    <row r="155" spans="1:8" x14ac:dyDescent="0.3">
      <c r="A155" s="2"/>
      <c r="B155" s="2"/>
      <c r="C155" s="2"/>
      <c r="D155" s="2"/>
      <c r="E155" s="2"/>
      <c r="F155" s="2"/>
      <c r="G155" s="3"/>
      <c r="H155" s="2"/>
    </row>
    <row r="156" spans="1:8" x14ac:dyDescent="0.3">
      <c r="A156" s="2"/>
      <c r="B156" s="2"/>
      <c r="C156" s="2"/>
      <c r="D156" s="2"/>
      <c r="E156" s="2"/>
      <c r="F156" s="2"/>
      <c r="G156" s="3"/>
      <c r="H156" s="2"/>
    </row>
    <row r="157" spans="1:8" x14ac:dyDescent="0.3">
      <c r="A157" s="2"/>
      <c r="B157" s="2"/>
      <c r="C157" s="2"/>
      <c r="D157" s="2"/>
      <c r="E157" s="2"/>
      <c r="F157" s="2"/>
      <c r="G157" s="3"/>
      <c r="H157" s="2"/>
    </row>
    <row r="158" spans="1:8" x14ac:dyDescent="0.3">
      <c r="A158" s="2"/>
      <c r="B158" s="2"/>
      <c r="C158" s="2"/>
      <c r="D158" s="2"/>
      <c r="E158" s="2"/>
      <c r="F158" s="2"/>
      <c r="G158" s="3"/>
      <c r="H158" s="2"/>
    </row>
    <row r="159" spans="1:8" x14ac:dyDescent="0.3">
      <c r="A159" s="2"/>
      <c r="B159" s="2"/>
      <c r="C159" s="2"/>
      <c r="D159" s="2"/>
      <c r="E159" s="2"/>
      <c r="F159" s="2"/>
      <c r="G159" s="3"/>
      <c r="H159" s="2"/>
    </row>
    <row r="160" spans="1:8" x14ac:dyDescent="0.3">
      <c r="A160" s="2"/>
      <c r="B160" s="2"/>
      <c r="C160" s="2"/>
      <c r="D160" s="2"/>
      <c r="E160" s="2"/>
      <c r="F160" s="2"/>
      <c r="G160" s="3"/>
      <c r="H160" s="2"/>
    </row>
    <row r="161" spans="1:8" x14ac:dyDescent="0.3">
      <c r="A161" s="2"/>
      <c r="B161" s="2"/>
      <c r="C161" s="2"/>
      <c r="D161" s="2"/>
      <c r="E161" s="2"/>
      <c r="F161" s="2"/>
      <c r="G161" s="3"/>
      <c r="H161" s="2"/>
    </row>
    <row r="162" spans="1:8" x14ac:dyDescent="0.3">
      <c r="A162" s="2"/>
      <c r="B162" s="2"/>
      <c r="C162" s="2"/>
      <c r="D162" s="2"/>
      <c r="E162" s="2"/>
      <c r="F162" s="2"/>
      <c r="G162" s="3"/>
      <c r="H162" s="2"/>
    </row>
    <row r="163" spans="1:8" x14ac:dyDescent="0.3">
      <c r="A163" s="2"/>
      <c r="B163" s="2"/>
      <c r="C163" s="2"/>
      <c r="D163" s="2"/>
      <c r="E163" s="2"/>
      <c r="F163" s="2"/>
      <c r="G163" s="3"/>
      <c r="H163" s="2"/>
    </row>
    <row r="164" spans="1:8" x14ac:dyDescent="0.3">
      <c r="A164" s="2"/>
      <c r="B164" s="2"/>
      <c r="C164" s="2"/>
      <c r="D164" s="2"/>
      <c r="E164" s="2"/>
      <c r="F164" s="2"/>
      <c r="G164" s="3"/>
      <c r="H164" s="2"/>
    </row>
    <row r="165" spans="1:8" x14ac:dyDescent="0.3">
      <c r="A165" s="2"/>
      <c r="B165" s="2"/>
      <c r="C165" s="2"/>
      <c r="D165" s="2"/>
      <c r="E165" s="2"/>
      <c r="F165" s="2"/>
      <c r="G165" s="3"/>
      <c r="H165" s="2"/>
    </row>
    <row r="166" spans="1:8" x14ac:dyDescent="0.3">
      <c r="A166" s="2"/>
      <c r="B166" s="2"/>
      <c r="C166" s="2"/>
      <c r="D166" s="2"/>
      <c r="E166" s="2"/>
      <c r="F166" s="2"/>
      <c r="G166" s="3"/>
      <c r="H166" s="2"/>
    </row>
    <row r="167" spans="1:8" x14ac:dyDescent="0.3">
      <c r="A167" s="2"/>
      <c r="B167" s="2"/>
      <c r="C167" s="2"/>
      <c r="D167" s="2"/>
      <c r="E167" s="2"/>
      <c r="F167" s="2"/>
      <c r="G167" s="3"/>
      <c r="H167" s="2"/>
    </row>
    <row r="168" spans="1:8" x14ac:dyDescent="0.3">
      <c r="A168" s="2"/>
      <c r="B168" s="2"/>
      <c r="C168" s="2"/>
      <c r="D168" s="2"/>
      <c r="E168" s="2"/>
      <c r="F168" s="2"/>
      <c r="G168" s="3"/>
      <c r="H168" s="2"/>
    </row>
    <row r="169" spans="1:8" x14ac:dyDescent="0.3">
      <c r="A169" s="2"/>
      <c r="B169" s="2"/>
      <c r="C169" s="2"/>
      <c r="D169" s="2"/>
      <c r="E169" s="2"/>
      <c r="F169" s="2"/>
      <c r="G169" s="3"/>
      <c r="H169" s="2"/>
    </row>
    <row r="170" spans="1:8" x14ac:dyDescent="0.3">
      <c r="A170" s="2"/>
      <c r="B170" s="2"/>
      <c r="C170" s="2"/>
      <c r="D170" s="2"/>
      <c r="E170" s="2"/>
      <c r="F170" s="2"/>
      <c r="G170" s="3"/>
      <c r="H170" s="2"/>
    </row>
    <row r="171" spans="1:8" x14ac:dyDescent="0.3">
      <c r="A171" s="2"/>
      <c r="B171" s="2"/>
      <c r="C171" s="2"/>
      <c r="D171" s="2"/>
      <c r="E171" s="2"/>
      <c r="F171" s="2"/>
      <c r="G171" s="3"/>
      <c r="H171" s="2"/>
    </row>
    <row r="172" spans="1:8" x14ac:dyDescent="0.3">
      <c r="A172" s="2"/>
      <c r="B172" s="2"/>
      <c r="C172" s="2"/>
      <c r="D172" s="2"/>
      <c r="E172" s="2"/>
      <c r="F172" s="2"/>
      <c r="G172" s="3"/>
      <c r="H172" s="2"/>
    </row>
    <row r="173" spans="1:8" x14ac:dyDescent="0.3">
      <c r="A173" s="2"/>
      <c r="B173" s="2"/>
      <c r="C173" s="2"/>
      <c r="D173" s="2"/>
      <c r="E173" s="2"/>
      <c r="F173" s="2"/>
      <c r="G173" s="3"/>
      <c r="H173" s="2"/>
    </row>
    <row r="174" spans="1:8" x14ac:dyDescent="0.3">
      <c r="A174" s="2"/>
      <c r="B174" s="2"/>
      <c r="C174" s="2"/>
      <c r="D174" s="2"/>
      <c r="E174" s="2"/>
      <c r="F174" s="2"/>
      <c r="G174" s="3"/>
      <c r="H174" s="2"/>
    </row>
    <row r="175" spans="1:8" x14ac:dyDescent="0.3">
      <c r="A175" s="2"/>
      <c r="B175" s="2"/>
      <c r="C175" s="2"/>
      <c r="D175" s="2"/>
      <c r="E175" s="2"/>
      <c r="F175" s="2"/>
      <c r="G175" s="3"/>
      <c r="H175" s="2"/>
    </row>
    <row r="176" spans="1:8" x14ac:dyDescent="0.3">
      <c r="A176" s="2"/>
      <c r="B176" s="2"/>
      <c r="C176" s="2"/>
      <c r="D176" s="2"/>
      <c r="E176" s="2"/>
      <c r="F176" s="2"/>
      <c r="G176" s="3"/>
      <c r="H176" s="2"/>
    </row>
    <row r="177" spans="1:8" x14ac:dyDescent="0.3">
      <c r="A177" s="2"/>
      <c r="B177" s="2"/>
      <c r="C177" s="2"/>
      <c r="D177" s="2"/>
      <c r="E177" s="2"/>
      <c r="F177" s="2"/>
      <c r="G177" s="3"/>
      <c r="H177" s="2"/>
    </row>
    <row r="178" spans="1:8" x14ac:dyDescent="0.3">
      <c r="A178" s="2"/>
      <c r="B178" s="2"/>
      <c r="C178" s="2"/>
      <c r="D178" s="2"/>
      <c r="E178" s="2"/>
      <c r="F178" s="2"/>
      <c r="G178" s="3"/>
      <c r="H178" s="2"/>
    </row>
    <row r="179" spans="1:8" x14ac:dyDescent="0.3">
      <c r="A179" s="2"/>
      <c r="B179" s="2"/>
      <c r="C179" s="2"/>
      <c r="D179" s="2"/>
      <c r="E179" s="2"/>
      <c r="F179" s="2"/>
      <c r="G179" s="3"/>
      <c r="H179" s="2"/>
    </row>
    <row r="180" spans="1:8" x14ac:dyDescent="0.3">
      <c r="A180" s="2"/>
      <c r="B180" s="2"/>
      <c r="C180" s="2"/>
      <c r="D180" s="2"/>
      <c r="E180" s="2"/>
      <c r="F180" s="2"/>
      <c r="G180" s="3"/>
      <c r="H180" s="2"/>
    </row>
    <row r="181" spans="1:8" x14ac:dyDescent="0.3">
      <c r="A181" s="2"/>
      <c r="B181" s="2"/>
      <c r="C181" s="2"/>
      <c r="D181" s="2"/>
      <c r="E181" s="2"/>
      <c r="F181" s="2"/>
      <c r="G181" s="3"/>
      <c r="H181" s="2"/>
    </row>
    <row r="182" spans="1:8" x14ac:dyDescent="0.3">
      <c r="A182" s="2"/>
      <c r="B182" s="2"/>
      <c r="C182" s="2"/>
      <c r="D182" s="2"/>
      <c r="E182" s="2"/>
      <c r="F182" s="2"/>
      <c r="G182" s="3"/>
      <c r="H182" s="2"/>
    </row>
    <row r="183" spans="1:8" x14ac:dyDescent="0.3">
      <c r="A183" s="2"/>
      <c r="B183" s="2"/>
      <c r="C183" s="2"/>
      <c r="D183" s="2"/>
      <c r="E183" s="2"/>
      <c r="F183" s="2"/>
      <c r="G183" s="3"/>
      <c r="H183" s="2"/>
    </row>
    <row r="184" spans="1:8" x14ac:dyDescent="0.3">
      <c r="A184" s="2"/>
      <c r="B184" s="2"/>
      <c r="C184" s="2"/>
      <c r="D184" s="2"/>
      <c r="E184" s="2"/>
      <c r="F184" s="2"/>
      <c r="G184" s="3"/>
      <c r="H184" s="2"/>
    </row>
    <row r="185" spans="1:8" x14ac:dyDescent="0.3">
      <c r="A185" s="2"/>
      <c r="B185" s="2"/>
      <c r="C185" s="2"/>
      <c r="D185" s="2"/>
      <c r="E185" s="2"/>
      <c r="F185" s="2"/>
      <c r="G185" s="3"/>
      <c r="H185" s="2"/>
    </row>
    <row r="186" spans="1:8" x14ac:dyDescent="0.3">
      <c r="A186" s="2"/>
      <c r="B186" s="2"/>
      <c r="C186" s="2"/>
      <c r="D186" s="2"/>
      <c r="E186" s="2"/>
      <c r="F186" s="2"/>
      <c r="G186" s="3"/>
      <c r="H186" s="2"/>
    </row>
    <row r="187" spans="1:8" x14ac:dyDescent="0.3">
      <c r="A187" s="2"/>
      <c r="B187" s="2"/>
      <c r="C187" s="2"/>
      <c r="D187" s="2"/>
      <c r="E187" s="2"/>
      <c r="F187" s="2"/>
      <c r="G187" s="3"/>
      <c r="H187" s="2"/>
    </row>
    <row r="188" spans="1:8" x14ac:dyDescent="0.3">
      <c r="A188" s="2"/>
      <c r="B188" s="2"/>
      <c r="C188" s="2"/>
      <c r="D188" s="2"/>
      <c r="E188" s="2"/>
      <c r="F188" s="2"/>
      <c r="G188" s="3"/>
      <c r="H188" s="2"/>
    </row>
    <row r="189" spans="1:8" x14ac:dyDescent="0.3">
      <c r="A189" s="2"/>
      <c r="B189" s="2"/>
      <c r="C189" s="2"/>
      <c r="D189" s="2"/>
      <c r="E189" s="2"/>
      <c r="F189" s="2"/>
      <c r="G189" s="3"/>
      <c r="H189" s="2"/>
    </row>
    <row r="190" spans="1:8" x14ac:dyDescent="0.3">
      <c r="A190" s="2"/>
      <c r="B190" s="2"/>
      <c r="C190" s="2"/>
      <c r="D190" s="2"/>
      <c r="E190" s="2"/>
      <c r="F190" s="2"/>
      <c r="G190" s="3"/>
      <c r="H190" s="2"/>
    </row>
    <row r="191" spans="1:8" x14ac:dyDescent="0.3">
      <c r="A191" s="2"/>
      <c r="B191" s="2"/>
      <c r="C191" s="2"/>
      <c r="D191" s="2"/>
      <c r="E191" s="2"/>
      <c r="F191" s="2"/>
      <c r="G191" s="3"/>
      <c r="H191" s="2"/>
    </row>
    <row r="192" spans="1:8" x14ac:dyDescent="0.3">
      <c r="A192" s="2"/>
      <c r="B192" s="2"/>
      <c r="C192" s="2"/>
      <c r="D192" s="2"/>
      <c r="E192" s="2"/>
      <c r="F192" s="2"/>
      <c r="G192" s="3"/>
      <c r="H192" s="2"/>
    </row>
    <row r="193" spans="1:8" x14ac:dyDescent="0.3">
      <c r="A193" s="2"/>
      <c r="B193" s="2"/>
      <c r="C193" s="2"/>
      <c r="D193" s="2"/>
      <c r="E193" s="2"/>
      <c r="F193" s="2"/>
      <c r="G193" s="3"/>
      <c r="H193" s="2"/>
    </row>
    <row r="194" spans="1:8" x14ac:dyDescent="0.3">
      <c r="A194" s="2"/>
      <c r="B194" s="2"/>
      <c r="C194" s="2"/>
      <c r="D194" s="2"/>
      <c r="E194" s="2"/>
      <c r="F194" s="2"/>
      <c r="G194" s="3"/>
      <c r="H194" s="2"/>
    </row>
    <row r="195" spans="1:8" x14ac:dyDescent="0.3">
      <c r="A195" s="2"/>
      <c r="B195" s="2"/>
      <c r="C195" s="2"/>
      <c r="D195" s="2"/>
      <c r="E195" s="2"/>
      <c r="F195" s="2"/>
      <c r="G195" s="3"/>
      <c r="H195" s="2"/>
    </row>
    <row r="196" spans="1:8" x14ac:dyDescent="0.3">
      <c r="A196" s="2"/>
      <c r="B196" s="2"/>
      <c r="C196" s="2"/>
      <c r="D196" s="2"/>
      <c r="E196" s="2"/>
      <c r="F196" s="2"/>
      <c r="G196" s="3"/>
      <c r="H196" s="2"/>
    </row>
    <row r="197" spans="1:8" x14ac:dyDescent="0.3">
      <c r="A197" s="2"/>
      <c r="B197" s="2"/>
      <c r="C197" s="2"/>
      <c r="D197" s="2"/>
      <c r="E197" s="2"/>
      <c r="F197" s="2"/>
      <c r="G197" s="3"/>
      <c r="H197" s="2"/>
    </row>
    <row r="198" spans="1:8" x14ac:dyDescent="0.3">
      <c r="A198" s="2"/>
      <c r="B198" s="2"/>
      <c r="C198" s="2"/>
      <c r="D198" s="2"/>
      <c r="E198" s="2"/>
      <c r="F198" s="2"/>
      <c r="G198" s="3"/>
      <c r="H198" s="2"/>
    </row>
    <row r="199" spans="1:8" x14ac:dyDescent="0.3">
      <c r="A199" s="2"/>
      <c r="B199" s="2"/>
      <c r="C199" s="2"/>
      <c r="D199" s="2"/>
      <c r="E199" s="2"/>
      <c r="F199" s="2"/>
      <c r="G199" s="3"/>
      <c r="H199" s="2"/>
    </row>
    <row r="200" spans="1:8" x14ac:dyDescent="0.3">
      <c r="A200" s="2"/>
      <c r="B200" s="2"/>
      <c r="C200" s="2"/>
      <c r="D200" s="2"/>
      <c r="E200" s="2"/>
      <c r="F200" s="2"/>
      <c r="G200" s="3"/>
      <c r="H200" s="2"/>
    </row>
    <row r="201" spans="1:8" x14ac:dyDescent="0.3">
      <c r="A201" s="2"/>
      <c r="B201" s="2"/>
      <c r="C201" s="2"/>
      <c r="D201" s="2"/>
      <c r="E201" s="2"/>
      <c r="F201" s="2"/>
      <c r="G201" s="3"/>
      <c r="H201" s="2"/>
    </row>
    <row r="202" spans="1:8" x14ac:dyDescent="0.3">
      <c r="A202" s="2"/>
      <c r="B202" s="2"/>
      <c r="C202" s="2"/>
      <c r="D202" s="2"/>
      <c r="E202" s="2"/>
      <c r="F202" s="2"/>
      <c r="G202" s="3"/>
      <c r="H202" s="2"/>
    </row>
    <row r="203" spans="1:8" x14ac:dyDescent="0.3">
      <c r="A203" s="2"/>
      <c r="B203" s="2"/>
      <c r="C203" s="2"/>
      <c r="D203" s="2"/>
      <c r="E203" s="2"/>
      <c r="F203" s="2"/>
      <c r="G203" s="3"/>
      <c r="H203" s="2"/>
    </row>
    <row r="204" spans="1:8" x14ac:dyDescent="0.3">
      <c r="A204" s="2"/>
      <c r="B204" s="2"/>
      <c r="C204" s="2"/>
      <c r="D204" s="2"/>
      <c r="E204" s="2"/>
      <c r="F204" s="2"/>
      <c r="G204" s="3"/>
      <c r="H204" s="2"/>
    </row>
    <row r="205" spans="1:8" x14ac:dyDescent="0.3">
      <c r="A205" s="2"/>
      <c r="B205" s="2"/>
      <c r="C205" s="2"/>
      <c r="D205" s="2"/>
      <c r="E205" s="2"/>
      <c r="F205" s="2"/>
      <c r="G205" s="3"/>
      <c r="H205" s="2"/>
    </row>
    <row r="206" spans="1:8" x14ac:dyDescent="0.3">
      <c r="A206" s="2"/>
      <c r="B206" s="2"/>
      <c r="C206" s="2"/>
      <c r="D206" s="2"/>
      <c r="E206" s="2"/>
      <c r="F206" s="2"/>
      <c r="G206" s="3"/>
      <c r="H206" s="2"/>
    </row>
    <row r="207" spans="1:8" x14ac:dyDescent="0.3">
      <c r="A207" s="2"/>
      <c r="B207" s="2"/>
      <c r="C207" s="2"/>
      <c r="D207" s="2"/>
      <c r="E207" s="2"/>
      <c r="F207" s="2"/>
      <c r="G207" s="3"/>
      <c r="H207" s="2"/>
    </row>
    <row r="208" spans="1:8" x14ac:dyDescent="0.3">
      <c r="A208" s="2"/>
      <c r="B208" s="2"/>
      <c r="C208" s="2"/>
      <c r="D208" s="2"/>
      <c r="E208" s="2"/>
      <c r="F208" s="2"/>
      <c r="G208" s="3"/>
      <c r="H208" s="2"/>
    </row>
    <row r="209" spans="1:8" x14ac:dyDescent="0.3">
      <c r="A209" s="2"/>
      <c r="B209" s="2"/>
      <c r="C209" s="2"/>
      <c r="D209" s="2"/>
      <c r="E209" s="2"/>
      <c r="F209" s="2"/>
      <c r="G209" s="3"/>
      <c r="H209" s="2"/>
    </row>
    <row r="210" spans="1:8" x14ac:dyDescent="0.3">
      <c r="A210" s="2"/>
      <c r="B210" s="2"/>
      <c r="C210" s="2"/>
      <c r="D210" s="2"/>
      <c r="E210" s="2"/>
      <c r="F210" s="2"/>
      <c r="G210" s="3"/>
      <c r="H210" s="2"/>
    </row>
    <row r="211" spans="1:8" x14ac:dyDescent="0.3">
      <c r="A211" s="2"/>
      <c r="B211" s="2"/>
      <c r="C211" s="2"/>
      <c r="D211" s="2"/>
      <c r="E211" s="2"/>
      <c r="F211" s="2"/>
      <c r="G211" s="3"/>
      <c r="H211" s="2"/>
    </row>
    <row r="212" spans="1:8" x14ac:dyDescent="0.3">
      <c r="A212" s="2"/>
      <c r="B212" s="2"/>
      <c r="C212" s="2"/>
      <c r="D212" s="2"/>
      <c r="E212" s="2"/>
      <c r="F212" s="2"/>
      <c r="G212" s="3"/>
      <c r="H212" s="2"/>
    </row>
    <row r="213" spans="1:8" x14ac:dyDescent="0.3">
      <c r="A213" s="2"/>
      <c r="B213" s="2"/>
      <c r="C213" s="2"/>
      <c r="D213" s="2"/>
      <c r="E213" s="2"/>
      <c r="F213" s="2"/>
      <c r="G213" s="3"/>
      <c r="H213" s="2"/>
    </row>
    <row r="214" spans="1:8" x14ac:dyDescent="0.3">
      <c r="A214" s="2"/>
      <c r="B214" s="2"/>
      <c r="C214" s="2"/>
      <c r="D214" s="2"/>
      <c r="E214" s="2"/>
      <c r="F214" s="2"/>
      <c r="G214" s="3"/>
      <c r="H214" s="2"/>
    </row>
    <row r="215" spans="1:8" x14ac:dyDescent="0.3">
      <c r="A215" s="2"/>
      <c r="B215" s="2"/>
      <c r="C215" s="2"/>
      <c r="D215" s="2"/>
      <c r="E215" s="2"/>
      <c r="F215" s="2"/>
      <c r="G215" s="3"/>
      <c r="H215" s="2"/>
    </row>
    <row r="216" spans="1:8" x14ac:dyDescent="0.3">
      <c r="A216" s="2"/>
      <c r="B216" s="2"/>
      <c r="C216" s="2"/>
      <c r="D216" s="2"/>
      <c r="E216" s="2"/>
      <c r="F216" s="2"/>
      <c r="G216" s="3"/>
      <c r="H216" s="2"/>
    </row>
    <row r="217" spans="1:8" x14ac:dyDescent="0.3">
      <c r="A217" s="2"/>
      <c r="B217" s="2"/>
      <c r="C217" s="2"/>
      <c r="D217" s="2"/>
      <c r="E217" s="2"/>
      <c r="F217" s="2"/>
      <c r="G217" s="3"/>
      <c r="H217" s="2"/>
    </row>
    <row r="218" spans="1:8" x14ac:dyDescent="0.3">
      <c r="A218" s="2"/>
      <c r="B218" s="2"/>
      <c r="C218" s="2"/>
      <c r="D218" s="2"/>
      <c r="E218" s="2"/>
      <c r="F218" s="2"/>
      <c r="G218" s="3"/>
      <c r="H218" s="2"/>
    </row>
    <row r="219" spans="1:8" x14ac:dyDescent="0.3">
      <c r="A219" s="2"/>
      <c r="B219" s="2"/>
      <c r="C219" s="2"/>
      <c r="D219" s="2"/>
      <c r="E219" s="2"/>
      <c r="F219" s="2"/>
      <c r="G219" s="3"/>
      <c r="H219" s="2"/>
    </row>
    <row r="220" spans="1:8" x14ac:dyDescent="0.3">
      <c r="A220" s="2"/>
      <c r="B220" s="2"/>
      <c r="C220" s="2"/>
      <c r="D220" s="2"/>
      <c r="E220" s="2"/>
      <c r="F220" s="2"/>
      <c r="G220" s="3"/>
      <c r="H220" s="2"/>
    </row>
    <row r="221" spans="1:8" x14ac:dyDescent="0.3">
      <c r="A221" s="2"/>
      <c r="B221" s="2"/>
      <c r="C221" s="2"/>
      <c r="D221" s="2"/>
      <c r="E221" s="2"/>
      <c r="F221" s="2"/>
      <c r="G221" s="3"/>
      <c r="H221" s="2"/>
    </row>
    <row r="222" spans="1:8" x14ac:dyDescent="0.3">
      <c r="A222" s="2"/>
      <c r="B222" s="2"/>
      <c r="C222" s="2"/>
      <c r="D222" s="2"/>
      <c r="E222" s="2"/>
      <c r="F222" s="2"/>
      <c r="G222" s="3"/>
      <c r="H222" s="2"/>
    </row>
    <row r="223" spans="1:8" x14ac:dyDescent="0.3">
      <c r="A223" s="2"/>
      <c r="B223" s="2"/>
      <c r="C223" s="2"/>
      <c r="D223" s="2"/>
      <c r="E223" s="2"/>
      <c r="F223" s="2"/>
      <c r="G223" s="3"/>
      <c r="H223" s="2"/>
    </row>
    <row r="224" spans="1:8" x14ac:dyDescent="0.3">
      <c r="A224" s="2"/>
      <c r="B224" s="2"/>
      <c r="C224" s="2"/>
      <c r="D224" s="2"/>
      <c r="E224" s="2"/>
      <c r="F224" s="2"/>
      <c r="G224" s="3"/>
      <c r="H224" s="2"/>
    </row>
    <row r="225" spans="1:8" x14ac:dyDescent="0.3">
      <c r="A225" s="2"/>
      <c r="B225" s="2"/>
      <c r="C225" s="2"/>
      <c r="D225" s="2"/>
      <c r="E225" s="2"/>
      <c r="F225" s="2"/>
      <c r="G225" s="3"/>
      <c r="H225" s="2"/>
    </row>
    <row r="226" spans="1:8" x14ac:dyDescent="0.3">
      <c r="A226" s="2"/>
      <c r="B226" s="2"/>
      <c r="C226" s="2"/>
      <c r="D226" s="2"/>
      <c r="E226" s="2"/>
      <c r="F226" s="2"/>
      <c r="G226" s="3"/>
      <c r="H226" s="2"/>
    </row>
    <row r="227" spans="1:8" x14ac:dyDescent="0.3">
      <c r="A227" s="2"/>
      <c r="B227" s="2"/>
      <c r="C227" s="2"/>
      <c r="D227" s="2"/>
      <c r="E227" s="2"/>
      <c r="F227" s="2"/>
      <c r="G227" s="3"/>
      <c r="H227" s="2"/>
    </row>
    <row r="228" spans="1:8" x14ac:dyDescent="0.3">
      <c r="A228" s="2"/>
      <c r="B228" s="2"/>
      <c r="C228" s="2"/>
      <c r="D228" s="2"/>
      <c r="E228" s="2"/>
      <c r="F228" s="2"/>
      <c r="G228" s="3"/>
      <c r="H228" s="2"/>
    </row>
    <row r="229" spans="1:8" x14ac:dyDescent="0.3">
      <c r="A229" s="2"/>
      <c r="B229" s="2"/>
      <c r="C229" s="2"/>
      <c r="D229" s="2"/>
      <c r="E229" s="2"/>
      <c r="F229" s="2"/>
      <c r="G229" s="3"/>
      <c r="H229" s="2"/>
    </row>
    <row r="230" spans="1:8" x14ac:dyDescent="0.3">
      <c r="A230" s="2"/>
      <c r="B230" s="2"/>
      <c r="C230" s="2"/>
      <c r="D230" s="2"/>
      <c r="E230" s="2"/>
      <c r="F230" s="2"/>
      <c r="G230" s="3"/>
      <c r="H230" s="2"/>
    </row>
    <row r="231" spans="1:8" x14ac:dyDescent="0.3">
      <c r="A231" s="2"/>
      <c r="B231" s="2"/>
      <c r="C231" s="2"/>
      <c r="D231" s="2"/>
      <c r="E231" s="2"/>
      <c r="F231" s="2"/>
      <c r="G231" s="3"/>
      <c r="H231" s="2"/>
    </row>
    <row r="232" spans="1:8" x14ac:dyDescent="0.3">
      <c r="A232" s="2"/>
      <c r="B232" s="2"/>
      <c r="C232" s="2"/>
      <c r="D232" s="2"/>
      <c r="E232" s="2"/>
      <c r="F232" s="2"/>
      <c r="G232" s="3"/>
      <c r="H232" s="2"/>
    </row>
    <row r="233" spans="1:8" x14ac:dyDescent="0.3">
      <c r="A233" s="2"/>
      <c r="B233" s="2"/>
      <c r="C233" s="2"/>
      <c r="D233" s="2"/>
      <c r="E233" s="2"/>
      <c r="F233" s="2"/>
      <c r="G233" s="3"/>
      <c r="H233" s="2"/>
    </row>
    <row r="234" spans="1:8" x14ac:dyDescent="0.3">
      <c r="A234" s="2"/>
      <c r="B234" s="2"/>
      <c r="C234" s="2"/>
      <c r="D234" s="2"/>
      <c r="E234" s="2"/>
      <c r="F234" s="2"/>
      <c r="G234" s="3"/>
      <c r="H234" s="2"/>
    </row>
    <row r="235" spans="1:8" x14ac:dyDescent="0.3">
      <c r="A235" s="2"/>
      <c r="B235" s="2"/>
      <c r="C235" s="2"/>
      <c r="D235" s="2"/>
      <c r="E235" s="2"/>
      <c r="F235" s="2"/>
      <c r="G235" s="3"/>
      <c r="H235" s="2"/>
    </row>
    <row r="236" spans="1:8" x14ac:dyDescent="0.3">
      <c r="A236" s="2"/>
      <c r="B236" s="2"/>
      <c r="C236" s="2"/>
      <c r="D236" s="2"/>
      <c r="E236" s="2"/>
      <c r="F236" s="2"/>
      <c r="G236" s="3"/>
      <c r="H236" s="2"/>
    </row>
    <row r="237" spans="1:8" x14ac:dyDescent="0.3">
      <c r="A237" s="2"/>
      <c r="B237" s="2"/>
      <c r="C237" s="2"/>
      <c r="D237" s="2"/>
      <c r="E237" s="2"/>
      <c r="F237" s="2"/>
      <c r="G237" s="3"/>
      <c r="H237" s="2"/>
    </row>
    <row r="238" spans="1:8" x14ac:dyDescent="0.3">
      <c r="A238" s="2"/>
      <c r="B238" s="2"/>
      <c r="C238" s="2"/>
      <c r="D238" s="2"/>
      <c r="E238" s="2"/>
      <c r="F238" s="2"/>
      <c r="G238" s="3"/>
      <c r="H238" s="2"/>
    </row>
    <row r="239" spans="1:8" x14ac:dyDescent="0.3">
      <c r="A239" s="2"/>
      <c r="B239" s="2"/>
      <c r="C239" s="2"/>
      <c r="D239" s="2"/>
      <c r="E239" s="2"/>
      <c r="F239" s="2"/>
      <c r="G239" s="3"/>
      <c r="H239" s="2"/>
    </row>
    <row r="240" spans="1:8" x14ac:dyDescent="0.3">
      <c r="A240" s="2"/>
      <c r="B240" s="2"/>
      <c r="C240" s="2"/>
      <c r="D240" s="2"/>
      <c r="E240" s="2"/>
      <c r="F240" s="2"/>
      <c r="G240" s="3"/>
      <c r="H240" s="2"/>
    </row>
    <row r="241" spans="1:8" x14ac:dyDescent="0.3">
      <c r="A241" s="2"/>
      <c r="B241" s="2"/>
      <c r="C241" s="2"/>
      <c r="D241" s="2"/>
      <c r="E241" s="2"/>
      <c r="F241" s="2"/>
      <c r="G241" s="3"/>
      <c r="H241" s="2"/>
    </row>
    <row r="242" spans="1:8" x14ac:dyDescent="0.3">
      <c r="A242" s="2"/>
      <c r="B242" s="2"/>
      <c r="C242" s="2"/>
      <c r="D242" s="2"/>
      <c r="E242" s="2"/>
      <c r="F242" s="2"/>
      <c r="G242" s="3"/>
      <c r="H242" s="2"/>
    </row>
    <row r="243" spans="1:8" x14ac:dyDescent="0.3">
      <c r="A243" s="2"/>
      <c r="B243" s="2"/>
      <c r="C243" s="2"/>
      <c r="D243" s="2"/>
      <c r="E243" s="2"/>
      <c r="F243" s="2"/>
      <c r="G243" s="3"/>
      <c r="H243" s="2"/>
    </row>
    <row r="244" spans="1:8" x14ac:dyDescent="0.3">
      <c r="A244" s="2"/>
      <c r="B244" s="2"/>
      <c r="C244" s="2"/>
      <c r="D244" s="2"/>
      <c r="E244" s="2"/>
      <c r="F244" s="2"/>
      <c r="G244" s="3"/>
      <c r="H244" s="2"/>
    </row>
    <row r="245" spans="1:8" x14ac:dyDescent="0.3">
      <c r="A245" s="2"/>
      <c r="B245" s="2"/>
      <c r="C245" s="2"/>
      <c r="D245" s="2"/>
      <c r="E245" s="2"/>
      <c r="F245" s="2"/>
      <c r="G245" s="3"/>
      <c r="H245" s="2"/>
    </row>
    <row r="246" spans="1:8" x14ac:dyDescent="0.3">
      <c r="A246" s="2"/>
      <c r="B246" s="2"/>
      <c r="C246" s="2"/>
      <c r="D246" s="2"/>
      <c r="E246" s="2"/>
      <c r="F246" s="2"/>
      <c r="G246" s="3"/>
      <c r="H246" s="2"/>
    </row>
    <row r="247" spans="1:8" x14ac:dyDescent="0.3">
      <c r="A247" s="2"/>
      <c r="B247" s="2"/>
      <c r="C247" s="2"/>
      <c r="D247" s="2"/>
      <c r="E247" s="2"/>
      <c r="F247" s="2"/>
      <c r="G247" s="3"/>
      <c r="H247" s="2"/>
    </row>
    <row r="248" spans="1:8" x14ac:dyDescent="0.3">
      <c r="A248" s="2"/>
      <c r="B248" s="2"/>
      <c r="C248" s="2"/>
      <c r="D248" s="2"/>
      <c r="E248" s="2"/>
      <c r="F248" s="2"/>
      <c r="G248" s="3"/>
      <c r="H248" s="2"/>
    </row>
    <row r="249" spans="1:8" x14ac:dyDescent="0.3">
      <c r="A249" s="2"/>
      <c r="B249" s="2"/>
      <c r="C249" s="2"/>
      <c r="D249" s="2"/>
      <c r="E249" s="2"/>
      <c r="F249" s="2"/>
      <c r="G249" s="3"/>
      <c r="H249" s="2"/>
    </row>
    <row r="250" spans="1:8" x14ac:dyDescent="0.3">
      <c r="A250" s="2"/>
      <c r="B250" s="2"/>
      <c r="C250" s="2"/>
      <c r="D250" s="2"/>
      <c r="E250" s="2"/>
      <c r="F250" s="2"/>
      <c r="G250" s="3"/>
      <c r="H250" s="2"/>
    </row>
    <row r="251" spans="1:8" x14ac:dyDescent="0.3">
      <c r="A251" s="2"/>
      <c r="B251" s="2"/>
      <c r="C251" s="2"/>
      <c r="D251" s="2"/>
      <c r="E251" s="2"/>
      <c r="F251" s="2"/>
      <c r="G251" s="3"/>
      <c r="H251" s="2"/>
    </row>
    <row r="252" spans="1:8" x14ac:dyDescent="0.3">
      <c r="A252" s="2"/>
      <c r="B252" s="2"/>
      <c r="C252" s="2"/>
      <c r="D252" s="2"/>
      <c r="E252" s="2"/>
      <c r="F252" s="2"/>
      <c r="G252" s="3"/>
      <c r="H252" s="2"/>
    </row>
    <row r="253" spans="1:8" x14ac:dyDescent="0.3">
      <c r="A253" s="2"/>
      <c r="B253" s="2"/>
      <c r="C253" s="2"/>
      <c r="D253" s="2"/>
      <c r="E253" s="2"/>
      <c r="F253" s="2"/>
      <c r="G253" s="3"/>
      <c r="H253" s="2"/>
    </row>
    <row r="254" spans="1:8" x14ac:dyDescent="0.3">
      <c r="A254" s="2"/>
      <c r="B254" s="2"/>
      <c r="C254" s="2"/>
      <c r="D254" s="2"/>
      <c r="E254" s="2"/>
      <c r="F254" s="2"/>
      <c r="G254" s="3"/>
      <c r="H254" s="2"/>
    </row>
    <row r="255" spans="1:8" x14ac:dyDescent="0.3">
      <c r="A255" s="2"/>
      <c r="B255" s="2"/>
      <c r="C255" s="2"/>
      <c r="D255" s="2"/>
      <c r="E255" s="2"/>
      <c r="F255" s="2"/>
      <c r="G255" s="3"/>
      <c r="H255" s="2"/>
    </row>
    <row r="256" spans="1:8" x14ac:dyDescent="0.3">
      <c r="A256" s="2"/>
      <c r="B256" s="2"/>
      <c r="C256" s="2"/>
      <c r="D256" s="2"/>
      <c r="E256" s="2"/>
      <c r="F256" s="2"/>
      <c r="G256" s="3"/>
      <c r="H256" s="2"/>
    </row>
    <row r="257" spans="1:8" x14ac:dyDescent="0.3">
      <c r="A257" s="2"/>
      <c r="B257" s="2"/>
      <c r="C257" s="2"/>
      <c r="D257" s="2"/>
      <c r="E257" s="2"/>
      <c r="F257" s="2"/>
      <c r="G257" s="3"/>
      <c r="H257" s="2"/>
    </row>
    <row r="258" spans="1:8" x14ac:dyDescent="0.3">
      <c r="A258" s="2"/>
      <c r="B258" s="2"/>
      <c r="C258" s="2"/>
      <c r="D258" s="2"/>
      <c r="E258" s="2"/>
      <c r="F258" s="2"/>
      <c r="G258" s="3"/>
      <c r="H258" s="2"/>
    </row>
    <row r="259" spans="1:8" x14ac:dyDescent="0.3">
      <c r="A259" s="2"/>
      <c r="B259" s="2"/>
      <c r="C259" s="2"/>
      <c r="D259" s="2"/>
      <c r="E259" s="2"/>
      <c r="F259" s="2"/>
      <c r="G259" s="3"/>
      <c r="H259" s="2"/>
    </row>
    <row r="260" spans="1:8" x14ac:dyDescent="0.3">
      <c r="A260" s="2"/>
      <c r="B260" s="2"/>
      <c r="C260" s="2"/>
      <c r="D260" s="2"/>
      <c r="E260" s="2"/>
      <c r="F260" s="2"/>
      <c r="G260" s="3"/>
      <c r="H260" s="2"/>
    </row>
    <row r="261" spans="1:8" x14ac:dyDescent="0.3">
      <c r="A261" s="2"/>
      <c r="B261" s="2"/>
      <c r="C261" s="2"/>
      <c r="D261" s="2"/>
      <c r="E261" s="2"/>
      <c r="F261" s="2"/>
      <c r="G261" s="3"/>
      <c r="H261" s="2"/>
    </row>
    <row r="262" spans="1:8" x14ac:dyDescent="0.3">
      <c r="A262" s="2"/>
      <c r="B262" s="2"/>
      <c r="C262" s="2"/>
      <c r="D262" s="2"/>
      <c r="E262" s="2"/>
      <c r="F262" s="2"/>
      <c r="G262" s="3"/>
      <c r="H262" s="2"/>
    </row>
    <row r="263" spans="1:8" x14ac:dyDescent="0.3">
      <c r="A263" s="2"/>
      <c r="B263" s="2"/>
      <c r="C263" s="2"/>
      <c r="D263" s="2"/>
      <c r="E263" s="2"/>
      <c r="F263" s="2"/>
      <c r="G263" s="3"/>
      <c r="H263" s="2"/>
    </row>
    <row r="264" spans="1:8" x14ac:dyDescent="0.3">
      <c r="A264" s="2"/>
      <c r="B264" s="2"/>
      <c r="C264" s="2"/>
      <c r="D264" s="2"/>
      <c r="E264" s="2"/>
      <c r="F264" s="2"/>
      <c r="G264" s="3"/>
      <c r="H264" s="2"/>
    </row>
    <row r="265" spans="1:8" x14ac:dyDescent="0.3">
      <c r="A265" s="2"/>
      <c r="B265" s="2"/>
      <c r="C265" s="2"/>
      <c r="D265" s="2"/>
      <c r="E265" s="2"/>
      <c r="F265" s="2"/>
      <c r="G265" s="3"/>
      <c r="H265" s="2"/>
    </row>
    <row r="266" spans="1:8" x14ac:dyDescent="0.3">
      <c r="A266" s="2"/>
      <c r="B266" s="2"/>
      <c r="C266" s="2"/>
      <c r="D266" s="2"/>
      <c r="E266" s="2"/>
      <c r="F266" s="2"/>
      <c r="G266" s="3"/>
      <c r="H266" s="2"/>
    </row>
    <row r="267" spans="1:8" x14ac:dyDescent="0.3">
      <c r="A267" s="2"/>
      <c r="B267" s="2"/>
      <c r="C267" s="2"/>
      <c r="D267" s="2"/>
      <c r="E267" s="2"/>
      <c r="F267" s="2"/>
      <c r="G267" s="3"/>
      <c r="H267" s="2"/>
    </row>
    <row r="268" spans="1:8" x14ac:dyDescent="0.3">
      <c r="A268" s="2"/>
      <c r="B268" s="2"/>
      <c r="C268" s="2"/>
      <c r="D268" s="2"/>
      <c r="E268" s="2"/>
      <c r="F268" s="2"/>
      <c r="G268" s="3"/>
      <c r="H268" s="2"/>
    </row>
    <row r="269" spans="1:8" x14ac:dyDescent="0.3">
      <c r="A269" s="2"/>
      <c r="B269" s="2"/>
      <c r="C269" s="2"/>
      <c r="D269" s="2"/>
      <c r="E269" s="2"/>
      <c r="F269" s="2"/>
      <c r="G269" s="3"/>
      <c r="H269" s="2"/>
    </row>
    <row r="270" spans="1:8" x14ac:dyDescent="0.3">
      <c r="A270" s="2"/>
      <c r="B270" s="2"/>
      <c r="C270" s="2"/>
      <c r="D270" s="2"/>
      <c r="E270" s="2"/>
      <c r="F270" s="2"/>
      <c r="G270" s="3"/>
      <c r="H270" s="2"/>
    </row>
    <row r="271" spans="1:8" x14ac:dyDescent="0.3">
      <c r="A271" s="2"/>
      <c r="B271" s="2"/>
      <c r="C271" s="2"/>
      <c r="D271" s="2"/>
      <c r="E271" s="2"/>
      <c r="F271" s="2"/>
      <c r="G271" s="3"/>
      <c r="H271" s="2"/>
    </row>
    <row r="272" spans="1:8" x14ac:dyDescent="0.3">
      <c r="A272" s="2"/>
      <c r="B272" s="2"/>
      <c r="C272" s="2"/>
      <c r="D272" s="2"/>
      <c r="E272" s="2"/>
      <c r="F272" s="2"/>
      <c r="G272" s="3"/>
      <c r="H272" s="2"/>
    </row>
    <row r="273" spans="1:8" x14ac:dyDescent="0.3">
      <c r="A273" s="2"/>
      <c r="B273" s="2"/>
      <c r="C273" s="2"/>
      <c r="D273" s="2"/>
      <c r="E273" s="2"/>
      <c r="F273" s="2"/>
      <c r="G273" s="3"/>
      <c r="H273" s="2"/>
    </row>
    <row r="274" spans="1:8" x14ac:dyDescent="0.3">
      <c r="A274" s="2"/>
      <c r="B274" s="2"/>
      <c r="C274" s="2"/>
      <c r="D274" s="2"/>
      <c r="E274" s="2"/>
      <c r="F274" s="2"/>
      <c r="G274" s="3"/>
      <c r="H274" s="2"/>
    </row>
    <row r="275" spans="1:8" x14ac:dyDescent="0.3">
      <c r="A275" s="2"/>
      <c r="B275" s="2"/>
      <c r="C275" s="2"/>
      <c r="D275" s="2"/>
      <c r="E275" s="2"/>
      <c r="F275" s="2"/>
      <c r="G275" s="3"/>
      <c r="H275" s="2"/>
    </row>
    <row r="276" spans="1:8" x14ac:dyDescent="0.3">
      <c r="A276" s="2"/>
      <c r="B276" s="2"/>
      <c r="C276" s="2"/>
      <c r="D276" s="2"/>
      <c r="E276" s="2"/>
      <c r="F276" s="2"/>
      <c r="G276" s="3"/>
      <c r="H276" s="2"/>
    </row>
    <row r="277" spans="1:8" x14ac:dyDescent="0.3">
      <c r="A277" s="2"/>
      <c r="B277" s="2"/>
      <c r="C277" s="2"/>
      <c r="D277" s="2"/>
      <c r="E277" s="2"/>
      <c r="F277" s="2"/>
      <c r="G277" s="3"/>
      <c r="H277" s="2"/>
    </row>
    <row r="278" spans="1:8" x14ac:dyDescent="0.3">
      <c r="A278" s="2"/>
      <c r="B278" s="2"/>
      <c r="C278" s="2"/>
      <c r="D278" s="2"/>
      <c r="E278" s="2"/>
      <c r="F278" s="2"/>
      <c r="G278" s="3"/>
      <c r="H278" s="2"/>
    </row>
    <row r="279" spans="1:8" x14ac:dyDescent="0.3">
      <c r="A279" s="2"/>
      <c r="B279" s="2"/>
      <c r="C279" s="2"/>
      <c r="D279" s="2"/>
      <c r="E279" s="2"/>
      <c r="F279" s="2"/>
      <c r="G279" s="3"/>
      <c r="H279" s="2"/>
    </row>
    <row r="280" spans="1:8" x14ac:dyDescent="0.3">
      <c r="A280" s="2"/>
      <c r="B280" s="2"/>
      <c r="C280" s="2"/>
      <c r="D280" s="2"/>
      <c r="E280" s="2"/>
      <c r="F280" s="2"/>
      <c r="G280" s="3"/>
      <c r="H280" s="2"/>
    </row>
    <row r="281" spans="1:8" x14ac:dyDescent="0.3">
      <c r="A281" s="2"/>
      <c r="B281" s="2"/>
      <c r="C281" s="2"/>
      <c r="D281" s="2"/>
      <c r="E281" s="2"/>
      <c r="F281" s="2"/>
      <c r="G281" s="3"/>
      <c r="H281" s="2"/>
    </row>
    <row r="282" spans="1:8" x14ac:dyDescent="0.3">
      <c r="A282" s="2"/>
      <c r="B282" s="2"/>
      <c r="C282" s="2"/>
      <c r="D282" s="2"/>
      <c r="E282" s="2"/>
      <c r="F282" s="2"/>
      <c r="G282" s="3"/>
      <c r="H282" s="2"/>
    </row>
    <row r="283" spans="1:8" x14ac:dyDescent="0.3">
      <c r="A283" s="2"/>
      <c r="B283" s="2"/>
      <c r="C283" s="2"/>
      <c r="D283" s="2"/>
      <c r="E283" s="2"/>
      <c r="F283" s="2"/>
      <c r="G283" s="3"/>
      <c r="H283" s="2"/>
    </row>
    <row r="284" spans="1:8" x14ac:dyDescent="0.3">
      <c r="A284" s="2"/>
      <c r="B284" s="2"/>
      <c r="C284" s="2"/>
      <c r="D284" s="2"/>
      <c r="E284" s="2"/>
      <c r="F284" s="2"/>
      <c r="G284" s="3"/>
      <c r="H284" s="2"/>
    </row>
    <row r="285" spans="1:8" x14ac:dyDescent="0.3">
      <c r="A285" s="2"/>
      <c r="B285" s="2"/>
      <c r="C285" s="2"/>
      <c r="D285" s="2"/>
      <c r="E285" s="2"/>
      <c r="F285" s="2"/>
      <c r="G285" s="3"/>
      <c r="H285" s="2"/>
    </row>
    <row r="286" spans="1:8" x14ac:dyDescent="0.3">
      <c r="A286" s="2"/>
      <c r="B286" s="2"/>
      <c r="C286" s="2"/>
      <c r="D286" s="2"/>
      <c r="E286" s="2"/>
      <c r="F286" s="2"/>
      <c r="G286" s="3"/>
      <c r="H286" s="2"/>
    </row>
    <row r="287" spans="1:8" x14ac:dyDescent="0.3">
      <c r="A287" s="2"/>
      <c r="B287" s="2"/>
      <c r="C287" s="2"/>
      <c r="D287" s="2"/>
      <c r="E287" s="2"/>
      <c r="F287" s="2"/>
      <c r="G287" s="3"/>
      <c r="H287" s="2"/>
    </row>
    <row r="288" spans="1:8" x14ac:dyDescent="0.3">
      <c r="A288" s="2"/>
      <c r="B288" s="2"/>
      <c r="C288" s="2"/>
      <c r="D288" s="2"/>
      <c r="E288" s="2"/>
      <c r="F288" s="2"/>
      <c r="G288" s="3"/>
      <c r="H288" s="2"/>
    </row>
    <row r="289" spans="1:8" x14ac:dyDescent="0.3">
      <c r="A289" s="2"/>
      <c r="B289" s="2"/>
      <c r="C289" s="2"/>
      <c r="D289" s="2"/>
      <c r="E289" s="2"/>
      <c r="F289" s="2"/>
      <c r="G289" s="3"/>
      <c r="H289" s="2"/>
    </row>
    <row r="290" spans="1:8" x14ac:dyDescent="0.3">
      <c r="A290" s="2"/>
      <c r="B290" s="2"/>
      <c r="C290" s="2"/>
      <c r="D290" s="2"/>
      <c r="E290" s="2"/>
      <c r="F290" s="2"/>
      <c r="G290" s="3"/>
      <c r="H290" s="2"/>
    </row>
    <row r="291" spans="1:8" x14ac:dyDescent="0.3">
      <c r="A291" s="2"/>
      <c r="B291" s="2"/>
      <c r="C291" s="2"/>
      <c r="D291" s="2"/>
      <c r="E291" s="2"/>
      <c r="F291" s="2"/>
      <c r="G291" s="3"/>
      <c r="H291" s="2"/>
    </row>
    <row r="292" spans="1:8" x14ac:dyDescent="0.3">
      <c r="A292" s="2"/>
      <c r="B292" s="2"/>
      <c r="C292" s="2"/>
      <c r="D292" s="2"/>
      <c r="E292" s="2"/>
      <c r="F292" s="2"/>
      <c r="G292" s="3"/>
      <c r="H292" s="2"/>
    </row>
    <row r="293" spans="1:8" x14ac:dyDescent="0.3">
      <c r="A293" s="2"/>
      <c r="B293" s="2"/>
      <c r="C293" s="2"/>
      <c r="D293" s="2"/>
      <c r="E293" s="2"/>
      <c r="F293" s="2"/>
      <c r="G293" s="3"/>
      <c r="H293" s="2"/>
    </row>
    <row r="294" spans="1:8" x14ac:dyDescent="0.3">
      <c r="A294" s="2"/>
      <c r="B294" s="2"/>
      <c r="C294" s="2"/>
      <c r="D294" s="2"/>
      <c r="E294" s="2"/>
      <c r="F294" s="2"/>
      <c r="G294" s="3"/>
      <c r="H294" s="2"/>
    </row>
    <row r="295" spans="1:8" x14ac:dyDescent="0.3">
      <c r="A295" s="2"/>
      <c r="B295" s="2"/>
      <c r="C295" s="2"/>
      <c r="D295" s="2"/>
      <c r="E295" s="2"/>
      <c r="F295" s="2"/>
      <c r="G295" s="3"/>
      <c r="H295" s="2"/>
    </row>
    <row r="296" spans="1:8" x14ac:dyDescent="0.3">
      <c r="A296" s="2"/>
      <c r="B296" s="2"/>
      <c r="C296" s="2"/>
      <c r="D296" s="2"/>
      <c r="E296" s="2"/>
      <c r="F296" s="2"/>
      <c r="G296" s="3"/>
      <c r="H296" s="2"/>
    </row>
    <row r="297" spans="1:8" x14ac:dyDescent="0.3">
      <c r="A297" s="2"/>
      <c r="B297" s="2"/>
      <c r="C297" s="2"/>
      <c r="D297" s="2"/>
      <c r="E297" s="2"/>
      <c r="F297" s="2"/>
      <c r="G297" s="3"/>
      <c r="H297" s="2"/>
    </row>
    <row r="298" spans="1:8" x14ac:dyDescent="0.3">
      <c r="A298" s="2"/>
      <c r="B298" s="2"/>
      <c r="C298" s="2"/>
      <c r="D298" s="2"/>
      <c r="E298" s="2"/>
      <c r="F298" s="2"/>
      <c r="G298" s="3"/>
      <c r="H298" s="2"/>
    </row>
    <row r="299" spans="1:8" x14ac:dyDescent="0.3">
      <c r="A299" s="2"/>
      <c r="B299" s="2"/>
      <c r="C299" s="2"/>
      <c r="D299" s="2"/>
      <c r="E299" s="2"/>
      <c r="F299" s="2"/>
      <c r="G299" s="3"/>
      <c r="H299" s="2"/>
    </row>
    <row r="300" spans="1:8" x14ac:dyDescent="0.3">
      <c r="A300" s="2"/>
      <c r="B300" s="2"/>
      <c r="C300" s="2"/>
      <c r="D300" s="2"/>
      <c r="E300" s="2"/>
      <c r="F300" s="2"/>
      <c r="G300" s="3"/>
      <c r="H300" s="2"/>
    </row>
    <row r="303" spans="1:8" x14ac:dyDescent="0.3">
      <c r="A303" s="4" t="s">
        <v>16</v>
      </c>
    </row>
  </sheetData>
  <mergeCells count="2">
    <mergeCell ref="A1:H1"/>
    <mergeCell ref="A2:H2"/>
  </mergeCells>
  <dataValidations count="3">
    <dataValidation type="list" allowBlank="1" showErrorMessage="1" error="Lütfen listeden kategori seçin." sqref="C5:C300">
      <formula1>LST_KATEGORI</formula1>
      <formula2>0</formula2>
    </dataValidation>
    <dataValidation type="list" allowBlank="1" showErrorMessage="1" error="Lütfen listeden birim seçin." sqref="D5:D300">
      <formula1>LST_BIRIM</formula1>
      <formula2>0</formula2>
    </dataValidation>
    <dataValidation type="list" allowBlank="1" showErrorMessage="1" error="Lütfen listeden depo lokasyonu seçin." sqref="E5:E300">
      <formula1>LST_DEPO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K2003"/>
  <sheetViews>
    <sheetView showGridLines="0" zoomScaleNormal="100" workbookViewId="0">
      <pane ySplit="4" topLeftCell="A5" activePane="bottomLeft" state="frozen"/>
      <selection pane="bottomLeft" activeCell="A2" sqref="A2:K2"/>
    </sheetView>
  </sheetViews>
  <sheetFormatPr defaultColWidth="8.6640625" defaultRowHeight="14.4" x14ac:dyDescent="0.3"/>
  <cols>
    <col min="1" max="1" width="9" customWidth="1"/>
    <col min="2" max="2" width="12" customWidth="1"/>
    <col min="3" max="3" width="10" customWidth="1"/>
    <col min="4" max="4" width="14" customWidth="1"/>
    <col min="5" max="5" width="30" customWidth="1"/>
    <col min="6" max="6" width="12" customWidth="1"/>
    <col min="7" max="8" width="10" customWidth="1"/>
    <col min="9" max="9" width="26" customWidth="1"/>
    <col min="10" max="10" width="14" customWidth="1"/>
    <col min="11" max="11" width="24" customWidth="1"/>
  </cols>
  <sheetData>
    <row r="1" spans="1:11" ht="27.75" customHeight="1" x14ac:dyDescent="0.3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75" customHeight="1" x14ac:dyDescent="0.3">
      <c r="A2" s="17" t="s">
        <v>18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spans="1:11" ht="21.75" customHeight="1" x14ac:dyDescent="0.3">
      <c r="A4" s="1" t="s">
        <v>19</v>
      </c>
      <c r="B4" s="1" t="s">
        <v>20</v>
      </c>
      <c r="C4" s="1" t="s">
        <v>21</v>
      </c>
      <c r="D4" s="1" t="s">
        <v>2</v>
      </c>
      <c r="E4" s="1" t="s">
        <v>3</v>
      </c>
      <c r="F4" s="1" t="s">
        <v>22</v>
      </c>
      <c r="G4" s="1" t="s">
        <v>23</v>
      </c>
      <c r="H4" s="1" t="s">
        <v>5</v>
      </c>
      <c r="I4" s="1" t="s">
        <v>24</v>
      </c>
      <c r="J4" s="1" t="s">
        <v>25</v>
      </c>
      <c r="K4" s="1" t="s">
        <v>9</v>
      </c>
    </row>
    <row r="5" spans="1:11" x14ac:dyDescent="0.3">
      <c r="A5" s="5">
        <v>1</v>
      </c>
      <c r="B5" s="6">
        <v>46089</v>
      </c>
      <c r="C5" s="7" t="str">
        <f>IF(B5="","",INDEX({"Ocak","Şubat","Mart","Nisan","Mayıs","Haziran","Temmuz","Ağustos","Eylül","Ekim","Kasım","Aralık"},MONTH(B5)))</f>
        <v>Mart</v>
      </c>
      <c r="D5" s="2" t="s">
        <v>10</v>
      </c>
      <c r="E5" s="7" t="str">
        <f>IFERROR(INDEX('Malzeme Tanımlama'!$B$5:$B$300,MATCH(D5,'Malzeme Tanımlama'!$A$5:$A$300,0)),"")</f>
        <v>PVC Boru 110mm (6m boy)</v>
      </c>
      <c r="F5" s="2" t="s">
        <v>26</v>
      </c>
      <c r="G5" s="5">
        <v>20</v>
      </c>
      <c r="H5" s="7" t="str">
        <f>IFERROR(INDEX('Malzeme Tanımlama'!$D$5:$D$300,MATCH(D5,'Malzeme Tanımlama'!$A$5:$A$300,0)),"")</f>
        <v>Adet</v>
      </c>
      <c r="I5" s="2" t="s">
        <v>27</v>
      </c>
      <c r="J5" s="2" t="s">
        <v>28</v>
      </c>
      <c r="K5" s="2" t="s">
        <v>29</v>
      </c>
    </row>
    <row r="6" spans="1:11" x14ac:dyDescent="0.3">
      <c r="A6" s="5" t="str">
        <f>IF(D6="","",COUNTIF($D$5:D6,"?*"))</f>
        <v/>
      </c>
      <c r="B6" s="6"/>
      <c r="C6" s="5" t="str">
        <f>IF(B6="","",INDEX({"Ocak","Şubat","Mart","Nisan","Mayıs","Haziran","Temmuz","Ağustos","Eylül","Ekim","Kasım","Aralık"},MONTH(B6)))</f>
        <v/>
      </c>
      <c r="D6" s="2"/>
      <c r="E6" s="5" t="str">
        <f>IFERROR(INDEX('Malzeme Tanımlama'!$B$5:$B$300,MATCH(D6,'Malzeme Tanımlama'!$A$5:$A$300,0)),"")</f>
        <v/>
      </c>
      <c r="F6" s="2"/>
      <c r="G6" s="5"/>
      <c r="H6" s="5" t="str">
        <f>IFERROR(INDEX('Malzeme Tanımlama'!$D$5:$D$300,MATCH(D6,'Malzeme Tanımlama'!$A$5:$A$300,0)),"")</f>
        <v/>
      </c>
      <c r="I6" s="2"/>
      <c r="J6" s="2"/>
      <c r="K6" s="2"/>
    </row>
    <row r="7" spans="1:11" x14ac:dyDescent="0.3">
      <c r="A7" s="5" t="str">
        <f>IF(D7="","",COUNTIF($D$5:D7,"?*"))</f>
        <v/>
      </c>
      <c r="B7" s="6"/>
      <c r="C7" s="5" t="str">
        <f>IF(B7="","",INDEX({"Ocak","Şubat","Mart","Nisan","Mayıs","Haziran","Temmuz","Ağustos","Eylül","Ekim","Kasım","Aralık"},MONTH(B7)))</f>
        <v/>
      </c>
      <c r="D7" s="2"/>
      <c r="E7" s="5" t="str">
        <f>IFERROR(INDEX('Malzeme Tanımlama'!$B$5:$B$300,MATCH(D7,'Malzeme Tanımlama'!$A$5:$A$300,0)),"")</f>
        <v/>
      </c>
      <c r="F7" s="2"/>
      <c r="G7" s="5"/>
      <c r="H7" s="5" t="str">
        <f>IFERROR(INDEX('Malzeme Tanımlama'!$D$5:$D$300,MATCH(D7,'Malzeme Tanımlama'!$A$5:$A$300,0)),"")</f>
        <v/>
      </c>
      <c r="I7" s="2"/>
      <c r="J7" s="2"/>
      <c r="K7" s="2"/>
    </row>
    <row r="8" spans="1:11" x14ac:dyDescent="0.3">
      <c r="A8" s="5" t="str">
        <f>IF(D8="","",COUNTIF($D$5:D8,"?*"))</f>
        <v/>
      </c>
      <c r="B8" s="6"/>
      <c r="C8" s="5" t="str">
        <f>IF(B8="","",INDEX({"Ocak","Şubat","Mart","Nisan","Mayıs","Haziran","Temmuz","Ağustos","Eylül","Ekim","Kasım","Aralık"},MONTH(B8)))</f>
        <v/>
      </c>
      <c r="D8" s="2"/>
      <c r="E8" s="5" t="str">
        <f>IFERROR(INDEX('Malzeme Tanımlama'!$B$5:$B$300,MATCH(D8,'Malzeme Tanımlama'!$A$5:$A$300,0)),"")</f>
        <v/>
      </c>
      <c r="F8" s="2"/>
      <c r="G8" s="5"/>
      <c r="H8" s="5" t="str">
        <f>IFERROR(INDEX('Malzeme Tanımlama'!$D$5:$D$300,MATCH(D8,'Malzeme Tanımlama'!$A$5:$A$300,0)),"")</f>
        <v/>
      </c>
      <c r="I8" s="2"/>
      <c r="J8" s="2"/>
      <c r="K8" s="2"/>
    </row>
    <row r="9" spans="1:11" x14ac:dyDescent="0.3">
      <c r="A9" s="5" t="str">
        <f>IF(D9="","",COUNTIF($D$5:D9,"?*"))</f>
        <v/>
      </c>
      <c r="B9" s="6"/>
      <c r="C9" s="5" t="str">
        <f>IF(B9="","",INDEX({"Ocak","Şubat","Mart","Nisan","Mayıs","Haziran","Temmuz","Ağustos","Eylül","Ekim","Kasım","Aralık"},MONTH(B9)))</f>
        <v/>
      </c>
      <c r="D9" s="2"/>
      <c r="E9" s="5" t="str">
        <f>IFERROR(INDEX('Malzeme Tanımlama'!$B$5:$B$300,MATCH(D9,'Malzeme Tanımlama'!$A$5:$A$300,0)),"")</f>
        <v/>
      </c>
      <c r="F9" s="2"/>
      <c r="G9" s="5"/>
      <c r="H9" s="5" t="str">
        <f>IFERROR(INDEX('Malzeme Tanımlama'!$D$5:$D$300,MATCH(D9,'Malzeme Tanımlama'!$A$5:$A$300,0)),"")</f>
        <v/>
      </c>
      <c r="I9" s="2"/>
      <c r="J9" s="2"/>
      <c r="K9" s="2"/>
    </row>
    <row r="10" spans="1:11" x14ac:dyDescent="0.3">
      <c r="A10" s="5" t="str">
        <f>IF(D10="","",COUNTIF($D$5:D10,"?*"))</f>
        <v/>
      </c>
      <c r="B10" s="6"/>
      <c r="C10" s="5" t="str">
        <f>IF(B10="","",INDEX({"Ocak","Şubat","Mart","Nisan","Mayıs","Haziran","Temmuz","Ağustos","Eylül","Ekim","Kasım","Aralık"},MONTH(B10)))</f>
        <v/>
      </c>
      <c r="D10" s="2"/>
      <c r="E10" s="5" t="str">
        <f>IFERROR(INDEX('Malzeme Tanımlama'!$B$5:$B$300,MATCH(D10,'Malzeme Tanımlama'!$A$5:$A$300,0)),"")</f>
        <v/>
      </c>
      <c r="F10" s="2"/>
      <c r="G10" s="5"/>
      <c r="H10" s="5" t="str">
        <f>IFERROR(INDEX('Malzeme Tanımlama'!$D$5:$D$300,MATCH(D10,'Malzeme Tanımlama'!$A$5:$A$300,0)),"")</f>
        <v/>
      </c>
      <c r="I10" s="2"/>
      <c r="J10" s="2"/>
      <c r="K10" s="2"/>
    </row>
    <row r="11" spans="1:11" x14ac:dyDescent="0.3">
      <c r="A11" s="5" t="str">
        <f>IF(D11="","",COUNTIF($D$5:D11,"?*"))</f>
        <v/>
      </c>
      <c r="B11" s="6"/>
      <c r="C11" s="5" t="str">
        <f>IF(B11="","",INDEX({"Ocak","Şubat","Mart","Nisan","Mayıs","Haziran","Temmuz","Ağustos","Eylül","Ekim","Kasım","Aralık"},MONTH(B11)))</f>
        <v/>
      </c>
      <c r="D11" s="2"/>
      <c r="E11" s="5" t="str">
        <f>IFERROR(INDEX('Malzeme Tanımlama'!$B$5:$B$300,MATCH(D11,'Malzeme Tanımlama'!$A$5:$A$300,0)),"")</f>
        <v/>
      </c>
      <c r="F11" s="2"/>
      <c r="G11" s="5"/>
      <c r="H11" s="5" t="str">
        <f>IFERROR(INDEX('Malzeme Tanımlama'!$D$5:$D$300,MATCH(D11,'Malzeme Tanımlama'!$A$5:$A$300,0)),"")</f>
        <v/>
      </c>
      <c r="I11" s="2"/>
      <c r="J11" s="2"/>
      <c r="K11" s="2"/>
    </row>
    <row r="12" spans="1:11" x14ac:dyDescent="0.3">
      <c r="A12" s="5" t="str">
        <f>IF(D12="","",COUNTIF($D$5:D12,"?*"))</f>
        <v/>
      </c>
      <c r="B12" s="6"/>
      <c r="C12" s="5" t="str">
        <f>IF(B12="","",INDEX({"Ocak","Şubat","Mart","Nisan","Mayıs","Haziran","Temmuz","Ağustos","Eylül","Ekim","Kasım","Aralık"},MONTH(B12)))</f>
        <v/>
      </c>
      <c r="D12" s="2"/>
      <c r="E12" s="5" t="str">
        <f>IFERROR(INDEX('Malzeme Tanımlama'!$B$5:$B$300,MATCH(D12,'Malzeme Tanımlama'!$A$5:$A$300,0)),"")</f>
        <v/>
      </c>
      <c r="F12" s="2"/>
      <c r="G12" s="5"/>
      <c r="H12" s="5" t="str">
        <f>IFERROR(INDEX('Malzeme Tanımlama'!$D$5:$D$300,MATCH(D12,'Malzeme Tanımlama'!$A$5:$A$300,0)),"")</f>
        <v/>
      </c>
      <c r="I12" s="2"/>
      <c r="J12" s="2"/>
      <c r="K12" s="2"/>
    </row>
    <row r="13" spans="1:11" x14ac:dyDescent="0.3">
      <c r="A13" s="5" t="str">
        <f>IF(D13="","",COUNTIF($D$5:D13,"?*"))</f>
        <v/>
      </c>
      <c r="B13" s="6"/>
      <c r="C13" s="5" t="str">
        <f>IF(B13="","",INDEX({"Ocak","Şubat","Mart","Nisan","Mayıs","Haziran","Temmuz","Ağustos","Eylül","Ekim","Kasım","Aralık"},MONTH(B13)))</f>
        <v/>
      </c>
      <c r="D13" s="2"/>
      <c r="E13" s="5" t="str">
        <f>IFERROR(INDEX('Malzeme Tanımlama'!$B$5:$B$300,MATCH(D13,'Malzeme Tanımlama'!$A$5:$A$300,0)),"")</f>
        <v/>
      </c>
      <c r="F13" s="2"/>
      <c r="G13" s="5"/>
      <c r="H13" s="5" t="str">
        <f>IFERROR(INDEX('Malzeme Tanımlama'!$D$5:$D$300,MATCH(D13,'Malzeme Tanımlama'!$A$5:$A$300,0)),"")</f>
        <v/>
      </c>
      <c r="I13" s="2"/>
      <c r="J13" s="2"/>
      <c r="K13" s="2"/>
    </row>
    <row r="14" spans="1:11" x14ac:dyDescent="0.3">
      <c r="A14" s="5" t="str">
        <f>IF(D14="","",COUNTIF($D$5:D14,"?*"))</f>
        <v/>
      </c>
      <c r="B14" s="6"/>
      <c r="C14" s="5" t="str">
        <f>IF(B14="","",INDEX({"Ocak","Şubat","Mart","Nisan","Mayıs","Haziran","Temmuz","Ağustos","Eylül","Ekim","Kasım","Aralık"},MONTH(B14)))</f>
        <v/>
      </c>
      <c r="D14" s="2"/>
      <c r="E14" s="5" t="str">
        <f>IFERROR(INDEX('Malzeme Tanımlama'!$B$5:$B$300,MATCH(D14,'Malzeme Tanımlama'!$A$5:$A$300,0)),"")</f>
        <v/>
      </c>
      <c r="F14" s="2"/>
      <c r="G14" s="5"/>
      <c r="H14" s="5" t="str">
        <f>IFERROR(INDEX('Malzeme Tanımlama'!$D$5:$D$300,MATCH(D14,'Malzeme Tanımlama'!$A$5:$A$300,0)),"")</f>
        <v/>
      </c>
      <c r="I14" s="2"/>
      <c r="J14" s="2"/>
      <c r="K14" s="2"/>
    </row>
    <row r="15" spans="1:11" x14ac:dyDescent="0.3">
      <c r="A15" s="5" t="str">
        <f>IF(D15="","",COUNTIF($D$5:D15,"?*"))</f>
        <v/>
      </c>
      <c r="B15" s="6"/>
      <c r="C15" s="5" t="str">
        <f>IF(B15="","",INDEX({"Ocak","Şubat","Mart","Nisan","Mayıs","Haziran","Temmuz","Ağustos","Eylül","Ekim","Kasım","Aralık"},MONTH(B15)))</f>
        <v/>
      </c>
      <c r="D15" s="2"/>
      <c r="E15" s="5" t="str">
        <f>IFERROR(INDEX('Malzeme Tanımlama'!$B$5:$B$300,MATCH(D15,'Malzeme Tanımlama'!$A$5:$A$300,0)),"")</f>
        <v/>
      </c>
      <c r="F15" s="2"/>
      <c r="G15" s="5"/>
      <c r="H15" s="5" t="str">
        <f>IFERROR(INDEX('Malzeme Tanımlama'!$D$5:$D$300,MATCH(D15,'Malzeme Tanımlama'!$A$5:$A$300,0)),"")</f>
        <v/>
      </c>
      <c r="I15" s="2"/>
      <c r="J15" s="2"/>
      <c r="K15" s="2"/>
    </row>
    <row r="16" spans="1:11" x14ac:dyDescent="0.3">
      <c r="A16" s="5" t="str">
        <f>IF(D16="","",COUNTIF($D$5:D16,"?*"))</f>
        <v/>
      </c>
      <c r="B16" s="6"/>
      <c r="C16" s="5" t="str">
        <f>IF(B16="","",INDEX({"Ocak","Şubat","Mart","Nisan","Mayıs","Haziran","Temmuz","Ağustos","Eylül","Ekim","Kasım","Aralık"},MONTH(B16)))</f>
        <v/>
      </c>
      <c r="D16" s="2"/>
      <c r="E16" s="5" t="str">
        <f>IFERROR(INDEX('Malzeme Tanımlama'!$B$5:$B$300,MATCH(D16,'Malzeme Tanımlama'!$A$5:$A$300,0)),"")</f>
        <v/>
      </c>
      <c r="F16" s="2"/>
      <c r="G16" s="5"/>
      <c r="H16" s="5" t="str">
        <f>IFERROR(INDEX('Malzeme Tanımlama'!$D$5:$D$300,MATCH(D16,'Malzeme Tanımlama'!$A$5:$A$300,0)),"")</f>
        <v/>
      </c>
      <c r="I16" s="2"/>
      <c r="J16" s="2"/>
      <c r="K16" s="2"/>
    </row>
    <row r="17" spans="1:11" x14ac:dyDescent="0.3">
      <c r="A17" s="5" t="str">
        <f>IF(D17="","",COUNTIF($D$5:D17,"?*"))</f>
        <v/>
      </c>
      <c r="B17" s="6"/>
      <c r="C17" s="5" t="str">
        <f>IF(B17="","",INDEX({"Ocak","Şubat","Mart","Nisan","Mayıs","Haziran","Temmuz","Ağustos","Eylül","Ekim","Kasım","Aralık"},MONTH(B17)))</f>
        <v/>
      </c>
      <c r="D17" s="2"/>
      <c r="E17" s="5" t="str">
        <f>IFERROR(INDEX('Malzeme Tanımlama'!$B$5:$B$300,MATCH(D17,'Malzeme Tanımlama'!$A$5:$A$300,0)),"")</f>
        <v/>
      </c>
      <c r="F17" s="2"/>
      <c r="G17" s="5"/>
      <c r="H17" s="5" t="str">
        <f>IFERROR(INDEX('Malzeme Tanımlama'!$D$5:$D$300,MATCH(D17,'Malzeme Tanımlama'!$A$5:$A$300,0)),"")</f>
        <v/>
      </c>
      <c r="I17" s="2"/>
      <c r="J17" s="2"/>
      <c r="K17" s="2"/>
    </row>
    <row r="18" spans="1:11" x14ac:dyDescent="0.3">
      <c r="A18" s="5" t="str">
        <f>IF(D18="","",COUNTIF($D$5:D18,"?*"))</f>
        <v/>
      </c>
      <c r="B18" s="6"/>
      <c r="C18" s="5" t="str">
        <f>IF(B18="","",INDEX({"Ocak","Şubat","Mart","Nisan","Mayıs","Haziran","Temmuz","Ağustos","Eylül","Ekim","Kasım","Aralık"},MONTH(B18)))</f>
        <v/>
      </c>
      <c r="D18" s="2"/>
      <c r="E18" s="5" t="str">
        <f>IFERROR(INDEX('Malzeme Tanımlama'!$B$5:$B$300,MATCH(D18,'Malzeme Tanımlama'!$A$5:$A$300,0)),"")</f>
        <v/>
      </c>
      <c r="F18" s="2"/>
      <c r="G18" s="5"/>
      <c r="H18" s="5" t="str">
        <f>IFERROR(INDEX('Malzeme Tanımlama'!$D$5:$D$300,MATCH(D18,'Malzeme Tanımlama'!$A$5:$A$300,0)),"")</f>
        <v/>
      </c>
      <c r="I18" s="2"/>
      <c r="J18" s="2"/>
      <c r="K18" s="2"/>
    </row>
    <row r="19" spans="1:11" x14ac:dyDescent="0.3">
      <c r="A19" s="5" t="str">
        <f>IF(D19="","",COUNTIF($D$5:D19,"?*"))</f>
        <v/>
      </c>
      <c r="B19" s="6"/>
      <c r="C19" s="5" t="str">
        <f>IF(B19="","",INDEX({"Ocak","Şubat","Mart","Nisan","Mayıs","Haziran","Temmuz","Ağustos","Eylül","Ekim","Kasım","Aralık"},MONTH(B19)))</f>
        <v/>
      </c>
      <c r="D19" s="2"/>
      <c r="E19" s="5" t="str">
        <f>IFERROR(INDEX('Malzeme Tanımlama'!$B$5:$B$300,MATCH(D19,'Malzeme Tanımlama'!$A$5:$A$300,0)),"")</f>
        <v/>
      </c>
      <c r="F19" s="2"/>
      <c r="G19" s="5"/>
      <c r="H19" s="5" t="str">
        <f>IFERROR(INDEX('Malzeme Tanımlama'!$D$5:$D$300,MATCH(D19,'Malzeme Tanımlama'!$A$5:$A$300,0)),"")</f>
        <v/>
      </c>
      <c r="I19" s="2"/>
      <c r="J19" s="2"/>
      <c r="K19" s="2"/>
    </row>
    <row r="20" spans="1:11" x14ac:dyDescent="0.3">
      <c r="A20" s="5" t="str">
        <f>IF(D20="","",COUNTIF($D$5:D20,"?*"))</f>
        <v/>
      </c>
      <c r="B20" s="6"/>
      <c r="C20" s="5" t="str">
        <f>IF(B20="","",INDEX({"Ocak","Şubat","Mart","Nisan","Mayıs","Haziran","Temmuz","Ağustos","Eylül","Ekim","Kasım","Aralık"},MONTH(B20)))</f>
        <v/>
      </c>
      <c r="D20" s="2"/>
      <c r="E20" s="5" t="str">
        <f>IFERROR(INDEX('Malzeme Tanımlama'!$B$5:$B$300,MATCH(D20,'Malzeme Tanımlama'!$A$5:$A$300,0)),"")</f>
        <v/>
      </c>
      <c r="F20" s="2"/>
      <c r="G20" s="5"/>
      <c r="H20" s="5" t="str">
        <f>IFERROR(INDEX('Malzeme Tanımlama'!$D$5:$D$300,MATCH(D20,'Malzeme Tanımlama'!$A$5:$A$300,0)),"")</f>
        <v/>
      </c>
      <c r="I20" s="2"/>
      <c r="J20" s="2"/>
      <c r="K20" s="2"/>
    </row>
    <row r="21" spans="1:11" x14ac:dyDescent="0.3">
      <c r="A21" s="5" t="str">
        <f>IF(D21="","",COUNTIF($D$5:D21,"?*"))</f>
        <v/>
      </c>
      <c r="B21" s="6"/>
      <c r="C21" s="5" t="str">
        <f>IF(B21="","",INDEX({"Ocak","Şubat","Mart","Nisan","Mayıs","Haziran","Temmuz","Ağustos","Eylül","Ekim","Kasım","Aralık"},MONTH(B21)))</f>
        <v/>
      </c>
      <c r="D21" s="2"/>
      <c r="E21" s="5" t="str">
        <f>IFERROR(INDEX('Malzeme Tanımlama'!$B$5:$B$300,MATCH(D21,'Malzeme Tanımlama'!$A$5:$A$300,0)),"")</f>
        <v/>
      </c>
      <c r="F21" s="2"/>
      <c r="G21" s="5"/>
      <c r="H21" s="5" t="str">
        <f>IFERROR(INDEX('Malzeme Tanımlama'!$D$5:$D$300,MATCH(D21,'Malzeme Tanımlama'!$A$5:$A$300,0)),"")</f>
        <v/>
      </c>
      <c r="I21" s="2"/>
      <c r="J21" s="2"/>
      <c r="K21" s="2"/>
    </row>
    <row r="22" spans="1:11" x14ac:dyDescent="0.3">
      <c r="A22" s="5" t="str">
        <f>IF(D22="","",COUNTIF($D$5:D22,"?*"))</f>
        <v/>
      </c>
      <c r="B22" s="6"/>
      <c r="C22" s="5" t="str">
        <f>IF(B22="","",INDEX({"Ocak","Şubat","Mart","Nisan","Mayıs","Haziran","Temmuz","Ağustos","Eylül","Ekim","Kasım","Aralık"},MONTH(B22)))</f>
        <v/>
      </c>
      <c r="D22" s="2"/>
      <c r="E22" s="5" t="str">
        <f>IFERROR(INDEX('Malzeme Tanımlama'!$B$5:$B$300,MATCH(D22,'Malzeme Tanımlama'!$A$5:$A$300,0)),"")</f>
        <v/>
      </c>
      <c r="F22" s="2"/>
      <c r="G22" s="5"/>
      <c r="H22" s="5" t="str">
        <f>IFERROR(INDEX('Malzeme Tanımlama'!$D$5:$D$300,MATCH(D22,'Malzeme Tanımlama'!$A$5:$A$300,0)),"")</f>
        <v/>
      </c>
      <c r="I22" s="2"/>
      <c r="J22" s="2"/>
      <c r="K22" s="2"/>
    </row>
    <row r="23" spans="1:11" x14ac:dyDescent="0.3">
      <c r="A23" s="5" t="str">
        <f>IF(D23="","",COUNTIF($D$5:D23,"?*"))</f>
        <v/>
      </c>
      <c r="B23" s="6"/>
      <c r="C23" s="5" t="str">
        <f>IF(B23="","",INDEX({"Ocak","Şubat","Mart","Nisan","Mayıs","Haziran","Temmuz","Ağustos","Eylül","Ekim","Kasım","Aralık"},MONTH(B23)))</f>
        <v/>
      </c>
      <c r="D23" s="2"/>
      <c r="E23" s="5" t="str">
        <f>IFERROR(INDEX('Malzeme Tanımlama'!$B$5:$B$300,MATCH(D23,'Malzeme Tanımlama'!$A$5:$A$300,0)),"")</f>
        <v/>
      </c>
      <c r="F23" s="2"/>
      <c r="G23" s="5"/>
      <c r="H23" s="5" t="str">
        <f>IFERROR(INDEX('Malzeme Tanımlama'!$D$5:$D$300,MATCH(D23,'Malzeme Tanımlama'!$A$5:$A$300,0)),"")</f>
        <v/>
      </c>
      <c r="I23" s="2"/>
      <c r="J23" s="2"/>
      <c r="K23" s="2"/>
    </row>
    <row r="24" spans="1:11" x14ac:dyDescent="0.3">
      <c r="A24" s="5" t="str">
        <f>IF(D24="","",COUNTIF($D$5:D24,"?*"))</f>
        <v/>
      </c>
      <c r="B24" s="6"/>
      <c r="C24" s="5" t="str">
        <f>IF(B24="","",INDEX({"Ocak","Şubat","Mart","Nisan","Mayıs","Haziran","Temmuz","Ağustos","Eylül","Ekim","Kasım","Aralık"},MONTH(B24)))</f>
        <v/>
      </c>
      <c r="D24" s="2"/>
      <c r="E24" s="5" t="str">
        <f>IFERROR(INDEX('Malzeme Tanımlama'!$B$5:$B$300,MATCH(D24,'Malzeme Tanımlama'!$A$5:$A$300,0)),"")</f>
        <v/>
      </c>
      <c r="F24" s="2"/>
      <c r="G24" s="5"/>
      <c r="H24" s="5" t="str">
        <f>IFERROR(INDEX('Malzeme Tanımlama'!$D$5:$D$300,MATCH(D24,'Malzeme Tanımlama'!$A$5:$A$300,0)),"")</f>
        <v/>
      </c>
      <c r="I24" s="2"/>
      <c r="J24" s="2"/>
      <c r="K24" s="2"/>
    </row>
    <row r="25" spans="1:11" x14ac:dyDescent="0.3">
      <c r="A25" s="5" t="str">
        <f>IF(D25="","",COUNTIF($D$5:D25,"?*"))</f>
        <v/>
      </c>
      <c r="B25" s="6"/>
      <c r="C25" s="5" t="str">
        <f>IF(B25="","",INDEX({"Ocak","Şubat","Mart","Nisan","Mayıs","Haziran","Temmuz","Ağustos","Eylül","Ekim","Kasım","Aralık"},MONTH(B25)))</f>
        <v/>
      </c>
      <c r="D25" s="2"/>
      <c r="E25" s="5" t="str">
        <f>IFERROR(INDEX('Malzeme Tanımlama'!$B$5:$B$300,MATCH(D25,'Malzeme Tanımlama'!$A$5:$A$300,0)),"")</f>
        <v/>
      </c>
      <c r="F25" s="2"/>
      <c r="G25" s="5"/>
      <c r="H25" s="5" t="str">
        <f>IFERROR(INDEX('Malzeme Tanımlama'!$D$5:$D$300,MATCH(D25,'Malzeme Tanımlama'!$A$5:$A$300,0)),"")</f>
        <v/>
      </c>
      <c r="I25" s="2"/>
      <c r="J25" s="2"/>
      <c r="K25" s="2"/>
    </row>
    <row r="26" spans="1:11" x14ac:dyDescent="0.3">
      <c r="A26" s="5" t="str">
        <f>IF(D26="","",COUNTIF($D$5:D26,"?*"))</f>
        <v/>
      </c>
      <c r="B26" s="6"/>
      <c r="C26" s="5" t="str">
        <f>IF(B26="","",INDEX({"Ocak","Şubat","Mart","Nisan","Mayıs","Haziran","Temmuz","Ağustos","Eylül","Ekim","Kasım","Aralık"},MONTH(B26)))</f>
        <v/>
      </c>
      <c r="D26" s="2"/>
      <c r="E26" s="5" t="str">
        <f>IFERROR(INDEX('Malzeme Tanımlama'!$B$5:$B$300,MATCH(D26,'Malzeme Tanımlama'!$A$5:$A$300,0)),"")</f>
        <v/>
      </c>
      <c r="F26" s="2"/>
      <c r="G26" s="5"/>
      <c r="H26" s="5" t="str">
        <f>IFERROR(INDEX('Malzeme Tanımlama'!$D$5:$D$300,MATCH(D26,'Malzeme Tanımlama'!$A$5:$A$300,0)),"")</f>
        <v/>
      </c>
      <c r="I26" s="2"/>
      <c r="J26" s="2"/>
      <c r="K26" s="2"/>
    </row>
    <row r="27" spans="1:11" x14ac:dyDescent="0.3">
      <c r="A27" s="5" t="str">
        <f>IF(D27="","",COUNTIF($D$5:D27,"?*"))</f>
        <v/>
      </c>
      <c r="B27" s="6"/>
      <c r="C27" s="5" t="str">
        <f>IF(B27="","",INDEX({"Ocak","Şubat","Mart","Nisan","Mayıs","Haziran","Temmuz","Ağustos","Eylül","Ekim","Kasım","Aralık"},MONTH(B27)))</f>
        <v/>
      </c>
      <c r="D27" s="2"/>
      <c r="E27" s="5" t="str">
        <f>IFERROR(INDEX('Malzeme Tanımlama'!$B$5:$B$300,MATCH(D27,'Malzeme Tanımlama'!$A$5:$A$300,0)),"")</f>
        <v/>
      </c>
      <c r="F27" s="2"/>
      <c r="G27" s="5"/>
      <c r="H27" s="5" t="str">
        <f>IFERROR(INDEX('Malzeme Tanımlama'!$D$5:$D$300,MATCH(D27,'Malzeme Tanımlama'!$A$5:$A$300,0)),"")</f>
        <v/>
      </c>
      <c r="I27" s="2"/>
      <c r="J27" s="2"/>
      <c r="K27" s="2"/>
    </row>
    <row r="28" spans="1:11" x14ac:dyDescent="0.3">
      <c r="A28" s="5" t="str">
        <f>IF(D28="","",COUNTIF($D$5:D28,"?*"))</f>
        <v/>
      </c>
      <c r="B28" s="6"/>
      <c r="C28" s="5" t="str">
        <f>IF(B28="","",INDEX({"Ocak","Şubat","Mart","Nisan","Mayıs","Haziran","Temmuz","Ağustos","Eylül","Ekim","Kasım","Aralık"},MONTH(B28)))</f>
        <v/>
      </c>
      <c r="D28" s="2"/>
      <c r="E28" s="5" t="str">
        <f>IFERROR(INDEX('Malzeme Tanımlama'!$B$5:$B$300,MATCH(D28,'Malzeme Tanımlama'!$A$5:$A$300,0)),"")</f>
        <v/>
      </c>
      <c r="F28" s="2"/>
      <c r="G28" s="5"/>
      <c r="H28" s="5" t="str">
        <f>IFERROR(INDEX('Malzeme Tanımlama'!$D$5:$D$300,MATCH(D28,'Malzeme Tanımlama'!$A$5:$A$300,0)),"")</f>
        <v/>
      </c>
      <c r="I28" s="2"/>
      <c r="J28" s="2"/>
      <c r="K28" s="2"/>
    </row>
    <row r="29" spans="1:11" x14ac:dyDescent="0.3">
      <c r="A29" s="5" t="str">
        <f>IF(D29="","",COUNTIF($D$5:D29,"?*"))</f>
        <v/>
      </c>
      <c r="B29" s="6"/>
      <c r="C29" s="5" t="str">
        <f>IF(B29="","",INDEX({"Ocak","Şubat","Mart","Nisan","Mayıs","Haziran","Temmuz","Ağustos","Eylül","Ekim","Kasım","Aralık"},MONTH(B29)))</f>
        <v/>
      </c>
      <c r="D29" s="2"/>
      <c r="E29" s="5" t="str">
        <f>IFERROR(INDEX('Malzeme Tanımlama'!$B$5:$B$300,MATCH(D29,'Malzeme Tanımlama'!$A$5:$A$300,0)),"")</f>
        <v/>
      </c>
      <c r="F29" s="2"/>
      <c r="G29" s="5"/>
      <c r="H29" s="5" t="str">
        <f>IFERROR(INDEX('Malzeme Tanımlama'!$D$5:$D$300,MATCH(D29,'Malzeme Tanımlama'!$A$5:$A$300,0)),"")</f>
        <v/>
      </c>
      <c r="I29" s="2"/>
      <c r="J29" s="2"/>
      <c r="K29" s="2"/>
    </row>
    <row r="30" spans="1:11" x14ac:dyDescent="0.3">
      <c r="A30" s="5" t="str">
        <f>IF(D30="","",COUNTIF($D$5:D30,"?*"))</f>
        <v/>
      </c>
      <c r="B30" s="6"/>
      <c r="C30" s="5" t="str">
        <f>IF(B30="","",INDEX({"Ocak","Şubat","Mart","Nisan","Mayıs","Haziran","Temmuz","Ağustos","Eylül","Ekim","Kasım","Aralık"},MONTH(B30)))</f>
        <v/>
      </c>
      <c r="D30" s="2"/>
      <c r="E30" s="5" t="str">
        <f>IFERROR(INDEX('Malzeme Tanımlama'!$B$5:$B$300,MATCH(D30,'Malzeme Tanımlama'!$A$5:$A$300,0)),"")</f>
        <v/>
      </c>
      <c r="F30" s="2"/>
      <c r="G30" s="5"/>
      <c r="H30" s="5" t="str">
        <f>IFERROR(INDEX('Malzeme Tanımlama'!$D$5:$D$300,MATCH(D30,'Malzeme Tanımlama'!$A$5:$A$300,0)),"")</f>
        <v/>
      </c>
      <c r="I30" s="2"/>
      <c r="J30" s="2"/>
      <c r="K30" s="2"/>
    </row>
    <row r="31" spans="1:11" x14ac:dyDescent="0.3">
      <c r="A31" s="5" t="str">
        <f>IF(D31="","",COUNTIF($D$5:D31,"?*"))</f>
        <v/>
      </c>
      <c r="B31" s="6"/>
      <c r="C31" s="5" t="str">
        <f>IF(B31="","",INDEX({"Ocak","Şubat","Mart","Nisan","Mayıs","Haziran","Temmuz","Ağustos","Eylül","Ekim","Kasım","Aralık"},MONTH(B31)))</f>
        <v/>
      </c>
      <c r="D31" s="2"/>
      <c r="E31" s="5" t="str">
        <f>IFERROR(INDEX('Malzeme Tanımlama'!$B$5:$B$300,MATCH(D31,'Malzeme Tanımlama'!$A$5:$A$300,0)),"")</f>
        <v/>
      </c>
      <c r="F31" s="2"/>
      <c r="G31" s="5"/>
      <c r="H31" s="5" t="str">
        <f>IFERROR(INDEX('Malzeme Tanımlama'!$D$5:$D$300,MATCH(D31,'Malzeme Tanımlama'!$A$5:$A$300,0)),"")</f>
        <v/>
      </c>
      <c r="I31" s="2"/>
      <c r="J31" s="2"/>
      <c r="K31" s="2"/>
    </row>
    <row r="32" spans="1:11" x14ac:dyDescent="0.3">
      <c r="A32" s="5" t="str">
        <f>IF(D32="","",COUNTIF($D$5:D32,"?*"))</f>
        <v/>
      </c>
      <c r="B32" s="6"/>
      <c r="C32" s="5" t="str">
        <f>IF(B32="","",INDEX({"Ocak","Şubat","Mart","Nisan","Mayıs","Haziran","Temmuz","Ağustos","Eylül","Ekim","Kasım","Aralık"},MONTH(B32)))</f>
        <v/>
      </c>
      <c r="D32" s="2"/>
      <c r="E32" s="5" t="str">
        <f>IFERROR(INDEX('Malzeme Tanımlama'!$B$5:$B$300,MATCH(D32,'Malzeme Tanımlama'!$A$5:$A$300,0)),"")</f>
        <v/>
      </c>
      <c r="F32" s="2"/>
      <c r="G32" s="5"/>
      <c r="H32" s="5" t="str">
        <f>IFERROR(INDEX('Malzeme Tanımlama'!$D$5:$D$300,MATCH(D32,'Malzeme Tanımlama'!$A$5:$A$300,0)),"")</f>
        <v/>
      </c>
      <c r="I32" s="2"/>
      <c r="J32" s="2"/>
      <c r="K32" s="2"/>
    </row>
    <row r="33" spans="1:11" x14ac:dyDescent="0.3">
      <c r="A33" s="5" t="str">
        <f>IF(D33="","",COUNTIF($D$5:D33,"?*"))</f>
        <v/>
      </c>
      <c r="B33" s="6"/>
      <c r="C33" s="5" t="str">
        <f>IF(B33="","",INDEX({"Ocak","Şubat","Mart","Nisan","Mayıs","Haziran","Temmuz","Ağustos","Eylül","Ekim","Kasım","Aralık"},MONTH(B33)))</f>
        <v/>
      </c>
      <c r="D33" s="2"/>
      <c r="E33" s="5" t="str">
        <f>IFERROR(INDEX('Malzeme Tanımlama'!$B$5:$B$300,MATCH(D33,'Malzeme Tanımlama'!$A$5:$A$300,0)),"")</f>
        <v/>
      </c>
      <c r="F33" s="2"/>
      <c r="G33" s="5"/>
      <c r="H33" s="5" t="str">
        <f>IFERROR(INDEX('Malzeme Tanımlama'!$D$5:$D$300,MATCH(D33,'Malzeme Tanımlama'!$A$5:$A$300,0)),"")</f>
        <v/>
      </c>
      <c r="I33" s="2"/>
      <c r="J33" s="2"/>
      <c r="K33" s="2"/>
    </row>
    <row r="34" spans="1:11" x14ac:dyDescent="0.3">
      <c r="A34" s="5" t="str">
        <f>IF(D34="","",COUNTIF($D$5:D34,"?*"))</f>
        <v/>
      </c>
      <c r="B34" s="6"/>
      <c r="C34" s="5" t="str">
        <f>IF(B34="","",INDEX({"Ocak","Şubat","Mart","Nisan","Mayıs","Haziran","Temmuz","Ağustos","Eylül","Ekim","Kasım","Aralık"},MONTH(B34)))</f>
        <v/>
      </c>
      <c r="D34" s="2"/>
      <c r="E34" s="5" t="str">
        <f>IFERROR(INDEX('Malzeme Tanımlama'!$B$5:$B$300,MATCH(D34,'Malzeme Tanımlama'!$A$5:$A$300,0)),"")</f>
        <v/>
      </c>
      <c r="F34" s="2"/>
      <c r="G34" s="5"/>
      <c r="H34" s="5" t="str">
        <f>IFERROR(INDEX('Malzeme Tanımlama'!$D$5:$D$300,MATCH(D34,'Malzeme Tanımlama'!$A$5:$A$300,0)),"")</f>
        <v/>
      </c>
      <c r="I34" s="2"/>
      <c r="J34" s="2"/>
      <c r="K34" s="2"/>
    </row>
    <row r="35" spans="1:11" x14ac:dyDescent="0.3">
      <c r="A35" s="5" t="str">
        <f>IF(D35="","",COUNTIF($D$5:D35,"?*"))</f>
        <v/>
      </c>
      <c r="B35" s="6"/>
      <c r="C35" s="5" t="str">
        <f>IF(B35="","",INDEX({"Ocak","Şubat","Mart","Nisan","Mayıs","Haziran","Temmuz","Ağustos","Eylül","Ekim","Kasım","Aralık"},MONTH(B35)))</f>
        <v/>
      </c>
      <c r="D35" s="2"/>
      <c r="E35" s="5" t="str">
        <f>IFERROR(INDEX('Malzeme Tanımlama'!$B$5:$B$300,MATCH(D35,'Malzeme Tanımlama'!$A$5:$A$300,0)),"")</f>
        <v/>
      </c>
      <c r="F35" s="2"/>
      <c r="G35" s="5"/>
      <c r="H35" s="5" t="str">
        <f>IFERROR(INDEX('Malzeme Tanımlama'!$D$5:$D$300,MATCH(D35,'Malzeme Tanımlama'!$A$5:$A$300,0)),"")</f>
        <v/>
      </c>
      <c r="I35" s="2"/>
      <c r="J35" s="2"/>
      <c r="K35" s="2"/>
    </row>
    <row r="36" spans="1:11" x14ac:dyDescent="0.3">
      <c r="A36" s="5" t="str">
        <f>IF(D36="","",COUNTIF($D$5:D36,"?*"))</f>
        <v/>
      </c>
      <c r="B36" s="6"/>
      <c r="C36" s="5" t="str">
        <f>IF(B36="","",INDEX({"Ocak","Şubat","Mart","Nisan","Mayıs","Haziran","Temmuz","Ağustos","Eylül","Ekim","Kasım","Aralık"},MONTH(B36)))</f>
        <v/>
      </c>
      <c r="D36" s="2"/>
      <c r="E36" s="5" t="str">
        <f>IFERROR(INDEX('Malzeme Tanımlama'!$B$5:$B$300,MATCH(D36,'Malzeme Tanımlama'!$A$5:$A$300,0)),"")</f>
        <v/>
      </c>
      <c r="F36" s="2"/>
      <c r="G36" s="5"/>
      <c r="H36" s="5" t="str">
        <f>IFERROR(INDEX('Malzeme Tanımlama'!$D$5:$D$300,MATCH(D36,'Malzeme Tanımlama'!$A$5:$A$300,0)),"")</f>
        <v/>
      </c>
      <c r="I36" s="2"/>
      <c r="J36" s="2"/>
      <c r="K36" s="2"/>
    </row>
    <row r="37" spans="1:11" x14ac:dyDescent="0.3">
      <c r="A37" s="5" t="str">
        <f>IF(D37="","",COUNTIF($D$5:D37,"?*"))</f>
        <v/>
      </c>
      <c r="B37" s="6"/>
      <c r="C37" s="5" t="str">
        <f>IF(B37="","",INDEX({"Ocak","Şubat","Mart","Nisan","Mayıs","Haziran","Temmuz","Ağustos","Eylül","Ekim","Kasım","Aralık"},MONTH(B37)))</f>
        <v/>
      </c>
      <c r="D37" s="2"/>
      <c r="E37" s="5" t="str">
        <f>IFERROR(INDEX('Malzeme Tanımlama'!$B$5:$B$300,MATCH(D37,'Malzeme Tanımlama'!$A$5:$A$300,0)),"")</f>
        <v/>
      </c>
      <c r="F37" s="2"/>
      <c r="G37" s="5"/>
      <c r="H37" s="5" t="str">
        <f>IFERROR(INDEX('Malzeme Tanımlama'!$D$5:$D$300,MATCH(D37,'Malzeme Tanımlama'!$A$5:$A$300,0)),"")</f>
        <v/>
      </c>
      <c r="I37" s="2"/>
      <c r="J37" s="2"/>
      <c r="K37" s="2"/>
    </row>
    <row r="38" spans="1:11" x14ac:dyDescent="0.3">
      <c r="A38" s="5" t="str">
        <f>IF(D38="","",COUNTIF($D$5:D38,"?*"))</f>
        <v/>
      </c>
      <c r="B38" s="6"/>
      <c r="C38" s="5" t="str">
        <f>IF(B38="","",INDEX({"Ocak","Şubat","Mart","Nisan","Mayıs","Haziran","Temmuz","Ağustos","Eylül","Ekim","Kasım","Aralık"},MONTH(B38)))</f>
        <v/>
      </c>
      <c r="D38" s="2"/>
      <c r="E38" s="5" t="str">
        <f>IFERROR(INDEX('Malzeme Tanımlama'!$B$5:$B$300,MATCH(D38,'Malzeme Tanımlama'!$A$5:$A$300,0)),"")</f>
        <v/>
      </c>
      <c r="F38" s="2"/>
      <c r="G38" s="5"/>
      <c r="H38" s="5" t="str">
        <f>IFERROR(INDEX('Malzeme Tanımlama'!$D$5:$D$300,MATCH(D38,'Malzeme Tanımlama'!$A$5:$A$300,0)),"")</f>
        <v/>
      </c>
      <c r="I38" s="2"/>
      <c r="J38" s="2"/>
      <c r="K38" s="2"/>
    </row>
    <row r="39" spans="1:11" x14ac:dyDescent="0.3">
      <c r="A39" s="5" t="str">
        <f>IF(D39="","",COUNTIF($D$5:D39,"?*"))</f>
        <v/>
      </c>
      <c r="B39" s="6"/>
      <c r="C39" s="5" t="str">
        <f>IF(B39="","",INDEX({"Ocak","Şubat","Mart","Nisan","Mayıs","Haziran","Temmuz","Ağustos","Eylül","Ekim","Kasım","Aralık"},MONTH(B39)))</f>
        <v/>
      </c>
      <c r="D39" s="2"/>
      <c r="E39" s="5" t="str">
        <f>IFERROR(INDEX('Malzeme Tanımlama'!$B$5:$B$300,MATCH(D39,'Malzeme Tanımlama'!$A$5:$A$300,0)),"")</f>
        <v/>
      </c>
      <c r="F39" s="2"/>
      <c r="G39" s="5"/>
      <c r="H39" s="5" t="str">
        <f>IFERROR(INDEX('Malzeme Tanımlama'!$D$5:$D$300,MATCH(D39,'Malzeme Tanımlama'!$A$5:$A$300,0)),"")</f>
        <v/>
      </c>
      <c r="I39" s="2"/>
      <c r="J39" s="2"/>
      <c r="K39" s="2"/>
    </row>
    <row r="40" spans="1:11" x14ac:dyDescent="0.3">
      <c r="A40" s="5" t="str">
        <f>IF(D40="","",COUNTIF($D$5:D40,"?*"))</f>
        <v/>
      </c>
      <c r="B40" s="6"/>
      <c r="C40" s="5" t="str">
        <f>IF(B40="","",INDEX({"Ocak","Şubat","Mart","Nisan","Mayıs","Haziran","Temmuz","Ağustos","Eylül","Ekim","Kasım","Aralık"},MONTH(B40)))</f>
        <v/>
      </c>
      <c r="D40" s="2"/>
      <c r="E40" s="5" t="str">
        <f>IFERROR(INDEX('Malzeme Tanımlama'!$B$5:$B$300,MATCH(D40,'Malzeme Tanımlama'!$A$5:$A$300,0)),"")</f>
        <v/>
      </c>
      <c r="F40" s="2"/>
      <c r="G40" s="5"/>
      <c r="H40" s="5" t="str">
        <f>IFERROR(INDEX('Malzeme Tanımlama'!$D$5:$D$300,MATCH(D40,'Malzeme Tanımlama'!$A$5:$A$300,0)),"")</f>
        <v/>
      </c>
      <c r="I40" s="2"/>
      <c r="J40" s="2"/>
      <c r="K40" s="2"/>
    </row>
    <row r="41" spans="1:11" x14ac:dyDescent="0.3">
      <c r="A41" s="5" t="str">
        <f>IF(D41="","",COUNTIF($D$5:D41,"?*"))</f>
        <v/>
      </c>
      <c r="B41" s="6"/>
      <c r="C41" s="5" t="str">
        <f>IF(B41="","",INDEX({"Ocak","Şubat","Mart","Nisan","Mayıs","Haziran","Temmuz","Ağustos","Eylül","Ekim","Kasım","Aralık"},MONTH(B41)))</f>
        <v/>
      </c>
      <c r="D41" s="2"/>
      <c r="E41" s="5" t="str">
        <f>IFERROR(INDEX('Malzeme Tanımlama'!$B$5:$B$300,MATCH(D41,'Malzeme Tanımlama'!$A$5:$A$300,0)),"")</f>
        <v/>
      </c>
      <c r="F41" s="2"/>
      <c r="G41" s="5"/>
      <c r="H41" s="5" t="str">
        <f>IFERROR(INDEX('Malzeme Tanımlama'!$D$5:$D$300,MATCH(D41,'Malzeme Tanımlama'!$A$5:$A$300,0)),"")</f>
        <v/>
      </c>
      <c r="I41" s="2"/>
      <c r="J41" s="2"/>
      <c r="K41" s="2"/>
    </row>
    <row r="42" spans="1:11" x14ac:dyDescent="0.3">
      <c r="A42" s="5" t="str">
        <f>IF(D42="","",COUNTIF($D$5:D42,"?*"))</f>
        <v/>
      </c>
      <c r="B42" s="6"/>
      <c r="C42" s="5" t="str">
        <f>IF(B42="","",INDEX({"Ocak","Şubat","Mart","Nisan","Mayıs","Haziran","Temmuz","Ağustos","Eylül","Ekim","Kasım","Aralık"},MONTH(B42)))</f>
        <v/>
      </c>
      <c r="D42" s="2"/>
      <c r="E42" s="5" t="str">
        <f>IFERROR(INDEX('Malzeme Tanımlama'!$B$5:$B$300,MATCH(D42,'Malzeme Tanımlama'!$A$5:$A$300,0)),"")</f>
        <v/>
      </c>
      <c r="F42" s="2"/>
      <c r="G42" s="5"/>
      <c r="H42" s="5" t="str">
        <f>IFERROR(INDEX('Malzeme Tanımlama'!$D$5:$D$300,MATCH(D42,'Malzeme Tanımlama'!$A$5:$A$300,0)),"")</f>
        <v/>
      </c>
      <c r="I42" s="2"/>
      <c r="J42" s="2"/>
      <c r="K42" s="2"/>
    </row>
    <row r="43" spans="1:11" x14ac:dyDescent="0.3">
      <c r="A43" s="5" t="str">
        <f>IF(D43="","",COUNTIF($D$5:D43,"?*"))</f>
        <v/>
      </c>
      <c r="B43" s="6"/>
      <c r="C43" s="5" t="str">
        <f>IF(B43="","",INDEX({"Ocak","Şubat","Mart","Nisan","Mayıs","Haziran","Temmuz","Ağustos","Eylül","Ekim","Kasım","Aralık"},MONTH(B43)))</f>
        <v/>
      </c>
      <c r="D43" s="2"/>
      <c r="E43" s="5" t="str">
        <f>IFERROR(INDEX('Malzeme Tanımlama'!$B$5:$B$300,MATCH(D43,'Malzeme Tanımlama'!$A$5:$A$300,0)),"")</f>
        <v/>
      </c>
      <c r="F43" s="2"/>
      <c r="G43" s="5"/>
      <c r="H43" s="5" t="str">
        <f>IFERROR(INDEX('Malzeme Tanımlama'!$D$5:$D$300,MATCH(D43,'Malzeme Tanımlama'!$A$5:$A$300,0)),"")</f>
        <v/>
      </c>
      <c r="I43" s="2"/>
      <c r="J43" s="2"/>
      <c r="K43" s="2"/>
    </row>
    <row r="44" spans="1:11" x14ac:dyDescent="0.3">
      <c r="A44" s="5" t="str">
        <f>IF(D44="","",COUNTIF($D$5:D44,"?*"))</f>
        <v/>
      </c>
      <c r="B44" s="6"/>
      <c r="C44" s="5" t="str">
        <f>IF(B44="","",INDEX({"Ocak","Şubat","Mart","Nisan","Mayıs","Haziran","Temmuz","Ağustos","Eylül","Ekim","Kasım","Aralık"},MONTH(B44)))</f>
        <v/>
      </c>
      <c r="D44" s="2"/>
      <c r="E44" s="5" t="str">
        <f>IFERROR(INDEX('Malzeme Tanımlama'!$B$5:$B$300,MATCH(D44,'Malzeme Tanımlama'!$A$5:$A$300,0)),"")</f>
        <v/>
      </c>
      <c r="F44" s="2"/>
      <c r="G44" s="5"/>
      <c r="H44" s="5" t="str">
        <f>IFERROR(INDEX('Malzeme Tanımlama'!$D$5:$D$300,MATCH(D44,'Malzeme Tanımlama'!$A$5:$A$300,0)),"")</f>
        <v/>
      </c>
      <c r="I44" s="2"/>
      <c r="J44" s="2"/>
      <c r="K44" s="2"/>
    </row>
    <row r="45" spans="1:11" x14ac:dyDescent="0.3">
      <c r="A45" s="5" t="str">
        <f>IF(D45="","",COUNTIF($D$5:D45,"?*"))</f>
        <v/>
      </c>
      <c r="B45" s="6"/>
      <c r="C45" s="5" t="str">
        <f>IF(B45="","",INDEX({"Ocak","Şubat","Mart","Nisan","Mayıs","Haziran","Temmuz","Ağustos","Eylül","Ekim","Kasım","Aralık"},MONTH(B45)))</f>
        <v/>
      </c>
      <c r="D45" s="2"/>
      <c r="E45" s="5" t="str">
        <f>IFERROR(INDEX('Malzeme Tanımlama'!$B$5:$B$300,MATCH(D45,'Malzeme Tanımlama'!$A$5:$A$300,0)),"")</f>
        <v/>
      </c>
      <c r="F45" s="2"/>
      <c r="G45" s="5"/>
      <c r="H45" s="5" t="str">
        <f>IFERROR(INDEX('Malzeme Tanımlama'!$D$5:$D$300,MATCH(D45,'Malzeme Tanımlama'!$A$5:$A$300,0)),"")</f>
        <v/>
      </c>
      <c r="I45" s="2"/>
      <c r="J45" s="2"/>
      <c r="K45" s="2"/>
    </row>
    <row r="46" spans="1:11" x14ac:dyDescent="0.3">
      <c r="A46" s="5" t="str">
        <f>IF(D46="","",COUNTIF($D$5:D46,"?*"))</f>
        <v/>
      </c>
      <c r="B46" s="6"/>
      <c r="C46" s="5" t="str">
        <f>IF(B46="","",INDEX({"Ocak","Şubat","Mart","Nisan","Mayıs","Haziran","Temmuz","Ağustos","Eylül","Ekim","Kasım","Aralık"},MONTH(B46)))</f>
        <v/>
      </c>
      <c r="D46" s="2"/>
      <c r="E46" s="5" t="str">
        <f>IFERROR(INDEX('Malzeme Tanımlama'!$B$5:$B$300,MATCH(D46,'Malzeme Tanımlama'!$A$5:$A$300,0)),"")</f>
        <v/>
      </c>
      <c r="F46" s="2"/>
      <c r="G46" s="5"/>
      <c r="H46" s="5" t="str">
        <f>IFERROR(INDEX('Malzeme Tanımlama'!$D$5:$D$300,MATCH(D46,'Malzeme Tanımlama'!$A$5:$A$300,0)),"")</f>
        <v/>
      </c>
      <c r="I46" s="2"/>
      <c r="J46" s="2"/>
      <c r="K46" s="2"/>
    </row>
    <row r="47" spans="1:11" x14ac:dyDescent="0.3">
      <c r="A47" s="5" t="str">
        <f>IF(D47="","",COUNTIF($D$5:D47,"?*"))</f>
        <v/>
      </c>
      <c r="B47" s="6"/>
      <c r="C47" s="5" t="str">
        <f>IF(B47="","",INDEX({"Ocak","Şubat","Mart","Nisan","Mayıs","Haziran","Temmuz","Ağustos","Eylül","Ekim","Kasım","Aralık"},MONTH(B47)))</f>
        <v/>
      </c>
      <c r="D47" s="2"/>
      <c r="E47" s="5" t="str">
        <f>IFERROR(INDEX('Malzeme Tanımlama'!$B$5:$B$300,MATCH(D47,'Malzeme Tanımlama'!$A$5:$A$300,0)),"")</f>
        <v/>
      </c>
      <c r="F47" s="2"/>
      <c r="G47" s="5"/>
      <c r="H47" s="5" t="str">
        <f>IFERROR(INDEX('Malzeme Tanımlama'!$D$5:$D$300,MATCH(D47,'Malzeme Tanımlama'!$A$5:$A$300,0)),"")</f>
        <v/>
      </c>
      <c r="I47" s="2"/>
      <c r="J47" s="2"/>
      <c r="K47" s="2"/>
    </row>
    <row r="48" spans="1:11" x14ac:dyDescent="0.3">
      <c r="A48" s="5" t="str">
        <f>IF(D48="","",COUNTIF($D$5:D48,"?*"))</f>
        <v/>
      </c>
      <c r="B48" s="6"/>
      <c r="C48" s="5" t="str">
        <f>IF(B48="","",INDEX({"Ocak","Şubat","Mart","Nisan","Mayıs","Haziran","Temmuz","Ağustos","Eylül","Ekim","Kasım","Aralık"},MONTH(B48)))</f>
        <v/>
      </c>
      <c r="D48" s="2"/>
      <c r="E48" s="5" t="str">
        <f>IFERROR(INDEX('Malzeme Tanımlama'!$B$5:$B$300,MATCH(D48,'Malzeme Tanımlama'!$A$5:$A$300,0)),"")</f>
        <v/>
      </c>
      <c r="F48" s="2"/>
      <c r="G48" s="5"/>
      <c r="H48" s="5" t="str">
        <f>IFERROR(INDEX('Malzeme Tanımlama'!$D$5:$D$300,MATCH(D48,'Malzeme Tanımlama'!$A$5:$A$300,0)),"")</f>
        <v/>
      </c>
      <c r="I48" s="2"/>
      <c r="J48" s="2"/>
      <c r="K48" s="2"/>
    </row>
    <row r="49" spans="1:11" x14ac:dyDescent="0.3">
      <c r="A49" s="5" t="str">
        <f>IF(D49="","",COUNTIF($D$5:D49,"?*"))</f>
        <v/>
      </c>
      <c r="B49" s="6"/>
      <c r="C49" s="5" t="str">
        <f>IF(B49="","",INDEX({"Ocak","Şubat","Mart","Nisan","Mayıs","Haziran","Temmuz","Ağustos","Eylül","Ekim","Kasım","Aralık"},MONTH(B49)))</f>
        <v/>
      </c>
      <c r="D49" s="2"/>
      <c r="E49" s="5" t="str">
        <f>IFERROR(INDEX('Malzeme Tanımlama'!$B$5:$B$300,MATCH(D49,'Malzeme Tanımlama'!$A$5:$A$300,0)),"")</f>
        <v/>
      </c>
      <c r="F49" s="2"/>
      <c r="G49" s="5"/>
      <c r="H49" s="5" t="str">
        <f>IFERROR(INDEX('Malzeme Tanımlama'!$D$5:$D$300,MATCH(D49,'Malzeme Tanımlama'!$A$5:$A$300,0)),"")</f>
        <v/>
      </c>
      <c r="I49" s="2"/>
      <c r="J49" s="2"/>
      <c r="K49" s="2"/>
    </row>
    <row r="50" spans="1:11" x14ac:dyDescent="0.3">
      <c r="A50" s="5" t="str">
        <f>IF(D50="","",COUNTIF($D$5:D50,"?*"))</f>
        <v/>
      </c>
      <c r="B50" s="6"/>
      <c r="C50" s="5" t="str">
        <f>IF(B50="","",INDEX({"Ocak","Şubat","Mart","Nisan","Mayıs","Haziran","Temmuz","Ağustos","Eylül","Ekim","Kasım","Aralık"},MONTH(B50)))</f>
        <v/>
      </c>
      <c r="D50" s="2"/>
      <c r="E50" s="5" t="str">
        <f>IFERROR(INDEX('Malzeme Tanımlama'!$B$5:$B$300,MATCH(D50,'Malzeme Tanımlama'!$A$5:$A$300,0)),"")</f>
        <v/>
      </c>
      <c r="F50" s="2"/>
      <c r="G50" s="5"/>
      <c r="H50" s="5" t="str">
        <f>IFERROR(INDEX('Malzeme Tanımlama'!$D$5:$D$300,MATCH(D50,'Malzeme Tanımlama'!$A$5:$A$300,0)),"")</f>
        <v/>
      </c>
      <c r="I50" s="2"/>
      <c r="J50" s="2"/>
      <c r="K50" s="2"/>
    </row>
    <row r="51" spans="1:11" x14ac:dyDescent="0.3">
      <c r="A51" s="5" t="str">
        <f>IF(D51="","",COUNTIF($D$5:D51,"?*"))</f>
        <v/>
      </c>
      <c r="B51" s="6"/>
      <c r="C51" s="5" t="str">
        <f>IF(B51="","",INDEX({"Ocak","Şubat","Mart","Nisan","Mayıs","Haziran","Temmuz","Ağustos","Eylül","Ekim","Kasım","Aralık"},MONTH(B51)))</f>
        <v/>
      </c>
      <c r="D51" s="2"/>
      <c r="E51" s="5" t="str">
        <f>IFERROR(INDEX('Malzeme Tanımlama'!$B$5:$B$300,MATCH(D51,'Malzeme Tanımlama'!$A$5:$A$300,0)),"")</f>
        <v/>
      </c>
      <c r="F51" s="2"/>
      <c r="G51" s="5"/>
      <c r="H51" s="5" t="str">
        <f>IFERROR(INDEX('Malzeme Tanımlama'!$D$5:$D$300,MATCH(D51,'Malzeme Tanımlama'!$A$5:$A$300,0)),"")</f>
        <v/>
      </c>
      <c r="I51" s="2"/>
      <c r="J51" s="2"/>
      <c r="K51" s="2"/>
    </row>
    <row r="52" spans="1:11" x14ac:dyDescent="0.3">
      <c r="A52" s="5" t="str">
        <f>IF(D52="","",COUNTIF($D$5:D52,"?*"))</f>
        <v/>
      </c>
      <c r="B52" s="6"/>
      <c r="C52" s="5" t="str">
        <f>IF(B52="","",INDEX({"Ocak","Şubat","Mart","Nisan","Mayıs","Haziran","Temmuz","Ağustos","Eylül","Ekim","Kasım","Aralık"},MONTH(B52)))</f>
        <v/>
      </c>
      <c r="D52" s="2"/>
      <c r="E52" s="5" t="str">
        <f>IFERROR(INDEX('Malzeme Tanımlama'!$B$5:$B$300,MATCH(D52,'Malzeme Tanımlama'!$A$5:$A$300,0)),"")</f>
        <v/>
      </c>
      <c r="F52" s="2"/>
      <c r="G52" s="5"/>
      <c r="H52" s="5" t="str">
        <f>IFERROR(INDEX('Malzeme Tanımlama'!$D$5:$D$300,MATCH(D52,'Malzeme Tanımlama'!$A$5:$A$300,0)),"")</f>
        <v/>
      </c>
      <c r="I52" s="2"/>
      <c r="J52" s="2"/>
      <c r="K52" s="2"/>
    </row>
    <row r="53" spans="1:11" x14ac:dyDescent="0.3">
      <c r="A53" s="5" t="str">
        <f>IF(D53="","",COUNTIF($D$5:D53,"?*"))</f>
        <v/>
      </c>
      <c r="B53" s="6"/>
      <c r="C53" s="5" t="str">
        <f>IF(B53="","",INDEX({"Ocak","Şubat","Mart","Nisan","Mayıs","Haziran","Temmuz","Ağustos","Eylül","Ekim","Kasım","Aralık"},MONTH(B53)))</f>
        <v/>
      </c>
      <c r="D53" s="2"/>
      <c r="E53" s="5" t="str">
        <f>IFERROR(INDEX('Malzeme Tanımlama'!$B$5:$B$300,MATCH(D53,'Malzeme Tanımlama'!$A$5:$A$300,0)),"")</f>
        <v/>
      </c>
      <c r="F53" s="2"/>
      <c r="G53" s="5"/>
      <c r="H53" s="5" t="str">
        <f>IFERROR(INDEX('Malzeme Tanımlama'!$D$5:$D$300,MATCH(D53,'Malzeme Tanımlama'!$A$5:$A$300,0)),"")</f>
        <v/>
      </c>
      <c r="I53" s="2"/>
      <c r="J53" s="2"/>
      <c r="K53" s="2"/>
    </row>
    <row r="54" spans="1:11" x14ac:dyDescent="0.3">
      <c r="A54" s="5" t="str">
        <f>IF(D54="","",COUNTIF($D$5:D54,"?*"))</f>
        <v/>
      </c>
      <c r="B54" s="6"/>
      <c r="C54" s="5" t="str">
        <f>IF(B54="","",INDEX({"Ocak","Şubat","Mart","Nisan","Mayıs","Haziran","Temmuz","Ağustos","Eylül","Ekim","Kasım","Aralık"},MONTH(B54)))</f>
        <v/>
      </c>
      <c r="D54" s="2"/>
      <c r="E54" s="5" t="str">
        <f>IFERROR(INDEX('Malzeme Tanımlama'!$B$5:$B$300,MATCH(D54,'Malzeme Tanımlama'!$A$5:$A$300,0)),"")</f>
        <v/>
      </c>
      <c r="F54" s="2"/>
      <c r="G54" s="5"/>
      <c r="H54" s="5" t="str">
        <f>IFERROR(INDEX('Malzeme Tanımlama'!$D$5:$D$300,MATCH(D54,'Malzeme Tanımlama'!$A$5:$A$300,0)),"")</f>
        <v/>
      </c>
      <c r="I54" s="2"/>
      <c r="J54" s="2"/>
      <c r="K54" s="2"/>
    </row>
    <row r="55" spans="1:11" x14ac:dyDescent="0.3">
      <c r="A55" s="5" t="str">
        <f>IF(D55="","",COUNTIF($D$5:D55,"?*"))</f>
        <v/>
      </c>
      <c r="B55" s="6"/>
      <c r="C55" s="5" t="str">
        <f>IF(B55="","",INDEX({"Ocak","Şubat","Mart","Nisan","Mayıs","Haziran","Temmuz","Ağustos","Eylül","Ekim","Kasım","Aralık"},MONTH(B55)))</f>
        <v/>
      </c>
      <c r="D55" s="2"/>
      <c r="E55" s="5" t="str">
        <f>IFERROR(INDEX('Malzeme Tanımlama'!$B$5:$B$300,MATCH(D55,'Malzeme Tanımlama'!$A$5:$A$300,0)),"")</f>
        <v/>
      </c>
      <c r="F55" s="2"/>
      <c r="G55" s="5"/>
      <c r="H55" s="5" t="str">
        <f>IFERROR(INDEX('Malzeme Tanımlama'!$D$5:$D$300,MATCH(D55,'Malzeme Tanımlama'!$A$5:$A$300,0)),"")</f>
        <v/>
      </c>
      <c r="I55" s="2"/>
      <c r="J55" s="2"/>
      <c r="K55" s="2"/>
    </row>
    <row r="56" spans="1:11" x14ac:dyDescent="0.3">
      <c r="A56" s="5" t="str">
        <f>IF(D56="","",COUNTIF($D$5:D56,"?*"))</f>
        <v/>
      </c>
      <c r="B56" s="6"/>
      <c r="C56" s="5" t="str">
        <f>IF(B56="","",INDEX({"Ocak","Şubat","Mart","Nisan","Mayıs","Haziran","Temmuz","Ağustos","Eylül","Ekim","Kasım","Aralık"},MONTH(B56)))</f>
        <v/>
      </c>
      <c r="D56" s="2"/>
      <c r="E56" s="5" t="str">
        <f>IFERROR(INDEX('Malzeme Tanımlama'!$B$5:$B$300,MATCH(D56,'Malzeme Tanımlama'!$A$5:$A$300,0)),"")</f>
        <v/>
      </c>
      <c r="F56" s="2"/>
      <c r="G56" s="5"/>
      <c r="H56" s="5" t="str">
        <f>IFERROR(INDEX('Malzeme Tanımlama'!$D$5:$D$300,MATCH(D56,'Malzeme Tanımlama'!$A$5:$A$300,0)),"")</f>
        <v/>
      </c>
      <c r="I56" s="2"/>
      <c r="J56" s="2"/>
      <c r="K56" s="2"/>
    </row>
    <row r="57" spans="1:11" x14ac:dyDescent="0.3">
      <c r="A57" s="5" t="str">
        <f>IF(D57="","",COUNTIF($D$5:D57,"?*"))</f>
        <v/>
      </c>
      <c r="B57" s="6"/>
      <c r="C57" s="5" t="str">
        <f>IF(B57="","",INDEX({"Ocak","Şubat","Mart","Nisan","Mayıs","Haziran","Temmuz","Ağustos","Eylül","Ekim","Kasım","Aralık"},MONTH(B57)))</f>
        <v/>
      </c>
      <c r="D57" s="2"/>
      <c r="E57" s="5" t="str">
        <f>IFERROR(INDEX('Malzeme Tanımlama'!$B$5:$B$300,MATCH(D57,'Malzeme Tanımlama'!$A$5:$A$300,0)),"")</f>
        <v/>
      </c>
      <c r="F57" s="2"/>
      <c r="G57" s="5"/>
      <c r="H57" s="5" t="str">
        <f>IFERROR(INDEX('Malzeme Tanımlama'!$D$5:$D$300,MATCH(D57,'Malzeme Tanımlama'!$A$5:$A$300,0)),"")</f>
        <v/>
      </c>
      <c r="I57" s="2"/>
      <c r="J57" s="2"/>
      <c r="K57" s="2"/>
    </row>
    <row r="58" spans="1:11" x14ac:dyDescent="0.3">
      <c r="A58" s="5" t="str">
        <f>IF(D58="","",COUNTIF($D$5:D58,"?*"))</f>
        <v/>
      </c>
      <c r="B58" s="6"/>
      <c r="C58" s="5" t="str">
        <f>IF(B58="","",INDEX({"Ocak","Şubat","Mart","Nisan","Mayıs","Haziran","Temmuz","Ağustos","Eylül","Ekim","Kasım","Aralık"},MONTH(B58)))</f>
        <v/>
      </c>
      <c r="D58" s="2"/>
      <c r="E58" s="5" t="str">
        <f>IFERROR(INDEX('Malzeme Tanımlama'!$B$5:$B$300,MATCH(D58,'Malzeme Tanımlama'!$A$5:$A$300,0)),"")</f>
        <v/>
      </c>
      <c r="F58" s="2"/>
      <c r="G58" s="5"/>
      <c r="H58" s="5" t="str">
        <f>IFERROR(INDEX('Malzeme Tanımlama'!$D$5:$D$300,MATCH(D58,'Malzeme Tanımlama'!$A$5:$A$300,0)),"")</f>
        <v/>
      </c>
      <c r="I58" s="2"/>
      <c r="J58" s="2"/>
      <c r="K58" s="2"/>
    </row>
    <row r="59" spans="1:11" x14ac:dyDescent="0.3">
      <c r="A59" s="5" t="str">
        <f>IF(D59="","",COUNTIF($D$5:D59,"?*"))</f>
        <v/>
      </c>
      <c r="B59" s="6"/>
      <c r="C59" s="5" t="str">
        <f>IF(B59="","",INDEX({"Ocak","Şubat","Mart","Nisan","Mayıs","Haziran","Temmuz","Ağustos","Eylül","Ekim","Kasım","Aralık"},MONTH(B59)))</f>
        <v/>
      </c>
      <c r="D59" s="2"/>
      <c r="E59" s="5" t="str">
        <f>IFERROR(INDEX('Malzeme Tanımlama'!$B$5:$B$300,MATCH(D59,'Malzeme Tanımlama'!$A$5:$A$300,0)),"")</f>
        <v/>
      </c>
      <c r="F59" s="2"/>
      <c r="G59" s="5"/>
      <c r="H59" s="5" t="str">
        <f>IFERROR(INDEX('Malzeme Tanımlama'!$D$5:$D$300,MATCH(D59,'Malzeme Tanımlama'!$A$5:$A$300,0)),"")</f>
        <v/>
      </c>
      <c r="I59" s="2"/>
      <c r="J59" s="2"/>
      <c r="K59" s="2"/>
    </row>
    <row r="60" spans="1:11" x14ac:dyDescent="0.3">
      <c r="A60" s="5" t="str">
        <f>IF(D60="","",COUNTIF($D$5:D60,"?*"))</f>
        <v/>
      </c>
      <c r="B60" s="6"/>
      <c r="C60" s="5" t="str">
        <f>IF(B60="","",INDEX({"Ocak","Şubat","Mart","Nisan","Mayıs","Haziran","Temmuz","Ağustos","Eylül","Ekim","Kasım","Aralık"},MONTH(B60)))</f>
        <v/>
      </c>
      <c r="D60" s="2"/>
      <c r="E60" s="5" t="str">
        <f>IFERROR(INDEX('Malzeme Tanımlama'!$B$5:$B$300,MATCH(D60,'Malzeme Tanımlama'!$A$5:$A$300,0)),"")</f>
        <v/>
      </c>
      <c r="F60" s="2"/>
      <c r="G60" s="5"/>
      <c r="H60" s="5" t="str">
        <f>IFERROR(INDEX('Malzeme Tanımlama'!$D$5:$D$300,MATCH(D60,'Malzeme Tanımlama'!$A$5:$A$300,0)),"")</f>
        <v/>
      </c>
      <c r="I60" s="2"/>
      <c r="J60" s="2"/>
      <c r="K60" s="2"/>
    </row>
    <row r="61" spans="1:11" x14ac:dyDescent="0.3">
      <c r="A61" s="5" t="str">
        <f>IF(D61="","",COUNTIF($D$5:D61,"?*"))</f>
        <v/>
      </c>
      <c r="B61" s="6"/>
      <c r="C61" s="5" t="str">
        <f>IF(B61="","",INDEX({"Ocak","Şubat","Mart","Nisan","Mayıs","Haziran","Temmuz","Ağustos","Eylül","Ekim","Kasım","Aralık"},MONTH(B61)))</f>
        <v/>
      </c>
      <c r="D61" s="2"/>
      <c r="E61" s="5" t="str">
        <f>IFERROR(INDEX('Malzeme Tanımlama'!$B$5:$B$300,MATCH(D61,'Malzeme Tanımlama'!$A$5:$A$300,0)),"")</f>
        <v/>
      </c>
      <c r="F61" s="2"/>
      <c r="G61" s="5"/>
      <c r="H61" s="5" t="str">
        <f>IFERROR(INDEX('Malzeme Tanımlama'!$D$5:$D$300,MATCH(D61,'Malzeme Tanımlama'!$A$5:$A$300,0)),"")</f>
        <v/>
      </c>
      <c r="I61" s="2"/>
      <c r="J61" s="2"/>
      <c r="K61" s="2"/>
    </row>
    <row r="62" spans="1:11" x14ac:dyDescent="0.3">
      <c r="A62" s="5" t="str">
        <f>IF(D62="","",COUNTIF($D$5:D62,"?*"))</f>
        <v/>
      </c>
      <c r="B62" s="6"/>
      <c r="C62" s="5" t="str">
        <f>IF(B62="","",INDEX({"Ocak","Şubat","Mart","Nisan","Mayıs","Haziran","Temmuz","Ağustos","Eylül","Ekim","Kasım","Aralık"},MONTH(B62)))</f>
        <v/>
      </c>
      <c r="D62" s="2"/>
      <c r="E62" s="5" t="str">
        <f>IFERROR(INDEX('Malzeme Tanımlama'!$B$5:$B$300,MATCH(D62,'Malzeme Tanımlama'!$A$5:$A$300,0)),"")</f>
        <v/>
      </c>
      <c r="F62" s="2"/>
      <c r="G62" s="5"/>
      <c r="H62" s="5" t="str">
        <f>IFERROR(INDEX('Malzeme Tanımlama'!$D$5:$D$300,MATCH(D62,'Malzeme Tanımlama'!$A$5:$A$300,0)),"")</f>
        <v/>
      </c>
      <c r="I62" s="2"/>
      <c r="J62" s="2"/>
      <c r="K62" s="2"/>
    </row>
    <row r="63" spans="1:11" x14ac:dyDescent="0.3">
      <c r="A63" s="5" t="str">
        <f>IF(D63="","",COUNTIF($D$5:D63,"?*"))</f>
        <v/>
      </c>
      <c r="B63" s="6"/>
      <c r="C63" s="5" t="str">
        <f>IF(B63="","",INDEX({"Ocak","Şubat","Mart","Nisan","Mayıs","Haziran","Temmuz","Ağustos","Eylül","Ekim","Kasım","Aralık"},MONTH(B63)))</f>
        <v/>
      </c>
      <c r="D63" s="2"/>
      <c r="E63" s="5" t="str">
        <f>IFERROR(INDEX('Malzeme Tanımlama'!$B$5:$B$300,MATCH(D63,'Malzeme Tanımlama'!$A$5:$A$300,0)),"")</f>
        <v/>
      </c>
      <c r="F63" s="2"/>
      <c r="G63" s="5"/>
      <c r="H63" s="5" t="str">
        <f>IFERROR(INDEX('Malzeme Tanımlama'!$D$5:$D$300,MATCH(D63,'Malzeme Tanımlama'!$A$5:$A$300,0)),"")</f>
        <v/>
      </c>
      <c r="I63" s="2"/>
      <c r="J63" s="2"/>
      <c r="K63" s="2"/>
    </row>
    <row r="64" spans="1:11" x14ac:dyDescent="0.3">
      <c r="A64" s="5" t="str">
        <f>IF(D64="","",COUNTIF($D$5:D64,"?*"))</f>
        <v/>
      </c>
      <c r="B64" s="6"/>
      <c r="C64" s="5" t="str">
        <f>IF(B64="","",INDEX({"Ocak","Şubat","Mart","Nisan","Mayıs","Haziran","Temmuz","Ağustos","Eylül","Ekim","Kasım","Aralık"},MONTH(B64)))</f>
        <v/>
      </c>
      <c r="D64" s="2"/>
      <c r="E64" s="5" t="str">
        <f>IFERROR(INDEX('Malzeme Tanımlama'!$B$5:$B$300,MATCH(D64,'Malzeme Tanımlama'!$A$5:$A$300,0)),"")</f>
        <v/>
      </c>
      <c r="F64" s="2"/>
      <c r="G64" s="5"/>
      <c r="H64" s="5" t="str">
        <f>IFERROR(INDEX('Malzeme Tanımlama'!$D$5:$D$300,MATCH(D64,'Malzeme Tanımlama'!$A$5:$A$300,0)),"")</f>
        <v/>
      </c>
      <c r="I64" s="2"/>
      <c r="J64" s="2"/>
      <c r="K64" s="2"/>
    </row>
    <row r="65" spans="1:11" x14ac:dyDescent="0.3">
      <c r="A65" s="5" t="str">
        <f>IF(D65="","",COUNTIF($D$5:D65,"?*"))</f>
        <v/>
      </c>
      <c r="B65" s="6"/>
      <c r="C65" s="5" t="str">
        <f>IF(B65="","",INDEX({"Ocak","Şubat","Mart","Nisan","Mayıs","Haziran","Temmuz","Ağustos","Eylül","Ekim","Kasım","Aralık"},MONTH(B65)))</f>
        <v/>
      </c>
      <c r="D65" s="2"/>
      <c r="E65" s="5" t="str">
        <f>IFERROR(INDEX('Malzeme Tanımlama'!$B$5:$B$300,MATCH(D65,'Malzeme Tanımlama'!$A$5:$A$300,0)),"")</f>
        <v/>
      </c>
      <c r="F65" s="2"/>
      <c r="G65" s="5"/>
      <c r="H65" s="5" t="str">
        <f>IFERROR(INDEX('Malzeme Tanımlama'!$D$5:$D$300,MATCH(D65,'Malzeme Tanımlama'!$A$5:$A$300,0)),"")</f>
        <v/>
      </c>
      <c r="I65" s="2"/>
      <c r="J65" s="2"/>
      <c r="K65" s="2"/>
    </row>
    <row r="66" spans="1:11" x14ac:dyDescent="0.3">
      <c r="A66" s="5" t="str">
        <f>IF(D66="","",COUNTIF($D$5:D66,"?*"))</f>
        <v/>
      </c>
      <c r="B66" s="6"/>
      <c r="C66" s="5" t="str">
        <f>IF(B66="","",INDEX({"Ocak","Şubat","Mart","Nisan","Mayıs","Haziran","Temmuz","Ağustos","Eylül","Ekim","Kasım","Aralık"},MONTH(B66)))</f>
        <v/>
      </c>
      <c r="D66" s="2"/>
      <c r="E66" s="5" t="str">
        <f>IFERROR(INDEX('Malzeme Tanımlama'!$B$5:$B$300,MATCH(D66,'Malzeme Tanımlama'!$A$5:$A$300,0)),"")</f>
        <v/>
      </c>
      <c r="F66" s="2"/>
      <c r="G66" s="5"/>
      <c r="H66" s="5" t="str">
        <f>IFERROR(INDEX('Malzeme Tanımlama'!$D$5:$D$300,MATCH(D66,'Malzeme Tanımlama'!$A$5:$A$300,0)),"")</f>
        <v/>
      </c>
      <c r="I66" s="2"/>
      <c r="J66" s="2"/>
      <c r="K66" s="2"/>
    </row>
    <row r="67" spans="1:11" x14ac:dyDescent="0.3">
      <c r="A67" s="5" t="str">
        <f>IF(D67="","",COUNTIF($D$5:D67,"?*"))</f>
        <v/>
      </c>
      <c r="B67" s="6"/>
      <c r="C67" s="5" t="str">
        <f>IF(B67="","",INDEX({"Ocak","Şubat","Mart","Nisan","Mayıs","Haziran","Temmuz","Ağustos","Eylül","Ekim","Kasım","Aralık"},MONTH(B67)))</f>
        <v/>
      </c>
      <c r="D67" s="2"/>
      <c r="E67" s="5" t="str">
        <f>IFERROR(INDEX('Malzeme Tanımlama'!$B$5:$B$300,MATCH(D67,'Malzeme Tanımlama'!$A$5:$A$300,0)),"")</f>
        <v/>
      </c>
      <c r="F67" s="2"/>
      <c r="G67" s="5"/>
      <c r="H67" s="5" t="str">
        <f>IFERROR(INDEX('Malzeme Tanımlama'!$D$5:$D$300,MATCH(D67,'Malzeme Tanımlama'!$A$5:$A$300,0)),"")</f>
        <v/>
      </c>
      <c r="I67" s="2"/>
      <c r="J67" s="2"/>
      <c r="K67" s="2"/>
    </row>
    <row r="68" spans="1:11" x14ac:dyDescent="0.3">
      <c r="A68" s="5" t="str">
        <f>IF(D68="","",COUNTIF($D$5:D68,"?*"))</f>
        <v/>
      </c>
      <c r="B68" s="6"/>
      <c r="C68" s="5" t="str">
        <f>IF(B68="","",INDEX({"Ocak","Şubat","Mart","Nisan","Mayıs","Haziran","Temmuz","Ağustos","Eylül","Ekim","Kasım","Aralık"},MONTH(B68)))</f>
        <v/>
      </c>
      <c r="D68" s="2"/>
      <c r="E68" s="5" t="str">
        <f>IFERROR(INDEX('Malzeme Tanımlama'!$B$5:$B$300,MATCH(D68,'Malzeme Tanımlama'!$A$5:$A$300,0)),"")</f>
        <v/>
      </c>
      <c r="F68" s="2"/>
      <c r="G68" s="5"/>
      <c r="H68" s="5" t="str">
        <f>IFERROR(INDEX('Malzeme Tanımlama'!$D$5:$D$300,MATCH(D68,'Malzeme Tanımlama'!$A$5:$A$300,0)),"")</f>
        <v/>
      </c>
      <c r="I68" s="2"/>
      <c r="J68" s="2"/>
      <c r="K68" s="2"/>
    </row>
    <row r="69" spans="1:11" x14ac:dyDescent="0.3">
      <c r="A69" s="5" t="str">
        <f>IF(D69="","",COUNTIF($D$5:D69,"?*"))</f>
        <v/>
      </c>
      <c r="B69" s="6"/>
      <c r="C69" s="5" t="str">
        <f>IF(B69="","",INDEX({"Ocak","Şubat","Mart","Nisan","Mayıs","Haziran","Temmuz","Ağustos","Eylül","Ekim","Kasım","Aralık"},MONTH(B69)))</f>
        <v/>
      </c>
      <c r="D69" s="2"/>
      <c r="E69" s="5" t="str">
        <f>IFERROR(INDEX('Malzeme Tanımlama'!$B$5:$B$300,MATCH(D69,'Malzeme Tanımlama'!$A$5:$A$300,0)),"")</f>
        <v/>
      </c>
      <c r="F69" s="2"/>
      <c r="G69" s="5"/>
      <c r="H69" s="5" t="str">
        <f>IFERROR(INDEX('Malzeme Tanımlama'!$D$5:$D$300,MATCH(D69,'Malzeme Tanımlama'!$A$5:$A$300,0)),"")</f>
        <v/>
      </c>
      <c r="I69" s="2"/>
      <c r="J69" s="2"/>
      <c r="K69" s="2"/>
    </row>
    <row r="70" spans="1:11" x14ac:dyDescent="0.3">
      <c r="A70" s="5" t="str">
        <f>IF(D70="","",COUNTIF($D$5:D70,"?*"))</f>
        <v/>
      </c>
      <c r="B70" s="6"/>
      <c r="C70" s="5" t="str">
        <f>IF(B70="","",INDEX({"Ocak","Şubat","Mart","Nisan","Mayıs","Haziran","Temmuz","Ağustos","Eylül","Ekim","Kasım","Aralık"},MONTH(B70)))</f>
        <v/>
      </c>
      <c r="D70" s="2"/>
      <c r="E70" s="5" t="str">
        <f>IFERROR(INDEX('Malzeme Tanımlama'!$B$5:$B$300,MATCH(D70,'Malzeme Tanımlama'!$A$5:$A$300,0)),"")</f>
        <v/>
      </c>
      <c r="F70" s="2"/>
      <c r="G70" s="5"/>
      <c r="H70" s="5" t="str">
        <f>IFERROR(INDEX('Malzeme Tanımlama'!$D$5:$D$300,MATCH(D70,'Malzeme Tanımlama'!$A$5:$A$300,0)),"")</f>
        <v/>
      </c>
      <c r="I70" s="2"/>
      <c r="J70" s="2"/>
      <c r="K70" s="2"/>
    </row>
    <row r="71" spans="1:11" x14ac:dyDescent="0.3">
      <c r="A71" s="5" t="str">
        <f>IF(D71="","",COUNTIF($D$5:D71,"?*"))</f>
        <v/>
      </c>
      <c r="B71" s="6"/>
      <c r="C71" s="5" t="str">
        <f>IF(B71="","",INDEX({"Ocak","Şubat","Mart","Nisan","Mayıs","Haziran","Temmuz","Ağustos","Eylül","Ekim","Kasım","Aralık"},MONTH(B71)))</f>
        <v/>
      </c>
      <c r="D71" s="2"/>
      <c r="E71" s="5" t="str">
        <f>IFERROR(INDEX('Malzeme Tanımlama'!$B$5:$B$300,MATCH(D71,'Malzeme Tanımlama'!$A$5:$A$300,0)),"")</f>
        <v/>
      </c>
      <c r="F71" s="2"/>
      <c r="G71" s="5"/>
      <c r="H71" s="5" t="str">
        <f>IFERROR(INDEX('Malzeme Tanımlama'!$D$5:$D$300,MATCH(D71,'Malzeme Tanımlama'!$A$5:$A$300,0)),"")</f>
        <v/>
      </c>
      <c r="I71" s="2"/>
      <c r="J71" s="2"/>
      <c r="K71" s="2"/>
    </row>
    <row r="72" spans="1:11" x14ac:dyDescent="0.3">
      <c r="A72" s="5" t="str">
        <f>IF(D72="","",COUNTIF($D$5:D72,"?*"))</f>
        <v/>
      </c>
      <c r="B72" s="6"/>
      <c r="C72" s="5" t="str">
        <f>IF(B72="","",INDEX({"Ocak","Şubat","Mart","Nisan","Mayıs","Haziran","Temmuz","Ağustos","Eylül","Ekim","Kasım","Aralık"},MONTH(B72)))</f>
        <v/>
      </c>
      <c r="D72" s="2"/>
      <c r="E72" s="5" t="str">
        <f>IFERROR(INDEX('Malzeme Tanımlama'!$B$5:$B$300,MATCH(D72,'Malzeme Tanımlama'!$A$5:$A$300,0)),"")</f>
        <v/>
      </c>
      <c r="F72" s="2"/>
      <c r="G72" s="5"/>
      <c r="H72" s="5" t="str">
        <f>IFERROR(INDEX('Malzeme Tanımlama'!$D$5:$D$300,MATCH(D72,'Malzeme Tanımlama'!$A$5:$A$300,0)),"")</f>
        <v/>
      </c>
      <c r="I72" s="2"/>
      <c r="J72" s="2"/>
      <c r="K72" s="2"/>
    </row>
    <row r="73" spans="1:11" x14ac:dyDescent="0.3">
      <c r="A73" s="5" t="str">
        <f>IF(D73="","",COUNTIF($D$5:D73,"?*"))</f>
        <v/>
      </c>
      <c r="B73" s="6"/>
      <c r="C73" s="5" t="str">
        <f>IF(B73="","",INDEX({"Ocak","Şubat","Mart","Nisan","Mayıs","Haziran","Temmuz","Ağustos","Eylül","Ekim","Kasım","Aralık"},MONTH(B73)))</f>
        <v/>
      </c>
      <c r="D73" s="2"/>
      <c r="E73" s="5" t="str">
        <f>IFERROR(INDEX('Malzeme Tanımlama'!$B$5:$B$300,MATCH(D73,'Malzeme Tanımlama'!$A$5:$A$300,0)),"")</f>
        <v/>
      </c>
      <c r="F73" s="2"/>
      <c r="G73" s="5"/>
      <c r="H73" s="5" t="str">
        <f>IFERROR(INDEX('Malzeme Tanımlama'!$D$5:$D$300,MATCH(D73,'Malzeme Tanımlama'!$A$5:$A$300,0)),"")</f>
        <v/>
      </c>
      <c r="I73" s="2"/>
      <c r="J73" s="2"/>
      <c r="K73" s="2"/>
    </row>
    <row r="74" spans="1:11" x14ac:dyDescent="0.3">
      <c r="A74" s="5" t="str">
        <f>IF(D74="","",COUNTIF($D$5:D74,"?*"))</f>
        <v/>
      </c>
      <c r="B74" s="6"/>
      <c r="C74" s="5" t="str">
        <f>IF(B74="","",INDEX({"Ocak","Şubat","Mart","Nisan","Mayıs","Haziran","Temmuz","Ağustos","Eylül","Ekim","Kasım","Aralık"},MONTH(B74)))</f>
        <v/>
      </c>
      <c r="D74" s="2"/>
      <c r="E74" s="5" t="str">
        <f>IFERROR(INDEX('Malzeme Tanımlama'!$B$5:$B$300,MATCH(D74,'Malzeme Tanımlama'!$A$5:$A$300,0)),"")</f>
        <v/>
      </c>
      <c r="F74" s="2"/>
      <c r="G74" s="5"/>
      <c r="H74" s="5" t="str">
        <f>IFERROR(INDEX('Malzeme Tanımlama'!$D$5:$D$300,MATCH(D74,'Malzeme Tanımlama'!$A$5:$A$300,0)),"")</f>
        <v/>
      </c>
      <c r="I74" s="2"/>
      <c r="J74" s="2"/>
      <c r="K74" s="2"/>
    </row>
    <row r="75" spans="1:11" x14ac:dyDescent="0.3">
      <c r="A75" s="5" t="str">
        <f>IF(D75="","",COUNTIF($D$5:D75,"?*"))</f>
        <v/>
      </c>
      <c r="B75" s="6"/>
      <c r="C75" s="5" t="str">
        <f>IF(B75="","",INDEX({"Ocak","Şubat","Mart","Nisan","Mayıs","Haziran","Temmuz","Ağustos","Eylül","Ekim","Kasım","Aralık"},MONTH(B75)))</f>
        <v/>
      </c>
      <c r="D75" s="2"/>
      <c r="E75" s="5" t="str">
        <f>IFERROR(INDEX('Malzeme Tanımlama'!$B$5:$B$300,MATCH(D75,'Malzeme Tanımlama'!$A$5:$A$300,0)),"")</f>
        <v/>
      </c>
      <c r="F75" s="2"/>
      <c r="G75" s="5"/>
      <c r="H75" s="5" t="str">
        <f>IFERROR(INDEX('Malzeme Tanımlama'!$D$5:$D$300,MATCH(D75,'Malzeme Tanımlama'!$A$5:$A$300,0)),"")</f>
        <v/>
      </c>
      <c r="I75" s="2"/>
      <c r="J75" s="2"/>
      <c r="K75" s="2"/>
    </row>
    <row r="76" spans="1:11" x14ac:dyDescent="0.3">
      <c r="A76" s="5" t="str">
        <f>IF(D76="","",COUNTIF($D$5:D76,"?*"))</f>
        <v/>
      </c>
      <c r="B76" s="6"/>
      <c r="C76" s="5" t="str">
        <f>IF(B76="","",INDEX({"Ocak","Şubat","Mart","Nisan","Mayıs","Haziran","Temmuz","Ağustos","Eylül","Ekim","Kasım","Aralık"},MONTH(B76)))</f>
        <v/>
      </c>
      <c r="D76" s="2"/>
      <c r="E76" s="5" t="str">
        <f>IFERROR(INDEX('Malzeme Tanımlama'!$B$5:$B$300,MATCH(D76,'Malzeme Tanımlama'!$A$5:$A$300,0)),"")</f>
        <v/>
      </c>
      <c r="F76" s="2"/>
      <c r="G76" s="5"/>
      <c r="H76" s="5" t="str">
        <f>IFERROR(INDEX('Malzeme Tanımlama'!$D$5:$D$300,MATCH(D76,'Malzeme Tanımlama'!$A$5:$A$300,0)),"")</f>
        <v/>
      </c>
      <c r="I76" s="2"/>
      <c r="J76" s="2"/>
      <c r="K76" s="2"/>
    </row>
    <row r="77" spans="1:11" x14ac:dyDescent="0.3">
      <c r="A77" s="5" t="str">
        <f>IF(D77="","",COUNTIF($D$5:D77,"?*"))</f>
        <v/>
      </c>
      <c r="B77" s="6"/>
      <c r="C77" s="5" t="str">
        <f>IF(B77="","",INDEX({"Ocak","Şubat","Mart","Nisan","Mayıs","Haziran","Temmuz","Ağustos","Eylül","Ekim","Kasım","Aralık"},MONTH(B77)))</f>
        <v/>
      </c>
      <c r="D77" s="2"/>
      <c r="E77" s="5" t="str">
        <f>IFERROR(INDEX('Malzeme Tanımlama'!$B$5:$B$300,MATCH(D77,'Malzeme Tanımlama'!$A$5:$A$300,0)),"")</f>
        <v/>
      </c>
      <c r="F77" s="2"/>
      <c r="G77" s="5"/>
      <c r="H77" s="5" t="str">
        <f>IFERROR(INDEX('Malzeme Tanımlama'!$D$5:$D$300,MATCH(D77,'Malzeme Tanımlama'!$A$5:$A$300,0)),"")</f>
        <v/>
      </c>
      <c r="I77" s="2"/>
      <c r="J77" s="2"/>
      <c r="K77" s="2"/>
    </row>
    <row r="78" spans="1:11" x14ac:dyDescent="0.3">
      <c r="A78" s="5" t="str">
        <f>IF(D78="","",COUNTIF($D$5:D78,"?*"))</f>
        <v/>
      </c>
      <c r="B78" s="6"/>
      <c r="C78" s="5" t="str">
        <f>IF(B78="","",INDEX({"Ocak","Şubat","Mart","Nisan","Mayıs","Haziran","Temmuz","Ağustos","Eylül","Ekim","Kasım","Aralık"},MONTH(B78)))</f>
        <v/>
      </c>
      <c r="D78" s="2"/>
      <c r="E78" s="5" t="str">
        <f>IFERROR(INDEX('Malzeme Tanımlama'!$B$5:$B$300,MATCH(D78,'Malzeme Tanımlama'!$A$5:$A$300,0)),"")</f>
        <v/>
      </c>
      <c r="F78" s="2"/>
      <c r="G78" s="5"/>
      <c r="H78" s="5" t="str">
        <f>IFERROR(INDEX('Malzeme Tanımlama'!$D$5:$D$300,MATCH(D78,'Malzeme Tanımlama'!$A$5:$A$300,0)),"")</f>
        <v/>
      </c>
      <c r="I78" s="2"/>
      <c r="J78" s="2"/>
      <c r="K78" s="2"/>
    </row>
    <row r="79" spans="1:11" x14ac:dyDescent="0.3">
      <c r="A79" s="5" t="str">
        <f>IF(D79="","",COUNTIF($D$5:D79,"?*"))</f>
        <v/>
      </c>
      <c r="B79" s="6"/>
      <c r="C79" s="5" t="str">
        <f>IF(B79="","",INDEX({"Ocak","Şubat","Mart","Nisan","Mayıs","Haziran","Temmuz","Ağustos","Eylül","Ekim","Kasım","Aralık"},MONTH(B79)))</f>
        <v/>
      </c>
      <c r="D79" s="2"/>
      <c r="E79" s="5" t="str">
        <f>IFERROR(INDEX('Malzeme Tanımlama'!$B$5:$B$300,MATCH(D79,'Malzeme Tanımlama'!$A$5:$A$300,0)),"")</f>
        <v/>
      </c>
      <c r="F79" s="2"/>
      <c r="G79" s="5"/>
      <c r="H79" s="5" t="str">
        <f>IFERROR(INDEX('Malzeme Tanımlama'!$D$5:$D$300,MATCH(D79,'Malzeme Tanımlama'!$A$5:$A$300,0)),"")</f>
        <v/>
      </c>
      <c r="I79" s="2"/>
      <c r="J79" s="2"/>
      <c r="K79" s="2"/>
    </row>
    <row r="80" spans="1:11" x14ac:dyDescent="0.3">
      <c r="A80" s="5" t="str">
        <f>IF(D80="","",COUNTIF($D$5:D80,"?*"))</f>
        <v/>
      </c>
      <c r="B80" s="6"/>
      <c r="C80" s="5" t="str">
        <f>IF(B80="","",INDEX({"Ocak","Şubat","Mart","Nisan","Mayıs","Haziran","Temmuz","Ağustos","Eylül","Ekim","Kasım","Aralık"},MONTH(B80)))</f>
        <v/>
      </c>
      <c r="D80" s="2"/>
      <c r="E80" s="5" t="str">
        <f>IFERROR(INDEX('Malzeme Tanımlama'!$B$5:$B$300,MATCH(D80,'Malzeme Tanımlama'!$A$5:$A$300,0)),"")</f>
        <v/>
      </c>
      <c r="F80" s="2"/>
      <c r="G80" s="5"/>
      <c r="H80" s="5" t="str">
        <f>IFERROR(INDEX('Malzeme Tanımlama'!$D$5:$D$300,MATCH(D80,'Malzeme Tanımlama'!$A$5:$A$300,0)),"")</f>
        <v/>
      </c>
      <c r="I80" s="2"/>
      <c r="J80" s="2"/>
      <c r="K80" s="2"/>
    </row>
    <row r="81" spans="1:11" x14ac:dyDescent="0.3">
      <c r="A81" s="5" t="str">
        <f>IF(D81="","",COUNTIF($D$5:D81,"?*"))</f>
        <v/>
      </c>
      <c r="B81" s="6"/>
      <c r="C81" s="5" t="str">
        <f>IF(B81="","",INDEX({"Ocak","Şubat","Mart","Nisan","Mayıs","Haziran","Temmuz","Ağustos","Eylül","Ekim","Kasım","Aralık"},MONTH(B81)))</f>
        <v/>
      </c>
      <c r="D81" s="2"/>
      <c r="E81" s="5" t="str">
        <f>IFERROR(INDEX('Malzeme Tanımlama'!$B$5:$B$300,MATCH(D81,'Malzeme Tanımlama'!$A$5:$A$300,0)),"")</f>
        <v/>
      </c>
      <c r="F81" s="2"/>
      <c r="G81" s="5"/>
      <c r="H81" s="5" t="str">
        <f>IFERROR(INDEX('Malzeme Tanımlama'!$D$5:$D$300,MATCH(D81,'Malzeme Tanımlama'!$A$5:$A$300,0)),"")</f>
        <v/>
      </c>
      <c r="I81" s="2"/>
      <c r="J81" s="2"/>
      <c r="K81" s="2"/>
    </row>
    <row r="82" spans="1:11" x14ac:dyDescent="0.3">
      <c r="A82" s="5" t="str">
        <f>IF(D82="","",COUNTIF($D$5:D82,"?*"))</f>
        <v/>
      </c>
      <c r="B82" s="6"/>
      <c r="C82" s="5" t="str">
        <f>IF(B82="","",INDEX({"Ocak","Şubat","Mart","Nisan","Mayıs","Haziran","Temmuz","Ağustos","Eylül","Ekim","Kasım","Aralık"},MONTH(B82)))</f>
        <v/>
      </c>
      <c r="D82" s="2"/>
      <c r="E82" s="5" t="str">
        <f>IFERROR(INDEX('Malzeme Tanımlama'!$B$5:$B$300,MATCH(D82,'Malzeme Tanımlama'!$A$5:$A$300,0)),"")</f>
        <v/>
      </c>
      <c r="F82" s="2"/>
      <c r="G82" s="5"/>
      <c r="H82" s="5" t="str">
        <f>IFERROR(INDEX('Malzeme Tanımlama'!$D$5:$D$300,MATCH(D82,'Malzeme Tanımlama'!$A$5:$A$300,0)),"")</f>
        <v/>
      </c>
      <c r="I82" s="2"/>
      <c r="J82" s="2"/>
      <c r="K82" s="2"/>
    </row>
    <row r="83" spans="1:11" x14ac:dyDescent="0.3">
      <c r="A83" s="5" t="str">
        <f>IF(D83="","",COUNTIF($D$5:D83,"?*"))</f>
        <v/>
      </c>
      <c r="B83" s="6"/>
      <c r="C83" s="5" t="str">
        <f>IF(B83="","",INDEX({"Ocak","Şubat","Mart","Nisan","Mayıs","Haziran","Temmuz","Ağustos","Eylül","Ekim","Kasım","Aralık"},MONTH(B83)))</f>
        <v/>
      </c>
      <c r="D83" s="2"/>
      <c r="E83" s="5" t="str">
        <f>IFERROR(INDEX('Malzeme Tanımlama'!$B$5:$B$300,MATCH(D83,'Malzeme Tanımlama'!$A$5:$A$300,0)),"")</f>
        <v/>
      </c>
      <c r="F83" s="2"/>
      <c r="G83" s="5"/>
      <c r="H83" s="5" t="str">
        <f>IFERROR(INDEX('Malzeme Tanımlama'!$D$5:$D$300,MATCH(D83,'Malzeme Tanımlama'!$A$5:$A$300,0)),"")</f>
        <v/>
      </c>
      <c r="I83" s="2"/>
      <c r="J83" s="2"/>
      <c r="K83" s="2"/>
    </row>
    <row r="84" spans="1:11" x14ac:dyDescent="0.3">
      <c r="A84" s="5" t="str">
        <f>IF(D84="","",COUNTIF($D$5:D84,"?*"))</f>
        <v/>
      </c>
      <c r="B84" s="6"/>
      <c r="C84" s="5" t="str">
        <f>IF(B84="","",INDEX({"Ocak","Şubat","Mart","Nisan","Mayıs","Haziran","Temmuz","Ağustos","Eylül","Ekim","Kasım","Aralık"},MONTH(B84)))</f>
        <v/>
      </c>
      <c r="D84" s="2"/>
      <c r="E84" s="5" t="str">
        <f>IFERROR(INDEX('Malzeme Tanımlama'!$B$5:$B$300,MATCH(D84,'Malzeme Tanımlama'!$A$5:$A$300,0)),"")</f>
        <v/>
      </c>
      <c r="F84" s="2"/>
      <c r="G84" s="5"/>
      <c r="H84" s="5" t="str">
        <f>IFERROR(INDEX('Malzeme Tanımlama'!$D$5:$D$300,MATCH(D84,'Malzeme Tanımlama'!$A$5:$A$300,0)),"")</f>
        <v/>
      </c>
      <c r="I84" s="2"/>
      <c r="J84" s="2"/>
      <c r="K84" s="2"/>
    </row>
    <row r="85" spans="1:11" x14ac:dyDescent="0.3">
      <c r="A85" s="5" t="str">
        <f>IF(D85="","",COUNTIF($D$5:D85,"?*"))</f>
        <v/>
      </c>
      <c r="B85" s="6"/>
      <c r="C85" s="5" t="str">
        <f>IF(B85="","",INDEX({"Ocak","Şubat","Mart","Nisan","Mayıs","Haziran","Temmuz","Ağustos","Eylül","Ekim","Kasım","Aralık"},MONTH(B85)))</f>
        <v/>
      </c>
      <c r="D85" s="2"/>
      <c r="E85" s="5" t="str">
        <f>IFERROR(INDEX('Malzeme Tanımlama'!$B$5:$B$300,MATCH(D85,'Malzeme Tanımlama'!$A$5:$A$300,0)),"")</f>
        <v/>
      </c>
      <c r="F85" s="2"/>
      <c r="G85" s="5"/>
      <c r="H85" s="5" t="str">
        <f>IFERROR(INDEX('Malzeme Tanımlama'!$D$5:$D$300,MATCH(D85,'Malzeme Tanımlama'!$A$5:$A$300,0)),"")</f>
        <v/>
      </c>
      <c r="I85" s="2"/>
      <c r="J85" s="2"/>
      <c r="K85" s="2"/>
    </row>
    <row r="86" spans="1:11" x14ac:dyDescent="0.3">
      <c r="A86" s="5" t="str">
        <f>IF(D86="","",COUNTIF($D$5:D86,"?*"))</f>
        <v/>
      </c>
      <c r="B86" s="6"/>
      <c r="C86" s="5" t="str">
        <f>IF(B86="","",INDEX({"Ocak","Şubat","Mart","Nisan","Mayıs","Haziran","Temmuz","Ağustos","Eylül","Ekim","Kasım","Aralık"},MONTH(B86)))</f>
        <v/>
      </c>
      <c r="D86" s="2"/>
      <c r="E86" s="5" t="str">
        <f>IFERROR(INDEX('Malzeme Tanımlama'!$B$5:$B$300,MATCH(D86,'Malzeme Tanımlama'!$A$5:$A$300,0)),"")</f>
        <v/>
      </c>
      <c r="F86" s="2"/>
      <c r="G86" s="5"/>
      <c r="H86" s="5" t="str">
        <f>IFERROR(INDEX('Malzeme Tanımlama'!$D$5:$D$300,MATCH(D86,'Malzeme Tanımlama'!$A$5:$A$300,0)),"")</f>
        <v/>
      </c>
      <c r="I86" s="2"/>
      <c r="J86" s="2"/>
      <c r="K86" s="2"/>
    </row>
    <row r="87" spans="1:11" x14ac:dyDescent="0.3">
      <c r="A87" s="5" t="str">
        <f>IF(D87="","",COUNTIF($D$5:D87,"?*"))</f>
        <v/>
      </c>
      <c r="B87" s="6"/>
      <c r="C87" s="5" t="str">
        <f>IF(B87="","",INDEX({"Ocak","Şubat","Mart","Nisan","Mayıs","Haziran","Temmuz","Ağustos","Eylül","Ekim","Kasım","Aralık"},MONTH(B87)))</f>
        <v/>
      </c>
      <c r="D87" s="2"/>
      <c r="E87" s="5" t="str">
        <f>IFERROR(INDEX('Malzeme Tanımlama'!$B$5:$B$300,MATCH(D87,'Malzeme Tanımlama'!$A$5:$A$300,0)),"")</f>
        <v/>
      </c>
      <c r="F87" s="2"/>
      <c r="G87" s="5"/>
      <c r="H87" s="5" t="str">
        <f>IFERROR(INDEX('Malzeme Tanımlama'!$D$5:$D$300,MATCH(D87,'Malzeme Tanımlama'!$A$5:$A$300,0)),"")</f>
        <v/>
      </c>
      <c r="I87" s="2"/>
      <c r="J87" s="2"/>
      <c r="K87" s="2"/>
    </row>
    <row r="88" spans="1:11" x14ac:dyDescent="0.3">
      <c r="A88" s="5" t="str">
        <f>IF(D88="","",COUNTIF($D$5:D88,"?*"))</f>
        <v/>
      </c>
      <c r="B88" s="6"/>
      <c r="C88" s="5" t="str">
        <f>IF(B88="","",INDEX({"Ocak","Şubat","Mart","Nisan","Mayıs","Haziran","Temmuz","Ağustos","Eylül","Ekim","Kasım","Aralık"},MONTH(B88)))</f>
        <v/>
      </c>
      <c r="D88" s="2"/>
      <c r="E88" s="5" t="str">
        <f>IFERROR(INDEX('Malzeme Tanımlama'!$B$5:$B$300,MATCH(D88,'Malzeme Tanımlama'!$A$5:$A$300,0)),"")</f>
        <v/>
      </c>
      <c r="F88" s="2"/>
      <c r="G88" s="5"/>
      <c r="H88" s="5" t="str">
        <f>IFERROR(INDEX('Malzeme Tanımlama'!$D$5:$D$300,MATCH(D88,'Malzeme Tanımlama'!$A$5:$A$300,0)),"")</f>
        <v/>
      </c>
      <c r="I88" s="2"/>
      <c r="J88" s="2"/>
      <c r="K88" s="2"/>
    </row>
    <row r="89" spans="1:11" x14ac:dyDescent="0.3">
      <c r="A89" s="5" t="str">
        <f>IF(D89="","",COUNTIF($D$5:D89,"?*"))</f>
        <v/>
      </c>
      <c r="B89" s="6"/>
      <c r="C89" s="5" t="str">
        <f>IF(B89="","",INDEX({"Ocak","Şubat","Mart","Nisan","Mayıs","Haziran","Temmuz","Ağustos","Eylül","Ekim","Kasım","Aralık"},MONTH(B89)))</f>
        <v/>
      </c>
      <c r="D89" s="2"/>
      <c r="E89" s="5" t="str">
        <f>IFERROR(INDEX('Malzeme Tanımlama'!$B$5:$B$300,MATCH(D89,'Malzeme Tanımlama'!$A$5:$A$300,0)),"")</f>
        <v/>
      </c>
      <c r="F89" s="2"/>
      <c r="G89" s="5"/>
      <c r="H89" s="5" t="str">
        <f>IFERROR(INDEX('Malzeme Tanımlama'!$D$5:$D$300,MATCH(D89,'Malzeme Tanımlama'!$A$5:$A$300,0)),"")</f>
        <v/>
      </c>
      <c r="I89" s="2"/>
      <c r="J89" s="2"/>
      <c r="K89" s="2"/>
    </row>
    <row r="90" spans="1:11" x14ac:dyDescent="0.3">
      <c r="A90" s="5" t="str">
        <f>IF(D90="","",COUNTIF($D$5:D90,"?*"))</f>
        <v/>
      </c>
      <c r="B90" s="6"/>
      <c r="C90" s="5" t="str">
        <f>IF(B90="","",INDEX({"Ocak","Şubat","Mart","Nisan","Mayıs","Haziran","Temmuz","Ağustos","Eylül","Ekim","Kasım","Aralık"},MONTH(B90)))</f>
        <v/>
      </c>
      <c r="D90" s="2"/>
      <c r="E90" s="5" t="str">
        <f>IFERROR(INDEX('Malzeme Tanımlama'!$B$5:$B$300,MATCH(D90,'Malzeme Tanımlama'!$A$5:$A$300,0)),"")</f>
        <v/>
      </c>
      <c r="F90" s="2"/>
      <c r="G90" s="5"/>
      <c r="H90" s="5" t="str">
        <f>IFERROR(INDEX('Malzeme Tanımlama'!$D$5:$D$300,MATCH(D90,'Malzeme Tanımlama'!$A$5:$A$300,0)),"")</f>
        <v/>
      </c>
      <c r="I90" s="2"/>
      <c r="J90" s="2"/>
      <c r="K90" s="2"/>
    </row>
    <row r="91" spans="1:11" x14ac:dyDescent="0.3">
      <c r="A91" s="5" t="str">
        <f>IF(D91="","",COUNTIF($D$5:D91,"?*"))</f>
        <v/>
      </c>
      <c r="B91" s="6"/>
      <c r="C91" s="5" t="str">
        <f>IF(B91="","",INDEX({"Ocak","Şubat","Mart","Nisan","Mayıs","Haziran","Temmuz","Ağustos","Eylül","Ekim","Kasım","Aralık"},MONTH(B91)))</f>
        <v/>
      </c>
      <c r="D91" s="2"/>
      <c r="E91" s="5" t="str">
        <f>IFERROR(INDEX('Malzeme Tanımlama'!$B$5:$B$300,MATCH(D91,'Malzeme Tanımlama'!$A$5:$A$300,0)),"")</f>
        <v/>
      </c>
      <c r="F91" s="2"/>
      <c r="G91" s="5"/>
      <c r="H91" s="5" t="str">
        <f>IFERROR(INDEX('Malzeme Tanımlama'!$D$5:$D$300,MATCH(D91,'Malzeme Tanımlama'!$A$5:$A$300,0)),"")</f>
        <v/>
      </c>
      <c r="I91" s="2"/>
      <c r="J91" s="2"/>
      <c r="K91" s="2"/>
    </row>
    <row r="92" spans="1:11" x14ac:dyDescent="0.3">
      <c r="A92" s="5" t="str">
        <f>IF(D92="","",COUNTIF($D$5:D92,"?*"))</f>
        <v/>
      </c>
      <c r="B92" s="6"/>
      <c r="C92" s="5" t="str">
        <f>IF(B92="","",INDEX({"Ocak","Şubat","Mart","Nisan","Mayıs","Haziran","Temmuz","Ağustos","Eylül","Ekim","Kasım","Aralık"},MONTH(B92)))</f>
        <v/>
      </c>
      <c r="D92" s="2"/>
      <c r="E92" s="5" t="str">
        <f>IFERROR(INDEX('Malzeme Tanımlama'!$B$5:$B$300,MATCH(D92,'Malzeme Tanımlama'!$A$5:$A$300,0)),"")</f>
        <v/>
      </c>
      <c r="F92" s="2"/>
      <c r="G92" s="5"/>
      <c r="H92" s="5" t="str">
        <f>IFERROR(INDEX('Malzeme Tanımlama'!$D$5:$D$300,MATCH(D92,'Malzeme Tanımlama'!$A$5:$A$300,0)),"")</f>
        <v/>
      </c>
      <c r="I92" s="2"/>
      <c r="J92" s="2"/>
      <c r="K92" s="2"/>
    </row>
    <row r="93" spans="1:11" x14ac:dyDescent="0.3">
      <c r="A93" s="5" t="str">
        <f>IF(D93="","",COUNTIF($D$5:D93,"?*"))</f>
        <v/>
      </c>
      <c r="B93" s="6"/>
      <c r="C93" s="5" t="str">
        <f>IF(B93="","",INDEX({"Ocak","Şubat","Mart","Nisan","Mayıs","Haziran","Temmuz","Ağustos","Eylül","Ekim","Kasım","Aralık"},MONTH(B93)))</f>
        <v/>
      </c>
      <c r="D93" s="2"/>
      <c r="E93" s="5" t="str">
        <f>IFERROR(INDEX('Malzeme Tanımlama'!$B$5:$B$300,MATCH(D93,'Malzeme Tanımlama'!$A$5:$A$300,0)),"")</f>
        <v/>
      </c>
      <c r="F93" s="2"/>
      <c r="G93" s="5"/>
      <c r="H93" s="5" t="str">
        <f>IFERROR(INDEX('Malzeme Tanımlama'!$D$5:$D$300,MATCH(D93,'Malzeme Tanımlama'!$A$5:$A$300,0)),"")</f>
        <v/>
      </c>
      <c r="I93" s="2"/>
      <c r="J93" s="2"/>
      <c r="K93" s="2"/>
    </row>
    <row r="94" spans="1:11" x14ac:dyDescent="0.3">
      <c r="A94" s="5" t="str">
        <f>IF(D94="","",COUNTIF($D$5:D94,"?*"))</f>
        <v/>
      </c>
      <c r="B94" s="6"/>
      <c r="C94" s="5" t="str">
        <f>IF(B94="","",INDEX({"Ocak","Şubat","Mart","Nisan","Mayıs","Haziran","Temmuz","Ağustos","Eylül","Ekim","Kasım","Aralık"},MONTH(B94)))</f>
        <v/>
      </c>
      <c r="D94" s="2"/>
      <c r="E94" s="5" t="str">
        <f>IFERROR(INDEX('Malzeme Tanımlama'!$B$5:$B$300,MATCH(D94,'Malzeme Tanımlama'!$A$5:$A$300,0)),"")</f>
        <v/>
      </c>
      <c r="F94" s="2"/>
      <c r="G94" s="5"/>
      <c r="H94" s="5" t="str">
        <f>IFERROR(INDEX('Malzeme Tanımlama'!$D$5:$D$300,MATCH(D94,'Malzeme Tanımlama'!$A$5:$A$300,0)),"")</f>
        <v/>
      </c>
      <c r="I94" s="2"/>
      <c r="J94" s="2"/>
      <c r="K94" s="2"/>
    </row>
    <row r="95" spans="1:11" x14ac:dyDescent="0.3">
      <c r="A95" s="5" t="str">
        <f>IF(D95="","",COUNTIF($D$5:D95,"?*"))</f>
        <v/>
      </c>
      <c r="B95" s="6"/>
      <c r="C95" s="5" t="str">
        <f>IF(B95="","",INDEX({"Ocak","Şubat","Mart","Nisan","Mayıs","Haziran","Temmuz","Ağustos","Eylül","Ekim","Kasım","Aralık"},MONTH(B95)))</f>
        <v/>
      </c>
      <c r="D95" s="2"/>
      <c r="E95" s="5" t="str">
        <f>IFERROR(INDEX('Malzeme Tanımlama'!$B$5:$B$300,MATCH(D95,'Malzeme Tanımlama'!$A$5:$A$300,0)),"")</f>
        <v/>
      </c>
      <c r="F95" s="2"/>
      <c r="G95" s="5"/>
      <c r="H95" s="5" t="str">
        <f>IFERROR(INDEX('Malzeme Tanımlama'!$D$5:$D$300,MATCH(D95,'Malzeme Tanımlama'!$A$5:$A$300,0)),"")</f>
        <v/>
      </c>
      <c r="I95" s="2"/>
      <c r="J95" s="2"/>
      <c r="K95" s="2"/>
    </row>
    <row r="96" spans="1:11" x14ac:dyDescent="0.3">
      <c r="A96" s="5" t="str">
        <f>IF(D96="","",COUNTIF($D$5:D96,"?*"))</f>
        <v/>
      </c>
      <c r="B96" s="6"/>
      <c r="C96" s="5" t="str">
        <f>IF(B96="","",INDEX({"Ocak","Şubat","Mart","Nisan","Mayıs","Haziran","Temmuz","Ağustos","Eylül","Ekim","Kasım","Aralık"},MONTH(B96)))</f>
        <v/>
      </c>
      <c r="D96" s="2"/>
      <c r="E96" s="5" t="str">
        <f>IFERROR(INDEX('Malzeme Tanımlama'!$B$5:$B$300,MATCH(D96,'Malzeme Tanımlama'!$A$5:$A$300,0)),"")</f>
        <v/>
      </c>
      <c r="F96" s="2"/>
      <c r="G96" s="5"/>
      <c r="H96" s="5" t="str">
        <f>IFERROR(INDEX('Malzeme Tanımlama'!$D$5:$D$300,MATCH(D96,'Malzeme Tanımlama'!$A$5:$A$300,0)),"")</f>
        <v/>
      </c>
      <c r="I96" s="2"/>
      <c r="J96" s="2"/>
      <c r="K96" s="2"/>
    </row>
    <row r="97" spans="1:11" x14ac:dyDescent="0.3">
      <c r="A97" s="5" t="str">
        <f>IF(D97="","",COUNTIF($D$5:D97,"?*"))</f>
        <v/>
      </c>
      <c r="B97" s="6"/>
      <c r="C97" s="5" t="str">
        <f>IF(B97="","",INDEX({"Ocak","Şubat","Mart","Nisan","Mayıs","Haziran","Temmuz","Ağustos","Eylül","Ekim","Kasım","Aralık"},MONTH(B97)))</f>
        <v/>
      </c>
      <c r="D97" s="2"/>
      <c r="E97" s="5" t="str">
        <f>IFERROR(INDEX('Malzeme Tanımlama'!$B$5:$B$300,MATCH(D97,'Malzeme Tanımlama'!$A$5:$A$300,0)),"")</f>
        <v/>
      </c>
      <c r="F97" s="2"/>
      <c r="G97" s="5"/>
      <c r="H97" s="5" t="str">
        <f>IFERROR(INDEX('Malzeme Tanımlama'!$D$5:$D$300,MATCH(D97,'Malzeme Tanımlama'!$A$5:$A$300,0)),"")</f>
        <v/>
      </c>
      <c r="I97" s="2"/>
      <c r="J97" s="2"/>
      <c r="K97" s="2"/>
    </row>
    <row r="98" spans="1:11" x14ac:dyDescent="0.3">
      <c r="A98" s="5" t="str">
        <f>IF(D98="","",COUNTIF($D$5:D98,"?*"))</f>
        <v/>
      </c>
      <c r="B98" s="6"/>
      <c r="C98" s="5" t="str">
        <f>IF(B98="","",INDEX({"Ocak","Şubat","Mart","Nisan","Mayıs","Haziran","Temmuz","Ağustos","Eylül","Ekim","Kasım","Aralık"},MONTH(B98)))</f>
        <v/>
      </c>
      <c r="D98" s="2"/>
      <c r="E98" s="5" t="str">
        <f>IFERROR(INDEX('Malzeme Tanımlama'!$B$5:$B$300,MATCH(D98,'Malzeme Tanımlama'!$A$5:$A$300,0)),"")</f>
        <v/>
      </c>
      <c r="F98" s="2"/>
      <c r="G98" s="5"/>
      <c r="H98" s="5" t="str">
        <f>IFERROR(INDEX('Malzeme Tanımlama'!$D$5:$D$300,MATCH(D98,'Malzeme Tanımlama'!$A$5:$A$300,0)),"")</f>
        <v/>
      </c>
      <c r="I98" s="2"/>
      <c r="J98" s="2"/>
      <c r="K98" s="2"/>
    </row>
    <row r="99" spans="1:11" x14ac:dyDescent="0.3">
      <c r="A99" s="5" t="str">
        <f>IF(D99="","",COUNTIF($D$5:D99,"?*"))</f>
        <v/>
      </c>
      <c r="B99" s="6"/>
      <c r="C99" s="5" t="str">
        <f>IF(B99="","",INDEX({"Ocak","Şubat","Mart","Nisan","Mayıs","Haziran","Temmuz","Ağustos","Eylül","Ekim","Kasım","Aralık"},MONTH(B99)))</f>
        <v/>
      </c>
      <c r="D99" s="2"/>
      <c r="E99" s="5" t="str">
        <f>IFERROR(INDEX('Malzeme Tanımlama'!$B$5:$B$300,MATCH(D99,'Malzeme Tanımlama'!$A$5:$A$300,0)),"")</f>
        <v/>
      </c>
      <c r="F99" s="2"/>
      <c r="G99" s="5"/>
      <c r="H99" s="5" t="str">
        <f>IFERROR(INDEX('Malzeme Tanımlama'!$D$5:$D$300,MATCH(D99,'Malzeme Tanımlama'!$A$5:$A$300,0)),"")</f>
        <v/>
      </c>
      <c r="I99" s="2"/>
      <c r="J99" s="2"/>
      <c r="K99" s="2"/>
    </row>
    <row r="100" spans="1:11" x14ac:dyDescent="0.3">
      <c r="A100" s="5" t="str">
        <f>IF(D100="","",COUNTIF($D$5:D100,"?*"))</f>
        <v/>
      </c>
      <c r="B100" s="6"/>
      <c r="C100" s="5" t="str">
        <f>IF(B100="","",INDEX({"Ocak","Şubat","Mart","Nisan","Mayıs","Haziran","Temmuz","Ağustos","Eylül","Ekim","Kasım","Aralık"},MONTH(B100)))</f>
        <v/>
      </c>
      <c r="D100" s="2"/>
      <c r="E100" s="5" t="str">
        <f>IFERROR(INDEX('Malzeme Tanımlama'!$B$5:$B$300,MATCH(D100,'Malzeme Tanımlama'!$A$5:$A$300,0)),"")</f>
        <v/>
      </c>
      <c r="F100" s="2"/>
      <c r="G100" s="5"/>
      <c r="H100" s="5" t="str">
        <f>IFERROR(INDEX('Malzeme Tanımlama'!$D$5:$D$300,MATCH(D100,'Malzeme Tanımlama'!$A$5:$A$300,0)),"")</f>
        <v/>
      </c>
      <c r="I100" s="2"/>
      <c r="J100" s="2"/>
      <c r="K100" s="2"/>
    </row>
    <row r="101" spans="1:11" x14ac:dyDescent="0.3">
      <c r="A101" s="5" t="str">
        <f>IF(D101="","",COUNTIF($D$5:D101,"?*"))</f>
        <v/>
      </c>
      <c r="B101" s="6"/>
      <c r="C101" s="5" t="str">
        <f>IF(B101="","",INDEX({"Ocak","Şubat","Mart","Nisan","Mayıs","Haziran","Temmuz","Ağustos","Eylül","Ekim","Kasım","Aralık"},MONTH(B101)))</f>
        <v/>
      </c>
      <c r="D101" s="2"/>
      <c r="E101" s="5" t="str">
        <f>IFERROR(INDEX('Malzeme Tanımlama'!$B$5:$B$300,MATCH(D101,'Malzeme Tanımlama'!$A$5:$A$300,0)),"")</f>
        <v/>
      </c>
      <c r="F101" s="2"/>
      <c r="G101" s="5"/>
      <c r="H101" s="5" t="str">
        <f>IFERROR(INDEX('Malzeme Tanımlama'!$D$5:$D$300,MATCH(D101,'Malzeme Tanımlama'!$A$5:$A$300,0)),"")</f>
        <v/>
      </c>
      <c r="I101" s="2"/>
      <c r="J101" s="2"/>
      <c r="K101" s="2"/>
    </row>
    <row r="102" spans="1:11" x14ac:dyDescent="0.3">
      <c r="A102" s="5" t="str">
        <f>IF(D102="","",COUNTIF($D$5:D102,"?*"))</f>
        <v/>
      </c>
      <c r="B102" s="6"/>
      <c r="C102" s="5" t="str">
        <f>IF(B102="","",INDEX({"Ocak","Şubat","Mart","Nisan","Mayıs","Haziran","Temmuz","Ağustos","Eylül","Ekim","Kasım","Aralık"},MONTH(B102)))</f>
        <v/>
      </c>
      <c r="D102" s="2"/>
      <c r="E102" s="5" t="str">
        <f>IFERROR(INDEX('Malzeme Tanımlama'!$B$5:$B$300,MATCH(D102,'Malzeme Tanımlama'!$A$5:$A$300,0)),"")</f>
        <v/>
      </c>
      <c r="F102" s="2"/>
      <c r="G102" s="5"/>
      <c r="H102" s="5" t="str">
        <f>IFERROR(INDEX('Malzeme Tanımlama'!$D$5:$D$300,MATCH(D102,'Malzeme Tanımlama'!$A$5:$A$300,0)),"")</f>
        <v/>
      </c>
      <c r="I102" s="2"/>
      <c r="J102" s="2"/>
      <c r="K102" s="2"/>
    </row>
    <row r="103" spans="1:11" x14ac:dyDescent="0.3">
      <c r="A103" s="5" t="str">
        <f>IF(D103="","",COUNTIF($D$5:D103,"?*"))</f>
        <v/>
      </c>
      <c r="B103" s="6"/>
      <c r="C103" s="5" t="str">
        <f>IF(B103="","",INDEX({"Ocak","Şubat","Mart","Nisan","Mayıs","Haziran","Temmuz","Ağustos","Eylül","Ekim","Kasım","Aralık"},MONTH(B103)))</f>
        <v/>
      </c>
      <c r="D103" s="2"/>
      <c r="E103" s="5" t="str">
        <f>IFERROR(INDEX('Malzeme Tanımlama'!$B$5:$B$300,MATCH(D103,'Malzeme Tanımlama'!$A$5:$A$300,0)),"")</f>
        <v/>
      </c>
      <c r="F103" s="2"/>
      <c r="G103" s="5"/>
      <c r="H103" s="5" t="str">
        <f>IFERROR(INDEX('Malzeme Tanımlama'!$D$5:$D$300,MATCH(D103,'Malzeme Tanımlama'!$A$5:$A$300,0)),"")</f>
        <v/>
      </c>
      <c r="I103" s="2"/>
      <c r="J103" s="2"/>
      <c r="K103" s="2"/>
    </row>
    <row r="104" spans="1:11" x14ac:dyDescent="0.3">
      <c r="A104" s="5" t="str">
        <f>IF(D104="","",COUNTIF($D$5:D104,"?*"))</f>
        <v/>
      </c>
      <c r="B104" s="6"/>
      <c r="C104" s="5" t="str">
        <f>IF(B104="","",INDEX({"Ocak","Şubat","Mart","Nisan","Mayıs","Haziran","Temmuz","Ağustos","Eylül","Ekim","Kasım","Aralık"},MONTH(B104)))</f>
        <v/>
      </c>
      <c r="D104" s="2"/>
      <c r="E104" s="5" t="str">
        <f>IFERROR(INDEX('Malzeme Tanımlama'!$B$5:$B$300,MATCH(D104,'Malzeme Tanımlama'!$A$5:$A$300,0)),"")</f>
        <v/>
      </c>
      <c r="F104" s="2"/>
      <c r="G104" s="5"/>
      <c r="H104" s="5" t="str">
        <f>IFERROR(INDEX('Malzeme Tanımlama'!$D$5:$D$300,MATCH(D104,'Malzeme Tanımlama'!$A$5:$A$300,0)),"")</f>
        <v/>
      </c>
      <c r="I104" s="2"/>
      <c r="J104" s="2"/>
      <c r="K104" s="2"/>
    </row>
    <row r="105" spans="1:11" x14ac:dyDescent="0.3">
      <c r="A105" s="5" t="str">
        <f>IF(D105="","",COUNTIF($D$5:D105,"?*"))</f>
        <v/>
      </c>
      <c r="B105" s="6"/>
      <c r="C105" s="5" t="str">
        <f>IF(B105="","",INDEX({"Ocak","Şubat","Mart","Nisan","Mayıs","Haziran","Temmuz","Ağustos","Eylül","Ekim","Kasım","Aralık"},MONTH(B105)))</f>
        <v/>
      </c>
      <c r="D105" s="2"/>
      <c r="E105" s="5" t="str">
        <f>IFERROR(INDEX('Malzeme Tanımlama'!$B$5:$B$300,MATCH(D105,'Malzeme Tanımlama'!$A$5:$A$300,0)),"")</f>
        <v/>
      </c>
      <c r="F105" s="2"/>
      <c r="G105" s="5"/>
      <c r="H105" s="5" t="str">
        <f>IFERROR(INDEX('Malzeme Tanımlama'!$D$5:$D$300,MATCH(D105,'Malzeme Tanımlama'!$A$5:$A$300,0)),"")</f>
        <v/>
      </c>
      <c r="I105" s="2"/>
      <c r="J105" s="2"/>
      <c r="K105" s="2"/>
    </row>
    <row r="106" spans="1:11" x14ac:dyDescent="0.3">
      <c r="A106" s="5" t="str">
        <f>IF(D106="","",COUNTIF($D$5:D106,"?*"))</f>
        <v/>
      </c>
      <c r="B106" s="6"/>
      <c r="C106" s="5" t="str">
        <f>IF(B106="","",INDEX({"Ocak","Şubat","Mart","Nisan","Mayıs","Haziran","Temmuz","Ağustos","Eylül","Ekim","Kasım","Aralık"},MONTH(B106)))</f>
        <v/>
      </c>
      <c r="D106" s="2"/>
      <c r="E106" s="5" t="str">
        <f>IFERROR(INDEX('Malzeme Tanımlama'!$B$5:$B$300,MATCH(D106,'Malzeme Tanımlama'!$A$5:$A$300,0)),"")</f>
        <v/>
      </c>
      <c r="F106" s="2"/>
      <c r="G106" s="5"/>
      <c r="H106" s="5" t="str">
        <f>IFERROR(INDEX('Malzeme Tanımlama'!$D$5:$D$300,MATCH(D106,'Malzeme Tanımlama'!$A$5:$A$300,0)),"")</f>
        <v/>
      </c>
      <c r="I106" s="2"/>
      <c r="J106" s="2"/>
      <c r="K106" s="2"/>
    </row>
    <row r="107" spans="1:11" x14ac:dyDescent="0.3">
      <c r="A107" s="5" t="str">
        <f>IF(D107="","",COUNTIF($D$5:D107,"?*"))</f>
        <v/>
      </c>
      <c r="B107" s="6"/>
      <c r="C107" s="5" t="str">
        <f>IF(B107="","",INDEX({"Ocak","Şubat","Mart","Nisan","Mayıs","Haziran","Temmuz","Ağustos","Eylül","Ekim","Kasım","Aralık"},MONTH(B107)))</f>
        <v/>
      </c>
      <c r="D107" s="2"/>
      <c r="E107" s="5" t="str">
        <f>IFERROR(INDEX('Malzeme Tanımlama'!$B$5:$B$300,MATCH(D107,'Malzeme Tanımlama'!$A$5:$A$300,0)),"")</f>
        <v/>
      </c>
      <c r="F107" s="2"/>
      <c r="G107" s="5"/>
      <c r="H107" s="5" t="str">
        <f>IFERROR(INDEX('Malzeme Tanımlama'!$D$5:$D$300,MATCH(D107,'Malzeme Tanımlama'!$A$5:$A$300,0)),"")</f>
        <v/>
      </c>
      <c r="I107" s="2"/>
      <c r="J107" s="2"/>
      <c r="K107" s="2"/>
    </row>
    <row r="108" spans="1:11" x14ac:dyDescent="0.3">
      <c r="A108" s="5" t="str">
        <f>IF(D108="","",COUNTIF($D$5:D108,"?*"))</f>
        <v/>
      </c>
      <c r="B108" s="6"/>
      <c r="C108" s="5" t="str">
        <f>IF(B108="","",INDEX({"Ocak","Şubat","Mart","Nisan","Mayıs","Haziran","Temmuz","Ağustos","Eylül","Ekim","Kasım","Aralık"},MONTH(B108)))</f>
        <v/>
      </c>
      <c r="D108" s="2"/>
      <c r="E108" s="5" t="str">
        <f>IFERROR(INDEX('Malzeme Tanımlama'!$B$5:$B$300,MATCH(D108,'Malzeme Tanımlama'!$A$5:$A$300,0)),"")</f>
        <v/>
      </c>
      <c r="F108" s="2"/>
      <c r="G108" s="5"/>
      <c r="H108" s="5" t="str">
        <f>IFERROR(INDEX('Malzeme Tanımlama'!$D$5:$D$300,MATCH(D108,'Malzeme Tanımlama'!$A$5:$A$300,0)),"")</f>
        <v/>
      </c>
      <c r="I108" s="2"/>
      <c r="J108" s="2"/>
      <c r="K108" s="2"/>
    </row>
    <row r="109" spans="1:11" x14ac:dyDescent="0.3">
      <c r="A109" s="5" t="str">
        <f>IF(D109="","",COUNTIF($D$5:D109,"?*"))</f>
        <v/>
      </c>
      <c r="B109" s="6"/>
      <c r="C109" s="5" t="str">
        <f>IF(B109="","",INDEX({"Ocak","Şubat","Mart","Nisan","Mayıs","Haziran","Temmuz","Ağustos","Eylül","Ekim","Kasım","Aralık"},MONTH(B109)))</f>
        <v/>
      </c>
      <c r="D109" s="2"/>
      <c r="E109" s="5" t="str">
        <f>IFERROR(INDEX('Malzeme Tanımlama'!$B$5:$B$300,MATCH(D109,'Malzeme Tanımlama'!$A$5:$A$300,0)),"")</f>
        <v/>
      </c>
      <c r="F109" s="2"/>
      <c r="G109" s="5"/>
      <c r="H109" s="5" t="str">
        <f>IFERROR(INDEX('Malzeme Tanımlama'!$D$5:$D$300,MATCH(D109,'Malzeme Tanımlama'!$A$5:$A$300,0)),"")</f>
        <v/>
      </c>
      <c r="I109" s="2"/>
      <c r="J109" s="2"/>
      <c r="K109" s="2"/>
    </row>
    <row r="110" spans="1:11" x14ac:dyDescent="0.3">
      <c r="A110" s="5" t="str">
        <f>IF(D110="","",COUNTIF($D$5:D110,"?*"))</f>
        <v/>
      </c>
      <c r="B110" s="6"/>
      <c r="C110" s="5" t="str">
        <f>IF(B110="","",INDEX({"Ocak","Şubat","Mart","Nisan","Mayıs","Haziran","Temmuz","Ağustos","Eylül","Ekim","Kasım","Aralık"},MONTH(B110)))</f>
        <v/>
      </c>
      <c r="D110" s="2"/>
      <c r="E110" s="5" t="str">
        <f>IFERROR(INDEX('Malzeme Tanımlama'!$B$5:$B$300,MATCH(D110,'Malzeme Tanımlama'!$A$5:$A$300,0)),"")</f>
        <v/>
      </c>
      <c r="F110" s="2"/>
      <c r="G110" s="5"/>
      <c r="H110" s="5" t="str">
        <f>IFERROR(INDEX('Malzeme Tanımlama'!$D$5:$D$300,MATCH(D110,'Malzeme Tanımlama'!$A$5:$A$300,0)),"")</f>
        <v/>
      </c>
      <c r="I110" s="2"/>
      <c r="J110" s="2"/>
      <c r="K110" s="2"/>
    </row>
    <row r="111" spans="1:11" x14ac:dyDescent="0.3">
      <c r="A111" s="5" t="str">
        <f>IF(D111="","",COUNTIF($D$5:D111,"?*"))</f>
        <v/>
      </c>
      <c r="B111" s="6"/>
      <c r="C111" s="5" t="str">
        <f>IF(B111="","",INDEX({"Ocak","Şubat","Mart","Nisan","Mayıs","Haziran","Temmuz","Ağustos","Eylül","Ekim","Kasım","Aralık"},MONTH(B111)))</f>
        <v/>
      </c>
      <c r="D111" s="2"/>
      <c r="E111" s="5" t="str">
        <f>IFERROR(INDEX('Malzeme Tanımlama'!$B$5:$B$300,MATCH(D111,'Malzeme Tanımlama'!$A$5:$A$300,0)),"")</f>
        <v/>
      </c>
      <c r="F111" s="2"/>
      <c r="G111" s="5"/>
      <c r="H111" s="5" t="str">
        <f>IFERROR(INDEX('Malzeme Tanımlama'!$D$5:$D$300,MATCH(D111,'Malzeme Tanımlama'!$A$5:$A$300,0)),"")</f>
        <v/>
      </c>
      <c r="I111" s="2"/>
      <c r="J111" s="2"/>
      <c r="K111" s="2"/>
    </row>
    <row r="112" spans="1:11" x14ac:dyDescent="0.3">
      <c r="A112" s="5" t="str">
        <f>IF(D112="","",COUNTIF($D$5:D112,"?*"))</f>
        <v/>
      </c>
      <c r="B112" s="6"/>
      <c r="C112" s="5" t="str">
        <f>IF(B112="","",INDEX({"Ocak","Şubat","Mart","Nisan","Mayıs","Haziran","Temmuz","Ağustos","Eylül","Ekim","Kasım","Aralık"},MONTH(B112)))</f>
        <v/>
      </c>
      <c r="D112" s="2"/>
      <c r="E112" s="5" t="str">
        <f>IFERROR(INDEX('Malzeme Tanımlama'!$B$5:$B$300,MATCH(D112,'Malzeme Tanımlama'!$A$5:$A$300,0)),"")</f>
        <v/>
      </c>
      <c r="F112" s="2"/>
      <c r="G112" s="5"/>
      <c r="H112" s="5" t="str">
        <f>IFERROR(INDEX('Malzeme Tanımlama'!$D$5:$D$300,MATCH(D112,'Malzeme Tanımlama'!$A$5:$A$300,0)),"")</f>
        <v/>
      </c>
      <c r="I112" s="2"/>
      <c r="J112" s="2"/>
      <c r="K112" s="2"/>
    </row>
    <row r="113" spans="1:11" x14ac:dyDescent="0.3">
      <c r="A113" s="5" t="str">
        <f>IF(D113="","",COUNTIF($D$5:D113,"?*"))</f>
        <v/>
      </c>
      <c r="B113" s="6"/>
      <c r="C113" s="5" t="str">
        <f>IF(B113="","",INDEX({"Ocak","Şubat","Mart","Nisan","Mayıs","Haziran","Temmuz","Ağustos","Eylül","Ekim","Kasım","Aralık"},MONTH(B113)))</f>
        <v/>
      </c>
      <c r="D113" s="2"/>
      <c r="E113" s="5" t="str">
        <f>IFERROR(INDEX('Malzeme Tanımlama'!$B$5:$B$300,MATCH(D113,'Malzeme Tanımlama'!$A$5:$A$300,0)),"")</f>
        <v/>
      </c>
      <c r="F113" s="2"/>
      <c r="G113" s="5"/>
      <c r="H113" s="5" t="str">
        <f>IFERROR(INDEX('Malzeme Tanımlama'!$D$5:$D$300,MATCH(D113,'Malzeme Tanımlama'!$A$5:$A$300,0)),"")</f>
        <v/>
      </c>
      <c r="I113" s="2"/>
      <c r="J113" s="2"/>
      <c r="K113" s="2"/>
    </row>
    <row r="114" spans="1:11" x14ac:dyDescent="0.3">
      <c r="A114" s="5" t="str">
        <f>IF(D114="","",COUNTIF($D$5:D114,"?*"))</f>
        <v/>
      </c>
      <c r="B114" s="6"/>
      <c r="C114" s="5" t="str">
        <f>IF(B114="","",INDEX({"Ocak","Şubat","Mart","Nisan","Mayıs","Haziran","Temmuz","Ağustos","Eylül","Ekim","Kasım","Aralık"},MONTH(B114)))</f>
        <v/>
      </c>
      <c r="D114" s="2"/>
      <c r="E114" s="5" t="str">
        <f>IFERROR(INDEX('Malzeme Tanımlama'!$B$5:$B$300,MATCH(D114,'Malzeme Tanımlama'!$A$5:$A$300,0)),"")</f>
        <v/>
      </c>
      <c r="F114" s="2"/>
      <c r="G114" s="5"/>
      <c r="H114" s="5" t="str">
        <f>IFERROR(INDEX('Malzeme Tanımlama'!$D$5:$D$300,MATCH(D114,'Malzeme Tanımlama'!$A$5:$A$300,0)),"")</f>
        <v/>
      </c>
      <c r="I114" s="2"/>
      <c r="J114" s="2"/>
      <c r="K114" s="2"/>
    </row>
    <row r="115" spans="1:11" x14ac:dyDescent="0.3">
      <c r="A115" s="5" t="str">
        <f>IF(D115="","",COUNTIF($D$5:D115,"?*"))</f>
        <v/>
      </c>
      <c r="B115" s="6"/>
      <c r="C115" s="5" t="str">
        <f>IF(B115="","",INDEX({"Ocak","Şubat","Mart","Nisan","Mayıs","Haziran","Temmuz","Ağustos","Eylül","Ekim","Kasım","Aralık"},MONTH(B115)))</f>
        <v/>
      </c>
      <c r="D115" s="2"/>
      <c r="E115" s="5" t="str">
        <f>IFERROR(INDEX('Malzeme Tanımlama'!$B$5:$B$300,MATCH(D115,'Malzeme Tanımlama'!$A$5:$A$300,0)),"")</f>
        <v/>
      </c>
      <c r="F115" s="2"/>
      <c r="G115" s="5"/>
      <c r="H115" s="5" t="str">
        <f>IFERROR(INDEX('Malzeme Tanımlama'!$D$5:$D$300,MATCH(D115,'Malzeme Tanımlama'!$A$5:$A$300,0)),"")</f>
        <v/>
      </c>
      <c r="I115" s="2"/>
      <c r="J115" s="2"/>
      <c r="K115" s="2"/>
    </row>
    <row r="116" spans="1:11" x14ac:dyDescent="0.3">
      <c r="A116" s="5" t="str">
        <f>IF(D116="","",COUNTIF($D$5:D116,"?*"))</f>
        <v/>
      </c>
      <c r="B116" s="6"/>
      <c r="C116" s="5" t="str">
        <f>IF(B116="","",INDEX({"Ocak","Şubat","Mart","Nisan","Mayıs","Haziran","Temmuz","Ağustos","Eylül","Ekim","Kasım","Aralık"},MONTH(B116)))</f>
        <v/>
      </c>
      <c r="D116" s="2"/>
      <c r="E116" s="5" t="str">
        <f>IFERROR(INDEX('Malzeme Tanımlama'!$B$5:$B$300,MATCH(D116,'Malzeme Tanımlama'!$A$5:$A$300,0)),"")</f>
        <v/>
      </c>
      <c r="F116" s="2"/>
      <c r="G116" s="5"/>
      <c r="H116" s="5" t="str">
        <f>IFERROR(INDEX('Malzeme Tanımlama'!$D$5:$D$300,MATCH(D116,'Malzeme Tanımlama'!$A$5:$A$300,0)),"")</f>
        <v/>
      </c>
      <c r="I116" s="2"/>
      <c r="J116" s="2"/>
      <c r="K116" s="2"/>
    </row>
    <row r="117" spans="1:11" x14ac:dyDescent="0.3">
      <c r="A117" s="5" t="str">
        <f>IF(D117="","",COUNTIF($D$5:D117,"?*"))</f>
        <v/>
      </c>
      <c r="B117" s="6"/>
      <c r="C117" s="5" t="str">
        <f>IF(B117="","",INDEX({"Ocak","Şubat","Mart","Nisan","Mayıs","Haziran","Temmuz","Ağustos","Eylül","Ekim","Kasım","Aralık"},MONTH(B117)))</f>
        <v/>
      </c>
      <c r="D117" s="2"/>
      <c r="E117" s="5" t="str">
        <f>IFERROR(INDEX('Malzeme Tanımlama'!$B$5:$B$300,MATCH(D117,'Malzeme Tanımlama'!$A$5:$A$300,0)),"")</f>
        <v/>
      </c>
      <c r="F117" s="2"/>
      <c r="G117" s="5"/>
      <c r="H117" s="5" t="str">
        <f>IFERROR(INDEX('Malzeme Tanımlama'!$D$5:$D$300,MATCH(D117,'Malzeme Tanımlama'!$A$5:$A$300,0)),"")</f>
        <v/>
      </c>
      <c r="I117" s="2"/>
      <c r="J117" s="2"/>
      <c r="K117" s="2"/>
    </row>
    <row r="118" spans="1:11" x14ac:dyDescent="0.3">
      <c r="A118" s="5" t="str">
        <f>IF(D118="","",COUNTIF($D$5:D118,"?*"))</f>
        <v/>
      </c>
      <c r="B118" s="6"/>
      <c r="C118" s="5" t="str">
        <f>IF(B118="","",INDEX({"Ocak","Şubat","Mart","Nisan","Mayıs","Haziran","Temmuz","Ağustos","Eylül","Ekim","Kasım","Aralık"},MONTH(B118)))</f>
        <v/>
      </c>
      <c r="D118" s="2"/>
      <c r="E118" s="5" t="str">
        <f>IFERROR(INDEX('Malzeme Tanımlama'!$B$5:$B$300,MATCH(D118,'Malzeme Tanımlama'!$A$5:$A$300,0)),"")</f>
        <v/>
      </c>
      <c r="F118" s="2"/>
      <c r="G118" s="5"/>
      <c r="H118" s="5" t="str">
        <f>IFERROR(INDEX('Malzeme Tanımlama'!$D$5:$D$300,MATCH(D118,'Malzeme Tanımlama'!$A$5:$A$300,0)),"")</f>
        <v/>
      </c>
      <c r="I118" s="2"/>
      <c r="J118" s="2"/>
      <c r="K118" s="2"/>
    </row>
    <row r="119" spans="1:11" x14ac:dyDescent="0.3">
      <c r="A119" s="5" t="str">
        <f>IF(D119="","",COUNTIF($D$5:D119,"?*"))</f>
        <v/>
      </c>
      <c r="B119" s="6"/>
      <c r="C119" s="5" t="str">
        <f>IF(B119="","",INDEX({"Ocak","Şubat","Mart","Nisan","Mayıs","Haziran","Temmuz","Ağustos","Eylül","Ekim","Kasım","Aralık"},MONTH(B119)))</f>
        <v/>
      </c>
      <c r="D119" s="2"/>
      <c r="E119" s="5" t="str">
        <f>IFERROR(INDEX('Malzeme Tanımlama'!$B$5:$B$300,MATCH(D119,'Malzeme Tanımlama'!$A$5:$A$300,0)),"")</f>
        <v/>
      </c>
      <c r="F119" s="2"/>
      <c r="G119" s="5"/>
      <c r="H119" s="5" t="str">
        <f>IFERROR(INDEX('Malzeme Tanımlama'!$D$5:$D$300,MATCH(D119,'Malzeme Tanımlama'!$A$5:$A$300,0)),"")</f>
        <v/>
      </c>
      <c r="I119" s="2"/>
      <c r="J119" s="2"/>
      <c r="K119" s="2"/>
    </row>
    <row r="120" spans="1:11" x14ac:dyDescent="0.3">
      <c r="A120" s="5" t="str">
        <f>IF(D120="","",COUNTIF($D$5:D120,"?*"))</f>
        <v/>
      </c>
      <c r="B120" s="6"/>
      <c r="C120" s="5" t="str">
        <f>IF(B120="","",INDEX({"Ocak","Şubat","Mart","Nisan","Mayıs","Haziran","Temmuz","Ağustos","Eylül","Ekim","Kasım","Aralık"},MONTH(B120)))</f>
        <v/>
      </c>
      <c r="D120" s="2"/>
      <c r="E120" s="5" t="str">
        <f>IFERROR(INDEX('Malzeme Tanımlama'!$B$5:$B$300,MATCH(D120,'Malzeme Tanımlama'!$A$5:$A$300,0)),"")</f>
        <v/>
      </c>
      <c r="F120" s="2"/>
      <c r="G120" s="5"/>
      <c r="H120" s="5" t="str">
        <f>IFERROR(INDEX('Malzeme Tanımlama'!$D$5:$D$300,MATCH(D120,'Malzeme Tanımlama'!$A$5:$A$300,0)),"")</f>
        <v/>
      </c>
      <c r="I120" s="2"/>
      <c r="J120" s="2"/>
      <c r="K120" s="2"/>
    </row>
    <row r="121" spans="1:11" x14ac:dyDescent="0.3">
      <c r="A121" s="5" t="str">
        <f>IF(D121="","",COUNTIF($D$5:D121,"?*"))</f>
        <v/>
      </c>
      <c r="B121" s="6"/>
      <c r="C121" s="5" t="str">
        <f>IF(B121="","",INDEX({"Ocak","Şubat","Mart","Nisan","Mayıs","Haziran","Temmuz","Ağustos","Eylül","Ekim","Kasım","Aralık"},MONTH(B121)))</f>
        <v/>
      </c>
      <c r="D121" s="2"/>
      <c r="E121" s="5" t="str">
        <f>IFERROR(INDEX('Malzeme Tanımlama'!$B$5:$B$300,MATCH(D121,'Malzeme Tanımlama'!$A$5:$A$300,0)),"")</f>
        <v/>
      </c>
      <c r="F121" s="2"/>
      <c r="G121" s="5"/>
      <c r="H121" s="5" t="str">
        <f>IFERROR(INDEX('Malzeme Tanımlama'!$D$5:$D$300,MATCH(D121,'Malzeme Tanımlama'!$A$5:$A$300,0)),"")</f>
        <v/>
      </c>
      <c r="I121" s="2"/>
      <c r="J121" s="2"/>
      <c r="K121" s="2"/>
    </row>
    <row r="122" spans="1:11" x14ac:dyDescent="0.3">
      <c r="A122" s="5" t="str">
        <f>IF(D122="","",COUNTIF($D$5:D122,"?*"))</f>
        <v/>
      </c>
      <c r="B122" s="6"/>
      <c r="C122" s="5" t="str">
        <f>IF(B122="","",INDEX({"Ocak","Şubat","Mart","Nisan","Mayıs","Haziran","Temmuz","Ağustos","Eylül","Ekim","Kasım","Aralık"},MONTH(B122)))</f>
        <v/>
      </c>
      <c r="D122" s="2"/>
      <c r="E122" s="5" t="str">
        <f>IFERROR(INDEX('Malzeme Tanımlama'!$B$5:$B$300,MATCH(D122,'Malzeme Tanımlama'!$A$5:$A$300,0)),"")</f>
        <v/>
      </c>
      <c r="F122" s="2"/>
      <c r="G122" s="5"/>
      <c r="H122" s="5" t="str">
        <f>IFERROR(INDEX('Malzeme Tanımlama'!$D$5:$D$300,MATCH(D122,'Malzeme Tanımlama'!$A$5:$A$300,0)),"")</f>
        <v/>
      </c>
      <c r="I122" s="2"/>
      <c r="J122" s="2"/>
      <c r="K122" s="2"/>
    </row>
    <row r="123" spans="1:11" x14ac:dyDescent="0.3">
      <c r="A123" s="5" t="str">
        <f>IF(D123="","",COUNTIF($D$5:D123,"?*"))</f>
        <v/>
      </c>
      <c r="B123" s="6"/>
      <c r="C123" s="5" t="str">
        <f>IF(B123="","",INDEX({"Ocak","Şubat","Mart","Nisan","Mayıs","Haziran","Temmuz","Ağustos","Eylül","Ekim","Kasım","Aralık"},MONTH(B123)))</f>
        <v/>
      </c>
      <c r="D123" s="2"/>
      <c r="E123" s="5" t="str">
        <f>IFERROR(INDEX('Malzeme Tanımlama'!$B$5:$B$300,MATCH(D123,'Malzeme Tanımlama'!$A$5:$A$300,0)),"")</f>
        <v/>
      </c>
      <c r="F123" s="2"/>
      <c r="G123" s="5"/>
      <c r="H123" s="5" t="str">
        <f>IFERROR(INDEX('Malzeme Tanımlama'!$D$5:$D$300,MATCH(D123,'Malzeme Tanımlama'!$A$5:$A$300,0)),"")</f>
        <v/>
      </c>
      <c r="I123" s="2"/>
      <c r="J123" s="2"/>
      <c r="K123" s="2"/>
    </row>
    <row r="124" spans="1:11" x14ac:dyDescent="0.3">
      <c r="A124" s="5" t="str">
        <f>IF(D124="","",COUNTIF($D$5:D124,"?*"))</f>
        <v/>
      </c>
      <c r="B124" s="6"/>
      <c r="C124" s="5" t="str">
        <f>IF(B124="","",INDEX({"Ocak","Şubat","Mart","Nisan","Mayıs","Haziran","Temmuz","Ağustos","Eylül","Ekim","Kasım","Aralık"},MONTH(B124)))</f>
        <v/>
      </c>
      <c r="D124" s="2"/>
      <c r="E124" s="5" t="str">
        <f>IFERROR(INDEX('Malzeme Tanımlama'!$B$5:$B$300,MATCH(D124,'Malzeme Tanımlama'!$A$5:$A$300,0)),"")</f>
        <v/>
      </c>
      <c r="F124" s="2"/>
      <c r="G124" s="5"/>
      <c r="H124" s="5" t="str">
        <f>IFERROR(INDEX('Malzeme Tanımlama'!$D$5:$D$300,MATCH(D124,'Malzeme Tanımlama'!$A$5:$A$300,0)),"")</f>
        <v/>
      </c>
      <c r="I124" s="2"/>
      <c r="J124" s="2"/>
      <c r="K124" s="2"/>
    </row>
    <row r="125" spans="1:11" x14ac:dyDescent="0.3">
      <c r="A125" s="5" t="str">
        <f>IF(D125="","",COUNTIF($D$5:D125,"?*"))</f>
        <v/>
      </c>
      <c r="B125" s="6"/>
      <c r="C125" s="5" t="str">
        <f>IF(B125="","",INDEX({"Ocak","Şubat","Mart","Nisan","Mayıs","Haziran","Temmuz","Ağustos","Eylül","Ekim","Kasım","Aralık"},MONTH(B125)))</f>
        <v/>
      </c>
      <c r="D125" s="2"/>
      <c r="E125" s="5" t="str">
        <f>IFERROR(INDEX('Malzeme Tanımlama'!$B$5:$B$300,MATCH(D125,'Malzeme Tanımlama'!$A$5:$A$300,0)),"")</f>
        <v/>
      </c>
      <c r="F125" s="2"/>
      <c r="G125" s="5"/>
      <c r="H125" s="5" t="str">
        <f>IFERROR(INDEX('Malzeme Tanımlama'!$D$5:$D$300,MATCH(D125,'Malzeme Tanımlama'!$A$5:$A$300,0)),"")</f>
        <v/>
      </c>
      <c r="I125" s="2"/>
      <c r="J125" s="2"/>
      <c r="K125" s="2"/>
    </row>
    <row r="126" spans="1:11" x14ac:dyDescent="0.3">
      <c r="A126" s="5" t="str">
        <f>IF(D126="","",COUNTIF($D$5:D126,"?*"))</f>
        <v/>
      </c>
      <c r="B126" s="6"/>
      <c r="C126" s="5" t="str">
        <f>IF(B126="","",INDEX({"Ocak","Şubat","Mart","Nisan","Mayıs","Haziran","Temmuz","Ağustos","Eylül","Ekim","Kasım","Aralık"},MONTH(B126)))</f>
        <v/>
      </c>
      <c r="D126" s="2"/>
      <c r="E126" s="5" t="str">
        <f>IFERROR(INDEX('Malzeme Tanımlama'!$B$5:$B$300,MATCH(D126,'Malzeme Tanımlama'!$A$5:$A$300,0)),"")</f>
        <v/>
      </c>
      <c r="F126" s="2"/>
      <c r="G126" s="5"/>
      <c r="H126" s="5" t="str">
        <f>IFERROR(INDEX('Malzeme Tanımlama'!$D$5:$D$300,MATCH(D126,'Malzeme Tanımlama'!$A$5:$A$300,0)),"")</f>
        <v/>
      </c>
      <c r="I126" s="2"/>
      <c r="J126" s="2"/>
      <c r="K126" s="2"/>
    </row>
    <row r="127" spans="1:11" x14ac:dyDescent="0.3">
      <c r="A127" s="5" t="str">
        <f>IF(D127="","",COUNTIF($D$5:D127,"?*"))</f>
        <v/>
      </c>
      <c r="B127" s="6"/>
      <c r="C127" s="5" t="str">
        <f>IF(B127="","",INDEX({"Ocak","Şubat","Mart","Nisan","Mayıs","Haziran","Temmuz","Ağustos","Eylül","Ekim","Kasım","Aralık"},MONTH(B127)))</f>
        <v/>
      </c>
      <c r="D127" s="2"/>
      <c r="E127" s="5" t="str">
        <f>IFERROR(INDEX('Malzeme Tanımlama'!$B$5:$B$300,MATCH(D127,'Malzeme Tanımlama'!$A$5:$A$300,0)),"")</f>
        <v/>
      </c>
      <c r="F127" s="2"/>
      <c r="G127" s="5"/>
      <c r="H127" s="5" t="str">
        <f>IFERROR(INDEX('Malzeme Tanımlama'!$D$5:$D$300,MATCH(D127,'Malzeme Tanımlama'!$A$5:$A$300,0)),"")</f>
        <v/>
      </c>
      <c r="I127" s="2"/>
      <c r="J127" s="2"/>
      <c r="K127" s="2"/>
    </row>
    <row r="128" spans="1:11" x14ac:dyDescent="0.3">
      <c r="A128" s="5" t="str">
        <f>IF(D128="","",COUNTIF($D$5:D128,"?*"))</f>
        <v/>
      </c>
      <c r="B128" s="6"/>
      <c r="C128" s="5" t="str">
        <f>IF(B128="","",INDEX({"Ocak","Şubat","Mart","Nisan","Mayıs","Haziran","Temmuz","Ağustos","Eylül","Ekim","Kasım","Aralık"},MONTH(B128)))</f>
        <v/>
      </c>
      <c r="D128" s="2"/>
      <c r="E128" s="5" t="str">
        <f>IFERROR(INDEX('Malzeme Tanımlama'!$B$5:$B$300,MATCH(D128,'Malzeme Tanımlama'!$A$5:$A$300,0)),"")</f>
        <v/>
      </c>
      <c r="F128" s="2"/>
      <c r="G128" s="5"/>
      <c r="H128" s="5" t="str">
        <f>IFERROR(INDEX('Malzeme Tanımlama'!$D$5:$D$300,MATCH(D128,'Malzeme Tanımlama'!$A$5:$A$300,0)),"")</f>
        <v/>
      </c>
      <c r="I128" s="2"/>
      <c r="J128" s="2"/>
      <c r="K128" s="2"/>
    </row>
    <row r="129" spans="1:11" x14ac:dyDescent="0.3">
      <c r="A129" s="5" t="str">
        <f>IF(D129="","",COUNTIF($D$5:D129,"?*"))</f>
        <v/>
      </c>
      <c r="B129" s="6"/>
      <c r="C129" s="5" t="str">
        <f>IF(B129="","",INDEX({"Ocak","Şubat","Mart","Nisan","Mayıs","Haziran","Temmuz","Ağustos","Eylül","Ekim","Kasım","Aralık"},MONTH(B129)))</f>
        <v/>
      </c>
      <c r="D129" s="2"/>
      <c r="E129" s="5" t="str">
        <f>IFERROR(INDEX('Malzeme Tanımlama'!$B$5:$B$300,MATCH(D129,'Malzeme Tanımlama'!$A$5:$A$300,0)),"")</f>
        <v/>
      </c>
      <c r="F129" s="2"/>
      <c r="G129" s="5"/>
      <c r="H129" s="5" t="str">
        <f>IFERROR(INDEX('Malzeme Tanımlama'!$D$5:$D$300,MATCH(D129,'Malzeme Tanımlama'!$A$5:$A$300,0)),"")</f>
        <v/>
      </c>
      <c r="I129" s="2"/>
      <c r="J129" s="2"/>
      <c r="K129" s="2"/>
    </row>
    <row r="130" spans="1:11" x14ac:dyDescent="0.3">
      <c r="A130" s="5" t="str">
        <f>IF(D130="","",COUNTIF($D$5:D130,"?*"))</f>
        <v/>
      </c>
      <c r="B130" s="6"/>
      <c r="C130" s="5" t="str">
        <f>IF(B130="","",INDEX({"Ocak","Şubat","Mart","Nisan","Mayıs","Haziran","Temmuz","Ağustos","Eylül","Ekim","Kasım","Aralık"},MONTH(B130)))</f>
        <v/>
      </c>
      <c r="D130" s="2"/>
      <c r="E130" s="5" t="str">
        <f>IFERROR(INDEX('Malzeme Tanımlama'!$B$5:$B$300,MATCH(D130,'Malzeme Tanımlama'!$A$5:$A$300,0)),"")</f>
        <v/>
      </c>
      <c r="F130" s="2"/>
      <c r="G130" s="5"/>
      <c r="H130" s="5" t="str">
        <f>IFERROR(INDEX('Malzeme Tanımlama'!$D$5:$D$300,MATCH(D130,'Malzeme Tanımlama'!$A$5:$A$300,0)),"")</f>
        <v/>
      </c>
      <c r="I130" s="2"/>
      <c r="J130" s="2"/>
      <c r="K130" s="2"/>
    </row>
    <row r="131" spans="1:11" x14ac:dyDescent="0.3">
      <c r="A131" s="5" t="str">
        <f>IF(D131="","",COUNTIF($D$5:D131,"?*"))</f>
        <v/>
      </c>
      <c r="B131" s="6"/>
      <c r="C131" s="5" t="str">
        <f>IF(B131="","",INDEX({"Ocak","Şubat","Mart","Nisan","Mayıs","Haziran","Temmuz","Ağustos","Eylül","Ekim","Kasım","Aralık"},MONTH(B131)))</f>
        <v/>
      </c>
      <c r="D131" s="2"/>
      <c r="E131" s="5" t="str">
        <f>IFERROR(INDEX('Malzeme Tanımlama'!$B$5:$B$300,MATCH(D131,'Malzeme Tanımlama'!$A$5:$A$300,0)),"")</f>
        <v/>
      </c>
      <c r="F131" s="2"/>
      <c r="G131" s="5"/>
      <c r="H131" s="5" t="str">
        <f>IFERROR(INDEX('Malzeme Tanımlama'!$D$5:$D$300,MATCH(D131,'Malzeme Tanımlama'!$A$5:$A$300,0)),"")</f>
        <v/>
      </c>
      <c r="I131" s="2"/>
      <c r="J131" s="2"/>
      <c r="K131" s="2"/>
    </row>
    <row r="132" spans="1:11" x14ac:dyDescent="0.3">
      <c r="A132" s="5" t="str">
        <f>IF(D132="","",COUNTIF($D$5:D132,"?*"))</f>
        <v/>
      </c>
      <c r="B132" s="6"/>
      <c r="C132" s="5" t="str">
        <f>IF(B132="","",INDEX({"Ocak","Şubat","Mart","Nisan","Mayıs","Haziran","Temmuz","Ağustos","Eylül","Ekim","Kasım","Aralık"},MONTH(B132)))</f>
        <v/>
      </c>
      <c r="D132" s="2"/>
      <c r="E132" s="5" t="str">
        <f>IFERROR(INDEX('Malzeme Tanımlama'!$B$5:$B$300,MATCH(D132,'Malzeme Tanımlama'!$A$5:$A$300,0)),"")</f>
        <v/>
      </c>
      <c r="F132" s="2"/>
      <c r="G132" s="5"/>
      <c r="H132" s="5" t="str">
        <f>IFERROR(INDEX('Malzeme Tanımlama'!$D$5:$D$300,MATCH(D132,'Malzeme Tanımlama'!$A$5:$A$300,0)),"")</f>
        <v/>
      </c>
      <c r="I132" s="2"/>
      <c r="J132" s="2"/>
      <c r="K132" s="2"/>
    </row>
    <row r="133" spans="1:11" x14ac:dyDescent="0.3">
      <c r="A133" s="5" t="str">
        <f>IF(D133="","",COUNTIF($D$5:D133,"?*"))</f>
        <v/>
      </c>
      <c r="B133" s="6"/>
      <c r="C133" s="5" t="str">
        <f>IF(B133="","",INDEX({"Ocak","Şubat","Mart","Nisan","Mayıs","Haziran","Temmuz","Ağustos","Eylül","Ekim","Kasım","Aralık"},MONTH(B133)))</f>
        <v/>
      </c>
      <c r="D133" s="2"/>
      <c r="E133" s="5" t="str">
        <f>IFERROR(INDEX('Malzeme Tanımlama'!$B$5:$B$300,MATCH(D133,'Malzeme Tanımlama'!$A$5:$A$300,0)),"")</f>
        <v/>
      </c>
      <c r="F133" s="2"/>
      <c r="G133" s="5"/>
      <c r="H133" s="5" t="str">
        <f>IFERROR(INDEX('Malzeme Tanımlama'!$D$5:$D$300,MATCH(D133,'Malzeme Tanımlama'!$A$5:$A$300,0)),"")</f>
        <v/>
      </c>
      <c r="I133" s="2"/>
      <c r="J133" s="2"/>
      <c r="K133" s="2"/>
    </row>
    <row r="134" spans="1:11" x14ac:dyDescent="0.3">
      <c r="A134" s="5" t="str">
        <f>IF(D134="","",COUNTIF($D$5:D134,"?*"))</f>
        <v/>
      </c>
      <c r="B134" s="6"/>
      <c r="C134" s="5" t="str">
        <f>IF(B134="","",INDEX({"Ocak","Şubat","Mart","Nisan","Mayıs","Haziran","Temmuz","Ağustos","Eylül","Ekim","Kasım","Aralık"},MONTH(B134)))</f>
        <v/>
      </c>
      <c r="D134" s="2"/>
      <c r="E134" s="5" t="str">
        <f>IFERROR(INDEX('Malzeme Tanımlama'!$B$5:$B$300,MATCH(D134,'Malzeme Tanımlama'!$A$5:$A$300,0)),"")</f>
        <v/>
      </c>
      <c r="F134" s="2"/>
      <c r="G134" s="5"/>
      <c r="H134" s="5" t="str">
        <f>IFERROR(INDEX('Malzeme Tanımlama'!$D$5:$D$300,MATCH(D134,'Malzeme Tanımlama'!$A$5:$A$300,0)),"")</f>
        <v/>
      </c>
      <c r="I134" s="2"/>
      <c r="J134" s="2"/>
      <c r="K134" s="2"/>
    </row>
    <row r="135" spans="1:11" x14ac:dyDescent="0.3">
      <c r="A135" s="5" t="str">
        <f>IF(D135="","",COUNTIF($D$5:D135,"?*"))</f>
        <v/>
      </c>
      <c r="B135" s="6"/>
      <c r="C135" s="5" t="str">
        <f>IF(B135="","",INDEX({"Ocak","Şubat","Mart","Nisan","Mayıs","Haziran","Temmuz","Ağustos","Eylül","Ekim","Kasım","Aralık"},MONTH(B135)))</f>
        <v/>
      </c>
      <c r="D135" s="2"/>
      <c r="E135" s="5" t="str">
        <f>IFERROR(INDEX('Malzeme Tanımlama'!$B$5:$B$300,MATCH(D135,'Malzeme Tanımlama'!$A$5:$A$300,0)),"")</f>
        <v/>
      </c>
      <c r="F135" s="2"/>
      <c r="G135" s="5"/>
      <c r="H135" s="5" t="str">
        <f>IFERROR(INDEX('Malzeme Tanımlama'!$D$5:$D$300,MATCH(D135,'Malzeme Tanımlama'!$A$5:$A$300,0)),"")</f>
        <v/>
      </c>
      <c r="I135" s="2"/>
      <c r="J135" s="2"/>
      <c r="K135" s="2"/>
    </row>
    <row r="136" spans="1:11" x14ac:dyDescent="0.3">
      <c r="A136" s="5" t="str">
        <f>IF(D136="","",COUNTIF($D$5:D136,"?*"))</f>
        <v/>
      </c>
      <c r="B136" s="6"/>
      <c r="C136" s="5" t="str">
        <f>IF(B136="","",INDEX({"Ocak","Şubat","Mart","Nisan","Mayıs","Haziran","Temmuz","Ağustos","Eylül","Ekim","Kasım","Aralık"},MONTH(B136)))</f>
        <v/>
      </c>
      <c r="D136" s="2"/>
      <c r="E136" s="5" t="str">
        <f>IFERROR(INDEX('Malzeme Tanımlama'!$B$5:$B$300,MATCH(D136,'Malzeme Tanımlama'!$A$5:$A$300,0)),"")</f>
        <v/>
      </c>
      <c r="F136" s="2"/>
      <c r="G136" s="5"/>
      <c r="H136" s="5" t="str">
        <f>IFERROR(INDEX('Malzeme Tanımlama'!$D$5:$D$300,MATCH(D136,'Malzeme Tanımlama'!$A$5:$A$300,0)),"")</f>
        <v/>
      </c>
      <c r="I136" s="2"/>
      <c r="J136" s="2"/>
      <c r="K136" s="2"/>
    </row>
    <row r="137" spans="1:11" x14ac:dyDescent="0.3">
      <c r="A137" s="5" t="str">
        <f>IF(D137="","",COUNTIF($D$5:D137,"?*"))</f>
        <v/>
      </c>
      <c r="B137" s="6"/>
      <c r="C137" s="5" t="str">
        <f>IF(B137="","",INDEX({"Ocak","Şubat","Mart","Nisan","Mayıs","Haziran","Temmuz","Ağustos","Eylül","Ekim","Kasım","Aralık"},MONTH(B137)))</f>
        <v/>
      </c>
      <c r="D137" s="2"/>
      <c r="E137" s="5" t="str">
        <f>IFERROR(INDEX('Malzeme Tanımlama'!$B$5:$B$300,MATCH(D137,'Malzeme Tanımlama'!$A$5:$A$300,0)),"")</f>
        <v/>
      </c>
      <c r="F137" s="2"/>
      <c r="G137" s="5"/>
      <c r="H137" s="5" t="str">
        <f>IFERROR(INDEX('Malzeme Tanımlama'!$D$5:$D$300,MATCH(D137,'Malzeme Tanımlama'!$A$5:$A$300,0)),"")</f>
        <v/>
      </c>
      <c r="I137" s="2"/>
      <c r="J137" s="2"/>
      <c r="K137" s="2"/>
    </row>
    <row r="138" spans="1:11" x14ac:dyDescent="0.3">
      <c r="A138" s="5" t="str">
        <f>IF(D138="","",COUNTIF($D$5:D138,"?*"))</f>
        <v/>
      </c>
      <c r="B138" s="6"/>
      <c r="C138" s="5" t="str">
        <f>IF(B138="","",INDEX({"Ocak","Şubat","Mart","Nisan","Mayıs","Haziran","Temmuz","Ağustos","Eylül","Ekim","Kasım","Aralık"},MONTH(B138)))</f>
        <v/>
      </c>
      <c r="D138" s="2"/>
      <c r="E138" s="5" t="str">
        <f>IFERROR(INDEX('Malzeme Tanımlama'!$B$5:$B$300,MATCH(D138,'Malzeme Tanımlama'!$A$5:$A$300,0)),"")</f>
        <v/>
      </c>
      <c r="F138" s="2"/>
      <c r="G138" s="5"/>
      <c r="H138" s="5" t="str">
        <f>IFERROR(INDEX('Malzeme Tanımlama'!$D$5:$D$300,MATCH(D138,'Malzeme Tanımlama'!$A$5:$A$300,0)),"")</f>
        <v/>
      </c>
      <c r="I138" s="2"/>
      <c r="J138" s="2"/>
      <c r="K138" s="2"/>
    </row>
    <row r="139" spans="1:11" x14ac:dyDescent="0.3">
      <c r="A139" s="5" t="str">
        <f>IF(D139="","",COUNTIF($D$5:D139,"?*"))</f>
        <v/>
      </c>
      <c r="B139" s="6"/>
      <c r="C139" s="5" t="str">
        <f>IF(B139="","",INDEX({"Ocak","Şubat","Mart","Nisan","Mayıs","Haziran","Temmuz","Ağustos","Eylül","Ekim","Kasım","Aralık"},MONTH(B139)))</f>
        <v/>
      </c>
      <c r="D139" s="2"/>
      <c r="E139" s="5" t="str">
        <f>IFERROR(INDEX('Malzeme Tanımlama'!$B$5:$B$300,MATCH(D139,'Malzeme Tanımlama'!$A$5:$A$300,0)),"")</f>
        <v/>
      </c>
      <c r="F139" s="2"/>
      <c r="G139" s="5"/>
      <c r="H139" s="5" t="str">
        <f>IFERROR(INDEX('Malzeme Tanımlama'!$D$5:$D$300,MATCH(D139,'Malzeme Tanımlama'!$A$5:$A$300,0)),"")</f>
        <v/>
      </c>
      <c r="I139" s="2"/>
      <c r="J139" s="2"/>
      <c r="K139" s="2"/>
    </row>
    <row r="140" spans="1:11" x14ac:dyDescent="0.3">
      <c r="A140" s="5" t="str">
        <f>IF(D140="","",COUNTIF($D$5:D140,"?*"))</f>
        <v/>
      </c>
      <c r="B140" s="6"/>
      <c r="C140" s="5" t="str">
        <f>IF(B140="","",INDEX({"Ocak","Şubat","Mart","Nisan","Mayıs","Haziran","Temmuz","Ağustos","Eylül","Ekim","Kasım","Aralık"},MONTH(B140)))</f>
        <v/>
      </c>
      <c r="D140" s="2"/>
      <c r="E140" s="5" t="str">
        <f>IFERROR(INDEX('Malzeme Tanımlama'!$B$5:$B$300,MATCH(D140,'Malzeme Tanımlama'!$A$5:$A$300,0)),"")</f>
        <v/>
      </c>
      <c r="F140" s="2"/>
      <c r="G140" s="5"/>
      <c r="H140" s="5" t="str">
        <f>IFERROR(INDEX('Malzeme Tanımlama'!$D$5:$D$300,MATCH(D140,'Malzeme Tanımlama'!$A$5:$A$300,0)),"")</f>
        <v/>
      </c>
      <c r="I140" s="2"/>
      <c r="J140" s="2"/>
      <c r="K140" s="2"/>
    </row>
    <row r="141" spans="1:11" x14ac:dyDescent="0.3">
      <c r="A141" s="5" t="str">
        <f>IF(D141="","",COUNTIF($D$5:D141,"?*"))</f>
        <v/>
      </c>
      <c r="B141" s="6"/>
      <c r="C141" s="5" t="str">
        <f>IF(B141="","",INDEX({"Ocak","Şubat","Mart","Nisan","Mayıs","Haziran","Temmuz","Ağustos","Eylül","Ekim","Kasım","Aralık"},MONTH(B141)))</f>
        <v/>
      </c>
      <c r="D141" s="2"/>
      <c r="E141" s="5" t="str">
        <f>IFERROR(INDEX('Malzeme Tanımlama'!$B$5:$B$300,MATCH(D141,'Malzeme Tanımlama'!$A$5:$A$300,0)),"")</f>
        <v/>
      </c>
      <c r="F141" s="2"/>
      <c r="G141" s="5"/>
      <c r="H141" s="5" t="str">
        <f>IFERROR(INDEX('Malzeme Tanımlama'!$D$5:$D$300,MATCH(D141,'Malzeme Tanımlama'!$A$5:$A$300,0)),"")</f>
        <v/>
      </c>
      <c r="I141" s="2"/>
      <c r="J141" s="2"/>
      <c r="K141" s="2"/>
    </row>
    <row r="142" spans="1:11" x14ac:dyDescent="0.3">
      <c r="A142" s="5" t="str">
        <f>IF(D142="","",COUNTIF($D$5:D142,"?*"))</f>
        <v/>
      </c>
      <c r="B142" s="6"/>
      <c r="C142" s="5" t="str">
        <f>IF(B142="","",INDEX({"Ocak","Şubat","Mart","Nisan","Mayıs","Haziran","Temmuz","Ağustos","Eylül","Ekim","Kasım","Aralık"},MONTH(B142)))</f>
        <v/>
      </c>
      <c r="D142" s="2"/>
      <c r="E142" s="5" t="str">
        <f>IFERROR(INDEX('Malzeme Tanımlama'!$B$5:$B$300,MATCH(D142,'Malzeme Tanımlama'!$A$5:$A$300,0)),"")</f>
        <v/>
      </c>
      <c r="F142" s="2"/>
      <c r="G142" s="5"/>
      <c r="H142" s="5" t="str">
        <f>IFERROR(INDEX('Malzeme Tanımlama'!$D$5:$D$300,MATCH(D142,'Malzeme Tanımlama'!$A$5:$A$300,0)),"")</f>
        <v/>
      </c>
      <c r="I142" s="2"/>
      <c r="J142" s="2"/>
      <c r="K142" s="2"/>
    </row>
    <row r="143" spans="1:11" x14ac:dyDescent="0.3">
      <c r="A143" s="5" t="str">
        <f>IF(D143="","",COUNTIF($D$5:D143,"?*"))</f>
        <v/>
      </c>
      <c r="B143" s="6"/>
      <c r="C143" s="5" t="str">
        <f>IF(B143="","",INDEX({"Ocak","Şubat","Mart","Nisan","Mayıs","Haziran","Temmuz","Ağustos","Eylül","Ekim","Kasım","Aralık"},MONTH(B143)))</f>
        <v/>
      </c>
      <c r="D143" s="2"/>
      <c r="E143" s="5" t="str">
        <f>IFERROR(INDEX('Malzeme Tanımlama'!$B$5:$B$300,MATCH(D143,'Malzeme Tanımlama'!$A$5:$A$300,0)),"")</f>
        <v/>
      </c>
      <c r="F143" s="2"/>
      <c r="G143" s="5"/>
      <c r="H143" s="5" t="str">
        <f>IFERROR(INDEX('Malzeme Tanımlama'!$D$5:$D$300,MATCH(D143,'Malzeme Tanımlama'!$A$5:$A$300,0)),"")</f>
        <v/>
      </c>
      <c r="I143" s="2"/>
      <c r="J143" s="2"/>
      <c r="K143" s="2"/>
    </row>
    <row r="144" spans="1:11" x14ac:dyDescent="0.3">
      <c r="A144" s="5" t="str">
        <f>IF(D144="","",COUNTIF($D$5:D144,"?*"))</f>
        <v/>
      </c>
      <c r="B144" s="6"/>
      <c r="C144" s="5" t="str">
        <f>IF(B144="","",INDEX({"Ocak","Şubat","Mart","Nisan","Mayıs","Haziran","Temmuz","Ağustos","Eylül","Ekim","Kasım","Aralık"},MONTH(B144)))</f>
        <v/>
      </c>
      <c r="D144" s="2"/>
      <c r="E144" s="5" t="str">
        <f>IFERROR(INDEX('Malzeme Tanımlama'!$B$5:$B$300,MATCH(D144,'Malzeme Tanımlama'!$A$5:$A$300,0)),"")</f>
        <v/>
      </c>
      <c r="F144" s="2"/>
      <c r="G144" s="5"/>
      <c r="H144" s="5" t="str">
        <f>IFERROR(INDEX('Malzeme Tanımlama'!$D$5:$D$300,MATCH(D144,'Malzeme Tanımlama'!$A$5:$A$300,0)),"")</f>
        <v/>
      </c>
      <c r="I144" s="2"/>
      <c r="J144" s="2"/>
      <c r="K144" s="2"/>
    </row>
    <row r="145" spans="1:11" x14ac:dyDescent="0.3">
      <c r="A145" s="5" t="str">
        <f>IF(D145="","",COUNTIF($D$5:D145,"?*"))</f>
        <v/>
      </c>
      <c r="B145" s="6"/>
      <c r="C145" s="5" t="str">
        <f>IF(B145="","",INDEX({"Ocak","Şubat","Mart","Nisan","Mayıs","Haziran","Temmuz","Ağustos","Eylül","Ekim","Kasım","Aralık"},MONTH(B145)))</f>
        <v/>
      </c>
      <c r="D145" s="2"/>
      <c r="E145" s="5" t="str">
        <f>IFERROR(INDEX('Malzeme Tanımlama'!$B$5:$B$300,MATCH(D145,'Malzeme Tanımlama'!$A$5:$A$300,0)),"")</f>
        <v/>
      </c>
      <c r="F145" s="2"/>
      <c r="G145" s="5"/>
      <c r="H145" s="5" t="str">
        <f>IFERROR(INDEX('Malzeme Tanımlama'!$D$5:$D$300,MATCH(D145,'Malzeme Tanımlama'!$A$5:$A$300,0)),"")</f>
        <v/>
      </c>
      <c r="I145" s="2"/>
      <c r="J145" s="2"/>
      <c r="K145" s="2"/>
    </row>
    <row r="146" spans="1:11" x14ac:dyDescent="0.3">
      <c r="A146" s="5" t="str">
        <f>IF(D146="","",COUNTIF($D$5:D146,"?*"))</f>
        <v/>
      </c>
      <c r="B146" s="6"/>
      <c r="C146" s="5" t="str">
        <f>IF(B146="","",INDEX({"Ocak","Şubat","Mart","Nisan","Mayıs","Haziran","Temmuz","Ağustos","Eylül","Ekim","Kasım","Aralık"},MONTH(B146)))</f>
        <v/>
      </c>
      <c r="D146" s="2"/>
      <c r="E146" s="5" t="str">
        <f>IFERROR(INDEX('Malzeme Tanımlama'!$B$5:$B$300,MATCH(D146,'Malzeme Tanımlama'!$A$5:$A$300,0)),"")</f>
        <v/>
      </c>
      <c r="F146" s="2"/>
      <c r="G146" s="5"/>
      <c r="H146" s="5" t="str">
        <f>IFERROR(INDEX('Malzeme Tanımlama'!$D$5:$D$300,MATCH(D146,'Malzeme Tanımlama'!$A$5:$A$300,0)),"")</f>
        <v/>
      </c>
      <c r="I146" s="2"/>
      <c r="J146" s="2"/>
      <c r="K146" s="2"/>
    </row>
    <row r="147" spans="1:11" x14ac:dyDescent="0.3">
      <c r="A147" s="5" t="str">
        <f>IF(D147="","",COUNTIF($D$5:D147,"?*"))</f>
        <v/>
      </c>
      <c r="B147" s="6"/>
      <c r="C147" s="5" t="str">
        <f>IF(B147="","",INDEX({"Ocak","Şubat","Mart","Nisan","Mayıs","Haziran","Temmuz","Ağustos","Eylül","Ekim","Kasım","Aralık"},MONTH(B147)))</f>
        <v/>
      </c>
      <c r="D147" s="2"/>
      <c r="E147" s="5" t="str">
        <f>IFERROR(INDEX('Malzeme Tanımlama'!$B$5:$B$300,MATCH(D147,'Malzeme Tanımlama'!$A$5:$A$300,0)),"")</f>
        <v/>
      </c>
      <c r="F147" s="2"/>
      <c r="G147" s="5"/>
      <c r="H147" s="5" t="str">
        <f>IFERROR(INDEX('Malzeme Tanımlama'!$D$5:$D$300,MATCH(D147,'Malzeme Tanımlama'!$A$5:$A$300,0)),"")</f>
        <v/>
      </c>
      <c r="I147" s="2"/>
      <c r="J147" s="2"/>
      <c r="K147" s="2"/>
    </row>
    <row r="148" spans="1:11" x14ac:dyDescent="0.3">
      <c r="A148" s="5" t="str">
        <f>IF(D148="","",COUNTIF($D$5:D148,"?*"))</f>
        <v/>
      </c>
      <c r="B148" s="6"/>
      <c r="C148" s="5" t="str">
        <f>IF(B148="","",INDEX({"Ocak","Şubat","Mart","Nisan","Mayıs","Haziran","Temmuz","Ağustos","Eylül","Ekim","Kasım","Aralık"},MONTH(B148)))</f>
        <v/>
      </c>
      <c r="D148" s="2"/>
      <c r="E148" s="5" t="str">
        <f>IFERROR(INDEX('Malzeme Tanımlama'!$B$5:$B$300,MATCH(D148,'Malzeme Tanımlama'!$A$5:$A$300,0)),"")</f>
        <v/>
      </c>
      <c r="F148" s="2"/>
      <c r="G148" s="5"/>
      <c r="H148" s="5" t="str">
        <f>IFERROR(INDEX('Malzeme Tanımlama'!$D$5:$D$300,MATCH(D148,'Malzeme Tanımlama'!$A$5:$A$300,0)),"")</f>
        <v/>
      </c>
      <c r="I148" s="2"/>
      <c r="J148" s="2"/>
      <c r="K148" s="2"/>
    </row>
    <row r="149" spans="1:11" x14ac:dyDescent="0.3">
      <c r="A149" s="5" t="str">
        <f>IF(D149="","",COUNTIF($D$5:D149,"?*"))</f>
        <v/>
      </c>
      <c r="B149" s="6"/>
      <c r="C149" s="5" t="str">
        <f>IF(B149="","",INDEX({"Ocak","Şubat","Mart","Nisan","Mayıs","Haziran","Temmuz","Ağustos","Eylül","Ekim","Kasım","Aralık"},MONTH(B149)))</f>
        <v/>
      </c>
      <c r="D149" s="2"/>
      <c r="E149" s="5" t="str">
        <f>IFERROR(INDEX('Malzeme Tanımlama'!$B$5:$B$300,MATCH(D149,'Malzeme Tanımlama'!$A$5:$A$300,0)),"")</f>
        <v/>
      </c>
      <c r="F149" s="2"/>
      <c r="G149" s="5"/>
      <c r="H149" s="5" t="str">
        <f>IFERROR(INDEX('Malzeme Tanımlama'!$D$5:$D$300,MATCH(D149,'Malzeme Tanımlama'!$A$5:$A$300,0)),"")</f>
        <v/>
      </c>
      <c r="I149" s="2"/>
      <c r="J149" s="2"/>
      <c r="K149" s="2"/>
    </row>
    <row r="150" spans="1:11" x14ac:dyDescent="0.3">
      <c r="A150" s="5" t="str">
        <f>IF(D150="","",COUNTIF($D$5:D150,"?*"))</f>
        <v/>
      </c>
      <c r="B150" s="6"/>
      <c r="C150" s="5" t="str">
        <f>IF(B150="","",INDEX({"Ocak","Şubat","Mart","Nisan","Mayıs","Haziran","Temmuz","Ağustos","Eylül","Ekim","Kasım","Aralık"},MONTH(B150)))</f>
        <v/>
      </c>
      <c r="D150" s="2"/>
      <c r="E150" s="5" t="str">
        <f>IFERROR(INDEX('Malzeme Tanımlama'!$B$5:$B$300,MATCH(D150,'Malzeme Tanımlama'!$A$5:$A$300,0)),"")</f>
        <v/>
      </c>
      <c r="F150" s="2"/>
      <c r="G150" s="5"/>
      <c r="H150" s="5" t="str">
        <f>IFERROR(INDEX('Malzeme Tanımlama'!$D$5:$D$300,MATCH(D150,'Malzeme Tanımlama'!$A$5:$A$300,0)),"")</f>
        <v/>
      </c>
      <c r="I150" s="2"/>
      <c r="J150" s="2"/>
      <c r="K150" s="2"/>
    </row>
    <row r="151" spans="1:11" x14ac:dyDescent="0.3">
      <c r="A151" s="5" t="str">
        <f>IF(D151="","",COUNTIF($D$5:D151,"?*"))</f>
        <v/>
      </c>
      <c r="B151" s="6"/>
      <c r="C151" s="5" t="str">
        <f>IF(B151="","",INDEX({"Ocak","Şubat","Mart","Nisan","Mayıs","Haziran","Temmuz","Ağustos","Eylül","Ekim","Kasım","Aralık"},MONTH(B151)))</f>
        <v/>
      </c>
      <c r="D151" s="2"/>
      <c r="E151" s="5" t="str">
        <f>IFERROR(INDEX('Malzeme Tanımlama'!$B$5:$B$300,MATCH(D151,'Malzeme Tanımlama'!$A$5:$A$300,0)),"")</f>
        <v/>
      </c>
      <c r="F151" s="2"/>
      <c r="G151" s="5"/>
      <c r="H151" s="5" t="str">
        <f>IFERROR(INDEX('Malzeme Tanımlama'!$D$5:$D$300,MATCH(D151,'Malzeme Tanımlama'!$A$5:$A$300,0)),"")</f>
        <v/>
      </c>
      <c r="I151" s="2"/>
      <c r="J151" s="2"/>
      <c r="K151" s="2"/>
    </row>
    <row r="152" spans="1:11" x14ac:dyDescent="0.3">
      <c r="A152" s="5" t="str">
        <f>IF(D152="","",COUNTIF($D$5:D152,"?*"))</f>
        <v/>
      </c>
      <c r="B152" s="6"/>
      <c r="C152" s="5" t="str">
        <f>IF(B152="","",INDEX({"Ocak","Şubat","Mart","Nisan","Mayıs","Haziran","Temmuz","Ağustos","Eylül","Ekim","Kasım","Aralık"},MONTH(B152)))</f>
        <v/>
      </c>
      <c r="D152" s="2"/>
      <c r="E152" s="5" t="str">
        <f>IFERROR(INDEX('Malzeme Tanımlama'!$B$5:$B$300,MATCH(D152,'Malzeme Tanımlama'!$A$5:$A$300,0)),"")</f>
        <v/>
      </c>
      <c r="F152" s="2"/>
      <c r="G152" s="5"/>
      <c r="H152" s="5" t="str">
        <f>IFERROR(INDEX('Malzeme Tanımlama'!$D$5:$D$300,MATCH(D152,'Malzeme Tanımlama'!$A$5:$A$300,0)),"")</f>
        <v/>
      </c>
      <c r="I152" s="2"/>
      <c r="J152" s="2"/>
      <c r="K152" s="2"/>
    </row>
    <row r="153" spans="1:11" x14ac:dyDescent="0.3">
      <c r="A153" s="5" t="str">
        <f>IF(D153="","",COUNTIF($D$5:D153,"?*"))</f>
        <v/>
      </c>
      <c r="B153" s="6"/>
      <c r="C153" s="5" t="str">
        <f>IF(B153="","",INDEX({"Ocak","Şubat","Mart","Nisan","Mayıs","Haziran","Temmuz","Ağustos","Eylül","Ekim","Kasım","Aralık"},MONTH(B153)))</f>
        <v/>
      </c>
      <c r="D153" s="2"/>
      <c r="E153" s="5" t="str">
        <f>IFERROR(INDEX('Malzeme Tanımlama'!$B$5:$B$300,MATCH(D153,'Malzeme Tanımlama'!$A$5:$A$300,0)),"")</f>
        <v/>
      </c>
      <c r="F153" s="2"/>
      <c r="G153" s="5"/>
      <c r="H153" s="5" t="str">
        <f>IFERROR(INDEX('Malzeme Tanımlama'!$D$5:$D$300,MATCH(D153,'Malzeme Tanımlama'!$A$5:$A$300,0)),"")</f>
        <v/>
      </c>
      <c r="I153" s="2"/>
      <c r="J153" s="2"/>
      <c r="K153" s="2"/>
    </row>
    <row r="154" spans="1:11" x14ac:dyDescent="0.3">
      <c r="A154" s="5" t="str">
        <f>IF(D154="","",COUNTIF($D$5:D154,"?*"))</f>
        <v/>
      </c>
      <c r="B154" s="6"/>
      <c r="C154" s="5" t="str">
        <f>IF(B154="","",INDEX({"Ocak","Şubat","Mart","Nisan","Mayıs","Haziran","Temmuz","Ağustos","Eylül","Ekim","Kasım","Aralık"},MONTH(B154)))</f>
        <v/>
      </c>
      <c r="D154" s="2"/>
      <c r="E154" s="5" t="str">
        <f>IFERROR(INDEX('Malzeme Tanımlama'!$B$5:$B$300,MATCH(D154,'Malzeme Tanımlama'!$A$5:$A$300,0)),"")</f>
        <v/>
      </c>
      <c r="F154" s="2"/>
      <c r="G154" s="5"/>
      <c r="H154" s="5" t="str">
        <f>IFERROR(INDEX('Malzeme Tanımlama'!$D$5:$D$300,MATCH(D154,'Malzeme Tanımlama'!$A$5:$A$300,0)),"")</f>
        <v/>
      </c>
      <c r="I154" s="2"/>
      <c r="J154" s="2"/>
      <c r="K154" s="2"/>
    </row>
    <row r="155" spans="1:11" x14ac:dyDescent="0.3">
      <c r="A155" s="5" t="str">
        <f>IF(D155="","",COUNTIF($D$5:D155,"?*"))</f>
        <v/>
      </c>
      <c r="B155" s="6"/>
      <c r="C155" s="5" t="str">
        <f>IF(B155="","",INDEX({"Ocak","Şubat","Mart","Nisan","Mayıs","Haziran","Temmuz","Ağustos","Eylül","Ekim","Kasım","Aralık"},MONTH(B155)))</f>
        <v/>
      </c>
      <c r="D155" s="2"/>
      <c r="E155" s="5" t="str">
        <f>IFERROR(INDEX('Malzeme Tanımlama'!$B$5:$B$300,MATCH(D155,'Malzeme Tanımlama'!$A$5:$A$300,0)),"")</f>
        <v/>
      </c>
      <c r="F155" s="2"/>
      <c r="G155" s="5"/>
      <c r="H155" s="5" t="str">
        <f>IFERROR(INDEX('Malzeme Tanımlama'!$D$5:$D$300,MATCH(D155,'Malzeme Tanımlama'!$A$5:$A$300,0)),"")</f>
        <v/>
      </c>
      <c r="I155" s="2"/>
      <c r="J155" s="2"/>
      <c r="K155" s="2"/>
    </row>
    <row r="156" spans="1:11" x14ac:dyDescent="0.3">
      <c r="A156" s="5" t="str">
        <f>IF(D156="","",COUNTIF($D$5:D156,"?*"))</f>
        <v/>
      </c>
      <c r="B156" s="6"/>
      <c r="C156" s="5" t="str">
        <f>IF(B156="","",INDEX({"Ocak","Şubat","Mart","Nisan","Mayıs","Haziran","Temmuz","Ağustos","Eylül","Ekim","Kasım","Aralık"},MONTH(B156)))</f>
        <v/>
      </c>
      <c r="D156" s="2"/>
      <c r="E156" s="5" t="str">
        <f>IFERROR(INDEX('Malzeme Tanımlama'!$B$5:$B$300,MATCH(D156,'Malzeme Tanımlama'!$A$5:$A$300,0)),"")</f>
        <v/>
      </c>
      <c r="F156" s="2"/>
      <c r="G156" s="5"/>
      <c r="H156" s="5" t="str">
        <f>IFERROR(INDEX('Malzeme Tanımlama'!$D$5:$D$300,MATCH(D156,'Malzeme Tanımlama'!$A$5:$A$300,0)),"")</f>
        <v/>
      </c>
      <c r="I156" s="2"/>
      <c r="J156" s="2"/>
      <c r="K156" s="2"/>
    </row>
    <row r="157" spans="1:11" x14ac:dyDescent="0.3">
      <c r="A157" s="5" t="str">
        <f>IF(D157="","",COUNTIF($D$5:D157,"?*"))</f>
        <v/>
      </c>
      <c r="B157" s="6"/>
      <c r="C157" s="5" t="str">
        <f>IF(B157="","",INDEX({"Ocak","Şubat","Mart","Nisan","Mayıs","Haziran","Temmuz","Ağustos","Eylül","Ekim","Kasım","Aralık"},MONTH(B157)))</f>
        <v/>
      </c>
      <c r="D157" s="2"/>
      <c r="E157" s="5" t="str">
        <f>IFERROR(INDEX('Malzeme Tanımlama'!$B$5:$B$300,MATCH(D157,'Malzeme Tanımlama'!$A$5:$A$300,0)),"")</f>
        <v/>
      </c>
      <c r="F157" s="2"/>
      <c r="G157" s="5"/>
      <c r="H157" s="5" t="str">
        <f>IFERROR(INDEX('Malzeme Tanımlama'!$D$5:$D$300,MATCH(D157,'Malzeme Tanımlama'!$A$5:$A$300,0)),"")</f>
        <v/>
      </c>
      <c r="I157" s="2"/>
      <c r="J157" s="2"/>
      <c r="K157" s="2"/>
    </row>
    <row r="158" spans="1:11" x14ac:dyDescent="0.3">
      <c r="A158" s="5" t="str">
        <f>IF(D158="","",COUNTIF($D$5:D158,"?*"))</f>
        <v/>
      </c>
      <c r="B158" s="6"/>
      <c r="C158" s="5" t="str">
        <f>IF(B158="","",INDEX({"Ocak","Şubat","Mart","Nisan","Mayıs","Haziran","Temmuz","Ağustos","Eylül","Ekim","Kasım","Aralık"},MONTH(B158)))</f>
        <v/>
      </c>
      <c r="D158" s="2"/>
      <c r="E158" s="5" t="str">
        <f>IFERROR(INDEX('Malzeme Tanımlama'!$B$5:$B$300,MATCH(D158,'Malzeme Tanımlama'!$A$5:$A$300,0)),"")</f>
        <v/>
      </c>
      <c r="F158" s="2"/>
      <c r="G158" s="5"/>
      <c r="H158" s="5" t="str">
        <f>IFERROR(INDEX('Malzeme Tanımlama'!$D$5:$D$300,MATCH(D158,'Malzeme Tanımlama'!$A$5:$A$300,0)),"")</f>
        <v/>
      </c>
      <c r="I158" s="2"/>
      <c r="J158" s="2"/>
      <c r="K158" s="2"/>
    </row>
    <row r="159" spans="1:11" x14ac:dyDescent="0.3">
      <c r="A159" s="5" t="str">
        <f>IF(D159="","",COUNTIF($D$5:D159,"?*"))</f>
        <v/>
      </c>
      <c r="B159" s="6"/>
      <c r="C159" s="5" t="str">
        <f>IF(B159="","",INDEX({"Ocak","Şubat","Mart","Nisan","Mayıs","Haziran","Temmuz","Ağustos","Eylül","Ekim","Kasım","Aralık"},MONTH(B159)))</f>
        <v/>
      </c>
      <c r="D159" s="2"/>
      <c r="E159" s="5" t="str">
        <f>IFERROR(INDEX('Malzeme Tanımlama'!$B$5:$B$300,MATCH(D159,'Malzeme Tanımlama'!$A$5:$A$300,0)),"")</f>
        <v/>
      </c>
      <c r="F159" s="2"/>
      <c r="G159" s="5"/>
      <c r="H159" s="5" t="str">
        <f>IFERROR(INDEX('Malzeme Tanımlama'!$D$5:$D$300,MATCH(D159,'Malzeme Tanımlama'!$A$5:$A$300,0)),"")</f>
        <v/>
      </c>
      <c r="I159" s="2"/>
      <c r="J159" s="2"/>
      <c r="K159" s="2"/>
    </row>
    <row r="160" spans="1:11" x14ac:dyDescent="0.3">
      <c r="A160" s="5" t="str">
        <f>IF(D160="","",COUNTIF($D$5:D160,"?*"))</f>
        <v/>
      </c>
      <c r="B160" s="6"/>
      <c r="C160" s="5" t="str">
        <f>IF(B160="","",INDEX({"Ocak","Şubat","Mart","Nisan","Mayıs","Haziran","Temmuz","Ağustos","Eylül","Ekim","Kasım","Aralık"},MONTH(B160)))</f>
        <v/>
      </c>
      <c r="D160" s="2"/>
      <c r="E160" s="5" t="str">
        <f>IFERROR(INDEX('Malzeme Tanımlama'!$B$5:$B$300,MATCH(D160,'Malzeme Tanımlama'!$A$5:$A$300,0)),"")</f>
        <v/>
      </c>
      <c r="F160" s="2"/>
      <c r="G160" s="5"/>
      <c r="H160" s="5" t="str">
        <f>IFERROR(INDEX('Malzeme Tanımlama'!$D$5:$D$300,MATCH(D160,'Malzeme Tanımlama'!$A$5:$A$300,0)),"")</f>
        <v/>
      </c>
      <c r="I160" s="2"/>
      <c r="J160" s="2"/>
      <c r="K160" s="2"/>
    </row>
    <row r="161" spans="1:11" x14ac:dyDescent="0.3">
      <c r="A161" s="5" t="str">
        <f>IF(D161="","",COUNTIF($D$5:D161,"?*"))</f>
        <v/>
      </c>
      <c r="B161" s="6"/>
      <c r="C161" s="5" t="str">
        <f>IF(B161="","",INDEX({"Ocak","Şubat","Mart","Nisan","Mayıs","Haziran","Temmuz","Ağustos","Eylül","Ekim","Kasım","Aralık"},MONTH(B161)))</f>
        <v/>
      </c>
      <c r="D161" s="2"/>
      <c r="E161" s="5" t="str">
        <f>IFERROR(INDEX('Malzeme Tanımlama'!$B$5:$B$300,MATCH(D161,'Malzeme Tanımlama'!$A$5:$A$300,0)),"")</f>
        <v/>
      </c>
      <c r="F161" s="2"/>
      <c r="G161" s="5"/>
      <c r="H161" s="5" t="str">
        <f>IFERROR(INDEX('Malzeme Tanımlama'!$D$5:$D$300,MATCH(D161,'Malzeme Tanımlama'!$A$5:$A$300,0)),"")</f>
        <v/>
      </c>
      <c r="I161" s="2"/>
      <c r="J161" s="2"/>
      <c r="K161" s="2"/>
    </row>
    <row r="162" spans="1:11" x14ac:dyDescent="0.3">
      <c r="A162" s="5" t="str">
        <f>IF(D162="","",COUNTIF($D$5:D162,"?*"))</f>
        <v/>
      </c>
      <c r="B162" s="6"/>
      <c r="C162" s="5" t="str">
        <f>IF(B162="","",INDEX({"Ocak","Şubat","Mart","Nisan","Mayıs","Haziran","Temmuz","Ağustos","Eylül","Ekim","Kasım","Aralık"},MONTH(B162)))</f>
        <v/>
      </c>
      <c r="D162" s="2"/>
      <c r="E162" s="5" t="str">
        <f>IFERROR(INDEX('Malzeme Tanımlama'!$B$5:$B$300,MATCH(D162,'Malzeme Tanımlama'!$A$5:$A$300,0)),"")</f>
        <v/>
      </c>
      <c r="F162" s="2"/>
      <c r="G162" s="5"/>
      <c r="H162" s="5" t="str">
        <f>IFERROR(INDEX('Malzeme Tanımlama'!$D$5:$D$300,MATCH(D162,'Malzeme Tanımlama'!$A$5:$A$300,0)),"")</f>
        <v/>
      </c>
      <c r="I162" s="2"/>
      <c r="J162" s="2"/>
      <c r="K162" s="2"/>
    </row>
    <row r="163" spans="1:11" x14ac:dyDescent="0.3">
      <c r="A163" s="5" t="str">
        <f>IF(D163="","",COUNTIF($D$5:D163,"?*"))</f>
        <v/>
      </c>
      <c r="B163" s="6"/>
      <c r="C163" s="5" t="str">
        <f>IF(B163="","",INDEX({"Ocak","Şubat","Mart","Nisan","Mayıs","Haziran","Temmuz","Ağustos","Eylül","Ekim","Kasım","Aralık"},MONTH(B163)))</f>
        <v/>
      </c>
      <c r="D163" s="2"/>
      <c r="E163" s="5" t="str">
        <f>IFERROR(INDEX('Malzeme Tanımlama'!$B$5:$B$300,MATCH(D163,'Malzeme Tanımlama'!$A$5:$A$300,0)),"")</f>
        <v/>
      </c>
      <c r="F163" s="2"/>
      <c r="G163" s="5"/>
      <c r="H163" s="5" t="str">
        <f>IFERROR(INDEX('Malzeme Tanımlama'!$D$5:$D$300,MATCH(D163,'Malzeme Tanımlama'!$A$5:$A$300,0)),"")</f>
        <v/>
      </c>
      <c r="I163" s="2"/>
      <c r="J163" s="2"/>
      <c r="K163" s="2"/>
    </row>
    <row r="164" spans="1:11" x14ac:dyDescent="0.3">
      <c r="A164" s="5" t="str">
        <f>IF(D164="","",COUNTIF($D$5:D164,"?*"))</f>
        <v/>
      </c>
      <c r="B164" s="6"/>
      <c r="C164" s="5" t="str">
        <f>IF(B164="","",INDEX({"Ocak","Şubat","Mart","Nisan","Mayıs","Haziran","Temmuz","Ağustos","Eylül","Ekim","Kasım","Aralık"},MONTH(B164)))</f>
        <v/>
      </c>
      <c r="D164" s="2"/>
      <c r="E164" s="5" t="str">
        <f>IFERROR(INDEX('Malzeme Tanımlama'!$B$5:$B$300,MATCH(D164,'Malzeme Tanımlama'!$A$5:$A$300,0)),"")</f>
        <v/>
      </c>
      <c r="F164" s="2"/>
      <c r="G164" s="5"/>
      <c r="H164" s="5" t="str">
        <f>IFERROR(INDEX('Malzeme Tanımlama'!$D$5:$D$300,MATCH(D164,'Malzeme Tanımlama'!$A$5:$A$300,0)),"")</f>
        <v/>
      </c>
      <c r="I164" s="2"/>
      <c r="J164" s="2"/>
      <c r="K164" s="2"/>
    </row>
    <row r="165" spans="1:11" x14ac:dyDescent="0.3">
      <c r="A165" s="5" t="str">
        <f>IF(D165="","",COUNTIF($D$5:D165,"?*"))</f>
        <v/>
      </c>
      <c r="B165" s="6"/>
      <c r="C165" s="5" t="str">
        <f>IF(B165="","",INDEX({"Ocak","Şubat","Mart","Nisan","Mayıs","Haziran","Temmuz","Ağustos","Eylül","Ekim","Kasım","Aralık"},MONTH(B165)))</f>
        <v/>
      </c>
      <c r="D165" s="2"/>
      <c r="E165" s="5" t="str">
        <f>IFERROR(INDEX('Malzeme Tanımlama'!$B$5:$B$300,MATCH(D165,'Malzeme Tanımlama'!$A$5:$A$300,0)),"")</f>
        <v/>
      </c>
      <c r="F165" s="2"/>
      <c r="G165" s="5"/>
      <c r="H165" s="5" t="str">
        <f>IFERROR(INDEX('Malzeme Tanımlama'!$D$5:$D$300,MATCH(D165,'Malzeme Tanımlama'!$A$5:$A$300,0)),"")</f>
        <v/>
      </c>
      <c r="I165" s="2"/>
      <c r="J165" s="2"/>
      <c r="K165" s="2"/>
    </row>
    <row r="166" spans="1:11" x14ac:dyDescent="0.3">
      <c r="A166" s="5" t="str">
        <f>IF(D166="","",COUNTIF($D$5:D166,"?*"))</f>
        <v/>
      </c>
      <c r="B166" s="6"/>
      <c r="C166" s="5" t="str">
        <f>IF(B166="","",INDEX({"Ocak","Şubat","Mart","Nisan","Mayıs","Haziran","Temmuz","Ağustos","Eylül","Ekim","Kasım","Aralık"},MONTH(B166)))</f>
        <v/>
      </c>
      <c r="D166" s="2"/>
      <c r="E166" s="5" t="str">
        <f>IFERROR(INDEX('Malzeme Tanımlama'!$B$5:$B$300,MATCH(D166,'Malzeme Tanımlama'!$A$5:$A$300,0)),"")</f>
        <v/>
      </c>
      <c r="F166" s="2"/>
      <c r="G166" s="5"/>
      <c r="H166" s="5" t="str">
        <f>IFERROR(INDEX('Malzeme Tanımlama'!$D$5:$D$300,MATCH(D166,'Malzeme Tanımlama'!$A$5:$A$300,0)),"")</f>
        <v/>
      </c>
      <c r="I166" s="2"/>
      <c r="J166" s="2"/>
      <c r="K166" s="2"/>
    </row>
    <row r="167" spans="1:11" x14ac:dyDescent="0.3">
      <c r="A167" s="5" t="str">
        <f>IF(D167="","",COUNTIF($D$5:D167,"?*"))</f>
        <v/>
      </c>
      <c r="B167" s="6"/>
      <c r="C167" s="5" t="str">
        <f>IF(B167="","",INDEX({"Ocak","Şubat","Mart","Nisan","Mayıs","Haziran","Temmuz","Ağustos","Eylül","Ekim","Kasım","Aralık"},MONTH(B167)))</f>
        <v/>
      </c>
      <c r="D167" s="2"/>
      <c r="E167" s="5" t="str">
        <f>IFERROR(INDEX('Malzeme Tanımlama'!$B$5:$B$300,MATCH(D167,'Malzeme Tanımlama'!$A$5:$A$300,0)),"")</f>
        <v/>
      </c>
      <c r="F167" s="2"/>
      <c r="G167" s="5"/>
      <c r="H167" s="5" t="str">
        <f>IFERROR(INDEX('Malzeme Tanımlama'!$D$5:$D$300,MATCH(D167,'Malzeme Tanımlama'!$A$5:$A$300,0)),"")</f>
        <v/>
      </c>
      <c r="I167" s="2"/>
      <c r="J167" s="2"/>
      <c r="K167" s="2"/>
    </row>
    <row r="168" spans="1:11" x14ac:dyDescent="0.3">
      <c r="A168" s="5" t="str">
        <f>IF(D168="","",COUNTIF($D$5:D168,"?*"))</f>
        <v/>
      </c>
      <c r="B168" s="6"/>
      <c r="C168" s="5" t="str">
        <f>IF(B168="","",INDEX({"Ocak","Şubat","Mart","Nisan","Mayıs","Haziran","Temmuz","Ağustos","Eylül","Ekim","Kasım","Aralık"},MONTH(B168)))</f>
        <v/>
      </c>
      <c r="D168" s="2"/>
      <c r="E168" s="5" t="str">
        <f>IFERROR(INDEX('Malzeme Tanımlama'!$B$5:$B$300,MATCH(D168,'Malzeme Tanımlama'!$A$5:$A$300,0)),"")</f>
        <v/>
      </c>
      <c r="F168" s="2"/>
      <c r="G168" s="5"/>
      <c r="H168" s="5" t="str">
        <f>IFERROR(INDEX('Malzeme Tanımlama'!$D$5:$D$300,MATCH(D168,'Malzeme Tanımlama'!$A$5:$A$300,0)),"")</f>
        <v/>
      </c>
      <c r="I168" s="2"/>
      <c r="J168" s="2"/>
      <c r="K168" s="2"/>
    </row>
    <row r="169" spans="1:11" x14ac:dyDescent="0.3">
      <c r="A169" s="5" t="str">
        <f>IF(D169="","",COUNTIF($D$5:D169,"?*"))</f>
        <v/>
      </c>
      <c r="B169" s="6"/>
      <c r="C169" s="5" t="str">
        <f>IF(B169="","",INDEX({"Ocak","Şubat","Mart","Nisan","Mayıs","Haziran","Temmuz","Ağustos","Eylül","Ekim","Kasım","Aralık"},MONTH(B169)))</f>
        <v/>
      </c>
      <c r="D169" s="2"/>
      <c r="E169" s="5" t="str">
        <f>IFERROR(INDEX('Malzeme Tanımlama'!$B$5:$B$300,MATCH(D169,'Malzeme Tanımlama'!$A$5:$A$300,0)),"")</f>
        <v/>
      </c>
      <c r="F169" s="2"/>
      <c r="G169" s="5"/>
      <c r="H169" s="5" t="str">
        <f>IFERROR(INDEX('Malzeme Tanımlama'!$D$5:$D$300,MATCH(D169,'Malzeme Tanımlama'!$A$5:$A$300,0)),"")</f>
        <v/>
      </c>
      <c r="I169" s="2"/>
      <c r="J169" s="2"/>
      <c r="K169" s="2"/>
    </row>
    <row r="170" spans="1:11" x14ac:dyDescent="0.3">
      <c r="A170" s="5" t="str">
        <f>IF(D170="","",COUNTIF($D$5:D170,"?*"))</f>
        <v/>
      </c>
      <c r="B170" s="6"/>
      <c r="C170" s="5" t="str">
        <f>IF(B170="","",INDEX({"Ocak","Şubat","Mart","Nisan","Mayıs","Haziran","Temmuz","Ağustos","Eylül","Ekim","Kasım","Aralık"},MONTH(B170)))</f>
        <v/>
      </c>
      <c r="D170" s="2"/>
      <c r="E170" s="5" t="str">
        <f>IFERROR(INDEX('Malzeme Tanımlama'!$B$5:$B$300,MATCH(D170,'Malzeme Tanımlama'!$A$5:$A$300,0)),"")</f>
        <v/>
      </c>
      <c r="F170" s="2"/>
      <c r="G170" s="5"/>
      <c r="H170" s="5" t="str">
        <f>IFERROR(INDEX('Malzeme Tanımlama'!$D$5:$D$300,MATCH(D170,'Malzeme Tanımlama'!$A$5:$A$300,0)),"")</f>
        <v/>
      </c>
      <c r="I170" s="2"/>
      <c r="J170" s="2"/>
      <c r="K170" s="2"/>
    </row>
    <row r="171" spans="1:11" x14ac:dyDescent="0.3">
      <c r="A171" s="5" t="str">
        <f>IF(D171="","",COUNTIF($D$5:D171,"?*"))</f>
        <v/>
      </c>
      <c r="B171" s="6"/>
      <c r="C171" s="5" t="str">
        <f>IF(B171="","",INDEX({"Ocak","Şubat","Mart","Nisan","Mayıs","Haziran","Temmuz","Ağustos","Eylül","Ekim","Kasım","Aralık"},MONTH(B171)))</f>
        <v/>
      </c>
      <c r="D171" s="2"/>
      <c r="E171" s="5" t="str">
        <f>IFERROR(INDEX('Malzeme Tanımlama'!$B$5:$B$300,MATCH(D171,'Malzeme Tanımlama'!$A$5:$A$300,0)),"")</f>
        <v/>
      </c>
      <c r="F171" s="2"/>
      <c r="G171" s="5"/>
      <c r="H171" s="5" t="str">
        <f>IFERROR(INDEX('Malzeme Tanımlama'!$D$5:$D$300,MATCH(D171,'Malzeme Tanımlama'!$A$5:$A$300,0)),"")</f>
        <v/>
      </c>
      <c r="I171" s="2"/>
      <c r="J171" s="2"/>
      <c r="K171" s="2"/>
    </row>
    <row r="172" spans="1:11" x14ac:dyDescent="0.3">
      <c r="A172" s="5" t="str">
        <f>IF(D172="","",COUNTIF($D$5:D172,"?*"))</f>
        <v/>
      </c>
      <c r="B172" s="6"/>
      <c r="C172" s="5" t="str">
        <f>IF(B172="","",INDEX({"Ocak","Şubat","Mart","Nisan","Mayıs","Haziran","Temmuz","Ağustos","Eylül","Ekim","Kasım","Aralık"},MONTH(B172)))</f>
        <v/>
      </c>
      <c r="D172" s="2"/>
      <c r="E172" s="5" t="str">
        <f>IFERROR(INDEX('Malzeme Tanımlama'!$B$5:$B$300,MATCH(D172,'Malzeme Tanımlama'!$A$5:$A$300,0)),"")</f>
        <v/>
      </c>
      <c r="F172" s="2"/>
      <c r="G172" s="5"/>
      <c r="H172" s="5" t="str">
        <f>IFERROR(INDEX('Malzeme Tanımlama'!$D$5:$D$300,MATCH(D172,'Malzeme Tanımlama'!$A$5:$A$300,0)),"")</f>
        <v/>
      </c>
      <c r="I172" s="2"/>
      <c r="J172" s="2"/>
      <c r="K172" s="2"/>
    </row>
    <row r="173" spans="1:11" x14ac:dyDescent="0.3">
      <c r="A173" s="5" t="str">
        <f>IF(D173="","",COUNTIF($D$5:D173,"?*"))</f>
        <v/>
      </c>
      <c r="B173" s="6"/>
      <c r="C173" s="5" t="str">
        <f>IF(B173="","",INDEX({"Ocak","Şubat","Mart","Nisan","Mayıs","Haziran","Temmuz","Ağustos","Eylül","Ekim","Kasım","Aralık"},MONTH(B173)))</f>
        <v/>
      </c>
      <c r="D173" s="2"/>
      <c r="E173" s="5" t="str">
        <f>IFERROR(INDEX('Malzeme Tanımlama'!$B$5:$B$300,MATCH(D173,'Malzeme Tanımlama'!$A$5:$A$300,0)),"")</f>
        <v/>
      </c>
      <c r="F173" s="2"/>
      <c r="G173" s="5"/>
      <c r="H173" s="5" t="str">
        <f>IFERROR(INDEX('Malzeme Tanımlama'!$D$5:$D$300,MATCH(D173,'Malzeme Tanımlama'!$A$5:$A$300,0)),"")</f>
        <v/>
      </c>
      <c r="I173" s="2"/>
      <c r="J173" s="2"/>
      <c r="K173" s="2"/>
    </row>
    <row r="174" spans="1:11" x14ac:dyDescent="0.3">
      <c r="A174" s="5" t="str">
        <f>IF(D174="","",COUNTIF($D$5:D174,"?*"))</f>
        <v/>
      </c>
      <c r="B174" s="6"/>
      <c r="C174" s="5" t="str">
        <f>IF(B174="","",INDEX({"Ocak","Şubat","Mart","Nisan","Mayıs","Haziran","Temmuz","Ağustos","Eylül","Ekim","Kasım","Aralık"},MONTH(B174)))</f>
        <v/>
      </c>
      <c r="D174" s="2"/>
      <c r="E174" s="5" t="str">
        <f>IFERROR(INDEX('Malzeme Tanımlama'!$B$5:$B$300,MATCH(D174,'Malzeme Tanımlama'!$A$5:$A$300,0)),"")</f>
        <v/>
      </c>
      <c r="F174" s="2"/>
      <c r="G174" s="5"/>
      <c r="H174" s="5" t="str">
        <f>IFERROR(INDEX('Malzeme Tanımlama'!$D$5:$D$300,MATCH(D174,'Malzeme Tanımlama'!$A$5:$A$300,0)),"")</f>
        <v/>
      </c>
      <c r="I174" s="2"/>
      <c r="J174" s="2"/>
      <c r="K174" s="2"/>
    </row>
    <row r="175" spans="1:11" x14ac:dyDescent="0.3">
      <c r="A175" s="5" t="str">
        <f>IF(D175="","",COUNTIF($D$5:D175,"?*"))</f>
        <v/>
      </c>
      <c r="B175" s="6"/>
      <c r="C175" s="5" t="str">
        <f>IF(B175="","",INDEX({"Ocak","Şubat","Mart","Nisan","Mayıs","Haziran","Temmuz","Ağustos","Eylül","Ekim","Kasım","Aralık"},MONTH(B175)))</f>
        <v/>
      </c>
      <c r="D175" s="2"/>
      <c r="E175" s="5" t="str">
        <f>IFERROR(INDEX('Malzeme Tanımlama'!$B$5:$B$300,MATCH(D175,'Malzeme Tanımlama'!$A$5:$A$300,0)),"")</f>
        <v/>
      </c>
      <c r="F175" s="2"/>
      <c r="G175" s="5"/>
      <c r="H175" s="5" t="str">
        <f>IFERROR(INDEX('Malzeme Tanımlama'!$D$5:$D$300,MATCH(D175,'Malzeme Tanımlama'!$A$5:$A$300,0)),"")</f>
        <v/>
      </c>
      <c r="I175" s="2"/>
      <c r="J175" s="2"/>
      <c r="K175" s="2"/>
    </row>
    <row r="176" spans="1:11" x14ac:dyDescent="0.3">
      <c r="A176" s="5" t="str">
        <f>IF(D176="","",COUNTIF($D$5:D176,"?*"))</f>
        <v/>
      </c>
      <c r="B176" s="6"/>
      <c r="C176" s="5" t="str">
        <f>IF(B176="","",INDEX({"Ocak","Şubat","Mart","Nisan","Mayıs","Haziran","Temmuz","Ağustos","Eylül","Ekim","Kasım","Aralık"},MONTH(B176)))</f>
        <v/>
      </c>
      <c r="D176" s="2"/>
      <c r="E176" s="5" t="str">
        <f>IFERROR(INDEX('Malzeme Tanımlama'!$B$5:$B$300,MATCH(D176,'Malzeme Tanımlama'!$A$5:$A$300,0)),"")</f>
        <v/>
      </c>
      <c r="F176" s="2"/>
      <c r="G176" s="5"/>
      <c r="H176" s="5" t="str">
        <f>IFERROR(INDEX('Malzeme Tanımlama'!$D$5:$D$300,MATCH(D176,'Malzeme Tanımlama'!$A$5:$A$300,0)),"")</f>
        <v/>
      </c>
      <c r="I176" s="2"/>
      <c r="J176" s="2"/>
      <c r="K176" s="2"/>
    </row>
    <row r="177" spans="1:11" x14ac:dyDescent="0.3">
      <c r="A177" s="5" t="str">
        <f>IF(D177="","",COUNTIF($D$5:D177,"?*"))</f>
        <v/>
      </c>
      <c r="B177" s="6"/>
      <c r="C177" s="5" t="str">
        <f>IF(B177="","",INDEX({"Ocak","Şubat","Mart","Nisan","Mayıs","Haziran","Temmuz","Ağustos","Eylül","Ekim","Kasım","Aralık"},MONTH(B177)))</f>
        <v/>
      </c>
      <c r="D177" s="2"/>
      <c r="E177" s="5" t="str">
        <f>IFERROR(INDEX('Malzeme Tanımlama'!$B$5:$B$300,MATCH(D177,'Malzeme Tanımlama'!$A$5:$A$300,0)),"")</f>
        <v/>
      </c>
      <c r="F177" s="2"/>
      <c r="G177" s="5"/>
      <c r="H177" s="5" t="str">
        <f>IFERROR(INDEX('Malzeme Tanımlama'!$D$5:$D$300,MATCH(D177,'Malzeme Tanımlama'!$A$5:$A$300,0)),"")</f>
        <v/>
      </c>
      <c r="I177" s="2"/>
      <c r="J177" s="2"/>
      <c r="K177" s="2"/>
    </row>
    <row r="178" spans="1:11" x14ac:dyDescent="0.3">
      <c r="A178" s="5" t="str">
        <f>IF(D178="","",COUNTIF($D$5:D178,"?*"))</f>
        <v/>
      </c>
      <c r="B178" s="6"/>
      <c r="C178" s="5" t="str">
        <f>IF(B178="","",INDEX({"Ocak","Şubat","Mart","Nisan","Mayıs","Haziran","Temmuz","Ağustos","Eylül","Ekim","Kasım","Aralık"},MONTH(B178)))</f>
        <v/>
      </c>
      <c r="D178" s="2"/>
      <c r="E178" s="5" t="str">
        <f>IFERROR(INDEX('Malzeme Tanımlama'!$B$5:$B$300,MATCH(D178,'Malzeme Tanımlama'!$A$5:$A$300,0)),"")</f>
        <v/>
      </c>
      <c r="F178" s="2"/>
      <c r="G178" s="5"/>
      <c r="H178" s="5" t="str">
        <f>IFERROR(INDEX('Malzeme Tanımlama'!$D$5:$D$300,MATCH(D178,'Malzeme Tanımlama'!$A$5:$A$300,0)),"")</f>
        <v/>
      </c>
      <c r="I178" s="2"/>
      <c r="J178" s="2"/>
      <c r="K178" s="2"/>
    </row>
    <row r="179" spans="1:11" x14ac:dyDescent="0.3">
      <c r="A179" s="5" t="str">
        <f>IF(D179="","",COUNTIF($D$5:D179,"?*"))</f>
        <v/>
      </c>
      <c r="B179" s="6"/>
      <c r="C179" s="5" t="str">
        <f>IF(B179="","",INDEX({"Ocak","Şubat","Mart","Nisan","Mayıs","Haziran","Temmuz","Ağustos","Eylül","Ekim","Kasım","Aralık"},MONTH(B179)))</f>
        <v/>
      </c>
      <c r="D179" s="2"/>
      <c r="E179" s="5" t="str">
        <f>IFERROR(INDEX('Malzeme Tanımlama'!$B$5:$B$300,MATCH(D179,'Malzeme Tanımlama'!$A$5:$A$300,0)),"")</f>
        <v/>
      </c>
      <c r="F179" s="2"/>
      <c r="G179" s="5"/>
      <c r="H179" s="5" t="str">
        <f>IFERROR(INDEX('Malzeme Tanımlama'!$D$5:$D$300,MATCH(D179,'Malzeme Tanımlama'!$A$5:$A$300,0)),"")</f>
        <v/>
      </c>
      <c r="I179" s="2"/>
      <c r="J179" s="2"/>
      <c r="K179" s="2"/>
    </row>
    <row r="180" spans="1:11" x14ac:dyDescent="0.3">
      <c r="A180" s="5" t="str">
        <f>IF(D180="","",COUNTIF($D$5:D180,"?*"))</f>
        <v/>
      </c>
      <c r="B180" s="6"/>
      <c r="C180" s="5" t="str">
        <f>IF(B180="","",INDEX({"Ocak","Şubat","Mart","Nisan","Mayıs","Haziran","Temmuz","Ağustos","Eylül","Ekim","Kasım","Aralık"},MONTH(B180)))</f>
        <v/>
      </c>
      <c r="D180" s="2"/>
      <c r="E180" s="5" t="str">
        <f>IFERROR(INDEX('Malzeme Tanımlama'!$B$5:$B$300,MATCH(D180,'Malzeme Tanımlama'!$A$5:$A$300,0)),"")</f>
        <v/>
      </c>
      <c r="F180" s="2"/>
      <c r="G180" s="5"/>
      <c r="H180" s="5" t="str">
        <f>IFERROR(INDEX('Malzeme Tanımlama'!$D$5:$D$300,MATCH(D180,'Malzeme Tanımlama'!$A$5:$A$300,0)),"")</f>
        <v/>
      </c>
      <c r="I180" s="2"/>
      <c r="J180" s="2"/>
      <c r="K180" s="2"/>
    </row>
    <row r="181" spans="1:11" x14ac:dyDescent="0.3">
      <c r="A181" s="5" t="str">
        <f>IF(D181="","",COUNTIF($D$5:D181,"?*"))</f>
        <v/>
      </c>
      <c r="B181" s="6"/>
      <c r="C181" s="5" t="str">
        <f>IF(B181="","",INDEX({"Ocak","Şubat","Mart","Nisan","Mayıs","Haziran","Temmuz","Ağustos","Eylül","Ekim","Kasım","Aralık"},MONTH(B181)))</f>
        <v/>
      </c>
      <c r="D181" s="2"/>
      <c r="E181" s="5" t="str">
        <f>IFERROR(INDEX('Malzeme Tanımlama'!$B$5:$B$300,MATCH(D181,'Malzeme Tanımlama'!$A$5:$A$300,0)),"")</f>
        <v/>
      </c>
      <c r="F181" s="2"/>
      <c r="G181" s="5"/>
      <c r="H181" s="5" t="str">
        <f>IFERROR(INDEX('Malzeme Tanımlama'!$D$5:$D$300,MATCH(D181,'Malzeme Tanımlama'!$A$5:$A$300,0)),"")</f>
        <v/>
      </c>
      <c r="I181" s="2"/>
      <c r="J181" s="2"/>
      <c r="K181" s="2"/>
    </row>
    <row r="182" spans="1:11" x14ac:dyDescent="0.3">
      <c r="A182" s="5" t="str">
        <f>IF(D182="","",COUNTIF($D$5:D182,"?*"))</f>
        <v/>
      </c>
      <c r="B182" s="6"/>
      <c r="C182" s="5" t="str">
        <f>IF(B182="","",INDEX({"Ocak","Şubat","Mart","Nisan","Mayıs","Haziran","Temmuz","Ağustos","Eylül","Ekim","Kasım","Aralık"},MONTH(B182)))</f>
        <v/>
      </c>
      <c r="D182" s="2"/>
      <c r="E182" s="5" t="str">
        <f>IFERROR(INDEX('Malzeme Tanımlama'!$B$5:$B$300,MATCH(D182,'Malzeme Tanımlama'!$A$5:$A$300,0)),"")</f>
        <v/>
      </c>
      <c r="F182" s="2"/>
      <c r="G182" s="5"/>
      <c r="H182" s="5" t="str">
        <f>IFERROR(INDEX('Malzeme Tanımlama'!$D$5:$D$300,MATCH(D182,'Malzeme Tanımlama'!$A$5:$A$300,0)),"")</f>
        <v/>
      </c>
      <c r="I182" s="2"/>
      <c r="J182" s="2"/>
      <c r="K182" s="2"/>
    </row>
    <row r="183" spans="1:11" x14ac:dyDescent="0.3">
      <c r="A183" s="5" t="str">
        <f>IF(D183="","",COUNTIF($D$5:D183,"?*"))</f>
        <v/>
      </c>
      <c r="B183" s="6"/>
      <c r="C183" s="5" t="str">
        <f>IF(B183="","",INDEX({"Ocak","Şubat","Mart","Nisan","Mayıs","Haziran","Temmuz","Ağustos","Eylül","Ekim","Kasım","Aralık"},MONTH(B183)))</f>
        <v/>
      </c>
      <c r="D183" s="2"/>
      <c r="E183" s="5" t="str">
        <f>IFERROR(INDEX('Malzeme Tanımlama'!$B$5:$B$300,MATCH(D183,'Malzeme Tanımlama'!$A$5:$A$300,0)),"")</f>
        <v/>
      </c>
      <c r="F183" s="2"/>
      <c r="G183" s="5"/>
      <c r="H183" s="5" t="str">
        <f>IFERROR(INDEX('Malzeme Tanımlama'!$D$5:$D$300,MATCH(D183,'Malzeme Tanımlama'!$A$5:$A$300,0)),"")</f>
        <v/>
      </c>
      <c r="I183" s="2"/>
      <c r="J183" s="2"/>
      <c r="K183" s="2"/>
    </row>
    <row r="184" spans="1:11" x14ac:dyDescent="0.3">
      <c r="A184" s="5" t="str">
        <f>IF(D184="","",COUNTIF($D$5:D184,"?*"))</f>
        <v/>
      </c>
      <c r="B184" s="6"/>
      <c r="C184" s="5" t="str">
        <f>IF(B184="","",INDEX({"Ocak","Şubat","Mart","Nisan","Mayıs","Haziran","Temmuz","Ağustos","Eylül","Ekim","Kasım","Aralık"},MONTH(B184)))</f>
        <v/>
      </c>
      <c r="D184" s="2"/>
      <c r="E184" s="5" t="str">
        <f>IFERROR(INDEX('Malzeme Tanımlama'!$B$5:$B$300,MATCH(D184,'Malzeme Tanımlama'!$A$5:$A$300,0)),"")</f>
        <v/>
      </c>
      <c r="F184" s="2"/>
      <c r="G184" s="5"/>
      <c r="H184" s="5" t="str">
        <f>IFERROR(INDEX('Malzeme Tanımlama'!$D$5:$D$300,MATCH(D184,'Malzeme Tanımlama'!$A$5:$A$300,0)),"")</f>
        <v/>
      </c>
      <c r="I184" s="2"/>
      <c r="J184" s="2"/>
      <c r="K184" s="2"/>
    </row>
    <row r="185" spans="1:11" x14ac:dyDescent="0.3">
      <c r="A185" s="5" t="str">
        <f>IF(D185="","",COUNTIF($D$5:D185,"?*"))</f>
        <v/>
      </c>
      <c r="B185" s="6"/>
      <c r="C185" s="5" t="str">
        <f>IF(B185="","",INDEX({"Ocak","Şubat","Mart","Nisan","Mayıs","Haziran","Temmuz","Ağustos","Eylül","Ekim","Kasım","Aralık"},MONTH(B185)))</f>
        <v/>
      </c>
      <c r="D185" s="2"/>
      <c r="E185" s="5" t="str">
        <f>IFERROR(INDEX('Malzeme Tanımlama'!$B$5:$B$300,MATCH(D185,'Malzeme Tanımlama'!$A$5:$A$300,0)),"")</f>
        <v/>
      </c>
      <c r="F185" s="2"/>
      <c r="G185" s="5"/>
      <c r="H185" s="5" t="str">
        <f>IFERROR(INDEX('Malzeme Tanımlama'!$D$5:$D$300,MATCH(D185,'Malzeme Tanımlama'!$A$5:$A$300,0)),"")</f>
        <v/>
      </c>
      <c r="I185" s="2"/>
      <c r="J185" s="2"/>
      <c r="K185" s="2"/>
    </row>
    <row r="186" spans="1:11" x14ac:dyDescent="0.3">
      <c r="A186" s="5" t="str">
        <f>IF(D186="","",COUNTIF($D$5:D186,"?*"))</f>
        <v/>
      </c>
      <c r="B186" s="6"/>
      <c r="C186" s="5" t="str">
        <f>IF(B186="","",INDEX({"Ocak","Şubat","Mart","Nisan","Mayıs","Haziran","Temmuz","Ağustos","Eylül","Ekim","Kasım","Aralık"},MONTH(B186)))</f>
        <v/>
      </c>
      <c r="D186" s="2"/>
      <c r="E186" s="5" t="str">
        <f>IFERROR(INDEX('Malzeme Tanımlama'!$B$5:$B$300,MATCH(D186,'Malzeme Tanımlama'!$A$5:$A$300,0)),"")</f>
        <v/>
      </c>
      <c r="F186" s="2"/>
      <c r="G186" s="5"/>
      <c r="H186" s="5" t="str">
        <f>IFERROR(INDEX('Malzeme Tanımlama'!$D$5:$D$300,MATCH(D186,'Malzeme Tanımlama'!$A$5:$A$300,0)),"")</f>
        <v/>
      </c>
      <c r="I186" s="2"/>
      <c r="J186" s="2"/>
      <c r="K186" s="2"/>
    </row>
    <row r="187" spans="1:11" x14ac:dyDescent="0.3">
      <c r="A187" s="5" t="str">
        <f>IF(D187="","",COUNTIF($D$5:D187,"?*"))</f>
        <v/>
      </c>
      <c r="B187" s="6"/>
      <c r="C187" s="5" t="str">
        <f>IF(B187="","",INDEX({"Ocak","Şubat","Mart","Nisan","Mayıs","Haziran","Temmuz","Ağustos","Eylül","Ekim","Kasım","Aralık"},MONTH(B187)))</f>
        <v/>
      </c>
      <c r="D187" s="2"/>
      <c r="E187" s="5" t="str">
        <f>IFERROR(INDEX('Malzeme Tanımlama'!$B$5:$B$300,MATCH(D187,'Malzeme Tanımlama'!$A$5:$A$300,0)),"")</f>
        <v/>
      </c>
      <c r="F187" s="2"/>
      <c r="G187" s="5"/>
      <c r="H187" s="5" t="str">
        <f>IFERROR(INDEX('Malzeme Tanımlama'!$D$5:$D$300,MATCH(D187,'Malzeme Tanımlama'!$A$5:$A$300,0)),"")</f>
        <v/>
      </c>
      <c r="I187" s="2"/>
      <c r="J187" s="2"/>
      <c r="K187" s="2"/>
    </row>
    <row r="188" spans="1:11" x14ac:dyDescent="0.3">
      <c r="A188" s="5" t="str">
        <f>IF(D188="","",COUNTIF($D$5:D188,"?*"))</f>
        <v/>
      </c>
      <c r="B188" s="6"/>
      <c r="C188" s="5" t="str">
        <f>IF(B188="","",INDEX({"Ocak","Şubat","Mart","Nisan","Mayıs","Haziran","Temmuz","Ağustos","Eylül","Ekim","Kasım","Aralık"},MONTH(B188)))</f>
        <v/>
      </c>
      <c r="D188" s="2"/>
      <c r="E188" s="5" t="str">
        <f>IFERROR(INDEX('Malzeme Tanımlama'!$B$5:$B$300,MATCH(D188,'Malzeme Tanımlama'!$A$5:$A$300,0)),"")</f>
        <v/>
      </c>
      <c r="F188" s="2"/>
      <c r="G188" s="5"/>
      <c r="H188" s="5" t="str">
        <f>IFERROR(INDEX('Malzeme Tanımlama'!$D$5:$D$300,MATCH(D188,'Malzeme Tanımlama'!$A$5:$A$300,0)),"")</f>
        <v/>
      </c>
      <c r="I188" s="2"/>
      <c r="J188" s="2"/>
      <c r="K188" s="2"/>
    </row>
    <row r="189" spans="1:11" x14ac:dyDescent="0.3">
      <c r="A189" s="5" t="str">
        <f>IF(D189="","",COUNTIF($D$5:D189,"?*"))</f>
        <v/>
      </c>
      <c r="B189" s="6"/>
      <c r="C189" s="5" t="str">
        <f>IF(B189="","",INDEX({"Ocak","Şubat","Mart","Nisan","Mayıs","Haziran","Temmuz","Ağustos","Eylül","Ekim","Kasım","Aralık"},MONTH(B189)))</f>
        <v/>
      </c>
      <c r="D189" s="2"/>
      <c r="E189" s="5" t="str">
        <f>IFERROR(INDEX('Malzeme Tanımlama'!$B$5:$B$300,MATCH(D189,'Malzeme Tanımlama'!$A$5:$A$300,0)),"")</f>
        <v/>
      </c>
      <c r="F189" s="2"/>
      <c r="G189" s="5"/>
      <c r="H189" s="5" t="str">
        <f>IFERROR(INDEX('Malzeme Tanımlama'!$D$5:$D$300,MATCH(D189,'Malzeme Tanımlama'!$A$5:$A$300,0)),"")</f>
        <v/>
      </c>
      <c r="I189" s="2"/>
      <c r="J189" s="2"/>
      <c r="K189" s="2"/>
    </row>
    <row r="190" spans="1:11" x14ac:dyDescent="0.3">
      <c r="A190" s="5" t="str">
        <f>IF(D190="","",COUNTIF($D$5:D190,"?*"))</f>
        <v/>
      </c>
      <c r="B190" s="6"/>
      <c r="C190" s="5" t="str">
        <f>IF(B190="","",INDEX({"Ocak","Şubat","Mart","Nisan","Mayıs","Haziran","Temmuz","Ağustos","Eylül","Ekim","Kasım","Aralık"},MONTH(B190)))</f>
        <v/>
      </c>
      <c r="D190" s="2"/>
      <c r="E190" s="5" t="str">
        <f>IFERROR(INDEX('Malzeme Tanımlama'!$B$5:$B$300,MATCH(D190,'Malzeme Tanımlama'!$A$5:$A$300,0)),"")</f>
        <v/>
      </c>
      <c r="F190" s="2"/>
      <c r="G190" s="5"/>
      <c r="H190" s="5" t="str">
        <f>IFERROR(INDEX('Malzeme Tanımlama'!$D$5:$D$300,MATCH(D190,'Malzeme Tanımlama'!$A$5:$A$300,0)),"")</f>
        <v/>
      </c>
      <c r="I190" s="2"/>
      <c r="J190" s="2"/>
      <c r="K190" s="2"/>
    </row>
    <row r="191" spans="1:11" x14ac:dyDescent="0.3">
      <c r="A191" s="5" t="str">
        <f>IF(D191="","",COUNTIF($D$5:D191,"?*"))</f>
        <v/>
      </c>
      <c r="B191" s="6"/>
      <c r="C191" s="5" t="str">
        <f>IF(B191="","",INDEX({"Ocak","Şubat","Mart","Nisan","Mayıs","Haziran","Temmuz","Ağustos","Eylül","Ekim","Kasım","Aralık"},MONTH(B191)))</f>
        <v/>
      </c>
      <c r="D191" s="2"/>
      <c r="E191" s="5" t="str">
        <f>IFERROR(INDEX('Malzeme Tanımlama'!$B$5:$B$300,MATCH(D191,'Malzeme Tanımlama'!$A$5:$A$300,0)),"")</f>
        <v/>
      </c>
      <c r="F191" s="2"/>
      <c r="G191" s="5"/>
      <c r="H191" s="5" t="str">
        <f>IFERROR(INDEX('Malzeme Tanımlama'!$D$5:$D$300,MATCH(D191,'Malzeme Tanımlama'!$A$5:$A$300,0)),"")</f>
        <v/>
      </c>
      <c r="I191" s="2"/>
      <c r="J191" s="2"/>
      <c r="K191" s="2"/>
    </row>
    <row r="192" spans="1:11" x14ac:dyDescent="0.3">
      <c r="A192" s="5" t="str">
        <f>IF(D192="","",COUNTIF($D$5:D192,"?*"))</f>
        <v/>
      </c>
      <c r="B192" s="6"/>
      <c r="C192" s="5" t="str">
        <f>IF(B192="","",INDEX({"Ocak","Şubat","Mart","Nisan","Mayıs","Haziran","Temmuz","Ağustos","Eylül","Ekim","Kasım","Aralık"},MONTH(B192)))</f>
        <v/>
      </c>
      <c r="D192" s="2"/>
      <c r="E192" s="5" t="str">
        <f>IFERROR(INDEX('Malzeme Tanımlama'!$B$5:$B$300,MATCH(D192,'Malzeme Tanımlama'!$A$5:$A$300,0)),"")</f>
        <v/>
      </c>
      <c r="F192" s="2"/>
      <c r="G192" s="5"/>
      <c r="H192" s="5" t="str">
        <f>IFERROR(INDEX('Malzeme Tanımlama'!$D$5:$D$300,MATCH(D192,'Malzeme Tanımlama'!$A$5:$A$300,0)),"")</f>
        <v/>
      </c>
      <c r="I192" s="2"/>
      <c r="J192" s="2"/>
      <c r="K192" s="2"/>
    </row>
    <row r="193" spans="1:11" x14ac:dyDescent="0.3">
      <c r="A193" s="5" t="str">
        <f>IF(D193="","",COUNTIF($D$5:D193,"?*"))</f>
        <v/>
      </c>
      <c r="B193" s="6"/>
      <c r="C193" s="5" t="str">
        <f>IF(B193="","",INDEX({"Ocak","Şubat","Mart","Nisan","Mayıs","Haziran","Temmuz","Ağustos","Eylül","Ekim","Kasım","Aralık"},MONTH(B193)))</f>
        <v/>
      </c>
      <c r="D193" s="2"/>
      <c r="E193" s="5" t="str">
        <f>IFERROR(INDEX('Malzeme Tanımlama'!$B$5:$B$300,MATCH(D193,'Malzeme Tanımlama'!$A$5:$A$300,0)),"")</f>
        <v/>
      </c>
      <c r="F193" s="2"/>
      <c r="G193" s="5"/>
      <c r="H193" s="5" t="str">
        <f>IFERROR(INDEX('Malzeme Tanımlama'!$D$5:$D$300,MATCH(D193,'Malzeme Tanımlama'!$A$5:$A$300,0)),"")</f>
        <v/>
      </c>
      <c r="I193" s="2"/>
      <c r="J193" s="2"/>
      <c r="K193" s="2"/>
    </row>
    <row r="194" spans="1:11" x14ac:dyDescent="0.3">
      <c r="A194" s="5" t="str">
        <f>IF(D194="","",COUNTIF($D$5:D194,"?*"))</f>
        <v/>
      </c>
      <c r="B194" s="6"/>
      <c r="C194" s="5" t="str">
        <f>IF(B194="","",INDEX({"Ocak","Şubat","Mart","Nisan","Mayıs","Haziran","Temmuz","Ağustos","Eylül","Ekim","Kasım","Aralık"},MONTH(B194)))</f>
        <v/>
      </c>
      <c r="D194" s="2"/>
      <c r="E194" s="5" t="str">
        <f>IFERROR(INDEX('Malzeme Tanımlama'!$B$5:$B$300,MATCH(D194,'Malzeme Tanımlama'!$A$5:$A$300,0)),"")</f>
        <v/>
      </c>
      <c r="F194" s="2"/>
      <c r="G194" s="5"/>
      <c r="H194" s="5" t="str">
        <f>IFERROR(INDEX('Malzeme Tanımlama'!$D$5:$D$300,MATCH(D194,'Malzeme Tanımlama'!$A$5:$A$300,0)),"")</f>
        <v/>
      </c>
      <c r="I194" s="2"/>
      <c r="J194" s="2"/>
      <c r="K194" s="2"/>
    </row>
    <row r="195" spans="1:11" x14ac:dyDescent="0.3">
      <c r="A195" s="5" t="str">
        <f>IF(D195="","",COUNTIF($D$5:D195,"?*"))</f>
        <v/>
      </c>
      <c r="B195" s="6"/>
      <c r="C195" s="5" t="str">
        <f>IF(B195="","",INDEX({"Ocak","Şubat","Mart","Nisan","Mayıs","Haziran","Temmuz","Ağustos","Eylül","Ekim","Kasım","Aralık"},MONTH(B195)))</f>
        <v/>
      </c>
      <c r="D195" s="2"/>
      <c r="E195" s="5" t="str">
        <f>IFERROR(INDEX('Malzeme Tanımlama'!$B$5:$B$300,MATCH(D195,'Malzeme Tanımlama'!$A$5:$A$300,0)),"")</f>
        <v/>
      </c>
      <c r="F195" s="2"/>
      <c r="G195" s="5"/>
      <c r="H195" s="5" t="str">
        <f>IFERROR(INDEX('Malzeme Tanımlama'!$D$5:$D$300,MATCH(D195,'Malzeme Tanımlama'!$A$5:$A$300,0)),"")</f>
        <v/>
      </c>
      <c r="I195" s="2"/>
      <c r="J195" s="2"/>
      <c r="K195" s="2"/>
    </row>
    <row r="196" spans="1:11" x14ac:dyDescent="0.3">
      <c r="A196" s="5" t="str">
        <f>IF(D196="","",COUNTIF($D$5:D196,"?*"))</f>
        <v/>
      </c>
      <c r="B196" s="6"/>
      <c r="C196" s="5" t="str">
        <f>IF(B196="","",INDEX({"Ocak","Şubat","Mart","Nisan","Mayıs","Haziran","Temmuz","Ağustos","Eylül","Ekim","Kasım","Aralık"},MONTH(B196)))</f>
        <v/>
      </c>
      <c r="D196" s="2"/>
      <c r="E196" s="5" t="str">
        <f>IFERROR(INDEX('Malzeme Tanımlama'!$B$5:$B$300,MATCH(D196,'Malzeme Tanımlama'!$A$5:$A$300,0)),"")</f>
        <v/>
      </c>
      <c r="F196" s="2"/>
      <c r="G196" s="5"/>
      <c r="H196" s="5" t="str">
        <f>IFERROR(INDEX('Malzeme Tanımlama'!$D$5:$D$300,MATCH(D196,'Malzeme Tanımlama'!$A$5:$A$300,0)),"")</f>
        <v/>
      </c>
      <c r="I196" s="2"/>
      <c r="J196" s="2"/>
      <c r="K196" s="2"/>
    </row>
    <row r="197" spans="1:11" x14ac:dyDescent="0.3">
      <c r="A197" s="5" t="str">
        <f>IF(D197="","",COUNTIF($D$5:D197,"?*"))</f>
        <v/>
      </c>
      <c r="B197" s="6"/>
      <c r="C197" s="5" t="str">
        <f>IF(B197="","",INDEX({"Ocak","Şubat","Mart","Nisan","Mayıs","Haziran","Temmuz","Ağustos","Eylül","Ekim","Kasım","Aralık"},MONTH(B197)))</f>
        <v/>
      </c>
      <c r="D197" s="2"/>
      <c r="E197" s="5" t="str">
        <f>IFERROR(INDEX('Malzeme Tanımlama'!$B$5:$B$300,MATCH(D197,'Malzeme Tanımlama'!$A$5:$A$300,0)),"")</f>
        <v/>
      </c>
      <c r="F197" s="2"/>
      <c r="G197" s="5"/>
      <c r="H197" s="5" t="str">
        <f>IFERROR(INDEX('Malzeme Tanımlama'!$D$5:$D$300,MATCH(D197,'Malzeme Tanımlama'!$A$5:$A$300,0)),"")</f>
        <v/>
      </c>
      <c r="I197" s="2"/>
      <c r="J197" s="2"/>
      <c r="K197" s="2"/>
    </row>
    <row r="198" spans="1:11" x14ac:dyDescent="0.3">
      <c r="A198" s="5" t="str">
        <f>IF(D198="","",COUNTIF($D$5:D198,"?*"))</f>
        <v/>
      </c>
      <c r="B198" s="6"/>
      <c r="C198" s="5" t="str">
        <f>IF(B198="","",INDEX({"Ocak","Şubat","Mart","Nisan","Mayıs","Haziran","Temmuz","Ağustos","Eylül","Ekim","Kasım","Aralık"},MONTH(B198)))</f>
        <v/>
      </c>
      <c r="D198" s="2"/>
      <c r="E198" s="5" t="str">
        <f>IFERROR(INDEX('Malzeme Tanımlama'!$B$5:$B$300,MATCH(D198,'Malzeme Tanımlama'!$A$5:$A$300,0)),"")</f>
        <v/>
      </c>
      <c r="F198" s="2"/>
      <c r="G198" s="5"/>
      <c r="H198" s="5" t="str">
        <f>IFERROR(INDEX('Malzeme Tanımlama'!$D$5:$D$300,MATCH(D198,'Malzeme Tanımlama'!$A$5:$A$300,0)),"")</f>
        <v/>
      </c>
      <c r="I198" s="2"/>
      <c r="J198" s="2"/>
      <c r="K198" s="2"/>
    </row>
    <row r="199" spans="1:11" x14ac:dyDescent="0.3">
      <c r="A199" s="5" t="str">
        <f>IF(D199="","",COUNTIF($D$5:D199,"?*"))</f>
        <v/>
      </c>
      <c r="B199" s="6"/>
      <c r="C199" s="5" t="str">
        <f>IF(B199="","",INDEX({"Ocak","Şubat","Mart","Nisan","Mayıs","Haziran","Temmuz","Ağustos","Eylül","Ekim","Kasım","Aralık"},MONTH(B199)))</f>
        <v/>
      </c>
      <c r="D199" s="2"/>
      <c r="E199" s="5" t="str">
        <f>IFERROR(INDEX('Malzeme Tanımlama'!$B$5:$B$300,MATCH(D199,'Malzeme Tanımlama'!$A$5:$A$300,0)),"")</f>
        <v/>
      </c>
      <c r="F199" s="2"/>
      <c r="G199" s="5"/>
      <c r="H199" s="5" t="str">
        <f>IFERROR(INDEX('Malzeme Tanımlama'!$D$5:$D$300,MATCH(D199,'Malzeme Tanımlama'!$A$5:$A$300,0)),"")</f>
        <v/>
      </c>
      <c r="I199" s="2"/>
      <c r="J199" s="2"/>
      <c r="K199" s="2"/>
    </row>
    <row r="200" spans="1:11" x14ac:dyDescent="0.3">
      <c r="A200" s="5" t="str">
        <f>IF(D200="","",COUNTIF($D$5:D200,"?*"))</f>
        <v/>
      </c>
      <c r="B200" s="6"/>
      <c r="C200" s="5" t="str">
        <f>IF(B200="","",INDEX({"Ocak","Şubat","Mart","Nisan","Mayıs","Haziran","Temmuz","Ağustos","Eylül","Ekim","Kasım","Aralık"},MONTH(B200)))</f>
        <v/>
      </c>
      <c r="D200" s="2"/>
      <c r="E200" s="5" t="str">
        <f>IFERROR(INDEX('Malzeme Tanımlama'!$B$5:$B$300,MATCH(D200,'Malzeme Tanımlama'!$A$5:$A$300,0)),"")</f>
        <v/>
      </c>
      <c r="F200" s="2"/>
      <c r="G200" s="5"/>
      <c r="H200" s="5" t="str">
        <f>IFERROR(INDEX('Malzeme Tanımlama'!$D$5:$D$300,MATCH(D200,'Malzeme Tanımlama'!$A$5:$A$300,0)),"")</f>
        <v/>
      </c>
      <c r="I200" s="2"/>
      <c r="J200" s="2"/>
      <c r="K200" s="2"/>
    </row>
    <row r="201" spans="1:11" x14ac:dyDescent="0.3">
      <c r="A201" s="5" t="str">
        <f>IF(D201="","",COUNTIF($D$5:D201,"?*"))</f>
        <v/>
      </c>
      <c r="B201" s="6"/>
      <c r="C201" s="5" t="str">
        <f>IF(B201="","",INDEX({"Ocak","Şubat","Mart","Nisan","Mayıs","Haziran","Temmuz","Ağustos","Eylül","Ekim","Kasım","Aralık"},MONTH(B201)))</f>
        <v/>
      </c>
      <c r="D201" s="2"/>
      <c r="E201" s="5" t="str">
        <f>IFERROR(INDEX('Malzeme Tanımlama'!$B$5:$B$300,MATCH(D201,'Malzeme Tanımlama'!$A$5:$A$300,0)),"")</f>
        <v/>
      </c>
      <c r="F201" s="2"/>
      <c r="G201" s="5"/>
      <c r="H201" s="5" t="str">
        <f>IFERROR(INDEX('Malzeme Tanımlama'!$D$5:$D$300,MATCH(D201,'Malzeme Tanımlama'!$A$5:$A$300,0)),"")</f>
        <v/>
      </c>
      <c r="I201" s="2"/>
      <c r="J201" s="2"/>
      <c r="K201" s="2"/>
    </row>
    <row r="202" spans="1:11" x14ac:dyDescent="0.3">
      <c r="A202" s="5" t="str">
        <f>IF(D202="","",COUNTIF($D$5:D202,"?*"))</f>
        <v/>
      </c>
      <c r="B202" s="6"/>
      <c r="C202" s="5" t="str">
        <f>IF(B202="","",INDEX({"Ocak","Şubat","Mart","Nisan","Mayıs","Haziran","Temmuz","Ağustos","Eylül","Ekim","Kasım","Aralık"},MONTH(B202)))</f>
        <v/>
      </c>
      <c r="D202" s="2"/>
      <c r="E202" s="5" t="str">
        <f>IFERROR(INDEX('Malzeme Tanımlama'!$B$5:$B$300,MATCH(D202,'Malzeme Tanımlama'!$A$5:$A$300,0)),"")</f>
        <v/>
      </c>
      <c r="F202" s="2"/>
      <c r="G202" s="5"/>
      <c r="H202" s="5" t="str">
        <f>IFERROR(INDEX('Malzeme Tanımlama'!$D$5:$D$300,MATCH(D202,'Malzeme Tanımlama'!$A$5:$A$300,0)),"")</f>
        <v/>
      </c>
      <c r="I202" s="2"/>
      <c r="J202" s="2"/>
      <c r="K202" s="2"/>
    </row>
    <row r="203" spans="1:11" x14ac:dyDescent="0.3">
      <c r="A203" s="5" t="str">
        <f>IF(D203="","",COUNTIF($D$5:D203,"?*"))</f>
        <v/>
      </c>
      <c r="B203" s="6"/>
      <c r="C203" s="5" t="str">
        <f>IF(B203="","",INDEX({"Ocak","Şubat","Mart","Nisan","Mayıs","Haziran","Temmuz","Ağustos","Eylül","Ekim","Kasım","Aralık"},MONTH(B203)))</f>
        <v/>
      </c>
      <c r="D203" s="2"/>
      <c r="E203" s="5" t="str">
        <f>IFERROR(INDEX('Malzeme Tanımlama'!$B$5:$B$300,MATCH(D203,'Malzeme Tanımlama'!$A$5:$A$300,0)),"")</f>
        <v/>
      </c>
      <c r="F203" s="2"/>
      <c r="G203" s="5"/>
      <c r="H203" s="5" t="str">
        <f>IFERROR(INDEX('Malzeme Tanımlama'!$D$5:$D$300,MATCH(D203,'Malzeme Tanımlama'!$A$5:$A$300,0)),"")</f>
        <v/>
      </c>
      <c r="I203" s="2"/>
      <c r="J203" s="2"/>
      <c r="K203" s="2"/>
    </row>
    <row r="204" spans="1:11" x14ac:dyDescent="0.3">
      <c r="A204" s="5" t="str">
        <f>IF(D204="","",COUNTIF($D$5:D204,"?*"))</f>
        <v/>
      </c>
      <c r="B204" s="6"/>
      <c r="C204" s="5" t="str">
        <f>IF(B204="","",INDEX({"Ocak","Şubat","Mart","Nisan","Mayıs","Haziran","Temmuz","Ağustos","Eylül","Ekim","Kasım","Aralık"},MONTH(B204)))</f>
        <v/>
      </c>
      <c r="D204" s="2"/>
      <c r="E204" s="5" t="str">
        <f>IFERROR(INDEX('Malzeme Tanımlama'!$B$5:$B$300,MATCH(D204,'Malzeme Tanımlama'!$A$5:$A$300,0)),"")</f>
        <v/>
      </c>
      <c r="F204" s="2"/>
      <c r="G204" s="5"/>
      <c r="H204" s="5" t="str">
        <f>IFERROR(INDEX('Malzeme Tanımlama'!$D$5:$D$300,MATCH(D204,'Malzeme Tanımlama'!$A$5:$A$300,0)),"")</f>
        <v/>
      </c>
      <c r="I204" s="2"/>
      <c r="J204" s="2"/>
      <c r="K204" s="2"/>
    </row>
    <row r="205" spans="1:11" x14ac:dyDescent="0.3">
      <c r="A205" s="5" t="str">
        <f>IF(D205="","",COUNTIF($D$5:D205,"?*"))</f>
        <v/>
      </c>
      <c r="B205" s="6"/>
      <c r="C205" s="5" t="str">
        <f>IF(B205="","",INDEX({"Ocak","Şubat","Mart","Nisan","Mayıs","Haziran","Temmuz","Ağustos","Eylül","Ekim","Kasım","Aralık"},MONTH(B205)))</f>
        <v/>
      </c>
      <c r="D205" s="2"/>
      <c r="E205" s="5" t="str">
        <f>IFERROR(INDEX('Malzeme Tanımlama'!$B$5:$B$300,MATCH(D205,'Malzeme Tanımlama'!$A$5:$A$300,0)),"")</f>
        <v/>
      </c>
      <c r="F205" s="2"/>
      <c r="G205" s="5"/>
      <c r="H205" s="5" t="str">
        <f>IFERROR(INDEX('Malzeme Tanımlama'!$D$5:$D$300,MATCH(D205,'Malzeme Tanımlama'!$A$5:$A$300,0)),"")</f>
        <v/>
      </c>
      <c r="I205" s="2"/>
      <c r="J205" s="2"/>
      <c r="K205" s="2"/>
    </row>
    <row r="206" spans="1:11" x14ac:dyDescent="0.3">
      <c r="A206" s="5" t="str">
        <f>IF(D206="","",COUNTIF($D$5:D206,"?*"))</f>
        <v/>
      </c>
      <c r="B206" s="6"/>
      <c r="C206" s="5" t="str">
        <f>IF(B206="","",INDEX({"Ocak","Şubat","Mart","Nisan","Mayıs","Haziran","Temmuz","Ağustos","Eylül","Ekim","Kasım","Aralık"},MONTH(B206)))</f>
        <v/>
      </c>
      <c r="D206" s="2"/>
      <c r="E206" s="5" t="str">
        <f>IFERROR(INDEX('Malzeme Tanımlama'!$B$5:$B$300,MATCH(D206,'Malzeme Tanımlama'!$A$5:$A$300,0)),"")</f>
        <v/>
      </c>
      <c r="F206" s="2"/>
      <c r="G206" s="5"/>
      <c r="H206" s="5" t="str">
        <f>IFERROR(INDEX('Malzeme Tanımlama'!$D$5:$D$300,MATCH(D206,'Malzeme Tanımlama'!$A$5:$A$300,0)),"")</f>
        <v/>
      </c>
      <c r="I206" s="2"/>
      <c r="J206" s="2"/>
      <c r="K206" s="2"/>
    </row>
    <row r="207" spans="1:11" x14ac:dyDescent="0.3">
      <c r="A207" s="5" t="str">
        <f>IF(D207="","",COUNTIF($D$5:D207,"?*"))</f>
        <v/>
      </c>
      <c r="B207" s="6"/>
      <c r="C207" s="5" t="str">
        <f>IF(B207="","",INDEX({"Ocak","Şubat","Mart","Nisan","Mayıs","Haziran","Temmuz","Ağustos","Eylül","Ekim","Kasım","Aralık"},MONTH(B207)))</f>
        <v/>
      </c>
      <c r="D207" s="2"/>
      <c r="E207" s="5" t="str">
        <f>IFERROR(INDEX('Malzeme Tanımlama'!$B$5:$B$300,MATCH(D207,'Malzeme Tanımlama'!$A$5:$A$300,0)),"")</f>
        <v/>
      </c>
      <c r="F207" s="2"/>
      <c r="G207" s="5"/>
      <c r="H207" s="5" t="str">
        <f>IFERROR(INDEX('Malzeme Tanımlama'!$D$5:$D$300,MATCH(D207,'Malzeme Tanımlama'!$A$5:$A$300,0)),"")</f>
        <v/>
      </c>
      <c r="I207" s="2"/>
      <c r="J207" s="2"/>
      <c r="K207" s="2"/>
    </row>
    <row r="208" spans="1:11" x14ac:dyDescent="0.3">
      <c r="A208" s="5" t="str">
        <f>IF(D208="","",COUNTIF($D$5:D208,"?*"))</f>
        <v/>
      </c>
      <c r="B208" s="6"/>
      <c r="C208" s="5" t="str">
        <f>IF(B208="","",INDEX({"Ocak","Şubat","Mart","Nisan","Mayıs","Haziran","Temmuz","Ağustos","Eylül","Ekim","Kasım","Aralık"},MONTH(B208)))</f>
        <v/>
      </c>
      <c r="D208" s="2"/>
      <c r="E208" s="5" t="str">
        <f>IFERROR(INDEX('Malzeme Tanımlama'!$B$5:$B$300,MATCH(D208,'Malzeme Tanımlama'!$A$5:$A$300,0)),"")</f>
        <v/>
      </c>
      <c r="F208" s="2"/>
      <c r="G208" s="5"/>
      <c r="H208" s="5" t="str">
        <f>IFERROR(INDEX('Malzeme Tanımlama'!$D$5:$D$300,MATCH(D208,'Malzeme Tanımlama'!$A$5:$A$300,0)),"")</f>
        <v/>
      </c>
      <c r="I208" s="2"/>
      <c r="J208" s="2"/>
      <c r="K208" s="2"/>
    </row>
    <row r="209" spans="1:11" x14ac:dyDescent="0.3">
      <c r="A209" s="5" t="str">
        <f>IF(D209="","",COUNTIF($D$5:D209,"?*"))</f>
        <v/>
      </c>
      <c r="B209" s="6"/>
      <c r="C209" s="5" t="str">
        <f>IF(B209="","",INDEX({"Ocak","Şubat","Mart","Nisan","Mayıs","Haziran","Temmuz","Ağustos","Eylül","Ekim","Kasım","Aralık"},MONTH(B209)))</f>
        <v/>
      </c>
      <c r="D209" s="2"/>
      <c r="E209" s="5" t="str">
        <f>IFERROR(INDEX('Malzeme Tanımlama'!$B$5:$B$300,MATCH(D209,'Malzeme Tanımlama'!$A$5:$A$300,0)),"")</f>
        <v/>
      </c>
      <c r="F209" s="2"/>
      <c r="G209" s="5"/>
      <c r="H209" s="5" t="str">
        <f>IFERROR(INDEX('Malzeme Tanımlama'!$D$5:$D$300,MATCH(D209,'Malzeme Tanımlama'!$A$5:$A$300,0)),"")</f>
        <v/>
      </c>
      <c r="I209" s="2"/>
      <c r="J209" s="2"/>
      <c r="K209" s="2"/>
    </row>
    <row r="210" spans="1:11" x14ac:dyDescent="0.3">
      <c r="A210" s="5" t="str">
        <f>IF(D210="","",COUNTIF($D$5:D210,"?*"))</f>
        <v/>
      </c>
      <c r="B210" s="6"/>
      <c r="C210" s="5" t="str">
        <f>IF(B210="","",INDEX({"Ocak","Şubat","Mart","Nisan","Mayıs","Haziran","Temmuz","Ağustos","Eylül","Ekim","Kasım","Aralık"},MONTH(B210)))</f>
        <v/>
      </c>
      <c r="D210" s="2"/>
      <c r="E210" s="5" t="str">
        <f>IFERROR(INDEX('Malzeme Tanımlama'!$B$5:$B$300,MATCH(D210,'Malzeme Tanımlama'!$A$5:$A$300,0)),"")</f>
        <v/>
      </c>
      <c r="F210" s="2"/>
      <c r="G210" s="5"/>
      <c r="H210" s="5" t="str">
        <f>IFERROR(INDEX('Malzeme Tanımlama'!$D$5:$D$300,MATCH(D210,'Malzeme Tanımlama'!$A$5:$A$300,0)),"")</f>
        <v/>
      </c>
      <c r="I210" s="2"/>
      <c r="J210" s="2"/>
      <c r="K210" s="2"/>
    </row>
    <row r="211" spans="1:11" x14ac:dyDescent="0.3">
      <c r="A211" s="5" t="str">
        <f>IF(D211="","",COUNTIF($D$5:D211,"?*"))</f>
        <v/>
      </c>
      <c r="B211" s="6"/>
      <c r="C211" s="5" t="str">
        <f>IF(B211="","",INDEX({"Ocak","Şubat","Mart","Nisan","Mayıs","Haziran","Temmuz","Ağustos","Eylül","Ekim","Kasım","Aralık"},MONTH(B211)))</f>
        <v/>
      </c>
      <c r="D211" s="2"/>
      <c r="E211" s="5" t="str">
        <f>IFERROR(INDEX('Malzeme Tanımlama'!$B$5:$B$300,MATCH(D211,'Malzeme Tanımlama'!$A$5:$A$300,0)),"")</f>
        <v/>
      </c>
      <c r="F211" s="2"/>
      <c r="G211" s="5"/>
      <c r="H211" s="5" t="str">
        <f>IFERROR(INDEX('Malzeme Tanımlama'!$D$5:$D$300,MATCH(D211,'Malzeme Tanımlama'!$A$5:$A$300,0)),"")</f>
        <v/>
      </c>
      <c r="I211" s="2"/>
      <c r="J211" s="2"/>
      <c r="K211" s="2"/>
    </row>
    <row r="212" spans="1:11" x14ac:dyDescent="0.3">
      <c r="A212" s="5" t="str">
        <f>IF(D212="","",COUNTIF($D$5:D212,"?*"))</f>
        <v/>
      </c>
      <c r="B212" s="6"/>
      <c r="C212" s="5" t="str">
        <f>IF(B212="","",INDEX({"Ocak","Şubat","Mart","Nisan","Mayıs","Haziran","Temmuz","Ağustos","Eylül","Ekim","Kasım","Aralık"},MONTH(B212)))</f>
        <v/>
      </c>
      <c r="D212" s="2"/>
      <c r="E212" s="5" t="str">
        <f>IFERROR(INDEX('Malzeme Tanımlama'!$B$5:$B$300,MATCH(D212,'Malzeme Tanımlama'!$A$5:$A$300,0)),"")</f>
        <v/>
      </c>
      <c r="F212" s="2"/>
      <c r="G212" s="5"/>
      <c r="H212" s="5" t="str">
        <f>IFERROR(INDEX('Malzeme Tanımlama'!$D$5:$D$300,MATCH(D212,'Malzeme Tanımlama'!$A$5:$A$300,0)),"")</f>
        <v/>
      </c>
      <c r="I212" s="2"/>
      <c r="J212" s="2"/>
      <c r="K212" s="2"/>
    </row>
    <row r="213" spans="1:11" x14ac:dyDescent="0.3">
      <c r="A213" s="5" t="str">
        <f>IF(D213="","",COUNTIF($D$5:D213,"?*"))</f>
        <v/>
      </c>
      <c r="B213" s="6"/>
      <c r="C213" s="5" t="str">
        <f>IF(B213="","",INDEX({"Ocak","Şubat","Mart","Nisan","Mayıs","Haziran","Temmuz","Ağustos","Eylül","Ekim","Kasım","Aralık"},MONTH(B213)))</f>
        <v/>
      </c>
      <c r="D213" s="2"/>
      <c r="E213" s="5" t="str">
        <f>IFERROR(INDEX('Malzeme Tanımlama'!$B$5:$B$300,MATCH(D213,'Malzeme Tanımlama'!$A$5:$A$300,0)),"")</f>
        <v/>
      </c>
      <c r="F213" s="2"/>
      <c r="G213" s="5"/>
      <c r="H213" s="5" t="str">
        <f>IFERROR(INDEX('Malzeme Tanımlama'!$D$5:$D$300,MATCH(D213,'Malzeme Tanımlama'!$A$5:$A$300,0)),"")</f>
        <v/>
      </c>
      <c r="I213" s="2"/>
      <c r="J213" s="2"/>
      <c r="K213" s="2"/>
    </row>
    <row r="214" spans="1:11" x14ac:dyDescent="0.3">
      <c r="A214" s="5" t="str">
        <f>IF(D214="","",COUNTIF($D$5:D214,"?*"))</f>
        <v/>
      </c>
      <c r="B214" s="6"/>
      <c r="C214" s="5" t="str">
        <f>IF(B214="","",INDEX({"Ocak","Şubat","Mart","Nisan","Mayıs","Haziran","Temmuz","Ağustos","Eylül","Ekim","Kasım","Aralık"},MONTH(B214)))</f>
        <v/>
      </c>
      <c r="D214" s="2"/>
      <c r="E214" s="5" t="str">
        <f>IFERROR(INDEX('Malzeme Tanımlama'!$B$5:$B$300,MATCH(D214,'Malzeme Tanımlama'!$A$5:$A$300,0)),"")</f>
        <v/>
      </c>
      <c r="F214" s="2"/>
      <c r="G214" s="5"/>
      <c r="H214" s="5" t="str">
        <f>IFERROR(INDEX('Malzeme Tanımlama'!$D$5:$D$300,MATCH(D214,'Malzeme Tanımlama'!$A$5:$A$300,0)),"")</f>
        <v/>
      </c>
      <c r="I214" s="2"/>
      <c r="J214" s="2"/>
      <c r="K214" s="2"/>
    </row>
    <row r="215" spans="1:11" x14ac:dyDescent="0.3">
      <c r="A215" s="5" t="str">
        <f>IF(D215="","",COUNTIF($D$5:D215,"?*"))</f>
        <v/>
      </c>
      <c r="B215" s="6"/>
      <c r="C215" s="5" t="str">
        <f>IF(B215="","",INDEX({"Ocak","Şubat","Mart","Nisan","Mayıs","Haziran","Temmuz","Ağustos","Eylül","Ekim","Kasım","Aralık"},MONTH(B215)))</f>
        <v/>
      </c>
      <c r="D215" s="2"/>
      <c r="E215" s="5" t="str">
        <f>IFERROR(INDEX('Malzeme Tanımlama'!$B$5:$B$300,MATCH(D215,'Malzeme Tanımlama'!$A$5:$A$300,0)),"")</f>
        <v/>
      </c>
      <c r="F215" s="2"/>
      <c r="G215" s="5"/>
      <c r="H215" s="5" t="str">
        <f>IFERROR(INDEX('Malzeme Tanımlama'!$D$5:$D$300,MATCH(D215,'Malzeme Tanımlama'!$A$5:$A$300,0)),"")</f>
        <v/>
      </c>
      <c r="I215" s="2"/>
      <c r="J215" s="2"/>
      <c r="K215" s="2"/>
    </row>
    <row r="216" spans="1:11" x14ac:dyDescent="0.3">
      <c r="A216" s="5" t="str">
        <f>IF(D216="","",COUNTIF($D$5:D216,"?*"))</f>
        <v/>
      </c>
      <c r="B216" s="6"/>
      <c r="C216" s="5" t="str">
        <f>IF(B216="","",INDEX({"Ocak","Şubat","Mart","Nisan","Mayıs","Haziran","Temmuz","Ağustos","Eylül","Ekim","Kasım","Aralık"},MONTH(B216)))</f>
        <v/>
      </c>
      <c r="D216" s="2"/>
      <c r="E216" s="5" t="str">
        <f>IFERROR(INDEX('Malzeme Tanımlama'!$B$5:$B$300,MATCH(D216,'Malzeme Tanımlama'!$A$5:$A$300,0)),"")</f>
        <v/>
      </c>
      <c r="F216" s="2"/>
      <c r="G216" s="5"/>
      <c r="H216" s="5" t="str">
        <f>IFERROR(INDEX('Malzeme Tanımlama'!$D$5:$D$300,MATCH(D216,'Malzeme Tanımlama'!$A$5:$A$300,0)),"")</f>
        <v/>
      </c>
      <c r="I216" s="2"/>
      <c r="J216" s="2"/>
      <c r="K216" s="2"/>
    </row>
    <row r="217" spans="1:11" x14ac:dyDescent="0.3">
      <c r="A217" s="5" t="str">
        <f>IF(D217="","",COUNTIF($D$5:D217,"?*"))</f>
        <v/>
      </c>
      <c r="B217" s="6"/>
      <c r="C217" s="5" t="str">
        <f>IF(B217="","",INDEX({"Ocak","Şubat","Mart","Nisan","Mayıs","Haziran","Temmuz","Ağustos","Eylül","Ekim","Kasım","Aralık"},MONTH(B217)))</f>
        <v/>
      </c>
      <c r="D217" s="2"/>
      <c r="E217" s="5" t="str">
        <f>IFERROR(INDEX('Malzeme Tanımlama'!$B$5:$B$300,MATCH(D217,'Malzeme Tanımlama'!$A$5:$A$300,0)),"")</f>
        <v/>
      </c>
      <c r="F217" s="2"/>
      <c r="G217" s="5"/>
      <c r="H217" s="5" t="str">
        <f>IFERROR(INDEX('Malzeme Tanımlama'!$D$5:$D$300,MATCH(D217,'Malzeme Tanımlama'!$A$5:$A$300,0)),"")</f>
        <v/>
      </c>
      <c r="I217" s="2"/>
      <c r="J217" s="2"/>
      <c r="K217" s="2"/>
    </row>
    <row r="218" spans="1:11" x14ac:dyDescent="0.3">
      <c r="A218" s="5" t="str">
        <f>IF(D218="","",COUNTIF($D$5:D218,"?*"))</f>
        <v/>
      </c>
      <c r="B218" s="6"/>
      <c r="C218" s="5" t="str">
        <f>IF(B218="","",INDEX({"Ocak","Şubat","Mart","Nisan","Mayıs","Haziran","Temmuz","Ağustos","Eylül","Ekim","Kasım","Aralık"},MONTH(B218)))</f>
        <v/>
      </c>
      <c r="D218" s="2"/>
      <c r="E218" s="5" t="str">
        <f>IFERROR(INDEX('Malzeme Tanımlama'!$B$5:$B$300,MATCH(D218,'Malzeme Tanımlama'!$A$5:$A$300,0)),"")</f>
        <v/>
      </c>
      <c r="F218" s="2"/>
      <c r="G218" s="5"/>
      <c r="H218" s="5" t="str">
        <f>IFERROR(INDEX('Malzeme Tanımlama'!$D$5:$D$300,MATCH(D218,'Malzeme Tanımlama'!$A$5:$A$300,0)),"")</f>
        <v/>
      </c>
      <c r="I218" s="2"/>
      <c r="J218" s="2"/>
      <c r="K218" s="2"/>
    </row>
    <row r="219" spans="1:11" x14ac:dyDescent="0.3">
      <c r="A219" s="5" t="str">
        <f>IF(D219="","",COUNTIF($D$5:D219,"?*"))</f>
        <v/>
      </c>
      <c r="B219" s="6"/>
      <c r="C219" s="5" t="str">
        <f>IF(B219="","",INDEX({"Ocak","Şubat","Mart","Nisan","Mayıs","Haziran","Temmuz","Ağustos","Eylül","Ekim","Kasım","Aralık"},MONTH(B219)))</f>
        <v/>
      </c>
      <c r="D219" s="2"/>
      <c r="E219" s="5" t="str">
        <f>IFERROR(INDEX('Malzeme Tanımlama'!$B$5:$B$300,MATCH(D219,'Malzeme Tanımlama'!$A$5:$A$300,0)),"")</f>
        <v/>
      </c>
      <c r="F219" s="2"/>
      <c r="G219" s="5"/>
      <c r="H219" s="5" t="str">
        <f>IFERROR(INDEX('Malzeme Tanımlama'!$D$5:$D$300,MATCH(D219,'Malzeme Tanımlama'!$A$5:$A$300,0)),"")</f>
        <v/>
      </c>
      <c r="I219" s="2"/>
      <c r="J219" s="2"/>
      <c r="K219" s="2"/>
    </row>
    <row r="220" spans="1:11" x14ac:dyDescent="0.3">
      <c r="A220" s="5" t="str">
        <f>IF(D220="","",COUNTIF($D$5:D220,"?*"))</f>
        <v/>
      </c>
      <c r="B220" s="6"/>
      <c r="C220" s="5" t="str">
        <f>IF(B220="","",INDEX({"Ocak","Şubat","Mart","Nisan","Mayıs","Haziran","Temmuz","Ağustos","Eylül","Ekim","Kasım","Aralık"},MONTH(B220)))</f>
        <v/>
      </c>
      <c r="D220" s="2"/>
      <c r="E220" s="5" t="str">
        <f>IFERROR(INDEX('Malzeme Tanımlama'!$B$5:$B$300,MATCH(D220,'Malzeme Tanımlama'!$A$5:$A$300,0)),"")</f>
        <v/>
      </c>
      <c r="F220" s="2"/>
      <c r="G220" s="5"/>
      <c r="H220" s="5" t="str">
        <f>IFERROR(INDEX('Malzeme Tanımlama'!$D$5:$D$300,MATCH(D220,'Malzeme Tanımlama'!$A$5:$A$300,0)),"")</f>
        <v/>
      </c>
      <c r="I220" s="2"/>
      <c r="J220" s="2"/>
      <c r="K220" s="2"/>
    </row>
    <row r="221" spans="1:11" x14ac:dyDescent="0.3">
      <c r="A221" s="5" t="str">
        <f>IF(D221="","",COUNTIF($D$5:D221,"?*"))</f>
        <v/>
      </c>
      <c r="B221" s="6"/>
      <c r="C221" s="5" t="str">
        <f>IF(B221="","",INDEX({"Ocak","Şubat","Mart","Nisan","Mayıs","Haziran","Temmuz","Ağustos","Eylül","Ekim","Kasım","Aralık"},MONTH(B221)))</f>
        <v/>
      </c>
      <c r="D221" s="2"/>
      <c r="E221" s="5" t="str">
        <f>IFERROR(INDEX('Malzeme Tanımlama'!$B$5:$B$300,MATCH(D221,'Malzeme Tanımlama'!$A$5:$A$300,0)),"")</f>
        <v/>
      </c>
      <c r="F221" s="2"/>
      <c r="G221" s="5"/>
      <c r="H221" s="5" t="str">
        <f>IFERROR(INDEX('Malzeme Tanımlama'!$D$5:$D$300,MATCH(D221,'Malzeme Tanımlama'!$A$5:$A$300,0)),"")</f>
        <v/>
      </c>
      <c r="I221" s="2"/>
      <c r="J221" s="2"/>
      <c r="K221" s="2"/>
    </row>
    <row r="222" spans="1:11" x14ac:dyDescent="0.3">
      <c r="A222" s="5" t="str">
        <f>IF(D222="","",COUNTIF($D$5:D222,"?*"))</f>
        <v/>
      </c>
      <c r="B222" s="6"/>
      <c r="C222" s="5" t="str">
        <f>IF(B222="","",INDEX({"Ocak","Şubat","Mart","Nisan","Mayıs","Haziran","Temmuz","Ağustos","Eylül","Ekim","Kasım","Aralık"},MONTH(B222)))</f>
        <v/>
      </c>
      <c r="D222" s="2"/>
      <c r="E222" s="5" t="str">
        <f>IFERROR(INDEX('Malzeme Tanımlama'!$B$5:$B$300,MATCH(D222,'Malzeme Tanımlama'!$A$5:$A$300,0)),"")</f>
        <v/>
      </c>
      <c r="F222" s="2"/>
      <c r="G222" s="5"/>
      <c r="H222" s="5" t="str">
        <f>IFERROR(INDEX('Malzeme Tanımlama'!$D$5:$D$300,MATCH(D222,'Malzeme Tanımlama'!$A$5:$A$300,0)),"")</f>
        <v/>
      </c>
      <c r="I222" s="2"/>
      <c r="J222" s="2"/>
      <c r="K222" s="2"/>
    </row>
    <row r="223" spans="1:11" x14ac:dyDescent="0.3">
      <c r="A223" s="5" t="str">
        <f>IF(D223="","",COUNTIF($D$5:D223,"?*"))</f>
        <v/>
      </c>
      <c r="B223" s="6"/>
      <c r="C223" s="5" t="str">
        <f>IF(B223="","",INDEX({"Ocak","Şubat","Mart","Nisan","Mayıs","Haziran","Temmuz","Ağustos","Eylül","Ekim","Kasım","Aralık"},MONTH(B223)))</f>
        <v/>
      </c>
      <c r="D223" s="2"/>
      <c r="E223" s="5" t="str">
        <f>IFERROR(INDEX('Malzeme Tanımlama'!$B$5:$B$300,MATCH(D223,'Malzeme Tanımlama'!$A$5:$A$300,0)),"")</f>
        <v/>
      </c>
      <c r="F223" s="2"/>
      <c r="G223" s="5"/>
      <c r="H223" s="5" t="str">
        <f>IFERROR(INDEX('Malzeme Tanımlama'!$D$5:$D$300,MATCH(D223,'Malzeme Tanımlama'!$A$5:$A$300,0)),"")</f>
        <v/>
      </c>
      <c r="I223" s="2"/>
      <c r="J223" s="2"/>
      <c r="K223" s="2"/>
    </row>
    <row r="224" spans="1:11" x14ac:dyDescent="0.3">
      <c r="A224" s="5" t="str">
        <f>IF(D224="","",COUNTIF($D$5:D224,"?*"))</f>
        <v/>
      </c>
      <c r="B224" s="6"/>
      <c r="C224" s="5" t="str">
        <f>IF(B224="","",INDEX({"Ocak","Şubat","Mart","Nisan","Mayıs","Haziran","Temmuz","Ağustos","Eylül","Ekim","Kasım","Aralık"},MONTH(B224)))</f>
        <v/>
      </c>
      <c r="D224" s="2"/>
      <c r="E224" s="5" t="str">
        <f>IFERROR(INDEX('Malzeme Tanımlama'!$B$5:$B$300,MATCH(D224,'Malzeme Tanımlama'!$A$5:$A$300,0)),"")</f>
        <v/>
      </c>
      <c r="F224" s="2"/>
      <c r="G224" s="5"/>
      <c r="H224" s="5" t="str">
        <f>IFERROR(INDEX('Malzeme Tanımlama'!$D$5:$D$300,MATCH(D224,'Malzeme Tanımlama'!$A$5:$A$300,0)),"")</f>
        <v/>
      </c>
      <c r="I224" s="2"/>
      <c r="J224" s="2"/>
      <c r="K224" s="2"/>
    </row>
    <row r="225" spans="1:11" x14ac:dyDescent="0.3">
      <c r="A225" s="5" t="str">
        <f>IF(D225="","",COUNTIF($D$5:D225,"?*"))</f>
        <v/>
      </c>
      <c r="B225" s="6"/>
      <c r="C225" s="5" t="str">
        <f>IF(B225="","",INDEX({"Ocak","Şubat","Mart","Nisan","Mayıs","Haziran","Temmuz","Ağustos","Eylül","Ekim","Kasım","Aralık"},MONTH(B225)))</f>
        <v/>
      </c>
      <c r="D225" s="2"/>
      <c r="E225" s="5" t="str">
        <f>IFERROR(INDEX('Malzeme Tanımlama'!$B$5:$B$300,MATCH(D225,'Malzeme Tanımlama'!$A$5:$A$300,0)),"")</f>
        <v/>
      </c>
      <c r="F225" s="2"/>
      <c r="G225" s="5"/>
      <c r="H225" s="5" t="str">
        <f>IFERROR(INDEX('Malzeme Tanımlama'!$D$5:$D$300,MATCH(D225,'Malzeme Tanımlama'!$A$5:$A$300,0)),"")</f>
        <v/>
      </c>
      <c r="I225" s="2"/>
      <c r="J225" s="2"/>
      <c r="K225" s="2"/>
    </row>
    <row r="226" spans="1:11" x14ac:dyDescent="0.3">
      <c r="A226" s="5" t="str">
        <f>IF(D226="","",COUNTIF($D$5:D226,"?*"))</f>
        <v/>
      </c>
      <c r="B226" s="6"/>
      <c r="C226" s="5" t="str">
        <f>IF(B226="","",INDEX({"Ocak","Şubat","Mart","Nisan","Mayıs","Haziran","Temmuz","Ağustos","Eylül","Ekim","Kasım","Aralık"},MONTH(B226)))</f>
        <v/>
      </c>
      <c r="D226" s="2"/>
      <c r="E226" s="5" t="str">
        <f>IFERROR(INDEX('Malzeme Tanımlama'!$B$5:$B$300,MATCH(D226,'Malzeme Tanımlama'!$A$5:$A$300,0)),"")</f>
        <v/>
      </c>
      <c r="F226" s="2"/>
      <c r="G226" s="5"/>
      <c r="H226" s="5" t="str">
        <f>IFERROR(INDEX('Malzeme Tanımlama'!$D$5:$D$300,MATCH(D226,'Malzeme Tanımlama'!$A$5:$A$300,0)),"")</f>
        <v/>
      </c>
      <c r="I226" s="2"/>
      <c r="J226" s="2"/>
      <c r="K226" s="2"/>
    </row>
    <row r="227" spans="1:11" x14ac:dyDescent="0.3">
      <c r="A227" s="5" t="str">
        <f>IF(D227="","",COUNTIF($D$5:D227,"?*"))</f>
        <v/>
      </c>
      <c r="B227" s="6"/>
      <c r="C227" s="5" t="str">
        <f>IF(B227="","",INDEX({"Ocak","Şubat","Mart","Nisan","Mayıs","Haziran","Temmuz","Ağustos","Eylül","Ekim","Kasım","Aralık"},MONTH(B227)))</f>
        <v/>
      </c>
      <c r="D227" s="2"/>
      <c r="E227" s="5" t="str">
        <f>IFERROR(INDEX('Malzeme Tanımlama'!$B$5:$B$300,MATCH(D227,'Malzeme Tanımlama'!$A$5:$A$300,0)),"")</f>
        <v/>
      </c>
      <c r="F227" s="2"/>
      <c r="G227" s="5"/>
      <c r="H227" s="5" t="str">
        <f>IFERROR(INDEX('Malzeme Tanımlama'!$D$5:$D$300,MATCH(D227,'Malzeme Tanımlama'!$A$5:$A$300,0)),"")</f>
        <v/>
      </c>
      <c r="I227" s="2"/>
      <c r="J227" s="2"/>
      <c r="K227" s="2"/>
    </row>
    <row r="228" spans="1:11" x14ac:dyDescent="0.3">
      <c r="A228" s="5" t="str">
        <f>IF(D228="","",COUNTIF($D$5:D228,"?*"))</f>
        <v/>
      </c>
      <c r="B228" s="6"/>
      <c r="C228" s="5" t="str">
        <f>IF(B228="","",INDEX({"Ocak","Şubat","Mart","Nisan","Mayıs","Haziran","Temmuz","Ağustos","Eylül","Ekim","Kasım","Aralık"},MONTH(B228)))</f>
        <v/>
      </c>
      <c r="D228" s="2"/>
      <c r="E228" s="5" t="str">
        <f>IFERROR(INDEX('Malzeme Tanımlama'!$B$5:$B$300,MATCH(D228,'Malzeme Tanımlama'!$A$5:$A$300,0)),"")</f>
        <v/>
      </c>
      <c r="F228" s="2"/>
      <c r="G228" s="5"/>
      <c r="H228" s="5" t="str">
        <f>IFERROR(INDEX('Malzeme Tanımlama'!$D$5:$D$300,MATCH(D228,'Malzeme Tanımlama'!$A$5:$A$300,0)),"")</f>
        <v/>
      </c>
      <c r="I228" s="2"/>
      <c r="J228" s="2"/>
      <c r="K228" s="2"/>
    </row>
    <row r="229" spans="1:11" x14ac:dyDescent="0.3">
      <c r="A229" s="5" t="str">
        <f>IF(D229="","",COUNTIF($D$5:D229,"?*"))</f>
        <v/>
      </c>
      <c r="B229" s="6"/>
      <c r="C229" s="5" t="str">
        <f>IF(B229="","",INDEX({"Ocak","Şubat","Mart","Nisan","Mayıs","Haziran","Temmuz","Ağustos","Eylül","Ekim","Kasım","Aralık"},MONTH(B229)))</f>
        <v/>
      </c>
      <c r="D229" s="2"/>
      <c r="E229" s="5" t="str">
        <f>IFERROR(INDEX('Malzeme Tanımlama'!$B$5:$B$300,MATCH(D229,'Malzeme Tanımlama'!$A$5:$A$300,0)),"")</f>
        <v/>
      </c>
      <c r="F229" s="2"/>
      <c r="G229" s="5"/>
      <c r="H229" s="5" t="str">
        <f>IFERROR(INDEX('Malzeme Tanımlama'!$D$5:$D$300,MATCH(D229,'Malzeme Tanımlama'!$A$5:$A$300,0)),"")</f>
        <v/>
      </c>
      <c r="I229" s="2"/>
      <c r="J229" s="2"/>
      <c r="K229" s="2"/>
    </row>
    <row r="230" spans="1:11" x14ac:dyDescent="0.3">
      <c r="A230" s="5" t="str">
        <f>IF(D230="","",COUNTIF($D$5:D230,"?*"))</f>
        <v/>
      </c>
      <c r="B230" s="6"/>
      <c r="C230" s="5" t="str">
        <f>IF(B230="","",INDEX({"Ocak","Şubat","Mart","Nisan","Mayıs","Haziran","Temmuz","Ağustos","Eylül","Ekim","Kasım","Aralık"},MONTH(B230)))</f>
        <v/>
      </c>
      <c r="D230" s="2"/>
      <c r="E230" s="5" t="str">
        <f>IFERROR(INDEX('Malzeme Tanımlama'!$B$5:$B$300,MATCH(D230,'Malzeme Tanımlama'!$A$5:$A$300,0)),"")</f>
        <v/>
      </c>
      <c r="F230" s="2"/>
      <c r="G230" s="5"/>
      <c r="H230" s="5" t="str">
        <f>IFERROR(INDEX('Malzeme Tanımlama'!$D$5:$D$300,MATCH(D230,'Malzeme Tanımlama'!$A$5:$A$300,0)),"")</f>
        <v/>
      </c>
      <c r="I230" s="2"/>
      <c r="J230" s="2"/>
      <c r="K230" s="2"/>
    </row>
    <row r="231" spans="1:11" x14ac:dyDescent="0.3">
      <c r="A231" s="5" t="str">
        <f>IF(D231="","",COUNTIF($D$5:D231,"?*"))</f>
        <v/>
      </c>
      <c r="B231" s="6"/>
      <c r="C231" s="5" t="str">
        <f>IF(B231="","",INDEX({"Ocak","Şubat","Mart","Nisan","Mayıs","Haziran","Temmuz","Ağustos","Eylül","Ekim","Kasım","Aralık"},MONTH(B231)))</f>
        <v/>
      </c>
      <c r="D231" s="2"/>
      <c r="E231" s="5" t="str">
        <f>IFERROR(INDEX('Malzeme Tanımlama'!$B$5:$B$300,MATCH(D231,'Malzeme Tanımlama'!$A$5:$A$300,0)),"")</f>
        <v/>
      </c>
      <c r="F231" s="2"/>
      <c r="G231" s="5"/>
      <c r="H231" s="5" t="str">
        <f>IFERROR(INDEX('Malzeme Tanımlama'!$D$5:$D$300,MATCH(D231,'Malzeme Tanımlama'!$A$5:$A$300,0)),"")</f>
        <v/>
      </c>
      <c r="I231" s="2"/>
      <c r="J231" s="2"/>
      <c r="K231" s="2"/>
    </row>
    <row r="232" spans="1:11" x14ac:dyDescent="0.3">
      <c r="A232" s="5" t="str">
        <f>IF(D232="","",COUNTIF($D$5:D232,"?*"))</f>
        <v/>
      </c>
      <c r="B232" s="6"/>
      <c r="C232" s="5" t="str">
        <f>IF(B232="","",INDEX({"Ocak","Şubat","Mart","Nisan","Mayıs","Haziran","Temmuz","Ağustos","Eylül","Ekim","Kasım","Aralık"},MONTH(B232)))</f>
        <v/>
      </c>
      <c r="D232" s="2"/>
      <c r="E232" s="5" t="str">
        <f>IFERROR(INDEX('Malzeme Tanımlama'!$B$5:$B$300,MATCH(D232,'Malzeme Tanımlama'!$A$5:$A$300,0)),"")</f>
        <v/>
      </c>
      <c r="F232" s="2"/>
      <c r="G232" s="5"/>
      <c r="H232" s="5" t="str">
        <f>IFERROR(INDEX('Malzeme Tanımlama'!$D$5:$D$300,MATCH(D232,'Malzeme Tanımlama'!$A$5:$A$300,0)),"")</f>
        <v/>
      </c>
      <c r="I232" s="2"/>
      <c r="J232" s="2"/>
      <c r="K232" s="2"/>
    </row>
    <row r="233" spans="1:11" x14ac:dyDescent="0.3">
      <c r="A233" s="5" t="str">
        <f>IF(D233="","",COUNTIF($D$5:D233,"?*"))</f>
        <v/>
      </c>
      <c r="B233" s="6"/>
      <c r="C233" s="5" t="str">
        <f>IF(B233="","",INDEX({"Ocak","Şubat","Mart","Nisan","Mayıs","Haziran","Temmuz","Ağustos","Eylül","Ekim","Kasım","Aralık"},MONTH(B233)))</f>
        <v/>
      </c>
      <c r="D233" s="2"/>
      <c r="E233" s="5" t="str">
        <f>IFERROR(INDEX('Malzeme Tanımlama'!$B$5:$B$300,MATCH(D233,'Malzeme Tanımlama'!$A$5:$A$300,0)),"")</f>
        <v/>
      </c>
      <c r="F233" s="2"/>
      <c r="G233" s="5"/>
      <c r="H233" s="5" t="str">
        <f>IFERROR(INDEX('Malzeme Tanımlama'!$D$5:$D$300,MATCH(D233,'Malzeme Tanımlama'!$A$5:$A$300,0)),"")</f>
        <v/>
      </c>
      <c r="I233" s="2"/>
      <c r="J233" s="2"/>
      <c r="K233" s="2"/>
    </row>
    <row r="234" spans="1:11" x14ac:dyDescent="0.3">
      <c r="A234" s="5" t="str">
        <f>IF(D234="","",COUNTIF($D$5:D234,"?*"))</f>
        <v/>
      </c>
      <c r="B234" s="6"/>
      <c r="C234" s="5" t="str">
        <f>IF(B234="","",INDEX({"Ocak","Şubat","Mart","Nisan","Mayıs","Haziran","Temmuz","Ağustos","Eylül","Ekim","Kasım","Aralık"},MONTH(B234)))</f>
        <v/>
      </c>
      <c r="D234" s="2"/>
      <c r="E234" s="5" t="str">
        <f>IFERROR(INDEX('Malzeme Tanımlama'!$B$5:$B$300,MATCH(D234,'Malzeme Tanımlama'!$A$5:$A$300,0)),"")</f>
        <v/>
      </c>
      <c r="F234" s="2"/>
      <c r="G234" s="5"/>
      <c r="H234" s="5" t="str">
        <f>IFERROR(INDEX('Malzeme Tanımlama'!$D$5:$D$300,MATCH(D234,'Malzeme Tanımlama'!$A$5:$A$300,0)),"")</f>
        <v/>
      </c>
      <c r="I234" s="2"/>
      <c r="J234" s="2"/>
      <c r="K234" s="2"/>
    </row>
    <row r="235" spans="1:11" x14ac:dyDescent="0.3">
      <c r="A235" s="5" t="str">
        <f>IF(D235="","",COUNTIF($D$5:D235,"?*"))</f>
        <v/>
      </c>
      <c r="B235" s="6"/>
      <c r="C235" s="5" t="str">
        <f>IF(B235="","",INDEX({"Ocak","Şubat","Mart","Nisan","Mayıs","Haziran","Temmuz","Ağustos","Eylül","Ekim","Kasım","Aralık"},MONTH(B235)))</f>
        <v/>
      </c>
      <c r="D235" s="2"/>
      <c r="E235" s="5" t="str">
        <f>IFERROR(INDEX('Malzeme Tanımlama'!$B$5:$B$300,MATCH(D235,'Malzeme Tanımlama'!$A$5:$A$300,0)),"")</f>
        <v/>
      </c>
      <c r="F235" s="2"/>
      <c r="G235" s="5"/>
      <c r="H235" s="5" t="str">
        <f>IFERROR(INDEX('Malzeme Tanımlama'!$D$5:$D$300,MATCH(D235,'Malzeme Tanımlama'!$A$5:$A$300,0)),"")</f>
        <v/>
      </c>
      <c r="I235" s="2"/>
      <c r="J235" s="2"/>
      <c r="K235" s="2"/>
    </row>
    <row r="236" spans="1:11" x14ac:dyDescent="0.3">
      <c r="A236" s="5" t="str">
        <f>IF(D236="","",COUNTIF($D$5:D236,"?*"))</f>
        <v/>
      </c>
      <c r="B236" s="6"/>
      <c r="C236" s="5" t="str">
        <f>IF(B236="","",INDEX({"Ocak","Şubat","Mart","Nisan","Mayıs","Haziran","Temmuz","Ağustos","Eylül","Ekim","Kasım","Aralık"},MONTH(B236)))</f>
        <v/>
      </c>
      <c r="D236" s="2"/>
      <c r="E236" s="5" t="str">
        <f>IFERROR(INDEX('Malzeme Tanımlama'!$B$5:$B$300,MATCH(D236,'Malzeme Tanımlama'!$A$5:$A$300,0)),"")</f>
        <v/>
      </c>
      <c r="F236" s="2"/>
      <c r="G236" s="5"/>
      <c r="H236" s="5" t="str">
        <f>IFERROR(INDEX('Malzeme Tanımlama'!$D$5:$D$300,MATCH(D236,'Malzeme Tanımlama'!$A$5:$A$300,0)),"")</f>
        <v/>
      </c>
      <c r="I236" s="2"/>
      <c r="J236" s="2"/>
      <c r="K236" s="2"/>
    </row>
    <row r="237" spans="1:11" x14ac:dyDescent="0.3">
      <c r="A237" s="5" t="str">
        <f>IF(D237="","",COUNTIF($D$5:D237,"?*"))</f>
        <v/>
      </c>
      <c r="B237" s="6"/>
      <c r="C237" s="5" t="str">
        <f>IF(B237="","",INDEX({"Ocak","Şubat","Mart","Nisan","Mayıs","Haziran","Temmuz","Ağustos","Eylül","Ekim","Kasım","Aralık"},MONTH(B237)))</f>
        <v/>
      </c>
      <c r="D237" s="2"/>
      <c r="E237" s="5" t="str">
        <f>IFERROR(INDEX('Malzeme Tanımlama'!$B$5:$B$300,MATCH(D237,'Malzeme Tanımlama'!$A$5:$A$300,0)),"")</f>
        <v/>
      </c>
      <c r="F237" s="2"/>
      <c r="G237" s="5"/>
      <c r="H237" s="5" t="str">
        <f>IFERROR(INDEX('Malzeme Tanımlama'!$D$5:$D$300,MATCH(D237,'Malzeme Tanımlama'!$A$5:$A$300,0)),"")</f>
        <v/>
      </c>
      <c r="I237" s="2"/>
      <c r="J237" s="2"/>
      <c r="K237" s="2"/>
    </row>
    <row r="238" spans="1:11" x14ac:dyDescent="0.3">
      <c r="A238" s="5" t="str">
        <f>IF(D238="","",COUNTIF($D$5:D238,"?*"))</f>
        <v/>
      </c>
      <c r="B238" s="6"/>
      <c r="C238" s="5" t="str">
        <f>IF(B238="","",INDEX({"Ocak","Şubat","Mart","Nisan","Mayıs","Haziran","Temmuz","Ağustos","Eylül","Ekim","Kasım","Aralık"},MONTH(B238)))</f>
        <v/>
      </c>
      <c r="D238" s="2"/>
      <c r="E238" s="5" t="str">
        <f>IFERROR(INDEX('Malzeme Tanımlama'!$B$5:$B$300,MATCH(D238,'Malzeme Tanımlama'!$A$5:$A$300,0)),"")</f>
        <v/>
      </c>
      <c r="F238" s="2"/>
      <c r="G238" s="5"/>
      <c r="H238" s="5" t="str">
        <f>IFERROR(INDEX('Malzeme Tanımlama'!$D$5:$D$300,MATCH(D238,'Malzeme Tanımlama'!$A$5:$A$300,0)),"")</f>
        <v/>
      </c>
      <c r="I238" s="2"/>
      <c r="J238" s="2"/>
      <c r="K238" s="2"/>
    </row>
    <row r="239" spans="1:11" x14ac:dyDescent="0.3">
      <c r="A239" s="5" t="str">
        <f>IF(D239="","",COUNTIF($D$5:D239,"?*"))</f>
        <v/>
      </c>
      <c r="B239" s="6"/>
      <c r="C239" s="5" t="str">
        <f>IF(B239="","",INDEX({"Ocak","Şubat","Mart","Nisan","Mayıs","Haziran","Temmuz","Ağustos","Eylül","Ekim","Kasım","Aralık"},MONTH(B239)))</f>
        <v/>
      </c>
      <c r="D239" s="2"/>
      <c r="E239" s="5" t="str">
        <f>IFERROR(INDEX('Malzeme Tanımlama'!$B$5:$B$300,MATCH(D239,'Malzeme Tanımlama'!$A$5:$A$300,0)),"")</f>
        <v/>
      </c>
      <c r="F239" s="2"/>
      <c r="G239" s="5"/>
      <c r="H239" s="5" t="str">
        <f>IFERROR(INDEX('Malzeme Tanımlama'!$D$5:$D$300,MATCH(D239,'Malzeme Tanımlama'!$A$5:$A$300,0)),"")</f>
        <v/>
      </c>
      <c r="I239" s="2"/>
      <c r="J239" s="2"/>
      <c r="K239" s="2"/>
    </row>
    <row r="240" spans="1:11" x14ac:dyDescent="0.3">
      <c r="A240" s="5" t="str">
        <f>IF(D240="","",COUNTIF($D$5:D240,"?*"))</f>
        <v/>
      </c>
      <c r="B240" s="6"/>
      <c r="C240" s="5" t="str">
        <f>IF(B240="","",INDEX({"Ocak","Şubat","Mart","Nisan","Mayıs","Haziran","Temmuz","Ağustos","Eylül","Ekim","Kasım","Aralık"},MONTH(B240)))</f>
        <v/>
      </c>
      <c r="D240" s="2"/>
      <c r="E240" s="5" t="str">
        <f>IFERROR(INDEX('Malzeme Tanımlama'!$B$5:$B$300,MATCH(D240,'Malzeme Tanımlama'!$A$5:$A$300,0)),"")</f>
        <v/>
      </c>
      <c r="F240" s="2"/>
      <c r="G240" s="5"/>
      <c r="H240" s="5" t="str">
        <f>IFERROR(INDEX('Malzeme Tanımlama'!$D$5:$D$300,MATCH(D240,'Malzeme Tanımlama'!$A$5:$A$300,0)),"")</f>
        <v/>
      </c>
      <c r="I240" s="2"/>
      <c r="J240" s="2"/>
      <c r="K240" s="2"/>
    </row>
    <row r="241" spans="1:11" x14ac:dyDescent="0.3">
      <c r="A241" s="5" t="str">
        <f>IF(D241="","",COUNTIF($D$5:D241,"?*"))</f>
        <v/>
      </c>
      <c r="B241" s="6"/>
      <c r="C241" s="5" t="str">
        <f>IF(B241="","",INDEX({"Ocak","Şubat","Mart","Nisan","Mayıs","Haziran","Temmuz","Ağustos","Eylül","Ekim","Kasım","Aralık"},MONTH(B241)))</f>
        <v/>
      </c>
      <c r="D241" s="2"/>
      <c r="E241" s="5" t="str">
        <f>IFERROR(INDEX('Malzeme Tanımlama'!$B$5:$B$300,MATCH(D241,'Malzeme Tanımlama'!$A$5:$A$300,0)),"")</f>
        <v/>
      </c>
      <c r="F241" s="2"/>
      <c r="G241" s="5"/>
      <c r="H241" s="5" t="str">
        <f>IFERROR(INDEX('Malzeme Tanımlama'!$D$5:$D$300,MATCH(D241,'Malzeme Tanımlama'!$A$5:$A$300,0)),"")</f>
        <v/>
      </c>
      <c r="I241" s="2"/>
      <c r="J241" s="2"/>
      <c r="K241" s="2"/>
    </row>
    <row r="242" spans="1:11" x14ac:dyDescent="0.3">
      <c r="A242" s="5" t="str">
        <f>IF(D242="","",COUNTIF($D$5:D242,"?*"))</f>
        <v/>
      </c>
      <c r="B242" s="6"/>
      <c r="C242" s="5" t="str">
        <f>IF(B242="","",INDEX({"Ocak","Şubat","Mart","Nisan","Mayıs","Haziran","Temmuz","Ağustos","Eylül","Ekim","Kasım","Aralık"},MONTH(B242)))</f>
        <v/>
      </c>
      <c r="D242" s="2"/>
      <c r="E242" s="5" t="str">
        <f>IFERROR(INDEX('Malzeme Tanımlama'!$B$5:$B$300,MATCH(D242,'Malzeme Tanımlama'!$A$5:$A$300,0)),"")</f>
        <v/>
      </c>
      <c r="F242" s="2"/>
      <c r="G242" s="5"/>
      <c r="H242" s="5" t="str">
        <f>IFERROR(INDEX('Malzeme Tanımlama'!$D$5:$D$300,MATCH(D242,'Malzeme Tanımlama'!$A$5:$A$300,0)),"")</f>
        <v/>
      </c>
      <c r="I242" s="2"/>
      <c r="J242" s="2"/>
      <c r="K242" s="2"/>
    </row>
    <row r="243" spans="1:11" x14ac:dyDescent="0.3">
      <c r="A243" s="5" t="str">
        <f>IF(D243="","",COUNTIF($D$5:D243,"?*"))</f>
        <v/>
      </c>
      <c r="B243" s="6"/>
      <c r="C243" s="5" t="str">
        <f>IF(B243="","",INDEX({"Ocak","Şubat","Mart","Nisan","Mayıs","Haziran","Temmuz","Ağustos","Eylül","Ekim","Kasım","Aralık"},MONTH(B243)))</f>
        <v/>
      </c>
      <c r="D243" s="2"/>
      <c r="E243" s="5" t="str">
        <f>IFERROR(INDEX('Malzeme Tanımlama'!$B$5:$B$300,MATCH(D243,'Malzeme Tanımlama'!$A$5:$A$300,0)),"")</f>
        <v/>
      </c>
      <c r="F243" s="2"/>
      <c r="G243" s="5"/>
      <c r="H243" s="5" t="str">
        <f>IFERROR(INDEX('Malzeme Tanımlama'!$D$5:$D$300,MATCH(D243,'Malzeme Tanımlama'!$A$5:$A$300,0)),"")</f>
        <v/>
      </c>
      <c r="I243" s="2"/>
      <c r="J243" s="2"/>
      <c r="K243" s="2"/>
    </row>
    <row r="244" spans="1:11" x14ac:dyDescent="0.3">
      <c r="A244" s="5" t="str">
        <f>IF(D244="","",COUNTIF($D$5:D244,"?*"))</f>
        <v/>
      </c>
      <c r="B244" s="6"/>
      <c r="C244" s="5" t="str">
        <f>IF(B244="","",INDEX({"Ocak","Şubat","Mart","Nisan","Mayıs","Haziran","Temmuz","Ağustos","Eylül","Ekim","Kasım","Aralık"},MONTH(B244)))</f>
        <v/>
      </c>
      <c r="D244" s="2"/>
      <c r="E244" s="5" t="str">
        <f>IFERROR(INDEX('Malzeme Tanımlama'!$B$5:$B$300,MATCH(D244,'Malzeme Tanımlama'!$A$5:$A$300,0)),"")</f>
        <v/>
      </c>
      <c r="F244" s="2"/>
      <c r="G244" s="5"/>
      <c r="H244" s="5" t="str">
        <f>IFERROR(INDEX('Malzeme Tanımlama'!$D$5:$D$300,MATCH(D244,'Malzeme Tanımlama'!$A$5:$A$300,0)),"")</f>
        <v/>
      </c>
      <c r="I244" s="2"/>
      <c r="J244" s="2"/>
      <c r="K244" s="2"/>
    </row>
    <row r="245" spans="1:11" x14ac:dyDescent="0.3">
      <c r="A245" s="5" t="str">
        <f>IF(D245="","",COUNTIF($D$5:D245,"?*"))</f>
        <v/>
      </c>
      <c r="B245" s="6"/>
      <c r="C245" s="5" t="str">
        <f>IF(B245="","",INDEX({"Ocak","Şubat","Mart","Nisan","Mayıs","Haziran","Temmuz","Ağustos","Eylül","Ekim","Kasım","Aralık"},MONTH(B245)))</f>
        <v/>
      </c>
      <c r="D245" s="2"/>
      <c r="E245" s="5" t="str">
        <f>IFERROR(INDEX('Malzeme Tanımlama'!$B$5:$B$300,MATCH(D245,'Malzeme Tanımlama'!$A$5:$A$300,0)),"")</f>
        <v/>
      </c>
      <c r="F245" s="2"/>
      <c r="G245" s="5"/>
      <c r="H245" s="5" t="str">
        <f>IFERROR(INDEX('Malzeme Tanımlama'!$D$5:$D$300,MATCH(D245,'Malzeme Tanımlama'!$A$5:$A$300,0)),"")</f>
        <v/>
      </c>
      <c r="I245" s="2"/>
      <c r="J245" s="2"/>
      <c r="K245" s="2"/>
    </row>
    <row r="246" spans="1:11" x14ac:dyDescent="0.3">
      <c r="A246" s="5" t="str">
        <f>IF(D246="","",COUNTIF($D$5:D246,"?*"))</f>
        <v/>
      </c>
      <c r="B246" s="6"/>
      <c r="C246" s="5" t="str">
        <f>IF(B246="","",INDEX({"Ocak","Şubat","Mart","Nisan","Mayıs","Haziran","Temmuz","Ağustos","Eylül","Ekim","Kasım","Aralık"},MONTH(B246)))</f>
        <v/>
      </c>
      <c r="D246" s="2"/>
      <c r="E246" s="5" t="str">
        <f>IFERROR(INDEX('Malzeme Tanımlama'!$B$5:$B$300,MATCH(D246,'Malzeme Tanımlama'!$A$5:$A$300,0)),"")</f>
        <v/>
      </c>
      <c r="F246" s="2"/>
      <c r="G246" s="5"/>
      <c r="H246" s="5" t="str">
        <f>IFERROR(INDEX('Malzeme Tanımlama'!$D$5:$D$300,MATCH(D246,'Malzeme Tanımlama'!$A$5:$A$300,0)),"")</f>
        <v/>
      </c>
      <c r="I246" s="2"/>
      <c r="J246" s="2"/>
      <c r="K246" s="2"/>
    </row>
    <row r="247" spans="1:11" x14ac:dyDescent="0.3">
      <c r="A247" s="5" t="str">
        <f>IF(D247="","",COUNTIF($D$5:D247,"?*"))</f>
        <v/>
      </c>
      <c r="B247" s="6"/>
      <c r="C247" s="5" t="str">
        <f>IF(B247="","",INDEX({"Ocak","Şubat","Mart","Nisan","Mayıs","Haziran","Temmuz","Ağustos","Eylül","Ekim","Kasım","Aralık"},MONTH(B247)))</f>
        <v/>
      </c>
      <c r="D247" s="2"/>
      <c r="E247" s="5" t="str">
        <f>IFERROR(INDEX('Malzeme Tanımlama'!$B$5:$B$300,MATCH(D247,'Malzeme Tanımlama'!$A$5:$A$300,0)),"")</f>
        <v/>
      </c>
      <c r="F247" s="2"/>
      <c r="G247" s="5"/>
      <c r="H247" s="5" t="str">
        <f>IFERROR(INDEX('Malzeme Tanımlama'!$D$5:$D$300,MATCH(D247,'Malzeme Tanımlama'!$A$5:$A$300,0)),"")</f>
        <v/>
      </c>
      <c r="I247" s="2"/>
      <c r="J247" s="2"/>
      <c r="K247" s="2"/>
    </row>
    <row r="248" spans="1:11" x14ac:dyDescent="0.3">
      <c r="A248" s="5" t="str">
        <f>IF(D248="","",COUNTIF($D$5:D248,"?*"))</f>
        <v/>
      </c>
      <c r="B248" s="6"/>
      <c r="C248" s="5" t="str">
        <f>IF(B248="","",INDEX({"Ocak","Şubat","Mart","Nisan","Mayıs","Haziran","Temmuz","Ağustos","Eylül","Ekim","Kasım","Aralık"},MONTH(B248)))</f>
        <v/>
      </c>
      <c r="D248" s="2"/>
      <c r="E248" s="5" t="str">
        <f>IFERROR(INDEX('Malzeme Tanımlama'!$B$5:$B$300,MATCH(D248,'Malzeme Tanımlama'!$A$5:$A$300,0)),"")</f>
        <v/>
      </c>
      <c r="F248" s="2"/>
      <c r="G248" s="5"/>
      <c r="H248" s="5" t="str">
        <f>IFERROR(INDEX('Malzeme Tanımlama'!$D$5:$D$300,MATCH(D248,'Malzeme Tanımlama'!$A$5:$A$300,0)),"")</f>
        <v/>
      </c>
      <c r="I248" s="2"/>
      <c r="J248" s="2"/>
      <c r="K248" s="2"/>
    </row>
    <row r="249" spans="1:11" x14ac:dyDescent="0.3">
      <c r="A249" s="5" t="str">
        <f>IF(D249="","",COUNTIF($D$5:D249,"?*"))</f>
        <v/>
      </c>
      <c r="B249" s="6"/>
      <c r="C249" s="5" t="str">
        <f>IF(B249="","",INDEX({"Ocak","Şubat","Mart","Nisan","Mayıs","Haziran","Temmuz","Ağustos","Eylül","Ekim","Kasım","Aralık"},MONTH(B249)))</f>
        <v/>
      </c>
      <c r="D249" s="2"/>
      <c r="E249" s="5" t="str">
        <f>IFERROR(INDEX('Malzeme Tanımlama'!$B$5:$B$300,MATCH(D249,'Malzeme Tanımlama'!$A$5:$A$300,0)),"")</f>
        <v/>
      </c>
      <c r="F249" s="2"/>
      <c r="G249" s="5"/>
      <c r="H249" s="5" t="str">
        <f>IFERROR(INDEX('Malzeme Tanımlama'!$D$5:$D$300,MATCH(D249,'Malzeme Tanımlama'!$A$5:$A$300,0)),"")</f>
        <v/>
      </c>
      <c r="I249" s="2"/>
      <c r="J249" s="2"/>
      <c r="K249" s="2"/>
    </row>
    <row r="250" spans="1:11" x14ac:dyDescent="0.3">
      <c r="A250" s="5" t="str">
        <f>IF(D250="","",COUNTIF($D$5:D250,"?*"))</f>
        <v/>
      </c>
      <c r="B250" s="6"/>
      <c r="C250" s="5" t="str">
        <f>IF(B250="","",INDEX({"Ocak","Şubat","Mart","Nisan","Mayıs","Haziran","Temmuz","Ağustos","Eylül","Ekim","Kasım","Aralık"},MONTH(B250)))</f>
        <v/>
      </c>
      <c r="D250" s="2"/>
      <c r="E250" s="5" t="str">
        <f>IFERROR(INDEX('Malzeme Tanımlama'!$B$5:$B$300,MATCH(D250,'Malzeme Tanımlama'!$A$5:$A$300,0)),"")</f>
        <v/>
      </c>
      <c r="F250" s="2"/>
      <c r="G250" s="5"/>
      <c r="H250" s="5" t="str">
        <f>IFERROR(INDEX('Malzeme Tanımlama'!$D$5:$D$300,MATCH(D250,'Malzeme Tanımlama'!$A$5:$A$300,0)),"")</f>
        <v/>
      </c>
      <c r="I250" s="2"/>
      <c r="J250" s="2"/>
      <c r="K250" s="2"/>
    </row>
    <row r="251" spans="1:11" x14ac:dyDescent="0.3">
      <c r="A251" s="5" t="str">
        <f>IF(D251="","",COUNTIF($D$5:D251,"?*"))</f>
        <v/>
      </c>
      <c r="B251" s="6"/>
      <c r="C251" s="5" t="str">
        <f>IF(B251="","",INDEX({"Ocak","Şubat","Mart","Nisan","Mayıs","Haziran","Temmuz","Ağustos","Eylül","Ekim","Kasım","Aralık"},MONTH(B251)))</f>
        <v/>
      </c>
      <c r="D251" s="2"/>
      <c r="E251" s="5" t="str">
        <f>IFERROR(INDEX('Malzeme Tanımlama'!$B$5:$B$300,MATCH(D251,'Malzeme Tanımlama'!$A$5:$A$300,0)),"")</f>
        <v/>
      </c>
      <c r="F251" s="2"/>
      <c r="G251" s="5"/>
      <c r="H251" s="5" t="str">
        <f>IFERROR(INDEX('Malzeme Tanımlama'!$D$5:$D$300,MATCH(D251,'Malzeme Tanımlama'!$A$5:$A$300,0)),"")</f>
        <v/>
      </c>
      <c r="I251" s="2"/>
      <c r="J251" s="2"/>
      <c r="K251" s="2"/>
    </row>
    <row r="252" spans="1:11" x14ac:dyDescent="0.3">
      <c r="A252" s="5" t="str">
        <f>IF(D252="","",COUNTIF($D$5:D252,"?*"))</f>
        <v/>
      </c>
      <c r="B252" s="6"/>
      <c r="C252" s="5" t="str">
        <f>IF(B252="","",INDEX({"Ocak","Şubat","Mart","Nisan","Mayıs","Haziran","Temmuz","Ağustos","Eylül","Ekim","Kasım","Aralık"},MONTH(B252)))</f>
        <v/>
      </c>
      <c r="D252" s="2"/>
      <c r="E252" s="5" t="str">
        <f>IFERROR(INDEX('Malzeme Tanımlama'!$B$5:$B$300,MATCH(D252,'Malzeme Tanımlama'!$A$5:$A$300,0)),"")</f>
        <v/>
      </c>
      <c r="F252" s="2"/>
      <c r="G252" s="5"/>
      <c r="H252" s="5" t="str">
        <f>IFERROR(INDEX('Malzeme Tanımlama'!$D$5:$D$300,MATCH(D252,'Malzeme Tanımlama'!$A$5:$A$300,0)),"")</f>
        <v/>
      </c>
      <c r="I252" s="2"/>
      <c r="J252" s="2"/>
      <c r="K252" s="2"/>
    </row>
    <row r="253" spans="1:11" x14ac:dyDescent="0.3">
      <c r="A253" s="5" t="str">
        <f>IF(D253="","",COUNTIF($D$5:D253,"?*"))</f>
        <v/>
      </c>
      <c r="B253" s="6"/>
      <c r="C253" s="5" t="str">
        <f>IF(B253="","",INDEX({"Ocak","Şubat","Mart","Nisan","Mayıs","Haziran","Temmuz","Ağustos","Eylül","Ekim","Kasım","Aralık"},MONTH(B253)))</f>
        <v/>
      </c>
      <c r="D253" s="2"/>
      <c r="E253" s="5" t="str">
        <f>IFERROR(INDEX('Malzeme Tanımlama'!$B$5:$B$300,MATCH(D253,'Malzeme Tanımlama'!$A$5:$A$300,0)),"")</f>
        <v/>
      </c>
      <c r="F253" s="2"/>
      <c r="G253" s="5"/>
      <c r="H253" s="5" t="str">
        <f>IFERROR(INDEX('Malzeme Tanımlama'!$D$5:$D$300,MATCH(D253,'Malzeme Tanımlama'!$A$5:$A$300,0)),"")</f>
        <v/>
      </c>
      <c r="I253" s="2"/>
      <c r="J253" s="2"/>
      <c r="K253" s="2"/>
    </row>
    <row r="254" spans="1:11" x14ac:dyDescent="0.3">
      <c r="A254" s="5" t="str">
        <f>IF(D254="","",COUNTIF($D$5:D254,"?*"))</f>
        <v/>
      </c>
      <c r="B254" s="6"/>
      <c r="C254" s="5" t="str">
        <f>IF(B254="","",INDEX({"Ocak","Şubat","Mart","Nisan","Mayıs","Haziran","Temmuz","Ağustos","Eylül","Ekim","Kasım","Aralık"},MONTH(B254)))</f>
        <v/>
      </c>
      <c r="D254" s="2"/>
      <c r="E254" s="5" t="str">
        <f>IFERROR(INDEX('Malzeme Tanımlama'!$B$5:$B$300,MATCH(D254,'Malzeme Tanımlama'!$A$5:$A$300,0)),"")</f>
        <v/>
      </c>
      <c r="F254" s="2"/>
      <c r="G254" s="5"/>
      <c r="H254" s="5" t="str">
        <f>IFERROR(INDEX('Malzeme Tanımlama'!$D$5:$D$300,MATCH(D254,'Malzeme Tanımlama'!$A$5:$A$300,0)),"")</f>
        <v/>
      </c>
      <c r="I254" s="2"/>
      <c r="J254" s="2"/>
      <c r="K254" s="2"/>
    </row>
    <row r="255" spans="1:11" x14ac:dyDescent="0.3">
      <c r="A255" s="5" t="str">
        <f>IF(D255="","",COUNTIF($D$5:D255,"?*"))</f>
        <v/>
      </c>
      <c r="B255" s="6"/>
      <c r="C255" s="5" t="str">
        <f>IF(B255="","",INDEX({"Ocak","Şubat","Mart","Nisan","Mayıs","Haziran","Temmuz","Ağustos","Eylül","Ekim","Kasım","Aralık"},MONTH(B255)))</f>
        <v/>
      </c>
      <c r="D255" s="2"/>
      <c r="E255" s="5" t="str">
        <f>IFERROR(INDEX('Malzeme Tanımlama'!$B$5:$B$300,MATCH(D255,'Malzeme Tanımlama'!$A$5:$A$300,0)),"")</f>
        <v/>
      </c>
      <c r="F255" s="2"/>
      <c r="G255" s="5"/>
      <c r="H255" s="5" t="str">
        <f>IFERROR(INDEX('Malzeme Tanımlama'!$D$5:$D$300,MATCH(D255,'Malzeme Tanımlama'!$A$5:$A$300,0)),"")</f>
        <v/>
      </c>
      <c r="I255" s="2"/>
      <c r="J255" s="2"/>
      <c r="K255" s="2"/>
    </row>
    <row r="256" spans="1:11" x14ac:dyDescent="0.3">
      <c r="A256" s="5" t="str">
        <f>IF(D256="","",COUNTIF($D$5:D256,"?*"))</f>
        <v/>
      </c>
      <c r="B256" s="6"/>
      <c r="C256" s="5" t="str">
        <f>IF(B256="","",INDEX({"Ocak","Şubat","Mart","Nisan","Mayıs","Haziran","Temmuz","Ağustos","Eylül","Ekim","Kasım","Aralık"},MONTH(B256)))</f>
        <v/>
      </c>
      <c r="D256" s="2"/>
      <c r="E256" s="5" t="str">
        <f>IFERROR(INDEX('Malzeme Tanımlama'!$B$5:$B$300,MATCH(D256,'Malzeme Tanımlama'!$A$5:$A$300,0)),"")</f>
        <v/>
      </c>
      <c r="F256" s="2"/>
      <c r="G256" s="5"/>
      <c r="H256" s="5" t="str">
        <f>IFERROR(INDEX('Malzeme Tanımlama'!$D$5:$D$300,MATCH(D256,'Malzeme Tanımlama'!$A$5:$A$300,0)),"")</f>
        <v/>
      </c>
      <c r="I256" s="2"/>
      <c r="J256" s="2"/>
      <c r="K256" s="2"/>
    </row>
    <row r="257" spans="1:11" x14ac:dyDescent="0.3">
      <c r="A257" s="5" t="str">
        <f>IF(D257="","",COUNTIF($D$5:D257,"?*"))</f>
        <v/>
      </c>
      <c r="B257" s="6"/>
      <c r="C257" s="5" t="str">
        <f>IF(B257="","",INDEX({"Ocak","Şubat","Mart","Nisan","Mayıs","Haziran","Temmuz","Ağustos","Eylül","Ekim","Kasım","Aralık"},MONTH(B257)))</f>
        <v/>
      </c>
      <c r="D257" s="2"/>
      <c r="E257" s="5" t="str">
        <f>IFERROR(INDEX('Malzeme Tanımlama'!$B$5:$B$300,MATCH(D257,'Malzeme Tanımlama'!$A$5:$A$300,0)),"")</f>
        <v/>
      </c>
      <c r="F257" s="2"/>
      <c r="G257" s="5"/>
      <c r="H257" s="5" t="str">
        <f>IFERROR(INDEX('Malzeme Tanımlama'!$D$5:$D$300,MATCH(D257,'Malzeme Tanımlama'!$A$5:$A$300,0)),"")</f>
        <v/>
      </c>
      <c r="I257" s="2"/>
      <c r="J257" s="2"/>
      <c r="K257" s="2"/>
    </row>
    <row r="258" spans="1:11" x14ac:dyDescent="0.3">
      <c r="A258" s="5" t="str">
        <f>IF(D258="","",COUNTIF($D$5:D258,"?*"))</f>
        <v/>
      </c>
      <c r="B258" s="6"/>
      <c r="C258" s="5" t="str">
        <f>IF(B258="","",INDEX({"Ocak","Şubat","Mart","Nisan","Mayıs","Haziran","Temmuz","Ağustos","Eylül","Ekim","Kasım","Aralık"},MONTH(B258)))</f>
        <v/>
      </c>
      <c r="D258" s="2"/>
      <c r="E258" s="5" t="str">
        <f>IFERROR(INDEX('Malzeme Tanımlama'!$B$5:$B$300,MATCH(D258,'Malzeme Tanımlama'!$A$5:$A$300,0)),"")</f>
        <v/>
      </c>
      <c r="F258" s="2"/>
      <c r="G258" s="5"/>
      <c r="H258" s="5" t="str">
        <f>IFERROR(INDEX('Malzeme Tanımlama'!$D$5:$D$300,MATCH(D258,'Malzeme Tanımlama'!$A$5:$A$300,0)),"")</f>
        <v/>
      </c>
      <c r="I258" s="2"/>
      <c r="J258" s="2"/>
      <c r="K258" s="2"/>
    </row>
    <row r="259" spans="1:11" x14ac:dyDescent="0.3">
      <c r="A259" s="5" t="str">
        <f>IF(D259="","",COUNTIF($D$5:D259,"?*"))</f>
        <v/>
      </c>
      <c r="B259" s="6"/>
      <c r="C259" s="5" t="str">
        <f>IF(B259="","",INDEX({"Ocak","Şubat","Mart","Nisan","Mayıs","Haziran","Temmuz","Ağustos","Eylül","Ekim","Kasım","Aralık"},MONTH(B259)))</f>
        <v/>
      </c>
      <c r="D259" s="2"/>
      <c r="E259" s="5" t="str">
        <f>IFERROR(INDEX('Malzeme Tanımlama'!$B$5:$B$300,MATCH(D259,'Malzeme Tanımlama'!$A$5:$A$300,0)),"")</f>
        <v/>
      </c>
      <c r="F259" s="2"/>
      <c r="G259" s="5"/>
      <c r="H259" s="5" t="str">
        <f>IFERROR(INDEX('Malzeme Tanımlama'!$D$5:$D$300,MATCH(D259,'Malzeme Tanımlama'!$A$5:$A$300,0)),"")</f>
        <v/>
      </c>
      <c r="I259" s="2"/>
      <c r="J259" s="2"/>
      <c r="K259" s="2"/>
    </row>
    <row r="260" spans="1:11" x14ac:dyDescent="0.3">
      <c r="A260" s="5" t="str">
        <f>IF(D260="","",COUNTIF($D$5:D260,"?*"))</f>
        <v/>
      </c>
      <c r="B260" s="6"/>
      <c r="C260" s="5" t="str">
        <f>IF(B260="","",INDEX({"Ocak","Şubat","Mart","Nisan","Mayıs","Haziran","Temmuz","Ağustos","Eylül","Ekim","Kasım","Aralık"},MONTH(B260)))</f>
        <v/>
      </c>
      <c r="D260" s="2"/>
      <c r="E260" s="5" t="str">
        <f>IFERROR(INDEX('Malzeme Tanımlama'!$B$5:$B$300,MATCH(D260,'Malzeme Tanımlama'!$A$5:$A$300,0)),"")</f>
        <v/>
      </c>
      <c r="F260" s="2"/>
      <c r="G260" s="5"/>
      <c r="H260" s="5" t="str">
        <f>IFERROR(INDEX('Malzeme Tanımlama'!$D$5:$D$300,MATCH(D260,'Malzeme Tanımlama'!$A$5:$A$300,0)),"")</f>
        <v/>
      </c>
      <c r="I260" s="2"/>
      <c r="J260" s="2"/>
      <c r="K260" s="2"/>
    </row>
    <row r="261" spans="1:11" x14ac:dyDescent="0.3">
      <c r="A261" s="5" t="str">
        <f>IF(D261="","",COUNTIF($D$5:D261,"?*"))</f>
        <v/>
      </c>
      <c r="B261" s="6"/>
      <c r="C261" s="5" t="str">
        <f>IF(B261="","",INDEX({"Ocak","Şubat","Mart","Nisan","Mayıs","Haziran","Temmuz","Ağustos","Eylül","Ekim","Kasım","Aralık"},MONTH(B261)))</f>
        <v/>
      </c>
      <c r="D261" s="2"/>
      <c r="E261" s="5" t="str">
        <f>IFERROR(INDEX('Malzeme Tanımlama'!$B$5:$B$300,MATCH(D261,'Malzeme Tanımlama'!$A$5:$A$300,0)),"")</f>
        <v/>
      </c>
      <c r="F261" s="2"/>
      <c r="G261" s="5"/>
      <c r="H261" s="5" t="str">
        <f>IFERROR(INDEX('Malzeme Tanımlama'!$D$5:$D$300,MATCH(D261,'Malzeme Tanımlama'!$A$5:$A$300,0)),"")</f>
        <v/>
      </c>
      <c r="I261" s="2"/>
      <c r="J261" s="2"/>
      <c r="K261" s="2"/>
    </row>
    <row r="262" spans="1:11" x14ac:dyDescent="0.3">
      <c r="A262" s="5" t="str">
        <f>IF(D262="","",COUNTIF($D$5:D262,"?*"))</f>
        <v/>
      </c>
      <c r="B262" s="6"/>
      <c r="C262" s="5" t="str">
        <f>IF(B262="","",INDEX({"Ocak","Şubat","Mart","Nisan","Mayıs","Haziran","Temmuz","Ağustos","Eylül","Ekim","Kasım","Aralık"},MONTH(B262)))</f>
        <v/>
      </c>
      <c r="D262" s="2"/>
      <c r="E262" s="5" t="str">
        <f>IFERROR(INDEX('Malzeme Tanımlama'!$B$5:$B$300,MATCH(D262,'Malzeme Tanımlama'!$A$5:$A$300,0)),"")</f>
        <v/>
      </c>
      <c r="F262" s="2"/>
      <c r="G262" s="5"/>
      <c r="H262" s="5" t="str">
        <f>IFERROR(INDEX('Malzeme Tanımlama'!$D$5:$D$300,MATCH(D262,'Malzeme Tanımlama'!$A$5:$A$300,0)),"")</f>
        <v/>
      </c>
      <c r="I262" s="2"/>
      <c r="J262" s="2"/>
      <c r="K262" s="2"/>
    </row>
    <row r="263" spans="1:11" x14ac:dyDescent="0.3">
      <c r="A263" s="5" t="str">
        <f>IF(D263="","",COUNTIF($D$5:D263,"?*"))</f>
        <v/>
      </c>
      <c r="B263" s="6"/>
      <c r="C263" s="5" t="str">
        <f>IF(B263="","",INDEX({"Ocak","Şubat","Mart","Nisan","Mayıs","Haziran","Temmuz","Ağustos","Eylül","Ekim","Kasım","Aralık"},MONTH(B263)))</f>
        <v/>
      </c>
      <c r="D263" s="2"/>
      <c r="E263" s="5" t="str">
        <f>IFERROR(INDEX('Malzeme Tanımlama'!$B$5:$B$300,MATCH(D263,'Malzeme Tanımlama'!$A$5:$A$300,0)),"")</f>
        <v/>
      </c>
      <c r="F263" s="2"/>
      <c r="G263" s="5"/>
      <c r="H263" s="5" t="str">
        <f>IFERROR(INDEX('Malzeme Tanımlama'!$D$5:$D$300,MATCH(D263,'Malzeme Tanımlama'!$A$5:$A$300,0)),"")</f>
        <v/>
      </c>
      <c r="I263" s="2"/>
      <c r="J263" s="2"/>
      <c r="K263" s="2"/>
    </row>
    <row r="264" spans="1:11" x14ac:dyDescent="0.3">
      <c r="A264" s="5" t="str">
        <f>IF(D264="","",COUNTIF($D$5:D264,"?*"))</f>
        <v/>
      </c>
      <c r="B264" s="6"/>
      <c r="C264" s="5" t="str">
        <f>IF(B264="","",INDEX({"Ocak","Şubat","Mart","Nisan","Mayıs","Haziran","Temmuz","Ağustos","Eylül","Ekim","Kasım","Aralık"},MONTH(B264)))</f>
        <v/>
      </c>
      <c r="D264" s="2"/>
      <c r="E264" s="5" t="str">
        <f>IFERROR(INDEX('Malzeme Tanımlama'!$B$5:$B$300,MATCH(D264,'Malzeme Tanımlama'!$A$5:$A$300,0)),"")</f>
        <v/>
      </c>
      <c r="F264" s="2"/>
      <c r="G264" s="5"/>
      <c r="H264" s="5" t="str">
        <f>IFERROR(INDEX('Malzeme Tanımlama'!$D$5:$D$300,MATCH(D264,'Malzeme Tanımlama'!$A$5:$A$300,0)),"")</f>
        <v/>
      </c>
      <c r="I264" s="2"/>
      <c r="J264" s="2"/>
      <c r="K264" s="2"/>
    </row>
    <row r="265" spans="1:11" x14ac:dyDescent="0.3">
      <c r="A265" s="5" t="str">
        <f>IF(D265="","",COUNTIF($D$5:D265,"?*"))</f>
        <v/>
      </c>
      <c r="B265" s="6"/>
      <c r="C265" s="5" t="str">
        <f>IF(B265="","",INDEX({"Ocak","Şubat","Mart","Nisan","Mayıs","Haziran","Temmuz","Ağustos","Eylül","Ekim","Kasım","Aralık"},MONTH(B265)))</f>
        <v/>
      </c>
      <c r="D265" s="2"/>
      <c r="E265" s="5" t="str">
        <f>IFERROR(INDEX('Malzeme Tanımlama'!$B$5:$B$300,MATCH(D265,'Malzeme Tanımlama'!$A$5:$A$300,0)),"")</f>
        <v/>
      </c>
      <c r="F265" s="2"/>
      <c r="G265" s="5"/>
      <c r="H265" s="5" t="str">
        <f>IFERROR(INDEX('Malzeme Tanımlama'!$D$5:$D$300,MATCH(D265,'Malzeme Tanımlama'!$A$5:$A$300,0)),"")</f>
        <v/>
      </c>
      <c r="I265" s="2"/>
      <c r="J265" s="2"/>
      <c r="K265" s="2"/>
    </row>
    <row r="266" spans="1:11" x14ac:dyDescent="0.3">
      <c r="A266" s="5" t="str">
        <f>IF(D266="","",COUNTIF($D$5:D266,"?*"))</f>
        <v/>
      </c>
      <c r="B266" s="6"/>
      <c r="C266" s="5" t="str">
        <f>IF(B266="","",INDEX({"Ocak","Şubat","Mart","Nisan","Mayıs","Haziran","Temmuz","Ağustos","Eylül","Ekim","Kasım","Aralık"},MONTH(B266)))</f>
        <v/>
      </c>
      <c r="D266" s="2"/>
      <c r="E266" s="5" t="str">
        <f>IFERROR(INDEX('Malzeme Tanımlama'!$B$5:$B$300,MATCH(D266,'Malzeme Tanımlama'!$A$5:$A$300,0)),"")</f>
        <v/>
      </c>
      <c r="F266" s="2"/>
      <c r="G266" s="5"/>
      <c r="H266" s="5" t="str">
        <f>IFERROR(INDEX('Malzeme Tanımlama'!$D$5:$D$300,MATCH(D266,'Malzeme Tanımlama'!$A$5:$A$300,0)),"")</f>
        <v/>
      </c>
      <c r="I266" s="2"/>
      <c r="J266" s="2"/>
      <c r="K266" s="2"/>
    </row>
    <row r="267" spans="1:11" x14ac:dyDescent="0.3">
      <c r="A267" s="5" t="str">
        <f>IF(D267="","",COUNTIF($D$5:D267,"?*"))</f>
        <v/>
      </c>
      <c r="B267" s="6"/>
      <c r="C267" s="5" t="str">
        <f>IF(B267="","",INDEX({"Ocak","Şubat","Mart","Nisan","Mayıs","Haziran","Temmuz","Ağustos","Eylül","Ekim","Kasım","Aralık"},MONTH(B267)))</f>
        <v/>
      </c>
      <c r="D267" s="2"/>
      <c r="E267" s="5" t="str">
        <f>IFERROR(INDEX('Malzeme Tanımlama'!$B$5:$B$300,MATCH(D267,'Malzeme Tanımlama'!$A$5:$A$300,0)),"")</f>
        <v/>
      </c>
      <c r="F267" s="2"/>
      <c r="G267" s="5"/>
      <c r="H267" s="5" t="str">
        <f>IFERROR(INDEX('Malzeme Tanımlama'!$D$5:$D$300,MATCH(D267,'Malzeme Tanımlama'!$A$5:$A$300,0)),"")</f>
        <v/>
      </c>
      <c r="I267" s="2"/>
      <c r="J267" s="2"/>
      <c r="K267" s="2"/>
    </row>
    <row r="268" spans="1:11" x14ac:dyDescent="0.3">
      <c r="A268" s="5" t="str">
        <f>IF(D268="","",COUNTIF($D$5:D268,"?*"))</f>
        <v/>
      </c>
      <c r="B268" s="6"/>
      <c r="C268" s="5" t="str">
        <f>IF(B268="","",INDEX({"Ocak","Şubat","Mart","Nisan","Mayıs","Haziran","Temmuz","Ağustos","Eylül","Ekim","Kasım","Aralık"},MONTH(B268)))</f>
        <v/>
      </c>
      <c r="D268" s="2"/>
      <c r="E268" s="5" t="str">
        <f>IFERROR(INDEX('Malzeme Tanımlama'!$B$5:$B$300,MATCH(D268,'Malzeme Tanımlama'!$A$5:$A$300,0)),"")</f>
        <v/>
      </c>
      <c r="F268" s="2"/>
      <c r="G268" s="5"/>
      <c r="H268" s="5" t="str">
        <f>IFERROR(INDEX('Malzeme Tanımlama'!$D$5:$D$300,MATCH(D268,'Malzeme Tanımlama'!$A$5:$A$300,0)),"")</f>
        <v/>
      </c>
      <c r="I268" s="2"/>
      <c r="J268" s="2"/>
      <c r="K268" s="2"/>
    </row>
    <row r="269" spans="1:11" x14ac:dyDescent="0.3">
      <c r="A269" s="5" t="str">
        <f>IF(D269="","",COUNTIF($D$5:D269,"?*"))</f>
        <v/>
      </c>
      <c r="B269" s="6"/>
      <c r="C269" s="5" t="str">
        <f>IF(B269="","",INDEX({"Ocak","Şubat","Mart","Nisan","Mayıs","Haziran","Temmuz","Ağustos","Eylül","Ekim","Kasım","Aralık"},MONTH(B269)))</f>
        <v/>
      </c>
      <c r="D269" s="2"/>
      <c r="E269" s="5" t="str">
        <f>IFERROR(INDEX('Malzeme Tanımlama'!$B$5:$B$300,MATCH(D269,'Malzeme Tanımlama'!$A$5:$A$300,0)),"")</f>
        <v/>
      </c>
      <c r="F269" s="2"/>
      <c r="G269" s="5"/>
      <c r="H269" s="5" t="str">
        <f>IFERROR(INDEX('Malzeme Tanımlama'!$D$5:$D$300,MATCH(D269,'Malzeme Tanımlama'!$A$5:$A$300,0)),"")</f>
        <v/>
      </c>
      <c r="I269" s="2"/>
      <c r="J269" s="2"/>
      <c r="K269" s="2"/>
    </row>
    <row r="270" spans="1:11" x14ac:dyDescent="0.3">
      <c r="A270" s="5" t="str">
        <f>IF(D270="","",COUNTIF($D$5:D270,"?*"))</f>
        <v/>
      </c>
      <c r="B270" s="6"/>
      <c r="C270" s="5" t="str">
        <f>IF(B270="","",INDEX({"Ocak","Şubat","Mart","Nisan","Mayıs","Haziran","Temmuz","Ağustos","Eylül","Ekim","Kasım","Aralık"},MONTH(B270)))</f>
        <v/>
      </c>
      <c r="D270" s="2"/>
      <c r="E270" s="5" t="str">
        <f>IFERROR(INDEX('Malzeme Tanımlama'!$B$5:$B$300,MATCH(D270,'Malzeme Tanımlama'!$A$5:$A$300,0)),"")</f>
        <v/>
      </c>
      <c r="F270" s="2"/>
      <c r="G270" s="5"/>
      <c r="H270" s="5" t="str">
        <f>IFERROR(INDEX('Malzeme Tanımlama'!$D$5:$D$300,MATCH(D270,'Malzeme Tanımlama'!$A$5:$A$300,0)),"")</f>
        <v/>
      </c>
      <c r="I270" s="2"/>
      <c r="J270" s="2"/>
      <c r="K270" s="2"/>
    </row>
    <row r="271" spans="1:11" x14ac:dyDescent="0.3">
      <c r="A271" s="5" t="str">
        <f>IF(D271="","",COUNTIF($D$5:D271,"?*"))</f>
        <v/>
      </c>
      <c r="B271" s="6"/>
      <c r="C271" s="5" t="str">
        <f>IF(B271="","",INDEX({"Ocak","Şubat","Mart","Nisan","Mayıs","Haziran","Temmuz","Ağustos","Eylül","Ekim","Kasım","Aralık"},MONTH(B271)))</f>
        <v/>
      </c>
      <c r="D271" s="2"/>
      <c r="E271" s="5" t="str">
        <f>IFERROR(INDEX('Malzeme Tanımlama'!$B$5:$B$300,MATCH(D271,'Malzeme Tanımlama'!$A$5:$A$300,0)),"")</f>
        <v/>
      </c>
      <c r="F271" s="2"/>
      <c r="G271" s="5"/>
      <c r="H271" s="5" t="str">
        <f>IFERROR(INDEX('Malzeme Tanımlama'!$D$5:$D$300,MATCH(D271,'Malzeme Tanımlama'!$A$5:$A$300,0)),"")</f>
        <v/>
      </c>
      <c r="I271" s="2"/>
      <c r="J271" s="2"/>
      <c r="K271" s="2"/>
    </row>
    <row r="272" spans="1:11" x14ac:dyDescent="0.3">
      <c r="A272" s="5" t="str">
        <f>IF(D272="","",COUNTIF($D$5:D272,"?*"))</f>
        <v/>
      </c>
      <c r="B272" s="6"/>
      <c r="C272" s="5" t="str">
        <f>IF(B272="","",INDEX({"Ocak","Şubat","Mart","Nisan","Mayıs","Haziran","Temmuz","Ağustos","Eylül","Ekim","Kasım","Aralık"},MONTH(B272)))</f>
        <v/>
      </c>
      <c r="D272" s="2"/>
      <c r="E272" s="5" t="str">
        <f>IFERROR(INDEX('Malzeme Tanımlama'!$B$5:$B$300,MATCH(D272,'Malzeme Tanımlama'!$A$5:$A$300,0)),"")</f>
        <v/>
      </c>
      <c r="F272" s="2"/>
      <c r="G272" s="5"/>
      <c r="H272" s="5" t="str">
        <f>IFERROR(INDEX('Malzeme Tanımlama'!$D$5:$D$300,MATCH(D272,'Malzeme Tanımlama'!$A$5:$A$300,0)),"")</f>
        <v/>
      </c>
      <c r="I272" s="2"/>
      <c r="J272" s="2"/>
      <c r="K272" s="2"/>
    </row>
    <row r="273" spans="1:11" x14ac:dyDescent="0.3">
      <c r="A273" s="5" t="str">
        <f>IF(D273="","",COUNTIF($D$5:D273,"?*"))</f>
        <v/>
      </c>
      <c r="B273" s="6"/>
      <c r="C273" s="5" t="str">
        <f>IF(B273="","",INDEX({"Ocak","Şubat","Mart","Nisan","Mayıs","Haziran","Temmuz","Ağustos","Eylül","Ekim","Kasım","Aralık"},MONTH(B273)))</f>
        <v/>
      </c>
      <c r="D273" s="2"/>
      <c r="E273" s="5" t="str">
        <f>IFERROR(INDEX('Malzeme Tanımlama'!$B$5:$B$300,MATCH(D273,'Malzeme Tanımlama'!$A$5:$A$300,0)),"")</f>
        <v/>
      </c>
      <c r="F273" s="2"/>
      <c r="G273" s="5"/>
      <c r="H273" s="5" t="str">
        <f>IFERROR(INDEX('Malzeme Tanımlama'!$D$5:$D$300,MATCH(D273,'Malzeme Tanımlama'!$A$5:$A$300,0)),"")</f>
        <v/>
      </c>
      <c r="I273" s="2"/>
      <c r="J273" s="2"/>
      <c r="K273" s="2"/>
    </row>
    <row r="274" spans="1:11" x14ac:dyDescent="0.3">
      <c r="A274" s="5" t="str">
        <f>IF(D274="","",COUNTIF($D$5:D274,"?*"))</f>
        <v/>
      </c>
      <c r="B274" s="6"/>
      <c r="C274" s="5" t="str">
        <f>IF(B274="","",INDEX({"Ocak","Şubat","Mart","Nisan","Mayıs","Haziran","Temmuz","Ağustos","Eylül","Ekim","Kasım","Aralık"},MONTH(B274)))</f>
        <v/>
      </c>
      <c r="D274" s="2"/>
      <c r="E274" s="5" t="str">
        <f>IFERROR(INDEX('Malzeme Tanımlama'!$B$5:$B$300,MATCH(D274,'Malzeme Tanımlama'!$A$5:$A$300,0)),"")</f>
        <v/>
      </c>
      <c r="F274" s="2"/>
      <c r="G274" s="5"/>
      <c r="H274" s="5" t="str">
        <f>IFERROR(INDEX('Malzeme Tanımlama'!$D$5:$D$300,MATCH(D274,'Malzeme Tanımlama'!$A$5:$A$300,0)),"")</f>
        <v/>
      </c>
      <c r="I274" s="2"/>
      <c r="J274" s="2"/>
      <c r="K274" s="2"/>
    </row>
    <row r="275" spans="1:11" x14ac:dyDescent="0.3">
      <c r="A275" s="5" t="str">
        <f>IF(D275="","",COUNTIF($D$5:D275,"?*"))</f>
        <v/>
      </c>
      <c r="B275" s="6"/>
      <c r="C275" s="5" t="str">
        <f>IF(B275="","",INDEX({"Ocak","Şubat","Mart","Nisan","Mayıs","Haziran","Temmuz","Ağustos","Eylül","Ekim","Kasım","Aralık"},MONTH(B275)))</f>
        <v/>
      </c>
      <c r="D275" s="2"/>
      <c r="E275" s="5" t="str">
        <f>IFERROR(INDEX('Malzeme Tanımlama'!$B$5:$B$300,MATCH(D275,'Malzeme Tanımlama'!$A$5:$A$300,0)),"")</f>
        <v/>
      </c>
      <c r="F275" s="2"/>
      <c r="G275" s="5"/>
      <c r="H275" s="5" t="str">
        <f>IFERROR(INDEX('Malzeme Tanımlama'!$D$5:$D$300,MATCH(D275,'Malzeme Tanımlama'!$A$5:$A$300,0)),"")</f>
        <v/>
      </c>
      <c r="I275" s="2"/>
      <c r="J275" s="2"/>
      <c r="K275" s="2"/>
    </row>
    <row r="276" spans="1:11" x14ac:dyDescent="0.3">
      <c r="A276" s="5" t="str">
        <f>IF(D276="","",COUNTIF($D$5:D276,"?*"))</f>
        <v/>
      </c>
      <c r="B276" s="6"/>
      <c r="C276" s="5" t="str">
        <f>IF(B276="","",INDEX({"Ocak","Şubat","Mart","Nisan","Mayıs","Haziran","Temmuz","Ağustos","Eylül","Ekim","Kasım","Aralık"},MONTH(B276)))</f>
        <v/>
      </c>
      <c r="D276" s="2"/>
      <c r="E276" s="5" t="str">
        <f>IFERROR(INDEX('Malzeme Tanımlama'!$B$5:$B$300,MATCH(D276,'Malzeme Tanımlama'!$A$5:$A$300,0)),"")</f>
        <v/>
      </c>
      <c r="F276" s="2"/>
      <c r="G276" s="5"/>
      <c r="H276" s="5" t="str">
        <f>IFERROR(INDEX('Malzeme Tanımlama'!$D$5:$D$300,MATCH(D276,'Malzeme Tanımlama'!$A$5:$A$300,0)),"")</f>
        <v/>
      </c>
      <c r="I276" s="2"/>
      <c r="J276" s="2"/>
      <c r="K276" s="2"/>
    </row>
    <row r="277" spans="1:11" x14ac:dyDescent="0.3">
      <c r="A277" s="5" t="str">
        <f>IF(D277="","",COUNTIF($D$5:D277,"?*"))</f>
        <v/>
      </c>
      <c r="B277" s="6"/>
      <c r="C277" s="5" t="str">
        <f>IF(B277="","",INDEX({"Ocak","Şubat","Mart","Nisan","Mayıs","Haziran","Temmuz","Ağustos","Eylül","Ekim","Kasım","Aralık"},MONTH(B277)))</f>
        <v/>
      </c>
      <c r="D277" s="2"/>
      <c r="E277" s="5" t="str">
        <f>IFERROR(INDEX('Malzeme Tanımlama'!$B$5:$B$300,MATCH(D277,'Malzeme Tanımlama'!$A$5:$A$300,0)),"")</f>
        <v/>
      </c>
      <c r="F277" s="2"/>
      <c r="G277" s="5"/>
      <c r="H277" s="5" t="str">
        <f>IFERROR(INDEX('Malzeme Tanımlama'!$D$5:$D$300,MATCH(D277,'Malzeme Tanımlama'!$A$5:$A$300,0)),"")</f>
        <v/>
      </c>
      <c r="I277" s="2"/>
      <c r="J277" s="2"/>
      <c r="K277" s="2"/>
    </row>
    <row r="278" spans="1:11" x14ac:dyDescent="0.3">
      <c r="A278" s="5" t="str">
        <f>IF(D278="","",COUNTIF($D$5:D278,"?*"))</f>
        <v/>
      </c>
      <c r="B278" s="6"/>
      <c r="C278" s="5" t="str">
        <f>IF(B278="","",INDEX({"Ocak","Şubat","Mart","Nisan","Mayıs","Haziran","Temmuz","Ağustos","Eylül","Ekim","Kasım","Aralık"},MONTH(B278)))</f>
        <v/>
      </c>
      <c r="D278" s="2"/>
      <c r="E278" s="5" t="str">
        <f>IFERROR(INDEX('Malzeme Tanımlama'!$B$5:$B$300,MATCH(D278,'Malzeme Tanımlama'!$A$5:$A$300,0)),"")</f>
        <v/>
      </c>
      <c r="F278" s="2"/>
      <c r="G278" s="5"/>
      <c r="H278" s="5" t="str">
        <f>IFERROR(INDEX('Malzeme Tanımlama'!$D$5:$D$300,MATCH(D278,'Malzeme Tanımlama'!$A$5:$A$300,0)),"")</f>
        <v/>
      </c>
      <c r="I278" s="2"/>
      <c r="J278" s="2"/>
      <c r="K278" s="2"/>
    </row>
    <row r="279" spans="1:11" x14ac:dyDescent="0.3">
      <c r="A279" s="5" t="str">
        <f>IF(D279="","",COUNTIF($D$5:D279,"?*"))</f>
        <v/>
      </c>
      <c r="B279" s="6"/>
      <c r="C279" s="5" t="str">
        <f>IF(B279="","",INDEX({"Ocak","Şubat","Mart","Nisan","Mayıs","Haziran","Temmuz","Ağustos","Eylül","Ekim","Kasım","Aralık"},MONTH(B279)))</f>
        <v/>
      </c>
      <c r="D279" s="2"/>
      <c r="E279" s="5" t="str">
        <f>IFERROR(INDEX('Malzeme Tanımlama'!$B$5:$B$300,MATCH(D279,'Malzeme Tanımlama'!$A$5:$A$300,0)),"")</f>
        <v/>
      </c>
      <c r="F279" s="2"/>
      <c r="G279" s="5"/>
      <c r="H279" s="5" t="str">
        <f>IFERROR(INDEX('Malzeme Tanımlama'!$D$5:$D$300,MATCH(D279,'Malzeme Tanımlama'!$A$5:$A$300,0)),"")</f>
        <v/>
      </c>
      <c r="I279" s="2"/>
      <c r="J279" s="2"/>
      <c r="K279" s="2"/>
    </row>
    <row r="280" spans="1:11" x14ac:dyDescent="0.3">
      <c r="A280" s="5" t="str">
        <f>IF(D280="","",COUNTIF($D$5:D280,"?*"))</f>
        <v/>
      </c>
      <c r="B280" s="6"/>
      <c r="C280" s="5" t="str">
        <f>IF(B280="","",INDEX({"Ocak","Şubat","Mart","Nisan","Mayıs","Haziran","Temmuz","Ağustos","Eylül","Ekim","Kasım","Aralık"},MONTH(B280)))</f>
        <v/>
      </c>
      <c r="D280" s="2"/>
      <c r="E280" s="5" t="str">
        <f>IFERROR(INDEX('Malzeme Tanımlama'!$B$5:$B$300,MATCH(D280,'Malzeme Tanımlama'!$A$5:$A$300,0)),"")</f>
        <v/>
      </c>
      <c r="F280" s="2"/>
      <c r="G280" s="5"/>
      <c r="H280" s="5" t="str">
        <f>IFERROR(INDEX('Malzeme Tanımlama'!$D$5:$D$300,MATCH(D280,'Malzeme Tanımlama'!$A$5:$A$300,0)),"")</f>
        <v/>
      </c>
      <c r="I280" s="2"/>
      <c r="J280" s="2"/>
      <c r="K280" s="2"/>
    </row>
    <row r="281" spans="1:11" x14ac:dyDescent="0.3">
      <c r="A281" s="5" t="str">
        <f>IF(D281="","",COUNTIF($D$5:D281,"?*"))</f>
        <v/>
      </c>
      <c r="B281" s="6"/>
      <c r="C281" s="5" t="str">
        <f>IF(B281="","",INDEX({"Ocak","Şubat","Mart","Nisan","Mayıs","Haziran","Temmuz","Ağustos","Eylül","Ekim","Kasım","Aralık"},MONTH(B281)))</f>
        <v/>
      </c>
      <c r="D281" s="2"/>
      <c r="E281" s="5" t="str">
        <f>IFERROR(INDEX('Malzeme Tanımlama'!$B$5:$B$300,MATCH(D281,'Malzeme Tanımlama'!$A$5:$A$300,0)),"")</f>
        <v/>
      </c>
      <c r="F281" s="2"/>
      <c r="G281" s="5"/>
      <c r="H281" s="5" t="str">
        <f>IFERROR(INDEX('Malzeme Tanımlama'!$D$5:$D$300,MATCH(D281,'Malzeme Tanımlama'!$A$5:$A$300,0)),"")</f>
        <v/>
      </c>
      <c r="I281" s="2"/>
      <c r="J281" s="2"/>
      <c r="K281" s="2"/>
    </row>
    <row r="282" spans="1:11" x14ac:dyDescent="0.3">
      <c r="A282" s="5" t="str">
        <f>IF(D282="","",COUNTIF($D$5:D282,"?*"))</f>
        <v/>
      </c>
      <c r="B282" s="6"/>
      <c r="C282" s="5" t="str">
        <f>IF(B282="","",INDEX({"Ocak","Şubat","Mart","Nisan","Mayıs","Haziran","Temmuz","Ağustos","Eylül","Ekim","Kasım","Aralık"},MONTH(B282)))</f>
        <v/>
      </c>
      <c r="D282" s="2"/>
      <c r="E282" s="5" t="str">
        <f>IFERROR(INDEX('Malzeme Tanımlama'!$B$5:$B$300,MATCH(D282,'Malzeme Tanımlama'!$A$5:$A$300,0)),"")</f>
        <v/>
      </c>
      <c r="F282" s="2"/>
      <c r="G282" s="5"/>
      <c r="H282" s="5" t="str">
        <f>IFERROR(INDEX('Malzeme Tanımlama'!$D$5:$D$300,MATCH(D282,'Malzeme Tanımlama'!$A$5:$A$300,0)),"")</f>
        <v/>
      </c>
      <c r="I282" s="2"/>
      <c r="J282" s="2"/>
      <c r="K282" s="2"/>
    </row>
    <row r="283" spans="1:11" x14ac:dyDescent="0.3">
      <c r="A283" s="5" t="str">
        <f>IF(D283="","",COUNTIF($D$5:D283,"?*"))</f>
        <v/>
      </c>
      <c r="B283" s="6"/>
      <c r="C283" s="5" t="str">
        <f>IF(B283="","",INDEX({"Ocak","Şubat","Mart","Nisan","Mayıs","Haziran","Temmuz","Ağustos","Eylül","Ekim","Kasım","Aralık"},MONTH(B283)))</f>
        <v/>
      </c>
      <c r="D283" s="2"/>
      <c r="E283" s="5" t="str">
        <f>IFERROR(INDEX('Malzeme Tanımlama'!$B$5:$B$300,MATCH(D283,'Malzeme Tanımlama'!$A$5:$A$300,0)),"")</f>
        <v/>
      </c>
      <c r="F283" s="2"/>
      <c r="G283" s="5"/>
      <c r="H283" s="5" t="str">
        <f>IFERROR(INDEX('Malzeme Tanımlama'!$D$5:$D$300,MATCH(D283,'Malzeme Tanımlama'!$A$5:$A$300,0)),"")</f>
        <v/>
      </c>
      <c r="I283" s="2"/>
      <c r="J283" s="2"/>
      <c r="K283" s="2"/>
    </row>
    <row r="284" spans="1:11" x14ac:dyDescent="0.3">
      <c r="A284" s="5" t="str">
        <f>IF(D284="","",COUNTIF($D$5:D284,"?*"))</f>
        <v/>
      </c>
      <c r="B284" s="6"/>
      <c r="C284" s="5" t="str">
        <f>IF(B284="","",INDEX({"Ocak","Şubat","Mart","Nisan","Mayıs","Haziran","Temmuz","Ağustos","Eylül","Ekim","Kasım","Aralık"},MONTH(B284)))</f>
        <v/>
      </c>
      <c r="D284" s="2"/>
      <c r="E284" s="5" t="str">
        <f>IFERROR(INDEX('Malzeme Tanımlama'!$B$5:$B$300,MATCH(D284,'Malzeme Tanımlama'!$A$5:$A$300,0)),"")</f>
        <v/>
      </c>
      <c r="F284" s="2"/>
      <c r="G284" s="5"/>
      <c r="H284" s="5" t="str">
        <f>IFERROR(INDEX('Malzeme Tanımlama'!$D$5:$D$300,MATCH(D284,'Malzeme Tanımlama'!$A$5:$A$300,0)),"")</f>
        <v/>
      </c>
      <c r="I284" s="2"/>
      <c r="J284" s="2"/>
      <c r="K284" s="2"/>
    </row>
    <row r="285" spans="1:11" x14ac:dyDescent="0.3">
      <c r="A285" s="5" t="str">
        <f>IF(D285="","",COUNTIF($D$5:D285,"?*"))</f>
        <v/>
      </c>
      <c r="B285" s="6"/>
      <c r="C285" s="5" t="str">
        <f>IF(B285="","",INDEX({"Ocak","Şubat","Mart","Nisan","Mayıs","Haziran","Temmuz","Ağustos","Eylül","Ekim","Kasım","Aralık"},MONTH(B285)))</f>
        <v/>
      </c>
      <c r="D285" s="2"/>
      <c r="E285" s="5" t="str">
        <f>IFERROR(INDEX('Malzeme Tanımlama'!$B$5:$B$300,MATCH(D285,'Malzeme Tanımlama'!$A$5:$A$300,0)),"")</f>
        <v/>
      </c>
      <c r="F285" s="2"/>
      <c r="G285" s="5"/>
      <c r="H285" s="5" t="str">
        <f>IFERROR(INDEX('Malzeme Tanımlama'!$D$5:$D$300,MATCH(D285,'Malzeme Tanımlama'!$A$5:$A$300,0)),"")</f>
        <v/>
      </c>
      <c r="I285" s="2"/>
      <c r="J285" s="2"/>
      <c r="K285" s="2"/>
    </row>
    <row r="286" spans="1:11" x14ac:dyDescent="0.3">
      <c r="A286" s="5" t="str">
        <f>IF(D286="","",COUNTIF($D$5:D286,"?*"))</f>
        <v/>
      </c>
      <c r="B286" s="6"/>
      <c r="C286" s="5" t="str">
        <f>IF(B286="","",INDEX({"Ocak","Şubat","Mart","Nisan","Mayıs","Haziran","Temmuz","Ağustos","Eylül","Ekim","Kasım","Aralık"},MONTH(B286)))</f>
        <v/>
      </c>
      <c r="D286" s="2"/>
      <c r="E286" s="5" t="str">
        <f>IFERROR(INDEX('Malzeme Tanımlama'!$B$5:$B$300,MATCH(D286,'Malzeme Tanımlama'!$A$5:$A$300,0)),"")</f>
        <v/>
      </c>
      <c r="F286" s="2"/>
      <c r="G286" s="5"/>
      <c r="H286" s="5" t="str">
        <f>IFERROR(INDEX('Malzeme Tanımlama'!$D$5:$D$300,MATCH(D286,'Malzeme Tanımlama'!$A$5:$A$300,0)),"")</f>
        <v/>
      </c>
      <c r="I286" s="2"/>
      <c r="J286" s="2"/>
      <c r="K286" s="2"/>
    </row>
    <row r="287" spans="1:11" x14ac:dyDescent="0.3">
      <c r="A287" s="5" t="str">
        <f>IF(D287="","",COUNTIF($D$5:D287,"?*"))</f>
        <v/>
      </c>
      <c r="B287" s="6"/>
      <c r="C287" s="5" t="str">
        <f>IF(B287="","",INDEX({"Ocak","Şubat","Mart","Nisan","Mayıs","Haziran","Temmuz","Ağustos","Eylül","Ekim","Kasım","Aralık"},MONTH(B287)))</f>
        <v/>
      </c>
      <c r="D287" s="2"/>
      <c r="E287" s="5" t="str">
        <f>IFERROR(INDEX('Malzeme Tanımlama'!$B$5:$B$300,MATCH(D287,'Malzeme Tanımlama'!$A$5:$A$300,0)),"")</f>
        <v/>
      </c>
      <c r="F287" s="2"/>
      <c r="G287" s="5"/>
      <c r="H287" s="5" t="str">
        <f>IFERROR(INDEX('Malzeme Tanımlama'!$D$5:$D$300,MATCH(D287,'Malzeme Tanımlama'!$A$5:$A$300,0)),"")</f>
        <v/>
      </c>
      <c r="I287" s="2"/>
      <c r="J287" s="2"/>
      <c r="K287" s="2"/>
    </row>
    <row r="288" spans="1:11" x14ac:dyDescent="0.3">
      <c r="A288" s="5" t="str">
        <f>IF(D288="","",COUNTIF($D$5:D288,"?*"))</f>
        <v/>
      </c>
      <c r="B288" s="6"/>
      <c r="C288" s="5" t="str">
        <f>IF(B288="","",INDEX({"Ocak","Şubat","Mart","Nisan","Mayıs","Haziran","Temmuz","Ağustos","Eylül","Ekim","Kasım","Aralık"},MONTH(B288)))</f>
        <v/>
      </c>
      <c r="D288" s="2"/>
      <c r="E288" s="5" t="str">
        <f>IFERROR(INDEX('Malzeme Tanımlama'!$B$5:$B$300,MATCH(D288,'Malzeme Tanımlama'!$A$5:$A$300,0)),"")</f>
        <v/>
      </c>
      <c r="F288" s="2"/>
      <c r="G288" s="5"/>
      <c r="H288" s="5" t="str">
        <f>IFERROR(INDEX('Malzeme Tanımlama'!$D$5:$D$300,MATCH(D288,'Malzeme Tanımlama'!$A$5:$A$300,0)),"")</f>
        <v/>
      </c>
      <c r="I288" s="2"/>
      <c r="J288" s="2"/>
      <c r="K288" s="2"/>
    </row>
    <row r="289" spans="1:11" x14ac:dyDescent="0.3">
      <c r="A289" s="5" t="str">
        <f>IF(D289="","",COUNTIF($D$5:D289,"?*"))</f>
        <v/>
      </c>
      <c r="B289" s="6"/>
      <c r="C289" s="5" t="str">
        <f>IF(B289="","",INDEX({"Ocak","Şubat","Mart","Nisan","Mayıs","Haziran","Temmuz","Ağustos","Eylül","Ekim","Kasım","Aralık"},MONTH(B289)))</f>
        <v/>
      </c>
      <c r="D289" s="2"/>
      <c r="E289" s="5" t="str">
        <f>IFERROR(INDEX('Malzeme Tanımlama'!$B$5:$B$300,MATCH(D289,'Malzeme Tanımlama'!$A$5:$A$300,0)),"")</f>
        <v/>
      </c>
      <c r="F289" s="2"/>
      <c r="G289" s="5"/>
      <c r="H289" s="5" t="str">
        <f>IFERROR(INDEX('Malzeme Tanımlama'!$D$5:$D$300,MATCH(D289,'Malzeme Tanımlama'!$A$5:$A$300,0)),"")</f>
        <v/>
      </c>
      <c r="I289" s="2"/>
      <c r="J289" s="2"/>
      <c r="K289" s="2"/>
    </row>
    <row r="290" spans="1:11" x14ac:dyDescent="0.3">
      <c r="A290" s="5" t="str">
        <f>IF(D290="","",COUNTIF($D$5:D290,"?*"))</f>
        <v/>
      </c>
      <c r="B290" s="6"/>
      <c r="C290" s="5" t="str">
        <f>IF(B290="","",INDEX({"Ocak","Şubat","Mart","Nisan","Mayıs","Haziran","Temmuz","Ağustos","Eylül","Ekim","Kasım","Aralık"},MONTH(B290)))</f>
        <v/>
      </c>
      <c r="D290" s="2"/>
      <c r="E290" s="5" t="str">
        <f>IFERROR(INDEX('Malzeme Tanımlama'!$B$5:$B$300,MATCH(D290,'Malzeme Tanımlama'!$A$5:$A$300,0)),"")</f>
        <v/>
      </c>
      <c r="F290" s="2"/>
      <c r="G290" s="5"/>
      <c r="H290" s="5" t="str">
        <f>IFERROR(INDEX('Malzeme Tanımlama'!$D$5:$D$300,MATCH(D290,'Malzeme Tanımlama'!$A$5:$A$300,0)),"")</f>
        <v/>
      </c>
      <c r="I290" s="2"/>
      <c r="J290" s="2"/>
      <c r="K290" s="2"/>
    </row>
    <row r="291" spans="1:11" x14ac:dyDescent="0.3">
      <c r="A291" s="5" t="str">
        <f>IF(D291="","",COUNTIF($D$5:D291,"?*"))</f>
        <v/>
      </c>
      <c r="B291" s="6"/>
      <c r="C291" s="5" t="str">
        <f>IF(B291="","",INDEX({"Ocak","Şubat","Mart","Nisan","Mayıs","Haziran","Temmuz","Ağustos","Eylül","Ekim","Kasım","Aralık"},MONTH(B291)))</f>
        <v/>
      </c>
      <c r="D291" s="2"/>
      <c r="E291" s="5" t="str">
        <f>IFERROR(INDEX('Malzeme Tanımlama'!$B$5:$B$300,MATCH(D291,'Malzeme Tanımlama'!$A$5:$A$300,0)),"")</f>
        <v/>
      </c>
      <c r="F291" s="2"/>
      <c r="G291" s="5"/>
      <c r="H291" s="5" t="str">
        <f>IFERROR(INDEX('Malzeme Tanımlama'!$D$5:$D$300,MATCH(D291,'Malzeme Tanımlama'!$A$5:$A$300,0)),"")</f>
        <v/>
      </c>
      <c r="I291" s="2"/>
      <c r="J291" s="2"/>
      <c r="K291" s="2"/>
    </row>
    <row r="292" spans="1:11" x14ac:dyDescent="0.3">
      <c r="A292" s="5" t="str">
        <f>IF(D292="","",COUNTIF($D$5:D292,"?*"))</f>
        <v/>
      </c>
      <c r="B292" s="6"/>
      <c r="C292" s="5" t="str">
        <f>IF(B292="","",INDEX({"Ocak","Şubat","Mart","Nisan","Mayıs","Haziran","Temmuz","Ağustos","Eylül","Ekim","Kasım","Aralık"},MONTH(B292)))</f>
        <v/>
      </c>
      <c r="D292" s="2"/>
      <c r="E292" s="5" t="str">
        <f>IFERROR(INDEX('Malzeme Tanımlama'!$B$5:$B$300,MATCH(D292,'Malzeme Tanımlama'!$A$5:$A$300,0)),"")</f>
        <v/>
      </c>
      <c r="F292" s="2"/>
      <c r="G292" s="5"/>
      <c r="H292" s="5" t="str">
        <f>IFERROR(INDEX('Malzeme Tanımlama'!$D$5:$D$300,MATCH(D292,'Malzeme Tanımlama'!$A$5:$A$300,0)),"")</f>
        <v/>
      </c>
      <c r="I292" s="2"/>
      <c r="J292" s="2"/>
      <c r="K292" s="2"/>
    </row>
    <row r="293" spans="1:11" x14ac:dyDescent="0.3">
      <c r="A293" s="5" t="str">
        <f>IF(D293="","",COUNTIF($D$5:D293,"?*"))</f>
        <v/>
      </c>
      <c r="B293" s="6"/>
      <c r="C293" s="5" t="str">
        <f>IF(B293="","",INDEX({"Ocak","Şubat","Mart","Nisan","Mayıs","Haziran","Temmuz","Ağustos","Eylül","Ekim","Kasım","Aralık"},MONTH(B293)))</f>
        <v/>
      </c>
      <c r="D293" s="2"/>
      <c r="E293" s="5" t="str">
        <f>IFERROR(INDEX('Malzeme Tanımlama'!$B$5:$B$300,MATCH(D293,'Malzeme Tanımlama'!$A$5:$A$300,0)),"")</f>
        <v/>
      </c>
      <c r="F293" s="2"/>
      <c r="G293" s="5"/>
      <c r="H293" s="5" t="str">
        <f>IFERROR(INDEX('Malzeme Tanımlama'!$D$5:$D$300,MATCH(D293,'Malzeme Tanımlama'!$A$5:$A$300,0)),"")</f>
        <v/>
      </c>
      <c r="I293" s="2"/>
      <c r="J293" s="2"/>
      <c r="K293" s="2"/>
    </row>
    <row r="294" spans="1:11" x14ac:dyDescent="0.3">
      <c r="A294" s="5" t="str">
        <f>IF(D294="","",COUNTIF($D$5:D294,"?*"))</f>
        <v/>
      </c>
      <c r="B294" s="6"/>
      <c r="C294" s="5" t="str">
        <f>IF(B294="","",INDEX({"Ocak","Şubat","Mart","Nisan","Mayıs","Haziran","Temmuz","Ağustos","Eylül","Ekim","Kasım","Aralık"},MONTH(B294)))</f>
        <v/>
      </c>
      <c r="D294" s="2"/>
      <c r="E294" s="5" t="str">
        <f>IFERROR(INDEX('Malzeme Tanımlama'!$B$5:$B$300,MATCH(D294,'Malzeme Tanımlama'!$A$5:$A$300,0)),"")</f>
        <v/>
      </c>
      <c r="F294" s="2"/>
      <c r="G294" s="5"/>
      <c r="H294" s="5" t="str">
        <f>IFERROR(INDEX('Malzeme Tanımlama'!$D$5:$D$300,MATCH(D294,'Malzeme Tanımlama'!$A$5:$A$300,0)),"")</f>
        <v/>
      </c>
      <c r="I294" s="2"/>
      <c r="J294" s="2"/>
      <c r="K294" s="2"/>
    </row>
    <row r="295" spans="1:11" x14ac:dyDescent="0.3">
      <c r="A295" s="5" t="str">
        <f>IF(D295="","",COUNTIF($D$5:D295,"?*"))</f>
        <v/>
      </c>
      <c r="B295" s="6"/>
      <c r="C295" s="5" t="str">
        <f>IF(B295="","",INDEX({"Ocak","Şubat","Mart","Nisan","Mayıs","Haziran","Temmuz","Ağustos","Eylül","Ekim","Kasım","Aralık"},MONTH(B295)))</f>
        <v/>
      </c>
      <c r="D295" s="2"/>
      <c r="E295" s="5" t="str">
        <f>IFERROR(INDEX('Malzeme Tanımlama'!$B$5:$B$300,MATCH(D295,'Malzeme Tanımlama'!$A$5:$A$300,0)),"")</f>
        <v/>
      </c>
      <c r="F295" s="2"/>
      <c r="G295" s="5"/>
      <c r="H295" s="5" t="str">
        <f>IFERROR(INDEX('Malzeme Tanımlama'!$D$5:$D$300,MATCH(D295,'Malzeme Tanımlama'!$A$5:$A$300,0)),"")</f>
        <v/>
      </c>
      <c r="I295" s="2"/>
      <c r="J295" s="2"/>
      <c r="K295" s="2"/>
    </row>
    <row r="296" spans="1:11" x14ac:dyDescent="0.3">
      <c r="A296" s="5" t="str">
        <f>IF(D296="","",COUNTIF($D$5:D296,"?*"))</f>
        <v/>
      </c>
      <c r="B296" s="6"/>
      <c r="C296" s="5" t="str">
        <f>IF(B296="","",INDEX({"Ocak","Şubat","Mart","Nisan","Mayıs","Haziran","Temmuz","Ağustos","Eylül","Ekim","Kasım","Aralık"},MONTH(B296)))</f>
        <v/>
      </c>
      <c r="D296" s="2"/>
      <c r="E296" s="5" t="str">
        <f>IFERROR(INDEX('Malzeme Tanımlama'!$B$5:$B$300,MATCH(D296,'Malzeme Tanımlama'!$A$5:$A$300,0)),"")</f>
        <v/>
      </c>
      <c r="F296" s="2"/>
      <c r="G296" s="5"/>
      <c r="H296" s="5" t="str">
        <f>IFERROR(INDEX('Malzeme Tanımlama'!$D$5:$D$300,MATCH(D296,'Malzeme Tanımlama'!$A$5:$A$300,0)),"")</f>
        <v/>
      </c>
      <c r="I296" s="2"/>
      <c r="J296" s="2"/>
      <c r="K296" s="2"/>
    </row>
    <row r="297" spans="1:11" x14ac:dyDescent="0.3">
      <c r="A297" s="5" t="str">
        <f>IF(D297="","",COUNTIF($D$5:D297,"?*"))</f>
        <v/>
      </c>
      <c r="B297" s="6"/>
      <c r="C297" s="5" t="str">
        <f>IF(B297="","",INDEX({"Ocak","Şubat","Mart","Nisan","Mayıs","Haziran","Temmuz","Ağustos","Eylül","Ekim","Kasım","Aralık"},MONTH(B297)))</f>
        <v/>
      </c>
      <c r="D297" s="2"/>
      <c r="E297" s="5" t="str">
        <f>IFERROR(INDEX('Malzeme Tanımlama'!$B$5:$B$300,MATCH(D297,'Malzeme Tanımlama'!$A$5:$A$300,0)),"")</f>
        <v/>
      </c>
      <c r="F297" s="2"/>
      <c r="G297" s="5"/>
      <c r="H297" s="5" t="str">
        <f>IFERROR(INDEX('Malzeme Tanımlama'!$D$5:$D$300,MATCH(D297,'Malzeme Tanımlama'!$A$5:$A$300,0)),"")</f>
        <v/>
      </c>
      <c r="I297" s="2"/>
      <c r="J297" s="2"/>
      <c r="K297" s="2"/>
    </row>
    <row r="298" spans="1:11" x14ac:dyDescent="0.3">
      <c r="A298" s="5" t="str">
        <f>IF(D298="","",COUNTIF($D$5:D298,"?*"))</f>
        <v/>
      </c>
      <c r="B298" s="6"/>
      <c r="C298" s="5" t="str">
        <f>IF(B298="","",INDEX({"Ocak","Şubat","Mart","Nisan","Mayıs","Haziran","Temmuz","Ağustos","Eylül","Ekim","Kasım","Aralık"},MONTH(B298)))</f>
        <v/>
      </c>
      <c r="D298" s="2"/>
      <c r="E298" s="5" t="str">
        <f>IFERROR(INDEX('Malzeme Tanımlama'!$B$5:$B$300,MATCH(D298,'Malzeme Tanımlama'!$A$5:$A$300,0)),"")</f>
        <v/>
      </c>
      <c r="F298" s="2"/>
      <c r="G298" s="5"/>
      <c r="H298" s="5" t="str">
        <f>IFERROR(INDEX('Malzeme Tanımlama'!$D$5:$D$300,MATCH(D298,'Malzeme Tanımlama'!$A$5:$A$300,0)),"")</f>
        <v/>
      </c>
      <c r="I298" s="2"/>
      <c r="J298" s="2"/>
      <c r="K298" s="2"/>
    </row>
    <row r="299" spans="1:11" x14ac:dyDescent="0.3">
      <c r="A299" s="5" t="str">
        <f>IF(D299="","",COUNTIF($D$5:D299,"?*"))</f>
        <v/>
      </c>
      <c r="B299" s="6"/>
      <c r="C299" s="5" t="str">
        <f>IF(B299="","",INDEX({"Ocak","Şubat","Mart","Nisan","Mayıs","Haziran","Temmuz","Ağustos","Eylül","Ekim","Kasım","Aralık"},MONTH(B299)))</f>
        <v/>
      </c>
      <c r="D299" s="2"/>
      <c r="E299" s="5" t="str">
        <f>IFERROR(INDEX('Malzeme Tanımlama'!$B$5:$B$300,MATCH(D299,'Malzeme Tanımlama'!$A$5:$A$300,0)),"")</f>
        <v/>
      </c>
      <c r="F299" s="2"/>
      <c r="G299" s="5"/>
      <c r="H299" s="5" t="str">
        <f>IFERROR(INDEX('Malzeme Tanımlama'!$D$5:$D$300,MATCH(D299,'Malzeme Tanımlama'!$A$5:$A$300,0)),"")</f>
        <v/>
      </c>
      <c r="I299" s="2"/>
      <c r="J299" s="2"/>
      <c r="K299" s="2"/>
    </row>
    <row r="300" spans="1:11" x14ac:dyDescent="0.3">
      <c r="A300" s="5" t="str">
        <f>IF(D300="","",COUNTIF($D$5:D300,"?*"))</f>
        <v/>
      </c>
      <c r="B300" s="6"/>
      <c r="C300" s="5" t="str">
        <f>IF(B300="","",INDEX({"Ocak","Şubat","Mart","Nisan","Mayıs","Haziran","Temmuz","Ağustos","Eylül","Ekim","Kasım","Aralık"},MONTH(B300)))</f>
        <v/>
      </c>
      <c r="D300" s="2"/>
      <c r="E300" s="5" t="str">
        <f>IFERROR(INDEX('Malzeme Tanımlama'!$B$5:$B$300,MATCH(D300,'Malzeme Tanımlama'!$A$5:$A$300,0)),"")</f>
        <v/>
      </c>
      <c r="F300" s="2"/>
      <c r="G300" s="5"/>
      <c r="H300" s="5" t="str">
        <f>IFERROR(INDEX('Malzeme Tanımlama'!$D$5:$D$300,MATCH(D300,'Malzeme Tanımlama'!$A$5:$A$300,0)),"")</f>
        <v/>
      </c>
      <c r="I300" s="2"/>
      <c r="J300" s="2"/>
      <c r="K300" s="2"/>
    </row>
    <row r="301" spans="1:11" x14ac:dyDescent="0.3">
      <c r="A301" s="5" t="str">
        <f>IF(D301="","",COUNTIF($D$5:D301,"?*"))</f>
        <v/>
      </c>
      <c r="B301" s="6"/>
      <c r="C301" s="5" t="str">
        <f>IF(B301="","",INDEX({"Ocak","Şubat","Mart","Nisan","Mayıs","Haziran","Temmuz","Ağustos","Eylül","Ekim","Kasım","Aralık"},MONTH(B301)))</f>
        <v/>
      </c>
      <c r="D301" s="2"/>
      <c r="E301" s="5" t="str">
        <f>IFERROR(INDEX('Malzeme Tanımlama'!$B$5:$B$300,MATCH(D301,'Malzeme Tanımlama'!$A$5:$A$300,0)),"")</f>
        <v/>
      </c>
      <c r="F301" s="2"/>
      <c r="G301" s="5"/>
      <c r="H301" s="5" t="str">
        <f>IFERROR(INDEX('Malzeme Tanımlama'!$D$5:$D$300,MATCH(D301,'Malzeme Tanımlama'!$A$5:$A$300,0)),"")</f>
        <v/>
      </c>
      <c r="I301" s="2"/>
      <c r="J301" s="2"/>
      <c r="K301" s="2"/>
    </row>
    <row r="302" spans="1:11" x14ac:dyDescent="0.3">
      <c r="A302" s="5" t="str">
        <f>IF(D302="","",COUNTIF($D$5:D302,"?*"))</f>
        <v/>
      </c>
      <c r="B302" s="6"/>
      <c r="C302" s="5" t="str">
        <f>IF(B302="","",INDEX({"Ocak","Şubat","Mart","Nisan","Mayıs","Haziran","Temmuz","Ağustos","Eylül","Ekim","Kasım","Aralık"},MONTH(B302)))</f>
        <v/>
      </c>
      <c r="D302" s="2"/>
      <c r="E302" s="5" t="str">
        <f>IFERROR(INDEX('Malzeme Tanımlama'!$B$5:$B$300,MATCH(D302,'Malzeme Tanımlama'!$A$5:$A$300,0)),"")</f>
        <v/>
      </c>
      <c r="F302" s="2"/>
      <c r="G302" s="5"/>
      <c r="H302" s="5" t="str">
        <f>IFERROR(INDEX('Malzeme Tanımlama'!$D$5:$D$300,MATCH(D302,'Malzeme Tanımlama'!$A$5:$A$300,0)),"")</f>
        <v/>
      </c>
      <c r="I302" s="2"/>
      <c r="J302" s="2"/>
      <c r="K302" s="2"/>
    </row>
    <row r="303" spans="1:11" x14ac:dyDescent="0.3">
      <c r="A303" s="5" t="str">
        <f>IF(D303="","",COUNTIF($D$5:D303,"?*"))</f>
        <v/>
      </c>
      <c r="B303" s="6"/>
      <c r="C303" s="5" t="str">
        <f>IF(B303="","",INDEX({"Ocak","Şubat","Mart","Nisan","Mayıs","Haziran","Temmuz","Ağustos","Eylül","Ekim","Kasım","Aralık"},MONTH(B303)))</f>
        <v/>
      </c>
      <c r="D303" s="2"/>
      <c r="E303" s="5" t="str">
        <f>IFERROR(INDEX('Malzeme Tanımlama'!$B$5:$B$300,MATCH(D303,'Malzeme Tanımlama'!$A$5:$A$300,0)),"")</f>
        <v/>
      </c>
      <c r="F303" s="2"/>
      <c r="G303" s="5"/>
      <c r="H303" s="5" t="str">
        <f>IFERROR(INDEX('Malzeme Tanımlama'!$D$5:$D$300,MATCH(D303,'Malzeme Tanımlama'!$A$5:$A$300,0)),"")</f>
        <v/>
      </c>
      <c r="I303" s="2"/>
      <c r="J303" s="2"/>
      <c r="K303" s="2"/>
    </row>
    <row r="304" spans="1:11" x14ac:dyDescent="0.3">
      <c r="A304" s="5" t="str">
        <f>IF(D304="","",COUNTIF($D$5:D304,"?*"))</f>
        <v/>
      </c>
      <c r="B304" s="6"/>
      <c r="C304" s="5" t="str">
        <f>IF(B304="","",INDEX({"Ocak","Şubat","Mart","Nisan","Mayıs","Haziran","Temmuz","Ağustos","Eylül","Ekim","Kasım","Aralık"},MONTH(B304)))</f>
        <v/>
      </c>
      <c r="D304" s="2"/>
      <c r="E304" s="5" t="str">
        <f>IFERROR(INDEX('Malzeme Tanımlama'!$B$5:$B$300,MATCH(D304,'Malzeme Tanımlama'!$A$5:$A$300,0)),"")</f>
        <v/>
      </c>
      <c r="F304" s="2"/>
      <c r="G304" s="5"/>
      <c r="H304" s="5" t="str">
        <f>IFERROR(INDEX('Malzeme Tanımlama'!$D$5:$D$300,MATCH(D304,'Malzeme Tanımlama'!$A$5:$A$300,0)),"")</f>
        <v/>
      </c>
      <c r="I304" s="2"/>
      <c r="J304" s="2"/>
      <c r="K304" s="2"/>
    </row>
    <row r="305" spans="1:11" x14ac:dyDescent="0.3">
      <c r="A305" s="5" t="str">
        <f>IF(D305="","",COUNTIF($D$5:D305,"?*"))</f>
        <v/>
      </c>
      <c r="B305" s="6"/>
      <c r="C305" s="5" t="str">
        <f>IF(B305="","",INDEX({"Ocak","Şubat","Mart","Nisan","Mayıs","Haziran","Temmuz","Ağustos","Eylül","Ekim","Kasım","Aralık"},MONTH(B305)))</f>
        <v/>
      </c>
      <c r="D305" s="2"/>
      <c r="E305" s="5" t="str">
        <f>IFERROR(INDEX('Malzeme Tanımlama'!$B$5:$B$300,MATCH(D305,'Malzeme Tanımlama'!$A$5:$A$300,0)),"")</f>
        <v/>
      </c>
      <c r="F305" s="2"/>
      <c r="G305" s="5"/>
      <c r="H305" s="5" t="str">
        <f>IFERROR(INDEX('Malzeme Tanımlama'!$D$5:$D$300,MATCH(D305,'Malzeme Tanımlama'!$A$5:$A$300,0)),"")</f>
        <v/>
      </c>
      <c r="I305" s="2"/>
      <c r="J305" s="2"/>
      <c r="K305" s="2"/>
    </row>
    <row r="306" spans="1:11" x14ac:dyDescent="0.3">
      <c r="A306" s="5" t="str">
        <f>IF(D306="","",COUNTIF($D$5:D306,"?*"))</f>
        <v/>
      </c>
      <c r="B306" s="6"/>
      <c r="C306" s="5" t="str">
        <f>IF(B306="","",INDEX({"Ocak","Şubat","Mart","Nisan","Mayıs","Haziran","Temmuz","Ağustos","Eylül","Ekim","Kasım","Aralık"},MONTH(B306)))</f>
        <v/>
      </c>
      <c r="D306" s="2"/>
      <c r="E306" s="5" t="str">
        <f>IFERROR(INDEX('Malzeme Tanımlama'!$B$5:$B$300,MATCH(D306,'Malzeme Tanımlama'!$A$5:$A$300,0)),"")</f>
        <v/>
      </c>
      <c r="F306" s="2"/>
      <c r="G306" s="5"/>
      <c r="H306" s="5" t="str">
        <f>IFERROR(INDEX('Malzeme Tanımlama'!$D$5:$D$300,MATCH(D306,'Malzeme Tanımlama'!$A$5:$A$300,0)),"")</f>
        <v/>
      </c>
      <c r="I306" s="2"/>
      <c r="J306" s="2"/>
      <c r="K306" s="2"/>
    </row>
    <row r="307" spans="1:11" x14ac:dyDescent="0.3">
      <c r="A307" s="5" t="str">
        <f>IF(D307="","",COUNTIF($D$5:D307,"?*"))</f>
        <v/>
      </c>
      <c r="B307" s="6"/>
      <c r="C307" s="5" t="str">
        <f>IF(B307="","",INDEX({"Ocak","Şubat","Mart","Nisan","Mayıs","Haziran","Temmuz","Ağustos","Eylül","Ekim","Kasım","Aralık"},MONTH(B307)))</f>
        <v/>
      </c>
      <c r="D307" s="2"/>
      <c r="E307" s="5" t="str">
        <f>IFERROR(INDEX('Malzeme Tanımlama'!$B$5:$B$300,MATCH(D307,'Malzeme Tanımlama'!$A$5:$A$300,0)),"")</f>
        <v/>
      </c>
      <c r="F307" s="2"/>
      <c r="G307" s="5"/>
      <c r="H307" s="5" t="str">
        <f>IFERROR(INDEX('Malzeme Tanımlama'!$D$5:$D$300,MATCH(D307,'Malzeme Tanımlama'!$A$5:$A$300,0)),"")</f>
        <v/>
      </c>
      <c r="I307" s="2"/>
      <c r="J307" s="2"/>
      <c r="K307" s="2"/>
    </row>
    <row r="308" spans="1:11" x14ac:dyDescent="0.3">
      <c r="A308" s="5" t="str">
        <f>IF(D308="","",COUNTIF($D$5:D308,"?*"))</f>
        <v/>
      </c>
      <c r="B308" s="6"/>
      <c r="C308" s="5" t="str">
        <f>IF(B308="","",INDEX({"Ocak","Şubat","Mart","Nisan","Mayıs","Haziran","Temmuz","Ağustos","Eylül","Ekim","Kasım","Aralık"},MONTH(B308)))</f>
        <v/>
      </c>
      <c r="D308" s="2"/>
      <c r="E308" s="5" t="str">
        <f>IFERROR(INDEX('Malzeme Tanımlama'!$B$5:$B$300,MATCH(D308,'Malzeme Tanımlama'!$A$5:$A$300,0)),"")</f>
        <v/>
      </c>
      <c r="F308" s="2"/>
      <c r="G308" s="5"/>
      <c r="H308" s="5" t="str">
        <f>IFERROR(INDEX('Malzeme Tanımlama'!$D$5:$D$300,MATCH(D308,'Malzeme Tanımlama'!$A$5:$A$300,0)),"")</f>
        <v/>
      </c>
      <c r="I308" s="2"/>
      <c r="J308" s="2"/>
      <c r="K308" s="2"/>
    </row>
    <row r="309" spans="1:11" x14ac:dyDescent="0.3">
      <c r="A309" s="5" t="str">
        <f>IF(D309="","",COUNTIF($D$5:D309,"?*"))</f>
        <v/>
      </c>
      <c r="B309" s="6"/>
      <c r="C309" s="5" t="str">
        <f>IF(B309="","",INDEX({"Ocak","Şubat","Mart","Nisan","Mayıs","Haziran","Temmuz","Ağustos","Eylül","Ekim","Kasım","Aralık"},MONTH(B309)))</f>
        <v/>
      </c>
      <c r="D309" s="2"/>
      <c r="E309" s="5" t="str">
        <f>IFERROR(INDEX('Malzeme Tanımlama'!$B$5:$B$300,MATCH(D309,'Malzeme Tanımlama'!$A$5:$A$300,0)),"")</f>
        <v/>
      </c>
      <c r="F309" s="2"/>
      <c r="G309" s="5"/>
      <c r="H309" s="5" t="str">
        <f>IFERROR(INDEX('Malzeme Tanımlama'!$D$5:$D$300,MATCH(D309,'Malzeme Tanımlama'!$A$5:$A$300,0)),"")</f>
        <v/>
      </c>
      <c r="I309" s="2"/>
      <c r="J309" s="2"/>
      <c r="K309" s="2"/>
    </row>
    <row r="310" spans="1:11" x14ac:dyDescent="0.3">
      <c r="A310" s="5" t="str">
        <f>IF(D310="","",COUNTIF($D$5:D310,"?*"))</f>
        <v/>
      </c>
      <c r="B310" s="6"/>
      <c r="C310" s="5" t="str">
        <f>IF(B310="","",INDEX({"Ocak","Şubat","Mart","Nisan","Mayıs","Haziran","Temmuz","Ağustos","Eylül","Ekim","Kasım","Aralık"},MONTH(B310)))</f>
        <v/>
      </c>
      <c r="D310" s="2"/>
      <c r="E310" s="5" t="str">
        <f>IFERROR(INDEX('Malzeme Tanımlama'!$B$5:$B$300,MATCH(D310,'Malzeme Tanımlama'!$A$5:$A$300,0)),"")</f>
        <v/>
      </c>
      <c r="F310" s="2"/>
      <c r="G310" s="5"/>
      <c r="H310" s="5" t="str">
        <f>IFERROR(INDEX('Malzeme Tanımlama'!$D$5:$D$300,MATCH(D310,'Malzeme Tanımlama'!$A$5:$A$300,0)),"")</f>
        <v/>
      </c>
      <c r="I310" s="2"/>
      <c r="J310" s="2"/>
      <c r="K310" s="2"/>
    </row>
    <row r="311" spans="1:11" x14ac:dyDescent="0.3">
      <c r="A311" s="5" t="str">
        <f>IF(D311="","",COUNTIF($D$5:D311,"?*"))</f>
        <v/>
      </c>
      <c r="B311" s="6"/>
      <c r="C311" s="5" t="str">
        <f>IF(B311="","",INDEX({"Ocak","Şubat","Mart","Nisan","Mayıs","Haziran","Temmuz","Ağustos","Eylül","Ekim","Kasım","Aralık"},MONTH(B311)))</f>
        <v/>
      </c>
      <c r="D311" s="2"/>
      <c r="E311" s="5" t="str">
        <f>IFERROR(INDEX('Malzeme Tanımlama'!$B$5:$B$300,MATCH(D311,'Malzeme Tanımlama'!$A$5:$A$300,0)),"")</f>
        <v/>
      </c>
      <c r="F311" s="2"/>
      <c r="G311" s="5"/>
      <c r="H311" s="5" t="str">
        <f>IFERROR(INDEX('Malzeme Tanımlama'!$D$5:$D$300,MATCH(D311,'Malzeme Tanımlama'!$A$5:$A$300,0)),"")</f>
        <v/>
      </c>
      <c r="I311" s="2"/>
      <c r="J311" s="2"/>
      <c r="K311" s="2"/>
    </row>
    <row r="312" spans="1:11" x14ac:dyDescent="0.3">
      <c r="A312" s="5" t="str">
        <f>IF(D312="","",COUNTIF($D$5:D312,"?*"))</f>
        <v/>
      </c>
      <c r="B312" s="6"/>
      <c r="C312" s="5" t="str">
        <f>IF(B312="","",INDEX({"Ocak","Şubat","Mart","Nisan","Mayıs","Haziran","Temmuz","Ağustos","Eylül","Ekim","Kasım","Aralık"},MONTH(B312)))</f>
        <v/>
      </c>
      <c r="D312" s="2"/>
      <c r="E312" s="5" t="str">
        <f>IFERROR(INDEX('Malzeme Tanımlama'!$B$5:$B$300,MATCH(D312,'Malzeme Tanımlama'!$A$5:$A$300,0)),"")</f>
        <v/>
      </c>
      <c r="F312" s="2"/>
      <c r="G312" s="5"/>
      <c r="H312" s="5" t="str">
        <f>IFERROR(INDEX('Malzeme Tanımlama'!$D$5:$D$300,MATCH(D312,'Malzeme Tanımlama'!$A$5:$A$300,0)),"")</f>
        <v/>
      </c>
      <c r="I312" s="2"/>
      <c r="J312" s="2"/>
      <c r="K312" s="2"/>
    </row>
    <row r="313" spans="1:11" x14ac:dyDescent="0.3">
      <c r="A313" s="5" t="str">
        <f>IF(D313="","",COUNTIF($D$5:D313,"?*"))</f>
        <v/>
      </c>
      <c r="B313" s="6"/>
      <c r="C313" s="5" t="str">
        <f>IF(B313="","",INDEX({"Ocak","Şubat","Mart","Nisan","Mayıs","Haziran","Temmuz","Ağustos","Eylül","Ekim","Kasım","Aralık"},MONTH(B313)))</f>
        <v/>
      </c>
      <c r="D313" s="2"/>
      <c r="E313" s="5" t="str">
        <f>IFERROR(INDEX('Malzeme Tanımlama'!$B$5:$B$300,MATCH(D313,'Malzeme Tanımlama'!$A$5:$A$300,0)),"")</f>
        <v/>
      </c>
      <c r="F313" s="2"/>
      <c r="G313" s="5"/>
      <c r="H313" s="5" t="str">
        <f>IFERROR(INDEX('Malzeme Tanımlama'!$D$5:$D$300,MATCH(D313,'Malzeme Tanımlama'!$A$5:$A$300,0)),"")</f>
        <v/>
      </c>
      <c r="I313" s="2"/>
      <c r="J313" s="2"/>
      <c r="K313" s="2"/>
    </row>
    <row r="314" spans="1:11" x14ac:dyDescent="0.3">
      <c r="A314" s="5" t="str">
        <f>IF(D314="","",COUNTIF($D$5:D314,"?*"))</f>
        <v/>
      </c>
      <c r="B314" s="6"/>
      <c r="C314" s="5" t="str">
        <f>IF(B314="","",INDEX({"Ocak","Şubat","Mart","Nisan","Mayıs","Haziran","Temmuz","Ağustos","Eylül","Ekim","Kasım","Aralık"},MONTH(B314)))</f>
        <v/>
      </c>
      <c r="D314" s="2"/>
      <c r="E314" s="5" t="str">
        <f>IFERROR(INDEX('Malzeme Tanımlama'!$B$5:$B$300,MATCH(D314,'Malzeme Tanımlama'!$A$5:$A$300,0)),"")</f>
        <v/>
      </c>
      <c r="F314" s="2"/>
      <c r="G314" s="5"/>
      <c r="H314" s="5" t="str">
        <f>IFERROR(INDEX('Malzeme Tanımlama'!$D$5:$D$300,MATCH(D314,'Malzeme Tanımlama'!$A$5:$A$300,0)),"")</f>
        <v/>
      </c>
      <c r="I314" s="2"/>
      <c r="J314" s="2"/>
      <c r="K314" s="2"/>
    </row>
    <row r="315" spans="1:11" x14ac:dyDescent="0.3">
      <c r="A315" s="5" t="str">
        <f>IF(D315="","",COUNTIF($D$5:D315,"?*"))</f>
        <v/>
      </c>
      <c r="B315" s="6"/>
      <c r="C315" s="5" t="str">
        <f>IF(B315="","",INDEX({"Ocak","Şubat","Mart","Nisan","Mayıs","Haziran","Temmuz","Ağustos","Eylül","Ekim","Kasım","Aralık"},MONTH(B315)))</f>
        <v/>
      </c>
      <c r="D315" s="2"/>
      <c r="E315" s="5" t="str">
        <f>IFERROR(INDEX('Malzeme Tanımlama'!$B$5:$B$300,MATCH(D315,'Malzeme Tanımlama'!$A$5:$A$300,0)),"")</f>
        <v/>
      </c>
      <c r="F315" s="2"/>
      <c r="G315" s="5"/>
      <c r="H315" s="5" t="str">
        <f>IFERROR(INDEX('Malzeme Tanımlama'!$D$5:$D$300,MATCH(D315,'Malzeme Tanımlama'!$A$5:$A$300,0)),"")</f>
        <v/>
      </c>
      <c r="I315" s="2"/>
      <c r="J315" s="2"/>
      <c r="K315" s="2"/>
    </row>
    <row r="316" spans="1:11" x14ac:dyDescent="0.3">
      <c r="A316" s="5" t="str">
        <f>IF(D316="","",COUNTIF($D$5:D316,"?*"))</f>
        <v/>
      </c>
      <c r="B316" s="6"/>
      <c r="C316" s="5" t="str">
        <f>IF(B316="","",INDEX({"Ocak","Şubat","Mart","Nisan","Mayıs","Haziran","Temmuz","Ağustos","Eylül","Ekim","Kasım","Aralık"},MONTH(B316)))</f>
        <v/>
      </c>
      <c r="D316" s="2"/>
      <c r="E316" s="5" t="str">
        <f>IFERROR(INDEX('Malzeme Tanımlama'!$B$5:$B$300,MATCH(D316,'Malzeme Tanımlama'!$A$5:$A$300,0)),"")</f>
        <v/>
      </c>
      <c r="F316" s="2"/>
      <c r="G316" s="5"/>
      <c r="H316" s="5" t="str">
        <f>IFERROR(INDEX('Malzeme Tanımlama'!$D$5:$D$300,MATCH(D316,'Malzeme Tanımlama'!$A$5:$A$300,0)),"")</f>
        <v/>
      </c>
      <c r="I316" s="2"/>
      <c r="J316" s="2"/>
      <c r="K316" s="2"/>
    </row>
    <row r="317" spans="1:11" x14ac:dyDescent="0.3">
      <c r="A317" s="5" t="str">
        <f>IF(D317="","",COUNTIF($D$5:D317,"?*"))</f>
        <v/>
      </c>
      <c r="B317" s="6"/>
      <c r="C317" s="5" t="str">
        <f>IF(B317="","",INDEX({"Ocak","Şubat","Mart","Nisan","Mayıs","Haziran","Temmuz","Ağustos","Eylül","Ekim","Kasım","Aralık"},MONTH(B317)))</f>
        <v/>
      </c>
      <c r="D317" s="2"/>
      <c r="E317" s="5" t="str">
        <f>IFERROR(INDEX('Malzeme Tanımlama'!$B$5:$B$300,MATCH(D317,'Malzeme Tanımlama'!$A$5:$A$300,0)),"")</f>
        <v/>
      </c>
      <c r="F317" s="2"/>
      <c r="G317" s="5"/>
      <c r="H317" s="5" t="str">
        <f>IFERROR(INDEX('Malzeme Tanımlama'!$D$5:$D$300,MATCH(D317,'Malzeme Tanımlama'!$A$5:$A$300,0)),"")</f>
        <v/>
      </c>
      <c r="I317" s="2"/>
      <c r="J317" s="2"/>
      <c r="K317" s="2"/>
    </row>
    <row r="318" spans="1:11" x14ac:dyDescent="0.3">
      <c r="A318" s="5" t="str">
        <f>IF(D318="","",COUNTIF($D$5:D318,"?*"))</f>
        <v/>
      </c>
      <c r="B318" s="6"/>
      <c r="C318" s="5" t="str">
        <f>IF(B318="","",INDEX({"Ocak","Şubat","Mart","Nisan","Mayıs","Haziran","Temmuz","Ağustos","Eylül","Ekim","Kasım","Aralık"},MONTH(B318)))</f>
        <v/>
      </c>
      <c r="D318" s="2"/>
      <c r="E318" s="5" t="str">
        <f>IFERROR(INDEX('Malzeme Tanımlama'!$B$5:$B$300,MATCH(D318,'Malzeme Tanımlama'!$A$5:$A$300,0)),"")</f>
        <v/>
      </c>
      <c r="F318" s="2"/>
      <c r="G318" s="5"/>
      <c r="H318" s="5" t="str">
        <f>IFERROR(INDEX('Malzeme Tanımlama'!$D$5:$D$300,MATCH(D318,'Malzeme Tanımlama'!$A$5:$A$300,0)),"")</f>
        <v/>
      </c>
      <c r="I318" s="2"/>
      <c r="J318" s="2"/>
      <c r="K318" s="2"/>
    </row>
    <row r="319" spans="1:11" x14ac:dyDescent="0.3">
      <c r="A319" s="5" t="str">
        <f>IF(D319="","",COUNTIF($D$5:D319,"?*"))</f>
        <v/>
      </c>
      <c r="B319" s="6"/>
      <c r="C319" s="5" t="str">
        <f>IF(B319="","",INDEX({"Ocak","Şubat","Mart","Nisan","Mayıs","Haziran","Temmuz","Ağustos","Eylül","Ekim","Kasım","Aralık"},MONTH(B319)))</f>
        <v/>
      </c>
      <c r="D319" s="2"/>
      <c r="E319" s="5" t="str">
        <f>IFERROR(INDEX('Malzeme Tanımlama'!$B$5:$B$300,MATCH(D319,'Malzeme Tanımlama'!$A$5:$A$300,0)),"")</f>
        <v/>
      </c>
      <c r="F319" s="2"/>
      <c r="G319" s="5"/>
      <c r="H319" s="5" t="str">
        <f>IFERROR(INDEX('Malzeme Tanımlama'!$D$5:$D$300,MATCH(D319,'Malzeme Tanımlama'!$A$5:$A$300,0)),"")</f>
        <v/>
      </c>
      <c r="I319" s="2"/>
      <c r="J319" s="2"/>
      <c r="K319" s="2"/>
    </row>
    <row r="320" spans="1:11" x14ac:dyDescent="0.3">
      <c r="A320" s="5" t="str">
        <f>IF(D320="","",COUNTIF($D$5:D320,"?*"))</f>
        <v/>
      </c>
      <c r="B320" s="6"/>
      <c r="C320" s="5" t="str">
        <f>IF(B320="","",INDEX({"Ocak","Şubat","Mart","Nisan","Mayıs","Haziran","Temmuz","Ağustos","Eylül","Ekim","Kasım","Aralık"},MONTH(B320)))</f>
        <v/>
      </c>
      <c r="D320" s="2"/>
      <c r="E320" s="5" t="str">
        <f>IFERROR(INDEX('Malzeme Tanımlama'!$B$5:$B$300,MATCH(D320,'Malzeme Tanımlama'!$A$5:$A$300,0)),"")</f>
        <v/>
      </c>
      <c r="F320" s="2"/>
      <c r="G320" s="5"/>
      <c r="H320" s="5" t="str">
        <f>IFERROR(INDEX('Malzeme Tanımlama'!$D$5:$D$300,MATCH(D320,'Malzeme Tanımlama'!$A$5:$A$300,0)),"")</f>
        <v/>
      </c>
      <c r="I320" s="2"/>
      <c r="J320" s="2"/>
      <c r="K320" s="2"/>
    </row>
    <row r="321" spans="1:11" x14ac:dyDescent="0.3">
      <c r="A321" s="5" t="str">
        <f>IF(D321="","",COUNTIF($D$5:D321,"?*"))</f>
        <v/>
      </c>
      <c r="B321" s="6"/>
      <c r="C321" s="5" t="str">
        <f>IF(B321="","",INDEX({"Ocak","Şubat","Mart","Nisan","Mayıs","Haziran","Temmuz","Ağustos","Eylül","Ekim","Kasım","Aralık"},MONTH(B321)))</f>
        <v/>
      </c>
      <c r="D321" s="2"/>
      <c r="E321" s="5" t="str">
        <f>IFERROR(INDEX('Malzeme Tanımlama'!$B$5:$B$300,MATCH(D321,'Malzeme Tanımlama'!$A$5:$A$300,0)),"")</f>
        <v/>
      </c>
      <c r="F321" s="2"/>
      <c r="G321" s="5"/>
      <c r="H321" s="5" t="str">
        <f>IFERROR(INDEX('Malzeme Tanımlama'!$D$5:$D$300,MATCH(D321,'Malzeme Tanımlama'!$A$5:$A$300,0)),"")</f>
        <v/>
      </c>
      <c r="I321" s="2"/>
      <c r="J321" s="2"/>
      <c r="K321" s="2"/>
    </row>
    <row r="322" spans="1:11" x14ac:dyDescent="0.3">
      <c r="A322" s="5" t="str">
        <f>IF(D322="","",COUNTIF($D$5:D322,"?*"))</f>
        <v/>
      </c>
      <c r="B322" s="6"/>
      <c r="C322" s="5" t="str">
        <f>IF(B322="","",INDEX({"Ocak","Şubat","Mart","Nisan","Mayıs","Haziran","Temmuz","Ağustos","Eylül","Ekim","Kasım","Aralık"},MONTH(B322)))</f>
        <v/>
      </c>
      <c r="D322" s="2"/>
      <c r="E322" s="5" t="str">
        <f>IFERROR(INDEX('Malzeme Tanımlama'!$B$5:$B$300,MATCH(D322,'Malzeme Tanımlama'!$A$5:$A$300,0)),"")</f>
        <v/>
      </c>
      <c r="F322" s="2"/>
      <c r="G322" s="5"/>
      <c r="H322" s="5" t="str">
        <f>IFERROR(INDEX('Malzeme Tanımlama'!$D$5:$D$300,MATCH(D322,'Malzeme Tanımlama'!$A$5:$A$300,0)),"")</f>
        <v/>
      </c>
      <c r="I322" s="2"/>
      <c r="J322" s="2"/>
      <c r="K322" s="2"/>
    </row>
    <row r="323" spans="1:11" x14ac:dyDescent="0.3">
      <c r="A323" s="5" t="str">
        <f>IF(D323="","",COUNTIF($D$5:D323,"?*"))</f>
        <v/>
      </c>
      <c r="B323" s="6"/>
      <c r="C323" s="5" t="str">
        <f>IF(B323="","",INDEX({"Ocak","Şubat","Mart","Nisan","Mayıs","Haziran","Temmuz","Ağustos","Eylül","Ekim","Kasım","Aralık"},MONTH(B323)))</f>
        <v/>
      </c>
      <c r="D323" s="2"/>
      <c r="E323" s="5" t="str">
        <f>IFERROR(INDEX('Malzeme Tanımlama'!$B$5:$B$300,MATCH(D323,'Malzeme Tanımlama'!$A$5:$A$300,0)),"")</f>
        <v/>
      </c>
      <c r="F323" s="2"/>
      <c r="G323" s="5"/>
      <c r="H323" s="5" t="str">
        <f>IFERROR(INDEX('Malzeme Tanımlama'!$D$5:$D$300,MATCH(D323,'Malzeme Tanımlama'!$A$5:$A$300,0)),"")</f>
        <v/>
      </c>
      <c r="I323" s="2"/>
      <c r="J323" s="2"/>
      <c r="K323" s="2"/>
    </row>
    <row r="324" spans="1:11" x14ac:dyDescent="0.3">
      <c r="A324" s="5" t="str">
        <f>IF(D324="","",COUNTIF($D$5:D324,"?*"))</f>
        <v/>
      </c>
      <c r="B324" s="6"/>
      <c r="C324" s="5" t="str">
        <f>IF(B324="","",INDEX({"Ocak","Şubat","Mart","Nisan","Mayıs","Haziran","Temmuz","Ağustos","Eylül","Ekim","Kasım","Aralık"},MONTH(B324)))</f>
        <v/>
      </c>
      <c r="D324" s="2"/>
      <c r="E324" s="5" t="str">
        <f>IFERROR(INDEX('Malzeme Tanımlama'!$B$5:$B$300,MATCH(D324,'Malzeme Tanımlama'!$A$5:$A$300,0)),"")</f>
        <v/>
      </c>
      <c r="F324" s="2"/>
      <c r="G324" s="5"/>
      <c r="H324" s="5" t="str">
        <f>IFERROR(INDEX('Malzeme Tanımlama'!$D$5:$D$300,MATCH(D324,'Malzeme Tanımlama'!$A$5:$A$300,0)),"")</f>
        <v/>
      </c>
      <c r="I324" s="2"/>
      <c r="J324" s="2"/>
      <c r="K324" s="2"/>
    </row>
    <row r="325" spans="1:11" x14ac:dyDescent="0.3">
      <c r="A325" s="5" t="str">
        <f>IF(D325="","",COUNTIF($D$5:D325,"?*"))</f>
        <v/>
      </c>
      <c r="B325" s="6"/>
      <c r="C325" s="5" t="str">
        <f>IF(B325="","",INDEX({"Ocak","Şubat","Mart","Nisan","Mayıs","Haziran","Temmuz","Ağustos","Eylül","Ekim","Kasım","Aralık"},MONTH(B325)))</f>
        <v/>
      </c>
      <c r="D325" s="2"/>
      <c r="E325" s="5" t="str">
        <f>IFERROR(INDEX('Malzeme Tanımlama'!$B$5:$B$300,MATCH(D325,'Malzeme Tanımlama'!$A$5:$A$300,0)),"")</f>
        <v/>
      </c>
      <c r="F325" s="2"/>
      <c r="G325" s="5"/>
      <c r="H325" s="5" t="str">
        <f>IFERROR(INDEX('Malzeme Tanımlama'!$D$5:$D$300,MATCH(D325,'Malzeme Tanımlama'!$A$5:$A$300,0)),"")</f>
        <v/>
      </c>
      <c r="I325" s="2"/>
      <c r="J325" s="2"/>
      <c r="K325" s="2"/>
    </row>
    <row r="326" spans="1:11" x14ac:dyDescent="0.3">
      <c r="A326" s="5" t="str">
        <f>IF(D326="","",COUNTIF($D$5:D326,"?*"))</f>
        <v/>
      </c>
      <c r="B326" s="6"/>
      <c r="C326" s="5" t="str">
        <f>IF(B326="","",INDEX({"Ocak","Şubat","Mart","Nisan","Mayıs","Haziran","Temmuz","Ağustos","Eylül","Ekim","Kasım","Aralık"},MONTH(B326)))</f>
        <v/>
      </c>
      <c r="D326" s="2"/>
      <c r="E326" s="5" t="str">
        <f>IFERROR(INDEX('Malzeme Tanımlama'!$B$5:$B$300,MATCH(D326,'Malzeme Tanımlama'!$A$5:$A$300,0)),"")</f>
        <v/>
      </c>
      <c r="F326" s="2"/>
      <c r="G326" s="5"/>
      <c r="H326" s="5" t="str">
        <f>IFERROR(INDEX('Malzeme Tanımlama'!$D$5:$D$300,MATCH(D326,'Malzeme Tanımlama'!$A$5:$A$300,0)),"")</f>
        <v/>
      </c>
      <c r="I326" s="2"/>
      <c r="J326" s="2"/>
      <c r="K326" s="2"/>
    </row>
    <row r="327" spans="1:11" x14ac:dyDescent="0.3">
      <c r="A327" s="5" t="str">
        <f>IF(D327="","",COUNTIF($D$5:D327,"?*"))</f>
        <v/>
      </c>
      <c r="B327" s="6"/>
      <c r="C327" s="5" t="str">
        <f>IF(B327="","",INDEX({"Ocak","Şubat","Mart","Nisan","Mayıs","Haziran","Temmuz","Ağustos","Eylül","Ekim","Kasım","Aralık"},MONTH(B327)))</f>
        <v/>
      </c>
      <c r="D327" s="2"/>
      <c r="E327" s="5" t="str">
        <f>IFERROR(INDEX('Malzeme Tanımlama'!$B$5:$B$300,MATCH(D327,'Malzeme Tanımlama'!$A$5:$A$300,0)),"")</f>
        <v/>
      </c>
      <c r="F327" s="2"/>
      <c r="G327" s="5"/>
      <c r="H327" s="5" t="str">
        <f>IFERROR(INDEX('Malzeme Tanımlama'!$D$5:$D$300,MATCH(D327,'Malzeme Tanımlama'!$A$5:$A$300,0)),"")</f>
        <v/>
      </c>
      <c r="I327" s="2"/>
      <c r="J327" s="2"/>
      <c r="K327" s="2"/>
    </row>
    <row r="328" spans="1:11" x14ac:dyDescent="0.3">
      <c r="A328" s="5" t="str">
        <f>IF(D328="","",COUNTIF($D$5:D328,"?*"))</f>
        <v/>
      </c>
      <c r="B328" s="6"/>
      <c r="C328" s="5" t="str">
        <f>IF(B328="","",INDEX({"Ocak","Şubat","Mart","Nisan","Mayıs","Haziran","Temmuz","Ağustos","Eylül","Ekim","Kasım","Aralık"},MONTH(B328)))</f>
        <v/>
      </c>
      <c r="D328" s="2"/>
      <c r="E328" s="5" t="str">
        <f>IFERROR(INDEX('Malzeme Tanımlama'!$B$5:$B$300,MATCH(D328,'Malzeme Tanımlama'!$A$5:$A$300,0)),"")</f>
        <v/>
      </c>
      <c r="F328" s="2"/>
      <c r="G328" s="5"/>
      <c r="H328" s="5" t="str">
        <f>IFERROR(INDEX('Malzeme Tanımlama'!$D$5:$D$300,MATCH(D328,'Malzeme Tanımlama'!$A$5:$A$300,0)),"")</f>
        <v/>
      </c>
      <c r="I328" s="2"/>
      <c r="J328" s="2"/>
      <c r="K328" s="2"/>
    </row>
    <row r="329" spans="1:11" x14ac:dyDescent="0.3">
      <c r="A329" s="5" t="str">
        <f>IF(D329="","",COUNTIF($D$5:D329,"?*"))</f>
        <v/>
      </c>
      <c r="B329" s="6"/>
      <c r="C329" s="5" t="str">
        <f>IF(B329="","",INDEX({"Ocak","Şubat","Mart","Nisan","Mayıs","Haziran","Temmuz","Ağustos","Eylül","Ekim","Kasım","Aralık"},MONTH(B329)))</f>
        <v/>
      </c>
      <c r="D329" s="2"/>
      <c r="E329" s="5" t="str">
        <f>IFERROR(INDEX('Malzeme Tanımlama'!$B$5:$B$300,MATCH(D329,'Malzeme Tanımlama'!$A$5:$A$300,0)),"")</f>
        <v/>
      </c>
      <c r="F329" s="2"/>
      <c r="G329" s="5"/>
      <c r="H329" s="5" t="str">
        <f>IFERROR(INDEX('Malzeme Tanımlama'!$D$5:$D$300,MATCH(D329,'Malzeme Tanımlama'!$A$5:$A$300,0)),"")</f>
        <v/>
      </c>
      <c r="I329" s="2"/>
      <c r="J329" s="2"/>
      <c r="K329" s="2"/>
    </row>
    <row r="330" spans="1:11" x14ac:dyDescent="0.3">
      <c r="A330" s="5" t="str">
        <f>IF(D330="","",COUNTIF($D$5:D330,"?*"))</f>
        <v/>
      </c>
      <c r="B330" s="6"/>
      <c r="C330" s="5" t="str">
        <f>IF(B330="","",INDEX({"Ocak","Şubat","Mart","Nisan","Mayıs","Haziran","Temmuz","Ağustos","Eylül","Ekim","Kasım","Aralık"},MONTH(B330)))</f>
        <v/>
      </c>
      <c r="D330" s="2"/>
      <c r="E330" s="5" t="str">
        <f>IFERROR(INDEX('Malzeme Tanımlama'!$B$5:$B$300,MATCH(D330,'Malzeme Tanımlama'!$A$5:$A$300,0)),"")</f>
        <v/>
      </c>
      <c r="F330" s="2"/>
      <c r="G330" s="5"/>
      <c r="H330" s="5" t="str">
        <f>IFERROR(INDEX('Malzeme Tanımlama'!$D$5:$D$300,MATCH(D330,'Malzeme Tanımlama'!$A$5:$A$300,0)),"")</f>
        <v/>
      </c>
      <c r="I330" s="2"/>
      <c r="J330" s="2"/>
      <c r="K330" s="2"/>
    </row>
    <row r="331" spans="1:11" x14ac:dyDescent="0.3">
      <c r="A331" s="5" t="str">
        <f>IF(D331="","",COUNTIF($D$5:D331,"?*"))</f>
        <v/>
      </c>
      <c r="B331" s="6"/>
      <c r="C331" s="5" t="str">
        <f>IF(B331="","",INDEX({"Ocak","Şubat","Mart","Nisan","Mayıs","Haziran","Temmuz","Ağustos","Eylül","Ekim","Kasım","Aralık"},MONTH(B331)))</f>
        <v/>
      </c>
      <c r="D331" s="2"/>
      <c r="E331" s="5" t="str">
        <f>IFERROR(INDEX('Malzeme Tanımlama'!$B$5:$B$300,MATCH(D331,'Malzeme Tanımlama'!$A$5:$A$300,0)),"")</f>
        <v/>
      </c>
      <c r="F331" s="2"/>
      <c r="G331" s="5"/>
      <c r="H331" s="5" t="str">
        <f>IFERROR(INDEX('Malzeme Tanımlama'!$D$5:$D$300,MATCH(D331,'Malzeme Tanımlama'!$A$5:$A$300,0)),"")</f>
        <v/>
      </c>
      <c r="I331" s="2"/>
      <c r="J331" s="2"/>
      <c r="K331" s="2"/>
    </row>
    <row r="332" spans="1:11" x14ac:dyDescent="0.3">
      <c r="A332" s="5" t="str">
        <f>IF(D332="","",COUNTIF($D$5:D332,"?*"))</f>
        <v/>
      </c>
      <c r="B332" s="6"/>
      <c r="C332" s="5" t="str">
        <f>IF(B332="","",INDEX({"Ocak","Şubat","Mart","Nisan","Mayıs","Haziran","Temmuz","Ağustos","Eylül","Ekim","Kasım","Aralık"},MONTH(B332)))</f>
        <v/>
      </c>
      <c r="D332" s="2"/>
      <c r="E332" s="5" t="str">
        <f>IFERROR(INDEX('Malzeme Tanımlama'!$B$5:$B$300,MATCH(D332,'Malzeme Tanımlama'!$A$5:$A$300,0)),"")</f>
        <v/>
      </c>
      <c r="F332" s="2"/>
      <c r="G332" s="5"/>
      <c r="H332" s="5" t="str">
        <f>IFERROR(INDEX('Malzeme Tanımlama'!$D$5:$D$300,MATCH(D332,'Malzeme Tanımlama'!$A$5:$A$300,0)),"")</f>
        <v/>
      </c>
      <c r="I332" s="2"/>
      <c r="J332" s="2"/>
      <c r="K332" s="2"/>
    </row>
    <row r="333" spans="1:11" x14ac:dyDescent="0.3">
      <c r="A333" s="5" t="str">
        <f>IF(D333="","",COUNTIF($D$5:D333,"?*"))</f>
        <v/>
      </c>
      <c r="B333" s="6"/>
      <c r="C333" s="5" t="str">
        <f>IF(B333="","",INDEX({"Ocak","Şubat","Mart","Nisan","Mayıs","Haziran","Temmuz","Ağustos","Eylül","Ekim","Kasım","Aralık"},MONTH(B333)))</f>
        <v/>
      </c>
      <c r="D333" s="2"/>
      <c r="E333" s="5" t="str">
        <f>IFERROR(INDEX('Malzeme Tanımlama'!$B$5:$B$300,MATCH(D333,'Malzeme Tanımlama'!$A$5:$A$300,0)),"")</f>
        <v/>
      </c>
      <c r="F333" s="2"/>
      <c r="G333" s="5"/>
      <c r="H333" s="5" t="str">
        <f>IFERROR(INDEX('Malzeme Tanımlama'!$D$5:$D$300,MATCH(D333,'Malzeme Tanımlama'!$A$5:$A$300,0)),"")</f>
        <v/>
      </c>
      <c r="I333" s="2"/>
      <c r="J333" s="2"/>
      <c r="K333" s="2"/>
    </row>
    <row r="334" spans="1:11" x14ac:dyDescent="0.3">
      <c r="A334" s="5" t="str">
        <f>IF(D334="","",COUNTIF($D$5:D334,"?*"))</f>
        <v/>
      </c>
      <c r="B334" s="6"/>
      <c r="C334" s="5" t="str">
        <f>IF(B334="","",INDEX({"Ocak","Şubat","Mart","Nisan","Mayıs","Haziran","Temmuz","Ağustos","Eylül","Ekim","Kasım","Aralık"},MONTH(B334)))</f>
        <v/>
      </c>
      <c r="D334" s="2"/>
      <c r="E334" s="5" t="str">
        <f>IFERROR(INDEX('Malzeme Tanımlama'!$B$5:$B$300,MATCH(D334,'Malzeme Tanımlama'!$A$5:$A$300,0)),"")</f>
        <v/>
      </c>
      <c r="F334" s="2"/>
      <c r="G334" s="5"/>
      <c r="H334" s="5" t="str">
        <f>IFERROR(INDEX('Malzeme Tanımlama'!$D$5:$D$300,MATCH(D334,'Malzeme Tanımlama'!$A$5:$A$300,0)),"")</f>
        <v/>
      </c>
      <c r="I334" s="2"/>
      <c r="J334" s="2"/>
      <c r="K334" s="2"/>
    </row>
    <row r="335" spans="1:11" x14ac:dyDescent="0.3">
      <c r="A335" s="5" t="str">
        <f>IF(D335="","",COUNTIF($D$5:D335,"?*"))</f>
        <v/>
      </c>
      <c r="B335" s="6"/>
      <c r="C335" s="5" t="str">
        <f>IF(B335="","",INDEX({"Ocak","Şubat","Mart","Nisan","Mayıs","Haziran","Temmuz","Ağustos","Eylül","Ekim","Kasım","Aralık"},MONTH(B335)))</f>
        <v/>
      </c>
      <c r="D335" s="2"/>
      <c r="E335" s="5" t="str">
        <f>IFERROR(INDEX('Malzeme Tanımlama'!$B$5:$B$300,MATCH(D335,'Malzeme Tanımlama'!$A$5:$A$300,0)),"")</f>
        <v/>
      </c>
      <c r="F335" s="2"/>
      <c r="G335" s="5"/>
      <c r="H335" s="5" t="str">
        <f>IFERROR(INDEX('Malzeme Tanımlama'!$D$5:$D$300,MATCH(D335,'Malzeme Tanımlama'!$A$5:$A$300,0)),"")</f>
        <v/>
      </c>
      <c r="I335" s="2"/>
      <c r="J335" s="2"/>
      <c r="K335" s="2"/>
    </row>
    <row r="336" spans="1:11" x14ac:dyDescent="0.3">
      <c r="A336" s="5" t="str">
        <f>IF(D336="","",COUNTIF($D$5:D336,"?*"))</f>
        <v/>
      </c>
      <c r="B336" s="6"/>
      <c r="C336" s="5" t="str">
        <f>IF(B336="","",INDEX({"Ocak","Şubat","Mart","Nisan","Mayıs","Haziran","Temmuz","Ağustos","Eylül","Ekim","Kasım","Aralık"},MONTH(B336)))</f>
        <v/>
      </c>
      <c r="D336" s="2"/>
      <c r="E336" s="5" t="str">
        <f>IFERROR(INDEX('Malzeme Tanımlama'!$B$5:$B$300,MATCH(D336,'Malzeme Tanımlama'!$A$5:$A$300,0)),"")</f>
        <v/>
      </c>
      <c r="F336" s="2"/>
      <c r="G336" s="5"/>
      <c r="H336" s="5" t="str">
        <f>IFERROR(INDEX('Malzeme Tanımlama'!$D$5:$D$300,MATCH(D336,'Malzeme Tanımlama'!$A$5:$A$300,0)),"")</f>
        <v/>
      </c>
      <c r="I336" s="2"/>
      <c r="J336" s="2"/>
      <c r="K336" s="2"/>
    </row>
    <row r="337" spans="1:11" x14ac:dyDescent="0.3">
      <c r="A337" s="5" t="str">
        <f>IF(D337="","",COUNTIF($D$5:D337,"?*"))</f>
        <v/>
      </c>
      <c r="B337" s="6"/>
      <c r="C337" s="5" t="str">
        <f>IF(B337="","",INDEX({"Ocak","Şubat","Mart","Nisan","Mayıs","Haziran","Temmuz","Ağustos","Eylül","Ekim","Kasım","Aralık"},MONTH(B337)))</f>
        <v/>
      </c>
      <c r="D337" s="2"/>
      <c r="E337" s="5" t="str">
        <f>IFERROR(INDEX('Malzeme Tanımlama'!$B$5:$B$300,MATCH(D337,'Malzeme Tanımlama'!$A$5:$A$300,0)),"")</f>
        <v/>
      </c>
      <c r="F337" s="2"/>
      <c r="G337" s="5"/>
      <c r="H337" s="5" t="str">
        <f>IFERROR(INDEX('Malzeme Tanımlama'!$D$5:$D$300,MATCH(D337,'Malzeme Tanımlama'!$A$5:$A$300,0)),"")</f>
        <v/>
      </c>
      <c r="I337" s="2"/>
      <c r="J337" s="2"/>
      <c r="K337" s="2"/>
    </row>
    <row r="338" spans="1:11" x14ac:dyDescent="0.3">
      <c r="A338" s="5" t="str">
        <f>IF(D338="","",COUNTIF($D$5:D338,"?*"))</f>
        <v/>
      </c>
      <c r="B338" s="6"/>
      <c r="C338" s="5" t="str">
        <f>IF(B338="","",INDEX({"Ocak","Şubat","Mart","Nisan","Mayıs","Haziran","Temmuz","Ağustos","Eylül","Ekim","Kasım","Aralık"},MONTH(B338)))</f>
        <v/>
      </c>
      <c r="D338" s="2"/>
      <c r="E338" s="5" t="str">
        <f>IFERROR(INDEX('Malzeme Tanımlama'!$B$5:$B$300,MATCH(D338,'Malzeme Tanımlama'!$A$5:$A$300,0)),"")</f>
        <v/>
      </c>
      <c r="F338" s="2"/>
      <c r="G338" s="5"/>
      <c r="H338" s="5" t="str">
        <f>IFERROR(INDEX('Malzeme Tanımlama'!$D$5:$D$300,MATCH(D338,'Malzeme Tanımlama'!$A$5:$A$300,0)),"")</f>
        <v/>
      </c>
      <c r="I338" s="2"/>
      <c r="J338" s="2"/>
      <c r="K338" s="2"/>
    </row>
    <row r="339" spans="1:11" x14ac:dyDescent="0.3">
      <c r="A339" s="5" t="str">
        <f>IF(D339="","",COUNTIF($D$5:D339,"?*"))</f>
        <v/>
      </c>
      <c r="B339" s="6"/>
      <c r="C339" s="5" t="str">
        <f>IF(B339="","",INDEX({"Ocak","Şubat","Mart","Nisan","Mayıs","Haziran","Temmuz","Ağustos","Eylül","Ekim","Kasım","Aralık"},MONTH(B339)))</f>
        <v/>
      </c>
      <c r="D339" s="2"/>
      <c r="E339" s="5" t="str">
        <f>IFERROR(INDEX('Malzeme Tanımlama'!$B$5:$B$300,MATCH(D339,'Malzeme Tanımlama'!$A$5:$A$300,0)),"")</f>
        <v/>
      </c>
      <c r="F339" s="2"/>
      <c r="G339" s="5"/>
      <c r="H339" s="5" t="str">
        <f>IFERROR(INDEX('Malzeme Tanımlama'!$D$5:$D$300,MATCH(D339,'Malzeme Tanımlama'!$A$5:$A$300,0)),"")</f>
        <v/>
      </c>
      <c r="I339" s="2"/>
      <c r="J339" s="2"/>
      <c r="K339" s="2"/>
    </row>
    <row r="340" spans="1:11" x14ac:dyDescent="0.3">
      <c r="A340" s="5" t="str">
        <f>IF(D340="","",COUNTIF($D$5:D340,"?*"))</f>
        <v/>
      </c>
      <c r="B340" s="6"/>
      <c r="C340" s="5" t="str">
        <f>IF(B340="","",INDEX({"Ocak","Şubat","Mart","Nisan","Mayıs","Haziran","Temmuz","Ağustos","Eylül","Ekim","Kasım","Aralık"},MONTH(B340)))</f>
        <v/>
      </c>
      <c r="D340" s="2"/>
      <c r="E340" s="5" t="str">
        <f>IFERROR(INDEX('Malzeme Tanımlama'!$B$5:$B$300,MATCH(D340,'Malzeme Tanımlama'!$A$5:$A$300,0)),"")</f>
        <v/>
      </c>
      <c r="F340" s="2"/>
      <c r="G340" s="5"/>
      <c r="H340" s="5" t="str">
        <f>IFERROR(INDEX('Malzeme Tanımlama'!$D$5:$D$300,MATCH(D340,'Malzeme Tanımlama'!$A$5:$A$300,0)),"")</f>
        <v/>
      </c>
      <c r="I340" s="2"/>
      <c r="J340" s="2"/>
      <c r="K340" s="2"/>
    </row>
    <row r="341" spans="1:11" x14ac:dyDescent="0.3">
      <c r="A341" s="5" t="str">
        <f>IF(D341="","",COUNTIF($D$5:D341,"?*"))</f>
        <v/>
      </c>
      <c r="B341" s="6"/>
      <c r="C341" s="5" t="str">
        <f>IF(B341="","",INDEX({"Ocak","Şubat","Mart","Nisan","Mayıs","Haziran","Temmuz","Ağustos","Eylül","Ekim","Kasım","Aralık"},MONTH(B341)))</f>
        <v/>
      </c>
      <c r="D341" s="2"/>
      <c r="E341" s="5" t="str">
        <f>IFERROR(INDEX('Malzeme Tanımlama'!$B$5:$B$300,MATCH(D341,'Malzeme Tanımlama'!$A$5:$A$300,0)),"")</f>
        <v/>
      </c>
      <c r="F341" s="2"/>
      <c r="G341" s="5"/>
      <c r="H341" s="5" t="str">
        <f>IFERROR(INDEX('Malzeme Tanımlama'!$D$5:$D$300,MATCH(D341,'Malzeme Tanımlama'!$A$5:$A$300,0)),"")</f>
        <v/>
      </c>
      <c r="I341" s="2"/>
      <c r="J341" s="2"/>
      <c r="K341" s="2"/>
    </row>
    <row r="342" spans="1:11" x14ac:dyDescent="0.3">
      <c r="A342" s="5" t="str">
        <f>IF(D342="","",COUNTIF($D$5:D342,"?*"))</f>
        <v/>
      </c>
      <c r="B342" s="6"/>
      <c r="C342" s="5" t="str">
        <f>IF(B342="","",INDEX({"Ocak","Şubat","Mart","Nisan","Mayıs","Haziran","Temmuz","Ağustos","Eylül","Ekim","Kasım","Aralık"},MONTH(B342)))</f>
        <v/>
      </c>
      <c r="D342" s="2"/>
      <c r="E342" s="5" t="str">
        <f>IFERROR(INDEX('Malzeme Tanımlama'!$B$5:$B$300,MATCH(D342,'Malzeme Tanımlama'!$A$5:$A$300,0)),"")</f>
        <v/>
      </c>
      <c r="F342" s="2"/>
      <c r="G342" s="5"/>
      <c r="H342" s="5" t="str">
        <f>IFERROR(INDEX('Malzeme Tanımlama'!$D$5:$D$300,MATCH(D342,'Malzeme Tanımlama'!$A$5:$A$300,0)),"")</f>
        <v/>
      </c>
      <c r="I342" s="2"/>
      <c r="J342" s="2"/>
      <c r="K342" s="2"/>
    </row>
    <row r="343" spans="1:11" x14ac:dyDescent="0.3">
      <c r="A343" s="5" t="str">
        <f>IF(D343="","",COUNTIF($D$5:D343,"?*"))</f>
        <v/>
      </c>
      <c r="B343" s="6"/>
      <c r="C343" s="5" t="str">
        <f>IF(B343="","",INDEX({"Ocak","Şubat","Mart","Nisan","Mayıs","Haziran","Temmuz","Ağustos","Eylül","Ekim","Kasım","Aralık"},MONTH(B343)))</f>
        <v/>
      </c>
      <c r="D343" s="2"/>
      <c r="E343" s="5" t="str">
        <f>IFERROR(INDEX('Malzeme Tanımlama'!$B$5:$B$300,MATCH(D343,'Malzeme Tanımlama'!$A$5:$A$300,0)),"")</f>
        <v/>
      </c>
      <c r="F343" s="2"/>
      <c r="G343" s="5"/>
      <c r="H343" s="5" t="str">
        <f>IFERROR(INDEX('Malzeme Tanımlama'!$D$5:$D$300,MATCH(D343,'Malzeme Tanımlama'!$A$5:$A$300,0)),"")</f>
        <v/>
      </c>
      <c r="I343" s="2"/>
      <c r="J343" s="2"/>
      <c r="K343" s="2"/>
    </row>
    <row r="344" spans="1:11" x14ac:dyDescent="0.3">
      <c r="A344" s="5" t="str">
        <f>IF(D344="","",COUNTIF($D$5:D344,"?*"))</f>
        <v/>
      </c>
      <c r="B344" s="6"/>
      <c r="C344" s="5" t="str">
        <f>IF(B344="","",INDEX({"Ocak","Şubat","Mart","Nisan","Mayıs","Haziran","Temmuz","Ağustos","Eylül","Ekim","Kasım","Aralık"},MONTH(B344)))</f>
        <v/>
      </c>
      <c r="D344" s="2"/>
      <c r="E344" s="5" t="str">
        <f>IFERROR(INDEX('Malzeme Tanımlama'!$B$5:$B$300,MATCH(D344,'Malzeme Tanımlama'!$A$5:$A$300,0)),"")</f>
        <v/>
      </c>
      <c r="F344" s="2"/>
      <c r="G344" s="5"/>
      <c r="H344" s="5" t="str">
        <f>IFERROR(INDEX('Malzeme Tanımlama'!$D$5:$D$300,MATCH(D344,'Malzeme Tanımlama'!$A$5:$A$300,0)),"")</f>
        <v/>
      </c>
      <c r="I344" s="2"/>
      <c r="J344" s="2"/>
      <c r="K344" s="2"/>
    </row>
    <row r="345" spans="1:11" x14ac:dyDescent="0.3">
      <c r="A345" s="5" t="str">
        <f>IF(D345="","",COUNTIF($D$5:D345,"?*"))</f>
        <v/>
      </c>
      <c r="B345" s="6"/>
      <c r="C345" s="5" t="str">
        <f>IF(B345="","",INDEX({"Ocak","Şubat","Mart","Nisan","Mayıs","Haziran","Temmuz","Ağustos","Eylül","Ekim","Kasım","Aralık"},MONTH(B345)))</f>
        <v/>
      </c>
      <c r="D345" s="2"/>
      <c r="E345" s="5" t="str">
        <f>IFERROR(INDEX('Malzeme Tanımlama'!$B$5:$B$300,MATCH(D345,'Malzeme Tanımlama'!$A$5:$A$300,0)),"")</f>
        <v/>
      </c>
      <c r="F345" s="2"/>
      <c r="G345" s="5"/>
      <c r="H345" s="5" t="str">
        <f>IFERROR(INDEX('Malzeme Tanımlama'!$D$5:$D$300,MATCH(D345,'Malzeme Tanımlama'!$A$5:$A$300,0)),"")</f>
        <v/>
      </c>
      <c r="I345" s="2"/>
      <c r="J345" s="2"/>
      <c r="K345" s="2"/>
    </row>
    <row r="346" spans="1:11" x14ac:dyDescent="0.3">
      <c r="A346" s="5" t="str">
        <f>IF(D346="","",COUNTIF($D$5:D346,"?*"))</f>
        <v/>
      </c>
      <c r="B346" s="6"/>
      <c r="C346" s="5" t="str">
        <f>IF(B346="","",INDEX({"Ocak","Şubat","Mart","Nisan","Mayıs","Haziran","Temmuz","Ağustos","Eylül","Ekim","Kasım","Aralık"},MONTH(B346)))</f>
        <v/>
      </c>
      <c r="D346" s="2"/>
      <c r="E346" s="5" t="str">
        <f>IFERROR(INDEX('Malzeme Tanımlama'!$B$5:$B$300,MATCH(D346,'Malzeme Tanımlama'!$A$5:$A$300,0)),"")</f>
        <v/>
      </c>
      <c r="F346" s="2"/>
      <c r="G346" s="5"/>
      <c r="H346" s="5" t="str">
        <f>IFERROR(INDEX('Malzeme Tanımlama'!$D$5:$D$300,MATCH(D346,'Malzeme Tanımlama'!$A$5:$A$300,0)),"")</f>
        <v/>
      </c>
      <c r="I346" s="2"/>
      <c r="J346" s="2"/>
      <c r="K346" s="2"/>
    </row>
    <row r="347" spans="1:11" x14ac:dyDescent="0.3">
      <c r="A347" s="5" t="str">
        <f>IF(D347="","",COUNTIF($D$5:D347,"?*"))</f>
        <v/>
      </c>
      <c r="B347" s="6"/>
      <c r="C347" s="5" t="str">
        <f>IF(B347="","",INDEX({"Ocak","Şubat","Mart","Nisan","Mayıs","Haziran","Temmuz","Ağustos","Eylül","Ekim","Kasım","Aralık"},MONTH(B347)))</f>
        <v/>
      </c>
      <c r="D347" s="2"/>
      <c r="E347" s="5" t="str">
        <f>IFERROR(INDEX('Malzeme Tanımlama'!$B$5:$B$300,MATCH(D347,'Malzeme Tanımlama'!$A$5:$A$300,0)),"")</f>
        <v/>
      </c>
      <c r="F347" s="2"/>
      <c r="G347" s="5"/>
      <c r="H347" s="5" t="str">
        <f>IFERROR(INDEX('Malzeme Tanımlama'!$D$5:$D$300,MATCH(D347,'Malzeme Tanımlama'!$A$5:$A$300,0)),"")</f>
        <v/>
      </c>
      <c r="I347" s="2"/>
      <c r="J347" s="2"/>
      <c r="K347" s="2"/>
    </row>
    <row r="348" spans="1:11" x14ac:dyDescent="0.3">
      <c r="A348" s="5" t="str">
        <f>IF(D348="","",COUNTIF($D$5:D348,"?*"))</f>
        <v/>
      </c>
      <c r="B348" s="6"/>
      <c r="C348" s="5" t="str">
        <f>IF(B348="","",INDEX({"Ocak","Şubat","Mart","Nisan","Mayıs","Haziran","Temmuz","Ağustos","Eylül","Ekim","Kasım","Aralık"},MONTH(B348)))</f>
        <v/>
      </c>
      <c r="D348" s="2"/>
      <c r="E348" s="5" t="str">
        <f>IFERROR(INDEX('Malzeme Tanımlama'!$B$5:$B$300,MATCH(D348,'Malzeme Tanımlama'!$A$5:$A$300,0)),"")</f>
        <v/>
      </c>
      <c r="F348" s="2"/>
      <c r="G348" s="5"/>
      <c r="H348" s="5" t="str">
        <f>IFERROR(INDEX('Malzeme Tanımlama'!$D$5:$D$300,MATCH(D348,'Malzeme Tanımlama'!$A$5:$A$300,0)),"")</f>
        <v/>
      </c>
      <c r="I348" s="2"/>
      <c r="J348" s="2"/>
      <c r="K348" s="2"/>
    </row>
    <row r="349" spans="1:11" x14ac:dyDescent="0.3">
      <c r="A349" s="5" t="str">
        <f>IF(D349="","",COUNTIF($D$5:D349,"?*"))</f>
        <v/>
      </c>
      <c r="B349" s="6"/>
      <c r="C349" s="5" t="str">
        <f>IF(B349="","",INDEX({"Ocak","Şubat","Mart","Nisan","Mayıs","Haziran","Temmuz","Ağustos","Eylül","Ekim","Kasım","Aralık"},MONTH(B349)))</f>
        <v/>
      </c>
      <c r="D349" s="2"/>
      <c r="E349" s="5" t="str">
        <f>IFERROR(INDEX('Malzeme Tanımlama'!$B$5:$B$300,MATCH(D349,'Malzeme Tanımlama'!$A$5:$A$300,0)),"")</f>
        <v/>
      </c>
      <c r="F349" s="2"/>
      <c r="G349" s="5"/>
      <c r="H349" s="5" t="str">
        <f>IFERROR(INDEX('Malzeme Tanımlama'!$D$5:$D$300,MATCH(D349,'Malzeme Tanımlama'!$A$5:$A$300,0)),"")</f>
        <v/>
      </c>
      <c r="I349" s="2"/>
      <c r="J349" s="2"/>
      <c r="K349" s="2"/>
    </row>
    <row r="350" spans="1:11" x14ac:dyDescent="0.3">
      <c r="A350" s="5" t="str">
        <f>IF(D350="","",COUNTIF($D$5:D350,"?*"))</f>
        <v/>
      </c>
      <c r="B350" s="6"/>
      <c r="C350" s="5" t="str">
        <f>IF(B350="","",INDEX({"Ocak","Şubat","Mart","Nisan","Mayıs","Haziran","Temmuz","Ağustos","Eylül","Ekim","Kasım","Aralık"},MONTH(B350)))</f>
        <v/>
      </c>
      <c r="D350" s="2"/>
      <c r="E350" s="5" t="str">
        <f>IFERROR(INDEX('Malzeme Tanımlama'!$B$5:$B$300,MATCH(D350,'Malzeme Tanımlama'!$A$5:$A$300,0)),"")</f>
        <v/>
      </c>
      <c r="F350" s="2"/>
      <c r="G350" s="5"/>
      <c r="H350" s="5" t="str">
        <f>IFERROR(INDEX('Malzeme Tanımlama'!$D$5:$D$300,MATCH(D350,'Malzeme Tanımlama'!$A$5:$A$300,0)),"")</f>
        <v/>
      </c>
      <c r="I350" s="2"/>
      <c r="J350" s="2"/>
      <c r="K350" s="2"/>
    </row>
    <row r="351" spans="1:11" x14ac:dyDescent="0.3">
      <c r="A351" s="5" t="str">
        <f>IF(D351="","",COUNTIF($D$5:D351,"?*"))</f>
        <v/>
      </c>
      <c r="B351" s="6"/>
      <c r="C351" s="5" t="str">
        <f>IF(B351="","",INDEX({"Ocak","Şubat","Mart","Nisan","Mayıs","Haziran","Temmuz","Ağustos","Eylül","Ekim","Kasım","Aralık"},MONTH(B351)))</f>
        <v/>
      </c>
      <c r="D351" s="2"/>
      <c r="E351" s="5" t="str">
        <f>IFERROR(INDEX('Malzeme Tanımlama'!$B$5:$B$300,MATCH(D351,'Malzeme Tanımlama'!$A$5:$A$300,0)),"")</f>
        <v/>
      </c>
      <c r="F351" s="2"/>
      <c r="G351" s="5"/>
      <c r="H351" s="5" t="str">
        <f>IFERROR(INDEX('Malzeme Tanımlama'!$D$5:$D$300,MATCH(D351,'Malzeme Tanımlama'!$A$5:$A$300,0)),"")</f>
        <v/>
      </c>
      <c r="I351" s="2"/>
      <c r="J351" s="2"/>
      <c r="K351" s="2"/>
    </row>
    <row r="352" spans="1:11" x14ac:dyDescent="0.3">
      <c r="A352" s="5" t="str">
        <f>IF(D352="","",COUNTIF($D$5:D352,"?*"))</f>
        <v/>
      </c>
      <c r="B352" s="6"/>
      <c r="C352" s="5" t="str">
        <f>IF(B352="","",INDEX({"Ocak","Şubat","Mart","Nisan","Mayıs","Haziran","Temmuz","Ağustos","Eylül","Ekim","Kasım","Aralık"},MONTH(B352)))</f>
        <v/>
      </c>
      <c r="D352" s="2"/>
      <c r="E352" s="5" t="str">
        <f>IFERROR(INDEX('Malzeme Tanımlama'!$B$5:$B$300,MATCH(D352,'Malzeme Tanımlama'!$A$5:$A$300,0)),"")</f>
        <v/>
      </c>
      <c r="F352" s="2"/>
      <c r="G352" s="5"/>
      <c r="H352" s="5" t="str">
        <f>IFERROR(INDEX('Malzeme Tanımlama'!$D$5:$D$300,MATCH(D352,'Malzeme Tanımlama'!$A$5:$A$300,0)),"")</f>
        <v/>
      </c>
      <c r="I352" s="2"/>
      <c r="J352" s="2"/>
      <c r="K352" s="2"/>
    </row>
    <row r="353" spans="1:11" x14ac:dyDescent="0.3">
      <c r="A353" s="5" t="str">
        <f>IF(D353="","",COUNTIF($D$5:D353,"?*"))</f>
        <v/>
      </c>
      <c r="B353" s="6"/>
      <c r="C353" s="5" t="str">
        <f>IF(B353="","",INDEX({"Ocak","Şubat","Mart","Nisan","Mayıs","Haziran","Temmuz","Ağustos","Eylül","Ekim","Kasım","Aralık"},MONTH(B353)))</f>
        <v/>
      </c>
      <c r="D353" s="2"/>
      <c r="E353" s="5" t="str">
        <f>IFERROR(INDEX('Malzeme Tanımlama'!$B$5:$B$300,MATCH(D353,'Malzeme Tanımlama'!$A$5:$A$300,0)),"")</f>
        <v/>
      </c>
      <c r="F353" s="2"/>
      <c r="G353" s="5"/>
      <c r="H353" s="5" t="str">
        <f>IFERROR(INDEX('Malzeme Tanımlama'!$D$5:$D$300,MATCH(D353,'Malzeme Tanımlama'!$A$5:$A$300,0)),"")</f>
        <v/>
      </c>
      <c r="I353" s="2"/>
      <c r="J353" s="2"/>
      <c r="K353" s="2"/>
    </row>
    <row r="354" spans="1:11" x14ac:dyDescent="0.3">
      <c r="A354" s="5" t="str">
        <f>IF(D354="","",COUNTIF($D$5:D354,"?*"))</f>
        <v/>
      </c>
      <c r="B354" s="6"/>
      <c r="C354" s="5" t="str">
        <f>IF(B354="","",INDEX({"Ocak","Şubat","Mart","Nisan","Mayıs","Haziran","Temmuz","Ağustos","Eylül","Ekim","Kasım","Aralık"},MONTH(B354)))</f>
        <v/>
      </c>
      <c r="D354" s="2"/>
      <c r="E354" s="5" t="str">
        <f>IFERROR(INDEX('Malzeme Tanımlama'!$B$5:$B$300,MATCH(D354,'Malzeme Tanımlama'!$A$5:$A$300,0)),"")</f>
        <v/>
      </c>
      <c r="F354" s="2"/>
      <c r="G354" s="5"/>
      <c r="H354" s="5" t="str">
        <f>IFERROR(INDEX('Malzeme Tanımlama'!$D$5:$D$300,MATCH(D354,'Malzeme Tanımlama'!$A$5:$A$300,0)),"")</f>
        <v/>
      </c>
      <c r="I354" s="2"/>
      <c r="J354" s="2"/>
      <c r="K354" s="2"/>
    </row>
    <row r="355" spans="1:11" x14ac:dyDescent="0.3">
      <c r="A355" s="5" t="str">
        <f>IF(D355="","",COUNTIF($D$5:D355,"?*"))</f>
        <v/>
      </c>
      <c r="B355" s="6"/>
      <c r="C355" s="5" t="str">
        <f>IF(B355="","",INDEX({"Ocak","Şubat","Mart","Nisan","Mayıs","Haziran","Temmuz","Ağustos","Eylül","Ekim","Kasım","Aralık"},MONTH(B355)))</f>
        <v/>
      </c>
      <c r="D355" s="2"/>
      <c r="E355" s="5" t="str">
        <f>IFERROR(INDEX('Malzeme Tanımlama'!$B$5:$B$300,MATCH(D355,'Malzeme Tanımlama'!$A$5:$A$300,0)),"")</f>
        <v/>
      </c>
      <c r="F355" s="2"/>
      <c r="G355" s="5"/>
      <c r="H355" s="5" t="str">
        <f>IFERROR(INDEX('Malzeme Tanımlama'!$D$5:$D$300,MATCH(D355,'Malzeme Tanımlama'!$A$5:$A$300,0)),"")</f>
        <v/>
      </c>
      <c r="I355" s="2"/>
      <c r="J355" s="2"/>
      <c r="K355" s="2"/>
    </row>
    <row r="356" spans="1:11" x14ac:dyDescent="0.3">
      <c r="A356" s="5" t="str">
        <f>IF(D356="","",COUNTIF($D$5:D356,"?*"))</f>
        <v/>
      </c>
      <c r="B356" s="6"/>
      <c r="C356" s="5" t="str">
        <f>IF(B356="","",INDEX({"Ocak","Şubat","Mart","Nisan","Mayıs","Haziran","Temmuz","Ağustos","Eylül","Ekim","Kasım","Aralık"},MONTH(B356)))</f>
        <v/>
      </c>
      <c r="D356" s="2"/>
      <c r="E356" s="5" t="str">
        <f>IFERROR(INDEX('Malzeme Tanımlama'!$B$5:$B$300,MATCH(D356,'Malzeme Tanımlama'!$A$5:$A$300,0)),"")</f>
        <v/>
      </c>
      <c r="F356" s="2"/>
      <c r="G356" s="5"/>
      <c r="H356" s="5" t="str">
        <f>IFERROR(INDEX('Malzeme Tanımlama'!$D$5:$D$300,MATCH(D356,'Malzeme Tanımlama'!$A$5:$A$300,0)),"")</f>
        <v/>
      </c>
      <c r="I356" s="2"/>
      <c r="J356" s="2"/>
      <c r="K356" s="2"/>
    </row>
    <row r="357" spans="1:11" x14ac:dyDescent="0.3">
      <c r="A357" s="5" t="str">
        <f>IF(D357="","",COUNTIF($D$5:D357,"?*"))</f>
        <v/>
      </c>
      <c r="B357" s="6"/>
      <c r="C357" s="5" t="str">
        <f>IF(B357="","",INDEX({"Ocak","Şubat","Mart","Nisan","Mayıs","Haziran","Temmuz","Ağustos","Eylül","Ekim","Kasım","Aralık"},MONTH(B357)))</f>
        <v/>
      </c>
      <c r="D357" s="2"/>
      <c r="E357" s="5" t="str">
        <f>IFERROR(INDEX('Malzeme Tanımlama'!$B$5:$B$300,MATCH(D357,'Malzeme Tanımlama'!$A$5:$A$300,0)),"")</f>
        <v/>
      </c>
      <c r="F357" s="2"/>
      <c r="G357" s="5"/>
      <c r="H357" s="5" t="str">
        <f>IFERROR(INDEX('Malzeme Tanımlama'!$D$5:$D$300,MATCH(D357,'Malzeme Tanımlama'!$A$5:$A$300,0)),"")</f>
        <v/>
      </c>
      <c r="I357" s="2"/>
      <c r="J357" s="2"/>
      <c r="K357" s="2"/>
    </row>
    <row r="358" spans="1:11" x14ac:dyDescent="0.3">
      <c r="A358" s="5" t="str">
        <f>IF(D358="","",COUNTIF($D$5:D358,"?*"))</f>
        <v/>
      </c>
      <c r="B358" s="6"/>
      <c r="C358" s="5" t="str">
        <f>IF(B358="","",INDEX({"Ocak","Şubat","Mart","Nisan","Mayıs","Haziran","Temmuz","Ağustos","Eylül","Ekim","Kasım","Aralık"},MONTH(B358)))</f>
        <v/>
      </c>
      <c r="D358" s="2"/>
      <c r="E358" s="5" t="str">
        <f>IFERROR(INDEX('Malzeme Tanımlama'!$B$5:$B$300,MATCH(D358,'Malzeme Tanımlama'!$A$5:$A$300,0)),"")</f>
        <v/>
      </c>
      <c r="F358" s="2"/>
      <c r="G358" s="5"/>
      <c r="H358" s="5" t="str">
        <f>IFERROR(INDEX('Malzeme Tanımlama'!$D$5:$D$300,MATCH(D358,'Malzeme Tanımlama'!$A$5:$A$300,0)),"")</f>
        <v/>
      </c>
      <c r="I358" s="2"/>
      <c r="J358" s="2"/>
      <c r="K358" s="2"/>
    </row>
    <row r="359" spans="1:11" x14ac:dyDescent="0.3">
      <c r="A359" s="5" t="str">
        <f>IF(D359="","",COUNTIF($D$5:D359,"?*"))</f>
        <v/>
      </c>
      <c r="B359" s="6"/>
      <c r="C359" s="5" t="str">
        <f>IF(B359="","",INDEX({"Ocak","Şubat","Mart","Nisan","Mayıs","Haziran","Temmuz","Ağustos","Eylül","Ekim","Kasım","Aralık"},MONTH(B359)))</f>
        <v/>
      </c>
      <c r="D359" s="2"/>
      <c r="E359" s="5" t="str">
        <f>IFERROR(INDEX('Malzeme Tanımlama'!$B$5:$B$300,MATCH(D359,'Malzeme Tanımlama'!$A$5:$A$300,0)),"")</f>
        <v/>
      </c>
      <c r="F359" s="2"/>
      <c r="G359" s="5"/>
      <c r="H359" s="5" t="str">
        <f>IFERROR(INDEX('Malzeme Tanımlama'!$D$5:$D$300,MATCH(D359,'Malzeme Tanımlama'!$A$5:$A$300,0)),"")</f>
        <v/>
      </c>
      <c r="I359" s="2"/>
      <c r="J359" s="2"/>
      <c r="K359" s="2"/>
    </row>
    <row r="360" spans="1:11" x14ac:dyDescent="0.3">
      <c r="A360" s="5" t="str">
        <f>IF(D360="","",COUNTIF($D$5:D360,"?*"))</f>
        <v/>
      </c>
      <c r="B360" s="6"/>
      <c r="C360" s="5" t="str">
        <f>IF(B360="","",INDEX({"Ocak","Şubat","Mart","Nisan","Mayıs","Haziran","Temmuz","Ağustos","Eylül","Ekim","Kasım","Aralık"},MONTH(B360)))</f>
        <v/>
      </c>
      <c r="D360" s="2"/>
      <c r="E360" s="5" t="str">
        <f>IFERROR(INDEX('Malzeme Tanımlama'!$B$5:$B$300,MATCH(D360,'Malzeme Tanımlama'!$A$5:$A$300,0)),"")</f>
        <v/>
      </c>
      <c r="F360" s="2"/>
      <c r="G360" s="5"/>
      <c r="H360" s="5" t="str">
        <f>IFERROR(INDEX('Malzeme Tanımlama'!$D$5:$D$300,MATCH(D360,'Malzeme Tanımlama'!$A$5:$A$300,0)),"")</f>
        <v/>
      </c>
      <c r="I360" s="2"/>
      <c r="J360" s="2"/>
      <c r="K360" s="2"/>
    </row>
    <row r="361" spans="1:11" x14ac:dyDescent="0.3">
      <c r="A361" s="5" t="str">
        <f>IF(D361="","",COUNTIF($D$5:D361,"?*"))</f>
        <v/>
      </c>
      <c r="B361" s="6"/>
      <c r="C361" s="5" t="str">
        <f>IF(B361="","",INDEX({"Ocak","Şubat","Mart","Nisan","Mayıs","Haziran","Temmuz","Ağustos","Eylül","Ekim","Kasım","Aralık"},MONTH(B361)))</f>
        <v/>
      </c>
      <c r="D361" s="2"/>
      <c r="E361" s="5" t="str">
        <f>IFERROR(INDEX('Malzeme Tanımlama'!$B$5:$B$300,MATCH(D361,'Malzeme Tanımlama'!$A$5:$A$300,0)),"")</f>
        <v/>
      </c>
      <c r="F361" s="2"/>
      <c r="G361" s="5"/>
      <c r="H361" s="5" t="str">
        <f>IFERROR(INDEX('Malzeme Tanımlama'!$D$5:$D$300,MATCH(D361,'Malzeme Tanımlama'!$A$5:$A$300,0)),"")</f>
        <v/>
      </c>
      <c r="I361" s="2"/>
      <c r="J361" s="2"/>
      <c r="K361" s="2"/>
    </row>
    <row r="362" spans="1:11" x14ac:dyDescent="0.3">
      <c r="A362" s="5" t="str">
        <f>IF(D362="","",COUNTIF($D$5:D362,"?*"))</f>
        <v/>
      </c>
      <c r="B362" s="6"/>
      <c r="C362" s="5" t="str">
        <f>IF(B362="","",INDEX({"Ocak","Şubat","Mart","Nisan","Mayıs","Haziran","Temmuz","Ağustos","Eylül","Ekim","Kasım","Aralık"},MONTH(B362)))</f>
        <v/>
      </c>
      <c r="D362" s="2"/>
      <c r="E362" s="5" t="str">
        <f>IFERROR(INDEX('Malzeme Tanımlama'!$B$5:$B$300,MATCH(D362,'Malzeme Tanımlama'!$A$5:$A$300,0)),"")</f>
        <v/>
      </c>
      <c r="F362" s="2"/>
      <c r="G362" s="5"/>
      <c r="H362" s="5" t="str">
        <f>IFERROR(INDEX('Malzeme Tanımlama'!$D$5:$D$300,MATCH(D362,'Malzeme Tanımlama'!$A$5:$A$300,0)),"")</f>
        <v/>
      </c>
      <c r="I362" s="2"/>
      <c r="J362" s="2"/>
      <c r="K362" s="2"/>
    </row>
    <row r="363" spans="1:11" x14ac:dyDescent="0.3">
      <c r="A363" s="5" t="str">
        <f>IF(D363="","",COUNTIF($D$5:D363,"?*"))</f>
        <v/>
      </c>
      <c r="B363" s="6"/>
      <c r="C363" s="5" t="str">
        <f>IF(B363="","",INDEX({"Ocak","Şubat","Mart","Nisan","Mayıs","Haziran","Temmuz","Ağustos","Eylül","Ekim","Kasım","Aralık"},MONTH(B363)))</f>
        <v/>
      </c>
      <c r="D363" s="2"/>
      <c r="E363" s="5" t="str">
        <f>IFERROR(INDEX('Malzeme Tanımlama'!$B$5:$B$300,MATCH(D363,'Malzeme Tanımlama'!$A$5:$A$300,0)),"")</f>
        <v/>
      </c>
      <c r="F363" s="2"/>
      <c r="G363" s="5"/>
      <c r="H363" s="5" t="str">
        <f>IFERROR(INDEX('Malzeme Tanımlama'!$D$5:$D$300,MATCH(D363,'Malzeme Tanımlama'!$A$5:$A$300,0)),"")</f>
        <v/>
      </c>
      <c r="I363" s="2"/>
      <c r="J363" s="2"/>
      <c r="K363" s="2"/>
    </row>
    <row r="364" spans="1:11" x14ac:dyDescent="0.3">
      <c r="A364" s="5" t="str">
        <f>IF(D364="","",COUNTIF($D$5:D364,"?*"))</f>
        <v/>
      </c>
      <c r="B364" s="6"/>
      <c r="C364" s="5" t="str">
        <f>IF(B364="","",INDEX({"Ocak","Şubat","Mart","Nisan","Mayıs","Haziran","Temmuz","Ağustos","Eylül","Ekim","Kasım","Aralık"},MONTH(B364)))</f>
        <v/>
      </c>
      <c r="D364" s="2"/>
      <c r="E364" s="5" t="str">
        <f>IFERROR(INDEX('Malzeme Tanımlama'!$B$5:$B$300,MATCH(D364,'Malzeme Tanımlama'!$A$5:$A$300,0)),"")</f>
        <v/>
      </c>
      <c r="F364" s="2"/>
      <c r="G364" s="5"/>
      <c r="H364" s="5" t="str">
        <f>IFERROR(INDEX('Malzeme Tanımlama'!$D$5:$D$300,MATCH(D364,'Malzeme Tanımlama'!$A$5:$A$300,0)),"")</f>
        <v/>
      </c>
      <c r="I364" s="2"/>
      <c r="J364" s="2"/>
      <c r="K364" s="2"/>
    </row>
    <row r="365" spans="1:11" x14ac:dyDescent="0.3">
      <c r="A365" s="5" t="str">
        <f>IF(D365="","",COUNTIF($D$5:D365,"?*"))</f>
        <v/>
      </c>
      <c r="B365" s="6"/>
      <c r="C365" s="5" t="str">
        <f>IF(B365="","",INDEX({"Ocak","Şubat","Mart","Nisan","Mayıs","Haziran","Temmuz","Ağustos","Eylül","Ekim","Kasım","Aralık"},MONTH(B365)))</f>
        <v/>
      </c>
      <c r="D365" s="2"/>
      <c r="E365" s="5" t="str">
        <f>IFERROR(INDEX('Malzeme Tanımlama'!$B$5:$B$300,MATCH(D365,'Malzeme Tanımlama'!$A$5:$A$300,0)),"")</f>
        <v/>
      </c>
      <c r="F365" s="2"/>
      <c r="G365" s="5"/>
      <c r="H365" s="5" t="str">
        <f>IFERROR(INDEX('Malzeme Tanımlama'!$D$5:$D$300,MATCH(D365,'Malzeme Tanımlama'!$A$5:$A$300,0)),"")</f>
        <v/>
      </c>
      <c r="I365" s="2"/>
      <c r="J365" s="2"/>
      <c r="K365" s="2"/>
    </row>
    <row r="366" spans="1:11" x14ac:dyDescent="0.3">
      <c r="A366" s="5" t="str">
        <f>IF(D366="","",COUNTIF($D$5:D366,"?*"))</f>
        <v/>
      </c>
      <c r="B366" s="6"/>
      <c r="C366" s="5" t="str">
        <f>IF(B366="","",INDEX({"Ocak","Şubat","Mart","Nisan","Mayıs","Haziran","Temmuz","Ağustos","Eylül","Ekim","Kasım","Aralık"},MONTH(B366)))</f>
        <v/>
      </c>
      <c r="D366" s="2"/>
      <c r="E366" s="5" t="str">
        <f>IFERROR(INDEX('Malzeme Tanımlama'!$B$5:$B$300,MATCH(D366,'Malzeme Tanımlama'!$A$5:$A$300,0)),"")</f>
        <v/>
      </c>
      <c r="F366" s="2"/>
      <c r="G366" s="5"/>
      <c r="H366" s="5" t="str">
        <f>IFERROR(INDEX('Malzeme Tanımlama'!$D$5:$D$300,MATCH(D366,'Malzeme Tanımlama'!$A$5:$A$300,0)),"")</f>
        <v/>
      </c>
      <c r="I366" s="2"/>
      <c r="J366" s="2"/>
      <c r="K366" s="2"/>
    </row>
    <row r="367" spans="1:11" x14ac:dyDescent="0.3">
      <c r="A367" s="5" t="str">
        <f>IF(D367="","",COUNTIF($D$5:D367,"?*"))</f>
        <v/>
      </c>
      <c r="B367" s="6"/>
      <c r="C367" s="5" t="str">
        <f>IF(B367="","",INDEX({"Ocak","Şubat","Mart","Nisan","Mayıs","Haziran","Temmuz","Ağustos","Eylül","Ekim","Kasım","Aralık"},MONTH(B367)))</f>
        <v/>
      </c>
      <c r="D367" s="2"/>
      <c r="E367" s="5" t="str">
        <f>IFERROR(INDEX('Malzeme Tanımlama'!$B$5:$B$300,MATCH(D367,'Malzeme Tanımlama'!$A$5:$A$300,0)),"")</f>
        <v/>
      </c>
      <c r="F367" s="2"/>
      <c r="G367" s="5"/>
      <c r="H367" s="5" t="str">
        <f>IFERROR(INDEX('Malzeme Tanımlama'!$D$5:$D$300,MATCH(D367,'Malzeme Tanımlama'!$A$5:$A$300,0)),"")</f>
        <v/>
      </c>
      <c r="I367" s="2"/>
      <c r="J367" s="2"/>
      <c r="K367" s="2"/>
    </row>
    <row r="368" spans="1:11" x14ac:dyDescent="0.3">
      <c r="A368" s="5" t="str">
        <f>IF(D368="","",COUNTIF($D$5:D368,"?*"))</f>
        <v/>
      </c>
      <c r="B368" s="6"/>
      <c r="C368" s="5" t="str">
        <f>IF(B368="","",INDEX({"Ocak","Şubat","Mart","Nisan","Mayıs","Haziran","Temmuz","Ağustos","Eylül","Ekim","Kasım","Aralık"},MONTH(B368)))</f>
        <v/>
      </c>
      <c r="D368" s="2"/>
      <c r="E368" s="5" t="str">
        <f>IFERROR(INDEX('Malzeme Tanımlama'!$B$5:$B$300,MATCH(D368,'Malzeme Tanımlama'!$A$5:$A$300,0)),"")</f>
        <v/>
      </c>
      <c r="F368" s="2"/>
      <c r="G368" s="5"/>
      <c r="H368" s="5" t="str">
        <f>IFERROR(INDEX('Malzeme Tanımlama'!$D$5:$D$300,MATCH(D368,'Malzeme Tanımlama'!$A$5:$A$300,0)),"")</f>
        <v/>
      </c>
      <c r="I368" s="2"/>
      <c r="J368" s="2"/>
      <c r="K368" s="2"/>
    </row>
    <row r="369" spans="1:11" x14ac:dyDescent="0.3">
      <c r="A369" s="5" t="str">
        <f>IF(D369="","",COUNTIF($D$5:D369,"?*"))</f>
        <v/>
      </c>
      <c r="B369" s="6"/>
      <c r="C369" s="5" t="str">
        <f>IF(B369="","",INDEX({"Ocak","Şubat","Mart","Nisan","Mayıs","Haziran","Temmuz","Ağustos","Eylül","Ekim","Kasım","Aralık"},MONTH(B369)))</f>
        <v/>
      </c>
      <c r="D369" s="2"/>
      <c r="E369" s="5" t="str">
        <f>IFERROR(INDEX('Malzeme Tanımlama'!$B$5:$B$300,MATCH(D369,'Malzeme Tanımlama'!$A$5:$A$300,0)),"")</f>
        <v/>
      </c>
      <c r="F369" s="2"/>
      <c r="G369" s="5"/>
      <c r="H369" s="5" t="str">
        <f>IFERROR(INDEX('Malzeme Tanımlama'!$D$5:$D$300,MATCH(D369,'Malzeme Tanımlama'!$A$5:$A$300,0)),"")</f>
        <v/>
      </c>
      <c r="I369" s="2"/>
      <c r="J369" s="2"/>
      <c r="K369" s="2"/>
    </row>
    <row r="370" spans="1:11" x14ac:dyDescent="0.3">
      <c r="A370" s="5" t="str">
        <f>IF(D370="","",COUNTIF($D$5:D370,"?*"))</f>
        <v/>
      </c>
      <c r="B370" s="6"/>
      <c r="C370" s="5" t="str">
        <f>IF(B370="","",INDEX({"Ocak","Şubat","Mart","Nisan","Mayıs","Haziran","Temmuz","Ağustos","Eylül","Ekim","Kasım","Aralık"},MONTH(B370)))</f>
        <v/>
      </c>
      <c r="D370" s="2"/>
      <c r="E370" s="5" t="str">
        <f>IFERROR(INDEX('Malzeme Tanımlama'!$B$5:$B$300,MATCH(D370,'Malzeme Tanımlama'!$A$5:$A$300,0)),"")</f>
        <v/>
      </c>
      <c r="F370" s="2"/>
      <c r="G370" s="5"/>
      <c r="H370" s="5" t="str">
        <f>IFERROR(INDEX('Malzeme Tanımlama'!$D$5:$D$300,MATCH(D370,'Malzeme Tanımlama'!$A$5:$A$300,0)),"")</f>
        <v/>
      </c>
      <c r="I370" s="2"/>
      <c r="J370" s="2"/>
      <c r="K370" s="2"/>
    </row>
    <row r="371" spans="1:11" x14ac:dyDescent="0.3">
      <c r="A371" s="5" t="str">
        <f>IF(D371="","",COUNTIF($D$5:D371,"?*"))</f>
        <v/>
      </c>
      <c r="B371" s="6"/>
      <c r="C371" s="5" t="str">
        <f>IF(B371="","",INDEX({"Ocak","Şubat","Mart","Nisan","Mayıs","Haziran","Temmuz","Ağustos","Eylül","Ekim","Kasım","Aralık"},MONTH(B371)))</f>
        <v/>
      </c>
      <c r="D371" s="2"/>
      <c r="E371" s="5" t="str">
        <f>IFERROR(INDEX('Malzeme Tanımlama'!$B$5:$B$300,MATCH(D371,'Malzeme Tanımlama'!$A$5:$A$300,0)),"")</f>
        <v/>
      </c>
      <c r="F371" s="2"/>
      <c r="G371" s="5"/>
      <c r="H371" s="5" t="str">
        <f>IFERROR(INDEX('Malzeme Tanımlama'!$D$5:$D$300,MATCH(D371,'Malzeme Tanımlama'!$A$5:$A$300,0)),"")</f>
        <v/>
      </c>
      <c r="I371" s="2"/>
      <c r="J371" s="2"/>
      <c r="K371" s="2"/>
    </row>
    <row r="372" spans="1:11" x14ac:dyDescent="0.3">
      <c r="A372" s="5" t="str">
        <f>IF(D372="","",COUNTIF($D$5:D372,"?*"))</f>
        <v/>
      </c>
      <c r="B372" s="6"/>
      <c r="C372" s="5" t="str">
        <f>IF(B372="","",INDEX({"Ocak","Şubat","Mart","Nisan","Mayıs","Haziran","Temmuz","Ağustos","Eylül","Ekim","Kasım","Aralık"},MONTH(B372)))</f>
        <v/>
      </c>
      <c r="D372" s="2"/>
      <c r="E372" s="5" t="str">
        <f>IFERROR(INDEX('Malzeme Tanımlama'!$B$5:$B$300,MATCH(D372,'Malzeme Tanımlama'!$A$5:$A$300,0)),"")</f>
        <v/>
      </c>
      <c r="F372" s="2"/>
      <c r="G372" s="5"/>
      <c r="H372" s="5" t="str">
        <f>IFERROR(INDEX('Malzeme Tanımlama'!$D$5:$D$300,MATCH(D372,'Malzeme Tanımlama'!$A$5:$A$300,0)),"")</f>
        <v/>
      </c>
      <c r="I372" s="2"/>
      <c r="J372" s="2"/>
      <c r="K372" s="2"/>
    </row>
    <row r="373" spans="1:11" x14ac:dyDescent="0.3">
      <c r="A373" s="5" t="str">
        <f>IF(D373="","",COUNTIF($D$5:D373,"?*"))</f>
        <v/>
      </c>
      <c r="B373" s="6"/>
      <c r="C373" s="5" t="str">
        <f>IF(B373="","",INDEX({"Ocak","Şubat","Mart","Nisan","Mayıs","Haziran","Temmuz","Ağustos","Eylül","Ekim","Kasım","Aralık"},MONTH(B373)))</f>
        <v/>
      </c>
      <c r="D373" s="2"/>
      <c r="E373" s="5" t="str">
        <f>IFERROR(INDEX('Malzeme Tanımlama'!$B$5:$B$300,MATCH(D373,'Malzeme Tanımlama'!$A$5:$A$300,0)),"")</f>
        <v/>
      </c>
      <c r="F373" s="2"/>
      <c r="G373" s="5"/>
      <c r="H373" s="5" t="str">
        <f>IFERROR(INDEX('Malzeme Tanımlama'!$D$5:$D$300,MATCH(D373,'Malzeme Tanımlama'!$A$5:$A$300,0)),"")</f>
        <v/>
      </c>
      <c r="I373" s="2"/>
      <c r="J373" s="2"/>
      <c r="K373" s="2"/>
    </row>
    <row r="374" spans="1:11" x14ac:dyDescent="0.3">
      <c r="A374" s="5" t="str">
        <f>IF(D374="","",COUNTIF($D$5:D374,"?*"))</f>
        <v/>
      </c>
      <c r="B374" s="6"/>
      <c r="C374" s="5" t="str">
        <f>IF(B374="","",INDEX({"Ocak","Şubat","Mart","Nisan","Mayıs","Haziran","Temmuz","Ağustos","Eylül","Ekim","Kasım","Aralık"},MONTH(B374)))</f>
        <v/>
      </c>
      <c r="D374" s="2"/>
      <c r="E374" s="5" t="str">
        <f>IFERROR(INDEX('Malzeme Tanımlama'!$B$5:$B$300,MATCH(D374,'Malzeme Tanımlama'!$A$5:$A$300,0)),"")</f>
        <v/>
      </c>
      <c r="F374" s="2"/>
      <c r="G374" s="5"/>
      <c r="H374" s="5" t="str">
        <f>IFERROR(INDEX('Malzeme Tanımlama'!$D$5:$D$300,MATCH(D374,'Malzeme Tanımlama'!$A$5:$A$300,0)),"")</f>
        <v/>
      </c>
      <c r="I374" s="2"/>
      <c r="J374" s="2"/>
      <c r="K374" s="2"/>
    </row>
    <row r="375" spans="1:11" x14ac:dyDescent="0.3">
      <c r="A375" s="5" t="str">
        <f>IF(D375="","",COUNTIF($D$5:D375,"?*"))</f>
        <v/>
      </c>
      <c r="B375" s="6"/>
      <c r="C375" s="5" t="str">
        <f>IF(B375="","",INDEX({"Ocak","Şubat","Mart","Nisan","Mayıs","Haziran","Temmuz","Ağustos","Eylül","Ekim","Kasım","Aralık"},MONTH(B375)))</f>
        <v/>
      </c>
      <c r="D375" s="2"/>
      <c r="E375" s="5" t="str">
        <f>IFERROR(INDEX('Malzeme Tanımlama'!$B$5:$B$300,MATCH(D375,'Malzeme Tanımlama'!$A$5:$A$300,0)),"")</f>
        <v/>
      </c>
      <c r="F375" s="2"/>
      <c r="G375" s="5"/>
      <c r="H375" s="5" t="str">
        <f>IFERROR(INDEX('Malzeme Tanımlama'!$D$5:$D$300,MATCH(D375,'Malzeme Tanımlama'!$A$5:$A$300,0)),"")</f>
        <v/>
      </c>
      <c r="I375" s="2"/>
      <c r="J375" s="2"/>
      <c r="K375" s="2"/>
    </row>
    <row r="376" spans="1:11" x14ac:dyDescent="0.3">
      <c r="A376" s="5" t="str">
        <f>IF(D376="","",COUNTIF($D$5:D376,"?*"))</f>
        <v/>
      </c>
      <c r="B376" s="6"/>
      <c r="C376" s="5" t="str">
        <f>IF(B376="","",INDEX({"Ocak","Şubat","Mart","Nisan","Mayıs","Haziran","Temmuz","Ağustos","Eylül","Ekim","Kasım","Aralık"},MONTH(B376)))</f>
        <v/>
      </c>
      <c r="D376" s="2"/>
      <c r="E376" s="5" t="str">
        <f>IFERROR(INDEX('Malzeme Tanımlama'!$B$5:$B$300,MATCH(D376,'Malzeme Tanımlama'!$A$5:$A$300,0)),"")</f>
        <v/>
      </c>
      <c r="F376" s="2"/>
      <c r="G376" s="5"/>
      <c r="H376" s="5" t="str">
        <f>IFERROR(INDEX('Malzeme Tanımlama'!$D$5:$D$300,MATCH(D376,'Malzeme Tanımlama'!$A$5:$A$300,0)),"")</f>
        <v/>
      </c>
      <c r="I376" s="2"/>
      <c r="J376" s="2"/>
      <c r="K376" s="2"/>
    </row>
    <row r="377" spans="1:11" x14ac:dyDescent="0.3">
      <c r="A377" s="5" t="str">
        <f>IF(D377="","",COUNTIF($D$5:D377,"?*"))</f>
        <v/>
      </c>
      <c r="B377" s="6"/>
      <c r="C377" s="5" t="str">
        <f>IF(B377="","",INDEX({"Ocak","Şubat","Mart","Nisan","Mayıs","Haziran","Temmuz","Ağustos","Eylül","Ekim","Kasım","Aralık"},MONTH(B377)))</f>
        <v/>
      </c>
      <c r="D377" s="2"/>
      <c r="E377" s="5" t="str">
        <f>IFERROR(INDEX('Malzeme Tanımlama'!$B$5:$B$300,MATCH(D377,'Malzeme Tanımlama'!$A$5:$A$300,0)),"")</f>
        <v/>
      </c>
      <c r="F377" s="2"/>
      <c r="G377" s="5"/>
      <c r="H377" s="5" t="str">
        <f>IFERROR(INDEX('Malzeme Tanımlama'!$D$5:$D$300,MATCH(D377,'Malzeme Tanımlama'!$A$5:$A$300,0)),"")</f>
        <v/>
      </c>
      <c r="I377" s="2"/>
      <c r="J377" s="2"/>
      <c r="K377" s="2"/>
    </row>
    <row r="378" spans="1:11" x14ac:dyDescent="0.3">
      <c r="A378" s="5" t="str">
        <f>IF(D378="","",COUNTIF($D$5:D378,"?*"))</f>
        <v/>
      </c>
      <c r="B378" s="6"/>
      <c r="C378" s="5" t="str">
        <f>IF(B378="","",INDEX({"Ocak","Şubat","Mart","Nisan","Mayıs","Haziran","Temmuz","Ağustos","Eylül","Ekim","Kasım","Aralık"},MONTH(B378)))</f>
        <v/>
      </c>
      <c r="D378" s="2"/>
      <c r="E378" s="5" t="str">
        <f>IFERROR(INDEX('Malzeme Tanımlama'!$B$5:$B$300,MATCH(D378,'Malzeme Tanımlama'!$A$5:$A$300,0)),"")</f>
        <v/>
      </c>
      <c r="F378" s="2"/>
      <c r="G378" s="5"/>
      <c r="H378" s="5" t="str">
        <f>IFERROR(INDEX('Malzeme Tanımlama'!$D$5:$D$300,MATCH(D378,'Malzeme Tanımlama'!$A$5:$A$300,0)),"")</f>
        <v/>
      </c>
      <c r="I378" s="2"/>
      <c r="J378" s="2"/>
      <c r="K378" s="2"/>
    </row>
    <row r="379" spans="1:11" x14ac:dyDescent="0.3">
      <c r="A379" s="5" t="str">
        <f>IF(D379="","",COUNTIF($D$5:D379,"?*"))</f>
        <v/>
      </c>
      <c r="B379" s="6"/>
      <c r="C379" s="5" t="str">
        <f>IF(B379="","",INDEX({"Ocak","Şubat","Mart","Nisan","Mayıs","Haziran","Temmuz","Ağustos","Eylül","Ekim","Kasım","Aralık"},MONTH(B379)))</f>
        <v/>
      </c>
      <c r="D379" s="2"/>
      <c r="E379" s="5" t="str">
        <f>IFERROR(INDEX('Malzeme Tanımlama'!$B$5:$B$300,MATCH(D379,'Malzeme Tanımlama'!$A$5:$A$300,0)),"")</f>
        <v/>
      </c>
      <c r="F379" s="2"/>
      <c r="G379" s="5"/>
      <c r="H379" s="5" t="str">
        <f>IFERROR(INDEX('Malzeme Tanımlama'!$D$5:$D$300,MATCH(D379,'Malzeme Tanımlama'!$A$5:$A$300,0)),"")</f>
        <v/>
      </c>
      <c r="I379" s="2"/>
      <c r="J379" s="2"/>
      <c r="K379" s="2"/>
    </row>
    <row r="380" spans="1:11" x14ac:dyDescent="0.3">
      <c r="A380" s="5" t="str">
        <f>IF(D380="","",COUNTIF($D$5:D380,"?*"))</f>
        <v/>
      </c>
      <c r="B380" s="6"/>
      <c r="C380" s="5" t="str">
        <f>IF(B380="","",INDEX({"Ocak","Şubat","Mart","Nisan","Mayıs","Haziran","Temmuz","Ağustos","Eylül","Ekim","Kasım","Aralık"},MONTH(B380)))</f>
        <v/>
      </c>
      <c r="D380" s="2"/>
      <c r="E380" s="5" t="str">
        <f>IFERROR(INDEX('Malzeme Tanımlama'!$B$5:$B$300,MATCH(D380,'Malzeme Tanımlama'!$A$5:$A$300,0)),"")</f>
        <v/>
      </c>
      <c r="F380" s="2"/>
      <c r="G380" s="5"/>
      <c r="H380" s="5" t="str">
        <f>IFERROR(INDEX('Malzeme Tanımlama'!$D$5:$D$300,MATCH(D380,'Malzeme Tanımlama'!$A$5:$A$300,0)),"")</f>
        <v/>
      </c>
      <c r="I380" s="2"/>
      <c r="J380" s="2"/>
      <c r="K380" s="2"/>
    </row>
    <row r="381" spans="1:11" x14ac:dyDescent="0.3">
      <c r="A381" s="5" t="str">
        <f>IF(D381="","",COUNTIF($D$5:D381,"?*"))</f>
        <v/>
      </c>
      <c r="B381" s="6"/>
      <c r="C381" s="5" t="str">
        <f>IF(B381="","",INDEX({"Ocak","Şubat","Mart","Nisan","Mayıs","Haziran","Temmuz","Ağustos","Eylül","Ekim","Kasım","Aralık"},MONTH(B381)))</f>
        <v/>
      </c>
      <c r="D381" s="2"/>
      <c r="E381" s="5" t="str">
        <f>IFERROR(INDEX('Malzeme Tanımlama'!$B$5:$B$300,MATCH(D381,'Malzeme Tanımlama'!$A$5:$A$300,0)),"")</f>
        <v/>
      </c>
      <c r="F381" s="2"/>
      <c r="G381" s="5"/>
      <c r="H381" s="5" t="str">
        <f>IFERROR(INDEX('Malzeme Tanımlama'!$D$5:$D$300,MATCH(D381,'Malzeme Tanımlama'!$A$5:$A$300,0)),"")</f>
        <v/>
      </c>
      <c r="I381" s="2"/>
      <c r="J381" s="2"/>
      <c r="K381" s="2"/>
    </row>
    <row r="382" spans="1:11" x14ac:dyDescent="0.3">
      <c r="A382" s="5" t="str">
        <f>IF(D382="","",COUNTIF($D$5:D382,"?*"))</f>
        <v/>
      </c>
      <c r="B382" s="6"/>
      <c r="C382" s="5" t="str">
        <f>IF(B382="","",INDEX({"Ocak","Şubat","Mart","Nisan","Mayıs","Haziran","Temmuz","Ağustos","Eylül","Ekim","Kasım","Aralık"},MONTH(B382)))</f>
        <v/>
      </c>
      <c r="D382" s="2"/>
      <c r="E382" s="5" t="str">
        <f>IFERROR(INDEX('Malzeme Tanımlama'!$B$5:$B$300,MATCH(D382,'Malzeme Tanımlama'!$A$5:$A$300,0)),"")</f>
        <v/>
      </c>
      <c r="F382" s="2"/>
      <c r="G382" s="5"/>
      <c r="H382" s="5" t="str">
        <f>IFERROR(INDEX('Malzeme Tanımlama'!$D$5:$D$300,MATCH(D382,'Malzeme Tanımlama'!$A$5:$A$300,0)),"")</f>
        <v/>
      </c>
      <c r="I382" s="2"/>
      <c r="J382" s="2"/>
      <c r="K382" s="2"/>
    </row>
    <row r="383" spans="1:11" x14ac:dyDescent="0.3">
      <c r="A383" s="5" t="str">
        <f>IF(D383="","",COUNTIF($D$5:D383,"?*"))</f>
        <v/>
      </c>
      <c r="B383" s="6"/>
      <c r="C383" s="5" t="str">
        <f>IF(B383="","",INDEX({"Ocak","Şubat","Mart","Nisan","Mayıs","Haziran","Temmuz","Ağustos","Eylül","Ekim","Kasım","Aralık"},MONTH(B383)))</f>
        <v/>
      </c>
      <c r="D383" s="2"/>
      <c r="E383" s="5" t="str">
        <f>IFERROR(INDEX('Malzeme Tanımlama'!$B$5:$B$300,MATCH(D383,'Malzeme Tanımlama'!$A$5:$A$300,0)),"")</f>
        <v/>
      </c>
      <c r="F383" s="2"/>
      <c r="G383" s="5"/>
      <c r="H383" s="5" t="str">
        <f>IFERROR(INDEX('Malzeme Tanımlama'!$D$5:$D$300,MATCH(D383,'Malzeme Tanımlama'!$A$5:$A$300,0)),"")</f>
        <v/>
      </c>
      <c r="I383" s="2"/>
      <c r="J383" s="2"/>
      <c r="K383" s="2"/>
    </row>
    <row r="384" spans="1:11" x14ac:dyDescent="0.3">
      <c r="A384" s="5" t="str">
        <f>IF(D384="","",COUNTIF($D$5:D384,"?*"))</f>
        <v/>
      </c>
      <c r="B384" s="6"/>
      <c r="C384" s="5" t="str">
        <f>IF(B384="","",INDEX({"Ocak","Şubat","Mart","Nisan","Mayıs","Haziran","Temmuz","Ağustos","Eylül","Ekim","Kasım","Aralık"},MONTH(B384)))</f>
        <v/>
      </c>
      <c r="D384" s="2"/>
      <c r="E384" s="5" t="str">
        <f>IFERROR(INDEX('Malzeme Tanımlama'!$B$5:$B$300,MATCH(D384,'Malzeme Tanımlama'!$A$5:$A$300,0)),"")</f>
        <v/>
      </c>
      <c r="F384" s="2"/>
      <c r="G384" s="5"/>
      <c r="H384" s="5" t="str">
        <f>IFERROR(INDEX('Malzeme Tanımlama'!$D$5:$D$300,MATCH(D384,'Malzeme Tanımlama'!$A$5:$A$300,0)),"")</f>
        <v/>
      </c>
      <c r="I384" s="2"/>
      <c r="J384" s="2"/>
      <c r="K384" s="2"/>
    </row>
    <row r="385" spans="1:11" x14ac:dyDescent="0.3">
      <c r="A385" s="5" t="str">
        <f>IF(D385="","",COUNTIF($D$5:D385,"?*"))</f>
        <v/>
      </c>
      <c r="B385" s="6"/>
      <c r="C385" s="5" t="str">
        <f>IF(B385="","",INDEX({"Ocak","Şubat","Mart","Nisan","Mayıs","Haziran","Temmuz","Ağustos","Eylül","Ekim","Kasım","Aralık"},MONTH(B385)))</f>
        <v/>
      </c>
      <c r="D385" s="2"/>
      <c r="E385" s="5" t="str">
        <f>IFERROR(INDEX('Malzeme Tanımlama'!$B$5:$B$300,MATCH(D385,'Malzeme Tanımlama'!$A$5:$A$300,0)),"")</f>
        <v/>
      </c>
      <c r="F385" s="2"/>
      <c r="G385" s="5"/>
      <c r="H385" s="5" t="str">
        <f>IFERROR(INDEX('Malzeme Tanımlama'!$D$5:$D$300,MATCH(D385,'Malzeme Tanımlama'!$A$5:$A$300,0)),"")</f>
        <v/>
      </c>
      <c r="I385" s="2"/>
      <c r="J385" s="2"/>
      <c r="K385" s="2"/>
    </row>
    <row r="386" spans="1:11" x14ac:dyDescent="0.3">
      <c r="A386" s="5" t="str">
        <f>IF(D386="","",COUNTIF($D$5:D386,"?*"))</f>
        <v/>
      </c>
      <c r="B386" s="6"/>
      <c r="C386" s="5" t="str">
        <f>IF(B386="","",INDEX({"Ocak","Şubat","Mart","Nisan","Mayıs","Haziran","Temmuz","Ağustos","Eylül","Ekim","Kasım","Aralık"},MONTH(B386)))</f>
        <v/>
      </c>
      <c r="D386" s="2"/>
      <c r="E386" s="5" t="str">
        <f>IFERROR(INDEX('Malzeme Tanımlama'!$B$5:$B$300,MATCH(D386,'Malzeme Tanımlama'!$A$5:$A$300,0)),"")</f>
        <v/>
      </c>
      <c r="F386" s="2"/>
      <c r="G386" s="5"/>
      <c r="H386" s="5" t="str">
        <f>IFERROR(INDEX('Malzeme Tanımlama'!$D$5:$D$300,MATCH(D386,'Malzeme Tanımlama'!$A$5:$A$300,0)),"")</f>
        <v/>
      </c>
      <c r="I386" s="2"/>
      <c r="J386" s="2"/>
      <c r="K386" s="2"/>
    </row>
    <row r="387" spans="1:11" x14ac:dyDescent="0.3">
      <c r="A387" s="5" t="str">
        <f>IF(D387="","",COUNTIF($D$5:D387,"?*"))</f>
        <v/>
      </c>
      <c r="B387" s="6"/>
      <c r="C387" s="5" t="str">
        <f>IF(B387="","",INDEX({"Ocak","Şubat","Mart","Nisan","Mayıs","Haziran","Temmuz","Ağustos","Eylül","Ekim","Kasım","Aralık"},MONTH(B387)))</f>
        <v/>
      </c>
      <c r="D387" s="2"/>
      <c r="E387" s="5" t="str">
        <f>IFERROR(INDEX('Malzeme Tanımlama'!$B$5:$B$300,MATCH(D387,'Malzeme Tanımlama'!$A$5:$A$300,0)),"")</f>
        <v/>
      </c>
      <c r="F387" s="2"/>
      <c r="G387" s="5"/>
      <c r="H387" s="5" t="str">
        <f>IFERROR(INDEX('Malzeme Tanımlama'!$D$5:$D$300,MATCH(D387,'Malzeme Tanımlama'!$A$5:$A$300,0)),"")</f>
        <v/>
      </c>
      <c r="I387" s="2"/>
      <c r="J387" s="2"/>
      <c r="K387" s="2"/>
    </row>
    <row r="388" spans="1:11" x14ac:dyDescent="0.3">
      <c r="A388" s="5" t="str">
        <f>IF(D388="","",COUNTIF($D$5:D388,"?*"))</f>
        <v/>
      </c>
      <c r="B388" s="6"/>
      <c r="C388" s="5" t="str">
        <f>IF(B388="","",INDEX({"Ocak","Şubat","Mart","Nisan","Mayıs","Haziran","Temmuz","Ağustos","Eylül","Ekim","Kasım","Aralık"},MONTH(B388)))</f>
        <v/>
      </c>
      <c r="D388" s="2"/>
      <c r="E388" s="5" t="str">
        <f>IFERROR(INDEX('Malzeme Tanımlama'!$B$5:$B$300,MATCH(D388,'Malzeme Tanımlama'!$A$5:$A$300,0)),"")</f>
        <v/>
      </c>
      <c r="F388" s="2"/>
      <c r="G388" s="5"/>
      <c r="H388" s="5" t="str">
        <f>IFERROR(INDEX('Malzeme Tanımlama'!$D$5:$D$300,MATCH(D388,'Malzeme Tanımlama'!$A$5:$A$300,0)),"")</f>
        <v/>
      </c>
      <c r="I388" s="2"/>
      <c r="J388" s="2"/>
      <c r="K388" s="2"/>
    </row>
    <row r="389" spans="1:11" x14ac:dyDescent="0.3">
      <c r="A389" s="5" t="str">
        <f>IF(D389="","",COUNTIF($D$5:D389,"?*"))</f>
        <v/>
      </c>
      <c r="B389" s="6"/>
      <c r="C389" s="5" t="str">
        <f>IF(B389="","",INDEX({"Ocak","Şubat","Mart","Nisan","Mayıs","Haziran","Temmuz","Ağustos","Eylül","Ekim","Kasım","Aralık"},MONTH(B389)))</f>
        <v/>
      </c>
      <c r="D389" s="2"/>
      <c r="E389" s="5" t="str">
        <f>IFERROR(INDEX('Malzeme Tanımlama'!$B$5:$B$300,MATCH(D389,'Malzeme Tanımlama'!$A$5:$A$300,0)),"")</f>
        <v/>
      </c>
      <c r="F389" s="2"/>
      <c r="G389" s="5"/>
      <c r="H389" s="5" t="str">
        <f>IFERROR(INDEX('Malzeme Tanımlama'!$D$5:$D$300,MATCH(D389,'Malzeme Tanımlama'!$A$5:$A$300,0)),"")</f>
        <v/>
      </c>
      <c r="I389" s="2"/>
      <c r="J389" s="2"/>
      <c r="K389" s="2"/>
    </row>
    <row r="390" spans="1:11" x14ac:dyDescent="0.3">
      <c r="A390" s="5" t="str">
        <f>IF(D390="","",COUNTIF($D$5:D390,"?*"))</f>
        <v/>
      </c>
      <c r="B390" s="6"/>
      <c r="C390" s="5" t="str">
        <f>IF(B390="","",INDEX({"Ocak","Şubat","Mart","Nisan","Mayıs","Haziran","Temmuz","Ağustos","Eylül","Ekim","Kasım","Aralık"},MONTH(B390)))</f>
        <v/>
      </c>
      <c r="D390" s="2"/>
      <c r="E390" s="5" t="str">
        <f>IFERROR(INDEX('Malzeme Tanımlama'!$B$5:$B$300,MATCH(D390,'Malzeme Tanımlama'!$A$5:$A$300,0)),"")</f>
        <v/>
      </c>
      <c r="F390" s="2"/>
      <c r="G390" s="5"/>
      <c r="H390" s="5" t="str">
        <f>IFERROR(INDEX('Malzeme Tanımlama'!$D$5:$D$300,MATCH(D390,'Malzeme Tanımlama'!$A$5:$A$300,0)),"")</f>
        <v/>
      </c>
      <c r="I390" s="2"/>
      <c r="J390" s="2"/>
      <c r="K390" s="2"/>
    </row>
    <row r="391" spans="1:11" x14ac:dyDescent="0.3">
      <c r="A391" s="5" t="str">
        <f>IF(D391="","",COUNTIF($D$5:D391,"?*"))</f>
        <v/>
      </c>
      <c r="B391" s="6"/>
      <c r="C391" s="5" t="str">
        <f>IF(B391="","",INDEX({"Ocak","Şubat","Mart","Nisan","Mayıs","Haziran","Temmuz","Ağustos","Eylül","Ekim","Kasım","Aralık"},MONTH(B391)))</f>
        <v/>
      </c>
      <c r="D391" s="2"/>
      <c r="E391" s="5" t="str">
        <f>IFERROR(INDEX('Malzeme Tanımlama'!$B$5:$B$300,MATCH(D391,'Malzeme Tanımlama'!$A$5:$A$300,0)),"")</f>
        <v/>
      </c>
      <c r="F391" s="2"/>
      <c r="G391" s="5"/>
      <c r="H391" s="5" t="str">
        <f>IFERROR(INDEX('Malzeme Tanımlama'!$D$5:$D$300,MATCH(D391,'Malzeme Tanımlama'!$A$5:$A$300,0)),"")</f>
        <v/>
      </c>
      <c r="I391" s="2"/>
      <c r="J391" s="2"/>
      <c r="K391" s="2"/>
    </row>
    <row r="392" spans="1:11" x14ac:dyDescent="0.3">
      <c r="A392" s="5" t="str">
        <f>IF(D392="","",COUNTIF($D$5:D392,"?*"))</f>
        <v/>
      </c>
      <c r="B392" s="6"/>
      <c r="C392" s="5" t="str">
        <f>IF(B392="","",INDEX({"Ocak","Şubat","Mart","Nisan","Mayıs","Haziran","Temmuz","Ağustos","Eylül","Ekim","Kasım","Aralık"},MONTH(B392)))</f>
        <v/>
      </c>
      <c r="D392" s="2"/>
      <c r="E392" s="5" t="str">
        <f>IFERROR(INDEX('Malzeme Tanımlama'!$B$5:$B$300,MATCH(D392,'Malzeme Tanımlama'!$A$5:$A$300,0)),"")</f>
        <v/>
      </c>
      <c r="F392" s="2"/>
      <c r="G392" s="5"/>
      <c r="H392" s="5" t="str">
        <f>IFERROR(INDEX('Malzeme Tanımlama'!$D$5:$D$300,MATCH(D392,'Malzeme Tanımlama'!$A$5:$A$300,0)),"")</f>
        <v/>
      </c>
      <c r="I392" s="2"/>
      <c r="J392" s="2"/>
      <c r="K392" s="2"/>
    </row>
    <row r="393" spans="1:11" x14ac:dyDescent="0.3">
      <c r="A393" s="5" t="str">
        <f>IF(D393="","",COUNTIF($D$5:D393,"?*"))</f>
        <v/>
      </c>
      <c r="B393" s="6"/>
      <c r="C393" s="5" t="str">
        <f>IF(B393="","",INDEX({"Ocak","Şubat","Mart","Nisan","Mayıs","Haziran","Temmuz","Ağustos","Eylül","Ekim","Kasım","Aralık"},MONTH(B393)))</f>
        <v/>
      </c>
      <c r="D393" s="2"/>
      <c r="E393" s="5" t="str">
        <f>IFERROR(INDEX('Malzeme Tanımlama'!$B$5:$B$300,MATCH(D393,'Malzeme Tanımlama'!$A$5:$A$300,0)),"")</f>
        <v/>
      </c>
      <c r="F393" s="2"/>
      <c r="G393" s="5"/>
      <c r="H393" s="5" t="str">
        <f>IFERROR(INDEX('Malzeme Tanımlama'!$D$5:$D$300,MATCH(D393,'Malzeme Tanımlama'!$A$5:$A$300,0)),"")</f>
        <v/>
      </c>
      <c r="I393" s="2"/>
      <c r="J393" s="2"/>
      <c r="K393" s="2"/>
    </row>
    <row r="394" spans="1:11" x14ac:dyDescent="0.3">
      <c r="A394" s="5" t="str">
        <f>IF(D394="","",COUNTIF($D$5:D394,"?*"))</f>
        <v/>
      </c>
      <c r="B394" s="6"/>
      <c r="C394" s="5" t="str">
        <f>IF(B394="","",INDEX({"Ocak","Şubat","Mart","Nisan","Mayıs","Haziran","Temmuz","Ağustos","Eylül","Ekim","Kasım","Aralık"},MONTH(B394)))</f>
        <v/>
      </c>
      <c r="D394" s="2"/>
      <c r="E394" s="5" t="str">
        <f>IFERROR(INDEX('Malzeme Tanımlama'!$B$5:$B$300,MATCH(D394,'Malzeme Tanımlama'!$A$5:$A$300,0)),"")</f>
        <v/>
      </c>
      <c r="F394" s="2"/>
      <c r="G394" s="5"/>
      <c r="H394" s="5" t="str">
        <f>IFERROR(INDEX('Malzeme Tanımlama'!$D$5:$D$300,MATCH(D394,'Malzeme Tanımlama'!$A$5:$A$300,0)),"")</f>
        <v/>
      </c>
      <c r="I394" s="2"/>
      <c r="J394" s="2"/>
      <c r="K394" s="2"/>
    </row>
    <row r="395" spans="1:11" x14ac:dyDescent="0.3">
      <c r="A395" s="5" t="str">
        <f>IF(D395="","",COUNTIF($D$5:D395,"?*"))</f>
        <v/>
      </c>
      <c r="B395" s="6"/>
      <c r="C395" s="5" t="str">
        <f>IF(B395="","",INDEX({"Ocak","Şubat","Mart","Nisan","Mayıs","Haziran","Temmuz","Ağustos","Eylül","Ekim","Kasım","Aralık"},MONTH(B395)))</f>
        <v/>
      </c>
      <c r="D395" s="2"/>
      <c r="E395" s="5" t="str">
        <f>IFERROR(INDEX('Malzeme Tanımlama'!$B$5:$B$300,MATCH(D395,'Malzeme Tanımlama'!$A$5:$A$300,0)),"")</f>
        <v/>
      </c>
      <c r="F395" s="2"/>
      <c r="G395" s="5"/>
      <c r="H395" s="5" t="str">
        <f>IFERROR(INDEX('Malzeme Tanımlama'!$D$5:$D$300,MATCH(D395,'Malzeme Tanımlama'!$A$5:$A$300,0)),"")</f>
        <v/>
      </c>
      <c r="I395" s="2"/>
      <c r="J395" s="2"/>
      <c r="K395" s="2"/>
    </row>
    <row r="396" spans="1:11" x14ac:dyDescent="0.3">
      <c r="A396" s="5" t="str">
        <f>IF(D396="","",COUNTIF($D$5:D396,"?*"))</f>
        <v/>
      </c>
      <c r="B396" s="6"/>
      <c r="C396" s="5" t="str">
        <f>IF(B396="","",INDEX({"Ocak","Şubat","Mart","Nisan","Mayıs","Haziran","Temmuz","Ağustos","Eylül","Ekim","Kasım","Aralık"},MONTH(B396)))</f>
        <v/>
      </c>
      <c r="D396" s="2"/>
      <c r="E396" s="5" t="str">
        <f>IFERROR(INDEX('Malzeme Tanımlama'!$B$5:$B$300,MATCH(D396,'Malzeme Tanımlama'!$A$5:$A$300,0)),"")</f>
        <v/>
      </c>
      <c r="F396" s="2"/>
      <c r="G396" s="5"/>
      <c r="H396" s="5" t="str">
        <f>IFERROR(INDEX('Malzeme Tanımlama'!$D$5:$D$300,MATCH(D396,'Malzeme Tanımlama'!$A$5:$A$300,0)),"")</f>
        <v/>
      </c>
      <c r="I396" s="2"/>
      <c r="J396" s="2"/>
      <c r="K396" s="2"/>
    </row>
    <row r="397" spans="1:11" x14ac:dyDescent="0.3">
      <c r="A397" s="5" t="str">
        <f>IF(D397="","",COUNTIF($D$5:D397,"?*"))</f>
        <v/>
      </c>
      <c r="B397" s="6"/>
      <c r="C397" s="5" t="str">
        <f>IF(B397="","",INDEX({"Ocak","Şubat","Mart","Nisan","Mayıs","Haziran","Temmuz","Ağustos","Eylül","Ekim","Kasım","Aralık"},MONTH(B397)))</f>
        <v/>
      </c>
      <c r="D397" s="2"/>
      <c r="E397" s="5" t="str">
        <f>IFERROR(INDEX('Malzeme Tanımlama'!$B$5:$B$300,MATCH(D397,'Malzeme Tanımlama'!$A$5:$A$300,0)),"")</f>
        <v/>
      </c>
      <c r="F397" s="2"/>
      <c r="G397" s="5"/>
      <c r="H397" s="5" t="str">
        <f>IFERROR(INDEX('Malzeme Tanımlama'!$D$5:$D$300,MATCH(D397,'Malzeme Tanımlama'!$A$5:$A$300,0)),"")</f>
        <v/>
      </c>
      <c r="I397" s="2"/>
      <c r="J397" s="2"/>
      <c r="K397" s="2"/>
    </row>
    <row r="398" spans="1:11" x14ac:dyDescent="0.3">
      <c r="A398" s="5" t="str">
        <f>IF(D398="","",COUNTIF($D$5:D398,"?*"))</f>
        <v/>
      </c>
      <c r="B398" s="6"/>
      <c r="C398" s="5" t="str">
        <f>IF(B398="","",INDEX({"Ocak","Şubat","Mart","Nisan","Mayıs","Haziran","Temmuz","Ağustos","Eylül","Ekim","Kasım","Aralık"},MONTH(B398)))</f>
        <v/>
      </c>
      <c r="D398" s="2"/>
      <c r="E398" s="5" t="str">
        <f>IFERROR(INDEX('Malzeme Tanımlama'!$B$5:$B$300,MATCH(D398,'Malzeme Tanımlama'!$A$5:$A$300,0)),"")</f>
        <v/>
      </c>
      <c r="F398" s="2"/>
      <c r="G398" s="5"/>
      <c r="H398" s="5" t="str">
        <f>IFERROR(INDEX('Malzeme Tanımlama'!$D$5:$D$300,MATCH(D398,'Malzeme Tanımlama'!$A$5:$A$300,0)),"")</f>
        <v/>
      </c>
      <c r="I398" s="2"/>
      <c r="J398" s="2"/>
      <c r="K398" s="2"/>
    </row>
    <row r="399" spans="1:11" x14ac:dyDescent="0.3">
      <c r="A399" s="5" t="str">
        <f>IF(D399="","",COUNTIF($D$5:D399,"?*"))</f>
        <v/>
      </c>
      <c r="B399" s="6"/>
      <c r="C399" s="5" t="str">
        <f>IF(B399="","",INDEX({"Ocak","Şubat","Mart","Nisan","Mayıs","Haziran","Temmuz","Ağustos","Eylül","Ekim","Kasım","Aralık"},MONTH(B399)))</f>
        <v/>
      </c>
      <c r="D399" s="2"/>
      <c r="E399" s="5" t="str">
        <f>IFERROR(INDEX('Malzeme Tanımlama'!$B$5:$B$300,MATCH(D399,'Malzeme Tanımlama'!$A$5:$A$300,0)),"")</f>
        <v/>
      </c>
      <c r="F399" s="2"/>
      <c r="G399" s="5"/>
      <c r="H399" s="5" t="str">
        <f>IFERROR(INDEX('Malzeme Tanımlama'!$D$5:$D$300,MATCH(D399,'Malzeme Tanımlama'!$A$5:$A$300,0)),"")</f>
        <v/>
      </c>
      <c r="I399" s="2"/>
      <c r="J399" s="2"/>
      <c r="K399" s="2"/>
    </row>
    <row r="400" spans="1:11" x14ac:dyDescent="0.3">
      <c r="A400" s="5" t="str">
        <f>IF(D400="","",COUNTIF($D$5:D400,"?*"))</f>
        <v/>
      </c>
      <c r="B400" s="6"/>
      <c r="C400" s="5" t="str">
        <f>IF(B400="","",INDEX({"Ocak","Şubat","Mart","Nisan","Mayıs","Haziran","Temmuz","Ağustos","Eylül","Ekim","Kasım","Aralık"},MONTH(B400)))</f>
        <v/>
      </c>
      <c r="D400" s="2"/>
      <c r="E400" s="5" t="str">
        <f>IFERROR(INDEX('Malzeme Tanımlama'!$B$5:$B$300,MATCH(D400,'Malzeme Tanımlama'!$A$5:$A$300,0)),"")</f>
        <v/>
      </c>
      <c r="F400" s="2"/>
      <c r="G400" s="5"/>
      <c r="H400" s="5" t="str">
        <f>IFERROR(INDEX('Malzeme Tanımlama'!$D$5:$D$300,MATCH(D400,'Malzeme Tanımlama'!$A$5:$A$300,0)),"")</f>
        <v/>
      </c>
      <c r="I400" s="2"/>
      <c r="J400" s="2"/>
      <c r="K400" s="2"/>
    </row>
    <row r="401" spans="1:11" x14ac:dyDescent="0.3">
      <c r="A401" s="5" t="str">
        <f>IF(D401="","",COUNTIF($D$5:D401,"?*"))</f>
        <v/>
      </c>
      <c r="B401" s="6"/>
      <c r="C401" s="5" t="str">
        <f>IF(B401="","",INDEX({"Ocak","Şubat","Mart","Nisan","Mayıs","Haziran","Temmuz","Ağustos","Eylül","Ekim","Kasım","Aralık"},MONTH(B401)))</f>
        <v/>
      </c>
      <c r="D401" s="2"/>
      <c r="E401" s="5" t="str">
        <f>IFERROR(INDEX('Malzeme Tanımlama'!$B$5:$B$300,MATCH(D401,'Malzeme Tanımlama'!$A$5:$A$300,0)),"")</f>
        <v/>
      </c>
      <c r="F401" s="2"/>
      <c r="G401" s="5"/>
      <c r="H401" s="5" t="str">
        <f>IFERROR(INDEX('Malzeme Tanımlama'!$D$5:$D$300,MATCH(D401,'Malzeme Tanımlama'!$A$5:$A$300,0)),"")</f>
        <v/>
      </c>
      <c r="I401" s="2"/>
      <c r="J401" s="2"/>
      <c r="K401" s="2"/>
    </row>
    <row r="402" spans="1:11" x14ac:dyDescent="0.3">
      <c r="A402" s="5" t="str">
        <f>IF(D402="","",COUNTIF($D$5:D402,"?*"))</f>
        <v/>
      </c>
      <c r="B402" s="6"/>
      <c r="C402" s="5" t="str">
        <f>IF(B402="","",INDEX({"Ocak","Şubat","Mart","Nisan","Mayıs","Haziran","Temmuz","Ağustos","Eylül","Ekim","Kasım","Aralık"},MONTH(B402)))</f>
        <v/>
      </c>
      <c r="D402" s="2"/>
      <c r="E402" s="5" t="str">
        <f>IFERROR(INDEX('Malzeme Tanımlama'!$B$5:$B$300,MATCH(D402,'Malzeme Tanımlama'!$A$5:$A$300,0)),"")</f>
        <v/>
      </c>
      <c r="F402" s="2"/>
      <c r="G402" s="5"/>
      <c r="H402" s="5" t="str">
        <f>IFERROR(INDEX('Malzeme Tanımlama'!$D$5:$D$300,MATCH(D402,'Malzeme Tanımlama'!$A$5:$A$300,0)),"")</f>
        <v/>
      </c>
      <c r="I402" s="2"/>
      <c r="J402" s="2"/>
      <c r="K402" s="2"/>
    </row>
    <row r="403" spans="1:11" x14ac:dyDescent="0.3">
      <c r="A403" s="5" t="str">
        <f>IF(D403="","",COUNTIF($D$5:D403,"?*"))</f>
        <v/>
      </c>
      <c r="B403" s="6"/>
      <c r="C403" s="5" t="str">
        <f>IF(B403="","",INDEX({"Ocak","Şubat","Mart","Nisan","Mayıs","Haziran","Temmuz","Ağustos","Eylül","Ekim","Kasım","Aralık"},MONTH(B403)))</f>
        <v/>
      </c>
      <c r="D403" s="2"/>
      <c r="E403" s="5" t="str">
        <f>IFERROR(INDEX('Malzeme Tanımlama'!$B$5:$B$300,MATCH(D403,'Malzeme Tanımlama'!$A$5:$A$300,0)),"")</f>
        <v/>
      </c>
      <c r="F403" s="2"/>
      <c r="G403" s="5"/>
      <c r="H403" s="5" t="str">
        <f>IFERROR(INDEX('Malzeme Tanımlama'!$D$5:$D$300,MATCH(D403,'Malzeme Tanımlama'!$A$5:$A$300,0)),"")</f>
        <v/>
      </c>
      <c r="I403" s="2"/>
      <c r="J403" s="2"/>
      <c r="K403" s="2"/>
    </row>
    <row r="404" spans="1:11" x14ac:dyDescent="0.3">
      <c r="A404" s="5" t="str">
        <f>IF(D404="","",COUNTIF($D$5:D404,"?*"))</f>
        <v/>
      </c>
      <c r="B404" s="6"/>
      <c r="C404" s="5" t="str">
        <f>IF(B404="","",INDEX({"Ocak","Şubat","Mart","Nisan","Mayıs","Haziran","Temmuz","Ağustos","Eylül","Ekim","Kasım","Aralık"},MONTH(B404)))</f>
        <v/>
      </c>
      <c r="D404" s="2"/>
      <c r="E404" s="5" t="str">
        <f>IFERROR(INDEX('Malzeme Tanımlama'!$B$5:$B$300,MATCH(D404,'Malzeme Tanımlama'!$A$5:$A$300,0)),"")</f>
        <v/>
      </c>
      <c r="F404" s="2"/>
      <c r="G404" s="5"/>
      <c r="H404" s="5" t="str">
        <f>IFERROR(INDEX('Malzeme Tanımlama'!$D$5:$D$300,MATCH(D404,'Malzeme Tanımlama'!$A$5:$A$300,0)),"")</f>
        <v/>
      </c>
      <c r="I404" s="2"/>
      <c r="J404" s="2"/>
      <c r="K404" s="2"/>
    </row>
    <row r="405" spans="1:11" x14ac:dyDescent="0.3">
      <c r="A405" s="5" t="str">
        <f>IF(D405="","",COUNTIF($D$5:D405,"?*"))</f>
        <v/>
      </c>
      <c r="B405" s="6"/>
      <c r="C405" s="5" t="str">
        <f>IF(B405="","",INDEX({"Ocak","Şubat","Mart","Nisan","Mayıs","Haziran","Temmuz","Ağustos","Eylül","Ekim","Kasım","Aralık"},MONTH(B405)))</f>
        <v/>
      </c>
      <c r="D405" s="2"/>
      <c r="E405" s="5" t="str">
        <f>IFERROR(INDEX('Malzeme Tanımlama'!$B$5:$B$300,MATCH(D405,'Malzeme Tanımlama'!$A$5:$A$300,0)),"")</f>
        <v/>
      </c>
      <c r="F405" s="2"/>
      <c r="G405" s="5"/>
      <c r="H405" s="5" t="str">
        <f>IFERROR(INDEX('Malzeme Tanımlama'!$D$5:$D$300,MATCH(D405,'Malzeme Tanımlama'!$A$5:$A$300,0)),"")</f>
        <v/>
      </c>
      <c r="I405" s="2"/>
      <c r="J405" s="2"/>
      <c r="K405" s="2"/>
    </row>
    <row r="406" spans="1:11" x14ac:dyDescent="0.3">
      <c r="A406" s="5" t="str">
        <f>IF(D406="","",COUNTIF($D$5:D406,"?*"))</f>
        <v/>
      </c>
      <c r="B406" s="6"/>
      <c r="C406" s="5" t="str">
        <f>IF(B406="","",INDEX({"Ocak","Şubat","Mart","Nisan","Mayıs","Haziran","Temmuz","Ağustos","Eylül","Ekim","Kasım","Aralık"},MONTH(B406)))</f>
        <v/>
      </c>
      <c r="D406" s="2"/>
      <c r="E406" s="5" t="str">
        <f>IFERROR(INDEX('Malzeme Tanımlama'!$B$5:$B$300,MATCH(D406,'Malzeme Tanımlama'!$A$5:$A$300,0)),"")</f>
        <v/>
      </c>
      <c r="F406" s="2"/>
      <c r="G406" s="5"/>
      <c r="H406" s="5" t="str">
        <f>IFERROR(INDEX('Malzeme Tanımlama'!$D$5:$D$300,MATCH(D406,'Malzeme Tanımlama'!$A$5:$A$300,0)),"")</f>
        <v/>
      </c>
      <c r="I406" s="2"/>
      <c r="J406" s="2"/>
      <c r="K406" s="2"/>
    </row>
    <row r="407" spans="1:11" x14ac:dyDescent="0.3">
      <c r="A407" s="5" t="str">
        <f>IF(D407="","",COUNTIF($D$5:D407,"?*"))</f>
        <v/>
      </c>
      <c r="B407" s="6"/>
      <c r="C407" s="5" t="str">
        <f>IF(B407="","",INDEX({"Ocak","Şubat","Mart","Nisan","Mayıs","Haziran","Temmuz","Ağustos","Eylül","Ekim","Kasım","Aralık"},MONTH(B407)))</f>
        <v/>
      </c>
      <c r="D407" s="2"/>
      <c r="E407" s="5" t="str">
        <f>IFERROR(INDEX('Malzeme Tanımlama'!$B$5:$B$300,MATCH(D407,'Malzeme Tanımlama'!$A$5:$A$300,0)),"")</f>
        <v/>
      </c>
      <c r="F407" s="2"/>
      <c r="G407" s="5"/>
      <c r="H407" s="5" t="str">
        <f>IFERROR(INDEX('Malzeme Tanımlama'!$D$5:$D$300,MATCH(D407,'Malzeme Tanımlama'!$A$5:$A$300,0)),"")</f>
        <v/>
      </c>
      <c r="I407" s="2"/>
      <c r="J407" s="2"/>
      <c r="K407" s="2"/>
    </row>
    <row r="408" spans="1:11" x14ac:dyDescent="0.3">
      <c r="A408" s="5" t="str">
        <f>IF(D408="","",COUNTIF($D$5:D408,"?*"))</f>
        <v/>
      </c>
      <c r="B408" s="6"/>
      <c r="C408" s="5" t="str">
        <f>IF(B408="","",INDEX({"Ocak","Şubat","Mart","Nisan","Mayıs","Haziran","Temmuz","Ağustos","Eylül","Ekim","Kasım","Aralık"},MONTH(B408)))</f>
        <v/>
      </c>
      <c r="D408" s="2"/>
      <c r="E408" s="5" t="str">
        <f>IFERROR(INDEX('Malzeme Tanımlama'!$B$5:$B$300,MATCH(D408,'Malzeme Tanımlama'!$A$5:$A$300,0)),"")</f>
        <v/>
      </c>
      <c r="F408" s="2"/>
      <c r="G408" s="5"/>
      <c r="H408" s="5" t="str">
        <f>IFERROR(INDEX('Malzeme Tanımlama'!$D$5:$D$300,MATCH(D408,'Malzeme Tanımlama'!$A$5:$A$300,0)),"")</f>
        <v/>
      </c>
      <c r="I408" s="2"/>
      <c r="J408" s="2"/>
      <c r="K408" s="2"/>
    </row>
    <row r="409" spans="1:11" x14ac:dyDescent="0.3">
      <c r="A409" s="5" t="str">
        <f>IF(D409="","",COUNTIF($D$5:D409,"?*"))</f>
        <v/>
      </c>
      <c r="B409" s="6"/>
      <c r="C409" s="5" t="str">
        <f>IF(B409="","",INDEX({"Ocak","Şubat","Mart","Nisan","Mayıs","Haziran","Temmuz","Ağustos","Eylül","Ekim","Kasım","Aralık"},MONTH(B409)))</f>
        <v/>
      </c>
      <c r="D409" s="2"/>
      <c r="E409" s="5" t="str">
        <f>IFERROR(INDEX('Malzeme Tanımlama'!$B$5:$B$300,MATCH(D409,'Malzeme Tanımlama'!$A$5:$A$300,0)),"")</f>
        <v/>
      </c>
      <c r="F409" s="2"/>
      <c r="G409" s="5"/>
      <c r="H409" s="5" t="str">
        <f>IFERROR(INDEX('Malzeme Tanımlama'!$D$5:$D$300,MATCH(D409,'Malzeme Tanımlama'!$A$5:$A$300,0)),"")</f>
        <v/>
      </c>
      <c r="I409" s="2"/>
      <c r="J409" s="2"/>
      <c r="K409" s="2"/>
    </row>
    <row r="410" spans="1:11" x14ac:dyDescent="0.3">
      <c r="A410" s="5" t="str">
        <f>IF(D410="","",COUNTIF($D$5:D410,"?*"))</f>
        <v/>
      </c>
      <c r="B410" s="6"/>
      <c r="C410" s="5" t="str">
        <f>IF(B410="","",INDEX({"Ocak","Şubat","Mart","Nisan","Mayıs","Haziran","Temmuz","Ağustos","Eylül","Ekim","Kasım","Aralık"},MONTH(B410)))</f>
        <v/>
      </c>
      <c r="D410" s="2"/>
      <c r="E410" s="5" t="str">
        <f>IFERROR(INDEX('Malzeme Tanımlama'!$B$5:$B$300,MATCH(D410,'Malzeme Tanımlama'!$A$5:$A$300,0)),"")</f>
        <v/>
      </c>
      <c r="F410" s="2"/>
      <c r="G410" s="5"/>
      <c r="H410" s="5" t="str">
        <f>IFERROR(INDEX('Malzeme Tanımlama'!$D$5:$D$300,MATCH(D410,'Malzeme Tanımlama'!$A$5:$A$300,0)),"")</f>
        <v/>
      </c>
      <c r="I410" s="2"/>
      <c r="J410" s="2"/>
      <c r="K410" s="2"/>
    </row>
    <row r="411" spans="1:11" x14ac:dyDescent="0.3">
      <c r="A411" s="5" t="str">
        <f>IF(D411="","",COUNTIF($D$5:D411,"?*"))</f>
        <v/>
      </c>
      <c r="B411" s="6"/>
      <c r="C411" s="5" t="str">
        <f>IF(B411="","",INDEX({"Ocak","Şubat","Mart","Nisan","Mayıs","Haziran","Temmuz","Ağustos","Eylül","Ekim","Kasım","Aralık"},MONTH(B411)))</f>
        <v/>
      </c>
      <c r="D411" s="2"/>
      <c r="E411" s="5" t="str">
        <f>IFERROR(INDEX('Malzeme Tanımlama'!$B$5:$B$300,MATCH(D411,'Malzeme Tanımlama'!$A$5:$A$300,0)),"")</f>
        <v/>
      </c>
      <c r="F411" s="2"/>
      <c r="G411" s="5"/>
      <c r="H411" s="5" t="str">
        <f>IFERROR(INDEX('Malzeme Tanımlama'!$D$5:$D$300,MATCH(D411,'Malzeme Tanımlama'!$A$5:$A$300,0)),"")</f>
        <v/>
      </c>
      <c r="I411" s="2"/>
      <c r="J411" s="2"/>
      <c r="K411" s="2"/>
    </row>
    <row r="412" spans="1:11" x14ac:dyDescent="0.3">
      <c r="A412" s="5" t="str">
        <f>IF(D412="","",COUNTIF($D$5:D412,"?*"))</f>
        <v/>
      </c>
      <c r="B412" s="6"/>
      <c r="C412" s="5" t="str">
        <f>IF(B412="","",INDEX({"Ocak","Şubat","Mart","Nisan","Mayıs","Haziran","Temmuz","Ağustos","Eylül","Ekim","Kasım","Aralık"},MONTH(B412)))</f>
        <v/>
      </c>
      <c r="D412" s="2"/>
      <c r="E412" s="5" t="str">
        <f>IFERROR(INDEX('Malzeme Tanımlama'!$B$5:$B$300,MATCH(D412,'Malzeme Tanımlama'!$A$5:$A$300,0)),"")</f>
        <v/>
      </c>
      <c r="F412" s="2"/>
      <c r="G412" s="5"/>
      <c r="H412" s="5" t="str">
        <f>IFERROR(INDEX('Malzeme Tanımlama'!$D$5:$D$300,MATCH(D412,'Malzeme Tanımlama'!$A$5:$A$300,0)),"")</f>
        <v/>
      </c>
      <c r="I412" s="2"/>
      <c r="J412" s="2"/>
      <c r="K412" s="2"/>
    </row>
    <row r="413" spans="1:11" x14ac:dyDescent="0.3">
      <c r="A413" s="5" t="str">
        <f>IF(D413="","",COUNTIF($D$5:D413,"?*"))</f>
        <v/>
      </c>
      <c r="B413" s="6"/>
      <c r="C413" s="5" t="str">
        <f>IF(B413="","",INDEX({"Ocak","Şubat","Mart","Nisan","Mayıs","Haziran","Temmuz","Ağustos","Eylül","Ekim","Kasım","Aralık"},MONTH(B413)))</f>
        <v/>
      </c>
      <c r="D413" s="2"/>
      <c r="E413" s="5" t="str">
        <f>IFERROR(INDEX('Malzeme Tanımlama'!$B$5:$B$300,MATCH(D413,'Malzeme Tanımlama'!$A$5:$A$300,0)),"")</f>
        <v/>
      </c>
      <c r="F413" s="2"/>
      <c r="G413" s="5"/>
      <c r="H413" s="5" t="str">
        <f>IFERROR(INDEX('Malzeme Tanımlama'!$D$5:$D$300,MATCH(D413,'Malzeme Tanımlama'!$A$5:$A$300,0)),"")</f>
        <v/>
      </c>
      <c r="I413" s="2"/>
      <c r="J413" s="2"/>
      <c r="K413" s="2"/>
    </row>
    <row r="414" spans="1:11" x14ac:dyDescent="0.3">
      <c r="A414" s="5" t="str">
        <f>IF(D414="","",COUNTIF($D$5:D414,"?*"))</f>
        <v/>
      </c>
      <c r="B414" s="6"/>
      <c r="C414" s="5" t="str">
        <f>IF(B414="","",INDEX({"Ocak","Şubat","Mart","Nisan","Mayıs","Haziran","Temmuz","Ağustos","Eylül","Ekim","Kasım","Aralık"},MONTH(B414)))</f>
        <v/>
      </c>
      <c r="D414" s="2"/>
      <c r="E414" s="5" t="str">
        <f>IFERROR(INDEX('Malzeme Tanımlama'!$B$5:$B$300,MATCH(D414,'Malzeme Tanımlama'!$A$5:$A$300,0)),"")</f>
        <v/>
      </c>
      <c r="F414" s="2"/>
      <c r="G414" s="5"/>
      <c r="H414" s="5" t="str">
        <f>IFERROR(INDEX('Malzeme Tanımlama'!$D$5:$D$300,MATCH(D414,'Malzeme Tanımlama'!$A$5:$A$300,0)),"")</f>
        <v/>
      </c>
      <c r="I414" s="2"/>
      <c r="J414" s="2"/>
      <c r="K414" s="2"/>
    </row>
    <row r="415" spans="1:11" x14ac:dyDescent="0.3">
      <c r="A415" s="5" t="str">
        <f>IF(D415="","",COUNTIF($D$5:D415,"?*"))</f>
        <v/>
      </c>
      <c r="B415" s="6"/>
      <c r="C415" s="5" t="str">
        <f>IF(B415="","",INDEX({"Ocak","Şubat","Mart","Nisan","Mayıs","Haziran","Temmuz","Ağustos","Eylül","Ekim","Kasım","Aralık"},MONTH(B415)))</f>
        <v/>
      </c>
      <c r="D415" s="2"/>
      <c r="E415" s="5" t="str">
        <f>IFERROR(INDEX('Malzeme Tanımlama'!$B$5:$B$300,MATCH(D415,'Malzeme Tanımlama'!$A$5:$A$300,0)),"")</f>
        <v/>
      </c>
      <c r="F415" s="2"/>
      <c r="G415" s="5"/>
      <c r="H415" s="5" t="str">
        <f>IFERROR(INDEX('Malzeme Tanımlama'!$D$5:$D$300,MATCH(D415,'Malzeme Tanımlama'!$A$5:$A$300,0)),"")</f>
        <v/>
      </c>
      <c r="I415" s="2"/>
      <c r="J415" s="2"/>
      <c r="K415" s="2"/>
    </row>
    <row r="416" spans="1:11" x14ac:dyDescent="0.3">
      <c r="A416" s="5" t="str">
        <f>IF(D416="","",COUNTIF($D$5:D416,"?*"))</f>
        <v/>
      </c>
      <c r="B416" s="6"/>
      <c r="C416" s="5" t="str">
        <f>IF(B416="","",INDEX({"Ocak","Şubat","Mart","Nisan","Mayıs","Haziran","Temmuz","Ağustos","Eylül","Ekim","Kasım","Aralık"},MONTH(B416)))</f>
        <v/>
      </c>
      <c r="D416" s="2"/>
      <c r="E416" s="5" t="str">
        <f>IFERROR(INDEX('Malzeme Tanımlama'!$B$5:$B$300,MATCH(D416,'Malzeme Tanımlama'!$A$5:$A$300,0)),"")</f>
        <v/>
      </c>
      <c r="F416" s="2"/>
      <c r="G416" s="5"/>
      <c r="H416" s="5" t="str">
        <f>IFERROR(INDEX('Malzeme Tanımlama'!$D$5:$D$300,MATCH(D416,'Malzeme Tanımlama'!$A$5:$A$300,0)),"")</f>
        <v/>
      </c>
      <c r="I416" s="2"/>
      <c r="J416" s="2"/>
      <c r="K416" s="2"/>
    </row>
    <row r="417" spans="1:11" x14ac:dyDescent="0.3">
      <c r="A417" s="5" t="str">
        <f>IF(D417="","",COUNTIF($D$5:D417,"?*"))</f>
        <v/>
      </c>
      <c r="B417" s="6"/>
      <c r="C417" s="5" t="str">
        <f>IF(B417="","",INDEX({"Ocak","Şubat","Mart","Nisan","Mayıs","Haziran","Temmuz","Ağustos","Eylül","Ekim","Kasım","Aralık"},MONTH(B417)))</f>
        <v/>
      </c>
      <c r="D417" s="2"/>
      <c r="E417" s="5" t="str">
        <f>IFERROR(INDEX('Malzeme Tanımlama'!$B$5:$B$300,MATCH(D417,'Malzeme Tanımlama'!$A$5:$A$300,0)),"")</f>
        <v/>
      </c>
      <c r="F417" s="2"/>
      <c r="G417" s="5"/>
      <c r="H417" s="5" t="str">
        <f>IFERROR(INDEX('Malzeme Tanımlama'!$D$5:$D$300,MATCH(D417,'Malzeme Tanımlama'!$A$5:$A$300,0)),"")</f>
        <v/>
      </c>
      <c r="I417" s="2"/>
      <c r="J417" s="2"/>
      <c r="K417" s="2"/>
    </row>
    <row r="418" spans="1:11" x14ac:dyDescent="0.3">
      <c r="A418" s="5" t="str">
        <f>IF(D418="","",COUNTIF($D$5:D418,"?*"))</f>
        <v/>
      </c>
      <c r="B418" s="6"/>
      <c r="C418" s="5" t="str">
        <f>IF(B418="","",INDEX({"Ocak","Şubat","Mart","Nisan","Mayıs","Haziran","Temmuz","Ağustos","Eylül","Ekim","Kasım","Aralık"},MONTH(B418)))</f>
        <v/>
      </c>
      <c r="D418" s="2"/>
      <c r="E418" s="5" t="str">
        <f>IFERROR(INDEX('Malzeme Tanımlama'!$B$5:$B$300,MATCH(D418,'Malzeme Tanımlama'!$A$5:$A$300,0)),"")</f>
        <v/>
      </c>
      <c r="F418" s="2"/>
      <c r="G418" s="5"/>
      <c r="H418" s="5" t="str">
        <f>IFERROR(INDEX('Malzeme Tanımlama'!$D$5:$D$300,MATCH(D418,'Malzeme Tanımlama'!$A$5:$A$300,0)),"")</f>
        <v/>
      </c>
      <c r="I418" s="2"/>
      <c r="J418" s="2"/>
      <c r="K418" s="2"/>
    </row>
    <row r="419" spans="1:11" x14ac:dyDescent="0.3">
      <c r="A419" s="5" t="str">
        <f>IF(D419="","",COUNTIF($D$5:D419,"?*"))</f>
        <v/>
      </c>
      <c r="B419" s="6"/>
      <c r="C419" s="5" t="str">
        <f>IF(B419="","",INDEX({"Ocak","Şubat","Mart","Nisan","Mayıs","Haziran","Temmuz","Ağustos","Eylül","Ekim","Kasım","Aralık"},MONTH(B419)))</f>
        <v/>
      </c>
      <c r="D419" s="2"/>
      <c r="E419" s="5" t="str">
        <f>IFERROR(INDEX('Malzeme Tanımlama'!$B$5:$B$300,MATCH(D419,'Malzeme Tanımlama'!$A$5:$A$300,0)),"")</f>
        <v/>
      </c>
      <c r="F419" s="2"/>
      <c r="G419" s="5"/>
      <c r="H419" s="5" t="str">
        <f>IFERROR(INDEX('Malzeme Tanımlama'!$D$5:$D$300,MATCH(D419,'Malzeme Tanımlama'!$A$5:$A$300,0)),"")</f>
        <v/>
      </c>
      <c r="I419" s="2"/>
      <c r="J419" s="2"/>
      <c r="K419" s="2"/>
    </row>
    <row r="420" spans="1:11" x14ac:dyDescent="0.3">
      <c r="A420" s="5" t="str">
        <f>IF(D420="","",COUNTIF($D$5:D420,"?*"))</f>
        <v/>
      </c>
      <c r="B420" s="6"/>
      <c r="C420" s="5" t="str">
        <f>IF(B420="","",INDEX({"Ocak","Şubat","Mart","Nisan","Mayıs","Haziran","Temmuz","Ağustos","Eylül","Ekim","Kasım","Aralık"},MONTH(B420)))</f>
        <v/>
      </c>
      <c r="D420" s="2"/>
      <c r="E420" s="5" t="str">
        <f>IFERROR(INDEX('Malzeme Tanımlama'!$B$5:$B$300,MATCH(D420,'Malzeme Tanımlama'!$A$5:$A$300,0)),"")</f>
        <v/>
      </c>
      <c r="F420" s="2"/>
      <c r="G420" s="5"/>
      <c r="H420" s="5" t="str">
        <f>IFERROR(INDEX('Malzeme Tanımlama'!$D$5:$D$300,MATCH(D420,'Malzeme Tanımlama'!$A$5:$A$300,0)),"")</f>
        <v/>
      </c>
      <c r="I420" s="2"/>
      <c r="J420" s="2"/>
      <c r="K420" s="2"/>
    </row>
    <row r="421" spans="1:11" x14ac:dyDescent="0.3">
      <c r="A421" s="5" t="str">
        <f>IF(D421="","",COUNTIF($D$5:D421,"?*"))</f>
        <v/>
      </c>
      <c r="B421" s="6"/>
      <c r="C421" s="5" t="str">
        <f>IF(B421="","",INDEX({"Ocak","Şubat","Mart","Nisan","Mayıs","Haziran","Temmuz","Ağustos","Eylül","Ekim","Kasım","Aralık"},MONTH(B421)))</f>
        <v/>
      </c>
      <c r="D421" s="2"/>
      <c r="E421" s="5" t="str">
        <f>IFERROR(INDEX('Malzeme Tanımlama'!$B$5:$B$300,MATCH(D421,'Malzeme Tanımlama'!$A$5:$A$300,0)),"")</f>
        <v/>
      </c>
      <c r="F421" s="2"/>
      <c r="G421" s="5"/>
      <c r="H421" s="5" t="str">
        <f>IFERROR(INDEX('Malzeme Tanımlama'!$D$5:$D$300,MATCH(D421,'Malzeme Tanımlama'!$A$5:$A$300,0)),"")</f>
        <v/>
      </c>
      <c r="I421" s="2"/>
      <c r="J421" s="2"/>
      <c r="K421" s="2"/>
    </row>
    <row r="422" spans="1:11" x14ac:dyDescent="0.3">
      <c r="A422" s="5" t="str">
        <f>IF(D422="","",COUNTIF($D$5:D422,"?*"))</f>
        <v/>
      </c>
      <c r="B422" s="6"/>
      <c r="C422" s="5" t="str">
        <f>IF(B422="","",INDEX({"Ocak","Şubat","Mart","Nisan","Mayıs","Haziran","Temmuz","Ağustos","Eylül","Ekim","Kasım","Aralık"},MONTH(B422)))</f>
        <v/>
      </c>
      <c r="D422" s="2"/>
      <c r="E422" s="5" t="str">
        <f>IFERROR(INDEX('Malzeme Tanımlama'!$B$5:$B$300,MATCH(D422,'Malzeme Tanımlama'!$A$5:$A$300,0)),"")</f>
        <v/>
      </c>
      <c r="F422" s="2"/>
      <c r="G422" s="5"/>
      <c r="H422" s="5" t="str">
        <f>IFERROR(INDEX('Malzeme Tanımlama'!$D$5:$D$300,MATCH(D422,'Malzeme Tanımlama'!$A$5:$A$300,0)),"")</f>
        <v/>
      </c>
      <c r="I422" s="2"/>
      <c r="J422" s="2"/>
      <c r="K422" s="2"/>
    </row>
    <row r="423" spans="1:11" x14ac:dyDescent="0.3">
      <c r="A423" s="5" t="str">
        <f>IF(D423="","",COUNTIF($D$5:D423,"?*"))</f>
        <v/>
      </c>
      <c r="B423" s="6"/>
      <c r="C423" s="5" t="str">
        <f>IF(B423="","",INDEX({"Ocak","Şubat","Mart","Nisan","Mayıs","Haziran","Temmuz","Ağustos","Eylül","Ekim","Kasım","Aralık"},MONTH(B423)))</f>
        <v/>
      </c>
      <c r="D423" s="2"/>
      <c r="E423" s="5" t="str">
        <f>IFERROR(INDEX('Malzeme Tanımlama'!$B$5:$B$300,MATCH(D423,'Malzeme Tanımlama'!$A$5:$A$300,0)),"")</f>
        <v/>
      </c>
      <c r="F423" s="2"/>
      <c r="G423" s="5"/>
      <c r="H423" s="5" t="str">
        <f>IFERROR(INDEX('Malzeme Tanımlama'!$D$5:$D$300,MATCH(D423,'Malzeme Tanımlama'!$A$5:$A$300,0)),"")</f>
        <v/>
      </c>
      <c r="I423" s="2"/>
      <c r="J423" s="2"/>
      <c r="K423" s="2"/>
    </row>
    <row r="424" spans="1:11" x14ac:dyDescent="0.3">
      <c r="A424" s="5" t="str">
        <f>IF(D424="","",COUNTIF($D$5:D424,"?*"))</f>
        <v/>
      </c>
      <c r="B424" s="6"/>
      <c r="C424" s="5" t="str">
        <f>IF(B424="","",INDEX({"Ocak","Şubat","Mart","Nisan","Mayıs","Haziran","Temmuz","Ağustos","Eylül","Ekim","Kasım","Aralık"},MONTH(B424)))</f>
        <v/>
      </c>
      <c r="D424" s="2"/>
      <c r="E424" s="5" t="str">
        <f>IFERROR(INDEX('Malzeme Tanımlama'!$B$5:$B$300,MATCH(D424,'Malzeme Tanımlama'!$A$5:$A$300,0)),"")</f>
        <v/>
      </c>
      <c r="F424" s="2"/>
      <c r="G424" s="5"/>
      <c r="H424" s="5" t="str">
        <f>IFERROR(INDEX('Malzeme Tanımlama'!$D$5:$D$300,MATCH(D424,'Malzeme Tanımlama'!$A$5:$A$300,0)),"")</f>
        <v/>
      </c>
      <c r="I424" s="2"/>
      <c r="J424" s="2"/>
      <c r="K424" s="2"/>
    </row>
    <row r="425" spans="1:11" x14ac:dyDescent="0.3">
      <c r="A425" s="5" t="str">
        <f>IF(D425="","",COUNTIF($D$5:D425,"?*"))</f>
        <v/>
      </c>
      <c r="B425" s="6"/>
      <c r="C425" s="5" t="str">
        <f>IF(B425="","",INDEX({"Ocak","Şubat","Mart","Nisan","Mayıs","Haziran","Temmuz","Ağustos","Eylül","Ekim","Kasım","Aralık"},MONTH(B425)))</f>
        <v/>
      </c>
      <c r="D425" s="2"/>
      <c r="E425" s="5" t="str">
        <f>IFERROR(INDEX('Malzeme Tanımlama'!$B$5:$B$300,MATCH(D425,'Malzeme Tanımlama'!$A$5:$A$300,0)),"")</f>
        <v/>
      </c>
      <c r="F425" s="2"/>
      <c r="G425" s="5"/>
      <c r="H425" s="5" t="str">
        <f>IFERROR(INDEX('Malzeme Tanımlama'!$D$5:$D$300,MATCH(D425,'Malzeme Tanımlama'!$A$5:$A$300,0)),"")</f>
        <v/>
      </c>
      <c r="I425" s="2"/>
      <c r="J425" s="2"/>
      <c r="K425" s="2"/>
    </row>
    <row r="426" spans="1:11" x14ac:dyDescent="0.3">
      <c r="A426" s="5" t="str">
        <f>IF(D426="","",COUNTIF($D$5:D426,"?*"))</f>
        <v/>
      </c>
      <c r="B426" s="6"/>
      <c r="C426" s="5" t="str">
        <f>IF(B426="","",INDEX({"Ocak","Şubat","Mart","Nisan","Mayıs","Haziran","Temmuz","Ağustos","Eylül","Ekim","Kasım","Aralık"},MONTH(B426)))</f>
        <v/>
      </c>
      <c r="D426" s="2"/>
      <c r="E426" s="5" t="str">
        <f>IFERROR(INDEX('Malzeme Tanımlama'!$B$5:$B$300,MATCH(D426,'Malzeme Tanımlama'!$A$5:$A$300,0)),"")</f>
        <v/>
      </c>
      <c r="F426" s="2"/>
      <c r="G426" s="5"/>
      <c r="H426" s="5" t="str">
        <f>IFERROR(INDEX('Malzeme Tanımlama'!$D$5:$D$300,MATCH(D426,'Malzeme Tanımlama'!$A$5:$A$300,0)),"")</f>
        <v/>
      </c>
      <c r="I426" s="2"/>
      <c r="J426" s="2"/>
      <c r="K426" s="2"/>
    </row>
    <row r="427" spans="1:11" x14ac:dyDescent="0.3">
      <c r="A427" s="5" t="str">
        <f>IF(D427="","",COUNTIF($D$5:D427,"?*"))</f>
        <v/>
      </c>
      <c r="B427" s="6"/>
      <c r="C427" s="5" t="str">
        <f>IF(B427="","",INDEX({"Ocak","Şubat","Mart","Nisan","Mayıs","Haziran","Temmuz","Ağustos","Eylül","Ekim","Kasım","Aralık"},MONTH(B427)))</f>
        <v/>
      </c>
      <c r="D427" s="2"/>
      <c r="E427" s="5" t="str">
        <f>IFERROR(INDEX('Malzeme Tanımlama'!$B$5:$B$300,MATCH(D427,'Malzeme Tanımlama'!$A$5:$A$300,0)),"")</f>
        <v/>
      </c>
      <c r="F427" s="2"/>
      <c r="G427" s="5"/>
      <c r="H427" s="5" t="str">
        <f>IFERROR(INDEX('Malzeme Tanımlama'!$D$5:$D$300,MATCH(D427,'Malzeme Tanımlama'!$A$5:$A$300,0)),"")</f>
        <v/>
      </c>
      <c r="I427" s="2"/>
      <c r="J427" s="2"/>
      <c r="K427" s="2"/>
    </row>
    <row r="428" spans="1:11" x14ac:dyDescent="0.3">
      <c r="A428" s="5" t="str">
        <f>IF(D428="","",COUNTIF($D$5:D428,"?*"))</f>
        <v/>
      </c>
      <c r="B428" s="6"/>
      <c r="C428" s="5" t="str">
        <f>IF(B428="","",INDEX({"Ocak","Şubat","Mart","Nisan","Mayıs","Haziran","Temmuz","Ağustos","Eylül","Ekim","Kasım","Aralık"},MONTH(B428)))</f>
        <v/>
      </c>
      <c r="D428" s="2"/>
      <c r="E428" s="5" t="str">
        <f>IFERROR(INDEX('Malzeme Tanımlama'!$B$5:$B$300,MATCH(D428,'Malzeme Tanımlama'!$A$5:$A$300,0)),"")</f>
        <v/>
      </c>
      <c r="F428" s="2"/>
      <c r="G428" s="5"/>
      <c r="H428" s="5" t="str">
        <f>IFERROR(INDEX('Malzeme Tanımlama'!$D$5:$D$300,MATCH(D428,'Malzeme Tanımlama'!$A$5:$A$300,0)),"")</f>
        <v/>
      </c>
      <c r="I428" s="2"/>
      <c r="J428" s="2"/>
      <c r="K428" s="2"/>
    </row>
    <row r="429" spans="1:11" x14ac:dyDescent="0.3">
      <c r="A429" s="5" t="str">
        <f>IF(D429="","",COUNTIF($D$5:D429,"?*"))</f>
        <v/>
      </c>
      <c r="B429" s="6"/>
      <c r="C429" s="5" t="str">
        <f>IF(B429="","",INDEX({"Ocak","Şubat","Mart","Nisan","Mayıs","Haziran","Temmuz","Ağustos","Eylül","Ekim","Kasım","Aralık"},MONTH(B429)))</f>
        <v/>
      </c>
      <c r="D429" s="2"/>
      <c r="E429" s="5" t="str">
        <f>IFERROR(INDEX('Malzeme Tanımlama'!$B$5:$B$300,MATCH(D429,'Malzeme Tanımlama'!$A$5:$A$300,0)),"")</f>
        <v/>
      </c>
      <c r="F429" s="2"/>
      <c r="G429" s="5"/>
      <c r="H429" s="5" t="str">
        <f>IFERROR(INDEX('Malzeme Tanımlama'!$D$5:$D$300,MATCH(D429,'Malzeme Tanımlama'!$A$5:$A$300,0)),"")</f>
        <v/>
      </c>
      <c r="I429" s="2"/>
      <c r="J429" s="2"/>
      <c r="K429" s="2"/>
    </row>
    <row r="430" spans="1:11" x14ac:dyDescent="0.3">
      <c r="A430" s="5" t="str">
        <f>IF(D430="","",COUNTIF($D$5:D430,"?*"))</f>
        <v/>
      </c>
      <c r="B430" s="6"/>
      <c r="C430" s="5" t="str">
        <f>IF(B430="","",INDEX({"Ocak","Şubat","Mart","Nisan","Mayıs","Haziran","Temmuz","Ağustos","Eylül","Ekim","Kasım","Aralık"},MONTH(B430)))</f>
        <v/>
      </c>
      <c r="D430" s="2"/>
      <c r="E430" s="5" t="str">
        <f>IFERROR(INDEX('Malzeme Tanımlama'!$B$5:$B$300,MATCH(D430,'Malzeme Tanımlama'!$A$5:$A$300,0)),"")</f>
        <v/>
      </c>
      <c r="F430" s="2"/>
      <c r="G430" s="5"/>
      <c r="H430" s="5" t="str">
        <f>IFERROR(INDEX('Malzeme Tanımlama'!$D$5:$D$300,MATCH(D430,'Malzeme Tanımlama'!$A$5:$A$300,0)),"")</f>
        <v/>
      </c>
      <c r="I430" s="2"/>
      <c r="J430" s="2"/>
      <c r="K430" s="2"/>
    </row>
    <row r="431" spans="1:11" x14ac:dyDescent="0.3">
      <c r="A431" s="5" t="str">
        <f>IF(D431="","",COUNTIF($D$5:D431,"?*"))</f>
        <v/>
      </c>
      <c r="B431" s="6"/>
      <c r="C431" s="5" t="str">
        <f>IF(B431="","",INDEX({"Ocak","Şubat","Mart","Nisan","Mayıs","Haziran","Temmuz","Ağustos","Eylül","Ekim","Kasım","Aralık"},MONTH(B431)))</f>
        <v/>
      </c>
      <c r="D431" s="2"/>
      <c r="E431" s="5" t="str">
        <f>IFERROR(INDEX('Malzeme Tanımlama'!$B$5:$B$300,MATCH(D431,'Malzeme Tanımlama'!$A$5:$A$300,0)),"")</f>
        <v/>
      </c>
      <c r="F431" s="2"/>
      <c r="G431" s="5"/>
      <c r="H431" s="5" t="str">
        <f>IFERROR(INDEX('Malzeme Tanımlama'!$D$5:$D$300,MATCH(D431,'Malzeme Tanımlama'!$A$5:$A$300,0)),"")</f>
        <v/>
      </c>
      <c r="I431" s="2"/>
      <c r="J431" s="2"/>
      <c r="K431" s="2"/>
    </row>
    <row r="432" spans="1:11" x14ac:dyDescent="0.3">
      <c r="A432" s="5" t="str">
        <f>IF(D432="","",COUNTIF($D$5:D432,"?*"))</f>
        <v/>
      </c>
      <c r="B432" s="6"/>
      <c r="C432" s="5" t="str">
        <f>IF(B432="","",INDEX({"Ocak","Şubat","Mart","Nisan","Mayıs","Haziran","Temmuz","Ağustos","Eylül","Ekim","Kasım","Aralık"},MONTH(B432)))</f>
        <v/>
      </c>
      <c r="D432" s="2"/>
      <c r="E432" s="5" t="str">
        <f>IFERROR(INDEX('Malzeme Tanımlama'!$B$5:$B$300,MATCH(D432,'Malzeme Tanımlama'!$A$5:$A$300,0)),"")</f>
        <v/>
      </c>
      <c r="F432" s="2"/>
      <c r="G432" s="5"/>
      <c r="H432" s="5" t="str">
        <f>IFERROR(INDEX('Malzeme Tanımlama'!$D$5:$D$300,MATCH(D432,'Malzeme Tanımlama'!$A$5:$A$300,0)),"")</f>
        <v/>
      </c>
      <c r="I432" s="2"/>
      <c r="J432" s="2"/>
      <c r="K432" s="2"/>
    </row>
    <row r="433" spans="1:11" x14ac:dyDescent="0.3">
      <c r="A433" s="5" t="str">
        <f>IF(D433="","",COUNTIF($D$5:D433,"?*"))</f>
        <v/>
      </c>
      <c r="B433" s="6"/>
      <c r="C433" s="5" t="str">
        <f>IF(B433="","",INDEX({"Ocak","Şubat","Mart","Nisan","Mayıs","Haziran","Temmuz","Ağustos","Eylül","Ekim","Kasım","Aralık"},MONTH(B433)))</f>
        <v/>
      </c>
      <c r="D433" s="2"/>
      <c r="E433" s="5" t="str">
        <f>IFERROR(INDEX('Malzeme Tanımlama'!$B$5:$B$300,MATCH(D433,'Malzeme Tanımlama'!$A$5:$A$300,0)),"")</f>
        <v/>
      </c>
      <c r="F433" s="2"/>
      <c r="G433" s="5"/>
      <c r="H433" s="5" t="str">
        <f>IFERROR(INDEX('Malzeme Tanımlama'!$D$5:$D$300,MATCH(D433,'Malzeme Tanımlama'!$A$5:$A$300,0)),"")</f>
        <v/>
      </c>
      <c r="I433" s="2"/>
      <c r="J433" s="2"/>
      <c r="K433" s="2"/>
    </row>
    <row r="434" spans="1:11" x14ac:dyDescent="0.3">
      <c r="A434" s="5" t="str">
        <f>IF(D434="","",COUNTIF($D$5:D434,"?*"))</f>
        <v/>
      </c>
      <c r="B434" s="6"/>
      <c r="C434" s="5" t="str">
        <f>IF(B434="","",INDEX({"Ocak","Şubat","Mart","Nisan","Mayıs","Haziran","Temmuz","Ağustos","Eylül","Ekim","Kasım","Aralık"},MONTH(B434)))</f>
        <v/>
      </c>
      <c r="D434" s="2"/>
      <c r="E434" s="5" t="str">
        <f>IFERROR(INDEX('Malzeme Tanımlama'!$B$5:$B$300,MATCH(D434,'Malzeme Tanımlama'!$A$5:$A$300,0)),"")</f>
        <v/>
      </c>
      <c r="F434" s="2"/>
      <c r="G434" s="5"/>
      <c r="H434" s="5" t="str">
        <f>IFERROR(INDEX('Malzeme Tanımlama'!$D$5:$D$300,MATCH(D434,'Malzeme Tanımlama'!$A$5:$A$300,0)),"")</f>
        <v/>
      </c>
      <c r="I434" s="2"/>
      <c r="J434" s="2"/>
      <c r="K434" s="2"/>
    </row>
    <row r="435" spans="1:11" x14ac:dyDescent="0.3">
      <c r="A435" s="5" t="str">
        <f>IF(D435="","",COUNTIF($D$5:D435,"?*"))</f>
        <v/>
      </c>
      <c r="B435" s="6"/>
      <c r="C435" s="5" t="str">
        <f>IF(B435="","",INDEX({"Ocak","Şubat","Mart","Nisan","Mayıs","Haziran","Temmuz","Ağustos","Eylül","Ekim","Kasım","Aralık"},MONTH(B435)))</f>
        <v/>
      </c>
      <c r="D435" s="2"/>
      <c r="E435" s="5" t="str">
        <f>IFERROR(INDEX('Malzeme Tanımlama'!$B$5:$B$300,MATCH(D435,'Malzeme Tanımlama'!$A$5:$A$300,0)),"")</f>
        <v/>
      </c>
      <c r="F435" s="2"/>
      <c r="G435" s="5"/>
      <c r="H435" s="5" t="str">
        <f>IFERROR(INDEX('Malzeme Tanımlama'!$D$5:$D$300,MATCH(D435,'Malzeme Tanımlama'!$A$5:$A$300,0)),"")</f>
        <v/>
      </c>
      <c r="I435" s="2"/>
      <c r="J435" s="2"/>
      <c r="K435" s="2"/>
    </row>
    <row r="436" spans="1:11" x14ac:dyDescent="0.3">
      <c r="A436" s="5" t="str">
        <f>IF(D436="","",COUNTIF($D$5:D436,"?*"))</f>
        <v/>
      </c>
      <c r="B436" s="6"/>
      <c r="C436" s="5" t="str">
        <f>IF(B436="","",INDEX({"Ocak","Şubat","Mart","Nisan","Mayıs","Haziran","Temmuz","Ağustos","Eylül","Ekim","Kasım","Aralık"},MONTH(B436)))</f>
        <v/>
      </c>
      <c r="D436" s="2"/>
      <c r="E436" s="5" t="str">
        <f>IFERROR(INDEX('Malzeme Tanımlama'!$B$5:$B$300,MATCH(D436,'Malzeme Tanımlama'!$A$5:$A$300,0)),"")</f>
        <v/>
      </c>
      <c r="F436" s="2"/>
      <c r="G436" s="5"/>
      <c r="H436" s="5" t="str">
        <f>IFERROR(INDEX('Malzeme Tanımlama'!$D$5:$D$300,MATCH(D436,'Malzeme Tanımlama'!$A$5:$A$300,0)),"")</f>
        <v/>
      </c>
      <c r="I436" s="2"/>
      <c r="J436" s="2"/>
      <c r="K436" s="2"/>
    </row>
    <row r="437" spans="1:11" x14ac:dyDescent="0.3">
      <c r="A437" s="5" t="str">
        <f>IF(D437="","",COUNTIF($D$5:D437,"?*"))</f>
        <v/>
      </c>
      <c r="B437" s="6"/>
      <c r="C437" s="5" t="str">
        <f>IF(B437="","",INDEX({"Ocak","Şubat","Mart","Nisan","Mayıs","Haziran","Temmuz","Ağustos","Eylül","Ekim","Kasım","Aralık"},MONTH(B437)))</f>
        <v/>
      </c>
      <c r="D437" s="2"/>
      <c r="E437" s="5" t="str">
        <f>IFERROR(INDEX('Malzeme Tanımlama'!$B$5:$B$300,MATCH(D437,'Malzeme Tanımlama'!$A$5:$A$300,0)),"")</f>
        <v/>
      </c>
      <c r="F437" s="2"/>
      <c r="G437" s="5"/>
      <c r="H437" s="5" t="str">
        <f>IFERROR(INDEX('Malzeme Tanımlama'!$D$5:$D$300,MATCH(D437,'Malzeme Tanımlama'!$A$5:$A$300,0)),"")</f>
        <v/>
      </c>
      <c r="I437" s="2"/>
      <c r="J437" s="2"/>
      <c r="K437" s="2"/>
    </row>
    <row r="438" spans="1:11" x14ac:dyDescent="0.3">
      <c r="A438" s="5" t="str">
        <f>IF(D438="","",COUNTIF($D$5:D438,"?*"))</f>
        <v/>
      </c>
      <c r="B438" s="6"/>
      <c r="C438" s="5" t="str">
        <f>IF(B438="","",INDEX({"Ocak","Şubat","Mart","Nisan","Mayıs","Haziran","Temmuz","Ağustos","Eylül","Ekim","Kasım","Aralık"},MONTH(B438)))</f>
        <v/>
      </c>
      <c r="D438" s="2"/>
      <c r="E438" s="5" t="str">
        <f>IFERROR(INDEX('Malzeme Tanımlama'!$B$5:$B$300,MATCH(D438,'Malzeme Tanımlama'!$A$5:$A$300,0)),"")</f>
        <v/>
      </c>
      <c r="F438" s="2"/>
      <c r="G438" s="5"/>
      <c r="H438" s="5" t="str">
        <f>IFERROR(INDEX('Malzeme Tanımlama'!$D$5:$D$300,MATCH(D438,'Malzeme Tanımlama'!$A$5:$A$300,0)),"")</f>
        <v/>
      </c>
      <c r="I438" s="2"/>
      <c r="J438" s="2"/>
      <c r="K438" s="2"/>
    </row>
    <row r="439" spans="1:11" x14ac:dyDescent="0.3">
      <c r="A439" s="5" t="str">
        <f>IF(D439="","",COUNTIF($D$5:D439,"?*"))</f>
        <v/>
      </c>
      <c r="B439" s="6"/>
      <c r="C439" s="5" t="str">
        <f>IF(B439="","",INDEX({"Ocak","Şubat","Mart","Nisan","Mayıs","Haziran","Temmuz","Ağustos","Eylül","Ekim","Kasım","Aralık"},MONTH(B439)))</f>
        <v/>
      </c>
      <c r="D439" s="2"/>
      <c r="E439" s="5" t="str">
        <f>IFERROR(INDEX('Malzeme Tanımlama'!$B$5:$B$300,MATCH(D439,'Malzeme Tanımlama'!$A$5:$A$300,0)),"")</f>
        <v/>
      </c>
      <c r="F439" s="2"/>
      <c r="G439" s="5"/>
      <c r="H439" s="5" t="str">
        <f>IFERROR(INDEX('Malzeme Tanımlama'!$D$5:$D$300,MATCH(D439,'Malzeme Tanımlama'!$A$5:$A$300,0)),"")</f>
        <v/>
      </c>
      <c r="I439" s="2"/>
      <c r="J439" s="2"/>
      <c r="K439" s="2"/>
    </row>
    <row r="440" spans="1:11" x14ac:dyDescent="0.3">
      <c r="A440" s="5" t="str">
        <f>IF(D440="","",COUNTIF($D$5:D440,"?*"))</f>
        <v/>
      </c>
      <c r="B440" s="6"/>
      <c r="C440" s="5" t="str">
        <f>IF(B440="","",INDEX({"Ocak","Şubat","Mart","Nisan","Mayıs","Haziran","Temmuz","Ağustos","Eylül","Ekim","Kasım","Aralık"},MONTH(B440)))</f>
        <v/>
      </c>
      <c r="D440" s="2"/>
      <c r="E440" s="5" t="str">
        <f>IFERROR(INDEX('Malzeme Tanımlama'!$B$5:$B$300,MATCH(D440,'Malzeme Tanımlama'!$A$5:$A$300,0)),"")</f>
        <v/>
      </c>
      <c r="F440" s="2"/>
      <c r="G440" s="5"/>
      <c r="H440" s="5" t="str">
        <f>IFERROR(INDEX('Malzeme Tanımlama'!$D$5:$D$300,MATCH(D440,'Malzeme Tanımlama'!$A$5:$A$300,0)),"")</f>
        <v/>
      </c>
      <c r="I440" s="2"/>
      <c r="J440" s="2"/>
      <c r="K440" s="2"/>
    </row>
    <row r="441" spans="1:11" x14ac:dyDescent="0.3">
      <c r="A441" s="5" t="str">
        <f>IF(D441="","",COUNTIF($D$5:D441,"?*"))</f>
        <v/>
      </c>
      <c r="B441" s="6"/>
      <c r="C441" s="5" t="str">
        <f>IF(B441="","",INDEX({"Ocak","Şubat","Mart","Nisan","Mayıs","Haziran","Temmuz","Ağustos","Eylül","Ekim","Kasım","Aralık"},MONTH(B441)))</f>
        <v/>
      </c>
      <c r="D441" s="2"/>
      <c r="E441" s="5" t="str">
        <f>IFERROR(INDEX('Malzeme Tanımlama'!$B$5:$B$300,MATCH(D441,'Malzeme Tanımlama'!$A$5:$A$300,0)),"")</f>
        <v/>
      </c>
      <c r="F441" s="2"/>
      <c r="G441" s="5"/>
      <c r="H441" s="5" t="str">
        <f>IFERROR(INDEX('Malzeme Tanımlama'!$D$5:$D$300,MATCH(D441,'Malzeme Tanımlama'!$A$5:$A$300,0)),"")</f>
        <v/>
      </c>
      <c r="I441" s="2"/>
      <c r="J441" s="2"/>
      <c r="K441" s="2"/>
    </row>
    <row r="442" spans="1:11" x14ac:dyDescent="0.3">
      <c r="A442" s="5" t="str">
        <f>IF(D442="","",COUNTIF($D$5:D442,"?*"))</f>
        <v/>
      </c>
      <c r="B442" s="6"/>
      <c r="C442" s="5" t="str">
        <f>IF(B442="","",INDEX({"Ocak","Şubat","Mart","Nisan","Mayıs","Haziran","Temmuz","Ağustos","Eylül","Ekim","Kasım","Aralık"},MONTH(B442)))</f>
        <v/>
      </c>
      <c r="D442" s="2"/>
      <c r="E442" s="5" t="str">
        <f>IFERROR(INDEX('Malzeme Tanımlama'!$B$5:$B$300,MATCH(D442,'Malzeme Tanımlama'!$A$5:$A$300,0)),"")</f>
        <v/>
      </c>
      <c r="F442" s="2"/>
      <c r="G442" s="5"/>
      <c r="H442" s="5" t="str">
        <f>IFERROR(INDEX('Malzeme Tanımlama'!$D$5:$D$300,MATCH(D442,'Malzeme Tanımlama'!$A$5:$A$300,0)),"")</f>
        <v/>
      </c>
      <c r="I442" s="2"/>
      <c r="J442" s="2"/>
      <c r="K442" s="2"/>
    </row>
    <row r="443" spans="1:11" x14ac:dyDescent="0.3">
      <c r="A443" s="5" t="str">
        <f>IF(D443="","",COUNTIF($D$5:D443,"?*"))</f>
        <v/>
      </c>
      <c r="B443" s="6"/>
      <c r="C443" s="5" t="str">
        <f>IF(B443="","",INDEX({"Ocak","Şubat","Mart","Nisan","Mayıs","Haziran","Temmuz","Ağustos","Eylül","Ekim","Kasım","Aralık"},MONTH(B443)))</f>
        <v/>
      </c>
      <c r="D443" s="2"/>
      <c r="E443" s="5" t="str">
        <f>IFERROR(INDEX('Malzeme Tanımlama'!$B$5:$B$300,MATCH(D443,'Malzeme Tanımlama'!$A$5:$A$300,0)),"")</f>
        <v/>
      </c>
      <c r="F443" s="2"/>
      <c r="G443" s="5"/>
      <c r="H443" s="5" t="str">
        <f>IFERROR(INDEX('Malzeme Tanımlama'!$D$5:$D$300,MATCH(D443,'Malzeme Tanımlama'!$A$5:$A$300,0)),"")</f>
        <v/>
      </c>
      <c r="I443" s="2"/>
      <c r="J443" s="2"/>
      <c r="K443" s="2"/>
    </row>
    <row r="444" spans="1:11" x14ac:dyDescent="0.3">
      <c r="A444" s="5" t="str">
        <f>IF(D444="","",COUNTIF($D$5:D444,"?*"))</f>
        <v/>
      </c>
      <c r="B444" s="6"/>
      <c r="C444" s="5" t="str">
        <f>IF(B444="","",INDEX({"Ocak","Şubat","Mart","Nisan","Mayıs","Haziran","Temmuz","Ağustos","Eylül","Ekim","Kasım","Aralık"},MONTH(B444)))</f>
        <v/>
      </c>
      <c r="D444" s="2"/>
      <c r="E444" s="5" t="str">
        <f>IFERROR(INDEX('Malzeme Tanımlama'!$B$5:$B$300,MATCH(D444,'Malzeme Tanımlama'!$A$5:$A$300,0)),"")</f>
        <v/>
      </c>
      <c r="F444" s="2"/>
      <c r="G444" s="5"/>
      <c r="H444" s="5" t="str">
        <f>IFERROR(INDEX('Malzeme Tanımlama'!$D$5:$D$300,MATCH(D444,'Malzeme Tanımlama'!$A$5:$A$300,0)),"")</f>
        <v/>
      </c>
      <c r="I444" s="2"/>
      <c r="J444" s="2"/>
      <c r="K444" s="2"/>
    </row>
    <row r="445" spans="1:11" x14ac:dyDescent="0.3">
      <c r="A445" s="5" t="str">
        <f>IF(D445="","",COUNTIF($D$5:D445,"?*"))</f>
        <v/>
      </c>
      <c r="B445" s="6"/>
      <c r="C445" s="5" t="str">
        <f>IF(B445="","",INDEX({"Ocak","Şubat","Mart","Nisan","Mayıs","Haziran","Temmuz","Ağustos","Eylül","Ekim","Kasım","Aralık"},MONTH(B445)))</f>
        <v/>
      </c>
      <c r="D445" s="2"/>
      <c r="E445" s="5" t="str">
        <f>IFERROR(INDEX('Malzeme Tanımlama'!$B$5:$B$300,MATCH(D445,'Malzeme Tanımlama'!$A$5:$A$300,0)),"")</f>
        <v/>
      </c>
      <c r="F445" s="2"/>
      <c r="G445" s="5"/>
      <c r="H445" s="5" t="str">
        <f>IFERROR(INDEX('Malzeme Tanımlama'!$D$5:$D$300,MATCH(D445,'Malzeme Tanımlama'!$A$5:$A$300,0)),"")</f>
        <v/>
      </c>
      <c r="I445" s="2"/>
      <c r="J445" s="2"/>
      <c r="K445" s="2"/>
    </row>
    <row r="446" spans="1:11" x14ac:dyDescent="0.3">
      <c r="A446" s="5" t="str">
        <f>IF(D446="","",COUNTIF($D$5:D446,"?*"))</f>
        <v/>
      </c>
      <c r="B446" s="6"/>
      <c r="C446" s="5" t="str">
        <f>IF(B446="","",INDEX({"Ocak","Şubat","Mart","Nisan","Mayıs","Haziran","Temmuz","Ağustos","Eylül","Ekim","Kasım","Aralık"},MONTH(B446)))</f>
        <v/>
      </c>
      <c r="D446" s="2"/>
      <c r="E446" s="5" t="str">
        <f>IFERROR(INDEX('Malzeme Tanımlama'!$B$5:$B$300,MATCH(D446,'Malzeme Tanımlama'!$A$5:$A$300,0)),"")</f>
        <v/>
      </c>
      <c r="F446" s="2"/>
      <c r="G446" s="5"/>
      <c r="H446" s="5" t="str">
        <f>IFERROR(INDEX('Malzeme Tanımlama'!$D$5:$D$300,MATCH(D446,'Malzeme Tanımlama'!$A$5:$A$300,0)),"")</f>
        <v/>
      </c>
      <c r="I446" s="2"/>
      <c r="J446" s="2"/>
      <c r="K446" s="2"/>
    </row>
    <row r="447" spans="1:11" x14ac:dyDescent="0.3">
      <c r="A447" s="5" t="str">
        <f>IF(D447="","",COUNTIF($D$5:D447,"?*"))</f>
        <v/>
      </c>
      <c r="B447" s="6"/>
      <c r="C447" s="5" t="str">
        <f>IF(B447="","",INDEX({"Ocak","Şubat","Mart","Nisan","Mayıs","Haziran","Temmuz","Ağustos","Eylül","Ekim","Kasım","Aralık"},MONTH(B447)))</f>
        <v/>
      </c>
      <c r="D447" s="2"/>
      <c r="E447" s="5" t="str">
        <f>IFERROR(INDEX('Malzeme Tanımlama'!$B$5:$B$300,MATCH(D447,'Malzeme Tanımlama'!$A$5:$A$300,0)),"")</f>
        <v/>
      </c>
      <c r="F447" s="2"/>
      <c r="G447" s="5"/>
      <c r="H447" s="5" t="str">
        <f>IFERROR(INDEX('Malzeme Tanımlama'!$D$5:$D$300,MATCH(D447,'Malzeme Tanımlama'!$A$5:$A$300,0)),"")</f>
        <v/>
      </c>
      <c r="I447" s="2"/>
      <c r="J447" s="2"/>
      <c r="K447" s="2"/>
    </row>
    <row r="448" spans="1:11" x14ac:dyDescent="0.3">
      <c r="A448" s="5" t="str">
        <f>IF(D448="","",COUNTIF($D$5:D448,"?*"))</f>
        <v/>
      </c>
      <c r="B448" s="6"/>
      <c r="C448" s="5" t="str">
        <f>IF(B448="","",INDEX({"Ocak","Şubat","Mart","Nisan","Mayıs","Haziran","Temmuz","Ağustos","Eylül","Ekim","Kasım","Aralık"},MONTH(B448)))</f>
        <v/>
      </c>
      <c r="D448" s="2"/>
      <c r="E448" s="5" t="str">
        <f>IFERROR(INDEX('Malzeme Tanımlama'!$B$5:$B$300,MATCH(D448,'Malzeme Tanımlama'!$A$5:$A$300,0)),"")</f>
        <v/>
      </c>
      <c r="F448" s="2"/>
      <c r="G448" s="5"/>
      <c r="H448" s="5" t="str">
        <f>IFERROR(INDEX('Malzeme Tanımlama'!$D$5:$D$300,MATCH(D448,'Malzeme Tanımlama'!$A$5:$A$300,0)),"")</f>
        <v/>
      </c>
      <c r="I448" s="2"/>
      <c r="J448" s="2"/>
      <c r="K448" s="2"/>
    </row>
    <row r="449" spans="1:11" x14ac:dyDescent="0.3">
      <c r="A449" s="5" t="str">
        <f>IF(D449="","",COUNTIF($D$5:D449,"?*"))</f>
        <v/>
      </c>
      <c r="B449" s="6"/>
      <c r="C449" s="5" t="str">
        <f>IF(B449="","",INDEX({"Ocak","Şubat","Mart","Nisan","Mayıs","Haziran","Temmuz","Ağustos","Eylül","Ekim","Kasım","Aralık"},MONTH(B449)))</f>
        <v/>
      </c>
      <c r="D449" s="2"/>
      <c r="E449" s="5" t="str">
        <f>IFERROR(INDEX('Malzeme Tanımlama'!$B$5:$B$300,MATCH(D449,'Malzeme Tanımlama'!$A$5:$A$300,0)),"")</f>
        <v/>
      </c>
      <c r="F449" s="2"/>
      <c r="G449" s="5"/>
      <c r="H449" s="5" t="str">
        <f>IFERROR(INDEX('Malzeme Tanımlama'!$D$5:$D$300,MATCH(D449,'Malzeme Tanımlama'!$A$5:$A$300,0)),"")</f>
        <v/>
      </c>
      <c r="I449" s="2"/>
      <c r="J449" s="2"/>
      <c r="K449" s="2"/>
    </row>
    <row r="450" spans="1:11" x14ac:dyDescent="0.3">
      <c r="A450" s="5" t="str">
        <f>IF(D450="","",COUNTIF($D$5:D450,"?*"))</f>
        <v/>
      </c>
      <c r="B450" s="6"/>
      <c r="C450" s="5" t="str">
        <f>IF(B450="","",INDEX({"Ocak","Şubat","Mart","Nisan","Mayıs","Haziran","Temmuz","Ağustos","Eylül","Ekim","Kasım","Aralık"},MONTH(B450)))</f>
        <v/>
      </c>
      <c r="D450" s="2"/>
      <c r="E450" s="5" t="str">
        <f>IFERROR(INDEX('Malzeme Tanımlama'!$B$5:$B$300,MATCH(D450,'Malzeme Tanımlama'!$A$5:$A$300,0)),"")</f>
        <v/>
      </c>
      <c r="F450" s="2"/>
      <c r="G450" s="5"/>
      <c r="H450" s="5" t="str">
        <f>IFERROR(INDEX('Malzeme Tanımlama'!$D$5:$D$300,MATCH(D450,'Malzeme Tanımlama'!$A$5:$A$300,0)),"")</f>
        <v/>
      </c>
      <c r="I450" s="2"/>
      <c r="J450" s="2"/>
      <c r="K450" s="2"/>
    </row>
    <row r="451" spans="1:11" x14ac:dyDescent="0.3">
      <c r="A451" s="5" t="str">
        <f>IF(D451="","",COUNTIF($D$5:D451,"?*"))</f>
        <v/>
      </c>
      <c r="B451" s="6"/>
      <c r="C451" s="5" t="str">
        <f>IF(B451="","",INDEX({"Ocak","Şubat","Mart","Nisan","Mayıs","Haziran","Temmuz","Ağustos","Eylül","Ekim","Kasım","Aralık"},MONTH(B451)))</f>
        <v/>
      </c>
      <c r="D451" s="2"/>
      <c r="E451" s="5" t="str">
        <f>IFERROR(INDEX('Malzeme Tanımlama'!$B$5:$B$300,MATCH(D451,'Malzeme Tanımlama'!$A$5:$A$300,0)),"")</f>
        <v/>
      </c>
      <c r="F451" s="2"/>
      <c r="G451" s="5"/>
      <c r="H451" s="5" t="str">
        <f>IFERROR(INDEX('Malzeme Tanımlama'!$D$5:$D$300,MATCH(D451,'Malzeme Tanımlama'!$A$5:$A$300,0)),"")</f>
        <v/>
      </c>
      <c r="I451" s="2"/>
      <c r="J451" s="2"/>
      <c r="K451" s="2"/>
    </row>
    <row r="452" spans="1:11" x14ac:dyDescent="0.3">
      <c r="A452" s="5" t="str">
        <f>IF(D452="","",COUNTIF($D$5:D452,"?*"))</f>
        <v/>
      </c>
      <c r="B452" s="6"/>
      <c r="C452" s="5" t="str">
        <f>IF(B452="","",INDEX({"Ocak","Şubat","Mart","Nisan","Mayıs","Haziran","Temmuz","Ağustos","Eylül","Ekim","Kasım","Aralık"},MONTH(B452)))</f>
        <v/>
      </c>
      <c r="D452" s="2"/>
      <c r="E452" s="5" t="str">
        <f>IFERROR(INDEX('Malzeme Tanımlama'!$B$5:$B$300,MATCH(D452,'Malzeme Tanımlama'!$A$5:$A$300,0)),"")</f>
        <v/>
      </c>
      <c r="F452" s="2"/>
      <c r="G452" s="5"/>
      <c r="H452" s="5" t="str">
        <f>IFERROR(INDEX('Malzeme Tanımlama'!$D$5:$D$300,MATCH(D452,'Malzeme Tanımlama'!$A$5:$A$300,0)),"")</f>
        <v/>
      </c>
      <c r="I452" s="2"/>
      <c r="J452" s="2"/>
      <c r="K452" s="2"/>
    </row>
    <row r="453" spans="1:11" x14ac:dyDescent="0.3">
      <c r="A453" s="5" t="str">
        <f>IF(D453="","",COUNTIF($D$5:D453,"?*"))</f>
        <v/>
      </c>
      <c r="B453" s="6"/>
      <c r="C453" s="5" t="str">
        <f>IF(B453="","",INDEX({"Ocak","Şubat","Mart","Nisan","Mayıs","Haziran","Temmuz","Ağustos","Eylül","Ekim","Kasım","Aralık"},MONTH(B453)))</f>
        <v/>
      </c>
      <c r="D453" s="2"/>
      <c r="E453" s="5" t="str">
        <f>IFERROR(INDEX('Malzeme Tanımlama'!$B$5:$B$300,MATCH(D453,'Malzeme Tanımlama'!$A$5:$A$300,0)),"")</f>
        <v/>
      </c>
      <c r="F453" s="2"/>
      <c r="G453" s="5"/>
      <c r="H453" s="5" t="str">
        <f>IFERROR(INDEX('Malzeme Tanımlama'!$D$5:$D$300,MATCH(D453,'Malzeme Tanımlama'!$A$5:$A$300,0)),"")</f>
        <v/>
      </c>
      <c r="I453" s="2"/>
      <c r="J453" s="2"/>
      <c r="K453" s="2"/>
    </row>
    <row r="454" spans="1:11" x14ac:dyDescent="0.3">
      <c r="A454" s="5" t="str">
        <f>IF(D454="","",COUNTIF($D$5:D454,"?*"))</f>
        <v/>
      </c>
      <c r="B454" s="6"/>
      <c r="C454" s="5" t="str">
        <f>IF(B454="","",INDEX({"Ocak","Şubat","Mart","Nisan","Mayıs","Haziran","Temmuz","Ağustos","Eylül","Ekim","Kasım","Aralık"},MONTH(B454)))</f>
        <v/>
      </c>
      <c r="D454" s="2"/>
      <c r="E454" s="5" t="str">
        <f>IFERROR(INDEX('Malzeme Tanımlama'!$B$5:$B$300,MATCH(D454,'Malzeme Tanımlama'!$A$5:$A$300,0)),"")</f>
        <v/>
      </c>
      <c r="F454" s="2"/>
      <c r="G454" s="5"/>
      <c r="H454" s="5" t="str">
        <f>IFERROR(INDEX('Malzeme Tanımlama'!$D$5:$D$300,MATCH(D454,'Malzeme Tanımlama'!$A$5:$A$300,0)),"")</f>
        <v/>
      </c>
      <c r="I454" s="2"/>
      <c r="J454" s="2"/>
      <c r="K454" s="2"/>
    </row>
    <row r="455" spans="1:11" x14ac:dyDescent="0.3">
      <c r="A455" s="5" t="str">
        <f>IF(D455="","",COUNTIF($D$5:D455,"?*"))</f>
        <v/>
      </c>
      <c r="B455" s="6"/>
      <c r="C455" s="5" t="str">
        <f>IF(B455="","",INDEX({"Ocak","Şubat","Mart","Nisan","Mayıs","Haziran","Temmuz","Ağustos","Eylül","Ekim","Kasım","Aralık"},MONTH(B455)))</f>
        <v/>
      </c>
      <c r="D455" s="2"/>
      <c r="E455" s="5" t="str">
        <f>IFERROR(INDEX('Malzeme Tanımlama'!$B$5:$B$300,MATCH(D455,'Malzeme Tanımlama'!$A$5:$A$300,0)),"")</f>
        <v/>
      </c>
      <c r="F455" s="2"/>
      <c r="G455" s="5"/>
      <c r="H455" s="5" t="str">
        <f>IFERROR(INDEX('Malzeme Tanımlama'!$D$5:$D$300,MATCH(D455,'Malzeme Tanımlama'!$A$5:$A$300,0)),"")</f>
        <v/>
      </c>
      <c r="I455" s="2"/>
      <c r="J455" s="2"/>
      <c r="K455" s="2"/>
    </row>
    <row r="456" spans="1:11" x14ac:dyDescent="0.3">
      <c r="A456" s="5" t="str">
        <f>IF(D456="","",COUNTIF($D$5:D456,"?*"))</f>
        <v/>
      </c>
      <c r="B456" s="6"/>
      <c r="C456" s="5" t="str">
        <f>IF(B456="","",INDEX({"Ocak","Şubat","Mart","Nisan","Mayıs","Haziran","Temmuz","Ağustos","Eylül","Ekim","Kasım","Aralık"},MONTH(B456)))</f>
        <v/>
      </c>
      <c r="D456" s="2"/>
      <c r="E456" s="5" t="str">
        <f>IFERROR(INDEX('Malzeme Tanımlama'!$B$5:$B$300,MATCH(D456,'Malzeme Tanımlama'!$A$5:$A$300,0)),"")</f>
        <v/>
      </c>
      <c r="F456" s="2"/>
      <c r="G456" s="5"/>
      <c r="H456" s="5" t="str">
        <f>IFERROR(INDEX('Malzeme Tanımlama'!$D$5:$D$300,MATCH(D456,'Malzeme Tanımlama'!$A$5:$A$300,0)),"")</f>
        <v/>
      </c>
      <c r="I456" s="2"/>
      <c r="J456" s="2"/>
      <c r="K456" s="2"/>
    </row>
    <row r="457" spans="1:11" x14ac:dyDescent="0.3">
      <c r="A457" s="5" t="str">
        <f>IF(D457="","",COUNTIF($D$5:D457,"?*"))</f>
        <v/>
      </c>
      <c r="B457" s="6"/>
      <c r="C457" s="5" t="str">
        <f>IF(B457="","",INDEX({"Ocak","Şubat","Mart","Nisan","Mayıs","Haziran","Temmuz","Ağustos","Eylül","Ekim","Kasım","Aralık"},MONTH(B457)))</f>
        <v/>
      </c>
      <c r="D457" s="2"/>
      <c r="E457" s="5" t="str">
        <f>IFERROR(INDEX('Malzeme Tanımlama'!$B$5:$B$300,MATCH(D457,'Malzeme Tanımlama'!$A$5:$A$300,0)),"")</f>
        <v/>
      </c>
      <c r="F457" s="2"/>
      <c r="G457" s="5"/>
      <c r="H457" s="5" t="str">
        <f>IFERROR(INDEX('Malzeme Tanımlama'!$D$5:$D$300,MATCH(D457,'Malzeme Tanımlama'!$A$5:$A$300,0)),"")</f>
        <v/>
      </c>
      <c r="I457" s="2"/>
      <c r="J457" s="2"/>
      <c r="K457" s="2"/>
    </row>
    <row r="458" spans="1:11" x14ac:dyDescent="0.3">
      <c r="A458" s="5" t="str">
        <f>IF(D458="","",COUNTIF($D$5:D458,"?*"))</f>
        <v/>
      </c>
      <c r="B458" s="6"/>
      <c r="C458" s="5" t="str">
        <f>IF(B458="","",INDEX({"Ocak","Şubat","Mart","Nisan","Mayıs","Haziran","Temmuz","Ağustos","Eylül","Ekim","Kasım","Aralık"},MONTH(B458)))</f>
        <v/>
      </c>
      <c r="D458" s="2"/>
      <c r="E458" s="5" t="str">
        <f>IFERROR(INDEX('Malzeme Tanımlama'!$B$5:$B$300,MATCH(D458,'Malzeme Tanımlama'!$A$5:$A$300,0)),"")</f>
        <v/>
      </c>
      <c r="F458" s="2"/>
      <c r="G458" s="5"/>
      <c r="H458" s="5" t="str">
        <f>IFERROR(INDEX('Malzeme Tanımlama'!$D$5:$D$300,MATCH(D458,'Malzeme Tanımlama'!$A$5:$A$300,0)),"")</f>
        <v/>
      </c>
      <c r="I458" s="2"/>
      <c r="J458" s="2"/>
      <c r="K458" s="2"/>
    </row>
    <row r="459" spans="1:11" x14ac:dyDescent="0.3">
      <c r="A459" s="5" t="str">
        <f>IF(D459="","",COUNTIF($D$5:D459,"?*"))</f>
        <v/>
      </c>
      <c r="B459" s="6"/>
      <c r="C459" s="5" t="str">
        <f>IF(B459="","",INDEX({"Ocak","Şubat","Mart","Nisan","Mayıs","Haziran","Temmuz","Ağustos","Eylül","Ekim","Kasım","Aralık"},MONTH(B459)))</f>
        <v/>
      </c>
      <c r="D459" s="2"/>
      <c r="E459" s="5" t="str">
        <f>IFERROR(INDEX('Malzeme Tanımlama'!$B$5:$B$300,MATCH(D459,'Malzeme Tanımlama'!$A$5:$A$300,0)),"")</f>
        <v/>
      </c>
      <c r="F459" s="2"/>
      <c r="G459" s="5"/>
      <c r="H459" s="5" t="str">
        <f>IFERROR(INDEX('Malzeme Tanımlama'!$D$5:$D$300,MATCH(D459,'Malzeme Tanımlama'!$A$5:$A$300,0)),"")</f>
        <v/>
      </c>
      <c r="I459" s="2"/>
      <c r="J459" s="2"/>
      <c r="K459" s="2"/>
    </row>
    <row r="460" spans="1:11" x14ac:dyDescent="0.3">
      <c r="A460" s="5" t="str">
        <f>IF(D460="","",COUNTIF($D$5:D460,"?*"))</f>
        <v/>
      </c>
      <c r="B460" s="6"/>
      <c r="C460" s="5" t="str">
        <f>IF(B460="","",INDEX({"Ocak","Şubat","Mart","Nisan","Mayıs","Haziran","Temmuz","Ağustos","Eylül","Ekim","Kasım","Aralık"},MONTH(B460)))</f>
        <v/>
      </c>
      <c r="D460" s="2"/>
      <c r="E460" s="5" t="str">
        <f>IFERROR(INDEX('Malzeme Tanımlama'!$B$5:$B$300,MATCH(D460,'Malzeme Tanımlama'!$A$5:$A$300,0)),"")</f>
        <v/>
      </c>
      <c r="F460" s="2"/>
      <c r="G460" s="5"/>
      <c r="H460" s="5" t="str">
        <f>IFERROR(INDEX('Malzeme Tanımlama'!$D$5:$D$300,MATCH(D460,'Malzeme Tanımlama'!$A$5:$A$300,0)),"")</f>
        <v/>
      </c>
      <c r="I460" s="2"/>
      <c r="J460" s="2"/>
      <c r="K460" s="2"/>
    </row>
    <row r="461" spans="1:11" x14ac:dyDescent="0.3">
      <c r="A461" s="5" t="str">
        <f>IF(D461="","",COUNTIF($D$5:D461,"?*"))</f>
        <v/>
      </c>
      <c r="B461" s="6"/>
      <c r="C461" s="5" t="str">
        <f>IF(B461="","",INDEX({"Ocak","Şubat","Mart","Nisan","Mayıs","Haziran","Temmuz","Ağustos","Eylül","Ekim","Kasım","Aralık"},MONTH(B461)))</f>
        <v/>
      </c>
      <c r="D461" s="2"/>
      <c r="E461" s="5" t="str">
        <f>IFERROR(INDEX('Malzeme Tanımlama'!$B$5:$B$300,MATCH(D461,'Malzeme Tanımlama'!$A$5:$A$300,0)),"")</f>
        <v/>
      </c>
      <c r="F461" s="2"/>
      <c r="G461" s="5"/>
      <c r="H461" s="5" t="str">
        <f>IFERROR(INDEX('Malzeme Tanımlama'!$D$5:$D$300,MATCH(D461,'Malzeme Tanımlama'!$A$5:$A$300,0)),"")</f>
        <v/>
      </c>
      <c r="I461" s="2"/>
      <c r="J461" s="2"/>
      <c r="K461" s="2"/>
    </row>
    <row r="462" spans="1:11" x14ac:dyDescent="0.3">
      <c r="A462" s="5" t="str">
        <f>IF(D462="","",COUNTIF($D$5:D462,"?*"))</f>
        <v/>
      </c>
      <c r="B462" s="6"/>
      <c r="C462" s="5" t="str">
        <f>IF(B462="","",INDEX({"Ocak","Şubat","Mart","Nisan","Mayıs","Haziran","Temmuz","Ağustos","Eylül","Ekim","Kasım","Aralık"},MONTH(B462)))</f>
        <v/>
      </c>
      <c r="D462" s="2"/>
      <c r="E462" s="5" t="str">
        <f>IFERROR(INDEX('Malzeme Tanımlama'!$B$5:$B$300,MATCH(D462,'Malzeme Tanımlama'!$A$5:$A$300,0)),"")</f>
        <v/>
      </c>
      <c r="F462" s="2"/>
      <c r="G462" s="5"/>
      <c r="H462" s="5" t="str">
        <f>IFERROR(INDEX('Malzeme Tanımlama'!$D$5:$D$300,MATCH(D462,'Malzeme Tanımlama'!$A$5:$A$300,0)),"")</f>
        <v/>
      </c>
      <c r="I462" s="2"/>
      <c r="J462" s="2"/>
      <c r="K462" s="2"/>
    </row>
    <row r="463" spans="1:11" x14ac:dyDescent="0.3">
      <c r="A463" s="5" t="str">
        <f>IF(D463="","",COUNTIF($D$5:D463,"?*"))</f>
        <v/>
      </c>
      <c r="B463" s="6"/>
      <c r="C463" s="5" t="str">
        <f>IF(B463="","",INDEX({"Ocak","Şubat","Mart","Nisan","Mayıs","Haziran","Temmuz","Ağustos","Eylül","Ekim","Kasım","Aralık"},MONTH(B463)))</f>
        <v/>
      </c>
      <c r="D463" s="2"/>
      <c r="E463" s="5" t="str">
        <f>IFERROR(INDEX('Malzeme Tanımlama'!$B$5:$B$300,MATCH(D463,'Malzeme Tanımlama'!$A$5:$A$300,0)),"")</f>
        <v/>
      </c>
      <c r="F463" s="2"/>
      <c r="G463" s="5"/>
      <c r="H463" s="5" t="str">
        <f>IFERROR(INDEX('Malzeme Tanımlama'!$D$5:$D$300,MATCH(D463,'Malzeme Tanımlama'!$A$5:$A$300,0)),"")</f>
        <v/>
      </c>
      <c r="I463" s="2"/>
      <c r="J463" s="2"/>
      <c r="K463" s="2"/>
    </row>
    <row r="464" spans="1:11" x14ac:dyDescent="0.3">
      <c r="A464" s="5" t="str">
        <f>IF(D464="","",COUNTIF($D$5:D464,"?*"))</f>
        <v/>
      </c>
      <c r="B464" s="6"/>
      <c r="C464" s="5" t="str">
        <f>IF(B464="","",INDEX({"Ocak","Şubat","Mart","Nisan","Mayıs","Haziran","Temmuz","Ağustos","Eylül","Ekim","Kasım","Aralık"},MONTH(B464)))</f>
        <v/>
      </c>
      <c r="D464" s="2"/>
      <c r="E464" s="5" t="str">
        <f>IFERROR(INDEX('Malzeme Tanımlama'!$B$5:$B$300,MATCH(D464,'Malzeme Tanımlama'!$A$5:$A$300,0)),"")</f>
        <v/>
      </c>
      <c r="F464" s="2"/>
      <c r="G464" s="5"/>
      <c r="H464" s="5" t="str">
        <f>IFERROR(INDEX('Malzeme Tanımlama'!$D$5:$D$300,MATCH(D464,'Malzeme Tanımlama'!$A$5:$A$300,0)),"")</f>
        <v/>
      </c>
      <c r="I464" s="2"/>
      <c r="J464" s="2"/>
      <c r="K464" s="2"/>
    </row>
    <row r="465" spans="1:11" x14ac:dyDescent="0.3">
      <c r="A465" s="5" t="str">
        <f>IF(D465="","",COUNTIF($D$5:D465,"?*"))</f>
        <v/>
      </c>
      <c r="B465" s="6"/>
      <c r="C465" s="5" t="str">
        <f>IF(B465="","",INDEX({"Ocak","Şubat","Mart","Nisan","Mayıs","Haziran","Temmuz","Ağustos","Eylül","Ekim","Kasım","Aralık"},MONTH(B465)))</f>
        <v/>
      </c>
      <c r="D465" s="2"/>
      <c r="E465" s="5" t="str">
        <f>IFERROR(INDEX('Malzeme Tanımlama'!$B$5:$B$300,MATCH(D465,'Malzeme Tanımlama'!$A$5:$A$300,0)),"")</f>
        <v/>
      </c>
      <c r="F465" s="2"/>
      <c r="G465" s="5"/>
      <c r="H465" s="5" t="str">
        <f>IFERROR(INDEX('Malzeme Tanımlama'!$D$5:$D$300,MATCH(D465,'Malzeme Tanımlama'!$A$5:$A$300,0)),"")</f>
        <v/>
      </c>
      <c r="I465" s="2"/>
      <c r="J465" s="2"/>
      <c r="K465" s="2"/>
    </row>
    <row r="466" spans="1:11" x14ac:dyDescent="0.3">
      <c r="A466" s="5" t="str">
        <f>IF(D466="","",COUNTIF($D$5:D466,"?*"))</f>
        <v/>
      </c>
      <c r="B466" s="6"/>
      <c r="C466" s="5" t="str">
        <f>IF(B466="","",INDEX({"Ocak","Şubat","Mart","Nisan","Mayıs","Haziran","Temmuz","Ağustos","Eylül","Ekim","Kasım","Aralık"},MONTH(B466)))</f>
        <v/>
      </c>
      <c r="D466" s="2"/>
      <c r="E466" s="5" t="str">
        <f>IFERROR(INDEX('Malzeme Tanımlama'!$B$5:$B$300,MATCH(D466,'Malzeme Tanımlama'!$A$5:$A$300,0)),"")</f>
        <v/>
      </c>
      <c r="F466" s="2"/>
      <c r="G466" s="5"/>
      <c r="H466" s="5" t="str">
        <f>IFERROR(INDEX('Malzeme Tanımlama'!$D$5:$D$300,MATCH(D466,'Malzeme Tanımlama'!$A$5:$A$300,0)),"")</f>
        <v/>
      </c>
      <c r="I466" s="2"/>
      <c r="J466" s="2"/>
      <c r="K466" s="2"/>
    </row>
    <row r="467" spans="1:11" x14ac:dyDescent="0.3">
      <c r="A467" s="5" t="str">
        <f>IF(D467="","",COUNTIF($D$5:D467,"?*"))</f>
        <v/>
      </c>
      <c r="B467" s="6"/>
      <c r="C467" s="5" t="str">
        <f>IF(B467="","",INDEX({"Ocak","Şubat","Mart","Nisan","Mayıs","Haziran","Temmuz","Ağustos","Eylül","Ekim","Kasım","Aralık"},MONTH(B467)))</f>
        <v/>
      </c>
      <c r="D467" s="2"/>
      <c r="E467" s="5" t="str">
        <f>IFERROR(INDEX('Malzeme Tanımlama'!$B$5:$B$300,MATCH(D467,'Malzeme Tanımlama'!$A$5:$A$300,0)),"")</f>
        <v/>
      </c>
      <c r="F467" s="2"/>
      <c r="G467" s="5"/>
      <c r="H467" s="5" t="str">
        <f>IFERROR(INDEX('Malzeme Tanımlama'!$D$5:$D$300,MATCH(D467,'Malzeme Tanımlama'!$A$5:$A$300,0)),"")</f>
        <v/>
      </c>
      <c r="I467" s="2"/>
      <c r="J467" s="2"/>
      <c r="K467" s="2"/>
    </row>
    <row r="468" spans="1:11" x14ac:dyDescent="0.3">
      <c r="A468" s="5" t="str">
        <f>IF(D468="","",COUNTIF($D$5:D468,"?*"))</f>
        <v/>
      </c>
      <c r="B468" s="6"/>
      <c r="C468" s="5" t="str">
        <f>IF(B468="","",INDEX({"Ocak","Şubat","Mart","Nisan","Mayıs","Haziran","Temmuz","Ağustos","Eylül","Ekim","Kasım","Aralık"},MONTH(B468)))</f>
        <v/>
      </c>
      <c r="D468" s="2"/>
      <c r="E468" s="5" t="str">
        <f>IFERROR(INDEX('Malzeme Tanımlama'!$B$5:$B$300,MATCH(D468,'Malzeme Tanımlama'!$A$5:$A$300,0)),"")</f>
        <v/>
      </c>
      <c r="F468" s="2"/>
      <c r="G468" s="5"/>
      <c r="H468" s="5" t="str">
        <f>IFERROR(INDEX('Malzeme Tanımlama'!$D$5:$D$300,MATCH(D468,'Malzeme Tanımlama'!$A$5:$A$300,0)),"")</f>
        <v/>
      </c>
      <c r="I468" s="2"/>
      <c r="J468" s="2"/>
      <c r="K468" s="2"/>
    </row>
    <row r="469" spans="1:11" x14ac:dyDescent="0.3">
      <c r="A469" s="5" t="str">
        <f>IF(D469="","",COUNTIF($D$5:D469,"?*"))</f>
        <v/>
      </c>
      <c r="B469" s="6"/>
      <c r="C469" s="5" t="str">
        <f>IF(B469="","",INDEX({"Ocak","Şubat","Mart","Nisan","Mayıs","Haziran","Temmuz","Ağustos","Eylül","Ekim","Kasım","Aralık"},MONTH(B469)))</f>
        <v/>
      </c>
      <c r="D469" s="2"/>
      <c r="E469" s="5" t="str">
        <f>IFERROR(INDEX('Malzeme Tanımlama'!$B$5:$B$300,MATCH(D469,'Malzeme Tanımlama'!$A$5:$A$300,0)),"")</f>
        <v/>
      </c>
      <c r="F469" s="2"/>
      <c r="G469" s="5"/>
      <c r="H469" s="5" t="str">
        <f>IFERROR(INDEX('Malzeme Tanımlama'!$D$5:$D$300,MATCH(D469,'Malzeme Tanımlama'!$A$5:$A$300,0)),"")</f>
        <v/>
      </c>
      <c r="I469" s="2"/>
      <c r="J469" s="2"/>
      <c r="K469" s="2"/>
    </row>
    <row r="470" spans="1:11" x14ac:dyDescent="0.3">
      <c r="A470" s="5" t="str">
        <f>IF(D470="","",COUNTIF($D$5:D470,"?*"))</f>
        <v/>
      </c>
      <c r="B470" s="6"/>
      <c r="C470" s="5" t="str">
        <f>IF(B470="","",INDEX({"Ocak","Şubat","Mart","Nisan","Mayıs","Haziran","Temmuz","Ağustos","Eylül","Ekim","Kasım","Aralık"},MONTH(B470)))</f>
        <v/>
      </c>
      <c r="D470" s="2"/>
      <c r="E470" s="5" t="str">
        <f>IFERROR(INDEX('Malzeme Tanımlama'!$B$5:$B$300,MATCH(D470,'Malzeme Tanımlama'!$A$5:$A$300,0)),"")</f>
        <v/>
      </c>
      <c r="F470" s="2"/>
      <c r="G470" s="5"/>
      <c r="H470" s="5" t="str">
        <f>IFERROR(INDEX('Malzeme Tanımlama'!$D$5:$D$300,MATCH(D470,'Malzeme Tanımlama'!$A$5:$A$300,0)),"")</f>
        <v/>
      </c>
      <c r="I470" s="2"/>
      <c r="J470" s="2"/>
      <c r="K470" s="2"/>
    </row>
    <row r="471" spans="1:11" x14ac:dyDescent="0.3">
      <c r="A471" s="5" t="str">
        <f>IF(D471="","",COUNTIF($D$5:D471,"?*"))</f>
        <v/>
      </c>
      <c r="B471" s="6"/>
      <c r="C471" s="5" t="str">
        <f>IF(B471="","",INDEX({"Ocak","Şubat","Mart","Nisan","Mayıs","Haziran","Temmuz","Ağustos","Eylül","Ekim","Kasım","Aralık"},MONTH(B471)))</f>
        <v/>
      </c>
      <c r="D471" s="2"/>
      <c r="E471" s="5" t="str">
        <f>IFERROR(INDEX('Malzeme Tanımlama'!$B$5:$B$300,MATCH(D471,'Malzeme Tanımlama'!$A$5:$A$300,0)),"")</f>
        <v/>
      </c>
      <c r="F471" s="2"/>
      <c r="G471" s="5"/>
      <c r="H471" s="5" t="str">
        <f>IFERROR(INDEX('Malzeme Tanımlama'!$D$5:$D$300,MATCH(D471,'Malzeme Tanımlama'!$A$5:$A$300,0)),"")</f>
        <v/>
      </c>
      <c r="I471" s="2"/>
      <c r="J471" s="2"/>
      <c r="K471" s="2"/>
    </row>
    <row r="472" spans="1:11" x14ac:dyDescent="0.3">
      <c r="A472" s="5" t="str">
        <f>IF(D472="","",COUNTIF($D$5:D472,"?*"))</f>
        <v/>
      </c>
      <c r="B472" s="6"/>
      <c r="C472" s="5" t="str">
        <f>IF(B472="","",INDEX({"Ocak","Şubat","Mart","Nisan","Mayıs","Haziran","Temmuz","Ağustos","Eylül","Ekim","Kasım","Aralık"},MONTH(B472)))</f>
        <v/>
      </c>
      <c r="D472" s="2"/>
      <c r="E472" s="5" t="str">
        <f>IFERROR(INDEX('Malzeme Tanımlama'!$B$5:$B$300,MATCH(D472,'Malzeme Tanımlama'!$A$5:$A$300,0)),"")</f>
        <v/>
      </c>
      <c r="F472" s="2"/>
      <c r="G472" s="5"/>
      <c r="H472" s="5" t="str">
        <f>IFERROR(INDEX('Malzeme Tanımlama'!$D$5:$D$300,MATCH(D472,'Malzeme Tanımlama'!$A$5:$A$300,0)),"")</f>
        <v/>
      </c>
      <c r="I472" s="2"/>
      <c r="J472" s="2"/>
      <c r="K472" s="2"/>
    </row>
    <row r="473" spans="1:11" x14ac:dyDescent="0.3">
      <c r="A473" s="5" t="str">
        <f>IF(D473="","",COUNTIF($D$5:D473,"?*"))</f>
        <v/>
      </c>
      <c r="B473" s="6"/>
      <c r="C473" s="5" t="str">
        <f>IF(B473="","",INDEX({"Ocak","Şubat","Mart","Nisan","Mayıs","Haziran","Temmuz","Ağustos","Eylül","Ekim","Kasım","Aralık"},MONTH(B473)))</f>
        <v/>
      </c>
      <c r="D473" s="2"/>
      <c r="E473" s="5" t="str">
        <f>IFERROR(INDEX('Malzeme Tanımlama'!$B$5:$B$300,MATCH(D473,'Malzeme Tanımlama'!$A$5:$A$300,0)),"")</f>
        <v/>
      </c>
      <c r="F473" s="2"/>
      <c r="G473" s="5"/>
      <c r="H473" s="5" t="str">
        <f>IFERROR(INDEX('Malzeme Tanımlama'!$D$5:$D$300,MATCH(D473,'Malzeme Tanımlama'!$A$5:$A$300,0)),"")</f>
        <v/>
      </c>
      <c r="I473" s="2"/>
      <c r="J473" s="2"/>
      <c r="K473" s="2"/>
    </row>
    <row r="474" spans="1:11" x14ac:dyDescent="0.3">
      <c r="A474" s="5" t="str">
        <f>IF(D474="","",COUNTIF($D$5:D474,"?*"))</f>
        <v/>
      </c>
      <c r="B474" s="6"/>
      <c r="C474" s="5" t="str">
        <f>IF(B474="","",INDEX({"Ocak","Şubat","Mart","Nisan","Mayıs","Haziran","Temmuz","Ağustos","Eylül","Ekim","Kasım","Aralık"},MONTH(B474)))</f>
        <v/>
      </c>
      <c r="D474" s="2"/>
      <c r="E474" s="5" t="str">
        <f>IFERROR(INDEX('Malzeme Tanımlama'!$B$5:$B$300,MATCH(D474,'Malzeme Tanımlama'!$A$5:$A$300,0)),"")</f>
        <v/>
      </c>
      <c r="F474" s="2"/>
      <c r="G474" s="5"/>
      <c r="H474" s="5" t="str">
        <f>IFERROR(INDEX('Malzeme Tanımlama'!$D$5:$D$300,MATCH(D474,'Malzeme Tanımlama'!$A$5:$A$300,0)),"")</f>
        <v/>
      </c>
      <c r="I474" s="2"/>
      <c r="J474" s="2"/>
      <c r="K474" s="2"/>
    </row>
    <row r="475" spans="1:11" x14ac:dyDescent="0.3">
      <c r="A475" s="5" t="str">
        <f>IF(D475="","",COUNTIF($D$5:D475,"?*"))</f>
        <v/>
      </c>
      <c r="B475" s="6"/>
      <c r="C475" s="5" t="str">
        <f>IF(B475="","",INDEX({"Ocak","Şubat","Mart","Nisan","Mayıs","Haziran","Temmuz","Ağustos","Eylül","Ekim","Kasım","Aralık"},MONTH(B475)))</f>
        <v/>
      </c>
      <c r="D475" s="2"/>
      <c r="E475" s="5" t="str">
        <f>IFERROR(INDEX('Malzeme Tanımlama'!$B$5:$B$300,MATCH(D475,'Malzeme Tanımlama'!$A$5:$A$300,0)),"")</f>
        <v/>
      </c>
      <c r="F475" s="2"/>
      <c r="G475" s="5"/>
      <c r="H475" s="5" t="str">
        <f>IFERROR(INDEX('Malzeme Tanımlama'!$D$5:$D$300,MATCH(D475,'Malzeme Tanımlama'!$A$5:$A$300,0)),"")</f>
        <v/>
      </c>
      <c r="I475" s="2"/>
      <c r="J475" s="2"/>
      <c r="K475" s="2"/>
    </row>
    <row r="476" spans="1:11" x14ac:dyDescent="0.3">
      <c r="A476" s="5" t="str">
        <f>IF(D476="","",COUNTIF($D$5:D476,"?*"))</f>
        <v/>
      </c>
      <c r="B476" s="6"/>
      <c r="C476" s="5" t="str">
        <f>IF(B476="","",INDEX({"Ocak","Şubat","Mart","Nisan","Mayıs","Haziran","Temmuz","Ağustos","Eylül","Ekim","Kasım","Aralık"},MONTH(B476)))</f>
        <v/>
      </c>
      <c r="D476" s="2"/>
      <c r="E476" s="5" t="str">
        <f>IFERROR(INDEX('Malzeme Tanımlama'!$B$5:$B$300,MATCH(D476,'Malzeme Tanımlama'!$A$5:$A$300,0)),"")</f>
        <v/>
      </c>
      <c r="F476" s="2"/>
      <c r="G476" s="5"/>
      <c r="H476" s="5" t="str">
        <f>IFERROR(INDEX('Malzeme Tanımlama'!$D$5:$D$300,MATCH(D476,'Malzeme Tanımlama'!$A$5:$A$300,0)),"")</f>
        <v/>
      </c>
      <c r="I476" s="2"/>
      <c r="J476" s="2"/>
      <c r="K476" s="2"/>
    </row>
    <row r="477" spans="1:11" x14ac:dyDescent="0.3">
      <c r="A477" s="5" t="str">
        <f>IF(D477="","",COUNTIF($D$5:D477,"?*"))</f>
        <v/>
      </c>
      <c r="B477" s="6"/>
      <c r="C477" s="5" t="str">
        <f>IF(B477="","",INDEX({"Ocak","Şubat","Mart","Nisan","Mayıs","Haziran","Temmuz","Ağustos","Eylül","Ekim","Kasım","Aralık"},MONTH(B477)))</f>
        <v/>
      </c>
      <c r="D477" s="2"/>
      <c r="E477" s="5" t="str">
        <f>IFERROR(INDEX('Malzeme Tanımlama'!$B$5:$B$300,MATCH(D477,'Malzeme Tanımlama'!$A$5:$A$300,0)),"")</f>
        <v/>
      </c>
      <c r="F477" s="2"/>
      <c r="G477" s="5"/>
      <c r="H477" s="5" t="str">
        <f>IFERROR(INDEX('Malzeme Tanımlama'!$D$5:$D$300,MATCH(D477,'Malzeme Tanımlama'!$A$5:$A$300,0)),"")</f>
        <v/>
      </c>
      <c r="I477" s="2"/>
      <c r="J477" s="2"/>
      <c r="K477" s="2"/>
    </row>
    <row r="478" spans="1:11" x14ac:dyDescent="0.3">
      <c r="A478" s="5" t="str">
        <f>IF(D478="","",COUNTIF($D$5:D478,"?*"))</f>
        <v/>
      </c>
      <c r="B478" s="6"/>
      <c r="C478" s="5" t="str">
        <f>IF(B478="","",INDEX({"Ocak","Şubat","Mart","Nisan","Mayıs","Haziran","Temmuz","Ağustos","Eylül","Ekim","Kasım","Aralık"},MONTH(B478)))</f>
        <v/>
      </c>
      <c r="D478" s="2"/>
      <c r="E478" s="5" t="str">
        <f>IFERROR(INDEX('Malzeme Tanımlama'!$B$5:$B$300,MATCH(D478,'Malzeme Tanımlama'!$A$5:$A$300,0)),"")</f>
        <v/>
      </c>
      <c r="F478" s="2"/>
      <c r="G478" s="5"/>
      <c r="H478" s="5" t="str">
        <f>IFERROR(INDEX('Malzeme Tanımlama'!$D$5:$D$300,MATCH(D478,'Malzeme Tanımlama'!$A$5:$A$300,0)),"")</f>
        <v/>
      </c>
      <c r="I478" s="2"/>
      <c r="J478" s="2"/>
      <c r="K478" s="2"/>
    </row>
    <row r="479" spans="1:11" x14ac:dyDescent="0.3">
      <c r="A479" s="5" t="str">
        <f>IF(D479="","",COUNTIF($D$5:D479,"?*"))</f>
        <v/>
      </c>
      <c r="B479" s="6"/>
      <c r="C479" s="5" t="str">
        <f>IF(B479="","",INDEX({"Ocak","Şubat","Mart","Nisan","Mayıs","Haziran","Temmuz","Ağustos","Eylül","Ekim","Kasım","Aralık"},MONTH(B479)))</f>
        <v/>
      </c>
      <c r="D479" s="2"/>
      <c r="E479" s="5" t="str">
        <f>IFERROR(INDEX('Malzeme Tanımlama'!$B$5:$B$300,MATCH(D479,'Malzeme Tanımlama'!$A$5:$A$300,0)),"")</f>
        <v/>
      </c>
      <c r="F479" s="2"/>
      <c r="G479" s="5"/>
      <c r="H479" s="5" t="str">
        <f>IFERROR(INDEX('Malzeme Tanımlama'!$D$5:$D$300,MATCH(D479,'Malzeme Tanımlama'!$A$5:$A$300,0)),"")</f>
        <v/>
      </c>
      <c r="I479" s="2"/>
      <c r="J479" s="2"/>
      <c r="K479" s="2"/>
    </row>
    <row r="480" spans="1:11" x14ac:dyDescent="0.3">
      <c r="A480" s="5" t="str">
        <f>IF(D480="","",COUNTIF($D$5:D480,"?*"))</f>
        <v/>
      </c>
      <c r="B480" s="6"/>
      <c r="C480" s="5" t="str">
        <f>IF(B480="","",INDEX({"Ocak","Şubat","Mart","Nisan","Mayıs","Haziran","Temmuz","Ağustos","Eylül","Ekim","Kasım","Aralık"},MONTH(B480)))</f>
        <v/>
      </c>
      <c r="D480" s="2"/>
      <c r="E480" s="5" t="str">
        <f>IFERROR(INDEX('Malzeme Tanımlama'!$B$5:$B$300,MATCH(D480,'Malzeme Tanımlama'!$A$5:$A$300,0)),"")</f>
        <v/>
      </c>
      <c r="F480" s="2"/>
      <c r="G480" s="5"/>
      <c r="H480" s="5" t="str">
        <f>IFERROR(INDEX('Malzeme Tanımlama'!$D$5:$D$300,MATCH(D480,'Malzeme Tanımlama'!$A$5:$A$300,0)),"")</f>
        <v/>
      </c>
      <c r="I480" s="2"/>
      <c r="J480" s="2"/>
      <c r="K480" s="2"/>
    </row>
    <row r="481" spans="1:11" x14ac:dyDescent="0.3">
      <c r="A481" s="5" t="str">
        <f>IF(D481="","",COUNTIF($D$5:D481,"?*"))</f>
        <v/>
      </c>
      <c r="B481" s="6"/>
      <c r="C481" s="5" t="str">
        <f>IF(B481="","",INDEX({"Ocak","Şubat","Mart","Nisan","Mayıs","Haziran","Temmuz","Ağustos","Eylül","Ekim","Kasım","Aralık"},MONTH(B481)))</f>
        <v/>
      </c>
      <c r="D481" s="2"/>
      <c r="E481" s="5" t="str">
        <f>IFERROR(INDEX('Malzeme Tanımlama'!$B$5:$B$300,MATCH(D481,'Malzeme Tanımlama'!$A$5:$A$300,0)),"")</f>
        <v/>
      </c>
      <c r="F481" s="2"/>
      <c r="G481" s="5"/>
      <c r="H481" s="5" t="str">
        <f>IFERROR(INDEX('Malzeme Tanımlama'!$D$5:$D$300,MATCH(D481,'Malzeme Tanımlama'!$A$5:$A$300,0)),"")</f>
        <v/>
      </c>
      <c r="I481" s="2"/>
      <c r="J481" s="2"/>
      <c r="K481" s="2"/>
    </row>
    <row r="482" spans="1:11" x14ac:dyDescent="0.3">
      <c r="A482" s="5" t="str">
        <f>IF(D482="","",COUNTIF($D$5:D482,"?*"))</f>
        <v/>
      </c>
      <c r="B482" s="6"/>
      <c r="C482" s="5" t="str">
        <f>IF(B482="","",INDEX({"Ocak","Şubat","Mart","Nisan","Mayıs","Haziran","Temmuz","Ağustos","Eylül","Ekim","Kasım","Aralık"},MONTH(B482)))</f>
        <v/>
      </c>
      <c r="D482" s="2"/>
      <c r="E482" s="5" t="str">
        <f>IFERROR(INDEX('Malzeme Tanımlama'!$B$5:$B$300,MATCH(D482,'Malzeme Tanımlama'!$A$5:$A$300,0)),"")</f>
        <v/>
      </c>
      <c r="F482" s="2"/>
      <c r="G482" s="5"/>
      <c r="H482" s="5" t="str">
        <f>IFERROR(INDEX('Malzeme Tanımlama'!$D$5:$D$300,MATCH(D482,'Malzeme Tanımlama'!$A$5:$A$300,0)),"")</f>
        <v/>
      </c>
      <c r="I482" s="2"/>
      <c r="J482" s="2"/>
      <c r="K482" s="2"/>
    </row>
    <row r="483" spans="1:11" x14ac:dyDescent="0.3">
      <c r="A483" s="5" t="str">
        <f>IF(D483="","",COUNTIF($D$5:D483,"?*"))</f>
        <v/>
      </c>
      <c r="B483" s="6"/>
      <c r="C483" s="5" t="str">
        <f>IF(B483="","",INDEX({"Ocak","Şubat","Mart","Nisan","Mayıs","Haziran","Temmuz","Ağustos","Eylül","Ekim","Kasım","Aralık"},MONTH(B483)))</f>
        <v/>
      </c>
      <c r="D483" s="2"/>
      <c r="E483" s="5" t="str">
        <f>IFERROR(INDEX('Malzeme Tanımlama'!$B$5:$B$300,MATCH(D483,'Malzeme Tanımlama'!$A$5:$A$300,0)),"")</f>
        <v/>
      </c>
      <c r="F483" s="2"/>
      <c r="G483" s="5"/>
      <c r="H483" s="5" t="str">
        <f>IFERROR(INDEX('Malzeme Tanımlama'!$D$5:$D$300,MATCH(D483,'Malzeme Tanımlama'!$A$5:$A$300,0)),"")</f>
        <v/>
      </c>
      <c r="I483" s="2"/>
      <c r="J483" s="2"/>
      <c r="K483" s="2"/>
    </row>
    <row r="484" spans="1:11" x14ac:dyDescent="0.3">
      <c r="A484" s="5" t="str">
        <f>IF(D484="","",COUNTIF($D$5:D484,"?*"))</f>
        <v/>
      </c>
      <c r="B484" s="6"/>
      <c r="C484" s="5" t="str">
        <f>IF(B484="","",INDEX({"Ocak","Şubat","Mart","Nisan","Mayıs","Haziran","Temmuz","Ağustos","Eylül","Ekim","Kasım","Aralık"},MONTH(B484)))</f>
        <v/>
      </c>
      <c r="D484" s="2"/>
      <c r="E484" s="5" t="str">
        <f>IFERROR(INDEX('Malzeme Tanımlama'!$B$5:$B$300,MATCH(D484,'Malzeme Tanımlama'!$A$5:$A$300,0)),"")</f>
        <v/>
      </c>
      <c r="F484" s="2"/>
      <c r="G484" s="5"/>
      <c r="H484" s="5" t="str">
        <f>IFERROR(INDEX('Malzeme Tanımlama'!$D$5:$D$300,MATCH(D484,'Malzeme Tanımlama'!$A$5:$A$300,0)),"")</f>
        <v/>
      </c>
      <c r="I484" s="2"/>
      <c r="J484" s="2"/>
      <c r="K484" s="2"/>
    </row>
    <row r="485" spans="1:11" x14ac:dyDescent="0.3">
      <c r="A485" s="5" t="str">
        <f>IF(D485="","",COUNTIF($D$5:D485,"?*"))</f>
        <v/>
      </c>
      <c r="B485" s="6"/>
      <c r="C485" s="5" t="str">
        <f>IF(B485="","",INDEX({"Ocak","Şubat","Mart","Nisan","Mayıs","Haziran","Temmuz","Ağustos","Eylül","Ekim","Kasım","Aralık"},MONTH(B485)))</f>
        <v/>
      </c>
      <c r="D485" s="2"/>
      <c r="E485" s="5" t="str">
        <f>IFERROR(INDEX('Malzeme Tanımlama'!$B$5:$B$300,MATCH(D485,'Malzeme Tanımlama'!$A$5:$A$300,0)),"")</f>
        <v/>
      </c>
      <c r="F485" s="2"/>
      <c r="G485" s="5"/>
      <c r="H485" s="5" t="str">
        <f>IFERROR(INDEX('Malzeme Tanımlama'!$D$5:$D$300,MATCH(D485,'Malzeme Tanımlama'!$A$5:$A$300,0)),"")</f>
        <v/>
      </c>
      <c r="I485" s="2"/>
      <c r="J485" s="2"/>
      <c r="K485" s="2"/>
    </row>
    <row r="486" spans="1:11" x14ac:dyDescent="0.3">
      <c r="A486" s="5" t="str">
        <f>IF(D486="","",COUNTIF($D$5:D486,"?*"))</f>
        <v/>
      </c>
      <c r="B486" s="6"/>
      <c r="C486" s="5" t="str">
        <f>IF(B486="","",INDEX({"Ocak","Şubat","Mart","Nisan","Mayıs","Haziran","Temmuz","Ağustos","Eylül","Ekim","Kasım","Aralık"},MONTH(B486)))</f>
        <v/>
      </c>
      <c r="D486" s="2"/>
      <c r="E486" s="5" t="str">
        <f>IFERROR(INDEX('Malzeme Tanımlama'!$B$5:$B$300,MATCH(D486,'Malzeme Tanımlama'!$A$5:$A$300,0)),"")</f>
        <v/>
      </c>
      <c r="F486" s="2"/>
      <c r="G486" s="5"/>
      <c r="H486" s="5" t="str">
        <f>IFERROR(INDEX('Malzeme Tanımlama'!$D$5:$D$300,MATCH(D486,'Malzeme Tanımlama'!$A$5:$A$300,0)),"")</f>
        <v/>
      </c>
      <c r="I486" s="2"/>
      <c r="J486" s="2"/>
      <c r="K486" s="2"/>
    </row>
    <row r="487" spans="1:11" x14ac:dyDescent="0.3">
      <c r="A487" s="5" t="str">
        <f>IF(D487="","",COUNTIF($D$5:D487,"?*"))</f>
        <v/>
      </c>
      <c r="B487" s="6"/>
      <c r="C487" s="5" t="str">
        <f>IF(B487="","",INDEX({"Ocak","Şubat","Mart","Nisan","Mayıs","Haziran","Temmuz","Ağustos","Eylül","Ekim","Kasım","Aralık"},MONTH(B487)))</f>
        <v/>
      </c>
      <c r="D487" s="2"/>
      <c r="E487" s="5" t="str">
        <f>IFERROR(INDEX('Malzeme Tanımlama'!$B$5:$B$300,MATCH(D487,'Malzeme Tanımlama'!$A$5:$A$300,0)),"")</f>
        <v/>
      </c>
      <c r="F487" s="2"/>
      <c r="G487" s="5"/>
      <c r="H487" s="5" t="str">
        <f>IFERROR(INDEX('Malzeme Tanımlama'!$D$5:$D$300,MATCH(D487,'Malzeme Tanımlama'!$A$5:$A$300,0)),"")</f>
        <v/>
      </c>
      <c r="I487" s="2"/>
      <c r="J487" s="2"/>
      <c r="K487" s="2"/>
    </row>
    <row r="488" spans="1:11" x14ac:dyDescent="0.3">
      <c r="A488" s="5" t="str">
        <f>IF(D488="","",COUNTIF($D$5:D488,"?*"))</f>
        <v/>
      </c>
      <c r="B488" s="6"/>
      <c r="C488" s="5" t="str">
        <f>IF(B488="","",INDEX({"Ocak","Şubat","Mart","Nisan","Mayıs","Haziran","Temmuz","Ağustos","Eylül","Ekim","Kasım","Aralık"},MONTH(B488)))</f>
        <v/>
      </c>
      <c r="D488" s="2"/>
      <c r="E488" s="5" t="str">
        <f>IFERROR(INDEX('Malzeme Tanımlama'!$B$5:$B$300,MATCH(D488,'Malzeme Tanımlama'!$A$5:$A$300,0)),"")</f>
        <v/>
      </c>
      <c r="F488" s="2"/>
      <c r="G488" s="5"/>
      <c r="H488" s="5" t="str">
        <f>IFERROR(INDEX('Malzeme Tanımlama'!$D$5:$D$300,MATCH(D488,'Malzeme Tanımlama'!$A$5:$A$300,0)),"")</f>
        <v/>
      </c>
      <c r="I488" s="2"/>
      <c r="J488" s="2"/>
      <c r="K488" s="2"/>
    </row>
    <row r="489" spans="1:11" x14ac:dyDescent="0.3">
      <c r="A489" s="5" t="str">
        <f>IF(D489="","",COUNTIF($D$5:D489,"?*"))</f>
        <v/>
      </c>
      <c r="B489" s="6"/>
      <c r="C489" s="5" t="str">
        <f>IF(B489="","",INDEX({"Ocak","Şubat","Mart","Nisan","Mayıs","Haziran","Temmuz","Ağustos","Eylül","Ekim","Kasım","Aralık"},MONTH(B489)))</f>
        <v/>
      </c>
      <c r="D489" s="2"/>
      <c r="E489" s="5" t="str">
        <f>IFERROR(INDEX('Malzeme Tanımlama'!$B$5:$B$300,MATCH(D489,'Malzeme Tanımlama'!$A$5:$A$300,0)),"")</f>
        <v/>
      </c>
      <c r="F489" s="2"/>
      <c r="G489" s="5"/>
      <c r="H489" s="5" t="str">
        <f>IFERROR(INDEX('Malzeme Tanımlama'!$D$5:$D$300,MATCH(D489,'Malzeme Tanımlama'!$A$5:$A$300,0)),"")</f>
        <v/>
      </c>
      <c r="I489" s="2"/>
      <c r="J489" s="2"/>
      <c r="K489" s="2"/>
    </row>
    <row r="490" spans="1:11" x14ac:dyDescent="0.3">
      <c r="A490" s="5" t="str">
        <f>IF(D490="","",COUNTIF($D$5:D490,"?*"))</f>
        <v/>
      </c>
      <c r="B490" s="6"/>
      <c r="C490" s="5" t="str">
        <f>IF(B490="","",INDEX({"Ocak","Şubat","Mart","Nisan","Mayıs","Haziran","Temmuz","Ağustos","Eylül","Ekim","Kasım","Aralık"},MONTH(B490)))</f>
        <v/>
      </c>
      <c r="D490" s="2"/>
      <c r="E490" s="5" t="str">
        <f>IFERROR(INDEX('Malzeme Tanımlama'!$B$5:$B$300,MATCH(D490,'Malzeme Tanımlama'!$A$5:$A$300,0)),"")</f>
        <v/>
      </c>
      <c r="F490" s="2"/>
      <c r="G490" s="5"/>
      <c r="H490" s="5" t="str">
        <f>IFERROR(INDEX('Malzeme Tanımlama'!$D$5:$D$300,MATCH(D490,'Malzeme Tanımlama'!$A$5:$A$300,0)),"")</f>
        <v/>
      </c>
      <c r="I490" s="2"/>
      <c r="J490" s="2"/>
      <c r="K490" s="2"/>
    </row>
    <row r="491" spans="1:11" x14ac:dyDescent="0.3">
      <c r="A491" s="5" t="str">
        <f>IF(D491="","",COUNTIF($D$5:D491,"?*"))</f>
        <v/>
      </c>
      <c r="B491" s="6"/>
      <c r="C491" s="5" t="str">
        <f>IF(B491="","",INDEX({"Ocak","Şubat","Mart","Nisan","Mayıs","Haziran","Temmuz","Ağustos","Eylül","Ekim","Kasım","Aralık"},MONTH(B491)))</f>
        <v/>
      </c>
      <c r="D491" s="2"/>
      <c r="E491" s="5" t="str">
        <f>IFERROR(INDEX('Malzeme Tanımlama'!$B$5:$B$300,MATCH(D491,'Malzeme Tanımlama'!$A$5:$A$300,0)),"")</f>
        <v/>
      </c>
      <c r="F491" s="2"/>
      <c r="G491" s="5"/>
      <c r="H491" s="5" t="str">
        <f>IFERROR(INDEX('Malzeme Tanımlama'!$D$5:$D$300,MATCH(D491,'Malzeme Tanımlama'!$A$5:$A$300,0)),"")</f>
        <v/>
      </c>
      <c r="I491" s="2"/>
      <c r="J491" s="2"/>
      <c r="K491" s="2"/>
    </row>
    <row r="492" spans="1:11" x14ac:dyDescent="0.3">
      <c r="A492" s="5" t="str">
        <f>IF(D492="","",COUNTIF($D$5:D492,"?*"))</f>
        <v/>
      </c>
      <c r="B492" s="6"/>
      <c r="C492" s="5" t="str">
        <f>IF(B492="","",INDEX({"Ocak","Şubat","Mart","Nisan","Mayıs","Haziran","Temmuz","Ağustos","Eylül","Ekim","Kasım","Aralık"},MONTH(B492)))</f>
        <v/>
      </c>
      <c r="D492" s="2"/>
      <c r="E492" s="5" t="str">
        <f>IFERROR(INDEX('Malzeme Tanımlama'!$B$5:$B$300,MATCH(D492,'Malzeme Tanımlama'!$A$5:$A$300,0)),"")</f>
        <v/>
      </c>
      <c r="F492" s="2"/>
      <c r="G492" s="5"/>
      <c r="H492" s="5" t="str">
        <f>IFERROR(INDEX('Malzeme Tanımlama'!$D$5:$D$300,MATCH(D492,'Malzeme Tanımlama'!$A$5:$A$300,0)),"")</f>
        <v/>
      </c>
      <c r="I492" s="2"/>
      <c r="J492" s="2"/>
      <c r="K492" s="2"/>
    </row>
    <row r="493" spans="1:11" x14ac:dyDescent="0.3">
      <c r="A493" s="5" t="str">
        <f>IF(D493="","",COUNTIF($D$5:D493,"?*"))</f>
        <v/>
      </c>
      <c r="B493" s="6"/>
      <c r="C493" s="5" t="str">
        <f>IF(B493="","",INDEX({"Ocak","Şubat","Mart","Nisan","Mayıs","Haziran","Temmuz","Ağustos","Eylül","Ekim","Kasım","Aralık"},MONTH(B493)))</f>
        <v/>
      </c>
      <c r="D493" s="2"/>
      <c r="E493" s="5" t="str">
        <f>IFERROR(INDEX('Malzeme Tanımlama'!$B$5:$B$300,MATCH(D493,'Malzeme Tanımlama'!$A$5:$A$300,0)),"")</f>
        <v/>
      </c>
      <c r="F493" s="2"/>
      <c r="G493" s="5"/>
      <c r="H493" s="5" t="str">
        <f>IFERROR(INDEX('Malzeme Tanımlama'!$D$5:$D$300,MATCH(D493,'Malzeme Tanımlama'!$A$5:$A$300,0)),"")</f>
        <v/>
      </c>
      <c r="I493" s="2"/>
      <c r="J493" s="2"/>
      <c r="K493" s="2"/>
    </row>
    <row r="494" spans="1:11" x14ac:dyDescent="0.3">
      <c r="A494" s="5" t="str">
        <f>IF(D494="","",COUNTIF($D$5:D494,"?*"))</f>
        <v/>
      </c>
      <c r="B494" s="6"/>
      <c r="C494" s="5" t="str">
        <f>IF(B494="","",INDEX({"Ocak","Şubat","Mart","Nisan","Mayıs","Haziran","Temmuz","Ağustos","Eylül","Ekim","Kasım","Aralık"},MONTH(B494)))</f>
        <v/>
      </c>
      <c r="D494" s="2"/>
      <c r="E494" s="5" t="str">
        <f>IFERROR(INDEX('Malzeme Tanımlama'!$B$5:$B$300,MATCH(D494,'Malzeme Tanımlama'!$A$5:$A$300,0)),"")</f>
        <v/>
      </c>
      <c r="F494" s="2"/>
      <c r="G494" s="5"/>
      <c r="H494" s="5" t="str">
        <f>IFERROR(INDEX('Malzeme Tanımlama'!$D$5:$D$300,MATCH(D494,'Malzeme Tanımlama'!$A$5:$A$300,0)),"")</f>
        <v/>
      </c>
      <c r="I494" s="2"/>
      <c r="J494" s="2"/>
      <c r="K494" s="2"/>
    </row>
    <row r="495" spans="1:11" x14ac:dyDescent="0.3">
      <c r="A495" s="5" t="str">
        <f>IF(D495="","",COUNTIF($D$5:D495,"?*"))</f>
        <v/>
      </c>
      <c r="B495" s="6"/>
      <c r="C495" s="5" t="str">
        <f>IF(B495="","",INDEX({"Ocak","Şubat","Mart","Nisan","Mayıs","Haziran","Temmuz","Ağustos","Eylül","Ekim","Kasım","Aralık"},MONTH(B495)))</f>
        <v/>
      </c>
      <c r="D495" s="2"/>
      <c r="E495" s="5" t="str">
        <f>IFERROR(INDEX('Malzeme Tanımlama'!$B$5:$B$300,MATCH(D495,'Malzeme Tanımlama'!$A$5:$A$300,0)),"")</f>
        <v/>
      </c>
      <c r="F495" s="2"/>
      <c r="G495" s="5"/>
      <c r="H495" s="5" t="str">
        <f>IFERROR(INDEX('Malzeme Tanımlama'!$D$5:$D$300,MATCH(D495,'Malzeme Tanımlama'!$A$5:$A$300,0)),"")</f>
        <v/>
      </c>
      <c r="I495" s="2"/>
      <c r="J495" s="2"/>
      <c r="K495" s="2"/>
    </row>
    <row r="496" spans="1:11" x14ac:dyDescent="0.3">
      <c r="A496" s="5" t="str">
        <f>IF(D496="","",COUNTIF($D$5:D496,"?*"))</f>
        <v/>
      </c>
      <c r="B496" s="6"/>
      <c r="C496" s="5" t="str">
        <f>IF(B496="","",INDEX({"Ocak","Şubat","Mart","Nisan","Mayıs","Haziran","Temmuz","Ağustos","Eylül","Ekim","Kasım","Aralık"},MONTH(B496)))</f>
        <v/>
      </c>
      <c r="D496" s="2"/>
      <c r="E496" s="5" t="str">
        <f>IFERROR(INDEX('Malzeme Tanımlama'!$B$5:$B$300,MATCH(D496,'Malzeme Tanımlama'!$A$5:$A$300,0)),"")</f>
        <v/>
      </c>
      <c r="F496" s="2"/>
      <c r="G496" s="5"/>
      <c r="H496" s="5" t="str">
        <f>IFERROR(INDEX('Malzeme Tanımlama'!$D$5:$D$300,MATCH(D496,'Malzeme Tanımlama'!$A$5:$A$300,0)),"")</f>
        <v/>
      </c>
      <c r="I496" s="2"/>
      <c r="J496" s="2"/>
      <c r="K496" s="2"/>
    </row>
    <row r="497" spans="1:11" x14ac:dyDescent="0.3">
      <c r="A497" s="5" t="str">
        <f>IF(D497="","",COUNTIF($D$5:D497,"?*"))</f>
        <v/>
      </c>
      <c r="B497" s="6"/>
      <c r="C497" s="5" t="str">
        <f>IF(B497="","",INDEX({"Ocak","Şubat","Mart","Nisan","Mayıs","Haziran","Temmuz","Ağustos","Eylül","Ekim","Kasım","Aralık"},MONTH(B497)))</f>
        <v/>
      </c>
      <c r="D497" s="2"/>
      <c r="E497" s="5" t="str">
        <f>IFERROR(INDEX('Malzeme Tanımlama'!$B$5:$B$300,MATCH(D497,'Malzeme Tanımlama'!$A$5:$A$300,0)),"")</f>
        <v/>
      </c>
      <c r="F497" s="2"/>
      <c r="G497" s="5"/>
      <c r="H497" s="5" t="str">
        <f>IFERROR(INDEX('Malzeme Tanımlama'!$D$5:$D$300,MATCH(D497,'Malzeme Tanımlama'!$A$5:$A$300,0)),"")</f>
        <v/>
      </c>
      <c r="I497" s="2"/>
      <c r="J497" s="2"/>
      <c r="K497" s="2"/>
    </row>
    <row r="498" spans="1:11" x14ac:dyDescent="0.3">
      <c r="A498" s="5" t="str">
        <f>IF(D498="","",COUNTIF($D$5:D498,"?*"))</f>
        <v/>
      </c>
      <c r="B498" s="6"/>
      <c r="C498" s="5" t="str">
        <f>IF(B498="","",INDEX({"Ocak","Şubat","Mart","Nisan","Mayıs","Haziran","Temmuz","Ağustos","Eylül","Ekim","Kasım","Aralık"},MONTH(B498)))</f>
        <v/>
      </c>
      <c r="D498" s="2"/>
      <c r="E498" s="5" t="str">
        <f>IFERROR(INDEX('Malzeme Tanımlama'!$B$5:$B$300,MATCH(D498,'Malzeme Tanımlama'!$A$5:$A$300,0)),"")</f>
        <v/>
      </c>
      <c r="F498" s="2"/>
      <c r="G498" s="5"/>
      <c r="H498" s="5" t="str">
        <f>IFERROR(INDEX('Malzeme Tanımlama'!$D$5:$D$300,MATCH(D498,'Malzeme Tanımlama'!$A$5:$A$300,0)),"")</f>
        <v/>
      </c>
      <c r="I498" s="2"/>
      <c r="J498" s="2"/>
      <c r="K498" s="2"/>
    </row>
    <row r="499" spans="1:11" x14ac:dyDescent="0.3">
      <c r="A499" s="5" t="str">
        <f>IF(D499="","",COUNTIF($D$5:D499,"?*"))</f>
        <v/>
      </c>
      <c r="B499" s="6"/>
      <c r="C499" s="5" t="str">
        <f>IF(B499="","",INDEX({"Ocak","Şubat","Mart","Nisan","Mayıs","Haziran","Temmuz","Ağustos","Eylül","Ekim","Kasım","Aralık"},MONTH(B499)))</f>
        <v/>
      </c>
      <c r="D499" s="2"/>
      <c r="E499" s="5" t="str">
        <f>IFERROR(INDEX('Malzeme Tanımlama'!$B$5:$B$300,MATCH(D499,'Malzeme Tanımlama'!$A$5:$A$300,0)),"")</f>
        <v/>
      </c>
      <c r="F499" s="2"/>
      <c r="G499" s="5"/>
      <c r="H499" s="5" t="str">
        <f>IFERROR(INDEX('Malzeme Tanımlama'!$D$5:$D$300,MATCH(D499,'Malzeme Tanımlama'!$A$5:$A$300,0)),"")</f>
        <v/>
      </c>
      <c r="I499" s="2"/>
      <c r="J499" s="2"/>
      <c r="K499" s="2"/>
    </row>
    <row r="500" spans="1:11" x14ac:dyDescent="0.3">
      <c r="A500" s="5" t="str">
        <f>IF(D500="","",COUNTIF($D$5:D500,"?*"))</f>
        <v/>
      </c>
      <c r="B500" s="6"/>
      <c r="C500" s="5" t="str">
        <f>IF(B500="","",INDEX({"Ocak","Şubat","Mart","Nisan","Mayıs","Haziran","Temmuz","Ağustos","Eylül","Ekim","Kasım","Aralık"},MONTH(B500)))</f>
        <v/>
      </c>
      <c r="D500" s="2"/>
      <c r="E500" s="5" t="str">
        <f>IFERROR(INDEX('Malzeme Tanımlama'!$B$5:$B$300,MATCH(D500,'Malzeme Tanımlama'!$A$5:$A$300,0)),"")</f>
        <v/>
      </c>
      <c r="F500" s="2"/>
      <c r="G500" s="5"/>
      <c r="H500" s="5" t="str">
        <f>IFERROR(INDEX('Malzeme Tanımlama'!$D$5:$D$300,MATCH(D500,'Malzeme Tanımlama'!$A$5:$A$300,0)),"")</f>
        <v/>
      </c>
      <c r="I500" s="2"/>
      <c r="J500" s="2"/>
      <c r="K500" s="2"/>
    </row>
    <row r="501" spans="1:11" x14ac:dyDescent="0.3">
      <c r="A501" s="5" t="str">
        <f>IF(D501="","",COUNTIF($D$5:D501,"?*"))</f>
        <v/>
      </c>
      <c r="B501" s="6"/>
      <c r="C501" s="5" t="str">
        <f>IF(B501="","",INDEX({"Ocak","Şubat","Mart","Nisan","Mayıs","Haziran","Temmuz","Ağustos","Eylül","Ekim","Kasım","Aralık"},MONTH(B501)))</f>
        <v/>
      </c>
      <c r="D501" s="2"/>
      <c r="E501" s="5" t="str">
        <f>IFERROR(INDEX('Malzeme Tanımlama'!$B$5:$B$300,MATCH(D501,'Malzeme Tanımlama'!$A$5:$A$300,0)),"")</f>
        <v/>
      </c>
      <c r="F501" s="2"/>
      <c r="G501" s="5"/>
      <c r="H501" s="5" t="str">
        <f>IFERROR(INDEX('Malzeme Tanımlama'!$D$5:$D$300,MATCH(D501,'Malzeme Tanımlama'!$A$5:$A$300,0)),"")</f>
        <v/>
      </c>
      <c r="I501" s="2"/>
      <c r="J501" s="2"/>
      <c r="K501" s="2"/>
    </row>
    <row r="502" spans="1:11" x14ac:dyDescent="0.3">
      <c r="A502" s="5" t="str">
        <f>IF(D502="","",COUNTIF($D$5:D502,"?*"))</f>
        <v/>
      </c>
      <c r="B502" s="6"/>
      <c r="C502" s="5" t="str">
        <f>IF(B502="","",INDEX({"Ocak","Şubat","Mart","Nisan","Mayıs","Haziran","Temmuz","Ağustos","Eylül","Ekim","Kasım","Aralık"},MONTH(B502)))</f>
        <v/>
      </c>
      <c r="D502" s="2"/>
      <c r="E502" s="5" t="str">
        <f>IFERROR(INDEX('Malzeme Tanımlama'!$B$5:$B$300,MATCH(D502,'Malzeme Tanımlama'!$A$5:$A$300,0)),"")</f>
        <v/>
      </c>
      <c r="F502" s="2"/>
      <c r="G502" s="5"/>
      <c r="H502" s="5" t="str">
        <f>IFERROR(INDEX('Malzeme Tanımlama'!$D$5:$D$300,MATCH(D502,'Malzeme Tanımlama'!$A$5:$A$300,0)),"")</f>
        <v/>
      </c>
      <c r="I502" s="2"/>
      <c r="J502" s="2"/>
      <c r="K502" s="2"/>
    </row>
    <row r="503" spans="1:11" x14ac:dyDescent="0.3">
      <c r="A503" s="5" t="str">
        <f>IF(D503="","",COUNTIF($D$5:D503,"?*"))</f>
        <v/>
      </c>
      <c r="B503" s="6"/>
      <c r="C503" s="5" t="str">
        <f>IF(B503="","",INDEX({"Ocak","Şubat","Mart","Nisan","Mayıs","Haziran","Temmuz","Ağustos","Eylül","Ekim","Kasım","Aralık"},MONTH(B503)))</f>
        <v/>
      </c>
      <c r="D503" s="2"/>
      <c r="E503" s="5" t="str">
        <f>IFERROR(INDEX('Malzeme Tanımlama'!$B$5:$B$300,MATCH(D503,'Malzeme Tanımlama'!$A$5:$A$300,0)),"")</f>
        <v/>
      </c>
      <c r="F503" s="2"/>
      <c r="G503" s="5"/>
      <c r="H503" s="5" t="str">
        <f>IFERROR(INDEX('Malzeme Tanımlama'!$D$5:$D$300,MATCH(D503,'Malzeme Tanımlama'!$A$5:$A$300,0)),"")</f>
        <v/>
      </c>
      <c r="I503" s="2"/>
      <c r="J503" s="2"/>
      <c r="K503" s="2"/>
    </row>
    <row r="504" spans="1:11" x14ac:dyDescent="0.3">
      <c r="A504" s="5" t="str">
        <f>IF(D504="","",COUNTIF($D$5:D504,"?*"))</f>
        <v/>
      </c>
      <c r="B504" s="6"/>
      <c r="C504" s="5" t="str">
        <f>IF(B504="","",INDEX({"Ocak","Şubat","Mart","Nisan","Mayıs","Haziran","Temmuz","Ağustos","Eylül","Ekim","Kasım","Aralık"},MONTH(B504)))</f>
        <v/>
      </c>
      <c r="D504" s="2"/>
      <c r="E504" s="5" t="str">
        <f>IFERROR(INDEX('Malzeme Tanımlama'!$B$5:$B$300,MATCH(D504,'Malzeme Tanımlama'!$A$5:$A$300,0)),"")</f>
        <v/>
      </c>
      <c r="F504" s="2"/>
      <c r="G504" s="5"/>
      <c r="H504" s="5" t="str">
        <f>IFERROR(INDEX('Malzeme Tanımlama'!$D$5:$D$300,MATCH(D504,'Malzeme Tanımlama'!$A$5:$A$300,0)),"")</f>
        <v/>
      </c>
      <c r="I504" s="2"/>
      <c r="J504" s="2"/>
      <c r="K504" s="2"/>
    </row>
    <row r="505" spans="1:11" x14ac:dyDescent="0.3">
      <c r="A505" s="5" t="str">
        <f>IF(D505="","",COUNTIF($D$5:D505,"?*"))</f>
        <v/>
      </c>
      <c r="B505" s="6"/>
      <c r="C505" s="5" t="str">
        <f>IF(B505="","",INDEX({"Ocak","Şubat","Mart","Nisan","Mayıs","Haziran","Temmuz","Ağustos","Eylül","Ekim","Kasım","Aralık"},MONTH(B505)))</f>
        <v/>
      </c>
      <c r="D505" s="2"/>
      <c r="E505" s="5" t="str">
        <f>IFERROR(INDEX('Malzeme Tanımlama'!$B$5:$B$300,MATCH(D505,'Malzeme Tanımlama'!$A$5:$A$300,0)),"")</f>
        <v/>
      </c>
      <c r="F505" s="2"/>
      <c r="G505" s="5"/>
      <c r="H505" s="5" t="str">
        <f>IFERROR(INDEX('Malzeme Tanımlama'!$D$5:$D$300,MATCH(D505,'Malzeme Tanımlama'!$A$5:$A$300,0)),"")</f>
        <v/>
      </c>
      <c r="I505" s="2"/>
      <c r="J505" s="2"/>
      <c r="K505" s="2"/>
    </row>
    <row r="506" spans="1:11" x14ac:dyDescent="0.3">
      <c r="A506" s="5" t="str">
        <f>IF(D506="","",COUNTIF($D$5:D506,"?*"))</f>
        <v/>
      </c>
      <c r="B506" s="6"/>
      <c r="C506" s="5" t="str">
        <f>IF(B506="","",INDEX({"Ocak","Şubat","Mart","Nisan","Mayıs","Haziran","Temmuz","Ağustos","Eylül","Ekim","Kasım","Aralık"},MONTH(B506)))</f>
        <v/>
      </c>
      <c r="D506" s="2"/>
      <c r="E506" s="5" t="str">
        <f>IFERROR(INDEX('Malzeme Tanımlama'!$B$5:$B$300,MATCH(D506,'Malzeme Tanımlama'!$A$5:$A$300,0)),"")</f>
        <v/>
      </c>
      <c r="F506" s="2"/>
      <c r="G506" s="5"/>
      <c r="H506" s="5" t="str">
        <f>IFERROR(INDEX('Malzeme Tanımlama'!$D$5:$D$300,MATCH(D506,'Malzeme Tanımlama'!$A$5:$A$300,0)),"")</f>
        <v/>
      </c>
      <c r="I506" s="2"/>
      <c r="J506" s="2"/>
      <c r="K506" s="2"/>
    </row>
    <row r="507" spans="1:11" x14ac:dyDescent="0.3">
      <c r="A507" s="5" t="str">
        <f>IF(D507="","",COUNTIF($D$5:D507,"?*"))</f>
        <v/>
      </c>
      <c r="B507" s="6"/>
      <c r="C507" s="5" t="str">
        <f>IF(B507="","",INDEX({"Ocak","Şubat","Mart","Nisan","Mayıs","Haziran","Temmuz","Ağustos","Eylül","Ekim","Kasım","Aralık"},MONTH(B507)))</f>
        <v/>
      </c>
      <c r="D507" s="2"/>
      <c r="E507" s="5" t="str">
        <f>IFERROR(INDEX('Malzeme Tanımlama'!$B$5:$B$300,MATCH(D507,'Malzeme Tanımlama'!$A$5:$A$300,0)),"")</f>
        <v/>
      </c>
      <c r="F507" s="2"/>
      <c r="G507" s="5"/>
      <c r="H507" s="5" t="str">
        <f>IFERROR(INDEX('Malzeme Tanımlama'!$D$5:$D$300,MATCH(D507,'Malzeme Tanımlama'!$A$5:$A$300,0)),"")</f>
        <v/>
      </c>
      <c r="I507" s="2"/>
      <c r="J507" s="2"/>
      <c r="K507" s="2"/>
    </row>
    <row r="508" spans="1:11" x14ac:dyDescent="0.3">
      <c r="A508" s="5" t="str">
        <f>IF(D508="","",COUNTIF($D$5:D508,"?*"))</f>
        <v/>
      </c>
      <c r="B508" s="6"/>
      <c r="C508" s="5" t="str">
        <f>IF(B508="","",INDEX({"Ocak","Şubat","Mart","Nisan","Mayıs","Haziran","Temmuz","Ağustos","Eylül","Ekim","Kasım","Aralık"},MONTH(B508)))</f>
        <v/>
      </c>
      <c r="D508" s="2"/>
      <c r="E508" s="5" t="str">
        <f>IFERROR(INDEX('Malzeme Tanımlama'!$B$5:$B$300,MATCH(D508,'Malzeme Tanımlama'!$A$5:$A$300,0)),"")</f>
        <v/>
      </c>
      <c r="F508" s="2"/>
      <c r="G508" s="5"/>
      <c r="H508" s="5" t="str">
        <f>IFERROR(INDEX('Malzeme Tanımlama'!$D$5:$D$300,MATCH(D508,'Malzeme Tanımlama'!$A$5:$A$300,0)),"")</f>
        <v/>
      </c>
      <c r="I508" s="2"/>
      <c r="J508" s="2"/>
      <c r="K508" s="2"/>
    </row>
    <row r="509" spans="1:11" x14ac:dyDescent="0.3">
      <c r="A509" s="5" t="str">
        <f>IF(D509="","",COUNTIF($D$5:D509,"?*"))</f>
        <v/>
      </c>
      <c r="B509" s="6"/>
      <c r="C509" s="5" t="str">
        <f>IF(B509="","",INDEX({"Ocak","Şubat","Mart","Nisan","Mayıs","Haziran","Temmuz","Ağustos","Eylül","Ekim","Kasım","Aralık"},MONTH(B509)))</f>
        <v/>
      </c>
      <c r="D509" s="2"/>
      <c r="E509" s="5" t="str">
        <f>IFERROR(INDEX('Malzeme Tanımlama'!$B$5:$B$300,MATCH(D509,'Malzeme Tanımlama'!$A$5:$A$300,0)),"")</f>
        <v/>
      </c>
      <c r="F509" s="2"/>
      <c r="G509" s="5"/>
      <c r="H509" s="5" t="str">
        <f>IFERROR(INDEX('Malzeme Tanımlama'!$D$5:$D$300,MATCH(D509,'Malzeme Tanımlama'!$A$5:$A$300,0)),"")</f>
        <v/>
      </c>
      <c r="I509" s="2"/>
      <c r="J509" s="2"/>
      <c r="K509" s="2"/>
    </row>
    <row r="510" spans="1:11" x14ac:dyDescent="0.3">
      <c r="A510" s="5" t="str">
        <f>IF(D510="","",COUNTIF($D$5:D510,"?*"))</f>
        <v/>
      </c>
      <c r="B510" s="6"/>
      <c r="C510" s="5" t="str">
        <f>IF(B510="","",INDEX({"Ocak","Şubat","Mart","Nisan","Mayıs","Haziran","Temmuz","Ağustos","Eylül","Ekim","Kasım","Aralık"},MONTH(B510)))</f>
        <v/>
      </c>
      <c r="D510" s="2"/>
      <c r="E510" s="5" t="str">
        <f>IFERROR(INDEX('Malzeme Tanımlama'!$B$5:$B$300,MATCH(D510,'Malzeme Tanımlama'!$A$5:$A$300,0)),"")</f>
        <v/>
      </c>
      <c r="F510" s="2"/>
      <c r="G510" s="5"/>
      <c r="H510" s="5" t="str">
        <f>IFERROR(INDEX('Malzeme Tanımlama'!$D$5:$D$300,MATCH(D510,'Malzeme Tanımlama'!$A$5:$A$300,0)),"")</f>
        <v/>
      </c>
      <c r="I510" s="2"/>
      <c r="J510" s="2"/>
      <c r="K510" s="2"/>
    </row>
    <row r="511" spans="1:11" x14ac:dyDescent="0.3">
      <c r="A511" s="5" t="str">
        <f>IF(D511="","",COUNTIF($D$5:D511,"?*"))</f>
        <v/>
      </c>
      <c r="B511" s="6"/>
      <c r="C511" s="5" t="str">
        <f>IF(B511="","",INDEX({"Ocak","Şubat","Mart","Nisan","Mayıs","Haziran","Temmuz","Ağustos","Eylül","Ekim","Kasım","Aralık"},MONTH(B511)))</f>
        <v/>
      </c>
      <c r="D511" s="2"/>
      <c r="E511" s="5" t="str">
        <f>IFERROR(INDEX('Malzeme Tanımlama'!$B$5:$B$300,MATCH(D511,'Malzeme Tanımlama'!$A$5:$A$300,0)),"")</f>
        <v/>
      </c>
      <c r="F511" s="2"/>
      <c r="G511" s="5"/>
      <c r="H511" s="5" t="str">
        <f>IFERROR(INDEX('Malzeme Tanımlama'!$D$5:$D$300,MATCH(D511,'Malzeme Tanımlama'!$A$5:$A$300,0)),"")</f>
        <v/>
      </c>
      <c r="I511" s="2"/>
      <c r="J511" s="2"/>
      <c r="K511" s="2"/>
    </row>
    <row r="512" spans="1:11" x14ac:dyDescent="0.3">
      <c r="A512" s="5" t="str">
        <f>IF(D512="","",COUNTIF($D$5:D512,"?*"))</f>
        <v/>
      </c>
      <c r="B512" s="6"/>
      <c r="C512" s="5" t="str">
        <f>IF(B512="","",INDEX({"Ocak","Şubat","Mart","Nisan","Mayıs","Haziran","Temmuz","Ağustos","Eylül","Ekim","Kasım","Aralık"},MONTH(B512)))</f>
        <v/>
      </c>
      <c r="D512" s="2"/>
      <c r="E512" s="5" t="str">
        <f>IFERROR(INDEX('Malzeme Tanımlama'!$B$5:$B$300,MATCH(D512,'Malzeme Tanımlama'!$A$5:$A$300,0)),"")</f>
        <v/>
      </c>
      <c r="F512" s="2"/>
      <c r="G512" s="5"/>
      <c r="H512" s="5" t="str">
        <f>IFERROR(INDEX('Malzeme Tanımlama'!$D$5:$D$300,MATCH(D512,'Malzeme Tanımlama'!$A$5:$A$300,0)),"")</f>
        <v/>
      </c>
      <c r="I512" s="2"/>
      <c r="J512" s="2"/>
      <c r="K512" s="2"/>
    </row>
    <row r="513" spans="1:11" x14ac:dyDescent="0.3">
      <c r="A513" s="5" t="str">
        <f>IF(D513="","",COUNTIF($D$5:D513,"?*"))</f>
        <v/>
      </c>
      <c r="B513" s="6"/>
      <c r="C513" s="5" t="str">
        <f>IF(B513="","",INDEX({"Ocak","Şubat","Mart","Nisan","Mayıs","Haziran","Temmuz","Ağustos","Eylül","Ekim","Kasım","Aralık"},MONTH(B513)))</f>
        <v/>
      </c>
      <c r="D513" s="2"/>
      <c r="E513" s="5" t="str">
        <f>IFERROR(INDEX('Malzeme Tanımlama'!$B$5:$B$300,MATCH(D513,'Malzeme Tanımlama'!$A$5:$A$300,0)),"")</f>
        <v/>
      </c>
      <c r="F513" s="2"/>
      <c r="G513" s="5"/>
      <c r="H513" s="5" t="str">
        <f>IFERROR(INDEX('Malzeme Tanımlama'!$D$5:$D$300,MATCH(D513,'Malzeme Tanımlama'!$A$5:$A$300,0)),"")</f>
        <v/>
      </c>
      <c r="I513" s="2"/>
      <c r="J513" s="2"/>
      <c r="K513" s="2"/>
    </row>
    <row r="514" spans="1:11" x14ac:dyDescent="0.3">
      <c r="A514" s="5" t="str">
        <f>IF(D514="","",COUNTIF($D$5:D514,"?*"))</f>
        <v/>
      </c>
      <c r="B514" s="6"/>
      <c r="C514" s="5" t="str">
        <f>IF(B514="","",INDEX({"Ocak","Şubat","Mart","Nisan","Mayıs","Haziran","Temmuz","Ağustos","Eylül","Ekim","Kasım","Aralık"},MONTH(B514)))</f>
        <v/>
      </c>
      <c r="D514" s="2"/>
      <c r="E514" s="5" t="str">
        <f>IFERROR(INDEX('Malzeme Tanımlama'!$B$5:$B$300,MATCH(D514,'Malzeme Tanımlama'!$A$5:$A$300,0)),"")</f>
        <v/>
      </c>
      <c r="F514" s="2"/>
      <c r="G514" s="5"/>
      <c r="H514" s="5" t="str">
        <f>IFERROR(INDEX('Malzeme Tanımlama'!$D$5:$D$300,MATCH(D514,'Malzeme Tanımlama'!$A$5:$A$300,0)),"")</f>
        <v/>
      </c>
      <c r="I514" s="2"/>
      <c r="J514" s="2"/>
      <c r="K514" s="2"/>
    </row>
    <row r="515" spans="1:11" x14ac:dyDescent="0.3">
      <c r="A515" s="5" t="str">
        <f>IF(D515="","",COUNTIF($D$5:D515,"?*"))</f>
        <v/>
      </c>
      <c r="B515" s="6"/>
      <c r="C515" s="5" t="str">
        <f>IF(B515="","",INDEX({"Ocak","Şubat","Mart","Nisan","Mayıs","Haziran","Temmuz","Ağustos","Eylül","Ekim","Kasım","Aralık"},MONTH(B515)))</f>
        <v/>
      </c>
      <c r="D515" s="2"/>
      <c r="E515" s="5" t="str">
        <f>IFERROR(INDEX('Malzeme Tanımlama'!$B$5:$B$300,MATCH(D515,'Malzeme Tanımlama'!$A$5:$A$300,0)),"")</f>
        <v/>
      </c>
      <c r="F515" s="2"/>
      <c r="G515" s="5"/>
      <c r="H515" s="5" t="str">
        <f>IFERROR(INDEX('Malzeme Tanımlama'!$D$5:$D$300,MATCH(D515,'Malzeme Tanımlama'!$A$5:$A$300,0)),"")</f>
        <v/>
      </c>
      <c r="I515" s="2"/>
      <c r="J515" s="2"/>
      <c r="K515" s="2"/>
    </row>
    <row r="516" spans="1:11" x14ac:dyDescent="0.3">
      <c r="A516" s="5" t="str">
        <f>IF(D516="","",COUNTIF($D$5:D516,"?*"))</f>
        <v/>
      </c>
      <c r="B516" s="6"/>
      <c r="C516" s="5" t="str">
        <f>IF(B516="","",INDEX({"Ocak","Şubat","Mart","Nisan","Mayıs","Haziran","Temmuz","Ağustos","Eylül","Ekim","Kasım","Aralık"},MONTH(B516)))</f>
        <v/>
      </c>
      <c r="D516" s="2"/>
      <c r="E516" s="5" t="str">
        <f>IFERROR(INDEX('Malzeme Tanımlama'!$B$5:$B$300,MATCH(D516,'Malzeme Tanımlama'!$A$5:$A$300,0)),"")</f>
        <v/>
      </c>
      <c r="F516" s="2"/>
      <c r="G516" s="5"/>
      <c r="H516" s="5" t="str">
        <f>IFERROR(INDEX('Malzeme Tanımlama'!$D$5:$D$300,MATCH(D516,'Malzeme Tanımlama'!$A$5:$A$300,0)),"")</f>
        <v/>
      </c>
      <c r="I516" s="2"/>
      <c r="J516" s="2"/>
      <c r="K516" s="2"/>
    </row>
    <row r="517" spans="1:11" x14ac:dyDescent="0.3">
      <c r="A517" s="5" t="str">
        <f>IF(D517="","",COUNTIF($D$5:D517,"?*"))</f>
        <v/>
      </c>
      <c r="B517" s="6"/>
      <c r="C517" s="5" t="str">
        <f>IF(B517="","",INDEX({"Ocak","Şubat","Mart","Nisan","Mayıs","Haziran","Temmuz","Ağustos","Eylül","Ekim","Kasım","Aralık"},MONTH(B517)))</f>
        <v/>
      </c>
      <c r="D517" s="2"/>
      <c r="E517" s="5" t="str">
        <f>IFERROR(INDEX('Malzeme Tanımlama'!$B$5:$B$300,MATCH(D517,'Malzeme Tanımlama'!$A$5:$A$300,0)),"")</f>
        <v/>
      </c>
      <c r="F517" s="2"/>
      <c r="G517" s="5"/>
      <c r="H517" s="5" t="str">
        <f>IFERROR(INDEX('Malzeme Tanımlama'!$D$5:$D$300,MATCH(D517,'Malzeme Tanımlama'!$A$5:$A$300,0)),"")</f>
        <v/>
      </c>
      <c r="I517" s="2"/>
      <c r="J517" s="2"/>
      <c r="K517" s="2"/>
    </row>
    <row r="518" spans="1:11" x14ac:dyDescent="0.3">
      <c r="A518" s="5" t="str">
        <f>IF(D518="","",COUNTIF($D$5:D518,"?*"))</f>
        <v/>
      </c>
      <c r="B518" s="6"/>
      <c r="C518" s="5" t="str">
        <f>IF(B518="","",INDEX({"Ocak","Şubat","Mart","Nisan","Mayıs","Haziran","Temmuz","Ağustos","Eylül","Ekim","Kasım","Aralık"},MONTH(B518)))</f>
        <v/>
      </c>
      <c r="D518" s="2"/>
      <c r="E518" s="5" t="str">
        <f>IFERROR(INDEX('Malzeme Tanımlama'!$B$5:$B$300,MATCH(D518,'Malzeme Tanımlama'!$A$5:$A$300,0)),"")</f>
        <v/>
      </c>
      <c r="F518" s="2"/>
      <c r="G518" s="5"/>
      <c r="H518" s="5" t="str">
        <f>IFERROR(INDEX('Malzeme Tanımlama'!$D$5:$D$300,MATCH(D518,'Malzeme Tanımlama'!$A$5:$A$300,0)),"")</f>
        <v/>
      </c>
      <c r="I518" s="2"/>
      <c r="J518" s="2"/>
      <c r="K518" s="2"/>
    </row>
    <row r="519" spans="1:11" x14ac:dyDescent="0.3">
      <c r="A519" s="5" t="str">
        <f>IF(D519="","",COUNTIF($D$5:D519,"?*"))</f>
        <v/>
      </c>
      <c r="B519" s="6"/>
      <c r="C519" s="5" t="str">
        <f>IF(B519="","",INDEX({"Ocak","Şubat","Mart","Nisan","Mayıs","Haziran","Temmuz","Ağustos","Eylül","Ekim","Kasım","Aralık"},MONTH(B519)))</f>
        <v/>
      </c>
      <c r="D519" s="2"/>
      <c r="E519" s="5" t="str">
        <f>IFERROR(INDEX('Malzeme Tanımlama'!$B$5:$B$300,MATCH(D519,'Malzeme Tanımlama'!$A$5:$A$300,0)),"")</f>
        <v/>
      </c>
      <c r="F519" s="2"/>
      <c r="G519" s="5"/>
      <c r="H519" s="5" t="str">
        <f>IFERROR(INDEX('Malzeme Tanımlama'!$D$5:$D$300,MATCH(D519,'Malzeme Tanımlama'!$A$5:$A$300,0)),"")</f>
        <v/>
      </c>
      <c r="I519" s="2"/>
      <c r="J519" s="2"/>
      <c r="K519" s="2"/>
    </row>
    <row r="520" spans="1:11" x14ac:dyDescent="0.3">
      <c r="A520" s="5" t="str">
        <f>IF(D520="","",COUNTIF($D$5:D520,"?*"))</f>
        <v/>
      </c>
      <c r="B520" s="6"/>
      <c r="C520" s="5" t="str">
        <f>IF(B520="","",INDEX({"Ocak","Şubat","Mart","Nisan","Mayıs","Haziran","Temmuz","Ağustos","Eylül","Ekim","Kasım","Aralık"},MONTH(B520)))</f>
        <v/>
      </c>
      <c r="D520" s="2"/>
      <c r="E520" s="5" t="str">
        <f>IFERROR(INDEX('Malzeme Tanımlama'!$B$5:$B$300,MATCH(D520,'Malzeme Tanımlama'!$A$5:$A$300,0)),"")</f>
        <v/>
      </c>
      <c r="F520" s="2"/>
      <c r="G520" s="5"/>
      <c r="H520" s="5" t="str">
        <f>IFERROR(INDEX('Malzeme Tanımlama'!$D$5:$D$300,MATCH(D520,'Malzeme Tanımlama'!$A$5:$A$300,0)),"")</f>
        <v/>
      </c>
      <c r="I520" s="2"/>
      <c r="J520" s="2"/>
      <c r="K520" s="2"/>
    </row>
    <row r="521" spans="1:11" x14ac:dyDescent="0.3">
      <c r="A521" s="5" t="str">
        <f>IF(D521="","",COUNTIF($D$5:D521,"?*"))</f>
        <v/>
      </c>
      <c r="B521" s="6"/>
      <c r="C521" s="5" t="str">
        <f>IF(B521="","",INDEX({"Ocak","Şubat","Mart","Nisan","Mayıs","Haziran","Temmuz","Ağustos","Eylül","Ekim","Kasım","Aralık"},MONTH(B521)))</f>
        <v/>
      </c>
      <c r="D521" s="2"/>
      <c r="E521" s="5" t="str">
        <f>IFERROR(INDEX('Malzeme Tanımlama'!$B$5:$B$300,MATCH(D521,'Malzeme Tanımlama'!$A$5:$A$300,0)),"")</f>
        <v/>
      </c>
      <c r="F521" s="2"/>
      <c r="G521" s="5"/>
      <c r="H521" s="5" t="str">
        <f>IFERROR(INDEX('Malzeme Tanımlama'!$D$5:$D$300,MATCH(D521,'Malzeme Tanımlama'!$A$5:$A$300,0)),"")</f>
        <v/>
      </c>
      <c r="I521" s="2"/>
      <c r="J521" s="2"/>
      <c r="K521" s="2"/>
    </row>
    <row r="522" spans="1:11" x14ac:dyDescent="0.3">
      <c r="A522" s="5" t="str">
        <f>IF(D522="","",COUNTIF($D$5:D522,"?*"))</f>
        <v/>
      </c>
      <c r="B522" s="6"/>
      <c r="C522" s="5" t="str">
        <f>IF(B522="","",INDEX({"Ocak","Şubat","Mart","Nisan","Mayıs","Haziran","Temmuz","Ağustos","Eylül","Ekim","Kasım","Aralık"},MONTH(B522)))</f>
        <v/>
      </c>
      <c r="D522" s="2"/>
      <c r="E522" s="5" t="str">
        <f>IFERROR(INDEX('Malzeme Tanımlama'!$B$5:$B$300,MATCH(D522,'Malzeme Tanımlama'!$A$5:$A$300,0)),"")</f>
        <v/>
      </c>
      <c r="F522" s="2"/>
      <c r="G522" s="5"/>
      <c r="H522" s="5" t="str">
        <f>IFERROR(INDEX('Malzeme Tanımlama'!$D$5:$D$300,MATCH(D522,'Malzeme Tanımlama'!$A$5:$A$300,0)),"")</f>
        <v/>
      </c>
      <c r="I522" s="2"/>
      <c r="J522" s="2"/>
      <c r="K522" s="2"/>
    </row>
    <row r="523" spans="1:11" x14ac:dyDescent="0.3">
      <c r="A523" s="5" t="str">
        <f>IF(D523="","",COUNTIF($D$5:D523,"?*"))</f>
        <v/>
      </c>
      <c r="B523" s="6"/>
      <c r="C523" s="5" t="str">
        <f>IF(B523="","",INDEX({"Ocak","Şubat","Mart","Nisan","Mayıs","Haziran","Temmuz","Ağustos","Eylül","Ekim","Kasım","Aralık"},MONTH(B523)))</f>
        <v/>
      </c>
      <c r="D523" s="2"/>
      <c r="E523" s="5" t="str">
        <f>IFERROR(INDEX('Malzeme Tanımlama'!$B$5:$B$300,MATCH(D523,'Malzeme Tanımlama'!$A$5:$A$300,0)),"")</f>
        <v/>
      </c>
      <c r="F523" s="2"/>
      <c r="G523" s="5"/>
      <c r="H523" s="5" t="str">
        <f>IFERROR(INDEX('Malzeme Tanımlama'!$D$5:$D$300,MATCH(D523,'Malzeme Tanımlama'!$A$5:$A$300,0)),"")</f>
        <v/>
      </c>
      <c r="I523" s="2"/>
      <c r="J523" s="2"/>
      <c r="K523" s="2"/>
    </row>
    <row r="524" spans="1:11" x14ac:dyDescent="0.3">
      <c r="A524" s="5" t="str">
        <f>IF(D524="","",COUNTIF($D$5:D524,"?*"))</f>
        <v/>
      </c>
      <c r="B524" s="6"/>
      <c r="C524" s="5" t="str">
        <f>IF(B524="","",INDEX({"Ocak","Şubat","Mart","Nisan","Mayıs","Haziran","Temmuz","Ağustos","Eylül","Ekim","Kasım","Aralık"},MONTH(B524)))</f>
        <v/>
      </c>
      <c r="D524" s="2"/>
      <c r="E524" s="5" t="str">
        <f>IFERROR(INDEX('Malzeme Tanımlama'!$B$5:$B$300,MATCH(D524,'Malzeme Tanımlama'!$A$5:$A$300,0)),"")</f>
        <v/>
      </c>
      <c r="F524" s="2"/>
      <c r="G524" s="5"/>
      <c r="H524" s="5" t="str">
        <f>IFERROR(INDEX('Malzeme Tanımlama'!$D$5:$D$300,MATCH(D524,'Malzeme Tanımlama'!$A$5:$A$300,0)),"")</f>
        <v/>
      </c>
      <c r="I524" s="2"/>
      <c r="J524" s="2"/>
      <c r="K524" s="2"/>
    </row>
    <row r="525" spans="1:11" x14ac:dyDescent="0.3">
      <c r="A525" s="5" t="str">
        <f>IF(D525="","",COUNTIF($D$5:D525,"?*"))</f>
        <v/>
      </c>
      <c r="B525" s="6"/>
      <c r="C525" s="5" t="str">
        <f>IF(B525="","",INDEX({"Ocak","Şubat","Mart","Nisan","Mayıs","Haziran","Temmuz","Ağustos","Eylül","Ekim","Kasım","Aralık"},MONTH(B525)))</f>
        <v/>
      </c>
      <c r="D525" s="2"/>
      <c r="E525" s="5" t="str">
        <f>IFERROR(INDEX('Malzeme Tanımlama'!$B$5:$B$300,MATCH(D525,'Malzeme Tanımlama'!$A$5:$A$300,0)),"")</f>
        <v/>
      </c>
      <c r="F525" s="2"/>
      <c r="G525" s="5"/>
      <c r="H525" s="5" t="str">
        <f>IFERROR(INDEX('Malzeme Tanımlama'!$D$5:$D$300,MATCH(D525,'Malzeme Tanımlama'!$A$5:$A$300,0)),"")</f>
        <v/>
      </c>
      <c r="I525" s="2"/>
      <c r="J525" s="2"/>
      <c r="K525" s="2"/>
    </row>
    <row r="526" spans="1:11" x14ac:dyDescent="0.3">
      <c r="A526" s="5" t="str">
        <f>IF(D526="","",COUNTIF($D$5:D526,"?*"))</f>
        <v/>
      </c>
      <c r="B526" s="6"/>
      <c r="C526" s="5" t="str">
        <f>IF(B526="","",INDEX({"Ocak","Şubat","Mart","Nisan","Mayıs","Haziran","Temmuz","Ağustos","Eylül","Ekim","Kasım","Aralık"},MONTH(B526)))</f>
        <v/>
      </c>
      <c r="D526" s="2"/>
      <c r="E526" s="5" t="str">
        <f>IFERROR(INDEX('Malzeme Tanımlama'!$B$5:$B$300,MATCH(D526,'Malzeme Tanımlama'!$A$5:$A$300,0)),"")</f>
        <v/>
      </c>
      <c r="F526" s="2"/>
      <c r="G526" s="5"/>
      <c r="H526" s="5" t="str">
        <f>IFERROR(INDEX('Malzeme Tanımlama'!$D$5:$D$300,MATCH(D526,'Malzeme Tanımlama'!$A$5:$A$300,0)),"")</f>
        <v/>
      </c>
      <c r="I526" s="2"/>
      <c r="J526" s="2"/>
      <c r="K526" s="2"/>
    </row>
    <row r="527" spans="1:11" x14ac:dyDescent="0.3">
      <c r="A527" s="5" t="str">
        <f>IF(D527="","",COUNTIF($D$5:D527,"?*"))</f>
        <v/>
      </c>
      <c r="B527" s="6"/>
      <c r="C527" s="5" t="str">
        <f>IF(B527="","",INDEX({"Ocak","Şubat","Mart","Nisan","Mayıs","Haziran","Temmuz","Ağustos","Eylül","Ekim","Kasım","Aralık"},MONTH(B527)))</f>
        <v/>
      </c>
      <c r="D527" s="2"/>
      <c r="E527" s="5" t="str">
        <f>IFERROR(INDEX('Malzeme Tanımlama'!$B$5:$B$300,MATCH(D527,'Malzeme Tanımlama'!$A$5:$A$300,0)),"")</f>
        <v/>
      </c>
      <c r="F527" s="2"/>
      <c r="G527" s="5"/>
      <c r="H527" s="5" t="str">
        <f>IFERROR(INDEX('Malzeme Tanımlama'!$D$5:$D$300,MATCH(D527,'Malzeme Tanımlama'!$A$5:$A$300,0)),"")</f>
        <v/>
      </c>
      <c r="I527" s="2"/>
      <c r="J527" s="2"/>
      <c r="K527" s="2"/>
    </row>
    <row r="528" spans="1:11" x14ac:dyDescent="0.3">
      <c r="A528" s="5" t="str">
        <f>IF(D528="","",COUNTIF($D$5:D528,"?*"))</f>
        <v/>
      </c>
      <c r="B528" s="6"/>
      <c r="C528" s="5" t="str">
        <f>IF(B528="","",INDEX({"Ocak","Şubat","Mart","Nisan","Mayıs","Haziran","Temmuz","Ağustos","Eylül","Ekim","Kasım","Aralık"},MONTH(B528)))</f>
        <v/>
      </c>
      <c r="D528" s="2"/>
      <c r="E528" s="5" t="str">
        <f>IFERROR(INDEX('Malzeme Tanımlama'!$B$5:$B$300,MATCH(D528,'Malzeme Tanımlama'!$A$5:$A$300,0)),"")</f>
        <v/>
      </c>
      <c r="F528" s="2"/>
      <c r="G528" s="5"/>
      <c r="H528" s="5" t="str">
        <f>IFERROR(INDEX('Malzeme Tanımlama'!$D$5:$D$300,MATCH(D528,'Malzeme Tanımlama'!$A$5:$A$300,0)),"")</f>
        <v/>
      </c>
      <c r="I528" s="2"/>
      <c r="J528" s="2"/>
      <c r="K528" s="2"/>
    </row>
    <row r="529" spans="1:11" x14ac:dyDescent="0.3">
      <c r="A529" s="5" t="str">
        <f>IF(D529="","",COUNTIF($D$5:D529,"?*"))</f>
        <v/>
      </c>
      <c r="B529" s="6"/>
      <c r="C529" s="5" t="str">
        <f>IF(B529="","",INDEX({"Ocak","Şubat","Mart","Nisan","Mayıs","Haziran","Temmuz","Ağustos","Eylül","Ekim","Kasım","Aralık"},MONTH(B529)))</f>
        <v/>
      </c>
      <c r="D529" s="2"/>
      <c r="E529" s="5" t="str">
        <f>IFERROR(INDEX('Malzeme Tanımlama'!$B$5:$B$300,MATCH(D529,'Malzeme Tanımlama'!$A$5:$A$300,0)),"")</f>
        <v/>
      </c>
      <c r="F529" s="2"/>
      <c r="G529" s="5"/>
      <c r="H529" s="5" t="str">
        <f>IFERROR(INDEX('Malzeme Tanımlama'!$D$5:$D$300,MATCH(D529,'Malzeme Tanımlama'!$A$5:$A$300,0)),"")</f>
        <v/>
      </c>
      <c r="I529" s="2"/>
      <c r="J529" s="2"/>
      <c r="K529" s="2"/>
    </row>
    <row r="530" spans="1:11" x14ac:dyDescent="0.3">
      <c r="A530" s="5" t="str">
        <f>IF(D530="","",COUNTIF($D$5:D530,"?*"))</f>
        <v/>
      </c>
      <c r="B530" s="6"/>
      <c r="C530" s="5" t="str">
        <f>IF(B530="","",INDEX({"Ocak","Şubat","Mart","Nisan","Mayıs","Haziran","Temmuz","Ağustos","Eylül","Ekim","Kasım","Aralık"},MONTH(B530)))</f>
        <v/>
      </c>
      <c r="D530" s="2"/>
      <c r="E530" s="5" t="str">
        <f>IFERROR(INDEX('Malzeme Tanımlama'!$B$5:$B$300,MATCH(D530,'Malzeme Tanımlama'!$A$5:$A$300,0)),"")</f>
        <v/>
      </c>
      <c r="F530" s="2"/>
      <c r="G530" s="5"/>
      <c r="H530" s="5" t="str">
        <f>IFERROR(INDEX('Malzeme Tanımlama'!$D$5:$D$300,MATCH(D530,'Malzeme Tanımlama'!$A$5:$A$300,0)),"")</f>
        <v/>
      </c>
      <c r="I530" s="2"/>
      <c r="J530" s="2"/>
      <c r="K530" s="2"/>
    </row>
    <row r="531" spans="1:11" x14ac:dyDescent="0.3">
      <c r="A531" s="5" t="str">
        <f>IF(D531="","",COUNTIF($D$5:D531,"?*"))</f>
        <v/>
      </c>
      <c r="B531" s="6"/>
      <c r="C531" s="5" t="str">
        <f>IF(B531="","",INDEX({"Ocak","Şubat","Mart","Nisan","Mayıs","Haziran","Temmuz","Ağustos","Eylül","Ekim","Kasım","Aralık"},MONTH(B531)))</f>
        <v/>
      </c>
      <c r="D531" s="2"/>
      <c r="E531" s="5" t="str">
        <f>IFERROR(INDEX('Malzeme Tanımlama'!$B$5:$B$300,MATCH(D531,'Malzeme Tanımlama'!$A$5:$A$300,0)),"")</f>
        <v/>
      </c>
      <c r="F531" s="2"/>
      <c r="G531" s="5"/>
      <c r="H531" s="5" t="str">
        <f>IFERROR(INDEX('Malzeme Tanımlama'!$D$5:$D$300,MATCH(D531,'Malzeme Tanımlama'!$A$5:$A$300,0)),"")</f>
        <v/>
      </c>
      <c r="I531" s="2"/>
      <c r="J531" s="2"/>
      <c r="K531" s="2"/>
    </row>
    <row r="532" spans="1:11" x14ac:dyDescent="0.3">
      <c r="A532" s="5" t="str">
        <f>IF(D532="","",COUNTIF($D$5:D532,"?*"))</f>
        <v/>
      </c>
      <c r="B532" s="6"/>
      <c r="C532" s="5" t="str">
        <f>IF(B532="","",INDEX({"Ocak","Şubat","Mart","Nisan","Mayıs","Haziran","Temmuz","Ağustos","Eylül","Ekim","Kasım","Aralık"},MONTH(B532)))</f>
        <v/>
      </c>
      <c r="D532" s="2"/>
      <c r="E532" s="5" t="str">
        <f>IFERROR(INDEX('Malzeme Tanımlama'!$B$5:$B$300,MATCH(D532,'Malzeme Tanımlama'!$A$5:$A$300,0)),"")</f>
        <v/>
      </c>
      <c r="F532" s="2"/>
      <c r="G532" s="5"/>
      <c r="H532" s="5" t="str">
        <f>IFERROR(INDEX('Malzeme Tanımlama'!$D$5:$D$300,MATCH(D532,'Malzeme Tanımlama'!$A$5:$A$300,0)),"")</f>
        <v/>
      </c>
      <c r="I532" s="2"/>
      <c r="J532" s="2"/>
      <c r="K532" s="2"/>
    </row>
    <row r="533" spans="1:11" x14ac:dyDescent="0.3">
      <c r="A533" s="5" t="str">
        <f>IF(D533="","",COUNTIF($D$5:D533,"?*"))</f>
        <v/>
      </c>
      <c r="B533" s="6"/>
      <c r="C533" s="5" t="str">
        <f>IF(B533="","",INDEX({"Ocak","Şubat","Mart","Nisan","Mayıs","Haziran","Temmuz","Ağustos","Eylül","Ekim","Kasım","Aralık"},MONTH(B533)))</f>
        <v/>
      </c>
      <c r="D533" s="2"/>
      <c r="E533" s="5" t="str">
        <f>IFERROR(INDEX('Malzeme Tanımlama'!$B$5:$B$300,MATCH(D533,'Malzeme Tanımlama'!$A$5:$A$300,0)),"")</f>
        <v/>
      </c>
      <c r="F533" s="2"/>
      <c r="G533" s="5"/>
      <c r="H533" s="5" t="str">
        <f>IFERROR(INDEX('Malzeme Tanımlama'!$D$5:$D$300,MATCH(D533,'Malzeme Tanımlama'!$A$5:$A$300,0)),"")</f>
        <v/>
      </c>
      <c r="I533" s="2"/>
      <c r="J533" s="2"/>
      <c r="K533" s="2"/>
    </row>
    <row r="534" spans="1:11" x14ac:dyDescent="0.3">
      <c r="A534" s="5" t="str">
        <f>IF(D534="","",COUNTIF($D$5:D534,"?*"))</f>
        <v/>
      </c>
      <c r="B534" s="6"/>
      <c r="C534" s="5" t="str">
        <f>IF(B534="","",INDEX({"Ocak","Şubat","Mart","Nisan","Mayıs","Haziran","Temmuz","Ağustos","Eylül","Ekim","Kasım","Aralık"},MONTH(B534)))</f>
        <v/>
      </c>
      <c r="D534" s="2"/>
      <c r="E534" s="5" t="str">
        <f>IFERROR(INDEX('Malzeme Tanımlama'!$B$5:$B$300,MATCH(D534,'Malzeme Tanımlama'!$A$5:$A$300,0)),"")</f>
        <v/>
      </c>
      <c r="F534" s="2"/>
      <c r="G534" s="5"/>
      <c r="H534" s="5" t="str">
        <f>IFERROR(INDEX('Malzeme Tanımlama'!$D$5:$D$300,MATCH(D534,'Malzeme Tanımlama'!$A$5:$A$300,0)),"")</f>
        <v/>
      </c>
      <c r="I534" s="2"/>
      <c r="J534" s="2"/>
      <c r="K534" s="2"/>
    </row>
    <row r="535" spans="1:11" x14ac:dyDescent="0.3">
      <c r="A535" s="5" t="str">
        <f>IF(D535="","",COUNTIF($D$5:D535,"?*"))</f>
        <v/>
      </c>
      <c r="B535" s="6"/>
      <c r="C535" s="5" t="str">
        <f>IF(B535="","",INDEX({"Ocak","Şubat","Mart","Nisan","Mayıs","Haziran","Temmuz","Ağustos","Eylül","Ekim","Kasım","Aralık"},MONTH(B535)))</f>
        <v/>
      </c>
      <c r="D535" s="2"/>
      <c r="E535" s="5" t="str">
        <f>IFERROR(INDEX('Malzeme Tanımlama'!$B$5:$B$300,MATCH(D535,'Malzeme Tanımlama'!$A$5:$A$300,0)),"")</f>
        <v/>
      </c>
      <c r="F535" s="2"/>
      <c r="G535" s="5"/>
      <c r="H535" s="5" t="str">
        <f>IFERROR(INDEX('Malzeme Tanımlama'!$D$5:$D$300,MATCH(D535,'Malzeme Tanımlama'!$A$5:$A$300,0)),"")</f>
        <v/>
      </c>
      <c r="I535" s="2"/>
      <c r="J535" s="2"/>
      <c r="K535" s="2"/>
    </row>
    <row r="536" spans="1:11" x14ac:dyDescent="0.3">
      <c r="A536" s="5" t="str">
        <f>IF(D536="","",COUNTIF($D$5:D536,"?*"))</f>
        <v/>
      </c>
      <c r="B536" s="6"/>
      <c r="C536" s="5" t="str">
        <f>IF(B536="","",INDEX({"Ocak","Şubat","Mart","Nisan","Mayıs","Haziran","Temmuz","Ağustos","Eylül","Ekim","Kasım","Aralık"},MONTH(B536)))</f>
        <v/>
      </c>
      <c r="D536" s="2"/>
      <c r="E536" s="5" t="str">
        <f>IFERROR(INDEX('Malzeme Tanımlama'!$B$5:$B$300,MATCH(D536,'Malzeme Tanımlama'!$A$5:$A$300,0)),"")</f>
        <v/>
      </c>
      <c r="F536" s="2"/>
      <c r="G536" s="5"/>
      <c r="H536" s="5" t="str">
        <f>IFERROR(INDEX('Malzeme Tanımlama'!$D$5:$D$300,MATCH(D536,'Malzeme Tanımlama'!$A$5:$A$300,0)),"")</f>
        <v/>
      </c>
      <c r="I536" s="2"/>
      <c r="J536" s="2"/>
      <c r="K536" s="2"/>
    </row>
    <row r="537" spans="1:11" x14ac:dyDescent="0.3">
      <c r="A537" s="5" t="str">
        <f>IF(D537="","",COUNTIF($D$5:D537,"?*"))</f>
        <v/>
      </c>
      <c r="B537" s="6"/>
      <c r="C537" s="5" t="str">
        <f>IF(B537="","",INDEX({"Ocak","Şubat","Mart","Nisan","Mayıs","Haziran","Temmuz","Ağustos","Eylül","Ekim","Kasım","Aralık"},MONTH(B537)))</f>
        <v/>
      </c>
      <c r="D537" s="2"/>
      <c r="E537" s="5" t="str">
        <f>IFERROR(INDEX('Malzeme Tanımlama'!$B$5:$B$300,MATCH(D537,'Malzeme Tanımlama'!$A$5:$A$300,0)),"")</f>
        <v/>
      </c>
      <c r="F537" s="2"/>
      <c r="G537" s="5"/>
      <c r="H537" s="5" t="str">
        <f>IFERROR(INDEX('Malzeme Tanımlama'!$D$5:$D$300,MATCH(D537,'Malzeme Tanımlama'!$A$5:$A$300,0)),"")</f>
        <v/>
      </c>
      <c r="I537" s="2"/>
      <c r="J537" s="2"/>
      <c r="K537" s="2"/>
    </row>
    <row r="538" spans="1:11" x14ac:dyDescent="0.3">
      <c r="A538" s="5" t="str">
        <f>IF(D538="","",COUNTIF($D$5:D538,"?*"))</f>
        <v/>
      </c>
      <c r="B538" s="6"/>
      <c r="C538" s="5" t="str">
        <f>IF(B538="","",INDEX({"Ocak","Şubat","Mart","Nisan","Mayıs","Haziran","Temmuz","Ağustos","Eylül","Ekim","Kasım","Aralık"},MONTH(B538)))</f>
        <v/>
      </c>
      <c r="D538" s="2"/>
      <c r="E538" s="5" t="str">
        <f>IFERROR(INDEX('Malzeme Tanımlama'!$B$5:$B$300,MATCH(D538,'Malzeme Tanımlama'!$A$5:$A$300,0)),"")</f>
        <v/>
      </c>
      <c r="F538" s="2"/>
      <c r="G538" s="5"/>
      <c r="H538" s="5" t="str">
        <f>IFERROR(INDEX('Malzeme Tanımlama'!$D$5:$D$300,MATCH(D538,'Malzeme Tanımlama'!$A$5:$A$300,0)),"")</f>
        <v/>
      </c>
      <c r="I538" s="2"/>
      <c r="J538" s="2"/>
      <c r="K538" s="2"/>
    </row>
    <row r="539" spans="1:11" x14ac:dyDescent="0.3">
      <c r="A539" s="5" t="str">
        <f>IF(D539="","",COUNTIF($D$5:D539,"?*"))</f>
        <v/>
      </c>
      <c r="B539" s="6"/>
      <c r="C539" s="5" t="str">
        <f>IF(B539="","",INDEX({"Ocak","Şubat","Mart","Nisan","Mayıs","Haziran","Temmuz","Ağustos","Eylül","Ekim","Kasım","Aralık"},MONTH(B539)))</f>
        <v/>
      </c>
      <c r="D539" s="2"/>
      <c r="E539" s="5" t="str">
        <f>IFERROR(INDEX('Malzeme Tanımlama'!$B$5:$B$300,MATCH(D539,'Malzeme Tanımlama'!$A$5:$A$300,0)),"")</f>
        <v/>
      </c>
      <c r="F539" s="2"/>
      <c r="G539" s="5"/>
      <c r="H539" s="5" t="str">
        <f>IFERROR(INDEX('Malzeme Tanımlama'!$D$5:$D$300,MATCH(D539,'Malzeme Tanımlama'!$A$5:$A$300,0)),"")</f>
        <v/>
      </c>
      <c r="I539" s="2"/>
      <c r="J539" s="2"/>
      <c r="K539" s="2"/>
    </row>
    <row r="540" spans="1:11" x14ac:dyDescent="0.3">
      <c r="A540" s="5" t="str">
        <f>IF(D540="","",COUNTIF($D$5:D540,"?*"))</f>
        <v/>
      </c>
      <c r="B540" s="6"/>
      <c r="C540" s="5" t="str">
        <f>IF(B540="","",INDEX({"Ocak","Şubat","Mart","Nisan","Mayıs","Haziran","Temmuz","Ağustos","Eylül","Ekim","Kasım","Aralık"},MONTH(B540)))</f>
        <v/>
      </c>
      <c r="D540" s="2"/>
      <c r="E540" s="5" t="str">
        <f>IFERROR(INDEX('Malzeme Tanımlama'!$B$5:$B$300,MATCH(D540,'Malzeme Tanımlama'!$A$5:$A$300,0)),"")</f>
        <v/>
      </c>
      <c r="F540" s="2"/>
      <c r="G540" s="5"/>
      <c r="H540" s="5" t="str">
        <f>IFERROR(INDEX('Malzeme Tanımlama'!$D$5:$D$300,MATCH(D540,'Malzeme Tanımlama'!$A$5:$A$300,0)),"")</f>
        <v/>
      </c>
      <c r="I540" s="2"/>
      <c r="J540" s="2"/>
      <c r="K540" s="2"/>
    </row>
    <row r="541" spans="1:11" x14ac:dyDescent="0.3">
      <c r="A541" s="5" t="str">
        <f>IF(D541="","",COUNTIF($D$5:D541,"?*"))</f>
        <v/>
      </c>
      <c r="B541" s="6"/>
      <c r="C541" s="5" t="str">
        <f>IF(B541="","",INDEX({"Ocak","Şubat","Mart","Nisan","Mayıs","Haziran","Temmuz","Ağustos","Eylül","Ekim","Kasım","Aralık"},MONTH(B541)))</f>
        <v/>
      </c>
      <c r="D541" s="2"/>
      <c r="E541" s="5" t="str">
        <f>IFERROR(INDEX('Malzeme Tanımlama'!$B$5:$B$300,MATCH(D541,'Malzeme Tanımlama'!$A$5:$A$300,0)),"")</f>
        <v/>
      </c>
      <c r="F541" s="2"/>
      <c r="G541" s="5"/>
      <c r="H541" s="5" t="str">
        <f>IFERROR(INDEX('Malzeme Tanımlama'!$D$5:$D$300,MATCH(D541,'Malzeme Tanımlama'!$A$5:$A$300,0)),"")</f>
        <v/>
      </c>
      <c r="I541" s="2"/>
      <c r="J541" s="2"/>
      <c r="K541" s="2"/>
    </row>
    <row r="542" spans="1:11" x14ac:dyDescent="0.3">
      <c r="A542" s="5" t="str">
        <f>IF(D542="","",COUNTIF($D$5:D542,"?*"))</f>
        <v/>
      </c>
      <c r="B542" s="6"/>
      <c r="C542" s="5" t="str">
        <f>IF(B542="","",INDEX({"Ocak","Şubat","Mart","Nisan","Mayıs","Haziran","Temmuz","Ağustos","Eylül","Ekim","Kasım","Aralık"},MONTH(B542)))</f>
        <v/>
      </c>
      <c r="D542" s="2"/>
      <c r="E542" s="5" t="str">
        <f>IFERROR(INDEX('Malzeme Tanımlama'!$B$5:$B$300,MATCH(D542,'Malzeme Tanımlama'!$A$5:$A$300,0)),"")</f>
        <v/>
      </c>
      <c r="F542" s="2"/>
      <c r="G542" s="5"/>
      <c r="H542" s="5" t="str">
        <f>IFERROR(INDEX('Malzeme Tanımlama'!$D$5:$D$300,MATCH(D542,'Malzeme Tanımlama'!$A$5:$A$300,0)),"")</f>
        <v/>
      </c>
      <c r="I542" s="2"/>
      <c r="J542" s="2"/>
      <c r="K542" s="2"/>
    </row>
    <row r="543" spans="1:11" x14ac:dyDescent="0.3">
      <c r="A543" s="5" t="str">
        <f>IF(D543="","",COUNTIF($D$5:D543,"?*"))</f>
        <v/>
      </c>
      <c r="B543" s="6"/>
      <c r="C543" s="5" t="str">
        <f>IF(B543="","",INDEX({"Ocak","Şubat","Mart","Nisan","Mayıs","Haziran","Temmuz","Ağustos","Eylül","Ekim","Kasım","Aralık"},MONTH(B543)))</f>
        <v/>
      </c>
      <c r="D543" s="2"/>
      <c r="E543" s="5" t="str">
        <f>IFERROR(INDEX('Malzeme Tanımlama'!$B$5:$B$300,MATCH(D543,'Malzeme Tanımlama'!$A$5:$A$300,0)),"")</f>
        <v/>
      </c>
      <c r="F543" s="2"/>
      <c r="G543" s="5"/>
      <c r="H543" s="5" t="str">
        <f>IFERROR(INDEX('Malzeme Tanımlama'!$D$5:$D$300,MATCH(D543,'Malzeme Tanımlama'!$A$5:$A$300,0)),"")</f>
        <v/>
      </c>
      <c r="I543" s="2"/>
      <c r="J543" s="2"/>
      <c r="K543" s="2"/>
    </row>
    <row r="544" spans="1:11" x14ac:dyDescent="0.3">
      <c r="A544" s="5" t="str">
        <f>IF(D544="","",COUNTIF($D$5:D544,"?*"))</f>
        <v/>
      </c>
      <c r="B544" s="6"/>
      <c r="C544" s="5" t="str">
        <f>IF(B544="","",INDEX({"Ocak","Şubat","Mart","Nisan","Mayıs","Haziran","Temmuz","Ağustos","Eylül","Ekim","Kasım","Aralık"},MONTH(B544)))</f>
        <v/>
      </c>
      <c r="D544" s="2"/>
      <c r="E544" s="5" t="str">
        <f>IFERROR(INDEX('Malzeme Tanımlama'!$B$5:$B$300,MATCH(D544,'Malzeme Tanımlama'!$A$5:$A$300,0)),"")</f>
        <v/>
      </c>
      <c r="F544" s="2"/>
      <c r="G544" s="5"/>
      <c r="H544" s="5" t="str">
        <f>IFERROR(INDEX('Malzeme Tanımlama'!$D$5:$D$300,MATCH(D544,'Malzeme Tanımlama'!$A$5:$A$300,0)),"")</f>
        <v/>
      </c>
      <c r="I544" s="2"/>
      <c r="J544" s="2"/>
      <c r="K544" s="2"/>
    </row>
    <row r="545" spans="1:11" x14ac:dyDescent="0.3">
      <c r="A545" s="5" t="str">
        <f>IF(D545="","",COUNTIF($D$5:D545,"?*"))</f>
        <v/>
      </c>
      <c r="B545" s="6"/>
      <c r="C545" s="5" t="str">
        <f>IF(B545="","",INDEX({"Ocak","Şubat","Mart","Nisan","Mayıs","Haziran","Temmuz","Ağustos","Eylül","Ekim","Kasım","Aralık"},MONTH(B545)))</f>
        <v/>
      </c>
      <c r="D545" s="2"/>
      <c r="E545" s="5" t="str">
        <f>IFERROR(INDEX('Malzeme Tanımlama'!$B$5:$B$300,MATCH(D545,'Malzeme Tanımlama'!$A$5:$A$300,0)),"")</f>
        <v/>
      </c>
      <c r="F545" s="2"/>
      <c r="G545" s="5"/>
      <c r="H545" s="5" t="str">
        <f>IFERROR(INDEX('Malzeme Tanımlama'!$D$5:$D$300,MATCH(D545,'Malzeme Tanımlama'!$A$5:$A$300,0)),"")</f>
        <v/>
      </c>
      <c r="I545" s="2"/>
      <c r="J545" s="2"/>
      <c r="K545" s="2"/>
    </row>
    <row r="546" spans="1:11" x14ac:dyDescent="0.3">
      <c r="A546" s="5" t="str">
        <f>IF(D546="","",COUNTIF($D$5:D546,"?*"))</f>
        <v/>
      </c>
      <c r="B546" s="6"/>
      <c r="C546" s="5" t="str">
        <f>IF(B546="","",INDEX({"Ocak","Şubat","Mart","Nisan","Mayıs","Haziran","Temmuz","Ağustos","Eylül","Ekim","Kasım","Aralık"},MONTH(B546)))</f>
        <v/>
      </c>
      <c r="D546" s="2"/>
      <c r="E546" s="5" t="str">
        <f>IFERROR(INDEX('Malzeme Tanımlama'!$B$5:$B$300,MATCH(D546,'Malzeme Tanımlama'!$A$5:$A$300,0)),"")</f>
        <v/>
      </c>
      <c r="F546" s="2"/>
      <c r="G546" s="5"/>
      <c r="H546" s="5" t="str">
        <f>IFERROR(INDEX('Malzeme Tanımlama'!$D$5:$D$300,MATCH(D546,'Malzeme Tanımlama'!$A$5:$A$300,0)),"")</f>
        <v/>
      </c>
      <c r="I546" s="2"/>
      <c r="J546" s="2"/>
      <c r="K546" s="2"/>
    </row>
    <row r="547" spans="1:11" x14ac:dyDescent="0.3">
      <c r="A547" s="5" t="str">
        <f>IF(D547="","",COUNTIF($D$5:D547,"?*"))</f>
        <v/>
      </c>
      <c r="B547" s="6"/>
      <c r="C547" s="5" t="str">
        <f>IF(B547="","",INDEX({"Ocak","Şubat","Mart","Nisan","Mayıs","Haziran","Temmuz","Ağustos","Eylül","Ekim","Kasım","Aralık"},MONTH(B547)))</f>
        <v/>
      </c>
      <c r="D547" s="2"/>
      <c r="E547" s="5" t="str">
        <f>IFERROR(INDEX('Malzeme Tanımlama'!$B$5:$B$300,MATCH(D547,'Malzeme Tanımlama'!$A$5:$A$300,0)),"")</f>
        <v/>
      </c>
      <c r="F547" s="2"/>
      <c r="G547" s="5"/>
      <c r="H547" s="5" t="str">
        <f>IFERROR(INDEX('Malzeme Tanımlama'!$D$5:$D$300,MATCH(D547,'Malzeme Tanımlama'!$A$5:$A$300,0)),"")</f>
        <v/>
      </c>
      <c r="I547" s="2"/>
      <c r="J547" s="2"/>
      <c r="K547" s="2"/>
    </row>
    <row r="548" spans="1:11" x14ac:dyDescent="0.3">
      <c r="A548" s="5" t="str">
        <f>IF(D548="","",COUNTIF($D$5:D548,"?*"))</f>
        <v/>
      </c>
      <c r="B548" s="6"/>
      <c r="C548" s="5" t="str">
        <f>IF(B548="","",INDEX({"Ocak","Şubat","Mart","Nisan","Mayıs","Haziran","Temmuz","Ağustos","Eylül","Ekim","Kasım","Aralık"},MONTH(B548)))</f>
        <v/>
      </c>
      <c r="D548" s="2"/>
      <c r="E548" s="5" t="str">
        <f>IFERROR(INDEX('Malzeme Tanımlama'!$B$5:$B$300,MATCH(D548,'Malzeme Tanımlama'!$A$5:$A$300,0)),"")</f>
        <v/>
      </c>
      <c r="F548" s="2"/>
      <c r="G548" s="5"/>
      <c r="H548" s="5" t="str">
        <f>IFERROR(INDEX('Malzeme Tanımlama'!$D$5:$D$300,MATCH(D548,'Malzeme Tanımlama'!$A$5:$A$300,0)),"")</f>
        <v/>
      </c>
      <c r="I548" s="2"/>
      <c r="J548" s="2"/>
      <c r="K548" s="2"/>
    </row>
    <row r="549" spans="1:11" x14ac:dyDescent="0.3">
      <c r="A549" s="5" t="str">
        <f>IF(D549="","",COUNTIF($D$5:D549,"?*"))</f>
        <v/>
      </c>
      <c r="B549" s="6"/>
      <c r="C549" s="5" t="str">
        <f>IF(B549="","",INDEX({"Ocak","Şubat","Mart","Nisan","Mayıs","Haziran","Temmuz","Ağustos","Eylül","Ekim","Kasım","Aralık"},MONTH(B549)))</f>
        <v/>
      </c>
      <c r="D549" s="2"/>
      <c r="E549" s="5" t="str">
        <f>IFERROR(INDEX('Malzeme Tanımlama'!$B$5:$B$300,MATCH(D549,'Malzeme Tanımlama'!$A$5:$A$300,0)),"")</f>
        <v/>
      </c>
      <c r="F549" s="2"/>
      <c r="G549" s="5"/>
      <c r="H549" s="5" t="str">
        <f>IFERROR(INDEX('Malzeme Tanımlama'!$D$5:$D$300,MATCH(D549,'Malzeme Tanımlama'!$A$5:$A$300,0)),"")</f>
        <v/>
      </c>
      <c r="I549" s="2"/>
      <c r="J549" s="2"/>
      <c r="K549" s="2"/>
    </row>
    <row r="550" spans="1:11" x14ac:dyDescent="0.3">
      <c r="A550" s="5" t="str">
        <f>IF(D550="","",COUNTIF($D$5:D550,"?*"))</f>
        <v/>
      </c>
      <c r="B550" s="6"/>
      <c r="C550" s="5" t="str">
        <f>IF(B550="","",INDEX({"Ocak","Şubat","Mart","Nisan","Mayıs","Haziran","Temmuz","Ağustos","Eylül","Ekim","Kasım","Aralık"},MONTH(B550)))</f>
        <v/>
      </c>
      <c r="D550" s="2"/>
      <c r="E550" s="5" t="str">
        <f>IFERROR(INDEX('Malzeme Tanımlama'!$B$5:$B$300,MATCH(D550,'Malzeme Tanımlama'!$A$5:$A$300,0)),"")</f>
        <v/>
      </c>
      <c r="F550" s="2"/>
      <c r="G550" s="5"/>
      <c r="H550" s="5" t="str">
        <f>IFERROR(INDEX('Malzeme Tanımlama'!$D$5:$D$300,MATCH(D550,'Malzeme Tanımlama'!$A$5:$A$300,0)),"")</f>
        <v/>
      </c>
      <c r="I550" s="2"/>
      <c r="J550" s="2"/>
      <c r="K550" s="2"/>
    </row>
    <row r="551" spans="1:11" x14ac:dyDescent="0.3">
      <c r="A551" s="5" t="str">
        <f>IF(D551="","",COUNTIF($D$5:D551,"?*"))</f>
        <v/>
      </c>
      <c r="B551" s="6"/>
      <c r="C551" s="5" t="str">
        <f>IF(B551="","",INDEX({"Ocak","Şubat","Mart","Nisan","Mayıs","Haziran","Temmuz","Ağustos","Eylül","Ekim","Kasım","Aralık"},MONTH(B551)))</f>
        <v/>
      </c>
      <c r="D551" s="2"/>
      <c r="E551" s="5" t="str">
        <f>IFERROR(INDEX('Malzeme Tanımlama'!$B$5:$B$300,MATCH(D551,'Malzeme Tanımlama'!$A$5:$A$300,0)),"")</f>
        <v/>
      </c>
      <c r="F551" s="2"/>
      <c r="G551" s="5"/>
      <c r="H551" s="5" t="str">
        <f>IFERROR(INDEX('Malzeme Tanımlama'!$D$5:$D$300,MATCH(D551,'Malzeme Tanımlama'!$A$5:$A$300,0)),"")</f>
        <v/>
      </c>
      <c r="I551" s="2"/>
      <c r="J551" s="2"/>
      <c r="K551" s="2"/>
    </row>
    <row r="552" spans="1:11" x14ac:dyDescent="0.3">
      <c r="A552" s="5" t="str">
        <f>IF(D552="","",COUNTIF($D$5:D552,"?*"))</f>
        <v/>
      </c>
      <c r="B552" s="6"/>
      <c r="C552" s="5" t="str">
        <f>IF(B552="","",INDEX({"Ocak","Şubat","Mart","Nisan","Mayıs","Haziran","Temmuz","Ağustos","Eylül","Ekim","Kasım","Aralık"},MONTH(B552)))</f>
        <v/>
      </c>
      <c r="D552" s="2"/>
      <c r="E552" s="5" t="str">
        <f>IFERROR(INDEX('Malzeme Tanımlama'!$B$5:$B$300,MATCH(D552,'Malzeme Tanımlama'!$A$5:$A$300,0)),"")</f>
        <v/>
      </c>
      <c r="F552" s="2"/>
      <c r="G552" s="5"/>
      <c r="H552" s="5" t="str">
        <f>IFERROR(INDEX('Malzeme Tanımlama'!$D$5:$D$300,MATCH(D552,'Malzeme Tanımlama'!$A$5:$A$300,0)),"")</f>
        <v/>
      </c>
      <c r="I552" s="2"/>
      <c r="J552" s="2"/>
      <c r="K552" s="2"/>
    </row>
    <row r="553" spans="1:11" x14ac:dyDescent="0.3">
      <c r="A553" s="5" t="str">
        <f>IF(D553="","",COUNTIF($D$5:D553,"?*"))</f>
        <v/>
      </c>
      <c r="B553" s="6"/>
      <c r="C553" s="5" t="str">
        <f>IF(B553="","",INDEX({"Ocak","Şubat","Mart","Nisan","Mayıs","Haziran","Temmuz","Ağustos","Eylül","Ekim","Kasım","Aralık"},MONTH(B553)))</f>
        <v/>
      </c>
      <c r="D553" s="2"/>
      <c r="E553" s="5" t="str">
        <f>IFERROR(INDEX('Malzeme Tanımlama'!$B$5:$B$300,MATCH(D553,'Malzeme Tanımlama'!$A$5:$A$300,0)),"")</f>
        <v/>
      </c>
      <c r="F553" s="2"/>
      <c r="G553" s="5"/>
      <c r="H553" s="5" t="str">
        <f>IFERROR(INDEX('Malzeme Tanımlama'!$D$5:$D$300,MATCH(D553,'Malzeme Tanımlama'!$A$5:$A$300,0)),"")</f>
        <v/>
      </c>
      <c r="I553" s="2"/>
      <c r="J553" s="2"/>
      <c r="K553" s="2"/>
    </row>
    <row r="554" spans="1:11" x14ac:dyDescent="0.3">
      <c r="A554" s="5" t="str">
        <f>IF(D554="","",COUNTIF($D$5:D554,"?*"))</f>
        <v/>
      </c>
      <c r="B554" s="6"/>
      <c r="C554" s="5" t="str">
        <f>IF(B554="","",INDEX({"Ocak","Şubat","Mart","Nisan","Mayıs","Haziran","Temmuz","Ağustos","Eylül","Ekim","Kasım","Aralık"},MONTH(B554)))</f>
        <v/>
      </c>
      <c r="D554" s="2"/>
      <c r="E554" s="5" t="str">
        <f>IFERROR(INDEX('Malzeme Tanımlama'!$B$5:$B$300,MATCH(D554,'Malzeme Tanımlama'!$A$5:$A$300,0)),"")</f>
        <v/>
      </c>
      <c r="F554" s="2"/>
      <c r="G554" s="5"/>
      <c r="H554" s="5" t="str">
        <f>IFERROR(INDEX('Malzeme Tanımlama'!$D$5:$D$300,MATCH(D554,'Malzeme Tanımlama'!$A$5:$A$300,0)),"")</f>
        <v/>
      </c>
      <c r="I554" s="2"/>
      <c r="J554" s="2"/>
      <c r="K554" s="2"/>
    </row>
    <row r="555" spans="1:11" x14ac:dyDescent="0.3">
      <c r="A555" s="5" t="str">
        <f>IF(D555="","",COUNTIF($D$5:D555,"?*"))</f>
        <v/>
      </c>
      <c r="B555" s="6"/>
      <c r="C555" s="5" t="str">
        <f>IF(B555="","",INDEX({"Ocak","Şubat","Mart","Nisan","Mayıs","Haziran","Temmuz","Ağustos","Eylül","Ekim","Kasım","Aralık"},MONTH(B555)))</f>
        <v/>
      </c>
      <c r="D555" s="2"/>
      <c r="E555" s="5" t="str">
        <f>IFERROR(INDEX('Malzeme Tanımlama'!$B$5:$B$300,MATCH(D555,'Malzeme Tanımlama'!$A$5:$A$300,0)),"")</f>
        <v/>
      </c>
      <c r="F555" s="2"/>
      <c r="G555" s="5"/>
      <c r="H555" s="5" t="str">
        <f>IFERROR(INDEX('Malzeme Tanımlama'!$D$5:$D$300,MATCH(D555,'Malzeme Tanımlama'!$A$5:$A$300,0)),"")</f>
        <v/>
      </c>
      <c r="I555" s="2"/>
      <c r="J555" s="2"/>
      <c r="K555" s="2"/>
    </row>
    <row r="556" spans="1:11" x14ac:dyDescent="0.3">
      <c r="A556" s="5" t="str">
        <f>IF(D556="","",COUNTIF($D$5:D556,"?*"))</f>
        <v/>
      </c>
      <c r="B556" s="6"/>
      <c r="C556" s="5" t="str">
        <f>IF(B556="","",INDEX({"Ocak","Şubat","Mart","Nisan","Mayıs","Haziran","Temmuz","Ağustos","Eylül","Ekim","Kasım","Aralık"},MONTH(B556)))</f>
        <v/>
      </c>
      <c r="D556" s="2"/>
      <c r="E556" s="5" t="str">
        <f>IFERROR(INDEX('Malzeme Tanımlama'!$B$5:$B$300,MATCH(D556,'Malzeme Tanımlama'!$A$5:$A$300,0)),"")</f>
        <v/>
      </c>
      <c r="F556" s="2"/>
      <c r="G556" s="5"/>
      <c r="H556" s="5" t="str">
        <f>IFERROR(INDEX('Malzeme Tanımlama'!$D$5:$D$300,MATCH(D556,'Malzeme Tanımlama'!$A$5:$A$300,0)),"")</f>
        <v/>
      </c>
      <c r="I556" s="2"/>
      <c r="J556" s="2"/>
      <c r="K556" s="2"/>
    </row>
    <row r="557" spans="1:11" x14ac:dyDescent="0.3">
      <c r="A557" s="5" t="str">
        <f>IF(D557="","",COUNTIF($D$5:D557,"?*"))</f>
        <v/>
      </c>
      <c r="B557" s="6"/>
      <c r="C557" s="5" t="str">
        <f>IF(B557="","",INDEX({"Ocak","Şubat","Mart","Nisan","Mayıs","Haziran","Temmuz","Ağustos","Eylül","Ekim","Kasım","Aralık"},MONTH(B557)))</f>
        <v/>
      </c>
      <c r="D557" s="2"/>
      <c r="E557" s="5" t="str">
        <f>IFERROR(INDEX('Malzeme Tanımlama'!$B$5:$B$300,MATCH(D557,'Malzeme Tanımlama'!$A$5:$A$300,0)),"")</f>
        <v/>
      </c>
      <c r="F557" s="2"/>
      <c r="G557" s="5"/>
      <c r="H557" s="5" t="str">
        <f>IFERROR(INDEX('Malzeme Tanımlama'!$D$5:$D$300,MATCH(D557,'Malzeme Tanımlama'!$A$5:$A$300,0)),"")</f>
        <v/>
      </c>
      <c r="I557" s="2"/>
      <c r="J557" s="2"/>
      <c r="K557" s="2"/>
    </row>
    <row r="558" spans="1:11" x14ac:dyDescent="0.3">
      <c r="A558" s="5" t="str">
        <f>IF(D558="","",COUNTIF($D$5:D558,"?*"))</f>
        <v/>
      </c>
      <c r="B558" s="6"/>
      <c r="C558" s="5" t="str">
        <f>IF(B558="","",INDEX({"Ocak","Şubat","Mart","Nisan","Mayıs","Haziran","Temmuz","Ağustos","Eylül","Ekim","Kasım","Aralık"},MONTH(B558)))</f>
        <v/>
      </c>
      <c r="D558" s="2"/>
      <c r="E558" s="5" t="str">
        <f>IFERROR(INDEX('Malzeme Tanımlama'!$B$5:$B$300,MATCH(D558,'Malzeme Tanımlama'!$A$5:$A$300,0)),"")</f>
        <v/>
      </c>
      <c r="F558" s="2"/>
      <c r="G558" s="5"/>
      <c r="H558" s="5" t="str">
        <f>IFERROR(INDEX('Malzeme Tanımlama'!$D$5:$D$300,MATCH(D558,'Malzeme Tanımlama'!$A$5:$A$300,0)),"")</f>
        <v/>
      </c>
      <c r="I558" s="2"/>
      <c r="J558" s="2"/>
      <c r="K558" s="2"/>
    </row>
    <row r="559" spans="1:11" x14ac:dyDescent="0.3">
      <c r="A559" s="5" t="str">
        <f>IF(D559="","",COUNTIF($D$5:D559,"?*"))</f>
        <v/>
      </c>
      <c r="B559" s="6"/>
      <c r="C559" s="5" t="str">
        <f>IF(B559="","",INDEX({"Ocak","Şubat","Mart","Nisan","Mayıs","Haziran","Temmuz","Ağustos","Eylül","Ekim","Kasım","Aralık"},MONTH(B559)))</f>
        <v/>
      </c>
      <c r="D559" s="2"/>
      <c r="E559" s="5" t="str">
        <f>IFERROR(INDEX('Malzeme Tanımlama'!$B$5:$B$300,MATCH(D559,'Malzeme Tanımlama'!$A$5:$A$300,0)),"")</f>
        <v/>
      </c>
      <c r="F559" s="2"/>
      <c r="G559" s="5"/>
      <c r="H559" s="5" t="str">
        <f>IFERROR(INDEX('Malzeme Tanımlama'!$D$5:$D$300,MATCH(D559,'Malzeme Tanımlama'!$A$5:$A$300,0)),"")</f>
        <v/>
      </c>
      <c r="I559" s="2"/>
      <c r="J559" s="2"/>
      <c r="K559" s="2"/>
    </row>
    <row r="560" spans="1:11" x14ac:dyDescent="0.3">
      <c r="A560" s="5" t="str">
        <f>IF(D560="","",COUNTIF($D$5:D560,"?*"))</f>
        <v/>
      </c>
      <c r="B560" s="6"/>
      <c r="C560" s="5" t="str">
        <f>IF(B560="","",INDEX({"Ocak","Şubat","Mart","Nisan","Mayıs","Haziran","Temmuz","Ağustos","Eylül","Ekim","Kasım","Aralık"},MONTH(B560)))</f>
        <v/>
      </c>
      <c r="D560" s="2"/>
      <c r="E560" s="5" t="str">
        <f>IFERROR(INDEX('Malzeme Tanımlama'!$B$5:$B$300,MATCH(D560,'Malzeme Tanımlama'!$A$5:$A$300,0)),"")</f>
        <v/>
      </c>
      <c r="F560" s="2"/>
      <c r="G560" s="5"/>
      <c r="H560" s="5" t="str">
        <f>IFERROR(INDEX('Malzeme Tanımlama'!$D$5:$D$300,MATCH(D560,'Malzeme Tanımlama'!$A$5:$A$300,0)),"")</f>
        <v/>
      </c>
      <c r="I560" s="2"/>
      <c r="J560" s="2"/>
      <c r="K560" s="2"/>
    </row>
    <row r="561" spans="1:11" x14ac:dyDescent="0.3">
      <c r="A561" s="5" t="str">
        <f>IF(D561="","",COUNTIF($D$5:D561,"?*"))</f>
        <v/>
      </c>
      <c r="B561" s="6"/>
      <c r="C561" s="5" t="str">
        <f>IF(B561="","",INDEX({"Ocak","Şubat","Mart","Nisan","Mayıs","Haziran","Temmuz","Ağustos","Eylül","Ekim","Kasım","Aralık"},MONTH(B561)))</f>
        <v/>
      </c>
      <c r="D561" s="2"/>
      <c r="E561" s="5" t="str">
        <f>IFERROR(INDEX('Malzeme Tanımlama'!$B$5:$B$300,MATCH(D561,'Malzeme Tanımlama'!$A$5:$A$300,0)),"")</f>
        <v/>
      </c>
      <c r="F561" s="2"/>
      <c r="G561" s="5"/>
      <c r="H561" s="5" t="str">
        <f>IFERROR(INDEX('Malzeme Tanımlama'!$D$5:$D$300,MATCH(D561,'Malzeme Tanımlama'!$A$5:$A$300,0)),"")</f>
        <v/>
      </c>
      <c r="I561" s="2"/>
      <c r="J561" s="2"/>
      <c r="K561" s="2"/>
    </row>
    <row r="562" spans="1:11" x14ac:dyDescent="0.3">
      <c r="A562" s="5" t="str">
        <f>IF(D562="","",COUNTIF($D$5:D562,"?*"))</f>
        <v/>
      </c>
      <c r="B562" s="6"/>
      <c r="C562" s="5" t="str">
        <f>IF(B562="","",INDEX({"Ocak","Şubat","Mart","Nisan","Mayıs","Haziran","Temmuz","Ağustos","Eylül","Ekim","Kasım","Aralık"},MONTH(B562)))</f>
        <v/>
      </c>
      <c r="D562" s="2"/>
      <c r="E562" s="5" t="str">
        <f>IFERROR(INDEX('Malzeme Tanımlama'!$B$5:$B$300,MATCH(D562,'Malzeme Tanımlama'!$A$5:$A$300,0)),"")</f>
        <v/>
      </c>
      <c r="F562" s="2"/>
      <c r="G562" s="5"/>
      <c r="H562" s="5" t="str">
        <f>IFERROR(INDEX('Malzeme Tanımlama'!$D$5:$D$300,MATCH(D562,'Malzeme Tanımlama'!$A$5:$A$300,0)),"")</f>
        <v/>
      </c>
      <c r="I562" s="2"/>
      <c r="J562" s="2"/>
      <c r="K562" s="2"/>
    </row>
    <row r="563" spans="1:11" x14ac:dyDescent="0.3">
      <c r="A563" s="5" t="str">
        <f>IF(D563="","",COUNTIF($D$5:D563,"?*"))</f>
        <v/>
      </c>
      <c r="B563" s="6"/>
      <c r="C563" s="5" t="str">
        <f>IF(B563="","",INDEX({"Ocak","Şubat","Mart","Nisan","Mayıs","Haziran","Temmuz","Ağustos","Eylül","Ekim","Kasım","Aralık"},MONTH(B563)))</f>
        <v/>
      </c>
      <c r="D563" s="2"/>
      <c r="E563" s="5" t="str">
        <f>IFERROR(INDEX('Malzeme Tanımlama'!$B$5:$B$300,MATCH(D563,'Malzeme Tanımlama'!$A$5:$A$300,0)),"")</f>
        <v/>
      </c>
      <c r="F563" s="2"/>
      <c r="G563" s="5"/>
      <c r="H563" s="5" t="str">
        <f>IFERROR(INDEX('Malzeme Tanımlama'!$D$5:$D$300,MATCH(D563,'Malzeme Tanımlama'!$A$5:$A$300,0)),"")</f>
        <v/>
      </c>
      <c r="I563" s="2"/>
      <c r="J563" s="2"/>
      <c r="K563" s="2"/>
    </row>
    <row r="564" spans="1:11" x14ac:dyDescent="0.3">
      <c r="A564" s="5" t="str">
        <f>IF(D564="","",COUNTIF($D$5:D564,"?*"))</f>
        <v/>
      </c>
      <c r="B564" s="6"/>
      <c r="C564" s="5" t="str">
        <f>IF(B564="","",INDEX({"Ocak","Şubat","Mart","Nisan","Mayıs","Haziran","Temmuz","Ağustos","Eylül","Ekim","Kasım","Aralık"},MONTH(B564)))</f>
        <v/>
      </c>
      <c r="D564" s="2"/>
      <c r="E564" s="5" t="str">
        <f>IFERROR(INDEX('Malzeme Tanımlama'!$B$5:$B$300,MATCH(D564,'Malzeme Tanımlama'!$A$5:$A$300,0)),"")</f>
        <v/>
      </c>
      <c r="F564" s="2"/>
      <c r="G564" s="5"/>
      <c r="H564" s="5" t="str">
        <f>IFERROR(INDEX('Malzeme Tanımlama'!$D$5:$D$300,MATCH(D564,'Malzeme Tanımlama'!$A$5:$A$300,0)),"")</f>
        <v/>
      </c>
      <c r="I564" s="2"/>
      <c r="J564" s="2"/>
      <c r="K564" s="2"/>
    </row>
    <row r="565" spans="1:11" x14ac:dyDescent="0.3">
      <c r="A565" s="5" t="str">
        <f>IF(D565="","",COUNTIF($D$5:D565,"?*"))</f>
        <v/>
      </c>
      <c r="B565" s="6"/>
      <c r="C565" s="5" t="str">
        <f>IF(B565="","",INDEX({"Ocak","Şubat","Mart","Nisan","Mayıs","Haziran","Temmuz","Ağustos","Eylül","Ekim","Kasım","Aralık"},MONTH(B565)))</f>
        <v/>
      </c>
      <c r="D565" s="2"/>
      <c r="E565" s="5" t="str">
        <f>IFERROR(INDEX('Malzeme Tanımlama'!$B$5:$B$300,MATCH(D565,'Malzeme Tanımlama'!$A$5:$A$300,0)),"")</f>
        <v/>
      </c>
      <c r="F565" s="2"/>
      <c r="G565" s="5"/>
      <c r="H565" s="5" t="str">
        <f>IFERROR(INDEX('Malzeme Tanımlama'!$D$5:$D$300,MATCH(D565,'Malzeme Tanımlama'!$A$5:$A$300,0)),"")</f>
        <v/>
      </c>
      <c r="I565" s="2"/>
      <c r="J565" s="2"/>
      <c r="K565" s="2"/>
    </row>
    <row r="566" spans="1:11" x14ac:dyDescent="0.3">
      <c r="A566" s="5" t="str">
        <f>IF(D566="","",COUNTIF($D$5:D566,"?*"))</f>
        <v/>
      </c>
      <c r="B566" s="6"/>
      <c r="C566" s="5" t="str">
        <f>IF(B566="","",INDEX({"Ocak","Şubat","Mart","Nisan","Mayıs","Haziran","Temmuz","Ağustos","Eylül","Ekim","Kasım","Aralık"},MONTH(B566)))</f>
        <v/>
      </c>
      <c r="D566" s="2"/>
      <c r="E566" s="5" t="str">
        <f>IFERROR(INDEX('Malzeme Tanımlama'!$B$5:$B$300,MATCH(D566,'Malzeme Tanımlama'!$A$5:$A$300,0)),"")</f>
        <v/>
      </c>
      <c r="F566" s="2"/>
      <c r="G566" s="5"/>
      <c r="H566" s="5" t="str">
        <f>IFERROR(INDEX('Malzeme Tanımlama'!$D$5:$D$300,MATCH(D566,'Malzeme Tanımlama'!$A$5:$A$300,0)),"")</f>
        <v/>
      </c>
      <c r="I566" s="2"/>
      <c r="J566" s="2"/>
      <c r="K566" s="2"/>
    </row>
    <row r="567" spans="1:11" x14ac:dyDescent="0.3">
      <c r="A567" s="5" t="str">
        <f>IF(D567="","",COUNTIF($D$5:D567,"?*"))</f>
        <v/>
      </c>
      <c r="B567" s="6"/>
      <c r="C567" s="5" t="str">
        <f>IF(B567="","",INDEX({"Ocak","Şubat","Mart","Nisan","Mayıs","Haziran","Temmuz","Ağustos","Eylül","Ekim","Kasım","Aralık"},MONTH(B567)))</f>
        <v/>
      </c>
      <c r="D567" s="2"/>
      <c r="E567" s="5" t="str">
        <f>IFERROR(INDEX('Malzeme Tanımlama'!$B$5:$B$300,MATCH(D567,'Malzeme Tanımlama'!$A$5:$A$300,0)),"")</f>
        <v/>
      </c>
      <c r="F567" s="2"/>
      <c r="G567" s="5"/>
      <c r="H567" s="5" t="str">
        <f>IFERROR(INDEX('Malzeme Tanımlama'!$D$5:$D$300,MATCH(D567,'Malzeme Tanımlama'!$A$5:$A$300,0)),"")</f>
        <v/>
      </c>
      <c r="I567" s="2"/>
      <c r="J567" s="2"/>
      <c r="K567" s="2"/>
    </row>
    <row r="568" spans="1:11" x14ac:dyDescent="0.3">
      <c r="A568" s="5" t="str">
        <f>IF(D568="","",COUNTIF($D$5:D568,"?*"))</f>
        <v/>
      </c>
      <c r="B568" s="6"/>
      <c r="C568" s="5" t="str">
        <f>IF(B568="","",INDEX({"Ocak","Şubat","Mart","Nisan","Mayıs","Haziran","Temmuz","Ağustos","Eylül","Ekim","Kasım","Aralık"},MONTH(B568)))</f>
        <v/>
      </c>
      <c r="D568" s="2"/>
      <c r="E568" s="5" t="str">
        <f>IFERROR(INDEX('Malzeme Tanımlama'!$B$5:$B$300,MATCH(D568,'Malzeme Tanımlama'!$A$5:$A$300,0)),"")</f>
        <v/>
      </c>
      <c r="F568" s="2"/>
      <c r="G568" s="5"/>
      <c r="H568" s="5" t="str">
        <f>IFERROR(INDEX('Malzeme Tanımlama'!$D$5:$D$300,MATCH(D568,'Malzeme Tanımlama'!$A$5:$A$300,0)),"")</f>
        <v/>
      </c>
      <c r="I568" s="2"/>
      <c r="J568" s="2"/>
      <c r="K568" s="2"/>
    </row>
    <row r="569" spans="1:11" x14ac:dyDescent="0.3">
      <c r="A569" s="5" t="str">
        <f>IF(D569="","",COUNTIF($D$5:D569,"?*"))</f>
        <v/>
      </c>
      <c r="B569" s="6"/>
      <c r="C569" s="5" t="str">
        <f>IF(B569="","",INDEX({"Ocak","Şubat","Mart","Nisan","Mayıs","Haziran","Temmuz","Ağustos","Eylül","Ekim","Kasım","Aralık"},MONTH(B569)))</f>
        <v/>
      </c>
      <c r="D569" s="2"/>
      <c r="E569" s="5" t="str">
        <f>IFERROR(INDEX('Malzeme Tanımlama'!$B$5:$B$300,MATCH(D569,'Malzeme Tanımlama'!$A$5:$A$300,0)),"")</f>
        <v/>
      </c>
      <c r="F569" s="2"/>
      <c r="G569" s="5"/>
      <c r="H569" s="5" t="str">
        <f>IFERROR(INDEX('Malzeme Tanımlama'!$D$5:$D$300,MATCH(D569,'Malzeme Tanımlama'!$A$5:$A$300,0)),"")</f>
        <v/>
      </c>
      <c r="I569" s="2"/>
      <c r="J569" s="2"/>
      <c r="K569" s="2"/>
    </row>
    <row r="570" spans="1:11" x14ac:dyDescent="0.3">
      <c r="A570" s="5" t="str">
        <f>IF(D570="","",COUNTIF($D$5:D570,"?*"))</f>
        <v/>
      </c>
      <c r="B570" s="6"/>
      <c r="C570" s="5" t="str">
        <f>IF(B570="","",INDEX({"Ocak","Şubat","Mart","Nisan","Mayıs","Haziran","Temmuz","Ağustos","Eylül","Ekim","Kasım","Aralık"},MONTH(B570)))</f>
        <v/>
      </c>
      <c r="D570" s="2"/>
      <c r="E570" s="5" t="str">
        <f>IFERROR(INDEX('Malzeme Tanımlama'!$B$5:$B$300,MATCH(D570,'Malzeme Tanımlama'!$A$5:$A$300,0)),"")</f>
        <v/>
      </c>
      <c r="F570" s="2"/>
      <c r="G570" s="5"/>
      <c r="H570" s="5" t="str">
        <f>IFERROR(INDEX('Malzeme Tanımlama'!$D$5:$D$300,MATCH(D570,'Malzeme Tanımlama'!$A$5:$A$300,0)),"")</f>
        <v/>
      </c>
      <c r="I570" s="2"/>
      <c r="J570" s="2"/>
      <c r="K570" s="2"/>
    </row>
    <row r="571" spans="1:11" x14ac:dyDescent="0.3">
      <c r="A571" s="5" t="str">
        <f>IF(D571="","",COUNTIF($D$5:D571,"?*"))</f>
        <v/>
      </c>
      <c r="B571" s="6"/>
      <c r="C571" s="5" t="str">
        <f>IF(B571="","",INDEX({"Ocak","Şubat","Mart","Nisan","Mayıs","Haziran","Temmuz","Ağustos","Eylül","Ekim","Kasım","Aralık"},MONTH(B571)))</f>
        <v/>
      </c>
      <c r="D571" s="2"/>
      <c r="E571" s="5" t="str">
        <f>IFERROR(INDEX('Malzeme Tanımlama'!$B$5:$B$300,MATCH(D571,'Malzeme Tanımlama'!$A$5:$A$300,0)),"")</f>
        <v/>
      </c>
      <c r="F571" s="2"/>
      <c r="G571" s="5"/>
      <c r="H571" s="5" t="str">
        <f>IFERROR(INDEX('Malzeme Tanımlama'!$D$5:$D$300,MATCH(D571,'Malzeme Tanımlama'!$A$5:$A$300,0)),"")</f>
        <v/>
      </c>
      <c r="I571" s="2"/>
      <c r="J571" s="2"/>
      <c r="K571" s="2"/>
    </row>
    <row r="572" spans="1:11" x14ac:dyDescent="0.3">
      <c r="A572" s="5" t="str">
        <f>IF(D572="","",COUNTIF($D$5:D572,"?*"))</f>
        <v/>
      </c>
      <c r="B572" s="6"/>
      <c r="C572" s="5" t="str">
        <f>IF(B572="","",INDEX({"Ocak","Şubat","Mart","Nisan","Mayıs","Haziran","Temmuz","Ağustos","Eylül","Ekim","Kasım","Aralık"},MONTH(B572)))</f>
        <v/>
      </c>
      <c r="D572" s="2"/>
      <c r="E572" s="5" t="str">
        <f>IFERROR(INDEX('Malzeme Tanımlama'!$B$5:$B$300,MATCH(D572,'Malzeme Tanımlama'!$A$5:$A$300,0)),"")</f>
        <v/>
      </c>
      <c r="F572" s="2"/>
      <c r="G572" s="5"/>
      <c r="H572" s="5" t="str">
        <f>IFERROR(INDEX('Malzeme Tanımlama'!$D$5:$D$300,MATCH(D572,'Malzeme Tanımlama'!$A$5:$A$300,0)),"")</f>
        <v/>
      </c>
      <c r="I572" s="2"/>
      <c r="J572" s="2"/>
      <c r="K572" s="2"/>
    </row>
    <row r="573" spans="1:11" x14ac:dyDescent="0.3">
      <c r="A573" s="5" t="str">
        <f>IF(D573="","",COUNTIF($D$5:D573,"?*"))</f>
        <v/>
      </c>
      <c r="B573" s="6"/>
      <c r="C573" s="5" t="str">
        <f>IF(B573="","",INDEX({"Ocak","Şubat","Mart","Nisan","Mayıs","Haziran","Temmuz","Ağustos","Eylül","Ekim","Kasım","Aralık"},MONTH(B573)))</f>
        <v/>
      </c>
      <c r="D573" s="2"/>
      <c r="E573" s="5" t="str">
        <f>IFERROR(INDEX('Malzeme Tanımlama'!$B$5:$B$300,MATCH(D573,'Malzeme Tanımlama'!$A$5:$A$300,0)),"")</f>
        <v/>
      </c>
      <c r="F573" s="2"/>
      <c r="G573" s="5"/>
      <c r="H573" s="5" t="str">
        <f>IFERROR(INDEX('Malzeme Tanımlama'!$D$5:$D$300,MATCH(D573,'Malzeme Tanımlama'!$A$5:$A$300,0)),"")</f>
        <v/>
      </c>
      <c r="I573" s="2"/>
      <c r="J573" s="2"/>
      <c r="K573" s="2"/>
    </row>
    <row r="574" spans="1:11" x14ac:dyDescent="0.3">
      <c r="A574" s="5" t="str">
        <f>IF(D574="","",COUNTIF($D$5:D574,"?*"))</f>
        <v/>
      </c>
      <c r="B574" s="6"/>
      <c r="C574" s="5" t="str">
        <f>IF(B574="","",INDEX({"Ocak","Şubat","Mart","Nisan","Mayıs","Haziran","Temmuz","Ağustos","Eylül","Ekim","Kasım","Aralık"},MONTH(B574)))</f>
        <v/>
      </c>
      <c r="D574" s="2"/>
      <c r="E574" s="5" t="str">
        <f>IFERROR(INDEX('Malzeme Tanımlama'!$B$5:$B$300,MATCH(D574,'Malzeme Tanımlama'!$A$5:$A$300,0)),"")</f>
        <v/>
      </c>
      <c r="F574" s="2"/>
      <c r="G574" s="5"/>
      <c r="H574" s="5" t="str">
        <f>IFERROR(INDEX('Malzeme Tanımlama'!$D$5:$D$300,MATCH(D574,'Malzeme Tanımlama'!$A$5:$A$300,0)),"")</f>
        <v/>
      </c>
      <c r="I574" s="2"/>
      <c r="J574" s="2"/>
      <c r="K574" s="2"/>
    </row>
    <row r="575" spans="1:11" x14ac:dyDescent="0.3">
      <c r="A575" s="5" t="str">
        <f>IF(D575="","",COUNTIF($D$5:D575,"?*"))</f>
        <v/>
      </c>
      <c r="B575" s="6"/>
      <c r="C575" s="5" t="str">
        <f>IF(B575="","",INDEX({"Ocak","Şubat","Mart","Nisan","Mayıs","Haziran","Temmuz","Ağustos","Eylül","Ekim","Kasım","Aralık"},MONTH(B575)))</f>
        <v/>
      </c>
      <c r="D575" s="2"/>
      <c r="E575" s="5" t="str">
        <f>IFERROR(INDEX('Malzeme Tanımlama'!$B$5:$B$300,MATCH(D575,'Malzeme Tanımlama'!$A$5:$A$300,0)),"")</f>
        <v/>
      </c>
      <c r="F575" s="2"/>
      <c r="G575" s="5"/>
      <c r="H575" s="5" t="str">
        <f>IFERROR(INDEX('Malzeme Tanımlama'!$D$5:$D$300,MATCH(D575,'Malzeme Tanımlama'!$A$5:$A$300,0)),"")</f>
        <v/>
      </c>
      <c r="I575" s="2"/>
      <c r="J575" s="2"/>
      <c r="K575" s="2"/>
    </row>
    <row r="576" spans="1:11" x14ac:dyDescent="0.3">
      <c r="A576" s="5" t="str">
        <f>IF(D576="","",COUNTIF($D$5:D576,"?*"))</f>
        <v/>
      </c>
      <c r="B576" s="6"/>
      <c r="C576" s="5" t="str">
        <f>IF(B576="","",INDEX({"Ocak","Şubat","Mart","Nisan","Mayıs","Haziran","Temmuz","Ağustos","Eylül","Ekim","Kasım","Aralık"},MONTH(B576)))</f>
        <v/>
      </c>
      <c r="D576" s="2"/>
      <c r="E576" s="5" t="str">
        <f>IFERROR(INDEX('Malzeme Tanımlama'!$B$5:$B$300,MATCH(D576,'Malzeme Tanımlama'!$A$5:$A$300,0)),"")</f>
        <v/>
      </c>
      <c r="F576" s="2"/>
      <c r="G576" s="5"/>
      <c r="H576" s="5" t="str">
        <f>IFERROR(INDEX('Malzeme Tanımlama'!$D$5:$D$300,MATCH(D576,'Malzeme Tanımlama'!$A$5:$A$300,0)),"")</f>
        <v/>
      </c>
      <c r="I576" s="2"/>
      <c r="J576" s="2"/>
      <c r="K576" s="2"/>
    </row>
    <row r="577" spans="1:11" x14ac:dyDescent="0.3">
      <c r="A577" s="5" t="str">
        <f>IF(D577="","",COUNTIF($D$5:D577,"?*"))</f>
        <v/>
      </c>
      <c r="B577" s="6"/>
      <c r="C577" s="5" t="str">
        <f>IF(B577="","",INDEX({"Ocak","Şubat","Mart","Nisan","Mayıs","Haziran","Temmuz","Ağustos","Eylül","Ekim","Kasım","Aralık"},MONTH(B577)))</f>
        <v/>
      </c>
      <c r="D577" s="2"/>
      <c r="E577" s="5" t="str">
        <f>IFERROR(INDEX('Malzeme Tanımlama'!$B$5:$B$300,MATCH(D577,'Malzeme Tanımlama'!$A$5:$A$300,0)),"")</f>
        <v/>
      </c>
      <c r="F577" s="2"/>
      <c r="G577" s="5"/>
      <c r="H577" s="5" t="str">
        <f>IFERROR(INDEX('Malzeme Tanımlama'!$D$5:$D$300,MATCH(D577,'Malzeme Tanımlama'!$A$5:$A$300,0)),"")</f>
        <v/>
      </c>
      <c r="I577" s="2"/>
      <c r="J577" s="2"/>
      <c r="K577" s="2"/>
    </row>
    <row r="578" spans="1:11" x14ac:dyDescent="0.3">
      <c r="A578" s="5" t="str">
        <f>IF(D578="","",COUNTIF($D$5:D578,"?*"))</f>
        <v/>
      </c>
      <c r="B578" s="6"/>
      <c r="C578" s="5" t="str">
        <f>IF(B578="","",INDEX({"Ocak","Şubat","Mart","Nisan","Mayıs","Haziran","Temmuz","Ağustos","Eylül","Ekim","Kasım","Aralık"},MONTH(B578)))</f>
        <v/>
      </c>
      <c r="D578" s="2"/>
      <c r="E578" s="5" t="str">
        <f>IFERROR(INDEX('Malzeme Tanımlama'!$B$5:$B$300,MATCH(D578,'Malzeme Tanımlama'!$A$5:$A$300,0)),"")</f>
        <v/>
      </c>
      <c r="F578" s="2"/>
      <c r="G578" s="5"/>
      <c r="H578" s="5" t="str">
        <f>IFERROR(INDEX('Malzeme Tanımlama'!$D$5:$D$300,MATCH(D578,'Malzeme Tanımlama'!$A$5:$A$300,0)),"")</f>
        <v/>
      </c>
      <c r="I578" s="2"/>
      <c r="J578" s="2"/>
      <c r="K578" s="2"/>
    </row>
    <row r="579" spans="1:11" x14ac:dyDescent="0.3">
      <c r="A579" s="5" t="str">
        <f>IF(D579="","",COUNTIF($D$5:D579,"?*"))</f>
        <v/>
      </c>
      <c r="B579" s="6"/>
      <c r="C579" s="5" t="str">
        <f>IF(B579="","",INDEX({"Ocak","Şubat","Mart","Nisan","Mayıs","Haziran","Temmuz","Ağustos","Eylül","Ekim","Kasım","Aralık"},MONTH(B579)))</f>
        <v/>
      </c>
      <c r="D579" s="2"/>
      <c r="E579" s="5" t="str">
        <f>IFERROR(INDEX('Malzeme Tanımlama'!$B$5:$B$300,MATCH(D579,'Malzeme Tanımlama'!$A$5:$A$300,0)),"")</f>
        <v/>
      </c>
      <c r="F579" s="2"/>
      <c r="G579" s="5"/>
      <c r="H579" s="5" t="str">
        <f>IFERROR(INDEX('Malzeme Tanımlama'!$D$5:$D$300,MATCH(D579,'Malzeme Tanımlama'!$A$5:$A$300,0)),"")</f>
        <v/>
      </c>
      <c r="I579" s="2"/>
      <c r="J579" s="2"/>
      <c r="K579" s="2"/>
    </row>
    <row r="580" spans="1:11" x14ac:dyDescent="0.3">
      <c r="A580" s="5" t="str">
        <f>IF(D580="","",COUNTIF($D$5:D580,"?*"))</f>
        <v/>
      </c>
      <c r="B580" s="6"/>
      <c r="C580" s="5" t="str">
        <f>IF(B580="","",INDEX({"Ocak","Şubat","Mart","Nisan","Mayıs","Haziran","Temmuz","Ağustos","Eylül","Ekim","Kasım","Aralık"},MONTH(B580)))</f>
        <v/>
      </c>
      <c r="D580" s="2"/>
      <c r="E580" s="5" t="str">
        <f>IFERROR(INDEX('Malzeme Tanımlama'!$B$5:$B$300,MATCH(D580,'Malzeme Tanımlama'!$A$5:$A$300,0)),"")</f>
        <v/>
      </c>
      <c r="F580" s="2"/>
      <c r="G580" s="5"/>
      <c r="H580" s="5" t="str">
        <f>IFERROR(INDEX('Malzeme Tanımlama'!$D$5:$D$300,MATCH(D580,'Malzeme Tanımlama'!$A$5:$A$300,0)),"")</f>
        <v/>
      </c>
      <c r="I580" s="2"/>
      <c r="J580" s="2"/>
      <c r="K580" s="2"/>
    </row>
    <row r="581" spans="1:11" x14ac:dyDescent="0.3">
      <c r="A581" s="5" t="str">
        <f>IF(D581="","",COUNTIF($D$5:D581,"?*"))</f>
        <v/>
      </c>
      <c r="B581" s="6"/>
      <c r="C581" s="5" t="str">
        <f>IF(B581="","",INDEX({"Ocak","Şubat","Mart","Nisan","Mayıs","Haziran","Temmuz","Ağustos","Eylül","Ekim","Kasım","Aralık"},MONTH(B581)))</f>
        <v/>
      </c>
      <c r="D581" s="2"/>
      <c r="E581" s="5" t="str">
        <f>IFERROR(INDEX('Malzeme Tanımlama'!$B$5:$B$300,MATCH(D581,'Malzeme Tanımlama'!$A$5:$A$300,0)),"")</f>
        <v/>
      </c>
      <c r="F581" s="2"/>
      <c r="G581" s="5"/>
      <c r="H581" s="5" t="str">
        <f>IFERROR(INDEX('Malzeme Tanımlama'!$D$5:$D$300,MATCH(D581,'Malzeme Tanımlama'!$A$5:$A$300,0)),"")</f>
        <v/>
      </c>
      <c r="I581" s="2"/>
      <c r="J581" s="2"/>
      <c r="K581" s="2"/>
    </row>
    <row r="582" spans="1:11" x14ac:dyDescent="0.3">
      <c r="A582" s="5" t="str">
        <f>IF(D582="","",COUNTIF($D$5:D582,"?*"))</f>
        <v/>
      </c>
      <c r="B582" s="6"/>
      <c r="C582" s="5" t="str">
        <f>IF(B582="","",INDEX({"Ocak","Şubat","Mart","Nisan","Mayıs","Haziran","Temmuz","Ağustos","Eylül","Ekim","Kasım","Aralık"},MONTH(B582)))</f>
        <v/>
      </c>
      <c r="D582" s="2"/>
      <c r="E582" s="5" t="str">
        <f>IFERROR(INDEX('Malzeme Tanımlama'!$B$5:$B$300,MATCH(D582,'Malzeme Tanımlama'!$A$5:$A$300,0)),"")</f>
        <v/>
      </c>
      <c r="F582" s="2"/>
      <c r="G582" s="5"/>
      <c r="H582" s="5" t="str">
        <f>IFERROR(INDEX('Malzeme Tanımlama'!$D$5:$D$300,MATCH(D582,'Malzeme Tanımlama'!$A$5:$A$300,0)),"")</f>
        <v/>
      </c>
      <c r="I582" s="2"/>
      <c r="J582" s="2"/>
      <c r="K582" s="2"/>
    </row>
    <row r="583" spans="1:11" x14ac:dyDescent="0.3">
      <c r="A583" s="5" t="str">
        <f>IF(D583="","",COUNTIF($D$5:D583,"?*"))</f>
        <v/>
      </c>
      <c r="B583" s="6"/>
      <c r="C583" s="5" t="str">
        <f>IF(B583="","",INDEX({"Ocak","Şubat","Mart","Nisan","Mayıs","Haziran","Temmuz","Ağustos","Eylül","Ekim","Kasım","Aralık"},MONTH(B583)))</f>
        <v/>
      </c>
      <c r="D583" s="2"/>
      <c r="E583" s="5" t="str">
        <f>IFERROR(INDEX('Malzeme Tanımlama'!$B$5:$B$300,MATCH(D583,'Malzeme Tanımlama'!$A$5:$A$300,0)),"")</f>
        <v/>
      </c>
      <c r="F583" s="2"/>
      <c r="G583" s="5"/>
      <c r="H583" s="5" t="str">
        <f>IFERROR(INDEX('Malzeme Tanımlama'!$D$5:$D$300,MATCH(D583,'Malzeme Tanımlama'!$A$5:$A$300,0)),"")</f>
        <v/>
      </c>
      <c r="I583" s="2"/>
      <c r="J583" s="2"/>
      <c r="K583" s="2"/>
    </row>
    <row r="584" spans="1:11" x14ac:dyDescent="0.3">
      <c r="A584" s="5" t="str">
        <f>IF(D584="","",COUNTIF($D$5:D584,"?*"))</f>
        <v/>
      </c>
      <c r="B584" s="6"/>
      <c r="C584" s="5" t="str">
        <f>IF(B584="","",INDEX({"Ocak","Şubat","Mart","Nisan","Mayıs","Haziran","Temmuz","Ağustos","Eylül","Ekim","Kasım","Aralık"},MONTH(B584)))</f>
        <v/>
      </c>
      <c r="D584" s="2"/>
      <c r="E584" s="5" t="str">
        <f>IFERROR(INDEX('Malzeme Tanımlama'!$B$5:$B$300,MATCH(D584,'Malzeme Tanımlama'!$A$5:$A$300,0)),"")</f>
        <v/>
      </c>
      <c r="F584" s="2"/>
      <c r="G584" s="5"/>
      <c r="H584" s="5" t="str">
        <f>IFERROR(INDEX('Malzeme Tanımlama'!$D$5:$D$300,MATCH(D584,'Malzeme Tanımlama'!$A$5:$A$300,0)),"")</f>
        <v/>
      </c>
      <c r="I584" s="2"/>
      <c r="J584" s="2"/>
      <c r="K584" s="2"/>
    </row>
    <row r="585" spans="1:11" x14ac:dyDescent="0.3">
      <c r="A585" s="5" t="str">
        <f>IF(D585="","",COUNTIF($D$5:D585,"?*"))</f>
        <v/>
      </c>
      <c r="B585" s="6"/>
      <c r="C585" s="5" t="str">
        <f>IF(B585="","",INDEX({"Ocak","Şubat","Mart","Nisan","Mayıs","Haziran","Temmuz","Ağustos","Eylül","Ekim","Kasım","Aralık"},MONTH(B585)))</f>
        <v/>
      </c>
      <c r="D585" s="2"/>
      <c r="E585" s="5" t="str">
        <f>IFERROR(INDEX('Malzeme Tanımlama'!$B$5:$B$300,MATCH(D585,'Malzeme Tanımlama'!$A$5:$A$300,0)),"")</f>
        <v/>
      </c>
      <c r="F585" s="2"/>
      <c r="G585" s="5"/>
      <c r="H585" s="5" t="str">
        <f>IFERROR(INDEX('Malzeme Tanımlama'!$D$5:$D$300,MATCH(D585,'Malzeme Tanımlama'!$A$5:$A$300,0)),"")</f>
        <v/>
      </c>
      <c r="I585" s="2"/>
      <c r="J585" s="2"/>
      <c r="K585" s="2"/>
    </row>
    <row r="586" spans="1:11" x14ac:dyDescent="0.3">
      <c r="A586" s="5" t="str">
        <f>IF(D586="","",COUNTIF($D$5:D586,"?*"))</f>
        <v/>
      </c>
      <c r="B586" s="6"/>
      <c r="C586" s="5" t="str">
        <f>IF(B586="","",INDEX({"Ocak","Şubat","Mart","Nisan","Mayıs","Haziran","Temmuz","Ağustos","Eylül","Ekim","Kasım","Aralık"},MONTH(B586)))</f>
        <v/>
      </c>
      <c r="D586" s="2"/>
      <c r="E586" s="5" t="str">
        <f>IFERROR(INDEX('Malzeme Tanımlama'!$B$5:$B$300,MATCH(D586,'Malzeme Tanımlama'!$A$5:$A$300,0)),"")</f>
        <v/>
      </c>
      <c r="F586" s="2"/>
      <c r="G586" s="5"/>
      <c r="H586" s="5" t="str">
        <f>IFERROR(INDEX('Malzeme Tanımlama'!$D$5:$D$300,MATCH(D586,'Malzeme Tanımlama'!$A$5:$A$300,0)),"")</f>
        <v/>
      </c>
      <c r="I586" s="2"/>
      <c r="J586" s="2"/>
      <c r="K586" s="2"/>
    </row>
    <row r="587" spans="1:11" x14ac:dyDescent="0.3">
      <c r="A587" s="5" t="str">
        <f>IF(D587="","",COUNTIF($D$5:D587,"?*"))</f>
        <v/>
      </c>
      <c r="B587" s="6"/>
      <c r="C587" s="5" t="str">
        <f>IF(B587="","",INDEX({"Ocak","Şubat","Mart","Nisan","Mayıs","Haziran","Temmuz","Ağustos","Eylül","Ekim","Kasım","Aralık"},MONTH(B587)))</f>
        <v/>
      </c>
      <c r="D587" s="2"/>
      <c r="E587" s="5" t="str">
        <f>IFERROR(INDEX('Malzeme Tanımlama'!$B$5:$B$300,MATCH(D587,'Malzeme Tanımlama'!$A$5:$A$300,0)),"")</f>
        <v/>
      </c>
      <c r="F587" s="2"/>
      <c r="G587" s="5"/>
      <c r="H587" s="5" t="str">
        <f>IFERROR(INDEX('Malzeme Tanımlama'!$D$5:$D$300,MATCH(D587,'Malzeme Tanımlama'!$A$5:$A$300,0)),"")</f>
        <v/>
      </c>
      <c r="I587" s="2"/>
      <c r="J587" s="2"/>
      <c r="K587" s="2"/>
    </row>
    <row r="588" spans="1:11" x14ac:dyDescent="0.3">
      <c r="A588" s="5" t="str">
        <f>IF(D588="","",COUNTIF($D$5:D588,"?*"))</f>
        <v/>
      </c>
      <c r="B588" s="6"/>
      <c r="C588" s="5" t="str">
        <f>IF(B588="","",INDEX({"Ocak","Şubat","Mart","Nisan","Mayıs","Haziran","Temmuz","Ağustos","Eylül","Ekim","Kasım","Aralık"},MONTH(B588)))</f>
        <v/>
      </c>
      <c r="D588" s="2"/>
      <c r="E588" s="5" t="str">
        <f>IFERROR(INDEX('Malzeme Tanımlama'!$B$5:$B$300,MATCH(D588,'Malzeme Tanımlama'!$A$5:$A$300,0)),"")</f>
        <v/>
      </c>
      <c r="F588" s="2"/>
      <c r="G588" s="5"/>
      <c r="H588" s="5" t="str">
        <f>IFERROR(INDEX('Malzeme Tanımlama'!$D$5:$D$300,MATCH(D588,'Malzeme Tanımlama'!$A$5:$A$300,0)),"")</f>
        <v/>
      </c>
      <c r="I588" s="2"/>
      <c r="J588" s="2"/>
      <c r="K588" s="2"/>
    </row>
    <row r="589" spans="1:11" x14ac:dyDescent="0.3">
      <c r="A589" s="5" t="str">
        <f>IF(D589="","",COUNTIF($D$5:D589,"?*"))</f>
        <v/>
      </c>
      <c r="B589" s="6"/>
      <c r="C589" s="5" t="str">
        <f>IF(B589="","",INDEX({"Ocak","Şubat","Mart","Nisan","Mayıs","Haziran","Temmuz","Ağustos","Eylül","Ekim","Kasım","Aralık"},MONTH(B589)))</f>
        <v/>
      </c>
      <c r="D589" s="2"/>
      <c r="E589" s="5" t="str">
        <f>IFERROR(INDEX('Malzeme Tanımlama'!$B$5:$B$300,MATCH(D589,'Malzeme Tanımlama'!$A$5:$A$300,0)),"")</f>
        <v/>
      </c>
      <c r="F589" s="2"/>
      <c r="G589" s="5"/>
      <c r="H589" s="5" t="str">
        <f>IFERROR(INDEX('Malzeme Tanımlama'!$D$5:$D$300,MATCH(D589,'Malzeme Tanımlama'!$A$5:$A$300,0)),"")</f>
        <v/>
      </c>
      <c r="I589" s="2"/>
      <c r="J589" s="2"/>
      <c r="K589" s="2"/>
    </row>
    <row r="590" spans="1:11" x14ac:dyDescent="0.3">
      <c r="A590" s="5" t="str">
        <f>IF(D590="","",COUNTIF($D$5:D590,"?*"))</f>
        <v/>
      </c>
      <c r="B590" s="6"/>
      <c r="C590" s="5" t="str">
        <f>IF(B590="","",INDEX({"Ocak","Şubat","Mart","Nisan","Mayıs","Haziran","Temmuz","Ağustos","Eylül","Ekim","Kasım","Aralık"},MONTH(B590)))</f>
        <v/>
      </c>
      <c r="D590" s="2"/>
      <c r="E590" s="5" t="str">
        <f>IFERROR(INDEX('Malzeme Tanımlama'!$B$5:$B$300,MATCH(D590,'Malzeme Tanımlama'!$A$5:$A$300,0)),"")</f>
        <v/>
      </c>
      <c r="F590" s="2"/>
      <c r="G590" s="5"/>
      <c r="H590" s="5" t="str">
        <f>IFERROR(INDEX('Malzeme Tanımlama'!$D$5:$D$300,MATCH(D590,'Malzeme Tanımlama'!$A$5:$A$300,0)),"")</f>
        <v/>
      </c>
      <c r="I590" s="2"/>
      <c r="J590" s="2"/>
      <c r="K590" s="2"/>
    </row>
    <row r="591" spans="1:11" x14ac:dyDescent="0.3">
      <c r="A591" s="5" t="str">
        <f>IF(D591="","",COUNTIF($D$5:D591,"?*"))</f>
        <v/>
      </c>
      <c r="B591" s="6"/>
      <c r="C591" s="5" t="str">
        <f>IF(B591="","",INDEX({"Ocak","Şubat","Mart","Nisan","Mayıs","Haziran","Temmuz","Ağustos","Eylül","Ekim","Kasım","Aralık"},MONTH(B591)))</f>
        <v/>
      </c>
      <c r="D591" s="2"/>
      <c r="E591" s="5" t="str">
        <f>IFERROR(INDEX('Malzeme Tanımlama'!$B$5:$B$300,MATCH(D591,'Malzeme Tanımlama'!$A$5:$A$300,0)),"")</f>
        <v/>
      </c>
      <c r="F591" s="2"/>
      <c r="G591" s="5"/>
      <c r="H591" s="5" t="str">
        <f>IFERROR(INDEX('Malzeme Tanımlama'!$D$5:$D$300,MATCH(D591,'Malzeme Tanımlama'!$A$5:$A$300,0)),"")</f>
        <v/>
      </c>
      <c r="I591" s="2"/>
      <c r="J591" s="2"/>
      <c r="K591" s="2"/>
    </row>
    <row r="592" spans="1:11" x14ac:dyDescent="0.3">
      <c r="A592" s="5" t="str">
        <f>IF(D592="","",COUNTIF($D$5:D592,"?*"))</f>
        <v/>
      </c>
      <c r="B592" s="6"/>
      <c r="C592" s="5" t="str">
        <f>IF(B592="","",INDEX({"Ocak","Şubat","Mart","Nisan","Mayıs","Haziran","Temmuz","Ağustos","Eylül","Ekim","Kasım","Aralık"},MONTH(B592)))</f>
        <v/>
      </c>
      <c r="D592" s="2"/>
      <c r="E592" s="5" t="str">
        <f>IFERROR(INDEX('Malzeme Tanımlama'!$B$5:$B$300,MATCH(D592,'Malzeme Tanımlama'!$A$5:$A$300,0)),"")</f>
        <v/>
      </c>
      <c r="F592" s="2"/>
      <c r="G592" s="5"/>
      <c r="H592" s="5" t="str">
        <f>IFERROR(INDEX('Malzeme Tanımlama'!$D$5:$D$300,MATCH(D592,'Malzeme Tanımlama'!$A$5:$A$300,0)),"")</f>
        <v/>
      </c>
      <c r="I592" s="2"/>
      <c r="J592" s="2"/>
      <c r="K592" s="2"/>
    </row>
    <row r="593" spans="1:11" x14ac:dyDescent="0.3">
      <c r="A593" s="5" t="str">
        <f>IF(D593="","",COUNTIF($D$5:D593,"?*"))</f>
        <v/>
      </c>
      <c r="B593" s="6"/>
      <c r="C593" s="5" t="str">
        <f>IF(B593="","",INDEX({"Ocak","Şubat","Mart","Nisan","Mayıs","Haziran","Temmuz","Ağustos","Eylül","Ekim","Kasım","Aralık"},MONTH(B593)))</f>
        <v/>
      </c>
      <c r="D593" s="2"/>
      <c r="E593" s="5" t="str">
        <f>IFERROR(INDEX('Malzeme Tanımlama'!$B$5:$B$300,MATCH(D593,'Malzeme Tanımlama'!$A$5:$A$300,0)),"")</f>
        <v/>
      </c>
      <c r="F593" s="2"/>
      <c r="G593" s="5"/>
      <c r="H593" s="5" t="str">
        <f>IFERROR(INDEX('Malzeme Tanımlama'!$D$5:$D$300,MATCH(D593,'Malzeme Tanımlama'!$A$5:$A$300,0)),"")</f>
        <v/>
      </c>
      <c r="I593" s="2"/>
      <c r="J593" s="2"/>
      <c r="K593" s="2"/>
    </row>
    <row r="594" spans="1:11" x14ac:dyDescent="0.3">
      <c r="A594" s="5" t="str">
        <f>IF(D594="","",COUNTIF($D$5:D594,"?*"))</f>
        <v/>
      </c>
      <c r="B594" s="6"/>
      <c r="C594" s="5" t="str">
        <f>IF(B594="","",INDEX({"Ocak","Şubat","Mart","Nisan","Mayıs","Haziran","Temmuz","Ağustos","Eylül","Ekim","Kasım","Aralık"},MONTH(B594)))</f>
        <v/>
      </c>
      <c r="D594" s="2"/>
      <c r="E594" s="5" t="str">
        <f>IFERROR(INDEX('Malzeme Tanımlama'!$B$5:$B$300,MATCH(D594,'Malzeme Tanımlama'!$A$5:$A$300,0)),"")</f>
        <v/>
      </c>
      <c r="F594" s="2"/>
      <c r="G594" s="5"/>
      <c r="H594" s="5" t="str">
        <f>IFERROR(INDEX('Malzeme Tanımlama'!$D$5:$D$300,MATCH(D594,'Malzeme Tanımlama'!$A$5:$A$300,0)),"")</f>
        <v/>
      </c>
      <c r="I594" s="2"/>
      <c r="J594" s="2"/>
      <c r="K594" s="2"/>
    </row>
    <row r="595" spans="1:11" x14ac:dyDescent="0.3">
      <c r="A595" s="5" t="str">
        <f>IF(D595="","",COUNTIF($D$5:D595,"?*"))</f>
        <v/>
      </c>
      <c r="B595" s="6"/>
      <c r="C595" s="5" t="str">
        <f>IF(B595="","",INDEX({"Ocak","Şubat","Mart","Nisan","Mayıs","Haziran","Temmuz","Ağustos","Eylül","Ekim","Kasım","Aralık"},MONTH(B595)))</f>
        <v/>
      </c>
      <c r="D595" s="2"/>
      <c r="E595" s="5" t="str">
        <f>IFERROR(INDEX('Malzeme Tanımlama'!$B$5:$B$300,MATCH(D595,'Malzeme Tanımlama'!$A$5:$A$300,0)),"")</f>
        <v/>
      </c>
      <c r="F595" s="2"/>
      <c r="G595" s="5"/>
      <c r="H595" s="5" t="str">
        <f>IFERROR(INDEX('Malzeme Tanımlama'!$D$5:$D$300,MATCH(D595,'Malzeme Tanımlama'!$A$5:$A$300,0)),"")</f>
        <v/>
      </c>
      <c r="I595" s="2"/>
      <c r="J595" s="2"/>
      <c r="K595" s="2"/>
    </row>
    <row r="596" spans="1:11" x14ac:dyDescent="0.3">
      <c r="A596" s="5" t="str">
        <f>IF(D596="","",COUNTIF($D$5:D596,"?*"))</f>
        <v/>
      </c>
      <c r="B596" s="6"/>
      <c r="C596" s="5" t="str">
        <f>IF(B596="","",INDEX({"Ocak","Şubat","Mart","Nisan","Mayıs","Haziran","Temmuz","Ağustos","Eylül","Ekim","Kasım","Aralık"},MONTH(B596)))</f>
        <v/>
      </c>
      <c r="D596" s="2"/>
      <c r="E596" s="5" t="str">
        <f>IFERROR(INDEX('Malzeme Tanımlama'!$B$5:$B$300,MATCH(D596,'Malzeme Tanımlama'!$A$5:$A$300,0)),"")</f>
        <v/>
      </c>
      <c r="F596" s="2"/>
      <c r="G596" s="5"/>
      <c r="H596" s="5" t="str">
        <f>IFERROR(INDEX('Malzeme Tanımlama'!$D$5:$D$300,MATCH(D596,'Malzeme Tanımlama'!$A$5:$A$300,0)),"")</f>
        <v/>
      </c>
      <c r="I596" s="2"/>
      <c r="J596" s="2"/>
      <c r="K596" s="2"/>
    </row>
    <row r="597" spans="1:11" x14ac:dyDescent="0.3">
      <c r="A597" s="5" t="str">
        <f>IF(D597="","",COUNTIF($D$5:D597,"?*"))</f>
        <v/>
      </c>
      <c r="B597" s="6"/>
      <c r="C597" s="5" t="str">
        <f>IF(B597="","",INDEX({"Ocak","Şubat","Mart","Nisan","Mayıs","Haziran","Temmuz","Ağustos","Eylül","Ekim","Kasım","Aralık"},MONTH(B597)))</f>
        <v/>
      </c>
      <c r="D597" s="2"/>
      <c r="E597" s="5" t="str">
        <f>IFERROR(INDEX('Malzeme Tanımlama'!$B$5:$B$300,MATCH(D597,'Malzeme Tanımlama'!$A$5:$A$300,0)),"")</f>
        <v/>
      </c>
      <c r="F597" s="2"/>
      <c r="G597" s="5"/>
      <c r="H597" s="5" t="str">
        <f>IFERROR(INDEX('Malzeme Tanımlama'!$D$5:$D$300,MATCH(D597,'Malzeme Tanımlama'!$A$5:$A$300,0)),"")</f>
        <v/>
      </c>
      <c r="I597" s="2"/>
      <c r="J597" s="2"/>
      <c r="K597" s="2"/>
    </row>
    <row r="598" spans="1:11" x14ac:dyDescent="0.3">
      <c r="A598" s="5" t="str">
        <f>IF(D598="","",COUNTIF($D$5:D598,"?*"))</f>
        <v/>
      </c>
      <c r="B598" s="6"/>
      <c r="C598" s="5" t="str">
        <f>IF(B598="","",INDEX({"Ocak","Şubat","Mart","Nisan","Mayıs","Haziran","Temmuz","Ağustos","Eylül","Ekim","Kasım","Aralık"},MONTH(B598)))</f>
        <v/>
      </c>
      <c r="D598" s="2"/>
      <c r="E598" s="5" t="str">
        <f>IFERROR(INDEX('Malzeme Tanımlama'!$B$5:$B$300,MATCH(D598,'Malzeme Tanımlama'!$A$5:$A$300,0)),"")</f>
        <v/>
      </c>
      <c r="F598" s="2"/>
      <c r="G598" s="5"/>
      <c r="H598" s="5" t="str">
        <f>IFERROR(INDEX('Malzeme Tanımlama'!$D$5:$D$300,MATCH(D598,'Malzeme Tanımlama'!$A$5:$A$300,0)),"")</f>
        <v/>
      </c>
      <c r="I598" s="2"/>
      <c r="J598" s="2"/>
      <c r="K598" s="2"/>
    </row>
    <row r="599" spans="1:11" x14ac:dyDescent="0.3">
      <c r="A599" s="5" t="str">
        <f>IF(D599="","",COUNTIF($D$5:D599,"?*"))</f>
        <v/>
      </c>
      <c r="B599" s="6"/>
      <c r="C599" s="5" t="str">
        <f>IF(B599="","",INDEX({"Ocak","Şubat","Mart","Nisan","Mayıs","Haziran","Temmuz","Ağustos","Eylül","Ekim","Kasım","Aralık"},MONTH(B599)))</f>
        <v/>
      </c>
      <c r="D599" s="2"/>
      <c r="E599" s="5" t="str">
        <f>IFERROR(INDEX('Malzeme Tanımlama'!$B$5:$B$300,MATCH(D599,'Malzeme Tanımlama'!$A$5:$A$300,0)),"")</f>
        <v/>
      </c>
      <c r="F599" s="2"/>
      <c r="G599" s="5"/>
      <c r="H599" s="5" t="str">
        <f>IFERROR(INDEX('Malzeme Tanımlama'!$D$5:$D$300,MATCH(D599,'Malzeme Tanımlama'!$A$5:$A$300,0)),"")</f>
        <v/>
      </c>
      <c r="I599" s="2"/>
      <c r="J599" s="2"/>
      <c r="K599" s="2"/>
    </row>
    <row r="600" spans="1:11" x14ac:dyDescent="0.3">
      <c r="A600" s="5" t="str">
        <f>IF(D600="","",COUNTIF($D$5:D600,"?*"))</f>
        <v/>
      </c>
      <c r="B600" s="6"/>
      <c r="C600" s="5" t="str">
        <f>IF(B600="","",INDEX({"Ocak","Şubat","Mart","Nisan","Mayıs","Haziran","Temmuz","Ağustos","Eylül","Ekim","Kasım","Aralık"},MONTH(B600)))</f>
        <v/>
      </c>
      <c r="D600" s="2"/>
      <c r="E600" s="5" t="str">
        <f>IFERROR(INDEX('Malzeme Tanımlama'!$B$5:$B$300,MATCH(D600,'Malzeme Tanımlama'!$A$5:$A$300,0)),"")</f>
        <v/>
      </c>
      <c r="F600" s="2"/>
      <c r="G600" s="5"/>
      <c r="H600" s="5" t="str">
        <f>IFERROR(INDEX('Malzeme Tanımlama'!$D$5:$D$300,MATCH(D600,'Malzeme Tanımlama'!$A$5:$A$300,0)),"")</f>
        <v/>
      </c>
      <c r="I600" s="2"/>
      <c r="J600" s="2"/>
      <c r="K600" s="2"/>
    </row>
    <row r="601" spans="1:11" x14ac:dyDescent="0.3">
      <c r="A601" s="5" t="str">
        <f>IF(D601="","",COUNTIF($D$5:D601,"?*"))</f>
        <v/>
      </c>
      <c r="B601" s="6"/>
      <c r="C601" s="5" t="str">
        <f>IF(B601="","",INDEX({"Ocak","Şubat","Mart","Nisan","Mayıs","Haziran","Temmuz","Ağustos","Eylül","Ekim","Kasım","Aralık"},MONTH(B601)))</f>
        <v/>
      </c>
      <c r="D601" s="2"/>
      <c r="E601" s="5" t="str">
        <f>IFERROR(INDEX('Malzeme Tanımlama'!$B$5:$B$300,MATCH(D601,'Malzeme Tanımlama'!$A$5:$A$300,0)),"")</f>
        <v/>
      </c>
      <c r="F601" s="2"/>
      <c r="G601" s="5"/>
      <c r="H601" s="5" t="str">
        <f>IFERROR(INDEX('Malzeme Tanımlama'!$D$5:$D$300,MATCH(D601,'Malzeme Tanımlama'!$A$5:$A$300,0)),"")</f>
        <v/>
      </c>
      <c r="I601" s="2"/>
      <c r="J601" s="2"/>
      <c r="K601" s="2"/>
    </row>
    <row r="602" spans="1:11" x14ac:dyDescent="0.3">
      <c r="A602" s="5" t="str">
        <f>IF(D602="","",COUNTIF($D$5:D602,"?*"))</f>
        <v/>
      </c>
      <c r="B602" s="6"/>
      <c r="C602" s="5" t="str">
        <f>IF(B602="","",INDEX({"Ocak","Şubat","Mart","Nisan","Mayıs","Haziran","Temmuz","Ağustos","Eylül","Ekim","Kasım","Aralık"},MONTH(B602)))</f>
        <v/>
      </c>
      <c r="D602" s="2"/>
      <c r="E602" s="5" t="str">
        <f>IFERROR(INDEX('Malzeme Tanımlama'!$B$5:$B$300,MATCH(D602,'Malzeme Tanımlama'!$A$5:$A$300,0)),"")</f>
        <v/>
      </c>
      <c r="F602" s="2"/>
      <c r="G602" s="5"/>
      <c r="H602" s="5" t="str">
        <f>IFERROR(INDEX('Malzeme Tanımlama'!$D$5:$D$300,MATCH(D602,'Malzeme Tanımlama'!$A$5:$A$300,0)),"")</f>
        <v/>
      </c>
      <c r="I602" s="2"/>
      <c r="J602" s="2"/>
      <c r="K602" s="2"/>
    </row>
    <row r="603" spans="1:11" x14ac:dyDescent="0.3">
      <c r="A603" s="5" t="str">
        <f>IF(D603="","",COUNTIF($D$5:D603,"?*"))</f>
        <v/>
      </c>
      <c r="B603" s="6"/>
      <c r="C603" s="5" t="str">
        <f>IF(B603="","",INDEX({"Ocak","Şubat","Mart","Nisan","Mayıs","Haziran","Temmuz","Ağustos","Eylül","Ekim","Kasım","Aralık"},MONTH(B603)))</f>
        <v/>
      </c>
      <c r="D603" s="2"/>
      <c r="E603" s="5" t="str">
        <f>IFERROR(INDEX('Malzeme Tanımlama'!$B$5:$B$300,MATCH(D603,'Malzeme Tanımlama'!$A$5:$A$300,0)),"")</f>
        <v/>
      </c>
      <c r="F603" s="2"/>
      <c r="G603" s="5"/>
      <c r="H603" s="5" t="str">
        <f>IFERROR(INDEX('Malzeme Tanımlama'!$D$5:$D$300,MATCH(D603,'Malzeme Tanımlama'!$A$5:$A$300,0)),"")</f>
        <v/>
      </c>
      <c r="I603" s="2"/>
      <c r="J603" s="2"/>
      <c r="K603" s="2"/>
    </row>
    <row r="604" spans="1:11" x14ac:dyDescent="0.3">
      <c r="A604" s="5" t="str">
        <f>IF(D604="","",COUNTIF($D$5:D604,"?*"))</f>
        <v/>
      </c>
      <c r="B604" s="6"/>
      <c r="C604" s="5" t="str">
        <f>IF(B604="","",INDEX({"Ocak","Şubat","Mart","Nisan","Mayıs","Haziran","Temmuz","Ağustos","Eylül","Ekim","Kasım","Aralık"},MONTH(B604)))</f>
        <v/>
      </c>
      <c r="D604" s="2"/>
      <c r="E604" s="5" t="str">
        <f>IFERROR(INDEX('Malzeme Tanımlama'!$B$5:$B$300,MATCH(D604,'Malzeme Tanımlama'!$A$5:$A$300,0)),"")</f>
        <v/>
      </c>
      <c r="F604" s="2"/>
      <c r="G604" s="5"/>
      <c r="H604" s="5" t="str">
        <f>IFERROR(INDEX('Malzeme Tanımlama'!$D$5:$D$300,MATCH(D604,'Malzeme Tanımlama'!$A$5:$A$300,0)),"")</f>
        <v/>
      </c>
      <c r="I604" s="2"/>
      <c r="J604" s="2"/>
      <c r="K604" s="2"/>
    </row>
    <row r="605" spans="1:11" x14ac:dyDescent="0.3">
      <c r="A605" s="5" t="str">
        <f>IF(D605="","",COUNTIF($D$5:D605,"?*"))</f>
        <v/>
      </c>
      <c r="B605" s="6"/>
      <c r="C605" s="5" t="str">
        <f>IF(B605="","",INDEX({"Ocak","Şubat","Mart","Nisan","Mayıs","Haziran","Temmuz","Ağustos","Eylül","Ekim","Kasım","Aralık"},MONTH(B605)))</f>
        <v/>
      </c>
      <c r="D605" s="2"/>
      <c r="E605" s="5" t="str">
        <f>IFERROR(INDEX('Malzeme Tanımlama'!$B$5:$B$300,MATCH(D605,'Malzeme Tanımlama'!$A$5:$A$300,0)),"")</f>
        <v/>
      </c>
      <c r="F605" s="2"/>
      <c r="G605" s="5"/>
      <c r="H605" s="5" t="str">
        <f>IFERROR(INDEX('Malzeme Tanımlama'!$D$5:$D$300,MATCH(D605,'Malzeme Tanımlama'!$A$5:$A$300,0)),"")</f>
        <v/>
      </c>
      <c r="I605" s="2"/>
      <c r="J605" s="2"/>
      <c r="K605" s="2"/>
    </row>
    <row r="606" spans="1:11" x14ac:dyDescent="0.3">
      <c r="A606" s="5" t="str">
        <f>IF(D606="","",COUNTIF($D$5:D606,"?*"))</f>
        <v/>
      </c>
      <c r="B606" s="6"/>
      <c r="C606" s="5" t="str">
        <f>IF(B606="","",INDEX({"Ocak","Şubat","Mart","Nisan","Mayıs","Haziran","Temmuz","Ağustos","Eylül","Ekim","Kasım","Aralık"},MONTH(B606)))</f>
        <v/>
      </c>
      <c r="D606" s="2"/>
      <c r="E606" s="5" t="str">
        <f>IFERROR(INDEX('Malzeme Tanımlama'!$B$5:$B$300,MATCH(D606,'Malzeme Tanımlama'!$A$5:$A$300,0)),"")</f>
        <v/>
      </c>
      <c r="F606" s="2"/>
      <c r="G606" s="5"/>
      <c r="H606" s="5" t="str">
        <f>IFERROR(INDEX('Malzeme Tanımlama'!$D$5:$D$300,MATCH(D606,'Malzeme Tanımlama'!$A$5:$A$300,0)),"")</f>
        <v/>
      </c>
      <c r="I606" s="2"/>
      <c r="J606" s="2"/>
      <c r="K606" s="2"/>
    </row>
    <row r="607" spans="1:11" x14ac:dyDescent="0.3">
      <c r="A607" s="5" t="str">
        <f>IF(D607="","",COUNTIF($D$5:D607,"?*"))</f>
        <v/>
      </c>
      <c r="B607" s="6"/>
      <c r="C607" s="5" t="str">
        <f>IF(B607="","",INDEX({"Ocak","Şubat","Mart","Nisan","Mayıs","Haziran","Temmuz","Ağustos","Eylül","Ekim","Kasım","Aralık"},MONTH(B607)))</f>
        <v/>
      </c>
      <c r="D607" s="2"/>
      <c r="E607" s="5" t="str">
        <f>IFERROR(INDEX('Malzeme Tanımlama'!$B$5:$B$300,MATCH(D607,'Malzeme Tanımlama'!$A$5:$A$300,0)),"")</f>
        <v/>
      </c>
      <c r="F607" s="2"/>
      <c r="G607" s="5"/>
      <c r="H607" s="5" t="str">
        <f>IFERROR(INDEX('Malzeme Tanımlama'!$D$5:$D$300,MATCH(D607,'Malzeme Tanımlama'!$A$5:$A$300,0)),"")</f>
        <v/>
      </c>
      <c r="I607" s="2"/>
      <c r="J607" s="2"/>
      <c r="K607" s="2"/>
    </row>
    <row r="608" spans="1:11" x14ac:dyDescent="0.3">
      <c r="A608" s="5" t="str">
        <f>IF(D608="","",COUNTIF($D$5:D608,"?*"))</f>
        <v/>
      </c>
      <c r="B608" s="6"/>
      <c r="C608" s="5" t="str">
        <f>IF(B608="","",INDEX({"Ocak","Şubat","Mart","Nisan","Mayıs","Haziran","Temmuz","Ağustos","Eylül","Ekim","Kasım","Aralık"},MONTH(B608)))</f>
        <v/>
      </c>
      <c r="D608" s="2"/>
      <c r="E608" s="5" t="str">
        <f>IFERROR(INDEX('Malzeme Tanımlama'!$B$5:$B$300,MATCH(D608,'Malzeme Tanımlama'!$A$5:$A$300,0)),"")</f>
        <v/>
      </c>
      <c r="F608" s="2"/>
      <c r="G608" s="5"/>
      <c r="H608" s="5" t="str">
        <f>IFERROR(INDEX('Malzeme Tanımlama'!$D$5:$D$300,MATCH(D608,'Malzeme Tanımlama'!$A$5:$A$300,0)),"")</f>
        <v/>
      </c>
      <c r="I608" s="2"/>
      <c r="J608" s="2"/>
      <c r="K608" s="2"/>
    </row>
    <row r="609" spans="1:11" x14ac:dyDescent="0.3">
      <c r="A609" s="5" t="str">
        <f>IF(D609="","",COUNTIF($D$5:D609,"?*"))</f>
        <v/>
      </c>
      <c r="B609" s="6"/>
      <c r="C609" s="5" t="str">
        <f>IF(B609="","",INDEX({"Ocak","Şubat","Mart","Nisan","Mayıs","Haziran","Temmuz","Ağustos","Eylül","Ekim","Kasım","Aralık"},MONTH(B609)))</f>
        <v/>
      </c>
      <c r="D609" s="2"/>
      <c r="E609" s="5" t="str">
        <f>IFERROR(INDEX('Malzeme Tanımlama'!$B$5:$B$300,MATCH(D609,'Malzeme Tanımlama'!$A$5:$A$300,0)),"")</f>
        <v/>
      </c>
      <c r="F609" s="2"/>
      <c r="G609" s="5"/>
      <c r="H609" s="5" t="str">
        <f>IFERROR(INDEX('Malzeme Tanımlama'!$D$5:$D$300,MATCH(D609,'Malzeme Tanımlama'!$A$5:$A$300,0)),"")</f>
        <v/>
      </c>
      <c r="I609" s="2"/>
      <c r="J609" s="2"/>
      <c r="K609" s="2"/>
    </row>
    <row r="610" spans="1:11" x14ac:dyDescent="0.3">
      <c r="A610" s="5" t="str">
        <f>IF(D610="","",COUNTIF($D$5:D610,"?*"))</f>
        <v/>
      </c>
      <c r="B610" s="6"/>
      <c r="C610" s="5" t="str">
        <f>IF(B610="","",INDEX({"Ocak","Şubat","Mart","Nisan","Mayıs","Haziran","Temmuz","Ağustos","Eylül","Ekim","Kasım","Aralık"},MONTH(B610)))</f>
        <v/>
      </c>
      <c r="D610" s="2"/>
      <c r="E610" s="5" t="str">
        <f>IFERROR(INDEX('Malzeme Tanımlama'!$B$5:$B$300,MATCH(D610,'Malzeme Tanımlama'!$A$5:$A$300,0)),"")</f>
        <v/>
      </c>
      <c r="F610" s="2"/>
      <c r="G610" s="5"/>
      <c r="H610" s="5" t="str">
        <f>IFERROR(INDEX('Malzeme Tanımlama'!$D$5:$D$300,MATCH(D610,'Malzeme Tanımlama'!$A$5:$A$300,0)),"")</f>
        <v/>
      </c>
      <c r="I610" s="2"/>
      <c r="J610" s="2"/>
      <c r="K610" s="2"/>
    </row>
    <row r="611" spans="1:11" x14ac:dyDescent="0.3">
      <c r="A611" s="5" t="str">
        <f>IF(D611="","",COUNTIF($D$5:D611,"?*"))</f>
        <v/>
      </c>
      <c r="B611" s="6"/>
      <c r="C611" s="5" t="str">
        <f>IF(B611="","",INDEX({"Ocak","Şubat","Mart","Nisan","Mayıs","Haziran","Temmuz","Ağustos","Eylül","Ekim","Kasım","Aralık"},MONTH(B611)))</f>
        <v/>
      </c>
      <c r="D611" s="2"/>
      <c r="E611" s="5" t="str">
        <f>IFERROR(INDEX('Malzeme Tanımlama'!$B$5:$B$300,MATCH(D611,'Malzeme Tanımlama'!$A$5:$A$300,0)),"")</f>
        <v/>
      </c>
      <c r="F611" s="2"/>
      <c r="G611" s="5"/>
      <c r="H611" s="5" t="str">
        <f>IFERROR(INDEX('Malzeme Tanımlama'!$D$5:$D$300,MATCH(D611,'Malzeme Tanımlama'!$A$5:$A$300,0)),"")</f>
        <v/>
      </c>
      <c r="I611" s="2"/>
      <c r="J611" s="2"/>
      <c r="K611" s="2"/>
    </row>
    <row r="612" spans="1:11" x14ac:dyDescent="0.3">
      <c r="A612" s="5" t="str">
        <f>IF(D612="","",COUNTIF($D$5:D612,"?*"))</f>
        <v/>
      </c>
      <c r="B612" s="6"/>
      <c r="C612" s="5" t="str">
        <f>IF(B612="","",INDEX({"Ocak","Şubat","Mart","Nisan","Mayıs","Haziran","Temmuz","Ağustos","Eylül","Ekim","Kasım","Aralık"},MONTH(B612)))</f>
        <v/>
      </c>
      <c r="D612" s="2"/>
      <c r="E612" s="5" t="str">
        <f>IFERROR(INDEX('Malzeme Tanımlama'!$B$5:$B$300,MATCH(D612,'Malzeme Tanımlama'!$A$5:$A$300,0)),"")</f>
        <v/>
      </c>
      <c r="F612" s="2"/>
      <c r="G612" s="5"/>
      <c r="H612" s="5" t="str">
        <f>IFERROR(INDEX('Malzeme Tanımlama'!$D$5:$D$300,MATCH(D612,'Malzeme Tanımlama'!$A$5:$A$300,0)),"")</f>
        <v/>
      </c>
      <c r="I612" s="2"/>
      <c r="J612" s="2"/>
      <c r="K612" s="2"/>
    </row>
    <row r="613" spans="1:11" x14ac:dyDescent="0.3">
      <c r="A613" s="5" t="str">
        <f>IF(D613="","",COUNTIF($D$5:D613,"?*"))</f>
        <v/>
      </c>
      <c r="B613" s="6"/>
      <c r="C613" s="5" t="str">
        <f>IF(B613="","",INDEX({"Ocak","Şubat","Mart","Nisan","Mayıs","Haziran","Temmuz","Ağustos","Eylül","Ekim","Kasım","Aralık"},MONTH(B613)))</f>
        <v/>
      </c>
      <c r="D613" s="2"/>
      <c r="E613" s="5" t="str">
        <f>IFERROR(INDEX('Malzeme Tanımlama'!$B$5:$B$300,MATCH(D613,'Malzeme Tanımlama'!$A$5:$A$300,0)),"")</f>
        <v/>
      </c>
      <c r="F613" s="2"/>
      <c r="G613" s="5"/>
      <c r="H613" s="5" t="str">
        <f>IFERROR(INDEX('Malzeme Tanımlama'!$D$5:$D$300,MATCH(D613,'Malzeme Tanımlama'!$A$5:$A$300,0)),"")</f>
        <v/>
      </c>
      <c r="I613" s="2"/>
      <c r="J613" s="2"/>
      <c r="K613" s="2"/>
    </row>
    <row r="614" spans="1:11" x14ac:dyDescent="0.3">
      <c r="A614" s="5" t="str">
        <f>IF(D614="","",COUNTIF($D$5:D614,"?*"))</f>
        <v/>
      </c>
      <c r="B614" s="6"/>
      <c r="C614" s="5" t="str">
        <f>IF(B614="","",INDEX({"Ocak","Şubat","Mart","Nisan","Mayıs","Haziran","Temmuz","Ağustos","Eylül","Ekim","Kasım","Aralık"},MONTH(B614)))</f>
        <v/>
      </c>
      <c r="D614" s="2"/>
      <c r="E614" s="5" t="str">
        <f>IFERROR(INDEX('Malzeme Tanımlama'!$B$5:$B$300,MATCH(D614,'Malzeme Tanımlama'!$A$5:$A$300,0)),"")</f>
        <v/>
      </c>
      <c r="F614" s="2"/>
      <c r="G614" s="5"/>
      <c r="H614" s="5" t="str">
        <f>IFERROR(INDEX('Malzeme Tanımlama'!$D$5:$D$300,MATCH(D614,'Malzeme Tanımlama'!$A$5:$A$300,0)),"")</f>
        <v/>
      </c>
      <c r="I614" s="2"/>
      <c r="J614" s="2"/>
      <c r="K614" s="2"/>
    </row>
    <row r="615" spans="1:11" x14ac:dyDescent="0.3">
      <c r="A615" s="5" t="str">
        <f>IF(D615="","",COUNTIF($D$5:D615,"?*"))</f>
        <v/>
      </c>
      <c r="B615" s="6"/>
      <c r="C615" s="5" t="str">
        <f>IF(B615="","",INDEX({"Ocak","Şubat","Mart","Nisan","Mayıs","Haziran","Temmuz","Ağustos","Eylül","Ekim","Kasım","Aralık"},MONTH(B615)))</f>
        <v/>
      </c>
      <c r="D615" s="2"/>
      <c r="E615" s="5" t="str">
        <f>IFERROR(INDEX('Malzeme Tanımlama'!$B$5:$B$300,MATCH(D615,'Malzeme Tanımlama'!$A$5:$A$300,0)),"")</f>
        <v/>
      </c>
      <c r="F615" s="2"/>
      <c r="G615" s="5"/>
      <c r="H615" s="5" t="str">
        <f>IFERROR(INDEX('Malzeme Tanımlama'!$D$5:$D$300,MATCH(D615,'Malzeme Tanımlama'!$A$5:$A$300,0)),"")</f>
        <v/>
      </c>
      <c r="I615" s="2"/>
      <c r="J615" s="2"/>
      <c r="K615" s="2"/>
    </row>
    <row r="616" spans="1:11" x14ac:dyDescent="0.3">
      <c r="A616" s="5" t="str">
        <f>IF(D616="","",COUNTIF($D$5:D616,"?*"))</f>
        <v/>
      </c>
      <c r="B616" s="6"/>
      <c r="C616" s="5" t="str">
        <f>IF(B616="","",INDEX({"Ocak","Şubat","Mart","Nisan","Mayıs","Haziran","Temmuz","Ağustos","Eylül","Ekim","Kasım","Aralık"},MONTH(B616)))</f>
        <v/>
      </c>
      <c r="D616" s="2"/>
      <c r="E616" s="5" t="str">
        <f>IFERROR(INDEX('Malzeme Tanımlama'!$B$5:$B$300,MATCH(D616,'Malzeme Tanımlama'!$A$5:$A$300,0)),"")</f>
        <v/>
      </c>
      <c r="F616" s="2"/>
      <c r="G616" s="5"/>
      <c r="H616" s="5" t="str">
        <f>IFERROR(INDEX('Malzeme Tanımlama'!$D$5:$D$300,MATCH(D616,'Malzeme Tanımlama'!$A$5:$A$300,0)),"")</f>
        <v/>
      </c>
      <c r="I616" s="2"/>
      <c r="J616" s="2"/>
      <c r="K616" s="2"/>
    </row>
    <row r="617" spans="1:11" x14ac:dyDescent="0.3">
      <c r="A617" s="5" t="str">
        <f>IF(D617="","",COUNTIF($D$5:D617,"?*"))</f>
        <v/>
      </c>
      <c r="B617" s="6"/>
      <c r="C617" s="5" t="str">
        <f>IF(B617="","",INDEX({"Ocak","Şubat","Mart","Nisan","Mayıs","Haziran","Temmuz","Ağustos","Eylül","Ekim","Kasım","Aralık"},MONTH(B617)))</f>
        <v/>
      </c>
      <c r="D617" s="2"/>
      <c r="E617" s="5" t="str">
        <f>IFERROR(INDEX('Malzeme Tanımlama'!$B$5:$B$300,MATCH(D617,'Malzeme Tanımlama'!$A$5:$A$300,0)),"")</f>
        <v/>
      </c>
      <c r="F617" s="2"/>
      <c r="G617" s="5"/>
      <c r="H617" s="5" t="str">
        <f>IFERROR(INDEX('Malzeme Tanımlama'!$D$5:$D$300,MATCH(D617,'Malzeme Tanımlama'!$A$5:$A$300,0)),"")</f>
        <v/>
      </c>
      <c r="I617" s="2"/>
      <c r="J617" s="2"/>
      <c r="K617" s="2"/>
    </row>
    <row r="618" spans="1:11" x14ac:dyDescent="0.3">
      <c r="A618" s="5" t="str">
        <f>IF(D618="","",COUNTIF($D$5:D618,"?*"))</f>
        <v/>
      </c>
      <c r="B618" s="6"/>
      <c r="C618" s="5" t="str">
        <f>IF(B618="","",INDEX({"Ocak","Şubat","Mart","Nisan","Mayıs","Haziran","Temmuz","Ağustos","Eylül","Ekim","Kasım","Aralık"},MONTH(B618)))</f>
        <v/>
      </c>
      <c r="D618" s="2"/>
      <c r="E618" s="5" t="str">
        <f>IFERROR(INDEX('Malzeme Tanımlama'!$B$5:$B$300,MATCH(D618,'Malzeme Tanımlama'!$A$5:$A$300,0)),"")</f>
        <v/>
      </c>
      <c r="F618" s="2"/>
      <c r="G618" s="5"/>
      <c r="H618" s="5" t="str">
        <f>IFERROR(INDEX('Malzeme Tanımlama'!$D$5:$D$300,MATCH(D618,'Malzeme Tanımlama'!$A$5:$A$300,0)),"")</f>
        <v/>
      </c>
      <c r="I618" s="2"/>
      <c r="J618" s="2"/>
      <c r="K618" s="2"/>
    </row>
    <row r="619" spans="1:11" x14ac:dyDescent="0.3">
      <c r="A619" s="5" t="str">
        <f>IF(D619="","",COUNTIF($D$5:D619,"?*"))</f>
        <v/>
      </c>
      <c r="B619" s="6"/>
      <c r="C619" s="5" t="str">
        <f>IF(B619="","",INDEX({"Ocak","Şubat","Mart","Nisan","Mayıs","Haziran","Temmuz","Ağustos","Eylül","Ekim","Kasım","Aralık"},MONTH(B619)))</f>
        <v/>
      </c>
      <c r="D619" s="2"/>
      <c r="E619" s="5" t="str">
        <f>IFERROR(INDEX('Malzeme Tanımlama'!$B$5:$B$300,MATCH(D619,'Malzeme Tanımlama'!$A$5:$A$300,0)),"")</f>
        <v/>
      </c>
      <c r="F619" s="2"/>
      <c r="G619" s="5"/>
      <c r="H619" s="5" t="str">
        <f>IFERROR(INDEX('Malzeme Tanımlama'!$D$5:$D$300,MATCH(D619,'Malzeme Tanımlama'!$A$5:$A$300,0)),"")</f>
        <v/>
      </c>
      <c r="I619" s="2"/>
      <c r="J619" s="2"/>
      <c r="K619" s="2"/>
    </row>
    <row r="620" spans="1:11" x14ac:dyDescent="0.3">
      <c r="A620" s="5" t="str">
        <f>IF(D620="","",COUNTIF($D$5:D620,"?*"))</f>
        <v/>
      </c>
      <c r="B620" s="6"/>
      <c r="C620" s="5" t="str">
        <f>IF(B620="","",INDEX({"Ocak","Şubat","Mart","Nisan","Mayıs","Haziran","Temmuz","Ağustos","Eylül","Ekim","Kasım","Aralık"},MONTH(B620)))</f>
        <v/>
      </c>
      <c r="D620" s="2"/>
      <c r="E620" s="5" t="str">
        <f>IFERROR(INDEX('Malzeme Tanımlama'!$B$5:$B$300,MATCH(D620,'Malzeme Tanımlama'!$A$5:$A$300,0)),"")</f>
        <v/>
      </c>
      <c r="F620" s="2"/>
      <c r="G620" s="5"/>
      <c r="H620" s="5" t="str">
        <f>IFERROR(INDEX('Malzeme Tanımlama'!$D$5:$D$300,MATCH(D620,'Malzeme Tanımlama'!$A$5:$A$300,0)),"")</f>
        <v/>
      </c>
      <c r="I620" s="2"/>
      <c r="J620" s="2"/>
      <c r="K620" s="2"/>
    </row>
    <row r="621" spans="1:11" x14ac:dyDescent="0.3">
      <c r="A621" s="5" t="str">
        <f>IF(D621="","",COUNTIF($D$5:D621,"?*"))</f>
        <v/>
      </c>
      <c r="B621" s="6"/>
      <c r="C621" s="5" t="str">
        <f>IF(B621="","",INDEX({"Ocak","Şubat","Mart","Nisan","Mayıs","Haziran","Temmuz","Ağustos","Eylül","Ekim","Kasım","Aralık"},MONTH(B621)))</f>
        <v/>
      </c>
      <c r="D621" s="2"/>
      <c r="E621" s="5" t="str">
        <f>IFERROR(INDEX('Malzeme Tanımlama'!$B$5:$B$300,MATCH(D621,'Malzeme Tanımlama'!$A$5:$A$300,0)),"")</f>
        <v/>
      </c>
      <c r="F621" s="2"/>
      <c r="G621" s="5"/>
      <c r="H621" s="5" t="str">
        <f>IFERROR(INDEX('Malzeme Tanımlama'!$D$5:$D$300,MATCH(D621,'Malzeme Tanımlama'!$A$5:$A$300,0)),"")</f>
        <v/>
      </c>
      <c r="I621" s="2"/>
      <c r="J621" s="2"/>
      <c r="K621" s="2"/>
    </row>
    <row r="622" spans="1:11" x14ac:dyDescent="0.3">
      <c r="A622" s="5" t="str">
        <f>IF(D622="","",COUNTIF($D$5:D622,"?*"))</f>
        <v/>
      </c>
      <c r="B622" s="6"/>
      <c r="C622" s="5" t="str">
        <f>IF(B622="","",INDEX({"Ocak","Şubat","Mart","Nisan","Mayıs","Haziran","Temmuz","Ağustos","Eylül","Ekim","Kasım","Aralık"},MONTH(B622)))</f>
        <v/>
      </c>
      <c r="D622" s="2"/>
      <c r="E622" s="5" t="str">
        <f>IFERROR(INDEX('Malzeme Tanımlama'!$B$5:$B$300,MATCH(D622,'Malzeme Tanımlama'!$A$5:$A$300,0)),"")</f>
        <v/>
      </c>
      <c r="F622" s="2"/>
      <c r="G622" s="5"/>
      <c r="H622" s="5" t="str">
        <f>IFERROR(INDEX('Malzeme Tanımlama'!$D$5:$D$300,MATCH(D622,'Malzeme Tanımlama'!$A$5:$A$300,0)),"")</f>
        <v/>
      </c>
      <c r="I622" s="2"/>
      <c r="J622" s="2"/>
      <c r="K622" s="2"/>
    </row>
    <row r="623" spans="1:11" x14ac:dyDescent="0.3">
      <c r="A623" s="5" t="str">
        <f>IF(D623="","",COUNTIF($D$5:D623,"?*"))</f>
        <v/>
      </c>
      <c r="B623" s="6"/>
      <c r="C623" s="5" t="str">
        <f>IF(B623="","",INDEX({"Ocak","Şubat","Mart","Nisan","Mayıs","Haziran","Temmuz","Ağustos","Eylül","Ekim","Kasım","Aralık"},MONTH(B623)))</f>
        <v/>
      </c>
      <c r="D623" s="2"/>
      <c r="E623" s="5" t="str">
        <f>IFERROR(INDEX('Malzeme Tanımlama'!$B$5:$B$300,MATCH(D623,'Malzeme Tanımlama'!$A$5:$A$300,0)),"")</f>
        <v/>
      </c>
      <c r="F623" s="2"/>
      <c r="G623" s="5"/>
      <c r="H623" s="5" t="str">
        <f>IFERROR(INDEX('Malzeme Tanımlama'!$D$5:$D$300,MATCH(D623,'Malzeme Tanımlama'!$A$5:$A$300,0)),"")</f>
        <v/>
      </c>
      <c r="I623" s="2"/>
      <c r="J623" s="2"/>
      <c r="K623" s="2"/>
    </row>
    <row r="624" spans="1:11" x14ac:dyDescent="0.3">
      <c r="A624" s="5" t="str">
        <f>IF(D624="","",COUNTIF($D$5:D624,"?*"))</f>
        <v/>
      </c>
      <c r="B624" s="6"/>
      <c r="C624" s="5" t="str">
        <f>IF(B624="","",INDEX({"Ocak","Şubat","Mart","Nisan","Mayıs","Haziran","Temmuz","Ağustos","Eylül","Ekim","Kasım","Aralık"},MONTH(B624)))</f>
        <v/>
      </c>
      <c r="D624" s="2"/>
      <c r="E624" s="5" t="str">
        <f>IFERROR(INDEX('Malzeme Tanımlama'!$B$5:$B$300,MATCH(D624,'Malzeme Tanımlama'!$A$5:$A$300,0)),"")</f>
        <v/>
      </c>
      <c r="F624" s="2"/>
      <c r="G624" s="5"/>
      <c r="H624" s="5" t="str">
        <f>IFERROR(INDEX('Malzeme Tanımlama'!$D$5:$D$300,MATCH(D624,'Malzeme Tanımlama'!$A$5:$A$300,0)),"")</f>
        <v/>
      </c>
      <c r="I624" s="2"/>
      <c r="J624" s="2"/>
      <c r="K624" s="2"/>
    </row>
    <row r="625" spans="1:11" x14ac:dyDescent="0.3">
      <c r="A625" s="5" t="str">
        <f>IF(D625="","",COUNTIF($D$5:D625,"?*"))</f>
        <v/>
      </c>
      <c r="B625" s="6"/>
      <c r="C625" s="5" t="str">
        <f>IF(B625="","",INDEX({"Ocak","Şubat","Mart","Nisan","Mayıs","Haziran","Temmuz","Ağustos","Eylül","Ekim","Kasım","Aralık"},MONTH(B625)))</f>
        <v/>
      </c>
      <c r="D625" s="2"/>
      <c r="E625" s="5" t="str">
        <f>IFERROR(INDEX('Malzeme Tanımlama'!$B$5:$B$300,MATCH(D625,'Malzeme Tanımlama'!$A$5:$A$300,0)),"")</f>
        <v/>
      </c>
      <c r="F625" s="2"/>
      <c r="G625" s="5"/>
      <c r="H625" s="5" t="str">
        <f>IFERROR(INDEX('Malzeme Tanımlama'!$D$5:$D$300,MATCH(D625,'Malzeme Tanımlama'!$A$5:$A$300,0)),"")</f>
        <v/>
      </c>
      <c r="I625" s="2"/>
      <c r="J625" s="2"/>
      <c r="K625" s="2"/>
    </row>
    <row r="626" spans="1:11" x14ac:dyDescent="0.3">
      <c r="A626" s="5" t="str">
        <f>IF(D626="","",COUNTIF($D$5:D626,"?*"))</f>
        <v/>
      </c>
      <c r="B626" s="6"/>
      <c r="C626" s="5" t="str">
        <f>IF(B626="","",INDEX({"Ocak","Şubat","Mart","Nisan","Mayıs","Haziran","Temmuz","Ağustos","Eylül","Ekim","Kasım","Aralık"},MONTH(B626)))</f>
        <v/>
      </c>
      <c r="D626" s="2"/>
      <c r="E626" s="5" t="str">
        <f>IFERROR(INDEX('Malzeme Tanımlama'!$B$5:$B$300,MATCH(D626,'Malzeme Tanımlama'!$A$5:$A$300,0)),"")</f>
        <v/>
      </c>
      <c r="F626" s="2"/>
      <c r="G626" s="5"/>
      <c r="H626" s="5" t="str">
        <f>IFERROR(INDEX('Malzeme Tanımlama'!$D$5:$D$300,MATCH(D626,'Malzeme Tanımlama'!$A$5:$A$300,0)),"")</f>
        <v/>
      </c>
      <c r="I626" s="2"/>
      <c r="J626" s="2"/>
      <c r="K626" s="2"/>
    </row>
    <row r="627" spans="1:11" x14ac:dyDescent="0.3">
      <c r="A627" s="5" t="str">
        <f>IF(D627="","",COUNTIF($D$5:D627,"?*"))</f>
        <v/>
      </c>
      <c r="B627" s="6"/>
      <c r="C627" s="5" t="str">
        <f>IF(B627="","",INDEX({"Ocak","Şubat","Mart","Nisan","Mayıs","Haziran","Temmuz","Ağustos","Eylül","Ekim","Kasım","Aralık"},MONTH(B627)))</f>
        <v/>
      </c>
      <c r="D627" s="2"/>
      <c r="E627" s="5" t="str">
        <f>IFERROR(INDEX('Malzeme Tanımlama'!$B$5:$B$300,MATCH(D627,'Malzeme Tanımlama'!$A$5:$A$300,0)),"")</f>
        <v/>
      </c>
      <c r="F627" s="2"/>
      <c r="G627" s="5"/>
      <c r="H627" s="5" t="str">
        <f>IFERROR(INDEX('Malzeme Tanımlama'!$D$5:$D$300,MATCH(D627,'Malzeme Tanımlama'!$A$5:$A$300,0)),"")</f>
        <v/>
      </c>
      <c r="I627" s="2"/>
      <c r="J627" s="2"/>
      <c r="K627" s="2"/>
    </row>
    <row r="628" spans="1:11" x14ac:dyDescent="0.3">
      <c r="A628" s="5" t="str">
        <f>IF(D628="","",COUNTIF($D$5:D628,"?*"))</f>
        <v/>
      </c>
      <c r="B628" s="6"/>
      <c r="C628" s="5" t="str">
        <f>IF(B628="","",INDEX({"Ocak","Şubat","Mart","Nisan","Mayıs","Haziran","Temmuz","Ağustos","Eylül","Ekim","Kasım","Aralık"},MONTH(B628)))</f>
        <v/>
      </c>
      <c r="D628" s="2"/>
      <c r="E628" s="5" t="str">
        <f>IFERROR(INDEX('Malzeme Tanımlama'!$B$5:$B$300,MATCH(D628,'Malzeme Tanımlama'!$A$5:$A$300,0)),"")</f>
        <v/>
      </c>
      <c r="F628" s="2"/>
      <c r="G628" s="5"/>
      <c r="H628" s="5" t="str">
        <f>IFERROR(INDEX('Malzeme Tanımlama'!$D$5:$D$300,MATCH(D628,'Malzeme Tanımlama'!$A$5:$A$300,0)),"")</f>
        <v/>
      </c>
      <c r="I628" s="2"/>
      <c r="J628" s="2"/>
      <c r="K628" s="2"/>
    </row>
    <row r="629" spans="1:11" x14ac:dyDescent="0.3">
      <c r="A629" s="5" t="str">
        <f>IF(D629="","",COUNTIF($D$5:D629,"?*"))</f>
        <v/>
      </c>
      <c r="B629" s="6"/>
      <c r="C629" s="5" t="str">
        <f>IF(B629="","",INDEX({"Ocak","Şubat","Mart","Nisan","Mayıs","Haziran","Temmuz","Ağustos","Eylül","Ekim","Kasım","Aralık"},MONTH(B629)))</f>
        <v/>
      </c>
      <c r="D629" s="2"/>
      <c r="E629" s="5" t="str">
        <f>IFERROR(INDEX('Malzeme Tanımlama'!$B$5:$B$300,MATCH(D629,'Malzeme Tanımlama'!$A$5:$A$300,0)),"")</f>
        <v/>
      </c>
      <c r="F629" s="2"/>
      <c r="G629" s="5"/>
      <c r="H629" s="5" t="str">
        <f>IFERROR(INDEX('Malzeme Tanımlama'!$D$5:$D$300,MATCH(D629,'Malzeme Tanımlama'!$A$5:$A$300,0)),"")</f>
        <v/>
      </c>
      <c r="I629" s="2"/>
      <c r="J629" s="2"/>
      <c r="K629" s="2"/>
    </row>
    <row r="630" spans="1:11" x14ac:dyDescent="0.3">
      <c r="A630" s="5" t="str">
        <f>IF(D630="","",COUNTIF($D$5:D630,"?*"))</f>
        <v/>
      </c>
      <c r="B630" s="6"/>
      <c r="C630" s="5" t="str">
        <f>IF(B630="","",INDEX({"Ocak","Şubat","Mart","Nisan","Mayıs","Haziran","Temmuz","Ağustos","Eylül","Ekim","Kasım","Aralık"},MONTH(B630)))</f>
        <v/>
      </c>
      <c r="D630" s="2"/>
      <c r="E630" s="5" t="str">
        <f>IFERROR(INDEX('Malzeme Tanımlama'!$B$5:$B$300,MATCH(D630,'Malzeme Tanımlama'!$A$5:$A$300,0)),"")</f>
        <v/>
      </c>
      <c r="F630" s="2"/>
      <c r="G630" s="5"/>
      <c r="H630" s="5" t="str">
        <f>IFERROR(INDEX('Malzeme Tanımlama'!$D$5:$D$300,MATCH(D630,'Malzeme Tanımlama'!$A$5:$A$300,0)),"")</f>
        <v/>
      </c>
      <c r="I630" s="2"/>
      <c r="J630" s="2"/>
      <c r="K630" s="2"/>
    </row>
    <row r="631" spans="1:11" x14ac:dyDescent="0.3">
      <c r="A631" s="5" t="str">
        <f>IF(D631="","",COUNTIF($D$5:D631,"?*"))</f>
        <v/>
      </c>
      <c r="B631" s="6"/>
      <c r="C631" s="5" t="str">
        <f>IF(B631="","",INDEX({"Ocak","Şubat","Mart","Nisan","Mayıs","Haziran","Temmuz","Ağustos","Eylül","Ekim","Kasım","Aralık"},MONTH(B631)))</f>
        <v/>
      </c>
      <c r="D631" s="2"/>
      <c r="E631" s="5" t="str">
        <f>IFERROR(INDEX('Malzeme Tanımlama'!$B$5:$B$300,MATCH(D631,'Malzeme Tanımlama'!$A$5:$A$300,0)),"")</f>
        <v/>
      </c>
      <c r="F631" s="2"/>
      <c r="G631" s="5"/>
      <c r="H631" s="5" t="str">
        <f>IFERROR(INDEX('Malzeme Tanımlama'!$D$5:$D$300,MATCH(D631,'Malzeme Tanımlama'!$A$5:$A$300,0)),"")</f>
        <v/>
      </c>
      <c r="I631" s="2"/>
      <c r="J631" s="2"/>
      <c r="K631" s="2"/>
    </row>
    <row r="632" spans="1:11" x14ac:dyDescent="0.3">
      <c r="A632" s="5" t="str">
        <f>IF(D632="","",COUNTIF($D$5:D632,"?*"))</f>
        <v/>
      </c>
      <c r="B632" s="6"/>
      <c r="C632" s="5" t="str">
        <f>IF(B632="","",INDEX({"Ocak","Şubat","Mart","Nisan","Mayıs","Haziran","Temmuz","Ağustos","Eylül","Ekim","Kasım","Aralık"},MONTH(B632)))</f>
        <v/>
      </c>
      <c r="D632" s="2"/>
      <c r="E632" s="5" t="str">
        <f>IFERROR(INDEX('Malzeme Tanımlama'!$B$5:$B$300,MATCH(D632,'Malzeme Tanımlama'!$A$5:$A$300,0)),"")</f>
        <v/>
      </c>
      <c r="F632" s="2"/>
      <c r="G632" s="5"/>
      <c r="H632" s="5" t="str">
        <f>IFERROR(INDEX('Malzeme Tanımlama'!$D$5:$D$300,MATCH(D632,'Malzeme Tanımlama'!$A$5:$A$300,0)),"")</f>
        <v/>
      </c>
      <c r="I632" s="2"/>
      <c r="J632" s="2"/>
      <c r="K632" s="2"/>
    </row>
    <row r="633" spans="1:11" x14ac:dyDescent="0.3">
      <c r="A633" s="5" t="str">
        <f>IF(D633="","",COUNTIF($D$5:D633,"?*"))</f>
        <v/>
      </c>
      <c r="B633" s="6"/>
      <c r="C633" s="5" t="str">
        <f>IF(B633="","",INDEX({"Ocak","Şubat","Mart","Nisan","Mayıs","Haziran","Temmuz","Ağustos","Eylül","Ekim","Kasım","Aralık"},MONTH(B633)))</f>
        <v/>
      </c>
      <c r="D633" s="2"/>
      <c r="E633" s="5" t="str">
        <f>IFERROR(INDEX('Malzeme Tanımlama'!$B$5:$B$300,MATCH(D633,'Malzeme Tanımlama'!$A$5:$A$300,0)),"")</f>
        <v/>
      </c>
      <c r="F633" s="2"/>
      <c r="G633" s="5"/>
      <c r="H633" s="5" t="str">
        <f>IFERROR(INDEX('Malzeme Tanımlama'!$D$5:$D$300,MATCH(D633,'Malzeme Tanımlama'!$A$5:$A$300,0)),"")</f>
        <v/>
      </c>
      <c r="I633" s="2"/>
      <c r="J633" s="2"/>
      <c r="K633" s="2"/>
    </row>
    <row r="634" spans="1:11" x14ac:dyDescent="0.3">
      <c r="A634" s="5" t="str">
        <f>IF(D634="","",COUNTIF($D$5:D634,"?*"))</f>
        <v/>
      </c>
      <c r="B634" s="6"/>
      <c r="C634" s="5" t="str">
        <f>IF(B634="","",INDEX({"Ocak","Şubat","Mart","Nisan","Mayıs","Haziran","Temmuz","Ağustos","Eylül","Ekim","Kasım","Aralık"},MONTH(B634)))</f>
        <v/>
      </c>
      <c r="D634" s="2"/>
      <c r="E634" s="5" t="str">
        <f>IFERROR(INDEX('Malzeme Tanımlama'!$B$5:$B$300,MATCH(D634,'Malzeme Tanımlama'!$A$5:$A$300,0)),"")</f>
        <v/>
      </c>
      <c r="F634" s="2"/>
      <c r="G634" s="5"/>
      <c r="H634" s="5" t="str">
        <f>IFERROR(INDEX('Malzeme Tanımlama'!$D$5:$D$300,MATCH(D634,'Malzeme Tanımlama'!$A$5:$A$300,0)),"")</f>
        <v/>
      </c>
      <c r="I634" s="2"/>
      <c r="J634" s="2"/>
      <c r="K634" s="2"/>
    </row>
    <row r="635" spans="1:11" x14ac:dyDescent="0.3">
      <c r="A635" s="5" t="str">
        <f>IF(D635="","",COUNTIF($D$5:D635,"?*"))</f>
        <v/>
      </c>
      <c r="B635" s="6"/>
      <c r="C635" s="5" t="str">
        <f>IF(B635="","",INDEX({"Ocak","Şubat","Mart","Nisan","Mayıs","Haziran","Temmuz","Ağustos","Eylül","Ekim","Kasım","Aralık"},MONTH(B635)))</f>
        <v/>
      </c>
      <c r="D635" s="2"/>
      <c r="E635" s="5" t="str">
        <f>IFERROR(INDEX('Malzeme Tanımlama'!$B$5:$B$300,MATCH(D635,'Malzeme Tanımlama'!$A$5:$A$300,0)),"")</f>
        <v/>
      </c>
      <c r="F635" s="2"/>
      <c r="G635" s="5"/>
      <c r="H635" s="5" t="str">
        <f>IFERROR(INDEX('Malzeme Tanımlama'!$D$5:$D$300,MATCH(D635,'Malzeme Tanımlama'!$A$5:$A$300,0)),"")</f>
        <v/>
      </c>
      <c r="I635" s="2"/>
      <c r="J635" s="2"/>
      <c r="K635" s="2"/>
    </row>
    <row r="636" spans="1:11" x14ac:dyDescent="0.3">
      <c r="A636" s="5" t="str">
        <f>IF(D636="","",COUNTIF($D$5:D636,"?*"))</f>
        <v/>
      </c>
      <c r="B636" s="6"/>
      <c r="C636" s="5" t="str">
        <f>IF(B636="","",INDEX({"Ocak","Şubat","Mart","Nisan","Mayıs","Haziran","Temmuz","Ağustos","Eylül","Ekim","Kasım","Aralık"},MONTH(B636)))</f>
        <v/>
      </c>
      <c r="D636" s="2"/>
      <c r="E636" s="5" t="str">
        <f>IFERROR(INDEX('Malzeme Tanımlama'!$B$5:$B$300,MATCH(D636,'Malzeme Tanımlama'!$A$5:$A$300,0)),"")</f>
        <v/>
      </c>
      <c r="F636" s="2"/>
      <c r="G636" s="5"/>
      <c r="H636" s="5" t="str">
        <f>IFERROR(INDEX('Malzeme Tanımlama'!$D$5:$D$300,MATCH(D636,'Malzeme Tanımlama'!$A$5:$A$300,0)),"")</f>
        <v/>
      </c>
      <c r="I636" s="2"/>
      <c r="J636" s="2"/>
      <c r="K636" s="2"/>
    </row>
    <row r="637" spans="1:11" x14ac:dyDescent="0.3">
      <c r="A637" s="5" t="str">
        <f>IF(D637="","",COUNTIF($D$5:D637,"?*"))</f>
        <v/>
      </c>
      <c r="B637" s="6"/>
      <c r="C637" s="5" t="str">
        <f>IF(B637="","",INDEX({"Ocak","Şubat","Mart","Nisan","Mayıs","Haziran","Temmuz","Ağustos","Eylül","Ekim","Kasım","Aralık"},MONTH(B637)))</f>
        <v/>
      </c>
      <c r="D637" s="2"/>
      <c r="E637" s="5" t="str">
        <f>IFERROR(INDEX('Malzeme Tanımlama'!$B$5:$B$300,MATCH(D637,'Malzeme Tanımlama'!$A$5:$A$300,0)),"")</f>
        <v/>
      </c>
      <c r="F637" s="2"/>
      <c r="G637" s="5"/>
      <c r="H637" s="5" t="str">
        <f>IFERROR(INDEX('Malzeme Tanımlama'!$D$5:$D$300,MATCH(D637,'Malzeme Tanımlama'!$A$5:$A$300,0)),"")</f>
        <v/>
      </c>
      <c r="I637" s="2"/>
      <c r="J637" s="2"/>
      <c r="K637" s="2"/>
    </row>
    <row r="638" spans="1:11" x14ac:dyDescent="0.3">
      <c r="A638" s="5" t="str">
        <f>IF(D638="","",COUNTIF($D$5:D638,"?*"))</f>
        <v/>
      </c>
      <c r="B638" s="6"/>
      <c r="C638" s="5" t="str">
        <f>IF(B638="","",INDEX({"Ocak","Şubat","Mart","Nisan","Mayıs","Haziran","Temmuz","Ağustos","Eylül","Ekim","Kasım","Aralık"},MONTH(B638)))</f>
        <v/>
      </c>
      <c r="D638" s="2"/>
      <c r="E638" s="5" t="str">
        <f>IFERROR(INDEX('Malzeme Tanımlama'!$B$5:$B$300,MATCH(D638,'Malzeme Tanımlama'!$A$5:$A$300,0)),"")</f>
        <v/>
      </c>
      <c r="F638" s="2"/>
      <c r="G638" s="5"/>
      <c r="H638" s="5" t="str">
        <f>IFERROR(INDEX('Malzeme Tanımlama'!$D$5:$D$300,MATCH(D638,'Malzeme Tanımlama'!$A$5:$A$300,0)),"")</f>
        <v/>
      </c>
      <c r="I638" s="2"/>
      <c r="J638" s="2"/>
      <c r="K638" s="2"/>
    </row>
    <row r="639" spans="1:11" x14ac:dyDescent="0.3">
      <c r="A639" s="5" t="str">
        <f>IF(D639="","",COUNTIF($D$5:D639,"?*"))</f>
        <v/>
      </c>
      <c r="B639" s="6"/>
      <c r="C639" s="5" t="str">
        <f>IF(B639="","",INDEX({"Ocak","Şubat","Mart","Nisan","Mayıs","Haziran","Temmuz","Ağustos","Eylül","Ekim","Kasım","Aralık"},MONTH(B639)))</f>
        <v/>
      </c>
      <c r="D639" s="2"/>
      <c r="E639" s="5" t="str">
        <f>IFERROR(INDEX('Malzeme Tanımlama'!$B$5:$B$300,MATCH(D639,'Malzeme Tanımlama'!$A$5:$A$300,0)),"")</f>
        <v/>
      </c>
      <c r="F639" s="2"/>
      <c r="G639" s="5"/>
      <c r="H639" s="5" t="str">
        <f>IFERROR(INDEX('Malzeme Tanımlama'!$D$5:$D$300,MATCH(D639,'Malzeme Tanımlama'!$A$5:$A$300,0)),"")</f>
        <v/>
      </c>
      <c r="I639" s="2"/>
      <c r="J639" s="2"/>
      <c r="K639" s="2"/>
    </row>
    <row r="640" spans="1:11" x14ac:dyDescent="0.3">
      <c r="A640" s="5" t="str">
        <f>IF(D640="","",COUNTIF($D$5:D640,"?*"))</f>
        <v/>
      </c>
      <c r="B640" s="6"/>
      <c r="C640" s="5" t="str">
        <f>IF(B640="","",INDEX({"Ocak","Şubat","Mart","Nisan","Mayıs","Haziran","Temmuz","Ağustos","Eylül","Ekim","Kasım","Aralık"},MONTH(B640)))</f>
        <v/>
      </c>
      <c r="D640" s="2"/>
      <c r="E640" s="5" t="str">
        <f>IFERROR(INDEX('Malzeme Tanımlama'!$B$5:$B$300,MATCH(D640,'Malzeme Tanımlama'!$A$5:$A$300,0)),"")</f>
        <v/>
      </c>
      <c r="F640" s="2"/>
      <c r="G640" s="5"/>
      <c r="H640" s="5" t="str">
        <f>IFERROR(INDEX('Malzeme Tanımlama'!$D$5:$D$300,MATCH(D640,'Malzeme Tanımlama'!$A$5:$A$300,0)),"")</f>
        <v/>
      </c>
      <c r="I640" s="2"/>
      <c r="J640" s="2"/>
      <c r="K640" s="2"/>
    </row>
    <row r="641" spans="1:11" x14ac:dyDescent="0.3">
      <c r="A641" s="5" t="str">
        <f>IF(D641="","",COUNTIF($D$5:D641,"?*"))</f>
        <v/>
      </c>
      <c r="B641" s="6"/>
      <c r="C641" s="5" t="str">
        <f>IF(B641="","",INDEX({"Ocak","Şubat","Mart","Nisan","Mayıs","Haziran","Temmuz","Ağustos","Eylül","Ekim","Kasım","Aralık"},MONTH(B641)))</f>
        <v/>
      </c>
      <c r="D641" s="2"/>
      <c r="E641" s="5" t="str">
        <f>IFERROR(INDEX('Malzeme Tanımlama'!$B$5:$B$300,MATCH(D641,'Malzeme Tanımlama'!$A$5:$A$300,0)),"")</f>
        <v/>
      </c>
      <c r="F641" s="2"/>
      <c r="G641" s="5"/>
      <c r="H641" s="5" t="str">
        <f>IFERROR(INDEX('Malzeme Tanımlama'!$D$5:$D$300,MATCH(D641,'Malzeme Tanımlama'!$A$5:$A$300,0)),"")</f>
        <v/>
      </c>
      <c r="I641" s="2"/>
      <c r="J641" s="2"/>
      <c r="K641" s="2"/>
    </row>
    <row r="642" spans="1:11" x14ac:dyDescent="0.3">
      <c r="A642" s="5" t="str">
        <f>IF(D642="","",COUNTIF($D$5:D642,"?*"))</f>
        <v/>
      </c>
      <c r="B642" s="6"/>
      <c r="C642" s="5" t="str">
        <f>IF(B642="","",INDEX({"Ocak","Şubat","Mart","Nisan","Mayıs","Haziran","Temmuz","Ağustos","Eylül","Ekim","Kasım","Aralık"},MONTH(B642)))</f>
        <v/>
      </c>
      <c r="D642" s="2"/>
      <c r="E642" s="5" t="str">
        <f>IFERROR(INDEX('Malzeme Tanımlama'!$B$5:$B$300,MATCH(D642,'Malzeme Tanımlama'!$A$5:$A$300,0)),"")</f>
        <v/>
      </c>
      <c r="F642" s="2"/>
      <c r="G642" s="5"/>
      <c r="H642" s="5" t="str">
        <f>IFERROR(INDEX('Malzeme Tanımlama'!$D$5:$D$300,MATCH(D642,'Malzeme Tanımlama'!$A$5:$A$300,0)),"")</f>
        <v/>
      </c>
      <c r="I642" s="2"/>
      <c r="J642" s="2"/>
      <c r="K642" s="2"/>
    </row>
    <row r="643" spans="1:11" x14ac:dyDescent="0.3">
      <c r="A643" s="5" t="str">
        <f>IF(D643="","",COUNTIF($D$5:D643,"?*"))</f>
        <v/>
      </c>
      <c r="B643" s="6"/>
      <c r="C643" s="5" t="str">
        <f>IF(B643="","",INDEX({"Ocak","Şubat","Mart","Nisan","Mayıs","Haziran","Temmuz","Ağustos","Eylül","Ekim","Kasım","Aralık"},MONTH(B643)))</f>
        <v/>
      </c>
      <c r="D643" s="2"/>
      <c r="E643" s="5" t="str">
        <f>IFERROR(INDEX('Malzeme Tanımlama'!$B$5:$B$300,MATCH(D643,'Malzeme Tanımlama'!$A$5:$A$300,0)),"")</f>
        <v/>
      </c>
      <c r="F643" s="2"/>
      <c r="G643" s="5"/>
      <c r="H643" s="5" t="str">
        <f>IFERROR(INDEX('Malzeme Tanımlama'!$D$5:$D$300,MATCH(D643,'Malzeme Tanımlama'!$A$5:$A$300,0)),"")</f>
        <v/>
      </c>
      <c r="I643" s="2"/>
      <c r="J643" s="2"/>
      <c r="K643" s="2"/>
    </row>
    <row r="644" spans="1:11" x14ac:dyDescent="0.3">
      <c r="A644" s="5" t="str">
        <f>IF(D644="","",COUNTIF($D$5:D644,"?*"))</f>
        <v/>
      </c>
      <c r="B644" s="6"/>
      <c r="C644" s="5" t="str">
        <f>IF(B644="","",INDEX({"Ocak","Şubat","Mart","Nisan","Mayıs","Haziran","Temmuz","Ağustos","Eylül","Ekim","Kasım","Aralık"},MONTH(B644)))</f>
        <v/>
      </c>
      <c r="D644" s="2"/>
      <c r="E644" s="5" t="str">
        <f>IFERROR(INDEX('Malzeme Tanımlama'!$B$5:$B$300,MATCH(D644,'Malzeme Tanımlama'!$A$5:$A$300,0)),"")</f>
        <v/>
      </c>
      <c r="F644" s="2"/>
      <c r="G644" s="5"/>
      <c r="H644" s="5" t="str">
        <f>IFERROR(INDEX('Malzeme Tanımlama'!$D$5:$D$300,MATCH(D644,'Malzeme Tanımlama'!$A$5:$A$300,0)),"")</f>
        <v/>
      </c>
      <c r="I644" s="2"/>
      <c r="J644" s="2"/>
      <c r="K644" s="2"/>
    </row>
    <row r="645" spans="1:11" x14ac:dyDescent="0.3">
      <c r="A645" s="5" t="str">
        <f>IF(D645="","",COUNTIF($D$5:D645,"?*"))</f>
        <v/>
      </c>
      <c r="B645" s="6"/>
      <c r="C645" s="5" t="str">
        <f>IF(B645="","",INDEX({"Ocak","Şubat","Mart","Nisan","Mayıs","Haziran","Temmuz","Ağustos","Eylül","Ekim","Kasım","Aralık"},MONTH(B645)))</f>
        <v/>
      </c>
      <c r="D645" s="2"/>
      <c r="E645" s="5" t="str">
        <f>IFERROR(INDEX('Malzeme Tanımlama'!$B$5:$B$300,MATCH(D645,'Malzeme Tanımlama'!$A$5:$A$300,0)),"")</f>
        <v/>
      </c>
      <c r="F645" s="2"/>
      <c r="G645" s="5"/>
      <c r="H645" s="5" t="str">
        <f>IFERROR(INDEX('Malzeme Tanımlama'!$D$5:$D$300,MATCH(D645,'Malzeme Tanımlama'!$A$5:$A$300,0)),"")</f>
        <v/>
      </c>
      <c r="I645" s="2"/>
      <c r="J645" s="2"/>
      <c r="K645" s="2"/>
    </row>
    <row r="646" spans="1:11" x14ac:dyDescent="0.3">
      <c r="A646" s="5" t="str">
        <f>IF(D646="","",COUNTIF($D$5:D646,"?*"))</f>
        <v/>
      </c>
      <c r="B646" s="6"/>
      <c r="C646" s="5" t="str">
        <f>IF(B646="","",INDEX({"Ocak","Şubat","Mart","Nisan","Mayıs","Haziran","Temmuz","Ağustos","Eylül","Ekim","Kasım","Aralık"},MONTH(B646)))</f>
        <v/>
      </c>
      <c r="D646" s="2"/>
      <c r="E646" s="5" t="str">
        <f>IFERROR(INDEX('Malzeme Tanımlama'!$B$5:$B$300,MATCH(D646,'Malzeme Tanımlama'!$A$5:$A$300,0)),"")</f>
        <v/>
      </c>
      <c r="F646" s="2"/>
      <c r="G646" s="5"/>
      <c r="H646" s="5" t="str">
        <f>IFERROR(INDEX('Malzeme Tanımlama'!$D$5:$D$300,MATCH(D646,'Malzeme Tanımlama'!$A$5:$A$300,0)),"")</f>
        <v/>
      </c>
      <c r="I646" s="2"/>
      <c r="J646" s="2"/>
      <c r="K646" s="2"/>
    </row>
    <row r="647" spans="1:11" x14ac:dyDescent="0.3">
      <c r="A647" s="5" t="str">
        <f>IF(D647="","",COUNTIF($D$5:D647,"?*"))</f>
        <v/>
      </c>
      <c r="B647" s="6"/>
      <c r="C647" s="5" t="str">
        <f>IF(B647="","",INDEX({"Ocak","Şubat","Mart","Nisan","Mayıs","Haziran","Temmuz","Ağustos","Eylül","Ekim","Kasım","Aralık"},MONTH(B647)))</f>
        <v/>
      </c>
      <c r="D647" s="2"/>
      <c r="E647" s="5" t="str">
        <f>IFERROR(INDEX('Malzeme Tanımlama'!$B$5:$B$300,MATCH(D647,'Malzeme Tanımlama'!$A$5:$A$300,0)),"")</f>
        <v/>
      </c>
      <c r="F647" s="2"/>
      <c r="G647" s="5"/>
      <c r="H647" s="5" t="str">
        <f>IFERROR(INDEX('Malzeme Tanımlama'!$D$5:$D$300,MATCH(D647,'Malzeme Tanımlama'!$A$5:$A$300,0)),"")</f>
        <v/>
      </c>
      <c r="I647" s="2"/>
      <c r="J647" s="2"/>
      <c r="K647" s="2"/>
    </row>
    <row r="648" spans="1:11" x14ac:dyDescent="0.3">
      <c r="A648" s="5" t="str">
        <f>IF(D648="","",COUNTIF($D$5:D648,"?*"))</f>
        <v/>
      </c>
      <c r="B648" s="6"/>
      <c r="C648" s="5" t="str">
        <f>IF(B648="","",INDEX({"Ocak","Şubat","Mart","Nisan","Mayıs","Haziran","Temmuz","Ağustos","Eylül","Ekim","Kasım","Aralık"},MONTH(B648)))</f>
        <v/>
      </c>
      <c r="D648" s="2"/>
      <c r="E648" s="5" t="str">
        <f>IFERROR(INDEX('Malzeme Tanımlama'!$B$5:$B$300,MATCH(D648,'Malzeme Tanımlama'!$A$5:$A$300,0)),"")</f>
        <v/>
      </c>
      <c r="F648" s="2"/>
      <c r="G648" s="5"/>
      <c r="H648" s="5" t="str">
        <f>IFERROR(INDEX('Malzeme Tanımlama'!$D$5:$D$300,MATCH(D648,'Malzeme Tanımlama'!$A$5:$A$300,0)),"")</f>
        <v/>
      </c>
      <c r="I648" s="2"/>
      <c r="J648" s="2"/>
      <c r="K648" s="2"/>
    </row>
    <row r="649" spans="1:11" x14ac:dyDescent="0.3">
      <c r="A649" s="5" t="str">
        <f>IF(D649="","",COUNTIF($D$5:D649,"?*"))</f>
        <v/>
      </c>
      <c r="B649" s="6"/>
      <c r="C649" s="5" t="str">
        <f>IF(B649="","",INDEX({"Ocak","Şubat","Mart","Nisan","Mayıs","Haziran","Temmuz","Ağustos","Eylül","Ekim","Kasım","Aralık"},MONTH(B649)))</f>
        <v/>
      </c>
      <c r="D649" s="2"/>
      <c r="E649" s="5" t="str">
        <f>IFERROR(INDEX('Malzeme Tanımlama'!$B$5:$B$300,MATCH(D649,'Malzeme Tanımlama'!$A$5:$A$300,0)),"")</f>
        <v/>
      </c>
      <c r="F649" s="2"/>
      <c r="G649" s="5"/>
      <c r="H649" s="5" t="str">
        <f>IFERROR(INDEX('Malzeme Tanımlama'!$D$5:$D$300,MATCH(D649,'Malzeme Tanımlama'!$A$5:$A$300,0)),"")</f>
        <v/>
      </c>
      <c r="I649" s="2"/>
      <c r="J649" s="2"/>
      <c r="K649" s="2"/>
    </row>
    <row r="650" spans="1:11" x14ac:dyDescent="0.3">
      <c r="A650" s="5" t="str">
        <f>IF(D650="","",COUNTIF($D$5:D650,"?*"))</f>
        <v/>
      </c>
      <c r="B650" s="6"/>
      <c r="C650" s="5" t="str">
        <f>IF(B650="","",INDEX({"Ocak","Şubat","Mart","Nisan","Mayıs","Haziran","Temmuz","Ağustos","Eylül","Ekim","Kasım","Aralık"},MONTH(B650)))</f>
        <v/>
      </c>
      <c r="D650" s="2"/>
      <c r="E650" s="5" t="str">
        <f>IFERROR(INDEX('Malzeme Tanımlama'!$B$5:$B$300,MATCH(D650,'Malzeme Tanımlama'!$A$5:$A$300,0)),"")</f>
        <v/>
      </c>
      <c r="F650" s="2"/>
      <c r="G650" s="5"/>
      <c r="H650" s="5" t="str">
        <f>IFERROR(INDEX('Malzeme Tanımlama'!$D$5:$D$300,MATCH(D650,'Malzeme Tanımlama'!$A$5:$A$300,0)),"")</f>
        <v/>
      </c>
      <c r="I650" s="2"/>
      <c r="J650" s="2"/>
      <c r="K650" s="2"/>
    </row>
    <row r="651" spans="1:11" x14ac:dyDescent="0.3">
      <c r="A651" s="5" t="str">
        <f>IF(D651="","",COUNTIF($D$5:D651,"?*"))</f>
        <v/>
      </c>
      <c r="B651" s="6"/>
      <c r="C651" s="5" t="str">
        <f>IF(B651="","",INDEX({"Ocak","Şubat","Mart","Nisan","Mayıs","Haziran","Temmuz","Ağustos","Eylül","Ekim","Kasım","Aralık"},MONTH(B651)))</f>
        <v/>
      </c>
      <c r="D651" s="2"/>
      <c r="E651" s="5" t="str">
        <f>IFERROR(INDEX('Malzeme Tanımlama'!$B$5:$B$300,MATCH(D651,'Malzeme Tanımlama'!$A$5:$A$300,0)),"")</f>
        <v/>
      </c>
      <c r="F651" s="2"/>
      <c r="G651" s="5"/>
      <c r="H651" s="5" t="str">
        <f>IFERROR(INDEX('Malzeme Tanımlama'!$D$5:$D$300,MATCH(D651,'Malzeme Tanımlama'!$A$5:$A$300,0)),"")</f>
        <v/>
      </c>
      <c r="I651" s="2"/>
      <c r="J651" s="2"/>
      <c r="K651" s="2"/>
    </row>
    <row r="652" spans="1:11" x14ac:dyDescent="0.3">
      <c r="A652" s="5" t="str">
        <f>IF(D652="","",COUNTIF($D$5:D652,"?*"))</f>
        <v/>
      </c>
      <c r="B652" s="6"/>
      <c r="C652" s="5" t="str">
        <f>IF(B652="","",INDEX({"Ocak","Şubat","Mart","Nisan","Mayıs","Haziran","Temmuz","Ağustos","Eylül","Ekim","Kasım","Aralık"},MONTH(B652)))</f>
        <v/>
      </c>
      <c r="D652" s="2"/>
      <c r="E652" s="5" t="str">
        <f>IFERROR(INDEX('Malzeme Tanımlama'!$B$5:$B$300,MATCH(D652,'Malzeme Tanımlama'!$A$5:$A$300,0)),"")</f>
        <v/>
      </c>
      <c r="F652" s="2"/>
      <c r="G652" s="5"/>
      <c r="H652" s="5" t="str">
        <f>IFERROR(INDEX('Malzeme Tanımlama'!$D$5:$D$300,MATCH(D652,'Malzeme Tanımlama'!$A$5:$A$300,0)),"")</f>
        <v/>
      </c>
      <c r="I652" s="2"/>
      <c r="J652" s="2"/>
      <c r="K652" s="2"/>
    </row>
    <row r="653" spans="1:11" x14ac:dyDescent="0.3">
      <c r="A653" s="5" t="str">
        <f>IF(D653="","",COUNTIF($D$5:D653,"?*"))</f>
        <v/>
      </c>
      <c r="B653" s="6"/>
      <c r="C653" s="5" t="str">
        <f>IF(B653="","",INDEX({"Ocak","Şubat","Mart","Nisan","Mayıs","Haziran","Temmuz","Ağustos","Eylül","Ekim","Kasım","Aralık"},MONTH(B653)))</f>
        <v/>
      </c>
      <c r="D653" s="2"/>
      <c r="E653" s="5" t="str">
        <f>IFERROR(INDEX('Malzeme Tanımlama'!$B$5:$B$300,MATCH(D653,'Malzeme Tanımlama'!$A$5:$A$300,0)),"")</f>
        <v/>
      </c>
      <c r="F653" s="2"/>
      <c r="G653" s="5"/>
      <c r="H653" s="5" t="str">
        <f>IFERROR(INDEX('Malzeme Tanımlama'!$D$5:$D$300,MATCH(D653,'Malzeme Tanımlama'!$A$5:$A$300,0)),"")</f>
        <v/>
      </c>
      <c r="I653" s="2"/>
      <c r="J653" s="2"/>
      <c r="K653" s="2"/>
    </row>
    <row r="654" spans="1:11" x14ac:dyDescent="0.3">
      <c r="A654" s="5" t="str">
        <f>IF(D654="","",COUNTIF($D$5:D654,"?*"))</f>
        <v/>
      </c>
      <c r="B654" s="6"/>
      <c r="C654" s="5" t="str">
        <f>IF(B654="","",INDEX({"Ocak","Şubat","Mart","Nisan","Mayıs","Haziran","Temmuz","Ağustos","Eylül","Ekim","Kasım","Aralık"},MONTH(B654)))</f>
        <v/>
      </c>
      <c r="D654" s="2"/>
      <c r="E654" s="5" t="str">
        <f>IFERROR(INDEX('Malzeme Tanımlama'!$B$5:$B$300,MATCH(D654,'Malzeme Tanımlama'!$A$5:$A$300,0)),"")</f>
        <v/>
      </c>
      <c r="F654" s="2"/>
      <c r="G654" s="5"/>
      <c r="H654" s="5" t="str">
        <f>IFERROR(INDEX('Malzeme Tanımlama'!$D$5:$D$300,MATCH(D654,'Malzeme Tanımlama'!$A$5:$A$300,0)),"")</f>
        <v/>
      </c>
      <c r="I654" s="2"/>
      <c r="J654" s="2"/>
      <c r="K654" s="2"/>
    </row>
    <row r="655" spans="1:11" x14ac:dyDescent="0.3">
      <c r="A655" s="5" t="str">
        <f>IF(D655="","",COUNTIF($D$5:D655,"?*"))</f>
        <v/>
      </c>
      <c r="B655" s="6"/>
      <c r="C655" s="5" t="str">
        <f>IF(B655="","",INDEX({"Ocak","Şubat","Mart","Nisan","Mayıs","Haziran","Temmuz","Ağustos","Eylül","Ekim","Kasım","Aralık"},MONTH(B655)))</f>
        <v/>
      </c>
      <c r="D655" s="2"/>
      <c r="E655" s="5" t="str">
        <f>IFERROR(INDEX('Malzeme Tanımlama'!$B$5:$B$300,MATCH(D655,'Malzeme Tanımlama'!$A$5:$A$300,0)),"")</f>
        <v/>
      </c>
      <c r="F655" s="2"/>
      <c r="G655" s="5"/>
      <c r="H655" s="5" t="str">
        <f>IFERROR(INDEX('Malzeme Tanımlama'!$D$5:$D$300,MATCH(D655,'Malzeme Tanımlama'!$A$5:$A$300,0)),"")</f>
        <v/>
      </c>
      <c r="I655" s="2"/>
      <c r="J655" s="2"/>
      <c r="K655" s="2"/>
    </row>
    <row r="656" spans="1:11" x14ac:dyDescent="0.3">
      <c r="A656" s="5" t="str">
        <f>IF(D656="","",COUNTIF($D$5:D656,"?*"))</f>
        <v/>
      </c>
      <c r="B656" s="6"/>
      <c r="C656" s="5" t="str">
        <f>IF(B656="","",INDEX({"Ocak","Şubat","Mart","Nisan","Mayıs","Haziran","Temmuz","Ağustos","Eylül","Ekim","Kasım","Aralık"},MONTH(B656)))</f>
        <v/>
      </c>
      <c r="D656" s="2"/>
      <c r="E656" s="5" t="str">
        <f>IFERROR(INDEX('Malzeme Tanımlama'!$B$5:$B$300,MATCH(D656,'Malzeme Tanımlama'!$A$5:$A$300,0)),"")</f>
        <v/>
      </c>
      <c r="F656" s="2"/>
      <c r="G656" s="5"/>
      <c r="H656" s="5" t="str">
        <f>IFERROR(INDEX('Malzeme Tanımlama'!$D$5:$D$300,MATCH(D656,'Malzeme Tanımlama'!$A$5:$A$300,0)),"")</f>
        <v/>
      </c>
      <c r="I656" s="2"/>
      <c r="J656" s="2"/>
      <c r="K656" s="2"/>
    </row>
    <row r="657" spans="1:11" x14ac:dyDescent="0.3">
      <c r="A657" s="5" t="str">
        <f>IF(D657="","",COUNTIF($D$5:D657,"?*"))</f>
        <v/>
      </c>
      <c r="B657" s="6"/>
      <c r="C657" s="5" t="str">
        <f>IF(B657="","",INDEX({"Ocak","Şubat","Mart","Nisan","Mayıs","Haziran","Temmuz","Ağustos","Eylül","Ekim","Kasım","Aralık"},MONTH(B657)))</f>
        <v/>
      </c>
      <c r="D657" s="2"/>
      <c r="E657" s="5" t="str">
        <f>IFERROR(INDEX('Malzeme Tanımlama'!$B$5:$B$300,MATCH(D657,'Malzeme Tanımlama'!$A$5:$A$300,0)),"")</f>
        <v/>
      </c>
      <c r="F657" s="2"/>
      <c r="G657" s="5"/>
      <c r="H657" s="5" t="str">
        <f>IFERROR(INDEX('Malzeme Tanımlama'!$D$5:$D$300,MATCH(D657,'Malzeme Tanımlama'!$A$5:$A$300,0)),"")</f>
        <v/>
      </c>
      <c r="I657" s="2"/>
      <c r="J657" s="2"/>
      <c r="K657" s="2"/>
    </row>
    <row r="658" spans="1:11" x14ac:dyDescent="0.3">
      <c r="A658" s="5" t="str">
        <f>IF(D658="","",COUNTIF($D$5:D658,"?*"))</f>
        <v/>
      </c>
      <c r="B658" s="6"/>
      <c r="C658" s="5" t="str">
        <f>IF(B658="","",INDEX({"Ocak","Şubat","Mart","Nisan","Mayıs","Haziran","Temmuz","Ağustos","Eylül","Ekim","Kasım","Aralık"},MONTH(B658)))</f>
        <v/>
      </c>
      <c r="D658" s="2"/>
      <c r="E658" s="5" t="str">
        <f>IFERROR(INDEX('Malzeme Tanımlama'!$B$5:$B$300,MATCH(D658,'Malzeme Tanımlama'!$A$5:$A$300,0)),"")</f>
        <v/>
      </c>
      <c r="F658" s="2"/>
      <c r="G658" s="5"/>
      <c r="H658" s="5" t="str">
        <f>IFERROR(INDEX('Malzeme Tanımlama'!$D$5:$D$300,MATCH(D658,'Malzeme Tanımlama'!$A$5:$A$300,0)),"")</f>
        <v/>
      </c>
      <c r="I658" s="2"/>
      <c r="J658" s="2"/>
      <c r="K658" s="2"/>
    </row>
    <row r="659" spans="1:11" x14ac:dyDescent="0.3">
      <c r="A659" s="5" t="str">
        <f>IF(D659="","",COUNTIF($D$5:D659,"?*"))</f>
        <v/>
      </c>
      <c r="B659" s="6"/>
      <c r="C659" s="5" t="str">
        <f>IF(B659="","",INDEX({"Ocak","Şubat","Mart","Nisan","Mayıs","Haziran","Temmuz","Ağustos","Eylül","Ekim","Kasım","Aralık"},MONTH(B659)))</f>
        <v/>
      </c>
      <c r="D659" s="2"/>
      <c r="E659" s="5" t="str">
        <f>IFERROR(INDEX('Malzeme Tanımlama'!$B$5:$B$300,MATCH(D659,'Malzeme Tanımlama'!$A$5:$A$300,0)),"")</f>
        <v/>
      </c>
      <c r="F659" s="2"/>
      <c r="G659" s="5"/>
      <c r="H659" s="5" t="str">
        <f>IFERROR(INDEX('Malzeme Tanımlama'!$D$5:$D$300,MATCH(D659,'Malzeme Tanımlama'!$A$5:$A$300,0)),"")</f>
        <v/>
      </c>
      <c r="I659" s="2"/>
      <c r="J659" s="2"/>
      <c r="K659" s="2"/>
    </row>
    <row r="660" spans="1:11" x14ac:dyDescent="0.3">
      <c r="A660" s="5" t="str">
        <f>IF(D660="","",COUNTIF($D$5:D660,"?*"))</f>
        <v/>
      </c>
      <c r="B660" s="6"/>
      <c r="C660" s="5" t="str">
        <f>IF(B660="","",INDEX({"Ocak","Şubat","Mart","Nisan","Mayıs","Haziran","Temmuz","Ağustos","Eylül","Ekim","Kasım","Aralık"},MONTH(B660)))</f>
        <v/>
      </c>
      <c r="D660" s="2"/>
      <c r="E660" s="5" t="str">
        <f>IFERROR(INDEX('Malzeme Tanımlama'!$B$5:$B$300,MATCH(D660,'Malzeme Tanımlama'!$A$5:$A$300,0)),"")</f>
        <v/>
      </c>
      <c r="F660" s="2"/>
      <c r="G660" s="5"/>
      <c r="H660" s="5" t="str">
        <f>IFERROR(INDEX('Malzeme Tanımlama'!$D$5:$D$300,MATCH(D660,'Malzeme Tanımlama'!$A$5:$A$300,0)),"")</f>
        <v/>
      </c>
      <c r="I660" s="2"/>
      <c r="J660" s="2"/>
      <c r="K660" s="2"/>
    </row>
    <row r="661" spans="1:11" x14ac:dyDescent="0.3">
      <c r="A661" s="5" t="str">
        <f>IF(D661="","",COUNTIF($D$5:D661,"?*"))</f>
        <v/>
      </c>
      <c r="B661" s="6"/>
      <c r="C661" s="5" t="str">
        <f>IF(B661="","",INDEX({"Ocak","Şubat","Mart","Nisan","Mayıs","Haziran","Temmuz","Ağustos","Eylül","Ekim","Kasım","Aralık"},MONTH(B661)))</f>
        <v/>
      </c>
      <c r="D661" s="2"/>
      <c r="E661" s="5" t="str">
        <f>IFERROR(INDEX('Malzeme Tanımlama'!$B$5:$B$300,MATCH(D661,'Malzeme Tanımlama'!$A$5:$A$300,0)),"")</f>
        <v/>
      </c>
      <c r="F661" s="2"/>
      <c r="G661" s="5"/>
      <c r="H661" s="5" t="str">
        <f>IFERROR(INDEX('Malzeme Tanımlama'!$D$5:$D$300,MATCH(D661,'Malzeme Tanımlama'!$A$5:$A$300,0)),"")</f>
        <v/>
      </c>
      <c r="I661" s="2"/>
      <c r="J661" s="2"/>
      <c r="K661" s="2"/>
    </row>
    <row r="662" spans="1:11" x14ac:dyDescent="0.3">
      <c r="A662" s="5" t="str">
        <f>IF(D662="","",COUNTIF($D$5:D662,"?*"))</f>
        <v/>
      </c>
      <c r="B662" s="6"/>
      <c r="C662" s="5" t="str">
        <f>IF(B662="","",INDEX({"Ocak","Şubat","Mart","Nisan","Mayıs","Haziran","Temmuz","Ağustos","Eylül","Ekim","Kasım","Aralık"},MONTH(B662)))</f>
        <v/>
      </c>
      <c r="D662" s="2"/>
      <c r="E662" s="5" t="str">
        <f>IFERROR(INDEX('Malzeme Tanımlama'!$B$5:$B$300,MATCH(D662,'Malzeme Tanımlama'!$A$5:$A$300,0)),"")</f>
        <v/>
      </c>
      <c r="F662" s="2"/>
      <c r="G662" s="5"/>
      <c r="H662" s="5" t="str">
        <f>IFERROR(INDEX('Malzeme Tanımlama'!$D$5:$D$300,MATCH(D662,'Malzeme Tanımlama'!$A$5:$A$300,0)),"")</f>
        <v/>
      </c>
      <c r="I662" s="2"/>
      <c r="J662" s="2"/>
      <c r="K662" s="2"/>
    </row>
    <row r="663" spans="1:11" x14ac:dyDescent="0.3">
      <c r="A663" s="5" t="str">
        <f>IF(D663="","",COUNTIF($D$5:D663,"?*"))</f>
        <v/>
      </c>
      <c r="B663" s="6"/>
      <c r="C663" s="5" t="str">
        <f>IF(B663="","",INDEX({"Ocak","Şubat","Mart","Nisan","Mayıs","Haziran","Temmuz","Ağustos","Eylül","Ekim","Kasım","Aralık"},MONTH(B663)))</f>
        <v/>
      </c>
      <c r="D663" s="2"/>
      <c r="E663" s="5" t="str">
        <f>IFERROR(INDEX('Malzeme Tanımlama'!$B$5:$B$300,MATCH(D663,'Malzeme Tanımlama'!$A$5:$A$300,0)),"")</f>
        <v/>
      </c>
      <c r="F663" s="2"/>
      <c r="G663" s="5"/>
      <c r="H663" s="5" t="str">
        <f>IFERROR(INDEX('Malzeme Tanımlama'!$D$5:$D$300,MATCH(D663,'Malzeme Tanımlama'!$A$5:$A$300,0)),"")</f>
        <v/>
      </c>
      <c r="I663" s="2"/>
      <c r="J663" s="2"/>
      <c r="K663" s="2"/>
    </row>
    <row r="664" spans="1:11" x14ac:dyDescent="0.3">
      <c r="A664" s="5" t="str">
        <f>IF(D664="","",COUNTIF($D$5:D664,"?*"))</f>
        <v/>
      </c>
      <c r="B664" s="6"/>
      <c r="C664" s="5" t="str">
        <f>IF(B664="","",INDEX({"Ocak","Şubat","Mart","Nisan","Mayıs","Haziran","Temmuz","Ağustos","Eylül","Ekim","Kasım","Aralık"},MONTH(B664)))</f>
        <v/>
      </c>
      <c r="D664" s="2"/>
      <c r="E664" s="5" t="str">
        <f>IFERROR(INDEX('Malzeme Tanımlama'!$B$5:$B$300,MATCH(D664,'Malzeme Tanımlama'!$A$5:$A$300,0)),"")</f>
        <v/>
      </c>
      <c r="F664" s="2"/>
      <c r="G664" s="5"/>
      <c r="H664" s="5" t="str">
        <f>IFERROR(INDEX('Malzeme Tanımlama'!$D$5:$D$300,MATCH(D664,'Malzeme Tanımlama'!$A$5:$A$300,0)),"")</f>
        <v/>
      </c>
      <c r="I664" s="2"/>
      <c r="J664" s="2"/>
      <c r="K664" s="2"/>
    </row>
    <row r="665" spans="1:11" x14ac:dyDescent="0.3">
      <c r="A665" s="5" t="str">
        <f>IF(D665="","",COUNTIF($D$5:D665,"?*"))</f>
        <v/>
      </c>
      <c r="B665" s="6"/>
      <c r="C665" s="5" t="str">
        <f>IF(B665="","",INDEX({"Ocak","Şubat","Mart","Nisan","Mayıs","Haziran","Temmuz","Ağustos","Eylül","Ekim","Kasım","Aralık"},MONTH(B665)))</f>
        <v/>
      </c>
      <c r="D665" s="2"/>
      <c r="E665" s="5" t="str">
        <f>IFERROR(INDEX('Malzeme Tanımlama'!$B$5:$B$300,MATCH(D665,'Malzeme Tanımlama'!$A$5:$A$300,0)),"")</f>
        <v/>
      </c>
      <c r="F665" s="2"/>
      <c r="G665" s="5"/>
      <c r="H665" s="5" t="str">
        <f>IFERROR(INDEX('Malzeme Tanımlama'!$D$5:$D$300,MATCH(D665,'Malzeme Tanımlama'!$A$5:$A$300,0)),"")</f>
        <v/>
      </c>
      <c r="I665" s="2"/>
      <c r="J665" s="2"/>
      <c r="K665" s="2"/>
    </row>
    <row r="666" spans="1:11" x14ac:dyDescent="0.3">
      <c r="A666" s="5" t="str">
        <f>IF(D666="","",COUNTIF($D$5:D666,"?*"))</f>
        <v/>
      </c>
      <c r="B666" s="6"/>
      <c r="C666" s="5" t="str">
        <f>IF(B666="","",INDEX({"Ocak","Şubat","Mart","Nisan","Mayıs","Haziran","Temmuz","Ağustos","Eylül","Ekim","Kasım","Aralık"},MONTH(B666)))</f>
        <v/>
      </c>
      <c r="D666" s="2"/>
      <c r="E666" s="5" t="str">
        <f>IFERROR(INDEX('Malzeme Tanımlama'!$B$5:$B$300,MATCH(D666,'Malzeme Tanımlama'!$A$5:$A$300,0)),"")</f>
        <v/>
      </c>
      <c r="F666" s="2"/>
      <c r="G666" s="5"/>
      <c r="H666" s="5" t="str">
        <f>IFERROR(INDEX('Malzeme Tanımlama'!$D$5:$D$300,MATCH(D666,'Malzeme Tanımlama'!$A$5:$A$300,0)),"")</f>
        <v/>
      </c>
      <c r="I666" s="2"/>
      <c r="J666" s="2"/>
      <c r="K666" s="2"/>
    </row>
    <row r="667" spans="1:11" x14ac:dyDescent="0.3">
      <c r="A667" s="5" t="str">
        <f>IF(D667="","",COUNTIF($D$5:D667,"?*"))</f>
        <v/>
      </c>
      <c r="B667" s="6"/>
      <c r="C667" s="5" t="str">
        <f>IF(B667="","",INDEX({"Ocak","Şubat","Mart","Nisan","Mayıs","Haziran","Temmuz","Ağustos","Eylül","Ekim","Kasım","Aralık"},MONTH(B667)))</f>
        <v/>
      </c>
      <c r="D667" s="2"/>
      <c r="E667" s="5" t="str">
        <f>IFERROR(INDEX('Malzeme Tanımlama'!$B$5:$B$300,MATCH(D667,'Malzeme Tanımlama'!$A$5:$A$300,0)),"")</f>
        <v/>
      </c>
      <c r="F667" s="2"/>
      <c r="G667" s="5"/>
      <c r="H667" s="5" t="str">
        <f>IFERROR(INDEX('Malzeme Tanımlama'!$D$5:$D$300,MATCH(D667,'Malzeme Tanımlama'!$A$5:$A$300,0)),"")</f>
        <v/>
      </c>
      <c r="I667" s="2"/>
      <c r="J667" s="2"/>
      <c r="K667" s="2"/>
    </row>
    <row r="668" spans="1:11" x14ac:dyDescent="0.3">
      <c r="A668" s="5" t="str">
        <f>IF(D668="","",COUNTIF($D$5:D668,"?*"))</f>
        <v/>
      </c>
      <c r="B668" s="6"/>
      <c r="C668" s="5" t="str">
        <f>IF(B668="","",INDEX({"Ocak","Şubat","Mart","Nisan","Mayıs","Haziran","Temmuz","Ağustos","Eylül","Ekim","Kasım","Aralık"},MONTH(B668)))</f>
        <v/>
      </c>
      <c r="D668" s="2"/>
      <c r="E668" s="5" t="str">
        <f>IFERROR(INDEX('Malzeme Tanımlama'!$B$5:$B$300,MATCH(D668,'Malzeme Tanımlama'!$A$5:$A$300,0)),"")</f>
        <v/>
      </c>
      <c r="F668" s="2"/>
      <c r="G668" s="5"/>
      <c r="H668" s="5" t="str">
        <f>IFERROR(INDEX('Malzeme Tanımlama'!$D$5:$D$300,MATCH(D668,'Malzeme Tanımlama'!$A$5:$A$300,0)),"")</f>
        <v/>
      </c>
      <c r="I668" s="2"/>
      <c r="J668" s="2"/>
      <c r="K668" s="2"/>
    </row>
    <row r="669" spans="1:11" x14ac:dyDescent="0.3">
      <c r="A669" s="5" t="str">
        <f>IF(D669="","",COUNTIF($D$5:D669,"?*"))</f>
        <v/>
      </c>
      <c r="B669" s="6"/>
      <c r="C669" s="5" t="str">
        <f>IF(B669="","",INDEX({"Ocak","Şubat","Mart","Nisan","Mayıs","Haziran","Temmuz","Ağustos","Eylül","Ekim","Kasım","Aralık"},MONTH(B669)))</f>
        <v/>
      </c>
      <c r="D669" s="2"/>
      <c r="E669" s="5" t="str">
        <f>IFERROR(INDEX('Malzeme Tanımlama'!$B$5:$B$300,MATCH(D669,'Malzeme Tanımlama'!$A$5:$A$300,0)),"")</f>
        <v/>
      </c>
      <c r="F669" s="2"/>
      <c r="G669" s="5"/>
      <c r="H669" s="5" t="str">
        <f>IFERROR(INDEX('Malzeme Tanımlama'!$D$5:$D$300,MATCH(D669,'Malzeme Tanımlama'!$A$5:$A$300,0)),"")</f>
        <v/>
      </c>
      <c r="I669" s="2"/>
      <c r="J669" s="2"/>
      <c r="K669" s="2"/>
    </row>
    <row r="670" spans="1:11" x14ac:dyDescent="0.3">
      <c r="A670" s="5" t="str">
        <f>IF(D670="","",COUNTIF($D$5:D670,"?*"))</f>
        <v/>
      </c>
      <c r="B670" s="6"/>
      <c r="C670" s="5" t="str">
        <f>IF(B670="","",INDEX({"Ocak","Şubat","Mart","Nisan","Mayıs","Haziran","Temmuz","Ağustos","Eylül","Ekim","Kasım","Aralık"},MONTH(B670)))</f>
        <v/>
      </c>
      <c r="D670" s="2"/>
      <c r="E670" s="5" t="str">
        <f>IFERROR(INDEX('Malzeme Tanımlama'!$B$5:$B$300,MATCH(D670,'Malzeme Tanımlama'!$A$5:$A$300,0)),"")</f>
        <v/>
      </c>
      <c r="F670" s="2"/>
      <c r="G670" s="5"/>
      <c r="H670" s="5" t="str">
        <f>IFERROR(INDEX('Malzeme Tanımlama'!$D$5:$D$300,MATCH(D670,'Malzeme Tanımlama'!$A$5:$A$300,0)),"")</f>
        <v/>
      </c>
      <c r="I670" s="2"/>
      <c r="J670" s="2"/>
      <c r="K670" s="2"/>
    </row>
    <row r="671" spans="1:11" x14ac:dyDescent="0.3">
      <c r="A671" s="5" t="str">
        <f>IF(D671="","",COUNTIF($D$5:D671,"?*"))</f>
        <v/>
      </c>
      <c r="B671" s="6"/>
      <c r="C671" s="5" t="str">
        <f>IF(B671="","",INDEX({"Ocak","Şubat","Mart","Nisan","Mayıs","Haziran","Temmuz","Ağustos","Eylül","Ekim","Kasım","Aralık"},MONTH(B671)))</f>
        <v/>
      </c>
      <c r="D671" s="2"/>
      <c r="E671" s="5" t="str">
        <f>IFERROR(INDEX('Malzeme Tanımlama'!$B$5:$B$300,MATCH(D671,'Malzeme Tanımlama'!$A$5:$A$300,0)),"")</f>
        <v/>
      </c>
      <c r="F671" s="2"/>
      <c r="G671" s="5"/>
      <c r="H671" s="5" t="str">
        <f>IFERROR(INDEX('Malzeme Tanımlama'!$D$5:$D$300,MATCH(D671,'Malzeme Tanımlama'!$A$5:$A$300,0)),"")</f>
        <v/>
      </c>
      <c r="I671" s="2"/>
      <c r="J671" s="2"/>
      <c r="K671" s="2"/>
    </row>
    <row r="672" spans="1:11" x14ac:dyDescent="0.3">
      <c r="A672" s="5" t="str">
        <f>IF(D672="","",COUNTIF($D$5:D672,"?*"))</f>
        <v/>
      </c>
      <c r="B672" s="6"/>
      <c r="C672" s="5" t="str">
        <f>IF(B672="","",INDEX({"Ocak","Şubat","Mart","Nisan","Mayıs","Haziran","Temmuz","Ağustos","Eylül","Ekim","Kasım","Aralık"},MONTH(B672)))</f>
        <v/>
      </c>
      <c r="D672" s="2"/>
      <c r="E672" s="5" t="str">
        <f>IFERROR(INDEX('Malzeme Tanımlama'!$B$5:$B$300,MATCH(D672,'Malzeme Tanımlama'!$A$5:$A$300,0)),"")</f>
        <v/>
      </c>
      <c r="F672" s="2"/>
      <c r="G672" s="5"/>
      <c r="H672" s="5" t="str">
        <f>IFERROR(INDEX('Malzeme Tanımlama'!$D$5:$D$300,MATCH(D672,'Malzeme Tanımlama'!$A$5:$A$300,0)),"")</f>
        <v/>
      </c>
      <c r="I672" s="2"/>
      <c r="J672" s="2"/>
      <c r="K672" s="2"/>
    </row>
    <row r="673" spans="1:11" x14ac:dyDescent="0.3">
      <c r="A673" s="5" t="str">
        <f>IF(D673="","",COUNTIF($D$5:D673,"?*"))</f>
        <v/>
      </c>
      <c r="B673" s="6"/>
      <c r="C673" s="5" t="str">
        <f>IF(B673="","",INDEX({"Ocak","Şubat","Mart","Nisan","Mayıs","Haziran","Temmuz","Ağustos","Eylül","Ekim","Kasım","Aralık"},MONTH(B673)))</f>
        <v/>
      </c>
      <c r="D673" s="2"/>
      <c r="E673" s="5" t="str">
        <f>IFERROR(INDEX('Malzeme Tanımlama'!$B$5:$B$300,MATCH(D673,'Malzeme Tanımlama'!$A$5:$A$300,0)),"")</f>
        <v/>
      </c>
      <c r="F673" s="2"/>
      <c r="G673" s="5"/>
      <c r="H673" s="5" t="str">
        <f>IFERROR(INDEX('Malzeme Tanımlama'!$D$5:$D$300,MATCH(D673,'Malzeme Tanımlama'!$A$5:$A$300,0)),"")</f>
        <v/>
      </c>
      <c r="I673" s="2"/>
      <c r="J673" s="2"/>
      <c r="K673" s="2"/>
    </row>
    <row r="674" spans="1:11" x14ac:dyDescent="0.3">
      <c r="A674" s="5" t="str">
        <f>IF(D674="","",COUNTIF($D$5:D674,"?*"))</f>
        <v/>
      </c>
      <c r="B674" s="6"/>
      <c r="C674" s="5" t="str">
        <f>IF(B674="","",INDEX({"Ocak","Şubat","Mart","Nisan","Mayıs","Haziran","Temmuz","Ağustos","Eylül","Ekim","Kasım","Aralık"},MONTH(B674)))</f>
        <v/>
      </c>
      <c r="D674" s="2"/>
      <c r="E674" s="5" t="str">
        <f>IFERROR(INDEX('Malzeme Tanımlama'!$B$5:$B$300,MATCH(D674,'Malzeme Tanımlama'!$A$5:$A$300,0)),"")</f>
        <v/>
      </c>
      <c r="F674" s="2"/>
      <c r="G674" s="5"/>
      <c r="H674" s="5" t="str">
        <f>IFERROR(INDEX('Malzeme Tanımlama'!$D$5:$D$300,MATCH(D674,'Malzeme Tanımlama'!$A$5:$A$300,0)),"")</f>
        <v/>
      </c>
      <c r="I674" s="2"/>
      <c r="J674" s="2"/>
      <c r="K674" s="2"/>
    </row>
    <row r="675" spans="1:11" x14ac:dyDescent="0.3">
      <c r="A675" s="5" t="str">
        <f>IF(D675="","",COUNTIF($D$5:D675,"?*"))</f>
        <v/>
      </c>
      <c r="B675" s="6"/>
      <c r="C675" s="5" t="str">
        <f>IF(B675="","",INDEX({"Ocak","Şubat","Mart","Nisan","Mayıs","Haziran","Temmuz","Ağustos","Eylül","Ekim","Kasım","Aralık"},MONTH(B675)))</f>
        <v/>
      </c>
      <c r="D675" s="2"/>
      <c r="E675" s="5" t="str">
        <f>IFERROR(INDEX('Malzeme Tanımlama'!$B$5:$B$300,MATCH(D675,'Malzeme Tanımlama'!$A$5:$A$300,0)),"")</f>
        <v/>
      </c>
      <c r="F675" s="2"/>
      <c r="G675" s="5"/>
      <c r="H675" s="5" t="str">
        <f>IFERROR(INDEX('Malzeme Tanımlama'!$D$5:$D$300,MATCH(D675,'Malzeme Tanımlama'!$A$5:$A$300,0)),"")</f>
        <v/>
      </c>
      <c r="I675" s="2"/>
      <c r="J675" s="2"/>
      <c r="K675" s="2"/>
    </row>
    <row r="676" spans="1:11" x14ac:dyDescent="0.3">
      <c r="A676" s="5" t="str">
        <f>IF(D676="","",COUNTIF($D$5:D676,"?*"))</f>
        <v/>
      </c>
      <c r="B676" s="6"/>
      <c r="C676" s="5" t="str">
        <f>IF(B676="","",INDEX({"Ocak","Şubat","Mart","Nisan","Mayıs","Haziran","Temmuz","Ağustos","Eylül","Ekim","Kasım","Aralık"},MONTH(B676)))</f>
        <v/>
      </c>
      <c r="D676" s="2"/>
      <c r="E676" s="5" t="str">
        <f>IFERROR(INDEX('Malzeme Tanımlama'!$B$5:$B$300,MATCH(D676,'Malzeme Tanımlama'!$A$5:$A$300,0)),"")</f>
        <v/>
      </c>
      <c r="F676" s="2"/>
      <c r="G676" s="5"/>
      <c r="H676" s="5" t="str">
        <f>IFERROR(INDEX('Malzeme Tanımlama'!$D$5:$D$300,MATCH(D676,'Malzeme Tanımlama'!$A$5:$A$300,0)),"")</f>
        <v/>
      </c>
      <c r="I676" s="2"/>
      <c r="J676" s="2"/>
      <c r="K676" s="2"/>
    </row>
    <row r="677" spans="1:11" x14ac:dyDescent="0.3">
      <c r="A677" s="5" t="str">
        <f>IF(D677="","",COUNTIF($D$5:D677,"?*"))</f>
        <v/>
      </c>
      <c r="B677" s="6"/>
      <c r="C677" s="5" t="str">
        <f>IF(B677="","",INDEX({"Ocak","Şubat","Mart","Nisan","Mayıs","Haziran","Temmuz","Ağustos","Eylül","Ekim","Kasım","Aralık"},MONTH(B677)))</f>
        <v/>
      </c>
      <c r="D677" s="2"/>
      <c r="E677" s="5" t="str">
        <f>IFERROR(INDEX('Malzeme Tanımlama'!$B$5:$B$300,MATCH(D677,'Malzeme Tanımlama'!$A$5:$A$300,0)),"")</f>
        <v/>
      </c>
      <c r="F677" s="2"/>
      <c r="G677" s="5"/>
      <c r="H677" s="5" t="str">
        <f>IFERROR(INDEX('Malzeme Tanımlama'!$D$5:$D$300,MATCH(D677,'Malzeme Tanımlama'!$A$5:$A$300,0)),"")</f>
        <v/>
      </c>
      <c r="I677" s="2"/>
      <c r="J677" s="2"/>
      <c r="K677" s="2"/>
    </row>
    <row r="678" spans="1:11" x14ac:dyDescent="0.3">
      <c r="A678" s="5" t="str">
        <f>IF(D678="","",COUNTIF($D$5:D678,"?*"))</f>
        <v/>
      </c>
      <c r="B678" s="6"/>
      <c r="C678" s="5" t="str">
        <f>IF(B678="","",INDEX({"Ocak","Şubat","Mart","Nisan","Mayıs","Haziran","Temmuz","Ağustos","Eylül","Ekim","Kasım","Aralık"},MONTH(B678)))</f>
        <v/>
      </c>
      <c r="D678" s="2"/>
      <c r="E678" s="5" t="str">
        <f>IFERROR(INDEX('Malzeme Tanımlama'!$B$5:$B$300,MATCH(D678,'Malzeme Tanımlama'!$A$5:$A$300,0)),"")</f>
        <v/>
      </c>
      <c r="F678" s="2"/>
      <c r="G678" s="5"/>
      <c r="H678" s="5" t="str">
        <f>IFERROR(INDEX('Malzeme Tanımlama'!$D$5:$D$300,MATCH(D678,'Malzeme Tanımlama'!$A$5:$A$300,0)),"")</f>
        <v/>
      </c>
      <c r="I678" s="2"/>
      <c r="J678" s="2"/>
      <c r="K678" s="2"/>
    </row>
    <row r="679" spans="1:11" x14ac:dyDescent="0.3">
      <c r="A679" s="5" t="str">
        <f>IF(D679="","",COUNTIF($D$5:D679,"?*"))</f>
        <v/>
      </c>
      <c r="B679" s="6"/>
      <c r="C679" s="5" t="str">
        <f>IF(B679="","",INDEX({"Ocak","Şubat","Mart","Nisan","Mayıs","Haziran","Temmuz","Ağustos","Eylül","Ekim","Kasım","Aralık"},MONTH(B679)))</f>
        <v/>
      </c>
      <c r="D679" s="2"/>
      <c r="E679" s="5" t="str">
        <f>IFERROR(INDEX('Malzeme Tanımlama'!$B$5:$B$300,MATCH(D679,'Malzeme Tanımlama'!$A$5:$A$300,0)),"")</f>
        <v/>
      </c>
      <c r="F679" s="2"/>
      <c r="G679" s="5"/>
      <c r="H679" s="5" t="str">
        <f>IFERROR(INDEX('Malzeme Tanımlama'!$D$5:$D$300,MATCH(D679,'Malzeme Tanımlama'!$A$5:$A$300,0)),"")</f>
        <v/>
      </c>
      <c r="I679" s="2"/>
      <c r="J679" s="2"/>
      <c r="K679" s="2"/>
    </row>
    <row r="680" spans="1:11" x14ac:dyDescent="0.3">
      <c r="A680" s="5" t="str">
        <f>IF(D680="","",COUNTIF($D$5:D680,"?*"))</f>
        <v/>
      </c>
      <c r="B680" s="6"/>
      <c r="C680" s="5" t="str">
        <f>IF(B680="","",INDEX({"Ocak","Şubat","Mart","Nisan","Mayıs","Haziran","Temmuz","Ağustos","Eylül","Ekim","Kasım","Aralık"},MONTH(B680)))</f>
        <v/>
      </c>
      <c r="D680" s="2"/>
      <c r="E680" s="5" t="str">
        <f>IFERROR(INDEX('Malzeme Tanımlama'!$B$5:$B$300,MATCH(D680,'Malzeme Tanımlama'!$A$5:$A$300,0)),"")</f>
        <v/>
      </c>
      <c r="F680" s="2"/>
      <c r="G680" s="5"/>
      <c r="H680" s="5" t="str">
        <f>IFERROR(INDEX('Malzeme Tanımlama'!$D$5:$D$300,MATCH(D680,'Malzeme Tanımlama'!$A$5:$A$300,0)),"")</f>
        <v/>
      </c>
      <c r="I680" s="2"/>
      <c r="J680" s="2"/>
      <c r="K680" s="2"/>
    </row>
    <row r="681" spans="1:11" x14ac:dyDescent="0.3">
      <c r="A681" s="5" t="str">
        <f>IF(D681="","",COUNTIF($D$5:D681,"?*"))</f>
        <v/>
      </c>
      <c r="B681" s="6"/>
      <c r="C681" s="5" t="str">
        <f>IF(B681="","",INDEX({"Ocak","Şubat","Mart","Nisan","Mayıs","Haziran","Temmuz","Ağustos","Eylül","Ekim","Kasım","Aralık"},MONTH(B681)))</f>
        <v/>
      </c>
      <c r="D681" s="2"/>
      <c r="E681" s="5" t="str">
        <f>IFERROR(INDEX('Malzeme Tanımlama'!$B$5:$B$300,MATCH(D681,'Malzeme Tanımlama'!$A$5:$A$300,0)),"")</f>
        <v/>
      </c>
      <c r="F681" s="2"/>
      <c r="G681" s="5"/>
      <c r="H681" s="5" t="str">
        <f>IFERROR(INDEX('Malzeme Tanımlama'!$D$5:$D$300,MATCH(D681,'Malzeme Tanımlama'!$A$5:$A$300,0)),"")</f>
        <v/>
      </c>
      <c r="I681" s="2"/>
      <c r="J681" s="2"/>
      <c r="K681" s="2"/>
    </row>
    <row r="682" spans="1:11" x14ac:dyDescent="0.3">
      <c r="A682" s="5" t="str">
        <f>IF(D682="","",COUNTIF($D$5:D682,"?*"))</f>
        <v/>
      </c>
      <c r="B682" s="6"/>
      <c r="C682" s="5" t="str">
        <f>IF(B682="","",INDEX({"Ocak","Şubat","Mart","Nisan","Mayıs","Haziran","Temmuz","Ağustos","Eylül","Ekim","Kasım","Aralık"},MONTH(B682)))</f>
        <v/>
      </c>
      <c r="D682" s="2"/>
      <c r="E682" s="5" t="str">
        <f>IFERROR(INDEX('Malzeme Tanımlama'!$B$5:$B$300,MATCH(D682,'Malzeme Tanımlama'!$A$5:$A$300,0)),"")</f>
        <v/>
      </c>
      <c r="F682" s="2"/>
      <c r="G682" s="5"/>
      <c r="H682" s="5" t="str">
        <f>IFERROR(INDEX('Malzeme Tanımlama'!$D$5:$D$300,MATCH(D682,'Malzeme Tanımlama'!$A$5:$A$300,0)),"")</f>
        <v/>
      </c>
      <c r="I682" s="2"/>
      <c r="J682" s="2"/>
      <c r="K682" s="2"/>
    </row>
    <row r="683" spans="1:11" x14ac:dyDescent="0.3">
      <c r="A683" s="5" t="str">
        <f>IF(D683="","",COUNTIF($D$5:D683,"?*"))</f>
        <v/>
      </c>
      <c r="B683" s="6"/>
      <c r="C683" s="5" t="str">
        <f>IF(B683="","",INDEX({"Ocak","Şubat","Mart","Nisan","Mayıs","Haziran","Temmuz","Ağustos","Eylül","Ekim","Kasım","Aralık"},MONTH(B683)))</f>
        <v/>
      </c>
      <c r="D683" s="2"/>
      <c r="E683" s="5" t="str">
        <f>IFERROR(INDEX('Malzeme Tanımlama'!$B$5:$B$300,MATCH(D683,'Malzeme Tanımlama'!$A$5:$A$300,0)),"")</f>
        <v/>
      </c>
      <c r="F683" s="2"/>
      <c r="G683" s="5"/>
      <c r="H683" s="5" t="str">
        <f>IFERROR(INDEX('Malzeme Tanımlama'!$D$5:$D$300,MATCH(D683,'Malzeme Tanımlama'!$A$5:$A$300,0)),"")</f>
        <v/>
      </c>
      <c r="I683" s="2"/>
      <c r="J683" s="2"/>
      <c r="K683" s="2"/>
    </row>
    <row r="684" spans="1:11" x14ac:dyDescent="0.3">
      <c r="A684" s="5" t="str">
        <f>IF(D684="","",COUNTIF($D$5:D684,"?*"))</f>
        <v/>
      </c>
      <c r="B684" s="6"/>
      <c r="C684" s="5" t="str">
        <f>IF(B684="","",INDEX({"Ocak","Şubat","Mart","Nisan","Mayıs","Haziran","Temmuz","Ağustos","Eylül","Ekim","Kasım","Aralık"},MONTH(B684)))</f>
        <v/>
      </c>
      <c r="D684" s="2"/>
      <c r="E684" s="5" t="str">
        <f>IFERROR(INDEX('Malzeme Tanımlama'!$B$5:$B$300,MATCH(D684,'Malzeme Tanımlama'!$A$5:$A$300,0)),"")</f>
        <v/>
      </c>
      <c r="F684" s="2"/>
      <c r="G684" s="5"/>
      <c r="H684" s="5" t="str">
        <f>IFERROR(INDEX('Malzeme Tanımlama'!$D$5:$D$300,MATCH(D684,'Malzeme Tanımlama'!$A$5:$A$300,0)),"")</f>
        <v/>
      </c>
      <c r="I684" s="2"/>
      <c r="J684" s="2"/>
      <c r="K684" s="2"/>
    </row>
    <row r="685" spans="1:11" x14ac:dyDescent="0.3">
      <c r="A685" s="5" t="str">
        <f>IF(D685="","",COUNTIF($D$5:D685,"?*"))</f>
        <v/>
      </c>
      <c r="B685" s="6"/>
      <c r="C685" s="5" t="str">
        <f>IF(B685="","",INDEX({"Ocak","Şubat","Mart","Nisan","Mayıs","Haziran","Temmuz","Ağustos","Eylül","Ekim","Kasım","Aralık"},MONTH(B685)))</f>
        <v/>
      </c>
      <c r="D685" s="2"/>
      <c r="E685" s="5" t="str">
        <f>IFERROR(INDEX('Malzeme Tanımlama'!$B$5:$B$300,MATCH(D685,'Malzeme Tanımlama'!$A$5:$A$300,0)),"")</f>
        <v/>
      </c>
      <c r="F685" s="2"/>
      <c r="G685" s="5"/>
      <c r="H685" s="5" t="str">
        <f>IFERROR(INDEX('Malzeme Tanımlama'!$D$5:$D$300,MATCH(D685,'Malzeme Tanımlama'!$A$5:$A$300,0)),"")</f>
        <v/>
      </c>
      <c r="I685" s="2"/>
      <c r="J685" s="2"/>
      <c r="K685" s="2"/>
    </row>
    <row r="686" spans="1:11" x14ac:dyDescent="0.3">
      <c r="A686" s="5" t="str">
        <f>IF(D686="","",COUNTIF($D$5:D686,"?*"))</f>
        <v/>
      </c>
      <c r="B686" s="6"/>
      <c r="C686" s="5" t="str">
        <f>IF(B686="","",INDEX({"Ocak","Şubat","Mart","Nisan","Mayıs","Haziran","Temmuz","Ağustos","Eylül","Ekim","Kasım","Aralık"},MONTH(B686)))</f>
        <v/>
      </c>
      <c r="D686" s="2"/>
      <c r="E686" s="5" t="str">
        <f>IFERROR(INDEX('Malzeme Tanımlama'!$B$5:$B$300,MATCH(D686,'Malzeme Tanımlama'!$A$5:$A$300,0)),"")</f>
        <v/>
      </c>
      <c r="F686" s="2"/>
      <c r="G686" s="5"/>
      <c r="H686" s="5" t="str">
        <f>IFERROR(INDEX('Malzeme Tanımlama'!$D$5:$D$300,MATCH(D686,'Malzeme Tanımlama'!$A$5:$A$300,0)),"")</f>
        <v/>
      </c>
      <c r="I686" s="2"/>
      <c r="J686" s="2"/>
      <c r="K686" s="2"/>
    </row>
    <row r="687" spans="1:11" x14ac:dyDescent="0.3">
      <c r="A687" s="5" t="str">
        <f>IF(D687="","",COUNTIF($D$5:D687,"?*"))</f>
        <v/>
      </c>
      <c r="B687" s="6"/>
      <c r="C687" s="5" t="str">
        <f>IF(B687="","",INDEX({"Ocak","Şubat","Mart","Nisan","Mayıs","Haziran","Temmuz","Ağustos","Eylül","Ekim","Kasım","Aralık"},MONTH(B687)))</f>
        <v/>
      </c>
      <c r="D687" s="2"/>
      <c r="E687" s="5" t="str">
        <f>IFERROR(INDEX('Malzeme Tanımlama'!$B$5:$B$300,MATCH(D687,'Malzeme Tanımlama'!$A$5:$A$300,0)),"")</f>
        <v/>
      </c>
      <c r="F687" s="2"/>
      <c r="G687" s="5"/>
      <c r="H687" s="5" t="str">
        <f>IFERROR(INDEX('Malzeme Tanımlama'!$D$5:$D$300,MATCH(D687,'Malzeme Tanımlama'!$A$5:$A$300,0)),"")</f>
        <v/>
      </c>
      <c r="I687" s="2"/>
      <c r="J687" s="2"/>
      <c r="K687" s="2"/>
    </row>
    <row r="688" spans="1:11" x14ac:dyDescent="0.3">
      <c r="A688" s="5" t="str">
        <f>IF(D688="","",COUNTIF($D$5:D688,"?*"))</f>
        <v/>
      </c>
      <c r="B688" s="6"/>
      <c r="C688" s="5" t="str">
        <f>IF(B688="","",INDEX({"Ocak","Şubat","Mart","Nisan","Mayıs","Haziran","Temmuz","Ağustos","Eylül","Ekim","Kasım","Aralık"},MONTH(B688)))</f>
        <v/>
      </c>
      <c r="D688" s="2"/>
      <c r="E688" s="5" t="str">
        <f>IFERROR(INDEX('Malzeme Tanımlama'!$B$5:$B$300,MATCH(D688,'Malzeme Tanımlama'!$A$5:$A$300,0)),"")</f>
        <v/>
      </c>
      <c r="F688" s="2"/>
      <c r="G688" s="5"/>
      <c r="H688" s="5" t="str">
        <f>IFERROR(INDEX('Malzeme Tanımlama'!$D$5:$D$300,MATCH(D688,'Malzeme Tanımlama'!$A$5:$A$300,0)),"")</f>
        <v/>
      </c>
      <c r="I688" s="2"/>
      <c r="J688" s="2"/>
      <c r="K688" s="2"/>
    </row>
    <row r="689" spans="1:11" x14ac:dyDescent="0.3">
      <c r="A689" s="5" t="str">
        <f>IF(D689="","",COUNTIF($D$5:D689,"?*"))</f>
        <v/>
      </c>
      <c r="B689" s="6"/>
      <c r="C689" s="5" t="str">
        <f>IF(B689="","",INDEX({"Ocak","Şubat","Mart","Nisan","Mayıs","Haziran","Temmuz","Ağustos","Eylül","Ekim","Kasım","Aralık"},MONTH(B689)))</f>
        <v/>
      </c>
      <c r="D689" s="2"/>
      <c r="E689" s="5" t="str">
        <f>IFERROR(INDEX('Malzeme Tanımlama'!$B$5:$B$300,MATCH(D689,'Malzeme Tanımlama'!$A$5:$A$300,0)),"")</f>
        <v/>
      </c>
      <c r="F689" s="2"/>
      <c r="G689" s="5"/>
      <c r="H689" s="5" t="str">
        <f>IFERROR(INDEX('Malzeme Tanımlama'!$D$5:$D$300,MATCH(D689,'Malzeme Tanımlama'!$A$5:$A$300,0)),"")</f>
        <v/>
      </c>
      <c r="I689" s="2"/>
      <c r="J689" s="2"/>
      <c r="K689" s="2"/>
    </row>
    <row r="690" spans="1:11" x14ac:dyDescent="0.3">
      <c r="A690" s="5" t="str">
        <f>IF(D690="","",COUNTIF($D$5:D690,"?*"))</f>
        <v/>
      </c>
      <c r="B690" s="6"/>
      <c r="C690" s="5" t="str">
        <f>IF(B690="","",INDEX({"Ocak","Şubat","Mart","Nisan","Mayıs","Haziran","Temmuz","Ağustos","Eylül","Ekim","Kasım","Aralık"},MONTH(B690)))</f>
        <v/>
      </c>
      <c r="D690" s="2"/>
      <c r="E690" s="5" t="str">
        <f>IFERROR(INDEX('Malzeme Tanımlama'!$B$5:$B$300,MATCH(D690,'Malzeme Tanımlama'!$A$5:$A$300,0)),"")</f>
        <v/>
      </c>
      <c r="F690" s="2"/>
      <c r="G690" s="5"/>
      <c r="H690" s="5" t="str">
        <f>IFERROR(INDEX('Malzeme Tanımlama'!$D$5:$D$300,MATCH(D690,'Malzeme Tanımlama'!$A$5:$A$300,0)),"")</f>
        <v/>
      </c>
      <c r="I690" s="2"/>
      <c r="J690" s="2"/>
      <c r="K690" s="2"/>
    </row>
    <row r="691" spans="1:11" x14ac:dyDescent="0.3">
      <c r="A691" s="5" t="str">
        <f>IF(D691="","",COUNTIF($D$5:D691,"?*"))</f>
        <v/>
      </c>
      <c r="B691" s="6"/>
      <c r="C691" s="5" t="str">
        <f>IF(B691="","",INDEX({"Ocak","Şubat","Mart","Nisan","Mayıs","Haziran","Temmuz","Ağustos","Eylül","Ekim","Kasım","Aralık"},MONTH(B691)))</f>
        <v/>
      </c>
      <c r="D691" s="2"/>
      <c r="E691" s="5" t="str">
        <f>IFERROR(INDEX('Malzeme Tanımlama'!$B$5:$B$300,MATCH(D691,'Malzeme Tanımlama'!$A$5:$A$300,0)),"")</f>
        <v/>
      </c>
      <c r="F691" s="2"/>
      <c r="G691" s="5"/>
      <c r="H691" s="5" t="str">
        <f>IFERROR(INDEX('Malzeme Tanımlama'!$D$5:$D$300,MATCH(D691,'Malzeme Tanımlama'!$A$5:$A$300,0)),"")</f>
        <v/>
      </c>
      <c r="I691" s="2"/>
      <c r="J691" s="2"/>
      <c r="K691" s="2"/>
    </row>
    <row r="692" spans="1:11" x14ac:dyDescent="0.3">
      <c r="A692" s="5" t="str">
        <f>IF(D692="","",COUNTIF($D$5:D692,"?*"))</f>
        <v/>
      </c>
      <c r="B692" s="6"/>
      <c r="C692" s="5" t="str">
        <f>IF(B692="","",INDEX({"Ocak","Şubat","Mart","Nisan","Mayıs","Haziran","Temmuz","Ağustos","Eylül","Ekim","Kasım","Aralık"},MONTH(B692)))</f>
        <v/>
      </c>
      <c r="D692" s="2"/>
      <c r="E692" s="5" t="str">
        <f>IFERROR(INDEX('Malzeme Tanımlama'!$B$5:$B$300,MATCH(D692,'Malzeme Tanımlama'!$A$5:$A$300,0)),"")</f>
        <v/>
      </c>
      <c r="F692" s="2"/>
      <c r="G692" s="5"/>
      <c r="H692" s="5" t="str">
        <f>IFERROR(INDEX('Malzeme Tanımlama'!$D$5:$D$300,MATCH(D692,'Malzeme Tanımlama'!$A$5:$A$300,0)),"")</f>
        <v/>
      </c>
      <c r="I692" s="2"/>
      <c r="J692" s="2"/>
      <c r="K692" s="2"/>
    </row>
    <row r="693" spans="1:11" x14ac:dyDescent="0.3">
      <c r="A693" s="5" t="str">
        <f>IF(D693="","",COUNTIF($D$5:D693,"?*"))</f>
        <v/>
      </c>
      <c r="B693" s="6"/>
      <c r="C693" s="5" t="str">
        <f>IF(B693="","",INDEX({"Ocak","Şubat","Mart","Nisan","Mayıs","Haziran","Temmuz","Ağustos","Eylül","Ekim","Kasım","Aralık"},MONTH(B693)))</f>
        <v/>
      </c>
      <c r="D693" s="2"/>
      <c r="E693" s="5" t="str">
        <f>IFERROR(INDEX('Malzeme Tanımlama'!$B$5:$B$300,MATCH(D693,'Malzeme Tanımlama'!$A$5:$A$300,0)),"")</f>
        <v/>
      </c>
      <c r="F693" s="2"/>
      <c r="G693" s="5"/>
      <c r="H693" s="5" t="str">
        <f>IFERROR(INDEX('Malzeme Tanımlama'!$D$5:$D$300,MATCH(D693,'Malzeme Tanımlama'!$A$5:$A$300,0)),"")</f>
        <v/>
      </c>
      <c r="I693" s="2"/>
      <c r="J693" s="2"/>
      <c r="K693" s="2"/>
    </row>
    <row r="694" spans="1:11" x14ac:dyDescent="0.3">
      <c r="A694" s="5" t="str">
        <f>IF(D694="","",COUNTIF($D$5:D694,"?*"))</f>
        <v/>
      </c>
      <c r="B694" s="6"/>
      <c r="C694" s="5" t="str">
        <f>IF(B694="","",INDEX({"Ocak","Şubat","Mart","Nisan","Mayıs","Haziran","Temmuz","Ağustos","Eylül","Ekim","Kasım","Aralık"},MONTH(B694)))</f>
        <v/>
      </c>
      <c r="D694" s="2"/>
      <c r="E694" s="5" t="str">
        <f>IFERROR(INDEX('Malzeme Tanımlama'!$B$5:$B$300,MATCH(D694,'Malzeme Tanımlama'!$A$5:$A$300,0)),"")</f>
        <v/>
      </c>
      <c r="F694" s="2"/>
      <c r="G694" s="5"/>
      <c r="H694" s="5" t="str">
        <f>IFERROR(INDEX('Malzeme Tanımlama'!$D$5:$D$300,MATCH(D694,'Malzeme Tanımlama'!$A$5:$A$300,0)),"")</f>
        <v/>
      </c>
      <c r="I694" s="2"/>
      <c r="J694" s="2"/>
      <c r="K694" s="2"/>
    </row>
    <row r="695" spans="1:11" x14ac:dyDescent="0.3">
      <c r="A695" s="5" t="str">
        <f>IF(D695="","",COUNTIF($D$5:D695,"?*"))</f>
        <v/>
      </c>
      <c r="B695" s="6"/>
      <c r="C695" s="5" t="str">
        <f>IF(B695="","",INDEX({"Ocak","Şubat","Mart","Nisan","Mayıs","Haziran","Temmuz","Ağustos","Eylül","Ekim","Kasım","Aralık"},MONTH(B695)))</f>
        <v/>
      </c>
      <c r="D695" s="2"/>
      <c r="E695" s="5" t="str">
        <f>IFERROR(INDEX('Malzeme Tanımlama'!$B$5:$B$300,MATCH(D695,'Malzeme Tanımlama'!$A$5:$A$300,0)),"")</f>
        <v/>
      </c>
      <c r="F695" s="2"/>
      <c r="G695" s="5"/>
      <c r="H695" s="5" t="str">
        <f>IFERROR(INDEX('Malzeme Tanımlama'!$D$5:$D$300,MATCH(D695,'Malzeme Tanımlama'!$A$5:$A$300,0)),"")</f>
        <v/>
      </c>
      <c r="I695" s="2"/>
      <c r="J695" s="2"/>
      <c r="K695" s="2"/>
    </row>
    <row r="696" spans="1:11" x14ac:dyDescent="0.3">
      <c r="A696" s="5" t="str">
        <f>IF(D696="","",COUNTIF($D$5:D696,"?*"))</f>
        <v/>
      </c>
      <c r="B696" s="6"/>
      <c r="C696" s="5" t="str">
        <f>IF(B696="","",INDEX({"Ocak","Şubat","Mart","Nisan","Mayıs","Haziran","Temmuz","Ağustos","Eylül","Ekim","Kasım","Aralık"},MONTH(B696)))</f>
        <v/>
      </c>
      <c r="D696" s="2"/>
      <c r="E696" s="5" t="str">
        <f>IFERROR(INDEX('Malzeme Tanımlama'!$B$5:$B$300,MATCH(D696,'Malzeme Tanımlama'!$A$5:$A$300,0)),"")</f>
        <v/>
      </c>
      <c r="F696" s="2"/>
      <c r="G696" s="5"/>
      <c r="H696" s="5" t="str">
        <f>IFERROR(INDEX('Malzeme Tanımlama'!$D$5:$D$300,MATCH(D696,'Malzeme Tanımlama'!$A$5:$A$300,0)),"")</f>
        <v/>
      </c>
      <c r="I696" s="2"/>
      <c r="J696" s="2"/>
      <c r="K696" s="2"/>
    </row>
    <row r="697" spans="1:11" x14ac:dyDescent="0.3">
      <c r="A697" s="5" t="str">
        <f>IF(D697="","",COUNTIF($D$5:D697,"?*"))</f>
        <v/>
      </c>
      <c r="B697" s="6"/>
      <c r="C697" s="5" t="str">
        <f>IF(B697="","",INDEX({"Ocak","Şubat","Mart","Nisan","Mayıs","Haziran","Temmuz","Ağustos","Eylül","Ekim","Kasım","Aralık"},MONTH(B697)))</f>
        <v/>
      </c>
      <c r="D697" s="2"/>
      <c r="E697" s="5" t="str">
        <f>IFERROR(INDEX('Malzeme Tanımlama'!$B$5:$B$300,MATCH(D697,'Malzeme Tanımlama'!$A$5:$A$300,0)),"")</f>
        <v/>
      </c>
      <c r="F697" s="2"/>
      <c r="G697" s="5"/>
      <c r="H697" s="5" t="str">
        <f>IFERROR(INDEX('Malzeme Tanımlama'!$D$5:$D$300,MATCH(D697,'Malzeme Tanımlama'!$A$5:$A$300,0)),"")</f>
        <v/>
      </c>
      <c r="I697" s="2"/>
      <c r="J697" s="2"/>
      <c r="K697" s="2"/>
    </row>
    <row r="698" spans="1:11" x14ac:dyDescent="0.3">
      <c r="A698" s="5" t="str">
        <f>IF(D698="","",COUNTIF($D$5:D698,"?*"))</f>
        <v/>
      </c>
      <c r="B698" s="6"/>
      <c r="C698" s="5" t="str">
        <f>IF(B698="","",INDEX({"Ocak","Şubat","Mart","Nisan","Mayıs","Haziran","Temmuz","Ağustos","Eylül","Ekim","Kasım","Aralık"},MONTH(B698)))</f>
        <v/>
      </c>
      <c r="D698" s="2"/>
      <c r="E698" s="5" t="str">
        <f>IFERROR(INDEX('Malzeme Tanımlama'!$B$5:$B$300,MATCH(D698,'Malzeme Tanımlama'!$A$5:$A$300,0)),"")</f>
        <v/>
      </c>
      <c r="F698" s="2"/>
      <c r="G698" s="5"/>
      <c r="H698" s="5" t="str">
        <f>IFERROR(INDEX('Malzeme Tanımlama'!$D$5:$D$300,MATCH(D698,'Malzeme Tanımlama'!$A$5:$A$300,0)),"")</f>
        <v/>
      </c>
      <c r="I698" s="2"/>
      <c r="J698" s="2"/>
      <c r="K698" s="2"/>
    </row>
    <row r="699" spans="1:11" x14ac:dyDescent="0.3">
      <c r="A699" s="5" t="str">
        <f>IF(D699="","",COUNTIF($D$5:D699,"?*"))</f>
        <v/>
      </c>
      <c r="B699" s="6"/>
      <c r="C699" s="5" t="str">
        <f>IF(B699="","",INDEX({"Ocak","Şubat","Mart","Nisan","Mayıs","Haziran","Temmuz","Ağustos","Eylül","Ekim","Kasım","Aralık"},MONTH(B699)))</f>
        <v/>
      </c>
      <c r="D699" s="2"/>
      <c r="E699" s="5" t="str">
        <f>IFERROR(INDEX('Malzeme Tanımlama'!$B$5:$B$300,MATCH(D699,'Malzeme Tanımlama'!$A$5:$A$300,0)),"")</f>
        <v/>
      </c>
      <c r="F699" s="2"/>
      <c r="G699" s="5"/>
      <c r="H699" s="5" t="str">
        <f>IFERROR(INDEX('Malzeme Tanımlama'!$D$5:$D$300,MATCH(D699,'Malzeme Tanımlama'!$A$5:$A$300,0)),"")</f>
        <v/>
      </c>
      <c r="I699" s="2"/>
      <c r="J699" s="2"/>
      <c r="K699" s="2"/>
    </row>
    <row r="700" spans="1:11" x14ac:dyDescent="0.3">
      <c r="A700" s="5" t="str">
        <f>IF(D700="","",COUNTIF($D$5:D700,"?*"))</f>
        <v/>
      </c>
      <c r="B700" s="6"/>
      <c r="C700" s="5" t="str">
        <f>IF(B700="","",INDEX({"Ocak","Şubat","Mart","Nisan","Mayıs","Haziran","Temmuz","Ağustos","Eylül","Ekim","Kasım","Aralık"},MONTH(B700)))</f>
        <v/>
      </c>
      <c r="D700" s="2"/>
      <c r="E700" s="5" t="str">
        <f>IFERROR(INDEX('Malzeme Tanımlama'!$B$5:$B$300,MATCH(D700,'Malzeme Tanımlama'!$A$5:$A$300,0)),"")</f>
        <v/>
      </c>
      <c r="F700" s="2"/>
      <c r="G700" s="5"/>
      <c r="H700" s="5" t="str">
        <f>IFERROR(INDEX('Malzeme Tanımlama'!$D$5:$D$300,MATCH(D700,'Malzeme Tanımlama'!$A$5:$A$300,0)),"")</f>
        <v/>
      </c>
      <c r="I700" s="2"/>
      <c r="J700" s="2"/>
      <c r="K700" s="2"/>
    </row>
    <row r="701" spans="1:11" x14ac:dyDescent="0.3">
      <c r="A701" s="5" t="str">
        <f>IF(D701="","",COUNTIF($D$5:D701,"?*"))</f>
        <v/>
      </c>
      <c r="B701" s="6"/>
      <c r="C701" s="5" t="str">
        <f>IF(B701="","",INDEX({"Ocak","Şubat","Mart","Nisan","Mayıs","Haziran","Temmuz","Ağustos","Eylül","Ekim","Kasım","Aralık"},MONTH(B701)))</f>
        <v/>
      </c>
      <c r="D701" s="2"/>
      <c r="E701" s="5" t="str">
        <f>IFERROR(INDEX('Malzeme Tanımlama'!$B$5:$B$300,MATCH(D701,'Malzeme Tanımlama'!$A$5:$A$300,0)),"")</f>
        <v/>
      </c>
      <c r="F701" s="2"/>
      <c r="G701" s="5"/>
      <c r="H701" s="5" t="str">
        <f>IFERROR(INDEX('Malzeme Tanımlama'!$D$5:$D$300,MATCH(D701,'Malzeme Tanımlama'!$A$5:$A$300,0)),"")</f>
        <v/>
      </c>
      <c r="I701" s="2"/>
      <c r="J701" s="2"/>
      <c r="K701" s="2"/>
    </row>
    <row r="702" spans="1:11" x14ac:dyDescent="0.3">
      <c r="A702" s="5" t="str">
        <f>IF(D702="","",COUNTIF($D$5:D702,"?*"))</f>
        <v/>
      </c>
      <c r="B702" s="6"/>
      <c r="C702" s="5" t="str">
        <f>IF(B702="","",INDEX({"Ocak","Şubat","Mart","Nisan","Mayıs","Haziran","Temmuz","Ağustos","Eylül","Ekim","Kasım","Aralık"},MONTH(B702)))</f>
        <v/>
      </c>
      <c r="D702" s="2"/>
      <c r="E702" s="5" t="str">
        <f>IFERROR(INDEX('Malzeme Tanımlama'!$B$5:$B$300,MATCH(D702,'Malzeme Tanımlama'!$A$5:$A$300,0)),"")</f>
        <v/>
      </c>
      <c r="F702" s="2"/>
      <c r="G702" s="5"/>
      <c r="H702" s="5" t="str">
        <f>IFERROR(INDEX('Malzeme Tanımlama'!$D$5:$D$300,MATCH(D702,'Malzeme Tanımlama'!$A$5:$A$300,0)),"")</f>
        <v/>
      </c>
      <c r="I702" s="2"/>
      <c r="J702" s="2"/>
      <c r="K702" s="2"/>
    </row>
    <row r="703" spans="1:11" x14ac:dyDescent="0.3">
      <c r="A703" s="5" t="str">
        <f>IF(D703="","",COUNTIF($D$5:D703,"?*"))</f>
        <v/>
      </c>
      <c r="B703" s="6"/>
      <c r="C703" s="5" t="str">
        <f>IF(B703="","",INDEX({"Ocak","Şubat","Mart","Nisan","Mayıs","Haziran","Temmuz","Ağustos","Eylül","Ekim","Kasım","Aralık"},MONTH(B703)))</f>
        <v/>
      </c>
      <c r="D703" s="2"/>
      <c r="E703" s="5" t="str">
        <f>IFERROR(INDEX('Malzeme Tanımlama'!$B$5:$B$300,MATCH(D703,'Malzeme Tanımlama'!$A$5:$A$300,0)),"")</f>
        <v/>
      </c>
      <c r="F703" s="2"/>
      <c r="G703" s="5"/>
      <c r="H703" s="5" t="str">
        <f>IFERROR(INDEX('Malzeme Tanımlama'!$D$5:$D$300,MATCH(D703,'Malzeme Tanımlama'!$A$5:$A$300,0)),"")</f>
        <v/>
      </c>
      <c r="I703" s="2"/>
      <c r="J703" s="2"/>
      <c r="K703" s="2"/>
    </row>
    <row r="704" spans="1:11" x14ac:dyDescent="0.3">
      <c r="A704" s="5" t="str">
        <f>IF(D704="","",COUNTIF($D$5:D704,"?*"))</f>
        <v/>
      </c>
      <c r="B704" s="6"/>
      <c r="C704" s="5" t="str">
        <f>IF(B704="","",INDEX({"Ocak","Şubat","Mart","Nisan","Mayıs","Haziran","Temmuz","Ağustos","Eylül","Ekim","Kasım","Aralık"},MONTH(B704)))</f>
        <v/>
      </c>
      <c r="D704" s="2"/>
      <c r="E704" s="5" t="str">
        <f>IFERROR(INDEX('Malzeme Tanımlama'!$B$5:$B$300,MATCH(D704,'Malzeme Tanımlama'!$A$5:$A$300,0)),"")</f>
        <v/>
      </c>
      <c r="F704" s="2"/>
      <c r="G704" s="5"/>
      <c r="H704" s="5" t="str">
        <f>IFERROR(INDEX('Malzeme Tanımlama'!$D$5:$D$300,MATCH(D704,'Malzeme Tanımlama'!$A$5:$A$300,0)),"")</f>
        <v/>
      </c>
      <c r="I704" s="2"/>
      <c r="J704" s="2"/>
      <c r="K704" s="2"/>
    </row>
    <row r="705" spans="1:11" x14ac:dyDescent="0.3">
      <c r="A705" s="5" t="str">
        <f>IF(D705="","",COUNTIF($D$5:D705,"?*"))</f>
        <v/>
      </c>
      <c r="B705" s="6"/>
      <c r="C705" s="5" t="str">
        <f>IF(B705="","",INDEX({"Ocak","Şubat","Mart","Nisan","Mayıs","Haziran","Temmuz","Ağustos","Eylül","Ekim","Kasım","Aralık"},MONTH(B705)))</f>
        <v/>
      </c>
      <c r="D705" s="2"/>
      <c r="E705" s="5" t="str">
        <f>IFERROR(INDEX('Malzeme Tanımlama'!$B$5:$B$300,MATCH(D705,'Malzeme Tanımlama'!$A$5:$A$300,0)),"")</f>
        <v/>
      </c>
      <c r="F705" s="2"/>
      <c r="G705" s="5"/>
      <c r="H705" s="5" t="str">
        <f>IFERROR(INDEX('Malzeme Tanımlama'!$D$5:$D$300,MATCH(D705,'Malzeme Tanımlama'!$A$5:$A$300,0)),"")</f>
        <v/>
      </c>
      <c r="I705" s="2"/>
      <c r="J705" s="2"/>
      <c r="K705" s="2"/>
    </row>
    <row r="706" spans="1:11" x14ac:dyDescent="0.3">
      <c r="A706" s="5" t="str">
        <f>IF(D706="","",COUNTIF($D$5:D706,"?*"))</f>
        <v/>
      </c>
      <c r="B706" s="6"/>
      <c r="C706" s="5" t="str">
        <f>IF(B706="","",INDEX({"Ocak","Şubat","Mart","Nisan","Mayıs","Haziran","Temmuz","Ağustos","Eylül","Ekim","Kasım","Aralık"},MONTH(B706)))</f>
        <v/>
      </c>
      <c r="D706" s="2"/>
      <c r="E706" s="5" t="str">
        <f>IFERROR(INDEX('Malzeme Tanımlama'!$B$5:$B$300,MATCH(D706,'Malzeme Tanımlama'!$A$5:$A$300,0)),"")</f>
        <v/>
      </c>
      <c r="F706" s="2"/>
      <c r="G706" s="5"/>
      <c r="H706" s="5" t="str">
        <f>IFERROR(INDEX('Malzeme Tanımlama'!$D$5:$D$300,MATCH(D706,'Malzeme Tanımlama'!$A$5:$A$300,0)),"")</f>
        <v/>
      </c>
      <c r="I706" s="2"/>
      <c r="J706" s="2"/>
      <c r="K706" s="2"/>
    </row>
    <row r="707" spans="1:11" x14ac:dyDescent="0.3">
      <c r="A707" s="5" t="str">
        <f>IF(D707="","",COUNTIF($D$5:D707,"?*"))</f>
        <v/>
      </c>
      <c r="B707" s="6"/>
      <c r="C707" s="5" t="str">
        <f>IF(B707="","",INDEX({"Ocak","Şubat","Mart","Nisan","Mayıs","Haziran","Temmuz","Ağustos","Eylül","Ekim","Kasım","Aralık"},MONTH(B707)))</f>
        <v/>
      </c>
      <c r="D707" s="2"/>
      <c r="E707" s="5" t="str">
        <f>IFERROR(INDEX('Malzeme Tanımlama'!$B$5:$B$300,MATCH(D707,'Malzeme Tanımlama'!$A$5:$A$300,0)),"")</f>
        <v/>
      </c>
      <c r="F707" s="2"/>
      <c r="G707" s="5"/>
      <c r="H707" s="5" t="str">
        <f>IFERROR(INDEX('Malzeme Tanımlama'!$D$5:$D$300,MATCH(D707,'Malzeme Tanımlama'!$A$5:$A$300,0)),"")</f>
        <v/>
      </c>
      <c r="I707" s="2"/>
      <c r="J707" s="2"/>
      <c r="K707" s="2"/>
    </row>
    <row r="708" spans="1:11" x14ac:dyDescent="0.3">
      <c r="A708" s="5" t="str">
        <f>IF(D708="","",COUNTIF($D$5:D708,"?*"))</f>
        <v/>
      </c>
      <c r="B708" s="6"/>
      <c r="C708" s="5" t="str">
        <f>IF(B708="","",INDEX({"Ocak","Şubat","Mart","Nisan","Mayıs","Haziran","Temmuz","Ağustos","Eylül","Ekim","Kasım","Aralık"},MONTH(B708)))</f>
        <v/>
      </c>
      <c r="D708" s="2"/>
      <c r="E708" s="5" t="str">
        <f>IFERROR(INDEX('Malzeme Tanımlama'!$B$5:$B$300,MATCH(D708,'Malzeme Tanımlama'!$A$5:$A$300,0)),"")</f>
        <v/>
      </c>
      <c r="F708" s="2"/>
      <c r="G708" s="5"/>
      <c r="H708" s="5" t="str">
        <f>IFERROR(INDEX('Malzeme Tanımlama'!$D$5:$D$300,MATCH(D708,'Malzeme Tanımlama'!$A$5:$A$300,0)),"")</f>
        <v/>
      </c>
      <c r="I708" s="2"/>
      <c r="J708" s="2"/>
      <c r="K708" s="2"/>
    </row>
    <row r="709" spans="1:11" x14ac:dyDescent="0.3">
      <c r="A709" s="5" t="str">
        <f>IF(D709="","",COUNTIF($D$5:D709,"?*"))</f>
        <v/>
      </c>
      <c r="B709" s="6"/>
      <c r="C709" s="5" t="str">
        <f>IF(B709="","",INDEX({"Ocak","Şubat","Mart","Nisan","Mayıs","Haziran","Temmuz","Ağustos","Eylül","Ekim","Kasım","Aralık"},MONTH(B709)))</f>
        <v/>
      </c>
      <c r="D709" s="2"/>
      <c r="E709" s="5" t="str">
        <f>IFERROR(INDEX('Malzeme Tanımlama'!$B$5:$B$300,MATCH(D709,'Malzeme Tanımlama'!$A$5:$A$300,0)),"")</f>
        <v/>
      </c>
      <c r="F709" s="2"/>
      <c r="G709" s="5"/>
      <c r="H709" s="5" t="str">
        <f>IFERROR(INDEX('Malzeme Tanımlama'!$D$5:$D$300,MATCH(D709,'Malzeme Tanımlama'!$A$5:$A$300,0)),"")</f>
        <v/>
      </c>
      <c r="I709" s="2"/>
      <c r="J709" s="2"/>
      <c r="K709" s="2"/>
    </row>
    <row r="710" spans="1:11" x14ac:dyDescent="0.3">
      <c r="A710" s="5" t="str">
        <f>IF(D710="","",COUNTIF($D$5:D710,"?*"))</f>
        <v/>
      </c>
      <c r="B710" s="6"/>
      <c r="C710" s="5" t="str">
        <f>IF(B710="","",INDEX({"Ocak","Şubat","Mart","Nisan","Mayıs","Haziran","Temmuz","Ağustos","Eylül","Ekim","Kasım","Aralık"},MONTH(B710)))</f>
        <v/>
      </c>
      <c r="D710" s="2"/>
      <c r="E710" s="5" t="str">
        <f>IFERROR(INDEX('Malzeme Tanımlama'!$B$5:$B$300,MATCH(D710,'Malzeme Tanımlama'!$A$5:$A$300,0)),"")</f>
        <v/>
      </c>
      <c r="F710" s="2"/>
      <c r="G710" s="5"/>
      <c r="H710" s="5" t="str">
        <f>IFERROR(INDEX('Malzeme Tanımlama'!$D$5:$D$300,MATCH(D710,'Malzeme Tanımlama'!$A$5:$A$300,0)),"")</f>
        <v/>
      </c>
      <c r="I710" s="2"/>
      <c r="J710" s="2"/>
      <c r="K710" s="2"/>
    </row>
    <row r="711" spans="1:11" x14ac:dyDescent="0.3">
      <c r="A711" s="5" t="str">
        <f>IF(D711="","",COUNTIF($D$5:D711,"?*"))</f>
        <v/>
      </c>
      <c r="B711" s="6"/>
      <c r="C711" s="5" t="str">
        <f>IF(B711="","",INDEX({"Ocak","Şubat","Mart","Nisan","Mayıs","Haziran","Temmuz","Ağustos","Eylül","Ekim","Kasım","Aralık"},MONTH(B711)))</f>
        <v/>
      </c>
      <c r="D711" s="2"/>
      <c r="E711" s="5" t="str">
        <f>IFERROR(INDEX('Malzeme Tanımlama'!$B$5:$B$300,MATCH(D711,'Malzeme Tanımlama'!$A$5:$A$300,0)),"")</f>
        <v/>
      </c>
      <c r="F711" s="2"/>
      <c r="G711" s="5"/>
      <c r="H711" s="5" t="str">
        <f>IFERROR(INDEX('Malzeme Tanımlama'!$D$5:$D$300,MATCH(D711,'Malzeme Tanımlama'!$A$5:$A$300,0)),"")</f>
        <v/>
      </c>
      <c r="I711" s="2"/>
      <c r="J711" s="2"/>
      <c r="K711" s="2"/>
    </row>
    <row r="712" spans="1:11" x14ac:dyDescent="0.3">
      <c r="A712" s="5" t="str">
        <f>IF(D712="","",COUNTIF($D$5:D712,"?*"))</f>
        <v/>
      </c>
      <c r="B712" s="6"/>
      <c r="C712" s="5" t="str">
        <f>IF(B712="","",INDEX({"Ocak","Şubat","Mart","Nisan","Mayıs","Haziran","Temmuz","Ağustos","Eylül","Ekim","Kasım","Aralık"},MONTH(B712)))</f>
        <v/>
      </c>
      <c r="D712" s="2"/>
      <c r="E712" s="5" t="str">
        <f>IFERROR(INDEX('Malzeme Tanımlama'!$B$5:$B$300,MATCH(D712,'Malzeme Tanımlama'!$A$5:$A$300,0)),"")</f>
        <v/>
      </c>
      <c r="F712" s="2"/>
      <c r="G712" s="5"/>
      <c r="H712" s="5" t="str">
        <f>IFERROR(INDEX('Malzeme Tanımlama'!$D$5:$D$300,MATCH(D712,'Malzeme Tanımlama'!$A$5:$A$300,0)),"")</f>
        <v/>
      </c>
      <c r="I712" s="2"/>
      <c r="J712" s="2"/>
      <c r="K712" s="2"/>
    </row>
    <row r="713" spans="1:11" x14ac:dyDescent="0.3">
      <c r="A713" s="5" t="str">
        <f>IF(D713="","",COUNTIF($D$5:D713,"?*"))</f>
        <v/>
      </c>
      <c r="B713" s="6"/>
      <c r="C713" s="5" t="str">
        <f>IF(B713="","",INDEX({"Ocak","Şubat","Mart","Nisan","Mayıs","Haziran","Temmuz","Ağustos","Eylül","Ekim","Kasım","Aralık"},MONTH(B713)))</f>
        <v/>
      </c>
      <c r="D713" s="2"/>
      <c r="E713" s="5" t="str">
        <f>IFERROR(INDEX('Malzeme Tanımlama'!$B$5:$B$300,MATCH(D713,'Malzeme Tanımlama'!$A$5:$A$300,0)),"")</f>
        <v/>
      </c>
      <c r="F713" s="2"/>
      <c r="G713" s="5"/>
      <c r="H713" s="5" t="str">
        <f>IFERROR(INDEX('Malzeme Tanımlama'!$D$5:$D$300,MATCH(D713,'Malzeme Tanımlama'!$A$5:$A$300,0)),"")</f>
        <v/>
      </c>
      <c r="I713" s="2"/>
      <c r="J713" s="2"/>
      <c r="K713" s="2"/>
    </row>
    <row r="714" spans="1:11" x14ac:dyDescent="0.3">
      <c r="A714" s="5" t="str">
        <f>IF(D714="","",COUNTIF($D$5:D714,"?*"))</f>
        <v/>
      </c>
      <c r="B714" s="6"/>
      <c r="C714" s="5" t="str">
        <f>IF(B714="","",INDEX({"Ocak","Şubat","Mart","Nisan","Mayıs","Haziran","Temmuz","Ağustos","Eylül","Ekim","Kasım","Aralık"},MONTH(B714)))</f>
        <v/>
      </c>
      <c r="D714" s="2"/>
      <c r="E714" s="5" t="str">
        <f>IFERROR(INDEX('Malzeme Tanımlama'!$B$5:$B$300,MATCH(D714,'Malzeme Tanımlama'!$A$5:$A$300,0)),"")</f>
        <v/>
      </c>
      <c r="F714" s="2"/>
      <c r="G714" s="5"/>
      <c r="H714" s="5" t="str">
        <f>IFERROR(INDEX('Malzeme Tanımlama'!$D$5:$D$300,MATCH(D714,'Malzeme Tanımlama'!$A$5:$A$300,0)),"")</f>
        <v/>
      </c>
      <c r="I714" s="2"/>
      <c r="J714" s="2"/>
      <c r="K714" s="2"/>
    </row>
    <row r="715" spans="1:11" x14ac:dyDescent="0.3">
      <c r="A715" s="5" t="str">
        <f>IF(D715="","",COUNTIF($D$5:D715,"?*"))</f>
        <v/>
      </c>
      <c r="B715" s="6"/>
      <c r="C715" s="5" t="str">
        <f>IF(B715="","",INDEX({"Ocak","Şubat","Mart","Nisan","Mayıs","Haziran","Temmuz","Ağustos","Eylül","Ekim","Kasım","Aralık"},MONTH(B715)))</f>
        <v/>
      </c>
      <c r="D715" s="2"/>
      <c r="E715" s="5" t="str">
        <f>IFERROR(INDEX('Malzeme Tanımlama'!$B$5:$B$300,MATCH(D715,'Malzeme Tanımlama'!$A$5:$A$300,0)),"")</f>
        <v/>
      </c>
      <c r="F715" s="2"/>
      <c r="G715" s="5"/>
      <c r="H715" s="5" t="str">
        <f>IFERROR(INDEX('Malzeme Tanımlama'!$D$5:$D$300,MATCH(D715,'Malzeme Tanımlama'!$A$5:$A$300,0)),"")</f>
        <v/>
      </c>
      <c r="I715" s="2"/>
      <c r="J715" s="2"/>
      <c r="K715" s="2"/>
    </row>
    <row r="716" spans="1:11" x14ac:dyDescent="0.3">
      <c r="A716" s="5" t="str">
        <f>IF(D716="","",COUNTIF($D$5:D716,"?*"))</f>
        <v/>
      </c>
      <c r="B716" s="6"/>
      <c r="C716" s="5" t="str">
        <f>IF(B716="","",INDEX({"Ocak","Şubat","Mart","Nisan","Mayıs","Haziran","Temmuz","Ağustos","Eylül","Ekim","Kasım","Aralık"},MONTH(B716)))</f>
        <v/>
      </c>
      <c r="D716" s="2"/>
      <c r="E716" s="5" t="str">
        <f>IFERROR(INDEX('Malzeme Tanımlama'!$B$5:$B$300,MATCH(D716,'Malzeme Tanımlama'!$A$5:$A$300,0)),"")</f>
        <v/>
      </c>
      <c r="F716" s="2"/>
      <c r="G716" s="5"/>
      <c r="H716" s="5" t="str">
        <f>IFERROR(INDEX('Malzeme Tanımlama'!$D$5:$D$300,MATCH(D716,'Malzeme Tanımlama'!$A$5:$A$300,0)),"")</f>
        <v/>
      </c>
      <c r="I716" s="2"/>
      <c r="J716" s="2"/>
      <c r="K716" s="2"/>
    </row>
    <row r="717" spans="1:11" x14ac:dyDescent="0.3">
      <c r="A717" s="5" t="str">
        <f>IF(D717="","",COUNTIF($D$5:D717,"?*"))</f>
        <v/>
      </c>
      <c r="B717" s="6"/>
      <c r="C717" s="5" t="str">
        <f>IF(B717="","",INDEX({"Ocak","Şubat","Mart","Nisan","Mayıs","Haziran","Temmuz","Ağustos","Eylül","Ekim","Kasım","Aralık"},MONTH(B717)))</f>
        <v/>
      </c>
      <c r="D717" s="2"/>
      <c r="E717" s="5" t="str">
        <f>IFERROR(INDEX('Malzeme Tanımlama'!$B$5:$B$300,MATCH(D717,'Malzeme Tanımlama'!$A$5:$A$300,0)),"")</f>
        <v/>
      </c>
      <c r="F717" s="2"/>
      <c r="G717" s="5"/>
      <c r="H717" s="5" t="str">
        <f>IFERROR(INDEX('Malzeme Tanımlama'!$D$5:$D$300,MATCH(D717,'Malzeme Tanımlama'!$A$5:$A$300,0)),"")</f>
        <v/>
      </c>
      <c r="I717" s="2"/>
      <c r="J717" s="2"/>
      <c r="K717" s="2"/>
    </row>
    <row r="718" spans="1:11" x14ac:dyDescent="0.3">
      <c r="A718" s="5" t="str">
        <f>IF(D718="","",COUNTIF($D$5:D718,"?*"))</f>
        <v/>
      </c>
      <c r="B718" s="6"/>
      <c r="C718" s="5" t="str">
        <f>IF(B718="","",INDEX({"Ocak","Şubat","Mart","Nisan","Mayıs","Haziran","Temmuz","Ağustos","Eylül","Ekim","Kasım","Aralık"},MONTH(B718)))</f>
        <v/>
      </c>
      <c r="D718" s="2"/>
      <c r="E718" s="5" t="str">
        <f>IFERROR(INDEX('Malzeme Tanımlama'!$B$5:$B$300,MATCH(D718,'Malzeme Tanımlama'!$A$5:$A$300,0)),"")</f>
        <v/>
      </c>
      <c r="F718" s="2"/>
      <c r="G718" s="5"/>
      <c r="H718" s="5" t="str">
        <f>IFERROR(INDEX('Malzeme Tanımlama'!$D$5:$D$300,MATCH(D718,'Malzeme Tanımlama'!$A$5:$A$300,0)),"")</f>
        <v/>
      </c>
      <c r="I718" s="2"/>
      <c r="J718" s="2"/>
      <c r="K718" s="2"/>
    </row>
    <row r="719" spans="1:11" x14ac:dyDescent="0.3">
      <c r="A719" s="5" t="str">
        <f>IF(D719="","",COUNTIF($D$5:D719,"?*"))</f>
        <v/>
      </c>
      <c r="B719" s="6"/>
      <c r="C719" s="5" t="str">
        <f>IF(B719="","",INDEX({"Ocak","Şubat","Mart","Nisan","Mayıs","Haziran","Temmuz","Ağustos","Eylül","Ekim","Kasım","Aralık"},MONTH(B719)))</f>
        <v/>
      </c>
      <c r="D719" s="2"/>
      <c r="E719" s="5" t="str">
        <f>IFERROR(INDEX('Malzeme Tanımlama'!$B$5:$B$300,MATCH(D719,'Malzeme Tanımlama'!$A$5:$A$300,0)),"")</f>
        <v/>
      </c>
      <c r="F719" s="2"/>
      <c r="G719" s="5"/>
      <c r="H719" s="5" t="str">
        <f>IFERROR(INDEX('Malzeme Tanımlama'!$D$5:$D$300,MATCH(D719,'Malzeme Tanımlama'!$A$5:$A$300,0)),"")</f>
        <v/>
      </c>
      <c r="I719" s="2"/>
      <c r="J719" s="2"/>
      <c r="K719" s="2"/>
    </row>
    <row r="720" spans="1:11" x14ac:dyDescent="0.3">
      <c r="A720" s="5" t="str">
        <f>IF(D720="","",COUNTIF($D$5:D720,"?*"))</f>
        <v/>
      </c>
      <c r="B720" s="6"/>
      <c r="C720" s="5" t="str">
        <f>IF(B720="","",INDEX({"Ocak","Şubat","Mart","Nisan","Mayıs","Haziran","Temmuz","Ağustos","Eylül","Ekim","Kasım","Aralık"},MONTH(B720)))</f>
        <v/>
      </c>
      <c r="D720" s="2"/>
      <c r="E720" s="5" t="str">
        <f>IFERROR(INDEX('Malzeme Tanımlama'!$B$5:$B$300,MATCH(D720,'Malzeme Tanımlama'!$A$5:$A$300,0)),"")</f>
        <v/>
      </c>
      <c r="F720" s="2"/>
      <c r="G720" s="5"/>
      <c r="H720" s="5" t="str">
        <f>IFERROR(INDEX('Malzeme Tanımlama'!$D$5:$D$300,MATCH(D720,'Malzeme Tanımlama'!$A$5:$A$300,0)),"")</f>
        <v/>
      </c>
      <c r="I720" s="2"/>
      <c r="J720" s="2"/>
      <c r="K720" s="2"/>
    </row>
    <row r="721" spans="1:11" x14ac:dyDescent="0.3">
      <c r="A721" s="5" t="str">
        <f>IF(D721="","",COUNTIF($D$5:D721,"?*"))</f>
        <v/>
      </c>
      <c r="B721" s="6"/>
      <c r="C721" s="5" t="str">
        <f>IF(B721="","",INDEX({"Ocak","Şubat","Mart","Nisan","Mayıs","Haziran","Temmuz","Ağustos","Eylül","Ekim","Kasım","Aralık"},MONTH(B721)))</f>
        <v/>
      </c>
      <c r="D721" s="2"/>
      <c r="E721" s="5" t="str">
        <f>IFERROR(INDEX('Malzeme Tanımlama'!$B$5:$B$300,MATCH(D721,'Malzeme Tanımlama'!$A$5:$A$300,0)),"")</f>
        <v/>
      </c>
      <c r="F721" s="2"/>
      <c r="G721" s="5"/>
      <c r="H721" s="5" t="str">
        <f>IFERROR(INDEX('Malzeme Tanımlama'!$D$5:$D$300,MATCH(D721,'Malzeme Tanımlama'!$A$5:$A$300,0)),"")</f>
        <v/>
      </c>
      <c r="I721" s="2"/>
      <c r="J721" s="2"/>
      <c r="K721" s="2"/>
    </row>
    <row r="722" spans="1:11" x14ac:dyDescent="0.3">
      <c r="A722" s="5" t="str">
        <f>IF(D722="","",COUNTIF($D$5:D722,"?*"))</f>
        <v/>
      </c>
      <c r="B722" s="6"/>
      <c r="C722" s="5" t="str">
        <f>IF(B722="","",INDEX({"Ocak","Şubat","Mart","Nisan","Mayıs","Haziran","Temmuz","Ağustos","Eylül","Ekim","Kasım","Aralık"},MONTH(B722)))</f>
        <v/>
      </c>
      <c r="D722" s="2"/>
      <c r="E722" s="5" t="str">
        <f>IFERROR(INDEX('Malzeme Tanımlama'!$B$5:$B$300,MATCH(D722,'Malzeme Tanımlama'!$A$5:$A$300,0)),"")</f>
        <v/>
      </c>
      <c r="F722" s="2"/>
      <c r="G722" s="5"/>
      <c r="H722" s="5" t="str">
        <f>IFERROR(INDEX('Malzeme Tanımlama'!$D$5:$D$300,MATCH(D722,'Malzeme Tanımlama'!$A$5:$A$300,0)),"")</f>
        <v/>
      </c>
      <c r="I722" s="2"/>
      <c r="J722" s="2"/>
      <c r="K722" s="2"/>
    </row>
    <row r="723" spans="1:11" x14ac:dyDescent="0.3">
      <c r="A723" s="5" t="str">
        <f>IF(D723="","",COUNTIF($D$5:D723,"?*"))</f>
        <v/>
      </c>
      <c r="B723" s="6"/>
      <c r="C723" s="5" t="str">
        <f>IF(B723="","",INDEX({"Ocak","Şubat","Mart","Nisan","Mayıs","Haziran","Temmuz","Ağustos","Eylül","Ekim","Kasım","Aralık"},MONTH(B723)))</f>
        <v/>
      </c>
      <c r="D723" s="2"/>
      <c r="E723" s="5" t="str">
        <f>IFERROR(INDEX('Malzeme Tanımlama'!$B$5:$B$300,MATCH(D723,'Malzeme Tanımlama'!$A$5:$A$300,0)),"")</f>
        <v/>
      </c>
      <c r="F723" s="2"/>
      <c r="G723" s="5"/>
      <c r="H723" s="5" t="str">
        <f>IFERROR(INDEX('Malzeme Tanımlama'!$D$5:$D$300,MATCH(D723,'Malzeme Tanımlama'!$A$5:$A$300,0)),"")</f>
        <v/>
      </c>
      <c r="I723" s="2"/>
      <c r="J723" s="2"/>
      <c r="K723" s="2"/>
    </row>
    <row r="724" spans="1:11" x14ac:dyDescent="0.3">
      <c r="A724" s="5" t="str">
        <f>IF(D724="","",COUNTIF($D$5:D724,"?*"))</f>
        <v/>
      </c>
      <c r="B724" s="6"/>
      <c r="C724" s="5" t="str">
        <f>IF(B724="","",INDEX({"Ocak","Şubat","Mart","Nisan","Mayıs","Haziran","Temmuz","Ağustos","Eylül","Ekim","Kasım","Aralık"},MONTH(B724)))</f>
        <v/>
      </c>
      <c r="D724" s="2"/>
      <c r="E724" s="5" t="str">
        <f>IFERROR(INDEX('Malzeme Tanımlama'!$B$5:$B$300,MATCH(D724,'Malzeme Tanımlama'!$A$5:$A$300,0)),"")</f>
        <v/>
      </c>
      <c r="F724" s="2"/>
      <c r="G724" s="5"/>
      <c r="H724" s="5" t="str">
        <f>IFERROR(INDEX('Malzeme Tanımlama'!$D$5:$D$300,MATCH(D724,'Malzeme Tanımlama'!$A$5:$A$300,0)),"")</f>
        <v/>
      </c>
      <c r="I724" s="2"/>
      <c r="J724" s="2"/>
      <c r="K724" s="2"/>
    </row>
    <row r="725" spans="1:11" x14ac:dyDescent="0.3">
      <c r="A725" s="5" t="str">
        <f>IF(D725="","",COUNTIF($D$5:D725,"?*"))</f>
        <v/>
      </c>
      <c r="B725" s="6"/>
      <c r="C725" s="5" t="str">
        <f>IF(B725="","",INDEX({"Ocak","Şubat","Mart","Nisan","Mayıs","Haziran","Temmuz","Ağustos","Eylül","Ekim","Kasım","Aralık"},MONTH(B725)))</f>
        <v/>
      </c>
      <c r="D725" s="2"/>
      <c r="E725" s="5" t="str">
        <f>IFERROR(INDEX('Malzeme Tanımlama'!$B$5:$B$300,MATCH(D725,'Malzeme Tanımlama'!$A$5:$A$300,0)),"")</f>
        <v/>
      </c>
      <c r="F725" s="2"/>
      <c r="G725" s="5"/>
      <c r="H725" s="5" t="str">
        <f>IFERROR(INDEX('Malzeme Tanımlama'!$D$5:$D$300,MATCH(D725,'Malzeme Tanımlama'!$A$5:$A$300,0)),"")</f>
        <v/>
      </c>
      <c r="I725" s="2"/>
      <c r="J725" s="2"/>
      <c r="K725" s="2"/>
    </row>
    <row r="726" spans="1:11" x14ac:dyDescent="0.3">
      <c r="A726" s="5" t="str">
        <f>IF(D726="","",COUNTIF($D$5:D726,"?*"))</f>
        <v/>
      </c>
      <c r="B726" s="6"/>
      <c r="C726" s="5" t="str">
        <f>IF(B726="","",INDEX({"Ocak","Şubat","Mart","Nisan","Mayıs","Haziran","Temmuz","Ağustos","Eylül","Ekim","Kasım","Aralık"},MONTH(B726)))</f>
        <v/>
      </c>
      <c r="D726" s="2"/>
      <c r="E726" s="5" t="str">
        <f>IFERROR(INDEX('Malzeme Tanımlama'!$B$5:$B$300,MATCH(D726,'Malzeme Tanımlama'!$A$5:$A$300,0)),"")</f>
        <v/>
      </c>
      <c r="F726" s="2"/>
      <c r="G726" s="5"/>
      <c r="H726" s="5" t="str">
        <f>IFERROR(INDEX('Malzeme Tanımlama'!$D$5:$D$300,MATCH(D726,'Malzeme Tanımlama'!$A$5:$A$300,0)),"")</f>
        <v/>
      </c>
      <c r="I726" s="2"/>
      <c r="J726" s="2"/>
      <c r="K726" s="2"/>
    </row>
    <row r="727" spans="1:11" x14ac:dyDescent="0.3">
      <c r="A727" s="5" t="str">
        <f>IF(D727="","",COUNTIF($D$5:D727,"?*"))</f>
        <v/>
      </c>
      <c r="B727" s="6"/>
      <c r="C727" s="5" t="str">
        <f>IF(B727="","",INDEX({"Ocak","Şubat","Mart","Nisan","Mayıs","Haziran","Temmuz","Ağustos","Eylül","Ekim","Kasım","Aralık"},MONTH(B727)))</f>
        <v/>
      </c>
      <c r="D727" s="2"/>
      <c r="E727" s="5" t="str">
        <f>IFERROR(INDEX('Malzeme Tanımlama'!$B$5:$B$300,MATCH(D727,'Malzeme Tanımlama'!$A$5:$A$300,0)),"")</f>
        <v/>
      </c>
      <c r="F727" s="2"/>
      <c r="G727" s="5"/>
      <c r="H727" s="5" t="str">
        <f>IFERROR(INDEX('Malzeme Tanımlama'!$D$5:$D$300,MATCH(D727,'Malzeme Tanımlama'!$A$5:$A$300,0)),"")</f>
        <v/>
      </c>
      <c r="I727" s="2"/>
      <c r="J727" s="2"/>
      <c r="K727" s="2"/>
    </row>
    <row r="728" spans="1:11" x14ac:dyDescent="0.3">
      <c r="A728" s="5" t="str">
        <f>IF(D728="","",COUNTIF($D$5:D728,"?*"))</f>
        <v/>
      </c>
      <c r="B728" s="6"/>
      <c r="C728" s="5" t="str">
        <f>IF(B728="","",INDEX({"Ocak","Şubat","Mart","Nisan","Mayıs","Haziran","Temmuz","Ağustos","Eylül","Ekim","Kasım","Aralık"},MONTH(B728)))</f>
        <v/>
      </c>
      <c r="D728" s="2"/>
      <c r="E728" s="5" t="str">
        <f>IFERROR(INDEX('Malzeme Tanımlama'!$B$5:$B$300,MATCH(D728,'Malzeme Tanımlama'!$A$5:$A$300,0)),"")</f>
        <v/>
      </c>
      <c r="F728" s="2"/>
      <c r="G728" s="5"/>
      <c r="H728" s="5" t="str">
        <f>IFERROR(INDEX('Malzeme Tanımlama'!$D$5:$D$300,MATCH(D728,'Malzeme Tanımlama'!$A$5:$A$300,0)),"")</f>
        <v/>
      </c>
      <c r="I728" s="2"/>
      <c r="J728" s="2"/>
      <c r="K728" s="2"/>
    </row>
    <row r="729" spans="1:11" x14ac:dyDescent="0.3">
      <c r="A729" s="5" t="str">
        <f>IF(D729="","",COUNTIF($D$5:D729,"?*"))</f>
        <v/>
      </c>
      <c r="B729" s="6"/>
      <c r="C729" s="5" t="str">
        <f>IF(B729="","",INDEX({"Ocak","Şubat","Mart","Nisan","Mayıs","Haziran","Temmuz","Ağustos","Eylül","Ekim","Kasım","Aralık"},MONTH(B729)))</f>
        <v/>
      </c>
      <c r="D729" s="2"/>
      <c r="E729" s="5" t="str">
        <f>IFERROR(INDEX('Malzeme Tanımlama'!$B$5:$B$300,MATCH(D729,'Malzeme Tanımlama'!$A$5:$A$300,0)),"")</f>
        <v/>
      </c>
      <c r="F729" s="2"/>
      <c r="G729" s="5"/>
      <c r="H729" s="5" t="str">
        <f>IFERROR(INDEX('Malzeme Tanımlama'!$D$5:$D$300,MATCH(D729,'Malzeme Tanımlama'!$A$5:$A$300,0)),"")</f>
        <v/>
      </c>
      <c r="I729" s="2"/>
      <c r="J729" s="2"/>
      <c r="K729" s="2"/>
    </row>
    <row r="730" spans="1:11" x14ac:dyDescent="0.3">
      <c r="A730" s="5" t="str">
        <f>IF(D730="","",COUNTIF($D$5:D730,"?*"))</f>
        <v/>
      </c>
      <c r="B730" s="6"/>
      <c r="C730" s="5" t="str">
        <f>IF(B730="","",INDEX({"Ocak","Şubat","Mart","Nisan","Mayıs","Haziran","Temmuz","Ağustos","Eylül","Ekim","Kasım","Aralık"},MONTH(B730)))</f>
        <v/>
      </c>
      <c r="D730" s="2"/>
      <c r="E730" s="5" t="str">
        <f>IFERROR(INDEX('Malzeme Tanımlama'!$B$5:$B$300,MATCH(D730,'Malzeme Tanımlama'!$A$5:$A$300,0)),"")</f>
        <v/>
      </c>
      <c r="F730" s="2"/>
      <c r="G730" s="5"/>
      <c r="H730" s="5" t="str">
        <f>IFERROR(INDEX('Malzeme Tanımlama'!$D$5:$D$300,MATCH(D730,'Malzeme Tanımlama'!$A$5:$A$300,0)),"")</f>
        <v/>
      </c>
      <c r="I730" s="2"/>
      <c r="J730" s="2"/>
      <c r="K730" s="2"/>
    </row>
    <row r="731" spans="1:11" x14ac:dyDescent="0.3">
      <c r="A731" s="5" t="str">
        <f>IF(D731="","",COUNTIF($D$5:D731,"?*"))</f>
        <v/>
      </c>
      <c r="B731" s="6"/>
      <c r="C731" s="5" t="str">
        <f>IF(B731="","",INDEX({"Ocak","Şubat","Mart","Nisan","Mayıs","Haziran","Temmuz","Ağustos","Eylül","Ekim","Kasım","Aralık"},MONTH(B731)))</f>
        <v/>
      </c>
      <c r="D731" s="2"/>
      <c r="E731" s="5" t="str">
        <f>IFERROR(INDEX('Malzeme Tanımlama'!$B$5:$B$300,MATCH(D731,'Malzeme Tanımlama'!$A$5:$A$300,0)),"")</f>
        <v/>
      </c>
      <c r="F731" s="2"/>
      <c r="G731" s="5"/>
      <c r="H731" s="5" t="str">
        <f>IFERROR(INDEX('Malzeme Tanımlama'!$D$5:$D$300,MATCH(D731,'Malzeme Tanımlama'!$A$5:$A$300,0)),"")</f>
        <v/>
      </c>
      <c r="I731" s="2"/>
      <c r="J731" s="2"/>
      <c r="K731" s="2"/>
    </row>
    <row r="732" spans="1:11" x14ac:dyDescent="0.3">
      <c r="A732" s="5" t="str">
        <f>IF(D732="","",COUNTIF($D$5:D732,"?*"))</f>
        <v/>
      </c>
      <c r="B732" s="6"/>
      <c r="C732" s="5" t="str">
        <f>IF(B732="","",INDEX({"Ocak","Şubat","Mart","Nisan","Mayıs","Haziran","Temmuz","Ağustos","Eylül","Ekim","Kasım","Aralık"},MONTH(B732)))</f>
        <v/>
      </c>
      <c r="D732" s="2"/>
      <c r="E732" s="5" t="str">
        <f>IFERROR(INDEX('Malzeme Tanımlama'!$B$5:$B$300,MATCH(D732,'Malzeme Tanımlama'!$A$5:$A$300,0)),"")</f>
        <v/>
      </c>
      <c r="F732" s="2"/>
      <c r="G732" s="5"/>
      <c r="H732" s="5" t="str">
        <f>IFERROR(INDEX('Malzeme Tanımlama'!$D$5:$D$300,MATCH(D732,'Malzeme Tanımlama'!$A$5:$A$300,0)),"")</f>
        <v/>
      </c>
      <c r="I732" s="2"/>
      <c r="J732" s="2"/>
      <c r="K732" s="2"/>
    </row>
    <row r="733" spans="1:11" x14ac:dyDescent="0.3">
      <c r="A733" s="5" t="str">
        <f>IF(D733="","",COUNTIF($D$5:D733,"?*"))</f>
        <v/>
      </c>
      <c r="B733" s="6"/>
      <c r="C733" s="5" t="str">
        <f>IF(B733="","",INDEX({"Ocak","Şubat","Mart","Nisan","Mayıs","Haziran","Temmuz","Ağustos","Eylül","Ekim","Kasım","Aralık"},MONTH(B733)))</f>
        <v/>
      </c>
      <c r="D733" s="2"/>
      <c r="E733" s="5" t="str">
        <f>IFERROR(INDEX('Malzeme Tanımlama'!$B$5:$B$300,MATCH(D733,'Malzeme Tanımlama'!$A$5:$A$300,0)),"")</f>
        <v/>
      </c>
      <c r="F733" s="2"/>
      <c r="G733" s="5"/>
      <c r="H733" s="5" t="str">
        <f>IFERROR(INDEX('Malzeme Tanımlama'!$D$5:$D$300,MATCH(D733,'Malzeme Tanımlama'!$A$5:$A$300,0)),"")</f>
        <v/>
      </c>
      <c r="I733" s="2"/>
      <c r="J733" s="2"/>
      <c r="K733" s="2"/>
    </row>
    <row r="734" spans="1:11" x14ac:dyDescent="0.3">
      <c r="A734" s="5" t="str">
        <f>IF(D734="","",COUNTIF($D$5:D734,"?*"))</f>
        <v/>
      </c>
      <c r="B734" s="6"/>
      <c r="C734" s="5" t="str">
        <f>IF(B734="","",INDEX({"Ocak","Şubat","Mart","Nisan","Mayıs","Haziran","Temmuz","Ağustos","Eylül","Ekim","Kasım","Aralık"},MONTH(B734)))</f>
        <v/>
      </c>
      <c r="D734" s="2"/>
      <c r="E734" s="5" t="str">
        <f>IFERROR(INDEX('Malzeme Tanımlama'!$B$5:$B$300,MATCH(D734,'Malzeme Tanımlama'!$A$5:$A$300,0)),"")</f>
        <v/>
      </c>
      <c r="F734" s="2"/>
      <c r="G734" s="5"/>
      <c r="H734" s="5" t="str">
        <f>IFERROR(INDEX('Malzeme Tanımlama'!$D$5:$D$300,MATCH(D734,'Malzeme Tanımlama'!$A$5:$A$300,0)),"")</f>
        <v/>
      </c>
      <c r="I734" s="2"/>
      <c r="J734" s="2"/>
      <c r="K734" s="2"/>
    </row>
    <row r="735" spans="1:11" x14ac:dyDescent="0.3">
      <c r="A735" s="5" t="str">
        <f>IF(D735="","",COUNTIF($D$5:D735,"?*"))</f>
        <v/>
      </c>
      <c r="B735" s="6"/>
      <c r="C735" s="5" t="str">
        <f>IF(B735="","",INDEX({"Ocak","Şubat","Mart","Nisan","Mayıs","Haziran","Temmuz","Ağustos","Eylül","Ekim","Kasım","Aralık"},MONTH(B735)))</f>
        <v/>
      </c>
      <c r="D735" s="2"/>
      <c r="E735" s="5" t="str">
        <f>IFERROR(INDEX('Malzeme Tanımlama'!$B$5:$B$300,MATCH(D735,'Malzeme Tanımlama'!$A$5:$A$300,0)),"")</f>
        <v/>
      </c>
      <c r="F735" s="2"/>
      <c r="G735" s="5"/>
      <c r="H735" s="5" t="str">
        <f>IFERROR(INDEX('Malzeme Tanımlama'!$D$5:$D$300,MATCH(D735,'Malzeme Tanımlama'!$A$5:$A$300,0)),"")</f>
        <v/>
      </c>
      <c r="I735" s="2"/>
      <c r="J735" s="2"/>
      <c r="K735" s="2"/>
    </row>
    <row r="736" spans="1:11" x14ac:dyDescent="0.3">
      <c r="A736" s="5" t="str">
        <f>IF(D736="","",COUNTIF($D$5:D736,"?*"))</f>
        <v/>
      </c>
      <c r="B736" s="6"/>
      <c r="C736" s="5" t="str">
        <f>IF(B736="","",INDEX({"Ocak","Şubat","Mart","Nisan","Mayıs","Haziran","Temmuz","Ağustos","Eylül","Ekim","Kasım","Aralık"},MONTH(B736)))</f>
        <v/>
      </c>
      <c r="D736" s="2"/>
      <c r="E736" s="5" t="str">
        <f>IFERROR(INDEX('Malzeme Tanımlama'!$B$5:$B$300,MATCH(D736,'Malzeme Tanımlama'!$A$5:$A$300,0)),"")</f>
        <v/>
      </c>
      <c r="F736" s="2"/>
      <c r="G736" s="5"/>
      <c r="H736" s="5" t="str">
        <f>IFERROR(INDEX('Malzeme Tanımlama'!$D$5:$D$300,MATCH(D736,'Malzeme Tanımlama'!$A$5:$A$300,0)),"")</f>
        <v/>
      </c>
      <c r="I736" s="2"/>
      <c r="J736" s="2"/>
      <c r="K736" s="2"/>
    </row>
    <row r="737" spans="1:11" x14ac:dyDescent="0.3">
      <c r="A737" s="5" t="str">
        <f>IF(D737="","",COUNTIF($D$5:D737,"?*"))</f>
        <v/>
      </c>
      <c r="B737" s="6"/>
      <c r="C737" s="5" t="str">
        <f>IF(B737="","",INDEX({"Ocak","Şubat","Mart","Nisan","Mayıs","Haziran","Temmuz","Ağustos","Eylül","Ekim","Kasım","Aralık"},MONTH(B737)))</f>
        <v/>
      </c>
      <c r="D737" s="2"/>
      <c r="E737" s="5" t="str">
        <f>IFERROR(INDEX('Malzeme Tanımlama'!$B$5:$B$300,MATCH(D737,'Malzeme Tanımlama'!$A$5:$A$300,0)),"")</f>
        <v/>
      </c>
      <c r="F737" s="2"/>
      <c r="G737" s="5"/>
      <c r="H737" s="5" t="str">
        <f>IFERROR(INDEX('Malzeme Tanımlama'!$D$5:$D$300,MATCH(D737,'Malzeme Tanımlama'!$A$5:$A$300,0)),"")</f>
        <v/>
      </c>
      <c r="I737" s="2"/>
      <c r="J737" s="2"/>
      <c r="K737" s="2"/>
    </row>
    <row r="738" spans="1:11" x14ac:dyDescent="0.3">
      <c r="A738" s="5" t="str">
        <f>IF(D738="","",COUNTIF($D$5:D738,"?*"))</f>
        <v/>
      </c>
      <c r="B738" s="6"/>
      <c r="C738" s="5" t="str">
        <f>IF(B738="","",INDEX({"Ocak","Şubat","Mart","Nisan","Mayıs","Haziran","Temmuz","Ağustos","Eylül","Ekim","Kasım","Aralık"},MONTH(B738)))</f>
        <v/>
      </c>
      <c r="D738" s="2"/>
      <c r="E738" s="5" t="str">
        <f>IFERROR(INDEX('Malzeme Tanımlama'!$B$5:$B$300,MATCH(D738,'Malzeme Tanımlama'!$A$5:$A$300,0)),"")</f>
        <v/>
      </c>
      <c r="F738" s="2"/>
      <c r="G738" s="5"/>
      <c r="H738" s="5" t="str">
        <f>IFERROR(INDEX('Malzeme Tanımlama'!$D$5:$D$300,MATCH(D738,'Malzeme Tanımlama'!$A$5:$A$300,0)),"")</f>
        <v/>
      </c>
      <c r="I738" s="2"/>
      <c r="J738" s="2"/>
      <c r="K738" s="2"/>
    </row>
    <row r="739" spans="1:11" x14ac:dyDescent="0.3">
      <c r="A739" s="5" t="str">
        <f>IF(D739="","",COUNTIF($D$5:D739,"?*"))</f>
        <v/>
      </c>
      <c r="B739" s="6"/>
      <c r="C739" s="5" t="str">
        <f>IF(B739="","",INDEX({"Ocak","Şubat","Mart","Nisan","Mayıs","Haziran","Temmuz","Ağustos","Eylül","Ekim","Kasım","Aralık"},MONTH(B739)))</f>
        <v/>
      </c>
      <c r="D739" s="2"/>
      <c r="E739" s="5" t="str">
        <f>IFERROR(INDEX('Malzeme Tanımlama'!$B$5:$B$300,MATCH(D739,'Malzeme Tanımlama'!$A$5:$A$300,0)),"")</f>
        <v/>
      </c>
      <c r="F739" s="2"/>
      <c r="G739" s="5"/>
      <c r="H739" s="5" t="str">
        <f>IFERROR(INDEX('Malzeme Tanımlama'!$D$5:$D$300,MATCH(D739,'Malzeme Tanımlama'!$A$5:$A$300,0)),"")</f>
        <v/>
      </c>
      <c r="I739" s="2"/>
      <c r="J739" s="2"/>
      <c r="K739" s="2"/>
    </row>
    <row r="740" spans="1:11" x14ac:dyDescent="0.3">
      <c r="A740" s="5" t="str">
        <f>IF(D740="","",COUNTIF($D$5:D740,"?*"))</f>
        <v/>
      </c>
      <c r="B740" s="6"/>
      <c r="C740" s="5" t="str">
        <f>IF(B740="","",INDEX({"Ocak","Şubat","Mart","Nisan","Mayıs","Haziran","Temmuz","Ağustos","Eylül","Ekim","Kasım","Aralık"},MONTH(B740)))</f>
        <v/>
      </c>
      <c r="D740" s="2"/>
      <c r="E740" s="5" t="str">
        <f>IFERROR(INDEX('Malzeme Tanımlama'!$B$5:$B$300,MATCH(D740,'Malzeme Tanımlama'!$A$5:$A$300,0)),"")</f>
        <v/>
      </c>
      <c r="F740" s="2"/>
      <c r="G740" s="5"/>
      <c r="H740" s="5" t="str">
        <f>IFERROR(INDEX('Malzeme Tanımlama'!$D$5:$D$300,MATCH(D740,'Malzeme Tanımlama'!$A$5:$A$300,0)),"")</f>
        <v/>
      </c>
      <c r="I740" s="2"/>
      <c r="J740" s="2"/>
      <c r="K740" s="2"/>
    </row>
    <row r="741" spans="1:11" x14ac:dyDescent="0.3">
      <c r="A741" s="5" t="str">
        <f>IF(D741="","",COUNTIF($D$5:D741,"?*"))</f>
        <v/>
      </c>
      <c r="B741" s="6"/>
      <c r="C741" s="5" t="str">
        <f>IF(B741="","",INDEX({"Ocak","Şubat","Mart","Nisan","Mayıs","Haziran","Temmuz","Ağustos","Eylül","Ekim","Kasım","Aralık"},MONTH(B741)))</f>
        <v/>
      </c>
      <c r="D741" s="2"/>
      <c r="E741" s="5" t="str">
        <f>IFERROR(INDEX('Malzeme Tanımlama'!$B$5:$B$300,MATCH(D741,'Malzeme Tanımlama'!$A$5:$A$300,0)),"")</f>
        <v/>
      </c>
      <c r="F741" s="2"/>
      <c r="G741" s="5"/>
      <c r="H741" s="5" t="str">
        <f>IFERROR(INDEX('Malzeme Tanımlama'!$D$5:$D$300,MATCH(D741,'Malzeme Tanımlama'!$A$5:$A$300,0)),"")</f>
        <v/>
      </c>
      <c r="I741" s="2"/>
      <c r="J741" s="2"/>
      <c r="K741" s="2"/>
    </row>
    <row r="742" spans="1:11" x14ac:dyDescent="0.3">
      <c r="A742" s="5" t="str">
        <f>IF(D742="","",COUNTIF($D$5:D742,"?*"))</f>
        <v/>
      </c>
      <c r="B742" s="6"/>
      <c r="C742" s="5" t="str">
        <f>IF(B742="","",INDEX({"Ocak","Şubat","Mart","Nisan","Mayıs","Haziran","Temmuz","Ağustos","Eylül","Ekim","Kasım","Aralık"},MONTH(B742)))</f>
        <v/>
      </c>
      <c r="D742" s="2"/>
      <c r="E742" s="5" t="str">
        <f>IFERROR(INDEX('Malzeme Tanımlama'!$B$5:$B$300,MATCH(D742,'Malzeme Tanımlama'!$A$5:$A$300,0)),"")</f>
        <v/>
      </c>
      <c r="F742" s="2"/>
      <c r="G742" s="5"/>
      <c r="H742" s="5" t="str">
        <f>IFERROR(INDEX('Malzeme Tanımlama'!$D$5:$D$300,MATCH(D742,'Malzeme Tanımlama'!$A$5:$A$300,0)),"")</f>
        <v/>
      </c>
      <c r="I742" s="2"/>
      <c r="J742" s="2"/>
      <c r="K742" s="2"/>
    </row>
    <row r="743" spans="1:11" x14ac:dyDescent="0.3">
      <c r="A743" s="5" t="str">
        <f>IF(D743="","",COUNTIF($D$5:D743,"?*"))</f>
        <v/>
      </c>
      <c r="B743" s="6"/>
      <c r="C743" s="5" t="str">
        <f>IF(B743="","",INDEX({"Ocak","Şubat","Mart","Nisan","Mayıs","Haziran","Temmuz","Ağustos","Eylül","Ekim","Kasım","Aralık"},MONTH(B743)))</f>
        <v/>
      </c>
      <c r="D743" s="2"/>
      <c r="E743" s="5" t="str">
        <f>IFERROR(INDEX('Malzeme Tanımlama'!$B$5:$B$300,MATCH(D743,'Malzeme Tanımlama'!$A$5:$A$300,0)),"")</f>
        <v/>
      </c>
      <c r="F743" s="2"/>
      <c r="G743" s="5"/>
      <c r="H743" s="5" t="str">
        <f>IFERROR(INDEX('Malzeme Tanımlama'!$D$5:$D$300,MATCH(D743,'Malzeme Tanımlama'!$A$5:$A$300,0)),"")</f>
        <v/>
      </c>
      <c r="I743" s="2"/>
      <c r="J743" s="2"/>
      <c r="K743" s="2"/>
    </row>
    <row r="744" spans="1:11" x14ac:dyDescent="0.3">
      <c r="A744" s="5" t="str">
        <f>IF(D744="","",COUNTIF($D$5:D744,"?*"))</f>
        <v/>
      </c>
      <c r="B744" s="6"/>
      <c r="C744" s="5" t="str">
        <f>IF(B744="","",INDEX({"Ocak","Şubat","Mart","Nisan","Mayıs","Haziran","Temmuz","Ağustos","Eylül","Ekim","Kasım","Aralık"},MONTH(B744)))</f>
        <v/>
      </c>
      <c r="D744" s="2"/>
      <c r="E744" s="5" t="str">
        <f>IFERROR(INDEX('Malzeme Tanımlama'!$B$5:$B$300,MATCH(D744,'Malzeme Tanımlama'!$A$5:$A$300,0)),"")</f>
        <v/>
      </c>
      <c r="F744" s="2"/>
      <c r="G744" s="5"/>
      <c r="H744" s="5" t="str">
        <f>IFERROR(INDEX('Malzeme Tanımlama'!$D$5:$D$300,MATCH(D744,'Malzeme Tanımlama'!$A$5:$A$300,0)),"")</f>
        <v/>
      </c>
      <c r="I744" s="2"/>
      <c r="J744" s="2"/>
      <c r="K744" s="2"/>
    </row>
    <row r="745" spans="1:11" x14ac:dyDescent="0.3">
      <c r="A745" s="5" t="str">
        <f>IF(D745="","",COUNTIF($D$5:D745,"?*"))</f>
        <v/>
      </c>
      <c r="B745" s="6"/>
      <c r="C745" s="5" t="str">
        <f>IF(B745="","",INDEX({"Ocak","Şubat","Mart","Nisan","Mayıs","Haziran","Temmuz","Ağustos","Eylül","Ekim","Kasım","Aralık"},MONTH(B745)))</f>
        <v/>
      </c>
      <c r="D745" s="2"/>
      <c r="E745" s="5" t="str">
        <f>IFERROR(INDEX('Malzeme Tanımlama'!$B$5:$B$300,MATCH(D745,'Malzeme Tanımlama'!$A$5:$A$300,0)),"")</f>
        <v/>
      </c>
      <c r="F745" s="2"/>
      <c r="G745" s="5"/>
      <c r="H745" s="5" t="str">
        <f>IFERROR(INDEX('Malzeme Tanımlama'!$D$5:$D$300,MATCH(D745,'Malzeme Tanımlama'!$A$5:$A$300,0)),"")</f>
        <v/>
      </c>
      <c r="I745" s="2"/>
      <c r="J745" s="2"/>
      <c r="K745" s="2"/>
    </row>
    <row r="746" spans="1:11" x14ac:dyDescent="0.3">
      <c r="A746" s="5" t="str">
        <f>IF(D746="","",COUNTIF($D$5:D746,"?*"))</f>
        <v/>
      </c>
      <c r="B746" s="6"/>
      <c r="C746" s="5" t="str">
        <f>IF(B746="","",INDEX({"Ocak","Şubat","Mart","Nisan","Mayıs","Haziran","Temmuz","Ağustos","Eylül","Ekim","Kasım","Aralık"},MONTH(B746)))</f>
        <v/>
      </c>
      <c r="D746" s="2"/>
      <c r="E746" s="5" t="str">
        <f>IFERROR(INDEX('Malzeme Tanımlama'!$B$5:$B$300,MATCH(D746,'Malzeme Tanımlama'!$A$5:$A$300,0)),"")</f>
        <v/>
      </c>
      <c r="F746" s="2"/>
      <c r="G746" s="5"/>
      <c r="H746" s="5" t="str">
        <f>IFERROR(INDEX('Malzeme Tanımlama'!$D$5:$D$300,MATCH(D746,'Malzeme Tanımlama'!$A$5:$A$300,0)),"")</f>
        <v/>
      </c>
      <c r="I746" s="2"/>
      <c r="J746" s="2"/>
      <c r="K746" s="2"/>
    </row>
    <row r="747" spans="1:11" x14ac:dyDescent="0.3">
      <c r="A747" s="5" t="str">
        <f>IF(D747="","",COUNTIF($D$5:D747,"?*"))</f>
        <v/>
      </c>
      <c r="B747" s="6"/>
      <c r="C747" s="5" t="str">
        <f>IF(B747="","",INDEX({"Ocak","Şubat","Mart","Nisan","Mayıs","Haziran","Temmuz","Ağustos","Eylül","Ekim","Kasım","Aralık"},MONTH(B747)))</f>
        <v/>
      </c>
      <c r="D747" s="2"/>
      <c r="E747" s="5" t="str">
        <f>IFERROR(INDEX('Malzeme Tanımlama'!$B$5:$B$300,MATCH(D747,'Malzeme Tanımlama'!$A$5:$A$300,0)),"")</f>
        <v/>
      </c>
      <c r="F747" s="2"/>
      <c r="G747" s="5"/>
      <c r="H747" s="5" t="str">
        <f>IFERROR(INDEX('Malzeme Tanımlama'!$D$5:$D$300,MATCH(D747,'Malzeme Tanımlama'!$A$5:$A$300,0)),"")</f>
        <v/>
      </c>
      <c r="I747" s="2"/>
      <c r="J747" s="2"/>
      <c r="K747" s="2"/>
    </row>
    <row r="748" spans="1:11" x14ac:dyDescent="0.3">
      <c r="A748" s="5" t="str">
        <f>IF(D748="","",COUNTIF($D$5:D748,"?*"))</f>
        <v/>
      </c>
      <c r="B748" s="6"/>
      <c r="C748" s="5" t="str">
        <f>IF(B748="","",INDEX({"Ocak","Şubat","Mart","Nisan","Mayıs","Haziran","Temmuz","Ağustos","Eylül","Ekim","Kasım","Aralık"},MONTH(B748)))</f>
        <v/>
      </c>
      <c r="D748" s="2"/>
      <c r="E748" s="5" t="str">
        <f>IFERROR(INDEX('Malzeme Tanımlama'!$B$5:$B$300,MATCH(D748,'Malzeme Tanımlama'!$A$5:$A$300,0)),"")</f>
        <v/>
      </c>
      <c r="F748" s="2"/>
      <c r="G748" s="5"/>
      <c r="H748" s="5" t="str">
        <f>IFERROR(INDEX('Malzeme Tanımlama'!$D$5:$D$300,MATCH(D748,'Malzeme Tanımlama'!$A$5:$A$300,0)),"")</f>
        <v/>
      </c>
      <c r="I748" s="2"/>
      <c r="J748" s="2"/>
      <c r="K748" s="2"/>
    </row>
    <row r="749" spans="1:11" x14ac:dyDescent="0.3">
      <c r="A749" s="5" t="str">
        <f>IF(D749="","",COUNTIF($D$5:D749,"?*"))</f>
        <v/>
      </c>
      <c r="B749" s="6"/>
      <c r="C749" s="5" t="str">
        <f>IF(B749="","",INDEX({"Ocak","Şubat","Mart","Nisan","Mayıs","Haziran","Temmuz","Ağustos","Eylül","Ekim","Kasım","Aralık"},MONTH(B749)))</f>
        <v/>
      </c>
      <c r="D749" s="2"/>
      <c r="E749" s="5" t="str">
        <f>IFERROR(INDEX('Malzeme Tanımlama'!$B$5:$B$300,MATCH(D749,'Malzeme Tanımlama'!$A$5:$A$300,0)),"")</f>
        <v/>
      </c>
      <c r="F749" s="2"/>
      <c r="G749" s="5"/>
      <c r="H749" s="5" t="str">
        <f>IFERROR(INDEX('Malzeme Tanımlama'!$D$5:$D$300,MATCH(D749,'Malzeme Tanımlama'!$A$5:$A$300,0)),"")</f>
        <v/>
      </c>
      <c r="I749" s="2"/>
      <c r="J749" s="2"/>
      <c r="K749" s="2"/>
    </row>
    <row r="750" spans="1:11" x14ac:dyDescent="0.3">
      <c r="A750" s="5" t="str">
        <f>IF(D750="","",COUNTIF($D$5:D750,"?*"))</f>
        <v/>
      </c>
      <c r="B750" s="6"/>
      <c r="C750" s="5" t="str">
        <f>IF(B750="","",INDEX({"Ocak","Şubat","Mart","Nisan","Mayıs","Haziran","Temmuz","Ağustos","Eylül","Ekim","Kasım","Aralık"},MONTH(B750)))</f>
        <v/>
      </c>
      <c r="D750" s="2"/>
      <c r="E750" s="5" t="str">
        <f>IFERROR(INDEX('Malzeme Tanımlama'!$B$5:$B$300,MATCH(D750,'Malzeme Tanımlama'!$A$5:$A$300,0)),"")</f>
        <v/>
      </c>
      <c r="F750" s="2"/>
      <c r="G750" s="5"/>
      <c r="H750" s="5" t="str">
        <f>IFERROR(INDEX('Malzeme Tanımlama'!$D$5:$D$300,MATCH(D750,'Malzeme Tanımlama'!$A$5:$A$300,0)),"")</f>
        <v/>
      </c>
      <c r="I750" s="2"/>
      <c r="J750" s="2"/>
      <c r="K750" s="2"/>
    </row>
    <row r="751" spans="1:11" x14ac:dyDescent="0.3">
      <c r="A751" s="5" t="str">
        <f>IF(D751="","",COUNTIF($D$5:D751,"?*"))</f>
        <v/>
      </c>
      <c r="B751" s="6"/>
      <c r="C751" s="5" t="str">
        <f>IF(B751="","",INDEX({"Ocak","Şubat","Mart","Nisan","Mayıs","Haziran","Temmuz","Ağustos","Eylül","Ekim","Kasım","Aralık"},MONTH(B751)))</f>
        <v/>
      </c>
      <c r="D751" s="2"/>
      <c r="E751" s="5" t="str">
        <f>IFERROR(INDEX('Malzeme Tanımlama'!$B$5:$B$300,MATCH(D751,'Malzeme Tanımlama'!$A$5:$A$300,0)),"")</f>
        <v/>
      </c>
      <c r="F751" s="2"/>
      <c r="G751" s="5"/>
      <c r="H751" s="5" t="str">
        <f>IFERROR(INDEX('Malzeme Tanımlama'!$D$5:$D$300,MATCH(D751,'Malzeme Tanımlama'!$A$5:$A$300,0)),"")</f>
        <v/>
      </c>
      <c r="I751" s="2"/>
      <c r="J751" s="2"/>
      <c r="K751" s="2"/>
    </row>
    <row r="752" spans="1:11" x14ac:dyDescent="0.3">
      <c r="A752" s="5" t="str">
        <f>IF(D752="","",COUNTIF($D$5:D752,"?*"))</f>
        <v/>
      </c>
      <c r="B752" s="6"/>
      <c r="C752" s="5" t="str">
        <f>IF(B752="","",INDEX({"Ocak","Şubat","Mart","Nisan","Mayıs","Haziran","Temmuz","Ağustos","Eylül","Ekim","Kasım","Aralık"},MONTH(B752)))</f>
        <v/>
      </c>
      <c r="D752" s="2"/>
      <c r="E752" s="5" t="str">
        <f>IFERROR(INDEX('Malzeme Tanımlama'!$B$5:$B$300,MATCH(D752,'Malzeme Tanımlama'!$A$5:$A$300,0)),"")</f>
        <v/>
      </c>
      <c r="F752" s="2"/>
      <c r="G752" s="5"/>
      <c r="H752" s="5" t="str">
        <f>IFERROR(INDEX('Malzeme Tanımlama'!$D$5:$D$300,MATCH(D752,'Malzeme Tanımlama'!$A$5:$A$300,0)),"")</f>
        <v/>
      </c>
      <c r="I752" s="2"/>
      <c r="J752" s="2"/>
      <c r="K752" s="2"/>
    </row>
    <row r="753" spans="1:11" x14ac:dyDescent="0.3">
      <c r="A753" s="5" t="str">
        <f>IF(D753="","",COUNTIF($D$5:D753,"?*"))</f>
        <v/>
      </c>
      <c r="B753" s="6"/>
      <c r="C753" s="5" t="str">
        <f>IF(B753="","",INDEX({"Ocak","Şubat","Mart","Nisan","Mayıs","Haziran","Temmuz","Ağustos","Eylül","Ekim","Kasım","Aralık"},MONTH(B753)))</f>
        <v/>
      </c>
      <c r="D753" s="2"/>
      <c r="E753" s="5" t="str">
        <f>IFERROR(INDEX('Malzeme Tanımlama'!$B$5:$B$300,MATCH(D753,'Malzeme Tanımlama'!$A$5:$A$300,0)),"")</f>
        <v/>
      </c>
      <c r="F753" s="2"/>
      <c r="G753" s="5"/>
      <c r="H753" s="5" t="str">
        <f>IFERROR(INDEX('Malzeme Tanımlama'!$D$5:$D$300,MATCH(D753,'Malzeme Tanımlama'!$A$5:$A$300,0)),"")</f>
        <v/>
      </c>
      <c r="I753" s="2"/>
      <c r="J753" s="2"/>
      <c r="K753" s="2"/>
    </row>
    <row r="754" spans="1:11" x14ac:dyDescent="0.3">
      <c r="A754" s="5" t="str">
        <f>IF(D754="","",COUNTIF($D$5:D754,"?*"))</f>
        <v/>
      </c>
      <c r="B754" s="6"/>
      <c r="C754" s="5" t="str">
        <f>IF(B754="","",INDEX({"Ocak","Şubat","Mart","Nisan","Mayıs","Haziran","Temmuz","Ağustos","Eylül","Ekim","Kasım","Aralık"},MONTH(B754)))</f>
        <v/>
      </c>
      <c r="D754" s="2"/>
      <c r="E754" s="5" t="str">
        <f>IFERROR(INDEX('Malzeme Tanımlama'!$B$5:$B$300,MATCH(D754,'Malzeme Tanımlama'!$A$5:$A$300,0)),"")</f>
        <v/>
      </c>
      <c r="F754" s="2"/>
      <c r="G754" s="5"/>
      <c r="H754" s="5" t="str">
        <f>IFERROR(INDEX('Malzeme Tanımlama'!$D$5:$D$300,MATCH(D754,'Malzeme Tanımlama'!$A$5:$A$300,0)),"")</f>
        <v/>
      </c>
      <c r="I754" s="2"/>
      <c r="J754" s="2"/>
      <c r="K754" s="2"/>
    </row>
    <row r="755" spans="1:11" x14ac:dyDescent="0.3">
      <c r="A755" s="5" t="str">
        <f>IF(D755="","",COUNTIF($D$5:D755,"?*"))</f>
        <v/>
      </c>
      <c r="B755" s="6"/>
      <c r="C755" s="5" t="str">
        <f>IF(B755="","",INDEX({"Ocak","Şubat","Mart","Nisan","Mayıs","Haziran","Temmuz","Ağustos","Eylül","Ekim","Kasım","Aralık"},MONTH(B755)))</f>
        <v/>
      </c>
      <c r="D755" s="2"/>
      <c r="E755" s="5" t="str">
        <f>IFERROR(INDEX('Malzeme Tanımlama'!$B$5:$B$300,MATCH(D755,'Malzeme Tanımlama'!$A$5:$A$300,0)),"")</f>
        <v/>
      </c>
      <c r="F755" s="2"/>
      <c r="G755" s="5"/>
      <c r="H755" s="5" t="str">
        <f>IFERROR(INDEX('Malzeme Tanımlama'!$D$5:$D$300,MATCH(D755,'Malzeme Tanımlama'!$A$5:$A$300,0)),"")</f>
        <v/>
      </c>
      <c r="I755" s="2"/>
      <c r="J755" s="2"/>
      <c r="K755" s="2"/>
    </row>
    <row r="756" spans="1:11" x14ac:dyDescent="0.3">
      <c r="A756" s="5" t="str">
        <f>IF(D756="","",COUNTIF($D$5:D756,"?*"))</f>
        <v/>
      </c>
      <c r="B756" s="6"/>
      <c r="C756" s="5" t="str">
        <f>IF(B756="","",INDEX({"Ocak","Şubat","Mart","Nisan","Mayıs","Haziran","Temmuz","Ağustos","Eylül","Ekim","Kasım","Aralık"},MONTH(B756)))</f>
        <v/>
      </c>
      <c r="D756" s="2"/>
      <c r="E756" s="5" t="str">
        <f>IFERROR(INDEX('Malzeme Tanımlama'!$B$5:$B$300,MATCH(D756,'Malzeme Tanımlama'!$A$5:$A$300,0)),"")</f>
        <v/>
      </c>
      <c r="F756" s="2"/>
      <c r="G756" s="5"/>
      <c r="H756" s="5" t="str">
        <f>IFERROR(INDEX('Malzeme Tanımlama'!$D$5:$D$300,MATCH(D756,'Malzeme Tanımlama'!$A$5:$A$300,0)),"")</f>
        <v/>
      </c>
      <c r="I756" s="2"/>
      <c r="J756" s="2"/>
      <c r="K756" s="2"/>
    </row>
    <row r="757" spans="1:11" x14ac:dyDescent="0.3">
      <c r="A757" s="5" t="str">
        <f>IF(D757="","",COUNTIF($D$5:D757,"?*"))</f>
        <v/>
      </c>
      <c r="B757" s="6"/>
      <c r="C757" s="5" t="str">
        <f>IF(B757="","",INDEX({"Ocak","Şubat","Mart","Nisan","Mayıs","Haziran","Temmuz","Ağustos","Eylül","Ekim","Kasım","Aralık"},MONTH(B757)))</f>
        <v/>
      </c>
      <c r="D757" s="2"/>
      <c r="E757" s="5" t="str">
        <f>IFERROR(INDEX('Malzeme Tanımlama'!$B$5:$B$300,MATCH(D757,'Malzeme Tanımlama'!$A$5:$A$300,0)),"")</f>
        <v/>
      </c>
      <c r="F757" s="2"/>
      <c r="G757" s="5"/>
      <c r="H757" s="5" t="str">
        <f>IFERROR(INDEX('Malzeme Tanımlama'!$D$5:$D$300,MATCH(D757,'Malzeme Tanımlama'!$A$5:$A$300,0)),"")</f>
        <v/>
      </c>
      <c r="I757" s="2"/>
      <c r="J757" s="2"/>
      <c r="K757" s="2"/>
    </row>
    <row r="758" spans="1:11" x14ac:dyDescent="0.3">
      <c r="A758" s="5" t="str">
        <f>IF(D758="","",COUNTIF($D$5:D758,"?*"))</f>
        <v/>
      </c>
      <c r="B758" s="6"/>
      <c r="C758" s="5" t="str">
        <f>IF(B758="","",INDEX({"Ocak","Şubat","Mart","Nisan","Mayıs","Haziran","Temmuz","Ağustos","Eylül","Ekim","Kasım","Aralık"},MONTH(B758)))</f>
        <v/>
      </c>
      <c r="D758" s="2"/>
      <c r="E758" s="5" t="str">
        <f>IFERROR(INDEX('Malzeme Tanımlama'!$B$5:$B$300,MATCH(D758,'Malzeme Tanımlama'!$A$5:$A$300,0)),"")</f>
        <v/>
      </c>
      <c r="F758" s="2"/>
      <c r="G758" s="5"/>
      <c r="H758" s="5" t="str">
        <f>IFERROR(INDEX('Malzeme Tanımlama'!$D$5:$D$300,MATCH(D758,'Malzeme Tanımlama'!$A$5:$A$300,0)),"")</f>
        <v/>
      </c>
      <c r="I758" s="2"/>
      <c r="J758" s="2"/>
      <c r="K758" s="2"/>
    </row>
    <row r="759" spans="1:11" x14ac:dyDescent="0.3">
      <c r="A759" s="5" t="str">
        <f>IF(D759="","",COUNTIF($D$5:D759,"?*"))</f>
        <v/>
      </c>
      <c r="B759" s="6"/>
      <c r="C759" s="5" t="str">
        <f>IF(B759="","",INDEX({"Ocak","Şubat","Mart","Nisan","Mayıs","Haziran","Temmuz","Ağustos","Eylül","Ekim","Kasım","Aralık"},MONTH(B759)))</f>
        <v/>
      </c>
      <c r="D759" s="2"/>
      <c r="E759" s="5" t="str">
        <f>IFERROR(INDEX('Malzeme Tanımlama'!$B$5:$B$300,MATCH(D759,'Malzeme Tanımlama'!$A$5:$A$300,0)),"")</f>
        <v/>
      </c>
      <c r="F759" s="2"/>
      <c r="G759" s="5"/>
      <c r="H759" s="5" t="str">
        <f>IFERROR(INDEX('Malzeme Tanımlama'!$D$5:$D$300,MATCH(D759,'Malzeme Tanımlama'!$A$5:$A$300,0)),"")</f>
        <v/>
      </c>
      <c r="I759" s="2"/>
      <c r="J759" s="2"/>
      <c r="K759" s="2"/>
    </row>
    <row r="760" spans="1:11" x14ac:dyDescent="0.3">
      <c r="A760" s="5" t="str">
        <f>IF(D760="","",COUNTIF($D$5:D760,"?*"))</f>
        <v/>
      </c>
      <c r="B760" s="6"/>
      <c r="C760" s="5" t="str">
        <f>IF(B760="","",INDEX({"Ocak","Şubat","Mart","Nisan","Mayıs","Haziran","Temmuz","Ağustos","Eylül","Ekim","Kasım","Aralık"},MONTH(B760)))</f>
        <v/>
      </c>
      <c r="D760" s="2"/>
      <c r="E760" s="5" t="str">
        <f>IFERROR(INDEX('Malzeme Tanımlama'!$B$5:$B$300,MATCH(D760,'Malzeme Tanımlama'!$A$5:$A$300,0)),"")</f>
        <v/>
      </c>
      <c r="F760" s="2"/>
      <c r="G760" s="5"/>
      <c r="H760" s="5" t="str">
        <f>IFERROR(INDEX('Malzeme Tanımlama'!$D$5:$D$300,MATCH(D760,'Malzeme Tanımlama'!$A$5:$A$300,0)),"")</f>
        <v/>
      </c>
      <c r="I760" s="2"/>
      <c r="J760" s="2"/>
      <c r="K760" s="2"/>
    </row>
    <row r="761" spans="1:11" x14ac:dyDescent="0.3">
      <c r="A761" s="5" t="str">
        <f>IF(D761="","",COUNTIF($D$5:D761,"?*"))</f>
        <v/>
      </c>
      <c r="B761" s="6"/>
      <c r="C761" s="5" t="str">
        <f>IF(B761="","",INDEX({"Ocak","Şubat","Mart","Nisan","Mayıs","Haziran","Temmuz","Ağustos","Eylül","Ekim","Kasım","Aralık"},MONTH(B761)))</f>
        <v/>
      </c>
      <c r="D761" s="2"/>
      <c r="E761" s="5" t="str">
        <f>IFERROR(INDEX('Malzeme Tanımlama'!$B$5:$B$300,MATCH(D761,'Malzeme Tanımlama'!$A$5:$A$300,0)),"")</f>
        <v/>
      </c>
      <c r="F761" s="2"/>
      <c r="G761" s="5"/>
      <c r="H761" s="5" t="str">
        <f>IFERROR(INDEX('Malzeme Tanımlama'!$D$5:$D$300,MATCH(D761,'Malzeme Tanımlama'!$A$5:$A$300,0)),"")</f>
        <v/>
      </c>
      <c r="I761" s="2"/>
      <c r="J761" s="2"/>
      <c r="K761" s="2"/>
    </row>
    <row r="762" spans="1:11" x14ac:dyDescent="0.3">
      <c r="A762" s="5" t="str">
        <f>IF(D762="","",COUNTIF($D$5:D762,"?*"))</f>
        <v/>
      </c>
      <c r="B762" s="6"/>
      <c r="C762" s="5" t="str">
        <f>IF(B762="","",INDEX({"Ocak","Şubat","Mart","Nisan","Mayıs","Haziran","Temmuz","Ağustos","Eylül","Ekim","Kasım","Aralık"},MONTH(B762)))</f>
        <v/>
      </c>
      <c r="D762" s="2"/>
      <c r="E762" s="5" t="str">
        <f>IFERROR(INDEX('Malzeme Tanımlama'!$B$5:$B$300,MATCH(D762,'Malzeme Tanımlama'!$A$5:$A$300,0)),"")</f>
        <v/>
      </c>
      <c r="F762" s="2"/>
      <c r="G762" s="5"/>
      <c r="H762" s="5" t="str">
        <f>IFERROR(INDEX('Malzeme Tanımlama'!$D$5:$D$300,MATCH(D762,'Malzeme Tanımlama'!$A$5:$A$300,0)),"")</f>
        <v/>
      </c>
      <c r="I762" s="2"/>
      <c r="J762" s="2"/>
      <c r="K762" s="2"/>
    </row>
    <row r="763" spans="1:11" x14ac:dyDescent="0.3">
      <c r="A763" s="5" t="str">
        <f>IF(D763="","",COUNTIF($D$5:D763,"?*"))</f>
        <v/>
      </c>
      <c r="B763" s="6"/>
      <c r="C763" s="5" t="str">
        <f>IF(B763="","",INDEX({"Ocak","Şubat","Mart","Nisan","Mayıs","Haziran","Temmuz","Ağustos","Eylül","Ekim","Kasım","Aralık"},MONTH(B763)))</f>
        <v/>
      </c>
      <c r="D763" s="2"/>
      <c r="E763" s="5" t="str">
        <f>IFERROR(INDEX('Malzeme Tanımlama'!$B$5:$B$300,MATCH(D763,'Malzeme Tanımlama'!$A$5:$A$300,0)),"")</f>
        <v/>
      </c>
      <c r="F763" s="2"/>
      <c r="G763" s="5"/>
      <c r="H763" s="5" t="str">
        <f>IFERROR(INDEX('Malzeme Tanımlama'!$D$5:$D$300,MATCH(D763,'Malzeme Tanımlama'!$A$5:$A$300,0)),"")</f>
        <v/>
      </c>
      <c r="I763" s="2"/>
      <c r="J763" s="2"/>
      <c r="K763" s="2"/>
    </row>
    <row r="764" spans="1:11" x14ac:dyDescent="0.3">
      <c r="A764" s="5" t="str">
        <f>IF(D764="","",COUNTIF($D$5:D764,"?*"))</f>
        <v/>
      </c>
      <c r="B764" s="6"/>
      <c r="C764" s="5" t="str">
        <f>IF(B764="","",INDEX({"Ocak","Şubat","Mart","Nisan","Mayıs","Haziran","Temmuz","Ağustos","Eylül","Ekim","Kasım","Aralık"},MONTH(B764)))</f>
        <v/>
      </c>
      <c r="D764" s="2"/>
      <c r="E764" s="5" t="str">
        <f>IFERROR(INDEX('Malzeme Tanımlama'!$B$5:$B$300,MATCH(D764,'Malzeme Tanımlama'!$A$5:$A$300,0)),"")</f>
        <v/>
      </c>
      <c r="F764" s="2"/>
      <c r="G764" s="5"/>
      <c r="H764" s="5" t="str">
        <f>IFERROR(INDEX('Malzeme Tanımlama'!$D$5:$D$300,MATCH(D764,'Malzeme Tanımlama'!$A$5:$A$300,0)),"")</f>
        <v/>
      </c>
      <c r="I764" s="2"/>
      <c r="J764" s="2"/>
      <c r="K764" s="2"/>
    </row>
    <row r="765" spans="1:11" x14ac:dyDescent="0.3">
      <c r="A765" s="5" t="str">
        <f>IF(D765="","",COUNTIF($D$5:D765,"?*"))</f>
        <v/>
      </c>
      <c r="B765" s="6"/>
      <c r="C765" s="5" t="str">
        <f>IF(B765="","",INDEX({"Ocak","Şubat","Mart","Nisan","Mayıs","Haziran","Temmuz","Ağustos","Eylül","Ekim","Kasım","Aralık"},MONTH(B765)))</f>
        <v/>
      </c>
      <c r="D765" s="2"/>
      <c r="E765" s="5" t="str">
        <f>IFERROR(INDEX('Malzeme Tanımlama'!$B$5:$B$300,MATCH(D765,'Malzeme Tanımlama'!$A$5:$A$300,0)),"")</f>
        <v/>
      </c>
      <c r="F765" s="2"/>
      <c r="G765" s="5"/>
      <c r="H765" s="5" t="str">
        <f>IFERROR(INDEX('Malzeme Tanımlama'!$D$5:$D$300,MATCH(D765,'Malzeme Tanımlama'!$A$5:$A$300,0)),"")</f>
        <v/>
      </c>
      <c r="I765" s="2"/>
      <c r="J765" s="2"/>
      <c r="K765" s="2"/>
    </row>
    <row r="766" spans="1:11" x14ac:dyDescent="0.3">
      <c r="A766" s="5" t="str">
        <f>IF(D766="","",COUNTIF($D$5:D766,"?*"))</f>
        <v/>
      </c>
      <c r="B766" s="6"/>
      <c r="C766" s="5" t="str">
        <f>IF(B766="","",INDEX({"Ocak","Şubat","Mart","Nisan","Mayıs","Haziran","Temmuz","Ağustos","Eylül","Ekim","Kasım","Aralık"},MONTH(B766)))</f>
        <v/>
      </c>
      <c r="D766" s="2"/>
      <c r="E766" s="5" t="str">
        <f>IFERROR(INDEX('Malzeme Tanımlama'!$B$5:$B$300,MATCH(D766,'Malzeme Tanımlama'!$A$5:$A$300,0)),"")</f>
        <v/>
      </c>
      <c r="F766" s="2"/>
      <c r="G766" s="5"/>
      <c r="H766" s="5" t="str">
        <f>IFERROR(INDEX('Malzeme Tanımlama'!$D$5:$D$300,MATCH(D766,'Malzeme Tanımlama'!$A$5:$A$300,0)),"")</f>
        <v/>
      </c>
      <c r="I766" s="2"/>
      <c r="J766" s="2"/>
      <c r="K766" s="2"/>
    </row>
    <row r="767" spans="1:11" x14ac:dyDescent="0.3">
      <c r="A767" s="5" t="str">
        <f>IF(D767="","",COUNTIF($D$5:D767,"?*"))</f>
        <v/>
      </c>
      <c r="B767" s="6"/>
      <c r="C767" s="5" t="str">
        <f>IF(B767="","",INDEX({"Ocak","Şubat","Mart","Nisan","Mayıs","Haziran","Temmuz","Ağustos","Eylül","Ekim","Kasım","Aralık"},MONTH(B767)))</f>
        <v/>
      </c>
      <c r="D767" s="2"/>
      <c r="E767" s="5" t="str">
        <f>IFERROR(INDEX('Malzeme Tanımlama'!$B$5:$B$300,MATCH(D767,'Malzeme Tanımlama'!$A$5:$A$300,0)),"")</f>
        <v/>
      </c>
      <c r="F767" s="2"/>
      <c r="G767" s="5"/>
      <c r="H767" s="5" t="str">
        <f>IFERROR(INDEX('Malzeme Tanımlama'!$D$5:$D$300,MATCH(D767,'Malzeme Tanımlama'!$A$5:$A$300,0)),"")</f>
        <v/>
      </c>
      <c r="I767" s="2"/>
      <c r="J767" s="2"/>
      <c r="K767" s="2"/>
    </row>
    <row r="768" spans="1:11" x14ac:dyDescent="0.3">
      <c r="A768" s="5" t="str">
        <f>IF(D768="","",COUNTIF($D$5:D768,"?*"))</f>
        <v/>
      </c>
      <c r="B768" s="6"/>
      <c r="C768" s="5" t="str">
        <f>IF(B768="","",INDEX({"Ocak","Şubat","Mart","Nisan","Mayıs","Haziran","Temmuz","Ağustos","Eylül","Ekim","Kasım","Aralık"},MONTH(B768)))</f>
        <v/>
      </c>
      <c r="D768" s="2"/>
      <c r="E768" s="5" t="str">
        <f>IFERROR(INDEX('Malzeme Tanımlama'!$B$5:$B$300,MATCH(D768,'Malzeme Tanımlama'!$A$5:$A$300,0)),"")</f>
        <v/>
      </c>
      <c r="F768" s="2"/>
      <c r="G768" s="5"/>
      <c r="H768" s="5" t="str">
        <f>IFERROR(INDEX('Malzeme Tanımlama'!$D$5:$D$300,MATCH(D768,'Malzeme Tanımlama'!$A$5:$A$300,0)),"")</f>
        <v/>
      </c>
      <c r="I768" s="2"/>
      <c r="J768" s="2"/>
      <c r="K768" s="2"/>
    </row>
    <row r="769" spans="1:11" x14ac:dyDescent="0.3">
      <c r="A769" s="5" t="str">
        <f>IF(D769="","",COUNTIF($D$5:D769,"?*"))</f>
        <v/>
      </c>
      <c r="B769" s="6"/>
      <c r="C769" s="5" t="str">
        <f>IF(B769="","",INDEX({"Ocak","Şubat","Mart","Nisan","Mayıs","Haziran","Temmuz","Ağustos","Eylül","Ekim","Kasım","Aralık"},MONTH(B769)))</f>
        <v/>
      </c>
      <c r="D769" s="2"/>
      <c r="E769" s="5" t="str">
        <f>IFERROR(INDEX('Malzeme Tanımlama'!$B$5:$B$300,MATCH(D769,'Malzeme Tanımlama'!$A$5:$A$300,0)),"")</f>
        <v/>
      </c>
      <c r="F769" s="2"/>
      <c r="G769" s="5"/>
      <c r="H769" s="5" t="str">
        <f>IFERROR(INDEX('Malzeme Tanımlama'!$D$5:$D$300,MATCH(D769,'Malzeme Tanımlama'!$A$5:$A$300,0)),"")</f>
        <v/>
      </c>
      <c r="I769" s="2"/>
      <c r="J769" s="2"/>
      <c r="K769" s="2"/>
    </row>
    <row r="770" spans="1:11" x14ac:dyDescent="0.3">
      <c r="A770" s="5" t="str">
        <f>IF(D770="","",COUNTIF($D$5:D770,"?*"))</f>
        <v/>
      </c>
      <c r="B770" s="6"/>
      <c r="C770" s="5" t="str">
        <f>IF(B770="","",INDEX({"Ocak","Şubat","Mart","Nisan","Mayıs","Haziran","Temmuz","Ağustos","Eylül","Ekim","Kasım","Aralık"},MONTH(B770)))</f>
        <v/>
      </c>
      <c r="D770" s="2"/>
      <c r="E770" s="5" t="str">
        <f>IFERROR(INDEX('Malzeme Tanımlama'!$B$5:$B$300,MATCH(D770,'Malzeme Tanımlama'!$A$5:$A$300,0)),"")</f>
        <v/>
      </c>
      <c r="F770" s="2"/>
      <c r="G770" s="5"/>
      <c r="H770" s="5" t="str">
        <f>IFERROR(INDEX('Malzeme Tanımlama'!$D$5:$D$300,MATCH(D770,'Malzeme Tanımlama'!$A$5:$A$300,0)),"")</f>
        <v/>
      </c>
      <c r="I770" s="2"/>
      <c r="J770" s="2"/>
      <c r="K770" s="2"/>
    </row>
    <row r="771" spans="1:11" x14ac:dyDescent="0.3">
      <c r="A771" s="5" t="str">
        <f>IF(D771="","",COUNTIF($D$5:D771,"?*"))</f>
        <v/>
      </c>
      <c r="B771" s="6"/>
      <c r="C771" s="5" t="str">
        <f>IF(B771="","",INDEX({"Ocak","Şubat","Mart","Nisan","Mayıs","Haziran","Temmuz","Ağustos","Eylül","Ekim","Kasım","Aralık"},MONTH(B771)))</f>
        <v/>
      </c>
      <c r="D771" s="2"/>
      <c r="E771" s="5" t="str">
        <f>IFERROR(INDEX('Malzeme Tanımlama'!$B$5:$B$300,MATCH(D771,'Malzeme Tanımlama'!$A$5:$A$300,0)),"")</f>
        <v/>
      </c>
      <c r="F771" s="2"/>
      <c r="G771" s="5"/>
      <c r="H771" s="5" t="str">
        <f>IFERROR(INDEX('Malzeme Tanımlama'!$D$5:$D$300,MATCH(D771,'Malzeme Tanımlama'!$A$5:$A$300,0)),"")</f>
        <v/>
      </c>
      <c r="I771" s="2"/>
      <c r="J771" s="2"/>
      <c r="K771" s="2"/>
    </row>
    <row r="772" spans="1:11" x14ac:dyDescent="0.3">
      <c r="A772" s="5" t="str">
        <f>IF(D772="","",COUNTIF($D$5:D772,"?*"))</f>
        <v/>
      </c>
      <c r="B772" s="6"/>
      <c r="C772" s="5" t="str">
        <f>IF(B772="","",INDEX({"Ocak","Şubat","Mart","Nisan","Mayıs","Haziran","Temmuz","Ağustos","Eylül","Ekim","Kasım","Aralık"},MONTH(B772)))</f>
        <v/>
      </c>
      <c r="D772" s="2"/>
      <c r="E772" s="5" t="str">
        <f>IFERROR(INDEX('Malzeme Tanımlama'!$B$5:$B$300,MATCH(D772,'Malzeme Tanımlama'!$A$5:$A$300,0)),"")</f>
        <v/>
      </c>
      <c r="F772" s="2"/>
      <c r="G772" s="5"/>
      <c r="H772" s="5" t="str">
        <f>IFERROR(INDEX('Malzeme Tanımlama'!$D$5:$D$300,MATCH(D772,'Malzeme Tanımlama'!$A$5:$A$300,0)),"")</f>
        <v/>
      </c>
      <c r="I772" s="2"/>
      <c r="J772" s="2"/>
      <c r="K772" s="2"/>
    </row>
    <row r="773" spans="1:11" x14ac:dyDescent="0.3">
      <c r="A773" s="5" t="str">
        <f>IF(D773="","",COUNTIF($D$5:D773,"?*"))</f>
        <v/>
      </c>
      <c r="B773" s="6"/>
      <c r="C773" s="5" t="str">
        <f>IF(B773="","",INDEX({"Ocak","Şubat","Mart","Nisan","Mayıs","Haziran","Temmuz","Ağustos","Eylül","Ekim","Kasım","Aralık"},MONTH(B773)))</f>
        <v/>
      </c>
      <c r="D773" s="2"/>
      <c r="E773" s="5" t="str">
        <f>IFERROR(INDEX('Malzeme Tanımlama'!$B$5:$B$300,MATCH(D773,'Malzeme Tanımlama'!$A$5:$A$300,0)),"")</f>
        <v/>
      </c>
      <c r="F773" s="2"/>
      <c r="G773" s="5"/>
      <c r="H773" s="5" t="str">
        <f>IFERROR(INDEX('Malzeme Tanımlama'!$D$5:$D$300,MATCH(D773,'Malzeme Tanımlama'!$A$5:$A$300,0)),"")</f>
        <v/>
      </c>
      <c r="I773" s="2"/>
      <c r="J773" s="2"/>
      <c r="K773" s="2"/>
    </row>
    <row r="774" spans="1:11" x14ac:dyDescent="0.3">
      <c r="A774" s="5" t="str">
        <f>IF(D774="","",COUNTIF($D$5:D774,"?*"))</f>
        <v/>
      </c>
      <c r="B774" s="6"/>
      <c r="C774" s="5" t="str">
        <f>IF(B774="","",INDEX({"Ocak","Şubat","Mart","Nisan","Mayıs","Haziran","Temmuz","Ağustos","Eylül","Ekim","Kasım","Aralık"},MONTH(B774)))</f>
        <v/>
      </c>
      <c r="D774" s="2"/>
      <c r="E774" s="5" t="str">
        <f>IFERROR(INDEX('Malzeme Tanımlama'!$B$5:$B$300,MATCH(D774,'Malzeme Tanımlama'!$A$5:$A$300,0)),"")</f>
        <v/>
      </c>
      <c r="F774" s="2"/>
      <c r="G774" s="5"/>
      <c r="H774" s="5" t="str">
        <f>IFERROR(INDEX('Malzeme Tanımlama'!$D$5:$D$300,MATCH(D774,'Malzeme Tanımlama'!$A$5:$A$300,0)),"")</f>
        <v/>
      </c>
      <c r="I774" s="2"/>
      <c r="J774" s="2"/>
      <c r="K774" s="2"/>
    </row>
    <row r="775" spans="1:11" x14ac:dyDescent="0.3">
      <c r="A775" s="5" t="str">
        <f>IF(D775="","",COUNTIF($D$5:D775,"?*"))</f>
        <v/>
      </c>
      <c r="B775" s="6"/>
      <c r="C775" s="5" t="str">
        <f>IF(B775="","",INDEX({"Ocak","Şubat","Mart","Nisan","Mayıs","Haziran","Temmuz","Ağustos","Eylül","Ekim","Kasım","Aralık"},MONTH(B775)))</f>
        <v/>
      </c>
      <c r="D775" s="2"/>
      <c r="E775" s="5" t="str">
        <f>IFERROR(INDEX('Malzeme Tanımlama'!$B$5:$B$300,MATCH(D775,'Malzeme Tanımlama'!$A$5:$A$300,0)),"")</f>
        <v/>
      </c>
      <c r="F775" s="2"/>
      <c r="G775" s="5"/>
      <c r="H775" s="5" t="str">
        <f>IFERROR(INDEX('Malzeme Tanımlama'!$D$5:$D$300,MATCH(D775,'Malzeme Tanımlama'!$A$5:$A$300,0)),"")</f>
        <v/>
      </c>
      <c r="I775" s="2"/>
      <c r="J775" s="2"/>
      <c r="K775" s="2"/>
    </row>
    <row r="776" spans="1:11" x14ac:dyDescent="0.3">
      <c r="A776" s="5" t="str">
        <f>IF(D776="","",COUNTIF($D$5:D776,"?*"))</f>
        <v/>
      </c>
      <c r="B776" s="6"/>
      <c r="C776" s="5" t="str">
        <f>IF(B776="","",INDEX({"Ocak","Şubat","Mart","Nisan","Mayıs","Haziran","Temmuz","Ağustos","Eylül","Ekim","Kasım","Aralık"},MONTH(B776)))</f>
        <v/>
      </c>
      <c r="D776" s="2"/>
      <c r="E776" s="5" t="str">
        <f>IFERROR(INDEX('Malzeme Tanımlama'!$B$5:$B$300,MATCH(D776,'Malzeme Tanımlama'!$A$5:$A$300,0)),"")</f>
        <v/>
      </c>
      <c r="F776" s="2"/>
      <c r="G776" s="5"/>
      <c r="H776" s="5" t="str">
        <f>IFERROR(INDEX('Malzeme Tanımlama'!$D$5:$D$300,MATCH(D776,'Malzeme Tanımlama'!$A$5:$A$300,0)),"")</f>
        <v/>
      </c>
      <c r="I776" s="2"/>
      <c r="J776" s="2"/>
      <c r="K776" s="2"/>
    </row>
    <row r="777" spans="1:11" x14ac:dyDescent="0.3">
      <c r="A777" s="5" t="str">
        <f>IF(D777="","",COUNTIF($D$5:D777,"?*"))</f>
        <v/>
      </c>
      <c r="B777" s="6"/>
      <c r="C777" s="5" t="str">
        <f>IF(B777="","",INDEX({"Ocak","Şubat","Mart","Nisan","Mayıs","Haziran","Temmuz","Ağustos","Eylül","Ekim","Kasım","Aralık"},MONTH(B777)))</f>
        <v/>
      </c>
      <c r="D777" s="2"/>
      <c r="E777" s="5" t="str">
        <f>IFERROR(INDEX('Malzeme Tanımlama'!$B$5:$B$300,MATCH(D777,'Malzeme Tanımlama'!$A$5:$A$300,0)),"")</f>
        <v/>
      </c>
      <c r="F777" s="2"/>
      <c r="G777" s="5"/>
      <c r="H777" s="5" t="str">
        <f>IFERROR(INDEX('Malzeme Tanımlama'!$D$5:$D$300,MATCH(D777,'Malzeme Tanımlama'!$A$5:$A$300,0)),"")</f>
        <v/>
      </c>
      <c r="I777" s="2"/>
      <c r="J777" s="2"/>
      <c r="K777" s="2"/>
    </row>
    <row r="778" spans="1:11" x14ac:dyDescent="0.3">
      <c r="A778" s="5" t="str">
        <f>IF(D778="","",COUNTIF($D$5:D778,"?*"))</f>
        <v/>
      </c>
      <c r="B778" s="6"/>
      <c r="C778" s="5" t="str">
        <f>IF(B778="","",INDEX({"Ocak","Şubat","Mart","Nisan","Mayıs","Haziran","Temmuz","Ağustos","Eylül","Ekim","Kasım","Aralık"},MONTH(B778)))</f>
        <v/>
      </c>
      <c r="D778" s="2"/>
      <c r="E778" s="5" t="str">
        <f>IFERROR(INDEX('Malzeme Tanımlama'!$B$5:$B$300,MATCH(D778,'Malzeme Tanımlama'!$A$5:$A$300,0)),"")</f>
        <v/>
      </c>
      <c r="F778" s="2"/>
      <c r="G778" s="5"/>
      <c r="H778" s="5" t="str">
        <f>IFERROR(INDEX('Malzeme Tanımlama'!$D$5:$D$300,MATCH(D778,'Malzeme Tanımlama'!$A$5:$A$300,0)),"")</f>
        <v/>
      </c>
      <c r="I778" s="2"/>
      <c r="J778" s="2"/>
      <c r="K778" s="2"/>
    </row>
    <row r="779" spans="1:11" x14ac:dyDescent="0.3">
      <c r="A779" s="5" t="str">
        <f>IF(D779="","",COUNTIF($D$5:D779,"?*"))</f>
        <v/>
      </c>
      <c r="B779" s="6"/>
      <c r="C779" s="5" t="str">
        <f>IF(B779="","",INDEX({"Ocak","Şubat","Mart","Nisan","Mayıs","Haziran","Temmuz","Ağustos","Eylül","Ekim","Kasım","Aralık"},MONTH(B779)))</f>
        <v/>
      </c>
      <c r="D779" s="2"/>
      <c r="E779" s="5" t="str">
        <f>IFERROR(INDEX('Malzeme Tanımlama'!$B$5:$B$300,MATCH(D779,'Malzeme Tanımlama'!$A$5:$A$300,0)),"")</f>
        <v/>
      </c>
      <c r="F779" s="2"/>
      <c r="G779" s="5"/>
      <c r="H779" s="5" t="str">
        <f>IFERROR(INDEX('Malzeme Tanımlama'!$D$5:$D$300,MATCH(D779,'Malzeme Tanımlama'!$A$5:$A$300,0)),"")</f>
        <v/>
      </c>
      <c r="I779" s="2"/>
      <c r="J779" s="2"/>
      <c r="K779" s="2"/>
    </row>
    <row r="780" spans="1:11" x14ac:dyDescent="0.3">
      <c r="A780" s="5" t="str">
        <f>IF(D780="","",COUNTIF($D$5:D780,"?*"))</f>
        <v/>
      </c>
      <c r="B780" s="6"/>
      <c r="C780" s="5" t="str">
        <f>IF(B780="","",INDEX({"Ocak","Şubat","Mart","Nisan","Mayıs","Haziran","Temmuz","Ağustos","Eylül","Ekim","Kasım","Aralık"},MONTH(B780)))</f>
        <v/>
      </c>
      <c r="D780" s="2"/>
      <c r="E780" s="5" t="str">
        <f>IFERROR(INDEX('Malzeme Tanımlama'!$B$5:$B$300,MATCH(D780,'Malzeme Tanımlama'!$A$5:$A$300,0)),"")</f>
        <v/>
      </c>
      <c r="F780" s="2"/>
      <c r="G780" s="5"/>
      <c r="H780" s="5" t="str">
        <f>IFERROR(INDEX('Malzeme Tanımlama'!$D$5:$D$300,MATCH(D780,'Malzeme Tanımlama'!$A$5:$A$300,0)),"")</f>
        <v/>
      </c>
      <c r="I780" s="2"/>
      <c r="J780" s="2"/>
      <c r="K780" s="2"/>
    </row>
    <row r="781" spans="1:11" x14ac:dyDescent="0.3">
      <c r="A781" s="5" t="str">
        <f>IF(D781="","",COUNTIF($D$5:D781,"?*"))</f>
        <v/>
      </c>
      <c r="B781" s="6"/>
      <c r="C781" s="5" t="str">
        <f>IF(B781="","",INDEX({"Ocak","Şubat","Mart","Nisan","Mayıs","Haziran","Temmuz","Ağustos","Eylül","Ekim","Kasım","Aralık"},MONTH(B781)))</f>
        <v/>
      </c>
      <c r="D781" s="2"/>
      <c r="E781" s="5" t="str">
        <f>IFERROR(INDEX('Malzeme Tanımlama'!$B$5:$B$300,MATCH(D781,'Malzeme Tanımlama'!$A$5:$A$300,0)),"")</f>
        <v/>
      </c>
      <c r="F781" s="2"/>
      <c r="G781" s="5"/>
      <c r="H781" s="5" t="str">
        <f>IFERROR(INDEX('Malzeme Tanımlama'!$D$5:$D$300,MATCH(D781,'Malzeme Tanımlama'!$A$5:$A$300,0)),"")</f>
        <v/>
      </c>
      <c r="I781" s="2"/>
      <c r="J781" s="2"/>
      <c r="K781" s="2"/>
    </row>
    <row r="782" spans="1:11" x14ac:dyDescent="0.3">
      <c r="A782" s="5" t="str">
        <f>IF(D782="","",COUNTIF($D$5:D782,"?*"))</f>
        <v/>
      </c>
      <c r="B782" s="6"/>
      <c r="C782" s="5" t="str">
        <f>IF(B782="","",INDEX({"Ocak","Şubat","Mart","Nisan","Mayıs","Haziran","Temmuz","Ağustos","Eylül","Ekim","Kasım","Aralık"},MONTH(B782)))</f>
        <v/>
      </c>
      <c r="D782" s="2"/>
      <c r="E782" s="5" t="str">
        <f>IFERROR(INDEX('Malzeme Tanımlama'!$B$5:$B$300,MATCH(D782,'Malzeme Tanımlama'!$A$5:$A$300,0)),"")</f>
        <v/>
      </c>
      <c r="F782" s="2"/>
      <c r="G782" s="5"/>
      <c r="H782" s="5" t="str">
        <f>IFERROR(INDEX('Malzeme Tanımlama'!$D$5:$D$300,MATCH(D782,'Malzeme Tanımlama'!$A$5:$A$300,0)),"")</f>
        <v/>
      </c>
      <c r="I782" s="2"/>
      <c r="J782" s="2"/>
      <c r="K782" s="2"/>
    </row>
    <row r="783" spans="1:11" x14ac:dyDescent="0.3">
      <c r="A783" s="5" t="str">
        <f>IF(D783="","",COUNTIF($D$5:D783,"?*"))</f>
        <v/>
      </c>
      <c r="B783" s="6"/>
      <c r="C783" s="5" t="str">
        <f>IF(B783="","",INDEX({"Ocak","Şubat","Mart","Nisan","Mayıs","Haziran","Temmuz","Ağustos","Eylül","Ekim","Kasım","Aralık"},MONTH(B783)))</f>
        <v/>
      </c>
      <c r="D783" s="2"/>
      <c r="E783" s="5" t="str">
        <f>IFERROR(INDEX('Malzeme Tanımlama'!$B$5:$B$300,MATCH(D783,'Malzeme Tanımlama'!$A$5:$A$300,0)),"")</f>
        <v/>
      </c>
      <c r="F783" s="2"/>
      <c r="G783" s="5"/>
      <c r="H783" s="5" t="str">
        <f>IFERROR(INDEX('Malzeme Tanımlama'!$D$5:$D$300,MATCH(D783,'Malzeme Tanımlama'!$A$5:$A$300,0)),"")</f>
        <v/>
      </c>
      <c r="I783" s="2"/>
      <c r="J783" s="2"/>
      <c r="K783" s="2"/>
    </row>
    <row r="784" spans="1:11" x14ac:dyDescent="0.3">
      <c r="A784" s="5" t="str">
        <f>IF(D784="","",COUNTIF($D$5:D784,"?*"))</f>
        <v/>
      </c>
      <c r="B784" s="6"/>
      <c r="C784" s="5" t="str">
        <f>IF(B784="","",INDEX({"Ocak","Şubat","Mart","Nisan","Mayıs","Haziran","Temmuz","Ağustos","Eylül","Ekim","Kasım","Aralık"},MONTH(B784)))</f>
        <v/>
      </c>
      <c r="D784" s="2"/>
      <c r="E784" s="5" t="str">
        <f>IFERROR(INDEX('Malzeme Tanımlama'!$B$5:$B$300,MATCH(D784,'Malzeme Tanımlama'!$A$5:$A$300,0)),"")</f>
        <v/>
      </c>
      <c r="F784" s="2"/>
      <c r="G784" s="5"/>
      <c r="H784" s="5" t="str">
        <f>IFERROR(INDEX('Malzeme Tanımlama'!$D$5:$D$300,MATCH(D784,'Malzeme Tanımlama'!$A$5:$A$300,0)),"")</f>
        <v/>
      </c>
      <c r="I784" s="2"/>
      <c r="J784" s="2"/>
      <c r="K784" s="2"/>
    </row>
    <row r="785" spans="1:11" x14ac:dyDescent="0.3">
      <c r="A785" s="5" t="str">
        <f>IF(D785="","",COUNTIF($D$5:D785,"?*"))</f>
        <v/>
      </c>
      <c r="B785" s="6"/>
      <c r="C785" s="5" t="str">
        <f>IF(B785="","",INDEX({"Ocak","Şubat","Mart","Nisan","Mayıs","Haziran","Temmuz","Ağustos","Eylül","Ekim","Kasım","Aralık"},MONTH(B785)))</f>
        <v/>
      </c>
      <c r="D785" s="2"/>
      <c r="E785" s="5" t="str">
        <f>IFERROR(INDEX('Malzeme Tanımlama'!$B$5:$B$300,MATCH(D785,'Malzeme Tanımlama'!$A$5:$A$300,0)),"")</f>
        <v/>
      </c>
      <c r="F785" s="2"/>
      <c r="G785" s="5"/>
      <c r="H785" s="5" t="str">
        <f>IFERROR(INDEX('Malzeme Tanımlama'!$D$5:$D$300,MATCH(D785,'Malzeme Tanımlama'!$A$5:$A$300,0)),"")</f>
        <v/>
      </c>
      <c r="I785" s="2"/>
      <c r="J785" s="2"/>
      <c r="K785" s="2"/>
    </row>
    <row r="786" spans="1:11" x14ac:dyDescent="0.3">
      <c r="A786" s="5" t="str">
        <f>IF(D786="","",COUNTIF($D$5:D786,"?*"))</f>
        <v/>
      </c>
      <c r="B786" s="6"/>
      <c r="C786" s="5" t="str">
        <f>IF(B786="","",INDEX({"Ocak","Şubat","Mart","Nisan","Mayıs","Haziran","Temmuz","Ağustos","Eylül","Ekim","Kasım","Aralık"},MONTH(B786)))</f>
        <v/>
      </c>
      <c r="D786" s="2"/>
      <c r="E786" s="5" t="str">
        <f>IFERROR(INDEX('Malzeme Tanımlama'!$B$5:$B$300,MATCH(D786,'Malzeme Tanımlama'!$A$5:$A$300,0)),"")</f>
        <v/>
      </c>
      <c r="F786" s="2"/>
      <c r="G786" s="5"/>
      <c r="H786" s="5" t="str">
        <f>IFERROR(INDEX('Malzeme Tanımlama'!$D$5:$D$300,MATCH(D786,'Malzeme Tanımlama'!$A$5:$A$300,0)),"")</f>
        <v/>
      </c>
      <c r="I786" s="2"/>
      <c r="J786" s="2"/>
      <c r="K786" s="2"/>
    </row>
    <row r="787" spans="1:11" x14ac:dyDescent="0.3">
      <c r="A787" s="5" t="str">
        <f>IF(D787="","",COUNTIF($D$5:D787,"?*"))</f>
        <v/>
      </c>
      <c r="B787" s="6"/>
      <c r="C787" s="5" t="str">
        <f>IF(B787="","",INDEX({"Ocak","Şubat","Mart","Nisan","Mayıs","Haziran","Temmuz","Ağustos","Eylül","Ekim","Kasım","Aralık"},MONTH(B787)))</f>
        <v/>
      </c>
      <c r="D787" s="2"/>
      <c r="E787" s="5" t="str">
        <f>IFERROR(INDEX('Malzeme Tanımlama'!$B$5:$B$300,MATCH(D787,'Malzeme Tanımlama'!$A$5:$A$300,0)),"")</f>
        <v/>
      </c>
      <c r="F787" s="2"/>
      <c r="G787" s="5"/>
      <c r="H787" s="5" t="str">
        <f>IFERROR(INDEX('Malzeme Tanımlama'!$D$5:$D$300,MATCH(D787,'Malzeme Tanımlama'!$A$5:$A$300,0)),"")</f>
        <v/>
      </c>
      <c r="I787" s="2"/>
      <c r="J787" s="2"/>
      <c r="K787" s="2"/>
    </row>
    <row r="788" spans="1:11" x14ac:dyDescent="0.3">
      <c r="A788" s="5" t="str">
        <f>IF(D788="","",COUNTIF($D$5:D788,"?*"))</f>
        <v/>
      </c>
      <c r="B788" s="6"/>
      <c r="C788" s="5" t="str">
        <f>IF(B788="","",INDEX({"Ocak","Şubat","Mart","Nisan","Mayıs","Haziran","Temmuz","Ağustos","Eylül","Ekim","Kasım","Aralık"},MONTH(B788)))</f>
        <v/>
      </c>
      <c r="D788" s="2"/>
      <c r="E788" s="5" t="str">
        <f>IFERROR(INDEX('Malzeme Tanımlama'!$B$5:$B$300,MATCH(D788,'Malzeme Tanımlama'!$A$5:$A$300,0)),"")</f>
        <v/>
      </c>
      <c r="F788" s="2"/>
      <c r="G788" s="5"/>
      <c r="H788" s="5" t="str">
        <f>IFERROR(INDEX('Malzeme Tanımlama'!$D$5:$D$300,MATCH(D788,'Malzeme Tanımlama'!$A$5:$A$300,0)),"")</f>
        <v/>
      </c>
      <c r="I788" s="2"/>
      <c r="J788" s="2"/>
      <c r="K788" s="2"/>
    </row>
    <row r="789" spans="1:11" x14ac:dyDescent="0.3">
      <c r="A789" s="5" t="str">
        <f>IF(D789="","",COUNTIF($D$5:D789,"?*"))</f>
        <v/>
      </c>
      <c r="B789" s="6"/>
      <c r="C789" s="5" t="str">
        <f>IF(B789="","",INDEX({"Ocak","Şubat","Mart","Nisan","Mayıs","Haziran","Temmuz","Ağustos","Eylül","Ekim","Kasım","Aralık"},MONTH(B789)))</f>
        <v/>
      </c>
      <c r="D789" s="2"/>
      <c r="E789" s="5" t="str">
        <f>IFERROR(INDEX('Malzeme Tanımlama'!$B$5:$B$300,MATCH(D789,'Malzeme Tanımlama'!$A$5:$A$300,0)),"")</f>
        <v/>
      </c>
      <c r="F789" s="2"/>
      <c r="G789" s="5"/>
      <c r="H789" s="5" t="str">
        <f>IFERROR(INDEX('Malzeme Tanımlama'!$D$5:$D$300,MATCH(D789,'Malzeme Tanımlama'!$A$5:$A$300,0)),"")</f>
        <v/>
      </c>
      <c r="I789" s="2"/>
      <c r="J789" s="2"/>
      <c r="K789" s="2"/>
    </row>
    <row r="790" spans="1:11" x14ac:dyDescent="0.3">
      <c r="A790" s="5" t="str">
        <f>IF(D790="","",COUNTIF($D$5:D790,"?*"))</f>
        <v/>
      </c>
      <c r="B790" s="6"/>
      <c r="C790" s="5" t="str">
        <f>IF(B790="","",INDEX({"Ocak","Şubat","Mart","Nisan","Mayıs","Haziran","Temmuz","Ağustos","Eylül","Ekim","Kasım","Aralık"},MONTH(B790)))</f>
        <v/>
      </c>
      <c r="D790" s="2"/>
      <c r="E790" s="5" t="str">
        <f>IFERROR(INDEX('Malzeme Tanımlama'!$B$5:$B$300,MATCH(D790,'Malzeme Tanımlama'!$A$5:$A$300,0)),"")</f>
        <v/>
      </c>
      <c r="F790" s="2"/>
      <c r="G790" s="5"/>
      <c r="H790" s="5" t="str">
        <f>IFERROR(INDEX('Malzeme Tanımlama'!$D$5:$D$300,MATCH(D790,'Malzeme Tanımlama'!$A$5:$A$300,0)),"")</f>
        <v/>
      </c>
      <c r="I790" s="2"/>
      <c r="J790" s="2"/>
      <c r="K790" s="2"/>
    </row>
    <row r="791" spans="1:11" x14ac:dyDescent="0.3">
      <c r="A791" s="5" t="str">
        <f>IF(D791="","",COUNTIF($D$5:D791,"?*"))</f>
        <v/>
      </c>
      <c r="B791" s="6"/>
      <c r="C791" s="5" t="str">
        <f>IF(B791="","",INDEX({"Ocak","Şubat","Mart","Nisan","Mayıs","Haziran","Temmuz","Ağustos","Eylül","Ekim","Kasım","Aralık"},MONTH(B791)))</f>
        <v/>
      </c>
      <c r="D791" s="2"/>
      <c r="E791" s="5" t="str">
        <f>IFERROR(INDEX('Malzeme Tanımlama'!$B$5:$B$300,MATCH(D791,'Malzeme Tanımlama'!$A$5:$A$300,0)),"")</f>
        <v/>
      </c>
      <c r="F791" s="2"/>
      <c r="G791" s="5"/>
      <c r="H791" s="5" t="str">
        <f>IFERROR(INDEX('Malzeme Tanımlama'!$D$5:$D$300,MATCH(D791,'Malzeme Tanımlama'!$A$5:$A$300,0)),"")</f>
        <v/>
      </c>
      <c r="I791" s="2"/>
      <c r="J791" s="2"/>
      <c r="K791" s="2"/>
    </row>
    <row r="792" spans="1:11" x14ac:dyDescent="0.3">
      <c r="A792" s="5" t="str">
        <f>IF(D792="","",COUNTIF($D$5:D792,"?*"))</f>
        <v/>
      </c>
      <c r="B792" s="6"/>
      <c r="C792" s="5" t="str">
        <f>IF(B792="","",INDEX({"Ocak","Şubat","Mart","Nisan","Mayıs","Haziran","Temmuz","Ağustos","Eylül","Ekim","Kasım","Aralık"},MONTH(B792)))</f>
        <v/>
      </c>
      <c r="D792" s="2"/>
      <c r="E792" s="5" t="str">
        <f>IFERROR(INDEX('Malzeme Tanımlama'!$B$5:$B$300,MATCH(D792,'Malzeme Tanımlama'!$A$5:$A$300,0)),"")</f>
        <v/>
      </c>
      <c r="F792" s="2"/>
      <c r="G792" s="5"/>
      <c r="H792" s="5" t="str">
        <f>IFERROR(INDEX('Malzeme Tanımlama'!$D$5:$D$300,MATCH(D792,'Malzeme Tanımlama'!$A$5:$A$300,0)),"")</f>
        <v/>
      </c>
      <c r="I792" s="2"/>
      <c r="J792" s="2"/>
      <c r="K792" s="2"/>
    </row>
    <row r="793" spans="1:11" x14ac:dyDescent="0.3">
      <c r="A793" s="5" t="str">
        <f>IF(D793="","",COUNTIF($D$5:D793,"?*"))</f>
        <v/>
      </c>
      <c r="B793" s="6"/>
      <c r="C793" s="5" t="str">
        <f>IF(B793="","",INDEX({"Ocak","Şubat","Mart","Nisan","Mayıs","Haziran","Temmuz","Ağustos","Eylül","Ekim","Kasım","Aralık"},MONTH(B793)))</f>
        <v/>
      </c>
      <c r="D793" s="2"/>
      <c r="E793" s="5" t="str">
        <f>IFERROR(INDEX('Malzeme Tanımlama'!$B$5:$B$300,MATCH(D793,'Malzeme Tanımlama'!$A$5:$A$300,0)),"")</f>
        <v/>
      </c>
      <c r="F793" s="2"/>
      <c r="G793" s="5"/>
      <c r="H793" s="5" t="str">
        <f>IFERROR(INDEX('Malzeme Tanımlama'!$D$5:$D$300,MATCH(D793,'Malzeme Tanımlama'!$A$5:$A$300,0)),"")</f>
        <v/>
      </c>
      <c r="I793" s="2"/>
      <c r="J793" s="2"/>
      <c r="K793" s="2"/>
    </row>
    <row r="794" spans="1:11" x14ac:dyDescent="0.3">
      <c r="A794" s="5" t="str">
        <f>IF(D794="","",COUNTIF($D$5:D794,"?*"))</f>
        <v/>
      </c>
      <c r="B794" s="6"/>
      <c r="C794" s="5" t="str">
        <f>IF(B794="","",INDEX({"Ocak","Şubat","Mart","Nisan","Mayıs","Haziran","Temmuz","Ağustos","Eylül","Ekim","Kasım","Aralık"},MONTH(B794)))</f>
        <v/>
      </c>
      <c r="D794" s="2"/>
      <c r="E794" s="5" t="str">
        <f>IFERROR(INDEX('Malzeme Tanımlama'!$B$5:$B$300,MATCH(D794,'Malzeme Tanımlama'!$A$5:$A$300,0)),"")</f>
        <v/>
      </c>
      <c r="F794" s="2"/>
      <c r="G794" s="5"/>
      <c r="H794" s="5" t="str">
        <f>IFERROR(INDEX('Malzeme Tanımlama'!$D$5:$D$300,MATCH(D794,'Malzeme Tanımlama'!$A$5:$A$300,0)),"")</f>
        <v/>
      </c>
      <c r="I794" s="2"/>
      <c r="J794" s="2"/>
      <c r="K794" s="2"/>
    </row>
    <row r="795" spans="1:11" x14ac:dyDescent="0.3">
      <c r="A795" s="5" t="str">
        <f>IF(D795="","",COUNTIF($D$5:D795,"?*"))</f>
        <v/>
      </c>
      <c r="B795" s="6"/>
      <c r="C795" s="5" t="str">
        <f>IF(B795="","",INDEX({"Ocak","Şubat","Mart","Nisan","Mayıs","Haziran","Temmuz","Ağustos","Eylül","Ekim","Kasım","Aralık"},MONTH(B795)))</f>
        <v/>
      </c>
      <c r="D795" s="2"/>
      <c r="E795" s="5" t="str">
        <f>IFERROR(INDEX('Malzeme Tanımlama'!$B$5:$B$300,MATCH(D795,'Malzeme Tanımlama'!$A$5:$A$300,0)),"")</f>
        <v/>
      </c>
      <c r="F795" s="2"/>
      <c r="G795" s="5"/>
      <c r="H795" s="5" t="str">
        <f>IFERROR(INDEX('Malzeme Tanımlama'!$D$5:$D$300,MATCH(D795,'Malzeme Tanımlama'!$A$5:$A$300,0)),"")</f>
        <v/>
      </c>
      <c r="I795" s="2"/>
      <c r="J795" s="2"/>
      <c r="K795" s="2"/>
    </row>
    <row r="796" spans="1:11" x14ac:dyDescent="0.3">
      <c r="A796" s="5" t="str">
        <f>IF(D796="","",COUNTIF($D$5:D796,"?*"))</f>
        <v/>
      </c>
      <c r="B796" s="6"/>
      <c r="C796" s="5" t="str">
        <f>IF(B796="","",INDEX({"Ocak","Şubat","Mart","Nisan","Mayıs","Haziran","Temmuz","Ağustos","Eylül","Ekim","Kasım","Aralık"},MONTH(B796)))</f>
        <v/>
      </c>
      <c r="D796" s="2"/>
      <c r="E796" s="5" t="str">
        <f>IFERROR(INDEX('Malzeme Tanımlama'!$B$5:$B$300,MATCH(D796,'Malzeme Tanımlama'!$A$5:$A$300,0)),"")</f>
        <v/>
      </c>
      <c r="F796" s="2"/>
      <c r="G796" s="5"/>
      <c r="H796" s="5" t="str">
        <f>IFERROR(INDEX('Malzeme Tanımlama'!$D$5:$D$300,MATCH(D796,'Malzeme Tanımlama'!$A$5:$A$300,0)),"")</f>
        <v/>
      </c>
      <c r="I796" s="2"/>
      <c r="J796" s="2"/>
      <c r="K796" s="2"/>
    </row>
    <row r="797" spans="1:11" x14ac:dyDescent="0.3">
      <c r="A797" s="5" t="str">
        <f>IF(D797="","",COUNTIF($D$5:D797,"?*"))</f>
        <v/>
      </c>
      <c r="B797" s="6"/>
      <c r="C797" s="5" t="str">
        <f>IF(B797="","",INDEX({"Ocak","Şubat","Mart","Nisan","Mayıs","Haziran","Temmuz","Ağustos","Eylül","Ekim","Kasım","Aralık"},MONTH(B797)))</f>
        <v/>
      </c>
      <c r="D797" s="2"/>
      <c r="E797" s="5" t="str">
        <f>IFERROR(INDEX('Malzeme Tanımlama'!$B$5:$B$300,MATCH(D797,'Malzeme Tanımlama'!$A$5:$A$300,0)),"")</f>
        <v/>
      </c>
      <c r="F797" s="2"/>
      <c r="G797" s="5"/>
      <c r="H797" s="5" t="str">
        <f>IFERROR(INDEX('Malzeme Tanımlama'!$D$5:$D$300,MATCH(D797,'Malzeme Tanımlama'!$A$5:$A$300,0)),"")</f>
        <v/>
      </c>
      <c r="I797" s="2"/>
      <c r="J797" s="2"/>
      <c r="K797" s="2"/>
    </row>
    <row r="798" spans="1:11" x14ac:dyDescent="0.3">
      <c r="A798" s="5" t="str">
        <f>IF(D798="","",COUNTIF($D$5:D798,"?*"))</f>
        <v/>
      </c>
      <c r="B798" s="6"/>
      <c r="C798" s="5" t="str">
        <f>IF(B798="","",INDEX({"Ocak","Şubat","Mart","Nisan","Mayıs","Haziran","Temmuz","Ağustos","Eylül","Ekim","Kasım","Aralık"},MONTH(B798)))</f>
        <v/>
      </c>
      <c r="D798" s="2"/>
      <c r="E798" s="5" t="str">
        <f>IFERROR(INDEX('Malzeme Tanımlama'!$B$5:$B$300,MATCH(D798,'Malzeme Tanımlama'!$A$5:$A$300,0)),"")</f>
        <v/>
      </c>
      <c r="F798" s="2"/>
      <c r="G798" s="5"/>
      <c r="H798" s="5" t="str">
        <f>IFERROR(INDEX('Malzeme Tanımlama'!$D$5:$D$300,MATCH(D798,'Malzeme Tanımlama'!$A$5:$A$300,0)),"")</f>
        <v/>
      </c>
      <c r="I798" s="2"/>
      <c r="J798" s="2"/>
      <c r="K798" s="2"/>
    </row>
    <row r="799" spans="1:11" x14ac:dyDescent="0.3">
      <c r="A799" s="5" t="str">
        <f>IF(D799="","",COUNTIF($D$5:D799,"?*"))</f>
        <v/>
      </c>
      <c r="B799" s="6"/>
      <c r="C799" s="5" t="str">
        <f>IF(B799="","",INDEX({"Ocak","Şubat","Mart","Nisan","Mayıs","Haziran","Temmuz","Ağustos","Eylül","Ekim","Kasım","Aralık"},MONTH(B799)))</f>
        <v/>
      </c>
      <c r="D799" s="2"/>
      <c r="E799" s="5" t="str">
        <f>IFERROR(INDEX('Malzeme Tanımlama'!$B$5:$B$300,MATCH(D799,'Malzeme Tanımlama'!$A$5:$A$300,0)),"")</f>
        <v/>
      </c>
      <c r="F799" s="2"/>
      <c r="G799" s="5"/>
      <c r="H799" s="5" t="str">
        <f>IFERROR(INDEX('Malzeme Tanımlama'!$D$5:$D$300,MATCH(D799,'Malzeme Tanımlama'!$A$5:$A$300,0)),"")</f>
        <v/>
      </c>
      <c r="I799" s="2"/>
      <c r="J799" s="2"/>
      <c r="K799" s="2"/>
    </row>
    <row r="800" spans="1:11" x14ac:dyDescent="0.3">
      <c r="A800" s="5" t="str">
        <f>IF(D800="","",COUNTIF($D$5:D800,"?*"))</f>
        <v/>
      </c>
      <c r="B800" s="6"/>
      <c r="C800" s="5" t="str">
        <f>IF(B800="","",INDEX({"Ocak","Şubat","Mart","Nisan","Mayıs","Haziran","Temmuz","Ağustos","Eylül","Ekim","Kasım","Aralık"},MONTH(B800)))</f>
        <v/>
      </c>
      <c r="D800" s="2"/>
      <c r="E800" s="5" t="str">
        <f>IFERROR(INDEX('Malzeme Tanımlama'!$B$5:$B$300,MATCH(D800,'Malzeme Tanımlama'!$A$5:$A$300,0)),"")</f>
        <v/>
      </c>
      <c r="F800" s="2"/>
      <c r="G800" s="5"/>
      <c r="H800" s="5" t="str">
        <f>IFERROR(INDEX('Malzeme Tanımlama'!$D$5:$D$300,MATCH(D800,'Malzeme Tanımlama'!$A$5:$A$300,0)),"")</f>
        <v/>
      </c>
      <c r="I800" s="2"/>
      <c r="J800" s="2"/>
      <c r="K800" s="2"/>
    </row>
    <row r="801" spans="1:11" x14ac:dyDescent="0.3">
      <c r="A801" s="5" t="str">
        <f>IF(D801="","",COUNTIF($D$5:D801,"?*"))</f>
        <v/>
      </c>
      <c r="B801" s="6"/>
      <c r="C801" s="5" t="str">
        <f>IF(B801="","",INDEX({"Ocak","Şubat","Mart","Nisan","Mayıs","Haziran","Temmuz","Ağustos","Eylül","Ekim","Kasım","Aralık"},MONTH(B801)))</f>
        <v/>
      </c>
      <c r="D801" s="2"/>
      <c r="E801" s="5" t="str">
        <f>IFERROR(INDEX('Malzeme Tanımlama'!$B$5:$B$300,MATCH(D801,'Malzeme Tanımlama'!$A$5:$A$300,0)),"")</f>
        <v/>
      </c>
      <c r="F801" s="2"/>
      <c r="G801" s="5"/>
      <c r="H801" s="5" t="str">
        <f>IFERROR(INDEX('Malzeme Tanımlama'!$D$5:$D$300,MATCH(D801,'Malzeme Tanımlama'!$A$5:$A$300,0)),"")</f>
        <v/>
      </c>
      <c r="I801" s="2"/>
      <c r="J801" s="2"/>
      <c r="K801" s="2"/>
    </row>
    <row r="802" spans="1:11" x14ac:dyDescent="0.3">
      <c r="A802" s="5" t="str">
        <f>IF(D802="","",COUNTIF($D$5:D802,"?*"))</f>
        <v/>
      </c>
      <c r="B802" s="6"/>
      <c r="C802" s="5" t="str">
        <f>IF(B802="","",INDEX({"Ocak","Şubat","Mart","Nisan","Mayıs","Haziran","Temmuz","Ağustos","Eylül","Ekim","Kasım","Aralık"},MONTH(B802)))</f>
        <v/>
      </c>
      <c r="D802" s="2"/>
      <c r="E802" s="5" t="str">
        <f>IFERROR(INDEX('Malzeme Tanımlama'!$B$5:$B$300,MATCH(D802,'Malzeme Tanımlama'!$A$5:$A$300,0)),"")</f>
        <v/>
      </c>
      <c r="F802" s="2"/>
      <c r="G802" s="5"/>
      <c r="H802" s="5" t="str">
        <f>IFERROR(INDEX('Malzeme Tanımlama'!$D$5:$D$300,MATCH(D802,'Malzeme Tanımlama'!$A$5:$A$300,0)),"")</f>
        <v/>
      </c>
      <c r="I802" s="2"/>
      <c r="J802" s="2"/>
      <c r="K802" s="2"/>
    </row>
    <row r="803" spans="1:11" x14ac:dyDescent="0.3">
      <c r="A803" s="5" t="str">
        <f>IF(D803="","",COUNTIF($D$5:D803,"?*"))</f>
        <v/>
      </c>
      <c r="B803" s="6"/>
      <c r="C803" s="5" t="str">
        <f>IF(B803="","",INDEX({"Ocak","Şubat","Mart","Nisan","Mayıs","Haziran","Temmuz","Ağustos","Eylül","Ekim","Kasım","Aralık"},MONTH(B803)))</f>
        <v/>
      </c>
      <c r="D803" s="2"/>
      <c r="E803" s="5" t="str">
        <f>IFERROR(INDEX('Malzeme Tanımlama'!$B$5:$B$300,MATCH(D803,'Malzeme Tanımlama'!$A$5:$A$300,0)),"")</f>
        <v/>
      </c>
      <c r="F803" s="2"/>
      <c r="G803" s="5"/>
      <c r="H803" s="5" t="str">
        <f>IFERROR(INDEX('Malzeme Tanımlama'!$D$5:$D$300,MATCH(D803,'Malzeme Tanımlama'!$A$5:$A$300,0)),"")</f>
        <v/>
      </c>
      <c r="I803" s="2"/>
      <c r="J803" s="2"/>
      <c r="K803" s="2"/>
    </row>
    <row r="804" spans="1:11" x14ac:dyDescent="0.3">
      <c r="A804" s="5" t="str">
        <f>IF(D804="","",COUNTIF($D$5:D804,"?*"))</f>
        <v/>
      </c>
      <c r="B804" s="6"/>
      <c r="C804" s="5" t="str">
        <f>IF(B804="","",INDEX({"Ocak","Şubat","Mart","Nisan","Mayıs","Haziran","Temmuz","Ağustos","Eylül","Ekim","Kasım","Aralık"},MONTH(B804)))</f>
        <v/>
      </c>
      <c r="D804" s="2"/>
      <c r="E804" s="5" t="str">
        <f>IFERROR(INDEX('Malzeme Tanımlama'!$B$5:$B$300,MATCH(D804,'Malzeme Tanımlama'!$A$5:$A$300,0)),"")</f>
        <v/>
      </c>
      <c r="F804" s="2"/>
      <c r="G804" s="5"/>
      <c r="H804" s="5" t="str">
        <f>IFERROR(INDEX('Malzeme Tanımlama'!$D$5:$D$300,MATCH(D804,'Malzeme Tanımlama'!$A$5:$A$300,0)),"")</f>
        <v/>
      </c>
      <c r="I804" s="2"/>
      <c r="J804" s="2"/>
      <c r="K804" s="2"/>
    </row>
    <row r="805" spans="1:11" x14ac:dyDescent="0.3">
      <c r="A805" s="5" t="str">
        <f>IF(D805="","",COUNTIF($D$5:D805,"?*"))</f>
        <v/>
      </c>
      <c r="B805" s="6"/>
      <c r="C805" s="5" t="str">
        <f>IF(B805="","",INDEX({"Ocak","Şubat","Mart","Nisan","Mayıs","Haziran","Temmuz","Ağustos","Eylül","Ekim","Kasım","Aralık"},MONTH(B805)))</f>
        <v/>
      </c>
      <c r="D805" s="2"/>
      <c r="E805" s="5" t="str">
        <f>IFERROR(INDEX('Malzeme Tanımlama'!$B$5:$B$300,MATCH(D805,'Malzeme Tanımlama'!$A$5:$A$300,0)),"")</f>
        <v/>
      </c>
      <c r="F805" s="2"/>
      <c r="G805" s="5"/>
      <c r="H805" s="5" t="str">
        <f>IFERROR(INDEX('Malzeme Tanımlama'!$D$5:$D$300,MATCH(D805,'Malzeme Tanımlama'!$A$5:$A$300,0)),"")</f>
        <v/>
      </c>
      <c r="I805" s="2"/>
      <c r="J805" s="2"/>
      <c r="K805" s="2"/>
    </row>
    <row r="806" spans="1:11" x14ac:dyDescent="0.3">
      <c r="A806" s="5" t="str">
        <f>IF(D806="","",COUNTIF($D$5:D806,"?*"))</f>
        <v/>
      </c>
      <c r="B806" s="6"/>
      <c r="C806" s="5" t="str">
        <f>IF(B806="","",INDEX({"Ocak","Şubat","Mart","Nisan","Mayıs","Haziran","Temmuz","Ağustos","Eylül","Ekim","Kasım","Aralık"},MONTH(B806)))</f>
        <v/>
      </c>
      <c r="D806" s="2"/>
      <c r="E806" s="5" t="str">
        <f>IFERROR(INDEX('Malzeme Tanımlama'!$B$5:$B$300,MATCH(D806,'Malzeme Tanımlama'!$A$5:$A$300,0)),"")</f>
        <v/>
      </c>
      <c r="F806" s="2"/>
      <c r="G806" s="5"/>
      <c r="H806" s="5" t="str">
        <f>IFERROR(INDEX('Malzeme Tanımlama'!$D$5:$D$300,MATCH(D806,'Malzeme Tanımlama'!$A$5:$A$300,0)),"")</f>
        <v/>
      </c>
      <c r="I806" s="2"/>
      <c r="J806" s="2"/>
      <c r="K806" s="2"/>
    </row>
    <row r="807" spans="1:11" x14ac:dyDescent="0.3">
      <c r="A807" s="5" t="str">
        <f>IF(D807="","",COUNTIF($D$5:D807,"?*"))</f>
        <v/>
      </c>
      <c r="B807" s="6"/>
      <c r="C807" s="5" t="str">
        <f>IF(B807="","",INDEX({"Ocak","Şubat","Mart","Nisan","Mayıs","Haziran","Temmuz","Ağustos","Eylül","Ekim","Kasım","Aralık"},MONTH(B807)))</f>
        <v/>
      </c>
      <c r="D807" s="2"/>
      <c r="E807" s="5" t="str">
        <f>IFERROR(INDEX('Malzeme Tanımlama'!$B$5:$B$300,MATCH(D807,'Malzeme Tanımlama'!$A$5:$A$300,0)),"")</f>
        <v/>
      </c>
      <c r="F807" s="2"/>
      <c r="G807" s="5"/>
      <c r="H807" s="5" t="str">
        <f>IFERROR(INDEX('Malzeme Tanımlama'!$D$5:$D$300,MATCH(D807,'Malzeme Tanımlama'!$A$5:$A$300,0)),"")</f>
        <v/>
      </c>
      <c r="I807" s="2"/>
      <c r="J807" s="2"/>
      <c r="K807" s="2"/>
    </row>
    <row r="808" spans="1:11" x14ac:dyDescent="0.3">
      <c r="A808" s="5" t="str">
        <f>IF(D808="","",COUNTIF($D$5:D808,"?*"))</f>
        <v/>
      </c>
      <c r="B808" s="6"/>
      <c r="C808" s="5" t="str">
        <f>IF(B808="","",INDEX({"Ocak","Şubat","Mart","Nisan","Mayıs","Haziran","Temmuz","Ağustos","Eylül","Ekim","Kasım","Aralık"},MONTH(B808)))</f>
        <v/>
      </c>
      <c r="D808" s="2"/>
      <c r="E808" s="5" t="str">
        <f>IFERROR(INDEX('Malzeme Tanımlama'!$B$5:$B$300,MATCH(D808,'Malzeme Tanımlama'!$A$5:$A$300,0)),"")</f>
        <v/>
      </c>
      <c r="F808" s="2"/>
      <c r="G808" s="5"/>
      <c r="H808" s="5" t="str">
        <f>IFERROR(INDEX('Malzeme Tanımlama'!$D$5:$D$300,MATCH(D808,'Malzeme Tanımlama'!$A$5:$A$300,0)),"")</f>
        <v/>
      </c>
      <c r="I808" s="2"/>
      <c r="J808" s="2"/>
      <c r="K808" s="2"/>
    </row>
    <row r="809" spans="1:11" x14ac:dyDescent="0.3">
      <c r="A809" s="5" t="str">
        <f>IF(D809="","",COUNTIF($D$5:D809,"?*"))</f>
        <v/>
      </c>
      <c r="B809" s="6"/>
      <c r="C809" s="5" t="str">
        <f>IF(B809="","",INDEX({"Ocak","Şubat","Mart","Nisan","Mayıs","Haziran","Temmuz","Ağustos","Eylül","Ekim","Kasım","Aralık"},MONTH(B809)))</f>
        <v/>
      </c>
      <c r="D809" s="2"/>
      <c r="E809" s="5" t="str">
        <f>IFERROR(INDEX('Malzeme Tanımlama'!$B$5:$B$300,MATCH(D809,'Malzeme Tanımlama'!$A$5:$A$300,0)),"")</f>
        <v/>
      </c>
      <c r="F809" s="2"/>
      <c r="G809" s="5"/>
      <c r="H809" s="5" t="str">
        <f>IFERROR(INDEX('Malzeme Tanımlama'!$D$5:$D$300,MATCH(D809,'Malzeme Tanımlama'!$A$5:$A$300,0)),"")</f>
        <v/>
      </c>
      <c r="I809" s="2"/>
      <c r="J809" s="2"/>
      <c r="K809" s="2"/>
    </row>
    <row r="810" spans="1:11" x14ac:dyDescent="0.3">
      <c r="A810" s="5" t="str">
        <f>IF(D810="","",COUNTIF($D$5:D810,"?*"))</f>
        <v/>
      </c>
      <c r="B810" s="6"/>
      <c r="C810" s="5" t="str">
        <f>IF(B810="","",INDEX({"Ocak","Şubat","Mart","Nisan","Mayıs","Haziran","Temmuz","Ağustos","Eylül","Ekim","Kasım","Aralık"},MONTH(B810)))</f>
        <v/>
      </c>
      <c r="D810" s="2"/>
      <c r="E810" s="5" t="str">
        <f>IFERROR(INDEX('Malzeme Tanımlama'!$B$5:$B$300,MATCH(D810,'Malzeme Tanımlama'!$A$5:$A$300,0)),"")</f>
        <v/>
      </c>
      <c r="F810" s="2"/>
      <c r="G810" s="5"/>
      <c r="H810" s="5" t="str">
        <f>IFERROR(INDEX('Malzeme Tanımlama'!$D$5:$D$300,MATCH(D810,'Malzeme Tanımlama'!$A$5:$A$300,0)),"")</f>
        <v/>
      </c>
      <c r="I810" s="2"/>
      <c r="J810" s="2"/>
      <c r="K810" s="2"/>
    </row>
    <row r="811" spans="1:11" x14ac:dyDescent="0.3">
      <c r="A811" s="5" t="str">
        <f>IF(D811="","",COUNTIF($D$5:D811,"?*"))</f>
        <v/>
      </c>
      <c r="B811" s="6"/>
      <c r="C811" s="5" t="str">
        <f>IF(B811="","",INDEX({"Ocak","Şubat","Mart","Nisan","Mayıs","Haziran","Temmuz","Ağustos","Eylül","Ekim","Kasım","Aralık"},MONTH(B811)))</f>
        <v/>
      </c>
      <c r="D811" s="2"/>
      <c r="E811" s="5" t="str">
        <f>IFERROR(INDEX('Malzeme Tanımlama'!$B$5:$B$300,MATCH(D811,'Malzeme Tanımlama'!$A$5:$A$300,0)),"")</f>
        <v/>
      </c>
      <c r="F811" s="2"/>
      <c r="G811" s="5"/>
      <c r="H811" s="5" t="str">
        <f>IFERROR(INDEX('Malzeme Tanımlama'!$D$5:$D$300,MATCH(D811,'Malzeme Tanımlama'!$A$5:$A$300,0)),"")</f>
        <v/>
      </c>
      <c r="I811" s="2"/>
      <c r="J811" s="2"/>
      <c r="K811" s="2"/>
    </row>
    <row r="812" spans="1:11" x14ac:dyDescent="0.3">
      <c r="A812" s="5" t="str">
        <f>IF(D812="","",COUNTIF($D$5:D812,"?*"))</f>
        <v/>
      </c>
      <c r="B812" s="6"/>
      <c r="C812" s="5" t="str">
        <f>IF(B812="","",INDEX({"Ocak","Şubat","Mart","Nisan","Mayıs","Haziran","Temmuz","Ağustos","Eylül","Ekim","Kasım","Aralık"},MONTH(B812)))</f>
        <v/>
      </c>
      <c r="D812" s="2"/>
      <c r="E812" s="5" t="str">
        <f>IFERROR(INDEX('Malzeme Tanımlama'!$B$5:$B$300,MATCH(D812,'Malzeme Tanımlama'!$A$5:$A$300,0)),"")</f>
        <v/>
      </c>
      <c r="F812" s="2"/>
      <c r="G812" s="5"/>
      <c r="H812" s="5" t="str">
        <f>IFERROR(INDEX('Malzeme Tanımlama'!$D$5:$D$300,MATCH(D812,'Malzeme Tanımlama'!$A$5:$A$300,0)),"")</f>
        <v/>
      </c>
      <c r="I812" s="2"/>
      <c r="J812" s="2"/>
      <c r="K812" s="2"/>
    </row>
    <row r="813" spans="1:11" x14ac:dyDescent="0.3">
      <c r="A813" s="5" t="str">
        <f>IF(D813="","",COUNTIF($D$5:D813,"?*"))</f>
        <v/>
      </c>
      <c r="B813" s="6"/>
      <c r="C813" s="5" t="str">
        <f>IF(B813="","",INDEX({"Ocak","Şubat","Mart","Nisan","Mayıs","Haziran","Temmuz","Ağustos","Eylül","Ekim","Kasım","Aralık"},MONTH(B813)))</f>
        <v/>
      </c>
      <c r="D813" s="2"/>
      <c r="E813" s="5" t="str">
        <f>IFERROR(INDEX('Malzeme Tanımlama'!$B$5:$B$300,MATCH(D813,'Malzeme Tanımlama'!$A$5:$A$300,0)),"")</f>
        <v/>
      </c>
      <c r="F813" s="2"/>
      <c r="G813" s="5"/>
      <c r="H813" s="5" t="str">
        <f>IFERROR(INDEX('Malzeme Tanımlama'!$D$5:$D$300,MATCH(D813,'Malzeme Tanımlama'!$A$5:$A$300,0)),"")</f>
        <v/>
      </c>
      <c r="I813" s="2"/>
      <c r="J813" s="2"/>
      <c r="K813" s="2"/>
    </row>
    <row r="814" spans="1:11" x14ac:dyDescent="0.3">
      <c r="A814" s="5" t="str">
        <f>IF(D814="","",COUNTIF($D$5:D814,"?*"))</f>
        <v/>
      </c>
      <c r="B814" s="6"/>
      <c r="C814" s="5" t="str">
        <f>IF(B814="","",INDEX({"Ocak","Şubat","Mart","Nisan","Mayıs","Haziran","Temmuz","Ağustos","Eylül","Ekim","Kasım","Aralık"},MONTH(B814)))</f>
        <v/>
      </c>
      <c r="D814" s="2"/>
      <c r="E814" s="5" t="str">
        <f>IFERROR(INDEX('Malzeme Tanımlama'!$B$5:$B$300,MATCH(D814,'Malzeme Tanımlama'!$A$5:$A$300,0)),"")</f>
        <v/>
      </c>
      <c r="F814" s="2"/>
      <c r="G814" s="5"/>
      <c r="H814" s="5" t="str">
        <f>IFERROR(INDEX('Malzeme Tanımlama'!$D$5:$D$300,MATCH(D814,'Malzeme Tanımlama'!$A$5:$A$300,0)),"")</f>
        <v/>
      </c>
      <c r="I814" s="2"/>
      <c r="J814" s="2"/>
      <c r="K814" s="2"/>
    </row>
    <row r="815" spans="1:11" x14ac:dyDescent="0.3">
      <c r="A815" s="5" t="str">
        <f>IF(D815="","",COUNTIF($D$5:D815,"?*"))</f>
        <v/>
      </c>
      <c r="B815" s="6"/>
      <c r="C815" s="5" t="str">
        <f>IF(B815="","",INDEX({"Ocak","Şubat","Mart","Nisan","Mayıs","Haziran","Temmuz","Ağustos","Eylül","Ekim","Kasım","Aralık"},MONTH(B815)))</f>
        <v/>
      </c>
      <c r="D815" s="2"/>
      <c r="E815" s="5" t="str">
        <f>IFERROR(INDEX('Malzeme Tanımlama'!$B$5:$B$300,MATCH(D815,'Malzeme Tanımlama'!$A$5:$A$300,0)),"")</f>
        <v/>
      </c>
      <c r="F815" s="2"/>
      <c r="G815" s="5"/>
      <c r="H815" s="5" t="str">
        <f>IFERROR(INDEX('Malzeme Tanımlama'!$D$5:$D$300,MATCH(D815,'Malzeme Tanımlama'!$A$5:$A$300,0)),"")</f>
        <v/>
      </c>
      <c r="I815" s="2"/>
      <c r="J815" s="2"/>
      <c r="K815" s="2"/>
    </row>
    <row r="816" spans="1:11" x14ac:dyDescent="0.3">
      <c r="A816" s="5" t="str">
        <f>IF(D816="","",COUNTIF($D$5:D816,"?*"))</f>
        <v/>
      </c>
      <c r="B816" s="6"/>
      <c r="C816" s="5" t="str">
        <f>IF(B816="","",INDEX({"Ocak","Şubat","Mart","Nisan","Mayıs","Haziran","Temmuz","Ağustos","Eylül","Ekim","Kasım","Aralık"},MONTH(B816)))</f>
        <v/>
      </c>
      <c r="D816" s="2"/>
      <c r="E816" s="5" t="str">
        <f>IFERROR(INDEX('Malzeme Tanımlama'!$B$5:$B$300,MATCH(D816,'Malzeme Tanımlama'!$A$5:$A$300,0)),"")</f>
        <v/>
      </c>
      <c r="F816" s="2"/>
      <c r="G816" s="5"/>
      <c r="H816" s="5" t="str">
        <f>IFERROR(INDEX('Malzeme Tanımlama'!$D$5:$D$300,MATCH(D816,'Malzeme Tanımlama'!$A$5:$A$300,0)),"")</f>
        <v/>
      </c>
      <c r="I816" s="2"/>
      <c r="J816" s="2"/>
      <c r="K816" s="2"/>
    </row>
    <row r="817" spans="1:11" x14ac:dyDescent="0.3">
      <c r="A817" s="5" t="str">
        <f>IF(D817="","",COUNTIF($D$5:D817,"?*"))</f>
        <v/>
      </c>
      <c r="B817" s="6"/>
      <c r="C817" s="5" t="str">
        <f>IF(B817="","",INDEX({"Ocak","Şubat","Mart","Nisan","Mayıs","Haziran","Temmuz","Ağustos","Eylül","Ekim","Kasım","Aralık"},MONTH(B817)))</f>
        <v/>
      </c>
      <c r="D817" s="2"/>
      <c r="E817" s="5" t="str">
        <f>IFERROR(INDEX('Malzeme Tanımlama'!$B$5:$B$300,MATCH(D817,'Malzeme Tanımlama'!$A$5:$A$300,0)),"")</f>
        <v/>
      </c>
      <c r="F817" s="2"/>
      <c r="G817" s="5"/>
      <c r="H817" s="5" t="str">
        <f>IFERROR(INDEX('Malzeme Tanımlama'!$D$5:$D$300,MATCH(D817,'Malzeme Tanımlama'!$A$5:$A$300,0)),"")</f>
        <v/>
      </c>
      <c r="I817" s="2"/>
      <c r="J817" s="2"/>
      <c r="K817" s="2"/>
    </row>
    <row r="818" spans="1:11" x14ac:dyDescent="0.3">
      <c r="A818" s="5" t="str">
        <f>IF(D818="","",COUNTIF($D$5:D818,"?*"))</f>
        <v/>
      </c>
      <c r="B818" s="6"/>
      <c r="C818" s="5" t="str">
        <f>IF(B818="","",INDEX({"Ocak","Şubat","Mart","Nisan","Mayıs","Haziran","Temmuz","Ağustos","Eylül","Ekim","Kasım","Aralık"},MONTH(B818)))</f>
        <v/>
      </c>
      <c r="D818" s="2"/>
      <c r="E818" s="5" t="str">
        <f>IFERROR(INDEX('Malzeme Tanımlama'!$B$5:$B$300,MATCH(D818,'Malzeme Tanımlama'!$A$5:$A$300,0)),"")</f>
        <v/>
      </c>
      <c r="F818" s="2"/>
      <c r="G818" s="5"/>
      <c r="H818" s="5" t="str">
        <f>IFERROR(INDEX('Malzeme Tanımlama'!$D$5:$D$300,MATCH(D818,'Malzeme Tanımlama'!$A$5:$A$300,0)),"")</f>
        <v/>
      </c>
      <c r="I818" s="2"/>
      <c r="J818" s="2"/>
      <c r="K818" s="2"/>
    </row>
    <row r="819" spans="1:11" x14ac:dyDescent="0.3">
      <c r="A819" s="5" t="str">
        <f>IF(D819="","",COUNTIF($D$5:D819,"?*"))</f>
        <v/>
      </c>
      <c r="B819" s="6"/>
      <c r="C819" s="5" t="str">
        <f>IF(B819="","",INDEX({"Ocak","Şubat","Mart","Nisan","Mayıs","Haziran","Temmuz","Ağustos","Eylül","Ekim","Kasım","Aralık"},MONTH(B819)))</f>
        <v/>
      </c>
      <c r="D819" s="2"/>
      <c r="E819" s="5" t="str">
        <f>IFERROR(INDEX('Malzeme Tanımlama'!$B$5:$B$300,MATCH(D819,'Malzeme Tanımlama'!$A$5:$A$300,0)),"")</f>
        <v/>
      </c>
      <c r="F819" s="2"/>
      <c r="G819" s="5"/>
      <c r="H819" s="5" t="str">
        <f>IFERROR(INDEX('Malzeme Tanımlama'!$D$5:$D$300,MATCH(D819,'Malzeme Tanımlama'!$A$5:$A$300,0)),"")</f>
        <v/>
      </c>
      <c r="I819" s="2"/>
      <c r="J819" s="2"/>
      <c r="K819" s="2"/>
    </row>
    <row r="820" spans="1:11" x14ac:dyDescent="0.3">
      <c r="A820" s="5" t="str">
        <f>IF(D820="","",COUNTIF($D$5:D820,"?*"))</f>
        <v/>
      </c>
      <c r="B820" s="6"/>
      <c r="C820" s="5" t="str">
        <f>IF(B820="","",INDEX({"Ocak","Şubat","Mart","Nisan","Mayıs","Haziran","Temmuz","Ağustos","Eylül","Ekim","Kasım","Aralık"},MONTH(B820)))</f>
        <v/>
      </c>
      <c r="D820" s="2"/>
      <c r="E820" s="5" t="str">
        <f>IFERROR(INDEX('Malzeme Tanımlama'!$B$5:$B$300,MATCH(D820,'Malzeme Tanımlama'!$A$5:$A$300,0)),"")</f>
        <v/>
      </c>
      <c r="F820" s="2"/>
      <c r="G820" s="5"/>
      <c r="H820" s="5" t="str">
        <f>IFERROR(INDEX('Malzeme Tanımlama'!$D$5:$D$300,MATCH(D820,'Malzeme Tanımlama'!$A$5:$A$300,0)),"")</f>
        <v/>
      </c>
      <c r="I820" s="2"/>
      <c r="J820" s="2"/>
      <c r="K820" s="2"/>
    </row>
    <row r="821" spans="1:11" x14ac:dyDescent="0.3">
      <c r="A821" s="5" t="str">
        <f>IF(D821="","",COUNTIF($D$5:D821,"?*"))</f>
        <v/>
      </c>
      <c r="B821" s="6"/>
      <c r="C821" s="5" t="str">
        <f>IF(B821="","",INDEX({"Ocak","Şubat","Mart","Nisan","Mayıs","Haziran","Temmuz","Ağustos","Eylül","Ekim","Kasım","Aralık"},MONTH(B821)))</f>
        <v/>
      </c>
      <c r="D821" s="2"/>
      <c r="E821" s="5" t="str">
        <f>IFERROR(INDEX('Malzeme Tanımlama'!$B$5:$B$300,MATCH(D821,'Malzeme Tanımlama'!$A$5:$A$300,0)),"")</f>
        <v/>
      </c>
      <c r="F821" s="2"/>
      <c r="G821" s="5"/>
      <c r="H821" s="5" t="str">
        <f>IFERROR(INDEX('Malzeme Tanımlama'!$D$5:$D$300,MATCH(D821,'Malzeme Tanımlama'!$A$5:$A$300,0)),"")</f>
        <v/>
      </c>
      <c r="I821" s="2"/>
      <c r="J821" s="2"/>
      <c r="K821" s="2"/>
    </row>
    <row r="822" spans="1:11" x14ac:dyDescent="0.3">
      <c r="A822" s="5" t="str">
        <f>IF(D822="","",COUNTIF($D$5:D822,"?*"))</f>
        <v/>
      </c>
      <c r="B822" s="6"/>
      <c r="C822" s="5" t="str">
        <f>IF(B822="","",INDEX({"Ocak","Şubat","Mart","Nisan","Mayıs","Haziran","Temmuz","Ağustos","Eylül","Ekim","Kasım","Aralık"},MONTH(B822)))</f>
        <v/>
      </c>
      <c r="D822" s="2"/>
      <c r="E822" s="5" t="str">
        <f>IFERROR(INDEX('Malzeme Tanımlama'!$B$5:$B$300,MATCH(D822,'Malzeme Tanımlama'!$A$5:$A$300,0)),"")</f>
        <v/>
      </c>
      <c r="F822" s="2"/>
      <c r="G822" s="5"/>
      <c r="H822" s="5" t="str">
        <f>IFERROR(INDEX('Malzeme Tanımlama'!$D$5:$D$300,MATCH(D822,'Malzeme Tanımlama'!$A$5:$A$300,0)),"")</f>
        <v/>
      </c>
      <c r="I822" s="2"/>
      <c r="J822" s="2"/>
      <c r="K822" s="2"/>
    </row>
    <row r="823" spans="1:11" x14ac:dyDescent="0.3">
      <c r="A823" s="5" t="str">
        <f>IF(D823="","",COUNTIF($D$5:D823,"?*"))</f>
        <v/>
      </c>
      <c r="B823" s="6"/>
      <c r="C823" s="5" t="str">
        <f>IF(B823="","",INDEX({"Ocak","Şubat","Mart","Nisan","Mayıs","Haziran","Temmuz","Ağustos","Eylül","Ekim","Kasım","Aralık"},MONTH(B823)))</f>
        <v/>
      </c>
      <c r="D823" s="2"/>
      <c r="E823" s="5" t="str">
        <f>IFERROR(INDEX('Malzeme Tanımlama'!$B$5:$B$300,MATCH(D823,'Malzeme Tanımlama'!$A$5:$A$300,0)),"")</f>
        <v/>
      </c>
      <c r="F823" s="2"/>
      <c r="G823" s="5"/>
      <c r="H823" s="5" t="str">
        <f>IFERROR(INDEX('Malzeme Tanımlama'!$D$5:$D$300,MATCH(D823,'Malzeme Tanımlama'!$A$5:$A$300,0)),"")</f>
        <v/>
      </c>
      <c r="I823" s="2"/>
      <c r="J823" s="2"/>
      <c r="K823" s="2"/>
    </row>
    <row r="824" spans="1:11" x14ac:dyDescent="0.3">
      <c r="A824" s="5" t="str">
        <f>IF(D824="","",COUNTIF($D$5:D824,"?*"))</f>
        <v/>
      </c>
      <c r="B824" s="6"/>
      <c r="C824" s="5" t="str">
        <f>IF(B824="","",INDEX({"Ocak","Şubat","Mart","Nisan","Mayıs","Haziran","Temmuz","Ağustos","Eylül","Ekim","Kasım","Aralık"},MONTH(B824)))</f>
        <v/>
      </c>
      <c r="D824" s="2"/>
      <c r="E824" s="5" t="str">
        <f>IFERROR(INDEX('Malzeme Tanımlama'!$B$5:$B$300,MATCH(D824,'Malzeme Tanımlama'!$A$5:$A$300,0)),"")</f>
        <v/>
      </c>
      <c r="F824" s="2"/>
      <c r="G824" s="5"/>
      <c r="H824" s="5" t="str">
        <f>IFERROR(INDEX('Malzeme Tanımlama'!$D$5:$D$300,MATCH(D824,'Malzeme Tanımlama'!$A$5:$A$300,0)),"")</f>
        <v/>
      </c>
      <c r="I824" s="2"/>
      <c r="J824" s="2"/>
      <c r="K824" s="2"/>
    </row>
    <row r="825" spans="1:11" x14ac:dyDescent="0.3">
      <c r="A825" s="5" t="str">
        <f>IF(D825="","",COUNTIF($D$5:D825,"?*"))</f>
        <v/>
      </c>
      <c r="B825" s="6"/>
      <c r="C825" s="5" t="str">
        <f>IF(B825="","",INDEX({"Ocak","Şubat","Mart","Nisan","Mayıs","Haziran","Temmuz","Ağustos","Eylül","Ekim","Kasım","Aralık"},MONTH(B825)))</f>
        <v/>
      </c>
      <c r="D825" s="2"/>
      <c r="E825" s="5" t="str">
        <f>IFERROR(INDEX('Malzeme Tanımlama'!$B$5:$B$300,MATCH(D825,'Malzeme Tanımlama'!$A$5:$A$300,0)),"")</f>
        <v/>
      </c>
      <c r="F825" s="2"/>
      <c r="G825" s="5"/>
      <c r="H825" s="5" t="str">
        <f>IFERROR(INDEX('Malzeme Tanımlama'!$D$5:$D$300,MATCH(D825,'Malzeme Tanımlama'!$A$5:$A$300,0)),"")</f>
        <v/>
      </c>
      <c r="I825" s="2"/>
      <c r="J825" s="2"/>
      <c r="K825" s="2"/>
    </row>
    <row r="826" spans="1:11" x14ac:dyDescent="0.3">
      <c r="A826" s="5" t="str">
        <f>IF(D826="","",COUNTIF($D$5:D826,"?*"))</f>
        <v/>
      </c>
      <c r="B826" s="6"/>
      <c r="C826" s="5" t="str">
        <f>IF(B826="","",INDEX({"Ocak","Şubat","Mart","Nisan","Mayıs","Haziran","Temmuz","Ağustos","Eylül","Ekim","Kasım","Aralık"},MONTH(B826)))</f>
        <v/>
      </c>
      <c r="D826" s="2"/>
      <c r="E826" s="5" t="str">
        <f>IFERROR(INDEX('Malzeme Tanımlama'!$B$5:$B$300,MATCH(D826,'Malzeme Tanımlama'!$A$5:$A$300,0)),"")</f>
        <v/>
      </c>
      <c r="F826" s="2"/>
      <c r="G826" s="5"/>
      <c r="H826" s="5" t="str">
        <f>IFERROR(INDEX('Malzeme Tanımlama'!$D$5:$D$300,MATCH(D826,'Malzeme Tanımlama'!$A$5:$A$300,0)),"")</f>
        <v/>
      </c>
      <c r="I826" s="2"/>
      <c r="J826" s="2"/>
      <c r="K826" s="2"/>
    </row>
    <row r="827" spans="1:11" x14ac:dyDescent="0.3">
      <c r="A827" s="5" t="str">
        <f>IF(D827="","",COUNTIF($D$5:D827,"?*"))</f>
        <v/>
      </c>
      <c r="B827" s="6"/>
      <c r="C827" s="5" t="str">
        <f>IF(B827="","",INDEX({"Ocak","Şubat","Mart","Nisan","Mayıs","Haziran","Temmuz","Ağustos","Eylül","Ekim","Kasım","Aralık"},MONTH(B827)))</f>
        <v/>
      </c>
      <c r="D827" s="2"/>
      <c r="E827" s="5" t="str">
        <f>IFERROR(INDEX('Malzeme Tanımlama'!$B$5:$B$300,MATCH(D827,'Malzeme Tanımlama'!$A$5:$A$300,0)),"")</f>
        <v/>
      </c>
      <c r="F827" s="2"/>
      <c r="G827" s="5"/>
      <c r="H827" s="5" t="str">
        <f>IFERROR(INDEX('Malzeme Tanımlama'!$D$5:$D$300,MATCH(D827,'Malzeme Tanımlama'!$A$5:$A$300,0)),"")</f>
        <v/>
      </c>
      <c r="I827" s="2"/>
      <c r="J827" s="2"/>
      <c r="K827" s="2"/>
    </row>
    <row r="828" spans="1:11" x14ac:dyDescent="0.3">
      <c r="A828" s="5" t="str">
        <f>IF(D828="","",COUNTIF($D$5:D828,"?*"))</f>
        <v/>
      </c>
      <c r="B828" s="6"/>
      <c r="C828" s="5" t="str">
        <f>IF(B828="","",INDEX({"Ocak","Şubat","Mart","Nisan","Mayıs","Haziran","Temmuz","Ağustos","Eylül","Ekim","Kasım","Aralık"},MONTH(B828)))</f>
        <v/>
      </c>
      <c r="D828" s="2"/>
      <c r="E828" s="5" t="str">
        <f>IFERROR(INDEX('Malzeme Tanımlama'!$B$5:$B$300,MATCH(D828,'Malzeme Tanımlama'!$A$5:$A$300,0)),"")</f>
        <v/>
      </c>
      <c r="F828" s="2"/>
      <c r="G828" s="5"/>
      <c r="H828" s="5" t="str">
        <f>IFERROR(INDEX('Malzeme Tanımlama'!$D$5:$D$300,MATCH(D828,'Malzeme Tanımlama'!$A$5:$A$300,0)),"")</f>
        <v/>
      </c>
      <c r="I828" s="2"/>
      <c r="J828" s="2"/>
      <c r="K828" s="2"/>
    </row>
    <row r="829" spans="1:11" x14ac:dyDescent="0.3">
      <c r="A829" s="5" t="str">
        <f>IF(D829="","",COUNTIF($D$5:D829,"?*"))</f>
        <v/>
      </c>
      <c r="B829" s="6"/>
      <c r="C829" s="5" t="str">
        <f>IF(B829="","",INDEX({"Ocak","Şubat","Mart","Nisan","Mayıs","Haziran","Temmuz","Ağustos","Eylül","Ekim","Kasım","Aralık"},MONTH(B829)))</f>
        <v/>
      </c>
      <c r="D829" s="2"/>
      <c r="E829" s="5" t="str">
        <f>IFERROR(INDEX('Malzeme Tanımlama'!$B$5:$B$300,MATCH(D829,'Malzeme Tanımlama'!$A$5:$A$300,0)),"")</f>
        <v/>
      </c>
      <c r="F829" s="2"/>
      <c r="G829" s="5"/>
      <c r="H829" s="5" t="str">
        <f>IFERROR(INDEX('Malzeme Tanımlama'!$D$5:$D$300,MATCH(D829,'Malzeme Tanımlama'!$A$5:$A$300,0)),"")</f>
        <v/>
      </c>
      <c r="I829" s="2"/>
      <c r="J829" s="2"/>
      <c r="K829" s="2"/>
    </row>
    <row r="830" spans="1:11" x14ac:dyDescent="0.3">
      <c r="A830" s="5" t="str">
        <f>IF(D830="","",COUNTIF($D$5:D830,"?*"))</f>
        <v/>
      </c>
      <c r="B830" s="6"/>
      <c r="C830" s="5" t="str">
        <f>IF(B830="","",INDEX({"Ocak","Şubat","Mart","Nisan","Mayıs","Haziran","Temmuz","Ağustos","Eylül","Ekim","Kasım","Aralık"},MONTH(B830)))</f>
        <v/>
      </c>
      <c r="D830" s="2"/>
      <c r="E830" s="5" t="str">
        <f>IFERROR(INDEX('Malzeme Tanımlama'!$B$5:$B$300,MATCH(D830,'Malzeme Tanımlama'!$A$5:$A$300,0)),"")</f>
        <v/>
      </c>
      <c r="F830" s="2"/>
      <c r="G830" s="5"/>
      <c r="H830" s="5" t="str">
        <f>IFERROR(INDEX('Malzeme Tanımlama'!$D$5:$D$300,MATCH(D830,'Malzeme Tanımlama'!$A$5:$A$300,0)),"")</f>
        <v/>
      </c>
      <c r="I830" s="2"/>
      <c r="J830" s="2"/>
      <c r="K830" s="2"/>
    </row>
    <row r="831" spans="1:11" x14ac:dyDescent="0.3">
      <c r="A831" s="5" t="str">
        <f>IF(D831="","",COUNTIF($D$5:D831,"?*"))</f>
        <v/>
      </c>
      <c r="B831" s="6"/>
      <c r="C831" s="5" t="str">
        <f>IF(B831="","",INDEX({"Ocak","Şubat","Mart","Nisan","Mayıs","Haziran","Temmuz","Ağustos","Eylül","Ekim","Kasım","Aralık"},MONTH(B831)))</f>
        <v/>
      </c>
      <c r="D831" s="2"/>
      <c r="E831" s="5" t="str">
        <f>IFERROR(INDEX('Malzeme Tanımlama'!$B$5:$B$300,MATCH(D831,'Malzeme Tanımlama'!$A$5:$A$300,0)),"")</f>
        <v/>
      </c>
      <c r="F831" s="2"/>
      <c r="G831" s="5"/>
      <c r="H831" s="5" t="str">
        <f>IFERROR(INDEX('Malzeme Tanımlama'!$D$5:$D$300,MATCH(D831,'Malzeme Tanımlama'!$A$5:$A$300,0)),"")</f>
        <v/>
      </c>
      <c r="I831" s="2"/>
      <c r="J831" s="2"/>
      <c r="K831" s="2"/>
    </row>
    <row r="832" spans="1:11" x14ac:dyDescent="0.3">
      <c r="A832" s="5" t="str">
        <f>IF(D832="","",COUNTIF($D$5:D832,"?*"))</f>
        <v/>
      </c>
      <c r="B832" s="6"/>
      <c r="C832" s="5" t="str">
        <f>IF(B832="","",INDEX({"Ocak","Şubat","Mart","Nisan","Mayıs","Haziran","Temmuz","Ağustos","Eylül","Ekim","Kasım","Aralık"},MONTH(B832)))</f>
        <v/>
      </c>
      <c r="D832" s="2"/>
      <c r="E832" s="5" t="str">
        <f>IFERROR(INDEX('Malzeme Tanımlama'!$B$5:$B$300,MATCH(D832,'Malzeme Tanımlama'!$A$5:$A$300,0)),"")</f>
        <v/>
      </c>
      <c r="F832" s="2"/>
      <c r="G832" s="5"/>
      <c r="H832" s="5" t="str">
        <f>IFERROR(INDEX('Malzeme Tanımlama'!$D$5:$D$300,MATCH(D832,'Malzeme Tanımlama'!$A$5:$A$300,0)),"")</f>
        <v/>
      </c>
      <c r="I832" s="2"/>
      <c r="J832" s="2"/>
      <c r="K832" s="2"/>
    </row>
    <row r="833" spans="1:11" x14ac:dyDescent="0.3">
      <c r="A833" s="5" t="str">
        <f>IF(D833="","",COUNTIF($D$5:D833,"?*"))</f>
        <v/>
      </c>
      <c r="B833" s="6"/>
      <c r="C833" s="5" t="str">
        <f>IF(B833="","",INDEX({"Ocak","Şubat","Mart","Nisan","Mayıs","Haziran","Temmuz","Ağustos","Eylül","Ekim","Kasım","Aralık"},MONTH(B833)))</f>
        <v/>
      </c>
      <c r="D833" s="2"/>
      <c r="E833" s="5" t="str">
        <f>IFERROR(INDEX('Malzeme Tanımlama'!$B$5:$B$300,MATCH(D833,'Malzeme Tanımlama'!$A$5:$A$300,0)),"")</f>
        <v/>
      </c>
      <c r="F833" s="2"/>
      <c r="G833" s="5"/>
      <c r="H833" s="5" t="str">
        <f>IFERROR(INDEX('Malzeme Tanımlama'!$D$5:$D$300,MATCH(D833,'Malzeme Tanımlama'!$A$5:$A$300,0)),"")</f>
        <v/>
      </c>
      <c r="I833" s="2"/>
      <c r="J833" s="2"/>
      <c r="K833" s="2"/>
    </row>
    <row r="834" spans="1:11" x14ac:dyDescent="0.3">
      <c r="A834" s="5" t="str">
        <f>IF(D834="","",COUNTIF($D$5:D834,"?*"))</f>
        <v/>
      </c>
      <c r="B834" s="6"/>
      <c r="C834" s="5" t="str">
        <f>IF(B834="","",INDEX({"Ocak","Şubat","Mart","Nisan","Mayıs","Haziran","Temmuz","Ağustos","Eylül","Ekim","Kasım","Aralık"},MONTH(B834)))</f>
        <v/>
      </c>
      <c r="D834" s="2"/>
      <c r="E834" s="5" t="str">
        <f>IFERROR(INDEX('Malzeme Tanımlama'!$B$5:$B$300,MATCH(D834,'Malzeme Tanımlama'!$A$5:$A$300,0)),"")</f>
        <v/>
      </c>
      <c r="F834" s="2"/>
      <c r="G834" s="5"/>
      <c r="H834" s="5" t="str">
        <f>IFERROR(INDEX('Malzeme Tanımlama'!$D$5:$D$300,MATCH(D834,'Malzeme Tanımlama'!$A$5:$A$300,0)),"")</f>
        <v/>
      </c>
      <c r="I834" s="2"/>
      <c r="J834" s="2"/>
      <c r="K834" s="2"/>
    </row>
    <row r="835" spans="1:11" x14ac:dyDescent="0.3">
      <c r="A835" s="5" t="str">
        <f>IF(D835="","",COUNTIF($D$5:D835,"?*"))</f>
        <v/>
      </c>
      <c r="B835" s="6"/>
      <c r="C835" s="5" t="str">
        <f>IF(B835="","",INDEX({"Ocak","Şubat","Mart","Nisan","Mayıs","Haziran","Temmuz","Ağustos","Eylül","Ekim","Kasım","Aralık"},MONTH(B835)))</f>
        <v/>
      </c>
      <c r="D835" s="2"/>
      <c r="E835" s="5" t="str">
        <f>IFERROR(INDEX('Malzeme Tanımlama'!$B$5:$B$300,MATCH(D835,'Malzeme Tanımlama'!$A$5:$A$300,0)),"")</f>
        <v/>
      </c>
      <c r="F835" s="2"/>
      <c r="G835" s="5"/>
      <c r="H835" s="5" t="str">
        <f>IFERROR(INDEX('Malzeme Tanımlama'!$D$5:$D$300,MATCH(D835,'Malzeme Tanımlama'!$A$5:$A$300,0)),"")</f>
        <v/>
      </c>
      <c r="I835" s="2"/>
      <c r="J835" s="2"/>
      <c r="K835" s="2"/>
    </row>
    <row r="836" spans="1:11" x14ac:dyDescent="0.3">
      <c r="A836" s="5" t="str">
        <f>IF(D836="","",COUNTIF($D$5:D836,"?*"))</f>
        <v/>
      </c>
      <c r="B836" s="6"/>
      <c r="C836" s="5" t="str">
        <f>IF(B836="","",INDEX({"Ocak","Şubat","Mart","Nisan","Mayıs","Haziran","Temmuz","Ağustos","Eylül","Ekim","Kasım","Aralık"},MONTH(B836)))</f>
        <v/>
      </c>
      <c r="D836" s="2"/>
      <c r="E836" s="5" t="str">
        <f>IFERROR(INDEX('Malzeme Tanımlama'!$B$5:$B$300,MATCH(D836,'Malzeme Tanımlama'!$A$5:$A$300,0)),"")</f>
        <v/>
      </c>
      <c r="F836" s="2"/>
      <c r="G836" s="5"/>
      <c r="H836" s="5" t="str">
        <f>IFERROR(INDEX('Malzeme Tanımlama'!$D$5:$D$300,MATCH(D836,'Malzeme Tanımlama'!$A$5:$A$300,0)),"")</f>
        <v/>
      </c>
      <c r="I836" s="2"/>
      <c r="J836" s="2"/>
      <c r="K836" s="2"/>
    </row>
    <row r="837" spans="1:11" x14ac:dyDescent="0.3">
      <c r="A837" s="5" t="str">
        <f>IF(D837="","",COUNTIF($D$5:D837,"?*"))</f>
        <v/>
      </c>
      <c r="B837" s="6"/>
      <c r="C837" s="5" t="str">
        <f>IF(B837="","",INDEX({"Ocak","Şubat","Mart","Nisan","Mayıs","Haziran","Temmuz","Ağustos","Eylül","Ekim","Kasım","Aralık"},MONTH(B837)))</f>
        <v/>
      </c>
      <c r="D837" s="2"/>
      <c r="E837" s="5" t="str">
        <f>IFERROR(INDEX('Malzeme Tanımlama'!$B$5:$B$300,MATCH(D837,'Malzeme Tanımlama'!$A$5:$A$300,0)),"")</f>
        <v/>
      </c>
      <c r="F837" s="2"/>
      <c r="G837" s="5"/>
      <c r="H837" s="5" t="str">
        <f>IFERROR(INDEX('Malzeme Tanımlama'!$D$5:$D$300,MATCH(D837,'Malzeme Tanımlama'!$A$5:$A$300,0)),"")</f>
        <v/>
      </c>
      <c r="I837" s="2"/>
      <c r="J837" s="2"/>
      <c r="K837" s="2"/>
    </row>
    <row r="838" spans="1:11" x14ac:dyDescent="0.3">
      <c r="A838" s="5" t="str">
        <f>IF(D838="","",COUNTIF($D$5:D838,"?*"))</f>
        <v/>
      </c>
      <c r="B838" s="6"/>
      <c r="C838" s="5" t="str">
        <f>IF(B838="","",INDEX({"Ocak","Şubat","Mart","Nisan","Mayıs","Haziran","Temmuz","Ağustos","Eylül","Ekim","Kasım","Aralık"},MONTH(B838)))</f>
        <v/>
      </c>
      <c r="D838" s="2"/>
      <c r="E838" s="5" t="str">
        <f>IFERROR(INDEX('Malzeme Tanımlama'!$B$5:$B$300,MATCH(D838,'Malzeme Tanımlama'!$A$5:$A$300,0)),"")</f>
        <v/>
      </c>
      <c r="F838" s="2"/>
      <c r="G838" s="5"/>
      <c r="H838" s="5" t="str">
        <f>IFERROR(INDEX('Malzeme Tanımlama'!$D$5:$D$300,MATCH(D838,'Malzeme Tanımlama'!$A$5:$A$300,0)),"")</f>
        <v/>
      </c>
      <c r="I838" s="2"/>
      <c r="J838" s="2"/>
      <c r="K838" s="2"/>
    </row>
    <row r="839" spans="1:11" x14ac:dyDescent="0.3">
      <c r="A839" s="5" t="str">
        <f>IF(D839="","",COUNTIF($D$5:D839,"?*"))</f>
        <v/>
      </c>
      <c r="B839" s="6"/>
      <c r="C839" s="5" t="str">
        <f>IF(B839="","",INDEX({"Ocak","Şubat","Mart","Nisan","Mayıs","Haziran","Temmuz","Ağustos","Eylül","Ekim","Kasım","Aralık"},MONTH(B839)))</f>
        <v/>
      </c>
      <c r="D839" s="2"/>
      <c r="E839" s="5" t="str">
        <f>IFERROR(INDEX('Malzeme Tanımlama'!$B$5:$B$300,MATCH(D839,'Malzeme Tanımlama'!$A$5:$A$300,0)),"")</f>
        <v/>
      </c>
      <c r="F839" s="2"/>
      <c r="G839" s="5"/>
      <c r="H839" s="5" t="str">
        <f>IFERROR(INDEX('Malzeme Tanımlama'!$D$5:$D$300,MATCH(D839,'Malzeme Tanımlama'!$A$5:$A$300,0)),"")</f>
        <v/>
      </c>
      <c r="I839" s="2"/>
      <c r="J839" s="2"/>
      <c r="K839" s="2"/>
    </row>
    <row r="840" spans="1:11" x14ac:dyDescent="0.3">
      <c r="A840" s="5" t="str">
        <f>IF(D840="","",COUNTIF($D$5:D840,"?*"))</f>
        <v/>
      </c>
      <c r="B840" s="6"/>
      <c r="C840" s="5" t="str">
        <f>IF(B840="","",INDEX({"Ocak","Şubat","Mart","Nisan","Mayıs","Haziran","Temmuz","Ağustos","Eylül","Ekim","Kasım","Aralık"},MONTH(B840)))</f>
        <v/>
      </c>
      <c r="D840" s="2"/>
      <c r="E840" s="5" t="str">
        <f>IFERROR(INDEX('Malzeme Tanımlama'!$B$5:$B$300,MATCH(D840,'Malzeme Tanımlama'!$A$5:$A$300,0)),"")</f>
        <v/>
      </c>
      <c r="F840" s="2"/>
      <c r="G840" s="5"/>
      <c r="H840" s="5" t="str">
        <f>IFERROR(INDEX('Malzeme Tanımlama'!$D$5:$D$300,MATCH(D840,'Malzeme Tanımlama'!$A$5:$A$300,0)),"")</f>
        <v/>
      </c>
      <c r="I840" s="2"/>
      <c r="J840" s="2"/>
      <c r="K840" s="2"/>
    </row>
    <row r="841" spans="1:11" x14ac:dyDescent="0.3">
      <c r="A841" s="5" t="str">
        <f>IF(D841="","",COUNTIF($D$5:D841,"?*"))</f>
        <v/>
      </c>
      <c r="B841" s="6"/>
      <c r="C841" s="5" t="str">
        <f>IF(B841="","",INDEX({"Ocak","Şubat","Mart","Nisan","Mayıs","Haziran","Temmuz","Ağustos","Eylül","Ekim","Kasım","Aralık"},MONTH(B841)))</f>
        <v/>
      </c>
      <c r="D841" s="2"/>
      <c r="E841" s="5" t="str">
        <f>IFERROR(INDEX('Malzeme Tanımlama'!$B$5:$B$300,MATCH(D841,'Malzeme Tanımlama'!$A$5:$A$300,0)),"")</f>
        <v/>
      </c>
      <c r="F841" s="2"/>
      <c r="G841" s="5"/>
      <c r="H841" s="5" t="str">
        <f>IFERROR(INDEX('Malzeme Tanımlama'!$D$5:$D$300,MATCH(D841,'Malzeme Tanımlama'!$A$5:$A$300,0)),"")</f>
        <v/>
      </c>
      <c r="I841" s="2"/>
      <c r="J841" s="2"/>
      <c r="K841" s="2"/>
    </row>
    <row r="842" spans="1:11" x14ac:dyDescent="0.3">
      <c r="A842" s="5" t="str">
        <f>IF(D842="","",COUNTIF($D$5:D842,"?*"))</f>
        <v/>
      </c>
      <c r="B842" s="6"/>
      <c r="C842" s="5" t="str">
        <f>IF(B842="","",INDEX({"Ocak","Şubat","Mart","Nisan","Mayıs","Haziran","Temmuz","Ağustos","Eylül","Ekim","Kasım","Aralık"},MONTH(B842)))</f>
        <v/>
      </c>
      <c r="D842" s="2"/>
      <c r="E842" s="5" t="str">
        <f>IFERROR(INDEX('Malzeme Tanımlama'!$B$5:$B$300,MATCH(D842,'Malzeme Tanımlama'!$A$5:$A$300,0)),"")</f>
        <v/>
      </c>
      <c r="F842" s="2"/>
      <c r="G842" s="5"/>
      <c r="H842" s="5" t="str">
        <f>IFERROR(INDEX('Malzeme Tanımlama'!$D$5:$D$300,MATCH(D842,'Malzeme Tanımlama'!$A$5:$A$300,0)),"")</f>
        <v/>
      </c>
      <c r="I842" s="2"/>
      <c r="J842" s="2"/>
      <c r="K842" s="2"/>
    </row>
    <row r="843" spans="1:11" x14ac:dyDescent="0.3">
      <c r="A843" s="5" t="str">
        <f>IF(D843="","",COUNTIF($D$5:D843,"?*"))</f>
        <v/>
      </c>
      <c r="B843" s="6"/>
      <c r="C843" s="5" t="str">
        <f>IF(B843="","",INDEX({"Ocak","Şubat","Mart","Nisan","Mayıs","Haziran","Temmuz","Ağustos","Eylül","Ekim","Kasım","Aralık"},MONTH(B843)))</f>
        <v/>
      </c>
      <c r="D843" s="2"/>
      <c r="E843" s="5" t="str">
        <f>IFERROR(INDEX('Malzeme Tanımlama'!$B$5:$B$300,MATCH(D843,'Malzeme Tanımlama'!$A$5:$A$300,0)),"")</f>
        <v/>
      </c>
      <c r="F843" s="2"/>
      <c r="G843" s="5"/>
      <c r="H843" s="5" t="str">
        <f>IFERROR(INDEX('Malzeme Tanımlama'!$D$5:$D$300,MATCH(D843,'Malzeme Tanımlama'!$A$5:$A$300,0)),"")</f>
        <v/>
      </c>
      <c r="I843" s="2"/>
      <c r="J843" s="2"/>
      <c r="K843" s="2"/>
    </row>
    <row r="844" spans="1:11" x14ac:dyDescent="0.3">
      <c r="A844" s="5" t="str">
        <f>IF(D844="","",COUNTIF($D$5:D844,"?*"))</f>
        <v/>
      </c>
      <c r="B844" s="6"/>
      <c r="C844" s="5" t="str">
        <f>IF(B844="","",INDEX({"Ocak","Şubat","Mart","Nisan","Mayıs","Haziran","Temmuz","Ağustos","Eylül","Ekim","Kasım","Aralık"},MONTH(B844)))</f>
        <v/>
      </c>
      <c r="D844" s="2"/>
      <c r="E844" s="5" t="str">
        <f>IFERROR(INDEX('Malzeme Tanımlama'!$B$5:$B$300,MATCH(D844,'Malzeme Tanımlama'!$A$5:$A$300,0)),"")</f>
        <v/>
      </c>
      <c r="F844" s="2"/>
      <c r="G844" s="5"/>
      <c r="H844" s="5" t="str">
        <f>IFERROR(INDEX('Malzeme Tanımlama'!$D$5:$D$300,MATCH(D844,'Malzeme Tanımlama'!$A$5:$A$300,0)),"")</f>
        <v/>
      </c>
      <c r="I844" s="2"/>
      <c r="J844" s="2"/>
      <c r="K844" s="2"/>
    </row>
    <row r="845" spans="1:11" x14ac:dyDescent="0.3">
      <c r="A845" s="5" t="str">
        <f>IF(D845="","",COUNTIF($D$5:D845,"?*"))</f>
        <v/>
      </c>
      <c r="B845" s="6"/>
      <c r="C845" s="5" t="str">
        <f>IF(B845="","",INDEX({"Ocak","Şubat","Mart","Nisan","Mayıs","Haziran","Temmuz","Ağustos","Eylül","Ekim","Kasım","Aralık"},MONTH(B845)))</f>
        <v/>
      </c>
      <c r="D845" s="2"/>
      <c r="E845" s="5" t="str">
        <f>IFERROR(INDEX('Malzeme Tanımlama'!$B$5:$B$300,MATCH(D845,'Malzeme Tanımlama'!$A$5:$A$300,0)),"")</f>
        <v/>
      </c>
      <c r="F845" s="2"/>
      <c r="G845" s="5"/>
      <c r="H845" s="5" t="str">
        <f>IFERROR(INDEX('Malzeme Tanımlama'!$D$5:$D$300,MATCH(D845,'Malzeme Tanımlama'!$A$5:$A$300,0)),"")</f>
        <v/>
      </c>
      <c r="I845" s="2"/>
      <c r="J845" s="2"/>
      <c r="K845" s="2"/>
    </row>
    <row r="846" spans="1:11" x14ac:dyDescent="0.3">
      <c r="A846" s="5" t="str">
        <f>IF(D846="","",COUNTIF($D$5:D846,"?*"))</f>
        <v/>
      </c>
      <c r="B846" s="6"/>
      <c r="C846" s="5" t="str">
        <f>IF(B846="","",INDEX({"Ocak","Şubat","Mart","Nisan","Mayıs","Haziran","Temmuz","Ağustos","Eylül","Ekim","Kasım","Aralık"},MONTH(B846)))</f>
        <v/>
      </c>
      <c r="D846" s="2"/>
      <c r="E846" s="5" t="str">
        <f>IFERROR(INDEX('Malzeme Tanımlama'!$B$5:$B$300,MATCH(D846,'Malzeme Tanımlama'!$A$5:$A$300,0)),"")</f>
        <v/>
      </c>
      <c r="F846" s="2"/>
      <c r="G846" s="5"/>
      <c r="H846" s="5" t="str">
        <f>IFERROR(INDEX('Malzeme Tanımlama'!$D$5:$D$300,MATCH(D846,'Malzeme Tanımlama'!$A$5:$A$300,0)),"")</f>
        <v/>
      </c>
      <c r="I846" s="2"/>
      <c r="J846" s="2"/>
      <c r="K846" s="2"/>
    </row>
    <row r="847" spans="1:11" x14ac:dyDescent="0.3">
      <c r="A847" s="5" t="str">
        <f>IF(D847="","",COUNTIF($D$5:D847,"?*"))</f>
        <v/>
      </c>
      <c r="B847" s="6"/>
      <c r="C847" s="5" t="str">
        <f>IF(B847="","",INDEX({"Ocak","Şubat","Mart","Nisan","Mayıs","Haziran","Temmuz","Ağustos","Eylül","Ekim","Kasım","Aralık"},MONTH(B847)))</f>
        <v/>
      </c>
      <c r="D847" s="2"/>
      <c r="E847" s="5" t="str">
        <f>IFERROR(INDEX('Malzeme Tanımlama'!$B$5:$B$300,MATCH(D847,'Malzeme Tanımlama'!$A$5:$A$300,0)),"")</f>
        <v/>
      </c>
      <c r="F847" s="2"/>
      <c r="G847" s="5"/>
      <c r="H847" s="5" t="str">
        <f>IFERROR(INDEX('Malzeme Tanımlama'!$D$5:$D$300,MATCH(D847,'Malzeme Tanımlama'!$A$5:$A$300,0)),"")</f>
        <v/>
      </c>
      <c r="I847" s="2"/>
      <c r="J847" s="2"/>
      <c r="K847" s="2"/>
    </row>
    <row r="848" spans="1:11" x14ac:dyDescent="0.3">
      <c r="A848" s="5" t="str">
        <f>IF(D848="","",COUNTIF($D$5:D848,"?*"))</f>
        <v/>
      </c>
      <c r="B848" s="6"/>
      <c r="C848" s="5" t="str">
        <f>IF(B848="","",INDEX({"Ocak","Şubat","Mart","Nisan","Mayıs","Haziran","Temmuz","Ağustos","Eylül","Ekim","Kasım","Aralık"},MONTH(B848)))</f>
        <v/>
      </c>
      <c r="D848" s="2"/>
      <c r="E848" s="5" t="str">
        <f>IFERROR(INDEX('Malzeme Tanımlama'!$B$5:$B$300,MATCH(D848,'Malzeme Tanımlama'!$A$5:$A$300,0)),"")</f>
        <v/>
      </c>
      <c r="F848" s="2"/>
      <c r="G848" s="5"/>
      <c r="H848" s="5" t="str">
        <f>IFERROR(INDEX('Malzeme Tanımlama'!$D$5:$D$300,MATCH(D848,'Malzeme Tanımlama'!$A$5:$A$300,0)),"")</f>
        <v/>
      </c>
      <c r="I848" s="2"/>
      <c r="J848" s="2"/>
      <c r="K848" s="2"/>
    </row>
    <row r="849" spans="1:11" x14ac:dyDescent="0.3">
      <c r="A849" s="5" t="str">
        <f>IF(D849="","",COUNTIF($D$5:D849,"?*"))</f>
        <v/>
      </c>
      <c r="B849" s="6"/>
      <c r="C849" s="5" t="str">
        <f>IF(B849="","",INDEX({"Ocak","Şubat","Mart","Nisan","Mayıs","Haziran","Temmuz","Ağustos","Eylül","Ekim","Kasım","Aralık"},MONTH(B849)))</f>
        <v/>
      </c>
      <c r="D849" s="2"/>
      <c r="E849" s="5" t="str">
        <f>IFERROR(INDEX('Malzeme Tanımlama'!$B$5:$B$300,MATCH(D849,'Malzeme Tanımlama'!$A$5:$A$300,0)),"")</f>
        <v/>
      </c>
      <c r="F849" s="2"/>
      <c r="G849" s="5"/>
      <c r="H849" s="5" t="str">
        <f>IFERROR(INDEX('Malzeme Tanımlama'!$D$5:$D$300,MATCH(D849,'Malzeme Tanımlama'!$A$5:$A$300,0)),"")</f>
        <v/>
      </c>
      <c r="I849" s="2"/>
      <c r="J849" s="2"/>
      <c r="K849" s="2"/>
    </row>
    <row r="850" spans="1:11" x14ac:dyDescent="0.3">
      <c r="A850" s="5" t="str">
        <f>IF(D850="","",COUNTIF($D$5:D850,"?*"))</f>
        <v/>
      </c>
      <c r="B850" s="6"/>
      <c r="C850" s="5" t="str">
        <f>IF(B850="","",INDEX({"Ocak","Şubat","Mart","Nisan","Mayıs","Haziran","Temmuz","Ağustos","Eylül","Ekim","Kasım","Aralık"},MONTH(B850)))</f>
        <v/>
      </c>
      <c r="D850" s="2"/>
      <c r="E850" s="5" t="str">
        <f>IFERROR(INDEX('Malzeme Tanımlama'!$B$5:$B$300,MATCH(D850,'Malzeme Tanımlama'!$A$5:$A$300,0)),"")</f>
        <v/>
      </c>
      <c r="F850" s="2"/>
      <c r="G850" s="5"/>
      <c r="H850" s="5" t="str">
        <f>IFERROR(INDEX('Malzeme Tanımlama'!$D$5:$D$300,MATCH(D850,'Malzeme Tanımlama'!$A$5:$A$300,0)),"")</f>
        <v/>
      </c>
      <c r="I850" s="2"/>
      <c r="J850" s="2"/>
      <c r="K850" s="2"/>
    </row>
    <row r="851" spans="1:11" x14ac:dyDescent="0.3">
      <c r="A851" s="5" t="str">
        <f>IF(D851="","",COUNTIF($D$5:D851,"?*"))</f>
        <v/>
      </c>
      <c r="B851" s="6"/>
      <c r="C851" s="5" t="str">
        <f>IF(B851="","",INDEX({"Ocak","Şubat","Mart","Nisan","Mayıs","Haziran","Temmuz","Ağustos","Eylül","Ekim","Kasım","Aralık"},MONTH(B851)))</f>
        <v/>
      </c>
      <c r="D851" s="2"/>
      <c r="E851" s="5" t="str">
        <f>IFERROR(INDEX('Malzeme Tanımlama'!$B$5:$B$300,MATCH(D851,'Malzeme Tanımlama'!$A$5:$A$300,0)),"")</f>
        <v/>
      </c>
      <c r="F851" s="2"/>
      <c r="G851" s="5"/>
      <c r="H851" s="5" t="str">
        <f>IFERROR(INDEX('Malzeme Tanımlama'!$D$5:$D$300,MATCH(D851,'Malzeme Tanımlama'!$A$5:$A$300,0)),"")</f>
        <v/>
      </c>
      <c r="I851" s="2"/>
      <c r="J851" s="2"/>
      <c r="K851" s="2"/>
    </row>
    <row r="852" spans="1:11" x14ac:dyDescent="0.3">
      <c r="A852" s="5" t="str">
        <f>IF(D852="","",COUNTIF($D$5:D852,"?*"))</f>
        <v/>
      </c>
      <c r="B852" s="6"/>
      <c r="C852" s="5" t="str">
        <f>IF(B852="","",INDEX({"Ocak","Şubat","Mart","Nisan","Mayıs","Haziran","Temmuz","Ağustos","Eylül","Ekim","Kasım","Aralık"},MONTH(B852)))</f>
        <v/>
      </c>
      <c r="D852" s="2"/>
      <c r="E852" s="5" t="str">
        <f>IFERROR(INDEX('Malzeme Tanımlama'!$B$5:$B$300,MATCH(D852,'Malzeme Tanımlama'!$A$5:$A$300,0)),"")</f>
        <v/>
      </c>
      <c r="F852" s="2"/>
      <c r="G852" s="5"/>
      <c r="H852" s="5" t="str">
        <f>IFERROR(INDEX('Malzeme Tanımlama'!$D$5:$D$300,MATCH(D852,'Malzeme Tanımlama'!$A$5:$A$300,0)),"")</f>
        <v/>
      </c>
      <c r="I852" s="2"/>
      <c r="J852" s="2"/>
      <c r="K852" s="2"/>
    </row>
    <row r="853" spans="1:11" x14ac:dyDescent="0.3">
      <c r="A853" s="5" t="str">
        <f>IF(D853="","",COUNTIF($D$5:D853,"?*"))</f>
        <v/>
      </c>
      <c r="B853" s="6"/>
      <c r="C853" s="5" t="str">
        <f>IF(B853="","",INDEX({"Ocak","Şubat","Mart","Nisan","Mayıs","Haziran","Temmuz","Ağustos","Eylül","Ekim","Kasım","Aralık"},MONTH(B853)))</f>
        <v/>
      </c>
      <c r="D853" s="2"/>
      <c r="E853" s="5" t="str">
        <f>IFERROR(INDEX('Malzeme Tanımlama'!$B$5:$B$300,MATCH(D853,'Malzeme Tanımlama'!$A$5:$A$300,0)),"")</f>
        <v/>
      </c>
      <c r="F853" s="2"/>
      <c r="G853" s="5"/>
      <c r="H853" s="5" t="str">
        <f>IFERROR(INDEX('Malzeme Tanımlama'!$D$5:$D$300,MATCH(D853,'Malzeme Tanımlama'!$A$5:$A$300,0)),"")</f>
        <v/>
      </c>
      <c r="I853" s="2"/>
      <c r="J853" s="2"/>
      <c r="K853" s="2"/>
    </row>
    <row r="854" spans="1:11" x14ac:dyDescent="0.3">
      <c r="A854" s="5" t="str">
        <f>IF(D854="","",COUNTIF($D$5:D854,"?*"))</f>
        <v/>
      </c>
      <c r="B854" s="6"/>
      <c r="C854" s="5" t="str">
        <f>IF(B854="","",INDEX({"Ocak","Şubat","Mart","Nisan","Mayıs","Haziran","Temmuz","Ağustos","Eylül","Ekim","Kasım","Aralık"},MONTH(B854)))</f>
        <v/>
      </c>
      <c r="D854" s="2"/>
      <c r="E854" s="5" t="str">
        <f>IFERROR(INDEX('Malzeme Tanımlama'!$B$5:$B$300,MATCH(D854,'Malzeme Tanımlama'!$A$5:$A$300,0)),"")</f>
        <v/>
      </c>
      <c r="F854" s="2"/>
      <c r="G854" s="5"/>
      <c r="H854" s="5" t="str">
        <f>IFERROR(INDEX('Malzeme Tanımlama'!$D$5:$D$300,MATCH(D854,'Malzeme Tanımlama'!$A$5:$A$300,0)),"")</f>
        <v/>
      </c>
      <c r="I854" s="2"/>
      <c r="J854" s="2"/>
      <c r="K854" s="2"/>
    </row>
    <row r="855" spans="1:11" x14ac:dyDescent="0.3">
      <c r="A855" s="5" t="str">
        <f>IF(D855="","",COUNTIF($D$5:D855,"?*"))</f>
        <v/>
      </c>
      <c r="B855" s="6"/>
      <c r="C855" s="5" t="str">
        <f>IF(B855="","",INDEX({"Ocak","Şubat","Mart","Nisan","Mayıs","Haziran","Temmuz","Ağustos","Eylül","Ekim","Kasım","Aralık"},MONTH(B855)))</f>
        <v/>
      </c>
      <c r="D855" s="2"/>
      <c r="E855" s="5" t="str">
        <f>IFERROR(INDEX('Malzeme Tanımlama'!$B$5:$B$300,MATCH(D855,'Malzeme Tanımlama'!$A$5:$A$300,0)),"")</f>
        <v/>
      </c>
      <c r="F855" s="2"/>
      <c r="G855" s="5"/>
      <c r="H855" s="5" t="str">
        <f>IFERROR(INDEX('Malzeme Tanımlama'!$D$5:$D$300,MATCH(D855,'Malzeme Tanımlama'!$A$5:$A$300,0)),"")</f>
        <v/>
      </c>
      <c r="I855" s="2"/>
      <c r="J855" s="2"/>
      <c r="K855" s="2"/>
    </row>
    <row r="856" spans="1:11" x14ac:dyDescent="0.3">
      <c r="A856" s="5" t="str">
        <f>IF(D856="","",COUNTIF($D$5:D856,"?*"))</f>
        <v/>
      </c>
      <c r="B856" s="6"/>
      <c r="C856" s="5" t="str">
        <f>IF(B856="","",INDEX({"Ocak","Şubat","Mart","Nisan","Mayıs","Haziran","Temmuz","Ağustos","Eylül","Ekim","Kasım","Aralık"},MONTH(B856)))</f>
        <v/>
      </c>
      <c r="D856" s="2"/>
      <c r="E856" s="5" t="str">
        <f>IFERROR(INDEX('Malzeme Tanımlama'!$B$5:$B$300,MATCH(D856,'Malzeme Tanımlama'!$A$5:$A$300,0)),"")</f>
        <v/>
      </c>
      <c r="F856" s="2"/>
      <c r="G856" s="5"/>
      <c r="H856" s="5" t="str">
        <f>IFERROR(INDEX('Malzeme Tanımlama'!$D$5:$D$300,MATCH(D856,'Malzeme Tanımlama'!$A$5:$A$300,0)),"")</f>
        <v/>
      </c>
      <c r="I856" s="2"/>
      <c r="J856" s="2"/>
      <c r="K856" s="2"/>
    </row>
    <row r="857" spans="1:11" x14ac:dyDescent="0.3">
      <c r="A857" s="5" t="str">
        <f>IF(D857="","",COUNTIF($D$5:D857,"?*"))</f>
        <v/>
      </c>
      <c r="B857" s="6"/>
      <c r="C857" s="5" t="str">
        <f>IF(B857="","",INDEX({"Ocak","Şubat","Mart","Nisan","Mayıs","Haziran","Temmuz","Ağustos","Eylül","Ekim","Kasım","Aralık"},MONTH(B857)))</f>
        <v/>
      </c>
      <c r="D857" s="2"/>
      <c r="E857" s="5" t="str">
        <f>IFERROR(INDEX('Malzeme Tanımlama'!$B$5:$B$300,MATCH(D857,'Malzeme Tanımlama'!$A$5:$A$300,0)),"")</f>
        <v/>
      </c>
      <c r="F857" s="2"/>
      <c r="G857" s="5"/>
      <c r="H857" s="5" t="str">
        <f>IFERROR(INDEX('Malzeme Tanımlama'!$D$5:$D$300,MATCH(D857,'Malzeme Tanımlama'!$A$5:$A$300,0)),"")</f>
        <v/>
      </c>
      <c r="I857" s="2"/>
      <c r="J857" s="2"/>
      <c r="K857" s="2"/>
    </row>
    <row r="858" spans="1:11" x14ac:dyDescent="0.3">
      <c r="A858" s="5" t="str">
        <f>IF(D858="","",COUNTIF($D$5:D858,"?*"))</f>
        <v/>
      </c>
      <c r="B858" s="6"/>
      <c r="C858" s="5" t="str">
        <f>IF(B858="","",INDEX({"Ocak","Şubat","Mart","Nisan","Mayıs","Haziran","Temmuz","Ağustos","Eylül","Ekim","Kasım","Aralık"},MONTH(B858)))</f>
        <v/>
      </c>
      <c r="D858" s="2"/>
      <c r="E858" s="5" t="str">
        <f>IFERROR(INDEX('Malzeme Tanımlama'!$B$5:$B$300,MATCH(D858,'Malzeme Tanımlama'!$A$5:$A$300,0)),"")</f>
        <v/>
      </c>
      <c r="F858" s="2"/>
      <c r="G858" s="5"/>
      <c r="H858" s="5" t="str">
        <f>IFERROR(INDEX('Malzeme Tanımlama'!$D$5:$D$300,MATCH(D858,'Malzeme Tanımlama'!$A$5:$A$300,0)),"")</f>
        <v/>
      </c>
      <c r="I858" s="2"/>
      <c r="J858" s="2"/>
      <c r="K858" s="2"/>
    </row>
    <row r="859" spans="1:11" x14ac:dyDescent="0.3">
      <c r="A859" s="5" t="str">
        <f>IF(D859="","",COUNTIF($D$5:D859,"?*"))</f>
        <v/>
      </c>
      <c r="B859" s="6"/>
      <c r="C859" s="5" t="str">
        <f>IF(B859="","",INDEX({"Ocak","Şubat","Mart","Nisan","Mayıs","Haziran","Temmuz","Ağustos","Eylül","Ekim","Kasım","Aralık"},MONTH(B859)))</f>
        <v/>
      </c>
      <c r="D859" s="2"/>
      <c r="E859" s="5" t="str">
        <f>IFERROR(INDEX('Malzeme Tanımlama'!$B$5:$B$300,MATCH(D859,'Malzeme Tanımlama'!$A$5:$A$300,0)),"")</f>
        <v/>
      </c>
      <c r="F859" s="2"/>
      <c r="G859" s="5"/>
      <c r="H859" s="5" t="str">
        <f>IFERROR(INDEX('Malzeme Tanımlama'!$D$5:$D$300,MATCH(D859,'Malzeme Tanımlama'!$A$5:$A$300,0)),"")</f>
        <v/>
      </c>
      <c r="I859" s="2"/>
      <c r="J859" s="2"/>
      <c r="K859" s="2"/>
    </row>
    <row r="860" spans="1:11" x14ac:dyDescent="0.3">
      <c r="A860" s="5" t="str">
        <f>IF(D860="","",COUNTIF($D$5:D860,"?*"))</f>
        <v/>
      </c>
      <c r="B860" s="6"/>
      <c r="C860" s="5" t="str">
        <f>IF(B860="","",INDEX({"Ocak","Şubat","Mart","Nisan","Mayıs","Haziran","Temmuz","Ağustos","Eylül","Ekim","Kasım","Aralık"},MONTH(B860)))</f>
        <v/>
      </c>
      <c r="D860" s="2"/>
      <c r="E860" s="5" t="str">
        <f>IFERROR(INDEX('Malzeme Tanımlama'!$B$5:$B$300,MATCH(D860,'Malzeme Tanımlama'!$A$5:$A$300,0)),"")</f>
        <v/>
      </c>
      <c r="F860" s="2"/>
      <c r="G860" s="5"/>
      <c r="H860" s="5" t="str">
        <f>IFERROR(INDEX('Malzeme Tanımlama'!$D$5:$D$300,MATCH(D860,'Malzeme Tanımlama'!$A$5:$A$300,0)),"")</f>
        <v/>
      </c>
      <c r="I860" s="2"/>
      <c r="J860" s="2"/>
      <c r="K860" s="2"/>
    </row>
    <row r="861" spans="1:11" x14ac:dyDescent="0.3">
      <c r="A861" s="5" t="str">
        <f>IF(D861="","",COUNTIF($D$5:D861,"?*"))</f>
        <v/>
      </c>
      <c r="B861" s="6"/>
      <c r="C861" s="5" t="str">
        <f>IF(B861="","",INDEX({"Ocak","Şubat","Mart","Nisan","Mayıs","Haziran","Temmuz","Ağustos","Eylül","Ekim","Kasım","Aralık"},MONTH(B861)))</f>
        <v/>
      </c>
      <c r="D861" s="2"/>
      <c r="E861" s="5" t="str">
        <f>IFERROR(INDEX('Malzeme Tanımlama'!$B$5:$B$300,MATCH(D861,'Malzeme Tanımlama'!$A$5:$A$300,0)),"")</f>
        <v/>
      </c>
      <c r="F861" s="2"/>
      <c r="G861" s="5"/>
      <c r="H861" s="5" t="str">
        <f>IFERROR(INDEX('Malzeme Tanımlama'!$D$5:$D$300,MATCH(D861,'Malzeme Tanımlama'!$A$5:$A$300,0)),"")</f>
        <v/>
      </c>
      <c r="I861" s="2"/>
      <c r="J861" s="2"/>
      <c r="K861" s="2"/>
    </row>
    <row r="862" spans="1:11" x14ac:dyDescent="0.3">
      <c r="A862" s="5" t="str">
        <f>IF(D862="","",COUNTIF($D$5:D862,"?*"))</f>
        <v/>
      </c>
      <c r="B862" s="6"/>
      <c r="C862" s="5" t="str">
        <f>IF(B862="","",INDEX({"Ocak","Şubat","Mart","Nisan","Mayıs","Haziran","Temmuz","Ağustos","Eylül","Ekim","Kasım","Aralık"},MONTH(B862)))</f>
        <v/>
      </c>
      <c r="D862" s="2"/>
      <c r="E862" s="5" t="str">
        <f>IFERROR(INDEX('Malzeme Tanımlama'!$B$5:$B$300,MATCH(D862,'Malzeme Tanımlama'!$A$5:$A$300,0)),"")</f>
        <v/>
      </c>
      <c r="F862" s="2"/>
      <c r="G862" s="5"/>
      <c r="H862" s="5" t="str">
        <f>IFERROR(INDEX('Malzeme Tanımlama'!$D$5:$D$300,MATCH(D862,'Malzeme Tanımlama'!$A$5:$A$300,0)),"")</f>
        <v/>
      </c>
      <c r="I862" s="2"/>
      <c r="J862" s="2"/>
      <c r="K862" s="2"/>
    </row>
    <row r="863" spans="1:11" x14ac:dyDescent="0.3">
      <c r="A863" s="5" t="str">
        <f>IF(D863="","",COUNTIF($D$5:D863,"?*"))</f>
        <v/>
      </c>
      <c r="B863" s="6"/>
      <c r="C863" s="5" t="str">
        <f>IF(B863="","",INDEX({"Ocak","Şubat","Mart","Nisan","Mayıs","Haziran","Temmuz","Ağustos","Eylül","Ekim","Kasım","Aralık"},MONTH(B863)))</f>
        <v/>
      </c>
      <c r="D863" s="2"/>
      <c r="E863" s="5" t="str">
        <f>IFERROR(INDEX('Malzeme Tanımlama'!$B$5:$B$300,MATCH(D863,'Malzeme Tanımlama'!$A$5:$A$300,0)),"")</f>
        <v/>
      </c>
      <c r="F863" s="2"/>
      <c r="G863" s="5"/>
      <c r="H863" s="5" t="str">
        <f>IFERROR(INDEX('Malzeme Tanımlama'!$D$5:$D$300,MATCH(D863,'Malzeme Tanımlama'!$A$5:$A$300,0)),"")</f>
        <v/>
      </c>
      <c r="I863" s="2"/>
      <c r="J863" s="2"/>
      <c r="K863" s="2"/>
    </row>
    <row r="864" spans="1:11" x14ac:dyDescent="0.3">
      <c r="A864" s="5" t="str">
        <f>IF(D864="","",COUNTIF($D$5:D864,"?*"))</f>
        <v/>
      </c>
      <c r="B864" s="6"/>
      <c r="C864" s="5" t="str">
        <f>IF(B864="","",INDEX({"Ocak","Şubat","Mart","Nisan","Mayıs","Haziran","Temmuz","Ağustos","Eylül","Ekim","Kasım","Aralık"},MONTH(B864)))</f>
        <v/>
      </c>
      <c r="D864" s="2"/>
      <c r="E864" s="5" t="str">
        <f>IFERROR(INDEX('Malzeme Tanımlama'!$B$5:$B$300,MATCH(D864,'Malzeme Tanımlama'!$A$5:$A$300,0)),"")</f>
        <v/>
      </c>
      <c r="F864" s="2"/>
      <c r="G864" s="5"/>
      <c r="H864" s="5" t="str">
        <f>IFERROR(INDEX('Malzeme Tanımlama'!$D$5:$D$300,MATCH(D864,'Malzeme Tanımlama'!$A$5:$A$300,0)),"")</f>
        <v/>
      </c>
      <c r="I864" s="2"/>
      <c r="J864" s="2"/>
      <c r="K864" s="2"/>
    </row>
    <row r="865" spans="1:11" x14ac:dyDescent="0.3">
      <c r="A865" s="5" t="str">
        <f>IF(D865="","",COUNTIF($D$5:D865,"?*"))</f>
        <v/>
      </c>
      <c r="B865" s="6"/>
      <c r="C865" s="5" t="str">
        <f>IF(B865="","",INDEX({"Ocak","Şubat","Mart","Nisan","Mayıs","Haziran","Temmuz","Ağustos","Eylül","Ekim","Kasım","Aralık"},MONTH(B865)))</f>
        <v/>
      </c>
      <c r="D865" s="2"/>
      <c r="E865" s="5" t="str">
        <f>IFERROR(INDEX('Malzeme Tanımlama'!$B$5:$B$300,MATCH(D865,'Malzeme Tanımlama'!$A$5:$A$300,0)),"")</f>
        <v/>
      </c>
      <c r="F865" s="2"/>
      <c r="G865" s="5"/>
      <c r="H865" s="5" t="str">
        <f>IFERROR(INDEX('Malzeme Tanımlama'!$D$5:$D$300,MATCH(D865,'Malzeme Tanımlama'!$A$5:$A$300,0)),"")</f>
        <v/>
      </c>
      <c r="I865" s="2"/>
      <c r="J865" s="2"/>
      <c r="K865" s="2"/>
    </row>
    <row r="866" spans="1:11" x14ac:dyDescent="0.3">
      <c r="A866" s="5" t="str">
        <f>IF(D866="","",COUNTIF($D$5:D866,"?*"))</f>
        <v/>
      </c>
      <c r="B866" s="6"/>
      <c r="C866" s="5" t="str">
        <f>IF(B866="","",INDEX({"Ocak","Şubat","Mart","Nisan","Mayıs","Haziran","Temmuz","Ağustos","Eylül","Ekim","Kasım","Aralık"},MONTH(B866)))</f>
        <v/>
      </c>
      <c r="D866" s="2"/>
      <c r="E866" s="5" t="str">
        <f>IFERROR(INDEX('Malzeme Tanımlama'!$B$5:$B$300,MATCH(D866,'Malzeme Tanımlama'!$A$5:$A$300,0)),"")</f>
        <v/>
      </c>
      <c r="F866" s="2"/>
      <c r="G866" s="5"/>
      <c r="H866" s="5" t="str">
        <f>IFERROR(INDEX('Malzeme Tanımlama'!$D$5:$D$300,MATCH(D866,'Malzeme Tanımlama'!$A$5:$A$300,0)),"")</f>
        <v/>
      </c>
      <c r="I866" s="2"/>
      <c r="J866" s="2"/>
      <c r="K866" s="2"/>
    </row>
    <row r="867" spans="1:11" x14ac:dyDescent="0.3">
      <c r="A867" s="5" t="str">
        <f>IF(D867="","",COUNTIF($D$5:D867,"?*"))</f>
        <v/>
      </c>
      <c r="B867" s="6"/>
      <c r="C867" s="5" t="str">
        <f>IF(B867="","",INDEX({"Ocak","Şubat","Mart","Nisan","Mayıs","Haziran","Temmuz","Ağustos","Eylül","Ekim","Kasım","Aralık"},MONTH(B867)))</f>
        <v/>
      </c>
      <c r="D867" s="2"/>
      <c r="E867" s="5" t="str">
        <f>IFERROR(INDEX('Malzeme Tanımlama'!$B$5:$B$300,MATCH(D867,'Malzeme Tanımlama'!$A$5:$A$300,0)),"")</f>
        <v/>
      </c>
      <c r="F867" s="2"/>
      <c r="G867" s="5"/>
      <c r="H867" s="5" t="str">
        <f>IFERROR(INDEX('Malzeme Tanımlama'!$D$5:$D$300,MATCH(D867,'Malzeme Tanımlama'!$A$5:$A$300,0)),"")</f>
        <v/>
      </c>
      <c r="I867" s="2"/>
      <c r="J867" s="2"/>
      <c r="K867" s="2"/>
    </row>
    <row r="868" spans="1:11" x14ac:dyDescent="0.3">
      <c r="A868" s="5" t="str">
        <f>IF(D868="","",COUNTIF($D$5:D868,"?*"))</f>
        <v/>
      </c>
      <c r="B868" s="6"/>
      <c r="C868" s="5" t="str">
        <f>IF(B868="","",INDEX({"Ocak","Şubat","Mart","Nisan","Mayıs","Haziran","Temmuz","Ağustos","Eylül","Ekim","Kasım","Aralık"},MONTH(B868)))</f>
        <v/>
      </c>
      <c r="D868" s="2"/>
      <c r="E868" s="5" t="str">
        <f>IFERROR(INDEX('Malzeme Tanımlama'!$B$5:$B$300,MATCH(D868,'Malzeme Tanımlama'!$A$5:$A$300,0)),"")</f>
        <v/>
      </c>
      <c r="F868" s="2"/>
      <c r="G868" s="5"/>
      <c r="H868" s="5" t="str">
        <f>IFERROR(INDEX('Malzeme Tanımlama'!$D$5:$D$300,MATCH(D868,'Malzeme Tanımlama'!$A$5:$A$300,0)),"")</f>
        <v/>
      </c>
      <c r="I868" s="2"/>
      <c r="J868" s="2"/>
      <c r="K868" s="2"/>
    </row>
    <row r="869" spans="1:11" x14ac:dyDescent="0.3">
      <c r="A869" s="5" t="str">
        <f>IF(D869="","",COUNTIF($D$5:D869,"?*"))</f>
        <v/>
      </c>
      <c r="B869" s="6"/>
      <c r="C869" s="5" t="str">
        <f>IF(B869="","",INDEX({"Ocak","Şubat","Mart","Nisan","Mayıs","Haziran","Temmuz","Ağustos","Eylül","Ekim","Kasım","Aralık"},MONTH(B869)))</f>
        <v/>
      </c>
      <c r="D869" s="2"/>
      <c r="E869" s="5" t="str">
        <f>IFERROR(INDEX('Malzeme Tanımlama'!$B$5:$B$300,MATCH(D869,'Malzeme Tanımlama'!$A$5:$A$300,0)),"")</f>
        <v/>
      </c>
      <c r="F869" s="2"/>
      <c r="G869" s="5"/>
      <c r="H869" s="5" t="str">
        <f>IFERROR(INDEX('Malzeme Tanımlama'!$D$5:$D$300,MATCH(D869,'Malzeme Tanımlama'!$A$5:$A$300,0)),"")</f>
        <v/>
      </c>
      <c r="I869" s="2"/>
      <c r="J869" s="2"/>
      <c r="K869" s="2"/>
    </row>
    <row r="870" spans="1:11" x14ac:dyDescent="0.3">
      <c r="A870" s="5" t="str">
        <f>IF(D870="","",COUNTIF($D$5:D870,"?*"))</f>
        <v/>
      </c>
      <c r="B870" s="6"/>
      <c r="C870" s="5" t="str">
        <f>IF(B870="","",INDEX({"Ocak","Şubat","Mart","Nisan","Mayıs","Haziran","Temmuz","Ağustos","Eylül","Ekim","Kasım","Aralık"},MONTH(B870)))</f>
        <v/>
      </c>
      <c r="D870" s="2"/>
      <c r="E870" s="5" t="str">
        <f>IFERROR(INDEX('Malzeme Tanımlama'!$B$5:$B$300,MATCH(D870,'Malzeme Tanımlama'!$A$5:$A$300,0)),"")</f>
        <v/>
      </c>
      <c r="F870" s="2"/>
      <c r="G870" s="5"/>
      <c r="H870" s="5" t="str">
        <f>IFERROR(INDEX('Malzeme Tanımlama'!$D$5:$D$300,MATCH(D870,'Malzeme Tanımlama'!$A$5:$A$300,0)),"")</f>
        <v/>
      </c>
      <c r="I870" s="2"/>
      <c r="J870" s="2"/>
      <c r="K870" s="2"/>
    </row>
    <row r="871" spans="1:11" x14ac:dyDescent="0.3">
      <c r="A871" s="5" t="str">
        <f>IF(D871="","",COUNTIF($D$5:D871,"?*"))</f>
        <v/>
      </c>
      <c r="B871" s="6"/>
      <c r="C871" s="5" t="str">
        <f>IF(B871="","",INDEX({"Ocak","Şubat","Mart","Nisan","Mayıs","Haziran","Temmuz","Ağustos","Eylül","Ekim","Kasım","Aralık"},MONTH(B871)))</f>
        <v/>
      </c>
      <c r="D871" s="2"/>
      <c r="E871" s="5" t="str">
        <f>IFERROR(INDEX('Malzeme Tanımlama'!$B$5:$B$300,MATCH(D871,'Malzeme Tanımlama'!$A$5:$A$300,0)),"")</f>
        <v/>
      </c>
      <c r="F871" s="2"/>
      <c r="G871" s="5"/>
      <c r="H871" s="5" t="str">
        <f>IFERROR(INDEX('Malzeme Tanımlama'!$D$5:$D$300,MATCH(D871,'Malzeme Tanımlama'!$A$5:$A$300,0)),"")</f>
        <v/>
      </c>
      <c r="I871" s="2"/>
      <c r="J871" s="2"/>
      <c r="K871" s="2"/>
    </row>
    <row r="872" spans="1:11" x14ac:dyDescent="0.3">
      <c r="A872" s="5" t="str">
        <f>IF(D872="","",COUNTIF($D$5:D872,"?*"))</f>
        <v/>
      </c>
      <c r="B872" s="6"/>
      <c r="C872" s="5" t="str">
        <f>IF(B872="","",INDEX({"Ocak","Şubat","Mart","Nisan","Mayıs","Haziran","Temmuz","Ağustos","Eylül","Ekim","Kasım","Aralık"},MONTH(B872)))</f>
        <v/>
      </c>
      <c r="D872" s="2"/>
      <c r="E872" s="5" t="str">
        <f>IFERROR(INDEX('Malzeme Tanımlama'!$B$5:$B$300,MATCH(D872,'Malzeme Tanımlama'!$A$5:$A$300,0)),"")</f>
        <v/>
      </c>
      <c r="F872" s="2"/>
      <c r="G872" s="5"/>
      <c r="H872" s="5" t="str">
        <f>IFERROR(INDEX('Malzeme Tanımlama'!$D$5:$D$300,MATCH(D872,'Malzeme Tanımlama'!$A$5:$A$300,0)),"")</f>
        <v/>
      </c>
      <c r="I872" s="2"/>
      <c r="J872" s="2"/>
      <c r="K872" s="2"/>
    </row>
    <row r="873" spans="1:11" x14ac:dyDescent="0.3">
      <c r="A873" s="5" t="str">
        <f>IF(D873="","",COUNTIF($D$5:D873,"?*"))</f>
        <v/>
      </c>
      <c r="B873" s="6"/>
      <c r="C873" s="5" t="str">
        <f>IF(B873="","",INDEX({"Ocak","Şubat","Mart","Nisan","Mayıs","Haziran","Temmuz","Ağustos","Eylül","Ekim","Kasım","Aralık"},MONTH(B873)))</f>
        <v/>
      </c>
      <c r="D873" s="2"/>
      <c r="E873" s="5" t="str">
        <f>IFERROR(INDEX('Malzeme Tanımlama'!$B$5:$B$300,MATCH(D873,'Malzeme Tanımlama'!$A$5:$A$300,0)),"")</f>
        <v/>
      </c>
      <c r="F873" s="2"/>
      <c r="G873" s="5"/>
      <c r="H873" s="5" t="str">
        <f>IFERROR(INDEX('Malzeme Tanımlama'!$D$5:$D$300,MATCH(D873,'Malzeme Tanımlama'!$A$5:$A$300,0)),"")</f>
        <v/>
      </c>
      <c r="I873" s="2"/>
      <c r="J873" s="2"/>
      <c r="K873" s="2"/>
    </row>
    <row r="874" spans="1:11" x14ac:dyDescent="0.3">
      <c r="A874" s="5" t="str">
        <f>IF(D874="","",COUNTIF($D$5:D874,"?*"))</f>
        <v/>
      </c>
      <c r="B874" s="6"/>
      <c r="C874" s="5" t="str">
        <f>IF(B874="","",INDEX({"Ocak","Şubat","Mart","Nisan","Mayıs","Haziran","Temmuz","Ağustos","Eylül","Ekim","Kasım","Aralık"},MONTH(B874)))</f>
        <v/>
      </c>
      <c r="D874" s="2"/>
      <c r="E874" s="5" t="str">
        <f>IFERROR(INDEX('Malzeme Tanımlama'!$B$5:$B$300,MATCH(D874,'Malzeme Tanımlama'!$A$5:$A$300,0)),"")</f>
        <v/>
      </c>
      <c r="F874" s="2"/>
      <c r="G874" s="5"/>
      <c r="H874" s="5" t="str">
        <f>IFERROR(INDEX('Malzeme Tanımlama'!$D$5:$D$300,MATCH(D874,'Malzeme Tanımlama'!$A$5:$A$300,0)),"")</f>
        <v/>
      </c>
      <c r="I874" s="2"/>
      <c r="J874" s="2"/>
      <c r="K874" s="2"/>
    </row>
    <row r="875" spans="1:11" x14ac:dyDescent="0.3">
      <c r="A875" s="5" t="str">
        <f>IF(D875="","",COUNTIF($D$5:D875,"?*"))</f>
        <v/>
      </c>
      <c r="B875" s="6"/>
      <c r="C875" s="5" t="str">
        <f>IF(B875="","",INDEX({"Ocak","Şubat","Mart","Nisan","Mayıs","Haziran","Temmuz","Ağustos","Eylül","Ekim","Kasım","Aralık"},MONTH(B875)))</f>
        <v/>
      </c>
      <c r="D875" s="2"/>
      <c r="E875" s="5" t="str">
        <f>IFERROR(INDEX('Malzeme Tanımlama'!$B$5:$B$300,MATCH(D875,'Malzeme Tanımlama'!$A$5:$A$300,0)),"")</f>
        <v/>
      </c>
      <c r="F875" s="2"/>
      <c r="G875" s="5"/>
      <c r="H875" s="5" t="str">
        <f>IFERROR(INDEX('Malzeme Tanımlama'!$D$5:$D$300,MATCH(D875,'Malzeme Tanımlama'!$A$5:$A$300,0)),"")</f>
        <v/>
      </c>
      <c r="I875" s="2"/>
      <c r="J875" s="2"/>
      <c r="K875" s="2"/>
    </row>
    <row r="876" spans="1:11" x14ac:dyDescent="0.3">
      <c r="A876" s="5" t="str">
        <f>IF(D876="","",COUNTIF($D$5:D876,"?*"))</f>
        <v/>
      </c>
      <c r="B876" s="6"/>
      <c r="C876" s="5" t="str">
        <f>IF(B876="","",INDEX({"Ocak","Şubat","Mart","Nisan","Mayıs","Haziran","Temmuz","Ağustos","Eylül","Ekim","Kasım","Aralık"},MONTH(B876)))</f>
        <v/>
      </c>
      <c r="D876" s="2"/>
      <c r="E876" s="5" t="str">
        <f>IFERROR(INDEX('Malzeme Tanımlama'!$B$5:$B$300,MATCH(D876,'Malzeme Tanımlama'!$A$5:$A$300,0)),"")</f>
        <v/>
      </c>
      <c r="F876" s="2"/>
      <c r="G876" s="5"/>
      <c r="H876" s="5" t="str">
        <f>IFERROR(INDEX('Malzeme Tanımlama'!$D$5:$D$300,MATCH(D876,'Malzeme Tanımlama'!$A$5:$A$300,0)),"")</f>
        <v/>
      </c>
      <c r="I876" s="2"/>
      <c r="J876" s="2"/>
      <c r="K876" s="2"/>
    </row>
    <row r="877" spans="1:11" x14ac:dyDescent="0.3">
      <c r="A877" s="5" t="str">
        <f>IF(D877="","",COUNTIF($D$5:D877,"?*"))</f>
        <v/>
      </c>
      <c r="B877" s="6"/>
      <c r="C877" s="5" t="str">
        <f>IF(B877="","",INDEX({"Ocak","Şubat","Mart","Nisan","Mayıs","Haziran","Temmuz","Ağustos","Eylül","Ekim","Kasım","Aralık"},MONTH(B877)))</f>
        <v/>
      </c>
      <c r="D877" s="2"/>
      <c r="E877" s="5" t="str">
        <f>IFERROR(INDEX('Malzeme Tanımlama'!$B$5:$B$300,MATCH(D877,'Malzeme Tanımlama'!$A$5:$A$300,0)),"")</f>
        <v/>
      </c>
      <c r="F877" s="2"/>
      <c r="G877" s="5"/>
      <c r="H877" s="5" t="str">
        <f>IFERROR(INDEX('Malzeme Tanımlama'!$D$5:$D$300,MATCH(D877,'Malzeme Tanımlama'!$A$5:$A$300,0)),"")</f>
        <v/>
      </c>
      <c r="I877" s="2"/>
      <c r="J877" s="2"/>
      <c r="K877" s="2"/>
    </row>
    <row r="878" spans="1:11" x14ac:dyDescent="0.3">
      <c r="A878" s="5" t="str">
        <f>IF(D878="","",COUNTIF($D$5:D878,"?*"))</f>
        <v/>
      </c>
      <c r="B878" s="6"/>
      <c r="C878" s="5" t="str">
        <f>IF(B878="","",INDEX({"Ocak","Şubat","Mart","Nisan","Mayıs","Haziran","Temmuz","Ağustos","Eylül","Ekim","Kasım","Aralık"},MONTH(B878)))</f>
        <v/>
      </c>
      <c r="D878" s="2"/>
      <c r="E878" s="5" t="str">
        <f>IFERROR(INDEX('Malzeme Tanımlama'!$B$5:$B$300,MATCH(D878,'Malzeme Tanımlama'!$A$5:$A$300,0)),"")</f>
        <v/>
      </c>
      <c r="F878" s="2"/>
      <c r="G878" s="5"/>
      <c r="H878" s="5" t="str">
        <f>IFERROR(INDEX('Malzeme Tanımlama'!$D$5:$D$300,MATCH(D878,'Malzeme Tanımlama'!$A$5:$A$300,0)),"")</f>
        <v/>
      </c>
      <c r="I878" s="2"/>
      <c r="J878" s="2"/>
      <c r="K878" s="2"/>
    </row>
    <row r="879" spans="1:11" x14ac:dyDescent="0.3">
      <c r="A879" s="5" t="str">
        <f>IF(D879="","",COUNTIF($D$5:D879,"?*"))</f>
        <v/>
      </c>
      <c r="B879" s="6"/>
      <c r="C879" s="5" t="str">
        <f>IF(B879="","",INDEX({"Ocak","Şubat","Mart","Nisan","Mayıs","Haziran","Temmuz","Ağustos","Eylül","Ekim","Kasım","Aralık"},MONTH(B879)))</f>
        <v/>
      </c>
      <c r="D879" s="2"/>
      <c r="E879" s="5" t="str">
        <f>IFERROR(INDEX('Malzeme Tanımlama'!$B$5:$B$300,MATCH(D879,'Malzeme Tanımlama'!$A$5:$A$300,0)),"")</f>
        <v/>
      </c>
      <c r="F879" s="2"/>
      <c r="G879" s="5"/>
      <c r="H879" s="5" t="str">
        <f>IFERROR(INDEX('Malzeme Tanımlama'!$D$5:$D$300,MATCH(D879,'Malzeme Tanımlama'!$A$5:$A$300,0)),"")</f>
        <v/>
      </c>
      <c r="I879" s="2"/>
      <c r="J879" s="2"/>
      <c r="K879" s="2"/>
    </row>
    <row r="880" spans="1:11" x14ac:dyDescent="0.3">
      <c r="A880" s="5" t="str">
        <f>IF(D880="","",COUNTIF($D$5:D880,"?*"))</f>
        <v/>
      </c>
      <c r="B880" s="6"/>
      <c r="C880" s="5" t="str">
        <f>IF(B880="","",INDEX({"Ocak","Şubat","Mart","Nisan","Mayıs","Haziran","Temmuz","Ağustos","Eylül","Ekim","Kasım","Aralık"},MONTH(B880)))</f>
        <v/>
      </c>
      <c r="D880" s="2"/>
      <c r="E880" s="5" t="str">
        <f>IFERROR(INDEX('Malzeme Tanımlama'!$B$5:$B$300,MATCH(D880,'Malzeme Tanımlama'!$A$5:$A$300,0)),"")</f>
        <v/>
      </c>
      <c r="F880" s="2"/>
      <c r="G880" s="5"/>
      <c r="H880" s="5" t="str">
        <f>IFERROR(INDEX('Malzeme Tanımlama'!$D$5:$D$300,MATCH(D880,'Malzeme Tanımlama'!$A$5:$A$300,0)),"")</f>
        <v/>
      </c>
      <c r="I880" s="2"/>
      <c r="J880" s="2"/>
      <c r="K880" s="2"/>
    </row>
    <row r="881" spans="1:11" x14ac:dyDescent="0.3">
      <c r="A881" s="5" t="str">
        <f>IF(D881="","",COUNTIF($D$5:D881,"?*"))</f>
        <v/>
      </c>
      <c r="B881" s="6"/>
      <c r="C881" s="5" t="str">
        <f>IF(B881="","",INDEX({"Ocak","Şubat","Mart","Nisan","Mayıs","Haziran","Temmuz","Ağustos","Eylül","Ekim","Kasım","Aralık"},MONTH(B881)))</f>
        <v/>
      </c>
      <c r="D881" s="2"/>
      <c r="E881" s="5" t="str">
        <f>IFERROR(INDEX('Malzeme Tanımlama'!$B$5:$B$300,MATCH(D881,'Malzeme Tanımlama'!$A$5:$A$300,0)),"")</f>
        <v/>
      </c>
      <c r="F881" s="2"/>
      <c r="G881" s="5"/>
      <c r="H881" s="5" t="str">
        <f>IFERROR(INDEX('Malzeme Tanımlama'!$D$5:$D$300,MATCH(D881,'Malzeme Tanımlama'!$A$5:$A$300,0)),"")</f>
        <v/>
      </c>
      <c r="I881" s="2"/>
      <c r="J881" s="2"/>
      <c r="K881" s="2"/>
    </row>
    <row r="882" spans="1:11" x14ac:dyDescent="0.3">
      <c r="A882" s="5" t="str">
        <f>IF(D882="","",COUNTIF($D$5:D882,"?*"))</f>
        <v/>
      </c>
      <c r="B882" s="6"/>
      <c r="C882" s="5" t="str">
        <f>IF(B882="","",INDEX({"Ocak","Şubat","Mart","Nisan","Mayıs","Haziran","Temmuz","Ağustos","Eylül","Ekim","Kasım","Aralık"},MONTH(B882)))</f>
        <v/>
      </c>
      <c r="D882" s="2"/>
      <c r="E882" s="5" t="str">
        <f>IFERROR(INDEX('Malzeme Tanımlama'!$B$5:$B$300,MATCH(D882,'Malzeme Tanımlama'!$A$5:$A$300,0)),"")</f>
        <v/>
      </c>
      <c r="F882" s="2"/>
      <c r="G882" s="5"/>
      <c r="H882" s="5" t="str">
        <f>IFERROR(INDEX('Malzeme Tanımlama'!$D$5:$D$300,MATCH(D882,'Malzeme Tanımlama'!$A$5:$A$300,0)),"")</f>
        <v/>
      </c>
      <c r="I882" s="2"/>
      <c r="J882" s="2"/>
      <c r="K882" s="2"/>
    </row>
    <row r="883" spans="1:11" x14ac:dyDescent="0.3">
      <c r="A883" s="5" t="str">
        <f>IF(D883="","",COUNTIF($D$5:D883,"?*"))</f>
        <v/>
      </c>
      <c r="B883" s="6"/>
      <c r="C883" s="5" t="str">
        <f>IF(B883="","",INDEX({"Ocak","Şubat","Mart","Nisan","Mayıs","Haziran","Temmuz","Ağustos","Eylül","Ekim","Kasım","Aralık"},MONTH(B883)))</f>
        <v/>
      </c>
      <c r="D883" s="2"/>
      <c r="E883" s="5" t="str">
        <f>IFERROR(INDEX('Malzeme Tanımlama'!$B$5:$B$300,MATCH(D883,'Malzeme Tanımlama'!$A$5:$A$300,0)),"")</f>
        <v/>
      </c>
      <c r="F883" s="2"/>
      <c r="G883" s="5"/>
      <c r="H883" s="5" t="str">
        <f>IFERROR(INDEX('Malzeme Tanımlama'!$D$5:$D$300,MATCH(D883,'Malzeme Tanımlama'!$A$5:$A$300,0)),"")</f>
        <v/>
      </c>
      <c r="I883" s="2"/>
      <c r="J883" s="2"/>
      <c r="K883" s="2"/>
    </row>
    <row r="884" spans="1:11" x14ac:dyDescent="0.3">
      <c r="A884" s="5" t="str">
        <f>IF(D884="","",COUNTIF($D$5:D884,"?*"))</f>
        <v/>
      </c>
      <c r="B884" s="6"/>
      <c r="C884" s="5" t="str">
        <f>IF(B884="","",INDEX({"Ocak","Şubat","Mart","Nisan","Mayıs","Haziran","Temmuz","Ağustos","Eylül","Ekim","Kasım","Aralık"},MONTH(B884)))</f>
        <v/>
      </c>
      <c r="D884" s="2"/>
      <c r="E884" s="5" t="str">
        <f>IFERROR(INDEX('Malzeme Tanımlama'!$B$5:$B$300,MATCH(D884,'Malzeme Tanımlama'!$A$5:$A$300,0)),"")</f>
        <v/>
      </c>
      <c r="F884" s="2"/>
      <c r="G884" s="5"/>
      <c r="H884" s="5" t="str">
        <f>IFERROR(INDEX('Malzeme Tanımlama'!$D$5:$D$300,MATCH(D884,'Malzeme Tanımlama'!$A$5:$A$300,0)),"")</f>
        <v/>
      </c>
      <c r="I884" s="2"/>
      <c r="J884" s="2"/>
      <c r="K884" s="2"/>
    </row>
    <row r="885" spans="1:11" x14ac:dyDescent="0.3">
      <c r="A885" s="5" t="str">
        <f>IF(D885="","",COUNTIF($D$5:D885,"?*"))</f>
        <v/>
      </c>
      <c r="B885" s="6"/>
      <c r="C885" s="5" t="str">
        <f>IF(B885="","",INDEX({"Ocak","Şubat","Mart","Nisan","Mayıs","Haziran","Temmuz","Ağustos","Eylül","Ekim","Kasım","Aralık"},MONTH(B885)))</f>
        <v/>
      </c>
      <c r="D885" s="2"/>
      <c r="E885" s="5" t="str">
        <f>IFERROR(INDEX('Malzeme Tanımlama'!$B$5:$B$300,MATCH(D885,'Malzeme Tanımlama'!$A$5:$A$300,0)),"")</f>
        <v/>
      </c>
      <c r="F885" s="2"/>
      <c r="G885" s="5"/>
      <c r="H885" s="5" t="str">
        <f>IFERROR(INDEX('Malzeme Tanımlama'!$D$5:$D$300,MATCH(D885,'Malzeme Tanımlama'!$A$5:$A$300,0)),"")</f>
        <v/>
      </c>
      <c r="I885" s="2"/>
      <c r="J885" s="2"/>
      <c r="K885" s="2"/>
    </row>
    <row r="886" spans="1:11" x14ac:dyDescent="0.3">
      <c r="A886" s="5" t="str">
        <f>IF(D886="","",COUNTIF($D$5:D886,"?*"))</f>
        <v/>
      </c>
      <c r="B886" s="6"/>
      <c r="C886" s="5" t="str">
        <f>IF(B886="","",INDEX({"Ocak","Şubat","Mart","Nisan","Mayıs","Haziran","Temmuz","Ağustos","Eylül","Ekim","Kasım","Aralık"},MONTH(B886)))</f>
        <v/>
      </c>
      <c r="D886" s="2"/>
      <c r="E886" s="5" t="str">
        <f>IFERROR(INDEX('Malzeme Tanımlama'!$B$5:$B$300,MATCH(D886,'Malzeme Tanımlama'!$A$5:$A$300,0)),"")</f>
        <v/>
      </c>
      <c r="F886" s="2"/>
      <c r="G886" s="5"/>
      <c r="H886" s="5" t="str">
        <f>IFERROR(INDEX('Malzeme Tanımlama'!$D$5:$D$300,MATCH(D886,'Malzeme Tanımlama'!$A$5:$A$300,0)),"")</f>
        <v/>
      </c>
      <c r="I886" s="2"/>
      <c r="J886" s="2"/>
      <c r="K886" s="2"/>
    </row>
    <row r="887" spans="1:11" x14ac:dyDescent="0.3">
      <c r="A887" s="5" t="str">
        <f>IF(D887="","",COUNTIF($D$5:D887,"?*"))</f>
        <v/>
      </c>
      <c r="B887" s="6"/>
      <c r="C887" s="5" t="str">
        <f>IF(B887="","",INDEX({"Ocak","Şubat","Mart","Nisan","Mayıs","Haziran","Temmuz","Ağustos","Eylül","Ekim","Kasım","Aralık"},MONTH(B887)))</f>
        <v/>
      </c>
      <c r="D887" s="2"/>
      <c r="E887" s="5" t="str">
        <f>IFERROR(INDEX('Malzeme Tanımlama'!$B$5:$B$300,MATCH(D887,'Malzeme Tanımlama'!$A$5:$A$300,0)),"")</f>
        <v/>
      </c>
      <c r="F887" s="2"/>
      <c r="G887" s="5"/>
      <c r="H887" s="5" t="str">
        <f>IFERROR(INDEX('Malzeme Tanımlama'!$D$5:$D$300,MATCH(D887,'Malzeme Tanımlama'!$A$5:$A$300,0)),"")</f>
        <v/>
      </c>
      <c r="I887" s="2"/>
      <c r="J887" s="2"/>
      <c r="K887" s="2"/>
    </row>
    <row r="888" spans="1:11" x14ac:dyDescent="0.3">
      <c r="A888" s="5" t="str">
        <f>IF(D888="","",COUNTIF($D$5:D888,"?*"))</f>
        <v/>
      </c>
      <c r="B888" s="6"/>
      <c r="C888" s="5" t="str">
        <f>IF(B888="","",INDEX({"Ocak","Şubat","Mart","Nisan","Mayıs","Haziran","Temmuz","Ağustos","Eylül","Ekim","Kasım","Aralık"},MONTH(B888)))</f>
        <v/>
      </c>
      <c r="D888" s="2"/>
      <c r="E888" s="5" t="str">
        <f>IFERROR(INDEX('Malzeme Tanımlama'!$B$5:$B$300,MATCH(D888,'Malzeme Tanımlama'!$A$5:$A$300,0)),"")</f>
        <v/>
      </c>
      <c r="F888" s="2"/>
      <c r="G888" s="5"/>
      <c r="H888" s="5" t="str">
        <f>IFERROR(INDEX('Malzeme Tanımlama'!$D$5:$D$300,MATCH(D888,'Malzeme Tanımlama'!$A$5:$A$300,0)),"")</f>
        <v/>
      </c>
      <c r="I888" s="2"/>
      <c r="J888" s="2"/>
      <c r="K888" s="2"/>
    </row>
    <row r="889" spans="1:11" x14ac:dyDescent="0.3">
      <c r="A889" s="5" t="str">
        <f>IF(D889="","",COUNTIF($D$5:D889,"?*"))</f>
        <v/>
      </c>
      <c r="B889" s="6"/>
      <c r="C889" s="5" t="str">
        <f>IF(B889="","",INDEX({"Ocak","Şubat","Mart","Nisan","Mayıs","Haziran","Temmuz","Ağustos","Eylül","Ekim","Kasım","Aralık"},MONTH(B889)))</f>
        <v/>
      </c>
      <c r="D889" s="2"/>
      <c r="E889" s="5" t="str">
        <f>IFERROR(INDEX('Malzeme Tanımlama'!$B$5:$B$300,MATCH(D889,'Malzeme Tanımlama'!$A$5:$A$300,0)),"")</f>
        <v/>
      </c>
      <c r="F889" s="2"/>
      <c r="G889" s="5"/>
      <c r="H889" s="5" t="str">
        <f>IFERROR(INDEX('Malzeme Tanımlama'!$D$5:$D$300,MATCH(D889,'Malzeme Tanımlama'!$A$5:$A$300,0)),"")</f>
        <v/>
      </c>
      <c r="I889" s="2"/>
      <c r="J889" s="2"/>
      <c r="K889" s="2"/>
    </row>
    <row r="890" spans="1:11" x14ac:dyDescent="0.3">
      <c r="A890" s="5" t="str">
        <f>IF(D890="","",COUNTIF($D$5:D890,"?*"))</f>
        <v/>
      </c>
      <c r="B890" s="6"/>
      <c r="C890" s="5" t="str">
        <f>IF(B890="","",INDEX({"Ocak","Şubat","Mart","Nisan","Mayıs","Haziran","Temmuz","Ağustos","Eylül","Ekim","Kasım","Aralık"},MONTH(B890)))</f>
        <v/>
      </c>
      <c r="D890" s="2"/>
      <c r="E890" s="5" t="str">
        <f>IFERROR(INDEX('Malzeme Tanımlama'!$B$5:$B$300,MATCH(D890,'Malzeme Tanımlama'!$A$5:$A$300,0)),"")</f>
        <v/>
      </c>
      <c r="F890" s="2"/>
      <c r="G890" s="5"/>
      <c r="H890" s="5" t="str">
        <f>IFERROR(INDEX('Malzeme Tanımlama'!$D$5:$D$300,MATCH(D890,'Malzeme Tanımlama'!$A$5:$A$300,0)),"")</f>
        <v/>
      </c>
      <c r="I890" s="2"/>
      <c r="J890" s="2"/>
      <c r="K890" s="2"/>
    </row>
    <row r="891" spans="1:11" x14ac:dyDescent="0.3">
      <c r="A891" s="5" t="str">
        <f>IF(D891="","",COUNTIF($D$5:D891,"?*"))</f>
        <v/>
      </c>
      <c r="B891" s="6"/>
      <c r="C891" s="5" t="str">
        <f>IF(B891="","",INDEX({"Ocak","Şubat","Mart","Nisan","Mayıs","Haziran","Temmuz","Ağustos","Eylül","Ekim","Kasım","Aralık"},MONTH(B891)))</f>
        <v/>
      </c>
      <c r="D891" s="2"/>
      <c r="E891" s="5" t="str">
        <f>IFERROR(INDEX('Malzeme Tanımlama'!$B$5:$B$300,MATCH(D891,'Malzeme Tanımlama'!$A$5:$A$300,0)),"")</f>
        <v/>
      </c>
      <c r="F891" s="2"/>
      <c r="G891" s="5"/>
      <c r="H891" s="5" t="str">
        <f>IFERROR(INDEX('Malzeme Tanımlama'!$D$5:$D$300,MATCH(D891,'Malzeme Tanımlama'!$A$5:$A$300,0)),"")</f>
        <v/>
      </c>
      <c r="I891" s="2"/>
      <c r="J891" s="2"/>
      <c r="K891" s="2"/>
    </row>
    <row r="892" spans="1:11" x14ac:dyDescent="0.3">
      <c r="A892" s="5" t="str">
        <f>IF(D892="","",COUNTIF($D$5:D892,"?*"))</f>
        <v/>
      </c>
      <c r="B892" s="6"/>
      <c r="C892" s="5" t="str">
        <f>IF(B892="","",INDEX({"Ocak","Şubat","Mart","Nisan","Mayıs","Haziran","Temmuz","Ağustos","Eylül","Ekim","Kasım","Aralık"},MONTH(B892)))</f>
        <v/>
      </c>
      <c r="D892" s="2"/>
      <c r="E892" s="5" t="str">
        <f>IFERROR(INDEX('Malzeme Tanımlama'!$B$5:$B$300,MATCH(D892,'Malzeme Tanımlama'!$A$5:$A$300,0)),"")</f>
        <v/>
      </c>
      <c r="F892" s="2"/>
      <c r="G892" s="5"/>
      <c r="H892" s="5" t="str">
        <f>IFERROR(INDEX('Malzeme Tanımlama'!$D$5:$D$300,MATCH(D892,'Malzeme Tanımlama'!$A$5:$A$300,0)),"")</f>
        <v/>
      </c>
      <c r="I892" s="2"/>
      <c r="J892" s="2"/>
      <c r="K892" s="2"/>
    </row>
    <row r="893" spans="1:11" x14ac:dyDescent="0.3">
      <c r="A893" s="5" t="str">
        <f>IF(D893="","",COUNTIF($D$5:D893,"?*"))</f>
        <v/>
      </c>
      <c r="B893" s="6"/>
      <c r="C893" s="5" t="str">
        <f>IF(B893="","",INDEX({"Ocak","Şubat","Mart","Nisan","Mayıs","Haziran","Temmuz","Ağustos","Eylül","Ekim","Kasım","Aralık"},MONTH(B893)))</f>
        <v/>
      </c>
      <c r="D893" s="2"/>
      <c r="E893" s="5" t="str">
        <f>IFERROR(INDEX('Malzeme Tanımlama'!$B$5:$B$300,MATCH(D893,'Malzeme Tanımlama'!$A$5:$A$300,0)),"")</f>
        <v/>
      </c>
      <c r="F893" s="2"/>
      <c r="G893" s="5"/>
      <c r="H893" s="5" t="str">
        <f>IFERROR(INDEX('Malzeme Tanımlama'!$D$5:$D$300,MATCH(D893,'Malzeme Tanımlama'!$A$5:$A$300,0)),"")</f>
        <v/>
      </c>
      <c r="I893" s="2"/>
      <c r="J893" s="2"/>
      <c r="K893" s="2"/>
    </row>
    <row r="894" spans="1:11" x14ac:dyDescent="0.3">
      <c r="A894" s="5" t="str">
        <f>IF(D894="","",COUNTIF($D$5:D894,"?*"))</f>
        <v/>
      </c>
      <c r="B894" s="6"/>
      <c r="C894" s="5" t="str">
        <f>IF(B894="","",INDEX({"Ocak","Şubat","Mart","Nisan","Mayıs","Haziran","Temmuz","Ağustos","Eylül","Ekim","Kasım","Aralık"},MONTH(B894)))</f>
        <v/>
      </c>
      <c r="D894" s="2"/>
      <c r="E894" s="5" t="str">
        <f>IFERROR(INDEX('Malzeme Tanımlama'!$B$5:$B$300,MATCH(D894,'Malzeme Tanımlama'!$A$5:$A$300,0)),"")</f>
        <v/>
      </c>
      <c r="F894" s="2"/>
      <c r="G894" s="5"/>
      <c r="H894" s="5" t="str">
        <f>IFERROR(INDEX('Malzeme Tanımlama'!$D$5:$D$300,MATCH(D894,'Malzeme Tanımlama'!$A$5:$A$300,0)),"")</f>
        <v/>
      </c>
      <c r="I894" s="2"/>
      <c r="J894" s="2"/>
      <c r="K894" s="2"/>
    </row>
    <row r="895" spans="1:11" x14ac:dyDescent="0.3">
      <c r="A895" s="5" t="str">
        <f>IF(D895="","",COUNTIF($D$5:D895,"?*"))</f>
        <v/>
      </c>
      <c r="B895" s="6"/>
      <c r="C895" s="5" t="str">
        <f>IF(B895="","",INDEX({"Ocak","Şubat","Mart","Nisan","Mayıs","Haziran","Temmuz","Ağustos","Eylül","Ekim","Kasım","Aralık"},MONTH(B895)))</f>
        <v/>
      </c>
      <c r="D895" s="2"/>
      <c r="E895" s="5" t="str">
        <f>IFERROR(INDEX('Malzeme Tanımlama'!$B$5:$B$300,MATCH(D895,'Malzeme Tanımlama'!$A$5:$A$300,0)),"")</f>
        <v/>
      </c>
      <c r="F895" s="2"/>
      <c r="G895" s="5"/>
      <c r="H895" s="5" t="str">
        <f>IFERROR(INDEX('Malzeme Tanımlama'!$D$5:$D$300,MATCH(D895,'Malzeme Tanımlama'!$A$5:$A$300,0)),"")</f>
        <v/>
      </c>
      <c r="I895" s="2"/>
      <c r="J895" s="2"/>
      <c r="K895" s="2"/>
    </row>
    <row r="896" spans="1:11" x14ac:dyDescent="0.3">
      <c r="A896" s="5" t="str">
        <f>IF(D896="","",COUNTIF($D$5:D896,"?*"))</f>
        <v/>
      </c>
      <c r="B896" s="6"/>
      <c r="C896" s="5" t="str">
        <f>IF(B896="","",INDEX({"Ocak","Şubat","Mart","Nisan","Mayıs","Haziran","Temmuz","Ağustos","Eylül","Ekim","Kasım","Aralık"},MONTH(B896)))</f>
        <v/>
      </c>
      <c r="D896" s="2"/>
      <c r="E896" s="5" t="str">
        <f>IFERROR(INDEX('Malzeme Tanımlama'!$B$5:$B$300,MATCH(D896,'Malzeme Tanımlama'!$A$5:$A$300,0)),"")</f>
        <v/>
      </c>
      <c r="F896" s="2"/>
      <c r="G896" s="5"/>
      <c r="H896" s="5" t="str">
        <f>IFERROR(INDEX('Malzeme Tanımlama'!$D$5:$D$300,MATCH(D896,'Malzeme Tanımlama'!$A$5:$A$300,0)),"")</f>
        <v/>
      </c>
      <c r="I896" s="2"/>
      <c r="J896" s="2"/>
      <c r="K896" s="2"/>
    </row>
    <row r="897" spans="1:11" x14ac:dyDescent="0.3">
      <c r="A897" s="5" t="str">
        <f>IF(D897="","",COUNTIF($D$5:D897,"?*"))</f>
        <v/>
      </c>
      <c r="B897" s="6"/>
      <c r="C897" s="5" t="str">
        <f>IF(B897="","",INDEX({"Ocak","Şubat","Mart","Nisan","Mayıs","Haziran","Temmuz","Ağustos","Eylül","Ekim","Kasım","Aralık"},MONTH(B897)))</f>
        <v/>
      </c>
      <c r="D897" s="2"/>
      <c r="E897" s="5" t="str">
        <f>IFERROR(INDEX('Malzeme Tanımlama'!$B$5:$B$300,MATCH(D897,'Malzeme Tanımlama'!$A$5:$A$300,0)),"")</f>
        <v/>
      </c>
      <c r="F897" s="2"/>
      <c r="G897" s="5"/>
      <c r="H897" s="5" t="str">
        <f>IFERROR(INDEX('Malzeme Tanımlama'!$D$5:$D$300,MATCH(D897,'Malzeme Tanımlama'!$A$5:$A$300,0)),"")</f>
        <v/>
      </c>
      <c r="I897" s="2"/>
      <c r="J897" s="2"/>
      <c r="K897" s="2"/>
    </row>
    <row r="898" spans="1:11" x14ac:dyDescent="0.3">
      <c r="A898" s="5" t="str">
        <f>IF(D898="","",COUNTIF($D$5:D898,"?*"))</f>
        <v/>
      </c>
      <c r="B898" s="6"/>
      <c r="C898" s="5" t="str">
        <f>IF(B898="","",INDEX({"Ocak","Şubat","Mart","Nisan","Mayıs","Haziran","Temmuz","Ağustos","Eylül","Ekim","Kasım","Aralık"},MONTH(B898)))</f>
        <v/>
      </c>
      <c r="D898" s="2"/>
      <c r="E898" s="5" t="str">
        <f>IFERROR(INDEX('Malzeme Tanımlama'!$B$5:$B$300,MATCH(D898,'Malzeme Tanımlama'!$A$5:$A$300,0)),"")</f>
        <v/>
      </c>
      <c r="F898" s="2"/>
      <c r="G898" s="5"/>
      <c r="H898" s="5" t="str">
        <f>IFERROR(INDEX('Malzeme Tanımlama'!$D$5:$D$300,MATCH(D898,'Malzeme Tanımlama'!$A$5:$A$300,0)),"")</f>
        <v/>
      </c>
      <c r="I898" s="2"/>
      <c r="J898" s="2"/>
      <c r="K898" s="2"/>
    </row>
    <row r="899" spans="1:11" x14ac:dyDescent="0.3">
      <c r="A899" s="5" t="str">
        <f>IF(D899="","",COUNTIF($D$5:D899,"?*"))</f>
        <v/>
      </c>
      <c r="B899" s="6"/>
      <c r="C899" s="5" t="str">
        <f>IF(B899="","",INDEX({"Ocak","Şubat","Mart","Nisan","Mayıs","Haziran","Temmuz","Ağustos","Eylül","Ekim","Kasım","Aralık"},MONTH(B899)))</f>
        <v/>
      </c>
      <c r="D899" s="2"/>
      <c r="E899" s="5" t="str">
        <f>IFERROR(INDEX('Malzeme Tanımlama'!$B$5:$B$300,MATCH(D899,'Malzeme Tanımlama'!$A$5:$A$300,0)),"")</f>
        <v/>
      </c>
      <c r="F899" s="2"/>
      <c r="G899" s="5"/>
      <c r="H899" s="5" t="str">
        <f>IFERROR(INDEX('Malzeme Tanımlama'!$D$5:$D$300,MATCH(D899,'Malzeme Tanımlama'!$A$5:$A$300,0)),"")</f>
        <v/>
      </c>
      <c r="I899" s="2"/>
      <c r="J899" s="2"/>
      <c r="K899" s="2"/>
    </row>
    <row r="900" spans="1:11" x14ac:dyDescent="0.3">
      <c r="A900" s="5" t="str">
        <f>IF(D900="","",COUNTIF($D$5:D900,"?*"))</f>
        <v/>
      </c>
      <c r="B900" s="6"/>
      <c r="C900" s="5" t="str">
        <f>IF(B900="","",INDEX({"Ocak","Şubat","Mart","Nisan","Mayıs","Haziran","Temmuz","Ağustos","Eylül","Ekim","Kasım","Aralık"},MONTH(B900)))</f>
        <v/>
      </c>
      <c r="D900" s="2"/>
      <c r="E900" s="5" t="str">
        <f>IFERROR(INDEX('Malzeme Tanımlama'!$B$5:$B$300,MATCH(D900,'Malzeme Tanımlama'!$A$5:$A$300,0)),"")</f>
        <v/>
      </c>
      <c r="F900" s="2"/>
      <c r="G900" s="5"/>
      <c r="H900" s="5" t="str">
        <f>IFERROR(INDEX('Malzeme Tanımlama'!$D$5:$D$300,MATCH(D900,'Malzeme Tanımlama'!$A$5:$A$300,0)),"")</f>
        <v/>
      </c>
      <c r="I900" s="2"/>
      <c r="J900" s="2"/>
      <c r="K900" s="2"/>
    </row>
    <row r="901" spans="1:11" x14ac:dyDescent="0.3">
      <c r="A901" s="5" t="str">
        <f>IF(D901="","",COUNTIF($D$5:D901,"?*"))</f>
        <v/>
      </c>
      <c r="B901" s="6"/>
      <c r="C901" s="5" t="str">
        <f>IF(B901="","",INDEX({"Ocak","Şubat","Mart","Nisan","Mayıs","Haziran","Temmuz","Ağustos","Eylül","Ekim","Kasım","Aralık"},MONTH(B901)))</f>
        <v/>
      </c>
      <c r="D901" s="2"/>
      <c r="E901" s="5" t="str">
        <f>IFERROR(INDEX('Malzeme Tanımlama'!$B$5:$B$300,MATCH(D901,'Malzeme Tanımlama'!$A$5:$A$300,0)),"")</f>
        <v/>
      </c>
      <c r="F901" s="2"/>
      <c r="G901" s="5"/>
      <c r="H901" s="5" t="str">
        <f>IFERROR(INDEX('Malzeme Tanımlama'!$D$5:$D$300,MATCH(D901,'Malzeme Tanımlama'!$A$5:$A$300,0)),"")</f>
        <v/>
      </c>
      <c r="I901" s="2"/>
      <c r="J901" s="2"/>
      <c r="K901" s="2"/>
    </row>
    <row r="902" spans="1:11" x14ac:dyDescent="0.3">
      <c r="A902" s="5" t="str">
        <f>IF(D902="","",COUNTIF($D$5:D902,"?*"))</f>
        <v/>
      </c>
      <c r="B902" s="6"/>
      <c r="C902" s="5" t="str">
        <f>IF(B902="","",INDEX({"Ocak","Şubat","Mart","Nisan","Mayıs","Haziran","Temmuz","Ağustos","Eylül","Ekim","Kasım","Aralık"},MONTH(B902)))</f>
        <v/>
      </c>
      <c r="D902" s="2"/>
      <c r="E902" s="5" t="str">
        <f>IFERROR(INDEX('Malzeme Tanımlama'!$B$5:$B$300,MATCH(D902,'Malzeme Tanımlama'!$A$5:$A$300,0)),"")</f>
        <v/>
      </c>
      <c r="F902" s="2"/>
      <c r="G902" s="5"/>
      <c r="H902" s="5" t="str">
        <f>IFERROR(INDEX('Malzeme Tanımlama'!$D$5:$D$300,MATCH(D902,'Malzeme Tanımlama'!$A$5:$A$300,0)),"")</f>
        <v/>
      </c>
      <c r="I902" s="2"/>
      <c r="J902" s="2"/>
      <c r="K902" s="2"/>
    </row>
    <row r="903" spans="1:11" x14ac:dyDescent="0.3">
      <c r="A903" s="5" t="str">
        <f>IF(D903="","",COUNTIF($D$5:D903,"?*"))</f>
        <v/>
      </c>
      <c r="B903" s="6"/>
      <c r="C903" s="5" t="str">
        <f>IF(B903="","",INDEX({"Ocak","Şubat","Mart","Nisan","Mayıs","Haziran","Temmuz","Ağustos","Eylül","Ekim","Kasım","Aralık"},MONTH(B903)))</f>
        <v/>
      </c>
      <c r="D903" s="2"/>
      <c r="E903" s="5" t="str">
        <f>IFERROR(INDEX('Malzeme Tanımlama'!$B$5:$B$300,MATCH(D903,'Malzeme Tanımlama'!$A$5:$A$300,0)),"")</f>
        <v/>
      </c>
      <c r="F903" s="2"/>
      <c r="G903" s="5"/>
      <c r="H903" s="5" t="str">
        <f>IFERROR(INDEX('Malzeme Tanımlama'!$D$5:$D$300,MATCH(D903,'Malzeme Tanımlama'!$A$5:$A$300,0)),"")</f>
        <v/>
      </c>
      <c r="I903" s="2"/>
      <c r="J903" s="2"/>
      <c r="K903" s="2"/>
    </row>
    <row r="904" spans="1:11" x14ac:dyDescent="0.3">
      <c r="A904" s="5" t="str">
        <f>IF(D904="","",COUNTIF($D$5:D904,"?*"))</f>
        <v/>
      </c>
      <c r="B904" s="6"/>
      <c r="C904" s="5" t="str">
        <f>IF(B904="","",INDEX({"Ocak","Şubat","Mart","Nisan","Mayıs","Haziran","Temmuz","Ağustos","Eylül","Ekim","Kasım","Aralık"},MONTH(B904)))</f>
        <v/>
      </c>
      <c r="D904" s="2"/>
      <c r="E904" s="5" t="str">
        <f>IFERROR(INDEX('Malzeme Tanımlama'!$B$5:$B$300,MATCH(D904,'Malzeme Tanımlama'!$A$5:$A$300,0)),"")</f>
        <v/>
      </c>
      <c r="F904" s="2"/>
      <c r="G904" s="5"/>
      <c r="H904" s="5" t="str">
        <f>IFERROR(INDEX('Malzeme Tanımlama'!$D$5:$D$300,MATCH(D904,'Malzeme Tanımlama'!$A$5:$A$300,0)),"")</f>
        <v/>
      </c>
      <c r="I904" s="2"/>
      <c r="J904" s="2"/>
      <c r="K904" s="2"/>
    </row>
    <row r="905" spans="1:11" x14ac:dyDescent="0.3">
      <c r="A905" s="5" t="str">
        <f>IF(D905="","",COUNTIF($D$5:D905,"?*"))</f>
        <v/>
      </c>
      <c r="B905" s="6"/>
      <c r="C905" s="5" t="str">
        <f>IF(B905="","",INDEX({"Ocak","Şubat","Mart","Nisan","Mayıs","Haziran","Temmuz","Ağustos","Eylül","Ekim","Kasım","Aralık"},MONTH(B905)))</f>
        <v/>
      </c>
      <c r="D905" s="2"/>
      <c r="E905" s="5" t="str">
        <f>IFERROR(INDEX('Malzeme Tanımlama'!$B$5:$B$300,MATCH(D905,'Malzeme Tanımlama'!$A$5:$A$300,0)),"")</f>
        <v/>
      </c>
      <c r="F905" s="2"/>
      <c r="G905" s="5"/>
      <c r="H905" s="5" t="str">
        <f>IFERROR(INDEX('Malzeme Tanımlama'!$D$5:$D$300,MATCH(D905,'Malzeme Tanımlama'!$A$5:$A$300,0)),"")</f>
        <v/>
      </c>
      <c r="I905" s="2"/>
      <c r="J905" s="2"/>
      <c r="K905" s="2"/>
    </row>
    <row r="906" spans="1:11" x14ac:dyDescent="0.3">
      <c r="A906" s="5" t="str">
        <f>IF(D906="","",COUNTIF($D$5:D906,"?*"))</f>
        <v/>
      </c>
      <c r="B906" s="6"/>
      <c r="C906" s="5" t="str">
        <f>IF(B906="","",INDEX({"Ocak","Şubat","Mart","Nisan","Mayıs","Haziran","Temmuz","Ağustos","Eylül","Ekim","Kasım","Aralık"},MONTH(B906)))</f>
        <v/>
      </c>
      <c r="D906" s="2"/>
      <c r="E906" s="5" t="str">
        <f>IFERROR(INDEX('Malzeme Tanımlama'!$B$5:$B$300,MATCH(D906,'Malzeme Tanımlama'!$A$5:$A$300,0)),"")</f>
        <v/>
      </c>
      <c r="F906" s="2"/>
      <c r="G906" s="5"/>
      <c r="H906" s="5" t="str">
        <f>IFERROR(INDEX('Malzeme Tanımlama'!$D$5:$D$300,MATCH(D906,'Malzeme Tanımlama'!$A$5:$A$300,0)),"")</f>
        <v/>
      </c>
      <c r="I906" s="2"/>
      <c r="J906" s="2"/>
      <c r="K906" s="2"/>
    </row>
    <row r="907" spans="1:11" x14ac:dyDescent="0.3">
      <c r="A907" s="5" t="str">
        <f>IF(D907="","",COUNTIF($D$5:D907,"?*"))</f>
        <v/>
      </c>
      <c r="B907" s="6"/>
      <c r="C907" s="5" t="str">
        <f>IF(B907="","",INDEX({"Ocak","Şubat","Mart","Nisan","Mayıs","Haziran","Temmuz","Ağustos","Eylül","Ekim","Kasım","Aralık"},MONTH(B907)))</f>
        <v/>
      </c>
      <c r="D907" s="2"/>
      <c r="E907" s="5" t="str">
        <f>IFERROR(INDEX('Malzeme Tanımlama'!$B$5:$B$300,MATCH(D907,'Malzeme Tanımlama'!$A$5:$A$300,0)),"")</f>
        <v/>
      </c>
      <c r="F907" s="2"/>
      <c r="G907" s="5"/>
      <c r="H907" s="5" t="str">
        <f>IFERROR(INDEX('Malzeme Tanımlama'!$D$5:$D$300,MATCH(D907,'Malzeme Tanımlama'!$A$5:$A$300,0)),"")</f>
        <v/>
      </c>
      <c r="I907" s="2"/>
      <c r="J907" s="2"/>
      <c r="K907" s="2"/>
    </row>
    <row r="908" spans="1:11" x14ac:dyDescent="0.3">
      <c r="A908" s="5" t="str">
        <f>IF(D908="","",COUNTIF($D$5:D908,"?*"))</f>
        <v/>
      </c>
      <c r="B908" s="6"/>
      <c r="C908" s="5" t="str">
        <f>IF(B908="","",INDEX({"Ocak","Şubat","Mart","Nisan","Mayıs","Haziran","Temmuz","Ağustos","Eylül","Ekim","Kasım","Aralık"},MONTH(B908)))</f>
        <v/>
      </c>
      <c r="D908" s="2"/>
      <c r="E908" s="5" t="str">
        <f>IFERROR(INDEX('Malzeme Tanımlama'!$B$5:$B$300,MATCH(D908,'Malzeme Tanımlama'!$A$5:$A$300,0)),"")</f>
        <v/>
      </c>
      <c r="F908" s="2"/>
      <c r="G908" s="5"/>
      <c r="H908" s="5" t="str">
        <f>IFERROR(INDEX('Malzeme Tanımlama'!$D$5:$D$300,MATCH(D908,'Malzeme Tanımlama'!$A$5:$A$300,0)),"")</f>
        <v/>
      </c>
      <c r="I908" s="2"/>
      <c r="J908" s="2"/>
      <c r="K908" s="2"/>
    </row>
    <row r="909" spans="1:11" x14ac:dyDescent="0.3">
      <c r="A909" s="5" t="str">
        <f>IF(D909="","",COUNTIF($D$5:D909,"?*"))</f>
        <v/>
      </c>
      <c r="B909" s="6"/>
      <c r="C909" s="5" t="str">
        <f>IF(B909="","",INDEX({"Ocak","Şubat","Mart","Nisan","Mayıs","Haziran","Temmuz","Ağustos","Eylül","Ekim","Kasım","Aralık"},MONTH(B909)))</f>
        <v/>
      </c>
      <c r="D909" s="2"/>
      <c r="E909" s="5" t="str">
        <f>IFERROR(INDEX('Malzeme Tanımlama'!$B$5:$B$300,MATCH(D909,'Malzeme Tanımlama'!$A$5:$A$300,0)),"")</f>
        <v/>
      </c>
      <c r="F909" s="2"/>
      <c r="G909" s="5"/>
      <c r="H909" s="5" t="str">
        <f>IFERROR(INDEX('Malzeme Tanımlama'!$D$5:$D$300,MATCH(D909,'Malzeme Tanımlama'!$A$5:$A$300,0)),"")</f>
        <v/>
      </c>
      <c r="I909" s="2"/>
      <c r="J909" s="2"/>
      <c r="K909" s="2"/>
    </row>
    <row r="910" spans="1:11" x14ac:dyDescent="0.3">
      <c r="A910" s="5" t="str">
        <f>IF(D910="","",COUNTIF($D$5:D910,"?*"))</f>
        <v/>
      </c>
      <c r="B910" s="6"/>
      <c r="C910" s="5" t="str">
        <f>IF(B910="","",INDEX({"Ocak","Şubat","Mart","Nisan","Mayıs","Haziran","Temmuz","Ağustos","Eylül","Ekim","Kasım","Aralık"},MONTH(B910)))</f>
        <v/>
      </c>
      <c r="D910" s="2"/>
      <c r="E910" s="5" t="str">
        <f>IFERROR(INDEX('Malzeme Tanımlama'!$B$5:$B$300,MATCH(D910,'Malzeme Tanımlama'!$A$5:$A$300,0)),"")</f>
        <v/>
      </c>
      <c r="F910" s="2"/>
      <c r="G910" s="5"/>
      <c r="H910" s="5" t="str">
        <f>IFERROR(INDEX('Malzeme Tanımlama'!$D$5:$D$300,MATCH(D910,'Malzeme Tanımlama'!$A$5:$A$300,0)),"")</f>
        <v/>
      </c>
      <c r="I910" s="2"/>
      <c r="J910" s="2"/>
      <c r="K910" s="2"/>
    </row>
    <row r="911" spans="1:11" x14ac:dyDescent="0.3">
      <c r="A911" s="5" t="str">
        <f>IF(D911="","",COUNTIF($D$5:D911,"?*"))</f>
        <v/>
      </c>
      <c r="B911" s="6"/>
      <c r="C911" s="5" t="str">
        <f>IF(B911="","",INDEX({"Ocak","Şubat","Mart","Nisan","Mayıs","Haziran","Temmuz","Ağustos","Eylül","Ekim","Kasım","Aralık"},MONTH(B911)))</f>
        <v/>
      </c>
      <c r="D911" s="2"/>
      <c r="E911" s="5" t="str">
        <f>IFERROR(INDEX('Malzeme Tanımlama'!$B$5:$B$300,MATCH(D911,'Malzeme Tanımlama'!$A$5:$A$300,0)),"")</f>
        <v/>
      </c>
      <c r="F911" s="2"/>
      <c r="G911" s="5"/>
      <c r="H911" s="5" t="str">
        <f>IFERROR(INDEX('Malzeme Tanımlama'!$D$5:$D$300,MATCH(D911,'Malzeme Tanımlama'!$A$5:$A$300,0)),"")</f>
        <v/>
      </c>
      <c r="I911" s="2"/>
      <c r="J911" s="2"/>
      <c r="K911" s="2"/>
    </row>
    <row r="912" spans="1:11" x14ac:dyDescent="0.3">
      <c r="A912" s="5" t="str">
        <f>IF(D912="","",COUNTIF($D$5:D912,"?*"))</f>
        <v/>
      </c>
      <c r="B912" s="6"/>
      <c r="C912" s="5" t="str">
        <f>IF(B912="","",INDEX({"Ocak","Şubat","Mart","Nisan","Mayıs","Haziran","Temmuz","Ağustos","Eylül","Ekim","Kasım","Aralık"},MONTH(B912)))</f>
        <v/>
      </c>
      <c r="D912" s="2"/>
      <c r="E912" s="5" t="str">
        <f>IFERROR(INDEX('Malzeme Tanımlama'!$B$5:$B$300,MATCH(D912,'Malzeme Tanımlama'!$A$5:$A$300,0)),"")</f>
        <v/>
      </c>
      <c r="F912" s="2"/>
      <c r="G912" s="5"/>
      <c r="H912" s="5" t="str">
        <f>IFERROR(INDEX('Malzeme Tanımlama'!$D$5:$D$300,MATCH(D912,'Malzeme Tanımlama'!$A$5:$A$300,0)),"")</f>
        <v/>
      </c>
      <c r="I912" s="2"/>
      <c r="J912" s="2"/>
      <c r="K912" s="2"/>
    </row>
    <row r="913" spans="1:11" x14ac:dyDescent="0.3">
      <c r="A913" s="5" t="str">
        <f>IF(D913="","",COUNTIF($D$5:D913,"?*"))</f>
        <v/>
      </c>
      <c r="B913" s="6"/>
      <c r="C913" s="5" t="str">
        <f>IF(B913="","",INDEX({"Ocak","Şubat","Mart","Nisan","Mayıs","Haziran","Temmuz","Ağustos","Eylül","Ekim","Kasım","Aralık"},MONTH(B913)))</f>
        <v/>
      </c>
      <c r="D913" s="2"/>
      <c r="E913" s="5" t="str">
        <f>IFERROR(INDEX('Malzeme Tanımlama'!$B$5:$B$300,MATCH(D913,'Malzeme Tanımlama'!$A$5:$A$300,0)),"")</f>
        <v/>
      </c>
      <c r="F913" s="2"/>
      <c r="G913" s="5"/>
      <c r="H913" s="5" t="str">
        <f>IFERROR(INDEX('Malzeme Tanımlama'!$D$5:$D$300,MATCH(D913,'Malzeme Tanımlama'!$A$5:$A$300,0)),"")</f>
        <v/>
      </c>
      <c r="I913" s="2"/>
      <c r="J913" s="2"/>
      <c r="K913" s="2"/>
    </row>
    <row r="914" spans="1:11" x14ac:dyDescent="0.3">
      <c r="A914" s="5" t="str">
        <f>IF(D914="","",COUNTIF($D$5:D914,"?*"))</f>
        <v/>
      </c>
      <c r="B914" s="6"/>
      <c r="C914" s="5" t="str">
        <f>IF(B914="","",INDEX({"Ocak","Şubat","Mart","Nisan","Mayıs","Haziran","Temmuz","Ağustos","Eylül","Ekim","Kasım","Aralık"},MONTH(B914)))</f>
        <v/>
      </c>
      <c r="D914" s="2"/>
      <c r="E914" s="5" t="str">
        <f>IFERROR(INDEX('Malzeme Tanımlama'!$B$5:$B$300,MATCH(D914,'Malzeme Tanımlama'!$A$5:$A$300,0)),"")</f>
        <v/>
      </c>
      <c r="F914" s="2"/>
      <c r="G914" s="5"/>
      <c r="H914" s="5" t="str">
        <f>IFERROR(INDEX('Malzeme Tanımlama'!$D$5:$D$300,MATCH(D914,'Malzeme Tanımlama'!$A$5:$A$300,0)),"")</f>
        <v/>
      </c>
      <c r="I914" s="2"/>
      <c r="J914" s="2"/>
      <c r="K914" s="2"/>
    </row>
    <row r="915" spans="1:11" x14ac:dyDescent="0.3">
      <c r="A915" s="5" t="str">
        <f>IF(D915="","",COUNTIF($D$5:D915,"?*"))</f>
        <v/>
      </c>
      <c r="B915" s="6"/>
      <c r="C915" s="5" t="str">
        <f>IF(B915="","",INDEX({"Ocak","Şubat","Mart","Nisan","Mayıs","Haziran","Temmuz","Ağustos","Eylül","Ekim","Kasım","Aralık"},MONTH(B915)))</f>
        <v/>
      </c>
      <c r="D915" s="2"/>
      <c r="E915" s="5" t="str">
        <f>IFERROR(INDEX('Malzeme Tanımlama'!$B$5:$B$300,MATCH(D915,'Malzeme Tanımlama'!$A$5:$A$300,0)),"")</f>
        <v/>
      </c>
      <c r="F915" s="2"/>
      <c r="G915" s="5"/>
      <c r="H915" s="5" t="str">
        <f>IFERROR(INDEX('Malzeme Tanımlama'!$D$5:$D$300,MATCH(D915,'Malzeme Tanımlama'!$A$5:$A$300,0)),"")</f>
        <v/>
      </c>
      <c r="I915" s="2"/>
      <c r="J915" s="2"/>
      <c r="K915" s="2"/>
    </row>
    <row r="916" spans="1:11" x14ac:dyDescent="0.3">
      <c r="A916" s="5" t="str">
        <f>IF(D916="","",COUNTIF($D$5:D916,"?*"))</f>
        <v/>
      </c>
      <c r="B916" s="6"/>
      <c r="C916" s="5" t="str">
        <f>IF(B916="","",INDEX({"Ocak","Şubat","Mart","Nisan","Mayıs","Haziran","Temmuz","Ağustos","Eylül","Ekim","Kasım","Aralık"},MONTH(B916)))</f>
        <v/>
      </c>
      <c r="D916" s="2"/>
      <c r="E916" s="5" t="str">
        <f>IFERROR(INDEX('Malzeme Tanımlama'!$B$5:$B$300,MATCH(D916,'Malzeme Tanımlama'!$A$5:$A$300,0)),"")</f>
        <v/>
      </c>
      <c r="F916" s="2"/>
      <c r="G916" s="5"/>
      <c r="H916" s="5" t="str">
        <f>IFERROR(INDEX('Malzeme Tanımlama'!$D$5:$D$300,MATCH(D916,'Malzeme Tanımlama'!$A$5:$A$300,0)),"")</f>
        <v/>
      </c>
      <c r="I916" s="2"/>
      <c r="J916" s="2"/>
      <c r="K916" s="2"/>
    </row>
    <row r="917" spans="1:11" x14ac:dyDescent="0.3">
      <c r="A917" s="5" t="str">
        <f>IF(D917="","",COUNTIF($D$5:D917,"?*"))</f>
        <v/>
      </c>
      <c r="B917" s="6"/>
      <c r="C917" s="5" t="str">
        <f>IF(B917="","",INDEX({"Ocak","Şubat","Mart","Nisan","Mayıs","Haziran","Temmuz","Ağustos","Eylül","Ekim","Kasım","Aralık"},MONTH(B917)))</f>
        <v/>
      </c>
      <c r="D917" s="2"/>
      <c r="E917" s="5" t="str">
        <f>IFERROR(INDEX('Malzeme Tanımlama'!$B$5:$B$300,MATCH(D917,'Malzeme Tanımlama'!$A$5:$A$300,0)),"")</f>
        <v/>
      </c>
      <c r="F917" s="2"/>
      <c r="G917" s="5"/>
      <c r="H917" s="5" t="str">
        <f>IFERROR(INDEX('Malzeme Tanımlama'!$D$5:$D$300,MATCH(D917,'Malzeme Tanımlama'!$A$5:$A$300,0)),"")</f>
        <v/>
      </c>
      <c r="I917" s="2"/>
      <c r="J917" s="2"/>
      <c r="K917" s="2"/>
    </row>
    <row r="918" spans="1:11" x14ac:dyDescent="0.3">
      <c r="A918" s="5" t="str">
        <f>IF(D918="","",COUNTIF($D$5:D918,"?*"))</f>
        <v/>
      </c>
      <c r="B918" s="6"/>
      <c r="C918" s="5" t="str">
        <f>IF(B918="","",INDEX({"Ocak","Şubat","Mart","Nisan","Mayıs","Haziran","Temmuz","Ağustos","Eylül","Ekim","Kasım","Aralık"},MONTH(B918)))</f>
        <v/>
      </c>
      <c r="D918" s="2"/>
      <c r="E918" s="5" t="str">
        <f>IFERROR(INDEX('Malzeme Tanımlama'!$B$5:$B$300,MATCH(D918,'Malzeme Tanımlama'!$A$5:$A$300,0)),"")</f>
        <v/>
      </c>
      <c r="F918" s="2"/>
      <c r="G918" s="5"/>
      <c r="H918" s="5" t="str">
        <f>IFERROR(INDEX('Malzeme Tanımlama'!$D$5:$D$300,MATCH(D918,'Malzeme Tanımlama'!$A$5:$A$300,0)),"")</f>
        <v/>
      </c>
      <c r="I918" s="2"/>
      <c r="J918" s="2"/>
      <c r="K918" s="2"/>
    </row>
    <row r="919" spans="1:11" x14ac:dyDescent="0.3">
      <c r="A919" s="5" t="str">
        <f>IF(D919="","",COUNTIF($D$5:D919,"?*"))</f>
        <v/>
      </c>
      <c r="B919" s="6"/>
      <c r="C919" s="5" t="str">
        <f>IF(B919="","",INDEX({"Ocak","Şubat","Mart","Nisan","Mayıs","Haziran","Temmuz","Ağustos","Eylül","Ekim","Kasım","Aralık"},MONTH(B919)))</f>
        <v/>
      </c>
      <c r="D919" s="2"/>
      <c r="E919" s="5" t="str">
        <f>IFERROR(INDEX('Malzeme Tanımlama'!$B$5:$B$300,MATCH(D919,'Malzeme Tanımlama'!$A$5:$A$300,0)),"")</f>
        <v/>
      </c>
      <c r="F919" s="2"/>
      <c r="G919" s="5"/>
      <c r="H919" s="5" t="str">
        <f>IFERROR(INDEX('Malzeme Tanımlama'!$D$5:$D$300,MATCH(D919,'Malzeme Tanımlama'!$A$5:$A$300,0)),"")</f>
        <v/>
      </c>
      <c r="I919" s="2"/>
      <c r="J919" s="2"/>
      <c r="K919" s="2"/>
    </row>
    <row r="920" spans="1:11" x14ac:dyDescent="0.3">
      <c r="A920" s="5" t="str">
        <f>IF(D920="","",COUNTIF($D$5:D920,"?*"))</f>
        <v/>
      </c>
      <c r="B920" s="6"/>
      <c r="C920" s="5" t="str">
        <f>IF(B920="","",INDEX({"Ocak","Şubat","Mart","Nisan","Mayıs","Haziran","Temmuz","Ağustos","Eylül","Ekim","Kasım","Aralık"},MONTH(B920)))</f>
        <v/>
      </c>
      <c r="D920" s="2"/>
      <c r="E920" s="5" t="str">
        <f>IFERROR(INDEX('Malzeme Tanımlama'!$B$5:$B$300,MATCH(D920,'Malzeme Tanımlama'!$A$5:$A$300,0)),"")</f>
        <v/>
      </c>
      <c r="F920" s="2"/>
      <c r="G920" s="5"/>
      <c r="H920" s="5" t="str">
        <f>IFERROR(INDEX('Malzeme Tanımlama'!$D$5:$D$300,MATCH(D920,'Malzeme Tanımlama'!$A$5:$A$300,0)),"")</f>
        <v/>
      </c>
      <c r="I920" s="2"/>
      <c r="J920" s="2"/>
      <c r="K920" s="2"/>
    </row>
    <row r="921" spans="1:11" x14ac:dyDescent="0.3">
      <c r="A921" s="5" t="str">
        <f>IF(D921="","",COUNTIF($D$5:D921,"?*"))</f>
        <v/>
      </c>
      <c r="B921" s="6"/>
      <c r="C921" s="5" t="str">
        <f>IF(B921="","",INDEX({"Ocak","Şubat","Mart","Nisan","Mayıs","Haziran","Temmuz","Ağustos","Eylül","Ekim","Kasım","Aralık"},MONTH(B921)))</f>
        <v/>
      </c>
      <c r="D921" s="2"/>
      <c r="E921" s="5" t="str">
        <f>IFERROR(INDEX('Malzeme Tanımlama'!$B$5:$B$300,MATCH(D921,'Malzeme Tanımlama'!$A$5:$A$300,0)),"")</f>
        <v/>
      </c>
      <c r="F921" s="2"/>
      <c r="G921" s="5"/>
      <c r="H921" s="5" t="str">
        <f>IFERROR(INDEX('Malzeme Tanımlama'!$D$5:$D$300,MATCH(D921,'Malzeme Tanımlama'!$A$5:$A$300,0)),"")</f>
        <v/>
      </c>
      <c r="I921" s="2"/>
      <c r="J921" s="2"/>
      <c r="K921" s="2"/>
    </row>
    <row r="922" spans="1:11" x14ac:dyDescent="0.3">
      <c r="A922" s="5" t="str">
        <f>IF(D922="","",COUNTIF($D$5:D922,"?*"))</f>
        <v/>
      </c>
      <c r="B922" s="6"/>
      <c r="C922" s="5" t="str">
        <f>IF(B922="","",INDEX({"Ocak","Şubat","Mart","Nisan","Mayıs","Haziran","Temmuz","Ağustos","Eylül","Ekim","Kasım","Aralık"},MONTH(B922)))</f>
        <v/>
      </c>
      <c r="D922" s="2"/>
      <c r="E922" s="5" t="str">
        <f>IFERROR(INDEX('Malzeme Tanımlama'!$B$5:$B$300,MATCH(D922,'Malzeme Tanımlama'!$A$5:$A$300,0)),"")</f>
        <v/>
      </c>
      <c r="F922" s="2"/>
      <c r="G922" s="5"/>
      <c r="H922" s="5" t="str">
        <f>IFERROR(INDEX('Malzeme Tanımlama'!$D$5:$D$300,MATCH(D922,'Malzeme Tanımlama'!$A$5:$A$300,0)),"")</f>
        <v/>
      </c>
      <c r="I922" s="2"/>
      <c r="J922" s="2"/>
      <c r="K922" s="2"/>
    </row>
    <row r="923" spans="1:11" x14ac:dyDescent="0.3">
      <c r="A923" s="5" t="str">
        <f>IF(D923="","",COUNTIF($D$5:D923,"?*"))</f>
        <v/>
      </c>
      <c r="B923" s="6"/>
      <c r="C923" s="5" t="str">
        <f>IF(B923="","",INDEX({"Ocak","Şubat","Mart","Nisan","Mayıs","Haziran","Temmuz","Ağustos","Eylül","Ekim","Kasım","Aralık"},MONTH(B923)))</f>
        <v/>
      </c>
      <c r="D923" s="2"/>
      <c r="E923" s="5" t="str">
        <f>IFERROR(INDEX('Malzeme Tanımlama'!$B$5:$B$300,MATCH(D923,'Malzeme Tanımlama'!$A$5:$A$300,0)),"")</f>
        <v/>
      </c>
      <c r="F923" s="2"/>
      <c r="G923" s="5"/>
      <c r="H923" s="5" t="str">
        <f>IFERROR(INDEX('Malzeme Tanımlama'!$D$5:$D$300,MATCH(D923,'Malzeme Tanımlama'!$A$5:$A$300,0)),"")</f>
        <v/>
      </c>
      <c r="I923" s="2"/>
      <c r="J923" s="2"/>
      <c r="K923" s="2"/>
    </row>
    <row r="924" spans="1:11" x14ac:dyDescent="0.3">
      <c r="A924" s="5" t="str">
        <f>IF(D924="","",COUNTIF($D$5:D924,"?*"))</f>
        <v/>
      </c>
      <c r="B924" s="6"/>
      <c r="C924" s="5" t="str">
        <f>IF(B924="","",INDEX({"Ocak","Şubat","Mart","Nisan","Mayıs","Haziran","Temmuz","Ağustos","Eylül","Ekim","Kasım","Aralık"},MONTH(B924)))</f>
        <v/>
      </c>
      <c r="D924" s="2"/>
      <c r="E924" s="5" t="str">
        <f>IFERROR(INDEX('Malzeme Tanımlama'!$B$5:$B$300,MATCH(D924,'Malzeme Tanımlama'!$A$5:$A$300,0)),"")</f>
        <v/>
      </c>
      <c r="F924" s="2"/>
      <c r="G924" s="5"/>
      <c r="H924" s="5" t="str">
        <f>IFERROR(INDEX('Malzeme Tanımlama'!$D$5:$D$300,MATCH(D924,'Malzeme Tanımlama'!$A$5:$A$300,0)),"")</f>
        <v/>
      </c>
      <c r="I924" s="2"/>
      <c r="J924" s="2"/>
      <c r="K924" s="2"/>
    </row>
    <row r="925" spans="1:11" x14ac:dyDescent="0.3">
      <c r="A925" s="5" t="str">
        <f>IF(D925="","",COUNTIF($D$5:D925,"?*"))</f>
        <v/>
      </c>
      <c r="B925" s="6"/>
      <c r="C925" s="5" t="str">
        <f>IF(B925="","",INDEX({"Ocak","Şubat","Mart","Nisan","Mayıs","Haziran","Temmuz","Ağustos","Eylül","Ekim","Kasım","Aralık"},MONTH(B925)))</f>
        <v/>
      </c>
      <c r="D925" s="2"/>
      <c r="E925" s="5" t="str">
        <f>IFERROR(INDEX('Malzeme Tanımlama'!$B$5:$B$300,MATCH(D925,'Malzeme Tanımlama'!$A$5:$A$300,0)),"")</f>
        <v/>
      </c>
      <c r="F925" s="2"/>
      <c r="G925" s="5"/>
      <c r="H925" s="5" t="str">
        <f>IFERROR(INDEX('Malzeme Tanımlama'!$D$5:$D$300,MATCH(D925,'Malzeme Tanımlama'!$A$5:$A$300,0)),"")</f>
        <v/>
      </c>
      <c r="I925" s="2"/>
      <c r="J925" s="2"/>
      <c r="K925" s="2"/>
    </row>
    <row r="926" spans="1:11" x14ac:dyDescent="0.3">
      <c r="A926" s="5" t="str">
        <f>IF(D926="","",COUNTIF($D$5:D926,"?*"))</f>
        <v/>
      </c>
      <c r="B926" s="6"/>
      <c r="C926" s="5" t="str">
        <f>IF(B926="","",INDEX({"Ocak","Şubat","Mart","Nisan","Mayıs","Haziran","Temmuz","Ağustos","Eylül","Ekim","Kasım","Aralık"},MONTH(B926)))</f>
        <v/>
      </c>
      <c r="D926" s="2"/>
      <c r="E926" s="5" t="str">
        <f>IFERROR(INDEX('Malzeme Tanımlama'!$B$5:$B$300,MATCH(D926,'Malzeme Tanımlama'!$A$5:$A$300,0)),"")</f>
        <v/>
      </c>
      <c r="F926" s="2"/>
      <c r="G926" s="5"/>
      <c r="H926" s="5" t="str">
        <f>IFERROR(INDEX('Malzeme Tanımlama'!$D$5:$D$300,MATCH(D926,'Malzeme Tanımlama'!$A$5:$A$300,0)),"")</f>
        <v/>
      </c>
      <c r="I926" s="2"/>
      <c r="J926" s="2"/>
      <c r="K926" s="2"/>
    </row>
    <row r="927" spans="1:11" x14ac:dyDescent="0.3">
      <c r="A927" s="5" t="str">
        <f>IF(D927="","",COUNTIF($D$5:D927,"?*"))</f>
        <v/>
      </c>
      <c r="B927" s="6"/>
      <c r="C927" s="5" t="str">
        <f>IF(B927="","",INDEX({"Ocak","Şubat","Mart","Nisan","Mayıs","Haziran","Temmuz","Ağustos","Eylül","Ekim","Kasım","Aralık"},MONTH(B927)))</f>
        <v/>
      </c>
      <c r="D927" s="2"/>
      <c r="E927" s="5" t="str">
        <f>IFERROR(INDEX('Malzeme Tanımlama'!$B$5:$B$300,MATCH(D927,'Malzeme Tanımlama'!$A$5:$A$300,0)),"")</f>
        <v/>
      </c>
      <c r="F927" s="2"/>
      <c r="G927" s="5"/>
      <c r="H927" s="5" t="str">
        <f>IFERROR(INDEX('Malzeme Tanımlama'!$D$5:$D$300,MATCH(D927,'Malzeme Tanımlama'!$A$5:$A$300,0)),"")</f>
        <v/>
      </c>
      <c r="I927" s="2"/>
      <c r="J927" s="2"/>
      <c r="K927" s="2"/>
    </row>
    <row r="928" spans="1:11" x14ac:dyDescent="0.3">
      <c r="A928" s="5" t="str">
        <f>IF(D928="","",COUNTIF($D$5:D928,"?*"))</f>
        <v/>
      </c>
      <c r="B928" s="6"/>
      <c r="C928" s="5" t="str">
        <f>IF(B928="","",INDEX({"Ocak","Şubat","Mart","Nisan","Mayıs","Haziran","Temmuz","Ağustos","Eylül","Ekim","Kasım","Aralık"},MONTH(B928)))</f>
        <v/>
      </c>
      <c r="D928" s="2"/>
      <c r="E928" s="5" t="str">
        <f>IFERROR(INDEX('Malzeme Tanımlama'!$B$5:$B$300,MATCH(D928,'Malzeme Tanımlama'!$A$5:$A$300,0)),"")</f>
        <v/>
      </c>
      <c r="F928" s="2"/>
      <c r="G928" s="5"/>
      <c r="H928" s="5" t="str">
        <f>IFERROR(INDEX('Malzeme Tanımlama'!$D$5:$D$300,MATCH(D928,'Malzeme Tanımlama'!$A$5:$A$300,0)),"")</f>
        <v/>
      </c>
      <c r="I928" s="2"/>
      <c r="J928" s="2"/>
      <c r="K928" s="2"/>
    </row>
    <row r="929" spans="1:11" x14ac:dyDescent="0.3">
      <c r="A929" s="5" t="str">
        <f>IF(D929="","",COUNTIF($D$5:D929,"?*"))</f>
        <v/>
      </c>
      <c r="B929" s="6"/>
      <c r="C929" s="5" t="str">
        <f>IF(B929="","",INDEX({"Ocak","Şubat","Mart","Nisan","Mayıs","Haziran","Temmuz","Ağustos","Eylül","Ekim","Kasım","Aralık"},MONTH(B929)))</f>
        <v/>
      </c>
      <c r="D929" s="2"/>
      <c r="E929" s="5" t="str">
        <f>IFERROR(INDEX('Malzeme Tanımlama'!$B$5:$B$300,MATCH(D929,'Malzeme Tanımlama'!$A$5:$A$300,0)),"")</f>
        <v/>
      </c>
      <c r="F929" s="2"/>
      <c r="G929" s="5"/>
      <c r="H929" s="5" t="str">
        <f>IFERROR(INDEX('Malzeme Tanımlama'!$D$5:$D$300,MATCH(D929,'Malzeme Tanımlama'!$A$5:$A$300,0)),"")</f>
        <v/>
      </c>
      <c r="I929" s="2"/>
      <c r="J929" s="2"/>
      <c r="K929" s="2"/>
    </row>
    <row r="930" spans="1:11" x14ac:dyDescent="0.3">
      <c r="A930" s="5" t="str">
        <f>IF(D930="","",COUNTIF($D$5:D930,"?*"))</f>
        <v/>
      </c>
      <c r="B930" s="6"/>
      <c r="C930" s="5" t="str">
        <f>IF(B930="","",INDEX({"Ocak","Şubat","Mart","Nisan","Mayıs","Haziran","Temmuz","Ağustos","Eylül","Ekim","Kasım","Aralık"},MONTH(B930)))</f>
        <v/>
      </c>
      <c r="D930" s="2"/>
      <c r="E930" s="5" t="str">
        <f>IFERROR(INDEX('Malzeme Tanımlama'!$B$5:$B$300,MATCH(D930,'Malzeme Tanımlama'!$A$5:$A$300,0)),"")</f>
        <v/>
      </c>
      <c r="F930" s="2"/>
      <c r="G930" s="5"/>
      <c r="H930" s="5" t="str">
        <f>IFERROR(INDEX('Malzeme Tanımlama'!$D$5:$D$300,MATCH(D930,'Malzeme Tanımlama'!$A$5:$A$300,0)),"")</f>
        <v/>
      </c>
      <c r="I930" s="2"/>
      <c r="J930" s="2"/>
      <c r="K930" s="2"/>
    </row>
    <row r="931" spans="1:11" x14ac:dyDescent="0.3">
      <c r="A931" s="5" t="str">
        <f>IF(D931="","",COUNTIF($D$5:D931,"?*"))</f>
        <v/>
      </c>
      <c r="B931" s="6"/>
      <c r="C931" s="5" t="str">
        <f>IF(B931="","",INDEX({"Ocak","Şubat","Mart","Nisan","Mayıs","Haziran","Temmuz","Ağustos","Eylül","Ekim","Kasım","Aralık"},MONTH(B931)))</f>
        <v/>
      </c>
      <c r="D931" s="2"/>
      <c r="E931" s="5" t="str">
        <f>IFERROR(INDEX('Malzeme Tanımlama'!$B$5:$B$300,MATCH(D931,'Malzeme Tanımlama'!$A$5:$A$300,0)),"")</f>
        <v/>
      </c>
      <c r="F931" s="2"/>
      <c r="G931" s="5"/>
      <c r="H931" s="5" t="str">
        <f>IFERROR(INDEX('Malzeme Tanımlama'!$D$5:$D$300,MATCH(D931,'Malzeme Tanımlama'!$A$5:$A$300,0)),"")</f>
        <v/>
      </c>
      <c r="I931" s="2"/>
      <c r="J931" s="2"/>
      <c r="K931" s="2"/>
    </row>
    <row r="932" spans="1:11" x14ac:dyDescent="0.3">
      <c r="A932" s="5" t="str">
        <f>IF(D932="","",COUNTIF($D$5:D932,"?*"))</f>
        <v/>
      </c>
      <c r="B932" s="6"/>
      <c r="C932" s="5" t="str">
        <f>IF(B932="","",INDEX({"Ocak","Şubat","Mart","Nisan","Mayıs","Haziran","Temmuz","Ağustos","Eylül","Ekim","Kasım","Aralık"},MONTH(B932)))</f>
        <v/>
      </c>
      <c r="D932" s="2"/>
      <c r="E932" s="5" t="str">
        <f>IFERROR(INDEX('Malzeme Tanımlama'!$B$5:$B$300,MATCH(D932,'Malzeme Tanımlama'!$A$5:$A$300,0)),"")</f>
        <v/>
      </c>
      <c r="F932" s="2"/>
      <c r="G932" s="5"/>
      <c r="H932" s="5" t="str">
        <f>IFERROR(INDEX('Malzeme Tanımlama'!$D$5:$D$300,MATCH(D932,'Malzeme Tanımlama'!$A$5:$A$300,0)),"")</f>
        <v/>
      </c>
      <c r="I932" s="2"/>
      <c r="J932" s="2"/>
      <c r="K932" s="2"/>
    </row>
    <row r="933" spans="1:11" x14ac:dyDescent="0.3">
      <c r="A933" s="5" t="str">
        <f>IF(D933="","",COUNTIF($D$5:D933,"?*"))</f>
        <v/>
      </c>
      <c r="B933" s="6"/>
      <c r="C933" s="5" t="str">
        <f>IF(B933="","",INDEX({"Ocak","Şubat","Mart","Nisan","Mayıs","Haziran","Temmuz","Ağustos","Eylül","Ekim","Kasım","Aralık"},MONTH(B933)))</f>
        <v/>
      </c>
      <c r="D933" s="2"/>
      <c r="E933" s="5" t="str">
        <f>IFERROR(INDEX('Malzeme Tanımlama'!$B$5:$B$300,MATCH(D933,'Malzeme Tanımlama'!$A$5:$A$300,0)),"")</f>
        <v/>
      </c>
      <c r="F933" s="2"/>
      <c r="G933" s="5"/>
      <c r="H933" s="5" t="str">
        <f>IFERROR(INDEX('Malzeme Tanımlama'!$D$5:$D$300,MATCH(D933,'Malzeme Tanımlama'!$A$5:$A$300,0)),"")</f>
        <v/>
      </c>
      <c r="I933" s="2"/>
      <c r="J933" s="2"/>
      <c r="K933" s="2"/>
    </row>
    <row r="934" spans="1:11" x14ac:dyDescent="0.3">
      <c r="A934" s="5" t="str">
        <f>IF(D934="","",COUNTIF($D$5:D934,"?*"))</f>
        <v/>
      </c>
      <c r="B934" s="6"/>
      <c r="C934" s="5" t="str">
        <f>IF(B934="","",INDEX({"Ocak","Şubat","Mart","Nisan","Mayıs","Haziran","Temmuz","Ağustos","Eylül","Ekim","Kasım","Aralık"},MONTH(B934)))</f>
        <v/>
      </c>
      <c r="D934" s="2"/>
      <c r="E934" s="5" t="str">
        <f>IFERROR(INDEX('Malzeme Tanımlama'!$B$5:$B$300,MATCH(D934,'Malzeme Tanımlama'!$A$5:$A$300,0)),"")</f>
        <v/>
      </c>
      <c r="F934" s="2"/>
      <c r="G934" s="5"/>
      <c r="H934" s="5" t="str">
        <f>IFERROR(INDEX('Malzeme Tanımlama'!$D$5:$D$300,MATCH(D934,'Malzeme Tanımlama'!$A$5:$A$300,0)),"")</f>
        <v/>
      </c>
      <c r="I934" s="2"/>
      <c r="J934" s="2"/>
      <c r="K934" s="2"/>
    </row>
    <row r="935" spans="1:11" x14ac:dyDescent="0.3">
      <c r="A935" s="5" t="str">
        <f>IF(D935="","",COUNTIF($D$5:D935,"?*"))</f>
        <v/>
      </c>
      <c r="B935" s="6"/>
      <c r="C935" s="5" t="str">
        <f>IF(B935="","",INDEX({"Ocak","Şubat","Mart","Nisan","Mayıs","Haziran","Temmuz","Ağustos","Eylül","Ekim","Kasım","Aralık"},MONTH(B935)))</f>
        <v/>
      </c>
      <c r="D935" s="2"/>
      <c r="E935" s="5" t="str">
        <f>IFERROR(INDEX('Malzeme Tanımlama'!$B$5:$B$300,MATCH(D935,'Malzeme Tanımlama'!$A$5:$A$300,0)),"")</f>
        <v/>
      </c>
      <c r="F935" s="2"/>
      <c r="G935" s="5"/>
      <c r="H935" s="5" t="str">
        <f>IFERROR(INDEX('Malzeme Tanımlama'!$D$5:$D$300,MATCH(D935,'Malzeme Tanımlama'!$A$5:$A$300,0)),"")</f>
        <v/>
      </c>
      <c r="I935" s="2"/>
      <c r="J935" s="2"/>
      <c r="K935" s="2"/>
    </row>
    <row r="936" spans="1:11" x14ac:dyDescent="0.3">
      <c r="A936" s="5" t="str">
        <f>IF(D936="","",COUNTIF($D$5:D936,"?*"))</f>
        <v/>
      </c>
      <c r="B936" s="6"/>
      <c r="C936" s="5" t="str">
        <f>IF(B936="","",INDEX({"Ocak","Şubat","Mart","Nisan","Mayıs","Haziran","Temmuz","Ağustos","Eylül","Ekim","Kasım","Aralık"},MONTH(B936)))</f>
        <v/>
      </c>
      <c r="D936" s="2"/>
      <c r="E936" s="5" t="str">
        <f>IFERROR(INDEX('Malzeme Tanımlama'!$B$5:$B$300,MATCH(D936,'Malzeme Tanımlama'!$A$5:$A$300,0)),"")</f>
        <v/>
      </c>
      <c r="F936" s="2"/>
      <c r="G936" s="5"/>
      <c r="H936" s="5" t="str">
        <f>IFERROR(INDEX('Malzeme Tanımlama'!$D$5:$D$300,MATCH(D936,'Malzeme Tanımlama'!$A$5:$A$300,0)),"")</f>
        <v/>
      </c>
      <c r="I936" s="2"/>
      <c r="J936" s="2"/>
      <c r="K936" s="2"/>
    </row>
    <row r="937" spans="1:11" x14ac:dyDescent="0.3">
      <c r="A937" s="5" t="str">
        <f>IF(D937="","",COUNTIF($D$5:D937,"?*"))</f>
        <v/>
      </c>
      <c r="B937" s="6"/>
      <c r="C937" s="5" t="str">
        <f>IF(B937="","",INDEX({"Ocak","Şubat","Mart","Nisan","Mayıs","Haziran","Temmuz","Ağustos","Eylül","Ekim","Kasım","Aralık"},MONTH(B937)))</f>
        <v/>
      </c>
      <c r="D937" s="2"/>
      <c r="E937" s="5" t="str">
        <f>IFERROR(INDEX('Malzeme Tanımlama'!$B$5:$B$300,MATCH(D937,'Malzeme Tanımlama'!$A$5:$A$300,0)),"")</f>
        <v/>
      </c>
      <c r="F937" s="2"/>
      <c r="G937" s="5"/>
      <c r="H937" s="5" t="str">
        <f>IFERROR(INDEX('Malzeme Tanımlama'!$D$5:$D$300,MATCH(D937,'Malzeme Tanımlama'!$A$5:$A$300,0)),"")</f>
        <v/>
      </c>
      <c r="I937" s="2"/>
      <c r="J937" s="2"/>
      <c r="K937" s="2"/>
    </row>
    <row r="938" spans="1:11" x14ac:dyDescent="0.3">
      <c r="A938" s="5" t="str">
        <f>IF(D938="","",COUNTIF($D$5:D938,"?*"))</f>
        <v/>
      </c>
      <c r="B938" s="6"/>
      <c r="C938" s="5" t="str">
        <f>IF(B938="","",INDEX({"Ocak","Şubat","Mart","Nisan","Mayıs","Haziran","Temmuz","Ağustos","Eylül","Ekim","Kasım","Aralık"},MONTH(B938)))</f>
        <v/>
      </c>
      <c r="D938" s="2"/>
      <c r="E938" s="5" t="str">
        <f>IFERROR(INDEX('Malzeme Tanımlama'!$B$5:$B$300,MATCH(D938,'Malzeme Tanımlama'!$A$5:$A$300,0)),"")</f>
        <v/>
      </c>
      <c r="F938" s="2"/>
      <c r="G938" s="5"/>
      <c r="H938" s="5" t="str">
        <f>IFERROR(INDEX('Malzeme Tanımlama'!$D$5:$D$300,MATCH(D938,'Malzeme Tanımlama'!$A$5:$A$300,0)),"")</f>
        <v/>
      </c>
      <c r="I938" s="2"/>
      <c r="J938" s="2"/>
      <c r="K938" s="2"/>
    </row>
    <row r="939" spans="1:11" x14ac:dyDescent="0.3">
      <c r="A939" s="5" t="str">
        <f>IF(D939="","",COUNTIF($D$5:D939,"?*"))</f>
        <v/>
      </c>
      <c r="B939" s="6"/>
      <c r="C939" s="5" t="str">
        <f>IF(B939="","",INDEX({"Ocak","Şubat","Mart","Nisan","Mayıs","Haziran","Temmuz","Ağustos","Eylül","Ekim","Kasım","Aralık"},MONTH(B939)))</f>
        <v/>
      </c>
      <c r="D939" s="2"/>
      <c r="E939" s="5" t="str">
        <f>IFERROR(INDEX('Malzeme Tanımlama'!$B$5:$B$300,MATCH(D939,'Malzeme Tanımlama'!$A$5:$A$300,0)),"")</f>
        <v/>
      </c>
      <c r="F939" s="2"/>
      <c r="G939" s="5"/>
      <c r="H939" s="5" t="str">
        <f>IFERROR(INDEX('Malzeme Tanımlama'!$D$5:$D$300,MATCH(D939,'Malzeme Tanımlama'!$A$5:$A$300,0)),"")</f>
        <v/>
      </c>
      <c r="I939" s="2"/>
      <c r="J939" s="2"/>
      <c r="K939" s="2"/>
    </row>
    <row r="940" spans="1:11" x14ac:dyDescent="0.3">
      <c r="A940" s="5" t="str">
        <f>IF(D940="","",COUNTIF($D$5:D940,"?*"))</f>
        <v/>
      </c>
      <c r="B940" s="6"/>
      <c r="C940" s="5" t="str">
        <f>IF(B940="","",INDEX({"Ocak","Şubat","Mart","Nisan","Mayıs","Haziran","Temmuz","Ağustos","Eylül","Ekim","Kasım","Aralık"},MONTH(B940)))</f>
        <v/>
      </c>
      <c r="D940" s="2"/>
      <c r="E940" s="5" t="str">
        <f>IFERROR(INDEX('Malzeme Tanımlama'!$B$5:$B$300,MATCH(D940,'Malzeme Tanımlama'!$A$5:$A$300,0)),"")</f>
        <v/>
      </c>
      <c r="F940" s="2"/>
      <c r="G940" s="5"/>
      <c r="H940" s="5" t="str">
        <f>IFERROR(INDEX('Malzeme Tanımlama'!$D$5:$D$300,MATCH(D940,'Malzeme Tanımlama'!$A$5:$A$300,0)),"")</f>
        <v/>
      </c>
      <c r="I940" s="2"/>
      <c r="J940" s="2"/>
      <c r="K940" s="2"/>
    </row>
    <row r="941" spans="1:11" x14ac:dyDescent="0.3">
      <c r="A941" s="5" t="str">
        <f>IF(D941="","",COUNTIF($D$5:D941,"?*"))</f>
        <v/>
      </c>
      <c r="B941" s="6"/>
      <c r="C941" s="5" t="str">
        <f>IF(B941="","",INDEX({"Ocak","Şubat","Mart","Nisan","Mayıs","Haziran","Temmuz","Ağustos","Eylül","Ekim","Kasım","Aralık"},MONTH(B941)))</f>
        <v/>
      </c>
      <c r="D941" s="2"/>
      <c r="E941" s="5" t="str">
        <f>IFERROR(INDEX('Malzeme Tanımlama'!$B$5:$B$300,MATCH(D941,'Malzeme Tanımlama'!$A$5:$A$300,0)),"")</f>
        <v/>
      </c>
      <c r="F941" s="2"/>
      <c r="G941" s="5"/>
      <c r="H941" s="5" t="str">
        <f>IFERROR(INDEX('Malzeme Tanımlama'!$D$5:$D$300,MATCH(D941,'Malzeme Tanımlama'!$A$5:$A$300,0)),"")</f>
        <v/>
      </c>
      <c r="I941" s="2"/>
      <c r="J941" s="2"/>
      <c r="K941" s="2"/>
    </row>
    <row r="942" spans="1:11" x14ac:dyDescent="0.3">
      <c r="A942" s="5" t="str">
        <f>IF(D942="","",COUNTIF($D$5:D942,"?*"))</f>
        <v/>
      </c>
      <c r="B942" s="6"/>
      <c r="C942" s="5" t="str">
        <f>IF(B942="","",INDEX({"Ocak","Şubat","Mart","Nisan","Mayıs","Haziran","Temmuz","Ağustos","Eylül","Ekim","Kasım","Aralık"},MONTH(B942)))</f>
        <v/>
      </c>
      <c r="D942" s="2"/>
      <c r="E942" s="5" t="str">
        <f>IFERROR(INDEX('Malzeme Tanımlama'!$B$5:$B$300,MATCH(D942,'Malzeme Tanımlama'!$A$5:$A$300,0)),"")</f>
        <v/>
      </c>
      <c r="F942" s="2"/>
      <c r="G942" s="5"/>
      <c r="H942" s="5" t="str">
        <f>IFERROR(INDEX('Malzeme Tanımlama'!$D$5:$D$300,MATCH(D942,'Malzeme Tanımlama'!$A$5:$A$300,0)),"")</f>
        <v/>
      </c>
      <c r="I942" s="2"/>
      <c r="J942" s="2"/>
      <c r="K942" s="2"/>
    </row>
    <row r="943" spans="1:11" x14ac:dyDescent="0.3">
      <c r="A943" s="5" t="str">
        <f>IF(D943="","",COUNTIF($D$5:D943,"?*"))</f>
        <v/>
      </c>
      <c r="B943" s="6"/>
      <c r="C943" s="5" t="str">
        <f>IF(B943="","",INDEX({"Ocak","Şubat","Mart","Nisan","Mayıs","Haziran","Temmuz","Ağustos","Eylül","Ekim","Kasım","Aralık"},MONTH(B943)))</f>
        <v/>
      </c>
      <c r="D943" s="2"/>
      <c r="E943" s="5" t="str">
        <f>IFERROR(INDEX('Malzeme Tanımlama'!$B$5:$B$300,MATCH(D943,'Malzeme Tanımlama'!$A$5:$A$300,0)),"")</f>
        <v/>
      </c>
      <c r="F943" s="2"/>
      <c r="G943" s="5"/>
      <c r="H943" s="5" t="str">
        <f>IFERROR(INDEX('Malzeme Tanımlama'!$D$5:$D$300,MATCH(D943,'Malzeme Tanımlama'!$A$5:$A$300,0)),"")</f>
        <v/>
      </c>
      <c r="I943" s="2"/>
      <c r="J943" s="2"/>
      <c r="K943" s="2"/>
    </row>
    <row r="944" spans="1:11" x14ac:dyDescent="0.3">
      <c r="A944" s="5" t="str">
        <f>IF(D944="","",COUNTIF($D$5:D944,"?*"))</f>
        <v/>
      </c>
      <c r="B944" s="6"/>
      <c r="C944" s="5" t="str">
        <f>IF(B944="","",INDEX({"Ocak","Şubat","Mart","Nisan","Mayıs","Haziran","Temmuz","Ağustos","Eylül","Ekim","Kasım","Aralık"},MONTH(B944)))</f>
        <v/>
      </c>
      <c r="D944" s="2"/>
      <c r="E944" s="5" t="str">
        <f>IFERROR(INDEX('Malzeme Tanımlama'!$B$5:$B$300,MATCH(D944,'Malzeme Tanımlama'!$A$5:$A$300,0)),"")</f>
        <v/>
      </c>
      <c r="F944" s="2"/>
      <c r="G944" s="5"/>
      <c r="H944" s="5" t="str">
        <f>IFERROR(INDEX('Malzeme Tanımlama'!$D$5:$D$300,MATCH(D944,'Malzeme Tanımlama'!$A$5:$A$300,0)),"")</f>
        <v/>
      </c>
      <c r="I944" s="2"/>
      <c r="J944" s="2"/>
      <c r="K944" s="2"/>
    </row>
    <row r="945" spans="1:11" x14ac:dyDescent="0.3">
      <c r="A945" s="5" t="str">
        <f>IF(D945="","",COUNTIF($D$5:D945,"?*"))</f>
        <v/>
      </c>
      <c r="B945" s="6"/>
      <c r="C945" s="5" t="str">
        <f>IF(B945="","",INDEX({"Ocak","Şubat","Mart","Nisan","Mayıs","Haziran","Temmuz","Ağustos","Eylül","Ekim","Kasım","Aralık"},MONTH(B945)))</f>
        <v/>
      </c>
      <c r="D945" s="2"/>
      <c r="E945" s="5" t="str">
        <f>IFERROR(INDEX('Malzeme Tanımlama'!$B$5:$B$300,MATCH(D945,'Malzeme Tanımlama'!$A$5:$A$300,0)),"")</f>
        <v/>
      </c>
      <c r="F945" s="2"/>
      <c r="G945" s="5"/>
      <c r="H945" s="5" t="str">
        <f>IFERROR(INDEX('Malzeme Tanımlama'!$D$5:$D$300,MATCH(D945,'Malzeme Tanımlama'!$A$5:$A$300,0)),"")</f>
        <v/>
      </c>
      <c r="I945" s="2"/>
      <c r="J945" s="2"/>
      <c r="K945" s="2"/>
    </row>
    <row r="946" spans="1:11" x14ac:dyDescent="0.3">
      <c r="A946" s="5" t="str">
        <f>IF(D946="","",COUNTIF($D$5:D946,"?*"))</f>
        <v/>
      </c>
      <c r="B946" s="6"/>
      <c r="C946" s="5" t="str">
        <f>IF(B946="","",INDEX({"Ocak","Şubat","Mart","Nisan","Mayıs","Haziran","Temmuz","Ağustos","Eylül","Ekim","Kasım","Aralık"},MONTH(B946)))</f>
        <v/>
      </c>
      <c r="D946" s="2"/>
      <c r="E946" s="5" t="str">
        <f>IFERROR(INDEX('Malzeme Tanımlama'!$B$5:$B$300,MATCH(D946,'Malzeme Tanımlama'!$A$5:$A$300,0)),"")</f>
        <v/>
      </c>
      <c r="F946" s="2"/>
      <c r="G946" s="5"/>
      <c r="H946" s="5" t="str">
        <f>IFERROR(INDEX('Malzeme Tanımlama'!$D$5:$D$300,MATCH(D946,'Malzeme Tanımlama'!$A$5:$A$300,0)),"")</f>
        <v/>
      </c>
      <c r="I946" s="2"/>
      <c r="J946" s="2"/>
      <c r="K946" s="2"/>
    </row>
    <row r="947" spans="1:11" x14ac:dyDescent="0.3">
      <c r="A947" s="5" t="str">
        <f>IF(D947="","",COUNTIF($D$5:D947,"?*"))</f>
        <v/>
      </c>
      <c r="B947" s="6"/>
      <c r="C947" s="5" t="str">
        <f>IF(B947="","",INDEX({"Ocak","Şubat","Mart","Nisan","Mayıs","Haziran","Temmuz","Ağustos","Eylül","Ekim","Kasım","Aralık"},MONTH(B947)))</f>
        <v/>
      </c>
      <c r="D947" s="2"/>
      <c r="E947" s="5" t="str">
        <f>IFERROR(INDEX('Malzeme Tanımlama'!$B$5:$B$300,MATCH(D947,'Malzeme Tanımlama'!$A$5:$A$300,0)),"")</f>
        <v/>
      </c>
      <c r="F947" s="2"/>
      <c r="G947" s="5"/>
      <c r="H947" s="5" t="str">
        <f>IFERROR(INDEX('Malzeme Tanımlama'!$D$5:$D$300,MATCH(D947,'Malzeme Tanımlama'!$A$5:$A$300,0)),"")</f>
        <v/>
      </c>
      <c r="I947" s="2"/>
      <c r="J947" s="2"/>
      <c r="K947" s="2"/>
    </row>
    <row r="948" spans="1:11" x14ac:dyDescent="0.3">
      <c r="A948" s="5" t="str">
        <f>IF(D948="","",COUNTIF($D$5:D948,"?*"))</f>
        <v/>
      </c>
      <c r="B948" s="6"/>
      <c r="C948" s="5" t="str">
        <f>IF(B948="","",INDEX({"Ocak","Şubat","Mart","Nisan","Mayıs","Haziran","Temmuz","Ağustos","Eylül","Ekim","Kasım","Aralık"},MONTH(B948)))</f>
        <v/>
      </c>
      <c r="D948" s="2"/>
      <c r="E948" s="5" t="str">
        <f>IFERROR(INDEX('Malzeme Tanımlama'!$B$5:$B$300,MATCH(D948,'Malzeme Tanımlama'!$A$5:$A$300,0)),"")</f>
        <v/>
      </c>
      <c r="F948" s="2"/>
      <c r="G948" s="5"/>
      <c r="H948" s="5" t="str">
        <f>IFERROR(INDEX('Malzeme Tanımlama'!$D$5:$D$300,MATCH(D948,'Malzeme Tanımlama'!$A$5:$A$300,0)),"")</f>
        <v/>
      </c>
      <c r="I948" s="2"/>
      <c r="J948" s="2"/>
      <c r="K948" s="2"/>
    </row>
    <row r="949" spans="1:11" x14ac:dyDescent="0.3">
      <c r="A949" s="5" t="str">
        <f>IF(D949="","",COUNTIF($D$5:D949,"?*"))</f>
        <v/>
      </c>
      <c r="B949" s="6"/>
      <c r="C949" s="5" t="str">
        <f>IF(B949="","",INDEX({"Ocak","Şubat","Mart","Nisan","Mayıs","Haziran","Temmuz","Ağustos","Eylül","Ekim","Kasım","Aralık"},MONTH(B949)))</f>
        <v/>
      </c>
      <c r="D949" s="2"/>
      <c r="E949" s="5" t="str">
        <f>IFERROR(INDEX('Malzeme Tanımlama'!$B$5:$B$300,MATCH(D949,'Malzeme Tanımlama'!$A$5:$A$300,0)),"")</f>
        <v/>
      </c>
      <c r="F949" s="2"/>
      <c r="G949" s="5"/>
      <c r="H949" s="5" t="str">
        <f>IFERROR(INDEX('Malzeme Tanımlama'!$D$5:$D$300,MATCH(D949,'Malzeme Tanımlama'!$A$5:$A$300,0)),"")</f>
        <v/>
      </c>
      <c r="I949" s="2"/>
      <c r="J949" s="2"/>
      <c r="K949" s="2"/>
    </row>
    <row r="950" spans="1:11" x14ac:dyDescent="0.3">
      <c r="A950" s="5" t="str">
        <f>IF(D950="","",COUNTIF($D$5:D950,"?*"))</f>
        <v/>
      </c>
      <c r="B950" s="6"/>
      <c r="C950" s="5" t="str">
        <f>IF(B950="","",INDEX({"Ocak","Şubat","Mart","Nisan","Mayıs","Haziran","Temmuz","Ağustos","Eylül","Ekim","Kasım","Aralık"},MONTH(B950)))</f>
        <v/>
      </c>
      <c r="D950" s="2"/>
      <c r="E950" s="5" t="str">
        <f>IFERROR(INDEX('Malzeme Tanımlama'!$B$5:$B$300,MATCH(D950,'Malzeme Tanımlama'!$A$5:$A$300,0)),"")</f>
        <v/>
      </c>
      <c r="F950" s="2"/>
      <c r="G950" s="5"/>
      <c r="H950" s="5" t="str">
        <f>IFERROR(INDEX('Malzeme Tanımlama'!$D$5:$D$300,MATCH(D950,'Malzeme Tanımlama'!$A$5:$A$300,0)),"")</f>
        <v/>
      </c>
      <c r="I950" s="2"/>
      <c r="J950" s="2"/>
      <c r="K950" s="2"/>
    </row>
    <row r="951" spans="1:11" x14ac:dyDescent="0.3">
      <c r="A951" s="5" t="str">
        <f>IF(D951="","",COUNTIF($D$5:D951,"?*"))</f>
        <v/>
      </c>
      <c r="B951" s="6"/>
      <c r="C951" s="5" t="str">
        <f>IF(B951="","",INDEX({"Ocak","Şubat","Mart","Nisan","Mayıs","Haziran","Temmuz","Ağustos","Eylül","Ekim","Kasım","Aralık"},MONTH(B951)))</f>
        <v/>
      </c>
      <c r="D951" s="2"/>
      <c r="E951" s="5" t="str">
        <f>IFERROR(INDEX('Malzeme Tanımlama'!$B$5:$B$300,MATCH(D951,'Malzeme Tanımlama'!$A$5:$A$300,0)),"")</f>
        <v/>
      </c>
      <c r="F951" s="2"/>
      <c r="G951" s="5"/>
      <c r="H951" s="5" t="str">
        <f>IFERROR(INDEX('Malzeme Tanımlama'!$D$5:$D$300,MATCH(D951,'Malzeme Tanımlama'!$A$5:$A$300,0)),"")</f>
        <v/>
      </c>
      <c r="I951" s="2"/>
      <c r="J951" s="2"/>
      <c r="K951" s="2"/>
    </row>
    <row r="952" spans="1:11" x14ac:dyDescent="0.3">
      <c r="A952" s="5" t="str">
        <f>IF(D952="","",COUNTIF($D$5:D952,"?*"))</f>
        <v/>
      </c>
      <c r="B952" s="6"/>
      <c r="C952" s="5" t="str">
        <f>IF(B952="","",INDEX({"Ocak","Şubat","Mart","Nisan","Mayıs","Haziran","Temmuz","Ağustos","Eylül","Ekim","Kasım","Aralık"},MONTH(B952)))</f>
        <v/>
      </c>
      <c r="D952" s="2"/>
      <c r="E952" s="5" t="str">
        <f>IFERROR(INDEX('Malzeme Tanımlama'!$B$5:$B$300,MATCH(D952,'Malzeme Tanımlama'!$A$5:$A$300,0)),"")</f>
        <v/>
      </c>
      <c r="F952" s="2"/>
      <c r="G952" s="5"/>
      <c r="H952" s="5" t="str">
        <f>IFERROR(INDEX('Malzeme Tanımlama'!$D$5:$D$300,MATCH(D952,'Malzeme Tanımlama'!$A$5:$A$300,0)),"")</f>
        <v/>
      </c>
      <c r="I952" s="2"/>
      <c r="J952" s="2"/>
      <c r="K952" s="2"/>
    </row>
    <row r="953" spans="1:11" x14ac:dyDescent="0.3">
      <c r="A953" s="5" t="str">
        <f>IF(D953="","",COUNTIF($D$5:D953,"?*"))</f>
        <v/>
      </c>
      <c r="B953" s="6"/>
      <c r="C953" s="5" t="str">
        <f>IF(B953="","",INDEX({"Ocak","Şubat","Mart","Nisan","Mayıs","Haziran","Temmuz","Ağustos","Eylül","Ekim","Kasım","Aralık"},MONTH(B953)))</f>
        <v/>
      </c>
      <c r="D953" s="2"/>
      <c r="E953" s="5" t="str">
        <f>IFERROR(INDEX('Malzeme Tanımlama'!$B$5:$B$300,MATCH(D953,'Malzeme Tanımlama'!$A$5:$A$300,0)),"")</f>
        <v/>
      </c>
      <c r="F953" s="2"/>
      <c r="G953" s="5"/>
      <c r="H953" s="5" t="str">
        <f>IFERROR(INDEX('Malzeme Tanımlama'!$D$5:$D$300,MATCH(D953,'Malzeme Tanımlama'!$A$5:$A$300,0)),"")</f>
        <v/>
      </c>
      <c r="I953" s="2"/>
      <c r="J953" s="2"/>
      <c r="K953" s="2"/>
    </row>
    <row r="954" spans="1:11" x14ac:dyDescent="0.3">
      <c r="A954" s="5" t="str">
        <f>IF(D954="","",COUNTIF($D$5:D954,"?*"))</f>
        <v/>
      </c>
      <c r="B954" s="6"/>
      <c r="C954" s="5" t="str">
        <f>IF(B954="","",INDEX({"Ocak","Şubat","Mart","Nisan","Mayıs","Haziran","Temmuz","Ağustos","Eylül","Ekim","Kasım","Aralık"},MONTH(B954)))</f>
        <v/>
      </c>
      <c r="D954" s="2"/>
      <c r="E954" s="5" t="str">
        <f>IFERROR(INDEX('Malzeme Tanımlama'!$B$5:$B$300,MATCH(D954,'Malzeme Tanımlama'!$A$5:$A$300,0)),"")</f>
        <v/>
      </c>
      <c r="F954" s="2"/>
      <c r="G954" s="5"/>
      <c r="H954" s="5" t="str">
        <f>IFERROR(INDEX('Malzeme Tanımlama'!$D$5:$D$300,MATCH(D954,'Malzeme Tanımlama'!$A$5:$A$300,0)),"")</f>
        <v/>
      </c>
      <c r="I954" s="2"/>
      <c r="J954" s="2"/>
      <c r="K954" s="2"/>
    </row>
    <row r="955" spans="1:11" x14ac:dyDescent="0.3">
      <c r="A955" s="5" t="str">
        <f>IF(D955="","",COUNTIF($D$5:D955,"?*"))</f>
        <v/>
      </c>
      <c r="B955" s="6"/>
      <c r="C955" s="5" t="str">
        <f>IF(B955="","",INDEX({"Ocak","Şubat","Mart","Nisan","Mayıs","Haziran","Temmuz","Ağustos","Eylül","Ekim","Kasım","Aralık"},MONTH(B955)))</f>
        <v/>
      </c>
      <c r="D955" s="2"/>
      <c r="E955" s="5" t="str">
        <f>IFERROR(INDEX('Malzeme Tanımlama'!$B$5:$B$300,MATCH(D955,'Malzeme Tanımlama'!$A$5:$A$300,0)),"")</f>
        <v/>
      </c>
      <c r="F955" s="2"/>
      <c r="G955" s="5"/>
      <c r="H955" s="5" t="str">
        <f>IFERROR(INDEX('Malzeme Tanımlama'!$D$5:$D$300,MATCH(D955,'Malzeme Tanımlama'!$A$5:$A$300,0)),"")</f>
        <v/>
      </c>
      <c r="I955" s="2"/>
      <c r="J955" s="2"/>
      <c r="K955" s="2"/>
    </row>
    <row r="956" spans="1:11" x14ac:dyDescent="0.3">
      <c r="A956" s="5" t="str">
        <f>IF(D956="","",COUNTIF($D$5:D956,"?*"))</f>
        <v/>
      </c>
      <c r="B956" s="6"/>
      <c r="C956" s="5" t="str">
        <f>IF(B956="","",INDEX({"Ocak","Şubat","Mart","Nisan","Mayıs","Haziran","Temmuz","Ağustos","Eylül","Ekim","Kasım","Aralık"},MONTH(B956)))</f>
        <v/>
      </c>
      <c r="D956" s="2"/>
      <c r="E956" s="5" t="str">
        <f>IFERROR(INDEX('Malzeme Tanımlama'!$B$5:$B$300,MATCH(D956,'Malzeme Tanımlama'!$A$5:$A$300,0)),"")</f>
        <v/>
      </c>
      <c r="F956" s="2"/>
      <c r="G956" s="5"/>
      <c r="H956" s="5" t="str">
        <f>IFERROR(INDEX('Malzeme Tanımlama'!$D$5:$D$300,MATCH(D956,'Malzeme Tanımlama'!$A$5:$A$300,0)),"")</f>
        <v/>
      </c>
      <c r="I956" s="2"/>
      <c r="J956" s="2"/>
      <c r="K956" s="2"/>
    </row>
    <row r="957" spans="1:11" x14ac:dyDescent="0.3">
      <c r="A957" s="5" t="str">
        <f>IF(D957="","",COUNTIF($D$5:D957,"?*"))</f>
        <v/>
      </c>
      <c r="B957" s="6"/>
      <c r="C957" s="5" t="str">
        <f>IF(B957="","",INDEX({"Ocak","Şubat","Mart","Nisan","Mayıs","Haziran","Temmuz","Ağustos","Eylül","Ekim","Kasım","Aralık"},MONTH(B957)))</f>
        <v/>
      </c>
      <c r="D957" s="2"/>
      <c r="E957" s="5" t="str">
        <f>IFERROR(INDEX('Malzeme Tanımlama'!$B$5:$B$300,MATCH(D957,'Malzeme Tanımlama'!$A$5:$A$300,0)),"")</f>
        <v/>
      </c>
      <c r="F957" s="2"/>
      <c r="G957" s="5"/>
      <c r="H957" s="5" t="str">
        <f>IFERROR(INDEX('Malzeme Tanımlama'!$D$5:$D$300,MATCH(D957,'Malzeme Tanımlama'!$A$5:$A$300,0)),"")</f>
        <v/>
      </c>
      <c r="I957" s="2"/>
      <c r="J957" s="2"/>
      <c r="K957" s="2"/>
    </row>
    <row r="958" spans="1:11" x14ac:dyDescent="0.3">
      <c r="A958" s="5" t="str">
        <f>IF(D958="","",COUNTIF($D$5:D958,"?*"))</f>
        <v/>
      </c>
      <c r="B958" s="6"/>
      <c r="C958" s="5" t="str">
        <f>IF(B958="","",INDEX({"Ocak","Şubat","Mart","Nisan","Mayıs","Haziran","Temmuz","Ağustos","Eylül","Ekim","Kasım","Aralık"},MONTH(B958)))</f>
        <v/>
      </c>
      <c r="D958" s="2"/>
      <c r="E958" s="5" t="str">
        <f>IFERROR(INDEX('Malzeme Tanımlama'!$B$5:$B$300,MATCH(D958,'Malzeme Tanımlama'!$A$5:$A$300,0)),"")</f>
        <v/>
      </c>
      <c r="F958" s="2"/>
      <c r="G958" s="5"/>
      <c r="H958" s="5" t="str">
        <f>IFERROR(INDEX('Malzeme Tanımlama'!$D$5:$D$300,MATCH(D958,'Malzeme Tanımlama'!$A$5:$A$300,0)),"")</f>
        <v/>
      </c>
      <c r="I958" s="2"/>
      <c r="J958" s="2"/>
      <c r="K958" s="2"/>
    </row>
    <row r="959" spans="1:11" x14ac:dyDescent="0.3">
      <c r="A959" s="5" t="str">
        <f>IF(D959="","",COUNTIF($D$5:D959,"?*"))</f>
        <v/>
      </c>
      <c r="B959" s="6"/>
      <c r="C959" s="5" t="str">
        <f>IF(B959="","",INDEX({"Ocak","Şubat","Mart","Nisan","Mayıs","Haziran","Temmuz","Ağustos","Eylül","Ekim","Kasım","Aralık"},MONTH(B959)))</f>
        <v/>
      </c>
      <c r="D959" s="2"/>
      <c r="E959" s="5" t="str">
        <f>IFERROR(INDEX('Malzeme Tanımlama'!$B$5:$B$300,MATCH(D959,'Malzeme Tanımlama'!$A$5:$A$300,0)),"")</f>
        <v/>
      </c>
      <c r="F959" s="2"/>
      <c r="G959" s="5"/>
      <c r="H959" s="5" t="str">
        <f>IFERROR(INDEX('Malzeme Tanımlama'!$D$5:$D$300,MATCH(D959,'Malzeme Tanımlama'!$A$5:$A$300,0)),"")</f>
        <v/>
      </c>
      <c r="I959" s="2"/>
      <c r="J959" s="2"/>
      <c r="K959" s="2"/>
    </row>
    <row r="960" spans="1:11" x14ac:dyDescent="0.3">
      <c r="A960" s="5" t="str">
        <f>IF(D960="","",COUNTIF($D$5:D960,"?*"))</f>
        <v/>
      </c>
      <c r="B960" s="6"/>
      <c r="C960" s="5" t="str">
        <f>IF(B960="","",INDEX({"Ocak","Şubat","Mart","Nisan","Mayıs","Haziran","Temmuz","Ağustos","Eylül","Ekim","Kasım","Aralık"},MONTH(B960)))</f>
        <v/>
      </c>
      <c r="D960" s="2"/>
      <c r="E960" s="5" t="str">
        <f>IFERROR(INDEX('Malzeme Tanımlama'!$B$5:$B$300,MATCH(D960,'Malzeme Tanımlama'!$A$5:$A$300,0)),"")</f>
        <v/>
      </c>
      <c r="F960" s="2"/>
      <c r="G960" s="5"/>
      <c r="H960" s="5" t="str">
        <f>IFERROR(INDEX('Malzeme Tanımlama'!$D$5:$D$300,MATCH(D960,'Malzeme Tanımlama'!$A$5:$A$300,0)),"")</f>
        <v/>
      </c>
      <c r="I960" s="2"/>
      <c r="J960" s="2"/>
      <c r="K960" s="2"/>
    </row>
    <row r="961" spans="1:11" x14ac:dyDescent="0.3">
      <c r="A961" s="5" t="str">
        <f>IF(D961="","",COUNTIF($D$5:D961,"?*"))</f>
        <v/>
      </c>
      <c r="B961" s="6"/>
      <c r="C961" s="5" t="str">
        <f>IF(B961="","",INDEX({"Ocak","Şubat","Mart","Nisan","Mayıs","Haziran","Temmuz","Ağustos","Eylül","Ekim","Kasım","Aralık"},MONTH(B961)))</f>
        <v/>
      </c>
      <c r="D961" s="2"/>
      <c r="E961" s="5" t="str">
        <f>IFERROR(INDEX('Malzeme Tanımlama'!$B$5:$B$300,MATCH(D961,'Malzeme Tanımlama'!$A$5:$A$300,0)),"")</f>
        <v/>
      </c>
      <c r="F961" s="2"/>
      <c r="G961" s="5"/>
      <c r="H961" s="5" t="str">
        <f>IFERROR(INDEX('Malzeme Tanımlama'!$D$5:$D$300,MATCH(D961,'Malzeme Tanımlama'!$A$5:$A$300,0)),"")</f>
        <v/>
      </c>
      <c r="I961" s="2"/>
      <c r="J961" s="2"/>
      <c r="K961" s="2"/>
    </row>
    <row r="962" spans="1:11" x14ac:dyDescent="0.3">
      <c r="A962" s="5" t="str">
        <f>IF(D962="","",COUNTIF($D$5:D962,"?*"))</f>
        <v/>
      </c>
      <c r="B962" s="6"/>
      <c r="C962" s="5" t="str">
        <f>IF(B962="","",INDEX({"Ocak","Şubat","Mart","Nisan","Mayıs","Haziran","Temmuz","Ağustos","Eylül","Ekim","Kasım","Aralık"},MONTH(B962)))</f>
        <v/>
      </c>
      <c r="D962" s="2"/>
      <c r="E962" s="5" t="str">
        <f>IFERROR(INDEX('Malzeme Tanımlama'!$B$5:$B$300,MATCH(D962,'Malzeme Tanımlama'!$A$5:$A$300,0)),"")</f>
        <v/>
      </c>
      <c r="F962" s="2"/>
      <c r="G962" s="5"/>
      <c r="H962" s="5" t="str">
        <f>IFERROR(INDEX('Malzeme Tanımlama'!$D$5:$D$300,MATCH(D962,'Malzeme Tanımlama'!$A$5:$A$300,0)),"")</f>
        <v/>
      </c>
      <c r="I962" s="2"/>
      <c r="J962" s="2"/>
      <c r="K962" s="2"/>
    </row>
    <row r="963" spans="1:11" x14ac:dyDescent="0.3">
      <c r="A963" s="5" t="str">
        <f>IF(D963="","",COUNTIF($D$5:D963,"?*"))</f>
        <v/>
      </c>
      <c r="B963" s="6"/>
      <c r="C963" s="5" t="str">
        <f>IF(B963="","",INDEX({"Ocak","Şubat","Mart","Nisan","Mayıs","Haziran","Temmuz","Ağustos","Eylül","Ekim","Kasım","Aralık"},MONTH(B963)))</f>
        <v/>
      </c>
      <c r="D963" s="2"/>
      <c r="E963" s="5" t="str">
        <f>IFERROR(INDEX('Malzeme Tanımlama'!$B$5:$B$300,MATCH(D963,'Malzeme Tanımlama'!$A$5:$A$300,0)),"")</f>
        <v/>
      </c>
      <c r="F963" s="2"/>
      <c r="G963" s="5"/>
      <c r="H963" s="5" t="str">
        <f>IFERROR(INDEX('Malzeme Tanımlama'!$D$5:$D$300,MATCH(D963,'Malzeme Tanımlama'!$A$5:$A$300,0)),"")</f>
        <v/>
      </c>
      <c r="I963" s="2"/>
      <c r="J963" s="2"/>
      <c r="K963" s="2"/>
    </row>
    <row r="964" spans="1:11" x14ac:dyDescent="0.3">
      <c r="A964" s="5" t="str">
        <f>IF(D964="","",COUNTIF($D$5:D964,"?*"))</f>
        <v/>
      </c>
      <c r="B964" s="6"/>
      <c r="C964" s="5" t="str">
        <f>IF(B964="","",INDEX({"Ocak","Şubat","Mart","Nisan","Mayıs","Haziran","Temmuz","Ağustos","Eylül","Ekim","Kasım","Aralık"},MONTH(B964)))</f>
        <v/>
      </c>
      <c r="D964" s="2"/>
      <c r="E964" s="5" t="str">
        <f>IFERROR(INDEX('Malzeme Tanımlama'!$B$5:$B$300,MATCH(D964,'Malzeme Tanımlama'!$A$5:$A$300,0)),"")</f>
        <v/>
      </c>
      <c r="F964" s="2"/>
      <c r="G964" s="5"/>
      <c r="H964" s="5" t="str">
        <f>IFERROR(INDEX('Malzeme Tanımlama'!$D$5:$D$300,MATCH(D964,'Malzeme Tanımlama'!$A$5:$A$300,0)),"")</f>
        <v/>
      </c>
      <c r="I964" s="2"/>
      <c r="J964" s="2"/>
      <c r="K964" s="2"/>
    </row>
    <row r="965" spans="1:11" x14ac:dyDescent="0.3">
      <c r="A965" s="5" t="str">
        <f>IF(D965="","",COUNTIF($D$5:D965,"?*"))</f>
        <v/>
      </c>
      <c r="B965" s="6"/>
      <c r="C965" s="5" t="str">
        <f>IF(B965="","",INDEX({"Ocak","Şubat","Mart","Nisan","Mayıs","Haziran","Temmuz","Ağustos","Eylül","Ekim","Kasım","Aralık"},MONTH(B965)))</f>
        <v/>
      </c>
      <c r="D965" s="2"/>
      <c r="E965" s="5" t="str">
        <f>IFERROR(INDEX('Malzeme Tanımlama'!$B$5:$B$300,MATCH(D965,'Malzeme Tanımlama'!$A$5:$A$300,0)),"")</f>
        <v/>
      </c>
      <c r="F965" s="2"/>
      <c r="G965" s="5"/>
      <c r="H965" s="5" t="str">
        <f>IFERROR(INDEX('Malzeme Tanımlama'!$D$5:$D$300,MATCH(D965,'Malzeme Tanımlama'!$A$5:$A$300,0)),"")</f>
        <v/>
      </c>
      <c r="I965" s="2"/>
      <c r="J965" s="2"/>
      <c r="K965" s="2"/>
    </row>
    <row r="966" spans="1:11" x14ac:dyDescent="0.3">
      <c r="A966" s="5" t="str">
        <f>IF(D966="","",COUNTIF($D$5:D966,"?*"))</f>
        <v/>
      </c>
      <c r="B966" s="6"/>
      <c r="C966" s="5" t="str">
        <f>IF(B966="","",INDEX({"Ocak","Şubat","Mart","Nisan","Mayıs","Haziran","Temmuz","Ağustos","Eylül","Ekim","Kasım","Aralık"},MONTH(B966)))</f>
        <v/>
      </c>
      <c r="D966" s="2"/>
      <c r="E966" s="5" t="str">
        <f>IFERROR(INDEX('Malzeme Tanımlama'!$B$5:$B$300,MATCH(D966,'Malzeme Tanımlama'!$A$5:$A$300,0)),"")</f>
        <v/>
      </c>
      <c r="F966" s="2"/>
      <c r="G966" s="5"/>
      <c r="H966" s="5" t="str">
        <f>IFERROR(INDEX('Malzeme Tanımlama'!$D$5:$D$300,MATCH(D966,'Malzeme Tanımlama'!$A$5:$A$300,0)),"")</f>
        <v/>
      </c>
      <c r="I966" s="2"/>
      <c r="J966" s="2"/>
      <c r="K966" s="2"/>
    </row>
    <row r="967" spans="1:11" x14ac:dyDescent="0.3">
      <c r="A967" s="5" t="str">
        <f>IF(D967="","",COUNTIF($D$5:D967,"?*"))</f>
        <v/>
      </c>
      <c r="B967" s="6"/>
      <c r="C967" s="5" t="str">
        <f>IF(B967="","",INDEX({"Ocak","Şubat","Mart","Nisan","Mayıs","Haziran","Temmuz","Ağustos","Eylül","Ekim","Kasım","Aralık"},MONTH(B967)))</f>
        <v/>
      </c>
      <c r="D967" s="2"/>
      <c r="E967" s="5" t="str">
        <f>IFERROR(INDEX('Malzeme Tanımlama'!$B$5:$B$300,MATCH(D967,'Malzeme Tanımlama'!$A$5:$A$300,0)),"")</f>
        <v/>
      </c>
      <c r="F967" s="2"/>
      <c r="G967" s="5"/>
      <c r="H967" s="5" t="str">
        <f>IFERROR(INDEX('Malzeme Tanımlama'!$D$5:$D$300,MATCH(D967,'Malzeme Tanımlama'!$A$5:$A$300,0)),"")</f>
        <v/>
      </c>
      <c r="I967" s="2"/>
      <c r="J967" s="2"/>
      <c r="K967" s="2"/>
    </row>
    <row r="968" spans="1:11" x14ac:dyDescent="0.3">
      <c r="A968" s="5" t="str">
        <f>IF(D968="","",COUNTIF($D$5:D968,"?*"))</f>
        <v/>
      </c>
      <c r="B968" s="6"/>
      <c r="C968" s="5" t="str">
        <f>IF(B968="","",INDEX({"Ocak","Şubat","Mart","Nisan","Mayıs","Haziran","Temmuz","Ağustos","Eylül","Ekim","Kasım","Aralık"},MONTH(B968)))</f>
        <v/>
      </c>
      <c r="D968" s="2"/>
      <c r="E968" s="5" t="str">
        <f>IFERROR(INDEX('Malzeme Tanımlama'!$B$5:$B$300,MATCH(D968,'Malzeme Tanımlama'!$A$5:$A$300,0)),"")</f>
        <v/>
      </c>
      <c r="F968" s="2"/>
      <c r="G968" s="5"/>
      <c r="H968" s="5" t="str">
        <f>IFERROR(INDEX('Malzeme Tanımlama'!$D$5:$D$300,MATCH(D968,'Malzeme Tanımlama'!$A$5:$A$300,0)),"")</f>
        <v/>
      </c>
      <c r="I968" s="2"/>
      <c r="J968" s="2"/>
      <c r="K968" s="2"/>
    </row>
    <row r="969" spans="1:11" x14ac:dyDescent="0.3">
      <c r="A969" s="5" t="str">
        <f>IF(D969="","",COUNTIF($D$5:D969,"?*"))</f>
        <v/>
      </c>
      <c r="B969" s="6"/>
      <c r="C969" s="5" t="str">
        <f>IF(B969="","",INDEX({"Ocak","Şubat","Mart","Nisan","Mayıs","Haziran","Temmuz","Ağustos","Eylül","Ekim","Kasım","Aralık"},MONTH(B969)))</f>
        <v/>
      </c>
      <c r="D969" s="2"/>
      <c r="E969" s="5" t="str">
        <f>IFERROR(INDEX('Malzeme Tanımlama'!$B$5:$B$300,MATCH(D969,'Malzeme Tanımlama'!$A$5:$A$300,0)),"")</f>
        <v/>
      </c>
      <c r="F969" s="2"/>
      <c r="G969" s="5"/>
      <c r="H969" s="5" t="str">
        <f>IFERROR(INDEX('Malzeme Tanımlama'!$D$5:$D$300,MATCH(D969,'Malzeme Tanımlama'!$A$5:$A$300,0)),"")</f>
        <v/>
      </c>
      <c r="I969" s="2"/>
      <c r="J969" s="2"/>
      <c r="K969" s="2"/>
    </row>
    <row r="970" spans="1:11" x14ac:dyDescent="0.3">
      <c r="A970" s="5" t="str">
        <f>IF(D970="","",COUNTIF($D$5:D970,"?*"))</f>
        <v/>
      </c>
      <c r="B970" s="6"/>
      <c r="C970" s="5" t="str">
        <f>IF(B970="","",INDEX({"Ocak","Şubat","Mart","Nisan","Mayıs","Haziran","Temmuz","Ağustos","Eylül","Ekim","Kasım","Aralık"},MONTH(B970)))</f>
        <v/>
      </c>
      <c r="D970" s="2"/>
      <c r="E970" s="5" t="str">
        <f>IFERROR(INDEX('Malzeme Tanımlama'!$B$5:$B$300,MATCH(D970,'Malzeme Tanımlama'!$A$5:$A$300,0)),"")</f>
        <v/>
      </c>
      <c r="F970" s="2"/>
      <c r="G970" s="5"/>
      <c r="H970" s="5" t="str">
        <f>IFERROR(INDEX('Malzeme Tanımlama'!$D$5:$D$300,MATCH(D970,'Malzeme Tanımlama'!$A$5:$A$300,0)),"")</f>
        <v/>
      </c>
      <c r="I970" s="2"/>
      <c r="J970" s="2"/>
      <c r="K970" s="2"/>
    </row>
    <row r="971" spans="1:11" x14ac:dyDescent="0.3">
      <c r="A971" s="5" t="str">
        <f>IF(D971="","",COUNTIF($D$5:D971,"?*"))</f>
        <v/>
      </c>
      <c r="B971" s="6"/>
      <c r="C971" s="5" t="str">
        <f>IF(B971="","",INDEX({"Ocak","Şubat","Mart","Nisan","Mayıs","Haziran","Temmuz","Ağustos","Eylül","Ekim","Kasım","Aralık"},MONTH(B971)))</f>
        <v/>
      </c>
      <c r="D971" s="2"/>
      <c r="E971" s="5" t="str">
        <f>IFERROR(INDEX('Malzeme Tanımlama'!$B$5:$B$300,MATCH(D971,'Malzeme Tanımlama'!$A$5:$A$300,0)),"")</f>
        <v/>
      </c>
      <c r="F971" s="2"/>
      <c r="G971" s="5"/>
      <c r="H971" s="5" t="str">
        <f>IFERROR(INDEX('Malzeme Tanımlama'!$D$5:$D$300,MATCH(D971,'Malzeme Tanımlama'!$A$5:$A$300,0)),"")</f>
        <v/>
      </c>
      <c r="I971" s="2"/>
      <c r="J971" s="2"/>
      <c r="K971" s="2"/>
    </row>
    <row r="972" spans="1:11" x14ac:dyDescent="0.3">
      <c r="A972" s="5" t="str">
        <f>IF(D972="","",COUNTIF($D$5:D972,"?*"))</f>
        <v/>
      </c>
      <c r="B972" s="6"/>
      <c r="C972" s="5" t="str">
        <f>IF(B972="","",INDEX({"Ocak","Şubat","Mart","Nisan","Mayıs","Haziran","Temmuz","Ağustos","Eylül","Ekim","Kasım","Aralık"},MONTH(B972)))</f>
        <v/>
      </c>
      <c r="D972" s="2"/>
      <c r="E972" s="5" t="str">
        <f>IFERROR(INDEX('Malzeme Tanımlama'!$B$5:$B$300,MATCH(D972,'Malzeme Tanımlama'!$A$5:$A$300,0)),"")</f>
        <v/>
      </c>
      <c r="F972" s="2"/>
      <c r="G972" s="5"/>
      <c r="H972" s="5" t="str">
        <f>IFERROR(INDEX('Malzeme Tanımlama'!$D$5:$D$300,MATCH(D972,'Malzeme Tanımlama'!$A$5:$A$300,0)),"")</f>
        <v/>
      </c>
      <c r="I972" s="2"/>
      <c r="J972" s="2"/>
      <c r="K972" s="2"/>
    </row>
    <row r="973" spans="1:11" x14ac:dyDescent="0.3">
      <c r="A973" s="5" t="str">
        <f>IF(D973="","",COUNTIF($D$5:D973,"?*"))</f>
        <v/>
      </c>
      <c r="B973" s="6"/>
      <c r="C973" s="5" t="str">
        <f>IF(B973="","",INDEX({"Ocak","Şubat","Mart","Nisan","Mayıs","Haziran","Temmuz","Ağustos","Eylül","Ekim","Kasım","Aralık"},MONTH(B973)))</f>
        <v/>
      </c>
      <c r="D973" s="2"/>
      <c r="E973" s="5" t="str">
        <f>IFERROR(INDEX('Malzeme Tanımlama'!$B$5:$B$300,MATCH(D973,'Malzeme Tanımlama'!$A$5:$A$300,0)),"")</f>
        <v/>
      </c>
      <c r="F973" s="2"/>
      <c r="G973" s="5"/>
      <c r="H973" s="5" t="str">
        <f>IFERROR(INDEX('Malzeme Tanımlama'!$D$5:$D$300,MATCH(D973,'Malzeme Tanımlama'!$A$5:$A$300,0)),"")</f>
        <v/>
      </c>
      <c r="I973" s="2"/>
      <c r="J973" s="2"/>
      <c r="K973" s="2"/>
    </row>
    <row r="974" spans="1:11" x14ac:dyDescent="0.3">
      <c r="A974" s="5" t="str">
        <f>IF(D974="","",COUNTIF($D$5:D974,"?*"))</f>
        <v/>
      </c>
      <c r="B974" s="6"/>
      <c r="C974" s="5" t="str">
        <f>IF(B974="","",INDEX({"Ocak","Şubat","Mart","Nisan","Mayıs","Haziran","Temmuz","Ağustos","Eylül","Ekim","Kasım","Aralık"},MONTH(B974)))</f>
        <v/>
      </c>
      <c r="D974" s="2"/>
      <c r="E974" s="5" t="str">
        <f>IFERROR(INDEX('Malzeme Tanımlama'!$B$5:$B$300,MATCH(D974,'Malzeme Tanımlama'!$A$5:$A$300,0)),"")</f>
        <v/>
      </c>
      <c r="F974" s="2"/>
      <c r="G974" s="5"/>
      <c r="H974" s="5" t="str">
        <f>IFERROR(INDEX('Malzeme Tanımlama'!$D$5:$D$300,MATCH(D974,'Malzeme Tanımlama'!$A$5:$A$300,0)),"")</f>
        <v/>
      </c>
      <c r="I974" s="2"/>
      <c r="J974" s="2"/>
      <c r="K974" s="2"/>
    </row>
    <row r="975" spans="1:11" x14ac:dyDescent="0.3">
      <c r="A975" s="5" t="str">
        <f>IF(D975="","",COUNTIF($D$5:D975,"?*"))</f>
        <v/>
      </c>
      <c r="B975" s="6"/>
      <c r="C975" s="5" t="str">
        <f>IF(B975="","",INDEX({"Ocak","Şubat","Mart","Nisan","Mayıs","Haziran","Temmuz","Ağustos","Eylül","Ekim","Kasım","Aralık"},MONTH(B975)))</f>
        <v/>
      </c>
      <c r="D975" s="2"/>
      <c r="E975" s="5" t="str">
        <f>IFERROR(INDEX('Malzeme Tanımlama'!$B$5:$B$300,MATCH(D975,'Malzeme Tanımlama'!$A$5:$A$300,0)),"")</f>
        <v/>
      </c>
      <c r="F975" s="2"/>
      <c r="G975" s="5"/>
      <c r="H975" s="5" t="str">
        <f>IFERROR(INDEX('Malzeme Tanımlama'!$D$5:$D$300,MATCH(D975,'Malzeme Tanımlama'!$A$5:$A$300,0)),"")</f>
        <v/>
      </c>
      <c r="I975" s="2"/>
      <c r="J975" s="2"/>
      <c r="K975" s="2"/>
    </row>
    <row r="976" spans="1:11" x14ac:dyDescent="0.3">
      <c r="A976" s="5" t="str">
        <f>IF(D976="","",COUNTIF($D$5:D976,"?*"))</f>
        <v/>
      </c>
      <c r="B976" s="6"/>
      <c r="C976" s="5" t="str">
        <f>IF(B976="","",INDEX({"Ocak","Şubat","Mart","Nisan","Mayıs","Haziran","Temmuz","Ağustos","Eylül","Ekim","Kasım","Aralık"},MONTH(B976)))</f>
        <v/>
      </c>
      <c r="D976" s="2"/>
      <c r="E976" s="5" t="str">
        <f>IFERROR(INDEX('Malzeme Tanımlama'!$B$5:$B$300,MATCH(D976,'Malzeme Tanımlama'!$A$5:$A$300,0)),"")</f>
        <v/>
      </c>
      <c r="F976" s="2"/>
      <c r="G976" s="5"/>
      <c r="H976" s="5" t="str">
        <f>IFERROR(INDEX('Malzeme Tanımlama'!$D$5:$D$300,MATCH(D976,'Malzeme Tanımlama'!$A$5:$A$300,0)),"")</f>
        <v/>
      </c>
      <c r="I976" s="2"/>
      <c r="J976" s="2"/>
      <c r="K976" s="2"/>
    </row>
    <row r="977" spans="1:11" x14ac:dyDescent="0.3">
      <c r="A977" s="5" t="str">
        <f>IF(D977="","",COUNTIF($D$5:D977,"?*"))</f>
        <v/>
      </c>
      <c r="B977" s="6"/>
      <c r="C977" s="5" t="str">
        <f>IF(B977="","",INDEX({"Ocak","Şubat","Mart","Nisan","Mayıs","Haziran","Temmuz","Ağustos","Eylül","Ekim","Kasım","Aralık"},MONTH(B977)))</f>
        <v/>
      </c>
      <c r="D977" s="2"/>
      <c r="E977" s="5" t="str">
        <f>IFERROR(INDEX('Malzeme Tanımlama'!$B$5:$B$300,MATCH(D977,'Malzeme Tanımlama'!$A$5:$A$300,0)),"")</f>
        <v/>
      </c>
      <c r="F977" s="2"/>
      <c r="G977" s="5"/>
      <c r="H977" s="5" t="str">
        <f>IFERROR(INDEX('Malzeme Tanımlama'!$D$5:$D$300,MATCH(D977,'Malzeme Tanımlama'!$A$5:$A$300,0)),"")</f>
        <v/>
      </c>
      <c r="I977" s="2"/>
      <c r="J977" s="2"/>
      <c r="K977" s="2"/>
    </row>
    <row r="978" spans="1:11" x14ac:dyDescent="0.3">
      <c r="A978" s="5" t="str">
        <f>IF(D978="","",COUNTIF($D$5:D978,"?*"))</f>
        <v/>
      </c>
      <c r="B978" s="6"/>
      <c r="C978" s="5" t="str">
        <f>IF(B978="","",INDEX({"Ocak","Şubat","Mart","Nisan","Mayıs","Haziran","Temmuz","Ağustos","Eylül","Ekim","Kasım","Aralık"},MONTH(B978)))</f>
        <v/>
      </c>
      <c r="D978" s="2"/>
      <c r="E978" s="5" t="str">
        <f>IFERROR(INDEX('Malzeme Tanımlama'!$B$5:$B$300,MATCH(D978,'Malzeme Tanımlama'!$A$5:$A$300,0)),"")</f>
        <v/>
      </c>
      <c r="F978" s="2"/>
      <c r="G978" s="5"/>
      <c r="H978" s="5" t="str">
        <f>IFERROR(INDEX('Malzeme Tanımlama'!$D$5:$D$300,MATCH(D978,'Malzeme Tanımlama'!$A$5:$A$300,0)),"")</f>
        <v/>
      </c>
      <c r="I978" s="2"/>
      <c r="J978" s="2"/>
      <c r="K978" s="2"/>
    </row>
    <row r="979" spans="1:11" x14ac:dyDescent="0.3">
      <c r="A979" s="5" t="str">
        <f>IF(D979="","",COUNTIF($D$5:D979,"?*"))</f>
        <v/>
      </c>
      <c r="B979" s="6"/>
      <c r="C979" s="5" t="str">
        <f>IF(B979="","",INDEX({"Ocak","Şubat","Mart","Nisan","Mayıs","Haziran","Temmuz","Ağustos","Eylül","Ekim","Kasım","Aralık"},MONTH(B979)))</f>
        <v/>
      </c>
      <c r="D979" s="2"/>
      <c r="E979" s="5" t="str">
        <f>IFERROR(INDEX('Malzeme Tanımlama'!$B$5:$B$300,MATCH(D979,'Malzeme Tanımlama'!$A$5:$A$300,0)),"")</f>
        <v/>
      </c>
      <c r="F979" s="2"/>
      <c r="G979" s="5"/>
      <c r="H979" s="5" t="str">
        <f>IFERROR(INDEX('Malzeme Tanımlama'!$D$5:$D$300,MATCH(D979,'Malzeme Tanımlama'!$A$5:$A$300,0)),"")</f>
        <v/>
      </c>
      <c r="I979" s="2"/>
      <c r="J979" s="2"/>
      <c r="K979" s="2"/>
    </row>
    <row r="980" spans="1:11" x14ac:dyDescent="0.3">
      <c r="A980" s="5" t="str">
        <f>IF(D980="","",COUNTIF($D$5:D980,"?*"))</f>
        <v/>
      </c>
      <c r="B980" s="6"/>
      <c r="C980" s="5" t="str">
        <f>IF(B980="","",INDEX({"Ocak","Şubat","Mart","Nisan","Mayıs","Haziran","Temmuz","Ağustos","Eylül","Ekim","Kasım","Aralık"},MONTH(B980)))</f>
        <v/>
      </c>
      <c r="D980" s="2"/>
      <c r="E980" s="5" t="str">
        <f>IFERROR(INDEX('Malzeme Tanımlama'!$B$5:$B$300,MATCH(D980,'Malzeme Tanımlama'!$A$5:$A$300,0)),"")</f>
        <v/>
      </c>
      <c r="F980" s="2"/>
      <c r="G980" s="5"/>
      <c r="H980" s="5" t="str">
        <f>IFERROR(INDEX('Malzeme Tanımlama'!$D$5:$D$300,MATCH(D980,'Malzeme Tanımlama'!$A$5:$A$300,0)),"")</f>
        <v/>
      </c>
      <c r="I980" s="2"/>
      <c r="J980" s="2"/>
      <c r="K980" s="2"/>
    </row>
    <row r="981" spans="1:11" x14ac:dyDescent="0.3">
      <c r="A981" s="5" t="str">
        <f>IF(D981="","",COUNTIF($D$5:D981,"?*"))</f>
        <v/>
      </c>
      <c r="B981" s="6"/>
      <c r="C981" s="5" t="str">
        <f>IF(B981="","",INDEX({"Ocak","Şubat","Mart","Nisan","Mayıs","Haziran","Temmuz","Ağustos","Eylül","Ekim","Kasım","Aralık"},MONTH(B981)))</f>
        <v/>
      </c>
      <c r="D981" s="2"/>
      <c r="E981" s="5" t="str">
        <f>IFERROR(INDEX('Malzeme Tanımlama'!$B$5:$B$300,MATCH(D981,'Malzeme Tanımlama'!$A$5:$A$300,0)),"")</f>
        <v/>
      </c>
      <c r="F981" s="2"/>
      <c r="G981" s="5"/>
      <c r="H981" s="5" t="str">
        <f>IFERROR(INDEX('Malzeme Tanımlama'!$D$5:$D$300,MATCH(D981,'Malzeme Tanımlama'!$A$5:$A$300,0)),"")</f>
        <v/>
      </c>
      <c r="I981" s="2"/>
      <c r="J981" s="2"/>
      <c r="K981" s="2"/>
    </row>
    <row r="982" spans="1:11" x14ac:dyDescent="0.3">
      <c r="A982" s="5" t="str">
        <f>IF(D982="","",COUNTIF($D$5:D982,"?*"))</f>
        <v/>
      </c>
      <c r="B982" s="6"/>
      <c r="C982" s="5" t="str">
        <f>IF(B982="","",INDEX({"Ocak","Şubat","Mart","Nisan","Mayıs","Haziran","Temmuz","Ağustos","Eylül","Ekim","Kasım","Aralık"},MONTH(B982)))</f>
        <v/>
      </c>
      <c r="D982" s="2"/>
      <c r="E982" s="5" t="str">
        <f>IFERROR(INDEX('Malzeme Tanımlama'!$B$5:$B$300,MATCH(D982,'Malzeme Tanımlama'!$A$5:$A$300,0)),"")</f>
        <v/>
      </c>
      <c r="F982" s="2"/>
      <c r="G982" s="5"/>
      <c r="H982" s="5" t="str">
        <f>IFERROR(INDEX('Malzeme Tanımlama'!$D$5:$D$300,MATCH(D982,'Malzeme Tanımlama'!$A$5:$A$300,0)),"")</f>
        <v/>
      </c>
      <c r="I982" s="2"/>
      <c r="J982" s="2"/>
      <c r="K982" s="2"/>
    </row>
    <row r="983" spans="1:11" x14ac:dyDescent="0.3">
      <c r="A983" s="5" t="str">
        <f>IF(D983="","",COUNTIF($D$5:D983,"?*"))</f>
        <v/>
      </c>
      <c r="B983" s="6"/>
      <c r="C983" s="5" t="str">
        <f>IF(B983="","",INDEX({"Ocak","Şubat","Mart","Nisan","Mayıs","Haziran","Temmuz","Ağustos","Eylül","Ekim","Kasım","Aralık"},MONTH(B983)))</f>
        <v/>
      </c>
      <c r="D983" s="2"/>
      <c r="E983" s="5" t="str">
        <f>IFERROR(INDEX('Malzeme Tanımlama'!$B$5:$B$300,MATCH(D983,'Malzeme Tanımlama'!$A$5:$A$300,0)),"")</f>
        <v/>
      </c>
      <c r="F983" s="2"/>
      <c r="G983" s="5"/>
      <c r="H983" s="5" t="str">
        <f>IFERROR(INDEX('Malzeme Tanımlama'!$D$5:$D$300,MATCH(D983,'Malzeme Tanımlama'!$A$5:$A$300,0)),"")</f>
        <v/>
      </c>
      <c r="I983" s="2"/>
      <c r="J983" s="2"/>
      <c r="K983" s="2"/>
    </row>
    <row r="984" spans="1:11" x14ac:dyDescent="0.3">
      <c r="A984" s="5" t="str">
        <f>IF(D984="","",COUNTIF($D$5:D984,"?*"))</f>
        <v/>
      </c>
      <c r="B984" s="6"/>
      <c r="C984" s="5" t="str">
        <f>IF(B984="","",INDEX({"Ocak","Şubat","Mart","Nisan","Mayıs","Haziran","Temmuz","Ağustos","Eylül","Ekim","Kasım","Aralık"},MONTH(B984)))</f>
        <v/>
      </c>
      <c r="D984" s="2"/>
      <c r="E984" s="5" t="str">
        <f>IFERROR(INDEX('Malzeme Tanımlama'!$B$5:$B$300,MATCH(D984,'Malzeme Tanımlama'!$A$5:$A$300,0)),"")</f>
        <v/>
      </c>
      <c r="F984" s="2"/>
      <c r="G984" s="5"/>
      <c r="H984" s="5" t="str">
        <f>IFERROR(INDEX('Malzeme Tanımlama'!$D$5:$D$300,MATCH(D984,'Malzeme Tanımlama'!$A$5:$A$300,0)),"")</f>
        <v/>
      </c>
      <c r="I984" s="2"/>
      <c r="J984" s="2"/>
      <c r="K984" s="2"/>
    </row>
    <row r="985" spans="1:11" x14ac:dyDescent="0.3">
      <c r="A985" s="5" t="str">
        <f>IF(D985="","",COUNTIF($D$5:D985,"?*"))</f>
        <v/>
      </c>
      <c r="B985" s="6"/>
      <c r="C985" s="5" t="str">
        <f>IF(B985="","",INDEX({"Ocak","Şubat","Mart","Nisan","Mayıs","Haziran","Temmuz","Ağustos","Eylül","Ekim","Kasım","Aralık"},MONTH(B985)))</f>
        <v/>
      </c>
      <c r="D985" s="2"/>
      <c r="E985" s="5" t="str">
        <f>IFERROR(INDEX('Malzeme Tanımlama'!$B$5:$B$300,MATCH(D985,'Malzeme Tanımlama'!$A$5:$A$300,0)),"")</f>
        <v/>
      </c>
      <c r="F985" s="2"/>
      <c r="G985" s="5"/>
      <c r="H985" s="5" t="str">
        <f>IFERROR(INDEX('Malzeme Tanımlama'!$D$5:$D$300,MATCH(D985,'Malzeme Tanımlama'!$A$5:$A$300,0)),"")</f>
        <v/>
      </c>
      <c r="I985" s="2"/>
      <c r="J985" s="2"/>
      <c r="K985" s="2"/>
    </row>
    <row r="986" spans="1:11" x14ac:dyDescent="0.3">
      <c r="A986" s="5" t="str">
        <f>IF(D986="","",COUNTIF($D$5:D986,"?*"))</f>
        <v/>
      </c>
      <c r="B986" s="6"/>
      <c r="C986" s="5" t="str">
        <f>IF(B986="","",INDEX({"Ocak","Şubat","Mart","Nisan","Mayıs","Haziran","Temmuz","Ağustos","Eylül","Ekim","Kasım","Aralık"},MONTH(B986)))</f>
        <v/>
      </c>
      <c r="D986" s="2"/>
      <c r="E986" s="5" t="str">
        <f>IFERROR(INDEX('Malzeme Tanımlama'!$B$5:$B$300,MATCH(D986,'Malzeme Tanımlama'!$A$5:$A$300,0)),"")</f>
        <v/>
      </c>
      <c r="F986" s="2"/>
      <c r="G986" s="5"/>
      <c r="H986" s="5" t="str">
        <f>IFERROR(INDEX('Malzeme Tanımlama'!$D$5:$D$300,MATCH(D986,'Malzeme Tanımlama'!$A$5:$A$300,0)),"")</f>
        <v/>
      </c>
      <c r="I986" s="2"/>
      <c r="J986" s="2"/>
      <c r="K986" s="2"/>
    </row>
    <row r="987" spans="1:11" x14ac:dyDescent="0.3">
      <c r="A987" s="5" t="str">
        <f>IF(D987="","",COUNTIF($D$5:D987,"?*"))</f>
        <v/>
      </c>
      <c r="B987" s="6"/>
      <c r="C987" s="5" t="str">
        <f>IF(B987="","",INDEX({"Ocak","Şubat","Mart","Nisan","Mayıs","Haziran","Temmuz","Ağustos","Eylül","Ekim","Kasım","Aralık"},MONTH(B987)))</f>
        <v/>
      </c>
      <c r="D987" s="2"/>
      <c r="E987" s="5" t="str">
        <f>IFERROR(INDEX('Malzeme Tanımlama'!$B$5:$B$300,MATCH(D987,'Malzeme Tanımlama'!$A$5:$A$300,0)),"")</f>
        <v/>
      </c>
      <c r="F987" s="2"/>
      <c r="G987" s="5"/>
      <c r="H987" s="5" t="str">
        <f>IFERROR(INDEX('Malzeme Tanımlama'!$D$5:$D$300,MATCH(D987,'Malzeme Tanımlama'!$A$5:$A$300,0)),"")</f>
        <v/>
      </c>
      <c r="I987" s="2"/>
      <c r="J987" s="2"/>
      <c r="K987" s="2"/>
    </row>
    <row r="988" spans="1:11" x14ac:dyDescent="0.3">
      <c r="A988" s="5" t="str">
        <f>IF(D988="","",COUNTIF($D$5:D988,"?*"))</f>
        <v/>
      </c>
      <c r="B988" s="6"/>
      <c r="C988" s="5" t="str">
        <f>IF(B988="","",INDEX({"Ocak","Şubat","Mart","Nisan","Mayıs","Haziran","Temmuz","Ağustos","Eylül","Ekim","Kasım","Aralık"},MONTH(B988)))</f>
        <v/>
      </c>
      <c r="D988" s="2"/>
      <c r="E988" s="5" t="str">
        <f>IFERROR(INDEX('Malzeme Tanımlama'!$B$5:$B$300,MATCH(D988,'Malzeme Tanımlama'!$A$5:$A$300,0)),"")</f>
        <v/>
      </c>
      <c r="F988" s="2"/>
      <c r="G988" s="5"/>
      <c r="H988" s="5" t="str">
        <f>IFERROR(INDEX('Malzeme Tanımlama'!$D$5:$D$300,MATCH(D988,'Malzeme Tanımlama'!$A$5:$A$300,0)),"")</f>
        <v/>
      </c>
      <c r="I988" s="2"/>
      <c r="J988" s="2"/>
      <c r="K988" s="2"/>
    </row>
    <row r="989" spans="1:11" x14ac:dyDescent="0.3">
      <c r="A989" s="5" t="str">
        <f>IF(D989="","",COUNTIF($D$5:D989,"?*"))</f>
        <v/>
      </c>
      <c r="B989" s="6"/>
      <c r="C989" s="5" t="str">
        <f>IF(B989="","",INDEX({"Ocak","Şubat","Mart","Nisan","Mayıs","Haziran","Temmuz","Ağustos","Eylül","Ekim","Kasım","Aralık"},MONTH(B989)))</f>
        <v/>
      </c>
      <c r="D989" s="2"/>
      <c r="E989" s="5" t="str">
        <f>IFERROR(INDEX('Malzeme Tanımlama'!$B$5:$B$300,MATCH(D989,'Malzeme Tanımlama'!$A$5:$A$300,0)),"")</f>
        <v/>
      </c>
      <c r="F989" s="2"/>
      <c r="G989" s="5"/>
      <c r="H989" s="5" t="str">
        <f>IFERROR(INDEX('Malzeme Tanımlama'!$D$5:$D$300,MATCH(D989,'Malzeme Tanımlama'!$A$5:$A$300,0)),"")</f>
        <v/>
      </c>
      <c r="I989" s="2"/>
      <c r="J989" s="2"/>
      <c r="K989" s="2"/>
    </row>
    <row r="990" spans="1:11" x14ac:dyDescent="0.3">
      <c r="A990" s="5" t="str">
        <f>IF(D990="","",COUNTIF($D$5:D990,"?*"))</f>
        <v/>
      </c>
      <c r="B990" s="6"/>
      <c r="C990" s="5" t="str">
        <f>IF(B990="","",INDEX({"Ocak","Şubat","Mart","Nisan","Mayıs","Haziran","Temmuz","Ağustos","Eylül","Ekim","Kasım","Aralık"},MONTH(B990)))</f>
        <v/>
      </c>
      <c r="D990" s="2"/>
      <c r="E990" s="5" t="str">
        <f>IFERROR(INDEX('Malzeme Tanımlama'!$B$5:$B$300,MATCH(D990,'Malzeme Tanımlama'!$A$5:$A$300,0)),"")</f>
        <v/>
      </c>
      <c r="F990" s="2"/>
      <c r="G990" s="5"/>
      <c r="H990" s="5" t="str">
        <f>IFERROR(INDEX('Malzeme Tanımlama'!$D$5:$D$300,MATCH(D990,'Malzeme Tanımlama'!$A$5:$A$300,0)),"")</f>
        <v/>
      </c>
      <c r="I990" s="2"/>
      <c r="J990" s="2"/>
      <c r="K990" s="2"/>
    </row>
    <row r="991" spans="1:11" x14ac:dyDescent="0.3">
      <c r="A991" s="5" t="str">
        <f>IF(D991="","",COUNTIF($D$5:D991,"?*"))</f>
        <v/>
      </c>
      <c r="B991" s="6"/>
      <c r="C991" s="5" t="str">
        <f>IF(B991="","",INDEX({"Ocak","Şubat","Mart","Nisan","Mayıs","Haziran","Temmuz","Ağustos","Eylül","Ekim","Kasım","Aralık"},MONTH(B991)))</f>
        <v/>
      </c>
      <c r="D991" s="2"/>
      <c r="E991" s="5" t="str">
        <f>IFERROR(INDEX('Malzeme Tanımlama'!$B$5:$B$300,MATCH(D991,'Malzeme Tanımlama'!$A$5:$A$300,0)),"")</f>
        <v/>
      </c>
      <c r="F991" s="2"/>
      <c r="G991" s="5"/>
      <c r="H991" s="5" t="str">
        <f>IFERROR(INDEX('Malzeme Tanımlama'!$D$5:$D$300,MATCH(D991,'Malzeme Tanımlama'!$A$5:$A$300,0)),"")</f>
        <v/>
      </c>
      <c r="I991" s="2"/>
      <c r="J991" s="2"/>
      <c r="K991" s="2"/>
    </row>
    <row r="992" spans="1:11" x14ac:dyDescent="0.3">
      <c r="A992" s="5" t="str">
        <f>IF(D992="","",COUNTIF($D$5:D992,"?*"))</f>
        <v/>
      </c>
      <c r="B992" s="6"/>
      <c r="C992" s="5" t="str">
        <f>IF(B992="","",INDEX({"Ocak","Şubat","Mart","Nisan","Mayıs","Haziran","Temmuz","Ağustos","Eylül","Ekim","Kasım","Aralık"},MONTH(B992)))</f>
        <v/>
      </c>
      <c r="D992" s="2"/>
      <c r="E992" s="5" t="str">
        <f>IFERROR(INDEX('Malzeme Tanımlama'!$B$5:$B$300,MATCH(D992,'Malzeme Tanımlama'!$A$5:$A$300,0)),"")</f>
        <v/>
      </c>
      <c r="F992" s="2"/>
      <c r="G992" s="5"/>
      <c r="H992" s="5" t="str">
        <f>IFERROR(INDEX('Malzeme Tanımlama'!$D$5:$D$300,MATCH(D992,'Malzeme Tanımlama'!$A$5:$A$300,0)),"")</f>
        <v/>
      </c>
      <c r="I992" s="2"/>
      <c r="J992" s="2"/>
      <c r="K992" s="2"/>
    </row>
    <row r="993" spans="1:11" x14ac:dyDescent="0.3">
      <c r="A993" s="5" t="str">
        <f>IF(D993="","",COUNTIF($D$5:D993,"?*"))</f>
        <v/>
      </c>
      <c r="B993" s="6"/>
      <c r="C993" s="5" t="str">
        <f>IF(B993="","",INDEX({"Ocak","Şubat","Mart","Nisan","Mayıs","Haziran","Temmuz","Ağustos","Eylül","Ekim","Kasım","Aralık"},MONTH(B993)))</f>
        <v/>
      </c>
      <c r="D993" s="2"/>
      <c r="E993" s="5" t="str">
        <f>IFERROR(INDEX('Malzeme Tanımlama'!$B$5:$B$300,MATCH(D993,'Malzeme Tanımlama'!$A$5:$A$300,0)),"")</f>
        <v/>
      </c>
      <c r="F993" s="2"/>
      <c r="G993" s="5"/>
      <c r="H993" s="5" t="str">
        <f>IFERROR(INDEX('Malzeme Tanımlama'!$D$5:$D$300,MATCH(D993,'Malzeme Tanımlama'!$A$5:$A$300,0)),"")</f>
        <v/>
      </c>
      <c r="I993" s="2"/>
      <c r="J993" s="2"/>
      <c r="K993" s="2"/>
    </row>
    <row r="994" spans="1:11" x14ac:dyDescent="0.3">
      <c r="A994" s="5" t="str">
        <f>IF(D994="","",COUNTIF($D$5:D994,"?*"))</f>
        <v/>
      </c>
      <c r="B994" s="6"/>
      <c r="C994" s="5" t="str">
        <f>IF(B994="","",INDEX({"Ocak","Şubat","Mart","Nisan","Mayıs","Haziran","Temmuz","Ağustos","Eylül","Ekim","Kasım","Aralık"},MONTH(B994)))</f>
        <v/>
      </c>
      <c r="D994" s="2"/>
      <c r="E994" s="5" t="str">
        <f>IFERROR(INDEX('Malzeme Tanımlama'!$B$5:$B$300,MATCH(D994,'Malzeme Tanımlama'!$A$5:$A$300,0)),"")</f>
        <v/>
      </c>
      <c r="F994" s="2"/>
      <c r="G994" s="5"/>
      <c r="H994" s="5" t="str">
        <f>IFERROR(INDEX('Malzeme Tanımlama'!$D$5:$D$300,MATCH(D994,'Malzeme Tanımlama'!$A$5:$A$300,0)),"")</f>
        <v/>
      </c>
      <c r="I994" s="2"/>
      <c r="J994" s="2"/>
      <c r="K994" s="2"/>
    </row>
    <row r="995" spans="1:11" x14ac:dyDescent="0.3">
      <c r="A995" s="5" t="str">
        <f>IF(D995="","",COUNTIF($D$5:D995,"?*"))</f>
        <v/>
      </c>
      <c r="B995" s="6"/>
      <c r="C995" s="5" t="str">
        <f>IF(B995="","",INDEX({"Ocak","Şubat","Mart","Nisan","Mayıs","Haziran","Temmuz","Ağustos","Eylül","Ekim","Kasım","Aralık"},MONTH(B995)))</f>
        <v/>
      </c>
      <c r="D995" s="2"/>
      <c r="E995" s="5" t="str">
        <f>IFERROR(INDEX('Malzeme Tanımlama'!$B$5:$B$300,MATCH(D995,'Malzeme Tanımlama'!$A$5:$A$300,0)),"")</f>
        <v/>
      </c>
      <c r="F995" s="2"/>
      <c r="G995" s="5"/>
      <c r="H995" s="5" t="str">
        <f>IFERROR(INDEX('Malzeme Tanımlama'!$D$5:$D$300,MATCH(D995,'Malzeme Tanımlama'!$A$5:$A$300,0)),"")</f>
        <v/>
      </c>
      <c r="I995" s="2"/>
      <c r="J995" s="2"/>
      <c r="K995" s="2"/>
    </row>
    <row r="996" spans="1:11" x14ac:dyDescent="0.3">
      <c r="A996" s="5" t="str">
        <f>IF(D996="","",COUNTIF($D$5:D996,"?*"))</f>
        <v/>
      </c>
      <c r="B996" s="6"/>
      <c r="C996" s="5" t="str">
        <f>IF(B996="","",INDEX({"Ocak","Şubat","Mart","Nisan","Mayıs","Haziran","Temmuz","Ağustos","Eylül","Ekim","Kasım","Aralık"},MONTH(B996)))</f>
        <v/>
      </c>
      <c r="D996" s="2"/>
      <c r="E996" s="5" t="str">
        <f>IFERROR(INDEX('Malzeme Tanımlama'!$B$5:$B$300,MATCH(D996,'Malzeme Tanımlama'!$A$5:$A$300,0)),"")</f>
        <v/>
      </c>
      <c r="F996" s="2"/>
      <c r="G996" s="5"/>
      <c r="H996" s="5" t="str">
        <f>IFERROR(INDEX('Malzeme Tanımlama'!$D$5:$D$300,MATCH(D996,'Malzeme Tanımlama'!$A$5:$A$300,0)),"")</f>
        <v/>
      </c>
      <c r="I996" s="2"/>
      <c r="J996" s="2"/>
      <c r="K996" s="2"/>
    </row>
    <row r="997" spans="1:11" x14ac:dyDescent="0.3">
      <c r="A997" s="5" t="str">
        <f>IF(D997="","",COUNTIF($D$5:D997,"?*"))</f>
        <v/>
      </c>
      <c r="B997" s="6"/>
      <c r="C997" s="5" t="str">
        <f>IF(B997="","",INDEX({"Ocak","Şubat","Mart","Nisan","Mayıs","Haziran","Temmuz","Ağustos","Eylül","Ekim","Kasım","Aralık"},MONTH(B997)))</f>
        <v/>
      </c>
      <c r="D997" s="2"/>
      <c r="E997" s="5" t="str">
        <f>IFERROR(INDEX('Malzeme Tanımlama'!$B$5:$B$300,MATCH(D997,'Malzeme Tanımlama'!$A$5:$A$300,0)),"")</f>
        <v/>
      </c>
      <c r="F997" s="2"/>
      <c r="G997" s="5"/>
      <c r="H997" s="5" t="str">
        <f>IFERROR(INDEX('Malzeme Tanımlama'!$D$5:$D$300,MATCH(D997,'Malzeme Tanımlama'!$A$5:$A$300,0)),"")</f>
        <v/>
      </c>
      <c r="I997" s="2"/>
      <c r="J997" s="2"/>
      <c r="K997" s="2"/>
    </row>
    <row r="998" spans="1:11" x14ac:dyDescent="0.3">
      <c r="A998" s="5" t="str">
        <f>IF(D998="","",COUNTIF($D$5:D998,"?*"))</f>
        <v/>
      </c>
      <c r="B998" s="6"/>
      <c r="C998" s="5" t="str">
        <f>IF(B998="","",INDEX({"Ocak","Şubat","Mart","Nisan","Mayıs","Haziran","Temmuz","Ağustos","Eylül","Ekim","Kasım","Aralık"},MONTH(B998)))</f>
        <v/>
      </c>
      <c r="D998" s="2"/>
      <c r="E998" s="5" t="str">
        <f>IFERROR(INDEX('Malzeme Tanımlama'!$B$5:$B$300,MATCH(D998,'Malzeme Tanımlama'!$A$5:$A$300,0)),"")</f>
        <v/>
      </c>
      <c r="F998" s="2"/>
      <c r="G998" s="5"/>
      <c r="H998" s="5" t="str">
        <f>IFERROR(INDEX('Malzeme Tanımlama'!$D$5:$D$300,MATCH(D998,'Malzeme Tanımlama'!$A$5:$A$300,0)),"")</f>
        <v/>
      </c>
      <c r="I998" s="2"/>
      <c r="J998" s="2"/>
      <c r="K998" s="2"/>
    </row>
    <row r="999" spans="1:11" x14ac:dyDescent="0.3">
      <c r="A999" s="5" t="str">
        <f>IF(D999="","",COUNTIF($D$5:D999,"?*"))</f>
        <v/>
      </c>
      <c r="B999" s="6"/>
      <c r="C999" s="5" t="str">
        <f>IF(B999="","",INDEX({"Ocak","Şubat","Mart","Nisan","Mayıs","Haziran","Temmuz","Ağustos","Eylül","Ekim","Kasım","Aralık"},MONTH(B999)))</f>
        <v/>
      </c>
      <c r="D999" s="2"/>
      <c r="E999" s="5" t="str">
        <f>IFERROR(INDEX('Malzeme Tanımlama'!$B$5:$B$300,MATCH(D999,'Malzeme Tanımlama'!$A$5:$A$300,0)),"")</f>
        <v/>
      </c>
      <c r="F999" s="2"/>
      <c r="G999" s="5"/>
      <c r="H999" s="5" t="str">
        <f>IFERROR(INDEX('Malzeme Tanımlama'!$D$5:$D$300,MATCH(D999,'Malzeme Tanımlama'!$A$5:$A$300,0)),"")</f>
        <v/>
      </c>
      <c r="I999" s="2"/>
      <c r="J999" s="2"/>
      <c r="K999" s="2"/>
    </row>
    <row r="1000" spans="1:11" x14ac:dyDescent="0.3">
      <c r="A1000" s="5" t="str">
        <f>IF(D1000="","",COUNTIF($D$5:D1000,"?*"))</f>
        <v/>
      </c>
      <c r="B1000" s="6"/>
      <c r="C1000" s="5" t="str">
        <f>IF(B1000="","",INDEX({"Ocak","Şubat","Mart","Nisan","Mayıs","Haziran","Temmuz","Ağustos","Eylül","Ekim","Kasım","Aralık"},MONTH(B1000)))</f>
        <v/>
      </c>
      <c r="D1000" s="2"/>
      <c r="E1000" s="5" t="str">
        <f>IFERROR(INDEX('Malzeme Tanımlama'!$B$5:$B$300,MATCH(D1000,'Malzeme Tanımlama'!$A$5:$A$300,0)),"")</f>
        <v/>
      </c>
      <c r="F1000" s="2"/>
      <c r="G1000" s="5"/>
      <c r="H1000" s="5" t="str">
        <f>IFERROR(INDEX('Malzeme Tanımlama'!$D$5:$D$300,MATCH(D1000,'Malzeme Tanımlama'!$A$5:$A$300,0)),"")</f>
        <v/>
      </c>
      <c r="I1000" s="2"/>
      <c r="J1000" s="2"/>
      <c r="K1000" s="2"/>
    </row>
    <row r="1001" spans="1:11" x14ac:dyDescent="0.3">
      <c r="A1001" s="5" t="str">
        <f>IF(D1001="","",COUNTIF($D$5:D1001,"?*"))</f>
        <v/>
      </c>
      <c r="B1001" s="6"/>
      <c r="C1001" s="5" t="str">
        <f>IF(B1001="","",INDEX({"Ocak","Şubat","Mart","Nisan","Mayıs","Haziran","Temmuz","Ağustos","Eylül","Ekim","Kasım","Aralık"},MONTH(B1001)))</f>
        <v/>
      </c>
      <c r="D1001" s="2"/>
      <c r="E1001" s="5" t="str">
        <f>IFERROR(INDEX('Malzeme Tanımlama'!$B$5:$B$300,MATCH(D1001,'Malzeme Tanımlama'!$A$5:$A$300,0)),"")</f>
        <v/>
      </c>
      <c r="F1001" s="2"/>
      <c r="G1001" s="5"/>
      <c r="H1001" s="5" t="str">
        <f>IFERROR(INDEX('Malzeme Tanımlama'!$D$5:$D$300,MATCH(D1001,'Malzeme Tanımlama'!$A$5:$A$300,0)),"")</f>
        <v/>
      </c>
      <c r="I1001" s="2"/>
      <c r="J1001" s="2"/>
      <c r="K1001" s="2"/>
    </row>
    <row r="1002" spans="1:11" x14ac:dyDescent="0.3">
      <c r="A1002" s="5" t="str">
        <f>IF(D1002="","",COUNTIF($D$5:D1002,"?*"))</f>
        <v/>
      </c>
      <c r="B1002" s="6"/>
      <c r="C1002" s="5" t="str">
        <f>IF(B1002="","",INDEX({"Ocak","Şubat","Mart","Nisan","Mayıs","Haziran","Temmuz","Ağustos","Eylül","Ekim","Kasım","Aralık"},MONTH(B1002)))</f>
        <v/>
      </c>
      <c r="D1002" s="2"/>
      <c r="E1002" s="5" t="str">
        <f>IFERROR(INDEX('Malzeme Tanımlama'!$B$5:$B$300,MATCH(D1002,'Malzeme Tanımlama'!$A$5:$A$300,0)),"")</f>
        <v/>
      </c>
      <c r="F1002" s="2"/>
      <c r="G1002" s="5"/>
      <c r="H1002" s="5" t="str">
        <f>IFERROR(INDEX('Malzeme Tanımlama'!$D$5:$D$300,MATCH(D1002,'Malzeme Tanımlama'!$A$5:$A$300,0)),"")</f>
        <v/>
      </c>
      <c r="I1002" s="2"/>
      <c r="J1002" s="2"/>
      <c r="K1002" s="2"/>
    </row>
    <row r="1003" spans="1:11" x14ac:dyDescent="0.3">
      <c r="A1003" s="5" t="str">
        <f>IF(D1003="","",COUNTIF($D$5:D1003,"?*"))</f>
        <v/>
      </c>
      <c r="B1003" s="6"/>
      <c r="C1003" s="5" t="str">
        <f>IF(B1003="","",INDEX({"Ocak","Şubat","Mart","Nisan","Mayıs","Haziran","Temmuz","Ağustos","Eylül","Ekim","Kasım","Aralık"},MONTH(B1003)))</f>
        <v/>
      </c>
      <c r="D1003" s="2"/>
      <c r="E1003" s="5" t="str">
        <f>IFERROR(INDEX('Malzeme Tanımlama'!$B$5:$B$300,MATCH(D1003,'Malzeme Tanımlama'!$A$5:$A$300,0)),"")</f>
        <v/>
      </c>
      <c r="F1003" s="2"/>
      <c r="G1003" s="5"/>
      <c r="H1003" s="5" t="str">
        <f>IFERROR(INDEX('Malzeme Tanımlama'!$D$5:$D$300,MATCH(D1003,'Malzeme Tanımlama'!$A$5:$A$300,0)),"")</f>
        <v/>
      </c>
      <c r="I1003" s="2"/>
      <c r="J1003" s="2"/>
      <c r="K1003" s="2"/>
    </row>
    <row r="1004" spans="1:11" x14ac:dyDescent="0.3">
      <c r="A1004" s="5" t="str">
        <f>IF(D1004="","",COUNTIF($D$5:D1004,"?*"))</f>
        <v/>
      </c>
      <c r="B1004" s="6"/>
      <c r="C1004" s="5" t="str">
        <f>IF(B1004="","",INDEX({"Ocak","Şubat","Mart","Nisan","Mayıs","Haziran","Temmuz","Ağustos","Eylül","Ekim","Kasım","Aralık"},MONTH(B1004)))</f>
        <v/>
      </c>
      <c r="D1004" s="2"/>
      <c r="E1004" s="5" t="str">
        <f>IFERROR(INDEX('Malzeme Tanımlama'!$B$5:$B$300,MATCH(D1004,'Malzeme Tanımlama'!$A$5:$A$300,0)),"")</f>
        <v/>
      </c>
      <c r="F1004" s="2"/>
      <c r="G1004" s="5"/>
      <c r="H1004" s="5" t="str">
        <f>IFERROR(INDEX('Malzeme Tanımlama'!$D$5:$D$300,MATCH(D1004,'Malzeme Tanımlama'!$A$5:$A$300,0)),"")</f>
        <v/>
      </c>
      <c r="I1004" s="2"/>
      <c r="J1004" s="2"/>
      <c r="K1004" s="2"/>
    </row>
    <row r="1005" spans="1:11" x14ac:dyDescent="0.3">
      <c r="A1005" s="5" t="str">
        <f>IF(D1005="","",COUNTIF($D$5:D1005,"?*"))</f>
        <v/>
      </c>
      <c r="B1005" s="6"/>
      <c r="C1005" s="5" t="str">
        <f>IF(B1005="","",INDEX({"Ocak","Şubat","Mart","Nisan","Mayıs","Haziran","Temmuz","Ağustos","Eylül","Ekim","Kasım","Aralık"},MONTH(B1005)))</f>
        <v/>
      </c>
      <c r="D1005" s="2"/>
      <c r="E1005" s="5" t="str">
        <f>IFERROR(INDEX('Malzeme Tanımlama'!$B$5:$B$300,MATCH(D1005,'Malzeme Tanımlama'!$A$5:$A$300,0)),"")</f>
        <v/>
      </c>
      <c r="F1005" s="2"/>
      <c r="G1005" s="5"/>
      <c r="H1005" s="5" t="str">
        <f>IFERROR(INDEX('Malzeme Tanımlama'!$D$5:$D$300,MATCH(D1005,'Malzeme Tanımlama'!$A$5:$A$300,0)),"")</f>
        <v/>
      </c>
      <c r="I1005" s="2"/>
      <c r="J1005" s="2"/>
      <c r="K1005" s="2"/>
    </row>
    <row r="1006" spans="1:11" x14ac:dyDescent="0.3">
      <c r="A1006" s="5" t="str">
        <f>IF(D1006="","",COUNTIF($D$5:D1006,"?*"))</f>
        <v/>
      </c>
      <c r="B1006" s="6"/>
      <c r="C1006" s="5" t="str">
        <f>IF(B1006="","",INDEX({"Ocak","Şubat","Mart","Nisan","Mayıs","Haziran","Temmuz","Ağustos","Eylül","Ekim","Kasım","Aralık"},MONTH(B1006)))</f>
        <v/>
      </c>
      <c r="D1006" s="2"/>
      <c r="E1006" s="5" t="str">
        <f>IFERROR(INDEX('Malzeme Tanımlama'!$B$5:$B$300,MATCH(D1006,'Malzeme Tanımlama'!$A$5:$A$300,0)),"")</f>
        <v/>
      </c>
      <c r="F1006" s="2"/>
      <c r="G1006" s="5"/>
      <c r="H1006" s="5" t="str">
        <f>IFERROR(INDEX('Malzeme Tanımlama'!$D$5:$D$300,MATCH(D1006,'Malzeme Tanımlama'!$A$5:$A$300,0)),"")</f>
        <v/>
      </c>
      <c r="I1006" s="2"/>
      <c r="J1006" s="2"/>
      <c r="K1006" s="2"/>
    </row>
    <row r="1007" spans="1:11" x14ac:dyDescent="0.3">
      <c r="A1007" s="5" t="str">
        <f>IF(D1007="","",COUNTIF($D$5:D1007,"?*"))</f>
        <v/>
      </c>
      <c r="B1007" s="6"/>
      <c r="C1007" s="5" t="str">
        <f>IF(B1007="","",INDEX({"Ocak","Şubat","Mart","Nisan","Mayıs","Haziran","Temmuz","Ağustos","Eylül","Ekim","Kasım","Aralık"},MONTH(B1007)))</f>
        <v/>
      </c>
      <c r="D1007" s="2"/>
      <c r="E1007" s="5" t="str">
        <f>IFERROR(INDEX('Malzeme Tanımlama'!$B$5:$B$300,MATCH(D1007,'Malzeme Tanımlama'!$A$5:$A$300,0)),"")</f>
        <v/>
      </c>
      <c r="F1007" s="2"/>
      <c r="G1007" s="5"/>
      <c r="H1007" s="5" t="str">
        <f>IFERROR(INDEX('Malzeme Tanımlama'!$D$5:$D$300,MATCH(D1007,'Malzeme Tanımlama'!$A$5:$A$300,0)),"")</f>
        <v/>
      </c>
      <c r="I1007" s="2"/>
      <c r="J1007" s="2"/>
      <c r="K1007" s="2"/>
    </row>
    <row r="1008" spans="1:11" x14ac:dyDescent="0.3">
      <c r="A1008" s="5" t="str">
        <f>IF(D1008="","",COUNTIF($D$5:D1008,"?*"))</f>
        <v/>
      </c>
      <c r="B1008" s="6"/>
      <c r="C1008" s="5" t="str">
        <f>IF(B1008="","",INDEX({"Ocak","Şubat","Mart","Nisan","Mayıs","Haziran","Temmuz","Ağustos","Eylül","Ekim","Kasım","Aralık"},MONTH(B1008)))</f>
        <v/>
      </c>
      <c r="D1008" s="2"/>
      <c r="E1008" s="5" t="str">
        <f>IFERROR(INDEX('Malzeme Tanımlama'!$B$5:$B$300,MATCH(D1008,'Malzeme Tanımlama'!$A$5:$A$300,0)),"")</f>
        <v/>
      </c>
      <c r="F1008" s="2"/>
      <c r="G1008" s="5"/>
      <c r="H1008" s="5" t="str">
        <f>IFERROR(INDEX('Malzeme Tanımlama'!$D$5:$D$300,MATCH(D1008,'Malzeme Tanımlama'!$A$5:$A$300,0)),"")</f>
        <v/>
      </c>
      <c r="I1008" s="2"/>
      <c r="J1008" s="2"/>
      <c r="K1008" s="2"/>
    </row>
    <row r="1009" spans="1:11" x14ac:dyDescent="0.3">
      <c r="A1009" s="5" t="str">
        <f>IF(D1009="","",COUNTIF($D$5:D1009,"?*"))</f>
        <v/>
      </c>
      <c r="B1009" s="6"/>
      <c r="C1009" s="5" t="str">
        <f>IF(B1009="","",INDEX({"Ocak","Şubat","Mart","Nisan","Mayıs","Haziran","Temmuz","Ağustos","Eylül","Ekim","Kasım","Aralık"},MONTH(B1009)))</f>
        <v/>
      </c>
      <c r="D1009" s="2"/>
      <c r="E1009" s="5" t="str">
        <f>IFERROR(INDEX('Malzeme Tanımlama'!$B$5:$B$300,MATCH(D1009,'Malzeme Tanımlama'!$A$5:$A$300,0)),"")</f>
        <v/>
      </c>
      <c r="F1009" s="2"/>
      <c r="G1009" s="5"/>
      <c r="H1009" s="5" t="str">
        <f>IFERROR(INDEX('Malzeme Tanımlama'!$D$5:$D$300,MATCH(D1009,'Malzeme Tanımlama'!$A$5:$A$300,0)),"")</f>
        <v/>
      </c>
      <c r="I1009" s="2"/>
      <c r="J1009" s="2"/>
      <c r="K1009" s="2"/>
    </row>
    <row r="1010" spans="1:11" x14ac:dyDescent="0.3">
      <c r="A1010" s="5" t="str">
        <f>IF(D1010="","",COUNTIF($D$5:D1010,"?*"))</f>
        <v/>
      </c>
      <c r="B1010" s="6"/>
      <c r="C1010" s="5" t="str">
        <f>IF(B1010="","",INDEX({"Ocak","Şubat","Mart","Nisan","Mayıs","Haziran","Temmuz","Ağustos","Eylül","Ekim","Kasım","Aralık"},MONTH(B1010)))</f>
        <v/>
      </c>
      <c r="D1010" s="2"/>
      <c r="E1010" s="5" t="str">
        <f>IFERROR(INDEX('Malzeme Tanımlama'!$B$5:$B$300,MATCH(D1010,'Malzeme Tanımlama'!$A$5:$A$300,0)),"")</f>
        <v/>
      </c>
      <c r="F1010" s="2"/>
      <c r="G1010" s="5"/>
      <c r="H1010" s="5" t="str">
        <f>IFERROR(INDEX('Malzeme Tanımlama'!$D$5:$D$300,MATCH(D1010,'Malzeme Tanımlama'!$A$5:$A$300,0)),"")</f>
        <v/>
      </c>
      <c r="I1010" s="2"/>
      <c r="J1010" s="2"/>
      <c r="K1010" s="2"/>
    </row>
    <row r="1011" spans="1:11" x14ac:dyDescent="0.3">
      <c r="A1011" s="5" t="str">
        <f>IF(D1011="","",COUNTIF($D$5:D1011,"?*"))</f>
        <v/>
      </c>
      <c r="B1011" s="6"/>
      <c r="C1011" s="5" t="str">
        <f>IF(B1011="","",INDEX({"Ocak","Şubat","Mart","Nisan","Mayıs","Haziran","Temmuz","Ağustos","Eylül","Ekim","Kasım","Aralık"},MONTH(B1011)))</f>
        <v/>
      </c>
      <c r="D1011" s="2"/>
      <c r="E1011" s="5" t="str">
        <f>IFERROR(INDEX('Malzeme Tanımlama'!$B$5:$B$300,MATCH(D1011,'Malzeme Tanımlama'!$A$5:$A$300,0)),"")</f>
        <v/>
      </c>
      <c r="F1011" s="2"/>
      <c r="G1011" s="5"/>
      <c r="H1011" s="5" t="str">
        <f>IFERROR(INDEX('Malzeme Tanımlama'!$D$5:$D$300,MATCH(D1011,'Malzeme Tanımlama'!$A$5:$A$300,0)),"")</f>
        <v/>
      </c>
      <c r="I1011" s="2"/>
      <c r="J1011" s="2"/>
      <c r="K1011" s="2"/>
    </row>
    <row r="1012" spans="1:11" x14ac:dyDescent="0.3">
      <c r="A1012" s="5" t="str">
        <f>IF(D1012="","",COUNTIF($D$5:D1012,"?*"))</f>
        <v/>
      </c>
      <c r="B1012" s="6"/>
      <c r="C1012" s="5" t="str">
        <f>IF(B1012="","",INDEX({"Ocak","Şubat","Mart","Nisan","Mayıs","Haziran","Temmuz","Ağustos","Eylül","Ekim","Kasım","Aralık"},MONTH(B1012)))</f>
        <v/>
      </c>
      <c r="D1012" s="2"/>
      <c r="E1012" s="5" t="str">
        <f>IFERROR(INDEX('Malzeme Tanımlama'!$B$5:$B$300,MATCH(D1012,'Malzeme Tanımlama'!$A$5:$A$300,0)),"")</f>
        <v/>
      </c>
      <c r="F1012" s="2"/>
      <c r="G1012" s="5"/>
      <c r="H1012" s="5" t="str">
        <f>IFERROR(INDEX('Malzeme Tanımlama'!$D$5:$D$300,MATCH(D1012,'Malzeme Tanımlama'!$A$5:$A$300,0)),"")</f>
        <v/>
      </c>
      <c r="I1012" s="2"/>
      <c r="J1012" s="2"/>
      <c r="K1012" s="2"/>
    </row>
    <row r="1013" spans="1:11" x14ac:dyDescent="0.3">
      <c r="A1013" s="5" t="str">
        <f>IF(D1013="","",COUNTIF($D$5:D1013,"?*"))</f>
        <v/>
      </c>
      <c r="B1013" s="6"/>
      <c r="C1013" s="5" t="str">
        <f>IF(B1013="","",INDEX({"Ocak","Şubat","Mart","Nisan","Mayıs","Haziran","Temmuz","Ağustos","Eylül","Ekim","Kasım","Aralık"},MONTH(B1013)))</f>
        <v/>
      </c>
      <c r="D1013" s="2"/>
      <c r="E1013" s="5" t="str">
        <f>IFERROR(INDEX('Malzeme Tanımlama'!$B$5:$B$300,MATCH(D1013,'Malzeme Tanımlama'!$A$5:$A$300,0)),"")</f>
        <v/>
      </c>
      <c r="F1013" s="2"/>
      <c r="G1013" s="5"/>
      <c r="H1013" s="5" t="str">
        <f>IFERROR(INDEX('Malzeme Tanımlama'!$D$5:$D$300,MATCH(D1013,'Malzeme Tanımlama'!$A$5:$A$300,0)),"")</f>
        <v/>
      </c>
      <c r="I1013" s="2"/>
      <c r="J1013" s="2"/>
      <c r="K1013" s="2"/>
    </row>
    <row r="1014" spans="1:11" x14ac:dyDescent="0.3">
      <c r="A1014" s="5" t="str">
        <f>IF(D1014="","",COUNTIF($D$5:D1014,"?*"))</f>
        <v/>
      </c>
      <c r="B1014" s="6"/>
      <c r="C1014" s="5" t="str">
        <f>IF(B1014="","",INDEX({"Ocak","Şubat","Mart","Nisan","Mayıs","Haziran","Temmuz","Ağustos","Eylül","Ekim","Kasım","Aralık"},MONTH(B1014)))</f>
        <v/>
      </c>
      <c r="D1014" s="2"/>
      <c r="E1014" s="5" t="str">
        <f>IFERROR(INDEX('Malzeme Tanımlama'!$B$5:$B$300,MATCH(D1014,'Malzeme Tanımlama'!$A$5:$A$300,0)),"")</f>
        <v/>
      </c>
      <c r="F1014" s="2"/>
      <c r="G1014" s="5"/>
      <c r="H1014" s="5" t="str">
        <f>IFERROR(INDEX('Malzeme Tanımlama'!$D$5:$D$300,MATCH(D1014,'Malzeme Tanımlama'!$A$5:$A$300,0)),"")</f>
        <v/>
      </c>
      <c r="I1014" s="2"/>
      <c r="J1014" s="2"/>
      <c r="K1014" s="2"/>
    </row>
    <row r="1015" spans="1:11" x14ac:dyDescent="0.3">
      <c r="A1015" s="5" t="str">
        <f>IF(D1015="","",COUNTIF($D$5:D1015,"?*"))</f>
        <v/>
      </c>
      <c r="B1015" s="6"/>
      <c r="C1015" s="5" t="str">
        <f>IF(B1015="","",INDEX({"Ocak","Şubat","Mart","Nisan","Mayıs","Haziran","Temmuz","Ağustos","Eylül","Ekim","Kasım","Aralık"},MONTH(B1015)))</f>
        <v/>
      </c>
      <c r="D1015" s="2"/>
      <c r="E1015" s="5" t="str">
        <f>IFERROR(INDEX('Malzeme Tanımlama'!$B$5:$B$300,MATCH(D1015,'Malzeme Tanımlama'!$A$5:$A$300,0)),"")</f>
        <v/>
      </c>
      <c r="F1015" s="2"/>
      <c r="G1015" s="5"/>
      <c r="H1015" s="5" t="str">
        <f>IFERROR(INDEX('Malzeme Tanımlama'!$D$5:$D$300,MATCH(D1015,'Malzeme Tanımlama'!$A$5:$A$300,0)),"")</f>
        <v/>
      </c>
      <c r="I1015" s="2"/>
      <c r="J1015" s="2"/>
      <c r="K1015" s="2"/>
    </row>
    <row r="1016" spans="1:11" x14ac:dyDescent="0.3">
      <c r="A1016" s="5" t="str">
        <f>IF(D1016="","",COUNTIF($D$5:D1016,"?*"))</f>
        <v/>
      </c>
      <c r="B1016" s="6"/>
      <c r="C1016" s="5" t="str">
        <f>IF(B1016="","",INDEX({"Ocak","Şubat","Mart","Nisan","Mayıs","Haziran","Temmuz","Ağustos","Eylül","Ekim","Kasım","Aralık"},MONTH(B1016)))</f>
        <v/>
      </c>
      <c r="D1016" s="2"/>
      <c r="E1016" s="5" t="str">
        <f>IFERROR(INDEX('Malzeme Tanımlama'!$B$5:$B$300,MATCH(D1016,'Malzeme Tanımlama'!$A$5:$A$300,0)),"")</f>
        <v/>
      </c>
      <c r="F1016" s="2"/>
      <c r="G1016" s="5"/>
      <c r="H1016" s="5" t="str">
        <f>IFERROR(INDEX('Malzeme Tanımlama'!$D$5:$D$300,MATCH(D1016,'Malzeme Tanımlama'!$A$5:$A$300,0)),"")</f>
        <v/>
      </c>
      <c r="I1016" s="2"/>
      <c r="J1016" s="2"/>
      <c r="K1016" s="2"/>
    </row>
    <row r="1017" spans="1:11" x14ac:dyDescent="0.3">
      <c r="A1017" s="5" t="str">
        <f>IF(D1017="","",COUNTIF($D$5:D1017,"?*"))</f>
        <v/>
      </c>
      <c r="B1017" s="6"/>
      <c r="C1017" s="5" t="str">
        <f>IF(B1017="","",INDEX({"Ocak","Şubat","Mart","Nisan","Mayıs","Haziran","Temmuz","Ağustos","Eylül","Ekim","Kasım","Aralık"},MONTH(B1017)))</f>
        <v/>
      </c>
      <c r="D1017" s="2"/>
      <c r="E1017" s="5" t="str">
        <f>IFERROR(INDEX('Malzeme Tanımlama'!$B$5:$B$300,MATCH(D1017,'Malzeme Tanımlama'!$A$5:$A$300,0)),"")</f>
        <v/>
      </c>
      <c r="F1017" s="2"/>
      <c r="G1017" s="5"/>
      <c r="H1017" s="5" t="str">
        <f>IFERROR(INDEX('Malzeme Tanımlama'!$D$5:$D$300,MATCH(D1017,'Malzeme Tanımlama'!$A$5:$A$300,0)),"")</f>
        <v/>
      </c>
      <c r="I1017" s="2"/>
      <c r="J1017" s="2"/>
      <c r="K1017" s="2"/>
    </row>
    <row r="1018" spans="1:11" x14ac:dyDescent="0.3">
      <c r="A1018" s="5" t="str">
        <f>IF(D1018="","",COUNTIF($D$5:D1018,"?*"))</f>
        <v/>
      </c>
      <c r="B1018" s="6"/>
      <c r="C1018" s="5" t="str">
        <f>IF(B1018="","",INDEX({"Ocak","Şubat","Mart","Nisan","Mayıs","Haziran","Temmuz","Ağustos","Eylül","Ekim","Kasım","Aralık"},MONTH(B1018)))</f>
        <v/>
      </c>
      <c r="D1018" s="2"/>
      <c r="E1018" s="5" t="str">
        <f>IFERROR(INDEX('Malzeme Tanımlama'!$B$5:$B$300,MATCH(D1018,'Malzeme Tanımlama'!$A$5:$A$300,0)),"")</f>
        <v/>
      </c>
      <c r="F1018" s="2"/>
      <c r="G1018" s="5"/>
      <c r="H1018" s="5" t="str">
        <f>IFERROR(INDEX('Malzeme Tanımlama'!$D$5:$D$300,MATCH(D1018,'Malzeme Tanımlama'!$A$5:$A$300,0)),"")</f>
        <v/>
      </c>
      <c r="I1018" s="2"/>
      <c r="J1018" s="2"/>
      <c r="K1018" s="2"/>
    </row>
    <row r="1019" spans="1:11" x14ac:dyDescent="0.3">
      <c r="A1019" s="5" t="str">
        <f>IF(D1019="","",COUNTIF($D$5:D1019,"?*"))</f>
        <v/>
      </c>
      <c r="B1019" s="6"/>
      <c r="C1019" s="5" t="str">
        <f>IF(B1019="","",INDEX({"Ocak","Şubat","Mart","Nisan","Mayıs","Haziran","Temmuz","Ağustos","Eylül","Ekim","Kasım","Aralık"},MONTH(B1019)))</f>
        <v/>
      </c>
      <c r="D1019" s="2"/>
      <c r="E1019" s="5" t="str">
        <f>IFERROR(INDEX('Malzeme Tanımlama'!$B$5:$B$300,MATCH(D1019,'Malzeme Tanımlama'!$A$5:$A$300,0)),"")</f>
        <v/>
      </c>
      <c r="F1019" s="2"/>
      <c r="G1019" s="5"/>
      <c r="H1019" s="5" t="str">
        <f>IFERROR(INDEX('Malzeme Tanımlama'!$D$5:$D$300,MATCH(D1019,'Malzeme Tanımlama'!$A$5:$A$300,0)),"")</f>
        <v/>
      </c>
      <c r="I1019" s="2"/>
      <c r="J1019" s="2"/>
      <c r="K1019" s="2"/>
    </row>
    <row r="1020" spans="1:11" x14ac:dyDescent="0.3">
      <c r="A1020" s="5" t="str">
        <f>IF(D1020="","",COUNTIF($D$5:D1020,"?*"))</f>
        <v/>
      </c>
      <c r="B1020" s="6"/>
      <c r="C1020" s="5" t="str">
        <f>IF(B1020="","",INDEX({"Ocak","Şubat","Mart","Nisan","Mayıs","Haziran","Temmuz","Ağustos","Eylül","Ekim","Kasım","Aralık"},MONTH(B1020)))</f>
        <v/>
      </c>
      <c r="D1020" s="2"/>
      <c r="E1020" s="5" t="str">
        <f>IFERROR(INDEX('Malzeme Tanımlama'!$B$5:$B$300,MATCH(D1020,'Malzeme Tanımlama'!$A$5:$A$300,0)),"")</f>
        <v/>
      </c>
      <c r="F1020" s="2"/>
      <c r="G1020" s="5"/>
      <c r="H1020" s="5" t="str">
        <f>IFERROR(INDEX('Malzeme Tanımlama'!$D$5:$D$300,MATCH(D1020,'Malzeme Tanımlama'!$A$5:$A$300,0)),"")</f>
        <v/>
      </c>
      <c r="I1020" s="2"/>
      <c r="J1020" s="2"/>
      <c r="K1020" s="2"/>
    </row>
    <row r="1021" spans="1:11" x14ac:dyDescent="0.3">
      <c r="A1021" s="5" t="str">
        <f>IF(D1021="","",COUNTIF($D$5:D1021,"?*"))</f>
        <v/>
      </c>
      <c r="B1021" s="6"/>
      <c r="C1021" s="5" t="str">
        <f>IF(B1021="","",INDEX({"Ocak","Şubat","Mart","Nisan","Mayıs","Haziran","Temmuz","Ağustos","Eylül","Ekim","Kasım","Aralık"},MONTH(B1021)))</f>
        <v/>
      </c>
      <c r="D1021" s="2"/>
      <c r="E1021" s="5" t="str">
        <f>IFERROR(INDEX('Malzeme Tanımlama'!$B$5:$B$300,MATCH(D1021,'Malzeme Tanımlama'!$A$5:$A$300,0)),"")</f>
        <v/>
      </c>
      <c r="F1021" s="2"/>
      <c r="G1021" s="5"/>
      <c r="H1021" s="5" t="str">
        <f>IFERROR(INDEX('Malzeme Tanımlama'!$D$5:$D$300,MATCH(D1021,'Malzeme Tanımlama'!$A$5:$A$300,0)),"")</f>
        <v/>
      </c>
      <c r="I1021" s="2"/>
      <c r="J1021" s="2"/>
      <c r="K1021" s="2"/>
    </row>
    <row r="1022" spans="1:11" x14ac:dyDescent="0.3">
      <c r="A1022" s="5" t="str">
        <f>IF(D1022="","",COUNTIF($D$5:D1022,"?*"))</f>
        <v/>
      </c>
      <c r="B1022" s="6"/>
      <c r="C1022" s="5" t="str">
        <f>IF(B1022="","",INDEX({"Ocak","Şubat","Mart","Nisan","Mayıs","Haziran","Temmuz","Ağustos","Eylül","Ekim","Kasım","Aralık"},MONTH(B1022)))</f>
        <v/>
      </c>
      <c r="D1022" s="2"/>
      <c r="E1022" s="5" t="str">
        <f>IFERROR(INDEX('Malzeme Tanımlama'!$B$5:$B$300,MATCH(D1022,'Malzeme Tanımlama'!$A$5:$A$300,0)),"")</f>
        <v/>
      </c>
      <c r="F1022" s="2"/>
      <c r="G1022" s="5"/>
      <c r="H1022" s="5" t="str">
        <f>IFERROR(INDEX('Malzeme Tanımlama'!$D$5:$D$300,MATCH(D1022,'Malzeme Tanımlama'!$A$5:$A$300,0)),"")</f>
        <v/>
      </c>
      <c r="I1022" s="2"/>
      <c r="J1022" s="2"/>
      <c r="K1022" s="2"/>
    </row>
    <row r="1023" spans="1:11" x14ac:dyDescent="0.3">
      <c r="A1023" s="5" t="str">
        <f>IF(D1023="","",COUNTIF($D$5:D1023,"?*"))</f>
        <v/>
      </c>
      <c r="B1023" s="6"/>
      <c r="C1023" s="5" t="str">
        <f>IF(B1023="","",INDEX({"Ocak","Şubat","Mart","Nisan","Mayıs","Haziran","Temmuz","Ağustos","Eylül","Ekim","Kasım","Aralık"},MONTH(B1023)))</f>
        <v/>
      </c>
      <c r="D1023" s="2"/>
      <c r="E1023" s="5" t="str">
        <f>IFERROR(INDEX('Malzeme Tanımlama'!$B$5:$B$300,MATCH(D1023,'Malzeme Tanımlama'!$A$5:$A$300,0)),"")</f>
        <v/>
      </c>
      <c r="F1023" s="2"/>
      <c r="G1023" s="5"/>
      <c r="H1023" s="5" t="str">
        <f>IFERROR(INDEX('Malzeme Tanımlama'!$D$5:$D$300,MATCH(D1023,'Malzeme Tanımlama'!$A$5:$A$300,0)),"")</f>
        <v/>
      </c>
      <c r="I1023" s="2"/>
      <c r="J1023" s="2"/>
      <c r="K1023" s="2"/>
    </row>
    <row r="1024" spans="1:11" x14ac:dyDescent="0.3">
      <c r="A1024" s="5" t="str">
        <f>IF(D1024="","",COUNTIF($D$5:D1024,"?*"))</f>
        <v/>
      </c>
      <c r="B1024" s="6"/>
      <c r="C1024" s="5" t="str">
        <f>IF(B1024="","",INDEX({"Ocak","Şubat","Mart","Nisan","Mayıs","Haziran","Temmuz","Ağustos","Eylül","Ekim","Kasım","Aralık"},MONTH(B1024)))</f>
        <v/>
      </c>
      <c r="D1024" s="2"/>
      <c r="E1024" s="5" t="str">
        <f>IFERROR(INDEX('Malzeme Tanımlama'!$B$5:$B$300,MATCH(D1024,'Malzeme Tanımlama'!$A$5:$A$300,0)),"")</f>
        <v/>
      </c>
      <c r="F1024" s="2"/>
      <c r="G1024" s="5"/>
      <c r="H1024" s="5" t="str">
        <f>IFERROR(INDEX('Malzeme Tanımlama'!$D$5:$D$300,MATCH(D1024,'Malzeme Tanımlama'!$A$5:$A$300,0)),"")</f>
        <v/>
      </c>
      <c r="I1024" s="2"/>
      <c r="J1024" s="2"/>
      <c r="K1024" s="2"/>
    </row>
    <row r="1025" spans="1:11" x14ac:dyDescent="0.3">
      <c r="A1025" s="5" t="str">
        <f>IF(D1025="","",COUNTIF($D$5:D1025,"?*"))</f>
        <v/>
      </c>
      <c r="B1025" s="6"/>
      <c r="C1025" s="5" t="str">
        <f>IF(B1025="","",INDEX({"Ocak","Şubat","Mart","Nisan","Mayıs","Haziran","Temmuz","Ağustos","Eylül","Ekim","Kasım","Aralık"},MONTH(B1025)))</f>
        <v/>
      </c>
      <c r="D1025" s="2"/>
      <c r="E1025" s="5" t="str">
        <f>IFERROR(INDEX('Malzeme Tanımlama'!$B$5:$B$300,MATCH(D1025,'Malzeme Tanımlama'!$A$5:$A$300,0)),"")</f>
        <v/>
      </c>
      <c r="F1025" s="2"/>
      <c r="G1025" s="5"/>
      <c r="H1025" s="5" t="str">
        <f>IFERROR(INDEX('Malzeme Tanımlama'!$D$5:$D$300,MATCH(D1025,'Malzeme Tanımlama'!$A$5:$A$300,0)),"")</f>
        <v/>
      </c>
      <c r="I1025" s="2"/>
      <c r="J1025" s="2"/>
      <c r="K1025" s="2"/>
    </row>
    <row r="1026" spans="1:11" x14ac:dyDescent="0.3">
      <c r="A1026" s="5" t="str">
        <f>IF(D1026="","",COUNTIF($D$5:D1026,"?*"))</f>
        <v/>
      </c>
      <c r="B1026" s="6"/>
      <c r="C1026" s="5" t="str">
        <f>IF(B1026="","",INDEX({"Ocak","Şubat","Mart","Nisan","Mayıs","Haziran","Temmuz","Ağustos","Eylül","Ekim","Kasım","Aralık"},MONTH(B1026)))</f>
        <v/>
      </c>
      <c r="D1026" s="2"/>
      <c r="E1026" s="5" t="str">
        <f>IFERROR(INDEX('Malzeme Tanımlama'!$B$5:$B$300,MATCH(D1026,'Malzeme Tanımlama'!$A$5:$A$300,0)),"")</f>
        <v/>
      </c>
      <c r="F1026" s="2"/>
      <c r="G1026" s="5"/>
      <c r="H1026" s="5" t="str">
        <f>IFERROR(INDEX('Malzeme Tanımlama'!$D$5:$D$300,MATCH(D1026,'Malzeme Tanımlama'!$A$5:$A$300,0)),"")</f>
        <v/>
      </c>
      <c r="I1026" s="2"/>
      <c r="J1026" s="2"/>
      <c r="K1026" s="2"/>
    </row>
    <row r="1027" spans="1:11" x14ac:dyDescent="0.3">
      <c r="A1027" s="5" t="str">
        <f>IF(D1027="","",COUNTIF($D$5:D1027,"?*"))</f>
        <v/>
      </c>
      <c r="B1027" s="6"/>
      <c r="C1027" s="5" t="str">
        <f>IF(B1027="","",INDEX({"Ocak","Şubat","Mart","Nisan","Mayıs","Haziran","Temmuz","Ağustos","Eylül","Ekim","Kasım","Aralık"},MONTH(B1027)))</f>
        <v/>
      </c>
      <c r="D1027" s="2"/>
      <c r="E1027" s="5" t="str">
        <f>IFERROR(INDEX('Malzeme Tanımlama'!$B$5:$B$300,MATCH(D1027,'Malzeme Tanımlama'!$A$5:$A$300,0)),"")</f>
        <v/>
      </c>
      <c r="F1027" s="2"/>
      <c r="G1027" s="5"/>
      <c r="H1027" s="5" t="str">
        <f>IFERROR(INDEX('Malzeme Tanımlama'!$D$5:$D$300,MATCH(D1027,'Malzeme Tanımlama'!$A$5:$A$300,0)),"")</f>
        <v/>
      </c>
      <c r="I1027" s="2"/>
      <c r="J1027" s="2"/>
      <c r="K1027" s="2"/>
    </row>
    <row r="1028" spans="1:11" x14ac:dyDescent="0.3">
      <c r="A1028" s="5" t="str">
        <f>IF(D1028="","",COUNTIF($D$5:D1028,"?*"))</f>
        <v/>
      </c>
      <c r="B1028" s="6"/>
      <c r="C1028" s="5" t="str">
        <f>IF(B1028="","",INDEX({"Ocak","Şubat","Mart","Nisan","Mayıs","Haziran","Temmuz","Ağustos","Eylül","Ekim","Kasım","Aralık"},MONTH(B1028)))</f>
        <v/>
      </c>
      <c r="D1028" s="2"/>
      <c r="E1028" s="5" t="str">
        <f>IFERROR(INDEX('Malzeme Tanımlama'!$B$5:$B$300,MATCH(D1028,'Malzeme Tanımlama'!$A$5:$A$300,0)),"")</f>
        <v/>
      </c>
      <c r="F1028" s="2"/>
      <c r="G1028" s="5"/>
      <c r="H1028" s="5" t="str">
        <f>IFERROR(INDEX('Malzeme Tanımlama'!$D$5:$D$300,MATCH(D1028,'Malzeme Tanımlama'!$A$5:$A$300,0)),"")</f>
        <v/>
      </c>
      <c r="I1028" s="2"/>
      <c r="J1028" s="2"/>
      <c r="K1028" s="2"/>
    </row>
    <row r="1029" spans="1:11" x14ac:dyDescent="0.3">
      <c r="A1029" s="5" t="str">
        <f>IF(D1029="","",COUNTIF($D$5:D1029,"?*"))</f>
        <v/>
      </c>
      <c r="B1029" s="6"/>
      <c r="C1029" s="5" t="str">
        <f>IF(B1029="","",INDEX({"Ocak","Şubat","Mart","Nisan","Mayıs","Haziran","Temmuz","Ağustos","Eylül","Ekim","Kasım","Aralık"},MONTH(B1029)))</f>
        <v/>
      </c>
      <c r="D1029" s="2"/>
      <c r="E1029" s="5" t="str">
        <f>IFERROR(INDEX('Malzeme Tanımlama'!$B$5:$B$300,MATCH(D1029,'Malzeme Tanımlama'!$A$5:$A$300,0)),"")</f>
        <v/>
      </c>
      <c r="F1029" s="2"/>
      <c r="G1029" s="5"/>
      <c r="H1029" s="5" t="str">
        <f>IFERROR(INDEX('Malzeme Tanımlama'!$D$5:$D$300,MATCH(D1029,'Malzeme Tanımlama'!$A$5:$A$300,0)),"")</f>
        <v/>
      </c>
      <c r="I1029" s="2"/>
      <c r="J1029" s="2"/>
      <c r="K1029" s="2"/>
    </row>
    <row r="1030" spans="1:11" x14ac:dyDescent="0.3">
      <c r="A1030" s="5" t="str">
        <f>IF(D1030="","",COUNTIF($D$5:D1030,"?*"))</f>
        <v/>
      </c>
      <c r="B1030" s="6"/>
      <c r="C1030" s="5" t="str">
        <f>IF(B1030="","",INDEX({"Ocak","Şubat","Mart","Nisan","Mayıs","Haziran","Temmuz","Ağustos","Eylül","Ekim","Kasım","Aralık"},MONTH(B1030)))</f>
        <v/>
      </c>
      <c r="D1030" s="2"/>
      <c r="E1030" s="5" t="str">
        <f>IFERROR(INDEX('Malzeme Tanımlama'!$B$5:$B$300,MATCH(D1030,'Malzeme Tanımlama'!$A$5:$A$300,0)),"")</f>
        <v/>
      </c>
      <c r="F1030" s="2"/>
      <c r="G1030" s="5"/>
      <c r="H1030" s="5" t="str">
        <f>IFERROR(INDEX('Malzeme Tanımlama'!$D$5:$D$300,MATCH(D1030,'Malzeme Tanımlama'!$A$5:$A$300,0)),"")</f>
        <v/>
      </c>
      <c r="I1030" s="2"/>
      <c r="J1030" s="2"/>
      <c r="K1030" s="2"/>
    </row>
    <row r="1031" spans="1:11" x14ac:dyDescent="0.3">
      <c r="A1031" s="5" t="str">
        <f>IF(D1031="","",COUNTIF($D$5:D1031,"?*"))</f>
        <v/>
      </c>
      <c r="B1031" s="6"/>
      <c r="C1031" s="5" t="str">
        <f>IF(B1031="","",INDEX({"Ocak","Şubat","Mart","Nisan","Mayıs","Haziran","Temmuz","Ağustos","Eylül","Ekim","Kasım","Aralık"},MONTH(B1031)))</f>
        <v/>
      </c>
      <c r="D1031" s="2"/>
      <c r="E1031" s="5" t="str">
        <f>IFERROR(INDEX('Malzeme Tanımlama'!$B$5:$B$300,MATCH(D1031,'Malzeme Tanımlama'!$A$5:$A$300,0)),"")</f>
        <v/>
      </c>
      <c r="F1031" s="2"/>
      <c r="G1031" s="5"/>
      <c r="H1031" s="5" t="str">
        <f>IFERROR(INDEX('Malzeme Tanımlama'!$D$5:$D$300,MATCH(D1031,'Malzeme Tanımlama'!$A$5:$A$300,0)),"")</f>
        <v/>
      </c>
      <c r="I1031" s="2"/>
      <c r="J1031" s="2"/>
      <c r="K1031" s="2"/>
    </row>
    <row r="1032" spans="1:11" x14ac:dyDescent="0.3">
      <c r="A1032" s="5" t="str">
        <f>IF(D1032="","",COUNTIF($D$5:D1032,"?*"))</f>
        <v/>
      </c>
      <c r="B1032" s="6"/>
      <c r="C1032" s="5" t="str">
        <f>IF(B1032="","",INDEX({"Ocak","Şubat","Mart","Nisan","Mayıs","Haziran","Temmuz","Ağustos","Eylül","Ekim","Kasım","Aralık"},MONTH(B1032)))</f>
        <v/>
      </c>
      <c r="D1032" s="2"/>
      <c r="E1032" s="5" t="str">
        <f>IFERROR(INDEX('Malzeme Tanımlama'!$B$5:$B$300,MATCH(D1032,'Malzeme Tanımlama'!$A$5:$A$300,0)),"")</f>
        <v/>
      </c>
      <c r="F1032" s="2"/>
      <c r="G1032" s="5"/>
      <c r="H1032" s="5" t="str">
        <f>IFERROR(INDEX('Malzeme Tanımlama'!$D$5:$D$300,MATCH(D1032,'Malzeme Tanımlama'!$A$5:$A$300,0)),"")</f>
        <v/>
      </c>
      <c r="I1032" s="2"/>
      <c r="J1032" s="2"/>
      <c r="K1032" s="2"/>
    </row>
    <row r="1033" spans="1:11" x14ac:dyDescent="0.3">
      <c r="A1033" s="5" t="str">
        <f>IF(D1033="","",COUNTIF($D$5:D1033,"?*"))</f>
        <v/>
      </c>
      <c r="B1033" s="6"/>
      <c r="C1033" s="5" t="str">
        <f>IF(B1033="","",INDEX({"Ocak","Şubat","Mart","Nisan","Mayıs","Haziran","Temmuz","Ağustos","Eylül","Ekim","Kasım","Aralık"},MONTH(B1033)))</f>
        <v/>
      </c>
      <c r="D1033" s="2"/>
      <c r="E1033" s="5" t="str">
        <f>IFERROR(INDEX('Malzeme Tanımlama'!$B$5:$B$300,MATCH(D1033,'Malzeme Tanımlama'!$A$5:$A$300,0)),"")</f>
        <v/>
      </c>
      <c r="F1033" s="2"/>
      <c r="G1033" s="5"/>
      <c r="H1033" s="5" t="str">
        <f>IFERROR(INDEX('Malzeme Tanımlama'!$D$5:$D$300,MATCH(D1033,'Malzeme Tanımlama'!$A$5:$A$300,0)),"")</f>
        <v/>
      </c>
      <c r="I1033" s="2"/>
      <c r="J1033" s="2"/>
      <c r="K1033" s="2"/>
    </row>
    <row r="1034" spans="1:11" x14ac:dyDescent="0.3">
      <c r="A1034" s="5" t="str">
        <f>IF(D1034="","",COUNTIF($D$5:D1034,"?*"))</f>
        <v/>
      </c>
      <c r="B1034" s="6"/>
      <c r="C1034" s="5" t="str">
        <f>IF(B1034="","",INDEX({"Ocak","Şubat","Mart","Nisan","Mayıs","Haziran","Temmuz","Ağustos","Eylül","Ekim","Kasım","Aralık"},MONTH(B1034)))</f>
        <v/>
      </c>
      <c r="D1034" s="2"/>
      <c r="E1034" s="5" t="str">
        <f>IFERROR(INDEX('Malzeme Tanımlama'!$B$5:$B$300,MATCH(D1034,'Malzeme Tanımlama'!$A$5:$A$300,0)),"")</f>
        <v/>
      </c>
      <c r="F1034" s="2"/>
      <c r="G1034" s="5"/>
      <c r="H1034" s="5" t="str">
        <f>IFERROR(INDEX('Malzeme Tanımlama'!$D$5:$D$300,MATCH(D1034,'Malzeme Tanımlama'!$A$5:$A$300,0)),"")</f>
        <v/>
      </c>
      <c r="I1034" s="2"/>
      <c r="J1034" s="2"/>
      <c r="K1034" s="2"/>
    </row>
    <row r="1035" spans="1:11" x14ac:dyDescent="0.3">
      <c r="A1035" s="5" t="str">
        <f>IF(D1035="","",COUNTIF($D$5:D1035,"?*"))</f>
        <v/>
      </c>
      <c r="B1035" s="6"/>
      <c r="C1035" s="5" t="str">
        <f>IF(B1035="","",INDEX({"Ocak","Şubat","Mart","Nisan","Mayıs","Haziran","Temmuz","Ağustos","Eylül","Ekim","Kasım","Aralık"},MONTH(B1035)))</f>
        <v/>
      </c>
      <c r="D1035" s="2"/>
      <c r="E1035" s="5" t="str">
        <f>IFERROR(INDEX('Malzeme Tanımlama'!$B$5:$B$300,MATCH(D1035,'Malzeme Tanımlama'!$A$5:$A$300,0)),"")</f>
        <v/>
      </c>
      <c r="F1035" s="2"/>
      <c r="G1035" s="5"/>
      <c r="H1035" s="5" t="str">
        <f>IFERROR(INDEX('Malzeme Tanımlama'!$D$5:$D$300,MATCH(D1035,'Malzeme Tanımlama'!$A$5:$A$300,0)),"")</f>
        <v/>
      </c>
      <c r="I1035" s="2"/>
      <c r="J1035" s="2"/>
      <c r="K1035" s="2"/>
    </row>
    <row r="1036" spans="1:11" x14ac:dyDescent="0.3">
      <c r="A1036" s="5" t="str">
        <f>IF(D1036="","",COUNTIF($D$5:D1036,"?*"))</f>
        <v/>
      </c>
      <c r="B1036" s="6"/>
      <c r="C1036" s="5" t="str">
        <f>IF(B1036="","",INDEX({"Ocak","Şubat","Mart","Nisan","Mayıs","Haziran","Temmuz","Ağustos","Eylül","Ekim","Kasım","Aralık"},MONTH(B1036)))</f>
        <v/>
      </c>
      <c r="D1036" s="2"/>
      <c r="E1036" s="5" t="str">
        <f>IFERROR(INDEX('Malzeme Tanımlama'!$B$5:$B$300,MATCH(D1036,'Malzeme Tanımlama'!$A$5:$A$300,0)),"")</f>
        <v/>
      </c>
      <c r="F1036" s="2"/>
      <c r="G1036" s="5"/>
      <c r="H1036" s="5" t="str">
        <f>IFERROR(INDEX('Malzeme Tanımlama'!$D$5:$D$300,MATCH(D1036,'Malzeme Tanımlama'!$A$5:$A$300,0)),"")</f>
        <v/>
      </c>
      <c r="I1036" s="2"/>
      <c r="J1036" s="2"/>
      <c r="K1036" s="2"/>
    </row>
    <row r="1037" spans="1:11" x14ac:dyDescent="0.3">
      <c r="A1037" s="5" t="str">
        <f>IF(D1037="","",COUNTIF($D$5:D1037,"?*"))</f>
        <v/>
      </c>
      <c r="B1037" s="6"/>
      <c r="C1037" s="5" t="str">
        <f>IF(B1037="","",INDEX({"Ocak","Şubat","Mart","Nisan","Mayıs","Haziran","Temmuz","Ağustos","Eylül","Ekim","Kasım","Aralık"},MONTH(B1037)))</f>
        <v/>
      </c>
      <c r="D1037" s="2"/>
      <c r="E1037" s="5" t="str">
        <f>IFERROR(INDEX('Malzeme Tanımlama'!$B$5:$B$300,MATCH(D1037,'Malzeme Tanımlama'!$A$5:$A$300,0)),"")</f>
        <v/>
      </c>
      <c r="F1037" s="2"/>
      <c r="G1037" s="5"/>
      <c r="H1037" s="5" t="str">
        <f>IFERROR(INDEX('Malzeme Tanımlama'!$D$5:$D$300,MATCH(D1037,'Malzeme Tanımlama'!$A$5:$A$300,0)),"")</f>
        <v/>
      </c>
      <c r="I1037" s="2"/>
      <c r="J1037" s="2"/>
      <c r="K1037" s="2"/>
    </row>
    <row r="1038" spans="1:11" x14ac:dyDescent="0.3">
      <c r="A1038" s="5" t="str">
        <f>IF(D1038="","",COUNTIF($D$5:D1038,"?*"))</f>
        <v/>
      </c>
      <c r="B1038" s="6"/>
      <c r="C1038" s="5" t="str">
        <f>IF(B1038="","",INDEX({"Ocak","Şubat","Mart","Nisan","Mayıs","Haziran","Temmuz","Ağustos","Eylül","Ekim","Kasım","Aralık"},MONTH(B1038)))</f>
        <v/>
      </c>
      <c r="D1038" s="2"/>
      <c r="E1038" s="5" t="str">
        <f>IFERROR(INDEX('Malzeme Tanımlama'!$B$5:$B$300,MATCH(D1038,'Malzeme Tanımlama'!$A$5:$A$300,0)),"")</f>
        <v/>
      </c>
      <c r="F1038" s="2"/>
      <c r="G1038" s="5"/>
      <c r="H1038" s="5" t="str">
        <f>IFERROR(INDEX('Malzeme Tanımlama'!$D$5:$D$300,MATCH(D1038,'Malzeme Tanımlama'!$A$5:$A$300,0)),"")</f>
        <v/>
      </c>
      <c r="I1038" s="2"/>
      <c r="J1038" s="2"/>
      <c r="K1038" s="2"/>
    </row>
    <row r="1039" spans="1:11" x14ac:dyDescent="0.3">
      <c r="A1039" s="5" t="str">
        <f>IF(D1039="","",COUNTIF($D$5:D1039,"?*"))</f>
        <v/>
      </c>
      <c r="B1039" s="6"/>
      <c r="C1039" s="5" t="str">
        <f>IF(B1039="","",INDEX({"Ocak","Şubat","Mart","Nisan","Mayıs","Haziran","Temmuz","Ağustos","Eylül","Ekim","Kasım","Aralık"},MONTH(B1039)))</f>
        <v/>
      </c>
      <c r="D1039" s="2"/>
      <c r="E1039" s="5" t="str">
        <f>IFERROR(INDEX('Malzeme Tanımlama'!$B$5:$B$300,MATCH(D1039,'Malzeme Tanımlama'!$A$5:$A$300,0)),"")</f>
        <v/>
      </c>
      <c r="F1039" s="2"/>
      <c r="G1039" s="5"/>
      <c r="H1039" s="5" t="str">
        <f>IFERROR(INDEX('Malzeme Tanımlama'!$D$5:$D$300,MATCH(D1039,'Malzeme Tanımlama'!$A$5:$A$300,0)),"")</f>
        <v/>
      </c>
      <c r="I1039" s="2"/>
      <c r="J1039" s="2"/>
      <c r="K1039" s="2"/>
    </row>
    <row r="1040" spans="1:11" x14ac:dyDescent="0.3">
      <c r="A1040" s="5" t="str">
        <f>IF(D1040="","",COUNTIF($D$5:D1040,"?*"))</f>
        <v/>
      </c>
      <c r="B1040" s="6"/>
      <c r="C1040" s="5" t="str">
        <f>IF(B1040="","",INDEX({"Ocak","Şubat","Mart","Nisan","Mayıs","Haziran","Temmuz","Ağustos","Eylül","Ekim","Kasım","Aralık"},MONTH(B1040)))</f>
        <v/>
      </c>
      <c r="D1040" s="2"/>
      <c r="E1040" s="5" t="str">
        <f>IFERROR(INDEX('Malzeme Tanımlama'!$B$5:$B$300,MATCH(D1040,'Malzeme Tanımlama'!$A$5:$A$300,0)),"")</f>
        <v/>
      </c>
      <c r="F1040" s="2"/>
      <c r="G1040" s="5"/>
      <c r="H1040" s="5" t="str">
        <f>IFERROR(INDEX('Malzeme Tanımlama'!$D$5:$D$300,MATCH(D1040,'Malzeme Tanımlama'!$A$5:$A$300,0)),"")</f>
        <v/>
      </c>
      <c r="I1040" s="2"/>
      <c r="J1040" s="2"/>
      <c r="K1040" s="2"/>
    </row>
    <row r="1041" spans="1:11" x14ac:dyDescent="0.3">
      <c r="A1041" s="5" t="str">
        <f>IF(D1041="","",COUNTIF($D$5:D1041,"?*"))</f>
        <v/>
      </c>
      <c r="B1041" s="6"/>
      <c r="C1041" s="5" t="str">
        <f>IF(B1041="","",INDEX({"Ocak","Şubat","Mart","Nisan","Mayıs","Haziran","Temmuz","Ağustos","Eylül","Ekim","Kasım","Aralık"},MONTH(B1041)))</f>
        <v/>
      </c>
      <c r="D1041" s="2"/>
      <c r="E1041" s="5" t="str">
        <f>IFERROR(INDEX('Malzeme Tanımlama'!$B$5:$B$300,MATCH(D1041,'Malzeme Tanımlama'!$A$5:$A$300,0)),"")</f>
        <v/>
      </c>
      <c r="F1041" s="2"/>
      <c r="G1041" s="5"/>
      <c r="H1041" s="5" t="str">
        <f>IFERROR(INDEX('Malzeme Tanımlama'!$D$5:$D$300,MATCH(D1041,'Malzeme Tanımlama'!$A$5:$A$300,0)),"")</f>
        <v/>
      </c>
      <c r="I1041" s="2"/>
      <c r="J1041" s="2"/>
      <c r="K1041" s="2"/>
    </row>
    <row r="1042" spans="1:11" x14ac:dyDescent="0.3">
      <c r="A1042" s="5" t="str">
        <f>IF(D1042="","",COUNTIF($D$5:D1042,"?*"))</f>
        <v/>
      </c>
      <c r="B1042" s="6"/>
      <c r="C1042" s="5" t="str">
        <f>IF(B1042="","",INDEX({"Ocak","Şubat","Mart","Nisan","Mayıs","Haziran","Temmuz","Ağustos","Eylül","Ekim","Kasım","Aralık"},MONTH(B1042)))</f>
        <v/>
      </c>
      <c r="D1042" s="2"/>
      <c r="E1042" s="5" t="str">
        <f>IFERROR(INDEX('Malzeme Tanımlama'!$B$5:$B$300,MATCH(D1042,'Malzeme Tanımlama'!$A$5:$A$300,0)),"")</f>
        <v/>
      </c>
      <c r="F1042" s="2"/>
      <c r="G1042" s="5"/>
      <c r="H1042" s="5" t="str">
        <f>IFERROR(INDEX('Malzeme Tanımlama'!$D$5:$D$300,MATCH(D1042,'Malzeme Tanımlama'!$A$5:$A$300,0)),"")</f>
        <v/>
      </c>
      <c r="I1042" s="2"/>
      <c r="J1042" s="2"/>
      <c r="K1042" s="2"/>
    </row>
    <row r="1043" spans="1:11" x14ac:dyDescent="0.3">
      <c r="A1043" s="5" t="str">
        <f>IF(D1043="","",COUNTIF($D$5:D1043,"?*"))</f>
        <v/>
      </c>
      <c r="B1043" s="6"/>
      <c r="C1043" s="5" t="str">
        <f>IF(B1043="","",INDEX({"Ocak","Şubat","Mart","Nisan","Mayıs","Haziran","Temmuz","Ağustos","Eylül","Ekim","Kasım","Aralık"},MONTH(B1043)))</f>
        <v/>
      </c>
      <c r="D1043" s="2"/>
      <c r="E1043" s="5" t="str">
        <f>IFERROR(INDEX('Malzeme Tanımlama'!$B$5:$B$300,MATCH(D1043,'Malzeme Tanımlama'!$A$5:$A$300,0)),"")</f>
        <v/>
      </c>
      <c r="F1043" s="2"/>
      <c r="G1043" s="5"/>
      <c r="H1043" s="5" t="str">
        <f>IFERROR(INDEX('Malzeme Tanımlama'!$D$5:$D$300,MATCH(D1043,'Malzeme Tanımlama'!$A$5:$A$300,0)),"")</f>
        <v/>
      </c>
      <c r="I1043" s="2"/>
      <c r="J1043" s="2"/>
      <c r="K1043" s="2"/>
    </row>
    <row r="1044" spans="1:11" x14ac:dyDescent="0.3">
      <c r="A1044" s="5" t="str">
        <f>IF(D1044="","",COUNTIF($D$5:D1044,"?*"))</f>
        <v/>
      </c>
      <c r="B1044" s="6"/>
      <c r="C1044" s="5" t="str">
        <f>IF(B1044="","",INDEX({"Ocak","Şubat","Mart","Nisan","Mayıs","Haziran","Temmuz","Ağustos","Eylül","Ekim","Kasım","Aralık"},MONTH(B1044)))</f>
        <v/>
      </c>
      <c r="D1044" s="2"/>
      <c r="E1044" s="5" t="str">
        <f>IFERROR(INDEX('Malzeme Tanımlama'!$B$5:$B$300,MATCH(D1044,'Malzeme Tanımlama'!$A$5:$A$300,0)),"")</f>
        <v/>
      </c>
      <c r="F1044" s="2"/>
      <c r="G1044" s="5"/>
      <c r="H1044" s="5" t="str">
        <f>IFERROR(INDEX('Malzeme Tanımlama'!$D$5:$D$300,MATCH(D1044,'Malzeme Tanımlama'!$A$5:$A$300,0)),"")</f>
        <v/>
      </c>
      <c r="I1044" s="2"/>
      <c r="J1044" s="2"/>
      <c r="K1044" s="2"/>
    </row>
    <row r="1045" spans="1:11" x14ac:dyDescent="0.3">
      <c r="A1045" s="5" t="str">
        <f>IF(D1045="","",COUNTIF($D$5:D1045,"?*"))</f>
        <v/>
      </c>
      <c r="B1045" s="6"/>
      <c r="C1045" s="5" t="str">
        <f>IF(B1045="","",INDEX({"Ocak","Şubat","Mart","Nisan","Mayıs","Haziran","Temmuz","Ağustos","Eylül","Ekim","Kasım","Aralık"},MONTH(B1045)))</f>
        <v/>
      </c>
      <c r="D1045" s="2"/>
      <c r="E1045" s="5" t="str">
        <f>IFERROR(INDEX('Malzeme Tanımlama'!$B$5:$B$300,MATCH(D1045,'Malzeme Tanımlama'!$A$5:$A$300,0)),"")</f>
        <v/>
      </c>
      <c r="F1045" s="2"/>
      <c r="G1045" s="5"/>
      <c r="H1045" s="5" t="str">
        <f>IFERROR(INDEX('Malzeme Tanımlama'!$D$5:$D$300,MATCH(D1045,'Malzeme Tanımlama'!$A$5:$A$300,0)),"")</f>
        <v/>
      </c>
      <c r="I1045" s="2"/>
      <c r="J1045" s="2"/>
      <c r="K1045" s="2"/>
    </row>
    <row r="1046" spans="1:11" x14ac:dyDescent="0.3">
      <c r="A1046" s="5" t="str">
        <f>IF(D1046="","",COUNTIF($D$5:D1046,"?*"))</f>
        <v/>
      </c>
      <c r="B1046" s="6"/>
      <c r="C1046" s="5" t="str">
        <f>IF(B1046="","",INDEX({"Ocak","Şubat","Mart","Nisan","Mayıs","Haziran","Temmuz","Ağustos","Eylül","Ekim","Kasım","Aralık"},MONTH(B1046)))</f>
        <v/>
      </c>
      <c r="D1046" s="2"/>
      <c r="E1046" s="5" t="str">
        <f>IFERROR(INDEX('Malzeme Tanımlama'!$B$5:$B$300,MATCH(D1046,'Malzeme Tanımlama'!$A$5:$A$300,0)),"")</f>
        <v/>
      </c>
      <c r="F1046" s="2"/>
      <c r="G1046" s="5"/>
      <c r="H1046" s="5" t="str">
        <f>IFERROR(INDEX('Malzeme Tanımlama'!$D$5:$D$300,MATCH(D1046,'Malzeme Tanımlama'!$A$5:$A$300,0)),"")</f>
        <v/>
      </c>
      <c r="I1046" s="2"/>
      <c r="J1046" s="2"/>
      <c r="K1046" s="2"/>
    </row>
    <row r="1047" spans="1:11" x14ac:dyDescent="0.3">
      <c r="A1047" s="5" t="str">
        <f>IF(D1047="","",COUNTIF($D$5:D1047,"?*"))</f>
        <v/>
      </c>
      <c r="B1047" s="6"/>
      <c r="C1047" s="5" t="str">
        <f>IF(B1047="","",INDEX({"Ocak","Şubat","Mart","Nisan","Mayıs","Haziran","Temmuz","Ağustos","Eylül","Ekim","Kasım","Aralık"},MONTH(B1047)))</f>
        <v/>
      </c>
      <c r="D1047" s="2"/>
      <c r="E1047" s="5" t="str">
        <f>IFERROR(INDEX('Malzeme Tanımlama'!$B$5:$B$300,MATCH(D1047,'Malzeme Tanımlama'!$A$5:$A$300,0)),"")</f>
        <v/>
      </c>
      <c r="F1047" s="2"/>
      <c r="G1047" s="5"/>
      <c r="H1047" s="5" t="str">
        <f>IFERROR(INDEX('Malzeme Tanımlama'!$D$5:$D$300,MATCH(D1047,'Malzeme Tanımlama'!$A$5:$A$300,0)),"")</f>
        <v/>
      </c>
      <c r="I1047" s="2"/>
      <c r="J1047" s="2"/>
      <c r="K1047" s="2"/>
    </row>
    <row r="1048" spans="1:11" x14ac:dyDescent="0.3">
      <c r="A1048" s="5" t="str">
        <f>IF(D1048="","",COUNTIF($D$5:D1048,"?*"))</f>
        <v/>
      </c>
      <c r="B1048" s="6"/>
      <c r="C1048" s="5" t="str">
        <f>IF(B1048="","",INDEX({"Ocak","Şubat","Mart","Nisan","Mayıs","Haziran","Temmuz","Ağustos","Eylül","Ekim","Kasım","Aralık"},MONTH(B1048)))</f>
        <v/>
      </c>
      <c r="D1048" s="2"/>
      <c r="E1048" s="5" t="str">
        <f>IFERROR(INDEX('Malzeme Tanımlama'!$B$5:$B$300,MATCH(D1048,'Malzeme Tanımlama'!$A$5:$A$300,0)),"")</f>
        <v/>
      </c>
      <c r="F1048" s="2"/>
      <c r="G1048" s="5"/>
      <c r="H1048" s="5" t="str">
        <f>IFERROR(INDEX('Malzeme Tanımlama'!$D$5:$D$300,MATCH(D1048,'Malzeme Tanımlama'!$A$5:$A$300,0)),"")</f>
        <v/>
      </c>
      <c r="I1048" s="2"/>
      <c r="J1048" s="2"/>
      <c r="K1048" s="2"/>
    </row>
    <row r="1049" spans="1:11" x14ac:dyDescent="0.3">
      <c r="A1049" s="5" t="str">
        <f>IF(D1049="","",COUNTIF($D$5:D1049,"?*"))</f>
        <v/>
      </c>
      <c r="B1049" s="6"/>
      <c r="C1049" s="5" t="str">
        <f>IF(B1049="","",INDEX({"Ocak","Şubat","Mart","Nisan","Mayıs","Haziran","Temmuz","Ağustos","Eylül","Ekim","Kasım","Aralık"},MONTH(B1049)))</f>
        <v/>
      </c>
      <c r="D1049" s="2"/>
      <c r="E1049" s="5" t="str">
        <f>IFERROR(INDEX('Malzeme Tanımlama'!$B$5:$B$300,MATCH(D1049,'Malzeme Tanımlama'!$A$5:$A$300,0)),"")</f>
        <v/>
      </c>
      <c r="F1049" s="2"/>
      <c r="G1049" s="5"/>
      <c r="H1049" s="5" t="str">
        <f>IFERROR(INDEX('Malzeme Tanımlama'!$D$5:$D$300,MATCH(D1049,'Malzeme Tanımlama'!$A$5:$A$300,0)),"")</f>
        <v/>
      </c>
      <c r="I1049" s="2"/>
      <c r="J1049" s="2"/>
      <c r="K1049" s="2"/>
    </row>
    <row r="1050" spans="1:11" x14ac:dyDescent="0.3">
      <c r="A1050" s="5" t="str">
        <f>IF(D1050="","",COUNTIF($D$5:D1050,"?*"))</f>
        <v/>
      </c>
      <c r="B1050" s="6"/>
      <c r="C1050" s="5" t="str">
        <f>IF(B1050="","",INDEX({"Ocak","Şubat","Mart","Nisan","Mayıs","Haziran","Temmuz","Ağustos","Eylül","Ekim","Kasım","Aralık"},MONTH(B1050)))</f>
        <v/>
      </c>
      <c r="D1050" s="2"/>
      <c r="E1050" s="5" t="str">
        <f>IFERROR(INDEX('Malzeme Tanımlama'!$B$5:$B$300,MATCH(D1050,'Malzeme Tanımlama'!$A$5:$A$300,0)),"")</f>
        <v/>
      </c>
      <c r="F1050" s="2"/>
      <c r="G1050" s="5"/>
      <c r="H1050" s="5" t="str">
        <f>IFERROR(INDEX('Malzeme Tanımlama'!$D$5:$D$300,MATCH(D1050,'Malzeme Tanımlama'!$A$5:$A$300,0)),"")</f>
        <v/>
      </c>
      <c r="I1050" s="2"/>
      <c r="J1050" s="2"/>
      <c r="K1050" s="2"/>
    </row>
    <row r="1051" spans="1:11" x14ac:dyDescent="0.3">
      <c r="A1051" s="5" t="str">
        <f>IF(D1051="","",COUNTIF($D$5:D1051,"?*"))</f>
        <v/>
      </c>
      <c r="B1051" s="6"/>
      <c r="C1051" s="5" t="str">
        <f>IF(B1051="","",INDEX({"Ocak","Şubat","Mart","Nisan","Mayıs","Haziran","Temmuz","Ağustos","Eylül","Ekim","Kasım","Aralık"},MONTH(B1051)))</f>
        <v/>
      </c>
      <c r="D1051" s="2"/>
      <c r="E1051" s="5" t="str">
        <f>IFERROR(INDEX('Malzeme Tanımlama'!$B$5:$B$300,MATCH(D1051,'Malzeme Tanımlama'!$A$5:$A$300,0)),"")</f>
        <v/>
      </c>
      <c r="F1051" s="2"/>
      <c r="G1051" s="5"/>
      <c r="H1051" s="5" t="str">
        <f>IFERROR(INDEX('Malzeme Tanımlama'!$D$5:$D$300,MATCH(D1051,'Malzeme Tanımlama'!$A$5:$A$300,0)),"")</f>
        <v/>
      </c>
      <c r="I1051" s="2"/>
      <c r="J1051" s="2"/>
      <c r="K1051" s="2"/>
    </row>
    <row r="1052" spans="1:11" x14ac:dyDescent="0.3">
      <c r="A1052" s="5" t="str">
        <f>IF(D1052="","",COUNTIF($D$5:D1052,"?*"))</f>
        <v/>
      </c>
      <c r="B1052" s="6"/>
      <c r="C1052" s="5" t="str">
        <f>IF(B1052="","",INDEX({"Ocak","Şubat","Mart","Nisan","Mayıs","Haziran","Temmuz","Ağustos","Eylül","Ekim","Kasım","Aralık"},MONTH(B1052)))</f>
        <v/>
      </c>
      <c r="D1052" s="2"/>
      <c r="E1052" s="5" t="str">
        <f>IFERROR(INDEX('Malzeme Tanımlama'!$B$5:$B$300,MATCH(D1052,'Malzeme Tanımlama'!$A$5:$A$300,0)),"")</f>
        <v/>
      </c>
      <c r="F1052" s="2"/>
      <c r="G1052" s="5"/>
      <c r="H1052" s="5" t="str">
        <f>IFERROR(INDEX('Malzeme Tanımlama'!$D$5:$D$300,MATCH(D1052,'Malzeme Tanımlama'!$A$5:$A$300,0)),"")</f>
        <v/>
      </c>
      <c r="I1052" s="2"/>
      <c r="J1052" s="2"/>
      <c r="K1052" s="2"/>
    </row>
    <row r="1053" spans="1:11" x14ac:dyDescent="0.3">
      <c r="A1053" s="5" t="str">
        <f>IF(D1053="","",COUNTIF($D$5:D1053,"?*"))</f>
        <v/>
      </c>
      <c r="B1053" s="6"/>
      <c r="C1053" s="5" t="str">
        <f>IF(B1053="","",INDEX({"Ocak","Şubat","Mart","Nisan","Mayıs","Haziran","Temmuz","Ağustos","Eylül","Ekim","Kasım","Aralık"},MONTH(B1053)))</f>
        <v/>
      </c>
      <c r="D1053" s="2"/>
      <c r="E1053" s="5" t="str">
        <f>IFERROR(INDEX('Malzeme Tanımlama'!$B$5:$B$300,MATCH(D1053,'Malzeme Tanımlama'!$A$5:$A$300,0)),"")</f>
        <v/>
      </c>
      <c r="F1053" s="2"/>
      <c r="G1053" s="5"/>
      <c r="H1053" s="5" t="str">
        <f>IFERROR(INDEX('Malzeme Tanımlama'!$D$5:$D$300,MATCH(D1053,'Malzeme Tanımlama'!$A$5:$A$300,0)),"")</f>
        <v/>
      </c>
      <c r="I1053" s="2"/>
      <c r="J1053" s="2"/>
      <c r="K1053" s="2"/>
    </row>
    <row r="1054" spans="1:11" x14ac:dyDescent="0.3">
      <c r="A1054" s="5" t="str">
        <f>IF(D1054="","",COUNTIF($D$5:D1054,"?*"))</f>
        <v/>
      </c>
      <c r="B1054" s="6"/>
      <c r="C1054" s="5" t="str">
        <f>IF(B1054="","",INDEX({"Ocak","Şubat","Mart","Nisan","Mayıs","Haziran","Temmuz","Ağustos","Eylül","Ekim","Kasım","Aralık"},MONTH(B1054)))</f>
        <v/>
      </c>
      <c r="D1054" s="2"/>
      <c r="E1054" s="5" t="str">
        <f>IFERROR(INDEX('Malzeme Tanımlama'!$B$5:$B$300,MATCH(D1054,'Malzeme Tanımlama'!$A$5:$A$300,0)),"")</f>
        <v/>
      </c>
      <c r="F1054" s="2"/>
      <c r="G1054" s="5"/>
      <c r="H1054" s="5" t="str">
        <f>IFERROR(INDEX('Malzeme Tanımlama'!$D$5:$D$300,MATCH(D1054,'Malzeme Tanımlama'!$A$5:$A$300,0)),"")</f>
        <v/>
      </c>
      <c r="I1054" s="2"/>
      <c r="J1054" s="2"/>
      <c r="K1054" s="2"/>
    </row>
    <row r="1055" spans="1:11" x14ac:dyDescent="0.3">
      <c r="A1055" s="5" t="str">
        <f>IF(D1055="","",COUNTIF($D$5:D1055,"?*"))</f>
        <v/>
      </c>
      <c r="B1055" s="6"/>
      <c r="C1055" s="5" t="str">
        <f>IF(B1055="","",INDEX({"Ocak","Şubat","Mart","Nisan","Mayıs","Haziran","Temmuz","Ağustos","Eylül","Ekim","Kasım","Aralık"},MONTH(B1055)))</f>
        <v/>
      </c>
      <c r="D1055" s="2"/>
      <c r="E1055" s="5" t="str">
        <f>IFERROR(INDEX('Malzeme Tanımlama'!$B$5:$B$300,MATCH(D1055,'Malzeme Tanımlama'!$A$5:$A$300,0)),"")</f>
        <v/>
      </c>
      <c r="F1055" s="2"/>
      <c r="G1055" s="5"/>
      <c r="H1055" s="5" t="str">
        <f>IFERROR(INDEX('Malzeme Tanımlama'!$D$5:$D$300,MATCH(D1055,'Malzeme Tanımlama'!$A$5:$A$300,0)),"")</f>
        <v/>
      </c>
      <c r="I1055" s="2"/>
      <c r="J1055" s="2"/>
      <c r="K1055" s="2"/>
    </row>
    <row r="1056" spans="1:11" x14ac:dyDescent="0.3">
      <c r="A1056" s="5" t="str">
        <f>IF(D1056="","",COUNTIF($D$5:D1056,"?*"))</f>
        <v/>
      </c>
      <c r="B1056" s="6"/>
      <c r="C1056" s="5" t="str">
        <f>IF(B1056="","",INDEX({"Ocak","Şubat","Mart","Nisan","Mayıs","Haziran","Temmuz","Ağustos","Eylül","Ekim","Kasım","Aralık"},MONTH(B1056)))</f>
        <v/>
      </c>
      <c r="D1056" s="2"/>
      <c r="E1056" s="5" t="str">
        <f>IFERROR(INDEX('Malzeme Tanımlama'!$B$5:$B$300,MATCH(D1056,'Malzeme Tanımlama'!$A$5:$A$300,0)),"")</f>
        <v/>
      </c>
      <c r="F1056" s="2"/>
      <c r="G1056" s="5"/>
      <c r="H1056" s="5" t="str">
        <f>IFERROR(INDEX('Malzeme Tanımlama'!$D$5:$D$300,MATCH(D1056,'Malzeme Tanımlama'!$A$5:$A$300,0)),"")</f>
        <v/>
      </c>
      <c r="I1056" s="2"/>
      <c r="J1056" s="2"/>
      <c r="K1056" s="2"/>
    </row>
    <row r="1057" spans="1:11" x14ac:dyDescent="0.3">
      <c r="A1057" s="5" t="str">
        <f>IF(D1057="","",COUNTIF($D$5:D1057,"?*"))</f>
        <v/>
      </c>
      <c r="B1057" s="6"/>
      <c r="C1057" s="5" t="str">
        <f>IF(B1057="","",INDEX({"Ocak","Şubat","Mart","Nisan","Mayıs","Haziran","Temmuz","Ağustos","Eylül","Ekim","Kasım","Aralık"},MONTH(B1057)))</f>
        <v/>
      </c>
      <c r="D1057" s="2"/>
      <c r="E1057" s="5" t="str">
        <f>IFERROR(INDEX('Malzeme Tanımlama'!$B$5:$B$300,MATCH(D1057,'Malzeme Tanımlama'!$A$5:$A$300,0)),"")</f>
        <v/>
      </c>
      <c r="F1057" s="2"/>
      <c r="G1057" s="5"/>
      <c r="H1057" s="5" t="str">
        <f>IFERROR(INDEX('Malzeme Tanımlama'!$D$5:$D$300,MATCH(D1057,'Malzeme Tanımlama'!$A$5:$A$300,0)),"")</f>
        <v/>
      </c>
      <c r="I1057" s="2"/>
      <c r="J1057" s="2"/>
      <c r="K1057" s="2"/>
    </row>
    <row r="1058" spans="1:11" x14ac:dyDescent="0.3">
      <c r="A1058" s="5" t="str">
        <f>IF(D1058="","",COUNTIF($D$5:D1058,"?*"))</f>
        <v/>
      </c>
      <c r="B1058" s="6"/>
      <c r="C1058" s="5" t="str">
        <f>IF(B1058="","",INDEX({"Ocak","Şubat","Mart","Nisan","Mayıs","Haziran","Temmuz","Ağustos","Eylül","Ekim","Kasım","Aralık"},MONTH(B1058)))</f>
        <v/>
      </c>
      <c r="D1058" s="2"/>
      <c r="E1058" s="5" t="str">
        <f>IFERROR(INDEX('Malzeme Tanımlama'!$B$5:$B$300,MATCH(D1058,'Malzeme Tanımlama'!$A$5:$A$300,0)),"")</f>
        <v/>
      </c>
      <c r="F1058" s="2"/>
      <c r="G1058" s="5"/>
      <c r="H1058" s="5" t="str">
        <f>IFERROR(INDEX('Malzeme Tanımlama'!$D$5:$D$300,MATCH(D1058,'Malzeme Tanımlama'!$A$5:$A$300,0)),"")</f>
        <v/>
      </c>
      <c r="I1058" s="2"/>
      <c r="J1058" s="2"/>
      <c r="K1058" s="2"/>
    </row>
    <row r="1059" spans="1:11" x14ac:dyDescent="0.3">
      <c r="A1059" s="5" t="str">
        <f>IF(D1059="","",COUNTIF($D$5:D1059,"?*"))</f>
        <v/>
      </c>
      <c r="B1059" s="6"/>
      <c r="C1059" s="5" t="str">
        <f>IF(B1059="","",INDEX({"Ocak","Şubat","Mart","Nisan","Mayıs","Haziran","Temmuz","Ağustos","Eylül","Ekim","Kasım","Aralık"},MONTH(B1059)))</f>
        <v/>
      </c>
      <c r="D1059" s="2"/>
      <c r="E1059" s="5" t="str">
        <f>IFERROR(INDEX('Malzeme Tanımlama'!$B$5:$B$300,MATCH(D1059,'Malzeme Tanımlama'!$A$5:$A$300,0)),"")</f>
        <v/>
      </c>
      <c r="F1059" s="2"/>
      <c r="G1059" s="5"/>
      <c r="H1059" s="5" t="str">
        <f>IFERROR(INDEX('Malzeme Tanımlama'!$D$5:$D$300,MATCH(D1059,'Malzeme Tanımlama'!$A$5:$A$300,0)),"")</f>
        <v/>
      </c>
      <c r="I1059" s="2"/>
      <c r="J1059" s="2"/>
      <c r="K1059" s="2"/>
    </row>
    <row r="1060" spans="1:11" x14ac:dyDescent="0.3">
      <c r="A1060" s="5" t="str">
        <f>IF(D1060="","",COUNTIF($D$5:D1060,"?*"))</f>
        <v/>
      </c>
      <c r="B1060" s="6"/>
      <c r="C1060" s="5" t="str">
        <f>IF(B1060="","",INDEX({"Ocak","Şubat","Mart","Nisan","Mayıs","Haziran","Temmuz","Ağustos","Eylül","Ekim","Kasım","Aralık"},MONTH(B1060)))</f>
        <v/>
      </c>
      <c r="D1060" s="2"/>
      <c r="E1060" s="5" t="str">
        <f>IFERROR(INDEX('Malzeme Tanımlama'!$B$5:$B$300,MATCH(D1060,'Malzeme Tanımlama'!$A$5:$A$300,0)),"")</f>
        <v/>
      </c>
      <c r="F1060" s="2"/>
      <c r="G1060" s="5"/>
      <c r="H1060" s="5" t="str">
        <f>IFERROR(INDEX('Malzeme Tanımlama'!$D$5:$D$300,MATCH(D1060,'Malzeme Tanımlama'!$A$5:$A$300,0)),"")</f>
        <v/>
      </c>
      <c r="I1060" s="2"/>
      <c r="J1060" s="2"/>
      <c r="K1060" s="2"/>
    </row>
    <row r="1061" spans="1:11" x14ac:dyDescent="0.3">
      <c r="A1061" s="5" t="str">
        <f>IF(D1061="","",COUNTIF($D$5:D1061,"?*"))</f>
        <v/>
      </c>
      <c r="B1061" s="6"/>
      <c r="C1061" s="5" t="str">
        <f>IF(B1061="","",INDEX({"Ocak","Şubat","Mart","Nisan","Mayıs","Haziran","Temmuz","Ağustos","Eylül","Ekim","Kasım","Aralık"},MONTH(B1061)))</f>
        <v/>
      </c>
      <c r="D1061" s="2"/>
      <c r="E1061" s="5" t="str">
        <f>IFERROR(INDEX('Malzeme Tanımlama'!$B$5:$B$300,MATCH(D1061,'Malzeme Tanımlama'!$A$5:$A$300,0)),"")</f>
        <v/>
      </c>
      <c r="F1061" s="2"/>
      <c r="G1061" s="5"/>
      <c r="H1061" s="5" t="str">
        <f>IFERROR(INDEX('Malzeme Tanımlama'!$D$5:$D$300,MATCH(D1061,'Malzeme Tanımlama'!$A$5:$A$300,0)),"")</f>
        <v/>
      </c>
      <c r="I1061" s="2"/>
      <c r="J1061" s="2"/>
      <c r="K1061" s="2"/>
    </row>
    <row r="1062" spans="1:11" x14ac:dyDescent="0.3">
      <c r="A1062" s="5" t="str">
        <f>IF(D1062="","",COUNTIF($D$5:D1062,"?*"))</f>
        <v/>
      </c>
      <c r="B1062" s="6"/>
      <c r="C1062" s="5" t="str">
        <f>IF(B1062="","",INDEX({"Ocak","Şubat","Mart","Nisan","Mayıs","Haziran","Temmuz","Ağustos","Eylül","Ekim","Kasım","Aralık"},MONTH(B1062)))</f>
        <v/>
      </c>
      <c r="D1062" s="2"/>
      <c r="E1062" s="5" t="str">
        <f>IFERROR(INDEX('Malzeme Tanımlama'!$B$5:$B$300,MATCH(D1062,'Malzeme Tanımlama'!$A$5:$A$300,0)),"")</f>
        <v/>
      </c>
      <c r="F1062" s="2"/>
      <c r="G1062" s="5"/>
      <c r="H1062" s="5" t="str">
        <f>IFERROR(INDEX('Malzeme Tanımlama'!$D$5:$D$300,MATCH(D1062,'Malzeme Tanımlama'!$A$5:$A$300,0)),"")</f>
        <v/>
      </c>
      <c r="I1062" s="2"/>
      <c r="J1062" s="2"/>
      <c r="K1062" s="2"/>
    </row>
    <row r="1063" spans="1:11" x14ac:dyDescent="0.3">
      <c r="A1063" s="5" t="str">
        <f>IF(D1063="","",COUNTIF($D$5:D1063,"?*"))</f>
        <v/>
      </c>
      <c r="B1063" s="6"/>
      <c r="C1063" s="5" t="str">
        <f>IF(B1063="","",INDEX({"Ocak","Şubat","Mart","Nisan","Mayıs","Haziran","Temmuz","Ağustos","Eylül","Ekim","Kasım","Aralık"},MONTH(B1063)))</f>
        <v/>
      </c>
      <c r="D1063" s="2"/>
      <c r="E1063" s="5" t="str">
        <f>IFERROR(INDEX('Malzeme Tanımlama'!$B$5:$B$300,MATCH(D1063,'Malzeme Tanımlama'!$A$5:$A$300,0)),"")</f>
        <v/>
      </c>
      <c r="F1063" s="2"/>
      <c r="G1063" s="5"/>
      <c r="H1063" s="5" t="str">
        <f>IFERROR(INDEX('Malzeme Tanımlama'!$D$5:$D$300,MATCH(D1063,'Malzeme Tanımlama'!$A$5:$A$300,0)),"")</f>
        <v/>
      </c>
      <c r="I1063" s="2"/>
      <c r="J1063" s="2"/>
      <c r="K1063" s="2"/>
    </row>
    <row r="1064" spans="1:11" x14ac:dyDescent="0.3">
      <c r="A1064" s="5" t="str">
        <f>IF(D1064="","",COUNTIF($D$5:D1064,"?*"))</f>
        <v/>
      </c>
      <c r="B1064" s="6"/>
      <c r="C1064" s="5" t="str">
        <f>IF(B1064="","",INDEX({"Ocak","Şubat","Mart","Nisan","Mayıs","Haziran","Temmuz","Ağustos","Eylül","Ekim","Kasım","Aralık"},MONTH(B1064)))</f>
        <v/>
      </c>
      <c r="D1064" s="2"/>
      <c r="E1064" s="5" t="str">
        <f>IFERROR(INDEX('Malzeme Tanımlama'!$B$5:$B$300,MATCH(D1064,'Malzeme Tanımlama'!$A$5:$A$300,0)),"")</f>
        <v/>
      </c>
      <c r="F1064" s="2"/>
      <c r="G1064" s="5"/>
      <c r="H1064" s="5" t="str">
        <f>IFERROR(INDEX('Malzeme Tanımlama'!$D$5:$D$300,MATCH(D1064,'Malzeme Tanımlama'!$A$5:$A$300,0)),"")</f>
        <v/>
      </c>
      <c r="I1064" s="2"/>
      <c r="J1064" s="2"/>
      <c r="K1064" s="2"/>
    </row>
    <row r="1065" spans="1:11" x14ac:dyDescent="0.3">
      <c r="A1065" s="5" t="str">
        <f>IF(D1065="","",COUNTIF($D$5:D1065,"?*"))</f>
        <v/>
      </c>
      <c r="B1065" s="6"/>
      <c r="C1065" s="5" t="str">
        <f>IF(B1065="","",INDEX({"Ocak","Şubat","Mart","Nisan","Mayıs","Haziran","Temmuz","Ağustos","Eylül","Ekim","Kasım","Aralık"},MONTH(B1065)))</f>
        <v/>
      </c>
      <c r="D1065" s="2"/>
      <c r="E1065" s="5" t="str">
        <f>IFERROR(INDEX('Malzeme Tanımlama'!$B$5:$B$300,MATCH(D1065,'Malzeme Tanımlama'!$A$5:$A$300,0)),"")</f>
        <v/>
      </c>
      <c r="F1065" s="2"/>
      <c r="G1065" s="5"/>
      <c r="H1065" s="5" t="str">
        <f>IFERROR(INDEX('Malzeme Tanımlama'!$D$5:$D$300,MATCH(D1065,'Malzeme Tanımlama'!$A$5:$A$300,0)),"")</f>
        <v/>
      </c>
      <c r="I1065" s="2"/>
      <c r="J1065" s="2"/>
      <c r="K1065" s="2"/>
    </row>
    <row r="1066" spans="1:11" x14ac:dyDescent="0.3">
      <c r="A1066" s="5" t="str">
        <f>IF(D1066="","",COUNTIF($D$5:D1066,"?*"))</f>
        <v/>
      </c>
      <c r="B1066" s="6"/>
      <c r="C1066" s="5" t="str">
        <f>IF(B1066="","",INDEX({"Ocak","Şubat","Mart","Nisan","Mayıs","Haziran","Temmuz","Ağustos","Eylül","Ekim","Kasım","Aralık"},MONTH(B1066)))</f>
        <v/>
      </c>
      <c r="D1066" s="2"/>
      <c r="E1066" s="5" t="str">
        <f>IFERROR(INDEX('Malzeme Tanımlama'!$B$5:$B$300,MATCH(D1066,'Malzeme Tanımlama'!$A$5:$A$300,0)),"")</f>
        <v/>
      </c>
      <c r="F1066" s="2"/>
      <c r="G1066" s="5"/>
      <c r="H1066" s="5" t="str">
        <f>IFERROR(INDEX('Malzeme Tanımlama'!$D$5:$D$300,MATCH(D1066,'Malzeme Tanımlama'!$A$5:$A$300,0)),"")</f>
        <v/>
      </c>
      <c r="I1066" s="2"/>
      <c r="J1066" s="2"/>
      <c r="K1066" s="2"/>
    </row>
    <row r="1067" spans="1:11" x14ac:dyDescent="0.3">
      <c r="A1067" s="5" t="str">
        <f>IF(D1067="","",COUNTIF($D$5:D1067,"?*"))</f>
        <v/>
      </c>
      <c r="B1067" s="6"/>
      <c r="C1067" s="5" t="str">
        <f>IF(B1067="","",INDEX({"Ocak","Şubat","Mart","Nisan","Mayıs","Haziran","Temmuz","Ağustos","Eylül","Ekim","Kasım","Aralık"},MONTH(B1067)))</f>
        <v/>
      </c>
      <c r="D1067" s="2"/>
      <c r="E1067" s="5" t="str">
        <f>IFERROR(INDEX('Malzeme Tanımlama'!$B$5:$B$300,MATCH(D1067,'Malzeme Tanımlama'!$A$5:$A$300,0)),"")</f>
        <v/>
      </c>
      <c r="F1067" s="2"/>
      <c r="G1067" s="5"/>
      <c r="H1067" s="5" t="str">
        <f>IFERROR(INDEX('Malzeme Tanımlama'!$D$5:$D$300,MATCH(D1067,'Malzeme Tanımlama'!$A$5:$A$300,0)),"")</f>
        <v/>
      </c>
      <c r="I1067" s="2"/>
      <c r="J1067" s="2"/>
      <c r="K1067" s="2"/>
    </row>
    <row r="1068" spans="1:11" x14ac:dyDescent="0.3">
      <c r="A1068" s="5" t="str">
        <f>IF(D1068="","",COUNTIF($D$5:D1068,"?*"))</f>
        <v/>
      </c>
      <c r="B1068" s="6"/>
      <c r="C1068" s="5" t="str">
        <f>IF(B1068="","",INDEX({"Ocak","Şubat","Mart","Nisan","Mayıs","Haziran","Temmuz","Ağustos","Eylül","Ekim","Kasım","Aralık"},MONTH(B1068)))</f>
        <v/>
      </c>
      <c r="D1068" s="2"/>
      <c r="E1068" s="5" t="str">
        <f>IFERROR(INDEX('Malzeme Tanımlama'!$B$5:$B$300,MATCH(D1068,'Malzeme Tanımlama'!$A$5:$A$300,0)),"")</f>
        <v/>
      </c>
      <c r="F1068" s="2"/>
      <c r="G1068" s="5"/>
      <c r="H1068" s="5" t="str">
        <f>IFERROR(INDEX('Malzeme Tanımlama'!$D$5:$D$300,MATCH(D1068,'Malzeme Tanımlama'!$A$5:$A$300,0)),"")</f>
        <v/>
      </c>
      <c r="I1068" s="2"/>
      <c r="J1068" s="2"/>
      <c r="K1068" s="2"/>
    </row>
    <row r="1069" spans="1:11" x14ac:dyDescent="0.3">
      <c r="A1069" s="5" t="str">
        <f>IF(D1069="","",COUNTIF($D$5:D1069,"?*"))</f>
        <v/>
      </c>
      <c r="B1069" s="6"/>
      <c r="C1069" s="5" t="str">
        <f>IF(B1069="","",INDEX({"Ocak","Şubat","Mart","Nisan","Mayıs","Haziran","Temmuz","Ağustos","Eylül","Ekim","Kasım","Aralık"},MONTH(B1069)))</f>
        <v/>
      </c>
      <c r="D1069" s="2"/>
      <c r="E1069" s="5" t="str">
        <f>IFERROR(INDEX('Malzeme Tanımlama'!$B$5:$B$300,MATCH(D1069,'Malzeme Tanımlama'!$A$5:$A$300,0)),"")</f>
        <v/>
      </c>
      <c r="F1069" s="2"/>
      <c r="G1069" s="5"/>
      <c r="H1069" s="5" t="str">
        <f>IFERROR(INDEX('Malzeme Tanımlama'!$D$5:$D$300,MATCH(D1069,'Malzeme Tanımlama'!$A$5:$A$300,0)),"")</f>
        <v/>
      </c>
      <c r="I1069" s="2"/>
      <c r="J1069" s="2"/>
      <c r="K1069" s="2"/>
    </row>
    <row r="1070" spans="1:11" x14ac:dyDescent="0.3">
      <c r="A1070" s="5" t="str">
        <f>IF(D1070="","",COUNTIF($D$5:D1070,"?*"))</f>
        <v/>
      </c>
      <c r="B1070" s="6"/>
      <c r="C1070" s="5" t="str">
        <f>IF(B1070="","",INDEX({"Ocak","Şubat","Mart","Nisan","Mayıs","Haziran","Temmuz","Ağustos","Eylül","Ekim","Kasım","Aralık"},MONTH(B1070)))</f>
        <v/>
      </c>
      <c r="D1070" s="2"/>
      <c r="E1070" s="5" t="str">
        <f>IFERROR(INDEX('Malzeme Tanımlama'!$B$5:$B$300,MATCH(D1070,'Malzeme Tanımlama'!$A$5:$A$300,0)),"")</f>
        <v/>
      </c>
      <c r="F1070" s="2"/>
      <c r="G1070" s="5"/>
      <c r="H1070" s="5" t="str">
        <f>IFERROR(INDEX('Malzeme Tanımlama'!$D$5:$D$300,MATCH(D1070,'Malzeme Tanımlama'!$A$5:$A$300,0)),"")</f>
        <v/>
      </c>
      <c r="I1070" s="2"/>
      <c r="J1070" s="2"/>
      <c r="K1070" s="2"/>
    </row>
    <row r="1071" spans="1:11" x14ac:dyDescent="0.3">
      <c r="A1071" s="5" t="str">
        <f>IF(D1071="","",COUNTIF($D$5:D1071,"?*"))</f>
        <v/>
      </c>
      <c r="B1071" s="6"/>
      <c r="C1071" s="5" t="str">
        <f>IF(B1071="","",INDEX({"Ocak","Şubat","Mart","Nisan","Mayıs","Haziran","Temmuz","Ağustos","Eylül","Ekim","Kasım","Aralık"},MONTH(B1071)))</f>
        <v/>
      </c>
      <c r="D1071" s="2"/>
      <c r="E1071" s="5" t="str">
        <f>IFERROR(INDEX('Malzeme Tanımlama'!$B$5:$B$300,MATCH(D1071,'Malzeme Tanımlama'!$A$5:$A$300,0)),"")</f>
        <v/>
      </c>
      <c r="F1071" s="2"/>
      <c r="G1071" s="5"/>
      <c r="H1071" s="5" t="str">
        <f>IFERROR(INDEX('Malzeme Tanımlama'!$D$5:$D$300,MATCH(D1071,'Malzeme Tanımlama'!$A$5:$A$300,0)),"")</f>
        <v/>
      </c>
      <c r="I1071" s="2"/>
      <c r="J1071" s="2"/>
      <c r="K1071" s="2"/>
    </row>
    <row r="1072" spans="1:11" x14ac:dyDescent="0.3">
      <c r="A1072" s="5" t="str">
        <f>IF(D1072="","",COUNTIF($D$5:D1072,"?*"))</f>
        <v/>
      </c>
      <c r="B1072" s="6"/>
      <c r="C1072" s="5" t="str">
        <f>IF(B1072="","",INDEX({"Ocak","Şubat","Mart","Nisan","Mayıs","Haziran","Temmuz","Ağustos","Eylül","Ekim","Kasım","Aralık"},MONTH(B1072)))</f>
        <v/>
      </c>
      <c r="D1072" s="2"/>
      <c r="E1072" s="5" t="str">
        <f>IFERROR(INDEX('Malzeme Tanımlama'!$B$5:$B$300,MATCH(D1072,'Malzeme Tanımlama'!$A$5:$A$300,0)),"")</f>
        <v/>
      </c>
      <c r="F1072" s="2"/>
      <c r="G1072" s="5"/>
      <c r="H1072" s="5" t="str">
        <f>IFERROR(INDEX('Malzeme Tanımlama'!$D$5:$D$300,MATCH(D1072,'Malzeme Tanımlama'!$A$5:$A$300,0)),"")</f>
        <v/>
      </c>
      <c r="I1072" s="2"/>
      <c r="J1072" s="2"/>
      <c r="K1072" s="2"/>
    </row>
    <row r="1073" spans="1:11" x14ac:dyDescent="0.3">
      <c r="A1073" s="5" t="str">
        <f>IF(D1073="","",COUNTIF($D$5:D1073,"?*"))</f>
        <v/>
      </c>
      <c r="B1073" s="6"/>
      <c r="C1073" s="5" t="str">
        <f>IF(B1073="","",INDEX({"Ocak","Şubat","Mart","Nisan","Mayıs","Haziran","Temmuz","Ağustos","Eylül","Ekim","Kasım","Aralık"},MONTH(B1073)))</f>
        <v/>
      </c>
      <c r="D1073" s="2"/>
      <c r="E1073" s="5" t="str">
        <f>IFERROR(INDEX('Malzeme Tanımlama'!$B$5:$B$300,MATCH(D1073,'Malzeme Tanımlama'!$A$5:$A$300,0)),"")</f>
        <v/>
      </c>
      <c r="F1073" s="2"/>
      <c r="G1073" s="5"/>
      <c r="H1073" s="5" t="str">
        <f>IFERROR(INDEX('Malzeme Tanımlama'!$D$5:$D$300,MATCH(D1073,'Malzeme Tanımlama'!$A$5:$A$300,0)),"")</f>
        <v/>
      </c>
      <c r="I1073" s="2"/>
      <c r="J1073" s="2"/>
      <c r="K1073" s="2"/>
    </row>
    <row r="1074" spans="1:11" x14ac:dyDescent="0.3">
      <c r="A1074" s="5" t="str">
        <f>IF(D1074="","",COUNTIF($D$5:D1074,"?*"))</f>
        <v/>
      </c>
      <c r="B1074" s="6"/>
      <c r="C1074" s="5" t="str">
        <f>IF(B1074="","",INDEX({"Ocak","Şubat","Mart","Nisan","Mayıs","Haziran","Temmuz","Ağustos","Eylül","Ekim","Kasım","Aralık"},MONTH(B1074)))</f>
        <v/>
      </c>
      <c r="D1074" s="2"/>
      <c r="E1074" s="5" t="str">
        <f>IFERROR(INDEX('Malzeme Tanımlama'!$B$5:$B$300,MATCH(D1074,'Malzeme Tanımlama'!$A$5:$A$300,0)),"")</f>
        <v/>
      </c>
      <c r="F1074" s="2"/>
      <c r="G1074" s="5"/>
      <c r="H1074" s="5" t="str">
        <f>IFERROR(INDEX('Malzeme Tanımlama'!$D$5:$D$300,MATCH(D1074,'Malzeme Tanımlama'!$A$5:$A$300,0)),"")</f>
        <v/>
      </c>
      <c r="I1074" s="2"/>
      <c r="J1074" s="2"/>
      <c r="K1074" s="2"/>
    </row>
    <row r="1075" spans="1:11" x14ac:dyDescent="0.3">
      <c r="A1075" s="5" t="str">
        <f>IF(D1075="","",COUNTIF($D$5:D1075,"?*"))</f>
        <v/>
      </c>
      <c r="B1075" s="6"/>
      <c r="C1075" s="5" t="str">
        <f>IF(B1075="","",INDEX({"Ocak","Şubat","Mart","Nisan","Mayıs","Haziran","Temmuz","Ağustos","Eylül","Ekim","Kasım","Aralık"},MONTH(B1075)))</f>
        <v/>
      </c>
      <c r="D1075" s="2"/>
      <c r="E1075" s="5" t="str">
        <f>IFERROR(INDEX('Malzeme Tanımlama'!$B$5:$B$300,MATCH(D1075,'Malzeme Tanımlama'!$A$5:$A$300,0)),"")</f>
        <v/>
      </c>
      <c r="F1075" s="2"/>
      <c r="G1075" s="5"/>
      <c r="H1075" s="5" t="str">
        <f>IFERROR(INDEX('Malzeme Tanımlama'!$D$5:$D$300,MATCH(D1075,'Malzeme Tanımlama'!$A$5:$A$300,0)),"")</f>
        <v/>
      </c>
      <c r="I1075" s="2"/>
      <c r="J1075" s="2"/>
      <c r="K1075" s="2"/>
    </row>
    <row r="1076" spans="1:11" x14ac:dyDescent="0.3">
      <c r="A1076" s="5" t="str">
        <f>IF(D1076="","",COUNTIF($D$5:D1076,"?*"))</f>
        <v/>
      </c>
      <c r="B1076" s="6"/>
      <c r="C1076" s="5" t="str">
        <f>IF(B1076="","",INDEX({"Ocak","Şubat","Mart","Nisan","Mayıs","Haziran","Temmuz","Ağustos","Eylül","Ekim","Kasım","Aralık"},MONTH(B1076)))</f>
        <v/>
      </c>
      <c r="D1076" s="2"/>
      <c r="E1076" s="5" t="str">
        <f>IFERROR(INDEX('Malzeme Tanımlama'!$B$5:$B$300,MATCH(D1076,'Malzeme Tanımlama'!$A$5:$A$300,0)),"")</f>
        <v/>
      </c>
      <c r="F1076" s="2"/>
      <c r="G1076" s="5"/>
      <c r="H1076" s="5" t="str">
        <f>IFERROR(INDEX('Malzeme Tanımlama'!$D$5:$D$300,MATCH(D1076,'Malzeme Tanımlama'!$A$5:$A$300,0)),"")</f>
        <v/>
      </c>
      <c r="I1076" s="2"/>
      <c r="J1076" s="2"/>
      <c r="K1076" s="2"/>
    </row>
    <row r="1077" spans="1:11" x14ac:dyDescent="0.3">
      <c r="A1077" s="5" t="str">
        <f>IF(D1077="","",COUNTIF($D$5:D1077,"?*"))</f>
        <v/>
      </c>
      <c r="B1077" s="6"/>
      <c r="C1077" s="5" t="str">
        <f>IF(B1077="","",INDEX({"Ocak","Şubat","Mart","Nisan","Mayıs","Haziran","Temmuz","Ağustos","Eylül","Ekim","Kasım","Aralık"},MONTH(B1077)))</f>
        <v/>
      </c>
      <c r="D1077" s="2"/>
      <c r="E1077" s="5" t="str">
        <f>IFERROR(INDEX('Malzeme Tanımlama'!$B$5:$B$300,MATCH(D1077,'Malzeme Tanımlama'!$A$5:$A$300,0)),"")</f>
        <v/>
      </c>
      <c r="F1077" s="2"/>
      <c r="G1077" s="5"/>
      <c r="H1077" s="5" t="str">
        <f>IFERROR(INDEX('Malzeme Tanımlama'!$D$5:$D$300,MATCH(D1077,'Malzeme Tanımlama'!$A$5:$A$300,0)),"")</f>
        <v/>
      </c>
      <c r="I1077" s="2"/>
      <c r="J1077" s="2"/>
      <c r="K1077" s="2"/>
    </row>
    <row r="1078" spans="1:11" x14ac:dyDescent="0.3">
      <c r="A1078" s="5" t="str">
        <f>IF(D1078="","",COUNTIF($D$5:D1078,"?*"))</f>
        <v/>
      </c>
      <c r="B1078" s="6"/>
      <c r="C1078" s="5" t="str">
        <f>IF(B1078="","",INDEX({"Ocak","Şubat","Mart","Nisan","Mayıs","Haziran","Temmuz","Ağustos","Eylül","Ekim","Kasım","Aralık"},MONTH(B1078)))</f>
        <v/>
      </c>
      <c r="D1078" s="2"/>
      <c r="E1078" s="5" t="str">
        <f>IFERROR(INDEX('Malzeme Tanımlama'!$B$5:$B$300,MATCH(D1078,'Malzeme Tanımlama'!$A$5:$A$300,0)),"")</f>
        <v/>
      </c>
      <c r="F1078" s="2"/>
      <c r="G1078" s="5"/>
      <c r="H1078" s="5" t="str">
        <f>IFERROR(INDEX('Malzeme Tanımlama'!$D$5:$D$300,MATCH(D1078,'Malzeme Tanımlama'!$A$5:$A$300,0)),"")</f>
        <v/>
      </c>
      <c r="I1078" s="2"/>
      <c r="J1078" s="2"/>
      <c r="K1078" s="2"/>
    </row>
    <row r="1079" spans="1:11" x14ac:dyDescent="0.3">
      <c r="A1079" s="5" t="str">
        <f>IF(D1079="","",COUNTIF($D$5:D1079,"?*"))</f>
        <v/>
      </c>
      <c r="B1079" s="6"/>
      <c r="C1079" s="5" t="str">
        <f>IF(B1079="","",INDEX({"Ocak","Şubat","Mart","Nisan","Mayıs","Haziran","Temmuz","Ağustos","Eylül","Ekim","Kasım","Aralık"},MONTH(B1079)))</f>
        <v/>
      </c>
      <c r="D1079" s="2"/>
      <c r="E1079" s="5" t="str">
        <f>IFERROR(INDEX('Malzeme Tanımlama'!$B$5:$B$300,MATCH(D1079,'Malzeme Tanımlama'!$A$5:$A$300,0)),"")</f>
        <v/>
      </c>
      <c r="F1079" s="2"/>
      <c r="G1079" s="5"/>
      <c r="H1079" s="5" t="str">
        <f>IFERROR(INDEX('Malzeme Tanımlama'!$D$5:$D$300,MATCH(D1079,'Malzeme Tanımlama'!$A$5:$A$300,0)),"")</f>
        <v/>
      </c>
      <c r="I1079" s="2"/>
      <c r="J1079" s="2"/>
      <c r="K1079" s="2"/>
    </row>
    <row r="1080" spans="1:11" x14ac:dyDescent="0.3">
      <c r="A1080" s="5" t="str">
        <f>IF(D1080="","",COUNTIF($D$5:D1080,"?*"))</f>
        <v/>
      </c>
      <c r="B1080" s="6"/>
      <c r="C1080" s="5" t="str">
        <f>IF(B1080="","",INDEX({"Ocak","Şubat","Mart","Nisan","Mayıs","Haziran","Temmuz","Ağustos","Eylül","Ekim","Kasım","Aralık"},MONTH(B1080)))</f>
        <v/>
      </c>
      <c r="D1080" s="2"/>
      <c r="E1080" s="5" t="str">
        <f>IFERROR(INDEX('Malzeme Tanımlama'!$B$5:$B$300,MATCH(D1080,'Malzeme Tanımlama'!$A$5:$A$300,0)),"")</f>
        <v/>
      </c>
      <c r="F1080" s="2"/>
      <c r="G1080" s="5"/>
      <c r="H1080" s="5" t="str">
        <f>IFERROR(INDEX('Malzeme Tanımlama'!$D$5:$D$300,MATCH(D1080,'Malzeme Tanımlama'!$A$5:$A$300,0)),"")</f>
        <v/>
      </c>
      <c r="I1080" s="2"/>
      <c r="J1080" s="2"/>
      <c r="K1080" s="2"/>
    </row>
    <row r="1081" spans="1:11" x14ac:dyDescent="0.3">
      <c r="A1081" s="5" t="str">
        <f>IF(D1081="","",COUNTIF($D$5:D1081,"?*"))</f>
        <v/>
      </c>
      <c r="B1081" s="6"/>
      <c r="C1081" s="5" t="str">
        <f>IF(B1081="","",INDEX({"Ocak","Şubat","Mart","Nisan","Mayıs","Haziran","Temmuz","Ağustos","Eylül","Ekim","Kasım","Aralık"},MONTH(B1081)))</f>
        <v/>
      </c>
      <c r="D1081" s="2"/>
      <c r="E1081" s="5" t="str">
        <f>IFERROR(INDEX('Malzeme Tanımlama'!$B$5:$B$300,MATCH(D1081,'Malzeme Tanımlama'!$A$5:$A$300,0)),"")</f>
        <v/>
      </c>
      <c r="F1081" s="2"/>
      <c r="G1081" s="5"/>
      <c r="H1081" s="5" t="str">
        <f>IFERROR(INDEX('Malzeme Tanımlama'!$D$5:$D$300,MATCH(D1081,'Malzeme Tanımlama'!$A$5:$A$300,0)),"")</f>
        <v/>
      </c>
      <c r="I1081" s="2"/>
      <c r="J1081" s="2"/>
      <c r="K1081" s="2"/>
    </row>
    <row r="1082" spans="1:11" x14ac:dyDescent="0.3">
      <c r="A1082" s="5" t="str">
        <f>IF(D1082="","",COUNTIF($D$5:D1082,"?*"))</f>
        <v/>
      </c>
      <c r="B1082" s="6"/>
      <c r="C1082" s="5" t="str">
        <f>IF(B1082="","",INDEX({"Ocak","Şubat","Mart","Nisan","Mayıs","Haziran","Temmuz","Ağustos","Eylül","Ekim","Kasım","Aralık"},MONTH(B1082)))</f>
        <v/>
      </c>
      <c r="D1082" s="2"/>
      <c r="E1082" s="5" t="str">
        <f>IFERROR(INDEX('Malzeme Tanımlama'!$B$5:$B$300,MATCH(D1082,'Malzeme Tanımlama'!$A$5:$A$300,0)),"")</f>
        <v/>
      </c>
      <c r="F1082" s="2"/>
      <c r="G1082" s="5"/>
      <c r="H1082" s="5" t="str">
        <f>IFERROR(INDEX('Malzeme Tanımlama'!$D$5:$D$300,MATCH(D1082,'Malzeme Tanımlama'!$A$5:$A$300,0)),"")</f>
        <v/>
      </c>
      <c r="I1082" s="2"/>
      <c r="J1082" s="2"/>
      <c r="K1082" s="2"/>
    </row>
    <row r="1083" spans="1:11" x14ac:dyDescent="0.3">
      <c r="A1083" s="5" t="str">
        <f>IF(D1083="","",COUNTIF($D$5:D1083,"?*"))</f>
        <v/>
      </c>
      <c r="B1083" s="6"/>
      <c r="C1083" s="5" t="str">
        <f>IF(B1083="","",INDEX({"Ocak","Şubat","Mart","Nisan","Mayıs","Haziran","Temmuz","Ağustos","Eylül","Ekim","Kasım","Aralık"},MONTH(B1083)))</f>
        <v/>
      </c>
      <c r="D1083" s="2"/>
      <c r="E1083" s="5" t="str">
        <f>IFERROR(INDEX('Malzeme Tanımlama'!$B$5:$B$300,MATCH(D1083,'Malzeme Tanımlama'!$A$5:$A$300,0)),"")</f>
        <v/>
      </c>
      <c r="F1083" s="2"/>
      <c r="G1083" s="5"/>
      <c r="H1083" s="5" t="str">
        <f>IFERROR(INDEX('Malzeme Tanımlama'!$D$5:$D$300,MATCH(D1083,'Malzeme Tanımlama'!$A$5:$A$300,0)),"")</f>
        <v/>
      </c>
      <c r="I1083" s="2"/>
      <c r="J1083" s="2"/>
      <c r="K1083" s="2"/>
    </row>
    <row r="1084" spans="1:11" x14ac:dyDescent="0.3">
      <c r="A1084" s="5" t="str">
        <f>IF(D1084="","",COUNTIF($D$5:D1084,"?*"))</f>
        <v/>
      </c>
      <c r="B1084" s="6"/>
      <c r="C1084" s="5" t="str">
        <f>IF(B1084="","",INDEX({"Ocak","Şubat","Mart","Nisan","Mayıs","Haziran","Temmuz","Ağustos","Eylül","Ekim","Kasım","Aralık"},MONTH(B1084)))</f>
        <v/>
      </c>
      <c r="D1084" s="2"/>
      <c r="E1084" s="5" t="str">
        <f>IFERROR(INDEX('Malzeme Tanımlama'!$B$5:$B$300,MATCH(D1084,'Malzeme Tanımlama'!$A$5:$A$300,0)),"")</f>
        <v/>
      </c>
      <c r="F1084" s="2"/>
      <c r="G1084" s="5"/>
      <c r="H1084" s="5" t="str">
        <f>IFERROR(INDEX('Malzeme Tanımlama'!$D$5:$D$300,MATCH(D1084,'Malzeme Tanımlama'!$A$5:$A$300,0)),"")</f>
        <v/>
      </c>
      <c r="I1084" s="2"/>
      <c r="J1084" s="2"/>
      <c r="K1084" s="2"/>
    </row>
    <row r="1085" spans="1:11" x14ac:dyDescent="0.3">
      <c r="A1085" s="5" t="str">
        <f>IF(D1085="","",COUNTIF($D$5:D1085,"?*"))</f>
        <v/>
      </c>
      <c r="B1085" s="6"/>
      <c r="C1085" s="5" t="str">
        <f>IF(B1085="","",INDEX({"Ocak","Şubat","Mart","Nisan","Mayıs","Haziran","Temmuz","Ağustos","Eylül","Ekim","Kasım","Aralık"},MONTH(B1085)))</f>
        <v/>
      </c>
      <c r="D1085" s="2"/>
      <c r="E1085" s="5" t="str">
        <f>IFERROR(INDEX('Malzeme Tanımlama'!$B$5:$B$300,MATCH(D1085,'Malzeme Tanımlama'!$A$5:$A$300,0)),"")</f>
        <v/>
      </c>
      <c r="F1085" s="2"/>
      <c r="G1085" s="5"/>
      <c r="H1085" s="5" t="str">
        <f>IFERROR(INDEX('Malzeme Tanımlama'!$D$5:$D$300,MATCH(D1085,'Malzeme Tanımlama'!$A$5:$A$300,0)),"")</f>
        <v/>
      </c>
      <c r="I1085" s="2"/>
      <c r="J1085" s="2"/>
      <c r="K1085" s="2"/>
    </row>
    <row r="1086" spans="1:11" x14ac:dyDescent="0.3">
      <c r="A1086" s="5" t="str">
        <f>IF(D1086="","",COUNTIF($D$5:D1086,"?*"))</f>
        <v/>
      </c>
      <c r="B1086" s="6"/>
      <c r="C1086" s="5" t="str">
        <f>IF(B1086="","",INDEX({"Ocak","Şubat","Mart","Nisan","Mayıs","Haziran","Temmuz","Ağustos","Eylül","Ekim","Kasım","Aralık"},MONTH(B1086)))</f>
        <v/>
      </c>
      <c r="D1086" s="2"/>
      <c r="E1086" s="5" t="str">
        <f>IFERROR(INDEX('Malzeme Tanımlama'!$B$5:$B$300,MATCH(D1086,'Malzeme Tanımlama'!$A$5:$A$300,0)),"")</f>
        <v/>
      </c>
      <c r="F1086" s="2"/>
      <c r="G1086" s="5"/>
      <c r="H1086" s="5" t="str">
        <f>IFERROR(INDEX('Malzeme Tanımlama'!$D$5:$D$300,MATCH(D1086,'Malzeme Tanımlama'!$A$5:$A$300,0)),"")</f>
        <v/>
      </c>
      <c r="I1086" s="2"/>
      <c r="J1086" s="2"/>
      <c r="K1086" s="2"/>
    </row>
    <row r="1087" spans="1:11" x14ac:dyDescent="0.3">
      <c r="A1087" s="5" t="str">
        <f>IF(D1087="","",COUNTIF($D$5:D1087,"?*"))</f>
        <v/>
      </c>
      <c r="B1087" s="6"/>
      <c r="C1087" s="5" t="str">
        <f>IF(B1087="","",INDEX({"Ocak","Şubat","Mart","Nisan","Mayıs","Haziran","Temmuz","Ağustos","Eylül","Ekim","Kasım","Aralık"},MONTH(B1087)))</f>
        <v/>
      </c>
      <c r="D1087" s="2"/>
      <c r="E1087" s="5" t="str">
        <f>IFERROR(INDEX('Malzeme Tanımlama'!$B$5:$B$300,MATCH(D1087,'Malzeme Tanımlama'!$A$5:$A$300,0)),"")</f>
        <v/>
      </c>
      <c r="F1087" s="2"/>
      <c r="G1087" s="5"/>
      <c r="H1087" s="5" t="str">
        <f>IFERROR(INDEX('Malzeme Tanımlama'!$D$5:$D$300,MATCH(D1087,'Malzeme Tanımlama'!$A$5:$A$300,0)),"")</f>
        <v/>
      </c>
      <c r="I1087" s="2"/>
      <c r="J1087" s="2"/>
      <c r="K1087" s="2"/>
    </row>
    <row r="1088" spans="1:11" x14ac:dyDescent="0.3">
      <c r="A1088" s="5" t="str">
        <f>IF(D1088="","",COUNTIF($D$5:D1088,"?*"))</f>
        <v/>
      </c>
      <c r="B1088" s="6"/>
      <c r="C1088" s="5" t="str">
        <f>IF(B1088="","",INDEX({"Ocak","Şubat","Mart","Nisan","Mayıs","Haziran","Temmuz","Ağustos","Eylül","Ekim","Kasım","Aralık"},MONTH(B1088)))</f>
        <v/>
      </c>
      <c r="D1088" s="2"/>
      <c r="E1088" s="5" t="str">
        <f>IFERROR(INDEX('Malzeme Tanımlama'!$B$5:$B$300,MATCH(D1088,'Malzeme Tanımlama'!$A$5:$A$300,0)),"")</f>
        <v/>
      </c>
      <c r="F1088" s="2"/>
      <c r="G1088" s="5"/>
      <c r="H1088" s="5" t="str">
        <f>IFERROR(INDEX('Malzeme Tanımlama'!$D$5:$D$300,MATCH(D1088,'Malzeme Tanımlama'!$A$5:$A$300,0)),"")</f>
        <v/>
      </c>
      <c r="I1088" s="2"/>
      <c r="J1088" s="2"/>
      <c r="K1088" s="2"/>
    </row>
    <row r="1089" spans="1:11" x14ac:dyDescent="0.3">
      <c r="A1089" s="5" t="str">
        <f>IF(D1089="","",COUNTIF($D$5:D1089,"?*"))</f>
        <v/>
      </c>
      <c r="B1089" s="6"/>
      <c r="C1089" s="5" t="str">
        <f>IF(B1089="","",INDEX({"Ocak","Şubat","Mart","Nisan","Mayıs","Haziran","Temmuz","Ağustos","Eylül","Ekim","Kasım","Aralık"},MONTH(B1089)))</f>
        <v/>
      </c>
      <c r="D1089" s="2"/>
      <c r="E1089" s="5" t="str">
        <f>IFERROR(INDEX('Malzeme Tanımlama'!$B$5:$B$300,MATCH(D1089,'Malzeme Tanımlama'!$A$5:$A$300,0)),"")</f>
        <v/>
      </c>
      <c r="F1089" s="2"/>
      <c r="G1089" s="5"/>
      <c r="H1089" s="5" t="str">
        <f>IFERROR(INDEX('Malzeme Tanımlama'!$D$5:$D$300,MATCH(D1089,'Malzeme Tanımlama'!$A$5:$A$300,0)),"")</f>
        <v/>
      </c>
      <c r="I1089" s="2"/>
      <c r="J1089" s="2"/>
      <c r="K1089" s="2"/>
    </row>
    <row r="1090" spans="1:11" x14ac:dyDescent="0.3">
      <c r="A1090" s="5" t="str">
        <f>IF(D1090="","",COUNTIF($D$5:D1090,"?*"))</f>
        <v/>
      </c>
      <c r="B1090" s="6"/>
      <c r="C1090" s="5" t="str">
        <f>IF(B1090="","",INDEX({"Ocak","Şubat","Mart","Nisan","Mayıs","Haziran","Temmuz","Ağustos","Eylül","Ekim","Kasım","Aralık"},MONTH(B1090)))</f>
        <v/>
      </c>
      <c r="D1090" s="2"/>
      <c r="E1090" s="5" t="str">
        <f>IFERROR(INDEX('Malzeme Tanımlama'!$B$5:$B$300,MATCH(D1090,'Malzeme Tanımlama'!$A$5:$A$300,0)),"")</f>
        <v/>
      </c>
      <c r="F1090" s="2"/>
      <c r="G1090" s="5"/>
      <c r="H1090" s="5" t="str">
        <f>IFERROR(INDEX('Malzeme Tanımlama'!$D$5:$D$300,MATCH(D1090,'Malzeme Tanımlama'!$A$5:$A$300,0)),"")</f>
        <v/>
      </c>
      <c r="I1090" s="2"/>
      <c r="J1090" s="2"/>
      <c r="K1090" s="2"/>
    </row>
    <row r="1091" spans="1:11" x14ac:dyDescent="0.3">
      <c r="A1091" s="5" t="str">
        <f>IF(D1091="","",COUNTIF($D$5:D1091,"?*"))</f>
        <v/>
      </c>
      <c r="B1091" s="6"/>
      <c r="C1091" s="5" t="str">
        <f>IF(B1091="","",INDEX({"Ocak","Şubat","Mart","Nisan","Mayıs","Haziran","Temmuz","Ağustos","Eylül","Ekim","Kasım","Aralık"},MONTH(B1091)))</f>
        <v/>
      </c>
      <c r="D1091" s="2"/>
      <c r="E1091" s="5" t="str">
        <f>IFERROR(INDEX('Malzeme Tanımlama'!$B$5:$B$300,MATCH(D1091,'Malzeme Tanımlama'!$A$5:$A$300,0)),"")</f>
        <v/>
      </c>
      <c r="F1091" s="2"/>
      <c r="G1091" s="5"/>
      <c r="H1091" s="5" t="str">
        <f>IFERROR(INDEX('Malzeme Tanımlama'!$D$5:$D$300,MATCH(D1091,'Malzeme Tanımlama'!$A$5:$A$300,0)),"")</f>
        <v/>
      </c>
      <c r="I1091" s="2"/>
      <c r="J1091" s="2"/>
      <c r="K1091" s="2"/>
    </row>
    <row r="1092" spans="1:11" x14ac:dyDescent="0.3">
      <c r="A1092" s="5" t="str">
        <f>IF(D1092="","",COUNTIF($D$5:D1092,"?*"))</f>
        <v/>
      </c>
      <c r="B1092" s="6"/>
      <c r="C1092" s="5" t="str">
        <f>IF(B1092="","",INDEX({"Ocak","Şubat","Mart","Nisan","Mayıs","Haziran","Temmuz","Ağustos","Eylül","Ekim","Kasım","Aralık"},MONTH(B1092)))</f>
        <v/>
      </c>
      <c r="D1092" s="2"/>
      <c r="E1092" s="5" t="str">
        <f>IFERROR(INDEX('Malzeme Tanımlama'!$B$5:$B$300,MATCH(D1092,'Malzeme Tanımlama'!$A$5:$A$300,0)),"")</f>
        <v/>
      </c>
      <c r="F1092" s="2"/>
      <c r="G1092" s="5"/>
      <c r="H1092" s="5" t="str">
        <f>IFERROR(INDEX('Malzeme Tanımlama'!$D$5:$D$300,MATCH(D1092,'Malzeme Tanımlama'!$A$5:$A$300,0)),"")</f>
        <v/>
      </c>
      <c r="I1092" s="2"/>
      <c r="J1092" s="2"/>
      <c r="K1092" s="2"/>
    </row>
    <row r="1093" spans="1:11" x14ac:dyDescent="0.3">
      <c r="A1093" s="5" t="str">
        <f>IF(D1093="","",COUNTIF($D$5:D1093,"?*"))</f>
        <v/>
      </c>
      <c r="B1093" s="6"/>
      <c r="C1093" s="5" t="str">
        <f>IF(B1093="","",INDEX({"Ocak","Şubat","Mart","Nisan","Mayıs","Haziran","Temmuz","Ağustos","Eylül","Ekim","Kasım","Aralık"},MONTH(B1093)))</f>
        <v/>
      </c>
      <c r="D1093" s="2"/>
      <c r="E1093" s="5" t="str">
        <f>IFERROR(INDEX('Malzeme Tanımlama'!$B$5:$B$300,MATCH(D1093,'Malzeme Tanımlama'!$A$5:$A$300,0)),"")</f>
        <v/>
      </c>
      <c r="F1093" s="2"/>
      <c r="G1093" s="5"/>
      <c r="H1093" s="5" t="str">
        <f>IFERROR(INDEX('Malzeme Tanımlama'!$D$5:$D$300,MATCH(D1093,'Malzeme Tanımlama'!$A$5:$A$300,0)),"")</f>
        <v/>
      </c>
      <c r="I1093" s="2"/>
      <c r="J1093" s="2"/>
      <c r="K1093" s="2"/>
    </row>
    <row r="1094" spans="1:11" x14ac:dyDescent="0.3">
      <c r="A1094" s="5" t="str">
        <f>IF(D1094="","",COUNTIF($D$5:D1094,"?*"))</f>
        <v/>
      </c>
      <c r="B1094" s="6"/>
      <c r="C1094" s="5" t="str">
        <f>IF(B1094="","",INDEX({"Ocak","Şubat","Mart","Nisan","Mayıs","Haziran","Temmuz","Ağustos","Eylül","Ekim","Kasım","Aralık"},MONTH(B1094)))</f>
        <v/>
      </c>
      <c r="D1094" s="2"/>
      <c r="E1094" s="5" t="str">
        <f>IFERROR(INDEX('Malzeme Tanımlama'!$B$5:$B$300,MATCH(D1094,'Malzeme Tanımlama'!$A$5:$A$300,0)),"")</f>
        <v/>
      </c>
      <c r="F1094" s="2"/>
      <c r="G1094" s="5"/>
      <c r="H1094" s="5" t="str">
        <f>IFERROR(INDEX('Malzeme Tanımlama'!$D$5:$D$300,MATCH(D1094,'Malzeme Tanımlama'!$A$5:$A$300,0)),"")</f>
        <v/>
      </c>
      <c r="I1094" s="2"/>
      <c r="J1094" s="2"/>
      <c r="K1094" s="2"/>
    </row>
    <row r="1095" spans="1:11" x14ac:dyDescent="0.3">
      <c r="A1095" s="5" t="str">
        <f>IF(D1095="","",COUNTIF($D$5:D1095,"?*"))</f>
        <v/>
      </c>
      <c r="B1095" s="6"/>
      <c r="C1095" s="5" t="str">
        <f>IF(B1095="","",INDEX({"Ocak","Şubat","Mart","Nisan","Mayıs","Haziran","Temmuz","Ağustos","Eylül","Ekim","Kasım","Aralık"},MONTH(B1095)))</f>
        <v/>
      </c>
      <c r="D1095" s="2"/>
      <c r="E1095" s="5" t="str">
        <f>IFERROR(INDEX('Malzeme Tanımlama'!$B$5:$B$300,MATCH(D1095,'Malzeme Tanımlama'!$A$5:$A$300,0)),"")</f>
        <v/>
      </c>
      <c r="F1095" s="2"/>
      <c r="G1095" s="5"/>
      <c r="H1095" s="5" t="str">
        <f>IFERROR(INDEX('Malzeme Tanımlama'!$D$5:$D$300,MATCH(D1095,'Malzeme Tanımlama'!$A$5:$A$300,0)),"")</f>
        <v/>
      </c>
      <c r="I1095" s="2"/>
      <c r="J1095" s="2"/>
      <c r="K1095" s="2"/>
    </row>
    <row r="1096" spans="1:11" x14ac:dyDescent="0.3">
      <c r="A1096" s="5" t="str">
        <f>IF(D1096="","",COUNTIF($D$5:D1096,"?*"))</f>
        <v/>
      </c>
      <c r="B1096" s="6"/>
      <c r="C1096" s="5" t="str">
        <f>IF(B1096="","",INDEX({"Ocak","Şubat","Mart","Nisan","Mayıs","Haziran","Temmuz","Ağustos","Eylül","Ekim","Kasım","Aralık"},MONTH(B1096)))</f>
        <v/>
      </c>
      <c r="D1096" s="2"/>
      <c r="E1096" s="5" t="str">
        <f>IFERROR(INDEX('Malzeme Tanımlama'!$B$5:$B$300,MATCH(D1096,'Malzeme Tanımlama'!$A$5:$A$300,0)),"")</f>
        <v/>
      </c>
      <c r="F1096" s="2"/>
      <c r="G1096" s="5"/>
      <c r="H1096" s="5" t="str">
        <f>IFERROR(INDEX('Malzeme Tanımlama'!$D$5:$D$300,MATCH(D1096,'Malzeme Tanımlama'!$A$5:$A$300,0)),"")</f>
        <v/>
      </c>
      <c r="I1096" s="2"/>
      <c r="J1096" s="2"/>
      <c r="K1096" s="2"/>
    </row>
    <row r="1097" spans="1:11" x14ac:dyDescent="0.3">
      <c r="A1097" s="5" t="str">
        <f>IF(D1097="","",COUNTIF($D$5:D1097,"?*"))</f>
        <v/>
      </c>
      <c r="B1097" s="6"/>
      <c r="C1097" s="5" t="str">
        <f>IF(B1097="","",INDEX({"Ocak","Şubat","Mart","Nisan","Mayıs","Haziran","Temmuz","Ağustos","Eylül","Ekim","Kasım","Aralık"},MONTH(B1097)))</f>
        <v/>
      </c>
      <c r="D1097" s="2"/>
      <c r="E1097" s="5" t="str">
        <f>IFERROR(INDEX('Malzeme Tanımlama'!$B$5:$B$300,MATCH(D1097,'Malzeme Tanımlama'!$A$5:$A$300,0)),"")</f>
        <v/>
      </c>
      <c r="F1097" s="2"/>
      <c r="G1097" s="5"/>
      <c r="H1097" s="5" t="str">
        <f>IFERROR(INDEX('Malzeme Tanımlama'!$D$5:$D$300,MATCH(D1097,'Malzeme Tanımlama'!$A$5:$A$300,0)),"")</f>
        <v/>
      </c>
      <c r="I1097" s="2"/>
      <c r="J1097" s="2"/>
      <c r="K1097" s="2"/>
    </row>
    <row r="1098" spans="1:11" x14ac:dyDescent="0.3">
      <c r="A1098" s="5" t="str">
        <f>IF(D1098="","",COUNTIF($D$5:D1098,"?*"))</f>
        <v/>
      </c>
      <c r="B1098" s="6"/>
      <c r="C1098" s="5" t="str">
        <f>IF(B1098="","",INDEX({"Ocak","Şubat","Mart","Nisan","Mayıs","Haziran","Temmuz","Ağustos","Eylül","Ekim","Kasım","Aralık"},MONTH(B1098)))</f>
        <v/>
      </c>
      <c r="D1098" s="2"/>
      <c r="E1098" s="5" t="str">
        <f>IFERROR(INDEX('Malzeme Tanımlama'!$B$5:$B$300,MATCH(D1098,'Malzeme Tanımlama'!$A$5:$A$300,0)),"")</f>
        <v/>
      </c>
      <c r="F1098" s="2"/>
      <c r="G1098" s="5"/>
      <c r="H1098" s="5" t="str">
        <f>IFERROR(INDEX('Malzeme Tanımlama'!$D$5:$D$300,MATCH(D1098,'Malzeme Tanımlama'!$A$5:$A$300,0)),"")</f>
        <v/>
      </c>
      <c r="I1098" s="2"/>
      <c r="J1098" s="2"/>
      <c r="K1098" s="2"/>
    </row>
    <row r="1099" spans="1:11" x14ac:dyDescent="0.3">
      <c r="A1099" s="5" t="str">
        <f>IF(D1099="","",COUNTIF($D$5:D1099,"?*"))</f>
        <v/>
      </c>
      <c r="B1099" s="6"/>
      <c r="C1099" s="5" t="str">
        <f>IF(B1099="","",INDEX({"Ocak","Şubat","Mart","Nisan","Mayıs","Haziran","Temmuz","Ağustos","Eylül","Ekim","Kasım","Aralık"},MONTH(B1099)))</f>
        <v/>
      </c>
      <c r="D1099" s="2"/>
      <c r="E1099" s="5" t="str">
        <f>IFERROR(INDEX('Malzeme Tanımlama'!$B$5:$B$300,MATCH(D1099,'Malzeme Tanımlama'!$A$5:$A$300,0)),"")</f>
        <v/>
      </c>
      <c r="F1099" s="2"/>
      <c r="G1099" s="5"/>
      <c r="H1099" s="5" t="str">
        <f>IFERROR(INDEX('Malzeme Tanımlama'!$D$5:$D$300,MATCH(D1099,'Malzeme Tanımlama'!$A$5:$A$300,0)),"")</f>
        <v/>
      </c>
      <c r="I1099" s="2"/>
      <c r="J1099" s="2"/>
      <c r="K1099" s="2"/>
    </row>
    <row r="1100" spans="1:11" x14ac:dyDescent="0.3">
      <c r="A1100" s="5" t="str">
        <f>IF(D1100="","",COUNTIF($D$5:D1100,"?*"))</f>
        <v/>
      </c>
      <c r="B1100" s="6"/>
      <c r="C1100" s="5" t="str">
        <f>IF(B1100="","",INDEX({"Ocak","Şubat","Mart","Nisan","Mayıs","Haziran","Temmuz","Ağustos","Eylül","Ekim","Kasım","Aralık"},MONTH(B1100)))</f>
        <v/>
      </c>
      <c r="D1100" s="2"/>
      <c r="E1100" s="5" t="str">
        <f>IFERROR(INDEX('Malzeme Tanımlama'!$B$5:$B$300,MATCH(D1100,'Malzeme Tanımlama'!$A$5:$A$300,0)),"")</f>
        <v/>
      </c>
      <c r="F1100" s="2"/>
      <c r="G1100" s="5"/>
      <c r="H1100" s="5" t="str">
        <f>IFERROR(INDEX('Malzeme Tanımlama'!$D$5:$D$300,MATCH(D1100,'Malzeme Tanımlama'!$A$5:$A$300,0)),"")</f>
        <v/>
      </c>
      <c r="I1100" s="2"/>
      <c r="J1100" s="2"/>
      <c r="K1100" s="2"/>
    </row>
    <row r="1101" spans="1:11" x14ac:dyDescent="0.3">
      <c r="A1101" s="5" t="str">
        <f>IF(D1101="","",COUNTIF($D$5:D1101,"?*"))</f>
        <v/>
      </c>
      <c r="B1101" s="6"/>
      <c r="C1101" s="5" t="str">
        <f>IF(B1101="","",INDEX({"Ocak","Şubat","Mart","Nisan","Mayıs","Haziran","Temmuz","Ağustos","Eylül","Ekim","Kasım","Aralık"},MONTH(B1101)))</f>
        <v/>
      </c>
      <c r="D1101" s="2"/>
      <c r="E1101" s="5" t="str">
        <f>IFERROR(INDEX('Malzeme Tanımlama'!$B$5:$B$300,MATCH(D1101,'Malzeme Tanımlama'!$A$5:$A$300,0)),"")</f>
        <v/>
      </c>
      <c r="F1101" s="2"/>
      <c r="G1101" s="5"/>
      <c r="H1101" s="5" t="str">
        <f>IFERROR(INDEX('Malzeme Tanımlama'!$D$5:$D$300,MATCH(D1101,'Malzeme Tanımlama'!$A$5:$A$300,0)),"")</f>
        <v/>
      </c>
      <c r="I1101" s="2"/>
      <c r="J1101" s="2"/>
      <c r="K1101" s="2"/>
    </row>
    <row r="1102" spans="1:11" x14ac:dyDescent="0.3">
      <c r="A1102" s="5" t="str">
        <f>IF(D1102="","",COUNTIF($D$5:D1102,"?*"))</f>
        <v/>
      </c>
      <c r="B1102" s="6"/>
      <c r="C1102" s="5" t="str">
        <f>IF(B1102="","",INDEX({"Ocak","Şubat","Mart","Nisan","Mayıs","Haziran","Temmuz","Ağustos","Eylül","Ekim","Kasım","Aralık"},MONTH(B1102)))</f>
        <v/>
      </c>
      <c r="D1102" s="2"/>
      <c r="E1102" s="5" t="str">
        <f>IFERROR(INDEX('Malzeme Tanımlama'!$B$5:$B$300,MATCH(D1102,'Malzeme Tanımlama'!$A$5:$A$300,0)),"")</f>
        <v/>
      </c>
      <c r="F1102" s="2"/>
      <c r="G1102" s="5"/>
      <c r="H1102" s="5" t="str">
        <f>IFERROR(INDEX('Malzeme Tanımlama'!$D$5:$D$300,MATCH(D1102,'Malzeme Tanımlama'!$A$5:$A$300,0)),"")</f>
        <v/>
      </c>
      <c r="I1102" s="2"/>
      <c r="J1102" s="2"/>
      <c r="K1102" s="2"/>
    </row>
    <row r="1103" spans="1:11" x14ac:dyDescent="0.3">
      <c r="A1103" s="5" t="str">
        <f>IF(D1103="","",COUNTIF($D$5:D1103,"?*"))</f>
        <v/>
      </c>
      <c r="B1103" s="6"/>
      <c r="C1103" s="5" t="str">
        <f>IF(B1103="","",INDEX({"Ocak","Şubat","Mart","Nisan","Mayıs","Haziran","Temmuz","Ağustos","Eylül","Ekim","Kasım","Aralık"},MONTH(B1103)))</f>
        <v/>
      </c>
      <c r="D1103" s="2"/>
      <c r="E1103" s="5" t="str">
        <f>IFERROR(INDEX('Malzeme Tanımlama'!$B$5:$B$300,MATCH(D1103,'Malzeme Tanımlama'!$A$5:$A$300,0)),"")</f>
        <v/>
      </c>
      <c r="F1103" s="2"/>
      <c r="G1103" s="5"/>
      <c r="H1103" s="5" t="str">
        <f>IFERROR(INDEX('Malzeme Tanımlama'!$D$5:$D$300,MATCH(D1103,'Malzeme Tanımlama'!$A$5:$A$300,0)),"")</f>
        <v/>
      </c>
      <c r="I1103" s="2"/>
      <c r="J1103" s="2"/>
      <c r="K1103" s="2"/>
    </row>
    <row r="1104" spans="1:11" x14ac:dyDescent="0.3">
      <c r="A1104" s="5" t="str">
        <f>IF(D1104="","",COUNTIF($D$5:D1104,"?*"))</f>
        <v/>
      </c>
      <c r="B1104" s="6"/>
      <c r="C1104" s="5" t="str">
        <f>IF(B1104="","",INDEX({"Ocak","Şubat","Mart","Nisan","Mayıs","Haziran","Temmuz","Ağustos","Eylül","Ekim","Kasım","Aralık"},MONTH(B1104)))</f>
        <v/>
      </c>
      <c r="D1104" s="2"/>
      <c r="E1104" s="5" t="str">
        <f>IFERROR(INDEX('Malzeme Tanımlama'!$B$5:$B$300,MATCH(D1104,'Malzeme Tanımlama'!$A$5:$A$300,0)),"")</f>
        <v/>
      </c>
      <c r="F1104" s="2"/>
      <c r="G1104" s="5"/>
      <c r="H1104" s="5" t="str">
        <f>IFERROR(INDEX('Malzeme Tanımlama'!$D$5:$D$300,MATCH(D1104,'Malzeme Tanımlama'!$A$5:$A$300,0)),"")</f>
        <v/>
      </c>
      <c r="I1104" s="2"/>
      <c r="J1104" s="2"/>
      <c r="K1104" s="2"/>
    </row>
    <row r="1105" spans="1:11" x14ac:dyDescent="0.3">
      <c r="A1105" s="5" t="str">
        <f>IF(D1105="","",COUNTIF($D$5:D1105,"?*"))</f>
        <v/>
      </c>
      <c r="B1105" s="6"/>
      <c r="C1105" s="5" t="str">
        <f>IF(B1105="","",INDEX({"Ocak","Şubat","Mart","Nisan","Mayıs","Haziran","Temmuz","Ağustos","Eylül","Ekim","Kasım","Aralık"},MONTH(B1105)))</f>
        <v/>
      </c>
      <c r="D1105" s="2"/>
      <c r="E1105" s="5" t="str">
        <f>IFERROR(INDEX('Malzeme Tanımlama'!$B$5:$B$300,MATCH(D1105,'Malzeme Tanımlama'!$A$5:$A$300,0)),"")</f>
        <v/>
      </c>
      <c r="F1105" s="2"/>
      <c r="G1105" s="5"/>
      <c r="H1105" s="5" t="str">
        <f>IFERROR(INDEX('Malzeme Tanımlama'!$D$5:$D$300,MATCH(D1105,'Malzeme Tanımlama'!$A$5:$A$300,0)),"")</f>
        <v/>
      </c>
      <c r="I1105" s="2"/>
      <c r="J1105" s="2"/>
      <c r="K1105" s="2"/>
    </row>
    <row r="1106" spans="1:11" x14ac:dyDescent="0.3">
      <c r="A1106" s="5" t="str">
        <f>IF(D1106="","",COUNTIF($D$5:D1106,"?*"))</f>
        <v/>
      </c>
      <c r="B1106" s="6"/>
      <c r="C1106" s="5" t="str">
        <f>IF(B1106="","",INDEX({"Ocak","Şubat","Mart","Nisan","Mayıs","Haziran","Temmuz","Ağustos","Eylül","Ekim","Kasım","Aralık"},MONTH(B1106)))</f>
        <v/>
      </c>
      <c r="D1106" s="2"/>
      <c r="E1106" s="5" t="str">
        <f>IFERROR(INDEX('Malzeme Tanımlama'!$B$5:$B$300,MATCH(D1106,'Malzeme Tanımlama'!$A$5:$A$300,0)),"")</f>
        <v/>
      </c>
      <c r="F1106" s="2"/>
      <c r="G1106" s="5"/>
      <c r="H1106" s="5" t="str">
        <f>IFERROR(INDEX('Malzeme Tanımlama'!$D$5:$D$300,MATCH(D1106,'Malzeme Tanımlama'!$A$5:$A$300,0)),"")</f>
        <v/>
      </c>
      <c r="I1106" s="2"/>
      <c r="J1106" s="2"/>
      <c r="K1106" s="2"/>
    </row>
    <row r="1107" spans="1:11" x14ac:dyDescent="0.3">
      <c r="A1107" s="5" t="str">
        <f>IF(D1107="","",COUNTIF($D$5:D1107,"?*"))</f>
        <v/>
      </c>
      <c r="B1107" s="6"/>
      <c r="C1107" s="5" t="str">
        <f>IF(B1107="","",INDEX({"Ocak","Şubat","Mart","Nisan","Mayıs","Haziran","Temmuz","Ağustos","Eylül","Ekim","Kasım","Aralık"},MONTH(B1107)))</f>
        <v/>
      </c>
      <c r="D1107" s="2"/>
      <c r="E1107" s="5" t="str">
        <f>IFERROR(INDEX('Malzeme Tanımlama'!$B$5:$B$300,MATCH(D1107,'Malzeme Tanımlama'!$A$5:$A$300,0)),"")</f>
        <v/>
      </c>
      <c r="F1107" s="2"/>
      <c r="G1107" s="5"/>
      <c r="H1107" s="5" t="str">
        <f>IFERROR(INDEX('Malzeme Tanımlama'!$D$5:$D$300,MATCH(D1107,'Malzeme Tanımlama'!$A$5:$A$300,0)),"")</f>
        <v/>
      </c>
      <c r="I1107" s="2"/>
      <c r="J1107" s="2"/>
      <c r="K1107" s="2"/>
    </row>
    <row r="1108" spans="1:11" x14ac:dyDescent="0.3">
      <c r="A1108" s="5" t="str">
        <f>IF(D1108="","",COUNTIF($D$5:D1108,"?*"))</f>
        <v/>
      </c>
      <c r="B1108" s="6"/>
      <c r="C1108" s="5" t="str">
        <f>IF(B1108="","",INDEX({"Ocak","Şubat","Mart","Nisan","Mayıs","Haziran","Temmuz","Ağustos","Eylül","Ekim","Kasım","Aralık"},MONTH(B1108)))</f>
        <v/>
      </c>
      <c r="D1108" s="2"/>
      <c r="E1108" s="5" t="str">
        <f>IFERROR(INDEX('Malzeme Tanımlama'!$B$5:$B$300,MATCH(D1108,'Malzeme Tanımlama'!$A$5:$A$300,0)),"")</f>
        <v/>
      </c>
      <c r="F1108" s="2"/>
      <c r="G1108" s="5"/>
      <c r="H1108" s="5" t="str">
        <f>IFERROR(INDEX('Malzeme Tanımlama'!$D$5:$D$300,MATCH(D1108,'Malzeme Tanımlama'!$A$5:$A$300,0)),"")</f>
        <v/>
      </c>
      <c r="I1108" s="2"/>
      <c r="J1108" s="2"/>
      <c r="K1108" s="2"/>
    </row>
    <row r="1109" spans="1:11" x14ac:dyDescent="0.3">
      <c r="A1109" s="5" t="str">
        <f>IF(D1109="","",COUNTIF($D$5:D1109,"?*"))</f>
        <v/>
      </c>
      <c r="B1109" s="6"/>
      <c r="C1109" s="5" t="str">
        <f>IF(B1109="","",INDEX({"Ocak","Şubat","Mart","Nisan","Mayıs","Haziran","Temmuz","Ağustos","Eylül","Ekim","Kasım","Aralık"},MONTH(B1109)))</f>
        <v/>
      </c>
      <c r="D1109" s="2"/>
      <c r="E1109" s="5" t="str">
        <f>IFERROR(INDEX('Malzeme Tanımlama'!$B$5:$B$300,MATCH(D1109,'Malzeme Tanımlama'!$A$5:$A$300,0)),"")</f>
        <v/>
      </c>
      <c r="F1109" s="2"/>
      <c r="G1109" s="5"/>
      <c r="H1109" s="5" t="str">
        <f>IFERROR(INDEX('Malzeme Tanımlama'!$D$5:$D$300,MATCH(D1109,'Malzeme Tanımlama'!$A$5:$A$300,0)),"")</f>
        <v/>
      </c>
      <c r="I1109" s="2"/>
      <c r="J1109" s="2"/>
      <c r="K1109" s="2"/>
    </row>
    <row r="1110" spans="1:11" x14ac:dyDescent="0.3">
      <c r="A1110" s="5" t="str">
        <f>IF(D1110="","",COUNTIF($D$5:D1110,"?*"))</f>
        <v/>
      </c>
      <c r="B1110" s="6"/>
      <c r="C1110" s="5" t="str">
        <f>IF(B1110="","",INDEX({"Ocak","Şubat","Mart","Nisan","Mayıs","Haziran","Temmuz","Ağustos","Eylül","Ekim","Kasım","Aralık"},MONTH(B1110)))</f>
        <v/>
      </c>
      <c r="D1110" s="2"/>
      <c r="E1110" s="5" t="str">
        <f>IFERROR(INDEX('Malzeme Tanımlama'!$B$5:$B$300,MATCH(D1110,'Malzeme Tanımlama'!$A$5:$A$300,0)),"")</f>
        <v/>
      </c>
      <c r="F1110" s="2"/>
      <c r="G1110" s="5"/>
      <c r="H1110" s="5" t="str">
        <f>IFERROR(INDEX('Malzeme Tanımlama'!$D$5:$D$300,MATCH(D1110,'Malzeme Tanımlama'!$A$5:$A$300,0)),"")</f>
        <v/>
      </c>
      <c r="I1110" s="2"/>
      <c r="J1110" s="2"/>
      <c r="K1110" s="2"/>
    </row>
    <row r="1111" spans="1:11" x14ac:dyDescent="0.3">
      <c r="A1111" s="5" t="str">
        <f>IF(D1111="","",COUNTIF($D$5:D1111,"?*"))</f>
        <v/>
      </c>
      <c r="B1111" s="6"/>
      <c r="C1111" s="5" t="str">
        <f>IF(B1111="","",INDEX({"Ocak","Şubat","Mart","Nisan","Mayıs","Haziran","Temmuz","Ağustos","Eylül","Ekim","Kasım","Aralık"},MONTH(B1111)))</f>
        <v/>
      </c>
      <c r="D1111" s="2"/>
      <c r="E1111" s="5" t="str">
        <f>IFERROR(INDEX('Malzeme Tanımlama'!$B$5:$B$300,MATCH(D1111,'Malzeme Tanımlama'!$A$5:$A$300,0)),"")</f>
        <v/>
      </c>
      <c r="F1111" s="2"/>
      <c r="G1111" s="5"/>
      <c r="H1111" s="5" t="str">
        <f>IFERROR(INDEX('Malzeme Tanımlama'!$D$5:$D$300,MATCH(D1111,'Malzeme Tanımlama'!$A$5:$A$300,0)),"")</f>
        <v/>
      </c>
      <c r="I1111" s="2"/>
      <c r="J1111" s="2"/>
      <c r="K1111" s="2"/>
    </row>
    <row r="1112" spans="1:11" x14ac:dyDescent="0.3">
      <c r="A1112" s="5" t="str">
        <f>IF(D1112="","",COUNTIF($D$5:D1112,"?*"))</f>
        <v/>
      </c>
      <c r="B1112" s="6"/>
      <c r="C1112" s="5" t="str">
        <f>IF(B1112="","",INDEX({"Ocak","Şubat","Mart","Nisan","Mayıs","Haziran","Temmuz","Ağustos","Eylül","Ekim","Kasım","Aralık"},MONTH(B1112)))</f>
        <v/>
      </c>
      <c r="D1112" s="2"/>
      <c r="E1112" s="5" t="str">
        <f>IFERROR(INDEX('Malzeme Tanımlama'!$B$5:$B$300,MATCH(D1112,'Malzeme Tanımlama'!$A$5:$A$300,0)),"")</f>
        <v/>
      </c>
      <c r="F1112" s="2"/>
      <c r="G1112" s="5"/>
      <c r="H1112" s="5" t="str">
        <f>IFERROR(INDEX('Malzeme Tanımlama'!$D$5:$D$300,MATCH(D1112,'Malzeme Tanımlama'!$A$5:$A$300,0)),"")</f>
        <v/>
      </c>
      <c r="I1112" s="2"/>
      <c r="J1112" s="2"/>
      <c r="K1112" s="2"/>
    </row>
    <row r="1113" spans="1:11" x14ac:dyDescent="0.3">
      <c r="A1113" s="5" t="str">
        <f>IF(D1113="","",COUNTIF($D$5:D1113,"?*"))</f>
        <v/>
      </c>
      <c r="B1113" s="6"/>
      <c r="C1113" s="5" t="str">
        <f>IF(B1113="","",INDEX({"Ocak","Şubat","Mart","Nisan","Mayıs","Haziran","Temmuz","Ağustos","Eylül","Ekim","Kasım","Aralık"},MONTH(B1113)))</f>
        <v/>
      </c>
      <c r="D1113" s="2"/>
      <c r="E1113" s="5" t="str">
        <f>IFERROR(INDEX('Malzeme Tanımlama'!$B$5:$B$300,MATCH(D1113,'Malzeme Tanımlama'!$A$5:$A$300,0)),"")</f>
        <v/>
      </c>
      <c r="F1113" s="2"/>
      <c r="G1113" s="5"/>
      <c r="H1113" s="5" t="str">
        <f>IFERROR(INDEX('Malzeme Tanımlama'!$D$5:$D$300,MATCH(D1113,'Malzeme Tanımlama'!$A$5:$A$300,0)),"")</f>
        <v/>
      </c>
      <c r="I1113" s="2"/>
      <c r="J1113" s="2"/>
      <c r="K1113" s="2"/>
    </row>
    <row r="1114" spans="1:11" x14ac:dyDescent="0.3">
      <c r="A1114" s="5" t="str">
        <f>IF(D1114="","",COUNTIF($D$5:D1114,"?*"))</f>
        <v/>
      </c>
      <c r="B1114" s="6"/>
      <c r="C1114" s="5" t="str">
        <f>IF(B1114="","",INDEX({"Ocak","Şubat","Mart","Nisan","Mayıs","Haziran","Temmuz","Ağustos","Eylül","Ekim","Kasım","Aralık"},MONTH(B1114)))</f>
        <v/>
      </c>
      <c r="D1114" s="2"/>
      <c r="E1114" s="5" t="str">
        <f>IFERROR(INDEX('Malzeme Tanımlama'!$B$5:$B$300,MATCH(D1114,'Malzeme Tanımlama'!$A$5:$A$300,0)),"")</f>
        <v/>
      </c>
      <c r="F1114" s="2"/>
      <c r="G1114" s="5"/>
      <c r="H1114" s="5" t="str">
        <f>IFERROR(INDEX('Malzeme Tanımlama'!$D$5:$D$300,MATCH(D1114,'Malzeme Tanımlama'!$A$5:$A$300,0)),"")</f>
        <v/>
      </c>
      <c r="I1114" s="2"/>
      <c r="J1114" s="2"/>
      <c r="K1114" s="2"/>
    </row>
    <row r="1115" spans="1:11" x14ac:dyDescent="0.3">
      <c r="A1115" s="5" t="str">
        <f>IF(D1115="","",COUNTIF($D$5:D1115,"?*"))</f>
        <v/>
      </c>
      <c r="B1115" s="6"/>
      <c r="C1115" s="5" t="str">
        <f>IF(B1115="","",INDEX({"Ocak","Şubat","Mart","Nisan","Mayıs","Haziran","Temmuz","Ağustos","Eylül","Ekim","Kasım","Aralık"},MONTH(B1115)))</f>
        <v/>
      </c>
      <c r="D1115" s="2"/>
      <c r="E1115" s="5" t="str">
        <f>IFERROR(INDEX('Malzeme Tanımlama'!$B$5:$B$300,MATCH(D1115,'Malzeme Tanımlama'!$A$5:$A$300,0)),"")</f>
        <v/>
      </c>
      <c r="F1115" s="2"/>
      <c r="G1115" s="5"/>
      <c r="H1115" s="5" t="str">
        <f>IFERROR(INDEX('Malzeme Tanımlama'!$D$5:$D$300,MATCH(D1115,'Malzeme Tanımlama'!$A$5:$A$300,0)),"")</f>
        <v/>
      </c>
      <c r="I1115" s="2"/>
      <c r="J1115" s="2"/>
      <c r="K1115" s="2"/>
    </row>
    <row r="1116" spans="1:11" x14ac:dyDescent="0.3">
      <c r="A1116" s="5" t="str">
        <f>IF(D1116="","",COUNTIF($D$5:D1116,"?*"))</f>
        <v/>
      </c>
      <c r="B1116" s="6"/>
      <c r="C1116" s="5" t="str">
        <f>IF(B1116="","",INDEX({"Ocak","Şubat","Mart","Nisan","Mayıs","Haziran","Temmuz","Ağustos","Eylül","Ekim","Kasım","Aralık"},MONTH(B1116)))</f>
        <v/>
      </c>
      <c r="D1116" s="2"/>
      <c r="E1116" s="5" t="str">
        <f>IFERROR(INDEX('Malzeme Tanımlama'!$B$5:$B$300,MATCH(D1116,'Malzeme Tanımlama'!$A$5:$A$300,0)),"")</f>
        <v/>
      </c>
      <c r="F1116" s="2"/>
      <c r="G1116" s="5"/>
      <c r="H1116" s="5" t="str">
        <f>IFERROR(INDEX('Malzeme Tanımlama'!$D$5:$D$300,MATCH(D1116,'Malzeme Tanımlama'!$A$5:$A$300,0)),"")</f>
        <v/>
      </c>
      <c r="I1116" s="2"/>
      <c r="J1116" s="2"/>
      <c r="K1116" s="2"/>
    </row>
    <row r="1117" spans="1:11" x14ac:dyDescent="0.3">
      <c r="A1117" s="5" t="str">
        <f>IF(D1117="","",COUNTIF($D$5:D1117,"?*"))</f>
        <v/>
      </c>
      <c r="B1117" s="6"/>
      <c r="C1117" s="5" t="str">
        <f>IF(B1117="","",INDEX({"Ocak","Şubat","Mart","Nisan","Mayıs","Haziran","Temmuz","Ağustos","Eylül","Ekim","Kasım","Aralık"},MONTH(B1117)))</f>
        <v/>
      </c>
      <c r="D1117" s="2"/>
      <c r="E1117" s="5" t="str">
        <f>IFERROR(INDEX('Malzeme Tanımlama'!$B$5:$B$300,MATCH(D1117,'Malzeme Tanımlama'!$A$5:$A$300,0)),"")</f>
        <v/>
      </c>
      <c r="F1117" s="2"/>
      <c r="G1117" s="5"/>
      <c r="H1117" s="5" t="str">
        <f>IFERROR(INDEX('Malzeme Tanımlama'!$D$5:$D$300,MATCH(D1117,'Malzeme Tanımlama'!$A$5:$A$300,0)),"")</f>
        <v/>
      </c>
      <c r="I1117" s="2"/>
      <c r="J1117" s="2"/>
      <c r="K1117" s="2"/>
    </row>
    <row r="1118" spans="1:11" x14ac:dyDescent="0.3">
      <c r="A1118" s="5" t="str">
        <f>IF(D1118="","",COUNTIF($D$5:D1118,"?*"))</f>
        <v/>
      </c>
      <c r="B1118" s="6"/>
      <c r="C1118" s="5" t="str">
        <f>IF(B1118="","",INDEX({"Ocak","Şubat","Mart","Nisan","Mayıs","Haziran","Temmuz","Ağustos","Eylül","Ekim","Kasım","Aralık"},MONTH(B1118)))</f>
        <v/>
      </c>
      <c r="D1118" s="2"/>
      <c r="E1118" s="5" t="str">
        <f>IFERROR(INDEX('Malzeme Tanımlama'!$B$5:$B$300,MATCH(D1118,'Malzeme Tanımlama'!$A$5:$A$300,0)),"")</f>
        <v/>
      </c>
      <c r="F1118" s="2"/>
      <c r="G1118" s="5"/>
      <c r="H1118" s="5" t="str">
        <f>IFERROR(INDEX('Malzeme Tanımlama'!$D$5:$D$300,MATCH(D1118,'Malzeme Tanımlama'!$A$5:$A$300,0)),"")</f>
        <v/>
      </c>
      <c r="I1118" s="2"/>
      <c r="J1118" s="2"/>
      <c r="K1118" s="2"/>
    </row>
    <row r="1119" spans="1:11" x14ac:dyDescent="0.3">
      <c r="A1119" s="5" t="str">
        <f>IF(D1119="","",COUNTIF($D$5:D1119,"?*"))</f>
        <v/>
      </c>
      <c r="B1119" s="6"/>
      <c r="C1119" s="5" t="str">
        <f>IF(B1119="","",INDEX({"Ocak","Şubat","Mart","Nisan","Mayıs","Haziran","Temmuz","Ağustos","Eylül","Ekim","Kasım","Aralık"},MONTH(B1119)))</f>
        <v/>
      </c>
      <c r="D1119" s="2"/>
      <c r="E1119" s="5" t="str">
        <f>IFERROR(INDEX('Malzeme Tanımlama'!$B$5:$B$300,MATCH(D1119,'Malzeme Tanımlama'!$A$5:$A$300,0)),"")</f>
        <v/>
      </c>
      <c r="F1119" s="2"/>
      <c r="G1119" s="5"/>
      <c r="H1119" s="5" t="str">
        <f>IFERROR(INDEX('Malzeme Tanımlama'!$D$5:$D$300,MATCH(D1119,'Malzeme Tanımlama'!$A$5:$A$300,0)),"")</f>
        <v/>
      </c>
      <c r="I1119" s="2"/>
      <c r="J1119" s="2"/>
      <c r="K1119" s="2"/>
    </row>
    <row r="1120" spans="1:11" x14ac:dyDescent="0.3">
      <c r="A1120" s="5" t="str">
        <f>IF(D1120="","",COUNTIF($D$5:D1120,"?*"))</f>
        <v/>
      </c>
      <c r="B1120" s="6"/>
      <c r="C1120" s="5" t="str">
        <f>IF(B1120="","",INDEX({"Ocak","Şubat","Mart","Nisan","Mayıs","Haziran","Temmuz","Ağustos","Eylül","Ekim","Kasım","Aralık"},MONTH(B1120)))</f>
        <v/>
      </c>
      <c r="D1120" s="2"/>
      <c r="E1120" s="5" t="str">
        <f>IFERROR(INDEX('Malzeme Tanımlama'!$B$5:$B$300,MATCH(D1120,'Malzeme Tanımlama'!$A$5:$A$300,0)),"")</f>
        <v/>
      </c>
      <c r="F1120" s="2"/>
      <c r="G1120" s="5"/>
      <c r="H1120" s="5" t="str">
        <f>IFERROR(INDEX('Malzeme Tanımlama'!$D$5:$D$300,MATCH(D1120,'Malzeme Tanımlama'!$A$5:$A$300,0)),"")</f>
        <v/>
      </c>
      <c r="I1120" s="2"/>
      <c r="J1120" s="2"/>
      <c r="K1120" s="2"/>
    </row>
    <row r="1121" spans="1:11" x14ac:dyDescent="0.3">
      <c r="A1121" s="5" t="str">
        <f>IF(D1121="","",COUNTIF($D$5:D1121,"?*"))</f>
        <v/>
      </c>
      <c r="B1121" s="6"/>
      <c r="C1121" s="5" t="str">
        <f>IF(B1121="","",INDEX({"Ocak","Şubat","Mart","Nisan","Mayıs","Haziran","Temmuz","Ağustos","Eylül","Ekim","Kasım","Aralık"},MONTH(B1121)))</f>
        <v/>
      </c>
      <c r="D1121" s="2"/>
      <c r="E1121" s="5" t="str">
        <f>IFERROR(INDEX('Malzeme Tanımlama'!$B$5:$B$300,MATCH(D1121,'Malzeme Tanımlama'!$A$5:$A$300,0)),"")</f>
        <v/>
      </c>
      <c r="F1121" s="2"/>
      <c r="G1121" s="5"/>
      <c r="H1121" s="5" t="str">
        <f>IFERROR(INDEX('Malzeme Tanımlama'!$D$5:$D$300,MATCH(D1121,'Malzeme Tanımlama'!$A$5:$A$300,0)),"")</f>
        <v/>
      </c>
      <c r="I1121" s="2"/>
      <c r="J1121" s="2"/>
      <c r="K1121" s="2"/>
    </row>
    <row r="1122" spans="1:11" x14ac:dyDescent="0.3">
      <c r="A1122" s="5" t="str">
        <f>IF(D1122="","",COUNTIF($D$5:D1122,"?*"))</f>
        <v/>
      </c>
      <c r="B1122" s="6"/>
      <c r="C1122" s="5" t="str">
        <f>IF(B1122="","",INDEX({"Ocak","Şubat","Mart","Nisan","Mayıs","Haziran","Temmuz","Ağustos","Eylül","Ekim","Kasım","Aralık"},MONTH(B1122)))</f>
        <v/>
      </c>
      <c r="D1122" s="2"/>
      <c r="E1122" s="5" t="str">
        <f>IFERROR(INDEX('Malzeme Tanımlama'!$B$5:$B$300,MATCH(D1122,'Malzeme Tanımlama'!$A$5:$A$300,0)),"")</f>
        <v/>
      </c>
      <c r="F1122" s="2"/>
      <c r="G1122" s="5"/>
      <c r="H1122" s="5" t="str">
        <f>IFERROR(INDEX('Malzeme Tanımlama'!$D$5:$D$300,MATCH(D1122,'Malzeme Tanımlama'!$A$5:$A$300,0)),"")</f>
        <v/>
      </c>
      <c r="I1122" s="2"/>
      <c r="J1122" s="2"/>
      <c r="K1122" s="2"/>
    </row>
    <row r="1123" spans="1:11" x14ac:dyDescent="0.3">
      <c r="A1123" s="5" t="str">
        <f>IF(D1123="","",COUNTIF($D$5:D1123,"?*"))</f>
        <v/>
      </c>
      <c r="B1123" s="6"/>
      <c r="C1123" s="5" t="str">
        <f>IF(B1123="","",INDEX({"Ocak","Şubat","Mart","Nisan","Mayıs","Haziran","Temmuz","Ağustos","Eylül","Ekim","Kasım","Aralık"},MONTH(B1123)))</f>
        <v/>
      </c>
      <c r="D1123" s="2"/>
      <c r="E1123" s="5" t="str">
        <f>IFERROR(INDEX('Malzeme Tanımlama'!$B$5:$B$300,MATCH(D1123,'Malzeme Tanımlama'!$A$5:$A$300,0)),"")</f>
        <v/>
      </c>
      <c r="F1123" s="2"/>
      <c r="G1123" s="5"/>
      <c r="H1123" s="5" t="str">
        <f>IFERROR(INDEX('Malzeme Tanımlama'!$D$5:$D$300,MATCH(D1123,'Malzeme Tanımlama'!$A$5:$A$300,0)),"")</f>
        <v/>
      </c>
      <c r="I1123" s="2"/>
      <c r="J1123" s="2"/>
      <c r="K1123" s="2"/>
    </row>
    <row r="1124" spans="1:11" x14ac:dyDescent="0.3">
      <c r="A1124" s="5" t="str">
        <f>IF(D1124="","",COUNTIF($D$5:D1124,"?*"))</f>
        <v/>
      </c>
      <c r="B1124" s="6"/>
      <c r="C1124" s="5" t="str">
        <f>IF(B1124="","",INDEX({"Ocak","Şubat","Mart","Nisan","Mayıs","Haziran","Temmuz","Ağustos","Eylül","Ekim","Kasım","Aralık"},MONTH(B1124)))</f>
        <v/>
      </c>
      <c r="D1124" s="2"/>
      <c r="E1124" s="5" t="str">
        <f>IFERROR(INDEX('Malzeme Tanımlama'!$B$5:$B$300,MATCH(D1124,'Malzeme Tanımlama'!$A$5:$A$300,0)),"")</f>
        <v/>
      </c>
      <c r="F1124" s="2"/>
      <c r="G1124" s="5"/>
      <c r="H1124" s="5" t="str">
        <f>IFERROR(INDEX('Malzeme Tanımlama'!$D$5:$D$300,MATCH(D1124,'Malzeme Tanımlama'!$A$5:$A$300,0)),"")</f>
        <v/>
      </c>
      <c r="I1124" s="2"/>
      <c r="J1124" s="2"/>
      <c r="K1124" s="2"/>
    </row>
    <row r="1125" spans="1:11" x14ac:dyDescent="0.3">
      <c r="A1125" s="5" t="str">
        <f>IF(D1125="","",COUNTIF($D$5:D1125,"?*"))</f>
        <v/>
      </c>
      <c r="B1125" s="6"/>
      <c r="C1125" s="5" t="str">
        <f>IF(B1125="","",INDEX({"Ocak","Şubat","Mart","Nisan","Mayıs","Haziran","Temmuz","Ağustos","Eylül","Ekim","Kasım","Aralık"},MONTH(B1125)))</f>
        <v/>
      </c>
      <c r="D1125" s="2"/>
      <c r="E1125" s="5" t="str">
        <f>IFERROR(INDEX('Malzeme Tanımlama'!$B$5:$B$300,MATCH(D1125,'Malzeme Tanımlama'!$A$5:$A$300,0)),"")</f>
        <v/>
      </c>
      <c r="F1125" s="2"/>
      <c r="G1125" s="5"/>
      <c r="H1125" s="5" t="str">
        <f>IFERROR(INDEX('Malzeme Tanımlama'!$D$5:$D$300,MATCH(D1125,'Malzeme Tanımlama'!$A$5:$A$300,0)),"")</f>
        <v/>
      </c>
      <c r="I1125" s="2"/>
      <c r="J1125" s="2"/>
      <c r="K1125" s="2"/>
    </row>
    <row r="1126" spans="1:11" x14ac:dyDescent="0.3">
      <c r="A1126" s="5" t="str">
        <f>IF(D1126="","",COUNTIF($D$5:D1126,"?*"))</f>
        <v/>
      </c>
      <c r="B1126" s="6"/>
      <c r="C1126" s="5" t="str">
        <f>IF(B1126="","",INDEX({"Ocak","Şubat","Mart","Nisan","Mayıs","Haziran","Temmuz","Ağustos","Eylül","Ekim","Kasım","Aralık"},MONTH(B1126)))</f>
        <v/>
      </c>
      <c r="D1126" s="2"/>
      <c r="E1126" s="5" t="str">
        <f>IFERROR(INDEX('Malzeme Tanımlama'!$B$5:$B$300,MATCH(D1126,'Malzeme Tanımlama'!$A$5:$A$300,0)),"")</f>
        <v/>
      </c>
      <c r="F1126" s="2"/>
      <c r="G1126" s="5"/>
      <c r="H1126" s="5" t="str">
        <f>IFERROR(INDEX('Malzeme Tanımlama'!$D$5:$D$300,MATCH(D1126,'Malzeme Tanımlama'!$A$5:$A$300,0)),"")</f>
        <v/>
      </c>
      <c r="I1126" s="2"/>
      <c r="J1126" s="2"/>
      <c r="K1126" s="2"/>
    </row>
    <row r="1127" spans="1:11" x14ac:dyDescent="0.3">
      <c r="A1127" s="5" t="str">
        <f>IF(D1127="","",COUNTIF($D$5:D1127,"?*"))</f>
        <v/>
      </c>
      <c r="B1127" s="6"/>
      <c r="C1127" s="5" t="str">
        <f>IF(B1127="","",INDEX({"Ocak","Şubat","Mart","Nisan","Mayıs","Haziran","Temmuz","Ağustos","Eylül","Ekim","Kasım","Aralık"},MONTH(B1127)))</f>
        <v/>
      </c>
      <c r="D1127" s="2"/>
      <c r="E1127" s="5" t="str">
        <f>IFERROR(INDEX('Malzeme Tanımlama'!$B$5:$B$300,MATCH(D1127,'Malzeme Tanımlama'!$A$5:$A$300,0)),"")</f>
        <v/>
      </c>
      <c r="F1127" s="2"/>
      <c r="G1127" s="5"/>
      <c r="H1127" s="5" t="str">
        <f>IFERROR(INDEX('Malzeme Tanımlama'!$D$5:$D$300,MATCH(D1127,'Malzeme Tanımlama'!$A$5:$A$300,0)),"")</f>
        <v/>
      </c>
      <c r="I1127" s="2"/>
      <c r="J1127" s="2"/>
      <c r="K1127" s="2"/>
    </row>
    <row r="1128" spans="1:11" x14ac:dyDescent="0.3">
      <c r="A1128" s="5" t="str">
        <f>IF(D1128="","",COUNTIF($D$5:D1128,"?*"))</f>
        <v/>
      </c>
      <c r="B1128" s="6"/>
      <c r="C1128" s="5" t="str">
        <f>IF(B1128="","",INDEX({"Ocak","Şubat","Mart","Nisan","Mayıs","Haziran","Temmuz","Ağustos","Eylül","Ekim","Kasım","Aralık"},MONTH(B1128)))</f>
        <v/>
      </c>
      <c r="D1128" s="2"/>
      <c r="E1128" s="5" t="str">
        <f>IFERROR(INDEX('Malzeme Tanımlama'!$B$5:$B$300,MATCH(D1128,'Malzeme Tanımlama'!$A$5:$A$300,0)),"")</f>
        <v/>
      </c>
      <c r="F1128" s="2"/>
      <c r="G1128" s="5"/>
      <c r="H1128" s="5" t="str">
        <f>IFERROR(INDEX('Malzeme Tanımlama'!$D$5:$D$300,MATCH(D1128,'Malzeme Tanımlama'!$A$5:$A$300,0)),"")</f>
        <v/>
      </c>
      <c r="I1128" s="2"/>
      <c r="J1128" s="2"/>
      <c r="K1128" s="2"/>
    </row>
    <row r="1129" spans="1:11" x14ac:dyDescent="0.3">
      <c r="A1129" s="5" t="str">
        <f>IF(D1129="","",COUNTIF($D$5:D1129,"?*"))</f>
        <v/>
      </c>
      <c r="B1129" s="6"/>
      <c r="C1129" s="5" t="str">
        <f>IF(B1129="","",INDEX({"Ocak","Şubat","Mart","Nisan","Mayıs","Haziran","Temmuz","Ağustos","Eylül","Ekim","Kasım","Aralık"},MONTH(B1129)))</f>
        <v/>
      </c>
      <c r="D1129" s="2"/>
      <c r="E1129" s="5" t="str">
        <f>IFERROR(INDEX('Malzeme Tanımlama'!$B$5:$B$300,MATCH(D1129,'Malzeme Tanımlama'!$A$5:$A$300,0)),"")</f>
        <v/>
      </c>
      <c r="F1129" s="2"/>
      <c r="G1129" s="5"/>
      <c r="H1129" s="5" t="str">
        <f>IFERROR(INDEX('Malzeme Tanımlama'!$D$5:$D$300,MATCH(D1129,'Malzeme Tanımlama'!$A$5:$A$300,0)),"")</f>
        <v/>
      </c>
      <c r="I1129" s="2"/>
      <c r="J1129" s="2"/>
      <c r="K1129" s="2"/>
    </row>
    <row r="1130" spans="1:11" x14ac:dyDescent="0.3">
      <c r="A1130" s="5" t="str">
        <f>IF(D1130="","",COUNTIF($D$5:D1130,"?*"))</f>
        <v/>
      </c>
      <c r="B1130" s="6"/>
      <c r="C1130" s="5" t="str">
        <f>IF(B1130="","",INDEX({"Ocak","Şubat","Mart","Nisan","Mayıs","Haziran","Temmuz","Ağustos","Eylül","Ekim","Kasım","Aralık"},MONTH(B1130)))</f>
        <v/>
      </c>
      <c r="D1130" s="2"/>
      <c r="E1130" s="5" t="str">
        <f>IFERROR(INDEX('Malzeme Tanımlama'!$B$5:$B$300,MATCH(D1130,'Malzeme Tanımlama'!$A$5:$A$300,0)),"")</f>
        <v/>
      </c>
      <c r="F1130" s="2"/>
      <c r="G1130" s="5"/>
      <c r="H1130" s="5" t="str">
        <f>IFERROR(INDEX('Malzeme Tanımlama'!$D$5:$D$300,MATCH(D1130,'Malzeme Tanımlama'!$A$5:$A$300,0)),"")</f>
        <v/>
      </c>
      <c r="I1130" s="2"/>
      <c r="J1130" s="2"/>
      <c r="K1130" s="2"/>
    </row>
    <row r="1131" spans="1:11" x14ac:dyDescent="0.3">
      <c r="A1131" s="5" t="str">
        <f>IF(D1131="","",COUNTIF($D$5:D1131,"?*"))</f>
        <v/>
      </c>
      <c r="B1131" s="6"/>
      <c r="C1131" s="5" t="str">
        <f>IF(B1131="","",INDEX({"Ocak","Şubat","Mart","Nisan","Mayıs","Haziran","Temmuz","Ağustos","Eylül","Ekim","Kasım","Aralık"},MONTH(B1131)))</f>
        <v/>
      </c>
      <c r="D1131" s="2"/>
      <c r="E1131" s="5" t="str">
        <f>IFERROR(INDEX('Malzeme Tanımlama'!$B$5:$B$300,MATCH(D1131,'Malzeme Tanımlama'!$A$5:$A$300,0)),"")</f>
        <v/>
      </c>
      <c r="F1131" s="2"/>
      <c r="G1131" s="5"/>
      <c r="H1131" s="5" t="str">
        <f>IFERROR(INDEX('Malzeme Tanımlama'!$D$5:$D$300,MATCH(D1131,'Malzeme Tanımlama'!$A$5:$A$300,0)),"")</f>
        <v/>
      </c>
      <c r="I1131" s="2"/>
      <c r="J1131" s="2"/>
      <c r="K1131" s="2"/>
    </row>
    <row r="1132" spans="1:11" x14ac:dyDescent="0.3">
      <c r="A1132" s="5" t="str">
        <f>IF(D1132="","",COUNTIF($D$5:D1132,"?*"))</f>
        <v/>
      </c>
      <c r="B1132" s="6"/>
      <c r="C1132" s="5" t="str">
        <f>IF(B1132="","",INDEX({"Ocak","Şubat","Mart","Nisan","Mayıs","Haziran","Temmuz","Ağustos","Eylül","Ekim","Kasım","Aralık"},MONTH(B1132)))</f>
        <v/>
      </c>
      <c r="D1132" s="2"/>
      <c r="E1132" s="5" t="str">
        <f>IFERROR(INDEX('Malzeme Tanımlama'!$B$5:$B$300,MATCH(D1132,'Malzeme Tanımlama'!$A$5:$A$300,0)),"")</f>
        <v/>
      </c>
      <c r="F1132" s="2"/>
      <c r="G1132" s="5"/>
      <c r="H1132" s="5" t="str">
        <f>IFERROR(INDEX('Malzeme Tanımlama'!$D$5:$D$300,MATCH(D1132,'Malzeme Tanımlama'!$A$5:$A$300,0)),"")</f>
        <v/>
      </c>
      <c r="I1132" s="2"/>
      <c r="J1132" s="2"/>
      <c r="K1132" s="2"/>
    </row>
    <row r="1133" spans="1:11" x14ac:dyDescent="0.3">
      <c r="A1133" s="5" t="str">
        <f>IF(D1133="","",COUNTIF($D$5:D1133,"?*"))</f>
        <v/>
      </c>
      <c r="B1133" s="6"/>
      <c r="C1133" s="5" t="str">
        <f>IF(B1133="","",INDEX({"Ocak","Şubat","Mart","Nisan","Mayıs","Haziran","Temmuz","Ağustos","Eylül","Ekim","Kasım","Aralık"},MONTH(B1133)))</f>
        <v/>
      </c>
      <c r="D1133" s="2"/>
      <c r="E1133" s="5" t="str">
        <f>IFERROR(INDEX('Malzeme Tanımlama'!$B$5:$B$300,MATCH(D1133,'Malzeme Tanımlama'!$A$5:$A$300,0)),"")</f>
        <v/>
      </c>
      <c r="F1133" s="2"/>
      <c r="G1133" s="5"/>
      <c r="H1133" s="5" t="str">
        <f>IFERROR(INDEX('Malzeme Tanımlama'!$D$5:$D$300,MATCH(D1133,'Malzeme Tanımlama'!$A$5:$A$300,0)),"")</f>
        <v/>
      </c>
      <c r="I1133" s="2"/>
      <c r="J1133" s="2"/>
      <c r="K1133" s="2"/>
    </row>
    <row r="1134" spans="1:11" x14ac:dyDescent="0.3">
      <c r="A1134" s="5" t="str">
        <f>IF(D1134="","",COUNTIF($D$5:D1134,"?*"))</f>
        <v/>
      </c>
      <c r="B1134" s="6"/>
      <c r="C1134" s="5" t="str">
        <f>IF(B1134="","",INDEX({"Ocak","Şubat","Mart","Nisan","Mayıs","Haziran","Temmuz","Ağustos","Eylül","Ekim","Kasım","Aralık"},MONTH(B1134)))</f>
        <v/>
      </c>
      <c r="D1134" s="2"/>
      <c r="E1134" s="5" t="str">
        <f>IFERROR(INDEX('Malzeme Tanımlama'!$B$5:$B$300,MATCH(D1134,'Malzeme Tanımlama'!$A$5:$A$300,0)),"")</f>
        <v/>
      </c>
      <c r="F1134" s="2"/>
      <c r="G1134" s="5"/>
      <c r="H1134" s="5" t="str">
        <f>IFERROR(INDEX('Malzeme Tanımlama'!$D$5:$D$300,MATCH(D1134,'Malzeme Tanımlama'!$A$5:$A$300,0)),"")</f>
        <v/>
      </c>
      <c r="I1134" s="2"/>
      <c r="J1134" s="2"/>
      <c r="K1134" s="2"/>
    </row>
    <row r="1135" spans="1:11" x14ac:dyDescent="0.3">
      <c r="A1135" s="5" t="str">
        <f>IF(D1135="","",COUNTIF($D$5:D1135,"?*"))</f>
        <v/>
      </c>
      <c r="B1135" s="6"/>
      <c r="C1135" s="5" t="str">
        <f>IF(B1135="","",INDEX({"Ocak","Şubat","Mart","Nisan","Mayıs","Haziran","Temmuz","Ağustos","Eylül","Ekim","Kasım","Aralık"},MONTH(B1135)))</f>
        <v/>
      </c>
      <c r="D1135" s="2"/>
      <c r="E1135" s="5" t="str">
        <f>IFERROR(INDEX('Malzeme Tanımlama'!$B$5:$B$300,MATCH(D1135,'Malzeme Tanımlama'!$A$5:$A$300,0)),"")</f>
        <v/>
      </c>
      <c r="F1135" s="2"/>
      <c r="G1135" s="5"/>
      <c r="H1135" s="5" t="str">
        <f>IFERROR(INDEX('Malzeme Tanımlama'!$D$5:$D$300,MATCH(D1135,'Malzeme Tanımlama'!$A$5:$A$300,0)),"")</f>
        <v/>
      </c>
      <c r="I1135" s="2"/>
      <c r="J1135" s="2"/>
      <c r="K1135" s="2"/>
    </row>
    <row r="1136" spans="1:11" x14ac:dyDescent="0.3">
      <c r="A1136" s="5" t="str">
        <f>IF(D1136="","",COUNTIF($D$5:D1136,"?*"))</f>
        <v/>
      </c>
      <c r="B1136" s="6"/>
      <c r="C1136" s="5" t="str">
        <f>IF(B1136="","",INDEX({"Ocak","Şubat","Mart","Nisan","Mayıs","Haziran","Temmuz","Ağustos","Eylül","Ekim","Kasım","Aralık"},MONTH(B1136)))</f>
        <v/>
      </c>
      <c r="D1136" s="2"/>
      <c r="E1136" s="5" t="str">
        <f>IFERROR(INDEX('Malzeme Tanımlama'!$B$5:$B$300,MATCH(D1136,'Malzeme Tanımlama'!$A$5:$A$300,0)),"")</f>
        <v/>
      </c>
      <c r="F1136" s="2"/>
      <c r="G1136" s="5"/>
      <c r="H1136" s="5" t="str">
        <f>IFERROR(INDEX('Malzeme Tanımlama'!$D$5:$D$300,MATCH(D1136,'Malzeme Tanımlama'!$A$5:$A$300,0)),"")</f>
        <v/>
      </c>
      <c r="I1136" s="2"/>
      <c r="J1136" s="2"/>
      <c r="K1136" s="2"/>
    </row>
    <row r="1137" spans="1:11" x14ac:dyDescent="0.3">
      <c r="A1137" s="5" t="str">
        <f>IF(D1137="","",COUNTIF($D$5:D1137,"?*"))</f>
        <v/>
      </c>
      <c r="B1137" s="6"/>
      <c r="C1137" s="5" t="str">
        <f>IF(B1137="","",INDEX({"Ocak","Şubat","Mart","Nisan","Mayıs","Haziran","Temmuz","Ağustos","Eylül","Ekim","Kasım","Aralık"},MONTH(B1137)))</f>
        <v/>
      </c>
      <c r="D1137" s="2"/>
      <c r="E1137" s="5" t="str">
        <f>IFERROR(INDEX('Malzeme Tanımlama'!$B$5:$B$300,MATCH(D1137,'Malzeme Tanımlama'!$A$5:$A$300,0)),"")</f>
        <v/>
      </c>
      <c r="F1137" s="2"/>
      <c r="G1137" s="5"/>
      <c r="H1137" s="5" t="str">
        <f>IFERROR(INDEX('Malzeme Tanımlama'!$D$5:$D$300,MATCH(D1137,'Malzeme Tanımlama'!$A$5:$A$300,0)),"")</f>
        <v/>
      </c>
      <c r="I1137" s="2"/>
      <c r="J1137" s="2"/>
      <c r="K1137" s="2"/>
    </row>
    <row r="1138" spans="1:11" x14ac:dyDescent="0.3">
      <c r="A1138" s="5" t="str">
        <f>IF(D1138="","",COUNTIF($D$5:D1138,"?*"))</f>
        <v/>
      </c>
      <c r="B1138" s="6"/>
      <c r="C1138" s="5" t="str">
        <f>IF(B1138="","",INDEX({"Ocak","Şubat","Mart","Nisan","Mayıs","Haziran","Temmuz","Ağustos","Eylül","Ekim","Kasım","Aralık"},MONTH(B1138)))</f>
        <v/>
      </c>
      <c r="D1138" s="2"/>
      <c r="E1138" s="5" t="str">
        <f>IFERROR(INDEX('Malzeme Tanımlama'!$B$5:$B$300,MATCH(D1138,'Malzeme Tanımlama'!$A$5:$A$300,0)),"")</f>
        <v/>
      </c>
      <c r="F1138" s="2"/>
      <c r="G1138" s="5"/>
      <c r="H1138" s="5" t="str">
        <f>IFERROR(INDEX('Malzeme Tanımlama'!$D$5:$D$300,MATCH(D1138,'Malzeme Tanımlama'!$A$5:$A$300,0)),"")</f>
        <v/>
      </c>
      <c r="I1138" s="2"/>
      <c r="J1138" s="2"/>
      <c r="K1138" s="2"/>
    </row>
    <row r="1139" spans="1:11" x14ac:dyDescent="0.3">
      <c r="A1139" s="5" t="str">
        <f>IF(D1139="","",COUNTIF($D$5:D1139,"?*"))</f>
        <v/>
      </c>
      <c r="B1139" s="6"/>
      <c r="C1139" s="5" t="str">
        <f>IF(B1139="","",INDEX({"Ocak","Şubat","Mart","Nisan","Mayıs","Haziran","Temmuz","Ağustos","Eylül","Ekim","Kasım","Aralık"},MONTH(B1139)))</f>
        <v/>
      </c>
      <c r="D1139" s="2"/>
      <c r="E1139" s="5" t="str">
        <f>IFERROR(INDEX('Malzeme Tanımlama'!$B$5:$B$300,MATCH(D1139,'Malzeme Tanımlama'!$A$5:$A$300,0)),"")</f>
        <v/>
      </c>
      <c r="F1139" s="2"/>
      <c r="G1139" s="5"/>
      <c r="H1139" s="5" t="str">
        <f>IFERROR(INDEX('Malzeme Tanımlama'!$D$5:$D$300,MATCH(D1139,'Malzeme Tanımlama'!$A$5:$A$300,0)),"")</f>
        <v/>
      </c>
      <c r="I1139" s="2"/>
      <c r="J1139" s="2"/>
      <c r="K1139" s="2"/>
    </row>
    <row r="1140" spans="1:11" x14ac:dyDescent="0.3">
      <c r="A1140" s="5" t="str">
        <f>IF(D1140="","",COUNTIF($D$5:D1140,"?*"))</f>
        <v/>
      </c>
      <c r="B1140" s="6"/>
      <c r="C1140" s="5" t="str">
        <f>IF(B1140="","",INDEX({"Ocak","Şubat","Mart","Nisan","Mayıs","Haziran","Temmuz","Ağustos","Eylül","Ekim","Kasım","Aralık"},MONTH(B1140)))</f>
        <v/>
      </c>
      <c r="D1140" s="2"/>
      <c r="E1140" s="5" t="str">
        <f>IFERROR(INDEX('Malzeme Tanımlama'!$B$5:$B$300,MATCH(D1140,'Malzeme Tanımlama'!$A$5:$A$300,0)),"")</f>
        <v/>
      </c>
      <c r="F1140" s="2"/>
      <c r="G1140" s="5"/>
      <c r="H1140" s="5" t="str">
        <f>IFERROR(INDEX('Malzeme Tanımlama'!$D$5:$D$300,MATCH(D1140,'Malzeme Tanımlama'!$A$5:$A$300,0)),"")</f>
        <v/>
      </c>
      <c r="I1140" s="2"/>
      <c r="J1140" s="2"/>
      <c r="K1140" s="2"/>
    </row>
    <row r="1141" spans="1:11" x14ac:dyDescent="0.3">
      <c r="A1141" s="5" t="str">
        <f>IF(D1141="","",COUNTIF($D$5:D1141,"?*"))</f>
        <v/>
      </c>
      <c r="B1141" s="6"/>
      <c r="C1141" s="5" t="str">
        <f>IF(B1141="","",INDEX({"Ocak","Şubat","Mart","Nisan","Mayıs","Haziran","Temmuz","Ağustos","Eylül","Ekim","Kasım","Aralık"},MONTH(B1141)))</f>
        <v/>
      </c>
      <c r="D1141" s="2"/>
      <c r="E1141" s="5" t="str">
        <f>IFERROR(INDEX('Malzeme Tanımlama'!$B$5:$B$300,MATCH(D1141,'Malzeme Tanımlama'!$A$5:$A$300,0)),"")</f>
        <v/>
      </c>
      <c r="F1141" s="2"/>
      <c r="G1141" s="5"/>
      <c r="H1141" s="5" t="str">
        <f>IFERROR(INDEX('Malzeme Tanımlama'!$D$5:$D$300,MATCH(D1141,'Malzeme Tanımlama'!$A$5:$A$300,0)),"")</f>
        <v/>
      </c>
      <c r="I1141" s="2"/>
      <c r="J1141" s="2"/>
      <c r="K1141" s="2"/>
    </row>
    <row r="1142" spans="1:11" x14ac:dyDescent="0.3">
      <c r="A1142" s="5" t="str">
        <f>IF(D1142="","",COUNTIF($D$5:D1142,"?*"))</f>
        <v/>
      </c>
      <c r="B1142" s="6"/>
      <c r="C1142" s="5" t="str">
        <f>IF(B1142="","",INDEX({"Ocak","Şubat","Mart","Nisan","Mayıs","Haziran","Temmuz","Ağustos","Eylül","Ekim","Kasım","Aralık"},MONTH(B1142)))</f>
        <v/>
      </c>
      <c r="D1142" s="2"/>
      <c r="E1142" s="5" t="str">
        <f>IFERROR(INDEX('Malzeme Tanımlama'!$B$5:$B$300,MATCH(D1142,'Malzeme Tanımlama'!$A$5:$A$300,0)),"")</f>
        <v/>
      </c>
      <c r="F1142" s="2"/>
      <c r="G1142" s="5"/>
      <c r="H1142" s="5" t="str">
        <f>IFERROR(INDEX('Malzeme Tanımlama'!$D$5:$D$300,MATCH(D1142,'Malzeme Tanımlama'!$A$5:$A$300,0)),"")</f>
        <v/>
      </c>
      <c r="I1142" s="2"/>
      <c r="J1142" s="2"/>
      <c r="K1142" s="2"/>
    </row>
    <row r="1143" spans="1:11" x14ac:dyDescent="0.3">
      <c r="A1143" s="5" t="str">
        <f>IF(D1143="","",COUNTIF($D$5:D1143,"?*"))</f>
        <v/>
      </c>
      <c r="B1143" s="6"/>
      <c r="C1143" s="5" t="str">
        <f>IF(B1143="","",INDEX({"Ocak","Şubat","Mart","Nisan","Mayıs","Haziran","Temmuz","Ağustos","Eylül","Ekim","Kasım","Aralık"},MONTH(B1143)))</f>
        <v/>
      </c>
      <c r="D1143" s="2"/>
      <c r="E1143" s="5" t="str">
        <f>IFERROR(INDEX('Malzeme Tanımlama'!$B$5:$B$300,MATCH(D1143,'Malzeme Tanımlama'!$A$5:$A$300,0)),"")</f>
        <v/>
      </c>
      <c r="F1143" s="2"/>
      <c r="G1143" s="5"/>
      <c r="H1143" s="5" t="str">
        <f>IFERROR(INDEX('Malzeme Tanımlama'!$D$5:$D$300,MATCH(D1143,'Malzeme Tanımlama'!$A$5:$A$300,0)),"")</f>
        <v/>
      </c>
      <c r="I1143" s="2"/>
      <c r="J1143" s="2"/>
      <c r="K1143" s="2"/>
    </row>
    <row r="1144" spans="1:11" x14ac:dyDescent="0.3">
      <c r="A1144" s="5" t="str">
        <f>IF(D1144="","",COUNTIF($D$5:D1144,"?*"))</f>
        <v/>
      </c>
      <c r="B1144" s="6"/>
      <c r="C1144" s="5" t="str">
        <f>IF(B1144="","",INDEX({"Ocak","Şubat","Mart","Nisan","Mayıs","Haziran","Temmuz","Ağustos","Eylül","Ekim","Kasım","Aralık"},MONTH(B1144)))</f>
        <v/>
      </c>
      <c r="D1144" s="2"/>
      <c r="E1144" s="5" t="str">
        <f>IFERROR(INDEX('Malzeme Tanımlama'!$B$5:$B$300,MATCH(D1144,'Malzeme Tanımlama'!$A$5:$A$300,0)),"")</f>
        <v/>
      </c>
      <c r="F1144" s="2"/>
      <c r="G1144" s="5"/>
      <c r="H1144" s="5" t="str">
        <f>IFERROR(INDEX('Malzeme Tanımlama'!$D$5:$D$300,MATCH(D1144,'Malzeme Tanımlama'!$A$5:$A$300,0)),"")</f>
        <v/>
      </c>
      <c r="I1144" s="2"/>
      <c r="J1144" s="2"/>
      <c r="K1144" s="2"/>
    </row>
    <row r="1145" spans="1:11" x14ac:dyDescent="0.3">
      <c r="A1145" s="5" t="str">
        <f>IF(D1145="","",COUNTIF($D$5:D1145,"?*"))</f>
        <v/>
      </c>
      <c r="B1145" s="6"/>
      <c r="C1145" s="5" t="str">
        <f>IF(B1145="","",INDEX({"Ocak","Şubat","Mart","Nisan","Mayıs","Haziran","Temmuz","Ağustos","Eylül","Ekim","Kasım","Aralık"},MONTH(B1145)))</f>
        <v/>
      </c>
      <c r="D1145" s="2"/>
      <c r="E1145" s="5" t="str">
        <f>IFERROR(INDEX('Malzeme Tanımlama'!$B$5:$B$300,MATCH(D1145,'Malzeme Tanımlama'!$A$5:$A$300,0)),"")</f>
        <v/>
      </c>
      <c r="F1145" s="2"/>
      <c r="G1145" s="5"/>
      <c r="H1145" s="5" t="str">
        <f>IFERROR(INDEX('Malzeme Tanımlama'!$D$5:$D$300,MATCH(D1145,'Malzeme Tanımlama'!$A$5:$A$300,0)),"")</f>
        <v/>
      </c>
      <c r="I1145" s="2"/>
      <c r="J1145" s="2"/>
      <c r="K1145" s="2"/>
    </row>
    <row r="1146" spans="1:11" x14ac:dyDescent="0.3">
      <c r="A1146" s="5" t="str">
        <f>IF(D1146="","",COUNTIF($D$5:D1146,"?*"))</f>
        <v/>
      </c>
      <c r="B1146" s="6"/>
      <c r="C1146" s="5" t="str">
        <f>IF(B1146="","",INDEX({"Ocak","Şubat","Mart","Nisan","Mayıs","Haziran","Temmuz","Ağustos","Eylül","Ekim","Kasım","Aralık"},MONTH(B1146)))</f>
        <v/>
      </c>
      <c r="D1146" s="2"/>
      <c r="E1146" s="5" t="str">
        <f>IFERROR(INDEX('Malzeme Tanımlama'!$B$5:$B$300,MATCH(D1146,'Malzeme Tanımlama'!$A$5:$A$300,0)),"")</f>
        <v/>
      </c>
      <c r="F1146" s="2"/>
      <c r="G1146" s="5"/>
      <c r="H1146" s="5" t="str">
        <f>IFERROR(INDEX('Malzeme Tanımlama'!$D$5:$D$300,MATCH(D1146,'Malzeme Tanımlama'!$A$5:$A$300,0)),"")</f>
        <v/>
      </c>
      <c r="I1146" s="2"/>
      <c r="J1146" s="2"/>
      <c r="K1146" s="2"/>
    </row>
    <row r="1147" spans="1:11" x14ac:dyDescent="0.3">
      <c r="A1147" s="5" t="str">
        <f>IF(D1147="","",COUNTIF($D$5:D1147,"?*"))</f>
        <v/>
      </c>
      <c r="B1147" s="6"/>
      <c r="C1147" s="5" t="str">
        <f>IF(B1147="","",INDEX({"Ocak","Şubat","Mart","Nisan","Mayıs","Haziran","Temmuz","Ağustos","Eylül","Ekim","Kasım","Aralık"},MONTH(B1147)))</f>
        <v/>
      </c>
      <c r="D1147" s="2"/>
      <c r="E1147" s="5" t="str">
        <f>IFERROR(INDEX('Malzeme Tanımlama'!$B$5:$B$300,MATCH(D1147,'Malzeme Tanımlama'!$A$5:$A$300,0)),"")</f>
        <v/>
      </c>
      <c r="F1147" s="2"/>
      <c r="G1147" s="5"/>
      <c r="H1147" s="5" t="str">
        <f>IFERROR(INDEX('Malzeme Tanımlama'!$D$5:$D$300,MATCH(D1147,'Malzeme Tanımlama'!$A$5:$A$300,0)),"")</f>
        <v/>
      </c>
      <c r="I1147" s="2"/>
      <c r="J1147" s="2"/>
      <c r="K1147" s="2"/>
    </row>
    <row r="1148" spans="1:11" x14ac:dyDescent="0.3">
      <c r="A1148" s="5" t="str">
        <f>IF(D1148="","",COUNTIF($D$5:D1148,"?*"))</f>
        <v/>
      </c>
      <c r="B1148" s="6"/>
      <c r="C1148" s="5" t="str">
        <f>IF(B1148="","",INDEX({"Ocak","Şubat","Mart","Nisan","Mayıs","Haziran","Temmuz","Ağustos","Eylül","Ekim","Kasım","Aralık"},MONTH(B1148)))</f>
        <v/>
      </c>
      <c r="D1148" s="2"/>
      <c r="E1148" s="5" t="str">
        <f>IFERROR(INDEX('Malzeme Tanımlama'!$B$5:$B$300,MATCH(D1148,'Malzeme Tanımlama'!$A$5:$A$300,0)),"")</f>
        <v/>
      </c>
      <c r="F1148" s="2"/>
      <c r="G1148" s="5"/>
      <c r="H1148" s="5" t="str">
        <f>IFERROR(INDEX('Malzeme Tanımlama'!$D$5:$D$300,MATCH(D1148,'Malzeme Tanımlama'!$A$5:$A$300,0)),"")</f>
        <v/>
      </c>
      <c r="I1148" s="2"/>
      <c r="J1148" s="2"/>
      <c r="K1148" s="2"/>
    </row>
    <row r="1149" spans="1:11" x14ac:dyDescent="0.3">
      <c r="A1149" s="5" t="str">
        <f>IF(D1149="","",COUNTIF($D$5:D1149,"?*"))</f>
        <v/>
      </c>
      <c r="B1149" s="6"/>
      <c r="C1149" s="5" t="str">
        <f>IF(B1149="","",INDEX({"Ocak","Şubat","Mart","Nisan","Mayıs","Haziran","Temmuz","Ağustos","Eylül","Ekim","Kasım","Aralık"},MONTH(B1149)))</f>
        <v/>
      </c>
      <c r="D1149" s="2"/>
      <c r="E1149" s="5" t="str">
        <f>IFERROR(INDEX('Malzeme Tanımlama'!$B$5:$B$300,MATCH(D1149,'Malzeme Tanımlama'!$A$5:$A$300,0)),"")</f>
        <v/>
      </c>
      <c r="F1149" s="2"/>
      <c r="G1149" s="5"/>
      <c r="H1149" s="5" t="str">
        <f>IFERROR(INDEX('Malzeme Tanımlama'!$D$5:$D$300,MATCH(D1149,'Malzeme Tanımlama'!$A$5:$A$300,0)),"")</f>
        <v/>
      </c>
      <c r="I1149" s="2"/>
      <c r="J1149" s="2"/>
      <c r="K1149" s="2"/>
    </row>
    <row r="1150" spans="1:11" x14ac:dyDescent="0.3">
      <c r="A1150" s="5" t="str">
        <f>IF(D1150="","",COUNTIF($D$5:D1150,"?*"))</f>
        <v/>
      </c>
      <c r="B1150" s="6"/>
      <c r="C1150" s="5" t="str">
        <f>IF(B1150="","",INDEX({"Ocak","Şubat","Mart","Nisan","Mayıs","Haziran","Temmuz","Ağustos","Eylül","Ekim","Kasım","Aralık"},MONTH(B1150)))</f>
        <v/>
      </c>
      <c r="D1150" s="2"/>
      <c r="E1150" s="5" t="str">
        <f>IFERROR(INDEX('Malzeme Tanımlama'!$B$5:$B$300,MATCH(D1150,'Malzeme Tanımlama'!$A$5:$A$300,0)),"")</f>
        <v/>
      </c>
      <c r="F1150" s="2"/>
      <c r="G1150" s="5"/>
      <c r="H1150" s="5" t="str">
        <f>IFERROR(INDEX('Malzeme Tanımlama'!$D$5:$D$300,MATCH(D1150,'Malzeme Tanımlama'!$A$5:$A$300,0)),"")</f>
        <v/>
      </c>
      <c r="I1150" s="2"/>
      <c r="J1150" s="2"/>
      <c r="K1150" s="2"/>
    </row>
    <row r="1151" spans="1:11" x14ac:dyDescent="0.3">
      <c r="A1151" s="5" t="str">
        <f>IF(D1151="","",COUNTIF($D$5:D1151,"?*"))</f>
        <v/>
      </c>
      <c r="B1151" s="6"/>
      <c r="C1151" s="5" t="str">
        <f>IF(B1151="","",INDEX({"Ocak","Şubat","Mart","Nisan","Mayıs","Haziran","Temmuz","Ağustos","Eylül","Ekim","Kasım","Aralık"},MONTH(B1151)))</f>
        <v/>
      </c>
      <c r="D1151" s="2"/>
      <c r="E1151" s="5" t="str">
        <f>IFERROR(INDEX('Malzeme Tanımlama'!$B$5:$B$300,MATCH(D1151,'Malzeme Tanımlama'!$A$5:$A$300,0)),"")</f>
        <v/>
      </c>
      <c r="F1151" s="2"/>
      <c r="G1151" s="5"/>
      <c r="H1151" s="5" t="str">
        <f>IFERROR(INDEX('Malzeme Tanımlama'!$D$5:$D$300,MATCH(D1151,'Malzeme Tanımlama'!$A$5:$A$300,0)),"")</f>
        <v/>
      </c>
      <c r="I1151" s="2"/>
      <c r="J1151" s="2"/>
      <c r="K1151" s="2"/>
    </row>
    <row r="1152" spans="1:11" x14ac:dyDescent="0.3">
      <c r="A1152" s="5" t="str">
        <f>IF(D1152="","",COUNTIF($D$5:D1152,"?*"))</f>
        <v/>
      </c>
      <c r="B1152" s="6"/>
      <c r="C1152" s="5" t="str">
        <f>IF(B1152="","",INDEX({"Ocak","Şubat","Mart","Nisan","Mayıs","Haziran","Temmuz","Ağustos","Eylül","Ekim","Kasım","Aralık"},MONTH(B1152)))</f>
        <v/>
      </c>
      <c r="D1152" s="2"/>
      <c r="E1152" s="5" t="str">
        <f>IFERROR(INDEX('Malzeme Tanımlama'!$B$5:$B$300,MATCH(D1152,'Malzeme Tanımlama'!$A$5:$A$300,0)),"")</f>
        <v/>
      </c>
      <c r="F1152" s="2"/>
      <c r="G1152" s="5"/>
      <c r="H1152" s="5" t="str">
        <f>IFERROR(INDEX('Malzeme Tanımlama'!$D$5:$D$300,MATCH(D1152,'Malzeme Tanımlama'!$A$5:$A$300,0)),"")</f>
        <v/>
      </c>
      <c r="I1152" s="2"/>
      <c r="J1152" s="2"/>
      <c r="K1152" s="2"/>
    </row>
    <row r="1153" spans="1:11" x14ac:dyDescent="0.3">
      <c r="A1153" s="5" t="str">
        <f>IF(D1153="","",COUNTIF($D$5:D1153,"?*"))</f>
        <v/>
      </c>
      <c r="B1153" s="6"/>
      <c r="C1153" s="5" t="str">
        <f>IF(B1153="","",INDEX({"Ocak","Şubat","Mart","Nisan","Mayıs","Haziran","Temmuz","Ağustos","Eylül","Ekim","Kasım","Aralık"},MONTH(B1153)))</f>
        <v/>
      </c>
      <c r="D1153" s="2"/>
      <c r="E1153" s="5" t="str">
        <f>IFERROR(INDEX('Malzeme Tanımlama'!$B$5:$B$300,MATCH(D1153,'Malzeme Tanımlama'!$A$5:$A$300,0)),"")</f>
        <v/>
      </c>
      <c r="F1153" s="2"/>
      <c r="G1153" s="5"/>
      <c r="H1153" s="5" t="str">
        <f>IFERROR(INDEX('Malzeme Tanımlama'!$D$5:$D$300,MATCH(D1153,'Malzeme Tanımlama'!$A$5:$A$300,0)),"")</f>
        <v/>
      </c>
      <c r="I1153" s="2"/>
      <c r="J1153" s="2"/>
      <c r="K1153" s="2"/>
    </row>
    <row r="1154" spans="1:11" x14ac:dyDescent="0.3">
      <c r="A1154" s="5" t="str">
        <f>IF(D1154="","",COUNTIF($D$5:D1154,"?*"))</f>
        <v/>
      </c>
      <c r="B1154" s="6"/>
      <c r="C1154" s="5" t="str">
        <f>IF(B1154="","",INDEX({"Ocak","Şubat","Mart","Nisan","Mayıs","Haziran","Temmuz","Ağustos","Eylül","Ekim","Kasım","Aralık"},MONTH(B1154)))</f>
        <v/>
      </c>
      <c r="D1154" s="2"/>
      <c r="E1154" s="5" t="str">
        <f>IFERROR(INDEX('Malzeme Tanımlama'!$B$5:$B$300,MATCH(D1154,'Malzeme Tanımlama'!$A$5:$A$300,0)),"")</f>
        <v/>
      </c>
      <c r="F1154" s="2"/>
      <c r="G1154" s="5"/>
      <c r="H1154" s="5" t="str">
        <f>IFERROR(INDEX('Malzeme Tanımlama'!$D$5:$D$300,MATCH(D1154,'Malzeme Tanımlama'!$A$5:$A$300,0)),"")</f>
        <v/>
      </c>
      <c r="I1154" s="2"/>
      <c r="J1154" s="2"/>
      <c r="K1154" s="2"/>
    </row>
    <row r="1155" spans="1:11" x14ac:dyDescent="0.3">
      <c r="A1155" s="5" t="str">
        <f>IF(D1155="","",COUNTIF($D$5:D1155,"?*"))</f>
        <v/>
      </c>
      <c r="B1155" s="6"/>
      <c r="C1155" s="5" t="str">
        <f>IF(B1155="","",INDEX({"Ocak","Şubat","Mart","Nisan","Mayıs","Haziran","Temmuz","Ağustos","Eylül","Ekim","Kasım","Aralık"},MONTH(B1155)))</f>
        <v/>
      </c>
      <c r="D1155" s="2"/>
      <c r="E1155" s="5" t="str">
        <f>IFERROR(INDEX('Malzeme Tanımlama'!$B$5:$B$300,MATCH(D1155,'Malzeme Tanımlama'!$A$5:$A$300,0)),"")</f>
        <v/>
      </c>
      <c r="F1155" s="2"/>
      <c r="G1155" s="5"/>
      <c r="H1155" s="5" t="str">
        <f>IFERROR(INDEX('Malzeme Tanımlama'!$D$5:$D$300,MATCH(D1155,'Malzeme Tanımlama'!$A$5:$A$300,0)),"")</f>
        <v/>
      </c>
      <c r="I1155" s="2"/>
      <c r="J1155" s="2"/>
      <c r="K1155" s="2"/>
    </row>
    <row r="1156" spans="1:11" x14ac:dyDescent="0.3">
      <c r="A1156" s="5" t="str">
        <f>IF(D1156="","",COUNTIF($D$5:D1156,"?*"))</f>
        <v/>
      </c>
      <c r="B1156" s="6"/>
      <c r="C1156" s="5" t="str">
        <f>IF(B1156="","",INDEX({"Ocak","Şubat","Mart","Nisan","Mayıs","Haziran","Temmuz","Ağustos","Eylül","Ekim","Kasım","Aralık"},MONTH(B1156)))</f>
        <v/>
      </c>
      <c r="D1156" s="2"/>
      <c r="E1156" s="5" t="str">
        <f>IFERROR(INDEX('Malzeme Tanımlama'!$B$5:$B$300,MATCH(D1156,'Malzeme Tanımlama'!$A$5:$A$300,0)),"")</f>
        <v/>
      </c>
      <c r="F1156" s="2"/>
      <c r="G1156" s="5"/>
      <c r="H1156" s="5" t="str">
        <f>IFERROR(INDEX('Malzeme Tanımlama'!$D$5:$D$300,MATCH(D1156,'Malzeme Tanımlama'!$A$5:$A$300,0)),"")</f>
        <v/>
      </c>
      <c r="I1156" s="2"/>
      <c r="J1156" s="2"/>
      <c r="K1156" s="2"/>
    </row>
    <row r="1157" spans="1:11" x14ac:dyDescent="0.3">
      <c r="A1157" s="5" t="str">
        <f>IF(D1157="","",COUNTIF($D$5:D1157,"?*"))</f>
        <v/>
      </c>
      <c r="B1157" s="6"/>
      <c r="C1157" s="5" t="str">
        <f>IF(B1157="","",INDEX({"Ocak","Şubat","Mart","Nisan","Mayıs","Haziran","Temmuz","Ağustos","Eylül","Ekim","Kasım","Aralık"},MONTH(B1157)))</f>
        <v/>
      </c>
      <c r="D1157" s="2"/>
      <c r="E1157" s="5" t="str">
        <f>IFERROR(INDEX('Malzeme Tanımlama'!$B$5:$B$300,MATCH(D1157,'Malzeme Tanımlama'!$A$5:$A$300,0)),"")</f>
        <v/>
      </c>
      <c r="F1157" s="2"/>
      <c r="G1157" s="5"/>
      <c r="H1157" s="5" t="str">
        <f>IFERROR(INDEX('Malzeme Tanımlama'!$D$5:$D$300,MATCH(D1157,'Malzeme Tanımlama'!$A$5:$A$300,0)),"")</f>
        <v/>
      </c>
      <c r="I1157" s="2"/>
      <c r="J1157" s="2"/>
      <c r="K1157" s="2"/>
    </row>
    <row r="1158" spans="1:11" x14ac:dyDescent="0.3">
      <c r="A1158" s="5" t="str">
        <f>IF(D1158="","",COUNTIF($D$5:D1158,"?*"))</f>
        <v/>
      </c>
      <c r="B1158" s="6"/>
      <c r="C1158" s="5" t="str">
        <f>IF(B1158="","",INDEX({"Ocak","Şubat","Mart","Nisan","Mayıs","Haziran","Temmuz","Ağustos","Eylül","Ekim","Kasım","Aralık"},MONTH(B1158)))</f>
        <v/>
      </c>
      <c r="D1158" s="2"/>
      <c r="E1158" s="5" t="str">
        <f>IFERROR(INDEX('Malzeme Tanımlama'!$B$5:$B$300,MATCH(D1158,'Malzeme Tanımlama'!$A$5:$A$300,0)),"")</f>
        <v/>
      </c>
      <c r="F1158" s="2"/>
      <c r="G1158" s="5"/>
      <c r="H1158" s="5" t="str">
        <f>IFERROR(INDEX('Malzeme Tanımlama'!$D$5:$D$300,MATCH(D1158,'Malzeme Tanımlama'!$A$5:$A$300,0)),"")</f>
        <v/>
      </c>
      <c r="I1158" s="2"/>
      <c r="J1158" s="2"/>
      <c r="K1158" s="2"/>
    </row>
    <row r="1159" spans="1:11" x14ac:dyDescent="0.3">
      <c r="A1159" s="5" t="str">
        <f>IF(D1159="","",COUNTIF($D$5:D1159,"?*"))</f>
        <v/>
      </c>
      <c r="B1159" s="6"/>
      <c r="C1159" s="5" t="str">
        <f>IF(B1159="","",INDEX({"Ocak","Şubat","Mart","Nisan","Mayıs","Haziran","Temmuz","Ağustos","Eylül","Ekim","Kasım","Aralık"},MONTH(B1159)))</f>
        <v/>
      </c>
      <c r="D1159" s="2"/>
      <c r="E1159" s="5" t="str">
        <f>IFERROR(INDEX('Malzeme Tanımlama'!$B$5:$B$300,MATCH(D1159,'Malzeme Tanımlama'!$A$5:$A$300,0)),"")</f>
        <v/>
      </c>
      <c r="F1159" s="2"/>
      <c r="G1159" s="5"/>
      <c r="H1159" s="5" t="str">
        <f>IFERROR(INDEX('Malzeme Tanımlama'!$D$5:$D$300,MATCH(D1159,'Malzeme Tanımlama'!$A$5:$A$300,0)),"")</f>
        <v/>
      </c>
      <c r="I1159" s="2"/>
      <c r="J1159" s="2"/>
      <c r="K1159" s="2"/>
    </row>
    <row r="1160" spans="1:11" x14ac:dyDescent="0.3">
      <c r="A1160" s="5" t="str">
        <f>IF(D1160="","",COUNTIF($D$5:D1160,"?*"))</f>
        <v/>
      </c>
      <c r="B1160" s="6"/>
      <c r="C1160" s="5" t="str">
        <f>IF(B1160="","",INDEX({"Ocak","Şubat","Mart","Nisan","Mayıs","Haziran","Temmuz","Ağustos","Eylül","Ekim","Kasım","Aralık"},MONTH(B1160)))</f>
        <v/>
      </c>
      <c r="D1160" s="2"/>
      <c r="E1160" s="5" t="str">
        <f>IFERROR(INDEX('Malzeme Tanımlama'!$B$5:$B$300,MATCH(D1160,'Malzeme Tanımlama'!$A$5:$A$300,0)),"")</f>
        <v/>
      </c>
      <c r="F1160" s="2"/>
      <c r="G1160" s="5"/>
      <c r="H1160" s="5" t="str">
        <f>IFERROR(INDEX('Malzeme Tanımlama'!$D$5:$D$300,MATCH(D1160,'Malzeme Tanımlama'!$A$5:$A$300,0)),"")</f>
        <v/>
      </c>
      <c r="I1160" s="2"/>
      <c r="J1160" s="2"/>
      <c r="K1160" s="2"/>
    </row>
    <row r="1161" spans="1:11" x14ac:dyDescent="0.3">
      <c r="A1161" s="5" t="str">
        <f>IF(D1161="","",COUNTIF($D$5:D1161,"?*"))</f>
        <v/>
      </c>
      <c r="B1161" s="6"/>
      <c r="C1161" s="5" t="str">
        <f>IF(B1161="","",INDEX({"Ocak","Şubat","Mart","Nisan","Mayıs","Haziran","Temmuz","Ağustos","Eylül","Ekim","Kasım","Aralık"},MONTH(B1161)))</f>
        <v/>
      </c>
      <c r="D1161" s="2"/>
      <c r="E1161" s="5" t="str">
        <f>IFERROR(INDEX('Malzeme Tanımlama'!$B$5:$B$300,MATCH(D1161,'Malzeme Tanımlama'!$A$5:$A$300,0)),"")</f>
        <v/>
      </c>
      <c r="F1161" s="2"/>
      <c r="G1161" s="5"/>
      <c r="H1161" s="5" t="str">
        <f>IFERROR(INDEX('Malzeme Tanımlama'!$D$5:$D$300,MATCH(D1161,'Malzeme Tanımlama'!$A$5:$A$300,0)),"")</f>
        <v/>
      </c>
      <c r="I1161" s="2"/>
      <c r="J1161" s="2"/>
      <c r="K1161" s="2"/>
    </row>
    <row r="1162" spans="1:11" x14ac:dyDescent="0.3">
      <c r="A1162" s="5" t="str">
        <f>IF(D1162="","",COUNTIF($D$5:D1162,"?*"))</f>
        <v/>
      </c>
      <c r="B1162" s="6"/>
      <c r="C1162" s="5" t="str">
        <f>IF(B1162="","",INDEX({"Ocak","Şubat","Mart","Nisan","Mayıs","Haziran","Temmuz","Ağustos","Eylül","Ekim","Kasım","Aralık"},MONTH(B1162)))</f>
        <v/>
      </c>
      <c r="D1162" s="2"/>
      <c r="E1162" s="5" t="str">
        <f>IFERROR(INDEX('Malzeme Tanımlama'!$B$5:$B$300,MATCH(D1162,'Malzeme Tanımlama'!$A$5:$A$300,0)),"")</f>
        <v/>
      </c>
      <c r="F1162" s="2"/>
      <c r="G1162" s="5"/>
      <c r="H1162" s="5" t="str">
        <f>IFERROR(INDEX('Malzeme Tanımlama'!$D$5:$D$300,MATCH(D1162,'Malzeme Tanımlama'!$A$5:$A$300,0)),"")</f>
        <v/>
      </c>
      <c r="I1162" s="2"/>
      <c r="J1162" s="2"/>
      <c r="K1162" s="2"/>
    </row>
    <row r="1163" spans="1:11" x14ac:dyDescent="0.3">
      <c r="A1163" s="5" t="str">
        <f>IF(D1163="","",COUNTIF($D$5:D1163,"?*"))</f>
        <v/>
      </c>
      <c r="B1163" s="6"/>
      <c r="C1163" s="5" t="str">
        <f>IF(B1163="","",INDEX({"Ocak","Şubat","Mart","Nisan","Mayıs","Haziran","Temmuz","Ağustos","Eylül","Ekim","Kasım","Aralık"},MONTH(B1163)))</f>
        <v/>
      </c>
      <c r="D1163" s="2"/>
      <c r="E1163" s="5" t="str">
        <f>IFERROR(INDEX('Malzeme Tanımlama'!$B$5:$B$300,MATCH(D1163,'Malzeme Tanımlama'!$A$5:$A$300,0)),"")</f>
        <v/>
      </c>
      <c r="F1163" s="2"/>
      <c r="G1163" s="5"/>
      <c r="H1163" s="5" t="str">
        <f>IFERROR(INDEX('Malzeme Tanımlama'!$D$5:$D$300,MATCH(D1163,'Malzeme Tanımlama'!$A$5:$A$300,0)),"")</f>
        <v/>
      </c>
      <c r="I1163" s="2"/>
      <c r="J1163" s="2"/>
      <c r="K1163" s="2"/>
    </row>
    <row r="1164" spans="1:11" x14ac:dyDescent="0.3">
      <c r="A1164" s="5" t="str">
        <f>IF(D1164="","",COUNTIF($D$5:D1164,"?*"))</f>
        <v/>
      </c>
      <c r="B1164" s="6"/>
      <c r="C1164" s="5" t="str">
        <f>IF(B1164="","",INDEX({"Ocak","Şubat","Mart","Nisan","Mayıs","Haziran","Temmuz","Ağustos","Eylül","Ekim","Kasım","Aralık"},MONTH(B1164)))</f>
        <v/>
      </c>
      <c r="D1164" s="2"/>
      <c r="E1164" s="5" t="str">
        <f>IFERROR(INDEX('Malzeme Tanımlama'!$B$5:$B$300,MATCH(D1164,'Malzeme Tanımlama'!$A$5:$A$300,0)),"")</f>
        <v/>
      </c>
      <c r="F1164" s="2"/>
      <c r="G1164" s="5"/>
      <c r="H1164" s="5" t="str">
        <f>IFERROR(INDEX('Malzeme Tanımlama'!$D$5:$D$300,MATCH(D1164,'Malzeme Tanımlama'!$A$5:$A$300,0)),"")</f>
        <v/>
      </c>
      <c r="I1164" s="2"/>
      <c r="J1164" s="2"/>
      <c r="K1164" s="2"/>
    </row>
    <row r="1165" spans="1:11" x14ac:dyDescent="0.3">
      <c r="A1165" s="5" t="str">
        <f>IF(D1165="","",COUNTIF($D$5:D1165,"?*"))</f>
        <v/>
      </c>
      <c r="B1165" s="6"/>
      <c r="C1165" s="5" t="str">
        <f>IF(B1165="","",INDEX({"Ocak","Şubat","Mart","Nisan","Mayıs","Haziran","Temmuz","Ağustos","Eylül","Ekim","Kasım","Aralık"},MONTH(B1165)))</f>
        <v/>
      </c>
      <c r="D1165" s="2"/>
      <c r="E1165" s="5" t="str">
        <f>IFERROR(INDEX('Malzeme Tanımlama'!$B$5:$B$300,MATCH(D1165,'Malzeme Tanımlama'!$A$5:$A$300,0)),"")</f>
        <v/>
      </c>
      <c r="F1165" s="2"/>
      <c r="G1165" s="5"/>
      <c r="H1165" s="5" t="str">
        <f>IFERROR(INDEX('Malzeme Tanımlama'!$D$5:$D$300,MATCH(D1165,'Malzeme Tanımlama'!$A$5:$A$300,0)),"")</f>
        <v/>
      </c>
      <c r="I1165" s="2"/>
      <c r="J1165" s="2"/>
      <c r="K1165" s="2"/>
    </row>
    <row r="1166" spans="1:11" x14ac:dyDescent="0.3">
      <c r="A1166" s="5" t="str">
        <f>IF(D1166="","",COUNTIF($D$5:D1166,"?*"))</f>
        <v/>
      </c>
      <c r="B1166" s="6"/>
      <c r="C1166" s="5" t="str">
        <f>IF(B1166="","",INDEX({"Ocak","Şubat","Mart","Nisan","Mayıs","Haziran","Temmuz","Ağustos","Eylül","Ekim","Kasım","Aralık"},MONTH(B1166)))</f>
        <v/>
      </c>
      <c r="D1166" s="2"/>
      <c r="E1166" s="5" t="str">
        <f>IFERROR(INDEX('Malzeme Tanımlama'!$B$5:$B$300,MATCH(D1166,'Malzeme Tanımlama'!$A$5:$A$300,0)),"")</f>
        <v/>
      </c>
      <c r="F1166" s="2"/>
      <c r="G1166" s="5"/>
      <c r="H1166" s="5" t="str">
        <f>IFERROR(INDEX('Malzeme Tanımlama'!$D$5:$D$300,MATCH(D1166,'Malzeme Tanımlama'!$A$5:$A$300,0)),"")</f>
        <v/>
      </c>
      <c r="I1166" s="2"/>
      <c r="J1166" s="2"/>
      <c r="K1166" s="2"/>
    </row>
    <row r="1167" spans="1:11" x14ac:dyDescent="0.3">
      <c r="A1167" s="5" t="str">
        <f>IF(D1167="","",COUNTIF($D$5:D1167,"?*"))</f>
        <v/>
      </c>
      <c r="B1167" s="6"/>
      <c r="C1167" s="5" t="str">
        <f>IF(B1167="","",INDEX({"Ocak","Şubat","Mart","Nisan","Mayıs","Haziran","Temmuz","Ağustos","Eylül","Ekim","Kasım","Aralık"},MONTH(B1167)))</f>
        <v/>
      </c>
      <c r="D1167" s="2"/>
      <c r="E1167" s="5" t="str">
        <f>IFERROR(INDEX('Malzeme Tanımlama'!$B$5:$B$300,MATCH(D1167,'Malzeme Tanımlama'!$A$5:$A$300,0)),"")</f>
        <v/>
      </c>
      <c r="F1167" s="2"/>
      <c r="G1167" s="5"/>
      <c r="H1167" s="5" t="str">
        <f>IFERROR(INDEX('Malzeme Tanımlama'!$D$5:$D$300,MATCH(D1167,'Malzeme Tanımlama'!$A$5:$A$300,0)),"")</f>
        <v/>
      </c>
      <c r="I1167" s="2"/>
      <c r="J1167" s="2"/>
      <c r="K1167" s="2"/>
    </row>
    <row r="1168" spans="1:11" x14ac:dyDescent="0.3">
      <c r="A1168" s="5" t="str">
        <f>IF(D1168="","",COUNTIF($D$5:D1168,"?*"))</f>
        <v/>
      </c>
      <c r="B1168" s="6"/>
      <c r="C1168" s="5" t="str">
        <f>IF(B1168="","",INDEX({"Ocak","Şubat","Mart","Nisan","Mayıs","Haziran","Temmuz","Ağustos","Eylül","Ekim","Kasım","Aralık"},MONTH(B1168)))</f>
        <v/>
      </c>
      <c r="D1168" s="2"/>
      <c r="E1168" s="5" t="str">
        <f>IFERROR(INDEX('Malzeme Tanımlama'!$B$5:$B$300,MATCH(D1168,'Malzeme Tanımlama'!$A$5:$A$300,0)),"")</f>
        <v/>
      </c>
      <c r="F1168" s="2"/>
      <c r="G1168" s="5"/>
      <c r="H1168" s="5" t="str">
        <f>IFERROR(INDEX('Malzeme Tanımlama'!$D$5:$D$300,MATCH(D1168,'Malzeme Tanımlama'!$A$5:$A$300,0)),"")</f>
        <v/>
      </c>
      <c r="I1168" s="2"/>
      <c r="J1168" s="2"/>
      <c r="K1168" s="2"/>
    </row>
    <row r="1169" spans="1:11" x14ac:dyDescent="0.3">
      <c r="A1169" s="5" t="str">
        <f>IF(D1169="","",COUNTIF($D$5:D1169,"?*"))</f>
        <v/>
      </c>
      <c r="B1169" s="6"/>
      <c r="C1169" s="5" t="str">
        <f>IF(B1169="","",INDEX({"Ocak","Şubat","Mart","Nisan","Mayıs","Haziran","Temmuz","Ağustos","Eylül","Ekim","Kasım","Aralık"},MONTH(B1169)))</f>
        <v/>
      </c>
      <c r="D1169" s="2"/>
      <c r="E1169" s="5" t="str">
        <f>IFERROR(INDEX('Malzeme Tanımlama'!$B$5:$B$300,MATCH(D1169,'Malzeme Tanımlama'!$A$5:$A$300,0)),"")</f>
        <v/>
      </c>
      <c r="F1169" s="2"/>
      <c r="G1169" s="5"/>
      <c r="H1169" s="5" t="str">
        <f>IFERROR(INDEX('Malzeme Tanımlama'!$D$5:$D$300,MATCH(D1169,'Malzeme Tanımlama'!$A$5:$A$300,0)),"")</f>
        <v/>
      </c>
      <c r="I1169" s="2"/>
      <c r="J1169" s="2"/>
      <c r="K1169" s="2"/>
    </row>
    <row r="1170" spans="1:11" x14ac:dyDescent="0.3">
      <c r="A1170" s="5" t="str">
        <f>IF(D1170="","",COUNTIF($D$5:D1170,"?*"))</f>
        <v/>
      </c>
      <c r="B1170" s="6"/>
      <c r="C1170" s="5" t="str">
        <f>IF(B1170="","",INDEX({"Ocak","Şubat","Mart","Nisan","Mayıs","Haziran","Temmuz","Ağustos","Eylül","Ekim","Kasım","Aralık"},MONTH(B1170)))</f>
        <v/>
      </c>
      <c r="D1170" s="2"/>
      <c r="E1170" s="5" t="str">
        <f>IFERROR(INDEX('Malzeme Tanımlama'!$B$5:$B$300,MATCH(D1170,'Malzeme Tanımlama'!$A$5:$A$300,0)),"")</f>
        <v/>
      </c>
      <c r="F1170" s="2"/>
      <c r="G1170" s="5"/>
      <c r="H1170" s="5" t="str">
        <f>IFERROR(INDEX('Malzeme Tanımlama'!$D$5:$D$300,MATCH(D1170,'Malzeme Tanımlama'!$A$5:$A$300,0)),"")</f>
        <v/>
      </c>
      <c r="I1170" s="2"/>
      <c r="J1170" s="2"/>
      <c r="K1170" s="2"/>
    </row>
    <row r="1171" spans="1:11" x14ac:dyDescent="0.3">
      <c r="A1171" s="5" t="str">
        <f>IF(D1171="","",COUNTIF($D$5:D1171,"?*"))</f>
        <v/>
      </c>
      <c r="B1171" s="6"/>
      <c r="C1171" s="5" t="str">
        <f>IF(B1171="","",INDEX({"Ocak","Şubat","Mart","Nisan","Mayıs","Haziran","Temmuz","Ağustos","Eylül","Ekim","Kasım","Aralık"},MONTH(B1171)))</f>
        <v/>
      </c>
      <c r="D1171" s="2"/>
      <c r="E1171" s="5" t="str">
        <f>IFERROR(INDEX('Malzeme Tanımlama'!$B$5:$B$300,MATCH(D1171,'Malzeme Tanımlama'!$A$5:$A$300,0)),"")</f>
        <v/>
      </c>
      <c r="F1171" s="2"/>
      <c r="G1171" s="5"/>
      <c r="H1171" s="5" t="str">
        <f>IFERROR(INDEX('Malzeme Tanımlama'!$D$5:$D$300,MATCH(D1171,'Malzeme Tanımlama'!$A$5:$A$300,0)),"")</f>
        <v/>
      </c>
      <c r="I1171" s="2"/>
      <c r="J1171" s="2"/>
      <c r="K1171" s="2"/>
    </row>
    <row r="1172" spans="1:11" x14ac:dyDescent="0.3">
      <c r="A1172" s="5" t="str">
        <f>IF(D1172="","",COUNTIF($D$5:D1172,"?*"))</f>
        <v/>
      </c>
      <c r="B1172" s="6"/>
      <c r="C1172" s="5" t="str">
        <f>IF(B1172="","",INDEX({"Ocak","Şubat","Mart","Nisan","Mayıs","Haziran","Temmuz","Ağustos","Eylül","Ekim","Kasım","Aralık"},MONTH(B1172)))</f>
        <v/>
      </c>
      <c r="D1172" s="2"/>
      <c r="E1172" s="5" t="str">
        <f>IFERROR(INDEX('Malzeme Tanımlama'!$B$5:$B$300,MATCH(D1172,'Malzeme Tanımlama'!$A$5:$A$300,0)),"")</f>
        <v/>
      </c>
      <c r="F1172" s="2"/>
      <c r="G1172" s="5"/>
      <c r="H1172" s="5" t="str">
        <f>IFERROR(INDEX('Malzeme Tanımlama'!$D$5:$D$300,MATCH(D1172,'Malzeme Tanımlama'!$A$5:$A$300,0)),"")</f>
        <v/>
      </c>
      <c r="I1172" s="2"/>
      <c r="J1172" s="2"/>
      <c r="K1172" s="2"/>
    </row>
    <row r="1173" spans="1:11" x14ac:dyDescent="0.3">
      <c r="A1173" s="5" t="str">
        <f>IF(D1173="","",COUNTIF($D$5:D1173,"?*"))</f>
        <v/>
      </c>
      <c r="B1173" s="6"/>
      <c r="C1173" s="5" t="str">
        <f>IF(B1173="","",INDEX({"Ocak","Şubat","Mart","Nisan","Mayıs","Haziran","Temmuz","Ağustos","Eylül","Ekim","Kasım","Aralık"},MONTH(B1173)))</f>
        <v/>
      </c>
      <c r="D1173" s="2"/>
      <c r="E1173" s="5" t="str">
        <f>IFERROR(INDEX('Malzeme Tanımlama'!$B$5:$B$300,MATCH(D1173,'Malzeme Tanımlama'!$A$5:$A$300,0)),"")</f>
        <v/>
      </c>
      <c r="F1173" s="2"/>
      <c r="G1173" s="5"/>
      <c r="H1173" s="5" t="str">
        <f>IFERROR(INDEX('Malzeme Tanımlama'!$D$5:$D$300,MATCH(D1173,'Malzeme Tanımlama'!$A$5:$A$300,0)),"")</f>
        <v/>
      </c>
      <c r="I1173" s="2"/>
      <c r="J1173" s="2"/>
      <c r="K1173" s="2"/>
    </row>
    <row r="1174" spans="1:11" x14ac:dyDescent="0.3">
      <c r="A1174" s="5" t="str">
        <f>IF(D1174="","",COUNTIF($D$5:D1174,"?*"))</f>
        <v/>
      </c>
      <c r="B1174" s="6"/>
      <c r="C1174" s="5" t="str">
        <f>IF(B1174="","",INDEX({"Ocak","Şubat","Mart","Nisan","Mayıs","Haziran","Temmuz","Ağustos","Eylül","Ekim","Kasım","Aralık"},MONTH(B1174)))</f>
        <v/>
      </c>
      <c r="D1174" s="2"/>
      <c r="E1174" s="5" t="str">
        <f>IFERROR(INDEX('Malzeme Tanımlama'!$B$5:$B$300,MATCH(D1174,'Malzeme Tanımlama'!$A$5:$A$300,0)),"")</f>
        <v/>
      </c>
      <c r="F1174" s="2"/>
      <c r="G1174" s="5"/>
      <c r="H1174" s="5" t="str">
        <f>IFERROR(INDEX('Malzeme Tanımlama'!$D$5:$D$300,MATCH(D1174,'Malzeme Tanımlama'!$A$5:$A$300,0)),"")</f>
        <v/>
      </c>
      <c r="I1174" s="2"/>
      <c r="J1174" s="2"/>
      <c r="K1174" s="2"/>
    </row>
    <row r="1175" spans="1:11" x14ac:dyDescent="0.3">
      <c r="A1175" s="5" t="str">
        <f>IF(D1175="","",COUNTIF($D$5:D1175,"?*"))</f>
        <v/>
      </c>
      <c r="B1175" s="6"/>
      <c r="C1175" s="5" t="str">
        <f>IF(B1175="","",INDEX({"Ocak","Şubat","Mart","Nisan","Mayıs","Haziran","Temmuz","Ağustos","Eylül","Ekim","Kasım","Aralık"},MONTH(B1175)))</f>
        <v/>
      </c>
      <c r="D1175" s="2"/>
      <c r="E1175" s="5" t="str">
        <f>IFERROR(INDEX('Malzeme Tanımlama'!$B$5:$B$300,MATCH(D1175,'Malzeme Tanımlama'!$A$5:$A$300,0)),"")</f>
        <v/>
      </c>
      <c r="F1175" s="2"/>
      <c r="G1175" s="5"/>
      <c r="H1175" s="5" t="str">
        <f>IFERROR(INDEX('Malzeme Tanımlama'!$D$5:$D$300,MATCH(D1175,'Malzeme Tanımlama'!$A$5:$A$300,0)),"")</f>
        <v/>
      </c>
      <c r="I1175" s="2"/>
      <c r="J1175" s="2"/>
      <c r="K1175" s="2"/>
    </row>
    <row r="1176" spans="1:11" x14ac:dyDescent="0.3">
      <c r="A1176" s="5" t="str">
        <f>IF(D1176="","",COUNTIF($D$5:D1176,"?*"))</f>
        <v/>
      </c>
      <c r="B1176" s="6"/>
      <c r="C1176" s="5" t="str">
        <f>IF(B1176="","",INDEX({"Ocak","Şubat","Mart","Nisan","Mayıs","Haziran","Temmuz","Ağustos","Eylül","Ekim","Kasım","Aralık"},MONTH(B1176)))</f>
        <v/>
      </c>
      <c r="D1176" s="2"/>
      <c r="E1176" s="5" t="str">
        <f>IFERROR(INDEX('Malzeme Tanımlama'!$B$5:$B$300,MATCH(D1176,'Malzeme Tanımlama'!$A$5:$A$300,0)),"")</f>
        <v/>
      </c>
      <c r="F1176" s="2"/>
      <c r="G1176" s="5"/>
      <c r="H1176" s="5" t="str">
        <f>IFERROR(INDEX('Malzeme Tanımlama'!$D$5:$D$300,MATCH(D1176,'Malzeme Tanımlama'!$A$5:$A$300,0)),"")</f>
        <v/>
      </c>
      <c r="I1176" s="2"/>
      <c r="J1176" s="2"/>
      <c r="K1176" s="2"/>
    </row>
    <row r="1177" spans="1:11" x14ac:dyDescent="0.3">
      <c r="A1177" s="5" t="str">
        <f>IF(D1177="","",COUNTIF($D$5:D1177,"?*"))</f>
        <v/>
      </c>
      <c r="B1177" s="6"/>
      <c r="C1177" s="5" t="str">
        <f>IF(B1177="","",INDEX({"Ocak","Şubat","Mart","Nisan","Mayıs","Haziran","Temmuz","Ağustos","Eylül","Ekim","Kasım","Aralık"},MONTH(B1177)))</f>
        <v/>
      </c>
      <c r="D1177" s="2"/>
      <c r="E1177" s="5" t="str">
        <f>IFERROR(INDEX('Malzeme Tanımlama'!$B$5:$B$300,MATCH(D1177,'Malzeme Tanımlama'!$A$5:$A$300,0)),"")</f>
        <v/>
      </c>
      <c r="F1177" s="2"/>
      <c r="G1177" s="5"/>
      <c r="H1177" s="5" t="str">
        <f>IFERROR(INDEX('Malzeme Tanımlama'!$D$5:$D$300,MATCH(D1177,'Malzeme Tanımlama'!$A$5:$A$300,0)),"")</f>
        <v/>
      </c>
      <c r="I1177" s="2"/>
      <c r="J1177" s="2"/>
      <c r="K1177" s="2"/>
    </row>
    <row r="1178" spans="1:11" x14ac:dyDescent="0.3">
      <c r="A1178" s="5" t="str">
        <f>IF(D1178="","",COUNTIF($D$5:D1178,"?*"))</f>
        <v/>
      </c>
      <c r="B1178" s="6"/>
      <c r="C1178" s="5" t="str">
        <f>IF(B1178="","",INDEX({"Ocak","Şubat","Mart","Nisan","Mayıs","Haziran","Temmuz","Ağustos","Eylül","Ekim","Kasım","Aralık"},MONTH(B1178)))</f>
        <v/>
      </c>
      <c r="D1178" s="2"/>
      <c r="E1178" s="5" t="str">
        <f>IFERROR(INDEX('Malzeme Tanımlama'!$B$5:$B$300,MATCH(D1178,'Malzeme Tanımlama'!$A$5:$A$300,0)),"")</f>
        <v/>
      </c>
      <c r="F1178" s="2"/>
      <c r="G1178" s="5"/>
      <c r="H1178" s="5" t="str">
        <f>IFERROR(INDEX('Malzeme Tanımlama'!$D$5:$D$300,MATCH(D1178,'Malzeme Tanımlama'!$A$5:$A$300,0)),"")</f>
        <v/>
      </c>
      <c r="I1178" s="2"/>
      <c r="J1178" s="2"/>
      <c r="K1178" s="2"/>
    </row>
    <row r="1179" spans="1:11" x14ac:dyDescent="0.3">
      <c r="A1179" s="5" t="str">
        <f>IF(D1179="","",COUNTIF($D$5:D1179,"?*"))</f>
        <v/>
      </c>
      <c r="B1179" s="6"/>
      <c r="C1179" s="5" t="str">
        <f>IF(B1179="","",INDEX({"Ocak","Şubat","Mart","Nisan","Mayıs","Haziran","Temmuz","Ağustos","Eylül","Ekim","Kasım","Aralık"},MONTH(B1179)))</f>
        <v/>
      </c>
      <c r="D1179" s="2"/>
      <c r="E1179" s="5" t="str">
        <f>IFERROR(INDEX('Malzeme Tanımlama'!$B$5:$B$300,MATCH(D1179,'Malzeme Tanımlama'!$A$5:$A$300,0)),"")</f>
        <v/>
      </c>
      <c r="F1179" s="2"/>
      <c r="G1179" s="5"/>
      <c r="H1179" s="5" t="str">
        <f>IFERROR(INDEX('Malzeme Tanımlama'!$D$5:$D$300,MATCH(D1179,'Malzeme Tanımlama'!$A$5:$A$300,0)),"")</f>
        <v/>
      </c>
      <c r="I1179" s="2"/>
      <c r="J1179" s="2"/>
      <c r="K1179" s="2"/>
    </row>
    <row r="1180" spans="1:11" x14ac:dyDescent="0.3">
      <c r="A1180" s="5" t="str">
        <f>IF(D1180="","",COUNTIF($D$5:D1180,"?*"))</f>
        <v/>
      </c>
      <c r="B1180" s="6"/>
      <c r="C1180" s="5" t="str">
        <f>IF(B1180="","",INDEX({"Ocak","Şubat","Mart","Nisan","Mayıs","Haziran","Temmuz","Ağustos","Eylül","Ekim","Kasım","Aralık"},MONTH(B1180)))</f>
        <v/>
      </c>
      <c r="D1180" s="2"/>
      <c r="E1180" s="5" t="str">
        <f>IFERROR(INDEX('Malzeme Tanımlama'!$B$5:$B$300,MATCH(D1180,'Malzeme Tanımlama'!$A$5:$A$300,0)),"")</f>
        <v/>
      </c>
      <c r="F1180" s="2"/>
      <c r="G1180" s="5"/>
      <c r="H1180" s="5" t="str">
        <f>IFERROR(INDEX('Malzeme Tanımlama'!$D$5:$D$300,MATCH(D1180,'Malzeme Tanımlama'!$A$5:$A$300,0)),"")</f>
        <v/>
      </c>
      <c r="I1180" s="2"/>
      <c r="J1180" s="2"/>
      <c r="K1180" s="2"/>
    </row>
    <row r="1181" spans="1:11" x14ac:dyDescent="0.3">
      <c r="A1181" s="5" t="str">
        <f>IF(D1181="","",COUNTIF($D$5:D1181,"?*"))</f>
        <v/>
      </c>
      <c r="B1181" s="6"/>
      <c r="C1181" s="5" t="str">
        <f>IF(B1181="","",INDEX({"Ocak","Şubat","Mart","Nisan","Mayıs","Haziran","Temmuz","Ağustos","Eylül","Ekim","Kasım","Aralık"},MONTH(B1181)))</f>
        <v/>
      </c>
      <c r="D1181" s="2"/>
      <c r="E1181" s="5" t="str">
        <f>IFERROR(INDEX('Malzeme Tanımlama'!$B$5:$B$300,MATCH(D1181,'Malzeme Tanımlama'!$A$5:$A$300,0)),"")</f>
        <v/>
      </c>
      <c r="F1181" s="2"/>
      <c r="G1181" s="5"/>
      <c r="H1181" s="5" t="str">
        <f>IFERROR(INDEX('Malzeme Tanımlama'!$D$5:$D$300,MATCH(D1181,'Malzeme Tanımlama'!$A$5:$A$300,0)),"")</f>
        <v/>
      </c>
      <c r="I1181" s="2"/>
      <c r="J1181" s="2"/>
      <c r="K1181" s="2"/>
    </row>
    <row r="1182" spans="1:11" x14ac:dyDescent="0.3">
      <c r="A1182" s="5" t="str">
        <f>IF(D1182="","",COUNTIF($D$5:D1182,"?*"))</f>
        <v/>
      </c>
      <c r="B1182" s="6"/>
      <c r="C1182" s="5" t="str">
        <f>IF(B1182="","",INDEX({"Ocak","Şubat","Mart","Nisan","Mayıs","Haziran","Temmuz","Ağustos","Eylül","Ekim","Kasım","Aralık"},MONTH(B1182)))</f>
        <v/>
      </c>
      <c r="D1182" s="2"/>
      <c r="E1182" s="5" t="str">
        <f>IFERROR(INDEX('Malzeme Tanımlama'!$B$5:$B$300,MATCH(D1182,'Malzeme Tanımlama'!$A$5:$A$300,0)),"")</f>
        <v/>
      </c>
      <c r="F1182" s="2"/>
      <c r="G1182" s="5"/>
      <c r="H1182" s="5" t="str">
        <f>IFERROR(INDEX('Malzeme Tanımlama'!$D$5:$D$300,MATCH(D1182,'Malzeme Tanımlama'!$A$5:$A$300,0)),"")</f>
        <v/>
      </c>
      <c r="I1182" s="2"/>
      <c r="J1182" s="2"/>
      <c r="K1182" s="2"/>
    </row>
    <row r="1183" spans="1:11" x14ac:dyDescent="0.3">
      <c r="A1183" s="5" t="str">
        <f>IF(D1183="","",COUNTIF($D$5:D1183,"?*"))</f>
        <v/>
      </c>
      <c r="B1183" s="6"/>
      <c r="C1183" s="5" t="str">
        <f>IF(B1183="","",INDEX({"Ocak","Şubat","Mart","Nisan","Mayıs","Haziran","Temmuz","Ağustos","Eylül","Ekim","Kasım","Aralık"},MONTH(B1183)))</f>
        <v/>
      </c>
      <c r="D1183" s="2"/>
      <c r="E1183" s="5" t="str">
        <f>IFERROR(INDEX('Malzeme Tanımlama'!$B$5:$B$300,MATCH(D1183,'Malzeme Tanımlama'!$A$5:$A$300,0)),"")</f>
        <v/>
      </c>
      <c r="F1183" s="2"/>
      <c r="G1183" s="5"/>
      <c r="H1183" s="5" t="str">
        <f>IFERROR(INDEX('Malzeme Tanımlama'!$D$5:$D$300,MATCH(D1183,'Malzeme Tanımlama'!$A$5:$A$300,0)),"")</f>
        <v/>
      </c>
      <c r="I1183" s="2"/>
      <c r="J1183" s="2"/>
      <c r="K1183" s="2"/>
    </row>
    <row r="1184" spans="1:11" x14ac:dyDescent="0.3">
      <c r="A1184" s="5" t="str">
        <f>IF(D1184="","",COUNTIF($D$5:D1184,"?*"))</f>
        <v/>
      </c>
      <c r="B1184" s="6"/>
      <c r="C1184" s="5" t="str">
        <f>IF(B1184="","",INDEX({"Ocak","Şubat","Mart","Nisan","Mayıs","Haziran","Temmuz","Ağustos","Eylül","Ekim","Kasım","Aralık"},MONTH(B1184)))</f>
        <v/>
      </c>
      <c r="D1184" s="2"/>
      <c r="E1184" s="5" t="str">
        <f>IFERROR(INDEX('Malzeme Tanımlama'!$B$5:$B$300,MATCH(D1184,'Malzeme Tanımlama'!$A$5:$A$300,0)),"")</f>
        <v/>
      </c>
      <c r="F1184" s="2"/>
      <c r="G1184" s="5"/>
      <c r="H1184" s="5" t="str">
        <f>IFERROR(INDEX('Malzeme Tanımlama'!$D$5:$D$300,MATCH(D1184,'Malzeme Tanımlama'!$A$5:$A$300,0)),"")</f>
        <v/>
      </c>
      <c r="I1184" s="2"/>
      <c r="J1184" s="2"/>
      <c r="K1184" s="2"/>
    </row>
    <row r="1185" spans="1:11" x14ac:dyDescent="0.3">
      <c r="A1185" s="5" t="str">
        <f>IF(D1185="","",COUNTIF($D$5:D1185,"?*"))</f>
        <v/>
      </c>
      <c r="B1185" s="6"/>
      <c r="C1185" s="5" t="str">
        <f>IF(B1185="","",INDEX({"Ocak","Şubat","Mart","Nisan","Mayıs","Haziran","Temmuz","Ağustos","Eylül","Ekim","Kasım","Aralık"},MONTH(B1185)))</f>
        <v/>
      </c>
      <c r="D1185" s="2"/>
      <c r="E1185" s="5" t="str">
        <f>IFERROR(INDEX('Malzeme Tanımlama'!$B$5:$B$300,MATCH(D1185,'Malzeme Tanımlama'!$A$5:$A$300,0)),"")</f>
        <v/>
      </c>
      <c r="F1185" s="2"/>
      <c r="G1185" s="5"/>
      <c r="H1185" s="5" t="str">
        <f>IFERROR(INDEX('Malzeme Tanımlama'!$D$5:$D$300,MATCH(D1185,'Malzeme Tanımlama'!$A$5:$A$300,0)),"")</f>
        <v/>
      </c>
      <c r="I1185" s="2"/>
      <c r="J1185" s="2"/>
      <c r="K1185" s="2"/>
    </row>
    <row r="1186" spans="1:11" x14ac:dyDescent="0.3">
      <c r="A1186" s="5" t="str">
        <f>IF(D1186="","",COUNTIF($D$5:D1186,"?*"))</f>
        <v/>
      </c>
      <c r="B1186" s="6"/>
      <c r="C1186" s="5" t="str">
        <f>IF(B1186="","",INDEX({"Ocak","Şubat","Mart","Nisan","Mayıs","Haziran","Temmuz","Ağustos","Eylül","Ekim","Kasım","Aralık"},MONTH(B1186)))</f>
        <v/>
      </c>
      <c r="D1186" s="2"/>
      <c r="E1186" s="5" t="str">
        <f>IFERROR(INDEX('Malzeme Tanımlama'!$B$5:$B$300,MATCH(D1186,'Malzeme Tanımlama'!$A$5:$A$300,0)),"")</f>
        <v/>
      </c>
      <c r="F1186" s="2"/>
      <c r="G1186" s="5"/>
      <c r="H1186" s="5" t="str">
        <f>IFERROR(INDEX('Malzeme Tanımlama'!$D$5:$D$300,MATCH(D1186,'Malzeme Tanımlama'!$A$5:$A$300,0)),"")</f>
        <v/>
      </c>
      <c r="I1186" s="2"/>
      <c r="J1186" s="2"/>
      <c r="K1186" s="2"/>
    </row>
    <row r="1187" spans="1:11" x14ac:dyDescent="0.3">
      <c r="A1187" s="5" t="str">
        <f>IF(D1187="","",COUNTIF($D$5:D1187,"?*"))</f>
        <v/>
      </c>
      <c r="B1187" s="6"/>
      <c r="C1187" s="5" t="str">
        <f>IF(B1187="","",INDEX({"Ocak","Şubat","Mart","Nisan","Mayıs","Haziran","Temmuz","Ağustos","Eylül","Ekim","Kasım","Aralık"},MONTH(B1187)))</f>
        <v/>
      </c>
      <c r="D1187" s="2"/>
      <c r="E1187" s="5" t="str">
        <f>IFERROR(INDEX('Malzeme Tanımlama'!$B$5:$B$300,MATCH(D1187,'Malzeme Tanımlama'!$A$5:$A$300,0)),"")</f>
        <v/>
      </c>
      <c r="F1187" s="2"/>
      <c r="G1187" s="5"/>
      <c r="H1187" s="5" t="str">
        <f>IFERROR(INDEX('Malzeme Tanımlama'!$D$5:$D$300,MATCH(D1187,'Malzeme Tanımlama'!$A$5:$A$300,0)),"")</f>
        <v/>
      </c>
      <c r="I1187" s="2"/>
      <c r="J1187" s="2"/>
      <c r="K1187" s="2"/>
    </row>
    <row r="1188" spans="1:11" x14ac:dyDescent="0.3">
      <c r="A1188" s="5" t="str">
        <f>IF(D1188="","",COUNTIF($D$5:D1188,"?*"))</f>
        <v/>
      </c>
      <c r="B1188" s="6"/>
      <c r="C1188" s="5" t="str">
        <f>IF(B1188="","",INDEX({"Ocak","Şubat","Mart","Nisan","Mayıs","Haziran","Temmuz","Ağustos","Eylül","Ekim","Kasım","Aralık"},MONTH(B1188)))</f>
        <v/>
      </c>
      <c r="D1188" s="2"/>
      <c r="E1188" s="5" t="str">
        <f>IFERROR(INDEX('Malzeme Tanımlama'!$B$5:$B$300,MATCH(D1188,'Malzeme Tanımlama'!$A$5:$A$300,0)),"")</f>
        <v/>
      </c>
      <c r="F1188" s="2"/>
      <c r="G1188" s="5"/>
      <c r="H1188" s="5" t="str">
        <f>IFERROR(INDEX('Malzeme Tanımlama'!$D$5:$D$300,MATCH(D1188,'Malzeme Tanımlama'!$A$5:$A$300,0)),"")</f>
        <v/>
      </c>
      <c r="I1188" s="2"/>
      <c r="J1188" s="2"/>
      <c r="K1188" s="2"/>
    </row>
    <row r="1189" spans="1:11" x14ac:dyDescent="0.3">
      <c r="A1189" s="5" t="str">
        <f>IF(D1189="","",COUNTIF($D$5:D1189,"?*"))</f>
        <v/>
      </c>
      <c r="B1189" s="6"/>
      <c r="C1189" s="5" t="str">
        <f>IF(B1189="","",INDEX({"Ocak","Şubat","Mart","Nisan","Mayıs","Haziran","Temmuz","Ağustos","Eylül","Ekim","Kasım","Aralık"},MONTH(B1189)))</f>
        <v/>
      </c>
      <c r="D1189" s="2"/>
      <c r="E1189" s="5" t="str">
        <f>IFERROR(INDEX('Malzeme Tanımlama'!$B$5:$B$300,MATCH(D1189,'Malzeme Tanımlama'!$A$5:$A$300,0)),"")</f>
        <v/>
      </c>
      <c r="F1189" s="2"/>
      <c r="G1189" s="5"/>
      <c r="H1189" s="5" t="str">
        <f>IFERROR(INDEX('Malzeme Tanımlama'!$D$5:$D$300,MATCH(D1189,'Malzeme Tanımlama'!$A$5:$A$300,0)),"")</f>
        <v/>
      </c>
      <c r="I1189" s="2"/>
      <c r="J1189" s="2"/>
      <c r="K1189" s="2"/>
    </row>
    <row r="1190" spans="1:11" x14ac:dyDescent="0.3">
      <c r="A1190" s="5" t="str">
        <f>IF(D1190="","",COUNTIF($D$5:D1190,"?*"))</f>
        <v/>
      </c>
      <c r="B1190" s="6"/>
      <c r="C1190" s="5" t="str">
        <f>IF(B1190="","",INDEX({"Ocak","Şubat","Mart","Nisan","Mayıs","Haziran","Temmuz","Ağustos","Eylül","Ekim","Kasım","Aralık"},MONTH(B1190)))</f>
        <v/>
      </c>
      <c r="D1190" s="2"/>
      <c r="E1190" s="5" t="str">
        <f>IFERROR(INDEX('Malzeme Tanımlama'!$B$5:$B$300,MATCH(D1190,'Malzeme Tanımlama'!$A$5:$A$300,0)),"")</f>
        <v/>
      </c>
      <c r="F1190" s="2"/>
      <c r="G1190" s="5"/>
      <c r="H1190" s="5" t="str">
        <f>IFERROR(INDEX('Malzeme Tanımlama'!$D$5:$D$300,MATCH(D1190,'Malzeme Tanımlama'!$A$5:$A$300,0)),"")</f>
        <v/>
      </c>
      <c r="I1190" s="2"/>
      <c r="J1190" s="2"/>
      <c r="K1190" s="2"/>
    </row>
    <row r="1191" spans="1:11" x14ac:dyDescent="0.3">
      <c r="A1191" s="5" t="str">
        <f>IF(D1191="","",COUNTIF($D$5:D1191,"?*"))</f>
        <v/>
      </c>
      <c r="B1191" s="6"/>
      <c r="C1191" s="5" t="str">
        <f>IF(B1191="","",INDEX({"Ocak","Şubat","Mart","Nisan","Mayıs","Haziran","Temmuz","Ağustos","Eylül","Ekim","Kasım","Aralık"},MONTH(B1191)))</f>
        <v/>
      </c>
      <c r="D1191" s="2"/>
      <c r="E1191" s="5" t="str">
        <f>IFERROR(INDEX('Malzeme Tanımlama'!$B$5:$B$300,MATCH(D1191,'Malzeme Tanımlama'!$A$5:$A$300,0)),"")</f>
        <v/>
      </c>
      <c r="F1191" s="2"/>
      <c r="G1191" s="5"/>
      <c r="H1191" s="5" t="str">
        <f>IFERROR(INDEX('Malzeme Tanımlama'!$D$5:$D$300,MATCH(D1191,'Malzeme Tanımlama'!$A$5:$A$300,0)),"")</f>
        <v/>
      </c>
      <c r="I1191" s="2"/>
      <c r="J1191" s="2"/>
      <c r="K1191" s="2"/>
    </row>
    <row r="1192" spans="1:11" x14ac:dyDescent="0.3">
      <c r="A1192" s="5" t="str">
        <f>IF(D1192="","",COUNTIF($D$5:D1192,"?*"))</f>
        <v/>
      </c>
      <c r="B1192" s="6"/>
      <c r="C1192" s="5" t="str">
        <f>IF(B1192="","",INDEX({"Ocak","Şubat","Mart","Nisan","Mayıs","Haziran","Temmuz","Ağustos","Eylül","Ekim","Kasım","Aralık"},MONTH(B1192)))</f>
        <v/>
      </c>
      <c r="D1192" s="2"/>
      <c r="E1192" s="5" t="str">
        <f>IFERROR(INDEX('Malzeme Tanımlama'!$B$5:$B$300,MATCH(D1192,'Malzeme Tanımlama'!$A$5:$A$300,0)),"")</f>
        <v/>
      </c>
      <c r="F1192" s="2"/>
      <c r="G1192" s="5"/>
      <c r="H1192" s="5" t="str">
        <f>IFERROR(INDEX('Malzeme Tanımlama'!$D$5:$D$300,MATCH(D1192,'Malzeme Tanımlama'!$A$5:$A$300,0)),"")</f>
        <v/>
      </c>
      <c r="I1192" s="2"/>
      <c r="J1192" s="2"/>
      <c r="K1192" s="2"/>
    </row>
    <row r="1193" spans="1:11" x14ac:dyDescent="0.3">
      <c r="A1193" s="5" t="str">
        <f>IF(D1193="","",COUNTIF($D$5:D1193,"?*"))</f>
        <v/>
      </c>
      <c r="B1193" s="6"/>
      <c r="C1193" s="5" t="str">
        <f>IF(B1193="","",INDEX({"Ocak","Şubat","Mart","Nisan","Mayıs","Haziran","Temmuz","Ağustos","Eylül","Ekim","Kasım","Aralık"},MONTH(B1193)))</f>
        <v/>
      </c>
      <c r="D1193" s="2"/>
      <c r="E1193" s="5" t="str">
        <f>IFERROR(INDEX('Malzeme Tanımlama'!$B$5:$B$300,MATCH(D1193,'Malzeme Tanımlama'!$A$5:$A$300,0)),"")</f>
        <v/>
      </c>
      <c r="F1193" s="2"/>
      <c r="G1193" s="5"/>
      <c r="H1193" s="5" t="str">
        <f>IFERROR(INDEX('Malzeme Tanımlama'!$D$5:$D$300,MATCH(D1193,'Malzeme Tanımlama'!$A$5:$A$300,0)),"")</f>
        <v/>
      </c>
      <c r="I1193" s="2"/>
      <c r="J1193" s="2"/>
      <c r="K1193" s="2"/>
    </row>
    <row r="1194" spans="1:11" x14ac:dyDescent="0.3">
      <c r="A1194" s="5" t="str">
        <f>IF(D1194="","",COUNTIF($D$5:D1194,"?*"))</f>
        <v/>
      </c>
      <c r="B1194" s="6"/>
      <c r="C1194" s="5" t="str">
        <f>IF(B1194="","",INDEX({"Ocak","Şubat","Mart","Nisan","Mayıs","Haziran","Temmuz","Ağustos","Eylül","Ekim","Kasım","Aralık"},MONTH(B1194)))</f>
        <v/>
      </c>
      <c r="D1194" s="2"/>
      <c r="E1194" s="5" t="str">
        <f>IFERROR(INDEX('Malzeme Tanımlama'!$B$5:$B$300,MATCH(D1194,'Malzeme Tanımlama'!$A$5:$A$300,0)),"")</f>
        <v/>
      </c>
      <c r="F1194" s="2"/>
      <c r="G1194" s="5"/>
      <c r="H1194" s="5" t="str">
        <f>IFERROR(INDEX('Malzeme Tanımlama'!$D$5:$D$300,MATCH(D1194,'Malzeme Tanımlama'!$A$5:$A$300,0)),"")</f>
        <v/>
      </c>
      <c r="I1194" s="2"/>
      <c r="J1194" s="2"/>
      <c r="K1194" s="2"/>
    </row>
    <row r="1195" spans="1:11" x14ac:dyDescent="0.3">
      <c r="A1195" s="5" t="str">
        <f>IF(D1195="","",COUNTIF($D$5:D1195,"?*"))</f>
        <v/>
      </c>
      <c r="B1195" s="6"/>
      <c r="C1195" s="5" t="str">
        <f>IF(B1195="","",INDEX({"Ocak","Şubat","Mart","Nisan","Mayıs","Haziran","Temmuz","Ağustos","Eylül","Ekim","Kasım","Aralık"},MONTH(B1195)))</f>
        <v/>
      </c>
      <c r="D1195" s="2"/>
      <c r="E1195" s="5" t="str">
        <f>IFERROR(INDEX('Malzeme Tanımlama'!$B$5:$B$300,MATCH(D1195,'Malzeme Tanımlama'!$A$5:$A$300,0)),"")</f>
        <v/>
      </c>
      <c r="F1195" s="2"/>
      <c r="G1195" s="5"/>
      <c r="H1195" s="5" t="str">
        <f>IFERROR(INDEX('Malzeme Tanımlama'!$D$5:$D$300,MATCH(D1195,'Malzeme Tanımlama'!$A$5:$A$300,0)),"")</f>
        <v/>
      </c>
      <c r="I1195" s="2"/>
      <c r="J1195" s="2"/>
      <c r="K1195" s="2"/>
    </row>
    <row r="1196" spans="1:11" x14ac:dyDescent="0.3">
      <c r="A1196" s="5" t="str">
        <f>IF(D1196="","",COUNTIF($D$5:D1196,"?*"))</f>
        <v/>
      </c>
      <c r="B1196" s="6"/>
      <c r="C1196" s="5" t="str">
        <f>IF(B1196="","",INDEX({"Ocak","Şubat","Mart","Nisan","Mayıs","Haziran","Temmuz","Ağustos","Eylül","Ekim","Kasım","Aralık"},MONTH(B1196)))</f>
        <v/>
      </c>
      <c r="D1196" s="2"/>
      <c r="E1196" s="5" t="str">
        <f>IFERROR(INDEX('Malzeme Tanımlama'!$B$5:$B$300,MATCH(D1196,'Malzeme Tanımlama'!$A$5:$A$300,0)),"")</f>
        <v/>
      </c>
      <c r="F1196" s="2"/>
      <c r="G1196" s="5"/>
      <c r="H1196" s="5" t="str">
        <f>IFERROR(INDEX('Malzeme Tanımlama'!$D$5:$D$300,MATCH(D1196,'Malzeme Tanımlama'!$A$5:$A$300,0)),"")</f>
        <v/>
      </c>
      <c r="I1196" s="2"/>
      <c r="J1196" s="2"/>
      <c r="K1196" s="2"/>
    </row>
    <row r="1197" spans="1:11" x14ac:dyDescent="0.3">
      <c r="A1197" s="5" t="str">
        <f>IF(D1197="","",COUNTIF($D$5:D1197,"?*"))</f>
        <v/>
      </c>
      <c r="B1197" s="6"/>
      <c r="C1197" s="5" t="str">
        <f>IF(B1197="","",INDEX({"Ocak","Şubat","Mart","Nisan","Mayıs","Haziran","Temmuz","Ağustos","Eylül","Ekim","Kasım","Aralık"},MONTH(B1197)))</f>
        <v/>
      </c>
      <c r="D1197" s="2"/>
      <c r="E1197" s="5" t="str">
        <f>IFERROR(INDEX('Malzeme Tanımlama'!$B$5:$B$300,MATCH(D1197,'Malzeme Tanımlama'!$A$5:$A$300,0)),"")</f>
        <v/>
      </c>
      <c r="F1197" s="2"/>
      <c r="G1197" s="5"/>
      <c r="H1197" s="5" t="str">
        <f>IFERROR(INDEX('Malzeme Tanımlama'!$D$5:$D$300,MATCH(D1197,'Malzeme Tanımlama'!$A$5:$A$300,0)),"")</f>
        <v/>
      </c>
      <c r="I1197" s="2"/>
      <c r="J1197" s="2"/>
      <c r="K1197" s="2"/>
    </row>
    <row r="1198" spans="1:11" x14ac:dyDescent="0.3">
      <c r="A1198" s="5" t="str">
        <f>IF(D1198="","",COUNTIF($D$5:D1198,"?*"))</f>
        <v/>
      </c>
      <c r="B1198" s="6"/>
      <c r="C1198" s="5" t="str">
        <f>IF(B1198="","",INDEX({"Ocak","Şubat","Mart","Nisan","Mayıs","Haziran","Temmuz","Ağustos","Eylül","Ekim","Kasım","Aralık"},MONTH(B1198)))</f>
        <v/>
      </c>
      <c r="D1198" s="2"/>
      <c r="E1198" s="5" t="str">
        <f>IFERROR(INDEX('Malzeme Tanımlama'!$B$5:$B$300,MATCH(D1198,'Malzeme Tanımlama'!$A$5:$A$300,0)),"")</f>
        <v/>
      </c>
      <c r="F1198" s="2"/>
      <c r="G1198" s="5"/>
      <c r="H1198" s="5" t="str">
        <f>IFERROR(INDEX('Malzeme Tanımlama'!$D$5:$D$300,MATCH(D1198,'Malzeme Tanımlama'!$A$5:$A$300,0)),"")</f>
        <v/>
      </c>
      <c r="I1198" s="2"/>
      <c r="J1198" s="2"/>
      <c r="K1198" s="2"/>
    </row>
    <row r="1199" spans="1:11" x14ac:dyDescent="0.3">
      <c r="A1199" s="5" t="str">
        <f>IF(D1199="","",COUNTIF($D$5:D1199,"?*"))</f>
        <v/>
      </c>
      <c r="B1199" s="6"/>
      <c r="C1199" s="5" t="str">
        <f>IF(B1199="","",INDEX({"Ocak","Şubat","Mart","Nisan","Mayıs","Haziran","Temmuz","Ağustos","Eylül","Ekim","Kasım","Aralık"},MONTH(B1199)))</f>
        <v/>
      </c>
      <c r="D1199" s="2"/>
      <c r="E1199" s="5" t="str">
        <f>IFERROR(INDEX('Malzeme Tanımlama'!$B$5:$B$300,MATCH(D1199,'Malzeme Tanımlama'!$A$5:$A$300,0)),"")</f>
        <v/>
      </c>
      <c r="F1199" s="2"/>
      <c r="G1199" s="5"/>
      <c r="H1199" s="5" t="str">
        <f>IFERROR(INDEX('Malzeme Tanımlama'!$D$5:$D$300,MATCH(D1199,'Malzeme Tanımlama'!$A$5:$A$300,0)),"")</f>
        <v/>
      </c>
      <c r="I1199" s="2"/>
      <c r="J1199" s="2"/>
      <c r="K1199" s="2"/>
    </row>
    <row r="1200" spans="1:11" x14ac:dyDescent="0.3">
      <c r="A1200" s="5" t="str">
        <f>IF(D1200="","",COUNTIF($D$5:D1200,"?*"))</f>
        <v/>
      </c>
      <c r="B1200" s="6"/>
      <c r="C1200" s="5" t="str">
        <f>IF(B1200="","",INDEX({"Ocak","Şubat","Mart","Nisan","Mayıs","Haziran","Temmuz","Ağustos","Eylül","Ekim","Kasım","Aralık"},MONTH(B1200)))</f>
        <v/>
      </c>
      <c r="D1200" s="2"/>
      <c r="E1200" s="5" t="str">
        <f>IFERROR(INDEX('Malzeme Tanımlama'!$B$5:$B$300,MATCH(D1200,'Malzeme Tanımlama'!$A$5:$A$300,0)),"")</f>
        <v/>
      </c>
      <c r="F1200" s="2"/>
      <c r="G1200" s="5"/>
      <c r="H1200" s="5" t="str">
        <f>IFERROR(INDEX('Malzeme Tanımlama'!$D$5:$D$300,MATCH(D1200,'Malzeme Tanımlama'!$A$5:$A$300,0)),"")</f>
        <v/>
      </c>
      <c r="I1200" s="2"/>
      <c r="J1200" s="2"/>
      <c r="K1200" s="2"/>
    </row>
    <row r="1201" spans="1:11" x14ac:dyDescent="0.3">
      <c r="A1201" s="5" t="str">
        <f>IF(D1201="","",COUNTIF($D$5:D1201,"?*"))</f>
        <v/>
      </c>
      <c r="B1201" s="6"/>
      <c r="C1201" s="5" t="str">
        <f>IF(B1201="","",INDEX({"Ocak","Şubat","Mart","Nisan","Mayıs","Haziran","Temmuz","Ağustos","Eylül","Ekim","Kasım","Aralık"},MONTH(B1201)))</f>
        <v/>
      </c>
      <c r="D1201" s="2"/>
      <c r="E1201" s="5" t="str">
        <f>IFERROR(INDEX('Malzeme Tanımlama'!$B$5:$B$300,MATCH(D1201,'Malzeme Tanımlama'!$A$5:$A$300,0)),"")</f>
        <v/>
      </c>
      <c r="F1201" s="2"/>
      <c r="G1201" s="5"/>
      <c r="H1201" s="5" t="str">
        <f>IFERROR(INDEX('Malzeme Tanımlama'!$D$5:$D$300,MATCH(D1201,'Malzeme Tanımlama'!$A$5:$A$300,0)),"")</f>
        <v/>
      </c>
      <c r="I1201" s="2"/>
      <c r="J1201" s="2"/>
      <c r="K1201" s="2"/>
    </row>
    <row r="1202" spans="1:11" x14ac:dyDescent="0.3">
      <c r="A1202" s="5" t="str">
        <f>IF(D1202="","",COUNTIF($D$5:D1202,"?*"))</f>
        <v/>
      </c>
      <c r="B1202" s="6"/>
      <c r="C1202" s="5" t="str">
        <f>IF(B1202="","",INDEX({"Ocak","Şubat","Mart","Nisan","Mayıs","Haziran","Temmuz","Ağustos","Eylül","Ekim","Kasım","Aralık"},MONTH(B1202)))</f>
        <v/>
      </c>
      <c r="D1202" s="2"/>
      <c r="E1202" s="5" t="str">
        <f>IFERROR(INDEX('Malzeme Tanımlama'!$B$5:$B$300,MATCH(D1202,'Malzeme Tanımlama'!$A$5:$A$300,0)),"")</f>
        <v/>
      </c>
      <c r="F1202" s="2"/>
      <c r="G1202" s="5"/>
      <c r="H1202" s="5" t="str">
        <f>IFERROR(INDEX('Malzeme Tanımlama'!$D$5:$D$300,MATCH(D1202,'Malzeme Tanımlama'!$A$5:$A$300,0)),"")</f>
        <v/>
      </c>
      <c r="I1202" s="2"/>
      <c r="J1202" s="2"/>
      <c r="K1202" s="2"/>
    </row>
    <row r="1203" spans="1:11" x14ac:dyDescent="0.3">
      <c r="A1203" s="5" t="str">
        <f>IF(D1203="","",COUNTIF($D$5:D1203,"?*"))</f>
        <v/>
      </c>
      <c r="B1203" s="6"/>
      <c r="C1203" s="5" t="str">
        <f>IF(B1203="","",INDEX({"Ocak","Şubat","Mart","Nisan","Mayıs","Haziran","Temmuz","Ağustos","Eylül","Ekim","Kasım","Aralık"},MONTH(B1203)))</f>
        <v/>
      </c>
      <c r="D1203" s="2"/>
      <c r="E1203" s="5" t="str">
        <f>IFERROR(INDEX('Malzeme Tanımlama'!$B$5:$B$300,MATCH(D1203,'Malzeme Tanımlama'!$A$5:$A$300,0)),"")</f>
        <v/>
      </c>
      <c r="F1203" s="2"/>
      <c r="G1203" s="5"/>
      <c r="H1203" s="5" t="str">
        <f>IFERROR(INDEX('Malzeme Tanımlama'!$D$5:$D$300,MATCH(D1203,'Malzeme Tanımlama'!$A$5:$A$300,0)),"")</f>
        <v/>
      </c>
      <c r="I1203" s="2"/>
      <c r="J1203" s="2"/>
      <c r="K1203" s="2"/>
    </row>
    <row r="1204" spans="1:11" x14ac:dyDescent="0.3">
      <c r="A1204" s="5" t="str">
        <f>IF(D1204="","",COUNTIF($D$5:D1204,"?*"))</f>
        <v/>
      </c>
      <c r="B1204" s="6"/>
      <c r="C1204" s="5" t="str">
        <f>IF(B1204="","",INDEX({"Ocak","Şubat","Mart","Nisan","Mayıs","Haziran","Temmuz","Ağustos","Eylül","Ekim","Kasım","Aralık"},MONTH(B1204)))</f>
        <v/>
      </c>
      <c r="D1204" s="2"/>
      <c r="E1204" s="5" t="str">
        <f>IFERROR(INDEX('Malzeme Tanımlama'!$B$5:$B$300,MATCH(D1204,'Malzeme Tanımlama'!$A$5:$A$300,0)),"")</f>
        <v/>
      </c>
      <c r="F1204" s="2"/>
      <c r="G1204" s="5"/>
      <c r="H1204" s="5" t="str">
        <f>IFERROR(INDEX('Malzeme Tanımlama'!$D$5:$D$300,MATCH(D1204,'Malzeme Tanımlama'!$A$5:$A$300,0)),"")</f>
        <v/>
      </c>
      <c r="I1204" s="2"/>
      <c r="J1204" s="2"/>
      <c r="K1204" s="2"/>
    </row>
    <row r="1205" spans="1:11" x14ac:dyDescent="0.3">
      <c r="A1205" s="5" t="str">
        <f>IF(D1205="","",COUNTIF($D$5:D1205,"?*"))</f>
        <v/>
      </c>
      <c r="B1205" s="6"/>
      <c r="C1205" s="5" t="str">
        <f>IF(B1205="","",INDEX({"Ocak","Şubat","Mart","Nisan","Mayıs","Haziran","Temmuz","Ağustos","Eylül","Ekim","Kasım","Aralık"},MONTH(B1205)))</f>
        <v/>
      </c>
      <c r="D1205" s="2"/>
      <c r="E1205" s="5" t="str">
        <f>IFERROR(INDEX('Malzeme Tanımlama'!$B$5:$B$300,MATCH(D1205,'Malzeme Tanımlama'!$A$5:$A$300,0)),"")</f>
        <v/>
      </c>
      <c r="F1205" s="2"/>
      <c r="G1205" s="5"/>
      <c r="H1205" s="5" t="str">
        <f>IFERROR(INDEX('Malzeme Tanımlama'!$D$5:$D$300,MATCH(D1205,'Malzeme Tanımlama'!$A$5:$A$300,0)),"")</f>
        <v/>
      </c>
      <c r="I1205" s="2"/>
      <c r="J1205" s="2"/>
      <c r="K1205" s="2"/>
    </row>
    <row r="1206" spans="1:11" x14ac:dyDescent="0.3">
      <c r="A1206" s="5" t="str">
        <f>IF(D1206="","",COUNTIF($D$5:D1206,"?*"))</f>
        <v/>
      </c>
      <c r="B1206" s="6"/>
      <c r="C1206" s="5" t="str">
        <f>IF(B1206="","",INDEX({"Ocak","Şubat","Mart","Nisan","Mayıs","Haziran","Temmuz","Ağustos","Eylül","Ekim","Kasım","Aralık"},MONTH(B1206)))</f>
        <v/>
      </c>
      <c r="D1206" s="2"/>
      <c r="E1206" s="5" t="str">
        <f>IFERROR(INDEX('Malzeme Tanımlama'!$B$5:$B$300,MATCH(D1206,'Malzeme Tanımlama'!$A$5:$A$300,0)),"")</f>
        <v/>
      </c>
      <c r="F1206" s="2"/>
      <c r="G1206" s="5"/>
      <c r="H1206" s="5" t="str">
        <f>IFERROR(INDEX('Malzeme Tanımlama'!$D$5:$D$300,MATCH(D1206,'Malzeme Tanımlama'!$A$5:$A$300,0)),"")</f>
        <v/>
      </c>
      <c r="I1206" s="2"/>
      <c r="J1206" s="2"/>
      <c r="K1206" s="2"/>
    </row>
    <row r="1207" spans="1:11" x14ac:dyDescent="0.3">
      <c r="A1207" s="5" t="str">
        <f>IF(D1207="","",COUNTIF($D$5:D1207,"?*"))</f>
        <v/>
      </c>
      <c r="B1207" s="6"/>
      <c r="C1207" s="5" t="str">
        <f>IF(B1207="","",INDEX({"Ocak","Şubat","Mart","Nisan","Mayıs","Haziran","Temmuz","Ağustos","Eylül","Ekim","Kasım","Aralık"},MONTH(B1207)))</f>
        <v/>
      </c>
      <c r="D1207" s="2"/>
      <c r="E1207" s="5" t="str">
        <f>IFERROR(INDEX('Malzeme Tanımlama'!$B$5:$B$300,MATCH(D1207,'Malzeme Tanımlama'!$A$5:$A$300,0)),"")</f>
        <v/>
      </c>
      <c r="F1207" s="2"/>
      <c r="G1207" s="5"/>
      <c r="H1207" s="5" t="str">
        <f>IFERROR(INDEX('Malzeme Tanımlama'!$D$5:$D$300,MATCH(D1207,'Malzeme Tanımlama'!$A$5:$A$300,0)),"")</f>
        <v/>
      </c>
      <c r="I1207" s="2"/>
      <c r="J1207" s="2"/>
      <c r="K1207" s="2"/>
    </row>
    <row r="1208" spans="1:11" x14ac:dyDescent="0.3">
      <c r="A1208" s="5" t="str">
        <f>IF(D1208="","",COUNTIF($D$5:D1208,"?*"))</f>
        <v/>
      </c>
      <c r="B1208" s="6"/>
      <c r="C1208" s="5" t="str">
        <f>IF(B1208="","",INDEX({"Ocak","Şubat","Mart","Nisan","Mayıs","Haziran","Temmuz","Ağustos","Eylül","Ekim","Kasım","Aralık"},MONTH(B1208)))</f>
        <v/>
      </c>
      <c r="D1208" s="2"/>
      <c r="E1208" s="5" t="str">
        <f>IFERROR(INDEX('Malzeme Tanımlama'!$B$5:$B$300,MATCH(D1208,'Malzeme Tanımlama'!$A$5:$A$300,0)),"")</f>
        <v/>
      </c>
      <c r="F1208" s="2"/>
      <c r="G1208" s="5"/>
      <c r="H1208" s="5" t="str">
        <f>IFERROR(INDEX('Malzeme Tanımlama'!$D$5:$D$300,MATCH(D1208,'Malzeme Tanımlama'!$A$5:$A$300,0)),"")</f>
        <v/>
      </c>
      <c r="I1208" s="2"/>
      <c r="J1208" s="2"/>
      <c r="K1208" s="2"/>
    </row>
    <row r="1209" spans="1:11" x14ac:dyDescent="0.3">
      <c r="A1209" s="5" t="str">
        <f>IF(D1209="","",COUNTIF($D$5:D1209,"?*"))</f>
        <v/>
      </c>
      <c r="B1209" s="6"/>
      <c r="C1209" s="5" t="str">
        <f>IF(B1209="","",INDEX({"Ocak","Şubat","Mart","Nisan","Mayıs","Haziran","Temmuz","Ağustos","Eylül","Ekim","Kasım","Aralık"},MONTH(B1209)))</f>
        <v/>
      </c>
      <c r="D1209" s="2"/>
      <c r="E1209" s="5" t="str">
        <f>IFERROR(INDEX('Malzeme Tanımlama'!$B$5:$B$300,MATCH(D1209,'Malzeme Tanımlama'!$A$5:$A$300,0)),"")</f>
        <v/>
      </c>
      <c r="F1209" s="2"/>
      <c r="G1209" s="5"/>
      <c r="H1209" s="5" t="str">
        <f>IFERROR(INDEX('Malzeme Tanımlama'!$D$5:$D$300,MATCH(D1209,'Malzeme Tanımlama'!$A$5:$A$300,0)),"")</f>
        <v/>
      </c>
      <c r="I1209" s="2"/>
      <c r="J1209" s="2"/>
      <c r="K1209" s="2"/>
    </row>
    <row r="1210" spans="1:11" x14ac:dyDescent="0.3">
      <c r="A1210" s="5" t="str">
        <f>IF(D1210="","",COUNTIF($D$5:D1210,"?*"))</f>
        <v/>
      </c>
      <c r="B1210" s="6"/>
      <c r="C1210" s="5" t="str">
        <f>IF(B1210="","",INDEX({"Ocak","Şubat","Mart","Nisan","Mayıs","Haziran","Temmuz","Ağustos","Eylül","Ekim","Kasım","Aralık"},MONTH(B1210)))</f>
        <v/>
      </c>
      <c r="D1210" s="2"/>
      <c r="E1210" s="5" t="str">
        <f>IFERROR(INDEX('Malzeme Tanımlama'!$B$5:$B$300,MATCH(D1210,'Malzeme Tanımlama'!$A$5:$A$300,0)),"")</f>
        <v/>
      </c>
      <c r="F1210" s="2"/>
      <c r="G1210" s="5"/>
      <c r="H1210" s="5" t="str">
        <f>IFERROR(INDEX('Malzeme Tanımlama'!$D$5:$D$300,MATCH(D1210,'Malzeme Tanımlama'!$A$5:$A$300,0)),"")</f>
        <v/>
      </c>
      <c r="I1210" s="2"/>
      <c r="J1210" s="2"/>
      <c r="K1210" s="2"/>
    </row>
    <row r="1211" spans="1:11" x14ac:dyDescent="0.3">
      <c r="A1211" s="5" t="str">
        <f>IF(D1211="","",COUNTIF($D$5:D1211,"?*"))</f>
        <v/>
      </c>
      <c r="B1211" s="6"/>
      <c r="C1211" s="5" t="str">
        <f>IF(B1211="","",INDEX({"Ocak","Şubat","Mart","Nisan","Mayıs","Haziran","Temmuz","Ağustos","Eylül","Ekim","Kasım","Aralık"},MONTH(B1211)))</f>
        <v/>
      </c>
      <c r="D1211" s="2"/>
      <c r="E1211" s="5" t="str">
        <f>IFERROR(INDEX('Malzeme Tanımlama'!$B$5:$B$300,MATCH(D1211,'Malzeme Tanımlama'!$A$5:$A$300,0)),"")</f>
        <v/>
      </c>
      <c r="F1211" s="2"/>
      <c r="G1211" s="5"/>
      <c r="H1211" s="5" t="str">
        <f>IFERROR(INDEX('Malzeme Tanımlama'!$D$5:$D$300,MATCH(D1211,'Malzeme Tanımlama'!$A$5:$A$300,0)),"")</f>
        <v/>
      </c>
      <c r="I1211" s="2"/>
      <c r="J1211" s="2"/>
      <c r="K1211" s="2"/>
    </row>
    <row r="1212" spans="1:11" x14ac:dyDescent="0.3">
      <c r="A1212" s="5" t="str">
        <f>IF(D1212="","",COUNTIF($D$5:D1212,"?*"))</f>
        <v/>
      </c>
      <c r="B1212" s="6"/>
      <c r="C1212" s="5" t="str">
        <f>IF(B1212="","",INDEX({"Ocak","Şubat","Mart","Nisan","Mayıs","Haziran","Temmuz","Ağustos","Eylül","Ekim","Kasım","Aralık"},MONTH(B1212)))</f>
        <v/>
      </c>
      <c r="D1212" s="2"/>
      <c r="E1212" s="5" t="str">
        <f>IFERROR(INDEX('Malzeme Tanımlama'!$B$5:$B$300,MATCH(D1212,'Malzeme Tanımlama'!$A$5:$A$300,0)),"")</f>
        <v/>
      </c>
      <c r="F1212" s="2"/>
      <c r="G1212" s="5"/>
      <c r="H1212" s="5" t="str">
        <f>IFERROR(INDEX('Malzeme Tanımlama'!$D$5:$D$300,MATCH(D1212,'Malzeme Tanımlama'!$A$5:$A$300,0)),"")</f>
        <v/>
      </c>
      <c r="I1212" s="2"/>
      <c r="J1212" s="2"/>
      <c r="K1212" s="2"/>
    </row>
    <row r="1213" spans="1:11" x14ac:dyDescent="0.3">
      <c r="A1213" s="5" t="str">
        <f>IF(D1213="","",COUNTIF($D$5:D1213,"?*"))</f>
        <v/>
      </c>
      <c r="B1213" s="6"/>
      <c r="C1213" s="5" t="str">
        <f>IF(B1213="","",INDEX({"Ocak","Şubat","Mart","Nisan","Mayıs","Haziran","Temmuz","Ağustos","Eylül","Ekim","Kasım","Aralık"},MONTH(B1213)))</f>
        <v/>
      </c>
      <c r="D1213" s="2"/>
      <c r="E1213" s="5" t="str">
        <f>IFERROR(INDEX('Malzeme Tanımlama'!$B$5:$B$300,MATCH(D1213,'Malzeme Tanımlama'!$A$5:$A$300,0)),"")</f>
        <v/>
      </c>
      <c r="F1213" s="2"/>
      <c r="G1213" s="5"/>
      <c r="H1213" s="5" t="str">
        <f>IFERROR(INDEX('Malzeme Tanımlama'!$D$5:$D$300,MATCH(D1213,'Malzeme Tanımlama'!$A$5:$A$300,0)),"")</f>
        <v/>
      </c>
      <c r="I1213" s="2"/>
      <c r="J1213" s="2"/>
      <c r="K1213" s="2"/>
    </row>
    <row r="1214" spans="1:11" x14ac:dyDescent="0.3">
      <c r="A1214" s="5" t="str">
        <f>IF(D1214="","",COUNTIF($D$5:D1214,"?*"))</f>
        <v/>
      </c>
      <c r="B1214" s="6"/>
      <c r="C1214" s="5" t="str">
        <f>IF(B1214="","",INDEX({"Ocak","Şubat","Mart","Nisan","Mayıs","Haziran","Temmuz","Ağustos","Eylül","Ekim","Kasım","Aralık"},MONTH(B1214)))</f>
        <v/>
      </c>
      <c r="D1214" s="2"/>
      <c r="E1214" s="5" t="str">
        <f>IFERROR(INDEX('Malzeme Tanımlama'!$B$5:$B$300,MATCH(D1214,'Malzeme Tanımlama'!$A$5:$A$300,0)),"")</f>
        <v/>
      </c>
      <c r="F1214" s="2"/>
      <c r="G1214" s="5"/>
      <c r="H1214" s="5" t="str">
        <f>IFERROR(INDEX('Malzeme Tanımlama'!$D$5:$D$300,MATCH(D1214,'Malzeme Tanımlama'!$A$5:$A$300,0)),"")</f>
        <v/>
      </c>
      <c r="I1214" s="2"/>
      <c r="J1214" s="2"/>
      <c r="K1214" s="2"/>
    </row>
    <row r="1215" spans="1:11" x14ac:dyDescent="0.3">
      <c r="A1215" s="5" t="str">
        <f>IF(D1215="","",COUNTIF($D$5:D1215,"?*"))</f>
        <v/>
      </c>
      <c r="B1215" s="6"/>
      <c r="C1215" s="5" t="str">
        <f>IF(B1215="","",INDEX({"Ocak","Şubat","Mart","Nisan","Mayıs","Haziran","Temmuz","Ağustos","Eylül","Ekim","Kasım","Aralık"},MONTH(B1215)))</f>
        <v/>
      </c>
      <c r="D1215" s="2"/>
      <c r="E1215" s="5" t="str">
        <f>IFERROR(INDEX('Malzeme Tanımlama'!$B$5:$B$300,MATCH(D1215,'Malzeme Tanımlama'!$A$5:$A$300,0)),"")</f>
        <v/>
      </c>
      <c r="F1215" s="2"/>
      <c r="G1215" s="5"/>
      <c r="H1215" s="5" t="str">
        <f>IFERROR(INDEX('Malzeme Tanımlama'!$D$5:$D$300,MATCH(D1215,'Malzeme Tanımlama'!$A$5:$A$300,0)),"")</f>
        <v/>
      </c>
      <c r="I1215" s="2"/>
      <c r="J1215" s="2"/>
      <c r="K1215" s="2"/>
    </row>
    <row r="1216" spans="1:11" x14ac:dyDescent="0.3">
      <c r="A1216" s="5" t="str">
        <f>IF(D1216="","",COUNTIF($D$5:D1216,"?*"))</f>
        <v/>
      </c>
      <c r="B1216" s="6"/>
      <c r="C1216" s="5" t="str">
        <f>IF(B1216="","",INDEX({"Ocak","Şubat","Mart","Nisan","Mayıs","Haziran","Temmuz","Ağustos","Eylül","Ekim","Kasım","Aralık"},MONTH(B1216)))</f>
        <v/>
      </c>
      <c r="D1216" s="2"/>
      <c r="E1216" s="5" t="str">
        <f>IFERROR(INDEX('Malzeme Tanımlama'!$B$5:$B$300,MATCH(D1216,'Malzeme Tanımlama'!$A$5:$A$300,0)),"")</f>
        <v/>
      </c>
      <c r="F1216" s="2"/>
      <c r="G1216" s="5"/>
      <c r="H1216" s="5" t="str">
        <f>IFERROR(INDEX('Malzeme Tanımlama'!$D$5:$D$300,MATCH(D1216,'Malzeme Tanımlama'!$A$5:$A$300,0)),"")</f>
        <v/>
      </c>
      <c r="I1216" s="2"/>
      <c r="J1216" s="2"/>
      <c r="K1216" s="2"/>
    </row>
    <row r="1217" spans="1:11" x14ac:dyDescent="0.3">
      <c r="A1217" s="5" t="str">
        <f>IF(D1217="","",COUNTIF($D$5:D1217,"?*"))</f>
        <v/>
      </c>
      <c r="B1217" s="6"/>
      <c r="C1217" s="5" t="str">
        <f>IF(B1217="","",INDEX({"Ocak","Şubat","Mart","Nisan","Mayıs","Haziran","Temmuz","Ağustos","Eylül","Ekim","Kasım","Aralık"},MONTH(B1217)))</f>
        <v/>
      </c>
      <c r="D1217" s="2"/>
      <c r="E1217" s="5" t="str">
        <f>IFERROR(INDEX('Malzeme Tanımlama'!$B$5:$B$300,MATCH(D1217,'Malzeme Tanımlama'!$A$5:$A$300,0)),"")</f>
        <v/>
      </c>
      <c r="F1217" s="2"/>
      <c r="G1217" s="5"/>
      <c r="H1217" s="5" t="str">
        <f>IFERROR(INDEX('Malzeme Tanımlama'!$D$5:$D$300,MATCH(D1217,'Malzeme Tanımlama'!$A$5:$A$300,0)),"")</f>
        <v/>
      </c>
      <c r="I1217" s="2"/>
      <c r="J1217" s="2"/>
      <c r="K1217" s="2"/>
    </row>
    <row r="1218" spans="1:11" x14ac:dyDescent="0.3">
      <c r="A1218" s="5" t="str">
        <f>IF(D1218="","",COUNTIF($D$5:D1218,"?*"))</f>
        <v/>
      </c>
      <c r="B1218" s="6"/>
      <c r="C1218" s="5" t="str">
        <f>IF(B1218="","",INDEX({"Ocak","Şubat","Mart","Nisan","Mayıs","Haziran","Temmuz","Ağustos","Eylül","Ekim","Kasım","Aralık"},MONTH(B1218)))</f>
        <v/>
      </c>
      <c r="D1218" s="2"/>
      <c r="E1218" s="5" t="str">
        <f>IFERROR(INDEX('Malzeme Tanımlama'!$B$5:$B$300,MATCH(D1218,'Malzeme Tanımlama'!$A$5:$A$300,0)),"")</f>
        <v/>
      </c>
      <c r="F1218" s="2"/>
      <c r="G1218" s="5"/>
      <c r="H1218" s="5" t="str">
        <f>IFERROR(INDEX('Malzeme Tanımlama'!$D$5:$D$300,MATCH(D1218,'Malzeme Tanımlama'!$A$5:$A$300,0)),"")</f>
        <v/>
      </c>
      <c r="I1218" s="2"/>
      <c r="J1218" s="2"/>
      <c r="K1218" s="2"/>
    </row>
    <row r="1219" spans="1:11" x14ac:dyDescent="0.3">
      <c r="A1219" s="5" t="str">
        <f>IF(D1219="","",COUNTIF($D$5:D1219,"?*"))</f>
        <v/>
      </c>
      <c r="B1219" s="6"/>
      <c r="C1219" s="5" t="str">
        <f>IF(B1219="","",INDEX({"Ocak","Şubat","Mart","Nisan","Mayıs","Haziran","Temmuz","Ağustos","Eylül","Ekim","Kasım","Aralık"},MONTH(B1219)))</f>
        <v/>
      </c>
      <c r="D1219" s="2"/>
      <c r="E1219" s="5" t="str">
        <f>IFERROR(INDEX('Malzeme Tanımlama'!$B$5:$B$300,MATCH(D1219,'Malzeme Tanımlama'!$A$5:$A$300,0)),"")</f>
        <v/>
      </c>
      <c r="F1219" s="2"/>
      <c r="G1219" s="5"/>
      <c r="H1219" s="5" t="str">
        <f>IFERROR(INDEX('Malzeme Tanımlama'!$D$5:$D$300,MATCH(D1219,'Malzeme Tanımlama'!$A$5:$A$300,0)),"")</f>
        <v/>
      </c>
      <c r="I1219" s="2"/>
      <c r="J1219" s="2"/>
      <c r="K1219" s="2"/>
    </row>
    <row r="1220" spans="1:11" x14ac:dyDescent="0.3">
      <c r="A1220" s="5" t="str">
        <f>IF(D1220="","",COUNTIF($D$5:D1220,"?*"))</f>
        <v/>
      </c>
      <c r="B1220" s="6"/>
      <c r="C1220" s="5" t="str">
        <f>IF(B1220="","",INDEX({"Ocak","Şubat","Mart","Nisan","Mayıs","Haziran","Temmuz","Ağustos","Eylül","Ekim","Kasım","Aralık"},MONTH(B1220)))</f>
        <v/>
      </c>
      <c r="D1220" s="2"/>
      <c r="E1220" s="5" t="str">
        <f>IFERROR(INDEX('Malzeme Tanımlama'!$B$5:$B$300,MATCH(D1220,'Malzeme Tanımlama'!$A$5:$A$300,0)),"")</f>
        <v/>
      </c>
      <c r="F1220" s="2"/>
      <c r="G1220" s="5"/>
      <c r="H1220" s="5" t="str">
        <f>IFERROR(INDEX('Malzeme Tanımlama'!$D$5:$D$300,MATCH(D1220,'Malzeme Tanımlama'!$A$5:$A$300,0)),"")</f>
        <v/>
      </c>
      <c r="I1220" s="2"/>
      <c r="J1220" s="2"/>
      <c r="K1220" s="2"/>
    </row>
    <row r="1221" spans="1:11" x14ac:dyDescent="0.3">
      <c r="A1221" s="5" t="str">
        <f>IF(D1221="","",COUNTIF($D$5:D1221,"?*"))</f>
        <v/>
      </c>
      <c r="B1221" s="6"/>
      <c r="C1221" s="5" t="str">
        <f>IF(B1221="","",INDEX({"Ocak","Şubat","Mart","Nisan","Mayıs","Haziran","Temmuz","Ağustos","Eylül","Ekim","Kasım","Aralık"},MONTH(B1221)))</f>
        <v/>
      </c>
      <c r="D1221" s="2"/>
      <c r="E1221" s="5" t="str">
        <f>IFERROR(INDEX('Malzeme Tanımlama'!$B$5:$B$300,MATCH(D1221,'Malzeme Tanımlama'!$A$5:$A$300,0)),"")</f>
        <v/>
      </c>
      <c r="F1221" s="2"/>
      <c r="G1221" s="5"/>
      <c r="H1221" s="5" t="str">
        <f>IFERROR(INDEX('Malzeme Tanımlama'!$D$5:$D$300,MATCH(D1221,'Malzeme Tanımlama'!$A$5:$A$300,0)),"")</f>
        <v/>
      </c>
      <c r="I1221" s="2"/>
      <c r="J1221" s="2"/>
      <c r="K1221" s="2"/>
    </row>
    <row r="1222" spans="1:11" x14ac:dyDescent="0.3">
      <c r="A1222" s="5" t="str">
        <f>IF(D1222="","",COUNTIF($D$5:D1222,"?*"))</f>
        <v/>
      </c>
      <c r="B1222" s="6"/>
      <c r="C1222" s="5" t="str">
        <f>IF(B1222="","",INDEX({"Ocak","Şubat","Mart","Nisan","Mayıs","Haziran","Temmuz","Ağustos","Eylül","Ekim","Kasım","Aralık"},MONTH(B1222)))</f>
        <v/>
      </c>
      <c r="D1222" s="2"/>
      <c r="E1222" s="5" t="str">
        <f>IFERROR(INDEX('Malzeme Tanımlama'!$B$5:$B$300,MATCH(D1222,'Malzeme Tanımlama'!$A$5:$A$300,0)),"")</f>
        <v/>
      </c>
      <c r="F1222" s="2"/>
      <c r="G1222" s="5"/>
      <c r="H1222" s="5" t="str">
        <f>IFERROR(INDEX('Malzeme Tanımlama'!$D$5:$D$300,MATCH(D1222,'Malzeme Tanımlama'!$A$5:$A$300,0)),"")</f>
        <v/>
      </c>
      <c r="I1222" s="2"/>
      <c r="J1222" s="2"/>
      <c r="K1222" s="2"/>
    </row>
    <row r="1223" spans="1:11" x14ac:dyDescent="0.3">
      <c r="A1223" s="5" t="str">
        <f>IF(D1223="","",COUNTIF($D$5:D1223,"?*"))</f>
        <v/>
      </c>
      <c r="B1223" s="6"/>
      <c r="C1223" s="5" t="str">
        <f>IF(B1223="","",INDEX({"Ocak","Şubat","Mart","Nisan","Mayıs","Haziran","Temmuz","Ağustos","Eylül","Ekim","Kasım","Aralık"},MONTH(B1223)))</f>
        <v/>
      </c>
      <c r="D1223" s="2"/>
      <c r="E1223" s="5" t="str">
        <f>IFERROR(INDEX('Malzeme Tanımlama'!$B$5:$B$300,MATCH(D1223,'Malzeme Tanımlama'!$A$5:$A$300,0)),"")</f>
        <v/>
      </c>
      <c r="F1223" s="2"/>
      <c r="G1223" s="5"/>
      <c r="H1223" s="5" t="str">
        <f>IFERROR(INDEX('Malzeme Tanımlama'!$D$5:$D$300,MATCH(D1223,'Malzeme Tanımlama'!$A$5:$A$300,0)),"")</f>
        <v/>
      </c>
      <c r="I1223" s="2"/>
      <c r="J1223" s="2"/>
      <c r="K1223" s="2"/>
    </row>
    <row r="1224" spans="1:11" x14ac:dyDescent="0.3">
      <c r="A1224" s="5" t="str">
        <f>IF(D1224="","",COUNTIF($D$5:D1224,"?*"))</f>
        <v/>
      </c>
      <c r="B1224" s="6"/>
      <c r="C1224" s="5" t="str">
        <f>IF(B1224="","",INDEX({"Ocak","Şubat","Mart","Nisan","Mayıs","Haziran","Temmuz","Ağustos","Eylül","Ekim","Kasım","Aralık"},MONTH(B1224)))</f>
        <v/>
      </c>
      <c r="D1224" s="2"/>
      <c r="E1224" s="5" t="str">
        <f>IFERROR(INDEX('Malzeme Tanımlama'!$B$5:$B$300,MATCH(D1224,'Malzeme Tanımlama'!$A$5:$A$300,0)),"")</f>
        <v/>
      </c>
      <c r="F1224" s="2"/>
      <c r="G1224" s="5"/>
      <c r="H1224" s="5" t="str">
        <f>IFERROR(INDEX('Malzeme Tanımlama'!$D$5:$D$300,MATCH(D1224,'Malzeme Tanımlama'!$A$5:$A$300,0)),"")</f>
        <v/>
      </c>
      <c r="I1224" s="2"/>
      <c r="J1224" s="2"/>
      <c r="K1224" s="2"/>
    </row>
    <row r="1225" spans="1:11" x14ac:dyDescent="0.3">
      <c r="A1225" s="5" t="str">
        <f>IF(D1225="","",COUNTIF($D$5:D1225,"?*"))</f>
        <v/>
      </c>
      <c r="B1225" s="6"/>
      <c r="C1225" s="5" t="str">
        <f>IF(B1225="","",INDEX({"Ocak","Şubat","Mart","Nisan","Mayıs","Haziran","Temmuz","Ağustos","Eylül","Ekim","Kasım","Aralık"},MONTH(B1225)))</f>
        <v/>
      </c>
      <c r="D1225" s="2"/>
      <c r="E1225" s="5" t="str">
        <f>IFERROR(INDEX('Malzeme Tanımlama'!$B$5:$B$300,MATCH(D1225,'Malzeme Tanımlama'!$A$5:$A$300,0)),"")</f>
        <v/>
      </c>
      <c r="F1225" s="2"/>
      <c r="G1225" s="5"/>
      <c r="H1225" s="5" t="str">
        <f>IFERROR(INDEX('Malzeme Tanımlama'!$D$5:$D$300,MATCH(D1225,'Malzeme Tanımlama'!$A$5:$A$300,0)),"")</f>
        <v/>
      </c>
      <c r="I1225" s="2"/>
      <c r="J1225" s="2"/>
      <c r="K1225" s="2"/>
    </row>
    <row r="1226" spans="1:11" x14ac:dyDescent="0.3">
      <c r="A1226" s="5" t="str">
        <f>IF(D1226="","",COUNTIF($D$5:D1226,"?*"))</f>
        <v/>
      </c>
      <c r="B1226" s="6"/>
      <c r="C1226" s="5" t="str">
        <f>IF(B1226="","",INDEX({"Ocak","Şubat","Mart","Nisan","Mayıs","Haziran","Temmuz","Ağustos","Eylül","Ekim","Kasım","Aralık"},MONTH(B1226)))</f>
        <v/>
      </c>
      <c r="D1226" s="2"/>
      <c r="E1226" s="5" t="str">
        <f>IFERROR(INDEX('Malzeme Tanımlama'!$B$5:$B$300,MATCH(D1226,'Malzeme Tanımlama'!$A$5:$A$300,0)),"")</f>
        <v/>
      </c>
      <c r="F1226" s="2"/>
      <c r="G1226" s="5"/>
      <c r="H1226" s="5" t="str">
        <f>IFERROR(INDEX('Malzeme Tanımlama'!$D$5:$D$300,MATCH(D1226,'Malzeme Tanımlama'!$A$5:$A$300,0)),"")</f>
        <v/>
      </c>
      <c r="I1226" s="2"/>
      <c r="J1226" s="2"/>
      <c r="K1226" s="2"/>
    </row>
    <row r="1227" spans="1:11" x14ac:dyDescent="0.3">
      <c r="A1227" s="5" t="str">
        <f>IF(D1227="","",COUNTIF($D$5:D1227,"?*"))</f>
        <v/>
      </c>
      <c r="B1227" s="6"/>
      <c r="C1227" s="5" t="str">
        <f>IF(B1227="","",INDEX({"Ocak","Şubat","Mart","Nisan","Mayıs","Haziran","Temmuz","Ağustos","Eylül","Ekim","Kasım","Aralık"},MONTH(B1227)))</f>
        <v/>
      </c>
      <c r="D1227" s="2"/>
      <c r="E1227" s="5" t="str">
        <f>IFERROR(INDEX('Malzeme Tanımlama'!$B$5:$B$300,MATCH(D1227,'Malzeme Tanımlama'!$A$5:$A$300,0)),"")</f>
        <v/>
      </c>
      <c r="F1227" s="2"/>
      <c r="G1227" s="5"/>
      <c r="H1227" s="5" t="str">
        <f>IFERROR(INDEX('Malzeme Tanımlama'!$D$5:$D$300,MATCH(D1227,'Malzeme Tanımlama'!$A$5:$A$300,0)),"")</f>
        <v/>
      </c>
      <c r="I1227" s="2"/>
      <c r="J1227" s="2"/>
      <c r="K1227" s="2"/>
    </row>
    <row r="1228" spans="1:11" x14ac:dyDescent="0.3">
      <c r="A1228" s="5" t="str">
        <f>IF(D1228="","",COUNTIF($D$5:D1228,"?*"))</f>
        <v/>
      </c>
      <c r="B1228" s="6"/>
      <c r="C1228" s="5" t="str">
        <f>IF(B1228="","",INDEX({"Ocak","Şubat","Mart","Nisan","Mayıs","Haziran","Temmuz","Ağustos","Eylül","Ekim","Kasım","Aralık"},MONTH(B1228)))</f>
        <v/>
      </c>
      <c r="D1228" s="2"/>
      <c r="E1228" s="5" t="str">
        <f>IFERROR(INDEX('Malzeme Tanımlama'!$B$5:$B$300,MATCH(D1228,'Malzeme Tanımlama'!$A$5:$A$300,0)),"")</f>
        <v/>
      </c>
      <c r="F1228" s="2"/>
      <c r="G1228" s="5"/>
      <c r="H1228" s="5" t="str">
        <f>IFERROR(INDEX('Malzeme Tanımlama'!$D$5:$D$300,MATCH(D1228,'Malzeme Tanımlama'!$A$5:$A$300,0)),"")</f>
        <v/>
      </c>
      <c r="I1228" s="2"/>
      <c r="J1228" s="2"/>
      <c r="K1228" s="2"/>
    </row>
    <row r="1229" spans="1:11" x14ac:dyDescent="0.3">
      <c r="A1229" s="5" t="str">
        <f>IF(D1229="","",COUNTIF($D$5:D1229,"?*"))</f>
        <v/>
      </c>
      <c r="B1229" s="6"/>
      <c r="C1229" s="5" t="str">
        <f>IF(B1229="","",INDEX({"Ocak","Şubat","Mart","Nisan","Mayıs","Haziran","Temmuz","Ağustos","Eylül","Ekim","Kasım","Aralık"},MONTH(B1229)))</f>
        <v/>
      </c>
      <c r="D1229" s="2"/>
      <c r="E1229" s="5" t="str">
        <f>IFERROR(INDEX('Malzeme Tanımlama'!$B$5:$B$300,MATCH(D1229,'Malzeme Tanımlama'!$A$5:$A$300,0)),"")</f>
        <v/>
      </c>
      <c r="F1229" s="2"/>
      <c r="G1229" s="5"/>
      <c r="H1229" s="5" t="str">
        <f>IFERROR(INDEX('Malzeme Tanımlama'!$D$5:$D$300,MATCH(D1229,'Malzeme Tanımlama'!$A$5:$A$300,0)),"")</f>
        <v/>
      </c>
      <c r="I1229" s="2"/>
      <c r="J1229" s="2"/>
      <c r="K1229" s="2"/>
    </row>
    <row r="1230" spans="1:11" x14ac:dyDescent="0.3">
      <c r="A1230" s="5" t="str">
        <f>IF(D1230="","",COUNTIF($D$5:D1230,"?*"))</f>
        <v/>
      </c>
      <c r="B1230" s="6"/>
      <c r="C1230" s="5" t="str">
        <f>IF(B1230="","",INDEX({"Ocak","Şubat","Mart","Nisan","Mayıs","Haziran","Temmuz","Ağustos","Eylül","Ekim","Kasım","Aralık"},MONTH(B1230)))</f>
        <v/>
      </c>
      <c r="D1230" s="2"/>
      <c r="E1230" s="5" t="str">
        <f>IFERROR(INDEX('Malzeme Tanımlama'!$B$5:$B$300,MATCH(D1230,'Malzeme Tanımlama'!$A$5:$A$300,0)),"")</f>
        <v/>
      </c>
      <c r="F1230" s="2"/>
      <c r="G1230" s="5"/>
      <c r="H1230" s="5" t="str">
        <f>IFERROR(INDEX('Malzeme Tanımlama'!$D$5:$D$300,MATCH(D1230,'Malzeme Tanımlama'!$A$5:$A$300,0)),"")</f>
        <v/>
      </c>
      <c r="I1230" s="2"/>
      <c r="J1230" s="2"/>
      <c r="K1230" s="2"/>
    </row>
    <row r="1231" spans="1:11" x14ac:dyDescent="0.3">
      <c r="A1231" s="5" t="str">
        <f>IF(D1231="","",COUNTIF($D$5:D1231,"?*"))</f>
        <v/>
      </c>
      <c r="B1231" s="6"/>
      <c r="C1231" s="5" t="str">
        <f>IF(B1231="","",INDEX({"Ocak","Şubat","Mart","Nisan","Mayıs","Haziran","Temmuz","Ağustos","Eylül","Ekim","Kasım","Aralık"},MONTH(B1231)))</f>
        <v/>
      </c>
      <c r="D1231" s="2"/>
      <c r="E1231" s="5" t="str">
        <f>IFERROR(INDEX('Malzeme Tanımlama'!$B$5:$B$300,MATCH(D1231,'Malzeme Tanımlama'!$A$5:$A$300,0)),"")</f>
        <v/>
      </c>
      <c r="F1231" s="2"/>
      <c r="G1231" s="5"/>
      <c r="H1231" s="5" t="str">
        <f>IFERROR(INDEX('Malzeme Tanımlama'!$D$5:$D$300,MATCH(D1231,'Malzeme Tanımlama'!$A$5:$A$300,0)),"")</f>
        <v/>
      </c>
      <c r="I1231" s="2"/>
      <c r="J1231" s="2"/>
      <c r="K1231" s="2"/>
    </row>
    <row r="1232" spans="1:11" x14ac:dyDescent="0.3">
      <c r="A1232" s="5" t="str">
        <f>IF(D1232="","",COUNTIF($D$5:D1232,"?*"))</f>
        <v/>
      </c>
      <c r="B1232" s="6"/>
      <c r="C1232" s="5" t="str">
        <f>IF(B1232="","",INDEX({"Ocak","Şubat","Mart","Nisan","Mayıs","Haziran","Temmuz","Ağustos","Eylül","Ekim","Kasım","Aralık"},MONTH(B1232)))</f>
        <v/>
      </c>
      <c r="D1232" s="2"/>
      <c r="E1232" s="5" t="str">
        <f>IFERROR(INDEX('Malzeme Tanımlama'!$B$5:$B$300,MATCH(D1232,'Malzeme Tanımlama'!$A$5:$A$300,0)),"")</f>
        <v/>
      </c>
      <c r="F1232" s="2"/>
      <c r="G1232" s="5"/>
      <c r="H1232" s="5" t="str">
        <f>IFERROR(INDEX('Malzeme Tanımlama'!$D$5:$D$300,MATCH(D1232,'Malzeme Tanımlama'!$A$5:$A$300,0)),"")</f>
        <v/>
      </c>
      <c r="I1232" s="2"/>
      <c r="J1232" s="2"/>
      <c r="K1232" s="2"/>
    </row>
    <row r="1233" spans="1:11" x14ac:dyDescent="0.3">
      <c r="A1233" s="5" t="str">
        <f>IF(D1233="","",COUNTIF($D$5:D1233,"?*"))</f>
        <v/>
      </c>
      <c r="B1233" s="6"/>
      <c r="C1233" s="5" t="str">
        <f>IF(B1233="","",INDEX({"Ocak","Şubat","Mart","Nisan","Mayıs","Haziran","Temmuz","Ağustos","Eylül","Ekim","Kasım","Aralık"},MONTH(B1233)))</f>
        <v/>
      </c>
      <c r="D1233" s="2"/>
      <c r="E1233" s="5" t="str">
        <f>IFERROR(INDEX('Malzeme Tanımlama'!$B$5:$B$300,MATCH(D1233,'Malzeme Tanımlama'!$A$5:$A$300,0)),"")</f>
        <v/>
      </c>
      <c r="F1233" s="2"/>
      <c r="G1233" s="5"/>
      <c r="H1233" s="5" t="str">
        <f>IFERROR(INDEX('Malzeme Tanımlama'!$D$5:$D$300,MATCH(D1233,'Malzeme Tanımlama'!$A$5:$A$300,0)),"")</f>
        <v/>
      </c>
      <c r="I1233" s="2"/>
      <c r="J1233" s="2"/>
      <c r="K1233" s="2"/>
    </row>
    <row r="1234" spans="1:11" x14ac:dyDescent="0.3">
      <c r="A1234" s="5" t="str">
        <f>IF(D1234="","",COUNTIF($D$5:D1234,"?*"))</f>
        <v/>
      </c>
      <c r="B1234" s="6"/>
      <c r="C1234" s="5" t="str">
        <f>IF(B1234="","",INDEX({"Ocak","Şubat","Mart","Nisan","Mayıs","Haziran","Temmuz","Ağustos","Eylül","Ekim","Kasım","Aralık"},MONTH(B1234)))</f>
        <v/>
      </c>
      <c r="D1234" s="2"/>
      <c r="E1234" s="5" t="str">
        <f>IFERROR(INDEX('Malzeme Tanımlama'!$B$5:$B$300,MATCH(D1234,'Malzeme Tanımlama'!$A$5:$A$300,0)),"")</f>
        <v/>
      </c>
      <c r="F1234" s="2"/>
      <c r="G1234" s="5"/>
      <c r="H1234" s="5" t="str">
        <f>IFERROR(INDEX('Malzeme Tanımlama'!$D$5:$D$300,MATCH(D1234,'Malzeme Tanımlama'!$A$5:$A$300,0)),"")</f>
        <v/>
      </c>
      <c r="I1234" s="2"/>
      <c r="J1234" s="2"/>
      <c r="K1234" s="2"/>
    </row>
    <row r="1235" spans="1:11" x14ac:dyDescent="0.3">
      <c r="A1235" s="5" t="str">
        <f>IF(D1235="","",COUNTIF($D$5:D1235,"?*"))</f>
        <v/>
      </c>
      <c r="B1235" s="6"/>
      <c r="C1235" s="5" t="str">
        <f>IF(B1235="","",INDEX({"Ocak","Şubat","Mart","Nisan","Mayıs","Haziran","Temmuz","Ağustos","Eylül","Ekim","Kasım","Aralık"},MONTH(B1235)))</f>
        <v/>
      </c>
      <c r="D1235" s="2"/>
      <c r="E1235" s="5" t="str">
        <f>IFERROR(INDEX('Malzeme Tanımlama'!$B$5:$B$300,MATCH(D1235,'Malzeme Tanımlama'!$A$5:$A$300,0)),"")</f>
        <v/>
      </c>
      <c r="F1235" s="2"/>
      <c r="G1235" s="5"/>
      <c r="H1235" s="5" t="str">
        <f>IFERROR(INDEX('Malzeme Tanımlama'!$D$5:$D$300,MATCH(D1235,'Malzeme Tanımlama'!$A$5:$A$300,0)),"")</f>
        <v/>
      </c>
      <c r="I1235" s="2"/>
      <c r="J1235" s="2"/>
      <c r="K1235" s="2"/>
    </row>
    <row r="1236" spans="1:11" x14ac:dyDescent="0.3">
      <c r="A1236" s="5" t="str">
        <f>IF(D1236="","",COUNTIF($D$5:D1236,"?*"))</f>
        <v/>
      </c>
      <c r="B1236" s="6"/>
      <c r="C1236" s="5" t="str">
        <f>IF(B1236="","",INDEX({"Ocak","Şubat","Mart","Nisan","Mayıs","Haziran","Temmuz","Ağustos","Eylül","Ekim","Kasım","Aralık"},MONTH(B1236)))</f>
        <v/>
      </c>
      <c r="D1236" s="2"/>
      <c r="E1236" s="5" t="str">
        <f>IFERROR(INDEX('Malzeme Tanımlama'!$B$5:$B$300,MATCH(D1236,'Malzeme Tanımlama'!$A$5:$A$300,0)),"")</f>
        <v/>
      </c>
      <c r="F1236" s="2"/>
      <c r="G1236" s="5"/>
      <c r="H1236" s="5" t="str">
        <f>IFERROR(INDEX('Malzeme Tanımlama'!$D$5:$D$300,MATCH(D1236,'Malzeme Tanımlama'!$A$5:$A$300,0)),"")</f>
        <v/>
      </c>
      <c r="I1236" s="2"/>
      <c r="J1236" s="2"/>
      <c r="K1236" s="2"/>
    </row>
    <row r="1237" spans="1:11" x14ac:dyDescent="0.3">
      <c r="A1237" s="5" t="str">
        <f>IF(D1237="","",COUNTIF($D$5:D1237,"?*"))</f>
        <v/>
      </c>
      <c r="B1237" s="6"/>
      <c r="C1237" s="5" t="str">
        <f>IF(B1237="","",INDEX({"Ocak","Şubat","Mart","Nisan","Mayıs","Haziran","Temmuz","Ağustos","Eylül","Ekim","Kasım","Aralık"},MONTH(B1237)))</f>
        <v/>
      </c>
      <c r="D1237" s="2"/>
      <c r="E1237" s="5" t="str">
        <f>IFERROR(INDEX('Malzeme Tanımlama'!$B$5:$B$300,MATCH(D1237,'Malzeme Tanımlama'!$A$5:$A$300,0)),"")</f>
        <v/>
      </c>
      <c r="F1237" s="2"/>
      <c r="G1237" s="5"/>
      <c r="H1237" s="5" t="str">
        <f>IFERROR(INDEX('Malzeme Tanımlama'!$D$5:$D$300,MATCH(D1237,'Malzeme Tanımlama'!$A$5:$A$300,0)),"")</f>
        <v/>
      </c>
      <c r="I1237" s="2"/>
      <c r="J1237" s="2"/>
      <c r="K1237" s="2"/>
    </row>
    <row r="1238" spans="1:11" x14ac:dyDescent="0.3">
      <c r="A1238" s="5" t="str">
        <f>IF(D1238="","",COUNTIF($D$5:D1238,"?*"))</f>
        <v/>
      </c>
      <c r="B1238" s="6"/>
      <c r="C1238" s="5" t="str">
        <f>IF(B1238="","",INDEX({"Ocak","Şubat","Mart","Nisan","Mayıs","Haziran","Temmuz","Ağustos","Eylül","Ekim","Kasım","Aralık"},MONTH(B1238)))</f>
        <v/>
      </c>
      <c r="D1238" s="2"/>
      <c r="E1238" s="5" t="str">
        <f>IFERROR(INDEX('Malzeme Tanımlama'!$B$5:$B$300,MATCH(D1238,'Malzeme Tanımlama'!$A$5:$A$300,0)),"")</f>
        <v/>
      </c>
      <c r="F1238" s="2"/>
      <c r="G1238" s="5"/>
      <c r="H1238" s="5" t="str">
        <f>IFERROR(INDEX('Malzeme Tanımlama'!$D$5:$D$300,MATCH(D1238,'Malzeme Tanımlama'!$A$5:$A$300,0)),"")</f>
        <v/>
      </c>
      <c r="I1238" s="2"/>
      <c r="J1238" s="2"/>
      <c r="K1238" s="2"/>
    </row>
    <row r="1239" spans="1:11" x14ac:dyDescent="0.3">
      <c r="A1239" s="5" t="str">
        <f>IF(D1239="","",COUNTIF($D$5:D1239,"?*"))</f>
        <v/>
      </c>
      <c r="B1239" s="6"/>
      <c r="C1239" s="5" t="str">
        <f>IF(B1239="","",INDEX({"Ocak","Şubat","Mart","Nisan","Mayıs","Haziran","Temmuz","Ağustos","Eylül","Ekim","Kasım","Aralık"},MONTH(B1239)))</f>
        <v/>
      </c>
      <c r="D1239" s="2"/>
      <c r="E1239" s="5" t="str">
        <f>IFERROR(INDEX('Malzeme Tanımlama'!$B$5:$B$300,MATCH(D1239,'Malzeme Tanımlama'!$A$5:$A$300,0)),"")</f>
        <v/>
      </c>
      <c r="F1239" s="2"/>
      <c r="G1239" s="5"/>
      <c r="H1239" s="5" t="str">
        <f>IFERROR(INDEX('Malzeme Tanımlama'!$D$5:$D$300,MATCH(D1239,'Malzeme Tanımlama'!$A$5:$A$300,0)),"")</f>
        <v/>
      </c>
      <c r="I1239" s="2"/>
      <c r="J1239" s="2"/>
      <c r="K1239" s="2"/>
    </row>
    <row r="1240" spans="1:11" x14ac:dyDescent="0.3">
      <c r="A1240" s="5" t="str">
        <f>IF(D1240="","",COUNTIF($D$5:D1240,"?*"))</f>
        <v/>
      </c>
      <c r="B1240" s="6"/>
      <c r="C1240" s="5" t="str">
        <f>IF(B1240="","",INDEX({"Ocak","Şubat","Mart","Nisan","Mayıs","Haziran","Temmuz","Ağustos","Eylül","Ekim","Kasım","Aralık"},MONTH(B1240)))</f>
        <v/>
      </c>
      <c r="D1240" s="2"/>
      <c r="E1240" s="5" t="str">
        <f>IFERROR(INDEX('Malzeme Tanımlama'!$B$5:$B$300,MATCH(D1240,'Malzeme Tanımlama'!$A$5:$A$300,0)),"")</f>
        <v/>
      </c>
      <c r="F1240" s="2"/>
      <c r="G1240" s="5"/>
      <c r="H1240" s="5" t="str">
        <f>IFERROR(INDEX('Malzeme Tanımlama'!$D$5:$D$300,MATCH(D1240,'Malzeme Tanımlama'!$A$5:$A$300,0)),"")</f>
        <v/>
      </c>
      <c r="I1240" s="2"/>
      <c r="J1240" s="2"/>
      <c r="K1240" s="2"/>
    </row>
    <row r="1241" spans="1:11" x14ac:dyDescent="0.3">
      <c r="A1241" s="5" t="str">
        <f>IF(D1241="","",COUNTIF($D$5:D1241,"?*"))</f>
        <v/>
      </c>
      <c r="B1241" s="6"/>
      <c r="C1241" s="5" t="str">
        <f>IF(B1241="","",INDEX({"Ocak","Şubat","Mart","Nisan","Mayıs","Haziran","Temmuz","Ağustos","Eylül","Ekim","Kasım","Aralık"},MONTH(B1241)))</f>
        <v/>
      </c>
      <c r="D1241" s="2"/>
      <c r="E1241" s="5" t="str">
        <f>IFERROR(INDEX('Malzeme Tanımlama'!$B$5:$B$300,MATCH(D1241,'Malzeme Tanımlama'!$A$5:$A$300,0)),"")</f>
        <v/>
      </c>
      <c r="F1241" s="2"/>
      <c r="G1241" s="5"/>
      <c r="H1241" s="5" t="str">
        <f>IFERROR(INDEX('Malzeme Tanımlama'!$D$5:$D$300,MATCH(D1241,'Malzeme Tanımlama'!$A$5:$A$300,0)),"")</f>
        <v/>
      </c>
      <c r="I1241" s="2"/>
      <c r="J1241" s="2"/>
      <c r="K1241" s="2"/>
    </row>
    <row r="1242" spans="1:11" x14ac:dyDescent="0.3">
      <c r="A1242" s="5" t="str">
        <f>IF(D1242="","",COUNTIF($D$5:D1242,"?*"))</f>
        <v/>
      </c>
      <c r="B1242" s="6"/>
      <c r="C1242" s="5" t="str">
        <f>IF(B1242="","",INDEX({"Ocak","Şubat","Mart","Nisan","Mayıs","Haziran","Temmuz","Ağustos","Eylül","Ekim","Kasım","Aralık"},MONTH(B1242)))</f>
        <v/>
      </c>
      <c r="D1242" s="2"/>
      <c r="E1242" s="5" t="str">
        <f>IFERROR(INDEX('Malzeme Tanımlama'!$B$5:$B$300,MATCH(D1242,'Malzeme Tanımlama'!$A$5:$A$300,0)),"")</f>
        <v/>
      </c>
      <c r="F1242" s="2"/>
      <c r="G1242" s="5"/>
      <c r="H1242" s="5" t="str">
        <f>IFERROR(INDEX('Malzeme Tanımlama'!$D$5:$D$300,MATCH(D1242,'Malzeme Tanımlama'!$A$5:$A$300,0)),"")</f>
        <v/>
      </c>
      <c r="I1242" s="2"/>
      <c r="J1242" s="2"/>
      <c r="K1242" s="2"/>
    </row>
    <row r="1243" spans="1:11" x14ac:dyDescent="0.3">
      <c r="A1243" s="5" t="str">
        <f>IF(D1243="","",COUNTIF($D$5:D1243,"?*"))</f>
        <v/>
      </c>
      <c r="B1243" s="6"/>
      <c r="C1243" s="5" t="str">
        <f>IF(B1243="","",INDEX({"Ocak","Şubat","Mart","Nisan","Mayıs","Haziran","Temmuz","Ağustos","Eylül","Ekim","Kasım","Aralık"},MONTH(B1243)))</f>
        <v/>
      </c>
      <c r="D1243" s="2"/>
      <c r="E1243" s="5" t="str">
        <f>IFERROR(INDEX('Malzeme Tanımlama'!$B$5:$B$300,MATCH(D1243,'Malzeme Tanımlama'!$A$5:$A$300,0)),"")</f>
        <v/>
      </c>
      <c r="F1243" s="2"/>
      <c r="G1243" s="5"/>
      <c r="H1243" s="5" t="str">
        <f>IFERROR(INDEX('Malzeme Tanımlama'!$D$5:$D$300,MATCH(D1243,'Malzeme Tanımlama'!$A$5:$A$300,0)),"")</f>
        <v/>
      </c>
      <c r="I1243" s="2"/>
      <c r="J1243" s="2"/>
      <c r="K1243" s="2"/>
    </row>
    <row r="1244" spans="1:11" x14ac:dyDescent="0.3">
      <c r="A1244" s="5" t="str">
        <f>IF(D1244="","",COUNTIF($D$5:D1244,"?*"))</f>
        <v/>
      </c>
      <c r="B1244" s="6"/>
      <c r="C1244" s="5" t="str">
        <f>IF(B1244="","",INDEX({"Ocak","Şubat","Mart","Nisan","Mayıs","Haziran","Temmuz","Ağustos","Eylül","Ekim","Kasım","Aralık"},MONTH(B1244)))</f>
        <v/>
      </c>
      <c r="D1244" s="2"/>
      <c r="E1244" s="5" t="str">
        <f>IFERROR(INDEX('Malzeme Tanımlama'!$B$5:$B$300,MATCH(D1244,'Malzeme Tanımlama'!$A$5:$A$300,0)),"")</f>
        <v/>
      </c>
      <c r="F1244" s="2"/>
      <c r="G1244" s="5"/>
      <c r="H1244" s="5" t="str">
        <f>IFERROR(INDEX('Malzeme Tanımlama'!$D$5:$D$300,MATCH(D1244,'Malzeme Tanımlama'!$A$5:$A$300,0)),"")</f>
        <v/>
      </c>
      <c r="I1244" s="2"/>
      <c r="J1244" s="2"/>
      <c r="K1244" s="2"/>
    </row>
    <row r="1245" spans="1:11" x14ac:dyDescent="0.3">
      <c r="A1245" s="5" t="str">
        <f>IF(D1245="","",COUNTIF($D$5:D1245,"?*"))</f>
        <v/>
      </c>
      <c r="B1245" s="6"/>
      <c r="C1245" s="5" t="str">
        <f>IF(B1245="","",INDEX({"Ocak","Şubat","Mart","Nisan","Mayıs","Haziran","Temmuz","Ağustos","Eylül","Ekim","Kasım","Aralık"},MONTH(B1245)))</f>
        <v/>
      </c>
      <c r="D1245" s="2"/>
      <c r="E1245" s="5" t="str">
        <f>IFERROR(INDEX('Malzeme Tanımlama'!$B$5:$B$300,MATCH(D1245,'Malzeme Tanımlama'!$A$5:$A$300,0)),"")</f>
        <v/>
      </c>
      <c r="F1245" s="2"/>
      <c r="G1245" s="5"/>
      <c r="H1245" s="5" t="str">
        <f>IFERROR(INDEX('Malzeme Tanımlama'!$D$5:$D$300,MATCH(D1245,'Malzeme Tanımlama'!$A$5:$A$300,0)),"")</f>
        <v/>
      </c>
      <c r="I1245" s="2"/>
      <c r="J1245" s="2"/>
      <c r="K1245" s="2"/>
    </row>
    <row r="1246" spans="1:11" x14ac:dyDescent="0.3">
      <c r="A1246" s="5" t="str">
        <f>IF(D1246="","",COUNTIF($D$5:D1246,"?*"))</f>
        <v/>
      </c>
      <c r="B1246" s="6"/>
      <c r="C1246" s="5" t="str">
        <f>IF(B1246="","",INDEX({"Ocak","Şubat","Mart","Nisan","Mayıs","Haziran","Temmuz","Ağustos","Eylül","Ekim","Kasım","Aralık"},MONTH(B1246)))</f>
        <v/>
      </c>
      <c r="D1246" s="2"/>
      <c r="E1246" s="5" t="str">
        <f>IFERROR(INDEX('Malzeme Tanımlama'!$B$5:$B$300,MATCH(D1246,'Malzeme Tanımlama'!$A$5:$A$300,0)),"")</f>
        <v/>
      </c>
      <c r="F1246" s="2"/>
      <c r="G1246" s="5"/>
      <c r="H1246" s="5" t="str">
        <f>IFERROR(INDEX('Malzeme Tanımlama'!$D$5:$D$300,MATCH(D1246,'Malzeme Tanımlama'!$A$5:$A$300,0)),"")</f>
        <v/>
      </c>
      <c r="I1246" s="2"/>
      <c r="J1246" s="2"/>
      <c r="K1246" s="2"/>
    </row>
    <row r="1247" spans="1:11" x14ac:dyDescent="0.3">
      <c r="A1247" s="5" t="str">
        <f>IF(D1247="","",COUNTIF($D$5:D1247,"?*"))</f>
        <v/>
      </c>
      <c r="B1247" s="6"/>
      <c r="C1247" s="5" t="str">
        <f>IF(B1247="","",INDEX({"Ocak","Şubat","Mart","Nisan","Mayıs","Haziran","Temmuz","Ağustos","Eylül","Ekim","Kasım","Aralık"},MONTH(B1247)))</f>
        <v/>
      </c>
      <c r="D1247" s="2"/>
      <c r="E1247" s="5" t="str">
        <f>IFERROR(INDEX('Malzeme Tanımlama'!$B$5:$B$300,MATCH(D1247,'Malzeme Tanımlama'!$A$5:$A$300,0)),"")</f>
        <v/>
      </c>
      <c r="F1247" s="2"/>
      <c r="G1247" s="5"/>
      <c r="H1247" s="5" t="str">
        <f>IFERROR(INDEX('Malzeme Tanımlama'!$D$5:$D$300,MATCH(D1247,'Malzeme Tanımlama'!$A$5:$A$300,0)),"")</f>
        <v/>
      </c>
      <c r="I1247" s="2"/>
      <c r="J1247" s="2"/>
      <c r="K1247" s="2"/>
    </row>
    <row r="1248" spans="1:11" x14ac:dyDescent="0.3">
      <c r="A1248" s="5" t="str">
        <f>IF(D1248="","",COUNTIF($D$5:D1248,"?*"))</f>
        <v/>
      </c>
      <c r="B1248" s="6"/>
      <c r="C1248" s="5" t="str">
        <f>IF(B1248="","",INDEX({"Ocak","Şubat","Mart","Nisan","Mayıs","Haziran","Temmuz","Ağustos","Eylül","Ekim","Kasım","Aralık"},MONTH(B1248)))</f>
        <v/>
      </c>
      <c r="D1248" s="2"/>
      <c r="E1248" s="5" t="str">
        <f>IFERROR(INDEX('Malzeme Tanımlama'!$B$5:$B$300,MATCH(D1248,'Malzeme Tanımlama'!$A$5:$A$300,0)),"")</f>
        <v/>
      </c>
      <c r="F1248" s="2"/>
      <c r="G1248" s="5"/>
      <c r="H1248" s="5" t="str">
        <f>IFERROR(INDEX('Malzeme Tanımlama'!$D$5:$D$300,MATCH(D1248,'Malzeme Tanımlama'!$A$5:$A$300,0)),"")</f>
        <v/>
      </c>
      <c r="I1248" s="2"/>
      <c r="J1248" s="2"/>
      <c r="K1248" s="2"/>
    </row>
    <row r="1249" spans="1:11" x14ac:dyDescent="0.3">
      <c r="A1249" s="5" t="str">
        <f>IF(D1249="","",COUNTIF($D$5:D1249,"?*"))</f>
        <v/>
      </c>
      <c r="B1249" s="6"/>
      <c r="C1249" s="5" t="str">
        <f>IF(B1249="","",INDEX({"Ocak","Şubat","Mart","Nisan","Mayıs","Haziran","Temmuz","Ağustos","Eylül","Ekim","Kasım","Aralık"},MONTH(B1249)))</f>
        <v/>
      </c>
      <c r="D1249" s="2"/>
      <c r="E1249" s="5" t="str">
        <f>IFERROR(INDEX('Malzeme Tanımlama'!$B$5:$B$300,MATCH(D1249,'Malzeme Tanımlama'!$A$5:$A$300,0)),"")</f>
        <v/>
      </c>
      <c r="F1249" s="2"/>
      <c r="G1249" s="5"/>
      <c r="H1249" s="5" t="str">
        <f>IFERROR(INDEX('Malzeme Tanımlama'!$D$5:$D$300,MATCH(D1249,'Malzeme Tanımlama'!$A$5:$A$300,0)),"")</f>
        <v/>
      </c>
      <c r="I1249" s="2"/>
      <c r="J1249" s="2"/>
      <c r="K1249" s="2"/>
    </row>
    <row r="1250" spans="1:11" x14ac:dyDescent="0.3">
      <c r="A1250" s="5" t="str">
        <f>IF(D1250="","",COUNTIF($D$5:D1250,"?*"))</f>
        <v/>
      </c>
      <c r="B1250" s="6"/>
      <c r="C1250" s="5" t="str">
        <f>IF(B1250="","",INDEX({"Ocak","Şubat","Mart","Nisan","Mayıs","Haziran","Temmuz","Ağustos","Eylül","Ekim","Kasım","Aralık"},MONTH(B1250)))</f>
        <v/>
      </c>
      <c r="D1250" s="2"/>
      <c r="E1250" s="5" t="str">
        <f>IFERROR(INDEX('Malzeme Tanımlama'!$B$5:$B$300,MATCH(D1250,'Malzeme Tanımlama'!$A$5:$A$300,0)),"")</f>
        <v/>
      </c>
      <c r="F1250" s="2"/>
      <c r="G1250" s="5"/>
      <c r="H1250" s="5" t="str">
        <f>IFERROR(INDEX('Malzeme Tanımlama'!$D$5:$D$300,MATCH(D1250,'Malzeme Tanımlama'!$A$5:$A$300,0)),"")</f>
        <v/>
      </c>
      <c r="I1250" s="2"/>
      <c r="J1250" s="2"/>
      <c r="K1250" s="2"/>
    </row>
    <row r="1251" spans="1:11" x14ac:dyDescent="0.3">
      <c r="A1251" s="5" t="str">
        <f>IF(D1251="","",COUNTIF($D$5:D1251,"?*"))</f>
        <v/>
      </c>
      <c r="B1251" s="6"/>
      <c r="C1251" s="5" t="str">
        <f>IF(B1251="","",INDEX({"Ocak","Şubat","Mart","Nisan","Mayıs","Haziran","Temmuz","Ağustos","Eylül","Ekim","Kasım","Aralık"},MONTH(B1251)))</f>
        <v/>
      </c>
      <c r="D1251" s="2"/>
      <c r="E1251" s="5" t="str">
        <f>IFERROR(INDEX('Malzeme Tanımlama'!$B$5:$B$300,MATCH(D1251,'Malzeme Tanımlama'!$A$5:$A$300,0)),"")</f>
        <v/>
      </c>
      <c r="F1251" s="2"/>
      <c r="G1251" s="5"/>
      <c r="H1251" s="5" t="str">
        <f>IFERROR(INDEX('Malzeme Tanımlama'!$D$5:$D$300,MATCH(D1251,'Malzeme Tanımlama'!$A$5:$A$300,0)),"")</f>
        <v/>
      </c>
      <c r="I1251" s="2"/>
      <c r="J1251" s="2"/>
      <c r="K1251" s="2"/>
    </row>
    <row r="1252" spans="1:11" x14ac:dyDescent="0.3">
      <c r="A1252" s="5" t="str">
        <f>IF(D1252="","",COUNTIF($D$5:D1252,"?*"))</f>
        <v/>
      </c>
      <c r="B1252" s="6"/>
      <c r="C1252" s="5" t="str">
        <f>IF(B1252="","",INDEX({"Ocak","Şubat","Mart","Nisan","Mayıs","Haziran","Temmuz","Ağustos","Eylül","Ekim","Kasım","Aralık"},MONTH(B1252)))</f>
        <v/>
      </c>
      <c r="D1252" s="2"/>
      <c r="E1252" s="5" t="str">
        <f>IFERROR(INDEX('Malzeme Tanımlama'!$B$5:$B$300,MATCH(D1252,'Malzeme Tanımlama'!$A$5:$A$300,0)),"")</f>
        <v/>
      </c>
      <c r="F1252" s="2"/>
      <c r="G1252" s="5"/>
      <c r="H1252" s="5" t="str">
        <f>IFERROR(INDEX('Malzeme Tanımlama'!$D$5:$D$300,MATCH(D1252,'Malzeme Tanımlama'!$A$5:$A$300,0)),"")</f>
        <v/>
      </c>
      <c r="I1252" s="2"/>
      <c r="J1252" s="2"/>
      <c r="K1252" s="2"/>
    </row>
    <row r="1253" spans="1:11" x14ac:dyDescent="0.3">
      <c r="A1253" s="5" t="str">
        <f>IF(D1253="","",COUNTIF($D$5:D1253,"?*"))</f>
        <v/>
      </c>
      <c r="B1253" s="6"/>
      <c r="C1253" s="5" t="str">
        <f>IF(B1253="","",INDEX({"Ocak","Şubat","Mart","Nisan","Mayıs","Haziran","Temmuz","Ağustos","Eylül","Ekim","Kasım","Aralık"},MONTH(B1253)))</f>
        <v/>
      </c>
      <c r="D1253" s="2"/>
      <c r="E1253" s="5" t="str">
        <f>IFERROR(INDEX('Malzeme Tanımlama'!$B$5:$B$300,MATCH(D1253,'Malzeme Tanımlama'!$A$5:$A$300,0)),"")</f>
        <v/>
      </c>
      <c r="F1253" s="2"/>
      <c r="G1253" s="5"/>
      <c r="H1253" s="5" t="str">
        <f>IFERROR(INDEX('Malzeme Tanımlama'!$D$5:$D$300,MATCH(D1253,'Malzeme Tanımlama'!$A$5:$A$300,0)),"")</f>
        <v/>
      </c>
      <c r="I1253" s="2"/>
      <c r="J1253" s="2"/>
      <c r="K1253" s="2"/>
    </row>
    <row r="1254" spans="1:11" x14ac:dyDescent="0.3">
      <c r="A1254" s="5" t="str">
        <f>IF(D1254="","",COUNTIF($D$5:D1254,"?*"))</f>
        <v/>
      </c>
      <c r="B1254" s="6"/>
      <c r="C1254" s="5" t="str">
        <f>IF(B1254="","",INDEX({"Ocak","Şubat","Mart","Nisan","Mayıs","Haziran","Temmuz","Ağustos","Eylül","Ekim","Kasım","Aralık"},MONTH(B1254)))</f>
        <v/>
      </c>
      <c r="D1254" s="2"/>
      <c r="E1254" s="5" t="str">
        <f>IFERROR(INDEX('Malzeme Tanımlama'!$B$5:$B$300,MATCH(D1254,'Malzeme Tanımlama'!$A$5:$A$300,0)),"")</f>
        <v/>
      </c>
      <c r="F1254" s="2"/>
      <c r="G1254" s="5"/>
      <c r="H1254" s="5" t="str">
        <f>IFERROR(INDEX('Malzeme Tanımlama'!$D$5:$D$300,MATCH(D1254,'Malzeme Tanımlama'!$A$5:$A$300,0)),"")</f>
        <v/>
      </c>
      <c r="I1254" s="2"/>
      <c r="J1254" s="2"/>
      <c r="K1254" s="2"/>
    </row>
    <row r="1255" spans="1:11" x14ac:dyDescent="0.3">
      <c r="A1255" s="5" t="str">
        <f>IF(D1255="","",COUNTIF($D$5:D1255,"?*"))</f>
        <v/>
      </c>
      <c r="B1255" s="6"/>
      <c r="C1255" s="5" t="str">
        <f>IF(B1255="","",INDEX({"Ocak","Şubat","Mart","Nisan","Mayıs","Haziran","Temmuz","Ağustos","Eylül","Ekim","Kasım","Aralık"},MONTH(B1255)))</f>
        <v/>
      </c>
      <c r="D1255" s="2"/>
      <c r="E1255" s="5" t="str">
        <f>IFERROR(INDEX('Malzeme Tanımlama'!$B$5:$B$300,MATCH(D1255,'Malzeme Tanımlama'!$A$5:$A$300,0)),"")</f>
        <v/>
      </c>
      <c r="F1255" s="2"/>
      <c r="G1255" s="5"/>
      <c r="H1255" s="5" t="str">
        <f>IFERROR(INDEX('Malzeme Tanımlama'!$D$5:$D$300,MATCH(D1255,'Malzeme Tanımlama'!$A$5:$A$300,0)),"")</f>
        <v/>
      </c>
      <c r="I1255" s="2"/>
      <c r="J1255" s="2"/>
      <c r="K1255" s="2"/>
    </row>
    <row r="1256" spans="1:11" x14ac:dyDescent="0.3">
      <c r="A1256" s="5" t="str">
        <f>IF(D1256="","",COUNTIF($D$5:D1256,"?*"))</f>
        <v/>
      </c>
      <c r="B1256" s="6"/>
      <c r="C1256" s="5" t="str">
        <f>IF(B1256="","",INDEX({"Ocak","Şubat","Mart","Nisan","Mayıs","Haziran","Temmuz","Ağustos","Eylül","Ekim","Kasım","Aralık"},MONTH(B1256)))</f>
        <v/>
      </c>
      <c r="D1256" s="2"/>
      <c r="E1256" s="5" t="str">
        <f>IFERROR(INDEX('Malzeme Tanımlama'!$B$5:$B$300,MATCH(D1256,'Malzeme Tanımlama'!$A$5:$A$300,0)),"")</f>
        <v/>
      </c>
      <c r="F1256" s="2"/>
      <c r="G1256" s="5"/>
      <c r="H1256" s="5" t="str">
        <f>IFERROR(INDEX('Malzeme Tanımlama'!$D$5:$D$300,MATCH(D1256,'Malzeme Tanımlama'!$A$5:$A$300,0)),"")</f>
        <v/>
      </c>
      <c r="I1256" s="2"/>
      <c r="J1256" s="2"/>
      <c r="K1256" s="2"/>
    </row>
    <row r="1257" spans="1:11" x14ac:dyDescent="0.3">
      <c r="A1257" s="5" t="str">
        <f>IF(D1257="","",COUNTIF($D$5:D1257,"?*"))</f>
        <v/>
      </c>
      <c r="B1257" s="6"/>
      <c r="C1257" s="5" t="str">
        <f>IF(B1257="","",INDEX({"Ocak","Şubat","Mart","Nisan","Mayıs","Haziran","Temmuz","Ağustos","Eylül","Ekim","Kasım","Aralık"},MONTH(B1257)))</f>
        <v/>
      </c>
      <c r="D1257" s="2"/>
      <c r="E1257" s="5" t="str">
        <f>IFERROR(INDEX('Malzeme Tanımlama'!$B$5:$B$300,MATCH(D1257,'Malzeme Tanımlama'!$A$5:$A$300,0)),"")</f>
        <v/>
      </c>
      <c r="F1257" s="2"/>
      <c r="G1257" s="5"/>
      <c r="H1257" s="5" t="str">
        <f>IFERROR(INDEX('Malzeme Tanımlama'!$D$5:$D$300,MATCH(D1257,'Malzeme Tanımlama'!$A$5:$A$300,0)),"")</f>
        <v/>
      </c>
      <c r="I1257" s="2"/>
      <c r="J1257" s="2"/>
      <c r="K1257" s="2"/>
    </row>
    <row r="1258" spans="1:11" x14ac:dyDescent="0.3">
      <c r="A1258" s="5" t="str">
        <f>IF(D1258="","",COUNTIF($D$5:D1258,"?*"))</f>
        <v/>
      </c>
      <c r="B1258" s="6"/>
      <c r="C1258" s="5" t="str">
        <f>IF(B1258="","",INDEX({"Ocak","Şubat","Mart","Nisan","Mayıs","Haziran","Temmuz","Ağustos","Eylül","Ekim","Kasım","Aralık"},MONTH(B1258)))</f>
        <v/>
      </c>
      <c r="D1258" s="2"/>
      <c r="E1258" s="5" t="str">
        <f>IFERROR(INDEX('Malzeme Tanımlama'!$B$5:$B$300,MATCH(D1258,'Malzeme Tanımlama'!$A$5:$A$300,0)),"")</f>
        <v/>
      </c>
      <c r="F1258" s="2"/>
      <c r="G1258" s="5"/>
      <c r="H1258" s="5" t="str">
        <f>IFERROR(INDEX('Malzeme Tanımlama'!$D$5:$D$300,MATCH(D1258,'Malzeme Tanımlama'!$A$5:$A$300,0)),"")</f>
        <v/>
      </c>
      <c r="I1258" s="2"/>
      <c r="J1258" s="2"/>
      <c r="K1258" s="2"/>
    </row>
    <row r="1259" spans="1:11" x14ac:dyDescent="0.3">
      <c r="A1259" s="5" t="str">
        <f>IF(D1259="","",COUNTIF($D$5:D1259,"?*"))</f>
        <v/>
      </c>
      <c r="B1259" s="6"/>
      <c r="C1259" s="5" t="str">
        <f>IF(B1259="","",INDEX({"Ocak","Şubat","Mart","Nisan","Mayıs","Haziran","Temmuz","Ağustos","Eylül","Ekim","Kasım","Aralık"},MONTH(B1259)))</f>
        <v/>
      </c>
      <c r="D1259" s="2"/>
      <c r="E1259" s="5" t="str">
        <f>IFERROR(INDEX('Malzeme Tanımlama'!$B$5:$B$300,MATCH(D1259,'Malzeme Tanımlama'!$A$5:$A$300,0)),"")</f>
        <v/>
      </c>
      <c r="F1259" s="2"/>
      <c r="G1259" s="5"/>
      <c r="H1259" s="5" t="str">
        <f>IFERROR(INDEX('Malzeme Tanımlama'!$D$5:$D$300,MATCH(D1259,'Malzeme Tanımlama'!$A$5:$A$300,0)),"")</f>
        <v/>
      </c>
      <c r="I1259" s="2"/>
      <c r="J1259" s="2"/>
      <c r="K1259" s="2"/>
    </row>
    <row r="1260" spans="1:11" x14ac:dyDescent="0.3">
      <c r="A1260" s="5" t="str">
        <f>IF(D1260="","",COUNTIF($D$5:D1260,"?*"))</f>
        <v/>
      </c>
      <c r="B1260" s="6"/>
      <c r="C1260" s="5" t="str">
        <f>IF(B1260="","",INDEX({"Ocak","Şubat","Mart","Nisan","Mayıs","Haziran","Temmuz","Ağustos","Eylül","Ekim","Kasım","Aralık"},MONTH(B1260)))</f>
        <v/>
      </c>
      <c r="D1260" s="2"/>
      <c r="E1260" s="5" t="str">
        <f>IFERROR(INDEX('Malzeme Tanımlama'!$B$5:$B$300,MATCH(D1260,'Malzeme Tanımlama'!$A$5:$A$300,0)),"")</f>
        <v/>
      </c>
      <c r="F1260" s="2"/>
      <c r="G1260" s="5"/>
      <c r="H1260" s="5" t="str">
        <f>IFERROR(INDEX('Malzeme Tanımlama'!$D$5:$D$300,MATCH(D1260,'Malzeme Tanımlama'!$A$5:$A$300,0)),"")</f>
        <v/>
      </c>
      <c r="I1260" s="2"/>
      <c r="J1260" s="2"/>
      <c r="K1260" s="2"/>
    </row>
    <row r="1261" spans="1:11" x14ac:dyDescent="0.3">
      <c r="A1261" s="5" t="str">
        <f>IF(D1261="","",COUNTIF($D$5:D1261,"?*"))</f>
        <v/>
      </c>
      <c r="B1261" s="6"/>
      <c r="C1261" s="5" t="str">
        <f>IF(B1261="","",INDEX({"Ocak","Şubat","Mart","Nisan","Mayıs","Haziran","Temmuz","Ağustos","Eylül","Ekim","Kasım","Aralık"},MONTH(B1261)))</f>
        <v/>
      </c>
      <c r="D1261" s="2"/>
      <c r="E1261" s="5" t="str">
        <f>IFERROR(INDEX('Malzeme Tanımlama'!$B$5:$B$300,MATCH(D1261,'Malzeme Tanımlama'!$A$5:$A$300,0)),"")</f>
        <v/>
      </c>
      <c r="F1261" s="2"/>
      <c r="G1261" s="5"/>
      <c r="H1261" s="5" t="str">
        <f>IFERROR(INDEX('Malzeme Tanımlama'!$D$5:$D$300,MATCH(D1261,'Malzeme Tanımlama'!$A$5:$A$300,0)),"")</f>
        <v/>
      </c>
      <c r="I1261" s="2"/>
      <c r="J1261" s="2"/>
      <c r="K1261" s="2"/>
    </row>
    <row r="1262" spans="1:11" x14ac:dyDescent="0.3">
      <c r="A1262" s="5" t="str">
        <f>IF(D1262="","",COUNTIF($D$5:D1262,"?*"))</f>
        <v/>
      </c>
      <c r="B1262" s="6"/>
      <c r="C1262" s="5" t="str">
        <f>IF(B1262="","",INDEX({"Ocak","Şubat","Mart","Nisan","Mayıs","Haziran","Temmuz","Ağustos","Eylül","Ekim","Kasım","Aralık"},MONTH(B1262)))</f>
        <v/>
      </c>
      <c r="D1262" s="2"/>
      <c r="E1262" s="5" t="str">
        <f>IFERROR(INDEX('Malzeme Tanımlama'!$B$5:$B$300,MATCH(D1262,'Malzeme Tanımlama'!$A$5:$A$300,0)),"")</f>
        <v/>
      </c>
      <c r="F1262" s="2"/>
      <c r="G1262" s="5"/>
      <c r="H1262" s="5" t="str">
        <f>IFERROR(INDEX('Malzeme Tanımlama'!$D$5:$D$300,MATCH(D1262,'Malzeme Tanımlama'!$A$5:$A$300,0)),"")</f>
        <v/>
      </c>
      <c r="I1262" s="2"/>
      <c r="J1262" s="2"/>
      <c r="K1262" s="2"/>
    </row>
    <row r="1263" spans="1:11" x14ac:dyDescent="0.3">
      <c r="A1263" s="5" t="str">
        <f>IF(D1263="","",COUNTIF($D$5:D1263,"?*"))</f>
        <v/>
      </c>
      <c r="B1263" s="6"/>
      <c r="C1263" s="5" t="str">
        <f>IF(B1263="","",INDEX({"Ocak","Şubat","Mart","Nisan","Mayıs","Haziran","Temmuz","Ağustos","Eylül","Ekim","Kasım","Aralık"},MONTH(B1263)))</f>
        <v/>
      </c>
      <c r="D1263" s="2"/>
      <c r="E1263" s="5" t="str">
        <f>IFERROR(INDEX('Malzeme Tanımlama'!$B$5:$B$300,MATCH(D1263,'Malzeme Tanımlama'!$A$5:$A$300,0)),"")</f>
        <v/>
      </c>
      <c r="F1263" s="2"/>
      <c r="G1263" s="5"/>
      <c r="H1263" s="5" t="str">
        <f>IFERROR(INDEX('Malzeme Tanımlama'!$D$5:$D$300,MATCH(D1263,'Malzeme Tanımlama'!$A$5:$A$300,0)),"")</f>
        <v/>
      </c>
      <c r="I1263" s="2"/>
      <c r="J1263" s="2"/>
      <c r="K1263" s="2"/>
    </row>
    <row r="1264" spans="1:11" x14ac:dyDescent="0.3">
      <c r="A1264" s="5" t="str">
        <f>IF(D1264="","",COUNTIF($D$5:D1264,"?*"))</f>
        <v/>
      </c>
      <c r="B1264" s="6"/>
      <c r="C1264" s="5" t="str">
        <f>IF(B1264="","",INDEX({"Ocak","Şubat","Mart","Nisan","Mayıs","Haziran","Temmuz","Ağustos","Eylül","Ekim","Kasım","Aralık"},MONTH(B1264)))</f>
        <v/>
      </c>
      <c r="D1264" s="2"/>
      <c r="E1264" s="5" t="str">
        <f>IFERROR(INDEX('Malzeme Tanımlama'!$B$5:$B$300,MATCH(D1264,'Malzeme Tanımlama'!$A$5:$A$300,0)),"")</f>
        <v/>
      </c>
      <c r="F1264" s="2"/>
      <c r="G1264" s="5"/>
      <c r="H1264" s="5" t="str">
        <f>IFERROR(INDEX('Malzeme Tanımlama'!$D$5:$D$300,MATCH(D1264,'Malzeme Tanımlama'!$A$5:$A$300,0)),"")</f>
        <v/>
      </c>
      <c r="I1264" s="2"/>
      <c r="J1264" s="2"/>
      <c r="K1264" s="2"/>
    </row>
    <row r="1265" spans="1:11" x14ac:dyDescent="0.3">
      <c r="A1265" s="5" t="str">
        <f>IF(D1265="","",COUNTIF($D$5:D1265,"?*"))</f>
        <v/>
      </c>
      <c r="B1265" s="6"/>
      <c r="C1265" s="5" t="str">
        <f>IF(B1265="","",INDEX({"Ocak","Şubat","Mart","Nisan","Mayıs","Haziran","Temmuz","Ağustos","Eylül","Ekim","Kasım","Aralık"},MONTH(B1265)))</f>
        <v/>
      </c>
      <c r="D1265" s="2"/>
      <c r="E1265" s="5" t="str">
        <f>IFERROR(INDEX('Malzeme Tanımlama'!$B$5:$B$300,MATCH(D1265,'Malzeme Tanımlama'!$A$5:$A$300,0)),"")</f>
        <v/>
      </c>
      <c r="F1265" s="2"/>
      <c r="G1265" s="5"/>
      <c r="H1265" s="5" t="str">
        <f>IFERROR(INDEX('Malzeme Tanımlama'!$D$5:$D$300,MATCH(D1265,'Malzeme Tanımlama'!$A$5:$A$300,0)),"")</f>
        <v/>
      </c>
      <c r="I1265" s="2"/>
      <c r="J1265" s="2"/>
      <c r="K1265" s="2"/>
    </row>
    <row r="1266" spans="1:11" x14ac:dyDescent="0.3">
      <c r="A1266" s="5" t="str">
        <f>IF(D1266="","",COUNTIF($D$5:D1266,"?*"))</f>
        <v/>
      </c>
      <c r="B1266" s="6"/>
      <c r="C1266" s="5" t="str">
        <f>IF(B1266="","",INDEX({"Ocak","Şubat","Mart","Nisan","Mayıs","Haziran","Temmuz","Ağustos","Eylül","Ekim","Kasım","Aralık"},MONTH(B1266)))</f>
        <v/>
      </c>
      <c r="D1266" s="2"/>
      <c r="E1266" s="5" t="str">
        <f>IFERROR(INDEX('Malzeme Tanımlama'!$B$5:$B$300,MATCH(D1266,'Malzeme Tanımlama'!$A$5:$A$300,0)),"")</f>
        <v/>
      </c>
      <c r="F1266" s="2"/>
      <c r="G1266" s="5"/>
      <c r="H1266" s="5" t="str">
        <f>IFERROR(INDEX('Malzeme Tanımlama'!$D$5:$D$300,MATCH(D1266,'Malzeme Tanımlama'!$A$5:$A$300,0)),"")</f>
        <v/>
      </c>
      <c r="I1266" s="2"/>
      <c r="J1266" s="2"/>
      <c r="K1266" s="2"/>
    </row>
    <row r="1267" spans="1:11" x14ac:dyDescent="0.3">
      <c r="A1267" s="5" t="str">
        <f>IF(D1267="","",COUNTIF($D$5:D1267,"?*"))</f>
        <v/>
      </c>
      <c r="B1267" s="6"/>
      <c r="C1267" s="5" t="str">
        <f>IF(B1267="","",INDEX({"Ocak","Şubat","Mart","Nisan","Mayıs","Haziran","Temmuz","Ağustos","Eylül","Ekim","Kasım","Aralık"},MONTH(B1267)))</f>
        <v/>
      </c>
      <c r="D1267" s="2"/>
      <c r="E1267" s="5" t="str">
        <f>IFERROR(INDEX('Malzeme Tanımlama'!$B$5:$B$300,MATCH(D1267,'Malzeme Tanımlama'!$A$5:$A$300,0)),"")</f>
        <v/>
      </c>
      <c r="F1267" s="2"/>
      <c r="G1267" s="5"/>
      <c r="H1267" s="5" t="str">
        <f>IFERROR(INDEX('Malzeme Tanımlama'!$D$5:$D$300,MATCH(D1267,'Malzeme Tanımlama'!$A$5:$A$300,0)),"")</f>
        <v/>
      </c>
      <c r="I1267" s="2"/>
      <c r="J1267" s="2"/>
      <c r="K1267" s="2"/>
    </row>
    <row r="1268" spans="1:11" x14ac:dyDescent="0.3">
      <c r="A1268" s="5" t="str">
        <f>IF(D1268="","",COUNTIF($D$5:D1268,"?*"))</f>
        <v/>
      </c>
      <c r="B1268" s="6"/>
      <c r="C1268" s="5" t="str">
        <f>IF(B1268="","",INDEX({"Ocak","Şubat","Mart","Nisan","Mayıs","Haziran","Temmuz","Ağustos","Eylül","Ekim","Kasım","Aralık"},MONTH(B1268)))</f>
        <v/>
      </c>
      <c r="D1268" s="2"/>
      <c r="E1268" s="5" t="str">
        <f>IFERROR(INDEX('Malzeme Tanımlama'!$B$5:$B$300,MATCH(D1268,'Malzeme Tanımlama'!$A$5:$A$300,0)),"")</f>
        <v/>
      </c>
      <c r="F1268" s="2"/>
      <c r="G1268" s="5"/>
      <c r="H1268" s="5" t="str">
        <f>IFERROR(INDEX('Malzeme Tanımlama'!$D$5:$D$300,MATCH(D1268,'Malzeme Tanımlama'!$A$5:$A$300,0)),"")</f>
        <v/>
      </c>
      <c r="I1268" s="2"/>
      <c r="J1268" s="2"/>
      <c r="K1268" s="2"/>
    </row>
    <row r="1269" spans="1:11" x14ac:dyDescent="0.3">
      <c r="A1269" s="5" t="str">
        <f>IF(D1269="","",COUNTIF($D$5:D1269,"?*"))</f>
        <v/>
      </c>
      <c r="B1269" s="6"/>
      <c r="C1269" s="5" t="str">
        <f>IF(B1269="","",INDEX({"Ocak","Şubat","Mart","Nisan","Mayıs","Haziran","Temmuz","Ağustos","Eylül","Ekim","Kasım","Aralık"},MONTH(B1269)))</f>
        <v/>
      </c>
      <c r="D1269" s="2"/>
      <c r="E1269" s="5" t="str">
        <f>IFERROR(INDEX('Malzeme Tanımlama'!$B$5:$B$300,MATCH(D1269,'Malzeme Tanımlama'!$A$5:$A$300,0)),"")</f>
        <v/>
      </c>
      <c r="F1269" s="2"/>
      <c r="G1269" s="5"/>
      <c r="H1269" s="5" t="str">
        <f>IFERROR(INDEX('Malzeme Tanımlama'!$D$5:$D$300,MATCH(D1269,'Malzeme Tanımlama'!$A$5:$A$300,0)),"")</f>
        <v/>
      </c>
      <c r="I1269" s="2"/>
      <c r="J1269" s="2"/>
      <c r="K1269" s="2"/>
    </row>
    <row r="1270" spans="1:11" x14ac:dyDescent="0.3">
      <c r="A1270" s="5" t="str">
        <f>IF(D1270="","",COUNTIF($D$5:D1270,"?*"))</f>
        <v/>
      </c>
      <c r="B1270" s="6"/>
      <c r="C1270" s="5" t="str">
        <f>IF(B1270="","",INDEX({"Ocak","Şubat","Mart","Nisan","Mayıs","Haziran","Temmuz","Ağustos","Eylül","Ekim","Kasım","Aralık"},MONTH(B1270)))</f>
        <v/>
      </c>
      <c r="D1270" s="2"/>
      <c r="E1270" s="5" t="str">
        <f>IFERROR(INDEX('Malzeme Tanımlama'!$B$5:$B$300,MATCH(D1270,'Malzeme Tanımlama'!$A$5:$A$300,0)),"")</f>
        <v/>
      </c>
      <c r="F1270" s="2"/>
      <c r="G1270" s="5"/>
      <c r="H1270" s="5" t="str">
        <f>IFERROR(INDEX('Malzeme Tanımlama'!$D$5:$D$300,MATCH(D1270,'Malzeme Tanımlama'!$A$5:$A$300,0)),"")</f>
        <v/>
      </c>
      <c r="I1270" s="2"/>
      <c r="J1270" s="2"/>
      <c r="K1270" s="2"/>
    </row>
    <row r="1271" spans="1:11" x14ac:dyDescent="0.3">
      <c r="A1271" s="5" t="str">
        <f>IF(D1271="","",COUNTIF($D$5:D1271,"?*"))</f>
        <v/>
      </c>
      <c r="B1271" s="6"/>
      <c r="C1271" s="5" t="str">
        <f>IF(B1271="","",INDEX({"Ocak","Şubat","Mart","Nisan","Mayıs","Haziran","Temmuz","Ağustos","Eylül","Ekim","Kasım","Aralık"},MONTH(B1271)))</f>
        <v/>
      </c>
      <c r="D1271" s="2"/>
      <c r="E1271" s="5" t="str">
        <f>IFERROR(INDEX('Malzeme Tanımlama'!$B$5:$B$300,MATCH(D1271,'Malzeme Tanımlama'!$A$5:$A$300,0)),"")</f>
        <v/>
      </c>
      <c r="F1271" s="2"/>
      <c r="G1271" s="5"/>
      <c r="H1271" s="5" t="str">
        <f>IFERROR(INDEX('Malzeme Tanımlama'!$D$5:$D$300,MATCH(D1271,'Malzeme Tanımlama'!$A$5:$A$300,0)),"")</f>
        <v/>
      </c>
      <c r="I1271" s="2"/>
      <c r="J1271" s="2"/>
      <c r="K1271" s="2"/>
    </row>
    <row r="1272" spans="1:11" x14ac:dyDescent="0.3">
      <c r="A1272" s="5" t="str">
        <f>IF(D1272="","",COUNTIF($D$5:D1272,"?*"))</f>
        <v/>
      </c>
      <c r="B1272" s="6"/>
      <c r="C1272" s="5" t="str">
        <f>IF(B1272="","",INDEX({"Ocak","Şubat","Mart","Nisan","Mayıs","Haziran","Temmuz","Ağustos","Eylül","Ekim","Kasım","Aralık"},MONTH(B1272)))</f>
        <v/>
      </c>
      <c r="D1272" s="2"/>
      <c r="E1272" s="5" t="str">
        <f>IFERROR(INDEX('Malzeme Tanımlama'!$B$5:$B$300,MATCH(D1272,'Malzeme Tanımlama'!$A$5:$A$300,0)),"")</f>
        <v/>
      </c>
      <c r="F1272" s="2"/>
      <c r="G1272" s="5"/>
      <c r="H1272" s="5" t="str">
        <f>IFERROR(INDEX('Malzeme Tanımlama'!$D$5:$D$300,MATCH(D1272,'Malzeme Tanımlama'!$A$5:$A$300,0)),"")</f>
        <v/>
      </c>
      <c r="I1272" s="2"/>
      <c r="J1272" s="2"/>
      <c r="K1272" s="2"/>
    </row>
    <row r="1273" spans="1:11" x14ac:dyDescent="0.3">
      <c r="A1273" s="5" t="str">
        <f>IF(D1273="","",COUNTIF($D$5:D1273,"?*"))</f>
        <v/>
      </c>
      <c r="B1273" s="6"/>
      <c r="C1273" s="5" t="str">
        <f>IF(B1273="","",INDEX({"Ocak","Şubat","Mart","Nisan","Mayıs","Haziran","Temmuz","Ağustos","Eylül","Ekim","Kasım","Aralık"},MONTH(B1273)))</f>
        <v/>
      </c>
      <c r="D1273" s="2"/>
      <c r="E1273" s="5" t="str">
        <f>IFERROR(INDEX('Malzeme Tanımlama'!$B$5:$B$300,MATCH(D1273,'Malzeme Tanımlama'!$A$5:$A$300,0)),"")</f>
        <v/>
      </c>
      <c r="F1273" s="2"/>
      <c r="G1273" s="5"/>
      <c r="H1273" s="5" t="str">
        <f>IFERROR(INDEX('Malzeme Tanımlama'!$D$5:$D$300,MATCH(D1273,'Malzeme Tanımlama'!$A$5:$A$300,0)),"")</f>
        <v/>
      </c>
      <c r="I1273" s="2"/>
      <c r="J1273" s="2"/>
      <c r="K1273" s="2"/>
    </row>
    <row r="1274" spans="1:11" x14ac:dyDescent="0.3">
      <c r="A1274" s="5" t="str">
        <f>IF(D1274="","",COUNTIF($D$5:D1274,"?*"))</f>
        <v/>
      </c>
      <c r="B1274" s="6"/>
      <c r="C1274" s="5" t="str">
        <f>IF(B1274="","",INDEX({"Ocak","Şubat","Mart","Nisan","Mayıs","Haziran","Temmuz","Ağustos","Eylül","Ekim","Kasım","Aralık"},MONTH(B1274)))</f>
        <v/>
      </c>
      <c r="D1274" s="2"/>
      <c r="E1274" s="5" t="str">
        <f>IFERROR(INDEX('Malzeme Tanımlama'!$B$5:$B$300,MATCH(D1274,'Malzeme Tanımlama'!$A$5:$A$300,0)),"")</f>
        <v/>
      </c>
      <c r="F1274" s="2"/>
      <c r="G1274" s="5"/>
      <c r="H1274" s="5" t="str">
        <f>IFERROR(INDEX('Malzeme Tanımlama'!$D$5:$D$300,MATCH(D1274,'Malzeme Tanımlama'!$A$5:$A$300,0)),"")</f>
        <v/>
      </c>
      <c r="I1274" s="2"/>
      <c r="J1274" s="2"/>
      <c r="K1274" s="2"/>
    </row>
    <row r="1275" spans="1:11" x14ac:dyDescent="0.3">
      <c r="A1275" s="5" t="str">
        <f>IF(D1275="","",COUNTIF($D$5:D1275,"?*"))</f>
        <v/>
      </c>
      <c r="B1275" s="6"/>
      <c r="C1275" s="5" t="str">
        <f>IF(B1275="","",INDEX({"Ocak","Şubat","Mart","Nisan","Mayıs","Haziran","Temmuz","Ağustos","Eylül","Ekim","Kasım","Aralık"},MONTH(B1275)))</f>
        <v/>
      </c>
      <c r="D1275" s="2"/>
      <c r="E1275" s="5" t="str">
        <f>IFERROR(INDEX('Malzeme Tanımlama'!$B$5:$B$300,MATCH(D1275,'Malzeme Tanımlama'!$A$5:$A$300,0)),"")</f>
        <v/>
      </c>
      <c r="F1275" s="2"/>
      <c r="G1275" s="5"/>
      <c r="H1275" s="5" t="str">
        <f>IFERROR(INDEX('Malzeme Tanımlama'!$D$5:$D$300,MATCH(D1275,'Malzeme Tanımlama'!$A$5:$A$300,0)),"")</f>
        <v/>
      </c>
      <c r="I1275" s="2"/>
      <c r="J1275" s="2"/>
      <c r="K1275" s="2"/>
    </row>
    <row r="1276" spans="1:11" x14ac:dyDescent="0.3">
      <c r="A1276" s="5" t="str">
        <f>IF(D1276="","",COUNTIF($D$5:D1276,"?*"))</f>
        <v/>
      </c>
      <c r="B1276" s="6"/>
      <c r="C1276" s="5" t="str">
        <f>IF(B1276="","",INDEX({"Ocak","Şubat","Mart","Nisan","Mayıs","Haziran","Temmuz","Ağustos","Eylül","Ekim","Kasım","Aralık"},MONTH(B1276)))</f>
        <v/>
      </c>
      <c r="D1276" s="2"/>
      <c r="E1276" s="5" t="str">
        <f>IFERROR(INDEX('Malzeme Tanımlama'!$B$5:$B$300,MATCH(D1276,'Malzeme Tanımlama'!$A$5:$A$300,0)),"")</f>
        <v/>
      </c>
      <c r="F1276" s="2"/>
      <c r="G1276" s="5"/>
      <c r="H1276" s="5" t="str">
        <f>IFERROR(INDEX('Malzeme Tanımlama'!$D$5:$D$300,MATCH(D1276,'Malzeme Tanımlama'!$A$5:$A$300,0)),"")</f>
        <v/>
      </c>
      <c r="I1276" s="2"/>
      <c r="J1276" s="2"/>
      <c r="K1276" s="2"/>
    </row>
    <row r="1277" spans="1:11" x14ac:dyDescent="0.3">
      <c r="A1277" s="5" t="str">
        <f>IF(D1277="","",COUNTIF($D$5:D1277,"?*"))</f>
        <v/>
      </c>
      <c r="B1277" s="6"/>
      <c r="C1277" s="5" t="str">
        <f>IF(B1277="","",INDEX({"Ocak","Şubat","Mart","Nisan","Mayıs","Haziran","Temmuz","Ağustos","Eylül","Ekim","Kasım","Aralık"},MONTH(B1277)))</f>
        <v/>
      </c>
      <c r="D1277" s="2"/>
      <c r="E1277" s="5" t="str">
        <f>IFERROR(INDEX('Malzeme Tanımlama'!$B$5:$B$300,MATCH(D1277,'Malzeme Tanımlama'!$A$5:$A$300,0)),"")</f>
        <v/>
      </c>
      <c r="F1277" s="2"/>
      <c r="G1277" s="5"/>
      <c r="H1277" s="5" t="str">
        <f>IFERROR(INDEX('Malzeme Tanımlama'!$D$5:$D$300,MATCH(D1277,'Malzeme Tanımlama'!$A$5:$A$300,0)),"")</f>
        <v/>
      </c>
      <c r="I1277" s="2"/>
      <c r="J1277" s="2"/>
      <c r="K1277" s="2"/>
    </row>
    <row r="1278" spans="1:11" x14ac:dyDescent="0.3">
      <c r="A1278" s="5" t="str">
        <f>IF(D1278="","",COUNTIF($D$5:D1278,"?*"))</f>
        <v/>
      </c>
      <c r="B1278" s="6"/>
      <c r="C1278" s="5" t="str">
        <f>IF(B1278="","",INDEX({"Ocak","Şubat","Mart","Nisan","Mayıs","Haziran","Temmuz","Ağustos","Eylül","Ekim","Kasım","Aralık"},MONTH(B1278)))</f>
        <v/>
      </c>
      <c r="D1278" s="2"/>
      <c r="E1278" s="5" t="str">
        <f>IFERROR(INDEX('Malzeme Tanımlama'!$B$5:$B$300,MATCH(D1278,'Malzeme Tanımlama'!$A$5:$A$300,0)),"")</f>
        <v/>
      </c>
      <c r="F1278" s="2"/>
      <c r="G1278" s="5"/>
      <c r="H1278" s="5" t="str">
        <f>IFERROR(INDEX('Malzeme Tanımlama'!$D$5:$D$300,MATCH(D1278,'Malzeme Tanımlama'!$A$5:$A$300,0)),"")</f>
        <v/>
      </c>
      <c r="I1278" s="2"/>
      <c r="J1278" s="2"/>
      <c r="K1278" s="2"/>
    </row>
    <row r="1279" spans="1:11" x14ac:dyDescent="0.3">
      <c r="A1279" s="5" t="str">
        <f>IF(D1279="","",COUNTIF($D$5:D1279,"?*"))</f>
        <v/>
      </c>
      <c r="B1279" s="6"/>
      <c r="C1279" s="5" t="str">
        <f>IF(B1279="","",INDEX({"Ocak","Şubat","Mart","Nisan","Mayıs","Haziran","Temmuz","Ağustos","Eylül","Ekim","Kasım","Aralık"},MONTH(B1279)))</f>
        <v/>
      </c>
      <c r="D1279" s="2"/>
      <c r="E1279" s="5" t="str">
        <f>IFERROR(INDEX('Malzeme Tanımlama'!$B$5:$B$300,MATCH(D1279,'Malzeme Tanımlama'!$A$5:$A$300,0)),"")</f>
        <v/>
      </c>
      <c r="F1279" s="2"/>
      <c r="G1279" s="5"/>
      <c r="H1279" s="5" t="str">
        <f>IFERROR(INDEX('Malzeme Tanımlama'!$D$5:$D$300,MATCH(D1279,'Malzeme Tanımlama'!$A$5:$A$300,0)),"")</f>
        <v/>
      </c>
      <c r="I1279" s="2"/>
      <c r="J1279" s="2"/>
      <c r="K1279" s="2"/>
    </row>
    <row r="1280" spans="1:11" x14ac:dyDescent="0.3">
      <c r="A1280" s="5" t="str">
        <f>IF(D1280="","",COUNTIF($D$5:D1280,"?*"))</f>
        <v/>
      </c>
      <c r="B1280" s="6"/>
      <c r="C1280" s="5" t="str">
        <f>IF(B1280="","",INDEX({"Ocak","Şubat","Mart","Nisan","Mayıs","Haziran","Temmuz","Ağustos","Eylül","Ekim","Kasım","Aralık"},MONTH(B1280)))</f>
        <v/>
      </c>
      <c r="D1280" s="2"/>
      <c r="E1280" s="5" t="str">
        <f>IFERROR(INDEX('Malzeme Tanımlama'!$B$5:$B$300,MATCH(D1280,'Malzeme Tanımlama'!$A$5:$A$300,0)),"")</f>
        <v/>
      </c>
      <c r="F1280" s="2"/>
      <c r="G1280" s="5"/>
      <c r="H1280" s="5" t="str">
        <f>IFERROR(INDEX('Malzeme Tanımlama'!$D$5:$D$300,MATCH(D1280,'Malzeme Tanımlama'!$A$5:$A$300,0)),"")</f>
        <v/>
      </c>
      <c r="I1280" s="2"/>
      <c r="J1280" s="2"/>
      <c r="K1280" s="2"/>
    </row>
    <row r="1281" spans="1:11" x14ac:dyDescent="0.3">
      <c r="A1281" s="5" t="str">
        <f>IF(D1281="","",COUNTIF($D$5:D1281,"?*"))</f>
        <v/>
      </c>
      <c r="B1281" s="6"/>
      <c r="C1281" s="5" t="str">
        <f>IF(B1281="","",INDEX({"Ocak","Şubat","Mart","Nisan","Mayıs","Haziran","Temmuz","Ağustos","Eylül","Ekim","Kasım","Aralık"},MONTH(B1281)))</f>
        <v/>
      </c>
      <c r="D1281" s="2"/>
      <c r="E1281" s="5" t="str">
        <f>IFERROR(INDEX('Malzeme Tanımlama'!$B$5:$B$300,MATCH(D1281,'Malzeme Tanımlama'!$A$5:$A$300,0)),"")</f>
        <v/>
      </c>
      <c r="F1281" s="2"/>
      <c r="G1281" s="5"/>
      <c r="H1281" s="5" t="str">
        <f>IFERROR(INDEX('Malzeme Tanımlama'!$D$5:$D$300,MATCH(D1281,'Malzeme Tanımlama'!$A$5:$A$300,0)),"")</f>
        <v/>
      </c>
      <c r="I1281" s="2"/>
      <c r="J1281" s="2"/>
      <c r="K1281" s="2"/>
    </row>
    <row r="1282" spans="1:11" x14ac:dyDescent="0.3">
      <c r="A1282" s="5" t="str">
        <f>IF(D1282="","",COUNTIF($D$5:D1282,"?*"))</f>
        <v/>
      </c>
      <c r="B1282" s="6"/>
      <c r="C1282" s="5" t="str">
        <f>IF(B1282="","",INDEX({"Ocak","Şubat","Mart","Nisan","Mayıs","Haziran","Temmuz","Ağustos","Eylül","Ekim","Kasım","Aralık"},MONTH(B1282)))</f>
        <v/>
      </c>
      <c r="D1282" s="2"/>
      <c r="E1282" s="5" t="str">
        <f>IFERROR(INDEX('Malzeme Tanımlama'!$B$5:$B$300,MATCH(D1282,'Malzeme Tanımlama'!$A$5:$A$300,0)),"")</f>
        <v/>
      </c>
      <c r="F1282" s="2"/>
      <c r="G1282" s="5"/>
      <c r="H1282" s="5" t="str">
        <f>IFERROR(INDEX('Malzeme Tanımlama'!$D$5:$D$300,MATCH(D1282,'Malzeme Tanımlama'!$A$5:$A$300,0)),"")</f>
        <v/>
      </c>
      <c r="I1282" s="2"/>
      <c r="J1282" s="2"/>
      <c r="K1282" s="2"/>
    </row>
    <row r="1283" spans="1:11" x14ac:dyDescent="0.3">
      <c r="A1283" s="5" t="str">
        <f>IF(D1283="","",COUNTIF($D$5:D1283,"?*"))</f>
        <v/>
      </c>
      <c r="B1283" s="6"/>
      <c r="C1283" s="5" t="str">
        <f>IF(B1283="","",INDEX({"Ocak","Şubat","Mart","Nisan","Mayıs","Haziran","Temmuz","Ağustos","Eylül","Ekim","Kasım","Aralık"},MONTH(B1283)))</f>
        <v/>
      </c>
      <c r="D1283" s="2"/>
      <c r="E1283" s="5" t="str">
        <f>IFERROR(INDEX('Malzeme Tanımlama'!$B$5:$B$300,MATCH(D1283,'Malzeme Tanımlama'!$A$5:$A$300,0)),"")</f>
        <v/>
      </c>
      <c r="F1283" s="2"/>
      <c r="G1283" s="5"/>
      <c r="H1283" s="5" t="str">
        <f>IFERROR(INDEX('Malzeme Tanımlama'!$D$5:$D$300,MATCH(D1283,'Malzeme Tanımlama'!$A$5:$A$300,0)),"")</f>
        <v/>
      </c>
      <c r="I1283" s="2"/>
      <c r="J1283" s="2"/>
      <c r="K1283" s="2"/>
    </row>
    <row r="1284" spans="1:11" x14ac:dyDescent="0.3">
      <c r="A1284" s="5" t="str">
        <f>IF(D1284="","",COUNTIF($D$5:D1284,"?*"))</f>
        <v/>
      </c>
      <c r="B1284" s="6"/>
      <c r="C1284" s="5" t="str">
        <f>IF(B1284="","",INDEX({"Ocak","Şubat","Mart","Nisan","Mayıs","Haziran","Temmuz","Ağustos","Eylül","Ekim","Kasım","Aralık"},MONTH(B1284)))</f>
        <v/>
      </c>
      <c r="D1284" s="2"/>
      <c r="E1284" s="5" t="str">
        <f>IFERROR(INDEX('Malzeme Tanımlama'!$B$5:$B$300,MATCH(D1284,'Malzeme Tanımlama'!$A$5:$A$300,0)),"")</f>
        <v/>
      </c>
      <c r="F1284" s="2"/>
      <c r="G1284" s="5"/>
      <c r="H1284" s="5" t="str">
        <f>IFERROR(INDEX('Malzeme Tanımlama'!$D$5:$D$300,MATCH(D1284,'Malzeme Tanımlama'!$A$5:$A$300,0)),"")</f>
        <v/>
      </c>
      <c r="I1284" s="2"/>
      <c r="J1284" s="2"/>
      <c r="K1284" s="2"/>
    </row>
    <row r="1285" spans="1:11" x14ac:dyDescent="0.3">
      <c r="A1285" s="5" t="str">
        <f>IF(D1285="","",COUNTIF($D$5:D1285,"?*"))</f>
        <v/>
      </c>
      <c r="B1285" s="6"/>
      <c r="C1285" s="5" t="str">
        <f>IF(B1285="","",INDEX({"Ocak","Şubat","Mart","Nisan","Mayıs","Haziran","Temmuz","Ağustos","Eylül","Ekim","Kasım","Aralık"},MONTH(B1285)))</f>
        <v/>
      </c>
      <c r="D1285" s="2"/>
      <c r="E1285" s="5" t="str">
        <f>IFERROR(INDEX('Malzeme Tanımlama'!$B$5:$B$300,MATCH(D1285,'Malzeme Tanımlama'!$A$5:$A$300,0)),"")</f>
        <v/>
      </c>
      <c r="F1285" s="2"/>
      <c r="G1285" s="5"/>
      <c r="H1285" s="5" t="str">
        <f>IFERROR(INDEX('Malzeme Tanımlama'!$D$5:$D$300,MATCH(D1285,'Malzeme Tanımlama'!$A$5:$A$300,0)),"")</f>
        <v/>
      </c>
      <c r="I1285" s="2"/>
      <c r="J1285" s="2"/>
      <c r="K1285" s="2"/>
    </row>
    <row r="1286" spans="1:11" x14ac:dyDescent="0.3">
      <c r="A1286" s="5" t="str">
        <f>IF(D1286="","",COUNTIF($D$5:D1286,"?*"))</f>
        <v/>
      </c>
      <c r="B1286" s="6"/>
      <c r="C1286" s="5" t="str">
        <f>IF(B1286="","",INDEX({"Ocak","Şubat","Mart","Nisan","Mayıs","Haziran","Temmuz","Ağustos","Eylül","Ekim","Kasım","Aralık"},MONTH(B1286)))</f>
        <v/>
      </c>
      <c r="D1286" s="2"/>
      <c r="E1286" s="5" t="str">
        <f>IFERROR(INDEX('Malzeme Tanımlama'!$B$5:$B$300,MATCH(D1286,'Malzeme Tanımlama'!$A$5:$A$300,0)),"")</f>
        <v/>
      </c>
      <c r="F1286" s="2"/>
      <c r="G1286" s="5"/>
      <c r="H1286" s="5" t="str">
        <f>IFERROR(INDEX('Malzeme Tanımlama'!$D$5:$D$300,MATCH(D1286,'Malzeme Tanımlama'!$A$5:$A$300,0)),"")</f>
        <v/>
      </c>
      <c r="I1286" s="2"/>
      <c r="J1286" s="2"/>
      <c r="K1286" s="2"/>
    </row>
    <row r="1287" spans="1:11" x14ac:dyDescent="0.3">
      <c r="A1287" s="5" t="str">
        <f>IF(D1287="","",COUNTIF($D$5:D1287,"?*"))</f>
        <v/>
      </c>
      <c r="B1287" s="6"/>
      <c r="C1287" s="5" t="str">
        <f>IF(B1287="","",INDEX({"Ocak","Şubat","Mart","Nisan","Mayıs","Haziran","Temmuz","Ağustos","Eylül","Ekim","Kasım","Aralık"},MONTH(B1287)))</f>
        <v/>
      </c>
      <c r="D1287" s="2"/>
      <c r="E1287" s="5" t="str">
        <f>IFERROR(INDEX('Malzeme Tanımlama'!$B$5:$B$300,MATCH(D1287,'Malzeme Tanımlama'!$A$5:$A$300,0)),"")</f>
        <v/>
      </c>
      <c r="F1287" s="2"/>
      <c r="G1287" s="5"/>
      <c r="H1287" s="5" t="str">
        <f>IFERROR(INDEX('Malzeme Tanımlama'!$D$5:$D$300,MATCH(D1287,'Malzeme Tanımlama'!$A$5:$A$300,0)),"")</f>
        <v/>
      </c>
      <c r="I1287" s="2"/>
      <c r="J1287" s="2"/>
      <c r="K1287" s="2"/>
    </row>
    <row r="1288" spans="1:11" x14ac:dyDescent="0.3">
      <c r="A1288" s="5" t="str">
        <f>IF(D1288="","",COUNTIF($D$5:D1288,"?*"))</f>
        <v/>
      </c>
      <c r="B1288" s="6"/>
      <c r="C1288" s="5" t="str">
        <f>IF(B1288="","",INDEX({"Ocak","Şubat","Mart","Nisan","Mayıs","Haziran","Temmuz","Ağustos","Eylül","Ekim","Kasım","Aralık"},MONTH(B1288)))</f>
        <v/>
      </c>
      <c r="D1288" s="2"/>
      <c r="E1288" s="5" t="str">
        <f>IFERROR(INDEX('Malzeme Tanımlama'!$B$5:$B$300,MATCH(D1288,'Malzeme Tanımlama'!$A$5:$A$300,0)),"")</f>
        <v/>
      </c>
      <c r="F1288" s="2"/>
      <c r="G1288" s="5"/>
      <c r="H1288" s="5" t="str">
        <f>IFERROR(INDEX('Malzeme Tanımlama'!$D$5:$D$300,MATCH(D1288,'Malzeme Tanımlama'!$A$5:$A$300,0)),"")</f>
        <v/>
      </c>
      <c r="I1288" s="2"/>
      <c r="J1288" s="2"/>
      <c r="K1288" s="2"/>
    </row>
    <row r="1289" spans="1:11" x14ac:dyDescent="0.3">
      <c r="A1289" s="5" t="str">
        <f>IF(D1289="","",COUNTIF($D$5:D1289,"?*"))</f>
        <v/>
      </c>
      <c r="B1289" s="6"/>
      <c r="C1289" s="5" t="str">
        <f>IF(B1289="","",INDEX({"Ocak","Şubat","Mart","Nisan","Mayıs","Haziran","Temmuz","Ağustos","Eylül","Ekim","Kasım","Aralık"},MONTH(B1289)))</f>
        <v/>
      </c>
      <c r="D1289" s="2"/>
      <c r="E1289" s="5" t="str">
        <f>IFERROR(INDEX('Malzeme Tanımlama'!$B$5:$B$300,MATCH(D1289,'Malzeme Tanımlama'!$A$5:$A$300,0)),"")</f>
        <v/>
      </c>
      <c r="F1289" s="2"/>
      <c r="G1289" s="5"/>
      <c r="H1289" s="5" t="str">
        <f>IFERROR(INDEX('Malzeme Tanımlama'!$D$5:$D$300,MATCH(D1289,'Malzeme Tanımlama'!$A$5:$A$300,0)),"")</f>
        <v/>
      </c>
      <c r="I1289" s="2"/>
      <c r="J1289" s="2"/>
      <c r="K1289" s="2"/>
    </row>
    <row r="1290" spans="1:11" x14ac:dyDescent="0.3">
      <c r="A1290" s="5" t="str">
        <f>IF(D1290="","",COUNTIF($D$5:D1290,"?*"))</f>
        <v/>
      </c>
      <c r="B1290" s="6"/>
      <c r="C1290" s="5" t="str">
        <f>IF(B1290="","",INDEX({"Ocak","Şubat","Mart","Nisan","Mayıs","Haziran","Temmuz","Ağustos","Eylül","Ekim","Kasım","Aralık"},MONTH(B1290)))</f>
        <v/>
      </c>
      <c r="D1290" s="2"/>
      <c r="E1290" s="5" t="str">
        <f>IFERROR(INDEX('Malzeme Tanımlama'!$B$5:$B$300,MATCH(D1290,'Malzeme Tanımlama'!$A$5:$A$300,0)),"")</f>
        <v/>
      </c>
      <c r="F1290" s="2"/>
      <c r="G1290" s="5"/>
      <c r="H1290" s="5" t="str">
        <f>IFERROR(INDEX('Malzeme Tanımlama'!$D$5:$D$300,MATCH(D1290,'Malzeme Tanımlama'!$A$5:$A$300,0)),"")</f>
        <v/>
      </c>
      <c r="I1290" s="2"/>
      <c r="J1290" s="2"/>
      <c r="K1290" s="2"/>
    </row>
    <row r="1291" spans="1:11" x14ac:dyDescent="0.3">
      <c r="A1291" s="5" t="str">
        <f>IF(D1291="","",COUNTIF($D$5:D1291,"?*"))</f>
        <v/>
      </c>
      <c r="B1291" s="6"/>
      <c r="C1291" s="5" t="str">
        <f>IF(B1291="","",INDEX({"Ocak","Şubat","Mart","Nisan","Mayıs","Haziran","Temmuz","Ağustos","Eylül","Ekim","Kasım","Aralık"},MONTH(B1291)))</f>
        <v/>
      </c>
      <c r="D1291" s="2"/>
      <c r="E1291" s="5" t="str">
        <f>IFERROR(INDEX('Malzeme Tanımlama'!$B$5:$B$300,MATCH(D1291,'Malzeme Tanımlama'!$A$5:$A$300,0)),"")</f>
        <v/>
      </c>
      <c r="F1291" s="2"/>
      <c r="G1291" s="5"/>
      <c r="H1291" s="5" t="str">
        <f>IFERROR(INDEX('Malzeme Tanımlama'!$D$5:$D$300,MATCH(D1291,'Malzeme Tanımlama'!$A$5:$A$300,0)),"")</f>
        <v/>
      </c>
      <c r="I1291" s="2"/>
      <c r="J1291" s="2"/>
      <c r="K1291" s="2"/>
    </row>
    <row r="1292" spans="1:11" x14ac:dyDescent="0.3">
      <c r="A1292" s="5" t="str">
        <f>IF(D1292="","",COUNTIF($D$5:D1292,"?*"))</f>
        <v/>
      </c>
      <c r="B1292" s="6"/>
      <c r="C1292" s="5" t="str">
        <f>IF(B1292="","",INDEX({"Ocak","Şubat","Mart","Nisan","Mayıs","Haziran","Temmuz","Ağustos","Eylül","Ekim","Kasım","Aralık"},MONTH(B1292)))</f>
        <v/>
      </c>
      <c r="D1292" s="2"/>
      <c r="E1292" s="5" t="str">
        <f>IFERROR(INDEX('Malzeme Tanımlama'!$B$5:$B$300,MATCH(D1292,'Malzeme Tanımlama'!$A$5:$A$300,0)),"")</f>
        <v/>
      </c>
      <c r="F1292" s="2"/>
      <c r="G1292" s="5"/>
      <c r="H1292" s="5" t="str">
        <f>IFERROR(INDEX('Malzeme Tanımlama'!$D$5:$D$300,MATCH(D1292,'Malzeme Tanımlama'!$A$5:$A$300,0)),"")</f>
        <v/>
      </c>
      <c r="I1292" s="2"/>
      <c r="J1292" s="2"/>
      <c r="K1292" s="2"/>
    </row>
    <row r="1293" spans="1:11" x14ac:dyDescent="0.3">
      <c r="A1293" s="5" t="str">
        <f>IF(D1293="","",COUNTIF($D$5:D1293,"?*"))</f>
        <v/>
      </c>
      <c r="B1293" s="6"/>
      <c r="C1293" s="5" t="str">
        <f>IF(B1293="","",INDEX({"Ocak","Şubat","Mart","Nisan","Mayıs","Haziran","Temmuz","Ağustos","Eylül","Ekim","Kasım","Aralık"},MONTH(B1293)))</f>
        <v/>
      </c>
      <c r="D1293" s="2"/>
      <c r="E1293" s="5" t="str">
        <f>IFERROR(INDEX('Malzeme Tanımlama'!$B$5:$B$300,MATCH(D1293,'Malzeme Tanımlama'!$A$5:$A$300,0)),"")</f>
        <v/>
      </c>
      <c r="F1293" s="2"/>
      <c r="G1293" s="5"/>
      <c r="H1293" s="5" t="str">
        <f>IFERROR(INDEX('Malzeme Tanımlama'!$D$5:$D$300,MATCH(D1293,'Malzeme Tanımlama'!$A$5:$A$300,0)),"")</f>
        <v/>
      </c>
      <c r="I1293" s="2"/>
      <c r="J1293" s="2"/>
      <c r="K1293" s="2"/>
    </row>
    <row r="1294" spans="1:11" x14ac:dyDescent="0.3">
      <c r="A1294" s="5" t="str">
        <f>IF(D1294="","",COUNTIF($D$5:D1294,"?*"))</f>
        <v/>
      </c>
      <c r="B1294" s="6"/>
      <c r="C1294" s="5" t="str">
        <f>IF(B1294="","",INDEX({"Ocak","Şubat","Mart","Nisan","Mayıs","Haziran","Temmuz","Ağustos","Eylül","Ekim","Kasım","Aralık"},MONTH(B1294)))</f>
        <v/>
      </c>
      <c r="D1294" s="2"/>
      <c r="E1294" s="5" t="str">
        <f>IFERROR(INDEX('Malzeme Tanımlama'!$B$5:$B$300,MATCH(D1294,'Malzeme Tanımlama'!$A$5:$A$300,0)),"")</f>
        <v/>
      </c>
      <c r="F1294" s="2"/>
      <c r="G1294" s="5"/>
      <c r="H1294" s="5" t="str">
        <f>IFERROR(INDEX('Malzeme Tanımlama'!$D$5:$D$300,MATCH(D1294,'Malzeme Tanımlama'!$A$5:$A$300,0)),"")</f>
        <v/>
      </c>
      <c r="I1294" s="2"/>
      <c r="J1294" s="2"/>
      <c r="K1294" s="2"/>
    </row>
    <row r="1295" spans="1:11" x14ac:dyDescent="0.3">
      <c r="A1295" s="5" t="str">
        <f>IF(D1295="","",COUNTIF($D$5:D1295,"?*"))</f>
        <v/>
      </c>
      <c r="B1295" s="6"/>
      <c r="C1295" s="5" t="str">
        <f>IF(B1295="","",INDEX({"Ocak","Şubat","Mart","Nisan","Mayıs","Haziran","Temmuz","Ağustos","Eylül","Ekim","Kasım","Aralık"},MONTH(B1295)))</f>
        <v/>
      </c>
      <c r="D1295" s="2"/>
      <c r="E1295" s="5" t="str">
        <f>IFERROR(INDEX('Malzeme Tanımlama'!$B$5:$B$300,MATCH(D1295,'Malzeme Tanımlama'!$A$5:$A$300,0)),"")</f>
        <v/>
      </c>
      <c r="F1295" s="2"/>
      <c r="G1295" s="5"/>
      <c r="H1295" s="5" t="str">
        <f>IFERROR(INDEX('Malzeme Tanımlama'!$D$5:$D$300,MATCH(D1295,'Malzeme Tanımlama'!$A$5:$A$300,0)),"")</f>
        <v/>
      </c>
      <c r="I1295" s="2"/>
      <c r="J1295" s="2"/>
      <c r="K1295" s="2"/>
    </row>
    <row r="1296" spans="1:11" x14ac:dyDescent="0.3">
      <c r="A1296" s="5" t="str">
        <f>IF(D1296="","",COUNTIF($D$5:D1296,"?*"))</f>
        <v/>
      </c>
      <c r="B1296" s="6"/>
      <c r="C1296" s="5" t="str">
        <f>IF(B1296="","",INDEX({"Ocak","Şubat","Mart","Nisan","Mayıs","Haziran","Temmuz","Ağustos","Eylül","Ekim","Kasım","Aralık"},MONTH(B1296)))</f>
        <v/>
      </c>
      <c r="D1296" s="2"/>
      <c r="E1296" s="5" t="str">
        <f>IFERROR(INDEX('Malzeme Tanımlama'!$B$5:$B$300,MATCH(D1296,'Malzeme Tanımlama'!$A$5:$A$300,0)),"")</f>
        <v/>
      </c>
      <c r="F1296" s="2"/>
      <c r="G1296" s="5"/>
      <c r="H1296" s="5" t="str">
        <f>IFERROR(INDEX('Malzeme Tanımlama'!$D$5:$D$300,MATCH(D1296,'Malzeme Tanımlama'!$A$5:$A$300,0)),"")</f>
        <v/>
      </c>
      <c r="I1296" s="2"/>
      <c r="J1296" s="2"/>
      <c r="K1296" s="2"/>
    </row>
    <row r="1297" spans="1:11" x14ac:dyDescent="0.3">
      <c r="A1297" s="5" t="str">
        <f>IF(D1297="","",COUNTIF($D$5:D1297,"?*"))</f>
        <v/>
      </c>
      <c r="B1297" s="6"/>
      <c r="C1297" s="5" t="str">
        <f>IF(B1297="","",INDEX({"Ocak","Şubat","Mart","Nisan","Mayıs","Haziran","Temmuz","Ağustos","Eylül","Ekim","Kasım","Aralık"},MONTH(B1297)))</f>
        <v/>
      </c>
      <c r="D1297" s="2"/>
      <c r="E1297" s="5" t="str">
        <f>IFERROR(INDEX('Malzeme Tanımlama'!$B$5:$B$300,MATCH(D1297,'Malzeme Tanımlama'!$A$5:$A$300,0)),"")</f>
        <v/>
      </c>
      <c r="F1297" s="2"/>
      <c r="G1297" s="5"/>
      <c r="H1297" s="5" t="str">
        <f>IFERROR(INDEX('Malzeme Tanımlama'!$D$5:$D$300,MATCH(D1297,'Malzeme Tanımlama'!$A$5:$A$300,0)),"")</f>
        <v/>
      </c>
      <c r="I1297" s="2"/>
      <c r="J1297" s="2"/>
      <c r="K1297" s="2"/>
    </row>
    <row r="1298" spans="1:11" x14ac:dyDescent="0.3">
      <c r="A1298" s="5" t="str">
        <f>IF(D1298="","",COUNTIF($D$5:D1298,"?*"))</f>
        <v/>
      </c>
      <c r="B1298" s="6"/>
      <c r="C1298" s="5" t="str">
        <f>IF(B1298="","",INDEX({"Ocak","Şubat","Mart","Nisan","Mayıs","Haziran","Temmuz","Ağustos","Eylül","Ekim","Kasım","Aralık"},MONTH(B1298)))</f>
        <v/>
      </c>
      <c r="D1298" s="2"/>
      <c r="E1298" s="5" t="str">
        <f>IFERROR(INDEX('Malzeme Tanımlama'!$B$5:$B$300,MATCH(D1298,'Malzeme Tanımlama'!$A$5:$A$300,0)),"")</f>
        <v/>
      </c>
      <c r="F1298" s="2"/>
      <c r="G1298" s="5"/>
      <c r="H1298" s="5" t="str">
        <f>IFERROR(INDEX('Malzeme Tanımlama'!$D$5:$D$300,MATCH(D1298,'Malzeme Tanımlama'!$A$5:$A$300,0)),"")</f>
        <v/>
      </c>
      <c r="I1298" s="2"/>
      <c r="J1298" s="2"/>
      <c r="K1298" s="2"/>
    </row>
    <row r="1299" spans="1:11" x14ac:dyDescent="0.3">
      <c r="A1299" s="5" t="str">
        <f>IF(D1299="","",COUNTIF($D$5:D1299,"?*"))</f>
        <v/>
      </c>
      <c r="B1299" s="6"/>
      <c r="C1299" s="5" t="str">
        <f>IF(B1299="","",INDEX({"Ocak","Şubat","Mart","Nisan","Mayıs","Haziran","Temmuz","Ağustos","Eylül","Ekim","Kasım","Aralık"},MONTH(B1299)))</f>
        <v/>
      </c>
      <c r="D1299" s="2"/>
      <c r="E1299" s="5" t="str">
        <f>IFERROR(INDEX('Malzeme Tanımlama'!$B$5:$B$300,MATCH(D1299,'Malzeme Tanımlama'!$A$5:$A$300,0)),"")</f>
        <v/>
      </c>
      <c r="F1299" s="2"/>
      <c r="G1299" s="5"/>
      <c r="H1299" s="5" t="str">
        <f>IFERROR(INDEX('Malzeme Tanımlama'!$D$5:$D$300,MATCH(D1299,'Malzeme Tanımlama'!$A$5:$A$300,0)),"")</f>
        <v/>
      </c>
      <c r="I1299" s="2"/>
      <c r="J1299" s="2"/>
      <c r="K1299" s="2"/>
    </row>
    <row r="1300" spans="1:11" x14ac:dyDescent="0.3">
      <c r="A1300" s="5" t="str">
        <f>IF(D1300="","",COUNTIF($D$5:D1300,"?*"))</f>
        <v/>
      </c>
      <c r="B1300" s="6"/>
      <c r="C1300" s="5" t="str">
        <f>IF(B1300="","",INDEX({"Ocak","Şubat","Mart","Nisan","Mayıs","Haziran","Temmuz","Ağustos","Eylül","Ekim","Kasım","Aralık"},MONTH(B1300)))</f>
        <v/>
      </c>
      <c r="D1300" s="2"/>
      <c r="E1300" s="5" t="str">
        <f>IFERROR(INDEX('Malzeme Tanımlama'!$B$5:$B$300,MATCH(D1300,'Malzeme Tanımlama'!$A$5:$A$300,0)),"")</f>
        <v/>
      </c>
      <c r="F1300" s="2"/>
      <c r="G1300" s="5"/>
      <c r="H1300" s="5" t="str">
        <f>IFERROR(INDEX('Malzeme Tanımlama'!$D$5:$D$300,MATCH(D1300,'Malzeme Tanımlama'!$A$5:$A$300,0)),"")</f>
        <v/>
      </c>
      <c r="I1300" s="2"/>
      <c r="J1300" s="2"/>
      <c r="K1300" s="2"/>
    </row>
    <row r="1301" spans="1:11" x14ac:dyDescent="0.3">
      <c r="A1301" s="5" t="str">
        <f>IF(D1301="","",COUNTIF($D$5:D1301,"?*"))</f>
        <v/>
      </c>
      <c r="B1301" s="6"/>
      <c r="C1301" s="5" t="str">
        <f>IF(B1301="","",INDEX({"Ocak","Şubat","Mart","Nisan","Mayıs","Haziran","Temmuz","Ağustos","Eylül","Ekim","Kasım","Aralık"},MONTH(B1301)))</f>
        <v/>
      </c>
      <c r="D1301" s="2"/>
      <c r="E1301" s="5" t="str">
        <f>IFERROR(INDEX('Malzeme Tanımlama'!$B$5:$B$300,MATCH(D1301,'Malzeme Tanımlama'!$A$5:$A$300,0)),"")</f>
        <v/>
      </c>
      <c r="F1301" s="2"/>
      <c r="G1301" s="5"/>
      <c r="H1301" s="5" t="str">
        <f>IFERROR(INDEX('Malzeme Tanımlama'!$D$5:$D$300,MATCH(D1301,'Malzeme Tanımlama'!$A$5:$A$300,0)),"")</f>
        <v/>
      </c>
      <c r="I1301" s="2"/>
      <c r="J1301" s="2"/>
      <c r="K1301" s="2"/>
    </row>
    <row r="1302" spans="1:11" x14ac:dyDescent="0.3">
      <c r="A1302" s="5" t="str">
        <f>IF(D1302="","",COUNTIF($D$5:D1302,"?*"))</f>
        <v/>
      </c>
      <c r="B1302" s="6"/>
      <c r="C1302" s="5" t="str">
        <f>IF(B1302="","",INDEX({"Ocak","Şubat","Mart","Nisan","Mayıs","Haziran","Temmuz","Ağustos","Eylül","Ekim","Kasım","Aralık"},MONTH(B1302)))</f>
        <v/>
      </c>
      <c r="D1302" s="2"/>
      <c r="E1302" s="5" t="str">
        <f>IFERROR(INDEX('Malzeme Tanımlama'!$B$5:$B$300,MATCH(D1302,'Malzeme Tanımlama'!$A$5:$A$300,0)),"")</f>
        <v/>
      </c>
      <c r="F1302" s="2"/>
      <c r="G1302" s="5"/>
      <c r="H1302" s="5" t="str">
        <f>IFERROR(INDEX('Malzeme Tanımlama'!$D$5:$D$300,MATCH(D1302,'Malzeme Tanımlama'!$A$5:$A$300,0)),"")</f>
        <v/>
      </c>
      <c r="I1302" s="2"/>
      <c r="J1302" s="2"/>
      <c r="K1302" s="2"/>
    </row>
    <row r="1303" spans="1:11" x14ac:dyDescent="0.3">
      <c r="A1303" s="5" t="str">
        <f>IF(D1303="","",COUNTIF($D$5:D1303,"?*"))</f>
        <v/>
      </c>
      <c r="B1303" s="6"/>
      <c r="C1303" s="5" t="str">
        <f>IF(B1303="","",INDEX({"Ocak","Şubat","Mart","Nisan","Mayıs","Haziran","Temmuz","Ağustos","Eylül","Ekim","Kasım","Aralık"},MONTH(B1303)))</f>
        <v/>
      </c>
      <c r="D1303" s="2"/>
      <c r="E1303" s="5" t="str">
        <f>IFERROR(INDEX('Malzeme Tanımlama'!$B$5:$B$300,MATCH(D1303,'Malzeme Tanımlama'!$A$5:$A$300,0)),"")</f>
        <v/>
      </c>
      <c r="F1303" s="2"/>
      <c r="G1303" s="5"/>
      <c r="H1303" s="5" t="str">
        <f>IFERROR(INDEX('Malzeme Tanımlama'!$D$5:$D$300,MATCH(D1303,'Malzeme Tanımlama'!$A$5:$A$300,0)),"")</f>
        <v/>
      </c>
      <c r="I1303" s="2"/>
      <c r="J1303" s="2"/>
      <c r="K1303" s="2"/>
    </row>
    <row r="1304" spans="1:11" x14ac:dyDescent="0.3">
      <c r="A1304" s="5" t="str">
        <f>IF(D1304="","",COUNTIF($D$5:D1304,"?*"))</f>
        <v/>
      </c>
      <c r="B1304" s="6"/>
      <c r="C1304" s="5" t="str">
        <f>IF(B1304="","",INDEX({"Ocak","Şubat","Mart","Nisan","Mayıs","Haziran","Temmuz","Ağustos","Eylül","Ekim","Kasım","Aralık"},MONTH(B1304)))</f>
        <v/>
      </c>
      <c r="D1304" s="2"/>
      <c r="E1304" s="5" t="str">
        <f>IFERROR(INDEX('Malzeme Tanımlama'!$B$5:$B$300,MATCH(D1304,'Malzeme Tanımlama'!$A$5:$A$300,0)),"")</f>
        <v/>
      </c>
      <c r="F1304" s="2"/>
      <c r="G1304" s="5"/>
      <c r="H1304" s="5" t="str">
        <f>IFERROR(INDEX('Malzeme Tanımlama'!$D$5:$D$300,MATCH(D1304,'Malzeme Tanımlama'!$A$5:$A$300,0)),"")</f>
        <v/>
      </c>
      <c r="I1304" s="2"/>
      <c r="J1304" s="2"/>
      <c r="K1304" s="2"/>
    </row>
    <row r="1305" spans="1:11" x14ac:dyDescent="0.3">
      <c r="A1305" s="5" t="str">
        <f>IF(D1305="","",COUNTIF($D$5:D1305,"?*"))</f>
        <v/>
      </c>
      <c r="B1305" s="6"/>
      <c r="C1305" s="5" t="str">
        <f>IF(B1305="","",INDEX({"Ocak","Şubat","Mart","Nisan","Mayıs","Haziran","Temmuz","Ağustos","Eylül","Ekim","Kasım","Aralık"},MONTH(B1305)))</f>
        <v/>
      </c>
      <c r="D1305" s="2"/>
      <c r="E1305" s="5" t="str">
        <f>IFERROR(INDEX('Malzeme Tanımlama'!$B$5:$B$300,MATCH(D1305,'Malzeme Tanımlama'!$A$5:$A$300,0)),"")</f>
        <v/>
      </c>
      <c r="F1305" s="2"/>
      <c r="G1305" s="5"/>
      <c r="H1305" s="5" t="str">
        <f>IFERROR(INDEX('Malzeme Tanımlama'!$D$5:$D$300,MATCH(D1305,'Malzeme Tanımlama'!$A$5:$A$300,0)),"")</f>
        <v/>
      </c>
      <c r="I1305" s="2"/>
      <c r="J1305" s="2"/>
      <c r="K1305" s="2"/>
    </row>
    <row r="1306" spans="1:11" x14ac:dyDescent="0.3">
      <c r="A1306" s="5" t="str">
        <f>IF(D1306="","",COUNTIF($D$5:D1306,"?*"))</f>
        <v/>
      </c>
      <c r="B1306" s="6"/>
      <c r="C1306" s="5" t="str">
        <f>IF(B1306="","",INDEX({"Ocak","Şubat","Mart","Nisan","Mayıs","Haziran","Temmuz","Ağustos","Eylül","Ekim","Kasım","Aralık"},MONTH(B1306)))</f>
        <v/>
      </c>
      <c r="D1306" s="2"/>
      <c r="E1306" s="5" t="str">
        <f>IFERROR(INDEX('Malzeme Tanımlama'!$B$5:$B$300,MATCH(D1306,'Malzeme Tanımlama'!$A$5:$A$300,0)),"")</f>
        <v/>
      </c>
      <c r="F1306" s="2"/>
      <c r="G1306" s="5"/>
      <c r="H1306" s="5" t="str">
        <f>IFERROR(INDEX('Malzeme Tanımlama'!$D$5:$D$300,MATCH(D1306,'Malzeme Tanımlama'!$A$5:$A$300,0)),"")</f>
        <v/>
      </c>
      <c r="I1306" s="2"/>
      <c r="J1306" s="2"/>
      <c r="K1306" s="2"/>
    </row>
    <row r="1307" spans="1:11" x14ac:dyDescent="0.3">
      <c r="A1307" s="5" t="str">
        <f>IF(D1307="","",COUNTIF($D$5:D1307,"?*"))</f>
        <v/>
      </c>
      <c r="B1307" s="6"/>
      <c r="C1307" s="5" t="str">
        <f>IF(B1307="","",INDEX({"Ocak","Şubat","Mart","Nisan","Mayıs","Haziran","Temmuz","Ağustos","Eylül","Ekim","Kasım","Aralık"},MONTH(B1307)))</f>
        <v/>
      </c>
      <c r="D1307" s="2"/>
      <c r="E1307" s="5" t="str">
        <f>IFERROR(INDEX('Malzeme Tanımlama'!$B$5:$B$300,MATCH(D1307,'Malzeme Tanımlama'!$A$5:$A$300,0)),"")</f>
        <v/>
      </c>
      <c r="F1307" s="2"/>
      <c r="G1307" s="5"/>
      <c r="H1307" s="5" t="str">
        <f>IFERROR(INDEX('Malzeme Tanımlama'!$D$5:$D$300,MATCH(D1307,'Malzeme Tanımlama'!$A$5:$A$300,0)),"")</f>
        <v/>
      </c>
      <c r="I1307" s="2"/>
      <c r="J1307" s="2"/>
      <c r="K1307" s="2"/>
    </row>
    <row r="1308" spans="1:11" x14ac:dyDescent="0.3">
      <c r="A1308" s="5" t="str">
        <f>IF(D1308="","",COUNTIF($D$5:D1308,"?*"))</f>
        <v/>
      </c>
      <c r="B1308" s="6"/>
      <c r="C1308" s="5" t="str">
        <f>IF(B1308="","",INDEX({"Ocak","Şubat","Mart","Nisan","Mayıs","Haziran","Temmuz","Ağustos","Eylül","Ekim","Kasım","Aralık"},MONTH(B1308)))</f>
        <v/>
      </c>
      <c r="D1308" s="2"/>
      <c r="E1308" s="5" t="str">
        <f>IFERROR(INDEX('Malzeme Tanımlama'!$B$5:$B$300,MATCH(D1308,'Malzeme Tanımlama'!$A$5:$A$300,0)),"")</f>
        <v/>
      </c>
      <c r="F1308" s="2"/>
      <c r="G1308" s="5"/>
      <c r="H1308" s="5" t="str">
        <f>IFERROR(INDEX('Malzeme Tanımlama'!$D$5:$D$300,MATCH(D1308,'Malzeme Tanımlama'!$A$5:$A$300,0)),"")</f>
        <v/>
      </c>
      <c r="I1308" s="2"/>
      <c r="J1308" s="2"/>
      <c r="K1308" s="2"/>
    </row>
    <row r="1309" spans="1:11" x14ac:dyDescent="0.3">
      <c r="A1309" s="5" t="str">
        <f>IF(D1309="","",COUNTIF($D$5:D1309,"?*"))</f>
        <v/>
      </c>
      <c r="B1309" s="6"/>
      <c r="C1309" s="5" t="str">
        <f>IF(B1309="","",INDEX({"Ocak","Şubat","Mart","Nisan","Mayıs","Haziran","Temmuz","Ağustos","Eylül","Ekim","Kasım","Aralık"},MONTH(B1309)))</f>
        <v/>
      </c>
      <c r="D1309" s="2"/>
      <c r="E1309" s="5" t="str">
        <f>IFERROR(INDEX('Malzeme Tanımlama'!$B$5:$B$300,MATCH(D1309,'Malzeme Tanımlama'!$A$5:$A$300,0)),"")</f>
        <v/>
      </c>
      <c r="F1309" s="2"/>
      <c r="G1309" s="5"/>
      <c r="H1309" s="5" t="str">
        <f>IFERROR(INDEX('Malzeme Tanımlama'!$D$5:$D$300,MATCH(D1309,'Malzeme Tanımlama'!$A$5:$A$300,0)),"")</f>
        <v/>
      </c>
      <c r="I1309" s="2"/>
      <c r="J1309" s="2"/>
      <c r="K1309" s="2"/>
    </row>
    <row r="1310" spans="1:11" x14ac:dyDescent="0.3">
      <c r="A1310" s="5" t="str">
        <f>IF(D1310="","",COUNTIF($D$5:D1310,"?*"))</f>
        <v/>
      </c>
      <c r="B1310" s="6"/>
      <c r="C1310" s="5" t="str">
        <f>IF(B1310="","",INDEX({"Ocak","Şubat","Mart","Nisan","Mayıs","Haziran","Temmuz","Ağustos","Eylül","Ekim","Kasım","Aralık"},MONTH(B1310)))</f>
        <v/>
      </c>
      <c r="D1310" s="2"/>
      <c r="E1310" s="5" t="str">
        <f>IFERROR(INDEX('Malzeme Tanımlama'!$B$5:$B$300,MATCH(D1310,'Malzeme Tanımlama'!$A$5:$A$300,0)),"")</f>
        <v/>
      </c>
      <c r="F1310" s="2"/>
      <c r="G1310" s="5"/>
      <c r="H1310" s="5" t="str">
        <f>IFERROR(INDEX('Malzeme Tanımlama'!$D$5:$D$300,MATCH(D1310,'Malzeme Tanımlama'!$A$5:$A$300,0)),"")</f>
        <v/>
      </c>
      <c r="I1310" s="2"/>
      <c r="J1310" s="2"/>
      <c r="K1310" s="2"/>
    </row>
    <row r="1311" spans="1:11" x14ac:dyDescent="0.3">
      <c r="A1311" s="5" t="str">
        <f>IF(D1311="","",COUNTIF($D$5:D1311,"?*"))</f>
        <v/>
      </c>
      <c r="B1311" s="6"/>
      <c r="C1311" s="5" t="str">
        <f>IF(B1311="","",INDEX({"Ocak","Şubat","Mart","Nisan","Mayıs","Haziran","Temmuz","Ağustos","Eylül","Ekim","Kasım","Aralık"},MONTH(B1311)))</f>
        <v/>
      </c>
      <c r="D1311" s="2"/>
      <c r="E1311" s="5" t="str">
        <f>IFERROR(INDEX('Malzeme Tanımlama'!$B$5:$B$300,MATCH(D1311,'Malzeme Tanımlama'!$A$5:$A$300,0)),"")</f>
        <v/>
      </c>
      <c r="F1311" s="2"/>
      <c r="G1311" s="5"/>
      <c r="H1311" s="5" t="str">
        <f>IFERROR(INDEX('Malzeme Tanımlama'!$D$5:$D$300,MATCH(D1311,'Malzeme Tanımlama'!$A$5:$A$300,0)),"")</f>
        <v/>
      </c>
      <c r="I1311" s="2"/>
      <c r="J1311" s="2"/>
      <c r="K1311" s="2"/>
    </row>
    <row r="1312" spans="1:11" x14ac:dyDescent="0.3">
      <c r="A1312" s="5" t="str">
        <f>IF(D1312="","",COUNTIF($D$5:D1312,"?*"))</f>
        <v/>
      </c>
      <c r="B1312" s="6"/>
      <c r="C1312" s="5" t="str">
        <f>IF(B1312="","",INDEX({"Ocak","Şubat","Mart","Nisan","Mayıs","Haziran","Temmuz","Ağustos","Eylül","Ekim","Kasım","Aralık"},MONTH(B1312)))</f>
        <v/>
      </c>
      <c r="D1312" s="2"/>
      <c r="E1312" s="5" t="str">
        <f>IFERROR(INDEX('Malzeme Tanımlama'!$B$5:$B$300,MATCH(D1312,'Malzeme Tanımlama'!$A$5:$A$300,0)),"")</f>
        <v/>
      </c>
      <c r="F1312" s="2"/>
      <c r="G1312" s="5"/>
      <c r="H1312" s="5" t="str">
        <f>IFERROR(INDEX('Malzeme Tanımlama'!$D$5:$D$300,MATCH(D1312,'Malzeme Tanımlama'!$A$5:$A$300,0)),"")</f>
        <v/>
      </c>
      <c r="I1312" s="2"/>
      <c r="J1312" s="2"/>
      <c r="K1312" s="2"/>
    </row>
    <row r="1313" spans="1:11" x14ac:dyDescent="0.3">
      <c r="A1313" s="5" t="str">
        <f>IF(D1313="","",COUNTIF($D$5:D1313,"?*"))</f>
        <v/>
      </c>
      <c r="B1313" s="6"/>
      <c r="C1313" s="5" t="str">
        <f>IF(B1313="","",INDEX({"Ocak","Şubat","Mart","Nisan","Mayıs","Haziran","Temmuz","Ağustos","Eylül","Ekim","Kasım","Aralık"},MONTH(B1313)))</f>
        <v/>
      </c>
      <c r="D1313" s="2"/>
      <c r="E1313" s="5" t="str">
        <f>IFERROR(INDEX('Malzeme Tanımlama'!$B$5:$B$300,MATCH(D1313,'Malzeme Tanımlama'!$A$5:$A$300,0)),"")</f>
        <v/>
      </c>
      <c r="F1313" s="2"/>
      <c r="G1313" s="5"/>
      <c r="H1313" s="5" t="str">
        <f>IFERROR(INDEX('Malzeme Tanımlama'!$D$5:$D$300,MATCH(D1313,'Malzeme Tanımlama'!$A$5:$A$300,0)),"")</f>
        <v/>
      </c>
      <c r="I1313" s="2"/>
      <c r="J1313" s="2"/>
      <c r="K1313" s="2"/>
    </row>
    <row r="1314" spans="1:11" x14ac:dyDescent="0.3">
      <c r="A1314" s="5" t="str">
        <f>IF(D1314="","",COUNTIF($D$5:D1314,"?*"))</f>
        <v/>
      </c>
      <c r="B1314" s="6"/>
      <c r="C1314" s="5" t="str">
        <f>IF(B1314="","",INDEX({"Ocak","Şubat","Mart","Nisan","Mayıs","Haziran","Temmuz","Ağustos","Eylül","Ekim","Kasım","Aralık"},MONTH(B1314)))</f>
        <v/>
      </c>
      <c r="D1314" s="2"/>
      <c r="E1314" s="5" t="str">
        <f>IFERROR(INDEX('Malzeme Tanımlama'!$B$5:$B$300,MATCH(D1314,'Malzeme Tanımlama'!$A$5:$A$300,0)),"")</f>
        <v/>
      </c>
      <c r="F1314" s="2"/>
      <c r="G1314" s="5"/>
      <c r="H1314" s="5" t="str">
        <f>IFERROR(INDEX('Malzeme Tanımlama'!$D$5:$D$300,MATCH(D1314,'Malzeme Tanımlama'!$A$5:$A$300,0)),"")</f>
        <v/>
      </c>
      <c r="I1314" s="2"/>
      <c r="J1314" s="2"/>
      <c r="K1314" s="2"/>
    </row>
    <row r="1315" spans="1:11" x14ac:dyDescent="0.3">
      <c r="A1315" s="5" t="str">
        <f>IF(D1315="","",COUNTIF($D$5:D1315,"?*"))</f>
        <v/>
      </c>
      <c r="B1315" s="6"/>
      <c r="C1315" s="5" t="str">
        <f>IF(B1315="","",INDEX({"Ocak","Şubat","Mart","Nisan","Mayıs","Haziran","Temmuz","Ağustos","Eylül","Ekim","Kasım","Aralık"},MONTH(B1315)))</f>
        <v/>
      </c>
      <c r="D1315" s="2"/>
      <c r="E1315" s="5" t="str">
        <f>IFERROR(INDEX('Malzeme Tanımlama'!$B$5:$B$300,MATCH(D1315,'Malzeme Tanımlama'!$A$5:$A$300,0)),"")</f>
        <v/>
      </c>
      <c r="F1315" s="2"/>
      <c r="G1315" s="5"/>
      <c r="H1315" s="5" t="str">
        <f>IFERROR(INDEX('Malzeme Tanımlama'!$D$5:$D$300,MATCH(D1315,'Malzeme Tanımlama'!$A$5:$A$300,0)),"")</f>
        <v/>
      </c>
      <c r="I1315" s="2"/>
      <c r="J1315" s="2"/>
      <c r="K1315" s="2"/>
    </row>
    <row r="1316" spans="1:11" x14ac:dyDescent="0.3">
      <c r="A1316" s="5" t="str">
        <f>IF(D1316="","",COUNTIF($D$5:D1316,"?*"))</f>
        <v/>
      </c>
      <c r="B1316" s="6"/>
      <c r="C1316" s="5" t="str">
        <f>IF(B1316="","",INDEX({"Ocak","Şubat","Mart","Nisan","Mayıs","Haziran","Temmuz","Ağustos","Eylül","Ekim","Kasım","Aralık"},MONTH(B1316)))</f>
        <v/>
      </c>
      <c r="D1316" s="2"/>
      <c r="E1316" s="5" t="str">
        <f>IFERROR(INDEX('Malzeme Tanımlama'!$B$5:$B$300,MATCH(D1316,'Malzeme Tanımlama'!$A$5:$A$300,0)),"")</f>
        <v/>
      </c>
      <c r="F1316" s="2"/>
      <c r="G1316" s="5"/>
      <c r="H1316" s="5" t="str">
        <f>IFERROR(INDEX('Malzeme Tanımlama'!$D$5:$D$300,MATCH(D1316,'Malzeme Tanımlama'!$A$5:$A$300,0)),"")</f>
        <v/>
      </c>
      <c r="I1316" s="2"/>
      <c r="J1316" s="2"/>
      <c r="K1316" s="2"/>
    </row>
    <row r="1317" spans="1:11" x14ac:dyDescent="0.3">
      <c r="A1317" s="5" t="str">
        <f>IF(D1317="","",COUNTIF($D$5:D1317,"?*"))</f>
        <v/>
      </c>
      <c r="B1317" s="6"/>
      <c r="C1317" s="5" t="str">
        <f>IF(B1317="","",INDEX({"Ocak","Şubat","Mart","Nisan","Mayıs","Haziran","Temmuz","Ağustos","Eylül","Ekim","Kasım","Aralık"},MONTH(B1317)))</f>
        <v/>
      </c>
      <c r="D1317" s="2"/>
      <c r="E1317" s="5" t="str">
        <f>IFERROR(INDEX('Malzeme Tanımlama'!$B$5:$B$300,MATCH(D1317,'Malzeme Tanımlama'!$A$5:$A$300,0)),"")</f>
        <v/>
      </c>
      <c r="F1317" s="2"/>
      <c r="G1317" s="5"/>
      <c r="H1317" s="5" t="str">
        <f>IFERROR(INDEX('Malzeme Tanımlama'!$D$5:$D$300,MATCH(D1317,'Malzeme Tanımlama'!$A$5:$A$300,0)),"")</f>
        <v/>
      </c>
      <c r="I1317" s="2"/>
      <c r="J1317" s="2"/>
      <c r="K1317" s="2"/>
    </row>
    <row r="1318" spans="1:11" x14ac:dyDescent="0.3">
      <c r="A1318" s="5" t="str">
        <f>IF(D1318="","",COUNTIF($D$5:D1318,"?*"))</f>
        <v/>
      </c>
      <c r="B1318" s="6"/>
      <c r="C1318" s="5" t="str">
        <f>IF(B1318="","",INDEX({"Ocak","Şubat","Mart","Nisan","Mayıs","Haziran","Temmuz","Ağustos","Eylül","Ekim","Kasım","Aralık"},MONTH(B1318)))</f>
        <v/>
      </c>
      <c r="D1318" s="2"/>
      <c r="E1318" s="5" t="str">
        <f>IFERROR(INDEX('Malzeme Tanımlama'!$B$5:$B$300,MATCH(D1318,'Malzeme Tanımlama'!$A$5:$A$300,0)),"")</f>
        <v/>
      </c>
      <c r="F1318" s="2"/>
      <c r="G1318" s="5"/>
      <c r="H1318" s="5" t="str">
        <f>IFERROR(INDEX('Malzeme Tanımlama'!$D$5:$D$300,MATCH(D1318,'Malzeme Tanımlama'!$A$5:$A$300,0)),"")</f>
        <v/>
      </c>
      <c r="I1318" s="2"/>
      <c r="J1318" s="2"/>
      <c r="K1318" s="2"/>
    </row>
    <row r="1319" spans="1:11" x14ac:dyDescent="0.3">
      <c r="A1319" s="5" t="str">
        <f>IF(D1319="","",COUNTIF($D$5:D1319,"?*"))</f>
        <v/>
      </c>
      <c r="B1319" s="6"/>
      <c r="C1319" s="5" t="str">
        <f>IF(B1319="","",INDEX({"Ocak","Şubat","Mart","Nisan","Mayıs","Haziran","Temmuz","Ağustos","Eylül","Ekim","Kasım","Aralık"},MONTH(B1319)))</f>
        <v/>
      </c>
      <c r="D1319" s="2"/>
      <c r="E1319" s="5" t="str">
        <f>IFERROR(INDEX('Malzeme Tanımlama'!$B$5:$B$300,MATCH(D1319,'Malzeme Tanımlama'!$A$5:$A$300,0)),"")</f>
        <v/>
      </c>
      <c r="F1319" s="2"/>
      <c r="G1319" s="5"/>
      <c r="H1319" s="5" t="str">
        <f>IFERROR(INDEX('Malzeme Tanımlama'!$D$5:$D$300,MATCH(D1319,'Malzeme Tanımlama'!$A$5:$A$300,0)),"")</f>
        <v/>
      </c>
      <c r="I1319" s="2"/>
      <c r="J1319" s="2"/>
      <c r="K1319" s="2"/>
    </row>
    <row r="1320" spans="1:11" x14ac:dyDescent="0.3">
      <c r="A1320" s="5" t="str">
        <f>IF(D1320="","",COUNTIF($D$5:D1320,"?*"))</f>
        <v/>
      </c>
      <c r="B1320" s="6"/>
      <c r="C1320" s="5" t="str">
        <f>IF(B1320="","",INDEX({"Ocak","Şubat","Mart","Nisan","Mayıs","Haziran","Temmuz","Ağustos","Eylül","Ekim","Kasım","Aralık"},MONTH(B1320)))</f>
        <v/>
      </c>
      <c r="D1320" s="2"/>
      <c r="E1320" s="5" t="str">
        <f>IFERROR(INDEX('Malzeme Tanımlama'!$B$5:$B$300,MATCH(D1320,'Malzeme Tanımlama'!$A$5:$A$300,0)),"")</f>
        <v/>
      </c>
      <c r="F1320" s="2"/>
      <c r="G1320" s="5"/>
      <c r="H1320" s="5" t="str">
        <f>IFERROR(INDEX('Malzeme Tanımlama'!$D$5:$D$300,MATCH(D1320,'Malzeme Tanımlama'!$A$5:$A$300,0)),"")</f>
        <v/>
      </c>
      <c r="I1320" s="2"/>
      <c r="J1320" s="2"/>
      <c r="K1320" s="2"/>
    </row>
    <row r="1321" spans="1:11" x14ac:dyDescent="0.3">
      <c r="A1321" s="5" t="str">
        <f>IF(D1321="","",COUNTIF($D$5:D1321,"?*"))</f>
        <v/>
      </c>
      <c r="B1321" s="6"/>
      <c r="C1321" s="5" t="str">
        <f>IF(B1321="","",INDEX({"Ocak","Şubat","Mart","Nisan","Mayıs","Haziran","Temmuz","Ağustos","Eylül","Ekim","Kasım","Aralık"},MONTH(B1321)))</f>
        <v/>
      </c>
      <c r="D1321" s="2"/>
      <c r="E1321" s="5" t="str">
        <f>IFERROR(INDEX('Malzeme Tanımlama'!$B$5:$B$300,MATCH(D1321,'Malzeme Tanımlama'!$A$5:$A$300,0)),"")</f>
        <v/>
      </c>
      <c r="F1321" s="2"/>
      <c r="G1321" s="5"/>
      <c r="H1321" s="5" t="str">
        <f>IFERROR(INDEX('Malzeme Tanımlama'!$D$5:$D$300,MATCH(D1321,'Malzeme Tanımlama'!$A$5:$A$300,0)),"")</f>
        <v/>
      </c>
      <c r="I1321" s="2"/>
      <c r="J1321" s="2"/>
      <c r="K1321" s="2"/>
    </row>
    <row r="1322" spans="1:11" x14ac:dyDescent="0.3">
      <c r="A1322" s="5" t="str">
        <f>IF(D1322="","",COUNTIF($D$5:D1322,"?*"))</f>
        <v/>
      </c>
      <c r="B1322" s="6"/>
      <c r="C1322" s="5" t="str">
        <f>IF(B1322="","",INDEX({"Ocak","Şubat","Mart","Nisan","Mayıs","Haziran","Temmuz","Ağustos","Eylül","Ekim","Kasım","Aralık"},MONTH(B1322)))</f>
        <v/>
      </c>
      <c r="D1322" s="2"/>
      <c r="E1322" s="5" t="str">
        <f>IFERROR(INDEX('Malzeme Tanımlama'!$B$5:$B$300,MATCH(D1322,'Malzeme Tanımlama'!$A$5:$A$300,0)),"")</f>
        <v/>
      </c>
      <c r="F1322" s="2"/>
      <c r="G1322" s="5"/>
      <c r="H1322" s="5" t="str">
        <f>IFERROR(INDEX('Malzeme Tanımlama'!$D$5:$D$300,MATCH(D1322,'Malzeme Tanımlama'!$A$5:$A$300,0)),"")</f>
        <v/>
      </c>
      <c r="I1322" s="2"/>
      <c r="J1322" s="2"/>
      <c r="K1322" s="2"/>
    </row>
    <row r="1323" spans="1:11" x14ac:dyDescent="0.3">
      <c r="A1323" s="5" t="str">
        <f>IF(D1323="","",COUNTIF($D$5:D1323,"?*"))</f>
        <v/>
      </c>
      <c r="B1323" s="6"/>
      <c r="C1323" s="5" t="str">
        <f>IF(B1323="","",INDEX({"Ocak","Şubat","Mart","Nisan","Mayıs","Haziran","Temmuz","Ağustos","Eylül","Ekim","Kasım","Aralık"},MONTH(B1323)))</f>
        <v/>
      </c>
      <c r="D1323" s="2"/>
      <c r="E1323" s="5" t="str">
        <f>IFERROR(INDEX('Malzeme Tanımlama'!$B$5:$B$300,MATCH(D1323,'Malzeme Tanımlama'!$A$5:$A$300,0)),"")</f>
        <v/>
      </c>
      <c r="F1323" s="2"/>
      <c r="G1323" s="5"/>
      <c r="H1323" s="5" t="str">
        <f>IFERROR(INDEX('Malzeme Tanımlama'!$D$5:$D$300,MATCH(D1323,'Malzeme Tanımlama'!$A$5:$A$300,0)),"")</f>
        <v/>
      </c>
      <c r="I1323" s="2"/>
      <c r="J1323" s="2"/>
      <c r="K1323" s="2"/>
    </row>
    <row r="1324" spans="1:11" x14ac:dyDescent="0.3">
      <c r="A1324" s="5" t="str">
        <f>IF(D1324="","",COUNTIF($D$5:D1324,"?*"))</f>
        <v/>
      </c>
      <c r="B1324" s="6"/>
      <c r="C1324" s="5" t="str">
        <f>IF(B1324="","",INDEX({"Ocak","Şubat","Mart","Nisan","Mayıs","Haziran","Temmuz","Ağustos","Eylül","Ekim","Kasım","Aralık"},MONTH(B1324)))</f>
        <v/>
      </c>
      <c r="D1324" s="2"/>
      <c r="E1324" s="5" t="str">
        <f>IFERROR(INDEX('Malzeme Tanımlama'!$B$5:$B$300,MATCH(D1324,'Malzeme Tanımlama'!$A$5:$A$300,0)),"")</f>
        <v/>
      </c>
      <c r="F1324" s="2"/>
      <c r="G1324" s="5"/>
      <c r="H1324" s="5" t="str">
        <f>IFERROR(INDEX('Malzeme Tanımlama'!$D$5:$D$300,MATCH(D1324,'Malzeme Tanımlama'!$A$5:$A$300,0)),"")</f>
        <v/>
      </c>
      <c r="I1324" s="2"/>
      <c r="J1324" s="2"/>
      <c r="K1324" s="2"/>
    </row>
    <row r="1325" spans="1:11" x14ac:dyDescent="0.3">
      <c r="A1325" s="5" t="str">
        <f>IF(D1325="","",COUNTIF($D$5:D1325,"?*"))</f>
        <v/>
      </c>
      <c r="B1325" s="6"/>
      <c r="C1325" s="5" t="str">
        <f>IF(B1325="","",INDEX({"Ocak","Şubat","Mart","Nisan","Mayıs","Haziran","Temmuz","Ağustos","Eylül","Ekim","Kasım","Aralık"},MONTH(B1325)))</f>
        <v/>
      </c>
      <c r="D1325" s="2"/>
      <c r="E1325" s="5" t="str">
        <f>IFERROR(INDEX('Malzeme Tanımlama'!$B$5:$B$300,MATCH(D1325,'Malzeme Tanımlama'!$A$5:$A$300,0)),"")</f>
        <v/>
      </c>
      <c r="F1325" s="2"/>
      <c r="G1325" s="5"/>
      <c r="H1325" s="5" t="str">
        <f>IFERROR(INDEX('Malzeme Tanımlama'!$D$5:$D$300,MATCH(D1325,'Malzeme Tanımlama'!$A$5:$A$300,0)),"")</f>
        <v/>
      </c>
      <c r="I1325" s="2"/>
      <c r="J1325" s="2"/>
      <c r="K1325" s="2"/>
    </row>
    <row r="1326" spans="1:11" x14ac:dyDescent="0.3">
      <c r="A1326" s="5" t="str">
        <f>IF(D1326="","",COUNTIF($D$5:D1326,"?*"))</f>
        <v/>
      </c>
      <c r="B1326" s="6"/>
      <c r="C1326" s="5" t="str">
        <f>IF(B1326="","",INDEX({"Ocak","Şubat","Mart","Nisan","Mayıs","Haziran","Temmuz","Ağustos","Eylül","Ekim","Kasım","Aralık"},MONTH(B1326)))</f>
        <v/>
      </c>
      <c r="D1326" s="2"/>
      <c r="E1326" s="5" t="str">
        <f>IFERROR(INDEX('Malzeme Tanımlama'!$B$5:$B$300,MATCH(D1326,'Malzeme Tanımlama'!$A$5:$A$300,0)),"")</f>
        <v/>
      </c>
      <c r="F1326" s="2"/>
      <c r="G1326" s="5"/>
      <c r="H1326" s="5" t="str">
        <f>IFERROR(INDEX('Malzeme Tanımlama'!$D$5:$D$300,MATCH(D1326,'Malzeme Tanımlama'!$A$5:$A$300,0)),"")</f>
        <v/>
      </c>
      <c r="I1326" s="2"/>
      <c r="J1326" s="2"/>
      <c r="K1326" s="2"/>
    </row>
    <row r="1327" spans="1:11" x14ac:dyDescent="0.3">
      <c r="A1327" s="5" t="str">
        <f>IF(D1327="","",COUNTIF($D$5:D1327,"?*"))</f>
        <v/>
      </c>
      <c r="B1327" s="6"/>
      <c r="C1327" s="5" t="str">
        <f>IF(B1327="","",INDEX({"Ocak","Şubat","Mart","Nisan","Mayıs","Haziran","Temmuz","Ağustos","Eylül","Ekim","Kasım","Aralık"},MONTH(B1327)))</f>
        <v/>
      </c>
      <c r="D1327" s="2"/>
      <c r="E1327" s="5" t="str">
        <f>IFERROR(INDEX('Malzeme Tanımlama'!$B$5:$B$300,MATCH(D1327,'Malzeme Tanımlama'!$A$5:$A$300,0)),"")</f>
        <v/>
      </c>
      <c r="F1327" s="2"/>
      <c r="G1327" s="5"/>
      <c r="H1327" s="5" t="str">
        <f>IFERROR(INDEX('Malzeme Tanımlama'!$D$5:$D$300,MATCH(D1327,'Malzeme Tanımlama'!$A$5:$A$300,0)),"")</f>
        <v/>
      </c>
      <c r="I1327" s="2"/>
      <c r="J1327" s="2"/>
      <c r="K1327" s="2"/>
    </row>
    <row r="1328" spans="1:11" x14ac:dyDescent="0.3">
      <c r="A1328" s="5" t="str">
        <f>IF(D1328="","",COUNTIF($D$5:D1328,"?*"))</f>
        <v/>
      </c>
      <c r="B1328" s="6"/>
      <c r="C1328" s="5" t="str">
        <f>IF(B1328="","",INDEX({"Ocak","Şubat","Mart","Nisan","Mayıs","Haziran","Temmuz","Ağustos","Eylül","Ekim","Kasım","Aralık"},MONTH(B1328)))</f>
        <v/>
      </c>
      <c r="D1328" s="2"/>
      <c r="E1328" s="5" t="str">
        <f>IFERROR(INDEX('Malzeme Tanımlama'!$B$5:$B$300,MATCH(D1328,'Malzeme Tanımlama'!$A$5:$A$300,0)),"")</f>
        <v/>
      </c>
      <c r="F1328" s="2"/>
      <c r="G1328" s="5"/>
      <c r="H1328" s="5" t="str">
        <f>IFERROR(INDEX('Malzeme Tanımlama'!$D$5:$D$300,MATCH(D1328,'Malzeme Tanımlama'!$A$5:$A$300,0)),"")</f>
        <v/>
      </c>
      <c r="I1328" s="2"/>
      <c r="J1328" s="2"/>
      <c r="K1328" s="2"/>
    </row>
    <row r="1329" spans="1:11" x14ac:dyDescent="0.3">
      <c r="A1329" s="5" t="str">
        <f>IF(D1329="","",COUNTIF($D$5:D1329,"?*"))</f>
        <v/>
      </c>
      <c r="B1329" s="6"/>
      <c r="C1329" s="5" t="str">
        <f>IF(B1329="","",INDEX({"Ocak","Şubat","Mart","Nisan","Mayıs","Haziran","Temmuz","Ağustos","Eylül","Ekim","Kasım","Aralık"},MONTH(B1329)))</f>
        <v/>
      </c>
      <c r="D1329" s="2"/>
      <c r="E1329" s="5" t="str">
        <f>IFERROR(INDEX('Malzeme Tanımlama'!$B$5:$B$300,MATCH(D1329,'Malzeme Tanımlama'!$A$5:$A$300,0)),"")</f>
        <v/>
      </c>
      <c r="F1329" s="2"/>
      <c r="G1329" s="5"/>
      <c r="H1329" s="5" t="str">
        <f>IFERROR(INDEX('Malzeme Tanımlama'!$D$5:$D$300,MATCH(D1329,'Malzeme Tanımlama'!$A$5:$A$300,0)),"")</f>
        <v/>
      </c>
      <c r="I1329" s="2"/>
      <c r="J1329" s="2"/>
      <c r="K1329" s="2"/>
    </row>
    <row r="1330" spans="1:11" x14ac:dyDescent="0.3">
      <c r="A1330" s="5" t="str">
        <f>IF(D1330="","",COUNTIF($D$5:D1330,"?*"))</f>
        <v/>
      </c>
      <c r="B1330" s="6"/>
      <c r="C1330" s="5" t="str">
        <f>IF(B1330="","",INDEX({"Ocak","Şubat","Mart","Nisan","Mayıs","Haziran","Temmuz","Ağustos","Eylül","Ekim","Kasım","Aralık"},MONTH(B1330)))</f>
        <v/>
      </c>
      <c r="D1330" s="2"/>
      <c r="E1330" s="5" t="str">
        <f>IFERROR(INDEX('Malzeme Tanımlama'!$B$5:$B$300,MATCH(D1330,'Malzeme Tanımlama'!$A$5:$A$300,0)),"")</f>
        <v/>
      </c>
      <c r="F1330" s="2"/>
      <c r="G1330" s="5"/>
      <c r="H1330" s="5" t="str">
        <f>IFERROR(INDEX('Malzeme Tanımlama'!$D$5:$D$300,MATCH(D1330,'Malzeme Tanımlama'!$A$5:$A$300,0)),"")</f>
        <v/>
      </c>
      <c r="I1330" s="2"/>
      <c r="J1330" s="2"/>
      <c r="K1330" s="2"/>
    </row>
    <row r="1331" spans="1:11" x14ac:dyDescent="0.3">
      <c r="A1331" s="5" t="str">
        <f>IF(D1331="","",COUNTIF($D$5:D1331,"?*"))</f>
        <v/>
      </c>
      <c r="B1331" s="6"/>
      <c r="C1331" s="5" t="str">
        <f>IF(B1331="","",INDEX({"Ocak","Şubat","Mart","Nisan","Mayıs","Haziran","Temmuz","Ağustos","Eylül","Ekim","Kasım","Aralık"},MONTH(B1331)))</f>
        <v/>
      </c>
      <c r="D1331" s="2"/>
      <c r="E1331" s="5" t="str">
        <f>IFERROR(INDEX('Malzeme Tanımlama'!$B$5:$B$300,MATCH(D1331,'Malzeme Tanımlama'!$A$5:$A$300,0)),"")</f>
        <v/>
      </c>
      <c r="F1331" s="2"/>
      <c r="G1331" s="5"/>
      <c r="H1331" s="5" t="str">
        <f>IFERROR(INDEX('Malzeme Tanımlama'!$D$5:$D$300,MATCH(D1331,'Malzeme Tanımlama'!$A$5:$A$300,0)),"")</f>
        <v/>
      </c>
      <c r="I1331" s="2"/>
      <c r="J1331" s="2"/>
      <c r="K1331" s="2"/>
    </row>
    <row r="1332" spans="1:11" x14ac:dyDescent="0.3">
      <c r="A1332" s="5" t="str">
        <f>IF(D1332="","",COUNTIF($D$5:D1332,"?*"))</f>
        <v/>
      </c>
      <c r="B1332" s="6"/>
      <c r="C1332" s="5" t="str">
        <f>IF(B1332="","",INDEX({"Ocak","Şubat","Mart","Nisan","Mayıs","Haziran","Temmuz","Ağustos","Eylül","Ekim","Kasım","Aralık"},MONTH(B1332)))</f>
        <v/>
      </c>
      <c r="D1332" s="2"/>
      <c r="E1332" s="5" t="str">
        <f>IFERROR(INDEX('Malzeme Tanımlama'!$B$5:$B$300,MATCH(D1332,'Malzeme Tanımlama'!$A$5:$A$300,0)),"")</f>
        <v/>
      </c>
      <c r="F1332" s="2"/>
      <c r="G1332" s="5"/>
      <c r="H1332" s="5" t="str">
        <f>IFERROR(INDEX('Malzeme Tanımlama'!$D$5:$D$300,MATCH(D1332,'Malzeme Tanımlama'!$A$5:$A$300,0)),"")</f>
        <v/>
      </c>
      <c r="I1332" s="2"/>
      <c r="J1332" s="2"/>
      <c r="K1332" s="2"/>
    </row>
    <row r="1333" spans="1:11" x14ac:dyDescent="0.3">
      <c r="A1333" s="5" t="str">
        <f>IF(D1333="","",COUNTIF($D$5:D1333,"?*"))</f>
        <v/>
      </c>
      <c r="B1333" s="6"/>
      <c r="C1333" s="5" t="str">
        <f>IF(B1333="","",INDEX({"Ocak","Şubat","Mart","Nisan","Mayıs","Haziran","Temmuz","Ağustos","Eylül","Ekim","Kasım","Aralık"},MONTH(B1333)))</f>
        <v/>
      </c>
      <c r="D1333" s="2"/>
      <c r="E1333" s="5" t="str">
        <f>IFERROR(INDEX('Malzeme Tanımlama'!$B$5:$B$300,MATCH(D1333,'Malzeme Tanımlama'!$A$5:$A$300,0)),"")</f>
        <v/>
      </c>
      <c r="F1333" s="2"/>
      <c r="G1333" s="5"/>
      <c r="H1333" s="5" t="str">
        <f>IFERROR(INDEX('Malzeme Tanımlama'!$D$5:$D$300,MATCH(D1333,'Malzeme Tanımlama'!$A$5:$A$300,0)),"")</f>
        <v/>
      </c>
      <c r="I1333" s="2"/>
      <c r="J1333" s="2"/>
      <c r="K1333" s="2"/>
    </row>
    <row r="1334" spans="1:11" x14ac:dyDescent="0.3">
      <c r="A1334" s="5" t="str">
        <f>IF(D1334="","",COUNTIF($D$5:D1334,"?*"))</f>
        <v/>
      </c>
      <c r="B1334" s="6"/>
      <c r="C1334" s="5" t="str">
        <f>IF(B1334="","",INDEX({"Ocak","Şubat","Mart","Nisan","Mayıs","Haziran","Temmuz","Ağustos","Eylül","Ekim","Kasım","Aralık"},MONTH(B1334)))</f>
        <v/>
      </c>
      <c r="D1334" s="2"/>
      <c r="E1334" s="5" t="str">
        <f>IFERROR(INDEX('Malzeme Tanımlama'!$B$5:$B$300,MATCH(D1334,'Malzeme Tanımlama'!$A$5:$A$300,0)),"")</f>
        <v/>
      </c>
      <c r="F1334" s="2"/>
      <c r="G1334" s="5"/>
      <c r="H1334" s="5" t="str">
        <f>IFERROR(INDEX('Malzeme Tanımlama'!$D$5:$D$300,MATCH(D1334,'Malzeme Tanımlama'!$A$5:$A$300,0)),"")</f>
        <v/>
      </c>
      <c r="I1334" s="2"/>
      <c r="J1334" s="2"/>
      <c r="K1334" s="2"/>
    </row>
    <row r="1335" spans="1:11" x14ac:dyDescent="0.3">
      <c r="A1335" s="5" t="str">
        <f>IF(D1335="","",COUNTIF($D$5:D1335,"?*"))</f>
        <v/>
      </c>
      <c r="B1335" s="6"/>
      <c r="C1335" s="5" t="str">
        <f>IF(B1335="","",INDEX({"Ocak","Şubat","Mart","Nisan","Mayıs","Haziran","Temmuz","Ağustos","Eylül","Ekim","Kasım","Aralık"},MONTH(B1335)))</f>
        <v/>
      </c>
      <c r="D1335" s="2"/>
      <c r="E1335" s="5" t="str">
        <f>IFERROR(INDEX('Malzeme Tanımlama'!$B$5:$B$300,MATCH(D1335,'Malzeme Tanımlama'!$A$5:$A$300,0)),"")</f>
        <v/>
      </c>
      <c r="F1335" s="2"/>
      <c r="G1335" s="5"/>
      <c r="H1335" s="5" t="str">
        <f>IFERROR(INDEX('Malzeme Tanımlama'!$D$5:$D$300,MATCH(D1335,'Malzeme Tanımlama'!$A$5:$A$300,0)),"")</f>
        <v/>
      </c>
      <c r="I1335" s="2"/>
      <c r="J1335" s="2"/>
      <c r="K1335" s="2"/>
    </row>
    <row r="1336" spans="1:11" x14ac:dyDescent="0.3">
      <c r="A1336" s="5" t="str">
        <f>IF(D1336="","",COUNTIF($D$5:D1336,"?*"))</f>
        <v/>
      </c>
      <c r="B1336" s="6"/>
      <c r="C1336" s="5" t="str">
        <f>IF(B1336="","",INDEX({"Ocak","Şubat","Mart","Nisan","Mayıs","Haziran","Temmuz","Ağustos","Eylül","Ekim","Kasım","Aralık"},MONTH(B1336)))</f>
        <v/>
      </c>
      <c r="D1336" s="2"/>
      <c r="E1336" s="5" t="str">
        <f>IFERROR(INDEX('Malzeme Tanımlama'!$B$5:$B$300,MATCH(D1336,'Malzeme Tanımlama'!$A$5:$A$300,0)),"")</f>
        <v/>
      </c>
      <c r="F1336" s="2"/>
      <c r="G1336" s="5"/>
      <c r="H1336" s="5" t="str">
        <f>IFERROR(INDEX('Malzeme Tanımlama'!$D$5:$D$300,MATCH(D1336,'Malzeme Tanımlama'!$A$5:$A$300,0)),"")</f>
        <v/>
      </c>
      <c r="I1336" s="2"/>
      <c r="J1336" s="2"/>
      <c r="K1336" s="2"/>
    </row>
    <row r="1337" spans="1:11" x14ac:dyDescent="0.3">
      <c r="A1337" s="5" t="str">
        <f>IF(D1337="","",COUNTIF($D$5:D1337,"?*"))</f>
        <v/>
      </c>
      <c r="B1337" s="6"/>
      <c r="C1337" s="5" t="str">
        <f>IF(B1337="","",INDEX({"Ocak","Şubat","Mart","Nisan","Mayıs","Haziran","Temmuz","Ağustos","Eylül","Ekim","Kasım","Aralık"},MONTH(B1337)))</f>
        <v/>
      </c>
      <c r="D1337" s="2"/>
      <c r="E1337" s="5" t="str">
        <f>IFERROR(INDEX('Malzeme Tanımlama'!$B$5:$B$300,MATCH(D1337,'Malzeme Tanımlama'!$A$5:$A$300,0)),"")</f>
        <v/>
      </c>
      <c r="F1337" s="2"/>
      <c r="G1337" s="5"/>
      <c r="H1337" s="5" t="str">
        <f>IFERROR(INDEX('Malzeme Tanımlama'!$D$5:$D$300,MATCH(D1337,'Malzeme Tanımlama'!$A$5:$A$300,0)),"")</f>
        <v/>
      </c>
      <c r="I1337" s="2"/>
      <c r="J1337" s="2"/>
      <c r="K1337" s="2"/>
    </row>
    <row r="1338" spans="1:11" x14ac:dyDescent="0.3">
      <c r="A1338" s="5" t="str">
        <f>IF(D1338="","",COUNTIF($D$5:D1338,"?*"))</f>
        <v/>
      </c>
      <c r="B1338" s="6"/>
      <c r="C1338" s="5" t="str">
        <f>IF(B1338="","",INDEX({"Ocak","Şubat","Mart","Nisan","Mayıs","Haziran","Temmuz","Ağustos","Eylül","Ekim","Kasım","Aralık"},MONTH(B1338)))</f>
        <v/>
      </c>
      <c r="D1338" s="2"/>
      <c r="E1338" s="5" t="str">
        <f>IFERROR(INDEX('Malzeme Tanımlama'!$B$5:$B$300,MATCH(D1338,'Malzeme Tanımlama'!$A$5:$A$300,0)),"")</f>
        <v/>
      </c>
      <c r="F1338" s="2"/>
      <c r="G1338" s="5"/>
      <c r="H1338" s="5" t="str">
        <f>IFERROR(INDEX('Malzeme Tanımlama'!$D$5:$D$300,MATCH(D1338,'Malzeme Tanımlama'!$A$5:$A$300,0)),"")</f>
        <v/>
      </c>
      <c r="I1338" s="2"/>
      <c r="J1338" s="2"/>
      <c r="K1338" s="2"/>
    </row>
    <row r="1339" spans="1:11" x14ac:dyDescent="0.3">
      <c r="A1339" s="5" t="str">
        <f>IF(D1339="","",COUNTIF($D$5:D1339,"?*"))</f>
        <v/>
      </c>
      <c r="B1339" s="6"/>
      <c r="C1339" s="5" t="str">
        <f>IF(B1339="","",INDEX({"Ocak","Şubat","Mart","Nisan","Mayıs","Haziran","Temmuz","Ağustos","Eylül","Ekim","Kasım","Aralık"},MONTH(B1339)))</f>
        <v/>
      </c>
      <c r="D1339" s="2"/>
      <c r="E1339" s="5" t="str">
        <f>IFERROR(INDEX('Malzeme Tanımlama'!$B$5:$B$300,MATCH(D1339,'Malzeme Tanımlama'!$A$5:$A$300,0)),"")</f>
        <v/>
      </c>
      <c r="F1339" s="2"/>
      <c r="G1339" s="5"/>
      <c r="H1339" s="5" t="str">
        <f>IFERROR(INDEX('Malzeme Tanımlama'!$D$5:$D$300,MATCH(D1339,'Malzeme Tanımlama'!$A$5:$A$300,0)),"")</f>
        <v/>
      </c>
      <c r="I1339" s="2"/>
      <c r="J1339" s="2"/>
      <c r="K1339" s="2"/>
    </row>
    <row r="1340" spans="1:11" x14ac:dyDescent="0.3">
      <c r="A1340" s="5" t="str">
        <f>IF(D1340="","",COUNTIF($D$5:D1340,"?*"))</f>
        <v/>
      </c>
      <c r="B1340" s="6"/>
      <c r="C1340" s="5" t="str">
        <f>IF(B1340="","",INDEX({"Ocak","Şubat","Mart","Nisan","Mayıs","Haziran","Temmuz","Ağustos","Eylül","Ekim","Kasım","Aralık"},MONTH(B1340)))</f>
        <v/>
      </c>
      <c r="D1340" s="2"/>
      <c r="E1340" s="5" t="str">
        <f>IFERROR(INDEX('Malzeme Tanımlama'!$B$5:$B$300,MATCH(D1340,'Malzeme Tanımlama'!$A$5:$A$300,0)),"")</f>
        <v/>
      </c>
      <c r="F1340" s="2"/>
      <c r="G1340" s="5"/>
      <c r="H1340" s="5" t="str">
        <f>IFERROR(INDEX('Malzeme Tanımlama'!$D$5:$D$300,MATCH(D1340,'Malzeme Tanımlama'!$A$5:$A$300,0)),"")</f>
        <v/>
      </c>
      <c r="I1340" s="2"/>
      <c r="J1340" s="2"/>
      <c r="K1340" s="2"/>
    </row>
    <row r="1341" spans="1:11" x14ac:dyDescent="0.3">
      <c r="A1341" s="5" t="str">
        <f>IF(D1341="","",COUNTIF($D$5:D1341,"?*"))</f>
        <v/>
      </c>
      <c r="B1341" s="6"/>
      <c r="C1341" s="5" t="str">
        <f>IF(B1341="","",INDEX({"Ocak","Şubat","Mart","Nisan","Mayıs","Haziran","Temmuz","Ağustos","Eylül","Ekim","Kasım","Aralık"},MONTH(B1341)))</f>
        <v/>
      </c>
      <c r="D1341" s="2"/>
      <c r="E1341" s="5" t="str">
        <f>IFERROR(INDEX('Malzeme Tanımlama'!$B$5:$B$300,MATCH(D1341,'Malzeme Tanımlama'!$A$5:$A$300,0)),"")</f>
        <v/>
      </c>
      <c r="F1341" s="2"/>
      <c r="G1341" s="5"/>
      <c r="H1341" s="5" t="str">
        <f>IFERROR(INDEX('Malzeme Tanımlama'!$D$5:$D$300,MATCH(D1341,'Malzeme Tanımlama'!$A$5:$A$300,0)),"")</f>
        <v/>
      </c>
      <c r="I1341" s="2"/>
      <c r="J1341" s="2"/>
      <c r="K1341" s="2"/>
    </row>
    <row r="1342" spans="1:11" x14ac:dyDescent="0.3">
      <c r="A1342" s="5" t="str">
        <f>IF(D1342="","",COUNTIF($D$5:D1342,"?*"))</f>
        <v/>
      </c>
      <c r="B1342" s="6"/>
      <c r="C1342" s="5" t="str">
        <f>IF(B1342="","",INDEX({"Ocak","Şubat","Mart","Nisan","Mayıs","Haziran","Temmuz","Ağustos","Eylül","Ekim","Kasım","Aralık"},MONTH(B1342)))</f>
        <v/>
      </c>
      <c r="D1342" s="2"/>
      <c r="E1342" s="5" t="str">
        <f>IFERROR(INDEX('Malzeme Tanımlama'!$B$5:$B$300,MATCH(D1342,'Malzeme Tanımlama'!$A$5:$A$300,0)),"")</f>
        <v/>
      </c>
      <c r="F1342" s="2"/>
      <c r="G1342" s="5"/>
      <c r="H1342" s="5" t="str">
        <f>IFERROR(INDEX('Malzeme Tanımlama'!$D$5:$D$300,MATCH(D1342,'Malzeme Tanımlama'!$A$5:$A$300,0)),"")</f>
        <v/>
      </c>
      <c r="I1342" s="2"/>
      <c r="J1342" s="2"/>
      <c r="K1342" s="2"/>
    </row>
    <row r="1343" spans="1:11" x14ac:dyDescent="0.3">
      <c r="A1343" s="5" t="str">
        <f>IF(D1343="","",COUNTIF($D$5:D1343,"?*"))</f>
        <v/>
      </c>
      <c r="B1343" s="6"/>
      <c r="C1343" s="5" t="str">
        <f>IF(B1343="","",INDEX({"Ocak","Şubat","Mart","Nisan","Mayıs","Haziran","Temmuz","Ağustos","Eylül","Ekim","Kasım","Aralık"},MONTH(B1343)))</f>
        <v/>
      </c>
      <c r="D1343" s="2"/>
      <c r="E1343" s="5" t="str">
        <f>IFERROR(INDEX('Malzeme Tanımlama'!$B$5:$B$300,MATCH(D1343,'Malzeme Tanımlama'!$A$5:$A$300,0)),"")</f>
        <v/>
      </c>
      <c r="F1343" s="2"/>
      <c r="G1343" s="5"/>
      <c r="H1343" s="5" t="str">
        <f>IFERROR(INDEX('Malzeme Tanımlama'!$D$5:$D$300,MATCH(D1343,'Malzeme Tanımlama'!$A$5:$A$300,0)),"")</f>
        <v/>
      </c>
      <c r="I1343" s="2"/>
      <c r="J1343" s="2"/>
      <c r="K1343" s="2"/>
    </row>
    <row r="1344" spans="1:11" x14ac:dyDescent="0.3">
      <c r="A1344" s="5" t="str">
        <f>IF(D1344="","",COUNTIF($D$5:D1344,"?*"))</f>
        <v/>
      </c>
      <c r="B1344" s="6"/>
      <c r="C1344" s="5" t="str">
        <f>IF(B1344="","",INDEX({"Ocak","Şubat","Mart","Nisan","Mayıs","Haziran","Temmuz","Ağustos","Eylül","Ekim","Kasım","Aralık"},MONTH(B1344)))</f>
        <v/>
      </c>
      <c r="D1344" s="2"/>
      <c r="E1344" s="5" t="str">
        <f>IFERROR(INDEX('Malzeme Tanımlama'!$B$5:$B$300,MATCH(D1344,'Malzeme Tanımlama'!$A$5:$A$300,0)),"")</f>
        <v/>
      </c>
      <c r="F1344" s="2"/>
      <c r="G1344" s="5"/>
      <c r="H1344" s="5" t="str">
        <f>IFERROR(INDEX('Malzeme Tanımlama'!$D$5:$D$300,MATCH(D1344,'Malzeme Tanımlama'!$A$5:$A$300,0)),"")</f>
        <v/>
      </c>
      <c r="I1344" s="2"/>
      <c r="J1344" s="2"/>
      <c r="K1344" s="2"/>
    </row>
    <row r="1345" spans="1:11" x14ac:dyDescent="0.3">
      <c r="A1345" s="5" t="str">
        <f>IF(D1345="","",COUNTIF($D$5:D1345,"?*"))</f>
        <v/>
      </c>
      <c r="B1345" s="6"/>
      <c r="C1345" s="5" t="str">
        <f>IF(B1345="","",INDEX({"Ocak","Şubat","Mart","Nisan","Mayıs","Haziran","Temmuz","Ağustos","Eylül","Ekim","Kasım","Aralık"},MONTH(B1345)))</f>
        <v/>
      </c>
      <c r="D1345" s="2"/>
      <c r="E1345" s="5" t="str">
        <f>IFERROR(INDEX('Malzeme Tanımlama'!$B$5:$B$300,MATCH(D1345,'Malzeme Tanımlama'!$A$5:$A$300,0)),"")</f>
        <v/>
      </c>
      <c r="F1345" s="2"/>
      <c r="G1345" s="5"/>
      <c r="H1345" s="5" t="str">
        <f>IFERROR(INDEX('Malzeme Tanımlama'!$D$5:$D$300,MATCH(D1345,'Malzeme Tanımlama'!$A$5:$A$300,0)),"")</f>
        <v/>
      </c>
      <c r="I1345" s="2"/>
      <c r="J1345" s="2"/>
      <c r="K1345" s="2"/>
    </row>
    <row r="1346" spans="1:11" x14ac:dyDescent="0.3">
      <c r="A1346" s="5" t="str">
        <f>IF(D1346="","",COUNTIF($D$5:D1346,"?*"))</f>
        <v/>
      </c>
      <c r="B1346" s="6"/>
      <c r="C1346" s="5" t="str">
        <f>IF(B1346="","",INDEX({"Ocak","Şubat","Mart","Nisan","Mayıs","Haziran","Temmuz","Ağustos","Eylül","Ekim","Kasım","Aralık"},MONTH(B1346)))</f>
        <v/>
      </c>
      <c r="D1346" s="2"/>
      <c r="E1346" s="5" t="str">
        <f>IFERROR(INDEX('Malzeme Tanımlama'!$B$5:$B$300,MATCH(D1346,'Malzeme Tanımlama'!$A$5:$A$300,0)),"")</f>
        <v/>
      </c>
      <c r="F1346" s="2"/>
      <c r="G1346" s="5"/>
      <c r="H1346" s="5" t="str">
        <f>IFERROR(INDEX('Malzeme Tanımlama'!$D$5:$D$300,MATCH(D1346,'Malzeme Tanımlama'!$A$5:$A$300,0)),"")</f>
        <v/>
      </c>
      <c r="I1346" s="2"/>
      <c r="J1346" s="2"/>
      <c r="K1346" s="2"/>
    </row>
    <row r="1347" spans="1:11" x14ac:dyDescent="0.3">
      <c r="A1347" s="5" t="str">
        <f>IF(D1347="","",COUNTIF($D$5:D1347,"?*"))</f>
        <v/>
      </c>
      <c r="B1347" s="6"/>
      <c r="C1347" s="5" t="str">
        <f>IF(B1347="","",INDEX({"Ocak","Şubat","Mart","Nisan","Mayıs","Haziran","Temmuz","Ağustos","Eylül","Ekim","Kasım","Aralık"},MONTH(B1347)))</f>
        <v/>
      </c>
      <c r="D1347" s="2"/>
      <c r="E1347" s="5" t="str">
        <f>IFERROR(INDEX('Malzeme Tanımlama'!$B$5:$B$300,MATCH(D1347,'Malzeme Tanımlama'!$A$5:$A$300,0)),"")</f>
        <v/>
      </c>
      <c r="F1347" s="2"/>
      <c r="G1347" s="5"/>
      <c r="H1347" s="5" t="str">
        <f>IFERROR(INDEX('Malzeme Tanımlama'!$D$5:$D$300,MATCH(D1347,'Malzeme Tanımlama'!$A$5:$A$300,0)),"")</f>
        <v/>
      </c>
      <c r="I1347" s="2"/>
      <c r="J1347" s="2"/>
      <c r="K1347" s="2"/>
    </row>
    <row r="1348" spans="1:11" x14ac:dyDescent="0.3">
      <c r="A1348" s="5" t="str">
        <f>IF(D1348="","",COUNTIF($D$5:D1348,"?*"))</f>
        <v/>
      </c>
      <c r="B1348" s="6"/>
      <c r="C1348" s="5" t="str">
        <f>IF(B1348="","",INDEX({"Ocak","Şubat","Mart","Nisan","Mayıs","Haziran","Temmuz","Ağustos","Eylül","Ekim","Kasım","Aralık"},MONTH(B1348)))</f>
        <v/>
      </c>
      <c r="D1348" s="2"/>
      <c r="E1348" s="5" t="str">
        <f>IFERROR(INDEX('Malzeme Tanımlama'!$B$5:$B$300,MATCH(D1348,'Malzeme Tanımlama'!$A$5:$A$300,0)),"")</f>
        <v/>
      </c>
      <c r="F1348" s="2"/>
      <c r="G1348" s="5"/>
      <c r="H1348" s="5" t="str">
        <f>IFERROR(INDEX('Malzeme Tanımlama'!$D$5:$D$300,MATCH(D1348,'Malzeme Tanımlama'!$A$5:$A$300,0)),"")</f>
        <v/>
      </c>
      <c r="I1348" s="2"/>
      <c r="J1348" s="2"/>
      <c r="K1348" s="2"/>
    </row>
    <row r="1349" spans="1:11" x14ac:dyDescent="0.3">
      <c r="A1349" s="5" t="str">
        <f>IF(D1349="","",COUNTIF($D$5:D1349,"?*"))</f>
        <v/>
      </c>
      <c r="B1349" s="6"/>
      <c r="C1349" s="5" t="str">
        <f>IF(B1349="","",INDEX({"Ocak","Şubat","Mart","Nisan","Mayıs","Haziran","Temmuz","Ağustos","Eylül","Ekim","Kasım","Aralık"},MONTH(B1349)))</f>
        <v/>
      </c>
      <c r="D1349" s="2"/>
      <c r="E1349" s="5" t="str">
        <f>IFERROR(INDEX('Malzeme Tanımlama'!$B$5:$B$300,MATCH(D1349,'Malzeme Tanımlama'!$A$5:$A$300,0)),"")</f>
        <v/>
      </c>
      <c r="F1349" s="2"/>
      <c r="G1349" s="5"/>
      <c r="H1349" s="5" t="str">
        <f>IFERROR(INDEX('Malzeme Tanımlama'!$D$5:$D$300,MATCH(D1349,'Malzeme Tanımlama'!$A$5:$A$300,0)),"")</f>
        <v/>
      </c>
      <c r="I1349" s="2"/>
      <c r="J1349" s="2"/>
      <c r="K1349" s="2"/>
    </row>
    <row r="1350" spans="1:11" x14ac:dyDescent="0.3">
      <c r="A1350" s="5" t="str">
        <f>IF(D1350="","",COUNTIF($D$5:D1350,"?*"))</f>
        <v/>
      </c>
      <c r="B1350" s="6"/>
      <c r="C1350" s="5" t="str">
        <f>IF(B1350="","",INDEX({"Ocak","Şubat","Mart","Nisan","Mayıs","Haziran","Temmuz","Ağustos","Eylül","Ekim","Kasım","Aralık"},MONTH(B1350)))</f>
        <v/>
      </c>
      <c r="D1350" s="2"/>
      <c r="E1350" s="5" t="str">
        <f>IFERROR(INDEX('Malzeme Tanımlama'!$B$5:$B$300,MATCH(D1350,'Malzeme Tanımlama'!$A$5:$A$300,0)),"")</f>
        <v/>
      </c>
      <c r="F1350" s="2"/>
      <c r="G1350" s="5"/>
      <c r="H1350" s="5" t="str">
        <f>IFERROR(INDEX('Malzeme Tanımlama'!$D$5:$D$300,MATCH(D1350,'Malzeme Tanımlama'!$A$5:$A$300,0)),"")</f>
        <v/>
      </c>
      <c r="I1350" s="2"/>
      <c r="J1350" s="2"/>
      <c r="K1350" s="2"/>
    </row>
    <row r="1351" spans="1:11" x14ac:dyDescent="0.3">
      <c r="A1351" s="5" t="str">
        <f>IF(D1351="","",COUNTIF($D$5:D1351,"?*"))</f>
        <v/>
      </c>
      <c r="B1351" s="6"/>
      <c r="C1351" s="5" t="str">
        <f>IF(B1351="","",INDEX({"Ocak","Şubat","Mart","Nisan","Mayıs","Haziran","Temmuz","Ağustos","Eylül","Ekim","Kasım","Aralık"},MONTH(B1351)))</f>
        <v/>
      </c>
      <c r="D1351" s="2"/>
      <c r="E1351" s="5" t="str">
        <f>IFERROR(INDEX('Malzeme Tanımlama'!$B$5:$B$300,MATCH(D1351,'Malzeme Tanımlama'!$A$5:$A$300,0)),"")</f>
        <v/>
      </c>
      <c r="F1351" s="2"/>
      <c r="G1351" s="5"/>
      <c r="H1351" s="5" t="str">
        <f>IFERROR(INDEX('Malzeme Tanımlama'!$D$5:$D$300,MATCH(D1351,'Malzeme Tanımlama'!$A$5:$A$300,0)),"")</f>
        <v/>
      </c>
      <c r="I1351" s="2"/>
      <c r="J1351" s="2"/>
      <c r="K1351" s="2"/>
    </row>
    <row r="1352" spans="1:11" x14ac:dyDescent="0.3">
      <c r="A1352" s="5" t="str">
        <f>IF(D1352="","",COUNTIF($D$5:D1352,"?*"))</f>
        <v/>
      </c>
      <c r="B1352" s="6"/>
      <c r="C1352" s="5" t="str">
        <f>IF(B1352="","",INDEX({"Ocak","Şubat","Mart","Nisan","Mayıs","Haziran","Temmuz","Ağustos","Eylül","Ekim","Kasım","Aralık"},MONTH(B1352)))</f>
        <v/>
      </c>
      <c r="D1352" s="2"/>
      <c r="E1352" s="5" t="str">
        <f>IFERROR(INDEX('Malzeme Tanımlama'!$B$5:$B$300,MATCH(D1352,'Malzeme Tanımlama'!$A$5:$A$300,0)),"")</f>
        <v/>
      </c>
      <c r="F1352" s="2"/>
      <c r="G1352" s="5"/>
      <c r="H1352" s="5" t="str">
        <f>IFERROR(INDEX('Malzeme Tanımlama'!$D$5:$D$300,MATCH(D1352,'Malzeme Tanımlama'!$A$5:$A$300,0)),"")</f>
        <v/>
      </c>
      <c r="I1352" s="2"/>
      <c r="J1352" s="2"/>
      <c r="K1352" s="2"/>
    </row>
    <row r="1353" spans="1:11" x14ac:dyDescent="0.3">
      <c r="A1353" s="5" t="str">
        <f>IF(D1353="","",COUNTIF($D$5:D1353,"?*"))</f>
        <v/>
      </c>
      <c r="B1353" s="6"/>
      <c r="C1353" s="5" t="str">
        <f>IF(B1353="","",INDEX({"Ocak","Şubat","Mart","Nisan","Mayıs","Haziran","Temmuz","Ağustos","Eylül","Ekim","Kasım","Aralık"},MONTH(B1353)))</f>
        <v/>
      </c>
      <c r="D1353" s="2"/>
      <c r="E1353" s="5" t="str">
        <f>IFERROR(INDEX('Malzeme Tanımlama'!$B$5:$B$300,MATCH(D1353,'Malzeme Tanımlama'!$A$5:$A$300,0)),"")</f>
        <v/>
      </c>
      <c r="F1353" s="2"/>
      <c r="G1353" s="5"/>
      <c r="H1353" s="5" t="str">
        <f>IFERROR(INDEX('Malzeme Tanımlama'!$D$5:$D$300,MATCH(D1353,'Malzeme Tanımlama'!$A$5:$A$300,0)),"")</f>
        <v/>
      </c>
      <c r="I1353" s="2"/>
      <c r="J1353" s="2"/>
      <c r="K1353" s="2"/>
    </row>
    <row r="1354" spans="1:11" x14ac:dyDescent="0.3">
      <c r="A1354" s="5" t="str">
        <f>IF(D1354="","",COUNTIF($D$5:D1354,"?*"))</f>
        <v/>
      </c>
      <c r="B1354" s="6"/>
      <c r="C1354" s="5" t="str">
        <f>IF(B1354="","",INDEX({"Ocak","Şubat","Mart","Nisan","Mayıs","Haziran","Temmuz","Ağustos","Eylül","Ekim","Kasım","Aralık"},MONTH(B1354)))</f>
        <v/>
      </c>
      <c r="D1354" s="2"/>
      <c r="E1354" s="5" t="str">
        <f>IFERROR(INDEX('Malzeme Tanımlama'!$B$5:$B$300,MATCH(D1354,'Malzeme Tanımlama'!$A$5:$A$300,0)),"")</f>
        <v/>
      </c>
      <c r="F1354" s="2"/>
      <c r="G1354" s="5"/>
      <c r="H1354" s="5" t="str">
        <f>IFERROR(INDEX('Malzeme Tanımlama'!$D$5:$D$300,MATCH(D1354,'Malzeme Tanımlama'!$A$5:$A$300,0)),"")</f>
        <v/>
      </c>
      <c r="I1354" s="2"/>
      <c r="J1354" s="2"/>
      <c r="K1354" s="2"/>
    </row>
    <row r="1355" spans="1:11" x14ac:dyDescent="0.3">
      <c r="A1355" s="5" t="str">
        <f>IF(D1355="","",COUNTIF($D$5:D1355,"?*"))</f>
        <v/>
      </c>
      <c r="B1355" s="6"/>
      <c r="C1355" s="5" t="str">
        <f>IF(B1355="","",INDEX({"Ocak","Şubat","Mart","Nisan","Mayıs","Haziran","Temmuz","Ağustos","Eylül","Ekim","Kasım","Aralık"},MONTH(B1355)))</f>
        <v/>
      </c>
      <c r="D1355" s="2"/>
      <c r="E1355" s="5" t="str">
        <f>IFERROR(INDEX('Malzeme Tanımlama'!$B$5:$B$300,MATCH(D1355,'Malzeme Tanımlama'!$A$5:$A$300,0)),"")</f>
        <v/>
      </c>
      <c r="F1355" s="2"/>
      <c r="G1355" s="5"/>
      <c r="H1355" s="5" t="str">
        <f>IFERROR(INDEX('Malzeme Tanımlama'!$D$5:$D$300,MATCH(D1355,'Malzeme Tanımlama'!$A$5:$A$300,0)),"")</f>
        <v/>
      </c>
      <c r="I1355" s="2"/>
      <c r="J1355" s="2"/>
      <c r="K1355" s="2"/>
    </row>
    <row r="1356" spans="1:11" x14ac:dyDescent="0.3">
      <c r="A1356" s="5" t="str">
        <f>IF(D1356="","",COUNTIF($D$5:D1356,"?*"))</f>
        <v/>
      </c>
      <c r="B1356" s="6"/>
      <c r="C1356" s="5" t="str">
        <f>IF(B1356="","",INDEX({"Ocak","Şubat","Mart","Nisan","Mayıs","Haziran","Temmuz","Ağustos","Eylül","Ekim","Kasım","Aralık"},MONTH(B1356)))</f>
        <v/>
      </c>
      <c r="D1356" s="2"/>
      <c r="E1356" s="5" t="str">
        <f>IFERROR(INDEX('Malzeme Tanımlama'!$B$5:$B$300,MATCH(D1356,'Malzeme Tanımlama'!$A$5:$A$300,0)),"")</f>
        <v/>
      </c>
      <c r="F1356" s="2"/>
      <c r="G1356" s="5"/>
      <c r="H1356" s="5" t="str">
        <f>IFERROR(INDEX('Malzeme Tanımlama'!$D$5:$D$300,MATCH(D1356,'Malzeme Tanımlama'!$A$5:$A$300,0)),"")</f>
        <v/>
      </c>
      <c r="I1356" s="2"/>
      <c r="J1356" s="2"/>
      <c r="K1356" s="2"/>
    </row>
    <row r="1357" spans="1:11" x14ac:dyDescent="0.3">
      <c r="A1357" s="5" t="str">
        <f>IF(D1357="","",COUNTIF($D$5:D1357,"?*"))</f>
        <v/>
      </c>
      <c r="B1357" s="6"/>
      <c r="C1357" s="5" t="str">
        <f>IF(B1357="","",INDEX({"Ocak","Şubat","Mart","Nisan","Mayıs","Haziran","Temmuz","Ağustos","Eylül","Ekim","Kasım","Aralık"},MONTH(B1357)))</f>
        <v/>
      </c>
      <c r="D1357" s="2"/>
      <c r="E1357" s="5" t="str">
        <f>IFERROR(INDEX('Malzeme Tanımlama'!$B$5:$B$300,MATCH(D1357,'Malzeme Tanımlama'!$A$5:$A$300,0)),"")</f>
        <v/>
      </c>
      <c r="F1357" s="2"/>
      <c r="G1357" s="5"/>
      <c r="H1357" s="5" t="str">
        <f>IFERROR(INDEX('Malzeme Tanımlama'!$D$5:$D$300,MATCH(D1357,'Malzeme Tanımlama'!$A$5:$A$300,0)),"")</f>
        <v/>
      </c>
      <c r="I1357" s="2"/>
      <c r="J1357" s="2"/>
      <c r="K1357" s="2"/>
    </row>
    <row r="1358" spans="1:11" x14ac:dyDescent="0.3">
      <c r="A1358" s="5" t="str">
        <f>IF(D1358="","",COUNTIF($D$5:D1358,"?*"))</f>
        <v/>
      </c>
      <c r="B1358" s="6"/>
      <c r="C1358" s="5" t="str">
        <f>IF(B1358="","",INDEX({"Ocak","Şubat","Mart","Nisan","Mayıs","Haziran","Temmuz","Ağustos","Eylül","Ekim","Kasım","Aralık"},MONTH(B1358)))</f>
        <v/>
      </c>
      <c r="D1358" s="2"/>
      <c r="E1358" s="5" t="str">
        <f>IFERROR(INDEX('Malzeme Tanımlama'!$B$5:$B$300,MATCH(D1358,'Malzeme Tanımlama'!$A$5:$A$300,0)),"")</f>
        <v/>
      </c>
      <c r="F1358" s="2"/>
      <c r="G1358" s="5"/>
      <c r="H1358" s="5" t="str">
        <f>IFERROR(INDEX('Malzeme Tanımlama'!$D$5:$D$300,MATCH(D1358,'Malzeme Tanımlama'!$A$5:$A$300,0)),"")</f>
        <v/>
      </c>
      <c r="I1358" s="2"/>
      <c r="J1358" s="2"/>
      <c r="K1358" s="2"/>
    </row>
    <row r="1359" spans="1:11" x14ac:dyDescent="0.3">
      <c r="A1359" s="5" t="str">
        <f>IF(D1359="","",COUNTIF($D$5:D1359,"?*"))</f>
        <v/>
      </c>
      <c r="B1359" s="6"/>
      <c r="C1359" s="5" t="str">
        <f>IF(B1359="","",INDEX({"Ocak","Şubat","Mart","Nisan","Mayıs","Haziran","Temmuz","Ağustos","Eylül","Ekim","Kasım","Aralık"},MONTH(B1359)))</f>
        <v/>
      </c>
      <c r="D1359" s="2"/>
      <c r="E1359" s="5" t="str">
        <f>IFERROR(INDEX('Malzeme Tanımlama'!$B$5:$B$300,MATCH(D1359,'Malzeme Tanımlama'!$A$5:$A$300,0)),"")</f>
        <v/>
      </c>
      <c r="F1359" s="2"/>
      <c r="G1359" s="5"/>
      <c r="H1359" s="5" t="str">
        <f>IFERROR(INDEX('Malzeme Tanımlama'!$D$5:$D$300,MATCH(D1359,'Malzeme Tanımlama'!$A$5:$A$300,0)),"")</f>
        <v/>
      </c>
      <c r="I1359" s="2"/>
      <c r="J1359" s="2"/>
      <c r="K1359" s="2"/>
    </row>
    <row r="1360" spans="1:11" x14ac:dyDescent="0.3">
      <c r="A1360" s="5" t="str">
        <f>IF(D1360="","",COUNTIF($D$5:D1360,"?*"))</f>
        <v/>
      </c>
      <c r="B1360" s="6"/>
      <c r="C1360" s="5" t="str">
        <f>IF(B1360="","",INDEX({"Ocak","Şubat","Mart","Nisan","Mayıs","Haziran","Temmuz","Ağustos","Eylül","Ekim","Kasım","Aralık"},MONTH(B1360)))</f>
        <v/>
      </c>
      <c r="D1360" s="2"/>
      <c r="E1360" s="5" t="str">
        <f>IFERROR(INDEX('Malzeme Tanımlama'!$B$5:$B$300,MATCH(D1360,'Malzeme Tanımlama'!$A$5:$A$300,0)),"")</f>
        <v/>
      </c>
      <c r="F1360" s="2"/>
      <c r="G1360" s="5"/>
      <c r="H1360" s="5" t="str">
        <f>IFERROR(INDEX('Malzeme Tanımlama'!$D$5:$D$300,MATCH(D1360,'Malzeme Tanımlama'!$A$5:$A$300,0)),"")</f>
        <v/>
      </c>
      <c r="I1360" s="2"/>
      <c r="J1360" s="2"/>
      <c r="K1360" s="2"/>
    </row>
    <row r="1361" spans="1:11" x14ac:dyDescent="0.3">
      <c r="A1361" s="5" t="str">
        <f>IF(D1361="","",COUNTIF($D$5:D1361,"?*"))</f>
        <v/>
      </c>
      <c r="B1361" s="6"/>
      <c r="C1361" s="5" t="str">
        <f>IF(B1361="","",INDEX({"Ocak","Şubat","Mart","Nisan","Mayıs","Haziran","Temmuz","Ağustos","Eylül","Ekim","Kasım","Aralık"},MONTH(B1361)))</f>
        <v/>
      </c>
      <c r="D1361" s="2"/>
      <c r="E1361" s="5" t="str">
        <f>IFERROR(INDEX('Malzeme Tanımlama'!$B$5:$B$300,MATCH(D1361,'Malzeme Tanımlama'!$A$5:$A$300,0)),"")</f>
        <v/>
      </c>
      <c r="F1361" s="2"/>
      <c r="G1361" s="5"/>
      <c r="H1361" s="5" t="str">
        <f>IFERROR(INDEX('Malzeme Tanımlama'!$D$5:$D$300,MATCH(D1361,'Malzeme Tanımlama'!$A$5:$A$300,0)),"")</f>
        <v/>
      </c>
      <c r="I1361" s="2"/>
      <c r="J1361" s="2"/>
      <c r="K1361" s="2"/>
    </row>
    <row r="1362" spans="1:11" x14ac:dyDescent="0.3">
      <c r="A1362" s="5" t="str">
        <f>IF(D1362="","",COUNTIF($D$5:D1362,"?*"))</f>
        <v/>
      </c>
      <c r="B1362" s="6"/>
      <c r="C1362" s="5" t="str">
        <f>IF(B1362="","",INDEX({"Ocak","Şubat","Mart","Nisan","Mayıs","Haziran","Temmuz","Ağustos","Eylül","Ekim","Kasım","Aralık"},MONTH(B1362)))</f>
        <v/>
      </c>
      <c r="D1362" s="2"/>
      <c r="E1362" s="5" t="str">
        <f>IFERROR(INDEX('Malzeme Tanımlama'!$B$5:$B$300,MATCH(D1362,'Malzeme Tanımlama'!$A$5:$A$300,0)),"")</f>
        <v/>
      </c>
      <c r="F1362" s="2"/>
      <c r="G1362" s="5"/>
      <c r="H1362" s="5" t="str">
        <f>IFERROR(INDEX('Malzeme Tanımlama'!$D$5:$D$300,MATCH(D1362,'Malzeme Tanımlama'!$A$5:$A$300,0)),"")</f>
        <v/>
      </c>
      <c r="I1362" s="2"/>
      <c r="J1362" s="2"/>
      <c r="K1362" s="2"/>
    </row>
    <row r="1363" spans="1:11" x14ac:dyDescent="0.3">
      <c r="A1363" s="5" t="str">
        <f>IF(D1363="","",COUNTIF($D$5:D1363,"?*"))</f>
        <v/>
      </c>
      <c r="B1363" s="6"/>
      <c r="C1363" s="5" t="str">
        <f>IF(B1363="","",INDEX({"Ocak","Şubat","Mart","Nisan","Mayıs","Haziran","Temmuz","Ağustos","Eylül","Ekim","Kasım","Aralık"},MONTH(B1363)))</f>
        <v/>
      </c>
      <c r="D1363" s="2"/>
      <c r="E1363" s="5" t="str">
        <f>IFERROR(INDEX('Malzeme Tanımlama'!$B$5:$B$300,MATCH(D1363,'Malzeme Tanımlama'!$A$5:$A$300,0)),"")</f>
        <v/>
      </c>
      <c r="F1363" s="2"/>
      <c r="G1363" s="5"/>
      <c r="H1363" s="5" t="str">
        <f>IFERROR(INDEX('Malzeme Tanımlama'!$D$5:$D$300,MATCH(D1363,'Malzeme Tanımlama'!$A$5:$A$300,0)),"")</f>
        <v/>
      </c>
      <c r="I1363" s="2"/>
      <c r="J1363" s="2"/>
      <c r="K1363" s="2"/>
    </row>
    <row r="1364" spans="1:11" x14ac:dyDescent="0.3">
      <c r="A1364" s="5" t="str">
        <f>IF(D1364="","",COUNTIF($D$5:D1364,"?*"))</f>
        <v/>
      </c>
      <c r="B1364" s="6"/>
      <c r="C1364" s="5" t="str">
        <f>IF(B1364="","",INDEX({"Ocak","Şubat","Mart","Nisan","Mayıs","Haziran","Temmuz","Ağustos","Eylül","Ekim","Kasım","Aralık"},MONTH(B1364)))</f>
        <v/>
      </c>
      <c r="D1364" s="2"/>
      <c r="E1364" s="5" t="str">
        <f>IFERROR(INDEX('Malzeme Tanımlama'!$B$5:$B$300,MATCH(D1364,'Malzeme Tanımlama'!$A$5:$A$300,0)),"")</f>
        <v/>
      </c>
      <c r="F1364" s="2"/>
      <c r="G1364" s="5"/>
      <c r="H1364" s="5" t="str">
        <f>IFERROR(INDEX('Malzeme Tanımlama'!$D$5:$D$300,MATCH(D1364,'Malzeme Tanımlama'!$A$5:$A$300,0)),"")</f>
        <v/>
      </c>
      <c r="I1364" s="2"/>
      <c r="J1364" s="2"/>
      <c r="K1364" s="2"/>
    </row>
    <row r="1365" spans="1:11" x14ac:dyDescent="0.3">
      <c r="A1365" s="5" t="str">
        <f>IF(D1365="","",COUNTIF($D$5:D1365,"?*"))</f>
        <v/>
      </c>
      <c r="B1365" s="6"/>
      <c r="C1365" s="5" t="str">
        <f>IF(B1365="","",INDEX({"Ocak","Şubat","Mart","Nisan","Mayıs","Haziran","Temmuz","Ağustos","Eylül","Ekim","Kasım","Aralık"},MONTH(B1365)))</f>
        <v/>
      </c>
      <c r="D1365" s="2"/>
      <c r="E1365" s="5" t="str">
        <f>IFERROR(INDEX('Malzeme Tanımlama'!$B$5:$B$300,MATCH(D1365,'Malzeme Tanımlama'!$A$5:$A$300,0)),"")</f>
        <v/>
      </c>
      <c r="F1365" s="2"/>
      <c r="G1365" s="5"/>
      <c r="H1365" s="5" t="str">
        <f>IFERROR(INDEX('Malzeme Tanımlama'!$D$5:$D$300,MATCH(D1365,'Malzeme Tanımlama'!$A$5:$A$300,0)),"")</f>
        <v/>
      </c>
      <c r="I1365" s="2"/>
      <c r="J1365" s="2"/>
      <c r="K1365" s="2"/>
    </row>
    <row r="1366" spans="1:11" x14ac:dyDescent="0.3">
      <c r="A1366" s="5" t="str">
        <f>IF(D1366="","",COUNTIF($D$5:D1366,"?*"))</f>
        <v/>
      </c>
      <c r="B1366" s="6"/>
      <c r="C1366" s="5" t="str">
        <f>IF(B1366="","",INDEX({"Ocak","Şubat","Mart","Nisan","Mayıs","Haziran","Temmuz","Ağustos","Eylül","Ekim","Kasım","Aralık"},MONTH(B1366)))</f>
        <v/>
      </c>
      <c r="D1366" s="2"/>
      <c r="E1366" s="5" t="str">
        <f>IFERROR(INDEX('Malzeme Tanımlama'!$B$5:$B$300,MATCH(D1366,'Malzeme Tanımlama'!$A$5:$A$300,0)),"")</f>
        <v/>
      </c>
      <c r="F1366" s="2"/>
      <c r="G1366" s="5"/>
      <c r="H1366" s="5" t="str">
        <f>IFERROR(INDEX('Malzeme Tanımlama'!$D$5:$D$300,MATCH(D1366,'Malzeme Tanımlama'!$A$5:$A$300,0)),"")</f>
        <v/>
      </c>
      <c r="I1366" s="2"/>
      <c r="J1366" s="2"/>
      <c r="K1366" s="2"/>
    </row>
    <row r="1367" spans="1:11" x14ac:dyDescent="0.3">
      <c r="A1367" s="5" t="str">
        <f>IF(D1367="","",COUNTIF($D$5:D1367,"?*"))</f>
        <v/>
      </c>
      <c r="B1367" s="6"/>
      <c r="C1367" s="5" t="str">
        <f>IF(B1367="","",INDEX({"Ocak","Şubat","Mart","Nisan","Mayıs","Haziran","Temmuz","Ağustos","Eylül","Ekim","Kasım","Aralık"},MONTH(B1367)))</f>
        <v/>
      </c>
      <c r="D1367" s="2"/>
      <c r="E1367" s="5" t="str">
        <f>IFERROR(INDEX('Malzeme Tanımlama'!$B$5:$B$300,MATCH(D1367,'Malzeme Tanımlama'!$A$5:$A$300,0)),"")</f>
        <v/>
      </c>
      <c r="F1367" s="2"/>
      <c r="G1367" s="5"/>
      <c r="H1367" s="5" t="str">
        <f>IFERROR(INDEX('Malzeme Tanımlama'!$D$5:$D$300,MATCH(D1367,'Malzeme Tanımlama'!$A$5:$A$300,0)),"")</f>
        <v/>
      </c>
      <c r="I1367" s="2"/>
      <c r="J1367" s="2"/>
      <c r="K1367" s="2"/>
    </row>
    <row r="1368" spans="1:11" x14ac:dyDescent="0.3">
      <c r="A1368" s="5" t="str">
        <f>IF(D1368="","",COUNTIF($D$5:D1368,"?*"))</f>
        <v/>
      </c>
      <c r="B1368" s="6"/>
      <c r="C1368" s="5" t="str">
        <f>IF(B1368="","",INDEX({"Ocak","Şubat","Mart","Nisan","Mayıs","Haziran","Temmuz","Ağustos","Eylül","Ekim","Kasım","Aralık"},MONTH(B1368)))</f>
        <v/>
      </c>
      <c r="D1368" s="2"/>
      <c r="E1368" s="5" t="str">
        <f>IFERROR(INDEX('Malzeme Tanımlama'!$B$5:$B$300,MATCH(D1368,'Malzeme Tanımlama'!$A$5:$A$300,0)),"")</f>
        <v/>
      </c>
      <c r="F1368" s="2"/>
      <c r="G1368" s="5"/>
      <c r="H1368" s="5" t="str">
        <f>IFERROR(INDEX('Malzeme Tanımlama'!$D$5:$D$300,MATCH(D1368,'Malzeme Tanımlama'!$A$5:$A$300,0)),"")</f>
        <v/>
      </c>
      <c r="I1368" s="2"/>
      <c r="J1368" s="2"/>
      <c r="K1368" s="2"/>
    </row>
    <row r="1369" spans="1:11" x14ac:dyDescent="0.3">
      <c r="A1369" s="5" t="str">
        <f>IF(D1369="","",COUNTIF($D$5:D1369,"?*"))</f>
        <v/>
      </c>
      <c r="B1369" s="6"/>
      <c r="C1369" s="5" t="str">
        <f>IF(B1369="","",INDEX({"Ocak","Şubat","Mart","Nisan","Mayıs","Haziran","Temmuz","Ağustos","Eylül","Ekim","Kasım","Aralık"},MONTH(B1369)))</f>
        <v/>
      </c>
      <c r="D1369" s="2"/>
      <c r="E1369" s="5" t="str">
        <f>IFERROR(INDEX('Malzeme Tanımlama'!$B$5:$B$300,MATCH(D1369,'Malzeme Tanımlama'!$A$5:$A$300,0)),"")</f>
        <v/>
      </c>
      <c r="F1369" s="2"/>
      <c r="G1369" s="5"/>
      <c r="H1369" s="5" t="str">
        <f>IFERROR(INDEX('Malzeme Tanımlama'!$D$5:$D$300,MATCH(D1369,'Malzeme Tanımlama'!$A$5:$A$300,0)),"")</f>
        <v/>
      </c>
      <c r="I1369" s="2"/>
      <c r="J1369" s="2"/>
      <c r="K1369" s="2"/>
    </row>
    <row r="1370" spans="1:11" x14ac:dyDescent="0.3">
      <c r="A1370" s="5" t="str">
        <f>IF(D1370="","",COUNTIF($D$5:D1370,"?*"))</f>
        <v/>
      </c>
      <c r="B1370" s="6"/>
      <c r="C1370" s="5" t="str">
        <f>IF(B1370="","",INDEX({"Ocak","Şubat","Mart","Nisan","Mayıs","Haziran","Temmuz","Ağustos","Eylül","Ekim","Kasım","Aralık"},MONTH(B1370)))</f>
        <v/>
      </c>
      <c r="D1370" s="2"/>
      <c r="E1370" s="5" t="str">
        <f>IFERROR(INDEX('Malzeme Tanımlama'!$B$5:$B$300,MATCH(D1370,'Malzeme Tanımlama'!$A$5:$A$300,0)),"")</f>
        <v/>
      </c>
      <c r="F1370" s="2"/>
      <c r="G1370" s="5"/>
      <c r="H1370" s="5" t="str">
        <f>IFERROR(INDEX('Malzeme Tanımlama'!$D$5:$D$300,MATCH(D1370,'Malzeme Tanımlama'!$A$5:$A$300,0)),"")</f>
        <v/>
      </c>
      <c r="I1370" s="2"/>
      <c r="J1370" s="2"/>
      <c r="K1370" s="2"/>
    </row>
    <row r="1371" spans="1:11" x14ac:dyDescent="0.3">
      <c r="A1371" s="5" t="str">
        <f>IF(D1371="","",COUNTIF($D$5:D1371,"?*"))</f>
        <v/>
      </c>
      <c r="B1371" s="6"/>
      <c r="C1371" s="5" t="str">
        <f>IF(B1371="","",INDEX({"Ocak","Şubat","Mart","Nisan","Mayıs","Haziran","Temmuz","Ağustos","Eylül","Ekim","Kasım","Aralık"},MONTH(B1371)))</f>
        <v/>
      </c>
      <c r="D1371" s="2"/>
      <c r="E1371" s="5" t="str">
        <f>IFERROR(INDEX('Malzeme Tanımlama'!$B$5:$B$300,MATCH(D1371,'Malzeme Tanımlama'!$A$5:$A$300,0)),"")</f>
        <v/>
      </c>
      <c r="F1371" s="2"/>
      <c r="G1371" s="5"/>
      <c r="H1371" s="5" t="str">
        <f>IFERROR(INDEX('Malzeme Tanımlama'!$D$5:$D$300,MATCH(D1371,'Malzeme Tanımlama'!$A$5:$A$300,0)),"")</f>
        <v/>
      </c>
      <c r="I1371" s="2"/>
      <c r="J1371" s="2"/>
      <c r="K1371" s="2"/>
    </row>
    <row r="1372" spans="1:11" x14ac:dyDescent="0.3">
      <c r="A1372" s="5" t="str">
        <f>IF(D1372="","",COUNTIF($D$5:D1372,"?*"))</f>
        <v/>
      </c>
      <c r="B1372" s="6"/>
      <c r="C1372" s="5" t="str">
        <f>IF(B1372="","",INDEX({"Ocak","Şubat","Mart","Nisan","Mayıs","Haziran","Temmuz","Ağustos","Eylül","Ekim","Kasım","Aralık"},MONTH(B1372)))</f>
        <v/>
      </c>
      <c r="D1372" s="2"/>
      <c r="E1372" s="5" t="str">
        <f>IFERROR(INDEX('Malzeme Tanımlama'!$B$5:$B$300,MATCH(D1372,'Malzeme Tanımlama'!$A$5:$A$300,0)),"")</f>
        <v/>
      </c>
      <c r="F1372" s="2"/>
      <c r="G1372" s="5"/>
      <c r="H1372" s="5" t="str">
        <f>IFERROR(INDEX('Malzeme Tanımlama'!$D$5:$D$300,MATCH(D1372,'Malzeme Tanımlama'!$A$5:$A$300,0)),"")</f>
        <v/>
      </c>
      <c r="I1372" s="2"/>
      <c r="J1372" s="2"/>
      <c r="K1372" s="2"/>
    </row>
    <row r="1373" spans="1:11" x14ac:dyDescent="0.3">
      <c r="A1373" s="5" t="str">
        <f>IF(D1373="","",COUNTIF($D$5:D1373,"?*"))</f>
        <v/>
      </c>
      <c r="B1373" s="6"/>
      <c r="C1373" s="5" t="str">
        <f>IF(B1373="","",INDEX({"Ocak","Şubat","Mart","Nisan","Mayıs","Haziran","Temmuz","Ağustos","Eylül","Ekim","Kasım","Aralık"},MONTH(B1373)))</f>
        <v/>
      </c>
      <c r="D1373" s="2"/>
      <c r="E1373" s="5" t="str">
        <f>IFERROR(INDEX('Malzeme Tanımlama'!$B$5:$B$300,MATCH(D1373,'Malzeme Tanımlama'!$A$5:$A$300,0)),"")</f>
        <v/>
      </c>
      <c r="F1373" s="2"/>
      <c r="G1373" s="5"/>
      <c r="H1373" s="5" t="str">
        <f>IFERROR(INDEX('Malzeme Tanımlama'!$D$5:$D$300,MATCH(D1373,'Malzeme Tanımlama'!$A$5:$A$300,0)),"")</f>
        <v/>
      </c>
      <c r="I1373" s="2"/>
      <c r="J1373" s="2"/>
      <c r="K1373" s="2"/>
    </row>
    <row r="1374" spans="1:11" x14ac:dyDescent="0.3">
      <c r="A1374" s="5" t="str">
        <f>IF(D1374="","",COUNTIF($D$5:D1374,"?*"))</f>
        <v/>
      </c>
      <c r="B1374" s="6"/>
      <c r="C1374" s="5" t="str">
        <f>IF(B1374="","",INDEX({"Ocak","Şubat","Mart","Nisan","Mayıs","Haziran","Temmuz","Ağustos","Eylül","Ekim","Kasım","Aralık"},MONTH(B1374)))</f>
        <v/>
      </c>
      <c r="D1374" s="2"/>
      <c r="E1374" s="5" t="str">
        <f>IFERROR(INDEX('Malzeme Tanımlama'!$B$5:$B$300,MATCH(D1374,'Malzeme Tanımlama'!$A$5:$A$300,0)),"")</f>
        <v/>
      </c>
      <c r="F1374" s="2"/>
      <c r="G1374" s="5"/>
      <c r="H1374" s="5" t="str">
        <f>IFERROR(INDEX('Malzeme Tanımlama'!$D$5:$D$300,MATCH(D1374,'Malzeme Tanımlama'!$A$5:$A$300,0)),"")</f>
        <v/>
      </c>
      <c r="I1374" s="2"/>
      <c r="J1374" s="2"/>
      <c r="K1374" s="2"/>
    </row>
    <row r="1375" spans="1:11" x14ac:dyDescent="0.3">
      <c r="A1375" s="5" t="str">
        <f>IF(D1375="","",COUNTIF($D$5:D1375,"?*"))</f>
        <v/>
      </c>
      <c r="B1375" s="6"/>
      <c r="C1375" s="5" t="str">
        <f>IF(B1375="","",INDEX({"Ocak","Şubat","Mart","Nisan","Mayıs","Haziran","Temmuz","Ağustos","Eylül","Ekim","Kasım","Aralık"},MONTH(B1375)))</f>
        <v/>
      </c>
      <c r="D1375" s="2"/>
      <c r="E1375" s="5" t="str">
        <f>IFERROR(INDEX('Malzeme Tanımlama'!$B$5:$B$300,MATCH(D1375,'Malzeme Tanımlama'!$A$5:$A$300,0)),"")</f>
        <v/>
      </c>
      <c r="F1375" s="2"/>
      <c r="G1375" s="5"/>
      <c r="H1375" s="5" t="str">
        <f>IFERROR(INDEX('Malzeme Tanımlama'!$D$5:$D$300,MATCH(D1375,'Malzeme Tanımlama'!$A$5:$A$300,0)),"")</f>
        <v/>
      </c>
      <c r="I1375" s="2"/>
      <c r="J1375" s="2"/>
      <c r="K1375" s="2"/>
    </row>
    <row r="1376" spans="1:11" x14ac:dyDescent="0.3">
      <c r="A1376" s="5" t="str">
        <f>IF(D1376="","",COUNTIF($D$5:D1376,"?*"))</f>
        <v/>
      </c>
      <c r="B1376" s="6"/>
      <c r="C1376" s="5" t="str">
        <f>IF(B1376="","",INDEX({"Ocak","Şubat","Mart","Nisan","Mayıs","Haziran","Temmuz","Ağustos","Eylül","Ekim","Kasım","Aralık"},MONTH(B1376)))</f>
        <v/>
      </c>
      <c r="D1376" s="2"/>
      <c r="E1376" s="5" t="str">
        <f>IFERROR(INDEX('Malzeme Tanımlama'!$B$5:$B$300,MATCH(D1376,'Malzeme Tanımlama'!$A$5:$A$300,0)),"")</f>
        <v/>
      </c>
      <c r="F1376" s="2"/>
      <c r="G1376" s="5"/>
      <c r="H1376" s="5" t="str">
        <f>IFERROR(INDEX('Malzeme Tanımlama'!$D$5:$D$300,MATCH(D1376,'Malzeme Tanımlama'!$A$5:$A$300,0)),"")</f>
        <v/>
      </c>
      <c r="I1376" s="2"/>
      <c r="J1376" s="2"/>
      <c r="K1376" s="2"/>
    </row>
    <row r="1377" spans="1:11" x14ac:dyDescent="0.3">
      <c r="A1377" s="5" t="str">
        <f>IF(D1377="","",COUNTIF($D$5:D1377,"?*"))</f>
        <v/>
      </c>
      <c r="B1377" s="6"/>
      <c r="C1377" s="5" t="str">
        <f>IF(B1377="","",INDEX({"Ocak","Şubat","Mart","Nisan","Mayıs","Haziran","Temmuz","Ağustos","Eylül","Ekim","Kasım","Aralık"},MONTH(B1377)))</f>
        <v/>
      </c>
      <c r="D1377" s="2"/>
      <c r="E1377" s="5" t="str">
        <f>IFERROR(INDEX('Malzeme Tanımlama'!$B$5:$B$300,MATCH(D1377,'Malzeme Tanımlama'!$A$5:$A$300,0)),"")</f>
        <v/>
      </c>
      <c r="F1377" s="2"/>
      <c r="G1377" s="5"/>
      <c r="H1377" s="5" t="str">
        <f>IFERROR(INDEX('Malzeme Tanımlama'!$D$5:$D$300,MATCH(D1377,'Malzeme Tanımlama'!$A$5:$A$300,0)),"")</f>
        <v/>
      </c>
      <c r="I1377" s="2"/>
      <c r="J1377" s="2"/>
      <c r="K1377" s="2"/>
    </row>
    <row r="1378" spans="1:11" x14ac:dyDescent="0.3">
      <c r="A1378" s="5" t="str">
        <f>IF(D1378="","",COUNTIF($D$5:D1378,"?*"))</f>
        <v/>
      </c>
      <c r="B1378" s="6"/>
      <c r="C1378" s="5" t="str">
        <f>IF(B1378="","",INDEX({"Ocak","Şubat","Mart","Nisan","Mayıs","Haziran","Temmuz","Ağustos","Eylül","Ekim","Kasım","Aralık"},MONTH(B1378)))</f>
        <v/>
      </c>
      <c r="D1378" s="2"/>
      <c r="E1378" s="5" t="str">
        <f>IFERROR(INDEX('Malzeme Tanımlama'!$B$5:$B$300,MATCH(D1378,'Malzeme Tanımlama'!$A$5:$A$300,0)),"")</f>
        <v/>
      </c>
      <c r="F1378" s="2"/>
      <c r="G1378" s="5"/>
      <c r="H1378" s="5" t="str">
        <f>IFERROR(INDEX('Malzeme Tanımlama'!$D$5:$D$300,MATCH(D1378,'Malzeme Tanımlama'!$A$5:$A$300,0)),"")</f>
        <v/>
      </c>
      <c r="I1378" s="2"/>
      <c r="J1378" s="2"/>
      <c r="K1378" s="2"/>
    </row>
    <row r="1379" spans="1:11" x14ac:dyDescent="0.3">
      <c r="A1379" s="5" t="str">
        <f>IF(D1379="","",COUNTIF($D$5:D1379,"?*"))</f>
        <v/>
      </c>
      <c r="B1379" s="6"/>
      <c r="C1379" s="5" t="str">
        <f>IF(B1379="","",INDEX({"Ocak","Şubat","Mart","Nisan","Mayıs","Haziran","Temmuz","Ağustos","Eylül","Ekim","Kasım","Aralık"},MONTH(B1379)))</f>
        <v/>
      </c>
      <c r="D1379" s="2"/>
      <c r="E1379" s="5" t="str">
        <f>IFERROR(INDEX('Malzeme Tanımlama'!$B$5:$B$300,MATCH(D1379,'Malzeme Tanımlama'!$A$5:$A$300,0)),"")</f>
        <v/>
      </c>
      <c r="F1379" s="2"/>
      <c r="G1379" s="5"/>
      <c r="H1379" s="5" t="str">
        <f>IFERROR(INDEX('Malzeme Tanımlama'!$D$5:$D$300,MATCH(D1379,'Malzeme Tanımlama'!$A$5:$A$300,0)),"")</f>
        <v/>
      </c>
      <c r="I1379" s="2"/>
      <c r="J1379" s="2"/>
      <c r="K1379" s="2"/>
    </row>
    <row r="1380" spans="1:11" x14ac:dyDescent="0.3">
      <c r="A1380" s="5" t="str">
        <f>IF(D1380="","",COUNTIF($D$5:D1380,"?*"))</f>
        <v/>
      </c>
      <c r="B1380" s="6"/>
      <c r="C1380" s="5" t="str">
        <f>IF(B1380="","",INDEX({"Ocak","Şubat","Mart","Nisan","Mayıs","Haziran","Temmuz","Ağustos","Eylül","Ekim","Kasım","Aralık"},MONTH(B1380)))</f>
        <v/>
      </c>
      <c r="D1380" s="2"/>
      <c r="E1380" s="5" t="str">
        <f>IFERROR(INDEX('Malzeme Tanımlama'!$B$5:$B$300,MATCH(D1380,'Malzeme Tanımlama'!$A$5:$A$300,0)),"")</f>
        <v/>
      </c>
      <c r="F1380" s="2"/>
      <c r="G1380" s="5"/>
      <c r="H1380" s="5" t="str">
        <f>IFERROR(INDEX('Malzeme Tanımlama'!$D$5:$D$300,MATCH(D1380,'Malzeme Tanımlama'!$A$5:$A$300,0)),"")</f>
        <v/>
      </c>
      <c r="I1380" s="2"/>
      <c r="J1380" s="2"/>
      <c r="K1380" s="2"/>
    </row>
    <row r="1381" spans="1:11" x14ac:dyDescent="0.3">
      <c r="A1381" s="5" t="str">
        <f>IF(D1381="","",COUNTIF($D$5:D1381,"?*"))</f>
        <v/>
      </c>
      <c r="B1381" s="6"/>
      <c r="C1381" s="5" t="str">
        <f>IF(B1381="","",INDEX({"Ocak","Şubat","Mart","Nisan","Mayıs","Haziran","Temmuz","Ağustos","Eylül","Ekim","Kasım","Aralık"},MONTH(B1381)))</f>
        <v/>
      </c>
      <c r="D1381" s="2"/>
      <c r="E1381" s="5" t="str">
        <f>IFERROR(INDEX('Malzeme Tanımlama'!$B$5:$B$300,MATCH(D1381,'Malzeme Tanımlama'!$A$5:$A$300,0)),"")</f>
        <v/>
      </c>
      <c r="F1381" s="2"/>
      <c r="G1381" s="5"/>
      <c r="H1381" s="5" t="str">
        <f>IFERROR(INDEX('Malzeme Tanımlama'!$D$5:$D$300,MATCH(D1381,'Malzeme Tanımlama'!$A$5:$A$300,0)),"")</f>
        <v/>
      </c>
      <c r="I1381" s="2"/>
      <c r="J1381" s="2"/>
      <c r="K1381" s="2"/>
    </row>
    <row r="1382" spans="1:11" x14ac:dyDescent="0.3">
      <c r="A1382" s="5" t="str">
        <f>IF(D1382="","",COUNTIF($D$5:D1382,"?*"))</f>
        <v/>
      </c>
      <c r="B1382" s="6"/>
      <c r="C1382" s="5" t="str">
        <f>IF(B1382="","",INDEX({"Ocak","Şubat","Mart","Nisan","Mayıs","Haziran","Temmuz","Ağustos","Eylül","Ekim","Kasım","Aralık"},MONTH(B1382)))</f>
        <v/>
      </c>
      <c r="D1382" s="2"/>
      <c r="E1382" s="5" t="str">
        <f>IFERROR(INDEX('Malzeme Tanımlama'!$B$5:$B$300,MATCH(D1382,'Malzeme Tanımlama'!$A$5:$A$300,0)),"")</f>
        <v/>
      </c>
      <c r="F1382" s="2"/>
      <c r="G1382" s="5"/>
      <c r="H1382" s="5" t="str">
        <f>IFERROR(INDEX('Malzeme Tanımlama'!$D$5:$D$300,MATCH(D1382,'Malzeme Tanımlama'!$A$5:$A$300,0)),"")</f>
        <v/>
      </c>
      <c r="I1382" s="2"/>
      <c r="J1382" s="2"/>
      <c r="K1382" s="2"/>
    </row>
    <row r="1383" spans="1:11" x14ac:dyDescent="0.3">
      <c r="A1383" s="5" t="str">
        <f>IF(D1383="","",COUNTIF($D$5:D1383,"?*"))</f>
        <v/>
      </c>
      <c r="B1383" s="6"/>
      <c r="C1383" s="5" t="str">
        <f>IF(B1383="","",INDEX({"Ocak","Şubat","Mart","Nisan","Mayıs","Haziran","Temmuz","Ağustos","Eylül","Ekim","Kasım","Aralık"},MONTH(B1383)))</f>
        <v/>
      </c>
      <c r="D1383" s="2"/>
      <c r="E1383" s="5" t="str">
        <f>IFERROR(INDEX('Malzeme Tanımlama'!$B$5:$B$300,MATCH(D1383,'Malzeme Tanımlama'!$A$5:$A$300,0)),"")</f>
        <v/>
      </c>
      <c r="F1383" s="2"/>
      <c r="G1383" s="5"/>
      <c r="H1383" s="5" t="str">
        <f>IFERROR(INDEX('Malzeme Tanımlama'!$D$5:$D$300,MATCH(D1383,'Malzeme Tanımlama'!$A$5:$A$300,0)),"")</f>
        <v/>
      </c>
      <c r="I1383" s="2"/>
      <c r="J1383" s="2"/>
      <c r="K1383" s="2"/>
    </row>
    <row r="1384" spans="1:11" x14ac:dyDescent="0.3">
      <c r="A1384" s="5" t="str">
        <f>IF(D1384="","",COUNTIF($D$5:D1384,"?*"))</f>
        <v/>
      </c>
      <c r="B1384" s="6"/>
      <c r="C1384" s="5" t="str">
        <f>IF(B1384="","",INDEX({"Ocak","Şubat","Mart","Nisan","Mayıs","Haziran","Temmuz","Ağustos","Eylül","Ekim","Kasım","Aralık"},MONTH(B1384)))</f>
        <v/>
      </c>
      <c r="D1384" s="2"/>
      <c r="E1384" s="5" t="str">
        <f>IFERROR(INDEX('Malzeme Tanımlama'!$B$5:$B$300,MATCH(D1384,'Malzeme Tanımlama'!$A$5:$A$300,0)),"")</f>
        <v/>
      </c>
      <c r="F1384" s="2"/>
      <c r="G1384" s="5"/>
      <c r="H1384" s="5" t="str">
        <f>IFERROR(INDEX('Malzeme Tanımlama'!$D$5:$D$300,MATCH(D1384,'Malzeme Tanımlama'!$A$5:$A$300,0)),"")</f>
        <v/>
      </c>
      <c r="I1384" s="2"/>
      <c r="J1384" s="2"/>
      <c r="K1384" s="2"/>
    </row>
    <row r="1385" spans="1:11" x14ac:dyDescent="0.3">
      <c r="A1385" s="5" t="str">
        <f>IF(D1385="","",COUNTIF($D$5:D1385,"?*"))</f>
        <v/>
      </c>
      <c r="B1385" s="6"/>
      <c r="C1385" s="5" t="str">
        <f>IF(B1385="","",INDEX({"Ocak","Şubat","Mart","Nisan","Mayıs","Haziran","Temmuz","Ağustos","Eylül","Ekim","Kasım","Aralık"},MONTH(B1385)))</f>
        <v/>
      </c>
      <c r="D1385" s="2"/>
      <c r="E1385" s="5" t="str">
        <f>IFERROR(INDEX('Malzeme Tanımlama'!$B$5:$B$300,MATCH(D1385,'Malzeme Tanımlama'!$A$5:$A$300,0)),"")</f>
        <v/>
      </c>
      <c r="F1385" s="2"/>
      <c r="G1385" s="5"/>
      <c r="H1385" s="5" t="str">
        <f>IFERROR(INDEX('Malzeme Tanımlama'!$D$5:$D$300,MATCH(D1385,'Malzeme Tanımlama'!$A$5:$A$300,0)),"")</f>
        <v/>
      </c>
      <c r="I1385" s="2"/>
      <c r="J1385" s="2"/>
      <c r="K1385" s="2"/>
    </row>
    <row r="1386" spans="1:11" x14ac:dyDescent="0.3">
      <c r="A1386" s="5" t="str">
        <f>IF(D1386="","",COUNTIF($D$5:D1386,"?*"))</f>
        <v/>
      </c>
      <c r="B1386" s="6"/>
      <c r="C1386" s="5" t="str">
        <f>IF(B1386="","",INDEX({"Ocak","Şubat","Mart","Nisan","Mayıs","Haziran","Temmuz","Ağustos","Eylül","Ekim","Kasım","Aralık"},MONTH(B1386)))</f>
        <v/>
      </c>
      <c r="D1386" s="2"/>
      <c r="E1386" s="5" t="str">
        <f>IFERROR(INDEX('Malzeme Tanımlama'!$B$5:$B$300,MATCH(D1386,'Malzeme Tanımlama'!$A$5:$A$300,0)),"")</f>
        <v/>
      </c>
      <c r="F1386" s="2"/>
      <c r="G1386" s="5"/>
      <c r="H1386" s="5" t="str">
        <f>IFERROR(INDEX('Malzeme Tanımlama'!$D$5:$D$300,MATCH(D1386,'Malzeme Tanımlama'!$A$5:$A$300,0)),"")</f>
        <v/>
      </c>
      <c r="I1386" s="2"/>
      <c r="J1386" s="2"/>
      <c r="K1386" s="2"/>
    </row>
    <row r="1387" spans="1:11" x14ac:dyDescent="0.3">
      <c r="A1387" s="5" t="str">
        <f>IF(D1387="","",COUNTIF($D$5:D1387,"?*"))</f>
        <v/>
      </c>
      <c r="B1387" s="6"/>
      <c r="C1387" s="5" t="str">
        <f>IF(B1387="","",INDEX({"Ocak","Şubat","Mart","Nisan","Mayıs","Haziran","Temmuz","Ağustos","Eylül","Ekim","Kasım","Aralık"},MONTH(B1387)))</f>
        <v/>
      </c>
      <c r="D1387" s="2"/>
      <c r="E1387" s="5" t="str">
        <f>IFERROR(INDEX('Malzeme Tanımlama'!$B$5:$B$300,MATCH(D1387,'Malzeme Tanımlama'!$A$5:$A$300,0)),"")</f>
        <v/>
      </c>
      <c r="F1387" s="2"/>
      <c r="G1387" s="5"/>
      <c r="H1387" s="5" t="str">
        <f>IFERROR(INDEX('Malzeme Tanımlama'!$D$5:$D$300,MATCH(D1387,'Malzeme Tanımlama'!$A$5:$A$300,0)),"")</f>
        <v/>
      </c>
      <c r="I1387" s="2"/>
      <c r="J1387" s="2"/>
      <c r="K1387" s="2"/>
    </row>
    <row r="1388" spans="1:11" x14ac:dyDescent="0.3">
      <c r="A1388" s="5" t="str">
        <f>IF(D1388="","",COUNTIF($D$5:D1388,"?*"))</f>
        <v/>
      </c>
      <c r="B1388" s="6"/>
      <c r="C1388" s="5" t="str">
        <f>IF(B1388="","",INDEX({"Ocak","Şubat","Mart","Nisan","Mayıs","Haziran","Temmuz","Ağustos","Eylül","Ekim","Kasım","Aralık"},MONTH(B1388)))</f>
        <v/>
      </c>
      <c r="D1388" s="2"/>
      <c r="E1388" s="5" t="str">
        <f>IFERROR(INDEX('Malzeme Tanımlama'!$B$5:$B$300,MATCH(D1388,'Malzeme Tanımlama'!$A$5:$A$300,0)),"")</f>
        <v/>
      </c>
      <c r="F1388" s="2"/>
      <c r="G1388" s="5"/>
      <c r="H1388" s="5" t="str">
        <f>IFERROR(INDEX('Malzeme Tanımlama'!$D$5:$D$300,MATCH(D1388,'Malzeme Tanımlama'!$A$5:$A$300,0)),"")</f>
        <v/>
      </c>
      <c r="I1388" s="2"/>
      <c r="J1388" s="2"/>
      <c r="K1388" s="2"/>
    </row>
    <row r="1389" spans="1:11" x14ac:dyDescent="0.3">
      <c r="A1389" s="5" t="str">
        <f>IF(D1389="","",COUNTIF($D$5:D1389,"?*"))</f>
        <v/>
      </c>
      <c r="B1389" s="6"/>
      <c r="C1389" s="5" t="str">
        <f>IF(B1389="","",INDEX({"Ocak","Şubat","Mart","Nisan","Mayıs","Haziran","Temmuz","Ağustos","Eylül","Ekim","Kasım","Aralık"},MONTH(B1389)))</f>
        <v/>
      </c>
      <c r="D1389" s="2"/>
      <c r="E1389" s="5" t="str">
        <f>IFERROR(INDEX('Malzeme Tanımlama'!$B$5:$B$300,MATCH(D1389,'Malzeme Tanımlama'!$A$5:$A$300,0)),"")</f>
        <v/>
      </c>
      <c r="F1389" s="2"/>
      <c r="G1389" s="5"/>
      <c r="H1389" s="5" t="str">
        <f>IFERROR(INDEX('Malzeme Tanımlama'!$D$5:$D$300,MATCH(D1389,'Malzeme Tanımlama'!$A$5:$A$300,0)),"")</f>
        <v/>
      </c>
      <c r="I1389" s="2"/>
      <c r="J1389" s="2"/>
      <c r="K1389" s="2"/>
    </row>
    <row r="1390" spans="1:11" x14ac:dyDescent="0.3">
      <c r="A1390" s="5" t="str">
        <f>IF(D1390="","",COUNTIF($D$5:D1390,"?*"))</f>
        <v/>
      </c>
      <c r="B1390" s="6"/>
      <c r="C1390" s="5" t="str">
        <f>IF(B1390="","",INDEX({"Ocak","Şubat","Mart","Nisan","Mayıs","Haziran","Temmuz","Ağustos","Eylül","Ekim","Kasım","Aralık"},MONTH(B1390)))</f>
        <v/>
      </c>
      <c r="D1390" s="2"/>
      <c r="E1390" s="5" t="str">
        <f>IFERROR(INDEX('Malzeme Tanımlama'!$B$5:$B$300,MATCH(D1390,'Malzeme Tanımlama'!$A$5:$A$300,0)),"")</f>
        <v/>
      </c>
      <c r="F1390" s="2"/>
      <c r="G1390" s="5"/>
      <c r="H1390" s="5" t="str">
        <f>IFERROR(INDEX('Malzeme Tanımlama'!$D$5:$D$300,MATCH(D1390,'Malzeme Tanımlama'!$A$5:$A$300,0)),"")</f>
        <v/>
      </c>
      <c r="I1390" s="2"/>
      <c r="J1390" s="2"/>
      <c r="K1390" s="2"/>
    </row>
    <row r="1391" spans="1:11" x14ac:dyDescent="0.3">
      <c r="A1391" s="5" t="str">
        <f>IF(D1391="","",COUNTIF($D$5:D1391,"?*"))</f>
        <v/>
      </c>
      <c r="B1391" s="6"/>
      <c r="C1391" s="5" t="str">
        <f>IF(B1391="","",INDEX({"Ocak","Şubat","Mart","Nisan","Mayıs","Haziran","Temmuz","Ağustos","Eylül","Ekim","Kasım","Aralık"},MONTH(B1391)))</f>
        <v/>
      </c>
      <c r="D1391" s="2"/>
      <c r="E1391" s="5" t="str">
        <f>IFERROR(INDEX('Malzeme Tanımlama'!$B$5:$B$300,MATCH(D1391,'Malzeme Tanımlama'!$A$5:$A$300,0)),"")</f>
        <v/>
      </c>
      <c r="F1391" s="2"/>
      <c r="G1391" s="5"/>
      <c r="H1391" s="5" t="str">
        <f>IFERROR(INDEX('Malzeme Tanımlama'!$D$5:$D$300,MATCH(D1391,'Malzeme Tanımlama'!$A$5:$A$300,0)),"")</f>
        <v/>
      </c>
      <c r="I1391" s="2"/>
      <c r="J1391" s="2"/>
      <c r="K1391" s="2"/>
    </row>
    <row r="1392" spans="1:11" x14ac:dyDescent="0.3">
      <c r="A1392" s="5" t="str">
        <f>IF(D1392="","",COUNTIF($D$5:D1392,"?*"))</f>
        <v/>
      </c>
      <c r="B1392" s="6"/>
      <c r="C1392" s="5" t="str">
        <f>IF(B1392="","",INDEX({"Ocak","Şubat","Mart","Nisan","Mayıs","Haziran","Temmuz","Ağustos","Eylül","Ekim","Kasım","Aralık"},MONTH(B1392)))</f>
        <v/>
      </c>
      <c r="D1392" s="2"/>
      <c r="E1392" s="5" t="str">
        <f>IFERROR(INDEX('Malzeme Tanımlama'!$B$5:$B$300,MATCH(D1392,'Malzeme Tanımlama'!$A$5:$A$300,0)),"")</f>
        <v/>
      </c>
      <c r="F1392" s="2"/>
      <c r="G1392" s="5"/>
      <c r="H1392" s="5" t="str">
        <f>IFERROR(INDEX('Malzeme Tanımlama'!$D$5:$D$300,MATCH(D1392,'Malzeme Tanımlama'!$A$5:$A$300,0)),"")</f>
        <v/>
      </c>
      <c r="I1392" s="2"/>
      <c r="J1392" s="2"/>
      <c r="K1392" s="2"/>
    </row>
    <row r="1393" spans="1:11" x14ac:dyDescent="0.3">
      <c r="A1393" s="5" t="str">
        <f>IF(D1393="","",COUNTIF($D$5:D1393,"?*"))</f>
        <v/>
      </c>
      <c r="B1393" s="6"/>
      <c r="C1393" s="5" t="str">
        <f>IF(B1393="","",INDEX({"Ocak","Şubat","Mart","Nisan","Mayıs","Haziran","Temmuz","Ağustos","Eylül","Ekim","Kasım","Aralık"},MONTH(B1393)))</f>
        <v/>
      </c>
      <c r="D1393" s="2"/>
      <c r="E1393" s="5" t="str">
        <f>IFERROR(INDEX('Malzeme Tanımlama'!$B$5:$B$300,MATCH(D1393,'Malzeme Tanımlama'!$A$5:$A$300,0)),"")</f>
        <v/>
      </c>
      <c r="F1393" s="2"/>
      <c r="G1393" s="5"/>
      <c r="H1393" s="5" t="str">
        <f>IFERROR(INDEX('Malzeme Tanımlama'!$D$5:$D$300,MATCH(D1393,'Malzeme Tanımlama'!$A$5:$A$300,0)),"")</f>
        <v/>
      </c>
      <c r="I1393" s="2"/>
      <c r="J1393" s="2"/>
      <c r="K1393" s="2"/>
    </row>
    <row r="1394" spans="1:11" x14ac:dyDescent="0.3">
      <c r="A1394" s="5" t="str">
        <f>IF(D1394="","",COUNTIF($D$5:D1394,"?*"))</f>
        <v/>
      </c>
      <c r="B1394" s="6"/>
      <c r="C1394" s="5" t="str">
        <f>IF(B1394="","",INDEX({"Ocak","Şubat","Mart","Nisan","Mayıs","Haziran","Temmuz","Ağustos","Eylül","Ekim","Kasım","Aralık"},MONTH(B1394)))</f>
        <v/>
      </c>
      <c r="D1394" s="2"/>
      <c r="E1394" s="5" t="str">
        <f>IFERROR(INDEX('Malzeme Tanımlama'!$B$5:$B$300,MATCH(D1394,'Malzeme Tanımlama'!$A$5:$A$300,0)),"")</f>
        <v/>
      </c>
      <c r="F1394" s="2"/>
      <c r="G1394" s="5"/>
      <c r="H1394" s="5" t="str">
        <f>IFERROR(INDEX('Malzeme Tanımlama'!$D$5:$D$300,MATCH(D1394,'Malzeme Tanımlama'!$A$5:$A$300,0)),"")</f>
        <v/>
      </c>
      <c r="I1394" s="2"/>
      <c r="J1394" s="2"/>
      <c r="K1394" s="2"/>
    </row>
    <row r="1395" spans="1:11" x14ac:dyDescent="0.3">
      <c r="A1395" s="5" t="str">
        <f>IF(D1395="","",COUNTIF($D$5:D1395,"?*"))</f>
        <v/>
      </c>
      <c r="B1395" s="6"/>
      <c r="C1395" s="5" t="str">
        <f>IF(B1395="","",INDEX({"Ocak","Şubat","Mart","Nisan","Mayıs","Haziran","Temmuz","Ağustos","Eylül","Ekim","Kasım","Aralık"},MONTH(B1395)))</f>
        <v/>
      </c>
      <c r="D1395" s="2"/>
      <c r="E1395" s="5" t="str">
        <f>IFERROR(INDEX('Malzeme Tanımlama'!$B$5:$B$300,MATCH(D1395,'Malzeme Tanımlama'!$A$5:$A$300,0)),"")</f>
        <v/>
      </c>
      <c r="F1395" s="2"/>
      <c r="G1395" s="5"/>
      <c r="H1395" s="5" t="str">
        <f>IFERROR(INDEX('Malzeme Tanımlama'!$D$5:$D$300,MATCH(D1395,'Malzeme Tanımlama'!$A$5:$A$300,0)),"")</f>
        <v/>
      </c>
      <c r="I1395" s="2"/>
      <c r="J1395" s="2"/>
      <c r="K1395" s="2"/>
    </row>
    <row r="1396" spans="1:11" x14ac:dyDescent="0.3">
      <c r="A1396" s="5" t="str">
        <f>IF(D1396="","",COUNTIF($D$5:D1396,"?*"))</f>
        <v/>
      </c>
      <c r="B1396" s="6"/>
      <c r="C1396" s="5" t="str">
        <f>IF(B1396="","",INDEX({"Ocak","Şubat","Mart","Nisan","Mayıs","Haziran","Temmuz","Ağustos","Eylül","Ekim","Kasım","Aralık"},MONTH(B1396)))</f>
        <v/>
      </c>
      <c r="D1396" s="2"/>
      <c r="E1396" s="5" t="str">
        <f>IFERROR(INDEX('Malzeme Tanımlama'!$B$5:$B$300,MATCH(D1396,'Malzeme Tanımlama'!$A$5:$A$300,0)),"")</f>
        <v/>
      </c>
      <c r="F1396" s="2"/>
      <c r="G1396" s="5"/>
      <c r="H1396" s="5" t="str">
        <f>IFERROR(INDEX('Malzeme Tanımlama'!$D$5:$D$300,MATCH(D1396,'Malzeme Tanımlama'!$A$5:$A$300,0)),"")</f>
        <v/>
      </c>
      <c r="I1396" s="2"/>
      <c r="J1396" s="2"/>
      <c r="K1396" s="2"/>
    </row>
    <row r="1397" spans="1:11" x14ac:dyDescent="0.3">
      <c r="A1397" s="5" t="str">
        <f>IF(D1397="","",COUNTIF($D$5:D1397,"?*"))</f>
        <v/>
      </c>
      <c r="B1397" s="6"/>
      <c r="C1397" s="5" t="str">
        <f>IF(B1397="","",INDEX({"Ocak","Şubat","Mart","Nisan","Mayıs","Haziran","Temmuz","Ağustos","Eylül","Ekim","Kasım","Aralık"},MONTH(B1397)))</f>
        <v/>
      </c>
      <c r="D1397" s="2"/>
      <c r="E1397" s="5" t="str">
        <f>IFERROR(INDEX('Malzeme Tanımlama'!$B$5:$B$300,MATCH(D1397,'Malzeme Tanımlama'!$A$5:$A$300,0)),"")</f>
        <v/>
      </c>
      <c r="F1397" s="2"/>
      <c r="G1397" s="5"/>
      <c r="H1397" s="5" t="str">
        <f>IFERROR(INDEX('Malzeme Tanımlama'!$D$5:$D$300,MATCH(D1397,'Malzeme Tanımlama'!$A$5:$A$300,0)),"")</f>
        <v/>
      </c>
      <c r="I1397" s="2"/>
      <c r="J1397" s="2"/>
      <c r="K1397" s="2"/>
    </row>
    <row r="1398" spans="1:11" x14ac:dyDescent="0.3">
      <c r="A1398" s="5" t="str">
        <f>IF(D1398="","",COUNTIF($D$5:D1398,"?*"))</f>
        <v/>
      </c>
      <c r="B1398" s="6"/>
      <c r="C1398" s="5" t="str">
        <f>IF(B1398="","",INDEX({"Ocak","Şubat","Mart","Nisan","Mayıs","Haziran","Temmuz","Ağustos","Eylül","Ekim","Kasım","Aralık"},MONTH(B1398)))</f>
        <v/>
      </c>
      <c r="D1398" s="2"/>
      <c r="E1398" s="5" t="str">
        <f>IFERROR(INDEX('Malzeme Tanımlama'!$B$5:$B$300,MATCH(D1398,'Malzeme Tanımlama'!$A$5:$A$300,0)),"")</f>
        <v/>
      </c>
      <c r="F1398" s="2"/>
      <c r="G1398" s="5"/>
      <c r="H1398" s="5" t="str">
        <f>IFERROR(INDEX('Malzeme Tanımlama'!$D$5:$D$300,MATCH(D1398,'Malzeme Tanımlama'!$A$5:$A$300,0)),"")</f>
        <v/>
      </c>
      <c r="I1398" s="2"/>
      <c r="J1398" s="2"/>
      <c r="K1398" s="2"/>
    </row>
    <row r="1399" spans="1:11" x14ac:dyDescent="0.3">
      <c r="A1399" s="5" t="str">
        <f>IF(D1399="","",COUNTIF($D$5:D1399,"?*"))</f>
        <v/>
      </c>
      <c r="B1399" s="6"/>
      <c r="C1399" s="5" t="str">
        <f>IF(B1399="","",INDEX({"Ocak","Şubat","Mart","Nisan","Mayıs","Haziran","Temmuz","Ağustos","Eylül","Ekim","Kasım","Aralık"},MONTH(B1399)))</f>
        <v/>
      </c>
      <c r="D1399" s="2"/>
      <c r="E1399" s="5" t="str">
        <f>IFERROR(INDEX('Malzeme Tanımlama'!$B$5:$B$300,MATCH(D1399,'Malzeme Tanımlama'!$A$5:$A$300,0)),"")</f>
        <v/>
      </c>
      <c r="F1399" s="2"/>
      <c r="G1399" s="5"/>
      <c r="H1399" s="5" t="str">
        <f>IFERROR(INDEX('Malzeme Tanımlama'!$D$5:$D$300,MATCH(D1399,'Malzeme Tanımlama'!$A$5:$A$300,0)),"")</f>
        <v/>
      </c>
      <c r="I1399" s="2"/>
      <c r="J1399" s="2"/>
      <c r="K1399" s="2"/>
    </row>
    <row r="1400" spans="1:11" x14ac:dyDescent="0.3">
      <c r="A1400" s="5" t="str">
        <f>IF(D1400="","",COUNTIF($D$5:D1400,"?*"))</f>
        <v/>
      </c>
      <c r="B1400" s="6"/>
      <c r="C1400" s="5" t="str">
        <f>IF(B1400="","",INDEX({"Ocak","Şubat","Mart","Nisan","Mayıs","Haziran","Temmuz","Ağustos","Eylül","Ekim","Kasım","Aralık"},MONTH(B1400)))</f>
        <v/>
      </c>
      <c r="D1400" s="2"/>
      <c r="E1400" s="5" t="str">
        <f>IFERROR(INDEX('Malzeme Tanımlama'!$B$5:$B$300,MATCH(D1400,'Malzeme Tanımlama'!$A$5:$A$300,0)),"")</f>
        <v/>
      </c>
      <c r="F1400" s="2"/>
      <c r="G1400" s="5"/>
      <c r="H1400" s="5" t="str">
        <f>IFERROR(INDEX('Malzeme Tanımlama'!$D$5:$D$300,MATCH(D1400,'Malzeme Tanımlama'!$A$5:$A$300,0)),"")</f>
        <v/>
      </c>
      <c r="I1400" s="2"/>
      <c r="J1400" s="2"/>
      <c r="K1400" s="2"/>
    </row>
    <row r="1401" spans="1:11" x14ac:dyDescent="0.3">
      <c r="A1401" s="5" t="str">
        <f>IF(D1401="","",COUNTIF($D$5:D1401,"?*"))</f>
        <v/>
      </c>
      <c r="B1401" s="6"/>
      <c r="C1401" s="5" t="str">
        <f>IF(B1401="","",INDEX({"Ocak","Şubat","Mart","Nisan","Mayıs","Haziran","Temmuz","Ağustos","Eylül","Ekim","Kasım","Aralık"},MONTH(B1401)))</f>
        <v/>
      </c>
      <c r="D1401" s="2"/>
      <c r="E1401" s="5" t="str">
        <f>IFERROR(INDEX('Malzeme Tanımlama'!$B$5:$B$300,MATCH(D1401,'Malzeme Tanımlama'!$A$5:$A$300,0)),"")</f>
        <v/>
      </c>
      <c r="F1401" s="2"/>
      <c r="G1401" s="5"/>
      <c r="H1401" s="5" t="str">
        <f>IFERROR(INDEX('Malzeme Tanımlama'!$D$5:$D$300,MATCH(D1401,'Malzeme Tanımlama'!$A$5:$A$300,0)),"")</f>
        <v/>
      </c>
      <c r="I1401" s="2"/>
      <c r="J1401" s="2"/>
      <c r="K1401" s="2"/>
    </row>
    <row r="1402" spans="1:11" x14ac:dyDescent="0.3">
      <c r="A1402" s="5" t="str">
        <f>IF(D1402="","",COUNTIF($D$5:D1402,"?*"))</f>
        <v/>
      </c>
      <c r="B1402" s="6"/>
      <c r="C1402" s="5" t="str">
        <f>IF(B1402="","",INDEX({"Ocak","Şubat","Mart","Nisan","Mayıs","Haziran","Temmuz","Ağustos","Eylül","Ekim","Kasım","Aralık"},MONTH(B1402)))</f>
        <v/>
      </c>
      <c r="D1402" s="2"/>
      <c r="E1402" s="5" t="str">
        <f>IFERROR(INDEX('Malzeme Tanımlama'!$B$5:$B$300,MATCH(D1402,'Malzeme Tanımlama'!$A$5:$A$300,0)),"")</f>
        <v/>
      </c>
      <c r="F1402" s="2"/>
      <c r="G1402" s="5"/>
      <c r="H1402" s="5" t="str">
        <f>IFERROR(INDEX('Malzeme Tanımlama'!$D$5:$D$300,MATCH(D1402,'Malzeme Tanımlama'!$A$5:$A$300,0)),"")</f>
        <v/>
      </c>
      <c r="I1402" s="2"/>
      <c r="J1402" s="2"/>
      <c r="K1402" s="2"/>
    </row>
    <row r="1403" spans="1:11" x14ac:dyDescent="0.3">
      <c r="A1403" s="5" t="str">
        <f>IF(D1403="","",COUNTIF($D$5:D1403,"?*"))</f>
        <v/>
      </c>
      <c r="B1403" s="6"/>
      <c r="C1403" s="5" t="str">
        <f>IF(B1403="","",INDEX({"Ocak","Şubat","Mart","Nisan","Mayıs","Haziran","Temmuz","Ağustos","Eylül","Ekim","Kasım","Aralık"},MONTH(B1403)))</f>
        <v/>
      </c>
      <c r="D1403" s="2"/>
      <c r="E1403" s="5" t="str">
        <f>IFERROR(INDEX('Malzeme Tanımlama'!$B$5:$B$300,MATCH(D1403,'Malzeme Tanımlama'!$A$5:$A$300,0)),"")</f>
        <v/>
      </c>
      <c r="F1403" s="2"/>
      <c r="G1403" s="5"/>
      <c r="H1403" s="5" t="str">
        <f>IFERROR(INDEX('Malzeme Tanımlama'!$D$5:$D$300,MATCH(D1403,'Malzeme Tanımlama'!$A$5:$A$300,0)),"")</f>
        <v/>
      </c>
      <c r="I1403" s="2"/>
      <c r="J1403" s="2"/>
      <c r="K1403" s="2"/>
    </row>
    <row r="1404" spans="1:11" x14ac:dyDescent="0.3">
      <c r="A1404" s="5" t="str">
        <f>IF(D1404="","",COUNTIF($D$5:D1404,"?*"))</f>
        <v/>
      </c>
      <c r="B1404" s="6"/>
      <c r="C1404" s="5" t="str">
        <f>IF(B1404="","",INDEX({"Ocak","Şubat","Mart","Nisan","Mayıs","Haziran","Temmuz","Ağustos","Eylül","Ekim","Kasım","Aralık"},MONTH(B1404)))</f>
        <v/>
      </c>
      <c r="D1404" s="2"/>
      <c r="E1404" s="5" t="str">
        <f>IFERROR(INDEX('Malzeme Tanımlama'!$B$5:$B$300,MATCH(D1404,'Malzeme Tanımlama'!$A$5:$A$300,0)),"")</f>
        <v/>
      </c>
      <c r="F1404" s="2"/>
      <c r="G1404" s="5"/>
      <c r="H1404" s="5" t="str">
        <f>IFERROR(INDEX('Malzeme Tanımlama'!$D$5:$D$300,MATCH(D1404,'Malzeme Tanımlama'!$A$5:$A$300,0)),"")</f>
        <v/>
      </c>
      <c r="I1404" s="2"/>
      <c r="J1404" s="2"/>
      <c r="K1404" s="2"/>
    </row>
    <row r="1405" spans="1:11" x14ac:dyDescent="0.3">
      <c r="A1405" s="5" t="str">
        <f>IF(D1405="","",COUNTIF($D$5:D1405,"?*"))</f>
        <v/>
      </c>
      <c r="B1405" s="6"/>
      <c r="C1405" s="5" t="str">
        <f>IF(B1405="","",INDEX({"Ocak","Şubat","Mart","Nisan","Mayıs","Haziran","Temmuz","Ağustos","Eylül","Ekim","Kasım","Aralık"},MONTH(B1405)))</f>
        <v/>
      </c>
      <c r="D1405" s="2"/>
      <c r="E1405" s="5" t="str">
        <f>IFERROR(INDEX('Malzeme Tanımlama'!$B$5:$B$300,MATCH(D1405,'Malzeme Tanımlama'!$A$5:$A$300,0)),"")</f>
        <v/>
      </c>
      <c r="F1405" s="2"/>
      <c r="G1405" s="5"/>
      <c r="H1405" s="5" t="str">
        <f>IFERROR(INDEX('Malzeme Tanımlama'!$D$5:$D$300,MATCH(D1405,'Malzeme Tanımlama'!$A$5:$A$300,0)),"")</f>
        <v/>
      </c>
      <c r="I1405" s="2"/>
      <c r="J1405" s="2"/>
      <c r="K1405" s="2"/>
    </row>
    <row r="1406" spans="1:11" x14ac:dyDescent="0.3">
      <c r="A1406" s="5" t="str">
        <f>IF(D1406="","",COUNTIF($D$5:D1406,"?*"))</f>
        <v/>
      </c>
      <c r="B1406" s="6"/>
      <c r="C1406" s="5" t="str">
        <f>IF(B1406="","",INDEX({"Ocak","Şubat","Mart","Nisan","Mayıs","Haziran","Temmuz","Ağustos","Eylül","Ekim","Kasım","Aralık"},MONTH(B1406)))</f>
        <v/>
      </c>
      <c r="D1406" s="2"/>
      <c r="E1406" s="5" t="str">
        <f>IFERROR(INDEX('Malzeme Tanımlama'!$B$5:$B$300,MATCH(D1406,'Malzeme Tanımlama'!$A$5:$A$300,0)),"")</f>
        <v/>
      </c>
      <c r="F1406" s="2"/>
      <c r="G1406" s="5"/>
      <c r="H1406" s="5" t="str">
        <f>IFERROR(INDEX('Malzeme Tanımlama'!$D$5:$D$300,MATCH(D1406,'Malzeme Tanımlama'!$A$5:$A$300,0)),"")</f>
        <v/>
      </c>
      <c r="I1406" s="2"/>
      <c r="J1406" s="2"/>
      <c r="K1406" s="2"/>
    </row>
    <row r="1407" spans="1:11" x14ac:dyDescent="0.3">
      <c r="A1407" s="5" t="str">
        <f>IF(D1407="","",COUNTIF($D$5:D1407,"?*"))</f>
        <v/>
      </c>
      <c r="B1407" s="6"/>
      <c r="C1407" s="5" t="str">
        <f>IF(B1407="","",INDEX({"Ocak","Şubat","Mart","Nisan","Mayıs","Haziran","Temmuz","Ağustos","Eylül","Ekim","Kasım","Aralık"},MONTH(B1407)))</f>
        <v/>
      </c>
      <c r="D1407" s="2"/>
      <c r="E1407" s="5" t="str">
        <f>IFERROR(INDEX('Malzeme Tanımlama'!$B$5:$B$300,MATCH(D1407,'Malzeme Tanımlama'!$A$5:$A$300,0)),"")</f>
        <v/>
      </c>
      <c r="F1407" s="2"/>
      <c r="G1407" s="5"/>
      <c r="H1407" s="5" t="str">
        <f>IFERROR(INDEX('Malzeme Tanımlama'!$D$5:$D$300,MATCH(D1407,'Malzeme Tanımlama'!$A$5:$A$300,0)),"")</f>
        <v/>
      </c>
      <c r="I1407" s="2"/>
      <c r="J1407" s="2"/>
      <c r="K1407" s="2"/>
    </row>
    <row r="1408" spans="1:11" x14ac:dyDescent="0.3">
      <c r="A1408" s="5" t="str">
        <f>IF(D1408="","",COUNTIF($D$5:D1408,"?*"))</f>
        <v/>
      </c>
      <c r="B1408" s="6"/>
      <c r="C1408" s="5" t="str">
        <f>IF(B1408="","",INDEX({"Ocak","Şubat","Mart","Nisan","Mayıs","Haziran","Temmuz","Ağustos","Eylül","Ekim","Kasım","Aralık"},MONTH(B1408)))</f>
        <v/>
      </c>
      <c r="D1408" s="2"/>
      <c r="E1408" s="5" t="str">
        <f>IFERROR(INDEX('Malzeme Tanımlama'!$B$5:$B$300,MATCH(D1408,'Malzeme Tanımlama'!$A$5:$A$300,0)),"")</f>
        <v/>
      </c>
      <c r="F1408" s="2"/>
      <c r="G1408" s="5"/>
      <c r="H1408" s="5" t="str">
        <f>IFERROR(INDEX('Malzeme Tanımlama'!$D$5:$D$300,MATCH(D1408,'Malzeme Tanımlama'!$A$5:$A$300,0)),"")</f>
        <v/>
      </c>
      <c r="I1408" s="2"/>
      <c r="J1408" s="2"/>
      <c r="K1408" s="2"/>
    </row>
    <row r="1409" spans="1:11" x14ac:dyDescent="0.3">
      <c r="A1409" s="5" t="str">
        <f>IF(D1409="","",COUNTIF($D$5:D1409,"?*"))</f>
        <v/>
      </c>
      <c r="B1409" s="6"/>
      <c r="C1409" s="5" t="str">
        <f>IF(B1409="","",INDEX({"Ocak","Şubat","Mart","Nisan","Mayıs","Haziran","Temmuz","Ağustos","Eylül","Ekim","Kasım","Aralık"},MONTH(B1409)))</f>
        <v/>
      </c>
      <c r="D1409" s="2"/>
      <c r="E1409" s="5" t="str">
        <f>IFERROR(INDEX('Malzeme Tanımlama'!$B$5:$B$300,MATCH(D1409,'Malzeme Tanımlama'!$A$5:$A$300,0)),"")</f>
        <v/>
      </c>
      <c r="F1409" s="2"/>
      <c r="G1409" s="5"/>
      <c r="H1409" s="5" t="str">
        <f>IFERROR(INDEX('Malzeme Tanımlama'!$D$5:$D$300,MATCH(D1409,'Malzeme Tanımlama'!$A$5:$A$300,0)),"")</f>
        <v/>
      </c>
      <c r="I1409" s="2"/>
      <c r="J1409" s="2"/>
      <c r="K1409" s="2"/>
    </row>
    <row r="1410" spans="1:11" x14ac:dyDescent="0.3">
      <c r="A1410" s="5" t="str">
        <f>IF(D1410="","",COUNTIF($D$5:D1410,"?*"))</f>
        <v/>
      </c>
      <c r="B1410" s="6"/>
      <c r="C1410" s="5" t="str">
        <f>IF(B1410="","",INDEX({"Ocak","Şubat","Mart","Nisan","Mayıs","Haziran","Temmuz","Ağustos","Eylül","Ekim","Kasım","Aralık"},MONTH(B1410)))</f>
        <v/>
      </c>
      <c r="D1410" s="2"/>
      <c r="E1410" s="5" t="str">
        <f>IFERROR(INDEX('Malzeme Tanımlama'!$B$5:$B$300,MATCH(D1410,'Malzeme Tanımlama'!$A$5:$A$300,0)),"")</f>
        <v/>
      </c>
      <c r="F1410" s="2"/>
      <c r="G1410" s="5"/>
      <c r="H1410" s="5" t="str">
        <f>IFERROR(INDEX('Malzeme Tanımlama'!$D$5:$D$300,MATCH(D1410,'Malzeme Tanımlama'!$A$5:$A$300,0)),"")</f>
        <v/>
      </c>
      <c r="I1410" s="2"/>
      <c r="J1410" s="2"/>
      <c r="K1410" s="2"/>
    </row>
    <row r="1411" spans="1:11" x14ac:dyDescent="0.3">
      <c r="A1411" s="5" t="str">
        <f>IF(D1411="","",COUNTIF($D$5:D1411,"?*"))</f>
        <v/>
      </c>
      <c r="B1411" s="6"/>
      <c r="C1411" s="5" t="str">
        <f>IF(B1411="","",INDEX({"Ocak","Şubat","Mart","Nisan","Mayıs","Haziran","Temmuz","Ağustos","Eylül","Ekim","Kasım","Aralık"},MONTH(B1411)))</f>
        <v/>
      </c>
      <c r="D1411" s="2"/>
      <c r="E1411" s="5" t="str">
        <f>IFERROR(INDEX('Malzeme Tanımlama'!$B$5:$B$300,MATCH(D1411,'Malzeme Tanımlama'!$A$5:$A$300,0)),"")</f>
        <v/>
      </c>
      <c r="F1411" s="2"/>
      <c r="G1411" s="5"/>
      <c r="H1411" s="5" t="str">
        <f>IFERROR(INDEX('Malzeme Tanımlama'!$D$5:$D$300,MATCH(D1411,'Malzeme Tanımlama'!$A$5:$A$300,0)),"")</f>
        <v/>
      </c>
      <c r="I1411" s="2"/>
      <c r="J1411" s="2"/>
      <c r="K1411" s="2"/>
    </row>
    <row r="1412" spans="1:11" x14ac:dyDescent="0.3">
      <c r="A1412" s="5" t="str">
        <f>IF(D1412="","",COUNTIF($D$5:D1412,"?*"))</f>
        <v/>
      </c>
      <c r="B1412" s="6"/>
      <c r="C1412" s="5" t="str">
        <f>IF(B1412="","",INDEX({"Ocak","Şubat","Mart","Nisan","Mayıs","Haziran","Temmuz","Ağustos","Eylül","Ekim","Kasım","Aralık"},MONTH(B1412)))</f>
        <v/>
      </c>
      <c r="D1412" s="2"/>
      <c r="E1412" s="5" t="str">
        <f>IFERROR(INDEX('Malzeme Tanımlama'!$B$5:$B$300,MATCH(D1412,'Malzeme Tanımlama'!$A$5:$A$300,0)),"")</f>
        <v/>
      </c>
      <c r="F1412" s="2"/>
      <c r="G1412" s="5"/>
      <c r="H1412" s="5" t="str">
        <f>IFERROR(INDEX('Malzeme Tanımlama'!$D$5:$D$300,MATCH(D1412,'Malzeme Tanımlama'!$A$5:$A$300,0)),"")</f>
        <v/>
      </c>
      <c r="I1412" s="2"/>
      <c r="J1412" s="2"/>
      <c r="K1412" s="2"/>
    </row>
    <row r="1413" spans="1:11" x14ac:dyDescent="0.3">
      <c r="A1413" s="5" t="str">
        <f>IF(D1413="","",COUNTIF($D$5:D1413,"?*"))</f>
        <v/>
      </c>
      <c r="B1413" s="6"/>
      <c r="C1413" s="5" t="str">
        <f>IF(B1413="","",INDEX({"Ocak","Şubat","Mart","Nisan","Mayıs","Haziran","Temmuz","Ağustos","Eylül","Ekim","Kasım","Aralık"},MONTH(B1413)))</f>
        <v/>
      </c>
      <c r="D1413" s="2"/>
      <c r="E1413" s="5" t="str">
        <f>IFERROR(INDEX('Malzeme Tanımlama'!$B$5:$B$300,MATCH(D1413,'Malzeme Tanımlama'!$A$5:$A$300,0)),"")</f>
        <v/>
      </c>
      <c r="F1413" s="2"/>
      <c r="G1413" s="5"/>
      <c r="H1413" s="5" t="str">
        <f>IFERROR(INDEX('Malzeme Tanımlama'!$D$5:$D$300,MATCH(D1413,'Malzeme Tanımlama'!$A$5:$A$300,0)),"")</f>
        <v/>
      </c>
      <c r="I1413" s="2"/>
      <c r="J1413" s="2"/>
      <c r="K1413" s="2"/>
    </row>
    <row r="1414" spans="1:11" x14ac:dyDescent="0.3">
      <c r="A1414" s="5" t="str">
        <f>IF(D1414="","",COUNTIF($D$5:D1414,"?*"))</f>
        <v/>
      </c>
      <c r="B1414" s="6"/>
      <c r="C1414" s="5" t="str">
        <f>IF(B1414="","",INDEX({"Ocak","Şubat","Mart","Nisan","Mayıs","Haziran","Temmuz","Ağustos","Eylül","Ekim","Kasım","Aralık"},MONTH(B1414)))</f>
        <v/>
      </c>
      <c r="D1414" s="2"/>
      <c r="E1414" s="5" t="str">
        <f>IFERROR(INDEX('Malzeme Tanımlama'!$B$5:$B$300,MATCH(D1414,'Malzeme Tanımlama'!$A$5:$A$300,0)),"")</f>
        <v/>
      </c>
      <c r="F1414" s="2"/>
      <c r="G1414" s="5"/>
      <c r="H1414" s="5" t="str">
        <f>IFERROR(INDEX('Malzeme Tanımlama'!$D$5:$D$300,MATCH(D1414,'Malzeme Tanımlama'!$A$5:$A$300,0)),"")</f>
        <v/>
      </c>
      <c r="I1414" s="2"/>
      <c r="J1414" s="2"/>
      <c r="K1414" s="2"/>
    </row>
    <row r="1415" spans="1:11" x14ac:dyDescent="0.3">
      <c r="A1415" s="5" t="str">
        <f>IF(D1415="","",COUNTIF($D$5:D1415,"?*"))</f>
        <v/>
      </c>
      <c r="B1415" s="6"/>
      <c r="C1415" s="5" t="str">
        <f>IF(B1415="","",INDEX({"Ocak","Şubat","Mart","Nisan","Mayıs","Haziran","Temmuz","Ağustos","Eylül","Ekim","Kasım","Aralık"},MONTH(B1415)))</f>
        <v/>
      </c>
      <c r="D1415" s="2"/>
      <c r="E1415" s="5" t="str">
        <f>IFERROR(INDEX('Malzeme Tanımlama'!$B$5:$B$300,MATCH(D1415,'Malzeme Tanımlama'!$A$5:$A$300,0)),"")</f>
        <v/>
      </c>
      <c r="F1415" s="2"/>
      <c r="G1415" s="5"/>
      <c r="H1415" s="5" t="str">
        <f>IFERROR(INDEX('Malzeme Tanımlama'!$D$5:$D$300,MATCH(D1415,'Malzeme Tanımlama'!$A$5:$A$300,0)),"")</f>
        <v/>
      </c>
      <c r="I1415" s="2"/>
      <c r="J1415" s="2"/>
      <c r="K1415" s="2"/>
    </row>
    <row r="1416" spans="1:11" x14ac:dyDescent="0.3">
      <c r="A1416" s="5" t="str">
        <f>IF(D1416="","",COUNTIF($D$5:D1416,"?*"))</f>
        <v/>
      </c>
      <c r="B1416" s="6"/>
      <c r="C1416" s="5" t="str">
        <f>IF(B1416="","",INDEX({"Ocak","Şubat","Mart","Nisan","Mayıs","Haziran","Temmuz","Ağustos","Eylül","Ekim","Kasım","Aralık"},MONTH(B1416)))</f>
        <v/>
      </c>
      <c r="D1416" s="2"/>
      <c r="E1416" s="5" t="str">
        <f>IFERROR(INDEX('Malzeme Tanımlama'!$B$5:$B$300,MATCH(D1416,'Malzeme Tanımlama'!$A$5:$A$300,0)),"")</f>
        <v/>
      </c>
      <c r="F1416" s="2"/>
      <c r="G1416" s="5"/>
      <c r="H1416" s="5" t="str">
        <f>IFERROR(INDEX('Malzeme Tanımlama'!$D$5:$D$300,MATCH(D1416,'Malzeme Tanımlama'!$A$5:$A$300,0)),"")</f>
        <v/>
      </c>
      <c r="I1416" s="2"/>
      <c r="J1416" s="2"/>
      <c r="K1416" s="2"/>
    </row>
    <row r="1417" spans="1:11" x14ac:dyDescent="0.3">
      <c r="A1417" s="5" t="str">
        <f>IF(D1417="","",COUNTIF($D$5:D1417,"?*"))</f>
        <v/>
      </c>
      <c r="B1417" s="6"/>
      <c r="C1417" s="5" t="str">
        <f>IF(B1417="","",INDEX({"Ocak","Şubat","Mart","Nisan","Mayıs","Haziran","Temmuz","Ağustos","Eylül","Ekim","Kasım","Aralık"},MONTH(B1417)))</f>
        <v/>
      </c>
      <c r="D1417" s="2"/>
      <c r="E1417" s="5" t="str">
        <f>IFERROR(INDEX('Malzeme Tanımlama'!$B$5:$B$300,MATCH(D1417,'Malzeme Tanımlama'!$A$5:$A$300,0)),"")</f>
        <v/>
      </c>
      <c r="F1417" s="2"/>
      <c r="G1417" s="5"/>
      <c r="H1417" s="5" t="str">
        <f>IFERROR(INDEX('Malzeme Tanımlama'!$D$5:$D$300,MATCH(D1417,'Malzeme Tanımlama'!$A$5:$A$300,0)),"")</f>
        <v/>
      </c>
      <c r="I1417" s="2"/>
      <c r="J1417" s="2"/>
      <c r="K1417" s="2"/>
    </row>
    <row r="1418" spans="1:11" x14ac:dyDescent="0.3">
      <c r="A1418" s="5" t="str">
        <f>IF(D1418="","",COUNTIF($D$5:D1418,"?*"))</f>
        <v/>
      </c>
      <c r="B1418" s="6"/>
      <c r="C1418" s="5" t="str">
        <f>IF(B1418="","",INDEX({"Ocak","Şubat","Mart","Nisan","Mayıs","Haziran","Temmuz","Ağustos","Eylül","Ekim","Kasım","Aralık"},MONTH(B1418)))</f>
        <v/>
      </c>
      <c r="D1418" s="2"/>
      <c r="E1418" s="5" t="str">
        <f>IFERROR(INDEX('Malzeme Tanımlama'!$B$5:$B$300,MATCH(D1418,'Malzeme Tanımlama'!$A$5:$A$300,0)),"")</f>
        <v/>
      </c>
      <c r="F1418" s="2"/>
      <c r="G1418" s="5"/>
      <c r="H1418" s="5" t="str">
        <f>IFERROR(INDEX('Malzeme Tanımlama'!$D$5:$D$300,MATCH(D1418,'Malzeme Tanımlama'!$A$5:$A$300,0)),"")</f>
        <v/>
      </c>
      <c r="I1418" s="2"/>
      <c r="J1418" s="2"/>
      <c r="K1418" s="2"/>
    </row>
    <row r="1419" spans="1:11" x14ac:dyDescent="0.3">
      <c r="A1419" s="5" t="str">
        <f>IF(D1419="","",COUNTIF($D$5:D1419,"?*"))</f>
        <v/>
      </c>
      <c r="B1419" s="6"/>
      <c r="C1419" s="5" t="str">
        <f>IF(B1419="","",INDEX({"Ocak","Şubat","Mart","Nisan","Mayıs","Haziran","Temmuz","Ağustos","Eylül","Ekim","Kasım","Aralık"},MONTH(B1419)))</f>
        <v/>
      </c>
      <c r="D1419" s="2"/>
      <c r="E1419" s="5" t="str">
        <f>IFERROR(INDEX('Malzeme Tanımlama'!$B$5:$B$300,MATCH(D1419,'Malzeme Tanımlama'!$A$5:$A$300,0)),"")</f>
        <v/>
      </c>
      <c r="F1419" s="2"/>
      <c r="G1419" s="5"/>
      <c r="H1419" s="5" t="str">
        <f>IFERROR(INDEX('Malzeme Tanımlama'!$D$5:$D$300,MATCH(D1419,'Malzeme Tanımlama'!$A$5:$A$300,0)),"")</f>
        <v/>
      </c>
      <c r="I1419" s="2"/>
      <c r="J1419" s="2"/>
      <c r="K1419" s="2"/>
    </row>
    <row r="1420" spans="1:11" x14ac:dyDescent="0.3">
      <c r="A1420" s="5" t="str">
        <f>IF(D1420="","",COUNTIF($D$5:D1420,"?*"))</f>
        <v/>
      </c>
      <c r="B1420" s="6"/>
      <c r="C1420" s="5" t="str">
        <f>IF(B1420="","",INDEX({"Ocak","Şubat","Mart","Nisan","Mayıs","Haziran","Temmuz","Ağustos","Eylül","Ekim","Kasım","Aralık"},MONTH(B1420)))</f>
        <v/>
      </c>
      <c r="D1420" s="2"/>
      <c r="E1420" s="5" t="str">
        <f>IFERROR(INDEX('Malzeme Tanımlama'!$B$5:$B$300,MATCH(D1420,'Malzeme Tanımlama'!$A$5:$A$300,0)),"")</f>
        <v/>
      </c>
      <c r="F1420" s="2"/>
      <c r="G1420" s="5"/>
      <c r="H1420" s="5" t="str">
        <f>IFERROR(INDEX('Malzeme Tanımlama'!$D$5:$D$300,MATCH(D1420,'Malzeme Tanımlama'!$A$5:$A$300,0)),"")</f>
        <v/>
      </c>
      <c r="I1420" s="2"/>
      <c r="J1420" s="2"/>
      <c r="K1420" s="2"/>
    </row>
    <row r="1421" spans="1:11" x14ac:dyDescent="0.3">
      <c r="A1421" s="5" t="str">
        <f>IF(D1421="","",COUNTIF($D$5:D1421,"?*"))</f>
        <v/>
      </c>
      <c r="B1421" s="6"/>
      <c r="C1421" s="5" t="str">
        <f>IF(B1421="","",INDEX({"Ocak","Şubat","Mart","Nisan","Mayıs","Haziran","Temmuz","Ağustos","Eylül","Ekim","Kasım","Aralık"},MONTH(B1421)))</f>
        <v/>
      </c>
      <c r="D1421" s="2"/>
      <c r="E1421" s="5" t="str">
        <f>IFERROR(INDEX('Malzeme Tanımlama'!$B$5:$B$300,MATCH(D1421,'Malzeme Tanımlama'!$A$5:$A$300,0)),"")</f>
        <v/>
      </c>
      <c r="F1421" s="2"/>
      <c r="G1421" s="5"/>
      <c r="H1421" s="5" t="str">
        <f>IFERROR(INDEX('Malzeme Tanımlama'!$D$5:$D$300,MATCH(D1421,'Malzeme Tanımlama'!$A$5:$A$300,0)),"")</f>
        <v/>
      </c>
      <c r="I1421" s="2"/>
      <c r="J1421" s="2"/>
      <c r="K1421" s="2"/>
    </row>
    <row r="1422" spans="1:11" x14ac:dyDescent="0.3">
      <c r="A1422" s="5" t="str">
        <f>IF(D1422="","",COUNTIF($D$5:D1422,"?*"))</f>
        <v/>
      </c>
      <c r="B1422" s="6"/>
      <c r="C1422" s="5" t="str">
        <f>IF(B1422="","",INDEX({"Ocak","Şubat","Mart","Nisan","Mayıs","Haziran","Temmuz","Ağustos","Eylül","Ekim","Kasım","Aralık"},MONTH(B1422)))</f>
        <v/>
      </c>
      <c r="D1422" s="2"/>
      <c r="E1422" s="5" t="str">
        <f>IFERROR(INDEX('Malzeme Tanımlama'!$B$5:$B$300,MATCH(D1422,'Malzeme Tanımlama'!$A$5:$A$300,0)),"")</f>
        <v/>
      </c>
      <c r="F1422" s="2"/>
      <c r="G1422" s="5"/>
      <c r="H1422" s="5" t="str">
        <f>IFERROR(INDEX('Malzeme Tanımlama'!$D$5:$D$300,MATCH(D1422,'Malzeme Tanımlama'!$A$5:$A$300,0)),"")</f>
        <v/>
      </c>
      <c r="I1422" s="2"/>
      <c r="J1422" s="2"/>
      <c r="K1422" s="2"/>
    </row>
    <row r="1423" spans="1:11" x14ac:dyDescent="0.3">
      <c r="A1423" s="5" t="str">
        <f>IF(D1423="","",COUNTIF($D$5:D1423,"?*"))</f>
        <v/>
      </c>
      <c r="B1423" s="6"/>
      <c r="C1423" s="5" t="str">
        <f>IF(B1423="","",INDEX({"Ocak","Şubat","Mart","Nisan","Mayıs","Haziran","Temmuz","Ağustos","Eylül","Ekim","Kasım","Aralık"},MONTH(B1423)))</f>
        <v/>
      </c>
      <c r="D1423" s="2"/>
      <c r="E1423" s="5" t="str">
        <f>IFERROR(INDEX('Malzeme Tanımlama'!$B$5:$B$300,MATCH(D1423,'Malzeme Tanımlama'!$A$5:$A$300,0)),"")</f>
        <v/>
      </c>
      <c r="F1423" s="2"/>
      <c r="G1423" s="5"/>
      <c r="H1423" s="5" t="str">
        <f>IFERROR(INDEX('Malzeme Tanımlama'!$D$5:$D$300,MATCH(D1423,'Malzeme Tanımlama'!$A$5:$A$300,0)),"")</f>
        <v/>
      </c>
      <c r="I1423" s="2"/>
      <c r="J1423" s="2"/>
      <c r="K1423" s="2"/>
    </row>
    <row r="1424" spans="1:11" x14ac:dyDescent="0.3">
      <c r="A1424" s="5" t="str">
        <f>IF(D1424="","",COUNTIF($D$5:D1424,"?*"))</f>
        <v/>
      </c>
      <c r="B1424" s="6"/>
      <c r="C1424" s="5" t="str">
        <f>IF(B1424="","",INDEX({"Ocak","Şubat","Mart","Nisan","Mayıs","Haziran","Temmuz","Ağustos","Eylül","Ekim","Kasım","Aralık"},MONTH(B1424)))</f>
        <v/>
      </c>
      <c r="D1424" s="2"/>
      <c r="E1424" s="5" t="str">
        <f>IFERROR(INDEX('Malzeme Tanımlama'!$B$5:$B$300,MATCH(D1424,'Malzeme Tanımlama'!$A$5:$A$300,0)),"")</f>
        <v/>
      </c>
      <c r="F1424" s="2"/>
      <c r="G1424" s="5"/>
      <c r="H1424" s="5" t="str">
        <f>IFERROR(INDEX('Malzeme Tanımlama'!$D$5:$D$300,MATCH(D1424,'Malzeme Tanımlama'!$A$5:$A$300,0)),"")</f>
        <v/>
      </c>
      <c r="I1424" s="2"/>
      <c r="J1424" s="2"/>
      <c r="K1424" s="2"/>
    </row>
    <row r="1425" spans="1:11" x14ac:dyDescent="0.3">
      <c r="A1425" s="5" t="str">
        <f>IF(D1425="","",COUNTIF($D$5:D1425,"?*"))</f>
        <v/>
      </c>
      <c r="B1425" s="6"/>
      <c r="C1425" s="5" t="str">
        <f>IF(B1425="","",INDEX({"Ocak","Şubat","Mart","Nisan","Mayıs","Haziran","Temmuz","Ağustos","Eylül","Ekim","Kasım","Aralık"},MONTH(B1425)))</f>
        <v/>
      </c>
      <c r="D1425" s="2"/>
      <c r="E1425" s="5" t="str">
        <f>IFERROR(INDEX('Malzeme Tanımlama'!$B$5:$B$300,MATCH(D1425,'Malzeme Tanımlama'!$A$5:$A$300,0)),"")</f>
        <v/>
      </c>
      <c r="F1425" s="2"/>
      <c r="G1425" s="5"/>
      <c r="H1425" s="5" t="str">
        <f>IFERROR(INDEX('Malzeme Tanımlama'!$D$5:$D$300,MATCH(D1425,'Malzeme Tanımlama'!$A$5:$A$300,0)),"")</f>
        <v/>
      </c>
      <c r="I1425" s="2"/>
      <c r="J1425" s="2"/>
      <c r="K1425" s="2"/>
    </row>
    <row r="1426" spans="1:11" x14ac:dyDescent="0.3">
      <c r="A1426" s="5" t="str">
        <f>IF(D1426="","",COUNTIF($D$5:D1426,"?*"))</f>
        <v/>
      </c>
      <c r="B1426" s="6"/>
      <c r="C1426" s="5" t="str">
        <f>IF(B1426="","",INDEX({"Ocak","Şubat","Mart","Nisan","Mayıs","Haziran","Temmuz","Ağustos","Eylül","Ekim","Kasım","Aralık"},MONTH(B1426)))</f>
        <v/>
      </c>
      <c r="D1426" s="2"/>
      <c r="E1426" s="5" t="str">
        <f>IFERROR(INDEX('Malzeme Tanımlama'!$B$5:$B$300,MATCH(D1426,'Malzeme Tanımlama'!$A$5:$A$300,0)),"")</f>
        <v/>
      </c>
      <c r="F1426" s="2"/>
      <c r="G1426" s="5"/>
      <c r="H1426" s="5" t="str">
        <f>IFERROR(INDEX('Malzeme Tanımlama'!$D$5:$D$300,MATCH(D1426,'Malzeme Tanımlama'!$A$5:$A$300,0)),"")</f>
        <v/>
      </c>
      <c r="I1426" s="2"/>
      <c r="J1426" s="2"/>
      <c r="K1426" s="2"/>
    </row>
    <row r="1427" spans="1:11" x14ac:dyDescent="0.3">
      <c r="A1427" s="5" t="str">
        <f>IF(D1427="","",COUNTIF($D$5:D1427,"?*"))</f>
        <v/>
      </c>
      <c r="B1427" s="6"/>
      <c r="C1427" s="5" t="str">
        <f>IF(B1427="","",INDEX({"Ocak","Şubat","Mart","Nisan","Mayıs","Haziran","Temmuz","Ağustos","Eylül","Ekim","Kasım","Aralık"},MONTH(B1427)))</f>
        <v/>
      </c>
      <c r="D1427" s="2"/>
      <c r="E1427" s="5" t="str">
        <f>IFERROR(INDEX('Malzeme Tanımlama'!$B$5:$B$300,MATCH(D1427,'Malzeme Tanımlama'!$A$5:$A$300,0)),"")</f>
        <v/>
      </c>
      <c r="F1427" s="2"/>
      <c r="G1427" s="5"/>
      <c r="H1427" s="5" t="str">
        <f>IFERROR(INDEX('Malzeme Tanımlama'!$D$5:$D$300,MATCH(D1427,'Malzeme Tanımlama'!$A$5:$A$300,0)),"")</f>
        <v/>
      </c>
      <c r="I1427" s="2"/>
      <c r="J1427" s="2"/>
      <c r="K1427" s="2"/>
    </row>
    <row r="1428" spans="1:11" x14ac:dyDescent="0.3">
      <c r="A1428" s="5" t="str">
        <f>IF(D1428="","",COUNTIF($D$5:D1428,"?*"))</f>
        <v/>
      </c>
      <c r="B1428" s="6"/>
      <c r="C1428" s="5" t="str">
        <f>IF(B1428="","",INDEX({"Ocak","Şubat","Mart","Nisan","Mayıs","Haziran","Temmuz","Ağustos","Eylül","Ekim","Kasım","Aralık"},MONTH(B1428)))</f>
        <v/>
      </c>
      <c r="D1428" s="2"/>
      <c r="E1428" s="5" t="str">
        <f>IFERROR(INDEX('Malzeme Tanımlama'!$B$5:$B$300,MATCH(D1428,'Malzeme Tanımlama'!$A$5:$A$300,0)),"")</f>
        <v/>
      </c>
      <c r="F1428" s="2"/>
      <c r="G1428" s="5"/>
      <c r="H1428" s="5" t="str">
        <f>IFERROR(INDEX('Malzeme Tanımlama'!$D$5:$D$300,MATCH(D1428,'Malzeme Tanımlama'!$A$5:$A$300,0)),"")</f>
        <v/>
      </c>
      <c r="I1428" s="2"/>
      <c r="J1428" s="2"/>
      <c r="K1428" s="2"/>
    </row>
    <row r="1429" spans="1:11" x14ac:dyDescent="0.3">
      <c r="A1429" s="5" t="str">
        <f>IF(D1429="","",COUNTIF($D$5:D1429,"?*"))</f>
        <v/>
      </c>
      <c r="B1429" s="6"/>
      <c r="C1429" s="5" t="str">
        <f>IF(B1429="","",INDEX({"Ocak","Şubat","Mart","Nisan","Mayıs","Haziran","Temmuz","Ağustos","Eylül","Ekim","Kasım","Aralık"},MONTH(B1429)))</f>
        <v/>
      </c>
      <c r="D1429" s="2"/>
      <c r="E1429" s="5" t="str">
        <f>IFERROR(INDEX('Malzeme Tanımlama'!$B$5:$B$300,MATCH(D1429,'Malzeme Tanımlama'!$A$5:$A$300,0)),"")</f>
        <v/>
      </c>
      <c r="F1429" s="2"/>
      <c r="G1429" s="5"/>
      <c r="H1429" s="5" t="str">
        <f>IFERROR(INDEX('Malzeme Tanımlama'!$D$5:$D$300,MATCH(D1429,'Malzeme Tanımlama'!$A$5:$A$300,0)),"")</f>
        <v/>
      </c>
      <c r="I1429" s="2"/>
      <c r="J1429" s="2"/>
      <c r="K1429" s="2"/>
    </row>
    <row r="1430" spans="1:11" x14ac:dyDescent="0.3">
      <c r="A1430" s="5" t="str">
        <f>IF(D1430="","",COUNTIF($D$5:D1430,"?*"))</f>
        <v/>
      </c>
      <c r="B1430" s="6"/>
      <c r="C1430" s="5" t="str">
        <f>IF(B1430="","",INDEX({"Ocak","Şubat","Mart","Nisan","Mayıs","Haziran","Temmuz","Ağustos","Eylül","Ekim","Kasım","Aralık"},MONTH(B1430)))</f>
        <v/>
      </c>
      <c r="D1430" s="2"/>
      <c r="E1430" s="5" t="str">
        <f>IFERROR(INDEX('Malzeme Tanımlama'!$B$5:$B$300,MATCH(D1430,'Malzeme Tanımlama'!$A$5:$A$300,0)),"")</f>
        <v/>
      </c>
      <c r="F1430" s="2"/>
      <c r="G1430" s="5"/>
      <c r="H1430" s="5" t="str">
        <f>IFERROR(INDEX('Malzeme Tanımlama'!$D$5:$D$300,MATCH(D1430,'Malzeme Tanımlama'!$A$5:$A$300,0)),"")</f>
        <v/>
      </c>
      <c r="I1430" s="2"/>
      <c r="J1430" s="2"/>
      <c r="K1430" s="2"/>
    </row>
    <row r="1431" spans="1:11" x14ac:dyDescent="0.3">
      <c r="A1431" s="5" t="str">
        <f>IF(D1431="","",COUNTIF($D$5:D1431,"?*"))</f>
        <v/>
      </c>
      <c r="B1431" s="6"/>
      <c r="C1431" s="5" t="str">
        <f>IF(B1431="","",INDEX({"Ocak","Şubat","Mart","Nisan","Mayıs","Haziran","Temmuz","Ağustos","Eylül","Ekim","Kasım","Aralık"},MONTH(B1431)))</f>
        <v/>
      </c>
      <c r="D1431" s="2"/>
      <c r="E1431" s="5" t="str">
        <f>IFERROR(INDEX('Malzeme Tanımlama'!$B$5:$B$300,MATCH(D1431,'Malzeme Tanımlama'!$A$5:$A$300,0)),"")</f>
        <v/>
      </c>
      <c r="F1431" s="2"/>
      <c r="G1431" s="5"/>
      <c r="H1431" s="5" t="str">
        <f>IFERROR(INDEX('Malzeme Tanımlama'!$D$5:$D$300,MATCH(D1431,'Malzeme Tanımlama'!$A$5:$A$300,0)),"")</f>
        <v/>
      </c>
      <c r="I1431" s="2"/>
      <c r="J1431" s="2"/>
      <c r="K1431" s="2"/>
    </row>
    <row r="1432" spans="1:11" x14ac:dyDescent="0.3">
      <c r="A1432" s="5" t="str">
        <f>IF(D1432="","",COUNTIF($D$5:D1432,"?*"))</f>
        <v/>
      </c>
      <c r="B1432" s="6"/>
      <c r="C1432" s="5" t="str">
        <f>IF(B1432="","",INDEX({"Ocak","Şubat","Mart","Nisan","Mayıs","Haziran","Temmuz","Ağustos","Eylül","Ekim","Kasım","Aralık"},MONTH(B1432)))</f>
        <v/>
      </c>
      <c r="D1432" s="2"/>
      <c r="E1432" s="5" t="str">
        <f>IFERROR(INDEX('Malzeme Tanımlama'!$B$5:$B$300,MATCH(D1432,'Malzeme Tanımlama'!$A$5:$A$300,0)),"")</f>
        <v/>
      </c>
      <c r="F1432" s="2"/>
      <c r="G1432" s="5"/>
      <c r="H1432" s="5" t="str">
        <f>IFERROR(INDEX('Malzeme Tanımlama'!$D$5:$D$300,MATCH(D1432,'Malzeme Tanımlama'!$A$5:$A$300,0)),"")</f>
        <v/>
      </c>
      <c r="I1432" s="2"/>
      <c r="J1432" s="2"/>
      <c r="K1432" s="2"/>
    </row>
    <row r="1433" spans="1:11" x14ac:dyDescent="0.3">
      <c r="A1433" s="5" t="str">
        <f>IF(D1433="","",COUNTIF($D$5:D1433,"?*"))</f>
        <v/>
      </c>
      <c r="B1433" s="6"/>
      <c r="C1433" s="5" t="str">
        <f>IF(B1433="","",INDEX({"Ocak","Şubat","Mart","Nisan","Mayıs","Haziran","Temmuz","Ağustos","Eylül","Ekim","Kasım","Aralık"},MONTH(B1433)))</f>
        <v/>
      </c>
      <c r="D1433" s="2"/>
      <c r="E1433" s="5" t="str">
        <f>IFERROR(INDEX('Malzeme Tanımlama'!$B$5:$B$300,MATCH(D1433,'Malzeme Tanımlama'!$A$5:$A$300,0)),"")</f>
        <v/>
      </c>
      <c r="F1433" s="2"/>
      <c r="G1433" s="5"/>
      <c r="H1433" s="5" t="str">
        <f>IFERROR(INDEX('Malzeme Tanımlama'!$D$5:$D$300,MATCH(D1433,'Malzeme Tanımlama'!$A$5:$A$300,0)),"")</f>
        <v/>
      </c>
      <c r="I1433" s="2"/>
      <c r="J1433" s="2"/>
      <c r="K1433" s="2"/>
    </row>
    <row r="1434" spans="1:11" x14ac:dyDescent="0.3">
      <c r="A1434" s="5" t="str">
        <f>IF(D1434="","",COUNTIF($D$5:D1434,"?*"))</f>
        <v/>
      </c>
      <c r="B1434" s="6"/>
      <c r="C1434" s="5" t="str">
        <f>IF(B1434="","",INDEX({"Ocak","Şubat","Mart","Nisan","Mayıs","Haziran","Temmuz","Ağustos","Eylül","Ekim","Kasım","Aralık"},MONTH(B1434)))</f>
        <v/>
      </c>
      <c r="D1434" s="2"/>
      <c r="E1434" s="5" t="str">
        <f>IFERROR(INDEX('Malzeme Tanımlama'!$B$5:$B$300,MATCH(D1434,'Malzeme Tanımlama'!$A$5:$A$300,0)),"")</f>
        <v/>
      </c>
      <c r="F1434" s="2"/>
      <c r="G1434" s="5"/>
      <c r="H1434" s="5" t="str">
        <f>IFERROR(INDEX('Malzeme Tanımlama'!$D$5:$D$300,MATCH(D1434,'Malzeme Tanımlama'!$A$5:$A$300,0)),"")</f>
        <v/>
      </c>
      <c r="I1434" s="2"/>
      <c r="J1434" s="2"/>
      <c r="K1434" s="2"/>
    </row>
    <row r="1435" spans="1:11" x14ac:dyDescent="0.3">
      <c r="A1435" s="5" t="str">
        <f>IF(D1435="","",COUNTIF($D$5:D1435,"?*"))</f>
        <v/>
      </c>
      <c r="B1435" s="6"/>
      <c r="C1435" s="5" t="str">
        <f>IF(B1435="","",INDEX({"Ocak","Şubat","Mart","Nisan","Mayıs","Haziran","Temmuz","Ağustos","Eylül","Ekim","Kasım","Aralık"},MONTH(B1435)))</f>
        <v/>
      </c>
      <c r="D1435" s="2"/>
      <c r="E1435" s="5" t="str">
        <f>IFERROR(INDEX('Malzeme Tanımlama'!$B$5:$B$300,MATCH(D1435,'Malzeme Tanımlama'!$A$5:$A$300,0)),"")</f>
        <v/>
      </c>
      <c r="F1435" s="2"/>
      <c r="G1435" s="5"/>
      <c r="H1435" s="5" t="str">
        <f>IFERROR(INDEX('Malzeme Tanımlama'!$D$5:$D$300,MATCH(D1435,'Malzeme Tanımlama'!$A$5:$A$300,0)),"")</f>
        <v/>
      </c>
      <c r="I1435" s="2"/>
      <c r="J1435" s="2"/>
      <c r="K1435" s="2"/>
    </row>
    <row r="1436" spans="1:11" x14ac:dyDescent="0.3">
      <c r="A1436" s="5" t="str">
        <f>IF(D1436="","",COUNTIF($D$5:D1436,"?*"))</f>
        <v/>
      </c>
      <c r="B1436" s="6"/>
      <c r="C1436" s="5" t="str">
        <f>IF(B1436="","",INDEX({"Ocak","Şubat","Mart","Nisan","Mayıs","Haziran","Temmuz","Ağustos","Eylül","Ekim","Kasım","Aralık"},MONTH(B1436)))</f>
        <v/>
      </c>
      <c r="D1436" s="2"/>
      <c r="E1436" s="5" t="str">
        <f>IFERROR(INDEX('Malzeme Tanımlama'!$B$5:$B$300,MATCH(D1436,'Malzeme Tanımlama'!$A$5:$A$300,0)),"")</f>
        <v/>
      </c>
      <c r="F1436" s="2"/>
      <c r="G1436" s="5"/>
      <c r="H1436" s="5" t="str">
        <f>IFERROR(INDEX('Malzeme Tanımlama'!$D$5:$D$300,MATCH(D1436,'Malzeme Tanımlama'!$A$5:$A$300,0)),"")</f>
        <v/>
      </c>
      <c r="I1436" s="2"/>
      <c r="J1436" s="2"/>
      <c r="K1436" s="2"/>
    </row>
    <row r="1437" spans="1:11" x14ac:dyDescent="0.3">
      <c r="A1437" s="5" t="str">
        <f>IF(D1437="","",COUNTIF($D$5:D1437,"?*"))</f>
        <v/>
      </c>
      <c r="B1437" s="6"/>
      <c r="C1437" s="5" t="str">
        <f>IF(B1437="","",INDEX({"Ocak","Şubat","Mart","Nisan","Mayıs","Haziran","Temmuz","Ağustos","Eylül","Ekim","Kasım","Aralık"},MONTH(B1437)))</f>
        <v/>
      </c>
      <c r="D1437" s="2"/>
      <c r="E1437" s="5" t="str">
        <f>IFERROR(INDEX('Malzeme Tanımlama'!$B$5:$B$300,MATCH(D1437,'Malzeme Tanımlama'!$A$5:$A$300,0)),"")</f>
        <v/>
      </c>
      <c r="F1437" s="2"/>
      <c r="G1437" s="5"/>
      <c r="H1437" s="5" t="str">
        <f>IFERROR(INDEX('Malzeme Tanımlama'!$D$5:$D$300,MATCH(D1437,'Malzeme Tanımlama'!$A$5:$A$300,0)),"")</f>
        <v/>
      </c>
      <c r="I1437" s="2"/>
      <c r="J1437" s="2"/>
      <c r="K1437" s="2"/>
    </row>
    <row r="1438" spans="1:11" x14ac:dyDescent="0.3">
      <c r="A1438" s="5" t="str">
        <f>IF(D1438="","",COUNTIF($D$5:D1438,"?*"))</f>
        <v/>
      </c>
      <c r="B1438" s="6"/>
      <c r="C1438" s="5" t="str">
        <f>IF(B1438="","",INDEX({"Ocak","Şubat","Mart","Nisan","Mayıs","Haziran","Temmuz","Ağustos","Eylül","Ekim","Kasım","Aralık"},MONTH(B1438)))</f>
        <v/>
      </c>
      <c r="D1438" s="2"/>
      <c r="E1438" s="5" t="str">
        <f>IFERROR(INDEX('Malzeme Tanımlama'!$B$5:$B$300,MATCH(D1438,'Malzeme Tanımlama'!$A$5:$A$300,0)),"")</f>
        <v/>
      </c>
      <c r="F1438" s="2"/>
      <c r="G1438" s="5"/>
      <c r="H1438" s="5" t="str">
        <f>IFERROR(INDEX('Malzeme Tanımlama'!$D$5:$D$300,MATCH(D1438,'Malzeme Tanımlama'!$A$5:$A$300,0)),"")</f>
        <v/>
      </c>
      <c r="I1438" s="2"/>
      <c r="J1438" s="2"/>
      <c r="K1438" s="2"/>
    </row>
    <row r="1439" spans="1:11" x14ac:dyDescent="0.3">
      <c r="A1439" s="5" t="str">
        <f>IF(D1439="","",COUNTIF($D$5:D1439,"?*"))</f>
        <v/>
      </c>
      <c r="B1439" s="6"/>
      <c r="C1439" s="5" t="str">
        <f>IF(B1439="","",INDEX({"Ocak","Şubat","Mart","Nisan","Mayıs","Haziran","Temmuz","Ağustos","Eylül","Ekim","Kasım","Aralık"},MONTH(B1439)))</f>
        <v/>
      </c>
      <c r="D1439" s="2"/>
      <c r="E1439" s="5" t="str">
        <f>IFERROR(INDEX('Malzeme Tanımlama'!$B$5:$B$300,MATCH(D1439,'Malzeme Tanımlama'!$A$5:$A$300,0)),"")</f>
        <v/>
      </c>
      <c r="F1439" s="2"/>
      <c r="G1439" s="5"/>
      <c r="H1439" s="5" t="str">
        <f>IFERROR(INDEX('Malzeme Tanımlama'!$D$5:$D$300,MATCH(D1439,'Malzeme Tanımlama'!$A$5:$A$300,0)),"")</f>
        <v/>
      </c>
      <c r="I1439" s="2"/>
      <c r="J1439" s="2"/>
      <c r="K1439" s="2"/>
    </row>
    <row r="1440" spans="1:11" x14ac:dyDescent="0.3">
      <c r="A1440" s="5" t="str">
        <f>IF(D1440="","",COUNTIF($D$5:D1440,"?*"))</f>
        <v/>
      </c>
      <c r="B1440" s="6"/>
      <c r="C1440" s="5" t="str">
        <f>IF(B1440="","",INDEX({"Ocak","Şubat","Mart","Nisan","Mayıs","Haziran","Temmuz","Ağustos","Eylül","Ekim","Kasım","Aralık"},MONTH(B1440)))</f>
        <v/>
      </c>
      <c r="D1440" s="2"/>
      <c r="E1440" s="5" t="str">
        <f>IFERROR(INDEX('Malzeme Tanımlama'!$B$5:$B$300,MATCH(D1440,'Malzeme Tanımlama'!$A$5:$A$300,0)),"")</f>
        <v/>
      </c>
      <c r="F1440" s="2"/>
      <c r="G1440" s="5"/>
      <c r="H1440" s="5" t="str">
        <f>IFERROR(INDEX('Malzeme Tanımlama'!$D$5:$D$300,MATCH(D1440,'Malzeme Tanımlama'!$A$5:$A$300,0)),"")</f>
        <v/>
      </c>
      <c r="I1440" s="2"/>
      <c r="J1440" s="2"/>
      <c r="K1440" s="2"/>
    </row>
    <row r="1441" spans="1:11" x14ac:dyDescent="0.3">
      <c r="A1441" s="5" t="str">
        <f>IF(D1441="","",COUNTIF($D$5:D1441,"?*"))</f>
        <v/>
      </c>
      <c r="B1441" s="6"/>
      <c r="C1441" s="5" t="str">
        <f>IF(B1441="","",INDEX({"Ocak","Şubat","Mart","Nisan","Mayıs","Haziran","Temmuz","Ağustos","Eylül","Ekim","Kasım","Aralık"},MONTH(B1441)))</f>
        <v/>
      </c>
      <c r="D1441" s="2"/>
      <c r="E1441" s="5" t="str">
        <f>IFERROR(INDEX('Malzeme Tanımlama'!$B$5:$B$300,MATCH(D1441,'Malzeme Tanımlama'!$A$5:$A$300,0)),"")</f>
        <v/>
      </c>
      <c r="F1441" s="2"/>
      <c r="G1441" s="5"/>
      <c r="H1441" s="5" t="str">
        <f>IFERROR(INDEX('Malzeme Tanımlama'!$D$5:$D$300,MATCH(D1441,'Malzeme Tanımlama'!$A$5:$A$300,0)),"")</f>
        <v/>
      </c>
      <c r="I1441" s="2"/>
      <c r="J1441" s="2"/>
      <c r="K1441" s="2"/>
    </row>
    <row r="1442" spans="1:11" x14ac:dyDescent="0.3">
      <c r="A1442" s="5" t="str">
        <f>IF(D1442="","",COUNTIF($D$5:D1442,"?*"))</f>
        <v/>
      </c>
      <c r="B1442" s="6"/>
      <c r="C1442" s="5" t="str">
        <f>IF(B1442="","",INDEX({"Ocak","Şubat","Mart","Nisan","Mayıs","Haziran","Temmuz","Ağustos","Eylül","Ekim","Kasım","Aralık"},MONTH(B1442)))</f>
        <v/>
      </c>
      <c r="D1442" s="2"/>
      <c r="E1442" s="5" t="str">
        <f>IFERROR(INDEX('Malzeme Tanımlama'!$B$5:$B$300,MATCH(D1442,'Malzeme Tanımlama'!$A$5:$A$300,0)),"")</f>
        <v/>
      </c>
      <c r="F1442" s="2"/>
      <c r="G1442" s="5"/>
      <c r="H1442" s="5" t="str">
        <f>IFERROR(INDEX('Malzeme Tanımlama'!$D$5:$D$300,MATCH(D1442,'Malzeme Tanımlama'!$A$5:$A$300,0)),"")</f>
        <v/>
      </c>
      <c r="I1442" s="2"/>
      <c r="J1442" s="2"/>
      <c r="K1442" s="2"/>
    </row>
    <row r="1443" spans="1:11" x14ac:dyDescent="0.3">
      <c r="A1443" s="5" t="str">
        <f>IF(D1443="","",COUNTIF($D$5:D1443,"?*"))</f>
        <v/>
      </c>
      <c r="B1443" s="6"/>
      <c r="C1443" s="5" t="str">
        <f>IF(B1443="","",INDEX({"Ocak","Şubat","Mart","Nisan","Mayıs","Haziran","Temmuz","Ağustos","Eylül","Ekim","Kasım","Aralık"},MONTH(B1443)))</f>
        <v/>
      </c>
      <c r="D1443" s="2"/>
      <c r="E1443" s="5" t="str">
        <f>IFERROR(INDEX('Malzeme Tanımlama'!$B$5:$B$300,MATCH(D1443,'Malzeme Tanımlama'!$A$5:$A$300,0)),"")</f>
        <v/>
      </c>
      <c r="F1443" s="2"/>
      <c r="G1443" s="5"/>
      <c r="H1443" s="5" t="str">
        <f>IFERROR(INDEX('Malzeme Tanımlama'!$D$5:$D$300,MATCH(D1443,'Malzeme Tanımlama'!$A$5:$A$300,0)),"")</f>
        <v/>
      </c>
      <c r="I1443" s="2"/>
      <c r="J1443" s="2"/>
      <c r="K1443" s="2"/>
    </row>
    <row r="1444" spans="1:11" x14ac:dyDescent="0.3">
      <c r="A1444" s="5" t="str">
        <f>IF(D1444="","",COUNTIF($D$5:D1444,"?*"))</f>
        <v/>
      </c>
      <c r="B1444" s="6"/>
      <c r="C1444" s="5" t="str">
        <f>IF(B1444="","",INDEX({"Ocak","Şubat","Mart","Nisan","Mayıs","Haziran","Temmuz","Ağustos","Eylül","Ekim","Kasım","Aralık"},MONTH(B1444)))</f>
        <v/>
      </c>
      <c r="D1444" s="2"/>
      <c r="E1444" s="5" t="str">
        <f>IFERROR(INDEX('Malzeme Tanımlama'!$B$5:$B$300,MATCH(D1444,'Malzeme Tanımlama'!$A$5:$A$300,0)),"")</f>
        <v/>
      </c>
      <c r="F1444" s="2"/>
      <c r="G1444" s="5"/>
      <c r="H1444" s="5" t="str">
        <f>IFERROR(INDEX('Malzeme Tanımlama'!$D$5:$D$300,MATCH(D1444,'Malzeme Tanımlama'!$A$5:$A$300,0)),"")</f>
        <v/>
      </c>
      <c r="I1444" s="2"/>
      <c r="J1444" s="2"/>
      <c r="K1444" s="2"/>
    </row>
    <row r="1445" spans="1:11" x14ac:dyDescent="0.3">
      <c r="A1445" s="5" t="str">
        <f>IF(D1445="","",COUNTIF($D$5:D1445,"?*"))</f>
        <v/>
      </c>
      <c r="B1445" s="6"/>
      <c r="C1445" s="5" t="str">
        <f>IF(B1445="","",INDEX({"Ocak","Şubat","Mart","Nisan","Mayıs","Haziran","Temmuz","Ağustos","Eylül","Ekim","Kasım","Aralık"},MONTH(B1445)))</f>
        <v/>
      </c>
      <c r="D1445" s="2"/>
      <c r="E1445" s="5" t="str">
        <f>IFERROR(INDEX('Malzeme Tanımlama'!$B$5:$B$300,MATCH(D1445,'Malzeme Tanımlama'!$A$5:$A$300,0)),"")</f>
        <v/>
      </c>
      <c r="F1445" s="2"/>
      <c r="G1445" s="5"/>
      <c r="H1445" s="5" t="str">
        <f>IFERROR(INDEX('Malzeme Tanımlama'!$D$5:$D$300,MATCH(D1445,'Malzeme Tanımlama'!$A$5:$A$300,0)),"")</f>
        <v/>
      </c>
      <c r="I1445" s="2"/>
      <c r="J1445" s="2"/>
      <c r="K1445" s="2"/>
    </row>
    <row r="1446" spans="1:11" x14ac:dyDescent="0.3">
      <c r="A1446" s="5" t="str">
        <f>IF(D1446="","",COUNTIF($D$5:D1446,"?*"))</f>
        <v/>
      </c>
      <c r="B1446" s="6"/>
      <c r="C1446" s="5" t="str">
        <f>IF(B1446="","",INDEX({"Ocak","Şubat","Mart","Nisan","Mayıs","Haziran","Temmuz","Ağustos","Eylül","Ekim","Kasım","Aralık"},MONTH(B1446)))</f>
        <v/>
      </c>
      <c r="D1446" s="2"/>
      <c r="E1446" s="5" t="str">
        <f>IFERROR(INDEX('Malzeme Tanımlama'!$B$5:$B$300,MATCH(D1446,'Malzeme Tanımlama'!$A$5:$A$300,0)),"")</f>
        <v/>
      </c>
      <c r="F1446" s="2"/>
      <c r="G1446" s="5"/>
      <c r="H1446" s="5" t="str">
        <f>IFERROR(INDEX('Malzeme Tanımlama'!$D$5:$D$300,MATCH(D1446,'Malzeme Tanımlama'!$A$5:$A$300,0)),"")</f>
        <v/>
      </c>
      <c r="I1446" s="2"/>
      <c r="J1446" s="2"/>
      <c r="K1446" s="2"/>
    </row>
    <row r="1447" spans="1:11" x14ac:dyDescent="0.3">
      <c r="A1447" s="5" t="str">
        <f>IF(D1447="","",COUNTIF($D$5:D1447,"?*"))</f>
        <v/>
      </c>
      <c r="B1447" s="6"/>
      <c r="C1447" s="5" t="str">
        <f>IF(B1447="","",INDEX({"Ocak","Şubat","Mart","Nisan","Mayıs","Haziran","Temmuz","Ağustos","Eylül","Ekim","Kasım","Aralık"},MONTH(B1447)))</f>
        <v/>
      </c>
      <c r="D1447" s="2"/>
      <c r="E1447" s="5" t="str">
        <f>IFERROR(INDEX('Malzeme Tanımlama'!$B$5:$B$300,MATCH(D1447,'Malzeme Tanımlama'!$A$5:$A$300,0)),"")</f>
        <v/>
      </c>
      <c r="F1447" s="2"/>
      <c r="G1447" s="5"/>
      <c r="H1447" s="5" t="str">
        <f>IFERROR(INDEX('Malzeme Tanımlama'!$D$5:$D$300,MATCH(D1447,'Malzeme Tanımlama'!$A$5:$A$300,0)),"")</f>
        <v/>
      </c>
      <c r="I1447" s="2"/>
      <c r="J1447" s="2"/>
      <c r="K1447" s="2"/>
    </row>
    <row r="1448" spans="1:11" x14ac:dyDescent="0.3">
      <c r="A1448" s="5" t="str">
        <f>IF(D1448="","",COUNTIF($D$5:D1448,"?*"))</f>
        <v/>
      </c>
      <c r="B1448" s="6"/>
      <c r="C1448" s="5" t="str">
        <f>IF(B1448="","",INDEX({"Ocak","Şubat","Mart","Nisan","Mayıs","Haziran","Temmuz","Ağustos","Eylül","Ekim","Kasım","Aralık"},MONTH(B1448)))</f>
        <v/>
      </c>
      <c r="D1448" s="2"/>
      <c r="E1448" s="5" t="str">
        <f>IFERROR(INDEX('Malzeme Tanımlama'!$B$5:$B$300,MATCH(D1448,'Malzeme Tanımlama'!$A$5:$A$300,0)),"")</f>
        <v/>
      </c>
      <c r="F1448" s="2"/>
      <c r="G1448" s="5"/>
      <c r="H1448" s="5" t="str">
        <f>IFERROR(INDEX('Malzeme Tanımlama'!$D$5:$D$300,MATCH(D1448,'Malzeme Tanımlama'!$A$5:$A$300,0)),"")</f>
        <v/>
      </c>
      <c r="I1448" s="2"/>
      <c r="J1448" s="2"/>
      <c r="K1448" s="2"/>
    </row>
    <row r="1449" spans="1:11" x14ac:dyDescent="0.3">
      <c r="A1449" s="5" t="str">
        <f>IF(D1449="","",COUNTIF($D$5:D1449,"?*"))</f>
        <v/>
      </c>
      <c r="B1449" s="6"/>
      <c r="C1449" s="5" t="str">
        <f>IF(B1449="","",INDEX({"Ocak","Şubat","Mart","Nisan","Mayıs","Haziran","Temmuz","Ağustos","Eylül","Ekim","Kasım","Aralık"},MONTH(B1449)))</f>
        <v/>
      </c>
      <c r="D1449" s="2"/>
      <c r="E1449" s="5" t="str">
        <f>IFERROR(INDEX('Malzeme Tanımlama'!$B$5:$B$300,MATCH(D1449,'Malzeme Tanımlama'!$A$5:$A$300,0)),"")</f>
        <v/>
      </c>
      <c r="F1449" s="2"/>
      <c r="G1449" s="5"/>
      <c r="H1449" s="5" t="str">
        <f>IFERROR(INDEX('Malzeme Tanımlama'!$D$5:$D$300,MATCH(D1449,'Malzeme Tanımlama'!$A$5:$A$300,0)),"")</f>
        <v/>
      </c>
      <c r="I1449" s="2"/>
      <c r="J1449" s="2"/>
      <c r="K1449" s="2"/>
    </row>
    <row r="1450" spans="1:11" x14ac:dyDescent="0.3">
      <c r="A1450" s="5" t="str">
        <f>IF(D1450="","",COUNTIF($D$5:D1450,"?*"))</f>
        <v/>
      </c>
      <c r="B1450" s="6"/>
      <c r="C1450" s="5" t="str">
        <f>IF(B1450="","",INDEX({"Ocak","Şubat","Mart","Nisan","Mayıs","Haziran","Temmuz","Ağustos","Eylül","Ekim","Kasım","Aralık"},MONTH(B1450)))</f>
        <v/>
      </c>
      <c r="D1450" s="2"/>
      <c r="E1450" s="5" t="str">
        <f>IFERROR(INDEX('Malzeme Tanımlama'!$B$5:$B$300,MATCH(D1450,'Malzeme Tanımlama'!$A$5:$A$300,0)),"")</f>
        <v/>
      </c>
      <c r="F1450" s="2"/>
      <c r="G1450" s="5"/>
      <c r="H1450" s="5" t="str">
        <f>IFERROR(INDEX('Malzeme Tanımlama'!$D$5:$D$300,MATCH(D1450,'Malzeme Tanımlama'!$A$5:$A$300,0)),"")</f>
        <v/>
      </c>
      <c r="I1450" s="2"/>
      <c r="J1450" s="2"/>
      <c r="K1450" s="2"/>
    </row>
    <row r="1451" spans="1:11" x14ac:dyDescent="0.3">
      <c r="A1451" s="5" t="str">
        <f>IF(D1451="","",COUNTIF($D$5:D1451,"?*"))</f>
        <v/>
      </c>
      <c r="B1451" s="6"/>
      <c r="C1451" s="5" t="str">
        <f>IF(B1451="","",INDEX({"Ocak","Şubat","Mart","Nisan","Mayıs","Haziran","Temmuz","Ağustos","Eylül","Ekim","Kasım","Aralık"},MONTH(B1451)))</f>
        <v/>
      </c>
      <c r="D1451" s="2"/>
      <c r="E1451" s="5" t="str">
        <f>IFERROR(INDEX('Malzeme Tanımlama'!$B$5:$B$300,MATCH(D1451,'Malzeme Tanımlama'!$A$5:$A$300,0)),"")</f>
        <v/>
      </c>
      <c r="F1451" s="2"/>
      <c r="G1451" s="5"/>
      <c r="H1451" s="5" t="str">
        <f>IFERROR(INDEX('Malzeme Tanımlama'!$D$5:$D$300,MATCH(D1451,'Malzeme Tanımlama'!$A$5:$A$300,0)),"")</f>
        <v/>
      </c>
      <c r="I1451" s="2"/>
      <c r="J1451" s="2"/>
      <c r="K1451" s="2"/>
    </row>
    <row r="1452" spans="1:11" x14ac:dyDescent="0.3">
      <c r="A1452" s="5" t="str">
        <f>IF(D1452="","",COUNTIF($D$5:D1452,"?*"))</f>
        <v/>
      </c>
      <c r="B1452" s="6"/>
      <c r="C1452" s="5" t="str">
        <f>IF(B1452="","",INDEX({"Ocak","Şubat","Mart","Nisan","Mayıs","Haziran","Temmuz","Ağustos","Eylül","Ekim","Kasım","Aralık"},MONTH(B1452)))</f>
        <v/>
      </c>
      <c r="D1452" s="2"/>
      <c r="E1452" s="5" t="str">
        <f>IFERROR(INDEX('Malzeme Tanımlama'!$B$5:$B$300,MATCH(D1452,'Malzeme Tanımlama'!$A$5:$A$300,0)),"")</f>
        <v/>
      </c>
      <c r="F1452" s="2"/>
      <c r="G1452" s="5"/>
      <c r="H1452" s="5" t="str">
        <f>IFERROR(INDEX('Malzeme Tanımlama'!$D$5:$D$300,MATCH(D1452,'Malzeme Tanımlama'!$A$5:$A$300,0)),"")</f>
        <v/>
      </c>
      <c r="I1452" s="2"/>
      <c r="J1452" s="2"/>
      <c r="K1452" s="2"/>
    </row>
    <row r="1453" spans="1:11" x14ac:dyDescent="0.3">
      <c r="A1453" s="5" t="str">
        <f>IF(D1453="","",COUNTIF($D$5:D1453,"?*"))</f>
        <v/>
      </c>
      <c r="B1453" s="6"/>
      <c r="C1453" s="5" t="str">
        <f>IF(B1453="","",INDEX({"Ocak","Şubat","Mart","Nisan","Mayıs","Haziran","Temmuz","Ağustos","Eylül","Ekim","Kasım","Aralık"},MONTH(B1453)))</f>
        <v/>
      </c>
      <c r="D1453" s="2"/>
      <c r="E1453" s="5" t="str">
        <f>IFERROR(INDEX('Malzeme Tanımlama'!$B$5:$B$300,MATCH(D1453,'Malzeme Tanımlama'!$A$5:$A$300,0)),"")</f>
        <v/>
      </c>
      <c r="F1453" s="2"/>
      <c r="G1453" s="5"/>
      <c r="H1453" s="5" t="str">
        <f>IFERROR(INDEX('Malzeme Tanımlama'!$D$5:$D$300,MATCH(D1453,'Malzeme Tanımlama'!$A$5:$A$300,0)),"")</f>
        <v/>
      </c>
      <c r="I1453" s="2"/>
      <c r="J1453" s="2"/>
      <c r="K1453" s="2"/>
    </row>
    <row r="1454" spans="1:11" x14ac:dyDescent="0.3">
      <c r="A1454" s="5" t="str">
        <f>IF(D1454="","",COUNTIF($D$5:D1454,"?*"))</f>
        <v/>
      </c>
      <c r="B1454" s="6"/>
      <c r="C1454" s="5" t="str">
        <f>IF(B1454="","",INDEX({"Ocak","Şubat","Mart","Nisan","Mayıs","Haziran","Temmuz","Ağustos","Eylül","Ekim","Kasım","Aralık"},MONTH(B1454)))</f>
        <v/>
      </c>
      <c r="D1454" s="2"/>
      <c r="E1454" s="5" t="str">
        <f>IFERROR(INDEX('Malzeme Tanımlama'!$B$5:$B$300,MATCH(D1454,'Malzeme Tanımlama'!$A$5:$A$300,0)),"")</f>
        <v/>
      </c>
      <c r="F1454" s="2"/>
      <c r="G1454" s="5"/>
      <c r="H1454" s="5" t="str">
        <f>IFERROR(INDEX('Malzeme Tanımlama'!$D$5:$D$300,MATCH(D1454,'Malzeme Tanımlama'!$A$5:$A$300,0)),"")</f>
        <v/>
      </c>
      <c r="I1454" s="2"/>
      <c r="J1454" s="2"/>
      <c r="K1454" s="2"/>
    </row>
    <row r="1455" spans="1:11" x14ac:dyDescent="0.3">
      <c r="A1455" s="5" t="str">
        <f>IF(D1455="","",COUNTIF($D$5:D1455,"?*"))</f>
        <v/>
      </c>
      <c r="B1455" s="6"/>
      <c r="C1455" s="5" t="str">
        <f>IF(B1455="","",INDEX({"Ocak","Şubat","Mart","Nisan","Mayıs","Haziran","Temmuz","Ağustos","Eylül","Ekim","Kasım","Aralık"},MONTH(B1455)))</f>
        <v/>
      </c>
      <c r="D1455" s="2"/>
      <c r="E1455" s="5" t="str">
        <f>IFERROR(INDEX('Malzeme Tanımlama'!$B$5:$B$300,MATCH(D1455,'Malzeme Tanımlama'!$A$5:$A$300,0)),"")</f>
        <v/>
      </c>
      <c r="F1455" s="2"/>
      <c r="G1455" s="5"/>
      <c r="H1455" s="5" t="str">
        <f>IFERROR(INDEX('Malzeme Tanımlama'!$D$5:$D$300,MATCH(D1455,'Malzeme Tanımlama'!$A$5:$A$300,0)),"")</f>
        <v/>
      </c>
      <c r="I1455" s="2"/>
      <c r="J1455" s="2"/>
      <c r="K1455" s="2"/>
    </row>
    <row r="1456" spans="1:11" x14ac:dyDescent="0.3">
      <c r="A1456" s="5" t="str">
        <f>IF(D1456="","",COUNTIF($D$5:D1456,"?*"))</f>
        <v/>
      </c>
      <c r="B1456" s="6"/>
      <c r="C1456" s="5" t="str">
        <f>IF(B1456="","",INDEX({"Ocak","Şubat","Mart","Nisan","Mayıs","Haziran","Temmuz","Ağustos","Eylül","Ekim","Kasım","Aralık"},MONTH(B1456)))</f>
        <v/>
      </c>
      <c r="D1456" s="2"/>
      <c r="E1456" s="5" t="str">
        <f>IFERROR(INDEX('Malzeme Tanımlama'!$B$5:$B$300,MATCH(D1456,'Malzeme Tanımlama'!$A$5:$A$300,0)),"")</f>
        <v/>
      </c>
      <c r="F1456" s="2"/>
      <c r="G1456" s="5"/>
      <c r="H1456" s="5" t="str">
        <f>IFERROR(INDEX('Malzeme Tanımlama'!$D$5:$D$300,MATCH(D1456,'Malzeme Tanımlama'!$A$5:$A$300,0)),"")</f>
        <v/>
      </c>
      <c r="I1456" s="2"/>
      <c r="J1456" s="2"/>
      <c r="K1456" s="2"/>
    </row>
    <row r="1457" spans="1:11" x14ac:dyDescent="0.3">
      <c r="A1457" s="5" t="str">
        <f>IF(D1457="","",COUNTIF($D$5:D1457,"?*"))</f>
        <v/>
      </c>
      <c r="B1457" s="6"/>
      <c r="C1457" s="5" t="str">
        <f>IF(B1457="","",INDEX({"Ocak","Şubat","Mart","Nisan","Mayıs","Haziran","Temmuz","Ağustos","Eylül","Ekim","Kasım","Aralık"},MONTH(B1457)))</f>
        <v/>
      </c>
      <c r="D1457" s="2"/>
      <c r="E1457" s="5" t="str">
        <f>IFERROR(INDEX('Malzeme Tanımlama'!$B$5:$B$300,MATCH(D1457,'Malzeme Tanımlama'!$A$5:$A$300,0)),"")</f>
        <v/>
      </c>
      <c r="F1457" s="2"/>
      <c r="G1457" s="5"/>
      <c r="H1457" s="5" t="str">
        <f>IFERROR(INDEX('Malzeme Tanımlama'!$D$5:$D$300,MATCH(D1457,'Malzeme Tanımlama'!$A$5:$A$300,0)),"")</f>
        <v/>
      </c>
      <c r="I1457" s="2"/>
      <c r="J1457" s="2"/>
      <c r="K1457" s="2"/>
    </row>
    <row r="1458" spans="1:11" x14ac:dyDescent="0.3">
      <c r="A1458" s="5" t="str">
        <f>IF(D1458="","",COUNTIF($D$5:D1458,"?*"))</f>
        <v/>
      </c>
      <c r="B1458" s="6"/>
      <c r="C1458" s="5" t="str">
        <f>IF(B1458="","",INDEX({"Ocak","Şubat","Mart","Nisan","Mayıs","Haziran","Temmuz","Ağustos","Eylül","Ekim","Kasım","Aralık"},MONTH(B1458)))</f>
        <v/>
      </c>
      <c r="D1458" s="2"/>
      <c r="E1458" s="5" t="str">
        <f>IFERROR(INDEX('Malzeme Tanımlama'!$B$5:$B$300,MATCH(D1458,'Malzeme Tanımlama'!$A$5:$A$300,0)),"")</f>
        <v/>
      </c>
      <c r="F1458" s="2"/>
      <c r="G1458" s="5"/>
      <c r="H1458" s="5" t="str">
        <f>IFERROR(INDEX('Malzeme Tanımlama'!$D$5:$D$300,MATCH(D1458,'Malzeme Tanımlama'!$A$5:$A$300,0)),"")</f>
        <v/>
      </c>
      <c r="I1458" s="2"/>
      <c r="J1458" s="2"/>
      <c r="K1458" s="2"/>
    </row>
    <row r="1459" spans="1:11" x14ac:dyDescent="0.3">
      <c r="A1459" s="5" t="str">
        <f>IF(D1459="","",COUNTIF($D$5:D1459,"?*"))</f>
        <v/>
      </c>
      <c r="B1459" s="6"/>
      <c r="C1459" s="5" t="str">
        <f>IF(B1459="","",INDEX({"Ocak","Şubat","Mart","Nisan","Mayıs","Haziran","Temmuz","Ağustos","Eylül","Ekim","Kasım","Aralık"},MONTH(B1459)))</f>
        <v/>
      </c>
      <c r="D1459" s="2"/>
      <c r="E1459" s="5" t="str">
        <f>IFERROR(INDEX('Malzeme Tanımlama'!$B$5:$B$300,MATCH(D1459,'Malzeme Tanımlama'!$A$5:$A$300,0)),"")</f>
        <v/>
      </c>
      <c r="F1459" s="2"/>
      <c r="G1459" s="5"/>
      <c r="H1459" s="5" t="str">
        <f>IFERROR(INDEX('Malzeme Tanımlama'!$D$5:$D$300,MATCH(D1459,'Malzeme Tanımlama'!$A$5:$A$300,0)),"")</f>
        <v/>
      </c>
      <c r="I1459" s="2"/>
      <c r="J1459" s="2"/>
      <c r="K1459" s="2"/>
    </row>
    <row r="1460" spans="1:11" x14ac:dyDescent="0.3">
      <c r="A1460" s="5" t="str">
        <f>IF(D1460="","",COUNTIF($D$5:D1460,"?*"))</f>
        <v/>
      </c>
      <c r="B1460" s="6"/>
      <c r="C1460" s="5" t="str">
        <f>IF(B1460="","",INDEX({"Ocak","Şubat","Mart","Nisan","Mayıs","Haziran","Temmuz","Ağustos","Eylül","Ekim","Kasım","Aralık"},MONTH(B1460)))</f>
        <v/>
      </c>
      <c r="D1460" s="2"/>
      <c r="E1460" s="5" t="str">
        <f>IFERROR(INDEX('Malzeme Tanımlama'!$B$5:$B$300,MATCH(D1460,'Malzeme Tanımlama'!$A$5:$A$300,0)),"")</f>
        <v/>
      </c>
      <c r="F1460" s="2"/>
      <c r="G1460" s="5"/>
      <c r="H1460" s="5" t="str">
        <f>IFERROR(INDEX('Malzeme Tanımlama'!$D$5:$D$300,MATCH(D1460,'Malzeme Tanımlama'!$A$5:$A$300,0)),"")</f>
        <v/>
      </c>
      <c r="I1460" s="2"/>
      <c r="J1460" s="2"/>
      <c r="K1460" s="2"/>
    </row>
    <row r="1461" spans="1:11" x14ac:dyDescent="0.3">
      <c r="A1461" s="5" t="str">
        <f>IF(D1461="","",COUNTIF($D$5:D1461,"?*"))</f>
        <v/>
      </c>
      <c r="B1461" s="6"/>
      <c r="C1461" s="5" t="str">
        <f>IF(B1461="","",INDEX({"Ocak","Şubat","Mart","Nisan","Mayıs","Haziran","Temmuz","Ağustos","Eylül","Ekim","Kasım","Aralık"},MONTH(B1461)))</f>
        <v/>
      </c>
      <c r="D1461" s="2"/>
      <c r="E1461" s="5" t="str">
        <f>IFERROR(INDEX('Malzeme Tanımlama'!$B$5:$B$300,MATCH(D1461,'Malzeme Tanımlama'!$A$5:$A$300,0)),"")</f>
        <v/>
      </c>
      <c r="F1461" s="2"/>
      <c r="G1461" s="5"/>
      <c r="H1461" s="5" t="str">
        <f>IFERROR(INDEX('Malzeme Tanımlama'!$D$5:$D$300,MATCH(D1461,'Malzeme Tanımlama'!$A$5:$A$300,0)),"")</f>
        <v/>
      </c>
      <c r="I1461" s="2"/>
      <c r="J1461" s="2"/>
      <c r="K1461" s="2"/>
    </row>
    <row r="1462" spans="1:11" x14ac:dyDescent="0.3">
      <c r="A1462" s="5" t="str">
        <f>IF(D1462="","",COUNTIF($D$5:D1462,"?*"))</f>
        <v/>
      </c>
      <c r="B1462" s="6"/>
      <c r="C1462" s="5" t="str">
        <f>IF(B1462="","",INDEX({"Ocak","Şubat","Mart","Nisan","Mayıs","Haziran","Temmuz","Ağustos","Eylül","Ekim","Kasım","Aralık"},MONTH(B1462)))</f>
        <v/>
      </c>
      <c r="D1462" s="2"/>
      <c r="E1462" s="5" t="str">
        <f>IFERROR(INDEX('Malzeme Tanımlama'!$B$5:$B$300,MATCH(D1462,'Malzeme Tanımlama'!$A$5:$A$300,0)),"")</f>
        <v/>
      </c>
      <c r="F1462" s="2"/>
      <c r="G1462" s="5"/>
      <c r="H1462" s="5" t="str">
        <f>IFERROR(INDEX('Malzeme Tanımlama'!$D$5:$D$300,MATCH(D1462,'Malzeme Tanımlama'!$A$5:$A$300,0)),"")</f>
        <v/>
      </c>
      <c r="I1462" s="2"/>
      <c r="J1462" s="2"/>
      <c r="K1462" s="2"/>
    </row>
    <row r="1463" spans="1:11" x14ac:dyDescent="0.3">
      <c r="A1463" s="5" t="str">
        <f>IF(D1463="","",COUNTIF($D$5:D1463,"?*"))</f>
        <v/>
      </c>
      <c r="B1463" s="6"/>
      <c r="C1463" s="5" t="str">
        <f>IF(B1463="","",INDEX({"Ocak","Şubat","Mart","Nisan","Mayıs","Haziran","Temmuz","Ağustos","Eylül","Ekim","Kasım","Aralık"},MONTH(B1463)))</f>
        <v/>
      </c>
      <c r="D1463" s="2"/>
      <c r="E1463" s="5" t="str">
        <f>IFERROR(INDEX('Malzeme Tanımlama'!$B$5:$B$300,MATCH(D1463,'Malzeme Tanımlama'!$A$5:$A$300,0)),"")</f>
        <v/>
      </c>
      <c r="F1463" s="2"/>
      <c r="G1463" s="5"/>
      <c r="H1463" s="5" t="str">
        <f>IFERROR(INDEX('Malzeme Tanımlama'!$D$5:$D$300,MATCH(D1463,'Malzeme Tanımlama'!$A$5:$A$300,0)),"")</f>
        <v/>
      </c>
      <c r="I1463" s="2"/>
      <c r="J1463" s="2"/>
      <c r="K1463" s="2"/>
    </row>
    <row r="1464" spans="1:11" x14ac:dyDescent="0.3">
      <c r="A1464" s="5" t="str">
        <f>IF(D1464="","",COUNTIF($D$5:D1464,"?*"))</f>
        <v/>
      </c>
      <c r="B1464" s="6"/>
      <c r="C1464" s="5" t="str">
        <f>IF(B1464="","",INDEX({"Ocak","Şubat","Mart","Nisan","Mayıs","Haziran","Temmuz","Ağustos","Eylül","Ekim","Kasım","Aralık"},MONTH(B1464)))</f>
        <v/>
      </c>
      <c r="D1464" s="2"/>
      <c r="E1464" s="5" t="str">
        <f>IFERROR(INDEX('Malzeme Tanımlama'!$B$5:$B$300,MATCH(D1464,'Malzeme Tanımlama'!$A$5:$A$300,0)),"")</f>
        <v/>
      </c>
      <c r="F1464" s="2"/>
      <c r="G1464" s="5"/>
      <c r="H1464" s="5" t="str">
        <f>IFERROR(INDEX('Malzeme Tanımlama'!$D$5:$D$300,MATCH(D1464,'Malzeme Tanımlama'!$A$5:$A$300,0)),"")</f>
        <v/>
      </c>
      <c r="I1464" s="2"/>
      <c r="J1464" s="2"/>
      <c r="K1464" s="2"/>
    </row>
    <row r="1465" spans="1:11" x14ac:dyDescent="0.3">
      <c r="A1465" s="5" t="str">
        <f>IF(D1465="","",COUNTIF($D$5:D1465,"?*"))</f>
        <v/>
      </c>
      <c r="B1465" s="6"/>
      <c r="C1465" s="5" t="str">
        <f>IF(B1465="","",INDEX({"Ocak","Şubat","Mart","Nisan","Mayıs","Haziran","Temmuz","Ağustos","Eylül","Ekim","Kasım","Aralık"},MONTH(B1465)))</f>
        <v/>
      </c>
      <c r="D1465" s="2"/>
      <c r="E1465" s="5" t="str">
        <f>IFERROR(INDEX('Malzeme Tanımlama'!$B$5:$B$300,MATCH(D1465,'Malzeme Tanımlama'!$A$5:$A$300,0)),"")</f>
        <v/>
      </c>
      <c r="F1465" s="2"/>
      <c r="G1465" s="5"/>
      <c r="H1465" s="5" t="str">
        <f>IFERROR(INDEX('Malzeme Tanımlama'!$D$5:$D$300,MATCH(D1465,'Malzeme Tanımlama'!$A$5:$A$300,0)),"")</f>
        <v/>
      </c>
      <c r="I1465" s="2"/>
      <c r="J1465" s="2"/>
      <c r="K1465" s="2"/>
    </row>
    <row r="1466" spans="1:11" x14ac:dyDescent="0.3">
      <c r="A1466" s="5" t="str">
        <f>IF(D1466="","",COUNTIF($D$5:D1466,"?*"))</f>
        <v/>
      </c>
      <c r="B1466" s="6"/>
      <c r="C1466" s="5" t="str">
        <f>IF(B1466="","",INDEX({"Ocak","Şubat","Mart","Nisan","Mayıs","Haziran","Temmuz","Ağustos","Eylül","Ekim","Kasım","Aralık"},MONTH(B1466)))</f>
        <v/>
      </c>
      <c r="D1466" s="2"/>
      <c r="E1466" s="5" t="str">
        <f>IFERROR(INDEX('Malzeme Tanımlama'!$B$5:$B$300,MATCH(D1466,'Malzeme Tanımlama'!$A$5:$A$300,0)),"")</f>
        <v/>
      </c>
      <c r="F1466" s="2"/>
      <c r="G1466" s="5"/>
      <c r="H1466" s="5" t="str">
        <f>IFERROR(INDEX('Malzeme Tanımlama'!$D$5:$D$300,MATCH(D1466,'Malzeme Tanımlama'!$A$5:$A$300,0)),"")</f>
        <v/>
      </c>
      <c r="I1466" s="2"/>
      <c r="J1466" s="2"/>
      <c r="K1466" s="2"/>
    </row>
    <row r="1467" spans="1:11" x14ac:dyDescent="0.3">
      <c r="A1467" s="5" t="str">
        <f>IF(D1467="","",COUNTIF($D$5:D1467,"?*"))</f>
        <v/>
      </c>
      <c r="B1467" s="6"/>
      <c r="C1467" s="5" t="str">
        <f>IF(B1467="","",INDEX({"Ocak","Şubat","Mart","Nisan","Mayıs","Haziran","Temmuz","Ağustos","Eylül","Ekim","Kasım","Aralık"},MONTH(B1467)))</f>
        <v/>
      </c>
      <c r="D1467" s="2"/>
      <c r="E1467" s="5" t="str">
        <f>IFERROR(INDEX('Malzeme Tanımlama'!$B$5:$B$300,MATCH(D1467,'Malzeme Tanımlama'!$A$5:$A$300,0)),"")</f>
        <v/>
      </c>
      <c r="F1467" s="2"/>
      <c r="G1467" s="5"/>
      <c r="H1467" s="5" t="str">
        <f>IFERROR(INDEX('Malzeme Tanımlama'!$D$5:$D$300,MATCH(D1467,'Malzeme Tanımlama'!$A$5:$A$300,0)),"")</f>
        <v/>
      </c>
      <c r="I1467" s="2"/>
      <c r="J1467" s="2"/>
      <c r="K1467" s="2"/>
    </row>
    <row r="1468" spans="1:11" x14ac:dyDescent="0.3">
      <c r="A1468" s="5" t="str">
        <f>IF(D1468="","",COUNTIF($D$5:D1468,"?*"))</f>
        <v/>
      </c>
      <c r="B1468" s="6"/>
      <c r="C1468" s="5" t="str">
        <f>IF(B1468="","",INDEX({"Ocak","Şubat","Mart","Nisan","Mayıs","Haziran","Temmuz","Ağustos","Eylül","Ekim","Kasım","Aralık"},MONTH(B1468)))</f>
        <v/>
      </c>
      <c r="D1468" s="2"/>
      <c r="E1468" s="5" t="str">
        <f>IFERROR(INDEX('Malzeme Tanımlama'!$B$5:$B$300,MATCH(D1468,'Malzeme Tanımlama'!$A$5:$A$300,0)),"")</f>
        <v/>
      </c>
      <c r="F1468" s="2"/>
      <c r="G1468" s="5"/>
      <c r="H1468" s="5" t="str">
        <f>IFERROR(INDEX('Malzeme Tanımlama'!$D$5:$D$300,MATCH(D1468,'Malzeme Tanımlama'!$A$5:$A$300,0)),"")</f>
        <v/>
      </c>
      <c r="I1468" s="2"/>
      <c r="J1468" s="2"/>
      <c r="K1468" s="2"/>
    </row>
    <row r="1469" spans="1:11" x14ac:dyDescent="0.3">
      <c r="A1469" s="5" t="str">
        <f>IF(D1469="","",COUNTIF($D$5:D1469,"?*"))</f>
        <v/>
      </c>
      <c r="B1469" s="6"/>
      <c r="C1469" s="5" t="str">
        <f>IF(B1469="","",INDEX({"Ocak","Şubat","Mart","Nisan","Mayıs","Haziran","Temmuz","Ağustos","Eylül","Ekim","Kasım","Aralık"},MONTH(B1469)))</f>
        <v/>
      </c>
      <c r="D1469" s="2"/>
      <c r="E1469" s="5" t="str">
        <f>IFERROR(INDEX('Malzeme Tanımlama'!$B$5:$B$300,MATCH(D1469,'Malzeme Tanımlama'!$A$5:$A$300,0)),"")</f>
        <v/>
      </c>
      <c r="F1469" s="2"/>
      <c r="G1469" s="5"/>
      <c r="H1469" s="5" t="str">
        <f>IFERROR(INDEX('Malzeme Tanımlama'!$D$5:$D$300,MATCH(D1469,'Malzeme Tanımlama'!$A$5:$A$300,0)),"")</f>
        <v/>
      </c>
      <c r="I1469" s="2"/>
      <c r="J1469" s="2"/>
      <c r="K1469" s="2"/>
    </row>
    <row r="1470" spans="1:11" x14ac:dyDescent="0.3">
      <c r="A1470" s="5" t="str">
        <f>IF(D1470="","",COUNTIF($D$5:D1470,"?*"))</f>
        <v/>
      </c>
      <c r="B1470" s="6"/>
      <c r="C1470" s="5" t="str">
        <f>IF(B1470="","",INDEX({"Ocak","Şubat","Mart","Nisan","Mayıs","Haziran","Temmuz","Ağustos","Eylül","Ekim","Kasım","Aralık"},MONTH(B1470)))</f>
        <v/>
      </c>
      <c r="D1470" s="2"/>
      <c r="E1470" s="5" t="str">
        <f>IFERROR(INDEX('Malzeme Tanımlama'!$B$5:$B$300,MATCH(D1470,'Malzeme Tanımlama'!$A$5:$A$300,0)),"")</f>
        <v/>
      </c>
      <c r="F1470" s="2"/>
      <c r="G1470" s="5"/>
      <c r="H1470" s="5" t="str">
        <f>IFERROR(INDEX('Malzeme Tanımlama'!$D$5:$D$300,MATCH(D1470,'Malzeme Tanımlama'!$A$5:$A$300,0)),"")</f>
        <v/>
      </c>
      <c r="I1470" s="2"/>
      <c r="J1470" s="2"/>
      <c r="K1470" s="2"/>
    </row>
    <row r="1471" spans="1:11" x14ac:dyDescent="0.3">
      <c r="A1471" s="5" t="str">
        <f>IF(D1471="","",COUNTIF($D$5:D1471,"?*"))</f>
        <v/>
      </c>
      <c r="B1471" s="6"/>
      <c r="C1471" s="5" t="str">
        <f>IF(B1471="","",INDEX({"Ocak","Şubat","Mart","Nisan","Mayıs","Haziran","Temmuz","Ağustos","Eylül","Ekim","Kasım","Aralık"},MONTH(B1471)))</f>
        <v/>
      </c>
      <c r="D1471" s="2"/>
      <c r="E1471" s="5" t="str">
        <f>IFERROR(INDEX('Malzeme Tanımlama'!$B$5:$B$300,MATCH(D1471,'Malzeme Tanımlama'!$A$5:$A$300,0)),"")</f>
        <v/>
      </c>
      <c r="F1471" s="2"/>
      <c r="G1471" s="5"/>
      <c r="H1471" s="5" t="str">
        <f>IFERROR(INDEX('Malzeme Tanımlama'!$D$5:$D$300,MATCH(D1471,'Malzeme Tanımlama'!$A$5:$A$300,0)),"")</f>
        <v/>
      </c>
      <c r="I1471" s="2"/>
      <c r="J1471" s="2"/>
      <c r="K1471" s="2"/>
    </row>
    <row r="1472" spans="1:11" x14ac:dyDescent="0.3">
      <c r="A1472" s="5" t="str">
        <f>IF(D1472="","",COUNTIF($D$5:D1472,"?*"))</f>
        <v/>
      </c>
      <c r="B1472" s="6"/>
      <c r="C1472" s="5" t="str">
        <f>IF(B1472="","",INDEX({"Ocak","Şubat","Mart","Nisan","Mayıs","Haziran","Temmuz","Ağustos","Eylül","Ekim","Kasım","Aralık"},MONTH(B1472)))</f>
        <v/>
      </c>
      <c r="D1472" s="2"/>
      <c r="E1472" s="5" t="str">
        <f>IFERROR(INDEX('Malzeme Tanımlama'!$B$5:$B$300,MATCH(D1472,'Malzeme Tanımlama'!$A$5:$A$300,0)),"")</f>
        <v/>
      </c>
      <c r="F1472" s="2"/>
      <c r="G1472" s="5"/>
      <c r="H1472" s="5" t="str">
        <f>IFERROR(INDEX('Malzeme Tanımlama'!$D$5:$D$300,MATCH(D1472,'Malzeme Tanımlama'!$A$5:$A$300,0)),"")</f>
        <v/>
      </c>
      <c r="I1472" s="2"/>
      <c r="J1472" s="2"/>
      <c r="K1472" s="2"/>
    </row>
    <row r="1473" spans="1:11" x14ac:dyDescent="0.3">
      <c r="A1473" s="5" t="str">
        <f>IF(D1473="","",COUNTIF($D$5:D1473,"?*"))</f>
        <v/>
      </c>
      <c r="B1473" s="6"/>
      <c r="C1473" s="5" t="str">
        <f>IF(B1473="","",INDEX({"Ocak","Şubat","Mart","Nisan","Mayıs","Haziran","Temmuz","Ağustos","Eylül","Ekim","Kasım","Aralık"},MONTH(B1473)))</f>
        <v/>
      </c>
      <c r="D1473" s="2"/>
      <c r="E1473" s="5" t="str">
        <f>IFERROR(INDEX('Malzeme Tanımlama'!$B$5:$B$300,MATCH(D1473,'Malzeme Tanımlama'!$A$5:$A$300,0)),"")</f>
        <v/>
      </c>
      <c r="F1473" s="2"/>
      <c r="G1473" s="5"/>
      <c r="H1473" s="5" t="str">
        <f>IFERROR(INDEX('Malzeme Tanımlama'!$D$5:$D$300,MATCH(D1473,'Malzeme Tanımlama'!$A$5:$A$300,0)),"")</f>
        <v/>
      </c>
      <c r="I1473" s="2"/>
      <c r="J1473" s="2"/>
      <c r="K1473" s="2"/>
    </row>
    <row r="1474" spans="1:11" x14ac:dyDescent="0.3">
      <c r="A1474" s="5" t="str">
        <f>IF(D1474="","",COUNTIF($D$5:D1474,"?*"))</f>
        <v/>
      </c>
      <c r="B1474" s="6"/>
      <c r="C1474" s="5" t="str">
        <f>IF(B1474="","",INDEX({"Ocak","Şubat","Mart","Nisan","Mayıs","Haziran","Temmuz","Ağustos","Eylül","Ekim","Kasım","Aralık"},MONTH(B1474)))</f>
        <v/>
      </c>
      <c r="D1474" s="2"/>
      <c r="E1474" s="5" t="str">
        <f>IFERROR(INDEX('Malzeme Tanımlama'!$B$5:$B$300,MATCH(D1474,'Malzeme Tanımlama'!$A$5:$A$300,0)),"")</f>
        <v/>
      </c>
      <c r="F1474" s="2"/>
      <c r="G1474" s="5"/>
      <c r="H1474" s="5" t="str">
        <f>IFERROR(INDEX('Malzeme Tanımlama'!$D$5:$D$300,MATCH(D1474,'Malzeme Tanımlama'!$A$5:$A$300,0)),"")</f>
        <v/>
      </c>
      <c r="I1474" s="2"/>
      <c r="J1474" s="2"/>
      <c r="K1474" s="2"/>
    </row>
    <row r="1475" spans="1:11" x14ac:dyDescent="0.3">
      <c r="A1475" s="5" t="str">
        <f>IF(D1475="","",COUNTIF($D$5:D1475,"?*"))</f>
        <v/>
      </c>
      <c r="B1475" s="6"/>
      <c r="C1475" s="5" t="str">
        <f>IF(B1475="","",INDEX({"Ocak","Şubat","Mart","Nisan","Mayıs","Haziran","Temmuz","Ağustos","Eylül","Ekim","Kasım","Aralık"},MONTH(B1475)))</f>
        <v/>
      </c>
      <c r="D1475" s="2"/>
      <c r="E1475" s="5" t="str">
        <f>IFERROR(INDEX('Malzeme Tanımlama'!$B$5:$B$300,MATCH(D1475,'Malzeme Tanımlama'!$A$5:$A$300,0)),"")</f>
        <v/>
      </c>
      <c r="F1475" s="2"/>
      <c r="G1475" s="5"/>
      <c r="H1475" s="5" t="str">
        <f>IFERROR(INDEX('Malzeme Tanımlama'!$D$5:$D$300,MATCH(D1475,'Malzeme Tanımlama'!$A$5:$A$300,0)),"")</f>
        <v/>
      </c>
      <c r="I1475" s="2"/>
      <c r="J1475" s="2"/>
      <c r="K1475" s="2"/>
    </row>
    <row r="1476" spans="1:11" x14ac:dyDescent="0.3">
      <c r="A1476" s="5" t="str">
        <f>IF(D1476="","",COUNTIF($D$5:D1476,"?*"))</f>
        <v/>
      </c>
      <c r="B1476" s="6"/>
      <c r="C1476" s="5" t="str">
        <f>IF(B1476="","",INDEX({"Ocak","Şubat","Mart","Nisan","Mayıs","Haziran","Temmuz","Ağustos","Eylül","Ekim","Kasım","Aralık"},MONTH(B1476)))</f>
        <v/>
      </c>
      <c r="D1476" s="2"/>
      <c r="E1476" s="5" t="str">
        <f>IFERROR(INDEX('Malzeme Tanımlama'!$B$5:$B$300,MATCH(D1476,'Malzeme Tanımlama'!$A$5:$A$300,0)),"")</f>
        <v/>
      </c>
      <c r="F1476" s="2"/>
      <c r="G1476" s="5"/>
      <c r="H1476" s="5" t="str">
        <f>IFERROR(INDEX('Malzeme Tanımlama'!$D$5:$D$300,MATCH(D1476,'Malzeme Tanımlama'!$A$5:$A$300,0)),"")</f>
        <v/>
      </c>
      <c r="I1476" s="2"/>
      <c r="J1476" s="2"/>
      <c r="K1476" s="2"/>
    </row>
    <row r="1477" spans="1:11" x14ac:dyDescent="0.3">
      <c r="A1477" s="5" t="str">
        <f>IF(D1477="","",COUNTIF($D$5:D1477,"?*"))</f>
        <v/>
      </c>
      <c r="B1477" s="6"/>
      <c r="C1477" s="5" t="str">
        <f>IF(B1477="","",INDEX({"Ocak","Şubat","Mart","Nisan","Mayıs","Haziran","Temmuz","Ağustos","Eylül","Ekim","Kasım","Aralık"},MONTH(B1477)))</f>
        <v/>
      </c>
      <c r="D1477" s="2"/>
      <c r="E1477" s="5" t="str">
        <f>IFERROR(INDEX('Malzeme Tanımlama'!$B$5:$B$300,MATCH(D1477,'Malzeme Tanımlama'!$A$5:$A$300,0)),"")</f>
        <v/>
      </c>
      <c r="F1477" s="2"/>
      <c r="G1477" s="5"/>
      <c r="H1477" s="5" t="str">
        <f>IFERROR(INDEX('Malzeme Tanımlama'!$D$5:$D$300,MATCH(D1477,'Malzeme Tanımlama'!$A$5:$A$300,0)),"")</f>
        <v/>
      </c>
      <c r="I1477" s="2"/>
      <c r="J1477" s="2"/>
      <c r="K1477" s="2"/>
    </row>
    <row r="1478" spans="1:11" x14ac:dyDescent="0.3">
      <c r="A1478" s="5" t="str">
        <f>IF(D1478="","",COUNTIF($D$5:D1478,"?*"))</f>
        <v/>
      </c>
      <c r="B1478" s="6"/>
      <c r="C1478" s="5" t="str">
        <f>IF(B1478="","",INDEX({"Ocak","Şubat","Mart","Nisan","Mayıs","Haziran","Temmuz","Ağustos","Eylül","Ekim","Kasım","Aralık"},MONTH(B1478)))</f>
        <v/>
      </c>
      <c r="D1478" s="2"/>
      <c r="E1478" s="5" t="str">
        <f>IFERROR(INDEX('Malzeme Tanımlama'!$B$5:$B$300,MATCH(D1478,'Malzeme Tanımlama'!$A$5:$A$300,0)),"")</f>
        <v/>
      </c>
      <c r="F1478" s="2"/>
      <c r="G1478" s="5"/>
      <c r="H1478" s="5" t="str">
        <f>IFERROR(INDEX('Malzeme Tanımlama'!$D$5:$D$300,MATCH(D1478,'Malzeme Tanımlama'!$A$5:$A$300,0)),"")</f>
        <v/>
      </c>
      <c r="I1478" s="2"/>
      <c r="J1478" s="2"/>
      <c r="K1478" s="2"/>
    </row>
    <row r="1479" spans="1:11" x14ac:dyDescent="0.3">
      <c r="A1479" s="5" t="str">
        <f>IF(D1479="","",COUNTIF($D$5:D1479,"?*"))</f>
        <v/>
      </c>
      <c r="B1479" s="6"/>
      <c r="C1479" s="5" t="str">
        <f>IF(B1479="","",INDEX({"Ocak","Şubat","Mart","Nisan","Mayıs","Haziran","Temmuz","Ağustos","Eylül","Ekim","Kasım","Aralık"},MONTH(B1479)))</f>
        <v/>
      </c>
      <c r="D1479" s="2"/>
      <c r="E1479" s="5" t="str">
        <f>IFERROR(INDEX('Malzeme Tanımlama'!$B$5:$B$300,MATCH(D1479,'Malzeme Tanımlama'!$A$5:$A$300,0)),"")</f>
        <v/>
      </c>
      <c r="F1479" s="2"/>
      <c r="G1479" s="5"/>
      <c r="H1479" s="5" t="str">
        <f>IFERROR(INDEX('Malzeme Tanımlama'!$D$5:$D$300,MATCH(D1479,'Malzeme Tanımlama'!$A$5:$A$300,0)),"")</f>
        <v/>
      </c>
      <c r="I1479" s="2"/>
      <c r="J1479" s="2"/>
      <c r="K1479" s="2"/>
    </row>
    <row r="1480" spans="1:11" x14ac:dyDescent="0.3">
      <c r="A1480" s="5" t="str">
        <f>IF(D1480="","",COUNTIF($D$5:D1480,"?*"))</f>
        <v/>
      </c>
      <c r="B1480" s="6"/>
      <c r="C1480" s="5" t="str">
        <f>IF(B1480="","",INDEX({"Ocak","Şubat","Mart","Nisan","Mayıs","Haziran","Temmuz","Ağustos","Eylül","Ekim","Kasım","Aralık"},MONTH(B1480)))</f>
        <v/>
      </c>
      <c r="D1480" s="2"/>
      <c r="E1480" s="5" t="str">
        <f>IFERROR(INDEX('Malzeme Tanımlama'!$B$5:$B$300,MATCH(D1480,'Malzeme Tanımlama'!$A$5:$A$300,0)),"")</f>
        <v/>
      </c>
      <c r="F1480" s="2"/>
      <c r="G1480" s="5"/>
      <c r="H1480" s="5" t="str">
        <f>IFERROR(INDEX('Malzeme Tanımlama'!$D$5:$D$300,MATCH(D1480,'Malzeme Tanımlama'!$A$5:$A$300,0)),"")</f>
        <v/>
      </c>
      <c r="I1480" s="2"/>
      <c r="J1480" s="2"/>
      <c r="K1480" s="2"/>
    </row>
    <row r="1481" spans="1:11" x14ac:dyDescent="0.3">
      <c r="A1481" s="5" t="str">
        <f>IF(D1481="","",COUNTIF($D$5:D1481,"?*"))</f>
        <v/>
      </c>
      <c r="B1481" s="6"/>
      <c r="C1481" s="5" t="str">
        <f>IF(B1481="","",INDEX({"Ocak","Şubat","Mart","Nisan","Mayıs","Haziran","Temmuz","Ağustos","Eylül","Ekim","Kasım","Aralık"},MONTH(B1481)))</f>
        <v/>
      </c>
      <c r="D1481" s="2"/>
      <c r="E1481" s="5" t="str">
        <f>IFERROR(INDEX('Malzeme Tanımlama'!$B$5:$B$300,MATCH(D1481,'Malzeme Tanımlama'!$A$5:$A$300,0)),"")</f>
        <v/>
      </c>
      <c r="F1481" s="2"/>
      <c r="G1481" s="5"/>
      <c r="H1481" s="5" t="str">
        <f>IFERROR(INDEX('Malzeme Tanımlama'!$D$5:$D$300,MATCH(D1481,'Malzeme Tanımlama'!$A$5:$A$300,0)),"")</f>
        <v/>
      </c>
      <c r="I1481" s="2"/>
      <c r="J1481" s="2"/>
      <c r="K1481" s="2"/>
    </row>
    <row r="1482" spans="1:11" x14ac:dyDescent="0.3">
      <c r="A1482" s="5" t="str">
        <f>IF(D1482="","",COUNTIF($D$5:D1482,"?*"))</f>
        <v/>
      </c>
      <c r="B1482" s="6"/>
      <c r="C1482" s="5" t="str">
        <f>IF(B1482="","",INDEX({"Ocak","Şubat","Mart","Nisan","Mayıs","Haziran","Temmuz","Ağustos","Eylül","Ekim","Kasım","Aralık"},MONTH(B1482)))</f>
        <v/>
      </c>
      <c r="D1482" s="2"/>
      <c r="E1482" s="5" t="str">
        <f>IFERROR(INDEX('Malzeme Tanımlama'!$B$5:$B$300,MATCH(D1482,'Malzeme Tanımlama'!$A$5:$A$300,0)),"")</f>
        <v/>
      </c>
      <c r="F1482" s="2"/>
      <c r="G1482" s="5"/>
      <c r="H1482" s="5" t="str">
        <f>IFERROR(INDEX('Malzeme Tanımlama'!$D$5:$D$300,MATCH(D1482,'Malzeme Tanımlama'!$A$5:$A$300,0)),"")</f>
        <v/>
      </c>
      <c r="I1482" s="2"/>
      <c r="J1482" s="2"/>
      <c r="K1482" s="2"/>
    </row>
    <row r="1483" spans="1:11" x14ac:dyDescent="0.3">
      <c r="A1483" s="5" t="str">
        <f>IF(D1483="","",COUNTIF($D$5:D1483,"?*"))</f>
        <v/>
      </c>
      <c r="B1483" s="6"/>
      <c r="C1483" s="5" t="str">
        <f>IF(B1483="","",INDEX({"Ocak","Şubat","Mart","Nisan","Mayıs","Haziran","Temmuz","Ağustos","Eylül","Ekim","Kasım","Aralık"},MONTH(B1483)))</f>
        <v/>
      </c>
      <c r="D1483" s="2"/>
      <c r="E1483" s="5" t="str">
        <f>IFERROR(INDEX('Malzeme Tanımlama'!$B$5:$B$300,MATCH(D1483,'Malzeme Tanımlama'!$A$5:$A$300,0)),"")</f>
        <v/>
      </c>
      <c r="F1483" s="2"/>
      <c r="G1483" s="5"/>
      <c r="H1483" s="5" t="str">
        <f>IFERROR(INDEX('Malzeme Tanımlama'!$D$5:$D$300,MATCH(D1483,'Malzeme Tanımlama'!$A$5:$A$300,0)),"")</f>
        <v/>
      </c>
      <c r="I1483" s="2"/>
      <c r="J1483" s="2"/>
      <c r="K1483" s="2"/>
    </row>
    <row r="1484" spans="1:11" x14ac:dyDescent="0.3">
      <c r="A1484" s="5" t="str">
        <f>IF(D1484="","",COUNTIF($D$5:D1484,"?*"))</f>
        <v/>
      </c>
      <c r="B1484" s="6"/>
      <c r="C1484" s="5" t="str">
        <f>IF(B1484="","",INDEX({"Ocak","Şubat","Mart","Nisan","Mayıs","Haziran","Temmuz","Ağustos","Eylül","Ekim","Kasım","Aralık"},MONTH(B1484)))</f>
        <v/>
      </c>
      <c r="D1484" s="2"/>
      <c r="E1484" s="5" t="str">
        <f>IFERROR(INDEX('Malzeme Tanımlama'!$B$5:$B$300,MATCH(D1484,'Malzeme Tanımlama'!$A$5:$A$300,0)),"")</f>
        <v/>
      </c>
      <c r="F1484" s="2"/>
      <c r="G1484" s="5"/>
      <c r="H1484" s="5" t="str">
        <f>IFERROR(INDEX('Malzeme Tanımlama'!$D$5:$D$300,MATCH(D1484,'Malzeme Tanımlama'!$A$5:$A$300,0)),"")</f>
        <v/>
      </c>
      <c r="I1484" s="2"/>
      <c r="J1484" s="2"/>
      <c r="K1484" s="2"/>
    </row>
    <row r="1485" spans="1:11" x14ac:dyDescent="0.3">
      <c r="A1485" s="5" t="str">
        <f>IF(D1485="","",COUNTIF($D$5:D1485,"?*"))</f>
        <v/>
      </c>
      <c r="B1485" s="6"/>
      <c r="C1485" s="5" t="str">
        <f>IF(B1485="","",INDEX({"Ocak","Şubat","Mart","Nisan","Mayıs","Haziran","Temmuz","Ağustos","Eylül","Ekim","Kasım","Aralık"},MONTH(B1485)))</f>
        <v/>
      </c>
      <c r="D1485" s="2"/>
      <c r="E1485" s="5" t="str">
        <f>IFERROR(INDEX('Malzeme Tanımlama'!$B$5:$B$300,MATCH(D1485,'Malzeme Tanımlama'!$A$5:$A$300,0)),"")</f>
        <v/>
      </c>
      <c r="F1485" s="2"/>
      <c r="G1485" s="5"/>
      <c r="H1485" s="5" t="str">
        <f>IFERROR(INDEX('Malzeme Tanımlama'!$D$5:$D$300,MATCH(D1485,'Malzeme Tanımlama'!$A$5:$A$300,0)),"")</f>
        <v/>
      </c>
      <c r="I1485" s="2"/>
      <c r="J1485" s="2"/>
      <c r="K1485" s="2"/>
    </row>
    <row r="1486" spans="1:11" x14ac:dyDescent="0.3">
      <c r="A1486" s="5" t="str">
        <f>IF(D1486="","",COUNTIF($D$5:D1486,"?*"))</f>
        <v/>
      </c>
      <c r="B1486" s="6"/>
      <c r="C1486" s="5" t="str">
        <f>IF(B1486="","",INDEX({"Ocak","Şubat","Mart","Nisan","Mayıs","Haziran","Temmuz","Ağustos","Eylül","Ekim","Kasım","Aralık"},MONTH(B1486)))</f>
        <v/>
      </c>
      <c r="D1486" s="2"/>
      <c r="E1486" s="5" t="str">
        <f>IFERROR(INDEX('Malzeme Tanımlama'!$B$5:$B$300,MATCH(D1486,'Malzeme Tanımlama'!$A$5:$A$300,0)),"")</f>
        <v/>
      </c>
      <c r="F1486" s="2"/>
      <c r="G1486" s="5"/>
      <c r="H1486" s="5" t="str">
        <f>IFERROR(INDEX('Malzeme Tanımlama'!$D$5:$D$300,MATCH(D1486,'Malzeme Tanımlama'!$A$5:$A$300,0)),"")</f>
        <v/>
      </c>
      <c r="I1486" s="2"/>
      <c r="J1486" s="2"/>
      <c r="K1486" s="2"/>
    </row>
    <row r="1487" spans="1:11" x14ac:dyDescent="0.3">
      <c r="A1487" s="5" t="str">
        <f>IF(D1487="","",COUNTIF($D$5:D1487,"?*"))</f>
        <v/>
      </c>
      <c r="B1487" s="6"/>
      <c r="C1487" s="5" t="str">
        <f>IF(B1487="","",INDEX({"Ocak","Şubat","Mart","Nisan","Mayıs","Haziran","Temmuz","Ağustos","Eylül","Ekim","Kasım","Aralık"},MONTH(B1487)))</f>
        <v/>
      </c>
      <c r="D1487" s="2"/>
      <c r="E1487" s="5" t="str">
        <f>IFERROR(INDEX('Malzeme Tanımlama'!$B$5:$B$300,MATCH(D1487,'Malzeme Tanımlama'!$A$5:$A$300,0)),"")</f>
        <v/>
      </c>
      <c r="F1487" s="2"/>
      <c r="G1487" s="5"/>
      <c r="H1487" s="5" t="str">
        <f>IFERROR(INDEX('Malzeme Tanımlama'!$D$5:$D$300,MATCH(D1487,'Malzeme Tanımlama'!$A$5:$A$300,0)),"")</f>
        <v/>
      </c>
      <c r="I1487" s="2"/>
      <c r="J1487" s="2"/>
      <c r="K1487" s="2"/>
    </row>
    <row r="1488" spans="1:11" x14ac:dyDescent="0.3">
      <c r="A1488" s="5" t="str">
        <f>IF(D1488="","",COUNTIF($D$5:D1488,"?*"))</f>
        <v/>
      </c>
      <c r="B1488" s="6"/>
      <c r="C1488" s="5" t="str">
        <f>IF(B1488="","",INDEX({"Ocak","Şubat","Mart","Nisan","Mayıs","Haziran","Temmuz","Ağustos","Eylül","Ekim","Kasım","Aralık"},MONTH(B1488)))</f>
        <v/>
      </c>
      <c r="D1488" s="2"/>
      <c r="E1488" s="5" t="str">
        <f>IFERROR(INDEX('Malzeme Tanımlama'!$B$5:$B$300,MATCH(D1488,'Malzeme Tanımlama'!$A$5:$A$300,0)),"")</f>
        <v/>
      </c>
      <c r="F1488" s="2"/>
      <c r="G1488" s="5"/>
      <c r="H1488" s="5" t="str">
        <f>IFERROR(INDEX('Malzeme Tanımlama'!$D$5:$D$300,MATCH(D1488,'Malzeme Tanımlama'!$A$5:$A$300,0)),"")</f>
        <v/>
      </c>
      <c r="I1488" s="2"/>
      <c r="J1488" s="2"/>
      <c r="K1488" s="2"/>
    </row>
    <row r="1489" spans="1:11" x14ac:dyDescent="0.3">
      <c r="A1489" s="5" t="str">
        <f>IF(D1489="","",COUNTIF($D$5:D1489,"?*"))</f>
        <v/>
      </c>
      <c r="B1489" s="6"/>
      <c r="C1489" s="5" t="str">
        <f>IF(B1489="","",INDEX({"Ocak","Şubat","Mart","Nisan","Mayıs","Haziran","Temmuz","Ağustos","Eylül","Ekim","Kasım","Aralık"},MONTH(B1489)))</f>
        <v/>
      </c>
      <c r="D1489" s="2"/>
      <c r="E1489" s="5" t="str">
        <f>IFERROR(INDEX('Malzeme Tanımlama'!$B$5:$B$300,MATCH(D1489,'Malzeme Tanımlama'!$A$5:$A$300,0)),"")</f>
        <v/>
      </c>
      <c r="F1489" s="2"/>
      <c r="G1489" s="5"/>
      <c r="H1489" s="5" t="str">
        <f>IFERROR(INDEX('Malzeme Tanımlama'!$D$5:$D$300,MATCH(D1489,'Malzeme Tanımlama'!$A$5:$A$300,0)),"")</f>
        <v/>
      </c>
      <c r="I1489" s="2"/>
      <c r="J1489" s="2"/>
      <c r="K1489" s="2"/>
    </row>
    <row r="1490" spans="1:11" x14ac:dyDescent="0.3">
      <c r="A1490" s="5" t="str">
        <f>IF(D1490="","",COUNTIF($D$5:D1490,"?*"))</f>
        <v/>
      </c>
      <c r="B1490" s="6"/>
      <c r="C1490" s="5" t="str">
        <f>IF(B1490="","",INDEX({"Ocak","Şubat","Mart","Nisan","Mayıs","Haziran","Temmuz","Ağustos","Eylül","Ekim","Kasım","Aralık"},MONTH(B1490)))</f>
        <v/>
      </c>
      <c r="D1490" s="2"/>
      <c r="E1490" s="5" t="str">
        <f>IFERROR(INDEX('Malzeme Tanımlama'!$B$5:$B$300,MATCH(D1490,'Malzeme Tanımlama'!$A$5:$A$300,0)),"")</f>
        <v/>
      </c>
      <c r="F1490" s="2"/>
      <c r="G1490" s="5"/>
      <c r="H1490" s="5" t="str">
        <f>IFERROR(INDEX('Malzeme Tanımlama'!$D$5:$D$300,MATCH(D1490,'Malzeme Tanımlama'!$A$5:$A$300,0)),"")</f>
        <v/>
      </c>
      <c r="I1490" s="2"/>
      <c r="J1490" s="2"/>
      <c r="K1490" s="2"/>
    </row>
    <row r="1491" spans="1:11" x14ac:dyDescent="0.3">
      <c r="A1491" s="5" t="str">
        <f>IF(D1491="","",COUNTIF($D$5:D1491,"?*"))</f>
        <v/>
      </c>
      <c r="B1491" s="6"/>
      <c r="C1491" s="5" t="str">
        <f>IF(B1491="","",INDEX({"Ocak","Şubat","Mart","Nisan","Mayıs","Haziran","Temmuz","Ağustos","Eylül","Ekim","Kasım","Aralık"},MONTH(B1491)))</f>
        <v/>
      </c>
      <c r="D1491" s="2"/>
      <c r="E1491" s="5" t="str">
        <f>IFERROR(INDEX('Malzeme Tanımlama'!$B$5:$B$300,MATCH(D1491,'Malzeme Tanımlama'!$A$5:$A$300,0)),"")</f>
        <v/>
      </c>
      <c r="F1491" s="2"/>
      <c r="G1491" s="5"/>
      <c r="H1491" s="5" t="str">
        <f>IFERROR(INDEX('Malzeme Tanımlama'!$D$5:$D$300,MATCH(D1491,'Malzeme Tanımlama'!$A$5:$A$300,0)),"")</f>
        <v/>
      </c>
      <c r="I1491" s="2"/>
      <c r="J1491" s="2"/>
      <c r="K1491" s="2"/>
    </row>
    <row r="1492" spans="1:11" x14ac:dyDescent="0.3">
      <c r="A1492" s="5" t="str">
        <f>IF(D1492="","",COUNTIF($D$5:D1492,"?*"))</f>
        <v/>
      </c>
      <c r="B1492" s="6"/>
      <c r="C1492" s="5" t="str">
        <f>IF(B1492="","",INDEX({"Ocak","Şubat","Mart","Nisan","Mayıs","Haziran","Temmuz","Ağustos","Eylül","Ekim","Kasım","Aralık"},MONTH(B1492)))</f>
        <v/>
      </c>
      <c r="D1492" s="2"/>
      <c r="E1492" s="5" t="str">
        <f>IFERROR(INDEX('Malzeme Tanımlama'!$B$5:$B$300,MATCH(D1492,'Malzeme Tanımlama'!$A$5:$A$300,0)),"")</f>
        <v/>
      </c>
      <c r="F1492" s="2"/>
      <c r="G1492" s="5"/>
      <c r="H1492" s="5" t="str">
        <f>IFERROR(INDEX('Malzeme Tanımlama'!$D$5:$D$300,MATCH(D1492,'Malzeme Tanımlama'!$A$5:$A$300,0)),"")</f>
        <v/>
      </c>
      <c r="I1492" s="2"/>
      <c r="J1492" s="2"/>
      <c r="K1492" s="2"/>
    </row>
    <row r="1493" spans="1:11" x14ac:dyDescent="0.3">
      <c r="A1493" s="5" t="str">
        <f>IF(D1493="","",COUNTIF($D$5:D1493,"?*"))</f>
        <v/>
      </c>
      <c r="B1493" s="6"/>
      <c r="C1493" s="5" t="str">
        <f>IF(B1493="","",INDEX({"Ocak","Şubat","Mart","Nisan","Mayıs","Haziran","Temmuz","Ağustos","Eylül","Ekim","Kasım","Aralık"},MONTH(B1493)))</f>
        <v/>
      </c>
      <c r="D1493" s="2"/>
      <c r="E1493" s="5" t="str">
        <f>IFERROR(INDEX('Malzeme Tanımlama'!$B$5:$B$300,MATCH(D1493,'Malzeme Tanımlama'!$A$5:$A$300,0)),"")</f>
        <v/>
      </c>
      <c r="F1493" s="2"/>
      <c r="G1493" s="5"/>
      <c r="H1493" s="5" t="str">
        <f>IFERROR(INDEX('Malzeme Tanımlama'!$D$5:$D$300,MATCH(D1493,'Malzeme Tanımlama'!$A$5:$A$300,0)),"")</f>
        <v/>
      </c>
      <c r="I1493" s="2"/>
      <c r="J1493" s="2"/>
      <c r="K1493" s="2"/>
    </row>
    <row r="1494" spans="1:11" x14ac:dyDescent="0.3">
      <c r="A1494" s="5" t="str">
        <f>IF(D1494="","",COUNTIF($D$5:D1494,"?*"))</f>
        <v/>
      </c>
      <c r="B1494" s="6"/>
      <c r="C1494" s="5" t="str">
        <f>IF(B1494="","",INDEX({"Ocak","Şubat","Mart","Nisan","Mayıs","Haziran","Temmuz","Ağustos","Eylül","Ekim","Kasım","Aralık"},MONTH(B1494)))</f>
        <v/>
      </c>
      <c r="D1494" s="2"/>
      <c r="E1494" s="5" t="str">
        <f>IFERROR(INDEX('Malzeme Tanımlama'!$B$5:$B$300,MATCH(D1494,'Malzeme Tanımlama'!$A$5:$A$300,0)),"")</f>
        <v/>
      </c>
      <c r="F1494" s="2"/>
      <c r="G1494" s="5"/>
      <c r="H1494" s="5" t="str">
        <f>IFERROR(INDEX('Malzeme Tanımlama'!$D$5:$D$300,MATCH(D1494,'Malzeme Tanımlama'!$A$5:$A$300,0)),"")</f>
        <v/>
      </c>
      <c r="I1494" s="2"/>
      <c r="J1494" s="2"/>
      <c r="K1494" s="2"/>
    </row>
    <row r="1495" spans="1:11" x14ac:dyDescent="0.3">
      <c r="A1495" s="5" t="str">
        <f>IF(D1495="","",COUNTIF($D$5:D1495,"?*"))</f>
        <v/>
      </c>
      <c r="B1495" s="6"/>
      <c r="C1495" s="5" t="str">
        <f>IF(B1495="","",INDEX({"Ocak","Şubat","Mart","Nisan","Mayıs","Haziran","Temmuz","Ağustos","Eylül","Ekim","Kasım","Aralık"},MONTH(B1495)))</f>
        <v/>
      </c>
      <c r="D1495" s="2"/>
      <c r="E1495" s="5" t="str">
        <f>IFERROR(INDEX('Malzeme Tanımlama'!$B$5:$B$300,MATCH(D1495,'Malzeme Tanımlama'!$A$5:$A$300,0)),"")</f>
        <v/>
      </c>
      <c r="F1495" s="2"/>
      <c r="G1495" s="5"/>
      <c r="H1495" s="5" t="str">
        <f>IFERROR(INDEX('Malzeme Tanımlama'!$D$5:$D$300,MATCH(D1495,'Malzeme Tanımlama'!$A$5:$A$300,0)),"")</f>
        <v/>
      </c>
      <c r="I1495" s="2"/>
      <c r="J1495" s="2"/>
      <c r="K1495" s="2"/>
    </row>
    <row r="1496" spans="1:11" x14ac:dyDescent="0.3">
      <c r="A1496" s="5" t="str">
        <f>IF(D1496="","",COUNTIF($D$5:D1496,"?*"))</f>
        <v/>
      </c>
      <c r="B1496" s="6"/>
      <c r="C1496" s="5" t="str">
        <f>IF(B1496="","",INDEX({"Ocak","Şubat","Mart","Nisan","Mayıs","Haziran","Temmuz","Ağustos","Eylül","Ekim","Kasım","Aralık"},MONTH(B1496)))</f>
        <v/>
      </c>
      <c r="D1496" s="2"/>
      <c r="E1496" s="5" t="str">
        <f>IFERROR(INDEX('Malzeme Tanımlama'!$B$5:$B$300,MATCH(D1496,'Malzeme Tanımlama'!$A$5:$A$300,0)),"")</f>
        <v/>
      </c>
      <c r="F1496" s="2"/>
      <c r="G1496" s="5"/>
      <c r="H1496" s="5" t="str">
        <f>IFERROR(INDEX('Malzeme Tanımlama'!$D$5:$D$300,MATCH(D1496,'Malzeme Tanımlama'!$A$5:$A$300,0)),"")</f>
        <v/>
      </c>
      <c r="I1496" s="2"/>
      <c r="J1496" s="2"/>
      <c r="K1496" s="2"/>
    </row>
    <row r="1497" spans="1:11" x14ac:dyDescent="0.3">
      <c r="A1497" s="5" t="str">
        <f>IF(D1497="","",COUNTIF($D$5:D1497,"?*"))</f>
        <v/>
      </c>
      <c r="B1497" s="6"/>
      <c r="C1497" s="5" t="str">
        <f>IF(B1497="","",INDEX({"Ocak","Şubat","Mart","Nisan","Mayıs","Haziran","Temmuz","Ağustos","Eylül","Ekim","Kasım","Aralık"},MONTH(B1497)))</f>
        <v/>
      </c>
      <c r="D1497" s="2"/>
      <c r="E1497" s="5" t="str">
        <f>IFERROR(INDEX('Malzeme Tanımlama'!$B$5:$B$300,MATCH(D1497,'Malzeme Tanımlama'!$A$5:$A$300,0)),"")</f>
        <v/>
      </c>
      <c r="F1497" s="2"/>
      <c r="G1497" s="5"/>
      <c r="H1497" s="5" t="str">
        <f>IFERROR(INDEX('Malzeme Tanımlama'!$D$5:$D$300,MATCH(D1497,'Malzeme Tanımlama'!$A$5:$A$300,0)),"")</f>
        <v/>
      </c>
      <c r="I1497" s="2"/>
      <c r="J1497" s="2"/>
      <c r="K1497" s="2"/>
    </row>
    <row r="1498" spans="1:11" x14ac:dyDescent="0.3">
      <c r="A1498" s="5" t="str">
        <f>IF(D1498="","",COUNTIF($D$5:D1498,"?*"))</f>
        <v/>
      </c>
      <c r="B1498" s="6"/>
      <c r="C1498" s="5" t="str">
        <f>IF(B1498="","",INDEX({"Ocak","Şubat","Mart","Nisan","Mayıs","Haziran","Temmuz","Ağustos","Eylül","Ekim","Kasım","Aralık"},MONTH(B1498)))</f>
        <v/>
      </c>
      <c r="D1498" s="2"/>
      <c r="E1498" s="5" t="str">
        <f>IFERROR(INDEX('Malzeme Tanımlama'!$B$5:$B$300,MATCH(D1498,'Malzeme Tanımlama'!$A$5:$A$300,0)),"")</f>
        <v/>
      </c>
      <c r="F1498" s="2"/>
      <c r="G1498" s="5"/>
      <c r="H1498" s="5" t="str">
        <f>IFERROR(INDEX('Malzeme Tanımlama'!$D$5:$D$300,MATCH(D1498,'Malzeme Tanımlama'!$A$5:$A$300,0)),"")</f>
        <v/>
      </c>
      <c r="I1498" s="2"/>
      <c r="J1498" s="2"/>
      <c r="K1498" s="2"/>
    </row>
    <row r="1499" spans="1:11" x14ac:dyDescent="0.3">
      <c r="A1499" s="5" t="str">
        <f>IF(D1499="","",COUNTIF($D$5:D1499,"?*"))</f>
        <v/>
      </c>
      <c r="B1499" s="6"/>
      <c r="C1499" s="5" t="str">
        <f>IF(B1499="","",INDEX({"Ocak","Şubat","Mart","Nisan","Mayıs","Haziran","Temmuz","Ağustos","Eylül","Ekim","Kasım","Aralık"},MONTH(B1499)))</f>
        <v/>
      </c>
      <c r="D1499" s="2"/>
      <c r="E1499" s="5" t="str">
        <f>IFERROR(INDEX('Malzeme Tanımlama'!$B$5:$B$300,MATCH(D1499,'Malzeme Tanımlama'!$A$5:$A$300,0)),"")</f>
        <v/>
      </c>
      <c r="F1499" s="2"/>
      <c r="G1499" s="5"/>
      <c r="H1499" s="5" t="str">
        <f>IFERROR(INDEX('Malzeme Tanımlama'!$D$5:$D$300,MATCH(D1499,'Malzeme Tanımlama'!$A$5:$A$300,0)),"")</f>
        <v/>
      </c>
      <c r="I1499" s="2"/>
      <c r="J1499" s="2"/>
      <c r="K1499" s="2"/>
    </row>
    <row r="1500" spans="1:11" x14ac:dyDescent="0.3">
      <c r="A1500" s="5" t="str">
        <f>IF(D1500="","",COUNTIF($D$5:D1500,"?*"))</f>
        <v/>
      </c>
      <c r="B1500" s="6"/>
      <c r="C1500" s="5" t="str">
        <f>IF(B1500="","",INDEX({"Ocak","Şubat","Mart","Nisan","Mayıs","Haziran","Temmuz","Ağustos","Eylül","Ekim","Kasım","Aralık"},MONTH(B1500)))</f>
        <v/>
      </c>
      <c r="D1500" s="2"/>
      <c r="E1500" s="5" t="str">
        <f>IFERROR(INDEX('Malzeme Tanımlama'!$B$5:$B$300,MATCH(D1500,'Malzeme Tanımlama'!$A$5:$A$300,0)),"")</f>
        <v/>
      </c>
      <c r="F1500" s="2"/>
      <c r="G1500" s="5"/>
      <c r="H1500" s="5" t="str">
        <f>IFERROR(INDEX('Malzeme Tanımlama'!$D$5:$D$300,MATCH(D1500,'Malzeme Tanımlama'!$A$5:$A$300,0)),"")</f>
        <v/>
      </c>
      <c r="I1500" s="2"/>
      <c r="J1500" s="2"/>
      <c r="K1500" s="2"/>
    </row>
    <row r="1501" spans="1:11" x14ac:dyDescent="0.3">
      <c r="A1501" s="5" t="str">
        <f>IF(D1501="","",COUNTIF($D$5:D1501,"?*"))</f>
        <v/>
      </c>
      <c r="B1501" s="6"/>
      <c r="C1501" s="5" t="str">
        <f>IF(B1501="","",INDEX({"Ocak","Şubat","Mart","Nisan","Mayıs","Haziran","Temmuz","Ağustos","Eylül","Ekim","Kasım","Aralık"},MONTH(B1501)))</f>
        <v/>
      </c>
      <c r="D1501" s="2"/>
      <c r="E1501" s="5" t="str">
        <f>IFERROR(INDEX('Malzeme Tanımlama'!$B$5:$B$300,MATCH(D1501,'Malzeme Tanımlama'!$A$5:$A$300,0)),"")</f>
        <v/>
      </c>
      <c r="F1501" s="2"/>
      <c r="G1501" s="5"/>
      <c r="H1501" s="5" t="str">
        <f>IFERROR(INDEX('Malzeme Tanımlama'!$D$5:$D$300,MATCH(D1501,'Malzeme Tanımlama'!$A$5:$A$300,0)),"")</f>
        <v/>
      </c>
      <c r="I1501" s="2"/>
      <c r="J1501" s="2"/>
      <c r="K1501" s="2"/>
    </row>
    <row r="1502" spans="1:11" x14ac:dyDescent="0.3">
      <c r="A1502" s="5" t="str">
        <f>IF(D1502="","",COUNTIF($D$5:D1502,"?*"))</f>
        <v/>
      </c>
      <c r="B1502" s="6"/>
      <c r="C1502" s="5" t="str">
        <f>IF(B1502="","",INDEX({"Ocak","Şubat","Mart","Nisan","Mayıs","Haziran","Temmuz","Ağustos","Eylül","Ekim","Kasım","Aralık"},MONTH(B1502)))</f>
        <v/>
      </c>
      <c r="D1502" s="2"/>
      <c r="E1502" s="5" t="str">
        <f>IFERROR(INDEX('Malzeme Tanımlama'!$B$5:$B$300,MATCH(D1502,'Malzeme Tanımlama'!$A$5:$A$300,0)),"")</f>
        <v/>
      </c>
      <c r="F1502" s="2"/>
      <c r="G1502" s="5"/>
      <c r="H1502" s="5" t="str">
        <f>IFERROR(INDEX('Malzeme Tanımlama'!$D$5:$D$300,MATCH(D1502,'Malzeme Tanımlama'!$A$5:$A$300,0)),"")</f>
        <v/>
      </c>
      <c r="I1502" s="2"/>
      <c r="J1502" s="2"/>
      <c r="K1502" s="2"/>
    </row>
    <row r="1503" spans="1:11" x14ac:dyDescent="0.3">
      <c r="A1503" s="5" t="str">
        <f>IF(D1503="","",COUNTIF($D$5:D1503,"?*"))</f>
        <v/>
      </c>
      <c r="B1503" s="6"/>
      <c r="C1503" s="5" t="str">
        <f>IF(B1503="","",INDEX({"Ocak","Şubat","Mart","Nisan","Mayıs","Haziran","Temmuz","Ağustos","Eylül","Ekim","Kasım","Aralık"},MONTH(B1503)))</f>
        <v/>
      </c>
      <c r="D1503" s="2"/>
      <c r="E1503" s="5" t="str">
        <f>IFERROR(INDEX('Malzeme Tanımlama'!$B$5:$B$300,MATCH(D1503,'Malzeme Tanımlama'!$A$5:$A$300,0)),"")</f>
        <v/>
      </c>
      <c r="F1503" s="2"/>
      <c r="G1503" s="5"/>
      <c r="H1503" s="5" t="str">
        <f>IFERROR(INDEX('Malzeme Tanımlama'!$D$5:$D$300,MATCH(D1503,'Malzeme Tanımlama'!$A$5:$A$300,0)),"")</f>
        <v/>
      </c>
      <c r="I1503" s="2"/>
      <c r="J1503" s="2"/>
      <c r="K1503" s="2"/>
    </row>
    <row r="1504" spans="1:11" x14ac:dyDescent="0.3">
      <c r="A1504" s="5" t="str">
        <f>IF(D1504="","",COUNTIF($D$5:D1504,"?*"))</f>
        <v/>
      </c>
      <c r="B1504" s="6"/>
      <c r="C1504" s="5" t="str">
        <f>IF(B1504="","",INDEX({"Ocak","Şubat","Mart","Nisan","Mayıs","Haziran","Temmuz","Ağustos","Eylül","Ekim","Kasım","Aralık"},MONTH(B1504)))</f>
        <v/>
      </c>
      <c r="D1504" s="2"/>
      <c r="E1504" s="5" t="str">
        <f>IFERROR(INDEX('Malzeme Tanımlama'!$B$5:$B$300,MATCH(D1504,'Malzeme Tanımlama'!$A$5:$A$300,0)),"")</f>
        <v/>
      </c>
      <c r="F1504" s="2"/>
      <c r="G1504" s="5"/>
      <c r="H1504" s="5" t="str">
        <f>IFERROR(INDEX('Malzeme Tanımlama'!$D$5:$D$300,MATCH(D1504,'Malzeme Tanımlama'!$A$5:$A$300,0)),"")</f>
        <v/>
      </c>
      <c r="I1504" s="2"/>
      <c r="J1504" s="2"/>
      <c r="K1504" s="2"/>
    </row>
    <row r="1505" spans="1:11" x14ac:dyDescent="0.3">
      <c r="A1505" s="5" t="str">
        <f>IF(D1505="","",COUNTIF($D$5:D1505,"?*"))</f>
        <v/>
      </c>
      <c r="B1505" s="6"/>
      <c r="C1505" s="5" t="str">
        <f>IF(B1505="","",INDEX({"Ocak","Şubat","Mart","Nisan","Mayıs","Haziran","Temmuz","Ağustos","Eylül","Ekim","Kasım","Aralık"},MONTH(B1505)))</f>
        <v/>
      </c>
      <c r="D1505" s="2"/>
      <c r="E1505" s="5" t="str">
        <f>IFERROR(INDEX('Malzeme Tanımlama'!$B$5:$B$300,MATCH(D1505,'Malzeme Tanımlama'!$A$5:$A$300,0)),"")</f>
        <v/>
      </c>
      <c r="F1505" s="2"/>
      <c r="G1505" s="5"/>
      <c r="H1505" s="5" t="str">
        <f>IFERROR(INDEX('Malzeme Tanımlama'!$D$5:$D$300,MATCH(D1505,'Malzeme Tanımlama'!$A$5:$A$300,0)),"")</f>
        <v/>
      </c>
      <c r="I1505" s="2"/>
      <c r="J1505" s="2"/>
      <c r="K1505" s="2"/>
    </row>
    <row r="1506" spans="1:11" x14ac:dyDescent="0.3">
      <c r="A1506" s="5" t="str">
        <f>IF(D1506="","",COUNTIF($D$5:D1506,"?*"))</f>
        <v/>
      </c>
      <c r="B1506" s="6"/>
      <c r="C1506" s="5" t="str">
        <f>IF(B1506="","",INDEX({"Ocak","Şubat","Mart","Nisan","Mayıs","Haziran","Temmuz","Ağustos","Eylül","Ekim","Kasım","Aralık"},MONTH(B1506)))</f>
        <v/>
      </c>
      <c r="D1506" s="2"/>
      <c r="E1506" s="5" t="str">
        <f>IFERROR(INDEX('Malzeme Tanımlama'!$B$5:$B$300,MATCH(D1506,'Malzeme Tanımlama'!$A$5:$A$300,0)),"")</f>
        <v/>
      </c>
      <c r="F1506" s="2"/>
      <c r="G1506" s="5"/>
      <c r="H1506" s="5" t="str">
        <f>IFERROR(INDEX('Malzeme Tanımlama'!$D$5:$D$300,MATCH(D1506,'Malzeme Tanımlama'!$A$5:$A$300,0)),"")</f>
        <v/>
      </c>
      <c r="I1506" s="2"/>
      <c r="J1506" s="2"/>
      <c r="K1506" s="2"/>
    </row>
    <row r="1507" spans="1:11" x14ac:dyDescent="0.3">
      <c r="A1507" s="5" t="str">
        <f>IF(D1507="","",COUNTIF($D$5:D1507,"?*"))</f>
        <v/>
      </c>
      <c r="B1507" s="6"/>
      <c r="C1507" s="5" t="str">
        <f>IF(B1507="","",INDEX({"Ocak","Şubat","Mart","Nisan","Mayıs","Haziran","Temmuz","Ağustos","Eylül","Ekim","Kasım","Aralık"},MONTH(B1507)))</f>
        <v/>
      </c>
      <c r="D1507" s="2"/>
      <c r="E1507" s="5" t="str">
        <f>IFERROR(INDEX('Malzeme Tanımlama'!$B$5:$B$300,MATCH(D1507,'Malzeme Tanımlama'!$A$5:$A$300,0)),"")</f>
        <v/>
      </c>
      <c r="F1507" s="2"/>
      <c r="G1507" s="5"/>
      <c r="H1507" s="5" t="str">
        <f>IFERROR(INDEX('Malzeme Tanımlama'!$D$5:$D$300,MATCH(D1507,'Malzeme Tanımlama'!$A$5:$A$300,0)),"")</f>
        <v/>
      </c>
      <c r="I1507" s="2"/>
      <c r="J1507" s="2"/>
      <c r="K1507" s="2"/>
    </row>
    <row r="1508" spans="1:11" x14ac:dyDescent="0.3">
      <c r="A1508" s="5" t="str">
        <f>IF(D1508="","",COUNTIF($D$5:D1508,"?*"))</f>
        <v/>
      </c>
      <c r="B1508" s="6"/>
      <c r="C1508" s="5" t="str">
        <f>IF(B1508="","",INDEX({"Ocak","Şubat","Mart","Nisan","Mayıs","Haziran","Temmuz","Ağustos","Eylül","Ekim","Kasım","Aralık"},MONTH(B1508)))</f>
        <v/>
      </c>
      <c r="D1508" s="2"/>
      <c r="E1508" s="5" t="str">
        <f>IFERROR(INDEX('Malzeme Tanımlama'!$B$5:$B$300,MATCH(D1508,'Malzeme Tanımlama'!$A$5:$A$300,0)),"")</f>
        <v/>
      </c>
      <c r="F1508" s="2"/>
      <c r="G1508" s="5"/>
      <c r="H1508" s="5" t="str">
        <f>IFERROR(INDEX('Malzeme Tanımlama'!$D$5:$D$300,MATCH(D1508,'Malzeme Tanımlama'!$A$5:$A$300,0)),"")</f>
        <v/>
      </c>
      <c r="I1508" s="2"/>
      <c r="J1508" s="2"/>
      <c r="K1508" s="2"/>
    </row>
    <row r="1509" spans="1:11" x14ac:dyDescent="0.3">
      <c r="A1509" s="5" t="str">
        <f>IF(D1509="","",COUNTIF($D$5:D1509,"?*"))</f>
        <v/>
      </c>
      <c r="B1509" s="6"/>
      <c r="C1509" s="5" t="str">
        <f>IF(B1509="","",INDEX({"Ocak","Şubat","Mart","Nisan","Mayıs","Haziran","Temmuz","Ağustos","Eylül","Ekim","Kasım","Aralık"},MONTH(B1509)))</f>
        <v/>
      </c>
      <c r="D1509" s="2"/>
      <c r="E1509" s="5" t="str">
        <f>IFERROR(INDEX('Malzeme Tanımlama'!$B$5:$B$300,MATCH(D1509,'Malzeme Tanımlama'!$A$5:$A$300,0)),"")</f>
        <v/>
      </c>
      <c r="F1509" s="2"/>
      <c r="G1509" s="5"/>
      <c r="H1509" s="5" t="str">
        <f>IFERROR(INDEX('Malzeme Tanımlama'!$D$5:$D$300,MATCH(D1509,'Malzeme Tanımlama'!$A$5:$A$300,0)),"")</f>
        <v/>
      </c>
      <c r="I1509" s="2"/>
      <c r="J1509" s="2"/>
      <c r="K1509" s="2"/>
    </row>
    <row r="1510" spans="1:11" x14ac:dyDescent="0.3">
      <c r="A1510" s="5" t="str">
        <f>IF(D1510="","",COUNTIF($D$5:D1510,"?*"))</f>
        <v/>
      </c>
      <c r="B1510" s="6"/>
      <c r="C1510" s="5" t="str">
        <f>IF(B1510="","",INDEX({"Ocak","Şubat","Mart","Nisan","Mayıs","Haziran","Temmuz","Ağustos","Eylül","Ekim","Kasım","Aralık"},MONTH(B1510)))</f>
        <v/>
      </c>
      <c r="D1510" s="2"/>
      <c r="E1510" s="5" t="str">
        <f>IFERROR(INDEX('Malzeme Tanımlama'!$B$5:$B$300,MATCH(D1510,'Malzeme Tanımlama'!$A$5:$A$300,0)),"")</f>
        <v/>
      </c>
      <c r="F1510" s="2"/>
      <c r="G1510" s="5"/>
      <c r="H1510" s="5" t="str">
        <f>IFERROR(INDEX('Malzeme Tanımlama'!$D$5:$D$300,MATCH(D1510,'Malzeme Tanımlama'!$A$5:$A$300,0)),"")</f>
        <v/>
      </c>
      <c r="I1510" s="2"/>
      <c r="J1510" s="2"/>
      <c r="K1510" s="2"/>
    </row>
    <row r="1511" spans="1:11" x14ac:dyDescent="0.3">
      <c r="A1511" s="5" t="str">
        <f>IF(D1511="","",COUNTIF($D$5:D1511,"?*"))</f>
        <v/>
      </c>
      <c r="B1511" s="6"/>
      <c r="C1511" s="5" t="str">
        <f>IF(B1511="","",INDEX({"Ocak","Şubat","Mart","Nisan","Mayıs","Haziran","Temmuz","Ağustos","Eylül","Ekim","Kasım","Aralık"},MONTH(B1511)))</f>
        <v/>
      </c>
      <c r="D1511" s="2"/>
      <c r="E1511" s="5" t="str">
        <f>IFERROR(INDEX('Malzeme Tanımlama'!$B$5:$B$300,MATCH(D1511,'Malzeme Tanımlama'!$A$5:$A$300,0)),"")</f>
        <v/>
      </c>
      <c r="F1511" s="2"/>
      <c r="G1511" s="5"/>
      <c r="H1511" s="5" t="str">
        <f>IFERROR(INDEX('Malzeme Tanımlama'!$D$5:$D$300,MATCH(D1511,'Malzeme Tanımlama'!$A$5:$A$300,0)),"")</f>
        <v/>
      </c>
      <c r="I1511" s="2"/>
      <c r="J1511" s="2"/>
      <c r="K1511" s="2"/>
    </row>
    <row r="1512" spans="1:11" x14ac:dyDescent="0.3">
      <c r="A1512" s="5" t="str">
        <f>IF(D1512="","",COUNTIF($D$5:D1512,"?*"))</f>
        <v/>
      </c>
      <c r="B1512" s="6"/>
      <c r="C1512" s="5" t="str">
        <f>IF(B1512="","",INDEX({"Ocak","Şubat","Mart","Nisan","Mayıs","Haziran","Temmuz","Ağustos","Eylül","Ekim","Kasım","Aralık"},MONTH(B1512)))</f>
        <v/>
      </c>
      <c r="D1512" s="2"/>
      <c r="E1512" s="5" t="str">
        <f>IFERROR(INDEX('Malzeme Tanımlama'!$B$5:$B$300,MATCH(D1512,'Malzeme Tanımlama'!$A$5:$A$300,0)),"")</f>
        <v/>
      </c>
      <c r="F1512" s="2"/>
      <c r="G1512" s="5"/>
      <c r="H1512" s="5" t="str">
        <f>IFERROR(INDEX('Malzeme Tanımlama'!$D$5:$D$300,MATCH(D1512,'Malzeme Tanımlama'!$A$5:$A$300,0)),"")</f>
        <v/>
      </c>
      <c r="I1512" s="2"/>
      <c r="J1512" s="2"/>
      <c r="K1512" s="2"/>
    </row>
    <row r="1513" spans="1:11" x14ac:dyDescent="0.3">
      <c r="A1513" s="5" t="str">
        <f>IF(D1513="","",COUNTIF($D$5:D1513,"?*"))</f>
        <v/>
      </c>
      <c r="B1513" s="6"/>
      <c r="C1513" s="5" t="str">
        <f>IF(B1513="","",INDEX({"Ocak","Şubat","Mart","Nisan","Mayıs","Haziran","Temmuz","Ağustos","Eylül","Ekim","Kasım","Aralık"},MONTH(B1513)))</f>
        <v/>
      </c>
      <c r="D1513" s="2"/>
      <c r="E1513" s="5" t="str">
        <f>IFERROR(INDEX('Malzeme Tanımlama'!$B$5:$B$300,MATCH(D1513,'Malzeme Tanımlama'!$A$5:$A$300,0)),"")</f>
        <v/>
      </c>
      <c r="F1513" s="2"/>
      <c r="G1513" s="5"/>
      <c r="H1513" s="5" t="str">
        <f>IFERROR(INDEX('Malzeme Tanımlama'!$D$5:$D$300,MATCH(D1513,'Malzeme Tanımlama'!$A$5:$A$300,0)),"")</f>
        <v/>
      </c>
      <c r="I1513" s="2"/>
      <c r="J1513" s="2"/>
      <c r="K1513" s="2"/>
    </row>
    <row r="1514" spans="1:11" x14ac:dyDescent="0.3">
      <c r="A1514" s="5" t="str">
        <f>IF(D1514="","",COUNTIF($D$5:D1514,"?*"))</f>
        <v/>
      </c>
      <c r="B1514" s="6"/>
      <c r="C1514" s="5" t="str">
        <f>IF(B1514="","",INDEX({"Ocak","Şubat","Mart","Nisan","Mayıs","Haziran","Temmuz","Ağustos","Eylül","Ekim","Kasım","Aralık"},MONTH(B1514)))</f>
        <v/>
      </c>
      <c r="D1514" s="2"/>
      <c r="E1514" s="5" t="str">
        <f>IFERROR(INDEX('Malzeme Tanımlama'!$B$5:$B$300,MATCH(D1514,'Malzeme Tanımlama'!$A$5:$A$300,0)),"")</f>
        <v/>
      </c>
      <c r="F1514" s="2"/>
      <c r="G1514" s="5"/>
      <c r="H1514" s="5" t="str">
        <f>IFERROR(INDEX('Malzeme Tanımlama'!$D$5:$D$300,MATCH(D1514,'Malzeme Tanımlama'!$A$5:$A$300,0)),"")</f>
        <v/>
      </c>
      <c r="I1514" s="2"/>
      <c r="J1514" s="2"/>
      <c r="K1514" s="2"/>
    </row>
    <row r="1515" spans="1:11" x14ac:dyDescent="0.3">
      <c r="A1515" s="5" t="str">
        <f>IF(D1515="","",COUNTIF($D$5:D1515,"?*"))</f>
        <v/>
      </c>
      <c r="B1515" s="6"/>
      <c r="C1515" s="5" t="str">
        <f>IF(B1515="","",INDEX({"Ocak","Şubat","Mart","Nisan","Mayıs","Haziran","Temmuz","Ağustos","Eylül","Ekim","Kasım","Aralık"},MONTH(B1515)))</f>
        <v/>
      </c>
      <c r="D1515" s="2"/>
      <c r="E1515" s="5" t="str">
        <f>IFERROR(INDEX('Malzeme Tanımlama'!$B$5:$B$300,MATCH(D1515,'Malzeme Tanımlama'!$A$5:$A$300,0)),"")</f>
        <v/>
      </c>
      <c r="F1515" s="2"/>
      <c r="G1515" s="5"/>
      <c r="H1515" s="5" t="str">
        <f>IFERROR(INDEX('Malzeme Tanımlama'!$D$5:$D$300,MATCH(D1515,'Malzeme Tanımlama'!$A$5:$A$300,0)),"")</f>
        <v/>
      </c>
      <c r="I1515" s="2"/>
      <c r="J1515" s="2"/>
      <c r="K1515" s="2"/>
    </row>
    <row r="1516" spans="1:11" x14ac:dyDescent="0.3">
      <c r="A1516" s="5" t="str">
        <f>IF(D1516="","",COUNTIF($D$5:D1516,"?*"))</f>
        <v/>
      </c>
      <c r="B1516" s="6"/>
      <c r="C1516" s="5" t="str">
        <f>IF(B1516="","",INDEX({"Ocak","Şubat","Mart","Nisan","Mayıs","Haziran","Temmuz","Ağustos","Eylül","Ekim","Kasım","Aralık"},MONTH(B1516)))</f>
        <v/>
      </c>
      <c r="D1516" s="2"/>
      <c r="E1516" s="5" t="str">
        <f>IFERROR(INDEX('Malzeme Tanımlama'!$B$5:$B$300,MATCH(D1516,'Malzeme Tanımlama'!$A$5:$A$300,0)),"")</f>
        <v/>
      </c>
      <c r="F1516" s="2"/>
      <c r="G1516" s="5"/>
      <c r="H1516" s="5" t="str">
        <f>IFERROR(INDEX('Malzeme Tanımlama'!$D$5:$D$300,MATCH(D1516,'Malzeme Tanımlama'!$A$5:$A$300,0)),"")</f>
        <v/>
      </c>
      <c r="I1516" s="2"/>
      <c r="J1516" s="2"/>
      <c r="K1516" s="2"/>
    </row>
    <row r="1517" spans="1:11" x14ac:dyDescent="0.3">
      <c r="A1517" s="5" t="str">
        <f>IF(D1517="","",COUNTIF($D$5:D1517,"?*"))</f>
        <v/>
      </c>
      <c r="B1517" s="6"/>
      <c r="C1517" s="5" t="str">
        <f>IF(B1517="","",INDEX({"Ocak","Şubat","Mart","Nisan","Mayıs","Haziran","Temmuz","Ağustos","Eylül","Ekim","Kasım","Aralık"},MONTH(B1517)))</f>
        <v/>
      </c>
      <c r="D1517" s="2"/>
      <c r="E1517" s="5" t="str">
        <f>IFERROR(INDEX('Malzeme Tanımlama'!$B$5:$B$300,MATCH(D1517,'Malzeme Tanımlama'!$A$5:$A$300,0)),"")</f>
        <v/>
      </c>
      <c r="F1517" s="2"/>
      <c r="G1517" s="5"/>
      <c r="H1517" s="5" t="str">
        <f>IFERROR(INDEX('Malzeme Tanımlama'!$D$5:$D$300,MATCH(D1517,'Malzeme Tanımlama'!$A$5:$A$300,0)),"")</f>
        <v/>
      </c>
      <c r="I1517" s="2"/>
      <c r="J1517" s="2"/>
      <c r="K1517" s="2"/>
    </row>
    <row r="1518" spans="1:11" x14ac:dyDescent="0.3">
      <c r="A1518" s="5" t="str">
        <f>IF(D1518="","",COUNTIF($D$5:D1518,"?*"))</f>
        <v/>
      </c>
      <c r="B1518" s="6"/>
      <c r="C1518" s="5" t="str">
        <f>IF(B1518="","",INDEX({"Ocak","Şubat","Mart","Nisan","Mayıs","Haziran","Temmuz","Ağustos","Eylül","Ekim","Kasım","Aralık"},MONTH(B1518)))</f>
        <v/>
      </c>
      <c r="D1518" s="2"/>
      <c r="E1518" s="5" t="str">
        <f>IFERROR(INDEX('Malzeme Tanımlama'!$B$5:$B$300,MATCH(D1518,'Malzeme Tanımlama'!$A$5:$A$300,0)),"")</f>
        <v/>
      </c>
      <c r="F1518" s="2"/>
      <c r="G1518" s="5"/>
      <c r="H1518" s="5" t="str">
        <f>IFERROR(INDEX('Malzeme Tanımlama'!$D$5:$D$300,MATCH(D1518,'Malzeme Tanımlama'!$A$5:$A$300,0)),"")</f>
        <v/>
      </c>
      <c r="I1518" s="2"/>
      <c r="J1518" s="2"/>
      <c r="K1518" s="2"/>
    </row>
    <row r="1519" spans="1:11" x14ac:dyDescent="0.3">
      <c r="A1519" s="5" t="str">
        <f>IF(D1519="","",COUNTIF($D$5:D1519,"?*"))</f>
        <v/>
      </c>
      <c r="B1519" s="6"/>
      <c r="C1519" s="5" t="str">
        <f>IF(B1519="","",INDEX({"Ocak","Şubat","Mart","Nisan","Mayıs","Haziran","Temmuz","Ağustos","Eylül","Ekim","Kasım","Aralık"},MONTH(B1519)))</f>
        <v/>
      </c>
      <c r="D1519" s="2"/>
      <c r="E1519" s="5" t="str">
        <f>IFERROR(INDEX('Malzeme Tanımlama'!$B$5:$B$300,MATCH(D1519,'Malzeme Tanımlama'!$A$5:$A$300,0)),"")</f>
        <v/>
      </c>
      <c r="F1519" s="2"/>
      <c r="G1519" s="5"/>
      <c r="H1519" s="5" t="str">
        <f>IFERROR(INDEX('Malzeme Tanımlama'!$D$5:$D$300,MATCH(D1519,'Malzeme Tanımlama'!$A$5:$A$300,0)),"")</f>
        <v/>
      </c>
      <c r="I1519" s="2"/>
      <c r="J1519" s="2"/>
      <c r="K1519" s="2"/>
    </row>
    <row r="1520" spans="1:11" x14ac:dyDescent="0.3">
      <c r="A1520" s="5" t="str">
        <f>IF(D1520="","",COUNTIF($D$5:D1520,"?*"))</f>
        <v/>
      </c>
      <c r="B1520" s="6"/>
      <c r="C1520" s="5" t="str">
        <f>IF(B1520="","",INDEX({"Ocak","Şubat","Mart","Nisan","Mayıs","Haziran","Temmuz","Ağustos","Eylül","Ekim","Kasım","Aralık"},MONTH(B1520)))</f>
        <v/>
      </c>
      <c r="D1520" s="2"/>
      <c r="E1520" s="5" t="str">
        <f>IFERROR(INDEX('Malzeme Tanımlama'!$B$5:$B$300,MATCH(D1520,'Malzeme Tanımlama'!$A$5:$A$300,0)),"")</f>
        <v/>
      </c>
      <c r="F1520" s="2"/>
      <c r="G1520" s="5"/>
      <c r="H1520" s="5" t="str">
        <f>IFERROR(INDEX('Malzeme Tanımlama'!$D$5:$D$300,MATCH(D1520,'Malzeme Tanımlama'!$A$5:$A$300,0)),"")</f>
        <v/>
      </c>
      <c r="I1520" s="2"/>
      <c r="J1520" s="2"/>
      <c r="K1520" s="2"/>
    </row>
    <row r="1521" spans="1:11" x14ac:dyDescent="0.3">
      <c r="A1521" s="5" t="str">
        <f>IF(D1521="","",COUNTIF($D$5:D1521,"?*"))</f>
        <v/>
      </c>
      <c r="B1521" s="6"/>
      <c r="C1521" s="5" t="str">
        <f>IF(B1521="","",INDEX({"Ocak","Şubat","Mart","Nisan","Mayıs","Haziran","Temmuz","Ağustos","Eylül","Ekim","Kasım","Aralık"},MONTH(B1521)))</f>
        <v/>
      </c>
      <c r="D1521" s="2"/>
      <c r="E1521" s="5" t="str">
        <f>IFERROR(INDEX('Malzeme Tanımlama'!$B$5:$B$300,MATCH(D1521,'Malzeme Tanımlama'!$A$5:$A$300,0)),"")</f>
        <v/>
      </c>
      <c r="F1521" s="2"/>
      <c r="G1521" s="5"/>
      <c r="H1521" s="5" t="str">
        <f>IFERROR(INDEX('Malzeme Tanımlama'!$D$5:$D$300,MATCH(D1521,'Malzeme Tanımlama'!$A$5:$A$300,0)),"")</f>
        <v/>
      </c>
      <c r="I1521" s="2"/>
      <c r="J1521" s="2"/>
      <c r="K1521" s="2"/>
    </row>
    <row r="1522" spans="1:11" x14ac:dyDescent="0.3">
      <c r="A1522" s="5" t="str">
        <f>IF(D1522="","",COUNTIF($D$5:D1522,"?*"))</f>
        <v/>
      </c>
      <c r="B1522" s="6"/>
      <c r="C1522" s="5" t="str">
        <f>IF(B1522="","",INDEX({"Ocak","Şubat","Mart","Nisan","Mayıs","Haziran","Temmuz","Ağustos","Eylül","Ekim","Kasım","Aralık"},MONTH(B1522)))</f>
        <v/>
      </c>
      <c r="D1522" s="2"/>
      <c r="E1522" s="5" t="str">
        <f>IFERROR(INDEX('Malzeme Tanımlama'!$B$5:$B$300,MATCH(D1522,'Malzeme Tanımlama'!$A$5:$A$300,0)),"")</f>
        <v/>
      </c>
      <c r="F1522" s="2"/>
      <c r="G1522" s="5"/>
      <c r="H1522" s="5" t="str">
        <f>IFERROR(INDEX('Malzeme Tanımlama'!$D$5:$D$300,MATCH(D1522,'Malzeme Tanımlama'!$A$5:$A$300,0)),"")</f>
        <v/>
      </c>
      <c r="I1522" s="2"/>
      <c r="J1522" s="2"/>
      <c r="K1522" s="2"/>
    </row>
    <row r="1523" spans="1:11" x14ac:dyDescent="0.3">
      <c r="A1523" s="5" t="str">
        <f>IF(D1523="","",COUNTIF($D$5:D1523,"?*"))</f>
        <v/>
      </c>
      <c r="B1523" s="6"/>
      <c r="C1523" s="5" t="str">
        <f>IF(B1523="","",INDEX({"Ocak","Şubat","Mart","Nisan","Mayıs","Haziran","Temmuz","Ağustos","Eylül","Ekim","Kasım","Aralık"},MONTH(B1523)))</f>
        <v/>
      </c>
      <c r="D1523" s="2"/>
      <c r="E1523" s="5" t="str">
        <f>IFERROR(INDEX('Malzeme Tanımlama'!$B$5:$B$300,MATCH(D1523,'Malzeme Tanımlama'!$A$5:$A$300,0)),"")</f>
        <v/>
      </c>
      <c r="F1523" s="2"/>
      <c r="G1523" s="5"/>
      <c r="H1523" s="5" t="str">
        <f>IFERROR(INDEX('Malzeme Tanımlama'!$D$5:$D$300,MATCH(D1523,'Malzeme Tanımlama'!$A$5:$A$300,0)),"")</f>
        <v/>
      </c>
      <c r="I1523" s="2"/>
      <c r="J1523" s="2"/>
      <c r="K1523" s="2"/>
    </row>
    <row r="1524" spans="1:11" x14ac:dyDescent="0.3">
      <c r="A1524" s="5" t="str">
        <f>IF(D1524="","",COUNTIF($D$5:D1524,"?*"))</f>
        <v/>
      </c>
      <c r="B1524" s="6"/>
      <c r="C1524" s="5" t="str">
        <f>IF(B1524="","",INDEX({"Ocak","Şubat","Mart","Nisan","Mayıs","Haziran","Temmuz","Ağustos","Eylül","Ekim","Kasım","Aralık"},MONTH(B1524)))</f>
        <v/>
      </c>
      <c r="D1524" s="2"/>
      <c r="E1524" s="5" t="str">
        <f>IFERROR(INDEX('Malzeme Tanımlama'!$B$5:$B$300,MATCH(D1524,'Malzeme Tanımlama'!$A$5:$A$300,0)),"")</f>
        <v/>
      </c>
      <c r="F1524" s="2"/>
      <c r="G1524" s="5"/>
      <c r="H1524" s="5" t="str">
        <f>IFERROR(INDEX('Malzeme Tanımlama'!$D$5:$D$300,MATCH(D1524,'Malzeme Tanımlama'!$A$5:$A$300,0)),"")</f>
        <v/>
      </c>
      <c r="I1524" s="2"/>
      <c r="J1524" s="2"/>
      <c r="K1524" s="2"/>
    </row>
    <row r="1525" spans="1:11" x14ac:dyDescent="0.3">
      <c r="A1525" s="5" t="str">
        <f>IF(D1525="","",COUNTIF($D$5:D1525,"?*"))</f>
        <v/>
      </c>
      <c r="B1525" s="6"/>
      <c r="C1525" s="5" t="str">
        <f>IF(B1525="","",INDEX({"Ocak","Şubat","Mart","Nisan","Mayıs","Haziran","Temmuz","Ağustos","Eylül","Ekim","Kasım","Aralık"},MONTH(B1525)))</f>
        <v/>
      </c>
      <c r="D1525" s="2"/>
      <c r="E1525" s="5" t="str">
        <f>IFERROR(INDEX('Malzeme Tanımlama'!$B$5:$B$300,MATCH(D1525,'Malzeme Tanımlama'!$A$5:$A$300,0)),"")</f>
        <v/>
      </c>
      <c r="F1525" s="2"/>
      <c r="G1525" s="5"/>
      <c r="H1525" s="5" t="str">
        <f>IFERROR(INDEX('Malzeme Tanımlama'!$D$5:$D$300,MATCH(D1525,'Malzeme Tanımlama'!$A$5:$A$300,0)),"")</f>
        <v/>
      </c>
      <c r="I1525" s="2"/>
      <c r="J1525" s="2"/>
      <c r="K1525" s="2"/>
    </row>
    <row r="1526" spans="1:11" x14ac:dyDescent="0.3">
      <c r="A1526" s="5" t="str">
        <f>IF(D1526="","",COUNTIF($D$5:D1526,"?*"))</f>
        <v/>
      </c>
      <c r="B1526" s="6"/>
      <c r="C1526" s="5" t="str">
        <f>IF(B1526="","",INDEX({"Ocak","Şubat","Mart","Nisan","Mayıs","Haziran","Temmuz","Ağustos","Eylül","Ekim","Kasım","Aralık"},MONTH(B1526)))</f>
        <v/>
      </c>
      <c r="D1526" s="2"/>
      <c r="E1526" s="5" t="str">
        <f>IFERROR(INDEX('Malzeme Tanımlama'!$B$5:$B$300,MATCH(D1526,'Malzeme Tanımlama'!$A$5:$A$300,0)),"")</f>
        <v/>
      </c>
      <c r="F1526" s="2"/>
      <c r="G1526" s="5"/>
      <c r="H1526" s="5" t="str">
        <f>IFERROR(INDEX('Malzeme Tanımlama'!$D$5:$D$300,MATCH(D1526,'Malzeme Tanımlama'!$A$5:$A$300,0)),"")</f>
        <v/>
      </c>
      <c r="I1526" s="2"/>
      <c r="J1526" s="2"/>
      <c r="K1526" s="2"/>
    </row>
    <row r="1527" spans="1:11" x14ac:dyDescent="0.3">
      <c r="A1527" s="5" t="str">
        <f>IF(D1527="","",COUNTIF($D$5:D1527,"?*"))</f>
        <v/>
      </c>
      <c r="B1527" s="6"/>
      <c r="C1527" s="5" t="str">
        <f>IF(B1527="","",INDEX({"Ocak","Şubat","Mart","Nisan","Mayıs","Haziran","Temmuz","Ağustos","Eylül","Ekim","Kasım","Aralık"},MONTH(B1527)))</f>
        <v/>
      </c>
      <c r="D1527" s="2"/>
      <c r="E1527" s="5" t="str">
        <f>IFERROR(INDEX('Malzeme Tanımlama'!$B$5:$B$300,MATCH(D1527,'Malzeme Tanımlama'!$A$5:$A$300,0)),"")</f>
        <v/>
      </c>
      <c r="F1527" s="2"/>
      <c r="G1527" s="5"/>
      <c r="H1527" s="5" t="str">
        <f>IFERROR(INDEX('Malzeme Tanımlama'!$D$5:$D$300,MATCH(D1527,'Malzeme Tanımlama'!$A$5:$A$300,0)),"")</f>
        <v/>
      </c>
      <c r="I1527" s="2"/>
      <c r="J1527" s="2"/>
      <c r="K1527" s="2"/>
    </row>
    <row r="1528" spans="1:11" x14ac:dyDescent="0.3">
      <c r="A1528" s="5" t="str">
        <f>IF(D1528="","",COUNTIF($D$5:D1528,"?*"))</f>
        <v/>
      </c>
      <c r="B1528" s="6"/>
      <c r="C1528" s="5" t="str">
        <f>IF(B1528="","",INDEX({"Ocak","Şubat","Mart","Nisan","Mayıs","Haziran","Temmuz","Ağustos","Eylül","Ekim","Kasım","Aralık"},MONTH(B1528)))</f>
        <v/>
      </c>
      <c r="D1528" s="2"/>
      <c r="E1528" s="5" t="str">
        <f>IFERROR(INDEX('Malzeme Tanımlama'!$B$5:$B$300,MATCH(D1528,'Malzeme Tanımlama'!$A$5:$A$300,0)),"")</f>
        <v/>
      </c>
      <c r="F1528" s="2"/>
      <c r="G1528" s="5"/>
      <c r="H1528" s="5" t="str">
        <f>IFERROR(INDEX('Malzeme Tanımlama'!$D$5:$D$300,MATCH(D1528,'Malzeme Tanımlama'!$A$5:$A$300,0)),"")</f>
        <v/>
      </c>
      <c r="I1528" s="2"/>
      <c r="J1528" s="2"/>
      <c r="K1528" s="2"/>
    </row>
    <row r="1529" spans="1:11" x14ac:dyDescent="0.3">
      <c r="A1529" s="5" t="str">
        <f>IF(D1529="","",COUNTIF($D$5:D1529,"?*"))</f>
        <v/>
      </c>
      <c r="B1529" s="6"/>
      <c r="C1529" s="5" t="str">
        <f>IF(B1529="","",INDEX({"Ocak","Şubat","Mart","Nisan","Mayıs","Haziran","Temmuz","Ağustos","Eylül","Ekim","Kasım","Aralık"},MONTH(B1529)))</f>
        <v/>
      </c>
      <c r="D1529" s="2"/>
      <c r="E1529" s="5" t="str">
        <f>IFERROR(INDEX('Malzeme Tanımlama'!$B$5:$B$300,MATCH(D1529,'Malzeme Tanımlama'!$A$5:$A$300,0)),"")</f>
        <v/>
      </c>
      <c r="F1529" s="2"/>
      <c r="G1529" s="5"/>
      <c r="H1529" s="5" t="str">
        <f>IFERROR(INDEX('Malzeme Tanımlama'!$D$5:$D$300,MATCH(D1529,'Malzeme Tanımlama'!$A$5:$A$300,0)),"")</f>
        <v/>
      </c>
      <c r="I1529" s="2"/>
      <c r="J1529" s="2"/>
      <c r="K1529" s="2"/>
    </row>
    <row r="1530" spans="1:11" x14ac:dyDescent="0.3">
      <c r="A1530" s="5" t="str">
        <f>IF(D1530="","",COUNTIF($D$5:D1530,"?*"))</f>
        <v/>
      </c>
      <c r="B1530" s="6"/>
      <c r="C1530" s="5" t="str">
        <f>IF(B1530="","",INDEX({"Ocak","Şubat","Mart","Nisan","Mayıs","Haziran","Temmuz","Ağustos","Eylül","Ekim","Kasım","Aralık"},MONTH(B1530)))</f>
        <v/>
      </c>
      <c r="D1530" s="2"/>
      <c r="E1530" s="5" t="str">
        <f>IFERROR(INDEX('Malzeme Tanımlama'!$B$5:$B$300,MATCH(D1530,'Malzeme Tanımlama'!$A$5:$A$300,0)),"")</f>
        <v/>
      </c>
      <c r="F1530" s="2"/>
      <c r="G1530" s="5"/>
      <c r="H1530" s="5" t="str">
        <f>IFERROR(INDEX('Malzeme Tanımlama'!$D$5:$D$300,MATCH(D1530,'Malzeme Tanımlama'!$A$5:$A$300,0)),"")</f>
        <v/>
      </c>
      <c r="I1530" s="2"/>
      <c r="J1530" s="2"/>
      <c r="K1530" s="2"/>
    </row>
    <row r="1531" spans="1:11" x14ac:dyDescent="0.3">
      <c r="A1531" s="5" t="str">
        <f>IF(D1531="","",COUNTIF($D$5:D1531,"?*"))</f>
        <v/>
      </c>
      <c r="B1531" s="6"/>
      <c r="C1531" s="5" t="str">
        <f>IF(B1531="","",INDEX({"Ocak","Şubat","Mart","Nisan","Mayıs","Haziran","Temmuz","Ağustos","Eylül","Ekim","Kasım","Aralık"},MONTH(B1531)))</f>
        <v/>
      </c>
      <c r="D1531" s="2"/>
      <c r="E1531" s="5" t="str">
        <f>IFERROR(INDEX('Malzeme Tanımlama'!$B$5:$B$300,MATCH(D1531,'Malzeme Tanımlama'!$A$5:$A$300,0)),"")</f>
        <v/>
      </c>
      <c r="F1531" s="2"/>
      <c r="G1531" s="5"/>
      <c r="H1531" s="5" t="str">
        <f>IFERROR(INDEX('Malzeme Tanımlama'!$D$5:$D$300,MATCH(D1531,'Malzeme Tanımlama'!$A$5:$A$300,0)),"")</f>
        <v/>
      </c>
      <c r="I1531" s="2"/>
      <c r="J1531" s="2"/>
      <c r="K1531" s="2"/>
    </row>
    <row r="1532" spans="1:11" x14ac:dyDescent="0.3">
      <c r="A1532" s="5" t="str">
        <f>IF(D1532="","",COUNTIF($D$5:D1532,"?*"))</f>
        <v/>
      </c>
      <c r="B1532" s="6"/>
      <c r="C1532" s="5" t="str">
        <f>IF(B1532="","",INDEX({"Ocak","Şubat","Mart","Nisan","Mayıs","Haziran","Temmuz","Ağustos","Eylül","Ekim","Kasım","Aralık"},MONTH(B1532)))</f>
        <v/>
      </c>
      <c r="D1532" s="2"/>
      <c r="E1532" s="5" t="str">
        <f>IFERROR(INDEX('Malzeme Tanımlama'!$B$5:$B$300,MATCH(D1532,'Malzeme Tanımlama'!$A$5:$A$300,0)),"")</f>
        <v/>
      </c>
      <c r="F1532" s="2"/>
      <c r="G1532" s="5"/>
      <c r="H1532" s="5" t="str">
        <f>IFERROR(INDEX('Malzeme Tanımlama'!$D$5:$D$300,MATCH(D1532,'Malzeme Tanımlama'!$A$5:$A$300,0)),"")</f>
        <v/>
      </c>
      <c r="I1532" s="2"/>
      <c r="J1532" s="2"/>
      <c r="K1532" s="2"/>
    </row>
    <row r="1533" spans="1:11" x14ac:dyDescent="0.3">
      <c r="A1533" s="5" t="str">
        <f>IF(D1533="","",COUNTIF($D$5:D1533,"?*"))</f>
        <v/>
      </c>
      <c r="B1533" s="6"/>
      <c r="C1533" s="5" t="str">
        <f>IF(B1533="","",INDEX({"Ocak","Şubat","Mart","Nisan","Mayıs","Haziran","Temmuz","Ağustos","Eylül","Ekim","Kasım","Aralık"},MONTH(B1533)))</f>
        <v/>
      </c>
      <c r="D1533" s="2"/>
      <c r="E1533" s="5" t="str">
        <f>IFERROR(INDEX('Malzeme Tanımlama'!$B$5:$B$300,MATCH(D1533,'Malzeme Tanımlama'!$A$5:$A$300,0)),"")</f>
        <v/>
      </c>
      <c r="F1533" s="2"/>
      <c r="G1533" s="5"/>
      <c r="H1533" s="5" t="str">
        <f>IFERROR(INDEX('Malzeme Tanımlama'!$D$5:$D$300,MATCH(D1533,'Malzeme Tanımlama'!$A$5:$A$300,0)),"")</f>
        <v/>
      </c>
      <c r="I1533" s="2"/>
      <c r="J1533" s="2"/>
      <c r="K1533" s="2"/>
    </row>
    <row r="1534" spans="1:11" x14ac:dyDescent="0.3">
      <c r="A1534" s="5" t="str">
        <f>IF(D1534="","",COUNTIF($D$5:D1534,"?*"))</f>
        <v/>
      </c>
      <c r="B1534" s="6"/>
      <c r="C1534" s="5" t="str">
        <f>IF(B1534="","",INDEX({"Ocak","Şubat","Mart","Nisan","Mayıs","Haziran","Temmuz","Ağustos","Eylül","Ekim","Kasım","Aralık"},MONTH(B1534)))</f>
        <v/>
      </c>
      <c r="D1534" s="2"/>
      <c r="E1534" s="5" t="str">
        <f>IFERROR(INDEX('Malzeme Tanımlama'!$B$5:$B$300,MATCH(D1534,'Malzeme Tanımlama'!$A$5:$A$300,0)),"")</f>
        <v/>
      </c>
      <c r="F1534" s="2"/>
      <c r="G1534" s="5"/>
      <c r="H1534" s="5" t="str">
        <f>IFERROR(INDEX('Malzeme Tanımlama'!$D$5:$D$300,MATCH(D1534,'Malzeme Tanımlama'!$A$5:$A$300,0)),"")</f>
        <v/>
      </c>
      <c r="I1534" s="2"/>
      <c r="J1534" s="2"/>
      <c r="K1534" s="2"/>
    </row>
    <row r="1535" spans="1:11" x14ac:dyDescent="0.3">
      <c r="A1535" s="5" t="str">
        <f>IF(D1535="","",COUNTIF($D$5:D1535,"?*"))</f>
        <v/>
      </c>
      <c r="B1535" s="6"/>
      <c r="C1535" s="5" t="str">
        <f>IF(B1535="","",INDEX({"Ocak","Şubat","Mart","Nisan","Mayıs","Haziran","Temmuz","Ağustos","Eylül","Ekim","Kasım","Aralık"},MONTH(B1535)))</f>
        <v/>
      </c>
      <c r="D1535" s="2"/>
      <c r="E1535" s="5" t="str">
        <f>IFERROR(INDEX('Malzeme Tanımlama'!$B$5:$B$300,MATCH(D1535,'Malzeme Tanımlama'!$A$5:$A$300,0)),"")</f>
        <v/>
      </c>
      <c r="F1535" s="2"/>
      <c r="G1535" s="5"/>
      <c r="H1535" s="5" t="str">
        <f>IFERROR(INDEX('Malzeme Tanımlama'!$D$5:$D$300,MATCH(D1535,'Malzeme Tanımlama'!$A$5:$A$300,0)),"")</f>
        <v/>
      </c>
      <c r="I1535" s="2"/>
      <c r="J1535" s="2"/>
      <c r="K1535" s="2"/>
    </row>
    <row r="1536" spans="1:11" x14ac:dyDescent="0.3">
      <c r="A1536" s="5" t="str">
        <f>IF(D1536="","",COUNTIF($D$5:D1536,"?*"))</f>
        <v/>
      </c>
      <c r="B1536" s="6"/>
      <c r="C1536" s="5" t="str">
        <f>IF(B1536="","",INDEX({"Ocak","Şubat","Mart","Nisan","Mayıs","Haziran","Temmuz","Ağustos","Eylül","Ekim","Kasım","Aralık"},MONTH(B1536)))</f>
        <v/>
      </c>
      <c r="D1536" s="2"/>
      <c r="E1536" s="5" t="str">
        <f>IFERROR(INDEX('Malzeme Tanımlama'!$B$5:$B$300,MATCH(D1536,'Malzeme Tanımlama'!$A$5:$A$300,0)),"")</f>
        <v/>
      </c>
      <c r="F1536" s="2"/>
      <c r="G1536" s="5"/>
      <c r="H1536" s="5" t="str">
        <f>IFERROR(INDEX('Malzeme Tanımlama'!$D$5:$D$300,MATCH(D1536,'Malzeme Tanımlama'!$A$5:$A$300,0)),"")</f>
        <v/>
      </c>
      <c r="I1536" s="2"/>
      <c r="J1536" s="2"/>
      <c r="K1536" s="2"/>
    </row>
    <row r="1537" spans="1:11" x14ac:dyDescent="0.3">
      <c r="A1537" s="5" t="str">
        <f>IF(D1537="","",COUNTIF($D$5:D1537,"?*"))</f>
        <v/>
      </c>
      <c r="B1537" s="6"/>
      <c r="C1537" s="5" t="str">
        <f>IF(B1537="","",INDEX({"Ocak","Şubat","Mart","Nisan","Mayıs","Haziran","Temmuz","Ağustos","Eylül","Ekim","Kasım","Aralık"},MONTH(B1537)))</f>
        <v/>
      </c>
      <c r="D1537" s="2"/>
      <c r="E1537" s="5" t="str">
        <f>IFERROR(INDEX('Malzeme Tanımlama'!$B$5:$B$300,MATCH(D1537,'Malzeme Tanımlama'!$A$5:$A$300,0)),"")</f>
        <v/>
      </c>
      <c r="F1537" s="2"/>
      <c r="G1537" s="5"/>
      <c r="H1537" s="5" t="str">
        <f>IFERROR(INDEX('Malzeme Tanımlama'!$D$5:$D$300,MATCH(D1537,'Malzeme Tanımlama'!$A$5:$A$300,0)),"")</f>
        <v/>
      </c>
      <c r="I1537" s="2"/>
      <c r="J1537" s="2"/>
      <c r="K1537" s="2"/>
    </row>
    <row r="1538" spans="1:11" x14ac:dyDescent="0.3">
      <c r="A1538" s="5" t="str">
        <f>IF(D1538="","",COUNTIF($D$5:D1538,"?*"))</f>
        <v/>
      </c>
      <c r="B1538" s="6"/>
      <c r="C1538" s="5" t="str">
        <f>IF(B1538="","",INDEX({"Ocak","Şubat","Mart","Nisan","Mayıs","Haziran","Temmuz","Ağustos","Eylül","Ekim","Kasım","Aralık"},MONTH(B1538)))</f>
        <v/>
      </c>
      <c r="D1538" s="2"/>
      <c r="E1538" s="5" t="str">
        <f>IFERROR(INDEX('Malzeme Tanımlama'!$B$5:$B$300,MATCH(D1538,'Malzeme Tanımlama'!$A$5:$A$300,0)),"")</f>
        <v/>
      </c>
      <c r="F1538" s="2"/>
      <c r="G1538" s="5"/>
      <c r="H1538" s="5" t="str">
        <f>IFERROR(INDEX('Malzeme Tanımlama'!$D$5:$D$300,MATCH(D1538,'Malzeme Tanımlama'!$A$5:$A$300,0)),"")</f>
        <v/>
      </c>
      <c r="I1538" s="2"/>
      <c r="J1538" s="2"/>
      <c r="K1538" s="2"/>
    </row>
    <row r="1539" spans="1:11" x14ac:dyDescent="0.3">
      <c r="A1539" s="5" t="str">
        <f>IF(D1539="","",COUNTIF($D$5:D1539,"?*"))</f>
        <v/>
      </c>
      <c r="B1539" s="6"/>
      <c r="C1539" s="5" t="str">
        <f>IF(B1539="","",INDEX({"Ocak","Şubat","Mart","Nisan","Mayıs","Haziran","Temmuz","Ağustos","Eylül","Ekim","Kasım","Aralık"},MONTH(B1539)))</f>
        <v/>
      </c>
      <c r="D1539" s="2"/>
      <c r="E1539" s="5" t="str">
        <f>IFERROR(INDEX('Malzeme Tanımlama'!$B$5:$B$300,MATCH(D1539,'Malzeme Tanımlama'!$A$5:$A$300,0)),"")</f>
        <v/>
      </c>
      <c r="F1539" s="2"/>
      <c r="G1539" s="5"/>
      <c r="H1539" s="5" t="str">
        <f>IFERROR(INDEX('Malzeme Tanımlama'!$D$5:$D$300,MATCH(D1539,'Malzeme Tanımlama'!$A$5:$A$300,0)),"")</f>
        <v/>
      </c>
      <c r="I1539" s="2"/>
      <c r="J1539" s="2"/>
      <c r="K1539" s="2"/>
    </row>
    <row r="1540" spans="1:11" x14ac:dyDescent="0.3">
      <c r="A1540" s="5" t="str">
        <f>IF(D1540="","",COUNTIF($D$5:D1540,"?*"))</f>
        <v/>
      </c>
      <c r="B1540" s="6"/>
      <c r="C1540" s="5" t="str">
        <f>IF(B1540="","",INDEX({"Ocak","Şubat","Mart","Nisan","Mayıs","Haziran","Temmuz","Ağustos","Eylül","Ekim","Kasım","Aralık"},MONTH(B1540)))</f>
        <v/>
      </c>
      <c r="D1540" s="2"/>
      <c r="E1540" s="5" t="str">
        <f>IFERROR(INDEX('Malzeme Tanımlama'!$B$5:$B$300,MATCH(D1540,'Malzeme Tanımlama'!$A$5:$A$300,0)),"")</f>
        <v/>
      </c>
      <c r="F1540" s="2"/>
      <c r="G1540" s="5"/>
      <c r="H1540" s="5" t="str">
        <f>IFERROR(INDEX('Malzeme Tanımlama'!$D$5:$D$300,MATCH(D1540,'Malzeme Tanımlama'!$A$5:$A$300,0)),"")</f>
        <v/>
      </c>
      <c r="I1540" s="2"/>
      <c r="J1540" s="2"/>
      <c r="K1540" s="2"/>
    </row>
    <row r="1541" spans="1:11" x14ac:dyDescent="0.3">
      <c r="A1541" s="5" t="str">
        <f>IF(D1541="","",COUNTIF($D$5:D1541,"?*"))</f>
        <v/>
      </c>
      <c r="B1541" s="6"/>
      <c r="C1541" s="5" t="str">
        <f>IF(B1541="","",INDEX({"Ocak","Şubat","Mart","Nisan","Mayıs","Haziran","Temmuz","Ağustos","Eylül","Ekim","Kasım","Aralık"},MONTH(B1541)))</f>
        <v/>
      </c>
      <c r="D1541" s="2"/>
      <c r="E1541" s="5" t="str">
        <f>IFERROR(INDEX('Malzeme Tanımlama'!$B$5:$B$300,MATCH(D1541,'Malzeme Tanımlama'!$A$5:$A$300,0)),"")</f>
        <v/>
      </c>
      <c r="F1541" s="2"/>
      <c r="G1541" s="5"/>
      <c r="H1541" s="5" t="str">
        <f>IFERROR(INDEX('Malzeme Tanımlama'!$D$5:$D$300,MATCH(D1541,'Malzeme Tanımlama'!$A$5:$A$300,0)),"")</f>
        <v/>
      </c>
      <c r="I1541" s="2"/>
      <c r="J1541" s="2"/>
      <c r="K1541" s="2"/>
    </row>
    <row r="1542" spans="1:11" x14ac:dyDescent="0.3">
      <c r="A1542" s="5" t="str">
        <f>IF(D1542="","",COUNTIF($D$5:D1542,"?*"))</f>
        <v/>
      </c>
      <c r="B1542" s="6"/>
      <c r="C1542" s="5" t="str">
        <f>IF(B1542="","",INDEX({"Ocak","Şubat","Mart","Nisan","Mayıs","Haziran","Temmuz","Ağustos","Eylül","Ekim","Kasım","Aralık"},MONTH(B1542)))</f>
        <v/>
      </c>
      <c r="D1542" s="2"/>
      <c r="E1542" s="5" t="str">
        <f>IFERROR(INDEX('Malzeme Tanımlama'!$B$5:$B$300,MATCH(D1542,'Malzeme Tanımlama'!$A$5:$A$300,0)),"")</f>
        <v/>
      </c>
      <c r="F1542" s="2"/>
      <c r="G1542" s="5"/>
      <c r="H1542" s="5" t="str">
        <f>IFERROR(INDEX('Malzeme Tanımlama'!$D$5:$D$300,MATCH(D1542,'Malzeme Tanımlama'!$A$5:$A$300,0)),"")</f>
        <v/>
      </c>
      <c r="I1542" s="2"/>
      <c r="J1542" s="2"/>
      <c r="K1542" s="2"/>
    </row>
    <row r="1543" spans="1:11" x14ac:dyDescent="0.3">
      <c r="A1543" s="5" t="str">
        <f>IF(D1543="","",COUNTIF($D$5:D1543,"?*"))</f>
        <v/>
      </c>
      <c r="B1543" s="6"/>
      <c r="C1543" s="5" t="str">
        <f>IF(B1543="","",INDEX({"Ocak","Şubat","Mart","Nisan","Mayıs","Haziran","Temmuz","Ağustos","Eylül","Ekim","Kasım","Aralık"},MONTH(B1543)))</f>
        <v/>
      </c>
      <c r="D1543" s="2"/>
      <c r="E1543" s="5" t="str">
        <f>IFERROR(INDEX('Malzeme Tanımlama'!$B$5:$B$300,MATCH(D1543,'Malzeme Tanımlama'!$A$5:$A$300,0)),"")</f>
        <v/>
      </c>
      <c r="F1543" s="2"/>
      <c r="G1543" s="5"/>
      <c r="H1543" s="5" t="str">
        <f>IFERROR(INDEX('Malzeme Tanımlama'!$D$5:$D$300,MATCH(D1543,'Malzeme Tanımlama'!$A$5:$A$300,0)),"")</f>
        <v/>
      </c>
      <c r="I1543" s="2"/>
      <c r="J1543" s="2"/>
      <c r="K1543" s="2"/>
    </row>
    <row r="1544" spans="1:11" x14ac:dyDescent="0.3">
      <c r="A1544" s="5" t="str">
        <f>IF(D1544="","",COUNTIF($D$5:D1544,"?*"))</f>
        <v/>
      </c>
      <c r="B1544" s="6"/>
      <c r="C1544" s="5" t="str">
        <f>IF(B1544="","",INDEX({"Ocak","Şubat","Mart","Nisan","Mayıs","Haziran","Temmuz","Ağustos","Eylül","Ekim","Kasım","Aralık"},MONTH(B1544)))</f>
        <v/>
      </c>
      <c r="D1544" s="2"/>
      <c r="E1544" s="5" t="str">
        <f>IFERROR(INDEX('Malzeme Tanımlama'!$B$5:$B$300,MATCH(D1544,'Malzeme Tanımlama'!$A$5:$A$300,0)),"")</f>
        <v/>
      </c>
      <c r="F1544" s="2"/>
      <c r="G1544" s="5"/>
      <c r="H1544" s="5" t="str">
        <f>IFERROR(INDEX('Malzeme Tanımlama'!$D$5:$D$300,MATCH(D1544,'Malzeme Tanımlama'!$A$5:$A$300,0)),"")</f>
        <v/>
      </c>
      <c r="I1544" s="2"/>
      <c r="J1544" s="2"/>
      <c r="K1544" s="2"/>
    </row>
    <row r="1545" spans="1:11" x14ac:dyDescent="0.3">
      <c r="A1545" s="5" t="str">
        <f>IF(D1545="","",COUNTIF($D$5:D1545,"?*"))</f>
        <v/>
      </c>
      <c r="B1545" s="6"/>
      <c r="C1545" s="5" t="str">
        <f>IF(B1545="","",INDEX({"Ocak","Şubat","Mart","Nisan","Mayıs","Haziran","Temmuz","Ağustos","Eylül","Ekim","Kasım","Aralık"},MONTH(B1545)))</f>
        <v/>
      </c>
      <c r="D1545" s="2"/>
      <c r="E1545" s="5" t="str">
        <f>IFERROR(INDEX('Malzeme Tanımlama'!$B$5:$B$300,MATCH(D1545,'Malzeme Tanımlama'!$A$5:$A$300,0)),"")</f>
        <v/>
      </c>
      <c r="F1545" s="2"/>
      <c r="G1545" s="5"/>
      <c r="H1545" s="5" t="str">
        <f>IFERROR(INDEX('Malzeme Tanımlama'!$D$5:$D$300,MATCH(D1545,'Malzeme Tanımlama'!$A$5:$A$300,0)),"")</f>
        <v/>
      </c>
      <c r="I1545" s="2"/>
      <c r="J1545" s="2"/>
      <c r="K1545" s="2"/>
    </row>
    <row r="1546" spans="1:11" x14ac:dyDescent="0.3">
      <c r="A1546" s="5" t="str">
        <f>IF(D1546="","",COUNTIF($D$5:D1546,"?*"))</f>
        <v/>
      </c>
      <c r="B1546" s="6"/>
      <c r="C1546" s="5" t="str">
        <f>IF(B1546="","",INDEX({"Ocak","Şubat","Mart","Nisan","Mayıs","Haziran","Temmuz","Ağustos","Eylül","Ekim","Kasım","Aralık"},MONTH(B1546)))</f>
        <v/>
      </c>
      <c r="D1546" s="2"/>
      <c r="E1546" s="5" t="str">
        <f>IFERROR(INDEX('Malzeme Tanımlama'!$B$5:$B$300,MATCH(D1546,'Malzeme Tanımlama'!$A$5:$A$300,0)),"")</f>
        <v/>
      </c>
      <c r="F1546" s="2"/>
      <c r="G1546" s="5"/>
      <c r="H1546" s="5" t="str">
        <f>IFERROR(INDEX('Malzeme Tanımlama'!$D$5:$D$300,MATCH(D1546,'Malzeme Tanımlama'!$A$5:$A$300,0)),"")</f>
        <v/>
      </c>
      <c r="I1546" s="2"/>
      <c r="J1546" s="2"/>
      <c r="K1546" s="2"/>
    </row>
    <row r="1547" spans="1:11" x14ac:dyDescent="0.3">
      <c r="A1547" s="5" t="str">
        <f>IF(D1547="","",COUNTIF($D$5:D1547,"?*"))</f>
        <v/>
      </c>
      <c r="B1547" s="6"/>
      <c r="C1547" s="5" t="str">
        <f>IF(B1547="","",INDEX({"Ocak","Şubat","Mart","Nisan","Mayıs","Haziran","Temmuz","Ağustos","Eylül","Ekim","Kasım","Aralık"},MONTH(B1547)))</f>
        <v/>
      </c>
      <c r="D1547" s="2"/>
      <c r="E1547" s="5" t="str">
        <f>IFERROR(INDEX('Malzeme Tanımlama'!$B$5:$B$300,MATCH(D1547,'Malzeme Tanımlama'!$A$5:$A$300,0)),"")</f>
        <v/>
      </c>
      <c r="F1547" s="2"/>
      <c r="G1547" s="5"/>
      <c r="H1547" s="5" t="str">
        <f>IFERROR(INDEX('Malzeme Tanımlama'!$D$5:$D$300,MATCH(D1547,'Malzeme Tanımlama'!$A$5:$A$300,0)),"")</f>
        <v/>
      </c>
      <c r="I1547" s="2"/>
      <c r="J1547" s="2"/>
      <c r="K1547" s="2"/>
    </row>
    <row r="1548" spans="1:11" x14ac:dyDescent="0.3">
      <c r="A1548" s="5" t="str">
        <f>IF(D1548="","",COUNTIF($D$5:D1548,"?*"))</f>
        <v/>
      </c>
      <c r="B1548" s="6"/>
      <c r="C1548" s="5" t="str">
        <f>IF(B1548="","",INDEX({"Ocak","Şubat","Mart","Nisan","Mayıs","Haziran","Temmuz","Ağustos","Eylül","Ekim","Kasım","Aralık"},MONTH(B1548)))</f>
        <v/>
      </c>
      <c r="D1548" s="2"/>
      <c r="E1548" s="5" t="str">
        <f>IFERROR(INDEX('Malzeme Tanımlama'!$B$5:$B$300,MATCH(D1548,'Malzeme Tanımlama'!$A$5:$A$300,0)),"")</f>
        <v/>
      </c>
      <c r="F1548" s="2"/>
      <c r="G1548" s="5"/>
      <c r="H1548" s="5" t="str">
        <f>IFERROR(INDEX('Malzeme Tanımlama'!$D$5:$D$300,MATCH(D1548,'Malzeme Tanımlama'!$A$5:$A$300,0)),"")</f>
        <v/>
      </c>
      <c r="I1548" s="2"/>
      <c r="J1548" s="2"/>
      <c r="K1548" s="2"/>
    </row>
    <row r="1549" spans="1:11" x14ac:dyDescent="0.3">
      <c r="A1549" s="5" t="str">
        <f>IF(D1549="","",COUNTIF($D$5:D1549,"?*"))</f>
        <v/>
      </c>
      <c r="B1549" s="6"/>
      <c r="C1549" s="5" t="str">
        <f>IF(B1549="","",INDEX({"Ocak","Şubat","Mart","Nisan","Mayıs","Haziran","Temmuz","Ağustos","Eylül","Ekim","Kasım","Aralık"},MONTH(B1549)))</f>
        <v/>
      </c>
      <c r="D1549" s="2"/>
      <c r="E1549" s="5" t="str">
        <f>IFERROR(INDEX('Malzeme Tanımlama'!$B$5:$B$300,MATCH(D1549,'Malzeme Tanımlama'!$A$5:$A$300,0)),"")</f>
        <v/>
      </c>
      <c r="F1549" s="2"/>
      <c r="G1549" s="5"/>
      <c r="H1549" s="5" t="str">
        <f>IFERROR(INDEX('Malzeme Tanımlama'!$D$5:$D$300,MATCH(D1549,'Malzeme Tanımlama'!$A$5:$A$300,0)),"")</f>
        <v/>
      </c>
      <c r="I1549" s="2"/>
      <c r="J1549" s="2"/>
      <c r="K1549" s="2"/>
    </row>
    <row r="1550" spans="1:11" x14ac:dyDescent="0.3">
      <c r="A1550" s="5" t="str">
        <f>IF(D1550="","",COUNTIF($D$5:D1550,"?*"))</f>
        <v/>
      </c>
      <c r="B1550" s="6"/>
      <c r="C1550" s="5" t="str">
        <f>IF(B1550="","",INDEX({"Ocak","Şubat","Mart","Nisan","Mayıs","Haziran","Temmuz","Ağustos","Eylül","Ekim","Kasım","Aralık"},MONTH(B1550)))</f>
        <v/>
      </c>
      <c r="D1550" s="2"/>
      <c r="E1550" s="5" t="str">
        <f>IFERROR(INDEX('Malzeme Tanımlama'!$B$5:$B$300,MATCH(D1550,'Malzeme Tanımlama'!$A$5:$A$300,0)),"")</f>
        <v/>
      </c>
      <c r="F1550" s="2"/>
      <c r="G1550" s="5"/>
      <c r="H1550" s="5" t="str">
        <f>IFERROR(INDEX('Malzeme Tanımlama'!$D$5:$D$300,MATCH(D1550,'Malzeme Tanımlama'!$A$5:$A$300,0)),"")</f>
        <v/>
      </c>
      <c r="I1550" s="2"/>
      <c r="J1550" s="2"/>
      <c r="K1550" s="2"/>
    </row>
    <row r="1551" spans="1:11" x14ac:dyDescent="0.3">
      <c r="A1551" s="5" t="str">
        <f>IF(D1551="","",COUNTIF($D$5:D1551,"?*"))</f>
        <v/>
      </c>
      <c r="B1551" s="6"/>
      <c r="C1551" s="5" t="str">
        <f>IF(B1551="","",INDEX({"Ocak","Şubat","Mart","Nisan","Mayıs","Haziran","Temmuz","Ağustos","Eylül","Ekim","Kasım","Aralık"},MONTH(B1551)))</f>
        <v/>
      </c>
      <c r="D1551" s="2"/>
      <c r="E1551" s="5" t="str">
        <f>IFERROR(INDEX('Malzeme Tanımlama'!$B$5:$B$300,MATCH(D1551,'Malzeme Tanımlama'!$A$5:$A$300,0)),"")</f>
        <v/>
      </c>
      <c r="F1551" s="2"/>
      <c r="G1551" s="5"/>
      <c r="H1551" s="5" t="str">
        <f>IFERROR(INDEX('Malzeme Tanımlama'!$D$5:$D$300,MATCH(D1551,'Malzeme Tanımlama'!$A$5:$A$300,0)),"")</f>
        <v/>
      </c>
      <c r="I1551" s="2"/>
      <c r="J1551" s="2"/>
      <c r="K1551" s="2"/>
    </row>
    <row r="1552" spans="1:11" x14ac:dyDescent="0.3">
      <c r="A1552" s="5" t="str">
        <f>IF(D1552="","",COUNTIF($D$5:D1552,"?*"))</f>
        <v/>
      </c>
      <c r="B1552" s="6"/>
      <c r="C1552" s="5" t="str">
        <f>IF(B1552="","",INDEX({"Ocak","Şubat","Mart","Nisan","Mayıs","Haziran","Temmuz","Ağustos","Eylül","Ekim","Kasım","Aralık"},MONTH(B1552)))</f>
        <v/>
      </c>
      <c r="D1552" s="2"/>
      <c r="E1552" s="5" t="str">
        <f>IFERROR(INDEX('Malzeme Tanımlama'!$B$5:$B$300,MATCH(D1552,'Malzeme Tanımlama'!$A$5:$A$300,0)),"")</f>
        <v/>
      </c>
      <c r="F1552" s="2"/>
      <c r="G1552" s="5"/>
      <c r="H1552" s="5" t="str">
        <f>IFERROR(INDEX('Malzeme Tanımlama'!$D$5:$D$300,MATCH(D1552,'Malzeme Tanımlama'!$A$5:$A$300,0)),"")</f>
        <v/>
      </c>
      <c r="I1552" s="2"/>
      <c r="J1552" s="2"/>
      <c r="K1552" s="2"/>
    </row>
    <row r="1553" spans="1:11" x14ac:dyDescent="0.3">
      <c r="A1553" s="5" t="str">
        <f>IF(D1553="","",COUNTIF($D$5:D1553,"?*"))</f>
        <v/>
      </c>
      <c r="B1553" s="6"/>
      <c r="C1553" s="5" t="str">
        <f>IF(B1553="","",INDEX({"Ocak","Şubat","Mart","Nisan","Mayıs","Haziran","Temmuz","Ağustos","Eylül","Ekim","Kasım","Aralık"},MONTH(B1553)))</f>
        <v/>
      </c>
      <c r="D1553" s="2"/>
      <c r="E1553" s="5" t="str">
        <f>IFERROR(INDEX('Malzeme Tanımlama'!$B$5:$B$300,MATCH(D1553,'Malzeme Tanımlama'!$A$5:$A$300,0)),"")</f>
        <v/>
      </c>
      <c r="F1553" s="2"/>
      <c r="G1553" s="5"/>
      <c r="H1553" s="5" t="str">
        <f>IFERROR(INDEX('Malzeme Tanımlama'!$D$5:$D$300,MATCH(D1553,'Malzeme Tanımlama'!$A$5:$A$300,0)),"")</f>
        <v/>
      </c>
      <c r="I1553" s="2"/>
      <c r="J1553" s="2"/>
      <c r="K1553" s="2"/>
    </row>
    <row r="1554" spans="1:11" x14ac:dyDescent="0.3">
      <c r="A1554" s="5" t="str">
        <f>IF(D1554="","",COUNTIF($D$5:D1554,"?*"))</f>
        <v/>
      </c>
      <c r="B1554" s="6"/>
      <c r="C1554" s="5" t="str">
        <f>IF(B1554="","",INDEX({"Ocak","Şubat","Mart","Nisan","Mayıs","Haziran","Temmuz","Ağustos","Eylül","Ekim","Kasım","Aralık"},MONTH(B1554)))</f>
        <v/>
      </c>
      <c r="D1554" s="2"/>
      <c r="E1554" s="5" t="str">
        <f>IFERROR(INDEX('Malzeme Tanımlama'!$B$5:$B$300,MATCH(D1554,'Malzeme Tanımlama'!$A$5:$A$300,0)),"")</f>
        <v/>
      </c>
      <c r="F1554" s="2"/>
      <c r="G1554" s="5"/>
      <c r="H1554" s="5" t="str">
        <f>IFERROR(INDEX('Malzeme Tanımlama'!$D$5:$D$300,MATCH(D1554,'Malzeme Tanımlama'!$A$5:$A$300,0)),"")</f>
        <v/>
      </c>
      <c r="I1554" s="2"/>
      <c r="J1554" s="2"/>
      <c r="K1554" s="2"/>
    </row>
    <row r="1555" spans="1:11" x14ac:dyDescent="0.3">
      <c r="A1555" s="5" t="str">
        <f>IF(D1555="","",COUNTIF($D$5:D1555,"?*"))</f>
        <v/>
      </c>
      <c r="B1555" s="6"/>
      <c r="C1555" s="5" t="str">
        <f>IF(B1555="","",INDEX({"Ocak","Şubat","Mart","Nisan","Mayıs","Haziran","Temmuz","Ağustos","Eylül","Ekim","Kasım","Aralık"},MONTH(B1555)))</f>
        <v/>
      </c>
      <c r="D1555" s="2"/>
      <c r="E1555" s="5" t="str">
        <f>IFERROR(INDEX('Malzeme Tanımlama'!$B$5:$B$300,MATCH(D1555,'Malzeme Tanımlama'!$A$5:$A$300,0)),"")</f>
        <v/>
      </c>
      <c r="F1555" s="2"/>
      <c r="G1555" s="5"/>
      <c r="H1555" s="5" t="str">
        <f>IFERROR(INDEX('Malzeme Tanımlama'!$D$5:$D$300,MATCH(D1555,'Malzeme Tanımlama'!$A$5:$A$300,0)),"")</f>
        <v/>
      </c>
      <c r="I1555" s="2"/>
      <c r="J1555" s="2"/>
      <c r="K1555" s="2"/>
    </row>
    <row r="1556" spans="1:11" x14ac:dyDescent="0.3">
      <c r="A1556" s="5" t="str">
        <f>IF(D1556="","",COUNTIF($D$5:D1556,"?*"))</f>
        <v/>
      </c>
      <c r="B1556" s="6"/>
      <c r="C1556" s="5" t="str">
        <f>IF(B1556="","",INDEX({"Ocak","Şubat","Mart","Nisan","Mayıs","Haziran","Temmuz","Ağustos","Eylül","Ekim","Kasım","Aralık"},MONTH(B1556)))</f>
        <v/>
      </c>
      <c r="D1556" s="2"/>
      <c r="E1556" s="5" t="str">
        <f>IFERROR(INDEX('Malzeme Tanımlama'!$B$5:$B$300,MATCH(D1556,'Malzeme Tanımlama'!$A$5:$A$300,0)),"")</f>
        <v/>
      </c>
      <c r="F1556" s="2"/>
      <c r="G1556" s="5"/>
      <c r="H1556" s="5" t="str">
        <f>IFERROR(INDEX('Malzeme Tanımlama'!$D$5:$D$300,MATCH(D1556,'Malzeme Tanımlama'!$A$5:$A$300,0)),"")</f>
        <v/>
      </c>
      <c r="I1556" s="2"/>
      <c r="J1556" s="2"/>
      <c r="K1556" s="2"/>
    </row>
    <row r="1557" spans="1:11" x14ac:dyDescent="0.3">
      <c r="A1557" s="5" t="str">
        <f>IF(D1557="","",COUNTIF($D$5:D1557,"?*"))</f>
        <v/>
      </c>
      <c r="B1557" s="6"/>
      <c r="C1557" s="5" t="str">
        <f>IF(B1557="","",INDEX({"Ocak","Şubat","Mart","Nisan","Mayıs","Haziran","Temmuz","Ağustos","Eylül","Ekim","Kasım","Aralık"},MONTH(B1557)))</f>
        <v/>
      </c>
      <c r="D1557" s="2"/>
      <c r="E1557" s="5" t="str">
        <f>IFERROR(INDEX('Malzeme Tanımlama'!$B$5:$B$300,MATCH(D1557,'Malzeme Tanımlama'!$A$5:$A$300,0)),"")</f>
        <v/>
      </c>
      <c r="F1557" s="2"/>
      <c r="G1557" s="5"/>
      <c r="H1557" s="5" t="str">
        <f>IFERROR(INDEX('Malzeme Tanımlama'!$D$5:$D$300,MATCH(D1557,'Malzeme Tanımlama'!$A$5:$A$300,0)),"")</f>
        <v/>
      </c>
      <c r="I1557" s="2"/>
      <c r="J1557" s="2"/>
      <c r="K1557" s="2"/>
    </row>
    <row r="1558" spans="1:11" x14ac:dyDescent="0.3">
      <c r="A1558" s="5" t="str">
        <f>IF(D1558="","",COUNTIF($D$5:D1558,"?*"))</f>
        <v/>
      </c>
      <c r="B1558" s="6"/>
      <c r="C1558" s="5" t="str">
        <f>IF(B1558="","",INDEX({"Ocak","Şubat","Mart","Nisan","Mayıs","Haziran","Temmuz","Ağustos","Eylül","Ekim","Kasım","Aralık"},MONTH(B1558)))</f>
        <v/>
      </c>
      <c r="D1558" s="2"/>
      <c r="E1558" s="5" t="str">
        <f>IFERROR(INDEX('Malzeme Tanımlama'!$B$5:$B$300,MATCH(D1558,'Malzeme Tanımlama'!$A$5:$A$300,0)),"")</f>
        <v/>
      </c>
      <c r="F1558" s="2"/>
      <c r="G1558" s="5"/>
      <c r="H1558" s="5" t="str">
        <f>IFERROR(INDEX('Malzeme Tanımlama'!$D$5:$D$300,MATCH(D1558,'Malzeme Tanımlama'!$A$5:$A$300,0)),"")</f>
        <v/>
      </c>
      <c r="I1558" s="2"/>
      <c r="J1558" s="2"/>
      <c r="K1558" s="2"/>
    </row>
    <row r="1559" spans="1:11" x14ac:dyDescent="0.3">
      <c r="A1559" s="5" t="str">
        <f>IF(D1559="","",COUNTIF($D$5:D1559,"?*"))</f>
        <v/>
      </c>
      <c r="B1559" s="6"/>
      <c r="C1559" s="5" t="str">
        <f>IF(B1559="","",INDEX({"Ocak","Şubat","Mart","Nisan","Mayıs","Haziran","Temmuz","Ağustos","Eylül","Ekim","Kasım","Aralık"},MONTH(B1559)))</f>
        <v/>
      </c>
      <c r="D1559" s="2"/>
      <c r="E1559" s="5" t="str">
        <f>IFERROR(INDEX('Malzeme Tanımlama'!$B$5:$B$300,MATCH(D1559,'Malzeme Tanımlama'!$A$5:$A$300,0)),"")</f>
        <v/>
      </c>
      <c r="F1559" s="2"/>
      <c r="G1559" s="5"/>
      <c r="H1559" s="5" t="str">
        <f>IFERROR(INDEX('Malzeme Tanımlama'!$D$5:$D$300,MATCH(D1559,'Malzeme Tanımlama'!$A$5:$A$300,0)),"")</f>
        <v/>
      </c>
      <c r="I1559" s="2"/>
      <c r="J1559" s="2"/>
      <c r="K1559" s="2"/>
    </row>
    <row r="1560" spans="1:11" x14ac:dyDescent="0.3">
      <c r="A1560" s="5" t="str">
        <f>IF(D1560="","",COUNTIF($D$5:D1560,"?*"))</f>
        <v/>
      </c>
      <c r="B1560" s="6"/>
      <c r="C1560" s="5" t="str">
        <f>IF(B1560="","",INDEX({"Ocak","Şubat","Mart","Nisan","Mayıs","Haziran","Temmuz","Ağustos","Eylül","Ekim","Kasım","Aralık"},MONTH(B1560)))</f>
        <v/>
      </c>
      <c r="D1560" s="2"/>
      <c r="E1560" s="5" t="str">
        <f>IFERROR(INDEX('Malzeme Tanımlama'!$B$5:$B$300,MATCH(D1560,'Malzeme Tanımlama'!$A$5:$A$300,0)),"")</f>
        <v/>
      </c>
      <c r="F1560" s="2"/>
      <c r="G1560" s="5"/>
      <c r="H1560" s="5" t="str">
        <f>IFERROR(INDEX('Malzeme Tanımlama'!$D$5:$D$300,MATCH(D1560,'Malzeme Tanımlama'!$A$5:$A$300,0)),"")</f>
        <v/>
      </c>
      <c r="I1560" s="2"/>
      <c r="J1560" s="2"/>
      <c r="K1560" s="2"/>
    </row>
    <row r="1561" spans="1:11" x14ac:dyDescent="0.3">
      <c r="A1561" s="5" t="str">
        <f>IF(D1561="","",COUNTIF($D$5:D1561,"?*"))</f>
        <v/>
      </c>
      <c r="B1561" s="6"/>
      <c r="C1561" s="5" t="str">
        <f>IF(B1561="","",INDEX({"Ocak","Şubat","Mart","Nisan","Mayıs","Haziran","Temmuz","Ağustos","Eylül","Ekim","Kasım","Aralık"},MONTH(B1561)))</f>
        <v/>
      </c>
      <c r="D1561" s="2"/>
      <c r="E1561" s="5" t="str">
        <f>IFERROR(INDEX('Malzeme Tanımlama'!$B$5:$B$300,MATCH(D1561,'Malzeme Tanımlama'!$A$5:$A$300,0)),"")</f>
        <v/>
      </c>
      <c r="F1561" s="2"/>
      <c r="G1561" s="5"/>
      <c r="H1561" s="5" t="str">
        <f>IFERROR(INDEX('Malzeme Tanımlama'!$D$5:$D$300,MATCH(D1561,'Malzeme Tanımlama'!$A$5:$A$300,0)),"")</f>
        <v/>
      </c>
      <c r="I1561" s="2"/>
      <c r="J1561" s="2"/>
      <c r="K1561" s="2"/>
    </row>
    <row r="1562" spans="1:11" x14ac:dyDescent="0.3">
      <c r="A1562" s="5" t="str">
        <f>IF(D1562="","",COUNTIF($D$5:D1562,"?*"))</f>
        <v/>
      </c>
      <c r="B1562" s="6"/>
      <c r="C1562" s="5" t="str">
        <f>IF(B1562="","",INDEX({"Ocak","Şubat","Mart","Nisan","Mayıs","Haziran","Temmuz","Ağustos","Eylül","Ekim","Kasım","Aralık"},MONTH(B1562)))</f>
        <v/>
      </c>
      <c r="D1562" s="2"/>
      <c r="E1562" s="5" t="str">
        <f>IFERROR(INDEX('Malzeme Tanımlama'!$B$5:$B$300,MATCH(D1562,'Malzeme Tanımlama'!$A$5:$A$300,0)),"")</f>
        <v/>
      </c>
      <c r="F1562" s="2"/>
      <c r="G1562" s="5"/>
      <c r="H1562" s="5" t="str">
        <f>IFERROR(INDEX('Malzeme Tanımlama'!$D$5:$D$300,MATCH(D1562,'Malzeme Tanımlama'!$A$5:$A$300,0)),"")</f>
        <v/>
      </c>
      <c r="I1562" s="2"/>
      <c r="J1562" s="2"/>
      <c r="K1562" s="2"/>
    </row>
    <row r="1563" spans="1:11" x14ac:dyDescent="0.3">
      <c r="A1563" s="5" t="str">
        <f>IF(D1563="","",COUNTIF($D$5:D1563,"?*"))</f>
        <v/>
      </c>
      <c r="B1563" s="6"/>
      <c r="C1563" s="5" t="str">
        <f>IF(B1563="","",INDEX({"Ocak","Şubat","Mart","Nisan","Mayıs","Haziran","Temmuz","Ağustos","Eylül","Ekim","Kasım","Aralık"},MONTH(B1563)))</f>
        <v/>
      </c>
      <c r="D1563" s="2"/>
      <c r="E1563" s="5" t="str">
        <f>IFERROR(INDEX('Malzeme Tanımlama'!$B$5:$B$300,MATCH(D1563,'Malzeme Tanımlama'!$A$5:$A$300,0)),"")</f>
        <v/>
      </c>
      <c r="F1563" s="2"/>
      <c r="G1563" s="5"/>
      <c r="H1563" s="5" t="str">
        <f>IFERROR(INDEX('Malzeme Tanımlama'!$D$5:$D$300,MATCH(D1563,'Malzeme Tanımlama'!$A$5:$A$300,0)),"")</f>
        <v/>
      </c>
      <c r="I1563" s="2"/>
      <c r="J1563" s="2"/>
      <c r="K1563" s="2"/>
    </row>
    <row r="1564" spans="1:11" x14ac:dyDescent="0.3">
      <c r="A1564" s="5" t="str">
        <f>IF(D1564="","",COUNTIF($D$5:D1564,"?*"))</f>
        <v/>
      </c>
      <c r="B1564" s="6"/>
      <c r="C1564" s="5" t="str">
        <f>IF(B1564="","",INDEX({"Ocak","Şubat","Mart","Nisan","Mayıs","Haziran","Temmuz","Ağustos","Eylül","Ekim","Kasım","Aralık"},MONTH(B1564)))</f>
        <v/>
      </c>
      <c r="D1564" s="2"/>
      <c r="E1564" s="5" t="str">
        <f>IFERROR(INDEX('Malzeme Tanımlama'!$B$5:$B$300,MATCH(D1564,'Malzeme Tanımlama'!$A$5:$A$300,0)),"")</f>
        <v/>
      </c>
      <c r="F1564" s="2"/>
      <c r="G1564" s="5"/>
      <c r="H1564" s="5" t="str">
        <f>IFERROR(INDEX('Malzeme Tanımlama'!$D$5:$D$300,MATCH(D1564,'Malzeme Tanımlama'!$A$5:$A$300,0)),"")</f>
        <v/>
      </c>
      <c r="I1564" s="2"/>
      <c r="J1564" s="2"/>
      <c r="K1564" s="2"/>
    </row>
    <row r="1565" spans="1:11" x14ac:dyDescent="0.3">
      <c r="A1565" s="5" t="str">
        <f>IF(D1565="","",COUNTIF($D$5:D1565,"?*"))</f>
        <v/>
      </c>
      <c r="B1565" s="6"/>
      <c r="C1565" s="5" t="str">
        <f>IF(B1565="","",INDEX({"Ocak","Şubat","Mart","Nisan","Mayıs","Haziran","Temmuz","Ağustos","Eylül","Ekim","Kasım","Aralık"},MONTH(B1565)))</f>
        <v/>
      </c>
      <c r="D1565" s="2"/>
      <c r="E1565" s="5" t="str">
        <f>IFERROR(INDEX('Malzeme Tanımlama'!$B$5:$B$300,MATCH(D1565,'Malzeme Tanımlama'!$A$5:$A$300,0)),"")</f>
        <v/>
      </c>
      <c r="F1565" s="2"/>
      <c r="G1565" s="5"/>
      <c r="H1565" s="5" t="str">
        <f>IFERROR(INDEX('Malzeme Tanımlama'!$D$5:$D$300,MATCH(D1565,'Malzeme Tanımlama'!$A$5:$A$300,0)),"")</f>
        <v/>
      </c>
      <c r="I1565" s="2"/>
      <c r="J1565" s="2"/>
      <c r="K1565" s="2"/>
    </row>
    <row r="1566" spans="1:11" x14ac:dyDescent="0.3">
      <c r="A1566" s="5" t="str">
        <f>IF(D1566="","",COUNTIF($D$5:D1566,"?*"))</f>
        <v/>
      </c>
      <c r="B1566" s="6"/>
      <c r="C1566" s="5" t="str">
        <f>IF(B1566="","",INDEX({"Ocak","Şubat","Mart","Nisan","Mayıs","Haziran","Temmuz","Ağustos","Eylül","Ekim","Kasım","Aralık"},MONTH(B1566)))</f>
        <v/>
      </c>
      <c r="D1566" s="2"/>
      <c r="E1566" s="5" t="str">
        <f>IFERROR(INDEX('Malzeme Tanımlama'!$B$5:$B$300,MATCH(D1566,'Malzeme Tanımlama'!$A$5:$A$300,0)),"")</f>
        <v/>
      </c>
      <c r="F1566" s="2"/>
      <c r="G1566" s="5"/>
      <c r="H1566" s="5" t="str">
        <f>IFERROR(INDEX('Malzeme Tanımlama'!$D$5:$D$300,MATCH(D1566,'Malzeme Tanımlama'!$A$5:$A$300,0)),"")</f>
        <v/>
      </c>
      <c r="I1566" s="2"/>
      <c r="J1566" s="2"/>
      <c r="K1566" s="2"/>
    </row>
    <row r="1567" spans="1:11" x14ac:dyDescent="0.3">
      <c r="A1567" s="5" t="str">
        <f>IF(D1567="","",COUNTIF($D$5:D1567,"?*"))</f>
        <v/>
      </c>
      <c r="B1567" s="6"/>
      <c r="C1567" s="5" t="str">
        <f>IF(B1567="","",INDEX({"Ocak","Şubat","Mart","Nisan","Mayıs","Haziran","Temmuz","Ağustos","Eylül","Ekim","Kasım","Aralık"},MONTH(B1567)))</f>
        <v/>
      </c>
      <c r="D1567" s="2"/>
      <c r="E1567" s="5" t="str">
        <f>IFERROR(INDEX('Malzeme Tanımlama'!$B$5:$B$300,MATCH(D1567,'Malzeme Tanımlama'!$A$5:$A$300,0)),"")</f>
        <v/>
      </c>
      <c r="F1567" s="2"/>
      <c r="G1567" s="5"/>
      <c r="H1567" s="5" t="str">
        <f>IFERROR(INDEX('Malzeme Tanımlama'!$D$5:$D$300,MATCH(D1567,'Malzeme Tanımlama'!$A$5:$A$300,0)),"")</f>
        <v/>
      </c>
      <c r="I1567" s="2"/>
      <c r="J1567" s="2"/>
      <c r="K1567" s="2"/>
    </row>
    <row r="1568" spans="1:11" x14ac:dyDescent="0.3">
      <c r="A1568" s="5" t="str">
        <f>IF(D1568="","",COUNTIF($D$5:D1568,"?*"))</f>
        <v/>
      </c>
      <c r="B1568" s="6"/>
      <c r="C1568" s="5" t="str">
        <f>IF(B1568="","",INDEX({"Ocak","Şubat","Mart","Nisan","Mayıs","Haziran","Temmuz","Ağustos","Eylül","Ekim","Kasım","Aralık"},MONTH(B1568)))</f>
        <v/>
      </c>
      <c r="D1568" s="2"/>
      <c r="E1568" s="5" t="str">
        <f>IFERROR(INDEX('Malzeme Tanımlama'!$B$5:$B$300,MATCH(D1568,'Malzeme Tanımlama'!$A$5:$A$300,0)),"")</f>
        <v/>
      </c>
      <c r="F1568" s="2"/>
      <c r="G1568" s="5"/>
      <c r="H1568" s="5" t="str">
        <f>IFERROR(INDEX('Malzeme Tanımlama'!$D$5:$D$300,MATCH(D1568,'Malzeme Tanımlama'!$A$5:$A$300,0)),"")</f>
        <v/>
      </c>
      <c r="I1568" s="2"/>
      <c r="J1568" s="2"/>
      <c r="K1568" s="2"/>
    </row>
    <row r="1569" spans="1:11" x14ac:dyDescent="0.3">
      <c r="A1569" s="5" t="str">
        <f>IF(D1569="","",COUNTIF($D$5:D1569,"?*"))</f>
        <v/>
      </c>
      <c r="B1569" s="6"/>
      <c r="C1569" s="5" t="str">
        <f>IF(B1569="","",INDEX({"Ocak","Şubat","Mart","Nisan","Mayıs","Haziran","Temmuz","Ağustos","Eylül","Ekim","Kasım","Aralık"},MONTH(B1569)))</f>
        <v/>
      </c>
      <c r="D1569" s="2"/>
      <c r="E1569" s="5" t="str">
        <f>IFERROR(INDEX('Malzeme Tanımlama'!$B$5:$B$300,MATCH(D1569,'Malzeme Tanımlama'!$A$5:$A$300,0)),"")</f>
        <v/>
      </c>
      <c r="F1569" s="2"/>
      <c r="G1569" s="5"/>
      <c r="H1569" s="5" t="str">
        <f>IFERROR(INDEX('Malzeme Tanımlama'!$D$5:$D$300,MATCH(D1569,'Malzeme Tanımlama'!$A$5:$A$300,0)),"")</f>
        <v/>
      </c>
      <c r="I1569" s="2"/>
      <c r="J1569" s="2"/>
      <c r="K1569" s="2"/>
    </row>
    <row r="1570" spans="1:11" x14ac:dyDescent="0.3">
      <c r="A1570" s="5" t="str">
        <f>IF(D1570="","",COUNTIF($D$5:D1570,"?*"))</f>
        <v/>
      </c>
      <c r="B1570" s="6"/>
      <c r="C1570" s="5" t="str">
        <f>IF(B1570="","",INDEX({"Ocak","Şubat","Mart","Nisan","Mayıs","Haziran","Temmuz","Ağustos","Eylül","Ekim","Kasım","Aralık"},MONTH(B1570)))</f>
        <v/>
      </c>
      <c r="D1570" s="2"/>
      <c r="E1570" s="5" t="str">
        <f>IFERROR(INDEX('Malzeme Tanımlama'!$B$5:$B$300,MATCH(D1570,'Malzeme Tanımlama'!$A$5:$A$300,0)),"")</f>
        <v/>
      </c>
      <c r="F1570" s="2"/>
      <c r="G1570" s="5"/>
      <c r="H1570" s="5" t="str">
        <f>IFERROR(INDEX('Malzeme Tanımlama'!$D$5:$D$300,MATCH(D1570,'Malzeme Tanımlama'!$A$5:$A$300,0)),"")</f>
        <v/>
      </c>
      <c r="I1570" s="2"/>
      <c r="J1570" s="2"/>
      <c r="K1570" s="2"/>
    </row>
    <row r="1571" spans="1:11" x14ac:dyDescent="0.3">
      <c r="A1571" s="5" t="str">
        <f>IF(D1571="","",COUNTIF($D$5:D1571,"?*"))</f>
        <v/>
      </c>
      <c r="B1571" s="6"/>
      <c r="C1571" s="5" t="str">
        <f>IF(B1571="","",INDEX({"Ocak","Şubat","Mart","Nisan","Mayıs","Haziran","Temmuz","Ağustos","Eylül","Ekim","Kasım","Aralık"},MONTH(B1571)))</f>
        <v/>
      </c>
      <c r="D1571" s="2"/>
      <c r="E1571" s="5" t="str">
        <f>IFERROR(INDEX('Malzeme Tanımlama'!$B$5:$B$300,MATCH(D1571,'Malzeme Tanımlama'!$A$5:$A$300,0)),"")</f>
        <v/>
      </c>
      <c r="F1571" s="2"/>
      <c r="G1571" s="5"/>
      <c r="H1571" s="5" t="str">
        <f>IFERROR(INDEX('Malzeme Tanımlama'!$D$5:$D$300,MATCH(D1571,'Malzeme Tanımlama'!$A$5:$A$300,0)),"")</f>
        <v/>
      </c>
      <c r="I1571" s="2"/>
      <c r="J1571" s="2"/>
      <c r="K1571" s="2"/>
    </row>
    <row r="1572" spans="1:11" x14ac:dyDescent="0.3">
      <c r="A1572" s="5" t="str">
        <f>IF(D1572="","",COUNTIF($D$5:D1572,"?*"))</f>
        <v/>
      </c>
      <c r="B1572" s="6"/>
      <c r="C1572" s="5" t="str">
        <f>IF(B1572="","",INDEX({"Ocak","Şubat","Mart","Nisan","Mayıs","Haziran","Temmuz","Ağustos","Eylül","Ekim","Kasım","Aralık"},MONTH(B1572)))</f>
        <v/>
      </c>
      <c r="D1572" s="2"/>
      <c r="E1572" s="5" t="str">
        <f>IFERROR(INDEX('Malzeme Tanımlama'!$B$5:$B$300,MATCH(D1572,'Malzeme Tanımlama'!$A$5:$A$300,0)),"")</f>
        <v/>
      </c>
      <c r="F1572" s="2"/>
      <c r="G1572" s="5"/>
      <c r="H1572" s="5" t="str">
        <f>IFERROR(INDEX('Malzeme Tanımlama'!$D$5:$D$300,MATCH(D1572,'Malzeme Tanımlama'!$A$5:$A$300,0)),"")</f>
        <v/>
      </c>
      <c r="I1572" s="2"/>
      <c r="J1572" s="2"/>
      <c r="K1572" s="2"/>
    </row>
    <row r="1573" spans="1:11" x14ac:dyDescent="0.3">
      <c r="A1573" s="5" t="str">
        <f>IF(D1573="","",COUNTIF($D$5:D1573,"?*"))</f>
        <v/>
      </c>
      <c r="B1573" s="6"/>
      <c r="C1573" s="5" t="str">
        <f>IF(B1573="","",INDEX({"Ocak","Şubat","Mart","Nisan","Mayıs","Haziran","Temmuz","Ağustos","Eylül","Ekim","Kasım","Aralık"},MONTH(B1573)))</f>
        <v/>
      </c>
      <c r="D1573" s="2"/>
      <c r="E1573" s="5" t="str">
        <f>IFERROR(INDEX('Malzeme Tanımlama'!$B$5:$B$300,MATCH(D1573,'Malzeme Tanımlama'!$A$5:$A$300,0)),"")</f>
        <v/>
      </c>
      <c r="F1573" s="2"/>
      <c r="G1573" s="5"/>
      <c r="H1573" s="5" t="str">
        <f>IFERROR(INDEX('Malzeme Tanımlama'!$D$5:$D$300,MATCH(D1573,'Malzeme Tanımlama'!$A$5:$A$300,0)),"")</f>
        <v/>
      </c>
      <c r="I1573" s="2"/>
      <c r="J1573" s="2"/>
      <c r="K1573" s="2"/>
    </row>
    <row r="1574" spans="1:11" x14ac:dyDescent="0.3">
      <c r="A1574" s="5" t="str">
        <f>IF(D1574="","",COUNTIF($D$5:D1574,"?*"))</f>
        <v/>
      </c>
      <c r="B1574" s="6"/>
      <c r="C1574" s="5" t="str">
        <f>IF(B1574="","",INDEX({"Ocak","Şubat","Mart","Nisan","Mayıs","Haziran","Temmuz","Ağustos","Eylül","Ekim","Kasım","Aralık"},MONTH(B1574)))</f>
        <v/>
      </c>
      <c r="D1574" s="2"/>
      <c r="E1574" s="5" t="str">
        <f>IFERROR(INDEX('Malzeme Tanımlama'!$B$5:$B$300,MATCH(D1574,'Malzeme Tanımlama'!$A$5:$A$300,0)),"")</f>
        <v/>
      </c>
      <c r="F1574" s="2"/>
      <c r="G1574" s="5"/>
      <c r="H1574" s="5" t="str">
        <f>IFERROR(INDEX('Malzeme Tanımlama'!$D$5:$D$300,MATCH(D1574,'Malzeme Tanımlama'!$A$5:$A$300,0)),"")</f>
        <v/>
      </c>
      <c r="I1574" s="2"/>
      <c r="J1574" s="2"/>
      <c r="K1574" s="2"/>
    </row>
    <row r="1575" spans="1:11" x14ac:dyDescent="0.3">
      <c r="A1575" s="5" t="str">
        <f>IF(D1575="","",COUNTIF($D$5:D1575,"?*"))</f>
        <v/>
      </c>
      <c r="B1575" s="6"/>
      <c r="C1575" s="5" t="str">
        <f>IF(B1575="","",INDEX({"Ocak","Şubat","Mart","Nisan","Mayıs","Haziran","Temmuz","Ağustos","Eylül","Ekim","Kasım","Aralık"},MONTH(B1575)))</f>
        <v/>
      </c>
      <c r="D1575" s="2"/>
      <c r="E1575" s="5" t="str">
        <f>IFERROR(INDEX('Malzeme Tanımlama'!$B$5:$B$300,MATCH(D1575,'Malzeme Tanımlama'!$A$5:$A$300,0)),"")</f>
        <v/>
      </c>
      <c r="F1575" s="2"/>
      <c r="G1575" s="5"/>
      <c r="H1575" s="5" t="str">
        <f>IFERROR(INDEX('Malzeme Tanımlama'!$D$5:$D$300,MATCH(D1575,'Malzeme Tanımlama'!$A$5:$A$300,0)),"")</f>
        <v/>
      </c>
      <c r="I1575" s="2"/>
      <c r="J1575" s="2"/>
      <c r="K1575" s="2"/>
    </row>
    <row r="1576" spans="1:11" x14ac:dyDescent="0.3">
      <c r="A1576" s="5" t="str">
        <f>IF(D1576="","",COUNTIF($D$5:D1576,"?*"))</f>
        <v/>
      </c>
      <c r="B1576" s="6"/>
      <c r="C1576" s="5" t="str">
        <f>IF(B1576="","",INDEX({"Ocak","Şubat","Mart","Nisan","Mayıs","Haziran","Temmuz","Ağustos","Eylül","Ekim","Kasım","Aralık"},MONTH(B1576)))</f>
        <v/>
      </c>
      <c r="D1576" s="2"/>
      <c r="E1576" s="5" t="str">
        <f>IFERROR(INDEX('Malzeme Tanımlama'!$B$5:$B$300,MATCH(D1576,'Malzeme Tanımlama'!$A$5:$A$300,0)),"")</f>
        <v/>
      </c>
      <c r="F1576" s="2"/>
      <c r="G1576" s="5"/>
      <c r="H1576" s="5" t="str">
        <f>IFERROR(INDEX('Malzeme Tanımlama'!$D$5:$D$300,MATCH(D1576,'Malzeme Tanımlama'!$A$5:$A$300,0)),"")</f>
        <v/>
      </c>
      <c r="I1576" s="2"/>
      <c r="J1576" s="2"/>
      <c r="K1576" s="2"/>
    </row>
    <row r="1577" spans="1:11" x14ac:dyDescent="0.3">
      <c r="A1577" s="5" t="str">
        <f>IF(D1577="","",COUNTIF($D$5:D1577,"?*"))</f>
        <v/>
      </c>
      <c r="B1577" s="6"/>
      <c r="C1577" s="5" t="str">
        <f>IF(B1577="","",INDEX({"Ocak","Şubat","Mart","Nisan","Mayıs","Haziran","Temmuz","Ağustos","Eylül","Ekim","Kasım","Aralık"},MONTH(B1577)))</f>
        <v/>
      </c>
      <c r="D1577" s="2"/>
      <c r="E1577" s="5" t="str">
        <f>IFERROR(INDEX('Malzeme Tanımlama'!$B$5:$B$300,MATCH(D1577,'Malzeme Tanımlama'!$A$5:$A$300,0)),"")</f>
        <v/>
      </c>
      <c r="F1577" s="2"/>
      <c r="G1577" s="5"/>
      <c r="H1577" s="5" t="str">
        <f>IFERROR(INDEX('Malzeme Tanımlama'!$D$5:$D$300,MATCH(D1577,'Malzeme Tanımlama'!$A$5:$A$300,0)),"")</f>
        <v/>
      </c>
      <c r="I1577" s="2"/>
      <c r="J1577" s="2"/>
      <c r="K1577" s="2"/>
    </row>
    <row r="1578" spans="1:11" x14ac:dyDescent="0.3">
      <c r="A1578" s="5" t="str">
        <f>IF(D1578="","",COUNTIF($D$5:D1578,"?*"))</f>
        <v/>
      </c>
      <c r="B1578" s="6"/>
      <c r="C1578" s="5" t="str">
        <f>IF(B1578="","",INDEX({"Ocak","Şubat","Mart","Nisan","Mayıs","Haziran","Temmuz","Ağustos","Eylül","Ekim","Kasım","Aralık"},MONTH(B1578)))</f>
        <v/>
      </c>
      <c r="D1578" s="2"/>
      <c r="E1578" s="5" t="str">
        <f>IFERROR(INDEX('Malzeme Tanımlama'!$B$5:$B$300,MATCH(D1578,'Malzeme Tanımlama'!$A$5:$A$300,0)),"")</f>
        <v/>
      </c>
      <c r="F1578" s="2"/>
      <c r="G1578" s="5"/>
      <c r="H1578" s="5" t="str">
        <f>IFERROR(INDEX('Malzeme Tanımlama'!$D$5:$D$300,MATCH(D1578,'Malzeme Tanımlama'!$A$5:$A$300,0)),"")</f>
        <v/>
      </c>
      <c r="I1578" s="2"/>
      <c r="J1578" s="2"/>
      <c r="K1578" s="2"/>
    </row>
    <row r="1579" spans="1:11" x14ac:dyDescent="0.3">
      <c r="A1579" s="5" t="str">
        <f>IF(D1579="","",COUNTIF($D$5:D1579,"?*"))</f>
        <v/>
      </c>
      <c r="B1579" s="6"/>
      <c r="C1579" s="5" t="str">
        <f>IF(B1579="","",INDEX({"Ocak","Şubat","Mart","Nisan","Mayıs","Haziran","Temmuz","Ağustos","Eylül","Ekim","Kasım","Aralık"},MONTH(B1579)))</f>
        <v/>
      </c>
      <c r="D1579" s="2"/>
      <c r="E1579" s="5" t="str">
        <f>IFERROR(INDEX('Malzeme Tanımlama'!$B$5:$B$300,MATCH(D1579,'Malzeme Tanımlama'!$A$5:$A$300,0)),"")</f>
        <v/>
      </c>
      <c r="F1579" s="2"/>
      <c r="G1579" s="5"/>
      <c r="H1579" s="5" t="str">
        <f>IFERROR(INDEX('Malzeme Tanımlama'!$D$5:$D$300,MATCH(D1579,'Malzeme Tanımlama'!$A$5:$A$300,0)),"")</f>
        <v/>
      </c>
      <c r="I1579" s="2"/>
      <c r="J1579" s="2"/>
      <c r="K1579" s="2"/>
    </row>
    <row r="1580" spans="1:11" x14ac:dyDescent="0.3">
      <c r="A1580" s="5" t="str">
        <f>IF(D1580="","",COUNTIF($D$5:D1580,"?*"))</f>
        <v/>
      </c>
      <c r="B1580" s="6"/>
      <c r="C1580" s="5" t="str">
        <f>IF(B1580="","",INDEX({"Ocak","Şubat","Mart","Nisan","Mayıs","Haziran","Temmuz","Ağustos","Eylül","Ekim","Kasım","Aralık"},MONTH(B1580)))</f>
        <v/>
      </c>
      <c r="D1580" s="2"/>
      <c r="E1580" s="5" t="str">
        <f>IFERROR(INDEX('Malzeme Tanımlama'!$B$5:$B$300,MATCH(D1580,'Malzeme Tanımlama'!$A$5:$A$300,0)),"")</f>
        <v/>
      </c>
      <c r="F1580" s="2"/>
      <c r="G1580" s="5"/>
      <c r="H1580" s="5" t="str">
        <f>IFERROR(INDEX('Malzeme Tanımlama'!$D$5:$D$300,MATCH(D1580,'Malzeme Tanımlama'!$A$5:$A$300,0)),"")</f>
        <v/>
      </c>
      <c r="I1580" s="2"/>
      <c r="J1580" s="2"/>
      <c r="K1580" s="2"/>
    </row>
    <row r="1581" spans="1:11" x14ac:dyDescent="0.3">
      <c r="A1581" s="5" t="str">
        <f>IF(D1581="","",COUNTIF($D$5:D1581,"?*"))</f>
        <v/>
      </c>
      <c r="B1581" s="6"/>
      <c r="C1581" s="5" t="str">
        <f>IF(B1581="","",INDEX({"Ocak","Şubat","Mart","Nisan","Mayıs","Haziran","Temmuz","Ağustos","Eylül","Ekim","Kasım","Aralık"},MONTH(B1581)))</f>
        <v/>
      </c>
      <c r="D1581" s="2"/>
      <c r="E1581" s="5" t="str">
        <f>IFERROR(INDEX('Malzeme Tanımlama'!$B$5:$B$300,MATCH(D1581,'Malzeme Tanımlama'!$A$5:$A$300,0)),"")</f>
        <v/>
      </c>
      <c r="F1581" s="2"/>
      <c r="G1581" s="5"/>
      <c r="H1581" s="5" t="str">
        <f>IFERROR(INDEX('Malzeme Tanımlama'!$D$5:$D$300,MATCH(D1581,'Malzeme Tanımlama'!$A$5:$A$300,0)),"")</f>
        <v/>
      </c>
      <c r="I1581" s="2"/>
      <c r="J1581" s="2"/>
      <c r="K1581" s="2"/>
    </row>
    <row r="1582" spans="1:11" x14ac:dyDescent="0.3">
      <c r="A1582" s="5" t="str">
        <f>IF(D1582="","",COUNTIF($D$5:D1582,"?*"))</f>
        <v/>
      </c>
      <c r="B1582" s="6"/>
      <c r="C1582" s="5" t="str">
        <f>IF(B1582="","",INDEX({"Ocak","Şubat","Mart","Nisan","Mayıs","Haziran","Temmuz","Ağustos","Eylül","Ekim","Kasım","Aralık"},MONTH(B1582)))</f>
        <v/>
      </c>
      <c r="D1582" s="2"/>
      <c r="E1582" s="5" t="str">
        <f>IFERROR(INDEX('Malzeme Tanımlama'!$B$5:$B$300,MATCH(D1582,'Malzeme Tanımlama'!$A$5:$A$300,0)),"")</f>
        <v/>
      </c>
      <c r="F1582" s="2"/>
      <c r="G1582" s="5"/>
      <c r="H1582" s="5" t="str">
        <f>IFERROR(INDEX('Malzeme Tanımlama'!$D$5:$D$300,MATCH(D1582,'Malzeme Tanımlama'!$A$5:$A$300,0)),"")</f>
        <v/>
      </c>
      <c r="I1582" s="2"/>
      <c r="J1582" s="2"/>
      <c r="K1582" s="2"/>
    </row>
    <row r="1583" spans="1:11" x14ac:dyDescent="0.3">
      <c r="A1583" s="5" t="str">
        <f>IF(D1583="","",COUNTIF($D$5:D1583,"?*"))</f>
        <v/>
      </c>
      <c r="B1583" s="6"/>
      <c r="C1583" s="5" t="str">
        <f>IF(B1583="","",INDEX({"Ocak","Şubat","Mart","Nisan","Mayıs","Haziran","Temmuz","Ağustos","Eylül","Ekim","Kasım","Aralık"},MONTH(B1583)))</f>
        <v/>
      </c>
      <c r="D1583" s="2"/>
      <c r="E1583" s="5" t="str">
        <f>IFERROR(INDEX('Malzeme Tanımlama'!$B$5:$B$300,MATCH(D1583,'Malzeme Tanımlama'!$A$5:$A$300,0)),"")</f>
        <v/>
      </c>
      <c r="F1583" s="2"/>
      <c r="G1583" s="5"/>
      <c r="H1583" s="5" t="str">
        <f>IFERROR(INDEX('Malzeme Tanımlama'!$D$5:$D$300,MATCH(D1583,'Malzeme Tanımlama'!$A$5:$A$300,0)),"")</f>
        <v/>
      </c>
      <c r="I1583" s="2"/>
      <c r="J1583" s="2"/>
      <c r="K1583" s="2"/>
    </row>
    <row r="1584" spans="1:11" x14ac:dyDescent="0.3">
      <c r="A1584" s="5" t="str">
        <f>IF(D1584="","",COUNTIF($D$5:D1584,"?*"))</f>
        <v/>
      </c>
      <c r="B1584" s="6"/>
      <c r="C1584" s="5" t="str">
        <f>IF(B1584="","",INDEX({"Ocak","Şubat","Mart","Nisan","Mayıs","Haziran","Temmuz","Ağustos","Eylül","Ekim","Kasım","Aralık"},MONTH(B1584)))</f>
        <v/>
      </c>
      <c r="D1584" s="2"/>
      <c r="E1584" s="5" t="str">
        <f>IFERROR(INDEX('Malzeme Tanımlama'!$B$5:$B$300,MATCH(D1584,'Malzeme Tanımlama'!$A$5:$A$300,0)),"")</f>
        <v/>
      </c>
      <c r="F1584" s="2"/>
      <c r="G1584" s="5"/>
      <c r="H1584" s="5" t="str">
        <f>IFERROR(INDEX('Malzeme Tanımlama'!$D$5:$D$300,MATCH(D1584,'Malzeme Tanımlama'!$A$5:$A$300,0)),"")</f>
        <v/>
      </c>
      <c r="I1584" s="2"/>
      <c r="J1584" s="2"/>
      <c r="K1584" s="2"/>
    </row>
    <row r="1585" spans="1:11" x14ac:dyDescent="0.3">
      <c r="A1585" s="5" t="str">
        <f>IF(D1585="","",COUNTIF($D$5:D1585,"?*"))</f>
        <v/>
      </c>
      <c r="B1585" s="6"/>
      <c r="C1585" s="5" t="str">
        <f>IF(B1585="","",INDEX({"Ocak","Şubat","Mart","Nisan","Mayıs","Haziran","Temmuz","Ağustos","Eylül","Ekim","Kasım","Aralık"},MONTH(B1585)))</f>
        <v/>
      </c>
      <c r="D1585" s="2"/>
      <c r="E1585" s="5" t="str">
        <f>IFERROR(INDEX('Malzeme Tanımlama'!$B$5:$B$300,MATCH(D1585,'Malzeme Tanımlama'!$A$5:$A$300,0)),"")</f>
        <v/>
      </c>
      <c r="F1585" s="2"/>
      <c r="G1585" s="5"/>
      <c r="H1585" s="5" t="str">
        <f>IFERROR(INDEX('Malzeme Tanımlama'!$D$5:$D$300,MATCH(D1585,'Malzeme Tanımlama'!$A$5:$A$300,0)),"")</f>
        <v/>
      </c>
      <c r="I1585" s="2"/>
      <c r="J1585" s="2"/>
      <c r="K1585" s="2"/>
    </row>
    <row r="1586" spans="1:11" x14ac:dyDescent="0.3">
      <c r="A1586" s="5" t="str">
        <f>IF(D1586="","",COUNTIF($D$5:D1586,"?*"))</f>
        <v/>
      </c>
      <c r="B1586" s="6"/>
      <c r="C1586" s="5" t="str">
        <f>IF(B1586="","",INDEX({"Ocak","Şubat","Mart","Nisan","Mayıs","Haziran","Temmuz","Ağustos","Eylül","Ekim","Kasım","Aralık"},MONTH(B1586)))</f>
        <v/>
      </c>
      <c r="D1586" s="2"/>
      <c r="E1586" s="5" t="str">
        <f>IFERROR(INDEX('Malzeme Tanımlama'!$B$5:$B$300,MATCH(D1586,'Malzeme Tanımlama'!$A$5:$A$300,0)),"")</f>
        <v/>
      </c>
      <c r="F1586" s="2"/>
      <c r="G1586" s="5"/>
      <c r="H1586" s="5" t="str">
        <f>IFERROR(INDEX('Malzeme Tanımlama'!$D$5:$D$300,MATCH(D1586,'Malzeme Tanımlama'!$A$5:$A$300,0)),"")</f>
        <v/>
      </c>
      <c r="I1586" s="2"/>
      <c r="J1586" s="2"/>
      <c r="K1586" s="2"/>
    </row>
    <row r="1587" spans="1:11" x14ac:dyDescent="0.3">
      <c r="A1587" s="5" t="str">
        <f>IF(D1587="","",COUNTIF($D$5:D1587,"?*"))</f>
        <v/>
      </c>
      <c r="B1587" s="6"/>
      <c r="C1587" s="5" t="str">
        <f>IF(B1587="","",INDEX({"Ocak","Şubat","Mart","Nisan","Mayıs","Haziran","Temmuz","Ağustos","Eylül","Ekim","Kasım","Aralık"},MONTH(B1587)))</f>
        <v/>
      </c>
      <c r="D1587" s="2"/>
      <c r="E1587" s="5" t="str">
        <f>IFERROR(INDEX('Malzeme Tanımlama'!$B$5:$B$300,MATCH(D1587,'Malzeme Tanımlama'!$A$5:$A$300,0)),"")</f>
        <v/>
      </c>
      <c r="F1587" s="2"/>
      <c r="G1587" s="5"/>
      <c r="H1587" s="5" t="str">
        <f>IFERROR(INDEX('Malzeme Tanımlama'!$D$5:$D$300,MATCH(D1587,'Malzeme Tanımlama'!$A$5:$A$300,0)),"")</f>
        <v/>
      </c>
      <c r="I1587" s="2"/>
      <c r="J1587" s="2"/>
      <c r="K1587" s="2"/>
    </row>
    <row r="1588" spans="1:11" x14ac:dyDescent="0.3">
      <c r="A1588" s="5" t="str">
        <f>IF(D1588="","",COUNTIF($D$5:D1588,"?*"))</f>
        <v/>
      </c>
      <c r="B1588" s="6"/>
      <c r="C1588" s="5" t="str">
        <f>IF(B1588="","",INDEX({"Ocak","Şubat","Mart","Nisan","Mayıs","Haziran","Temmuz","Ağustos","Eylül","Ekim","Kasım","Aralık"},MONTH(B1588)))</f>
        <v/>
      </c>
      <c r="D1588" s="2"/>
      <c r="E1588" s="5" t="str">
        <f>IFERROR(INDEX('Malzeme Tanımlama'!$B$5:$B$300,MATCH(D1588,'Malzeme Tanımlama'!$A$5:$A$300,0)),"")</f>
        <v/>
      </c>
      <c r="F1588" s="2"/>
      <c r="G1588" s="5"/>
      <c r="H1588" s="5" t="str">
        <f>IFERROR(INDEX('Malzeme Tanımlama'!$D$5:$D$300,MATCH(D1588,'Malzeme Tanımlama'!$A$5:$A$300,0)),"")</f>
        <v/>
      </c>
      <c r="I1588" s="2"/>
      <c r="J1588" s="2"/>
      <c r="K1588" s="2"/>
    </row>
    <row r="1589" spans="1:11" x14ac:dyDescent="0.3">
      <c r="A1589" s="5" t="str">
        <f>IF(D1589="","",COUNTIF($D$5:D1589,"?*"))</f>
        <v/>
      </c>
      <c r="B1589" s="6"/>
      <c r="C1589" s="5" t="str">
        <f>IF(B1589="","",INDEX({"Ocak","Şubat","Mart","Nisan","Mayıs","Haziran","Temmuz","Ağustos","Eylül","Ekim","Kasım","Aralık"},MONTH(B1589)))</f>
        <v/>
      </c>
      <c r="D1589" s="2"/>
      <c r="E1589" s="5" t="str">
        <f>IFERROR(INDEX('Malzeme Tanımlama'!$B$5:$B$300,MATCH(D1589,'Malzeme Tanımlama'!$A$5:$A$300,0)),"")</f>
        <v/>
      </c>
      <c r="F1589" s="2"/>
      <c r="G1589" s="5"/>
      <c r="H1589" s="5" t="str">
        <f>IFERROR(INDEX('Malzeme Tanımlama'!$D$5:$D$300,MATCH(D1589,'Malzeme Tanımlama'!$A$5:$A$300,0)),"")</f>
        <v/>
      </c>
      <c r="I1589" s="2"/>
      <c r="J1589" s="2"/>
      <c r="K1589" s="2"/>
    </row>
    <row r="1590" spans="1:11" x14ac:dyDescent="0.3">
      <c r="A1590" s="5" t="str">
        <f>IF(D1590="","",COUNTIF($D$5:D1590,"?*"))</f>
        <v/>
      </c>
      <c r="B1590" s="6"/>
      <c r="C1590" s="5" t="str">
        <f>IF(B1590="","",INDEX({"Ocak","Şubat","Mart","Nisan","Mayıs","Haziran","Temmuz","Ağustos","Eylül","Ekim","Kasım","Aralık"},MONTH(B1590)))</f>
        <v/>
      </c>
      <c r="D1590" s="2"/>
      <c r="E1590" s="5" t="str">
        <f>IFERROR(INDEX('Malzeme Tanımlama'!$B$5:$B$300,MATCH(D1590,'Malzeme Tanımlama'!$A$5:$A$300,0)),"")</f>
        <v/>
      </c>
      <c r="F1590" s="2"/>
      <c r="G1590" s="5"/>
      <c r="H1590" s="5" t="str">
        <f>IFERROR(INDEX('Malzeme Tanımlama'!$D$5:$D$300,MATCH(D1590,'Malzeme Tanımlama'!$A$5:$A$300,0)),"")</f>
        <v/>
      </c>
      <c r="I1590" s="2"/>
      <c r="J1590" s="2"/>
      <c r="K1590" s="2"/>
    </row>
    <row r="1591" spans="1:11" x14ac:dyDescent="0.3">
      <c r="A1591" s="5" t="str">
        <f>IF(D1591="","",COUNTIF($D$5:D1591,"?*"))</f>
        <v/>
      </c>
      <c r="B1591" s="6"/>
      <c r="C1591" s="5" t="str">
        <f>IF(B1591="","",INDEX({"Ocak","Şubat","Mart","Nisan","Mayıs","Haziran","Temmuz","Ağustos","Eylül","Ekim","Kasım","Aralık"},MONTH(B1591)))</f>
        <v/>
      </c>
      <c r="D1591" s="2"/>
      <c r="E1591" s="5" t="str">
        <f>IFERROR(INDEX('Malzeme Tanımlama'!$B$5:$B$300,MATCH(D1591,'Malzeme Tanımlama'!$A$5:$A$300,0)),"")</f>
        <v/>
      </c>
      <c r="F1591" s="2"/>
      <c r="G1591" s="5"/>
      <c r="H1591" s="5" t="str">
        <f>IFERROR(INDEX('Malzeme Tanımlama'!$D$5:$D$300,MATCH(D1591,'Malzeme Tanımlama'!$A$5:$A$300,0)),"")</f>
        <v/>
      </c>
      <c r="I1591" s="2"/>
      <c r="J1591" s="2"/>
      <c r="K1591" s="2"/>
    </row>
    <row r="1592" spans="1:11" x14ac:dyDescent="0.3">
      <c r="A1592" s="5" t="str">
        <f>IF(D1592="","",COUNTIF($D$5:D1592,"?*"))</f>
        <v/>
      </c>
      <c r="B1592" s="6"/>
      <c r="C1592" s="5" t="str">
        <f>IF(B1592="","",INDEX({"Ocak","Şubat","Mart","Nisan","Mayıs","Haziran","Temmuz","Ağustos","Eylül","Ekim","Kasım","Aralık"},MONTH(B1592)))</f>
        <v/>
      </c>
      <c r="D1592" s="2"/>
      <c r="E1592" s="5" t="str">
        <f>IFERROR(INDEX('Malzeme Tanımlama'!$B$5:$B$300,MATCH(D1592,'Malzeme Tanımlama'!$A$5:$A$300,0)),"")</f>
        <v/>
      </c>
      <c r="F1592" s="2"/>
      <c r="G1592" s="5"/>
      <c r="H1592" s="5" t="str">
        <f>IFERROR(INDEX('Malzeme Tanımlama'!$D$5:$D$300,MATCH(D1592,'Malzeme Tanımlama'!$A$5:$A$300,0)),"")</f>
        <v/>
      </c>
      <c r="I1592" s="2"/>
      <c r="J1592" s="2"/>
      <c r="K1592" s="2"/>
    </row>
    <row r="1593" spans="1:11" x14ac:dyDescent="0.3">
      <c r="A1593" s="5" t="str">
        <f>IF(D1593="","",COUNTIF($D$5:D1593,"?*"))</f>
        <v/>
      </c>
      <c r="B1593" s="6"/>
      <c r="C1593" s="5" t="str">
        <f>IF(B1593="","",INDEX({"Ocak","Şubat","Mart","Nisan","Mayıs","Haziran","Temmuz","Ağustos","Eylül","Ekim","Kasım","Aralık"},MONTH(B1593)))</f>
        <v/>
      </c>
      <c r="D1593" s="2"/>
      <c r="E1593" s="5" t="str">
        <f>IFERROR(INDEX('Malzeme Tanımlama'!$B$5:$B$300,MATCH(D1593,'Malzeme Tanımlama'!$A$5:$A$300,0)),"")</f>
        <v/>
      </c>
      <c r="F1593" s="2"/>
      <c r="G1593" s="5"/>
      <c r="H1593" s="5" t="str">
        <f>IFERROR(INDEX('Malzeme Tanımlama'!$D$5:$D$300,MATCH(D1593,'Malzeme Tanımlama'!$A$5:$A$300,0)),"")</f>
        <v/>
      </c>
      <c r="I1593" s="2"/>
      <c r="J1593" s="2"/>
      <c r="K1593" s="2"/>
    </row>
    <row r="1594" spans="1:11" x14ac:dyDescent="0.3">
      <c r="A1594" s="5" t="str">
        <f>IF(D1594="","",COUNTIF($D$5:D1594,"?*"))</f>
        <v/>
      </c>
      <c r="B1594" s="6"/>
      <c r="C1594" s="5" t="str">
        <f>IF(B1594="","",INDEX({"Ocak","Şubat","Mart","Nisan","Mayıs","Haziran","Temmuz","Ağustos","Eylül","Ekim","Kasım","Aralık"},MONTH(B1594)))</f>
        <v/>
      </c>
      <c r="D1594" s="2"/>
      <c r="E1594" s="5" t="str">
        <f>IFERROR(INDEX('Malzeme Tanımlama'!$B$5:$B$300,MATCH(D1594,'Malzeme Tanımlama'!$A$5:$A$300,0)),"")</f>
        <v/>
      </c>
      <c r="F1594" s="2"/>
      <c r="G1594" s="5"/>
      <c r="H1594" s="5" t="str">
        <f>IFERROR(INDEX('Malzeme Tanımlama'!$D$5:$D$300,MATCH(D1594,'Malzeme Tanımlama'!$A$5:$A$300,0)),"")</f>
        <v/>
      </c>
      <c r="I1594" s="2"/>
      <c r="J1594" s="2"/>
      <c r="K1594" s="2"/>
    </row>
    <row r="1595" spans="1:11" x14ac:dyDescent="0.3">
      <c r="A1595" s="5" t="str">
        <f>IF(D1595="","",COUNTIF($D$5:D1595,"?*"))</f>
        <v/>
      </c>
      <c r="B1595" s="6"/>
      <c r="C1595" s="5" t="str">
        <f>IF(B1595="","",INDEX({"Ocak","Şubat","Mart","Nisan","Mayıs","Haziran","Temmuz","Ağustos","Eylül","Ekim","Kasım","Aralık"},MONTH(B1595)))</f>
        <v/>
      </c>
      <c r="D1595" s="2"/>
      <c r="E1595" s="5" t="str">
        <f>IFERROR(INDEX('Malzeme Tanımlama'!$B$5:$B$300,MATCH(D1595,'Malzeme Tanımlama'!$A$5:$A$300,0)),"")</f>
        <v/>
      </c>
      <c r="F1595" s="2"/>
      <c r="G1595" s="5"/>
      <c r="H1595" s="5" t="str">
        <f>IFERROR(INDEX('Malzeme Tanımlama'!$D$5:$D$300,MATCH(D1595,'Malzeme Tanımlama'!$A$5:$A$300,0)),"")</f>
        <v/>
      </c>
      <c r="I1595" s="2"/>
      <c r="J1595" s="2"/>
      <c r="K1595" s="2"/>
    </row>
    <row r="1596" spans="1:11" x14ac:dyDescent="0.3">
      <c r="A1596" s="5" t="str">
        <f>IF(D1596="","",COUNTIF($D$5:D1596,"?*"))</f>
        <v/>
      </c>
      <c r="B1596" s="6"/>
      <c r="C1596" s="5" t="str">
        <f>IF(B1596="","",INDEX({"Ocak","Şubat","Mart","Nisan","Mayıs","Haziran","Temmuz","Ağustos","Eylül","Ekim","Kasım","Aralık"},MONTH(B1596)))</f>
        <v/>
      </c>
      <c r="D1596" s="2"/>
      <c r="E1596" s="5" t="str">
        <f>IFERROR(INDEX('Malzeme Tanımlama'!$B$5:$B$300,MATCH(D1596,'Malzeme Tanımlama'!$A$5:$A$300,0)),"")</f>
        <v/>
      </c>
      <c r="F1596" s="2"/>
      <c r="G1596" s="5"/>
      <c r="H1596" s="5" t="str">
        <f>IFERROR(INDEX('Malzeme Tanımlama'!$D$5:$D$300,MATCH(D1596,'Malzeme Tanımlama'!$A$5:$A$300,0)),"")</f>
        <v/>
      </c>
      <c r="I1596" s="2"/>
      <c r="J1596" s="2"/>
      <c r="K1596" s="2"/>
    </row>
    <row r="1597" spans="1:11" x14ac:dyDescent="0.3">
      <c r="A1597" s="5" t="str">
        <f>IF(D1597="","",COUNTIF($D$5:D1597,"?*"))</f>
        <v/>
      </c>
      <c r="B1597" s="6"/>
      <c r="C1597" s="5" t="str">
        <f>IF(B1597="","",INDEX({"Ocak","Şubat","Mart","Nisan","Mayıs","Haziran","Temmuz","Ağustos","Eylül","Ekim","Kasım","Aralık"},MONTH(B1597)))</f>
        <v/>
      </c>
      <c r="D1597" s="2"/>
      <c r="E1597" s="5" t="str">
        <f>IFERROR(INDEX('Malzeme Tanımlama'!$B$5:$B$300,MATCH(D1597,'Malzeme Tanımlama'!$A$5:$A$300,0)),"")</f>
        <v/>
      </c>
      <c r="F1597" s="2"/>
      <c r="G1597" s="5"/>
      <c r="H1597" s="5" t="str">
        <f>IFERROR(INDEX('Malzeme Tanımlama'!$D$5:$D$300,MATCH(D1597,'Malzeme Tanımlama'!$A$5:$A$300,0)),"")</f>
        <v/>
      </c>
      <c r="I1597" s="2"/>
      <c r="J1597" s="2"/>
      <c r="K1597" s="2"/>
    </row>
    <row r="1598" spans="1:11" x14ac:dyDescent="0.3">
      <c r="A1598" s="5" t="str">
        <f>IF(D1598="","",COUNTIF($D$5:D1598,"?*"))</f>
        <v/>
      </c>
      <c r="B1598" s="6"/>
      <c r="C1598" s="5" t="str">
        <f>IF(B1598="","",INDEX({"Ocak","Şubat","Mart","Nisan","Mayıs","Haziran","Temmuz","Ağustos","Eylül","Ekim","Kasım","Aralık"},MONTH(B1598)))</f>
        <v/>
      </c>
      <c r="D1598" s="2"/>
      <c r="E1598" s="5" t="str">
        <f>IFERROR(INDEX('Malzeme Tanımlama'!$B$5:$B$300,MATCH(D1598,'Malzeme Tanımlama'!$A$5:$A$300,0)),"")</f>
        <v/>
      </c>
      <c r="F1598" s="2"/>
      <c r="G1598" s="5"/>
      <c r="H1598" s="5" t="str">
        <f>IFERROR(INDEX('Malzeme Tanımlama'!$D$5:$D$300,MATCH(D1598,'Malzeme Tanımlama'!$A$5:$A$300,0)),"")</f>
        <v/>
      </c>
      <c r="I1598" s="2"/>
      <c r="J1598" s="2"/>
      <c r="K1598" s="2"/>
    </row>
    <row r="1599" spans="1:11" x14ac:dyDescent="0.3">
      <c r="A1599" s="5" t="str">
        <f>IF(D1599="","",COUNTIF($D$5:D1599,"?*"))</f>
        <v/>
      </c>
      <c r="B1599" s="6"/>
      <c r="C1599" s="5" t="str">
        <f>IF(B1599="","",INDEX({"Ocak","Şubat","Mart","Nisan","Mayıs","Haziran","Temmuz","Ağustos","Eylül","Ekim","Kasım","Aralık"},MONTH(B1599)))</f>
        <v/>
      </c>
      <c r="D1599" s="2"/>
      <c r="E1599" s="5" t="str">
        <f>IFERROR(INDEX('Malzeme Tanımlama'!$B$5:$B$300,MATCH(D1599,'Malzeme Tanımlama'!$A$5:$A$300,0)),"")</f>
        <v/>
      </c>
      <c r="F1599" s="2"/>
      <c r="G1599" s="5"/>
      <c r="H1599" s="5" t="str">
        <f>IFERROR(INDEX('Malzeme Tanımlama'!$D$5:$D$300,MATCH(D1599,'Malzeme Tanımlama'!$A$5:$A$300,0)),"")</f>
        <v/>
      </c>
      <c r="I1599" s="2"/>
      <c r="J1599" s="2"/>
      <c r="K1599" s="2"/>
    </row>
    <row r="1600" spans="1:11" x14ac:dyDescent="0.3">
      <c r="A1600" s="5" t="str">
        <f>IF(D1600="","",COUNTIF($D$5:D1600,"?*"))</f>
        <v/>
      </c>
      <c r="B1600" s="6"/>
      <c r="C1600" s="5" t="str">
        <f>IF(B1600="","",INDEX({"Ocak","Şubat","Mart","Nisan","Mayıs","Haziran","Temmuz","Ağustos","Eylül","Ekim","Kasım","Aralık"},MONTH(B1600)))</f>
        <v/>
      </c>
      <c r="D1600" s="2"/>
      <c r="E1600" s="5" t="str">
        <f>IFERROR(INDEX('Malzeme Tanımlama'!$B$5:$B$300,MATCH(D1600,'Malzeme Tanımlama'!$A$5:$A$300,0)),"")</f>
        <v/>
      </c>
      <c r="F1600" s="2"/>
      <c r="G1600" s="5"/>
      <c r="H1600" s="5" t="str">
        <f>IFERROR(INDEX('Malzeme Tanımlama'!$D$5:$D$300,MATCH(D1600,'Malzeme Tanımlama'!$A$5:$A$300,0)),"")</f>
        <v/>
      </c>
      <c r="I1600" s="2"/>
      <c r="J1600" s="2"/>
      <c r="K1600" s="2"/>
    </row>
    <row r="1601" spans="1:11" x14ac:dyDescent="0.3">
      <c r="A1601" s="5" t="str">
        <f>IF(D1601="","",COUNTIF($D$5:D1601,"?*"))</f>
        <v/>
      </c>
      <c r="B1601" s="6"/>
      <c r="C1601" s="5" t="str">
        <f>IF(B1601="","",INDEX({"Ocak","Şubat","Mart","Nisan","Mayıs","Haziran","Temmuz","Ağustos","Eylül","Ekim","Kasım","Aralık"},MONTH(B1601)))</f>
        <v/>
      </c>
      <c r="D1601" s="2"/>
      <c r="E1601" s="5" t="str">
        <f>IFERROR(INDEX('Malzeme Tanımlama'!$B$5:$B$300,MATCH(D1601,'Malzeme Tanımlama'!$A$5:$A$300,0)),"")</f>
        <v/>
      </c>
      <c r="F1601" s="2"/>
      <c r="G1601" s="5"/>
      <c r="H1601" s="5" t="str">
        <f>IFERROR(INDEX('Malzeme Tanımlama'!$D$5:$D$300,MATCH(D1601,'Malzeme Tanımlama'!$A$5:$A$300,0)),"")</f>
        <v/>
      </c>
      <c r="I1601" s="2"/>
      <c r="J1601" s="2"/>
      <c r="K1601" s="2"/>
    </row>
    <row r="1602" spans="1:11" x14ac:dyDescent="0.3">
      <c r="A1602" s="5" t="str">
        <f>IF(D1602="","",COUNTIF($D$5:D1602,"?*"))</f>
        <v/>
      </c>
      <c r="B1602" s="6"/>
      <c r="C1602" s="5" t="str">
        <f>IF(B1602="","",INDEX({"Ocak","Şubat","Mart","Nisan","Mayıs","Haziran","Temmuz","Ağustos","Eylül","Ekim","Kasım","Aralık"},MONTH(B1602)))</f>
        <v/>
      </c>
      <c r="D1602" s="2"/>
      <c r="E1602" s="5" t="str">
        <f>IFERROR(INDEX('Malzeme Tanımlama'!$B$5:$B$300,MATCH(D1602,'Malzeme Tanımlama'!$A$5:$A$300,0)),"")</f>
        <v/>
      </c>
      <c r="F1602" s="2"/>
      <c r="G1602" s="5"/>
      <c r="H1602" s="5" t="str">
        <f>IFERROR(INDEX('Malzeme Tanımlama'!$D$5:$D$300,MATCH(D1602,'Malzeme Tanımlama'!$A$5:$A$300,0)),"")</f>
        <v/>
      </c>
      <c r="I1602" s="2"/>
      <c r="J1602" s="2"/>
      <c r="K1602" s="2"/>
    </row>
    <row r="1603" spans="1:11" x14ac:dyDescent="0.3">
      <c r="A1603" s="5" t="str">
        <f>IF(D1603="","",COUNTIF($D$5:D1603,"?*"))</f>
        <v/>
      </c>
      <c r="B1603" s="6"/>
      <c r="C1603" s="5" t="str">
        <f>IF(B1603="","",INDEX({"Ocak","Şubat","Mart","Nisan","Mayıs","Haziran","Temmuz","Ağustos","Eylül","Ekim","Kasım","Aralık"},MONTH(B1603)))</f>
        <v/>
      </c>
      <c r="D1603" s="2"/>
      <c r="E1603" s="5" t="str">
        <f>IFERROR(INDEX('Malzeme Tanımlama'!$B$5:$B$300,MATCH(D1603,'Malzeme Tanımlama'!$A$5:$A$300,0)),"")</f>
        <v/>
      </c>
      <c r="F1603" s="2"/>
      <c r="G1603" s="5"/>
      <c r="H1603" s="5" t="str">
        <f>IFERROR(INDEX('Malzeme Tanımlama'!$D$5:$D$300,MATCH(D1603,'Malzeme Tanımlama'!$A$5:$A$300,0)),"")</f>
        <v/>
      </c>
      <c r="I1603" s="2"/>
      <c r="J1603" s="2"/>
      <c r="K1603" s="2"/>
    </row>
    <row r="1604" spans="1:11" x14ac:dyDescent="0.3">
      <c r="A1604" s="5" t="str">
        <f>IF(D1604="","",COUNTIF($D$5:D1604,"?*"))</f>
        <v/>
      </c>
      <c r="B1604" s="6"/>
      <c r="C1604" s="5" t="str">
        <f>IF(B1604="","",INDEX({"Ocak","Şubat","Mart","Nisan","Mayıs","Haziran","Temmuz","Ağustos","Eylül","Ekim","Kasım","Aralık"},MONTH(B1604)))</f>
        <v/>
      </c>
      <c r="D1604" s="2"/>
      <c r="E1604" s="5" t="str">
        <f>IFERROR(INDEX('Malzeme Tanımlama'!$B$5:$B$300,MATCH(D1604,'Malzeme Tanımlama'!$A$5:$A$300,0)),"")</f>
        <v/>
      </c>
      <c r="F1604" s="2"/>
      <c r="G1604" s="5"/>
      <c r="H1604" s="5" t="str">
        <f>IFERROR(INDEX('Malzeme Tanımlama'!$D$5:$D$300,MATCH(D1604,'Malzeme Tanımlama'!$A$5:$A$300,0)),"")</f>
        <v/>
      </c>
      <c r="I1604" s="2"/>
      <c r="J1604" s="2"/>
      <c r="K1604" s="2"/>
    </row>
    <row r="1605" spans="1:11" x14ac:dyDescent="0.3">
      <c r="A1605" s="5" t="str">
        <f>IF(D1605="","",COUNTIF($D$5:D1605,"?*"))</f>
        <v/>
      </c>
      <c r="B1605" s="6"/>
      <c r="C1605" s="5" t="str">
        <f>IF(B1605="","",INDEX({"Ocak","Şubat","Mart","Nisan","Mayıs","Haziran","Temmuz","Ağustos","Eylül","Ekim","Kasım","Aralık"},MONTH(B1605)))</f>
        <v/>
      </c>
      <c r="D1605" s="2"/>
      <c r="E1605" s="5" t="str">
        <f>IFERROR(INDEX('Malzeme Tanımlama'!$B$5:$B$300,MATCH(D1605,'Malzeme Tanımlama'!$A$5:$A$300,0)),"")</f>
        <v/>
      </c>
      <c r="F1605" s="2"/>
      <c r="G1605" s="5"/>
      <c r="H1605" s="5" t="str">
        <f>IFERROR(INDEX('Malzeme Tanımlama'!$D$5:$D$300,MATCH(D1605,'Malzeme Tanımlama'!$A$5:$A$300,0)),"")</f>
        <v/>
      </c>
      <c r="I1605" s="2"/>
      <c r="J1605" s="2"/>
      <c r="K1605" s="2"/>
    </row>
    <row r="1606" spans="1:11" x14ac:dyDescent="0.3">
      <c r="A1606" s="5" t="str">
        <f>IF(D1606="","",COUNTIF($D$5:D1606,"?*"))</f>
        <v/>
      </c>
      <c r="B1606" s="6"/>
      <c r="C1606" s="5" t="str">
        <f>IF(B1606="","",INDEX({"Ocak","Şubat","Mart","Nisan","Mayıs","Haziran","Temmuz","Ağustos","Eylül","Ekim","Kasım","Aralık"},MONTH(B1606)))</f>
        <v/>
      </c>
      <c r="D1606" s="2"/>
      <c r="E1606" s="5" t="str">
        <f>IFERROR(INDEX('Malzeme Tanımlama'!$B$5:$B$300,MATCH(D1606,'Malzeme Tanımlama'!$A$5:$A$300,0)),"")</f>
        <v/>
      </c>
      <c r="F1606" s="2"/>
      <c r="G1606" s="5"/>
      <c r="H1606" s="5" t="str">
        <f>IFERROR(INDEX('Malzeme Tanımlama'!$D$5:$D$300,MATCH(D1606,'Malzeme Tanımlama'!$A$5:$A$300,0)),"")</f>
        <v/>
      </c>
      <c r="I1606" s="2"/>
      <c r="J1606" s="2"/>
      <c r="K1606" s="2"/>
    </row>
    <row r="1607" spans="1:11" x14ac:dyDescent="0.3">
      <c r="A1607" s="5" t="str">
        <f>IF(D1607="","",COUNTIF($D$5:D1607,"?*"))</f>
        <v/>
      </c>
      <c r="B1607" s="6"/>
      <c r="C1607" s="5" t="str">
        <f>IF(B1607="","",INDEX({"Ocak","Şubat","Mart","Nisan","Mayıs","Haziran","Temmuz","Ağustos","Eylül","Ekim","Kasım","Aralık"},MONTH(B1607)))</f>
        <v/>
      </c>
      <c r="D1607" s="2"/>
      <c r="E1607" s="5" t="str">
        <f>IFERROR(INDEX('Malzeme Tanımlama'!$B$5:$B$300,MATCH(D1607,'Malzeme Tanımlama'!$A$5:$A$300,0)),"")</f>
        <v/>
      </c>
      <c r="F1607" s="2"/>
      <c r="G1607" s="5"/>
      <c r="H1607" s="5" t="str">
        <f>IFERROR(INDEX('Malzeme Tanımlama'!$D$5:$D$300,MATCH(D1607,'Malzeme Tanımlama'!$A$5:$A$300,0)),"")</f>
        <v/>
      </c>
      <c r="I1607" s="2"/>
      <c r="J1607" s="2"/>
      <c r="K1607" s="2"/>
    </row>
    <row r="1608" spans="1:11" x14ac:dyDescent="0.3">
      <c r="A1608" s="5" t="str">
        <f>IF(D1608="","",COUNTIF($D$5:D1608,"?*"))</f>
        <v/>
      </c>
      <c r="B1608" s="6"/>
      <c r="C1608" s="5" t="str">
        <f>IF(B1608="","",INDEX({"Ocak","Şubat","Mart","Nisan","Mayıs","Haziran","Temmuz","Ağustos","Eylül","Ekim","Kasım","Aralık"},MONTH(B1608)))</f>
        <v/>
      </c>
      <c r="D1608" s="2"/>
      <c r="E1608" s="5" t="str">
        <f>IFERROR(INDEX('Malzeme Tanımlama'!$B$5:$B$300,MATCH(D1608,'Malzeme Tanımlama'!$A$5:$A$300,0)),"")</f>
        <v/>
      </c>
      <c r="F1608" s="2"/>
      <c r="G1608" s="5"/>
      <c r="H1608" s="5" t="str">
        <f>IFERROR(INDEX('Malzeme Tanımlama'!$D$5:$D$300,MATCH(D1608,'Malzeme Tanımlama'!$A$5:$A$300,0)),"")</f>
        <v/>
      </c>
      <c r="I1608" s="2"/>
      <c r="J1608" s="2"/>
      <c r="K1608" s="2"/>
    </row>
    <row r="1609" spans="1:11" x14ac:dyDescent="0.3">
      <c r="A1609" s="5" t="str">
        <f>IF(D1609="","",COUNTIF($D$5:D1609,"?*"))</f>
        <v/>
      </c>
      <c r="B1609" s="6"/>
      <c r="C1609" s="5" t="str">
        <f>IF(B1609="","",INDEX({"Ocak","Şubat","Mart","Nisan","Mayıs","Haziran","Temmuz","Ağustos","Eylül","Ekim","Kasım","Aralık"},MONTH(B1609)))</f>
        <v/>
      </c>
      <c r="D1609" s="2"/>
      <c r="E1609" s="5" t="str">
        <f>IFERROR(INDEX('Malzeme Tanımlama'!$B$5:$B$300,MATCH(D1609,'Malzeme Tanımlama'!$A$5:$A$300,0)),"")</f>
        <v/>
      </c>
      <c r="F1609" s="2"/>
      <c r="G1609" s="5"/>
      <c r="H1609" s="5" t="str">
        <f>IFERROR(INDEX('Malzeme Tanımlama'!$D$5:$D$300,MATCH(D1609,'Malzeme Tanımlama'!$A$5:$A$300,0)),"")</f>
        <v/>
      </c>
      <c r="I1609" s="2"/>
      <c r="J1609" s="2"/>
      <c r="K1609" s="2"/>
    </row>
    <row r="1610" spans="1:11" x14ac:dyDescent="0.3">
      <c r="A1610" s="5" t="str">
        <f>IF(D1610="","",COUNTIF($D$5:D1610,"?*"))</f>
        <v/>
      </c>
      <c r="B1610" s="6"/>
      <c r="C1610" s="5" t="str">
        <f>IF(B1610="","",INDEX({"Ocak","Şubat","Mart","Nisan","Mayıs","Haziran","Temmuz","Ağustos","Eylül","Ekim","Kasım","Aralık"},MONTH(B1610)))</f>
        <v/>
      </c>
      <c r="D1610" s="2"/>
      <c r="E1610" s="5" t="str">
        <f>IFERROR(INDEX('Malzeme Tanımlama'!$B$5:$B$300,MATCH(D1610,'Malzeme Tanımlama'!$A$5:$A$300,0)),"")</f>
        <v/>
      </c>
      <c r="F1610" s="2"/>
      <c r="G1610" s="5"/>
      <c r="H1610" s="5" t="str">
        <f>IFERROR(INDEX('Malzeme Tanımlama'!$D$5:$D$300,MATCH(D1610,'Malzeme Tanımlama'!$A$5:$A$300,0)),"")</f>
        <v/>
      </c>
      <c r="I1610" s="2"/>
      <c r="J1610" s="2"/>
      <c r="K1610" s="2"/>
    </row>
    <row r="1611" spans="1:11" x14ac:dyDescent="0.3">
      <c r="A1611" s="5" t="str">
        <f>IF(D1611="","",COUNTIF($D$5:D1611,"?*"))</f>
        <v/>
      </c>
      <c r="B1611" s="6"/>
      <c r="C1611" s="5" t="str">
        <f>IF(B1611="","",INDEX({"Ocak","Şubat","Mart","Nisan","Mayıs","Haziran","Temmuz","Ağustos","Eylül","Ekim","Kasım","Aralık"},MONTH(B1611)))</f>
        <v/>
      </c>
      <c r="D1611" s="2"/>
      <c r="E1611" s="5" t="str">
        <f>IFERROR(INDEX('Malzeme Tanımlama'!$B$5:$B$300,MATCH(D1611,'Malzeme Tanımlama'!$A$5:$A$300,0)),"")</f>
        <v/>
      </c>
      <c r="F1611" s="2"/>
      <c r="G1611" s="5"/>
      <c r="H1611" s="5" t="str">
        <f>IFERROR(INDEX('Malzeme Tanımlama'!$D$5:$D$300,MATCH(D1611,'Malzeme Tanımlama'!$A$5:$A$300,0)),"")</f>
        <v/>
      </c>
      <c r="I1611" s="2"/>
      <c r="J1611" s="2"/>
      <c r="K1611" s="2"/>
    </row>
    <row r="1612" spans="1:11" x14ac:dyDescent="0.3">
      <c r="A1612" s="5" t="str">
        <f>IF(D1612="","",COUNTIF($D$5:D1612,"?*"))</f>
        <v/>
      </c>
      <c r="B1612" s="6"/>
      <c r="C1612" s="5" t="str">
        <f>IF(B1612="","",INDEX({"Ocak","Şubat","Mart","Nisan","Mayıs","Haziran","Temmuz","Ağustos","Eylül","Ekim","Kasım","Aralık"},MONTH(B1612)))</f>
        <v/>
      </c>
      <c r="D1612" s="2"/>
      <c r="E1612" s="5" t="str">
        <f>IFERROR(INDEX('Malzeme Tanımlama'!$B$5:$B$300,MATCH(D1612,'Malzeme Tanımlama'!$A$5:$A$300,0)),"")</f>
        <v/>
      </c>
      <c r="F1612" s="2"/>
      <c r="G1612" s="5"/>
      <c r="H1612" s="5" t="str">
        <f>IFERROR(INDEX('Malzeme Tanımlama'!$D$5:$D$300,MATCH(D1612,'Malzeme Tanımlama'!$A$5:$A$300,0)),"")</f>
        <v/>
      </c>
      <c r="I1612" s="2"/>
      <c r="J1612" s="2"/>
      <c r="K1612" s="2"/>
    </row>
    <row r="1613" spans="1:11" x14ac:dyDescent="0.3">
      <c r="A1613" s="5" t="str">
        <f>IF(D1613="","",COUNTIF($D$5:D1613,"?*"))</f>
        <v/>
      </c>
      <c r="B1613" s="6"/>
      <c r="C1613" s="5" t="str">
        <f>IF(B1613="","",INDEX({"Ocak","Şubat","Mart","Nisan","Mayıs","Haziran","Temmuz","Ağustos","Eylül","Ekim","Kasım","Aralık"},MONTH(B1613)))</f>
        <v/>
      </c>
      <c r="D1613" s="2"/>
      <c r="E1613" s="5" t="str">
        <f>IFERROR(INDEX('Malzeme Tanımlama'!$B$5:$B$300,MATCH(D1613,'Malzeme Tanımlama'!$A$5:$A$300,0)),"")</f>
        <v/>
      </c>
      <c r="F1613" s="2"/>
      <c r="G1613" s="5"/>
      <c r="H1613" s="5" t="str">
        <f>IFERROR(INDEX('Malzeme Tanımlama'!$D$5:$D$300,MATCH(D1613,'Malzeme Tanımlama'!$A$5:$A$300,0)),"")</f>
        <v/>
      </c>
      <c r="I1613" s="2"/>
      <c r="J1613" s="2"/>
      <c r="K1613" s="2"/>
    </row>
    <row r="1614" spans="1:11" x14ac:dyDescent="0.3">
      <c r="A1614" s="5" t="str">
        <f>IF(D1614="","",COUNTIF($D$5:D1614,"?*"))</f>
        <v/>
      </c>
      <c r="B1614" s="6"/>
      <c r="C1614" s="5" t="str">
        <f>IF(B1614="","",INDEX({"Ocak","Şubat","Mart","Nisan","Mayıs","Haziran","Temmuz","Ağustos","Eylül","Ekim","Kasım","Aralık"},MONTH(B1614)))</f>
        <v/>
      </c>
      <c r="D1614" s="2"/>
      <c r="E1614" s="5" t="str">
        <f>IFERROR(INDEX('Malzeme Tanımlama'!$B$5:$B$300,MATCH(D1614,'Malzeme Tanımlama'!$A$5:$A$300,0)),"")</f>
        <v/>
      </c>
      <c r="F1614" s="2"/>
      <c r="G1614" s="5"/>
      <c r="H1614" s="5" t="str">
        <f>IFERROR(INDEX('Malzeme Tanımlama'!$D$5:$D$300,MATCH(D1614,'Malzeme Tanımlama'!$A$5:$A$300,0)),"")</f>
        <v/>
      </c>
      <c r="I1614" s="2"/>
      <c r="J1614" s="2"/>
      <c r="K1614" s="2"/>
    </row>
    <row r="1615" spans="1:11" x14ac:dyDescent="0.3">
      <c r="A1615" s="5" t="str">
        <f>IF(D1615="","",COUNTIF($D$5:D1615,"?*"))</f>
        <v/>
      </c>
      <c r="B1615" s="6"/>
      <c r="C1615" s="5" t="str">
        <f>IF(B1615="","",INDEX({"Ocak","Şubat","Mart","Nisan","Mayıs","Haziran","Temmuz","Ağustos","Eylül","Ekim","Kasım","Aralık"},MONTH(B1615)))</f>
        <v/>
      </c>
      <c r="D1615" s="2"/>
      <c r="E1615" s="5" t="str">
        <f>IFERROR(INDEX('Malzeme Tanımlama'!$B$5:$B$300,MATCH(D1615,'Malzeme Tanımlama'!$A$5:$A$300,0)),"")</f>
        <v/>
      </c>
      <c r="F1615" s="2"/>
      <c r="G1615" s="5"/>
      <c r="H1615" s="5" t="str">
        <f>IFERROR(INDEX('Malzeme Tanımlama'!$D$5:$D$300,MATCH(D1615,'Malzeme Tanımlama'!$A$5:$A$300,0)),"")</f>
        <v/>
      </c>
      <c r="I1615" s="2"/>
      <c r="J1615" s="2"/>
      <c r="K1615" s="2"/>
    </row>
    <row r="1616" spans="1:11" x14ac:dyDescent="0.3">
      <c r="A1616" s="5" t="str">
        <f>IF(D1616="","",COUNTIF($D$5:D1616,"?*"))</f>
        <v/>
      </c>
      <c r="B1616" s="6"/>
      <c r="C1616" s="5" t="str">
        <f>IF(B1616="","",INDEX({"Ocak","Şubat","Mart","Nisan","Mayıs","Haziran","Temmuz","Ağustos","Eylül","Ekim","Kasım","Aralık"},MONTH(B1616)))</f>
        <v/>
      </c>
      <c r="D1616" s="2"/>
      <c r="E1616" s="5" t="str">
        <f>IFERROR(INDEX('Malzeme Tanımlama'!$B$5:$B$300,MATCH(D1616,'Malzeme Tanımlama'!$A$5:$A$300,0)),"")</f>
        <v/>
      </c>
      <c r="F1616" s="2"/>
      <c r="G1616" s="5"/>
      <c r="H1616" s="5" t="str">
        <f>IFERROR(INDEX('Malzeme Tanımlama'!$D$5:$D$300,MATCH(D1616,'Malzeme Tanımlama'!$A$5:$A$300,0)),"")</f>
        <v/>
      </c>
      <c r="I1616" s="2"/>
      <c r="J1616" s="2"/>
      <c r="K1616" s="2"/>
    </row>
    <row r="1617" spans="1:11" x14ac:dyDescent="0.3">
      <c r="A1617" s="5" t="str">
        <f>IF(D1617="","",COUNTIF($D$5:D1617,"?*"))</f>
        <v/>
      </c>
      <c r="B1617" s="6"/>
      <c r="C1617" s="5" t="str">
        <f>IF(B1617="","",INDEX({"Ocak","Şubat","Mart","Nisan","Mayıs","Haziran","Temmuz","Ağustos","Eylül","Ekim","Kasım","Aralık"},MONTH(B1617)))</f>
        <v/>
      </c>
      <c r="D1617" s="2"/>
      <c r="E1617" s="5" t="str">
        <f>IFERROR(INDEX('Malzeme Tanımlama'!$B$5:$B$300,MATCH(D1617,'Malzeme Tanımlama'!$A$5:$A$300,0)),"")</f>
        <v/>
      </c>
      <c r="F1617" s="2"/>
      <c r="G1617" s="5"/>
      <c r="H1617" s="5" t="str">
        <f>IFERROR(INDEX('Malzeme Tanımlama'!$D$5:$D$300,MATCH(D1617,'Malzeme Tanımlama'!$A$5:$A$300,0)),"")</f>
        <v/>
      </c>
      <c r="I1617" s="2"/>
      <c r="J1617" s="2"/>
      <c r="K1617" s="2"/>
    </row>
    <row r="1618" spans="1:11" x14ac:dyDescent="0.3">
      <c r="A1618" s="5" t="str">
        <f>IF(D1618="","",COUNTIF($D$5:D1618,"?*"))</f>
        <v/>
      </c>
      <c r="B1618" s="6"/>
      <c r="C1618" s="5" t="str">
        <f>IF(B1618="","",INDEX({"Ocak","Şubat","Mart","Nisan","Mayıs","Haziran","Temmuz","Ağustos","Eylül","Ekim","Kasım","Aralık"},MONTH(B1618)))</f>
        <v/>
      </c>
      <c r="D1618" s="2"/>
      <c r="E1618" s="5" t="str">
        <f>IFERROR(INDEX('Malzeme Tanımlama'!$B$5:$B$300,MATCH(D1618,'Malzeme Tanımlama'!$A$5:$A$300,0)),"")</f>
        <v/>
      </c>
      <c r="F1618" s="2"/>
      <c r="G1618" s="5"/>
      <c r="H1618" s="5" t="str">
        <f>IFERROR(INDEX('Malzeme Tanımlama'!$D$5:$D$300,MATCH(D1618,'Malzeme Tanımlama'!$A$5:$A$300,0)),"")</f>
        <v/>
      </c>
      <c r="I1618" s="2"/>
      <c r="J1618" s="2"/>
      <c r="K1618" s="2"/>
    </row>
    <row r="1619" spans="1:11" x14ac:dyDescent="0.3">
      <c r="A1619" s="5" t="str">
        <f>IF(D1619="","",COUNTIF($D$5:D1619,"?*"))</f>
        <v/>
      </c>
      <c r="B1619" s="6"/>
      <c r="C1619" s="5" t="str">
        <f>IF(B1619="","",INDEX({"Ocak","Şubat","Mart","Nisan","Mayıs","Haziran","Temmuz","Ağustos","Eylül","Ekim","Kasım","Aralık"},MONTH(B1619)))</f>
        <v/>
      </c>
      <c r="D1619" s="2"/>
      <c r="E1619" s="5" t="str">
        <f>IFERROR(INDEX('Malzeme Tanımlama'!$B$5:$B$300,MATCH(D1619,'Malzeme Tanımlama'!$A$5:$A$300,0)),"")</f>
        <v/>
      </c>
      <c r="F1619" s="2"/>
      <c r="G1619" s="5"/>
      <c r="H1619" s="5" t="str">
        <f>IFERROR(INDEX('Malzeme Tanımlama'!$D$5:$D$300,MATCH(D1619,'Malzeme Tanımlama'!$A$5:$A$300,0)),"")</f>
        <v/>
      </c>
      <c r="I1619" s="2"/>
      <c r="J1619" s="2"/>
      <c r="K1619" s="2"/>
    </row>
    <row r="1620" spans="1:11" x14ac:dyDescent="0.3">
      <c r="A1620" s="5" t="str">
        <f>IF(D1620="","",COUNTIF($D$5:D1620,"?*"))</f>
        <v/>
      </c>
      <c r="B1620" s="6"/>
      <c r="C1620" s="5" t="str">
        <f>IF(B1620="","",INDEX({"Ocak","Şubat","Mart","Nisan","Mayıs","Haziran","Temmuz","Ağustos","Eylül","Ekim","Kasım","Aralık"},MONTH(B1620)))</f>
        <v/>
      </c>
      <c r="D1620" s="2"/>
      <c r="E1620" s="5" t="str">
        <f>IFERROR(INDEX('Malzeme Tanımlama'!$B$5:$B$300,MATCH(D1620,'Malzeme Tanımlama'!$A$5:$A$300,0)),"")</f>
        <v/>
      </c>
      <c r="F1620" s="2"/>
      <c r="G1620" s="5"/>
      <c r="H1620" s="5" t="str">
        <f>IFERROR(INDEX('Malzeme Tanımlama'!$D$5:$D$300,MATCH(D1620,'Malzeme Tanımlama'!$A$5:$A$300,0)),"")</f>
        <v/>
      </c>
      <c r="I1620" s="2"/>
      <c r="J1620" s="2"/>
      <c r="K1620" s="2"/>
    </row>
    <row r="1621" spans="1:11" x14ac:dyDescent="0.3">
      <c r="A1621" s="5" t="str">
        <f>IF(D1621="","",COUNTIF($D$5:D1621,"?*"))</f>
        <v/>
      </c>
      <c r="B1621" s="6"/>
      <c r="C1621" s="5" t="str">
        <f>IF(B1621="","",INDEX({"Ocak","Şubat","Mart","Nisan","Mayıs","Haziran","Temmuz","Ağustos","Eylül","Ekim","Kasım","Aralık"},MONTH(B1621)))</f>
        <v/>
      </c>
      <c r="D1621" s="2"/>
      <c r="E1621" s="5" t="str">
        <f>IFERROR(INDEX('Malzeme Tanımlama'!$B$5:$B$300,MATCH(D1621,'Malzeme Tanımlama'!$A$5:$A$300,0)),"")</f>
        <v/>
      </c>
      <c r="F1621" s="2"/>
      <c r="G1621" s="5"/>
      <c r="H1621" s="5" t="str">
        <f>IFERROR(INDEX('Malzeme Tanımlama'!$D$5:$D$300,MATCH(D1621,'Malzeme Tanımlama'!$A$5:$A$300,0)),"")</f>
        <v/>
      </c>
      <c r="I1621" s="2"/>
      <c r="J1621" s="2"/>
      <c r="K1621" s="2"/>
    </row>
    <row r="1622" spans="1:11" x14ac:dyDescent="0.3">
      <c r="A1622" s="5" t="str">
        <f>IF(D1622="","",COUNTIF($D$5:D1622,"?*"))</f>
        <v/>
      </c>
      <c r="B1622" s="6"/>
      <c r="C1622" s="5" t="str">
        <f>IF(B1622="","",INDEX({"Ocak","Şubat","Mart","Nisan","Mayıs","Haziran","Temmuz","Ağustos","Eylül","Ekim","Kasım","Aralık"},MONTH(B1622)))</f>
        <v/>
      </c>
      <c r="D1622" s="2"/>
      <c r="E1622" s="5" t="str">
        <f>IFERROR(INDEX('Malzeme Tanımlama'!$B$5:$B$300,MATCH(D1622,'Malzeme Tanımlama'!$A$5:$A$300,0)),"")</f>
        <v/>
      </c>
      <c r="F1622" s="2"/>
      <c r="G1622" s="5"/>
      <c r="H1622" s="5" t="str">
        <f>IFERROR(INDEX('Malzeme Tanımlama'!$D$5:$D$300,MATCH(D1622,'Malzeme Tanımlama'!$A$5:$A$300,0)),"")</f>
        <v/>
      </c>
      <c r="I1622" s="2"/>
      <c r="J1622" s="2"/>
      <c r="K1622" s="2"/>
    </row>
    <row r="1623" spans="1:11" x14ac:dyDescent="0.3">
      <c r="A1623" s="5" t="str">
        <f>IF(D1623="","",COUNTIF($D$5:D1623,"?*"))</f>
        <v/>
      </c>
      <c r="B1623" s="6"/>
      <c r="C1623" s="5" t="str">
        <f>IF(B1623="","",INDEX({"Ocak","Şubat","Mart","Nisan","Mayıs","Haziran","Temmuz","Ağustos","Eylül","Ekim","Kasım","Aralık"},MONTH(B1623)))</f>
        <v/>
      </c>
      <c r="D1623" s="2"/>
      <c r="E1623" s="5" t="str">
        <f>IFERROR(INDEX('Malzeme Tanımlama'!$B$5:$B$300,MATCH(D1623,'Malzeme Tanımlama'!$A$5:$A$300,0)),"")</f>
        <v/>
      </c>
      <c r="F1623" s="2"/>
      <c r="G1623" s="5"/>
      <c r="H1623" s="5" t="str">
        <f>IFERROR(INDEX('Malzeme Tanımlama'!$D$5:$D$300,MATCH(D1623,'Malzeme Tanımlama'!$A$5:$A$300,0)),"")</f>
        <v/>
      </c>
      <c r="I1623" s="2"/>
      <c r="J1623" s="2"/>
      <c r="K1623" s="2"/>
    </row>
    <row r="1624" spans="1:11" x14ac:dyDescent="0.3">
      <c r="A1624" s="5" t="str">
        <f>IF(D1624="","",COUNTIF($D$5:D1624,"?*"))</f>
        <v/>
      </c>
      <c r="B1624" s="6"/>
      <c r="C1624" s="5" t="str">
        <f>IF(B1624="","",INDEX({"Ocak","Şubat","Mart","Nisan","Mayıs","Haziran","Temmuz","Ağustos","Eylül","Ekim","Kasım","Aralık"},MONTH(B1624)))</f>
        <v/>
      </c>
      <c r="D1624" s="2"/>
      <c r="E1624" s="5" t="str">
        <f>IFERROR(INDEX('Malzeme Tanımlama'!$B$5:$B$300,MATCH(D1624,'Malzeme Tanımlama'!$A$5:$A$300,0)),"")</f>
        <v/>
      </c>
      <c r="F1624" s="2"/>
      <c r="G1624" s="5"/>
      <c r="H1624" s="5" t="str">
        <f>IFERROR(INDEX('Malzeme Tanımlama'!$D$5:$D$300,MATCH(D1624,'Malzeme Tanımlama'!$A$5:$A$300,0)),"")</f>
        <v/>
      </c>
      <c r="I1624" s="2"/>
      <c r="J1624" s="2"/>
      <c r="K1624" s="2"/>
    </row>
    <row r="1625" spans="1:11" x14ac:dyDescent="0.3">
      <c r="A1625" s="5" t="str">
        <f>IF(D1625="","",COUNTIF($D$5:D1625,"?*"))</f>
        <v/>
      </c>
      <c r="B1625" s="6"/>
      <c r="C1625" s="5" t="str">
        <f>IF(B1625="","",INDEX({"Ocak","Şubat","Mart","Nisan","Mayıs","Haziran","Temmuz","Ağustos","Eylül","Ekim","Kasım","Aralık"},MONTH(B1625)))</f>
        <v/>
      </c>
      <c r="D1625" s="2"/>
      <c r="E1625" s="5" t="str">
        <f>IFERROR(INDEX('Malzeme Tanımlama'!$B$5:$B$300,MATCH(D1625,'Malzeme Tanımlama'!$A$5:$A$300,0)),"")</f>
        <v/>
      </c>
      <c r="F1625" s="2"/>
      <c r="G1625" s="5"/>
      <c r="H1625" s="5" t="str">
        <f>IFERROR(INDEX('Malzeme Tanımlama'!$D$5:$D$300,MATCH(D1625,'Malzeme Tanımlama'!$A$5:$A$300,0)),"")</f>
        <v/>
      </c>
      <c r="I1625" s="2"/>
      <c r="J1625" s="2"/>
      <c r="K1625" s="2"/>
    </row>
    <row r="1626" spans="1:11" x14ac:dyDescent="0.3">
      <c r="A1626" s="5" t="str">
        <f>IF(D1626="","",COUNTIF($D$5:D1626,"?*"))</f>
        <v/>
      </c>
      <c r="B1626" s="6"/>
      <c r="C1626" s="5" t="str">
        <f>IF(B1626="","",INDEX({"Ocak","Şubat","Mart","Nisan","Mayıs","Haziran","Temmuz","Ağustos","Eylül","Ekim","Kasım","Aralık"},MONTH(B1626)))</f>
        <v/>
      </c>
      <c r="D1626" s="2"/>
      <c r="E1626" s="5" t="str">
        <f>IFERROR(INDEX('Malzeme Tanımlama'!$B$5:$B$300,MATCH(D1626,'Malzeme Tanımlama'!$A$5:$A$300,0)),"")</f>
        <v/>
      </c>
      <c r="F1626" s="2"/>
      <c r="G1626" s="5"/>
      <c r="H1626" s="5" t="str">
        <f>IFERROR(INDEX('Malzeme Tanımlama'!$D$5:$D$300,MATCH(D1626,'Malzeme Tanımlama'!$A$5:$A$300,0)),"")</f>
        <v/>
      </c>
      <c r="I1626" s="2"/>
      <c r="J1626" s="2"/>
      <c r="K1626" s="2"/>
    </row>
    <row r="1627" spans="1:11" x14ac:dyDescent="0.3">
      <c r="A1627" s="5" t="str">
        <f>IF(D1627="","",COUNTIF($D$5:D1627,"?*"))</f>
        <v/>
      </c>
      <c r="B1627" s="6"/>
      <c r="C1627" s="5" t="str">
        <f>IF(B1627="","",INDEX({"Ocak","Şubat","Mart","Nisan","Mayıs","Haziran","Temmuz","Ağustos","Eylül","Ekim","Kasım","Aralık"},MONTH(B1627)))</f>
        <v/>
      </c>
      <c r="D1627" s="2"/>
      <c r="E1627" s="5" t="str">
        <f>IFERROR(INDEX('Malzeme Tanımlama'!$B$5:$B$300,MATCH(D1627,'Malzeme Tanımlama'!$A$5:$A$300,0)),"")</f>
        <v/>
      </c>
      <c r="F1627" s="2"/>
      <c r="G1627" s="5"/>
      <c r="H1627" s="5" t="str">
        <f>IFERROR(INDEX('Malzeme Tanımlama'!$D$5:$D$300,MATCH(D1627,'Malzeme Tanımlama'!$A$5:$A$300,0)),"")</f>
        <v/>
      </c>
      <c r="I1627" s="2"/>
      <c r="J1627" s="2"/>
      <c r="K1627" s="2"/>
    </row>
    <row r="1628" spans="1:11" x14ac:dyDescent="0.3">
      <c r="A1628" s="5" t="str">
        <f>IF(D1628="","",COUNTIF($D$5:D1628,"?*"))</f>
        <v/>
      </c>
      <c r="B1628" s="6"/>
      <c r="C1628" s="5" t="str">
        <f>IF(B1628="","",INDEX({"Ocak","Şubat","Mart","Nisan","Mayıs","Haziran","Temmuz","Ağustos","Eylül","Ekim","Kasım","Aralık"},MONTH(B1628)))</f>
        <v/>
      </c>
      <c r="D1628" s="2"/>
      <c r="E1628" s="5" t="str">
        <f>IFERROR(INDEX('Malzeme Tanımlama'!$B$5:$B$300,MATCH(D1628,'Malzeme Tanımlama'!$A$5:$A$300,0)),"")</f>
        <v/>
      </c>
      <c r="F1628" s="2"/>
      <c r="G1628" s="5"/>
      <c r="H1628" s="5" t="str">
        <f>IFERROR(INDEX('Malzeme Tanımlama'!$D$5:$D$300,MATCH(D1628,'Malzeme Tanımlama'!$A$5:$A$300,0)),"")</f>
        <v/>
      </c>
      <c r="I1628" s="2"/>
      <c r="J1628" s="2"/>
      <c r="K1628" s="2"/>
    </row>
    <row r="1629" spans="1:11" x14ac:dyDescent="0.3">
      <c r="A1629" s="5" t="str">
        <f>IF(D1629="","",COUNTIF($D$5:D1629,"?*"))</f>
        <v/>
      </c>
      <c r="B1629" s="6"/>
      <c r="C1629" s="5" t="str">
        <f>IF(B1629="","",INDEX({"Ocak","Şubat","Mart","Nisan","Mayıs","Haziran","Temmuz","Ağustos","Eylül","Ekim","Kasım","Aralık"},MONTH(B1629)))</f>
        <v/>
      </c>
      <c r="D1629" s="2"/>
      <c r="E1629" s="5" t="str">
        <f>IFERROR(INDEX('Malzeme Tanımlama'!$B$5:$B$300,MATCH(D1629,'Malzeme Tanımlama'!$A$5:$A$300,0)),"")</f>
        <v/>
      </c>
      <c r="F1629" s="2"/>
      <c r="G1629" s="5"/>
      <c r="H1629" s="5" t="str">
        <f>IFERROR(INDEX('Malzeme Tanımlama'!$D$5:$D$300,MATCH(D1629,'Malzeme Tanımlama'!$A$5:$A$300,0)),"")</f>
        <v/>
      </c>
      <c r="I1629" s="2"/>
      <c r="J1629" s="2"/>
      <c r="K1629" s="2"/>
    </row>
    <row r="1630" spans="1:11" x14ac:dyDescent="0.3">
      <c r="A1630" s="5" t="str">
        <f>IF(D1630="","",COUNTIF($D$5:D1630,"?*"))</f>
        <v/>
      </c>
      <c r="B1630" s="6"/>
      <c r="C1630" s="5" t="str">
        <f>IF(B1630="","",INDEX({"Ocak","Şubat","Mart","Nisan","Mayıs","Haziran","Temmuz","Ağustos","Eylül","Ekim","Kasım","Aralık"},MONTH(B1630)))</f>
        <v/>
      </c>
      <c r="D1630" s="2"/>
      <c r="E1630" s="5" t="str">
        <f>IFERROR(INDEX('Malzeme Tanımlama'!$B$5:$B$300,MATCH(D1630,'Malzeme Tanımlama'!$A$5:$A$300,0)),"")</f>
        <v/>
      </c>
      <c r="F1630" s="2"/>
      <c r="G1630" s="5"/>
      <c r="H1630" s="5" t="str">
        <f>IFERROR(INDEX('Malzeme Tanımlama'!$D$5:$D$300,MATCH(D1630,'Malzeme Tanımlama'!$A$5:$A$300,0)),"")</f>
        <v/>
      </c>
      <c r="I1630" s="2"/>
      <c r="J1630" s="2"/>
      <c r="K1630" s="2"/>
    </row>
    <row r="1631" spans="1:11" x14ac:dyDescent="0.3">
      <c r="A1631" s="5" t="str">
        <f>IF(D1631="","",COUNTIF($D$5:D1631,"?*"))</f>
        <v/>
      </c>
      <c r="B1631" s="6"/>
      <c r="C1631" s="5" t="str">
        <f>IF(B1631="","",INDEX({"Ocak","Şubat","Mart","Nisan","Mayıs","Haziran","Temmuz","Ağustos","Eylül","Ekim","Kasım","Aralık"},MONTH(B1631)))</f>
        <v/>
      </c>
      <c r="D1631" s="2"/>
      <c r="E1631" s="5" t="str">
        <f>IFERROR(INDEX('Malzeme Tanımlama'!$B$5:$B$300,MATCH(D1631,'Malzeme Tanımlama'!$A$5:$A$300,0)),"")</f>
        <v/>
      </c>
      <c r="F1631" s="2"/>
      <c r="G1631" s="5"/>
      <c r="H1631" s="5" t="str">
        <f>IFERROR(INDEX('Malzeme Tanımlama'!$D$5:$D$300,MATCH(D1631,'Malzeme Tanımlama'!$A$5:$A$300,0)),"")</f>
        <v/>
      </c>
      <c r="I1631" s="2"/>
      <c r="J1631" s="2"/>
      <c r="K1631" s="2"/>
    </row>
    <row r="1632" spans="1:11" x14ac:dyDescent="0.3">
      <c r="A1632" s="5" t="str">
        <f>IF(D1632="","",COUNTIF($D$5:D1632,"?*"))</f>
        <v/>
      </c>
      <c r="B1632" s="6"/>
      <c r="C1632" s="5" t="str">
        <f>IF(B1632="","",INDEX({"Ocak","Şubat","Mart","Nisan","Mayıs","Haziran","Temmuz","Ağustos","Eylül","Ekim","Kasım","Aralık"},MONTH(B1632)))</f>
        <v/>
      </c>
      <c r="D1632" s="2"/>
      <c r="E1632" s="5" t="str">
        <f>IFERROR(INDEX('Malzeme Tanımlama'!$B$5:$B$300,MATCH(D1632,'Malzeme Tanımlama'!$A$5:$A$300,0)),"")</f>
        <v/>
      </c>
      <c r="F1632" s="2"/>
      <c r="G1632" s="5"/>
      <c r="H1632" s="5" t="str">
        <f>IFERROR(INDEX('Malzeme Tanımlama'!$D$5:$D$300,MATCH(D1632,'Malzeme Tanımlama'!$A$5:$A$300,0)),"")</f>
        <v/>
      </c>
      <c r="I1632" s="2"/>
      <c r="J1632" s="2"/>
      <c r="K1632" s="2"/>
    </row>
    <row r="1633" spans="1:11" x14ac:dyDescent="0.3">
      <c r="A1633" s="5" t="str">
        <f>IF(D1633="","",COUNTIF($D$5:D1633,"?*"))</f>
        <v/>
      </c>
      <c r="B1633" s="6"/>
      <c r="C1633" s="5" t="str">
        <f>IF(B1633="","",INDEX({"Ocak","Şubat","Mart","Nisan","Mayıs","Haziran","Temmuz","Ağustos","Eylül","Ekim","Kasım","Aralık"},MONTH(B1633)))</f>
        <v/>
      </c>
      <c r="D1633" s="2"/>
      <c r="E1633" s="5" t="str">
        <f>IFERROR(INDEX('Malzeme Tanımlama'!$B$5:$B$300,MATCH(D1633,'Malzeme Tanımlama'!$A$5:$A$300,0)),"")</f>
        <v/>
      </c>
      <c r="F1633" s="2"/>
      <c r="G1633" s="5"/>
      <c r="H1633" s="5" t="str">
        <f>IFERROR(INDEX('Malzeme Tanımlama'!$D$5:$D$300,MATCH(D1633,'Malzeme Tanımlama'!$A$5:$A$300,0)),"")</f>
        <v/>
      </c>
      <c r="I1633" s="2"/>
      <c r="J1633" s="2"/>
      <c r="K1633" s="2"/>
    </row>
    <row r="1634" spans="1:11" x14ac:dyDescent="0.3">
      <c r="A1634" s="5" t="str">
        <f>IF(D1634="","",COUNTIF($D$5:D1634,"?*"))</f>
        <v/>
      </c>
      <c r="B1634" s="6"/>
      <c r="C1634" s="5" t="str">
        <f>IF(B1634="","",INDEX({"Ocak","Şubat","Mart","Nisan","Mayıs","Haziran","Temmuz","Ağustos","Eylül","Ekim","Kasım","Aralık"},MONTH(B1634)))</f>
        <v/>
      </c>
      <c r="D1634" s="2"/>
      <c r="E1634" s="5" t="str">
        <f>IFERROR(INDEX('Malzeme Tanımlama'!$B$5:$B$300,MATCH(D1634,'Malzeme Tanımlama'!$A$5:$A$300,0)),"")</f>
        <v/>
      </c>
      <c r="F1634" s="2"/>
      <c r="G1634" s="5"/>
      <c r="H1634" s="5" t="str">
        <f>IFERROR(INDEX('Malzeme Tanımlama'!$D$5:$D$300,MATCH(D1634,'Malzeme Tanımlama'!$A$5:$A$300,0)),"")</f>
        <v/>
      </c>
      <c r="I1634" s="2"/>
      <c r="J1634" s="2"/>
      <c r="K1634" s="2"/>
    </row>
    <row r="1635" spans="1:11" x14ac:dyDescent="0.3">
      <c r="A1635" s="5" t="str">
        <f>IF(D1635="","",COUNTIF($D$5:D1635,"?*"))</f>
        <v/>
      </c>
      <c r="B1635" s="6"/>
      <c r="C1635" s="5" t="str">
        <f>IF(B1635="","",INDEX({"Ocak","Şubat","Mart","Nisan","Mayıs","Haziran","Temmuz","Ağustos","Eylül","Ekim","Kasım","Aralık"},MONTH(B1635)))</f>
        <v/>
      </c>
      <c r="D1635" s="2"/>
      <c r="E1635" s="5" t="str">
        <f>IFERROR(INDEX('Malzeme Tanımlama'!$B$5:$B$300,MATCH(D1635,'Malzeme Tanımlama'!$A$5:$A$300,0)),"")</f>
        <v/>
      </c>
      <c r="F1635" s="2"/>
      <c r="G1635" s="5"/>
      <c r="H1635" s="5" t="str">
        <f>IFERROR(INDEX('Malzeme Tanımlama'!$D$5:$D$300,MATCH(D1635,'Malzeme Tanımlama'!$A$5:$A$300,0)),"")</f>
        <v/>
      </c>
      <c r="I1635" s="2"/>
      <c r="J1635" s="2"/>
      <c r="K1635" s="2"/>
    </row>
    <row r="1636" spans="1:11" x14ac:dyDescent="0.3">
      <c r="A1636" s="5" t="str">
        <f>IF(D1636="","",COUNTIF($D$5:D1636,"?*"))</f>
        <v/>
      </c>
      <c r="B1636" s="6"/>
      <c r="C1636" s="5" t="str">
        <f>IF(B1636="","",INDEX({"Ocak","Şubat","Mart","Nisan","Mayıs","Haziran","Temmuz","Ağustos","Eylül","Ekim","Kasım","Aralık"},MONTH(B1636)))</f>
        <v/>
      </c>
      <c r="D1636" s="2"/>
      <c r="E1636" s="5" t="str">
        <f>IFERROR(INDEX('Malzeme Tanımlama'!$B$5:$B$300,MATCH(D1636,'Malzeme Tanımlama'!$A$5:$A$300,0)),"")</f>
        <v/>
      </c>
      <c r="F1636" s="2"/>
      <c r="G1636" s="5"/>
      <c r="H1636" s="5" t="str">
        <f>IFERROR(INDEX('Malzeme Tanımlama'!$D$5:$D$300,MATCH(D1636,'Malzeme Tanımlama'!$A$5:$A$300,0)),"")</f>
        <v/>
      </c>
      <c r="I1636" s="2"/>
      <c r="J1636" s="2"/>
      <c r="K1636" s="2"/>
    </row>
    <row r="1637" spans="1:11" x14ac:dyDescent="0.3">
      <c r="A1637" s="5" t="str">
        <f>IF(D1637="","",COUNTIF($D$5:D1637,"?*"))</f>
        <v/>
      </c>
      <c r="B1637" s="6"/>
      <c r="C1637" s="5" t="str">
        <f>IF(B1637="","",INDEX({"Ocak","Şubat","Mart","Nisan","Mayıs","Haziran","Temmuz","Ağustos","Eylül","Ekim","Kasım","Aralık"},MONTH(B1637)))</f>
        <v/>
      </c>
      <c r="D1637" s="2"/>
      <c r="E1637" s="5" t="str">
        <f>IFERROR(INDEX('Malzeme Tanımlama'!$B$5:$B$300,MATCH(D1637,'Malzeme Tanımlama'!$A$5:$A$300,0)),"")</f>
        <v/>
      </c>
      <c r="F1637" s="2"/>
      <c r="G1637" s="5"/>
      <c r="H1637" s="5" t="str">
        <f>IFERROR(INDEX('Malzeme Tanımlama'!$D$5:$D$300,MATCH(D1637,'Malzeme Tanımlama'!$A$5:$A$300,0)),"")</f>
        <v/>
      </c>
      <c r="I1637" s="2"/>
      <c r="J1637" s="2"/>
      <c r="K1637" s="2"/>
    </row>
    <row r="1638" spans="1:11" x14ac:dyDescent="0.3">
      <c r="A1638" s="5" t="str">
        <f>IF(D1638="","",COUNTIF($D$5:D1638,"?*"))</f>
        <v/>
      </c>
      <c r="B1638" s="6"/>
      <c r="C1638" s="5" t="str">
        <f>IF(B1638="","",INDEX({"Ocak","Şubat","Mart","Nisan","Mayıs","Haziran","Temmuz","Ağustos","Eylül","Ekim","Kasım","Aralık"},MONTH(B1638)))</f>
        <v/>
      </c>
      <c r="D1638" s="2"/>
      <c r="E1638" s="5" t="str">
        <f>IFERROR(INDEX('Malzeme Tanımlama'!$B$5:$B$300,MATCH(D1638,'Malzeme Tanımlama'!$A$5:$A$300,0)),"")</f>
        <v/>
      </c>
      <c r="F1638" s="2"/>
      <c r="G1638" s="5"/>
      <c r="H1638" s="5" t="str">
        <f>IFERROR(INDEX('Malzeme Tanımlama'!$D$5:$D$300,MATCH(D1638,'Malzeme Tanımlama'!$A$5:$A$300,0)),"")</f>
        <v/>
      </c>
      <c r="I1638" s="2"/>
      <c r="J1638" s="2"/>
      <c r="K1638" s="2"/>
    </row>
    <row r="1639" spans="1:11" x14ac:dyDescent="0.3">
      <c r="A1639" s="5" t="str">
        <f>IF(D1639="","",COUNTIF($D$5:D1639,"?*"))</f>
        <v/>
      </c>
      <c r="B1639" s="6"/>
      <c r="C1639" s="5" t="str">
        <f>IF(B1639="","",INDEX({"Ocak","Şubat","Mart","Nisan","Mayıs","Haziran","Temmuz","Ağustos","Eylül","Ekim","Kasım","Aralık"},MONTH(B1639)))</f>
        <v/>
      </c>
      <c r="D1639" s="2"/>
      <c r="E1639" s="5" t="str">
        <f>IFERROR(INDEX('Malzeme Tanımlama'!$B$5:$B$300,MATCH(D1639,'Malzeme Tanımlama'!$A$5:$A$300,0)),"")</f>
        <v/>
      </c>
      <c r="F1639" s="2"/>
      <c r="G1639" s="5"/>
      <c r="H1639" s="5" t="str">
        <f>IFERROR(INDEX('Malzeme Tanımlama'!$D$5:$D$300,MATCH(D1639,'Malzeme Tanımlama'!$A$5:$A$300,0)),"")</f>
        <v/>
      </c>
      <c r="I1639" s="2"/>
      <c r="J1639" s="2"/>
      <c r="K1639" s="2"/>
    </row>
    <row r="1640" spans="1:11" x14ac:dyDescent="0.3">
      <c r="A1640" s="5" t="str">
        <f>IF(D1640="","",COUNTIF($D$5:D1640,"?*"))</f>
        <v/>
      </c>
      <c r="B1640" s="6"/>
      <c r="C1640" s="5" t="str">
        <f>IF(B1640="","",INDEX({"Ocak","Şubat","Mart","Nisan","Mayıs","Haziran","Temmuz","Ağustos","Eylül","Ekim","Kasım","Aralık"},MONTH(B1640)))</f>
        <v/>
      </c>
      <c r="D1640" s="2"/>
      <c r="E1640" s="5" t="str">
        <f>IFERROR(INDEX('Malzeme Tanımlama'!$B$5:$B$300,MATCH(D1640,'Malzeme Tanımlama'!$A$5:$A$300,0)),"")</f>
        <v/>
      </c>
      <c r="F1640" s="2"/>
      <c r="G1640" s="5"/>
      <c r="H1640" s="5" t="str">
        <f>IFERROR(INDEX('Malzeme Tanımlama'!$D$5:$D$300,MATCH(D1640,'Malzeme Tanımlama'!$A$5:$A$300,0)),"")</f>
        <v/>
      </c>
      <c r="I1640" s="2"/>
      <c r="J1640" s="2"/>
      <c r="K1640" s="2"/>
    </row>
    <row r="1641" spans="1:11" x14ac:dyDescent="0.3">
      <c r="A1641" s="5" t="str">
        <f>IF(D1641="","",COUNTIF($D$5:D1641,"?*"))</f>
        <v/>
      </c>
      <c r="B1641" s="6"/>
      <c r="C1641" s="5" t="str">
        <f>IF(B1641="","",INDEX({"Ocak","Şubat","Mart","Nisan","Mayıs","Haziran","Temmuz","Ağustos","Eylül","Ekim","Kasım","Aralık"},MONTH(B1641)))</f>
        <v/>
      </c>
      <c r="D1641" s="2"/>
      <c r="E1641" s="5" t="str">
        <f>IFERROR(INDEX('Malzeme Tanımlama'!$B$5:$B$300,MATCH(D1641,'Malzeme Tanımlama'!$A$5:$A$300,0)),"")</f>
        <v/>
      </c>
      <c r="F1641" s="2"/>
      <c r="G1641" s="5"/>
      <c r="H1641" s="5" t="str">
        <f>IFERROR(INDEX('Malzeme Tanımlama'!$D$5:$D$300,MATCH(D1641,'Malzeme Tanımlama'!$A$5:$A$300,0)),"")</f>
        <v/>
      </c>
      <c r="I1641" s="2"/>
      <c r="J1641" s="2"/>
      <c r="K1641" s="2"/>
    </row>
    <row r="1642" spans="1:11" x14ac:dyDescent="0.3">
      <c r="A1642" s="5" t="str">
        <f>IF(D1642="","",COUNTIF($D$5:D1642,"?*"))</f>
        <v/>
      </c>
      <c r="B1642" s="6"/>
      <c r="C1642" s="5" t="str">
        <f>IF(B1642="","",INDEX({"Ocak","Şubat","Mart","Nisan","Mayıs","Haziran","Temmuz","Ağustos","Eylül","Ekim","Kasım","Aralık"},MONTH(B1642)))</f>
        <v/>
      </c>
      <c r="D1642" s="2"/>
      <c r="E1642" s="5" t="str">
        <f>IFERROR(INDEX('Malzeme Tanımlama'!$B$5:$B$300,MATCH(D1642,'Malzeme Tanımlama'!$A$5:$A$300,0)),"")</f>
        <v/>
      </c>
      <c r="F1642" s="2"/>
      <c r="G1642" s="5"/>
      <c r="H1642" s="5" t="str">
        <f>IFERROR(INDEX('Malzeme Tanımlama'!$D$5:$D$300,MATCH(D1642,'Malzeme Tanımlama'!$A$5:$A$300,0)),"")</f>
        <v/>
      </c>
      <c r="I1642" s="2"/>
      <c r="J1642" s="2"/>
      <c r="K1642" s="2"/>
    </row>
    <row r="1643" spans="1:11" x14ac:dyDescent="0.3">
      <c r="A1643" s="5" t="str">
        <f>IF(D1643="","",COUNTIF($D$5:D1643,"?*"))</f>
        <v/>
      </c>
      <c r="B1643" s="6"/>
      <c r="C1643" s="5" t="str">
        <f>IF(B1643="","",INDEX({"Ocak","Şubat","Mart","Nisan","Mayıs","Haziran","Temmuz","Ağustos","Eylül","Ekim","Kasım","Aralık"},MONTH(B1643)))</f>
        <v/>
      </c>
      <c r="D1643" s="2"/>
      <c r="E1643" s="5" t="str">
        <f>IFERROR(INDEX('Malzeme Tanımlama'!$B$5:$B$300,MATCH(D1643,'Malzeme Tanımlama'!$A$5:$A$300,0)),"")</f>
        <v/>
      </c>
      <c r="F1643" s="2"/>
      <c r="G1643" s="5"/>
      <c r="H1643" s="5" t="str">
        <f>IFERROR(INDEX('Malzeme Tanımlama'!$D$5:$D$300,MATCH(D1643,'Malzeme Tanımlama'!$A$5:$A$300,0)),"")</f>
        <v/>
      </c>
      <c r="I1643" s="2"/>
      <c r="J1643" s="2"/>
      <c r="K1643" s="2"/>
    </row>
    <row r="1644" spans="1:11" x14ac:dyDescent="0.3">
      <c r="A1644" s="5" t="str">
        <f>IF(D1644="","",COUNTIF($D$5:D1644,"?*"))</f>
        <v/>
      </c>
      <c r="B1644" s="6"/>
      <c r="C1644" s="5" t="str">
        <f>IF(B1644="","",INDEX({"Ocak","Şubat","Mart","Nisan","Mayıs","Haziran","Temmuz","Ağustos","Eylül","Ekim","Kasım","Aralık"},MONTH(B1644)))</f>
        <v/>
      </c>
      <c r="D1644" s="2"/>
      <c r="E1644" s="5" t="str">
        <f>IFERROR(INDEX('Malzeme Tanımlama'!$B$5:$B$300,MATCH(D1644,'Malzeme Tanımlama'!$A$5:$A$300,0)),"")</f>
        <v/>
      </c>
      <c r="F1644" s="2"/>
      <c r="G1644" s="5"/>
      <c r="H1644" s="5" t="str">
        <f>IFERROR(INDEX('Malzeme Tanımlama'!$D$5:$D$300,MATCH(D1644,'Malzeme Tanımlama'!$A$5:$A$300,0)),"")</f>
        <v/>
      </c>
      <c r="I1644" s="2"/>
      <c r="J1644" s="2"/>
      <c r="K1644" s="2"/>
    </row>
    <row r="1645" spans="1:11" x14ac:dyDescent="0.3">
      <c r="A1645" s="5" t="str">
        <f>IF(D1645="","",COUNTIF($D$5:D1645,"?*"))</f>
        <v/>
      </c>
      <c r="B1645" s="6"/>
      <c r="C1645" s="5" t="str">
        <f>IF(B1645="","",INDEX({"Ocak","Şubat","Mart","Nisan","Mayıs","Haziran","Temmuz","Ağustos","Eylül","Ekim","Kasım","Aralık"},MONTH(B1645)))</f>
        <v/>
      </c>
      <c r="D1645" s="2"/>
      <c r="E1645" s="5" t="str">
        <f>IFERROR(INDEX('Malzeme Tanımlama'!$B$5:$B$300,MATCH(D1645,'Malzeme Tanımlama'!$A$5:$A$300,0)),"")</f>
        <v/>
      </c>
      <c r="F1645" s="2"/>
      <c r="G1645" s="5"/>
      <c r="H1645" s="5" t="str">
        <f>IFERROR(INDEX('Malzeme Tanımlama'!$D$5:$D$300,MATCH(D1645,'Malzeme Tanımlama'!$A$5:$A$300,0)),"")</f>
        <v/>
      </c>
      <c r="I1645" s="2"/>
      <c r="J1645" s="2"/>
      <c r="K1645" s="2"/>
    </row>
    <row r="1646" spans="1:11" x14ac:dyDescent="0.3">
      <c r="A1646" s="5" t="str">
        <f>IF(D1646="","",COUNTIF($D$5:D1646,"?*"))</f>
        <v/>
      </c>
      <c r="B1646" s="6"/>
      <c r="C1646" s="5" t="str">
        <f>IF(B1646="","",INDEX({"Ocak","Şubat","Mart","Nisan","Mayıs","Haziran","Temmuz","Ağustos","Eylül","Ekim","Kasım","Aralık"},MONTH(B1646)))</f>
        <v/>
      </c>
      <c r="D1646" s="2"/>
      <c r="E1646" s="5" t="str">
        <f>IFERROR(INDEX('Malzeme Tanımlama'!$B$5:$B$300,MATCH(D1646,'Malzeme Tanımlama'!$A$5:$A$300,0)),"")</f>
        <v/>
      </c>
      <c r="F1646" s="2"/>
      <c r="G1646" s="5"/>
      <c r="H1646" s="5" t="str">
        <f>IFERROR(INDEX('Malzeme Tanımlama'!$D$5:$D$300,MATCH(D1646,'Malzeme Tanımlama'!$A$5:$A$300,0)),"")</f>
        <v/>
      </c>
      <c r="I1646" s="2"/>
      <c r="J1646" s="2"/>
      <c r="K1646" s="2"/>
    </row>
    <row r="1647" spans="1:11" x14ac:dyDescent="0.3">
      <c r="A1647" s="5" t="str">
        <f>IF(D1647="","",COUNTIF($D$5:D1647,"?*"))</f>
        <v/>
      </c>
      <c r="B1647" s="6"/>
      <c r="C1647" s="5" t="str">
        <f>IF(B1647="","",INDEX({"Ocak","Şubat","Mart","Nisan","Mayıs","Haziran","Temmuz","Ağustos","Eylül","Ekim","Kasım","Aralık"},MONTH(B1647)))</f>
        <v/>
      </c>
      <c r="D1647" s="2"/>
      <c r="E1647" s="5" t="str">
        <f>IFERROR(INDEX('Malzeme Tanımlama'!$B$5:$B$300,MATCH(D1647,'Malzeme Tanımlama'!$A$5:$A$300,0)),"")</f>
        <v/>
      </c>
      <c r="F1647" s="2"/>
      <c r="G1647" s="5"/>
      <c r="H1647" s="5" t="str">
        <f>IFERROR(INDEX('Malzeme Tanımlama'!$D$5:$D$300,MATCH(D1647,'Malzeme Tanımlama'!$A$5:$A$300,0)),"")</f>
        <v/>
      </c>
      <c r="I1647" s="2"/>
      <c r="J1647" s="2"/>
      <c r="K1647" s="2"/>
    </row>
    <row r="1648" spans="1:11" x14ac:dyDescent="0.3">
      <c r="A1648" s="5" t="str">
        <f>IF(D1648="","",COUNTIF($D$5:D1648,"?*"))</f>
        <v/>
      </c>
      <c r="B1648" s="6"/>
      <c r="C1648" s="5" t="str">
        <f>IF(B1648="","",INDEX({"Ocak","Şubat","Mart","Nisan","Mayıs","Haziran","Temmuz","Ağustos","Eylül","Ekim","Kasım","Aralık"},MONTH(B1648)))</f>
        <v/>
      </c>
      <c r="D1648" s="2"/>
      <c r="E1648" s="5" t="str">
        <f>IFERROR(INDEX('Malzeme Tanımlama'!$B$5:$B$300,MATCH(D1648,'Malzeme Tanımlama'!$A$5:$A$300,0)),"")</f>
        <v/>
      </c>
      <c r="F1648" s="2"/>
      <c r="G1648" s="5"/>
      <c r="H1648" s="5" t="str">
        <f>IFERROR(INDEX('Malzeme Tanımlama'!$D$5:$D$300,MATCH(D1648,'Malzeme Tanımlama'!$A$5:$A$300,0)),"")</f>
        <v/>
      </c>
      <c r="I1648" s="2"/>
      <c r="J1648" s="2"/>
      <c r="K1648" s="2"/>
    </row>
    <row r="1649" spans="1:11" x14ac:dyDescent="0.3">
      <c r="A1649" s="5" t="str">
        <f>IF(D1649="","",COUNTIF($D$5:D1649,"?*"))</f>
        <v/>
      </c>
      <c r="B1649" s="6"/>
      <c r="C1649" s="5" t="str">
        <f>IF(B1649="","",INDEX({"Ocak","Şubat","Mart","Nisan","Mayıs","Haziran","Temmuz","Ağustos","Eylül","Ekim","Kasım","Aralık"},MONTH(B1649)))</f>
        <v/>
      </c>
      <c r="D1649" s="2"/>
      <c r="E1649" s="5" t="str">
        <f>IFERROR(INDEX('Malzeme Tanımlama'!$B$5:$B$300,MATCH(D1649,'Malzeme Tanımlama'!$A$5:$A$300,0)),"")</f>
        <v/>
      </c>
      <c r="F1649" s="2"/>
      <c r="G1649" s="5"/>
      <c r="H1649" s="5" t="str">
        <f>IFERROR(INDEX('Malzeme Tanımlama'!$D$5:$D$300,MATCH(D1649,'Malzeme Tanımlama'!$A$5:$A$300,0)),"")</f>
        <v/>
      </c>
      <c r="I1649" s="2"/>
      <c r="J1649" s="2"/>
      <c r="K1649" s="2"/>
    </row>
    <row r="1650" spans="1:11" x14ac:dyDescent="0.3">
      <c r="A1650" s="5" t="str">
        <f>IF(D1650="","",COUNTIF($D$5:D1650,"?*"))</f>
        <v/>
      </c>
      <c r="B1650" s="6"/>
      <c r="C1650" s="5" t="str">
        <f>IF(B1650="","",INDEX({"Ocak","Şubat","Mart","Nisan","Mayıs","Haziran","Temmuz","Ağustos","Eylül","Ekim","Kasım","Aralık"},MONTH(B1650)))</f>
        <v/>
      </c>
      <c r="D1650" s="2"/>
      <c r="E1650" s="5" t="str">
        <f>IFERROR(INDEX('Malzeme Tanımlama'!$B$5:$B$300,MATCH(D1650,'Malzeme Tanımlama'!$A$5:$A$300,0)),"")</f>
        <v/>
      </c>
      <c r="F1650" s="2"/>
      <c r="G1650" s="5"/>
      <c r="H1650" s="5" t="str">
        <f>IFERROR(INDEX('Malzeme Tanımlama'!$D$5:$D$300,MATCH(D1650,'Malzeme Tanımlama'!$A$5:$A$300,0)),"")</f>
        <v/>
      </c>
      <c r="I1650" s="2"/>
      <c r="J1650" s="2"/>
      <c r="K1650" s="2"/>
    </row>
    <row r="1651" spans="1:11" x14ac:dyDescent="0.3">
      <c r="A1651" s="5" t="str">
        <f>IF(D1651="","",COUNTIF($D$5:D1651,"?*"))</f>
        <v/>
      </c>
      <c r="B1651" s="6"/>
      <c r="C1651" s="5" t="str">
        <f>IF(B1651="","",INDEX({"Ocak","Şubat","Mart","Nisan","Mayıs","Haziran","Temmuz","Ağustos","Eylül","Ekim","Kasım","Aralık"},MONTH(B1651)))</f>
        <v/>
      </c>
      <c r="D1651" s="2"/>
      <c r="E1651" s="5" t="str">
        <f>IFERROR(INDEX('Malzeme Tanımlama'!$B$5:$B$300,MATCH(D1651,'Malzeme Tanımlama'!$A$5:$A$300,0)),"")</f>
        <v/>
      </c>
      <c r="F1651" s="2"/>
      <c r="G1651" s="5"/>
      <c r="H1651" s="5" t="str">
        <f>IFERROR(INDEX('Malzeme Tanımlama'!$D$5:$D$300,MATCH(D1651,'Malzeme Tanımlama'!$A$5:$A$300,0)),"")</f>
        <v/>
      </c>
      <c r="I1651" s="2"/>
      <c r="J1651" s="2"/>
      <c r="K1651" s="2"/>
    </row>
    <row r="1652" spans="1:11" x14ac:dyDescent="0.3">
      <c r="A1652" s="5" t="str">
        <f>IF(D1652="","",COUNTIF($D$5:D1652,"?*"))</f>
        <v/>
      </c>
      <c r="B1652" s="6"/>
      <c r="C1652" s="5" t="str">
        <f>IF(B1652="","",INDEX({"Ocak","Şubat","Mart","Nisan","Mayıs","Haziran","Temmuz","Ağustos","Eylül","Ekim","Kasım","Aralık"},MONTH(B1652)))</f>
        <v/>
      </c>
      <c r="D1652" s="2"/>
      <c r="E1652" s="5" t="str">
        <f>IFERROR(INDEX('Malzeme Tanımlama'!$B$5:$B$300,MATCH(D1652,'Malzeme Tanımlama'!$A$5:$A$300,0)),"")</f>
        <v/>
      </c>
      <c r="F1652" s="2"/>
      <c r="G1652" s="5"/>
      <c r="H1652" s="5" t="str">
        <f>IFERROR(INDEX('Malzeme Tanımlama'!$D$5:$D$300,MATCH(D1652,'Malzeme Tanımlama'!$A$5:$A$300,0)),"")</f>
        <v/>
      </c>
      <c r="I1652" s="2"/>
      <c r="J1652" s="2"/>
      <c r="K1652" s="2"/>
    </row>
    <row r="1653" spans="1:11" x14ac:dyDescent="0.3">
      <c r="A1653" s="5" t="str">
        <f>IF(D1653="","",COUNTIF($D$5:D1653,"?*"))</f>
        <v/>
      </c>
      <c r="B1653" s="6"/>
      <c r="C1653" s="5" t="str">
        <f>IF(B1653="","",INDEX({"Ocak","Şubat","Mart","Nisan","Mayıs","Haziran","Temmuz","Ağustos","Eylül","Ekim","Kasım","Aralık"},MONTH(B1653)))</f>
        <v/>
      </c>
      <c r="D1653" s="2"/>
      <c r="E1653" s="5" t="str">
        <f>IFERROR(INDEX('Malzeme Tanımlama'!$B$5:$B$300,MATCH(D1653,'Malzeme Tanımlama'!$A$5:$A$300,0)),"")</f>
        <v/>
      </c>
      <c r="F1653" s="2"/>
      <c r="G1653" s="5"/>
      <c r="H1653" s="5" t="str">
        <f>IFERROR(INDEX('Malzeme Tanımlama'!$D$5:$D$300,MATCH(D1653,'Malzeme Tanımlama'!$A$5:$A$300,0)),"")</f>
        <v/>
      </c>
      <c r="I1653" s="2"/>
      <c r="J1653" s="2"/>
      <c r="K1653" s="2"/>
    </row>
    <row r="1654" spans="1:11" x14ac:dyDescent="0.3">
      <c r="A1654" s="5" t="str">
        <f>IF(D1654="","",COUNTIF($D$5:D1654,"?*"))</f>
        <v/>
      </c>
      <c r="B1654" s="6"/>
      <c r="C1654" s="5" t="str">
        <f>IF(B1654="","",INDEX({"Ocak","Şubat","Mart","Nisan","Mayıs","Haziran","Temmuz","Ağustos","Eylül","Ekim","Kasım","Aralık"},MONTH(B1654)))</f>
        <v/>
      </c>
      <c r="D1654" s="2"/>
      <c r="E1654" s="5" t="str">
        <f>IFERROR(INDEX('Malzeme Tanımlama'!$B$5:$B$300,MATCH(D1654,'Malzeme Tanımlama'!$A$5:$A$300,0)),"")</f>
        <v/>
      </c>
      <c r="F1654" s="2"/>
      <c r="G1654" s="5"/>
      <c r="H1654" s="5" t="str">
        <f>IFERROR(INDEX('Malzeme Tanımlama'!$D$5:$D$300,MATCH(D1654,'Malzeme Tanımlama'!$A$5:$A$300,0)),"")</f>
        <v/>
      </c>
      <c r="I1654" s="2"/>
      <c r="J1654" s="2"/>
      <c r="K1654" s="2"/>
    </row>
    <row r="1655" spans="1:11" x14ac:dyDescent="0.3">
      <c r="A1655" s="5" t="str">
        <f>IF(D1655="","",COUNTIF($D$5:D1655,"?*"))</f>
        <v/>
      </c>
      <c r="B1655" s="6"/>
      <c r="C1655" s="5" t="str">
        <f>IF(B1655="","",INDEX({"Ocak","Şubat","Mart","Nisan","Mayıs","Haziran","Temmuz","Ağustos","Eylül","Ekim","Kasım","Aralık"},MONTH(B1655)))</f>
        <v/>
      </c>
      <c r="D1655" s="2"/>
      <c r="E1655" s="5" t="str">
        <f>IFERROR(INDEX('Malzeme Tanımlama'!$B$5:$B$300,MATCH(D1655,'Malzeme Tanımlama'!$A$5:$A$300,0)),"")</f>
        <v/>
      </c>
      <c r="F1655" s="2"/>
      <c r="G1655" s="5"/>
      <c r="H1655" s="5" t="str">
        <f>IFERROR(INDEX('Malzeme Tanımlama'!$D$5:$D$300,MATCH(D1655,'Malzeme Tanımlama'!$A$5:$A$300,0)),"")</f>
        <v/>
      </c>
      <c r="I1655" s="2"/>
      <c r="J1655" s="2"/>
      <c r="K1655" s="2"/>
    </row>
    <row r="1656" spans="1:11" x14ac:dyDescent="0.3">
      <c r="A1656" s="5" t="str">
        <f>IF(D1656="","",COUNTIF($D$5:D1656,"?*"))</f>
        <v/>
      </c>
      <c r="B1656" s="6"/>
      <c r="C1656" s="5" t="str">
        <f>IF(B1656="","",INDEX({"Ocak","Şubat","Mart","Nisan","Mayıs","Haziran","Temmuz","Ağustos","Eylül","Ekim","Kasım","Aralık"},MONTH(B1656)))</f>
        <v/>
      </c>
      <c r="D1656" s="2"/>
      <c r="E1656" s="5" t="str">
        <f>IFERROR(INDEX('Malzeme Tanımlama'!$B$5:$B$300,MATCH(D1656,'Malzeme Tanımlama'!$A$5:$A$300,0)),"")</f>
        <v/>
      </c>
      <c r="F1656" s="2"/>
      <c r="G1656" s="5"/>
      <c r="H1656" s="5" t="str">
        <f>IFERROR(INDEX('Malzeme Tanımlama'!$D$5:$D$300,MATCH(D1656,'Malzeme Tanımlama'!$A$5:$A$300,0)),"")</f>
        <v/>
      </c>
      <c r="I1656" s="2"/>
      <c r="J1656" s="2"/>
      <c r="K1656" s="2"/>
    </row>
    <row r="1657" spans="1:11" x14ac:dyDescent="0.3">
      <c r="A1657" s="5" t="str">
        <f>IF(D1657="","",COUNTIF($D$5:D1657,"?*"))</f>
        <v/>
      </c>
      <c r="B1657" s="6"/>
      <c r="C1657" s="5" t="str">
        <f>IF(B1657="","",INDEX({"Ocak","Şubat","Mart","Nisan","Mayıs","Haziran","Temmuz","Ağustos","Eylül","Ekim","Kasım","Aralık"},MONTH(B1657)))</f>
        <v/>
      </c>
      <c r="D1657" s="2"/>
      <c r="E1657" s="5" t="str">
        <f>IFERROR(INDEX('Malzeme Tanımlama'!$B$5:$B$300,MATCH(D1657,'Malzeme Tanımlama'!$A$5:$A$300,0)),"")</f>
        <v/>
      </c>
      <c r="F1657" s="2"/>
      <c r="G1657" s="5"/>
      <c r="H1657" s="5" t="str">
        <f>IFERROR(INDEX('Malzeme Tanımlama'!$D$5:$D$300,MATCH(D1657,'Malzeme Tanımlama'!$A$5:$A$300,0)),"")</f>
        <v/>
      </c>
      <c r="I1657" s="2"/>
      <c r="J1657" s="2"/>
      <c r="K1657" s="2"/>
    </row>
    <row r="1658" spans="1:11" x14ac:dyDescent="0.3">
      <c r="A1658" s="5" t="str">
        <f>IF(D1658="","",COUNTIF($D$5:D1658,"?*"))</f>
        <v/>
      </c>
      <c r="B1658" s="6"/>
      <c r="C1658" s="5" t="str">
        <f>IF(B1658="","",INDEX({"Ocak","Şubat","Mart","Nisan","Mayıs","Haziran","Temmuz","Ağustos","Eylül","Ekim","Kasım","Aralık"},MONTH(B1658)))</f>
        <v/>
      </c>
      <c r="D1658" s="2"/>
      <c r="E1658" s="5" t="str">
        <f>IFERROR(INDEX('Malzeme Tanımlama'!$B$5:$B$300,MATCH(D1658,'Malzeme Tanımlama'!$A$5:$A$300,0)),"")</f>
        <v/>
      </c>
      <c r="F1658" s="2"/>
      <c r="G1658" s="5"/>
      <c r="H1658" s="5" t="str">
        <f>IFERROR(INDEX('Malzeme Tanımlama'!$D$5:$D$300,MATCH(D1658,'Malzeme Tanımlama'!$A$5:$A$300,0)),"")</f>
        <v/>
      </c>
      <c r="I1658" s="2"/>
      <c r="J1658" s="2"/>
      <c r="K1658" s="2"/>
    </row>
    <row r="1659" spans="1:11" x14ac:dyDescent="0.3">
      <c r="A1659" s="5" t="str">
        <f>IF(D1659="","",COUNTIF($D$5:D1659,"?*"))</f>
        <v/>
      </c>
      <c r="B1659" s="6"/>
      <c r="C1659" s="5" t="str">
        <f>IF(B1659="","",INDEX({"Ocak","Şubat","Mart","Nisan","Mayıs","Haziran","Temmuz","Ağustos","Eylül","Ekim","Kasım","Aralık"},MONTH(B1659)))</f>
        <v/>
      </c>
      <c r="D1659" s="2"/>
      <c r="E1659" s="5" t="str">
        <f>IFERROR(INDEX('Malzeme Tanımlama'!$B$5:$B$300,MATCH(D1659,'Malzeme Tanımlama'!$A$5:$A$300,0)),"")</f>
        <v/>
      </c>
      <c r="F1659" s="2"/>
      <c r="G1659" s="5"/>
      <c r="H1659" s="5" t="str">
        <f>IFERROR(INDEX('Malzeme Tanımlama'!$D$5:$D$300,MATCH(D1659,'Malzeme Tanımlama'!$A$5:$A$300,0)),"")</f>
        <v/>
      </c>
      <c r="I1659" s="2"/>
      <c r="J1659" s="2"/>
      <c r="K1659" s="2"/>
    </row>
    <row r="1660" spans="1:11" x14ac:dyDescent="0.3">
      <c r="A1660" s="5" t="str">
        <f>IF(D1660="","",COUNTIF($D$5:D1660,"?*"))</f>
        <v/>
      </c>
      <c r="B1660" s="6"/>
      <c r="C1660" s="5" t="str">
        <f>IF(B1660="","",INDEX({"Ocak","Şubat","Mart","Nisan","Mayıs","Haziran","Temmuz","Ağustos","Eylül","Ekim","Kasım","Aralık"},MONTH(B1660)))</f>
        <v/>
      </c>
      <c r="D1660" s="2"/>
      <c r="E1660" s="5" t="str">
        <f>IFERROR(INDEX('Malzeme Tanımlama'!$B$5:$B$300,MATCH(D1660,'Malzeme Tanımlama'!$A$5:$A$300,0)),"")</f>
        <v/>
      </c>
      <c r="F1660" s="2"/>
      <c r="G1660" s="5"/>
      <c r="H1660" s="5" t="str">
        <f>IFERROR(INDEX('Malzeme Tanımlama'!$D$5:$D$300,MATCH(D1660,'Malzeme Tanımlama'!$A$5:$A$300,0)),"")</f>
        <v/>
      </c>
      <c r="I1660" s="2"/>
      <c r="J1660" s="2"/>
      <c r="K1660" s="2"/>
    </row>
    <row r="1661" spans="1:11" x14ac:dyDescent="0.3">
      <c r="A1661" s="5" t="str">
        <f>IF(D1661="","",COUNTIF($D$5:D1661,"?*"))</f>
        <v/>
      </c>
      <c r="B1661" s="6"/>
      <c r="C1661" s="5" t="str">
        <f>IF(B1661="","",INDEX({"Ocak","Şubat","Mart","Nisan","Mayıs","Haziran","Temmuz","Ağustos","Eylül","Ekim","Kasım","Aralık"},MONTH(B1661)))</f>
        <v/>
      </c>
      <c r="D1661" s="2"/>
      <c r="E1661" s="5" t="str">
        <f>IFERROR(INDEX('Malzeme Tanımlama'!$B$5:$B$300,MATCH(D1661,'Malzeme Tanımlama'!$A$5:$A$300,0)),"")</f>
        <v/>
      </c>
      <c r="F1661" s="2"/>
      <c r="G1661" s="5"/>
      <c r="H1661" s="5" t="str">
        <f>IFERROR(INDEX('Malzeme Tanımlama'!$D$5:$D$300,MATCH(D1661,'Malzeme Tanımlama'!$A$5:$A$300,0)),"")</f>
        <v/>
      </c>
      <c r="I1661" s="2"/>
      <c r="J1661" s="2"/>
      <c r="K1661" s="2"/>
    </row>
    <row r="1662" spans="1:11" x14ac:dyDescent="0.3">
      <c r="A1662" s="5" t="str">
        <f>IF(D1662="","",COUNTIF($D$5:D1662,"?*"))</f>
        <v/>
      </c>
      <c r="B1662" s="6"/>
      <c r="C1662" s="5" t="str">
        <f>IF(B1662="","",INDEX({"Ocak","Şubat","Mart","Nisan","Mayıs","Haziran","Temmuz","Ağustos","Eylül","Ekim","Kasım","Aralık"},MONTH(B1662)))</f>
        <v/>
      </c>
      <c r="D1662" s="2"/>
      <c r="E1662" s="5" t="str">
        <f>IFERROR(INDEX('Malzeme Tanımlama'!$B$5:$B$300,MATCH(D1662,'Malzeme Tanımlama'!$A$5:$A$300,0)),"")</f>
        <v/>
      </c>
      <c r="F1662" s="2"/>
      <c r="G1662" s="5"/>
      <c r="H1662" s="5" t="str">
        <f>IFERROR(INDEX('Malzeme Tanımlama'!$D$5:$D$300,MATCH(D1662,'Malzeme Tanımlama'!$A$5:$A$300,0)),"")</f>
        <v/>
      </c>
      <c r="I1662" s="2"/>
      <c r="J1662" s="2"/>
      <c r="K1662" s="2"/>
    </row>
    <row r="1663" spans="1:11" x14ac:dyDescent="0.3">
      <c r="A1663" s="5" t="str">
        <f>IF(D1663="","",COUNTIF($D$5:D1663,"?*"))</f>
        <v/>
      </c>
      <c r="B1663" s="6"/>
      <c r="C1663" s="5" t="str">
        <f>IF(B1663="","",INDEX({"Ocak","Şubat","Mart","Nisan","Mayıs","Haziran","Temmuz","Ağustos","Eylül","Ekim","Kasım","Aralık"},MONTH(B1663)))</f>
        <v/>
      </c>
      <c r="D1663" s="2"/>
      <c r="E1663" s="5" t="str">
        <f>IFERROR(INDEX('Malzeme Tanımlama'!$B$5:$B$300,MATCH(D1663,'Malzeme Tanımlama'!$A$5:$A$300,0)),"")</f>
        <v/>
      </c>
      <c r="F1663" s="2"/>
      <c r="G1663" s="5"/>
      <c r="H1663" s="5" t="str">
        <f>IFERROR(INDEX('Malzeme Tanımlama'!$D$5:$D$300,MATCH(D1663,'Malzeme Tanımlama'!$A$5:$A$300,0)),"")</f>
        <v/>
      </c>
      <c r="I1663" s="2"/>
      <c r="J1663" s="2"/>
      <c r="K1663" s="2"/>
    </row>
    <row r="1664" spans="1:11" x14ac:dyDescent="0.3">
      <c r="A1664" s="5" t="str">
        <f>IF(D1664="","",COUNTIF($D$5:D1664,"?*"))</f>
        <v/>
      </c>
      <c r="B1664" s="6"/>
      <c r="C1664" s="5" t="str">
        <f>IF(B1664="","",INDEX({"Ocak","Şubat","Mart","Nisan","Mayıs","Haziran","Temmuz","Ağustos","Eylül","Ekim","Kasım","Aralık"},MONTH(B1664)))</f>
        <v/>
      </c>
      <c r="D1664" s="2"/>
      <c r="E1664" s="5" t="str">
        <f>IFERROR(INDEX('Malzeme Tanımlama'!$B$5:$B$300,MATCH(D1664,'Malzeme Tanımlama'!$A$5:$A$300,0)),"")</f>
        <v/>
      </c>
      <c r="F1664" s="2"/>
      <c r="G1664" s="5"/>
      <c r="H1664" s="5" t="str">
        <f>IFERROR(INDEX('Malzeme Tanımlama'!$D$5:$D$300,MATCH(D1664,'Malzeme Tanımlama'!$A$5:$A$300,0)),"")</f>
        <v/>
      </c>
      <c r="I1664" s="2"/>
      <c r="J1664" s="2"/>
      <c r="K1664" s="2"/>
    </row>
    <row r="1665" spans="1:11" x14ac:dyDescent="0.3">
      <c r="A1665" s="5" t="str">
        <f>IF(D1665="","",COUNTIF($D$5:D1665,"?*"))</f>
        <v/>
      </c>
      <c r="B1665" s="6"/>
      <c r="C1665" s="5" t="str">
        <f>IF(B1665="","",INDEX({"Ocak","Şubat","Mart","Nisan","Mayıs","Haziran","Temmuz","Ağustos","Eylül","Ekim","Kasım","Aralık"},MONTH(B1665)))</f>
        <v/>
      </c>
      <c r="D1665" s="2"/>
      <c r="E1665" s="5" t="str">
        <f>IFERROR(INDEX('Malzeme Tanımlama'!$B$5:$B$300,MATCH(D1665,'Malzeme Tanımlama'!$A$5:$A$300,0)),"")</f>
        <v/>
      </c>
      <c r="F1665" s="2"/>
      <c r="G1665" s="5"/>
      <c r="H1665" s="5" t="str">
        <f>IFERROR(INDEX('Malzeme Tanımlama'!$D$5:$D$300,MATCH(D1665,'Malzeme Tanımlama'!$A$5:$A$300,0)),"")</f>
        <v/>
      </c>
      <c r="I1665" s="2"/>
      <c r="J1665" s="2"/>
      <c r="K1665" s="2"/>
    </row>
    <row r="1666" spans="1:11" x14ac:dyDescent="0.3">
      <c r="A1666" s="5" t="str">
        <f>IF(D1666="","",COUNTIF($D$5:D1666,"?*"))</f>
        <v/>
      </c>
      <c r="B1666" s="6"/>
      <c r="C1666" s="5" t="str">
        <f>IF(B1666="","",INDEX({"Ocak","Şubat","Mart","Nisan","Mayıs","Haziran","Temmuz","Ağustos","Eylül","Ekim","Kasım","Aralık"},MONTH(B1666)))</f>
        <v/>
      </c>
      <c r="D1666" s="2"/>
      <c r="E1666" s="5" t="str">
        <f>IFERROR(INDEX('Malzeme Tanımlama'!$B$5:$B$300,MATCH(D1666,'Malzeme Tanımlama'!$A$5:$A$300,0)),"")</f>
        <v/>
      </c>
      <c r="F1666" s="2"/>
      <c r="G1666" s="5"/>
      <c r="H1666" s="5" t="str">
        <f>IFERROR(INDEX('Malzeme Tanımlama'!$D$5:$D$300,MATCH(D1666,'Malzeme Tanımlama'!$A$5:$A$300,0)),"")</f>
        <v/>
      </c>
      <c r="I1666" s="2"/>
      <c r="J1666" s="2"/>
      <c r="K1666" s="2"/>
    </row>
    <row r="1667" spans="1:11" x14ac:dyDescent="0.3">
      <c r="A1667" s="5" t="str">
        <f>IF(D1667="","",COUNTIF($D$5:D1667,"?*"))</f>
        <v/>
      </c>
      <c r="B1667" s="6"/>
      <c r="C1667" s="5" t="str">
        <f>IF(B1667="","",INDEX({"Ocak","Şubat","Mart","Nisan","Mayıs","Haziran","Temmuz","Ağustos","Eylül","Ekim","Kasım","Aralık"},MONTH(B1667)))</f>
        <v/>
      </c>
      <c r="D1667" s="2"/>
      <c r="E1667" s="5" t="str">
        <f>IFERROR(INDEX('Malzeme Tanımlama'!$B$5:$B$300,MATCH(D1667,'Malzeme Tanımlama'!$A$5:$A$300,0)),"")</f>
        <v/>
      </c>
      <c r="F1667" s="2"/>
      <c r="G1667" s="5"/>
      <c r="H1667" s="5" t="str">
        <f>IFERROR(INDEX('Malzeme Tanımlama'!$D$5:$D$300,MATCH(D1667,'Malzeme Tanımlama'!$A$5:$A$300,0)),"")</f>
        <v/>
      </c>
      <c r="I1667" s="2"/>
      <c r="J1667" s="2"/>
      <c r="K1667" s="2"/>
    </row>
    <row r="1668" spans="1:11" x14ac:dyDescent="0.3">
      <c r="A1668" s="5" t="str">
        <f>IF(D1668="","",COUNTIF($D$5:D1668,"?*"))</f>
        <v/>
      </c>
      <c r="B1668" s="6"/>
      <c r="C1668" s="5" t="str">
        <f>IF(B1668="","",INDEX({"Ocak","Şubat","Mart","Nisan","Mayıs","Haziran","Temmuz","Ağustos","Eylül","Ekim","Kasım","Aralık"},MONTH(B1668)))</f>
        <v/>
      </c>
      <c r="D1668" s="2"/>
      <c r="E1668" s="5" t="str">
        <f>IFERROR(INDEX('Malzeme Tanımlama'!$B$5:$B$300,MATCH(D1668,'Malzeme Tanımlama'!$A$5:$A$300,0)),"")</f>
        <v/>
      </c>
      <c r="F1668" s="2"/>
      <c r="G1668" s="5"/>
      <c r="H1668" s="5" t="str">
        <f>IFERROR(INDEX('Malzeme Tanımlama'!$D$5:$D$300,MATCH(D1668,'Malzeme Tanımlama'!$A$5:$A$300,0)),"")</f>
        <v/>
      </c>
      <c r="I1668" s="2"/>
      <c r="J1668" s="2"/>
      <c r="K1668" s="2"/>
    </row>
    <row r="1669" spans="1:11" x14ac:dyDescent="0.3">
      <c r="A1669" s="5" t="str">
        <f>IF(D1669="","",COUNTIF($D$5:D1669,"?*"))</f>
        <v/>
      </c>
      <c r="B1669" s="6"/>
      <c r="C1669" s="5" t="str">
        <f>IF(B1669="","",INDEX({"Ocak","Şubat","Mart","Nisan","Mayıs","Haziran","Temmuz","Ağustos","Eylül","Ekim","Kasım","Aralık"},MONTH(B1669)))</f>
        <v/>
      </c>
      <c r="D1669" s="2"/>
      <c r="E1669" s="5" t="str">
        <f>IFERROR(INDEX('Malzeme Tanımlama'!$B$5:$B$300,MATCH(D1669,'Malzeme Tanımlama'!$A$5:$A$300,0)),"")</f>
        <v/>
      </c>
      <c r="F1669" s="2"/>
      <c r="G1669" s="5"/>
      <c r="H1669" s="5" t="str">
        <f>IFERROR(INDEX('Malzeme Tanımlama'!$D$5:$D$300,MATCH(D1669,'Malzeme Tanımlama'!$A$5:$A$300,0)),"")</f>
        <v/>
      </c>
      <c r="I1669" s="2"/>
      <c r="J1669" s="2"/>
      <c r="K1669" s="2"/>
    </row>
    <row r="1670" spans="1:11" x14ac:dyDescent="0.3">
      <c r="A1670" s="5" t="str">
        <f>IF(D1670="","",COUNTIF($D$5:D1670,"?*"))</f>
        <v/>
      </c>
      <c r="B1670" s="6"/>
      <c r="C1670" s="5" t="str">
        <f>IF(B1670="","",INDEX({"Ocak","Şubat","Mart","Nisan","Mayıs","Haziran","Temmuz","Ağustos","Eylül","Ekim","Kasım","Aralık"},MONTH(B1670)))</f>
        <v/>
      </c>
      <c r="D1670" s="2"/>
      <c r="E1670" s="5" t="str">
        <f>IFERROR(INDEX('Malzeme Tanımlama'!$B$5:$B$300,MATCH(D1670,'Malzeme Tanımlama'!$A$5:$A$300,0)),"")</f>
        <v/>
      </c>
      <c r="F1670" s="2"/>
      <c r="G1670" s="5"/>
      <c r="H1670" s="5" t="str">
        <f>IFERROR(INDEX('Malzeme Tanımlama'!$D$5:$D$300,MATCH(D1670,'Malzeme Tanımlama'!$A$5:$A$300,0)),"")</f>
        <v/>
      </c>
      <c r="I1670" s="2"/>
      <c r="J1670" s="2"/>
      <c r="K1670" s="2"/>
    </row>
    <row r="1671" spans="1:11" x14ac:dyDescent="0.3">
      <c r="A1671" s="5" t="str">
        <f>IF(D1671="","",COUNTIF($D$5:D1671,"?*"))</f>
        <v/>
      </c>
      <c r="B1671" s="6"/>
      <c r="C1671" s="5" t="str">
        <f>IF(B1671="","",INDEX({"Ocak","Şubat","Mart","Nisan","Mayıs","Haziran","Temmuz","Ağustos","Eylül","Ekim","Kasım","Aralık"},MONTH(B1671)))</f>
        <v/>
      </c>
      <c r="D1671" s="2"/>
      <c r="E1671" s="5" t="str">
        <f>IFERROR(INDEX('Malzeme Tanımlama'!$B$5:$B$300,MATCH(D1671,'Malzeme Tanımlama'!$A$5:$A$300,0)),"")</f>
        <v/>
      </c>
      <c r="F1671" s="2"/>
      <c r="G1671" s="5"/>
      <c r="H1671" s="5" t="str">
        <f>IFERROR(INDEX('Malzeme Tanımlama'!$D$5:$D$300,MATCH(D1671,'Malzeme Tanımlama'!$A$5:$A$300,0)),"")</f>
        <v/>
      </c>
      <c r="I1671" s="2"/>
      <c r="J1671" s="2"/>
      <c r="K1671" s="2"/>
    </row>
    <row r="1672" spans="1:11" x14ac:dyDescent="0.3">
      <c r="A1672" s="5" t="str">
        <f>IF(D1672="","",COUNTIF($D$5:D1672,"?*"))</f>
        <v/>
      </c>
      <c r="B1672" s="6"/>
      <c r="C1672" s="5" t="str">
        <f>IF(B1672="","",INDEX({"Ocak","Şubat","Mart","Nisan","Mayıs","Haziran","Temmuz","Ağustos","Eylül","Ekim","Kasım","Aralık"},MONTH(B1672)))</f>
        <v/>
      </c>
      <c r="D1672" s="2"/>
      <c r="E1672" s="5" t="str">
        <f>IFERROR(INDEX('Malzeme Tanımlama'!$B$5:$B$300,MATCH(D1672,'Malzeme Tanımlama'!$A$5:$A$300,0)),"")</f>
        <v/>
      </c>
      <c r="F1672" s="2"/>
      <c r="G1672" s="5"/>
      <c r="H1672" s="5" t="str">
        <f>IFERROR(INDEX('Malzeme Tanımlama'!$D$5:$D$300,MATCH(D1672,'Malzeme Tanımlama'!$A$5:$A$300,0)),"")</f>
        <v/>
      </c>
      <c r="I1672" s="2"/>
      <c r="J1672" s="2"/>
      <c r="K1672" s="2"/>
    </row>
    <row r="1673" spans="1:11" x14ac:dyDescent="0.3">
      <c r="A1673" s="5" t="str">
        <f>IF(D1673="","",COUNTIF($D$5:D1673,"?*"))</f>
        <v/>
      </c>
      <c r="B1673" s="6"/>
      <c r="C1673" s="5" t="str">
        <f>IF(B1673="","",INDEX({"Ocak","Şubat","Mart","Nisan","Mayıs","Haziran","Temmuz","Ağustos","Eylül","Ekim","Kasım","Aralık"},MONTH(B1673)))</f>
        <v/>
      </c>
      <c r="D1673" s="2"/>
      <c r="E1673" s="5" t="str">
        <f>IFERROR(INDEX('Malzeme Tanımlama'!$B$5:$B$300,MATCH(D1673,'Malzeme Tanımlama'!$A$5:$A$300,0)),"")</f>
        <v/>
      </c>
      <c r="F1673" s="2"/>
      <c r="G1673" s="5"/>
      <c r="H1673" s="5" t="str">
        <f>IFERROR(INDEX('Malzeme Tanımlama'!$D$5:$D$300,MATCH(D1673,'Malzeme Tanımlama'!$A$5:$A$300,0)),"")</f>
        <v/>
      </c>
      <c r="I1673" s="2"/>
      <c r="J1673" s="2"/>
      <c r="K1673" s="2"/>
    </row>
    <row r="1674" spans="1:11" x14ac:dyDescent="0.3">
      <c r="A1674" s="5" t="str">
        <f>IF(D1674="","",COUNTIF($D$5:D1674,"?*"))</f>
        <v/>
      </c>
      <c r="B1674" s="6"/>
      <c r="C1674" s="5" t="str">
        <f>IF(B1674="","",INDEX({"Ocak","Şubat","Mart","Nisan","Mayıs","Haziran","Temmuz","Ağustos","Eylül","Ekim","Kasım","Aralık"},MONTH(B1674)))</f>
        <v/>
      </c>
      <c r="D1674" s="2"/>
      <c r="E1674" s="5" t="str">
        <f>IFERROR(INDEX('Malzeme Tanımlama'!$B$5:$B$300,MATCH(D1674,'Malzeme Tanımlama'!$A$5:$A$300,0)),"")</f>
        <v/>
      </c>
      <c r="F1674" s="2"/>
      <c r="G1674" s="5"/>
      <c r="H1674" s="5" t="str">
        <f>IFERROR(INDEX('Malzeme Tanımlama'!$D$5:$D$300,MATCH(D1674,'Malzeme Tanımlama'!$A$5:$A$300,0)),"")</f>
        <v/>
      </c>
      <c r="I1674" s="2"/>
      <c r="J1674" s="2"/>
      <c r="K1674" s="2"/>
    </row>
    <row r="1675" spans="1:11" x14ac:dyDescent="0.3">
      <c r="A1675" s="5" t="str">
        <f>IF(D1675="","",COUNTIF($D$5:D1675,"?*"))</f>
        <v/>
      </c>
      <c r="B1675" s="6"/>
      <c r="C1675" s="5" t="str">
        <f>IF(B1675="","",INDEX({"Ocak","Şubat","Mart","Nisan","Mayıs","Haziran","Temmuz","Ağustos","Eylül","Ekim","Kasım","Aralık"},MONTH(B1675)))</f>
        <v/>
      </c>
      <c r="D1675" s="2"/>
      <c r="E1675" s="5" t="str">
        <f>IFERROR(INDEX('Malzeme Tanımlama'!$B$5:$B$300,MATCH(D1675,'Malzeme Tanımlama'!$A$5:$A$300,0)),"")</f>
        <v/>
      </c>
      <c r="F1675" s="2"/>
      <c r="G1675" s="5"/>
      <c r="H1675" s="5" t="str">
        <f>IFERROR(INDEX('Malzeme Tanımlama'!$D$5:$D$300,MATCH(D1675,'Malzeme Tanımlama'!$A$5:$A$300,0)),"")</f>
        <v/>
      </c>
      <c r="I1675" s="2"/>
      <c r="J1675" s="2"/>
      <c r="K1675" s="2"/>
    </row>
    <row r="1676" spans="1:11" x14ac:dyDescent="0.3">
      <c r="A1676" s="5" t="str">
        <f>IF(D1676="","",COUNTIF($D$5:D1676,"?*"))</f>
        <v/>
      </c>
      <c r="B1676" s="6"/>
      <c r="C1676" s="5" t="str">
        <f>IF(B1676="","",INDEX({"Ocak","Şubat","Mart","Nisan","Mayıs","Haziran","Temmuz","Ağustos","Eylül","Ekim","Kasım","Aralık"},MONTH(B1676)))</f>
        <v/>
      </c>
      <c r="D1676" s="2"/>
      <c r="E1676" s="5" t="str">
        <f>IFERROR(INDEX('Malzeme Tanımlama'!$B$5:$B$300,MATCH(D1676,'Malzeme Tanımlama'!$A$5:$A$300,0)),"")</f>
        <v/>
      </c>
      <c r="F1676" s="2"/>
      <c r="G1676" s="5"/>
      <c r="H1676" s="5" t="str">
        <f>IFERROR(INDEX('Malzeme Tanımlama'!$D$5:$D$300,MATCH(D1676,'Malzeme Tanımlama'!$A$5:$A$300,0)),"")</f>
        <v/>
      </c>
      <c r="I1676" s="2"/>
      <c r="J1676" s="2"/>
      <c r="K1676" s="2"/>
    </row>
    <row r="1677" spans="1:11" x14ac:dyDescent="0.3">
      <c r="A1677" s="5" t="str">
        <f>IF(D1677="","",COUNTIF($D$5:D1677,"?*"))</f>
        <v/>
      </c>
      <c r="B1677" s="6"/>
      <c r="C1677" s="5" t="str">
        <f>IF(B1677="","",INDEX({"Ocak","Şubat","Mart","Nisan","Mayıs","Haziran","Temmuz","Ağustos","Eylül","Ekim","Kasım","Aralık"},MONTH(B1677)))</f>
        <v/>
      </c>
      <c r="D1677" s="2"/>
      <c r="E1677" s="5" t="str">
        <f>IFERROR(INDEX('Malzeme Tanımlama'!$B$5:$B$300,MATCH(D1677,'Malzeme Tanımlama'!$A$5:$A$300,0)),"")</f>
        <v/>
      </c>
      <c r="F1677" s="2"/>
      <c r="G1677" s="5"/>
      <c r="H1677" s="5" t="str">
        <f>IFERROR(INDEX('Malzeme Tanımlama'!$D$5:$D$300,MATCH(D1677,'Malzeme Tanımlama'!$A$5:$A$300,0)),"")</f>
        <v/>
      </c>
      <c r="I1677" s="2"/>
      <c r="J1677" s="2"/>
      <c r="K1677" s="2"/>
    </row>
    <row r="1678" spans="1:11" x14ac:dyDescent="0.3">
      <c r="A1678" s="5" t="str">
        <f>IF(D1678="","",COUNTIF($D$5:D1678,"?*"))</f>
        <v/>
      </c>
      <c r="B1678" s="6"/>
      <c r="C1678" s="5" t="str">
        <f>IF(B1678="","",INDEX({"Ocak","Şubat","Mart","Nisan","Mayıs","Haziran","Temmuz","Ağustos","Eylül","Ekim","Kasım","Aralık"},MONTH(B1678)))</f>
        <v/>
      </c>
      <c r="D1678" s="2"/>
      <c r="E1678" s="5" t="str">
        <f>IFERROR(INDEX('Malzeme Tanımlama'!$B$5:$B$300,MATCH(D1678,'Malzeme Tanımlama'!$A$5:$A$300,0)),"")</f>
        <v/>
      </c>
      <c r="F1678" s="2"/>
      <c r="G1678" s="5"/>
      <c r="H1678" s="5" t="str">
        <f>IFERROR(INDEX('Malzeme Tanımlama'!$D$5:$D$300,MATCH(D1678,'Malzeme Tanımlama'!$A$5:$A$300,0)),"")</f>
        <v/>
      </c>
      <c r="I1678" s="2"/>
      <c r="J1678" s="2"/>
      <c r="K1678" s="2"/>
    </row>
    <row r="1679" spans="1:11" x14ac:dyDescent="0.3">
      <c r="A1679" s="5" t="str">
        <f>IF(D1679="","",COUNTIF($D$5:D1679,"?*"))</f>
        <v/>
      </c>
      <c r="B1679" s="6"/>
      <c r="C1679" s="5" t="str">
        <f>IF(B1679="","",INDEX({"Ocak","Şubat","Mart","Nisan","Mayıs","Haziran","Temmuz","Ağustos","Eylül","Ekim","Kasım","Aralık"},MONTH(B1679)))</f>
        <v/>
      </c>
      <c r="D1679" s="2"/>
      <c r="E1679" s="5" t="str">
        <f>IFERROR(INDEX('Malzeme Tanımlama'!$B$5:$B$300,MATCH(D1679,'Malzeme Tanımlama'!$A$5:$A$300,0)),"")</f>
        <v/>
      </c>
      <c r="F1679" s="2"/>
      <c r="G1679" s="5"/>
      <c r="H1679" s="5" t="str">
        <f>IFERROR(INDEX('Malzeme Tanımlama'!$D$5:$D$300,MATCH(D1679,'Malzeme Tanımlama'!$A$5:$A$300,0)),"")</f>
        <v/>
      </c>
      <c r="I1679" s="2"/>
      <c r="J1679" s="2"/>
      <c r="K1679" s="2"/>
    </row>
    <row r="1680" spans="1:11" x14ac:dyDescent="0.3">
      <c r="A1680" s="5" t="str">
        <f>IF(D1680="","",COUNTIF($D$5:D1680,"?*"))</f>
        <v/>
      </c>
      <c r="B1680" s="6"/>
      <c r="C1680" s="5" t="str">
        <f>IF(B1680="","",INDEX({"Ocak","Şubat","Mart","Nisan","Mayıs","Haziran","Temmuz","Ağustos","Eylül","Ekim","Kasım","Aralık"},MONTH(B1680)))</f>
        <v/>
      </c>
      <c r="D1680" s="2"/>
      <c r="E1680" s="5" t="str">
        <f>IFERROR(INDEX('Malzeme Tanımlama'!$B$5:$B$300,MATCH(D1680,'Malzeme Tanımlama'!$A$5:$A$300,0)),"")</f>
        <v/>
      </c>
      <c r="F1680" s="2"/>
      <c r="G1680" s="5"/>
      <c r="H1680" s="5" t="str">
        <f>IFERROR(INDEX('Malzeme Tanımlama'!$D$5:$D$300,MATCH(D1680,'Malzeme Tanımlama'!$A$5:$A$300,0)),"")</f>
        <v/>
      </c>
      <c r="I1680" s="2"/>
      <c r="J1680" s="2"/>
      <c r="K1680" s="2"/>
    </row>
    <row r="1681" spans="1:11" x14ac:dyDescent="0.3">
      <c r="A1681" s="5" t="str">
        <f>IF(D1681="","",COUNTIF($D$5:D1681,"?*"))</f>
        <v/>
      </c>
      <c r="B1681" s="6"/>
      <c r="C1681" s="5" t="str">
        <f>IF(B1681="","",INDEX({"Ocak","Şubat","Mart","Nisan","Mayıs","Haziran","Temmuz","Ağustos","Eylül","Ekim","Kasım","Aralık"},MONTH(B1681)))</f>
        <v/>
      </c>
      <c r="D1681" s="2"/>
      <c r="E1681" s="5" t="str">
        <f>IFERROR(INDEX('Malzeme Tanımlama'!$B$5:$B$300,MATCH(D1681,'Malzeme Tanımlama'!$A$5:$A$300,0)),"")</f>
        <v/>
      </c>
      <c r="F1681" s="2"/>
      <c r="G1681" s="5"/>
      <c r="H1681" s="5" t="str">
        <f>IFERROR(INDEX('Malzeme Tanımlama'!$D$5:$D$300,MATCH(D1681,'Malzeme Tanımlama'!$A$5:$A$300,0)),"")</f>
        <v/>
      </c>
      <c r="I1681" s="2"/>
      <c r="J1681" s="2"/>
      <c r="K1681" s="2"/>
    </row>
    <row r="1682" spans="1:11" x14ac:dyDescent="0.3">
      <c r="A1682" s="5" t="str">
        <f>IF(D1682="","",COUNTIF($D$5:D1682,"?*"))</f>
        <v/>
      </c>
      <c r="B1682" s="6"/>
      <c r="C1682" s="5" t="str">
        <f>IF(B1682="","",INDEX({"Ocak","Şubat","Mart","Nisan","Mayıs","Haziran","Temmuz","Ağustos","Eylül","Ekim","Kasım","Aralık"},MONTH(B1682)))</f>
        <v/>
      </c>
      <c r="D1682" s="2"/>
      <c r="E1682" s="5" t="str">
        <f>IFERROR(INDEX('Malzeme Tanımlama'!$B$5:$B$300,MATCH(D1682,'Malzeme Tanımlama'!$A$5:$A$300,0)),"")</f>
        <v/>
      </c>
      <c r="F1682" s="2"/>
      <c r="G1682" s="5"/>
      <c r="H1682" s="5" t="str">
        <f>IFERROR(INDEX('Malzeme Tanımlama'!$D$5:$D$300,MATCH(D1682,'Malzeme Tanımlama'!$A$5:$A$300,0)),"")</f>
        <v/>
      </c>
      <c r="I1682" s="2"/>
      <c r="J1682" s="2"/>
      <c r="K1682" s="2"/>
    </row>
    <row r="1683" spans="1:11" x14ac:dyDescent="0.3">
      <c r="A1683" s="5" t="str">
        <f>IF(D1683="","",COUNTIF($D$5:D1683,"?*"))</f>
        <v/>
      </c>
      <c r="B1683" s="6"/>
      <c r="C1683" s="5" t="str">
        <f>IF(B1683="","",INDEX({"Ocak","Şubat","Mart","Nisan","Mayıs","Haziran","Temmuz","Ağustos","Eylül","Ekim","Kasım","Aralık"},MONTH(B1683)))</f>
        <v/>
      </c>
      <c r="D1683" s="2"/>
      <c r="E1683" s="5" t="str">
        <f>IFERROR(INDEX('Malzeme Tanımlama'!$B$5:$B$300,MATCH(D1683,'Malzeme Tanımlama'!$A$5:$A$300,0)),"")</f>
        <v/>
      </c>
      <c r="F1683" s="2"/>
      <c r="G1683" s="5"/>
      <c r="H1683" s="5" t="str">
        <f>IFERROR(INDEX('Malzeme Tanımlama'!$D$5:$D$300,MATCH(D1683,'Malzeme Tanımlama'!$A$5:$A$300,0)),"")</f>
        <v/>
      </c>
      <c r="I1683" s="2"/>
      <c r="J1683" s="2"/>
      <c r="K1683" s="2"/>
    </row>
    <row r="1684" spans="1:11" x14ac:dyDescent="0.3">
      <c r="A1684" s="5" t="str">
        <f>IF(D1684="","",COUNTIF($D$5:D1684,"?*"))</f>
        <v/>
      </c>
      <c r="B1684" s="6"/>
      <c r="C1684" s="5" t="str">
        <f>IF(B1684="","",INDEX({"Ocak","Şubat","Mart","Nisan","Mayıs","Haziran","Temmuz","Ağustos","Eylül","Ekim","Kasım","Aralık"},MONTH(B1684)))</f>
        <v/>
      </c>
      <c r="D1684" s="2"/>
      <c r="E1684" s="5" t="str">
        <f>IFERROR(INDEX('Malzeme Tanımlama'!$B$5:$B$300,MATCH(D1684,'Malzeme Tanımlama'!$A$5:$A$300,0)),"")</f>
        <v/>
      </c>
      <c r="F1684" s="2"/>
      <c r="G1684" s="5"/>
      <c r="H1684" s="5" t="str">
        <f>IFERROR(INDEX('Malzeme Tanımlama'!$D$5:$D$300,MATCH(D1684,'Malzeme Tanımlama'!$A$5:$A$300,0)),"")</f>
        <v/>
      </c>
      <c r="I1684" s="2"/>
      <c r="J1684" s="2"/>
      <c r="K1684" s="2"/>
    </row>
    <row r="1685" spans="1:11" x14ac:dyDescent="0.3">
      <c r="A1685" s="5" t="str">
        <f>IF(D1685="","",COUNTIF($D$5:D1685,"?*"))</f>
        <v/>
      </c>
      <c r="B1685" s="6"/>
      <c r="C1685" s="5" t="str">
        <f>IF(B1685="","",INDEX({"Ocak","Şubat","Mart","Nisan","Mayıs","Haziran","Temmuz","Ağustos","Eylül","Ekim","Kasım","Aralık"},MONTH(B1685)))</f>
        <v/>
      </c>
      <c r="D1685" s="2"/>
      <c r="E1685" s="5" t="str">
        <f>IFERROR(INDEX('Malzeme Tanımlama'!$B$5:$B$300,MATCH(D1685,'Malzeme Tanımlama'!$A$5:$A$300,0)),"")</f>
        <v/>
      </c>
      <c r="F1685" s="2"/>
      <c r="G1685" s="5"/>
      <c r="H1685" s="5" t="str">
        <f>IFERROR(INDEX('Malzeme Tanımlama'!$D$5:$D$300,MATCH(D1685,'Malzeme Tanımlama'!$A$5:$A$300,0)),"")</f>
        <v/>
      </c>
      <c r="I1685" s="2"/>
      <c r="J1685" s="2"/>
      <c r="K1685" s="2"/>
    </row>
    <row r="1686" spans="1:11" x14ac:dyDescent="0.3">
      <c r="A1686" s="5" t="str">
        <f>IF(D1686="","",COUNTIF($D$5:D1686,"?*"))</f>
        <v/>
      </c>
      <c r="B1686" s="6"/>
      <c r="C1686" s="5" t="str">
        <f>IF(B1686="","",INDEX({"Ocak","Şubat","Mart","Nisan","Mayıs","Haziran","Temmuz","Ağustos","Eylül","Ekim","Kasım","Aralık"},MONTH(B1686)))</f>
        <v/>
      </c>
      <c r="D1686" s="2"/>
      <c r="E1686" s="5" t="str">
        <f>IFERROR(INDEX('Malzeme Tanımlama'!$B$5:$B$300,MATCH(D1686,'Malzeme Tanımlama'!$A$5:$A$300,0)),"")</f>
        <v/>
      </c>
      <c r="F1686" s="2"/>
      <c r="G1686" s="5"/>
      <c r="H1686" s="5" t="str">
        <f>IFERROR(INDEX('Malzeme Tanımlama'!$D$5:$D$300,MATCH(D1686,'Malzeme Tanımlama'!$A$5:$A$300,0)),"")</f>
        <v/>
      </c>
      <c r="I1686" s="2"/>
      <c r="J1686" s="2"/>
      <c r="K1686" s="2"/>
    </row>
    <row r="1687" spans="1:11" x14ac:dyDescent="0.3">
      <c r="A1687" s="5" t="str">
        <f>IF(D1687="","",COUNTIF($D$5:D1687,"?*"))</f>
        <v/>
      </c>
      <c r="B1687" s="6"/>
      <c r="C1687" s="5" t="str">
        <f>IF(B1687="","",INDEX({"Ocak","Şubat","Mart","Nisan","Mayıs","Haziran","Temmuz","Ağustos","Eylül","Ekim","Kasım","Aralık"},MONTH(B1687)))</f>
        <v/>
      </c>
      <c r="D1687" s="2"/>
      <c r="E1687" s="5" t="str">
        <f>IFERROR(INDEX('Malzeme Tanımlama'!$B$5:$B$300,MATCH(D1687,'Malzeme Tanımlama'!$A$5:$A$300,0)),"")</f>
        <v/>
      </c>
      <c r="F1687" s="2"/>
      <c r="G1687" s="5"/>
      <c r="H1687" s="5" t="str">
        <f>IFERROR(INDEX('Malzeme Tanımlama'!$D$5:$D$300,MATCH(D1687,'Malzeme Tanımlama'!$A$5:$A$300,0)),"")</f>
        <v/>
      </c>
      <c r="I1687" s="2"/>
      <c r="J1687" s="2"/>
      <c r="K1687" s="2"/>
    </row>
    <row r="1688" spans="1:11" x14ac:dyDescent="0.3">
      <c r="A1688" s="5" t="str">
        <f>IF(D1688="","",COUNTIF($D$5:D1688,"?*"))</f>
        <v/>
      </c>
      <c r="B1688" s="6"/>
      <c r="C1688" s="5" t="str">
        <f>IF(B1688="","",INDEX({"Ocak","Şubat","Mart","Nisan","Mayıs","Haziran","Temmuz","Ağustos","Eylül","Ekim","Kasım","Aralık"},MONTH(B1688)))</f>
        <v/>
      </c>
      <c r="D1688" s="2"/>
      <c r="E1688" s="5" t="str">
        <f>IFERROR(INDEX('Malzeme Tanımlama'!$B$5:$B$300,MATCH(D1688,'Malzeme Tanımlama'!$A$5:$A$300,0)),"")</f>
        <v/>
      </c>
      <c r="F1688" s="2"/>
      <c r="G1688" s="5"/>
      <c r="H1688" s="5" t="str">
        <f>IFERROR(INDEX('Malzeme Tanımlama'!$D$5:$D$300,MATCH(D1688,'Malzeme Tanımlama'!$A$5:$A$300,0)),"")</f>
        <v/>
      </c>
      <c r="I1688" s="2"/>
      <c r="J1688" s="2"/>
      <c r="K1688" s="2"/>
    </row>
    <row r="1689" spans="1:11" x14ac:dyDescent="0.3">
      <c r="A1689" s="5" t="str">
        <f>IF(D1689="","",COUNTIF($D$5:D1689,"?*"))</f>
        <v/>
      </c>
      <c r="B1689" s="6"/>
      <c r="C1689" s="5" t="str">
        <f>IF(B1689="","",INDEX({"Ocak","Şubat","Mart","Nisan","Mayıs","Haziran","Temmuz","Ağustos","Eylül","Ekim","Kasım","Aralık"},MONTH(B1689)))</f>
        <v/>
      </c>
      <c r="D1689" s="2"/>
      <c r="E1689" s="5" t="str">
        <f>IFERROR(INDEX('Malzeme Tanımlama'!$B$5:$B$300,MATCH(D1689,'Malzeme Tanımlama'!$A$5:$A$300,0)),"")</f>
        <v/>
      </c>
      <c r="F1689" s="2"/>
      <c r="G1689" s="5"/>
      <c r="H1689" s="5" t="str">
        <f>IFERROR(INDEX('Malzeme Tanımlama'!$D$5:$D$300,MATCH(D1689,'Malzeme Tanımlama'!$A$5:$A$300,0)),"")</f>
        <v/>
      </c>
      <c r="I1689" s="2"/>
      <c r="J1689" s="2"/>
      <c r="K1689" s="2"/>
    </row>
    <row r="1690" spans="1:11" x14ac:dyDescent="0.3">
      <c r="A1690" s="5" t="str">
        <f>IF(D1690="","",COUNTIF($D$5:D1690,"?*"))</f>
        <v/>
      </c>
      <c r="B1690" s="6"/>
      <c r="C1690" s="5" t="str">
        <f>IF(B1690="","",INDEX({"Ocak","Şubat","Mart","Nisan","Mayıs","Haziran","Temmuz","Ağustos","Eylül","Ekim","Kasım","Aralık"},MONTH(B1690)))</f>
        <v/>
      </c>
      <c r="D1690" s="2"/>
      <c r="E1690" s="5" t="str">
        <f>IFERROR(INDEX('Malzeme Tanımlama'!$B$5:$B$300,MATCH(D1690,'Malzeme Tanımlama'!$A$5:$A$300,0)),"")</f>
        <v/>
      </c>
      <c r="F1690" s="2"/>
      <c r="G1690" s="5"/>
      <c r="H1690" s="5" t="str">
        <f>IFERROR(INDEX('Malzeme Tanımlama'!$D$5:$D$300,MATCH(D1690,'Malzeme Tanımlama'!$A$5:$A$300,0)),"")</f>
        <v/>
      </c>
      <c r="I1690" s="2"/>
      <c r="J1690" s="2"/>
      <c r="K1690" s="2"/>
    </row>
    <row r="1691" spans="1:11" x14ac:dyDescent="0.3">
      <c r="A1691" s="5" t="str">
        <f>IF(D1691="","",COUNTIF($D$5:D1691,"?*"))</f>
        <v/>
      </c>
      <c r="B1691" s="6"/>
      <c r="C1691" s="5" t="str">
        <f>IF(B1691="","",INDEX({"Ocak","Şubat","Mart","Nisan","Mayıs","Haziran","Temmuz","Ağustos","Eylül","Ekim","Kasım","Aralık"},MONTH(B1691)))</f>
        <v/>
      </c>
      <c r="D1691" s="2"/>
      <c r="E1691" s="5" t="str">
        <f>IFERROR(INDEX('Malzeme Tanımlama'!$B$5:$B$300,MATCH(D1691,'Malzeme Tanımlama'!$A$5:$A$300,0)),"")</f>
        <v/>
      </c>
      <c r="F1691" s="2"/>
      <c r="G1691" s="5"/>
      <c r="H1691" s="5" t="str">
        <f>IFERROR(INDEX('Malzeme Tanımlama'!$D$5:$D$300,MATCH(D1691,'Malzeme Tanımlama'!$A$5:$A$300,0)),"")</f>
        <v/>
      </c>
      <c r="I1691" s="2"/>
      <c r="J1691" s="2"/>
      <c r="K1691" s="2"/>
    </row>
    <row r="1692" spans="1:11" x14ac:dyDescent="0.3">
      <c r="A1692" s="5" t="str">
        <f>IF(D1692="","",COUNTIF($D$5:D1692,"?*"))</f>
        <v/>
      </c>
      <c r="B1692" s="6"/>
      <c r="C1692" s="5" t="str">
        <f>IF(B1692="","",INDEX({"Ocak","Şubat","Mart","Nisan","Mayıs","Haziran","Temmuz","Ağustos","Eylül","Ekim","Kasım","Aralık"},MONTH(B1692)))</f>
        <v/>
      </c>
      <c r="D1692" s="2"/>
      <c r="E1692" s="5" t="str">
        <f>IFERROR(INDEX('Malzeme Tanımlama'!$B$5:$B$300,MATCH(D1692,'Malzeme Tanımlama'!$A$5:$A$300,0)),"")</f>
        <v/>
      </c>
      <c r="F1692" s="2"/>
      <c r="G1692" s="5"/>
      <c r="H1692" s="5" t="str">
        <f>IFERROR(INDEX('Malzeme Tanımlama'!$D$5:$D$300,MATCH(D1692,'Malzeme Tanımlama'!$A$5:$A$300,0)),"")</f>
        <v/>
      </c>
      <c r="I1692" s="2"/>
      <c r="J1692" s="2"/>
      <c r="K1692" s="2"/>
    </row>
    <row r="1693" spans="1:11" x14ac:dyDescent="0.3">
      <c r="A1693" s="5" t="str">
        <f>IF(D1693="","",COUNTIF($D$5:D1693,"?*"))</f>
        <v/>
      </c>
      <c r="B1693" s="6"/>
      <c r="C1693" s="5" t="str">
        <f>IF(B1693="","",INDEX({"Ocak","Şubat","Mart","Nisan","Mayıs","Haziran","Temmuz","Ağustos","Eylül","Ekim","Kasım","Aralık"},MONTH(B1693)))</f>
        <v/>
      </c>
      <c r="D1693" s="2"/>
      <c r="E1693" s="5" t="str">
        <f>IFERROR(INDEX('Malzeme Tanımlama'!$B$5:$B$300,MATCH(D1693,'Malzeme Tanımlama'!$A$5:$A$300,0)),"")</f>
        <v/>
      </c>
      <c r="F1693" s="2"/>
      <c r="G1693" s="5"/>
      <c r="H1693" s="5" t="str">
        <f>IFERROR(INDEX('Malzeme Tanımlama'!$D$5:$D$300,MATCH(D1693,'Malzeme Tanımlama'!$A$5:$A$300,0)),"")</f>
        <v/>
      </c>
      <c r="I1693" s="2"/>
      <c r="J1693" s="2"/>
      <c r="K1693" s="2"/>
    </row>
    <row r="1694" spans="1:11" x14ac:dyDescent="0.3">
      <c r="A1694" s="5" t="str">
        <f>IF(D1694="","",COUNTIF($D$5:D1694,"?*"))</f>
        <v/>
      </c>
      <c r="B1694" s="6"/>
      <c r="C1694" s="5" t="str">
        <f>IF(B1694="","",INDEX({"Ocak","Şubat","Mart","Nisan","Mayıs","Haziran","Temmuz","Ağustos","Eylül","Ekim","Kasım","Aralık"},MONTH(B1694)))</f>
        <v/>
      </c>
      <c r="D1694" s="2"/>
      <c r="E1694" s="5" t="str">
        <f>IFERROR(INDEX('Malzeme Tanımlama'!$B$5:$B$300,MATCH(D1694,'Malzeme Tanımlama'!$A$5:$A$300,0)),"")</f>
        <v/>
      </c>
      <c r="F1694" s="2"/>
      <c r="G1694" s="5"/>
      <c r="H1694" s="5" t="str">
        <f>IFERROR(INDEX('Malzeme Tanımlama'!$D$5:$D$300,MATCH(D1694,'Malzeme Tanımlama'!$A$5:$A$300,0)),"")</f>
        <v/>
      </c>
      <c r="I1694" s="2"/>
      <c r="J1694" s="2"/>
      <c r="K1694" s="2"/>
    </row>
    <row r="1695" spans="1:11" x14ac:dyDescent="0.3">
      <c r="A1695" s="5" t="str">
        <f>IF(D1695="","",COUNTIF($D$5:D1695,"?*"))</f>
        <v/>
      </c>
      <c r="B1695" s="6"/>
      <c r="C1695" s="5" t="str">
        <f>IF(B1695="","",INDEX({"Ocak","Şubat","Mart","Nisan","Mayıs","Haziran","Temmuz","Ağustos","Eylül","Ekim","Kasım","Aralık"},MONTH(B1695)))</f>
        <v/>
      </c>
      <c r="D1695" s="2"/>
      <c r="E1695" s="5" t="str">
        <f>IFERROR(INDEX('Malzeme Tanımlama'!$B$5:$B$300,MATCH(D1695,'Malzeme Tanımlama'!$A$5:$A$300,0)),"")</f>
        <v/>
      </c>
      <c r="F1695" s="2"/>
      <c r="G1695" s="5"/>
      <c r="H1695" s="5" t="str">
        <f>IFERROR(INDEX('Malzeme Tanımlama'!$D$5:$D$300,MATCH(D1695,'Malzeme Tanımlama'!$A$5:$A$300,0)),"")</f>
        <v/>
      </c>
      <c r="I1695" s="2"/>
      <c r="J1695" s="2"/>
      <c r="K1695" s="2"/>
    </row>
    <row r="1696" spans="1:11" x14ac:dyDescent="0.3">
      <c r="A1696" s="5" t="str">
        <f>IF(D1696="","",COUNTIF($D$5:D1696,"?*"))</f>
        <v/>
      </c>
      <c r="B1696" s="6"/>
      <c r="C1696" s="5" t="str">
        <f>IF(B1696="","",INDEX({"Ocak","Şubat","Mart","Nisan","Mayıs","Haziran","Temmuz","Ağustos","Eylül","Ekim","Kasım","Aralık"},MONTH(B1696)))</f>
        <v/>
      </c>
      <c r="D1696" s="2"/>
      <c r="E1696" s="5" t="str">
        <f>IFERROR(INDEX('Malzeme Tanımlama'!$B$5:$B$300,MATCH(D1696,'Malzeme Tanımlama'!$A$5:$A$300,0)),"")</f>
        <v/>
      </c>
      <c r="F1696" s="2"/>
      <c r="G1696" s="5"/>
      <c r="H1696" s="5" t="str">
        <f>IFERROR(INDEX('Malzeme Tanımlama'!$D$5:$D$300,MATCH(D1696,'Malzeme Tanımlama'!$A$5:$A$300,0)),"")</f>
        <v/>
      </c>
      <c r="I1696" s="2"/>
      <c r="J1696" s="2"/>
      <c r="K1696" s="2"/>
    </row>
    <row r="1697" spans="1:11" x14ac:dyDescent="0.3">
      <c r="A1697" s="5" t="str">
        <f>IF(D1697="","",COUNTIF($D$5:D1697,"?*"))</f>
        <v/>
      </c>
      <c r="B1697" s="6"/>
      <c r="C1697" s="5" t="str">
        <f>IF(B1697="","",INDEX({"Ocak","Şubat","Mart","Nisan","Mayıs","Haziran","Temmuz","Ağustos","Eylül","Ekim","Kasım","Aralık"},MONTH(B1697)))</f>
        <v/>
      </c>
      <c r="D1697" s="2"/>
      <c r="E1697" s="5" t="str">
        <f>IFERROR(INDEX('Malzeme Tanımlama'!$B$5:$B$300,MATCH(D1697,'Malzeme Tanımlama'!$A$5:$A$300,0)),"")</f>
        <v/>
      </c>
      <c r="F1697" s="2"/>
      <c r="G1697" s="5"/>
      <c r="H1697" s="5" t="str">
        <f>IFERROR(INDEX('Malzeme Tanımlama'!$D$5:$D$300,MATCH(D1697,'Malzeme Tanımlama'!$A$5:$A$300,0)),"")</f>
        <v/>
      </c>
      <c r="I1697" s="2"/>
      <c r="J1697" s="2"/>
      <c r="K1697" s="2"/>
    </row>
    <row r="1698" spans="1:11" x14ac:dyDescent="0.3">
      <c r="A1698" s="5" t="str">
        <f>IF(D1698="","",COUNTIF($D$5:D1698,"?*"))</f>
        <v/>
      </c>
      <c r="B1698" s="6"/>
      <c r="C1698" s="5" t="str">
        <f>IF(B1698="","",INDEX({"Ocak","Şubat","Mart","Nisan","Mayıs","Haziran","Temmuz","Ağustos","Eylül","Ekim","Kasım","Aralık"},MONTH(B1698)))</f>
        <v/>
      </c>
      <c r="D1698" s="2"/>
      <c r="E1698" s="5" t="str">
        <f>IFERROR(INDEX('Malzeme Tanımlama'!$B$5:$B$300,MATCH(D1698,'Malzeme Tanımlama'!$A$5:$A$300,0)),"")</f>
        <v/>
      </c>
      <c r="F1698" s="2"/>
      <c r="G1698" s="5"/>
      <c r="H1698" s="5" t="str">
        <f>IFERROR(INDEX('Malzeme Tanımlama'!$D$5:$D$300,MATCH(D1698,'Malzeme Tanımlama'!$A$5:$A$300,0)),"")</f>
        <v/>
      </c>
      <c r="I1698" s="2"/>
      <c r="J1698" s="2"/>
      <c r="K1698" s="2"/>
    </row>
    <row r="1699" spans="1:11" x14ac:dyDescent="0.3">
      <c r="A1699" s="5" t="str">
        <f>IF(D1699="","",COUNTIF($D$5:D1699,"?*"))</f>
        <v/>
      </c>
      <c r="B1699" s="6"/>
      <c r="C1699" s="5" t="str">
        <f>IF(B1699="","",INDEX({"Ocak","Şubat","Mart","Nisan","Mayıs","Haziran","Temmuz","Ağustos","Eylül","Ekim","Kasım","Aralık"},MONTH(B1699)))</f>
        <v/>
      </c>
      <c r="D1699" s="2"/>
      <c r="E1699" s="5" t="str">
        <f>IFERROR(INDEX('Malzeme Tanımlama'!$B$5:$B$300,MATCH(D1699,'Malzeme Tanımlama'!$A$5:$A$300,0)),"")</f>
        <v/>
      </c>
      <c r="F1699" s="2"/>
      <c r="G1699" s="5"/>
      <c r="H1699" s="5" t="str">
        <f>IFERROR(INDEX('Malzeme Tanımlama'!$D$5:$D$300,MATCH(D1699,'Malzeme Tanımlama'!$A$5:$A$300,0)),"")</f>
        <v/>
      </c>
      <c r="I1699" s="2"/>
      <c r="J1699" s="2"/>
      <c r="K1699" s="2"/>
    </row>
    <row r="1700" spans="1:11" x14ac:dyDescent="0.3">
      <c r="A1700" s="5" t="str">
        <f>IF(D1700="","",COUNTIF($D$5:D1700,"?*"))</f>
        <v/>
      </c>
      <c r="B1700" s="6"/>
      <c r="C1700" s="5" t="str">
        <f>IF(B1700="","",INDEX({"Ocak","Şubat","Mart","Nisan","Mayıs","Haziran","Temmuz","Ağustos","Eylül","Ekim","Kasım","Aralık"},MONTH(B1700)))</f>
        <v/>
      </c>
      <c r="D1700" s="2"/>
      <c r="E1700" s="5" t="str">
        <f>IFERROR(INDEX('Malzeme Tanımlama'!$B$5:$B$300,MATCH(D1700,'Malzeme Tanımlama'!$A$5:$A$300,0)),"")</f>
        <v/>
      </c>
      <c r="F1700" s="2"/>
      <c r="G1700" s="5"/>
      <c r="H1700" s="5" t="str">
        <f>IFERROR(INDEX('Malzeme Tanımlama'!$D$5:$D$300,MATCH(D1700,'Malzeme Tanımlama'!$A$5:$A$300,0)),"")</f>
        <v/>
      </c>
      <c r="I1700" s="2"/>
      <c r="J1700" s="2"/>
      <c r="K1700" s="2"/>
    </row>
    <row r="1701" spans="1:11" x14ac:dyDescent="0.3">
      <c r="A1701" s="5" t="str">
        <f>IF(D1701="","",COUNTIF($D$5:D1701,"?*"))</f>
        <v/>
      </c>
      <c r="B1701" s="6"/>
      <c r="C1701" s="5" t="str">
        <f>IF(B1701="","",INDEX({"Ocak","Şubat","Mart","Nisan","Mayıs","Haziran","Temmuz","Ağustos","Eylül","Ekim","Kasım","Aralık"},MONTH(B1701)))</f>
        <v/>
      </c>
      <c r="D1701" s="2"/>
      <c r="E1701" s="5" t="str">
        <f>IFERROR(INDEX('Malzeme Tanımlama'!$B$5:$B$300,MATCH(D1701,'Malzeme Tanımlama'!$A$5:$A$300,0)),"")</f>
        <v/>
      </c>
      <c r="F1701" s="2"/>
      <c r="G1701" s="5"/>
      <c r="H1701" s="5" t="str">
        <f>IFERROR(INDEX('Malzeme Tanımlama'!$D$5:$D$300,MATCH(D1701,'Malzeme Tanımlama'!$A$5:$A$300,0)),"")</f>
        <v/>
      </c>
      <c r="I1701" s="2"/>
      <c r="J1701" s="2"/>
      <c r="K1701" s="2"/>
    </row>
    <row r="1702" spans="1:11" x14ac:dyDescent="0.3">
      <c r="A1702" s="5" t="str">
        <f>IF(D1702="","",COUNTIF($D$5:D1702,"?*"))</f>
        <v/>
      </c>
      <c r="B1702" s="6"/>
      <c r="C1702" s="5" t="str">
        <f>IF(B1702="","",INDEX({"Ocak","Şubat","Mart","Nisan","Mayıs","Haziran","Temmuz","Ağustos","Eylül","Ekim","Kasım","Aralık"},MONTH(B1702)))</f>
        <v/>
      </c>
      <c r="D1702" s="2"/>
      <c r="E1702" s="5" t="str">
        <f>IFERROR(INDEX('Malzeme Tanımlama'!$B$5:$B$300,MATCH(D1702,'Malzeme Tanımlama'!$A$5:$A$300,0)),"")</f>
        <v/>
      </c>
      <c r="F1702" s="2"/>
      <c r="G1702" s="5"/>
      <c r="H1702" s="5" t="str">
        <f>IFERROR(INDEX('Malzeme Tanımlama'!$D$5:$D$300,MATCH(D1702,'Malzeme Tanımlama'!$A$5:$A$300,0)),"")</f>
        <v/>
      </c>
      <c r="I1702" s="2"/>
      <c r="J1702" s="2"/>
      <c r="K1702" s="2"/>
    </row>
    <row r="1703" spans="1:11" x14ac:dyDescent="0.3">
      <c r="A1703" s="5" t="str">
        <f>IF(D1703="","",COUNTIF($D$5:D1703,"?*"))</f>
        <v/>
      </c>
      <c r="B1703" s="6"/>
      <c r="C1703" s="5" t="str">
        <f>IF(B1703="","",INDEX({"Ocak","Şubat","Mart","Nisan","Mayıs","Haziran","Temmuz","Ağustos","Eylül","Ekim","Kasım","Aralık"},MONTH(B1703)))</f>
        <v/>
      </c>
      <c r="D1703" s="2"/>
      <c r="E1703" s="5" t="str">
        <f>IFERROR(INDEX('Malzeme Tanımlama'!$B$5:$B$300,MATCH(D1703,'Malzeme Tanımlama'!$A$5:$A$300,0)),"")</f>
        <v/>
      </c>
      <c r="F1703" s="2"/>
      <c r="G1703" s="5"/>
      <c r="H1703" s="5" t="str">
        <f>IFERROR(INDEX('Malzeme Tanımlama'!$D$5:$D$300,MATCH(D1703,'Malzeme Tanımlama'!$A$5:$A$300,0)),"")</f>
        <v/>
      </c>
      <c r="I1703" s="2"/>
      <c r="J1703" s="2"/>
      <c r="K1703" s="2"/>
    </row>
    <row r="1704" spans="1:11" x14ac:dyDescent="0.3">
      <c r="A1704" s="5" t="str">
        <f>IF(D1704="","",COUNTIF($D$5:D1704,"?*"))</f>
        <v/>
      </c>
      <c r="B1704" s="6"/>
      <c r="C1704" s="5" t="str">
        <f>IF(B1704="","",INDEX({"Ocak","Şubat","Mart","Nisan","Mayıs","Haziran","Temmuz","Ağustos","Eylül","Ekim","Kasım","Aralık"},MONTH(B1704)))</f>
        <v/>
      </c>
      <c r="D1704" s="2"/>
      <c r="E1704" s="5" t="str">
        <f>IFERROR(INDEX('Malzeme Tanımlama'!$B$5:$B$300,MATCH(D1704,'Malzeme Tanımlama'!$A$5:$A$300,0)),"")</f>
        <v/>
      </c>
      <c r="F1704" s="2"/>
      <c r="G1704" s="5"/>
      <c r="H1704" s="5" t="str">
        <f>IFERROR(INDEX('Malzeme Tanımlama'!$D$5:$D$300,MATCH(D1704,'Malzeme Tanımlama'!$A$5:$A$300,0)),"")</f>
        <v/>
      </c>
      <c r="I1704" s="2"/>
      <c r="J1704" s="2"/>
      <c r="K1704" s="2"/>
    </row>
    <row r="1705" spans="1:11" x14ac:dyDescent="0.3">
      <c r="A1705" s="5" t="str">
        <f>IF(D1705="","",COUNTIF($D$5:D1705,"?*"))</f>
        <v/>
      </c>
      <c r="B1705" s="6"/>
      <c r="C1705" s="5" t="str">
        <f>IF(B1705="","",INDEX({"Ocak","Şubat","Mart","Nisan","Mayıs","Haziran","Temmuz","Ağustos","Eylül","Ekim","Kasım","Aralık"},MONTH(B1705)))</f>
        <v/>
      </c>
      <c r="D1705" s="2"/>
      <c r="E1705" s="5" t="str">
        <f>IFERROR(INDEX('Malzeme Tanımlama'!$B$5:$B$300,MATCH(D1705,'Malzeme Tanımlama'!$A$5:$A$300,0)),"")</f>
        <v/>
      </c>
      <c r="F1705" s="2"/>
      <c r="G1705" s="5"/>
      <c r="H1705" s="5" t="str">
        <f>IFERROR(INDEX('Malzeme Tanımlama'!$D$5:$D$300,MATCH(D1705,'Malzeme Tanımlama'!$A$5:$A$300,0)),"")</f>
        <v/>
      </c>
      <c r="I1705" s="2"/>
      <c r="J1705" s="2"/>
      <c r="K1705" s="2"/>
    </row>
    <row r="1706" spans="1:11" x14ac:dyDescent="0.3">
      <c r="A1706" s="5" t="str">
        <f>IF(D1706="","",COUNTIF($D$5:D1706,"?*"))</f>
        <v/>
      </c>
      <c r="B1706" s="6"/>
      <c r="C1706" s="5" t="str">
        <f>IF(B1706="","",INDEX({"Ocak","Şubat","Mart","Nisan","Mayıs","Haziran","Temmuz","Ağustos","Eylül","Ekim","Kasım","Aralık"},MONTH(B1706)))</f>
        <v/>
      </c>
      <c r="D1706" s="2"/>
      <c r="E1706" s="5" t="str">
        <f>IFERROR(INDEX('Malzeme Tanımlama'!$B$5:$B$300,MATCH(D1706,'Malzeme Tanımlama'!$A$5:$A$300,0)),"")</f>
        <v/>
      </c>
      <c r="F1706" s="2"/>
      <c r="G1706" s="5"/>
      <c r="H1706" s="5" t="str">
        <f>IFERROR(INDEX('Malzeme Tanımlama'!$D$5:$D$300,MATCH(D1706,'Malzeme Tanımlama'!$A$5:$A$300,0)),"")</f>
        <v/>
      </c>
      <c r="I1706" s="2"/>
      <c r="J1706" s="2"/>
      <c r="K1706" s="2"/>
    </row>
    <row r="1707" spans="1:11" x14ac:dyDescent="0.3">
      <c r="A1707" s="5" t="str">
        <f>IF(D1707="","",COUNTIF($D$5:D1707,"?*"))</f>
        <v/>
      </c>
      <c r="B1707" s="6"/>
      <c r="C1707" s="5" t="str">
        <f>IF(B1707="","",INDEX({"Ocak","Şubat","Mart","Nisan","Mayıs","Haziran","Temmuz","Ağustos","Eylül","Ekim","Kasım","Aralık"},MONTH(B1707)))</f>
        <v/>
      </c>
      <c r="D1707" s="2"/>
      <c r="E1707" s="5" t="str">
        <f>IFERROR(INDEX('Malzeme Tanımlama'!$B$5:$B$300,MATCH(D1707,'Malzeme Tanımlama'!$A$5:$A$300,0)),"")</f>
        <v/>
      </c>
      <c r="F1707" s="2"/>
      <c r="G1707" s="5"/>
      <c r="H1707" s="5" t="str">
        <f>IFERROR(INDEX('Malzeme Tanımlama'!$D$5:$D$300,MATCH(D1707,'Malzeme Tanımlama'!$A$5:$A$300,0)),"")</f>
        <v/>
      </c>
      <c r="I1707" s="2"/>
      <c r="J1707" s="2"/>
      <c r="K1707" s="2"/>
    </row>
    <row r="1708" spans="1:11" x14ac:dyDescent="0.3">
      <c r="A1708" s="5" t="str">
        <f>IF(D1708="","",COUNTIF($D$5:D1708,"?*"))</f>
        <v/>
      </c>
      <c r="B1708" s="6"/>
      <c r="C1708" s="5" t="str">
        <f>IF(B1708="","",INDEX({"Ocak","Şubat","Mart","Nisan","Mayıs","Haziran","Temmuz","Ağustos","Eylül","Ekim","Kasım","Aralık"},MONTH(B1708)))</f>
        <v/>
      </c>
      <c r="D1708" s="2"/>
      <c r="E1708" s="5" t="str">
        <f>IFERROR(INDEX('Malzeme Tanımlama'!$B$5:$B$300,MATCH(D1708,'Malzeme Tanımlama'!$A$5:$A$300,0)),"")</f>
        <v/>
      </c>
      <c r="F1708" s="2"/>
      <c r="G1708" s="5"/>
      <c r="H1708" s="5" t="str">
        <f>IFERROR(INDEX('Malzeme Tanımlama'!$D$5:$D$300,MATCH(D1708,'Malzeme Tanımlama'!$A$5:$A$300,0)),"")</f>
        <v/>
      </c>
      <c r="I1708" s="2"/>
      <c r="J1708" s="2"/>
      <c r="K1708" s="2"/>
    </row>
    <row r="1709" spans="1:11" x14ac:dyDescent="0.3">
      <c r="A1709" s="5" t="str">
        <f>IF(D1709="","",COUNTIF($D$5:D1709,"?*"))</f>
        <v/>
      </c>
      <c r="B1709" s="6"/>
      <c r="C1709" s="5" t="str">
        <f>IF(B1709="","",INDEX({"Ocak","Şubat","Mart","Nisan","Mayıs","Haziran","Temmuz","Ağustos","Eylül","Ekim","Kasım","Aralık"},MONTH(B1709)))</f>
        <v/>
      </c>
      <c r="D1709" s="2"/>
      <c r="E1709" s="5" t="str">
        <f>IFERROR(INDEX('Malzeme Tanımlama'!$B$5:$B$300,MATCH(D1709,'Malzeme Tanımlama'!$A$5:$A$300,0)),"")</f>
        <v/>
      </c>
      <c r="F1709" s="2"/>
      <c r="G1709" s="5"/>
      <c r="H1709" s="5" t="str">
        <f>IFERROR(INDEX('Malzeme Tanımlama'!$D$5:$D$300,MATCH(D1709,'Malzeme Tanımlama'!$A$5:$A$300,0)),"")</f>
        <v/>
      </c>
      <c r="I1709" s="2"/>
      <c r="J1709" s="2"/>
      <c r="K1709" s="2"/>
    </row>
    <row r="1710" spans="1:11" x14ac:dyDescent="0.3">
      <c r="A1710" s="5" t="str">
        <f>IF(D1710="","",COUNTIF($D$5:D1710,"?*"))</f>
        <v/>
      </c>
      <c r="B1710" s="6"/>
      <c r="C1710" s="5" t="str">
        <f>IF(B1710="","",INDEX({"Ocak","Şubat","Mart","Nisan","Mayıs","Haziran","Temmuz","Ağustos","Eylül","Ekim","Kasım","Aralık"},MONTH(B1710)))</f>
        <v/>
      </c>
      <c r="D1710" s="2"/>
      <c r="E1710" s="5" t="str">
        <f>IFERROR(INDEX('Malzeme Tanımlama'!$B$5:$B$300,MATCH(D1710,'Malzeme Tanımlama'!$A$5:$A$300,0)),"")</f>
        <v/>
      </c>
      <c r="F1710" s="2"/>
      <c r="G1710" s="5"/>
      <c r="H1710" s="5" t="str">
        <f>IFERROR(INDEX('Malzeme Tanımlama'!$D$5:$D$300,MATCH(D1710,'Malzeme Tanımlama'!$A$5:$A$300,0)),"")</f>
        <v/>
      </c>
      <c r="I1710" s="2"/>
      <c r="J1710" s="2"/>
      <c r="K1710" s="2"/>
    </row>
    <row r="1711" spans="1:11" x14ac:dyDescent="0.3">
      <c r="A1711" s="5" t="str">
        <f>IF(D1711="","",COUNTIF($D$5:D1711,"?*"))</f>
        <v/>
      </c>
      <c r="B1711" s="6"/>
      <c r="C1711" s="5" t="str">
        <f>IF(B1711="","",INDEX({"Ocak","Şubat","Mart","Nisan","Mayıs","Haziran","Temmuz","Ağustos","Eylül","Ekim","Kasım","Aralık"},MONTH(B1711)))</f>
        <v/>
      </c>
      <c r="D1711" s="2"/>
      <c r="E1711" s="5" t="str">
        <f>IFERROR(INDEX('Malzeme Tanımlama'!$B$5:$B$300,MATCH(D1711,'Malzeme Tanımlama'!$A$5:$A$300,0)),"")</f>
        <v/>
      </c>
      <c r="F1711" s="2"/>
      <c r="G1711" s="5"/>
      <c r="H1711" s="5" t="str">
        <f>IFERROR(INDEX('Malzeme Tanımlama'!$D$5:$D$300,MATCH(D1711,'Malzeme Tanımlama'!$A$5:$A$300,0)),"")</f>
        <v/>
      </c>
      <c r="I1711" s="2"/>
      <c r="J1711" s="2"/>
      <c r="K1711" s="2"/>
    </row>
    <row r="1712" spans="1:11" x14ac:dyDescent="0.3">
      <c r="A1712" s="5" t="str">
        <f>IF(D1712="","",COUNTIF($D$5:D1712,"?*"))</f>
        <v/>
      </c>
      <c r="B1712" s="6"/>
      <c r="C1712" s="5" t="str">
        <f>IF(B1712="","",INDEX({"Ocak","Şubat","Mart","Nisan","Mayıs","Haziran","Temmuz","Ağustos","Eylül","Ekim","Kasım","Aralık"},MONTH(B1712)))</f>
        <v/>
      </c>
      <c r="D1712" s="2"/>
      <c r="E1712" s="5" t="str">
        <f>IFERROR(INDEX('Malzeme Tanımlama'!$B$5:$B$300,MATCH(D1712,'Malzeme Tanımlama'!$A$5:$A$300,0)),"")</f>
        <v/>
      </c>
      <c r="F1712" s="2"/>
      <c r="G1712" s="5"/>
      <c r="H1712" s="5" t="str">
        <f>IFERROR(INDEX('Malzeme Tanımlama'!$D$5:$D$300,MATCH(D1712,'Malzeme Tanımlama'!$A$5:$A$300,0)),"")</f>
        <v/>
      </c>
      <c r="I1712" s="2"/>
      <c r="J1712" s="2"/>
      <c r="K1712" s="2"/>
    </row>
    <row r="1713" spans="1:11" x14ac:dyDescent="0.3">
      <c r="A1713" s="5" t="str">
        <f>IF(D1713="","",COUNTIF($D$5:D1713,"?*"))</f>
        <v/>
      </c>
      <c r="B1713" s="6"/>
      <c r="C1713" s="5" t="str">
        <f>IF(B1713="","",INDEX({"Ocak","Şubat","Mart","Nisan","Mayıs","Haziran","Temmuz","Ağustos","Eylül","Ekim","Kasım","Aralık"},MONTH(B1713)))</f>
        <v/>
      </c>
      <c r="D1713" s="2"/>
      <c r="E1713" s="5" t="str">
        <f>IFERROR(INDEX('Malzeme Tanımlama'!$B$5:$B$300,MATCH(D1713,'Malzeme Tanımlama'!$A$5:$A$300,0)),"")</f>
        <v/>
      </c>
      <c r="F1713" s="2"/>
      <c r="G1713" s="5"/>
      <c r="H1713" s="5" t="str">
        <f>IFERROR(INDEX('Malzeme Tanımlama'!$D$5:$D$300,MATCH(D1713,'Malzeme Tanımlama'!$A$5:$A$300,0)),"")</f>
        <v/>
      </c>
      <c r="I1713" s="2"/>
      <c r="J1713" s="2"/>
      <c r="K1713" s="2"/>
    </row>
    <row r="1714" spans="1:11" x14ac:dyDescent="0.3">
      <c r="A1714" s="5" t="str">
        <f>IF(D1714="","",COUNTIF($D$5:D1714,"?*"))</f>
        <v/>
      </c>
      <c r="B1714" s="6"/>
      <c r="C1714" s="5" t="str">
        <f>IF(B1714="","",INDEX({"Ocak","Şubat","Mart","Nisan","Mayıs","Haziran","Temmuz","Ağustos","Eylül","Ekim","Kasım","Aralık"},MONTH(B1714)))</f>
        <v/>
      </c>
      <c r="D1714" s="2"/>
      <c r="E1714" s="5" t="str">
        <f>IFERROR(INDEX('Malzeme Tanımlama'!$B$5:$B$300,MATCH(D1714,'Malzeme Tanımlama'!$A$5:$A$300,0)),"")</f>
        <v/>
      </c>
      <c r="F1714" s="2"/>
      <c r="G1714" s="5"/>
      <c r="H1714" s="5" t="str">
        <f>IFERROR(INDEX('Malzeme Tanımlama'!$D$5:$D$300,MATCH(D1714,'Malzeme Tanımlama'!$A$5:$A$300,0)),"")</f>
        <v/>
      </c>
      <c r="I1714" s="2"/>
      <c r="J1714" s="2"/>
      <c r="K1714" s="2"/>
    </row>
    <row r="1715" spans="1:11" x14ac:dyDescent="0.3">
      <c r="A1715" s="5" t="str">
        <f>IF(D1715="","",COUNTIF($D$5:D1715,"?*"))</f>
        <v/>
      </c>
      <c r="B1715" s="6"/>
      <c r="C1715" s="5" t="str">
        <f>IF(B1715="","",INDEX({"Ocak","Şubat","Mart","Nisan","Mayıs","Haziran","Temmuz","Ağustos","Eylül","Ekim","Kasım","Aralık"},MONTH(B1715)))</f>
        <v/>
      </c>
      <c r="D1715" s="2"/>
      <c r="E1715" s="5" t="str">
        <f>IFERROR(INDEX('Malzeme Tanımlama'!$B$5:$B$300,MATCH(D1715,'Malzeme Tanımlama'!$A$5:$A$300,0)),"")</f>
        <v/>
      </c>
      <c r="F1715" s="2"/>
      <c r="G1715" s="5"/>
      <c r="H1715" s="5" t="str">
        <f>IFERROR(INDEX('Malzeme Tanımlama'!$D$5:$D$300,MATCH(D1715,'Malzeme Tanımlama'!$A$5:$A$300,0)),"")</f>
        <v/>
      </c>
      <c r="I1715" s="2"/>
      <c r="J1715" s="2"/>
      <c r="K1715" s="2"/>
    </row>
    <row r="1716" spans="1:11" x14ac:dyDescent="0.3">
      <c r="A1716" s="5" t="str">
        <f>IF(D1716="","",COUNTIF($D$5:D1716,"?*"))</f>
        <v/>
      </c>
      <c r="B1716" s="6"/>
      <c r="C1716" s="5" t="str">
        <f>IF(B1716="","",INDEX({"Ocak","Şubat","Mart","Nisan","Mayıs","Haziran","Temmuz","Ağustos","Eylül","Ekim","Kasım","Aralık"},MONTH(B1716)))</f>
        <v/>
      </c>
      <c r="D1716" s="2"/>
      <c r="E1716" s="5" t="str">
        <f>IFERROR(INDEX('Malzeme Tanımlama'!$B$5:$B$300,MATCH(D1716,'Malzeme Tanımlama'!$A$5:$A$300,0)),"")</f>
        <v/>
      </c>
      <c r="F1716" s="2"/>
      <c r="G1716" s="5"/>
      <c r="H1716" s="5" t="str">
        <f>IFERROR(INDEX('Malzeme Tanımlama'!$D$5:$D$300,MATCH(D1716,'Malzeme Tanımlama'!$A$5:$A$300,0)),"")</f>
        <v/>
      </c>
      <c r="I1716" s="2"/>
      <c r="J1716" s="2"/>
      <c r="K1716" s="2"/>
    </row>
    <row r="1717" spans="1:11" x14ac:dyDescent="0.3">
      <c r="A1717" s="5" t="str">
        <f>IF(D1717="","",COUNTIF($D$5:D1717,"?*"))</f>
        <v/>
      </c>
      <c r="B1717" s="6"/>
      <c r="C1717" s="5" t="str">
        <f>IF(B1717="","",INDEX({"Ocak","Şubat","Mart","Nisan","Mayıs","Haziran","Temmuz","Ağustos","Eylül","Ekim","Kasım","Aralık"},MONTH(B1717)))</f>
        <v/>
      </c>
      <c r="D1717" s="2"/>
      <c r="E1717" s="5" t="str">
        <f>IFERROR(INDEX('Malzeme Tanımlama'!$B$5:$B$300,MATCH(D1717,'Malzeme Tanımlama'!$A$5:$A$300,0)),"")</f>
        <v/>
      </c>
      <c r="F1717" s="2"/>
      <c r="G1717" s="5"/>
      <c r="H1717" s="5" t="str">
        <f>IFERROR(INDEX('Malzeme Tanımlama'!$D$5:$D$300,MATCH(D1717,'Malzeme Tanımlama'!$A$5:$A$300,0)),"")</f>
        <v/>
      </c>
      <c r="I1717" s="2"/>
      <c r="J1717" s="2"/>
      <c r="K1717" s="2"/>
    </row>
    <row r="1718" spans="1:11" x14ac:dyDescent="0.3">
      <c r="A1718" s="5" t="str">
        <f>IF(D1718="","",COUNTIF($D$5:D1718,"?*"))</f>
        <v/>
      </c>
      <c r="B1718" s="6"/>
      <c r="C1718" s="5" t="str">
        <f>IF(B1718="","",INDEX({"Ocak","Şubat","Mart","Nisan","Mayıs","Haziran","Temmuz","Ağustos","Eylül","Ekim","Kasım","Aralık"},MONTH(B1718)))</f>
        <v/>
      </c>
      <c r="D1718" s="2"/>
      <c r="E1718" s="5" t="str">
        <f>IFERROR(INDEX('Malzeme Tanımlama'!$B$5:$B$300,MATCH(D1718,'Malzeme Tanımlama'!$A$5:$A$300,0)),"")</f>
        <v/>
      </c>
      <c r="F1718" s="2"/>
      <c r="G1718" s="5"/>
      <c r="H1718" s="5" t="str">
        <f>IFERROR(INDEX('Malzeme Tanımlama'!$D$5:$D$300,MATCH(D1718,'Malzeme Tanımlama'!$A$5:$A$300,0)),"")</f>
        <v/>
      </c>
      <c r="I1718" s="2"/>
      <c r="J1718" s="2"/>
      <c r="K1718" s="2"/>
    </row>
    <row r="1719" spans="1:11" x14ac:dyDescent="0.3">
      <c r="A1719" s="5" t="str">
        <f>IF(D1719="","",COUNTIF($D$5:D1719,"?*"))</f>
        <v/>
      </c>
      <c r="B1719" s="6"/>
      <c r="C1719" s="5" t="str">
        <f>IF(B1719="","",INDEX({"Ocak","Şubat","Mart","Nisan","Mayıs","Haziran","Temmuz","Ağustos","Eylül","Ekim","Kasım","Aralık"},MONTH(B1719)))</f>
        <v/>
      </c>
      <c r="D1719" s="2"/>
      <c r="E1719" s="5" t="str">
        <f>IFERROR(INDEX('Malzeme Tanımlama'!$B$5:$B$300,MATCH(D1719,'Malzeme Tanımlama'!$A$5:$A$300,0)),"")</f>
        <v/>
      </c>
      <c r="F1719" s="2"/>
      <c r="G1719" s="5"/>
      <c r="H1719" s="5" t="str">
        <f>IFERROR(INDEX('Malzeme Tanımlama'!$D$5:$D$300,MATCH(D1719,'Malzeme Tanımlama'!$A$5:$A$300,0)),"")</f>
        <v/>
      </c>
      <c r="I1719" s="2"/>
      <c r="J1719" s="2"/>
      <c r="K1719" s="2"/>
    </row>
    <row r="1720" spans="1:11" x14ac:dyDescent="0.3">
      <c r="A1720" s="5" t="str">
        <f>IF(D1720="","",COUNTIF($D$5:D1720,"?*"))</f>
        <v/>
      </c>
      <c r="B1720" s="6"/>
      <c r="C1720" s="5" t="str">
        <f>IF(B1720="","",INDEX({"Ocak","Şubat","Mart","Nisan","Mayıs","Haziran","Temmuz","Ağustos","Eylül","Ekim","Kasım","Aralık"},MONTH(B1720)))</f>
        <v/>
      </c>
      <c r="D1720" s="2"/>
      <c r="E1720" s="5" t="str">
        <f>IFERROR(INDEX('Malzeme Tanımlama'!$B$5:$B$300,MATCH(D1720,'Malzeme Tanımlama'!$A$5:$A$300,0)),"")</f>
        <v/>
      </c>
      <c r="F1720" s="2"/>
      <c r="G1720" s="5"/>
      <c r="H1720" s="5" t="str">
        <f>IFERROR(INDEX('Malzeme Tanımlama'!$D$5:$D$300,MATCH(D1720,'Malzeme Tanımlama'!$A$5:$A$300,0)),"")</f>
        <v/>
      </c>
      <c r="I1720" s="2"/>
      <c r="J1720" s="2"/>
      <c r="K1720" s="2"/>
    </row>
    <row r="1721" spans="1:11" x14ac:dyDescent="0.3">
      <c r="A1721" s="5" t="str">
        <f>IF(D1721="","",COUNTIF($D$5:D1721,"?*"))</f>
        <v/>
      </c>
      <c r="B1721" s="6"/>
      <c r="C1721" s="5" t="str">
        <f>IF(B1721="","",INDEX({"Ocak","Şubat","Mart","Nisan","Mayıs","Haziran","Temmuz","Ağustos","Eylül","Ekim","Kasım","Aralık"},MONTH(B1721)))</f>
        <v/>
      </c>
      <c r="D1721" s="2"/>
      <c r="E1721" s="5" t="str">
        <f>IFERROR(INDEX('Malzeme Tanımlama'!$B$5:$B$300,MATCH(D1721,'Malzeme Tanımlama'!$A$5:$A$300,0)),"")</f>
        <v/>
      </c>
      <c r="F1721" s="2"/>
      <c r="G1721" s="5"/>
      <c r="H1721" s="5" t="str">
        <f>IFERROR(INDEX('Malzeme Tanımlama'!$D$5:$D$300,MATCH(D1721,'Malzeme Tanımlama'!$A$5:$A$300,0)),"")</f>
        <v/>
      </c>
      <c r="I1721" s="2"/>
      <c r="J1721" s="2"/>
      <c r="K1721" s="2"/>
    </row>
    <row r="1722" spans="1:11" x14ac:dyDescent="0.3">
      <c r="A1722" s="5" t="str">
        <f>IF(D1722="","",COUNTIF($D$5:D1722,"?*"))</f>
        <v/>
      </c>
      <c r="B1722" s="6"/>
      <c r="C1722" s="5" t="str">
        <f>IF(B1722="","",INDEX({"Ocak","Şubat","Mart","Nisan","Mayıs","Haziran","Temmuz","Ağustos","Eylül","Ekim","Kasım","Aralık"},MONTH(B1722)))</f>
        <v/>
      </c>
      <c r="D1722" s="2"/>
      <c r="E1722" s="5" t="str">
        <f>IFERROR(INDEX('Malzeme Tanımlama'!$B$5:$B$300,MATCH(D1722,'Malzeme Tanımlama'!$A$5:$A$300,0)),"")</f>
        <v/>
      </c>
      <c r="F1722" s="2"/>
      <c r="G1722" s="5"/>
      <c r="H1722" s="5" t="str">
        <f>IFERROR(INDEX('Malzeme Tanımlama'!$D$5:$D$300,MATCH(D1722,'Malzeme Tanımlama'!$A$5:$A$300,0)),"")</f>
        <v/>
      </c>
      <c r="I1722" s="2"/>
      <c r="J1722" s="2"/>
      <c r="K1722" s="2"/>
    </row>
    <row r="1723" spans="1:11" x14ac:dyDescent="0.3">
      <c r="A1723" s="5" t="str">
        <f>IF(D1723="","",COUNTIF($D$5:D1723,"?*"))</f>
        <v/>
      </c>
      <c r="B1723" s="6"/>
      <c r="C1723" s="5" t="str">
        <f>IF(B1723="","",INDEX({"Ocak","Şubat","Mart","Nisan","Mayıs","Haziran","Temmuz","Ağustos","Eylül","Ekim","Kasım","Aralık"},MONTH(B1723)))</f>
        <v/>
      </c>
      <c r="D1723" s="2"/>
      <c r="E1723" s="5" t="str">
        <f>IFERROR(INDEX('Malzeme Tanımlama'!$B$5:$B$300,MATCH(D1723,'Malzeme Tanımlama'!$A$5:$A$300,0)),"")</f>
        <v/>
      </c>
      <c r="F1723" s="2"/>
      <c r="G1723" s="5"/>
      <c r="H1723" s="5" t="str">
        <f>IFERROR(INDEX('Malzeme Tanımlama'!$D$5:$D$300,MATCH(D1723,'Malzeme Tanımlama'!$A$5:$A$300,0)),"")</f>
        <v/>
      </c>
      <c r="I1723" s="2"/>
      <c r="J1723" s="2"/>
      <c r="K1723" s="2"/>
    </row>
    <row r="1724" spans="1:11" x14ac:dyDescent="0.3">
      <c r="A1724" s="5" t="str">
        <f>IF(D1724="","",COUNTIF($D$5:D1724,"?*"))</f>
        <v/>
      </c>
      <c r="B1724" s="6"/>
      <c r="C1724" s="5" t="str">
        <f>IF(B1724="","",INDEX({"Ocak","Şubat","Mart","Nisan","Mayıs","Haziran","Temmuz","Ağustos","Eylül","Ekim","Kasım","Aralık"},MONTH(B1724)))</f>
        <v/>
      </c>
      <c r="D1724" s="2"/>
      <c r="E1724" s="5" t="str">
        <f>IFERROR(INDEX('Malzeme Tanımlama'!$B$5:$B$300,MATCH(D1724,'Malzeme Tanımlama'!$A$5:$A$300,0)),"")</f>
        <v/>
      </c>
      <c r="F1724" s="2"/>
      <c r="G1724" s="5"/>
      <c r="H1724" s="5" t="str">
        <f>IFERROR(INDEX('Malzeme Tanımlama'!$D$5:$D$300,MATCH(D1724,'Malzeme Tanımlama'!$A$5:$A$300,0)),"")</f>
        <v/>
      </c>
      <c r="I1724" s="2"/>
      <c r="J1724" s="2"/>
      <c r="K1724" s="2"/>
    </row>
    <row r="1725" spans="1:11" x14ac:dyDescent="0.3">
      <c r="A1725" s="5" t="str">
        <f>IF(D1725="","",COUNTIF($D$5:D1725,"?*"))</f>
        <v/>
      </c>
      <c r="B1725" s="6"/>
      <c r="C1725" s="5" t="str">
        <f>IF(B1725="","",INDEX({"Ocak","Şubat","Mart","Nisan","Mayıs","Haziran","Temmuz","Ağustos","Eylül","Ekim","Kasım","Aralık"},MONTH(B1725)))</f>
        <v/>
      </c>
      <c r="D1725" s="2"/>
      <c r="E1725" s="5" t="str">
        <f>IFERROR(INDEX('Malzeme Tanımlama'!$B$5:$B$300,MATCH(D1725,'Malzeme Tanımlama'!$A$5:$A$300,0)),"")</f>
        <v/>
      </c>
      <c r="F1725" s="2"/>
      <c r="G1725" s="5"/>
      <c r="H1725" s="5" t="str">
        <f>IFERROR(INDEX('Malzeme Tanımlama'!$D$5:$D$300,MATCH(D1725,'Malzeme Tanımlama'!$A$5:$A$300,0)),"")</f>
        <v/>
      </c>
      <c r="I1725" s="2"/>
      <c r="J1725" s="2"/>
      <c r="K1725" s="2"/>
    </row>
    <row r="1726" spans="1:11" x14ac:dyDescent="0.3">
      <c r="A1726" s="5" t="str">
        <f>IF(D1726="","",COUNTIF($D$5:D1726,"?*"))</f>
        <v/>
      </c>
      <c r="B1726" s="6"/>
      <c r="C1726" s="5" t="str">
        <f>IF(B1726="","",INDEX({"Ocak","Şubat","Mart","Nisan","Mayıs","Haziran","Temmuz","Ağustos","Eylül","Ekim","Kasım","Aralık"},MONTH(B1726)))</f>
        <v/>
      </c>
      <c r="D1726" s="2"/>
      <c r="E1726" s="5" t="str">
        <f>IFERROR(INDEX('Malzeme Tanımlama'!$B$5:$B$300,MATCH(D1726,'Malzeme Tanımlama'!$A$5:$A$300,0)),"")</f>
        <v/>
      </c>
      <c r="F1726" s="2"/>
      <c r="G1726" s="5"/>
      <c r="H1726" s="5" t="str">
        <f>IFERROR(INDEX('Malzeme Tanımlama'!$D$5:$D$300,MATCH(D1726,'Malzeme Tanımlama'!$A$5:$A$300,0)),"")</f>
        <v/>
      </c>
      <c r="I1726" s="2"/>
      <c r="J1726" s="2"/>
      <c r="K1726" s="2"/>
    </row>
    <row r="1727" spans="1:11" x14ac:dyDescent="0.3">
      <c r="A1727" s="5" t="str">
        <f>IF(D1727="","",COUNTIF($D$5:D1727,"?*"))</f>
        <v/>
      </c>
      <c r="B1727" s="6"/>
      <c r="C1727" s="5" t="str">
        <f>IF(B1727="","",INDEX({"Ocak","Şubat","Mart","Nisan","Mayıs","Haziran","Temmuz","Ağustos","Eylül","Ekim","Kasım","Aralık"},MONTH(B1727)))</f>
        <v/>
      </c>
      <c r="D1727" s="2"/>
      <c r="E1727" s="5" t="str">
        <f>IFERROR(INDEX('Malzeme Tanımlama'!$B$5:$B$300,MATCH(D1727,'Malzeme Tanımlama'!$A$5:$A$300,0)),"")</f>
        <v/>
      </c>
      <c r="F1727" s="2"/>
      <c r="G1727" s="5"/>
      <c r="H1727" s="5" t="str">
        <f>IFERROR(INDEX('Malzeme Tanımlama'!$D$5:$D$300,MATCH(D1727,'Malzeme Tanımlama'!$A$5:$A$300,0)),"")</f>
        <v/>
      </c>
      <c r="I1727" s="2"/>
      <c r="J1727" s="2"/>
      <c r="K1727" s="2"/>
    </row>
    <row r="1728" spans="1:11" x14ac:dyDescent="0.3">
      <c r="A1728" s="5" t="str">
        <f>IF(D1728="","",COUNTIF($D$5:D1728,"?*"))</f>
        <v/>
      </c>
      <c r="B1728" s="6"/>
      <c r="C1728" s="5" t="str">
        <f>IF(B1728="","",INDEX({"Ocak","Şubat","Mart","Nisan","Mayıs","Haziran","Temmuz","Ağustos","Eylül","Ekim","Kasım","Aralık"},MONTH(B1728)))</f>
        <v/>
      </c>
      <c r="D1728" s="2"/>
      <c r="E1728" s="5" t="str">
        <f>IFERROR(INDEX('Malzeme Tanımlama'!$B$5:$B$300,MATCH(D1728,'Malzeme Tanımlama'!$A$5:$A$300,0)),"")</f>
        <v/>
      </c>
      <c r="F1728" s="2"/>
      <c r="G1728" s="5"/>
      <c r="H1728" s="5" t="str">
        <f>IFERROR(INDEX('Malzeme Tanımlama'!$D$5:$D$300,MATCH(D1728,'Malzeme Tanımlama'!$A$5:$A$300,0)),"")</f>
        <v/>
      </c>
      <c r="I1728" s="2"/>
      <c r="J1728" s="2"/>
      <c r="K1728" s="2"/>
    </row>
    <row r="1729" spans="1:11" x14ac:dyDescent="0.3">
      <c r="A1729" s="5" t="str">
        <f>IF(D1729="","",COUNTIF($D$5:D1729,"?*"))</f>
        <v/>
      </c>
      <c r="B1729" s="6"/>
      <c r="C1729" s="5" t="str">
        <f>IF(B1729="","",INDEX({"Ocak","Şubat","Mart","Nisan","Mayıs","Haziran","Temmuz","Ağustos","Eylül","Ekim","Kasım","Aralık"},MONTH(B1729)))</f>
        <v/>
      </c>
      <c r="D1729" s="2"/>
      <c r="E1729" s="5" t="str">
        <f>IFERROR(INDEX('Malzeme Tanımlama'!$B$5:$B$300,MATCH(D1729,'Malzeme Tanımlama'!$A$5:$A$300,0)),"")</f>
        <v/>
      </c>
      <c r="F1729" s="2"/>
      <c r="G1729" s="5"/>
      <c r="H1729" s="5" t="str">
        <f>IFERROR(INDEX('Malzeme Tanımlama'!$D$5:$D$300,MATCH(D1729,'Malzeme Tanımlama'!$A$5:$A$300,0)),"")</f>
        <v/>
      </c>
      <c r="I1729" s="2"/>
      <c r="J1729" s="2"/>
      <c r="K1729" s="2"/>
    </row>
    <row r="1730" spans="1:11" x14ac:dyDescent="0.3">
      <c r="A1730" s="5" t="str">
        <f>IF(D1730="","",COUNTIF($D$5:D1730,"?*"))</f>
        <v/>
      </c>
      <c r="B1730" s="6"/>
      <c r="C1730" s="5" t="str">
        <f>IF(B1730="","",INDEX({"Ocak","Şubat","Mart","Nisan","Mayıs","Haziran","Temmuz","Ağustos","Eylül","Ekim","Kasım","Aralık"},MONTH(B1730)))</f>
        <v/>
      </c>
      <c r="D1730" s="2"/>
      <c r="E1730" s="5" t="str">
        <f>IFERROR(INDEX('Malzeme Tanımlama'!$B$5:$B$300,MATCH(D1730,'Malzeme Tanımlama'!$A$5:$A$300,0)),"")</f>
        <v/>
      </c>
      <c r="F1730" s="2"/>
      <c r="G1730" s="5"/>
      <c r="H1730" s="5" t="str">
        <f>IFERROR(INDEX('Malzeme Tanımlama'!$D$5:$D$300,MATCH(D1730,'Malzeme Tanımlama'!$A$5:$A$300,0)),"")</f>
        <v/>
      </c>
      <c r="I1730" s="2"/>
      <c r="J1730" s="2"/>
      <c r="K1730" s="2"/>
    </row>
    <row r="1731" spans="1:11" x14ac:dyDescent="0.3">
      <c r="A1731" s="5" t="str">
        <f>IF(D1731="","",COUNTIF($D$5:D1731,"?*"))</f>
        <v/>
      </c>
      <c r="B1731" s="6"/>
      <c r="C1731" s="5" t="str">
        <f>IF(B1731="","",INDEX({"Ocak","Şubat","Mart","Nisan","Mayıs","Haziran","Temmuz","Ağustos","Eylül","Ekim","Kasım","Aralık"},MONTH(B1731)))</f>
        <v/>
      </c>
      <c r="D1731" s="2"/>
      <c r="E1731" s="5" t="str">
        <f>IFERROR(INDEX('Malzeme Tanımlama'!$B$5:$B$300,MATCH(D1731,'Malzeme Tanımlama'!$A$5:$A$300,0)),"")</f>
        <v/>
      </c>
      <c r="F1731" s="2"/>
      <c r="G1731" s="5"/>
      <c r="H1731" s="5" t="str">
        <f>IFERROR(INDEX('Malzeme Tanımlama'!$D$5:$D$300,MATCH(D1731,'Malzeme Tanımlama'!$A$5:$A$300,0)),"")</f>
        <v/>
      </c>
      <c r="I1731" s="2"/>
      <c r="J1731" s="2"/>
      <c r="K1731" s="2"/>
    </row>
    <row r="1732" spans="1:11" x14ac:dyDescent="0.3">
      <c r="A1732" s="5" t="str">
        <f>IF(D1732="","",COUNTIF($D$5:D1732,"?*"))</f>
        <v/>
      </c>
      <c r="B1732" s="6"/>
      <c r="C1732" s="5" t="str">
        <f>IF(B1732="","",INDEX({"Ocak","Şubat","Mart","Nisan","Mayıs","Haziran","Temmuz","Ağustos","Eylül","Ekim","Kasım","Aralık"},MONTH(B1732)))</f>
        <v/>
      </c>
      <c r="D1732" s="2"/>
      <c r="E1732" s="5" t="str">
        <f>IFERROR(INDEX('Malzeme Tanımlama'!$B$5:$B$300,MATCH(D1732,'Malzeme Tanımlama'!$A$5:$A$300,0)),"")</f>
        <v/>
      </c>
      <c r="F1732" s="2"/>
      <c r="G1732" s="5"/>
      <c r="H1732" s="5" t="str">
        <f>IFERROR(INDEX('Malzeme Tanımlama'!$D$5:$D$300,MATCH(D1732,'Malzeme Tanımlama'!$A$5:$A$300,0)),"")</f>
        <v/>
      </c>
      <c r="I1732" s="2"/>
      <c r="J1732" s="2"/>
      <c r="K1732" s="2"/>
    </row>
    <row r="1733" spans="1:11" x14ac:dyDescent="0.3">
      <c r="A1733" s="5" t="str">
        <f>IF(D1733="","",COUNTIF($D$5:D1733,"?*"))</f>
        <v/>
      </c>
      <c r="B1733" s="6"/>
      <c r="C1733" s="5" t="str">
        <f>IF(B1733="","",INDEX({"Ocak","Şubat","Mart","Nisan","Mayıs","Haziran","Temmuz","Ağustos","Eylül","Ekim","Kasım","Aralık"},MONTH(B1733)))</f>
        <v/>
      </c>
      <c r="D1733" s="2"/>
      <c r="E1733" s="5" t="str">
        <f>IFERROR(INDEX('Malzeme Tanımlama'!$B$5:$B$300,MATCH(D1733,'Malzeme Tanımlama'!$A$5:$A$300,0)),"")</f>
        <v/>
      </c>
      <c r="F1733" s="2"/>
      <c r="G1733" s="5"/>
      <c r="H1733" s="5" t="str">
        <f>IFERROR(INDEX('Malzeme Tanımlama'!$D$5:$D$300,MATCH(D1733,'Malzeme Tanımlama'!$A$5:$A$300,0)),"")</f>
        <v/>
      </c>
      <c r="I1733" s="2"/>
      <c r="J1733" s="2"/>
      <c r="K1733" s="2"/>
    </row>
    <row r="1734" spans="1:11" x14ac:dyDescent="0.3">
      <c r="A1734" s="5" t="str">
        <f>IF(D1734="","",COUNTIF($D$5:D1734,"?*"))</f>
        <v/>
      </c>
      <c r="B1734" s="6"/>
      <c r="C1734" s="5" t="str">
        <f>IF(B1734="","",INDEX({"Ocak","Şubat","Mart","Nisan","Mayıs","Haziran","Temmuz","Ağustos","Eylül","Ekim","Kasım","Aralık"},MONTH(B1734)))</f>
        <v/>
      </c>
      <c r="D1734" s="2"/>
      <c r="E1734" s="5" t="str">
        <f>IFERROR(INDEX('Malzeme Tanımlama'!$B$5:$B$300,MATCH(D1734,'Malzeme Tanımlama'!$A$5:$A$300,0)),"")</f>
        <v/>
      </c>
      <c r="F1734" s="2"/>
      <c r="G1734" s="5"/>
      <c r="H1734" s="5" t="str">
        <f>IFERROR(INDEX('Malzeme Tanımlama'!$D$5:$D$300,MATCH(D1734,'Malzeme Tanımlama'!$A$5:$A$300,0)),"")</f>
        <v/>
      </c>
      <c r="I1734" s="2"/>
      <c r="J1734" s="2"/>
      <c r="K1734" s="2"/>
    </row>
    <row r="1735" spans="1:11" x14ac:dyDescent="0.3">
      <c r="A1735" s="5" t="str">
        <f>IF(D1735="","",COUNTIF($D$5:D1735,"?*"))</f>
        <v/>
      </c>
      <c r="B1735" s="6"/>
      <c r="C1735" s="5" t="str">
        <f>IF(B1735="","",INDEX({"Ocak","Şubat","Mart","Nisan","Mayıs","Haziran","Temmuz","Ağustos","Eylül","Ekim","Kasım","Aralık"},MONTH(B1735)))</f>
        <v/>
      </c>
      <c r="D1735" s="2"/>
      <c r="E1735" s="5" t="str">
        <f>IFERROR(INDEX('Malzeme Tanımlama'!$B$5:$B$300,MATCH(D1735,'Malzeme Tanımlama'!$A$5:$A$300,0)),"")</f>
        <v/>
      </c>
      <c r="F1735" s="2"/>
      <c r="G1735" s="5"/>
      <c r="H1735" s="5" t="str">
        <f>IFERROR(INDEX('Malzeme Tanımlama'!$D$5:$D$300,MATCH(D1735,'Malzeme Tanımlama'!$A$5:$A$300,0)),"")</f>
        <v/>
      </c>
      <c r="I1735" s="2"/>
      <c r="J1735" s="2"/>
      <c r="K1735" s="2"/>
    </row>
    <row r="1736" spans="1:11" x14ac:dyDescent="0.3">
      <c r="A1736" s="5" t="str">
        <f>IF(D1736="","",COUNTIF($D$5:D1736,"?*"))</f>
        <v/>
      </c>
      <c r="B1736" s="6"/>
      <c r="C1736" s="5" t="str">
        <f>IF(B1736="","",INDEX({"Ocak","Şubat","Mart","Nisan","Mayıs","Haziran","Temmuz","Ağustos","Eylül","Ekim","Kasım","Aralık"},MONTH(B1736)))</f>
        <v/>
      </c>
      <c r="D1736" s="2"/>
      <c r="E1736" s="5" t="str">
        <f>IFERROR(INDEX('Malzeme Tanımlama'!$B$5:$B$300,MATCH(D1736,'Malzeme Tanımlama'!$A$5:$A$300,0)),"")</f>
        <v/>
      </c>
      <c r="F1736" s="2"/>
      <c r="G1736" s="5"/>
      <c r="H1736" s="5" t="str">
        <f>IFERROR(INDEX('Malzeme Tanımlama'!$D$5:$D$300,MATCH(D1736,'Malzeme Tanımlama'!$A$5:$A$300,0)),"")</f>
        <v/>
      </c>
      <c r="I1736" s="2"/>
      <c r="J1736" s="2"/>
      <c r="K1736" s="2"/>
    </row>
    <row r="1737" spans="1:11" x14ac:dyDescent="0.3">
      <c r="A1737" s="5" t="str">
        <f>IF(D1737="","",COUNTIF($D$5:D1737,"?*"))</f>
        <v/>
      </c>
      <c r="B1737" s="6"/>
      <c r="C1737" s="5" t="str">
        <f>IF(B1737="","",INDEX({"Ocak","Şubat","Mart","Nisan","Mayıs","Haziran","Temmuz","Ağustos","Eylül","Ekim","Kasım","Aralık"},MONTH(B1737)))</f>
        <v/>
      </c>
      <c r="D1737" s="2"/>
      <c r="E1737" s="5" t="str">
        <f>IFERROR(INDEX('Malzeme Tanımlama'!$B$5:$B$300,MATCH(D1737,'Malzeme Tanımlama'!$A$5:$A$300,0)),"")</f>
        <v/>
      </c>
      <c r="F1737" s="2"/>
      <c r="G1737" s="5"/>
      <c r="H1737" s="5" t="str">
        <f>IFERROR(INDEX('Malzeme Tanımlama'!$D$5:$D$300,MATCH(D1737,'Malzeme Tanımlama'!$A$5:$A$300,0)),"")</f>
        <v/>
      </c>
      <c r="I1737" s="2"/>
      <c r="J1737" s="2"/>
      <c r="K1737" s="2"/>
    </row>
    <row r="1738" spans="1:11" x14ac:dyDescent="0.3">
      <c r="A1738" s="5" t="str">
        <f>IF(D1738="","",COUNTIF($D$5:D1738,"?*"))</f>
        <v/>
      </c>
      <c r="B1738" s="6"/>
      <c r="C1738" s="5" t="str">
        <f>IF(B1738="","",INDEX({"Ocak","Şubat","Mart","Nisan","Mayıs","Haziran","Temmuz","Ağustos","Eylül","Ekim","Kasım","Aralık"},MONTH(B1738)))</f>
        <v/>
      </c>
      <c r="D1738" s="2"/>
      <c r="E1738" s="5" t="str">
        <f>IFERROR(INDEX('Malzeme Tanımlama'!$B$5:$B$300,MATCH(D1738,'Malzeme Tanımlama'!$A$5:$A$300,0)),"")</f>
        <v/>
      </c>
      <c r="F1738" s="2"/>
      <c r="G1738" s="5"/>
      <c r="H1738" s="5" t="str">
        <f>IFERROR(INDEX('Malzeme Tanımlama'!$D$5:$D$300,MATCH(D1738,'Malzeme Tanımlama'!$A$5:$A$300,0)),"")</f>
        <v/>
      </c>
      <c r="I1738" s="2"/>
      <c r="J1738" s="2"/>
      <c r="K1738" s="2"/>
    </row>
    <row r="1739" spans="1:11" x14ac:dyDescent="0.3">
      <c r="A1739" s="5" t="str">
        <f>IF(D1739="","",COUNTIF($D$5:D1739,"?*"))</f>
        <v/>
      </c>
      <c r="B1739" s="6"/>
      <c r="C1739" s="5" t="str">
        <f>IF(B1739="","",INDEX({"Ocak","Şubat","Mart","Nisan","Mayıs","Haziran","Temmuz","Ağustos","Eylül","Ekim","Kasım","Aralık"},MONTH(B1739)))</f>
        <v/>
      </c>
      <c r="D1739" s="2"/>
      <c r="E1739" s="5" t="str">
        <f>IFERROR(INDEX('Malzeme Tanımlama'!$B$5:$B$300,MATCH(D1739,'Malzeme Tanımlama'!$A$5:$A$300,0)),"")</f>
        <v/>
      </c>
      <c r="F1739" s="2"/>
      <c r="G1739" s="5"/>
      <c r="H1739" s="5" t="str">
        <f>IFERROR(INDEX('Malzeme Tanımlama'!$D$5:$D$300,MATCH(D1739,'Malzeme Tanımlama'!$A$5:$A$300,0)),"")</f>
        <v/>
      </c>
      <c r="I1739" s="2"/>
      <c r="J1739" s="2"/>
      <c r="K1739" s="2"/>
    </row>
    <row r="1740" spans="1:11" x14ac:dyDescent="0.3">
      <c r="A1740" s="5" t="str">
        <f>IF(D1740="","",COUNTIF($D$5:D1740,"?*"))</f>
        <v/>
      </c>
      <c r="B1740" s="6"/>
      <c r="C1740" s="5" t="str">
        <f>IF(B1740="","",INDEX({"Ocak","Şubat","Mart","Nisan","Mayıs","Haziran","Temmuz","Ağustos","Eylül","Ekim","Kasım","Aralık"},MONTH(B1740)))</f>
        <v/>
      </c>
      <c r="D1740" s="2"/>
      <c r="E1740" s="5" t="str">
        <f>IFERROR(INDEX('Malzeme Tanımlama'!$B$5:$B$300,MATCH(D1740,'Malzeme Tanımlama'!$A$5:$A$300,0)),"")</f>
        <v/>
      </c>
      <c r="F1740" s="2"/>
      <c r="G1740" s="5"/>
      <c r="H1740" s="5" t="str">
        <f>IFERROR(INDEX('Malzeme Tanımlama'!$D$5:$D$300,MATCH(D1740,'Malzeme Tanımlama'!$A$5:$A$300,0)),"")</f>
        <v/>
      </c>
      <c r="I1740" s="2"/>
      <c r="J1740" s="2"/>
      <c r="K1740" s="2"/>
    </row>
    <row r="1741" spans="1:11" x14ac:dyDescent="0.3">
      <c r="A1741" s="5" t="str">
        <f>IF(D1741="","",COUNTIF($D$5:D1741,"?*"))</f>
        <v/>
      </c>
      <c r="B1741" s="6"/>
      <c r="C1741" s="5" t="str">
        <f>IF(B1741="","",INDEX({"Ocak","Şubat","Mart","Nisan","Mayıs","Haziran","Temmuz","Ağustos","Eylül","Ekim","Kasım","Aralık"},MONTH(B1741)))</f>
        <v/>
      </c>
      <c r="D1741" s="2"/>
      <c r="E1741" s="5" t="str">
        <f>IFERROR(INDEX('Malzeme Tanımlama'!$B$5:$B$300,MATCH(D1741,'Malzeme Tanımlama'!$A$5:$A$300,0)),"")</f>
        <v/>
      </c>
      <c r="F1741" s="2"/>
      <c r="G1741" s="5"/>
      <c r="H1741" s="5" t="str">
        <f>IFERROR(INDEX('Malzeme Tanımlama'!$D$5:$D$300,MATCH(D1741,'Malzeme Tanımlama'!$A$5:$A$300,0)),"")</f>
        <v/>
      </c>
      <c r="I1741" s="2"/>
      <c r="J1741" s="2"/>
      <c r="K1741" s="2"/>
    </row>
    <row r="1742" spans="1:11" x14ac:dyDescent="0.3">
      <c r="A1742" s="5" t="str">
        <f>IF(D1742="","",COUNTIF($D$5:D1742,"?*"))</f>
        <v/>
      </c>
      <c r="B1742" s="6"/>
      <c r="C1742" s="5" t="str">
        <f>IF(B1742="","",INDEX({"Ocak","Şubat","Mart","Nisan","Mayıs","Haziran","Temmuz","Ağustos","Eylül","Ekim","Kasım","Aralık"},MONTH(B1742)))</f>
        <v/>
      </c>
      <c r="D1742" s="2"/>
      <c r="E1742" s="5" t="str">
        <f>IFERROR(INDEX('Malzeme Tanımlama'!$B$5:$B$300,MATCH(D1742,'Malzeme Tanımlama'!$A$5:$A$300,0)),"")</f>
        <v/>
      </c>
      <c r="F1742" s="2"/>
      <c r="G1742" s="5"/>
      <c r="H1742" s="5" t="str">
        <f>IFERROR(INDEX('Malzeme Tanımlama'!$D$5:$D$300,MATCH(D1742,'Malzeme Tanımlama'!$A$5:$A$300,0)),"")</f>
        <v/>
      </c>
      <c r="I1742" s="2"/>
      <c r="J1742" s="2"/>
      <c r="K1742" s="2"/>
    </row>
    <row r="1743" spans="1:11" x14ac:dyDescent="0.3">
      <c r="A1743" s="5" t="str">
        <f>IF(D1743="","",COUNTIF($D$5:D1743,"?*"))</f>
        <v/>
      </c>
      <c r="B1743" s="6"/>
      <c r="C1743" s="5" t="str">
        <f>IF(B1743="","",INDEX({"Ocak","Şubat","Mart","Nisan","Mayıs","Haziran","Temmuz","Ağustos","Eylül","Ekim","Kasım","Aralık"},MONTH(B1743)))</f>
        <v/>
      </c>
      <c r="D1743" s="2"/>
      <c r="E1743" s="5" t="str">
        <f>IFERROR(INDEX('Malzeme Tanımlama'!$B$5:$B$300,MATCH(D1743,'Malzeme Tanımlama'!$A$5:$A$300,0)),"")</f>
        <v/>
      </c>
      <c r="F1743" s="2"/>
      <c r="G1743" s="5"/>
      <c r="H1743" s="5" t="str">
        <f>IFERROR(INDEX('Malzeme Tanımlama'!$D$5:$D$300,MATCH(D1743,'Malzeme Tanımlama'!$A$5:$A$300,0)),"")</f>
        <v/>
      </c>
      <c r="I1743" s="2"/>
      <c r="J1743" s="2"/>
      <c r="K1743" s="2"/>
    </row>
    <row r="1744" spans="1:11" x14ac:dyDescent="0.3">
      <c r="A1744" s="5" t="str">
        <f>IF(D1744="","",COUNTIF($D$5:D1744,"?*"))</f>
        <v/>
      </c>
      <c r="B1744" s="6"/>
      <c r="C1744" s="5" t="str">
        <f>IF(B1744="","",INDEX({"Ocak","Şubat","Mart","Nisan","Mayıs","Haziran","Temmuz","Ağustos","Eylül","Ekim","Kasım","Aralık"},MONTH(B1744)))</f>
        <v/>
      </c>
      <c r="D1744" s="2"/>
      <c r="E1744" s="5" t="str">
        <f>IFERROR(INDEX('Malzeme Tanımlama'!$B$5:$B$300,MATCH(D1744,'Malzeme Tanımlama'!$A$5:$A$300,0)),"")</f>
        <v/>
      </c>
      <c r="F1744" s="2"/>
      <c r="G1744" s="5"/>
      <c r="H1744" s="5" t="str">
        <f>IFERROR(INDEX('Malzeme Tanımlama'!$D$5:$D$300,MATCH(D1744,'Malzeme Tanımlama'!$A$5:$A$300,0)),"")</f>
        <v/>
      </c>
      <c r="I1744" s="2"/>
      <c r="J1744" s="2"/>
      <c r="K1744" s="2"/>
    </row>
    <row r="1745" spans="1:11" x14ac:dyDescent="0.3">
      <c r="A1745" s="5" t="str">
        <f>IF(D1745="","",COUNTIF($D$5:D1745,"?*"))</f>
        <v/>
      </c>
      <c r="B1745" s="6"/>
      <c r="C1745" s="5" t="str">
        <f>IF(B1745="","",INDEX({"Ocak","Şubat","Mart","Nisan","Mayıs","Haziran","Temmuz","Ağustos","Eylül","Ekim","Kasım","Aralık"},MONTH(B1745)))</f>
        <v/>
      </c>
      <c r="D1745" s="2"/>
      <c r="E1745" s="5" t="str">
        <f>IFERROR(INDEX('Malzeme Tanımlama'!$B$5:$B$300,MATCH(D1745,'Malzeme Tanımlama'!$A$5:$A$300,0)),"")</f>
        <v/>
      </c>
      <c r="F1745" s="2"/>
      <c r="G1745" s="5"/>
      <c r="H1745" s="5" t="str">
        <f>IFERROR(INDEX('Malzeme Tanımlama'!$D$5:$D$300,MATCH(D1745,'Malzeme Tanımlama'!$A$5:$A$300,0)),"")</f>
        <v/>
      </c>
      <c r="I1745" s="2"/>
      <c r="J1745" s="2"/>
      <c r="K1745" s="2"/>
    </row>
    <row r="1746" spans="1:11" x14ac:dyDescent="0.3">
      <c r="A1746" s="5" t="str">
        <f>IF(D1746="","",COUNTIF($D$5:D1746,"?*"))</f>
        <v/>
      </c>
      <c r="B1746" s="6"/>
      <c r="C1746" s="5" t="str">
        <f>IF(B1746="","",INDEX({"Ocak","Şubat","Mart","Nisan","Mayıs","Haziran","Temmuz","Ağustos","Eylül","Ekim","Kasım","Aralık"},MONTH(B1746)))</f>
        <v/>
      </c>
      <c r="D1746" s="2"/>
      <c r="E1746" s="5" t="str">
        <f>IFERROR(INDEX('Malzeme Tanımlama'!$B$5:$B$300,MATCH(D1746,'Malzeme Tanımlama'!$A$5:$A$300,0)),"")</f>
        <v/>
      </c>
      <c r="F1746" s="2"/>
      <c r="G1746" s="5"/>
      <c r="H1746" s="5" t="str">
        <f>IFERROR(INDEX('Malzeme Tanımlama'!$D$5:$D$300,MATCH(D1746,'Malzeme Tanımlama'!$A$5:$A$300,0)),"")</f>
        <v/>
      </c>
      <c r="I1746" s="2"/>
      <c r="J1746" s="2"/>
      <c r="K1746" s="2"/>
    </row>
    <row r="1747" spans="1:11" x14ac:dyDescent="0.3">
      <c r="A1747" s="5" t="str">
        <f>IF(D1747="","",COUNTIF($D$5:D1747,"?*"))</f>
        <v/>
      </c>
      <c r="B1747" s="6"/>
      <c r="C1747" s="5" t="str">
        <f>IF(B1747="","",INDEX({"Ocak","Şubat","Mart","Nisan","Mayıs","Haziran","Temmuz","Ağustos","Eylül","Ekim","Kasım","Aralık"},MONTH(B1747)))</f>
        <v/>
      </c>
      <c r="D1747" s="2"/>
      <c r="E1747" s="5" t="str">
        <f>IFERROR(INDEX('Malzeme Tanımlama'!$B$5:$B$300,MATCH(D1747,'Malzeme Tanımlama'!$A$5:$A$300,0)),"")</f>
        <v/>
      </c>
      <c r="F1747" s="2"/>
      <c r="G1747" s="5"/>
      <c r="H1747" s="5" t="str">
        <f>IFERROR(INDEX('Malzeme Tanımlama'!$D$5:$D$300,MATCH(D1747,'Malzeme Tanımlama'!$A$5:$A$300,0)),"")</f>
        <v/>
      </c>
      <c r="I1747" s="2"/>
      <c r="J1747" s="2"/>
      <c r="K1747" s="2"/>
    </row>
    <row r="1748" spans="1:11" x14ac:dyDescent="0.3">
      <c r="A1748" s="5" t="str">
        <f>IF(D1748="","",COUNTIF($D$5:D1748,"?*"))</f>
        <v/>
      </c>
      <c r="B1748" s="6"/>
      <c r="C1748" s="5" t="str">
        <f>IF(B1748="","",INDEX({"Ocak","Şubat","Mart","Nisan","Mayıs","Haziran","Temmuz","Ağustos","Eylül","Ekim","Kasım","Aralık"},MONTH(B1748)))</f>
        <v/>
      </c>
      <c r="D1748" s="2"/>
      <c r="E1748" s="5" t="str">
        <f>IFERROR(INDEX('Malzeme Tanımlama'!$B$5:$B$300,MATCH(D1748,'Malzeme Tanımlama'!$A$5:$A$300,0)),"")</f>
        <v/>
      </c>
      <c r="F1748" s="2"/>
      <c r="G1748" s="5"/>
      <c r="H1748" s="5" t="str">
        <f>IFERROR(INDEX('Malzeme Tanımlama'!$D$5:$D$300,MATCH(D1748,'Malzeme Tanımlama'!$A$5:$A$300,0)),"")</f>
        <v/>
      </c>
      <c r="I1748" s="2"/>
      <c r="J1748" s="2"/>
      <c r="K1748" s="2"/>
    </row>
    <row r="1749" spans="1:11" x14ac:dyDescent="0.3">
      <c r="A1749" s="5" t="str">
        <f>IF(D1749="","",COUNTIF($D$5:D1749,"?*"))</f>
        <v/>
      </c>
      <c r="B1749" s="6"/>
      <c r="C1749" s="5" t="str">
        <f>IF(B1749="","",INDEX({"Ocak","Şubat","Mart","Nisan","Mayıs","Haziran","Temmuz","Ağustos","Eylül","Ekim","Kasım","Aralık"},MONTH(B1749)))</f>
        <v/>
      </c>
      <c r="D1749" s="2"/>
      <c r="E1749" s="5" t="str">
        <f>IFERROR(INDEX('Malzeme Tanımlama'!$B$5:$B$300,MATCH(D1749,'Malzeme Tanımlama'!$A$5:$A$300,0)),"")</f>
        <v/>
      </c>
      <c r="F1749" s="2"/>
      <c r="G1749" s="5"/>
      <c r="H1749" s="5" t="str">
        <f>IFERROR(INDEX('Malzeme Tanımlama'!$D$5:$D$300,MATCH(D1749,'Malzeme Tanımlama'!$A$5:$A$300,0)),"")</f>
        <v/>
      </c>
      <c r="I1749" s="2"/>
      <c r="J1749" s="2"/>
      <c r="K1749" s="2"/>
    </row>
    <row r="1750" spans="1:11" x14ac:dyDescent="0.3">
      <c r="A1750" s="5" t="str">
        <f>IF(D1750="","",COUNTIF($D$5:D1750,"?*"))</f>
        <v/>
      </c>
      <c r="B1750" s="6"/>
      <c r="C1750" s="5" t="str">
        <f>IF(B1750="","",INDEX({"Ocak","Şubat","Mart","Nisan","Mayıs","Haziran","Temmuz","Ağustos","Eylül","Ekim","Kasım","Aralık"},MONTH(B1750)))</f>
        <v/>
      </c>
      <c r="D1750" s="2"/>
      <c r="E1750" s="5" t="str">
        <f>IFERROR(INDEX('Malzeme Tanımlama'!$B$5:$B$300,MATCH(D1750,'Malzeme Tanımlama'!$A$5:$A$300,0)),"")</f>
        <v/>
      </c>
      <c r="F1750" s="2"/>
      <c r="G1750" s="5"/>
      <c r="H1750" s="5" t="str">
        <f>IFERROR(INDEX('Malzeme Tanımlama'!$D$5:$D$300,MATCH(D1750,'Malzeme Tanımlama'!$A$5:$A$300,0)),"")</f>
        <v/>
      </c>
      <c r="I1750" s="2"/>
      <c r="J1750" s="2"/>
      <c r="K1750" s="2"/>
    </row>
    <row r="1751" spans="1:11" x14ac:dyDescent="0.3">
      <c r="A1751" s="5" t="str">
        <f>IF(D1751="","",COUNTIF($D$5:D1751,"?*"))</f>
        <v/>
      </c>
      <c r="B1751" s="6"/>
      <c r="C1751" s="5" t="str">
        <f>IF(B1751="","",INDEX({"Ocak","Şubat","Mart","Nisan","Mayıs","Haziran","Temmuz","Ağustos","Eylül","Ekim","Kasım","Aralık"},MONTH(B1751)))</f>
        <v/>
      </c>
      <c r="D1751" s="2"/>
      <c r="E1751" s="5" t="str">
        <f>IFERROR(INDEX('Malzeme Tanımlama'!$B$5:$B$300,MATCH(D1751,'Malzeme Tanımlama'!$A$5:$A$300,0)),"")</f>
        <v/>
      </c>
      <c r="F1751" s="2"/>
      <c r="G1751" s="5"/>
      <c r="H1751" s="5" t="str">
        <f>IFERROR(INDEX('Malzeme Tanımlama'!$D$5:$D$300,MATCH(D1751,'Malzeme Tanımlama'!$A$5:$A$300,0)),"")</f>
        <v/>
      </c>
      <c r="I1751" s="2"/>
      <c r="J1751" s="2"/>
      <c r="K1751" s="2"/>
    </row>
    <row r="1752" spans="1:11" x14ac:dyDescent="0.3">
      <c r="A1752" s="5" t="str">
        <f>IF(D1752="","",COUNTIF($D$5:D1752,"?*"))</f>
        <v/>
      </c>
      <c r="B1752" s="6"/>
      <c r="C1752" s="5" t="str">
        <f>IF(B1752="","",INDEX({"Ocak","Şubat","Mart","Nisan","Mayıs","Haziran","Temmuz","Ağustos","Eylül","Ekim","Kasım","Aralık"},MONTH(B1752)))</f>
        <v/>
      </c>
      <c r="D1752" s="2"/>
      <c r="E1752" s="5" t="str">
        <f>IFERROR(INDEX('Malzeme Tanımlama'!$B$5:$B$300,MATCH(D1752,'Malzeme Tanımlama'!$A$5:$A$300,0)),"")</f>
        <v/>
      </c>
      <c r="F1752" s="2"/>
      <c r="G1752" s="5"/>
      <c r="H1752" s="5" t="str">
        <f>IFERROR(INDEX('Malzeme Tanımlama'!$D$5:$D$300,MATCH(D1752,'Malzeme Tanımlama'!$A$5:$A$300,0)),"")</f>
        <v/>
      </c>
      <c r="I1752" s="2"/>
      <c r="J1752" s="2"/>
      <c r="K1752" s="2"/>
    </row>
    <row r="1753" spans="1:11" x14ac:dyDescent="0.3">
      <c r="A1753" s="5" t="str">
        <f>IF(D1753="","",COUNTIF($D$5:D1753,"?*"))</f>
        <v/>
      </c>
      <c r="B1753" s="6"/>
      <c r="C1753" s="5" t="str">
        <f>IF(B1753="","",INDEX({"Ocak","Şubat","Mart","Nisan","Mayıs","Haziran","Temmuz","Ağustos","Eylül","Ekim","Kasım","Aralık"},MONTH(B1753)))</f>
        <v/>
      </c>
      <c r="D1753" s="2"/>
      <c r="E1753" s="5" t="str">
        <f>IFERROR(INDEX('Malzeme Tanımlama'!$B$5:$B$300,MATCH(D1753,'Malzeme Tanımlama'!$A$5:$A$300,0)),"")</f>
        <v/>
      </c>
      <c r="F1753" s="2"/>
      <c r="G1753" s="5"/>
      <c r="H1753" s="5" t="str">
        <f>IFERROR(INDEX('Malzeme Tanımlama'!$D$5:$D$300,MATCH(D1753,'Malzeme Tanımlama'!$A$5:$A$300,0)),"")</f>
        <v/>
      </c>
      <c r="I1753" s="2"/>
      <c r="J1753" s="2"/>
      <c r="K1753" s="2"/>
    </row>
    <row r="1754" spans="1:11" x14ac:dyDescent="0.3">
      <c r="A1754" s="5" t="str">
        <f>IF(D1754="","",COUNTIF($D$5:D1754,"?*"))</f>
        <v/>
      </c>
      <c r="B1754" s="6"/>
      <c r="C1754" s="5" t="str">
        <f>IF(B1754="","",INDEX({"Ocak","Şubat","Mart","Nisan","Mayıs","Haziran","Temmuz","Ağustos","Eylül","Ekim","Kasım","Aralık"},MONTH(B1754)))</f>
        <v/>
      </c>
      <c r="D1754" s="2"/>
      <c r="E1754" s="5" t="str">
        <f>IFERROR(INDEX('Malzeme Tanımlama'!$B$5:$B$300,MATCH(D1754,'Malzeme Tanımlama'!$A$5:$A$300,0)),"")</f>
        <v/>
      </c>
      <c r="F1754" s="2"/>
      <c r="G1754" s="5"/>
      <c r="H1754" s="5" t="str">
        <f>IFERROR(INDEX('Malzeme Tanımlama'!$D$5:$D$300,MATCH(D1754,'Malzeme Tanımlama'!$A$5:$A$300,0)),"")</f>
        <v/>
      </c>
      <c r="I1754" s="2"/>
      <c r="J1754" s="2"/>
      <c r="K1754" s="2"/>
    </row>
    <row r="1755" spans="1:11" x14ac:dyDescent="0.3">
      <c r="A1755" s="5" t="str">
        <f>IF(D1755="","",COUNTIF($D$5:D1755,"?*"))</f>
        <v/>
      </c>
      <c r="B1755" s="6"/>
      <c r="C1755" s="5" t="str">
        <f>IF(B1755="","",INDEX({"Ocak","Şubat","Mart","Nisan","Mayıs","Haziran","Temmuz","Ağustos","Eylül","Ekim","Kasım","Aralık"},MONTH(B1755)))</f>
        <v/>
      </c>
      <c r="D1755" s="2"/>
      <c r="E1755" s="5" t="str">
        <f>IFERROR(INDEX('Malzeme Tanımlama'!$B$5:$B$300,MATCH(D1755,'Malzeme Tanımlama'!$A$5:$A$300,0)),"")</f>
        <v/>
      </c>
      <c r="F1755" s="2"/>
      <c r="G1755" s="5"/>
      <c r="H1755" s="5" t="str">
        <f>IFERROR(INDEX('Malzeme Tanımlama'!$D$5:$D$300,MATCH(D1755,'Malzeme Tanımlama'!$A$5:$A$300,0)),"")</f>
        <v/>
      </c>
      <c r="I1755" s="2"/>
      <c r="J1755" s="2"/>
      <c r="K1755" s="2"/>
    </row>
    <row r="1756" spans="1:11" x14ac:dyDescent="0.3">
      <c r="A1756" s="5" t="str">
        <f>IF(D1756="","",COUNTIF($D$5:D1756,"?*"))</f>
        <v/>
      </c>
      <c r="B1756" s="6"/>
      <c r="C1756" s="5" t="str">
        <f>IF(B1756="","",INDEX({"Ocak","Şubat","Mart","Nisan","Mayıs","Haziran","Temmuz","Ağustos","Eylül","Ekim","Kasım","Aralık"},MONTH(B1756)))</f>
        <v/>
      </c>
      <c r="D1756" s="2"/>
      <c r="E1756" s="5" t="str">
        <f>IFERROR(INDEX('Malzeme Tanımlama'!$B$5:$B$300,MATCH(D1756,'Malzeme Tanımlama'!$A$5:$A$300,0)),"")</f>
        <v/>
      </c>
      <c r="F1756" s="2"/>
      <c r="G1756" s="5"/>
      <c r="H1756" s="5" t="str">
        <f>IFERROR(INDEX('Malzeme Tanımlama'!$D$5:$D$300,MATCH(D1756,'Malzeme Tanımlama'!$A$5:$A$300,0)),"")</f>
        <v/>
      </c>
      <c r="I1756" s="2"/>
      <c r="J1756" s="2"/>
      <c r="K1756" s="2"/>
    </row>
    <row r="1757" spans="1:11" x14ac:dyDescent="0.3">
      <c r="A1757" s="5" t="str">
        <f>IF(D1757="","",COUNTIF($D$5:D1757,"?*"))</f>
        <v/>
      </c>
      <c r="B1757" s="6"/>
      <c r="C1757" s="5" t="str">
        <f>IF(B1757="","",INDEX({"Ocak","Şubat","Mart","Nisan","Mayıs","Haziran","Temmuz","Ağustos","Eylül","Ekim","Kasım","Aralık"},MONTH(B1757)))</f>
        <v/>
      </c>
      <c r="D1757" s="2"/>
      <c r="E1757" s="5" t="str">
        <f>IFERROR(INDEX('Malzeme Tanımlama'!$B$5:$B$300,MATCH(D1757,'Malzeme Tanımlama'!$A$5:$A$300,0)),"")</f>
        <v/>
      </c>
      <c r="F1757" s="2"/>
      <c r="G1757" s="5"/>
      <c r="H1757" s="5" t="str">
        <f>IFERROR(INDEX('Malzeme Tanımlama'!$D$5:$D$300,MATCH(D1757,'Malzeme Tanımlama'!$A$5:$A$300,0)),"")</f>
        <v/>
      </c>
      <c r="I1757" s="2"/>
      <c r="J1757" s="2"/>
      <c r="K1757" s="2"/>
    </row>
    <row r="1758" spans="1:11" x14ac:dyDescent="0.3">
      <c r="A1758" s="5" t="str">
        <f>IF(D1758="","",COUNTIF($D$5:D1758,"?*"))</f>
        <v/>
      </c>
      <c r="B1758" s="6"/>
      <c r="C1758" s="5" t="str">
        <f>IF(B1758="","",INDEX({"Ocak","Şubat","Mart","Nisan","Mayıs","Haziran","Temmuz","Ağustos","Eylül","Ekim","Kasım","Aralık"},MONTH(B1758)))</f>
        <v/>
      </c>
      <c r="D1758" s="2"/>
      <c r="E1758" s="5" t="str">
        <f>IFERROR(INDEX('Malzeme Tanımlama'!$B$5:$B$300,MATCH(D1758,'Malzeme Tanımlama'!$A$5:$A$300,0)),"")</f>
        <v/>
      </c>
      <c r="F1758" s="2"/>
      <c r="G1758" s="5"/>
      <c r="H1758" s="5" t="str">
        <f>IFERROR(INDEX('Malzeme Tanımlama'!$D$5:$D$300,MATCH(D1758,'Malzeme Tanımlama'!$A$5:$A$300,0)),"")</f>
        <v/>
      </c>
      <c r="I1758" s="2"/>
      <c r="J1758" s="2"/>
      <c r="K1758" s="2"/>
    </row>
    <row r="1759" spans="1:11" x14ac:dyDescent="0.3">
      <c r="A1759" s="5" t="str">
        <f>IF(D1759="","",COUNTIF($D$5:D1759,"?*"))</f>
        <v/>
      </c>
      <c r="B1759" s="6"/>
      <c r="C1759" s="5" t="str">
        <f>IF(B1759="","",INDEX({"Ocak","Şubat","Mart","Nisan","Mayıs","Haziran","Temmuz","Ağustos","Eylül","Ekim","Kasım","Aralık"},MONTH(B1759)))</f>
        <v/>
      </c>
      <c r="D1759" s="2"/>
      <c r="E1759" s="5" t="str">
        <f>IFERROR(INDEX('Malzeme Tanımlama'!$B$5:$B$300,MATCH(D1759,'Malzeme Tanımlama'!$A$5:$A$300,0)),"")</f>
        <v/>
      </c>
      <c r="F1759" s="2"/>
      <c r="G1759" s="5"/>
      <c r="H1759" s="5" t="str">
        <f>IFERROR(INDEX('Malzeme Tanımlama'!$D$5:$D$300,MATCH(D1759,'Malzeme Tanımlama'!$A$5:$A$300,0)),"")</f>
        <v/>
      </c>
      <c r="I1759" s="2"/>
      <c r="J1759" s="2"/>
      <c r="K1759" s="2"/>
    </row>
    <row r="1760" spans="1:11" x14ac:dyDescent="0.3">
      <c r="A1760" s="5" t="str">
        <f>IF(D1760="","",COUNTIF($D$5:D1760,"?*"))</f>
        <v/>
      </c>
      <c r="B1760" s="6"/>
      <c r="C1760" s="5" t="str">
        <f>IF(B1760="","",INDEX({"Ocak","Şubat","Mart","Nisan","Mayıs","Haziran","Temmuz","Ağustos","Eylül","Ekim","Kasım","Aralık"},MONTH(B1760)))</f>
        <v/>
      </c>
      <c r="D1760" s="2"/>
      <c r="E1760" s="5" t="str">
        <f>IFERROR(INDEX('Malzeme Tanımlama'!$B$5:$B$300,MATCH(D1760,'Malzeme Tanımlama'!$A$5:$A$300,0)),"")</f>
        <v/>
      </c>
      <c r="F1760" s="2"/>
      <c r="G1760" s="5"/>
      <c r="H1760" s="5" t="str">
        <f>IFERROR(INDEX('Malzeme Tanımlama'!$D$5:$D$300,MATCH(D1760,'Malzeme Tanımlama'!$A$5:$A$300,0)),"")</f>
        <v/>
      </c>
      <c r="I1760" s="2"/>
      <c r="J1760" s="2"/>
      <c r="K1760" s="2"/>
    </row>
    <row r="1761" spans="1:11" x14ac:dyDescent="0.3">
      <c r="A1761" s="5" t="str">
        <f>IF(D1761="","",COUNTIF($D$5:D1761,"?*"))</f>
        <v/>
      </c>
      <c r="B1761" s="6"/>
      <c r="C1761" s="5" t="str">
        <f>IF(B1761="","",INDEX({"Ocak","Şubat","Mart","Nisan","Mayıs","Haziran","Temmuz","Ağustos","Eylül","Ekim","Kasım","Aralık"},MONTH(B1761)))</f>
        <v/>
      </c>
      <c r="D1761" s="2"/>
      <c r="E1761" s="5" t="str">
        <f>IFERROR(INDEX('Malzeme Tanımlama'!$B$5:$B$300,MATCH(D1761,'Malzeme Tanımlama'!$A$5:$A$300,0)),"")</f>
        <v/>
      </c>
      <c r="F1761" s="2"/>
      <c r="G1761" s="5"/>
      <c r="H1761" s="5" t="str">
        <f>IFERROR(INDEX('Malzeme Tanımlama'!$D$5:$D$300,MATCH(D1761,'Malzeme Tanımlama'!$A$5:$A$300,0)),"")</f>
        <v/>
      </c>
      <c r="I1761" s="2"/>
      <c r="J1761" s="2"/>
      <c r="K1761" s="2"/>
    </row>
    <row r="1762" spans="1:11" x14ac:dyDescent="0.3">
      <c r="A1762" s="5" t="str">
        <f>IF(D1762="","",COUNTIF($D$5:D1762,"?*"))</f>
        <v/>
      </c>
      <c r="B1762" s="6"/>
      <c r="C1762" s="5" t="str">
        <f>IF(B1762="","",INDEX({"Ocak","Şubat","Mart","Nisan","Mayıs","Haziran","Temmuz","Ağustos","Eylül","Ekim","Kasım","Aralık"},MONTH(B1762)))</f>
        <v/>
      </c>
      <c r="D1762" s="2"/>
      <c r="E1762" s="5" t="str">
        <f>IFERROR(INDEX('Malzeme Tanımlama'!$B$5:$B$300,MATCH(D1762,'Malzeme Tanımlama'!$A$5:$A$300,0)),"")</f>
        <v/>
      </c>
      <c r="F1762" s="2"/>
      <c r="G1762" s="5"/>
      <c r="H1762" s="5" t="str">
        <f>IFERROR(INDEX('Malzeme Tanımlama'!$D$5:$D$300,MATCH(D1762,'Malzeme Tanımlama'!$A$5:$A$300,0)),"")</f>
        <v/>
      </c>
      <c r="I1762" s="2"/>
      <c r="J1762" s="2"/>
      <c r="K1762" s="2"/>
    </row>
    <row r="1763" spans="1:11" x14ac:dyDescent="0.3">
      <c r="A1763" s="5" t="str">
        <f>IF(D1763="","",COUNTIF($D$5:D1763,"?*"))</f>
        <v/>
      </c>
      <c r="B1763" s="6"/>
      <c r="C1763" s="5" t="str">
        <f>IF(B1763="","",INDEX({"Ocak","Şubat","Mart","Nisan","Mayıs","Haziran","Temmuz","Ağustos","Eylül","Ekim","Kasım","Aralık"},MONTH(B1763)))</f>
        <v/>
      </c>
      <c r="D1763" s="2"/>
      <c r="E1763" s="5" t="str">
        <f>IFERROR(INDEX('Malzeme Tanımlama'!$B$5:$B$300,MATCH(D1763,'Malzeme Tanımlama'!$A$5:$A$300,0)),"")</f>
        <v/>
      </c>
      <c r="F1763" s="2"/>
      <c r="G1763" s="5"/>
      <c r="H1763" s="5" t="str">
        <f>IFERROR(INDEX('Malzeme Tanımlama'!$D$5:$D$300,MATCH(D1763,'Malzeme Tanımlama'!$A$5:$A$300,0)),"")</f>
        <v/>
      </c>
      <c r="I1763" s="2"/>
      <c r="J1763" s="2"/>
      <c r="K1763" s="2"/>
    </row>
    <row r="1764" spans="1:11" x14ac:dyDescent="0.3">
      <c r="A1764" s="5" t="str">
        <f>IF(D1764="","",COUNTIF($D$5:D1764,"?*"))</f>
        <v/>
      </c>
      <c r="B1764" s="6"/>
      <c r="C1764" s="5" t="str">
        <f>IF(B1764="","",INDEX({"Ocak","Şubat","Mart","Nisan","Mayıs","Haziran","Temmuz","Ağustos","Eylül","Ekim","Kasım","Aralık"},MONTH(B1764)))</f>
        <v/>
      </c>
      <c r="D1764" s="2"/>
      <c r="E1764" s="5" t="str">
        <f>IFERROR(INDEX('Malzeme Tanımlama'!$B$5:$B$300,MATCH(D1764,'Malzeme Tanımlama'!$A$5:$A$300,0)),"")</f>
        <v/>
      </c>
      <c r="F1764" s="2"/>
      <c r="G1764" s="5"/>
      <c r="H1764" s="5" t="str">
        <f>IFERROR(INDEX('Malzeme Tanımlama'!$D$5:$D$300,MATCH(D1764,'Malzeme Tanımlama'!$A$5:$A$300,0)),"")</f>
        <v/>
      </c>
      <c r="I1764" s="2"/>
      <c r="J1764" s="2"/>
      <c r="K1764" s="2"/>
    </row>
    <row r="1765" spans="1:11" x14ac:dyDescent="0.3">
      <c r="A1765" s="5" t="str">
        <f>IF(D1765="","",COUNTIF($D$5:D1765,"?*"))</f>
        <v/>
      </c>
      <c r="B1765" s="6"/>
      <c r="C1765" s="5" t="str">
        <f>IF(B1765="","",INDEX({"Ocak","Şubat","Mart","Nisan","Mayıs","Haziran","Temmuz","Ağustos","Eylül","Ekim","Kasım","Aralık"},MONTH(B1765)))</f>
        <v/>
      </c>
      <c r="D1765" s="2"/>
      <c r="E1765" s="5" t="str">
        <f>IFERROR(INDEX('Malzeme Tanımlama'!$B$5:$B$300,MATCH(D1765,'Malzeme Tanımlama'!$A$5:$A$300,0)),"")</f>
        <v/>
      </c>
      <c r="F1765" s="2"/>
      <c r="G1765" s="5"/>
      <c r="H1765" s="5" t="str">
        <f>IFERROR(INDEX('Malzeme Tanımlama'!$D$5:$D$300,MATCH(D1765,'Malzeme Tanımlama'!$A$5:$A$300,0)),"")</f>
        <v/>
      </c>
      <c r="I1765" s="2"/>
      <c r="J1765" s="2"/>
      <c r="K1765" s="2"/>
    </row>
    <row r="1766" spans="1:11" x14ac:dyDescent="0.3">
      <c r="A1766" s="5" t="str">
        <f>IF(D1766="","",COUNTIF($D$5:D1766,"?*"))</f>
        <v/>
      </c>
      <c r="B1766" s="6"/>
      <c r="C1766" s="5" t="str">
        <f>IF(B1766="","",INDEX({"Ocak","Şubat","Mart","Nisan","Mayıs","Haziran","Temmuz","Ağustos","Eylül","Ekim","Kasım","Aralık"},MONTH(B1766)))</f>
        <v/>
      </c>
      <c r="D1766" s="2"/>
      <c r="E1766" s="5" t="str">
        <f>IFERROR(INDEX('Malzeme Tanımlama'!$B$5:$B$300,MATCH(D1766,'Malzeme Tanımlama'!$A$5:$A$300,0)),"")</f>
        <v/>
      </c>
      <c r="F1766" s="2"/>
      <c r="G1766" s="5"/>
      <c r="H1766" s="5" t="str">
        <f>IFERROR(INDEX('Malzeme Tanımlama'!$D$5:$D$300,MATCH(D1766,'Malzeme Tanımlama'!$A$5:$A$300,0)),"")</f>
        <v/>
      </c>
      <c r="I1766" s="2"/>
      <c r="J1766" s="2"/>
      <c r="K1766" s="2"/>
    </row>
    <row r="1767" spans="1:11" x14ac:dyDescent="0.3">
      <c r="A1767" s="5" t="str">
        <f>IF(D1767="","",COUNTIF($D$5:D1767,"?*"))</f>
        <v/>
      </c>
      <c r="B1767" s="6"/>
      <c r="C1767" s="5" t="str">
        <f>IF(B1767="","",INDEX({"Ocak","Şubat","Mart","Nisan","Mayıs","Haziran","Temmuz","Ağustos","Eylül","Ekim","Kasım","Aralık"},MONTH(B1767)))</f>
        <v/>
      </c>
      <c r="D1767" s="2"/>
      <c r="E1767" s="5" t="str">
        <f>IFERROR(INDEX('Malzeme Tanımlama'!$B$5:$B$300,MATCH(D1767,'Malzeme Tanımlama'!$A$5:$A$300,0)),"")</f>
        <v/>
      </c>
      <c r="F1767" s="2"/>
      <c r="G1767" s="5"/>
      <c r="H1767" s="5" t="str">
        <f>IFERROR(INDEX('Malzeme Tanımlama'!$D$5:$D$300,MATCH(D1767,'Malzeme Tanımlama'!$A$5:$A$300,0)),"")</f>
        <v/>
      </c>
      <c r="I1767" s="2"/>
      <c r="J1767" s="2"/>
      <c r="K1767" s="2"/>
    </row>
    <row r="1768" spans="1:11" x14ac:dyDescent="0.3">
      <c r="A1768" s="5" t="str">
        <f>IF(D1768="","",COUNTIF($D$5:D1768,"?*"))</f>
        <v/>
      </c>
      <c r="B1768" s="6"/>
      <c r="C1768" s="5" t="str">
        <f>IF(B1768="","",INDEX({"Ocak","Şubat","Mart","Nisan","Mayıs","Haziran","Temmuz","Ağustos","Eylül","Ekim","Kasım","Aralık"},MONTH(B1768)))</f>
        <v/>
      </c>
      <c r="D1768" s="2"/>
      <c r="E1768" s="5" t="str">
        <f>IFERROR(INDEX('Malzeme Tanımlama'!$B$5:$B$300,MATCH(D1768,'Malzeme Tanımlama'!$A$5:$A$300,0)),"")</f>
        <v/>
      </c>
      <c r="F1768" s="2"/>
      <c r="G1768" s="5"/>
      <c r="H1768" s="5" t="str">
        <f>IFERROR(INDEX('Malzeme Tanımlama'!$D$5:$D$300,MATCH(D1768,'Malzeme Tanımlama'!$A$5:$A$300,0)),"")</f>
        <v/>
      </c>
      <c r="I1768" s="2"/>
      <c r="J1768" s="2"/>
      <c r="K1768" s="2"/>
    </row>
    <row r="1769" spans="1:11" x14ac:dyDescent="0.3">
      <c r="A1769" s="5" t="str">
        <f>IF(D1769="","",COUNTIF($D$5:D1769,"?*"))</f>
        <v/>
      </c>
      <c r="B1769" s="6"/>
      <c r="C1769" s="5" t="str">
        <f>IF(B1769="","",INDEX({"Ocak","Şubat","Mart","Nisan","Mayıs","Haziran","Temmuz","Ağustos","Eylül","Ekim","Kasım","Aralık"},MONTH(B1769)))</f>
        <v/>
      </c>
      <c r="D1769" s="2"/>
      <c r="E1769" s="5" t="str">
        <f>IFERROR(INDEX('Malzeme Tanımlama'!$B$5:$B$300,MATCH(D1769,'Malzeme Tanımlama'!$A$5:$A$300,0)),"")</f>
        <v/>
      </c>
      <c r="F1769" s="2"/>
      <c r="G1769" s="5"/>
      <c r="H1769" s="5" t="str">
        <f>IFERROR(INDEX('Malzeme Tanımlama'!$D$5:$D$300,MATCH(D1769,'Malzeme Tanımlama'!$A$5:$A$300,0)),"")</f>
        <v/>
      </c>
      <c r="I1769" s="2"/>
      <c r="J1769" s="2"/>
      <c r="K1769" s="2"/>
    </row>
    <row r="1770" spans="1:11" x14ac:dyDescent="0.3">
      <c r="A1770" s="5" t="str">
        <f>IF(D1770="","",COUNTIF($D$5:D1770,"?*"))</f>
        <v/>
      </c>
      <c r="B1770" s="6"/>
      <c r="C1770" s="5" t="str">
        <f>IF(B1770="","",INDEX({"Ocak","Şubat","Mart","Nisan","Mayıs","Haziran","Temmuz","Ağustos","Eylül","Ekim","Kasım","Aralık"},MONTH(B1770)))</f>
        <v/>
      </c>
      <c r="D1770" s="2"/>
      <c r="E1770" s="5" t="str">
        <f>IFERROR(INDEX('Malzeme Tanımlama'!$B$5:$B$300,MATCH(D1770,'Malzeme Tanımlama'!$A$5:$A$300,0)),"")</f>
        <v/>
      </c>
      <c r="F1770" s="2"/>
      <c r="G1770" s="5"/>
      <c r="H1770" s="5" t="str">
        <f>IFERROR(INDEX('Malzeme Tanımlama'!$D$5:$D$300,MATCH(D1770,'Malzeme Tanımlama'!$A$5:$A$300,0)),"")</f>
        <v/>
      </c>
      <c r="I1770" s="2"/>
      <c r="J1770" s="2"/>
      <c r="K1770" s="2"/>
    </row>
    <row r="1771" spans="1:11" x14ac:dyDescent="0.3">
      <c r="A1771" s="5" t="str">
        <f>IF(D1771="","",COUNTIF($D$5:D1771,"?*"))</f>
        <v/>
      </c>
      <c r="B1771" s="6"/>
      <c r="C1771" s="5" t="str">
        <f>IF(B1771="","",INDEX({"Ocak","Şubat","Mart","Nisan","Mayıs","Haziran","Temmuz","Ağustos","Eylül","Ekim","Kasım","Aralık"},MONTH(B1771)))</f>
        <v/>
      </c>
      <c r="D1771" s="2"/>
      <c r="E1771" s="5" t="str">
        <f>IFERROR(INDEX('Malzeme Tanımlama'!$B$5:$B$300,MATCH(D1771,'Malzeme Tanımlama'!$A$5:$A$300,0)),"")</f>
        <v/>
      </c>
      <c r="F1771" s="2"/>
      <c r="G1771" s="5"/>
      <c r="H1771" s="5" t="str">
        <f>IFERROR(INDEX('Malzeme Tanımlama'!$D$5:$D$300,MATCH(D1771,'Malzeme Tanımlama'!$A$5:$A$300,0)),"")</f>
        <v/>
      </c>
      <c r="I1771" s="2"/>
      <c r="J1771" s="2"/>
      <c r="K1771" s="2"/>
    </row>
    <row r="1772" spans="1:11" x14ac:dyDescent="0.3">
      <c r="A1772" s="5" t="str">
        <f>IF(D1772="","",COUNTIF($D$5:D1772,"?*"))</f>
        <v/>
      </c>
      <c r="B1772" s="6"/>
      <c r="C1772" s="5" t="str">
        <f>IF(B1772="","",INDEX({"Ocak","Şubat","Mart","Nisan","Mayıs","Haziran","Temmuz","Ağustos","Eylül","Ekim","Kasım","Aralık"},MONTH(B1772)))</f>
        <v/>
      </c>
      <c r="D1772" s="2"/>
      <c r="E1772" s="5" t="str">
        <f>IFERROR(INDEX('Malzeme Tanımlama'!$B$5:$B$300,MATCH(D1772,'Malzeme Tanımlama'!$A$5:$A$300,0)),"")</f>
        <v/>
      </c>
      <c r="F1772" s="2"/>
      <c r="G1772" s="5"/>
      <c r="H1772" s="5" t="str">
        <f>IFERROR(INDEX('Malzeme Tanımlama'!$D$5:$D$300,MATCH(D1772,'Malzeme Tanımlama'!$A$5:$A$300,0)),"")</f>
        <v/>
      </c>
      <c r="I1772" s="2"/>
      <c r="J1772" s="2"/>
      <c r="K1772" s="2"/>
    </row>
    <row r="1773" spans="1:11" x14ac:dyDescent="0.3">
      <c r="A1773" s="5" t="str">
        <f>IF(D1773="","",COUNTIF($D$5:D1773,"?*"))</f>
        <v/>
      </c>
      <c r="B1773" s="6"/>
      <c r="C1773" s="5" t="str">
        <f>IF(B1773="","",INDEX({"Ocak","Şubat","Mart","Nisan","Mayıs","Haziran","Temmuz","Ağustos","Eylül","Ekim","Kasım","Aralık"},MONTH(B1773)))</f>
        <v/>
      </c>
      <c r="D1773" s="2"/>
      <c r="E1773" s="5" t="str">
        <f>IFERROR(INDEX('Malzeme Tanımlama'!$B$5:$B$300,MATCH(D1773,'Malzeme Tanımlama'!$A$5:$A$300,0)),"")</f>
        <v/>
      </c>
      <c r="F1773" s="2"/>
      <c r="G1773" s="5"/>
      <c r="H1773" s="5" t="str">
        <f>IFERROR(INDEX('Malzeme Tanımlama'!$D$5:$D$300,MATCH(D1773,'Malzeme Tanımlama'!$A$5:$A$300,0)),"")</f>
        <v/>
      </c>
      <c r="I1773" s="2"/>
      <c r="J1773" s="2"/>
      <c r="K1773" s="2"/>
    </row>
    <row r="1774" spans="1:11" x14ac:dyDescent="0.3">
      <c r="A1774" s="5" t="str">
        <f>IF(D1774="","",COUNTIF($D$5:D1774,"?*"))</f>
        <v/>
      </c>
      <c r="B1774" s="6"/>
      <c r="C1774" s="5" t="str">
        <f>IF(B1774="","",INDEX({"Ocak","Şubat","Mart","Nisan","Mayıs","Haziran","Temmuz","Ağustos","Eylül","Ekim","Kasım","Aralık"},MONTH(B1774)))</f>
        <v/>
      </c>
      <c r="D1774" s="2"/>
      <c r="E1774" s="5" t="str">
        <f>IFERROR(INDEX('Malzeme Tanımlama'!$B$5:$B$300,MATCH(D1774,'Malzeme Tanımlama'!$A$5:$A$300,0)),"")</f>
        <v/>
      </c>
      <c r="F1774" s="2"/>
      <c r="G1774" s="5"/>
      <c r="H1774" s="5" t="str">
        <f>IFERROR(INDEX('Malzeme Tanımlama'!$D$5:$D$300,MATCH(D1774,'Malzeme Tanımlama'!$A$5:$A$300,0)),"")</f>
        <v/>
      </c>
      <c r="I1774" s="2"/>
      <c r="J1774" s="2"/>
      <c r="K1774" s="2"/>
    </row>
    <row r="1775" spans="1:11" x14ac:dyDescent="0.3">
      <c r="A1775" s="5" t="str">
        <f>IF(D1775="","",COUNTIF($D$5:D1775,"?*"))</f>
        <v/>
      </c>
      <c r="B1775" s="6"/>
      <c r="C1775" s="5" t="str">
        <f>IF(B1775="","",INDEX({"Ocak","Şubat","Mart","Nisan","Mayıs","Haziran","Temmuz","Ağustos","Eylül","Ekim","Kasım","Aralık"},MONTH(B1775)))</f>
        <v/>
      </c>
      <c r="D1775" s="2"/>
      <c r="E1775" s="5" t="str">
        <f>IFERROR(INDEX('Malzeme Tanımlama'!$B$5:$B$300,MATCH(D1775,'Malzeme Tanımlama'!$A$5:$A$300,0)),"")</f>
        <v/>
      </c>
      <c r="F1775" s="2"/>
      <c r="G1775" s="5"/>
      <c r="H1775" s="5" t="str">
        <f>IFERROR(INDEX('Malzeme Tanımlama'!$D$5:$D$300,MATCH(D1775,'Malzeme Tanımlama'!$A$5:$A$300,0)),"")</f>
        <v/>
      </c>
      <c r="I1775" s="2"/>
      <c r="J1775" s="2"/>
      <c r="K1775" s="2"/>
    </row>
    <row r="1776" spans="1:11" x14ac:dyDescent="0.3">
      <c r="A1776" s="5" t="str">
        <f>IF(D1776="","",COUNTIF($D$5:D1776,"?*"))</f>
        <v/>
      </c>
      <c r="B1776" s="6"/>
      <c r="C1776" s="5" t="str">
        <f>IF(B1776="","",INDEX({"Ocak","Şubat","Mart","Nisan","Mayıs","Haziran","Temmuz","Ağustos","Eylül","Ekim","Kasım","Aralık"},MONTH(B1776)))</f>
        <v/>
      </c>
      <c r="D1776" s="2"/>
      <c r="E1776" s="5" t="str">
        <f>IFERROR(INDEX('Malzeme Tanımlama'!$B$5:$B$300,MATCH(D1776,'Malzeme Tanımlama'!$A$5:$A$300,0)),"")</f>
        <v/>
      </c>
      <c r="F1776" s="2"/>
      <c r="G1776" s="5"/>
      <c r="H1776" s="5" t="str">
        <f>IFERROR(INDEX('Malzeme Tanımlama'!$D$5:$D$300,MATCH(D1776,'Malzeme Tanımlama'!$A$5:$A$300,0)),"")</f>
        <v/>
      </c>
      <c r="I1776" s="2"/>
      <c r="J1776" s="2"/>
      <c r="K1776" s="2"/>
    </row>
    <row r="1777" spans="1:11" x14ac:dyDescent="0.3">
      <c r="A1777" s="5" t="str">
        <f>IF(D1777="","",COUNTIF($D$5:D1777,"?*"))</f>
        <v/>
      </c>
      <c r="B1777" s="6"/>
      <c r="C1777" s="5" t="str">
        <f>IF(B1777="","",INDEX({"Ocak","Şubat","Mart","Nisan","Mayıs","Haziran","Temmuz","Ağustos","Eylül","Ekim","Kasım","Aralık"},MONTH(B1777)))</f>
        <v/>
      </c>
      <c r="D1777" s="2"/>
      <c r="E1777" s="5" t="str">
        <f>IFERROR(INDEX('Malzeme Tanımlama'!$B$5:$B$300,MATCH(D1777,'Malzeme Tanımlama'!$A$5:$A$300,0)),"")</f>
        <v/>
      </c>
      <c r="F1777" s="2"/>
      <c r="G1777" s="5"/>
      <c r="H1777" s="5" t="str">
        <f>IFERROR(INDEX('Malzeme Tanımlama'!$D$5:$D$300,MATCH(D1777,'Malzeme Tanımlama'!$A$5:$A$300,0)),"")</f>
        <v/>
      </c>
      <c r="I1777" s="2"/>
      <c r="J1777" s="2"/>
      <c r="K1777" s="2"/>
    </row>
    <row r="1778" spans="1:11" x14ac:dyDescent="0.3">
      <c r="A1778" s="5" t="str">
        <f>IF(D1778="","",COUNTIF($D$5:D1778,"?*"))</f>
        <v/>
      </c>
      <c r="B1778" s="6"/>
      <c r="C1778" s="5" t="str">
        <f>IF(B1778="","",INDEX({"Ocak","Şubat","Mart","Nisan","Mayıs","Haziran","Temmuz","Ağustos","Eylül","Ekim","Kasım","Aralık"},MONTH(B1778)))</f>
        <v/>
      </c>
      <c r="D1778" s="2"/>
      <c r="E1778" s="5" t="str">
        <f>IFERROR(INDEX('Malzeme Tanımlama'!$B$5:$B$300,MATCH(D1778,'Malzeme Tanımlama'!$A$5:$A$300,0)),"")</f>
        <v/>
      </c>
      <c r="F1778" s="2"/>
      <c r="G1778" s="5"/>
      <c r="H1778" s="5" t="str">
        <f>IFERROR(INDEX('Malzeme Tanımlama'!$D$5:$D$300,MATCH(D1778,'Malzeme Tanımlama'!$A$5:$A$300,0)),"")</f>
        <v/>
      </c>
      <c r="I1778" s="2"/>
      <c r="J1778" s="2"/>
      <c r="K1778" s="2"/>
    </row>
    <row r="1779" spans="1:11" x14ac:dyDescent="0.3">
      <c r="A1779" s="5" t="str">
        <f>IF(D1779="","",COUNTIF($D$5:D1779,"?*"))</f>
        <v/>
      </c>
      <c r="B1779" s="6"/>
      <c r="C1779" s="5" t="str">
        <f>IF(B1779="","",INDEX({"Ocak","Şubat","Mart","Nisan","Mayıs","Haziran","Temmuz","Ağustos","Eylül","Ekim","Kasım","Aralık"},MONTH(B1779)))</f>
        <v/>
      </c>
      <c r="D1779" s="2"/>
      <c r="E1779" s="5" t="str">
        <f>IFERROR(INDEX('Malzeme Tanımlama'!$B$5:$B$300,MATCH(D1779,'Malzeme Tanımlama'!$A$5:$A$300,0)),"")</f>
        <v/>
      </c>
      <c r="F1779" s="2"/>
      <c r="G1779" s="5"/>
      <c r="H1779" s="5" t="str">
        <f>IFERROR(INDEX('Malzeme Tanımlama'!$D$5:$D$300,MATCH(D1779,'Malzeme Tanımlama'!$A$5:$A$300,0)),"")</f>
        <v/>
      </c>
      <c r="I1779" s="2"/>
      <c r="J1779" s="2"/>
      <c r="K1779" s="2"/>
    </row>
    <row r="1780" spans="1:11" x14ac:dyDescent="0.3">
      <c r="A1780" s="5" t="str">
        <f>IF(D1780="","",COUNTIF($D$5:D1780,"?*"))</f>
        <v/>
      </c>
      <c r="B1780" s="6"/>
      <c r="C1780" s="5" t="str">
        <f>IF(B1780="","",INDEX({"Ocak","Şubat","Mart","Nisan","Mayıs","Haziran","Temmuz","Ağustos","Eylül","Ekim","Kasım","Aralık"},MONTH(B1780)))</f>
        <v/>
      </c>
      <c r="D1780" s="2"/>
      <c r="E1780" s="5" t="str">
        <f>IFERROR(INDEX('Malzeme Tanımlama'!$B$5:$B$300,MATCH(D1780,'Malzeme Tanımlama'!$A$5:$A$300,0)),"")</f>
        <v/>
      </c>
      <c r="F1780" s="2"/>
      <c r="G1780" s="5"/>
      <c r="H1780" s="5" t="str">
        <f>IFERROR(INDEX('Malzeme Tanımlama'!$D$5:$D$300,MATCH(D1780,'Malzeme Tanımlama'!$A$5:$A$300,0)),"")</f>
        <v/>
      </c>
      <c r="I1780" s="2"/>
      <c r="J1780" s="2"/>
      <c r="K1780" s="2"/>
    </row>
    <row r="1781" spans="1:11" x14ac:dyDescent="0.3">
      <c r="A1781" s="5" t="str">
        <f>IF(D1781="","",COUNTIF($D$5:D1781,"?*"))</f>
        <v/>
      </c>
      <c r="B1781" s="6"/>
      <c r="C1781" s="5" t="str">
        <f>IF(B1781="","",INDEX({"Ocak","Şubat","Mart","Nisan","Mayıs","Haziran","Temmuz","Ağustos","Eylül","Ekim","Kasım","Aralık"},MONTH(B1781)))</f>
        <v/>
      </c>
      <c r="D1781" s="2"/>
      <c r="E1781" s="5" t="str">
        <f>IFERROR(INDEX('Malzeme Tanımlama'!$B$5:$B$300,MATCH(D1781,'Malzeme Tanımlama'!$A$5:$A$300,0)),"")</f>
        <v/>
      </c>
      <c r="F1781" s="2"/>
      <c r="G1781" s="5"/>
      <c r="H1781" s="5" t="str">
        <f>IFERROR(INDEX('Malzeme Tanımlama'!$D$5:$D$300,MATCH(D1781,'Malzeme Tanımlama'!$A$5:$A$300,0)),"")</f>
        <v/>
      </c>
      <c r="I1781" s="2"/>
      <c r="J1781" s="2"/>
      <c r="K1781" s="2"/>
    </row>
    <row r="1782" spans="1:11" x14ac:dyDescent="0.3">
      <c r="A1782" s="5" t="str">
        <f>IF(D1782="","",COUNTIF($D$5:D1782,"?*"))</f>
        <v/>
      </c>
      <c r="B1782" s="6"/>
      <c r="C1782" s="5" t="str">
        <f>IF(B1782="","",INDEX({"Ocak","Şubat","Mart","Nisan","Mayıs","Haziran","Temmuz","Ağustos","Eylül","Ekim","Kasım","Aralık"},MONTH(B1782)))</f>
        <v/>
      </c>
      <c r="D1782" s="2"/>
      <c r="E1782" s="5" t="str">
        <f>IFERROR(INDEX('Malzeme Tanımlama'!$B$5:$B$300,MATCH(D1782,'Malzeme Tanımlama'!$A$5:$A$300,0)),"")</f>
        <v/>
      </c>
      <c r="F1782" s="2"/>
      <c r="G1782" s="5"/>
      <c r="H1782" s="5" t="str">
        <f>IFERROR(INDEX('Malzeme Tanımlama'!$D$5:$D$300,MATCH(D1782,'Malzeme Tanımlama'!$A$5:$A$300,0)),"")</f>
        <v/>
      </c>
      <c r="I1782" s="2"/>
      <c r="J1782" s="2"/>
      <c r="K1782" s="2"/>
    </row>
    <row r="1783" spans="1:11" x14ac:dyDescent="0.3">
      <c r="A1783" s="5" t="str">
        <f>IF(D1783="","",COUNTIF($D$5:D1783,"?*"))</f>
        <v/>
      </c>
      <c r="B1783" s="6"/>
      <c r="C1783" s="5" t="str">
        <f>IF(B1783="","",INDEX({"Ocak","Şubat","Mart","Nisan","Mayıs","Haziran","Temmuz","Ağustos","Eylül","Ekim","Kasım","Aralık"},MONTH(B1783)))</f>
        <v/>
      </c>
      <c r="D1783" s="2"/>
      <c r="E1783" s="5" t="str">
        <f>IFERROR(INDEX('Malzeme Tanımlama'!$B$5:$B$300,MATCH(D1783,'Malzeme Tanımlama'!$A$5:$A$300,0)),"")</f>
        <v/>
      </c>
      <c r="F1783" s="2"/>
      <c r="G1783" s="5"/>
      <c r="H1783" s="5" t="str">
        <f>IFERROR(INDEX('Malzeme Tanımlama'!$D$5:$D$300,MATCH(D1783,'Malzeme Tanımlama'!$A$5:$A$300,0)),"")</f>
        <v/>
      </c>
      <c r="I1783" s="2"/>
      <c r="J1783" s="2"/>
      <c r="K1783" s="2"/>
    </row>
    <row r="1784" spans="1:11" x14ac:dyDescent="0.3">
      <c r="A1784" s="5" t="str">
        <f>IF(D1784="","",COUNTIF($D$5:D1784,"?*"))</f>
        <v/>
      </c>
      <c r="B1784" s="6"/>
      <c r="C1784" s="5" t="str">
        <f>IF(B1784="","",INDEX({"Ocak","Şubat","Mart","Nisan","Mayıs","Haziran","Temmuz","Ağustos","Eylül","Ekim","Kasım","Aralık"},MONTH(B1784)))</f>
        <v/>
      </c>
      <c r="D1784" s="2"/>
      <c r="E1784" s="5" t="str">
        <f>IFERROR(INDEX('Malzeme Tanımlama'!$B$5:$B$300,MATCH(D1784,'Malzeme Tanımlama'!$A$5:$A$300,0)),"")</f>
        <v/>
      </c>
      <c r="F1784" s="2"/>
      <c r="G1784" s="5"/>
      <c r="H1784" s="5" t="str">
        <f>IFERROR(INDEX('Malzeme Tanımlama'!$D$5:$D$300,MATCH(D1784,'Malzeme Tanımlama'!$A$5:$A$300,0)),"")</f>
        <v/>
      </c>
      <c r="I1784" s="2"/>
      <c r="J1784" s="2"/>
      <c r="K1784" s="2"/>
    </row>
    <row r="1785" spans="1:11" x14ac:dyDescent="0.3">
      <c r="A1785" s="5" t="str">
        <f>IF(D1785="","",COUNTIF($D$5:D1785,"?*"))</f>
        <v/>
      </c>
      <c r="B1785" s="6"/>
      <c r="C1785" s="5" t="str">
        <f>IF(B1785="","",INDEX({"Ocak","Şubat","Mart","Nisan","Mayıs","Haziran","Temmuz","Ağustos","Eylül","Ekim","Kasım","Aralık"},MONTH(B1785)))</f>
        <v/>
      </c>
      <c r="D1785" s="2"/>
      <c r="E1785" s="5" t="str">
        <f>IFERROR(INDEX('Malzeme Tanımlama'!$B$5:$B$300,MATCH(D1785,'Malzeme Tanımlama'!$A$5:$A$300,0)),"")</f>
        <v/>
      </c>
      <c r="F1785" s="2"/>
      <c r="G1785" s="5"/>
      <c r="H1785" s="5" t="str">
        <f>IFERROR(INDEX('Malzeme Tanımlama'!$D$5:$D$300,MATCH(D1785,'Malzeme Tanımlama'!$A$5:$A$300,0)),"")</f>
        <v/>
      </c>
      <c r="I1785" s="2"/>
      <c r="J1785" s="2"/>
      <c r="K1785" s="2"/>
    </row>
    <row r="1786" spans="1:11" x14ac:dyDescent="0.3">
      <c r="A1786" s="5" t="str">
        <f>IF(D1786="","",COUNTIF($D$5:D1786,"?*"))</f>
        <v/>
      </c>
      <c r="B1786" s="6"/>
      <c r="C1786" s="5" t="str">
        <f>IF(B1786="","",INDEX({"Ocak","Şubat","Mart","Nisan","Mayıs","Haziran","Temmuz","Ağustos","Eylül","Ekim","Kasım","Aralık"},MONTH(B1786)))</f>
        <v/>
      </c>
      <c r="D1786" s="2"/>
      <c r="E1786" s="5" t="str">
        <f>IFERROR(INDEX('Malzeme Tanımlama'!$B$5:$B$300,MATCH(D1786,'Malzeme Tanımlama'!$A$5:$A$300,0)),"")</f>
        <v/>
      </c>
      <c r="F1786" s="2"/>
      <c r="G1786" s="5"/>
      <c r="H1786" s="5" t="str">
        <f>IFERROR(INDEX('Malzeme Tanımlama'!$D$5:$D$300,MATCH(D1786,'Malzeme Tanımlama'!$A$5:$A$300,0)),"")</f>
        <v/>
      </c>
      <c r="I1786" s="2"/>
      <c r="J1786" s="2"/>
      <c r="K1786" s="2"/>
    </row>
    <row r="1787" spans="1:11" x14ac:dyDescent="0.3">
      <c r="A1787" s="5" t="str">
        <f>IF(D1787="","",COUNTIF($D$5:D1787,"?*"))</f>
        <v/>
      </c>
      <c r="B1787" s="6"/>
      <c r="C1787" s="5" t="str">
        <f>IF(B1787="","",INDEX({"Ocak","Şubat","Mart","Nisan","Mayıs","Haziran","Temmuz","Ağustos","Eylül","Ekim","Kasım","Aralık"},MONTH(B1787)))</f>
        <v/>
      </c>
      <c r="D1787" s="2"/>
      <c r="E1787" s="5" t="str">
        <f>IFERROR(INDEX('Malzeme Tanımlama'!$B$5:$B$300,MATCH(D1787,'Malzeme Tanımlama'!$A$5:$A$300,0)),"")</f>
        <v/>
      </c>
      <c r="F1787" s="2"/>
      <c r="G1787" s="5"/>
      <c r="H1787" s="5" t="str">
        <f>IFERROR(INDEX('Malzeme Tanımlama'!$D$5:$D$300,MATCH(D1787,'Malzeme Tanımlama'!$A$5:$A$300,0)),"")</f>
        <v/>
      </c>
      <c r="I1787" s="2"/>
      <c r="J1787" s="2"/>
      <c r="K1787" s="2"/>
    </row>
    <row r="1788" spans="1:11" x14ac:dyDescent="0.3">
      <c r="A1788" s="5" t="str">
        <f>IF(D1788="","",COUNTIF($D$5:D1788,"?*"))</f>
        <v/>
      </c>
      <c r="B1788" s="6"/>
      <c r="C1788" s="5" t="str">
        <f>IF(B1788="","",INDEX({"Ocak","Şubat","Mart","Nisan","Mayıs","Haziran","Temmuz","Ağustos","Eylül","Ekim","Kasım","Aralık"},MONTH(B1788)))</f>
        <v/>
      </c>
      <c r="D1788" s="2"/>
      <c r="E1788" s="5" t="str">
        <f>IFERROR(INDEX('Malzeme Tanımlama'!$B$5:$B$300,MATCH(D1788,'Malzeme Tanımlama'!$A$5:$A$300,0)),"")</f>
        <v/>
      </c>
      <c r="F1788" s="2"/>
      <c r="G1788" s="5"/>
      <c r="H1788" s="5" t="str">
        <f>IFERROR(INDEX('Malzeme Tanımlama'!$D$5:$D$300,MATCH(D1788,'Malzeme Tanımlama'!$A$5:$A$300,0)),"")</f>
        <v/>
      </c>
      <c r="I1788" s="2"/>
      <c r="J1788" s="2"/>
      <c r="K1788" s="2"/>
    </row>
    <row r="1789" spans="1:11" x14ac:dyDescent="0.3">
      <c r="A1789" s="5" t="str">
        <f>IF(D1789="","",COUNTIF($D$5:D1789,"?*"))</f>
        <v/>
      </c>
      <c r="B1789" s="6"/>
      <c r="C1789" s="5" t="str">
        <f>IF(B1789="","",INDEX({"Ocak","Şubat","Mart","Nisan","Mayıs","Haziran","Temmuz","Ağustos","Eylül","Ekim","Kasım","Aralık"},MONTH(B1789)))</f>
        <v/>
      </c>
      <c r="D1789" s="2"/>
      <c r="E1789" s="5" t="str">
        <f>IFERROR(INDEX('Malzeme Tanımlama'!$B$5:$B$300,MATCH(D1789,'Malzeme Tanımlama'!$A$5:$A$300,0)),"")</f>
        <v/>
      </c>
      <c r="F1789" s="2"/>
      <c r="G1789" s="5"/>
      <c r="H1789" s="5" t="str">
        <f>IFERROR(INDEX('Malzeme Tanımlama'!$D$5:$D$300,MATCH(D1789,'Malzeme Tanımlama'!$A$5:$A$300,0)),"")</f>
        <v/>
      </c>
      <c r="I1789" s="2"/>
      <c r="J1789" s="2"/>
      <c r="K1789" s="2"/>
    </row>
    <row r="1790" spans="1:11" x14ac:dyDescent="0.3">
      <c r="A1790" s="5" t="str">
        <f>IF(D1790="","",COUNTIF($D$5:D1790,"?*"))</f>
        <v/>
      </c>
      <c r="B1790" s="6"/>
      <c r="C1790" s="5" t="str">
        <f>IF(B1790="","",INDEX({"Ocak","Şubat","Mart","Nisan","Mayıs","Haziran","Temmuz","Ağustos","Eylül","Ekim","Kasım","Aralık"},MONTH(B1790)))</f>
        <v/>
      </c>
      <c r="D1790" s="2"/>
      <c r="E1790" s="5" t="str">
        <f>IFERROR(INDEX('Malzeme Tanımlama'!$B$5:$B$300,MATCH(D1790,'Malzeme Tanımlama'!$A$5:$A$300,0)),"")</f>
        <v/>
      </c>
      <c r="F1790" s="2"/>
      <c r="G1790" s="5"/>
      <c r="H1790" s="5" t="str">
        <f>IFERROR(INDEX('Malzeme Tanımlama'!$D$5:$D$300,MATCH(D1790,'Malzeme Tanımlama'!$A$5:$A$300,0)),"")</f>
        <v/>
      </c>
      <c r="I1790" s="2"/>
      <c r="J1790" s="2"/>
      <c r="K1790" s="2"/>
    </row>
    <row r="1791" spans="1:11" x14ac:dyDescent="0.3">
      <c r="A1791" s="5" t="str">
        <f>IF(D1791="","",COUNTIF($D$5:D1791,"?*"))</f>
        <v/>
      </c>
      <c r="B1791" s="6"/>
      <c r="C1791" s="5" t="str">
        <f>IF(B1791="","",INDEX({"Ocak","Şubat","Mart","Nisan","Mayıs","Haziran","Temmuz","Ağustos","Eylül","Ekim","Kasım","Aralık"},MONTH(B1791)))</f>
        <v/>
      </c>
      <c r="D1791" s="2"/>
      <c r="E1791" s="5" t="str">
        <f>IFERROR(INDEX('Malzeme Tanımlama'!$B$5:$B$300,MATCH(D1791,'Malzeme Tanımlama'!$A$5:$A$300,0)),"")</f>
        <v/>
      </c>
      <c r="F1791" s="2"/>
      <c r="G1791" s="5"/>
      <c r="H1791" s="5" t="str">
        <f>IFERROR(INDEX('Malzeme Tanımlama'!$D$5:$D$300,MATCH(D1791,'Malzeme Tanımlama'!$A$5:$A$300,0)),"")</f>
        <v/>
      </c>
      <c r="I1791" s="2"/>
      <c r="J1791" s="2"/>
      <c r="K1791" s="2"/>
    </row>
    <row r="1792" spans="1:11" x14ac:dyDescent="0.3">
      <c r="A1792" s="5" t="str">
        <f>IF(D1792="","",COUNTIF($D$5:D1792,"?*"))</f>
        <v/>
      </c>
      <c r="B1792" s="6"/>
      <c r="C1792" s="5" t="str">
        <f>IF(B1792="","",INDEX({"Ocak","Şubat","Mart","Nisan","Mayıs","Haziran","Temmuz","Ağustos","Eylül","Ekim","Kasım","Aralık"},MONTH(B1792)))</f>
        <v/>
      </c>
      <c r="D1792" s="2"/>
      <c r="E1792" s="5" t="str">
        <f>IFERROR(INDEX('Malzeme Tanımlama'!$B$5:$B$300,MATCH(D1792,'Malzeme Tanımlama'!$A$5:$A$300,0)),"")</f>
        <v/>
      </c>
      <c r="F1792" s="2"/>
      <c r="G1792" s="5"/>
      <c r="H1792" s="5" t="str">
        <f>IFERROR(INDEX('Malzeme Tanımlama'!$D$5:$D$300,MATCH(D1792,'Malzeme Tanımlama'!$A$5:$A$300,0)),"")</f>
        <v/>
      </c>
      <c r="I1792" s="2"/>
      <c r="J1792" s="2"/>
      <c r="K1792" s="2"/>
    </row>
    <row r="1793" spans="1:11" x14ac:dyDescent="0.3">
      <c r="A1793" s="5" t="str">
        <f>IF(D1793="","",COUNTIF($D$5:D1793,"?*"))</f>
        <v/>
      </c>
      <c r="B1793" s="6"/>
      <c r="C1793" s="5" t="str">
        <f>IF(B1793="","",INDEX({"Ocak","Şubat","Mart","Nisan","Mayıs","Haziran","Temmuz","Ağustos","Eylül","Ekim","Kasım","Aralık"},MONTH(B1793)))</f>
        <v/>
      </c>
      <c r="D1793" s="2"/>
      <c r="E1793" s="5" t="str">
        <f>IFERROR(INDEX('Malzeme Tanımlama'!$B$5:$B$300,MATCH(D1793,'Malzeme Tanımlama'!$A$5:$A$300,0)),"")</f>
        <v/>
      </c>
      <c r="F1793" s="2"/>
      <c r="G1793" s="5"/>
      <c r="H1793" s="5" t="str">
        <f>IFERROR(INDEX('Malzeme Tanımlama'!$D$5:$D$300,MATCH(D1793,'Malzeme Tanımlama'!$A$5:$A$300,0)),"")</f>
        <v/>
      </c>
      <c r="I1793" s="2"/>
      <c r="J1793" s="2"/>
      <c r="K1793" s="2"/>
    </row>
    <row r="1794" spans="1:11" x14ac:dyDescent="0.3">
      <c r="A1794" s="5" t="str">
        <f>IF(D1794="","",COUNTIF($D$5:D1794,"?*"))</f>
        <v/>
      </c>
      <c r="B1794" s="6"/>
      <c r="C1794" s="5" t="str">
        <f>IF(B1794="","",INDEX({"Ocak","Şubat","Mart","Nisan","Mayıs","Haziran","Temmuz","Ağustos","Eylül","Ekim","Kasım","Aralık"},MONTH(B1794)))</f>
        <v/>
      </c>
      <c r="D1794" s="2"/>
      <c r="E1794" s="5" t="str">
        <f>IFERROR(INDEX('Malzeme Tanımlama'!$B$5:$B$300,MATCH(D1794,'Malzeme Tanımlama'!$A$5:$A$300,0)),"")</f>
        <v/>
      </c>
      <c r="F1794" s="2"/>
      <c r="G1794" s="5"/>
      <c r="H1794" s="5" t="str">
        <f>IFERROR(INDEX('Malzeme Tanımlama'!$D$5:$D$300,MATCH(D1794,'Malzeme Tanımlama'!$A$5:$A$300,0)),"")</f>
        <v/>
      </c>
      <c r="I1794" s="2"/>
      <c r="J1794" s="2"/>
      <c r="K1794" s="2"/>
    </row>
    <row r="1795" spans="1:11" x14ac:dyDescent="0.3">
      <c r="A1795" s="5" t="str">
        <f>IF(D1795="","",COUNTIF($D$5:D1795,"?*"))</f>
        <v/>
      </c>
      <c r="B1795" s="6"/>
      <c r="C1795" s="5" t="str">
        <f>IF(B1795="","",INDEX({"Ocak","Şubat","Mart","Nisan","Mayıs","Haziran","Temmuz","Ağustos","Eylül","Ekim","Kasım","Aralık"},MONTH(B1795)))</f>
        <v/>
      </c>
      <c r="D1795" s="2"/>
      <c r="E1795" s="5" t="str">
        <f>IFERROR(INDEX('Malzeme Tanımlama'!$B$5:$B$300,MATCH(D1795,'Malzeme Tanımlama'!$A$5:$A$300,0)),"")</f>
        <v/>
      </c>
      <c r="F1795" s="2"/>
      <c r="G1795" s="5"/>
      <c r="H1795" s="5" t="str">
        <f>IFERROR(INDEX('Malzeme Tanımlama'!$D$5:$D$300,MATCH(D1795,'Malzeme Tanımlama'!$A$5:$A$300,0)),"")</f>
        <v/>
      </c>
      <c r="I1795" s="2"/>
      <c r="J1795" s="2"/>
      <c r="K1795" s="2"/>
    </row>
    <row r="1796" spans="1:11" x14ac:dyDescent="0.3">
      <c r="A1796" s="5" t="str">
        <f>IF(D1796="","",COUNTIF($D$5:D1796,"?*"))</f>
        <v/>
      </c>
      <c r="B1796" s="6"/>
      <c r="C1796" s="5" t="str">
        <f>IF(B1796="","",INDEX({"Ocak","Şubat","Mart","Nisan","Mayıs","Haziran","Temmuz","Ağustos","Eylül","Ekim","Kasım","Aralık"},MONTH(B1796)))</f>
        <v/>
      </c>
      <c r="D1796" s="2"/>
      <c r="E1796" s="5" t="str">
        <f>IFERROR(INDEX('Malzeme Tanımlama'!$B$5:$B$300,MATCH(D1796,'Malzeme Tanımlama'!$A$5:$A$300,0)),"")</f>
        <v/>
      </c>
      <c r="F1796" s="2"/>
      <c r="G1796" s="5"/>
      <c r="H1796" s="5" t="str">
        <f>IFERROR(INDEX('Malzeme Tanımlama'!$D$5:$D$300,MATCH(D1796,'Malzeme Tanımlama'!$A$5:$A$300,0)),"")</f>
        <v/>
      </c>
      <c r="I1796" s="2"/>
      <c r="J1796" s="2"/>
      <c r="K1796" s="2"/>
    </row>
    <row r="1797" spans="1:11" x14ac:dyDescent="0.3">
      <c r="A1797" s="5" t="str">
        <f>IF(D1797="","",COUNTIF($D$5:D1797,"?*"))</f>
        <v/>
      </c>
      <c r="B1797" s="6"/>
      <c r="C1797" s="5" t="str">
        <f>IF(B1797="","",INDEX({"Ocak","Şubat","Mart","Nisan","Mayıs","Haziran","Temmuz","Ağustos","Eylül","Ekim","Kasım","Aralık"},MONTH(B1797)))</f>
        <v/>
      </c>
      <c r="D1797" s="2"/>
      <c r="E1797" s="5" t="str">
        <f>IFERROR(INDEX('Malzeme Tanımlama'!$B$5:$B$300,MATCH(D1797,'Malzeme Tanımlama'!$A$5:$A$300,0)),"")</f>
        <v/>
      </c>
      <c r="F1797" s="2"/>
      <c r="G1797" s="5"/>
      <c r="H1797" s="5" t="str">
        <f>IFERROR(INDEX('Malzeme Tanımlama'!$D$5:$D$300,MATCH(D1797,'Malzeme Tanımlama'!$A$5:$A$300,0)),"")</f>
        <v/>
      </c>
      <c r="I1797" s="2"/>
      <c r="J1797" s="2"/>
      <c r="K1797" s="2"/>
    </row>
    <row r="1798" spans="1:11" x14ac:dyDescent="0.3">
      <c r="A1798" s="5" t="str">
        <f>IF(D1798="","",COUNTIF($D$5:D1798,"?*"))</f>
        <v/>
      </c>
      <c r="B1798" s="6"/>
      <c r="C1798" s="5" t="str">
        <f>IF(B1798="","",INDEX({"Ocak","Şubat","Mart","Nisan","Mayıs","Haziran","Temmuz","Ağustos","Eylül","Ekim","Kasım","Aralık"},MONTH(B1798)))</f>
        <v/>
      </c>
      <c r="D1798" s="2"/>
      <c r="E1798" s="5" t="str">
        <f>IFERROR(INDEX('Malzeme Tanımlama'!$B$5:$B$300,MATCH(D1798,'Malzeme Tanımlama'!$A$5:$A$300,0)),"")</f>
        <v/>
      </c>
      <c r="F1798" s="2"/>
      <c r="G1798" s="5"/>
      <c r="H1798" s="5" t="str">
        <f>IFERROR(INDEX('Malzeme Tanımlama'!$D$5:$D$300,MATCH(D1798,'Malzeme Tanımlama'!$A$5:$A$300,0)),"")</f>
        <v/>
      </c>
      <c r="I1798" s="2"/>
      <c r="J1798" s="2"/>
      <c r="K1798" s="2"/>
    </row>
    <row r="1799" spans="1:11" x14ac:dyDescent="0.3">
      <c r="A1799" s="5" t="str">
        <f>IF(D1799="","",COUNTIF($D$5:D1799,"?*"))</f>
        <v/>
      </c>
      <c r="B1799" s="6"/>
      <c r="C1799" s="5" t="str">
        <f>IF(B1799="","",INDEX({"Ocak","Şubat","Mart","Nisan","Mayıs","Haziran","Temmuz","Ağustos","Eylül","Ekim","Kasım","Aralık"},MONTH(B1799)))</f>
        <v/>
      </c>
      <c r="D1799" s="2"/>
      <c r="E1799" s="5" t="str">
        <f>IFERROR(INDEX('Malzeme Tanımlama'!$B$5:$B$300,MATCH(D1799,'Malzeme Tanımlama'!$A$5:$A$300,0)),"")</f>
        <v/>
      </c>
      <c r="F1799" s="2"/>
      <c r="G1799" s="5"/>
      <c r="H1799" s="5" t="str">
        <f>IFERROR(INDEX('Malzeme Tanımlama'!$D$5:$D$300,MATCH(D1799,'Malzeme Tanımlama'!$A$5:$A$300,0)),"")</f>
        <v/>
      </c>
      <c r="I1799" s="2"/>
      <c r="J1799" s="2"/>
      <c r="K1799" s="2"/>
    </row>
    <row r="1800" spans="1:11" x14ac:dyDescent="0.3">
      <c r="A1800" s="5" t="str">
        <f>IF(D1800="","",COUNTIF($D$5:D1800,"?*"))</f>
        <v/>
      </c>
      <c r="B1800" s="6"/>
      <c r="C1800" s="5" t="str">
        <f>IF(B1800="","",INDEX({"Ocak","Şubat","Mart","Nisan","Mayıs","Haziran","Temmuz","Ağustos","Eylül","Ekim","Kasım","Aralık"},MONTH(B1800)))</f>
        <v/>
      </c>
      <c r="D1800" s="2"/>
      <c r="E1800" s="5" t="str">
        <f>IFERROR(INDEX('Malzeme Tanımlama'!$B$5:$B$300,MATCH(D1800,'Malzeme Tanımlama'!$A$5:$A$300,0)),"")</f>
        <v/>
      </c>
      <c r="F1800" s="2"/>
      <c r="G1800" s="5"/>
      <c r="H1800" s="5" t="str">
        <f>IFERROR(INDEX('Malzeme Tanımlama'!$D$5:$D$300,MATCH(D1800,'Malzeme Tanımlama'!$A$5:$A$300,0)),"")</f>
        <v/>
      </c>
      <c r="I1800" s="2"/>
      <c r="J1800" s="2"/>
      <c r="K1800" s="2"/>
    </row>
    <row r="1801" spans="1:11" x14ac:dyDescent="0.3">
      <c r="A1801" s="5" t="str">
        <f>IF(D1801="","",COUNTIF($D$5:D1801,"?*"))</f>
        <v/>
      </c>
      <c r="B1801" s="6"/>
      <c r="C1801" s="5" t="str">
        <f>IF(B1801="","",INDEX({"Ocak","Şubat","Mart","Nisan","Mayıs","Haziran","Temmuz","Ağustos","Eylül","Ekim","Kasım","Aralık"},MONTH(B1801)))</f>
        <v/>
      </c>
      <c r="D1801" s="2"/>
      <c r="E1801" s="5" t="str">
        <f>IFERROR(INDEX('Malzeme Tanımlama'!$B$5:$B$300,MATCH(D1801,'Malzeme Tanımlama'!$A$5:$A$300,0)),"")</f>
        <v/>
      </c>
      <c r="F1801" s="2"/>
      <c r="G1801" s="5"/>
      <c r="H1801" s="5" t="str">
        <f>IFERROR(INDEX('Malzeme Tanımlama'!$D$5:$D$300,MATCH(D1801,'Malzeme Tanımlama'!$A$5:$A$300,0)),"")</f>
        <v/>
      </c>
      <c r="I1801" s="2"/>
      <c r="J1801" s="2"/>
      <c r="K1801" s="2"/>
    </row>
    <row r="1802" spans="1:11" x14ac:dyDescent="0.3">
      <c r="A1802" s="5" t="str">
        <f>IF(D1802="","",COUNTIF($D$5:D1802,"?*"))</f>
        <v/>
      </c>
      <c r="B1802" s="6"/>
      <c r="C1802" s="5" t="str">
        <f>IF(B1802="","",INDEX({"Ocak","Şubat","Mart","Nisan","Mayıs","Haziran","Temmuz","Ağustos","Eylül","Ekim","Kasım","Aralık"},MONTH(B1802)))</f>
        <v/>
      </c>
      <c r="D1802" s="2"/>
      <c r="E1802" s="5" t="str">
        <f>IFERROR(INDEX('Malzeme Tanımlama'!$B$5:$B$300,MATCH(D1802,'Malzeme Tanımlama'!$A$5:$A$300,0)),"")</f>
        <v/>
      </c>
      <c r="F1802" s="2"/>
      <c r="G1802" s="5"/>
      <c r="H1802" s="5" t="str">
        <f>IFERROR(INDEX('Malzeme Tanımlama'!$D$5:$D$300,MATCH(D1802,'Malzeme Tanımlama'!$A$5:$A$300,0)),"")</f>
        <v/>
      </c>
      <c r="I1802" s="2"/>
      <c r="J1802" s="2"/>
      <c r="K1802" s="2"/>
    </row>
    <row r="1803" spans="1:11" x14ac:dyDescent="0.3">
      <c r="A1803" s="5" t="str">
        <f>IF(D1803="","",COUNTIF($D$5:D1803,"?*"))</f>
        <v/>
      </c>
      <c r="B1803" s="6"/>
      <c r="C1803" s="5" t="str">
        <f>IF(B1803="","",INDEX({"Ocak","Şubat","Mart","Nisan","Mayıs","Haziran","Temmuz","Ağustos","Eylül","Ekim","Kasım","Aralık"},MONTH(B1803)))</f>
        <v/>
      </c>
      <c r="D1803" s="2"/>
      <c r="E1803" s="5" t="str">
        <f>IFERROR(INDEX('Malzeme Tanımlama'!$B$5:$B$300,MATCH(D1803,'Malzeme Tanımlama'!$A$5:$A$300,0)),"")</f>
        <v/>
      </c>
      <c r="F1803" s="2"/>
      <c r="G1803" s="5"/>
      <c r="H1803" s="5" t="str">
        <f>IFERROR(INDEX('Malzeme Tanımlama'!$D$5:$D$300,MATCH(D1803,'Malzeme Tanımlama'!$A$5:$A$300,0)),"")</f>
        <v/>
      </c>
      <c r="I1803" s="2"/>
      <c r="J1803" s="2"/>
      <c r="K1803" s="2"/>
    </row>
    <row r="1804" spans="1:11" x14ac:dyDescent="0.3">
      <c r="A1804" s="5" t="str">
        <f>IF(D1804="","",COUNTIF($D$5:D1804,"?*"))</f>
        <v/>
      </c>
      <c r="B1804" s="6"/>
      <c r="C1804" s="5" t="str">
        <f>IF(B1804="","",INDEX({"Ocak","Şubat","Mart","Nisan","Mayıs","Haziran","Temmuz","Ağustos","Eylül","Ekim","Kasım","Aralık"},MONTH(B1804)))</f>
        <v/>
      </c>
      <c r="D1804" s="2"/>
      <c r="E1804" s="5" t="str">
        <f>IFERROR(INDEX('Malzeme Tanımlama'!$B$5:$B$300,MATCH(D1804,'Malzeme Tanımlama'!$A$5:$A$300,0)),"")</f>
        <v/>
      </c>
      <c r="F1804" s="2"/>
      <c r="G1804" s="5"/>
      <c r="H1804" s="5" t="str">
        <f>IFERROR(INDEX('Malzeme Tanımlama'!$D$5:$D$300,MATCH(D1804,'Malzeme Tanımlama'!$A$5:$A$300,0)),"")</f>
        <v/>
      </c>
      <c r="I1804" s="2"/>
      <c r="J1804" s="2"/>
      <c r="K1804" s="2"/>
    </row>
    <row r="1805" spans="1:11" x14ac:dyDescent="0.3">
      <c r="A1805" s="5" t="str">
        <f>IF(D1805="","",COUNTIF($D$5:D1805,"?*"))</f>
        <v/>
      </c>
      <c r="B1805" s="6"/>
      <c r="C1805" s="5" t="str">
        <f>IF(B1805="","",INDEX({"Ocak","Şubat","Mart","Nisan","Mayıs","Haziran","Temmuz","Ağustos","Eylül","Ekim","Kasım","Aralık"},MONTH(B1805)))</f>
        <v/>
      </c>
      <c r="D1805" s="2"/>
      <c r="E1805" s="5" t="str">
        <f>IFERROR(INDEX('Malzeme Tanımlama'!$B$5:$B$300,MATCH(D1805,'Malzeme Tanımlama'!$A$5:$A$300,0)),"")</f>
        <v/>
      </c>
      <c r="F1805" s="2"/>
      <c r="G1805" s="5"/>
      <c r="H1805" s="5" t="str">
        <f>IFERROR(INDEX('Malzeme Tanımlama'!$D$5:$D$300,MATCH(D1805,'Malzeme Tanımlama'!$A$5:$A$300,0)),"")</f>
        <v/>
      </c>
      <c r="I1805" s="2"/>
      <c r="J1805" s="2"/>
      <c r="K1805" s="2"/>
    </row>
    <row r="1806" spans="1:11" x14ac:dyDescent="0.3">
      <c r="A1806" s="5" t="str">
        <f>IF(D1806="","",COUNTIF($D$5:D1806,"?*"))</f>
        <v/>
      </c>
      <c r="B1806" s="6"/>
      <c r="C1806" s="5" t="str">
        <f>IF(B1806="","",INDEX({"Ocak","Şubat","Mart","Nisan","Mayıs","Haziran","Temmuz","Ağustos","Eylül","Ekim","Kasım","Aralık"},MONTH(B1806)))</f>
        <v/>
      </c>
      <c r="D1806" s="2"/>
      <c r="E1806" s="5" t="str">
        <f>IFERROR(INDEX('Malzeme Tanımlama'!$B$5:$B$300,MATCH(D1806,'Malzeme Tanımlama'!$A$5:$A$300,0)),"")</f>
        <v/>
      </c>
      <c r="F1806" s="2"/>
      <c r="G1806" s="5"/>
      <c r="H1806" s="5" t="str">
        <f>IFERROR(INDEX('Malzeme Tanımlama'!$D$5:$D$300,MATCH(D1806,'Malzeme Tanımlama'!$A$5:$A$300,0)),"")</f>
        <v/>
      </c>
      <c r="I1806" s="2"/>
      <c r="J1806" s="2"/>
      <c r="K1806" s="2"/>
    </row>
    <row r="1807" spans="1:11" x14ac:dyDescent="0.3">
      <c r="A1807" s="5" t="str">
        <f>IF(D1807="","",COUNTIF($D$5:D1807,"?*"))</f>
        <v/>
      </c>
      <c r="B1807" s="6"/>
      <c r="C1807" s="5" t="str">
        <f>IF(B1807="","",INDEX({"Ocak","Şubat","Mart","Nisan","Mayıs","Haziran","Temmuz","Ağustos","Eylül","Ekim","Kasım","Aralık"},MONTH(B1807)))</f>
        <v/>
      </c>
      <c r="D1807" s="2"/>
      <c r="E1807" s="5" t="str">
        <f>IFERROR(INDEX('Malzeme Tanımlama'!$B$5:$B$300,MATCH(D1807,'Malzeme Tanımlama'!$A$5:$A$300,0)),"")</f>
        <v/>
      </c>
      <c r="F1807" s="2"/>
      <c r="G1807" s="5"/>
      <c r="H1807" s="5" t="str">
        <f>IFERROR(INDEX('Malzeme Tanımlama'!$D$5:$D$300,MATCH(D1807,'Malzeme Tanımlama'!$A$5:$A$300,0)),"")</f>
        <v/>
      </c>
      <c r="I1807" s="2"/>
      <c r="J1807" s="2"/>
      <c r="K1807" s="2"/>
    </row>
    <row r="1808" spans="1:11" x14ac:dyDescent="0.3">
      <c r="A1808" s="5" t="str">
        <f>IF(D1808="","",COUNTIF($D$5:D1808,"?*"))</f>
        <v/>
      </c>
      <c r="B1808" s="6"/>
      <c r="C1808" s="5" t="str">
        <f>IF(B1808="","",INDEX({"Ocak","Şubat","Mart","Nisan","Mayıs","Haziran","Temmuz","Ağustos","Eylül","Ekim","Kasım","Aralık"},MONTH(B1808)))</f>
        <v/>
      </c>
      <c r="D1808" s="2"/>
      <c r="E1808" s="5" t="str">
        <f>IFERROR(INDEX('Malzeme Tanımlama'!$B$5:$B$300,MATCH(D1808,'Malzeme Tanımlama'!$A$5:$A$300,0)),"")</f>
        <v/>
      </c>
      <c r="F1808" s="2"/>
      <c r="G1808" s="5"/>
      <c r="H1808" s="5" t="str">
        <f>IFERROR(INDEX('Malzeme Tanımlama'!$D$5:$D$300,MATCH(D1808,'Malzeme Tanımlama'!$A$5:$A$300,0)),"")</f>
        <v/>
      </c>
      <c r="I1808" s="2"/>
      <c r="J1808" s="2"/>
      <c r="K1808" s="2"/>
    </row>
    <row r="1809" spans="1:11" x14ac:dyDescent="0.3">
      <c r="A1809" s="5" t="str">
        <f>IF(D1809="","",COUNTIF($D$5:D1809,"?*"))</f>
        <v/>
      </c>
      <c r="B1809" s="6"/>
      <c r="C1809" s="5" t="str">
        <f>IF(B1809="","",INDEX({"Ocak","Şubat","Mart","Nisan","Mayıs","Haziran","Temmuz","Ağustos","Eylül","Ekim","Kasım","Aralık"},MONTH(B1809)))</f>
        <v/>
      </c>
      <c r="D1809" s="2"/>
      <c r="E1809" s="5" t="str">
        <f>IFERROR(INDEX('Malzeme Tanımlama'!$B$5:$B$300,MATCH(D1809,'Malzeme Tanımlama'!$A$5:$A$300,0)),"")</f>
        <v/>
      </c>
      <c r="F1809" s="2"/>
      <c r="G1809" s="5"/>
      <c r="H1809" s="5" t="str">
        <f>IFERROR(INDEX('Malzeme Tanımlama'!$D$5:$D$300,MATCH(D1809,'Malzeme Tanımlama'!$A$5:$A$300,0)),"")</f>
        <v/>
      </c>
      <c r="I1809" s="2"/>
      <c r="J1809" s="2"/>
      <c r="K1809" s="2"/>
    </row>
    <row r="1810" spans="1:11" x14ac:dyDescent="0.3">
      <c r="A1810" s="5" t="str">
        <f>IF(D1810="","",COUNTIF($D$5:D1810,"?*"))</f>
        <v/>
      </c>
      <c r="B1810" s="6"/>
      <c r="C1810" s="5" t="str">
        <f>IF(B1810="","",INDEX({"Ocak","Şubat","Mart","Nisan","Mayıs","Haziran","Temmuz","Ağustos","Eylül","Ekim","Kasım","Aralık"},MONTH(B1810)))</f>
        <v/>
      </c>
      <c r="D1810" s="2"/>
      <c r="E1810" s="5" t="str">
        <f>IFERROR(INDEX('Malzeme Tanımlama'!$B$5:$B$300,MATCH(D1810,'Malzeme Tanımlama'!$A$5:$A$300,0)),"")</f>
        <v/>
      </c>
      <c r="F1810" s="2"/>
      <c r="G1810" s="5"/>
      <c r="H1810" s="5" t="str">
        <f>IFERROR(INDEX('Malzeme Tanımlama'!$D$5:$D$300,MATCH(D1810,'Malzeme Tanımlama'!$A$5:$A$300,0)),"")</f>
        <v/>
      </c>
      <c r="I1810" s="2"/>
      <c r="J1810" s="2"/>
      <c r="K1810" s="2"/>
    </row>
    <row r="1811" spans="1:11" x14ac:dyDescent="0.3">
      <c r="A1811" s="5" t="str">
        <f>IF(D1811="","",COUNTIF($D$5:D1811,"?*"))</f>
        <v/>
      </c>
      <c r="B1811" s="6"/>
      <c r="C1811" s="5" t="str">
        <f>IF(B1811="","",INDEX({"Ocak","Şubat","Mart","Nisan","Mayıs","Haziran","Temmuz","Ağustos","Eylül","Ekim","Kasım","Aralık"},MONTH(B1811)))</f>
        <v/>
      </c>
      <c r="D1811" s="2"/>
      <c r="E1811" s="5" t="str">
        <f>IFERROR(INDEX('Malzeme Tanımlama'!$B$5:$B$300,MATCH(D1811,'Malzeme Tanımlama'!$A$5:$A$300,0)),"")</f>
        <v/>
      </c>
      <c r="F1811" s="2"/>
      <c r="G1811" s="5"/>
      <c r="H1811" s="5" t="str">
        <f>IFERROR(INDEX('Malzeme Tanımlama'!$D$5:$D$300,MATCH(D1811,'Malzeme Tanımlama'!$A$5:$A$300,0)),"")</f>
        <v/>
      </c>
      <c r="I1811" s="2"/>
      <c r="J1811" s="2"/>
      <c r="K1811" s="2"/>
    </row>
    <row r="1812" spans="1:11" x14ac:dyDescent="0.3">
      <c r="A1812" s="5" t="str">
        <f>IF(D1812="","",COUNTIF($D$5:D1812,"?*"))</f>
        <v/>
      </c>
      <c r="B1812" s="6"/>
      <c r="C1812" s="5" t="str">
        <f>IF(B1812="","",INDEX({"Ocak","Şubat","Mart","Nisan","Mayıs","Haziran","Temmuz","Ağustos","Eylül","Ekim","Kasım","Aralık"},MONTH(B1812)))</f>
        <v/>
      </c>
      <c r="D1812" s="2"/>
      <c r="E1812" s="5" t="str">
        <f>IFERROR(INDEX('Malzeme Tanımlama'!$B$5:$B$300,MATCH(D1812,'Malzeme Tanımlama'!$A$5:$A$300,0)),"")</f>
        <v/>
      </c>
      <c r="F1812" s="2"/>
      <c r="G1812" s="5"/>
      <c r="H1812" s="5" t="str">
        <f>IFERROR(INDEX('Malzeme Tanımlama'!$D$5:$D$300,MATCH(D1812,'Malzeme Tanımlama'!$A$5:$A$300,0)),"")</f>
        <v/>
      </c>
      <c r="I1812" s="2"/>
      <c r="J1812" s="2"/>
      <c r="K1812" s="2"/>
    </row>
    <row r="1813" spans="1:11" x14ac:dyDescent="0.3">
      <c r="A1813" s="5" t="str">
        <f>IF(D1813="","",COUNTIF($D$5:D1813,"?*"))</f>
        <v/>
      </c>
      <c r="B1813" s="6"/>
      <c r="C1813" s="5" t="str">
        <f>IF(B1813="","",INDEX({"Ocak","Şubat","Mart","Nisan","Mayıs","Haziran","Temmuz","Ağustos","Eylül","Ekim","Kasım","Aralık"},MONTH(B1813)))</f>
        <v/>
      </c>
      <c r="D1813" s="2"/>
      <c r="E1813" s="5" t="str">
        <f>IFERROR(INDEX('Malzeme Tanımlama'!$B$5:$B$300,MATCH(D1813,'Malzeme Tanımlama'!$A$5:$A$300,0)),"")</f>
        <v/>
      </c>
      <c r="F1813" s="2"/>
      <c r="G1813" s="5"/>
      <c r="H1813" s="5" t="str">
        <f>IFERROR(INDEX('Malzeme Tanımlama'!$D$5:$D$300,MATCH(D1813,'Malzeme Tanımlama'!$A$5:$A$300,0)),"")</f>
        <v/>
      </c>
      <c r="I1813" s="2"/>
      <c r="J1813" s="2"/>
      <c r="K1813" s="2"/>
    </row>
    <row r="1814" spans="1:11" x14ac:dyDescent="0.3">
      <c r="A1814" s="5" t="str">
        <f>IF(D1814="","",COUNTIF($D$5:D1814,"?*"))</f>
        <v/>
      </c>
      <c r="B1814" s="6"/>
      <c r="C1814" s="5" t="str">
        <f>IF(B1814="","",INDEX({"Ocak","Şubat","Mart","Nisan","Mayıs","Haziran","Temmuz","Ağustos","Eylül","Ekim","Kasım","Aralık"},MONTH(B1814)))</f>
        <v/>
      </c>
      <c r="D1814" s="2"/>
      <c r="E1814" s="5" t="str">
        <f>IFERROR(INDEX('Malzeme Tanımlama'!$B$5:$B$300,MATCH(D1814,'Malzeme Tanımlama'!$A$5:$A$300,0)),"")</f>
        <v/>
      </c>
      <c r="F1814" s="2"/>
      <c r="G1814" s="5"/>
      <c r="H1814" s="5" t="str">
        <f>IFERROR(INDEX('Malzeme Tanımlama'!$D$5:$D$300,MATCH(D1814,'Malzeme Tanımlama'!$A$5:$A$300,0)),"")</f>
        <v/>
      </c>
      <c r="I1814" s="2"/>
      <c r="J1814" s="2"/>
      <c r="K1814" s="2"/>
    </row>
    <row r="1815" spans="1:11" x14ac:dyDescent="0.3">
      <c r="A1815" s="5" t="str">
        <f>IF(D1815="","",COUNTIF($D$5:D1815,"?*"))</f>
        <v/>
      </c>
      <c r="B1815" s="6"/>
      <c r="C1815" s="5" t="str">
        <f>IF(B1815="","",INDEX({"Ocak","Şubat","Mart","Nisan","Mayıs","Haziran","Temmuz","Ağustos","Eylül","Ekim","Kasım","Aralık"},MONTH(B1815)))</f>
        <v/>
      </c>
      <c r="D1815" s="2"/>
      <c r="E1815" s="5" t="str">
        <f>IFERROR(INDEX('Malzeme Tanımlama'!$B$5:$B$300,MATCH(D1815,'Malzeme Tanımlama'!$A$5:$A$300,0)),"")</f>
        <v/>
      </c>
      <c r="F1815" s="2"/>
      <c r="G1815" s="5"/>
      <c r="H1815" s="5" t="str">
        <f>IFERROR(INDEX('Malzeme Tanımlama'!$D$5:$D$300,MATCH(D1815,'Malzeme Tanımlama'!$A$5:$A$300,0)),"")</f>
        <v/>
      </c>
      <c r="I1815" s="2"/>
      <c r="J1815" s="2"/>
      <c r="K1815" s="2"/>
    </row>
    <row r="1816" spans="1:11" x14ac:dyDescent="0.3">
      <c r="A1816" s="5" t="str">
        <f>IF(D1816="","",COUNTIF($D$5:D1816,"?*"))</f>
        <v/>
      </c>
      <c r="B1816" s="6"/>
      <c r="C1816" s="5" t="str">
        <f>IF(B1816="","",INDEX({"Ocak","Şubat","Mart","Nisan","Mayıs","Haziran","Temmuz","Ağustos","Eylül","Ekim","Kasım","Aralık"},MONTH(B1816)))</f>
        <v/>
      </c>
      <c r="D1816" s="2"/>
      <c r="E1816" s="5" t="str">
        <f>IFERROR(INDEX('Malzeme Tanımlama'!$B$5:$B$300,MATCH(D1816,'Malzeme Tanımlama'!$A$5:$A$300,0)),"")</f>
        <v/>
      </c>
      <c r="F1816" s="2"/>
      <c r="G1816" s="5"/>
      <c r="H1816" s="5" t="str">
        <f>IFERROR(INDEX('Malzeme Tanımlama'!$D$5:$D$300,MATCH(D1816,'Malzeme Tanımlama'!$A$5:$A$300,0)),"")</f>
        <v/>
      </c>
      <c r="I1816" s="2"/>
      <c r="J1816" s="2"/>
      <c r="K1816" s="2"/>
    </row>
    <row r="1817" spans="1:11" x14ac:dyDescent="0.3">
      <c r="A1817" s="5" t="str">
        <f>IF(D1817="","",COUNTIF($D$5:D1817,"?*"))</f>
        <v/>
      </c>
      <c r="B1817" s="6"/>
      <c r="C1817" s="5" t="str">
        <f>IF(B1817="","",INDEX({"Ocak","Şubat","Mart","Nisan","Mayıs","Haziran","Temmuz","Ağustos","Eylül","Ekim","Kasım","Aralık"},MONTH(B1817)))</f>
        <v/>
      </c>
      <c r="D1817" s="2"/>
      <c r="E1817" s="5" t="str">
        <f>IFERROR(INDEX('Malzeme Tanımlama'!$B$5:$B$300,MATCH(D1817,'Malzeme Tanımlama'!$A$5:$A$300,0)),"")</f>
        <v/>
      </c>
      <c r="F1817" s="2"/>
      <c r="G1817" s="5"/>
      <c r="H1817" s="5" t="str">
        <f>IFERROR(INDEX('Malzeme Tanımlama'!$D$5:$D$300,MATCH(D1817,'Malzeme Tanımlama'!$A$5:$A$300,0)),"")</f>
        <v/>
      </c>
      <c r="I1817" s="2"/>
      <c r="J1817" s="2"/>
      <c r="K1817" s="2"/>
    </row>
    <row r="1818" spans="1:11" x14ac:dyDescent="0.3">
      <c r="A1818" s="5" t="str">
        <f>IF(D1818="","",COUNTIF($D$5:D1818,"?*"))</f>
        <v/>
      </c>
      <c r="B1818" s="6"/>
      <c r="C1818" s="5" t="str">
        <f>IF(B1818="","",INDEX({"Ocak","Şubat","Mart","Nisan","Mayıs","Haziran","Temmuz","Ağustos","Eylül","Ekim","Kasım","Aralık"},MONTH(B1818)))</f>
        <v/>
      </c>
      <c r="D1818" s="2"/>
      <c r="E1818" s="5" t="str">
        <f>IFERROR(INDEX('Malzeme Tanımlama'!$B$5:$B$300,MATCH(D1818,'Malzeme Tanımlama'!$A$5:$A$300,0)),"")</f>
        <v/>
      </c>
      <c r="F1818" s="2"/>
      <c r="G1818" s="5"/>
      <c r="H1818" s="5" t="str">
        <f>IFERROR(INDEX('Malzeme Tanımlama'!$D$5:$D$300,MATCH(D1818,'Malzeme Tanımlama'!$A$5:$A$300,0)),"")</f>
        <v/>
      </c>
      <c r="I1818" s="2"/>
      <c r="J1818" s="2"/>
      <c r="K1818" s="2"/>
    </row>
    <row r="1819" spans="1:11" x14ac:dyDescent="0.3">
      <c r="A1819" s="5" t="str">
        <f>IF(D1819="","",COUNTIF($D$5:D1819,"?*"))</f>
        <v/>
      </c>
      <c r="B1819" s="6"/>
      <c r="C1819" s="5" t="str">
        <f>IF(B1819="","",INDEX({"Ocak","Şubat","Mart","Nisan","Mayıs","Haziran","Temmuz","Ağustos","Eylül","Ekim","Kasım","Aralık"},MONTH(B1819)))</f>
        <v/>
      </c>
      <c r="D1819" s="2"/>
      <c r="E1819" s="5" t="str">
        <f>IFERROR(INDEX('Malzeme Tanımlama'!$B$5:$B$300,MATCH(D1819,'Malzeme Tanımlama'!$A$5:$A$300,0)),"")</f>
        <v/>
      </c>
      <c r="F1819" s="2"/>
      <c r="G1819" s="5"/>
      <c r="H1819" s="5" t="str">
        <f>IFERROR(INDEX('Malzeme Tanımlama'!$D$5:$D$300,MATCH(D1819,'Malzeme Tanımlama'!$A$5:$A$300,0)),"")</f>
        <v/>
      </c>
      <c r="I1819" s="2"/>
      <c r="J1819" s="2"/>
      <c r="K1819" s="2"/>
    </row>
    <row r="1820" spans="1:11" x14ac:dyDescent="0.3">
      <c r="A1820" s="5" t="str">
        <f>IF(D1820="","",COUNTIF($D$5:D1820,"?*"))</f>
        <v/>
      </c>
      <c r="B1820" s="6"/>
      <c r="C1820" s="5" t="str">
        <f>IF(B1820="","",INDEX({"Ocak","Şubat","Mart","Nisan","Mayıs","Haziran","Temmuz","Ağustos","Eylül","Ekim","Kasım","Aralık"},MONTH(B1820)))</f>
        <v/>
      </c>
      <c r="D1820" s="2"/>
      <c r="E1820" s="5" t="str">
        <f>IFERROR(INDEX('Malzeme Tanımlama'!$B$5:$B$300,MATCH(D1820,'Malzeme Tanımlama'!$A$5:$A$300,0)),"")</f>
        <v/>
      </c>
      <c r="F1820" s="2"/>
      <c r="G1820" s="5"/>
      <c r="H1820" s="5" t="str">
        <f>IFERROR(INDEX('Malzeme Tanımlama'!$D$5:$D$300,MATCH(D1820,'Malzeme Tanımlama'!$A$5:$A$300,0)),"")</f>
        <v/>
      </c>
      <c r="I1820" s="2"/>
      <c r="J1820" s="2"/>
      <c r="K1820" s="2"/>
    </row>
    <row r="1821" spans="1:11" x14ac:dyDescent="0.3">
      <c r="A1821" s="5" t="str">
        <f>IF(D1821="","",COUNTIF($D$5:D1821,"?*"))</f>
        <v/>
      </c>
      <c r="B1821" s="6"/>
      <c r="C1821" s="5" t="str">
        <f>IF(B1821="","",INDEX({"Ocak","Şubat","Mart","Nisan","Mayıs","Haziran","Temmuz","Ağustos","Eylül","Ekim","Kasım","Aralık"},MONTH(B1821)))</f>
        <v/>
      </c>
      <c r="D1821" s="2"/>
      <c r="E1821" s="5" t="str">
        <f>IFERROR(INDEX('Malzeme Tanımlama'!$B$5:$B$300,MATCH(D1821,'Malzeme Tanımlama'!$A$5:$A$300,0)),"")</f>
        <v/>
      </c>
      <c r="F1821" s="2"/>
      <c r="G1821" s="5"/>
      <c r="H1821" s="5" t="str">
        <f>IFERROR(INDEX('Malzeme Tanımlama'!$D$5:$D$300,MATCH(D1821,'Malzeme Tanımlama'!$A$5:$A$300,0)),"")</f>
        <v/>
      </c>
      <c r="I1821" s="2"/>
      <c r="J1821" s="2"/>
      <c r="K1821" s="2"/>
    </row>
    <row r="1822" spans="1:11" x14ac:dyDescent="0.3">
      <c r="A1822" s="5" t="str">
        <f>IF(D1822="","",COUNTIF($D$5:D1822,"?*"))</f>
        <v/>
      </c>
      <c r="B1822" s="6"/>
      <c r="C1822" s="5" t="str">
        <f>IF(B1822="","",INDEX({"Ocak","Şubat","Mart","Nisan","Mayıs","Haziran","Temmuz","Ağustos","Eylül","Ekim","Kasım","Aralık"},MONTH(B1822)))</f>
        <v/>
      </c>
      <c r="D1822" s="2"/>
      <c r="E1822" s="5" t="str">
        <f>IFERROR(INDEX('Malzeme Tanımlama'!$B$5:$B$300,MATCH(D1822,'Malzeme Tanımlama'!$A$5:$A$300,0)),"")</f>
        <v/>
      </c>
      <c r="F1822" s="2"/>
      <c r="G1822" s="5"/>
      <c r="H1822" s="5" t="str">
        <f>IFERROR(INDEX('Malzeme Tanımlama'!$D$5:$D$300,MATCH(D1822,'Malzeme Tanımlama'!$A$5:$A$300,0)),"")</f>
        <v/>
      </c>
      <c r="I1822" s="2"/>
      <c r="J1822" s="2"/>
      <c r="K1822" s="2"/>
    </row>
    <row r="1823" spans="1:11" x14ac:dyDescent="0.3">
      <c r="A1823" s="5" t="str">
        <f>IF(D1823="","",COUNTIF($D$5:D1823,"?*"))</f>
        <v/>
      </c>
      <c r="B1823" s="6"/>
      <c r="C1823" s="5" t="str">
        <f>IF(B1823="","",INDEX({"Ocak","Şubat","Mart","Nisan","Mayıs","Haziran","Temmuz","Ağustos","Eylül","Ekim","Kasım","Aralık"},MONTH(B1823)))</f>
        <v/>
      </c>
      <c r="D1823" s="2"/>
      <c r="E1823" s="5" t="str">
        <f>IFERROR(INDEX('Malzeme Tanımlama'!$B$5:$B$300,MATCH(D1823,'Malzeme Tanımlama'!$A$5:$A$300,0)),"")</f>
        <v/>
      </c>
      <c r="F1823" s="2"/>
      <c r="G1823" s="5"/>
      <c r="H1823" s="5" t="str">
        <f>IFERROR(INDEX('Malzeme Tanımlama'!$D$5:$D$300,MATCH(D1823,'Malzeme Tanımlama'!$A$5:$A$300,0)),"")</f>
        <v/>
      </c>
      <c r="I1823" s="2"/>
      <c r="J1823" s="2"/>
      <c r="K1823" s="2"/>
    </row>
    <row r="1824" spans="1:11" x14ac:dyDescent="0.3">
      <c r="A1824" s="5" t="str">
        <f>IF(D1824="","",COUNTIF($D$5:D1824,"?*"))</f>
        <v/>
      </c>
      <c r="B1824" s="6"/>
      <c r="C1824" s="5" t="str">
        <f>IF(B1824="","",INDEX({"Ocak","Şubat","Mart","Nisan","Mayıs","Haziran","Temmuz","Ağustos","Eylül","Ekim","Kasım","Aralık"},MONTH(B1824)))</f>
        <v/>
      </c>
      <c r="D1824" s="2"/>
      <c r="E1824" s="5" t="str">
        <f>IFERROR(INDEX('Malzeme Tanımlama'!$B$5:$B$300,MATCH(D1824,'Malzeme Tanımlama'!$A$5:$A$300,0)),"")</f>
        <v/>
      </c>
      <c r="F1824" s="2"/>
      <c r="G1824" s="5"/>
      <c r="H1824" s="5" t="str">
        <f>IFERROR(INDEX('Malzeme Tanımlama'!$D$5:$D$300,MATCH(D1824,'Malzeme Tanımlama'!$A$5:$A$300,0)),"")</f>
        <v/>
      </c>
      <c r="I1824" s="2"/>
      <c r="J1824" s="2"/>
      <c r="K1824" s="2"/>
    </row>
    <row r="1825" spans="1:11" x14ac:dyDescent="0.3">
      <c r="A1825" s="5" t="str">
        <f>IF(D1825="","",COUNTIF($D$5:D1825,"?*"))</f>
        <v/>
      </c>
      <c r="B1825" s="6"/>
      <c r="C1825" s="5" t="str">
        <f>IF(B1825="","",INDEX({"Ocak","Şubat","Mart","Nisan","Mayıs","Haziran","Temmuz","Ağustos","Eylül","Ekim","Kasım","Aralık"},MONTH(B1825)))</f>
        <v/>
      </c>
      <c r="D1825" s="2"/>
      <c r="E1825" s="5" t="str">
        <f>IFERROR(INDEX('Malzeme Tanımlama'!$B$5:$B$300,MATCH(D1825,'Malzeme Tanımlama'!$A$5:$A$300,0)),"")</f>
        <v/>
      </c>
      <c r="F1825" s="2"/>
      <c r="G1825" s="5"/>
      <c r="H1825" s="5" t="str">
        <f>IFERROR(INDEX('Malzeme Tanımlama'!$D$5:$D$300,MATCH(D1825,'Malzeme Tanımlama'!$A$5:$A$300,0)),"")</f>
        <v/>
      </c>
      <c r="I1825" s="2"/>
      <c r="J1825" s="2"/>
      <c r="K1825" s="2"/>
    </row>
    <row r="1826" spans="1:11" x14ac:dyDescent="0.3">
      <c r="A1826" s="5" t="str">
        <f>IF(D1826="","",COUNTIF($D$5:D1826,"?*"))</f>
        <v/>
      </c>
      <c r="B1826" s="6"/>
      <c r="C1826" s="5" t="str">
        <f>IF(B1826="","",INDEX({"Ocak","Şubat","Mart","Nisan","Mayıs","Haziran","Temmuz","Ağustos","Eylül","Ekim","Kasım","Aralık"},MONTH(B1826)))</f>
        <v/>
      </c>
      <c r="D1826" s="2"/>
      <c r="E1826" s="5" t="str">
        <f>IFERROR(INDEX('Malzeme Tanımlama'!$B$5:$B$300,MATCH(D1826,'Malzeme Tanımlama'!$A$5:$A$300,0)),"")</f>
        <v/>
      </c>
      <c r="F1826" s="2"/>
      <c r="G1826" s="5"/>
      <c r="H1826" s="5" t="str">
        <f>IFERROR(INDEX('Malzeme Tanımlama'!$D$5:$D$300,MATCH(D1826,'Malzeme Tanımlama'!$A$5:$A$300,0)),"")</f>
        <v/>
      </c>
      <c r="I1826" s="2"/>
      <c r="J1826" s="2"/>
      <c r="K1826" s="2"/>
    </row>
    <row r="1827" spans="1:11" x14ac:dyDescent="0.3">
      <c r="A1827" s="5" t="str">
        <f>IF(D1827="","",COUNTIF($D$5:D1827,"?*"))</f>
        <v/>
      </c>
      <c r="B1827" s="6"/>
      <c r="C1827" s="5" t="str">
        <f>IF(B1827="","",INDEX({"Ocak","Şubat","Mart","Nisan","Mayıs","Haziran","Temmuz","Ağustos","Eylül","Ekim","Kasım","Aralık"},MONTH(B1827)))</f>
        <v/>
      </c>
      <c r="D1827" s="2"/>
      <c r="E1827" s="5" t="str">
        <f>IFERROR(INDEX('Malzeme Tanımlama'!$B$5:$B$300,MATCH(D1827,'Malzeme Tanımlama'!$A$5:$A$300,0)),"")</f>
        <v/>
      </c>
      <c r="F1827" s="2"/>
      <c r="G1827" s="5"/>
      <c r="H1827" s="5" t="str">
        <f>IFERROR(INDEX('Malzeme Tanımlama'!$D$5:$D$300,MATCH(D1827,'Malzeme Tanımlama'!$A$5:$A$300,0)),"")</f>
        <v/>
      </c>
      <c r="I1827" s="2"/>
      <c r="J1827" s="2"/>
      <c r="K1827" s="2"/>
    </row>
    <row r="1828" spans="1:11" x14ac:dyDescent="0.3">
      <c r="A1828" s="5" t="str">
        <f>IF(D1828="","",COUNTIF($D$5:D1828,"?*"))</f>
        <v/>
      </c>
      <c r="B1828" s="6"/>
      <c r="C1828" s="5" t="str">
        <f>IF(B1828="","",INDEX({"Ocak","Şubat","Mart","Nisan","Mayıs","Haziran","Temmuz","Ağustos","Eylül","Ekim","Kasım","Aralık"},MONTH(B1828)))</f>
        <v/>
      </c>
      <c r="D1828" s="2"/>
      <c r="E1828" s="5" t="str">
        <f>IFERROR(INDEX('Malzeme Tanımlama'!$B$5:$B$300,MATCH(D1828,'Malzeme Tanımlama'!$A$5:$A$300,0)),"")</f>
        <v/>
      </c>
      <c r="F1828" s="2"/>
      <c r="G1828" s="5"/>
      <c r="H1828" s="5" t="str">
        <f>IFERROR(INDEX('Malzeme Tanımlama'!$D$5:$D$300,MATCH(D1828,'Malzeme Tanımlama'!$A$5:$A$300,0)),"")</f>
        <v/>
      </c>
      <c r="I1828" s="2"/>
      <c r="J1828" s="2"/>
      <c r="K1828" s="2"/>
    </row>
    <row r="1829" spans="1:11" x14ac:dyDescent="0.3">
      <c r="A1829" s="5" t="str">
        <f>IF(D1829="","",COUNTIF($D$5:D1829,"?*"))</f>
        <v/>
      </c>
      <c r="B1829" s="6"/>
      <c r="C1829" s="5" t="str">
        <f>IF(B1829="","",INDEX({"Ocak","Şubat","Mart","Nisan","Mayıs","Haziran","Temmuz","Ağustos","Eylül","Ekim","Kasım","Aralık"},MONTH(B1829)))</f>
        <v/>
      </c>
      <c r="D1829" s="2"/>
      <c r="E1829" s="5" t="str">
        <f>IFERROR(INDEX('Malzeme Tanımlama'!$B$5:$B$300,MATCH(D1829,'Malzeme Tanımlama'!$A$5:$A$300,0)),"")</f>
        <v/>
      </c>
      <c r="F1829" s="2"/>
      <c r="G1829" s="5"/>
      <c r="H1829" s="5" t="str">
        <f>IFERROR(INDEX('Malzeme Tanımlama'!$D$5:$D$300,MATCH(D1829,'Malzeme Tanımlama'!$A$5:$A$300,0)),"")</f>
        <v/>
      </c>
      <c r="I1829" s="2"/>
      <c r="J1829" s="2"/>
      <c r="K1829" s="2"/>
    </row>
    <row r="1830" spans="1:11" x14ac:dyDescent="0.3">
      <c r="A1830" s="5" t="str">
        <f>IF(D1830="","",COUNTIF($D$5:D1830,"?*"))</f>
        <v/>
      </c>
      <c r="B1830" s="6"/>
      <c r="C1830" s="5" t="str">
        <f>IF(B1830="","",INDEX({"Ocak","Şubat","Mart","Nisan","Mayıs","Haziran","Temmuz","Ağustos","Eylül","Ekim","Kasım","Aralık"},MONTH(B1830)))</f>
        <v/>
      </c>
      <c r="D1830" s="2"/>
      <c r="E1830" s="5" t="str">
        <f>IFERROR(INDEX('Malzeme Tanımlama'!$B$5:$B$300,MATCH(D1830,'Malzeme Tanımlama'!$A$5:$A$300,0)),"")</f>
        <v/>
      </c>
      <c r="F1830" s="2"/>
      <c r="G1830" s="5"/>
      <c r="H1830" s="5" t="str">
        <f>IFERROR(INDEX('Malzeme Tanımlama'!$D$5:$D$300,MATCH(D1830,'Malzeme Tanımlama'!$A$5:$A$300,0)),"")</f>
        <v/>
      </c>
      <c r="I1830" s="2"/>
      <c r="J1830" s="2"/>
      <c r="K1830" s="2"/>
    </row>
    <row r="1831" spans="1:11" x14ac:dyDescent="0.3">
      <c r="A1831" s="5" t="str">
        <f>IF(D1831="","",COUNTIF($D$5:D1831,"?*"))</f>
        <v/>
      </c>
      <c r="B1831" s="6"/>
      <c r="C1831" s="5" t="str">
        <f>IF(B1831="","",INDEX({"Ocak","Şubat","Mart","Nisan","Mayıs","Haziran","Temmuz","Ağustos","Eylül","Ekim","Kasım","Aralık"},MONTH(B1831)))</f>
        <v/>
      </c>
      <c r="D1831" s="2"/>
      <c r="E1831" s="5" t="str">
        <f>IFERROR(INDEX('Malzeme Tanımlama'!$B$5:$B$300,MATCH(D1831,'Malzeme Tanımlama'!$A$5:$A$300,0)),"")</f>
        <v/>
      </c>
      <c r="F1831" s="2"/>
      <c r="G1831" s="5"/>
      <c r="H1831" s="5" t="str">
        <f>IFERROR(INDEX('Malzeme Tanımlama'!$D$5:$D$300,MATCH(D1831,'Malzeme Tanımlama'!$A$5:$A$300,0)),"")</f>
        <v/>
      </c>
      <c r="I1831" s="2"/>
      <c r="J1831" s="2"/>
      <c r="K1831" s="2"/>
    </row>
    <row r="1832" spans="1:11" x14ac:dyDescent="0.3">
      <c r="A1832" s="5" t="str">
        <f>IF(D1832="","",COUNTIF($D$5:D1832,"?*"))</f>
        <v/>
      </c>
      <c r="B1832" s="6"/>
      <c r="C1832" s="5" t="str">
        <f>IF(B1832="","",INDEX({"Ocak","Şubat","Mart","Nisan","Mayıs","Haziran","Temmuz","Ağustos","Eylül","Ekim","Kasım","Aralık"},MONTH(B1832)))</f>
        <v/>
      </c>
      <c r="D1832" s="2"/>
      <c r="E1832" s="5" t="str">
        <f>IFERROR(INDEX('Malzeme Tanımlama'!$B$5:$B$300,MATCH(D1832,'Malzeme Tanımlama'!$A$5:$A$300,0)),"")</f>
        <v/>
      </c>
      <c r="F1832" s="2"/>
      <c r="G1832" s="5"/>
      <c r="H1832" s="5" t="str">
        <f>IFERROR(INDEX('Malzeme Tanımlama'!$D$5:$D$300,MATCH(D1832,'Malzeme Tanımlama'!$A$5:$A$300,0)),"")</f>
        <v/>
      </c>
      <c r="I1832" s="2"/>
      <c r="J1832" s="2"/>
      <c r="K1832" s="2"/>
    </row>
    <row r="1833" spans="1:11" x14ac:dyDescent="0.3">
      <c r="A1833" s="5" t="str">
        <f>IF(D1833="","",COUNTIF($D$5:D1833,"?*"))</f>
        <v/>
      </c>
      <c r="B1833" s="6"/>
      <c r="C1833" s="5" t="str">
        <f>IF(B1833="","",INDEX({"Ocak","Şubat","Mart","Nisan","Mayıs","Haziran","Temmuz","Ağustos","Eylül","Ekim","Kasım","Aralık"},MONTH(B1833)))</f>
        <v/>
      </c>
      <c r="D1833" s="2"/>
      <c r="E1833" s="5" t="str">
        <f>IFERROR(INDEX('Malzeme Tanımlama'!$B$5:$B$300,MATCH(D1833,'Malzeme Tanımlama'!$A$5:$A$300,0)),"")</f>
        <v/>
      </c>
      <c r="F1833" s="2"/>
      <c r="G1833" s="5"/>
      <c r="H1833" s="5" t="str">
        <f>IFERROR(INDEX('Malzeme Tanımlama'!$D$5:$D$300,MATCH(D1833,'Malzeme Tanımlama'!$A$5:$A$300,0)),"")</f>
        <v/>
      </c>
      <c r="I1833" s="2"/>
      <c r="J1833" s="2"/>
      <c r="K1833" s="2"/>
    </row>
    <row r="1834" spans="1:11" x14ac:dyDescent="0.3">
      <c r="A1834" s="5" t="str">
        <f>IF(D1834="","",COUNTIF($D$5:D1834,"?*"))</f>
        <v/>
      </c>
      <c r="B1834" s="6"/>
      <c r="C1834" s="5" t="str">
        <f>IF(B1834="","",INDEX({"Ocak","Şubat","Mart","Nisan","Mayıs","Haziran","Temmuz","Ağustos","Eylül","Ekim","Kasım","Aralık"},MONTH(B1834)))</f>
        <v/>
      </c>
      <c r="D1834" s="2"/>
      <c r="E1834" s="5" t="str">
        <f>IFERROR(INDEX('Malzeme Tanımlama'!$B$5:$B$300,MATCH(D1834,'Malzeme Tanımlama'!$A$5:$A$300,0)),"")</f>
        <v/>
      </c>
      <c r="F1834" s="2"/>
      <c r="G1834" s="5"/>
      <c r="H1834" s="5" t="str">
        <f>IFERROR(INDEX('Malzeme Tanımlama'!$D$5:$D$300,MATCH(D1834,'Malzeme Tanımlama'!$A$5:$A$300,0)),"")</f>
        <v/>
      </c>
      <c r="I1834" s="2"/>
      <c r="J1834" s="2"/>
      <c r="K1834" s="2"/>
    </row>
    <row r="1835" spans="1:11" x14ac:dyDescent="0.3">
      <c r="A1835" s="5" t="str">
        <f>IF(D1835="","",COUNTIF($D$5:D1835,"?*"))</f>
        <v/>
      </c>
      <c r="B1835" s="6"/>
      <c r="C1835" s="5" t="str">
        <f>IF(B1835="","",INDEX({"Ocak","Şubat","Mart","Nisan","Mayıs","Haziran","Temmuz","Ağustos","Eylül","Ekim","Kasım","Aralık"},MONTH(B1835)))</f>
        <v/>
      </c>
      <c r="D1835" s="2"/>
      <c r="E1835" s="5" t="str">
        <f>IFERROR(INDEX('Malzeme Tanımlama'!$B$5:$B$300,MATCH(D1835,'Malzeme Tanımlama'!$A$5:$A$300,0)),"")</f>
        <v/>
      </c>
      <c r="F1835" s="2"/>
      <c r="G1835" s="5"/>
      <c r="H1835" s="5" t="str">
        <f>IFERROR(INDEX('Malzeme Tanımlama'!$D$5:$D$300,MATCH(D1835,'Malzeme Tanımlama'!$A$5:$A$300,0)),"")</f>
        <v/>
      </c>
      <c r="I1835" s="2"/>
      <c r="J1835" s="2"/>
      <c r="K1835" s="2"/>
    </row>
    <row r="1836" spans="1:11" x14ac:dyDescent="0.3">
      <c r="A1836" s="5" t="str">
        <f>IF(D1836="","",COUNTIF($D$5:D1836,"?*"))</f>
        <v/>
      </c>
      <c r="B1836" s="6"/>
      <c r="C1836" s="5" t="str">
        <f>IF(B1836="","",INDEX({"Ocak","Şubat","Mart","Nisan","Mayıs","Haziran","Temmuz","Ağustos","Eylül","Ekim","Kasım","Aralık"},MONTH(B1836)))</f>
        <v/>
      </c>
      <c r="D1836" s="2"/>
      <c r="E1836" s="5" t="str">
        <f>IFERROR(INDEX('Malzeme Tanımlama'!$B$5:$B$300,MATCH(D1836,'Malzeme Tanımlama'!$A$5:$A$300,0)),"")</f>
        <v/>
      </c>
      <c r="F1836" s="2"/>
      <c r="G1836" s="5"/>
      <c r="H1836" s="5" t="str">
        <f>IFERROR(INDEX('Malzeme Tanımlama'!$D$5:$D$300,MATCH(D1836,'Malzeme Tanımlama'!$A$5:$A$300,0)),"")</f>
        <v/>
      </c>
      <c r="I1836" s="2"/>
      <c r="J1836" s="2"/>
      <c r="K1836" s="2"/>
    </row>
    <row r="1837" spans="1:11" x14ac:dyDescent="0.3">
      <c r="A1837" s="5" t="str">
        <f>IF(D1837="","",COUNTIF($D$5:D1837,"?*"))</f>
        <v/>
      </c>
      <c r="B1837" s="6"/>
      <c r="C1837" s="5" t="str">
        <f>IF(B1837="","",INDEX({"Ocak","Şubat","Mart","Nisan","Mayıs","Haziran","Temmuz","Ağustos","Eylül","Ekim","Kasım","Aralık"},MONTH(B1837)))</f>
        <v/>
      </c>
      <c r="D1837" s="2"/>
      <c r="E1837" s="5" t="str">
        <f>IFERROR(INDEX('Malzeme Tanımlama'!$B$5:$B$300,MATCH(D1837,'Malzeme Tanımlama'!$A$5:$A$300,0)),"")</f>
        <v/>
      </c>
      <c r="F1837" s="2"/>
      <c r="G1837" s="5"/>
      <c r="H1837" s="5" t="str">
        <f>IFERROR(INDEX('Malzeme Tanımlama'!$D$5:$D$300,MATCH(D1837,'Malzeme Tanımlama'!$A$5:$A$300,0)),"")</f>
        <v/>
      </c>
      <c r="I1837" s="2"/>
      <c r="J1837" s="2"/>
      <c r="K1837" s="2"/>
    </row>
    <row r="1838" spans="1:11" x14ac:dyDescent="0.3">
      <c r="A1838" s="5" t="str">
        <f>IF(D1838="","",COUNTIF($D$5:D1838,"?*"))</f>
        <v/>
      </c>
      <c r="B1838" s="6"/>
      <c r="C1838" s="5" t="str">
        <f>IF(B1838="","",INDEX({"Ocak","Şubat","Mart","Nisan","Mayıs","Haziran","Temmuz","Ağustos","Eylül","Ekim","Kasım","Aralık"},MONTH(B1838)))</f>
        <v/>
      </c>
      <c r="D1838" s="2"/>
      <c r="E1838" s="5" t="str">
        <f>IFERROR(INDEX('Malzeme Tanımlama'!$B$5:$B$300,MATCH(D1838,'Malzeme Tanımlama'!$A$5:$A$300,0)),"")</f>
        <v/>
      </c>
      <c r="F1838" s="2"/>
      <c r="G1838" s="5"/>
      <c r="H1838" s="5" t="str">
        <f>IFERROR(INDEX('Malzeme Tanımlama'!$D$5:$D$300,MATCH(D1838,'Malzeme Tanımlama'!$A$5:$A$300,0)),"")</f>
        <v/>
      </c>
      <c r="I1838" s="2"/>
      <c r="J1838" s="2"/>
      <c r="K1838" s="2"/>
    </row>
    <row r="1839" spans="1:11" x14ac:dyDescent="0.3">
      <c r="A1839" s="5" t="str">
        <f>IF(D1839="","",COUNTIF($D$5:D1839,"?*"))</f>
        <v/>
      </c>
      <c r="B1839" s="6"/>
      <c r="C1839" s="5" t="str">
        <f>IF(B1839="","",INDEX({"Ocak","Şubat","Mart","Nisan","Mayıs","Haziran","Temmuz","Ağustos","Eylül","Ekim","Kasım","Aralık"},MONTH(B1839)))</f>
        <v/>
      </c>
      <c r="D1839" s="2"/>
      <c r="E1839" s="5" t="str">
        <f>IFERROR(INDEX('Malzeme Tanımlama'!$B$5:$B$300,MATCH(D1839,'Malzeme Tanımlama'!$A$5:$A$300,0)),"")</f>
        <v/>
      </c>
      <c r="F1839" s="2"/>
      <c r="G1839" s="5"/>
      <c r="H1839" s="5" t="str">
        <f>IFERROR(INDEX('Malzeme Tanımlama'!$D$5:$D$300,MATCH(D1839,'Malzeme Tanımlama'!$A$5:$A$300,0)),"")</f>
        <v/>
      </c>
      <c r="I1839" s="2"/>
      <c r="J1839" s="2"/>
      <c r="K1839" s="2"/>
    </row>
    <row r="1840" spans="1:11" x14ac:dyDescent="0.3">
      <c r="A1840" s="5" t="str">
        <f>IF(D1840="","",COUNTIF($D$5:D1840,"?*"))</f>
        <v/>
      </c>
      <c r="B1840" s="6"/>
      <c r="C1840" s="5" t="str">
        <f>IF(B1840="","",INDEX({"Ocak","Şubat","Mart","Nisan","Mayıs","Haziran","Temmuz","Ağustos","Eylül","Ekim","Kasım","Aralık"},MONTH(B1840)))</f>
        <v/>
      </c>
      <c r="D1840" s="2"/>
      <c r="E1840" s="5" t="str">
        <f>IFERROR(INDEX('Malzeme Tanımlama'!$B$5:$B$300,MATCH(D1840,'Malzeme Tanımlama'!$A$5:$A$300,0)),"")</f>
        <v/>
      </c>
      <c r="F1840" s="2"/>
      <c r="G1840" s="5"/>
      <c r="H1840" s="5" t="str">
        <f>IFERROR(INDEX('Malzeme Tanımlama'!$D$5:$D$300,MATCH(D1840,'Malzeme Tanımlama'!$A$5:$A$300,0)),"")</f>
        <v/>
      </c>
      <c r="I1840" s="2"/>
      <c r="J1840" s="2"/>
      <c r="K1840" s="2"/>
    </row>
    <row r="1841" spans="1:11" x14ac:dyDescent="0.3">
      <c r="A1841" s="5" t="str">
        <f>IF(D1841="","",COUNTIF($D$5:D1841,"?*"))</f>
        <v/>
      </c>
      <c r="B1841" s="6"/>
      <c r="C1841" s="5" t="str">
        <f>IF(B1841="","",INDEX({"Ocak","Şubat","Mart","Nisan","Mayıs","Haziran","Temmuz","Ağustos","Eylül","Ekim","Kasım","Aralık"},MONTH(B1841)))</f>
        <v/>
      </c>
      <c r="D1841" s="2"/>
      <c r="E1841" s="5" t="str">
        <f>IFERROR(INDEX('Malzeme Tanımlama'!$B$5:$B$300,MATCH(D1841,'Malzeme Tanımlama'!$A$5:$A$300,0)),"")</f>
        <v/>
      </c>
      <c r="F1841" s="2"/>
      <c r="G1841" s="5"/>
      <c r="H1841" s="5" t="str">
        <f>IFERROR(INDEX('Malzeme Tanımlama'!$D$5:$D$300,MATCH(D1841,'Malzeme Tanımlama'!$A$5:$A$300,0)),"")</f>
        <v/>
      </c>
      <c r="I1841" s="2"/>
      <c r="J1841" s="2"/>
      <c r="K1841" s="2"/>
    </row>
    <row r="1842" spans="1:11" x14ac:dyDescent="0.3">
      <c r="A1842" s="5" t="str">
        <f>IF(D1842="","",COUNTIF($D$5:D1842,"?*"))</f>
        <v/>
      </c>
      <c r="B1842" s="6"/>
      <c r="C1842" s="5" t="str">
        <f>IF(B1842="","",INDEX({"Ocak","Şubat","Mart","Nisan","Mayıs","Haziran","Temmuz","Ağustos","Eylül","Ekim","Kasım","Aralık"},MONTH(B1842)))</f>
        <v/>
      </c>
      <c r="D1842" s="2"/>
      <c r="E1842" s="5" t="str">
        <f>IFERROR(INDEX('Malzeme Tanımlama'!$B$5:$B$300,MATCH(D1842,'Malzeme Tanımlama'!$A$5:$A$300,0)),"")</f>
        <v/>
      </c>
      <c r="F1842" s="2"/>
      <c r="G1842" s="5"/>
      <c r="H1842" s="5" t="str">
        <f>IFERROR(INDEX('Malzeme Tanımlama'!$D$5:$D$300,MATCH(D1842,'Malzeme Tanımlama'!$A$5:$A$300,0)),"")</f>
        <v/>
      </c>
      <c r="I1842" s="2"/>
      <c r="J1842" s="2"/>
      <c r="K1842" s="2"/>
    </row>
    <row r="1843" spans="1:11" x14ac:dyDescent="0.3">
      <c r="A1843" s="5" t="str">
        <f>IF(D1843="","",COUNTIF($D$5:D1843,"?*"))</f>
        <v/>
      </c>
      <c r="B1843" s="6"/>
      <c r="C1843" s="5" t="str">
        <f>IF(B1843="","",INDEX({"Ocak","Şubat","Mart","Nisan","Mayıs","Haziran","Temmuz","Ağustos","Eylül","Ekim","Kasım","Aralık"},MONTH(B1843)))</f>
        <v/>
      </c>
      <c r="D1843" s="2"/>
      <c r="E1843" s="5" t="str">
        <f>IFERROR(INDEX('Malzeme Tanımlama'!$B$5:$B$300,MATCH(D1843,'Malzeme Tanımlama'!$A$5:$A$300,0)),"")</f>
        <v/>
      </c>
      <c r="F1843" s="2"/>
      <c r="G1843" s="5"/>
      <c r="H1843" s="5" t="str">
        <f>IFERROR(INDEX('Malzeme Tanımlama'!$D$5:$D$300,MATCH(D1843,'Malzeme Tanımlama'!$A$5:$A$300,0)),"")</f>
        <v/>
      </c>
      <c r="I1843" s="2"/>
      <c r="J1843" s="2"/>
      <c r="K1843" s="2"/>
    </row>
    <row r="1844" spans="1:11" x14ac:dyDescent="0.3">
      <c r="A1844" s="5" t="str">
        <f>IF(D1844="","",COUNTIF($D$5:D1844,"?*"))</f>
        <v/>
      </c>
      <c r="B1844" s="6"/>
      <c r="C1844" s="5" t="str">
        <f>IF(B1844="","",INDEX({"Ocak","Şubat","Mart","Nisan","Mayıs","Haziran","Temmuz","Ağustos","Eylül","Ekim","Kasım","Aralık"},MONTH(B1844)))</f>
        <v/>
      </c>
      <c r="D1844" s="2"/>
      <c r="E1844" s="5" t="str">
        <f>IFERROR(INDEX('Malzeme Tanımlama'!$B$5:$B$300,MATCH(D1844,'Malzeme Tanımlama'!$A$5:$A$300,0)),"")</f>
        <v/>
      </c>
      <c r="F1844" s="2"/>
      <c r="G1844" s="5"/>
      <c r="H1844" s="5" t="str">
        <f>IFERROR(INDEX('Malzeme Tanımlama'!$D$5:$D$300,MATCH(D1844,'Malzeme Tanımlama'!$A$5:$A$300,0)),"")</f>
        <v/>
      </c>
      <c r="I1844" s="2"/>
      <c r="J1844" s="2"/>
      <c r="K1844" s="2"/>
    </row>
    <row r="1845" spans="1:11" x14ac:dyDescent="0.3">
      <c r="A1845" s="5" t="str">
        <f>IF(D1845="","",COUNTIF($D$5:D1845,"?*"))</f>
        <v/>
      </c>
      <c r="B1845" s="6"/>
      <c r="C1845" s="5" t="str">
        <f>IF(B1845="","",INDEX({"Ocak","Şubat","Mart","Nisan","Mayıs","Haziran","Temmuz","Ağustos","Eylül","Ekim","Kasım","Aralık"},MONTH(B1845)))</f>
        <v/>
      </c>
      <c r="D1845" s="2"/>
      <c r="E1845" s="5" t="str">
        <f>IFERROR(INDEX('Malzeme Tanımlama'!$B$5:$B$300,MATCH(D1845,'Malzeme Tanımlama'!$A$5:$A$300,0)),"")</f>
        <v/>
      </c>
      <c r="F1845" s="2"/>
      <c r="G1845" s="5"/>
      <c r="H1845" s="5" t="str">
        <f>IFERROR(INDEX('Malzeme Tanımlama'!$D$5:$D$300,MATCH(D1845,'Malzeme Tanımlama'!$A$5:$A$300,0)),"")</f>
        <v/>
      </c>
      <c r="I1845" s="2"/>
      <c r="J1845" s="2"/>
      <c r="K1845" s="2"/>
    </row>
    <row r="1846" spans="1:11" x14ac:dyDescent="0.3">
      <c r="A1846" s="5" t="str">
        <f>IF(D1846="","",COUNTIF($D$5:D1846,"?*"))</f>
        <v/>
      </c>
      <c r="B1846" s="6"/>
      <c r="C1846" s="5" t="str">
        <f>IF(B1846="","",INDEX({"Ocak","Şubat","Mart","Nisan","Mayıs","Haziran","Temmuz","Ağustos","Eylül","Ekim","Kasım","Aralık"},MONTH(B1846)))</f>
        <v/>
      </c>
      <c r="D1846" s="2"/>
      <c r="E1846" s="5" t="str">
        <f>IFERROR(INDEX('Malzeme Tanımlama'!$B$5:$B$300,MATCH(D1846,'Malzeme Tanımlama'!$A$5:$A$300,0)),"")</f>
        <v/>
      </c>
      <c r="F1846" s="2"/>
      <c r="G1846" s="5"/>
      <c r="H1846" s="5" t="str">
        <f>IFERROR(INDEX('Malzeme Tanımlama'!$D$5:$D$300,MATCH(D1846,'Malzeme Tanımlama'!$A$5:$A$300,0)),"")</f>
        <v/>
      </c>
      <c r="I1846" s="2"/>
      <c r="J1846" s="2"/>
      <c r="K1846" s="2"/>
    </row>
    <row r="1847" spans="1:11" x14ac:dyDescent="0.3">
      <c r="A1847" s="5" t="str">
        <f>IF(D1847="","",COUNTIF($D$5:D1847,"?*"))</f>
        <v/>
      </c>
      <c r="B1847" s="6"/>
      <c r="C1847" s="5" t="str">
        <f>IF(B1847="","",INDEX({"Ocak","Şubat","Mart","Nisan","Mayıs","Haziran","Temmuz","Ağustos","Eylül","Ekim","Kasım","Aralık"},MONTH(B1847)))</f>
        <v/>
      </c>
      <c r="D1847" s="2"/>
      <c r="E1847" s="5" t="str">
        <f>IFERROR(INDEX('Malzeme Tanımlama'!$B$5:$B$300,MATCH(D1847,'Malzeme Tanımlama'!$A$5:$A$300,0)),"")</f>
        <v/>
      </c>
      <c r="F1847" s="2"/>
      <c r="G1847" s="5"/>
      <c r="H1847" s="5" t="str">
        <f>IFERROR(INDEX('Malzeme Tanımlama'!$D$5:$D$300,MATCH(D1847,'Malzeme Tanımlama'!$A$5:$A$300,0)),"")</f>
        <v/>
      </c>
      <c r="I1847" s="2"/>
      <c r="J1847" s="2"/>
      <c r="K1847" s="2"/>
    </row>
    <row r="1848" spans="1:11" x14ac:dyDescent="0.3">
      <c r="A1848" s="5" t="str">
        <f>IF(D1848="","",COUNTIF($D$5:D1848,"?*"))</f>
        <v/>
      </c>
      <c r="B1848" s="6"/>
      <c r="C1848" s="5" t="str">
        <f>IF(B1848="","",INDEX({"Ocak","Şubat","Mart","Nisan","Mayıs","Haziran","Temmuz","Ağustos","Eylül","Ekim","Kasım","Aralık"},MONTH(B1848)))</f>
        <v/>
      </c>
      <c r="D1848" s="2"/>
      <c r="E1848" s="5" t="str">
        <f>IFERROR(INDEX('Malzeme Tanımlama'!$B$5:$B$300,MATCH(D1848,'Malzeme Tanımlama'!$A$5:$A$300,0)),"")</f>
        <v/>
      </c>
      <c r="F1848" s="2"/>
      <c r="G1848" s="5"/>
      <c r="H1848" s="5" t="str">
        <f>IFERROR(INDEX('Malzeme Tanımlama'!$D$5:$D$300,MATCH(D1848,'Malzeme Tanımlama'!$A$5:$A$300,0)),"")</f>
        <v/>
      </c>
      <c r="I1848" s="2"/>
      <c r="J1848" s="2"/>
      <c r="K1848" s="2"/>
    </row>
    <row r="1849" spans="1:11" x14ac:dyDescent="0.3">
      <c r="A1849" s="5" t="str">
        <f>IF(D1849="","",COUNTIF($D$5:D1849,"?*"))</f>
        <v/>
      </c>
      <c r="B1849" s="6"/>
      <c r="C1849" s="5" t="str">
        <f>IF(B1849="","",INDEX({"Ocak","Şubat","Mart","Nisan","Mayıs","Haziran","Temmuz","Ağustos","Eylül","Ekim","Kasım","Aralık"},MONTH(B1849)))</f>
        <v/>
      </c>
      <c r="D1849" s="2"/>
      <c r="E1849" s="5" t="str">
        <f>IFERROR(INDEX('Malzeme Tanımlama'!$B$5:$B$300,MATCH(D1849,'Malzeme Tanımlama'!$A$5:$A$300,0)),"")</f>
        <v/>
      </c>
      <c r="F1849" s="2"/>
      <c r="G1849" s="5"/>
      <c r="H1849" s="5" t="str">
        <f>IFERROR(INDEX('Malzeme Tanımlama'!$D$5:$D$300,MATCH(D1849,'Malzeme Tanımlama'!$A$5:$A$300,0)),"")</f>
        <v/>
      </c>
      <c r="I1849" s="2"/>
      <c r="J1849" s="2"/>
      <c r="K1849" s="2"/>
    </row>
    <row r="1850" spans="1:11" x14ac:dyDescent="0.3">
      <c r="A1850" s="5" t="str">
        <f>IF(D1850="","",COUNTIF($D$5:D1850,"?*"))</f>
        <v/>
      </c>
      <c r="B1850" s="6"/>
      <c r="C1850" s="5" t="str">
        <f>IF(B1850="","",INDEX({"Ocak","Şubat","Mart","Nisan","Mayıs","Haziran","Temmuz","Ağustos","Eylül","Ekim","Kasım","Aralık"},MONTH(B1850)))</f>
        <v/>
      </c>
      <c r="D1850" s="2"/>
      <c r="E1850" s="5" t="str">
        <f>IFERROR(INDEX('Malzeme Tanımlama'!$B$5:$B$300,MATCH(D1850,'Malzeme Tanımlama'!$A$5:$A$300,0)),"")</f>
        <v/>
      </c>
      <c r="F1850" s="2"/>
      <c r="G1850" s="5"/>
      <c r="H1850" s="5" t="str">
        <f>IFERROR(INDEX('Malzeme Tanımlama'!$D$5:$D$300,MATCH(D1850,'Malzeme Tanımlama'!$A$5:$A$300,0)),"")</f>
        <v/>
      </c>
      <c r="I1850" s="2"/>
      <c r="J1850" s="2"/>
      <c r="K1850" s="2"/>
    </row>
    <row r="1851" spans="1:11" x14ac:dyDescent="0.3">
      <c r="A1851" s="5" t="str">
        <f>IF(D1851="","",COUNTIF($D$5:D1851,"?*"))</f>
        <v/>
      </c>
      <c r="B1851" s="6"/>
      <c r="C1851" s="5" t="str">
        <f>IF(B1851="","",INDEX({"Ocak","Şubat","Mart","Nisan","Mayıs","Haziran","Temmuz","Ağustos","Eylül","Ekim","Kasım","Aralık"},MONTH(B1851)))</f>
        <v/>
      </c>
      <c r="D1851" s="2"/>
      <c r="E1851" s="5" t="str">
        <f>IFERROR(INDEX('Malzeme Tanımlama'!$B$5:$B$300,MATCH(D1851,'Malzeme Tanımlama'!$A$5:$A$300,0)),"")</f>
        <v/>
      </c>
      <c r="F1851" s="2"/>
      <c r="G1851" s="5"/>
      <c r="H1851" s="5" t="str">
        <f>IFERROR(INDEX('Malzeme Tanımlama'!$D$5:$D$300,MATCH(D1851,'Malzeme Tanımlama'!$A$5:$A$300,0)),"")</f>
        <v/>
      </c>
      <c r="I1851" s="2"/>
      <c r="J1851" s="2"/>
      <c r="K1851" s="2"/>
    </row>
    <row r="1852" spans="1:11" x14ac:dyDescent="0.3">
      <c r="A1852" s="5" t="str">
        <f>IF(D1852="","",COUNTIF($D$5:D1852,"?*"))</f>
        <v/>
      </c>
      <c r="B1852" s="6"/>
      <c r="C1852" s="5" t="str">
        <f>IF(B1852="","",INDEX({"Ocak","Şubat","Mart","Nisan","Mayıs","Haziran","Temmuz","Ağustos","Eylül","Ekim","Kasım","Aralık"},MONTH(B1852)))</f>
        <v/>
      </c>
      <c r="D1852" s="2"/>
      <c r="E1852" s="5" t="str">
        <f>IFERROR(INDEX('Malzeme Tanımlama'!$B$5:$B$300,MATCH(D1852,'Malzeme Tanımlama'!$A$5:$A$300,0)),"")</f>
        <v/>
      </c>
      <c r="F1852" s="2"/>
      <c r="G1852" s="5"/>
      <c r="H1852" s="5" t="str">
        <f>IFERROR(INDEX('Malzeme Tanımlama'!$D$5:$D$300,MATCH(D1852,'Malzeme Tanımlama'!$A$5:$A$300,0)),"")</f>
        <v/>
      </c>
      <c r="I1852" s="2"/>
      <c r="J1852" s="2"/>
      <c r="K1852" s="2"/>
    </row>
    <row r="1853" spans="1:11" x14ac:dyDescent="0.3">
      <c r="A1853" s="5" t="str">
        <f>IF(D1853="","",COUNTIF($D$5:D1853,"?*"))</f>
        <v/>
      </c>
      <c r="B1853" s="6"/>
      <c r="C1853" s="5" t="str">
        <f>IF(B1853="","",INDEX({"Ocak","Şubat","Mart","Nisan","Mayıs","Haziran","Temmuz","Ağustos","Eylül","Ekim","Kasım","Aralık"},MONTH(B1853)))</f>
        <v/>
      </c>
      <c r="D1853" s="2"/>
      <c r="E1853" s="5" t="str">
        <f>IFERROR(INDEX('Malzeme Tanımlama'!$B$5:$B$300,MATCH(D1853,'Malzeme Tanımlama'!$A$5:$A$300,0)),"")</f>
        <v/>
      </c>
      <c r="F1853" s="2"/>
      <c r="G1853" s="5"/>
      <c r="H1853" s="5" t="str">
        <f>IFERROR(INDEX('Malzeme Tanımlama'!$D$5:$D$300,MATCH(D1853,'Malzeme Tanımlama'!$A$5:$A$300,0)),"")</f>
        <v/>
      </c>
      <c r="I1853" s="2"/>
      <c r="J1853" s="2"/>
      <c r="K1853" s="2"/>
    </row>
    <row r="1854" spans="1:11" x14ac:dyDescent="0.3">
      <c r="A1854" s="5" t="str">
        <f>IF(D1854="","",COUNTIF($D$5:D1854,"?*"))</f>
        <v/>
      </c>
      <c r="B1854" s="6"/>
      <c r="C1854" s="5" t="str">
        <f>IF(B1854="","",INDEX({"Ocak","Şubat","Mart","Nisan","Mayıs","Haziran","Temmuz","Ağustos","Eylül","Ekim","Kasım","Aralık"},MONTH(B1854)))</f>
        <v/>
      </c>
      <c r="D1854" s="2"/>
      <c r="E1854" s="5" t="str">
        <f>IFERROR(INDEX('Malzeme Tanımlama'!$B$5:$B$300,MATCH(D1854,'Malzeme Tanımlama'!$A$5:$A$300,0)),"")</f>
        <v/>
      </c>
      <c r="F1854" s="2"/>
      <c r="G1854" s="5"/>
      <c r="H1854" s="5" t="str">
        <f>IFERROR(INDEX('Malzeme Tanımlama'!$D$5:$D$300,MATCH(D1854,'Malzeme Tanımlama'!$A$5:$A$300,0)),"")</f>
        <v/>
      </c>
      <c r="I1854" s="2"/>
      <c r="J1854" s="2"/>
      <c r="K1854" s="2"/>
    </row>
    <row r="1855" spans="1:11" x14ac:dyDescent="0.3">
      <c r="A1855" s="5" t="str">
        <f>IF(D1855="","",COUNTIF($D$5:D1855,"?*"))</f>
        <v/>
      </c>
      <c r="B1855" s="6"/>
      <c r="C1855" s="5" t="str">
        <f>IF(B1855="","",INDEX({"Ocak","Şubat","Mart","Nisan","Mayıs","Haziran","Temmuz","Ağustos","Eylül","Ekim","Kasım","Aralık"},MONTH(B1855)))</f>
        <v/>
      </c>
      <c r="D1855" s="2"/>
      <c r="E1855" s="5" t="str">
        <f>IFERROR(INDEX('Malzeme Tanımlama'!$B$5:$B$300,MATCH(D1855,'Malzeme Tanımlama'!$A$5:$A$300,0)),"")</f>
        <v/>
      </c>
      <c r="F1855" s="2"/>
      <c r="G1855" s="5"/>
      <c r="H1855" s="5" t="str">
        <f>IFERROR(INDEX('Malzeme Tanımlama'!$D$5:$D$300,MATCH(D1855,'Malzeme Tanımlama'!$A$5:$A$300,0)),"")</f>
        <v/>
      </c>
      <c r="I1855" s="2"/>
      <c r="J1855" s="2"/>
      <c r="K1855" s="2"/>
    </row>
    <row r="1856" spans="1:11" x14ac:dyDescent="0.3">
      <c r="A1856" s="5" t="str">
        <f>IF(D1856="","",COUNTIF($D$5:D1856,"?*"))</f>
        <v/>
      </c>
      <c r="B1856" s="6"/>
      <c r="C1856" s="5" t="str">
        <f>IF(B1856="","",INDEX({"Ocak","Şubat","Mart","Nisan","Mayıs","Haziran","Temmuz","Ağustos","Eylül","Ekim","Kasım","Aralık"},MONTH(B1856)))</f>
        <v/>
      </c>
      <c r="D1856" s="2"/>
      <c r="E1856" s="5" t="str">
        <f>IFERROR(INDEX('Malzeme Tanımlama'!$B$5:$B$300,MATCH(D1856,'Malzeme Tanımlama'!$A$5:$A$300,0)),"")</f>
        <v/>
      </c>
      <c r="F1856" s="2"/>
      <c r="G1856" s="5"/>
      <c r="H1856" s="5" t="str">
        <f>IFERROR(INDEX('Malzeme Tanımlama'!$D$5:$D$300,MATCH(D1856,'Malzeme Tanımlama'!$A$5:$A$300,0)),"")</f>
        <v/>
      </c>
      <c r="I1856" s="2"/>
      <c r="J1856" s="2"/>
      <c r="K1856" s="2"/>
    </row>
    <row r="1857" spans="1:11" x14ac:dyDescent="0.3">
      <c r="A1857" s="5" t="str">
        <f>IF(D1857="","",COUNTIF($D$5:D1857,"?*"))</f>
        <v/>
      </c>
      <c r="B1857" s="6"/>
      <c r="C1857" s="5" t="str">
        <f>IF(B1857="","",INDEX({"Ocak","Şubat","Mart","Nisan","Mayıs","Haziran","Temmuz","Ağustos","Eylül","Ekim","Kasım","Aralık"},MONTH(B1857)))</f>
        <v/>
      </c>
      <c r="D1857" s="2"/>
      <c r="E1857" s="5" t="str">
        <f>IFERROR(INDEX('Malzeme Tanımlama'!$B$5:$B$300,MATCH(D1857,'Malzeme Tanımlama'!$A$5:$A$300,0)),"")</f>
        <v/>
      </c>
      <c r="F1857" s="2"/>
      <c r="G1857" s="5"/>
      <c r="H1857" s="5" t="str">
        <f>IFERROR(INDEX('Malzeme Tanımlama'!$D$5:$D$300,MATCH(D1857,'Malzeme Tanımlama'!$A$5:$A$300,0)),"")</f>
        <v/>
      </c>
      <c r="I1857" s="2"/>
      <c r="J1857" s="2"/>
      <c r="K1857" s="2"/>
    </row>
    <row r="1858" spans="1:11" x14ac:dyDescent="0.3">
      <c r="A1858" s="5" t="str">
        <f>IF(D1858="","",COUNTIF($D$5:D1858,"?*"))</f>
        <v/>
      </c>
      <c r="B1858" s="6"/>
      <c r="C1858" s="5" t="str">
        <f>IF(B1858="","",INDEX({"Ocak","Şubat","Mart","Nisan","Mayıs","Haziran","Temmuz","Ağustos","Eylül","Ekim","Kasım","Aralık"},MONTH(B1858)))</f>
        <v/>
      </c>
      <c r="D1858" s="2"/>
      <c r="E1858" s="5" t="str">
        <f>IFERROR(INDEX('Malzeme Tanımlama'!$B$5:$B$300,MATCH(D1858,'Malzeme Tanımlama'!$A$5:$A$300,0)),"")</f>
        <v/>
      </c>
      <c r="F1858" s="2"/>
      <c r="G1858" s="5"/>
      <c r="H1858" s="5" t="str">
        <f>IFERROR(INDEX('Malzeme Tanımlama'!$D$5:$D$300,MATCH(D1858,'Malzeme Tanımlama'!$A$5:$A$300,0)),"")</f>
        <v/>
      </c>
      <c r="I1858" s="2"/>
      <c r="J1858" s="2"/>
      <c r="K1858" s="2"/>
    </row>
    <row r="1859" spans="1:11" x14ac:dyDescent="0.3">
      <c r="A1859" s="5" t="str">
        <f>IF(D1859="","",COUNTIF($D$5:D1859,"?*"))</f>
        <v/>
      </c>
      <c r="B1859" s="6"/>
      <c r="C1859" s="5" t="str">
        <f>IF(B1859="","",INDEX({"Ocak","Şubat","Mart","Nisan","Mayıs","Haziran","Temmuz","Ağustos","Eylül","Ekim","Kasım","Aralık"},MONTH(B1859)))</f>
        <v/>
      </c>
      <c r="D1859" s="2"/>
      <c r="E1859" s="5" t="str">
        <f>IFERROR(INDEX('Malzeme Tanımlama'!$B$5:$B$300,MATCH(D1859,'Malzeme Tanımlama'!$A$5:$A$300,0)),"")</f>
        <v/>
      </c>
      <c r="F1859" s="2"/>
      <c r="G1859" s="5"/>
      <c r="H1859" s="5" t="str">
        <f>IFERROR(INDEX('Malzeme Tanımlama'!$D$5:$D$300,MATCH(D1859,'Malzeme Tanımlama'!$A$5:$A$300,0)),"")</f>
        <v/>
      </c>
      <c r="I1859" s="2"/>
      <c r="J1859" s="2"/>
      <c r="K1859" s="2"/>
    </row>
    <row r="1860" spans="1:11" x14ac:dyDescent="0.3">
      <c r="A1860" s="5" t="str">
        <f>IF(D1860="","",COUNTIF($D$5:D1860,"?*"))</f>
        <v/>
      </c>
      <c r="B1860" s="6"/>
      <c r="C1860" s="5" t="str">
        <f>IF(B1860="","",INDEX({"Ocak","Şubat","Mart","Nisan","Mayıs","Haziran","Temmuz","Ağustos","Eylül","Ekim","Kasım","Aralık"},MONTH(B1860)))</f>
        <v/>
      </c>
      <c r="D1860" s="2"/>
      <c r="E1860" s="5" t="str">
        <f>IFERROR(INDEX('Malzeme Tanımlama'!$B$5:$B$300,MATCH(D1860,'Malzeme Tanımlama'!$A$5:$A$300,0)),"")</f>
        <v/>
      </c>
      <c r="F1860" s="2"/>
      <c r="G1860" s="5"/>
      <c r="H1860" s="5" t="str">
        <f>IFERROR(INDEX('Malzeme Tanımlama'!$D$5:$D$300,MATCH(D1860,'Malzeme Tanımlama'!$A$5:$A$300,0)),"")</f>
        <v/>
      </c>
      <c r="I1860" s="2"/>
      <c r="J1860" s="2"/>
      <c r="K1860" s="2"/>
    </row>
    <row r="1861" spans="1:11" x14ac:dyDescent="0.3">
      <c r="A1861" s="5" t="str">
        <f>IF(D1861="","",COUNTIF($D$5:D1861,"?*"))</f>
        <v/>
      </c>
      <c r="B1861" s="6"/>
      <c r="C1861" s="5" t="str">
        <f>IF(B1861="","",INDEX({"Ocak","Şubat","Mart","Nisan","Mayıs","Haziran","Temmuz","Ağustos","Eylül","Ekim","Kasım","Aralık"},MONTH(B1861)))</f>
        <v/>
      </c>
      <c r="D1861" s="2"/>
      <c r="E1861" s="5" t="str">
        <f>IFERROR(INDEX('Malzeme Tanımlama'!$B$5:$B$300,MATCH(D1861,'Malzeme Tanımlama'!$A$5:$A$300,0)),"")</f>
        <v/>
      </c>
      <c r="F1861" s="2"/>
      <c r="G1861" s="5"/>
      <c r="H1861" s="5" t="str">
        <f>IFERROR(INDEX('Malzeme Tanımlama'!$D$5:$D$300,MATCH(D1861,'Malzeme Tanımlama'!$A$5:$A$300,0)),"")</f>
        <v/>
      </c>
      <c r="I1861" s="2"/>
      <c r="J1861" s="2"/>
      <c r="K1861" s="2"/>
    </row>
    <row r="1862" spans="1:11" x14ac:dyDescent="0.3">
      <c r="A1862" s="5" t="str">
        <f>IF(D1862="","",COUNTIF($D$5:D1862,"?*"))</f>
        <v/>
      </c>
      <c r="B1862" s="6"/>
      <c r="C1862" s="5" t="str">
        <f>IF(B1862="","",INDEX({"Ocak","Şubat","Mart","Nisan","Mayıs","Haziran","Temmuz","Ağustos","Eylül","Ekim","Kasım","Aralık"},MONTH(B1862)))</f>
        <v/>
      </c>
      <c r="D1862" s="2"/>
      <c r="E1862" s="5" t="str">
        <f>IFERROR(INDEX('Malzeme Tanımlama'!$B$5:$B$300,MATCH(D1862,'Malzeme Tanımlama'!$A$5:$A$300,0)),"")</f>
        <v/>
      </c>
      <c r="F1862" s="2"/>
      <c r="G1862" s="5"/>
      <c r="H1862" s="5" t="str">
        <f>IFERROR(INDEX('Malzeme Tanımlama'!$D$5:$D$300,MATCH(D1862,'Malzeme Tanımlama'!$A$5:$A$300,0)),"")</f>
        <v/>
      </c>
      <c r="I1862" s="2"/>
      <c r="J1862" s="2"/>
      <c r="K1862" s="2"/>
    </row>
    <row r="1863" spans="1:11" x14ac:dyDescent="0.3">
      <c r="A1863" s="5" t="str">
        <f>IF(D1863="","",COUNTIF($D$5:D1863,"?*"))</f>
        <v/>
      </c>
      <c r="B1863" s="6"/>
      <c r="C1863" s="5" t="str">
        <f>IF(B1863="","",INDEX({"Ocak","Şubat","Mart","Nisan","Mayıs","Haziran","Temmuz","Ağustos","Eylül","Ekim","Kasım","Aralık"},MONTH(B1863)))</f>
        <v/>
      </c>
      <c r="D1863" s="2"/>
      <c r="E1863" s="5" t="str">
        <f>IFERROR(INDEX('Malzeme Tanımlama'!$B$5:$B$300,MATCH(D1863,'Malzeme Tanımlama'!$A$5:$A$300,0)),"")</f>
        <v/>
      </c>
      <c r="F1863" s="2"/>
      <c r="G1863" s="5"/>
      <c r="H1863" s="5" t="str">
        <f>IFERROR(INDEX('Malzeme Tanımlama'!$D$5:$D$300,MATCH(D1863,'Malzeme Tanımlama'!$A$5:$A$300,0)),"")</f>
        <v/>
      </c>
      <c r="I1863" s="2"/>
      <c r="J1863" s="2"/>
      <c r="K1863" s="2"/>
    </row>
    <row r="1864" spans="1:11" x14ac:dyDescent="0.3">
      <c r="A1864" s="5" t="str">
        <f>IF(D1864="","",COUNTIF($D$5:D1864,"?*"))</f>
        <v/>
      </c>
      <c r="B1864" s="6"/>
      <c r="C1864" s="5" t="str">
        <f>IF(B1864="","",INDEX({"Ocak","Şubat","Mart","Nisan","Mayıs","Haziran","Temmuz","Ağustos","Eylül","Ekim","Kasım","Aralık"},MONTH(B1864)))</f>
        <v/>
      </c>
      <c r="D1864" s="2"/>
      <c r="E1864" s="5" t="str">
        <f>IFERROR(INDEX('Malzeme Tanımlama'!$B$5:$B$300,MATCH(D1864,'Malzeme Tanımlama'!$A$5:$A$300,0)),"")</f>
        <v/>
      </c>
      <c r="F1864" s="2"/>
      <c r="G1864" s="5"/>
      <c r="H1864" s="5" t="str">
        <f>IFERROR(INDEX('Malzeme Tanımlama'!$D$5:$D$300,MATCH(D1864,'Malzeme Tanımlama'!$A$5:$A$300,0)),"")</f>
        <v/>
      </c>
      <c r="I1864" s="2"/>
      <c r="J1864" s="2"/>
      <c r="K1864" s="2"/>
    </row>
    <row r="1865" spans="1:11" x14ac:dyDescent="0.3">
      <c r="A1865" s="5" t="str">
        <f>IF(D1865="","",COUNTIF($D$5:D1865,"?*"))</f>
        <v/>
      </c>
      <c r="B1865" s="6"/>
      <c r="C1865" s="5" t="str">
        <f>IF(B1865="","",INDEX({"Ocak","Şubat","Mart","Nisan","Mayıs","Haziran","Temmuz","Ağustos","Eylül","Ekim","Kasım","Aralık"},MONTH(B1865)))</f>
        <v/>
      </c>
      <c r="D1865" s="2"/>
      <c r="E1865" s="5" t="str">
        <f>IFERROR(INDEX('Malzeme Tanımlama'!$B$5:$B$300,MATCH(D1865,'Malzeme Tanımlama'!$A$5:$A$300,0)),"")</f>
        <v/>
      </c>
      <c r="F1865" s="2"/>
      <c r="G1865" s="5"/>
      <c r="H1865" s="5" t="str">
        <f>IFERROR(INDEX('Malzeme Tanımlama'!$D$5:$D$300,MATCH(D1865,'Malzeme Tanımlama'!$A$5:$A$300,0)),"")</f>
        <v/>
      </c>
      <c r="I1865" s="2"/>
      <c r="J1865" s="2"/>
      <c r="K1865" s="2"/>
    </row>
    <row r="1866" spans="1:11" x14ac:dyDescent="0.3">
      <c r="A1866" s="5" t="str">
        <f>IF(D1866="","",COUNTIF($D$5:D1866,"?*"))</f>
        <v/>
      </c>
      <c r="B1866" s="6"/>
      <c r="C1866" s="5" t="str">
        <f>IF(B1866="","",INDEX({"Ocak","Şubat","Mart","Nisan","Mayıs","Haziran","Temmuz","Ağustos","Eylül","Ekim","Kasım","Aralık"},MONTH(B1866)))</f>
        <v/>
      </c>
      <c r="D1866" s="2"/>
      <c r="E1866" s="5" t="str">
        <f>IFERROR(INDEX('Malzeme Tanımlama'!$B$5:$B$300,MATCH(D1866,'Malzeme Tanımlama'!$A$5:$A$300,0)),"")</f>
        <v/>
      </c>
      <c r="F1866" s="2"/>
      <c r="G1866" s="5"/>
      <c r="H1866" s="5" t="str">
        <f>IFERROR(INDEX('Malzeme Tanımlama'!$D$5:$D$300,MATCH(D1866,'Malzeme Tanımlama'!$A$5:$A$300,0)),"")</f>
        <v/>
      </c>
      <c r="I1866" s="2"/>
      <c r="J1866" s="2"/>
      <c r="K1866" s="2"/>
    </row>
    <row r="1867" spans="1:11" x14ac:dyDescent="0.3">
      <c r="A1867" s="5" t="str">
        <f>IF(D1867="","",COUNTIF($D$5:D1867,"?*"))</f>
        <v/>
      </c>
      <c r="B1867" s="6"/>
      <c r="C1867" s="5" t="str">
        <f>IF(B1867="","",INDEX({"Ocak","Şubat","Mart","Nisan","Mayıs","Haziran","Temmuz","Ağustos","Eylül","Ekim","Kasım","Aralık"},MONTH(B1867)))</f>
        <v/>
      </c>
      <c r="D1867" s="2"/>
      <c r="E1867" s="5" t="str">
        <f>IFERROR(INDEX('Malzeme Tanımlama'!$B$5:$B$300,MATCH(D1867,'Malzeme Tanımlama'!$A$5:$A$300,0)),"")</f>
        <v/>
      </c>
      <c r="F1867" s="2"/>
      <c r="G1867" s="5"/>
      <c r="H1867" s="5" t="str">
        <f>IFERROR(INDEX('Malzeme Tanımlama'!$D$5:$D$300,MATCH(D1867,'Malzeme Tanımlama'!$A$5:$A$300,0)),"")</f>
        <v/>
      </c>
      <c r="I1867" s="2"/>
      <c r="J1867" s="2"/>
      <c r="K1867" s="2"/>
    </row>
    <row r="1868" spans="1:11" x14ac:dyDescent="0.3">
      <c r="A1868" s="5" t="str">
        <f>IF(D1868="","",COUNTIF($D$5:D1868,"?*"))</f>
        <v/>
      </c>
      <c r="B1868" s="6"/>
      <c r="C1868" s="5" t="str">
        <f>IF(B1868="","",INDEX({"Ocak","Şubat","Mart","Nisan","Mayıs","Haziran","Temmuz","Ağustos","Eylül","Ekim","Kasım","Aralık"},MONTH(B1868)))</f>
        <v/>
      </c>
      <c r="D1868" s="2"/>
      <c r="E1868" s="5" t="str">
        <f>IFERROR(INDEX('Malzeme Tanımlama'!$B$5:$B$300,MATCH(D1868,'Malzeme Tanımlama'!$A$5:$A$300,0)),"")</f>
        <v/>
      </c>
      <c r="F1868" s="2"/>
      <c r="G1868" s="5"/>
      <c r="H1868" s="5" t="str">
        <f>IFERROR(INDEX('Malzeme Tanımlama'!$D$5:$D$300,MATCH(D1868,'Malzeme Tanımlama'!$A$5:$A$300,0)),"")</f>
        <v/>
      </c>
      <c r="I1868" s="2"/>
      <c r="J1868" s="2"/>
      <c r="K1868" s="2"/>
    </row>
    <row r="1869" spans="1:11" x14ac:dyDescent="0.3">
      <c r="A1869" s="5" t="str">
        <f>IF(D1869="","",COUNTIF($D$5:D1869,"?*"))</f>
        <v/>
      </c>
      <c r="B1869" s="6"/>
      <c r="C1869" s="5" t="str">
        <f>IF(B1869="","",INDEX({"Ocak","Şubat","Mart","Nisan","Mayıs","Haziran","Temmuz","Ağustos","Eylül","Ekim","Kasım","Aralık"},MONTH(B1869)))</f>
        <v/>
      </c>
      <c r="D1869" s="2"/>
      <c r="E1869" s="5" t="str">
        <f>IFERROR(INDEX('Malzeme Tanımlama'!$B$5:$B$300,MATCH(D1869,'Malzeme Tanımlama'!$A$5:$A$300,0)),"")</f>
        <v/>
      </c>
      <c r="F1869" s="2"/>
      <c r="G1869" s="5"/>
      <c r="H1869" s="5" t="str">
        <f>IFERROR(INDEX('Malzeme Tanımlama'!$D$5:$D$300,MATCH(D1869,'Malzeme Tanımlama'!$A$5:$A$300,0)),"")</f>
        <v/>
      </c>
      <c r="I1869" s="2"/>
      <c r="J1869" s="2"/>
      <c r="K1869" s="2"/>
    </row>
    <row r="1870" spans="1:11" x14ac:dyDescent="0.3">
      <c r="A1870" s="5" t="str">
        <f>IF(D1870="","",COUNTIF($D$5:D1870,"?*"))</f>
        <v/>
      </c>
      <c r="B1870" s="6"/>
      <c r="C1870" s="5" t="str">
        <f>IF(B1870="","",INDEX({"Ocak","Şubat","Mart","Nisan","Mayıs","Haziran","Temmuz","Ağustos","Eylül","Ekim","Kasım","Aralık"},MONTH(B1870)))</f>
        <v/>
      </c>
      <c r="D1870" s="2"/>
      <c r="E1870" s="5" t="str">
        <f>IFERROR(INDEX('Malzeme Tanımlama'!$B$5:$B$300,MATCH(D1870,'Malzeme Tanımlama'!$A$5:$A$300,0)),"")</f>
        <v/>
      </c>
      <c r="F1870" s="2"/>
      <c r="G1870" s="5"/>
      <c r="H1870" s="5" t="str">
        <f>IFERROR(INDEX('Malzeme Tanımlama'!$D$5:$D$300,MATCH(D1870,'Malzeme Tanımlama'!$A$5:$A$300,0)),"")</f>
        <v/>
      </c>
      <c r="I1870" s="2"/>
      <c r="J1870" s="2"/>
      <c r="K1870" s="2"/>
    </row>
    <row r="1871" spans="1:11" x14ac:dyDescent="0.3">
      <c r="A1871" s="5" t="str">
        <f>IF(D1871="","",COUNTIF($D$5:D1871,"?*"))</f>
        <v/>
      </c>
      <c r="B1871" s="6"/>
      <c r="C1871" s="5" t="str">
        <f>IF(B1871="","",INDEX({"Ocak","Şubat","Mart","Nisan","Mayıs","Haziran","Temmuz","Ağustos","Eylül","Ekim","Kasım","Aralık"},MONTH(B1871)))</f>
        <v/>
      </c>
      <c r="D1871" s="2"/>
      <c r="E1871" s="5" t="str">
        <f>IFERROR(INDEX('Malzeme Tanımlama'!$B$5:$B$300,MATCH(D1871,'Malzeme Tanımlama'!$A$5:$A$300,0)),"")</f>
        <v/>
      </c>
      <c r="F1871" s="2"/>
      <c r="G1871" s="5"/>
      <c r="H1871" s="5" t="str">
        <f>IFERROR(INDEX('Malzeme Tanımlama'!$D$5:$D$300,MATCH(D1871,'Malzeme Tanımlama'!$A$5:$A$300,0)),"")</f>
        <v/>
      </c>
      <c r="I1871" s="2"/>
      <c r="J1871" s="2"/>
      <c r="K1871" s="2"/>
    </row>
    <row r="1872" spans="1:11" x14ac:dyDescent="0.3">
      <c r="A1872" s="5" t="str">
        <f>IF(D1872="","",COUNTIF($D$5:D1872,"?*"))</f>
        <v/>
      </c>
      <c r="B1872" s="6"/>
      <c r="C1872" s="5" t="str">
        <f>IF(B1872="","",INDEX({"Ocak","Şubat","Mart","Nisan","Mayıs","Haziran","Temmuz","Ağustos","Eylül","Ekim","Kasım","Aralık"},MONTH(B1872)))</f>
        <v/>
      </c>
      <c r="D1872" s="2"/>
      <c r="E1872" s="5" t="str">
        <f>IFERROR(INDEX('Malzeme Tanımlama'!$B$5:$B$300,MATCH(D1872,'Malzeme Tanımlama'!$A$5:$A$300,0)),"")</f>
        <v/>
      </c>
      <c r="F1872" s="2"/>
      <c r="G1872" s="5"/>
      <c r="H1872" s="5" t="str">
        <f>IFERROR(INDEX('Malzeme Tanımlama'!$D$5:$D$300,MATCH(D1872,'Malzeme Tanımlama'!$A$5:$A$300,0)),"")</f>
        <v/>
      </c>
      <c r="I1872" s="2"/>
      <c r="J1872" s="2"/>
      <c r="K1872" s="2"/>
    </row>
    <row r="1873" spans="1:11" x14ac:dyDescent="0.3">
      <c r="A1873" s="5" t="str">
        <f>IF(D1873="","",COUNTIF($D$5:D1873,"?*"))</f>
        <v/>
      </c>
      <c r="B1873" s="6"/>
      <c r="C1873" s="5" t="str">
        <f>IF(B1873="","",INDEX({"Ocak","Şubat","Mart","Nisan","Mayıs","Haziran","Temmuz","Ağustos","Eylül","Ekim","Kasım","Aralık"},MONTH(B1873)))</f>
        <v/>
      </c>
      <c r="D1873" s="2"/>
      <c r="E1873" s="5" t="str">
        <f>IFERROR(INDEX('Malzeme Tanımlama'!$B$5:$B$300,MATCH(D1873,'Malzeme Tanımlama'!$A$5:$A$300,0)),"")</f>
        <v/>
      </c>
      <c r="F1873" s="2"/>
      <c r="G1873" s="5"/>
      <c r="H1873" s="5" t="str">
        <f>IFERROR(INDEX('Malzeme Tanımlama'!$D$5:$D$300,MATCH(D1873,'Malzeme Tanımlama'!$A$5:$A$300,0)),"")</f>
        <v/>
      </c>
      <c r="I1873" s="2"/>
      <c r="J1873" s="2"/>
      <c r="K1873" s="2"/>
    </row>
    <row r="1874" spans="1:11" x14ac:dyDescent="0.3">
      <c r="A1874" s="5" t="str">
        <f>IF(D1874="","",COUNTIF($D$5:D1874,"?*"))</f>
        <v/>
      </c>
      <c r="B1874" s="6"/>
      <c r="C1874" s="5" t="str">
        <f>IF(B1874="","",INDEX({"Ocak","Şubat","Mart","Nisan","Mayıs","Haziran","Temmuz","Ağustos","Eylül","Ekim","Kasım","Aralık"},MONTH(B1874)))</f>
        <v/>
      </c>
      <c r="D1874" s="2"/>
      <c r="E1874" s="5" t="str">
        <f>IFERROR(INDEX('Malzeme Tanımlama'!$B$5:$B$300,MATCH(D1874,'Malzeme Tanımlama'!$A$5:$A$300,0)),"")</f>
        <v/>
      </c>
      <c r="F1874" s="2"/>
      <c r="G1874" s="5"/>
      <c r="H1874" s="5" t="str">
        <f>IFERROR(INDEX('Malzeme Tanımlama'!$D$5:$D$300,MATCH(D1874,'Malzeme Tanımlama'!$A$5:$A$300,0)),"")</f>
        <v/>
      </c>
      <c r="I1874" s="2"/>
      <c r="J1874" s="2"/>
      <c r="K1874" s="2"/>
    </row>
    <row r="1875" spans="1:11" x14ac:dyDescent="0.3">
      <c r="A1875" s="5" t="str">
        <f>IF(D1875="","",COUNTIF($D$5:D1875,"?*"))</f>
        <v/>
      </c>
      <c r="B1875" s="6"/>
      <c r="C1875" s="5" t="str">
        <f>IF(B1875="","",INDEX({"Ocak","Şubat","Mart","Nisan","Mayıs","Haziran","Temmuz","Ağustos","Eylül","Ekim","Kasım","Aralık"},MONTH(B1875)))</f>
        <v/>
      </c>
      <c r="D1875" s="2"/>
      <c r="E1875" s="5" t="str">
        <f>IFERROR(INDEX('Malzeme Tanımlama'!$B$5:$B$300,MATCH(D1875,'Malzeme Tanımlama'!$A$5:$A$300,0)),"")</f>
        <v/>
      </c>
      <c r="F1875" s="2"/>
      <c r="G1875" s="5"/>
      <c r="H1875" s="5" t="str">
        <f>IFERROR(INDEX('Malzeme Tanımlama'!$D$5:$D$300,MATCH(D1875,'Malzeme Tanımlama'!$A$5:$A$300,0)),"")</f>
        <v/>
      </c>
      <c r="I1875" s="2"/>
      <c r="J1875" s="2"/>
      <c r="K1875" s="2"/>
    </row>
    <row r="1876" spans="1:11" x14ac:dyDescent="0.3">
      <c r="A1876" s="5" t="str">
        <f>IF(D1876="","",COUNTIF($D$5:D1876,"?*"))</f>
        <v/>
      </c>
      <c r="B1876" s="6"/>
      <c r="C1876" s="5" t="str">
        <f>IF(B1876="","",INDEX({"Ocak","Şubat","Mart","Nisan","Mayıs","Haziran","Temmuz","Ağustos","Eylül","Ekim","Kasım","Aralık"},MONTH(B1876)))</f>
        <v/>
      </c>
      <c r="D1876" s="2"/>
      <c r="E1876" s="5" t="str">
        <f>IFERROR(INDEX('Malzeme Tanımlama'!$B$5:$B$300,MATCH(D1876,'Malzeme Tanımlama'!$A$5:$A$300,0)),"")</f>
        <v/>
      </c>
      <c r="F1876" s="2"/>
      <c r="G1876" s="5"/>
      <c r="H1876" s="5" t="str">
        <f>IFERROR(INDEX('Malzeme Tanımlama'!$D$5:$D$300,MATCH(D1876,'Malzeme Tanımlama'!$A$5:$A$300,0)),"")</f>
        <v/>
      </c>
      <c r="I1876" s="2"/>
      <c r="J1876" s="2"/>
      <c r="K1876" s="2"/>
    </row>
    <row r="1877" spans="1:11" x14ac:dyDescent="0.3">
      <c r="A1877" s="5" t="str">
        <f>IF(D1877="","",COUNTIF($D$5:D1877,"?*"))</f>
        <v/>
      </c>
      <c r="B1877" s="6"/>
      <c r="C1877" s="5" t="str">
        <f>IF(B1877="","",INDEX({"Ocak","Şubat","Mart","Nisan","Mayıs","Haziran","Temmuz","Ağustos","Eylül","Ekim","Kasım","Aralık"},MONTH(B1877)))</f>
        <v/>
      </c>
      <c r="D1877" s="2"/>
      <c r="E1877" s="5" t="str">
        <f>IFERROR(INDEX('Malzeme Tanımlama'!$B$5:$B$300,MATCH(D1877,'Malzeme Tanımlama'!$A$5:$A$300,0)),"")</f>
        <v/>
      </c>
      <c r="F1877" s="2"/>
      <c r="G1877" s="5"/>
      <c r="H1877" s="5" t="str">
        <f>IFERROR(INDEX('Malzeme Tanımlama'!$D$5:$D$300,MATCH(D1877,'Malzeme Tanımlama'!$A$5:$A$300,0)),"")</f>
        <v/>
      </c>
      <c r="I1877" s="2"/>
      <c r="J1877" s="2"/>
      <c r="K1877" s="2"/>
    </row>
    <row r="1878" spans="1:11" x14ac:dyDescent="0.3">
      <c r="A1878" s="5" t="str">
        <f>IF(D1878="","",COUNTIF($D$5:D1878,"?*"))</f>
        <v/>
      </c>
      <c r="B1878" s="6"/>
      <c r="C1878" s="5" t="str">
        <f>IF(B1878="","",INDEX({"Ocak","Şubat","Mart","Nisan","Mayıs","Haziran","Temmuz","Ağustos","Eylül","Ekim","Kasım","Aralık"},MONTH(B1878)))</f>
        <v/>
      </c>
      <c r="D1878" s="2"/>
      <c r="E1878" s="5" t="str">
        <f>IFERROR(INDEX('Malzeme Tanımlama'!$B$5:$B$300,MATCH(D1878,'Malzeme Tanımlama'!$A$5:$A$300,0)),"")</f>
        <v/>
      </c>
      <c r="F1878" s="2"/>
      <c r="G1878" s="5"/>
      <c r="H1878" s="5" t="str">
        <f>IFERROR(INDEX('Malzeme Tanımlama'!$D$5:$D$300,MATCH(D1878,'Malzeme Tanımlama'!$A$5:$A$300,0)),"")</f>
        <v/>
      </c>
      <c r="I1878" s="2"/>
      <c r="J1878" s="2"/>
      <c r="K1878" s="2"/>
    </row>
    <row r="1879" spans="1:11" x14ac:dyDescent="0.3">
      <c r="A1879" s="5" t="str">
        <f>IF(D1879="","",COUNTIF($D$5:D1879,"?*"))</f>
        <v/>
      </c>
      <c r="B1879" s="6"/>
      <c r="C1879" s="5" t="str">
        <f>IF(B1879="","",INDEX({"Ocak","Şubat","Mart","Nisan","Mayıs","Haziran","Temmuz","Ağustos","Eylül","Ekim","Kasım","Aralık"},MONTH(B1879)))</f>
        <v/>
      </c>
      <c r="D1879" s="2"/>
      <c r="E1879" s="5" t="str">
        <f>IFERROR(INDEX('Malzeme Tanımlama'!$B$5:$B$300,MATCH(D1879,'Malzeme Tanımlama'!$A$5:$A$300,0)),"")</f>
        <v/>
      </c>
      <c r="F1879" s="2"/>
      <c r="G1879" s="5"/>
      <c r="H1879" s="5" t="str">
        <f>IFERROR(INDEX('Malzeme Tanımlama'!$D$5:$D$300,MATCH(D1879,'Malzeme Tanımlama'!$A$5:$A$300,0)),"")</f>
        <v/>
      </c>
      <c r="I1879" s="2"/>
      <c r="J1879" s="2"/>
      <c r="K1879" s="2"/>
    </row>
    <row r="1880" spans="1:11" x14ac:dyDescent="0.3">
      <c r="A1880" s="5" t="str">
        <f>IF(D1880="","",COUNTIF($D$5:D1880,"?*"))</f>
        <v/>
      </c>
      <c r="B1880" s="6"/>
      <c r="C1880" s="5" t="str">
        <f>IF(B1880="","",INDEX({"Ocak","Şubat","Mart","Nisan","Mayıs","Haziran","Temmuz","Ağustos","Eylül","Ekim","Kasım","Aralık"},MONTH(B1880)))</f>
        <v/>
      </c>
      <c r="D1880" s="2"/>
      <c r="E1880" s="5" t="str">
        <f>IFERROR(INDEX('Malzeme Tanımlama'!$B$5:$B$300,MATCH(D1880,'Malzeme Tanımlama'!$A$5:$A$300,0)),"")</f>
        <v/>
      </c>
      <c r="F1880" s="2"/>
      <c r="G1880" s="5"/>
      <c r="H1880" s="5" t="str">
        <f>IFERROR(INDEX('Malzeme Tanımlama'!$D$5:$D$300,MATCH(D1880,'Malzeme Tanımlama'!$A$5:$A$300,0)),"")</f>
        <v/>
      </c>
      <c r="I1880" s="2"/>
      <c r="J1880" s="2"/>
      <c r="K1880" s="2"/>
    </row>
    <row r="1881" spans="1:11" x14ac:dyDescent="0.3">
      <c r="A1881" s="5" t="str">
        <f>IF(D1881="","",COUNTIF($D$5:D1881,"?*"))</f>
        <v/>
      </c>
      <c r="B1881" s="6"/>
      <c r="C1881" s="5" t="str">
        <f>IF(B1881="","",INDEX({"Ocak","Şubat","Mart","Nisan","Mayıs","Haziran","Temmuz","Ağustos","Eylül","Ekim","Kasım","Aralık"},MONTH(B1881)))</f>
        <v/>
      </c>
      <c r="D1881" s="2"/>
      <c r="E1881" s="5" t="str">
        <f>IFERROR(INDEX('Malzeme Tanımlama'!$B$5:$B$300,MATCH(D1881,'Malzeme Tanımlama'!$A$5:$A$300,0)),"")</f>
        <v/>
      </c>
      <c r="F1881" s="2"/>
      <c r="G1881" s="5"/>
      <c r="H1881" s="5" t="str">
        <f>IFERROR(INDEX('Malzeme Tanımlama'!$D$5:$D$300,MATCH(D1881,'Malzeme Tanımlama'!$A$5:$A$300,0)),"")</f>
        <v/>
      </c>
      <c r="I1881" s="2"/>
      <c r="J1881" s="2"/>
      <c r="K1881" s="2"/>
    </row>
    <row r="1882" spans="1:11" x14ac:dyDescent="0.3">
      <c r="A1882" s="5" t="str">
        <f>IF(D1882="","",COUNTIF($D$5:D1882,"?*"))</f>
        <v/>
      </c>
      <c r="B1882" s="6"/>
      <c r="C1882" s="5" t="str">
        <f>IF(B1882="","",INDEX({"Ocak","Şubat","Mart","Nisan","Mayıs","Haziran","Temmuz","Ağustos","Eylül","Ekim","Kasım","Aralık"},MONTH(B1882)))</f>
        <v/>
      </c>
      <c r="D1882" s="2"/>
      <c r="E1882" s="5" t="str">
        <f>IFERROR(INDEX('Malzeme Tanımlama'!$B$5:$B$300,MATCH(D1882,'Malzeme Tanımlama'!$A$5:$A$300,0)),"")</f>
        <v/>
      </c>
      <c r="F1882" s="2"/>
      <c r="G1882" s="5"/>
      <c r="H1882" s="5" t="str">
        <f>IFERROR(INDEX('Malzeme Tanımlama'!$D$5:$D$300,MATCH(D1882,'Malzeme Tanımlama'!$A$5:$A$300,0)),"")</f>
        <v/>
      </c>
      <c r="I1882" s="2"/>
      <c r="J1882" s="2"/>
      <c r="K1882" s="2"/>
    </row>
    <row r="1883" spans="1:11" x14ac:dyDescent="0.3">
      <c r="A1883" s="5" t="str">
        <f>IF(D1883="","",COUNTIF($D$5:D1883,"?*"))</f>
        <v/>
      </c>
      <c r="B1883" s="6"/>
      <c r="C1883" s="5" t="str">
        <f>IF(B1883="","",INDEX({"Ocak","Şubat","Mart","Nisan","Mayıs","Haziran","Temmuz","Ağustos","Eylül","Ekim","Kasım","Aralık"},MONTH(B1883)))</f>
        <v/>
      </c>
      <c r="D1883" s="2"/>
      <c r="E1883" s="5" t="str">
        <f>IFERROR(INDEX('Malzeme Tanımlama'!$B$5:$B$300,MATCH(D1883,'Malzeme Tanımlama'!$A$5:$A$300,0)),"")</f>
        <v/>
      </c>
      <c r="F1883" s="2"/>
      <c r="G1883" s="5"/>
      <c r="H1883" s="5" t="str">
        <f>IFERROR(INDEX('Malzeme Tanımlama'!$D$5:$D$300,MATCH(D1883,'Malzeme Tanımlama'!$A$5:$A$300,0)),"")</f>
        <v/>
      </c>
      <c r="I1883" s="2"/>
      <c r="J1883" s="2"/>
      <c r="K1883" s="2"/>
    </row>
    <row r="1884" spans="1:11" x14ac:dyDescent="0.3">
      <c r="A1884" s="5" t="str">
        <f>IF(D1884="","",COUNTIF($D$5:D1884,"?*"))</f>
        <v/>
      </c>
      <c r="B1884" s="6"/>
      <c r="C1884" s="5" t="str">
        <f>IF(B1884="","",INDEX({"Ocak","Şubat","Mart","Nisan","Mayıs","Haziran","Temmuz","Ağustos","Eylül","Ekim","Kasım","Aralık"},MONTH(B1884)))</f>
        <v/>
      </c>
      <c r="D1884" s="2"/>
      <c r="E1884" s="5" t="str">
        <f>IFERROR(INDEX('Malzeme Tanımlama'!$B$5:$B$300,MATCH(D1884,'Malzeme Tanımlama'!$A$5:$A$300,0)),"")</f>
        <v/>
      </c>
      <c r="F1884" s="2"/>
      <c r="G1884" s="5"/>
      <c r="H1884" s="5" t="str">
        <f>IFERROR(INDEX('Malzeme Tanımlama'!$D$5:$D$300,MATCH(D1884,'Malzeme Tanımlama'!$A$5:$A$300,0)),"")</f>
        <v/>
      </c>
      <c r="I1884" s="2"/>
      <c r="J1884" s="2"/>
      <c r="K1884" s="2"/>
    </row>
    <row r="1885" spans="1:11" x14ac:dyDescent="0.3">
      <c r="A1885" s="5" t="str">
        <f>IF(D1885="","",COUNTIF($D$5:D1885,"?*"))</f>
        <v/>
      </c>
      <c r="B1885" s="6"/>
      <c r="C1885" s="5" t="str">
        <f>IF(B1885="","",INDEX({"Ocak","Şubat","Mart","Nisan","Mayıs","Haziran","Temmuz","Ağustos","Eylül","Ekim","Kasım","Aralık"},MONTH(B1885)))</f>
        <v/>
      </c>
      <c r="D1885" s="2"/>
      <c r="E1885" s="5" t="str">
        <f>IFERROR(INDEX('Malzeme Tanımlama'!$B$5:$B$300,MATCH(D1885,'Malzeme Tanımlama'!$A$5:$A$300,0)),"")</f>
        <v/>
      </c>
      <c r="F1885" s="2"/>
      <c r="G1885" s="5"/>
      <c r="H1885" s="5" t="str">
        <f>IFERROR(INDEX('Malzeme Tanımlama'!$D$5:$D$300,MATCH(D1885,'Malzeme Tanımlama'!$A$5:$A$300,0)),"")</f>
        <v/>
      </c>
      <c r="I1885" s="2"/>
      <c r="J1885" s="2"/>
      <c r="K1885" s="2"/>
    </row>
    <row r="1886" spans="1:11" x14ac:dyDescent="0.3">
      <c r="A1886" s="5" t="str">
        <f>IF(D1886="","",COUNTIF($D$5:D1886,"?*"))</f>
        <v/>
      </c>
      <c r="B1886" s="6"/>
      <c r="C1886" s="5" t="str">
        <f>IF(B1886="","",INDEX({"Ocak","Şubat","Mart","Nisan","Mayıs","Haziran","Temmuz","Ağustos","Eylül","Ekim","Kasım","Aralık"},MONTH(B1886)))</f>
        <v/>
      </c>
      <c r="D1886" s="2"/>
      <c r="E1886" s="5" t="str">
        <f>IFERROR(INDEX('Malzeme Tanımlama'!$B$5:$B$300,MATCH(D1886,'Malzeme Tanımlama'!$A$5:$A$300,0)),"")</f>
        <v/>
      </c>
      <c r="F1886" s="2"/>
      <c r="G1886" s="5"/>
      <c r="H1886" s="5" t="str">
        <f>IFERROR(INDEX('Malzeme Tanımlama'!$D$5:$D$300,MATCH(D1886,'Malzeme Tanımlama'!$A$5:$A$300,0)),"")</f>
        <v/>
      </c>
      <c r="I1886" s="2"/>
      <c r="J1886" s="2"/>
      <c r="K1886" s="2"/>
    </row>
    <row r="1887" spans="1:11" x14ac:dyDescent="0.3">
      <c r="A1887" s="5" t="str">
        <f>IF(D1887="","",COUNTIF($D$5:D1887,"?*"))</f>
        <v/>
      </c>
      <c r="B1887" s="6"/>
      <c r="C1887" s="5" t="str">
        <f>IF(B1887="","",INDEX({"Ocak","Şubat","Mart","Nisan","Mayıs","Haziran","Temmuz","Ağustos","Eylül","Ekim","Kasım","Aralık"},MONTH(B1887)))</f>
        <v/>
      </c>
      <c r="D1887" s="2"/>
      <c r="E1887" s="5" t="str">
        <f>IFERROR(INDEX('Malzeme Tanımlama'!$B$5:$B$300,MATCH(D1887,'Malzeme Tanımlama'!$A$5:$A$300,0)),"")</f>
        <v/>
      </c>
      <c r="F1887" s="2"/>
      <c r="G1887" s="5"/>
      <c r="H1887" s="5" t="str">
        <f>IFERROR(INDEX('Malzeme Tanımlama'!$D$5:$D$300,MATCH(D1887,'Malzeme Tanımlama'!$A$5:$A$300,0)),"")</f>
        <v/>
      </c>
      <c r="I1887" s="2"/>
      <c r="J1887" s="2"/>
      <c r="K1887" s="2"/>
    </row>
    <row r="1888" spans="1:11" x14ac:dyDescent="0.3">
      <c r="A1888" s="5" t="str">
        <f>IF(D1888="","",COUNTIF($D$5:D1888,"?*"))</f>
        <v/>
      </c>
      <c r="B1888" s="6"/>
      <c r="C1888" s="5" t="str">
        <f>IF(B1888="","",INDEX({"Ocak","Şubat","Mart","Nisan","Mayıs","Haziran","Temmuz","Ağustos","Eylül","Ekim","Kasım","Aralık"},MONTH(B1888)))</f>
        <v/>
      </c>
      <c r="D1888" s="2"/>
      <c r="E1888" s="5" t="str">
        <f>IFERROR(INDEX('Malzeme Tanımlama'!$B$5:$B$300,MATCH(D1888,'Malzeme Tanımlama'!$A$5:$A$300,0)),"")</f>
        <v/>
      </c>
      <c r="F1888" s="2"/>
      <c r="G1888" s="5"/>
      <c r="H1888" s="5" t="str">
        <f>IFERROR(INDEX('Malzeme Tanımlama'!$D$5:$D$300,MATCH(D1888,'Malzeme Tanımlama'!$A$5:$A$300,0)),"")</f>
        <v/>
      </c>
      <c r="I1888" s="2"/>
      <c r="J1888" s="2"/>
      <c r="K1888" s="2"/>
    </row>
    <row r="1889" spans="1:11" x14ac:dyDescent="0.3">
      <c r="A1889" s="5" t="str">
        <f>IF(D1889="","",COUNTIF($D$5:D1889,"?*"))</f>
        <v/>
      </c>
      <c r="B1889" s="6"/>
      <c r="C1889" s="5" t="str">
        <f>IF(B1889="","",INDEX({"Ocak","Şubat","Mart","Nisan","Mayıs","Haziran","Temmuz","Ağustos","Eylül","Ekim","Kasım","Aralık"},MONTH(B1889)))</f>
        <v/>
      </c>
      <c r="D1889" s="2"/>
      <c r="E1889" s="5" t="str">
        <f>IFERROR(INDEX('Malzeme Tanımlama'!$B$5:$B$300,MATCH(D1889,'Malzeme Tanımlama'!$A$5:$A$300,0)),"")</f>
        <v/>
      </c>
      <c r="F1889" s="2"/>
      <c r="G1889" s="5"/>
      <c r="H1889" s="5" t="str">
        <f>IFERROR(INDEX('Malzeme Tanımlama'!$D$5:$D$300,MATCH(D1889,'Malzeme Tanımlama'!$A$5:$A$300,0)),"")</f>
        <v/>
      </c>
      <c r="I1889" s="2"/>
      <c r="J1889" s="2"/>
      <c r="K1889" s="2"/>
    </row>
    <row r="1890" spans="1:11" x14ac:dyDescent="0.3">
      <c r="A1890" s="5" t="str">
        <f>IF(D1890="","",COUNTIF($D$5:D1890,"?*"))</f>
        <v/>
      </c>
      <c r="B1890" s="6"/>
      <c r="C1890" s="5" t="str">
        <f>IF(B1890="","",INDEX({"Ocak","Şubat","Mart","Nisan","Mayıs","Haziran","Temmuz","Ağustos","Eylül","Ekim","Kasım","Aralık"},MONTH(B1890)))</f>
        <v/>
      </c>
      <c r="D1890" s="2"/>
      <c r="E1890" s="5" t="str">
        <f>IFERROR(INDEX('Malzeme Tanımlama'!$B$5:$B$300,MATCH(D1890,'Malzeme Tanımlama'!$A$5:$A$300,0)),"")</f>
        <v/>
      </c>
      <c r="F1890" s="2"/>
      <c r="G1890" s="5"/>
      <c r="H1890" s="5" t="str">
        <f>IFERROR(INDEX('Malzeme Tanımlama'!$D$5:$D$300,MATCH(D1890,'Malzeme Tanımlama'!$A$5:$A$300,0)),"")</f>
        <v/>
      </c>
      <c r="I1890" s="2"/>
      <c r="J1890" s="2"/>
      <c r="K1890" s="2"/>
    </row>
    <row r="1891" spans="1:11" x14ac:dyDescent="0.3">
      <c r="A1891" s="5" t="str">
        <f>IF(D1891="","",COUNTIF($D$5:D1891,"?*"))</f>
        <v/>
      </c>
      <c r="B1891" s="6"/>
      <c r="C1891" s="5" t="str">
        <f>IF(B1891="","",INDEX({"Ocak","Şubat","Mart","Nisan","Mayıs","Haziran","Temmuz","Ağustos","Eylül","Ekim","Kasım","Aralık"},MONTH(B1891)))</f>
        <v/>
      </c>
      <c r="D1891" s="2"/>
      <c r="E1891" s="5" t="str">
        <f>IFERROR(INDEX('Malzeme Tanımlama'!$B$5:$B$300,MATCH(D1891,'Malzeme Tanımlama'!$A$5:$A$300,0)),"")</f>
        <v/>
      </c>
      <c r="F1891" s="2"/>
      <c r="G1891" s="5"/>
      <c r="H1891" s="5" t="str">
        <f>IFERROR(INDEX('Malzeme Tanımlama'!$D$5:$D$300,MATCH(D1891,'Malzeme Tanımlama'!$A$5:$A$300,0)),"")</f>
        <v/>
      </c>
      <c r="I1891" s="2"/>
      <c r="J1891" s="2"/>
      <c r="K1891" s="2"/>
    </row>
    <row r="1892" spans="1:11" x14ac:dyDescent="0.3">
      <c r="A1892" s="5" t="str">
        <f>IF(D1892="","",COUNTIF($D$5:D1892,"?*"))</f>
        <v/>
      </c>
      <c r="B1892" s="6"/>
      <c r="C1892" s="5" t="str">
        <f>IF(B1892="","",INDEX({"Ocak","Şubat","Mart","Nisan","Mayıs","Haziran","Temmuz","Ağustos","Eylül","Ekim","Kasım","Aralık"},MONTH(B1892)))</f>
        <v/>
      </c>
      <c r="D1892" s="2"/>
      <c r="E1892" s="5" t="str">
        <f>IFERROR(INDEX('Malzeme Tanımlama'!$B$5:$B$300,MATCH(D1892,'Malzeme Tanımlama'!$A$5:$A$300,0)),"")</f>
        <v/>
      </c>
      <c r="F1892" s="2"/>
      <c r="G1892" s="5"/>
      <c r="H1892" s="5" t="str">
        <f>IFERROR(INDEX('Malzeme Tanımlama'!$D$5:$D$300,MATCH(D1892,'Malzeme Tanımlama'!$A$5:$A$300,0)),"")</f>
        <v/>
      </c>
      <c r="I1892" s="2"/>
      <c r="J1892" s="2"/>
      <c r="K1892" s="2"/>
    </row>
    <row r="1893" spans="1:11" x14ac:dyDescent="0.3">
      <c r="A1893" s="5" t="str">
        <f>IF(D1893="","",COUNTIF($D$5:D1893,"?*"))</f>
        <v/>
      </c>
      <c r="B1893" s="6"/>
      <c r="C1893" s="5" t="str">
        <f>IF(B1893="","",INDEX({"Ocak","Şubat","Mart","Nisan","Mayıs","Haziran","Temmuz","Ağustos","Eylül","Ekim","Kasım","Aralık"},MONTH(B1893)))</f>
        <v/>
      </c>
      <c r="D1893" s="2"/>
      <c r="E1893" s="5" t="str">
        <f>IFERROR(INDEX('Malzeme Tanımlama'!$B$5:$B$300,MATCH(D1893,'Malzeme Tanımlama'!$A$5:$A$300,0)),"")</f>
        <v/>
      </c>
      <c r="F1893" s="2"/>
      <c r="G1893" s="5"/>
      <c r="H1893" s="5" t="str">
        <f>IFERROR(INDEX('Malzeme Tanımlama'!$D$5:$D$300,MATCH(D1893,'Malzeme Tanımlama'!$A$5:$A$300,0)),"")</f>
        <v/>
      </c>
      <c r="I1893" s="2"/>
      <c r="J1893" s="2"/>
      <c r="K1893" s="2"/>
    </row>
    <row r="1894" spans="1:11" x14ac:dyDescent="0.3">
      <c r="A1894" s="5" t="str">
        <f>IF(D1894="","",COUNTIF($D$5:D1894,"?*"))</f>
        <v/>
      </c>
      <c r="B1894" s="6"/>
      <c r="C1894" s="5" t="str">
        <f>IF(B1894="","",INDEX({"Ocak","Şubat","Mart","Nisan","Mayıs","Haziran","Temmuz","Ağustos","Eylül","Ekim","Kasım","Aralık"},MONTH(B1894)))</f>
        <v/>
      </c>
      <c r="D1894" s="2"/>
      <c r="E1894" s="5" t="str">
        <f>IFERROR(INDEX('Malzeme Tanımlama'!$B$5:$B$300,MATCH(D1894,'Malzeme Tanımlama'!$A$5:$A$300,0)),"")</f>
        <v/>
      </c>
      <c r="F1894" s="2"/>
      <c r="G1894" s="5"/>
      <c r="H1894" s="5" t="str">
        <f>IFERROR(INDEX('Malzeme Tanımlama'!$D$5:$D$300,MATCH(D1894,'Malzeme Tanımlama'!$A$5:$A$300,0)),"")</f>
        <v/>
      </c>
      <c r="I1894" s="2"/>
      <c r="J1894" s="2"/>
      <c r="K1894" s="2"/>
    </row>
    <row r="1895" spans="1:11" x14ac:dyDescent="0.3">
      <c r="A1895" s="5" t="str">
        <f>IF(D1895="","",COUNTIF($D$5:D1895,"?*"))</f>
        <v/>
      </c>
      <c r="B1895" s="6"/>
      <c r="C1895" s="5" t="str">
        <f>IF(B1895="","",INDEX({"Ocak","Şubat","Mart","Nisan","Mayıs","Haziran","Temmuz","Ağustos","Eylül","Ekim","Kasım","Aralık"},MONTH(B1895)))</f>
        <v/>
      </c>
      <c r="D1895" s="2"/>
      <c r="E1895" s="5" t="str">
        <f>IFERROR(INDEX('Malzeme Tanımlama'!$B$5:$B$300,MATCH(D1895,'Malzeme Tanımlama'!$A$5:$A$300,0)),"")</f>
        <v/>
      </c>
      <c r="F1895" s="2"/>
      <c r="G1895" s="5"/>
      <c r="H1895" s="5" t="str">
        <f>IFERROR(INDEX('Malzeme Tanımlama'!$D$5:$D$300,MATCH(D1895,'Malzeme Tanımlama'!$A$5:$A$300,0)),"")</f>
        <v/>
      </c>
      <c r="I1895" s="2"/>
      <c r="J1895" s="2"/>
      <c r="K1895" s="2"/>
    </row>
    <row r="1896" spans="1:11" x14ac:dyDescent="0.3">
      <c r="A1896" s="5" t="str">
        <f>IF(D1896="","",COUNTIF($D$5:D1896,"?*"))</f>
        <v/>
      </c>
      <c r="B1896" s="6"/>
      <c r="C1896" s="5" t="str">
        <f>IF(B1896="","",INDEX({"Ocak","Şubat","Mart","Nisan","Mayıs","Haziran","Temmuz","Ağustos","Eylül","Ekim","Kasım","Aralık"},MONTH(B1896)))</f>
        <v/>
      </c>
      <c r="D1896" s="2"/>
      <c r="E1896" s="5" t="str">
        <f>IFERROR(INDEX('Malzeme Tanımlama'!$B$5:$B$300,MATCH(D1896,'Malzeme Tanımlama'!$A$5:$A$300,0)),"")</f>
        <v/>
      </c>
      <c r="F1896" s="2"/>
      <c r="G1896" s="5"/>
      <c r="H1896" s="5" t="str">
        <f>IFERROR(INDEX('Malzeme Tanımlama'!$D$5:$D$300,MATCH(D1896,'Malzeme Tanımlama'!$A$5:$A$300,0)),"")</f>
        <v/>
      </c>
      <c r="I1896" s="2"/>
      <c r="J1896" s="2"/>
      <c r="K1896" s="2"/>
    </row>
    <row r="1897" spans="1:11" x14ac:dyDescent="0.3">
      <c r="A1897" s="5" t="str">
        <f>IF(D1897="","",COUNTIF($D$5:D1897,"?*"))</f>
        <v/>
      </c>
      <c r="B1897" s="6"/>
      <c r="C1897" s="5" t="str">
        <f>IF(B1897="","",INDEX({"Ocak","Şubat","Mart","Nisan","Mayıs","Haziran","Temmuz","Ağustos","Eylül","Ekim","Kasım","Aralık"},MONTH(B1897)))</f>
        <v/>
      </c>
      <c r="D1897" s="2"/>
      <c r="E1897" s="5" t="str">
        <f>IFERROR(INDEX('Malzeme Tanımlama'!$B$5:$B$300,MATCH(D1897,'Malzeme Tanımlama'!$A$5:$A$300,0)),"")</f>
        <v/>
      </c>
      <c r="F1897" s="2"/>
      <c r="G1897" s="5"/>
      <c r="H1897" s="5" t="str">
        <f>IFERROR(INDEX('Malzeme Tanımlama'!$D$5:$D$300,MATCH(D1897,'Malzeme Tanımlama'!$A$5:$A$300,0)),"")</f>
        <v/>
      </c>
      <c r="I1897" s="2"/>
      <c r="J1897" s="2"/>
      <c r="K1897" s="2"/>
    </row>
    <row r="1898" spans="1:11" x14ac:dyDescent="0.3">
      <c r="A1898" s="5" t="str">
        <f>IF(D1898="","",COUNTIF($D$5:D1898,"?*"))</f>
        <v/>
      </c>
      <c r="B1898" s="6"/>
      <c r="C1898" s="5" t="str">
        <f>IF(B1898="","",INDEX({"Ocak","Şubat","Mart","Nisan","Mayıs","Haziran","Temmuz","Ağustos","Eylül","Ekim","Kasım","Aralık"},MONTH(B1898)))</f>
        <v/>
      </c>
      <c r="D1898" s="2"/>
      <c r="E1898" s="5" t="str">
        <f>IFERROR(INDEX('Malzeme Tanımlama'!$B$5:$B$300,MATCH(D1898,'Malzeme Tanımlama'!$A$5:$A$300,0)),"")</f>
        <v/>
      </c>
      <c r="F1898" s="2"/>
      <c r="G1898" s="5"/>
      <c r="H1898" s="5" t="str">
        <f>IFERROR(INDEX('Malzeme Tanımlama'!$D$5:$D$300,MATCH(D1898,'Malzeme Tanımlama'!$A$5:$A$300,0)),"")</f>
        <v/>
      </c>
      <c r="I1898" s="2"/>
      <c r="J1898" s="2"/>
      <c r="K1898" s="2"/>
    </row>
    <row r="1899" spans="1:11" x14ac:dyDescent="0.3">
      <c r="A1899" s="5" t="str">
        <f>IF(D1899="","",COUNTIF($D$5:D1899,"?*"))</f>
        <v/>
      </c>
      <c r="B1899" s="6"/>
      <c r="C1899" s="5" t="str">
        <f>IF(B1899="","",INDEX({"Ocak","Şubat","Mart","Nisan","Mayıs","Haziran","Temmuz","Ağustos","Eylül","Ekim","Kasım","Aralık"},MONTH(B1899)))</f>
        <v/>
      </c>
      <c r="D1899" s="2"/>
      <c r="E1899" s="5" t="str">
        <f>IFERROR(INDEX('Malzeme Tanımlama'!$B$5:$B$300,MATCH(D1899,'Malzeme Tanımlama'!$A$5:$A$300,0)),"")</f>
        <v/>
      </c>
      <c r="F1899" s="2"/>
      <c r="G1899" s="5"/>
      <c r="H1899" s="5" t="str">
        <f>IFERROR(INDEX('Malzeme Tanımlama'!$D$5:$D$300,MATCH(D1899,'Malzeme Tanımlama'!$A$5:$A$300,0)),"")</f>
        <v/>
      </c>
      <c r="I1899" s="2"/>
      <c r="J1899" s="2"/>
      <c r="K1899" s="2"/>
    </row>
    <row r="1900" spans="1:11" x14ac:dyDescent="0.3">
      <c r="A1900" s="5" t="str">
        <f>IF(D1900="","",COUNTIF($D$5:D1900,"?*"))</f>
        <v/>
      </c>
      <c r="B1900" s="6"/>
      <c r="C1900" s="5" t="str">
        <f>IF(B1900="","",INDEX({"Ocak","Şubat","Mart","Nisan","Mayıs","Haziran","Temmuz","Ağustos","Eylül","Ekim","Kasım","Aralık"},MONTH(B1900)))</f>
        <v/>
      </c>
      <c r="D1900" s="2"/>
      <c r="E1900" s="5" t="str">
        <f>IFERROR(INDEX('Malzeme Tanımlama'!$B$5:$B$300,MATCH(D1900,'Malzeme Tanımlama'!$A$5:$A$300,0)),"")</f>
        <v/>
      </c>
      <c r="F1900" s="2"/>
      <c r="G1900" s="5"/>
      <c r="H1900" s="5" t="str">
        <f>IFERROR(INDEX('Malzeme Tanımlama'!$D$5:$D$300,MATCH(D1900,'Malzeme Tanımlama'!$A$5:$A$300,0)),"")</f>
        <v/>
      </c>
      <c r="I1900" s="2"/>
      <c r="J1900" s="2"/>
      <c r="K1900" s="2"/>
    </row>
    <row r="1901" spans="1:11" x14ac:dyDescent="0.3">
      <c r="A1901" s="5" t="str">
        <f>IF(D1901="","",COUNTIF($D$5:D1901,"?*"))</f>
        <v/>
      </c>
      <c r="B1901" s="6"/>
      <c r="C1901" s="5" t="str">
        <f>IF(B1901="","",INDEX({"Ocak","Şubat","Mart","Nisan","Mayıs","Haziran","Temmuz","Ağustos","Eylül","Ekim","Kasım","Aralık"},MONTH(B1901)))</f>
        <v/>
      </c>
      <c r="D1901" s="2"/>
      <c r="E1901" s="5" t="str">
        <f>IFERROR(INDEX('Malzeme Tanımlama'!$B$5:$B$300,MATCH(D1901,'Malzeme Tanımlama'!$A$5:$A$300,0)),"")</f>
        <v/>
      </c>
      <c r="F1901" s="2"/>
      <c r="G1901" s="5"/>
      <c r="H1901" s="5" t="str">
        <f>IFERROR(INDEX('Malzeme Tanımlama'!$D$5:$D$300,MATCH(D1901,'Malzeme Tanımlama'!$A$5:$A$300,0)),"")</f>
        <v/>
      </c>
      <c r="I1901" s="2"/>
      <c r="J1901" s="2"/>
      <c r="K1901" s="2"/>
    </row>
    <row r="1902" spans="1:11" x14ac:dyDescent="0.3">
      <c r="A1902" s="5" t="str">
        <f>IF(D1902="","",COUNTIF($D$5:D1902,"?*"))</f>
        <v/>
      </c>
      <c r="B1902" s="6"/>
      <c r="C1902" s="5" t="str">
        <f>IF(B1902="","",INDEX({"Ocak","Şubat","Mart","Nisan","Mayıs","Haziran","Temmuz","Ağustos","Eylül","Ekim","Kasım","Aralık"},MONTH(B1902)))</f>
        <v/>
      </c>
      <c r="D1902" s="2"/>
      <c r="E1902" s="5" t="str">
        <f>IFERROR(INDEX('Malzeme Tanımlama'!$B$5:$B$300,MATCH(D1902,'Malzeme Tanımlama'!$A$5:$A$300,0)),"")</f>
        <v/>
      </c>
      <c r="F1902" s="2"/>
      <c r="G1902" s="5"/>
      <c r="H1902" s="5" t="str">
        <f>IFERROR(INDEX('Malzeme Tanımlama'!$D$5:$D$300,MATCH(D1902,'Malzeme Tanımlama'!$A$5:$A$300,0)),"")</f>
        <v/>
      </c>
      <c r="I1902" s="2"/>
      <c r="J1902" s="2"/>
      <c r="K1902" s="2"/>
    </row>
    <row r="1903" spans="1:11" x14ac:dyDescent="0.3">
      <c r="A1903" s="5" t="str">
        <f>IF(D1903="","",COUNTIF($D$5:D1903,"?*"))</f>
        <v/>
      </c>
      <c r="B1903" s="6"/>
      <c r="C1903" s="5" t="str">
        <f>IF(B1903="","",INDEX({"Ocak","Şubat","Mart","Nisan","Mayıs","Haziran","Temmuz","Ağustos","Eylül","Ekim","Kasım","Aralık"},MONTH(B1903)))</f>
        <v/>
      </c>
      <c r="D1903" s="2"/>
      <c r="E1903" s="5" t="str">
        <f>IFERROR(INDEX('Malzeme Tanımlama'!$B$5:$B$300,MATCH(D1903,'Malzeme Tanımlama'!$A$5:$A$300,0)),"")</f>
        <v/>
      </c>
      <c r="F1903" s="2"/>
      <c r="G1903" s="5"/>
      <c r="H1903" s="5" t="str">
        <f>IFERROR(INDEX('Malzeme Tanımlama'!$D$5:$D$300,MATCH(D1903,'Malzeme Tanımlama'!$A$5:$A$300,0)),"")</f>
        <v/>
      </c>
      <c r="I1903" s="2"/>
      <c r="J1903" s="2"/>
      <c r="K1903" s="2"/>
    </row>
    <row r="1904" spans="1:11" x14ac:dyDescent="0.3">
      <c r="A1904" s="5" t="str">
        <f>IF(D1904="","",COUNTIF($D$5:D1904,"?*"))</f>
        <v/>
      </c>
      <c r="B1904" s="6"/>
      <c r="C1904" s="5" t="str">
        <f>IF(B1904="","",INDEX({"Ocak","Şubat","Mart","Nisan","Mayıs","Haziran","Temmuz","Ağustos","Eylül","Ekim","Kasım","Aralık"},MONTH(B1904)))</f>
        <v/>
      </c>
      <c r="D1904" s="2"/>
      <c r="E1904" s="5" t="str">
        <f>IFERROR(INDEX('Malzeme Tanımlama'!$B$5:$B$300,MATCH(D1904,'Malzeme Tanımlama'!$A$5:$A$300,0)),"")</f>
        <v/>
      </c>
      <c r="F1904" s="2"/>
      <c r="G1904" s="5"/>
      <c r="H1904" s="5" t="str">
        <f>IFERROR(INDEX('Malzeme Tanımlama'!$D$5:$D$300,MATCH(D1904,'Malzeme Tanımlama'!$A$5:$A$300,0)),"")</f>
        <v/>
      </c>
      <c r="I1904" s="2"/>
      <c r="J1904" s="2"/>
      <c r="K1904" s="2"/>
    </row>
    <row r="1905" spans="1:11" x14ac:dyDescent="0.3">
      <c r="A1905" s="5" t="str">
        <f>IF(D1905="","",COUNTIF($D$5:D1905,"?*"))</f>
        <v/>
      </c>
      <c r="B1905" s="6"/>
      <c r="C1905" s="5" t="str">
        <f>IF(B1905="","",INDEX({"Ocak","Şubat","Mart","Nisan","Mayıs","Haziran","Temmuz","Ağustos","Eylül","Ekim","Kasım","Aralık"},MONTH(B1905)))</f>
        <v/>
      </c>
      <c r="D1905" s="2"/>
      <c r="E1905" s="5" t="str">
        <f>IFERROR(INDEX('Malzeme Tanımlama'!$B$5:$B$300,MATCH(D1905,'Malzeme Tanımlama'!$A$5:$A$300,0)),"")</f>
        <v/>
      </c>
      <c r="F1905" s="2"/>
      <c r="G1905" s="5"/>
      <c r="H1905" s="5" t="str">
        <f>IFERROR(INDEX('Malzeme Tanımlama'!$D$5:$D$300,MATCH(D1905,'Malzeme Tanımlama'!$A$5:$A$300,0)),"")</f>
        <v/>
      </c>
      <c r="I1905" s="2"/>
      <c r="J1905" s="2"/>
      <c r="K1905" s="2"/>
    </row>
    <row r="1906" spans="1:11" x14ac:dyDescent="0.3">
      <c r="A1906" s="5" t="str">
        <f>IF(D1906="","",COUNTIF($D$5:D1906,"?*"))</f>
        <v/>
      </c>
      <c r="B1906" s="6"/>
      <c r="C1906" s="5" t="str">
        <f>IF(B1906="","",INDEX({"Ocak","Şubat","Mart","Nisan","Mayıs","Haziran","Temmuz","Ağustos","Eylül","Ekim","Kasım","Aralık"},MONTH(B1906)))</f>
        <v/>
      </c>
      <c r="D1906" s="2"/>
      <c r="E1906" s="5" t="str">
        <f>IFERROR(INDEX('Malzeme Tanımlama'!$B$5:$B$300,MATCH(D1906,'Malzeme Tanımlama'!$A$5:$A$300,0)),"")</f>
        <v/>
      </c>
      <c r="F1906" s="2"/>
      <c r="G1906" s="5"/>
      <c r="H1906" s="5" t="str">
        <f>IFERROR(INDEX('Malzeme Tanımlama'!$D$5:$D$300,MATCH(D1906,'Malzeme Tanımlama'!$A$5:$A$300,0)),"")</f>
        <v/>
      </c>
      <c r="I1906" s="2"/>
      <c r="J1906" s="2"/>
      <c r="K1906" s="2"/>
    </row>
    <row r="1907" spans="1:11" x14ac:dyDescent="0.3">
      <c r="A1907" s="5" t="str">
        <f>IF(D1907="","",COUNTIF($D$5:D1907,"?*"))</f>
        <v/>
      </c>
      <c r="B1907" s="6"/>
      <c r="C1907" s="5" t="str">
        <f>IF(B1907="","",INDEX({"Ocak","Şubat","Mart","Nisan","Mayıs","Haziran","Temmuz","Ağustos","Eylül","Ekim","Kasım","Aralık"},MONTH(B1907)))</f>
        <v/>
      </c>
      <c r="D1907" s="2"/>
      <c r="E1907" s="5" t="str">
        <f>IFERROR(INDEX('Malzeme Tanımlama'!$B$5:$B$300,MATCH(D1907,'Malzeme Tanımlama'!$A$5:$A$300,0)),"")</f>
        <v/>
      </c>
      <c r="F1907" s="2"/>
      <c r="G1907" s="5"/>
      <c r="H1907" s="5" t="str">
        <f>IFERROR(INDEX('Malzeme Tanımlama'!$D$5:$D$300,MATCH(D1907,'Malzeme Tanımlama'!$A$5:$A$300,0)),"")</f>
        <v/>
      </c>
      <c r="I1907" s="2"/>
      <c r="J1907" s="2"/>
      <c r="K1907" s="2"/>
    </row>
    <row r="1908" spans="1:11" x14ac:dyDescent="0.3">
      <c r="A1908" s="5" t="str">
        <f>IF(D1908="","",COUNTIF($D$5:D1908,"?*"))</f>
        <v/>
      </c>
      <c r="B1908" s="6"/>
      <c r="C1908" s="5" t="str">
        <f>IF(B1908="","",INDEX({"Ocak","Şubat","Mart","Nisan","Mayıs","Haziran","Temmuz","Ağustos","Eylül","Ekim","Kasım","Aralık"},MONTH(B1908)))</f>
        <v/>
      </c>
      <c r="D1908" s="2"/>
      <c r="E1908" s="5" t="str">
        <f>IFERROR(INDEX('Malzeme Tanımlama'!$B$5:$B$300,MATCH(D1908,'Malzeme Tanımlama'!$A$5:$A$300,0)),"")</f>
        <v/>
      </c>
      <c r="F1908" s="2"/>
      <c r="G1908" s="5"/>
      <c r="H1908" s="5" t="str">
        <f>IFERROR(INDEX('Malzeme Tanımlama'!$D$5:$D$300,MATCH(D1908,'Malzeme Tanımlama'!$A$5:$A$300,0)),"")</f>
        <v/>
      </c>
      <c r="I1908" s="2"/>
      <c r="J1908" s="2"/>
      <c r="K1908" s="2"/>
    </row>
    <row r="1909" spans="1:11" x14ac:dyDescent="0.3">
      <c r="A1909" s="5" t="str">
        <f>IF(D1909="","",COUNTIF($D$5:D1909,"?*"))</f>
        <v/>
      </c>
      <c r="B1909" s="6"/>
      <c r="C1909" s="5" t="str">
        <f>IF(B1909="","",INDEX({"Ocak","Şubat","Mart","Nisan","Mayıs","Haziran","Temmuz","Ağustos","Eylül","Ekim","Kasım","Aralık"},MONTH(B1909)))</f>
        <v/>
      </c>
      <c r="D1909" s="2"/>
      <c r="E1909" s="5" t="str">
        <f>IFERROR(INDEX('Malzeme Tanımlama'!$B$5:$B$300,MATCH(D1909,'Malzeme Tanımlama'!$A$5:$A$300,0)),"")</f>
        <v/>
      </c>
      <c r="F1909" s="2"/>
      <c r="G1909" s="5"/>
      <c r="H1909" s="5" t="str">
        <f>IFERROR(INDEX('Malzeme Tanımlama'!$D$5:$D$300,MATCH(D1909,'Malzeme Tanımlama'!$A$5:$A$300,0)),"")</f>
        <v/>
      </c>
      <c r="I1909" s="2"/>
      <c r="J1909" s="2"/>
      <c r="K1909" s="2"/>
    </row>
    <row r="1910" spans="1:11" x14ac:dyDescent="0.3">
      <c r="A1910" s="5" t="str">
        <f>IF(D1910="","",COUNTIF($D$5:D1910,"?*"))</f>
        <v/>
      </c>
      <c r="B1910" s="6"/>
      <c r="C1910" s="5" t="str">
        <f>IF(B1910="","",INDEX({"Ocak","Şubat","Mart","Nisan","Mayıs","Haziran","Temmuz","Ağustos","Eylül","Ekim","Kasım","Aralık"},MONTH(B1910)))</f>
        <v/>
      </c>
      <c r="D1910" s="2"/>
      <c r="E1910" s="5" t="str">
        <f>IFERROR(INDEX('Malzeme Tanımlama'!$B$5:$B$300,MATCH(D1910,'Malzeme Tanımlama'!$A$5:$A$300,0)),"")</f>
        <v/>
      </c>
      <c r="F1910" s="2"/>
      <c r="G1910" s="5"/>
      <c r="H1910" s="5" t="str">
        <f>IFERROR(INDEX('Malzeme Tanımlama'!$D$5:$D$300,MATCH(D1910,'Malzeme Tanımlama'!$A$5:$A$300,0)),"")</f>
        <v/>
      </c>
      <c r="I1910" s="2"/>
      <c r="J1910" s="2"/>
      <c r="K1910" s="2"/>
    </row>
    <row r="1911" spans="1:11" x14ac:dyDescent="0.3">
      <c r="A1911" s="5" t="str">
        <f>IF(D1911="","",COUNTIF($D$5:D1911,"?*"))</f>
        <v/>
      </c>
      <c r="B1911" s="6"/>
      <c r="C1911" s="5" t="str">
        <f>IF(B1911="","",INDEX({"Ocak","Şubat","Mart","Nisan","Mayıs","Haziran","Temmuz","Ağustos","Eylül","Ekim","Kasım","Aralık"},MONTH(B1911)))</f>
        <v/>
      </c>
      <c r="D1911" s="2"/>
      <c r="E1911" s="5" t="str">
        <f>IFERROR(INDEX('Malzeme Tanımlama'!$B$5:$B$300,MATCH(D1911,'Malzeme Tanımlama'!$A$5:$A$300,0)),"")</f>
        <v/>
      </c>
      <c r="F1911" s="2"/>
      <c r="G1911" s="5"/>
      <c r="H1911" s="5" t="str">
        <f>IFERROR(INDEX('Malzeme Tanımlama'!$D$5:$D$300,MATCH(D1911,'Malzeme Tanımlama'!$A$5:$A$300,0)),"")</f>
        <v/>
      </c>
      <c r="I1911" s="2"/>
      <c r="J1911" s="2"/>
      <c r="K1911" s="2"/>
    </row>
    <row r="1912" spans="1:11" x14ac:dyDescent="0.3">
      <c r="A1912" s="5" t="str">
        <f>IF(D1912="","",COUNTIF($D$5:D1912,"?*"))</f>
        <v/>
      </c>
      <c r="B1912" s="6"/>
      <c r="C1912" s="5" t="str">
        <f>IF(B1912="","",INDEX({"Ocak","Şubat","Mart","Nisan","Mayıs","Haziran","Temmuz","Ağustos","Eylül","Ekim","Kasım","Aralık"},MONTH(B1912)))</f>
        <v/>
      </c>
      <c r="D1912" s="2"/>
      <c r="E1912" s="5" t="str">
        <f>IFERROR(INDEX('Malzeme Tanımlama'!$B$5:$B$300,MATCH(D1912,'Malzeme Tanımlama'!$A$5:$A$300,0)),"")</f>
        <v/>
      </c>
      <c r="F1912" s="2"/>
      <c r="G1912" s="5"/>
      <c r="H1912" s="5" t="str">
        <f>IFERROR(INDEX('Malzeme Tanımlama'!$D$5:$D$300,MATCH(D1912,'Malzeme Tanımlama'!$A$5:$A$300,0)),"")</f>
        <v/>
      </c>
      <c r="I1912" s="2"/>
      <c r="J1912" s="2"/>
      <c r="K1912" s="2"/>
    </row>
    <row r="1913" spans="1:11" x14ac:dyDescent="0.3">
      <c r="A1913" s="5" t="str">
        <f>IF(D1913="","",COUNTIF($D$5:D1913,"?*"))</f>
        <v/>
      </c>
      <c r="B1913" s="6"/>
      <c r="C1913" s="5" t="str">
        <f>IF(B1913="","",INDEX({"Ocak","Şubat","Mart","Nisan","Mayıs","Haziran","Temmuz","Ağustos","Eylül","Ekim","Kasım","Aralık"},MONTH(B1913)))</f>
        <v/>
      </c>
      <c r="D1913" s="2"/>
      <c r="E1913" s="5" t="str">
        <f>IFERROR(INDEX('Malzeme Tanımlama'!$B$5:$B$300,MATCH(D1913,'Malzeme Tanımlama'!$A$5:$A$300,0)),"")</f>
        <v/>
      </c>
      <c r="F1913" s="2"/>
      <c r="G1913" s="5"/>
      <c r="H1913" s="5" t="str">
        <f>IFERROR(INDEX('Malzeme Tanımlama'!$D$5:$D$300,MATCH(D1913,'Malzeme Tanımlama'!$A$5:$A$300,0)),"")</f>
        <v/>
      </c>
      <c r="I1913" s="2"/>
      <c r="J1913" s="2"/>
      <c r="K1913" s="2"/>
    </row>
    <row r="1914" spans="1:11" x14ac:dyDescent="0.3">
      <c r="A1914" s="5" t="str">
        <f>IF(D1914="","",COUNTIF($D$5:D1914,"?*"))</f>
        <v/>
      </c>
      <c r="B1914" s="6"/>
      <c r="C1914" s="5" t="str">
        <f>IF(B1914="","",INDEX({"Ocak","Şubat","Mart","Nisan","Mayıs","Haziran","Temmuz","Ağustos","Eylül","Ekim","Kasım","Aralık"},MONTH(B1914)))</f>
        <v/>
      </c>
      <c r="D1914" s="2"/>
      <c r="E1914" s="5" t="str">
        <f>IFERROR(INDEX('Malzeme Tanımlama'!$B$5:$B$300,MATCH(D1914,'Malzeme Tanımlama'!$A$5:$A$300,0)),"")</f>
        <v/>
      </c>
      <c r="F1914" s="2"/>
      <c r="G1914" s="5"/>
      <c r="H1914" s="5" t="str">
        <f>IFERROR(INDEX('Malzeme Tanımlama'!$D$5:$D$300,MATCH(D1914,'Malzeme Tanımlama'!$A$5:$A$300,0)),"")</f>
        <v/>
      </c>
      <c r="I1914" s="2"/>
      <c r="J1914" s="2"/>
      <c r="K1914" s="2"/>
    </row>
    <row r="1915" spans="1:11" x14ac:dyDescent="0.3">
      <c r="A1915" s="5" t="str">
        <f>IF(D1915="","",COUNTIF($D$5:D1915,"?*"))</f>
        <v/>
      </c>
      <c r="B1915" s="6"/>
      <c r="C1915" s="5" t="str">
        <f>IF(B1915="","",INDEX({"Ocak","Şubat","Mart","Nisan","Mayıs","Haziran","Temmuz","Ağustos","Eylül","Ekim","Kasım","Aralık"},MONTH(B1915)))</f>
        <v/>
      </c>
      <c r="D1915" s="2"/>
      <c r="E1915" s="5" t="str">
        <f>IFERROR(INDEX('Malzeme Tanımlama'!$B$5:$B$300,MATCH(D1915,'Malzeme Tanımlama'!$A$5:$A$300,0)),"")</f>
        <v/>
      </c>
      <c r="F1915" s="2"/>
      <c r="G1915" s="5"/>
      <c r="H1915" s="5" t="str">
        <f>IFERROR(INDEX('Malzeme Tanımlama'!$D$5:$D$300,MATCH(D1915,'Malzeme Tanımlama'!$A$5:$A$300,0)),"")</f>
        <v/>
      </c>
      <c r="I1915" s="2"/>
      <c r="J1915" s="2"/>
      <c r="K1915" s="2"/>
    </row>
    <row r="1916" spans="1:11" x14ac:dyDescent="0.3">
      <c r="A1916" s="5" t="str">
        <f>IF(D1916="","",COUNTIF($D$5:D1916,"?*"))</f>
        <v/>
      </c>
      <c r="B1916" s="6"/>
      <c r="C1916" s="5" t="str">
        <f>IF(B1916="","",INDEX({"Ocak","Şubat","Mart","Nisan","Mayıs","Haziran","Temmuz","Ağustos","Eylül","Ekim","Kasım","Aralık"},MONTH(B1916)))</f>
        <v/>
      </c>
      <c r="D1916" s="2"/>
      <c r="E1916" s="5" t="str">
        <f>IFERROR(INDEX('Malzeme Tanımlama'!$B$5:$B$300,MATCH(D1916,'Malzeme Tanımlama'!$A$5:$A$300,0)),"")</f>
        <v/>
      </c>
      <c r="F1916" s="2"/>
      <c r="G1916" s="5"/>
      <c r="H1916" s="5" t="str">
        <f>IFERROR(INDEX('Malzeme Tanımlama'!$D$5:$D$300,MATCH(D1916,'Malzeme Tanımlama'!$A$5:$A$300,0)),"")</f>
        <v/>
      </c>
      <c r="I1916" s="2"/>
      <c r="J1916" s="2"/>
      <c r="K1916" s="2"/>
    </row>
    <row r="1917" spans="1:11" x14ac:dyDescent="0.3">
      <c r="A1917" s="5" t="str">
        <f>IF(D1917="","",COUNTIF($D$5:D1917,"?*"))</f>
        <v/>
      </c>
      <c r="B1917" s="6"/>
      <c r="C1917" s="5" t="str">
        <f>IF(B1917="","",INDEX({"Ocak","Şubat","Mart","Nisan","Mayıs","Haziran","Temmuz","Ağustos","Eylül","Ekim","Kasım","Aralık"},MONTH(B1917)))</f>
        <v/>
      </c>
      <c r="D1917" s="2"/>
      <c r="E1917" s="5" t="str">
        <f>IFERROR(INDEX('Malzeme Tanımlama'!$B$5:$B$300,MATCH(D1917,'Malzeme Tanımlama'!$A$5:$A$300,0)),"")</f>
        <v/>
      </c>
      <c r="F1917" s="2"/>
      <c r="G1917" s="5"/>
      <c r="H1917" s="5" t="str">
        <f>IFERROR(INDEX('Malzeme Tanımlama'!$D$5:$D$300,MATCH(D1917,'Malzeme Tanımlama'!$A$5:$A$300,0)),"")</f>
        <v/>
      </c>
      <c r="I1917" s="2"/>
      <c r="J1917" s="2"/>
      <c r="K1917" s="2"/>
    </row>
    <row r="1918" spans="1:11" x14ac:dyDescent="0.3">
      <c r="A1918" s="5" t="str">
        <f>IF(D1918="","",COUNTIF($D$5:D1918,"?*"))</f>
        <v/>
      </c>
      <c r="B1918" s="6"/>
      <c r="C1918" s="5" t="str">
        <f>IF(B1918="","",INDEX({"Ocak","Şubat","Mart","Nisan","Mayıs","Haziran","Temmuz","Ağustos","Eylül","Ekim","Kasım","Aralık"},MONTH(B1918)))</f>
        <v/>
      </c>
      <c r="D1918" s="2"/>
      <c r="E1918" s="5" t="str">
        <f>IFERROR(INDEX('Malzeme Tanımlama'!$B$5:$B$300,MATCH(D1918,'Malzeme Tanımlama'!$A$5:$A$300,0)),"")</f>
        <v/>
      </c>
      <c r="F1918" s="2"/>
      <c r="G1918" s="5"/>
      <c r="H1918" s="5" t="str">
        <f>IFERROR(INDEX('Malzeme Tanımlama'!$D$5:$D$300,MATCH(D1918,'Malzeme Tanımlama'!$A$5:$A$300,0)),"")</f>
        <v/>
      </c>
      <c r="I1918" s="2"/>
      <c r="J1918" s="2"/>
      <c r="K1918" s="2"/>
    </row>
    <row r="1919" spans="1:11" x14ac:dyDescent="0.3">
      <c r="A1919" s="5" t="str">
        <f>IF(D1919="","",COUNTIF($D$5:D1919,"?*"))</f>
        <v/>
      </c>
      <c r="B1919" s="6"/>
      <c r="C1919" s="5" t="str">
        <f>IF(B1919="","",INDEX({"Ocak","Şubat","Mart","Nisan","Mayıs","Haziran","Temmuz","Ağustos","Eylül","Ekim","Kasım","Aralık"},MONTH(B1919)))</f>
        <v/>
      </c>
      <c r="D1919" s="2"/>
      <c r="E1919" s="5" t="str">
        <f>IFERROR(INDEX('Malzeme Tanımlama'!$B$5:$B$300,MATCH(D1919,'Malzeme Tanımlama'!$A$5:$A$300,0)),"")</f>
        <v/>
      </c>
      <c r="F1919" s="2"/>
      <c r="G1919" s="5"/>
      <c r="H1919" s="5" t="str">
        <f>IFERROR(INDEX('Malzeme Tanımlama'!$D$5:$D$300,MATCH(D1919,'Malzeme Tanımlama'!$A$5:$A$300,0)),"")</f>
        <v/>
      </c>
      <c r="I1919" s="2"/>
      <c r="J1919" s="2"/>
      <c r="K1919" s="2"/>
    </row>
    <row r="1920" spans="1:11" x14ac:dyDescent="0.3">
      <c r="A1920" s="5" t="str">
        <f>IF(D1920="","",COUNTIF($D$5:D1920,"?*"))</f>
        <v/>
      </c>
      <c r="B1920" s="6"/>
      <c r="C1920" s="5" t="str">
        <f>IF(B1920="","",INDEX({"Ocak","Şubat","Mart","Nisan","Mayıs","Haziran","Temmuz","Ağustos","Eylül","Ekim","Kasım","Aralık"},MONTH(B1920)))</f>
        <v/>
      </c>
      <c r="D1920" s="2"/>
      <c r="E1920" s="5" t="str">
        <f>IFERROR(INDEX('Malzeme Tanımlama'!$B$5:$B$300,MATCH(D1920,'Malzeme Tanımlama'!$A$5:$A$300,0)),"")</f>
        <v/>
      </c>
      <c r="F1920" s="2"/>
      <c r="G1920" s="5"/>
      <c r="H1920" s="5" t="str">
        <f>IFERROR(INDEX('Malzeme Tanımlama'!$D$5:$D$300,MATCH(D1920,'Malzeme Tanımlama'!$A$5:$A$300,0)),"")</f>
        <v/>
      </c>
      <c r="I1920" s="2"/>
      <c r="J1920" s="2"/>
      <c r="K1920" s="2"/>
    </row>
    <row r="1921" spans="1:11" x14ac:dyDescent="0.3">
      <c r="A1921" s="5" t="str">
        <f>IF(D1921="","",COUNTIF($D$5:D1921,"?*"))</f>
        <v/>
      </c>
      <c r="B1921" s="6"/>
      <c r="C1921" s="5" t="str">
        <f>IF(B1921="","",INDEX({"Ocak","Şubat","Mart","Nisan","Mayıs","Haziran","Temmuz","Ağustos","Eylül","Ekim","Kasım","Aralık"},MONTH(B1921)))</f>
        <v/>
      </c>
      <c r="D1921" s="2"/>
      <c r="E1921" s="5" t="str">
        <f>IFERROR(INDEX('Malzeme Tanımlama'!$B$5:$B$300,MATCH(D1921,'Malzeme Tanımlama'!$A$5:$A$300,0)),"")</f>
        <v/>
      </c>
      <c r="F1921" s="2"/>
      <c r="G1921" s="5"/>
      <c r="H1921" s="5" t="str">
        <f>IFERROR(INDEX('Malzeme Tanımlama'!$D$5:$D$300,MATCH(D1921,'Malzeme Tanımlama'!$A$5:$A$300,0)),"")</f>
        <v/>
      </c>
      <c r="I1921" s="2"/>
      <c r="J1921" s="2"/>
      <c r="K1921" s="2"/>
    </row>
    <row r="1922" spans="1:11" x14ac:dyDescent="0.3">
      <c r="A1922" s="5" t="str">
        <f>IF(D1922="","",COUNTIF($D$5:D1922,"?*"))</f>
        <v/>
      </c>
      <c r="B1922" s="6"/>
      <c r="C1922" s="5" t="str">
        <f>IF(B1922="","",INDEX({"Ocak","Şubat","Mart","Nisan","Mayıs","Haziran","Temmuz","Ağustos","Eylül","Ekim","Kasım","Aralık"},MONTH(B1922)))</f>
        <v/>
      </c>
      <c r="D1922" s="2"/>
      <c r="E1922" s="5" t="str">
        <f>IFERROR(INDEX('Malzeme Tanımlama'!$B$5:$B$300,MATCH(D1922,'Malzeme Tanımlama'!$A$5:$A$300,0)),"")</f>
        <v/>
      </c>
      <c r="F1922" s="2"/>
      <c r="G1922" s="5"/>
      <c r="H1922" s="5" t="str">
        <f>IFERROR(INDEX('Malzeme Tanımlama'!$D$5:$D$300,MATCH(D1922,'Malzeme Tanımlama'!$A$5:$A$300,0)),"")</f>
        <v/>
      </c>
      <c r="I1922" s="2"/>
      <c r="J1922" s="2"/>
      <c r="K1922" s="2"/>
    </row>
    <row r="1923" spans="1:11" x14ac:dyDescent="0.3">
      <c r="A1923" s="5" t="str">
        <f>IF(D1923="","",COUNTIF($D$5:D1923,"?*"))</f>
        <v/>
      </c>
      <c r="B1923" s="6"/>
      <c r="C1923" s="5" t="str">
        <f>IF(B1923="","",INDEX({"Ocak","Şubat","Mart","Nisan","Mayıs","Haziran","Temmuz","Ağustos","Eylül","Ekim","Kasım","Aralık"},MONTH(B1923)))</f>
        <v/>
      </c>
      <c r="D1923" s="2"/>
      <c r="E1923" s="5" t="str">
        <f>IFERROR(INDEX('Malzeme Tanımlama'!$B$5:$B$300,MATCH(D1923,'Malzeme Tanımlama'!$A$5:$A$300,0)),"")</f>
        <v/>
      </c>
      <c r="F1923" s="2"/>
      <c r="G1923" s="5"/>
      <c r="H1923" s="5" t="str">
        <f>IFERROR(INDEX('Malzeme Tanımlama'!$D$5:$D$300,MATCH(D1923,'Malzeme Tanımlama'!$A$5:$A$300,0)),"")</f>
        <v/>
      </c>
      <c r="I1923" s="2"/>
      <c r="J1923" s="2"/>
      <c r="K1923" s="2"/>
    </row>
    <row r="1924" spans="1:11" x14ac:dyDescent="0.3">
      <c r="A1924" s="5" t="str">
        <f>IF(D1924="","",COUNTIF($D$5:D1924,"?*"))</f>
        <v/>
      </c>
      <c r="B1924" s="6"/>
      <c r="C1924" s="5" t="str">
        <f>IF(B1924="","",INDEX({"Ocak","Şubat","Mart","Nisan","Mayıs","Haziran","Temmuz","Ağustos","Eylül","Ekim","Kasım","Aralık"},MONTH(B1924)))</f>
        <v/>
      </c>
      <c r="D1924" s="2"/>
      <c r="E1924" s="5" t="str">
        <f>IFERROR(INDEX('Malzeme Tanımlama'!$B$5:$B$300,MATCH(D1924,'Malzeme Tanımlama'!$A$5:$A$300,0)),"")</f>
        <v/>
      </c>
      <c r="F1924" s="2"/>
      <c r="G1924" s="5"/>
      <c r="H1924" s="5" t="str">
        <f>IFERROR(INDEX('Malzeme Tanımlama'!$D$5:$D$300,MATCH(D1924,'Malzeme Tanımlama'!$A$5:$A$300,0)),"")</f>
        <v/>
      </c>
      <c r="I1924" s="2"/>
      <c r="J1924" s="2"/>
      <c r="K1924" s="2"/>
    </row>
    <row r="1925" spans="1:11" x14ac:dyDescent="0.3">
      <c r="A1925" s="5" t="str">
        <f>IF(D1925="","",COUNTIF($D$5:D1925,"?*"))</f>
        <v/>
      </c>
      <c r="B1925" s="6"/>
      <c r="C1925" s="5" t="str">
        <f>IF(B1925="","",INDEX({"Ocak","Şubat","Mart","Nisan","Mayıs","Haziran","Temmuz","Ağustos","Eylül","Ekim","Kasım","Aralık"},MONTH(B1925)))</f>
        <v/>
      </c>
      <c r="D1925" s="2"/>
      <c r="E1925" s="5" t="str">
        <f>IFERROR(INDEX('Malzeme Tanımlama'!$B$5:$B$300,MATCH(D1925,'Malzeme Tanımlama'!$A$5:$A$300,0)),"")</f>
        <v/>
      </c>
      <c r="F1925" s="2"/>
      <c r="G1925" s="5"/>
      <c r="H1925" s="5" t="str">
        <f>IFERROR(INDEX('Malzeme Tanımlama'!$D$5:$D$300,MATCH(D1925,'Malzeme Tanımlama'!$A$5:$A$300,0)),"")</f>
        <v/>
      </c>
      <c r="I1925" s="2"/>
      <c r="J1925" s="2"/>
      <c r="K1925" s="2"/>
    </row>
    <row r="1926" spans="1:11" x14ac:dyDescent="0.3">
      <c r="A1926" s="5" t="str">
        <f>IF(D1926="","",COUNTIF($D$5:D1926,"?*"))</f>
        <v/>
      </c>
      <c r="B1926" s="6"/>
      <c r="C1926" s="5" t="str">
        <f>IF(B1926="","",INDEX({"Ocak","Şubat","Mart","Nisan","Mayıs","Haziran","Temmuz","Ağustos","Eylül","Ekim","Kasım","Aralık"},MONTH(B1926)))</f>
        <v/>
      </c>
      <c r="D1926" s="2"/>
      <c r="E1926" s="5" t="str">
        <f>IFERROR(INDEX('Malzeme Tanımlama'!$B$5:$B$300,MATCH(D1926,'Malzeme Tanımlama'!$A$5:$A$300,0)),"")</f>
        <v/>
      </c>
      <c r="F1926" s="2"/>
      <c r="G1926" s="5"/>
      <c r="H1926" s="5" t="str">
        <f>IFERROR(INDEX('Malzeme Tanımlama'!$D$5:$D$300,MATCH(D1926,'Malzeme Tanımlama'!$A$5:$A$300,0)),"")</f>
        <v/>
      </c>
      <c r="I1926" s="2"/>
      <c r="J1926" s="2"/>
      <c r="K1926" s="2"/>
    </row>
    <row r="1927" spans="1:11" x14ac:dyDescent="0.3">
      <c r="A1927" s="5" t="str">
        <f>IF(D1927="","",COUNTIF($D$5:D1927,"?*"))</f>
        <v/>
      </c>
      <c r="B1927" s="6"/>
      <c r="C1927" s="5" t="str">
        <f>IF(B1927="","",INDEX({"Ocak","Şubat","Mart","Nisan","Mayıs","Haziran","Temmuz","Ağustos","Eylül","Ekim","Kasım","Aralık"},MONTH(B1927)))</f>
        <v/>
      </c>
      <c r="D1927" s="2"/>
      <c r="E1927" s="5" t="str">
        <f>IFERROR(INDEX('Malzeme Tanımlama'!$B$5:$B$300,MATCH(D1927,'Malzeme Tanımlama'!$A$5:$A$300,0)),"")</f>
        <v/>
      </c>
      <c r="F1927" s="2"/>
      <c r="G1927" s="5"/>
      <c r="H1927" s="5" t="str">
        <f>IFERROR(INDEX('Malzeme Tanımlama'!$D$5:$D$300,MATCH(D1927,'Malzeme Tanımlama'!$A$5:$A$300,0)),"")</f>
        <v/>
      </c>
      <c r="I1927" s="2"/>
      <c r="J1927" s="2"/>
      <c r="K1927" s="2"/>
    </row>
    <row r="1928" spans="1:11" x14ac:dyDescent="0.3">
      <c r="A1928" s="5" t="str">
        <f>IF(D1928="","",COUNTIF($D$5:D1928,"?*"))</f>
        <v/>
      </c>
      <c r="B1928" s="6"/>
      <c r="C1928" s="5" t="str">
        <f>IF(B1928="","",INDEX({"Ocak","Şubat","Mart","Nisan","Mayıs","Haziran","Temmuz","Ağustos","Eylül","Ekim","Kasım","Aralık"},MONTH(B1928)))</f>
        <v/>
      </c>
      <c r="D1928" s="2"/>
      <c r="E1928" s="5" t="str">
        <f>IFERROR(INDEX('Malzeme Tanımlama'!$B$5:$B$300,MATCH(D1928,'Malzeme Tanımlama'!$A$5:$A$300,0)),"")</f>
        <v/>
      </c>
      <c r="F1928" s="2"/>
      <c r="G1928" s="5"/>
      <c r="H1928" s="5" t="str">
        <f>IFERROR(INDEX('Malzeme Tanımlama'!$D$5:$D$300,MATCH(D1928,'Malzeme Tanımlama'!$A$5:$A$300,0)),"")</f>
        <v/>
      </c>
      <c r="I1928" s="2"/>
      <c r="J1928" s="2"/>
      <c r="K1928" s="2"/>
    </row>
    <row r="1929" spans="1:11" x14ac:dyDescent="0.3">
      <c r="A1929" s="5" t="str">
        <f>IF(D1929="","",COUNTIF($D$5:D1929,"?*"))</f>
        <v/>
      </c>
      <c r="B1929" s="6"/>
      <c r="C1929" s="5" t="str">
        <f>IF(B1929="","",INDEX({"Ocak","Şubat","Mart","Nisan","Mayıs","Haziran","Temmuz","Ağustos","Eylül","Ekim","Kasım","Aralık"},MONTH(B1929)))</f>
        <v/>
      </c>
      <c r="D1929" s="2"/>
      <c r="E1929" s="5" t="str">
        <f>IFERROR(INDEX('Malzeme Tanımlama'!$B$5:$B$300,MATCH(D1929,'Malzeme Tanımlama'!$A$5:$A$300,0)),"")</f>
        <v/>
      </c>
      <c r="F1929" s="2"/>
      <c r="G1929" s="5"/>
      <c r="H1929" s="5" t="str">
        <f>IFERROR(INDEX('Malzeme Tanımlama'!$D$5:$D$300,MATCH(D1929,'Malzeme Tanımlama'!$A$5:$A$300,0)),"")</f>
        <v/>
      </c>
      <c r="I1929" s="2"/>
      <c r="J1929" s="2"/>
      <c r="K1929" s="2"/>
    </row>
    <row r="1930" spans="1:11" x14ac:dyDescent="0.3">
      <c r="A1930" s="5" t="str">
        <f>IF(D1930="","",COUNTIF($D$5:D1930,"?*"))</f>
        <v/>
      </c>
      <c r="B1930" s="6"/>
      <c r="C1930" s="5" t="str">
        <f>IF(B1930="","",INDEX({"Ocak","Şubat","Mart","Nisan","Mayıs","Haziran","Temmuz","Ağustos","Eylül","Ekim","Kasım","Aralık"},MONTH(B1930)))</f>
        <v/>
      </c>
      <c r="D1930" s="2"/>
      <c r="E1930" s="5" t="str">
        <f>IFERROR(INDEX('Malzeme Tanımlama'!$B$5:$B$300,MATCH(D1930,'Malzeme Tanımlama'!$A$5:$A$300,0)),"")</f>
        <v/>
      </c>
      <c r="F1930" s="2"/>
      <c r="G1930" s="5"/>
      <c r="H1930" s="5" t="str">
        <f>IFERROR(INDEX('Malzeme Tanımlama'!$D$5:$D$300,MATCH(D1930,'Malzeme Tanımlama'!$A$5:$A$300,0)),"")</f>
        <v/>
      </c>
      <c r="I1930" s="2"/>
      <c r="J1930" s="2"/>
      <c r="K1930" s="2"/>
    </row>
    <row r="1931" spans="1:11" x14ac:dyDescent="0.3">
      <c r="A1931" s="5" t="str">
        <f>IF(D1931="","",COUNTIF($D$5:D1931,"?*"))</f>
        <v/>
      </c>
      <c r="B1931" s="6"/>
      <c r="C1931" s="5" t="str">
        <f>IF(B1931="","",INDEX({"Ocak","Şubat","Mart","Nisan","Mayıs","Haziran","Temmuz","Ağustos","Eylül","Ekim","Kasım","Aralık"},MONTH(B1931)))</f>
        <v/>
      </c>
      <c r="D1931" s="2"/>
      <c r="E1931" s="5" t="str">
        <f>IFERROR(INDEX('Malzeme Tanımlama'!$B$5:$B$300,MATCH(D1931,'Malzeme Tanımlama'!$A$5:$A$300,0)),"")</f>
        <v/>
      </c>
      <c r="F1931" s="2"/>
      <c r="G1931" s="5"/>
      <c r="H1931" s="5" t="str">
        <f>IFERROR(INDEX('Malzeme Tanımlama'!$D$5:$D$300,MATCH(D1931,'Malzeme Tanımlama'!$A$5:$A$300,0)),"")</f>
        <v/>
      </c>
      <c r="I1931" s="2"/>
      <c r="J1931" s="2"/>
      <c r="K1931" s="2"/>
    </row>
    <row r="1932" spans="1:11" x14ac:dyDescent="0.3">
      <c r="A1932" s="5" t="str">
        <f>IF(D1932="","",COUNTIF($D$5:D1932,"?*"))</f>
        <v/>
      </c>
      <c r="B1932" s="6"/>
      <c r="C1932" s="5" t="str">
        <f>IF(B1932="","",INDEX({"Ocak","Şubat","Mart","Nisan","Mayıs","Haziran","Temmuz","Ağustos","Eylül","Ekim","Kasım","Aralık"},MONTH(B1932)))</f>
        <v/>
      </c>
      <c r="D1932" s="2"/>
      <c r="E1932" s="5" t="str">
        <f>IFERROR(INDEX('Malzeme Tanımlama'!$B$5:$B$300,MATCH(D1932,'Malzeme Tanımlama'!$A$5:$A$300,0)),"")</f>
        <v/>
      </c>
      <c r="F1932" s="2"/>
      <c r="G1932" s="5"/>
      <c r="H1932" s="5" t="str">
        <f>IFERROR(INDEX('Malzeme Tanımlama'!$D$5:$D$300,MATCH(D1932,'Malzeme Tanımlama'!$A$5:$A$300,0)),"")</f>
        <v/>
      </c>
      <c r="I1932" s="2"/>
      <c r="J1932" s="2"/>
      <c r="K1932" s="2"/>
    </row>
    <row r="1933" spans="1:11" x14ac:dyDescent="0.3">
      <c r="A1933" s="5" t="str">
        <f>IF(D1933="","",COUNTIF($D$5:D1933,"?*"))</f>
        <v/>
      </c>
      <c r="B1933" s="6"/>
      <c r="C1933" s="5" t="str">
        <f>IF(B1933="","",INDEX({"Ocak","Şubat","Mart","Nisan","Mayıs","Haziran","Temmuz","Ağustos","Eylül","Ekim","Kasım","Aralık"},MONTH(B1933)))</f>
        <v/>
      </c>
      <c r="D1933" s="2"/>
      <c r="E1933" s="5" t="str">
        <f>IFERROR(INDEX('Malzeme Tanımlama'!$B$5:$B$300,MATCH(D1933,'Malzeme Tanımlama'!$A$5:$A$300,0)),"")</f>
        <v/>
      </c>
      <c r="F1933" s="2"/>
      <c r="G1933" s="5"/>
      <c r="H1933" s="5" t="str">
        <f>IFERROR(INDEX('Malzeme Tanımlama'!$D$5:$D$300,MATCH(D1933,'Malzeme Tanımlama'!$A$5:$A$300,0)),"")</f>
        <v/>
      </c>
      <c r="I1933" s="2"/>
      <c r="J1933" s="2"/>
      <c r="K1933" s="2"/>
    </row>
    <row r="1934" spans="1:11" x14ac:dyDescent="0.3">
      <c r="A1934" s="5" t="str">
        <f>IF(D1934="","",COUNTIF($D$5:D1934,"?*"))</f>
        <v/>
      </c>
      <c r="B1934" s="6"/>
      <c r="C1934" s="5" t="str">
        <f>IF(B1934="","",INDEX({"Ocak","Şubat","Mart","Nisan","Mayıs","Haziran","Temmuz","Ağustos","Eylül","Ekim","Kasım","Aralık"},MONTH(B1934)))</f>
        <v/>
      </c>
      <c r="D1934" s="2"/>
      <c r="E1934" s="5" t="str">
        <f>IFERROR(INDEX('Malzeme Tanımlama'!$B$5:$B$300,MATCH(D1934,'Malzeme Tanımlama'!$A$5:$A$300,0)),"")</f>
        <v/>
      </c>
      <c r="F1934" s="2"/>
      <c r="G1934" s="5"/>
      <c r="H1934" s="5" t="str">
        <f>IFERROR(INDEX('Malzeme Tanımlama'!$D$5:$D$300,MATCH(D1934,'Malzeme Tanımlama'!$A$5:$A$300,0)),"")</f>
        <v/>
      </c>
      <c r="I1934" s="2"/>
      <c r="J1934" s="2"/>
      <c r="K1934" s="2"/>
    </row>
    <row r="1935" spans="1:11" x14ac:dyDescent="0.3">
      <c r="A1935" s="5" t="str">
        <f>IF(D1935="","",COUNTIF($D$5:D1935,"?*"))</f>
        <v/>
      </c>
      <c r="B1935" s="6"/>
      <c r="C1935" s="5" t="str">
        <f>IF(B1935="","",INDEX({"Ocak","Şubat","Mart","Nisan","Mayıs","Haziran","Temmuz","Ağustos","Eylül","Ekim","Kasım","Aralık"},MONTH(B1935)))</f>
        <v/>
      </c>
      <c r="D1935" s="2"/>
      <c r="E1935" s="5" t="str">
        <f>IFERROR(INDEX('Malzeme Tanımlama'!$B$5:$B$300,MATCH(D1935,'Malzeme Tanımlama'!$A$5:$A$300,0)),"")</f>
        <v/>
      </c>
      <c r="F1935" s="2"/>
      <c r="G1935" s="5"/>
      <c r="H1935" s="5" t="str">
        <f>IFERROR(INDEX('Malzeme Tanımlama'!$D$5:$D$300,MATCH(D1935,'Malzeme Tanımlama'!$A$5:$A$300,0)),"")</f>
        <v/>
      </c>
      <c r="I1935" s="2"/>
      <c r="J1935" s="2"/>
      <c r="K1935" s="2"/>
    </row>
    <row r="1936" spans="1:11" x14ac:dyDescent="0.3">
      <c r="A1936" s="5" t="str">
        <f>IF(D1936="","",COUNTIF($D$5:D1936,"?*"))</f>
        <v/>
      </c>
      <c r="B1936" s="6"/>
      <c r="C1936" s="5" t="str">
        <f>IF(B1936="","",INDEX({"Ocak","Şubat","Mart","Nisan","Mayıs","Haziran","Temmuz","Ağustos","Eylül","Ekim","Kasım","Aralık"},MONTH(B1936)))</f>
        <v/>
      </c>
      <c r="D1936" s="2"/>
      <c r="E1936" s="5" t="str">
        <f>IFERROR(INDEX('Malzeme Tanımlama'!$B$5:$B$300,MATCH(D1936,'Malzeme Tanımlama'!$A$5:$A$300,0)),"")</f>
        <v/>
      </c>
      <c r="F1936" s="2"/>
      <c r="G1936" s="5"/>
      <c r="H1936" s="5" t="str">
        <f>IFERROR(INDEX('Malzeme Tanımlama'!$D$5:$D$300,MATCH(D1936,'Malzeme Tanımlama'!$A$5:$A$300,0)),"")</f>
        <v/>
      </c>
      <c r="I1936" s="2"/>
      <c r="J1936" s="2"/>
      <c r="K1936" s="2"/>
    </row>
    <row r="1937" spans="1:11" x14ac:dyDescent="0.3">
      <c r="A1937" s="5" t="str">
        <f>IF(D1937="","",COUNTIF($D$5:D1937,"?*"))</f>
        <v/>
      </c>
      <c r="B1937" s="6"/>
      <c r="C1937" s="5" t="str">
        <f>IF(B1937="","",INDEX({"Ocak","Şubat","Mart","Nisan","Mayıs","Haziran","Temmuz","Ağustos","Eylül","Ekim","Kasım","Aralık"},MONTH(B1937)))</f>
        <v/>
      </c>
      <c r="D1937" s="2"/>
      <c r="E1937" s="5" t="str">
        <f>IFERROR(INDEX('Malzeme Tanımlama'!$B$5:$B$300,MATCH(D1937,'Malzeme Tanımlama'!$A$5:$A$300,0)),"")</f>
        <v/>
      </c>
      <c r="F1937" s="2"/>
      <c r="G1937" s="5"/>
      <c r="H1937" s="5" t="str">
        <f>IFERROR(INDEX('Malzeme Tanımlama'!$D$5:$D$300,MATCH(D1937,'Malzeme Tanımlama'!$A$5:$A$300,0)),"")</f>
        <v/>
      </c>
      <c r="I1937" s="2"/>
      <c r="J1937" s="2"/>
      <c r="K1937" s="2"/>
    </row>
    <row r="1938" spans="1:11" x14ac:dyDescent="0.3">
      <c r="A1938" s="5" t="str">
        <f>IF(D1938="","",COUNTIF($D$5:D1938,"?*"))</f>
        <v/>
      </c>
      <c r="B1938" s="6"/>
      <c r="C1938" s="5" t="str">
        <f>IF(B1938="","",INDEX({"Ocak","Şubat","Mart","Nisan","Mayıs","Haziran","Temmuz","Ağustos","Eylül","Ekim","Kasım","Aralık"},MONTH(B1938)))</f>
        <v/>
      </c>
      <c r="D1938" s="2"/>
      <c r="E1938" s="5" t="str">
        <f>IFERROR(INDEX('Malzeme Tanımlama'!$B$5:$B$300,MATCH(D1938,'Malzeme Tanımlama'!$A$5:$A$300,0)),"")</f>
        <v/>
      </c>
      <c r="F1938" s="2"/>
      <c r="G1938" s="5"/>
      <c r="H1938" s="5" t="str">
        <f>IFERROR(INDEX('Malzeme Tanımlama'!$D$5:$D$300,MATCH(D1938,'Malzeme Tanımlama'!$A$5:$A$300,0)),"")</f>
        <v/>
      </c>
      <c r="I1938" s="2"/>
      <c r="J1938" s="2"/>
      <c r="K1938" s="2"/>
    </row>
    <row r="1939" spans="1:11" x14ac:dyDescent="0.3">
      <c r="A1939" s="5" t="str">
        <f>IF(D1939="","",COUNTIF($D$5:D1939,"?*"))</f>
        <v/>
      </c>
      <c r="B1939" s="6"/>
      <c r="C1939" s="5" t="str">
        <f>IF(B1939="","",INDEX({"Ocak","Şubat","Mart","Nisan","Mayıs","Haziran","Temmuz","Ağustos","Eylül","Ekim","Kasım","Aralık"},MONTH(B1939)))</f>
        <v/>
      </c>
      <c r="D1939" s="2"/>
      <c r="E1939" s="5" t="str">
        <f>IFERROR(INDEX('Malzeme Tanımlama'!$B$5:$B$300,MATCH(D1939,'Malzeme Tanımlama'!$A$5:$A$300,0)),"")</f>
        <v/>
      </c>
      <c r="F1939" s="2"/>
      <c r="G1939" s="5"/>
      <c r="H1939" s="5" t="str">
        <f>IFERROR(INDEX('Malzeme Tanımlama'!$D$5:$D$300,MATCH(D1939,'Malzeme Tanımlama'!$A$5:$A$300,0)),"")</f>
        <v/>
      </c>
      <c r="I1939" s="2"/>
      <c r="J1939" s="2"/>
      <c r="K1939" s="2"/>
    </row>
    <row r="1940" spans="1:11" x14ac:dyDescent="0.3">
      <c r="A1940" s="5" t="str">
        <f>IF(D1940="","",COUNTIF($D$5:D1940,"?*"))</f>
        <v/>
      </c>
      <c r="B1940" s="6"/>
      <c r="C1940" s="5" t="str">
        <f>IF(B1940="","",INDEX({"Ocak","Şubat","Mart","Nisan","Mayıs","Haziran","Temmuz","Ağustos","Eylül","Ekim","Kasım","Aralık"},MONTH(B1940)))</f>
        <v/>
      </c>
      <c r="D1940" s="2"/>
      <c r="E1940" s="5" t="str">
        <f>IFERROR(INDEX('Malzeme Tanımlama'!$B$5:$B$300,MATCH(D1940,'Malzeme Tanımlama'!$A$5:$A$300,0)),"")</f>
        <v/>
      </c>
      <c r="F1940" s="2"/>
      <c r="G1940" s="5"/>
      <c r="H1940" s="5" t="str">
        <f>IFERROR(INDEX('Malzeme Tanımlama'!$D$5:$D$300,MATCH(D1940,'Malzeme Tanımlama'!$A$5:$A$300,0)),"")</f>
        <v/>
      </c>
      <c r="I1940" s="2"/>
      <c r="J1940" s="2"/>
      <c r="K1940" s="2"/>
    </row>
    <row r="1941" spans="1:11" x14ac:dyDescent="0.3">
      <c r="A1941" s="5" t="str">
        <f>IF(D1941="","",COUNTIF($D$5:D1941,"?*"))</f>
        <v/>
      </c>
      <c r="B1941" s="6"/>
      <c r="C1941" s="5" t="str">
        <f>IF(B1941="","",INDEX({"Ocak","Şubat","Mart","Nisan","Mayıs","Haziran","Temmuz","Ağustos","Eylül","Ekim","Kasım","Aralık"},MONTH(B1941)))</f>
        <v/>
      </c>
      <c r="D1941" s="2"/>
      <c r="E1941" s="5" t="str">
        <f>IFERROR(INDEX('Malzeme Tanımlama'!$B$5:$B$300,MATCH(D1941,'Malzeme Tanımlama'!$A$5:$A$300,0)),"")</f>
        <v/>
      </c>
      <c r="F1941" s="2"/>
      <c r="G1941" s="5"/>
      <c r="H1941" s="5" t="str">
        <f>IFERROR(INDEX('Malzeme Tanımlama'!$D$5:$D$300,MATCH(D1941,'Malzeme Tanımlama'!$A$5:$A$300,0)),"")</f>
        <v/>
      </c>
      <c r="I1941" s="2"/>
      <c r="J1941" s="2"/>
      <c r="K1941" s="2"/>
    </row>
    <row r="1942" spans="1:11" x14ac:dyDescent="0.3">
      <c r="A1942" s="5" t="str">
        <f>IF(D1942="","",COUNTIF($D$5:D1942,"?*"))</f>
        <v/>
      </c>
      <c r="B1942" s="6"/>
      <c r="C1942" s="5" t="str">
        <f>IF(B1942="","",INDEX({"Ocak","Şubat","Mart","Nisan","Mayıs","Haziran","Temmuz","Ağustos","Eylül","Ekim","Kasım","Aralık"},MONTH(B1942)))</f>
        <v/>
      </c>
      <c r="D1942" s="2"/>
      <c r="E1942" s="5" t="str">
        <f>IFERROR(INDEX('Malzeme Tanımlama'!$B$5:$B$300,MATCH(D1942,'Malzeme Tanımlama'!$A$5:$A$300,0)),"")</f>
        <v/>
      </c>
      <c r="F1942" s="2"/>
      <c r="G1942" s="5"/>
      <c r="H1942" s="5" t="str">
        <f>IFERROR(INDEX('Malzeme Tanımlama'!$D$5:$D$300,MATCH(D1942,'Malzeme Tanımlama'!$A$5:$A$300,0)),"")</f>
        <v/>
      </c>
      <c r="I1942" s="2"/>
      <c r="J1942" s="2"/>
      <c r="K1942" s="2"/>
    </row>
    <row r="1943" spans="1:11" x14ac:dyDescent="0.3">
      <c r="A1943" s="5" t="str">
        <f>IF(D1943="","",COUNTIF($D$5:D1943,"?*"))</f>
        <v/>
      </c>
      <c r="B1943" s="6"/>
      <c r="C1943" s="5" t="str">
        <f>IF(B1943="","",INDEX({"Ocak","Şubat","Mart","Nisan","Mayıs","Haziran","Temmuz","Ağustos","Eylül","Ekim","Kasım","Aralık"},MONTH(B1943)))</f>
        <v/>
      </c>
      <c r="D1943" s="2"/>
      <c r="E1943" s="5" t="str">
        <f>IFERROR(INDEX('Malzeme Tanımlama'!$B$5:$B$300,MATCH(D1943,'Malzeme Tanımlama'!$A$5:$A$300,0)),"")</f>
        <v/>
      </c>
      <c r="F1943" s="2"/>
      <c r="G1943" s="5"/>
      <c r="H1943" s="5" t="str">
        <f>IFERROR(INDEX('Malzeme Tanımlama'!$D$5:$D$300,MATCH(D1943,'Malzeme Tanımlama'!$A$5:$A$300,0)),"")</f>
        <v/>
      </c>
      <c r="I1943" s="2"/>
      <c r="J1943" s="2"/>
      <c r="K1943" s="2"/>
    </row>
    <row r="1944" spans="1:11" x14ac:dyDescent="0.3">
      <c r="A1944" s="5" t="str">
        <f>IF(D1944="","",COUNTIF($D$5:D1944,"?*"))</f>
        <v/>
      </c>
      <c r="B1944" s="6"/>
      <c r="C1944" s="5" t="str">
        <f>IF(B1944="","",INDEX({"Ocak","Şubat","Mart","Nisan","Mayıs","Haziran","Temmuz","Ağustos","Eylül","Ekim","Kasım","Aralık"},MONTH(B1944)))</f>
        <v/>
      </c>
      <c r="D1944" s="2"/>
      <c r="E1944" s="5" t="str">
        <f>IFERROR(INDEX('Malzeme Tanımlama'!$B$5:$B$300,MATCH(D1944,'Malzeme Tanımlama'!$A$5:$A$300,0)),"")</f>
        <v/>
      </c>
      <c r="F1944" s="2"/>
      <c r="G1944" s="5"/>
      <c r="H1944" s="5" t="str">
        <f>IFERROR(INDEX('Malzeme Tanımlama'!$D$5:$D$300,MATCH(D1944,'Malzeme Tanımlama'!$A$5:$A$300,0)),"")</f>
        <v/>
      </c>
      <c r="I1944" s="2"/>
      <c r="J1944" s="2"/>
      <c r="K1944" s="2"/>
    </row>
    <row r="1945" spans="1:11" x14ac:dyDescent="0.3">
      <c r="A1945" s="5" t="str">
        <f>IF(D1945="","",COUNTIF($D$5:D1945,"?*"))</f>
        <v/>
      </c>
      <c r="B1945" s="6"/>
      <c r="C1945" s="5" t="str">
        <f>IF(B1945="","",INDEX({"Ocak","Şubat","Mart","Nisan","Mayıs","Haziran","Temmuz","Ağustos","Eylül","Ekim","Kasım","Aralık"},MONTH(B1945)))</f>
        <v/>
      </c>
      <c r="D1945" s="2"/>
      <c r="E1945" s="5" t="str">
        <f>IFERROR(INDEX('Malzeme Tanımlama'!$B$5:$B$300,MATCH(D1945,'Malzeme Tanımlama'!$A$5:$A$300,0)),"")</f>
        <v/>
      </c>
      <c r="F1945" s="2"/>
      <c r="G1945" s="5"/>
      <c r="H1945" s="5" t="str">
        <f>IFERROR(INDEX('Malzeme Tanımlama'!$D$5:$D$300,MATCH(D1945,'Malzeme Tanımlama'!$A$5:$A$300,0)),"")</f>
        <v/>
      </c>
      <c r="I1945" s="2"/>
      <c r="J1945" s="2"/>
      <c r="K1945" s="2"/>
    </row>
    <row r="1946" spans="1:11" x14ac:dyDescent="0.3">
      <c r="A1946" s="5" t="str">
        <f>IF(D1946="","",COUNTIF($D$5:D1946,"?*"))</f>
        <v/>
      </c>
      <c r="B1946" s="6"/>
      <c r="C1946" s="5" t="str">
        <f>IF(B1946="","",INDEX({"Ocak","Şubat","Mart","Nisan","Mayıs","Haziran","Temmuz","Ağustos","Eylül","Ekim","Kasım","Aralık"},MONTH(B1946)))</f>
        <v/>
      </c>
      <c r="D1946" s="2"/>
      <c r="E1946" s="5" t="str">
        <f>IFERROR(INDEX('Malzeme Tanımlama'!$B$5:$B$300,MATCH(D1946,'Malzeme Tanımlama'!$A$5:$A$300,0)),"")</f>
        <v/>
      </c>
      <c r="F1946" s="2"/>
      <c r="G1946" s="5"/>
      <c r="H1946" s="5" t="str">
        <f>IFERROR(INDEX('Malzeme Tanımlama'!$D$5:$D$300,MATCH(D1946,'Malzeme Tanımlama'!$A$5:$A$300,0)),"")</f>
        <v/>
      </c>
      <c r="I1946" s="2"/>
      <c r="J1946" s="2"/>
      <c r="K1946" s="2"/>
    </row>
    <row r="1947" spans="1:11" x14ac:dyDescent="0.3">
      <c r="A1947" s="5" t="str">
        <f>IF(D1947="","",COUNTIF($D$5:D1947,"?*"))</f>
        <v/>
      </c>
      <c r="B1947" s="6"/>
      <c r="C1947" s="5" t="str">
        <f>IF(B1947="","",INDEX({"Ocak","Şubat","Mart","Nisan","Mayıs","Haziran","Temmuz","Ağustos","Eylül","Ekim","Kasım","Aralık"},MONTH(B1947)))</f>
        <v/>
      </c>
      <c r="D1947" s="2"/>
      <c r="E1947" s="5" t="str">
        <f>IFERROR(INDEX('Malzeme Tanımlama'!$B$5:$B$300,MATCH(D1947,'Malzeme Tanımlama'!$A$5:$A$300,0)),"")</f>
        <v/>
      </c>
      <c r="F1947" s="2"/>
      <c r="G1947" s="5"/>
      <c r="H1947" s="5" t="str">
        <f>IFERROR(INDEX('Malzeme Tanımlama'!$D$5:$D$300,MATCH(D1947,'Malzeme Tanımlama'!$A$5:$A$300,0)),"")</f>
        <v/>
      </c>
      <c r="I1947" s="2"/>
      <c r="J1947" s="2"/>
      <c r="K1947" s="2"/>
    </row>
    <row r="1948" spans="1:11" x14ac:dyDescent="0.3">
      <c r="A1948" s="5" t="str">
        <f>IF(D1948="","",COUNTIF($D$5:D1948,"?*"))</f>
        <v/>
      </c>
      <c r="B1948" s="6"/>
      <c r="C1948" s="5" t="str">
        <f>IF(B1948="","",INDEX({"Ocak","Şubat","Mart","Nisan","Mayıs","Haziran","Temmuz","Ağustos","Eylül","Ekim","Kasım","Aralık"},MONTH(B1948)))</f>
        <v/>
      </c>
      <c r="D1948" s="2"/>
      <c r="E1948" s="5" t="str">
        <f>IFERROR(INDEX('Malzeme Tanımlama'!$B$5:$B$300,MATCH(D1948,'Malzeme Tanımlama'!$A$5:$A$300,0)),"")</f>
        <v/>
      </c>
      <c r="F1948" s="2"/>
      <c r="G1948" s="5"/>
      <c r="H1948" s="5" t="str">
        <f>IFERROR(INDEX('Malzeme Tanımlama'!$D$5:$D$300,MATCH(D1948,'Malzeme Tanımlama'!$A$5:$A$300,0)),"")</f>
        <v/>
      </c>
      <c r="I1948" s="2"/>
      <c r="J1948" s="2"/>
      <c r="K1948" s="2"/>
    </row>
    <row r="1949" spans="1:11" x14ac:dyDescent="0.3">
      <c r="A1949" s="5" t="str">
        <f>IF(D1949="","",COUNTIF($D$5:D1949,"?*"))</f>
        <v/>
      </c>
      <c r="B1949" s="6"/>
      <c r="C1949" s="5" t="str">
        <f>IF(B1949="","",INDEX({"Ocak","Şubat","Mart","Nisan","Mayıs","Haziran","Temmuz","Ağustos","Eylül","Ekim","Kasım","Aralık"},MONTH(B1949)))</f>
        <v/>
      </c>
      <c r="D1949" s="2"/>
      <c r="E1949" s="5" t="str">
        <f>IFERROR(INDEX('Malzeme Tanımlama'!$B$5:$B$300,MATCH(D1949,'Malzeme Tanımlama'!$A$5:$A$300,0)),"")</f>
        <v/>
      </c>
      <c r="F1949" s="2"/>
      <c r="G1949" s="5"/>
      <c r="H1949" s="5" t="str">
        <f>IFERROR(INDEX('Malzeme Tanımlama'!$D$5:$D$300,MATCH(D1949,'Malzeme Tanımlama'!$A$5:$A$300,0)),"")</f>
        <v/>
      </c>
      <c r="I1949" s="2"/>
      <c r="J1949" s="2"/>
      <c r="K1949" s="2"/>
    </row>
    <row r="1950" spans="1:11" x14ac:dyDescent="0.3">
      <c r="A1950" s="5" t="str">
        <f>IF(D1950="","",COUNTIF($D$5:D1950,"?*"))</f>
        <v/>
      </c>
      <c r="B1950" s="6"/>
      <c r="C1950" s="5" t="str">
        <f>IF(B1950="","",INDEX({"Ocak","Şubat","Mart","Nisan","Mayıs","Haziran","Temmuz","Ağustos","Eylül","Ekim","Kasım","Aralık"},MONTH(B1950)))</f>
        <v/>
      </c>
      <c r="D1950" s="2"/>
      <c r="E1950" s="5" t="str">
        <f>IFERROR(INDEX('Malzeme Tanımlama'!$B$5:$B$300,MATCH(D1950,'Malzeme Tanımlama'!$A$5:$A$300,0)),"")</f>
        <v/>
      </c>
      <c r="F1950" s="2"/>
      <c r="G1950" s="5"/>
      <c r="H1950" s="5" t="str">
        <f>IFERROR(INDEX('Malzeme Tanımlama'!$D$5:$D$300,MATCH(D1950,'Malzeme Tanımlama'!$A$5:$A$300,0)),"")</f>
        <v/>
      </c>
      <c r="I1950" s="2"/>
      <c r="J1950" s="2"/>
      <c r="K1950" s="2"/>
    </row>
    <row r="1951" spans="1:11" x14ac:dyDescent="0.3">
      <c r="A1951" s="5" t="str">
        <f>IF(D1951="","",COUNTIF($D$5:D1951,"?*"))</f>
        <v/>
      </c>
      <c r="B1951" s="6"/>
      <c r="C1951" s="5" t="str">
        <f>IF(B1951="","",INDEX({"Ocak","Şubat","Mart","Nisan","Mayıs","Haziran","Temmuz","Ağustos","Eylül","Ekim","Kasım","Aralık"},MONTH(B1951)))</f>
        <v/>
      </c>
      <c r="D1951" s="2"/>
      <c r="E1951" s="5" t="str">
        <f>IFERROR(INDEX('Malzeme Tanımlama'!$B$5:$B$300,MATCH(D1951,'Malzeme Tanımlama'!$A$5:$A$300,0)),"")</f>
        <v/>
      </c>
      <c r="F1951" s="2"/>
      <c r="G1951" s="5"/>
      <c r="H1951" s="5" t="str">
        <f>IFERROR(INDEX('Malzeme Tanımlama'!$D$5:$D$300,MATCH(D1951,'Malzeme Tanımlama'!$A$5:$A$300,0)),"")</f>
        <v/>
      </c>
      <c r="I1951" s="2"/>
      <c r="J1951" s="2"/>
      <c r="K1951" s="2"/>
    </row>
    <row r="1952" spans="1:11" x14ac:dyDescent="0.3">
      <c r="A1952" s="5" t="str">
        <f>IF(D1952="","",COUNTIF($D$5:D1952,"?*"))</f>
        <v/>
      </c>
      <c r="B1952" s="6"/>
      <c r="C1952" s="5" t="str">
        <f>IF(B1952="","",INDEX({"Ocak","Şubat","Mart","Nisan","Mayıs","Haziran","Temmuz","Ağustos","Eylül","Ekim","Kasım","Aralık"},MONTH(B1952)))</f>
        <v/>
      </c>
      <c r="D1952" s="2"/>
      <c r="E1952" s="5" t="str">
        <f>IFERROR(INDEX('Malzeme Tanımlama'!$B$5:$B$300,MATCH(D1952,'Malzeme Tanımlama'!$A$5:$A$300,0)),"")</f>
        <v/>
      </c>
      <c r="F1952" s="2"/>
      <c r="G1952" s="5"/>
      <c r="H1952" s="5" t="str">
        <f>IFERROR(INDEX('Malzeme Tanımlama'!$D$5:$D$300,MATCH(D1952,'Malzeme Tanımlama'!$A$5:$A$300,0)),"")</f>
        <v/>
      </c>
      <c r="I1952" s="2"/>
      <c r="J1952" s="2"/>
      <c r="K1952" s="2"/>
    </row>
    <row r="1953" spans="1:11" x14ac:dyDescent="0.3">
      <c r="A1953" s="5" t="str">
        <f>IF(D1953="","",COUNTIF($D$5:D1953,"?*"))</f>
        <v/>
      </c>
      <c r="B1953" s="6"/>
      <c r="C1953" s="5" t="str">
        <f>IF(B1953="","",INDEX({"Ocak","Şubat","Mart","Nisan","Mayıs","Haziran","Temmuz","Ağustos","Eylül","Ekim","Kasım","Aralık"},MONTH(B1953)))</f>
        <v/>
      </c>
      <c r="D1953" s="2"/>
      <c r="E1953" s="5" t="str">
        <f>IFERROR(INDEX('Malzeme Tanımlama'!$B$5:$B$300,MATCH(D1953,'Malzeme Tanımlama'!$A$5:$A$300,0)),"")</f>
        <v/>
      </c>
      <c r="F1953" s="2"/>
      <c r="G1953" s="5"/>
      <c r="H1953" s="5" t="str">
        <f>IFERROR(INDEX('Malzeme Tanımlama'!$D$5:$D$300,MATCH(D1953,'Malzeme Tanımlama'!$A$5:$A$300,0)),"")</f>
        <v/>
      </c>
      <c r="I1953" s="2"/>
      <c r="J1953" s="2"/>
      <c r="K1953" s="2"/>
    </row>
    <row r="1954" spans="1:11" x14ac:dyDescent="0.3">
      <c r="A1954" s="5" t="str">
        <f>IF(D1954="","",COUNTIF($D$5:D1954,"?*"))</f>
        <v/>
      </c>
      <c r="B1954" s="6"/>
      <c r="C1954" s="5" t="str">
        <f>IF(B1954="","",INDEX({"Ocak","Şubat","Mart","Nisan","Mayıs","Haziran","Temmuz","Ağustos","Eylül","Ekim","Kasım","Aralık"},MONTH(B1954)))</f>
        <v/>
      </c>
      <c r="D1954" s="2"/>
      <c r="E1954" s="5" t="str">
        <f>IFERROR(INDEX('Malzeme Tanımlama'!$B$5:$B$300,MATCH(D1954,'Malzeme Tanımlama'!$A$5:$A$300,0)),"")</f>
        <v/>
      </c>
      <c r="F1954" s="2"/>
      <c r="G1954" s="5"/>
      <c r="H1954" s="5" t="str">
        <f>IFERROR(INDEX('Malzeme Tanımlama'!$D$5:$D$300,MATCH(D1954,'Malzeme Tanımlama'!$A$5:$A$300,0)),"")</f>
        <v/>
      </c>
      <c r="I1954" s="2"/>
      <c r="J1954" s="2"/>
      <c r="K1954" s="2"/>
    </row>
    <row r="1955" spans="1:11" x14ac:dyDescent="0.3">
      <c r="A1955" s="5" t="str">
        <f>IF(D1955="","",COUNTIF($D$5:D1955,"?*"))</f>
        <v/>
      </c>
      <c r="B1955" s="6"/>
      <c r="C1955" s="5" t="str">
        <f>IF(B1955="","",INDEX({"Ocak","Şubat","Mart","Nisan","Mayıs","Haziran","Temmuz","Ağustos","Eylül","Ekim","Kasım","Aralık"},MONTH(B1955)))</f>
        <v/>
      </c>
      <c r="D1955" s="2"/>
      <c r="E1955" s="5" t="str">
        <f>IFERROR(INDEX('Malzeme Tanımlama'!$B$5:$B$300,MATCH(D1955,'Malzeme Tanımlama'!$A$5:$A$300,0)),"")</f>
        <v/>
      </c>
      <c r="F1955" s="2"/>
      <c r="G1955" s="5"/>
      <c r="H1955" s="5" t="str">
        <f>IFERROR(INDEX('Malzeme Tanımlama'!$D$5:$D$300,MATCH(D1955,'Malzeme Tanımlama'!$A$5:$A$300,0)),"")</f>
        <v/>
      </c>
      <c r="I1955" s="2"/>
      <c r="J1955" s="2"/>
      <c r="K1955" s="2"/>
    </row>
    <row r="1956" spans="1:11" x14ac:dyDescent="0.3">
      <c r="A1956" s="5" t="str">
        <f>IF(D1956="","",COUNTIF($D$5:D1956,"?*"))</f>
        <v/>
      </c>
      <c r="B1956" s="6"/>
      <c r="C1956" s="5" t="str">
        <f>IF(B1956="","",INDEX({"Ocak","Şubat","Mart","Nisan","Mayıs","Haziran","Temmuz","Ağustos","Eylül","Ekim","Kasım","Aralık"},MONTH(B1956)))</f>
        <v/>
      </c>
      <c r="D1956" s="2"/>
      <c r="E1956" s="5" t="str">
        <f>IFERROR(INDEX('Malzeme Tanımlama'!$B$5:$B$300,MATCH(D1956,'Malzeme Tanımlama'!$A$5:$A$300,0)),"")</f>
        <v/>
      </c>
      <c r="F1956" s="2"/>
      <c r="G1956" s="5"/>
      <c r="H1956" s="5" t="str">
        <f>IFERROR(INDEX('Malzeme Tanımlama'!$D$5:$D$300,MATCH(D1956,'Malzeme Tanımlama'!$A$5:$A$300,0)),"")</f>
        <v/>
      </c>
      <c r="I1956" s="2"/>
      <c r="J1956" s="2"/>
      <c r="K1956" s="2"/>
    </row>
    <row r="1957" spans="1:11" x14ac:dyDescent="0.3">
      <c r="A1957" s="5" t="str">
        <f>IF(D1957="","",COUNTIF($D$5:D1957,"?*"))</f>
        <v/>
      </c>
      <c r="B1957" s="6"/>
      <c r="C1957" s="5" t="str">
        <f>IF(B1957="","",INDEX({"Ocak","Şubat","Mart","Nisan","Mayıs","Haziran","Temmuz","Ağustos","Eylül","Ekim","Kasım","Aralık"},MONTH(B1957)))</f>
        <v/>
      </c>
      <c r="D1957" s="2"/>
      <c r="E1957" s="5" t="str">
        <f>IFERROR(INDEX('Malzeme Tanımlama'!$B$5:$B$300,MATCH(D1957,'Malzeme Tanımlama'!$A$5:$A$300,0)),"")</f>
        <v/>
      </c>
      <c r="F1957" s="2"/>
      <c r="G1957" s="5"/>
      <c r="H1957" s="5" t="str">
        <f>IFERROR(INDEX('Malzeme Tanımlama'!$D$5:$D$300,MATCH(D1957,'Malzeme Tanımlama'!$A$5:$A$300,0)),"")</f>
        <v/>
      </c>
      <c r="I1957" s="2"/>
      <c r="J1957" s="2"/>
      <c r="K1957" s="2"/>
    </row>
    <row r="1958" spans="1:11" x14ac:dyDescent="0.3">
      <c r="A1958" s="5" t="str">
        <f>IF(D1958="","",COUNTIF($D$5:D1958,"?*"))</f>
        <v/>
      </c>
      <c r="B1958" s="6"/>
      <c r="C1958" s="5" t="str">
        <f>IF(B1958="","",INDEX({"Ocak","Şubat","Mart","Nisan","Mayıs","Haziran","Temmuz","Ağustos","Eylül","Ekim","Kasım","Aralık"},MONTH(B1958)))</f>
        <v/>
      </c>
      <c r="D1958" s="2"/>
      <c r="E1958" s="5" t="str">
        <f>IFERROR(INDEX('Malzeme Tanımlama'!$B$5:$B$300,MATCH(D1958,'Malzeme Tanımlama'!$A$5:$A$300,0)),"")</f>
        <v/>
      </c>
      <c r="F1958" s="2"/>
      <c r="G1958" s="5"/>
      <c r="H1958" s="5" t="str">
        <f>IFERROR(INDEX('Malzeme Tanımlama'!$D$5:$D$300,MATCH(D1958,'Malzeme Tanımlama'!$A$5:$A$300,0)),"")</f>
        <v/>
      </c>
      <c r="I1958" s="2"/>
      <c r="J1958" s="2"/>
      <c r="K1958" s="2"/>
    </row>
    <row r="1959" spans="1:11" x14ac:dyDescent="0.3">
      <c r="A1959" s="5" t="str">
        <f>IF(D1959="","",COUNTIF($D$5:D1959,"?*"))</f>
        <v/>
      </c>
      <c r="B1959" s="6"/>
      <c r="C1959" s="5" t="str">
        <f>IF(B1959="","",INDEX({"Ocak","Şubat","Mart","Nisan","Mayıs","Haziran","Temmuz","Ağustos","Eylül","Ekim","Kasım","Aralık"},MONTH(B1959)))</f>
        <v/>
      </c>
      <c r="D1959" s="2"/>
      <c r="E1959" s="5" t="str">
        <f>IFERROR(INDEX('Malzeme Tanımlama'!$B$5:$B$300,MATCH(D1959,'Malzeme Tanımlama'!$A$5:$A$300,0)),"")</f>
        <v/>
      </c>
      <c r="F1959" s="2"/>
      <c r="G1959" s="5"/>
      <c r="H1959" s="5" t="str">
        <f>IFERROR(INDEX('Malzeme Tanımlama'!$D$5:$D$300,MATCH(D1959,'Malzeme Tanımlama'!$A$5:$A$300,0)),"")</f>
        <v/>
      </c>
      <c r="I1959" s="2"/>
      <c r="J1959" s="2"/>
      <c r="K1959" s="2"/>
    </row>
    <row r="1960" spans="1:11" x14ac:dyDescent="0.3">
      <c r="A1960" s="5" t="str">
        <f>IF(D1960="","",COUNTIF($D$5:D1960,"?*"))</f>
        <v/>
      </c>
      <c r="B1960" s="6"/>
      <c r="C1960" s="5" t="str">
        <f>IF(B1960="","",INDEX({"Ocak","Şubat","Mart","Nisan","Mayıs","Haziran","Temmuz","Ağustos","Eylül","Ekim","Kasım","Aralık"},MONTH(B1960)))</f>
        <v/>
      </c>
      <c r="D1960" s="2"/>
      <c r="E1960" s="5" t="str">
        <f>IFERROR(INDEX('Malzeme Tanımlama'!$B$5:$B$300,MATCH(D1960,'Malzeme Tanımlama'!$A$5:$A$300,0)),"")</f>
        <v/>
      </c>
      <c r="F1960" s="2"/>
      <c r="G1960" s="5"/>
      <c r="H1960" s="5" t="str">
        <f>IFERROR(INDEX('Malzeme Tanımlama'!$D$5:$D$300,MATCH(D1960,'Malzeme Tanımlama'!$A$5:$A$300,0)),"")</f>
        <v/>
      </c>
      <c r="I1960" s="2"/>
      <c r="J1960" s="2"/>
      <c r="K1960" s="2"/>
    </row>
    <row r="1961" spans="1:11" x14ac:dyDescent="0.3">
      <c r="A1961" s="5" t="str">
        <f>IF(D1961="","",COUNTIF($D$5:D1961,"?*"))</f>
        <v/>
      </c>
      <c r="B1961" s="6"/>
      <c r="C1961" s="5" t="str">
        <f>IF(B1961="","",INDEX({"Ocak","Şubat","Mart","Nisan","Mayıs","Haziran","Temmuz","Ağustos","Eylül","Ekim","Kasım","Aralık"},MONTH(B1961)))</f>
        <v/>
      </c>
      <c r="D1961" s="2"/>
      <c r="E1961" s="5" t="str">
        <f>IFERROR(INDEX('Malzeme Tanımlama'!$B$5:$B$300,MATCH(D1961,'Malzeme Tanımlama'!$A$5:$A$300,0)),"")</f>
        <v/>
      </c>
      <c r="F1961" s="2"/>
      <c r="G1961" s="5"/>
      <c r="H1961" s="5" t="str">
        <f>IFERROR(INDEX('Malzeme Tanımlama'!$D$5:$D$300,MATCH(D1961,'Malzeme Tanımlama'!$A$5:$A$300,0)),"")</f>
        <v/>
      </c>
      <c r="I1961" s="2"/>
      <c r="J1961" s="2"/>
      <c r="K1961" s="2"/>
    </row>
    <row r="1962" spans="1:11" x14ac:dyDescent="0.3">
      <c r="A1962" s="5" t="str">
        <f>IF(D1962="","",COUNTIF($D$5:D1962,"?*"))</f>
        <v/>
      </c>
      <c r="B1962" s="6"/>
      <c r="C1962" s="5" t="str">
        <f>IF(B1962="","",INDEX({"Ocak","Şubat","Mart","Nisan","Mayıs","Haziran","Temmuz","Ağustos","Eylül","Ekim","Kasım","Aralık"},MONTH(B1962)))</f>
        <v/>
      </c>
      <c r="D1962" s="2"/>
      <c r="E1962" s="5" t="str">
        <f>IFERROR(INDEX('Malzeme Tanımlama'!$B$5:$B$300,MATCH(D1962,'Malzeme Tanımlama'!$A$5:$A$300,0)),"")</f>
        <v/>
      </c>
      <c r="F1962" s="2"/>
      <c r="G1962" s="5"/>
      <c r="H1962" s="5" t="str">
        <f>IFERROR(INDEX('Malzeme Tanımlama'!$D$5:$D$300,MATCH(D1962,'Malzeme Tanımlama'!$A$5:$A$300,0)),"")</f>
        <v/>
      </c>
      <c r="I1962" s="2"/>
      <c r="J1962" s="2"/>
      <c r="K1962" s="2"/>
    </row>
    <row r="1963" spans="1:11" x14ac:dyDescent="0.3">
      <c r="A1963" s="5" t="str">
        <f>IF(D1963="","",COUNTIF($D$5:D1963,"?*"))</f>
        <v/>
      </c>
      <c r="B1963" s="6"/>
      <c r="C1963" s="5" t="str">
        <f>IF(B1963="","",INDEX({"Ocak","Şubat","Mart","Nisan","Mayıs","Haziran","Temmuz","Ağustos","Eylül","Ekim","Kasım","Aralık"},MONTH(B1963)))</f>
        <v/>
      </c>
      <c r="D1963" s="2"/>
      <c r="E1963" s="5" t="str">
        <f>IFERROR(INDEX('Malzeme Tanımlama'!$B$5:$B$300,MATCH(D1963,'Malzeme Tanımlama'!$A$5:$A$300,0)),"")</f>
        <v/>
      </c>
      <c r="F1963" s="2"/>
      <c r="G1963" s="5"/>
      <c r="H1963" s="5" t="str">
        <f>IFERROR(INDEX('Malzeme Tanımlama'!$D$5:$D$300,MATCH(D1963,'Malzeme Tanımlama'!$A$5:$A$300,0)),"")</f>
        <v/>
      </c>
      <c r="I1963" s="2"/>
      <c r="J1963" s="2"/>
      <c r="K1963" s="2"/>
    </row>
    <row r="1964" spans="1:11" x14ac:dyDescent="0.3">
      <c r="A1964" s="5" t="str">
        <f>IF(D1964="","",COUNTIF($D$5:D1964,"?*"))</f>
        <v/>
      </c>
      <c r="B1964" s="6"/>
      <c r="C1964" s="5" t="str">
        <f>IF(B1964="","",INDEX({"Ocak","Şubat","Mart","Nisan","Mayıs","Haziran","Temmuz","Ağustos","Eylül","Ekim","Kasım","Aralık"},MONTH(B1964)))</f>
        <v/>
      </c>
      <c r="D1964" s="2"/>
      <c r="E1964" s="5" t="str">
        <f>IFERROR(INDEX('Malzeme Tanımlama'!$B$5:$B$300,MATCH(D1964,'Malzeme Tanımlama'!$A$5:$A$300,0)),"")</f>
        <v/>
      </c>
      <c r="F1964" s="2"/>
      <c r="G1964" s="5"/>
      <c r="H1964" s="5" t="str">
        <f>IFERROR(INDEX('Malzeme Tanımlama'!$D$5:$D$300,MATCH(D1964,'Malzeme Tanımlama'!$A$5:$A$300,0)),"")</f>
        <v/>
      </c>
      <c r="I1964" s="2"/>
      <c r="J1964" s="2"/>
      <c r="K1964" s="2"/>
    </row>
    <row r="1965" spans="1:11" x14ac:dyDescent="0.3">
      <c r="A1965" s="5" t="str">
        <f>IF(D1965="","",COUNTIF($D$5:D1965,"?*"))</f>
        <v/>
      </c>
      <c r="B1965" s="6"/>
      <c r="C1965" s="5" t="str">
        <f>IF(B1965="","",INDEX({"Ocak","Şubat","Mart","Nisan","Mayıs","Haziran","Temmuz","Ağustos","Eylül","Ekim","Kasım","Aralık"},MONTH(B1965)))</f>
        <v/>
      </c>
      <c r="D1965" s="2"/>
      <c r="E1965" s="5" t="str">
        <f>IFERROR(INDEX('Malzeme Tanımlama'!$B$5:$B$300,MATCH(D1965,'Malzeme Tanımlama'!$A$5:$A$300,0)),"")</f>
        <v/>
      </c>
      <c r="F1965" s="2"/>
      <c r="G1965" s="5"/>
      <c r="H1965" s="5" t="str">
        <f>IFERROR(INDEX('Malzeme Tanımlama'!$D$5:$D$300,MATCH(D1965,'Malzeme Tanımlama'!$A$5:$A$300,0)),"")</f>
        <v/>
      </c>
      <c r="I1965" s="2"/>
      <c r="J1965" s="2"/>
      <c r="K1965" s="2"/>
    </row>
    <row r="1966" spans="1:11" x14ac:dyDescent="0.3">
      <c r="A1966" s="5" t="str">
        <f>IF(D1966="","",COUNTIF($D$5:D1966,"?*"))</f>
        <v/>
      </c>
      <c r="B1966" s="6"/>
      <c r="C1966" s="5" t="str">
        <f>IF(B1966="","",INDEX({"Ocak","Şubat","Mart","Nisan","Mayıs","Haziran","Temmuz","Ağustos","Eylül","Ekim","Kasım","Aralık"},MONTH(B1966)))</f>
        <v/>
      </c>
      <c r="D1966" s="2"/>
      <c r="E1966" s="5" t="str">
        <f>IFERROR(INDEX('Malzeme Tanımlama'!$B$5:$B$300,MATCH(D1966,'Malzeme Tanımlama'!$A$5:$A$300,0)),"")</f>
        <v/>
      </c>
      <c r="F1966" s="2"/>
      <c r="G1966" s="5"/>
      <c r="H1966" s="5" t="str">
        <f>IFERROR(INDEX('Malzeme Tanımlama'!$D$5:$D$300,MATCH(D1966,'Malzeme Tanımlama'!$A$5:$A$300,0)),"")</f>
        <v/>
      </c>
      <c r="I1966" s="2"/>
      <c r="J1966" s="2"/>
      <c r="K1966" s="2"/>
    </row>
    <row r="1967" spans="1:11" x14ac:dyDescent="0.3">
      <c r="A1967" s="5" t="str">
        <f>IF(D1967="","",COUNTIF($D$5:D1967,"?*"))</f>
        <v/>
      </c>
      <c r="B1967" s="6"/>
      <c r="C1967" s="5" t="str">
        <f>IF(B1967="","",INDEX({"Ocak","Şubat","Mart","Nisan","Mayıs","Haziran","Temmuz","Ağustos","Eylül","Ekim","Kasım","Aralık"},MONTH(B1967)))</f>
        <v/>
      </c>
      <c r="D1967" s="2"/>
      <c r="E1967" s="5" t="str">
        <f>IFERROR(INDEX('Malzeme Tanımlama'!$B$5:$B$300,MATCH(D1967,'Malzeme Tanımlama'!$A$5:$A$300,0)),"")</f>
        <v/>
      </c>
      <c r="F1967" s="2"/>
      <c r="G1967" s="5"/>
      <c r="H1967" s="5" t="str">
        <f>IFERROR(INDEX('Malzeme Tanımlama'!$D$5:$D$300,MATCH(D1967,'Malzeme Tanımlama'!$A$5:$A$300,0)),"")</f>
        <v/>
      </c>
      <c r="I1967" s="2"/>
      <c r="J1967" s="2"/>
      <c r="K1967" s="2"/>
    </row>
    <row r="1968" spans="1:11" x14ac:dyDescent="0.3">
      <c r="A1968" s="5" t="str">
        <f>IF(D1968="","",COUNTIF($D$5:D1968,"?*"))</f>
        <v/>
      </c>
      <c r="B1968" s="6"/>
      <c r="C1968" s="5" t="str">
        <f>IF(B1968="","",INDEX({"Ocak","Şubat","Mart","Nisan","Mayıs","Haziran","Temmuz","Ağustos","Eylül","Ekim","Kasım","Aralık"},MONTH(B1968)))</f>
        <v/>
      </c>
      <c r="D1968" s="2"/>
      <c r="E1968" s="5" t="str">
        <f>IFERROR(INDEX('Malzeme Tanımlama'!$B$5:$B$300,MATCH(D1968,'Malzeme Tanımlama'!$A$5:$A$300,0)),"")</f>
        <v/>
      </c>
      <c r="F1968" s="2"/>
      <c r="G1968" s="5"/>
      <c r="H1968" s="5" t="str">
        <f>IFERROR(INDEX('Malzeme Tanımlama'!$D$5:$D$300,MATCH(D1968,'Malzeme Tanımlama'!$A$5:$A$300,0)),"")</f>
        <v/>
      </c>
      <c r="I1968" s="2"/>
      <c r="J1968" s="2"/>
      <c r="K1968" s="2"/>
    </row>
    <row r="1969" spans="1:11" x14ac:dyDescent="0.3">
      <c r="A1969" s="5" t="str">
        <f>IF(D1969="","",COUNTIF($D$5:D1969,"?*"))</f>
        <v/>
      </c>
      <c r="B1969" s="6"/>
      <c r="C1969" s="5" t="str">
        <f>IF(B1969="","",INDEX({"Ocak","Şubat","Mart","Nisan","Mayıs","Haziran","Temmuz","Ağustos","Eylül","Ekim","Kasım","Aralık"},MONTH(B1969)))</f>
        <v/>
      </c>
      <c r="D1969" s="2"/>
      <c r="E1969" s="5" t="str">
        <f>IFERROR(INDEX('Malzeme Tanımlama'!$B$5:$B$300,MATCH(D1969,'Malzeme Tanımlama'!$A$5:$A$300,0)),"")</f>
        <v/>
      </c>
      <c r="F1969" s="2"/>
      <c r="G1969" s="5"/>
      <c r="H1969" s="5" t="str">
        <f>IFERROR(INDEX('Malzeme Tanımlama'!$D$5:$D$300,MATCH(D1969,'Malzeme Tanımlama'!$A$5:$A$300,0)),"")</f>
        <v/>
      </c>
      <c r="I1969" s="2"/>
      <c r="J1969" s="2"/>
      <c r="K1969" s="2"/>
    </row>
    <row r="1970" spans="1:11" x14ac:dyDescent="0.3">
      <c r="A1970" s="5" t="str">
        <f>IF(D1970="","",COUNTIF($D$5:D1970,"?*"))</f>
        <v/>
      </c>
      <c r="B1970" s="6"/>
      <c r="C1970" s="5" t="str">
        <f>IF(B1970="","",INDEX({"Ocak","Şubat","Mart","Nisan","Mayıs","Haziran","Temmuz","Ağustos","Eylül","Ekim","Kasım","Aralık"},MONTH(B1970)))</f>
        <v/>
      </c>
      <c r="D1970" s="2"/>
      <c r="E1970" s="5" t="str">
        <f>IFERROR(INDEX('Malzeme Tanımlama'!$B$5:$B$300,MATCH(D1970,'Malzeme Tanımlama'!$A$5:$A$300,0)),"")</f>
        <v/>
      </c>
      <c r="F1970" s="2"/>
      <c r="G1970" s="5"/>
      <c r="H1970" s="5" t="str">
        <f>IFERROR(INDEX('Malzeme Tanımlama'!$D$5:$D$300,MATCH(D1970,'Malzeme Tanımlama'!$A$5:$A$300,0)),"")</f>
        <v/>
      </c>
      <c r="I1970" s="2"/>
      <c r="J1970" s="2"/>
      <c r="K1970" s="2"/>
    </row>
    <row r="1971" spans="1:11" x14ac:dyDescent="0.3">
      <c r="A1971" s="5" t="str">
        <f>IF(D1971="","",COUNTIF($D$5:D1971,"?*"))</f>
        <v/>
      </c>
      <c r="B1971" s="6"/>
      <c r="C1971" s="5" t="str">
        <f>IF(B1971="","",INDEX({"Ocak","Şubat","Mart","Nisan","Mayıs","Haziran","Temmuz","Ağustos","Eylül","Ekim","Kasım","Aralık"},MONTH(B1971)))</f>
        <v/>
      </c>
      <c r="D1971" s="2"/>
      <c r="E1971" s="5" t="str">
        <f>IFERROR(INDEX('Malzeme Tanımlama'!$B$5:$B$300,MATCH(D1971,'Malzeme Tanımlama'!$A$5:$A$300,0)),"")</f>
        <v/>
      </c>
      <c r="F1971" s="2"/>
      <c r="G1971" s="5"/>
      <c r="H1971" s="5" t="str">
        <f>IFERROR(INDEX('Malzeme Tanımlama'!$D$5:$D$300,MATCH(D1971,'Malzeme Tanımlama'!$A$5:$A$300,0)),"")</f>
        <v/>
      </c>
      <c r="I1971" s="2"/>
      <c r="J1971" s="2"/>
      <c r="K1971" s="2"/>
    </row>
    <row r="1972" spans="1:11" x14ac:dyDescent="0.3">
      <c r="A1972" s="5" t="str">
        <f>IF(D1972="","",COUNTIF($D$5:D1972,"?*"))</f>
        <v/>
      </c>
      <c r="B1972" s="6"/>
      <c r="C1972" s="5" t="str">
        <f>IF(B1972="","",INDEX({"Ocak","Şubat","Mart","Nisan","Mayıs","Haziran","Temmuz","Ağustos","Eylül","Ekim","Kasım","Aralık"},MONTH(B1972)))</f>
        <v/>
      </c>
      <c r="D1972" s="2"/>
      <c r="E1972" s="5" t="str">
        <f>IFERROR(INDEX('Malzeme Tanımlama'!$B$5:$B$300,MATCH(D1972,'Malzeme Tanımlama'!$A$5:$A$300,0)),"")</f>
        <v/>
      </c>
      <c r="F1972" s="2"/>
      <c r="G1972" s="5"/>
      <c r="H1972" s="5" t="str">
        <f>IFERROR(INDEX('Malzeme Tanımlama'!$D$5:$D$300,MATCH(D1972,'Malzeme Tanımlama'!$A$5:$A$300,0)),"")</f>
        <v/>
      </c>
      <c r="I1972" s="2"/>
      <c r="J1972" s="2"/>
      <c r="K1972" s="2"/>
    </row>
    <row r="1973" spans="1:11" x14ac:dyDescent="0.3">
      <c r="A1973" s="5" t="str">
        <f>IF(D1973="","",COUNTIF($D$5:D1973,"?*"))</f>
        <v/>
      </c>
      <c r="B1973" s="6"/>
      <c r="C1973" s="5" t="str">
        <f>IF(B1973="","",INDEX({"Ocak","Şubat","Mart","Nisan","Mayıs","Haziran","Temmuz","Ağustos","Eylül","Ekim","Kasım","Aralık"},MONTH(B1973)))</f>
        <v/>
      </c>
      <c r="D1973" s="2"/>
      <c r="E1973" s="5" t="str">
        <f>IFERROR(INDEX('Malzeme Tanımlama'!$B$5:$B$300,MATCH(D1973,'Malzeme Tanımlama'!$A$5:$A$300,0)),"")</f>
        <v/>
      </c>
      <c r="F1973" s="2"/>
      <c r="G1973" s="5"/>
      <c r="H1973" s="5" t="str">
        <f>IFERROR(INDEX('Malzeme Tanımlama'!$D$5:$D$300,MATCH(D1973,'Malzeme Tanımlama'!$A$5:$A$300,0)),"")</f>
        <v/>
      </c>
      <c r="I1973" s="2"/>
      <c r="J1973" s="2"/>
      <c r="K1973" s="2"/>
    </row>
    <row r="1974" spans="1:11" x14ac:dyDescent="0.3">
      <c r="A1974" s="5" t="str">
        <f>IF(D1974="","",COUNTIF($D$5:D1974,"?*"))</f>
        <v/>
      </c>
      <c r="B1974" s="6"/>
      <c r="C1974" s="5" t="str">
        <f>IF(B1974="","",INDEX({"Ocak","Şubat","Mart","Nisan","Mayıs","Haziran","Temmuz","Ağustos","Eylül","Ekim","Kasım","Aralık"},MONTH(B1974)))</f>
        <v/>
      </c>
      <c r="D1974" s="2"/>
      <c r="E1974" s="5" t="str">
        <f>IFERROR(INDEX('Malzeme Tanımlama'!$B$5:$B$300,MATCH(D1974,'Malzeme Tanımlama'!$A$5:$A$300,0)),"")</f>
        <v/>
      </c>
      <c r="F1974" s="2"/>
      <c r="G1974" s="5"/>
      <c r="H1974" s="5" t="str">
        <f>IFERROR(INDEX('Malzeme Tanımlama'!$D$5:$D$300,MATCH(D1974,'Malzeme Tanımlama'!$A$5:$A$300,0)),"")</f>
        <v/>
      </c>
      <c r="I1974" s="2"/>
      <c r="J1974" s="2"/>
      <c r="K1974" s="2"/>
    </row>
    <row r="1975" spans="1:11" x14ac:dyDescent="0.3">
      <c r="A1975" s="5" t="str">
        <f>IF(D1975="","",COUNTIF($D$5:D1975,"?*"))</f>
        <v/>
      </c>
      <c r="B1975" s="6"/>
      <c r="C1975" s="5" t="str">
        <f>IF(B1975="","",INDEX({"Ocak","Şubat","Mart","Nisan","Mayıs","Haziran","Temmuz","Ağustos","Eylül","Ekim","Kasım","Aralık"},MONTH(B1975)))</f>
        <v/>
      </c>
      <c r="D1975" s="2"/>
      <c r="E1975" s="5" t="str">
        <f>IFERROR(INDEX('Malzeme Tanımlama'!$B$5:$B$300,MATCH(D1975,'Malzeme Tanımlama'!$A$5:$A$300,0)),"")</f>
        <v/>
      </c>
      <c r="F1975" s="2"/>
      <c r="G1975" s="5"/>
      <c r="H1975" s="5" t="str">
        <f>IFERROR(INDEX('Malzeme Tanımlama'!$D$5:$D$300,MATCH(D1975,'Malzeme Tanımlama'!$A$5:$A$300,0)),"")</f>
        <v/>
      </c>
      <c r="I1975" s="2"/>
      <c r="J1975" s="2"/>
      <c r="K1975" s="2"/>
    </row>
    <row r="1976" spans="1:11" x14ac:dyDescent="0.3">
      <c r="A1976" s="5" t="str">
        <f>IF(D1976="","",COUNTIF($D$5:D1976,"?*"))</f>
        <v/>
      </c>
      <c r="B1976" s="6"/>
      <c r="C1976" s="5" t="str">
        <f>IF(B1976="","",INDEX({"Ocak","Şubat","Mart","Nisan","Mayıs","Haziran","Temmuz","Ağustos","Eylül","Ekim","Kasım","Aralık"},MONTH(B1976)))</f>
        <v/>
      </c>
      <c r="D1976" s="2"/>
      <c r="E1976" s="5" t="str">
        <f>IFERROR(INDEX('Malzeme Tanımlama'!$B$5:$B$300,MATCH(D1976,'Malzeme Tanımlama'!$A$5:$A$300,0)),"")</f>
        <v/>
      </c>
      <c r="F1976" s="2"/>
      <c r="G1976" s="5"/>
      <c r="H1976" s="5" t="str">
        <f>IFERROR(INDEX('Malzeme Tanımlama'!$D$5:$D$300,MATCH(D1976,'Malzeme Tanımlama'!$A$5:$A$300,0)),"")</f>
        <v/>
      </c>
      <c r="I1976" s="2"/>
      <c r="J1976" s="2"/>
      <c r="K1976" s="2"/>
    </row>
    <row r="1977" spans="1:11" x14ac:dyDescent="0.3">
      <c r="A1977" s="5" t="str">
        <f>IF(D1977="","",COUNTIF($D$5:D1977,"?*"))</f>
        <v/>
      </c>
      <c r="B1977" s="6"/>
      <c r="C1977" s="5" t="str">
        <f>IF(B1977="","",INDEX({"Ocak","Şubat","Mart","Nisan","Mayıs","Haziran","Temmuz","Ağustos","Eylül","Ekim","Kasım","Aralık"},MONTH(B1977)))</f>
        <v/>
      </c>
      <c r="D1977" s="2"/>
      <c r="E1977" s="5" t="str">
        <f>IFERROR(INDEX('Malzeme Tanımlama'!$B$5:$B$300,MATCH(D1977,'Malzeme Tanımlama'!$A$5:$A$300,0)),"")</f>
        <v/>
      </c>
      <c r="F1977" s="2"/>
      <c r="G1977" s="5"/>
      <c r="H1977" s="5" t="str">
        <f>IFERROR(INDEX('Malzeme Tanımlama'!$D$5:$D$300,MATCH(D1977,'Malzeme Tanımlama'!$A$5:$A$300,0)),"")</f>
        <v/>
      </c>
      <c r="I1977" s="2"/>
      <c r="J1977" s="2"/>
      <c r="K1977" s="2"/>
    </row>
    <row r="1978" spans="1:11" x14ac:dyDescent="0.3">
      <c r="A1978" s="5" t="str">
        <f>IF(D1978="","",COUNTIF($D$5:D1978,"?*"))</f>
        <v/>
      </c>
      <c r="B1978" s="6"/>
      <c r="C1978" s="5" t="str">
        <f>IF(B1978="","",INDEX({"Ocak","Şubat","Mart","Nisan","Mayıs","Haziran","Temmuz","Ağustos","Eylül","Ekim","Kasım","Aralık"},MONTH(B1978)))</f>
        <v/>
      </c>
      <c r="D1978" s="2"/>
      <c r="E1978" s="5" t="str">
        <f>IFERROR(INDEX('Malzeme Tanımlama'!$B$5:$B$300,MATCH(D1978,'Malzeme Tanımlama'!$A$5:$A$300,0)),"")</f>
        <v/>
      </c>
      <c r="F1978" s="2"/>
      <c r="G1978" s="5"/>
      <c r="H1978" s="5" t="str">
        <f>IFERROR(INDEX('Malzeme Tanımlama'!$D$5:$D$300,MATCH(D1978,'Malzeme Tanımlama'!$A$5:$A$300,0)),"")</f>
        <v/>
      </c>
      <c r="I1978" s="2"/>
      <c r="J1978" s="2"/>
      <c r="K1978" s="2"/>
    </row>
    <row r="1979" spans="1:11" x14ac:dyDescent="0.3">
      <c r="A1979" s="5" t="str">
        <f>IF(D1979="","",COUNTIF($D$5:D1979,"?*"))</f>
        <v/>
      </c>
      <c r="B1979" s="6"/>
      <c r="C1979" s="5" t="str">
        <f>IF(B1979="","",INDEX({"Ocak","Şubat","Mart","Nisan","Mayıs","Haziran","Temmuz","Ağustos","Eylül","Ekim","Kasım","Aralık"},MONTH(B1979)))</f>
        <v/>
      </c>
      <c r="D1979" s="2"/>
      <c r="E1979" s="5" t="str">
        <f>IFERROR(INDEX('Malzeme Tanımlama'!$B$5:$B$300,MATCH(D1979,'Malzeme Tanımlama'!$A$5:$A$300,0)),"")</f>
        <v/>
      </c>
      <c r="F1979" s="2"/>
      <c r="G1979" s="5"/>
      <c r="H1979" s="5" t="str">
        <f>IFERROR(INDEX('Malzeme Tanımlama'!$D$5:$D$300,MATCH(D1979,'Malzeme Tanımlama'!$A$5:$A$300,0)),"")</f>
        <v/>
      </c>
      <c r="I1979" s="2"/>
      <c r="J1979" s="2"/>
      <c r="K1979" s="2"/>
    </row>
    <row r="1980" spans="1:11" x14ac:dyDescent="0.3">
      <c r="A1980" s="5" t="str">
        <f>IF(D1980="","",COUNTIF($D$5:D1980,"?*"))</f>
        <v/>
      </c>
      <c r="B1980" s="6"/>
      <c r="C1980" s="5" t="str">
        <f>IF(B1980="","",INDEX({"Ocak","Şubat","Mart","Nisan","Mayıs","Haziran","Temmuz","Ağustos","Eylül","Ekim","Kasım","Aralık"},MONTH(B1980)))</f>
        <v/>
      </c>
      <c r="D1980" s="2"/>
      <c r="E1980" s="5" t="str">
        <f>IFERROR(INDEX('Malzeme Tanımlama'!$B$5:$B$300,MATCH(D1980,'Malzeme Tanımlama'!$A$5:$A$300,0)),"")</f>
        <v/>
      </c>
      <c r="F1980" s="2"/>
      <c r="G1980" s="5"/>
      <c r="H1980" s="5" t="str">
        <f>IFERROR(INDEX('Malzeme Tanımlama'!$D$5:$D$300,MATCH(D1980,'Malzeme Tanımlama'!$A$5:$A$300,0)),"")</f>
        <v/>
      </c>
      <c r="I1980" s="2"/>
      <c r="J1980" s="2"/>
      <c r="K1980" s="2"/>
    </row>
    <row r="1981" spans="1:11" x14ac:dyDescent="0.3">
      <c r="A1981" s="5" t="str">
        <f>IF(D1981="","",COUNTIF($D$5:D1981,"?*"))</f>
        <v/>
      </c>
      <c r="B1981" s="6"/>
      <c r="C1981" s="5" t="str">
        <f>IF(B1981="","",INDEX({"Ocak","Şubat","Mart","Nisan","Mayıs","Haziran","Temmuz","Ağustos","Eylül","Ekim","Kasım","Aralık"},MONTH(B1981)))</f>
        <v/>
      </c>
      <c r="D1981" s="2"/>
      <c r="E1981" s="5" t="str">
        <f>IFERROR(INDEX('Malzeme Tanımlama'!$B$5:$B$300,MATCH(D1981,'Malzeme Tanımlama'!$A$5:$A$300,0)),"")</f>
        <v/>
      </c>
      <c r="F1981" s="2"/>
      <c r="G1981" s="5"/>
      <c r="H1981" s="5" t="str">
        <f>IFERROR(INDEX('Malzeme Tanımlama'!$D$5:$D$300,MATCH(D1981,'Malzeme Tanımlama'!$A$5:$A$300,0)),"")</f>
        <v/>
      </c>
      <c r="I1981" s="2"/>
      <c r="J1981" s="2"/>
      <c r="K1981" s="2"/>
    </row>
    <row r="1982" spans="1:11" x14ac:dyDescent="0.3">
      <c r="A1982" s="5" t="str">
        <f>IF(D1982="","",COUNTIF($D$5:D1982,"?*"))</f>
        <v/>
      </c>
      <c r="B1982" s="6"/>
      <c r="C1982" s="5" t="str">
        <f>IF(B1982="","",INDEX({"Ocak","Şubat","Mart","Nisan","Mayıs","Haziran","Temmuz","Ağustos","Eylül","Ekim","Kasım","Aralık"},MONTH(B1982)))</f>
        <v/>
      </c>
      <c r="D1982" s="2"/>
      <c r="E1982" s="5" t="str">
        <f>IFERROR(INDEX('Malzeme Tanımlama'!$B$5:$B$300,MATCH(D1982,'Malzeme Tanımlama'!$A$5:$A$300,0)),"")</f>
        <v/>
      </c>
      <c r="F1982" s="2"/>
      <c r="G1982" s="5"/>
      <c r="H1982" s="5" t="str">
        <f>IFERROR(INDEX('Malzeme Tanımlama'!$D$5:$D$300,MATCH(D1982,'Malzeme Tanımlama'!$A$5:$A$300,0)),"")</f>
        <v/>
      </c>
      <c r="I1982" s="2"/>
      <c r="J1982" s="2"/>
      <c r="K1982" s="2"/>
    </row>
    <row r="1983" spans="1:11" x14ac:dyDescent="0.3">
      <c r="A1983" s="5" t="str">
        <f>IF(D1983="","",COUNTIF($D$5:D1983,"?*"))</f>
        <v/>
      </c>
      <c r="B1983" s="6"/>
      <c r="C1983" s="5" t="str">
        <f>IF(B1983="","",INDEX({"Ocak","Şubat","Mart","Nisan","Mayıs","Haziran","Temmuz","Ağustos","Eylül","Ekim","Kasım","Aralık"},MONTH(B1983)))</f>
        <v/>
      </c>
      <c r="D1983" s="2"/>
      <c r="E1983" s="5" t="str">
        <f>IFERROR(INDEX('Malzeme Tanımlama'!$B$5:$B$300,MATCH(D1983,'Malzeme Tanımlama'!$A$5:$A$300,0)),"")</f>
        <v/>
      </c>
      <c r="F1983" s="2"/>
      <c r="G1983" s="5"/>
      <c r="H1983" s="5" t="str">
        <f>IFERROR(INDEX('Malzeme Tanımlama'!$D$5:$D$300,MATCH(D1983,'Malzeme Tanımlama'!$A$5:$A$300,0)),"")</f>
        <v/>
      </c>
      <c r="I1983" s="2"/>
      <c r="J1983" s="2"/>
      <c r="K1983" s="2"/>
    </row>
    <row r="1984" spans="1:11" x14ac:dyDescent="0.3">
      <c r="A1984" s="5" t="str">
        <f>IF(D1984="","",COUNTIF($D$5:D1984,"?*"))</f>
        <v/>
      </c>
      <c r="B1984" s="6"/>
      <c r="C1984" s="5" t="str">
        <f>IF(B1984="","",INDEX({"Ocak","Şubat","Mart","Nisan","Mayıs","Haziran","Temmuz","Ağustos","Eylül","Ekim","Kasım","Aralık"},MONTH(B1984)))</f>
        <v/>
      </c>
      <c r="D1984" s="2"/>
      <c r="E1984" s="5" t="str">
        <f>IFERROR(INDEX('Malzeme Tanımlama'!$B$5:$B$300,MATCH(D1984,'Malzeme Tanımlama'!$A$5:$A$300,0)),"")</f>
        <v/>
      </c>
      <c r="F1984" s="2"/>
      <c r="G1984" s="5"/>
      <c r="H1984" s="5" t="str">
        <f>IFERROR(INDEX('Malzeme Tanımlama'!$D$5:$D$300,MATCH(D1984,'Malzeme Tanımlama'!$A$5:$A$300,0)),"")</f>
        <v/>
      </c>
      <c r="I1984" s="2"/>
      <c r="J1984" s="2"/>
      <c r="K1984" s="2"/>
    </row>
    <row r="1985" spans="1:11" x14ac:dyDescent="0.3">
      <c r="A1985" s="5" t="str">
        <f>IF(D1985="","",COUNTIF($D$5:D1985,"?*"))</f>
        <v/>
      </c>
      <c r="B1985" s="6"/>
      <c r="C1985" s="5" t="str">
        <f>IF(B1985="","",INDEX({"Ocak","Şubat","Mart","Nisan","Mayıs","Haziran","Temmuz","Ağustos","Eylül","Ekim","Kasım","Aralık"},MONTH(B1985)))</f>
        <v/>
      </c>
      <c r="D1985" s="2"/>
      <c r="E1985" s="5" t="str">
        <f>IFERROR(INDEX('Malzeme Tanımlama'!$B$5:$B$300,MATCH(D1985,'Malzeme Tanımlama'!$A$5:$A$300,0)),"")</f>
        <v/>
      </c>
      <c r="F1985" s="2"/>
      <c r="G1985" s="5"/>
      <c r="H1985" s="5" t="str">
        <f>IFERROR(INDEX('Malzeme Tanımlama'!$D$5:$D$300,MATCH(D1985,'Malzeme Tanımlama'!$A$5:$A$300,0)),"")</f>
        <v/>
      </c>
      <c r="I1985" s="2"/>
      <c r="J1985" s="2"/>
      <c r="K1985" s="2"/>
    </row>
    <row r="1986" spans="1:11" x14ac:dyDescent="0.3">
      <c r="A1986" s="5" t="str">
        <f>IF(D1986="","",COUNTIF($D$5:D1986,"?*"))</f>
        <v/>
      </c>
      <c r="B1986" s="6"/>
      <c r="C1986" s="5" t="str">
        <f>IF(B1986="","",INDEX({"Ocak","Şubat","Mart","Nisan","Mayıs","Haziran","Temmuz","Ağustos","Eylül","Ekim","Kasım","Aralık"},MONTH(B1986)))</f>
        <v/>
      </c>
      <c r="D1986" s="2"/>
      <c r="E1986" s="5" t="str">
        <f>IFERROR(INDEX('Malzeme Tanımlama'!$B$5:$B$300,MATCH(D1986,'Malzeme Tanımlama'!$A$5:$A$300,0)),"")</f>
        <v/>
      </c>
      <c r="F1986" s="2"/>
      <c r="G1986" s="5"/>
      <c r="H1986" s="5" t="str">
        <f>IFERROR(INDEX('Malzeme Tanımlama'!$D$5:$D$300,MATCH(D1986,'Malzeme Tanımlama'!$A$5:$A$300,0)),"")</f>
        <v/>
      </c>
      <c r="I1986" s="2"/>
      <c r="J1986" s="2"/>
      <c r="K1986" s="2"/>
    </row>
    <row r="1987" spans="1:11" x14ac:dyDescent="0.3">
      <c r="A1987" s="5" t="str">
        <f>IF(D1987="","",COUNTIF($D$5:D1987,"?*"))</f>
        <v/>
      </c>
      <c r="B1987" s="6"/>
      <c r="C1987" s="5" t="str">
        <f>IF(B1987="","",INDEX({"Ocak","Şubat","Mart","Nisan","Mayıs","Haziran","Temmuz","Ağustos","Eylül","Ekim","Kasım","Aralık"},MONTH(B1987)))</f>
        <v/>
      </c>
      <c r="D1987" s="2"/>
      <c r="E1987" s="5" t="str">
        <f>IFERROR(INDEX('Malzeme Tanımlama'!$B$5:$B$300,MATCH(D1987,'Malzeme Tanımlama'!$A$5:$A$300,0)),"")</f>
        <v/>
      </c>
      <c r="F1987" s="2"/>
      <c r="G1987" s="5"/>
      <c r="H1987" s="5" t="str">
        <f>IFERROR(INDEX('Malzeme Tanımlama'!$D$5:$D$300,MATCH(D1987,'Malzeme Tanımlama'!$A$5:$A$300,0)),"")</f>
        <v/>
      </c>
      <c r="I1987" s="2"/>
      <c r="J1987" s="2"/>
      <c r="K1987" s="2"/>
    </row>
    <row r="1988" spans="1:11" x14ac:dyDescent="0.3">
      <c r="A1988" s="5" t="str">
        <f>IF(D1988="","",COUNTIF($D$5:D1988,"?*"))</f>
        <v/>
      </c>
      <c r="B1988" s="6"/>
      <c r="C1988" s="5" t="str">
        <f>IF(B1988="","",INDEX({"Ocak","Şubat","Mart","Nisan","Mayıs","Haziran","Temmuz","Ağustos","Eylül","Ekim","Kasım","Aralık"},MONTH(B1988)))</f>
        <v/>
      </c>
      <c r="D1988" s="2"/>
      <c r="E1988" s="5" t="str">
        <f>IFERROR(INDEX('Malzeme Tanımlama'!$B$5:$B$300,MATCH(D1988,'Malzeme Tanımlama'!$A$5:$A$300,0)),"")</f>
        <v/>
      </c>
      <c r="F1988" s="2"/>
      <c r="G1988" s="5"/>
      <c r="H1988" s="5" t="str">
        <f>IFERROR(INDEX('Malzeme Tanımlama'!$D$5:$D$300,MATCH(D1988,'Malzeme Tanımlama'!$A$5:$A$300,0)),"")</f>
        <v/>
      </c>
      <c r="I1988" s="2"/>
      <c r="J1988" s="2"/>
      <c r="K1988" s="2"/>
    </row>
    <row r="1989" spans="1:11" x14ac:dyDescent="0.3">
      <c r="A1989" s="5" t="str">
        <f>IF(D1989="","",COUNTIF($D$5:D1989,"?*"))</f>
        <v/>
      </c>
      <c r="B1989" s="6"/>
      <c r="C1989" s="5" t="str">
        <f>IF(B1989="","",INDEX({"Ocak","Şubat","Mart","Nisan","Mayıs","Haziran","Temmuz","Ağustos","Eylül","Ekim","Kasım","Aralık"},MONTH(B1989)))</f>
        <v/>
      </c>
      <c r="D1989" s="2"/>
      <c r="E1989" s="5" t="str">
        <f>IFERROR(INDEX('Malzeme Tanımlama'!$B$5:$B$300,MATCH(D1989,'Malzeme Tanımlama'!$A$5:$A$300,0)),"")</f>
        <v/>
      </c>
      <c r="F1989" s="2"/>
      <c r="G1989" s="5"/>
      <c r="H1989" s="5" t="str">
        <f>IFERROR(INDEX('Malzeme Tanımlama'!$D$5:$D$300,MATCH(D1989,'Malzeme Tanımlama'!$A$5:$A$300,0)),"")</f>
        <v/>
      </c>
      <c r="I1989" s="2"/>
      <c r="J1989" s="2"/>
      <c r="K1989" s="2"/>
    </row>
    <row r="1990" spans="1:11" x14ac:dyDescent="0.3">
      <c r="A1990" s="5" t="str">
        <f>IF(D1990="","",COUNTIF($D$5:D1990,"?*"))</f>
        <v/>
      </c>
      <c r="B1990" s="6"/>
      <c r="C1990" s="5" t="str">
        <f>IF(B1990="","",INDEX({"Ocak","Şubat","Mart","Nisan","Mayıs","Haziran","Temmuz","Ağustos","Eylül","Ekim","Kasım","Aralık"},MONTH(B1990)))</f>
        <v/>
      </c>
      <c r="D1990" s="2"/>
      <c r="E1990" s="5" t="str">
        <f>IFERROR(INDEX('Malzeme Tanımlama'!$B$5:$B$300,MATCH(D1990,'Malzeme Tanımlama'!$A$5:$A$300,0)),"")</f>
        <v/>
      </c>
      <c r="F1990" s="2"/>
      <c r="G1990" s="5"/>
      <c r="H1990" s="5" t="str">
        <f>IFERROR(INDEX('Malzeme Tanımlama'!$D$5:$D$300,MATCH(D1990,'Malzeme Tanımlama'!$A$5:$A$300,0)),"")</f>
        <v/>
      </c>
      <c r="I1990" s="2"/>
      <c r="J1990" s="2"/>
      <c r="K1990" s="2"/>
    </row>
    <row r="1991" spans="1:11" x14ac:dyDescent="0.3">
      <c r="A1991" s="5" t="str">
        <f>IF(D1991="","",COUNTIF($D$5:D1991,"?*"))</f>
        <v/>
      </c>
      <c r="B1991" s="6"/>
      <c r="C1991" s="5" t="str">
        <f>IF(B1991="","",INDEX({"Ocak","Şubat","Mart","Nisan","Mayıs","Haziran","Temmuz","Ağustos","Eylül","Ekim","Kasım","Aralık"},MONTH(B1991)))</f>
        <v/>
      </c>
      <c r="D1991" s="2"/>
      <c r="E1991" s="5" t="str">
        <f>IFERROR(INDEX('Malzeme Tanımlama'!$B$5:$B$300,MATCH(D1991,'Malzeme Tanımlama'!$A$5:$A$300,0)),"")</f>
        <v/>
      </c>
      <c r="F1991" s="2"/>
      <c r="G1991" s="5"/>
      <c r="H1991" s="5" t="str">
        <f>IFERROR(INDEX('Malzeme Tanımlama'!$D$5:$D$300,MATCH(D1991,'Malzeme Tanımlama'!$A$5:$A$300,0)),"")</f>
        <v/>
      </c>
      <c r="I1991" s="2"/>
      <c r="J1991" s="2"/>
      <c r="K1991" s="2"/>
    </row>
    <row r="1992" spans="1:11" x14ac:dyDescent="0.3">
      <c r="A1992" s="5" t="str">
        <f>IF(D1992="","",COUNTIF($D$5:D1992,"?*"))</f>
        <v/>
      </c>
      <c r="B1992" s="6"/>
      <c r="C1992" s="5" t="str">
        <f>IF(B1992="","",INDEX({"Ocak","Şubat","Mart","Nisan","Mayıs","Haziran","Temmuz","Ağustos","Eylül","Ekim","Kasım","Aralık"},MONTH(B1992)))</f>
        <v/>
      </c>
      <c r="D1992" s="2"/>
      <c r="E1992" s="5" t="str">
        <f>IFERROR(INDEX('Malzeme Tanımlama'!$B$5:$B$300,MATCH(D1992,'Malzeme Tanımlama'!$A$5:$A$300,0)),"")</f>
        <v/>
      </c>
      <c r="F1992" s="2"/>
      <c r="G1992" s="5"/>
      <c r="H1992" s="5" t="str">
        <f>IFERROR(INDEX('Malzeme Tanımlama'!$D$5:$D$300,MATCH(D1992,'Malzeme Tanımlama'!$A$5:$A$300,0)),"")</f>
        <v/>
      </c>
      <c r="I1992" s="2"/>
      <c r="J1992" s="2"/>
      <c r="K1992" s="2"/>
    </row>
    <row r="1993" spans="1:11" x14ac:dyDescent="0.3">
      <c r="A1993" s="5" t="str">
        <f>IF(D1993="","",COUNTIF($D$5:D1993,"?*"))</f>
        <v/>
      </c>
      <c r="B1993" s="6"/>
      <c r="C1993" s="5" t="str">
        <f>IF(B1993="","",INDEX({"Ocak","Şubat","Mart","Nisan","Mayıs","Haziran","Temmuz","Ağustos","Eylül","Ekim","Kasım","Aralık"},MONTH(B1993)))</f>
        <v/>
      </c>
      <c r="D1993" s="2"/>
      <c r="E1993" s="5" t="str">
        <f>IFERROR(INDEX('Malzeme Tanımlama'!$B$5:$B$300,MATCH(D1993,'Malzeme Tanımlama'!$A$5:$A$300,0)),"")</f>
        <v/>
      </c>
      <c r="F1993" s="2"/>
      <c r="G1993" s="5"/>
      <c r="H1993" s="5" t="str">
        <f>IFERROR(INDEX('Malzeme Tanımlama'!$D$5:$D$300,MATCH(D1993,'Malzeme Tanımlama'!$A$5:$A$300,0)),"")</f>
        <v/>
      </c>
      <c r="I1993" s="2"/>
      <c r="J1993" s="2"/>
      <c r="K1993" s="2"/>
    </row>
    <row r="1994" spans="1:11" x14ac:dyDescent="0.3">
      <c r="A1994" s="5" t="str">
        <f>IF(D1994="","",COUNTIF($D$5:D1994,"?*"))</f>
        <v/>
      </c>
      <c r="B1994" s="6"/>
      <c r="C1994" s="5" t="str">
        <f>IF(B1994="","",INDEX({"Ocak","Şubat","Mart","Nisan","Mayıs","Haziran","Temmuz","Ağustos","Eylül","Ekim","Kasım","Aralık"},MONTH(B1994)))</f>
        <v/>
      </c>
      <c r="D1994" s="2"/>
      <c r="E1994" s="5" t="str">
        <f>IFERROR(INDEX('Malzeme Tanımlama'!$B$5:$B$300,MATCH(D1994,'Malzeme Tanımlama'!$A$5:$A$300,0)),"")</f>
        <v/>
      </c>
      <c r="F1994" s="2"/>
      <c r="G1994" s="5"/>
      <c r="H1994" s="5" t="str">
        <f>IFERROR(INDEX('Malzeme Tanımlama'!$D$5:$D$300,MATCH(D1994,'Malzeme Tanımlama'!$A$5:$A$300,0)),"")</f>
        <v/>
      </c>
      <c r="I1994" s="2"/>
      <c r="J1994" s="2"/>
      <c r="K1994" s="2"/>
    </row>
    <row r="1995" spans="1:11" x14ac:dyDescent="0.3">
      <c r="A1995" s="5" t="str">
        <f>IF(D1995="","",COUNTIF($D$5:D1995,"?*"))</f>
        <v/>
      </c>
      <c r="B1995" s="6"/>
      <c r="C1995" s="5" t="str">
        <f>IF(B1995="","",INDEX({"Ocak","Şubat","Mart","Nisan","Mayıs","Haziran","Temmuz","Ağustos","Eylül","Ekim","Kasım","Aralık"},MONTH(B1995)))</f>
        <v/>
      </c>
      <c r="D1995" s="2"/>
      <c r="E1995" s="5" t="str">
        <f>IFERROR(INDEX('Malzeme Tanımlama'!$B$5:$B$300,MATCH(D1995,'Malzeme Tanımlama'!$A$5:$A$300,0)),"")</f>
        <v/>
      </c>
      <c r="F1995" s="2"/>
      <c r="G1995" s="5"/>
      <c r="H1995" s="5" t="str">
        <f>IFERROR(INDEX('Malzeme Tanımlama'!$D$5:$D$300,MATCH(D1995,'Malzeme Tanımlama'!$A$5:$A$300,0)),"")</f>
        <v/>
      </c>
      <c r="I1995" s="2"/>
      <c r="J1995" s="2"/>
      <c r="K1995" s="2"/>
    </row>
    <row r="1996" spans="1:11" x14ac:dyDescent="0.3">
      <c r="A1996" s="5" t="str">
        <f>IF(D1996="","",COUNTIF($D$5:D1996,"?*"))</f>
        <v/>
      </c>
      <c r="B1996" s="6"/>
      <c r="C1996" s="5" t="str">
        <f>IF(B1996="","",INDEX({"Ocak","Şubat","Mart","Nisan","Mayıs","Haziran","Temmuz","Ağustos","Eylül","Ekim","Kasım","Aralık"},MONTH(B1996)))</f>
        <v/>
      </c>
      <c r="D1996" s="2"/>
      <c r="E1996" s="5" t="str">
        <f>IFERROR(INDEX('Malzeme Tanımlama'!$B$5:$B$300,MATCH(D1996,'Malzeme Tanımlama'!$A$5:$A$300,0)),"")</f>
        <v/>
      </c>
      <c r="F1996" s="2"/>
      <c r="G1996" s="5"/>
      <c r="H1996" s="5" t="str">
        <f>IFERROR(INDEX('Malzeme Tanımlama'!$D$5:$D$300,MATCH(D1996,'Malzeme Tanımlama'!$A$5:$A$300,0)),"")</f>
        <v/>
      </c>
      <c r="I1996" s="2"/>
      <c r="J1996" s="2"/>
      <c r="K1996" s="2"/>
    </row>
    <row r="1997" spans="1:11" x14ac:dyDescent="0.3">
      <c r="A1997" s="5" t="str">
        <f>IF(D1997="","",COUNTIF($D$5:D1997,"?*"))</f>
        <v/>
      </c>
      <c r="B1997" s="6"/>
      <c r="C1997" s="5" t="str">
        <f>IF(B1997="","",INDEX({"Ocak","Şubat","Mart","Nisan","Mayıs","Haziran","Temmuz","Ağustos","Eylül","Ekim","Kasım","Aralık"},MONTH(B1997)))</f>
        <v/>
      </c>
      <c r="D1997" s="2"/>
      <c r="E1997" s="5" t="str">
        <f>IFERROR(INDEX('Malzeme Tanımlama'!$B$5:$B$300,MATCH(D1997,'Malzeme Tanımlama'!$A$5:$A$300,0)),"")</f>
        <v/>
      </c>
      <c r="F1997" s="2"/>
      <c r="G1997" s="5"/>
      <c r="H1997" s="5" t="str">
        <f>IFERROR(INDEX('Malzeme Tanımlama'!$D$5:$D$300,MATCH(D1997,'Malzeme Tanımlama'!$A$5:$A$300,0)),"")</f>
        <v/>
      </c>
      <c r="I1997" s="2"/>
      <c r="J1997" s="2"/>
      <c r="K1997" s="2"/>
    </row>
    <row r="1998" spans="1:11" x14ac:dyDescent="0.3">
      <c r="A1998" s="5" t="str">
        <f>IF(D1998="","",COUNTIF($D$5:D1998,"?*"))</f>
        <v/>
      </c>
      <c r="B1998" s="6"/>
      <c r="C1998" s="5" t="str">
        <f>IF(B1998="","",INDEX({"Ocak","Şubat","Mart","Nisan","Mayıs","Haziran","Temmuz","Ağustos","Eylül","Ekim","Kasım","Aralık"},MONTH(B1998)))</f>
        <v/>
      </c>
      <c r="D1998" s="2"/>
      <c r="E1998" s="5" t="str">
        <f>IFERROR(INDEX('Malzeme Tanımlama'!$B$5:$B$300,MATCH(D1998,'Malzeme Tanımlama'!$A$5:$A$300,0)),"")</f>
        <v/>
      </c>
      <c r="F1998" s="2"/>
      <c r="G1998" s="5"/>
      <c r="H1998" s="5" t="str">
        <f>IFERROR(INDEX('Malzeme Tanımlama'!$D$5:$D$300,MATCH(D1998,'Malzeme Tanımlama'!$A$5:$A$300,0)),"")</f>
        <v/>
      </c>
      <c r="I1998" s="2"/>
      <c r="J1998" s="2"/>
      <c r="K1998" s="2"/>
    </row>
    <row r="1999" spans="1:11" x14ac:dyDescent="0.3">
      <c r="A1999" s="5" t="str">
        <f>IF(D1999="","",COUNTIF($D$5:D1999,"?*"))</f>
        <v/>
      </c>
      <c r="B1999" s="6"/>
      <c r="C1999" s="5" t="str">
        <f>IF(B1999="","",INDEX({"Ocak","Şubat","Mart","Nisan","Mayıs","Haziran","Temmuz","Ağustos","Eylül","Ekim","Kasım","Aralık"},MONTH(B1999)))</f>
        <v/>
      </c>
      <c r="D1999" s="2"/>
      <c r="E1999" s="5" t="str">
        <f>IFERROR(INDEX('Malzeme Tanımlama'!$B$5:$B$300,MATCH(D1999,'Malzeme Tanımlama'!$A$5:$A$300,0)),"")</f>
        <v/>
      </c>
      <c r="F1999" s="2"/>
      <c r="G1999" s="5"/>
      <c r="H1999" s="5" t="str">
        <f>IFERROR(INDEX('Malzeme Tanımlama'!$D$5:$D$300,MATCH(D1999,'Malzeme Tanımlama'!$A$5:$A$300,0)),"")</f>
        <v/>
      </c>
      <c r="I1999" s="2"/>
      <c r="J1999" s="2"/>
      <c r="K1999" s="2"/>
    </row>
    <row r="2000" spans="1:11" x14ac:dyDescent="0.3">
      <c r="A2000" s="5" t="str">
        <f>IF(D2000="","",COUNTIF($D$5:D2000,"?*"))</f>
        <v/>
      </c>
      <c r="B2000" s="6"/>
      <c r="C2000" s="5" t="str">
        <f>IF(B2000="","",INDEX({"Ocak","Şubat","Mart","Nisan","Mayıs","Haziran","Temmuz","Ağustos","Eylül","Ekim","Kasım","Aralık"},MONTH(B2000)))</f>
        <v/>
      </c>
      <c r="D2000" s="2"/>
      <c r="E2000" s="5" t="str">
        <f>IFERROR(INDEX('Malzeme Tanımlama'!$B$5:$B$300,MATCH(D2000,'Malzeme Tanımlama'!$A$5:$A$300,0)),"")</f>
        <v/>
      </c>
      <c r="F2000" s="2"/>
      <c r="G2000" s="5"/>
      <c r="H2000" s="5" t="str">
        <f>IFERROR(INDEX('Malzeme Tanımlama'!$D$5:$D$300,MATCH(D2000,'Malzeme Tanımlama'!$A$5:$A$300,0)),"")</f>
        <v/>
      </c>
      <c r="I2000" s="2"/>
      <c r="J2000" s="2"/>
      <c r="K2000" s="2"/>
    </row>
    <row r="2003" spans="1:1" x14ac:dyDescent="0.3">
      <c r="A2003" s="4" t="s">
        <v>30</v>
      </c>
    </row>
  </sheetData>
  <mergeCells count="2">
    <mergeCell ref="A1:K1"/>
    <mergeCell ref="A2:K2"/>
  </mergeCells>
  <conditionalFormatting sqref="F5:F2000">
    <cfRule type="cellIs" dxfId="4" priority="2" operator="equal">
      <formula>"Giriş"</formula>
    </cfRule>
    <cfRule type="cellIs" dxfId="3" priority="3" operator="equal">
      <formula>"Çıkış"</formula>
    </cfRule>
  </conditionalFormatting>
  <dataValidations count="3">
    <dataValidation type="list" allowBlank="1" showErrorMessage="1" error="Bu malzeme kodu 'Malzeme Tanımlama' sayfasında tanımlı değil." sqref="D5:D2000">
      <formula1>LST_MALZEMEKODU</formula1>
      <formula2>0</formula2>
    </dataValidation>
    <dataValidation type="list" allowBlank="1" showErrorMessage="1" error="Lütfen 'Giriş' veya 'Çıkış' seçin." sqref="F5:F2000">
      <formula1>LST_HAREKETTURU</formula1>
      <formula2>0</formula2>
    </dataValidation>
    <dataValidation type="list" allowBlank="1" showErrorMessage="1" error="Lütfen listeden müdürlük seçin." sqref="I5:I2000">
      <formula1>LST_MUDURLUK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</sheetPr>
  <dimension ref="A1:I303"/>
  <sheetViews>
    <sheetView showGridLines="0" zoomScaleNormal="100" workbookViewId="0">
      <pane ySplit="4" topLeftCell="A5" activePane="bottomLeft" state="frozen"/>
      <selection pane="bottomLeft" activeCell="A2" sqref="A2:I2"/>
    </sheetView>
  </sheetViews>
  <sheetFormatPr defaultColWidth="8.6640625" defaultRowHeight="14.4" x14ac:dyDescent="0.3"/>
  <cols>
    <col min="1" max="1" width="14" customWidth="1"/>
    <col min="2" max="2" width="30" customWidth="1"/>
    <col min="3" max="3" width="24" customWidth="1"/>
    <col min="4" max="4" width="10" customWidth="1"/>
    <col min="5" max="7" width="14" customWidth="1"/>
    <col min="8" max="8" width="16" customWidth="1"/>
    <col min="9" max="9" width="12" customWidth="1"/>
  </cols>
  <sheetData>
    <row r="1" spans="1:9" ht="27.75" customHeight="1" x14ac:dyDescent="0.3">
      <c r="A1" s="14" t="s">
        <v>31</v>
      </c>
      <c r="B1" s="14"/>
      <c r="C1" s="14"/>
      <c r="D1" s="14"/>
      <c r="E1" s="14"/>
      <c r="F1" s="14"/>
      <c r="G1" s="14"/>
      <c r="H1" s="14"/>
      <c r="I1" s="14"/>
    </row>
    <row r="2" spans="1:9" ht="15.75" customHeight="1" x14ac:dyDescent="0.3">
      <c r="A2" s="17" t="s">
        <v>32</v>
      </c>
      <c r="B2" s="17"/>
      <c r="C2" s="17"/>
      <c r="D2" s="17"/>
      <c r="E2" s="17"/>
      <c r="F2" s="17"/>
      <c r="G2" s="17"/>
      <c r="H2" s="17"/>
      <c r="I2" s="17"/>
    </row>
    <row r="4" spans="1:9" ht="21.7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33</v>
      </c>
      <c r="F4" s="1" t="s">
        <v>34</v>
      </c>
      <c r="G4" s="1" t="s">
        <v>35</v>
      </c>
      <c r="H4" s="1" t="s">
        <v>7</v>
      </c>
      <c r="I4" s="1" t="s">
        <v>36</v>
      </c>
    </row>
    <row r="5" spans="1:9" x14ac:dyDescent="0.3">
      <c r="A5" s="7" t="str">
        <f>IF('Malzeme Tanımlama'!A5="","",'Malzeme Tanımlama'!A5)</f>
        <v>MLZ-0001</v>
      </c>
      <c r="B5" s="5" t="str">
        <f>IF($A5="","",'Malzeme Tanımlama'!B5)</f>
        <v>PVC Boru 110mm (6m boy)</v>
      </c>
      <c r="C5" s="5" t="str">
        <f>IF($A5="","",'Malzeme Tanımlama'!C5)</f>
        <v>Sıhhi Tesisat Malzemesi</v>
      </c>
      <c r="D5" s="5" t="str">
        <f>IF($A5="","",'Malzeme Tanımlama'!D5)</f>
        <v>Adet</v>
      </c>
      <c r="E5" s="5">
        <f>IF($A5="","",SUMIFS('Stok Hareketleri'!$G$5:$G$2000,'Stok Hareketleri'!$D$5:$D$2000,$A5,'Stok Hareketleri'!$F$5:$F$2000,"Giriş"))</f>
        <v>0</v>
      </c>
      <c r="F5" s="5">
        <f>IF($A5="","",SUMIFS('Stok Hareketleri'!$G$5:$G$2000,'Stok Hareketleri'!$D$5:$D$2000,$A5,'Stok Hareketleri'!$F$5:$F$2000,"Çıkış"))</f>
        <v>20</v>
      </c>
      <c r="G5" s="5">
        <f t="shared" ref="G5:G68" si="0">IF($A5="","",$E5-$F5)</f>
        <v>-20</v>
      </c>
      <c r="H5" s="5">
        <f>IF($A5="","",'Malzeme Tanımlama'!F5)</f>
        <v>50</v>
      </c>
      <c r="I5" s="5" t="str">
        <f t="shared" ref="I5:I68" si="1">IF($A5="","",IF($G5&lt;=$H5,"KRİTİK",IF($G5&lt;=$H5*1.3,"DİKKAT","NORMAL")))</f>
        <v>KRİTİK</v>
      </c>
    </row>
    <row r="6" spans="1:9" x14ac:dyDescent="0.3">
      <c r="A6" s="7" t="str">
        <f>IF('Malzeme Tanımlama'!A6="","",'Malzeme Tanımlama'!A6)</f>
        <v/>
      </c>
      <c r="B6" s="5" t="str">
        <f>IF($A6="","",'Malzeme Tanımlama'!B6)</f>
        <v/>
      </c>
      <c r="C6" s="5" t="str">
        <f>IF($A6="","",'Malzeme Tanımlama'!C6)</f>
        <v/>
      </c>
      <c r="D6" s="5" t="str">
        <f>IF($A6="","",'Malzeme Tanımlama'!D6)</f>
        <v/>
      </c>
      <c r="E6" s="5" t="str">
        <f>IF($A6="","",SUMIFS('Stok Hareketleri'!$G$5:$G$2000,'Stok Hareketleri'!$D$5:$D$2000,$A6,'Stok Hareketleri'!$F$5:$F$2000,"Giriş"))</f>
        <v/>
      </c>
      <c r="F6" s="5" t="str">
        <f>IF($A6="","",SUMIFS('Stok Hareketleri'!$G$5:$G$2000,'Stok Hareketleri'!$D$5:$D$2000,$A6,'Stok Hareketleri'!$F$5:$F$2000,"Çıkış"))</f>
        <v/>
      </c>
      <c r="G6" s="5" t="str">
        <f t="shared" si="0"/>
        <v/>
      </c>
      <c r="H6" s="5" t="str">
        <f>IF($A6="","",'Malzeme Tanımlama'!F6)</f>
        <v/>
      </c>
      <c r="I6" s="5" t="str">
        <f t="shared" si="1"/>
        <v/>
      </c>
    </row>
    <row r="7" spans="1:9" x14ac:dyDescent="0.3">
      <c r="A7" s="7" t="str">
        <f>IF('Malzeme Tanımlama'!A7="","",'Malzeme Tanımlama'!A7)</f>
        <v/>
      </c>
      <c r="B7" s="5" t="str">
        <f>IF($A7="","",'Malzeme Tanımlama'!B7)</f>
        <v/>
      </c>
      <c r="C7" s="5" t="str">
        <f>IF($A7="","",'Malzeme Tanımlama'!C7)</f>
        <v/>
      </c>
      <c r="D7" s="5" t="str">
        <f>IF($A7="","",'Malzeme Tanımlama'!D7)</f>
        <v/>
      </c>
      <c r="E7" s="5" t="str">
        <f>IF($A7="","",SUMIFS('Stok Hareketleri'!$G$5:$G$2000,'Stok Hareketleri'!$D$5:$D$2000,$A7,'Stok Hareketleri'!$F$5:$F$2000,"Giriş"))</f>
        <v/>
      </c>
      <c r="F7" s="5" t="str">
        <f>IF($A7="","",SUMIFS('Stok Hareketleri'!$G$5:$G$2000,'Stok Hareketleri'!$D$5:$D$2000,$A7,'Stok Hareketleri'!$F$5:$F$2000,"Çıkış"))</f>
        <v/>
      </c>
      <c r="G7" s="5" t="str">
        <f t="shared" si="0"/>
        <v/>
      </c>
      <c r="H7" s="5" t="str">
        <f>IF($A7="","",'Malzeme Tanımlama'!F7)</f>
        <v/>
      </c>
      <c r="I7" s="5" t="str">
        <f t="shared" si="1"/>
        <v/>
      </c>
    </row>
    <row r="8" spans="1:9" x14ac:dyDescent="0.3">
      <c r="A8" s="7" t="str">
        <f>IF('Malzeme Tanımlama'!A8="","",'Malzeme Tanımlama'!A8)</f>
        <v/>
      </c>
      <c r="B8" s="5" t="str">
        <f>IF($A8="","",'Malzeme Tanımlama'!B8)</f>
        <v/>
      </c>
      <c r="C8" s="5" t="str">
        <f>IF($A8="","",'Malzeme Tanımlama'!C8)</f>
        <v/>
      </c>
      <c r="D8" s="5" t="str">
        <f>IF($A8="","",'Malzeme Tanımlama'!D8)</f>
        <v/>
      </c>
      <c r="E8" s="5" t="str">
        <f>IF($A8="","",SUMIFS('Stok Hareketleri'!$G$5:$G$2000,'Stok Hareketleri'!$D$5:$D$2000,$A8,'Stok Hareketleri'!$F$5:$F$2000,"Giriş"))</f>
        <v/>
      </c>
      <c r="F8" s="5" t="str">
        <f>IF($A8="","",SUMIFS('Stok Hareketleri'!$G$5:$G$2000,'Stok Hareketleri'!$D$5:$D$2000,$A8,'Stok Hareketleri'!$F$5:$F$2000,"Çıkış"))</f>
        <v/>
      </c>
      <c r="G8" s="5" t="str">
        <f t="shared" si="0"/>
        <v/>
      </c>
      <c r="H8" s="5" t="str">
        <f>IF($A8="","",'Malzeme Tanımlama'!F8)</f>
        <v/>
      </c>
      <c r="I8" s="5" t="str">
        <f t="shared" si="1"/>
        <v/>
      </c>
    </row>
    <row r="9" spans="1:9" x14ac:dyDescent="0.3">
      <c r="A9" s="7" t="str">
        <f>IF('Malzeme Tanımlama'!A9="","",'Malzeme Tanımlama'!A9)</f>
        <v/>
      </c>
      <c r="B9" s="5" t="str">
        <f>IF($A9="","",'Malzeme Tanımlama'!B9)</f>
        <v/>
      </c>
      <c r="C9" s="5" t="str">
        <f>IF($A9="","",'Malzeme Tanımlama'!C9)</f>
        <v/>
      </c>
      <c r="D9" s="5" t="str">
        <f>IF($A9="","",'Malzeme Tanımlama'!D9)</f>
        <v/>
      </c>
      <c r="E9" s="5" t="str">
        <f>IF($A9="","",SUMIFS('Stok Hareketleri'!$G$5:$G$2000,'Stok Hareketleri'!$D$5:$D$2000,$A9,'Stok Hareketleri'!$F$5:$F$2000,"Giriş"))</f>
        <v/>
      </c>
      <c r="F9" s="5" t="str">
        <f>IF($A9="","",SUMIFS('Stok Hareketleri'!$G$5:$G$2000,'Stok Hareketleri'!$D$5:$D$2000,$A9,'Stok Hareketleri'!$F$5:$F$2000,"Çıkış"))</f>
        <v/>
      </c>
      <c r="G9" s="5" t="str">
        <f t="shared" si="0"/>
        <v/>
      </c>
      <c r="H9" s="5" t="str">
        <f>IF($A9="","",'Malzeme Tanımlama'!F9)</f>
        <v/>
      </c>
      <c r="I9" s="5" t="str">
        <f t="shared" si="1"/>
        <v/>
      </c>
    </row>
    <row r="10" spans="1:9" x14ac:dyDescent="0.3">
      <c r="A10" s="7" t="str">
        <f>IF('Malzeme Tanımlama'!A10="","",'Malzeme Tanımlama'!A10)</f>
        <v/>
      </c>
      <c r="B10" s="5" t="str">
        <f>IF($A10="","",'Malzeme Tanımlama'!B10)</f>
        <v/>
      </c>
      <c r="C10" s="5" t="str">
        <f>IF($A10="","",'Malzeme Tanımlama'!C10)</f>
        <v/>
      </c>
      <c r="D10" s="5" t="str">
        <f>IF($A10="","",'Malzeme Tanımlama'!D10)</f>
        <v/>
      </c>
      <c r="E10" s="5" t="str">
        <f>IF($A10="","",SUMIFS('Stok Hareketleri'!$G$5:$G$2000,'Stok Hareketleri'!$D$5:$D$2000,$A10,'Stok Hareketleri'!$F$5:$F$2000,"Giriş"))</f>
        <v/>
      </c>
      <c r="F10" s="5" t="str">
        <f>IF($A10="","",SUMIFS('Stok Hareketleri'!$G$5:$G$2000,'Stok Hareketleri'!$D$5:$D$2000,$A10,'Stok Hareketleri'!$F$5:$F$2000,"Çıkış"))</f>
        <v/>
      </c>
      <c r="G10" s="5" t="str">
        <f t="shared" si="0"/>
        <v/>
      </c>
      <c r="H10" s="5" t="str">
        <f>IF($A10="","",'Malzeme Tanımlama'!F10)</f>
        <v/>
      </c>
      <c r="I10" s="5" t="str">
        <f t="shared" si="1"/>
        <v/>
      </c>
    </row>
    <row r="11" spans="1:9" x14ac:dyDescent="0.3">
      <c r="A11" s="7" t="str">
        <f>IF('Malzeme Tanımlama'!A11="","",'Malzeme Tanımlama'!A11)</f>
        <v/>
      </c>
      <c r="B11" s="5" t="str">
        <f>IF($A11="","",'Malzeme Tanımlama'!B11)</f>
        <v/>
      </c>
      <c r="C11" s="5" t="str">
        <f>IF($A11="","",'Malzeme Tanımlama'!C11)</f>
        <v/>
      </c>
      <c r="D11" s="5" t="str">
        <f>IF($A11="","",'Malzeme Tanımlama'!D11)</f>
        <v/>
      </c>
      <c r="E11" s="5" t="str">
        <f>IF($A11="","",SUMIFS('Stok Hareketleri'!$G$5:$G$2000,'Stok Hareketleri'!$D$5:$D$2000,$A11,'Stok Hareketleri'!$F$5:$F$2000,"Giriş"))</f>
        <v/>
      </c>
      <c r="F11" s="5" t="str">
        <f>IF($A11="","",SUMIFS('Stok Hareketleri'!$G$5:$G$2000,'Stok Hareketleri'!$D$5:$D$2000,$A11,'Stok Hareketleri'!$F$5:$F$2000,"Çıkış"))</f>
        <v/>
      </c>
      <c r="G11" s="5" t="str">
        <f t="shared" si="0"/>
        <v/>
      </c>
      <c r="H11" s="5" t="str">
        <f>IF($A11="","",'Malzeme Tanımlama'!F11)</f>
        <v/>
      </c>
      <c r="I11" s="5" t="str">
        <f t="shared" si="1"/>
        <v/>
      </c>
    </row>
    <row r="12" spans="1:9" x14ac:dyDescent="0.3">
      <c r="A12" s="7" t="str">
        <f>IF('Malzeme Tanımlama'!A12="","",'Malzeme Tanımlama'!A12)</f>
        <v/>
      </c>
      <c r="B12" s="5" t="str">
        <f>IF($A12="","",'Malzeme Tanımlama'!B12)</f>
        <v/>
      </c>
      <c r="C12" s="5" t="str">
        <f>IF($A12="","",'Malzeme Tanımlama'!C12)</f>
        <v/>
      </c>
      <c r="D12" s="5" t="str">
        <f>IF($A12="","",'Malzeme Tanımlama'!D12)</f>
        <v/>
      </c>
      <c r="E12" s="5" t="str">
        <f>IF($A12="","",SUMIFS('Stok Hareketleri'!$G$5:$G$2000,'Stok Hareketleri'!$D$5:$D$2000,$A12,'Stok Hareketleri'!$F$5:$F$2000,"Giriş"))</f>
        <v/>
      </c>
      <c r="F12" s="5" t="str">
        <f>IF($A12="","",SUMIFS('Stok Hareketleri'!$G$5:$G$2000,'Stok Hareketleri'!$D$5:$D$2000,$A12,'Stok Hareketleri'!$F$5:$F$2000,"Çıkış"))</f>
        <v/>
      </c>
      <c r="G12" s="5" t="str">
        <f t="shared" si="0"/>
        <v/>
      </c>
      <c r="H12" s="5" t="str">
        <f>IF($A12="","",'Malzeme Tanımlama'!F12)</f>
        <v/>
      </c>
      <c r="I12" s="5" t="str">
        <f t="shared" si="1"/>
        <v/>
      </c>
    </row>
    <row r="13" spans="1:9" x14ac:dyDescent="0.3">
      <c r="A13" s="7" t="str">
        <f>IF('Malzeme Tanımlama'!A13="","",'Malzeme Tanımlama'!A13)</f>
        <v/>
      </c>
      <c r="B13" s="5" t="str">
        <f>IF($A13="","",'Malzeme Tanımlama'!B13)</f>
        <v/>
      </c>
      <c r="C13" s="5" t="str">
        <f>IF($A13="","",'Malzeme Tanımlama'!C13)</f>
        <v/>
      </c>
      <c r="D13" s="5" t="str">
        <f>IF($A13="","",'Malzeme Tanımlama'!D13)</f>
        <v/>
      </c>
      <c r="E13" s="5" t="str">
        <f>IF($A13="","",SUMIFS('Stok Hareketleri'!$G$5:$G$2000,'Stok Hareketleri'!$D$5:$D$2000,$A13,'Stok Hareketleri'!$F$5:$F$2000,"Giriş"))</f>
        <v/>
      </c>
      <c r="F13" s="5" t="str">
        <f>IF($A13="","",SUMIFS('Stok Hareketleri'!$G$5:$G$2000,'Stok Hareketleri'!$D$5:$D$2000,$A13,'Stok Hareketleri'!$F$5:$F$2000,"Çıkış"))</f>
        <v/>
      </c>
      <c r="G13" s="5" t="str">
        <f t="shared" si="0"/>
        <v/>
      </c>
      <c r="H13" s="5" t="str">
        <f>IF($A13="","",'Malzeme Tanımlama'!F13)</f>
        <v/>
      </c>
      <c r="I13" s="5" t="str">
        <f t="shared" si="1"/>
        <v/>
      </c>
    </row>
    <row r="14" spans="1:9" x14ac:dyDescent="0.3">
      <c r="A14" s="7" t="str">
        <f>IF('Malzeme Tanımlama'!A14="","",'Malzeme Tanımlama'!A14)</f>
        <v/>
      </c>
      <c r="B14" s="5" t="str">
        <f>IF($A14="","",'Malzeme Tanımlama'!B14)</f>
        <v/>
      </c>
      <c r="C14" s="5" t="str">
        <f>IF($A14="","",'Malzeme Tanımlama'!C14)</f>
        <v/>
      </c>
      <c r="D14" s="5" t="str">
        <f>IF($A14="","",'Malzeme Tanımlama'!D14)</f>
        <v/>
      </c>
      <c r="E14" s="5" t="str">
        <f>IF($A14="","",SUMIFS('Stok Hareketleri'!$G$5:$G$2000,'Stok Hareketleri'!$D$5:$D$2000,$A14,'Stok Hareketleri'!$F$5:$F$2000,"Giriş"))</f>
        <v/>
      </c>
      <c r="F14" s="5" t="str">
        <f>IF($A14="","",SUMIFS('Stok Hareketleri'!$G$5:$G$2000,'Stok Hareketleri'!$D$5:$D$2000,$A14,'Stok Hareketleri'!$F$5:$F$2000,"Çıkış"))</f>
        <v/>
      </c>
      <c r="G14" s="5" t="str">
        <f t="shared" si="0"/>
        <v/>
      </c>
      <c r="H14" s="5" t="str">
        <f>IF($A14="","",'Malzeme Tanımlama'!F14)</f>
        <v/>
      </c>
      <c r="I14" s="5" t="str">
        <f t="shared" si="1"/>
        <v/>
      </c>
    </row>
    <row r="15" spans="1:9" x14ac:dyDescent="0.3">
      <c r="A15" s="7" t="str">
        <f>IF('Malzeme Tanımlama'!A15="","",'Malzeme Tanımlama'!A15)</f>
        <v/>
      </c>
      <c r="B15" s="5" t="str">
        <f>IF($A15="","",'Malzeme Tanımlama'!B15)</f>
        <v/>
      </c>
      <c r="C15" s="5" t="str">
        <f>IF($A15="","",'Malzeme Tanımlama'!C15)</f>
        <v/>
      </c>
      <c r="D15" s="5" t="str">
        <f>IF($A15="","",'Malzeme Tanımlama'!D15)</f>
        <v/>
      </c>
      <c r="E15" s="5" t="str">
        <f>IF($A15="","",SUMIFS('Stok Hareketleri'!$G$5:$G$2000,'Stok Hareketleri'!$D$5:$D$2000,$A15,'Stok Hareketleri'!$F$5:$F$2000,"Giriş"))</f>
        <v/>
      </c>
      <c r="F15" s="5" t="str">
        <f>IF($A15="","",SUMIFS('Stok Hareketleri'!$G$5:$G$2000,'Stok Hareketleri'!$D$5:$D$2000,$A15,'Stok Hareketleri'!$F$5:$F$2000,"Çıkış"))</f>
        <v/>
      </c>
      <c r="G15" s="5" t="str">
        <f t="shared" si="0"/>
        <v/>
      </c>
      <c r="H15" s="5" t="str">
        <f>IF($A15="","",'Malzeme Tanımlama'!F15)</f>
        <v/>
      </c>
      <c r="I15" s="5" t="str">
        <f t="shared" si="1"/>
        <v/>
      </c>
    </row>
    <row r="16" spans="1:9" x14ac:dyDescent="0.3">
      <c r="A16" s="7" t="str">
        <f>IF('Malzeme Tanımlama'!A16="","",'Malzeme Tanımlama'!A16)</f>
        <v/>
      </c>
      <c r="B16" s="5" t="str">
        <f>IF($A16="","",'Malzeme Tanımlama'!B16)</f>
        <v/>
      </c>
      <c r="C16" s="5" t="str">
        <f>IF($A16="","",'Malzeme Tanımlama'!C16)</f>
        <v/>
      </c>
      <c r="D16" s="5" t="str">
        <f>IF($A16="","",'Malzeme Tanımlama'!D16)</f>
        <v/>
      </c>
      <c r="E16" s="5" t="str">
        <f>IF($A16="","",SUMIFS('Stok Hareketleri'!$G$5:$G$2000,'Stok Hareketleri'!$D$5:$D$2000,$A16,'Stok Hareketleri'!$F$5:$F$2000,"Giriş"))</f>
        <v/>
      </c>
      <c r="F16" s="5" t="str">
        <f>IF($A16="","",SUMIFS('Stok Hareketleri'!$G$5:$G$2000,'Stok Hareketleri'!$D$5:$D$2000,$A16,'Stok Hareketleri'!$F$5:$F$2000,"Çıkış"))</f>
        <v/>
      </c>
      <c r="G16" s="5" t="str">
        <f t="shared" si="0"/>
        <v/>
      </c>
      <c r="H16" s="5" t="str">
        <f>IF($A16="","",'Malzeme Tanımlama'!F16)</f>
        <v/>
      </c>
      <c r="I16" s="5" t="str">
        <f t="shared" si="1"/>
        <v/>
      </c>
    </row>
    <row r="17" spans="1:9" x14ac:dyDescent="0.3">
      <c r="A17" s="7" t="str">
        <f>IF('Malzeme Tanımlama'!A17="","",'Malzeme Tanımlama'!A17)</f>
        <v/>
      </c>
      <c r="B17" s="5" t="str">
        <f>IF($A17="","",'Malzeme Tanımlama'!B17)</f>
        <v/>
      </c>
      <c r="C17" s="5" t="str">
        <f>IF($A17="","",'Malzeme Tanımlama'!C17)</f>
        <v/>
      </c>
      <c r="D17" s="5" t="str">
        <f>IF($A17="","",'Malzeme Tanımlama'!D17)</f>
        <v/>
      </c>
      <c r="E17" s="5" t="str">
        <f>IF($A17="","",SUMIFS('Stok Hareketleri'!$G$5:$G$2000,'Stok Hareketleri'!$D$5:$D$2000,$A17,'Stok Hareketleri'!$F$5:$F$2000,"Giriş"))</f>
        <v/>
      </c>
      <c r="F17" s="5" t="str">
        <f>IF($A17="","",SUMIFS('Stok Hareketleri'!$G$5:$G$2000,'Stok Hareketleri'!$D$5:$D$2000,$A17,'Stok Hareketleri'!$F$5:$F$2000,"Çıkış"))</f>
        <v/>
      </c>
      <c r="G17" s="5" t="str">
        <f t="shared" si="0"/>
        <v/>
      </c>
      <c r="H17" s="5" t="str">
        <f>IF($A17="","",'Malzeme Tanımlama'!F17)</f>
        <v/>
      </c>
      <c r="I17" s="5" t="str">
        <f t="shared" si="1"/>
        <v/>
      </c>
    </row>
    <row r="18" spans="1:9" x14ac:dyDescent="0.3">
      <c r="A18" s="7" t="str">
        <f>IF('Malzeme Tanımlama'!A18="","",'Malzeme Tanımlama'!A18)</f>
        <v/>
      </c>
      <c r="B18" s="5" t="str">
        <f>IF($A18="","",'Malzeme Tanımlama'!B18)</f>
        <v/>
      </c>
      <c r="C18" s="5" t="str">
        <f>IF($A18="","",'Malzeme Tanımlama'!C18)</f>
        <v/>
      </c>
      <c r="D18" s="5" t="str">
        <f>IF($A18="","",'Malzeme Tanımlama'!D18)</f>
        <v/>
      </c>
      <c r="E18" s="5" t="str">
        <f>IF($A18="","",SUMIFS('Stok Hareketleri'!$G$5:$G$2000,'Stok Hareketleri'!$D$5:$D$2000,$A18,'Stok Hareketleri'!$F$5:$F$2000,"Giriş"))</f>
        <v/>
      </c>
      <c r="F18" s="5" t="str">
        <f>IF($A18="","",SUMIFS('Stok Hareketleri'!$G$5:$G$2000,'Stok Hareketleri'!$D$5:$D$2000,$A18,'Stok Hareketleri'!$F$5:$F$2000,"Çıkış"))</f>
        <v/>
      </c>
      <c r="G18" s="5" t="str">
        <f t="shared" si="0"/>
        <v/>
      </c>
      <c r="H18" s="5" t="str">
        <f>IF($A18="","",'Malzeme Tanımlama'!F18)</f>
        <v/>
      </c>
      <c r="I18" s="5" t="str">
        <f t="shared" si="1"/>
        <v/>
      </c>
    </row>
    <row r="19" spans="1:9" x14ac:dyDescent="0.3">
      <c r="A19" s="7" t="str">
        <f>IF('Malzeme Tanımlama'!A19="","",'Malzeme Tanımlama'!A19)</f>
        <v/>
      </c>
      <c r="B19" s="5" t="str">
        <f>IF($A19="","",'Malzeme Tanımlama'!B19)</f>
        <v/>
      </c>
      <c r="C19" s="5" t="str">
        <f>IF($A19="","",'Malzeme Tanımlama'!C19)</f>
        <v/>
      </c>
      <c r="D19" s="5" t="str">
        <f>IF($A19="","",'Malzeme Tanımlama'!D19)</f>
        <v/>
      </c>
      <c r="E19" s="5" t="str">
        <f>IF($A19="","",SUMIFS('Stok Hareketleri'!$G$5:$G$2000,'Stok Hareketleri'!$D$5:$D$2000,$A19,'Stok Hareketleri'!$F$5:$F$2000,"Giriş"))</f>
        <v/>
      </c>
      <c r="F19" s="5" t="str">
        <f>IF($A19="","",SUMIFS('Stok Hareketleri'!$G$5:$G$2000,'Stok Hareketleri'!$D$5:$D$2000,$A19,'Stok Hareketleri'!$F$5:$F$2000,"Çıkış"))</f>
        <v/>
      </c>
      <c r="G19" s="5" t="str">
        <f t="shared" si="0"/>
        <v/>
      </c>
      <c r="H19" s="5" t="str">
        <f>IF($A19="","",'Malzeme Tanımlama'!F19)</f>
        <v/>
      </c>
      <c r="I19" s="5" t="str">
        <f t="shared" si="1"/>
        <v/>
      </c>
    </row>
    <row r="20" spans="1:9" x14ac:dyDescent="0.3">
      <c r="A20" s="7" t="str">
        <f>IF('Malzeme Tanımlama'!A20="","",'Malzeme Tanımlama'!A20)</f>
        <v/>
      </c>
      <c r="B20" s="5" t="str">
        <f>IF($A20="","",'Malzeme Tanımlama'!B20)</f>
        <v/>
      </c>
      <c r="C20" s="5" t="str">
        <f>IF($A20="","",'Malzeme Tanımlama'!C20)</f>
        <v/>
      </c>
      <c r="D20" s="5" t="str">
        <f>IF($A20="","",'Malzeme Tanımlama'!D20)</f>
        <v/>
      </c>
      <c r="E20" s="5" t="str">
        <f>IF($A20="","",SUMIFS('Stok Hareketleri'!$G$5:$G$2000,'Stok Hareketleri'!$D$5:$D$2000,$A20,'Stok Hareketleri'!$F$5:$F$2000,"Giriş"))</f>
        <v/>
      </c>
      <c r="F20" s="5" t="str">
        <f>IF($A20="","",SUMIFS('Stok Hareketleri'!$G$5:$G$2000,'Stok Hareketleri'!$D$5:$D$2000,$A20,'Stok Hareketleri'!$F$5:$F$2000,"Çıkış"))</f>
        <v/>
      </c>
      <c r="G20" s="5" t="str">
        <f t="shared" si="0"/>
        <v/>
      </c>
      <c r="H20" s="5" t="str">
        <f>IF($A20="","",'Malzeme Tanımlama'!F20)</f>
        <v/>
      </c>
      <c r="I20" s="5" t="str">
        <f t="shared" si="1"/>
        <v/>
      </c>
    </row>
    <row r="21" spans="1:9" x14ac:dyDescent="0.3">
      <c r="A21" s="7" t="str">
        <f>IF('Malzeme Tanımlama'!A21="","",'Malzeme Tanımlama'!A21)</f>
        <v/>
      </c>
      <c r="B21" s="5" t="str">
        <f>IF($A21="","",'Malzeme Tanımlama'!B21)</f>
        <v/>
      </c>
      <c r="C21" s="5" t="str">
        <f>IF($A21="","",'Malzeme Tanımlama'!C21)</f>
        <v/>
      </c>
      <c r="D21" s="5" t="str">
        <f>IF($A21="","",'Malzeme Tanımlama'!D21)</f>
        <v/>
      </c>
      <c r="E21" s="5" t="str">
        <f>IF($A21="","",SUMIFS('Stok Hareketleri'!$G$5:$G$2000,'Stok Hareketleri'!$D$5:$D$2000,$A21,'Stok Hareketleri'!$F$5:$F$2000,"Giriş"))</f>
        <v/>
      </c>
      <c r="F21" s="5" t="str">
        <f>IF($A21="","",SUMIFS('Stok Hareketleri'!$G$5:$G$2000,'Stok Hareketleri'!$D$5:$D$2000,$A21,'Stok Hareketleri'!$F$5:$F$2000,"Çıkış"))</f>
        <v/>
      </c>
      <c r="G21" s="5" t="str">
        <f t="shared" si="0"/>
        <v/>
      </c>
      <c r="H21" s="5" t="str">
        <f>IF($A21="","",'Malzeme Tanımlama'!F21)</f>
        <v/>
      </c>
      <c r="I21" s="5" t="str">
        <f t="shared" si="1"/>
        <v/>
      </c>
    </row>
    <row r="22" spans="1:9" x14ac:dyDescent="0.3">
      <c r="A22" s="7" t="str">
        <f>IF('Malzeme Tanımlama'!A22="","",'Malzeme Tanımlama'!A22)</f>
        <v/>
      </c>
      <c r="B22" s="5" t="str">
        <f>IF($A22="","",'Malzeme Tanımlama'!B22)</f>
        <v/>
      </c>
      <c r="C22" s="5" t="str">
        <f>IF($A22="","",'Malzeme Tanımlama'!C22)</f>
        <v/>
      </c>
      <c r="D22" s="5" t="str">
        <f>IF($A22="","",'Malzeme Tanımlama'!D22)</f>
        <v/>
      </c>
      <c r="E22" s="5" t="str">
        <f>IF($A22="","",SUMIFS('Stok Hareketleri'!$G$5:$G$2000,'Stok Hareketleri'!$D$5:$D$2000,$A22,'Stok Hareketleri'!$F$5:$F$2000,"Giriş"))</f>
        <v/>
      </c>
      <c r="F22" s="5" t="str">
        <f>IF($A22="","",SUMIFS('Stok Hareketleri'!$G$5:$G$2000,'Stok Hareketleri'!$D$5:$D$2000,$A22,'Stok Hareketleri'!$F$5:$F$2000,"Çıkış"))</f>
        <v/>
      </c>
      <c r="G22" s="5" t="str">
        <f t="shared" si="0"/>
        <v/>
      </c>
      <c r="H22" s="5" t="str">
        <f>IF($A22="","",'Malzeme Tanımlama'!F22)</f>
        <v/>
      </c>
      <c r="I22" s="5" t="str">
        <f t="shared" si="1"/>
        <v/>
      </c>
    </row>
    <row r="23" spans="1:9" x14ac:dyDescent="0.3">
      <c r="A23" s="7" t="str">
        <f>IF('Malzeme Tanımlama'!A23="","",'Malzeme Tanımlama'!A23)</f>
        <v/>
      </c>
      <c r="B23" s="5" t="str">
        <f>IF($A23="","",'Malzeme Tanımlama'!B23)</f>
        <v/>
      </c>
      <c r="C23" s="5" t="str">
        <f>IF($A23="","",'Malzeme Tanımlama'!C23)</f>
        <v/>
      </c>
      <c r="D23" s="5" t="str">
        <f>IF($A23="","",'Malzeme Tanımlama'!D23)</f>
        <v/>
      </c>
      <c r="E23" s="5" t="str">
        <f>IF($A23="","",SUMIFS('Stok Hareketleri'!$G$5:$G$2000,'Stok Hareketleri'!$D$5:$D$2000,$A23,'Stok Hareketleri'!$F$5:$F$2000,"Giriş"))</f>
        <v/>
      </c>
      <c r="F23" s="5" t="str">
        <f>IF($A23="","",SUMIFS('Stok Hareketleri'!$G$5:$G$2000,'Stok Hareketleri'!$D$5:$D$2000,$A23,'Stok Hareketleri'!$F$5:$F$2000,"Çıkış"))</f>
        <v/>
      </c>
      <c r="G23" s="5" t="str">
        <f t="shared" si="0"/>
        <v/>
      </c>
      <c r="H23" s="5" t="str">
        <f>IF($A23="","",'Malzeme Tanımlama'!F23)</f>
        <v/>
      </c>
      <c r="I23" s="5" t="str">
        <f t="shared" si="1"/>
        <v/>
      </c>
    </row>
    <row r="24" spans="1:9" x14ac:dyDescent="0.3">
      <c r="A24" s="7" t="str">
        <f>IF('Malzeme Tanımlama'!A24="","",'Malzeme Tanımlama'!A24)</f>
        <v/>
      </c>
      <c r="B24" s="5" t="str">
        <f>IF($A24="","",'Malzeme Tanımlama'!B24)</f>
        <v/>
      </c>
      <c r="C24" s="5" t="str">
        <f>IF($A24="","",'Malzeme Tanımlama'!C24)</f>
        <v/>
      </c>
      <c r="D24" s="5" t="str">
        <f>IF($A24="","",'Malzeme Tanımlama'!D24)</f>
        <v/>
      </c>
      <c r="E24" s="5" t="str">
        <f>IF($A24="","",SUMIFS('Stok Hareketleri'!$G$5:$G$2000,'Stok Hareketleri'!$D$5:$D$2000,$A24,'Stok Hareketleri'!$F$5:$F$2000,"Giriş"))</f>
        <v/>
      </c>
      <c r="F24" s="5" t="str">
        <f>IF($A24="","",SUMIFS('Stok Hareketleri'!$G$5:$G$2000,'Stok Hareketleri'!$D$5:$D$2000,$A24,'Stok Hareketleri'!$F$5:$F$2000,"Çıkış"))</f>
        <v/>
      </c>
      <c r="G24" s="5" t="str">
        <f t="shared" si="0"/>
        <v/>
      </c>
      <c r="H24" s="5" t="str">
        <f>IF($A24="","",'Malzeme Tanımlama'!F24)</f>
        <v/>
      </c>
      <c r="I24" s="5" t="str">
        <f t="shared" si="1"/>
        <v/>
      </c>
    </row>
    <row r="25" spans="1:9" x14ac:dyDescent="0.3">
      <c r="A25" s="7" t="str">
        <f>IF('Malzeme Tanımlama'!A25="","",'Malzeme Tanımlama'!A25)</f>
        <v/>
      </c>
      <c r="B25" s="5" t="str">
        <f>IF($A25="","",'Malzeme Tanımlama'!B25)</f>
        <v/>
      </c>
      <c r="C25" s="5" t="str">
        <f>IF($A25="","",'Malzeme Tanımlama'!C25)</f>
        <v/>
      </c>
      <c r="D25" s="5" t="str">
        <f>IF($A25="","",'Malzeme Tanımlama'!D25)</f>
        <v/>
      </c>
      <c r="E25" s="5" t="str">
        <f>IF($A25="","",SUMIFS('Stok Hareketleri'!$G$5:$G$2000,'Stok Hareketleri'!$D$5:$D$2000,$A25,'Stok Hareketleri'!$F$5:$F$2000,"Giriş"))</f>
        <v/>
      </c>
      <c r="F25" s="5" t="str">
        <f>IF($A25="","",SUMIFS('Stok Hareketleri'!$G$5:$G$2000,'Stok Hareketleri'!$D$5:$D$2000,$A25,'Stok Hareketleri'!$F$5:$F$2000,"Çıkış"))</f>
        <v/>
      </c>
      <c r="G25" s="5" t="str">
        <f t="shared" si="0"/>
        <v/>
      </c>
      <c r="H25" s="5" t="str">
        <f>IF($A25="","",'Malzeme Tanımlama'!F25)</f>
        <v/>
      </c>
      <c r="I25" s="5" t="str">
        <f t="shared" si="1"/>
        <v/>
      </c>
    </row>
    <row r="26" spans="1:9" x14ac:dyDescent="0.3">
      <c r="A26" s="7" t="str">
        <f>IF('Malzeme Tanımlama'!A26="","",'Malzeme Tanımlama'!A26)</f>
        <v/>
      </c>
      <c r="B26" s="5" t="str">
        <f>IF($A26="","",'Malzeme Tanımlama'!B26)</f>
        <v/>
      </c>
      <c r="C26" s="5" t="str">
        <f>IF($A26="","",'Malzeme Tanımlama'!C26)</f>
        <v/>
      </c>
      <c r="D26" s="5" t="str">
        <f>IF($A26="","",'Malzeme Tanımlama'!D26)</f>
        <v/>
      </c>
      <c r="E26" s="5" t="str">
        <f>IF($A26="","",SUMIFS('Stok Hareketleri'!$G$5:$G$2000,'Stok Hareketleri'!$D$5:$D$2000,$A26,'Stok Hareketleri'!$F$5:$F$2000,"Giriş"))</f>
        <v/>
      </c>
      <c r="F26" s="5" t="str">
        <f>IF($A26="","",SUMIFS('Stok Hareketleri'!$G$5:$G$2000,'Stok Hareketleri'!$D$5:$D$2000,$A26,'Stok Hareketleri'!$F$5:$F$2000,"Çıkış"))</f>
        <v/>
      </c>
      <c r="G26" s="5" t="str">
        <f t="shared" si="0"/>
        <v/>
      </c>
      <c r="H26" s="5" t="str">
        <f>IF($A26="","",'Malzeme Tanımlama'!F26)</f>
        <v/>
      </c>
      <c r="I26" s="5" t="str">
        <f t="shared" si="1"/>
        <v/>
      </c>
    </row>
    <row r="27" spans="1:9" x14ac:dyDescent="0.3">
      <c r="A27" s="7" t="str">
        <f>IF('Malzeme Tanımlama'!A27="","",'Malzeme Tanımlama'!A27)</f>
        <v/>
      </c>
      <c r="B27" s="5" t="str">
        <f>IF($A27="","",'Malzeme Tanımlama'!B27)</f>
        <v/>
      </c>
      <c r="C27" s="5" t="str">
        <f>IF($A27="","",'Malzeme Tanımlama'!C27)</f>
        <v/>
      </c>
      <c r="D27" s="5" t="str">
        <f>IF($A27="","",'Malzeme Tanımlama'!D27)</f>
        <v/>
      </c>
      <c r="E27" s="5" t="str">
        <f>IF($A27="","",SUMIFS('Stok Hareketleri'!$G$5:$G$2000,'Stok Hareketleri'!$D$5:$D$2000,$A27,'Stok Hareketleri'!$F$5:$F$2000,"Giriş"))</f>
        <v/>
      </c>
      <c r="F27" s="5" t="str">
        <f>IF($A27="","",SUMIFS('Stok Hareketleri'!$G$5:$G$2000,'Stok Hareketleri'!$D$5:$D$2000,$A27,'Stok Hareketleri'!$F$5:$F$2000,"Çıkış"))</f>
        <v/>
      </c>
      <c r="G27" s="5" t="str">
        <f t="shared" si="0"/>
        <v/>
      </c>
      <c r="H27" s="5" t="str">
        <f>IF($A27="","",'Malzeme Tanımlama'!F27)</f>
        <v/>
      </c>
      <c r="I27" s="5" t="str">
        <f t="shared" si="1"/>
        <v/>
      </c>
    </row>
    <row r="28" spans="1:9" x14ac:dyDescent="0.3">
      <c r="A28" s="7" t="str">
        <f>IF('Malzeme Tanımlama'!A28="","",'Malzeme Tanımlama'!A28)</f>
        <v/>
      </c>
      <c r="B28" s="5" t="str">
        <f>IF($A28="","",'Malzeme Tanımlama'!B28)</f>
        <v/>
      </c>
      <c r="C28" s="5" t="str">
        <f>IF($A28="","",'Malzeme Tanımlama'!C28)</f>
        <v/>
      </c>
      <c r="D28" s="5" t="str">
        <f>IF($A28="","",'Malzeme Tanımlama'!D28)</f>
        <v/>
      </c>
      <c r="E28" s="5" t="str">
        <f>IF($A28="","",SUMIFS('Stok Hareketleri'!$G$5:$G$2000,'Stok Hareketleri'!$D$5:$D$2000,$A28,'Stok Hareketleri'!$F$5:$F$2000,"Giriş"))</f>
        <v/>
      </c>
      <c r="F28" s="5" t="str">
        <f>IF($A28="","",SUMIFS('Stok Hareketleri'!$G$5:$G$2000,'Stok Hareketleri'!$D$5:$D$2000,$A28,'Stok Hareketleri'!$F$5:$F$2000,"Çıkış"))</f>
        <v/>
      </c>
      <c r="G28" s="5" t="str">
        <f t="shared" si="0"/>
        <v/>
      </c>
      <c r="H28" s="5" t="str">
        <f>IF($A28="","",'Malzeme Tanımlama'!F28)</f>
        <v/>
      </c>
      <c r="I28" s="5" t="str">
        <f t="shared" si="1"/>
        <v/>
      </c>
    </row>
    <row r="29" spans="1:9" x14ac:dyDescent="0.3">
      <c r="A29" s="7" t="str">
        <f>IF('Malzeme Tanımlama'!A29="","",'Malzeme Tanımlama'!A29)</f>
        <v/>
      </c>
      <c r="B29" s="5" t="str">
        <f>IF($A29="","",'Malzeme Tanımlama'!B29)</f>
        <v/>
      </c>
      <c r="C29" s="5" t="str">
        <f>IF($A29="","",'Malzeme Tanımlama'!C29)</f>
        <v/>
      </c>
      <c r="D29" s="5" t="str">
        <f>IF($A29="","",'Malzeme Tanımlama'!D29)</f>
        <v/>
      </c>
      <c r="E29" s="5" t="str">
        <f>IF($A29="","",SUMIFS('Stok Hareketleri'!$G$5:$G$2000,'Stok Hareketleri'!$D$5:$D$2000,$A29,'Stok Hareketleri'!$F$5:$F$2000,"Giriş"))</f>
        <v/>
      </c>
      <c r="F29" s="5" t="str">
        <f>IF($A29="","",SUMIFS('Stok Hareketleri'!$G$5:$G$2000,'Stok Hareketleri'!$D$5:$D$2000,$A29,'Stok Hareketleri'!$F$5:$F$2000,"Çıkış"))</f>
        <v/>
      </c>
      <c r="G29" s="5" t="str">
        <f t="shared" si="0"/>
        <v/>
      </c>
      <c r="H29" s="5" t="str">
        <f>IF($A29="","",'Malzeme Tanımlama'!F29)</f>
        <v/>
      </c>
      <c r="I29" s="5" t="str">
        <f t="shared" si="1"/>
        <v/>
      </c>
    </row>
    <row r="30" spans="1:9" x14ac:dyDescent="0.3">
      <c r="A30" s="7" t="str">
        <f>IF('Malzeme Tanımlama'!A30="","",'Malzeme Tanımlama'!A30)</f>
        <v/>
      </c>
      <c r="B30" s="5" t="str">
        <f>IF($A30="","",'Malzeme Tanımlama'!B30)</f>
        <v/>
      </c>
      <c r="C30" s="5" t="str">
        <f>IF($A30="","",'Malzeme Tanımlama'!C30)</f>
        <v/>
      </c>
      <c r="D30" s="5" t="str">
        <f>IF($A30="","",'Malzeme Tanımlama'!D30)</f>
        <v/>
      </c>
      <c r="E30" s="5" t="str">
        <f>IF($A30="","",SUMIFS('Stok Hareketleri'!$G$5:$G$2000,'Stok Hareketleri'!$D$5:$D$2000,$A30,'Stok Hareketleri'!$F$5:$F$2000,"Giriş"))</f>
        <v/>
      </c>
      <c r="F30" s="5" t="str">
        <f>IF($A30="","",SUMIFS('Stok Hareketleri'!$G$5:$G$2000,'Stok Hareketleri'!$D$5:$D$2000,$A30,'Stok Hareketleri'!$F$5:$F$2000,"Çıkış"))</f>
        <v/>
      </c>
      <c r="G30" s="5" t="str">
        <f t="shared" si="0"/>
        <v/>
      </c>
      <c r="H30" s="5" t="str">
        <f>IF($A30="","",'Malzeme Tanımlama'!F30)</f>
        <v/>
      </c>
      <c r="I30" s="5" t="str">
        <f t="shared" si="1"/>
        <v/>
      </c>
    </row>
    <row r="31" spans="1:9" x14ac:dyDescent="0.3">
      <c r="A31" s="7" t="str">
        <f>IF('Malzeme Tanımlama'!A31="","",'Malzeme Tanımlama'!A31)</f>
        <v/>
      </c>
      <c r="B31" s="5" t="str">
        <f>IF($A31="","",'Malzeme Tanımlama'!B31)</f>
        <v/>
      </c>
      <c r="C31" s="5" t="str">
        <f>IF($A31="","",'Malzeme Tanımlama'!C31)</f>
        <v/>
      </c>
      <c r="D31" s="5" t="str">
        <f>IF($A31="","",'Malzeme Tanımlama'!D31)</f>
        <v/>
      </c>
      <c r="E31" s="5" t="str">
        <f>IF($A31="","",SUMIFS('Stok Hareketleri'!$G$5:$G$2000,'Stok Hareketleri'!$D$5:$D$2000,$A31,'Stok Hareketleri'!$F$5:$F$2000,"Giriş"))</f>
        <v/>
      </c>
      <c r="F31" s="5" t="str">
        <f>IF($A31="","",SUMIFS('Stok Hareketleri'!$G$5:$G$2000,'Stok Hareketleri'!$D$5:$D$2000,$A31,'Stok Hareketleri'!$F$5:$F$2000,"Çıkış"))</f>
        <v/>
      </c>
      <c r="G31" s="5" t="str">
        <f t="shared" si="0"/>
        <v/>
      </c>
      <c r="H31" s="5" t="str">
        <f>IF($A31="","",'Malzeme Tanımlama'!F31)</f>
        <v/>
      </c>
      <c r="I31" s="5" t="str">
        <f t="shared" si="1"/>
        <v/>
      </c>
    </row>
    <row r="32" spans="1:9" x14ac:dyDescent="0.3">
      <c r="A32" s="7" t="str">
        <f>IF('Malzeme Tanımlama'!A32="","",'Malzeme Tanımlama'!A32)</f>
        <v/>
      </c>
      <c r="B32" s="5" t="str">
        <f>IF($A32="","",'Malzeme Tanımlama'!B32)</f>
        <v/>
      </c>
      <c r="C32" s="5" t="str">
        <f>IF($A32="","",'Malzeme Tanımlama'!C32)</f>
        <v/>
      </c>
      <c r="D32" s="5" t="str">
        <f>IF($A32="","",'Malzeme Tanımlama'!D32)</f>
        <v/>
      </c>
      <c r="E32" s="5" t="str">
        <f>IF($A32="","",SUMIFS('Stok Hareketleri'!$G$5:$G$2000,'Stok Hareketleri'!$D$5:$D$2000,$A32,'Stok Hareketleri'!$F$5:$F$2000,"Giriş"))</f>
        <v/>
      </c>
      <c r="F32" s="5" t="str">
        <f>IF($A32="","",SUMIFS('Stok Hareketleri'!$G$5:$G$2000,'Stok Hareketleri'!$D$5:$D$2000,$A32,'Stok Hareketleri'!$F$5:$F$2000,"Çıkış"))</f>
        <v/>
      </c>
      <c r="G32" s="5" t="str">
        <f t="shared" si="0"/>
        <v/>
      </c>
      <c r="H32" s="5" t="str">
        <f>IF($A32="","",'Malzeme Tanımlama'!F32)</f>
        <v/>
      </c>
      <c r="I32" s="5" t="str">
        <f t="shared" si="1"/>
        <v/>
      </c>
    </row>
    <row r="33" spans="1:9" x14ac:dyDescent="0.3">
      <c r="A33" s="7" t="str">
        <f>IF('Malzeme Tanımlama'!A33="","",'Malzeme Tanımlama'!A33)</f>
        <v/>
      </c>
      <c r="B33" s="5" t="str">
        <f>IF($A33="","",'Malzeme Tanımlama'!B33)</f>
        <v/>
      </c>
      <c r="C33" s="5" t="str">
        <f>IF($A33="","",'Malzeme Tanımlama'!C33)</f>
        <v/>
      </c>
      <c r="D33" s="5" t="str">
        <f>IF($A33="","",'Malzeme Tanımlama'!D33)</f>
        <v/>
      </c>
      <c r="E33" s="5" t="str">
        <f>IF($A33="","",SUMIFS('Stok Hareketleri'!$G$5:$G$2000,'Stok Hareketleri'!$D$5:$D$2000,$A33,'Stok Hareketleri'!$F$5:$F$2000,"Giriş"))</f>
        <v/>
      </c>
      <c r="F33" s="5" t="str">
        <f>IF($A33="","",SUMIFS('Stok Hareketleri'!$G$5:$G$2000,'Stok Hareketleri'!$D$5:$D$2000,$A33,'Stok Hareketleri'!$F$5:$F$2000,"Çıkış"))</f>
        <v/>
      </c>
      <c r="G33" s="5" t="str">
        <f t="shared" si="0"/>
        <v/>
      </c>
      <c r="H33" s="5" t="str">
        <f>IF($A33="","",'Malzeme Tanımlama'!F33)</f>
        <v/>
      </c>
      <c r="I33" s="5" t="str">
        <f t="shared" si="1"/>
        <v/>
      </c>
    </row>
    <row r="34" spans="1:9" x14ac:dyDescent="0.3">
      <c r="A34" s="7" t="str">
        <f>IF('Malzeme Tanımlama'!A34="","",'Malzeme Tanımlama'!A34)</f>
        <v/>
      </c>
      <c r="B34" s="5" t="str">
        <f>IF($A34="","",'Malzeme Tanımlama'!B34)</f>
        <v/>
      </c>
      <c r="C34" s="5" t="str">
        <f>IF($A34="","",'Malzeme Tanımlama'!C34)</f>
        <v/>
      </c>
      <c r="D34" s="5" t="str">
        <f>IF($A34="","",'Malzeme Tanımlama'!D34)</f>
        <v/>
      </c>
      <c r="E34" s="5" t="str">
        <f>IF($A34="","",SUMIFS('Stok Hareketleri'!$G$5:$G$2000,'Stok Hareketleri'!$D$5:$D$2000,$A34,'Stok Hareketleri'!$F$5:$F$2000,"Giriş"))</f>
        <v/>
      </c>
      <c r="F34" s="5" t="str">
        <f>IF($A34="","",SUMIFS('Stok Hareketleri'!$G$5:$G$2000,'Stok Hareketleri'!$D$5:$D$2000,$A34,'Stok Hareketleri'!$F$5:$F$2000,"Çıkış"))</f>
        <v/>
      </c>
      <c r="G34" s="5" t="str">
        <f t="shared" si="0"/>
        <v/>
      </c>
      <c r="H34" s="5" t="str">
        <f>IF($A34="","",'Malzeme Tanımlama'!F34)</f>
        <v/>
      </c>
      <c r="I34" s="5" t="str">
        <f t="shared" si="1"/>
        <v/>
      </c>
    </row>
    <row r="35" spans="1:9" x14ac:dyDescent="0.3">
      <c r="A35" s="7" t="str">
        <f>IF('Malzeme Tanımlama'!A35="","",'Malzeme Tanımlama'!A35)</f>
        <v/>
      </c>
      <c r="B35" s="5" t="str">
        <f>IF($A35="","",'Malzeme Tanımlama'!B35)</f>
        <v/>
      </c>
      <c r="C35" s="5" t="str">
        <f>IF($A35="","",'Malzeme Tanımlama'!C35)</f>
        <v/>
      </c>
      <c r="D35" s="5" t="str">
        <f>IF($A35="","",'Malzeme Tanımlama'!D35)</f>
        <v/>
      </c>
      <c r="E35" s="5" t="str">
        <f>IF($A35="","",SUMIFS('Stok Hareketleri'!$G$5:$G$2000,'Stok Hareketleri'!$D$5:$D$2000,$A35,'Stok Hareketleri'!$F$5:$F$2000,"Giriş"))</f>
        <v/>
      </c>
      <c r="F35" s="5" t="str">
        <f>IF($A35="","",SUMIFS('Stok Hareketleri'!$G$5:$G$2000,'Stok Hareketleri'!$D$5:$D$2000,$A35,'Stok Hareketleri'!$F$5:$F$2000,"Çıkış"))</f>
        <v/>
      </c>
      <c r="G35" s="5" t="str">
        <f t="shared" si="0"/>
        <v/>
      </c>
      <c r="H35" s="5" t="str">
        <f>IF($A35="","",'Malzeme Tanımlama'!F35)</f>
        <v/>
      </c>
      <c r="I35" s="5" t="str">
        <f t="shared" si="1"/>
        <v/>
      </c>
    </row>
    <row r="36" spans="1:9" x14ac:dyDescent="0.3">
      <c r="A36" s="7" t="str">
        <f>IF('Malzeme Tanımlama'!A36="","",'Malzeme Tanımlama'!A36)</f>
        <v/>
      </c>
      <c r="B36" s="5" t="str">
        <f>IF($A36="","",'Malzeme Tanımlama'!B36)</f>
        <v/>
      </c>
      <c r="C36" s="5" t="str">
        <f>IF($A36="","",'Malzeme Tanımlama'!C36)</f>
        <v/>
      </c>
      <c r="D36" s="5" t="str">
        <f>IF($A36="","",'Malzeme Tanımlama'!D36)</f>
        <v/>
      </c>
      <c r="E36" s="5" t="str">
        <f>IF($A36="","",SUMIFS('Stok Hareketleri'!$G$5:$G$2000,'Stok Hareketleri'!$D$5:$D$2000,$A36,'Stok Hareketleri'!$F$5:$F$2000,"Giriş"))</f>
        <v/>
      </c>
      <c r="F36" s="5" t="str">
        <f>IF($A36="","",SUMIFS('Stok Hareketleri'!$G$5:$G$2000,'Stok Hareketleri'!$D$5:$D$2000,$A36,'Stok Hareketleri'!$F$5:$F$2000,"Çıkış"))</f>
        <v/>
      </c>
      <c r="G36" s="5" t="str">
        <f t="shared" si="0"/>
        <v/>
      </c>
      <c r="H36" s="5" t="str">
        <f>IF($A36="","",'Malzeme Tanımlama'!F36)</f>
        <v/>
      </c>
      <c r="I36" s="5" t="str">
        <f t="shared" si="1"/>
        <v/>
      </c>
    </row>
    <row r="37" spans="1:9" x14ac:dyDescent="0.3">
      <c r="A37" s="7" t="str">
        <f>IF('Malzeme Tanımlama'!A37="","",'Malzeme Tanımlama'!A37)</f>
        <v/>
      </c>
      <c r="B37" s="5" t="str">
        <f>IF($A37="","",'Malzeme Tanımlama'!B37)</f>
        <v/>
      </c>
      <c r="C37" s="5" t="str">
        <f>IF($A37="","",'Malzeme Tanımlama'!C37)</f>
        <v/>
      </c>
      <c r="D37" s="5" t="str">
        <f>IF($A37="","",'Malzeme Tanımlama'!D37)</f>
        <v/>
      </c>
      <c r="E37" s="5" t="str">
        <f>IF($A37="","",SUMIFS('Stok Hareketleri'!$G$5:$G$2000,'Stok Hareketleri'!$D$5:$D$2000,$A37,'Stok Hareketleri'!$F$5:$F$2000,"Giriş"))</f>
        <v/>
      </c>
      <c r="F37" s="5" t="str">
        <f>IF($A37="","",SUMIFS('Stok Hareketleri'!$G$5:$G$2000,'Stok Hareketleri'!$D$5:$D$2000,$A37,'Stok Hareketleri'!$F$5:$F$2000,"Çıkış"))</f>
        <v/>
      </c>
      <c r="G37" s="5" t="str">
        <f t="shared" si="0"/>
        <v/>
      </c>
      <c r="H37" s="5" t="str">
        <f>IF($A37="","",'Malzeme Tanımlama'!F37)</f>
        <v/>
      </c>
      <c r="I37" s="5" t="str">
        <f t="shared" si="1"/>
        <v/>
      </c>
    </row>
    <row r="38" spans="1:9" x14ac:dyDescent="0.3">
      <c r="A38" s="7" t="str">
        <f>IF('Malzeme Tanımlama'!A38="","",'Malzeme Tanımlama'!A38)</f>
        <v/>
      </c>
      <c r="B38" s="5" t="str">
        <f>IF($A38="","",'Malzeme Tanımlama'!B38)</f>
        <v/>
      </c>
      <c r="C38" s="5" t="str">
        <f>IF($A38="","",'Malzeme Tanımlama'!C38)</f>
        <v/>
      </c>
      <c r="D38" s="5" t="str">
        <f>IF($A38="","",'Malzeme Tanımlama'!D38)</f>
        <v/>
      </c>
      <c r="E38" s="5" t="str">
        <f>IF($A38="","",SUMIFS('Stok Hareketleri'!$G$5:$G$2000,'Stok Hareketleri'!$D$5:$D$2000,$A38,'Stok Hareketleri'!$F$5:$F$2000,"Giriş"))</f>
        <v/>
      </c>
      <c r="F38" s="5" t="str">
        <f>IF($A38="","",SUMIFS('Stok Hareketleri'!$G$5:$G$2000,'Stok Hareketleri'!$D$5:$D$2000,$A38,'Stok Hareketleri'!$F$5:$F$2000,"Çıkış"))</f>
        <v/>
      </c>
      <c r="G38" s="5" t="str">
        <f t="shared" si="0"/>
        <v/>
      </c>
      <c r="H38" s="5" t="str">
        <f>IF($A38="","",'Malzeme Tanımlama'!F38)</f>
        <v/>
      </c>
      <c r="I38" s="5" t="str">
        <f t="shared" si="1"/>
        <v/>
      </c>
    </row>
    <row r="39" spans="1:9" x14ac:dyDescent="0.3">
      <c r="A39" s="7" t="str">
        <f>IF('Malzeme Tanımlama'!A39="","",'Malzeme Tanımlama'!A39)</f>
        <v/>
      </c>
      <c r="B39" s="5" t="str">
        <f>IF($A39="","",'Malzeme Tanımlama'!B39)</f>
        <v/>
      </c>
      <c r="C39" s="5" t="str">
        <f>IF($A39="","",'Malzeme Tanımlama'!C39)</f>
        <v/>
      </c>
      <c r="D39" s="5" t="str">
        <f>IF($A39="","",'Malzeme Tanımlama'!D39)</f>
        <v/>
      </c>
      <c r="E39" s="5" t="str">
        <f>IF($A39="","",SUMIFS('Stok Hareketleri'!$G$5:$G$2000,'Stok Hareketleri'!$D$5:$D$2000,$A39,'Stok Hareketleri'!$F$5:$F$2000,"Giriş"))</f>
        <v/>
      </c>
      <c r="F39" s="5" t="str">
        <f>IF($A39="","",SUMIFS('Stok Hareketleri'!$G$5:$G$2000,'Stok Hareketleri'!$D$5:$D$2000,$A39,'Stok Hareketleri'!$F$5:$F$2000,"Çıkış"))</f>
        <v/>
      </c>
      <c r="G39" s="5" t="str">
        <f t="shared" si="0"/>
        <v/>
      </c>
      <c r="H39" s="5" t="str">
        <f>IF($A39="","",'Malzeme Tanımlama'!F39)</f>
        <v/>
      </c>
      <c r="I39" s="5" t="str">
        <f t="shared" si="1"/>
        <v/>
      </c>
    </row>
    <row r="40" spans="1:9" x14ac:dyDescent="0.3">
      <c r="A40" s="7" t="str">
        <f>IF('Malzeme Tanımlama'!A40="","",'Malzeme Tanımlama'!A40)</f>
        <v/>
      </c>
      <c r="B40" s="5" t="str">
        <f>IF($A40="","",'Malzeme Tanımlama'!B40)</f>
        <v/>
      </c>
      <c r="C40" s="5" t="str">
        <f>IF($A40="","",'Malzeme Tanımlama'!C40)</f>
        <v/>
      </c>
      <c r="D40" s="5" t="str">
        <f>IF($A40="","",'Malzeme Tanımlama'!D40)</f>
        <v/>
      </c>
      <c r="E40" s="5" t="str">
        <f>IF($A40="","",SUMIFS('Stok Hareketleri'!$G$5:$G$2000,'Stok Hareketleri'!$D$5:$D$2000,$A40,'Stok Hareketleri'!$F$5:$F$2000,"Giriş"))</f>
        <v/>
      </c>
      <c r="F40" s="5" t="str">
        <f>IF($A40="","",SUMIFS('Stok Hareketleri'!$G$5:$G$2000,'Stok Hareketleri'!$D$5:$D$2000,$A40,'Stok Hareketleri'!$F$5:$F$2000,"Çıkış"))</f>
        <v/>
      </c>
      <c r="G40" s="5" t="str">
        <f t="shared" si="0"/>
        <v/>
      </c>
      <c r="H40" s="5" t="str">
        <f>IF($A40="","",'Malzeme Tanımlama'!F40)</f>
        <v/>
      </c>
      <c r="I40" s="5" t="str">
        <f t="shared" si="1"/>
        <v/>
      </c>
    </row>
    <row r="41" spans="1:9" x14ac:dyDescent="0.3">
      <c r="A41" s="7" t="str">
        <f>IF('Malzeme Tanımlama'!A41="","",'Malzeme Tanımlama'!A41)</f>
        <v/>
      </c>
      <c r="B41" s="5" t="str">
        <f>IF($A41="","",'Malzeme Tanımlama'!B41)</f>
        <v/>
      </c>
      <c r="C41" s="5" t="str">
        <f>IF($A41="","",'Malzeme Tanımlama'!C41)</f>
        <v/>
      </c>
      <c r="D41" s="5" t="str">
        <f>IF($A41="","",'Malzeme Tanımlama'!D41)</f>
        <v/>
      </c>
      <c r="E41" s="5" t="str">
        <f>IF($A41="","",SUMIFS('Stok Hareketleri'!$G$5:$G$2000,'Stok Hareketleri'!$D$5:$D$2000,$A41,'Stok Hareketleri'!$F$5:$F$2000,"Giriş"))</f>
        <v/>
      </c>
      <c r="F41" s="5" t="str">
        <f>IF($A41="","",SUMIFS('Stok Hareketleri'!$G$5:$G$2000,'Stok Hareketleri'!$D$5:$D$2000,$A41,'Stok Hareketleri'!$F$5:$F$2000,"Çıkış"))</f>
        <v/>
      </c>
      <c r="G41" s="5" t="str">
        <f t="shared" si="0"/>
        <v/>
      </c>
      <c r="H41" s="5" t="str">
        <f>IF($A41="","",'Malzeme Tanımlama'!F41)</f>
        <v/>
      </c>
      <c r="I41" s="5" t="str">
        <f t="shared" si="1"/>
        <v/>
      </c>
    </row>
    <row r="42" spans="1:9" x14ac:dyDescent="0.3">
      <c r="A42" s="7" t="str">
        <f>IF('Malzeme Tanımlama'!A42="","",'Malzeme Tanımlama'!A42)</f>
        <v/>
      </c>
      <c r="B42" s="5" t="str">
        <f>IF($A42="","",'Malzeme Tanımlama'!B42)</f>
        <v/>
      </c>
      <c r="C42" s="5" t="str">
        <f>IF($A42="","",'Malzeme Tanımlama'!C42)</f>
        <v/>
      </c>
      <c r="D42" s="5" t="str">
        <f>IF($A42="","",'Malzeme Tanımlama'!D42)</f>
        <v/>
      </c>
      <c r="E42" s="5" t="str">
        <f>IF($A42="","",SUMIFS('Stok Hareketleri'!$G$5:$G$2000,'Stok Hareketleri'!$D$5:$D$2000,$A42,'Stok Hareketleri'!$F$5:$F$2000,"Giriş"))</f>
        <v/>
      </c>
      <c r="F42" s="5" t="str">
        <f>IF($A42="","",SUMIFS('Stok Hareketleri'!$G$5:$G$2000,'Stok Hareketleri'!$D$5:$D$2000,$A42,'Stok Hareketleri'!$F$5:$F$2000,"Çıkış"))</f>
        <v/>
      </c>
      <c r="G42" s="5" t="str">
        <f t="shared" si="0"/>
        <v/>
      </c>
      <c r="H42" s="5" t="str">
        <f>IF($A42="","",'Malzeme Tanımlama'!F42)</f>
        <v/>
      </c>
      <c r="I42" s="5" t="str">
        <f t="shared" si="1"/>
        <v/>
      </c>
    </row>
    <row r="43" spans="1:9" x14ac:dyDescent="0.3">
      <c r="A43" s="7" t="str">
        <f>IF('Malzeme Tanımlama'!A43="","",'Malzeme Tanımlama'!A43)</f>
        <v/>
      </c>
      <c r="B43" s="5" t="str">
        <f>IF($A43="","",'Malzeme Tanımlama'!B43)</f>
        <v/>
      </c>
      <c r="C43" s="5" t="str">
        <f>IF($A43="","",'Malzeme Tanımlama'!C43)</f>
        <v/>
      </c>
      <c r="D43" s="5" t="str">
        <f>IF($A43="","",'Malzeme Tanımlama'!D43)</f>
        <v/>
      </c>
      <c r="E43" s="5" t="str">
        <f>IF($A43="","",SUMIFS('Stok Hareketleri'!$G$5:$G$2000,'Stok Hareketleri'!$D$5:$D$2000,$A43,'Stok Hareketleri'!$F$5:$F$2000,"Giriş"))</f>
        <v/>
      </c>
      <c r="F43" s="5" t="str">
        <f>IF($A43="","",SUMIFS('Stok Hareketleri'!$G$5:$G$2000,'Stok Hareketleri'!$D$5:$D$2000,$A43,'Stok Hareketleri'!$F$5:$F$2000,"Çıkış"))</f>
        <v/>
      </c>
      <c r="G43" s="5" t="str">
        <f t="shared" si="0"/>
        <v/>
      </c>
      <c r="H43" s="5" t="str">
        <f>IF($A43="","",'Malzeme Tanımlama'!F43)</f>
        <v/>
      </c>
      <c r="I43" s="5" t="str">
        <f t="shared" si="1"/>
        <v/>
      </c>
    </row>
    <row r="44" spans="1:9" x14ac:dyDescent="0.3">
      <c r="A44" s="7" t="str">
        <f>IF('Malzeme Tanımlama'!A44="","",'Malzeme Tanımlama'!A44)</f>
        <v/>
      </c>
      <c r="B44" s="5" t="str">
        <f>IF($A44="","",'Malzeme Tanımlama'!B44)</f>
        <v/>
      </c>
      <c r="C44" s="5" t="str">
        <f>IF($A44="","",'Malzeme Tanımlama'!C44)</f>
        <v/>
      </c>
      <c r="D44" s="5" t="str">
        <f>IF($A44="","",'Malzeme Tanımlama'!D44)</f>
        <v/>
      </c>
      <c r="E44" s="5" t="str">
        <f>IF($A44="","",SUMIFS('Stok Hareketleri'!$G$5:$G$2000,'Stok Hareketleri'!$D$5:$D$2000,$A44,'Stok Hareketleri'!$F$5:$F$2000,"Giriş"))</f>
        <v/>
      </c>
      <c r="F44" s="5" t="str">
        <f>IF($A44="","",SUMIFS('Stok Hareketleri'!$G$5:$G$2000,'Stok Hareketleri'!$D$5:$D$2000,$A44,'Stok Hareketleri'!$F$5:$F$2000,"Çıkış"))</f>
        <v/>
      </c>
      <c r="G44" s="5" t="str">
        <f t="shared" si="0"/>
        <v/>
      </c>
      <c r="H44" s="5" t="str">
        <f>IF($A44="","",'Malzeme Tanımlama'!F44)</f>
        <v/>
      </c>
      <c r="I44" s="5" t="str">
        <f t="shared" si="1"/>
        <v/>
      </c>
    </row>
    <row r="45" spans="1:9" x14ac:dyDescent="0.3">
      <c r="A45" s="7" t="str">
        <f>IF('Malzeme Tanımlama'!A45="","",'Malzeme Tanımlama'!A45)</f>
        <v/>
      </c>
      <c r="B45" s="5" t="str">
        <f>IF($A45="","",'Malzeme Tanımlama'!B45)</f>
        <v/>
      </c>
      <c r="C45" s="5" t="str">
        <f>IF($A45="","",'Malzeme Tanımlama'!C45)</f>
        <v/>
      </c>
      <c r="D45" s="5" t="str">
        <f>IF($A45="","",'Malzeme Tanımlama'!D45)</f>
        <v/>
      </c>
      <c r="E45" s="5" t="str">
        <f>IF($A45="","",SUMIFS('Stok Hareketleri'!$G$5:$G$2000,'Stok Hareketleri'!$D$5:$D$2000,$A45,'Stok Hareketleri'!$F$5:$F$2000,"Giriş"))</f>
        <v/>
      </c>
      <c r="F45" s="5" t="str">
        <f>IF($A45="","",SUMIFS('Stok Hareketleri'!$G$5:$G$2000,'Stok Hareketleri'!$D$5:$D$2000,$A45,'Stok Hareketleri'!$F$5:$F$2000,"Çıkış"))</f>
        <v/>
      </c>
      <c r="G45" s="5" t="str">
        <f t="shared" si="0"/>
        <v/>
      </c>
      <c r="H45" s="5" t="str">
        <f>IF($A45="","",'Malzeme Tanımlama'!F45)</f>
        <v/>
      </c>
      <c r="I45" s="5" t="str">
        <f t="shared" si="1"/>
        <v/>
      </c>
    </row>
    <row r="46" spans="1:9" x14ac:dyDescent="0.3">
      <c r="A46" s="7" t="str">
        <f>IF('Malzeme Tanımlama'!A46="","",'Malzeme Tanımlama'!A46)</f>
        <v/>
      </c>
      <c r="B46" s="5" t="str">
        <f>IF($A46="","",'Malzeme Tanımlama'!B46)</f>
        <v/>
      </c>
      <c r="C46" s="5" t="str">
        <f>IF($A46="","",'Malzeme Tanımlama'!C46)</f>
        <v/>
      </c>
      <c r="D46" s="5" t="str">
        <f>IF($A46="","",'Malzeme Tanımlama'!D46)</f>
        <v/>
      </c>
      <c r="E46" s="5" t="str">
        <f>IF($A46="","",SUMIFS('Stok Hareketleri'!$G$5:$G$2000,'Stok Hareketleri'!$D$5:$D$2000,$A46,'Stok Hareketleri'!$F$5:$F$2000,"Giriş"))</f>
        <v/>
      </c>
      <c r="F46" s="5" t="str">
        <f>IF($A46="","",SUMIFS('Stok Hareketleri'!$G$5:$G$2000,'Stok Hareketleri'!$D$5:$D$2000,$A46,'Stok Hareketleri'!$F$5:$F$2000,"Çıkış"))</f>
        <v/>
      </c>
      <c r="G46" s="5" t="str">
        <f t="shared" si="0"/>
        <v/>
      </c>
      <c r="H46" s="5" t="str">
        <f>IF($A46="","",'Malzeme Tanımlama'!F46)</f>
        <v/>
      </c>
      <c r="I46" s="5" t="str">
        <f t="shared" si="1"/>
        <v/>
      </c>
    </row>
    <row r="47" spans="1:9" x14ac:dyDescent="0.3">
      <c r="A47" s="7" t="str">
        <f>IF('Malzeme Tanımlama'!A47="","",'Malzeme Tanımlama'!A47)</f>
        <v/>
      </c>
      <c r="B47" s="5" t="str">
        <f>IF($A47="","",'Malzeme Tanımlama'!B47)</f>
        <v/>
      </c>
      <c r="C47" s="5" t="str">
        <f>IF($A47="","",'Malzeme Tanımlama'!C47)</f>
        <v/>
      </c>
      <c r="D47" s="5" t="str">
        <f>IF($A47="","",'Malzeme Tanımlama'!D47)</f>
        <v/>
      </c>
      <c r="E47" s="5" t="str">
        <f>IF($A47="","",SUMIFS('Stok Hareketleri'!$G$5:$G$2000,'Stok Hareketleri'!$D$5:$D$2000,$A47,'Stok Hareketleri'!$F$5:$F$2000,"Giriş"))</f>
        <v/>
      </c>
      <c r="F47" s="5" t="str">
        <f>IF($A47="","",SUMIFS('Stok Hareketleri'!$G$5:$G$2000,'Stok Hareketleri'!$D$5:$D$2000,$A47,'Stok Hareketleri'!$F$5:$F$2000,"Çıkış"))</f>
        <v/>
      </c>
      <c r="G47" s="5" t="str">
        <f t="shared" si="0"/>
        <v/>
      </c>
      <c r="H47" s="5" t="str">
        <f>IF($A47="","",'Malzeme Tanımlama'!F47)</f>
        <v/>
      </c>
      <c r="I47" s="5" t="str">
        <f t="shared" si="1"/>
        <v/>
      </c>
    </row>
    <row r="48" spans="1:9" x14ac:dyDescent="0.3">
      <c r="A48" s="7" t="str">
        <f>IF('Malzeme Tanımlama'!A48="","",'Malzeme Tanımlama'!A48)</f>
        <v/>
      </c>
      <c r="B48" s="5" t="str">
        <f>IF($A48="","",'Malzeme Tanımlama'!B48)</f>
        <v/>
      </c>
      <c r="C48" s="5" t="str">
        <f>IF($A48="","",'Malzeme Tanımlama'!C48)</f>
        <v/>
      </c>
      <c r="D48" s="5" t="str">
        <f>IF($A48="","",'Malzeme Tanımlama'!D48)</f>
        <v/>
      </c>
      <c r="E48" s="5" t="str">
        <f>IF($A48="","",SUMIFS('Stok Hareketleri'!$G$5:$G$2000,'Stok Hareketleri'!$D$5:$D$2000,$A48,'Stok Hareketleri'!$F$5:$F$2000,"Giriş"))</f>
        <v/>
      </c>
      <c r="F48" s="5" t="str">
        <f>IF($A48="","",SUMIFS('Stok Hareketleri'!$G$5:$G$2000,'Stok Hareketleri'!$D$5:$D$2000,$A48,'Stok Hareketleri'!$F$5:$F$2000,"Çıkış"))</f>
        <v/>
      </c>
      <c r="G48" s="5" t="str">
        <f t="shared" si="0"/>
        <v/>
      </c>
      <c r="H48" s="5" t="str">
        <f>IF($A48="","",'Malzeme Tanımlama'!F48)</f>
        <v/>
      </c>
      <c r="I48" s="5" t="str">
        <f t="shared" si="1"/>
        <v/>
      </c>
    </row>
    <row r="49" spans="1:9" x14ac:dyDescent="0.3">
      <c r="A49" s="7" t="str">
        <f>IF('Malzeme Tanımlama'!A49="","",'Malzeme Tanımlama'!A49)</f>
        <v/>
      </c>
      <c r="B49" s="5" t="str">
        <f>IF($A49="","",'Malzeme Tanımlama'!B49)</f>
        <v/>
      </c>
      <c r="C49" s="5" t="str">
        <f>IF($A49="","",'Malzeme Tanımlama'!C49)</f>
        <v/>
      </c>
      <c r="D49" s="5" t="str">
        <f>IF($A49="","",'Malzeme Tanımlama'!D49)</f>
        <v/>
      </c>
      <c r="E49" s="5" t="str">
        <f>IF($A49="","",SUMIFS('Stok Hareketleri'!$G$5:$G$2000,'Stok Hareketleri'!$D$5:$D$2000,$A49,'Stok Hareketleri'!$F$5:$F$2000,"Giriş"))</f>
        <v/>
      </c>
      <c r="F49" s="5" t="str">
        <f>IF($A49="","",SUMIFS('Stok Hareketleri'!$G$5:$G$2000,'Stok Hareketleri'!$D$5:$D$2000,$A49,'Stok Hareketleri'!$F$5:$F$2000,"Çıkış"))</f>
        <v/>
      </c>
      <c r="G49" s="5" t="str">
        <f t="shared" si="0"/>
        <v/>
      </c>
      <c r="H49" s="5" t="str">
        <f>IF($A49="","",'Malzeme Tanımlama'!F49)</f>
        <v/>
      </c>
      <c r="I49" s="5" t="str">
        <f t="shared" si="1"/>
        <v/>
      </c>
    </row>
    <row r="50" spans="1:9" x14ac:dyDescent="0.3">
      <c r="A50" s="7" t="str">
        <f>IF('Malzeme Tanımlama'!A50="","",'Malzeme Tanımlama'!A50)</f>
        <v/>
      </c>
      <c r="B50" s="5" t="str">
        <f>IF($A50="","",'Malzeme Tanımlama'!B50)</f>
        <v/>
      </c>
      <c r="C50" s="5" t="str">
        <f>IF($A50="","",'Malzeme Tanımlama'!C50)</f>
        <v/>
      </c>
      <c r="D50" s="5" t="str">
        <f>IF($A50="","",'Malzeme Tanımlama'!D50)</f>
        <v/>
      </c>
      <c r="E50" s="5" t="str">
        <f>IF($A50="","",SUMIFS('Stok Hareketleri'!$G$5:$G$2000,'Stok Hareketleri'!$D$5:$D$2000,$A50,'Stok Hareketleri'!$F$5:$F$2000,"Giriş"))</f>
        <v/>
      </c>
      <c r="F50" s="5" t="str">
        <f>IF($A50="","",SUMIFS('Stok Hareketleri'!$G$5:$G$2000,'Stok Hareketleri'!$D$5:$D$2000,$A50,'Stok Hareketleri'!$F$5:$F$2000,"Çıkış"))</f>
        <v/>
      </c>
      <c r="G50" s="5" t="str">
        <f t="shared" si="0"/>
        <v/>
      </c>
      <c r="H50" s="5" t="str">
        <f>IF($A50="","",'Malzeme Tanımlama'!F50)</f>
        <v/>
      </c>
      <c r="I50" s="5" t="str">
        <f t="shared" si="1"/>
        <v/>
      </c>
    </row>
    <row r="51" spans="1:9" x14ac:dyDescent="0.3">
      <c r="A51" s="7" t="str">
        <f>IF('Malzeme Tanımlama'!A51="","",'Malzeme Tanımlama'!A51)</f>
        <v/>
      </c>
      <c r="B51" s="5" t="str">
        <f>IF($A51="","",'Malzeme Tanımlama'!B51)</f>
        <v/>
      </c>
      <c r="C51" s="5" t="str">
        <f>IF($A51="","",'Malzeme Tanımlama'!C51)</f>
        <v/>
      </c>
      <c r="D51" s="5" t="str">
        <f>IF($A51="","",'Malzeme Tanımlama'!D51)</f>
        <v/>
      </c>
      <c r="E51" s="5" t="str">
        <f>IF($A51="","",SUMIFS('Stok Hareketleri'!$G$5:$G$2000,'Stok Hareketleri'!$D$5:$D$2000,$A51,'Stok Hareketleri'!$F$5:$F$2000,"Giriş"))</f>
        <v/>
      </c>
      <c r="F51" s="5" t="str">
        <f>IF($A51="","",SUMIFS('Stok Hareketleri'!$G$5:$G$2000,'Stok Hareketleri'!$D$5:$D$2000,$A51,'Stok Hareketleri'!$F$5:$F$2000,"Çıkış"))</f>
        <v/>
      </c>
      <c r="G51" s="5" t="str">
        <f t="shared" si="0"/>
        <v/>
      </c>
      <c r="H51" s="5" t="str">
        <f>IF($A51="","",'Malzeme Tanımlama'!F51)</f>
        <v/>
      </c>
      <c r="I51" s="5" t="str">
        <f t="shared" si="1"/>
        <v/>
      </c>
    </row>
    <row r="52" spans="1:9" x14ac:dyDescent="0.3">
      <c r="A52" s="7" t="str">
        <f>IF('Malzeme Tanımlama'!A52="","",'Malzeme Tanımlama'!A52)</f>
        <v/>
      </c>
      <c r="B52" s="5" t="str">
        <f>IF($A52="","",'Malzeme Tanımlama'!B52)</f>
        <v/>
      </c>
      <c r="C52" s="5" t="str">
        <f>IF($A52="","",'Malzeme Tanımlama'!C52)</f>
        <v/>
      </c>
      <c r="D52" s="5" t="str">
        <f>IF($A52="","",'Malzeme Tanımlama'!D52)</f>
        <v/>
      </c>
      <c r="E52" s="5" t="str">
        <f>IF($A52="","",SUMIFS('Stok Hareketleri'!$G$5:$G$2000,'Stok Hareketleri'!$D$5:$D$2000,$A52,'Stok Hareketleri'!$F$5:$F$2000,"Giriş"))</f>
        <v/>
      </c>
      <c r="F52" s="5" t="str">
        <f>IF($A52="","",SUMIFS('Stok Hareketleri'!$G$5:$G$2000,'Stok Hareketleri'!$D$5:$D$2000,$A52,'Stok Hareketleri'!$F$5:$F$2000,"Çıkış"))</f>
        <v/>
      </c>
      <c r="G52" s="5" t="str">
        <f t="shared" si="0"/>
        <v/>
      </c>
      <c r="H52" s="5" t="str">
        <f>IF($A52="","",'Malzeme Tanımlama'!F52)</f>
        <v/>
      </c>
      <c r="I52" s="5" t="str">
        <f t="shared" si="1"/>
        <v/>
      </c>
    </row>
    <row r="53" spans="1:9" x14ac:dyDescent="0.3">
      <c r="A53" s="7" t="str">
        <f>IF('Malzeme Tanımlama'!A53="","",'Malzeme Tanımlama'!A53)</f>
        <v/>
      </c>
      <c r="B53" s="5" t="str">
        <f>IF($A53="","",'Malzeme Tanımlama'!B53)</f>
        <v/>
      </c>
      <c r="C53" s="5" t="str">
        <f>IF($A53="","",'Malzeme Tanımlama'!C53)</f>
        <v/>
      </c>
      <c r="D53" s="5" t="str">
        <f>IF($A53="","",'Malzeme Tanımlama'!D53)</f>
        <v/>
      </c>
      <c r="E53" s="5" t="str">
        <f>IF($A53="","",SUMIFS('Stok Hareketleri'!$G$5:$G$2000,'Stok Hareketleri'!$D$5:$D$2000,$A53,'Stok Hareketleri'!$F$5:$F$2000,"Giriş"))</f>
        <v/>
      </c>
      <c r="F53" s="5" t="str">
        <f>IF($A53="","",SUMIFS('Stok Hareketleri'!$G$5:$G$2000,'Stok Hareketleri'!$D$5:$D$2000,$A53,'Stok Hareketleri'!$F$5:$F$2000,"Çıkış"))</f>
        <v/>
      </c>
      <c r="G53" s="5" t="str">
        <f t="shared" si="0"/>
        <v/>
      </c>
      <c r="H53" s="5" t="str">
        <f>IF($A53="","",'Malzeme Tanımlama'!F53)</f>
        <v/>
      </c>
      <c r="I53" s="5" t="str">
        <f t="shared" si="1"/>
        <v/>
      </c>
    </row>
    <row r="54" spans="1:9" x14ac:dyDescent="0.3">
      <c r="A54" s="7" t="str">
        <f>IF('Malzeme Tanımlama'!A54="","",'Malzeme Tanımlama'!A54)</f>
        <v/>
      </c>
      <c r="B54" s="5" t="str">
        <f>IF($A54="","",'Malzeme Tanımlama'!B54)</f>
        <v/>
      </c>
      <c r="C54" s="5" t="str">
        <f>IF($A54="","",'Malzeme Tanımlama'!C54)</f>
        <v/>
      </c>
      <c r="D54" s="5" t="str">
        <f>IF($A54="","",'Malzeme Tanımlama'!D54)</f>
        <v/>
      </c>
      <c r="E54" s="5" t="str">
        <f>IF($A54="","",SUMIFS('Stok Hareketleri'!$G$5:$G$2000,'Stok Hareketleri'!$D$5:$D$2000,$A54,'Stok Hareketleri'!$F$5:$F$2000,"Giriş"))</f>
        <v/>
      </c>
      <c r="F54" s="5" t="str">
        <f>IF($A54="","",SUMIFS('Stok Hareketleri'!$G$5:$G$2000,'Stok Hareketleri'!$D$5:$D$2000,$A54,'Stok Hareketleri'!$F$5:$F$2000,"Çıkış"))</f>
        <v/>
      </c>
      <c r="G54" s="5" t="str">
        <f t="shared" si="0"/>
        <v/>
      </c>
      <c r="H54" s="5" t="str">
        <f>IF($A54="","",'Malzeme Tanımlama'!F54)</f>
        <v/>
      </c>
      <c r="I54" s="5" t="str">
        <f t="shared" si="1"/>
        <v/>
      </c>
    </row>
    <row r="55" spans="1:9" x14ac:dyDescent="0.3">
      <c r="A55" s="7" t="str">
        <f>IF('Malzeme Tanımlama'!A55="","",'Malzeme Tanımlama'!A55)</f>
        <v/>
      </c>
      <c r="B55" s="5" t="str">
        <f>IF($A55="","",'Malzeme Tanımlama'!B55)</f>
        <v/>
      </c>
      <c r="C55" s="5" t="str">
        <f>IF($A55="","",'Malzeme Tanımlama'!C55)</f>
        <v/>
      </c>
      <c r="D55" s="5" t="str">
        <f>IF($A55="","",'Malzeme Tanımlama'!D55)</f>
        <v/>
      </c>
      <c r="E55" s="5" t="str">
        <f>IF($A55="","",SUMIFS('Stok Hareketleri'!$G$5:$G$2000,'Stok Hareketleri'!$D$5:$D$2000,$A55,'Stok Hareketleri'!$F$5:$F$2000,"Giriş"))</f>
        <v/>
      </c>
      <c r="F55" s="5" t="str">
        <f>IF($A55="","",SUMIFS('Stok Hareketleri'!$G$5:$G$2000,'Stok Hareketleri'!$D$5:$D$2000,$A55,'Stok Hareketleri'!$F$5:$F$2000,"Çıkış"))</f>
        <v/>
      </c>
      <c r="G55" s="5" t="str">
        <f t="shared" si="0"/>
        <v/>
      </c>
      <c r="H55" s="5" t="str">
        <f>IF($A55="","",'Malzeme Tanımlama'!F55)</f>
        <v/>
      </c>
      <c r="I55" s="5" t="str">
        <f t="shared" si="1"/>
        <v/>
      </c>
    </row>
    <row r="56" spans="1:9" x14ac:dyDescent="0.3">
      <c r="A56" s="7" t="str">
        <f>IF('Malzeme Tanımlama'!A56="","",'Malzeme Tanımlama'!A56)</f>
        <v/>
      </c>
      <c r="B56" s="5" t="str">
        <f>IF($A56="","",'Malzeme Tanımlama'!B56)</f>
        <v/>
      </c>
      <c r="C56" s="5" t="str">
        <f>IF($A56="","",'Malzeme Tanımlama'!C56)</f>
        <v/>
      </c>
      <c r="D56" s="5" t="str">
        <f>IF($A56="","",'Malzeme Tanımlama'!D56)</f>
        <v/>
      </c>
      <c r="E56" s="5" t="str">
        <f>IF($A56="","",SUMIFS('Stok Hareketleri'!$G$5:$G$2000,'Stok Hareketleri'!$D$5:$D$2000,$A56,'Stok Hareketleri'!$F$5:$F$2000,"Giriş"))</f>
        <v/>
      </c>
      <c r="F56" s="5" t="str">
        <f>IF($A56="","",SUMIFS('Stok Hareketleri'!$G$5:$G$2000,'Stok Hareketleri'!$D$5:$D$2000,$A56,'Stok Hareketleri'!$F$5:$F$2000,"Çıkış"))</f>
        <v/>
      </c>
      <c r="G56" s="5" t="str">
        <f t="shared" si="0"/>
        <v/>
      </c>
      <c r="H56" s="5" t="str">
        <f>IF($A56="","",'Malzeme Tanımlama'!F56)</f>
        <v/>
      </c>
      <c r="I56" s="5" t="str">
        <f t="shared" si="1"/>
        <v/>
      </c>
    </row>
    <row r="57" spans="1:9" x14ac:dyDescent="0.3">
      <c r="A57" s="7" t="str">
        <f>IF('Malzeme Tanımlama'!A57="","",'Malzeme Tanımlama'!A57)</f>
        <v/>
      </c>
      <c r="B57" s="5" t="str">
        <f>IF($A57="","",'Malzeme Tanımlama'!B57)</f>
        <v/>
      </c>
      <c r="C57" s="5" t="str">
        <f>IF($A57="","",'Malzeme Tanımlama'!C57)</f>
        <v/>
      </c>
      <c r="D57" s="5" t="str">
        <f>IF($A57="","",'Malzeme Tanımlama'!D57)</f>
        <v/>
      </c>
      <c r="E57" s="5" t="str">
        <f>IF($A57="","",SUMIFS('Stok Hareketleri'!$G$5:$G$2000,'Stok Hareketleri'!$D$5:$D$2000,$A57,'Stok Hareketleri'!$F$5:$F$2000,"Giriş"))</f>
        <v/>
      </c>
      <c r="F57" s="5" t="str">
        <f>IF($A57="","",SUMIFS('Stok Hareketleri'!$G$5:$G$2000,'Stok Hareketleri'!$D$5:$D$2000,$A57,'Stok Hareketleri'!$F$5:$F$2000,"Çıkış"))</f>
        <v/>
      </c>
      <c r="G57" s="5" t="str">
        <f t="shared" si="0"/>
        <v/>
      </c>
      <c r="H57" s="5" t="str">
        <f>IF($A57="","",'Malzeme Tanımlama'!F57)</f>
        <v/>
      </c>
      <c r="I57" s="5" t="str">
        <f t="shared" si="1"/>
        <v/>
      </c>
    </row>
    <row r="58" spans="1:9" x14ac:dyDescent="0.3">
      <c r="A58" s="7" t="str">
        <f>IF('Malzeme Tanımlama'!A58="","",'Malzeme Tanımlama'!A58)</f>
        <v/>
      </c>
      <c r="B58" s="5" t="str">
        <f>IF($A58="","",'Malzeme Tanımlama'!B58)</f>
        <v/>
      </c>
      <c r="C58" s="5" t="str">
        <f>IF($A58="","",'Malzeme Tanımlama'!C58)</f>
        <v/>
      </c>
      <c r="D58" s="5" t="str">
        <f>IF($A58="","",'Malzeme Tanımlama'!D58)</f>
        <v/>
      </c>
      <c r="E58" s="5" t="str">
        <f>IF($A58="","",SUMIFS('Stok Hareketleri'!$G$5:$G$2000,'Stok Hareketleri'!$D$5:$D$2000,$A58,'Stok Hareketleri'!$F$5:$F$2000,"Giriş"))</f>
        <v/>
      </c>
      <c r="F58" s="5" t="str">
        <f>IF($A58="","",SUMIFS('Stok Hareketleri'!$G$5:$G$2000,'Stok Hareketleri'!$D$5:$D$2000,$A58,'Stok Hareketleri'!$F$5:$F$2000,"Çıkış"))</f>
        <v/>
      </c>
      <c r="G58" s="5" t="str">
        <f t="shared" si="0"/>
        <v/>
      </c>
      <c r="H58" s="5" t="str">
        <f>IF($A58="","",'Malzeme Tanımlama'!F58)</f>
        <v/>
      </c>
      <c r="I58" s="5" t="str">
        <f t="shared" si="1"/>
        <v/>
      </c>
    </row>
    <row r="59" spans="1:9" x14ac:dyDescent="0.3">
      <c r="A59" s="7" t="str">
        <f>IF('Malzeme Tanımlama'!A59="","",'Malzeme Tanımlama'!A59)</f>
        <v/>
      </c>
      <c r="B59" s="5" t="str">
        <f>IF($A59="","",'Malzeme Tanımlama'!B59)</f>
        <v/>
      </c>
      <c r="C59" s="5" t="str">
        <f>IF($A59="","",'Malzeme Tanımlama'!C59)</f>
        <v/>
      </c>
      <c r="D59" s="5" t="str">
        <f>IF($A59="","",'Malzeme Tanımlama'!D59)</f>
        <v/>
      </c>
      <c r="E59" s="5" t="str">
        <f>IF($A59="","",SUMIFS('Stok Hareketleri'!$G$5:$G$2000,'Stok Hareketleri'!$D$5:$D$2000,$A59,'Stok Hareketleri'!$F$5:$F$2000,"Giriş"))</f>
        <v/>
      </c>
      <c r="F59" s="5" t="str">
        <f>IF($A59="","",SUMIFS('Stok Hareketleri'!$G$5:$G$2000,'Stok Hareketleri'!$D$5:$D$2000,$A59,'Stok Hareketleri'!$F$5:$F$2000,"Çıkış"))</f>
        <v/>
      </c>
      <c r="G59" s="5" t="str">
        <f t="shared" si="0"/>
        <v/>
      </c>
      <c r="H59" s="5" t="str">
        <f>IF($A59="","",'Malzeme Tanımlama'!F59)</f>
        <v/>
      </c>
      <c r="I59" s="5" t="str">
        <f t="shared" si="1"/>
        <v/>
      </c>
    </row>
    <row r="60" spans="1:9" x14ac:dyDescent="0.3">
      <c r="A60" s="7" t="str">
        <f>IF('Malzeme Tanımlama'!A60="","",'Malzeme Tanımlama'!A60)</f>
        <v/>
      </c>
      <c r="B60" s="5" t="str">
        <f>IF($A60="","",'Malzeme Tanımlama'!B60)</f>
        <v/>
      </c>
      <c r="C60" s="5" t="str">
        <f>IF($A60="","",'Malzeme Tanımlama'!C60)</f>
        <v/>
      </c>
      <c r="D60" s="5" t="str">
        <f>IF($A60="","",'Malzeme Tanımlama'!D60)</f>
        <v/>
      </c>
      <c r="E60" s="5" t="str">
        <f>IF($A60="","",SUMIFS('Stok Hareketleri'!$G$5:$G$2000,'Stok Hareketleri'!$D$5:$D$2000,$A60,'Stok Hareketleri'!$F$5:$F$2000,"Giriş"))</f>
        <v/>
      </c>
      <c r="F60" s="5" t="str">
        <f>IF($A60="","",SUMIFS('Stok Hareketleri'!$G$5:$G$2000,'Stok Hareketleri'!$D$5:$D$2000,$A60,'Stok Hareketleri'!$F$5:$F$2000,"Çıkış"))</f>
        <v/>
      </c>
      <c r="G60" s="5" t="str">
        <f t="shared" si="0"/>
        <v/>
      </c>
      <c r="H60" s="5" t="str">
        <f>IF($A60="","",'Malzeme Tanımlama'!F60)</f>
        <v/>
      </c>
      <c r="I60" s="5" t="str">
        <f t="shared" si="1"/>
        <v/>
      </c>
    </row>
    <row r="61" spans="1:9" x14ac:dyDescent="0.3">
      <c r="A61" s="7" t="str">
        <f>IF('Malzeme Tanımlama'!A61="","",'Malzeme Tanımlama'!A61)</f>
        <v/>
      </c>
      <c r="B61" s="5" t="str">
        <f>IF($A61="","",'Malzeme Tanımlama'!B61)</f>
        <v/>
      </c>
      <c r="C61" s="5" t="str">
        <f>IF($A61="","",'Malzeme Tanımlama'!C61)</f>
        <v/>
      </c>
      <c r="D61" s="5" t="str">
        <f>IF($A61="","",'Malzeme Tanımlama'!D61)</f>
        <v/>
      </c>
      <c r="E61" s="5" t="str">
        <f>IF($A61="","",SUMIFS('Stok Hareketleri'!$G$5:$G$2000,'Stok Hareketleri'!$D$5:$D$2000,$A61,'Stok Hareketleri'!$F$5:$F$2000,"Giriş"))</f>
        <v/>
      </c>
      <c r="F61" s="5" t="str">
        <f>IF($A61="","",SUMIFS('Stok Hareketleri'!$G$5:$G$2000,'Stok Hareketleri'!$D$5:$D$2000,$A61,'Stok Hareketleri'!$F$5:$F$2000,"Çıkış"))</f>
        <v/>
      </c>
      <c r="G61" s="5" t="str">
        <f t="shared" si="0"/>
        <v/>
      </c>
      <c r="H61" s="5" t="str">
        <f>IF($A61="","",'Malzeme Tanımlama'!F61)</f>
        <v/>
      </c>
      <c r="I61" s="5" t="str">
        <f t="shared" si="1"/>
        <v/>
      </c>
    </row>
    <row r="62" spans="1:9" x14ac:dyDescent="0.3">
      <c r="A62" s="7" t="str">
        <f>IF('Malzeme Tanımlama'!A62="","",'Malzeme Tanımlama'!A62)</f>
        <v/>
      </c>
      <c r="B62" s="5" t="str">
        <f>IF($A62="","",'Malzeme Tanımlama'!B62)</f>
        <v/>
      </c>
      <c r="C62" s="5" t="str">
        <f>IF($A62="","",'Malzeme Tanımlama'!C62)</f>
        <v/>
      </c>
      <c r="D62" s="5" t="str">
        <f>IF($A62="","",'Malzeme Tanımlama'!D62)</f>
        <v/>
      </c>
      <c r="E62" s="5" t="str">
        <f>IF($A62="","",SUMIFS('Stok Hareketleri'!$G$5:$G$2000,'Stok Hareketleri'!$D$5:$D$2000,$A62,'Stok Hareketleri'!$F$5:$F$2000,"Giriş"))</f>
        <v/>
      </c>
      <c r="F62" s="5" t="str">
        <f>IF($A62="","",SUMIFS('Stok Hareketleri'!$G$5:$G$2000,'Stok Hareketleri'!$D$5:$D$2000,$A62,'Stok Hareketleri'!$F$5:$F$2000,"Çıkış"))</f>
        <v/>
      </c>
      <c r="G62" s="5" t="str">
        <f t="shared" si="0"/>
        <v/>
      </c>
      <c r="H62" s="5" t="str">
        <f>IF($A62="","",'Malzeme Tanımlama'!F62)</f>
        <v/>
      </c>
      <c r="I62" s="5" t="str">
        <f t="shared" si="1"/>
        <v/>
      </c>
    </row>
    <row r="63" spans="1:9" x14ac:dyDescent="0.3">
      <c r="A63" s="7" t="str">
        <f>IF('Malzeme Tanımlama'!A63="","",'Malzeme Tanımlama'!A63)</f>
        <v/>
      </c>
      <c r="B63" s="5" t="str">
        <f>IF($A63="","",'Malzeme Tanımlama'!B63)</f>
        <v/>
      </c>
      <c r="C63" s="5" t="str">
        <f>IF($A63="","",'Malzeme Tanımlama'!C63)</f>
        <v/>
      </c>
      <c r="D63" s="5" t="str">
        <f>IF($A63="","",'Malzeme Tanımlama'!D63)</f>
        <v/>
      </c>
      <c r="E63" s="5" t="str">
        <f>IF($A63="","",SUMIFS('Stok Hareketleri'!$G$5:$G$2000,'Stok Hareketleri'!$D$5:$D$2000,$A63,'Stok Hareketleri'!$F$5:$F$2000,"Giriş"))</f>
        <v/>
      </c>
      <c r="F63" s="5" t="str">
        <f>IF($A63="","",SUMIFS('Stok Hareketleri'!$G$5:$G$2000,'Stok Hareketleri'!$D$5:$D$2000,$A63,'Stok Hareketleri'!$F$5:$F$2000,"Çıkış"))</f>
        <v/>
      </c>
      <c r="G63" s="5" t="str">
        <f t="shared" si="0"/>
        <v/>
      </c>
      <c r="H63" s="5" t="str">
        <f>IF($A63="","",'Malzeme Tanımlama'!F63)</f>
        <v/>
      </c>
      <c r="I63" s="5" t="str">
        <f t="shared" si="1"/>
        <v/>
      </c>
    </row>
    <row r="64" spans="1:9" x14ac:dyDescent="0.3">
      <c r="A64" s="7" t="str">
        <f>IF('Malzeme Tanımlama'!A64="","",'Malzeme Tanımlama'!A64)</f>
        <v/>
      </c>
      <c r="B64" s="5" t="str">
        <f>IF($A64="","",'Malzeme Tanımlama'!B64)</f>
        <v/>
      </c>
      <c r="C64" s="5" t="str">
        <f>IF($A64="","",'Malzeme Tanımlama'!C64)</f>
        <v/>
      </c>
      <c r="D64" s="5" t="str">
        <f>IF($A64="","",'Malzeme Tanımlama'!D64)</f>
        <v/>
      </c>
      <c r="E64" s="5" t="str">
        <f>IF($A64="","",SUMIFS('Stok Hareketleri'!$G$5:$G$2000,'Stok Hareketleri'!$D$5:$D$2000,$A64,'Stok Hareketleri'!$F$5:$F$2000,"Giriş"))</f>
        <v/>
      </c>
      <c r="F64" s="5" t="str">
        <f>IF($A64="","",SUMIFS('Stok Hareketleri'!$G$5:$G$2000,'Stok Hareketleri'!$D$5:$D$2000,$A64,'Stok Hareketleri'!$F$5:$F$2000,"Çıkış"))</f>
        <v/>
      </c>
      <c r="G64" s="5" t="str">
        <f t="shared" si="0"/>
        <v/>
      </c>
      <c r="H64" s="5" t="str">
        <f>IF($A64="","",'Malzeme Tanımlama'!F64)</f>
        <v/>
      </c>
      <c r="I64" s="5" t="str">
        <f t="shared" si="1"/>
        <v/>
      </c>
    </row>
    <row r="65" spans="1:9" x14ac:dyDescent="0.3">
      <c r="A65" s="7" t="str">
        <f>IF('Malzeme Tanımlama'!A65="","",'Malzeme Tanımlama'!A65)</f>
        <v/>
      </c>
      <c r="B65" s="5" t="str">
        <f>IF($A65="","",'Malzeme Tanımlama'!B65)</f>
        <v/>
      </c>
      <c r="C65" s="5" t="str">
        <f>IF($A65="","",'Malzeme Tanımlama'!C65)</f>
        <v/>
      </c>
      <c r="D65" s="5" t="str">
        <f>IF($A65="","",'Malzeme Tanımlama'!D65)</f>
        <v/>
      </c>
      <c r="E65" s="5" t="str">
        <f>IF($A65="","",SUMIFS('Stok Hareketleri'!$G$5:$G$2000,'Stok Hareketleri'!$D$5:$D$2000,$A65,'Stok Hareketleri'!$F$5:$F$2000,"Giriş"))</f>
        <v/>
      </c>
      <c r="F65" s="5" t="str">
        <f>IF($A65="","",SUMIFS('Stok Hareketleri'!$G$5:$G$2000,'Stok Hareketleri'!$D$5:$D$2000,$A65,'Stok Hareketleri'!$F$5:$F$2000,"Çıkış"))</f>
        <v/>
      </c>
      <c r="G65" s="5" t="str">
        <f t="shared" si="0"/>
        <v/>
      </c>
      <c r="H65" s="5" t="str">
        <f>IF($A65="","",'Malzeme Tanımlama'!F65)</f>
        <v/>
      </c>
      <c r="I65" s="5" t="str">
        <f t="shared" si="1"/>
        <v/>
      </c>
    </row>
    <row r="66" spans="1:9" x14ac:dyDescent="0.3">
      <c r="A66" s="7" t="str">
        <f>IF('Malzeme Tanımlama'!A66="","",'Malzeme Tanımlama'!A66)</f>
        <v/>
      </c>
      <c r="B66" s="5" t="str">
        <f>IF($A66="","",'Malzeme Tanımlama'!B66)</f>
        <v/>
      </c>
      <c r="C66" s="5" t="str">
        <f>IF($A66="","",'Malzeme Tanımlama'!C66)</f>
        <v/>
      </c>
      <c r="D66" s="5" t="str">
        <f>IF($A66="","",'Malzeme Tanımlama'!D66)</f>
        <v/>
      </c>
      <c r="E66" s="5" t="str">
        <f>IF($A66="","",SUMIFS('Stok Hareketleri'!$G$5:$G$2000,'Stok Hareketleri'!$D$5:$D$2000,$A66,'Stok Hareketleri'!$F$5:$F$2000,"Giriş"))</f>
        <v/>
      </c>
      <c r="F66" s="5" t="str">
        <f>IF($A66="","",SUMIFS('Stok Hareketleri'!$G$5:$G$2000,'Stok Hareketleri'!$D$5:$D$2000,$A66,'Stok Hareketleri'!$F$5:$F$2000,"Çıkış"))</f>
        <v/>
      </c>
      <c r="G66" s="5" t="str">
        <f t="shared" si="0"/>
        <v/>
      </c>
      <c r="H66" s="5" t="str">
        <f>IF($A66="","",'Malzeme Tanımlama'!F66)</f>
        <v/>
      </c>
      <c r="I66" s="5" t="str">
        <f t="shared" si="1"/>
        <v/>
      </c>
    </row>
    <row r="67" spans="1:9" x14ac:dyDescent="0.3">
      <c r="A67" s="7" t="str">
        <f>IF('Malzeme Tanımlama'!A67="","",'Malzeme Tanımlama'!A67)</f>
        <v/>
      </c>
      <c r="B67" s="5" t="str">
        <f>IF($A67="","",'Malzeme Tanımlama'!B67)</f>
        <v/>
      </c>
      <c r="C67" s="5" t="str">
        <f>IF($A67="","",'Malzeme Tanımlama'!C67)</f>
        <v/>
      </c>
      <c r="D67" s="5" t="str">
        <f>IF($A67="","",'Malzeme Tanımlama'!D67)</f>
        <v/>
      </c>
      <c r="E67" s="5" t="str">
        <f>IF($A67="","",SUMIFS('Stok Hareketleri'!$G$5:$G$2000,'Stok Hareketleri'!$D$5:$D$2000,$A67,'Stok Hareketleri'!$F$5:$F$2000,"Giriş"))</f>
        <v/>
      </c>
      <c r="F67" s="5" t="str">
        <f>IF($A67="","",SUMIFS('Stok Hareketleri'!$G$5:$G$2000,'Stok Hareketleri'!$D$5:$D$2000,$A67,'Stok Hareketleri'!$F$5:$F$2000,"Çıkış"))</f>
        <v/>
      </c>
      <c r="G67" s="5" t="str">
        <f t="shared" si="0"/>
        <v/>
      </c>
      <c r="H67" s="5" t="str">
        <f>IF($A67="","",'Malzeme Tanımlama'!F67)</f>
        <v/>
      </c>
      <c r="I67" s="5" t="str">
        <f t="shared" si="1"/>
        <v/>
      </c>
    </row>
    <row r="68" spans="1:9" x14ac:dyDescent="0.3">
      <c r="A68" s="7" t="str">
        <f>IF('Malzeme Tanımlama'!A68="","",'Malzeme Tanımlama'!A68)</f>
        <v/>
      </c>
      <c r="B68" s="5" t="str">
        <f>IF($A68="","",'Malzeme Tanımlama'!B68)</f>
        <v/>
      </c>
      <c r="C68" s="5" t="str">
        <f>IF($A68="","",'Malzeme Tanımlama'!C68)</f>
        <v/>
      </c>
      <c r="D68" s="5" t="str">
        <f>IF($A68="","",'Malzeme Tanımlama'!D68)</f>
        <v/>
      </c>
      <c r="E68" s="5" t="str">
        <f>IF($A68="","",SUMIFS('Stok Hareketleri'!$G$5:$G$2000,'Stok Hareketleri'!$D$5:$D$2000,$A68,'Stok Hareketleri'!$F$5:$F$2000,"Giriş"))</f>
        <v/>
      </c>
      <c r="F68" s="5" t="str">
        <f>IF($A68="","",SUMIFS('Stok Hareketleri'!$G$5:$G$2000,'Stok Hareketleri'!$D$5:$D$2000,$A68,'Stok Hareketleri'!$F$5:$F$2000,"Çıkış"))</f>
        <v/>
      </c>
      <c r="G68" s="5" t="str">
        <f t="shared" si="0"/>
        <v/>
      </c>
      <c r="H68" s="5" t="str">
        <f>IF($A68="","",'Malzeme Tanımlama'!F68)</f>
        <v/>
      </c>
      <c r="I68" s="5" t="str">
        <f t="shared" si="1"/>
        <v/>
      </c>
    </row>
    <row r="69" spans="1:9" x14ac:dyDescent="0.3">
      <c r="A69" s="7" t="str">
        <f>IF('Malzeme Tanımlama'!A69="","",'Malzeme Tanımlama'!A69)</f>
        <v/>
      </c>
      <c r="B69" s="5" t="str">
        <f>IF($A69="","",'Malzeme Tanımlama'!B69)</f>
        <v/>
      </c>
      <c r="C69" s="5" t="str">
        <f>IF($A69="","",'Malzeme Tanımlama'!C69)</f>
        <v/>
      </c>
      <c r="D69" s="5" t="str">
        <f>IF($A69="","",'Malzeme Tanımlama'!D69)</f>
        <v/>
      </c>
      <c r="E69" s="5" t="str">
        <f>IF($A69="","",SUMIFS('Stok Hareketleri'!$G$5:$G$2000,'Stok Hareketleri'!$D$5:$D$2000,$A69,'Stok Hareketleri'!$F$5:$F$2000,"Giriş"))</f>
        <v/>
      </c>
      <c r="F69" s="5" t="str">
        <f>IF($A69="","",SUMIFS('Stok Hareketleri'!$G$5:$G$2000,'Stok Hareketleri'!$D$5:$D$2000,$A69,'Stok Hareketleri'!$F$5:$F$2000,"Çıkış"))</f>
        <v/>
      </c>
      <c r="G69" s="5" t="str">
        <f t="shared" ref="G69:G132" si="2">IF($A69="","",$E69-$F69)</f>
        <v/>
      </c>
      <c r="H69" s="5" t="str">
        <f>IF($A69="","",'Malzeme Tanımlama'!F69)</f>
        <v/>
      </c>
      <c r="I69" s="5" t="str">
        <f t="shared" ref="I69:I132" si="3">IF($A69="","",IF($G69&lt;=$H69,"KRİTİK",IF($G69&lt;=$H69*1.3,"DİKKAT","NORMAL")))</f>
        <v/>
      </c>
    </row>
    <row r="70" spans="1:9" x14ac:dyDescent="0.3">
      <c r="A70" s="7" t="str">
        <f>IF('Malzeme Tanımlama'!A70="","",'Malzeme Tanımlama'!A70)</f>
        <v/>
      </c>
      <c r="B70" s="5" t="str">
        <f>IF($A70="","",'Malzeme Tanımlama'!B70)</f>
        <v/>
      </c>
      <c r="C70" s="5" t="str">
        <f>IF($A70="","",'Malzeme Tanımlama'!C70)</f>
        <v/>
      </c>
      <c r="D70" s="5" t="str">
        <f>IF($A70="","",'Malzeme Tanımlama'!D70)</f>
        <v/>
      </c>
      <c r="E70" s="5" t="str">
        <f>IF($A70="","",SUMIFS('Stok Hareketleri'!$G$5:$G$2000,'Stok Hareketleri'!$D$5:$D$2000,$A70,'Stok Hareketleri'!$F$5:$F$2000,"Giriş"))</f>
        <v/>
      </c>
      <c r="F70" s="5" t="str">
        <f>IF($A70="","",SUMIFS('Stok Hareketleri'!$G$5:$G$2000,'Stok Hareketleri'!$D$5:$D$2000,$A70,'Stok Hareketleri'!$F$5:$F$2000,"Çıkış"))</f>
        <v/>
      </c>
      <c r="G70" s="5" t="str">
        <f t="shared" si="2"/>
        <v/>
      </c>
      <c r="H70" s="5" t="str">
        <f>IF($A70="","",'Malzeme Tanımlama'!F70)</f>
        <v/>
      </c>
      <c r="I70" s="5" t="str">
        <f t="shared" si="3"/>
        <v/>
      </c>
    </row>
    <row r="71" spans="1:9" x14ac:dyDescent="0.3">
      <c r="A71" s="7" t="str">
        <f>IF('Malzeme Tanımlama'!A71="","",'Malzeme Tanımlama'!A71)</f>
        <v/>
      </c>
      <c r="B71" s="5" t="str">
        <f>IF($A71="","",'Malzeme Tanımlama'!B71)</f>
        <v/>
      </c>
      <c r="C71" s="5" t="str">
        <f>IF($A71="","",'Malzeme Tanımlama'!C71)</f>
        <v/>
      </c>
      <c r="D71" s="5" t="str">
        <f>IF($A71="","",'Malzeme Tanımlama'!D71)</f>
        <v/>
      </c>
      <c r="E71" s="5" t="str">
        <f>IF($A71="","",SUMIFS('Stok Hareketleri'!$G$5:$G$2000,'Stok Hareketleri'!$D$5:$D$2000,$A71,'Stok Hareketleri'!$F$5:$F$2000,"Giriş"))</f>
        <v/>
      </c>
      <c r="F71" s="5" t="str">
        <f>IF($A71="","",SUMIFS('Stok Hareketleri'!$G$5:$G$2000,'Stok Hareketleri'!$D$5:$D$2000,$A71,'Stok Hareketleri'!$F$5:$F$2000,"Çıkış"))</f>
        <v/>
      </c>
      <c r="G71" s="5" t="str">
        <f t="shared" si="2"/>
        <v/>
      </c>
      <c r="H71" s="5" t="str">
        <f>IF($A71="","",'Malzeme Tanımlama'!F71)</f>
        <v/>
      </c>
      <c r="I71" s="5" t="str">
        <f t="shared" si="3"/>
        <v/>
      </c>
    </row>
    <row r="72" spans="1:9" x14ac:dyDescent="0.3">
      <c r="A72" s="7" t="str">
        <f>IF('Malzeme Tanımlama'!A72="","",'Malzeme Tanımlama'!A72)</f>
        <v/>
      </c>
      <c r="B72" s="5" t="str">
        <f>IF($A72="","",'Malzeme Tanımlama'!B72)</f>
        <v/>
      </c>
      <c r="C72" s="5" t="str">
        <f>IF($A72="","",'Malzeme Tanımlama'!C72)</f>
        <v/>
      </c>
      <c r="D72" s="5" t="str">
        <f>IF($A72="","",'Malzeme Tanımlama'!D72)</f>
        <v/>
      </c>
      <c r="E72" s="5" t="str">
        <f>IF($A72="","",SUMIFS('Stok Hareketleri'!$G$5:$G$2000,'Stok Hareketleri'!$D$5:$D$2000,$A72,'Stok Hareketleri'!$F$5:$F$2000,"Giriş"))</f>
        <v/>
      </c>
      <c r="F72" s="5" t="str">
        <f>IF($A72="","",SUMIFS('Stok Hareketleri'!$G$5:$G$2000,'Stok Hareketleri'!$D$5:$D$2000,$A72,'Stok Hareketleri'!$F$5:$F$2000,"Çıkış"))</f>
        <v/>
      </c>
      <c r="G72" s="5" t="str">
        <f t="shared" si="2"/>
        <v/>
      </c>
      <c r="H72" s="5" t="str">
        <f>IF($A72="","",'Malzeme Tanımlama'!F72)</f>
        <v/>
      </c>
      <c r="I72" s="5" t="str">
        <f t="shared" si="3"/>
        <v/>
      </c>
    </row>
    <row r="73" spans="1:9" x14ac:dyDescent="0.3">
      <c r="A73" s="7" t="str">
        <f>IF('Malzeme Tanımlama'!A73="","",'Malzeme Tanımlama'!A73)</f>
        <v/>
      </c>
      <c r="B73" s="5" t="str">
        <f>IF($A73="","",'Malzeme Tanımlama'!B73)</f>
        <v/>
      </c>
      <c r="C73" s="5" t="str">
        <f>IF($A73="","",'Malzeme Tanımlama'!C73)</f>
        <v/>
      </c>
      <c r="D73" s="5" t="str">
        <f>IF($A73="","",'Malzeme Tanımlama'!D73)</f>
        <v/>
      </c>
      <c r="E73" s="5" t="str">
        <f>IF($A73="","",SUMIFS('Stok Hareketleri'!$G$5:$G$2000,'Stok Hareketleri'!$D$5:$D$2000,$A73,'Stok Hareketleri'!$F$5:$F$2000,"Giriş"))</f>
        <v/>
      </c>
      <c r="F73" s="5" t="str">
        <f>IF($A73="","",SUMIFS('Stok Hareketleri'!$G$5:$G$2000,'Stok Hareketleri'!$D$5:$D$2000,$A73,'Stok Hareketleri'!$F$5:$F$2000,"Çıkış"))</f>
        <v/>
      </c>
      <c r="G73" s="5" t="str">
        <f t="shared" si="2"/>
        <v/>
      </c>
      <c r="H73" s="5" t="str">
        <f>IF($A73="","",'Malzeme Tanımlama'!F73)</f>
        <v/>
      </c>
      <c r="I73" s="5" t="str">
        <f t="shared" si="3"/>
        <v/>
      </c>
    </row>
    <row r="74" spans="1:9" x14ac:dyDescent="0.3">
      <c r="A74" s="7" t="str">
        <f>IF('Malzeme Tanımlama'!A74="","",'Malzeme Tanımlama'!A74)</f>
        <v/>
      </c>
      <c r="B74" s="5" t="str">
        <f>IF($A74="","",'Malzeme Tanımlama'!B74)</f>
        <v/>
      </c>
      <c r="C74" s="5" t="str">
        <f>IF($A74="","",'Malzeme Tanımlama'!C74)</f>
        <v/>
      </c>
      <c r="D74" s="5" t="str">
        <f>IF($A74="","",'Malzeme Tanımlama'!D74)</f>
        <v/>
      </c>
      <c r="E74" s="5" t="str">
        <f>IF($A74="","",SUMIFS('Stok Hareketleri'!$G$5:$G$2000,'Stok Hareketleri'!$D$5:$D$2000,$A74,'Stok Hareketleri'!$F$5:$F$2000,"Giriş"))</f>
        <v/>
      </c>
      <c r="F74" s="5" t="str">
        <f>IF($A74="","",SUMIFS('Stok Hareketleri'!$G$5:$G$2000,'Stok Hareketleri'!$D$5:$D$2000,$A74,'Stok Hareketleri'!$F$5:$F$2000,"Çıkış"))</f>
        <v/>
      </c>
      <c r="G74" s="5" t="str">
        <f t="shared" si="2"/>
        <v/>
      </c>
      <c r="H74" s="5" t="str">
        <f>IF($A74="","",'Malzeme Tanımlama'!F74)</f>
        <v/>
      </c>
      <c r="I74" s="5" t="str">
        <f t="shared" si="3"/>
        <v/>
      </c>
    </row>
    <row r="75" spans="1:9" x14ac:dyDescent="0.3">
      <c r="A75" s="7" t="str">
        <f>IF('Malzeme Tanımlama'!A75="","",'Malzeme Tanımlama'!A75)</f>
        <v/>
      </c>
      <c r="B75" s="5" t="str">
        <f>IF($A75="","",'Malzeme Tanımlama'!B75)</f>
        <v/>
      </c>
      <c r="C75" s="5" t="str">
        <f>IF($A75="","",'Malzeme Tanımlama'!C75)</f>
        <v/>
      </c>
      <c r="D75" s="5" t="str">
        <f>IF($A75="","",'Malzeme Tanımlama'!D75)</f>
        <v/>
      </c>
      <c r="E75" s="5" t="str">
        <f>IF($A75="","",SUMIFS('Stok Hareketleri'!$G$5:$G$2000,'Stok Hareketleri'!$D$5:$D$2000,$A75,'Stok Hareketleri'!$F$5:$F$2000,"Giriş"))</f>
        <v/>
      </c>
      <c r="F75" s="5" t="str">
        <f>IF($A75="","",SUMIFS('Stok Hareketleri'!$G$5:$G$2000,'Stok Hareketleri'!$D$5:$D$2000,$A75,'Stok Hareketleri'!$F$5:$F$2000,"Çıkış"))</f>
        <v/>
      </c>
      <c r="G75" s="5" t="str">
        <f t="shared" si="2"/>
        <v/>
      </c>
      <c r="H75" s="5" t="str">
        <f>IF($A75="","",'Malzeme Tanımlama'!F75)</f>
        <v/>
      </c>
      <c r="I75" s="5" t="str">
        <f t="shared" si="3"/>
        <v/>
      </c>
    </row>
    <row r="76" spans="1:9" x14ac:dyDescent="0.3">
      <c r="A76" s="7" t="str">
        <f>IF('Malzeme Tanımlama'!A76="","",'Malzeme Tanımlama'!A76)</f>
        <v/>
      </c>
      <c r="B76" s="5" t="str">
        <f>IF($A76="","",'Malzeme Tanımlama'!B76)</f>
        <v/>
      </c>
      <c r="C76" s="5" t="str">
        <f>IF($A76="","",'Malzeme Tanımlama'!C76)</f>
        <v/>
      </c>
      <c r="D76" s="5" t="str">
        <f>IF($A76="","",'Malzeme Tanımlama'!D76)</f>
        <v/>
      </c>
      <c r="E76" s="5" t="str">
        <f>IF($A76="","",SUMIFS('Stok Hareketleri'!$G$5:$G$2000,'Stok Hareketleri'!$D$5:$D$2000,$A76,'Stok Hareketleri'!$F$5:$F$2000,"Giriş"))</f>
        <v/>
      </c>
      <c r="F76" s="5" t="str">
        <f>IF($A76="","",SUMIFS('Stok Hareketleri'!$G$5:$G$2000,'Stok Hareketleri'!$D$5:$D$2000,$A76,'Stok Hareketleri'!$F$5:$F$2000,"Çıkış"))</f>
        <v/>
      </c>
      <c r="G76" s="5" t="str">
        <f t="shared" si="2"/>
        <v/>
      </c>
      <c r="H76" s="5" t="str">
        <f>IF($A76="","",'Malzeme Tanımlama'!F76)</f>
        <v/>
      </c>
      <c r="I76" s="5" t="str">
        <f t="shared" si="3"/>
        <v/>
      </c>
    </row>
    <row r="77" spans="1:9" x14ac:dyDescent="0.3">
      <c r="A77" s="7" t="str">
        <f>IF('Malzeme Tanımlama'!A77="","",'Malzeme Tanımlama'!A77)</f>
        <v/>
      </c>
      <c r="B77" s="5" t="str">
        <f>IF($A77="","",'Malzeme Tanımlama'!B77)</f>
        <v/>
      </c>
      <c r="C77" s="5" t="str">
        <f>IF($A77="","",'Malzeme Tanımlama'!C77)</f>
        <v/>
      </c>
      <c r="D77" s="5" t="str">
        <f>IF($A77="","",'Malzeme Tanımlama'!D77)</f>
        <v/>
      </c>
      <c r="E77" s="5" t="str">
        <f>IF($A77="","",SUMIFS('Stok Hareketleri'!$G$5:$G$2000,'Stok Hareketleri'!$D$5:$D$2000,$A77,'Stok Hareketleri'!$F$5:$F$2000,"Giriş"))</f>
        <v/>
      </c>
      <c r="F77" s="5" t="str">
        <f>IF($A77="","",SUMIFS('Stok Hareketleri'!$G$5:$G$2000,'Stok Hareketleri'!$D$5:$D$2000,$A77,'Stok Hareketleri'!$F$5:$F$2000,"Çıkış"))</f>
        <v/>
      </c>
      <c r="G77" s="5" t="str">
        <f t="shared" si="2"/>
        <v/>
      </c>
      <c r="H77" s="5" t="str">
        <f>IF($A77="","",'Malzeme Tanımlama'!F77)</f>
        <v/>
      </c>
      <c r="I77" s="5" t="str">
        <f t="shared" si="3"/>
        <v/>
      </c>
    </row>
    <row r="78" spans="1:9" x14ac:dyDescent="0.3">
      <c r="A78" s="7" t="str">
        <f>IF('Malzeme Tanımlama'!A78="","",'Malzeme Tanımlama'!A78)</f>
        <v/>
      </c>
      <c r="B78" s="5" t="str">
        <f>IF($A78="","",'Malzeme Tanımlama'!B78)</f>
        <v/>
      </c>
      <c r="C78" s="5" t="str">
        <f>IF($A78="","",'Malzeme Tanımlama'!C78)</f>
        <v/>
      </c>
      <c r="D78" s="5" t="str">
        <f>IF($A78="","",'Malzeme Tanımlama'!D78)</f>
        <v/>
      </c>
      <c r="E78" s="5" t="str">
        <f>IF($A78="","",SUMIFS('Stok Hareketleri'!$G$5:$G$2000,'Stok Hareketleri'!$D$5:$D$2000,$A78,'Stok Hareketleri'!$F$5:$F$2000,"Giriş"))</f>
        <v/>
      </c>
      <c r="F78" s="5" t="str">
        <f>IF($A78="","",SUMIFS('Stok Hareketleri'!$G$5:$G$2000,'Stok Hareketleri'!$D$5:$D$2000,$A78,'Stok Hareketleri'!$F$5:$F$2000,"Çıkış"))</f>
        <v/>
      </c>
      <c r="G78" s="5" t="str">
        <f t="shared" si="2"/>
        <v/>
      </c>
      <c r="H78" s="5" t="str">
        <f>IF($A78="","",'Malzeme Tanımlama'!F78)</f>
        <v/>
      </c>
      <c r="I78" s="5" t="str">
        <f t="shared" si="3"/>
        <v/>
      </c>
    </row>
    <row r="79" spans="1:9" x14ac:dyDescent="0.3">
      <c r="A79" s="7" t="str">
        <f>IF('Malzeme Tanımlama'!A79="","",'Malzeme Tanımlama'!A79)</f>
        <v/>
      </c>
      <c r="B79" s="5" t="str">
        <f>IF($A79="","",'Malzeme Tanımlama'!B79)</f>
        <v/>
      </c>
      <c r="C79" s="5" t="str">
        <f>IF($A79="","",'Malzeme Tanımlama'!C79)</f>
        <v/>
      </c>
      <c r="D79" s="5" t="str">
        <f>IF($A79="","",'Malzeme Tanımlama'!D79)</f>
        <v/>
      </c>
      <c r="E79" s="5" t="str">
        <f>IF($A79="","",SUMIFS('Stok Hareketleri'!$G$5:$G$2000,'Stok Hareketleri'!$D$5:$D$2000,$A79,'Stok Hareketleri'!$F$5:$F$2000,"Giriş"))</f>
        <v/>
      </c>
      <c r="F79" s="5" t="str">
        <f>IF($A79="","",SUMIFS('Stok Hareketleri'!$G$5:$G$2000,'Stok Hareketleri'!$D$5:$D$2000,$A79,'Stok Hareketleri'!$F$5:$F$2000,"Çıkış"))</f>
        <v/>
      </c>
      <c r="G79" s="5" t="str">
        <f t="shared" si="2"/>
        <v/>
      </c>
      <c r="H79" s="5" t="str">
        <f>IF($A79="","",'Malzeme Tanımlama'!F79)</f>
        <v/>
      </c>
      <c r="I79" s="5" t="str">
        <f t="shared" si="3"/>
        <v/>
      </c>
    </row>
    <row r="80" spans="1:9" x14ac:dyDescent="0.3">
      <c r="A80" s="7" t="str">
        <f>IF('Malzeme Tanımlama'!A80="","",'Malzeme Tanımlama'!A80)</f>
        <v/>
      </c>
      <c r="B80" s="5" t="str">
        <f>IF($A80="","",'Malzeme Tanımlama'!B80)</f>
        <v/>
      </c>
      <c r="C80" s="5" t="str">
        <f>IF($A80="","",'Malzeme Tanımlama'!C80)</f>
        <v/>
      </c>
      <c r="D80" s="5" t="str">
        <f>IF($A80="","",'Malzeme Tanımlama'!D80)</f>
        <v/>
      </c>
      <c r="E80" s="5" t="str">
        <f>IF($A80="","",SUMIFS('Stok Hareketleri'!$G$5:$G$2000,'Stok Hareketleri'!$D$5:$D$2000,$A80,'Stok Hareketleri'!$F$5:$F$2000,"Giriş"))</f>
        <v/>
      </c>
      <c r="F80" s="5" t="str">
        <f>IF($A80="","",SUMIFS('Stok Hareketleri'!$G$5:$G$2000,'Stok Hareketleri'!$D$5:$D$2000,$A80,'Stok Hareketleri'!$F$5:$F$2000,"Çıkış"))</f>
        <v/>
      </c>
      <c r="G80" s="5" t="str">
        <f t="shared" si="2"/>
        <v/>
      </c>
      <c r="H80" s="5" t="str">
        <f>IF($A80="","",'Malzeme Tanımlama'!F80)</f>
        <v/>
      </c>
      <c r="I80" s="5" t="str">
        <f t="shared" si="3"/>
        <v/>
      </c>
    </row>
    <row r="81" spans="1:9" x14ac:dyDescent="0.3">
      <c r="A81" s="7" t="str">
        <f>IF('Malzeme Tanımlama'!A81="","",'Malzeme Tanımlama'!A81)</f>
        <v/>
      </c>
      <c r="B81" s="5" t="str">
        <f>IF($A81="","",'Malzeme Tanımlama'!B81)</f>
        <v/>
      </c>
      <c r="C81" s="5" t="str">
        <f>IF($A81="","",'Malzeme Tanımlama'!C81)</f>
        <v/>
      </c>
      <c r="D81" s="5" t="str">
        <f>IF($A81="","",'Malzeme Tanımlama'!D81)</f>
        <v/>
      </c>
      <c r="E81" s="5" t="str">
        <f>IF($A81="","",SUMIFS('Stok Hareketleri'!$G$5:$G$2000,'Stok Hareketleri'!$D$5:$D$2000,$A81,'Stok Hareketleri'!$F$5:$F$2000,"Giriş"))</f>
        <v/>
      </c>
      <c r="F81" s="5" t="str">
        <f>IF($A81="","",SUMIFS('Stok Hareketleri'!$G$5:$G$2000,'Stok Hareketleri'!$D$5:$D$2000,$A81,'Stok Hareketleri'!$F$5:$F$2000,"Çıkış"))</f>
        <v/>
      </c>
      <c r="G81" s="5" t="str">
        <f t="shared" si="2"/>
        <v/>
      </c>
      <c r="H81" s="5" t="str">
        <f>IF($A81="","",'Malzeme Tanımlama'!F81)</f>
        <v/>
      </c>
      <c r="I81" s="5" t="str">
        <f t="shared" si="3"/>
        <v/>
      </c>
    </row>
    <row r="82" spans="1:9" x14ac:dyDescent="0.3">
      <c r="A82" s="7" t="str">
        <f>IF('Malzeme Tanımlama'!A82="","",'Malzeme Tanımlama'!A82)</f>
        <v/>
      </c>
      <c r="B82" s="5" t="str">
        <f>IF($A82="","",'Malzeme Tanımlama'!B82)</f>
        <v/>
      </c>
      <c r="C82" s="5" t="str">
        <f>IF($A82="","",'Malzeme Tanımlama'!C82)</f>
        <v/>
      </c>
      <c r="D82" s="5" t="str">
        <f>IF($A82="","",'Malzeme Tanımlama'!D82)</f>
        <v/>
      </c>
      <c r="E82" s="5" t="str">
        <f>IF($A82="","",SUMIFS('Stok Hareketleri'!$G$5:$G$2000,'Stok Hareketleri'!$D$5:$D$2000,$A82,'Stok Hareketleri'!$F$5:$F$2000,"Giriş"))</f>
        <v/>
      </c>
      <c r="F82" s="5" t="str">
        <f>IF($A82="","",SUMIFS('Stok Hareketleri'!$G$5:$G$2000,'Stok Hareketleri'!$D$5:$D$2000,$A82,'Stok Hareketleri'!$F$5:$F$2000,"Çıkış"))</f>
        <v/>
      </c>
      <c r="G82" s="5" t="str">
        <f t="shared" si="2"/>
        <v/>
      </c>
      <c r="H82" s="5" t="str">
        <f>IF($A82="","",'Malzeme Tanımlama'!F82)</f>
        <v/>
      </c>
      <c r="I82" s="5" t="str">
        <f t="shared" si="3"/>
        <v/>
      </c>
    </row>
    <row r="83" spans="1:9" x14ac:dyDescent="0.3">
      <c r="A83" s="7" t="str">
        <f>IF('Malzeme Tanımlama'!A83="","",'Malzeme Tanımlama'!A83)</f>
        <v/>
      </c>
      <c r="B83" s="5" t="str">
        <f>IF($A83="","",'Malzeme Tanımlama'!B83)</f>
        <v/>
      </c>
      <c r="C83" s="5" t="str">
        <f>IF($A83="","",'Malzeme Tanımlama'!C83)</f>
        <v/>
      </c>
      <c r="D83" s="5" t="str">
        <f>IF($A83="","",'Malzeme Tanımlama'!D83)</f>
        <v/>
      </c>
      <c r="E83" s="5" t="str">
        <f>IF($A83="","",SUMIFS('Stok Hareketleri'!$G$5:$G$2000,'Stok Hareketleri'!$D$5:$D$2000,$A83,'Stok Hareketleri'!$F$5:$F$2000,"Giriş"))</f>
        <v/>
      </c>
      <c r="F83" s="5" t="str">
        <f>IF($A83="","",SUMIFS('Stok Hareketleri'!$G$5:$G$2000,'Stok Hareketleri'!$D$5:$D$2000,$A83,'Stok Hareketleri'!$F$5:$F$2000,"Çıkış"))</f>
        <v/>
      </c>
      <c r="G83" s="5" t="str">
        <f t="shared" si="2"/>
        <v/>
      </c>
      <c r="H83" s="5" t="str">
        <f>IF($A83="","",'Malzeme Tanımlama'!F83)</f>
        <v/>
      </c>
      <c r="I83" s="5" t="str">
        <f t="shared" si="3"/>
        <v/>
      </c>
    </row>
    <row r="84" spans="1:9" x14ac:dyDescent="0.3">
      <c r="A84" s="7" t="str">
        <f>IF('Malzeme Tanımlama'!A84="","",'Malzeme Tanımlama'!A84)</f>
        <v/>
      </c>
      <c r="B84" s="5" t="str">
        <f>IF($A84="","",'Malzeme Tanımlama'!B84)</f>
        <v/>
      </c>
      <c r="C84" s="5" t="str">
        <f>IF($A84="","",'Malzeme Tanımlama'!C84)</f>
        <v/>
      </c>
      <c r="D84" s="5" t="str">
        <f>IF($A84="","",'Malzeme Tanımlama'!D84)</f>
        <v/>
      </c>
      <c r="E84" s="5" t="str">
        <f>IF($A84="","",SUMIFS('Stok Hareketleri'!$G$5:$G$2000,'Stok Hareketleri'!$D$5:$D$2000,$A84,'Stok Hareketleri'!$F$5:$F$2000,"Giriş"))</f>
        <v/>
      </c>
      <c r="F84" s="5" t="str">
        <f>IF($A84="","",SUMIFS('Stok Hareketleri'!$G$5:$G$2000,'Stok Hareketleri'!$D$5:$D$2000,$A84,'Stok Hareketleri'!$F$5:$F$2000,"Çıkış"))</f>
        <v/>
      </c>
      <c r="G84" s="5" t="str">
        <f t="shared" si="2"/>
        <v/>
      </c>
      <c r="H84" s="5" t="str">
        <f>IF($A84="","",'Malzeme Tanımlama'!F84)</f>
        <v/>
      </c>
      <c r="I84" s="5" t="str">
        <f t="shared" si="3"/>
        <v/>
      </c>
    </row>
    <row r="85" spans="1:9" x14ac:dyDescent="0.3">
      <c r="A85" s="7" t="str">
        <f>IF('Malzeme Tanımlama'!A85="","",'Malzeme Tanımlama'!A85)</f>
        <v/>
      </c>
      <c r="B85" s="5" t="str">
        <f>IF($A85="","",'Malzeme Tanımlama'!B85)</f>
        <v/>
      </c>
      <c r="C85" s="5" t="str">
        <f>IF($A85="","",'Malzeme Tanımlama'!C85)</f>
        <v/>
      </c>
      <c r="D85" s="5" t="str">
        <f>IF($A85="","",'Malzeme Tanımlama'!D85)</f>
        <v/>
      </c>
      <c r="E85" s="5" t="str">
        <f>IF($A85="","",SUMIFS('Stok Hareketleri'!$G$5:$G$2000,'Stok Hareketleri'!$D$5:$D$2000,$A85,'Stok Hareketleri'!$F$5:$F$2000,"Giriş"))</f>
        <v/>
      </c>
      <c r="F85" s="5" t="str">
        <f>IF($A85="","",SUMIFS('Stok Hareketleri'!$G$5:$G$2000,'Stok Hareketleri'!$D$5:$D$2000,$A85,'Stok Hareketleri'!$F$5:$F$2000,"Çıkış"))</f>
        <v/>
      </c>
      <c r="G85" s="5" t="str">
        <f t="shared" si="2"/>
        <v/>
      </c>
      <c r="H85" s="5" t="str">
        <f>IF($A85="","",'Malzeme Tanımlama'!F85)</f>
        <v/>
      </c>
      <c r="I85" s="5" t="str">
        <f t="shared" si="3"/>
        <v/>
      </c>
    </row>
    <row r="86" spans="1:9" x14ac:dyDescent="0.3">
      <c r="A86" s="7" t="str">
        <f>IF('Malzeme Tanımlama'!A86="","",'Malzeme Tanımlama'!A86)</f>
        <v/>
      </c>
      <c r="B86" s="5" t="str">
        <f>IF($A86="","",'Malzeme Tanımlama'!B86)</f>
        <v/>
      </c>
      <c r="C86" s="5" t="str">
        <f>IF($A86="","",'Malzeme Tanımlama'!C86)</f>
        <v/>
      </c>
      <c r="D86" s="5" t="str">
        <f>IF($A86="","",'Malzeme Tanımlama'!D86)</f>
        <v/>
      </c>
      <c r="E86" s="5" t="str">
        <f>IF($A86="","",SUMIFS('Stok Hareketleri'!$G$5:$G$2000,'Stok Hareketleri'!$D$5:$D$2000,$A86,'Stok Hareketleri'!$F$5:$F$2000,"Giriş"))</f>
        <v/>
      </c>
      <c r="F86" s="5" t="str">
        <f>IF($A86="","",SUMIFS('Stok Hareketleri'!$G$5:$G$2000,'Stok Hareketleri'!$D$5:$D$2000,$A86,'Stok Hareketleri'!$F$5:$F$2000,"Çıkış"))</f>
        <v/>
      </c>
      <c r="G86" s="5" t="str">
        <f t="shared" si="2"/>
        <v/>
      </c>
      <c r="H86" s="5" t="str">
        <f>IF($A86="","",'Malzeme Tanımlama'!F86)</f>
        <v/>
      </c>
      <c r="I86" s="5" t="str">
        <f t="shared" si="3"/>
        <v/>
      </c>
    </row>
    <row r="87" spans="1:9" x14ac:dyDescent="0.3">
      <c r="A87" s="7" t="str">
        <f>IF('Malzeme Tanımlama'!A87="","",'Malzeme Tanımlama'!A87)</f>
        <v/>
      </c>
      <c r="B87" s="5" t="str">
        <f>IF($A87="","",'Malzeme Tanımlama'!B87)</f>
        <v/>
      </c>
      <c r="C87" s="5" t="str">
        <f>IF($A87="","",'Malzeme Tanımlama'!C87)</f>
        <v/>
      </c>
      <c r="D87" s="5" t="str">
        <f>IF($A87="","",'Malzeme Tanımlama'!D87)</f>
        <v/>
      </c>
      <c r="E87" s="5" t="str">
        <f>IF($A87="","",SUMIFS('Stok Hareketleri'!$G$5:$G$2000,'Stok Hareketleri'!$D$5:$D$2000,$A87,'Stok Hareketleri'!$F$5:$F$2000,"Giriş"))</f>
        <v/>
      </c>
      <c r="F87" s="5" t="str">
        <f>IF($A87="","",SUMIFS('Stok Hareketleri'!$G$5:$G$2000,'Stok Hareketleri'!$D$5:$D$2000,$A87,'Stok Hareketleri'!$F$5:$F$2000,"Çıkış"))</f>
        <v/>
      </c>
      <c r="G87" s="5" t="str">
        <f t="shared" si="2"/>
        <v/>
      </c>
      <c r="H87" s="5" t="str">
        <f>IF($A87="","",'Malzeme Tanımlama'!F87)</f>
        <v/>
      </c>
      <c r="I87" s="5" t="str">
        <f t="shared" si="3"/>
        <v/>
      </c>
    </row>
    <row r="88" spans="1:9" x14ac:dyDescent="0.3">
      <c r="A88" s="7" t="str">
        <f>IF('Malzeme Tanımlama'!A88="","",'Malzeme Tanımlama'!A88)</f>
        <v/>
      </c>
      <c r="B88" s="5" t="str">
        <f>IF($A88="","",'Malzeme Tanımlama'!B88)</f>
        <v/>
      </c>
      <c r="C88" s="5" t="str">
        <f>IF($A88="","",'Malzeme Tanımlama'!C88)</f>
        <v/>
      </c>
      <c r="D88" s="5" t="str">
        <f>IF($A88="","",'Malzeme Tanımlama'!D88)</f>
        <v/>
      </c>
      <c r="E88" s="5" t="str">
        <f>IF($A88="","",SUMIFS('Stok Hareketleri'!$G$5:$G$2000,'Stok Hareketleri'!$D$5:$D$2000,$A88,'Stok Hareketleri'!$F$5:$F$2000,"Giriş"))</f>
        <v/>
      </c>
      <c r="F88" s="5" t="str">
        <f>IF($A88="","",SUMIFS('Stok Hareketleri'!$G$5:$G$2000,'Stok Hareketleri'!$D$5:$D$2000,$A88,'Stok Hareketleri'!$F$5:$F$2000,"Çıkış"))</f>
        <v/>
      </c>
      <c r="G88" s="5" t="str">
        <f t="shared" si="2"/>
        <v/>
      </c>
      <c r="H88" s="5" t="str">
        <f>IF($A88="","",'Malzeme Tanımlama'!F88)</f>
        <v/>
      </c>
      <c r="I88" s="5" t="str">
        <f t="shared" si="3"/>
        <v/>
      </c>
    </row>
    <row r="89" spans="1:9" x14ac:dyDescent="0.3">
      <c r="A89" s="7" t="str">
        <f>IF('Malzeme Tanımlama'!A89="","",'Malzeme Tanımlama'!A89)</f>
        <v/>
      </c>
      <c r="B89" s="5" t="str">
        <f>IF($A89="","",'Malzeme Tanımlama'!B89)</f>
        <v/>
      </c>
      <c r="C89" s="5" t="str">
        <f>IF($A89="","",'Malzeme Tanımlama'!C89)</f>
        <v/>
      </c>
      <c r="D89" s="5" t="str">
        <f>IF($A89="","",'Malzeme Tanımlama'!D89)</f>
        <v/>
      </c>
      <c r="E89" s="5" t="str">
        <f>IF($A89="","",SUMIFS('Stok Hareketleri'!$G$5:$G$2000,'Stok Hareketleri'!$D$5:$D$2000,$A89,'Stok Hareketleri'!$F$5:$F$2000,"Giriş"))</f>
        <v/>
      </c>
      <c r="F89" s="5" t="str">
        <f>IF($A89="","",SUMIFS('Stok Hareketleri'!$G$5:$G$2000,'Stok Hareketleri'!$D$5:$D$2000,$A89,'Stok Hareketleri'!$F$5:$F$2000,"Çıkış"))</f>
        <v/>
      </c>
      <c r="G89" s="5" t="str">
        <f t="shared" si="2"/>
        <v/>
      </c>
      <c r="H89" s="5" t="str">
        <f>IF($A89="","",'Malzeme Tanımlama'!F89)</f>
        <v/>
      </c>
      <c r="I89" s="5" t="str">
        <f t="shared" si="3"/>
        <v/>
      </c>
    </row>
    <row r="90" spans="1:9" x14ac:dyDescent="0.3">
      <c r="A90" s="7" t="str">
        <f>IF('Malzeme Tanımlama'!A90="","",'Malzeme Tanımlama'!A90)</f>
        <v/>
      </c>
      <c r="B90" s="5" t="str">
        <f>IF($A90="","",'Malzeme Tanımlama'!B90)</f>
        <v/>
      </c>
      <c r="C90" s="5" t="str">
        <f>IF($A90="","",'Malzeme Tanımlama'!C90)</f>
        <v/>
      </c>
      <c r="D90" s="5" t="str">
        <f>IF($A90="","",'Malzeme Tanımlama'!D90)</f>
        <v/>
      </c>
      <c r="E90" s="5" t="str">
        <f>IF($A90="","",SUMIFS('Stok Hareketleri'!$G$5:$G$2000,'Stok Hareketleri'!$D$5:$D$2000,$A90,'Stok Hareketleri'!$F$5:$F$2000,"Giriş"))</f>
        <v/>
      </c>
      <c r="F90" s="5" t="str">
        <f>IF($A90="","",SUMIFS('Stok Hareketleri'!$G$5:$G$2000,'Stok Hareketleri'!$D$5:$D$2000,$A90,'Stok Hareketleri'!$F$5:$F$2000,"Çıkış"))</f>
        <v/>
      </c>
      <c r="G90" s="5" t="str">
        <f t="shared" si="2"/>
        <v/>
      </c>
      <c r="H90" s="5" t="str">
        <f>IF($A90="","",'Malzeme Tanımlama'!F90)</f>
        <v/>
      </c>
      <c r="I90" s="5" t="str">
        <f t="shared" si="3"/>
        <v/>
      </c>
    </row>
    <row r="91" spans="1:9" x14ac:dyDescent="0.3">
      <c r="A91" s="7" t="str">
        <f>IF('Malzeme Tanımlama'!A91="","",'Malzeme Tanımlama'!A91)</f>
        <v/>
      </c>
      <c r="B91" s="5" t="str">
        <f>IF($A91="","",'Malzeme Tanımlama'!B91)</f>
        <v/>
      </c>
      <c r="C91" s="5" t="str">
        <f>IF($A91="","",'Malzeme Tanımlama'!C91)</f>
        <v/>
      </c>
      <c r="D91" s="5" t="str">
        <f>IF($A91="","",'Malzeme Tanımlama'!D91)</f>
        <v/>
      </c>
      <c r="E91" s="5" t="str">
        <f>IF($A91="","",SUMIFS('Stok Hareketleri'!$G$5:$G$2000,'Stok Hareketleri'!$D$5:$D$2000,$A91,'Stok Hareketleri'!$F$5:$F$2000,"Giriş"))</f>
        <v/>
      </c>
      <c r="F91" s="5" t="str">
        <f>IF($A91="","",SUMIFS('Stok Hareketleri'!$G$5:$G$2000,'Stok Hareketleri'!$D$5:$D$2000,$A91,'Stok Hareketleri'!$F$5:$F$2000,"Çıkış"))</f>
        <v/>
      </c>
      <c r="G91" s="5" t="str">
        <f t="shared" si="2"/>
        <v/>
      </c>
      <c r="H91" s="5" t="str">
        <f>IF($A91="","",'Malzeme Tanımlama'!F91)</f>
        <v/>
      </c>
      <c r="I91" s="5" t="str">
        <f t="shared" si="3"/>
        <v/>
      </c>
    </row>
    <row r="92" spans="1:9" x14ac:dyDescent="0.3">
      <c r="A92" s="7" t="str">
        <f>IF('Malzeme Tanımlama'!A92="","",'Malzeme Tanımlama'!A92)</f>
        <v/>
      </c>
      <c r="B92" s="5" t="str">
        <f>IF($A92="","",'Malzeme Tanımlama'!B92)</f>
        <v/>
      </c>
      <c r="C92" s="5" t="str">
        <f>IF($A92="","",'Malzeme Tanımlama'!C92)</f>
        <v/>
      </c>
      <c r="D92" s="5" t="str">
        <f>IF($A92="","",'Malzeme Tanımlama'!D92)</f>
        <v/>
      </c>
      <c r="E92" s="5" t="str">
        <f>IF($A92="","",SUMIFS('Stok Hareketleri'!$G$5:$G$2000,'Stok Hareketleri'!$D$5:$D$2000,$A92,'Stok Hareketleri'!$F$5:$F$2000,"Giriş"))</f>
        <v/>
      </c>
      <c r="F92" s="5" t="str">
        <f>IF($A92="","",SUMIFS('Stok Hareketleri'!$G$5:$G$2000,'Stok Hareketleri'!$D$5:$D$2000,$A92,'Stok Hareketleri'!$F$5:$F$2000,"Çıkış"))</f>
        <v/>
      </c>
      <c r="G92" s="5" t="str">
        <f t="shared" si="2"/>
        <v/>
      </c>
      <c r="H92" s="5" t="str">
        <f>IF($A92="","",'Malzeme Tanımlama'!F92)</f>
        <v/>
      </c>
      <c r="I92" s="5" t="str">
        <f t="shared" si="3"/>
        <v/>
      </c>
    </row>
    <row r="93" spans="1:9" x14ac:dyDescent="0.3">
      <c r="A93" s="7" t="str">
        <f>IF('Malzeme Tanımlama'!A93="","",'Malzeme Tanımlama'!A93)</f>
        <v/>
      </c>
      <c r="B93" s="5" t="str">
        <f>IF($A93="","",'Malzeme Tanımlama'!B93)</f>
        <v/>
      </c>
      <c r="C93" s="5" t="str">
        <f>IF($A93="","",'Malzeme Tanımlama'!C93)</f>
        <v/>
      </c>
      <c r="D93" s="5" t="str">
        <f>IF($A93="","",'Malzeme Tanımlama'!D93)</f>
        <v/>
      </c>
      <c r="E93" s="5" t="str">
        <f>IF($A93="","",SUMIFS('Stok Hareketleri'!$G$5:$G$2000,'Stok Hareketleri'!$D$5:$D$2000,$A93,'Stok Hareketleri'!$F$5:$F$2000,"Giriş"))</f>
        <v/>
      </c>
      <c r="F93" s="5" t="str">
        <f>IF($A93="","",SUMIFS('Stok Hareketleri'!$G$5:$G$2000,'Stok Hareketleri'!$D$5:$D$2000,$A93,'Stok Hareketleri'!$F$5:$F$2000,"Çıkış"))</f>
        <v/>
      </c>
      <c r="G93" s="5" t="str">
        <f t="shared" si="2"/>
        <v/>
      </c>
      <c r="H93" s="5" t="str">
        <f>IF($A93="","",'Malzeme Tanımlama'!F93)</f>
        <v/>
      </c>
      <c r="I93" s="5" t="str">
        <f t="shared" si="3"/>
        <v/>
      </c>
    </row>
    <row r="94" spans="1:9" x14ac:dyDescent="0.3">
      <c r="A94" s="7" t="str">
        <f>IF('Malzeme Tanımlama'!A94="","",'Malzeme Tanımlama'!A94)</f>
        <v/>
      </c>
      <c r="B94" s="5" t="str">
        <f>IF($A94="","",'Malzeme Tanımlama'!B94)</f>
        <v/>
      </c>
      <c r="C94" s="5" t="str">
        <f>IF($A94="","",'Malzeme Tanımlama'!C94)</f>
        <v/>
      </c>
      <c r="D94" s="5" t="str">
        <f>IF($A94="","",'Malzeme Tanımlama'!D94)</f>
        <v/>
      </c>
      <c r="E94" s="5" t="str">
        <f>IF($A94="","",SUMIFS('Stok Hareketleri'!$G$5:$G$2000,'Stok Hareketleri'!$D$5:$D$2000,$A94,'Stok Hareketleri'!$F$5:$F$2000,"Giriş"))</f>
        <v/>
      </c>
      <c r="F94" s="5" t="str">
        <f>IF($A94="","",SUMIFS('Stok Hareketleri'!$G$5:$G$2000,'Stok Hareketleri'!$D$5:$D$2000,$A94,'Stok Hareketleri'!$F$5:$F$2000,"Çıkış"))</f>
        <v/>
      </c>
      <c r="G94" s="5" t="str">
        <f t="shared" si="2"/>
        <v/>
      </c>
      <c r="H94" s="5" t="str">
        <f>IF($A94="","",'Malzeme Tanımlama'!F94)</f>
        <v/>
      </c>
      <c r="I94" s="5" t="str">
        <f t="shared" si="3"/>
        <v/>
      </c>
    </row>
    <row r="95" spans="1:9" x14ac:dyDescent="0.3">
      <c r="A95" s="7" t="str">
        <f>IF('Malzeme Tanımlama'!A95="","",'Malzeme Tanımlama'!A95)</f>
        <v/>
      </c>
      <c r="B95" s="5" t="str">
        <f>IF($A95="","",'Malzeme Tanımlama'!B95)</f>
        <v/>
      </c>
      <c r="C95" s="5" t="str">
        <f>IF($A95="","",'Malzeme Tanımlama'!C95)</f>
        <v/>
      </c>
      <c r="D95" s="5" t="str">
        <f>IF($A95="","",'Malzeme Tanımlama'!D95)</f>
        <v/>
      </c>
      <c r="E95" s="5" t="str">
        <f>IF($A95="","",SUMIFS('Stok Hareketleri'!$G$5:$G$2000,'Stok Hareketleri'!$D$5:$D$2000,$A95,'Stok Hareketleri'!$F$5:$F$2000,"Giriş"))</f>
        <v/>
      </c>
      <c r="F95" s="5" t="str">
        <f>IF($A95="","",SUMIFS('Stok Hareketleri'!$G$5:$G$2000,'Stok Hareketleri'!$D$5:$D$2000,$A95,'Stok Hareketleri'!$F$5:$F$2000,"Çıkış"))</f>
        <v/>
      </c>
      <c r="G95" s="5" t="str">
        <f t="shared" si="2"/>
        <v/>
      </c>
      <c r="H95" s="5" t="str">
        <f>IF($A95="","",'Malzeme Tanımlama'!F95)</f>
        <v/>
      </c>
      <c r="I95" s="5" t="str">
        <f t="shared" si="3"/>
        <v/>
      </c>
    </row>
    <row r="96" spans="1:9" x14ac:dyDescent="0.3">
      <c r="A96" s="7" t="str">
        <f>IF('Malzeme Tanımlama'!A96="","",'Malzeme Tanımlama'!A96)</f>
        <v/>
      </c>
      <c r="B96" s="5" t="str">
        <f>IF($A96="","",'Malzeme Tanımlama'!B96)</f>
        <v/>
      </c>
      <c r="C96" s="5" t="str">
        <f>IF($A96="","",'Malzeme Tanımlama'!C96)</f>
        <v/>
      </c>
      <c r="D96" s="5" t="str">
        <f>IF($A96="","",'Malzeme Tanımlama'!D96)</f>
        <v/>
      </c>
      <c r="E96" s="5" t="str">
        <f>IF($A96="","",SUMIFS('Stok Hareketleri'!$G$5:$G$2000,'Stok Hareketleri'!$D$5:$D$2000,$A96,'Stok Hareketleri'!$F$5:$F$2000,"Giriş"))</f>
        <v/>
      </c>
      <c r="F96" s="5" t="str">
        <f>IF($A96="","",SUMIFS('Stok Hareketleri'!$G$5:$G$2000,'Stok Hareketleri'!$D$5:$D$2000,$A96,'Stok Hareketleri'!$F$5:$F$2000,"Çıkış"))</f>
        <v/>
      </c>
      <c r="G96" s="5" t="str">
        <f t="shared" si="2"/>
        <v/>
      </c>
      <c r="H96" s="5" t="str">
        <f>IF($A96="","",'Malzeme Tanımlama'!F96)</f>
        <v/>
      </c>
      <c r="I96" s="5" t="str">
        <f t="shared" si="3"/>
        <v/>
      </c>
    </row>
    <row r="97" spans="1:9" x14ac:dyDescent="0.3">
      <c r="A97" s="7" t="str">
        <f>IF('Malzeme Tanımlama'!A97="","",'Malzeme Tanımlama'!A97)</f>
        <v/>
      </c>
      <c r="B97" s="5" t="str">
        <f>IF($A97="","",'Malzeme Tanımlama'!B97)</f>
        <v/>
      </c>
      <c r="C97" s="5" t="str">
        <f>IF($A97="","",'Malzeme Tanımlama'!C97)</f>
        <v/>
      </c>
      <c r="D97" s="5" t="str">
        <f>IF($A97="","",'Malzeme Tanımlama'!D97)</f>
        <v/>
      </c>
      <c r="E97" s="5" t="str">
        <f>IF($A97="","",SUMIFS('Stok Hareketleri'!$G$5:$G$2000,'Stok Hareketleri'!$D$5:$D$2000,$A97,'Stok Hareketleri'!$F$5:$F$2000,"Giriş"))</f>
        <v/>
      </c>
      <c r="F97" s="5" t="str">
        <f>IF($A97="","",SUMIFS('Stok Hareketleri'!$G$5:$G$2000,'Stok Hareketleri'!$D$5:$D$2000,$A97,'Stok Hareketleri'!$F$5:$F$2000,"Çıkış"))</f>
        <v/>
      </c>
      <c r="G97" s="5" t="str">
        <f t="shared" si="2"/>
        <v/>
      </c>
      <c r="H97" s="5" t="str">
        <f>IF($A97="","",'Malzeme Tanımlama'!F97)</f>
        <v/>
      </c>
      <c r="I97" s="5" t="str">
        <f t="shared" si="3"/>
        <v/>
      </c>
    </row>
    <row r="98" spans="1:9" x14ac:dyDescent="0.3">
      <c r="A98" s="7" t="str">
        <f>IF('Malzeme Tanımlama'!A98="","",'Malzeme Tanımlama'!A98)</f>
        <v/>
      </c>
      <c r="B98" s="5" t="str">
        <f>IF($A98="","",'Malzeme Tanımlama'!B98)</f>
        <v/>
      </c>
      <c r="C98" s="5" t="str">
        <f>IF($A98="","",'Malzeme Tanımlama'!C98)</f>
        <v/>
      </c>
      <c r="D98" s="5" t="str">
        <f>IF($A98="","",'Malzeme Tanımlama'!D98)</f>
        <v/>
      </c>
      <c r="E98" s="5" t="str">
        <f>IF($A98="","",SUMIFS('Stok Hareketleri'!$G$5:$G$2000,'Stok Hareketleri'!$D$5:$D$2000,$A98,'Stok Hareketleri'!$F$5:$F$2000,"Giriş"))</f>
        <v/>
      </c>
      <c r="F98" s="5" t="str">
        <f>IF($A98="","",SUMIFS('Stok Hareketleri'!$G$5:$G$2000,'Stok Hareketleri'!$D$5:$D$2000,$A98,'Stok Hareketleri'!$F$5:$F$2000,"Çıkış"))</f>
        <v/>
      </c>
      <c r="G98" s="5" t="str">
        <f t="shared" si="2"/>
        <v/>
      </c>
      <c r="H98" s="5" t="str">
        <f>IF($A98="","",'Malzeme Tanımlama'!F98)</f>
        <v/>
      </c>
      <c r="I98" s="5" t="str">
        <f t="shared" si="3"/>
        <v/>
      </c>
    </row>
    <row r="99" spans="1:9" x14ac:dyDescent="0.3">
      <c r="A99" s="7" t="str">
        <f>IF('Malzeme Tanımlama'!A99="","",'Malzeme Tanımlama'!A99)</f>
        <v/>
      </c>
      <c r="B99" s="5" t="str">
        <f>IF($A99="","",'Malzeme Tanımlama'!B99)</f>
        <v/>
      </c>
      <c r="C99" s="5" t="str">
        <f>IF($A99="","",'Malzeme Tanımlama'!C99)</f>
        <v/>
      </c>
      <c r="D99" s="5" t="str">
        <f>IF($A99="","",'Malzeme Tanımlama'!D99)</f>
        <v/>
      </c>
      <c r="E99" s="5" t="str">
        <f>IF($A99="","",SUMIFS('Stok Hareketleri'!$G$5:$G$2000,'Stok Hareketleri'!$D$5:$D$2000,$A99,'Stok Hareketleri'!$F$5:$F$2000,"Giriş"))</f>
        <v/>
      </c>
      <c r="F99" s="5" t="str">
        <f>IF($A99="","",SUMIFS('Stok Hareketleri'!$G$5:$G$2000,'Stok Hareketleri'!$D$5:$D$2000,$A99,'Stok Hareketleri'!$F$5:$F$2000,"Çıkış"))</f>
        <v/>
      </c>
      <c r="G99" s="5" t="str">
        <f t="shared" si="2"/>
        <v/>
      </c>
      <c r="H99" s="5" t="str">
        <f>IF($A99="","",'Malzeme Tanımlama'!F99)</f>
        <v/>
      </c>
      <c r="I99" s="5" t="str">
        <f t="shared" si="3"/>
        <v/>
      </c>
    </row>
    <row r="100" spans="1:9" x14ac:dyDescent="0.3">
      <c r="A100" s="7" t="str">
        <f>IF('Malzeme Tanımlama'!A100="","",'Malzeme Tanımlama'!A100)</f>
        <v/>
      </c>
      <c r="B100" s="5" t="str">
        <f>IF($A100="","",'Malzeme Tanımlama'!B100)</f>
        <v/>
      </c>
      <c r="C100" s="5" t="str">
        <f>IF($A100="","",'Malzeme Tanımlama'!C100)</f>
        <v/>
      </c>
      <c r="D100" s="5" t="str">
        <f>IF($A100="","",'Malzeme Tanımlama'!D100)</f>
        <v/>
      </c>
      <c r="E100" s="5" t="str">
        <f>IF($A100="","",SUMIFS('Stok Hareketleri'!$G$5:$G$2000,'Stok Hareketleri'!$D$5:$D$2000,$A100,'Stok Hareketleri'!$F$5:$F$2000,"Giriş"))</f>
        <v/>
      </c>
      <c r="F100" s="5" t="str">
        <f>IF($A100="","",SUMIFS('Stok Hareketleri'!$G$5:$G$2000,'Stok Hareketleri'!$D$5:$D$2000,$A100,'Stok Hareketleri'!$F$5:$F$2000,"Çıkış"))</f>
        <v/>
      </c>
      <c r="G100" s="5" t="str">
        <f t="shared" si="2"/>
        <v/>
      </c>
      <c r="H100" s="5" t="str">
        <f>IF($A100="","",'Malzeme Tanımlama'!F100)</f>
        <v/>
      </c>
      <c r="I100" s="5" t="str">
        <f t="shared" si="3"/>
        <v/>
      </c>
    </row>
    <row r="101" spans="1:9" x14ac:dyDescent="0.3">
      <c r="A101" s="7" t="str">
        <f>IF('Malzeme Tanımlama'!A101="","",'Malzeme Tanımlama'!A101)</f>
        <v/>
      </c>
      <c r="B101" s="5" t="str">
        <f>IF($A101="","",'Malzeme Tanımlama'!B101)</f>
        <v/>
      </c>
      <c r="C101" s="5" t="str">
        <f>IF($A101="","",'Malzeme Tanımlama'!C101)</f>
        <v/>
      </c>
      <c r="D101" s="5" t="str">
        <f>IF($A101="","",'Malzeme Tanımlama'!D101)</f>
        <v/>
      </c>
      <c r="E101" s="5" t="str">
        <f>IF($A101="","",SUMIFS('Stok Hareketleri'!$G$5:$G$2000,'Stok Hareketleri'!$D$5:$D$2000,$A101,'Stok Hareketleri'!$F$5:$F$2000,"Giriş"))</f>
        <v/>
      </c>
      <c r="F101" s="5" t="str">
        <f>IF($A101="","",SUMIFS('Stok Hareketleri'!$G$5:$G$2000,'Stok Hareketleri'!$D$5:$D$2000,$A101,'Stok Hareketleri'!$F$5:$F$2000,"Çıkış"))</f>
        <v/>
      </c>
      <c r="G101" s="5" t="str">
        <f t="shared" si="2"/>
        <v/>
      </c>
      <c r="H101" s="5" t="str">
        <f>IF($A101="","",'Malzeme Tanımlama'!F101)</f>
        <v/>
      </c>
      <c r="I101" s="5" t="str">
        <f t="shared" si="3"/>
        <v/>
      </c>
    </row>
    <row r="102" spans="1:9" x14ac:dyDescent="0.3">
      <c r="A102" s="7" t="str">
        <f>IF('Malzeme Tanımlama'!A102="","",'Malzeme Tanımlama'!A102)</f>
        <v/>
      </c>
      <c r="B102" s="5" t="str">
        <f>IF($A102="","",'Malzeme Tanımlama'!B102)</f>
        <v/>
      </c>
      <c r="C102" s="5" t="str">
        <f>IF($A102="","",'Malzeme Tanımlama'!C102)</f>
        <v/>
      </c>
      <c r="D102" s="5" t="str">
        <f>IF($A102="","",'Malzeme Tanımlama'!D102)</f>
        <v/>
      </c>
      <c r="E102" s="5" t="str">
        <f>IF($A102="","",SUMIFS('Stok Hareketleri'!$G$5:$G$2000,'Stok Hareketleri'!$D$5:$D$2000,$A102,'Stok Hareketleri'!$F$5:$F$2000,"Giriş"))</f>
        <v/>
      </c>
      <c r="F102" s="5" t="str">
        <f>IF($A102="","",SUMIFS('Stok Hareketleri'!$G$5:$G$2000,'Stok Hareketleri'!$D$5:$D$2000,$A102,'Stok Hareketleri'!$F$5:$F$2000,"Çıkış"))</f>
        <v/>
      </c>
      <c r="G102" s="5" t="str">
        <f t="shared" si="2"/>
        <v/>
      </c>
      <c r="H102" s="5" t="str">
        <f>IF($A102="","",'Malzeme Tanımlama'!F102)</f>
        <v/>
      </c>
      <c r="I102" s="5" t="str">
        <f t="shared" si="3"/>
        <v/>
      </c>
    </row>
    <row r="103" spans="1:9" x14ac:dyDescent="0.3">
      <c r="A103" s="7" t="str">
        <f>IF('Malzeme Tanımlama'!A103="","",'Malzeme Tanımlama'!A103)</f>
        <v/>
      </c>
      <c r="B103" s="5" t="str">
        <f>IF($A103="","",'Malzeme Tanımlama'!B103)</f>
        <v/>
      </c>
      <c r="C103" s="5" t="str">
        <f>IF($A103="","",'Malzeme Tanımlama'!C103)</f>
        <v/>
      </c>
      <c r="D103" s="5" t="str">
        <f>IF($A103="","",'Malzeme Tanımlama'!D103)</f>
        <v/>
      </c>
      <c r="E103" s="5" t="str">
        <f>IF($A103="","",SUMIFS('Stok Hareketleri'!$G$5:$G$2000,'Stok Hareketleri'!$D$5:$D$2000,$A103,'Stok Hareketleri'!$F$5:$F$2000,"Giriş"))</f>
        <v/>
      </c>
      <c r="F103" s="5" t="str">
        <f>IF($A103="","",SUMIFS('Stok Hareketleri'!$G$5:$G$2000,'Stok Hareketleri'!$D$5:$D$2000,$A103,'Stok Hareketleri'!$F$5:$F$2000,"Çıkış"))</f>
        <v/>
      </c>
      <c r="G103" s="5" t="str">
        <f t="shared" si="2"/>
        <v/>
      </c>
      <c r="H103" s="5" t="str">
        <f>IF($A103="","",'Malzeme Tanımlama'!F103)</f>
        <v/>
      </c>
      <c r="I103" s="5" t="str">
        <f t="shared" si="3"/>
        <v/>
      </c>
    </row>
    <row r="104" spans="1:9" x14ac:dyDescent="0.3">
      <c r="A104" s="7" t="str">
        <f>IF('Malzeme Tanımlama'!A104="","",'Malzeme Tanımlama'!A104)</f>
        <v/>
      </c>
      <c r="B104" s="5" t="str">
        <f>IF($A104="","",'Malzeme Tanımlama'!B104)</f>
        <v/>
      </c>
      <c r="C104" s="5" t="str">
        <f>IF($A104="","",'Malzeme Tanımlama'!C104)</f>
        <v/>
      </c>
      <c r="D104" s="5" t="str">
        <f>IF($A104="","",'Malzeme Tanımlama'!D104)</f>
        <v/>
      </c>
      <c r="E104" s="5" t="str">
        <f>IF($A104="","",SUMIFS('Stok Hareketleri'!$G$5:$G$2000,'Stok Hareketleri'!$D$5:$D$2000,$A104,'Stok Hareketleri'!$F$5:$F$2000,"Giriş"))</f>
        <v/>
      </c>
      <c r="F104" s="5" t="str">
        <f>IF($A104="","",SUMIFS('Stok Hareketleri'!$G$5:$G$2000,'Stok Hareketleri'!$D$5:$D$2000,$A104,'Stok Hareketleri'!$F$5:$F$2000,"Çıkış"))</f>
        <v/>
      </c>
      <c r="G104" s="5" t="str">
        <f t="shared" si="2"/>
        <v/>
      </c>
      <c r="H104" s="5" t="str">
        <f>IF($A104="","",'Malzeme Tanımlama'!F104)</f>
        <v/>
      </c>
      <c r="I104" s="5" t="str">
        <f t="shared" si="3"/>
        <v/>
      </c>
    </row>
    <row r="105" spans="1:9" x14ac:dyDescent="0.3">
      <c r="A105" s="7" t="str">
        <f>IF('Malzeme Tanımlama'!A105="","",'Malzeme Tanımlama'!A105)</f>
        <v/>
      </c>
      <c r="B105" s="5" t="str">
        <f>IF($A105="","",'Malzeme Tanımlama'!B105)</f>
        <v/>
      </c>
      <c r="C105" s="5" t="str">
        <f>IF($A105="","",'Malzeme Tanımlama'!C105)</f>
        <v/>
      </c>
      <c r="D105" s="5" t="str">
        <f>IF($A105="","",'Malzeme Tanımlama'!D105)</f>
        <v/>
      </c>
      <c r="E105" s="5" t="str">
        <f>IF($A105="","",SUMIFS('Stok Hareketleri'!$G$5:$G$2000,'Stok Hareketleri'!$D$5:$D$2000,$A105,'Stok Hareketleri'!$F$5:$F$2000,"Giriş"))</f>
        <v/>
      </c>
      <c r="F105" s="5" t="str">
        <f>IF($A105="","",SUMIFS('Stok Hareketleri'!$G$5:$G$2000,'Stok Hareketleri'!$D$5:$D$2000,$A105,'Stok Hareketleri'!$F$5:$F$2000,"Çıkış"))</f>
        <v/>
      </c>
      <c r="G105" s="5" t="str">
        <f t="shared" si="2"/>
        <v/>
      </c>
      <c r="H105" s="5" t="str">
        <f>IF($A105="","",'Malzeme Tanımlama'!F105)</f>
        <v/>
      </c>
      <c r="I105" s="5" t="str">
        <f t="shared" si="3"/>
        <v/>
      </c>
    </row>
    <row r="106" spans="1:9" x14ac:dyDescent="0.3">
      <c r="A106" s="7" t="str">
        <f>IF('Malzeme Tanımlama'!A106="","",'Malzeme Tanımlama'!A106)</f>
        <v/>
      </c>
      <c r="B106" s="5" t="str">
        <f>IF($A106="","",'Malzeme Tanımlama'!B106)</f>
        <v/>
      </c>
      <c r="C106" s="5" t="str">
        <f>IF($A106="","",'Malzeme Tanımlama'!C106)</f>
        <v/>
      </c>
      <c r="D106" s="5" t="str">
        <f>IF($A106="","",'Malzeme Tanımlama'!D106)</f>
        <v/>
      </c>
      <c r="E106" s="5" t="str">
        <f>IF($A106="","",SUMIFS('Stok Hareketleri'!$G$5:$G$2000,'Stok Hareketleri'!$D$5:$D$2000,$A106,'Stok Hareketleri'!$F$5:$F$2000,"Giriş"))</f>
        <v/>
      </c>
      <c r="F106" s="5" t="str">
        <f>IF($A106="","",SUMIFS('Stok Hareketleri'!$G$5:$G$2000,'Stok Hareketleri'!$D$5:$D$2000,$A106,'Stok Hareketleri'!$F$5:$F$2000,"Çıkış"))</f>
        <v/>
      </c>
      <c r="G106" s="5" t="str">
        <f t="shared" si="2"/>
        <v/>
      </c>
      <c r="H106" s="5" t="str">
        <f>IF($A106="","",'Malzeme Tanımlama'!F106)</f>
        <v/>
      </c>
      <c r="I106" s="5" t="str">
        <f t="shared" si="3"/>
        <v/>
      </c>
    </row>
    <row r="107" spans="1:9" x14ac:dyDescent="0.3">
      <c r="A107" s="7" t="str">
        <f>IF('Malzeme Tanımlama'!A107="","",'Malzeme Tanımlama'!A107)</f>
        <v/>
      </c>
      <c r="B107" s="5" t="str">
        <f>IF($A107="","",'Malzeme Tanımlama'!B107)</f>
        <v/>
      </c>
      <c r="C107" s="5" t="str">
        <f>IF($A107="","",'Malzeme Tanımlama'!C107)</f>
        <v/>
      </c>
      <c r="D107" s="5" t="str">
        <f>IF($A107="","",'Malzeme Tanımlama'!D107)</f>
        <v/>
      </c>
      <c r="E107" s="5" t="str">
        <f>IF($A107="","",SUMIFS('Stok Hareketleri'!$G$5:$G$2000,'Stok Hareketleri'!$D$5:$D$2000,$A107,'Stok Hareketleri'!$F$5:$F$2000,"Giriş"))</f>
        <v/>
      </c>
      <c r="F107" s="5" t="str">
        <f>IF($A107="","",SUMIFS('Stok Hareketleri'!$G$5:$G$2000,'Stok Hareketleri'!$D$5:$D$2000,$A107,'Stok Hareketleri'!$F$5:$F$2000,"Çıkış"))</f>
        <v/>
      </c>
      <c r="G107" s="5" t="str">
        <f t="shared" si="2"/>
        <v/>
      </c>
      <c r="H107" s="5" t="str">
        <f>IF($A107="","",'Malzeme Tanımlama'!F107)</f>
        <v/>
      </c>
      <c r="I107" s="5" t="str">
        <f t="shared" si="3"/>
        <v/>
      </c>
    </row>
    <row r="108" spans="1:9" x14ac:dyDescent="0.3">
      <c r="A108" s="7" t="str">
        <f>IF('Malzeme Tanımlama'!A108="","",'Malzeme Tanımlama'!A108)</f>
        <v/>
      </c>
      <c r="B108" s="5" t="str">
        <f>IF($A108="","",'Malzeme Tanımlama'!B108)</f>
        <v/>
      </c>
      <c r="C108" s="5" t="str">
        <f>IF($A108="","",'Malzeme Tanımlama'!C108)</f>
        <v/>
      </c>
      <c r="D108" s="5" t="str">
        <f>IF($A108="","",'Malzeme Tanımlama'!D108)</f>
        <v/>
      </c>
      <c r="E108" s="5" t="str">
        <f>IF($A108="","",SUMIFS('Stok Hareketleri'!$G$5:$G$2000,'Stok Hareketleri'!$D$5:$D$2000,$A108,'Stok Hareketleri'!$F$5:$F$2000,"Giriş"))</f>
        <v/>
      </c>
      <c r="F108" s="5" t="str">
        <f>IF($A108="","",SUMIFS('Stok Hareketleri'!$G$5:$G$2000,'Stok Hareketleri'!$D$5:$D$2000,$A108,'Stok Hareketleri'!$F$5:$F$2000,"Çıkış"))</f>
        <v/>
      </c>
      <c r="G108" s="5" t="str">
        <f t="shared" si="2"/>
        <v/>
      </c>
      <c r="H108" s="5" t="str">
        <f>IF($A108="","",'Malzeme Tanımlama'!F108)</f>
        <v/>
      </c>
      <c r="I108" s="5" t="str">
        <f t="shared" si="3"/>
        <v/>
      </c>
    </row>
    <row r="109" spans="1:9" x14ac:dyDescent="0.3">
      <c r="A109" s="7" t="str">
        <f>IF('Malzeme Tanımlama'!A109="","",'Malzeme Tanımlama'!A109)</f>
        <v/>
      </c>
      <c r="B109" s="5" t="str">
        <f>IF($A109="","",'Malzeme Tanımlama'!B109)</f>
        <v/>
      </c>
      <c r="C109" s="5" t="str">
        <f>IF($A109="","",'Malzeme Tanımlama'!C109)</f>
        <v/>
      </c>
      <c r="D109" s="5" t="str">
        <f>IF($A109="","",'Malzeme Tanımlama'!D109)</f>
        <v/>
      </c>
      <c r="E109" s="5" t="str">
        <f>IF($A109="","",SUMIFS('Stok Hareketleri'!$G$5:$G$2000,'Stok Hareketleri'!$D$5:$D$2000,$A109,'Stok Hareketleri'!$F$5:$F$2000,"Giriş"))</f>
        <v/>
      </c>
      <c r="F109" s="5" t="str">
        <f>IF($A109="","",SUMIFS('Stok Hareketleri'!$G$5:$G$2000,'Stok Hareketleri'!$D$5:$D$2000,$A109,'Stok Hareketleri'!$F$5:$F$2000,"Çıkış"))</f>
        <v/>
      </c>
      <c r="G109" s="5" t="str">
        <f t="shared" si="2"/>
        <v/>
      </c>
      <c r="H109" s="5" t="str">
        <f>IF($A109="","",'Malzeme Tanımlama'!F109)</f>
        <v/>
      </c>
      <c r="I109" s="5" t="str">
        <f t="shared" si="3"/>
        <v/>
      </c>
    </row>
    <row r="110" spans="1:9" x14ac:dyDescent="0.3">
      <c r="A110" s="7" t="str">
        <f>IF('Malzeme Tanımlama'!A110="","",'Malzeme Tanımlama'!A110)</f>
        <v/>
      </c>
      <c r="B110" s="5" t="str">
        <f>IF($A110="","",'Malzeme Tanımlama'!B110)</f>
        <v/>
      </c>
      <c r="C110" s="5" t="str">
        <f>IF($A110="","",'Malzeme Tanımlama'!C110)</f>
        <v/>
      </c>
      <c r="D110" s="5" t="str">
        <f>IF($A110="","",'Malzeme Tanımlama'!D110)</f>
        <v/>
      </c>
      <c r="E110" s="5" t="str">
        <f>IF($A110="","",SUMIFS('Stok Hareketleri'!$G$5:$G$2000,'Stok Hareketleri'!$D$5:$D$2000,$A110,'Stok Hareketleri'!$F$5:$F$2000,"Giriş"))</f>
        <v/>
      </c>
      <c r="F110" s="5" t="str">
        <f>IF($A110="","",SUMIFS('Stok Hareketleri'!$G$5:$G$2000,'Stok Hareketleri'!$D$5:$D$2000,$A110,'Stok Hareketleri'!$F$5:$F$2000,"Çıkış"))</f>
        <v/>
      </c>
      <c r="G110" s="5" t="str">
        <f t="shared" si="2"/>
        <v/>
      </c>
      <c r="H110" s="5" t="str">
        <f>IF($A110="","",'Malzeme Tanımlama'!F110)</f>
        <v/>
      </c>
      <c r="I110" s="5" t="str">
        <f t="shared" si="3"/>
        <v/>
      </c>
    </row>
    <row r="111" spans="1:9" x14ac:dyDescent="0.3">
      <c r="A111" s="7" t="str">
        <f>IF('Malzeme Tanımlama'!A111="","",'Malzeme Tanımlama'!A111)</f>
        <v/>
      </c>
      <c r="B111" s="5" t="str">
        <f>IF($A111="","",'Malzeme Tanımlama'!B111)</f>
        <v/>
      </c>
      <c r="C111" s="5" t="str">
        <f>IF($A111="","",'Malzeme Tanımlama'!C111)</f>
        <v/>
      </c>
      <c r="D111" s="5" t="str">
        <f>IF($A111="","",'Malzeme Tanımlama'!D111)</f>
        <v/>
      </c>
      <c r="E111" s="5" t="str">
        <f>IF($A111="","",SUMIFS('Stok Hareketleri'!$G$5:$G$2000,'Stok Hareketleri'!$D$5:$D$2000,$A111,'Stok Hareketleri'!$F$5:$F$2000,"Giriş"))</f>
        <v/>
      </c>
      <c r="F111" s="5" t="str">
        <f>IF($A111="","",SUMIFS('Stok Hareketleri'!$G$5:$G$2000,'Stok Hareketleri'!$D$5:$D$2000,$A111,'Stok Hareketleri'!$F$5:$F$2000,"Çıkış"))</f>
        <v/>
      </c>
      <c r="G111" s="5" t="str">
        <f t="shared" si="2"/>
        <v/>
      </c>
      <c r="H111" s="5" t="str">
        <f>IF($A111="","",'Malzeme Tanımlama'!F111)</f>
        <v/>
      </c>
      <c r="I111" s="5" t="str">
        <f t="shared" si="3"/>
        <v/>
      </c>
    </row>
    <row r="112" spans="1:9" x14ac:dyDescent="0.3">
      <c r="A112" s="7" t="str">
        <f>IF('Malzeme Tanımlama'!A112="","",'Malzeme Tanımlama'!A112)</f>
        <v/>
      </c>
      <c r="B112" s="5" t="str">
        <f>IF($A112="","",'Malzeme Tanımlama'!B112)</f>
        <v/>
      </c>
      <c r="C112" s="5" t="str">
        <f>IF($A112="","",'Malzeme Tanımlama'!C112)</f>
        <v/>
      </c>
      <c r="D112" s="5" t="str">
        <f>IF($A112="","",'Malzeme Tanımlama'!D112)</f>
        <v/>
      </c>
      <c r="E112" s="5" t="str">
        <f>IF($A112="","",SUMIFS('Stok Hareketleri'!$G$5:$G$2000,'Stok Hareketleri'!$D$5:$D$2000,$A112,'Stok Hareketleri'!$F$5:$F$2000,"Giriş"))</f>
        <v/>
      </c>
      <c r="F112" s="5" t="str">
        <f>IF($A112="","",SUMIFS('Stok Hareketleri'!$G$5:$G$2000,'Stok Hareketleri'!$D$5:$D$2000,$A112,'Stok Hareketleri'!$F$5:$F$2000,"Çıkış"))</f>
        <v/>
      </c>
      <c r="G112" s="5" t="str">
        <f t="shared" si="2"/>
        <v/>
      </c>
      <c r="H112" s="5" t="str">
        <f>IF($A112="","",'Malzeme Tanımlama'!F112)</f>
        <v/>
      </c>
      <c r="I112" s="5" t="str">
        <f t="shared" si="3"/>
        <v/>
      </c>
    </row>
    <row r="113" spans="1:9" x14ac:dyDescent="0.3">
      <c r="A113" s="7" t="str">
        <f>IF('Malzeme Tanımlama'!A113="","",'Malzeme Tanımlama'!A113)</f>
        <v/>
      </c>
      <c r="B113" s="5" t="str">
        <f>IF($A113="","",'Malzeme Tanımlama'!B113)</f>
        <v/>
      </c>
      <c r="C113" s="5" t="str">
        <f>IF($A113="","",'Malzeme Tanımlama'!C113)</f>
        <v/>
      </c>
      <c r="D113" s="5" t="str">
        <f>IF($A113="","",'Malzeme Tanımlama'!D113)</f>
        <v/>
      </c>
      <c r="E113" s="5" t="str">
        <f>IF($A113="","",SUMIFS('Stok Hareketleri'!$G$5:$G$2000,'Stok Hareketleri'!$D$5:$D$2000,$A113,'Stok Hareketleri'!$F$5:$F$2000,"Giriş"))</f>
        <v/>
      </c>
      <c r="F113" s="5" t="str">
        <f>IF($A113="","",SUMIFS('Stok Hareketleri'!$G$5:$G$2000,'Stok Hareketleri'!$D$5:$D$2000,$A113,'Stok Hareketleri'!$F$5:$F$2000,"Çıkış"))</f>
        <v/>
      </c>
      <c r="G113" s="5" t="str">
        <f t="shared" si="2"/>
        <v/>
      </c>
      <c r="H113" s="5" t="str">
        <f>IF($A113="","",'Malzeme Tanımlama'!F113)</f>
        <v/>
      </c>
      <c r="I113" s="5" t="str">
        <f t="shared" si="3"/>
        <v/>
      </c>
    </row>
    <row r="114" spans="1:9" x14ac:dyDescent="0.3">
      <c r="A114" s="7" t="str">
        <f>IF('Malzeme Tanımlama'!A114="","",'Malzeme Tanımlama'!A114)</f>
        <v/>
      </c>
      <c r="B114" s="5" t="str">
        <f>IF($A114="","",'Malzeme Tanımlama'!B114)</f>
        <v/>
      </c>
      <c r="C114" s="5" t="str">
        <f>IF($A114="","",'Malzeme Tanımlama'!C114)</f>
        <v/>
      </c>
      <c r="D114" s="5" t="str">
        <f>IF($A114="","",'Malzeme Tanımlama'!D114)</f>
        <v/>
      </c>
      <c r="E114" s="5" t="str">
        <f>IF($A114="","",SUMIFS('Stok Hareketleri'!$G$5:$G$2000,'Stok Hareketleri'!$D$5:$D$2000,$A114,'Stok Hareketleri'!$F$5:$F$2000,"Giriş"))</f>
        <v/>
      </c>
      <c r="F114" s="5" t="str">
        <f>IF($A114="","",SUMIFS('Stok Hareketleri'!$G$5:$G$2000,'Stok Hareketleri'!$D$5:$D$2000,$A114,'Stok Hareketleri'!$F$5:$F$2000,"Çıkış"))</f>
        <v/>
      </c>
      <c r="G114" s="5" t="str">
        <f t="shared" si="2"/>
        <v/>
      </c>
      <c r="H114" s="5" t="str">
        <f>IF($A114="","",'Malzeme Tanımlama'!F114)</f>
        <v/>
      </c>
      <c r="I114" s="5" t="str">
        <f t="shared" si="3"/>
        <v/>
      </c>
    </row>
    <row r="115" spans="1:9" x14ac:dyDescent="0.3">
      <c r="A115" s="7" t="str">
        <f>IF('Malzeme Tanımlama'!A115="","",'Malzeme Tanımlama'!A115)</f>
        <v/>
      </c>
      <c r="B115" s="5" t="str">
        <f>IF($A115="","",'Malzeme Tanımlama'!B115)</f>
        <v/>
      </c>
      <c r="C115" s="5" t="str">
        <f>IF($A115="","",'Malzeme Tanımlama'!C115)</f>
        <v/>
      </c>
      <c r="D115" s="5" t="str">
        <f>IF($A115="","",'Malzeme Tanımlama'!D115)</f>
        <v/>
      </c>
      <c r="E115" s="5" t="str">
        <f>IF($A115="","",SUMIFS('Stok Hareketleri'!$G$5:$G$2000,'Stok Hareketleri'!$D$5:$D$2000,$A115,'Stok Hareketleri'!$F$5:$F$2000,"Giriş"))</f>
        <v/>
      </c>
      <c r="F115" s="5" t="str">
        <f>IF($A115="","",SUMIFS('Stok Hareketleri'!$G$5:$G$2000,'Stok Hareketleri'!$D$5:$D$2000,$A115,'Stok Hareketleri'!$F$5:$F$2000,"Çıkış"))</f>
        <v/>
      </c>
      <c r="G115" s="5" t="str">
        <f t="shared" si="2"/>
        <v/>
      </c>
      <c r="H115" s="5" t="str">
        <f>IF($A115="","",'Malzeme Tanımlama'!F115)</f>
        <v/>
      </c>
      <c r="I115" s="5" t="str">
        <f t="shared" si="3"/>
        <v/>
      </c>
    </row>
    <row r="116" spans="1:9" x14ac:dyDescent="0.3">
      <c r="A116" s="7" t="str">
        <f>IF('Malzeme Tanımlama'!A116="","",'Malzeme Tanımlama'!A116)</f>
        <v/>
      </c>
      <c r="B116" s="5" t="str">
        <f>IF($A116="","",'Malzeme Tanımlama'!B116)</f>
        <v/>
      </c>
      <c r="C116" s="5" t="str">
        <f>IF($A116="","",'Malzeme Tanımlama'!C116)</f>
        <v/>
      </c>
      <c r="D116" s="5" t="str">
        <f>IF($A116="","",'Malzeme Tanımlama'!D116)</f>
        <v/>
      </c>
      <c r="E116" s="5" t="str">
        <f>IF($A116="","",SUMIFS('Stok Hareketleri'!$G$5:$G$2000,'Stok Hareketleri'!$D$5:$D$2000,$A116,'Stok Hareketleri'!$F$5:$F$2000,"Giriş"))</f>
        <v/>
      </c>
      <c r="F116" s="5" t="str">
        <f>IF($A116="","",SUMIFS('Stok Hareketleri'!$G$5:$G$2000,'Stok Hareketleri'!$D$5:$D$2000,$A116,'Stok Hareketleri'!$F$5:$F$2000,"Çıkış"))</f>
        <v/>
      </c>
      <c r="G116" s="5" t="str">
        <f t="shared" si="2"/>
        <v/>
      </c>
      <c r="H116" s="5" t="str">
        <f>IF($A116="","",'Malzeme Tanımlama'!F116)</f>
        <v/>
      </c>
      <c r="I116" s="5" t="str">
        <f t="shared" si="3"/>
        <v/>
      </c>
    </row>
    <row r="117" spans="1:9" x14ac:dyDescent="0.3">
      <c r="A117" s="7" t="str">
        <f>IF('Malzeme Tanımlama'!A117="","",'Malzeme Tanımlama'!A117)</f>
        <v/>
      </c>
      <c r="B117" s="5" t="str">
        <f>IF($A117="","",'Malzeme Tanımlama'!B117)</f>
        <v/>
      </c>
      <c r="C117" s="5" t="str">
        <f>IF($A117="","",'Malzeme Tanımlama'!C117)</f>
        <v/>
      </c>
      <c r="D117" s="5" t="str">
        <f>IF($A117="","",'Malzeme Tanımlama'!D117)</f>
        <v/>
      </c>
      <c r="E117" s="5" t="str">
        <f>IF($A117="","",SUMIFS('Stok Hareketleri'!$G$5:$G$2000,'Stok Hareketleri'!$D$5:$D$2000,$A117,'Stok Hareketleri'!$F$5:$F$2000,"Giriş"))</f>
        <v/>
      </c>
      <c r="F117" s="5" t="str">
        <f>IF($A117="","",SUMIFS('Stok Hareketleri'!$G$5:$G$2000,'Stok Hareketleri'!$D$5:$D$2000,$A117,'Stok Hareketleri'!$F$5:$F$2000,"Çıkış"))</f>
        <v/>
      </c>
      <c r="G117" s="5" t="str">
        <f t="shared" si="2"/>
        <v/>
      </c>
      <c r="H117" s="5" t="str">
        <f>IF($A117="","",'Malzeme Tanımlama'!F117)</f>
        <v/>
      </c>
      <c r="I117" s="5" t="str">
        <f t="shared" si="3"/>
        <v/>
      </c>
    </row>
    <row r="118" spans="1:9" x14ac:dyDescent="0.3">
      <c r="A118" s="7" t="str">
        <f>IF('Malzeme Tanımlama'!A118="","",'Malzeme Tanımlama'!A118)</f>
        <v/>
      </c>
      <c r="B118" s="5" t="str">
        <f>IF($A118="","",'Malzeme Tanımlama'!B118)</f>
        <v/>
      </c>
      <c r="C118" s="5" t="str">
        <f>IF($A118="","",'Malzeme Tanımlama'!C118)</f>
        <v/>
      </c>
      <c r="D118" s="5" t="str">
        <f>IF($A118="","",'Malzeme Tanımlama'!D118)</f>
        <v/>
      </c>
      <c r="E118" s="5" t="str">
        <f>IF($A118="","",SUMIFS('Stok Hareketleri'!$G$5:$G$2000,'Stok Hareketleri'!$D$5:$D$2000,$A118,'Stok Hareketleri'!$F$5:$F$2000,"Giriş"))</f>
        <v/>
      </c>
      <c r="F118" s="5" t="str">
        <f>IF($A118="","",SUMIFS('Stok Hareketleri'!$G$5:$G$2000,'Stok Hareketleri'!$D$5:$D$2000,$A118,'Stok Hareketleri'!$F$5:$F$2000,"Çıkış"))</f>
        <v/>
      </c>
      <c r="G118" s="5" t="str">
        <f t="shared" si="2"/>
        <v/>
      </c>
      <c r="H118" s="5" t="str">
        <f>IF($A118="","",'Malzeme Tanımlama'!F118)</f>
        <v/>
      </c>
      <c r="I118" s="5" t="str">
        <f t="shared" si="3"/>
        <v/>
      </c>
    </row>
    <row r="119" spans="1:9" x14ac:dyDescent="0.3">
      <c r="A119" s="7" t="str">
        <f>IF('Malzeme Tanımlama'!A119="","",'Malzeme Tanımlama'!A119)</f>
        <v/>
      </c>
      <c r="B119" s="5" t="str">
        <f>IF($A119="","",'Malzeme Tanımlama'!B119)</f>
        <v/>
      </c>
      <c r="C119" s="5" t="str">
        <f>IF($A119="","",'Malzeme Tanımlama'!C119)</f>
        <v/>
      </c>
      <c r="D119" s="5" t="str">
        <f>IF($A119="","",'Malzeme Tanımlama'!D119)</f>
        <v/>
      </c>
      <c r="E119" s="5" t="str">
        <f>IF($A119="","",SUMIFS('Stok Hareketleri'!$G$5:$G$2000,'Stok Hareketleri'!$D$5:$D$2000,$A119,'Stok Hareketleri'!$F$5:$F$2000,"Giriş"))</f>
        <v/>
      </c>
      <c r="F119" s="5" t="str">
        <f>IF($A119="","",SUMIFS('Stok Hareketleri'!$G$5:$G$2000,'Stok Hareketleri'!$D$5:$D$2000,$A119,'Stok Hareketleri'!$F$5:$F$2000,"Çıkış"))</f>
        <v/>
      </c>
      <c r="G119" s="5" t="str">
        <f t="shared" si="2"/>
        <v/>
      </c>
      <c r="H119" s="5" t="str">
        <f>IF($A119="","",'Malzeme Tanımlama'!F119)</f>
        <v/>
      </c>
      <c r="I119" s="5" t="str">
        <f t="shared" si="3"/>
        <v/>
      </c>
    </row>
    <row r="120" spans="1:9" x14ac:dyDescent="0.3">
      <c r="A120" s="7" t="str">
        <f>IF('Malzeme Tanımlama'!A120="","",'Malzeme Tanımlama'!A120)</f>
        <v/>
      </c>
      <c r="B120" s="5" t="str">
        <f>IF($A120="","",'Malzeme Tanımlama'!B120)</f>
        <v/>
      </c>
      <c r="C120" s="5" t="str">
        <f>IF($A120="","",'Malzeme Tanımlama'!C120)</f>
        <v/>
      </c>
      <c r="D120" s="5" t="str">
        <f>IF($A120="","",'Malzeme Tanımlama'!D120)</f>
        <v/>
      </c>
      <c r="E120" s="5" t="str">
        <f>IF($A120="","",SUMIFS('Stok Hareketleri'!$G$5:$G$2000,'Stok Hareketleri'!$D$5:$D$2000,$A120,'Stok Hareketleri'!$F$5:$F$2000,"Giriş"))</f>
        <v/>
      </c>
      <c r="F120" s="5" t="str">
        <f>IF($A120="","",SUMIFS('Stok Hareketleri'!$G$5:$G$2000,'Stok Hareketleri'!$D$5:$D$2000,$A120,'Stok Hareketleri'!$F$5:$F$2000,"Çıkış"))</f>
        <v/>
      </c>
      <c r="G120" s="5" t="str">
        <f t="shared" si="2"/>
        <v/>
      </c>
      <c r="H120" s="5" t="str">
        <f>IF($A120="","",'Malzeme Tanımlama'!F120)</f>
        <v/>
      </c>
      <c r="I120" s="5" t="str">
        <f t="shared" si="3"/>
        <v/>
      </c>
    </row>
    <row r="121" spans="1:9" x14ac:dyDescent="0.3">
      <c r="A121" s="7" t="str">
        <f>IF('Malzeme Tanımlama'!A121="","",'Malzeme Tanımlama'!A121)</f>
        <v/>
      </c>
      <c r="B121" s="5" t="str">
        <f>IF($A121="","",'Malzeme Tanımlama'!B121)</f>
        <v/>
      </c>
      <c r="C121" s="5" t="str">
        <f>IF($A121="","",'Malzeme Tanımlama'!C121)</f>
        <v/>
      </c>
      <c r="D121" s="5" t="str">
        <f>IF($A121="","",'Malzeme Tanımlama'!D121)</f>
        <v/>
      </c>
      <c r="E121" s="5" t="str">
        <f>IF($A121="","",SUMIFS('Stok Hareketleri'!$G$5:$G$2000,'Stok Hareketleri'!$D$5:$D$2000,$A121,'Stok Hareketleri'!$F$5:$F$2000,"Giriş"))</f>
        <v/>
      </c>
      <c r="F121" s="5" t="str">
        <f>IF($A121="","",SUMIFS('Stok Hareketleri'!$G$5:$G$2000,'Stok Hareketleri'!$D$5:$D$2000,$A121,'Stok Hareketleri'!$F$5:$F$2000,"Çıkış"))</f>
        <v/>
      </c>
      <c r="G121" s="5" t="str">
        <f t="shared" si="2"/>
        <v/>
      </c>
      <c r="H121" s="5" t="str">
        <f>IF($A121="","",'Malzeme Tanımlama'!F121)</f>
        <v/>
      </c>
      <c r="I121" s="5" t="str">
        <f t="shared" si="3"/>
        <v/>
      </c>
    </row>
    <row r="122" spans="1:9" x14ac:dyDescent="0.3">
      <c r="A122" s="7" t="str">
        <f>IF('Malzeme Tanımlama'!A122="","",'Malzeme Tanımlama'!A122)</f>
        <v/>
      </c>
      <c r="B122" s="5" t="str">
        <f>IF($A122="","",'Malzeme Tanımlama'!B122)</f>
        <v/>
      </c>
      <c r="C122" s="5" t="str">
        <f>IF($A122="","",'Malzeme Tanımlama'!C122)</f>
        <v/>
      </c>
      <c r="D122" s="5" t="str">
        <f>IF($A122="","",'Malzeme Tanımlama'!D122)</f>
        <v/>
      </c>
      <c r="E122" s="5" t="str">
        <f>IF($A122="","",SUMIFS('Stok Hareketleri'!$G$5:$G$2000,'Stok Hareketleri'!$D$5:$D$2000,$A122,'Stok Hareketleri'!$F$5:$F$2000,"Giriş"))</f>
        <v/>
      </c>
      <c r="F122" s="5" t="str">
        <f>IF($A122="","",SUMIFS('Stok Hareketleri'!$G$5:$G$2000,'Stok Hareketleri'!$D$5:$D$2000,$A122,'Stok Hareketleri'!$F$5:$F$2000,"Çıkış"))</f>
        <v/>
      </c>
      <c r="G122" s="5" t="str">
        <f t="shared" si="2"/>
        <v/>
      </c>
      <c r="H122" s="5" t="str">
        <f>IF($A122="","",'Malzeme Tanımlama'!F122)</f>
        <v/>
      </c>
      <c r="I122" s="5" t="str">
        <f t="shared" si="3"/>
        <v/>
      </c>
    </row>
    <row r="123" spans="1:9" x14ac:dyDescent="0.3">
      <c r="A123" s="7" t="str">
        <f>IF('Malzeme Tanımlama'!A123="","",'Malzeme Tanımlama'!A123)</f>
        <v/>
      </c>
      <c r="B123" s="5" t="str">
        <f>IF($A123="","",'Malzeme Tanımlama'!B123)</f>
        <v/>
      </c>
      <c r="C123" s="5" t="str">
        <f>IF($A123="","",'Malzeme Tanımlama'!C123)</f>
        <v/>
      </c>
      <c r="D123" s="5" t="str">
        <f>IF($A123="","",'Malzeme Tanımlama'!D123)</f>
        <v/>
      </c>
      <c r="E123" s="5" t="str">
        <f>IF($A123="","",SUMIFS('Stok Hareketleri'!$G$5:$G$2000,'Stok Hareketleri'!$D$5:$D$2000,$A123,'Stok Hareketleri'!$F$5:$F$2000,"Giriş"))</f>
        <v/>
      </c>
      <c r="F123" s="5" t="str">
        <f>IF($A123="","",SUMIFS('Stok Hareketleri'!$G$5:$G$2000,'Stok Hareketleri'!$D$5:$D$2000,$A123,'Stok Hareketleri'!$F$5:$F$2000,"Çıkış"))</f>
        <v/>
      </c>
      <c r="G123" s="5" t="str">
        <f t="shared" si="2"/>
        <v/>
      </c>
      <c r="H123" s="5" t="str">
        <f>IF($A123="","",'Malzeme Tanımlama'!F123)</f>
        <v/>
      </c>
      <c r="I123" s="5" t="str">
        <f t="shared" si="3"/>
        <v/>
      </c>
    </row>
    <row r="124" spans="1:9" x14ac:dyDescent="0.3">
      <c r="A124" s="7" t="str">
        <f>IF('Malzeme Tanımlama'!A124="","",'Malzeme Tanımlama'!A124)</f>
        <v/>
      </c>
      <c r="B124" s="5" t="str">
        <f>IF($A124="","",'Malzeme Tanımlama'!B124)</f>
        <v/>
      </c>
      <c r="C124" s="5" t="str">
        <f>IF($A124="","",'Malzeme Tanımlama'!C124)</f>
        <v/>
      </c>
      <c r="D124" s="5" t="str">
        <f>IF($A124="","",'Malzeme Tanımlama'!D124)</f>
        <v/>
      </c>
      <c r="E124" s="5" t="str">
        <f>IF($A124="","",SUMIFS('Stok Hareketleri'!$G$5:$G$2000,'Stok Hareketleri'!$D$5:$D$2000,$A124,'Stok Hareketleri'!$F$5:$F$2000,"Giriş"))</f>
        <v/>
      </c>
      <c r="F124" s="5" t="str">
        <f>IF($A124="","",SUMIFS('Stok Hareketleri'!$G$5:$G$2000,'Stok Hareketleri'!$D$5:$D$2000,$A124,'Stok Hareketleri'!$F$5:$F$2000,"Çıkış"))</f>
        <v/>
      </c>
      <c r="G124" s="5" t="str">
        <f t="shared" si="2"/>
        <v/>
      </c>
      <c r="H124" s="5" t="str">
        <f>IF($A124="","",'Malzeme Tanımlama'!F124)</f>
        <v/>
      </c>
      <c r="I124" s="5" t="str">
        <f t="shared" si="3"/>
        <v/>
      </c>
    </row>
    <row r="125" spans="1:9" x14ac:dyDescent="0.3">
      <c r="A125" s="7" t="str">
        <f>IF('Malzeme Tanımlama'!A125="","",'Malzeme Tanımlama'!A125)</f>
        <v/>
      </c>
      <c r="B125" s="5" t="str">
        <f>IF($A125="","",'Malzeme Tanımlama'!B125)</f>
        <v/>
      </c>
      <c r="C125" s="5" t="str">
        <f>IF($A125="","",'Malzeme Tanımlama'!C125)</f>
        <v/>
      </c>
      <c r="D125" s="5" t="str">
        <f>IF($A125="","",'Malzeme Tanımlama'!D125)</f>
        <v/>
      </c>
      <c r="E125" s="5" t="str">
        <f>IF($A125="","",SUMIFS('Stok Hareketleri'!$G$5:$G$2000,'Stok Hareketleri'!$D$5:$D$2000,$A125,'Stok Hareketleri'!$F$5:$F$2000,"Giriş"))</f>
        <v/>
      </c>
      <c r="F125" s="5" t="str">
        <f>IF($A125="","",SUMIFS('Stok Hareketleri'!$G$5:$G$2000,'Stok Hareketleri'!$D$5:$D$2000,$A125,'Stok Hareketleri'!$F$5:$F$2000,"Çıkış"))</f>
        <v/>
      </c>
      <c r="G125" s="5" t="str">
        <f t="shared" si="2"/>
        <v/>
      </c>
      <c r="H125" s="5" t="str">
        <f>IF($A125="","",'Malzeme Tanımlama'!F125)</f>
        <v/>
      </c>
      <c r="I125" s="5" t="str">
        <f t="shared" si="3"/>
        <v/>
      </c>
    </row>
    <row r="126" spans="1:9" x14ac:dyDescent="0.3">
      <c r="A126" s="7" t="str">
        <f>IF('Malzeme Tanımlama'!A126="","",'Malzeme Tanımlama'!A126)</f>
        <v/>
      </c>
      <c r="B126" s="5" t="str">
        <f>IF($A126="","",'Malzeme Tanımlama'!B126)</f>
        <v/>
      </c>
      <c r="C126" s="5" t="str">
        <f>IF($A126="","",'Malzeme Tanımlama'!C126)</f>
        <v/>
      </c>
      <c r="D126" s="5" t="str">
        <f>IF($A126="","",'Malzeme Tanımlama'!D126)</f>
        <v/>
      </c>
      <c r="E126" s="5" t="str">
        <f>IF($A126="","",SUMIFS('Stok Hareketleri'!$G$5:$G$2000,'Stok Hareketleri'!$D$5:$D$2000,$A126,'Stok Hareketleri'!$F$5:$F$2000,"Giriş"))</f>
        <v/>
      </c>
      <c r="F126" s="5" t="str">
        <f>IF($A126="","",SUMIFS('Stok Hareketleri'!$G$5:$G$2000,'Stok Hareketleri'!$D$5:$D$2000,$A126,'Stok Hareketleri'!$F$5:$F$2000,"Çıkış"))</f>
        <v/>
      </c>
      <c r="G126" s="5" t="str">
        <f t="shared" si="2"/>
        <v/>
      </c>
      <c r="H126" s="5" t="str">
        <f>IF($A126="","",'Malzeme Tanımlama'!F126)</f>
        <v/>
      </c>
      <c r="I126" s="5" t="str">
        <f t="shared" si="3"/>
        <v/>
      </c>
    </row>
    <row r="127" spans="1:9" x14ac:dyDescent="0.3">
      <c r="A127" s="7" t="str">
        <f>IF('Malzeme Tanımlama'!A127="","",'Malzeme Tanımlama'!A127)</f>
        <v/>
      </c>
      <c r="B127" s="5" t="str">
        <f>IF($A127="","",'Malzeme Tanımlama'!B127)</f>
        <v/>
      </c>
      <c r="C127" s="5" t="str">
        <f>IF($A127="","",'Malzeme Tanımlama'!C127)</f>
        <v/>
      </c>
      <c r="D127" s="5" t="str">
        <f>IF($A127="","",'Malzeme Tanımlama'!D127)</f>
        <v/>
      </c>
      <c r="E127" s="5" t="str">
        <f>IF($A127="","",SUMIFS('Stok Hareketleri'!$G$5:$G$2000,'Stok Hareketleri'!$D$5:$D$2000,$A127,'Stok Hareketleri'!$F$5:$F$2000,"Giriş"))</f>
        <v/>
      </c>
      <c r="F127" s="5" t="str">
        <f>IF($A127="","",SUMIFS('Stok Hareketleri'!$G$5:$G$2000,'Stok Hareketleri'!$D$5:$D$2000,$A127,'Stok Hareketleri'!$F$5:$F$2000,"Çıkış"))</f>
        <v/>
      </c>
      <c r="G127" s="5" t="str">
        <f t="shared" si="2"/>
        <v/>
      </c>
      <c r="H127" s="5" t="str">
        <f>IF($A127="","",'Malzeme Tanımlama'!F127)</f>
        <v/>
      </c>
      <c r="I127" s="5" t="str">
        <f t="shared" si="3"/>
        <v/>
      </c>
    </row>
    <row r="128" spans="1:9" x14ac:dyDescent="0.3">
      <c r="A128" s="7" t="str">
        <f>IF('Malzeme Tanımlama'!A128="","",'Malzeme Tanımlama'!A128)</f>
        <v/>
      </c>
      <c r="B128" s="5" t="str">
        <f>IF($A128="","",'Malzeme Tanımlama'!B128)</f>
        <v/>
      </c>
      <c r="C128" s="5" t="str">
        <f>IF($A128="","",'Malzeme Tanımlama'!C128)</f>
        <v/>
      </c>
      <c r="D128" s="5" t="str">
        <f>IF($A128="","",'Malzeme Tanımlama'!D128)</f>
        <v/>
      </c>
      <c r="E128" s="5" t="str">
        <f>IF($A128="","",SUMIFS('Stok Hareketleri'!$G$5:$G$2000,'Stok Hareketleri'!$D$5:$D$2000,$A128,'Stok Hareketleri'!$F$5:$F$2000,"Giriş"))</f>
        <v/>
      </c>
      <c r="F128" s="5" t="str">
        <f>IF($A128="","",SUMIFS('Stok Hareketleri'!$G$5:$G$2000,'Stok Hareketleri'!$D$5:$D$2000,$A128,'Stok Hareketleri'!$F$5:$F$2000,"Çıkış"))</f>
        <v/>
      </c>
      <c r="G128" s="5" t="str">
        <f t="shared" si="2"/>
        <v/>
      </c>
      <c r="H128" s="5" t="str">
        <f>IF($A128="","",'Malzeme Tanımlama'!F128)</f>
        <v/>
      </c>
      <c r="I128" s="5" t="str">
        <f t="shared" si="3"/>
        <v/>
      </c>
    </row>
    <row r="129" spans="1:9" x14ac:dyDescent="0.3">
      <c r="A129" s="7" t="str">
        <f>IF('Malzeme Tanımlama'!A129="","",'Malzeme Tanımlama'!A129)</f>
        <v/>
      </c>
      <c r="B129" s="5" t="str">
        <f>IF($A129="","",'Malzeme Tanımlama'!B129)</f>
        <v/>
      </c>
      <c r="C129" s="5" t="str">
        <f>IF($A129="","",'Malzeme Tanımlama'!C129)</f>
        <v/>
      </c>
      <c r="D129" s="5" t="str">
        <f>IF($A129="","",'Malzeme Tanımlama'!D129)</f>
        <v/>
      </c>
      <c r="E129" s="5" t="str">
        <f>IF($A129="","",SUMIFS('Stok Hareketleri'!$G$5:$G$2000,'Stok Hareketleri'!$D$5:$D$2000,$A129,'Stok Hareketleri'!$F$5:$F$2000,"Giriş"))</f>
        <v/>
      </c>
      <c r="F129" s="5" t="str">
        <f>IF($A129="","",SUMIFS('Stok Hareketleri'!$G$5:$G$2000,'Stok Hareketleri'!$D$5:$D$2000,$A129,'Stok Hareketleri'!$F$5:$F$2000,"Çıkış"))</f>
        <v/>
      </c>
      <c r="G129" s="5" t="str">
        <f t="shared" si="2"/>
        <v/>
      </c>
      <c r="H129" s="5" t="str">
        <f>IF($A129="","",'Malzeme Tanımlama'!F129)</f>
        <v/>
      </c>
      <c r="I129" s="5" t="str">
        <f t="shared" si="3"/>
        <v/>
      </c>
    </row>
    <row r="130" spans="1:9" x14ac:dyDescent="0.3">
      <c r="A130" s="7" t="str">
        <f>IF('Malzeme Tanımlama'!A130="","",'Malzeme Tanımlama'!A130)</f>
        <v/>
      </c>
      <c r="B130" s="5" t="str">
        <f>IF($A130="","",'Malzeme Tanımlama'!B130)</f>
        <v/>
      </c>
      <c r="C130" s="5" t="str">
        <f>IF($A130="","",'Malzeme Tanımlama'!C130)</f>
        <v/>
      </c>
      <c r="D130" s="5" t="str">
        <f>IF($A130="","",'Malzeme Tanımlama'!D130)</f>
        <v/>
      </c>
      <c r="E130" s="5" t="str">
        <f>IF($A130="","",SUMIFS('Stok Hareketleri'!$G$5:$G$2000,'Stok Hareketleri'!$D$5:$D$2000,$A130,'Stok Hareketleri'!$F$5:$F$2000,"Giriş"))</f>
        <v/>
      </c>
      <c r="F130" s="5" t="str">
        <f>IF($A130="","",SUMIFS('Stok Hareketleri'!$G$5:$G$2000,'Stok Hareketleri'!$D$5:$D$2000,$A130,'Stok Hareketleri'!$F$5:$F$2000,"Çıkış"))</f>
        <v/>
      </c>
      <c r="G130" s="5" t="str">
        <f t="shared" si="2"/>
        <v/>
      </c>
      <c r="H130" s="5" t="str">
        <f>IF($A130="","",'Malzeme Tanımlama'!F130)</f>
        <v/>
      </c>
      <c r="I130" s="5" t="str">
        <f t="shared" si="3"/>
        <v/>
      </c>
    </row>
    <row r="131" spans="1:9" x14ac:dyDescent="0.3">
      <c r="A131" s="7" t="str">
        <f>IF('Malzeme Tanımlama'!A131="","",'Malzeme Tanımlama'!A131)</f>
        <v/>
      </c>
      <c r="B131" s="5" t="str">
        <f>IF($A131="","",'Malzeme Tanımlama'!B131)</f>
        <v/>
      </c>
      <c r="C131" s="5" t="str">
        <f>IF($A131="","",'Malzeme Tanımlama'!C131)</f>
        <v/>
      </c>
      <c r="D131" s="5" t="str">
        <f>IF($A131="","",'Malzeme Tanımlama'!D131)</f>
        <v/>
      </c>
      <c r="E131" s="5" t="str">
        <f>IF($A131="","",SUMIFS('Stok Hareketleri'!$G$5:$G$2000,'Stok Hareketleri'!$D$5:$D$2000,$A131,'Stok Hareketleri'!$F$5:$F$2000,"Giriş"))</f>
        <v/>
      </c>
      <c r="F131" s="5" t="str">
        <f>IF($A131="","",SUMIFS('Stok Hareketleri'!$G$5:$G$2000,'Stok Hareketleri'!$D$5:$D$2000,$A131,'Stok Hareketleri'!$F$5:$F$2000,"Çıkış"))</f>
        <v/>
      </c>
      <c r="G131" s="5" t="str">
        <f t="shared" si="2"/>
        <v/>
      </c>
      <c r="H131" s="5" t="str">
        <f>IF($A131="","",'Malzeme Tanımlama'!F131)</f>
        <v/>
      </c>
      <c r="I131" s="5" t="str">
        <f t="shared" si="3"/>
        <v/>
      </c>
    </row>
    <row r="132" spans="1:9" x14ac:dyDescent="0.3">
      <c r="A132" s="7" t="str">
        <f>IF('Malzeme Tanımlama'!A132="","",'Malzeme Tanımlama'!A132)</f>
        <v/>
      </c>
      <c r="B132" s="5" t="str">
        <f>IF($A132="","",'Malzeme Tanımlama'!B132)</f>
        <v/>
      </c>
      <c r="C132" s="5" t="str">
        <f>IF($A132="","",'Malzeme Tanımlama'!C132)</f>
        <v/>
      </c>
      <c r="D132" s="5" t="str">
        <f>IF($A132="","",'Malzeme Tanımlama'!D132)</f>
        <v/>
      </c>
      <c r="E132" s="5" t="str">
        <f>IF($A132="","",SUMIFS('Stok Hareketleri'!$G$5:$G$2000,'Stok Hareketleri'!$D$5:$D$2000,$A132,'Stok Hareketleri'!$F$5:$F$2000,"Giriş"))</f>
        <v/>
      </c>
      <c r="F132" s="5" t="str">
        <f>IF($A132="","",SUMIFS('Stok Hareketleri'!$G$5:$G$2000,'Stok Hareketleri'!$D$5:$D$2000,$A132,'Stok Hareketleri'!$F$5:$F$2000,"Çıkış"))</f>
        <v/>
      </c>
      <c r="G132" s="5" t="str">
        <f t="shared" si="2"/>
        <v/>
      </c>
      <c r="H132" s="5" t="str">
        <f>IF($A132="","",'Malzeme Tanımlama'!F132)</f>
        <v/>
      </c>
      <c r="I132" s="5" t="str">
        <f t="shared" si="3"/>
        <v/>
      </c>
    </row>
    <row r="133" spans="1:9" x14ac:dyDescent="0.3">
      <c r="A133" s="7" t="str">
        <f>IF('Malzeme Tanımlama'!A133="","",'Malzeme Tanımlama'!A133)</f>
        <v/>
      </c>
      <c r="B133" s="5" t="str">
        <f>IF($A133="","",'Malzeme Tanımlama'!B133)</f>
        <v/>
      </c>
      <c r="C133" s="5" t="str">
        <f>IF($A133="","",'Malzeme Tanımlama'!C133)</f>
        <v/>
      </c>
      <c r="D133" s="5" t="str">
        <f>IF($A133="","",'Malzeme Tanımlama'!D133)</f>
        <v/>
      </c>
      <c r="E133" s="5" t="str">
        <f>IF($A133="","",SUMIFS('Stok Hareketleri'!$G$5:$G$2000,'Stok Hareketleri'!$D$5:$D$2000,$A133,'Stok Hareketleri'!$F$5:$F$2000,"Giriş"))</f>
        <v/>
      </c>
      <c r="F133" s="5" t="str">
        <f>IF($A133="","",SUMIFS('Stok Hareketleri'!$G$5:$G$2000,'Stok Hareketleri'!$D$5:$D$2000,$A133,'Stok Hareketleri'!$F$5:$F$2000,"Çıkış"))</f>
        <v/>
      </c>
      <c r="G133" s="5" t="str">
        <f t="shared" ref="G133:G196" si="4">IF($A133="","",$E133-$F133)</f>
        <v/>
      </c>
      <c r="H133" s="5" t="str">
        <f>IF($A133="","",'Malzeme Tanımlama'!F133)</f>
        <v/>
      </c>
      <c r="I133" s="5" t="str">
        <f t="shared" ref="I133:I196" si="5">IF($A133="","",IF($G133&lt;=$H133,"KRİTİK",IF($G133&lt;=$H133*1.3,"DİKKAT","NORMAL")))</f>
        <v/>
      </c>
    </row>
    <row r="134" spans="1:9" x14ac:dyDescent="0.3">
      <c r="A134" s="7" t="str">
        <f>IF('Malzeme Tanımlama'!A134="","",'Malzeme Tanımlama'!A134)</f>
        <v/>
      </c>
      <c r="B134" s="5" t="str">
        <f>IF($A134="","",'Malzeme Tanımlama'!B134)</f>
        <v/>
      </c>
      <c r="C134" s="5" t="str">
        <f>IF($A134="","",'Malzeme Tanımlama'!C134)</f>
        <v/>
      </c>
      <c r="D134" s="5" t="str">
        <f>IF($A134="","",'Malzeme Tanımlama'!D134)</f>
        <v/>
      </c>
      <c r="E134" s="5" t="str">
        <f>IF($A134="","",SUMIFS('Stok Hareketleri'!$G$5:$G$2000,'Stok Hareketleri'!$D$5:$D$2000,$A134,'Stok Hareketleri'!$F$5:$F$2000,"Giriş"))</f>
        <v/>
      </c>
      <c r="F134" s="5" t="str">
        <f>IF($A134="","",SUMIFS('Stok Hareketleri'!$G$5:$G$2000,'Stok Hareketleri'!$D$5:$D$2000,$A134,'Stok Hareketleri'!$F$5:$F$2000,"Çıkış"))</f>
        <v/>
      </c>
      <c r="G134" s="5" t="str">
        <f t="shared" si="4"/>
        <v/>
      </c>
      <c r="H134" s="5" t="str">
        <f>IF($A134="","",'Malzeme Tanımlama'!F134)</f>
        <v/>
      </c>
      <c r="I134" s="5" t="str">
        <f t="shared" si="5"/>
        <v/>
      </c>
    </row>
    <row r="135" spans="1:9" x14ac:dyDescent="0.3">
      <c r="A135" s="7" t="str">
        <f>IF('Malzeme Tanımlama'!A135="","",'Malzeme Tanımlama'!A135)</f>
        <v/>
      </c>
      <c r="B135" s="5" t="str">
        <f>IF($A135="","",'Malzeme Tanımlama'!B135)</f>
        <v/>
      </c>
      <c r="C135" s="5" t="str">
        <f>IF($A135="","",'Malzeme Tanımlama'!C135)</f>
        <v/>
      </c>
      <c r="D135" s="5" t="str">
        <f>IF($A135="","",'Malzeme Tanımlama'!D135)</f>
        <v/>
      </c>
      <c r="E135" s="5" t="str">
        <f>IF($A135="","",SUMIFS('Stok Hareketleri'!$G$5:$G$2000,'Stok Hareketleri'!$D$5:$D$2000,$A135,'Stok Hareketleri'!$F$5:$F$2000,"Giriş"))</f>
        <v/>
      </c>
      <c r="F135" s="5" t="str">
        <f>IF($A135="","",SUMIFS('Stok Hareketleri'!$G$5:$G$2000,'Stok Hareketleri'!$D$5:$D$2000,$A135,'Stok Hareketleri'!$F$5:$F$2000,"Çıkış"))</f>
        <v/>
      </c>
      <c r="G135" s="5" t="str">
        <f t="shared" si="4"/>
        <v/>
      </c>
      <c r="H135" s="5" t="str">
        <f>IF($A135="","",'Malzeme Tanımlama'!F135)</f>
        <v/>
      </c>
      <c r="I135" s="5" t="str">
        <f t="shared" si="5"/>
        <v/>
      </c>
    </row>
    <row r="136" spans="1:9" x14ac:dyDescent="0.3">
      <c r="A136" s="7" t="str">
        <f>IF('Malzeme Tanımlama'!A136="","",'Malzeme Tanımlama'!A136)</f>
        <v/>
      </c>
      <c r="B136" s="5" t="str">
        <f>IF($A136="","",'Malzeme Tanımlama'!B136)</f>
        <v/>
      </c>
      <c r="C136" s="5" t="str">
        <f>IF($A136="","",'Malzeme Tanımlama'!C136)</f>
        <v/>
      </c>
      <c r="D136" s="5" t="str">
        <f>IF($A136="","",'Malzeme Tanımlama'!D136)</f>
        <v/>
      </c>
      <c r="E136" s="5" t="str">
        <f>IF($A136="","",SUMIFS('Stok Hareketleri'!$G$5:$G$2000,'Stok Hareketleri'!$D$5:$D$2000,$A136,'Stok Hareketleri'!$F$5:$F$2000,"Giriş"))</f>
        <v/>
      </c>
      <c r="F136" s="5" t="str">
        <f>IF($A136="","",SUMIFS('Stok Hareketleri'!$G$5:$G$2000,'Stok Hareketleri'!$D$5:$D$2000,$A136,'Stok Hareketleri'!$F$5:$F$2000,"Çıkış"))</f>
        <v/>
      </c>
      <c r="G136" s="5" t="str">
        <f t="shared" si="4"/>
        <v/>
      </c>
      <c r="H136" s="5" t="str">
        <f>IF($A136="","",'Malzeme Tanımlama'!F136)</f>
        <v/>
      </c>
      <c r="I136" s="5" t="str">
        <f t="shared" si="5"/>
        <v/>
      </c>
    </row>
    <row r="137" spans="1:9" x14ac:dyDescent="0.3">
      <c r="A137" s="7" t="str">
        <f>IF('Malzeme Tanımlama'!A137="","",'Malzeme Tanımlama'!A137)</f>
        <v/>
      </c>
      <c r="B137" s="5" t="str">
        <f>IF($A137="","",'Malzeme Tanımlama'!B137)</f>
        <v/>
      </c>
      <c r="C137" s="5" t="str">
        <f>IF($A137="","",'Malzeme Tanımlama'!C137)</f>
        <v/>
      </c>
      <c r="D137" s="5" t="str">
        <f>IF($A137="","",'Malzeme Tanımlama'!D137)</f>
        <v/>
      </c>
      <c r="E137" s="5" t="str">
        <f>IF($A137="","",SUMIFS('Stok Hareketleri'!$G$5:$G$2000,'Stok Hareketleri'!$D$5:$D$2000,$A137,'Stok Hareketleri'!$F$5:$F$2000,"Giriş"))</f>
        <v/>
      </c>
      <c r="F137" s="5" t="str">
        <f>IF($A137="","",SUMIFS('Stok Hareketleri'!$G$5:$G$2000,'Stok Hareketleri'!$D$5:$D$2000,$A137,'Stok Hareketleri'!$F$5:$F$2000,"Çıkış"))</f>
        <v/>
      </c>
      <c r="G137" s="5" t="str">
        <f t="shared" si="4"/>
        <v/>
      </c>
      <c r="H137" s="5" t="str">
        <f>IF($A137="","",'Malzeme Tanımlama'!F137)</f>
        <v/>
      </c>
      <c r="I137" s="5" t="str">
        <f t="shared" si="5"/>
        <v/>
      </c>
    </row>
    <row r="138" spans="1:9" x14ac:dyDescent="0.3">
      <c r="A138" s="7" t="str">
        <f>IF('Malzeme Tanımlama'!A138="","",'Malzeme Tanımlama'!A138)</f>
        <v/>
      </c>
      <c r="B138" s="5" t="str">
        <f>IF($A138="","",'Malzeme Tanımlama'!B138)</f>
        <v/>
      </c>
      <c r="C138" s="5" t="str">
        <f>IF($A138="","",'Malzeme Tanımlama'!C138)</f>
        <v/>
      </c>
      <c r="D138" s="5" t="str">
        <f>IF($A138="","",'Malzeme Tanımlama'!D138)</f>
        <v/>
      </c>
      <c r="E138" s="5" t="str">
        <f>IF($A138="","",SUMIFS('Stok Hareketleri'!$G$5:$G$2000,'Stok Hareketleri'!$D$5:$D$2000,$A138,'Stok Hareketleri'!$F$5:$F$2000,"Giriş"))</f>
        <v/>
      </c>
      <c r="F138" s="5" t="str">
        <f>IF($A138="","",SUMIFS('Stok Hareketleri'!$G$5:$G$2000,'Stok Hareketleri'!$D$5:$D$2000,$A138,'Stok Hareketleri'!$F$5:$F$2000,"Çıkış"))</f>
        <v/>
      </c>
      <c r="G138" s="5" t="str">
        <f t="shared" si="4"/>
        <v/>
      </c>
      <c r="H138" s="5" t="str">
        <f>IF($A138="","",'Malzeme Tanımlama'!F138)</f>
        <v/>
      </c>
      <c r="I138" s="5" t="str">
        <f t="shared" si="5"/>
        <v/>
      </c>
    </row>
    <row r="139" spans="1:9" x14ac:dyDescent="0.3">
      <c r="A139" s="7" t="str">
        <f>IF('Malzeme Tanımlama'!A139="","",'Malzeme Tanımlama'!A139)</f>
        <v/>
      </c>
      <c r="B139" s="5" t="str">
        <f>IF($A139="","",'Malzeme Tanımlama'!B139)</f>
        <v/>
      </c>
      <c r="C139" s="5" t="str">
        <f>IF($A139="","",'Malzeme Tanımlama'!C139)</f>
        <v/>
      </c>
      <c r="D139" s="5" t="str">
        <f>IF($A139="","",'Malzeme Tanımlama'!D139)</f>
        <v/>
      </c>
      <c r="E139" s="5" t="str">
        <f>IF($A139="","",SUMIFS('Stok Hareketleri'!$G$5:$G$2000,'Stok Hareketleri'!$D$5:$D$2000,$A139,'Stok Hareketleri'!$F$5:$F$2000,"Giriş"))</f>
        <v/>
      </c>
      <c r="F139" s="5" t="str">
        <f>IF($A139="","",SUMIFS('Stok Hareketleri'!$G$5:$G$2000,'Stok Hareketleri'!$D$5:$D$2000,$A139,'Stok Hareketleri'!$F$5:$F$2000,"Çıkış"))</f>
        <v/>
      </c>
      <c r="G139" s="5" t="str">
        <f t="shared" si="4"/>
        <v/>
      </c>
      <c r="H139" s="5" t="str">
        <f>IF($A139="","",'Malzeme Tanımlama'!F139)</f>
        <v/>
      </c>
      <c r="I139" s="5" t="str">
        <f t="shared" si="5"/>
        <v/>
      </c>
    </row>
    <row r="140" spans="1:9" x14ac:dyDescent="0.3">
      <c r="A140" s="7" t="str">
        <f>IF('Malzeme Tanımlama'!A140="","",'Malzeme Tanımlama'!A140)</f>
        <v/>
      </c>
      <c r="B140" s="5" t="str">
        <f>IF($A140="","",'Malzeme Tanımlama'!B140)</f>
        <v/>
      </c>
      <c r="C140" s="5" t="str">
        <f>IF($A140="","",'Malzeme Tanımlama'!C140)</f>
        <v/>
      </c>
      <c r="D140" s="5" t="str">
        <f>IF($A140="","",'Malzeme Tanımlama'!D140)</f>
        <v/>
      </c>
      <c r="E140" s="5" t="str">
        <f>IF($A140="","",SUMIFS('Stok Hareketleri'!$G$5:$G$2000,'Stok Hareketleri'!$D$5:$D$2000,$A140,'Stok Hareketleri'!$F$5:$F$2000,"Giriş"))</f>
        <v/>
      </c>
      <c r="F140" s="5" t="str">
        <f>IF($A140="","",SUMIFS('Stok Hareketleri'!$G$5:$G$2000,'Stok Hareketleri'!$D$5:$D$2000,$A140,'Stok Hareketleri'!$F$5:$F$2000,"Çıkış"))</f>
        <v/>
      </c>
      <c r="G140" s="5" t="str">
        <f t="shared" si="4"/>
        <v/>
      </c>
      <c r="H140" s="5" t="str">
        <f>IF($A140="","",'Malzeme Tanımlama'!F140)</f>
        <v/>
      </c>
      <c r="I140" s="5" t="str">
        <f t="shared" si="5"/>
        <v/>
      </c>
    </row>
    <row r="141" spans="1:9" x14ac:dyDescent="0.3">
      <c r="A141" s="7" t="str">
        <f>IF('Malzeme Tanımlama'!A141="","",'Malzeme Tanımlama'!A141)</f>
        <v/>
      </c>
      <c r="B141" s="5" t="str">
        <f>IF($A141="","",'Malzeme Tanımlama'!B141)</f>
        <v/>
      </c>
      <c r="C141" s="5" t="str">
        <f>IF($A141="","",'Malzeme Tanımlama'!C141)</f>
        <v/>
      </c>
      <c r="D141" s="5" t="str">
        <f>IF($A141="","",'Malzeme Tanımlama'!D141)</f>
        <v/>
      </c>
      <c r="E141" s="5" t="str">
        <f>IF($A141="","",SUMIFS('Stok Hareketleri'!$G$5:$G$2000,'Stok Hareketleri'!$D$5:$D$2000,$A141,'Stok Hareketleri'!$F$5:$F$2000,"Giriş"))</f>
        <v/>
      </c>
      <c r="F141" s="5" t="str">
        <f>IF($A141="","",SUMIFS('Stok Hareketleri'!$G$5:$G$2000,'Stok Hareketleri'!$D$5:$D$2000,$A141,'Stok Hareketleri'!$F$5:$F$2000,"Çıkış"))</f>
        <v/>
      </c>
      <c r="G141" s="5" t="str">
        <f t="shared" si="4"/>
        <v/>
      </c>
      <c r="H141" s="5" t="str">
        <f>IF($A141="","",'Malzeme Tanımlama'!F141)</f>
        <v/>
      </c>
      <c r="I141" s="5" t="str">
        <f t="shared" si="5"/>
        <v/>
      </c>
    </row>
    <row r="142" spans="1:9" x14ac:dyDescent="0.3">
      <c r="A142" s="7" t="str">
        <f>IF('Malzeme Tanımlama'!A142="","",'Malzeme Tanımlama'!A142)</f>
        <v/>
      </c>
      <c r="B142" s="5" t="str">
        <f>IF($A142="","",'Malzeme Tanımlama'!B142)</f>
        <v/>
      </c>
      <c r="C142" s="5" t="str">
        <f>IF($A142="","",'Malzeme Tanımlama'!C142)</f>
        <v/>
      </c>
      <c r="D142" s="5" t="str">
        <f>IF($A142="","",'Malzeme Tanımlama'!D142)</f>
        <v/>
      </c>
      <c r="E142" s="5" t="str">
        <f>IF($A142="","",SUMIFS('Stok Hareketleri'!$G$5:$G$2000,'Stok Hareketleri'!$D$5:$D$2000,$A142,'Stok Hareketleri'!$F$5:$F$2000,"Giriş"))</f>
        <v/>
      </c>
      <c r="F142" s="5" t="str">
        <f>IF($A142="","",SUMIFS('Stok Hareketleri'!$G$5:$G$2000,'Stok Hareketleri'!$D$5:$D$2000,$A142,'Stok Hareketleri'!$F$5:$F$2000,"Çıkış"))</f>
        <v/>
      </c>
      <c r="G142" s="5" t="str">
        <f t="shared" si="4"/>
        <v/>
      </c>
      <c r="H142" s="5" t="str">
        <f>IF($A142="","",'Malzeme Tanımlama'!F142)</f>
        <v/>
      </c>
      <c r="I142" s="5" t="str">
        <f t="shared" si="5"/>
        <v/>
      </c>
    </row>
    <row r="143" spans="1:9" x14ac:dyDescent="0.3">
      <c r="A143" s="7" t="str">
        <f>IF('Malzeme Tanımlama'!A143="","",'Malzeme Tanımlama'!A143)</f>
        <v/>
      </c>
      <c r="B143" s="5" t="str">
        <f>IF($A143="","",'Malzeme Tanımlama'!B143)</f>
        <v/>
      </c>
      <c r="C143" s="5" t="str">
        <f>IF($A143="","",'Malzeme Tanımlama'!C143)</f>
        <v/>
      </c>
      <c r="D143" s="5" t="str">
        <f>IF($A143="","",'Malzeme Tanımlama'!D143)</f>
        <v/>
      </c>
      <c r="E143" s="5" t="str">
        <f>IF($A143="","",SUMIFS('Stok Hareketleri'!$G$5:$G$2000,'Stok Hareketleri'!$D$5:$D$2000,$A143,'Stok Hareketleri'!$F$5:$F$2000,"Giriş"))</f>
        <v/>
      </c>
      <c r="F143" s="5" t="str">
        <f>IF($A143="","",SUMIFS('Stok Hareketleri'!$G$5:$G$2000,'Stok Hareketleri'!$D$5:$D$2000,$A143,'Stok Hareketleri'!$F$5:$F$2000,"Çıkış"))</f>
        <v/>
      </c>
      <c r="G143" s="5" t="str">
        <f t="shared" si="4"/>
        <v/>
      </c>
      <c r="H143" s="5" t="str">
        <f>IF($A143="","",'Malzeme Tanımlama'!F143)</f>
        <v/>
      </c>
      <c r="I143" s="5" t="str">
        <f t="shared" si="5"/>
        <v/>
      </c>
    </row>
    <row r="144" spans="1:9" x14ac:dyDescent="0.3">
      <c r="A144" s="7" t="str">
        <f>IF('Malzeme Tanımlama'!A144="","",'Malzeme Tanımlama'!A144)</f>
        <v/>
      </c>
      <c r="B144" s="5" t="str">
        <f>IF($A144="","",'Malzeme Tanımlama'!B144)</f>
        <v/>
      </c>
      <c r="C144" s="5" t="str">
        <f>IF($A144="","",'Malzeme Tanımlama'!C144)</f>
        <v/>
      </c>
      <c r="D144" s="5" t="str">
        <f>IF($A144="","",'Malzeme Tanımlama'!D144)</f>
        <v/>
      </c>
      <c r="E144" s="5" t="str">
        <f>IF($A144="","",SUMIFS('Stok Hareketleri'!$G$5:$G$2000,'Stok Hareketleri'!$D$5:$D$2000,$A144,'Stok Hareketleri'!$F$5:$F$2000,"Giriş"))</f>
        <v/>
      </c>
      <c r="F144" s="5" t="str">
        <f>IF($A144="","",SUMIFS('Stok Hareketleri'!$G$5:$G$2000,'Stok Hareketleri'!$D$5:$D$2000,$A144,'Stok Hareketleri'!$F$5:$F$2000,"Çıkış"))</f>
        <v/>
      </c>
      <c r="G144" s="5" t="str">
        <f t="shared" si="4"/>
        <v/>
      </c>
      <c r="H144" s="5" t="str">
        <f>IF($A144="","",'Malzeme Tanımlama'!F144)</f>
        <v/>
      </c>
      <c r="I144" s="5" t="str">
        <f t="shared" si="5"/>
        <v/>
      </c>
    </row>
    <row r="145" spans="1:9" x14ac:dyDescent="0.3">
      <c r="A145" s="7" t="str">
        <f>IF('Malzeme Tanımlama'!A145="","",'Malzeme Tanımlama'!A145)</f>
        <v/>
      </c>
      <c r="B145" s="5" t="str">
        <f>IF($A145="","",'Malzeme Tanımlama'!B145)</f>
        <v/>
      </c>
      <c r="C145" s="5" t="str">
        <f>IF($A145="","",'Malzeme Tanımlama'!C145)</f>
        <v/>
      </c>
      <c r="D145" s="5" t="str">
        <f>IF($A145="","",'Malzeme Tanımlama'!D145)</f>
        <v/>
      </c>
      <c r="E145" s="5" t="str">
        <f>IF($A145="","",SUMIFS('Stok Hareketleri'!$G$5:$G$2000,'Stok Hareketleri'!$D$5:$D$2000,$A145,'Stok Hareketleri'!$F$5:$F$2000,"Giriş"))</f>
        <v/>
      </c>
      <c r="F145" s="5" t="str">
        <f>IF($A145="","",SUMIFS('Stok Hareketleri'!$G$5:$G$2000,'Stok Hareketleri'!$D$5:$D$2000,$A145,'Stok Hareketleri'!$F$5:$F$2000,"Çıkış"))</f>
        <v/>
      </c>
      <c r="G145" s="5" t="str">
        <f t="shared" si="4"/>
        <v/>
      </c>
      <c r="H145" s="5" t="str">
        <f>IF($A145="","",'Malzeme Tanımlama'!F145)</f>
        <v/>
      </c>
      <c r="I145" s="5" t="str">
        <f t="shared" si="5"/>
        <v/>
      </c>
    </row>
    <row r="146" spans="1:9" x14ac:dyDescent="0.3">
      <c r="A146" s="7" t="str">
        <f>IF('Malzeme Tanımlama'!A146="","",'Malzeme Tanımlama'!A146)</f>
        <v/>
      </c>
      <c r="B146" s="5" t="str">
        <f>IF($A146="","",'Malzeme Tanımlama'!B146)</f>
        <v/>
      </c>
      <c r="C146" s="5" t="str">
        <f>IF($A146="","",'Malzeme Tanımlama'!C146)</f>
        <v/>
      </c>
      <c r="D146" s="5" t="str">
        <f>IF($A146="","",'Malzeme Tanımlama'!D146)</f>
        <v/>
      </c>
      <c r="E146" s="5" t="str">
        <f>IF($A146="","",SUMIFS('Stok Hareketleri'!$G$5:$G$2000,'Stok Hareketleri'!$D$5:$D$2000,$A146,'Stok Hareketleri'!$F$5:$F$2000,"Giriş"))</f>
        <v/>
      </c>
      <c r="F146" s="5" t="str">
        <f>IF($A146="","",SUMIFS('Stok Hareketleri'!$G$5:$G$2000,'Stok Hareketleri'!$D$5:$D$2000,$A146,'Stok Hareketleri'!$F$5:$F$2000,"Çıkış"))</f>
        <v/>
      </c>
      <c r="G146" s="5" t="str">
        <f t="shared" si="4"/>
        <v/>
      </c>
      <c r="H146" s="5" t="str">
        <f>IF($A146="","",'Malzeme Tanımlama'!F146)</f>
        <v/>
      </c>
      <c r="I146" s="5" t="str">
        <f t="shared" si="5"/>
        <v/>
      </c>
    </row>
    <row r="147" spans="1:9" x14ac:dyDescent="0.3">
      <c r="A147" s="7" t="str">
        <f>IF('Malzeme Tanımlama'!A147="","",'Malzeme Tanımlama'!A147)</f>
        <v/>
      </c>
      <c r="B147" s="5" t="str">
        <f>IF($A147="","",'Malzeme Tanımlama'!B147)</f>
        <v/>
      </c>
      <c r="C147" s="5" t="str">
        <f>IF($A147="","",'Malzeme Tanımlama'!C147)</f>
        <v/>
      </c>
      <c r="D147" s="5" t="str">
        <f>IF($A147="","",'Malzeme Tanımlama'!D147)</f>
        <v/>
      </c>
      <c r="E147" s="5" t="str">
        <f>IF($A147="","",SUMIFS('Stok Hareketleri'!$G$5:$G$2000,'Stok Hareketleri'!$D$5:$D$2000,$A147,'Stok Hareketleri'!$F$5:$F$2000,"Giriş"))</f>
        <v/>
      </c>
      <c r="F147" s="5" t="str">
        <f>IF($A147="","",SUMIFS('Stok Hareketleri'!$G$5:$G$2000,'Stok Hareketleri'!$D$5:$D$2000,$A147,'Stok Hareketleri'!$F$5:$F$2000,"Çıkış"))</f>
        <v/>
      </c>
      <c r="G147" s="5" t="str">
        <f t="shared" si="4"/>
        <v/>
      </c>
      <c r="H147" s="5" t="str">
        <f>IF($A147="","",'Malzeme Tanımlama'!F147)</f>
        <v/>
      </c>
      <c r="I147" s="5" t="str">
        <f t="shared" si="5"/>
        <v/>
      </c>
    </row>
    <row r="148" spans="1:9" x14ac:dyDescent="0.3">
      <c r="A148" s="7" t="str">
        <f>IF('Malzeme Tanımlama'!A148="","",'Malzeme Tanımlama'!A148)</f>
        <v/>
      </c>
      <c r="B148" s="5" t="str">
        <f>IF($A148="","",'Malzeme Tanımlama'!B148)</f>
        <v/>
      </c>
      <c r="C148" s="5" t="str">
        <f>IF($A148="","",'Malzeme Tanımlama'!C148)</f>
        <v/>
      </c>
      <c r="D148" s="5" t="str">
        <f>IF($A148="","",'Malzeme Tanımlama'!D148)</f>
        <v/>
      </c>
      <c r="E148" s="5" t="str">
        <f>IF($A148="","",SUMIFS('Stok Hareketleri'!$G$5:$G$2000,'Stok Hareketleri'!$D$5:$D$2000,$A148,'Stok Hareketleri'!$F$5:$F$2000,"Giriş"))</f>
        <v/>
      </c>
      <c r="F148" s="5" t="str">
        <f>IF($A148="","",SUMIFS('Stok Hareketleri'!$G$5:$G$2000,'Stok Hareketleri'!$D$5:$D$2000,$A148,'Stok Hareketleri'!$F$5:$F$2000,"Çıkış"))</f>
        <v/>
      </c>
      <c r="G148" s="5" t="str">
        <f t="shared" si="4"/>
        <v/>
      </c>
      <c r="H148" s="5" t="str">
        <f>IF($A148="","",'Malzeme Tanımlama'!F148)</f>
        <v/>
      </c>
      <c r="I148" s="5" t="str">
        <f t="shared" si="5"/>
        <v/>
      </c>
    </row>
    <row r="149" spans="1:9" x14ac:dyDescent="0.3">
      <c r="A149" s="7" t="str">
        <f>IF('Malzeme Tanımlama'!A149="","",'Malzeme Tanımlama'!A149)</f>
        <v/>
      </c>
      <c r="B149" s="5" t="str">
        <f>IF($A149="","",'Malzeme Tanımlama'!B149)</f>
        <v/>
      </c>
      <c r="C149" s="5" t="str">
        <f>IF($A149="","",'Malzeme Tanımlama'!C149)</f>
        <v/>
      </c>
      <c r="D149" s="5" t="str">
        <f>IF($A149="","",'Malzeme Tanımlama'!D149)</f>
        <v/>
      </c>
      <c r="E149" s="5" t="str">
        <f>IF($A149="","",SUMIFS('Stok Hareketleri'!$G$5:$G$2000,'Stok Hareketleri'!$D$5:$D$2000,$A149,'Stok Hareketleri'!$F$5:$F$2000,"Giriş"))</f>
        <v/>
      </c>
      <c r="F149" s="5" t="str">
        <f>IF($A149="","",SUMIFS('Stok Hareketleri'!$G$5:$G$2000,'Stok Hareketleri'!$D$5:$D$2000,$A149,'Stok Hareketleri'!$F$5:$F$2000,"Çıkış"))</f>
        <v/>
      </c>
      <c r="G149" s="5" t="str">
        <f t="shared" si="4"/>
        <v/>
      </c>
      <c r="H149" s="5" t="str">
        <f>IF($A149="","",'Malzeme Tanımlama'!F149)</f>
        <v/>
      </c>
      <c r="I149" s="5" t="str">
        <f t="shared" si="5"/>
        <v/>
      </c>
    </row>
    <row r="150" spans="1:9" x14ac:dyDescent="0.3">
      <c r="A150" s="7" t="str">
        <f>IF('Malzeme Tanımlama'!A150="","",'Malzeme Tanımlama'!A150)</f>
        <v/>
      </c>
      <c r="B150" s="5" t="str">
        <f>IF($A150="","",'Malzeme Tanımlama'!B150)</f>
        <v/>
      </c>
      <c r="C150" s="5" t="str">
        <f>IF($A150="","",'Malzeme Tanımlama'!C150)</f>
        <v/>
      </c>
      <c r="D150" s="5" t="str">
        <f>IF($A150="","",'Malzeme Tanımlama'!D150)</f>
        <v/>
      </c>
      <c r="E150" s="5" t="str">
        <f>IF($A150="","",SUMIFS('Stok Hareketleri'!$G$5:$G$2000,'Stok Hareketleri'!$D$5:$D$2000,$A150,'Stok Hareketleri'!$F$5:$F$2000,"Giriş"))</f>
        <v/>
      </c>
      <c r="F150" s="5" t="str">
        <f>IF($A150="","",SUMIFS('Stok Hareketleri'!$G$5:$G$2000,'Stok Hareketleri'!$D$5:$D$2000,$A150,'Stok Hareketleri'!$F$5:$F$2000,"Çıkış"))</f>
        <v/>
      </c>
      <c r="G150" s="5" t="str">
        <f t="shared" si="4"/>
        <v/>
      </c>
      <c r="H150" s="5" t="str">
        <f>IF($A150="","",'Malzeme Tanımlama'!F150)</f>
        <v/>
      </c>
      <c r="I150" s="5" t="str">
        <f t="shared" si="5"/>
        <v/>
      </c>
    </row>
    <row r="151" spans="1:9" x14ac:dyDescent="0.3">
      <c r="A151" s="7" t="str">
        <f>IF('Malzeme Tanımlama'!A151="","",'Malzeme Tanımlama'!A151)</f>
        <v/>
      </c>
      <c r="B151" s="5" t="str">
        <f>IF($A151="","",'Malzeme Tanımlama'!B151)</f>
        <v/>
      </c>
      <c r="C151" s="5" t="str">
        <f>IF($A151="","",'Malzeme Tanımlama'!C151)</f>
        <v/>
      </c>
      <c r="D151" s="5" t="str">
        <f>IF($A151="","",'Malzeme Tanımlama'!D151)</f>
        <v/>
      </c>
      <c r="E151" s="5" t="str">
        <f>IF($A151="","",SUMIFS('Stok Hareketleri'!$G$5:$G$2000,'Stok Hareketleri'!$D$5:$D$2000,$A151,'Stok Hareketleri'!$F$5:$F$2000,"Giriş"))</f>
        <v/>
      </c>
      <c r="F151" s="5" t="str">
        <f>IF($A151="","",SUMIFS('Stok Hareketleri'!$G$5:$G$2000,'Stok Hareketleri'!$D$5:$D$2000,$A151,'Stok Hareketleri'!$F$5:$F$2000,"Çıkış"))</f>
        <v/>
      </c>
      <c r="G151" s="5" t="str">
        <f t="shared" si="4"/>
        <v/>
      </c>
      <c r="H151" s="5" t="str">
        <f>IF($A151="","",'Malzeme Tanımlama'!F151)</f>
        <v/>
      </c>
      <c r="I151" s="5" t="str">
        <f t="shared" si="5"/>
        <v/>
      </c>
    </row>
    <row r="152" spans="1:9" x14ac:dyDescent="0.3">
      <c r="A152" s="7" t="str">
        <f>IF('Malzeme Tanımlama'!A152="","",'Malzeme Tanımlama'!A152)</f>
        <v/>
      </c>
      <c r="B152" s="5" t="str">
        <f>IF($A152="","",'Malzeme Tanımlama'!B152)</f>
        <v/>
      </c>
      <c r="C152" s="5" t="str">
        <f>IF($A152="","",'Malzeme Tanımlama'!C152)</f>
        <v/>
      </c>
      <c r="D152" s="5" t="str">
        <f>IF($A152="","",'Malzeme Tanımlama'!D152)</f>
        <v/>
      </c>
      <c r="E152" s="5" t="str">
        <f>IF($A152="","",SUMIFS('Stok Hareketleri'!$G$5:$G$2000,'Stok Hareketleri'!$D$5:$D$2000,$A152,'Stok Hareketleri'!$F$5:$F$2000,"Giriş"))</f>
        <v/>
      </c>
      <c r="F152" s="5" t="str">
        <f>IF($A152="","",SUMIFS('Stok Hareketleri'!$G$5:$G$2000,'Stok Hareketleri'!$D$5:$D$2000,$A152,'Stok Hareketleri'!$F$5:$F$2000,"Çıkış"))</f>
        <v/>
      </c>
      <c r="G152" s="5" t="str">
        <f t="shared" si="4"/>
        <v/>
      </c>
      <c r="H152" s="5" t="str">
        <f>IF($A152="","",'Malzeme Tanımlama'!F152)</f>
        <v/>
      </c>
      <c r="I152" s="5" t="str">
        <f t="shared" si="5"/>
        <v/>
      </c>
    </row>
    <row r="153" spans="1:9" x14ac:dyDescent="0.3">
      <c r="A153" s="7" t="str">
        <f>IF('Malzeme Tanımlama'!A153="","",'Malzeme Tanımlama'!A153)</f>
        <v/>
      </c>
      <c r="B153" s="5" t="str">
        <f>IF($A153="","",'Malzeme Tanımlama'!B153)</f>
        <v/>
      </c>
      <c r="C153" s="5" t="str">
        <f>IF($A153="","",'Malzeme Tanımlama'!C153)</f>
        <v/>
      </c>
      <c r="D153" s="5" t="str">
        <f>IF($A153="","",'Malzeme Tanımlama'!D153)</f>
        <v/>
      </c>
      <c r="E153" s="5" t="str">
        <f>IF($A153="","",SUMIFS('Stok Hareketleri'!$G$5:$G$2000,'Stok Hareketleri'!$D$5:$D$2000,$A153,'Stok Hareketleri'!$F$5:$F$2000,"Giriş"))</f>
        <v/>
      </c>
      <c r="F153" s="5" t="str">
        <f>IF($A153="","",SUMIFS('Stok Hareketleri'!$G$5:$G$2000,'Stok Hareketleri'!$D$5:$D$2000,$A153,'Stok Hareketleri'!$F$5:$F$2000,"Çıkış"))</f>
        <v/>
      </c>
      <c r="G153" s="5" t="str">
        <f t="shared" si="4"/>
        <v/>
      </c>
      <c r="H153" s="5" t="str">
        <f>IF($A153="","",'Malzeme Tanımlama'!F153)</f>
        <v/>
      </c>
      <c r="I153" s="5" t="str">
        <f t="shared" si="5"/>
        <v/>
      </c>
    </row>
    <row r="154" spans="1:9" x14ac:dyDescent="0.3">
      <c r="A154" s="7" t="str">
        <f>IF('Malzeme Tanımlama'!A154="","",'Malzeme Tanımlama'!A154)</f>
        <v/>
      </c>
      <c r="B154" s="5" t="str">
        <f>IF($A154="","",'Malzeme Tanımlama'!B154)</f>
        <v/>
      </c>
      <c r="C154" s="5" t="str">
        <f>IF($A154="","",'Malzeme Tanımlama'!C154)</f>
        <v/>
      </c>
      <c r="D154" s="5" t="str">
        <f>IF($A154="","",'Malzeme Tanımlama'!D154)</f>
        <v/>
      </c>
      <c r="E154" s="5" t="str">
        <f>IF($A154="","",SUMIFS('Stok Hareketleri'!$G$5:$G$2000,'Stok Hareketleri'!$D$5:$D$2000,$A154,'Stok Hareketleri'!$F$5:$F$2000,"Giriş"))</f>
        <v/>
      </c>
      <c r="F154" s="5" t="str">
        <f>IF($A154="","",SUMIFS('Stok Hareketleri'!$G$5:$G$2000,'Stok Hareketleri'!$D$5:$D$2000,$A154,'Stok Hareketleri'!$F$5:$F$2000,"Çıkış"))</f>
        <v/>
      </c>
      <c r="G154" s="5" t="str">
        <f t="shared" si="4"/>
        <v/>
      </c>
      <c r="H154" s="5" t="str">
        <f>IF($A154="","",'Malzeme Tanımlama'!F154)</f>
        <v/>
      </c>
      <c r="I154" s="5" t="str">
        <f t="shared" si="5"/>
        <v/>
      </c>
    </row>
    <row r="155" spans="1:9" x14ac:dyDescent="0.3">
      <c r="A155" s="7" t="str">
        <f>IF('Malzeme Tanımlama'!A155="","",'Malzeme Tanımlama'!A155)</f>
        <v/>
      </c>
      <c r="B155" s="5" t="str">
        <f>IF($A155="","",'Malzeme Tanımlama'!B155)</f>
        <v/>
      </c>
      <c r="C155" s="5" t="str">
        <f>IF($A155="","",'Malzeme Tanımlama'!C155)</f>
        <v/>
      </c>
      <c r="D155" s="5" t="str">
        <f>IF($A155="","",'Malzeme Tanımlama'!D155)</f>
        <v/>
      </c>
      <c r="E155" s="5" t="str">
        <f>IF($A155="","",SUMIFS('Stok Hareketleri'!$G$5:$G$2000,'Stok Hareketleri'!$D$5:$D$2000,$A155,'Stok Hareketleri'!$F$5:$F$2000,"Giriş"))</f>
        <v/>
      </c>
      <c r="F155" s="5" t="str">
        <f>IF($A155="","",SUMIFS('Stok Hareketleri'!$G$5:$G$2000,'Stok Hareketleri'!$D$5:$D$2000,$A155,'Stok Hareketleri'!$F$5:$F$2000,"Çıkış"))</f>
        <v/>
      </c>
      <c r="G155" s="5" t="str">
        <f t="shared" si="4"/>
        <v/>
      </c>
      <c r="H155" s="5" t="str">
        <f>IF($A155="","",'Malzeme Tanımlama'!F155)</f>
        <v/>
      </c>
      <c r="I155" s="5" t="str">
        <f t="shared" si="5"/>
        <v/>
      </c>
    </row>
    <row r="156" spans="1:9" x14ac:dyDescent="0.3">
      <c r="A156" s="7" t="str">
        <f>IF('Malzeme Tanımlama'!A156="","",'Malzeme Tanımlama'!A156)</f>
        <v/>
      </c>
      <c r="B156" s="5" t="str">
        <f>IF($A156="","",'Malzeme Tanımlama'!B156)</f>
        <v/>
      </c>
      <c r="C156" s="5" t="str">
        <f>IF($A156="","",'Malzeme Tanımlama'!C156)</f>
        <v/>
      </c>
      <c r="D156" s="5" t="str">
        <f>IF($A156="","",'Malzeme Tanımlama'!D156)</f>
        <v/>
      </c>
      <c r="E156" s="5" t="str">
        <f>IF($A156="","",SUMIFS('Stok Hareketleri'!$G$5:$G$2000,'Stok Hareketleri'!$D$5:$D$2000,$A156,'Stok Hareketleri'!$F$5:$F$2000,"Giriş"))</f>
        <v/>
      </c>
      <c r="F156" s="5" t="str">
        <f>IF($A156="","",SUMIFS('Stok Hareketleri'!$G$5:$G$2000,'Stok Hareketleri'!$D$5:$D$2000,$A156,'Stok Hareketleri'!$F$5:$F$2000,"Çıkış"))</f>
        <v/>
      </c>
      <c r="G156" s="5" t="str">
        <f t="shared" si="4"/>
        <v/>
      </c>
      <c r="H156" s="5" t="str">
        <f>IF($A156="","",'Malzeme Tanımlama'!F156)</f>
        <v/>
      </c>
      <c r="I156" s="5" t="str">
        <f t="shared" si="5"/>
        <v/>
      </c>
    </row>
    <row r="157" spans="1:9" x14ac:dyDescent="0.3">
      <c r="A157" s="7" t="str">
        <f>IF('Malzeme Tanımlama'!A157="","",'Malzeme Tanımlama'!A157)</f>
        <v/>
      </c>
      <c r="B157" s="5" t="str">
        <f>IF($A157="","",'Malzeme Tanımlama'!B157)</f>
        <v/>
      </c>
      <c r="C157" s="5" t="str">
        <f>IF($A157="","",'Malzeme Tanımlama'!C157)</f>
        <v/>
      </c>
      <c r="D157" s="5" t="str">
        <f>IF($A157="","",'Malzeme Tanımlama'!D157)</f>
        <v/>
      </c>
      <c r="E157" s="5" t="str">
        <f>IF($A157="","",SUMIFS('Stok Hareketleri'!$G$5:$G$2000,'Stok Hareketleri'!$D$5:$D$2000,$A157,'Stok Hareketleri'!$F$5:$F$2000,"Giriş"))</f>
        <v/>
      </c>
      <c r="F157" s="5" t="str">
        <f>IF($A157="","",SUMIFS('Stok Hareketleri'!$G$5:$G$2000,'Stok Hareketleri'!$D$5:$D$2000,$A157,'Stok Hareketleri'!$F$5:$F$2000,"Çıkış"))</f>
        <v/>
      </c>
      <c r="G157" s="5" t="str">
        <f t="shared" si="4"/>
        <v/>
      </c>
      <c r="H157" s="5" t="str">
        <f>IF($A157="","",'Malzeme Tanımlama'!F157)</f>
        <v/>
      </c>
      <c r="I157" s="5" t="str">
        <f t="shared" si="5"/>
        <v/>
      </c>
    </row>
    <row r="158" spans="1:9" x14ac:dyDescent="0.3">
      <c r="A158" s="7" t="str">
        <f>IF('Malzeme Tanımlama'!A158="","",'Malzeme Tanımlama'!A158)</f>
        <v/>
      </c>
      <c r="B158" s="5" t="str">
        <f>IF($A158="","",'Malzeme Tanımlama'!B158)</f>
        <v/>
      </c>
      <c r="C158" s="5" t="str">
        <f>IF($A158="","",'Malzeme Tanımlama'!C158)</f>
        <v/>
      </c>
      <c r="D158" s="5" t="str">
        <f>IF($A158="","",'Malzeme Tanımlama'!D158)</f>
        <v/>
      </c>
      <c r="E158" s="5" t="str">
        <f>IF($A158="","",SUMIFS('Stok Hareketleri'!$G$5:$G$2000,'Stok Hareketleri'!$D$5:$D$2000,$A158,'Stok Hareketleri'!$F$5:$F$2000,"Giriş"))</f>
        <v/>
      </c>
      <c r="F158" s="5" t="str">
        <f>IF($A158="","",SUMIFS('Stok Hareketleri'!$G$5:$G$2000,'Stok Hareketleri'!$D$5:$D$2000,$A158,'Stok Hareketleri'!$F$5:$F$2000,"Çıkış"))</f>
        <v/>
      </c>
      <c r="G158" s="5" t="str">
        <f t="shared" si="4"/>
        <v/>
      </c>
      <c r="H158" s="5" t="str">
        <f>IF($A158="","",'Malzeme Tanımlama'!F158)</f>
        <v/>
      </c>
      <c r="I158" s="5" t="str">
        <f t="shared" si="5"/>
        <v/>
      </c>
    </row>
    <row r="159" spans="1:9" x14ac:dyDescent="0.3">
      <c r="A159" s="7" t="str">
        <f>IF('Malzeme Tanımlama'!A159="","",'Malzeme Tanımlama'!A159)</f>
        <v/>
      </c>
      <c r="B159" s="5" t="str">
        <f>IF($A159="","",'Malzeme Tanımlama'!B159)</f>
        <v/>
      </c>
      <c r="C159" s="5" t="str">
        <f>IF($A159="","",'Malzeme Tanımlama'!C159)</f>
        <v/>
      </c>
      <c r="D159" s="5" t="str">
        <f>IF($A159="","",'Malzeme Tanımlama'!D159)</f>
        <v/>
      </c>
      <c r="E159" s="5" t="str">
        <f>IF($A159="","",SUMIFS('Stok Hareketleri'!$G$5:$G$2000,'Stok Hareketleri'!$D$5:$D$2000,$A159,'Stok Hareketleri'!$F$5:$F$2000,"Giriş"))</f>
        <v/>
      </c>
      <c r="F159" s="5" t="str">
        <f>IF($A159="","",SUMIFS('Stok Hareketleri'!$G$5:$G$2000,'Stok Hareketleri'!$D$5:$D$2000,$A159,'Stok Hareketleri'!$F$5:$F$2000,"Çıkış"))</f>
        <v/>
      </c>
      <c r="G159" s="5" t="str">
        <f t="shared" si="4"/>
        <v/>
      </c>
      <c r="H159" s="5" t="str">
        <f>IF($A159="","",'Malzeme Tanımlama'!F159)</f>
        <v/>
      </c>
      <c r="I159" s="5" t="str">
        <f t="shared" si="5"/>
        <v/>
      </c>
    </row>
    <row r="160" spans="1:9" x14ac:dyDescent="0.3">
      <c r="A160" s="7" t="str">
        <f>IF('Malzeme Tanımlama'!A160="","",'Malzeme Tanımlama'!A160)</f>
        <v/>
      </c>
      <c r="B160" s="5" t="str">
        <f>IF($A160="","",'Malzeme Tanımlama'!B160)</f>
        <v/>
      </c>
      <c r="C160" s="5" t="str">
        <f>IF($A160="","",'Malzeme Tanımlama'!C160)</f>
        <v/>
      </c>
      <c r="D160" s="5" t="str">
        <f>IF($A160="","",'Malzeme Tanımlama'!D160)</f>
        <v/>
      </c>
      <c r="E160" s="5" t="str">
        <f>IF($A160="","",SUMIFS('Stok Hareketleri'!$G$5:$G$2000,'Stok Hareketleri'!$D$5:$D$2000,$A160,'Stok Hareketleri'!$F$5:$F$2000,"Giriş"))</f>
        <v/>
      </c>
      <c r="F160" s="5" t="str">
        <f>IF($A160="","",SUMIFS('Stok Hareketleri'!$G$5:$G$2000,'Stok Hareketleri'!$D$5:$D$2000,$A160,'Stok Hareketleri'!$F$5:$F$2000,"Çıkış"))</f>
        <v/>
      </c>
      <c r="G160" s="5" t="str">
        <f t="shared" si="4"/>
        <v/>
      </c>
      <c r="H160" s="5" t="str">
        <f>IF($A160="","",'Malzeme Tanımlama'!F160)</f>
        <v/>
      </c>
      <c r="I160" s="5" t="str">
        <f t="shared" si="5"/>
        <v/>
      </c>
    </row>
    <row r="161" spans="1:9" x14ac:dyDescent="0.3">
      <c r="A161" s="7" t="str">
        <f>IF('Malzeme Tanımlama'!A161="","",'Malzeme Tanımlama'!A161)</f>
        <v/>
      </c>
      <c r="B161" s="5" t="str">
        <f>IF($A161="","",'Malzeme Tanımlama'!B161)</f>
        <v/>
      </c>
      <c r="C161" s="5" t="str">
        <f>IF($A161="","",'Malzeme Tanımlama'!C161)</f>
        <v/>
      </c>
      <c r="D161" s="5" t="str">
        <f>IF($A161="","",'Malzeme Tanımlama'!D161)</f>
        <v/>
      </c>
      <c r="E161" s="5" t="str">
        <f>IF($A161="","",SUMIFS('Stok Hareketleri'!$G$5:$G$2000,'Stok Hareketleri'!$D$5:$D$2000,$A161,'Stok Hareketleri'!$F$5:$F$2000,"Giriş"))</f>
        <v/>
      </c>
      <c r="F161" s="5" t="str">
        <f>IF($A161="","",SUMIFS('Stok Hareketleri'!$G$5:$G$2000,'Stok Hareketleri'!$D$5:$D$2000,$A161,'Stok Hareketleri'!$F$5:$F$2000,"Çıkış"))</f>
        <v/>
      </c>
      <c r="G161" s="5" t="str">
        <f t="shared" si="4"/>
        <v/>
      </c>
      <c r="H161" s="5" t="str">
        <f>IF($A161="","",'Malzeme Tanımlama'!F161)</f>
        <v/>
      </c>
      <c r="I161" s="5" t="str">
        <f t="shared" si="5"/>
        <v/>
      </c>
    </row>
    <row r="162" spans="1:9" x14ac:dyDescent="0.3">
      <c r="A162" s="7" t="str">
        <f>IF('Malzeme Tanımlama'!A162="","",'Malzeme Tanımlama'!A162)</f>
        <v/>
      </c>
      <c r="B162" s="5" t="str">
        <f>IF($A162="","",'Malzeme Tanımlama'!B162)</f>
        <v/>
      </c>
      <c r="C162" s="5" t="str">
        <f>IF($A162="","",'Malzeme Tanımlama'!C162)</f>
        <v/>
      </c>
      <c r="D162" s="5" t="str">
        <f>IF($A162="","",'Malzeme Tanımlama'!D162)</f>
        <v/>
      </c>
      <c r="E162" s="5" t="str">
        <f>IF($A162="","",SUMIFS('Stok Hareketleri'!$G$5:$G$2000,'Stok Hareketleri'!$D$5:$D$2000,$A162,'Stok Hareketleri'!$F$5:$F$2000,"Giriş"))</f>
        <v/>
      </c>
      <c r="F162" s="5" t="str">
        <f>IF($A162="","",SUMIFS('Stok Hareketleri'!$G$5:$G$2000,'Stok Hareketleri'!$D$5:$D$2000,$A162,'Stok Hareketleri'!$F$5:$F$2000,"Çıkış"))</f>
        <v/>
      </c>
      <c r="G162" s="5" t="str">
        <f t="shared" si="4"/>
        <v/>
      </c>
      <c r="H162" s="5" t="str">
        <f>IF($A162="","",'Malzeme Tanımlama'!F162)</f>
        <v/>
      </c>
      <c r="I162" s="5" t="str">
        <f t="shared" si="5"/>
        <v/>
      </c>
    </row>
    <row r="163" spans="1:9" x14ac:dyDescent="0.3">
      <c r="A163" s="7" t="str">
        <f>IF('Malzeme Tanımlama'!A163="","",'Malzeme Tanımlama'!A163)</f>
        <v/>
      </c>
      <c r="B163" s="5" t="str">
        <f>IF($A163="","",'Malzeme Tanımlama'!B163)</f>
        <v/>
      </c>
      <c r="C163" s="5" t="str">
        <f>IF($A163="","",'Malzeme Tanımlama'!C163)</f>
        <v/>
      </c>
      <c r="D163" s="5" t="str">
        <f>IF($A163="","",'Malzeme Tanımlama'!D163)</f>
        <v/>
      </c>
      <c r="E163" s="5" t="str">
        <f>IF($A163="","",SUMIFS('Stok Hareketleri'!$G$5:$G$2000,'Stok Hareketleri'!$D$5:$D$2000,$A163,'Stok Hareketleri'!$F$5:$F$2000,"Giriş"))</f>
        <v/>
      </c>
      <c r="F163" s="5" t="str">
        <f>IF($A163="","",SUMIFS('Stok Hareketleri'!$G$5:$G$2000,'Stok Hareketleri'!$D$5:$D$2000,$A163,'Stok Hareketleri'!$F$5:$F$2000,"Çıkış"))</f>
        <v/>
      </c>
      <c r="G163" s="5" t="str">
        <f t="shared" si="4"/>
        <v/>
      </c>
      <c r="H163" s="5" t="str">
        <f>IF($A163="","",'Malzeme Tanımlama'!F163)</f>
        <v/>
      </c>
      <c r="I163" s="5" t="str">
        <f t="shared" si="5"/>
        <v/>
      </c>
    </row>
    <row r="164" spans="1:9" x14ac:dyDescent="0.3">
      <c r="A164" s="7" t="str">
        <f>IF('Malzeme Tanımlama'!A164="","",'Malzeme Tanımlama'!A164)</f>
        <v/>
      </c>
      <c r="B164" s="5" t="str">
        <f>IF($A164="","",'Malzeme Tanımlama'!B164)</f>
        <v/>
      </c>
      <c r="C164" s="5" t="str">
        <f>IF($A164="","",'Malzeme Tanımlama'!C164)</f>
        <v/>
      </c>
      <c r="D164" s="5" t="str">
        <f>IF($A164="","",'Malzeme Tanımlama'!D164)</f>
        <v/>
      </c>
      <c r="E164" s="5" t="str">
        <f>IF($A164="","",SUMIFS('Stok Hareketleri'!$G$5:$G$2000,'Stok Hareketleri'!$D$5:$D$2000,$A164,'Stok Hareketleri'!$F$5:$F$2000,"Giriş"))</f>
        <v/>
      </c>
      <c r="F164" s="5" t="str">
        <f>IF($A164="","",SUMIFS('Stok Hareketleri'!$G$5:$G$2000,'Stok Hareketleri'!$D$5:$D$2000,$A164,'Stok Hareketleri'!$F$5:$F$2000,"Çıkış"))</f>
        <v/>
      </c>
      <c r="G164" s="5" t="str">
        <f t="shared" si="4"/>
        <v/>
      </c>
      <c r="H164" s="5" t="str">
        <f>IF($A164="","",'Malzeme Tanımlama'!F164)</f>
        <v/>
      </c>
      <c r="I164" s="5" t="str">
        <f t="shared" si="5"/>
        <v/>
      </c>
    </row>
    <row r="165" spans="1:9" x14ac:dyDescent="0.3">
      <c r="A165" s="7" t="str">
        <f>IF('Malzeme Tanımlama'!A165="","",'Malzeme Tanımlama'!A165)</f>
        <v/>
      </c>
      <c r="B165" s="5" t="str">
        <f>IF($A165="","",'Malzeme Tanımlama'!B165)</f>
        <v/>
      </c>
      <c r="C165" s="5" t="str">
        <f>IF($A165="","",'Malzeme Tanımlama'!C165)</f>
        <v/>
      </c>
      <c r="D165" s="5" t="str">
        <f>IF($A165="","",'Malzeme Tanımlama'!D165)</f>
        <v/>
      </c>
      <c r="E165" s="5" t="str">
        <f>IF($A165="","",SUMIFS('Stok Hareketleri'!$G$5:$G$2000,'Stok Hareketleri'!$D$5:$D$2000,$A165,'Stok Hareketleri'!$F$5:$F$2000,"Giriş"))</f>
        <v/>
      </c>
      <c r="F165" s="5" t="str">
        <f>IF($A165="","",SUMIFS('Stok Hareketleri'!$G$5:$G$2000,'Stok Hareketleri'!$D$5:$D$2000,$A165,'Stok Hareketleri'!$F$5:$F$2000,"Çıkış"))</f>
        <v/>
      </c>
      <c r="G165" s="5" t="str">
        <f t="shared" si="4"/>
        <v/>
      </c>
      <c r="H165" s="5" t="str">
        <f>IF($A165="","",'Malzeme Tanımlama'!F165)</f>
        <v/>
      </c>
      <c r="I165" s="5" t="str">
        <f t="shared" si="5"/>
        <v/>
      </c>
    </row>
    <row r="166" spans="1:9" x14ac:dyDescent="0.3">
      <c r="A166" s="7" t="str">
        <f>IF('Malzeme Tanımlama'!A166="","",'Malzeme Tanımlama'!A166)</f>
        <v/>
      </c>
      <c r="B166" s="5" t="str">
        <f>IF($A166="","",'Malzeme Tanımlama'!B166)</f>
        <v/>
      </c>
      <c r="C166" s="5" t="str">
        <f>IF($A166="","",'Malzeme Tanımlama'!C166)</f>
        <v/>
      </c>
      <c r="D166" s="5" t="str">
        <f>IF($A166="","",'Malzeme Tanımlama'!D166)</f>
        <v/>
      </c>
      <c r="E166" s="5" t="str">
        <f>IF($A166="","",SUMIFS('Stok Hareketleri'!$G$5:$G$2000,'Stok Hareketleri'!$D$5:$D$2000,$A166,'Stok Hareketleri'!$F$5:$F$2000,"Giriş"))</f>
        <v/>
      </c>
      <c r="F166" s="5" t="str">
        <f>IF($A166="","",SUMIFS('Stok Hareketleri'!$G$5:$G$2000,'Stok Hareketleri'!$D$5:$D$2000,$A166,'Stok Hareketleri'!$F$5:$F$2000,"Çıkış"))</f>
        <v/>
      </c>
      <c r="G166" s="5" t="str">
        <f t="shared" si="4"/>
        <v/>
      </c>
      <c r="H166" s="5" t="str">
        <f>IF($A166="","",'Malzeme Tanımlama'!F166)</f>
        <v/>
      </c>
      <c r="I166" s="5" t="str">
        <f t="shared" si="5"/>
        <v/>
      </c>
    </row>
    <row r="167" spans="1:9" x14ac:dyDescent="0.3">
      <c r="A167" s="7" t="str">
        <f>IF('Malzeme Tanımlama'!A167="","",'Malzeme Tanımlama'!A167)</f>
        <v/>
      </c>
      <c r="B167" s="5" t="str">
        <f>IF($A167="","",'Malzeme Tanımlama'!B167)</f>
        <v/>
      </c>
      <c r="C167" s="5" t="str">
        <f>IF($A167="","",'Malzeme Tanımlama'!C167)</f>
        <v/>
      </c>
      <c r="D167" s="5" t="str">
        <f>IF($A167="","",'Malzeme Tanımlama'!D167)</f>
        <v/>
      </c>
      <c r="E167" s="5" t="str">
        <f>IF($A167="","",SUMIFS('Stok Hareketleri'!$G$5:$G$2000,'Stok Hareketleri'!$D$5:$D$2000,$A167,'Stok Hareketleri'!$F$5:$F$2000,"Giriş"))</f>
        <v/>
      </c>
      <c r="F167" s="5" t="str">
        <f>IF($A167="","",SUMIFS('Stok Hareketleri'!$G$5:$G$2000,'Stok Hareketleri'!$D$5:$D$2000,$A167,'Stok Hareketleri'!$F$5:$F$2000,"Çıkış"))</f>
        <v/>
      </c>
      <c r="G167" s="5" t="str">
        <f t="shared" si="4"/>
        <v/>
      </c>
      <c r="H167" s="5" t="str">
        <f>IF($A167="","",'Malzeme Tanımlama'!F167)</f>
        <v/>
      </c>
      <c r="I167" s="5" t="str">
        <f t="shared" si="5"/>
        <v/>
      </c>
    </row>
    <row r="168" spans="1:9" x14ac:dyDescent="0.3">
      <c r="A168" s="7" t="str">
        <f>IF('Malzeme Tanımlama'!A168="","",'Malzeme Tanımlama'!A168)</f>
        <v/>
      </c>
      <c r="B168" s="5" t="str">
        <f>IF($A168="","",'Malzeme Tanımlama'!B168)</f>
        <v/>
      </c>
      <c r="C168" s="5" t="str">
        <f>IF($A168="","",'Malzeme Tanımlama'!C168)</f>
        <v/>
      </c>
      <c r="D168" s="5" t="str">
        <f>IF($A168="","",'Malzeme Tanımlama'!D168)</f>
        <v/>
      </c>
      <c r="E168" s="5" t="str">
        <f>IF($A168="","",SUMIFS('Stok Hareketleri'!$G$5:$G$2000,'Stok Hareketleri'!$D$5:$D$2000,$A168,'Stok Hareketleri'!$F$5:$F$2000,"Giriş"))</f>
        <v/>
      </c>
      <c r="F168" s="5" t="str">
        <f>IF($A168="","",SUMIFS('Stok Hareketleri'!$G$5:$G$2000,'Stok Hareketleri'!$D$5:$D$2000,$A168,'Stok Hareketleri'!$F$5:$F$2000,"Çıkış"))</f>
        <v/>
      </c>
      <c r="G168" s="5" t="str">
        <f t="shared" si="4"/>
        <v/>
      </c>
      <c r="H168" s="5" t="str">
        <f>IF($A168="","",'Malzeme Tanımlama'!F168)</f>
        <v/>
      </c>
      <c r="I168" s="5" t="str">
        <f t="shared" si="5"/>
        <v/>
      </c>
    </row>
    <row r="169" spans="1:9" x14ac:dyDescent="0.3">
      <c r="A169" s="7" t="str">
        <f>IF('Malzeme Tanımlama'!A169="","",'Malzeme Tanımlama'!A169)</f>
        <v/>
      </c>
      <c r="B169" s="5" t="str">
        <f>IF($A169="","",'Malzeme Tanımlama'!B169)</f>
        <v/>
      </c>
      <c r="C169" s="5" t="str">
        <f>IF($A169="","",'Malzeme Tanımlama'!C169)</f>
        <v/>
      </c>
      <c r="D169" s="5" t="str">
        <f>IF($A169="","",'Malzeme Tanımlama'!D169)</f>
        <v/>
      </c>
      <c r="E169" s="5" t="str">
        <f>IF($A169="","",SUMIFS('Stok Hareketleri'!$G$5:$G$2000,'Stok Hareketleri'!$D$5:$D$2000,$A169,'Stok Hareketleri'!$F$5:$F$2000,"Giriş"))</f>
        <v/>
      </c>
      <c r="F169" s="5" t="str">
        <f>IF($A169="","",SUMIFS('Stok Hareketleri'!$G$5:$G$2000,'Stok Hareketleri'!$D$5:$D$2000,$A169,'Stok Hareketleri'!$F$5:$F$2000,"Çıkış"))</f>
        <v/>
      </c>
      <c r="G169" s="5" t="str">
        <f t="shared" si="4"/>
        <v/>
      </c>
      <c r="H169" s="5" t="str">
        <f>IF($A169="","",'Malzeme Tanımlama'!F169)</f>
        <v/>
      </c>
      <c r="I169" s="5" t="str">
        <f t="shared" si="5"/>
        <v/>
      </c>
    </row>
    <row r="170" spans="1:9" x14ac:dyDescent="0.3">
      <c r="A170" s="7" t="str">
        <f>IF('Malzeme Tanımlama'!A170="","",'Malzeme Tanımlama'!A170)</f>
        <v/>
      </c>
      <c r="B170" s="5" t="str">
        <f>IF($A170="","",'Malzeme Tanımlama'!B170)</f>
        <v/>
      </c>
      <c r="C170" s="5" t="str">
        <f>IF($A170="","",'Malzeme Tanımlama'!C170)</f>
        <v/>
      </c>
      <c r="D170" s="5" t="str">
        <f>IF($A170="","",'Malzeme Tanımlama'!D170)</f>
        <v/>
      </c>
      <c r="E170" s="5" t="str">
        <f>IF($A170="","",SUMIFS('Stok Hareketleri'!$G$5:$G$2000,'Stok Hareketleri'!$D$5:$D$2000,$A170,'Stok Hareketleri'!$F$5:$F$2000,"Giriş"))</f>
        <v/>
      </c>
      <c r="F170" s="5" t="str">
        <f>IF($A170="","",SUMIFS('Stok Hareketleri'!$G$5:$G$2000,'Stok Hareketleri'!$D$5:$D$2000,$A170,'Stok Hareketleri'!$F$5:$F$2000,"Çıkış"))</f>
        <v/>
      </c>
      <c r="G170" s="5" t="str">
        <f t="shared" si="4"/>
        <v/>
      </c>
      <c r="H170" s="5" t="str">
        <f>IF($A170="","",'Malzeme Tanımlama'!F170)</f>
        <v/>
      </c>
      <c r="I170" s="5" t="str">
        <f t="shared" si="5"/>
        <v/>
      </c>
    </row>
    <row r="171" spans="1:9" x14ac:dyDescent="0.3">
      <c r="A171" s="7" t="str">
        <f>IF('Malzeme Tanımlama'!A171="","",'Malzeme Tanımlama'!A171)</f>
        <v/>
      </c>
      <c r="B171" s="5" t="str">
        <f>IF($A171="","",'Malzeme Tanımlama'!B171)</f>
        <v/>
      </c>
      <c r="C171" s="5" t="str">
        <f>IF($A171="","",'Malzeme Tanımlama'!C171)</f>
        <v/>
      </c>
      <c r="D171" s="5" t="str">
        <f>IF($A171="","",'Malzeme Tanımlama'!D171)</f>
        <v/>
      </c>
      <c r="E171" s="5" t="str">
        <f>IF($A171="","",SUMIFS('Stok Hareketleri'!$G$5:$G$2000,'Stok Hareketleri'!$D$5:$D$2000,$A171,'Stok Hareketleri'!$F$5:$F$2000,"Giriş"))</f>
        <v/>
      </c>
      <c r="F171" s="5" t="str">
        <f>IF($A171="","",SUMIFS('Stok Hareketleri'!$G$5:$G$2000,'Stok Hareketleri'!$D$5:$D$2000,$A171,'Stok Hareketleri'!$F$5:$F$2000,"Çıkış"))</f>
        <v/>
      </c>
      <c r="G171" s="5" t="str">
        <f t="shared" si="4"/>
        <v/>
      </c>
      <c r="H171" s="5" t="str">
        <f>IF($A171="","",'Malzeme Tanımlama'!F171)</f>
        <v/>
      </c>
      <c r="I171" s="5" t="str">
        <f t="shared" si="5"/>
        <v/>
      </c>
    </row>
    <row r="172" spans="1:9" x14ac:dyDescent="0.3">
      <c r="A172" s="7" t="str">
        <f>IF('Malzeme Tanımlama'!A172="","",'Malzeme Tanımlama'!A172)</f>
        <v/>
      </c>
      <c r="B172" s="5" t="str">
        <f>IF($A172="","",'Malzeme Tanımlama'!B172)</f>
        <v/>
      </c>
      <c r="C172" s="5" t="str">
        <f>IF($A172="","",'Malzeme Tanımlama'!C172)</f>
        <v/>
      </c>
      <c r="D172" s="5" t="str">
        <f>IF($A172="","",'Malzeme Tanımlama'!D172)</f>
        <v/>
      </c>
      <c r="E172" s="5" t="str">
        <f>IF($A172="","",SUMIFS('Stok Hareketleri'!$G$5:$G$2000,'Stok Hareketleri'!$D$5:$D$2000,$A172,'Stok Hareketleri'!$F$5:$F$2000,"Giriş"))</f>
        <v/>
      </c>
      <c r="F172" s="5" t="str">
        <f>IF($A172="","",SUMIFS('Stok Hareketleri'!$G$5:$G$2000,'Stok Hareketleri'!$D$5:$D$2000,$A172,'Stok Hareketleri'!$F$5:$F$2000,"Çıkış"))</f>
        <v/>
      </c>
      <c r="G172" s="5" t="str">
        <f t="shared" si="4"/>
        <v/>
      </c>
      <c r="H172" s="5" t="str">
        <f>IF($A172="","",'Malzeme Tanımlama'!F172)</f>
        <v/>
      </c>
      <c r="I172" s="5" t="str">
        <f t="shared" si="5"/>
        <v/>
      </c>
    </row>
    <row r="173" spans="1:9" x14ac:dyDescent="0.3">
      <c r="A173" s="7" t="str">
        <f>IF('Malzeme Tanımlama'!A173="","",'Malzeme Tanımlama'!A173)</f>
        <v/>
      </c>
      <c r="B173" s="5" t="str">
        <f>IF($A173="","",'Malzeme Tanımlama'!B173)</f>
        <v/>
      </c>
      <c r="C173" s="5" t="str">
        <f>IF($A173="","",'Malzeme Tanımlama'!C173)</f>
        <v/>
      </c>
      <c r="D173" s="5" t="str">
        <f>IF($A173="","",'Malzeme Tanımlama'!D173)</f>
        <v/>
      </c>
      <c r="E173" s="5" t="str">
        <f>IF($A173="","",SUMIFS('Stok Hareketleri'!$G$5:$G$2000,'Stok Hareketleri'!$D$5:$D$2000,$A173,'Stok Hareketleri'!$F$5:$F$2000,"Giriş"))</f>
        <v/>
      </c>
      <c r="F173" s="5" t="str">
        <f>IF($A173="","",SUMIFS('Stok Hareketleri'!$G$5:$G$2000,'Stok Hareketleri'!$D$5:$D$2000,$A173,'Stok Hareketleri'!$F$5:$F$2000,"Çıkış"))</f>
        <v/>
      </c>
      <c r="G173" s="5" t="str">
        <f t="shared" si="4"/>
        <v/>
      </c>
      <c r="H173" s="5" t="str">
        <f>IF($A173="","",'Malzeme Tanımlama'!F173)</f>
        <v/>
      </c>
      <c r="I173" s="5" t="str">
        <f t="shared" si="5"/>
        <v/>
      </c>
    </row>
    <row r="174" spans="1:9" x14ac:dyDescent="0.3">
      <c r="A174" s="7" t="str">
        <f>IF('Malzeme Tanımlama'!A174="","",'Malzeme Tanımlama'!A174)</f>
        <v/>
      </c>
      <c r="B174" s="5" t="str">
        <f>IF($A174="","",'Malzeme Tanımlama'!B174)</f>
        <v/>
      </c>
      <c r="C174" s="5" t="str">
        <f>IF($A174="","",'Malzeme Tanımlama'!C174)</f>
        <v/>
      </c>
      <c r="D174" s="5" t="str">
        <f>IF($A174="","",'Malzeme Tanımlama'!D174)</f>
        <v/>
      </c>
      <c r="E174" s="5" t="str">
        <f>IF($A174="","",SUMIFS('Stok Hareketleri'!$G$5:$G$2000,'Stok Hareketleri'!$D$5:$D$2000,$A174,'Stok Hareketleri'!$F$5:$F$2000,"Giriş"))</f>
        <v/>
      </c>
      <c r="F174" s="5" t="str">
        <f>IF($A174="","",SUMIFS('Stok Hareketleri'!$G$5:$G$2000,'Stok Hareketleri'!$D$5:$D$2000,$A174,'Stok Hareketleri'!$F$5:$F$2000,"Çıkış"))</f>
        <v/>
      </c>
      <c r="G174" s="5" t="str">
        <f t="shared" si="4"/>
        <v/>
      </c>
      <c r="H174" s="5" t="str">
        <f>IF($A174="","",'Malzeme Tanımlama'!F174)</f>
        <v/>
      </c>
      <c r="I174" s="5" t="str">
        <f t="shared" si="5"/>
        <v/>
      </c>
    </row>
    <row r="175" spans="1:9" x14ac:dyDescent="0.3">
      <c r="A175" s="7" t="str">
        <f>IF('Malzeme Tanımlama'!A175="","",'Malzeme Tanımlama'!A175)</f>
        <v/>
      </c>
      <c r="B175" s="5" t="str">
        <f>IF($A175="","",'Malzeme Tanımlama'!B175)</f>
        <v/>
      </c>
      <c r="C175" s="5" t="str">
        <f>IF($A175="","",'Malzeme Tanımlama'!C175)</f>
        <v/>
      </c>
      <c r="D175" s="5" t="str">
        <f>IF($A175="","",'Malzeme Tanımlama'!D175)</f>
        <v/>
      </c>
      <c r="E175" s="5" t="str">
        <f>IF($A175="","",SUMIFS('Stok Hareketleri'!$G$5:$G$2000,'Stok Hareketleri'!$D$5:$D$2000,$A175,'Stok Hareketleri'!$F$5:$F$2000,"Giriş"))</f>
        <v/>
      </c>
      <c r="F175" s="5" t="str">
        <f>IF($A175="","",SUMIFS('Stok Hareketleri'!$G$5:$G$2000,'Stok Hareketleri'!$D$5:$D$2000,$A175,'Stok Hareketleri'!$F$5:$F$2000,"Çıkış"))</f>
        <v/>
      </c>
      <c r="G175" s="5" t="str">
        <f t="shared" si="4"/>
        <v/>
      </c>
      <c r="H175" s="5" t="str">
        <f>IF($A175="","",'Malzeme Tanımlama'!F175)</f>
        <v/>
      </c>
      <c r="I175" s="5" t="str">
        <f t="shared" si="5"/>
        <v/>
      </c>
    </row>
    <row r="176" spans="1:9" x14ac:dyDescent="0.3">
      <c r="A176" s="7" t="str">
        <f>IF('Malzeme Tanımlama'!A176="","",'Malzeme Tanımlama'!A176)</f>
        <v/>
      </c>
      <c r="B176" s="5" t="str">
        <f>IF($A176="","",'Malzeme Tanımlama'!B176)</f>
        <v/>
      </c>
      <c r="C176" s="5" t="str">
        <f>IF($A176="","",'Malzeme Tanımlama'!C176)</f>
        <v/>
      </c>
      <c r="D176" s="5" t="str">
        <f>IF($A176="","",'Malzeme Tanımlama'!D176)</f>
        <v/>
      </c>
      <c r="E176" s="5" t="str">
        <f>IF($A176="","",SUMIFS('Stok Hareketleri'!$G$5:$G$2000,'Stok Hareketleri'!$D$5:$D$2000,$A176,'Stok Hareketleri'!$F$5:$F$2000,"Giriş"))</f>
        <v/>
      </c>
      <c r="F176" s="5" t="str">
        <f>IF($A176="","",SUMIFS('Stok Hareketleri'!$G$5:$G$2000,'Stok Hareketleri'!$D$5:$D$2000,$A176,'Stok Hareketleri'!$F$5:$F$2000,"Çıkış"))</f>
        <v/>
      </c>
      <c r="G176" s="5" t="str">
        <f t="shared" si="4"/>
        <v/>
      </c>
      <c r="H176" s="5" t="str">
        <f>IF($A176="","",'Malzeme Tanımlama'!F176)</f>
        <v/>
      </c>
      <c r="I176" s="5" t="str">
        <f t="shared" si="5"/>
        <v/>
      </c>
    </row>
    <row r="177" spans="1:9" x14ac:dyDescent="0.3">
      <c r="A177" s="7" t="str">
        <f>IF('Malzeme Tanımlama'!A177="","",'Malzeme Tanımlama'!A177)</f>
        <v/>
      </c>
      <c r="B177" s="5" t="str">
        <f>IF($A177="","",'Malzeme Tanımlama'!B177)</f>
        <v/>
      </c>
      <c r="C177" s="5" t="str">
        <f>IF($A177="","",'Malzeme Tanımlama'!C177)</f>
        <v/>
      </c>
      <c r="D177" s="5" t="str">
        <f>IF($A177="","",'Malzeme Tanımlama'!D177)</f>
        <v/>
      </c>
      <c r="E177" s="5" t="str">
        <f>IF($A177="","",SUMIFS('Stok Hareketleri'!$G$5:$G$2000,'Stok Hareketleri'!$D$5:$D$2000,$A177,'Stok Hareketleri'!$F$5:$F$2000,"Giriş"))</f>
        <v/>
      </c>
      <c r="F177" s="5" t="str">
        <f>IF($A177="","",SUMIFS('Stok Hareketleri'!$G$5:$G$2000,'Stok Hareketleri'!$D$5:$D$2000,$A177,'Stok Hareketleri'!$F$5:$F$2000,"Çıkış"))</f>
        <v/>
      </c>
      <c r="G177" s="5" t="str">
        <f t="shared" si="4"/>
        <v/>
      </c>
      <c r="H177" s="5" t="str">
        <f>IF($A177="","",'Malzeme Tanımlama'!F177)</f>
        <v/>
      </c>
      <c r="I177" s="5" t="str">
        <f t="shared" si="5"/>
        <v/>
      </c>
    </row>
    <row r="178" spans="1:9" x14ac:dyDescent="0.3">
      <c r="A178" s="7" t="str">
        <f>IF('Malzeme Tanımlama'!A178="","",'Malzeme Tanımlama'!A178)</f>
        <v/>
      </c>
      <c r="B178" s="5" t="str">
        <f>IF($A178="","",'Malzeme Tanımlama'!B178)</f>
        <v/>
      </c>
      <c r="C178" s="5" t="str">
        <f>IF($A178="","",'Malzeme Tanımlama'!C178)</f>
        <v/>
      </c>
      <c r="D178" s="5" t="str">
        <f>IF($A178="","",'Malzeme Tanımlama'!D178)</f>
        <v/>
      </c>
      <c r="E178" s="5" t="str">
        <f>IF($A178="","",SUMIFS('Stok Hareketleri'!$G$5:$G$2000,'Stok Hareketleri'!$D$5:$D$2000,$A178,'Stok Hareketleri'!$F$5:$F$2000,"Giriş"))</f>
        <v/>
      </c>
      <c r="F178" s="5" t="str">
        <f>IF($A178="","",SUMIFS('Stok Hareketleri'!$G$5:$G$2000,'Stok Hareketleri'!$D$5:$D$2000,$A178,'Stok Hareketleri'!$F$5:$F$2000,"Çıkış"))</f>
        <v/>
      </c>
      <c r="G178" s="5" t="str">
        <f t="shared" si="4"/>
        <v/>
      </c>
      <c r="H178" s="5" t="str">
        <f>IF($A178="","",'Malzeme Tanımlama'!F178)</f>
        <v/>
      </c>
      <c r="I178" s="5" t="str">
        <f t="shared" si="5"/>
        <v/>
      </c>
    </row>
    <row r="179" spans="1:9" x14ac:dyDescent="0.3">
      <c r="A179" s="7" t="str">
        <f>IF('Malzeme Tanımlama'!A179="","",'Malzeme Tanımlama'!A179)</f>
        <v/>
      </c>
      <c r="B179" s="5" t="str">
        <f>IF($A179="","",'Malzeme Tanımlama'!B179)</f>
        <v/>
      </c>
      <c r="C179" s="5" t="str">
        <f>IF($A179="","",'Malzeme Tanımlama'!C179)</f>
        <v/>
      </c>
      <c r="D179" s="5" t="str">
        <f>IF($A179="","",'Malzeme Tanımlama'!D179)</f>
        <v/>
      </c>
      <c r="E179" s="5" t="str">
        <f>IF($A179="","",SUMIFS('Stok Hareketleri'!$G$5:$G$2000,'Stok Hareketleri'!$D$5:$D$2000,$A179,'Stok Hareketleri'!$F$5:$F$2000,"Giriş"))</f>
        <v/>
      </c>
      <c r="F179" s="5" t="str">
        <f>IF($A179="","",SUMIFS('Stok Hareketleri'!$G$5:$G$2000,'Stok Hareketleri'!$D$5:$D$2000,$A179,'Stok Hareketleri'!$F$5:$F$2000,"Çıkış"))</f>
        <v/>
      </c>
      <c r="G179" s="5" t="str">
        <f t="shared" si="4"/>
        <v/>
      </c>
      <c r="H179" s="5" t="str">
        <f>IF($A179="","",'Malzeme Tanımlama'!F179)</f>
        <v/>
      </c>
      <c r="I179" s="5" t="str">
        <f t="shared" si="5"/>
        <v/>
      </c>
    </row>
    <row r="180" spans="1:9" x14ac:dyDescent="0.3">
      <c r="A180" s="7" t="str">
        <f>IF('Malzeme Tanımlama'!A180="","",'Malzeme Tanımlama'!A180)</f>
        <v/>
      </c>
      <c r="B180" s="5" t="str">
        <f>IF($A180="","",'Malzeme Tanımlama'!B180)</f>
        <v/>
      </c>
      <c r="C180" s="5" t="str">
        <f>IF($A180="","",'Malzeme Tanımlama'!C180)</f>
        <v/>
      </c>
      <c r="D180" s="5" t="str">
        <f>IF($A180="","",'Malzeme Tanımlama'!D180)</f>
        <v/>
      </c>
      <c r="E180" s="5" t="str">
        <f>IF($A180="","",SUMIFS('Stok Hareketleri'!$G$5:$G$2000,'Stok Hareketleri'!$D$5:$D$2000,$A180,'Stok Hareketleri'!$F$5:$F$2000,"Giriş"))</f>
        <v/>
      </c>
      <c r="F180" s="5" t="str">
        <f>IF($A180="","",SUMIFS('Stok Hareketleri'!$G$5:$G$2000,'Stok Hareketleri'!$D$5:$D$2000,$A180,'Stok Hareketleri'!$F$5:$F$2000,"Çıkış"))</f>
        <v/>
      </c>
      <c r="G180" s="5" t="str">
        <f t="shared" si="4"/>
        <v/>
      </c>
      <c r="H180" s="5" t="str">
        <f>IF($A180="","",'Malzeme Tanımlama'!F180)</f>
        <v/>
      </c>
      <c r="I180" s="5" t="str">
        <f t="shared" si="5"/>
        <v/>
      </c>
    </row>
    <row r="181" spans="1:9" x14ac:dyDescent="0.3">
      <c r="A181" s="7" t="str">
        <f>IF('Malzeme Tanımlama'!A181="","",'Malzeme Tanımlama'!A181)</f>
        <v/>
      </c>
      <c r="B181" s="5" t="str">
        <f>IF($A181="","",'Malzeme Tanımlama'!B181)</f>
        <v/>
      </c>
      <c r="C181" s="5" t="str">
        <f>IF($A181="","",'Malzeme Tanımlama'!C181)</f>
        <v/>
      </c>
      <c r="D181" s="5" t="str">
        <f>IF($A181="","",'Malzeme Tanımlama'!D181)</f>
        <v/>
      </c>
      <c r="E181" s="5" t="str">
        <f>IF($A181="","",SUMIFS('Stok Hareketleri'!$G$5:$G$2000,'Stok Hareketleri'!$D$5:$D$2000,$A181,'Stok Hareketleri'!$F$5:$F$2000,"Giriş"))</f>
        <v/>
      </c>
      <c r="F181" s="5" t="str">
        <f>IF($A181="","",SUMIFS('Stok Hareketleri'!$G$5:$G$2000,'Stok Hareketleri'!$D$5:$D$2000,$A181,'Stok Hareketleri'!$F$5:$F$2000,"Çıkış"))</f>
        <v/>
      </c>
      <c r="G181" s="5" t="str">
        <f t="shared" si="4"/>
        <v/>
      </c>
      <c r="H181" s="5" t="str">
        <f>IF($A181="","",'Malzeme Tanımlama'!F181)</f>
        <v/>
      </c>
      <c r="I181" s="5" t="str">
        <f t="shared" si="5"/>
        <v/>
      </c>
    </row>
    <row r="182" spans="1:9" x14ac:dyDescent="0.3">
      <c r="A182" s="7" t="str">
        <f>IF('Malzeme Tanımlama'!A182="","",'Malzeme Tanımlama'!A182)</f>
        <v/>
      </c>
      <c r="B182" s="5" t="str">
        <f>IF($A182="","",'Malzeme Tanımlama'!B182)</f>
        <v/>
      </c>
      <c r="C182" s="5" t="str">
        <f>IF($A182="","",'Malzeme Tanımlama'!C182)</f>
        <v/>
      </c>
      <c r="D182" s="5" t="str">
        <f>IF($A182="","",'Malzeme Tanımlama'!D182)</f>
        <v/>
      </c>
      <c r="E182" s="5" t="str">
        <f>IF($A182="","",SUMIFS('Stok Hareketleri'!$G$5:$G$2000,'Stok Hareketleri'!$D$5:$D$2000,$A182,'Stok Hareketleri'!$F$5:$F$2000,"Giriş"))</f>
        <v/>
      </c>
      <c r="F182" s="5" t="str">
        <f>IF($A182="","",SUMIFS('Stok Hareketleri'!$G$5:$G$2000,'Stok Hareketleri'!$D$5:$D$2000,$A182,'Stok Hareketleri'!$F$5:$F$2000,"Çıkış"))</f>
        <v/>
      </c>
      <c r="G182" s="5" t="str">
        <f t="shared" si="4"/>
        <v/>
      </c>
      <c r="H182" s="5" t="str">
        <f>IF($A182="","",'Malzeme Tanımlama'!F182)</f>
        <v/>
      </c>
      <c r="I182" s="5" t="str">
        <f t="shared" si="5"/>
        <v/>
      </c>
    </row>
    <row r="183" spans="1:9" x14ac:dyDescent="0.3">
      <c r="A183" s="7" t="str">
        <f>IF('Malzeme Tanımlama'!A183="","",'Malzeme Tanımlama'!A183)</f>
        <v/>
      </c>
      <c r="B183" s="5" t="str">
        <f>IF($A183="","",'Malzeme Tanımlama'!B183)</f>
        <v/>
      </c>
      <c r="C183" s="5" t="str">
        <f>IF($A183="","",'Malzeme Tanımlama'!C183)</f>
        <v/>
      </c>
      <c r="D183" s="5" t="str">
        <f>IF($A183="","",'Malzeme Tanımlama'!D183)</f>
        <v/>
      </c>
      <c r="E183" s="5" t="str">
        <f>IF($A183="","",SUMIFS('Stok Hareketleri'!$G$5:$G$2000,'Stok Hareketleri'!$D$5:$D$2000,$A183,'Stok Hareketleri'!$F$5:$F$2000,"Giriş"))</f>
        <v/>
      </c>
      <c r="F183" s="5" t="str">
        <f>IF($A183="","",SUMIFS('Stok Hareketleri'!$G$5:$G$2000,'Stok Hareketleri'!$D$5:$D$2000,$A183,'Stok Hareketleri'!$F$5:$F$2000,"Çıkış"))</f>
        <v/>
      </c>
      <c r="G183" s="5" t="str">
        <f t="shared" si="4"/>
        <v/>
      </c>
      <c r="H183" s="5" t="str">
        <f>IF($A183="","",'Malzeme Tanımlama'!F183)</f>
        <v/>
      </c>
      <c r="I183" s="5" t="str">
        <f t="shared" si="5"/>
        <v/>
      </c>
    </row>
    <row r="184" spans="1:9" x14ac:dyDescent="0.3">
      <c r="A184" s="7" t="str">
        <f>IF('Malzeme Tanımlama'!A184="","",'Malzeme Tanımlama'!A184)</f>
        <v/>
      </c>
      <c r="B184" s="5" t="str">
        <f>IF($A184="","",'Malzeme Tanımlama'!B184)</f>
        <v/>
      </c>
      <c r="C184" s="5" t="str">
        <f>IF($A184="","",'Malzeme Tanımlama'!C184)</f>
        <v/>
      </c>
      <c r="D184" s="5" t="str">
        <f>IF($A184="","",'Malzeme Tanımlama'!D184)</f>
        <v/>
      </c>
      <c r="E184" s="5" t="str">
        <f>IF($A184="","",SUMIFS('Stok Hareketleri'!$G$5:$G$2000,'Stok Hareketleri'!$D$5:$D$2000,$A184,'Stok Hareketleri'!$F$5:$F$2000,"Giriş"))</f>
        <v/>
      </c>
      <c r="F184" s="5" t="str">
        <f>IF($A184="","",SUMIFS('Stok Hareketleri'!$G$5:$G$2000,'Stok Hareketleri'!$D$5:$D$2000,$A184,'Stok Hareketleri'!$F$5:$F$2000,"Çıkış"))</f>
        <v/>
      </c>
      <c r="G184" s="5" t="str">
        <f t="shared" si="4"/>
        <v/>
      </c>
      <c r="H184" s="5" t="str">
        <f>IF($A184="","",'Malzeme Tanımlama'!F184)</f>
        <v/>
      </c>
      <c r="I184" s="5" t="str">
        <f t="shared" si="5"/>
        <v/>
      </c>
    </row>
    <row r="185" spans="1:9" x14ac:dyDescent="0.3">
      <c r="A185" s="7" t="str">
        <f>IF('Malzeme Tanımlama'!A185="","",'Malzeme Tanımlama'!A185)</f>
        <v/>
      </c>
      <c r="B185" s="5" t="str">
        <f>IF($A185="","",'Malzeme Tanımlama'!B185)</f>
        <v/>
      </c>
      <c r="C185" s="5" t="str">
        <f>IF($A185="","",'Malzeme Tanımlama'!C185)</f>
        <v/>
      </c>
      <c r="D185" s="5" t="str">
        <f>IF($A185="","",'Malzeme Tanımlama'!D185)</f>
        <v/>
      </c>
      <c r="E185" s="5" t="str">
        <f>IF($A185="","",SUMIFS('Stok Hareketleri'!$G$5:$G$2000,'Stok Hareketleri'!$D$5:$D$2000,$A185,'Stok Hareketleri'!$F$5:$F$2000,"Giriş"))</f>
        <v/>
      </c>
      <c r="F185" s="5" t="str">
        <f>IF($A185="","",SUMIFS('Stok Hareketleri'!$G$5:$G$2000,'Stok Hareketleri'!$D$5:$D$2000,$A185,'Stok Hareketleri'!$F$5:$F$2000,"Çıkış"))</f>
        <v/>
      </c>
      <c r="G185" s="5" t="str">
        <f t="shared" si="4"/>
        <v/>
      </c>
      <c r="H185" s="5" t="str">
        <f>IF($A185="","",'Malzeme Tanımlama'!F185)</f>
        <v/>
      </c>
      <c r="I185" s="5" t="str">
        <f t="shared" si="5"/>
        <v/>
      </c>
    </row>
    <row r="186" spans="1:9" x14ac:dyDescent="0.3">
      <c r="A186" s="7" t="str">
        <f>IF('Malzeme Tanımlama'!A186="","",'Malzeme Tanımlama'!A186)</f>
        <v/>
      </c>
      <c r="B186" s="5" t="str">
        <f>IF($A186="","",'Malzeme Tanımlama'!B186)</f>
        <v/>
      </c>
      <c r="C186" s="5" t="str">
        <f>IF($A186="","",'Malzeme Tanımlama'!C186)</f>
        <v/>
      </c>
      <c r="D186" s="5" t="str">
        <f>IF($A186="","",'Malzeme Tanımlama'!D186)</f>
        <v/>
      </c>
      <c r="E186" s="5" t="str">
        <f>IF($A186="","",SUMIFS('Stok Hareketleri'!$G$5:$G$2000,'Stok Hareketleri'!$D$5:$D$2000,$A186,'Stok Hareketleri'!$F$5:$F$2000,"Giriş"))</f>
        <v/>
      </c>
      <c r="F186" s="5" t="str">
        <f>IF($A186="","",SUMIFS('Stok Hareketleri'!$G$5:$G$2000,'Stok Hareketleri'!$D$5:$D$2000,$A186,'Stok Hareketleri'!$F$5:$F$2000,"Çıkış"))</f>
        <v/>
      </c>
      <c r="G186" s="5" t="str">
        <f t="shared" si="4"/>
        <v/>
      </c>
      <c r="H186" s="5" t="str">
        <f>IF($A186="","",'Malzeme Tanımlama'!F186)</f>
        <v/>
      </c>
      <c r="I186" s="5" t="str">
        <f t="shared" si="5"/>
        <v/>
      </c>
    </row>
    <row r="187" spans="1:9" x14ac:dyDescent="0.3">
      <c r="A187" s="7" t="str">
        <f>IF('Malzeme Tanımlama'!A187="","",'Malzeme Tanımlama'!A187)</f>
        <v/>
      </c>
      <c r="B187" s="5" t="str">
        <f>IF($A187="","",'Malzeme Tanımlama'!B187)</f>
        <v/>
      </c>
      <c r="C187" s="5" t="str">
        <f>IF($A187="","",'Malzeme Tanımlama'!C187)</f>
        <v/>
      </c>
      <c r="D187" s="5" t="str">
        <f>IF($A187="","",'Malzeme Tanımlama'!D187)</f>
        <v/>
      </c>
      <c r="E187" s="5" t="str">
        <f>IF($A187="","",SUMIFS('Stok Hareketleri'!$G$5:$G$2000,'Stok Hareketleri'!$D$5:$D$2000,$A187,'Stok Hareketleri'!$F$5:$F$2000,"Giriş"))</f>
        <v/>
      </c>
      <c r="F187" s="5" t="str">
        <f>IF($A187="","",SUMIFS('Stok Hareketleri'!$G$5:$G$2000,'Stok Hareketleri'!$D$5:$D$2000,$A187,'Stok Hareketleri'!$F$5:$F$2000,"Çıkış"))</f>
        <v/>
      </c>
      <c r="G187" s="5" t="str">
        <f t="shared" si="4"/>
        <v/>
      </c>
      <c r="H187" s="5" t="str">
        <f>IF($A187="","",'Malzeme Tanımlama'!F187)</f>
        <v/>
      </c>
      <c r="I187" s="5" t="str">
        <f t="shared" si="5"/>
        <v/>
      </c>
    </row>
    <row r="188" spans="1:9" x14ac:dyDescent="0.3">
      <c r="A188" s="7" t="str">
        <f>IF('Malzeme Tanımlama'!A188="","",'Malzeme Tanımlama'!A188)</f>
        <v/>
      </c>
      <c r="B188" s="5" t="str">
        <f>IF($A188="","",'Malzeme Tanımlama'!B188)</f>
        <v/>
      </c>
      <c r="C188" s="5" t="str">
        <f>IF($A188="","",'Malzeme Tanımlama'!C188)</f>
        <v/>
      </c>
      <c r="D188" s="5" t="str">
        <f>IF($A188="","",'Malzeme Tanımlama'!D188)</f>
        <v/>
      </c>
      <c r="E188" s="5" t="str">
        <f>IF($A188="","",SUMIFS('Stok Hareketleri'!$G$5:$G$2000,'Stok Hareketleri'!$D$5:$D$2000,$A188,'Stok Hareketleri'!$F$5:$F$2000,"Giriş"))</f>
        <v/>
      </c>
      <c r="F188" s="5" t="str">
        <f>IF($A188="","",SUMIFS('Stok Hareketleri'!$G$5:$G$2000,'Stok Hareketleri'!$D$5:$D$2000,$A188,'Stok Hareketleri'!$F$5:$F$2000,"Çıkış"))</f>
        <v/>
      </c>
      <c r="G188" s="5" t="str">
        <f t="shared" si="4"/>
        <v/>
      </c>
      <c r="H188" s="5" t="str">
        <f>IF($A188="","",'Malzeme Tanımlama'!F188)</f>
        <v/>
      </c>
      <c r="I188" s="5" t="str">
        <f t="shared" si="5"/>
        <v/>
      </c>
    </row>
    <row r="189" spans="1:9" x14ac:dyDescent="0.3">
      <c r="A189" s="7" t="str">
        <f>IF('Malzeme Tanımlama'!A189="","",'Malzeme Tanımlama'!A189)</f>
        <v/>
      </c>
      <c r="B189" s="5" t="str">
        <f>IF($A189="","",'Malzeme Tanımlama'!B189)</f>
        <v/>
      </c>
      <c r="C189" s="5" t="str">
        <f>IF($A189="","",'Malzeme Tanımlama'!C189)</f>
        <v/>
      </c>
      <c r="D189" s="5" t="str">
        <f>IF($A189="","",'Malzeme Tanımlama'!D189)</f>
        <v/>
      </c>
      <c r="E189" s="5" t="str">
        <f>IF($A189="","",SUMIFS('Stok Hareketleri'!$G$5:$G$2000,'Stok Hareketleri'!$D$5:$D$2000,$A189,'Stok Hareketleri'!$F$5:$F$2000,"Giriş"))</f>
        <v/>
      </c>
      <c r="F189" s="5" t="str">
        <f>IF($A189="","",SUMIFS('Stok Hareketleri'!$G$5:$G$2000,'Stok Hareketleri'!$D$5:$D$2000,$A189,'Stok Hareketleri'!$F$5:$F$2000,"Çıkış"))</f>
        <v/>
      </c>
      <c r="G189" s="5" t="str">
        <f t="shared" si="4"/>
        <v/>
      </c>
      <c r="H189" s="5" t="str">
        <f>IF($A189="","",'Malzeme Tanımlama'!F189)</f>
        <v/>
      </c>
      <c r="I189" s="5" t="str">
        <f t="shared" si="5"/>
        <v/>
      </c>
    </row>
    <row r="190" spans="1:9" x14ac:dyDescent="0.3">
      <c r="A190" s="7" t="str">
        <f>IF('Malzeme Tanımlama'!A190="","",'Malzeme Tanımlama'!A190)</f>
        <v/>
      </c>
      <c r="B190" s="5" t="str">
        <f>IF($A190="","",'Malzeme Tanımlama'!B190)</f>
        <v/>
      </c>
      <c r="C190" s="5" t="str">
        <f>IF($A190="","",'Malzeme Tanımlama'!C190)</f>
        <v/>
      </c>
      <c r="D190" s="5" t="str">
        <f>IF($A190="","",'Malzeme Tanımlama'!D190)</f>
        <v/>
      </c>
      <c r="E190" s="5" t="str">
        <f>IF($A190="","",SUMIFS('Stok Hareketleri'!$G$5:$G$2000,'Stok Hareketleri'!$D$5:$D$2000,$A190,'Stok Hareketleri'!$F$5:$F$2000,"Giriş"))</f>
        <v/>
      </c>
      <c r="F190" s="5" t="str">
        <f>IF($A190="","",SUMIFS('Stok Hareketleri'!$G$5:$G$2000,'Stok Hareketleri'!$D$5:$D$2000,$A190,'Stok Hareketleri'!$F$5:$F$2000,"Çıkış"))</f>
        <v/>
      </c>
      <c r="G190" s="5" t="str">
        <f t="shared" si="4"/>
        <v/>
      </c>
      <c r="H190" s="5" t="str">
        <f>IF($A190="","",'Malzeme Tanımlama'!F190)</f>
        <v/>
      </c>
      <c r="I190" s="5" t="str">
        <f t="shared" si="5"/>
        <v/>
      </c>
    </row>
    <row r="191" spans="1:9" x14ac:dyDescent="0.3">
      <c r="A191" s="7" t="str">
        <f>IF('Malzeme Tanımlama'!A191="","",'Malzeme Tanımlama'!A191)</f>
        <v/>
      </c>
      <c r="B191" s="5" t="str">
        <f>IF($A191="","",'Malzeme Tanımlama'!B191)</f>
        <v/>
      </c>
      <c r="C191" s="5" t="str">
        <f>IF($A191="","",'Malzeme Tanımlama'!C191)</f>
        <v/>
      </c>
      <c r="D191" s="5" t="str">
        <f>IF($A191="","",'Malzeme Tanımlama'!D191)</f>
        <v/>
      </c>
      <c r="E191" s="5" t="str">
        <f>IF($A191="","",SUMIFS('Stok Hareketleri'!$G$5:$G$2000,'Stok Hareketleri'!$D$5:$D$2000,$A191,'Stok Hareketleri'!$F$5:$F$2000,"Giriş"))</f>
        <v/>
      </c>
      <c r="F191" s="5" t="str">
        <f>IF($A191="","",SUMIFS('Stok Hareketleri'!$G$5:$G$2000,'Stok Hareketleri'!$D$5:$D$2000,$A191,'Stok Hareketleri'!$F$5:$F$2000,"Çıkış"))</f>
        <v/>
      </c>
      <c r="G191" s="5" t="str">
        <f t="shared" si="4"/>
        <v/>
      </c>
      <c r="H191" s="5" t="str">
        <f>IF($A191="","",'Malzeme Tanımlama'!F191)</f>
        <v/>
      </c>
      <c r="I191" s="5" t="str">
        <f t="shared" si="5"/>
        <v/>
      </c>
    </row>
    <row r="192" spans="1:9" x14ac:dyDescent="0.3">
      <c r="A192" s="7" t="str">
        <f>IF('Malzeme Tanımlama'!A192="","",'Malzeme Tanımlama'!A192)</f>
        <v/>
      </c>
      <c r="B192" s="5" t="str">
        <f>IF($A192="","",'Malzeme Tanımlama'!B192)</f>
        <v/>
      </c>
      <c r="C192" s="5" t="str">
        <f>IF($A192="","",'Malzeme Tanımlama'!C192)</f>
        <v/>
      </c>
      <c r="D192" s="5" t="str">
        <f>IF($A192="","",'Malzeme Tanımlama'!D192)</f>
        <v/>
      </c>
      <c r="E192" s="5" t="str">
        <f>IF($A192="","",SUMIFS('Stok Hareketleri'!$G$5:$G$2000,'Stok Hareketleri'!$D$5:$D$2000,$A192,'Stok Hareketleri'!$F$5:$F$2000,"Giriş"))</f>
        <v/>
      </c>
      <c r="F192" s="5" t="str">
        <f>IF($A192="","",SUMIFS('Stok Hareketleri'!$G$5:$G$2000,'Stok Hareketleri'!$D$5:$D$2000,$A192,'Stok Hareketleri'!$F$5:$F$2000,"Çıkış"))</f>
        <v/>
      </c>
      <c r="G192" s="5" t="str">
        <f t="shared" si="4"/>
        <v/>
      </c>
      <c r="H192" s="5" t="str">
        <f>IF($A192="","",'Malzeme Tanımlama'!F192)</f>
        <v/>
      </c>
      <c r="I192" s="5" t="str">
        <f t="shared" si="5"/>
        <v/>
      </c>
    </row>
    <row r="193" spans="1:9" x14ac:dyDescent="0.3">
      <c r="A193" s="7" t="str">
        <f>IF('Malzeme Tanımlama'!A193="","",'Malzeme Tanımlama'!A193)</f>
        <v/>
      </c>
      <c r="B193" s="5" t="str">
        <f>IF($A193="","",'Malzeme Tanımlama'!B193)</f>
        <v/>
      </c>
      <c r="C193" s="5" t="str">
        <f>IF($A193="","",'Malzeme Tanımlama'!C193)</f>
        <v/>
      </c>
      <c r="D193" s="5" t="str">
        <f>IF($A193="","",'Malzeme Tanımlama'!D193)</f>
        <v/>
      </c>
      <c r="E193" s="5" t="str">
        <f>IF($A193="","",SUMIFS('Stok Hareketleri'!$G$5:$G$2000,'Stok Hareketleri'!$D$5:$D$2000,$A193,'Stok Hareketleri'!$F$5:$F$2000,"Giriş"))</f>
        <v/>
      </c>
      <c r="F193" s="5" t="str">
        <f>IF($A193="","",SUMIFS('Stok Hareketleri'!$G$5:$G$2000,'Stok Hareketleri'!$D$5:$D$2000,$A193,'Stok Hareketleri'!$F$5:$F$2000,"Çıkış"))</f>
        <v/>
      </c>
      <c r="G193" s="5" t="str">
        <f t="shared" si="4"/>
        <v/>
      </c>
      <c r="H193" s="5" t="str">
        <f>IF($A193="","",'Malzeme Tanımlama'!F193)</f>
        <v/>
      </c>
      <c r="I193" s="5" t="str">
        <f t="shared" si="5"/>
        <v/>
      </c>
    </row>
    <row r="194" spans="1:9" x14ac:dyDescent="0.3">
      <c r="A194" s="7" t="str">
        <f>IF('Malzeme Tanımlama'!A194="","",'Malzeme Tanımlama'!A194)</f>
        <v/>
      </c>
      <c r="B194" s="5" t="str">
        <f>IF($A194="","",'Malzeme Tanımlama'!B194)</f>
        <v/>
      </c>
      <c r="C194" s="5" t="str">
        <f>IF($A194="","",'Malzeme Tanımlama'!C194)</f>
        <v/>
      </c>
      <c r="D194" s="5" t="str">
        <f>IF($A194="","",'Malzeme Tanımlama'!D194)</f>
        <v/>
      </c>
      <c r="E194" s="5" t="str">
        <f>IF($A194="","",SUMIFS('Stok Hareketleri'!$G$5:$G$2000,'Stok Hareketleri'!$D$5:$D$2000,$A194,'Stok Hareketleri'!$F$5:$F$2000,"Giriş"))</f>
        <v/>
      </c>
      <c r="F194" s="5" t="str">
        <f>IF($A194="","",SUMIFS('Stok Hareketleri'!$G$5:$G$2000,'Stok Hareketleri'!$D$5:$D$2000,$A194,'Stok Hareketleri'!$F$5:$F$2000,"Çıkış"))</f>
        <v/>
      </c>
      <c r="G194" s="5" t="str">
        <f t="shared" si="4"/>
        <v/>
      </c>
      <c r="H194" s="5" t="str">
        <f>IF($A194="","",'Malzeme Tanımlama'!F194)</f>
        <v/>
      </c>
      <c r="I194" s="5" t="str">
        <f t="shared" si="5"/>
        <v/>
      </c>
    </row>
    <row r="195" spans="1:9" x14ac:dyDescent="0.3">
      <c r="A195" s="7" t="str">
        <f>IF('Malzeme Tanımlama'!A195="","",'Malzeme Tanımlama'!A195)</f>
        <v/>
      </c>
      <c r="B195" s="5" t="str">
        <f>IF($A195="","",'Malzeme Tanımlama'!B195)</f>
        <v/>
      </c>
      <c r="C195" s="5" t="str">
        <f>IF($A195="","",'Malzeme Tanımlama'!C195)</f>
        <v/>
      </c>
      <c r="D195" s="5" t="str">
        <f>IF($A195="","",'Malzeme Tanımlama'!D195)</f>
        <v/>
      </c>
      <c r="E195" s="5" t="str">
        <f>IF($A195="","",SUMIFS('Stok Hareketleri'!$G$5:$G$2000,'Stok Hareketleri'!$D$5:$D$2000,$A195,'Stok Hareketleri'!$F$5:$F$2000,"Giriş"))</f>
        <v/>
      </c>
      <c r="F195" s="5" t="str">
        <f>IF($A195="","",SUMIFS('Stok Hareketleri'!$G$5:$G$2000,'Stok Hareketleri'!$D$5:$D$2000,$A195,'Stok Hareketleri'!$F$5:$F$2000,"Çıkış"))</f>
        <v/>
      </c>
      <c r="G195" s="5" t="str">
        <f t="shared" si="4"/>
        <v/>
      </c>
      <c r="H195" s="5" t="str">
        <f>IF($A195="","",'Malzeme Tanımlama'!F195)</f>
        <v/>
      </c>
      <c r="I195" s="5" t="str">
        <f t="shared" si="5"/>
        <v/>
      </c>
    </row>
    <row r="196" spans="1:9" x14ac:dyDescent="0.3">
      <c r="A196" s="7" t="str">
        <f>IF('Malzeme Tanımlama'!A196="","",'Malzeme Tanımlama'!A196)</f>
        <v/>
      </c>
      <c r="B196" s="5" t="str">
        <f>IF($A196="","",'Malzeme Tanımlama'!B196)</f>
        <v/>
      </c>
      <c r="C196" s="5" t="str">
        <f>IF($A196="","",'Malzeme Tanımlama'!C196)</f>
        <v/>
      </c>
      <c r="D196" s="5" t="str">
        <f>IF($A196="","",'Malzeme Tanımlama'!D196)</f>
        <v/>
      </c>
      <c r="E196" s="5" t="str">
        <f>IF($A196="","",SUMIFS('Stok Hareketleri'!$G$5:$G$2000,'Stok Hareketleri'!$D$5:$D$2000,$A196,'Stok Hareketleri'!$F$5:$F$2000,"Giriş"))</f>
        <v/>
      </c>
      <c r="F196" s="5" t="str">
        <f>IF($A196="","",SUMIFS('Stok Hareketleri'!$G$5:$G$2000,'Stok Hareketleri'!$D$5:$D$2000,$A196,'Stok Hareketleri'!$F$5:$F$2000,"Çıkış"))</f>
        <v/>
      </c>
      <c r="G196" s="5" t="str">
        <f t="shared" si="4"/>
        <v/>
      </c>
      <c r="H196" s="5" t="str">
        <f>IF($A196="","",'Malzeme Tanımlama'!F196)</f>
        <v/>
      </c>
      <c r="I196" s="5" t="str">
        <f t="shared" si="5"/>
        <v/>
      </c>
    </row>
    <row r="197" spans="1:9" x14ac:dyDescent="0.3">
      <c r="A197" s="7" t="str">
        <f>IF('Malzeme Tanımlama'!A197="","",'Malzeme Tanımlama'!A197)</f>
        <v/>
      </c>
      <c r="B197" s="5" t="str">
        <f>IF($A197="","",'Malzeme Tanımlama'!B197)</f>
        <v/>
      </c>
      <c r="C197" s="5" t="str">
        <f>IF($A197="","",'Malzeme Tanımlama'!C197)</f>
        <v/>
      </c>
      <c r="D197" s="5" t="str">
        <f>IF($A197="","",'Malzeme Tanımlama'!D197)</f>
        <v/>
      </c>
      <c r="E197" s="5" t="str">
        <f>IF($A197="","",SUMIFS('Stok Hareketleri'!$G$5:$G$2000,'Stok Hareketleri'!$D$5:$D$2000,$A197,'Stok Hareketleri'!$F$5:$F$2000,"Giriş"))</f>
        <v/>
      </c>
      <c r="F197" s="5" t="str">
        <f>IF($A197="","",SUMIFS('Stok Hareketleri'!$G$5:$G$2000,'Stok Hareketleri'!$D$5:$D$2000,$A197,'Stok Hareketleri'!$F$5:$F$2000,"Çıkış"))</f>
        <v/>
      </c>
      <c r="G197" s="5" t="str">
        <f t="shared" ref="G197:G260" si="6">IF($A197="","",$E197-$F197)</f>
        <v/>
      </c>
      <c r="H197" s="5" t="str">
        <f>IF($A197="","",'Malzeme Tanımlama'!F197)</f>
        <v/>
      </c>
      <c r="I197" s="5" t="str">
        <f t="shared" ref="I197:I260" si="7">IF($A197="","",IF($G197&lt;=$H197,"KRİTİK",IF($G197&lt;=$H197*1.3,"DİKKAT","NORMAL")))</f>
        <v/>
      </c>
    </row>
    <row r="198" spans="1:9" x14ac:dyDescent="0.3">
      <c r="A198" s="7" t="str">
        <f>IF('Malzeme Tanımlama'!A198="","",'Malzeme Tanımlama'!A198)</f>
        <v/>
      </c>
      <c r="B198" s="5" t="str">
        <f>IF($A198="","",'Malzeme Tanımlama'!B198)</f>
        <v/>
      </c>
      <c r="C198" s="5" t="str">
        <f>IF($A198="","",'Malzeme Tanımlama'!C198)</f>
        <v/>
      </c>
      <c r="D198" s="5" t="str">
        <f>IF($A198="","",'Malzeme Tanımlama'!D198)</f>
        <v/>
      </c>
      <c r="E198" s="5" t="str">
        <f>IF($A198="","",SUMIFS('Stok Hareketleri'!$G$5:$G$2000,'Stok Hareketleri'!$D$5:$D$2000,$A198,'Stok Hareketleri'!$F$5:$F$2000,"Giriş"))</f>
        <v/>
      </c>
      <c r="F198" s="5" t="str">
        <f>IF($A198="","",SUMIFS('Stok Hareketleri'!$G$5:$G$2000,'Stok Hareketleri'!$D$5:$D$2000,$A198,'Stok Hareketleri'!$F$5:$F$2000,"Çıkış"))</f>
        <v/>
      </c>
      <c r="G198" s="5" t="str">
        <f t="shared" si="6"/>
        <v/>
      </c>
      <c r="H198" s="5" t="str">
        <f>IF($A198="","",'Malzeme Tanımlama'!F198)</f>
        <v/>
      </c>
      <c r="I198" s="5" t="str">
        <f t="shared" si="7"/>
        <v/>
      </c>
    </row>
    <row r="199" spans="1:9" x14ac:dyDescent="0.3">
      <c r="A199" s="7" t="str">
        <f>IF('Malzeme Tanımlama'!A199="","",'Malzeme Tanımlama'!A199)</f>
        <v/>
      </c>
      <c r="B199" s="5" t="str">
        <f>IF($A199="","",'Malzeme Tanımlama'!B199)</f>
        <v/>
      </c>
      <c r="C199" s="5" t="str">
        <f>IF($A199="","",'Malzeme Tanımlama'!C199)</f>
        <v/>
      </c>
      <c r="D199" s="5" t="str">
        <f>IF($A199="","",'Malzeme Tanımlama'!D199)</f>
        <v/>
      </c>
      <c r="E199" s="5" t="str">
        <f>IF($A199="","",SUMIFS('Stok Hareketleri'!$G$5:$G$2000,'Stok Hareketleri'!$D$5:$D$2000,$A199,'Stok Hareketleri'!$F$5:$F$2000,"Giriş"))</f>
        <v/>
      </c>
      <c r="F199" s="5" t="str">
        <f>IF($A199="","",SUMIFS('Stok Hareketleri'!$G$5:$G$2000,'Stok Hareketleri'!$D$5:$D$2000,$A199,'Stok Hareketleri'!$F$5:$F$2000,"Çıkış"))</f>
        <v/>
      </c>
      <c r="G199" s="5" t="str">
        <f t="shared" si="6"/>
        <v/>
      </c>
      <c r="H199" s="5" t="str">
        <f>IF($A199="","",'Malzeme Tanımlama'!F199)</f>
        <v/>
      </c>
      <c r="I199" s="5" t="str">
        <f t="shared" si="7"/>
        <v/>
      </c>
    </row>
    <row r="200" spans="1:9" x14ac:dyDescent="0.3">
      <c r="A200" s="7" t="str">
        <f>IF('Malzeme Tanımlama'!A200="","",'Malzeme Tanımlama'!A200)</f>
        <v/>
      </c>
      <c r="B200" s="5" t="str">
        <f>IF($A200="","",'Malzeme Tanımlama'!B200)</f>
        <v/>
      </c>
      <c r="C200" s="5" t="str">
        <f>IF($A200="","",'Malzeme Tanımlama'!C200)</f>
        <v/>
      </c>
      <c r="D200" s="5" t="str">
        <f>IF($A200="","",'Malzeme Tanımlama'!D200)</f>
        <v/>
      </c>
      <c r="E200" s="5" t="str">
        <f>IF($A200="","",SUMIFS('Stok Hareketleri'!$G$5:$G$2000,'Stok Hareketleri'!$D$5:$D$2000,$A200,'Stok Hareketleri'!$F$5:$F$2000,"Giriş"))</f>
        <v/>
      </c>
      <c r="F200" s="5" t="str">
        <f>IF($A200="","",SUMIFS('Stok Hareketleri'!$G$5:$G$2000,'Stok Hareketleri'!$D$5:$D$2000,$A200,'Stok Hareketleri'!$F$5:$F$2000,"Çıkış"))</f>
        <v/>
      </c>
      <c r="G200" s="5" t="str">
        <f t="shared" si="6"/>
        <v/>
      </c>
      <c r="H200" s="5" t="str">
        <f>IF($A200="","",'Malzeme Tanımlama'!F200)</f>
        <v/>
      </c>
      <c r="I200" s="5" t="str">
        <f t="shared" si="7"/>
        <v/>
      </c>
    </row>
    <row r="201" spans="1:9" x14ac:dyDescent="0.3">
      <c r="A201" s="7" t="str">
        <f>IF('Malzeme Tanımlama'!A201="","",'Malzeme Tanımlama'!A201)</f>
        <v/>
      </c>
      <c r="B201" s="5" t="str">
        <f>IF($A201="","",'Malzeme Tanımlama'!B201)</f>
        <v/>
      </c>
      <c r="C201" s="5" t="str">
        <f>IF($A201="","",'Malzeme Tanımlama'!C201)</f>
        <v/>
      </c>
      <c r="D201" s="5" t="str">
        <f>IF($A201="","",'Malzeme Tanımlama'!D201)</f>
        <v/>
      </c>
      <c r="E201" s="5" t="str">
        <f>IF($A201="","",SUMIFS('Stok Hareketleri'!$G$5:$G$2000,'Stok Hareketleri'!$D$5:$D$2000,$A201,'Stok Hareketleri'!$F$5:$F$2000,"Giriş"))</f>
        <v/>
      </c>
      <c r="F201" s="5" t="str">
        <f>IF($A201="","",SUMIFS('Stok Hareketleri'!$G$5:$G$2000,'Stok Hareketleri'!$D$5:$D$2000,$A201,'Stok Hareketleri'!$F$5:$F$2000,"Çıkış"))</f>
        <v/>
      </c>
      <c r="G201" s="5" t="str">
        <f t="shared" si="6"/>
        <v/>
      </c>
      <c r="H201" s="5" t="str">
        <f>IF($A201="","",'Malzeme Tanımlama'!F201)</f>
        <v/>
      </c>
      <c r="I201" s="5" t="str">
        <f t="shared" si="7"/>
        <v/>
      </c>
    </row>
    <row r="202" spans="1:9" x14ac:dyDescent="0.3">
      <c r="A202" s="7" t="str">
        <f>IF('Malzeme Tanımlama'!A202="","",'Malzeme Tanımlama'!A202)</f>
        <v/>
      </c>
      <c r="B202" s="5" t="str">
        <f>IF($A202="","",'Malzeme Tanımlama'!B202)</f>
        <v/>
      </c>
      <c r="C202" s="5" t="str">
        <f>IF($A202="","",'Malzeme Tanımlama'!C202)</f>
        <v/>
      </c>
      <c r="D202" s="5" t="str">
        <f>IF($A202="","",'Malzeme Tanımlama'!D202)</f>
        <v/>
      </c>
      <c r="E202" s="5" t="str">
        <f>IF($A202="","",SUMIFS('Stok Hareketleri'!$G$5:$G$2000,'Stok Hareketleri'!$D$5:$D$2000,$A202,'Stok Hareketleri'!$F$5:$F$2000,"Giriş"))</f>
        <v/>
      </c>
      <c r="F202" s="5" t="str">
        <f>IF($A202="","",SUMIFS('Stok Hareketleri'!$G$5:$G$2000,'Stok Hareketleri'!$D$5:$D$2000,$A202,'Stok Hareketleri'!$F$5:$F$2000,"Çıkış"))</f>
        <v/>
      </c>
      <c r="G202" s="5" t="str">
        <f t="shared" si="6"/>
        <v/>
      </c>
      <c r="H202" s="5" t="str">
        <f>IF($A202="","",'Malzeme Tanımlama'!F202)</f>
        <v/>
      </c>
      <c r="I202" s="5" t="str">
        <f t="shared" si="7"/>
        <v/>
      </c>
    </row>
    <row r="203" spans="1:9" x14ac:dyDescent="0.3">
      <c r="A203" s="7" t="str">
        <f>IF('Malzeme Tanımlama'!A203="","",'Malzeme Tanımlama'!A203)</f>
        <v/>
      </c>
      <c r="B203" s="5" t="str">
        <f>IF($A203="","",'Malzeme Tanımlama'!B203)</f>
        <v/>
      </c>
      <c r="C203" s="5" t="str">
        <f>IF($A203="","",'Malzeme Tanımlama'!C203)</f>
        <v/>
      </c>
      <c r="D203" s="5" t="str">
        <f>IF($A203="","",'Malzeme Tanımlama'!D203)</f>
        <v/>
      </c>
      <c r="E203" s="5" t="str">
        <f>IF($A203="","",SUMIFS('Stok Hareketleri'!$G$5:$G$2000,'Stok Hareketleri'!$D$5:$D$2000,$A203,'Stok Hareketleri'!$F$5:$F$2000,"Giriş"))</f>
        <v/>
      </c>
      <c r="F203" s="5" t="str">
        <f>IF($A203="","",SUMIFS('Stok Hareketleri'!$G$5:$G$2000,'Stok Hareketleri'!$D$5:$D$2000,$A203,'Stok Hareketleri'!$F$5:$F$2000,"Çıkış"))</f>
        <v/>
      </c>
      <c r="G203" s="5" t="str">
        <f t="shared" si="6"/>
        <v/>
      </c>
      <c r="H203" s="5" t="str">
        <f>IF($A203="","",'Malzeme Tanımlama'!F203)</f>
        <v/>
      </c>
      <c r="I203" s="5" t="str">
        <f t="shared" si="7"/>
        <v/>
      </c>
    </row>
    <row r="204" spans="1:9" x14ac:dyDescent="0.3">
      <c r="A204" s="7" t="str">
        <f>IF('Malzeme Tanımlama'!A204="","",'Malzeme Tanımlama'!A204)</f>
        <v/>
      </c>
      <c r="B204" s="5" t="str">
        <f>IF($A204="","",'Malzeme Tanımlama'!B204)</f>
        <v/>
      </c>
      <c r="C204" s="5" t="str">
        <f>IF($A204="","",'Malzeme Tanımlama'!C204)</f>
        <v/>
      </c>
      <c r="D204" s="5" t="str">
        <f>IF($A204="","",'Malzeme Tanımlama'!D204)</f>
        <v/>
      </c>
      <c r="E204" s="5" t="str">
        <f>IF($A204="","",SUMIFS('Stok Hareketleri'!$G$5:$G$2000,'Stok Hareketleri'!$D$5:$D$2000,$A204,'Stok Hareketleri'!$F$5:$F$2000,"Giriş"))</f>
        <v/>
      </c>
      <c r="F204" s="5" t="str">
        <f>IF($A204="","",SUMIFS('Stok Hareketleri'!$G$5:$G$2000,'Stok Hareketleri'!$D$5:$D$2000,$A204,'Stok Hareketleri'!$F$5:$F$2000,"Çıkış"))</f>
        <v/>
      </c>
      <c r="G204" s="5" t="str">
        <f t="shared" si="6"/>
        <v/>
      </c>
      <c r="H204" s="5" t="str">
        <f>IF($A204="","",'Malzeme Tanımlama'!F204)</f>
        <v/>
      </c>
      <c r="I204" s="5" t="str">
        <f t="shared" si="7"/>
        <v/>
      </c>
    </row>
    <row r="205" spans="1:9" x14ac:dyDescent="0.3">
      <c r="A205" s="7" t="str">
        <f>IF('Malzeme Tanımlama'!A205="","",'Malzeme Tanımlama'!A205)</f>
        <v/>
      </c>
      <c r="B205" s="5" t="str">
        <f>IF($A205="","",'Malzeme Tanımlama'!B205)</f>
        <v/>
      </c>
      <c r="C205" s="5" t="str">
        <f>IF($A205="","",'Malzeme Tanımlama'!C205)</f>
        <v/>
      </c>
      <c r="D205" s="5" t="str">
        <f>IF($A205="","",'Malzeme Tanımlama'!D205)</f>
        <v/>
      </c>
      <c r="E205" s="5" t="str">
        <f>IF($A205="","",SUMIFS('Stok Hareketleri'!$G$5:$G$2000,'Stok Hareketleri'!$D$5:$D$2000,$A205,'Stok Hareketleri'!$F$5:$F$2000,"Giriş"))</f>
        <v/>
      </c>
      <c r="F205" s="5" t="str">
        <f>IF($A205="","",SUMIFS('Stok Hareketleri'!$G$5:$G$2000,'Stok Hareketleri'!$D$5:$D$2000,$A205,'Stok Hareketleri'!$F$5:$F$2000,"Çıkış"))</f>
        <v/>
      </c>
      <c r="G205" s="5" t="str">
        <f t="shared" si="6"/>
        <v/>
      </c>
      <c r="H205" s="5" t="str">
        <f>IF($A205="","",'Malzeme Tanımlama'!F205)</f>
        <v/>
      </c>
      <c r="I205" s="5" t="str">
        <f t="shared" si="7"/>
        <v/>
      </c>
    </row>
    <row r="206" spans="1:9" x14ac:dyDescent="0.3">
      <c r="A206" s="7" t="str">
        <f>IF('Malzeme Tanımlama'!A206="","",'Malzeme Tanımlama'!A206)</f>
        <v/>
      </c>
      <c r="B206" s="5" t="str">
        <f>IF($A206="","",'Malzeme Tanımlama'!B206)</f>
        <v/>
      </c>
      <c r="C206" s="5" t="str">
        <f>IF($A206="","",'Malzeme Tanımlama'!C206)</f>
        <v/>
      </c>
      <c r="D206" s="5" t="str">
        <f>IF($A206="","",'Malzeme Tanımlama'!D206)</f>
        <v/>
      </c>
      <c r="E206" s="5" t="str">
        <f>IF($A206="","",SUMIFS('Stok Hareketleri'!$G$5:$G$2000,'Stok Hareketleri'!$D$5:$D$2000,$A206,'Stok Hareketleri'!$F$5:$F$2000,"Giriş"))</f>
        <v/>
      </c>
      <c r="F206" s="5" t="str">
        <f>IF($A206="","",SUMIFS('Stok Hareketleri'!$G$5:$G$2000,'Stok Hareketleri'!$D$5:$D$2000,$A206,'Stok Hareketleri'!$F$5:$F$2000,"Çıkış"))</f>
        <v/>
      </c>
      <c r="G206" s="5" t="str">
        <f t="shared" si="6"/>
        <v/>
      </c>
      <c r="H206" s="5" t="str">
        <f>IF($A206="","",'Malzeme Tanımlama'!F206)</f>
        <v/>
      </c>
      <c r="I206" s="5" t="str">
        <f t="shared" si="7"/>
        <v/>
      </c>
    </row>
    <row r="207" spans="1:9" x14ac:dyDescent="0.3">
      <c r="A207" s="7" t="str">
        <f>IF('Malzeme Tanımlama'!A207="","",'Malzeme Tanımlama'!A207)</f>
        <v/>
      </c>
      <c r="B207" s="5" t="str">
        <f>IF($A207="","",'Malzeme Tanımlama'!B207)</f>
        <v/>
      </c>
      <c r="C207" s="5" t="str">
        <f>IF($A207="","",'Malzeme Tanımlama'!C207)</f>
        <v/>
      </c>
      <c r="D207" s="5" t="str">
        <f>IF($A207="","",'Malzeme Tanımlama'!D207)</f>
        <v/>
      </c>
      <c r="E207" s="5" t="str">
        <f>IF($A207="","",SUMIFS('Stok Hareketleri'!$G$5:$G$2000,'Stok Hareketleri'!$D$5:$D$2000,$A207,'Stok Hareketleri'!$F$5:$F$2000,"Giriş"))</f>
        <v/>
      </c>
      <c r="F207" s="5" t="str">
        <f>IF($A207="","",SUMIFS('Stok Hareketleri'!$G$5:$G$2000,'Stok Hareketleri'!$D$5:$D$2000,$A207,'Stok Hareketleri'!$F$5:$F$2000,"Çıkış"))</f>
        <v/>
      </c>
      <c r="G207" s="5" t="str">
        <f t="shared" si="6"/>
        <v/>
      </c>
      <c r="H207" s="5" t="str">
        <f>IF($A207="","",'Malzeme Tanımlama'!F207)</f>
        <v/>
      </c>
      <c r="I207" s="5" t="str">
        <f t="shared" si="7"/>
        <v/>
      </c>
    </row>
    <row r="208" spans="1:9" x14ac:dyDescent="0.3">
      <c r="A208" s="7" t="str">
        <f>IF('Malzeme Tanımlama'!A208="","",'Malzeme Tanımlama'!A208)</f>
        <v/>
      </c>
      <c r="B208" s="5" t="str">
        <f>IF($A208="","",'Malzeme Tanımlama'!B208)</f>
        <v/>
      </c>
      <c r="C208" s="5" t="str">
        <f>IF($A208="","",'Malzeme Tanımlama'!C208)</f>
        <v/>
      </c>
      <c r="D208" s="5" t="str">
        <f>IF($A208="","",'Malzeme Tanımlama'!D208)</f>
        <v/>
      </c>
      <c r="E208" s="5" t="str">
        <f>IF($A208="","",SUMIFS('Stok Hareketleri'!$G$5:$G$2000,'Stok Hareketleri'!$D$5:$D$2000,$A208,'Stok Hareketleri'!$F$5:$F$2000,"Giriş"))</f>
        <v/>
      </c>
      <c r="F208" s="5" t="str">
        <f>IF($A208="","",SUMIFS('Stok Hareketleri'!$G$5:$G$2000,'Stok Hareketleri'!$D$5:$D$2000,$A208,'Stok Hareketleri'!$F$5:$F$2000,"Çıkış"))</f>
        <v/>
      </c>
      <c r="G208" s="5" t="str">
        <f t="shared" si="6"/>
        <v/>
      </c>
      <c r="H208" s="5" t="str">
        <f>IF($A208="","",'Malzeme Tanımlama'!F208)</f>
        <v/>
      </c>
      <c r="I208" s="5" t="str">
        <f t="shared" si="7"/>
        <v/>
      </c>
    </row>
    <row r="209" spans="1:9" x14ac:dyDescent="0.3">
      <c r="A209" s="7" t="str">
        <f>IF('Malzeme Tanımlama'!A209="","",'Malzeme Tanımlama'!A209)</f>
        <v/>
      </c>
      <c r="B209" s="5" t="str">
        <f>IF($A209="","",'Malzeme Tanımlama'!B209)</f>
        <v/>
      </c>
      <c r="C209" s="5" t="str">
        <f>IF($A209="","",'Malzeme Tanımlama'!C209)</f>
        <v/>
      </c>
      <c r="D209" s="5" t="str">
        <f>IF($A209="","",'Malzeme Tanımlama'!D209)</f>
        <v/>
      </c>
      <c r="E209" s="5" t="str">
        <f>IF($A209="","",SUMIFS('Stok Hareketleri'!$G$5:$G$2000,'Stok Hareketleri'!$D$5:$D$2000,$A209,'Stok Hareketleri'!$F$5:$F$2000,"Giriş"))</f>
        <v/>
      </c>
      <c r="F209" s="5" t="str">
        <f>IF($A209="","",SUMIFS('Stok Hareketleri'!$G$5:$G$2000,'Stok Hareketleri'!$D$5:$D$2000,$A209,'Stok Hareketleri'!$F$5:$F$2000,"Çıkış"))</f>
        <v/>
      </c>
      <c r="G209" s="5" t="str">
        <f t="shared" si="6"/>
        <v/>
      </c>
      <c r="H209" s="5" t="str">
        <f>IF($A209="","",'Malzeme Tanımlama'!F209)</f>
        <v/>
      </c>
      <c r="I209" s="5" t="str">
        <f t="shared" si="7"/>
        <v/>
      </c>
    </row>
    <row r="210" spans="1:9" x14ac:dyDescent="0.3">
      <c r="A210" s="7" t="str">
        <f>IF('Malzeme Tanımlama'!A210="","",'Malzeme Tanımlama'!A210)</f>
        <v/>
      </c>
      <c r="B210" s="5" t="str">
        <f>IF($A210="","",'Malzeme Tanımlama'!B210)</f>
        <v/>
      </c>
      <c r="C210" s="5" t="str">
        <f>IF($A210="","",'Malzeme Tanımlama'!C210)</f>
        <v/>
      </c>
      <c r="D210" s="5" t="str">
        <f>IF($A210="","",'Malzeme Tanımlama'!D210)</f>
        <v/>
      </c>
      <c r="E210" s="5" t="str">
        <f>IF($A210="","",SUMIFS('Stok Hareketleri'!$G$5:$G$2000,'Stok Hareketleri'!$D$5:$D$2000,$A210,'Stok Hareketleri'!$F$5:$F$2000,"Giriş"))</f>
        <v/>
      </c>
      <c r="F210" s="5" t="str">
        <f>IF($A210="","",SUMIFS('Stok Hareketleri'!$G$5:$G$2000,'Stok Hareketleri'!$D$5:$D$2000,$A210,'Stok Hareketleri'!$F$5:$F$2000,"Çıkış"))</f>
        <v/>
      </c>
      <c r="G210" s="5" t="str">
        <f t="shared" si="6"/>
        <v/>
      </c>
      <c r="H210" s="5" t="str">
        <f>IF($A210="","",'Malzeme Tanımlama'!F210)</f>
        <v/>
      </c>
      <c r="I210" s="5" t="str">
        <f t="shared" si="7"/>
        <v/>
      </c>
    </row>
    <row r="211" spans="1:9" x14ac:dyDescent="0.3">
      <c r="A211" s="7" t="str">
        <f>IF('Malzeme Tanımlama'!A211="","",'Malzeme Tanımlama'!A211)</f>
        <v/>
      </c>
      <c r="B211" s="5" t="str">
        <f>IF($A211="","",'Malzeme Tanımlama'!B211)</f>
        <v/>
      </c>
      <c r="C211" s="5" t="str">
        <f>IF($A211="","",'Malzeme Tanımlama'!C211)</f>
        <v/>
      </c>
      <c r="D211" s="5" t="str">
        <f>IF($A211="","",'Malzeme Tanımlama'!D211)</f>
        <v/>
      </c>
      <c r="E211" s="5" t="str">
        <f>IF($A211="","",SUMIFS('Stok Hareketleri'!$G$5:$G$2000,'Stok Hareketleri'!$D$5:$D$2000,$A211,'Stok Hareketleri'!$F$5:$F$2000,"Giriş"))</f>
        <v/>
      </c>
      <c r="F211" s="5" t="str">
        <f>IF($A211="","",SUMIFS('Stok Hareketleri'!$G$5:$G$2000,'Stok Hareketleri'!$D$5:$D$2000,$A211,'Stok Hareketleri'!$F$5:$F$2000,"Çıkış"))</f>
        <v/>
      </c>
      <c r="G211" s="5" t="str">
        <f t="shared" si="6"/>
        <v/>
      </c>
      <c r="H211" s="5" t="str">
        <f>IF($A211="","",'Malzeme Tanımlama'!F211)</f>
        <v/>
      </c>
      <c r="I211" s="5" t="str">
        <f t="shared" si="7"/>
        <v/>
      </c>
    </row>
    <row r="212" spans="1:9" x14ac:dyDescent="0.3">
      <c r="A212" s="7" t="str">
        <f>IF('Malzeme Tanımlama'!A212="","",'Malzeme Tanımlama'!A212)</f>
        <v/>
      </c>
      <c r="B212" s="5" t="str">
        <f>IF($A212="","",'Malzeme Tanımlama'!B212)</f>
        <v/>
      </c>
      <c r="C212" s="5" t="str">
        <f>IF($A212="","",'Malzeme Tanımlama'!C212)</f>
        <v/>
      </c>
      <c r="D212" s="5" t="str">
        <f>IF($A212="","",'Malzeme Tanımlama'!D212)</f>
        <v/>
      </c>
      <c r="E212" s="5" t="str">
        <f>IF($A212="","",SUMIFS('Stok Hareketleri'!$G$5:$G$2000,'Stok Hareketleri'!$D$5:$D$2000,$A212,'Stok Hareketleri'!$F$5:$F$2000,"Giriş"))</f>
        <v/>
      </c>
      <c r="F212" s="5" t="str">
        <f>IF($A212="","",SUMIFS('Stok Hareketleri'!$G$5:$G$2000,'Stok Hareketleri'!$D$5:$D$2000,$A212,'Stok Hareketleri'!$F$5:$F$2000,"Çıkış"))</f>
        <v/>
      </c>
      <c r="G212" s="5" t="str">
        <f t="shared" si="6"/>
        <v/>
      </c>
      <c r="H212" s="5" t="str">
        <f>IF($A212="","",'Malzeme Tanımlama'!F212)</f>
        <v/>
      </c>
      <c r="I212" s="5" t="str">
        <f t="shared" si="7"/>
        <v/>
      </c>
    </row>
    <row r="213" spans="1:9" x14ac:dyDescent="0.3">
      <c r="A213" s="7" t="str">
        <f>IF('Malzeme Tanımlama'!A213="","",'Malzeme Tanımlama'!A213)</f>
        <v/>
      </c>
      <c r="B213" s="5" t="str">
        <f>IF($A213="","",'Malzeme Tanımlama'!B213)</f>
        <v/>
      </c>
      <c r="C213" s="5" t="str">
        <f>IF($A213="","",'Malzeme Tanımlama'!C213)</f>
        <v/>
      </c>
      <c r="D213" s="5" t="str">
        <f>IF($A213="","",'Malzeme Tanımlama'!D213)</f>
        <v/>
      </c>
      <c r="E213" s="5" t="str">
        <f>IF($A213="","",SUMIFS('Stok Hareketleri'!$G$5:$G$2000,'Stok Hareketleri'!$D$5:$D$2000,$A213,'Stok Hareketleri'!$F$5:$F$2000,"Giriş"))</f>
        <v/>
      </c>
      <c r="F213" s="5" t="str">
        <f>IF($A213="","",SUMIFS('Stok Hareketleri'!$G$5:$G$2000,'Stok Hareketleri'!$D$5:$D$2000,$A213,'Stok Hareketleri'!$F$5:$F$2000,"Çıkış"))</f>
        <v/>
      </c>
      <c r="G213" s="5" t="str">
        <f t="shared" si="6"/>
        <v/>
      </c>
      <c r="H213" s="5" t="str">
        <f>IF($A213="","",'Malzeme Tanımlama'!F213)</f>
        <v/>
      </c>
      <c r="I213" s="5" t="str">
        <f t="shared" si="7"/>
        <v/>
      </c>
    </row>
    <row r="214" spans="1:9" x14ac:dyDescent="0.3">
      <c r="A214" s="7" t="str">
        <f>IF('Malzeme Tanımlama'!A214="","",'Malzeme Tanımlama'!A214)</f>
        <v/>
      </c>
      <c r="B214" s="5" t="str">
        <f>IF($A214="","",'Malzeme Tanımlama'!B214)</f>
        <v/>
      </c>
      <c r="C214" s="5" t="str">
        <f>IF($A214="","",'Malzeme Tanımlama'!C214)</f>
        <v/>
      </c>
      <c r="D214" s="5" t="str">
        <f>IF($A214="","",'Malzeme Tanımlama'!D214)</f>
        <v/>
      </c>
      <c r="E214" s="5" t="str">
        <f>IF($A214="","",SUMIFS('Stok Hareketleri'!$G$5:$G$2000,'Stok Hareketleri'!$D$5:$D$2000,$A214,'Stok Hareketleri'!$F$5:$F$2000,"Giriş"))</f>
        <v/>
      </c>
      <c r="F214" s="5" t="str">
        <f>IF($A214="","",SUMIFS('Stok Hareketleri'!$G$5:$G$2000,'Stok Hareketleri'!$D$5:$D$2000,$A214,'Stok Hareketleri'!$F$5:$F$2000,"Çıkış"))</f>
        <v/>
      </c>
      <c r="G214" s="5" t="str">
        <f t="shared" si="6"/>
        <v/>
      </c>
      <c r="H214" s="5" t="str">
        <f>IF($A214="","",'Malzeme Tanımlama'!F214)</f>
        <v/>
      </c>
      <c r="I214" s="5" t="str">
        <f t="shared" si="7"/>
        <v/>
      </c>
    </row>
    <row r="215" spans="1:9" x14ac:dyDescent="0.3">
      <c r="A215" s="7" t="str">
        <f>IF('Malzeme Tanımlama'!A215="","",'Malzeme Tanımlama'!A215)</f>
        <v/>
      </c>
      <c r="B215" s="5" t="str">
        <f>IF($A215="","",'Malzeme Tanımlama'!B215)</f>
        <v/>
      </c>
      <c r="C215" s="5" t="str">
        <f>IF($A215="","",'Malzeme Tanımlama'!C215)</f>
        <v/>
      </c>
      <c r="D215" s="5" t="str">
        <f>IF($A215="","",'Malzeme Tanımlama'!D215)</f>
        <v/>
      </c>
      <c r="E215" s="5" t="str">
        <f>IF($A215="","",SUMIFS('Stok Hareketleri'!$G$5:$G$2000,'Stok Hareketleri'!$D$5:$D$2000,$A215,'Stok Hareketleri'!$F$5:$F$2000,"Giriş"))</f>
        <v/>
      </c>
      <c r="F215" s="5" t="str">
        <f>IF($A215="","",SUMIFS('Stok Hareketleri'!$G$5:$G$2000,'Stok Hareketleri'!$D$5:$D$2000,$A215,'Stok Hareketleri'!$F$5:$F$2000,"Çıkış"))</f>
        <v/>
      </c>
      <c r="G215" s="5" t="str">
        <f t="shared" si="6"/>
        <v/>
      </c>
      <c r="H215" s="5" t="str">
        <f>IF($A215="","",'Malzeme Tanımlama'!F215)</f>
        <v/>
      </c>
      <c r="I215" s="5" t="str">
        <f t="shared" si="7"/>
        <v/>
      </c>
    </row>
    <row r="216" spans="1:9" x14ac:dyDescent="0.3">
      <c r="A216" s="7" t="str">
        <f>IF('Malzeme Tanımlama'!A216="","",'Malzeme Tanımlama'!A216)</f>
        <v/>
      </c>
      <c r="B216" s="5" t="str">
        <f>IF($A216="","",'Malzeme Tanımlama'!B216)</f>
        <v/>
      </c>
      <c r="C216" s="5" t="str">
        <f>IF($A216="","",'Malzeme Tanımlama'!C216)</f>
        <v/>
      </c>
      <c r="D216" s="5" t="str">
        <f>IF($A216="","",'Malzeme Tanımlama'!D216)</f>
        <v/>
      </c>
      <c r="E216" s="5" t="str">
        <f>IF($A216="","",SUMIFS('Stok Hareketleri'!$G$5:$G$2000,'Stok Hareketleri'!$D$5:$D$2000,$A216,'Stok Hareketleri'!$F$5:$F$2000,"Giriş"))</f>
        <v/>
      </c>
      <c r="F216" s="5" t="str">
        <f>IF($A216="","",SUMIFS('Stok Hareketleri'!$G$5:$G$2000,'Stok Hareketleri'!$D$5:$D$2000,$A216,'Stok Hareketleri'!$F$5:$F$2000,"Çıkış"))</f>
        <v/>
      </c>
      <c r="G216" s="5" t="str">
        <f t="shared" si="6"/>
        <v/>
      </c>
      <c r="H216" s="5" t="str">
        <f>IF($A216="","",'Malzeme Tanımlama'!F216)</f>
        <v/>
      </c>
      <c r="I216" s="5" t="str">
        <f t="shared" si="7"/>
        <v/>
      </c>
    </row>
    <row r="217" spans="1:9" x14ac:dyDescent="0.3">
      <c r="A217" s="7" t="str">
        <f>IF('Malzeme Tanımlama'!A217="","",'Malzeme Tanımlama'!A217)</f>
        <v/>
      </c>
      <c r="B217" s="5" t="str">
        <f>IF($A217="","",'Malzeme Tanımlama'!B217)</f>
        <v/>
      </c>
      <c r="C217" s="5" t="str">
        <f>IF($A217="","",'Malzeme Tanımlama'!C217)</f>
        <v/>
      </c>
      <c r="D217" s="5" t="str">
        <f>IF($A217="","",'Malzeme Tanımlama'!D217)</f>
        <v/>
      </c>
      <c r="E217" s="5" t="str">
        <f>IF($A217="","",SUMIFS('Stok Hareketleri'!$G$5:$G$2000,'Stok Hareketleri'!$D$5:$D$2000,$A217,'Stok Hareketleri'!$F$5:$F$2000,"Giriş"))</f>
        <v/>
      </c>
      <c r="F217" s="5" t="str">
        <f>IF($A217="","",SUMIFS('Stok Hareketleri'!$G$5:$G$2000,'Stok Hareketleri'!$D$5:$D$2000,$A217,'Stok Hareketleri'!$F$5:$F$2000,"Çıkış"))</f>
        <v/>
      </c>
      <c r="G217" s="5" t="str">
        <f t="shared" si="6"/>
        <v/>
      </c>
      <c r="H217" s="5" t="str">
        <f>IF($A217="","",'Malzeme Tanımlama'!F217)</f>
        <v/>
      </c>
      <c r="I217" s="5" t="str">
        <f t="shared" si="7"/>
        <v/>
      </c>
    </row>
    <row r="218" spans="1:9" x14ac:dyDescent="0.3">
      <c r="A218" s="7" t="str">
        <f>IF('Malzeme Tanımlama'!A218="","",'Malzeme Tanımlama'!A218)</f>
        <v/>
      </c>
      <c r="B218" s="5" t="str">
        <f>IF($A218="","",'Malzeme Tanımlama'!B218)</f>
        <v/>
      </c>
      <c r="C218" s="5" t="str">
        <f>IF($A218="","",'Malzeme Tanımlama'!C218)</f>
        <v/>
      </c>
      <c r="D218" s="5" t="str">
        <f>IF($A218="","",'Malzeme Tanımlama'!D218)</f>
        <v/>
      </c>
      <c r="E218" s="5" t="str">
        <f>IF($A218="","",SUMIFS('Stok Hareketleri'!$G$5:$G$2000,'Stok Hareketleri'!$D$5:$D$2000,$A218,'Stok Hareketleri'!$F$5:$F$2000,"Giriş"))</f>
        <v/>
      </c>
      <c r="F218" s="5" t="str">
        <f>IF($A218="","",SUMIFS('Stok Hareketleri'!$G$5:$G$2000,'Stok Hareketleri'!$D$5:$D$2000,$A218,'Stok Hareketleri'!$F$5:$F$2000,"Çıkış"))</f>
        <v/>
      </c>
      <c r="G218" s="5" t="str">
        <f t="shared" si="6"/>
        <v/>
      </c>
      <c r="H218" s="5" t="str">
        <f>IF($A218="","",'Malzeme Tanımlama'!F218)</f>
        <v/>
      </c>
      <c r="I218" s="5" t="str">
        <f t="shared" si="7"/>
        <v/>
      </c>
    </row>
    <row r="219" spans="1:9" x14ac:dyDescent="0.3">
      <c r="A219" s="7" t="str">
        <f>IF('Malzeme Tanımlama'!A219="","",'Malzeme Tanımlama'!A219)</f>
        <v/>
      </c>
      <c r="B219" s="5" t="str">
        <f>IF($A219="","",'Malzeme Tanımlama'!B219)</f>
        <v/>
      </c>
      <c r="C219" s="5" t="str">
        <f>IF($A219="","",'Malzeme Tanımlama'!C219)</f>
        <v/>
      </c>
      <c r="D219" s="5" t="str">
        <f>IF($A219="","",'Malzeme Tanımlama'!D219)</f>
        <v/>
      </c>
      <c r="E219" s="5" t="str">
        <f>IF($A219="","",SUMIFS('Stok Hareketleri'!$G$5:$G$2000,'Stok Hareketleri'!$D$5:$D$2000,$A219,'Stok Hareketleri'!$F$5:$F$2000,"Giriş"))</f>
        <v/>
      </c>
      <c r="F219" s="5" t="str">
        <f>IF($A219="","",SUMIFS('Stok Hareketleri'!$G$5:$G$2000,'Stok Hareketleri'!$D$5:$D$2000,$A219,'Stok Hareketleri'!$F$5:$F$2000,"Çıkış"))</f>
        <v/>
      </c>
      <c r="G219" s="5" t="str">
        <f t="shared" si="6"/>
        <v/>
      </c>
      <c r="H219" s="5" t="str">
        <f>IF($A219="","",'Malzeme Tanımlama'!F219)</f>
        <v/>
      </c>
      <c r="I219" s="5" t="str">
        <f t="shared" si="7"/>
        <v/>
      </c>
    </row>
    <row r="220" spans="1:9" x14ac:dyDescent="0.3">
      <c r="A220" s="7" t="str">
        <f>IF('Malzeme Tanımlama'!A220="","",'Malzeme Tanımlama'!A220)</f>
        <v/>
      </c>
      <c r="B220" s="5" t="str">
        <f>IF($A220="","",'Malzeme Tanımlama'!B220)</f>
        <v/>
      </c>
      <c r="C220" s="5" t="str">
        <f>IF($A220="","",'Malzeme Tanımlama'!C220)</f>
        <v/>
      </c>
      <c r="D220" s="5" t="str">
        <f>IF($A220="","",'Malzeme Tanımlama'!D220)</f>
        <v/>
      </c>
      <c r="E220" s="5" t="str">
        <f>IF($A220="","",SUMIFS('Stok Hareketleri'!$G$5:$G$2000,'Stok Hareketleri'!$D$5:$D$2000,$A220,'Stok Hareketleri'!$F$5:$F$2000,"Giriş"))</f>
        <v/>
      </c>
      <c r="F220" s="5" t="str">
        <f>IF($A220="","",SUMIFS('Stok Hareketleri'!$G$5:$G$2000,'Stok Hareketleri'!$D$5:$D$2000,$A220,'Stok Hareketleri'!$F$5:$F$2000,"Çıkış"))</f>
        <v/>
      </c>
      <c r="G220" s="5" t="str">
        <f t="shared" si="6"/>
        <v/>
      </c>
      <c r="H220" s="5" t="str">
        <f>IF($A220="","",'Malzeme Tanımlama'!F220)</f>
        <v/>
      </c>
      <c r="I220" s="5" t="str">
        <f t="shared" si="7"/>
        <v/>
      </c>
    </row>
    <row r="221" spans="1:9" x14ac:dyDescent="0.3">
      <c r="A221" s="7" t="str">
        <f>IF('Malzeme Tanımlama'!A221="","",'Malzeme Tanımlama'!A221)</f>
        <v/>
      </c>
      <c r="B221" s="5" t="str">
        <f>IF($A221="","",'Malzeme Tanımlama'!B221)</f>
        <v/>
      </c>
      <c r="C221" s="5" t="str">
        <f>IF($A221="","",'Malzeme Tanımlama'!C221)</f>
        <v/>
      </c>
      <c r="D221" s="5" t="str">
        <f>IF($A221="","",'Malzeme Tanımlama'!D221)</f>
        <v/>
      </c>
      <c r="E221" s="5" t="str">
        <f>IF($A221="","",SUMIFS('Stok Hareketleri'!$G$5:$G$2000,'Stok Hareketleri'!$D$5:$D$2000,$A221,'Stok Hareketleri'!$F$5:$F$2000,"Giriş"))</f>
        <v/>
      </c>
      <c r="F221" s="5" t="str">
        <f>IF($A221="","",SUMIFS('Stok Hareketleri'!$G$5:$G$2000,'Stok Hareketleri'!$D$5:$D$2000,$A221,'Stok Hareketleri'!$F$5:$F$2000,"Çıkış"))</f>
        <v/>
      </c>
      <c r="G221" s="5" t="str">
        <f t="shared" si="6"/>
        <v/>
      </c>
      <c r="H221" s="5" t="str">
        <f>IF($A221="","",'Malzeme Tanımlama'!F221)</f>
        <v/>
      </c>
      <c r="I221" s="5" t="str">
        <f t="shared" si="7"/>
        <v/>
      </c>
    </row>
    <row r="222" spans="1:9" x14ac:dyDescent="0.3">
      <c r="A222" s="7" t="str">
        <f>IF('Malzeme Tanımlama'!A222="","",'Malzeme Tanımlama'!A222)</f>
        <v/>
      </c>
      <c r="B222" s="5" t="str">
        <f>IF($A222="","",'Malzeme Tanımlama'!B222)</f>
        <v/>
      </c>
      <c r="C222" s="5" t="str">
        <f>IF($A222="","",'Malzeme Tanımlama'!C222)</f>
        <v/>
      </c>
      <c r="D222" s="5" t="str">
        <f>IF($A222="","",'Malzeme Tanımlama'!D222)</f>
        <v/>
      </c>
      <c r="E222" s="5" t="str">
        <f>IF($A222="","",SUMIFS('Stok Hareketleri'!$G$5:$G$2000,'Stok Hareketleri'!$D$5:$D$2000,$A222,'Stok Hareketleri'!$F$5:$F$2000,"Giriş"))</f>
        <v/>
      </c>
      <c r="F222" s="5" t="str">
        <f>IF($A222="","",SUMIFS('Stok Hareketleri'!$G$5:$G$2000,'Stok Hareketleri'!$D$5:$D$2000,$A222,'Stok Hareketleri'!$F$5:$F$2000,"Çıkış"))</f>
        <v/>
      </c>
      <c r="G222" s="5" t="str">
        <f t="shared" si="6"/>
        <v/>
      </c>
      <c r="H222" s="5" t="str">
        <f>IF($A222="","",'Malzeme Tanımlama'!F222)</f>
        <v/>
      </c>
      <c r="I222" s="5" t="str">
        <f t="shared" si="7"/>
        <v/>
      </c>
    </row>
    <row r="223" spans="1:9" x14ac:dyDescent="0.3">
      <c r="A223" s="7" t="str">
        <f>IF('Malzeme Tanımlama'!A223="","",'Malzeme Tanımlama'!A223)</f>
        <v/>
      </c>
      <c r="B223" s="5" t="str">
        <f>IF($A223="","",'Malzeme Tanımlama'!B223)</f>
        <v/>
      </c>
      <c r="C223" s="5" t="str">
        <f>IF($A223="","",'Malzeme Tanımlama'!C223)</f>
        <v/>
      </c>
      <c r="D223" s="5" t="str">
        <f>IF($A223="","",'Malzeme Tanımlama'!D223)</f>
        <v/>
      </c>
      <c r="E223" s="5" t="str">
        <f>IF($A223="","",SUMIFS('Stok Hareketleri'!$G$5:$G$2000,'Stok Hareketleri'!$D$5:$D$2000,$A223,'Stok Hareketleri'!$F$5:$F$2000,"Giriş"))</f>
        <v/>
      </c>
      <c r="F223" s="5" t="str">
        <f>IF($A223="","",SUMIFS('Stok Hareketleri'!$G$5:$G$2000,'Stok Hareketleri'!$D$5:$D$2000,$A223,'Stok Hareketleri'!$F$5:$F$2000,"Çıkış"))</f>
        <v/>
      </c>
      <c r="G223" s="5" t="str">
        <f t="shared" si="6"/>
        <v/>
      </c>
      <c r="H223" s="5" t="str">
        <f>IF($A223="","",'Malzeme Tanımlama'!F223)</f>
        <v/>
      </c>
      <c r="I223" s="5" t="str">
        <f t="shared" si="7"/>
        <v/>
      </c>
    </row>
    <row r="224" spans="1:9" x14ac:dyDescent="0.3">
      <c r="A224" s="7" t="str">
        <f>IF('Malzeme Tanımlama'!A224="","",'Malzeme Tanımlama'!A224)</f>
        <v/>
      </c>
      <c r="B224" s="5" t="str">
        <f>IF($A224="","",'Malzeme Tanımlama'!B224)</f>
        <v/>
      </c>
      <c r="C224" s="5" t="str">
        <f>IF($A224="","",'Malzeme Tanımlama'!C224)</f>
        <v/>
      </c>
      <c r="D224" s="5" t="str">
        <f>IF($A224="","",'Malzeme Tanımlama'!D224)</f>
        <v/>
      </c>
      <c r="E224" s="5" t="str">
        <f>IF($A224="","",SUMIFS('Stok Hareketleri'!$G$5:$G$2000,'Stok Hareketleri'!$D$5:$D$2000,$A224,'Stok Hareketleri'!$F$5:$F$2000,"Giriş"))</f>
        <v/>
      </c>
      <c r="F224" s="5" t="str">
        <f>IF($A224="","",SUMIFS('Stok Hareketleri'!$G$5:$G$2000,'Stok Hareketleri'!$D$5:$D$2000,$A224,'Stok Hareketleri'!$F$5:$F$2000,"Çıkış"))</f>
        <v/>
      </c>
      <c r="G224" s="5" t="str">
        <f t="shared" si="6"/>
        <v/>
      </c>
      <c r="H224" s="5" t="str">
        <f>IF($A224="","",'Malzeme Tanımlama'!F224)</f>
        <v/>
      </c>
      <c r="I224" s="5" t="str">
        <f t="shared" si="7"/>
        <v/>
      </c>
    </row>
    <row r="225" spans="1:9" x14ac:dyDescent="0.3">
      <c r="A225" s="7" t="str">
        <f>IF('Malzeme Tanımlama'!A225="","",'Malzeme Tanımlama'!A225)</f>
        <v/>
      </c>
      <c r="B225" s="5" t="str">
        <f>IF($A225="","",'Malzeme Tanımlama'!B225)</f>
        <v/>
      </c>
      <c r="C225" s="5" t="str">
        <f>IF($A225="","",'Malzeme Tanımlama'!C225)</f>
        <v/>
      </c>
      <c r="D225" s="5" t="str">
        <f>IF($A225="","",'Malzeme Tanımlama'!D225)</f>
        <v/>
      </c>
      <c r="E225" s="5" t="str">
        <f>IF($A225="","",SUMIFS('Stok Hareketleri'!$G$5:$G$2000,'Stok Hareketleri'!$D$5:$D$2000,$A225,'Stok Hareketleri'!$F$5:$F$2000,"Giriş"))</f>
        <v/>
      </c>
      <c r="F225" s="5" t="str">
        <f>IF($A225="","",SUMIFS('Stok Hareketleri'!$G$5:$G$2000,'Stok Hareketleri'!$D$5:$D$2000,$A225,'Stok Hareketleri'!$F$5:$F$2000,"Çıkış"))</f>
        <v/>
      </c>
      <c r="G225" s="5" t="str">
        <f t="shared" si="6"/>
        <v/>
      </c>
      <c r="H225" s="5" t="str">
        <f>IF($A225="","",'Malzeme Tanımlama'!F225)</f>
        <v/>
      </c>
      <c r="I225" s="5" t="str">
        <f t="shared" si="7"/>
        <v/>
      </c>
    </row>
    <row r="226" spans="1:9" x14ac:dyDescent="0.3">
      <c r="A226" s="7" t="str">
        <f>IF('Malzeme Tanımlama'!A226="","",'Malzeme Tanımlama'!A226)</f>
        <v/>
      </c>
      <c r="B226" s="5" t="str">
        <f>IF($A226="","",'Malzeme Tanımlama'!B226)</f>
        <v/>
      </c>
      <c r="C226" s="5" t="str">
        <f>IF($A226="","",'Malzeme Tanımlama'!C226)</f>
        <v/>
      </c>
      <c r="D226" s="5" t="str">
        <f>IF($A226="","",'Malzeme Tanımlama'!D226)</f>
        <v/>
      </c>
      <c r="E226" s="5" t="str">
        <f>IF($A226="","",SUMIFS('Stok Hareketleri'!$G$5:$G$2000,'Stok Hareketleri'!$D$5:$D$2000,$A226,'Stok Hareketleri'!$F$5:$F$2000,"Giriş"))</f>
        <v/>
      </c>
      <c r="F226" s="5" t="str">
        <f>IF($A226="","",SUMIFS('Stok Hareketleri'!$G$5:$G$2000,'Stok Hareketleri'!$D$5:$D$2000,$A226,'Stok Hareketleri'!$F$5:$F$2000,"Çıkış"))</f>
        <v/>
      </c>
      <c r="G226" s="5" t="str">
        <f t="shared" si="6"/>
        <v/>
      </c>
      <c r="H226" s="5" t="str">
        <f>IF($A226="","",'Malzeme Tanımlama'!F226)</f>
        <v/>
      </c>
      <c r="I226" s="5" t="str">
        <f t="shared" si="7"/>
        <v/>
      </c>
    </row>
    <row r="227" spans="1:9" x14ac:dyDescent="0.3">
      <c r="A227" s="7" t="str">
        <f>IF('Malzeme Tanımlama'!A227="","",'Malzeme Tanımlama'!A227)</f>
        <v/>
      </c>
      <c r="B227" s="5" t="str">
        <f>IF($A227="","",'Malzeme Tanımlama'!B227)</f>
        <v/>
      </c>
      <c r="C227" s="5" t="str">
        <f>IF($A227="","",'Malzeme Tanımlama'!C227)</f>
        <v/>
      </c>
      <c r="D227" s="5" t="str">
        <f>IF($A227="","",'Malzeme Tanımlama'!D227)</f>
        <v/>
      </c>
      <c r="E227" s="5" t="str">
        <f>IF($A227="","",SUMIFS('Stok Hareketleri'!$G$5:$G$2000,'Stok Hareketleri'!$D$5:$D$2000,$A227,'Stok Hareketleri'!$F$5:$F$2000,"Giriş"))</f>
        <v/>
      </c>
      <c r="F227" s="5" t="str">
        <f>IF($A227="","",SUMIFS('Stok Hareketleri'!$G$5:$G$2000,'Stok Hareketleri'!$D$5:$D$2000,$A227,'Stok Hareketleri'!$F$5:$F$2000,"Çıkış"))</f>
        <v/>
      </c>
      <c r="G227" s="5" t="str">
        <f t="shared" si="6"/>
        <v/>
      </c>
      <c r="H227" s="5" t="str">
        <f>IF($A227="","",'Malzeme Tanımlama'!F227)</f>
        <v/>
      </c>
      <c r="I227" s="5" t="str">
        <f t="shared" si="7"/>
        <v/>
      </c>
    </row>
    <row r="228" spans="1:9" x14ac:dyDescent="0.3">
      <c r="A228" s="7" t="str">
        <f>IF('Malzeme Tanımlama'!A228="","",'Malzeme Tanımlama'!A228)</f>
        <v/>
      </c>
      <c r="B228" s="5" t="str">
        <f>IF($A228="","",'Malzeme Tanımlama'!B228)</f>
        <v/>
      </c>
      <c r="C228" s="5" t="str">
        <f>IF($A228="","",'Malzeme Tanımlama'!C228)</f>
        <v/>
      </c>
      <c r="D228" s="5" t="str">
        <f>IF($A228="","",'Malzeme Tanımlama'!D228)</f>
        <v/>
      </c>
      <c r="E228" s="5" t="str">
        <f>IF($A228="","",SUMIFS('Stok Hareketleri'!$G$5:$G$2000,'Stok Hareketleri'!$D$5:$D$2000,$A228,'Stok Hareketleri'!$F$5:$F$2000,"Giriş"))</f>
        <v/>
      </c>
      <c r="F228" s="5" t="str">
        <f>IF($A228="","",SUMIFS('Stok Hareketleri'!$G$5:$G$2000,'Stok Hareketleri'!$D$5:$D$2000,$A228,'Stok Hareketleri'!$F$5:$F$2000,"Çıkış"))</f>
        <v/>
      </c>
      <c r="G228" s="5" t="str">
        <f t="shared" si="6"/>
        <v/>
      </c>
      <c r="H228" s="5" t="str">
        <f>IF($A228="","",'Malzeme Tanımlama'!F228)</f>
        <v/>
      </c>
      <c r="I228" s="5" t="str">
        <f t="shared" si="7"/>
        <v/>
      </c>
    </row>
    <row r="229" spans="1:9" x14ac:dyDescent="0.3">
      <c r="A229" s="7" t="str">
        <f>IF('Malzeme Tanımlama'!A229="","",'Malzeme Tanımlama'!A229)</f>
        <v/>
      </c>
      <c r="B229" s="5" t="str">
        <f>IF($A229="","",'Malzeme Tanımlama'!B229)</f>
        <v/>
      </c>
      <c r="C229" s="5" t="str">
        <f>IF($A229="","",'Malzeme Tanımlama'!C229)</f>
        <v/>
      </c>
      <c r="D229" s="5" t="str">
        <f>IF($A229="","",'Malzeme Tanımlama'!D229)</f>
        <v/>
      </c>
      <c r="E229" s="5" t="str">
        <f>IF($A229="","",SUMIFS('Stok Hareketleri'!$G$5:$G$2000,'Stok Hareketleri'!$D$5:$D$2000,$A229,'Stok Hareketleri'!$F$5:$F$2000,"Giriş"))</f>
        <v/>
      </c>
      <c r="F229" s="5" t="str">
        <f>IF($A229="","",SUMIFS('Stok Hareketleri'!$G$5:$G$2000,'Stok Hareketleri'!$D$5:$D$2000,$A229,'Stok Hareketleri'!$F$5:$F$2000,"Çıkış"))</f>
        <v/>
      </c>
      <c r="G229" s="5" t="str">
        <f t="shared" si="6"/>
        <v/>
      </c>
      <c r="H229" s="5" t="str">
        <f>IF($A229="","",'Malzeme Tanımlama'!F229)</f>
        <v/>
      </c>
      <c r="I229" s="5" t="str">
        <f t="shared" si="7"/>
        <v/>
      </c>
    </row>
    <row r="230" spans="1:9" x14ac:dyDescent="0.3">
      <c r="A230" s="7" t="str">
        <f>IF('Malzeme Tanımlama'!A230="","",'Malzeme Tanımlama'!A230)</f>
        <v/>
      </c>
      <c r="B230" s="5" t="str">
        <f>IF($A230="","",'Malzeme Tanımlama'!B230)</f>
        <v/>
      </c>
      <c r="C230" s="5" t="str">
        <f>IF($A230="","",'Malzeme Tanımlama'!C230)</f>
        <v/>
      </c>
      <c r="D230" s="5" t="str">
        <f>IF($A230="","",'Malzeme Tanımlama'!D230)</f>
        <v/>
      </c>
      <c r="E230" s="5" t="str">
        <f>IF($A230="","",SUMIFS('Stok Hareketleri'!$G$5:$G$2000,'Stok Hareketleri'!$D$5:$D$2000,$A230,'Stok Hareketleri'!$F$5:$F$2000,"Giriş"))</f>
        <v/>
      </c>
      <c r="F230" s="5" t="str">
        <f>IF($A230="","",SUMIFS('Stok Hareketleri'!$G$5:$G$2000,'Stok Hareketleri'!$D$5:$D$2000,$A230,'Stok Hareketleri'!$F$5:$F$2000,"Çıkış"))</f>
        <v/>
      </c>
      <c r="G230" s="5" t="str">
        <f t="shared" si="6"/>
        <v/>
      </c>
      <c r="H230" s="5" t="str">
        <f>IF($A230="","",'Malzeme Tanımlama'!F230)</f>
        <v/>
      </c>
      <c r="I230" s="5" t="str">
        <f t="shared" si="7"/>
        <v/>
      </c>
    </row>
    <row r="231" spans="1:9" x14ac:dyDescent="0.3">
      <c r="A231" s="7" t="str">
        <f>IF('Malzeme Tanımlama'!A231="","",'Malzeme Tanımlama'!A231)</f>
        <v/>
      </c>
      <c r="B231" s="5" t="str">
        <f>IF($A231="","",'Malzeme Tanımlama'!B231)</f>
        <v/>
      </c>
      <c r="C231" s="5" t="str">
        <f>IF($A231="","",'Malzeme Tanımlama'!C231)</f>
        <v/>
      </c>
      <c r="D231" s="5" t="str">
        <f>IF($A231="","",'Malzeme Tanımlama'!D231)</f>
        <v/>
      </c>
      <c r="E231" s="5" t="str">
        <f>IF($A231="","",SUMIFS('Stok Hareketleri'!$G$5:$G$2000,'Stok Hareketleri'!$D$5:$D$2000,$A231,'Stok Hareketleri'!$F$5:$F$2000,"Giriş"))</f>
        <v/>
      </c>
      <c r="F231" s="5" t="str">
        <f>IF($A231="","",SUMIFS('Stok Hareketleri'!$G$5:$G$2000,'Stok Hareketleri'!$D$5:$D$2000,$A231,'Stok Hareketleri'!$F$5:$F$2000,"Çıkış"))</f>
        <v/>
      </c>
      <c r="G231" s="5" t="str">
        <f t="shared" si="6"/>
        <v/>
      </c>
      <c r="H231" s="5" t="str">
        <f>IF($A231="","",'Malzeme Tanımlama'!F231)</f>
        <v/>
      </c>
      <c r="I231" s="5" t="str">
        <f t="shared" si="7"/>
        <v/>
      </c>
    </row>
    <row r="232" spans="1:9" x14ac:dyDescent="0.3">
      <c r="A232" s="7" t="str">
        <f>IF('Malzeme Tanımlama'!A232="","",'Malzeme Tanımlama'!A232)</f>
        <v/>
      </c>
      <c r="B232" s="5" t="str">
        <f>IF($A232="","",'Malzeme Tanımlama'!B232)</f>
        <v/>
      </c>
      <c r="C232" s="5" t="str">
        <f>IF($A232="","",'Malzeme Tanımlama'!C232)</f>
        <v/>
      </c>
      <c r="D232" s="5" t="str">
        <f>IF($A232="","",'Malzeme Tanımlama'!D232)</f>
        <v/>
      </c>
      <c r="E232" s="5" t="str">
        <f>IF($A232="","",SUMIFS('Stok Hareketleri'!$G$5:$G$2000,'Stok Hareketleri'!$D$5:$D$2000,$A232,'Stok Hareketleri'!$F$5:$F$2000,"Giriş"))</f>
        <v/>
      </c>
      <c r="F232" s="5" t="str">
        <f>IF($A232="","",SUMIFS('Stok Hareketleri'!$G$5:$G$2000,'Stok Hareketleri'!$D$5:$D$2000,$A232,'Stok Hareketleri'!$F$5:$F$2000,"Çıkış"))</f>
        <v/>
      </c>
      <c r="G232" s="5" t="str">
        <f t="shared" si="6"/>
        <v/>
      </c>
      <c r="H232" s="5" t="str">
        <f>IF($A232="","",'Malzeme Tanımlama'!F232)</f>
        <v/>
      </c>
      <c r="I232" s="5" t="str">
        <f t="shared" si="7"/>
        <v/>
      </c>
    </row>
    <row r="233" spans="1:9" x14ac:dyDescent="0.3">
      <c r="A233" s="7" t="str">
        <f>IF('Malzeme Tanımlama'!A233="","",'Malzeme Tanımlama'!A233)</f>
        <v/>
      </c>
      <c r="B233" s="5" t="str">
        <f>IF($A233="","",'Malzeme Tanımlama'!B233)</f>
        <v/>
      </c>
      <c r="C233" s="5" t="str">
        <f>IF($A233="","",'Malzeme Tanımlama'!C233)</f>
        <v/>
      </c>
      <c r="D233" s="5" t="str">
        <f>IF($A233="","",'Malzeme Tanımlama'!D233)</f>
        <v/>
      </c>
      <c r="E233" s="5" t="str">
        <f>IF($A233="","",SUMIFS('Stok Hareketleri'!$G$5:$G$2000,'Stok Hareketleri'!$D$5:$D$2000,$A233,'Stok Hareketleri'!$F$5:$F$2000,"Giriş"))</f>
        <v/>
      </c>
      <c r="F233" s="5" t="str">
        <f>IF($A233="","",SUMIFS('Stok Hareketleri'!$G$5:$G$2000,'Stok Hareketleri'!$D$5:$D$2000,$A233,'Stok Hareketleri'!$F$5:$F$2000,"Çıkış"))</f>
        <v/>
      </c>
      <c r="G233" s="5" t="str">
        <f t="shared" si="6"/>
        <v/>
      </c>
      <c r="H233" s="5" t="str">
        <f>IF($A233="","",'Malzeme Tanımlama'!F233)</f>
        <v/>
      </c>
      <c r="I233" s="5" t="str">
        <f t="shared" si="7"/>
        <v/>
      </c>
    </row>
    <row r="234" spans="1:9" x14ac:dyDescent="0.3">
      <c r="A234" s="7" t="str">
        <f>IF('Malzeme Tanımlama'!A234="","",'Malzeme Tanımlama'!A234)</f>
        <v/>
      </c>
      <c r="B234" s="5" t="str">
        <f>IF($A234="","",'Malzeme Tanımlama'!B234)</f>
        <v/>
      </c>
      <c r="C234" s="5" t="str">
        <f>IF($A234="","",'Malzeme Tanımlama'!C234)</f>
        <v/>
      </c>
      <c r="D234" s="5" t="str">
        <f>IF($A234="","",'Malzeme Tanımlama'!D234)</f>
        <v/>
      </c>
      <c r="E234" s="5" t="str">
        <f>IF($A234="","",SUMIFS('Stok Hareketleri'!$G$5:$G$2000,'Stok Hareketleri'!$D$5:$D$2000,$A234,'Stok Hareketleri'!$F$5:$F$2000,"Giriş"))</f>
        <v/>
      </c>
      <c r="F234" s="5" t="str">
        <f>IF($A234="","",SUMIFS('Stok Hareketleri'!$G$5:$G$2000,'Stok Hareketleri'!$D$5:$D$2000,$A234,'Stok Hareketleri'!$F$5:$F$2000,"Çıkış"))</f>
        <v/>
      </c>
      <c r="G234" s="5" t="str">
        <f t="shared" si="6"/>
        <v/>
      </c>
      <c r="H234" s="5" t="str">
        <f>IF($A234="","",'Malzeme Tanımlama'!F234)</f>
        <v/>
      </c>
      <c r="I234" s="5" t="str">
        <f t="shared" si="7"/>
        <v/>
      </c>
    </row>
    <row r="235" spans="1:9" x14ac:dyDescent="0.3">
      <c r="A235" s="7" t="str">
        <f>IF('Malzeme Tanımlama'!A235="","",'Malzeme Tanımlama'!A235)</f>
        <v/>
      </c>
      <c r="B235" s="5" t="str">
        <f>IF($A235="","",'Malzeme Tanımlama'!B235)</f>
        <v/>
      </c>
      <c r="C235" s="5" t="str">
        <f>IF($A235="","",'Malzeme Tanımlama'!C235)</f>
        <v/>
      </c>
      <c r="D235" s="5" t="str">
        <f>IF($A235="","",'Malzeme Tanımlama'!D235)</f>
        <v/>
      </c>
      <c r="E235" s="5" t="str">
        <f>IF($A235="","",SUMIFS('Stok Hareketleri'!$G$5:$G$2000,'Stok Hareketleri'!$D$5:$D$2000,$A235,'Stok Hareketleri'!$F$5:$F$2000,"Giriş"))</f>
        <v/>
      </c>
      <c r="F235" s="5" t="str">
        <f>IF($A235="","",SUMIFS('Stok Hareketleri'!$G$5:$G$2000,'Stok Hareketleri'!$D$5:$D$2000,$A235,'Stok Hareketleri'!$F$5:$F$2000,"Çıkış"))</f>
        <v/>
      </c>
      <c r="G235" s="5" t="str">
        <f t="shared" si="6"/>
        <v/>
      </c>
      <c r="H235" s="5" t="str">
        <f>IF($A235="","",'Malzeme Tanımlama'!F235)</f>
        <v/>
      </c>
      <c r="I235" s="5" t="str">
        <f t="shared" si="7"/>
        <v/>
      </c>
    </row>
    <row r="236" spans="1:9" x14ac:dyDescent="0.3">
      <c r="A236" s="7" t="str">
        <f>IF('Malzeme Tanımlama'!A236="","",'Malzeme Tanımlama'!A236)</f>
        <v/>
      </c>
      <c r="B236" s="5" t="str">
        <f>IF($A236="","",'Malzeme Tanımlama'!B236)</f>
        <v/>
      </c>
      <c r="C236" s="5" t="str">
        <f>IF($A236="","",'Malzeme Tanımlama'!C236)</f>
        <v/>
      </c>
      <c r="D236" s="5" t="str">
        <f>IF($A236="","",'Malzeme Tanımlama'!D236)</f>
        <v/>
      </c>
      <c r="E236" s="5" t="str">
        <f>IF($A236="","",SUMIFS('Stok Hareketleri'!$G$5:$G$2000,'Stok Hareketleri'!$D$5:$D$2000,$A236,'Stok Hareketleri'!$F$5:$F$2000,"Giriş"))</f>
        <v/>
      </c>
      <c r="F236" s="5" t="str">
        <f>IF($A236="","",SUMIFS('Stok Hareketleri'!$G$5:$G$2000,'Stok Hareketleri'!$D$5:$D$2000,$A236,'Stok Hareketleri'!$F$5:$F$2000,"Çıkış"))</f>
        <v/>
      </c>
      <c r="G236" s="5" t="str">
        <f t="shared" si="6"/>
        <v/>
      </c>
      <c r="H236" s="5" t="str">
        <f>IF($A236="","",'Malzeme Tanımlama'!F236)</f>
        <v/>
      </c>
      <c r="I236" s="5" t="str">
        <f t="shared" si="7"/>
        <v/>
      </c>
    </row>
    <row r="237" spans="1:9" x14ac:dyDescent="0.3">
      <c r="A237" s="7" t="str">
        <f>IF('Malzeme Tanımlama'!A237="","",'Malzeme Tanımlama'!A237)</f>
        <v/>
      </c>
      <c r="B237" s="5" t="str">
        <f>IF($A237="","",'Malzeme Tanımlama'!B237)</f>
        <v/>
      </c>
      <c r="C237" s="5" t="str">
        <f>IF($A237="","",'Malzeme Tanımlama'!C237)</f>
        <v/>
      </c>
      <c r="D237" s="5" t="str">
        <f>IF($A237="","",'Malzeme Tanımlama'!D237)</f>
        <v/>
      </c>
      <c r="E237" s="5" t="str">
        <f>IF($A237="","",SUMIFS('Stok Hareketleri'!$G$5:$G$2000,'Stok Hareketleri'!$D$5:$D$2000,$A237,'Stok Hareketleri'!$F$5:$F$2000,"Giriş"))</f>
        <v/>
      </c>
      <c r="F237" s="5" t="str">
        <f>IF($A237="","",SUMIFS('Stok Hareketleri'!$G$5:$G$2000,'Stok Hareketleri'!$D$5:$D$2000,$A237,'Stok Hareketleri'!$F$5:$F$2000,"Çıkış"))</f>
        <v/>
      </c>
      <c r="G237" s="5" t="str">
        <f t="shared" si="6"/>
        <v/>
      </c>
      <c r="H237" s="5" t="str">
        <f>IF($A237="","",'Malzeme Tanımlama'!F237)</f>
        <v/>
      </c>
      <c r="I237" s="5" t="str">
        <f t="shared" si="7"/>
        <v/>
      </c>
    </row>
    <row r="238" spans="1:9" x14ac:dyDescent="0.3">
      <c r="A238" s="7" t="str">
        <f>IF('Malzeme Tanımlama'!A238="","",'Malzeme Tanımlama'!A238)</f>
        <v/>
      </c>
      <c r="B238" s="5" t="str">
        <f>IF($A238="","",'Malzeme Tanımlama'!B238)</f>
        <v/>
      </c>
      <c r="C238" s="5" t="str">
        <f>IF($A238="","",'Malzeme Tanımlama'!C238)</f>
        <v/>
      </c>
      <c r="D238" s="5" t="str">
        <f>IF($A238="","",'Malzeme Tanımlama'!D238)</f>
        <v/>
      </c>
      <c r="E238" s="5" t="str">
        <f>IF($A238="","",SUMIFS('Stok Hareketleri'!$G$5:$G$2000,'Stok Hareketleri'!$D$5:$D$2000,$A238,'Stok Hareketleri'!$F$5:$F$2000,"Giriş"))</f>
        <v/>
      </c>
      <c r="F238" s="5" t="str">
        <f>IF($A238="","",SUMIFS('Stok Hareketleri'!$G$5:$G$2000,'Stok Hareketleri'!$D$5:$D$2000,$A238,'Stok Hareketleri'!$F$5:$F$2000,"Çıkış"))</f>
        <v/>
      </c>
      <c r="G238" s="5" t="str">
        <f t="shared" si="6"/>
        <v/>
      </c>
      <c r="H238" s="5" t="str">
        <f>IF($A238="","",'Malzeme Tanımlama'!F238)</f>
        <v/>
      </c>
      <c r="I238" s="5" t="str">
        <f t="shared" si="7"/>
        <v/>
      </c>
    </row>
    <row r="239" spans="1:9" x14ac:dyDescent="0.3">
      <c r="A239" s="7" t="str">
        <f>IF('Malzeme Tanımlama'!A239="","",'Malzeme Tanımlama'!A239)</f>
        <v/>
      </c>
      <c r="B239" s="5" t="str">
        <f>IF($A239="","",'Malzeme Tanımlama'!B239)</f>
        <v/>
      </c>
      <c r="C239" s="5" t="str">
        <f>IF($A239="","",'Malzeme Tanımlama'!C239)</f>
        <v/>
      </c>
      <c r="D239" s="5" t="str">
        <f>IF($A239="","",'Malzeme Tanımlama'!D239)</f>
        <v/>
      </c>
      <c r="E239" s="5" t="str">
        <f>IF($A239="","",SUMIFS('Stok Hareketleri'!$G$5:$G$2000,'Stok Hareketleri'!$D$5:$D$2000,$A239,'Stok Hareketleri'!$F$5:$F$2000,"Giriş"))</f>
        <v/>
      </c>
      <c r="F239" s="5" t="str">
        <f>IF($A239="","",SUMIFS('Stok Hareketleri'!$G$5:$G$2000,'Stok Hareketleri'!$D$5:$D$2000,$A239,'Stok Hareketleri'!$F$5:$F$2000,"Çıkış"))</f>
        <v/>
      </c>
      <c r="G239" s="5" t="str">
        <f t="shared" si="6"/>
        <v/>
      </c>
      <c r="H239" s="5" t="str">
        <f>IF($A239="","",'Malzeme Tanımlama'!F239)</f>
        <v/>
      </c>
      <c r="I239" s="5" t="str">
        <f t="shared" si="7"/>
        <v/>
      </c>
    </row>
    <row r="240" spans="1:9" x14ac:dyDescent="0.3">
      <c r="A240" s="7" t="str">
        <f>IF('Malzeme Tanımlama'!A240="","",'Malzeme Tanımlama'!A240)</f>
        <v/>
      </c>
      <c r="B240" s="5" t="str">
        <f>IF($A240="","",'Malzeme Tanımlama'!B240)</f>
        <v/>
      </c>
      <c r="C240" s="5" t="str">
        <f>IF($A240="","",'Malzeme Tanımlama'!C240)</f>
        <v/>
      </c>
      <c r="D240" s="5" t="str">
        <f>IF($A240="","",'Malzeme Tanımlama'!D240)</f>
        <v/>
      </c>
      <c r="E240" s="5" t="str">
        <f>IF($A240="","",SUMIFS('Stok Hareketleri'!$G$5:$G$2000,'Stok Hareketleri'!$D$5:$D$2000,$A240,'Stok Hareketleri'!$F$5:$F$2000,"Giriş"))</f>
        <v/>
      </c>
      <c r="F240" s="5" t="str">
        <f>IF($A240="","",SUMIFS('Stok Hareketleri'!$G$5:$G$2000,'Stok Hareketleri'!$D$5:$D$2000,$A240,'Stok Hareketleri'!$F$5:$F$2000,"Çıkış"))</f>
        <v/>
      </c>
      <c r="G240" s="5" t="str">
        <f t="shared" si="6"/>
        <v/>
      </c>
      <c r="H240" s="5" t="str">
        <f>IF($A240="","",'Malzeme Tanımlama'!F240)</f>
        <v/>
      </c>
      <c r="I240" s="5" t="str">
        <f t="shared" si="7"/>
        <v/>
      </c>
    </row>
    <row r="241" spans="1:9" x14ac:dyDescent="0.3">
      <c r="A241" s="7" t="str">
        <f>IF('Malzeme Tanımlama'!A241="","",'Malzeme Tanımlama'!A241)</f>
        <v/>
      </c>
      <c r="B241" s="5" t="str">
        <f>IF($A241="","",'Malzeme Tanımlama'!B241)</f>
        <v/>
      </c>
      <c r="C241" s="5" t="str">
        <f>IF($A241="","",'Malzeme Tanımlama'!C241)</f>
        <v/>
      </c>
      <c r="D241" s="5" t="str">
        <f>IF($A241="","",'Malzeme Tanımlama'!D241)</f>
        <v/>
      </c>
      <c r="E241" s="5" t="str">
        <f>IF($A241="","",SUMIFS('Stok Hareketleri'!$G$5:$G$2000,'Stok Hareketleri'!$D$5:$D$2000,$A241,'Stok Hareketleri'!$F$5:$F$2000,"Giriş"))</f>
        <v/>
      </c>
      <c r="F241" s="5" t="str">
        <f>IF($A241="","",SUMIFS('Stok Hareketleri'!$G$5:$G$2000,'Stok Hareketleri'!$D$5:$D$2000,$A241,'Stok Hareketleri'!$F$5:$F$2000,"Çıkış"))</f>
        <v/>
      </c>
      <c r="G241" s="5" t="str">
        <f t="shared" si="6"/>
        <v/>
      </c>
      <c r="H241" s="5" t="str">
        <f>IF($A241="","",'Malzeme Tanımlama'!F241)</f>
        <v/>
      </c>
      <c r="I241" s="5" t="str">
        <f t="shared" si="7"/>
        <v/>
      </c>
    </row>
    <row r="242" spans="1:9" x14ac:dyDescent="0.3">
      <c r="A242" s="7" t="str">
        <f>IF('Malzeme Tanımlama'!A242="","",'Malzeme Tanımlama'!A242)</f>
        <v/>
      </c>
      <c r="B242" s="5" t="str">
        <f>IF($A242="","",'Malzeme Tanımlama'!B242)</f>
        <v/>
      </c>
      <c r="C242" s="5" t="str">
        <f>IF($A242="","",'Malzeme Tanımlama'!C242)</f>
        <v/>
      </c>
      <c r="D242" s="5" t="str">
        <f>IF($A242="","",'Malzeme Tanımlama'!D242)</f>
        <v/>
      </c>
      <c r="E242" s="5" t="str">
        <f>IF($A242="","",SUMIFS('Stok Hareketleri'!$G$5:$G$2000,'Stok Hareketleri'!$D$5:$D$2000,$A242,'Stok Hareketleri'!$F$5:$F$2000,"Giriş"))</f>
        <v/>
      </c>
      <c r="F242" s="5" t="str">
        <f>IF($A242="","",SUMIFS('Stok Hareketleri'!$G$5:$G$2000,'Stok Hareketleri'!$D$5:$D$2000,$A242,'Stok Hareketleri'!$F$5:$F$2000,"Çıkış"))</f>
        <v/>
      </c>
      <c r="G242" s="5" t="str">
        <f t="shared" si="6"/>
        <v/>
      </c>
      <c r="H242" s="5" t="str">
        <f>IF($A242="","",'Malzeme Tanımlama'!F242)</f>
        <v/>
      </c>
      <c r="I242" s="5" t="str">
        <f t="shared" si="7"/>
        <v/>
      </c>
    </row>
    <row r="243" spans="1:9" x14ac:dyDescent="0.3">
      <c r="A243" s="7" t="str">
        <f>IF('Malzeme Tanımlama'!A243="","",'Malzeme Tanımlama'!A243)</f>
        <v/>
      </c>
      <c r="B243" s="5" t="str">
        <f>IF($A243="","",'Malzeme Tanımlama'!B243)</f>
        <v/>
      </c>
      <c r="C243" s="5" t="str">
        <f>IF($A243="","",'Malzeme Tanımlama'!C243)</f>
        <v/>
      </c>
      <c r="D243" s="5" t="str">
        <f>IF($A243="","",'Malzeme Tanımlama'!D243)</f>
        <v/>
      </c>
      <c r="E243" s="5" t="str">
        <f>IF($A243="","",SUMIFS('Stok Hareketleri'!$G$5:$G$2000,'Stok Hareketleri'!$D$5:$D$2000,$A243,'Stok Hareketleri'!$F$5:$F$2000,"Giriş"))</f>
        <v/>
      </c>
      <c r="F243" s="5" t="str">
        <f>IF($A243="","",SUMIFS('Stok Hareketleri'!$G$5:$G$2000,'Stok Hareketleri'!$D$5:$D$2000,$A243,'Stok Hareketleri'!$F$5:$F$2000,"Çıkış"))</f>
        <v/>
      </c>
      <c r="G243" s="5" t="str">
        <f t="shared" si="6"/>
        <v/>
      </c>
      <c r="H243" s="5" t="str">
        <f>IF($A243="","",'Malzeme Tanımlama'!F243)</f>
        <v/>
      </c>
      <c r="I243" s="5" t="str">
        <f t="shared" si="7"/>
        <v/>
      </c>
    </row>
    <row r="244" spans="1:9" x14ac:dyDescent="0.3">
      <c r="A244" s="7" t="str">
        <f>IF('Malzeme Tanımlama'!A244="","",'Malzeme Tanımlama'!A244)</f>
        <v/>
      </c>
      <c r="B244" s="5" t="str">
        <f>IF($A244="","",'Malzeme Tanımlama'!B244)</f>
        <v/>
      </c>
      <c r="C244" s="5" t="str">
        <f>IF($A244="","",'Malzeme Tanımlama'!C244)</f>
        <v/>
      </c>
      <c r="D244" s="5" t="str">
        <f>IF($A244="","",'Malzeme Tanımlama'!D244)</f>
        <v/>
      </c>
      <c r="E244" s="5" t="str">
        <f>IF($A244="","",SUMIFS('Stok Hareketleri'!$G$5:$G$2000,'Stok Hareketleri'!$D$5:$D$2000,$A244,'Stok Hareketleri'!$F$5:$F$2000,"Giriş"))</f>
        <v/>
      </c>
      <c r="F244" s="5" t="str">
        <f>IF($A244="","",SUMIFS('Stok Hareketleri'!$G$5:$G$2000,'Stok Hareketleri'!$D$5:$D$2000,$A244,'Stok Hareketleri'!$F$5:$F$2000,"Çıkış"))</f>
        <v/>
      </c>
      <c r="G244" s="5" t="str">
        <f t="shared" si="6"/>
        <v/>
      </c>
      <c r="H244" s="5" t="str">
        <f>IF($A244="","",'Malzeme Tanımlama'!F244)</f>
        <v/>
      </c>
      <c r="I244" s="5" t="str">
        <f t="shared" si="7"/>
        <v/>
      </c>
    </row>
    <row r="245" spans="1:9" x14ac:dyDescent="0.3">
      <c r="A245" s="7" t="str">
        <f>IF('Malzeme Tanımlama'!A245="","",'Malzeme Tanımlama'!A245)</f>
        <v/>
      </c>
      <c r="B245" s="5" t="str">
        <f>IF($A245="","",'Malzeme Tanımlama'!B245)</f>
        <v/>
      </c>
      <c r="C245" s="5" t="str">
        <f>IF($A245="","",'Malzeme Tanımlama'!C245)</f>
        <v/>
      </c>
      <c r="D245" s="5" t="str">
        <f>IF($A245="","",'Malzeme Tanımlama'!D245)</f>
        <v/>
      </c>
      <c r="E245" s="5" t="str">
        <f>IF($A245="","",SUMIFS('Stok Hareketleri'!$G$5:$G$2000,'Stok Hareketleri'!$D$5:$D$2000,$A245,'Stok Hareketleri'!$F$5:$F$2000,"Giriş"))</f>
        <v/>
      </c>
      <c r="F245" s="5" t="str">
        <f>IF($A245="","",SUMIFS('Stok Hareketleri'!$G$5:$G$2000,'Stok Hareketleri'!$D$5:$D$2000,$A245,'Stok Hareketleri'!$F$5:$F$2000,"Çıkış"))</f>
        <v/>
      </c>
      <c r="G245" s="5" t="str">
        <f t="shared" si="6"/>
        <v/>
      </c>
      <c r="H245" s="5" t="str">
        <f>IF($A245="","",'Malzeme Tanımlama'!F245)</f>
        <v/>
      </c>
      <c r="I245" s="5" t="str">
        <f t="shared" si="7"/>
        <v/>
      </c>
    </row>
    <row r="246" spans="1:9" x14ac:dyDescent="0.3">
      <c r="A246" s="7" t="str">
        <f>IF('Malzeme Tanımlama'!A246="","",'Malzeme Tanımlama'!A246)</f>
        <v/>
      </c>
      <c r="B246" s="5" t="str">
        <f>IF($A246="","",'Malzeme Tanımlama'!B246)</f>
        <v/>
      </c>
      <c r="C246" s="5" t="str">
        <f>IF($A246="","",'Malzeme Tanımlama'!C246)</f>
        <v/>
      </c>
      <c r="D246" s="5" t="str">
        <f>IF($A246="","",'Malzeme Tanımlama'!D246)</f>
        <v/>
      </c>
      <c r="E246" s="5" t="str">
        <f>IF($A246="","",SUMIFS('Stok Hareketleri'!$G$5:$G$2000,'Stok Hareketleri'!$D$5:$D$2000,$A246,'Stok Hareketleri'!$F$5:$F$2000,"Giriş"))</f>
        <v/>
      </c>
      <c r="F246" s="5" t="str">
        <f>IF($A246="","",SUMIFS('Stok Hareketleri'!$G$5:$G$2000,'Stok Hareketleri'!$D$5:$D$2000,$A246,'Stok Hareketleri'!$F$5:$F$2000,"Çıkış"))</f>
        <v/>
      </c>
      <c r="G246" s="5" t="str">
        <f t="shared" si="6"/>
        <v/>
      </c>
      <c r="H246" s="5" t="str">
        <f>IF($A246="","",'Malzeme Tanımlama'!F246)</f>
        <v/>
      </c>
      <c r="I246" s="5" t="str">
        <f t="shared" si="7"/>
        <v/>
      </c>
    </row>
    <row r="247" spans="1:9" x14ac:dyDescent="0.3">
      <c r="A247" s="7" t="str">
        <f>IF('Malzeme Tanımlama'!A247="","",'Malzeme Tanımlama'!A247)</f>
        <v/>
      </c>
      <c r="B247" s="5" t="str">
        <f>IF($A247="","",'Malzeme Tanımlama'!B247)</f>
        <v/>
      </c>
      <c r="C247" s="5" t="str">
        <f>IF($A247="","",'Malzeme Tanımlama'!C247)</f>
        <v/>
      </c>
      <c r="D247" s="5" t="str">
        <f>IF($A247="","",'Malzeme Tanımlama'!D247)</f>
        <v/>
      </c>
      <c r="E247" s="5" t="str">
        <f>IF($A247="","",SUMIFS('Stok Hareketleri'!$G$5:$G$2000,'Stok Hareketleri'!$D$5:$D$2000,$A247,'Stok Hareketleri'!$F$5:$F$2000,"Giriş"))</f>
        <v/>
      </c>
      <c r="F247" s="5" t="str">
        <f>IF($A247="","",SUMIFS('Stok Hareketleri'!$G$5:$G$2000,'Stok Hareketleri'!$D$5:$D$2000,$A247,'Stok Hareketleri'!$F$5:$F$2000,"Çıkış"))</f>
        <v/>
      </c>
      <c r="G247" s="5" t="str">
        <f t="shared" si="6"/>
        <v/>
      </c>
      <c r="H247" s="5" t="str">
        <f>IF($A247="","",'Malzeme Tanımlama'!F247)</f>
        <v/>
      </c>
      <c r="I247" s="5" t="str">
        <f t="shared" si="7"/>
        <v/>
      </c>
    </row>
    <row r="248" spans="1:9" x14ac:dyDescent="0.3">
      <c r="A248" s="7" t="str">
        <f>IF('Malzeme Tanımlama'!A248="","",'Malzeme Tanımlama'!A248)</f>
        <v/>
      </c>
      <c r="B248" s="5" t="str">
        <f>IF($A248="","",'Malzeme Tanımlama'!B248)</f>
        <v/>
      </c>
      <c r="C248" s="5" t="str">
        <f>IF($A248="","",'Malzeme Tanımlama'!C248)</f>
        <v/>
      </c>
      <c r="D248" s="5" t="str">
        <f>IF($A248="","",'Malzeme Tanımlama'!D248)</f>
        <v/>
      </c>
      <c r="E248" s="5" t="str">
        <f>IF($A248="","",SUMIFS('Stok Hareketleri'!$G$5:$G$2000,'Stok Hareketleri'!$D$5:$D$2000,$A248,'Stok Hareketleri'!$F$5:$F$2000,"Giriş"))</f>
        <v/>
      </c>
      <c r="F248" s="5" t="str">
        <f>IF($A248="","",SUMIFS('Stok Hareketleri'!$G$5:$G$2000,'Stok Hareketleri'!$D$5:$D$2000,$A248,'Stok Hareketleri'!$F$5:$F$2000,"Çıkış"))</f>
        <v/>
      </c>
      <c r="G248" s="5" t="str">
        <f t="shared" si="6"/>
        <v/>
      </c>
      <c r="H248" s="5" t="str">
        <f>IF($A248="","",'Malzeme Tanımlama'!F248)</f>
        <v/>
      </c>
      <c r="I248" s="5" t="str">
        <f t="shared" si="7"/>
        <v/>
      </c>
    </row>
    <row r="249" spans="1:9" x14ac:dyDescent="0.3">
      <c r="A249" s="7" t="str">
        <f>IF('Malzeme Tanımlama'!A249="","",'Malzeme Tanımlama'!A249)</f>
        <v/>
      </c>
      <c r="B249" s="5" t="str">
        <f>IF($A249="","",'Malzeme Tanımlama'!B249)</f>
        <v/>
      </c>
      <c r="C249" s="5" t="str">
        <f>IF($A249="","",'Malzeme Tanımlama'!C249)</f>
        <v/>
      </c>
      <c r="D249" s="5" t="str">
        <f>IF($A249="","",'Malzeme Tanımlama'!D249)</f>
        <v/>
      </c>
      <c r="E249" s="5" t="str">
        <f>IF($A249="","",SUMIFS('Stok Hareketleri'!$G$5:$G$2000,'Stok Hareketleri'!$D$5:$D$2000,$A249,'Stok Hareketleri'!$F$5:$F$2000,"Giriş"))</f>
        <v/>
      </c>
      <c r="F249" s="5" t="str">
        <f>IF($A249="","",SUMIFS('Stok Hareketleri'!$G$5:$G$2000,'Stok Hareketleri'!$D$5:$D$2000,$A249,'Stok Hareketleri'!$F$5:$F$2000,"Çıkış"))</f>
        <v/>
      </c>
      <c r="G249" s="5" t="str">
        <f t="shared" si="6"/>
        <v/>
      </c>
      <c r="H249" s="5" t="str">
        <f>IF($A249="","",'Malzeme Tanımlama'!F249)</f>
        <v/>
      </c>
      <c r="I249" s="5" t="str">
        <f t="shared" si="7"/>
        <v/>
      </c>
    </row>
    <row r="250" spans="1:9" x14ac:dyDescent="0.3">
      <c r="A250" s="7" t="str">
        <f>IF('Malzeme Tanımlama'!A250="","",'Malzeme Tanımlama'!A250)</f>
        <v/>
      </c>
      <c r="B250" s="5" t="str">
        <f>IF($A250="","",'Malzeme Tanımlama'!B250)</f>
        <v/>
      </c>
      <c r="C250" s="5" t="str">
        <f>IF($A250="","",'Malzeme Tanımlama'!C250)</f>
        <v/>
      </c>
      <c r="D250" s="5" t="str">
        <f>IF($A250="","",'Malzeme Tanımlama'!D250)</f>
        <v/>
      </c>
      <c r="E250" s="5" t="str">
        <f>IF($A250="","",SUMIFS('Stok Hareketleri'!$G$5:$G$2000,'Stok Hareketleri'!$D$5:$D$2000,$A250,'Stok Hareketleri'!$F$5:$F$2000,"Giriş"))</f>
        <v/>
      </c>
      <c r="F250" s="5" t="str">
        <f>IF($A250="","",SUMIFS('Stok Hareketleri'!$G$5:$G$2000,'Stok Hareketleri'!$D$5:$D$2000,$A250,'Stok Hareketleri'!$F$5:$F$2000,"Çıkış"))</f>
        <v/>
      </c>
      <c r="G250" s="5" t="str">
        <f t="shared" si="6"/>
        <v/>
      </c>
      <c r="H250" s="5" t="str">
        <f>IF($A250="","",'Malzeme Tanımlama'!F250)</f>
        <v/>
      </c>
      <c r="I250" s="5" t="str">
        <f t="shared" si="7"/>
        <v/>
      </c>
    </row>
    <row r="251" spans="1:9" x14ac:dyDescent="0.3">
      <c r="A251" s="7" t="str">
        <f>IF('Malzeme Tanımlama'!A251="","",'Malzeme Tanımlama'!A251)</f>
        <v/>
      </c>
      <c r="B251" s="5" t="str">
        <f>IF($A251="","",'Malzeme Tanımlama'!B251)</f>
        <v/>
      </c>
      <c r="C251" s="5" t="str">
        <f>IF($A251="","",'Malzeme Tanımlama'!C251)</f>
        <v/>
      </c>
      <c r="D251" s="5" t="str">
        <f>IF($A251="","",'Malzeme Tanımlama'!D251)</f>
        <v/>
      </c>
      <c r="E251" s="5" t="str">
        <f>IF($A251="","",SUMIFS('Stok Hareketleri'!$G$5:$G$2000,'Stok Hareketleri'!$D$5:$D$2000,$A251,'Stok Hareketleri'!$F$5:$F$2000,"Giriş"))</f>
        <v/>
      </c>
      <c r="F251" s="5" t="str">
        <f>IF($A251="","",SUMIFS('Stok Hareketleri'!$G$5:$G$2000,'Stok Hareketleri'!$D$5:$D$2000,$A251,'Stok Hareketleri'!$F$5:$F$2000,"Çıkış"))</f>
        <v/>
      </c>
      <c r="G251" s="5" t="str">
        <f t="shared" si="6"/>
        <v/>
      </c>
      <c r="H251" s="5" t="str">
        <f>IF($A251="","",'Malzeme Tanımlama'!F251)</f>
        <v/>
      </c>
      <c r="I251" s="5" t="str">
        <f t="shared" si="7"/>
        <v/>
      </c>
    </row>
    <row r="252" spans="1:9" x14ac:dyDescent="0.3">
      <c r="A252" s="7" t="str">
        <f>IF('Malzeme Tanımlama'!A252="","",'Malzeme Tanımlama'!A252)</f>
        <v/>
      </c>
      <c r="B252" s="5" t="str">
        <f>IF($A252="","",'Malzeme Tanımlama'!B252)</f>
        <v/>
      </c>
      <c r="C252" s="5" t="str">
        <f>IF($A252="","",'Malzeme Tanımlama'!C252)</f>
        <v/>
      </c>
      <c r="D252" s="5" t="str">
        <f>IF($A252="","",'Malzeme Tanımlama'!D252)</f>
        <v/>
      </c>
      <c r="E252" s="5" t="str">
        <f>IF($A252="","",SUMIFS('Stok Hareketleri'!$G$5:$G$2000,'Stok Hareketleri'!$D$5:$D$2000,$A252,'Stok Hareketleri'!$F$5:$F$2000,"Giriş"))</f>
        <v/>
      </c>
      <c r="F252" s="5" t="str">
        <f>IF($A252="","",SUMIFS('Stok Hareketleri'!$G$5:$G$2000,'Stok Hareketleri'!$D$5:$D$2000,$A252,'Stok Hareketleri'!$F$5:$F$2000,"Çıkış"))</f>
        <v/>
      </c>
      <c r="G252" s="5" t="str">
        <f t="shared" si="6"/>
        <v/>
      </c>
      <c r="H252" s="5" t="str">
        <f>IF($A252="","",'Malzeme Tanımlama'!F252)</f>
        <v/>
      </c>
      <c r="I252" s="5" t="str">
        <f t="shared" si="7"/>
        <v/>
      </c>
    </row>
    <row r="253" spans="1:9" x14ac:dyDescent="0.3">
      <c r="A253" s="7" t="str">
        <f>IF('Malzeme Tanımlama'!A253="","",'Malzeme Tanımlama'!A253)</f>
        <v/>
      </c>
      <c r="B253" s="5" t="str">
        <f>IF($A253="","",'Malzeme Tanımlama'!B253)</f>
        <v/>
      </c>
      <c r="C253" s="5" t="str">
        <f>IF($A253="","",'Malzeme Tanımlama'!C253)</f>
        <v/>
      </c>
      <c r="D253" s="5" t="str">
        <f>IF($A253="","",'Malzeme Tanımlama'!D253)</f>
        <v/>
      </c>
      <c r="E253" s="5" t="str">
        <f>IF($A253="","",SUMIFS('Stok Hareketleri'!$G$5:$G$2000,'Stok Hareketleri'!$D$5:$D$2000,$A253,'Stok Hareketleri'!$F$5:$F$2000,"Giriş"))</f>
        <v/>
      </c>
      <c r="F253" s="5" t="str">
        <f>IF($A253="","",SUMIFS('Stok Hareketleri'!$G$5:$G$2000,'Stok Hareketleri'!$D$5:$D$2000,$A253,'Stok Hareketleri'!$F$5:$F$2000,"Çıkış"))</f>
        <v/>
      </c>
      <c r="G253" s="5" t="str">
        <f t="shared" si="6"/>
        <v/>
      </c>
      <c r="H253" s="5" t="str">
        <f>IF($A253="","",'Malzeme Tanımlama'!F253)</f>
        <v/>
      </c>
      <c r="I253" s="5" t="str">
        <f t="shared" si="7"/>
        <v/>
      </c>
    </row>
    <row r="254" spans="1:9" x14ac:dyDescent="0.3">
      <c r="A254" s="7" t="str">
        <f>IF('Malzeme Tanımlama'!A254="","",'Malzeme Tanımlama'!A254)</f>
        <v/>
      </c>
      <c r="B254" s="5" t="str">
        <f>IF($A254="","",'Malzeme Tanımlama'!B254)</f>
        <v/>
      </c>
      <c r="C254" s="5" t="str">
        <f>IF($A254="","",'Malzeme Tanımlama'!C254)</f>
        <v/>
      </c>
      <c r="D254" s="5" t="str">
        <f>IF($A254="","",'Malzeme Tanımlama'!D254)</f>
        <v/>
      </c>
      <c r="E254" s="5" t="str">
        <f>IF($A254="","",SUMIFS('Stok Hareketleri'!$G$5:$G$2000,'Stok Hareketleri'!$D$5:$D$2000,$A254,'Stok Hareketleri'!$F$5:$F$2000,"Giriş"))</f>
        <v/>
      </c>
      <c r="F254" s="5" t="str">
        <f>IF($A254="","",SUMIFS('Stok Hareketleri'!$G$5:$G$2000,'Stok Hareketleri'!$D$5:$D$2000,$A254,'Stok Hareketleri'!$F$5:$F$2000,"Çıkış"))</f>
        <v/>
      </c>
      <c r="G254" s="5" t="str">
        <f t="shared" si="6"/>
        <v/>
      </c>
      <c r="H254" s="5" t="str">
        <f>IF($A254="","",'Malzeme Tanımlama'!F254)</f>
        <v/>
      </c>
      <c r="I254" s="5" t="str">
        <f t="shared" si="7"/>
        <v/>
      </c>
    </row>
    <row r="255" spans="1:9" x14ac:dyDescent="0.3">
      <c r="A255" s="7" t="str">
        <f>IF('Malzeme Tanımlama'!A255="","",'Malzeme Tanımlama'!A255)</f>
        <v/>
      </c>
      <c r="B255" s="5" t="str">
        <f>IF($A255="","",'Malzeme Tanımlama'!B255)</f>
        <v/>
      </c>
      <c r="C255" s="5" t="str">
        <f>IF($A255="","",'Malzeme Tanımlama'!C255)</f>
        <v/>
      </c>
      <c r="D255" s="5" t="str">
        <f>IF($A255="","",'Malzeme Tanımlama'!D255)</f>
        <v/>
      </c>
      <c r="E255" s="5" t="str">
        <f>IF($A255="","",SUMIFS('Stok Hareketleri'!$G$5:$G$2000,'Stok Hareketleri'!$D$5:$D$2000,$A255,'Stok Hareketleri'!$F$5:$F$2000,"Giriş"))</f>
        <v/>
      </c>
      <c r="F255" s="5" t="str">
        <f>IF($A255="","",SUMIFS('Stok Hareketleri'!$G$5:$G$2000,'Stok Hareketleri'!$D$5:$D$2000,$A255,'Stok Hareketleri'!$F$5:$F$2000,"Çıkış"))</f>
        <v/>
      </c>
      <c r="G255" s="5" t="str">
        <f t="shared" si="6"/>
        <v/>
      </c>
      <c r="H255" s="5" t="str">
        <f>IF($A255="","",'Malzeme Tanımlama'!F255)</f>
        <v/>
      </c>
      <c r="I255" s="5" t="str">
        <f t="shared" si="7"/>
        <v/>
      </c>
    </row>
    <row r="256" spans="1:9" x14ac:dyDescent="0.3">
      <c r="A256" s="7" t="str">
        <f>IF('Malzeme Tanımlama'!A256="","",'Malzeme Tanımlama'!A256)</f>
        <v/>
      </c>
      <c r="B256" s="5" t="str">
        <f>IF($A256="","",'Malzeme Tanımlama'!B256)</f>
        <v/>
      </c>
      <c r="C256" s="5" t="str">
        <f>IF($A256="","",'Malzeme Tanımlama'!C256)</f>
        <v/>
      </c>
      <c r="D256" s="5" t="str">
        <f>IF($A256="","",'Malzeme Tanımlama'!D256)</f>
        <v/>
      </c>
      <c r="E256" s="5" t="str">
        <f>IF($A256="","",SUMIFS('Stok Hareketleri'!$G$5:$G$2000,'Stok Hareketleri'!$D$5:$D$2000,$A256,'Stok Hareketleri'!$F$5:$F$2000,"Giriş"))</f>
        <v/>
      </c>
      <c r="F256" s="5" t="str">
        <f>IF($A256="","",SUMIFS('Stok Hareketleri'!$G$5:$G$2000,'Stok Hareketleri'!$D$5:$D$2000,$A256,'Stok Hareketleri'!$F$5:$F$2000,"Çıkış"))</f>
        <v/>
      </c>
      <c r="G256" s="5" t="str">
        <f t="shared" si="6"/>
        <v/>
      </c>
      <c r="H256" s="5" t="str">
        <f>IF($A256="","",'Malzeme Tanımlama'!F256)</f>
        <v/>
      </c>
      <c r="I256" s="5" t="str">
        <f t="shared" si="7"/>
        <v/>
      </c>
    </row>
    <row r="257" spans="1:9" x14ac:dyDescent="0.3">
      <c r="A257" s="7" t="str">
        <f>IF('Malzeme Tanımlama'!A257="","",'Malzeme Tanımlama'!A257)</f>
        <v/>
      </c>
      <c r="B257" s="5" t="str">
        <f>IF($A257="","",'Malzeme Tanımlama'!B257)</f>
        <v/>
      </c>
      <c r="C257" s="5" t="str">
        <f>IF($A257="","",'Malzeme Tanımlama'!C257)</f>
        <v/>
      </c>
      <c r="D257" s="5" t="str">
        <f>IF($A257="","",'Malzeme Tanımlama'!D257)</f>
        <v/>
      </c>
      <c r="E257" s="5" t="str">
        <f>IF($A257="","",SUMIFS('Stok Hareketleri'!$G$5:$G$2000,'Stok Hareketleri'!$D$5:$D$2000,$A257,'Stok Hareketleri'!$F$5:$F$2000,"Giriş"))</f>
        <v/>
      </c>
      <c r="F257" s="5" t="str">
        <f>IF($A257="","",SUMIFS('Stok Hareketleri'!$G$5:$G$2000,'Stok Hareketleri'!$D$5:$D$2000,$A257,'Stok Hareketleri'!$F$5:$F$2000,"Çıkış"))</f>
        <v/>
      </c>
      <c r="G257" s="5" t="str">
        <f t="shared" si="6"/>
        <v/>
      </c>
      <c r="H257" s="5" t="str">
        <f>IF($A257="","",'Malzeme Tanımlama'!F257)</f>
        <v/>
      </c>
      <c r="I257" s="5" t="str">
        <f t="shared" si="7"/>
        <v/>
      </c>
    </row>
    <row r="258" spans="1:9" x14ac:dyDescent="0.3">
      <c r="A258" s="7" t="str">
        <f>IF('Malzeme Tanımlama'!A258="","",'Malzeme Tanımlama'!A258)</f>
        <v/>
      </c>
      <c r="B258" s="5" t="str">
        <f>IF($A258="","",'Malzeme Tanımlama'!B258)</f>
        <v/>
      </c>
      <c r="C258" s="5" t="str">
        <f>IF($A258="","",'Malzeme Tanımlama'!C258)</f>
        <v/>
      </c>
      <c r="D258" s="5" t="str">
        <f>IF($A258="","",'Malzeme Tanımlama'!D258)</f>
        <v/>
      </c>
      <c r="E258" s="5" t="str">
        <f>IF($A258="","",SUMIFS('Stok Hareketleri'!$G$5:$G$2000,'Stok Hareketleri'!$D$5:$D$2000,$A258,'Stok Hareketleri'!$F$5:$F$2000,"Giriş"))</f>
        <v/>
      </c>
      <c r="F258" s="5" t="str">
        <f>IF($A258="","",SUMIFS('Stok Hareketleri'!$G$5:$G$2000,'Stok Hareketleri'!$D$5:$D$2000,$A258,'Stok Hareketleri'!$F$5:$F$2000,"Çıkış"))</f>
        <v/>
      </c>
      <c r="G258" s="5" t="str">
        <f t="shared" si="6"/>
        <v/>
      </c>
      <c r="H258" s="5" t="str">
        <f>IF($A258="","",'Malzeme Tanımlama'!F258)</f>
        <v/>
      </c>
      <c r="I258" s="5" t="str">
        <f t="shared" si="7"/>
        <v/>
      </c>
    </row>
    <row r="259" spans="1:9" x14ac:dyDescent="0.3">
      <c r="A259" s="7" t="str">
        <f>IF('Malzeme Tanımlama'!A259="","",'Malzeme Tanımlama'!A259)</f>
        <v/>
      </c>
      <c r="B259" s="5" t="str">
        <f>IF($A259="","",'Malzeme Tanımlama'!B259)</f>
        <v/>
      </c>
      <c r="C259" s="5" t="str">
        <f>IF($A259="","",'Malzeme Tanımlama'!C259)</f>
        <v/>
      </c>
      <c r="D259" s="5" t="str">
        <f>IF($A259="","",'Malzeme Tanımlama'!D259)</f>
        <v/>
      </c>
      <c r="E259" s="5" t="str">
        <f>IF($A259="","",SUMIFS('Stok Hareketleri'!$G$5:$G$2000,'Stok Hareketleri'!$D$5:$D$2000,$A259,'Stok Hareketleri'!$F$5:$F$2000,"Giriş"))</f>
        <v/>
      </c>
      <c r="F259" s="5" t="str">
        <f>IF($A259="","",SUMIFS('Stok Hareketleri'!$G$5:$G$2000,'Stok Hareketleri'!$D$5:$D$2000,$A259,'Stok Hareketleri'!$F$5:$F$2000,"Çıkış"))</f>
        <v/>
      </c>
      <c r="G259" s="5" t="str">
        <f t="shared" si="6"/>
        <v/>
      </c>
      <c r="H259" s="5" t="str">
        <f>IF($A259="","",'Malzeme Tanımlama'!F259)</f>
        <v/>
      </c>
      <c r="I259" s="5" t="str">
        <f t="shared" si="7"/>
        <v/>
      </c>
    </row>
    <row r="260" spans="1:9" x14ac:dyDescent="0.3">
      <c r="A260" s="7" t="str">
        <f>IF('Malzeme Tanımlama'!A260="","",'Malzeme Tanımlama'!A260)</f>
        <v/>
      </c>
      <c r="B260" s="5" t="str">
        <f>IF($A260="","",'Malzeme Tanımlama'!B260)</f>
        <v/>
      </c>
      <c r="C260" s="5" t="str">
        <f>IF($A260="","",'Malzeme Tanımlama'!C260)</f>
        <v/>
      </c>
      <c r="D260" s="5" t="str">
        <f>IF($A260="","",'Malzeme Tanımlama'!D260)</f>
        <v/>
      </c>
      <c r="E260" s="5" t="str">
        <f>IF($A260="","",SUMIFS('Stok Hareketleri'!$G$5:$G$2000,'Stok Hareketleri'!$D$5:$D$2000,$A260,'Stok Hareketleri'!$F$5:$F$2000,"Giriş"))</f>
        <v/>
      </c>
      <c r="F260" s="5" t="str">
        <f>IF($A260="","",SUMIFS('Stok Hareketleri'!$G$5:$G$2000,'Stok Hareketleri'!$D$5:$D$2000,$A260,'Stok Hareketleri'!$F$5:$F$2000,"Çıkış"))</f>
        <v/>
      </c>
      <c r="G260" s="5" t="str">
        <f t="shared" si="6"/>
        <v/>
      </c>
      <c r="H260" s="5" t="str">
        <f>IF($A260="","",'Malzeme Tanımlama'!F260)</f>
        <v/>
      </c>
      <c r="I260" s="5" t="str">
        <f t="shared" si="7"/>
        <v/>
      </c>
    </row>
    <row r="261" spans="1:9" x14ac:dyDescent="0.3">
      <c r="A261" s="7" t="str">
        <f>IF('Malzeme Tanımlama'!A261="","",'Malzeme Tanımlama'!A261)</f>
        <v/>
      </c>
      <c r="B261" s="5" t="str">
        <f>IF($A261="","",'Malzeme Tanımlama'!B261)</f>
        <v/>
      </c>
      <c r="C261" s="5" t="str">
        <f>IF($A261="","",'Malzeme Tanımlama'!C261)</f>
        <v/>
      </c>
      <c r="D261" s="5" t="str">
        <f>IF($A261="","",'Malzeme Tanımlama'!D261)</f>
        <v/>
      </c>
      <c r="E261" s="5" t="str">
        <f>IF($A261="","",SUMIFS('Stok Hareketleri'!$G$5:$G$2000,'Stok Hareketleri'!$D$5:$D$2000,$A261,'Stok Hareketleri'!$F$5:$F$2000,"Giriş"))</f>
        <v/>
      </c>
      <c r="F261" s="5" t="str">
        <f>IF($A261="","",SUMIFS('Stok Hareketleri'!$G$5:$G$2000,'Stok Hareketleri'!$D$5:$D$2000,$A261,'Stok Hareketleri'!$F$5:$F$2000,"Çıkış"))</f>
        <v/>
      </c>
      <c r="G261" s="5" t="str">
        <f t="shared" ref="G261:G300" si="8">IF($A261="","",$E261-$F261)</f>
        <v/>
      </c>
      <c r="H261" s="5" t="str">
        <f>IF($A261="","",'Malzeme Tanımlama'!F261)</f>
        <v/>
      </c>
      <c r="I261" s="5" t="str">
        <f t="shared" ref="I261:I300" si="9">IF($A261="","",IF($G261&lt;=$H261,"KRİTİK",IF($G261&lt;=$H261*1.3,"DİKKAT","NORMAL")))</f>
        <v/>
      </c>
    </row>
    <row r="262" spans="1:9" x14ac:dyDescent="0.3">
      <c r="A262" s="7" t="str">
        <f>IF('Malzeme Tanımlama'!A262="","",'Malzeme Tanımlama'!A262)</f>
        <v/>
      </c>
      <c r="B262" s="5" t="str">
        <f>IF($A262="","",'Malzeme Tanımlama'!B262)</f>
        <v/>
      </c>
      <c r="C262" s="5" t="str">
        <f>IF($A262="","",'Malzeme Tanımlama'!C262)</f>
        <v/>
      </c>
      <c r="D262" s="5" t="str">
        <f>IF($A262="","",'Malzeme Tanımlama'!D262)</f>
        <v/>
      </c>
      <c r="E262" s="5" t="str">
        <f>IF($A262="","",SUMIFS('Stok Hareketleri'!$G$5:$G$2000,'Stok Hareketleri'!$D$5:$D$2000,$A262,'Stok Hareketleri'!$F$5:$F$2000,"Giriş"))</f>
        <v/>
      </c>
      <c r="F262" s="5" t="str">
        <f>IF($A262="","",SUMIFS('Stok Hareketleri'!$G$5:$G$2000,'Stok Hareketleri'!$D$5:$D$2000,$A262,'Stok Hareketleri'!$F$5:$F$2000,"Çıkış"))</f>
        <v/>
      </c>
      <c r="G262" s="5" t="str">
        <f t="shared" si="8"/>
        <v/>
      </c>
      <c r="H262" s="5" t="str">
        <f>IF($A262="","",'Malzeme Tanımlama'!F262)</f>
        <v/>
      </c>
      <c r="I262" s="5" t="str">
        <f t="shared" si="9"/>
        <v/>
      </c>
    </row>
    <row r="263" spans="1:9" x14ac:dyDescent="0.3">
      <c r="A263" s="7" t="str">
        <f>IF('Malzeme Tanımlama'!A263="","",'Malzeme Tanımlama'!A263)</f>
        <v/>
      </c>
      <c r="B263" s="5" t="str">
        <f>IF($A263="","",'Malzeme Tanımlama'!B263)</f>
        <v/>
      </c>
      <c r="C263" s="5" t="str">
        <f>IF($A263="","",'Malzeme Tanımlama'!C263)</f>
        <v/>
      </c>
      <c r="D263" s="5" t="str">
        <f>IF($A263="","",'Malzeme Tanımlama'!D263)</f>
        <v/>
      </c>
      <c r="E263" s="5" t="str">
        <f>IF($A263="","",SUMIFS('Stok Hareketleri'!$G$5:$G$2000,'Stok Hareketleri'!$D$5:$D$2000,$A263,'Stok Hareketleri'!$F$5:$F$2000,"Giriş"))</f>
        <v/>
      </c>
      <c r="F263" s="5" t="str">
        <f>IF($A263="","",SUMIFS('Stok Hareketleri'!$G$5:$G$2000,'Stok Hareketleri'!$D$5:$D$2000,$A263,'Stok Hareketleri'!$F$5:$F$2000,"Çıkış"))</f>
        <v/>
      </c>
      <c r="G263" s="5" t="str">
        <f t="shared" si="8"/>
        <v/>
      </c>
      <c r="H263" s="5" t="str">
        <f>IF($A263="","",'Malzeme Tanımlama'!F263)</f>
        <v/>
      </c>
      <c r="I263" s="5" t="str">
        <f t="shared" si="9"/>
        <v/>
      </c>
    </row>
    <row r="264" spans="1:9" x14ac:dyDescent="0.3">
      <c r="A264" s="7" t="str">
        <f>IF('Malzeme Tanımlama'!A264="","",'Malzeme Tanımlama'!A264)</f>
        <v/>
      </c>
      <c r="B264" s="5" t="str">
        <f>IF($A264="","",'Malzeme Tanımlama'!B264)</f>
        <v/>
      </c>
      <c r="C264" s="5" t="str">
        <f>IF($A264="","",'Malzeme Tanımlama'!C264)</f>
        <v/>
      </c>
      <c r="D264" s="5" t="str">
        <f>IF($A264="","",'Malzeme Tanımlama'!D264)</f>
        <v/>
      </c>
      <c r="E264" s="5" t="str">
        <f>IF($A264="","",SUMIFS('Stok Hareketleri'!$G$5:$G$2000,'Stok Hareketleri'!$D$5:$D$2000,$A264,'Stok Hareketleri'!$F$5:$F$2000,"Giriş"))</f>
        <v/>
      </c>
      <c r="F264" s="5" t="str">
        <f>IF($A264="","",SUMIFS('Stok Hareketleri'!$G$5:$G$2000,'Stok Hareketleri'!$D$5:$D$2000,$A264,'Stok Hareketleri'!$F$5:$F$2000,"Çıkış"))</f>
        <v/>
      </c>
      <c r="G264" s="5" t="str">
        <f t="shared" si="8"/>
        <v/>
      </c>
      <c r="H264" s="5" t="str">
        <f>IF($A264="","",'Malzeme Tanımlama'!F264)</f>
        <v/>
      </c>
      <c r="I264" s="5" t="str">
        <f t="shared" si="9"/>
        <v/>
      </c>
    </row>
    <row r="265" spans="1:9" x14ac:dyDescent="0.3">
      <c r="A265" s="7" t="str">
        <f>IF('Malzeme Tanımlama'!A265="","",'Malzeme Tanımlama'!A265)</f>
        <v/>
      </c>
      <c r="B265" s="5" t="str">
        <f>IF($A265="","",'Malzeme Tanımlama'!B265)</f>
        <v/>
      </c>
      <c r="C265" s="5" t="str">
        <f>IF($A265="","",'Malzeme Tanımlama'!C265)</f>
        <v/>
      </c>
      <c r="D265" s="5" t="str">
        <f>IF($A265="","",'Malzeme Tanımlama'!D265)</f>
        <v/>
      </c>
      <c r="E265" s="5" t="str">
        <f>IF($A265="","",SUMIFS('Stok Hareketleri'!$G$5:$G$2000,'Stok Hareketleri'!$D$5:$D$2000,$A265,'Stok Hareketleri'!$F$5:$F$2000,"Giriş"))</f>
        <v/>
      </c>
      <c r="F265" s="5" t="str">
        <f>IF($A265="","",SUMIFS('Stok Hareketleri'!$G$5:$G$2000,'Stok Hareketleri'!$D$5:$D$2000,$A265,'Stok Hareketleri'!$F$5:$F$2000,"Çıkış"))</f>
        <v/>
      </c>
      <c r="G265" s="5" t="str">
        <f t="shared" si="8"/>
        <v/>
      </c>
      <c r="H265" s="5" t="str">
        <f>IF($A265="","",'Malzeme Tanımlama'!F265)</f>
        <v/>
      </c>
      <c r="I265" s="5" t="str">
        <f t="shared" si="9"/>
        <v/>
      </c>
    </row>
    <row r="266" spans="1:9" x14ac:dyDescent="0.3">
      <c r="A266" s="7" t="str">
        <f>IF('Malzeme Tanımlama'!A266="","",'Malzeme Tanımlama'!A266)</f>
        <v/>
      </c>
      <c r="B266" s="5" t="str">
        <f>IF($A266="","",'Malzeme Tanımlama'!B266)</f>
        <v/>
      </c>
      <c r="C266" s="5" t="str">
        <f>IF($A266="","",'Malzeme Tanımlama'!C266)</f>
        <v/>
      </c>
      <c r="D266" s="5" t="str">
        <f>IF($A266="","",'Malzeme Tanımlama'!D266)</f>
        <v/>
      </c>
      <c r="E266" s="5" t="str">
        <f>IF($A266="","",SUMIFS('Stok Hareketleri'!$G$5:$G$2000,'Stok Hareketleri'!$D$5:$D$2000,$A266,'Stok Hareketleri'!$F$5:$F$2000,"Giriş"))</f>
        <v/>
      </c>
      <c r="F266" s="5" t="str">
        <f>IF($A266="","",SUMIFS('Stok Hareketleri'!$G$5:$G$2000,'Stok Hareketleri'!$D$5:$D$2000,$A266,'Stok Hareketleri'!$F$5:$F$2000,"Çıkış"))</f>
        <v/>
      </c>
      <c r="G266" s="5" t="str">
        <f t="shared" si="8"/>
        <v/>
      </c>
      <c r="H266" s="5" t="str">
        <f>IF($A266="","",'Malzeme Tanımlama'!F266)</f>
        <v/>
      </c>
      <c r="I266" s="5" t="str">
        <f t="shared" si="9"/>
        <v/>
      </c>
    </row>
    <row r="267" spans="1:9" x14ac:dyDescent="0.3">
      <c r="A267" s="7" t="str">
        <f>IF('Malzeme Tanımlama'!A267="","",'Malzeme Tanımlama'!A267)</f>
        <v/>
      </c>
      <c r="B267" s="5" t="str">
        <f>IF($A267="","",'Malzeme Tanımlama'!B267)</f>
        <v/>
      </c>
      <c r="C267" s="5" t="str">
        <f>IF($A267="","",'Malzeme Tanımlama'!C267)</f>
        <v/>
      </c>
      <c r="D267" s="5" t="str">
        <f>IF($A267="","",'Malzeme Tanımlama'!D267)</f>
        <v/>
      </c>
      <c r="E267" s="5" t="str">
        <f>IF($A267="","",SUMIFS('Stok Hareketleri'!$G$5:$G$2000,'Stok Hareketleri'!$D$5:$D$2000,$A267,'Stok Hareketleri'!$F$5:$F$2000,"Giriş"))</f>
        <v/>
      </c>
      <c r="F267" s="5" t="str">
        <f>IF($A267="","",SUMIFS('Stok Hareketleri'!$G$5:$G$2000,'Stok Hareketleri'!$D$5:$D$2000,$A267,'Stok Hareketleri'!$F$5:$F$2000,"Çıkış"))</f>
        <v/>
      </c>
      <c r="G267" s="5" t="str">
        <f t="shared" si="8"/>
        <v/>
      </c>
      <c r="H267" s="5" t="str">
        <f>IF($A267="","",'Malzeme Tanımlama'!F267)</f>
        <v/>
      </c>
      <c r="I267" s="5" t="str">
        <f t="shared" si="9"/>
        <v/>
      </c>
    </row>
    <row r="268" spans="1:9" x14ac:dyDescent="0.3">
      <c r="A268" s="7" t="str">
        <f>IF('Malzeme Tanımlama'!A268="","",'Malzeme Tanımlama'!A268)</f>
        <v/>
      </c>
      <c r="B268" s="5" t="str">
        <f>IF($A268="","",'Malzeme Tanımlama'!B268)</f>
        <v/>
      </c>
      <c r="C268" s="5" t="str">
        <f>IF($A268="","",'Malzeme Tanımlama'!C268)</f>
        <v/>
      </c>
      <c r="D268" s="5" t="str">
        <f>IF($A268="","",'Malzeme Tanımlama'!D268)</f>
        <v/>
      </c>
      <c r="E268" s="5" t="str">
        <f>IF($A268="","",SUMIFS('Stok Hareketleri'!$G$5:$G$2000,'Stok Hareketleri'!$D$5:$D$2000,$A268,'Stok Hareketleri'!$F$5:$F$2000,"Giriş"))</f>
        <v/>
      </c>
      <c r="F268" s="5" t="str">
        <f>IF($A268="","",SUMIFS('Stok Hareketleri'!$G$5:$G$2000,'Stok Hareketleri'!$D$5:$D$2000,$A268,'Stok Hareketleri'!$F$5:$F$2000,"Çıkış"))</f>
        <v/>
      </c>
      <c r="G268" s="5" t="str">
        <f t="shared" si="8"/>
        <v/>
      </c>
      <c r="H268" s="5" t="str">
        <f>IF($A268="","",'Malzeme Tanımlama'!F268)</f>
        <v/>
      </c>
      <c r="I268" s="5" t="str">
        <f t="shared" si="9"/>
        <v/>
      </c>
    </row>
    <row r="269" spans="1:9" x14ac:dyDescent="0.3">
      <c r="A269" s="7" t="str">
        <f>IF('Malzeme Tanımlama'!A269="","",'Malzeme Tanımlama'!A269)</f>
        <v/>
      </c>
      <c r="B269" s="5" t="str">
        <f>IF($A269="","",'Malzeme Tanımlama'!B269)</f>
        <v/>
      </c>
      <c r="C269" s="5" t="str">
        <f>IF($A269="","",'Malzeme Tanımlama'!C269)</f>
        <v/>
      </c>
      <c r="D269" s="5" t="str">
        <f>IF($A269="","",'Malzeme Tanımlama'!D269)</f>
        <v/>
      </c>
      <c r="E269" s="5" t="str">
        <f>IF($A269="","",SUMIFS('Stok Hareketleri'!$G$5:$G$2000,'Stok Hareketleri'!$D$5:$D$2000,$A269,'Stok Hareketleri'!$F$5:$F$2000,"Giriş"))</f>
        <v/>
      </c>
      <c r="F269" s="5" t="str">
        <f>IF($A269="","",SUMIFS('Stok Hareketleri'!$G$5:$G$2000,'Stok Hareketleri'!$D$5:$D$2000,$A269,'Stok Hareketleri'!$F$5:$F$2000,"Çıkış"))</f>
        <v/>
      </c>
      <c r="G269" s="5" t="str">
        <f t="shared" si="8"/>
        <v/>
      </c>
      <c r="H269" s="5" t="str">
        <f>IF($A269="","",'Malzeme Tanımlama'!F269)</f>
        <v/>
      </c>
      <c r="I269" s="5" t="str">
        <f t="shared" si="9"/>
        <v/>
      </c>
    </row>
    <row r="270" spans="1:9" x14ac:dyDescent="0.3">
      <c r="A270" s="7" t="str">
        <f>IF('Malzeme Tanımlama'!A270="","",'Malzeme Tanımlama'!A270)</f>
        <v/>
      </c>
      <c r="B270" s="5" t="str">
        <f>IF($A270="","",'Malzeme Tanımlama'!B270)</f>
        <v/>
      </c>
      <c r="C270" s="5" t="str">
        <f>IF($A270="","",'Malzeme Tanımlama'!C270)</f>
        <v/>
      </c>
      <c r="D270" s="5" t="str">
        <f>IF($A270="","",'Malzeme Tanımlama'!D270)</f>
        <v/>
      </c>
      <c r="E270" s="5" t="str">
        <f>IF($A270="","",SUMIFS('Stok Hareketleri'!$G$5:$G$2000,'Stok Hareketleri'!$D$5:$D$2000,$A270,'Stok Hareketleri'!$F$5:$F$2000,"Giriş"))</f>
        <v/>
      </c>
      <c r="F270" s="5" t="str">
        <f>IF($A270="","",SUMIFS('Stok Hareketleri'!$G$5:$G$2000,'Stok Hareketleri'!$D$5:$D$2000,$A270,'Stok Hareketleri'!$F$5:$F$2000,"Çıkış"))</f>
        <v/>
      </c>
      <c r="G270" s="5" t="str">
        <f t="shared" si="8"/>
        <v/>
      </c>
      <c r="H270" s="5" t="str">
        <f>IF($A270="","",'Malzeme Tanımlama'!F270)</f>
        <v/>
      </c>
      <c r="I270" s="5" t="str">
        <f t="shared" si="9"/>
        <v/>
      </c>
    </row>
    <row r="271" spans="1:9" x14ac:dyDescent="0.3">
      <c r="A271" s="7" t="str">
        <f>IF('Malzeme Tanımlama'!A271="","",'Malzeme Tanımlama'!A271)</f>
        <v/>
      </c>
      <c r="B271" s="5" t="str">
        <f>IF($A271="","",'Malzeme Tanımlama'!B271)</f>
        <v/>
      </c>
      <c r="C271" s="5" t="str">
        <f>IF($A271="","",'Malzeme Tanımlama'!C271)</f>
        <v/>
      </c>
      <c r="D271" s="5" t="str">
        <f>IF($A271="","",'Malzeme Tanımlama'!D271)</f>
        <v/>
      </c>
      <c r="E271" s="5" t="str">
        <f>IF($A271="","",SUMIFS('Stok Hareketleri'!$G$5:$G$2000,'Stok Hareketleri'!$D$5:$D$2000,$A271,'Stok Hareketleri'!$F$5:$F$2000,"Giriş"))</f>
        <v/>
      </c>
      <c r="F271" s="5" t="str">
        <f>IF($A271="","",SUMIFS('Stok Hareketleri'!$G$5:$G$2000,'Stok Hareketleri'!$D$5:$D$2000,$A271,'Stok Hareketleri'!$F$5:$F$2000,"Çıkış"))</f>
        <v/>
      </c>
      <c r="G271" s="5" t="str">
        <f t="shared" si="8"/>
        <v/>
      </c>
      <c r="H271" s="5" t="str">
        <f>IF($A271="","",'Malzeme Tanımlama'!F271)</f>
        <v/>
      </c>
      <c r="I271" s="5" t="str">
        <f t="shared" si="9"/>
        <v/>
      </c>
    </row>
    <row r="272" spans="1:9" x14ac:dyDescent="0.3">
      <c r="A272" s="7" t="str">
        <f>IF('Malzeme Tanımlama'!A272="","",'Malzeme Tanımlama'!A272)</f>
        <v/>
      </c>
      <c r="B272" s="5" t="str">
        <f>IF($A272="","",'Malzeme Tanımlama'!B272)</f>
        <v/>
      </c>
      <c r="C272" s="5" t="str">
        <f>IF($A272="","",'Malzeme Tanımlama'!C272)</f>
        <v/>
      </c>
      <c r="D272" s="5" t="str">
        <f>IF($A272="","",'Malzeme Tanımlama'!D272)</f>
        <v/>
      </c>
      <c r="E272" s="5" t="str">
        <f>IF($A272="","",SUMIFS('Stok Hareketleri'!$G$5:$G$2000,'Stok Hareketleri'!$D$5:$D$2000,$A272,'Stok Hareketleri'!$F$5:$F$2000,"Giriş"))</f>
        <v/>
      </c>
      <c r="F272" s="5" t="str">
        <f>IF($A272="","",SUMIFS('Stok Hareketleri'!$G$5:$G$2000,'Stok Hareketleri'!$D$5:$D$2000,$A272,'Stok Hareketleri'!$F$5:$F$2000,"Çıkış"))</f>
        <v/>
      </c>
      <c r="G272" s="5" t="str">
        <f t="shared" si="8"/>
        <v/>
      </c>
      <c r="H272" s="5" t="str">
        <f>IF($A272="","",'Malzeme Tanımlama'!F272)</f>
        <v/>
      </c>
      <c r="I272" s="5" t="str">
        <f t="shared" si="9"/>
        <v/>
      </c>
    </row>
    <row r="273" spans="1:9" x14ac:dyDescent="0.3">
      <c r="A273" s="7" t="str">
        <f>IF('Malzeme Tanımlama'!A273="","",'Malzeme Tanımlama'!A273)</f>
        <v/>
      </c>
      <c r="B273" s="5" t="str">
        <f>IF($A273="","",'Malzeme Tanımlama'!B273)</f>
        <v/>
      </c>
      <c r="C273" s="5" t="str">
        <f>IF($A273="","",'Malzeme Tanımlama'!C273)</f>
        <v/>
      </c>
      <c r="D273" s="5" t="str">
        <f>IF($A273="","",'Malzeme Tanımlama'!D273)</f>
        <v/>
      </c>
      <c r="E273" s="5" t="str">
        <f>IF($A273="","",SUMIFS('Stok Hareketleri'!$G$5:$G$2000,'Stok Hareketleri'!$D$5:$D$2000,$A273,'Stok Hareketleri'!$F$5:$F$2000,"Giriş"))</f>
        <v/>
      </c>
      <c r="F273" s="5" t="str">
        <f>IF($A273="","",SUMIFS('Stok Hareketleri'!$G$5:$G$2000,'Stok Hareketleri'!$D$5:$D$2000,$A273,'Stok Hareketleri'!$F$5:$F$2000,"Çıkış"))</f>
        <v/>
      </c>
      <c r="G273" s="5" t="str">
        <f t="shared" si="8"/>
        <v/>
      </c>
      <c r="H273" s="5" t="str">
        <f>IF($A273="","",'Malzeme Tanımlama'!F273)</f>
        <v/>
      </c>
      <c r="I273" s="5" t="str">
        <f t="shared" si="9"/>
        <v/>
      </c>
    </row>
    <row r="274" spans="1:9" x14ac:dyDescent="0.3">
      <c r="A274" s="7" t="str">
        <f>IF('Malzeme Tanımlama'!A274="","",'Malzeme Tanımlama'!A274)</f>
        <v/>
      </c>
      <c r="B274" s="5" t="str">
        <f>IF($A274="","",'Malzeme Tanımlama'!B274)</f>
        <v/>
      </c>
      <c r="C274" s="5" t="str">
        <f>IF($A274="","",'Malzeme Tanımlama'!C274)</f>
        <v/>
      </c>
      <c r="D274" s="5" t="str">
        <f>IF($A274="","",'Malzeme Tanımlama'!D274)</f>
        <v/>
      </c>
      <c r="E274" s="5" t="str">
        <f>IF($A274="","",SUMIFS('Stok Hareketleri'!$G$5:$G$2000,'Stok Hareketleri'!$D$5:$D$2000,$A274,'Stok Hareketleri'!$F$5:$F$2000,"Giriş"))</f>
        <v/>
      </c>
      <c r="F274" s="5" t="str">
        <f>IF($A274="","",SUMIFS('Stok Hareketleri'!$G$5:$G$2000,'Stok Hareketleri'!$D$5:$D$2000,$A274,'Stok Hareketleri'!$F$5:$F$2000,"Çıkış"))</f>
        <v/>
      </c>
      <c r="G274" s="5" t="str">
        <f t="shared" si="8"/>
        <v/>
      </c>
      <c r="H274" s="5" t="str">
        <f>IF($A274="","",'Malzeme Tanımlama'!F274)</f>
        <v/>
      </c>
      <c r="I274" s="5" t="str">
        <f t="shared" si="9"/>
        <v/>
      </c>
    </row>
    <row r="275" spans="1:9" x14ac:dyDescent="0.3">
      <c r="A275" s="7" t="str">
        <f>IF('Malzeme Tanımlama'!A275="","",'Malzeme Tanımlama'!A275)</f>
        <v/>
      </c>
      <c r="B275" s="5" t="str">
        <f>IF($A275="","",'Malzeme Tanımlama'!B275)</f>
        <v/>
      </c>
      <c r="C275" s="5" t="str">
        <f>IF($A275="","",'Malzeme Tanımlama'!C275)</f>
        <v/>
      </c>
      <c r="D275" s="5" t="str">
        <f>IF($A275="","",'Malzeme Tanımlama'!D275)</f>
        <v/>
      </c>
      <c r="E275" s="5" t="str">
        <f>IF($A275="","",SUMIFS('Stok Hareketleri'!$G$5:$G$2000,'Stok Hareketleri'!$D$5:$D$2000,$A275,'Stok Hareketleri'!$F$5:$F$2000,"Giriş"))</f>
        <v/>
      </c>
      <c r="F275" s="5" t="str">
        <f>IF($A275="","",SUMIFS('Stok Hareketleri'!$G$5:$G$2000,'Stok Hareketleri'!$D$5:$D$2000,$A275,'Stok Hareketleri'!$F$5:$F$2000,"Çıkış"))</f>
        <v/>
      </c>
      <c r="G275" s="5" t="str">
        <f t="shared" si="8"/>
        <v/>
      </c>
      <c r="H275" s="5" t="str">
        <f>IF($A275="","",'Malzeme Tanımlama'!F275)</f>
        <v/>
      </c>
      <c r="I275" s="5" t="str">
        <f t="shared" si="9"/>
        <v/>
      </c>
    </row>
    <row r="276" spans="1:9" x14ac:dyDescent="0.3">
      <c r="A276" s="7" t="str">
        <f>IF('Malzeme Tanımlama'!A276="","",'Malzeme Tanımlama'!A276)</f>
        <v/>
      </c>
      <c r="B276" s="5" t="str">
        <f>IF($A276="","",'Malzeme Tanımlama'!B276)</f>
        <v/>
      </c>
      <c r="C276" s="5" t="str">
        <f>IF($A276="","",'Malzeme Tanımlama'!C276)</f>
        <v/>
      </c>
      <c r="D276" s="5" t="str">
        <f>IF($A276="","",'Malzeme Tanımlama'!D276)</f>
        <v/>
      </c>
      <c r="E276" s="5" t="str">
        <f>IF($A276="","",SUMIFS('Stok Hareketleri'!$G$5:$G$2000,'Stok Hareketleri'!$D$5:$D$2000,$A276,'Stok Hareketleri'!$F$5:$F$2000,"Giriş"))</f>
        <v/>
      </c>
      <c r="F276" s="5" t="str">
        <f>IF($A276="","",SUMIFS('Stok Hareketleri'!$G$5:$G$2000,'Stok Hareketleri'!$D$5:$D$2000,$A276,'Stok Hareketleri'!$F$5:$F$2000,"Çıkış"))</f>
        <v/>
      </c>
      <c r="G276" s="5" t="str">
        <f t="shared" si="8"/>
        <v/>
      </c>
      <c r="H276" s="5" t="str">
        <f>IF($A276="","",'Malzeme Tanımlama'!F276)</f>
        <v/>
      </c>
      <c r="I276" s="5" t="str">
        <f t="shared" si="9"/>
        <v/>
      </c>
    </row>
    <row r="277" spans="1:9" x14ac:dyDescent="0.3">
      <c r="A277" s="7" t="str">
        <f>IF('Malzeme Tanımlama'!A277="","",'Malzeme Tanımlama'!A277)</f>
        <v/>
      </c>
      <c r="B277" s="5" t="str">
        <f>IF($A277="","",'Malzeme Tanımlama'!B277)</f>
        <v/>
      </c>
      <c r="C277" s="5" t="str">
        <f>IF($A277="","",'Malzeme Tanımlama'!C277)</f>
        <v/>
      </c>
      <c r="D277" s="5" t="str">
        <f>IF($A277="","",'Malzeme Tanımlama'!D277)</f>
        <v/>
      </c>
      <c r="E277" s="5" t="str">
        <f>IF($A277="","",SUMIFS('Stok Hareketleri'!$G$5:$G$2000,'Stok Hareketleri'!$D$5:$D$2000,$A277,'Stok Hareketleri'!$F$5:$F$2000,"Giriş"))</f>
        <v/>
      </c>
      <c r="F277" s="5" t="str">
        <f>IF($A277="","",SUMIFS('Stok Hareketleri'!$G$5:$G$2000,'Stok Hareketleri'!$D$5:$D$2000,$A277,'Stok Hareketleri'!$F$5:$F$2000,"Çıkış"))</f>
        <v/>
      </c>
      <c r="G277" s="5" t="str">
        <f t="shared" si="8"/>
        <v/>
      </c>
      <c r="H277" s="5" t="str">
        <f>IF($A277="","",'Malzeme Tanımlama'!F277)</f>
        <v/>
      </c>
      <c r="I277" s="5" t="str">
        <f t="shared" si="9"/>
        <v/>
      </c>
    </row>
    <row r="278" spans="1:9" x14ac:dyDescent="0.3">
      <c r="A278" s="7" t="str">
        <f>IF('Malzeme Tanımlama'!A278="","",'Malzeme Tanımlama'!A278)</f>
        <v/>
      </c>
      <c r="B278" s="5" t="str">
        <f>IF($A278="","",'Malzeme Tanımlama'!B278)</f>
        <v/>
      </c>
      <c r="C278" s="5" t="str">
        <f>IF($A278="","",'Malzeme Tanımlama'!C278)</f>
        <v/>
      </c>
      <c r="D278" s="5" t="str">
        <f>IF($A278="","",'Malzeme Tanımlama'!D278)</f>
        <v/>
      </c>
      <c r="E278" s="5" t="str">
        <f>IF($A278="","",SUMIFS('Stok Hareketleri'!$G$5:$G$2000,'Stok Hareketleri'!$D$5:$D$2000,$A278,'Stok Hareketleri'!$F$5:$F$2000,"Giriş"))</f>
        <v/>
      </c>
      <c r="F278" s="5" t="str">
        <f>IF($A278="","",SUMIFS('Stok Hareketleri'!$G$5:$G$2000,'Stok Hareketleri'!$D$5:$D$2000,$A278,'Stok Hareketleri'!$F$5:$F$2000,"Çıkış"))</f>
        <v/>
      </c>
      <c r="G278" s="5" t="str">
        <f t="shared" si="8"/>
        <v/>
      </c>
      <c r="H278" s="5" t="str">
        <f>IF($A278="","",'Malzeme Tanımlama'!F278)</f>
        <v/>
      </c>
      <c r="I278" s="5" t="str">
        <f t="shared" si="9"/>
        <v/>
      </c>
    </row>
    <row r="279" spans="1:9" x14ac:dyDescent="0.3">
      <c r="A279" s="7" t="str">
        <f>IF('Malzeme Tanımlama'!A279="","",'Malzeme Tanımlama'!A279)</f>
        <v/>
      </c>
      <c r="B279" s="5" t="str">
        <f>IF($A279="","",'Malzeme Tanımlama'!B279)</f>
        <v/>
      </c>
      <c r="C279" s="5" t="str">
        <f>IF($A279="","",'Malzeme Tanımlama'!C279)</f>
        <v/>
      </c>
      <c r="D279" s="5" t="str">
        <f>IF($A279="","",'Malzeme Tanımlama'!D279)</f>
        <v/>
      </c>
      <c r="E279" s="5" t="str">
        <f>IF($A279="","",SUMIFS('Stok Hareketleri'!$G$5:$G$2000,'Stok Hareketleri'!$D$5:$D$2000,$A279,'Stok Hareketleri'!$F$5:$F$2000,"Giriş"))</f>
        <v/>
      </c>
      <c r="F279" s="5" t="str">
        <f>IF($A279="","",SUMIFS('Stok Hareketleri'!$G$5:$G$2000,'Stok Hareketleri'!$D$5:$D$2000,$A279,'Stok Hareketleri'!$F$5:$F$2000,"Çıkış"))</f>
        <v/>
      </c>
      <c r="G279" s="5" t="str">
        <f t="shared" si="8"/>
        <v/>
      </c>
      <c r="H279" s="5" t="str">
        <f>IF($A279="","",'Malzeme Tanımlama'!F279)</f>
        <v/>
      </c>
      <c r="I279" s="5" t="str">
        <f t="shared" si="9"/>
        <v/>
      </c>
    </row>
    <row r="280" spans="1:9" x14ac:dyDescent="0.3">
      <c r="A280" s="7" t="str">
        <f>IF('Malzeme Tanımlama'!A280="","",'Malzeme Tanımlama'!A280)</f>
        <v/>
      </c>
      <c r="B280" s="5" t="str">
        <f>IF($A280="","",'Malzeme Tanımlama'!B280)</f>
        <v/>
      </c>
      <c r="C280" s="5" t="str">
        <f>IF($A280="","",'Malzeme Tanımlama'!C280)</f>
        <v/>
      </c>
      <c r="D280" s="5" t="str">
        <f>IF($A280="","",'Malzeme Tanımlama'!D280)</f>
        <v/>
      </c>
      <c r="E280" s="5" t="str">
        <f>IF($A280="","",SUMIFS('Stok Hareketleri'!$G$5:$G$2000,'Stok Hareketleri'!$D$5:$D$2000,$A280,'Stok Hareketleri'!$F$5:$F$2000,"Giriş"))</f>
        <v/>
      </c>
      <c r="F280" s="5" t="str">
        <f>IF($A280="","",SUMIFS('Stok Hareketleri'!$G$5:$G$2000,'Stok Hareketleri'!$D$5:$D$2000,$A280,'Stok Hareketleri'!$F$5:$F$2000,"Çıkış"))</f>
        <v/>
      </c>
      <c r="G280" s="5" t="str">
        <f t="shared" si="8"/>
        <v/>
      </c>
      <c r="H280" s="5" t="str">
        <f>IF($A280="","",'Malzeme Tanımlama'!F280)</f>
        <v/>
      </c>
      <c r="I280" s="5" t="str">
        <f t="shared" si="9"/>
        <v/>
      </c>
    </row>
    <row r="281" spans="1:9" x14ac:dyDescent="0.3">
      <c r="A281" s="7" t="str">
        <f>IF('Malzeme Tanımlama'!A281="","",'Malzeme Tanımlama'!A281)</f>
        <v/>
      </c>
      <c r="B281" s="5" t="str">
        <f>IF($A281="","",'Malzeme Tanımlama'!B281)</f>
        <v/>
      </c>
      <c r="C281" s="5" t="str">
        <f>IF($A281="","",'Malzeme Tanımlama'!C281)</f>
        <v/>
      </c>
      <c r="D281" s="5" t="str">
        <f>IF($A281="","",'Malzeme Tanımlama'!D281)</f>
        <v/>
      </c>
      <c r="E281" s="5" t="str">
        <f>IF($A281="","",SUMIFS('Stok Hareketleri'!$G$5:$G$2000,'Stok Hareketleri'!$D$5:$D$2000,$A281,'Stok Hareketleri'!$F$5:$F$2000,"Giriş"))</f>
        <v/>
      </c>
      <c r="F281" s="5" t="str">
        <f>IF($A281="","",SUMIFS('Stok Hareketleri'!$G$5:$G$2000,'Stok Hareketleri'!$D$5:$D$2000,$A281,'Stok Hareketleri'!$F$5:$F$2000,"Çıkış"))</f>
        <v/>
      </c>
      <c r="G281" s="5" t="str">
        <f t="shared" si="8"/>
        <v/>
      </c>
      <c r="H281" s="5" t="str">
        <f>IF($A281="","",'Malzeme Tanımlama'!F281)</f>
        <v/>
      </c>
      <c r="I281" s="5" t="str">
        <f t="shared" si="9"/>
        <v/>
      </c>
    </row>
    <row r="282" spans="1:9" x14ac:dyDescent="0.3">
      <c r="A282" s="7" t="str">
        <f>IF('Malzeme Tanımlama'!A282="","",'Malzeme Tanımlama'!A282)</f>
        <v/>
      </c>
      <c r="B282" s="5" t="str">
        <f>IF($A282="","",'Malzeme Tanımlama'!B282)</f>
        <v/>
      </c>
      <c r="C282" s="5" t="str">
        <f>IF($A282="","",'Malzeme Tanımlama'!C282)</f>
        <v/>
      </c>
      <c r="D282" s="5" t="str">
        <f>IF($A282="","",'Malzeme Tanımlama'!D282)</f>
        <v/>
      </c>
      <c r="E282" s="5" t="str">
        <f>IF($A282="","",SUMIFS('Stok Hareketleri'!$G$5:$G$2000,'Stok Hareketleri'!$D$5:$D$2000,$A282,'Stok Hareketleri'!$F$5:$F$2000,"Giriş"))</f>
        <v/>
      </c>
      <c r="F282" s="5" t="str">
        <f>IF($A282="","",SUMIFS('Stok Hareketleri'!$G$5:$G$2000,'Stok Hareketleri'!$D$5:$D$2000,$A282,'Stok Hareketleri'!$F$5:$F$2000,"Çıkış"))</f>
        <v/>
      </c>
      <c r="G282" s="5" t="str">
        <f t="shared" si="8"/>
        <v/>
      </c>
      <c r="H282" s="5" t="str">
        <f>IF($A282="","",'Malzeme Tanımlama'!F282)</f>
        <v/>
      </c>
      <c r="I282" s="5" t="str">
        <f t="shared" si="9"/>
        <v/>
      </c>
    </row>
    <row r="283" spans="1:9" x14ac:dyDescent="0.3">
      <c r="A283" s="7" t="str">
        <f>IF('Malzeme Tanımlama'!A283="","",'Malzeme Tanımlama'!A283)</f>
        <v/>
      </c>
      <c r="B283" s="5" t="str">
        <f>IF($A283="","",'Malzeme Tanımlama'!B283)</f>
        <v/>
      </c>
      <c r="C283" s="5" t="str">
        <f>IF($A283="","",'Malzeme Tanımlama'!C283)</f>
        <v/>
      </c>
      <c r="D283" s="5" t="str">
        <f>IF($A283="","",'Malzeme Tanımlama'!D283)</f>
        <v/>
      </c>
      <c r="E283" s="5" t="str">
        <f>IF($A283="","",SUMIFS('Stok Hareketleri'!$G$5:$G$2000,'Stok Hareketleri'!$D$5:$D$2000,$A283,'Stok Hareketleri'!$F$5:$F$2000,"Giriş"))</f>
        <v/>
      </c>
      <c r="F283" s="5" t="str">
        <f>IF($A283="","",SUMIFS('Stok Hareketleri'!$G$5:$G$2000,'Stok Hareketleri'!$D$5:$D$2000,$A283,'Stok Hareketleri'!$F$5:$F$2000,"Çıkış"))</f>
        <v/>
      </c>
      <c r="G283" s="5" t="str">
        <f t="shared" si="8"/>
        <v/>
      </c>
      <c r="H283" s="5" t="str">
        <f>IF($A283="","",'Malzeme Tanımlama'!F283)</f>
        <v/>
      </c>
      <c r="I283" s="5" t="str">
        <f t="shared" si="9"/>
        <v/>
      </c>
    </row>
    <row r="284" spans="1:9" x14ac:dyDescent="0.3">
      <c r="A284" s="7" t="str">
        <f>IF('Malzeme Tanımlama'!A284="","",'Malzeme Tanımlama'!A284)</f>
        <v/>
      </c>
      <c r="B284" s="5" t="str">
        <f>IF($A284="","",'Malzeme Tanımlama'!B284)</f>
        <v/>
      </c>
      <c r="C284" s="5" t="str">
        <f>IF($A284="","",'Malzeme Tanımlama'!C284)</f>
        <v/>
      </c>
      <c r="D284" s="5" t="str">
        <f>IF($A284="","",'Malzeme Tanımlama'!D284)</f>
        <v/>
      </c>
      <c r="E284" s="5" t="str">
        <f>IF($A284="","",SUMIFS('Stok Hareketleri'!$G$5:$G$2000,'Stok Hareketleri'!$D$5:$D$2000,$A284,'Stok Hareketleri'!$F$5:$F$2000,"Giriş"))</f>
        <v/>
      </c>
      <c r="F284" s="5" t="str">
        <f>IF($A284="","",SUMIFS('Stok Hareketleri'!$G$5:$G$2000,'Stok Hareketleri'!$D$5:$D$2000,$A284,'Stok Hareketleri'!$F$5:$F$2000,"Çıkış"))</f>
        <v/>
      </c>
      <c r="G284" s="5" t="str">
        <f t="shared" si="8"/>
        <v/>
      </c>
      <c r="H284" s="5" t="str">
        <f>IF($A284="","",'Malzeme Tanımlama'!F284)</f>
        <v/>
      </c>
      <c r="I284" s="5" t="str">
        <f t="shared" si="9"/>
        <v/>
      </c>
    </row>
    <row r="285" spans="1:9" x14ac:dyDescent="0.3">
      <c r="A285" s="7" t="str">
        <f>IF('Malzeme Tanımlama'!A285="","",'Malzeme Tanımlama'!A285)</f>
        <v/>
      </c>
      <c r="B285" s="5" t="str">
        <f>IF($A285="","",'Malzeme Tanımlama'!B285)</f>
        <v/>
      </c>
      <c r="C285" s="5" t="str">
        <f>IF($A285="","",'Malzeme Tanımlama'!C285)</f>
        <v/>
      </c>
      <c r="D285" s="5" t="str">
        <f>IF($A285="","",'Malzeme Tanımlama'!D285)</f>
        <v/>
      </c>
      <c r="E285" s="5" t="str">
        <f>IF($A285="","",SUMIFS('Stok Hareketleri'!$G$5:$G$2000,'Stok Hareketleri'!$D$5:$D$2000,$A285,'Stok Hareketleri'!$F$5:$F$2000,"Giriş"))</f>
        <v/>
      </c>
      <c r="F285" s="5" t="str">
        <f>IF($A285="","",SUMIFS('Stok Hareketleri'!$G$5:$G$2000,'Stok Hareketleri'!$D$5:$D$2000,$A285,'Stok Hareketleri'!$F$5:$F$2000,"Çıkış"))</f>
        <v/>
      </c>
      <c r="G285" s="5" t="str">
        <f t="shared" si="8"/>
        <v/>
      </c>
      <c r="H285" s="5" t="str">
        <f>IF($A285="","",'Malzeme Tanımlama'!F285)</f>
        <v/>
      </c>
      <c r="I285" s="5" t="str">
        <f t="shared" si="9"/>
        <v/>
      </c>
    </row>
    <row r="286" spans="1:9" x14ac:dyDescent="0.3">
      <c r="A286" s="7" t="str">
        <f>IF('Malzeme Tanımlama'!A286="","",'Malzeme Tanımlama'!A286)</f>
        <v/>
      </c>
      <c r="B286" s="5" t="str">
        <f>IF($A286="","",'Malzeme Tanımlama'!B286)</f>
        <v/>
      </c>
      <c r="C286" s="5" t="str">
        <f>IF($A286="","",'Malzeme Tanımlama'!C286)</f>
        <v/>
      </c>
      <c r="D286" s="5" t="str">
        <f>IF($A286="","",'Malzeme Tanımlama'!D286)</f>
        <v/>
      </c>
      <c r="E286" s="5" t="str">
        <f>IF($A286="","",SUMIFS('Stok Hareketleri'!$G$5:$G$2000,'Stok Hareketleri'!$D$5:$D$2000,$A286,'Stok Hareketleri'!$F$5:$F$2000,"Giriş"))</f>
        <v/>
      </c>
      <c r="F286" s="5" t="str">
        <f>IF($A286="","",SUMIFS('Stok Hareketleri'!$G$5:$G$2000,'Stok Hareketleri'!$D$5:$D$2000,$A286,'Stok Hareketleri'!$F$5:$F$2000,"Çıkış"))</f>
        <v/>
      </c>
      <c r="G286" s="5" t="str">
        <f t="shared" si="8"/>
        <v/>
      </c>
      <c r="H286" s="5" t="str">
        <f>IF($A286="","",'Malzeme Tanımlama'!F286)</f>
        <v/>
      </c>
      <c r="I286" s="5" t="str">
        <f t="shared" si="9"/>
        <v/>
      </c>
    </row>
    <row r="287" spans="1:9" x14ac:dyDescent="0.3">
      <c r="A287" s="7" t="str">
        <f>IF('Malzeme Tanımlama'!A287="","",'Malzeme Tanımlama'!A287)</f>
        <v/>
      </c>
      <c r="B287" s="5" t="str">
        <f>IF($A287="","",'Malzeme Tanımlama'!B287)</f>
        <v/>
      </c>
      <c r="C287" s="5" t="str">
        <f>IF($A287="","",'Malzeme Tanımlama'!C287)</f>
        <v/>
      </c>
      <c r="D287" s="5" t="str">
        <f>IF($A287="","",'Malzeme Tanımlama'!D287)</f>
        <v/>
      </c>
      <c r="E287" s="5" t="str">
        <f>IF($A287="","",SUMIFS('Stok Hareketleri'!$G$5:$G$2000,'Stok Hareketleri'!$D$5:$D$2000,$A287,'Stok Hareketleri'!$F$5:$F$2000,"Giriş"))</f>
        <v/>
      </c>
      <c r="F287" s="5" t="str">
        <f>IF($A287="","",SUMIFS('Stok Hareketleri'!$G$5:$G$2000,'Stok Hareketleri'!$D$5:$D$2000,$A287,'Stok Hareketleri'!$F$5:$F$2000,"Çıkış"))</f>
        <v/>
      </c>
      <c r="G287" s="5" t="str">
        <f t="shared" si="8"/>
        <v/>
      </c>
      <c r="H287" s="5" t="str">
        <f>IF($A287="","",'Malzeme Tanımlama'!F287)</f>
        <v/>
      </c>
      <c r="I287" s="5" t="str">
        <f t="shared" si="9"/>
        <v/>
      </c>
    </row>
    <row r="288" spans="1:9" x14ac:dyDescent="0.3">
      <c r="A288" s="7" t="str">
        <f>IF('Malzeme Tanımlama'!A288="","",'Malzeme Tanımlama'!A288)</f>
        <v/>
      </c>
      <c r="B288" s="5" t="str">
        <f>IF($A288="","",'Malzeme Tanımlama'!B288)</f>
        <v/>
      </c>
      <c r="C288" s="5" t="str">
        <f>IF($A288="","",'Malzeme Tanımlama'!C288)</f>
        <v/>
      </c>
      <c r="D288" s="5" t="str">
        <f>IF($A288="","",'Malzeme Tanımlama'!D288)</f>
        <v/>
      </c>
      <c r="E288" s="5" t="str">
        <f>IF($A288="","",SUMIFS('Stok Hareketleri'!$G$5:$G$2000,'Stok Hareketleri'!$D$5:$D$2000,$A288,'Stok Hareketleri'!$F$5:$F$2000,"Giriş"))</f>
        <v/>
      </c>
      <c r="F288" s="5" t="str">
        <f>IF($A288="","",SUMIFS('Stok Hareketleri'!$G$5:$G$2000,'Stok Hareketleri'!$D$5:$D$2000,$A288,'Stok Hareketleri'!$F$5:$F$2000,"Çıkış"))</f>
        <v/>
      </c>
      <c r="G288" s="5" t="str">
        <f t="shared" si="8"/>
        <v/>
      </c>
      <c r="H288" s="5" t="str">
        <f>IF($A288="","",'Malzeme Tanımlama'!F288)</f>
        <v/>
      </c>
      <c r="I288" s="5" t="str">
        <f t="shared" si="9"/>
        <v/>
      </c>
    </row>
    <row r="289" spans="1:9" x14ac:dyDescent="0.3">
      <c r="A289" s="7" t="str">
        <f>IF('Malzeme Tanımlama'!A289="","",'Malzeme Tanımlama'!A289)</f>
        <v/>
      </c>
      <c r="B289" s="5" t="str">
        <f>IF($A289="","",'Malzeme Tanımlama'!B289)</f>
        <v/>
      </c>
      <c r="C289" s="5" t="str">
        <f>IF($A289="","",'Malzeme Tanımlama'!C289)</f>
        <v/>
      </c>
      <c r="D289" s="5" t="str">
        <f>IF($A289="","",'Malzeme Tanımlama'!D289)</f>
        <v/>
      </c>
      <c r="E289" s="5" t="str">
        <f>IF($A289="","",SUMIFS('Stok Hareketleri'!$G$5:$G$2000,'Stok Hareketleri'!$D$5:$D$2000,$A289,'Stok Hareketleri'!$F$5:$F$2000,"Giriş"))</f>
        <v/>
      </c>
      <c r="F289" s="5" t="str">
        <f>IF($A289="","",SUMIFS('Stok Hareketleri'!$G$5:$G$2000,'Stok Hareketleri'!$D$5:$D$2000,$A289,'Stok Hareketleri'!$F$5:$F$2000,"Çıkış"))</f>
        <v/>
      </c>
      <c r="G289" s="5" t="str">
        <f t="shared" si="8"/>
        <v/>
      </c>
      <c r="H289" s="5" t="str">
        <f>IF($A289="","",'Malzeme Tanımlama'!F289)</f>
        <v/>
      </c>
      <c r="I289" s="5" t="str">
        <f t="shared" si="9"/>
        <v/>
      </c>
    </row>
    <row r="290" spans="1:9" x14ac:dyDescent="0.3">
      <c r="A290" s="7" t="str">
        <f>IF('Malzeme Tanımlama'!A290="","",'Malzeme Tanımlama'!A290)</f>
        <v/>
      </c>
      <c r="B290" s="5" t="str">
        <f>IF($A290="","",'Malzeme Tanımlama'!B290)</f>
        <v/>
      </c>
      <c r="C290" s="5" t="str">
        <f>IF($A290="","",'Malzeme Tanımlama'!C290)</f>
        <v/>
      </c>
      <c r="D290" s="5" t="str">
        <f>IF($A290="","",'Malzeme Tanımlama'!D290)</f>
        <v/>
      </c>
      <c r="E290" s="5" t="str">
        <f>IF($A290="","",SUMIFS('Stok Hareketleri'!$G$5:$G$2000,'Stok Hareketleri'!$D$5:$D$2000,$A290,'Stok Hareketleri'!$F$5:$F$2000,"Giriş"))</f>
        <v/>
      </c>
      <c r="F290" s="5" t="str">
        <f>IF($A290="","",SUMIFS('Stok Hareketleri'!$G$5:$G$2000,'Stok Hareketleri'!$D$5:$D$2000,$A290,'Stok Hareketleri'!$F$5:$F$2000,"Çıkış"))</f>
        <v/>
      </c>
      <c r="G290" s="5" t="str">
        <f t="shared" si="8"/>
        <v/>
      </c>
      <c r="H290" s="5" t="str">
        <f>IF($A290="","",'Malzeme Tanımlama'!F290)</f>
        <v/>
      </c>
      <c r="I290" s="5" t="str">
        <f t="shared" si="9"/>
        <v/>
      </c>
    </row>
    <row r="291" spans="1:9" x14ac:dyDescent="0.3">
      <c r="A291" s="7" t="str">
        <f>IF('Malzeme Tanımlama'!A291="","",'Malzeme Tanımlama'!A291)</f>
        <v/>
      </c>
      <c r="B291" s="5" t="str">
        <f>IF($A291="","",'Malzeme Tanımlama'!B291)</f>
        <v/>
      </c>
      <c r="C291" s="5" t="str">
        <f>IF($A291="","",'Malzeme Tanımlama'!C291)</f>
        <v/>
      </c>
      <c r="D291" s="5" t="str">
        <f>IF($A291="","",'Malzeme Tanımlama'!D291)</f>
        <v/>
      </c>
      <c r="E291" s="5" t="str">
        <f>IF($A291="","",SUMIFS('Stok Hareketleri'!$G$5:$G$2000,'Stok Hareketleri'!$D$5:$D$2000,$A291,'Stok Hareketleri'!$F$5:$F$2000,"Giriş"))</f>
        <v/>
      </c>
      <c r="F291" s="5" t="str">
        <f>IF($A291="","",SUMIFS('Stok Hareketleri'!$G$5:$G$2000,'Stok Hareketleri'!$D$5:$D$2000,$A291,'Stok Hareketleri'!$F$5:$F$2000,"Çıkış"))</f>
        <v/>
      </c>
      <c r="G291" s="5" t="str">
        <f t="shared" si="8"/>
        <v/>
      </c>
      <c r="H291" s="5" t="str">
        <f>IF($A291="","",'Malzeme Tanımlama'!F291)</f>
        <v/>
      </c>
      <c r="I291" s="5" t="str">
        <f t="shared" si="9"/>
        <v/>
      </c>
    </row>
    <row r="292" spans="1:9" x14ac:dyDescent="0.3">
      <c r="A292" s="7" t="str">
        <f>IF('Malzeme Tanımlama'!A292="","",'Malzeme Tanımlama'!A292)</f>
        <v/>
      </c>
      <c r="B292" s="5" t="str">
        <f>IF($A292="","",'Malzeme Tanımlama'!B292)</f>
        <v/>
      </c>
      <c r="C292" s="5" t="str">
        <f>IF($A292="","",'Malzeme Tanımlama'!C292)</f>
        <v/>
      </c>
      <c r="D292" s="5" t="str">
        <f>IF($A292="","",'Malzeme Tanımlama'!D292)</f>
        <v/>
      </c>
      <c r="E292" s="5" t="str">
        <f>IF($A292="","",SUMIFS('Stok Hareketleri'!$G$5:$G$2000,'Stok Hareketleri'!$D$5:$D$2000,$A292,'Stok Hareketleri'!$F$5:$F$2000,"Giriş"))</f>
        <v/>
      </c>
      <c r="F292" s="5" t="str">
        <f>IF($A292="","",SUMIFS('Stok Hareketleri'!$G$5:$G$2000,'Stok Hareketleri'!$D$5:$D$2000,$A292,'Stok Hareketleri'!$F$5:$F$2000,"Çıkış"))</f>
        <v/>
      </c>
      <c r="G292" s="5" t="str">
        <f t="shared" si="8"/>
        <v/>
      </c>
      <c r="H292" s="5" t="str">
        <f>IF($A292="","",'Malzeme Tanımlama'!F292)</f>
        <v/>
      </c>
      <c r="I292" s="5" t="str">
        <f t="shared" si="9"/>
        <v/>
      </c>
    </row>
    <row r="293" spans="1:9" x14ac:dyDescent="0.3">
      <c r="A293" s="7" t="str">
        <f>IF('Malzeme Tanımlama'!A293="","",'Malzeme Tanımlama'!A293)</f>
        <v/>
      </c>
      <c r="B293" s="5" t="str">
        <f>IF($A293="","",'Malzeme Tanımlama'!B293)</f>
        <v/>
      </c>
      <c r="C293" s="5" t="str">
        <f>IF($A293="","",'Malzeme Tanımlama'!C293)</f>
        <v/>
      </c>
      <c r="D293" s="5" t="str">
        <f>IF($A293="","",'Malzeme Tanımlama'!D293)</f>
        <v/>
      </c>
      <c r="E293" s="5" t="str">
        <f>IF($A293="","",SUMIFS('Stok Hareketleri'!$G$5:$G$2000,'Stok Hareketleri'!$D$5:$D$2000,$A293,'Stok Hareketleri'!$F$5:$F$2000,"Giriş"))</f>
        <v/>
      </c>
      <c r="F293" s="5" t="str">
        <f>IF($A293="","",SUMIFS('Stok Hareketleri'!$G$5:$G$2000,'Stok Hareketleri'!$D$5:$D$2000,$A293,'Stok Hareketleri'!$F$5:$F$2000,"Çıkış"))</f>
        <v/>
      </c>
      <c r="G293" s="5" t="str">
        <f t="shared" si="8"/>
        <v/>
      </c>
      <c r="H293" s="5" t="str">
        <f>IF($A293="","",'Malzeme Tanımlama'!F293)</f>
        <v/>
      </c>
      <c r="I293" s="5" t="str">
        <f t="shared" si="9"/>
        <v/>
      </c>
    </row>
    <row r="294" spans="1:9" x14ac:dyDescent="0.3">
      <c r="A294" s="7" t="str">
        <f>IF('Malzeme Tanımlama'!A294="","",'Malzeme Tanımlama'!A294)</f>
        <v/>
      </c>
      <c r="B294" s="5" t="str">
        <f>IF($A294="","",'Malzeme Tanımlama'!B294)</f>
        <v/>
      </c>
      <c r="C294" s="5" t="str">
        <f>IF($A294="","",'Malzeme Tanımlama'!C294)</f>
        <v/>
      </c>
      <c r="D294" s="5" t="str">
        <f>IF($A294="","",'Malzeme Tanımlama'!D294)</f>
        <v/>
      </c>
      <c r="E294" s="5" t="str">
        <f>IF($A294="","",SUMIFS('Stok Hareketleri'!$G$5:$G$2000,'Stok Hareketleri'!$D$5:$D$2000,$A294,'Stok Hareketleri'!$F$5:$F$2000,"Giriş"))</f>
        <v/>
      </c>
      <c r="F294" s="5" t="str">
        <f>IF($A294="","",SUMIFS('Stok Hareketleri'!$G$5:$G$2000,'Stok Hareketleri'!$D$5:$D$2000,$A294,'Stok Hareketleri'!$F$5:$F$2000,"Çıkış"))</f>
        <v/>
      </c>
      <c r="G294" s="5" t="str">
        <f t="shared" si="8"/>
        <v/>
      </c>
      <c r="H294" s="5" t="str">
        <f>IF($A294="","",'Malzeme Tanımlama'!F294)</f>
        <v/>
      </c>
      <c r="I294" s="5" t="str">
        <f t="shared" si="9"/>
        <v/>
      </c>
    </row>
    <row r="295" spans="1:9" x14ac:dyDescent="0.3">
      <c r="A295" s="7" t="str">
        <f>IF('Malzeme Tanımlama'!A295="","",'Malzeme Tanımlama'!A295)</f>
        <v/>
      </c>
      <c r="B295" s="5" t="str">
        <f>IF($A295="","",'Malzeme Tanımlama'!B295)</f>
        <v/>
      </c>
      <c r="C295" s="5" t="str">
        <f>IF($A295="","",'Malzeme Tanımlama'!C295)</f>
        <v/>
      </c>
      <c r="D295" s="5" t="str">
        <f>IF($A295="","",'Malzeme Tanımlama'!D295)</f>
        <v/>
      </c>
      <c r="E295" s="5" t="str">
        <f>IF($A295="","",SUMIFS('Stok Hareketleri'!$G$5:$G$2000,'Stok Hareketleri'!$D$5:$D$2000,$A295,'Stok Hareketleri'!$F$5:$F$2000,"Giriş"))</f>
        <v/>
      </c>
      <c r="F295" s="5" t="str">
        <f>IF($A295="","",SUMIFS('Stok Hareketleri'!$G$5:$G$2000,'Stok Hareketleri'!$D$5:$D$2000,$A295,'Stok Hareketleri'!$F$5:$F$2000,"Çıkış"))</f>
        <v/>
      </c>
      <c r="G295" s="5" t="str">
        <f t="shared" si="8"/>
        <v/>
      </c>
      <c r="H295" s="5" t="str">
        <f>IF($A295="","",'Malzeme Tanımlama'!F295)</f>
        <v/>
      </c>
      <c r="I295" s="5" t="str">
        <f t="shared" si="9"/>
        <v/>
      </c>
    </row>
    <row r="296" spans="1:9" x14ac:dyDescent="0.3">
      <c r="A296" s="7" t="str">
        <f>IF('Malzeme Tanımlama'!A296="","",'Malzeme Tanımlama'!A296)</f>
        <v/>
      </c>
      <c r="B296" s="5" t="str">
        <f>IF($A296="","",'Malzeme Tanımlama'!B296)</f>
        <v/>
      </c>
      <c r="C296" s="5" t="str">
        <f>IF($A296="","",'Malzeme Tanımlama'!C296)</f>
        <v/>
      </c>
      <c r="D296" s="5" t="str">
        <f>IF($A296="","",'Malzeme Tanımlama'!D296)</f>
        <v/>
      </c>
      <c r="E296" s="5" t="str">
        <f>IF($A296="","",SUMIFS('Stok Hareketleri'!$G$5:$G$2000,'Stok Hareketleri'!$D$5:$D$2000,$A296,'Stok Hareketleri'!$F$5:$F$2000,"Giriş"))</f>
        <v/>
      </c>
      <c r="F296" s="5" t="str">
        <f>IF($A296="","",SUMIFS('Stok Hareketleri'!$G$5:$G$2000,'Stok Hareketleri'!$D$5:$D$2000,$A296,'Stok Hareketleri'!$F$5:$F$2000,"Çıkış"))</f>
        <v/>
      </c>
      <c r="G296" s="5" t="str">
        <f t="shared" si="8"/>
        <v/>
      </c>
      <c r="H296" s="5" t="str">
        <f>IF($A296="","",'Malzeme Tanımlama'!F296)</f>
        <v/>
      </c>
      <c r="I296" s="5" t="str">
        <f t="shared" si="9"/>
        <v/>
      </c>
    </row>
    <row r="297" spans="1:9" x14ac:dyDescent="0.3">
      <c r="A297" s="7" t="str">
        <f>IF('Malzeme Tanımlama'!A297="","",'Malzeme Tanımlama'!A297)</f>
        <v/>
      </c>
      <c r="B297" s="5" t="str">
        <f>IF($A297="","",'Malzeme Tanımlama'!B297)</f>
        <v/>
      </c>
      <c r="C297" s="5" t="str">
        <f>IF($A297="","",'Malzeme Tanımlama'!C297)</f>
        <v/>
      </c>
      <c r="D297" s="5" t="str">
        <f>IF($A297="","",'Malzeme Tanımlama'!D297)</f>
        <v/>
      </c>
      <c r="E297" s="5" t="str">
        <f>IF($A297="","",SUMIFS('Stok Hareketleri'!$G$5:$G$2000,'Stok Hareketleri'!$D$5:$D$2000,$A297,'Stok Hareketleri'!$F$5:$F$2000,"Giriş"))</f>
        <v/>
      </c>
      <c r="F297" s="5" t="str">
        <f>IF($A297="","",SUMIFS('Stok Hareketleri'!$G$5:$G$2000,'Stok Hareketleri'!$D$5:$D$2000,$A297,'Stok Hareketleri'!$F$5:$F$2000,"Çıkış"))</f>
        <v/>
      </c>
      <c r="G297" s="5" t="str">
        <f t="shared" si="8"/>
        <v/>
      </c>
      <c r="H297" s="5" t="str">
        <f>IF($A297="","",'Malzeme Tanımlama'!F297)</f>
        <v/>
      </c>
      <c r="I297" s="5" t="str">
        <f t="shared" si="9"/>
        <v/>
      </c>
    </row>
    <row r="298" spans="1:9" x14ac:dyDescent="0.3">
      <c r="A298" s="7" t="str">
        <f>IF('Malzeme Tanımlama'!A298="","",'Malzeme Tanımlama'!A298)</f>
        <v/>
      </c>
      <c r="B298" s="5" t="str">
        <f>IF($A298="","",'Malzeme Tanımlama'!B298)</f>
        <v/>
      </c>
      <c r="C298" s="5" t="str">
        <f>IF($A298="","",'Malzeme Tanımlama'!C298)</f>
        <v/>
      </c>
      <c r="D298" s="5" t="str">
        <f>IF($A298="","",'Malzeme Tanımlama'!D298)</f>
        <v/>
      </c>
      <c r="E298" s="5" t="str">
        <f>IF($A298="","",SUMIFS('Stok Hareketleri'!$G$5:$G$2000,'Stok Hareketleri'!$D$5:$D$2000,$A298,'Stok Hareketleri'!$F$5:$F$2000,"Giriş"))</f>
        <v/>
      </c>
      <c r="F298" s="5" t="str">
        <f>IF($A298="","",SUMIFS('Stok Hareketleri'!$G$5:$G$2000,'Stok Hareketleri'!$D$5:$D$2000,$A298,'Stok Hareketleri'!$F$5:$F$2000,"Çıkış"))</f>
        <v/>
      </c>
      <c r="G298" s="5" t="str">
        <f t="shared" si="8"/>
        <v/>
      </c>
      <c r="H298" s="5" t="str">
        <f>IF($A298="","",'Malzeme Tanımlama'!F298)</f>
        <v/>
      </c>
      <c r="I298" s="5" t="str">
        <f t="shared" si="9"/>
        <v/>
      </c>
    </row>
    <row r="299" spans="1:9" x14ac:dyDescent="0.3">
      <c r="A299" s="7" t="str">
        <f>IF('Malzeme Tanımlama'!A299="","",'Malzeme Tanımlama'!A299)</f>
        <v/>
      </c>
      <c r="B299" s="5" t="str">
        <f>IF($A299="","",'Malzeme Tanımlama'!B299)</f>
        <v/>
      </c>
      <c r="C299" s="5" t="str">
        <f>IF($A299="","",'Malzeme Tanımlama'!C299)</f>
        <v/>
      </c>
      <c r="D299" s="5" t="str">
        <f>IF($A299="","",'Malzeme Tanımlama'!D299)</f>
        <v/>
      </c>
      <c r="E299" s="5" t="str">
        <f>IF($A299="","",SUMIFS('Stok Hareketleri'!$G$5:$G$2000,'Stok Hareketleri'!$D$5:$D$2000,$A299,'Stok Hareketleri'!$F$5:$F$2000,"Giriş"))</f>
        <v/>
      </c>
      <c r="F299" s="5" t="str">
        <f>IF($A299="","",SUMIFS('Stok Hareketleri'!$G$5:$G$2000,'Stok Hareketleri'!$D$5:$D$2000,$A299,'Stok Hareketleri'!$F$5:$F$2000,"Çıkış"))</f>
        <v/>
      </c>
      <c r="G299" s="5" t="str">
        <f t="shared" si="8"/>
        <v/>
      </c>
      <c r="H299" s="5" t="str">
        <f>IF($A299="","",'Malzeme Tanımlama'!F299)</f>
        <v/>
      </c>
      <c r="I299" s="5" t="str">
        <f t="shared" si="9"/>
        <v/>
      </c>
    </row>
    <row r="300" spans="1:9" x14ac:dyDescent="0.3">
      <c r="A300" s="7" t="str">
        <f>IF('Malzeme Tanımlama'!A300="","",'Malzeme Tanımlama'!A300)</f>
        <v/>
      </c>
      <c r="B300" s="5" t="str">
        <f>IF($A300="","",'Malzeme Tanımlama'!B300)</f>
        <v/>
      </c>
      <c r="C300" s="5" t="str">
        <f>IF($A300="","",'Malzeme Tanımlama'!C300)</f>
        <v/>
      </c>
      <c r="D300" s="5" t="str">
        <f>IF($A300="","",'Malzeme Tanımlama'!D300)</f>
        <v/>
      </c>
      <c r="E300" s="5" t="str">
        <f>IF($A300="","",SUMIFS('Stok Hareketleri'!$G$5:$G$2000,'Stok Hareketleri'!$D$5:$D$2000,$A300,'Stok Hareketleri'!$F$5:$F$2000,"Giriş"))</f>
        <v/>
      </c>
      <c r="F300" s="5" t="str">
        <f>IF($A300="","",SUMIFS('Stok Hareketleri'!$G$5:$G$2000,'Stok Hareketleri'!$D$5:$D$2000,$A300,'Stok Hareketleri'!$F$5:$F$2000,"Çıkış"))</f>
        <v/>
      </c>
      <c r="G300" s="5" t="str">
        <f t="shared" si="8"/>
        <v/>
      </c>
      <c r="H300" s="5" t="str">
        <f>IF($A300="","",'Malzeme Tanımlama'!F300)</f>
        <v/>
      </c>
      <c r="I300" s="5" t="str">
        <f t="shared" si="9"/>
        <v/>
      </c>
    </row>
    <row r="303" spans="1:9" x14ac:dyDescent="0.3">
      <c r="A303" s="4" t="s">
        <v>37</v>
      </c>
    </row>
  </sheetData>
  <mergeCells count="2">
    <mergeCell ref="A1:I1"/>
    <mergeCell ref="A2:I2"/>
  </mergeCells>
  <conditionalFormatting sqref="I5:I300">
    <cfRule type="cellIs" dxfId="2" priority="2" operator="equal">
      <formula>"KRİTİK"</formula>
    </cfRule>
    <cfRule type="cellIs" dxfId="1" priority="3" operator="equal">
      <formula>"DİKKAT"</formula>
    </cfRule>
    <cfRule type="cellIs" dxfId="0" priority="4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9000"/>
    <pageSetUpPr fitToPage="1"/>
  </sheetPr>
  <dimension ref="A1:G311"/>
  <sheetViews>
    <sheetView showGridLines="0" tabSelected="1" zoomScaleNormal="100" workbookViewId="0">
      <pane ySplit="6" topLeftCell="A7" activePane="bottomLeft" state="frozen"/>
      <selection pane="bottomLeft" activeCell="B4" sqref="B4"/>
    </sheetView>
  </sheetViews>
  <sheetFormatPr defaultColWidth="8.6640625" defaultRowHeight="14.4" x14ac:dyDescent="0.3"/>
  <cols>
    <col min="1" max="1" width="14" customWidth="1"/>
    <col min="2" max="2" width="30" customWidth="1"/>
    <col min="3" max="3" width="10" customWidth="1"/>
    <col min="4" max="6" width="14" customWidth="1"/>
    <col min="7" max="7" width="16" customWidth="1"/>
  </cols>
  <sheetData>
    <row r="1" spans="1:7" ht="27.75" customHeight="1" x14ac:dyDescent="0.3">
      <c r="A1" s="14" t="s">
        <v>38</v>
      </c>
      <c r="B1" s="14"/>
      <c r="C1" s="14"/>
      <c r="D1" s="14"/>
      <c r="E1" s="14"/>
      <c r="F1" s="14"/>
      <c r="G1" s="14"/>
    </row>
    <row r="4" spans="1:7" x14ac:dyDescent="0.3">
      <c r="A4" s="8" t="s">
        <v>39</v>
      </c>
      <c r="B4" s="2" t="s">
        <v>40</v>
      </c>
      <c r="D4" s="8" t="s">
        <v>41</v>
      </c>
      <c r="E4" s="2" t="s">
        <v>42</v>
      </c>
    </row>
    <row r="6" spans="1:7" ht="21.75" customHeight="1" x14ac:dyDescent="0.3">
      <c r="A6" s="1" t="s">
        <v>2</v>
      </c>
      <c r="B6" s="1" t="s">
        <v>3</v>
      </c>
      <c r="C6" s="1" t="s">
        <v>5</v>
      </c>
      <c r="D6" s="1" t="s">
        <v>43</v>
      </c>
      <c r="E6" s="1" t="s">
        <v>44</v>
      </c>
      <c r="F6" s="1" t="s">
        <v>45</v>
      </c>
      <c r="G6" s="1" t="s">
        <v>46</v>
      </c>
    </row>
    <row r="7" spans="1:7" x14ac:dyDescent="0.3">
      <c r="A7" s="5" t="str">
        <f>IF('Malzeme Tanımlama'!A5="","",IF('Malzeme Tanımlama'!C5=$B$4,'Malzeme Tanımlama'!A5,""))</f>
        <v/>
      </c>
      <c r="B7" s="5" t="str">
        <f>IF($A7="","",'Malzeme Tanımlama'!B5)</f>
        <v/>
      </c>
      <c r="C7" s="5" t="str">
        <f>IF($A7="","",'Malzeme Tanımlama'!D5)</f>
        <v/>
      </c>
      <c r="D7" s="5" t="str">
        <f>IF($A7="","",SUMIFS('Stok Hareketleri'!$G$5:$G$2000,'Stok Hareketleri'!$D$5:$D$2000,$A7,'Stok Hareketleri'!$F$5:$F$2000,"Giriş",'Stok Hareketleri'!$C$5:$C$2000,$E$4))</f>
        <v/>
      </c>
      <c r="E7" s="5" t="str">
        <f>IF($A7="","",SUMIFS('Stok Hareketleri'!$G$5:$G$2000,'Stok Hareketleri'!$D$5:$D$2000,$A7,'Stok Hareketleri'!$F$5:$F$2000,"Çıkış",'Stok Hareketleri'!$C$5:$C$2000,$E$4))</f>
        <v/>
      </c>
      <c r="F7" s="5" t="str">
        <f t="shared" ref="F7:F70" si="0">IF($A7="","",$D7-$E7)</f>
        <v/>
      </c>
      <c r="G7" s="5" t="str">
        <f>IF($A7="","",IFERROR(INDEX('Stok Durumu'!$G$5:$G$300,MATCH($A7,'Stok Durumu'!$A$5:$A$300,0)),""))</f>
        <v/>
      </c>
    </row>
    <row r="8" spans="1:7" x14ac:dyDescent="0.3">
      <c r="A8" s="5" t="str">
        <f>IF('Malzeme Tanımlama'!A6="","",IF('Malzeme Tanımlama'!C6=$B$4,'Malzeme Tanımlama'!A6,""))</f>
        <v/>
      </c>
      <c r="B8" s="5" t="str">
        <f>IF($A8="","",'Malzeme Tanımlama'!B6)</f>
        <v/>
      </c>
      <c r="C8" s="5" t="str">
        <f>IF($A8="","",'Malzeme Tanımlama'!D6)</f>
        <v/>
      </c>
      <c r="D8" s="5" t="str">
        <f>IF($A8="","",SUMIFS('Stok Hareketleri'!$G$5:$G$2000,'Stok Hareketleri'!$D$5:$D$2000,$A8,'Stok Hareketleri'!$F$5:$F$2000,"Giriş",'Stok Hareketleri'!$C$5:$C$2000,$E$4))</f>
        <v/>
      </c>
      <c r="E8" s="5" t="str">
        <f>IF($A8="","",SUMIFS('Stok Hareketleri'!$G$5:$G$2000,'Stok Hareketleri'!$D$5:$D$2000,$A8,'Stok Hareketleri'!$F$5:$F$2000,"Çıkış",'Stok Hareketleri'!$C$5:$C$2000,$E$4))</f>
        <v/>
      </c>
      <c r="F8" s="5" t="str">
        <f t="shared" si="0"/>
        <v/>
      </c>
      <c r="G8" s="5" t="str">
        <f>IF($A8="","",IFERROR(INDEX('Stok Durumu'!$G$5:$G$300,MATCH($A8,'Stok Durumu'!$A$5:$A$300,0)),""))</f>
        <v/>
      </c>
    </row>
    <row r="9" spans="1:7" x14ac:dyDescent="0.3">
      <c r="A9" s="5" t="str">
        <f>IF('Malzeme Tanımlama'!A7="","",IF('Malzeme Tanımlama'!C7=$B$4,'Malzeme Tanımlama'!A7,""))</f>
        <v/>
      </c>
      <c r="B9" s="5" t="str">
        <f>IF($A9="","",'Malzeme Tanımlama'!B7)</f>
        <v/>
      </c>
      <c r="C9" s="5" t="str">
        <f>IF($A9="","",'Malzeme Tanımlama'!D7)</f>
        <v/>
      </c>
      <c r="D9" s="5" t="str">
        <f>IF($A9="","",SUMIFS('Stok Hareketleri'!$G$5:$G$2000,'Stok Hareketleri'!$D$5:$D$2000,$A9,'Stok Hareketleri'!$F$5:$F$2000,"Giriş",'Stok Hareketleri'!$C$5:$C$2000,$E$4))</f>
        <v/>
      </c>
      <c r="E9" s="5" t="str">
        <f>IF($A9="","",SUMIFS('Stok Hareketleri'!$G$5:$G$2000,'Stok Hareketleri'!$D$5:$D$2000,$A9,'Stok Hareketleri'!$F$5:$F$2000,"Çıkış",'Stok Hareketleri'!$C$5:$C$2000,$E$4))</f>
        <v/>
      </c>
      <c r="F9" s="5" t="str">
        <f t="shared" si="0"/>
        <v/>
      </c>
      <c r="G9" s="5" t="str">
        <f>IF($A9="","",IFERROR(INDEX('Stok Durumu'!$G$5:$G$300,MATCH($A9,'Stok Durumu'!$A$5:$A$300,0)),""))</f>
        <v/>
      </c>
    </row>
    <row r="10" spans="1:7" x14ac:dyDescent="0.3">
      <c r="A10" s="5" t="str">
        <f>IF('Malzeme Tanımlama'!A8="","",IF('Malzeme Tanımlama'!C8=$B$4,'Malzeme Tanımlama'!A8,""))</f>
        <v/>
      </c>
      <c r="B10" s="5" t="str">
        <f>IF($A10="","",'Malzeme Tanımlama'!B8)</f>
        <v/>
      </c>
      <c r="C10" s="5" t="str">
        <f>IF($A10="","",'Malzeme Tanımlama'!D8)</f>
        <v/>
      </c>
      <c r="D10" s="5" t="str">
        <f>IF($A10="","",SUMIFS('Stok Hareketleri'!$G$5:$G$2000,'Stok Hareketleri'!$D$5:$D$2000,$A10,'Stok Hareketleri'!$F$5:$F$2000,"Giriş",'Stok Hareketleri'!$C$5:$C$2000,$E$4))</f>
        <v/>
      </c>
      <c r="E10" s="5" t="str">
        <f>IF($A10="","",SUMIFS('Stok Hareketleri'!$G$5:$G$2000,'Stok Hareketleri'!$D$5:$D$2000,$A10,'Stok Hareketleri'!$F$5:$F$2000,"Çıkış",'Stok Hareketleri'!$C$5:$C$2000,$E$4))</f>
        <v/>
      </c>
      <c r="F10" s="5" t="str">
        <f t="shared" si="0"/>
        <v/>
      </c>
      <c r="G10" s="5" t="str">
        <f>IF($A10="","",IFERROR(INDEX('Stok Durumu'!$G$5:$G$300,MATCH($A10,'Stok Durumu'!$A$5:$A$300,0)),""))</f>
        <v/>
      </c>
    </row>
    <row r="11" spans="1:7" x14ac:dyDescent="0.3">
      <c r="A11" s="5" t="str">
        <f>IF('Malzeme Tanımlama'!A9="","",IF('Malzeme Tanımlama'!C9=$B$4,'Malzeme Tanımlama'!A9,""))</f>
        <v/>
      </c>
      <c r="B11" s="5" t="str">
        <f>IF($A11="","",'Malzeme Tanımlama'!B9)</f>
        <v/>
      </c>
      <c r="C11" s="5" t="str">
        <f>IF($A11="","",'Malzeme Tanımlama'!D9)</f>
        <v/>
      </c>
      <c r="D11" s="5" t="str">
        <f>IF($A11="","",SUMIFS('Stok Hareketleri'!$G$5:$G$2000,'Stok Hareketleri'!$D$5:$D$2000,$A11,'Stok Hareketleri'!$F$5:$F$2000,"Giriş",'Stok Hareketleri'!$C$5:$C$2000,$E$4))</f>
        <v/>
      </c>
      <c r="E11" s="5" t="str">
        <f>IF($A11="","",SUMIFS('Stok Hareketleri'!$G$5:$G$2000,'Stok Hareketleri'!$D$5:$D$2000,$A11,'Stok Hareketleri'!$F$5:$F$2000,"Çıkış",'Stok Hareketleri'!$C$5:$C$2000,$E$4))</f>
        <v/>
      </c>
      <c r="F11" s="5" t="str">
        <f t="shared" si="0"/>
        <v/>
      </c>
      <c r="G11" s="5" t="str">
        <f>IF($A11="","",IFERROR(INDEX('Stok Durumu'!$G$5:$G$300,MATCH($A11,'Stok Durumu'!$A$5:$A$300,0)),""))</f>
        <v/>
      </c>
    </row>
    <row r="12" spans="1:7" x14ac:dyDescent="0.3">
      <c r="A12" s="5" t="str">
        <f>IF('Malzeme Tanımlama'!A10="","",IF('Malzeme Tanımlama'!C10=$B$4,'Malzeme Tanımlama'!A10,""))</f>
        <v/>
      </c>
      <c r="B12" s="5" t="str">
        <f>IF($A12="","",'Malzeme Tanımlama'!B10)</f>
        <v/>
      </c>
      <c r="C12" s="5" t="str">
        <f>IF($A12="","",'Malzeme Tanımlama'!D10)</f>
        <v/>
      </c>
      <c r="D12" s="5" t="str">
        <f>IF($A12="","",SUMIFS('Stok Hareketleri'!$G$5:$G$2000,'Stok Hareketleri'!$D$5:$D$2000,$A12,'Stok Hareketleri'!$F$5:$F$2000,"Giriş",'Stok Hareketleri'!$C$5:$C$2000,$E$4))</f>
        <v/>
      </c>
      <c r="E12" s="5" t="str">
        <f>IF($A12="","",SUMIFS('Stok Hareketleri'!$G$5:$G$2000,'Stok Hareketleri'!$D$5:$D$2000,$A12,'Stok Hareketleri'!$F$5:$F$2000,"Çıkış",'Stok Hareketleri'!$C$5:$C$2000,$E$4))</f>
        <v/>
      </c>
      <c r="F12" s="5" t="str">
        <f t="shared" si="0"/>
        <v/>
      </c>
      <c r="G12" s="5" t="str">
        <f>IF($A12="","",IFERROR(INDEX('Stok Durumu'!$G$5:$G$300,MATCH($A12,'Stok Durumu'!$A$5:$A$300,0)),""))</f>
        <v/>
      </c>
    </row>
    <row r="13" spans="1:7" x14ac:dyDescent="0.3">
      <c r="A13" s="5" t="str">
        <f>IF('Malzeme Tanımlama'!A11="","",IF('Malzeme Tanımlama'!C11=$B$4,'Malzeme Tanımlama'!A11,""))</f>
        <v/>
      </c>
      <c r="B13" s="5" t="str">
        <f>IF($A13="","",'Malzeme Tanımlama'!B11)</f>
        <v/>
      </c>
      <c r="C13" s="5" t="str">
        <f>IF($A13="","",'Malzeme Tanımlama'!D11)</f>
        <v/>
      </c>
      <c r="D13" s="5" t="str">
        <f>IF($A13="","",SUMIFS('Stok Hareketleri'!$G$5:$G$2000,'Stok Hareketleri'!$D$5:$D$2000,$A13,'Stok Hareketleri'!$F$5:$F$2000,"Giriş",'Stok Hareketleri'!$C$5:$C$2000,$E$4))</f>
        <v/>
      </c>
      <c r="E13" s="5" t="str">
        <f>IF($A13="","",SUMIFS('Stok Hareketleri'!$G$5:$G$2000,'Stok Hareketleri'!$D$5:$D$2000,$A13,'Stok Hareketleri'!$F$5:$F$2000,"Çıkış",'Stok Hareketleri'!$C$5:$C$2000,$E$4))</f>
        <v/>
      </c>
      <c r="F13" s="5" t="str">
        <f t="shared" si="0"/>
        <v/>
      </c>
      <c r="G13" s="5" t="str">
        <f>IF($A13="","",IFERROR(INDEX('Stok Durumu'!$G$5:$G$300,MATCH($A13,'Stok Durumu'!$A$5:$A$300,0)),""))</f>
        <v/>
      </c>
    </row>
    <row r="14" spans="1:7" x14ac:dyDescent="0.3">
      <c r="A14" s="5" t="str">
        <f>IF('Malzeme Tanımlama'!A12="","",IF('Malzeme Tanımlama'!C12=$B$4,'Malzeme Tanımlama'!A12,""))</f>
        <v/>
      </c>
      <c r="B14" s="5" t="str">
        <f>IF($A14="","",'Malzeme Tanımlama'!B12)</f>
        <v/>
      </c>
      <c r="C14" s="5" t="str">
        <f>IF($A14="","",'Malzeme Tanımlama'!D12)</f>
        <v/>
      </c>
      <c r="D14" s="5" t="str">
        <f>IF($A14="","",SUMIFS('Stok Hareketleri'!$G$5:$G$2000,'Stok Hareketleri'!$D$5:$D$2000,$A14,'Stok Hareketleri'!$F$5:$F$2000,"Giriş",'Stok Hareketleri'!$C$5:$C$2000,$E$4))</f>
        <v/>
      </c>
      <c r="E14" s="5" t="str">
        <f>IF($A14="","",SUMIFS('Stok Hareketleri'!$G$5:$G$2000,'Stok Hareketleri'!$D$5:$D$2000,$A14,'Stok Hareketleri'!$F$5:$F$2000,"Çıkış",'Stok Hareketleri'!$C$5:$C$2000,$E$4))</f>
        <v/>
      </c>
      <c r="F14" s="5" t="str">
        <f t="shared" si="0"/>
        <v/>
      </c>
      <c r="G14" s="5" t="str">
        <f>IF($A14="","",IFERROR(INDEX('Stok Durumu'!$G$5:$G$300,MATCH($A14,'Stok Durumu'!$A$5:$A$300,0)),""))</f>
        <v/>
      </c>
    </row>
    <row r="15" spans="1:7" x14ac:dyDescent="0.3">
      <c r="A15" s="5" t="str">
        <f>IF('Malzeme Tanımlama'!A13="","",IF('Malzeme Tanımlama'!C13=$B$4,'Malzeme Tanımlama'!A13,""))</f>
        <v/>
      </c>
      <c r="B15" s="5" t="str">
        <f>IF($A15="","",'Malzeme Tanımlama'!B13)</f>
        <v/>
      </c>
      <c r="C15" s="5" t="str">
        <f>IF($A15="","",'Malzeme Tanımlama'!D13)</f>
        <v/>
      </c>
      <c r="D15" s="5" t="str">
        <f>IF($A15="","",SUMIFS('Stok Hareketleri'!$G$5:$G$2000,'Stok Hareketleri'!$D$5:$D$2000,$A15,'Stok Hareketleri'!$F$5:$F$2000,"Giriş",'Stok Hareketleri'!$C$5:$C$2000,$E$4))</f>
        <v/>
      </c>
      <c r="E15" s="5" t="str">
        <f>IF($A15="","",SUMIFS('Stok Hareketleri'!$G$5:$G$2000,'Stok Hareketleri'!$D$5:$D$2000,$A15,'Stok Hareketleri'!$F$5:$F$2000,"Çıkış",'Stok Hareketleri'!$C$5:$C$2000,$E$4))</f>
        <v/>
      </c>
      <c r="F15" s="5" t="str">
        <f t="shared" si="0"/>
        <v/>
      </c>
      <c r="G15" s="5" t="str">
        <f>IF($A15="","",IFERROR(INDEX('Stok Durumu'!$G$5:$G$300,MATCH($A15,'Stok Durumu'!$A$5:$A$300,0)),""))</f>
        <v/>
      </c>
    </row>
    <row r="16" spans="1:7" x14ac:dyDescent="0.3">
      <c r="A16" s="5" t="str">
        <f>IF('Malzeme Tanımlama'!A14="","",IF('Malzeme Tanımlama'!C14=$B$4,'Malzeme Tanımlama'!A14,""))</f>
        <v/>
      </c>
      <c r="B16" s="5" t="str">
        <f>IF($A16="","",'Malzeme Tanımlama'!B14)</f>
        <v/>
      </c>
      <c r="C16" s="5" t="str">
        <f>IF($A16="","",'Malzeme Tanımlama'!D14)</f>
        <v/>
      </c>
      <c r="D16" s="5" t="str">
        <f>IF($A16="","",SUMIFS('Stok Hareketleri'!$G$5:$G$2000,'Stok Hareketleri'!$D$5:$D$2000,$A16,'Stok Hareketleri'!$F$5:$F$2000,"Giriş",'Stok Hareketleri'!$C$5:$C$2000,$E$4))</f>
        <v/>
      </c>
      <c r="E16" s="5" t="str">
        <f>IF($A16="","",SUMIFS('Stok Hareketleri'!$G$5:$G$2000,'Stok Hareketleri'!$D$5:$D$2000,$A16,'Stok Hareketleri'!$F$5:$F$2000,"Çıkış",'Stok Hareketleri'!$C$5:$C$2000,$E$4))</f>
        <v/>
      </c>
      <c r="F16" s="5" t="str">
        <f t="shared" si="0"/>
        <v/>
      </c>
      <c r="G16" s="5" t="str">
        <f>IF($A16="","",IFERROR(INDEX('Stok Durumu'!$G$5:$G$300,MATCH($A16,'Stok Durumu'!$A$5:$A$300,0)),""))</f>
        <v/>
      </c>
    </row>
    <row r="17" spans="1:7" x14ac:dyDescent="0.3">
      <c r="A17" s="5" t="str">
        <f>IF('Malzeme Tanımlama'!A15="","",IF('Malzeme Tanımlama'!C15=$B$4,'Malzeme Tanımlama'!A15,""))</f>
        <v/>
      </c>
      <c r="B17" s="5" t="str">
        <f>IF($A17="","",'Malzeme Tanımlama'!B15)</f>
        <v/>
      </c>
      <c r="C17" s="5" t="str">
        <f>IF($A17="","",'Malzeme Tanımlama'!D15)</f>
        <v/>
      </c>
      <c r="D17" s="5" t="str">
        <f>IF($A17="","",SUMIFS('Stok Hareketleri'!$G$5:$G$2000,'Stok Hareketleri'!$D$5:$D$2000,$A17,'Stok Hareketleri'!$F$5:$F$2000,"Giriş",'Stok Hareketleri'!$C$5:$C$2000,$E$4))</f>
        <v/>
      </c>
      <c r="E17" s="5" t="str">
        <f>IF($A17="","",SUMIFS('Stok Hareketleri'!$G$5:$G$2000,'Stok Hareketleri'!$D$5:$D$2000,$A17,'Stok Hareketleri'!$F$5:$F$2000,"Çıkış",'Stok Hareketleri'!$C$5:$C$2000,$E$4))</f>
        <v/>
      </c>
      <c r="F17" s="5" t="str">
        <f t="shared" si="0"/>
        <v/>
      </c>
      <c r="G17" s="5" t="str">
        <f>IF($A17="","",IFERROR(INDEX('Stok Durumu'!$G$5:$G$300,MATCH($A17,'Stok Durumu'!$A$5:$A$300,0)),""))</f>
        <v/>
      </c>
    </row>
    <row r="18" spans="1:7" x14ac:dyDescent="0.3">
      <c r="A18" s="5" t="str">
        <f>IF('Malzeme Tanımlama'!A16="","",IF('Malzeme Tanımlama'!C16=$B$4,'Malzeme Tanımlama'!A16,""))</f>
        <v/>
      </c>
      <c r="B18" s="5" t="str">
        <f>IF($A18="","",'Malzeme Tanımlama'!B16)</f>
        <v/>
      </c>
      <c r="C18" s="5" t="str">
        <f>IF($A18="","",'Malzeme Tanımlama'!D16)</f>
        <v/>
      </c>
      <c r="D18" s="5" t="str">
        <f>IF($A18="","",SUMIFS('Stok Hareketleri'!$G$5:$G$2000,'Stok Hareketleri'!$D$5:$D$2000,$A18,'Stok Hareketleri'!$F$5:$F$2000,"Giriş",'Stok Hareketleri'!$C$5:$C$2000,$E$4))</f>
        <v/>
      </c>
      <c r="E18" s="5" t="str">
        <f>IF($A18="","",SUMIFS('Stok Hareketleri'!$G$5:$G$2000,'Stok Hareketleri'!$D$5:$D$2000,$A18,'Stok Hareketleri'!$F$5:$F$2000,"Çıkış",'Stok Hareketleri'!$C$5:$C$2000,$E$4))</f>
        <v/>
      </c>
      <c r="F18" s="5" t="str">
        <f t="shared" si="0"/>
        <v/>
      </c>
      <c r="G18" s="5" t="str">
        <f>IF($A18="","",IFERROR(INDEX('Stok Durumu'!$G$5:$G$300,MATCH($A18,'Stok Durumu'!$A$5:$A$300,0)),""))</f>
        <v/>
      </c>
    </row>
    <row r="19" spans="1:7" x14ac:dyDescent="0.3">
      <c r="A19" s="5" t="str">
        <f>IF('Malzeme Tanımlama'!A17="","",IF('Malzeme Tanımlama'!C17=$B$4,'Malzeme Tanımlama'!A17,""))</f>
        <v/>
      </c>
      <c r="B19" s="5" t="str">
        <f>IF($A19="","",'Malzeme Tanımlama'!B17)</f>
        <v/>
      </c>
      <c r="C19" s="5" t="str">
        <f>IF($A19="","",'Malzeme Tanımlama'!D17)</f>
        <v/>
      </c>
      <c r="D19" s="5" t="str">
        <f>IF($A19="","",SUMIFS('Stok Hareketleri'!$G$5:$G$2000,'Stok Hareketleri'!$D$5:$D$2000,$A19,'Stok Hareketleri'!$F$5:$F$2000,"Giriş",'Stok Hareketleri'!$C$5:$C$2000,$E$4))</f>
        <v/>
      </c>
      <c r="E19" s="5" t="str">
        <f>IF($A19="","",SUMIFS('Stok Hareketleri'!$G$5:$G$2000,'Stok Hareketleri'!$D$5:$D$2000,$A19,'Stok Hareketleri'!$F$5:$F$2000,"Çıkış",'Stok Hareketleri'!$C$5:$C$2000,$E$4))</f>
        <v/>
      </c>
      <c r="F19" s="5" t="str">
        <f t="shared" si="0"/>
        <v/>
      </c>
      <c r="G19" s="5" t="str">
        <f>IF($A19="","",IFERROR(INDEX('Stok Durumu'!$G$5:$G$300,MATCH($A19,'Stok Durumu'!$A$5:$A$300,0)),""))</f>
        <v/>
      </c>
    </row>
    <row r="20" spans="1:7" x14ac:dyDescent="0.3">
      <c r="A20" s="5" t="str">
        <f>IF('Malzeme Tanımlama'!A18="","",IF('Malzeme Tanımlama'!C18=$B$4,'Malzeme Tanımlama'!A18,""))</f>
        <v/>
      </c>
      <c r="B20" s="5" t="str">
        <f>IF($A20="","",'Malzeme Tanımlama'!B18)</f>
        <v/>
      </c>
      <c r="C20" s="5" t="str">
        <f>IF($A20="","",'Malzeme Tanımlama'!D18)</f>
        <v/>
      </c>
      <c r="D20" s="5" t="str">
        <f>IF($A20="","",SUMIFS('Stok Hareketleri'!$G$5:$G$2000,'Stok Hareketleri'!$D$5:$D$2000,$A20,'Stok Hareketleri'!$F$5:$F$2000,"Giriş",'Stok Hareketleri'!$C$5:$C$2000,$E$4))</f>
        <v/>
      </c>
      <c r="E20" s="5" t="str">
        <f>IF($A20="","",SUMIFS('Stok Hareketleri'!$G$5:$G$2000,'Stok Hareketleri'!$D$5:$D$2000,$A20,'Stok Hareketleri'!$F$5:$F$2000,"Çıkış",'Stok Hareketleri'!$C$5:$C$2000,$E$4))</f>
        <v/>
      </c>
      <c r="F20" s="5" t="str">
        <f t="shared" si="0"/>
        <v/>
      </c>
      <c r="G20" s="5" t="str">
        <f>IF($A20="","",IFERROR(INDEX('Stok Durumu'!$G$5:$G$300,MATCH($A20,'Stok Durumu'!$A$5:$A$300,0)),""))</f>
        <v/>
      </c>
    </row>
    <row r="21" spans="1:7" x14ac:dyDescent="0.3">
      <c r="A21" s="5" t="str">
        <f>IF('Malzeme Tanımlama'!A19="","",IF('Malzeme Tanımlama'!C19=$B$4,'Malzeme Tanımlama'!A19,""))</f>
        <v/>
      </c>
      <c r="B21" s="5" t="str">
        <f>IF($A21="","",'Malzeme Tanımlama'!B19)</f>
        <v/>
      </c>
      <c r="C21" s="5" t="str">
        <f>IF($A21="","",'Malzeme Tanımlama'!D19)</f>
        <v/>
      </c>
      <c r="D21" s="5" t="str">
        <f>IF($A21="","",SUMIFS('Stok Hareketleri'!$G$5:$G$2000,'Stok Hareketleri'!$D$5:$D$2000,$A21,'Stok Hareketleri'!$F$5:$F$2000,"Giriş",'Stok Hareketleri'!$C$5:$C$2000,$E$4))</f>
        <v/>
      </c>
      <c r="E21" s="5" t="str">
        <f>IF($A21="","",SUMIFS('Stok Hareketleri'!$G$5:$G$2000,'Stok Hareketleri'!$D$5:$D$2000,$A21,'Stok Hareketleri'!$F$5:$F$2000,"Çıkış",'Stok Hareketleri'!$C$5:$C$2000,$E$4))</f>
        <v/>
      </c>
      <c r="F21" s="5" t="str">
        <f t="shared" si="0"/>
        <v/>
      </c>
      <c r="G21" s="5" t="str">
        <f>IF($A21="","",IFERROR(INDEX('Stok Durumu'!$G$5:$G$300,MATCH($A21,'Stok Durumu'!$A$5:$A$300,0)),""))</f>
        <v/>
      </c>
    </row>
    <row r="22" spans="1:7" x14ac:dyDescent="0.3">
      <c r="A22" s="5" t="str">
        <f>IF('Malzeme Tanımlama'!A20="","",IF('Malzeme Tanımlama'!C20=$B$4,'Malzeme Tanımlama'!A20,""))</f>
        <v/>
      </c>
      <c r="B22" s="5" t="str">
        <f>IF($A22="","",'Malzeme Tanımlama'!B20)</f>
        <v/>
      </c>
      <c r="C22" s="5" t="str">
        <f>IF($A22="","",'Malzeme Tanımlama'!D20)</f>
        <v/>
      </c>
      <c r="D22" s="5" t="str">
        <f>IF($A22="","",SUMIFS('Stok Hareketleri'!$G$5:$G$2000,'Stok Hareketleri'!$D$5:$D$2000,$A22,'Stok Hareketleri'!$F$5:$F$2000,"Giriş",'Stok Hareketleri'!$C$5:$C$2000,$E$4))</f>
        <v/>
      </c>
      <c r="E22" s="5" t="str">
        <f>IF($A22="","",SUMIFS('Stok Hareketleri'!$G$5:$G$2000,'Stok Hareketleri'!$D$5:$D$2000,$A22,'Stok Hareketleri'!$F$5:$F$2000,"Çıkış",'Stok Hareketleri'!$C$5:$C$2000,$E$4))</f>
        <v/>
      </c>
      <c r="F22" s="5" t="str">
        <f t="shared" si="0"/>
        <v/>
      </c>
      <c r="G22" s="5" t="str">
        <f>IF($A22="","",IFERROR(INDEX('Stok Durumu'!$G$5:$G$300,MATCH($A22,'Stok Durumu'!$A$5:$A$300,0)),""))</f>
        <v/>
      </c>
    </row>
    <row r="23" spans="1:7" x14ac:dyDescent="0.3">
      <c r="A23" s="5" t="str">
        <f>IF('Malzeme Tanımlama'!A21="","",IF('Malzeme Tanımlama'!C21=$B$4,'Malzeme Tanımlama'!A21,""))</f>
        <v/>
      </c>
      <c r="B23" s="5" t="str">
        <f>IF($A23="","",'Malzeme Tanımlama'!B21)</f>
        <v/>
      </c>
      <c r="C23" s="5" t="str">
        <f>IF($A23="","",'Malzeme Tanımlama'!D21)</f>
        <v/>
      </c>
      <c r="D23" s="5" t="str">
        <f>IF($A23="","",SUMIFS('Stok Hareketleri'!$G$5:$G$2000,'Stok Hareketleri'!$D$5:$D$2000,$A23,'Stok Hareketleri'!$F$5:$F$2000,"Giriş",'Stok Hareketleri'!$C$5:$C$2000,$E$4))</f>
        <v/>
      </c>
      <c r="E23" s="5" t="str">
        <f>IF($A23="","",SUMIFS('Stok Hareketleri'!$G$5:$G$2000,'Stok Hareketleri'!$D$5:$D$2000,$A23,'Stok Hareketleri'!$F$5:$F$2000,"Çıkış",'Stok Hareketleri'!$C$5:$C$2000,$E$4))</f>
        <v/>
      </c>
      <c r="F23" s="5" t="str">
        <f t="shared" si="0"/>
        <v/>
      </c>
      <c r="G23" s="5" t="str">
        <f>IF($A23="","",IFERROR(INDEX('Stok Durumu'!$G$5:$G$300,MATCH($A23,'Stok Durumu'!$A$5:$A$300,0)),""))</f>
        <v/>
      </c>
    </row>
    <row r="24" spans="1:7" x14ac:dyDescent="0.3">
      <c r="A24" s="5" t="str">
        <f>IF('Malzeme Tanımlama'!A22="","",IF('Malzeme Tanımlama'!C22=$B$4,'Malzeme Tanımlama'!A22,""))</f>
        <v/>
      </c>
      <c r="B24" s="5" t="str">
        <f>IF($A24="","",'Malzeme Tanımlama'!B22)</f>
        <v/>
      </c>
      <c r="C24" s="5" t="str">
        <f>IF($A24="","",'Malzeme Tanımlama'!D22)</f>
        <v/>
      </c>
      <c r="D24" s="5" t="str">
        <f>IF($A24="","",SUMIFS('Stok Hareketleri'!$G$5:$G$2000,'Stok Hareketleri'!$D$5:$D$2000,$A24,'Stok Hareketleri'!$F$5:$F$2000,"Giriş",'Stok Hareketleri'!$C$5:$C$2000,$E$4))</f>
        <v/>
      </c>
      <c r="E24" s="5" t="str">
        <f>IF($A24="","",SUMIFS('Stok Hareketleri'!$G$5:$G$2000,'Stok Hareketleri'!$D$5:$D$2000,$A24,'Stok Hareketleri'!$F$5:$F$2000,"Çıkış",'Stok Hareketleri'!$C$5:$C$2000,$E$4))</f>
        <v/>
      </c>
      <c r="F24" s="5" t="str">
        <f t="shared" si="0"/>
        <v/>
      </c>
      <c r="G24" s="5" t="str">
        <f>IF($A24="","",IFERROR(INDEX('Stok Durumu'!$G$5:$G$300,MATCH($A24,'Stok Durumu'!$A$5:$A$300,0)),""))</f>
        <v/>
      </c>
    </row>
    <row r="25" spans="1:7" x14ac:dyDescent="0.3">
      <c r="A25" s="5" t="str">
        <f>IF('Malzeme Tanımlama'!A23="","",IF('Malzeme Tanımlama'!C23=$B$4,'Malzeme Tanımlama'!A23,""))</f>
        <v/>
      </c>
      <c r="B25" s="5" t="str">
        <f>IF($A25="","",'Malzeme Tanımlama'!B23)</f>
        <v/>
      </c>
      <c r="C25" s="5" t="str">
        <f>IF($A25="","",'Malzeme Tanımlama'!D23)</f>
        <v/>
      </c>
      <c r="D25" s="5" t="str">
        <f>IF($A25="","",SUMIFS('Stok Hareketleri'!$G$5:$G$2000,'Stok Hareketleri'!$D$5:$D$2000,$A25,'Stok Hareketleri'!$F$5:$F$2000,"Giriş",'Stok Hareketleri'!$C$5:$C$2000,$E$4))</f>
        <v/>
      </c>
      <c r="E25" s="5" t="str">
        <f>IF($A25="","",SUMIFS('Stok Hareketleri'!$G$5:$G$2000,'Stok Hareketleri'!$D$5:$D$2000,$A25,'Stok Hareketleri'!$F$5:$F$2000,"Çıkış",'Stok Hareketleri'!$C$5:$C$2000,$E$4))</f>
        <v/>
      </c>
      <c r="F25" s="5" t="str">
        <f t="shared" si="0"/>
        <v/>
      </c>
      <c r="G25" s="5" t="str">
        <f>IF($A25="","",IFERROR(INDEX('Stok Durumu'!$G$5:$G$300,MATCH($A25,'Stok Durumu'!$A$5:$A$300,0)),""))</f>
        <v/>
      </c>
    </row>
    <row r="26" spans="1:7" x14ac:dyDescent="0.3">
      <c r="A26" s="5" t="str">
        <f>IF('Malzeme Tanımlama'!A24="","",IF('Malzeme Tanımlama'!C24=$B$4,'Malzeme Tanımlama'!A24,""))</f>
        <v/>
      </c>
      <c r="B26" s="5" t="str">
        <f>IF($A26="","",'Malzeme Tanımlama'!B24)</f>
        <v/>
      </c>
      <c r="C26" s="5" t="str">
        <f>IF($A26="","",'Malzeme Tanımlama'!D24)</f>
        <v/>
      </c>
      <c r="D26" s="5" t="str">
        <f>IF($A26="","",SUMIFS('Stok Hareketleri'!$G$5:$G$2000,'Stok Hareketleri'!$D$5:$D$2000,$A26,'Stok Hareketleri'!$F$5:$F$2000,"Giriş",'Stok Hareketleri'!$C$5:$C$2000,$E$4))</f>
        <v/>
      </c>
      <c r="E26" s="5" t="str">
        <f>IF($A26="","",SUMIFS('Stok Hareketleri'!$G$5:$G$2000,'Stok Hareketleri'!$D$5:$D$2000,$A26,'Stok Hareketleri'!$F$5:$F$2000,"Çıkış",'Stok Hareketleri'!$C$5:$C$2000,$E$4))</f>
        <v/>
      </c>
      <c r="F26" s="5" t="str">
        <f t="shared" si="0"/>
        <v/>
      </c>
      <c r="G26" s="5" t="str">
        <f>IF($A26="","",IFERROR(INDEX('Stok Durumu'!$G$5:$G$300,MATCH($A26,'Stok Durumu'!$A$5:$A$300,0)),""))</f>
        <v/>
      </c>
    </row>
    <row r="27" spans="1:7" x14ac:dyDescent="0.3">
      <c r="A27" s="5" t="str">
        <f>IF('Malzeme Tanımlama'!A25="","",IF('Malzeme Tanımlama'!C25=$B$4,'Malzeme Tanımlama'!A25,""))</f>
        <v/>
      </c>
      <c r="B27" s="5" t="str">
        <f>IF($A27="","",'Malzeme Tanımlama'!B25)</f>
        <v/>
      </c>
      <c r="C27" s="5" t="str">
        <f>IF($A27="","",'Malzeme Tanımlama'!D25)</f>
        <v/>
      </c>
      <c r="D27" s="5" t="str">
        <f>IF($A27="","",SUMIFS('Stok Hareketleri'!$G$5:$G$2000,'Stok Hareketleri'!$D$5:$D$2000,$A27,'Stok Hareketleri'!$F$5:$F$2000,"Giriş",'Stok Hareketleri'!$C$5:$C$2000,$E$4))</f>
        <v/>
      </c>
      <c r="E27" s="5" t="str">
        <f>IF($A27="","",SUMIFS('Stok Hareketleri'!$G$5:$G$2000,'Stok Hareketleri'!$D$5:$D$2000,$A27,'Stok Hareketleri'!$F$5:$F$2000,"Çıkış",'Stok Hareketleri'!$C$5:$C$2000,$E$4))</f>
        <v/>
      </c>
      <c r="F27" s="5" t="str">
        <f t="shared" si="0"/>
        <v/>
      </c>
      <c r="G27" s="5" t="str">
        <f>IF($A27="","",IFERROR(INDEX('Stok Durumu'!$G$5:$G$300,MATCH($A27,'Stok Durumu'!$A$5:$A$300,0)),""))</f>
        <v/>
      </c>
    </row>
    <row r="28" spans="1:7" x14ac:dyDescent="0.3">
      <c r="A28" s="5" t="str">
        <f>IF('Malzeme Tanımlama'!A26="","",IF('Malzeme Tanımlama'!C26=$B$4,'Malzeme Tanımlama'!A26,""))</f>
        <v/>
      </c>
      <c r="B28" s="5" t="str">
        <f>IF($A28="","",'Malzeme Tanımlama'!B26)</f>
        <v/>
      </c>
      <c r="C28" s="5" t="str">
        <f>IF($A28="","",'Malzeme Tanımlama'!D26)</f>
        <v/>
      </c>
      <c r="D28" s="5" t="str">
        <f>IF($A28="","",SUMIFS('Stok Hareketleri'!$G$5:$G$2000,'Stok Hareketleri'!$D$5:$D$2000,$A28,'Stok Hareketleri'!$F$5:$F$2000,"Giriş",'Stok Hareketleri'!$C$5:$C$2000,$E$4))</f>
        <v/>
      </c>
      <c r="E28" s="5" t="str">
        <f>IF($A28="","",SUMIFS('Stok Hareketleri'!$G$5:$G$2000,'Stok Hareketleri'!$D$5:$D$2000,$A28,'Stok Hareketleri'!$F$5:$F$2000,"Çıkış",'Stok Hareketleri'!$C$5:$C$2000,$E$4))</f>
        <v/>
      </c>
      <c r="F28" s="5" t="str">
        <f t="shared" si="0"/>
        <v/>
      </c>
      <c r="G28" s="5" t="str">
        <f>IF($A28="","",IFERROR(INDEX('Stok Durumu'!$G$5:$G$300,MATCH($A28,'Stok Durumu'!$A$5:$A$300,0)),""))</f>
        <v/>
      </c>
    </row>
    <row r="29" spans="1:7" x14ac:dyDescent="0.3">
      <c r="A29" s="5" t="str">
        <f>IF('Malzeme Tanımlama'!A27="","",IF('Malzeme Tanımlama'!C27=$B$4,'Malzeme Tanımlama'!A27,""))</f>
        <v/>
      </c>
      <c r="B29" s="5" t="str">
        <f>IF($A29="","",'Malzeme Tanımlama'!B27)</f>
        <v/>
      </c>
      <c r="C29" s="5" t="str">
        <f>IF($A29="","",'Malzeme Tanımlama'!D27)</f>
        <v/>
      </c>
      <c r="D29" s="5" t="str">
        <f>IF($A29="","",SUMIFS('Stok Hareketleri'!$G$5:$G$2000,'Stok Hareketleri'!$D$5:$D$2000,$A29,'Stok Hareketleri'!$F$5:$F$2000,"Giriş",'Stok Hareketleri'!$C$5:$C$2000,$E$4))</f>
        <v/>
      </c>
      <c r="E29" s="5" t="str">
        <f>IF($A29="","",SUMIFS('Stok Hareketleri'!$G$5:$G$2000,'Stok Hareketleri'!$D$5:$D$2000,$A29,'Stok Hareketleri'!$F$5:$F$2000,"Çıkış",'Stok Hareketleri'!$C$5:$C$2000,$E$4))</f>
        <v/>
      </c>
      <c r="F29" s="5" t="str">
        <f t="shared" si="0"/>
        <v/>
      </c>
      <c r="G29" s="5" t="str">
        <f>IF($A29="","",IFERROR(INDEX('Stok Durumu'!$G$5:$G$300,MATCH($A29,'Stok Durumu'!$A$5:$A$300,0)),""))</f>
        <v/>
      </c>
    </row>
    <row r="30" spans="1:7" x14ac:dyDescent="0.3">
      <c r="A30" s="5" t="str">
        <f>IF('Malzeme Tanımlama'!A28="","",IF('Malzeme Tanımlama'!C28=$B$4,'Malzeme Tanımlama'!A28,""))</f>
        <v/>
      </c>
      <c r="B30" s="5" t="str">
        <f>IF($A30="","",'Malzeme Tanımlama'!B28)</f>
        <v/>
      </c>
      <c r="C30" s="5" t="str">
        <f>IF($A30="","",'Malzeme Tanımlama'!D28)</f>
        <v/>
      </c>
      <c r="D30" s="5" t="str">
        <f>IF($A30="","",SUMIFS('Stok Hareketleri'!$G$5:$G$2000,'Stok Hareketleri'!$D$5:$D$2000,$A30,'Stok Hareketleri'!$F$5:$F$2000,"Giriş",'Stok Hareketleri'!$C$5:$C$2000,$E$4))</f>
        <v/>
      </c>
      <c r="E30" s="5" t="str">
        <f>IF($A30="","",SUMIFS('Stok Hareketleri'!$G$5:$G$2000,'Stok Hareketleri'!$D$5:$D$2000,$A30,'Stok Hareketleri'!$F$5:$F$2000,"Çıkış",'Stok Hareketleri'!$C$5:$C$2000,$E$4))</f>
        <v/>
      </c>
      <c r="F30" s="5" t="str">
        <f t="shared" si="0"/>
        <v/>
      </c>
      <c r="G30" s="5" t="str">
        <f>IF($A30="","",IFERROR(INDEX('Stok Durumu'!$G$5:$G$300,MATCH($A30,'Stok Durumu'!$A$5:$A$300,0)),""))</f>
        <v/>
      </c>
    </row>
    <row r="31" spans="1:7" x14ac:dyDescent="0.3">
      <c r="A31" s="5" t="str">
        <f>IF('Malzeme Tanımlama'!A29="","",IF('Malzeme Tanımlama'!C29=$B$4,'Malzeme Tanımlama'!A29,""))</f>
        <v/>
      </c>
      <c r="B31" s="5" t="str">
        <f>IF($A31="","",'Malzeme Tanımlama'!B29)</f>
        <v/>
      </c>
      <c r="C31" s="5" t="str">
        <f>IF($A31="","",'Malzeme Tanımlama'!D29)</f>
        <v/>
      </c>
      <c r="D31" s="5" t="str">
        <f>IF($A31="","",SUMIFS('Stok Hareketleri'!$G$5:$G$2000,'Stok Hareketleri'!$D$5:$D$2000,$A31,'Stok Hareketleri'!$F$5:$F$2000,"Giriş",'Stok Hareketleri'!$C$5:$C$2000,$E$4))</f>
        <v/>
      </c>
      <c r="E31" s="5" t="str">
        <f>IF($A31="","",SUMIFS('Stok Hareketleri'!$G$5:$G$2000,'Stok Hareketleri'!$D$5:$D$2000,$A31,'Stok Hareketleri'!$F$5:$F$2000,"Çıkış",'Stok Hareketleri'!$C$5:$C$2000,$E$4))</f>
        <v/>
      </c>
      <c r="F31" s="5" t="str">
        <f t="shared" si="0"/>
        <v/>
      </c>
      <c r="G31" s="5" t="str">
        <f>IF($A31="","",IFERROR(INDEX('Stok Durumu'!$G$5:$G$300,MATCH($A31,'Stok Durumu'!$A$5:$A$300,0)),""))</f>
        <v/>
      </c>
    </row>
    <row r="32" spans="1:7" x14ac:dyDescent="0.3">
      <c r="A32" s="5" t="str">
        <f>IF('Malzeme Tanımlama'!A30="","",IF('Malzeme Tanımlama'!C30=$B$4,'Malzeme Tanımlama'!A30,""))</f>
        <v/>
      </c>
      <c r="B32" s="5" t="str">
        <f>IF($A32="","",'Malzeme Tanımlama'!B30)</f>
        <v/>
      </c>
      <c r="C32" s="5" t="str">
        <f>IF($A32="","",'Malzeme Tanımlama'!D30)</f>
        <v/>
      </c>
      <c r="D32" s="5" t="str">
        <f>IF($A32="","",SUMIFS('Stok Hareketleri'!$G$5:$G$2000,'Stok Hareketleri'!$D$5:$D$2000,$A32,'Stok Hareketleri'!$F$5:$F$2000,"Giriş",'Stok Hareketleri'!$C$5:$C$2000,$E$4))</f>
        <v/>
      </c>
      <c r="E32" s="5" t="str">
        <f>IF($A32="","",SUMIFS('Stok Hareketleri'!$G$5:$G$2000,'Stok Hareketleri'!$D$5:$D$2000,$A32,'Stok Hareketleri'!$F$5:$F$2000,"Çıkış",'Stok Hareketleri'!$C$5:$C$2000,$E$4))</f>
        <v/>
      </c>
      <c r="F32" s="5" t="str">
        <f t="shared" si="0"/>
        <v/>
      </c>
      <c r="G32" s="5" t="str">
        <f>IF($A32="","",IFERROR(INDEX('Stok Durumu'!$G$5:$G$300,MATCH($A32,'Stok Durumu'!$A$5:$A$300,0)),""))</f>
        <v/>
      </c>
    </row>
    <row r="33" spans="1:7" x14ac:dyDescent="0.3">
      <c r="A33" s="5" t="str">
        <f>IF('Malzeme Tanımlama'!A31="","",IF('Malzeme Tanımlama'!C31=$B$4,'Malzeme Tanımlama'!A31,""))</f>
        <v/>
      </c>
      <c r="B33" s="5" t="str">
        <f>IF($A33="","",'Malzeme Tanımlama'!B31)</f>
        <v/>
      </c>
      <c r="C33" s="5" t="str">
        <f>IF($A33="","",'Malzeme Tanımlama'!D31)</f>
        <v/>
      </c>
      <c r="D33" s="5" t="str">
        <f>IF($A33="","",SUMIFS('Stok Hareketleri'!$G$5:$G$2000,'Stok Hareketleri'!$D$5:$D$2000,$A33,'Stok Hareketleri'!$F$5:$F$2000,"Giriş",'Stok Hareketleri'!$C$5:$C$2000,$E$4))</f>
        <v/>
      </c>
      <c r="E33" s="5" t="str">
        <f>IF($A33="","",SUMIFS('Stok Hareketleri'!$G$5:$G$2000,'Stok Hareketleri'!$D$5:$D$2000,$A33,'Stok Hareketleri'!$F$5:$F$2000,"Çıkış",'Stok Hareketleri'!$C$5:$C$2000,$E$4))</f>
        <v/>
      </c>
      <c r="F33" s="5" t="str">
        <f t="shared" si="0"/>
        <v/>
      </c>
      <c r="G33" s="5" t="str">
        <f>IF($A33="","",IFERROR(INDEX('Stok Durumu'!$G$5:$G$300,MATCH($A33,'Stok Durumu'!$A$5:$A$300,0)),""))</f>
        <v/>
      </c>
    </row>
    <row r="34" spans="1:7" x14ac:dyDescent="0.3">
      <c r="A34" s="5" t="str">
        <f>IF('Malzeme Tanımlama'!A32="","",IF('Malzeme Tanımlama'!C32=$B$4,'Malzeme Tanımlama'!A32,""))</f>
        <v/>
      </c>
      <c r="B34" s="5" t="str">
        <f>IF($A34="","",'Malzeme Tanımlama'!B32)</f>
        <v/>
      </c>
      <c r="C34" s="5" t="str">
        <f>IF($A34="","",'Malzeme Tanımlama'!D32)</f>
        <v/>
      </c>
      <c r="D34" s="5" t="str">
        <f>IF($A34="","",SUMIFS('Stok Hareketleri'!$G$5:$G$2000,'Stok Hareketleri'!$D$5:$D$2000,$A34,'Stok Hareketleri'!$F$5:$F$2000,"Giriş",'Stok Hareketleri'!$C$5:$C$2000,$E$4))</f>
        <v/>
      </c>
      <c r="E34" s="5" t="str">
        <f>IF($A34="","",SUMIFS('Stok Hareketleri'!$G$5:$G$2000,'Stok Hareketleri'!$D$5:$D$2000,$A34,'Stok Hareketleri'!$F$5:$F$2000,"Çıkış",'Stok Hareketleri'!$C$5:$C$2000,$E$4))</f>
        <v/>
      </c>
      <c r="F34" s="5" t="str">
        <f t="shared" si="0"/>
        <v/>
      </c>
      <c r="G34" s="5" t="str">
        <f>IF($A34="","",IFERROR(INDEX('Stok Durumu'!$G$5:$G$300,MATCH($A34,'Stok Durumu'!$A$5:$A$300,0)),""))</f>
        <v/>
      </c>
    </row>
    <row r="35" spans="1:7" x14ac:dyDescent="0.3">
      <c r="A35" s="5" t="str">
        <f>IF('Malzeme Tanımlama'!A33="","",IF('Malzeme Tanımlama'!C33=$B$4,'Malzeme Tanımlama'!A33,""))</f>
        <v/>
      </c>
      <c r="B35" s="5" t="str">
        <f>IF($A35="","",'Malzeme Tanımlama'!B33)</f>
        <v/>
      </c>
      <c r="C35" s="5" t="str">
        <f>IF($A35="","",'Malzeme Tanımlama'!D33)</f>
        <v/>
      </c>
      <c r="D35" s="5" t="str">
        <f>IF($A35="","",SUMIFS('Stok Hareketleri'!$G$5:$G$2000,'Stok Hareketleri'!$D$5:$D$2000,$A35,'Stok Hareketleri'!$F$5:$F$2000,"Giriş",'Stok Hareketleri'!$C$5:$C$2000,$E$4))</f>
        <v/>
      </c>
      <c r="E35" s="5" t="str">
        <f>IF($A35="","",SUMIFS('Stok Hareketleri'!$G$5:$G$2000,'Stok Hareketleri'!$D$5:$D$2000,$A35,'Stok Hareketleri'!$F$5:$F$2000,"Çıkış",'Stok Hareketleri'!$C$5:$C$2000,$E$4))</f>
        <v/>
      </c>
      <c r="F35" s="5" t="str">
        <f t="shared" si="0"/>
        <v/>
      </c>
      <c r="G35" s="5" t="str">
        <f>IF($A35="","",IFERROR(INDEX('Stok Durumu'!$G$5:$G$300,MATCH($A35,'Stok Durumu'!$A$5:$A$300,0)),""))</f>
        <v/>
      </c>
    </row>
    <row r="36" spans="1:7" x14ac:dyDescent="0.3">
      <c r="A36" s="5" t="str">
        <f>IF('Malzeme Tanımlama'!A34="","",IF('Malzeme Tanımlama'!C34=$B$4,'Malzeme Tanımlama'!A34,""))</f>
        <v/>
      </c>
      <c r="B36" s="5" t="str">
        <f>IF($A36="","",'Malzeme Tanımlama'!B34)</f>
        <v/>
      </c>
      <c r="C36" s="5" t="str">
        <f>IF($A36="","",'Malzeme Tanımlama'!D34)</f>
        <v/>
      </c>
      <c r="D36" s="5" t="str">
        <f>IF($A36="","",SUMIFS('Stok Hareketleri'!$G$5:$G$2000,'Stok Hareketleri'!$D$5:$D$2000,$A36,'Stok Hareketleri'!$F$5:$F$2000,"Giriş",'Stok Hareketleri'!$C$5:$C$2000,$E$4))</f>
        <v/>
      </c>
      <c r="E36" s="5" t="str">
        <f>IF($A36="","",SUMIFS('Stok Hareketleri'!$G$5:$G$2000,'Stok Hareketleri'!$D$5:$D$2000,$A36,'Stok Hareketleri'!$F$5:$F$2000,"Çıkış",'Stok Hareketleri'!$C$5:$C$2000,$E$4))</f>
        <v/>
      </c>
      <c r="F36" s="5" t="str">
        <f t="shared" si="0"/>
        <v/>
      </c>
      <c r="G36" s="5" t="str">
        <f>IF($A36="","",IFERROR(INDEX('Stok Durumu'!$G$5:$G$300,MATCH($A36,'Stok Durumu'!$A$5:$A$300,0)),""))</f>
        <v/>
      </c>
    </row>
    <row r="37" spans="1:7" x14ac:dyDescent="0.3">
      <c r="A37" s="5" t="str">
        <f>IF('Malzeme Tanımlama'!A35="","",IF('Malzeme Tanımlama'!C35=$B$4,'Malzeme Tanımlama'!A35,""))</f>
        <v/>
      </c>
      <c r="B37" s="5" t="str">
        <f>IF($A37="","",'Malzeme Tanımlama'!B35)</f>
        <v/>
      </c>
      <c r="C37" s="5" t="str">
        <f>IF($A37="","",'Malzeme Tanımlama'!D35)</f>
        <v/>
      </c>
      <c r="D37" s="5" t="str">
        <f>IF($A37="","",SUMIFS('Stok Hareketleri'!$G$5:$G$2000,'Stok Hareketleri'!$D$5:$D$2000,$A37,'Stok Hareketleri'!$F$5:$F$2000,"Giriş",'Stok Hareketleri'!$C$5:$C$2000,$E$4))</f>
        <v/>
      </c>
      <c r="E37" s="5" t="str">
        <f>IF($A37="","",SUMIFS('Stok Hareketleri'!$G$5:$G$2000,'Stok Hareketleri'!$D$5:$D$2000,$A37,'Stok Hareketleri'!$F$5:$F$2000,"Çıkış",'Stok Hareketleri'!$C$5:$C$2000,$E$4))</f>
        <v/>
      </c>
      <c r="F37" s="5" t="str">
        <f t="shared" si="0"/>
        <v/>
      </c>
      <c r="G37" s="5" t="str">
        <f>IF($A37="","",IFERROR(INDEX('Stok Durumu'!$G$5:$G$300,MATCH($A37,'Stok Durumu'!$A$5:$A$300,0)),""))</f>
        <v/>
      </c>
    </row>
    <row r="38" spans="1:7" x14ac:dyDescent="0.3">
      <c r="A38" s="5" t="str">
        <f>IF('Malzeme Tanımlama'!A36="","",IF('Malzeme Tanımlama'!C36=$B$4,'Malzeme Tanımlama'!A36,""))</f>
        <v/>
      </c>
      <c r="B38" s="5" t="str">
        <f>IF($A38="","",'Malzeme Tanımlama'!B36)</f>
        <v/>
      </c>
      <c r="C38" s="5" t="str">
        <f>IF($A38="","",'Malzeme Tanımlama'!D36)</f>
        <v/>
      </c>
      <c r="D38" s="5" t="str">
        <f>IF($A38="","",SUMIFS('Stok Hareketleri'!$G$5:$G$2000,'Stok Hareketleri'!$D$5:$D$2000,$A38,'Stok Hareketleri'!$F$5:$F$2000,"Giriş",'Stok Hareketleri'!$C$5:$C$2000,$E$4))</f>
        <v/>
      </c>
      <c r="E38" s="5" t="str">
        <f>IF($A38="","",SUMIFS('Stok Hareketleri'!$G$5:$G$2000,'Stok Hareketleri'!$D$5:$D$2000,$A38,'Stok Hareketleri'!$F$5:$F$2000,"Çıkış",'Stok Hareketleri'!$C$5:$C$2000,$E$4))</f>
        <v/>
      </c>
      <c r="F38" s="5" t="str">
        <f t="shared" si="0"/>
        <v/>
      </c>
      <c r="G38" s="5" t="str">
        <f>IF($A38="","",IFERROR(INDEX('Stok Durumu'!$G$5:$G$300,MATCH($A38,'Stok Durumu'!$A$5:$A$300,0)),""))</f>
        <v/>
      </c>
    </row>
    <row r="39" spans="1:7" x14ac:dyDescent="0.3">
      <c r="A39" s="5" t="str">
        <f>IF('Malzeme Tanımlama'!A37="","",IF('Malzeme Tanımlama'!C37=$B$4,'Malzeme Tanımlama'!A37,""))</f>
        <v/>
      </c>
      <c r="B39" s="5" t="str">
        <f>IF($A39="","",'Malzeme Tanımlama'!B37)</f>
        <v/>
      </c>
      <c r="C39" s="5" t="str">
        <f>IF($A39="","",'Malzeme Tanımlama'!D37)</f>
        <v/>
      </c>
      <c r="D39" s="5" t="str">
        <f>IF($A39="","",SUMIFS('Stok Hareketleri'!$G$5:$G$2000,'Stok Hareketleri'!$D$5:$D$2000,$A39,'Stok Hareketleri'!$F$5:$F$2000,"Giriş",'Stok Hareketleri'!$C$5:$C$2000,$E$4))</f>
        <v/>
      </c>
      <c r="E39" s="5" t="str">
        <f>IF($A39="","",SUMIFS('Stok Hareketleri'!$G$5:$G$2000,'Stok Hareketleri'!$D$5:$D$2000,$A39,'Stok Hareketleri'!$F$5:$F$2000,"Çıkış",'Stok Hareketleri'!$C$5:$C$2000,$E$4))</f>
        <v/>
      </c>
      <c r="F39" s="5" t="str">
        <f t="shared" si="0"/>
        <v/>
      </c>
      <c r="G39" s="5" t="str">
        <f>IF($A39="","",IFERROR(INDEX('Stok Durumu'!$G$5:$G$300,MATCH($A39,'Stok Durumu'!$A$5:$A$300,0)),""))</f>
        <v/>
      </c>
    </row>
    <row r="40" spans="1:7" x14ac:dyDescent="0.3">
      <c r="A40" s="5" t="str">
        <f>IF('Malzeme Tanımlama'!A38="","",IF('Malzeme Tanımlama'!C38=$B$4,'Malzeme Tanımlama'!A38,""))</f>
        <v/>
      </c>
      <c r="B40" s="5" t="str">
        <f>IF($A40="","",'Malzeme Tanımlama'!B38)</f>
        <v/>
      </c>
      <c r="C40" s="5" t="str">
        <f>IF($A40="","",'Malzeme Tanımlama'!D38)</f>
        <v/>
      </c>
      <c r="D40" s="5" t="str">
        <f>IF($A40="","",SUMIFS('Stok Hareketleri'!$G$5:$G$2000,'Stok Hareketleri'!$D$5:$D$2000,$A40,'Stok Hareketleri'!$F$5:$F$2000,"Giriş",'Stok Hareketleri'!$C$5:$C$2000,$E$4))</f>
        <v/>
      </c>
      <c r="E40" s="5" t="str">
        <f>IF($A40="","",SUMIFS('Stok Hareketleri'!$G$5:$G$2000,'Stok Hareketleri'!$D$5:$D$2000,$A40,'Stok Hareketleri'!$F$5:$F$2000,"Çıkış",'Stok Hareketleri'!$C$5:$C$2000,$E$4))</f>
        <v/>
      </c>
      <c r="F40" s="5" t="str">
        <f t="shared" si="0"/>
        <v/>
      </c>
      <c r="G40" s="5" t="str">
        <f>IF($A40="","",IFERROR(INDEX('Stok Durumu'!$G$5:$G$300,MATCH($A40,'Stok Durumu'!$A$5:$A$300,0)),""))</f>
        <v/>
      </c>
    </row>
    <row r="41" spans="1:7" x14ac:dyDescent="0.3">
      <c r="A41" s="5" t="str">
        <f>IF('Malzeme Tanımlama'!A39="","",IF('Malzeme Tanımlama'!C39=$B$4,'Malzeme Tanımlama'!A39,""))</f>
        <v/>
      </c>
      <c r="B41" s="5" t="str">
        <f>IF($A41="","",'Malzeme Tanımlama'!B39)</f>
        <v/>
      </c>
      <c r="C41" s="5" t="str">
        <f>IF($A41="","",'Malzeme Tanımlama'!D39)</f>
        <v/>
      </c>
      <c r="D41" s="5" t="str">
        <f>IF($A41="","",SUMIFS('Stok Hareketleri'!$G$5:$G$2000,'Stok Hareketleri'!$D$5:$D$2000,$A41,'Stok Hareketleri'!$F$5:$F$2000,"Giriş",'Stok Hareketleri'!$C$5:$C$2000,$E$4))</f>
        <v/>
      </c>
      <c r="E41" s="5" t="str">
        <f>IF($A41="","",SUMIFS('Stok Hareketleri'!$G$5:$G$2000,'Stok Hareketleri'!$D$5:$D$2000,$A41,'Stok Hareketleri'!$F$5:$F$2000,"Çıkış",'Stok Hareketleri'!$C$5:$C$2000,$E$4))</f>
        <v/>
      </c>
      <c r="F41" s="5" t="str">
        <f t="shared" si="0"/>
        <v/>
      </c>
      <c r="G41" s="5" t="str">
        <f>IF($A41="","",IFERROR(INDEX('Stok Durumu'!$G$5:$G$300,MATCH($A41,'Stok Durumu'!$A$5:$A$300,0)),""))</f>
        <v/>
      </c>
    </row>
    <row r="42" spans="1:7" x14ac:dyDescent="0.3">
      <c r="A42" s="5" t="str">
        <f>IF('Malzeme Tanımlama'!A40="","",IF('Malzeme Tanımlama'!C40=$B$4,'Malzeme Tanımlama'!A40,""))</f>
        <v/>
      </c>
      <c r="B42" s="5" t="str">
        <f>IF($A42="","",'Malzeme Tanımlama'!B40)</f>
        <v/>
      </c>
      <c r="C42" s="5" t="str">
        <f>IF($A42="","",'Malzeme Tanımlama'!D40)</f>
        <v/>
      </c>
      <c r="D42" s="5" t="str">
        <f>IF($A42="","",SUMIFS('Stok Hareketleri'!$G$5:$G$2000,'Stok Hareketleri'!$D$5:$D$2000,$A42,'Stok Hareketleri'!$F$5:$F$2000,"Giriş",'Stok Hareketleri'!$C$5:$C$2000,$E$4))</f>
        <v/>
      </c>
      <c r="E42" s="5" t="str">
        <f>IF($A42="","",SUMIFS('Stok Hareketleri'!$G$5:$G$2000,'Stok Hareketleri'!$D$5:$D$2000,$A42,'Stok Hareketleri'!$F$5:$F$2000,"Çıkış",'Stok Hareketleri'!$C$5:$C$2000,$E$4))</f>
        <v/>
      </c>
      <c r="F42" s="5" t="str">
        <f t="shared" si="0"/>
        <v/>
      </c>
      <c r="G42" s="5" t="str">
        <f>IF($A42="","",IFERROR(INDEX('Stok Durumu'!$G$5:$G$300,MATCH($A42,'Stok Durumu'!$A$5:$A$300,0)),""))</f>
        <v/>
      </c>
    </row>
    <row r="43" spans="1:7" x14ac:dyDescent="0.3">
      <c r="A43" s="5" t="str">
        <f>IF('Malzeme Tanımlama'!A41="","",IF('Malzeme Tanımlama'!C41=$B$4,'Malzeme Tanımlama'!A41,""))</f>
        <v/>
      </c>
      <c r="B43" s="5" t="str">
        <f>IF($A43="","",'Malzeme Tanımlama'!B41)</f>
        <v/>
      </c>
      <c r="C43" s="5" t="str">
        <f>IF($A43="","",'Malzeme Tanımlama'!D41)</f>
        <v/>
      </c>
      <c r="D43" s="5" t="str">
        <f>IF($A43="","",SUMIFS('Stok Hareketleri'!$G$5:$G$2000,'Stok Hareketleri'!$D$5:$D$2000,$A43,'Stok Hareketleri'!$F$5:$F$2000,"Giriş",'Stok Hareketleri'!$C$5:$C$2000,$E$4))</f>
        <v/>
      </c>
      <c r="E43" s="5" t="str">
        <f>IF($A43="","",SUMIFS('Stok Hareketleri'!$G$5:$G$2000,'Stok Hareketleri'!$D$5:$D$2000,$A43,'Stok Hareketleri'!$F$5:$F$2000,"Çıkış",'Stok Hareketleri'!$C$5:$C$2000,$E$4))</f>
        <v/>
      </c>
      <c r="F43" s="5" t="str">
        <f t="shared" si="0"/>
        <v/>
      </c>
      <c r="G43" s="5" t="str">
        <f>IF($A43="","",IFERROR(INDEX('Stok Durumu'!$G$5:$G$300,MATCH($A43,'Stok Durumu'!$A$5:$A$300,0)),""))</f>
        <v/>
      </c>
    </row>
    <row r="44" spans="1:7" x14ac:dyDescent="0.3">
      <c r="A44" s="5" t="str">
        <f>IF('Malzeme Tanımlama'!A42="","",IF('Malzeme Tanımlama'!C42=$B$4,'Malzeme Tanımlama'!A42,""))</f>
        <v/>
      </c>
      <c r="B44" s="5" t="str">
        <f>IF($A44="","",'Malzeme Tanımlama'!B42)</f>
        <v/>
      </c>
      <c r="C44" s="5" t="str">
        <f>IF($A44="","",'Malzeme Tanımlama'!D42)</f>
        <v/>
      </c>
      <c r="D44" s="5" t="str">
        <f>IF($A44="","",SUMIFS('Stok Hareketleri'!$G$5:$G$2000,'Stok Hareketleri'!$D$5:$D$2000,$A44,'Stok Hareketleri'!$F$5:$F$2000,"Giriş",'Stok Hareketleri'!$C$5:$C$2000,$E$4))</f>
        <v/>
      </c>
      <c r="E44" s="5" t="str">
        <f>IF($A44="","",SUMIFS('Stok Hareketleri'!$G$5:$G$2000,'Stok Hareketleri'!$D$5:$D$2000,$A44,'Stok Hareketleri'!$F$5:$F$2000,"Çıkış",'Stok Hareketleri'!$C$5:$C$2000,$E$4))</f>
        <v/>
      </c>
      <c r="F44" s="5" t="str">
        <f t="shared" si="0"/>
        <v/>
      </c>
      <c r="G44" s="5" t="str">
        <f>IF($A44="","",IFERROR(INDEX('Stok Durumu'!$G$5:$G$300,MATCH($A44,'Stok Durumu'!$A$5:$A$300,0)),""))</f>
        <v/>
      </c>
    </row>
    <row r="45" spans="1:7" x14ac:dyDescent="0.3">
      <c r="A45" s="5" t="str">
        <f>IF('Malzeme Tanımlama'!A43="","",IF('Malzeme Tanımlama'!C43=$B$4,'Malzeme Tanımlama'!A43,""))</f>
        <v/>
      </c>
      <c r="B45" s="5" t="str">
        <f>IF($A45="","",'Malzeme Tanımlama'!B43)</f>
        <v/>
      </c>
      <c r="C45" s="5" t="str">
        <f>IF($A45="","",'Malzeme Tanımlama'!D43)</f>
        <v/>
      </c>
      <c r="D45" s="5" t="str">
        <f>IF($A45="","",SUMIFS('Stok Hareketleri'!$G$5:$G$2000,'Stok Hareketleri'!$D$5:$D$2000,$A45,'Stok Hareketleri'!$F$5:$F$2000,"Giriş",'Stok Hareketleri'!$C$5:$C$2000,$E$4))</f>
        <v/>
      </c>
      <c r="E45" s="5" t="str">
        <f>IF($A45="","",SUMIFS('Stok Hareketleri'!$G$5:$G$2000,'Stok Hareketleri'!$D$5:$D$2000,$A45,'Stok Hareketleri'!$F$5:$F$2000,"Çıkış",'Stok Hareketleri'!$C$5:$C$2000,$E$4))</f>
        <v/>
      </c>
      <c r="F45" s="5" t="str">
        <f t="shared" si="0"/>
        <v/>
      </c>
      <c r="G45" s="5" t="str">
        <f>IF($A45="","",IFERROR(INDEX('Stok Durumu'!$G$5:$G$300,MATCH($A45,'Stok Durumu'!$A$5:$A$300,0)),""))</f>
        <v/>
      </c>
    </row>
    <row r="46" spans="1:7" x14ac:dyDescent="0.3">
      <c r="A46" s="5" t="str">
        <f>IF('Malzeme Tanımlama'!A44="","",IF('Malzeme Tanımlama'!C44=$B$4,'Malzeme Tanımlama'!A44,""))</f>
        <v/>
      </c>
      <c r="B46" s="5" t="str">
        <f>IF($A46="","",'Malzeme Tanımlama'!B44)</f>
        <v/>
      </c>
      <c r="C46" s="5" t="str">
        <f>IF($A46="","",'Malzeme Tanımlama'!D44)</f>
        <v/>
      </c>
      <c r="D46" s="5" t="str">
        <f>IF($A46="","",SUMIFS('Stok Hareketleri'!$G$5:$G$2000,'Stok Hareketleri'!$D$5:$D$2000,$A46,'Stok Hareketleri'!$F$5:$F$2000,"Giriş",'Stok Hareketleri'!$C$5:$C$2000,$E$4))</f>
        <v/>
      </c>
      <c r="E46" s="5" t="str">
        <f>IF($A46="","",SUMIFS('Stok Hareketleri'!$G$5:$G$2000,'Stok Hareketleri'!$D$5:$D$2000,$A46,'Stok Hareketleri'!$F$5:$F$2000,"Çıkış",'Stok Hareketleri'!$C$5:$C$2000,$E$4))</f>
        <v/>
      </c>
      <c r="F46" s="5" t="str">
        <f t="shared" si="0"/>
        <v/>
      </c>
      <c r="G46" s="5" t="str">
        <f>IF($A46="","",IFERROR(INDEX('Stok Durumu'!$G$5:$G$300,MATCH($A46,'Stok Durumu'!$A$5:$A$300,0)),""))</f>
        <v/>
      </c>
    </row>
    <row r="47" spans="1:7" x14ac:dyDescent="0.3">
      <c r="A47" s="5" t="str">
        <f>IF('Malzeme Tanımlama'!A45="","",IF('Malzeme Tanımlama'!C45=$B$4,'Malzeme Tanımlama'!A45,""))</f>
        <v/>
      </c>
      <c r="B47" s="5" t="str">
        <f>IF($A47="","",'Malzeme Tanımlama'!B45)</f>
        <v/>
      </c>
      <c r="C47" s="5" t="str">
        <f>IF($A47="","",'Malzeme Tanımlama'!D45)</f>
        <v/>
      </c>
      <c r="D47" s="5" t="str">
        <f>IF($A47="","",SUMIFS('Stok Hareketleri'!$G$5:$G$2000,'Stok Hareketleri'!$D$5:$D$2000,$A47,'Stok Hareketleri'!$F$5:$F$2000,"Giriş",'Stok Hareketleri'!$C$5:$C$2000,$E$4))</f>
        <v/>
      </c>
      <c r="E47" s="5" t="str">
        <f>IF($A47="","",SUMIFS('Stok Hareketleri'!$G$5:$G$2000,'Stok Hareketleri'!$D$5:$D$2000,$A47,'Stok Hareketleri'!$F$5:$F$2000,"Çıkış",'Stok Hareketleri'!$C$5:$C$2000,$E$4))</f>
        <v/>
      </c>
      <c r="F47" s="5" t="str">
        <f t="shared" si="0"/>
        <v/>
      </c>
      <c r="G47" s="5" t="str">
        <f>IF($A47="","",IFERROR(INDEX('Stok Durumu'!$G$5:$G$300,MATCH($A47,'Stok Durumu'!$A$5:$A$300,0)),""))</f>
        <v/>
      </c>
    </row>
    <row r="48" spans="1:7" x14ac:dyDescent="0.3">
      <c r="A48" s="5" t="str">
        <f>IF('Malzeme Tanımlama'!A46="","",IF('Malzeme Tanımlama'!C46=$B$4,'Malzeme Tanımlama'!A46,""))</f>
        <v/>
      </c>
      <c r="B48" s="5" t="str">
        <f>IF($A48="","",'Malzeme Tanımlama'!B46)</f>
        <v/>
      </c>
      <c r="C48" s="5" t="str">
        <f>IF($A48="","",'Malzeme Tanımlama'!D46)</f>
        <v/>
      </c>
      <c r="D48" s="5" t="str">
        <f>IF($A48="","",SUMIFS('Stok Hareketleri'!$G$5:$G$2000,'Stok Hareketleri'!$D$5:$D$2000,$A48,'Stok Hareketleri'!$F$5:$F$2000,"Giriş",'Stok Hareketleri'!$C$5:$C$2000,$E$4))</f>
        <v/>
      </c>
      <c r="E48" s="5" t="str">
        <f>IF($A48="","",SUMIFS('Stok Hareketleri'!$G$5:$G$2000,'Stok Hareketleri'!$D$5:$D$2000,$A48,'Stok Hareketleri'!$F$5:$F$2000,"Çıkış",'Stok Hareketleri'!$C$5:$C$2000,$E$4))</f>
        <v/>
      </c>
      <c r="F48" s="5" t="str">
        <f t="shared" si="0"/>
        <v/>
      </c>
      <c r="G48" s="5" t="str">
        <f>IF($A48="","",IFERROR(INDEX('Stok Durumu'!$G$5:$G$300,MATCH($A48,'Stok Durumu'!$A$5:$A$300,0)),""))</f>
        <v/>
      </c>
    </row>
    <row r="49" spans="1:7" x14ac:dyDescent="0.3">
      <c r="A49" s="5" t="str">
        <f>IF('Malzeme Tanımlama'!A47="","",IF('Malzeme Tanımlama'!C47=$B$4,'Malzeme Tanımlama'!A47,""))</f>
        <v/>
      </c>
      <c r="B49" s="5" t="str">
        <f>IF($A49="","",'Malzeme Tanımlama'!B47)</f>
        <v/>
      </c>
      <c r="C49" s="5" t="str">
        <f>IF($A49="","",'Malzeme Tanımlama'!D47)</f>
        <v/>
      </c>
      <c r="D49" s="5" t="str">
        <f>IF($A49="","",SUMIFS('Stok Hareketleri'!$G$5:$G$2000,'Stok Hareketleri'!$D$5:$D$2000,$A49,'Stok Hareketleri'!$F$5:$F$2000,"Giriş",'Stok Hareketleri'!$C$5:$C$2000,$E$4))</f>
        <v/>
      </c>
      <c r="E49" s="5" t="str">
        <f>IF($A49="","",SUMIFS('Stok Hareketleri'!$G$5:$G$2000,'Stok Hareketleri'!$D$5:$D$2000,$A49,'Stok Hareketleri'!$F$5:$F$2000,"Çıkış",'Stok Hareketleri'!$C$5:$C$2000,$E$4))</f>
        <v/>
      </c>
      <c r="F49" s="5" t="str">
        <f t="shared" si="0"/>
        <v/>
      </c>
      <c r="G49" s="5" t="str">
        <f>IF($A49="","",IFERROR(INDEX('Stok Durumu'!$G$5:$G$300,MATCH($A49,'Stok Durumu'!$A$5:$A$300,0)),""))</f>
        <v/>
      </c>
    </row>
    <row r="50" spans="1:7" x14ac:dyDescent="0.3">
      <c r="A50" s="5" t="str">
        <f>IF('Malzeme Tanımlama'!A48="","",IF('Malzeme Tanımlama'!C48=$B$4,'Malzeme Tanımlama'!A48,""))</f>
        <v/>
      </c>
      <c r="B50" s="5" t="str">
        <f>IF($A50="","",'Malzeme Tanımlama'!B48)</f>
        <v/>
      </c>
      <c r="C50" s="5" t="str">
        <f>IF($A50="","",'Malzeme Tanımlama'!D48)</f>
        <v/>
      </c>
      <c r="D50" s="5" t="str">
        <f>IF($A50="","",SUMIFS('Stok Hareketleri'!$G$5:$G$2000,'Stok Hareketleri'!$D$5:$D$2000,$A50,'Stok Hareketleri'!$F$5:$F$2000,"Giriş",'Stok Hareketleri'!$C$5:$C$2000,$E$4))</f>
        <v/>
      </c>
      <c r="E50" s="5" t="str">
        <f>IF($A50="","",SUMIFS('Stok Hareketleri'!$G$5:$G$2000,'Stok Hareketleri'!$D$5:$D$2000,$A50,'Stok Hareketleri'!$F$5:$F$2000,"Çıkış",'Stok Hareketleri'!$C$5:$C$2000,$E$4))</f>
        <v/>
      </c>
      <c r="F50" s="5" t="str">
        <f t="shared" si="0"/>
        <v/>
      </c>
      <c r="G50" s="5" t="str">
        <f>IF($A50="","",IFERROR(INDEX('Stok Durumu'!$G$5:$G$300,MATCH($A50,'Stok Durumu'!$A$5:$A$300,0)),""))</f>
        <v/>
      </c>
    </row>
    <row r="51" spans="1:7" x14ac:dyDescent="0.3">
      <c r="A51" s="5" t="str">
        <f>IF('Malzeme Tanımlama'!A49="","",IF('Malzeme Tanımlama'!C49=$B$4,'Malzeme Tanımlama'!A49,""))</f>
        <v/>
      </c>
      <c r="B51" s="5" t="str">
        <f>IF($A51="","",'Malzeme Tanımlama'!B49)</f>
        <v/>
      </c>
      <c r="C51" s="5" t="str">
        <f>IF($A51="","",'Malzeme Tanımlama'!D49)</f>
        <v/>
      </c>
      <c r="D51" s="5" t="str">
        <f>IF($A51="","",SUMIFS('Stok Hareketleri'!$G$5:$G$2000,'Stok Hareketleri'!$D$5:$D$2000,$A51,'Stok Hareketleri'!$F$5:$F$2000,"Giriş",'Stok Hareketleri'!$C$5:$C$2000,$E$4))</f>
        <v/>
      </c>
      <c r="E51" s="5" t="str">
        <f>IF($A51="","",SUMIFS('Stok Hareketleri'!$G$5:$G$2000,'Stok Hareketleri'!$D$5:$D$2000,$A51,'Stok Hareketleri'!$F$5:$F$2000,"Çıkış",'Stok Hareketleri'!$C$5:$C$2000,$E$4))</f>
        <v/>
      </c>
      <c r="F51" s="5" t="str">
        <f t="shared" si="0"/>
        <v/>
      </c>
      <c r="G51" s="5" t="str">
        <f>IF($A51="","",IFERROR(INDEX('Stok Durumu'!$G$5:$G$300,MATCH($A51,'Stok Durumu'!$A$5:$A$300,0)),""))</f>
        <v/>
      </c>
    </row>
    <row r="52" spans="1:7" x14ac:dyDescent="0.3">
      <c r="A52" s="5" t="str">
        <f>IF('Malzeme Tanımlama'!A50="","",IF('Malzeme Tanımlama'!C50=$B$4,'Malzeme Tanımlama'!A50,""))</f>
        <v/>
      </c>
      <c r="B52" s="5" t="str">
        <f>IF($A52="","",'Malzeme Tanımlama'!B50)</f>
        <v/>
      </c>
      <c r="C52" s="5" t="str">
        <f>IF($A52="","",'Malzeme Tanımlama'!D50)</f>
        <v/>
      </c>
      <c r="D52" s="5" t="str">
        <f>IF($A52="","",SUMIFS('Stok Hareketleri'!$G$5:$G$2000,'Stok Hareketleri'!$D$5:$D$2000,$A52,'Stok Hareketleri'!$F$5:$F$2000,"Giriş",'Stok Hareketleri'!$C$5:$C$2000,$E$4))</f>
        <v/>
      </c>
      <c r="E52" s="5" t="str">
        <f>IF($A52="","",SUMIFS('Stok Hareketleri'!$G$5:$G$2000,'Stok Hareketleri'!$D$5:$D$2000,$A52,'Stok Hareketleri'!$F$5:$F$2000,"Çıkış",'Stok Hareketleri'!$C$5:$C$2000,$E$4))</f>
        <v/>
      </c>
      <c r="F52" s="5" t="str">
        <f t="shared" si="0"/>
        <v/>
      </c>
      <c r="G52" s="5" t="str">
        <f>IF($A52="","",IFERROR(INDEX('Stok Durumu'!$G$5:$G$300,MATCH($A52,'Stok Durumu'!$A$5:$A$300,0)),""))</f>
        <v/>
      </c>
    </row>
    <row r="53" spans="1:7" x14ac:dyDescent="0.3">
      <c r="A53" s="5" t="str">
        <f>IF('Malzeme Tanımlama'!A51="","",IF('Malzeme Tanımlama'!C51=$B$4,'Malzeme Tanımlama'!A51,""))</f>
        <v/>
      </c>
      <c r="B53" s="5" t="str">
        <f>IF($A53="","",'Malzeme Tanımlama'!B51)</f>
        <v/>
      </c>
      <c r="C53" s="5" t="str">
        <f>IF($A53="","",'Malzeme Tanımlama'!D51)</f>
        <v/>
      </c>
      <c r="D53" s="5" t="str">
        <f>IF($A53="","",SUMIFS('Stok Hareketleri'!$G$5:$G$2000,'Stok Hareketleri'!$D$5:$D$2000,$A53,'Stok Hareketleri'!$F$5:$F$2000,"Giriş",'Stok Hareketleri'!$C$5:$C$2000,$E$4))</f>
        <v/>
      </c>
      <c r="E53" s="5" t="str">
        <f>IF($A53="","",SUMIFS('Stok Hareketleri'!$G$5:$G$2000,'Stok Hareketleri'!$D$5:$D$2000,$A53,'Stok Hareketleri'!$F$5:$F$2000,"Çıkış",'Stok Hareketleri'!$C$5:$C$2000,$E$4))</f>
        <v/>
      </c>
      <c r="F53" s="5" t="str">
        <f t="shared" si="0"/>
        <v/>
      </c>
      <c r="G53" s="5" t="str">
        <f>IF($A53="","",IFERROR(INDEX('Stok Durumu'!$G$5:$G$300,MATCH($A53,'Stok Durumu'!$A$5:$A$300,0)),""))</f>
        <v/>
      </c>
    </row>
    <row r="54" spans="1:7" x14ac:dyDescent="0.3">
      <c r="A54" s="5" t="str">
        <f>IF('Malzeme Tanımlama'!A52="","",IF('Malzeme Tanımlama'!C52=$B$4,'Malzeme Tanımlama'!A52,""))</f>
        <v/>
      </c>
      <c r="B54" s="5" t="str">
        <f>IF($A54="","",'Malzeme Tanımlama'!B52)</f>
        <v/>
      </c>
      <c r="C54" s="5" t="str">
        <f>IF($A54="","",'Malzeme Tanımlama'!D52)</f>
        <v/>
      </c>
      <c r="D54" s="5" t="str">
        <f>IF($A54="","",SUMIFS('Stok Hareketleri'!$G$5:$G$2000,'Stok Hareketleri'!$D$5:$D$2000,$A54,'Stok Hareketleri'!$F$5:$F$2000,"Giriş",'Stok Hareketleri'!$C$5:$C$2000,$E$4))</f>
        <v/>
      </c>
      <c r="E54" s="5" t="str">
        <f>IF($A54="","",SUMIFS('Stok Hareketleri'!$G$5:$G$2000,'Stok Hareketleri'!$D$5:$D$2000,$A54,'Stok Hareketleri'!$F$5:$F$2000,"Çıkış",'Stok Hareketleri'!$C$5:$C$2000,$E$4))</f>
        <v/>
      </c>
      <c r="F54" s="5" t="str">
        <f t="shared" si="0"/>
        <v/>
      </c>
      <c r="G54" s="5" t="str">
        <f>IF($A54="","",IFERROR(INDEX('Stok Durumu'!$G$5:$G$300,MATCH($A54,'Stok Durumu'!$A$5:$A$300,0)),""))</f>
        <v/>
      </c>
    </row>
    <row r="55" spans="1:7" x14ac:dyDescent="0.3">
      <c r="A55" s="5" t="str">
        <f>IF('Malzeme Tanımlama'!A53="","",IF('Malzeme Tanımlama'!C53=$B$4,'Malzeme Tanımlama'!A53,""))</f>
        <v/>
      </c>
      <c r="B55" s="5" t="str">
        <f>IF($A55="","",'Malzeme Tanımlama'!B53)</f>
        <v/>
      </c>
      <c r="C55" s="5" t="str">
        <f>IF($A55="","",'Malzeme Tanımlama'!D53)</f>
        <v/>
      </c>
      <c r="D55" s="5" t="str">
        <f>IF($A55="","",SUMIFS('Stok Hareketleri'!$G$5:$G$2000,'Stok Hareketleri'!$D$5:$D$2000,$A55,'Stok Hareketleri'!$F$5:$F$2000,"Giriş",'Stok Hareketleri'!$C$5:$C$2000,$E$4))</f>
        <v/>
      </c>
      <c r="E55" s="5" t="str">
        <f>IF($A55="","",SUMIFS('Stok Hareketleri'!$G$5:$G$2000,'Stok Hareketleri'!$D$5:$D$2000,$A55,'Stok Hareketleri'!$F$5:$F$2000,"Çıkış",'Stok Hareketleri'!$C$5:$C$2000,$E$4))</f>
        <v/>
      </c>
      <c r="F55" s="5" t="str">
        <f t="shared" si="0"/>
        <v/>
      </c>
      <c r="G55" s="5" t="str">
        <f>IF($A55="","",IFERROR(INDEX('Stok Durumu'!$G$5:$G$300,MATCH($A55,'Stok Durumu'!$A$5:$A$300,0)),""))</f>
        <v/>
      </c>
    </row>
    <row r="56" spans="1:7" x14ac:dyDescent="0.3">
      <c r="A56" s="5" t="str">
        <f>IF('Malzeme Tanımlama'!A54="","",IF('Malzeme Tanımlama'!C54=$B$4,'Malzeme Tanımlama'!A54,""))</f>
        <v/>
      </c>
      <c r="B56" s="5" t="str">
        <f>IF($A56="","",'Malzeme Tanımlama'!B54)</f>
        <v/>
      </c>
      <c r="C56" s="5" t="str">
        <f>IF($A56="","",'Malzeme Tanımlama'!D54)</f>
        <v/>
      </c>
      <c r="D56" s="5" t="str">
        <f>IF($A56="","",SUMIFS('Stok Hareketleri'!$G$5:$G$2000,'Stok Hareketleri'!$D$5:$D$2000,$A56,'Stok Hareketleri'!$F$5:$F$2000,"Giriş",'Stok Hareketleri'!$C$5:$C$2000,$E$4))</f>
        <v/>
      </c>
      <c r="E56" s="5" t="str">
        <f>IF($A56="","",SUMIFS('Stok Hareketleri'!$G$5:$G$2000,'Stok Hareketleri'!$D$5:$D$2000,$A56,'Stok Hareketleri'!$F$5:$F$2000,"Çıkış",'Stok Hareketleri'!$C$5:$C$2000,$E$4))</f>
        <v/>
      </c>
      <c r="F56" s="5" t="str">
        <f t="shared" si="0"/>
        <v/>
      </c>
      <c r="G56" s="5" t="str">
        <f>IF($A56="","",IFERROR(INDEX('Stok Durumu'!$G$5:$G$300,MATCH($A56,'Stok Durumu'!$A$5:$A$300,0)),""))</f>
        <v/>
      </c>
    </row>
    <row r="57" spans="1:7" x14ac:dyDescent="0.3">
      <c r="A57" s="5" t="str">
        <f>IF('Malzeme Tanımlama'!A55="","",IF('Malzeme Tanımlama'!C55=$B$4,'Malzeme Tanımlama'!A55,""))</f>
        <v/>
      </c>
      <c r="B57" s="5" t="str">
        <f>IF($A57="","",'Malzeme Tanımlama'!B55)</f>
        <v/>
      </c>
      <c r="C57" s="5" t="str">
        <f>IF($A57="","",'Malzeme Tanımlama'!D55)</f>
        <v/>
      </c>
      <c r="D57" s="5" t="str">
        <f>IF($A57="","",SUMIFS('Stok Hareketleri'!$G$5:$G$2000,'Stok Hareketleri'!$D$5:$D$2000,$A57,'Stok Hareketleri'!$F$5:$F$2000,"Giriş",'Stok Hareketleri'!$C$5:$C$2000,$E$4))</f>
        <v/>
      </c>
      <c r="E57" s="5" t="str">
        <f>IF($A57="","",SUMIFS('Stok Hareketleri'!$G$5:$G$2000,'Stok Hareketleri'!$D$5:$D$2000,$A57,'Stok Hareketleri'!$F$5:$F$2000,"Çıkış",'Stok Hareketleri'!$C$5:$C$2000,$E$4))</f>
        <v/>
      </c>
      <c r="F57" s="5" t="str">
        <f t="shared" si="0"/>
        <v/>
      </c>
      <c r="G57" s="5" t="str">
        <f>IF($A57="","",IFERROR(INDEX('Stok Durumu'!$G$5:$G$300,MATCH($A57,'Stok Durumu'!$A$5:$A$300,0)),""))</f>
        <v/>
      </c>
    </row>
    <row r="58" spans="1:7" x14ac:dyDescent="0.3">
      <c r="A58" s="5" t="str">
        <f>IF('Malzeme Tanımlama'!A56="","",IF('Malzeme Tanımlama'!C56=$B$4,'Malzeme Tanımlama'!A56,""))</f>
        <v/>
      </c>
      <c r="B58" s="5" t="str">
        <f>IF($A58="","",'Malzeme Tanımlama'!B56)</f>
        <v/>
      </c>
      <c r="C58" s="5" t="str">
        <f>IF($A58="","",'Malzeme Tanımlama'!D56)</f>
        <v/>
      </c>
      <c r="D58" s="5" t="str">
        <f>IF($A58="","",SUMIFS('Stok Hareketleri'!$G$5:$G$2000,'Stok Hareketleri'!$D$5:$D$2000,$A58,'Stok Hareketleri'!$F$5:$F$2000,"Giriş",'Stok Hareketleri'!$C$5:$C$2000,$E$4))</f>
        <v/>
      </c>
      <c r="E58" s="5" t="str">
        <f>IF($A58="","",SUMIFS('Stok Hareketleri'!$G$5:$G$2000,'Stok Hareketleri'!$D$5:$D$2000,$A58,'Stok Hareketleri'!$F$5:$F$2000,"Çıkış",'Stok Hareketleri'!$C$5:$C$2000,$E$4))</f>
        <v/>
      </c>
      <c r="F58" s="5" t="str">
        <f t="shared" si="0"/>
        <v/>
      </c>
      <c r="G58" s="5" t="str">
        <f>IF($A58="","",IFERROR(INDEX('Stok Durumu'!$G$5:$G$300,MATCH($A58,'Stok Durumu'!$A$5:$A$300,0)),""))</f>
        <v/>
      </c>
    </row>
    <row r="59" spans="1:7" x14ac:dyDescent="0.3">
      <c r="A59" s="5" t="str">
        <f>IF('Malzeme Tanımlama'!A57="","",IF('Malzeme Tanımlama'!C57=$B$4,'Malzeme Tanımlama'!A57,""))</f>
        <v/>
      </c>
      <c r="B59" s="5" t="str">
        <f>IF($A59="","",'Malzeme Tanımlama'!B57)</f>
        <v/>
      </c>
      <c r="C59" s="5" t="str">
        <f>IF($A59="","",'Malzeme Tanımlama'!D57)</f>
        <v/>
      </c>
      <c r="D59" s="5" t="str">
        <f>IF($A59="","",SUMIFS('Stok Hareketleri'!$G$5:$G$2000,'Stok Hareketleri'!$D$5:$D$2000,$A59,'Stok Hareketleri'!$F$5:$F$2000,"Giriş",'Stok Hareketleri'!$C$5:$C$2000,$E$4))</f>
        <v/>
      </c>
      <c r="E59" s="5" t="str">
        <f>IF($A59="","",SUMIFS('Stok Hareketleri'!$G$5:$G$2000,'Stok Hareketleri'!$D$5:$D$2000,$A59,'Stok Hareketleri'!$F$5:$F$2000,"Çıkış",'Stok Hareketleri'!$C$5:$C$2000,$E$4))</f>
        <v/>
      </c>
      <c r="F59" s="5" t="str">
        <f t="shared" si="0"/>
        <v/>
      </c>
      <c r="G59" s="5" t="str">
        <f>IF($A59="","",IFERROR(INDEX('Stok Durumu'!$G$5:$G$300,MATCH($A59,'Stok Durumu'!$A$5:$A$300,0)),""))</f>
        <v/>
      </c>
    </row>
    <row r="60" spans="1:7" x14ac:dyDescent="0.3">
      <c r="A60" s="5" t="str">
        <f>IF('Malzeme Tanımlama'!A58="","",IF('Malzeme Tanımlama'!C58=$B$4,'Malzeme Tanımlama'!A58,""))</f>
        <v/>
      </c>
      <c r="B60" s="5" t="str">
        <f>IF($A60="","",'Malzeme Tanımlama'!B58)</f>
        <v/>
      </c>
      <c r="C60" s="5" t="str">
        <f>IF($A60="","",'Malzeme Tanımlama'!D58)</f>
        <v/>
      </c>
      <c r="D60" s="5" t="str">
        <f>IF($A60="","",SUMIFS('Stok Hareketleri'!$G$5:$G$2000,'Stok Hareketleri'!$D$5:$D$2000,$A60,'Stok Hareketleri'!$F$5:$F$2000,"Giriş",'Stok Hareketleri'!$C$5:$C$2000,$E$4))</f>
        <v/>
      </c>
      <c r="E60" s="5" t="str">
        <f>IF($A60="","",SUMIFS('Stok Hareketleri'!$G$5:$G$2000,'Stok Hareketleri'!$D$5:$D$2000,$A60,'Stok Hareketleri'!$F$5:$F$2000,"Çıkış",'Stok Hareketleri'!$C$5:$C$2000,$E$4))</f>
        <v/>
      </c>
      <c r="F60" s="5" t="str">
        <f t="shared" si="0"/>
        <v/>
      </c>
      <c r="G60" s="5" t="str">
        <f>IF($A60="","",IFERROR(INDEX('Stok Durumu'!$G$5:$G$300,MATCH($A60,'Stok Durumu'!$A$5:$A$300,0)),""))</f>
        <v/>
      </c>
    </row>
    <row r="61" spans="1:7" x14ac:dyDescent="0.3">
      <c r="A61" s="5" t="str">
        <f>IF('Malzeme Tanımlama'!A59="","",IF('Malzeme Tanımlama'!C59=$B$4,'Malzeme Tanımlama'!A59,""))</f>
        <v/>
      </c>
      <c r="B61" s="5" t="str">
        <f>IF($A61="","",'Malzeme Tanımlama'!B59)</f>
        <v/>
      </c>
      <c r="C61" s="5" t="str">
        <f>IF($A61="","",'Malzeme Tanımlama'!D59)</f>
        <v/>
      </c>
      <c r="D61" s="5" t="str">
        <f>IF($A61="","",SUMIFS('Stok Hareketleri'!$G$5:$G$2000,'Stok Hareketleri'!$D$5:$D$2000,$A61,'Stok Hareketleri'!$F$5:$F$2000,"Giriş",'Stok Hareketleri'!$C$5:$C$2000,$E$4))</f>
        <v/>
      </c>
      <c r="E61" s="5" t="str">
        <f>IF($A61="","",SUMIFS('Stok Hareketleri'!$G$5:$G$2000,'Stok Hareketleri'!$D$5:$D$2000,$A61,'Stok Hareketleri'!$F$5:$F$2000,"Çıkış",'Stok Hareketleri'!$C$5:$C$2000,$E$4))</f>
        <v/>
      </c>
      <c r="F61" s="5" t="str">
        <f t="shared" si="0"/>
        <v/>
      </c>
      <c r="G61" s="5" t="str">
        <f>IF($A61="","",IFERROR(INDEX('Stok Durumu'!$G$5:$G$300,MATCH($A61,'Stok Durumu'!$A$5:$A$300,0)),""))</f>
        <v/>
      </c>
    </row>
    <row r="62" spans="1:7" x14ac:dyDescent="0.3">
      <c r="A62" s="5" t="str">
        <f>IF('Malzeme Tanımlama'!A60="","",IF('Malzeme Tanımlama'!C60=$B$4,'Malzeme Tanımlama'!A60,""))</f>
        <v/>
      </c>
      <c r="B62" s="5" t="str">
        <f>IF($A62="","",'Malzeme Tanımlama'!B60)</f>
        <v/>
      </c>
      <c r="C62" s="5" t="str">
        <f>IF($A62="","",'Malzeme Tanımlama'!D60)</f>
        <v/>
      </c>
      <c r="D62" s="5" t="str">
        <f>IF($A62="","",SUMIFS('Stok Hareketleri'!$G$5:$G$2000,'Stok Hareketleri'!$D$5:$D$2000,$A62,'Stok Hareketleri'!$F$5:$F$2000,"Giriş",'Stok Hareketleri'!$C$5:$C$2000,$E$4))</f>
        <v/>
      </c>
      <c r="E62" s="5" t="str">
        <f>IF($A62="","",SUMIFS('Stok Hareketleri'!$G$5:$G$2000,'Stok Hareketleri'!$D$5:$D$2000,$A62,'Stok Hareketleri'!$F$5:$F$2000,"Çıkış",'Stok Hareketleri'!$C$5:$C$2000,$E$4))</f>
        <v/>
      </c>
      <c r="F62" s="5" t="str">
        <f t="shared" si="0"/>
        <v/>
      </c>
      <c r="G62" s="5" t="str">
        <f>IF($A62="","",IFERROR(INDEX('Stok Durumu'!$G$5:$G$300,MATCH($A62,'Stok Durumu'!$A$5:$A$300,0)),""))</f>
        <v/>
      </c>
    </row>
    <row r="63" spans="1:7" x14ac:dyDescent="0.3">
      <c r="A63" s="5" t="str">
        <f>IF('Malzeme Tanımlama'!A61="","",IF('Malzeme Tanımlama'!C61=$B$4,'Malzeme Tanımlama'!A61,""))</f>
        <v/>
      </c>
      <c r="B63" s="5" t="str">
        <f>IF($A63="","",'Malzeme Tanımlama'!B61)</f>
        <v/>
      </c>
      <c r="C63" s="5" t="str">
        <f>IF($A63="","",'Malzeme Tanımlama'!D61)</f>
        <v/>
      </c>
      <c r="D63" s="5" t="str">
        <f>IF($A63="","",SUMIFS('Stok Hareketleri'!$G$5:$G$2000,'Stok Hareketleri'!$D$5:$D$2000,$A63,'Stok Hareketleri'!$F$5:$F$2000,"Giriş",'Stok Hareketleri'!$C$5:$C$2000,$E$4))</f>
        <v/>
      </c>
      <c r="E63" s="5" t="str">
        <f>IF($A63="","",SUMIFS('Stok Hareketleri'!$G$5:$G$2000,'Stok Hareketleri'!$D$5:$D$2000,$A63,'Stok Hareketleri'!$F$5:$F$2000,"Çıkış",'Stok Hareketleri'!$C$5:$C$2000,$E$4))</f>
        <v/>
      </c>
      <c r="F63" s="5" t="str">
        <f t="shared" si="0"/>
        <v/>
      </c>
      <c r="G63" s="5" t="str">
        <f>IF($A63="","",IFERROR(INDEX('Stok Durumu'!$G$5:$G$300,MATCH($A63,'Stok Durumu'!$A$5:$A$300,0)),""))</f>
        <v/>
      </c>
    </row>
    <row r="64" spans="1:7" x14ac:dyDescent="0.3">
      <c r="A64" s="5" t="str">
        <f>IF('Malzeme Tanımlama'!A62="","",IF('Malzeme Tanımlama'!C62=$B$4,'Malzeme Tanımlama'!A62,""))</f>
        <v/>
      </c>
      <c r="B64" s="5" t="str">
        <f>IF($A64="","",'Malzeme Tanımlama'!B62)</f>
        <v/>
      </c>
      <c r="C64" s="5" t="str">
        <f>IF($A64="","",'Malzeme Tanımlama'!D62)</f>
        <v/>
      </c>
      <c r="D64" s="5" t="str">
        <f>IF($A64="","",SUMIFS('Stok Hareketleri'!$G$5:$G$2000,'Stok Hareketleri'!$D$5:$D$2000,$A64,'Stok Hareketleri'!$F$5:$F$2000,"Giriş",'Stok Hareketleri'!$C$5:$C$2000,$E$4))</f>
        <v/>
      </c>
      <c r="E64" s="5" t="str">
        <f>IF($A64="","",SUMIFS('Stok Hareketleri'!$G$5:$G$2000,'Stok Hareketleri'!$D$5:$D$2000,$A64,'Stok Hareketleri'!$F$5:$F$2000,"Çıkış",'Stok Hareketleri'!$C$5:$C$2000,$E$4))</f>
        <v/>
      </c>
      <c r="F64" s="5" t="str">
        <f t="shared" si="0"/>
        <v/>
      </c>
      <c r="G64" s="5" t="str">
        <f>IF($A64="","",IFERROR(INDEX('Stok Durumu'!$G$5:$G$300,MATCH($A64,'Stok Durumu'!$A$5:$A$300,0)),""))</f>
        <v/>
      </c>
    </row>
    <row r="65" spans="1:7" x14ac:dyDescent="0.3">
      <c r="A65" s="5" t="str">
        <f>IF('Malzeme Tanımlama'!A63="","",IF('Malzeme Tanımlama'!C63=$B$4,'Malzeme Tanımlama'!A63,""))</f>
        <v/>
      </c>
      <c r="B65" s="5" t="str">
        <f>IF($A65="","",'Malzeme Tanımlama'!B63)</f>
        <v/>
      </c>
      <c r="C65" s="5" t="str">
        <f>IF($A65="","",'Malzeme Tanımlama'!D63)</f>
        <v/>
      </c>
      <c r="D65" s="5" t="str">
        <f>IF($A65="","",SUMIFS('Stok Hareketleri'!$G$5:$G$2000,'Stok Hareketleri'!$D$5:$D$2000,$A65,'Stok Hareketleri'!$F$5:$F$2000,"Giriş",'Stok Hareketleri'!$C$5:$C$2000,$E$4))</f>
        <v/>
      </c>
      <c r="E65" s="5" t="str">
        <f>IF($A65="","",SUMIFS('Stok Hareketleri'!$G$5:$G$2000,'Stok Hareketleri'!$D$5:$D$2000,$A65,'Stok Hareketleri'!$F$5:$F$2000,"Çıkış",'Stok Hareketleri'!$C$5:$C$2000,$E$4))</f>
        <v/>
      </c>
      <c r="F65" s="5" t="str">
        <f t="shared" si="0"/>
        <v/>
      </c>
      <c r="G65" s="5" t="str">
        <f>IF($A65="","",IFERROR(INDEX('Stok Durumu'!$G$5:$G$300,MATCH($A65,'Stok Durumu'!$A$5:$A$300,0)),""))</f>
        <v/>
      </c>
    </row>
    <row r="66" spans="1:7" x14ac:dyDescent="0.3">
      <c r="A66" s="5" t="str">
        <f>IF('Malzeme Tanımlama'!A64="","",IF('Malzeme Tanımlama'!C64=$B$4,'Malzeme Tanımlama'!A64,""))</f>
        <v/>
      </c>
      <c r="B66" s="5" t="str">
        <f>IF($A66="","",'Malzeme Tanımlama'!B64)</f>
        <v/>
      </c>
      <c r="C66" s="5" t="str">
        <f>IF($A66="","",'Malzeme Tanımlama'!D64)</f>
        <v/>
      </c>
      <c r="D66" s="5" t="str">
        <f>IF($A66="","",SUMIFS('Stok Hareketleri'!$G$5:$G$2000,'Stok Hareketleri'!$D$5:$D$2000,$A66,'Stok Hareketleri'!$F$5:$F$2000,"Giriş",'Stok Hareketleri'!$C$5:$C$2000,$E$4))</f>
        <v/>
      </c>
      <c r="E66" s="5" t="str">
        <f>IF($A66="","",SUMIFS('Stok Hareketleri'!$G$5:$G$2000,'Stok Hareketleri'!$D$5:$D$2000,$A66,'Stok Hareketleri'!$F$5:$F$2000,"Çıkış",'Stok Hareketleri'!$C$5:$C$2000,$E$4))</f>
        <v/>
      </c>
      <c r="F66" s="5" t="str">
        <f t="shared" si="0"/>
        <v/>
      </c>
      <c r="G66" s="5" t="str">
        <f>IF($A66="","",IFERROR(INDEX('Stok Durumu'!$G$5:$G$300,MATCH($A66,'Stok Durumu'!$A$5:$A$300,0)),""))</f>
        <v/>
      </c>
    </row>
    <row r="67" spans="1:7" x14ac:dyDescent="0.3">
      <c r="A67" s="5" t="str">
        <f>IF('Malzeme Tanımlama'!A65="","",IF('Malzeme Tanımlama'!C65=$B$4,'Malzeme Tanımlama'!A65,""))</f>
        <v/>
      </c>
      <c r="B67" s="5" t="str">
        <f>IF($A67="","",'Malzeme Tanımlama'!B65)</f>
        <v/>
      </c>
      <c r="C67" s="5" t="str">
        <f>IF($A67="","",'Malzeme Tanımlama'!D65)</f>
        <v/>
      </c>
      <c r="D67" s="5" t="str">
        <f>IF($A67="","",SUMIFS('Stok Hareketleri'!$G$5:$G$2000,'Stok Hareketleri'!$D$5:$D$2000,$A67,'Stok Hareketleri'!$F$5:$F$2000,"Giriş",'Stok Hareketleri'!$C$5:$C$2000,$E$4))</f>
        <v/>
      </c>
      <c r="E67" s="5" t="str">
        <f>IF($A67="","",SUMIFS('Stok Hareketleri'!$G$5:$G$2000,'Stok Hareketleri'!$D$5:$D$2000,$A67,'Stok Hareketleri'!$F$5:$F$2000,"Çıkış",'Stok Hareketleri'!$C$5:$C$2000,$E$4))</f>
        <v/>
      </c>
      <c r="F67" s="5" t="str">
        <f t="shared" si="0"/>
        <v/>
      </c>
      <c r="G67" s="5" t="str">
        <f>IF($A67="","",IFERROR(INDEX('Stok Durumu'!$G$5:$G$300,MATCH($A67,'Stok Durumu'!$A$5:$A$300,0)),""))</f>
        <v/>
      </c>
    </row>
    <row r="68" spans="1:7" x14ac:dyDescent="0.3">
      <c r="A68" s="5" t="str">
        <f>IF('Malzeme Tanımlama'!A66="","",IF('Malzeme Tanımlama'!C66=$B$4,'Malzeme Tanımlama'!A66,""))</f>
        <v/>
      </c>
      <c r="B68" s="5" t="str">
        <f>IF($A68="","",'Malzeme Tanımlama'!B66)</f>
        <v/>
      </c>
      <c r="C68" s="5" t="str">
        <f>IF($A68="","",'Malzeme Tanımlama'!D66)</f>
        <v/>
      </c>
      <c r="D68" s="5" t="str">
        <f>IF($A68="","",SUMIFS('Stok Hareketleri'!$G$5:$G$2000,'Stok Hareketleri'!$D$5:$D$2000,$A68,'Stok Hareketleri'!$F$5:$F$2000,"Giriş",'Stok Hareketleri'!$C$5:$C$2000,$E$4))</f>
        <v/>
      </c>
      <c r="E68" s="5" t="str">
        <f>IF($A68="","",SUMIFS('Stok Hareketleri'!$G$5:$G$2000,'Stok Hareketleri'!$D$5:$D$2000,$A68,'Stok Hareketleri'!$F$5:$F$2000,"Çıkış",'Stok Hareketleri'!$C$5:$C$2000,$E$4))</f>
        <v/>
      </c>
      <c r="F68" s="5" t="str">
        <f t="shared" si="0"/>
        <v/>
      </c>
      <c r="G68" s="5" t="str">
        <f>IF($A68="","",IFERROR(INDEX('Stok Durumu'!$G$5:$G$300,MATCH($A68,'Stok Durumu'!$A$5:$A$300,0)),""))</f>
        <v/>
      </c>
    </row>
    <row r="69" spans="1:7" x14ac:dyDescent="0.3">
      <c r="A69" s="5" t="str">
        <f>IF('Malzeme Tanımlama'!A67="","",IF('Malzeme Tanımlama'!C67=$B$4,'Malzeme Tanımlama'!A67,""))</f>
        <v/>
      </c>
      <c r="B69" s="5" t="str">
        <f>IF($A69="","",'Malzeme Tanımlama'!B67)</f>
        <v/>
      </c>
      <c r="C69" s="5" t="str">
        <f>IF($A69="","",'Malzeme Tanımlama'!D67)</f>
        <v/>
      </c>
      <c r="D69" s="5" t="str">
        <f>IF($A69="","",SUMIFS('Stok Hareketleri'!$G$5:$G$2000,'Stok Hareketleri'!$D$5:$D$2000,$A69,'Stok Hareketleri'!$F$5:$F$2000,"Giriş",'Stok Hareketleri'!$C$5:$C$2000,$E$4))</f>
        <v/>
      </c>
      <c r="E69" s="5" t="str">
        <f>IF($A69="","",SUMIFS('Stok Hareketleri'!$G$5:$G$2000,'Stok Hareketleri'!$D$5:$D$2000,$A69,'Stok Hareketleri'!$F$5:$F$2000,"Çıkış",'Stok Hareketleri'!$C$5:$C$2000,$E$4))</f>
        <v/>
      </c>
      <c r="F69" s="5" t="str">
        <f t="shared" si="0"/>
        <v/>
      </c>
      <c r="G69" s="5" t="str">
        <f>IF($A69="","",IFERROR(INDEX('Stok Durumu'!$G$5:$G$300,MATCH($A69,'Stok Durumu'!$A$5:$A$300,0)),""))</f>
        <v/>
      </c>
    </row>
    <row r="70" spans="1:7" x14ac:dyDescent="0.3">
      <c r="A70" s="5" t="str">
        <f>IF('Malzeme Tanımlama'!A68="","",IF('Malzeme Tanımlama'!C68=$B$4,'Malzeme Tanımlama'!A68,""))</f>
        <v/>
      </c>
      <c r="B70" s="5" t="str">
        <f>IF($A70="","",'Malzeme Tanımlama'!B68)</f>
        <v/>
      </c>
      <c r="C70" s="5" t="str">
        <f>IF($A70="","",'Malzeme Tanımlama'!D68)</f>
        <v/>
      </c>
      <c r="D70" s="5" t="str">
        <f>IF($A70="","",SUMIFS('Stok Hareketleri'!$G$5:$G$2000,'Stok Hareketleri'!$D$5:$D$2000,$A70,'Stok Hareketleri'!$F$5:$F$2000,"Giriş",'Stok Hareketleri'!$C$5:$C$2000,$E$4))</f>
        <v/>
      </c>
      <c r="E70" s="5" t="str">
        <f>IF($A70="","",SUMIFS('Stok Hareketleri'!$G$5:$G$2000,'Stok Hareketleri'!$D$5:$D$2000,$A70,'Stok Hareketleri'!$F$5:$F$2000,"Çıkış",'Stok Hareketleri'!$C$5:$C$2000,$E$4))</f>
        <v/>
      </c>
      <c r="F70" s="5" t="str">
        <f t="shared" si="0"/>
        <v/>
      </c>
      <c r="G70" s="5" t="str">
        <f>IF($A70="","",IFERROR(INDEX('Stok Durumu'!$G$5:$G$300,MATCH($A70,'Stok Durumu'!$A$5:$A$300,0)),""))</f>
        <v/>
      </c>
    </row>
    <row r="71" spans="1:7" x14ac:dyDescent="0.3">
      <c r="A71" s="5" t="str">
        <f>IF('Malzeme Tanımlama'!A69="","",IF('Malzeme Tanımlama'!C69=$B$4,'Malzeme Tanımlama'!A69,""))</f>
        <v/>
      </c>
      <c r="B71" s="5" t="str">
        <f>IF($A71="","",'Malzeme Tanımlama'!B69)</f>
        <v/>
      </c>
      <c r="C71" s="5" t="str">
        <f>IF($A71="","",'Malzeme Tanımlama'!D69)</f>
        <v/>
      </c>
      <c r="D71" s="5" t="str">
        <f>IF($A71="","",SUMIFS('Stok Hareketleri'!$G$5:$G$2000,'Stok Hareketleri'!$D$5:$D$2000,$A71,'Stok Hareketleri'!$F$5:$F$2000,"Giriş",'Stok Hareketleri'!$C$5:$C$2000,$E$4))</f>
        <v/>
      </c>
      <c r="E71" s="5" t="str">
        <f>IF($A71="","",SUMIFS('Stok Hareketleri'!$G$5:$G$2000,'Stok Hareketleri'!$D$5:$D$2000,$A71,'Stok Hareketleri'!$F$5:$F$2000,"Çıkış",'Stok Hareketleri'!$C$5:$C$2000,$E$4))</f>
        <v/>
      </c>
      <c r="F71" s="5" t="str">
        <f t="shared" ref="F71:F134" si="1">IF($A71="","",$D71-$E71)</f>
        <v/>
      </c>
      <c r="G71" s="5" t="str">
        <f>IF($A71="","",IFERROR(INDEX('Stok Durumu'!$G$5:$G$300,MATCH($A71,'Stok Durumu'!$A$5:$A$300,0)),""))</f>
        <v/>
      </c>
    </row>
    <row r="72" spans="1:7" x14ac:dyDescent="0.3">
      <c r="A72" s="5" t="str">
        <f>IF('Malzeme Tanımlama'!A70="","",IF('Malzeme Tanımlama'!C70=$B$4,'Malzeme Tanımlama'!A70,""))</f>
        <v/>
      </c>
      <c r="B72" s="5" t="str">
        <f>IF($A72="","",'Malzeme Tanımlama'!B70)</f>
        <v/>
      </c>
      <c r="C72" s="5" t="str">
        <f>IF($A72="","",'Malzeme Tanımlama'!D70)</f>
        <v/>
      </c>
      <c r="D72" s="5" t="str">
        <f>IF($A72="","",SUMIFS('Stok Hareketleri'!$G$5:$G$2000,'Stok Hareketleri'!$D$5:$D$2000,$A72,'Stok Hareketleri'!$F$5:$F$2000,"Giriş",'Stok Hareketleri'!$C$5:$C$2000,$E$4))</f>
        <v/>
      </c>
      <c r="E72" s="5" t="str">
        <f>IF($A72="","",SUMIFS('Stok Hareketleri'!$G$5:$G$2000,'Stok Hareketleri'!$D$5:$D$2000,$A72,'Stok Hareketleri'!$F$5:$F$2000,"Çıkış",'Stok Hareketleri'!$C$5:$C$2000,$E$4))</f>
        <v/>
      </c>
      <c r="F72" s="5" t="str">
        <f t="shared" si="1"/>
        <v/>
      </c>
      <c r="G72" s="5" t="str">
        <f>IF($A72="","",IFERROR(INDEX('Stok Durumu'!$G$5:$G$300,MATCH($A72,'Stok Durumu'!$A$5:$A$300,0)),""))</f>
        <v/>
      </c>
    </row>
    <row r="73" spans="1:7" x14ac:dyDescent="0.3">
      <c r="A73" s="5" t="str">
        <f>IF('Malzeme Tanımlama'!A71="","",IF('Malzeme Tanımlama'!C71=$B$4,'Malzeme Tanımlama'!A71,""))</f>
        <v/>
      </c>
      <c r="B73" s="5" t="str">
        <f>IF($A73="","",'Malzeme Tanımlama'!B71)</f>
        <v/>
      </c>
      <c r="C73" s="5" t="str">
        <f>IF($A73="","",'Malzeme Tanımlama'!D71)</f>
        <v/>
      </c>
      <c r="D73" s="5" t="str">
        <f>IF($A73="","",SUMIFS('Stok Hareketleri'!$G$5:$G$2000,'Stok Hareketleri'!$D$5:$D$2000,$A73,'Stok Hareketleri'!$F$5:$F$2000,"Giriş",'Stok Hareketleri'!$C$5:$C$2000,$E$4))</f>
        <v/>
      </c>
      <c r="E73" s="5" t="str">
        <f>IF($A73="","",SUMIFS('Stok Hareketleri'!$G$5:$G$2000,'Stok Hareketleri'!$D$5:$D$2000,$A73,'Stok Hareketleri'!$F$5:$F$2000,"Çıkış",'Stok Hareketleri'!$C$5:$C$2000,$E$4))</f>
        <v/>
      </c>
      <c r="F73" s="5" t="str">
        <f t="shared" si="1"/>
        <v/>
      </c>
      <c r="G73" s="5" t="str">
        <f>IF($A73="","",IFERROR(INDEX('Stok Durumu'!$G$5:$G$300,MATCH($A73,'Stok Durumu'!$A$5:$A$300,0)),""))</f>
        <v/>
      </c>
    </row>
    <row r="74" spans="1:7" x14ac:dyDescent="0.3">
      <c r="A74" s="5" t="str">
        <f>IF('Malzeme Tanımlama'!A72="","",IF('Malzeme Tanımlama'!C72=$B$4,'Malzeme Tanımlama'!A72,""))</f>
        <v/>
      </c>
      <c r="B74" s="5" t="str">
        <f>IF($A74="","",'Malzeme Tanımlama'!B72)</f>
        <v/>
      </c>
      <c r="C74" s="5" t="str">
        <f>IF($A74="","",'Malzeme Tanımlama'!D72)</f>
        <v/>
      </c>
      <c r="D74" s="5" t="str">
        <f>IF($A74="","",SUMIFS('Stok Hareketleri'!$G$5:$G$2000,'Stok Hareketleri'!$D$5:$D$2000,$A74,'Stok Hareketleri'!$F$5:$F$2000,"Giriş",'Stok Hareketleri'!$C$5:$C$2000,$E$4))</f>
        <v/>
      </c>
      <c r="E74" s="5" t="str">
        <f>IF($A74="","",SUMIFS('Stok Hareketleri'!$G$5:$G$2000,'Stok Hareketleri'!$D$5:$D$2000,$A74,'Stok Hareketleri'!$F$5:$F$2000,"Çıkış",'Stok Hareketleri'!$C$5:$C$2000,$E$4))</f>
        <v/>
      </c>
      <c r="F74" s="5" t="str">
        <f t="shared" si="1"/>
        <v/>
      </c>
      <c r="G74" s="5" t="str">
        <f>IF($A74="","",IFERROR(INDEX('Stok Durumu'!$G$5:$G$300,MATCH($A74,'Stok Durumu'!$A$5:$A$300,0)),""))</f>
        <v/>
      </c>
    </row>
    <row r="75" spans="1:7" x14ac:dyDescent="0.3">
      <c r="A75" s="5" t="str">
        <f>IF('Malzeme Tanımlama'!A73="","",IF('Malzeme Tanımlama'!C73=$B$4,'Malzeme Tanımlama'!A73,""))</f>
        <v/>
      </c>
      <c r="B75" s="5" t="str">
        <f>IF($A75="","",'Malzeme Tanımlama'!B73)</f>
        <v/>
      </c>
      <c r="C75" s="5" t="str">
        <f>IF($A75="","",'Malzeme Tanımlama'!D73)</f>
        <v/>
      </c>
      <c r="D75" s="5" t="str">
        <f>IF($A75="","",SUMIFS('Stok Hareketleri'!$G$5:$G$2000,'Stok Hareketleri'!$D$5:$D$2000,$A75,'Stok Hareketleri'!$F$5:$F$2000,"Giriş",'Stok Hareketleri'!$C$5:$C$2000,$E$4))</f>
        <v/>
      </c>
      <c r="E75" s="5" t="str">
        <f>IF($A75="","",SUMIFS('Stok Hareketleri'!$G$5:$G$2000,'Stok Hareketleri'!$D$5:$D$2000,$A75,'Stok Hareketleri'!$F$5:$F$2000,"Çıkış",'Stok Hareketleri'!$C$5:$C$2000,$E$4))</f>
        <v/>
      </c>
      <c r="F75" s="5" t="str">
        <f t="shared" si="1"/>
        <v/>
      </c>
      <c r="G75" s="5" t="str">
        <f>IF($A75="","",IFERROR(INDEX('Stok Durumu'!$G$5:$G$300,MATCH($A75,'Stok Durumu'!$A$5:$A$300,0)),""))</f>
        <v/>
      </c>
    </row>
    <row r="76" spans="1:7" x14ac:dyDescent="0.3">
      <c r="A76" s="5" t="str">
        <f>IF('Malzeme Tanımlama'!A74="","",IF('Malzeme Tanımlama'!C74=$B$4,'Malzeme Tanımlama'!A74,""))</f>
        <v/>
      </c>
      <c r="B76" s="5" t="str">
        <f>IF($A76="","",'Malzeme Tanımlama'!B74)</f>
        <v/>
      </c>
      <c r="C76" s="5" t="str">
        <f>IF($A76="","",'Malzeme Tanımlama'!D74)</f>
        <v/>
      </c>
      <c r="D76" s="5" t="str">
        <f>IF($A76="","",SUMIFS('Stok Hareketleri'!$G$5:$G$2000,'Stok Hareketleri'!$D$5:$D$2000,$A76,'Stok Hareketleri'!$F$5:$F$2000,"Giriş",'Stok Hareketleri'!$C$5:$C$2000,$E$4))</f>
        <v/>
      </c>
      <c r="E76" s="5" t="str">
        <f>IF($A76="","",SUMIFS('Stok Hareketleri'!$G$5:$G$2000,'Stok Hareketleri'!$D$5:$D$2000,$A76,'Stok Hareketleri'!$F$5:$F$2000,"Çıkış",'Stok Hareketleri'!$C$5:$C$2000,$E$4))</f>
        <v/>
      </c>
      <c r="F76" s="5" t="str">
        <f t="shared" si="1"/>
        <v/>
      </c>
      <c r="G76" s="5" t="str">
        <f>IF($A76="","",IFERROR(INDEX('Stok Durumu'!$G$5:$G$300,MATCH($A76,'Stok Durumu'!$A$5:$A$300,0)),""))</f>
        <v/>
      </c>
    </row>
    <row r="77" spans="1:7" x14ac:dyDescent="0.3">
      <c r="A77" s="5" t="str">
        <f>IF('Malzeme Tanımlama'!A75="","",IF('Malzeme Tanımlama'!C75=$B$4,'Malzeme Tanımlama'!A75,""))</f>
        <v/>
      </c>
      <c r="B77" s="5" t="str">
        <f>IF($A77="","",'Malzeme Tanımlama'!B75)</f>
        <v/>
      </c>
      <c r="C77" s="5" t="str">
        <f>IF($A77="","",'Malzeme Tanımlama'!D75)</f>
        <v/>
      </c>
      <c r="D77" s="5" t="str">
        <f>IF($A77="","",SUMIFS('Stok Hareketleri'!$G$5:$G$2000,'Stok Hareketleri'!$D$5:$D$2000,$A77,'Stok Hareketleri'!$F$5:$F$2000,"Giriş",'Stok Hareketleri'!$C$5:$C$2000,$E$4))</f>
        <v/>
      </c>
      <c r="E77" s="5" t="str">
        <f>IF($A77="","",SUMIFS('Stok Hareketleri'!$G$5:$G$2000,'Stok Hareketleri'!$D$5:$D$2000,$A77,'Stok Hareketleri'!$F$5:$F$2000,"Çıkış",'Stok Hareketleri'!$C$5:$C$2000,$E$4))</f>
        <v/>
      </c>
      <c r="F77" s="5" t="str">
        <f t="shared" si="1"/>
        <v/>
      </c>
      <c r="G77" s="5" t="str">
        <f>IF($A77="","",IFERROR(INDEX('Stok Durumu'!$G$5:$G$300,MATCH($A77,'Stok Durumu'!$A$5:$A$300,0)),""))</f>
        <v/>
      </c>
    </row>
    <row r="78" spans="1:7" x14ac:dyDescent="0.3">
      <c r="A78" s="5" t="str">
        <f>IF('Malzeme Tanımlama'!A76="","",IF('Malzeme Tanımlama'!C76=$B$4,'Malzeme Tanımlama'!A76,""))</f>
        <v/>
      </c>
      <c r="B78" s="5" t="str">
        <f>IF($A78="","",'Malzeme Tanımlama'!B76)</f>
        <v/>
      </c>
      <c r="C78" s="5" t="str">
        <f>IF($A78="","",'Malzeme Tanımlama'!D76)</f>
        <v/>
      </c>
      <c r="D78" s="5" t="str">
        <f>IF($A78="","",SUMIFS('Stok Hareketleri'!$G$5:$G$2000,'Stok Hareketleri'!$D$5:$D$2000,$A78,'Stok Hareketleri'!$F$5:$F$2000,"Giriş",'Stok Hareketleri'!$C$5:$C$2000,$E$4))</f>
        <v/>
      </c>
      <c r="E78" s="5" t="str">
        <f>IF($A78="","",SUMIFS('Stok Hareketleri'!$G$5:$G$2000,'Stok Hareketleri'!$D$5:$D$2000,$A78,'Stok Hareketleri'!$F$5:$F$2000,"Çıkış",'Stok Hareketleri'!$C$5:$C$2000,$E$4))</f>
        <v/>
      </c>
      <c r="F78" s="5" t="str">
        <f t="shared" si="1"/>
        <v/>
      </c>
      <c r="G78" s="5" t="str">
        <f>IF($A78="","",IFERROR(INDEX('Stok Durumu'!$G$5:$G$300,MATCH($A78,'Stok Durumu'!$A$5:$A$300,0)),""))</f>
        <v/>
      </c>
    </row>
    <row r="79" spans="1:7" x14ac:dyDescent="0.3">
      <c r="A79" s="5" t="str">
        <f>IF('Malzeme Tanımlama'!A77="","",IF('Malzeme Tanımlama'!C77=$B$4,'Malzeme Tanımlama'!A77,""))</f>
        <v/>
      </c>
      <c r="B79" s="5" t="str">
        <f>IF($A79="","",'Malzeme Tanımlama'!B77)</f>
        <v/>
      </c>
      <c r="C79" s="5" t="str">
        <f>IF($A79="","",'Malzeme Tanımlama'!D77)</f>
        <v/>
      </c>
      <c r="D79" s="5" t="str">
        <f>IF($A79="","",SUMIFS('Stok Hareketleri'!$G$5:$G$2000,'Stok Hareketleri'!$D$5:$D$2000,$A79,'Stok Hareketleri'!$F$5:$F$2000,"Giriş",'Stok Hareketleri'!$C$5:$C$2000,$E$4))</f>
        <v/>
      </c>
      <c r="E79" s="5" t="str">
        <f>IF($A79="","",SUMIFS('Stok Hareketleri'!$G$5:$G$2000,'Stok Hareketleri'!$D$5:$D$2000,$A79,'Stok Hareketleri'!$F$5:$F$2000,"Çıkış",'Stok Hareketleri'!$C$5:$C$2000,$E$4))</f>
        <v/>
      </c>
      <c r="F79" s="5" t="str">
        <f t="shared" si="1"/>
        <v/>
      </c>
      <c r="G79" s="5" t="str">
        <f>IF($A79="","",IFERROR(INDEX('Stok Durumu'!$G$5:$G$300,MATCH($A79,'Stok Durumu'!$A$5:$A$300,0)),""))</f>
        <v/>
      </c>
    </row>
    <row r="80" spans="1:7" x14ac:dyDescent="0.3">
      <c r="A80" s="5" t="str">
        <f>IF('Malzeme Tanımlama'!A78="","",IF('Malzeme Tanımlama'!C78=$B$4,'Malzeme Tanımlama'!A78,""))</f>
        <v/>
      </c>
      <c r="B80" s="5" t="str">
        <f>IF($A80="","",'Malzeme Tanımlama'!B78)</f>
        <v/>
      </c>
      <c r="C80" s="5" t="str">
        <f>IF($A80="","",'Malzeme Tanımlama'!D78)</f>
        <v/>
      </c>
      <c r="D80" s="5" t="str">
        <f>IF($A80="","",SUMIFS('Stok Hareketleri'!$G$5:$G$2000,'Stok Hareketleri'!$D$5:$D$2000,$A80,'Stok Hareketleri'!$F$5:$F$2000,"Giriş",'Stok Hareketleri'!$C$5:$C$2000,$E$4))</f>
        <v/>
      </c>
      <c r="E80" s="5" t="str">
        <f>IF($A80="","",SUMIFS('Stok Hareketleri'!$G$5:$G$2000,'Stok Hareketleri'!$D$5:$D$2000,$A80,'Stok Hareketleri'!$F$5:$F$2000,"Çıkış",'Stok Hareketleri'!$C$5:$C$2000,$E$4))</f>
        <v/>
      </c>
      <c r="F80" s="5" t="str">
        <f t="shared" si="1"/>
        <v/>
      </c>
      <c r="G80" s="5" t="str">
        <f>IF($A80="","",IFERROR(INDEX('Stok Durumu'!$G$5:$G$300,MATCH($A80,'Stok Durumu'!$A$5:$A$300,0)),""))</f>
        <v/>
      </c>
    </row>
    <row r="81" spans="1:7" x14ac:dyDescent="0.3">
      <c r="A81" s="5" t="str">
        <f>IF('Malzeme Tanımlama'!A79="","",IF('Malzeme Tanımlama'!C79=$B$4,'Malzeme Tanımlama'!A79,""))</f>
        <v/>
      </c>
      <c r="B81" s="5" t="str">
        <f>IF($A81="","",'Malzeme Tanımlama'!B79)</f>
        <v/>
      </c>
      <c r="C81" s="5" t="str">
        <f>IF($A81="","",'Malzeme Tanımlama'!D79)</f>
        <v/>
      </c>
      <c r="D81" s="5" t="str">
        <f>IF($A81="","",SUMIFS('Stok Hareketleri'!$G$5:$G$2000,'Stok Hareketleri'!$D$5:$D$2000,$A81,'Stok Hareketleri'!$F$5:$F$2000,"Giriş",'Stok Hareketleri'!$C$5:$C$2000,$E$4))</f>
        <v/>
      </c>
      <c r="E81" s="5" t="str">
        <f>IF($A81="","",SUMIFS('Stok Hareketleri'!$G$5:$G$2000,'Stok Hareketleri'!$D$5:$D$2000,$A81,'Stok Hareketleri'!$F$5:$F$2000,"Çıkış",'Stok Hareketleri'!$C$5:$C$2000,$E$4))</f>
        <v/>
      </c>
      <c r="F81" s="5" t="str">
        <f t="shared" si="1"/>
        <v/>
      </c>
      <c r="G81" s="5" t="str">
        <f>IF($A81="","",IFERROR(INDEX('Stok Durumu'!$G$5:$G$300,MATCH($A81,'Stok Durumu'!$A$5:$A$300,0)),""))</f>
        <v/>
      </c>
    </row>
    <row r="82" spans="1:7" x14ac:dyDescent="0.3">
      <c r="A82" s="5" t="str">
        <f>IF('Malzeme Tanımlama'!A80="","",IF('Malzeme Tanımlama'!C80=$B$4,'Malzeme Tanımlama'!A80,""))</f>
        <v/>
      </c>
      <c r="B82" s="5" t="str">
        <f>IF($A82="","",'Malzeme Tanımlama'!B80)</f>
        <v/>
      </c>
      <c r="C82" s="5" t="str">
        <f>IF($A82="","",'Malzeme Tanımlama'!D80)</f>
        <v/>
      </c>
      <c r="D82" s="5" t="str">
        <f>IF($A82="","",SUMIFS('Stok Hareketleri'!$G$5:$G$2000,'Stok Hareketleri'!$D$5:$D$2000,$A82,'Stok Hareketleri'!$F$5:$F$2000,"Giriş",'Stok Hareketleri'!$C$5:$C$2000,$E$4))</f>
        <v/>
      </c>
      <c r="E82" s="5" t="str">
        <f>IF($A82="","",SUMIFS('Stok Hareketleri'!$G$5:$G$2000,'Stok Hareketleri'!$D$5:$D$2000,$A82,'Stok Hareketleri'!$F$5:$F$2000,"Çıkış",'Stok Hareketleri'!$C$5:$C$2000,$E$4))</f>
        <v/>
      </c>
      <c r="F82" s="5" t="str">
        <f t="shared" si="1"/>
        <v/>
      </c>
      <c r="G82" s="5" t="str">
        <f>IF($A82="","",IFERROR(INDEX('Stok Durumu'!$G$5:$G$300,MATCH($A82,'Stok Durumu'!$A$5:$A$300,0)),""))</f>
        <v/>
      </c>
    </row>
    <row r="83" spans="1:7" x14ac:dyDescent="0.3">
      <c r="A83" s="5" t="str">
        <f>IF('Malzeme Tanımlama'!A81="","",IF('Malzeme Tanımlama'!C81=$B$4,'Malzeme Tanımlama'!A81,""))</f>
        <v/>
      </c>
      <c r="B83" s="5" t="str">
        <f>IF($A83="","",'Malzeme Tanımlama'!B81)</f>
        <v/>
      </c>
      <c r="C83" s="5" t="str">
        <f>IF($A83="","",'Malzeme Tanımlama'!D81)</f>
        <v/>
      </c>
      <c r="D83" s="5" t="str">
        <f>IF($A83="","",SUMIFS('Stok Hareketleri'!$G$5:$G$2000,'Stok Hareketleri'!$D$5:$D$2000,$A83,'Stok Hareketleri'!$F$5:$F$2000,"Giriş",'Stok Hareketleri'!$C$5:$C$2000,$E$4))</f>
        <v/>
      </c>
      <c r="E83" s="5" t="str">
        <f>IF($A83="","",SUMIFS('Stok Hareketleri'!$G$5:$G$2000,'Stok Hareketleri'!$D$5:$D$2000,$A83,'Stok Hareketleri'!$F$5:$F$2000,"Çıkış",'Stok Hareketleri'!$C$5:$C$2000,$E$4))</f>
        <v/>
      </c>
      <c r="F83" s="5" t="str">
        <f t="shared" si="1"/>
        <v/>
      </c>
      <c r="G83" s="5" t="str">
        <f>IF($A83="","",IFERROR(INDEX('Stok Durumu'!$G$5:$G$300,MATCH($A83,'Stok Durumu'!$A$5:$A$300,0)),""))</f>
        <v/>
      </c>
    </row>
    <row r="84" spans="1:7" x14ac:dyDescent="0.3">
      <c r="A84" s="5" t="str">
        <f>IF('Malzeme Tanımlama'!A82="","",IF('Malzeme Tanımlama'!C82=$B$4,'Malzeme Tanımlama'!A82,""))</f>
        <v/>
      </c>
      <c r="B84" s="5" t="str">
        <f>IF($A84="","",'Malzeme Tanımlama'!B82)</f>
        <v/>
      </c>
      <c r="C84" s="5" t="str">
        <f>IF($A84="","",'Malzeme Tanımlama'!D82)</f>
        <v/>
      </c>
      <c r="D84" s="5" t="str">
        <f>IF($A84="","",SUMIFS('Stok Hareketleri'!$G$5:$G$2000,'Stok Hareketleri'!$D$5:$D$2000,$A84,'Stok Hareketleri'!$F$5:$F$2000,"Giriş",'Stok Hareketleri'!$C$5:$C$2000,$E$4))</f>
        <v/>
      </c>
      <c r="E84" s="5" t="str">
        <f>IF($A84="","",SUMIFS('Stok Hareketleri'!$G$5:$G$2000,'Stok Hareketleri'!$D$5:$D$2000,$A84,'Stok Hareketleri'!$F$5:$F$2000,"Çıkış",'Stok Hareketleri'!$C$5:$C$2000,$E$4))</f>
        <v/>
      </c>
      <c r="F84" s="5" t="str">
        <f t="shared" si="1"/>
        <v/>
      </c>
      <c r="G84" s="5" t="str">
        <f>IF($A84="","",IFERROR(INDEX('Stok Durumu'!$G$5:$G$300,MATCH($A84,'Stok Durumu'!$A$5:$A$300,0)),""))</f>
        <v/>
      </c>
    </row>
    <row r="85" spans="1:7" x14ac:dyDescent="0.3">
      <c r="A85" s="5" t="str">
        <f>IF('Malzeme Tanımlama'!A83="","",IF('Malzeme Tanımlama'!C83=$B$4,'Malzeme Tanımlama'!A83,""))</f>
        <v/>
      </c>
      <c r="B85" s="5" t="str">
        <f>IF($A85="","",'Malzeme Tanımlama'!B83)</f>
        <v/>
      </c>
      <c r="C85" s="5" t="str">
        <f>IF($A85="","",'Malzeme Tanımlama'!D83)</f>
        <v/>
      </c>
      <c r="D85" s="5" t="str">
        <f>IF($A85="","",SUMIFS('Stok Hareketleri'!$G$5:$G$2000,'Stok Hareketleri'!$D$5:$D$2000,$A85,'Stok Hareketleri'!$F$5:$F$2000,"Giriş",'Stok Hareketleri'!$C$5:$C$2000,$E$4))</f>
        <v/>
      </c>
      <c r="E85" s="5" t="str">
        <f>IF($A85="","",SUMIFS('Stok Hareketleri'!$G$5:$G$2000,'Stok Hareketleri'!$D$5:$D$2000,$A85,'Stok Hareketleri'!$F$5:$F$2000,"Çıkış",'Stok Hareketleri'!$C$5:$C$2000,$E$4))</f>
        <v/>
      </c>
      <c r="F85" s="5" t="str">
        <f t="shared" si="1"/>
        <v/>
      </c>
      <c r="G85" s="5" t="str">
        <f>IF($A85="","",IFERROR(INDEX('Stok Durumu'!$G$5:$G$300,MATCH($A85,'Stok Durumu'!$A$5:$A$300,0)),""))</f>
        <v/>
      </c>
    </row>
    <row r="86" spans="1:7" x14ac:dyDescent="0.3">
      <c r="A86" s="5" t="str">
        <f>IF('Malzeme Tanımlama'!A84="","",IF('Malzeme Tanımlama'!C84=$B$4,'Malzeme Tanımlama'!A84,""))</f>
        <v/>
      </c>
      <c r="B86" s="5" t="str">
        <f>IF($A86="","",'Malzeme Tanımlama'!B84)</f>
        <v/>
      </c>
      <c r="C86" s="5" t="str">
        <f>IF($A86="","",'Malzeme Tanımlama'!D84)</f>
        <v/>
      </c>
      <c r="D86" s="5" t="str">
        <f>IF($A86="","",SUMIFS('Stok Hareketleri'!$G$5:$G$2000,'Stok Hareketleri'!$D$5:$D$2000,$A86,'Stok Hareketleri'!$F$5:$F$2000,"Giriş",'Stok Hareketleri'!$C$5:$C$2000,$E$4))</f>
        <v/>
      </c>
      <c r="E86" s="5" t="str">
        <f>IF($A86="","",SUMIFS('Stok Hareketleri'!$G$5:$G$2000,'Stok Hareketleri'!$D$5:$D$2000,$A86,'Stok Hareketleri'!$F$5:$F$2000,"Çıkış",'Stok Hareketleri'!$C$5:$C$2000,$E$4))</f>
        <v/>
      </c>
      <c r="F86" s="5" t="str">
        <f t="shared" si="1"/>
        <v/>
      </c>
      <c r="G86" s="5" t="str">
        <f>IF($A86="","",IFERROR(INDEX('Stok Durumu'!$G$5:$G$300,MATCH($A86,'Stok Durumu'!$A$5:$A$300,0)),""))</f>
        <v/>
      </c>
    </row>
    <row r="87" spans="1:7" x14ac:dyDescent="0.3">
      <c r="A87" s="5" t="str">
        <f>IF('Malzeme Tanımlama'!A85="","",IF('Malzeme Tanımlama'!C85=$B$4,'Malzeme Tanımlama'!A85,""))</f>
        <v/>
      </c>
      <c r="B87" s="5" t="str">
        <f>IF($A87="","",'Malzeme Tanımlama'!B85)</f>
        <v/>
      </c>
      <c r="C87" s="5" t="str">
        <f>IF($A87="","",'Malzeme Tanımlama'!D85)</f>
        <v/>
      </c>
      <c r="D87" s="5" t="str">
        <f>IF($A87="","",SUMIFS('Stok Hareketleri'!$G$5:$G$2000,'Stok Hareketleri'!$D$5:$D$2000,$A87,'Stok Hareketleri'!$F$5:$F$2000,"Giriş",'Stok Hareketleri'!$C$5:$C$2000,$E$4))</f>
        <v/>
      </c>
      <c r="E87" s="5" t="str">
        <f>IF($A87="","",SUMIFS('Stok Hareketleri'!$G$5:$G$2000,'Stok Hareketleri'!$D$5:$D$2000,$A87,'Stok Hareketleri'!$F$5:$F$2000,"Çıkış",'Stok Hareketleri'!$C$5:$C$2000,$E$4))</f>
        <v/>
      </c>
      <c r="F87" s="5" t="str">
        <f t="shared" si="1"/>
        <v/>
      </c>
      <c r="G87" s="5" t="str">
        <f>IF($A87="","",IFERROR(INDEX('Stok Durumu'!$G$5:$G$300,MATCH($A87,'Stok Durumu'!$A$5:$A$300,0)),""))</f>
        <v/>
      </c>
    </row>
    <row r="88" spans="1:7" x14ac:dyDescent="0.3">
      <c r="A88" s="5" t="str">
        <f>IF('Malzeme Tanımlama'!A86="","",IF('Malzeme Tanımlama'!C86=$B$4,'Malzeme Tanımlama'!A86,""))</f>
        <v/>
      </c>
      <c r="B88" s="5" t="str">
        <f>IF($A88="","",'Malzeme Tanımlama'!B86)</f>
        <v/>
      </c>
      <c r="C88" s="5" t="str">
        <f>IF($A88="","",'Malzeme Tanımlama'!D86)</f>
        <v/>
      </c>
      <c r="D88" s="5" t="str">
        <f>IF($A88="","",SUMIFS('Stok Hareketleri'!$G$5:$G$2000,'Stok Hareketleri'!$D$5:$D$2000,$A88,'Stok Hareketleri'!$F$5:$F$2000,"Giriş",'Stok Hareketleri'!$C$5:$C$2000,$E$4))</f>
        <v/>
      </c>
      <c r="E88" s="5" t="str">
        <f>IF($A88="","",SUMIFS('Stok Hareketleri'!$G$5:$G$2000,'Stok Hareketleri'!$D$5:$D$2000,$A88,'Stok Hareketleri'!$F$5:$F$2000,"Çıkış",'Stok Hareketleri'!$C$5:$C$2000,$E$4))</f>
        <v/>
      </c>
      <c r="F88" s="5" t="str">
        <f t="shared" si="1"/>
        <v/>
      </c>
      <c r="G88" s="5" t="str">
        <f>IF($A88="","",IFERROR(INDEX('Stok Durumu'!$G$5:$G$300,MATCH($A88,'Stok Durumu'!$A$5:$A$300,0)),""))</f>
        <v/>
      </c>
    </row>
    <row r="89" spans="1:7" x14ac:dyDescent="0.3">
      <c r="A89" s="5" t="str">
        <f>IF('Malzeme Tanımlama'!A87="","",IF('Malzeme Tanımlama'!C87=$B$4,'Malzeme Tanımlama'!A87,""))</f>
        <v/>
      </c>
      <c r="B89" s="5" t="str">
        <f>IF($A89="","",'Malzeme Tanımlama'!B87)</f>
        <v/>
      </c>
      <c r="C89" s="5" t="str">
        <f>IF($A89="","",'Malzeme Tanımlama'!D87)</f>
        <v/>
      </c>
      <c r="D89" s="5" t="str">
        <f>IF($A89="","",SUMIFS('Stok Hareketleri'!$G$5:$G$2000,'Stok Hareketleri'!$D$5:$D$2000,$A89,'Stok Hareketleri'!$F$5:$F$2000,"Giriş",'Stok Hareketleri'!$C$5:$C$2000,$E$4))</f>
        <v/>
      </c>
      <c r="E89" s="5" t="str">
        <f>IF($A89="","",SUMIFS('Stok Hareketleri'!$G$5:$G$2000,'Stok Hareketleri'!$D$5:$D$2000,$A89,'Stok Hareketleri'!$F$5:$F$2000,"Çıkış",'Stok Hareketleri'!$C$5:$C$2000,$E$4))</f>
        <v/>
      </c>
      <c r="F89" s="5" t="str">
        <f t="shared" si="1"/>
        <v/>
      </c>
      <c r="G89" s="5" t="str">
        <f>IF($A89="","",IFERROR(INDEX('Stok Durumu'!$G$5:$G$300,MATCH($A89,'Stok Durumu'!$A$5:$A$300,0)),""))</f>
        <v/>
      </c>
    </row>
    <row r="90" spans="1:7" x14ac:dyDescent="0.3">
      <c r="A90" s="5" t="str">
        <f>IF('Malzeme Tanımlama'!A88="","",IF('Malzeme Tanımlama'!C88=$B$4,'Malzeme Tanımlama'!A88,""))</f>
        <v/>
      </c>
      <c r="B90" s="5" t="str">
        <f>IF($A90="","",'Malzeme Tanımlama'!B88)</f>
        <v/>
      </c>
      <c r="C90" s="5" t="str">
        <f>IF($A90="","",'Malzeme Tanımlama'!D88)</f>
        <v/>
      </c>
      <c r="D90" s="5" t="str">
        <f>IF($A90="","",SUMIFS('Stok Hareketleri'!$G$5:$G$2000,'Stok Hareketleri'!$D$5:$D$2000,$A90,'Stok Hareketleri'!$F$5:$F$2000,"Giriş",'Stok Hareketleri'!$C$5:$C$2000,$E$4))</f>
        <v/>
      </c>
      <c r="E90" s="5" t="str">
        <f>IF($A90="","",SUMIFS('Stok Hareketleri'!$G$5:$G$2000,'Stok Hareketleri'!$D$5:$D$2000,$A90,'Stok Hareketleri'!$F$5:$F$2000,"Çıkış",'Stok Hareketleri'!$C$5:$C$2000,$E$4))</f>
        <v/>
      </c>
      <c r="F90" s="5" t="str">
        <f t="shared" si="1"/>
        <v/>
      </c>
      <c r="G90" s="5" t="str">
        <f>IF($A90="","",IFERROR(INDEX('Stok Durumu'!$G$5:$G$300,MATCH($A90,'Stok Durumu'!$A$5:$A$300,0)),""))</f>
        <v/>
      </c>
    </row>
    <row r="91" spans="1:7" x14ac:dyDescent="0.3">
      <c r="A91" s="5" t="str">
        <f>IF('Malzeme Tanımlama'!A89="","",IF('Malzeme Tanımlama'!C89=$B$4,'Malzeme Tanımlama'!A89,""))</f>
        <v/>
      </c>
      <c r="B91" s="5" t="str">
        <f>IF($A91="","",'Malzeme Tanımlama'!B89)</f>
        <v/>
      </c>
      <c r="C91" s="5" t="str">
        <f>IF($A91="","",'Malzeme Tanımlama'!D89)</f>
        <v/>
      </c>
      <c r="D91" s="5" t="str">
        <f>IF($A91="","",SUMIFS('Stok Hareketleri'!$G$5:$G$2000,'Stok Hareketleri'!$D$5:$D$2000,$A91,'Stok Hareketleri'!$F$5:$F$2000,"Giriş",'Stok Hareketleri'!$C$5:$C$2000,$E$4))</f>
        <v/>
      </c>
      <c r="E91" s="5" t="str">
        <f>IF($A91="","",SUMIFS('Stok Hareketleri'!$G$5:$G$2000,'Stok Hareketleri'!$D$5:$D$2000,$A91,'Stok Hareketleri'!$F$5:$F$2000,"Çıkış",'Stok Hareketleri'!$C$5:$C$2000,$E$4))</f>
        <v/>
      </c>
      <c r="F91" s="5" t="str">
        <f t="shared" si="1"/>
        <v/>
      </c>
      <c r="G91" s="5" t="str">
        <f>IF($A91="","",IFERROR(INDEX('Stok Durumu'!$G$5:$G$300,MATCH($A91,'Stok Durumu'!$A$5:$A$300,0)),""))</f>
        <v/>
      </c>
    </row>
    <row r="92" spans="1:7" x14ac:dyDescent="0.3">
      <c r="A92" s="5" t="str">
        <f>IF('Malzeme Tanımlama'!A90="","",IF('Malzeme Tanımlama'!C90=$B$4,'Malzeme Tanımlama'!A90,""))</f>
        <v/>
      </c>
      <c r="B92" s="5" t="str">
        <f>IF($A92="","",'Malzeme Tanımlama'!B90)</f>
        <v/>
      </c>
      <c r="C92" s="5" t="str">
        <f>IF($A92="","",'Malzeme Tanımlama'!D90)</f>
        <v/>
      </c>
      <c r="D92" s="5" t="str">
        <f>IF($A92="","",SUMIFS('Stok Hareketleri'!$G$5:$G$2000,'Stok Hareketleri'!$D$5:$D$2000,$A92,'Stok Hareketleri'!$F$5:$F$2000,"Giriş",'Stok Hareketleri'!$C$5:$C$2000,$E$4))</f>
        <v/>
      </c>
      <c r="E92" s="5" t="str">
        <f>IF($A92="","",SUMIFS('Stok Hareketleri'!$G$5:$G$2000,'Stok Hareketleri'!$D$5:$D$2000,$A92,'Stok Hareketleri'!$F$5:$F$2000,"Çıkış",'Stok Hareketleri'!$C$5:$C$2000,$E$4))</f>
        <v/>
      </c>
      <c r="F92" s="5" t="str">
        <f t="shared" si="1"/>
        <v/>
      </c>
      <c r="G92" s="5" t="str">
        <f>IF($A92="","",IFERROR(INDEX('Stok Durumu'!$G$5:$G$300,MATCH($A92,'Stok Durumu'!$A$5:$A$300,0)),""))</f>
        <v/>
      </c>
    </row>
    <row r="93" spans="1:7" x14ac:dyDescent="0.3">
      <c r="A93" s="5" t="str">
        <f>IF('Malzeme Tanımlama'!A91="","",IF('Malzeme Tanımlama'!C91=$B$4,'Malzeme Tanımlama'!A91,""))</f>
        <v/>
      </c>
      <c r="B93" s="5" t="str">
        <f>IF($A93="","",'Malzeme Tanımlama'!B91)</f>
        <v/>
      </c>
      <c r="C93" s="5" t="str">
        <f>IF($A93="","",'Malzeme Tanımlama'!D91)</f>
        <v/>
      </c>
      <c r="D93" s="5" t="str">
        <f>IF($A93="","",SUMIFS('Stok Hareketleri'!$G$5:$G$2000,'Stok Hareketleri'!$D$5:$D$2000,$A93,'Stok Hareketleri'!$F$5:$F$2000,"Giriş",'Stok Hareketleri'!$C$5:$C$2000,$E$4))</f>
        <v/>
      </c>
      <c r="E93" s="5" t="str">
        <f>IF($A93="","",SUMIFS('Stok Hareketleri'!$G$5:$G$2000,'Stok Hareketleri'!$D$5:$D$2000,$A93,'Stok Hareketleri'!$F$5:$F$2000,"Çıkış",'Stok Hareketleri'!$C$5:$C$2000,$E$4))</f>
        <v/>
      </c>
      <c r="F93" s="5" t="str">
        <f t="shared" si="1"/>
        <v/>
      </c>
      <c r="G93" s="5" t="str">
        <f>IF($A93="","",IFERROR(INDEX('Stok Durumu'!$G$5:$G$300,MATCH($A93,'Stok Durumu'!$A$5:$A$300,0)),""))</f>
        <v/>
      </c>
    </row>
    <row r="94" spans="1:7" x14ac:dyDescent="0.3">
      <c r="A94" s="5" t="str">
        <f>IF('Malzeme Tanımlama'!A92="","",IF('Malzeme Tanımlama'!C92=$B$4,'Malzeme Tanımlama'!A92,""))</f>
        <v/>
      </c>
      <c r="B94" s="5" t="str">
        <f>IF($A94="","",'Malzeme Tanımlama'!B92)</f>
        <v/>
      </c>
      <c r="C94" s="5" t="str">
        <f>IF($A94="","",'Malzeme Tanımlama'!D92)</f>
        <v/>
      </c>
      <c r="D94" s="5" t="str">
        <f>IF($A94="","",SUMIFS('Stok Hareketleri'!$G$5:$G$2000,'Stok Hareketleri'!$D$5:$D$2000,$A94,'Stok Hareketleri'!$F$5:$F$2000,"Giriş",'Stok Hareketleri'!$C$5:$C$2000,$E$4))</f>
        <v/>
      </c>
      <c r="E94" s="5" t="str">
        <f>IF($A94="","",SUMIFS('Stok Hareketleri'!$G$5:$G$2000,'Stok Hareketleri'!$D$5:$D$2000,$A94,'Stok Hareketleri'!$F$5:$F$2000,"Çıkış",'Stok Hareketleri'!$C$5:$C$2000,$E$4))</f>
        <v/>
      </c>
      <c r="F94" s="5" t="str">
        <f t="shared" si="1"/>
        <v/>
      </c>
      <c r="G94" s="5" t="str">
        <f>IF($A94="","",IFERROR(INDEX('Stok Durumu'!$G$5:$G$300,MATCH($A94,'Stok Durumu'!$A$5:$A$300,0)),""))</f>
        <v/>
      </c>
    </row>
    <row r="95" spans="1:7" x14ac:dyDescent="0.3">
      <c r="A95" s="5" t="str">
        <f>IF('Malzeme Tanımlama'!A93="","",IF('Malzeme Tanımlama'!C93=$B$4,'Malzeme Tanımlama'!A93,""))</f>
        <v/>
      </c>
      <c r="B95" s="5" t="str">
        <f>IF($A95="","",'Malzeme Tanımlama'!B93)</f>
        <v/>
      </c>
      <c r="C95" s="5" t="str">
        <f>IF($A95="","",'Malzeme Tanımlama'!D93)</f>
        <v/>
      </c>
      <c r="D95" s="5" t="str">
        <f>IF($A95="","",SUMIFS('Stok Hareketleri'!$G$5:$G$2000,'Stok Hareketleri'!$D$5:$D$2000,$A95,'Stok Hareketleri'!$F$5:$F$2000,"Giriş",'Stok Hareketleri'!$C$5:$C$2000,$E$4))</f>
        <v/>
      </c>
      <c r="E95" s="5" t="str">
        <f>IF($A95="","",SUMIFS('Stok Hareketleri'!$G$5:$G$2000,'Stok Hareketleri'!$D$5:$D$2000,$A95,'Stok Hareketleri'!$F$5:$F$2000,"Çıkış",'Stok Hareketleri'!$C$5:$C$2000,$E$4))</f>
        <v/>
      </c>
      <c r="F95" s="5" t="str">
        <f t="shared" si="1"/>
        <v/>
      </c>
      <c r="G95" s="5" t="str">
        <f>IF($A95="","",IFERROR(INDEX('Stok Durumu'!$G$5:$G$300,MATCH($A95,'Stok Durumu'!$A$5:$A$300,0)),""))</f>
        <v/>
      </c>
    </row>
    <row r="96" spans="1:7" x14ac:dyDescent="0.3">
      <c r="A96" s="5" t="str">
        <f>IF('Malzeme Tanımlama'!A94="","",IF('Malzeme Tanımlama'!C94=$B$4,'Malzeme Tanımlama'!A94,""))</f>
        <v/>
      </c>
      <c r="B96" s="5" t="str">
        <f>IF($A96="","",'Malzeme Tanımlama'!B94)</f>
        <v/>
      </c>
      <c r="C96" s="5" t="str">
        <f>IF($A96="","",'Malzeme Tanımlama'!D94)</f>
        <v/>
      </c>
      <c r="D96" s="5" t="str">
        <f>IF($A96="","",SUMIFS('Stok Hareketleri'!$G$5:$G$2000,'Stok Hareketleri'!$D$5:$D$2000,$A96,'Stok Hareketleri'!$F$5:$F$2000,"Giriş",'Stok Hareketleri'!$C$5:$C$2000,$E$4))</f>
        <v/>
      </c>
      <c r="E96" s="5" t="str">
        <f>IF($A96="","",SUMIFS('Stok Hareketleri'!$G$5:$G$2000,'Stok Hareketleri'!$D$5:$D$2000,$A96,'Stok Hareketleri'!$F$5:$F$2000,"Çıkış",'Stok Hareketleri'!$C$5:$C$2000,$E$4))</f>
        <v/>
      </c>
      <c r="F96" s="5" t="str">
        <f t="shared" si="1"/>
        <v/>
      </c>
      <c r="G96" s="5" t="str">
        <f>IF($A96="","",IFERROR(INDEX('Stok Durumu'!$G$5:$G$300,MATCH($A96,'Stok Durumu'!$A$5:$A$300,0)),""))</f>
        <v/>
      </c>
    </row>
    <row r="97" spans="1:7" x14ac:dyDescent="0.3">
      <c r="A97" s="5" t="str">
        <f>IF('Malzeme Tanımlama'!A95="","",IF('Malzeme Tanımlama'!C95=$B$4,'Malzeme Tanımlama'!A95,""))</f>
        <v/>
      </c>
      <c r="B97" s="5" t="str">
        <f>IF($A97="","",'Malzeme Tanımlama'!B95)</f>
        <v/>
      </c>
      <c r="C97" s="5" t="str">
        <f>IF($A97="","",'Malzeme Tanımlama'!D95)</f>
        <v/>
      </c>
      <c r="D97" s="5" t="str">
        <f>IF($A97="","",SUMIFS('Stok Hareketleri'!$G$5:$G$2000,'Stok Hareketleri'!$D$5:$D$2000,$A97,'Stok Hareketleri'!$F$5:$F$2000,"Giriş",'Stok Hareketleri'!$C$5:$C$2000,$E$4))</f>
        <v/>
      </c>
      <c r="E97" s="5" t="str">
        <f>IF($A97="","",SUMIFS('Stok Hareketleri'!$G$5:$G$2000,'Stok Hareketleri'!$D$5:$D$2000,$A97,'Stok Hareketleri'!$F$5:$F$2000,"Çıkış",'Stok Hareketleri'!$C$5:$C$2000,$E$4))</f>
        <v/>
      </c>
      <c r="F97" s="5" t="str">
        <f t="shared" si="1"/>
        <v/>
      </c>
      <c r="G97" s="5" t="str">
        <f>IF($A97="","",IFERROR(INDEX('Stok Durumu'!$G$5:$G$300,MATCH($A97,'Stok Durumu'!$A$5:$A$300,0)),""))</f>
        <v/>
      </c>
    </row>
    <row r="98" spans="1:7" x14ac:dyDescent="0.3">
      <c r="A98" s="5" t="str">
        <f>IF('Malzeme Tanımlama'!A96="","",IF('Malzeme Tanımlama'!C96=$B$4,'Malzeme Tanımlama'!A96,""))</f>
        <v/>
      </c>
      <c r="B98" s="5" t="str">
        <f>IF($A98="","",'Malzeme Tanımlama'!B96)</f>
        <v/>
      </c>
      <c r="C98" s="5" t="str">
        <f>IF($A98="","",'Malzeme Tanımlama'!D96)</f>
        <v/>
      </c>
      <c r="D98" s="5" t="str">
        <f>IF($A98="","",SUMIFS('Stok Hareketleri'!$G$5:$G$2000,'Stok Hareketleri'!$D$5:$D$2000,$A98,'Stok Hareketleri'!$F$5:$F$2000,"Giriş",'Stok Hareketleri'!$C$5:$C$2000,$E$4))</f>
        <v/>
      </c>
      <c r="E98" s="5" t="str">
        <f>IF($A98="","",SUMIFS('Stok Hareketleri'!$G$5:$G$2000,'Stok Hareketleri'!$D$5:$D$2000,$A98,'Stok Hareketleri'!$F$5:$F$2000,"Çıkış",'Stok Hareketleri'!$C$5:$C$2000,$E$4))</f>
        <v/>
      </c>
      <c r="F98" s="5" t="str">
        <f t="shared" si="1"/>
        <v/>
      </c>
      <c r="G98" s="5" t="str">
        <f>IF($A98="","",IFERROR(INDEX('Stok Durumu'!$G$5:$G$300,MATCH($A98,'Stok Durumu'!$A$5:$A$300,0)),""))</f>
        <v/>
      </c>
    </row>
    <row r="99" spans="1:7" x14ac:dyDescent="0.3">
      <c r="A99" s="5" t="str">
        <f>IF('Malzeme Tanımlama'!A97="","",IF('Malzeme Tanımlama'!C97=$B$4,'Malzeme Tanımlama'!A97,""))</f>
        <v/>
      </c>
      <c r="B99" s="5" t="str">
        <f>IF($A99="","",'Malzeme Tanımlama'!B97)</f>
        <v/>
      </c>
      <c r="C99" s="5" t="str">
        <f>IF($A99="","",'Malzeme Tanımlama'!D97)</f>
        <v/>
      </c>
      <c r="D99" s="5" t="str">
        <f>IF($A99="","",SUMIFS('Stok Hareketleri'!$G$5:$G$2000,'Stok Hareketleri'!$D$5:$D$2000,$A99,'Stok Hareketleri'!$F$5:$F$2000,"Giriş",'Stok Hareketleri'!$C$5:$C$2000,$E$4))</f>
        <v/>
      </c>
      <c r="E99" s="5" t="str">
        <f>IF($A99="","",SUMIFS('Stok Hareketleri'!$G$5:$G$2000,'Stok Hareketleri'!$D$5:$D$2000,$A99,'Stok Hareketleri'!$F$5:$F$2000,"Çıkış",'Stok Hareketleri'!$C$5:$C$2000,$E$4))</f>
        <v/>
      </c>
      <c r="F99" s="5" t="str">
        <f t="shared" si="1"/>
        <v/>
      </c>
      <c r="G99" s="5" t="str">
        <f>IF($A99="","",IFERROR(INDEX('Stok Durumu'!$G$5:$G$300,MATCH($A99,'Stok Durumu'!$A$5:$A$300,0)),""))</f>
        <v/>
      </c>
    </row>
    <row r="100" spans="1:7" x14ac:dyDescent="0.3">
      <c r="A100" s="5" t="str">
        <f>IF('Malzeme Tanımlama'!A98="","",IF('Malzeme Tanımlama'!C98=$B$4,'Malzeme Tanımlama'!A98,""))</f>
        <v/>
      </c>
      <c r="B100" s="5" t="str">
        <f>IF($A100="","",'Malzeme Tanımlama'!B98)</f>
        <v/>
      </c>
      <c r="C100" s="5" t="str">
        <f>IF($A100="","",'Malzeme Tanımlama'!D98)</f>
        <v/>
      </c>
      <c r="D100" s="5" t="str">
        <f>IF($A100="","",SUMIFS('Stok Hareketleri'!$G$5:$G$2000,'Stok Hareketleri'!$D$5:$D$2000,$A100,'Stok Hareketleri'!$F$5:$F$2000,"Giriş",'Stok Hareketleri'!$C$5:$C$2000,$E$4))</f>
        <v/>
      </c>
      <c r="E100" s="5" t="str">
        <f>IF($A100="","",SUMIFS('Stok Hareketleri'!$G$5:$G$2000,'Stok Hareketleri'!$D$5:$D$2000,$A100,'Stok Hareketleri'!$F$5:$F$2000,"Çıkış",'Stok Hareketleri'!$C$5:$C$2000,$E$4))</f>
        <v/>
      </c>
      <c r="F100" s="5" t="str">
        <f t="shared" si="1"/>
        <v/>
      </c>
      <c r="G100" s="5" t="str">
        <f>IF($A100="","",IFERROR(INDEX('Stok Durumu'!$G$5:$G$300,MATCH($A100,'Stok Durumu'!$A$5:$A$300,0)),""))</f>
        <v/>
      </c>
    </row>
    <row r="101" spans="1:7" x14ac:dyDescent="0.3">
      <c r="A101" s="5" t="str">
        <f>IF('Malzeme Tanımlama'!A99="","",IF('Malzeme Tanımlama'!C99=$B$4,'Malzeme Tanımlama'!A99,""))</f>
        <v/>
      </c>
      <c r="B101" s="5" t="str">
        <f>IF($A101="","",'Malzeme Tanımlama'!B99)</f>
        <v/>
      </c>
      <c r="C101" s="5" t="str">
        <f>IF($A101="","",'Malzeme Tanımlama'!D99)</f>
        <v/>
      </c>
      <c r="D101" s="5" t="str">
        <f>IF($A101="","",SUMIFS('Stok Hareketleri'!$G$5:$G$2000,'Stok Hareketleri'!$D$5:$D$2000,$A101,'Stok Hareketleri'!$F$5:$F$2000,"Giriş",'Stok Hareketleri'!$C$5:$C$2000,$E$4))</f>
        <v/>
      </c>
      <c r="E101" s="5" t="str">
        <f>IF($A101="","",SUMIFS('Stok Hareketleri'!$G$5:$G$2000,'Stok Hareketleri'!$D$5:$D$2000,$A101,'Stok Hareketleri'!$F$5:$F$2000,"Çıkış",'Stok Hareketleri'!$C$5:$C$2000,$E$4))</f>
        <v/>
      </c>
      <c r="F101" s="5" t="str">
        <f t="shared" si="1"/>
        <v/>
      </c>
      <c r="G101" s="5" t="str">
        <f>IF($A101="","",IFERROR(INDEX('Stok Durumu'!$G$5:$G$300,MATCH($A101,'Stok Durumu'!$A$5:$A$300,0)),""))</f>
        <v/>
      </c>
    </row>
    <row r="102" spans="1:7" x14ac:dyDescent="0.3">
      <c r="A102" s="5" t="str">
        <f>IF('Malzeme Tanımlama'!A100="","",IF('Malzeme Tanımlama'!C100=$B$4,'Malzeme Tanımlama'!A100,""))</f>
        <v/>
      </c>
      <c r="B102" s="5" t="str">
        <f>IF($A102="","",'Malzeme Tanımlama'!B100)</f>
        <v/>
      </c>
      <c r="C102" s="5" t="str">
        <f>IF($A102="","",'Malzeme Tanımlama'!D100)</f>
        <v/>
      </c>
      <c r="D102" s="5" t="str">
        <f>IF($A102="","",SUMIFS('Stok Hareketleri'!$G$5:$G$2000,'Stok Hareketleri'!$D$5:$D$2000,$A102,'Stok Hareketleri'!$F$5:$F$2000,"Giriş",'Stok Hareketleri'!$C$5:$C$2000,$E$4))</f>
        <v/>
      </c>
      <c r="E102" s="5" t="str">
        <f>IF($A102="","",SUMIFS('Stok Hareketleri'!$G$5:$G$2000,'Stok Hareketleri'!$D$5:$D$2000,$A102,'Stok Hareketleri'!$F$5:$F$2000,"Çıkış",'Stok Hareketleri'!$C$5:$C$2000,$E$4))</f>
        <v/>
      </c>
      <c r="F102" s="5" t="str">
        <f t="shared" si="1"/>
        <v/>
      </c>
      <c r="G102" s="5" t="str">
        <f>IF($A102="","",IFERROR(INDEX('Stok Durumu'!$G$5:$G$300,MATCH($A102,'Stok Durumu'!$A$5:$A$300,0)),""))</f>
        <v/>
      </c>
    </row>
    <row r="103" spans="1:7" x14ac:dyDescent="0.3">
      <c r="A103" s="5" t="str">
        <f>IF('Malzeme Tanımlama'!A101="","",IF('Malzeme Tanımlama'!C101=$B$4,'Malzeme Tanımlama'!A101,""))</f>
        <v/>
      </c>
      <c r="B103" s="5" t="str">
        <f>IF($A103="","",'Malzeme Tanımlama'!B101)</f>
        <v/>
      </c>
      <c r="C103" s="5" t="str">
        <f>IF($A103="","",'Malzeme Tanımlama'!D101)</f>
        <v/>
      </c>
      <c r="D103" s="5" t="str">
        <f>IF($A103="","",SUMIFS('Stok Hareketleri'!$G$5:$G$2000,'Stok Hareketleri'!$D$5:$D$2000,$A103,'Stok Hareketleri'!$F$5:$F$2000,"Giriş",'Stok Hareketleri'!$C$5:$C$2000,$E$4))</f>
        <v/>
      </c>
      <c r="E103" s="5" t="str">
        <f>IF($A103="","",SUMIFS('Stok Hareketleri'!$G$5:$G$2000,'Stok Hareketleri'!$D$5:$D$2000,$A103,'Stok Hareketleri'!$F$5:$F$2000,"Çıkış",'Stok Hareketleri'!$C$5:$C$2000,$E$4))</f>
        <v/>
      </c>
      <c r="F103" s="5" t="str">
        <f t="shared" si="1"/>
        <v/>
      </c>
      <c r="G103" s="5" t="str">
        <f>IF($A103="","",IFERROR(INDEX('Stok Durumu'!$G$5:$G$300,MATCH($A103,'Stok Durumu'!$A$5:$A$300,0)),""))</f>
        <v/>
      </c>
    </row>
    <row r="104" spans="1:7" x14ac:dyDescent="0.3">
      <c r="A104" s="5" t="str">
        <f>IF('Malzeme Tanımlama'!A102="","",IF('Malzeme Tanımlama'!C102=$B$4,'Malzeme Tanımlama'!A102,""))</f>
        <v/>
      </c>
      <c r="B104" s="5" t="str">
        <f>IF($A104="","",'Malzeme Tanımlama'!B102)</f>
        <v/>
      </c>
      <c r="C104" s="5" t="str">
        <f>IF($A104="","",'Malzeme Tanımlama'!D102)</f>
        <v/>
      </c>
      <c r="D104" s="5" t="str">
        <f>IF($A104="","",SUMIFS('Stok Hareketleri'!$G$5:$G$2000,'Stok Hareketleri'!$D$5:$D$2000,$A104,'Stok Hareketleri'!$F$5:$F$2000,"Giriş",'Stok Hareketleri'!$C$5:$C$2000,$E$4))</f>
        <v/>
      </c>
      <c r="E104" s="5" t="str">
        <f>IF($A104="","",SUMIFS('Stok Hareketleri'!$G$5:$G$2000,'Stok Hareketleri'!$D$5:$D$2000,$A104,'Stok Hareketleri'!$F$5:$F$2000,"Çıkış",'Stok Hareketleri'!$C$5:$C$2000,$E$4))</f>
        <v/>
      </c>
      <c r="F104" s="5" t="str">
        <f t="shared" si="1"/>
        <v/>
      </c>
      <c r="G104" s="5" t="str">
        <f>IF($A104="","",IFERROR(INDEX('Stok Durumu'!$G$5:$G$300,MATCH($A104,'Stok Durumu'!$A$5:$A$300,0)),""))</f>
        <v/>
      </c>
    </row>
    <row r="105" spans="1:7" x14ac:dyDescent="0.3">
      <c r="A105" s="5" t="str">
        <f>IF('Malzeme Tanımlama'!A103="","",IF('Malzeme Tanımlama'!C103=$B$4,'Malzeme Tanımlama'!A103,""))</f>
        <v/>
      </c>
      <c r="B105" s="5" t="str">
        <f>IF($A105="","",'Malzeme Tanımlama'!B103)</f>
        <v/>
      </c>
      <c r="C105" s="5" t="str">
        <f>IF($A105="","",'Malzeme Tanımlama'!D103)</f>
        <v/>
      </c>
      <c r="D105" s="5" t="str">
        <f>IF($A105="","",SUMIFS('Stok Hareketleri'!$G$5:$G$2000,'Stok Hareketleri'!$D$5:$D$2000,$A105,'Stok Hareketleri'!$F$5:$F$2000,"Giriş",'Stok Hareketleri'!$C$5:$C$2000,$E$4))</f>
        <v/>
      </c>
      <c r="E105" s="5" t="str">
        <f>IF($A105="","",SUMIFS('Stok Hareketleri'!$G$5:$G$2000,'Stok Hareketleri'!$D$5:$D$2000,$A105,'Stok Hareketleri'!$F$5:$F$2000,"Çıkış",'Stok Hareketleri'!$C$5:$C$2000,$E$4))</f>
        <v/>
      </c>
      <c r="F105" s="5" t="str">
        <f t="shared" si="1"/>
        <v/>
      </c>
      <c r="G105" s="5" t="str">
        <f>IF($A105="","",IFERROR(INDEX('Stok Durumu'!$G$5:$G$300,MATCH($A105,'Stok Durumu'!$A$5:$A$300,0)),""))</f>
        <v/>
      </c>
    </row>
    <row r="106" spans="1:7" x14ac:dyDescent="0.3">
      <c r="A106" s="5" t="str">
        <f>IF('Malzeme Tanımlama'!A104="","",IF('Malzeme Tanımlama'!C104=$B$4,'Malzeme Tanımlama'!A104,""))</f>
        <v/>
      </c>
      <c r="B106" s="5" t="str">
        <f>IF($A106="","",'Malzeme Tanımlama'!B104)</f>
        <v/>
      </c>
      <c r="C106" s="5" t="str">
        <f>IF($A106="","",'Malzeme Tanımlama'!D104)</f>
        <v/>
      </c>
      <c r="D106" s="5" t="str">
        <f>IF($A106="","",SUMIFS('Stok Hareketleri'!$G$5:$G$2000,'Stok Hareketleri'!$D$5:$D$2000,$A106,'Stok Hareketleri'!$F$5:$F$2000,"Giriş",'Stok Hareketleri'!$C$5:$C$2000,$E$4))</f>
        <v/>
      </c>
      <c r="E106" s="5" t="str">
        <f>IF($A106="","",SUMIFS('Stok Hareketleri'!$G$5:$G$2000,'Stok Hareketleri'!$D$5:$D$2000,$A106,'Stok Hareketleri'!$F$5:$F$2000,"Çıkış",'Stok Hareketleri'!$C$5:$C$2000,$E$4))</f>
        <v/>
      </c>
      <c r="F106" s="5" t="str">
        <f t="shared" si="1"/>
        <v/>
      </c>
      <c r="G106" s="5" t="str">
        <f>IF($A106="","",IFERROR(INDEX('Stok Durumu'!$G$5:$G$300,MATCH($A106,'Stok Durumu'!$A$5:$A$300,0)),""))</f>
        <v/>
      </c>
    </row>
    <row r="107" spans="1:7" x14ac:dyDescent="0.3">
      <c r="A107" s="5" t="str">
        <f>IF('Malzeme Tanımlama'!A105="","",IF('Malzeme Tanımlama'!C105=$B$4,'Malzeme Tanımlama'!A105,""))</f>
        <v/>
      </c>
      <c r="B107" s="5" t="str">
        <f>IF($A107="","",'Malzeme Tanımlama'!B105)</f>
        <v/>
      </c>
      <c r="C107" s="5" t="str">
        <f>IF($A107="","",'Malzeme Tanımlama'!D105)</f>
        <v/>
      </c>
      <c r="D107" s="5" t="str">
        <f>IF($A107="","",SUMIFS('Stok Hareketleri'!$G$5:$G$2000,'Stok Hareketleri'!$D$5:$D$2000,$A107,'Stok Hareketleri'!$F$5:$F$2000,"Giriş",'Stok Hareketleri'!$C$5:$C$2000,$E$4))</f>
        <v/>
      </c>
      <c r="E107" s="5" t="str">
        <f>IF($A107="","",SUMIFS('Stok Hareketleri'!$G$5:$G$2000,'Stok Hareketleri'!$D$5:$D$2000,$A107,'Stok Hareketleri'!$F$5:$F$2000,"Çıkış",'Stok Hareketleri'!$C$5:$C$2000,$E$4))</f>
        <v/>
      </c>
      <c r="F107" s="5" t="str">
        <f t="shared" si="1"/>
        <v/>
      </c>
      <c r="G107" s="5" t="str">
        <f>IF($A107="","",IFERROR(INDEX('Stok Durumu'!$G$5:$G$300,MATCH($A107,'Stok Durumu'!$A$5:$A$300,0)),""))</f>
        <v/>
      </c>
    </row>
    <row r="108" spans="1:7" x14ac:dyDescent="0.3">
      <c r="A108" s="5" t="str">
        <f>IF('Malzeme Tanımlama'!A106="","",IF('Malzeme Tanımlama'!C106=$B$4,'Malzeme Tanımlama'!A106,""))</f>
        <v/>
      </c>
      <c r="B108" s="5" t="str">
        <f>IF($A108="","",'Malzeme Tanımlama'!B106)</f>
        <v/>
      </c>
      <c r="C108" s="5" t="str">
        <f>IF($A108="","",'Malzeme Tanımlama'!D106)</f>
        <v/>
      </c>
      <c r="D108" s="5" t="str">
        <f>IF($A108="","",SUMIFS('Stok Hareketleri'!$G$5:$G$2000,'Stok Hareketleri'!$D$5:$D$2000,$A108,'Stok Hareketleri'!$F$5:$F$2000,"Giriş",'Stok Hareketleri'!$C$5:$C$2000,$E$4))</f>
        <v/>
      </c>
      <c r="E108" s="5" t="str">
        <f>IF($A108="","",SUMIFS('Stok Hareketleri'!$G$5:$G$2000,'Stok Hareketleri'!$D$5:$D$2000,$A108,'Stok Hareketleri'!$F$5:$F$2000,"Çıkış",'Stok Hareketleri'!$C$5:$C$2000,$E$4))</f>
        <v/>
      </c>
      <c r="F108" s="5" t="str">
        <f t="shared" si="1"/>
        <v/>
      </c>
      <c r="G108" s="5" t="str">
        <f>IF($A108="","",IFERROR(INDEX('Stok Durumu'!$G$5:$G$300,MATCH($A108,'Stok Durumu'!$A$5:$A$300,0)),""))</f>
        <v/>
      </c>
    </row>
    <row r="109" spans="1:7" x14ac:dyDescent="0.3">
      <c r="A109" s="5" t="str">
        <f>IF('Malzeme Tanımlama'!A107="","",IF('Malzeme Tanımlama'!C107=$B$4,'Malzeme Tanımlama'!A107,""))</f>
        <v/>
      </c>
      <c r="B109" s="5" t="str">
        <f>IF($A109="","",'Malzeme Tanımlama'!B107)</f>
        <v/>
      </c>
      <c r="C109" s="5" t="str">
        <f>IF($A109="","",'Malzeme Tanımlama'!D107)</f>
        <v/>
      </c>
      <c r="D109" s="5" t="str">
        <f>IF($A109="","",SUMIFS('Stok Hareketleri'!$G$5:$G$2000,'Stok Hareketleri'!$D$5:$D$2000,$A109,'Stok Hareketleri'!$F$5:$F$2000,"Giriş",'Stok Hareketleri'!$C$5:$C$2000,$E$4))</f>
        <v/>
      </c>
      <c r="E109" s="5" t="str">
        <f>IF($A109="","",SUMIFS('Stok Hareketleri'!$G$5:$G$2000,'Stok Hareketleri'!$D$5:$D$2000,$A109,'Stok Hareketleri'!$F$5:$F$2000,"Çıkış",'Stok Hareketleri'!$C$5:$C$2000,$E$4))</f>
        <v/>
      </c>
      <c r="F109" s="5" t="str">
        <f t="shared" si="1"/>
        <v/>
      </c>
      <c r="G109" s="5" t="str">
        <f>IF($A109="","",IFERROR(INDEX('Stok Durumu'!$G$5:$G$300,MATCH($A109,'Stok Durumu'!$A$5:$A$300,0)),""))</f>
        <v/>
      </c>
    </row>
    <row r="110" spans="1:7" x14ac:dyDescent="0.3">
      <c r="A110" s="5" t="str">
        <f>IF('Malzeme Tanımlama'!A108="","",IF('Malzeme Tanımlama'!C108=$B$4,'Malzeme Tanımlama'!A108,""))</f>
        <v/>
      </c>
      <c r="B110" s="5" t="str">
        <f>IF($A110="","",'Malzeme Tanımlama'!B108)</f>
        <v/>
      </c>
      <c r="C110" s="5" t="str">
        <f>IF($A110="","",'Malzeme Tanımlama'!D108)</f>
        <v/>
      </c>
      <c r="D110" s="5" t="str">
        <f>IF($A110="","",SUMIFS('Stok Hareketleri'!$G$5:$G$2000,'Stok Hareketleri'!$D$5:$D$2000,$A110,'Stok Hareketleri'!$F$5:$F$2000,"Giriş",'Stok Hareketleri'!$C$5:$C$2000,$E$4))</f>
        <v/>
      </c>
      <c r="E110" s="5" t="str">
        <f>IF($A110="","",SUMIFS('Stok Hareketleri'!$G$5:$G$2000,'Stok Hareketleri'!$D$5:$D$2000,$A110,'Stok Hareketleri'!$F$5:$F$2000,"Çıkış",'Stok Hareketleri'!$C$5:$C$2000,$E$4))</f>
        <v/>
      </c>
      <c r="F110" s="5" t="str">
        <f t="shared" si="1"/>
        <v/>
      </c>
      <c r="G110" s="5" t="str">
        <f>IF($A110="","",IFERROR(INDEX('Stok Durumu'!$G$5:$G$300,MATCH($A110,'Stok Durumu'!$A$5:$A$300,0)),""))</f>
        <v/>
      </c>
    </row>
    <row r="111" spans="1:7" x14ac:dyDescent="0.3">
      <c r="A111" s="5" t="str">
        <f>IF('Malzeme Tanımlama'!A109="","",IF('Malzeme Tanımlama'!C109=$B$4,'Malzeme Tanımlama'!A109,""))</f>
        <v/>
      </c>
      <c r="B111" s="5" t="str">
        <f>IF($A111="","",'Malzeme Tanımlama'!B109)</f>
        <v/>
      </c>
      <c r="C111" s="5" t="str">
        <f>IF($A111="","",'Malzeme Tanımlama'!D109)</f>
        <v/>
      </c>
      <c r="D111" s="5" t="str">
        <f>IF($A111="","",SUMIFS('Stok Hareketleri'!$G$5:$G$2000,'Stok Hareketleri'!$D$5:$D$2000,$A111,'Stok Hareketleri'!$F$5:$F$2000,"Giriş",'Stok Hareketleri'!$C$5:$C$2000,$E$4))</f>
        <v/>
      </c>
      <c r="E111" s="5" t="str">
        <f>IF($A111="","",SUMIFS('Stok Hareketleri'!$G$5:$G$2000,'Stok Hareketleri'!$D$5:$D$2000,$A111,'Stok Hareketleri'!$F$5:$F$2000,"Çıkış",'Stok Hareketleri'!$C$5:$C$2000,$E$4))</f>
        <v/>
      </c>
      <c r="F111" s="5" t="str">
        <f t="shared" si="1"/>
        <v/>
      </c>
      <c r="G111" s="5" t="str">
        <f>IF($A111="","",IFERROR(INDEX('Stok Durumu'!$G$5:$G$300,MATCH($A111,'Stok Durumu'!$A$5:$A$300,0)),""))</f>
        <v/>
      </c>
    </row>
    <row r="112" spans="1:7" x14ac:dyDescent="0.3">
      <c r="A112" s="5" t="str">
        <f>IF('Malzeme Tanımlama'!A110="","",IF('Malzeme Tanımlama'!C110=$B$4,'Malzeme Tanımlama'!A110,""))</f>
        <v/>
      </c>
      <c r="B112" s="5" t="str">
        <f>IF($A112="","",'Malzeme Tanımlama'!B110)</f>
        <v/>
      </c>
      <c r="C112" s="5" t="str">
        <f>IF($A112="","",'Malzeme Tanımlama'!D110)</f>
        <v/>
      </c>
      <c r="D112" s="5" t="str">
        <f>IF($A112="","",SUMIFS('Stok Hareketleri'!$G$5:$G$2000,'Stok Hareketleri'!$D$5:$D$2000,$A112,'Stok Hareketleri'!$F$5:$F$2000,"Giriş",'Stok Hareketleri'!$C$5:$C$2000,$E$4))</f>
        <v/>
      </c>
      <c r="E112" s="5" t="str">
        <f>IF($A112="","",SUMIFS('Stok Hareketleri'!$G$5:$G$2000,'Stok Hareketleri'!$D$5:$D$2000,$A112,'Stok Hareketleri'!$F$5:$F$2000,"Çıkış",'Stok Hareketleri'!$C$5:$C$2000,$E$4))</f>
        <v/>
      </c>
      <c r="F112" s="5" t="str">
        <f t="shared" si="1"/>
        <v/>
      </c>
      <c r="G112" s="5" t="str">
        <f>IF($A112="","",IFERROR(INDEX('Stok Durumu'!$G$5:$G$300,MATCH($A112,'Stok Durumu'!$A$5:$A$300,0)),""))</f>
        <v/>
      </c>
    </row>
    <row r="113" spans="1:7" x14ac:dyDescent="0.3">
      <c r="A113" s="5" t="str">
        <f>IF('Malzeme Tanımlama'!A111="","",IF('Malzeme Tanımlama'!C111=$B$4,'Malzeme Tanımlama'!A111,""))</f>
        <v/>
      </c>
      <c r="B113" s="5" t="str">
        <f>IF($A113="","",'Malzeme Tanımlama'!B111)</f>
        <v/>
      </c>
      <c r="C113" s="5" t="str">
        <f>IF($A113="","",'Malzeme Tanımlama'!D111)</f>
        <v/>
      </c>
      <c r="D113" s="5" t="str">
        <f>IF($A113="","",SUMIFS('Stok Hareketleri'!$G$5:$G$2000,'Stok Hareketleri'!$D$5:$D$2000,$A113,'Stok Hareketleri'!$F$5:$F$2000,"Giriş",'Stok Hareketleri'!$C$5:$C$2000,$E$4))</f>
        <v/>
      </c>
      <c r="E113" s="5" t="str">
        <f>IF($A113="","",SUMIFS('Stok Hareketleri'!$G$5:$G$2000,'Stok Hareketleri'!$D$5:$D$2000,$A113,'Stok Hareketleri'!$F$5:$F$2000,"Çıkış",'Stok Hareketleri'!$C$5:$C$2000,$E$4))</f>
        <v/>
      </c>
      <c r="F113" s="5" t="str">
        <f t="shared" si="1"/>
        <v/>
      </c>
      <c r="G113" s="5" t="str">
        <f>IF($A113="","",IFERROR(INDEX('Stok Durumu'!$G$5:$G$300,MATCH($A113,'Stok Durumu'!$A$5:$A$300,0)),""))</f>
        <v/>
      </c>
    </row>
    <row r="114" spans="1:7" x14ac:dyDescent="0.3">
      <c r="A114" s="5" t="str">
        <f>IF('Malzeme Tanımlama'!A112="","",IF('Malzeme Tanımlama'!C112=$B$4,'Malzeme Tanımlama'!A112,""))</f>
        <v/>
      </c>
      <c r="B114" s="5" t="str">
        <f>IF($A114="","",'Malzeme Tanımlama'!B112)</f>
        <v/>
      </c>
      <c r="C114" s="5" t="str">
        <f>IF($A114="","",'Malzeme Tanımlama'!D112)</f>
        <v/>
      </c>
      <c r="D114" s="5" t="str">
        <f>IF($A114="","",SUMIFS('Stok Hareketleri'!$G$5:$G$2000,'Stok Hareketleri'!$D$5:$D$2000,$A114,'Stok Hareketleri'!$F$5:$F$2000,"Giriş",'Stok Hareketleri'!$C$5:$C$2000,$E$4))</f>
        <v/>
      </c>
      <c r="E114" s="5" t="str">
        <f>IF($A114="","",SUMIFS('Stok Hareketleri'!$G$5:$G$2000,'Stok Hareketleri'!$D$5:$D$2000,$A114,'Stok Hareketleri'!$F$5:$F$2000,"Çıkış",'Stok Hareketleri'!$C$5:$C$2000,$E$4))</f>
        <v/>
      </c>
      <c r="F114" s="5" t="str">
        <f t="shared" si="1"/>
        <v/>
      </c>
      <c r="G114" s="5" t="str">
        <f>IF($A114="","",IFERROR(INDEX('Stok Durumu'!$G$5:$G$300,MATCH($A114,'Stok Durumu'!$A$5:$A$300,0)),""))</f>
        <v/>
      </c>
    </row>
    <row r="115" spans="1:7" x14ac:dyDescent="0.3">
      <c r="A115" s="5" t="str">
        <f>IF('Malzeme Tanımlama'!A113="","",IF('Malzeme Tanımlama'!C113=$B$4,'Malzeme Tanımlama'!A113,""))</f>
        <v/>
      </c>
      <c r="B115" s="5" t="str">
        <f>IF($A115="","",'Malzeme Tanımlama'!B113)</f>
        <v/>
      </c>
      <c r="C115" s="5" t="str">
        <f>IF($A115="","",'Malzeme Tanımlama'!D113)</f>
        <v/>
      </c>
      <c r="D115" s="5" t="str">
        <f>IF($A115="","",SUMIFS('Stok Hareketleri'!$G$5:$G$2000,'Stok Hareketleri'!$D$5:$D$2000,$A115,'Stok Hareketleri'!$F$5:$F$2000,"Giriş",'Stok Hareketleri'!$C$5:$C$2000,$E$4))</f>
        <v/>
      </c>
      <c r="E115" s="5" t="str">
        <f>IF($A115="","",SUMIFS('Stok Hareketleri'!$G$5:$G$2000,'Stok Hareketleri'!$D$5:$D$2000,$A115,'Stok Hareketleri'!$F$5:$F$2000,"Çıkış",'Stok Hareketleri'!$C$5:$C$2000,$E$4))</f>
        <v/>
      </c>
      <c r="F115" s="5" t="str">
        <f t="shared" si="1"/>
        <v/>
      </c>
      <c r="G115" s="5" t="str">
        <f>IF($A115="","",IFERROR(INDEX('Stok Durumu'!$G$5:$G$300,MATCH($A115,'Stok Durumu'!$A$5:$A$300,0)),""))</f>
        <v/>
      </c>
    </row>
    <row r="116" spans="1:7" x14ac:dyDescent="0.3">
      <c r="A116" s="5" t="str">
        <f>IF('Malzeme Tanımlama'!A114="","",IF('Malzeme Tanımlama'!C114=$B$4,'Malzeme Tanımlama'!A114,""))</f>
        <v/>
      </c>
      <c r="B116" s="5" t="str">
        <f>IF($A116="","",'Malzeme Tanımlama'!B114)</f>
        <v/>
      </c>
      <c r="C116" s="5" t="str">
        <f>IF($A116="","",'Malzeme Tanımlama'!D114)</f>
        <v/>
      </c>
      <c r="D116" s="5" t="str">
        <f>IF($A116="","",SUMIFS('Stok Hareketleri'!$G$5:$G$2000,'Stok Hareketleri'!$D$5:$D$2000,$A116,'Stok Hareketleri'!$F$5:$F$2000,"Giriş",'Stok Hareketleri'!$C$5:$C$2000,$E$4))</f>
        <v/>
      </c>
      <c r="E116" s="5" t="str">
        <f>IF($A116="","",SUMIFS('Stok Hareketleri'!$G$5:$G$2000,'Stok Hareketleri'!$D$5:$D$2000,$A116,'Stok Hareketleri'!$F$5:$F$2000,"Çıkış",'Stok Hareketleri'!$C$5:$C$2000,$E$4))</f>
        <v/>
      </c>
      <c r="F116" s="5" t="str">
        <f t="shared" si="1"/>
        <v/>
      </c>
      <c r="G116" s="5" t="str">
        <f>IF($A116="","",IFERROR(INDEX('Stok Durumu'!$G$5:$G$300,MATCH($A116,'Stok Durumu'!$A$5:$A$300,0)),""))</f>
        <v/>
      </c>
    </row>
    <row r="117" spans="1:7" x14ac:dyDescent="0.3">
      <c r="A117" s="5" t="str">
        <f>IF('Malzeme Tanımlama'!A115="","",IF('Malzeme Tanımlama'!C115=$B$4,'Malzeme Tanımlama'!A115,""))</f>
        <v/>
      </c>
      <c r="B117" s="5" t="str">
        <f>IF($A117="","",'Malzeme Tanımlama'!B115)</f>
        <v/>
      </c>
      <c r="C117" s="5" t="str">
        <f>IF($A117="","",'Malzeme Tanımlama'!D115)</f>
        <v/>
      </c>
      <c r="D117" s="5" t="str">
        <f>IF($A117="","",SUMIFS('Stok Hareketleri'!$G$5:$G$2000,'Stok Hareketleri'!$D$5:$D$2000,$A117,'Stok Hareketleri'!$F$5:$F$2000,"Giriş",'Stok Hareketleri'!$C$5:$C$2000,$E$4))</f>
        <v/>
      </c>
      <c r="E117" s="5" t="str">
        <f>IF($A117="","",SUMIFS('Stok Hareketleri'!$G$5:$G$2000,'Stok Hareketleri'!$D$5:$D$2000,$A117,'Stok Hareketleri'!$F$5:$F$2000,"Çıkış",'Stok Hareketleri'!$C$5:$C$2000,$E$4))</f>
        <v/>
      </c>
      <c r="F117" s="5" t="str">
        <f t="shared" si="1"/>
        <v/>
      </c>
      <c r="G117" s="5" t="str">
        <f>IF($A117="","",IFERROR(INDEX('Stok Durumu'!$G$5:$G$300,MATCH($A117,'Stok Durumu'!$A$5:$A$300,0)),""))</f>
        <v/>
      </c>
    </row>
    <row r="118" spans="1:7" x14ac:dyDescent="0.3">
      <c r="A118" s="5" t="str">
        <f>IF('Malzeme Tanımlama'!A116="","",IF('Malzeme Tanımlama'!C116=$B$4,'Malzeme Tanımlama'!A116,""))</f>
        <v/>
      </c>
      <c r="B118" s="5" t="str">
        <f>IF($A118="","",'Malzeme Tanımlama'!B116)</f>
        <v/>
      </c>
      <c r="C118" s="5" t="str">
        <f>IF($A118="","",'Malzeme Tanımlama'!D116)</f>
        <v/>
      </c>
      <c r="D118" s="5" t="str">
        <f>IF($A118="","",SUMIFS('Stok Hareketleri'!$G$5:$G$2000,'Stok Hareketleri'!$D$5:$D$2000,$A118,'Stok Hareketleri'!$F$5:$F$2000,"Giriş",'Stok Hareketleri'!$C$5:$C$2000,$E$4))</f>
        <v/>
      </c>
      <c r="E118" s="5" t="str">
        <f>IF($A118="","",SUMIFS('Stok Hareketleri'!$G$5:$G$2000,'Stok Hareketleri'!$D$5:$D$2000,$A118,'Stok Hareketleri'!$F$5:$F$2000,"Çıkış",'Stok Hareketleri'!$C$5:$C$2000,$E$4))</f>
        <v/>
      </c>
      <c r="F118" s="5" t="str">
        <f t="shared" si="1"/>
        <v/>
      </c>
      <c r="G118" s="5" t="str">
        <f>IF($A118="","",IFERROR(INDEX('Stok Durumu'!$G$5:$G$300,MATCH($A118,'Stok Durumu'!$A$5:$A$300,0)),""))</f>
        <v/>
      </c>
    </row>
    <row r="119" spans="1:7" x14ac:dyDescent="0.3">
      <c r="A119" s="5" t="str">
        <f>IF('Malzeme Tanımlama'!A117="","",IF('Malzeme Tanımlama'!C117=$B$4,'Malzeme Tanımlama'!A117,""))</f>
        <v/>
      </c>
      <c r="B119" s="5" t="str">
        <f>IF($A119="","",'Malzeme Tanımlama'!B117)</f>
        <v/>
      </c>
      <c r="C119" s="5" t="str">
        <f>IF($A119="","",'Malzeme Tanımlama'!D117)</f>
        <v/>
      </c>
      <c r="D119" s="5" t="str">
        <f>IF($A119="","",SUMIFS('Stok Hareketleri'!$G$5:$G$2000,'Stok Hareketleri'!$D$5:$D$2000,$A119,'Stok Hareketleri'!$F$5:$F$2000,"Giriş",'Stok Hareketleri'!$C$5:$C$2000,$E$4))</f>
        <v/>
      </c>
      <c r="E119" s="5" t="str">
        <f>IF($A119="","",SUMIFS('Stok Hareketleri'!$G$5:$G$2000,'Stok Hareketleri'!$D$5:$D$2000,$A119,'Stok Hareketleri'!$F$5:$F$2000,"Çıkış",'Stok Hareketleri'!$C$5:$C$2000,$E$4))</f>
        <v/>
      </c>
      <c r="F119" s="5" t="str">
        <f t="shared" si="1"/>
        <v/>
      </c>
      <c r="G119" s="5" t="str">
        <f>IF($A119="","",IFERROR(INDEX('Stok Durumu'!$G$5:$G$300,MATCH($A119,'Stok Durumu'!$A$5:$A$300,0)),""))</f>
        <v/>
      </c>
    </row>
    <row r="120" spans="1:7" x14ac:dyDescent="0.3">
      <c r="A120" s="5" t="str">
        <f>IF('Malzeme Tanımlama'!A118="","",IF('Malzeme Tanımlama'!C118=$B$4,'Malzeme Tanımlama'!A118,""))</f>
        <v/>
      </c>
      <c r="B120" s="5" t="str">
        <f>IF($A120="","",'Malzeme Tanımlama'!B118)</f>
        <v/>
      </c>
      <c r="C120" s="5" t="str">
        <f>IF($A120="","",'Malzeme Tanımlama'!D118)</f>
        <v/>
      </c>
      <c r="D120" s="5" t="str">
        <f>IF($A120="","",SUMIFS('Stok Hareketleri'!$G$5:$G$2000,'Stok Hareketleri'!$D$5:$D$2000,$A120,'Stok Hareketleri'!$F$5:$F$2000,"Giriş",'Stok Hareketleri'!$C$5:$C$2000,$E$4))</f>
        <v/>
      </c>
      <c r="E120" s="5" t="str">
        <f>IF($A120="","",SUMIFS('Stok Hareketleri'!$G$5:$G$2000,'Stok Hareketleri'!$D$5:$D$2000,$A120,'Stok Hareketleri'!$F$5:$F$2000,"Çıkış",'Stok Hareketleri'!$C$5:$C$2000,$E$4))</f>
        <v/>
      </c>
      <c r="F120" s="5" t="str">
        <f t="shared" si="1"/>
        <v/>
      </c>
      <c r="G120" s="5" t="str">
        <f>IF($A120="","",IFERROR(INDEX('Stok Durumu'!$G$5:$G$300,MATCH($A120,'Stok Durumu'!$A$5:$A$300,0)),""))</f>
        <v/>
      </c>
    </row>
    <row r="121" spans="1:7" x14ac:dyDescent="0.3">
      <c r="A121" s="5" t="str">
        <f>IF('Malzeme Tanımlama'!A119="","",IF('Malzeme Tanımlama'!C119=$B$4,'Malzeme Tanımlama'!A119,""))</f>
        <v/>
      </c>
      <c r="B121" s="5" t="str">
        <f>IF($A121="","",'Malzeme Tanımlama'!B119)</f>
        <v/>
      </c>
      <c r="C121" s="5" t="str">
        <f>IF($A121="","",'Malzeme Tanımlama'!D119)</f>
        <v/>
      </c>
      <c r="D121" s="5" t="str">
        <f>IF($A121="","",SUMIFS('Stok Hareketleri'!$G$5:$G$2000,'Stok Hareketleri'!$D$5:$D$2000,$A121,'Stok Hareketleri'!$F$5:$F$2000,"Giriş",'Stok Hareketleri'!$C$5:$C$2000,$E$4))</f>
        <v/>
      </c>
      <c r="E121" s="5" t="str">
        <f>IF($A121="","",SUMIFS('Stok Hareketleri'!$G$5:$G$2000,'Stok Hareketleri'!$D$5:$D$2000,$A121,'Stok Hareketleri'!$F$5:$F$2000,"Çıkış",'Stok Hareketleri'!$C$5:$C$2000,$E$4))</f>
        <v/>
      </c>
      <c r="F121" s="5" t="str">
        <f t="shared" si="1"/>
        <v/>
      </c>
      <c r="G121" s="5" t="str">
        <f>IF($A121="","",IFERROR(INDEX('Stok Durumu'!$G$5:$G$300,MATCH($A121,'Stok Durumu'!$A$5:$A$300,0)),""))</f>
        <v/>
      </c>
    </row>
    <row r="122" spans="1:7" x14ac:dyDescent="0.3">
      <c r="A122" s="5" t="str">
        <f>IF('Malzeme Tanımlama'!A120="","",IF('Malzeme Tanımlama'!C120=$B$4,'Malzeme Tanımlama'!A120,""))</f>
        <v/>
      </c>
      <c r="B122" s="5" t="str">
        <f>IF($A122="","",'Malzeme Tanımlama'!B120)</f>
        <v/>
      </c>
      <c r="C122" s="5" t="str">
        <f>IF($A122="","",'Malzeme Tanımlama'!D120)</f>
        <v/>
      </c>
      <c r="D122" s="5" t="str">
        <f>IF($A122="","",SUMIFS('Stok Hareketleri'!$G$5:$G$2000,'Stok Hareketleri'!$D$5:$D$2000,$A122,'Stok Hareketleri'!$F$5:$F$2000,"Giriş",'Stok Hareketleri'!$C$5:$C$2000,$E$4))</f>
        <v/>
      </c>
      <c r="E122" s="5" t="str">
        <f>IF($A122="","",SUMIFS('Stok Hareketleri'!$G$5:$G$2000,'Stok Hareketleri'!$D$5:$D$2000,$A122,'Stok Hareketleri'!$F$5:$F$2000,"Çıkış",'Stok Hareketleri'!$C$5:$C$2000,$E$4))</f>
        <v/>
      </c>
      <c r="F122" s="5" t="str">
        <f t="shared" si="1"/>
        <v/>
      </c>
      <c r="G122" s="5" t="str">
        <f>IF($A122="","",IFERROR(INDEX('Stok Durumu'!$G$5:$G$300,MATCH($A122,'Stok Durumu'!$A$5:$A$300,0)),""))</f>
        <v/>
      </c>
    </row>
    <row r="123" spans="1:7" x14ac:dyDescent="0.3">
      <c r="A123" s="5" t="str">
        <f>IF('Malzeme Tanımlama'!A121="","",IF('Malzeme Tanımlama'!C121=$B$4,'Malzeme Tanımlama'!A121,""))</f>
        <v/>
      </c>
      <c r="B123" s="5" t="str">
        <f>IF($A123="","",'Malzeme Tanımlama'!B121)</f>
        <v/>
      </c>
      <c r="C123" s="5" t="str">
        <f>IF($A123="","",'Malzeme Tanımlama'!D121)</f>
        <v/>
      </c>
      <c r="D123" s="5" t="str">
        <f>IF($A123="","",SUMIFS('Stok Hareketleri'!$G$5:$G$2000,'Stok Hareketleri'!$D$5:$D$2000,$A123,'Stok Hareketleri'!$F$5:$F$2000,"Giriş",'Stok Hareketleri'!$C$5:$C$2000,$E$4))</f>
        <v/>
      </c>
      <c r="E123" s="5" t="str">
        <f>IF($A123="","",SUMIFS('Stok Hareketleri'!$G$5:$G$2000,'Stok Hareketleri'!$D$5:$D$2000,$A123,'Stok Hareketleri'!$F$5:$F$2000,"Çıkış",'Stok Hareketleri'!$C$5:$C$2000,$E$4))</f>
        <v/>
      </c>
      <c r="F123" s="5" t="str">
        <f t="shared" si="1"/>
        <v/>
      </c>
      <c r="G123" s="5" t="str">
        <f>IF($A123="","",IFERROR(INDEX('Stok Durumu'!$G$5:$G$300,MATCH($A123,'Stok Durumu'!$A$5:$A$300,0)),""))</f>
        <v/>
      </c>
    </row>
    <row r="124" spans="1:7" x14ac:dyDescent="0.3">
      <c r="A124" s="5" t="str">
        <f>IF('Malzeme Tanımlama'!A122="","",IF('Malzeme Tanımlama'!C122=$B$4,'Malzeme Tanımlama'!A122,""))</f>
        <v/>
      </c>
      <c r="B124" s="5" t="str">
        <f>IF($A124="","",'Malzeme Tanımlama'!B122)</f>
        <v/>
      </c>
      <c r="C124" s="5" t="str">
        <f>IF($A124="","",'Malzeme Tanımlama'!D122)</f>
        <v/>
      </c>
      <c r="D124" s="5" t="str">
        <f>IF($A124="","",SUMIFS('Stok Hareketleri'!$G$5:$G$2000,'Stok Hareketleri'!$D$5:$D$2000,$A124,'Stok Hareketleri'!$F$5:$F$2000,"Giriş",'Stok Hareketleri'!$C$5:$C$2000,$E$4))</f>
        <v/>
      </c>
      <c r="E124" s="5" t="str">
        <f>IF($A124="","",SUMIFS('Stok Hareketleri'!$G$5:$G$2000,'Stok Hareketleri'!$D$5:$D$2000,$A124,'Stok Hareketleri'!$F$5:$F$2000,"Çıkış",'Stok Hareketleri'!$C$5:$C$2000,$E$4))</f>
        <v/>
      </c>
      <c r="F124" s="5" t="str">
        <f t="shared" si="1"/>
        <v/>
      </c>
      <c r="G124" s="5" t="str">
        <f>IF($A124="","",IFERROR(INDEX('Stok Durumu'!$G$5:$G$300,MATCH($A124,'Stok Durumu'!$A$5:$A$300,0)),""))</f>
        <v/>
      </c>
    </row>
    <row r="125" spans="1:7" x14ac:dyDescent="0.3">
      <c r="A125" s="5" t="str">
        <f>IF('Malzeme Tanımlama'!A123="","",IF('Malzeme Tanımlama'!C123=$B$4,'Malzeme Tanımlama'!A123,""))</f>
        <v/>
      </c>
      <c r="B125" s="5" t="str">
        <f>IF($A125="","",'Malzeme Tanımlama'!B123)</f>
        <v/>
      </c>
      <c r="C125" s="5" t="str">
        <f>IF($A125="","",'Malzeme Tanımlama'!D123)</f>
        <v/>
      </c>
      <c r="D125" s="5" t="str">
        <f>IF($A125="","",SUMIFS('Stok Hareketleri'!$G$5:$G$2000,'Stok Hareketleri'!$D$5:$D$2000,$A125,'Stok Hareketleri'!$F$5:$F$2000,"Giriş",'Stok Hareketleri'!$C$5:$C$2000,$E$4))</f>
        <v/>
      </c>
      <c r="E125" s="5" t="str">
        <f>IF($A125="","",SUMIFS('Stok Hareketleri'!$G$5:$G$2000,'Stok Hareketleri'!$D$5:$D$2000,$A125,'Stok Hareketleri'!$F$5:$F$2000,"Çıkış",'Stok Hareketleri'!$C$5:$C$2000,$E$4))</f>
        <v/>
      </c>
      <c r="F125" s="5" t="str">
        <f t="shared" si="1"/>
        <v/>
      </c>
      <c r="G125" s="5" t="str">
        <f>IF($A125="","",IFERROR(INDEX('Stok Durumu'!$G$5:$G$300,MATCH($A125,'Stok Durumu'!$A$5:$A$300,0)),""))</f>
        <v/>
      </c>
    </row>
    <row r="126" spans="1:7" x14ac:dyDescent="0.3">
      <c r="A126" s="5" t="str">
        <f>IF('Malzeme Tanımlama'!A124="","",IF('Malzeme Tanımlama'!C124=$B$4,'Malzeme Tanımlama'!A124,""))</f>
        <v/>
      </c>
      <c r="B126" s="5" t="str">
        <f>IF($A126="","",'Malzeme Tanımlama'!B124)</f>
        <v/>
      </c>
      <c r="C126" s="5" t="str">
        <f>IF($A126="","",'Malzeme Tanımlama'!D124)</f>
        <v/>
      </c>
      <c r="D126" s="5" t="str">
        <f>IF($A126="","",SUMIFS('Stok Hareketleri'!$G$5:$G$2000,'Stok Hareketleri'!$D$5:$D$2000,$A126,'Stok Hareketleri'!$F$5:$F$2000,"Giriş",'Stok Hareketleri'!$C$5:$C$2000,$E$4))</f>
        <v/>
      </c>
      <c r="E126" s="5" t="str">
        <f>IF($A126="","",SUMIFS('Stok Hareketleri'!$G$5:$G$2000,'Stok Hareketleri'!$D$5:$D$2000,$A126,'Stok Hareketleri'!$F$5:$F$2000,"Çıkış",'Stok Hareketleri'!$C$5:$C$2000,$E$4))</f>
        <v/>
      </c>
      <c r="F126" s="5" t="str">
        <f t="shared" si="1"/>
        <v/>
      </c>
      <c r="G126" s="5" t="str">
        <f>IF($A126="","",IFERROR(INDEX('Stok Durumu'!$G$5:$G$300,MATCH($A126,'Stok Durumu'!$A$5:$A$300,0)),""))</f>
        <v/>
      </c>
    </row>
    <row r="127" spans="1:7" x14ac:dyDescent="0.3">
      <c r="A127" s="5" t="str">
        <f>IF('Malzeme Tanımlama'!A125="","",IF('Malzeme Tanımlama'!C125=$B$4,'Malzeme Tanımlama'!A125,""))</f>
        <v/>
      </c>
      <c r="B127" s="5" t="str">
        <f>IF($A127="","",'Malzeme Tanımlama'!B125)</f>
        <v/>
      </c>
      <c r="C127" s="5" t="str">
        <f>IF($A127="","",'Malzeme Tanımlama'!D125)</f>
        <v/>
      </c>
      <c r="D127" s="5" t="str">
        <f>IF($A127="","",SUMIFS('Stok Hareketleri'!$G$5:$G$2000,'Stok Hareketleri'!$D$5:$D$2000,$A127,'Stok Hareketleri'!$F$5:$F$2000,"Giriş",'Stok Hareketleri'!$C$5:$C$2000,$E$4))</f>
        <v/>
      </c>
      <c r="E127" s="5" t="str">
        <f>IF($A127="","",SUMIFS('Stok Hareketleri'!$G$5:$G$2000,'Stok Hareketleri'!$D$5:$D$2000,$A127,'Stok Hareketleri'!$F$5:$F$2000,"Çıkış",'Stok Hareketleri'!$C$5:$C$2000,$E$4))</f>
        <v/>
      </c>
      <c r="F127" s="5" t="str">
        <f t="shared" si="1"/>
        <v/>
      </c>
      <c r="G127" s="5" t="str">
        <f>IF($A127="","",IFERROR(INDEX('Stok Durumu'!$G$5:$G$300,MATCH($A127,'Stok Durumu'!$A$5:$A$300,0)),""))</f>
        <v/>
      </c>
    </row>
    <row r="128" spans="1:7" x14ac:dyDescent="0.3">
      <c r="A128" s="5" t="str">
        <f>IF('Malzeme Tanımlama'!A126="","",IF('Malzeme Tanımlama'!C126=$B$4,'Malzeme Tanımlama'!A126,""))</f>
        <v/>
      </c>
      <c r="B128" s="5" t="str">
        <f>IF($A128="","",'Malzeme Tanımlama'!B126)</f>
        <v/>
      </c>
      <c r="C128" s="5" t="str">
        <f>IF($A128="","",'Malzeme Tanımlama'!D126)</f>
        <v/>
      </c>
      <c r="D128" s="5" t="str">
        <f>IF($A128="","",SUMIFS('Stok Hareketleri'!$G$5:$G$2000,'Stok Hareketleri'!$D$5:$D$2000,$A128,'Stok Hareketleri'!$F$5:$F$2000,"Giriş",'Stok Hareketleri'!$C$5:$C$2000,$E$4))</f>
        <v/>
      </c>
      <c r="E128" s="5" t="str">
        <f>IF($A128="","",SUMIFS('Stok Hareketleri'!$G$5:$G$2000,'Stok Hareketleri'!$D$5:$D$2000,$A128,'Stok Hareketleri'!$F$5:$F$2000,"Çıkış",'Stok Hareketleri'!$C$5:$C$2000,$E$4))</f>
        <v/>
      </c>
      <c r="F128" s="5" t="str">
        <f t="shared" si="1"/>
        <v/>
      </c>
      <c r="G128" s="5" t="str">
        <f>IF($A128="","",IFERROR(INDEX('Stok Durumu'!$G$5:$G$300,MATCH($A128,'Stok Durumu'!$A$5:$A$300,0)),""))</f>
        <v/>
      </c>
    </row>
    <row r="129" spans="1:7" x14ac:dyDescent="0.3">
      <c r="A129" s="5" t="str">
        <f>IF('Malzeme Tanımlama'!A127="","",IF('Malzeme Tanımlama'!C127=$B$4,'Malzeme Tanımlama'!A127,""))</f>
        <v/>
      </c>
      <c r="B129" s="5" t="str">
        <f>IF($A129="","",'Malzeme Tanımlama'!B127)</f>
        <v/>
      </c>
      <c r="C129" s="5" t="str">
        <f>IF($A129="","",'Malzeme Tanımlama'!D127)</f>
        <v/>
      </c>
      <c r="D129" s="5" t="str">
        <f>IF($A129="","",SUMIFS('Stok Hareketleri'!$G$5:$G$2000,'Stok Hareketleri'!$D$5:$D$2000,$A129,'Stok Hareketleri'!$F$5:$F$2000,"Giriş",'Stok Hareketleri'!$C$5:$C$2000,$E$4))</f>
        <v/>
      </c>
      <c r="E129" s="5" t="str">
        <f>IF($A129="","",SUMIFS('Stok Hareketleri'!$G$5:$G$2000,'Stok Hareketleri'!$D$5:$D$2000,$A129,'Stok Hareketleri'!$F$5:$F$2000,"Çıkış",'Stok Hareketleri'!$C$5:$C$2000,$E$4))</f>
        <v/>
      </c>
      <c r="F129" s="5" t="str">
        <f t="shared" si="1"/>
        <v/>
      </c>
      <c r="G129" s="5" t="str">
        <f>IF($A129="","",IFERROR(INDEX('Stok Durumu'!$G$5:$G$300,MATCH($A129,'Stok Durumu'!$A$5:$A$300,0)),""))</f>
        <v/>
      </c>
    </row>
    <row r="130" spans="1:7" x14ac:dyDescent="0.3">
      <c r="A130" s="5" t="str">
        <f>IF('Malzeme Tanımlama'!A128="","",IF('Malzeme Tanımlama'!C128=$B$4,'Malzeme Tanımlama'!A128,""))</f>
        <v/>
      </c>
      <c r="B130" s="5" t="str">
        <f>IF($A130="","",'Malzeme Tanımlama'!B128)</f>
        <v/>
      </c>
      <c r="C130" s="5" t="str">
        <f>IF($A130="","",'Malzeme Tanımlama'!D128)</f>
        <v/>
      </c>
      <c r="D130" s="5" t="str">
        <f>IF($A130="","",SUMIFS('Stok Hareketleri'!$G$5:$G$2000,'Stok Hareketleri'!$D$5:$D$2000,$A130,'Stok Hareketleri'!$F$5:$F$2000,"Giriş",'Stok Hareketleri'!$C$5:$C$2000,$E$4))</f>
        <v/>
      </c>
      <c r="E130" s="5" t="str">
        <f>IF($A130="","",SUMIFS('Stok Hareketleri'!$G$5:$G$2000,'Stok Hareketleri'!$D$5:$D$2000,$A130,'Stok Hareketleri'!$F$5:$F$2000,"Çıkış",'Stok Hareketleri'!$C$5:$C$2000,$E$4))</f>
        <v/>
      </c>
      <c r="F130" s="5" t="str">
        <f t="shared" si="1"/>
        <v/>
      </c>
      <c r="G130" s="5" t="str">
        <f>IF($A130="","",IFERROR(INDEX('Stok Durumu'!$G$5:$G$300,MATCH($A130,'Stok Durumu'!$A$5:$A$300,0)),""))</f>
        <v/>
      </c>
    </row>
    <row r="131" spans="1:7" x14ac:dyDescent="0.3">
      <c r="A131" s="5" t="str">
        <f>IF('Malzeme Tanımlama'!A129="","",IF('Malzeme Tanımlama'!C129=$B$4,'Malzeme Tanımlama'!A129,""))</f>
        <v/>
      </c>
      <c r="B131" s="5" t="str">
        <f>IF($A131="","",'Malzeme Tanımlama'!B129)</f>
        <v/>
      </c>
      <c r="C131" s="5" t="str">
        <f>IF($A131="","",'Malzeme Tanımlama'!D129)</f>
        <v/>
      </c>
      <c r="D131" s="5" t="str">
        <f>IF($A131="","",SUMIFS('Stok Hareketleri'!$G$5:$G$2000,'Stok Hareketleri'!$D$5:$D$2000,$A131,'Stok Hareketleri'!$F$5:$F$2000,"Giriş",'Stok Hareketleri'!$C$5:$C$2000,$E$4))</f>
        <v/>
      </c>
      <c r="E131" s="5" t="str">
        <f>IF($A131="","",SUMIFS('Stok Hareketleri'!$G$5:$G$2000,'Stok Hareketleri'!$D$5:$D$2000,$A131,'Stok Hareketleri'!$F$5:$F$2000,"Çıkış",'Stok Hareketleri'!$C$5:$C$2000,$E$4))</f>
        <v/>
      </c>
      <c r="F131" s="5" t="str">
        <f t="shared" si="1"/>
        <v/>
      </c>
      <c r="G131" s="5" t="str">
        <f>IF($A131="","",IFERROR(INDEX('Stok Durumu'!$G$5:$G$300,MATCH($A131,'Stok Durumu'!$A$5:$A$300,0)),""))</f>
        <v/>
      </c>
    </row>
    <row r="132" spans="1:7" x14ac:dyDescent="0.3">
      <c r="A132" s="5" t="str">
        <f>IF('Malzeme Tanımlama'!A130="","",IF('Malzeme Tanımlama'!C130=$B$4,'Malzeme Tanımlama'!A130,""))</f>
        <v/>
      </c>
      <c r="B132" s="5" t="str">
        <f>IF($A132="","",'Malzeme Tanımlama'!B130)</f>
        <v/>
      </c>
      <c r="C132" s="5" t="str">
        <f>IF($A132="","",'Malzeme Tanımlama'!D130)</f>
        <v/>
      </c>
      <c r="D132" s="5" t="str">
        <f>IF($A132="","",SUMIFS('Stok Hareketleri'!$G$5:$G$2000,'Stok Hareketleri'!$D$5:$D$2000,$A132,'Stok Hareketleri'!$F$5:$F$2000,"Giriş",'Stok Hareketleri'!$C$5:$C$2000,$E$4))</f>
        <v/>
      </c>
      <c r="E132" s="5" t="str">
        <f>IF($A132="","",SUMIFS('Stok Hareketleri'!$G$5:$G$2000,'Stok Hareketleri'!$D$5:$D$2000,$A132,'Stok Hareketleri'!$F$5:$F$2000,"Çıkış",'Stok Hareketleri'!$C$5:$C$2000,$E$4))</f>
        <v/>
      </c>
      <c r="F132" s="5" t="str">
        <f t="shared" si="1"/>
        <v/>
      </c>
      <c r="G132" s="5" t="str">
        <f>IF($A132="","",IFERROR(INDEX('Stok Durumu'!$G$5:$G$300,MATCH($A132,'Stok Durumu'!$A$5:$A$300,0)),""))</f>
        <v/>
      </c>
    </row>
    <row r="133" spans="1:7" x14ac:dyDescent="0.3">
      <c r="A133" s="5" t="str">
        <f>IF('Malzeme Tanımlama'!A131="","",IF('Malzeme Tanımlama'!C131=$B$4,'Malzeme Tanımlama'!A131,""))</f>
        <v/>
      </c>
      <c r="B133" s="5" t="str">
        <f>IF($A133="","",'Malzeme Tanımlama'!B131)</f>
        <v/>
      </c>
      <c r="C133" s="5" t="str">
        <f>IF($A133="","",'Malzeme Tanımlama'!D131)</f>
        <v/>
      </c>
      <c r="D133" s="5" t="str">
        <f>IF($A133="","",SUMIFS('Stok Hareketleri'!$G$5:$G$2000,'Stok Hareketleri'!$D$5:$D$2000,$A133,'Stok Hareketleri'!$F$5:$F$2000,"Giriş",'Stok Hareketleri'!$C$5:$C$2000,$E$4))</f>
        <v/>
      </c>
      <c r="E133" s="5" t="str">
        <f>IF($A133="","",SUMIFS('Stok Hareketleri'!$G$5:$G$2000,'Stok Hareketleri'!$D$5:$D$2000,$A133,'Stok Hareketleri'!$F$5:$F$2000,"Çıkış",'Stok Hareketleri'!$C$5:$C$2000,$E$4))</f>
        <v/>
      </c>
      <c r="F133" s="5" t="str">
        <f t="shared" si="1"/>
        <v/>
      </c>
      <c r="G133" s="5" t="str">
        <f>IF($A133="","",IFERROR(INDEX('Stok Durumu'!$G$5:$G$300,MATCH($A133,'Stok Durumu'!$A$5:$A$300,0)),""))</f>
        <v/>
      </c>
    </row>
    <row r="134" spans="1:7" x14ac:dyDescent="0.3">
      <c r="A134" s="5" t="str">
        <f>IF('Malzeme Tanımlama'!A132="","",IF('Malzeme Tanımlama'!C132=$B$4,'Malzeme Tanımlama'!A132,""))</f>
        <v/>
      </c>
      <c r="B134" s="5" t="str">
        <f>IF($A134="","",'Malzeme Tanımlama'!B132)</f>
        <v/>
      </c>
      <c r="C134" s="5" t="str">
        <f>IF($A134="","",'Malzeme Tanımlama'!D132)</f>
        <v/>
      </c>
      <c r="D134" s="5" t="str">
        <f>IF($A134="","",SUMIFS('Stok Hareketleri'!$G$5:$G$2000,'Stok Hareketleri'!$D$5:$D$2000,$A134,'Stok Hareketleri'!$F$5:$F$2000,"Giriş",'Stok Hareketleri'!$C$5:$C$2000,$E$4))</f>
        <v/>
      </c>
      <c r="E134" s="5" t="str">
        <f>IF($A134="","",SUMIFS('Stok Hareketleri'!$G$5:$G$2000,'Stok Hareketleri'!$D$5:$D$2000,$A134,'Stok Hareketleri'!$F$5:$F$2000,"Çıkış",'Stok Hareketleri'!$C$5:$C$2000,$E$4))</f>
        <v/>
      </c>
      <c r="F134" s="5" t="str">
        <f t="shared" si="1"/>
        <v/>
      </c>
      <c r="G134" s="5" t="str">
        <f>IF($A134="","",IFERROR(INDEX('Stok Durumu'!$G$5:$G$300,MATCH($A134,'Stok Durumu'!$A$5:$A$300,0)),""))</f>
        <v/>
      </c>
    </row>
    <row r="135" spans="1:7" x14ac:dyDescent="0.3">
      <c r="A135" s="5" t="str">
        <f>IF('Malzeme Tanımlama'!A133="","",IF('Malzeme Tanımlama'!C133=$B$4,'Malzeme Tanımlama'!A133,""))</f>
        <v/>
      </c>
      <c r="B135" s="5" t="str">
        <f>IF($A135="","",'Malzeme Tanımlama'!B133)</f>
        <v/>
      </c>
      <c r="C135" s="5" t="str">
        <f>IF($A135="","",'Malzeme Tanımlama'!D133)</f>
        <v/>
      </c>
      <c r="D135" s="5" t="str">
        <f>IF($A135="","",SUMIFS('Stok Hareketleri'!$G$5:$G$2000,'Stok Hareketleri'!$D$5:$D$2000,$A135,'Stok Hareketleri'!$F$5:$F$2000,"Giriş",'Stok Hareketleri'!$C$5:$C$2000,$E$4))</f>
        <v/>
      </c>
      <c r="E135" s="5" t="str">
        <f>IF($A135="","",SUMIFS('Stok Hareketleri'!$G$5:$G$2000,'Stok Hareketleri'!$D$5:$D$2000,$A135,'Stok Hareketleri'!$F$5:$F$2000,"Çıkış",'Stok Hareketleri'!$C$5:$C$2000,$E$4))</f>
        <v/>
      </c>
      <c r="F135" s="5" t="str">
        <f t="shared" ref="F135:F198" si="2">IF($A135="","",$D135-$E135)</f>
        <v/>
      </c>
      <c r="G135" s="5" t="str">
        <f>IF($A135="","",IFERROR(INDEX('Stok Durumu'!$G$5:$G$300,MATCH($A135,'Stok Durumu'!$A$5:$A$300,0)),""))</f>
        <v/>
      </c>
    </row>
    <row r="136" spans="1:7" x14ac:dyDescent="0.3">
      <c r="A136" s="5" t="str">
        <f>IF('Malzeme Tanımlama'!A134="","",IF('Malzeme Tanımlama'!C134=$B$4,'Malzeme Tanımlama'!A134,""))</f>
        <v/>
      </c>
      <c r="B136" s="5" t="str">
        <f>IF($A136="","",'Malzeme Tanımlama'!B134)</f>
        <v/>
      </c>
      <c r="C136" s="5" t="str">
        <f>IF($A136="","",'Malzeme Tanımlama'!D134)</f>
        <v/>
      </c>
      <c r="D136" s="5" t="str">
        <f>IF($A136="","",SUMIFS('Stok Hareketleri'!$G$5:$G$2000,'Stok Hareketleri'!$D$5:$D$2000,$A136,'Stok Hareketleri'!$F$5:$F$2000,"Giriş",'Stok Hareketleri'!$C$5:$C$2000,$E$4))</f>
        <v/>
      </c>
      <c r="E136" s="5" t="str">
        <f>IF($A136="","",SUMIFS('Stok Hareketleri'!$G$5:$G$2000,'Stok Hareketleri'!$D$5:$D$2000,$A136,'Stok Hareketleri'!$F$5:$F$2000,"Çıkış",'Stok Hareketleri'!$C$5:$C$2000,$E$4))</f>
        <v/>
      </c>
      <c r="F136" s="5" t="str">
        <f t="shared" si="2"/>
        <v/>
      </c>
      <c r="G136" s="5" t="str">
        <f>IF($A136="","",IFERROR(INDEX('Stok Durumu'!$G$5:$G$300,MATCH($A136,'Stok Durumu'!$A$5:$A$300,0)),""))</f>
        <v/>
      </c>
    </row>
    <row r="137" spans="1:7" x14ac:dyDescent="0.3">
      <c r="A137" s="5" t="str">
        <f>IF('Malzeme Tanımlama'!A135="","",IF('Malzeme Tanımlama'!C135=$B$4,'Malzeme Tanımlama'!A135,""))</f>
        <v/>
      </c>
      <c r="B137" s="5" t="str">
        <f>IF($A137="","",'Malzeme Tanımlama'!B135)</f>
        <v/>
      </c>
      <c r="C137" s="5" t="str">
        <f>IF($A137="","",'Malzeme Tanımlama'!D135)</f>
        <v/>
      </c>
      <c r="D137" s="5" t="str">
        <f>IF($A137="","",SUMIFS('Stok Hareketleri'!$G$5:$G$2000,'Stok Hareketleri'!$D$5:$D$2000,$A137,'Stok Hareketleri'!$F$5:$F$2000,"Giriş",'Stok Hareketleri'!$C$5:$C$2000,$E$4))</f>
        <v/>
      </c>
      <c r="E137" s="5" t="str">
        <f>IF($A137="","",SUMIFS('Stok Hareketleri'!$G$5:$G$2000,'Stok Hareketleri'!$D$5:$D$2000,$A137,'Stok Hareketleri'!$F$5:$F$2000,"Çıkış",'Stok Hareketleri'!$C$5:$C$2000,$E$4))</f>
        <v/>
      </c>
      <c r="F137" s="5" t="str">
        <f t="shared" si="2"/>
        <v/>
      </c>
      <c r="G137" s="5" t="str">
        <f>IF($A137="","",IFERROR(INDEX('Stok Durumu'!$G$5:$G$300,MATCH($A137,'Stok Durumu'!$A$5:$A$300,0)),""))</f>
        <v/>
      </c>
    </row>
    <row r="138" spans="1:7" x14ac:dyDescent="0.3">
      <c r="A138" s="5" t="str">
        <f>IF('Malzeme Tanımlama'!A136="","",IF('Malzeme Tanımlama'!C136=$B$4,'Malzeme Tanımlama'!A136,""))</f>
        <v/>
      </c>
      <c r="B138" s="5" t="str">
        <f>IF($A138="","",'Malzeme Tanımlama'!B136)</f>
        <v/>
      </c>
      <c r="C138" s="5" t="str">
        <f>IF($A138="","",'Malzeme Tanımlama'!D136)</f>
        <v/>
      </c>
      <c r="D138" s="5" t="str">
        <f>IF($A138="","",SUMIFS('Stok Hareketleri'!$G$5:$G$2000,'Stok Hareketleri'!$D$5:$D$2000,$A138,'Stok Hareketleri'!$F$5:$F$2000,"Giriş",'Stok Hareketleri'!$C$5:$C$2000,$E$4))</f>
        <v/>
      </c>
      <c r="E138" s="5" t="str">
        <f>IF($A138="","",SUMIFS('Stok Hareketleri'!$G$5:$G$2000,'Stok Hareketleri'!$D$5:$D$2000,$A138,'Stok Hareketleri'!$F$5:$F$2000,"Çıkış",'Stok Hareketleri'!$C$5:$C$2000,$E$4))</f>
        <v/>
      </c>
      <c r="F138" s="5" t="str">
        <f t="shared" si="2"/>
        <v/>
      </c>
      <c r="G138" s="5" t="str">
        <f>IF($A138="","",IFERROR(INDEX('Stok Durumu'!$G$5:$G$300,MATCH($A138,'Stok Durumu'!$A$5:$A$300,0)),""))</f>
        <v/>
      </c>
    </row>
    <row r="139" spans="1:7" x14ac:dyDescent="0.3">
      <c r="A139" s="5" t="str">
        <f>IF('Malzeme Tanımlama'!A137="","",IF('Malzeme Tanımlama'!C137=$B$4,'Malzeme Tanımlama'!A137,""))</f>
        <v/>
      </c>
      <c r="B139" s="5" t="str">
        <f>IF($A139="","",'Malzeme Tanımlama'!B137)</f>
        <v/>
      </c>
      <c r="C139" s="5" t="str">
        <f>IF($A139="","",'Malzeme Tanımlama'!D137)</f>
        <v/>
      </c>
      <c r="D139" s="5" t="str">
        <f>IF($A139="","",SUMIFS('Stok Hareketleri'!$G$5:$G$2000,'Stok Hareketleri'!$D$5:$D$2000,$A139,'Stok Hareketleri'!$F$5:$F$2000,"Giriş",'Stok Hareketleri'!$C$5:$C$2000,$E$4))</f>
        <v/>
      </c>
      <c r="E139" s="5" t="str">
        <f>IF($A139="","",SUMIFS('Stok Hareketleri'!$G$5:$G$2000,'Stok Hareketleri'!$D$5:$D$2000,$A139,'Stok Hareketleri'!$F$5:$F$2000,"Çıkış",'Stok Hareketleri'!$C$5:$C$2000,$E$4))</f>
        <v/>
      </c>
      <c r="F139" s="5" t="str">
        <f t="shared" si="2"/>
        <v/>
      </c>
      <c r="G139" s="5" t="str">
        <f>IF($A139="","",IFERROR(INDEX('Stok Durumu'!$G$5:$G$300,MATCH($A139,'Stok Durumu'!$A$5:$A$300,0)),""))</f>
        <v/>
      </c>
    </row>
    <row r="140" spans="1:7" x14ac:dyDescent="0.3">
      <c r="A140" s="5" t="str">
        <f>IF('Malzeme Tanımlama'!A138="","",IF('Malzeme Tanımlama'!C138=$B$4,'Malzeme Tanımlama'!A138,""))</f>
        <v/>
      </c>
      <c r="B140" s="5" t="str">
        <f>IF($A140="","",'Malzeme Tanımlama'!B138)</f>
        <v/>
      </c>
      <c r="C140" s="5" t="str">
        <f>IF($A140="","",'Malzeme Tanımlama'!D138)</f>
        <v/>
      </c>
      <c r="D140" s="5" t="str">
        <f>IF($A140="","",SUMIFS('Stok Hareketleri'!$G$5:$G$2000,'Stok Hareketleri'!$D$5:$D$2000,$A140,'Stok Hareketleri'!$F$5:$F$2000,"Giriş",'Stok Hareketleri'!$C$5:$C$2000,$E$4))</f>
        <v/>
      </c>
      <c r="E140" s="5" t="str">
        <f>IF($A140="","",SUMIFS('Stok Hareketleri'!$G$5:$G$2000,'Stok Hareketleri'!$D$5:$D$2000,$A140,'Stok Hareketleri'!$F$5:$F$2000,"Çıkış",'Stok Hareketleri'!$C$5:$C$2000,$E$4))</f>
        <v/>
      </c>
      <c r="F140" s="5" t="str">
        <f t="shared" si="2"/>
        <v/>
      </c>
      <c r="G140" s="5" t="str">
        <f>IF($A140="","",IFERROR(INDEX('Stok Durumu'!$G$5:$G$300,MATCH($A140,'Stok Durumu'!$A$5:$A$300,0)),""))</f>
        <v/>
      </c>
    </row>
    <row r="141" spans="1:7" x14ac:dyDescent="0.3">
      <c r="A141" s="5" t="str">
        <f>IF('Malzeme Tanımlama'!A139="","",IF('Malzeme Tanımlama'!C139=$B$4,'Malzeme Tanımlama'!A139,""))</f>
        <v/>
      </c>
      <c r="B141" s="5" t="str">
        <f>IF($A141="","",'Malzeme Tanımlama'!B139)</f>
        <v/>
      </c>
      <c r="C141" s="5" t="str">
        <f>IF($A141="","",'Malzeme Tanımlama'!D139)</f>
        <v/>
      </c>
      <c r="D141" s="5" t="str">
        <f>IF($A141="","",SUMIFS('Stok Hareketleri'!$G$5:$G$2000,'Stok Hareketleri'!$D$5:$D$2000,$A141,'Stok Hareketleri'!$F$5:$F$2000,"Giriş",'Stok Hareketleri'!$C$5:$C$2000,$E$4))</f>
        <v/>
      </c>
      <c r="E141" s="5" t="str">
        <f>IF($A141="","",SUMIFS('Stok Hareketleri'!$G$5:$G$2000,'Stok Hareketleri'!$D$5:$D$2000,$A141,'Stok Hareketleri'!$F$5:$F$2000,"Çıkış",'Stok Hareketleri'!$C$5:$C$2000,$E$4))</f>
        <v/>
      </c>
      <c r="F141" s="5" t="str">
        <f t="shared" si="2"/>
        <v/>
      </c>
      <c r="G141" s="5" t="str">
        <f>IF($A141="","",IFERROR(INDEX('Stok Durumu'!$G$5:$G$300,MATCH($A141,'Stok Durumu'!$A$5:$A$300,0)),""))</f>
        <v/>
      </c>
    </row>
    <row r="142" spans="1:7" x14ac:dyDescent="0.3">
      <c r="A142" s="5" t="str">
        <f>IF('Malzeme Tanımlama'!A140="","",IF('Malzeme Tanımlama'!C140=$B$4,'Malzeme Tanımlama'!A140,""))</f>
        <v/>
      </c>
      <c r="B142" s="5" t="str">
        <f>IF($A142="","",'Malzeme Tanımlama'!B140)</f>
        <v/>
      </c>
      <c r="C142" s="5" t="str">
        <f>IF($A142="","",'Malzeme Tanımlama'!D140)</f>
        <v/>
      </c>
      <c r="D142" s="5" t="str">
        <f>IF($A142="","",SUMIFS('Stok Hareketleri'!$G$5:$G$2000,'Stok Hareketleri'!$D$5:$D$2000,$A142,'Stok Hareketleri'!$F$5:$F$2000,"Giriş",'Stok Hareketleri'!$C$5:$C$2000,$E$4))</f>
        <v/>
      </c>
      <c r="E142" s="5" t="str">
        <f>IF($A142="","",SUMIFS('Stok Hareketleri'!$G$5:$G$2000,'Stok Hareketleri'!$D$5:$D$2000,$A142,'Stok Hareketleri'!$F$5:$F$2000,"Çıkış",'Stok Hareketleri'!$C$5:$C$2000,$E$4))</f>
        <v/>
      </c>
      <c r="F142" s="5" t="str">
        <f t="shared" si="2"/>
        <v/>
      </c>
      <c r="G142" s="5" t="str">
        <f>IF($A142="","",IFERROR(INDEX('Stok Durumu'!$G$5:$G$300,MATCH($A142,'Stok Durumu'!$A$5:$A$300,0)),""))</f>
        <v/>
      </c>
    </row>
    <row r="143" spans="1:7" x14ac:dyDescent="0.3">
      <c r="A143" s="5" t="str">
        <f>IF('Malzeme Tanımlama'!A141="","",IF('Malzeme Tanımlama'!C141=$B$4,'Malzeme Tanımlama'!A141,""))</f>
        <v/>
      </c>
      <c r="B143" s="5" t="str">
        <f>IF($A143="","",'Malzeme Tanımlama'!B141)</f>
        <v/>
      </c>
      <c r="C143" s="5" t="str">
        <f>IF($A143="","",'Malzeme Tanımlama'!D141)</f>
        <v/>
      </c>
      <c r="D143" s="5" t="str">
        <f>IF($A143="","",SUMIFS('Stok Hareketleri'!$G$5:$G$2000,'Stok Hareketleri'!$D$5:$D$2000,$A143,'Stok Hareketleri'!$F$5:$F$2000,"Giriş",'Stok Hareketleri'!$C$5:$C$2000,$E$4))</f>
        <v/>
      </c>
      <c r="E143" s="5" t="str">
        <f>IF($A143="","",SUMIFS('Stok Hareketleri'!$G$5:$G$2000,'Stok Hareketleri'!$D$5:$D$2000,$A143,'Stok Hareketleri'!$F$5:$F$2000,"Çıkış",'Stok Hareketleri'!$C$5:$C$2000,$E$4))</f>
        <v/>
      </c>
      <c r="F143" s="5" t="str">
        <f t="shared" si="2"/>
        <v/>
      </c>
      <c r="G143" s="5" t="str">
        <f>IF($A143="","",IFERROR(INDEX('Stok Durumu'!$G$5:$G$300,MATCH($A143,'Stok Durumu'!$A$5:$A$300,0)),""))</f>
        <v/>
      </c>
    </row>
    <row r="144" spans="1:7" x14ac:dyDescent="0.3">
      <c r="A144" s="5" t="str">
        <f>IF('Malzeme Tanımlama'!A142="","",IF('Malzeme Tanımlama'!C142=$B$4,'Malzeme Tanımlama'!A142,""))</f>
        <v/>
      </c>
      <c r="B144" s="5" t="str">
        <f>IF($A144="","",'Malzeme Tanımlama'!B142)</f>
        <v/>
      </c>
      <c r="C144" s="5" t="str">
        <f>IF($A144="","",'Malzeme Tanımlama'!D142)</f>
        <v/>
      </c>
      <c r="D144" s="5" t="str">
        <f>IF($A144="","",SUMIFS('Stok Hareketleri'!$G$5:$G$2000,'Stok Hareketleri'!$D$5:$D$2000,$A144,'Stok Hareketleri'!$F$5:$F$2000,"Giriş",'Stok Hareketleri'!$C$5:$C$2000,$E$4))</f>
        <v/>
      </c>
      <c r="E144" s="5" t="str">
        <f>IF($A144="","",SUMIFS('Stok Hareketleri'!$G$5:$G$2000,'Stok Hareketleri'!$D$5:$D$2000,$A144,'Stok Hareketleri'!$F$5:$F$2000,"Çıkış",'Stok Hareketleri'!$C$5:$C$2000,$E$4))</f>
        <v/>
      </c>
      <c r="F144" s="5" t="str">
        <f t="shared" si="2"/>
        <v/>
      </c>
      <c r="G144" s="5" t="str">
        <f>IF($A144="","",IFERROR(INDEX('Stok Durumu'!$G$5:$G$300,MATCH($A144,'Stok Durumu'!$A$5:$A$300,0)),""))</f>
        <v/>
      </c>
    </row>
    <row r="145" spans="1:7" x14ac:dyDescent="0.3">
      <c r="A145" s="5" t="str">
        <f>IF('Malzeme Tanımlama'!A143="","",IF('Malzeme Tanımlama'!C143=$B$4,'Malzeme Tanımlama'!A143,""))</f>
        <v/>
      </c>
      <c r="B145" s="5" t="str">
        <f>IF($A145="","",'Malzeme Tanımlama'!B143)</f>
        <v/>
      </c>
      <c r="C145" s="5" t="str">
        <f>IF($A145="","",'Malzeme Tanımlama'!D143)</f>
        <v/>
      </c>
      <c r="D145" s="5" t="str">
        <f>IF($A145="","",SUMIFS('Stok Hareketleri'!$G$5:$G$2000,'Stok Hareketleri'!$D$5:$D$2000,$A145,'Stok Hareketleri'!$F$5:$F$2000,"Giriş",'Stok Hareketleri'!$C$5:$C$2000,$E$4))</f>
        <v/>
      </c>
      <c r="E145" s="5" t="str">
        <f>IF($A145="","",SUMIFS('Stok Hareketleri'!$G$5:$G$2000,'Stok Hareketleri'!$D$5:$D$2000,$A145,'Stok Hareketleri'!$F$5:$F$2000,"Çıkış",'Stok Hareketleri'!$C$5:$C$2000,$E$4))</f>
        <v/>
      </c>
      <c r="F145" s="5" t="str">
        <f t="shared" si="2"/>
        <v/>
      </c>
      <c r="G145" s="5" t="str">
        <f>IF($A145="","",IFERROR(INDEX('Stok Durumu'!$G$5:$G$300,MATCH($A145,'Stok Durumu'!$A$5:$A$300,0)),""))</f>
        <v/>
      </c>
    </row>
    <row r="146" spans="1:7" x14ac:dyDescent="0.3">
      <c r="A146" s="5" t="str">
        <f>IF('Malzeme Tanımlama'!A144="","",IF('Malzeme Tanımlama'!C144=$B$4,'Malzeme Tanımlama'!A144,""))</f>
        <v/>
      </c>
      <c r="B146" s="5" t="str">
        <f>IF($A146="","",'Malzeme Tanımlama'!B144)</f>
        <v/>
      </c>
      <c r="C146" s="5" t="str">
        <f>IF($A146="","",'Malzeme Tanımlama'!D144)</f>
        <v/>
      </c>
      <c r="D146" s="5" t="str">
        <f>IF($A146="","",SUMIFS('Stok Hareketleri'!$G$5:$G$2000,'Stok Hareketleri'!$D$5:$D$2000,$A146,'Stok Hareketleri'!$F$5:$F$2000,"Giriş",'Stok Hareketleri'!$C$5:$C$2000,$E$4))</f>
        <v/>
      </c>
      <c r="E146" s="5" t="str">
        <f>IF($A146="","",SUMIFS('Stok Hareketleri'!$G$5:$G$2000,'Stok Hareketleri'!$D$5:$D$2000,$A146,'Stok Hareketleri'!$F$5:$F$2000,"Çıkış",'Stok Hareketleri'!$C$5:$C$2000,$E$4))</f>
        <v/>
      </c>
      <c r="F146" s="5" t="str">
        <f t="shared" si="2"/>
        <v/>
      </c>
      <c r="G146" s="5" t="str">
        <f>IF($A146="","",IFERROR(INDEX('Stok Durumu'!$G$5:$G$300,MATCH($A146,'Stok Durumu'!$A$5:$A$300,0)),""))</f>
        <v/>
      </c>
    </row>
    <row r="147" spans="1:7" x14ac:dyDescent="0.3">
      <c r="A147" s="5" t="str">
        <f>IF('Malzeme Tanımlama'!A145="","",IF('Malzeme Tanımlama'!C145=$B$4,'Malzeme Tanımlama'!A145,""))</f>
        <v/>
      </c>
      <c r="B147" s="5" t="str">
        <f>IF($A147="","",'Malzeme Tanımlama'!B145)</f>
        <v/>
      </c>
      <c r="C147" s="5" t="str">
        <f>IF($A147="","",'Malzeme Tanımlama'!D145)</f>
        <v/>
      </c>
      <c r="D147" s="5" t="str">
        <f>IF($A147="","",SUMIFS('Stok Hareketleri'!$G$5:$G$2000,'Stok Hareketleri'!$D$5:$D$2000,$A147,'Stok Hareketleri'!$F$5:$F$2000,"Giriş",'Stok Hareketleri'!$C$5:$C$2000,$E$4))</f>
        <v/>
      </c>
      <c r="E147" s="5" t="str">
        <f>IF($A147="","",SUMIFS('Stok Hareketleri'!$G$5:$G$2000,'Stok Hareketleri'!$D$5:$D$2000,$A147,'Stok Hareketleri'!$F$5:$F$2000,"Çıkış",'Stok Hareketleri'!$C$5:$C$2000,$E$4))</f>
        <v/>
      </c>
      <c r="F147" s="5" t="str">
        <f t="shared" si="2"/>
        <v/>
      </c>
      <c r="G147" s="5" t="str">
        <f>IF($A147="","",IFERROR(INDEX('Stok Durumu'!$G$5:$G$300,MATCH($A147,'Stok Durumu'!$A$5:$A$300,0)),""))</f>
        <v/>
      </c>
    </row>
    <row r="148" spans="1:7" x14ac:dyDescent="0.3">
      <c r="A148" s="5" t="str">
        <f>IF('Malzeme Tanımlama'!A146="","",IF('Malzeme Tanımlama'!C146=$B$4,'Malzeme Tanımlama'!A146,""))</f>
        <v/>
      </c>
      <c r="B148" s="5" t="str">
        <f>IF($A148="","",'Malzeme Tanımlama'!B146)</f>
        <v/>
      </c>
      <c r="C148" s="5" t="str">
        <f>IF($A148="","",'Malzeme Tanımlama'!D146)</f>
        <v/>
      </c>
      <c r="D148" s="5" t="str">
        <f>IF($A148="","",SUMIFS('Stok Hareketleri'!$G$5:$G$2000,'Stok Hareketleri'!$D$5:$D$2000,$A148,'Stok Hareketleri'!$F$5:$F$2000,"Giriş",'Stok Hareketleri'!$C$5:$C$2000,$E$4))</f>
        <v/>
      </c>
      <c r="E148" s="5" t="str">
        <f>IF($A148="","",SUMIFS('Stok Hareketleri'!$G$5:$G$2000,'Stok Hareketleri'!$D$5:$D$2000,$A148,'Stok Hareketleri'!$F$5:$F$2000,"Çıkış",'Stok Hareketleri'!$C$5:$C$2000,$E$4))</f>
        <v/>
      </c>
      <c r="F148" s="5" t="str">
        <f t="shared" si="2"/>
        <v/>
      </c>
      <c r="G148" s="5" t="str">
        <f>IF($A148="","",IFERROR(INDEX('Stok Durumu'!$G$5:$G$300,MATCH($A148,'Stok Durumu'!$A$5:$A$300,0)),""))</f>
        <v/>
      </c>
    </row>
    <row r="149" spans="1:7" x14ac:dyDescent="0.3">
      <c r="A149" s="5" t="str">
        <f>IF('Malzeme Tanımlama'!A147="","",IF('Malzeme Tanımlama'!C147=$B$4,'Malzeme Tanımlama'!A147,""))</f>
        <v/>
      </c>
      <c r="B149" s="5" t="str">
        <f>IF($A149="","",'Malzeme Tanımlama'!B147)</f>
        <v/>
      </c>
      <c r="C149" s="5" t="str">
        <f>IF($A149="","",'Malzeme Tanımlama'!D147)</f>
        <v/>
      </c>
      <c r="D149" s="5" t="str">
        <f>IF($A149="","",SUMIFS('Stok Hareketleri'!$G$5:$G$2000,'Stok Hareketleri'!$D$5:$D$2000,$A149,'Stok Hareketleri'!$F$5:$F$2000,"Giriş",'Stok Hareketleri'!$C$5:$C$2000,$E$4))</f>
        <v/>
      </c>
      <c r="E149" s="5" t="str">
        <f>IF($A149="","",SUMIFS('Stok Hareketleri'!$G$5:$G$2000,'Stok Hareketleri'!$D$5:$D$2000,$A149,'Stok Hareketleri'!$F$5:$F$2000,"Çıkış",'Stok Hareketleri'!$C$5:$C$2000,$E$4))</f>
        <v/>
      </c>
      <c r="F149" s="5" t="str">
        <f t="shared" si="2"/>
        <v/>
      </c>
      <c r="G149" s="5" t="str">
        <f>IF($A149="","",IFERROR(INDEX('Stok Durumu'!$G$5:$G$300,MATCH($A149,'Stok Durumu'!$A$5:$A$300,0)),""))</f>
        <v/>
      </c>
    </row>
    <row r="150" spans="1:7" x14ac:dyDescent="0.3">
      <c r="A150" s="5" t="str">
        <f>IF('Malzeme Tanımlama'!A148="","",IF('Malzeme Tanımlama'!C148=$B$4,'Malzeme Tanımlama'!A148,""))</f>
        <v/>
      </c>
      <c r="B150" s="5" t="str">
        <f>IF($A150="","",'Malzeme Tanımlama'!B148)</f>
        <v/>
      </c>
      <c r="C150" s="5" t="str">
        <f>IF($A150="","",'Malzeme Tanımlama'!D148)</f>
        <v/>
      </c>
      <c r="D150" s="5" t="str">
        <f>IF($A150="","",SUMIFS('Stok Hareketleri'!$G$5:$G$2000,'Stok Hareketleri'!$D$5:$D$2000,$A150,'Stok Hareketleri'!$F$5:$F$2000,"Giriş",'Stok Hareketleri'!$C$5:$C$2000,$E$4))</f>
        <v/>
      </c>
      <c r="E150" s="5" t="str">
        <f>IF($A150="","",SUMIFS('Stok Hareketleri'!$G$5:$G$2000,'Stok Hareketleri'!$D$5:$D$2000,$A150,'Stok Hareketleri'!$F$5:$F$2000,"Çıkış",'Stok Hareketleri'!$C$5:$C$2000,$E$4))</f>
        <v/>
      </c>
      <c r="F150" s="5" t="str">
        <f t="shared" si="2"/>
        <v/>
      </c>
      <c r="G150" s="5" t="str">
        <f>IF($A150="","",IFERROR(INDEX('Stok Durumu'!$G$5:$G$300,MATCH($A150,'Stok Durumu'!$A$5:$A$300,0)),""))</f>
        <v/>
      </c>
    </row>
    <row r="151" spans="1:7" x14ac:dyDescent="0.3">
      <c r="A151" s="5" t="str">
        <f>IF('Malzeme Tanımlama'!A149="","",IF('Malzeme Tanımlama'!C149=$B$4,'Malzeme Tanımlama'!A149,""))</f>
        <v/>
      </c>
      <c r="B151" s="5" t="str">
        <f>IF($A151="","",'Malzeme Tanımlama'!B149)</f>
        <v/>
      </c>
      <c r="C151" s="5" t="str">
        <f>IF($A151="","",'Malzeme Tanımlama'!D149)</f>
        <v/>
      </c>
      <c r="D151" s="5" t="str">
        <f>IF($A151="","",SUMIFS('Stok Hareketleri'!$G$5:$G$2000,'Stok Hareketleri'!$D$5:$D$2000,$A151,'Stok Hareketleri'!$F$5:$F$2000,"Giriş",'Stok Hareketleri'!$C$5:$C$2000,$E$4))</f>
        <v/>
      </c>
      <c r="E151" s="5" t="str">
        <f>IF($A151="","",SUMIFS('Stok Hareketleri'!$G$5:$G$2000,'Stok Hareketleri'!$D$5:$D$2000,$A151,'Stok Hareketleri'!$F$5:$F$2000,"Çıkış",'Stok Hareketleri'!$C$5:$C$2000,$E$4))</f>
        <v/>
      </c>
      <c r="F151" s="5" t="str">
        <f t="shared" si="2"/>
        <v/>
      </c>
      <c r="G151" s="5" t="str">
        <f>IF($A151="","",IFERROR(INDEX('Stok Durumu'!$G$5:$G$300,MATCH($A151,'Stok Durumu'!$A$5:$A$300,0)),""))</f>
        <v/>
      </c>
    </row>
    <row r="152" spans="1:7" x14ac:dyDescent="0.3">
      <c r="A152" s="5" t="str">
        <f>IF('Malzeme Tanımlama'!A150="","",IF('Malzeme Tanımlama'!C150=$B$4,'Malzeme Tanımlama'!A150,""))</f>
        <v/>
      </c>
      <c r="B152" s="5" t="str">
        <f>IF($A152="","",'Malzeme Tanımlama'!B150)</f>
        <v/>
      </c>
      <c r="C152" s="5" t="str">
        <f>IF($A152="","",'Malzeme Tanımlama'!D150)</f>
        <v/>
      </c>
      <c r="D152" s="5" t="str">
        <f>IF($A152="","",SUMIFS('Stok Hareketleri'!$G$5:$G$2000,'Stok Hareketleri'!$D$5:$D$2000,$A152,'Stok Hareketleri'!$F$5:$F$2000,"Giriş",'Stok Hareketleri'!$C$5:$C$2000,$E$4))</f>
        <v/>
      </c>
      <c r="E152" s="5" t="str">
        <f>IF($A152="","",SUMIFS('Stok Hareketleri'!$G$5:$G$2000,'Stok Hareketleri'!$D$5:$D$2000,$A152,'Stok Hareketleri'!$F$5:$F$2000,"Çıkış",'Stok Hareketleri'!$C$5:$C$2000,$E$4))</f>
        <v/>
      </c>
      <c r="F152" s="5" t="str">
        <f t="shared" si="2"/>
        <v/>
      </c>
      <c r="G152" s="5" t="str">
        <f>IF($A152="","",IFERROR(INDEX('Stok Durumu'!$G$5:$G$300,MATCH($A152,'Stok Durumu'!$A$5:$A$300,0)),""))</f>
        <v/>
      </c>
    </row>
    <row r="153" spans="1:7" x14ac:dyDescent="0.3">
      <c r="A153" s="5" t="str">
        <f>IF('Malzeme Tanımlama'!A151="","",IF('Malzeme Tanımlama'!C151=$B$4,'Malzeme Tanımlama'!A151,""))</f>
        <v/>
      </c>
      <c r="B153" s="5" t="str">
        <f>IF($A153="","",'Malzeme Tanımlama'!B151)</f>
        <v/>
      </c>
      <c r="C153" s="5" t="str">
        <f>IF($A153="","",'Malzeme Tanımlama'!D151)</f>
        <v/>
      </c>
      <c r="D153" s="5" t="str">
        <f>IF($A153="","",SUMIFS('Stok Hareketleri'!$G$5:$G$2000,'Stok Hareketleri'!$D$5:$D$2000,$A153,'Stok Hareketleri'!$F$5:$F$2000,"Giriş",'Stok Hareketleri'!$C$5:$C$2000,$E$4))</f>
        <v/>
      </c>
      <c r="E153" s="5" t="str">
        <f>IF($A153="","",SUMIFS('Stok Hareketleri'!$G$5:$G$2000,'Stok Hareketleri'!$D$5:$D$2000,$A153,'Stok Hareketleri'!$F$5:$F$2000,"Çıkış",'Stok Hareketleri'!$C$5:$C$2000,$E$4))</f>
        <v/>
      </c>
      <c r="F153" s="5" t="str">
        <f t="shared" si="2"/>
        <v/>
      </c>
      <c r="G153" s="5" t="str">
        <f>IF($A153="","",IFERROR(INDEX('Stok Durumu'!$G$5:$G$300,MATCH($A153,'Stok Durumu'!$A$5:$A$300,0)),""))</f>
        <v/>
      </c>
    </row>
    <row r="154" spans="1:7" x14ac:dyDescent="0.3">
      <c r="A154" s="5" t="str">
        <f>IF('Malzeme Tanımlama'!A152="","",IF('Malzeme Tanımlama'!C152=$B$4,'Malzeme Tanımlama'!A152,""))</f>
        <v/>
      </c>
      <c r="B154" s="5" t="str">
        <f>IF($A154="","",'Malzeme Tanımlama'!B152)</f>
        <v/>
      </c>
      <c r="C154" s="5" t="str">
        <f>IF($A154="","",'Malzeme Tanımlama'!D152)</f>
        <v/>
      </c>
      <c r="D154" s="5" t="str">
        <f>IF($A154="","",SUMIFS('Stok Hareketleri'!$G$5:$G$2000,'Stok Hareketleri'!$D$5:$D$2000,$A154,'Stok Hareketleri'!$F$5:$F$2000,"Giriş",'Stok Hareketleri'!$C$5:$C$2000,$E$4))</f>
        <v/>
      </c>
      <c r="E154" s="5" t="str">
        <f>IF($A154="","",SUMIFS('Stok Hareketleri'!$G$5:$G$2000,'Stok Hareketleri'!$D$5:$D$2000,$A154,'Stok Hareketleri'!$F$5:$F$2000,"Çıkış",'Stok Hareketleri'!$C$5:$C$2000,$E$4))</f>
        <v/>
      </c>
      <c r="F154" s="5" t="str">
        <f t="shared" si="2"/>
        <v/>
      </c>
      <c r="G154" s="5" t="str">
        <f>IF($A154="","",IFERROR(INDEX('Stok Durumu'!$G$5:$G$300,MATCH($A154,'Stok Durumu'!$A$5:$A$300,0)),""))</f>
        <v/>
      </c>
    </row>
    <row r="155" spans="1:7" x14ac:dyDescent="0.3">
      <c r="A155" s="5" t="str">
        <f>IF('Malzeme Tanımlama'!A153="","",IF('Malzeme Tanımlama'!C153=$B$4,'Malzeme Tanımlama'!A153,""))</f>
        <v/>
      </c>
      <c r="B155" s="5" t="str">
        <f>IF($A155="","",'Malzeme Tanımlama'!B153)</f>
        <v/>
      </c>
      <c r="C155" s="5" t="str">
        <f>IF($A155="","",'Malzeme Tanımlama'!D153)</f>
        <v/>
      </c>
      <c r="D155" s="5" t="str">
        <f>IF($A155="","",SUMIFS('Stok Hareketleri'!$G$5:$G$2000,'Stok Hareketleri'!$D$5:$D$2000,$A155,'Stok Hareketleri'!$F$5:$F$2000,"Giriş",'Stok Hareketleri'!$C$5:$C$2000,$E$4))</f>
        <v/>
      </c>
      <c r="E155" s="5" t="str">
        <f>IF($A155="","",SUMIFS('Stok Hareketleri'!$G$5:$G$2000,'Stok Hareketleri'!$D$5:$D$2000,$A155,'Stok Hareketleri'!$F$5:$F$2000,"Çıkış",'Stok Hareketleri'!$C$5:$C$2000,$E$4))</f>
        <v/>
      </c>
      <c r="F155" s="5" t="str">
        <f t="shared" si="2"/>
        <v/>
      </c>
      <c r="G155" s="5" t="str">
        <f>IF($A155="","",IFERROR(INDEX('Stok Durumu'!$G$5:$G$300,MATCH($A155,'Stok Durumu'!$A$5:$A$300,0)),""))</f>
        <v/>
      </c>
    </row>
    <row r="156" spans="1:7" x14ac:dyDescent="0.3">
      <c r="A156" s="5" t="str">
        <f>IF('Malzeme Tanımlama'!A154="","",IF('Malzeme Tanımlama'!C154=$B$4,'Malzeme Tanımlama'!A154,""))</f>
        <v/>
      </c>
      <c r="B156" s="5" t="str">
        <f>IF($A156="","",'Malzeme Tanımlama'!B154)</f>
        <v/>
      </c>
      <c r="C156" s="5" t="str">
        <f>IF($A156="","",'Malzeme Tanımlama'!D154)</f>
        <v/>
      </c>
      <c r="D156" s="5" t="str">
        <f>IF($A156="","",SUMIFS('Stok Hareketleri'!$G$5:$G$2000,'Stok Hareketleri'!$D$5:$D$2000,$A156,'Stok Hareketleri'!$F$5:$F$2000,"Giriş",'Stok Hareketleri'!$C$5:$C$2000,$E$4))</f>
        <v/>
      </c>
      <c r="E156" s="5" t="str">
        <f>IF($A156="","",SUMIFS('Stok Hareketleri'!$G$5:$G$2000,'Stok Hareketleri'!$D$5:$D$2000,$A156,'Stok Hareketleri'!$F$5:$F$2000,"Çıkış",'Stok Hareketleri'!$C$5:$C$2000,$E$4))</f>
        <v/>
      </c>
      <c r="F156" s="5" t="str">
        <f t="shared" si="2"/>
        <v/>
      </c>
      <c r="G156" s="5" t="str">
        <f>IF($A156="","",IFERROR(INDEX('Stok Durumu'!$G$5:$G$300,MATCH($A156,'Stok Durumu'!$A$5:$A$300,0)),""))</f>
        <v/>
      </c>
    </row>
    <row r="157" spans="1:7" x14ac:dyDescent="0.3">
      <c r="A157" s="5" t="str">
        <f>IF('Malzeme Tanımlama'!A155="","",IF('Malzeme Tanımlama'!C155=$B$4,'Malzeme Tanımlama'!A155,""))</f>
        <v/>
      </c>
      <c r="B157" s="5" t="str">
        <f>IF($A157="","",'Malzeme Tanımlama'!B155)</f>
        <v/>
      </c>
      <c r="C157" s="5" t="str">
        <f>IF($A157="","",'Malzeme Tanımlama'!D155)</f>
        <v/>
      </c>
      <c r="D157" s="5" t="str">
        <f>IF($A157="","",SUMIFS('Stok Hareketleri'!$G$5:$G$2000,'Stok Hareketleri'!$D$5:$D$2000,$A157,'Stok Hareketleri'!$F$5:$F$2000,"Giriş",'Stok Hareketleri'!$C$5:$C$2000,$E$4))</f>
        <v/>
      </c>
      <c r="E157" s="5" t="str">
        <f>IF($A157="","",SUMIFS('Stok Hareketleri'!$G$5:$G$2000,'Stok Hareketleri'!$D$5:$D$2000,$A157,'Stok Hareketleri'!$F$5:$F$2000,"Çıkış",'Stok Hareketleri'!$C$5:$C$2000,$E$4))</f>
        <v/>
      </c>
      <c r="F157" s="5" t="str">
        <f t="shared" si="2"/>
        <v/>
      </c>
      <c r="G157" s="5" t="str">
        <f>IF($A157="","",IFERROR(INDEX('Stok Durumu'!$G$5:$G$300,MATCH($A157,'Stok Durumu'!$A$5:$A$300,0)),""))</f>
        <v/>
      </c>
    </row>
    <row r="158" spans="1:7" x14ac:dyDescent="0.3">
      <c r="A158" s="5" t="str">
        <f>IF('Malzeme Tanımlama'!A156="","",IF('Malzeme Tanımlama'!C156=$B$4,'Malzeme Tanımlama'!A156,""))</f>
        <v/>
      </c>
      <c r="B158" s="5" t="str">
        <f>IF($A158="","",'Malzeme Tanımlama'!B156)</f>
        <v/>
      </c>
      <c r="C158" s="5" t="str">
        <f>IF($A158="","",'Malzeme Tanımlama'!D156)</f>
        <v/>
      </c>
      <c r="D158" s="5" t="str">
        <f>IF($A158="","",SUMIFS('Stok Hareketleri'!$G$5:$G$2000,'Stok Hareketleri'!$D$5:$D$2000,$A158,'Stok Hareketleri'!$F$5:$F$2000,"Giriş",'Stok Hareketleri'!$C$5:$C$2000,$E$4))</f>
        <v/>
      </c>
      <c r="E158" s="5" t="str">
        <f>IF($A158="","",SUMIFS('Stok Hareketleri'!$G$5:$G$2000,'Stok Hareketleri'!$D$5:$D$2000,$A158,'Stok Hareketleri'!$F$5:$F$2000,"Çıkış",'Stok Hareketleri'!$C$5:$C$2000,$E$4))</f>
        <v/>
      </c>
      <c r="F158" s="5" t="str">
        <f t="shared" si="2"/>
        <v/>
      </c>
      <c r="G158" s="5" t="str">
        <f>IF($A158="","",IFERROR(INDEX('Stok Durumu'!$G$5:$G$300,MATCH($A158,'Stok Durumu'!$A$5:$A$300,0)),""))</f>
        <v/>
      </c>
    </row>
    <row r="159" spans="1:7" x14ac:dyDescent="0.3">
      <c r="A159" s="5" t="str">
        <f>IF('Malzeme Tanımlama'!A157="","",IF('Malzeme Tanımlama'!C157=$B$4,'Malzeme Tanımlama'!A157,""))</f>
        <v/>
      </c>
      <c r="B159" s="5" t="str">
        <f>IF($A159="","",'Malzeme Tanımlama'!B157)</f>
        <v/>
      </c>
      <c r="C159" s="5" t="str">
        <f>IF($A159="","",'Malzeme Tanımlama'!D157)</f>
        <v/>
      </c>
      <c r="D159" s="5" t="str">
        <f>IF($A159="","",SUMIFS('Stok Hareketleri'!$G$5:$G$2000,'Stok Hareketleri'!$D$5:$D$2000,$A159,'Stok Hareketleri'!$F$5:$F$2000,"Giriş",'Stok Hareketleri'!$C$5:$C$2000,$E$4))</f>
        <v/>
      </c>
      <c r="E159" s="5" t="str">
        <f>IF($A159="","",SUMIFS('Stok Hareketleri'!$G$5:$G$2000,'Stok Hareketleri'!$D$5:$D$2000,$A159,'Stok Hareketleri'!$F$5:$F$2000,"Çıkış",'Stok Hareketleri'!$C$5:$C$2000,$E$4))</f>
        <v/>
      </c>
      <c r="F159" s="5" t="str">
        <f t="shared" si="2"/>
        <v/>
      </c>
      <c r="G159" s="5" t="str">
        <f>IF($A159="","",IFERROR(INDEX('Stok Durumu'!$G$5:$G$300,MATCH($A159,'Stok Durumu'!$A$5:$A$300,0)),""))</f>
        <v/>
      </c>
    </row>
    <row r="160" spans="1:7" x14ac:dyDescent="0.3">
      <c r="A160" s="5" t="str">
        <f>IF('Malzeme Tanımlama'!A158="","",IF('Malzeme Tanımlama'!C158=$B$4,'Malzeme Tanımlama'!A158,""))</f>
        <v/>
      </c>
      <c r="B160" s="5" t="str">
        <f>IF($A160="","",'Malzeme Tanımlama'!B158)</f>
        <v/>
      </c>
      <c r="C160" s="5" t="str">
        <f>IF($A160="","",'Malzeme Tanımlama'!D158)</f>
        <v/>
      </c>
      <c r="D160" s="5" t="str">
        <f>IF($A160="","",SUMIFS('Stok Hareketleri'!$G$5:$G$2000,'Stok Hareketleri'!$D$5:$D$2000,$A160,'Stok Hareketleri'!$F$5:$F$2000,"Giriş",'Stok Hareketleri'!$C$5:$C$2000,$E$4))</f>
        <v/>
      </c>
      <c r="E160" s="5" t="str">
        <f>IF($A160="","",SUMIFS('Stok Hareketleri'!$G$5:$G$2000,'Stok Hareketleri'!$D$5:$D$2000,$A160,'Stok Hareketleri'!$F$5:$F$2000,"Çıkış",'Stok Hareketleri'!$C$5:$C$2000,$E$4))</f>
        <v/>
      </c>
      <c r="F160" s="5" t="str">
        <f t="shared" si="2"/>
        <v/>
      </c>
      <c r="G160" s="5" t="str">
        <f>IF($A160="","",IFERROR(INDEX('Stok Durumu'!$G$5:$G$300,MATCH($A160,'Stok Durumu'!$A$5:$A$300,0)),""))</f>
        <v/>
      </c>
    </row>
    <row r="161" spans="1:7" x14ac:dyDescent="0.3">
      <c r="A161" s="5" t="str">
        <f>IF('Malzeme Tanımlama'!A159="","",IF('Malzeme Tanımlama'!C159=$B$4,'Malzeme Tanımlama'!A159,""))</f>
        <v/>
      </c>
      <c r="B161" s="5" t="str">
        <f>IF($A161="","",'Malzeme Tanımlama'!B159)</f>
        <v/>
      </c>
      <c r="C161" s="5" t="str">
        <f>IF($A161="","",'Malzeme Tanımlama'!D159)</f>
        <v/>
      </c>
      <c r="D161" s="5" t="str">
        <f>IF($A161="","",SUMIFS('Stok Hareketleri'!$G$5:$G$2000,'Stok Hareketleri'!$D$5:$D$2000,$A161,'Stok Hareketleri'!$F$5:$F$2000,"Giriş",'Stok Hareketleri'!$C$5:$C$2000,$E$4))</f>
        <v/>
      </c>
      <c r="E161" s="5" t="str">
        <f>IF($A161="","",SUMIFS('Stok Hareketleri'!$G$5:$G$2000,'Stok Hareketleri'!$D$5:$D$2000,$A161,'Stok Hareketleri'!$F$5:$F$2000,"Çıkış",'Stok Hareketleri'!$C$5:$C$2000,$E$4))</f>
        <v/>
      </c>
      <c r="F161" s="5" t="str">
        <f t="shared" si="2"/>
        <v/>
      </c>
      <c r="G161" s="5" t="str">
        <f>IF($A161="","",IFERROR(INDEX('Stok Durumu'!$G$5:$G$300,MATCH($A161,'Stok Durumu'!$A$5:$A$300,0)),""))</f>
        <v/>
      </c>
    </row>
    <row r="162" spans="1:7" x14ac:dyDescent="0.3">
      <c r="A162" s="5" t="str">
        <f>IF('Malzeme Tanımlama'!A160="","",IF('Malzeme Tanımlama'!C160=$B$4,'Malzeme Tanımlama'!A160,""))</f>
        <v/>
      </c>
      <c r="B162" s="5" t="str">
        <f>IF($A162="","",'Malzeme Tanımlama'!B160)</f>
        <v/>
      </c>
      <c r="C162" s="5" t="str">
        <f>IF($A162="","",'Malzeme Tanımlama'!D160)</f>
        <v/>
      </c>
      <c r="D162" s="5" t="str">
        <f>IF($A162="","",SUMIFS('Stok Hareketleri'!$G$5:$G$2000,'Stok Hareketleri'!$D$5:$D$2000,$A162,'Stok Hareketleri'!$F$5:$F$2000,"Giriş",'Stok Hareketleri'!$C$5:$C$2000,$E$4))</f>
        <v/>
      </c>
      <c r="E162" s="5" t="str">
        <f>IF($A162="","",SUMIFS('Stok Hareketleri'!$G$5:$G$2000,'Stok Hareketleri'!$D$5:$D$2000,$A162,'Stok Hareketleri'!$F$5:$F$2000,"Çıkış",'Stok Hareketleri'!$C$5:$C$2000,$E$4))</f>
        <v/>
      </c>
      <c r="F162" s="5" t="str">
        <f t="shared" si="2"/>
        <v/>
      </c>
      <c r="G162" s="5" t="str">
        <f>IF($A162="","",IFERROR(INDEX('Stok Durumu'!$G$5:$G$300,MATCH($A162,'Stok Durumu'!$A$5:$A$300,0)),""))</f>
        <v/>
      </c>
    </row>
    <row r="163" spans="1:7" x14ac:dyDescent="0.3">
      <c r="A163" s="5" t="str">
        <f>IF('Malzeme Tanımlama'!A161="","",IF('Malzeme Tanımlama'!C161=$B$4,'Malzeme Tanımlama'!A161,""))</f>
        <v/>
      </c>
      <c r="B163" s="5" t="str">
        <f>IF($A163="","",'Malzeme Tanımlama'!B161)</f>
        <v/>
      </c>
      <c r="C163" s="5" t="str">
        <f>IF($A163="","",'Malzeme Tanımlama'!D161)</f>
        <v/>
      </c>
      <c r="D163" s="5" t="str">
        <f>IF($A163="","",SUMIFS('Stok Hareketleri'!$G$5:$G$2000,'Stok Hareketleri'!$D$5:$D$2000,$A163,'Stok Hareketleri'!$F$5:$F$2000,"Giriş",'Stok Hareketleri'!$C$5:$C$2000,$E$4))</f>
        <v/>
      </c>
      <c r="E163" s="5" t="str">
        <f>IF($A163="","",SUMIFS('Stok Hareketleri'!$G$5:$G$2000,'Stok Hareketleri'!$D$5:$D$2000,$A163,'Stok Hareketleri'!$F$5:$F$2000,"Çıkış",'Stok Hareketleri'!$C$5:$C$2000,$E$4))</f>
        <v/>
      </c>
      <c r="F163" s="5" t="str">
        <f t="shared" si="2"/>
        <v/>
      </c>
      <c r="G163" s="5" t="str">
        <f>IF($A163="","",IFERROR(INDEX('Stok Durumu'!$G$5:$G$300,MATCH($A163,'Stok Durumu'!$A$5:$A$300,0)),""))</f>
        <v/>
      </c>
    </row>
    <row r="164" spans="1:7" x14ac:dyDescent="0.3">
      <c r="A164" s="5" t="str">
        <f>IF('Malzeme Tanımlama'!A162="","",IF('Malzeme Tanımlama'!C162=$B$4,'Malzeme Tanımlama'!A162,""))</f>
        <v/>
      </c>
      <c r="B164" s="5" t="str">
        <f>IF($A164="","",'Malzeme Tanımlama'!B162)</f>
        <v/>
      </c>
      <c r="C164" s="5" t="str">
        <f>IF($A164="","",'Malzeme Tanımlama'!D162)</f>
        <v/>
      </c>
      <c r="D164" s="5" t="str">
        <f>IF($A164="","",SUMIFS('Stok Hareketleri'!$G$5:$G$2000,'Stok Hareketleri'!$D$5:$D$2000,$A164,'Stok Hareketleri'!$F$5:$F$2000,"Giriş",'Stok Hareketleri'!$C$5:$C$2000,$E$4))</f>
        <v/>
      </c>
      <c r="E164" s="5" t="str">
        <f>IF($A164="","",SUMIFS('Stok Hareketleri'!$G$5:$G$2000,'Stok Hareketleri'!$D$5:$D$2000,$A164,'Stok Hareketleri'!$F$5:$F$2000,"Çıkış",'Stok Hareketleri'!$C$5:$C$2000,$E$4))</f>
        <v/>
      </c>
      <c r="F164" s="5" t="str">
        <f t="shared" si="2"/>
        <v/>
      </c>
      <c r="G164" s="5" t="str">
        <f>IF($A164="","",IFERROR(INDEX('Stok Durumu'!$G$5:$G$300,MATCH($A164,'Stok Durumu'!$A$5:$A$300,0)),""))</f>
        <v/>
      </c>
    </row>
    <row r="165" spans="1:7" x14ac:dyDescent="0.3">
      <c r="A165" s="5" t="str">
        <f>IF('Malzeme Tanımlama'!A163="","",IF('Malzeme Tanımlama'!C163=$B$4,'Malzeme Tanımlama'!A163,""))</f>
        <v/>
      </c>
      <c r="B165" s="5" t="str">
        <f>IF($A165="","",'Malzeme Tanımlama'!B163)</f>
        <v/>
      </c>
      <c r="C165" s="5" t="str">
        <f>IF($A165="","",'Malzeme Tanımlama'!D163)</f>
        <v/>
      </c>
      <c r="D165" s="5" t="str">
        <f>IF($A165="","",SUMIFS('Stok Hareketleri'!$G$5:$G$2000,'Stok Hareketleri'!$D$5:$D$2000,$A165,'Stok Hareketleri'!$F$5:$F$2000,"Giriş",'Stok Hareketleri'!$C$5:$C$2000,$E$4))</f>
        <v/>
      </c>
      <c r="E165" s="5" t="str">
        <f>IF($A165="","",SUMIFS('Stok Hareketleri'!$G$5:$G$2000,'Stok Hareketleri'!$D$5:$D$2000,$A165,'Stok Hareketleri'!$F$5:$F$2000,"Çıkış",'Stok Hareketleri'!$C$5:$C$2000,$E$4))</f>
        <v/>
      </c>
      <c r="F165" s="5" t="str">
        <f t="shared" si="2"/>
        <v/>
      </c>
      <c r="G165" s="5" t="str">
        <f>IF($A165="","",IFERROR(INDEX('Stok Durumu'!$G$5:$G$300,MATCH($A165,'Stok Durumu'!$A$5:$A$300,0)),""))</f>
        <v/>
      </c>
    </row>
    <row r="166" spans="1:7" x14ac:dyDescent="0.3">
      <c r="A166" s="5" t="str">
        <f>IF('Malzeme Tanımlama'!A164="","",IF('Malzeme Tanımlama'!C164=$B$4,'Malzeme Tanımlama'!A164,""))</f>
        <v/>
      </c>
      <c r="B166" s="5" t="str">
        <f>IF($A166="","",'Malzeme Tanımlama'!B164)</f>
        <v/>
      </c>
      <c r="C166" s="5" t="str">
        <f>IF($A166="","",'Malzeme Tanımlama'!D164)</f>
        <v/>
      </c>
      <c r="D166" s="5" t="str">
        <f>IF($A166="","",SUMIFS('Stok Hareketleri'!$G$5:$G$2000,'Stok Hareketleri'!$D$5:$D$2000,$A166,'Stok Hareketleri'!$F$5:$F$2000,"Giriş",'Stok Hareketleri'!$C$5:$C$2000,$E$4))</f>
        <v/>
      </c>
      <c r="E166" s="5" t="str">
        <f>IF($A166="","",SUMIFS('Stok Hareketleri'!$G$5:$G$2000,'Stok Hareketleri'!$D$5:$D$2000,$A166,'Stok Hareketleri'!$F$5:$F$2000,"Çıkış",'Stok Hareketleri'!$C$5:$C$2000,$E$4))</f>
        <v/>
      </c>
      <c r="F166" s="5" t="str">
        <f t="shared" si="2"/>
        <v/>
      </c>
      <c r="G166" s="5" t="str">
        <f>IF($A166="","",IFERROR(INDEX('Stok Durumu'!$G$5:$G$300,MATCH($A166,'Stok Durumu'!$A$5:$A$300,0)),""))</f>
        <v/>
      </c>
    </row>
    <row r="167" spans="1:7" x14ac:dyDescent="0.3">
      <c r="A167" s="5" t="str">
        <f>IF('Malzeme Tanımlama'!A165="","",IF('Malzeme Tanımlama'!C165=$B$4,'Malzeme Tanımlama'!A165,""))</f>
        <v/>
      </c>
      <c r="B167" s="5" t="str">
        <f>IF($A167="","",'Malzeme Tanımlama'!B165)</f>
        <v/>
      </c>
      <c r="C167" s="5" t="str">
        <f>IF($A167="","",'Malzeme Tanımlama'!D165)</f>
        <v/>
      </c>
      <c r="D167" s="5" t="str">
        <f>IF($A167="","",SUMIFS('Stok Hareketleri'!$G$5:$G$2000,'Stok Hareketleri'!$D$5:$D$2000,$A167,'Stok Hareketleri'!$F$5:$F$2000,"Giriş",'Stok Hareketleri'!$C$5:$C$2000,$E$4))</f>
        <v/>
      </c>
      <c r="E167" s="5" t="str">
        <f>IF($A167="","",SUMIFS('Stok Hareketleri'!$G$5:$G$2000,'Stok Hareketleri'!$D$5:$D$2000,$A167,'Stok Hareketleri'!$F$5:$F$2000,"Çıkış",'Stok Hareketleri'!$C$5:$C$2000,$E$4))</f>
        <v/>
      </c>
      <c r="F167" s="5" t="str">
        <f t="shared" si="2"/>
        <v/>
      </c>
      <c r="G167" s="5" t="str">
        <f>IF($A167="","",IFERROR(INDEX('Stok Durumu'!$G$5:$G$300,MATCH($A167,'Stok Durumu'!$A$5:$A$300,0)),""))</f>
        <v/>
      </c>
    </row>
    <row r="168" spans="1:7" x14ac:dyDescent="0.3">
      <c r="A168" s="5" t="str">
        <f>IF('Malzeme Tanımlama'!A166="","",IF('Malzeme Tanımlama'!C166=$B$4,'Malzeme Tanımlama'!A166,""))</f>
        <v/>
      </c>
      <c r="B168" s="5" t="str">
        <f>IF($A168="","",'Malzeme Tanımlama'!B166)</f>
        <v/>
      </c>
      <c r="C168" s="5" t="str">
        <f>IF($A168="","",'Malzeme Tanımlama'!D166)</f>
        <v/>
      </c>
      <c r="D168" s="5" t="str">
        <f>IF($A168="","",SUMIFS('Stok Hareketleri'!$G$5:$G$2000,'Stok Hareketleri'!$D$5:$D$2000,$A168,'Stok Hareketleri'!$F$5:$F$2000,"Giriş",'Stok Hareketleri'!$C$5:$C$2000,$E$4))</f>
        <v/>
      </c>
      <c r="E168" s="5" t="str">
        <f>IF($A168="","",SUMIFS('Stok Hareketleri'!$G$5:$G$2000,'Stok Hareketleri'!$D$5:$D$2000,$A168,'Stok Hareketleri'!$F$5:$F$2000,"Çıkış",'Stok Hareketleri'!$C$5:$C$2000,$E$4))</f>
        <v/>
      </c>
      <c r="F168" s="5" t="str">
        <f t="shared" si="2"/>
        <v/>
      </c>
      <c r="G168" s="5" t="str">
        <f>IF($A168="","",IFERROR(INDEX('Stok Durumu'!$G$5:$G$300,MATCH($A168,'Stok Durumu'!$A$5:$A$300,0)),""))</f>
        <v/>
      </c>
    </row>
    <row r="169" spans="1:7" x14ac:dyDescent="0.3">
      <c r="A169" s="5" t="str">
        <f>IF('Malzeme Tanımlama'!A167="","",IF('Malzeme Tanımlama'!C167=$B$4,'Malzeme Tanımlama'!A167,""))</f>
        <v/>
      </c>
      <c r="B169" s="5" t="str">
        <f>IF($A169="","",'Malzeme Tanımlama'!B167)</f>
        <v/>
      </c>
      <c r="C169" s="5" t="str">
        <f>IF($A169="","",'Malzeme Tanımlama'!D167)</f>
        <v/>
      </c>
      <c r="D169" s="5" t="str">
        <f>IF($A169="","",SUMIFS('Stok Hareketleri'!$G$5:$G$2000,'Stok Hareketleri'!$D$5:$D$2000,$A169,'Stok Hareketleri'!$F$5:$F$2000,"Giriş",'Stok Hareketleri'!$C$5:$C$2000,$E$4))</f>
        <v/>
      </c>
      <c r="E169" s="5" t="str">
        <f>IF($A169="","",SUMIFS('Stok Hareketleri'!$G$5:$G$2000,'Stok Hareketleri'!$D$5:$D$2000,$A169,'Stok Hareketleri'!$F$5:$F$2000,"Çıkış",'Stok Hareketleri'!$C$5:$C$2000,$E$4))</f>
        <v/>
      </c>
      <c r="F169" s="5" t="str">
        <f t="shared" si="2"/>
        <v/>
      </c>
      <c r="G169" s="5" t="str">
        <f>IF($A169="","",IFERROR(INDEX('Stok Durumu'!$G$5:$G$300,MATCH($A169,'Stok Durumu'!$A$5:$A$300,0)),""))</f>
        <v/>
      </c>
    </row>
    <row r="170" spans="1:7" x14ac:dyDescent="0.3">
      <c r="A170" s="5" t="str">
        <f>IF('Malzeme Tanımlama'!A168="","",IF('Malzeme Tanımlama'!C168=$B$4,'Malzeme Tanımlama'!A168,""))</f>
        <v/>
      </c>
      <c r="B170" s="5" t="str">
        <f>IF($A170="","",'Malzeme Tanımlama'!B168)</f>
        <v/>
      </c>
      <c r="C170" s="5" t="str">
        <f>IF($A170="","",'Malzeme Tanımlama'!D168)</f>
        <v/>
      </c>
      <c r="D170" s="5" t="str">
        <f>IF($A170="","",SUMIFS('Stok Hareketleri'!$G$5:$G$2000,'Stok Hareketleri'!$D$5:$D$2000,$A170,'Stok Hareketleri'!$F$5:$F$2000,"Giriş",'Stok Hareketleri'!$C$5:$C$2000,$E$4))</f>
        <v/>
      </c>
      <c r="E170" s="5" t="str">
        <f>IF($A170="","",SUMIFS('Stok Hareketleri'!$G$5:$G$2000,'Stok Hareketleri'!$D$5:$D$2000,$A170,'Stok Hareketleri'!$F$5:$F$2000,"Çıkış",'Stok Hareketleri'!$C$5:$C$2000,$E$4))</f>
        <v/>
      </c>
      <c r="F170" s="5" t="str">
        <f t="shared" si="2"/>
        <v/>
      </c>
      <c r="G170" s="5" t="str">
        <f>IF($A170="","",IFERROR(INDEX('Stok Durumu'!$G$5:$G$300,MATCH($A170,'Stok Durumu'!$A$5:$A$300,0)),""))</f>
        <v/>
      </c>
    </row>
    <row r="171" spans="1:7" x14ac:dyDescent="0.3">
      <c r="A171" s="5" t="str">
        <f>IF('Malzeme Tanımlama'!A169="","",IF('Malzeme Tanımlama'!C169=$B$4,'Malzeme Tanımlama'!A169,""))</f>
        <v/>
      </c>
      <c r="B171" s="5" t="str">
        <f>IF($A171="","",'Malzeme Tanımlama'!B169)</f>
        <v/>
      </c>
      <c r="C171" s="5" t="str">
        <f>IF($A171="","",'Malzeme Tanımlama'!D169)</f>
        <v/>
      </c>
      <c r="D171" s="5" t="str">
        <f>IF($A171="","",SUMIFS('Stok Hareketleri'!$G$5:$G$2000,'Stok Hareketleri'!$D$5:$D$2000,$A171,'Stok Hareketleri'!$F$5:$F$2000,"Giriş",'Stok Hareketleri'!$C$5:$C$2000,$E$4))</f>
        <v/>
      </c>
      <c r="E171" s="5" t="str">
        <f>IF($A171="","",SUMIFS('Stok Hareketleri'!$G$5:$G$2000,'Stok Hareketleri'!$D$5:$D$2000,$A171,'Stok Hareketleri'!$F$5:$F$2000,"Çıkış",'Stok Hareketleri'!$C$5:$C$2000,$E$4))</f>
        <v/>
      </c>
      <c r="F171" s="5" t="str">
        <f t="shared" si="2"/>
        <v/>
      </c>
      <c r="G171" s="5" t="str">
        <f>IF($A171="","",IFERROR(INDEX('Stok Durumu'!$G$5:$G$300,MATCH($A171,'Stok Durumu'!$A$5:$A$300,0)),""))</f>
        <v/>
      </c>
    </row>
    <row r="172" spans="1:7" x14ac:dyDescent="0.3">
      <c r="A172" s="5" t="str">
        <f>IF('Malzeme Tanımlama'!A170="","",IF('Malzeme Tanımlama'!C170=$B$4,'Malzeme Tanımlama'!A170,""))</f>
        <v/>
      </c>
      <c r="B172" s="5" t="str">
        <f>IF($A172="","",'Malzeme Tanımlama'!B170)</f>
        <v/>
      </c>
      <c r="C172" s="5" t="str">
        <f>IF($A172="","",'Malzeme Tanımlama'!D170)</f>
        <v/>
      </c>
      <c r="D172" s="5" t="str">
        <f>IF($A172="","",SUMIFS('Stok Hareketleri'!$G$5:$G$2000,'Stok Hareketleri'!$D$5:$D$2000,$A172,'Stok Hareketleri'!$F$5:$F$2000,"Giriş",'Stok Hareketleri'!$C$5:$C$2000,$E$4))</f>
        <v/>
      </c>
      <c r="E172" s="5" t="str">
        <f>IF($A172="","",SUMIFS('Stok Hareketleri'!$G$5:$G$2000,'Stok Hareketleri'!$D$5:$D$2000,$A172,'Stok Hareketleri'!$F$5:$F$2000,"Çıkış",'Stok Hareketleri'!$C$5:$C$2000,$E$4))</f>
        <v/>
      </c>
      <c r="F172" s="5" t="str">
        <f t="shared" si="2"/>
        <v/>
      </c>
      <c r="G172" s="5" t="str">
        <f>IF($A172="","",IFERROR(INDEX('Stok Durumu'!$G$5:$G$300,MATCH($A172,'Stok Durumu'!$A$5:$A$300,0)),""))</f>
        <v/>
      </c>
    </row>
    <row r="173" spans="1:7" x14ac:dyDescent="0.3">
      <c r="A173" s="5" t="str">
        <f>IF('Malzeme Tanımlama'!A171="","",IF('Malzeme Tanımlama'!C171=$B$4,'Malzeme Tanımlama'!A171,""))</f>
        <v/>
      </c>
      <c r="B173" s="5" t="str">
        <f>IF($A173="","",'Malzeme Tanımlama'!B171)</f>
        <v/>
      </c>
      <c r="C173" s="5" t="str">
        <f>IF($A173="","",'Malzeme Tanımlama'!D171)</f>
        <v/>
      </c>
      <c r="D173" s="5" t="str">
        <f>IF($A173="","",SUMIFS('Stok Hareketleri'!$G$5:$G$2000,'Stok Hareketleri'!$D$5:$D$2000,$A173,'Stok Hareketleri'!$F$5:$F$2000,"Giriş",'Stok Hareketleri'!$C$5:$C$2000,$E$4))</f>
        <v/>
      </c>
      <c r="E173" s="5" t="str">
        <f>IF($A173="","",SUMIFS('Stok Hareketleri'!$G$5:$G$2000,'Stok Hareketleri'!$D$5:$D$2000,$A173,'Stok Hareketleri'!$F$5:$F$2000,"Çıkış",'Stok Hareketleri'!$C$5:$C$2000,$E$4))</f>
        <v/>
      </c>
      <c r="F173" s="5" t="str">
        <f t="shared" si="2"/>
        <v/>
      </c>
      <c r="G173" s="5" t="str">
        <f>IF($A173="","",IFERROR(INDEX('Stok Durumu'!$G$5:$G$300,MATCH($A173,'Stok Durumu'!$A$5:$A$300,0)),""))</f>
        <v/>
      </c>
    </row>
    <row r="174" spans="1:7" x14ac:dyDescent="0.3">
      <c r="A174" s="5" t="str">
        <f>IF('Malzeme Tanımlama'!A172="","",IF('Malzeme Tanımlama'!C172=$B$4,'Malzeme Tanımlama'!A172,""))</f>
        <v/>
      </c>
      <c r="B174" s="5" t="str">
        <f>IF($A174="","",'Malzeme Tanımlama'!B172)</f>
        <v/>
      </c>
      <c r="C174" s="5" t="str">
        <f>IF($A174="","",'Malzeme Tanımlama'!D172)</f>
        <v/>
      </c>
      <c r="D174" s="5" t="str">
        <f>IF($A174="","",SUMIFS('Stok Hareketleri'!$G$5:$G$2000,'Stok Hareketleri'!$D$5:$D$2000,$A174,'Stok Hareketleri'!$F$5:$F$2000,"Giriş",'Stok Hareketleri'!$C$5:$C$2000,$E$4))</f>
        <v/>
      </c>
      <c r="E174" s="5" t="str">
        <f>IF($A174="","",SUMIFS('Stok Hareketleri'!$G$5:$G$2000,'Stok Hareketleri'!$D$5:$D$2000,$A174,'Stok Hareketleri'!$F$5:$F$2000,"Çıkış",'Stok Hareketleri'!$C$5:$C$2000,$E$4))</f>
        <v/>
      </c>
      <c r="F174" s="5" t="str">
        <f t="shared" si="2"/>
        <v/>
      </c>
      <c r="G174" s="5" t="str">
        <f>IF($A174="","",IFERROR(INDEX('Stok Durumu'!$G$5:$G$300,MATCH($A174,'Stok Durumu'!$A$5:$A$300,0)),""))</f>
        <v/>
      </c>
    </row>
    <row r="175" spans="1:7" x14ac:dyDescent="0.3">
      <c r="A175" s="5" t="str">
        <f>IF('Malzeme Tanımlama'!A173="","",IF('Malzeme Tanımlama'!C173=$B$4,'Malzeme Tanımlama'!A173,""))</f>
        <v/>
      </c>
      <c r="B175" s="5" t="str">
        <f>IF($A175="","",'Malzeme Tanımlama'!B173)</f>
        <v/>
      </c>
      <c r="C175" s="5" t="str">
        <f>IF($A175="","",'Malzeme Tanımlama'!D173)</f>
        <v/>
      </c>
      <c r="D175" s="5" t="str">
        <f>IF($A175="","",SUMIFS('Stok Hareketleri'!$G$5:$G$2000,'Stok Hareketleri'!$D$5:$D$2000,$A175,'Stok Hareketleri'!$F$5:$F$2000,"Giriş",'Stok Hareketleri'!$C$5:$C$2000,$E$4))</f>
        <v/>
      </c>
      <c r="E175" s="5" t="str">
        <f>IF($A175="","",SUMIFS('Stok Hareketleri'!$G$5:$G$2000,'Stok Hareketleri'!$D$5:$D$2000,$A175,'Stok Hareketleri'!$F$5:$F$2000,"Çıkış",'Stok Hareketleri'!$C$5:$C$2000,$E$4))</f>
        <v/>
      </c>
      <c r="F175" s="5" t="str">
        <f t="shared" si="2"/>
        <v/>
      </c>
      <c r="G175" s="5" t="str">
        <f>IF($A175="","",IFERROR(INDEX('Stok Durumu'!$G$5:$G$300,MATCH($A175,'Stok Durumu'!$A$5:$A$300,0)),""))</f>
        <v/>
      </c>
    </row>
    <row r="176" spans="1:7" x14ac:dyDescent="0.3">
      <c r="A176" s="5" t="str">
        <f>IF('Malzeme Tanımlama'!A174="","",IF('Malzeme Tanımlama'!C174=$B$4,'Malzeme Tanımlama'!A174,""))</f>
        <v/>
      </c>
      <c r="B176" s="5" t="str">
        <f>IF($A176="","",'Malzeme Tanımlama'!B174)</f>
        <v/>
      </c>
      <c r="C176" s="5" t="str">
        <f>IF($A176="","",'Malzeme Tanımlama'!D174)</f>
        <v/>
      </c>
      <c r="D176" s="5" t="str">
        <f>IF($A176="","",SUMIFS('Stok Hareketleri'!$G$5:$G$2000,'Stok Hareketleri'!$D$5:$D$2000,$A176,'Stok Hareketleri'!$F$5:$F$2000,"Giriş",'Stok Hareketleri'!$C$5:$C$2000,$E$4))</f>
        <v/>
      </c>
      <c r="E176" s="5" t="str">
        <f>IF($A176="","",SUMIFS('Stok Hareketleri'!$G$5:$G$2000,'Stok Hareketleri'!$D$5:$D$2000,$A176,'Stok Hareketleri'!$F$5:$F$2000,"Çıkış",'Stok Hareketleri'!$C$5:$C$2000,$E$4))</f>
        <v/>
      </c>
      <c r="F176" s="5" t="str">
        <f t="shared" si="2"/>
        <v/>
      </c>
      <c r="G176" s="5" t="str">
        <f>IF($A176="","",IFERROR(INDEX('Stok Durumu'!$G$5:$G$300,MATCH($A176,'Stok Durumu'!$A$5:$A$300,0)),""))</f>
        <v/>
      </c>
    </row>
    <row r="177" spans="1:7" x14ac:dyDescent="0.3">
      <c r="A177" s="5" t="str">
        <f>IF('Malzeme Tanımlama'!A175="","",IF('Malzeme Tanımlama'!C175=$B$4,'Malzeme Tanımlama'!A175,""))</f>
        <v/>
      </c>
      <c r="B177" s="5" t="str">
        <f>IF($A177="","",'Malzeme Tanımlama'!B175)</f>
        <v/>
      </c>
      <c r="C177" s="5" t="str">
        <f>IF($A177="","",'Malzeme Tanımlama'!D175)</f>
        <v/>
      </c>
      <c r="D177" s="5" t="str">
        <f>IF($A177="","",SUMIFS('Stok Hareketleri'!$G$5:$G$2000,'Stok Hareketleri'!$D$5:$D$2000,$A177,'Stok Hareketleri'!$F$5:$F$2000,"Giriş",'Stok Hareketleri'!$C$5:$C$2000,$E$4))</f>
        <v/>
      </c>
      <c r="E177" s="5" t="str">
        <f>IF($A177="","",SUMIFS('Stok Hareketleri'!$G$5:$G$2000,'Stok Hareketleri'!$D$5:$D$2000,$A177,'Stok Hareketleri'!$F$5:$F$2000,"Çıkış",'Stok Hareketleri'!$C$5:$C$2000,$E$4))</f>
        <v/>
      </c>
      <c r="F177" s="5" t="str">
        <f t="shared" si="2"/>
        <v/>
      </c>
      <c r="G177" s="5" t="str">
        <f>IF($A177="","",IFERROR(INDEX('Stok Durumu'!$G$5:$G$300,MATCH($A177,'Stok Durumu'!$A$5:$A$300,0)),""))</f>
        <v/>
      </c>
    </row>
    <row r="178" spans="1:7" x14ac:dyDescent="0.3">
      <c r="A178" s="5" t="str">
        <f>IF('Malzeme Tanımlama'!A176="","",IF('Malzeme Tanımlama'!C176=$B$4,'Malzeme Tanımlama'!A176,""))</f>
        <v/>
      </c>
      <c r="B178" s="5" t="str">
        <f>IF($A178="","",'Malzeme Tanımlama'!B176)</f>
        <v/>
      </c>
      <c r="C178" s="5" t="str">
        <f>IF($A178="","",'Malzeme Tanımlama'!D176)</f>
        <v/>
      </c>
      <c r="D178" s="5" t="str">
        <f>IF($A178="","",SUMIFS('Stok Hareketleri'!$G$5:$G$2000,'Stok Hareketleri'!$D$5:$D$2000,$A178,'Stok Hareketleri'!$F$5:$F$2000,"Giriş",'Stok Hareketleri'!$C$5:$C$2000,$E$4))</f>
        <v/>
      </c>
      <c r="E178" s="5" t="str">
        <f>IF($A178="","",SUMIFS('Stok Hareketleri'!$G$5:$G$2000,'Stok Hareketleri'!$D$5:$D$2000,$A178,'Stok Hareketleri'!$F$5:$F$2000,"Çıkış",'Stok Hareketleri'!$C$5:$C$2000,$E$4))</f>
        <v/>
      </c>
      <c r="F178" s="5" t="str">
        <f t="shared" si="2"/>
        <v/>
      </c>
      <c r="G178" s="5" t="str">
        <f>IF($A178="","",IFERROR(INDEX('Stok Durumu'!$G$5:$G$300,MATCH($A178,'Stok Durumu'!$A$5:$A$300,0)),""))</f>
        <v/>
      </c>
    </row>
    <row r="179" spans="1:7" x14ac:dyDescent="0.3">
      <c r="A179" s="5" t="str">
        <f>IF('Malzeme Tanımlama'!A177="","",IF('Malzeme Tanımlama'!C177=$B$4,'Malzeme Tanımlama'!A177,""))</f>
        <v/>
      </c>
      <c r="B179" s="5" t="str">
        <f>IF($A179="","",'Malzeme Tanımlama'!B177)</f>
        <v/>
      </c>
      <c r="C179" s="5" t="str">
        <f>IF($A179="","",'Malzeme Tanımlama'!D177)</f>
        <v/>
      </c>
      <c r="D179" s="5" t="str">
        <f>IF($A179="","",SUMIFS('Stok Hareketleri'!$G$5:$G$2000,'Stok Hareketleri'!$D$5:$D$2000,$A179,'Stok Hareketleri'!$F$5:$F$2000,"Giriş",'Stok Hareketleri'!$C$5:$C$2000,$E$4))</f>
        <v/>
      </c>
      <c r="E179" s="5" t="str">
        <f>IF($A179="","",SUMIFS('Stok Hareketleri'!$G$5:$G$2000,'Stok Hareketleri'!$D$5:$D$2000,$A179,'Stok Hareketleri'!$F$5:$F$2000,"Çıkış",'Stok Hareketleri'!$C$5:$C$2000,$E$4))</f>
        <v/>
      </c>
      <c r="F179" s="5" t="str">
        <f t="shared" si="2"/>
        <v/>
      </c>
      <c r="G179" s="5" t="str">
        <f>IF($A179="","",IFERROR(INDEX('Stok Durumu'!$G$5:$G$300,MATCH($A179,'Stok Durumu'!$A$5:$A$300,0)),""))</f>
        <v/>
      </c>
    </row>
    <row r="180" spans="1:7" x14ac:dyDescent="0.3">
      <c r="A180" s="5" t="str">
        <f>IF('Malzeme Tanımlama'!A178="","",IF('Malzeme Tanımlama'!C178=$B$4,'Malzeme Tanımlama'!A178,""))</f>
        <v/>
      </c>
      <c r="B180" s="5" t="str">
        <f>IF($A180="","",'Malzeme Tanımlama'!B178)</f>
        <v/>
      </c>
      <c r="C180" s="5" t="str">
        <f>IF($A180="","",'Malzeme Tanımlama'!D178)</f>
        <v/>
      </c>
      <c r="D180" s="5" t="str">
        <f>IF($A180="","",SUMIFS('Stok Hareketleri'!$G$5:$G$2000,'Stok Hareketleri'!$D$5:$D$2000,$A180,'Stok Hareketleri'!$F$5:$F$2000,"Giriş",'Stok Hareketleri'!$C$5:$C$2000,$E$4))</f>
        <v/>
      </c>
      <c r="E180" s="5" t="str">
        <f>IF($A180="","",SUMIFS('Stok Hareketleri'!$G$5:$G$2000,'Stok Hareketleri'!$D$5:$D$2000,$A180,'Stok Hareketleri'!$F$5:$F$2000,"Çıkış",'Stok Hareketleri'!$C$5:$C$2000,$E$4))</f>
        <v/>
      </c>
      <c r="F180" s="5" t="str">
        <f t="shared" si="2"/>
        <v/>
      </c>
      <c r="G180" s="5" t="str">
        <f>IF($A180="","",IFERROR(INDEX('Stok Durumu'!$G$5:$G$300,MATCH($A180,'Stok Durumu'!$A$5:$A$300,0)),""))</f>
        <v/>
      </c>
    </row>
    <row r="181" spans="1:7" x14ac:dyDescent="0.3">
      <c r="A181" s="5" t="str">
        <f>IF('Malzeme Tanımlama'!A179="","",IF('Malzeme Tanımlama'!C179=$B$4,'Malzeme Tanımlama'!A179,""))</f>
        <v/>
      </c>
      <c r="B181" s="5" t="str">
        <f>IF($A181="","",'Malzeme Tanımlama'!B179)</f>
        <v/>
      </c>
      <c r="C181" s="5" t="str">
        <f>IF($A181="","",'Malzeme Tanımlama'!D179)</f>
        <v/>
      </c>
      <c r="D181" s="5" t="str">
        <f>IF($A181="","",SUMIFS('Stok Hareketleri'!$G$5:$G$2000,'Stok Hareketleri'!$D$5:$D$2000,$A181,'Stok Hareketleri'!$F$5:$F$2000,"Giriş",'Stok Hareketleri'!$C$5:$C$2000,$E$4))</f>
        <v/>
      </c>
      <c r="E181" s="5" t="str">
        <f>IF($A181="","",SUMIFS('Stok Hareketleri'!$G$5:$G$2000,'Stok Hareketleri'!$D$5:$D$2000,$A181,'Stok Hareketleri'!$F$5:$F$2000,"Çıkış",'Stok Hareketleri'!$C$5:$C$2000,$E$4))</f>
        <v/>
      </c>
      <c r="F181" s="5" t="str">
        <f t="shared" si="2"/>
        <v/>
      </c>
      <c r="G181" s="5" t="str">
        <f>IF($A181="","",IFERROR(INDEX('Stok Durumu'!$G$5:$G$300,MATCH($A181,'Stok Durumu'!$A$5:$A$300,0)),""))</f>
        <v/>
      </c>
    </row>
    <row r="182" spans="1:7" x14ac:dyDescent="0.3">
      <c r="A182" s="5" t="str">
        <f>IF('Malzeme Tanımlama'!A180="","",IF('Malzeme Tanımlama'!C180=$B$4,'Malzeme Tanımlama'!A180,""))</f>
        <v/>
      </c>
      <c r="B182" s="5" t="str">
        <f>IF($A182="","",'Malzeme Tanımlama'!B180)</f>
        <v/>
      </c>
      <c r="C182" s="5" t="str">
        <f>IF($A182="","",'Malzeme Tanımlama'!D180)</f>
        <v/>
      </c>
      <c r="D182" s="5" t="str">
        <f>IF($A182="","",SUMIFS('Stok Hareketleri'!$G$5:$G$2000,'Stok Hareketleri'!$D$5:$D$2000,$A182,'Stok Hareketleri'!$F$5:$F$2000,"Giriş",'Stok Hareketleri'!$C$5:$C$2000,$E$4))</f>
        <v/>
      </c>
      <c r="E182" s="5" t="str">
        <f>IF($A182="","",SUMIFS('Stok Hareketleri'!$G$5:$G$2000,'Stok Hareketleri'!$D$5:$D$2000,$A182,'Stok Hareketleri'!$F$5:$F$2000,"Çıkış",'Stok Hareketleri'!$C$5:$C$2000,$E$4))</f>
        <v/>
      </c>
      <c r="F182" s="5" t="str">
        <f t="shared" si="2"/>
        <v/>
      </c>
      <c r="G182" s="5" t="str">
        <f>IF($A182="","",IFERROR(INDEX('Stok Durumu'!$G$5:$G$300,MATCH($A182,'Stok Durumu'!$A$5:$A$300,0)),""))</f>
        <v/>
      </c>
    </row>
    <row r="183" spans="1:7" x14ac:dyDescent="0.3">
      <c r="A183" s="5" t="str">
        <f>IF('Malzeme Tanımlama'!A181="","",IF('Malzeme Tanımlama'!C181=$B$4,'Malzeme Tanımlama'!A181,""))</f>
        <v/>
      </c>
      <c r="B183" s="5" t="str">
        <f>IF($A183="","",'Malzeme Tanımlama'!B181)</f>
        <v/>
      </c>
      <c r="C183" s="5" t="str">
        <f>IF($A183="","",'Malzeme Tanımlama'!D181)</f>
        <v/>
      </c>
      <c r="D183" s="5" t="str">
        <f>IF($A183="","",SUMIFS('Stok Hareketleri'!$G$5:$G$2000,'Stok Hareketleri'!$D$5:$D$2000,$A183,'Stok Hareketleri'!$F$5:$F$2000,"Giriş",'Stok Hareketleri'!$C$5:$C$2000,$E$4))</f>
        <v/>
      </c>
      <c r="E183" s="5" t="str">
        <f>IF($A183="","",SUMIFS('Stok Hareketleri'!$G$5:$G$2000,'Stok Hareketleri'!$D$5:$D$2000,$A183,'Stok Hareketleri'!$F$5:$F$2000,"Çıkış",'Stok Hareketleri'!$C$5:$C$2000,$E$4))</f>
        <v/>
      </c>
      <c r="F183" s="5" t="str">
        <f t="shared" si="2"/>
        <v/>
      </c>
      <c r="G183" s="5" t="str">
        <f>IF($A183="","",IFERROR(INDEX('Stok Durumu'!$G$5:$G$300,MATCH($A183,'Stok Durumu'!$A$5:$A$300,0)),""))</f>
        <v/>
      </c>
    </row>
    <row r="184" spans="1:7" x14ac:dyDescent="0.3">
      <c r="A184" s="5" t="str">
        <f>IF('Malzeme Tanımlama'!A182="","",IF('Malzeme Tanımlama'!C182=$B$4,'Malzeme Tanımlama'!A182,""))</f>
        <v/>
      </c>
      <c r="B184" s="5" t="str">
        <f>IF($A184="","",'Malzeme Tanımlama'!B182)</f>
        <v/>
      </c>
      <c r="C184" s="5" t="str">
        <f>IF($A184="","",'Malzeme Tanımlama'!D182)</f>
        <v/>
      </c>
      <c r="D184" s="5" t="str">
        <f>IF($A184="","",SUMIFS('Stok Hareketleri'!$G$5:$G$2000,'Stok Hareketleri'!$D$5:$D$2000,$A184,'Stok Hareketleri'!$F$5:$F$2000,"Giriş",'Stok Hareketleri'!$C$5:$C$2000,$E$4))</f>
        <v/>
      </c>
      <c r="E184" s="5" t="str">
        <f>IF($A184="","",SUMIFS('Stok Hareketleri'!$G$5:$G$2000,'Stok Hareketleri'!$D$5:$D$2000,$A184,'Stok Hareketleri'!$F$5:$F$2000,"Çıkış",'Stok Hareketleri'!$C$5:$C$2000,$E$4))</f>
        <v/>
      </c>
      <c r="F184" s="5" t="str">
        <f t="shared" si="2"/>
        <v/>
      </c>
      <c r="G184" s="5" t="str">
        <f>IF($A184="","",IFERROR(INDEX('Stok Durumu'!$G$5:$G$300,MATCH($A184,'Stok Durumu'!$A$5:$A$300,0)),""))</f>
        <v/>
      </c>
    </row>
    <row r="185" spans="1:7" x14ac:dyDescent="0.3">
      <c r="A185" s="5" t="str">
        <f>IF('Malzeme Tanımlama'!A183="","",IF('Malzeme Tanımlama'!C183=$B$4,'Malzeme Tanımlama'!A183,""))</f>
        <v/>
      </c>
      <c r="B185" s="5" t="str">
        <f>IF($A185="","",'Malzeme Tanımlama'!B183)</f>
        <v/>
      </c>
      <c r="C185" s="5" t="str">
        <f>IF($A185="","",'Malzeme Tanımlama'!D183)</f>
        <v/>
      </c>
      <c r="D185" s="5" t="str">
        <f>IF($A185="","",SUMIFS('Stok Hareketleri'!$G$5:$G$2000,'Stok Hareketleri'!$D$5:$D$2000,$A185,'Stok Hareketleri'!$F$5:$F$2000,"Giriş",'Stok Hareketleri'!$C$5:$C$2000,$E$4))</f>
        <v/>
      </c>
      <c r="E185" s="5" t="str">
        <f>IF($A185="","",SUMIFS('Stok Hareketleri'!$G$5:$G$2000,'Stok Hareketleri'!$D$5:$D$2000,$A185,'Stok Hareketleri'!$F$5:$F$2000,"Çıkış",'Stok Hareketleri'!$C$5:$C$2000,$E$4))</f>
        <v/>
      </c>
      <c r="F185" s="5" t="str">
        <f t="shared" si="2"/>
        <v/>
      </c>
      <c r="G185" s="5" t="str">
        <f>IF($A185="","",IFERROR(INDEX('Stok Durumu'!$G$5:$G$300,MATCH($A185,'Stok Durumu'!$A$5:$A$300,0)),""))</f>
        <v/>
      </c>
    </row>
    <row r="186" spans="1:7" x14ac:dyDescent="0.3">
      <c r="A186" s="5" t="str">
        <f>IF('Malzeme Tanımlama'!A184="","",IF('Malzeme Tanımlama'!C184=$B$4,'Malzeme Tanımlama'!A184,""))</f>
        <v/>
      </c>
      <c r="B186" s="5" t="str">
        <f>IF($A186="","",'Malzeme Tanımlama'!B184)</f>
        <v/>
      </c>
      <c r="C186" s="5" t="str">
        <f>IF($A186="","",'Malzeme Tanımlama'!D184)</f>
        <v/>
      </c>
      <c r="D186" s="5" t="str">
        <f>IF($A186="","",SUMIFS('Stok Hareketleri'!$G$5:$G$2000,'Stok Hareketleri'!$D$5:$D$2000,$A186,'Stok Hareketleri'!$F$5:$F$2000,"Giriş",'Stok Hareketleri'!$C$5:$C$2000,$E$4))</f>
        <v/>
      </c>
      <c r="E186" s="5" t="str">
        <f>IF($A186="","",SUMIFS('Stok Hareketleri'!$G$5:$G$2000,'Stok Hareketleri'!$D$5:$D$2000,$A186,'Stok Hareketleri'!$F$5:$F$2000,"Çıkış",'Stok Hareketleri'!$C$5:$C$2000,$E$4))</f>
        <v/>
      </c>
      <c r="F186" s="5" t="str">
        <f t="shared" si="2"/>
        <v/>
      </c>
      <c r="G186" s="5" t="str">
        <f>IF($A186="","",IFERROR(INDEX('Stok Durumu'!$G$5:$G$300,MATCH($A186,'Stok Durumu'!$A$5:$A$300,0)),""))</f>
        <v/>
      </c>
    </row>
    <row r="187" spans="1:7" x14ac:dyDescent="0.3">
      <c r="A187" s="5" t="str">
        <f>IF('Malzeme Tanımlama'!A185="","",IF('Malzeme Tanımlama'!C185=$B$4,'Malzeme Tanımlama'!A185,""))</f>
        <v/>
      </c>
      <c r="B187" s="5" t="str">
        <f>IF($A187="","",'Malzeme Tanımlama'!B185)</f>
        <v/>
      </c>
      <c r="C187" s="5" t="str">
        <f>IF($A187="","",'Malzeme Tanımlama'!D185)</f>
        <v/>
      </c>
      <c r="D187" s="5" t="str">
        <f>IF($A187="","",SUMIFS('Stok Hareketleri'!$G$5:$G$2000,'Stok Hareketleri'!$D$5:$D$2000,$A187,'Stok Hareketleri'!$F$5:$F$2000,"Giriş",'Stok Hareketleri'!$C$5:$C$2000,$E$4))</f>
        <v/>
      </c>
      <c r="E187" s="5" t="str">
        <f>IF($A187="","",SUMIFS('Stok Hareketleri'!$G$5:$G$2000,'Stok Hareketleri'!$D$5:$D$2000,$A187,'Stok Hareketleri'!$F$5:$F$2000,"Çıkış",'Stok Hareketleri'!$C$5:$C$2000,$E$4))</f>
        <v/>
      </c>
      <c r="F187" s="5" t="str">
        <f t="shared" si="2"/>
        <v/>
      </c>
      <c r="G187" s="5" t="str">
        <f>IF($A187="","",IFERROR(INDEX('Stok Durumu'!$G$5:$G$300,MATCH($A187,'Stok Durumu'!$A$5:$A$300,0)),""))</f>
        <v/>
      </c>
    </row>
    <row r="188" spans="1:7" x14ac:dyDescent="0.3">
      <c r="A188" s="5" t="str">
        <f>IF('Malzeme Tanımlama'!A186="","",IF('Malzeme Tanımlama'!C186=$B$4,'Malzeme Tanımlama'!A186,""))</f>
        <v/>
      </c>
      <c r="B188" s="5" t="str">
        <f>IF($A188="","",'Malzeme Tanımlama'!B186)</f>
        <v/>
      </c>
      <c r="C188" s="5" t="str">
        <f>IF($A188="","",'Malzeme Tanımlama'!D186)</f>
        <v/>
      </c>
      <c r="D188" s="5" t="str">
        <f>IF($A188="","",SUMIFS('Stok Hareketleri'!$G$5:$G$2000,'Stok Hareketleri'!$D$5:$D$2000,$A188,'Stok Hareketleri'!$F$5:$F$2000,"Giriş",'Stok Hareketleri'!$C$5:$C$2000,$E$4))</f>
        <v/>
      </c>
      <c r="E188" s="5" t="str">
        <f>IF($A188="","",SUMIFS('Stok Hareketleri'!$G$5:$G$2000,'Stok Hareketleri'!$D$5:$D$2000,$A188,'Stok Hareketleri'!$F$5:$F$2000,"Çıkış",'Stok Hareketleri'!$C$5:$C$2000,$E$4))</f>
        <v/>
      </c>
      <c r="F188" s="5" t="str">
        <f t="shared" si="2"/>
        <v/>
      </c>
      <c r="G188" s="5" t="str">
        <f>IF($A188="","",IFERROR(INDEX('Stok Durumu'!$G$5:$G$300,MATCH($A188,'Stok Durumu'!$A$5:$A$300,0)),""))</f>
        <v/>
      </c>
    </row>
    <row r="189" spans="1:7" x14ac:dyDescent="0.3">
      <c r="A189" s="5" t="str">
        <f>IF('Malzeme Tanımlama'!A187="","",IF('Malzeme Tanımlama'!C187=$B$4,'Malzeme Tanımlama'!A187,""))</f>
        <v/>
      </c>
      <c r="B189" s="5" t="str">
        <f>IF($A189="","",'Malzeme Tanımlama'!B187)</f>
        <v/>
      </c>
      <c r="C189" s="5" t="str">
        <f>IF($A189="","",'Malzeme Tanımlama'!D187)</f>
        <v/>
      </c>
      <c r="D189" s="5" t="str">
        <f>IF($A189="","",SUMIFS('Stok Hareketleri'!$G$5:$G$2000,'Stok Hareketleri'!$D$5:$D$2000,$A189,'Stok Hareketleri'!$F$5:$F$2000,"Giriş",'Stok Hareketleri'!$C$5:$C$2000,$E$4))</f>
        <v/>
      </c>
      <c r="E189" s="5" t="str">
        <f>IF($A189="","",SUMIFS('Stok Hareketleri'!$G$5:$G$2000,'Stok Hareketleri'!$D$5:$D$2000,$A189,'Stok Hareketleri'!$F$5:$F$2000,"Çıkış",'Stok Hareketleri'!$C$5:$C$2000,$E$4))</f>
        <v/>
      </c>
      <c r="F189" s="5" t="str">
        <f t="shared" si="2"/>
        <v/>
      </c>
      <c r="G189" s="5" t="str">
        <f>IF($A189="","",IFERROR(INDEX('Stok Durumu'!$G$5:$G$300,MATCH($A189,'Stok Durumu'!$A$5:$A$300,0)),""))</f>
        <v/>
      </c>
    </row>
    <row r="190" spans="1:7" x14ac:dyDescent="0.3">
      <c r="A190" s="5" t="str">
        <f>IF('Malzeme Tanımlama'!A188="","",IF('Malzeme Tanımlama'!C188=$B$4,'Malzeme Tanımlama'!A188,""))</f>
        <v/>
      </c>
      <c r="B190" s="5" t="str">
        <f>IF($A190="","",'Malzeme Tanımlama'!B188)</f>
        <v/>
      </c>
      <c r="C190" s="5" t="str">
        <f>IF($A190="","",'Malzeme Tanımlama'!D188)</f>
        <v/>
      </c>
      <c r="D190" s="5" t="str">
        <f>IF($A190="","",SUMIFS('Stok Hareketleri'!$G$5:$G$2000,'Stok Hareketleri'!$D$5:$D$2000,$A190,'Stok Hareketleri'!$F$5:$F$2000,"Giriş",'Stok Hareketleri'!$C$5:$C$2000,$E$4))</f>
        <v/>
      </c>
      <c r="E190" s="5" t="str">
        <f>IF($A190="","",SUMIFS('Stok Hareketleri'!$G$5:$G$2000,'Stok Hareketleri'!$D$5:$D$2000,$A190,'Stok Hareketleri'!$F$5:$F$2000,"Çıkış",'Stok Hareketleri'!$C$5:$C$2000,$E$4))</f>
        <v/>
      </c>
      <c r="F190" s="5" t="str">
        <f t="shared" si="2"/>
        <v/>
      </c>
      <c r="G190" s="5" t="str">
        <f>IF($A190="","",IFERROR(INDEX('Stok Durumu'!$G$5:$G$300,MATCH($A190,'Stok Durumu'!$A$5:$A$300,0)),""))</f>
        <v/>
      </c>
    </row>
    <row r="191" spans="1:7" x14ac:dyDescent="0.3">
      <c r="A191" s="5" t="str">
        <f>IF('Malzeme Tanımlama'!A189="","",IF('Malzeme Tanımlama'!C189=$B$4,'Malzeme Tanımlama'!A189,""))</f>
        <v/>
      </c>
      <c r="B191" s="5" t="str">
        <f>IF($A191="","",'Malzeme Tanımlama'!B189)</f>
        <v/>
      </c>
      <c r="C191" s="5" t="str">
        <f>IF($A191="","",'Malzeme Tanımlama'!D189)</f>
        <v/>
      </c>
      <c r="D191" s="5" t="str">
        <f>IF($A191="","",SUMIFS('Stok Hareketleri'!$G$5:$G$2000,'Stok Hareketleri'!$D$5:$D$2000,$A191,'Stok Hareketleri'!$F$5:$F$2000,"Giriş",'Stok Hareketleri'!$C$5:$C$2000,$E$4))</f>
        <v/>
      </c>
      <c r="E191" s="5" t="str">
        <f>IF($A191="","",SUMIFS('Stok Hareketleri'!$G$5:$G$2000,'Stok Hareketleri'!$D$5:$D$2000,$A191,'Stok Hareketleri'!$F$5:$F$2000,"Çıkış",'Stok Hareketleri'!$C$5:$C$2000,$E$4))</f>
        <v/>
      </c>
      <c r="F191" s="5" t="str">
        <f t="shared" si="2"/>
        <v/>
      </c>
      <c r="G191" s="5" t="str">
        <f>IF($A191="","",IFERROR(INDEX('Stok Durumu'!$G$5:$G$300,MATCH($A191,'Stok Durumu'!$A$5:$A$300,0)),""))</f>
        <v/>
      </c>
    </row>
    <row r="192" spans="1:7" x14ac:dyDescent="0.3">
      <c r="A192" s="5" t="str">
        <f>IF('Malzeme Tanımlama'!A190="","",IF('Malzeme Tanımlama'!C190=$B$4,'Malzeme Tanımlama'!A190,""))</f>
        <v/>
      </c>
      <c r="B192" s="5" t="str">
        <f>IF($A192="","",'Malzeme Tanımlama'!B190)</f>
        <v/>
      </c>
      <c r="C192" s="5" t="str">
        <f>IF($A192="","",'Malzeme Tanımlama'!D190)</f>
        <v/>
      </c>
      <c r="D192" s="5" t="str">
        <f>IF($A192="","",SUMIFS('Stok Hareketleri'!$G$5:$G$2000,'Stok Hareketleri'!$D$5:$D$2000,$A192,'Stok Hareketleri'!$F$5:$F$2000,"Giriş",'Stok Hareketleri'!$C$5:$C$2000,$E$4))</f>
        <v/>
      </c>
      <c r="E192" s="5" t="str">
        <f>IF($A192="","",SUMIFS('Stok Hareketleri'!$G$5:$G$2000,'Stok Hareketleri'!$D$5:$D$2000,$A192,'Stok Hareketleri'!$F$5:$F$2000,"Çıkış",'Stok Hareketleri'!$C$5:$C$2000,$E$4))</f>
        <v/>
      </c>
      <c r="F192" s="5" t="str">
        <f t="shared" si="2"/>
        <v/>
      </c>
      <c r="G192" s="5" t="str">
        <f>IF($A192="","",IFERROR(INDEX('Stok Durumu'!$G$5:$G$300,MATCH($A192,'Stok Durumu'!$A$5:$A$300,0)),""))</f>
        <v/>
      </c>
    </row>
    <row r="193" spans="1:7" x14ac:dyDescent="0.3">
      <c r="A193" s="5" t="str">
        <f>IF('Malzeme Tanımlama'!A191="","",IF('Malzeme Tanımlama'!C191=$B$4,'Malzeme Tanımlama'!A191,""))</f>
        <v/>
      </c>
      <c r="B193" s="5" t="str">
        <f>IF($A193="","",'Malzeme Tanımlama'!B191)</f>
        <v/>
      </c>
      <c r="C193" s="5" t="str">
        <f>IF($A193="","",'Malzeme Tanımlama'!D191)</f>
        <v/>
      </c>
      <c r="D193" s="5" t="str">
        <f>IF($A193="","",SUMIFS('Stok Hareketleri'!$G$5:$G$2000,'Stok Hareketleri'!$D$5:$D$2000,$A193,'Stok Hareketleri'!$F$5:$F$2000,"Giriş",'Stok Hareketleri'!$C$5:$C$2000,$E$4))</f>
        <v/>
      </c>
      <c r="E193" s="5" t="str">
        <f>IF($A193="","",SUMIFS('Stok Hareketleri'!$G$5:$G$2000,'Stok Hareketleri'!$D$5:$D$2000,$A193,'Stok Hareketleri'!$F$5:$F$2000,"Çıkış",'Stok Hareketleri'!$C$5:$C$2000,$E$4))</f>
        <v/>
      </c>
      <c r="F193" s="5" t="str">
        <f t="shared" si="2"/>
        <v/>
      </c>
      <c r="G193" s="5" t="str">
        <f>IF($A193="","",IFERROR(INDEX('Stok Durumu'!$G$5:$G$300,MATCH($A193,'Stok Durumu'!$A$5:$A$300,0)),""))</f>
        <v/>
      </c>
    </row>
    <row r="194" spans="1:7" x14ac:dyDescent="0.3">
      <c r="A194" s="5" t="str">
        <f>IF('Malzeme Tanımlama'!A192="","",IF('Malzeme Tanımlama'!C192=$B$4,'Malzeme Tanımlama'!A192,""))</f>
        <v/>
      </c>
      <c r="B194" s="5" t="str">
        <f>IF($A194="","",'Malzeme Tanımlama'!B192)</f>
        <v/>
      </c>
      <c r="C194" s="5" t="str">
        <f>IF($A194="","",'Malzeme Tanımlama'!D192)</f>
        <v/>
      </c>
      <c r="D194" s="5" t="str">
        <f>IF($A194="","",SUMIFS('Stok Hareketleri'!$G$5:$G$2000,'Stok Hareketleri'!$D$5:$D$2000,$A194,'Stok Hareketleri'!$F$5:$F$2000,"Giriş",'Stok Hareketleri'!$C$5:$C$2000,$E$4))</f>
        <v/>
      </c>
      <c r="E194" s="5" t="str">
        <f>IF($A194="","",SUMIFS('Stok Hareketleri'!$G$5:$G$2000,'Stok Hareketleri'!$D$5:$D$2000,$A194,'Stok Hareketleri'!$F$5:$F$2000,"Çıkış",'Stok Hareketleri'!$C$5:$C$2000,$E$4))</f>
        <v/>
      </c>
      <c r="F194" s="5" t="str">
        <f t="shared" si="2"/>
        <v/>
      </c>
      <c r="G194" s="5" t="str">
        <f>IF($A194="","",IFERROR(INDEX('Stok Durumu'!$G$5:$G$300,MATCH($A194,'Stok Durumu'!$A$5:$A$300,0)),""))</f>
        <v/>
      </c>
    </row>
    <row r="195" spans="1:7" x14ac:dyDescent="0.3">
      <c r="A195" s="5" t="str">
        <f>IF('Malzeme Tanımlama'!A193="","",IF('Malzeme Tanımlama'!C193=$B$4,'Malzeme Tanımlama'!A193,""))</f>
        <v/>
      </c>
      <c r="B195" s="5" t="str">
        <f>IF($A195="","",'Malzeme Tanımlama'!B193)</f>
        <v/>
      </c>
      <c r="C195" s="5" t="str">
        <f>IF($A195="","",'Malzeme Tanımlama'!D193)</f>
        <v/>
      </c>
      <c r="D195" s="5" t="str">
        <f>IF($A195="","",SUMIFS('Stok Hareketleri'!$G$5:$G$2000,'Stok Hareketleri'!$D$5:$D$2000,$A195,'Stok Hareketleri'!$F$5:$F$2000,"Giriş",'Stok Hareketleri'!$C$5:$C$2000,$E$4))</f>
        <v/>
      </c>
      <c r="E195" s="5" t="str">
        <f>IF($A195="","",SUMIFS('Stok Hareketleri'!$G$5:$G$2000,'Stok Hareketleri'!$D$5:$D$2000,$A195,'Stok Hareketleri'!$F$5:$F$2000,"Çıkış",'Stok Hareketleri'!$C$5:$C$2000,$E$4))</f>
        <v/>
      </c>
      <c r="F195" s="5" t="str">
        <f t="shared" si="2"/>
        <v/>
      </c>
      <c r="G195" s="5" t="str">
        <f>IF($A195="","",IFERROR(INDEX('Stok Durumu'!$G$5:$G$300,MATCH($A195,'Stok Durumu'!$A$5:$A$300,0)),""))</f>
        <v/>
      </c>
    </row>
    <row r="196" spans="1:7" x14ac:dyDescent="0.3">
      <c r="A196" s="5" t="str">
        <f>IF('Malzeme Tanımlama'!A194="","",IF('Malzeme Tanımlama'!C194=$B$4,'Malzeme Tanımlama'!A194,""))</f>
        <v/>
      </c>
      <c r="B196" s="5" t="str">
        <f>IF($A196="","",'Malzeme Tanımlama'!B194)</f>
        <v/>
      </c>
      <c r="C196" s="5" t="str">
        <f>IF($A196="","",'Malzeme Tanımlama'!D194)</f>
        <v/>
      </c>
      <c r="D196" s="5" t="str">
        <f>IF($A196="","",SUMIFS('Stok Hareketleri'!$G$5:$G$2000,'Stok Hareketleri'!$D$5:$D$2000,$A196,'Stok Hareketleri'!$F$5:$F$2000,"Giriş",'Stok Hareketleri'!$C$5:$C$2000,$E$4))</f>
        <v/>
      </c>
      <c r="E196" s="5" t="str">
        <f>IF($A196="","",SUMIFS('Stok Hareketleri'!$G$5:$G$2000,'Stok Hareketleri'!$D$5:$D$2000,$A196,'Stok Hareketleri'!$F$5:$F$2000,"Çıkış",'Stok Hareketleri'!$C$5:$C$2000,$E$4))</f>
        <v/>
      </c>
      <c r="F196" s="5" t="str">
        <f t="shared" si="2"/>
        <v/>
      </c>
      <c r="G196" s="5" t="str">
        <f>IF($A196="","",IFERROR(INDEX('Stok Durumu'!$G$5:$G$300,MATCH($A196,'Stok Durumu'!$A$5:$A$300,0)),""))</f>
        <v/>
      </c>
    </row>
    <row r="197" spans="1:7" x14ac:dyDescent="0.3">
      <c r="A197" s="5" t="str">
        <f>IF('Malzeme Tanımlama'!A195="","",IF('Malzeme Tanımlama'!C195=$B$4,'Malzeme Tanımlama'!A195,""))</f>
        <v/>
      </c>
      <c r="B197" s="5" t="str">
        <f>IF($A197="","",'Malzeme Tanımlama'!B195)</f>
        <v/>
      </c>
      <c r="C197" s="5" t="str">
        <f>IF($A197="","",'Malzeme Tanımlama'!D195)</f>
        <v/>
      </c>
      <c r="D197" s="5" t="str">
        <f>IF($A197="","",SUMIFS('Stok Hareketleri'!$G$5:$G$2000,'Stok Hareketleri'!$D$5:$D$2000,$A197,'Stok Hareketleri'!$F$5:$F$2000,"Giriş",'Stok Hareketleri'!$C$5:$C$2000,$E$4))</f>
        <v/>
      </c>
      <c r="E197" s="5" t="str">
        <f>IF($A197="","",SUMIFS('Stok Hareketleri'!$G$5:$G$2000,'Stok Hareketleri'!$D$5:$D$2000,$A197,'Stok Hareketleri'!$F$5:$F$2000,"Çıkış",'Stok Hareketleri'!$C$5:$C$2000,$E$4))</f>
        <v/>
      </c>
      <c r="F197" s="5" t="str">
        <f t="shared" si="2"/>
        <v/>
      </c>
      <c r="G197" s="5" t="str">
        <f>IF($A197="","",IFERROR(INDEX('Stok Durumu'!$G$5:$G$300,MATCH($A197,'Stok Durumu'!$A$5:$A$300,0)),""))</f>
        <v/>
      </c>
    </row>
    <row r="198" spans="1:7" x14ac:dyDescent="0.3">
      <c r="A198" s="5" t="str">
        <f>IF('Malzeme Tanımlama'!A196="","",IF('Malzeme Tanımlama'!C196=$B$4,'Malzeme Tanımlama'!A196,""))</f>
        <v/>
      </c>
      <c r="B198" s="5" t="str">
        <f>IF($A198="","",'Malzeme Tanımlama'!B196)</f>
        <v/>
      </c>
      <c r="C198" s="5" t="str">
        <f>IF($A198="","",'Malzeme Tanımlama'!D196)</f>
        <v/>
      </c>
      <c r="D198" s="5" t="str">
        <f>IF($A198="","",SUMIFS('Stok Hareketleri'!$G$5:$G$2000,'Stok Hareketleri'!$D$5:$D$2000,$A198,'Stok Hareketleri'!$F$5:$F$2000,"Giriş",'Stok Hareketleri'!$C$5:$C$2000,$E$4))</f>
        <v/>
      </c>
      <c r="E198" s="5" t="str">
        <f>IF($A198="","",SUMIFS('Stok Hareketleri'!$G$5:$G$2000,'Stok Hareketleri'!$D$5:$D$2000,$A198,'Stok Hareketleri'!$F$5:$F$2000,"Çıkış",'Stok Hareketleri'!$C$5:$C$2000,$E$4))</f>
        <v/>
      </c>
      <c r="F198" s="5" t="str">
        <f t="shared" si="2"/>
        <v/>
      </c>
      <c r="G198" s="5" t="str">
        <f>IF($A198="","",IFERROR(INDEX('Stok Durumu'!$G$5:$G$300,MATCH($A198,'Stok Durumu'!$A$5:$A$300,0)),""))</f>
        <v/>
      </c>
    </row>
    <row r="199" spans="1:7" x14ac:dyDescent="0.3">
      <c r="A199" s="5" t="str">
        <f>IF('Malzeme Tanımlama'!A197="","",IF('Malzeme Tanımlama'!C197=$B$4,'Malzeme Tanımlama'!A197,""))</f>
        <v/>
      </c>
      <c r="B199" s="5" t="str">
        <f>IF($A199="","",'Malzeme Tanımlama'!B197)</f>
        <v/>
      </c>
      <c r="C199" s="5" t="str">
        <f>IF($A199="","",'Malzeme Tanımlama'!D197)</f>
        <v/>
      </c>
      <c r="D199" s="5" t="str">
        <f>IF($A199="","",SUMIFS('Stok Hareketleri'!$G$5:$G$2000,'Stok Hareketleri'!$D$5:$D$2000,$A199,'Stok Hareketleri'!$F$5:$F$2000,"Giriş",'Stok Hareketleri'!$C$5:$C$2000,$E$4))</f>
        <v/>
      </c>
      <c r="E199" s="5" t="str">
        <f>IF($A199="","",SUMIFS('Stok Hareketleri'!$G$5:$G$2000,'Stok Hareketleri'!$D$5:$D$2000,$A199,'Stok Hareketleri'!$F$5:$F$2000,"Çıkış",'Stok Hareketleri'!$C$5:$C$2000,$E$4))</f>
        <v/>
      </c>
      <c r="F199" s="5" t="str">
        <f t="shared" ref="F199:F262" si="3">IF($A199="","",$D199-$E199)</f>
        <v/>
      </c>
      <c r="G199" s="5" t="str">
        <f>IF($A199="","",IFERROR(INDEX('Stok Durumu'!$G$5:$G$300,MATCH($A199,'Stok Durumu'!$A$5:$A$300,0)),""))</f>
        <v/>
      </c>
    </row>
    <row r="200" spans="1:7" x14ac:dyDescent="0.3">
      <c r="A200" s="5" t="str">
        <f>IF('Malzeme Tanımlama'!A198="","",IF('Malzeme Tanımlama'!C198=$B$4,'Malzeme Tanımlama'!A198,""))</f>
        <v/>
      </c>
      <c r="B200" s="5" t="str">
        <f>IF($A200="","",'Malzeme Tanımlama'!B198)</f>
        <v/>
      </c>
      <c r="C200" s="5" t="str">
        <f>IF($A200="","",'Malzeme Tanımlama'!D198)</f>
        <v/>
      </c>
      <c r="D200" s="5" t="str">
        <f>IF($A200="","",SUMIFS('Stok Hareketleri'!$G$5:$G$2000,'Stok Hareketleri'!$D$5:$D$2000,$A200,'Stok Hareketleri'!$F$5:$F$2000,"Giriş",'Stok Hareketleri'!$C$5:$C$2000,$E$4))</f>
        <v/>
      </c>
      <c r="E200" s="5" t="str">
        <f>IF($A200="","",SUMIFS('Stok Hareketleri'!$G$5:$G$2000,'Stok Hareketleri'!$D$5:$D$2000,$A200,'Stok Hareketleri'!$F$5:$F$2000,"Çıkış",'Stok Hareketleri'!$C$5:$C$2000,$E$4))</f>
        <v/>
      </c>
      <c r="F200" s="5" t="str">
        <f t="shared" si="3"/>
        <v/>
      </c>
      <c r="G200" s="5" t="str">
        <f>IF($A200="","",IFERROR(INDEX('Stok Durumu'!$G$5:$G$300,MATCH($A200,'Stok Durumu'!$A$5:$A$300,0)),""))</f>
        <v/>
      </c>
    </row>
    <row r="201" spans="1:7" x14ac:dyDescent="0.3">
      <c r="A201" s="5" t="str">
        <f>IF('Malzeme Tanımlama'!A199="","",IF('Malzeme Tanımlama'!C199=$B$4,'Malzeme Tanımlama'!A199,""))</f>
        <v/>
      </c>
      <c r="B201" s="5" t="str">
        <f>IF($A201="","",'Malzeme Tanımlama'!B199)</f>
        <v/>
      </c>
      <c r="C201" s="5" t="str">
        <f>IF($A201="","",'Malzeme Tanımlama'!D199)</f>
        <v/>
      </c>
      <c r="D201" s="5" t="str">
        <f>IF($A201="","",SUMIFS('Stok Hareketleri'!$G$5:$G$2000,'Stok Hareketleri'!$D$5:$D$2000,$A201,'Stok Hareketleri'!$F$5:$F$2000,"Giriş",'Stok Hareketleri'!$C$5:$C$2000,$E$4))</f>
        <v/>
      </c>
      <c r="E201" s="5" t="str">
        <f>IF($A201="","",SUMIFS('Stok Hareketleri'!$G$5:$G$2000,'Stok Hareketleri'!$D$5:$D$2000,$A201,'Stok Hareketleri'!$F$5:$F$2000,"Çıkış",'Stok Hareketleri'!$C$5:$C$2000,$E$4))</f>
        <v/>
      </c>
      <c r="F201" s="5" t="str">
        <f t="shared" si="3"/>
        <v/>
      </c>
      <c r="G201" s="5" t="str">
        <f>IF($A201="","",IFERROR(INDEX('Stok Durumu'!$G$5:$G$300,MATCH($A201,'Stok Durumu'!$A$5:$A$300,0)),""))</f>
        <v/>
      </c>
    </row>
    <row r="202" spans="1:7" x14ac:dyDescent="0.3">
      <c r="A202" s="5" t="str">
        <f>IF('Malzeme Tanımlama'!A200="","",IF('Malzeme Tanımlama'!C200=$B$4,'Malzeme Tanımlama'!A200,""))</f>
        <v/>
      </c>
      <c r="B202" s="5" t="str">
        <f>IF($A202="","",'Malzeme Tanımlama'!B200)</f>
        <v/>
      </c>
      <c r="C202" s="5" t="str">
        <f>IF($A202="","",'Malzeme Tanımlama'!D200)</f>
        <v/>
      </c>
      <c r="D202" s="5" t="str">
        <f>IF($A202="","",SUMIFS('Stok Hareketleri'!$G$5:$G$2000,'Stok Hareketleri'!$D$5:$D$2000,$A202,'Stok Hareketleri'!$F$5:$F$2000,"Giriş",'Stok Hareketleri'!$C$5:$C$2000,$E$4))</f>
        <v/>
      </c>
      <c r="E202" s="5" t="str">
        <f>IF($A202="","",SUMIFS('Stok Hareketleri'!$G$5:$G$2000,'Stok Hareketleri'!$D$5:$D$2000,$A202,'Stok Hareketleri'!$F$5:$F$2000,"Çıkış",'Stok Hareketleri'!$C$5:$C$2000,$E$4))</f>
        <v/>
      </c>
      <c r="F202" s="5" t="str">
        <f t="shared" si="3"/>
        <v/>
      </c>
      <c r="G202" s="5" t="str">
        <f>IF($A202="","",IFERROR(INDEX('Stok Durumu'!$G$5:$G$300,MATCH($A202,'Stok Durumu'!$A$5:$A$300,0)),""))</f>
        <v/>
      </c>
    </row>
    <row r="203" spans="1:7" x14ac:dyDescent="0.3">
      <c r="A203" s="5" t="str">
        <f>IF('Malzeme Tanımlama'!A201="","",IF('Malzeme Tanımlama'!C201=$B$4,'Malzeme Tanımlama'!A201,""))</f>
        <v/>
      </c>
      <c r="B203" s="5" t="str">
        <f>IF($A203="","",'Malzeme Tanımlama'!B201)</f>
        <v/>
      </c>
      <c r="C203" s="5" t="str">
        <f>IF($A203="","",'Malzeme Tanımlama'!D201)</f>
        <v/>
      </c>
      <c r="D203" s="5" t="str">
        <f>IF($A203="","",SUMIFS('Stok Hareketleri'!$G$5:$G$2000,'Stok Hareketleri'!$D$5:$D$2000,$A203,'Stok Hareketleri'!$F$5:$F$2000,"Giriş",'Stok Hareketleri'!$C$5:$C$2000,$E$4))</f>
        <v/>
      </c>
      <c r="E203" s="5" t="str">
        <f>IF($A203="","",SUMIFS('Stok Hareketleri'!$G$5:$G$2000,'Stok Hareketleri'!$D$5:$D$2000,$A203,'Stok Hareketleri'!$F$5:$F$2000,"Çıkış",'Stok Hareketleri'!$C$5:$C$2000,$E$4))</f>
        <v/>
      </c>
      <c r="F203" s="5" t="str">
        <f t="shared" si="3"/>
        <v/>
      </c>
      <c r="G203" s="5" t="str">
        <f>IF($A203="","",IFERROR(INDEX('Stok Durumu'!$G$5:$G$300,MATCH($A203,'Stok Durumu'!$A$5:$A$300,0)),""))</f>
        <v/>
      </c>
    </row>
    <row r="204" spans="1:7" x14ac:dyDescent="0.3">
      <c r="A204" s="5" t="str">
        <f>IF('Malzeme Tanımlama'!A202="","",IF('Malzeme Tanımlama'!C202=$B$4,'Malzeme Tanımlama'!A202,""))</f>
        <v/>
      </c>
      <c r="B204" s="5" t="str">
        <f>IF($A204="","",'Malzeme Tanımlama'!B202)</f>
        <v/>
      </c>
      <c r="C204" s="5" t="str">
        <f>IF($A204="","",'Malzeme Tanımlama'!D202)</f>
        <v/>
      </c>
      <c r="D204" s="5" t="str">
        <f>IF($A204="","",SUMIFS('Stok Hareketleri'!$G$5:$G$2000,'Stok Hareketleri'!$D$5:$D$2000,$A204,'Stok Hareketleri'!$F$5:$F$2000,"Giriş",'Stok Hareketleri'!$C$5:$C$2000,$E$4))</f>
        <v/>
      </c>
      <c r="E204" s="5" t="str">
        <f>IF($A204="","",SUMIFS('Stok Hareketleri'!$G$5:$G$2000,'Stok Hareketleri'!$D$5:$D$2000,$A204,'Stok Hareketleri'!$F$5:$F$2000,"Çıkış",'Stok Hareketleri'!$C$5:$C$2000,$E$4))</f>
        <v/>
      </c>
      <c r="F204" s="5" t="str">
        <f t="shared" si="3"/>
        <v/>
      </c>
      <c r="G204" s="5" t="str">
        <f>IF($A204="","",IFERROR(INDEX('Stok Durumu'!$G$5:$G$300,MATCH($A204,'Stok Durumu'!$A$5:$A$300,0)),""))</f>
        <v/>
      </c>
    </row>
    <row r="205" spans="1:7" x14ac:dyDescent="0.3">
      <c r="A205" s="5" t="str">
        <f>IF('Malzeme Tanımlama'!A203="","",IF('Malzeme Tanımlama'!C203=$B$4,'Malzeme Tanımlama'!A203,""))</f>
        <v/>
      </c>
      <c r="B205" s="5" t="str">
        <f>IF($A205="","",'Malzeme Tanımlama'!B203)</f>
        <v/>
      </c>
      <c r="C205" s="5" t="str">
        <f>IF($A205="","",'Malzeme Tanımlama'!D203)</f>
        <v/>
      </c>
      <c r="D205" s="5" t="str">
        <f>IF($A205="","",SUMIFS('Stok Hareketleri'!$G$5:$G$2000,'Stok Hareketleri'!$D$5:$D$2000,$A205,'Stok Hareketleri'!$F$5:$F$2000,"Giriş",'Stok Hareketleri'!$C$5:$C$2000,$E$4))</f>
        <v/>
      </c>
      <c r="E205" s="5" t="str">
        <f>IF($A205="","",SUMIFS('Stok Hareketleri'!$G$5:$G$2000,'Stok Hareketleri'!$D$5:$D$2000,$A205,'Stok Hareketleri'!$F$5:$F$2000,"Çıkış",'Stok Hareketleri'!$C$5:$C$2000,$E$4))</f>
        <v/>
      </c>
      <c r="F205" s="5" t="str">
        <f t="shared" si="3"/>
        <v/>
      </c>
      <c r="G205" s="5" t="str">
        <f>IF($A205="","",IFERROR(INDEX('Stok Durumu'!$G$5:$G$300,MATCH($A205,'Stok Durumu'!$A$5:$A$300,0)),""))</f>
        <v/>
      </c>
    </row>
    <row r="206" spans="1:7" x14ac:dyDescent="0.3">
      <c r="A206" s="5" t="str">
        <f>IF('Malzeme Tanımlama'!A204="","",IF('Malzeme Tanımlama'!C204=$B$4,'Malzeme Tanımlama'!A204,""))</f>
        <v/>
      </c>
      <c r="B206" s="5" t="str">
        <f>IF($A206="","",'Malzeme Tanımlama'!B204)</f>
        <v/>
      </c>
      <c r="C206" s="5" t="str">
        <f>IF($A206="","",'Malzeme Tanımlama'!D204)</f>
        <v/>
      </c>
      <c r="D206" s="5" t="str">
        <f>IF($A206="","",SUMIFS('Stok Hareketleri'!$G$5:$G$2000,'Stok Hareketleri'!$D$5:$D$2000,$A206,'Stok Hareketleri'!$F$5:$F$2000,"Giriş",'Stok Hareketleri'!$C$5:$C$2000,$E$4))</f>
        <v/>
      </c>
      <c r="E206" s="5" t="str">
        <f>IF($A206="","",SUMIFS('Stok Hareketleri'!$G$5:$G$2000,'Stok Hareketleri'!$D$5:$D$2000,$A206,'Stok Hareketleri'!$F$5:$F$2000,"Çıkış",'Stok Hareketleri'!$C$5:$C$2000,$E$4))</f>
        <v/>
      </c>
      <c r="F206" s="5" t="str">
        <f t="shared" si="3"/>
        <v/>
      </c>
      <c r="G206" s="5" t="str">
        <f>IF($A206="","",IFERROR(INDEX('Stok Durumu'!$G$5:$G$300,MATCH($A206,'Stok Durumu'!$A$5:$A$300,0)),""))</f>
        <v/>
      </c>
    </row>
    <row r="207" spans="1:7" x14ac:dyDescent="0.3">
      <c r="A207" s="5" t="str">
        <f>IF('Malzeme Tanımlama'!A205="","",IF('Malzeme Tanımlama'!C205=$B$4,'Malzeme Tanımlama'!A205,""))</f>
        <v/>
      </c>
      <c r="B207" s="5" t="str">
        <f>IF($A207="","",'Malzeme Tanımlama'!B205)</f>
        <v/>
      </c>
      <c r="C207" s="5" t="str">
        <f>IF($A207="","",'Malzeme Tanımlama'!D205)</f>
        <v/>
      </c>
      <c r="D207" s="5" t="str">
        <f>IF($A207="","",SUMIFS('Stok Hareketleri'!$G$5:$G$2000,'Stok Hareketleri'!$D$5:$D$2000,$A207,'Stok Hareketleri'!$F$5:$F$2000,"Giriş",'Stok Hareketleri'!$C$5:$C$2000,$E$4))</f>
        <v/>
      </c>
      <c r="E207" s="5" t="str">
        <f>IF($A207="","",SUMIFS('Stok Hareketleri'!$G$5:$G$2000,'Stok Hareketleri'!$D$5:$D$2000,$A207,'Stok Hareketleri'!$F$5:$F$2000,"Çıkış",'Stok Hareketleri'!$C$5:$C$2000,$E$4))</f>
        <v/>
      </c>
      <c r="F207" s="5" t="str">
        <f t="shared" si="3"/>
        <v/>
      </c>
      <c r="G207" s="5" t="str">
        <f>IF($A207="","",IFERROR(INDEX('Stok Durumu'!$G$5:$G$300,MATCH($A207,'Stok Durumu'!$A$5:$A$300,0)),""))</f>
        <v/>
      </c>
    </row>
    <row r="208" spans="1:7" x14ac:dyDescent="0.3">
      <c r="A208" s="5" t="str">
        <f>IF('Malzeme Tanımlama'!A206="","",IF('Malzeme Tanımlama'!C206=$B$4,'Malzeme Tanımlama'!A206,""))</f>
        <v/>
      </c>
      <c r="B208" s="5" t="str">
        <f>IF($A208="","",'Malzeme Tanımlama'!B206)</f>
        <v/>
      </c>
      <c r="C208" s="5" t="str">
        <f>IF($A208="","",'Malzeme Tanımlama'!D206)</f>
        <v/>
      </c>
      <c r="D208" s="5" t="str">
        <f>IF($A208="","",SUMIFS('Stok Hareketleri'!$G$5:$G$2000,'Stok Hareketleri'!$D$5:$D$2000,$A208,'Stok Hareketleri'!$F$5:$F$2000,"Giriş",'Stok Hareketleri'!$C$5:$C$2000,$E$4))</f>
        <v/>
      </c>
      <c r="E208" s="5" t="str">
        <f>IF($A208="","",SUMIFS('Stok Hareketleri'!$G$5:$G$2000,'Stok Hareketleri'!$D$5:$D$2000,$A208,'Stok Hareketleri'!$F$5:$F$2000,"Çıkış",'Stok Hareketleri'!$C$5:$C$2000,$E$4))</f>
        <v/>
      </c>
      <c r="F208" s="5" t="str">
        <f t="shared" si="3"/>
        <v/>
      </c>
      <c r="G208" s="5" t="str">
        <f>IF($A208="","",IFERROR(INDEX('Stok Durumu'!$G$5:$G$300,MATCH($A208,'Stok Durumu'!$A$5:$A$300,0)),""))</f>
        <v/>
      </c>
    </row>
    <row r="209" spans="1:7" x14ac:dyDescent="0.3">
      <c r="A209" s="5" t="str">
        <f>IF('Malzeme Tanımlama'!A207="","",IF('Malzeme Tanımlama'!C207=$B$4,'Malzeme Tanımlama'!A207,""))</f>
        <v/>
      </c>
      <c r="B209" s="5" t="str">
        <f>IF($A209="","",'Malzeme Tanımlama'!B207)</f>
        <v/>
      </c>
      <c r="C209" s="5" t="str">
        <f>IF($A209="","",'Malzeme Tanımlama'!D207)</f>
        <v/>
      </c>
      <c r="D209" s="5" t="str">
        <f>IF($A209="","",SUMIFS('Stok Hareketleri'!$G$5:$G$2000,'Stok Hareketleri'!$D$5:$D$2000,$A209,'Stok Hareketleri'!$F$5:$F$2000,"Giriş",'Stok Hareketleri'!$C$5:$C$2000,$E$4))</f>
        <v/>
      </c>
      <c r="E209" s="5" t="str">
        <f>IF($A209="","",SUMIFS('Stok Hareketleri'!$G$5:$G$2000,'Stok Hareketleri'!$D$5:$D$2000,$A209,'Stok Hareketleri'!$F$5:$F$2000,"Çıkış",'Stok Hareketleri'!$C$5:$C$2000,$E$4))</f>
        <v/>
      </c>
      <c r="F209" s="5" t="str">
        <f t="shared" si="3"/>
        <v/>
      </c>
      <c r="G209" s="5" t="str">
        <f>IF($A209="","",IFERROR(INDEX('Stok Durumu'!$G$5:$G$300,MATCH($A209,'Stok Durumu'!$A$5:$A$300,0)),""))</f>
        <v/>
      </c>
    </row>
    <row r="210" spans="1:7" x14ac:dyDescent="0.3">
      <c r="A210" s="5" t="str">
        <f>IF('Malzeme Tanımlama'!A208="","",IF('Malzeme Tanımlama'!C208=$B$4,'Malzeme Tanımlama'!A208,""))</f>
        <v/>
      </c>
      <c r="B210" s="5" t="str">
        <f>IF($A210="","",'Malzeme Tanımlama'!B208)</f>
        <v/>
      </c>
      <c r="C210" s="5" t="str">
        <f>IF($A210="","",'Malzeme Tanımlama'!D208)</f>
        <v/>
      </c>
      <c r="D210" s="5" t="str">
        <f>IF($A210="","",SUMIFS('Stok Hareketleri'!$G$5:$G$2000,'Stok Hareketleri'!$D$5:$D$2000,$A210,'Stok Hareketleri'!$F$5:$F$2000,"Giriş",'Stok Hareketleri'!$C$5:$C$2000,$E$4))</f>
        <v/>
      </c>
      <c r="E210" s="5" t="str">
        <f>IF($A210="","",SUMIFS('Stok Hareketleri'!$G$5:$G$2000,'Stok Hareketleri'!$D$5:$D$2000,$A210,'Stok Hareketleri'!$F$5:$F$2000,"Çıkış",'Stok Hareketleri'!$C$5:$C$2000,$E$4))</f>
        <v/>
      </c>
      <c r="F210" s="5" t="str">
        <f t="shared" si="3"/>
        <v/>
      </c>
      <c r="G210" s="5" t="str">
        <f>IF($A210="","",IFERROR(INDEX('Stok Durumu'!$G$5:$G$300,MATCH($A210,'Stok Durumu'!$A$5:$A$300,0)),""))</f>
        <v/>
      </c>
    </row>
    <row r="211" spans="1:7" x14ac:dyDescent="0.3">
      <c r="A211" s="5" t="str">
        <f>IF('Malzeme Tanımlama'!A209="","",IF('Malzeme Tanımlama'!C209=$B$4,'Malzeme Tanımlama'!A209,""))</f>
        <v/>
      </c>
      <c r="B211" s="5" t="str">
        <f>IF($A211="","",'Malzeme Tanımlama'!B209)</f>
        <v/>
      </c>
      <c r="C211" s="5" t="str">
        <f>IF($A211="","",'Malzeme Tanımlama'!D209)</f>
        <v/>
      </c>
      <c r="D211" s="5" t="str">
        <f>IF($A211="","",SUMIFS('Stok Hareketleri'!$G$5:$G$2000,'Stok Hareketleri'!$D$5:$D$2000,$A211,'Stok Hareketleri'!$F$5:$F$2000,"Giriş",'Stok Hareketleri'!$C$5:$C$2000,$E$4))</f>
        <v/>
      </c>
      <c r="E211" s="5" t="str">
        <f>IF($A211="","",SUMIFS('Stok Hareketleri'!$G$5:$G$2000,'Stok Hareketleri'!$D$5:$D$2000,$A211,'Stok Hareketleri'!$F$5:$F$2000,"Çıkış",'Stok Hareketleri'!$C$5:$C$2000,$E$4))</f>
        <v/>
      </c>
      <c r="F211" s="5" t="str">
        <f t="shared" si="3"/>
        <v/>
      </c>
      <c r="G211" s="5" t="str">
        <f>IF($A211="","",IFERROR(INDEX('Stok Durumu'!$G$5:$G$300,MATCH($A211,'Stok Durumu'!$A$5:$A$300,0)),""))</f>
        <v/>
      </c>
    </row>
    <row r="212" spans="1:7" x14ac:dyDescent="0.3">
      <c r="A212" s="5" t="str">
        <f>IF('Malzeme Tanımlama'!A210="","",IF('Malzeme Tanımlama'!C210=$B$4,'Malzeme Tanımlama'!A210,""))</f>
        <v/>
      </c>
      <c r="B212" s="5" t="str">
        <f>IF($A212="","",'Malzeme Tanımlama'!B210)</f>
        <v/>
      </c>
      <c r="C212" s="5" t="str">
        <f>IF($A212="","",'Malzeme Tanımlama'!D210)</f>
        <v/>
      </c>
      <c r="D212" s="5" t="str">
        <f>IF($A212="","",SUMIFS('Stok Hareketleri'!$G$5:$G$2000,'Stok Hareketleri'!$D$5:$D$2000,$A212,'Stok Hareketleri'!$F$5:$F$2000,"Giriş",'Stok Hareketleri'!$C$5:$C$2000,$E$4))</f>
        <v/>
      </c>
      <c r="E212" s="5" t="str">
        <f>IF($A212="","",SUMIFS('Stok Hareketleri'!$G$5:$G$2000,'Stok Hareketleri'!$D$5:$D$2000,$A212,'Stok Hareketleri'!$F$5:$F$2000,"Çıkış",'Stok Hareketleri'!$C$5:$C$2000,$E$4))</f>
        <v/>
      </c>
      <c r="F212" s="5" t="str">
        <f t="shared" si="3"/>
        <v/>
      </c>
      <c r="G212" s="5" t="str">
        <f>IF($A212="","",IFERROR(INDEX('Stok Durumu'!$G$5:$G$300,MATCH($A212,'Stok Durumu'!$A$5:$A$300,0)),""))</f>
        <v/>
      </c>
    </row>
    <row r="213" spans="1:7" x14ac:dyDescent="0.3">
      <c r="A213" s="5" t="str">
        <f>IF('Malzeme Tanımlama'!A211="","",IF('Malzeme Tanımlama'!C211=$B$4,'Malzeme Tanımlama'!A211,""))</f>
        <v/>
      </c>
      <c r="B213" s="5" t="str">
        <f>IF($A213="","",'Malzeme Tanımlama'!B211)</f>
        <v/>
      </c>
      <c r="C213" s="5" t="str">
        <f>IF($A213="","",'Malzeme Tanımlama'!D211)</f>
        <v/>
      </c>
      <c r="D213" s="5" t="str">
        <f>IF($A213="","",SUMIFS('Stok Hareketleri'!$G$5:$G$2000,'Stok Hareketleri'!$D$5:$D$2000,$A213,'Stok Hareketleri'!$F$5:$F$2000,"Giriş",'Stok Hareketleri'!$C$5:$C$2000,$E$4))</f>
        <v/>
      </c>
      <c r="E213" s="5" t="str">
        <f>IF($A213="","",SUMIFS('Stok Hareketleri'!$G$5:$G$2000,'Stok Hareketleri'!$D$5:$D$2000,$A213,'Stok Hareketleri'!$F$5:$F$2000,"Çıkış",'Stok Hareketleri'!$C$5:$C$2000,$E$4))</f>
        <v/>
      </c>
      <c r="F213" s="5" t="str">
        <f t="shared" si="3"/>
        <v/>
      </c>
      <c r="G213" s="5" t="str">
        <f>IF($A213="","",IFERROR(INDEX('Stok Durumu'!$G$5:$G$300,MATCH($A213,'Stok Durumu'!$A$5:$A$300,0)),""))</f>
        <v/>
      </c>
    </row>
    <row r="214" spans="1:7" x14ac:dyDescent="0.3">
      <c r="A214" s="5" t="str">
        <f>IF('Malzeme Tanımlama'!A212="","",IF('Malzeme Tanımlama'!C212=$B$4,'Malzeme Tanımlama'!A212,""))</f>
        <v/>
      </c>
      <c r="B214" s="5" t="str">
        <f>IF($A214="","",'Malzeme Tanımlama'!B212)</f>
        <v/>
      </c>
      <c r="C214" s="5" t="str">
        <f>IF($A214="","",'Malzeme Tanımlama'!D212)</f>
        <v/>
      </c>
      <c r="D214" s="5" t="str">
        <f>IF($A214="","",SUMIFS('Stok Hareketleri'!$G$5:$G$2000,'Stok Hareketleri'!$D$5:$D$2000,$A214,'Stok Hareketleri'!$F$5:$F$2000,"Giriş",'Stok Hareketleri'!$C$5:$C$2000,$E$4))</f>
        <v/>
      </c>
      <c r="E214" s="5" t="str">
        <f>IF($A214="","",SUMIFS('Stok Hareketleri'!$G$5:$G$2000,'Stok Hareketleri'!$D$5:$D$2000,$A214,'Stok Hareketleri'!$F$5:$F$2000,"Çıkış",'Stok Hareketleri'!$C$5:$C$2000,$E$4))</f>
        <v/>
      </c>
      <c r="F214" s="5" t="str">
        <f t="shared" si="3"/>
        <v/>
      </c>
      <c r="G214" s="5" t="str">
        <f>IF($A214="","",IFERROR(INDEX('Stok Durumu'!$G$5:$G$300,MATCH($A214,'Stok Durumu'!$A$5:$A$300,0)),""))</f>
        <v/>
      </c>
    </row>
    <row r="215" spans="1:7" x14ac:dyDescent="0.3">
      <c r="A215" s="5" t="str">
        <f>IF('Malzeme Tanımlama'!A213="","",IF('Malzeme Tanımlama'!C213=$B$4,'Malzeme Tanımlama'!A213,""))</f>
        <v/>
      </c>
      <c r="B215" s="5" t="str">
        <f>IF($A215="","",'Malzeme Tanımlama'!B213)</f>
        <v/>
      </c>
      <c r="C215" s="5" t="str">
        <f>IF($A215="","",'Malzeme Tanımlama'!D213)</f>
        <v/>
      </c>
      <c r="D215" s="5" t="str">
        <f>IF($A215="","",SUMIFS('Stok Hareketleri'!$G$5:$G$2000,'Stok Hareketleri'!$D$5:$D$2000,$A215,'Stok Hareketleri'!$F$5:$F$2000,"Giriş",'Stok Hareketleri'!$C$5:$C$2000,$E$4))</f>
        <v/>
      </c>
      <c r="E215" s="5" t="str">
        <f>IF($A215="","",SUMIFS('Stok Hareketleri'!$G$5:$G$2000,'Stok Hareketleri'!$D$5:$D$2000,$A215,'Stok Hareketleri'!$F$5:$F$2000,"Çıkış",'Stok Hareketleri'!$C$5:$C$2000,$E$4))</f>
        <v/>
      </c>
      <c r="F215" s="5" t="str">
        <f t="shared" si="3"/>
        <v/>
      </c>
      <c r="G215" s="5" t="str">
        <f>IF($A215="","",IFERROR(INDEX('Stok Durumu'!$G$5:$G$300,MATCH($A215,'Stok Durumu'!$A$5:$A$300,0)),""))</f>
        <v/>
      </c>
    </row>
    <row r="216" spans="1:7" x14ac:dyDescent="0.3">
      <c r="A216" s="5" t="str">
        <f>IF('Malzeme Tanımlama'!A214="","",IF('Malzeme Tanımlama'!C214=$B$4,'Malzeme Tanımlama'!A214,""))</f>
        <v/>
      </c>
      <c r="B216" s="5" t="str">
        <f>IF($A216="","",'Malzeme Tanımlama'!B214)</f>
        <v/>
      </c>
      <c r="C216" s="5" t="str">
        <f>IF($A216="","",'Malzeme Tanımlama'!D214)</f>
        <v/>
      </c>
      <c r="D216" s="5" t="str">
        <f>IF($A216="","",SUMIFS('Stok Hareketleri'!$G$5:$G$2000,'Stok Hareketleri'!$D$5:$D$2000,$A216,'Stok Hareketleri'!$F$5:$F$2000,"Giriş",'Stok Hareketleri'!$C$5:$C$2000,$E$4))</f>
        <v/>
      </c>
      <c r="E216" s="5" t="str">
        <f>IF($A216="","",SUMIFS('Stok Hareketleri'!$G$5:$G$2000,'Stok Hareketleri'!$D$5:$D$2000,$A216,'Stok Hareketleri'!$F$5:$F$2000,"Çıkış",'Stok Hareketleri'!$C$5:$C$2000,$E$4))</f>
        <v/>
      </c>
      <c r="F216" s="5" t="str">
        <f t="shared" si="3"/>
        <v/>
      </c>
      <c r="G216" s="5" t="str">
        <f>IF($A216="","",IFERROR(INDEX('Stok Durumu'!$G$5:$G$300,MATCH($A216,'Stok Durumu'!$A$5:$A$300,0)),""))</f>
        <v/>
      </c>
    </row>
    <row r="217" spans="1:7" x14ac:dyDescent="0.3">
      <c r="A217" s="5" t="str">
        <f>IF('Malzeme Tanımlama'!A215="","",IF('Malzeme Tanımlama'!C215=$B$4,'Malzeme Tanımlama'!A215,""))</f>
        <v/>
      </c>
      <c r="B217" s="5" t="str">
        <f>IF($A217="","",'Malzeme Tanımlama'!B215)</f>
        <v/>
      </c>
      <c r="C217" s="5" t="str">
        <f>IF($A217="","",'Malzeme Tanımlama'!D215)</f>
        <v/>
      </c>
      <c r="D217" s="5" t="str">
        <f>IF($A217="","",SUMIFS('Stok Hareketleri'!$G$5:$G$2000,'Stok Hareketleri'!$D$5:$D$2000,$A217,'Stok Hareketleri'!$F$5:$F$2000,"Giriş",'Stok Hareketleri'!$C$5:$C$2000,$E$4))</f>
        <v/>
      </c>
      <c r="E217" s="5" t="str">
        <f>IF($A217="","",SUMIFS('Stok Hareketleri'!$G$5:$G$2000,'Stok Hareketleri'!$D$5:$D$2000,$A217,'Stok Hareketleri'!$F$5:$F$2000,"Çıkış",'Stok Hareketleri'!$C$5:$C$2000,$E$4))</f>
        <v/>
      </c>
      <c r="F217" s="5" t="str">
        <f t="shared" si="3"/>
        <v/>
      </c>
      <c r="G217" s="5" t="str">
        <f>IF($A217="","",IFERROR(INDEX('Stok Durumu'!$G$5:$G$300,MATCH($A217,'Stok Durumu'!$A$5:$A$300,0)),""))</f>
        <v/>
      </c>
    </row>
    <row r="218" spans="1:7" x14ac:dyDescent="0.3">
      <c r="A218" s="5" t="str">
        <f>IF('Malzeme Tanımlama'!A216="","",IF('Malzeme Tanımlama'!C216=$B$4,'Malzeme Tanımlama'!A216,""))</f>
        <v/>
      </c>
      <c r="B218" s="5" t="str">
        <f>IF($A218="","",'Malzeme Tanımlama'!B216)</f>
        <v/>
      </c>
      <c r="C218" s="5" t="str">
        <f>IF($A218="","",'Malzeme Tanımlama'!D216)</f>
        <v/>
      </c>
      <c r="D218" s="5" t="str">
        <f>IF($A218="","",SUMIFS('Stok Hareketleri'!$G$5:$G$2000,'Stok Hareketleri'!$D$5:$D$2000,$A218,'Stok Hareketleri'!$F$5:$F$2000,"Giriş",'Stok Hareketleri'!$C$5:$C$2000,$E$4))</f>
        <v/>
      </c>
      <c r="E218" s="5" t="str">
        <f>IF($A218="","",SUMIFS('Stok Hareketleri'!$G$5:$G$2000,'Stok Hareketleri'!$D$5:$D$2000,$A218,'Stok Hareketleri'!$F$5:$F$2000,"Çıkış",'Stok Hareketleri'!$C$5:$C$2000,$E$4))</f>
        <v/>
      </c>
      <c r="F218" s="5" t="str">
        <f t="shared" si="3"/>
        <v/>
      </c>
      <c r="G218" s="5" t="str">
        <f>IF($A218="","",IFERROR(INDEX('Stok Durumu'!$G$5:$G$300,MATCH($A218,'Stok Durumu'!$A$5:$A$300,0)),""))</f>
        <v/>
      </c>
    </row>
    <row r="219" spans="1:7" x14ac:dyDescent="0.3">
      <c r="A219" s="5" t="str">
        <f>IF('Malzeme Tanımlama'!A217="","",IF('Malzeme Tanımlama'!C217=$B$4,'Malzeme Tanımlama'!A217,""))</f>
        <v/>
      </c>
      <c r="B219" s="5" t="str">
        <f>IF($A219="","",'Malzeme Tanımlama'!B217)</f>
        <v/>
      </c>
      <c r="C219" s="5" t="str">
        <f>IF($A219="","",'Malzeme Tanımlama'!D217)</f>
        <v/>
      </c>
      <c r="D219" s="5" t="str">
        <f>IF($A219="","",SUMIFS('Stok Hareketleri'!$G$5:$G$2000,'Stok Hareketleri'!$D$5:$D$2000,$A219,'Stok Hareketleri'!$F$5:$F$2000,"Giriş",'Stok Hareketleri'!$C$5:$C$2000,$E$4))</f>
        <v/>
      </c>
      <c r="E219" s="5" t="str">
        <f>IF($A219="","",SUMIFS('Stok Hareketleri'!$G$5:$G$2000,'Stok Hareketleri'!$D$5:$D$2000,$A219,'Stok Hareketleri'!$F$5:$F$2000,"Çıkış",'Stok Hareketleri'!$C$5:$C$2000,$E$4))</f>
        <v/>
      </c>
      <c r="F219" s="5" t="str">
        <f t="shared" si="3"/>
        <v/>
      </c>
      <c r="G219" s="5" t="str">
        <f>IF($A219="","",IFERROR(INDEX('Stok Durumu'!$G$5:$G$300,MATCH($A219,'Stok Durumu'!$A$5:$A$300,0)),""))</f>
        <v/>
      </c>
    </row>
    <row r="220" spans="1:7" x14ac:dyDescent="0.3">
      <c r="A220" s="5" t="str">
        <f>IF('Malzeme Tanımlama'!A218="","",IF('Malzeme Tanımlama'!C218=$B$4,'Malzeme Tanımlama'!A218,""))</f>
        <v/>
      </c>
      <c r="B220" s="5" t="str">
        <f>IF($A220="","",'Malzeme Tanımlama'!B218)</f>
        <v/>
      </c>
      <c r="C220" s="5" t="str">
        <f>IF($A220="","",'Malzeme Tanımlama'!D218)</f>
        <v/>
      </c>
      <c r="D220" s="5" t="str">
        <f>IF($A220="","",SUMIFS('Stok Hareketleri'!$G$5:$G$2000,'Stok Hareketleri'!$D$5:$D$2000,$A220,'Stok Hareketleri'!$F$5:$F$2000,"Giriş",'Stok Hareketleri'!$C$5:$C$2000,$E$4))</f>
        <v/>
      </c>
      <c r="E220" s="5" t="str">
        <f>IF($A220="","",SUMIFS('Stok Hareketleri'!$G$5:$G$2000,'Stok Hareketleri'!$D$5:$D$2000,$A220,'Stok Hareketleri'!$F$5:$F$2000,"Çıkış",'Stok Hareketleri'!$C$5:$C$2000,$E$4))</f>
        <v/>
      </c>
      <c r="F220" s="5" t="str">
        <f t="shared" si="3"/>
        <v/>
      </c>
      <c r="G220" s="5" t="str">
        <f>IF($A220="","",IFERROR(INDEX('Stok Durumu'!$G$5:$G$300,MATCH($A220,'Stok Durumu'!$A$5:$A$300,0)),""))</f>
        <v/>
      </c>
    </row>
    <row r="221" spans="1:7" x14ac:dyDescent="0.3">
      <c r="A221" s="5" t="str">
        <f>IF('Malzeme Tanımlama'!A219="","",IF('Malzeme Tanımlama'!C219=$B$4,'Malzeme Tanımlama'!A219,""))</f>
        <v/>
      </c>
      <c r="B221" s="5" t="str">
        <f>IF($A221="","",'Malzeme Tanımlama'!B219)</f>
        <v/>
      </c>
      <c r="C221" s="5" t="str">
        <f>IF($A221="","",'Malzeme Tanımlama'!D219)</f>
        <v/>
      </c>
      <c r="D221" s="5" t="str">
        <f>IF($A221="","",SUMIFS('Stok Hareketleri'!$G$5:$G$2000,'Stok Hareketleri'!$D$5:$D$2000,$A221,'Stok Hareketleri'!$F$5:$F$2000,"Giriş",'Stok Hareketleri'!$C$5:$C$2000,$E$4))</f>
        <v/>
      </c>
      <c r="E221" s="5" t="str">
        <f>IF($A221="","",SUMIFS('Stok Hareketleri'!$G$5:$G$2000,'Stok Hareketleri'!$D$5:$D$2000,$A221,'Stok Hareketleri'!$F$5:$F$2000,"Çıkış",'Stok Hareketleri'!$C$5:$C$2000,$E$4))</f>
        <v/>
      </c>
      <c r="F221" s="5" t="str">
        <f t="shared" si="3"/>
        <v/>
      </c>
      <c r="G221" s="5" t="str">
        <f>IF($A221="","",IFERROR(INDEX('Stok Durumu'!$G$5:$G$300,MATCH($A221,'Stok Durumu'!$A$5:$A$300,0)),""))</f>
        <v/>
      </c>
    </row>
    <row r="222" spans="1:7" x14ac:dyDescent="0.3">
      <c r="A222" s="5" t="str">
        <f>IF('Malzeme Tanımlama'!A220="","",IF('Malzeme Tanımlama'!C220=$B$4,'Malzeme Tanımlama'!A220,""))</f>
        <v/>
      </c>
      <c r="B222" s="5" t="str">
        <f>IF($A222="","",'Malzeme Tanımlama'!B220)</f>
        <v/>
      </c>
      <c r="C222" s="5" t="str">
        <f>IF($A222="","",'Malzeme Tanımlama'!D220)</f>
        <v/>
      </c>
      <c r="D222" s="5" t="str">
        <f>IF($A222="","",SUMIFS('Stok Hareketleri'!$G$5:$G$2000,'Stok Hareketleri'!$D$5:$D$2000,$A222,'Stok Hareketleri'!$F$5:$F$2000,"Giriş",'Stok Hareketleri'!$C$5:$C$2000,$E$4))</f>
        <v/>
      </c>
      <c r="E222" s="5" t="str">
        <f>IF($A222="","",SUMIFS('Stok Hareketleri'!$G$5:$G$2000,'Stok Hareketleri'!$D$5:$D$2000,$A222,'Stok Hareketleri'!$F$5:$F$2000,"Çıkış",'Stok Hareketleri'!$C$5:$C$2000,$E$4))</f>
        <v/>
      </c>
      <c r="F222" s="5" t="str">
        <f t="shared" si="3"/>
        <v/>
      </c>
      <c r="G222" s="5" t="str">
        <f>IF($A222="","",IFERROR(INDEX('Stok Durumu'!$G$5:$G$300,MATCH($A222,'Stok Durumu'!$A$5:$A$300,0)),""))</f>
        <v/>
      </c>
    </row>
    <row r="223" spans="1:7" x14ac:dyDescent="0.3">
      <c r="A223" s="5" t="str">
        <f>IF('Malzeme Tanımlama'!A221="","",IF('Malzeme Tanımlama'!C221=$B$4,'Malzeme Tanımlama'!A221,""))</f>
        <v/>
      </c>
      <c r="B223" s="5" t="str">
        <f>IF($A223="","",'Malzeme Tanımlama'!B221)</f>
        <v/>
      </c>
      <c r="C223" s="5" t="str">
        <f>IF($A223="","",'Malzeme Tanımlama'!D221)</f>
        <v/>
      </c>
      <c r="D223" s="5" t="str">
        <f>IF($A223="","",SUMIFS('Stok Hareketleri'!$G$5:$G$2000,'Stok Hareketleri'!$D$5:$D$2000,$A223,'Stok Hareketleri'!$F$5:$F$2000,"Giriş",'Stok Hareketleri'!$C$5:$C$2000,$E$4))</f>
        <v/>
      </c>
      <c r="E223" s="5" t="str">
        <f>IF($A223="","",SUMIFS('Stok Hareketleri'!$G$5:$G$2000,'Stok Hareketleri'!$D$5:$D$2000,$A223,'Stok Hareketleri'!$F$5:$F$2000,"Çıkış",'Stok Hareketleri'!$C$5:$C$2000,$E$4))</f>
        <v/>
      </c>
      <c r="F223" s="5" t="str">
        <f t="shared" si="3"/>
        <v/>
      </c>
      <c r="G223" s="5" t="str">
        <f>IF($A223="","",IFERROR(INDEX('Stok Durumu'!$G$5:$G$300,MATCH($A223,'Stok Durumu'!$A$5:$A$300,0)),""))</f>
        <v/>
      </c>
    </row>
    <row r="224" spans="1:7" x14ac:dyDescent="0.3">
      <c r="A224" s="5" t="str">
        <f>IF('Malzeme Tanımlama'!A222="","",IF('Malzeme Tanımlama'!C222=$B$4,'Malzeme Tanımlama'!A222,""))</f>
        <v/>
      </c>
      <c r="B224" s="5" t="str">
        <f>IF($A224="","",'Malzeme Tanımlama'!B222)</f>
        <v/>
      </c>
      <c r="C224" s="5" t="str">
        <f>IF($A224="","",'Malzeme Tanımlama'!D222)</f>
        <v/>
      </c>
      <c r="D224" s="5" t="str">
        <f>IF($A224="","",SUMIFS('Stok Hareketleri'!$G$5:$G$2000,'Stok Hareketleri'!$D$5:$D$2000,$A224,'Stok Hareketleri'!$F$5:$F$2000,"Giriş",'Stok Hareketleri'!$C$5:$C$2000,$E$4))</f>
        <v/>
      </c>
      <c r="E224" s="5" t="str">
        <f>IF($A224="","",SUMIFS('Stok Hareketleri'!$G$5:$G$2000,'Stok Hareketleri'!$D$5:$D$2000,$A224,'Stok Hareketleri'!$F$5:$F$2000,"Çıkış",'Stok Hareketleri'!$C$5:$C$2000,$E$4))</f>
        <v/>
      </c>
      <c r="F224" s="5" t="str">
        <f t="shared" si="3"/>
        <v/>
      </c>
      <c r="G224" s="5" t="str">
        <f>IF($A224="","",IFERROR(INDEX('Stok Durumu'!$G$5:$G$300,MATCH($A224,'Stok Durumu'!$A$5:$A$300,0)),""))</f>
        <v/>
      </c>
    </row>
    <row r="225" spans="1:7" x14ac:dyDescent="0.3">
      <c r="A225" s="5" t="str">
        <f>IF('Malzeme Tanımlama'!A223="","",IF('Malzeme Tanımlama'!C223=$B$4,'Malzeme Tanımlama'!A223,""))</f>
        <v/>
      </c>
      <c r="B225" s="5" t="str">
        <f>IF($A225="","",'Malzeme Tanımlama'!B223)</f>
        <v/>
      </c>
      <c r="C225" s="5" t="str">
        <f>IF($A225="","",'Malzeme Tanımlama'!D223)</f>
        <v/>
      </c>
      <c r="D225" s="5" t="str">
        <f>IF($A225="","",SUMIFS('Stok Hareketleri'!$G$5:$G$2000,'Stok Hareketleri'!$D$5:$D$2000,$A225,'Stok Hareketleri'!$F$5:$F$2000,"Giriş",'Stok Hareketleri'!$C$5:$C$2000,$E$4))</f>
        <v/>
      </c>
      <c r="E225" s="5" t="str">
        <f>IF($A225="","",SUMIFS('Stok Hareketleri'!$G$5:$G$2000,'Stok Hareketleri'!$D$5:$D$2000,$A225,'Stok Hareketleri'!$F$5:$F$2000,"Çıkış",'Stok Hareketleri'!$C$5:$C$2000,$E$4))</f>
        <v/>
      </c>
      <c r="F225" s="5" t="str">
        <f t="shared" si="3"/>
        <v/>
      </c>
      <c r="G225" s="5" t="str">
        <f>IF($A225="","",IFERROR(INDEX('Stok Durumu'!$G$5:$G$300,MATCH($A225,'Stok Durumu'!$A$5:$A$300,0)),""))</f>
        <v/>
      </c>
    </row>
    <row r="226" spans="1:7" x14ac:dyDescent="0.3">
      <c r="A226" s="5" t="str">
        <f>IF('Malzeme Tanımlama'!A224="","",IF('Malzeme Tanımlama'!C224=$B$4,'Malzeme Tanımlama'!A224,""))</f>
        <v/>
      </c>
      <c r="B226" s="5" t="str">
        <f>IF($A226="","",'Malzeme Tanımlama'!B224)</f>
        <v/>
      </c>
      <c r="C226" s="5" t="str">
        <f>IF($A226="","",'Malzeme Tanımlama'!D224)</f>
        <v/>
      </c>
      <c r="D226" s="5" t="str">
        <f>IF($A226="","",SUMIFS('Stok Hareketleri'!$G$5:$G$2000,'Stok Hareketleri'!$D$5:$D$2000,$A226,'Stok Hareketleri'!$F$5:$F$2000,"Giriş",'Stok Hareketleri'!$C$5:$C$2000,$E$4))</f>
        <v/>
      </c>
      <c r="E226" s="5" t="str">
        <f>IF($A226="","",SUMIFS('Stok Hareketleri'!$G$5:$G$2000,'Stok Hareketleri'!$D$5:$D$2000,$A226,'Stok Hareketleri'!$F$5:$F$2000,"Çıkış",'Stok Hareketleri'!$C$5:$C$2000,$E$4))</f>
        <v/>
      </c>
      <c r="F226" s="5" t="str">
        <f t="shared" si="3"/>
        <v/>
      </c>
      <c r="G226" s="5" t="str">
        <f>IF($A226="","",IFERROR(INDEX('Stok Durumu'!$G$5:$G$300,MATCH($A226,'Stok Durumu'!$A$5:$A$300,0)),""))</f>
        <v/>
      </c>
    </row>
    <row r="227" spans="1:7" x14ac:dyDescent="0.3">
      <c r="A227" s="5" t="str">
        <f>IF('Malzeme Tanımlama'!A225="","",IF('Malzeme Tanımlama'!C225=$B$4,'Malzeme Tanımlama'!A225,""))</f>
        <v/>
      </c>
      <c r="B227" s="5" t="str">
        <f>IF($A227="","",'Malzeme Tanımlama'!B225)</f>
        <v/>
      </c>
      <c r="C227" s="5" t="str">
        <f>IF($A227="","",'Malzeme Tanımlama'!D225)</f>
        <v/>
      </c>
      <c r="D227" s="5" t="str">
        <f>IF($A227="","",SUMIFS('Stok Hareketleri'!$G$5:$G$2000,'Stok Hareketleri'!$D$5:$D$2000,$A227,'Stok Hareketleri'!$F$5:$F$2000,"Giriş",'Stok Hareketleri'!$C$5:$C$2000,$E$4))</f>
        <v/>
      </c>
      <c r="E227" s="5" t="str">
        <f>IF($A227="","",SUMIFS('Stok Hareketleri'!$G$5:$G$2000,'Stok Hareketleri'!$D$5:$D$2000,$A227,'Stok Hareketleri'!$F$5:$F$2000,"Çıkış",'Stok Hareketleri'!$C$5:$C$2000,$E$4))</f>
        <v/>
      </c>
      <c r="F227" s="5" t="str">
        <f t="shared" si="3"/>
        <v/>
      </c>
      <c r="G227" s="5" t="str">
        <f>IF($A227="","",IFERROR(INDEX('Stok Durumu'!$G$5:$G$300,MATCH($A227,'Stok Durumu'!$A$5:$A$300,0)),""))</f>
        <v/>
      </c>
    </row>
    <row r="228" spans="1:7" x14ac:dyDescent="0.3">
      <c r="A228" s="5" t="str">
        <f>IF('Malzeme Tanımlama'!A226="","",IF('Malzeme Tanımlama'!C226=$B$4,'Malzeme Tanımlama'!A226,""))</f>
        <v/>
      </c>
      <c r="B228" s="5" t="str">
        <f>IF($A228="","",'Malzeme Tanımlama'!B226)</f>
        <v/>
      </c>
      <c r="C228" s="5" t="str">
        <f>IF($A228="","",'Malzeme Tanımlama'!D226)</f>
        <v/>
      </c>
      <c r="D228" s="5" t="str">
        <f>IF($A228="","",SUMIFS('Stok Hareketleri'!$G$5:$G$2000,'Stok Hareketleri'!$D$5:$D$2000,$A228,'Stok Hareketleri'!$F$5:$F$2000,"Giriş",'Stok Hareketleri'!$C$5:$C$2000,$E$4))</f>
        <v/>
      </c>
      <c r="E228" s="5" t="str">
        <f>IF($A228="","",SUMIFS('Stok Hareketleri'!$G$5:$G$2000,'Stok Hareketleri'!$D$5:$D$2000,$A228,'Stok Hareketleri'!$F$5:$F$2000,"Çıkış",'Stok Hareketleri'!$C$5:$C$2000,$E$4))</f>
        <v/>
      </c>
      <c r="F228" s="5" t="str">
        <f t="shared" si="3"/>
        <v/>
      </c>
      <c r="G228" s="5" t="str">
        <f>IF($A228="","",IFERROR(INDEX('Stok Durumu'!$G$5:$G$300,MATCH($A228,'Stok Durumu'!$A$5:$A$300,0)),""))</f>
        <v/>
      </c>
    </row>
    <row r="229" spans="1:7" x14ac:dyDescent="0.3">
      <c r="A229" s="5" t="str">
        <f>IF('Malzeme Tanımlama'!A227="","",IF('Malzeme Tanımlama'!C227=$B$4,'Malzeme Tanımlama'!A227,""))</f>
        <v/>
      </c>
      <c r="B229" s="5" t="str">
        <f>IF($A229="","",'Malzeme Tanımlama'!B227)</f>
        <v/>
      </c>
      <c r="C229" s="5" t="str">
        <f>IF($A229="","",'Malzeme Tanımlama'!D227)</f>
        <v/>
      </c>
      <c r="D229" s="5" t="str">
        <f>IF($A229="","",SUMIFS('Stok Hareketleri'!$G$5:$G$2000,'Stok Hareketleri'!$D$5:$D$2000,$A229,'Stok Hareketleri'!$F$5:$F$2000,"Giriş",'Stok Hareketleri'!$C$5:$C$2000,$E$4))</f>
        <v/>
      </c>
      <c r="E229" s="5" t="str">
        <f>IF($A229="","",SUMIFS('Stok Hareketleri'!$G$5:$G$2000,'Stok Hareketleri'!$D$5:$D$2000,$A229,'Stok Hareketleri'!$F$5:$F$2000,"Çıkış",'Stok Hareketleri'!$C$5:$C$2000,$E$4))</f>
        <v/>
      </c>
      <c r="F229" s="5" t="str">
        <f t="shared" si="3"/>
        <v/>
      </c>
      <c r="G229" s="5" t="str">
        <f>IF($A229="","",IFERROR(INDEX('Stok Durumu'!$G$5:$G$300,MATCH($A229,'Stok Durumu'!$A$5:$A$300,0)),""))</f>
        <v/>
      </c>
    </row>
    <row r="230" spans="1:7" x14ac:dyDescent="0.3">
      <c r="A230" s="5" t="str">
        <f>IF('Malzeme Tanımlama'!A228="","",IF('Malzeme Tanımlama'!C228=$B$4,'Malzeme Tanımlama'!A228,""))</f>
        <v/>
      </c>
      <c r="B230" s="5" t="str">
        <f>IF($A230="","",'Malzeme Tanımlama'!B228)</f>
        <v/>
      </c>
      <c r="C230" s="5" t="str">
        <f>IF($A230="","",'Malzeme Tanımlama'!D228)</f>
        <v/>
      </c>
      <c r="D230" s="5" t="str">
        <f>IF($A230="","",SUMIFS('Stok Hareketleri'!$G$5:$G$2000,'Stok Hareketleri'!$D$5:$D$2000,$A230,'Stok Hareketleri'!$F$5:$F$2000,"Giriş",'Stok Hareketleri'!$C$5:$C$2000,$E$4))</f>
        <v/>
      </c>
      <c r="E230" s="5" t="str">
        <f>IF($A230="","",SUMIFS('Stok Hareketleri'!$G$5:$G$2000,'Stok Hareketleri'!$D$5:$D$2000,$A230,'Stok Hareketleri'!$F$5:$F$2000,"Çıkış",'Stok Hareketleri'!$C$5:$C$2000,$E$4))</f>
        <v/>
      </c>
      <c r="F230" s="5" t="str">
        <f t="shared" si="3"/>
        <v/>
      </c>
      <c r="G230" s="5" t="str">
        <f>IF($A230="","",IFERROR(INDEX('Stok Durumu'!$G$5:$G$300,MATCH($A230,'Stok Durumu'!$A$5:$A$300,0)),""))</f>
        <v/>
      </c>
    </row>
    <row r="231" spans="1:7" x14ac:dyDescent="0.3">
      <c r="A231" s="5" t="str">
        <f>IF('Malzeme Tanımlama'!A229="","",IF('Malzeme Tanımlama'!C229=$B$4,'Malzeme Tanımlama'!A229,""))</f>
        <v/>
      </c>
      <c r="B231" s="5" t="str">
        <f>IF($A231="","",'Malzeme Tanımlama'!B229)</f>
        <v/>
      </c>
      <c r="C231" s="5" t="str">
        <f>IF($A231="","",'Malzeme Tanımlama'!D229)</f>
        <v/>
      </c>
      <c r="D231" s="5" t="str">
        <f>IF($A231="","",SUMIFS('Stok Hareketleri'!$G$5:$G$2000,'Stok Hareketleri'!$D$5:$D$2000,$A231,'Stok Hareketleri'!$F$5:$F$2000,"Giriş",'Stok Hareketleri'!$C$5:$C$2000,$E$4))</f>
        <v/>
      </c>
      <c r="E231" s="5" t="str">
        <f>IF($A231="","",SUMIFS('Stok Hareketleri'!$G$5:$G$2000,'Stok Hareketleri'!$D$5:$D$2000,$A231,'Stok Hareketleri'!$F$5:$F$2000,"Çıkış",'Stok Hareketleri'!$C$5:$C$2000,$E$4))</f>
        <v/>
      </c>
      <c r="F231" s="5" t="str">
        <f t="shared" si="3"/>
        <v/>
      </c>
      <c r="G231" s="5" t="str">
        <f>IF($A231="","",IFERROR(INDEX('Stok Durumu'!$G$5:$G$300,MATCH($A231,'Stok Durumu'!$A$5:$A$300,0)),""))</f>
        <v/>
      </c>
    </row>
    <row r="232" spans="1:7" x14ac:dyDescent="0.3">
      <c r="A232" s="5" t="str">
        <f>IF('Malzeme Tanımlama'!A230="","",IF('Malzeme Tanımlama'!C230=$B$4,'Malzeme Tanımlama'!A230,""))</f>
        <v/>
      </c>
      <c r="B232" s="5" t="str">
        <f>IF($A232="","",'Malzeme Tanımlama'!B230)</f>
        <v/>
      </c>
      <c r="C232" s="5" t="str">
        <f>IF($A232="","",'Malzeme Tanımlama'!D230)</f>
        <v/>
      </c>
      <c r="D232" s="5" t="str">
        <f>IF($A232="","",SUMIFS('Stok Hareketleri'!$G$5:$G$2000,'Stok Hareketleri'!$D$5:$D$2000,$A232,'Stok Hareketleri'!$F$5:$F$2000,"Giriş",'Stok Hareketleri'!$C$5:$C$2000,$E$4))</f>
        <v/>
      </c>
      <c r="E232" s="5" t="str">
        <f>IF($A232="","",SUMIFS('Stok Hareketleri'!$G$5:$G$2000,'Stok Hareketleri'!$D$5:$D$2000,$A232,'Stok Hareketleri'!$F$5:$F$2000,"Çıkış",'Stok Hareketleri'!$C$5:$C$2000,$E$4))</f>
        <v/>
      </c>
      <c r="F232" s="5" t="str">
        <f t="shared" si="3"/>
        <v/>
      </c>
      <c r="G232" s="5" t="str">
        <f>IF($A232="","",IFERROR(INDEX('Stok Durumu'!$G$5:$G$300,MATCH($A232,'Stok Durumu'!$A$5:$A$300,0)),""))</f>
        <v/>
      </c>
    </row>
    <row r="233" spans="1:7" x14ac:dyDescent="0.3">
      <c r="A233" s="5" t="str">
        <f>IF('Malzeme Tanımlama'!A231="","",IF('Malzeme Tanımlama'!C231=$B$4,'Malzeme Tanımlama'!A231,""))</f>
        <v/>
      </c>
      <c r="B233" s="5" t="str">
        <f>IF($A233="","",'Malzeme Tanımlama'!B231)</f>
        <v/>
      </c>
      <c r="C233" s="5" t="str">
        <f>IF($A233="","",'Malzeme Tanımlama'!D231)</f>
        <v/>
      </c>
      <c r="D233" s="5" t="str">
        <f>IF($A233="","",SUMIFS('Stok Hareketleri'!$G$5:$G$2000,'Stok Hareketleri'!$D$5:$D$2000,$A233,'Stok Hareketleri'!$F$5:$F$2000,"Giriş",'Stok Hareketleri'!$C$5:$C$2000,$E$4))</f>
        <v/>
      </c>
      <c r="E233" s="5" t="str">
        <f>IF($A233="","",SUMIFS('Stok Hareketleri'!$G$5:$G$2000,'Stok Hareketleri'!$D$5:$D$2000,$A233,'Stok Hareketleri'!$F$5:$F$2000,"Çıkış",'Stok Hareketleri'!$C$5:$C$2000,$E$4))</f>
        <v/>
      </c>
      <c r="F233" s="5" t="str">
        <f t="shared" si="3"/>
        <v/>
      </c>
      <c r="G233" s="5" t="str">
        <f>IF($A233="","",IFERROR(INDEX('Stok Durumu'!$G$5:$G$300,MATCH($A233,'Stok Durumu'!$A$5:$A$300,0)),""))</f>
        <v/>
      </c>
    </row>
    <row r="234" spans="1:7" x14ac:dyDescent="0.3">
      <c r="A234" s="5" t="str">
        <f>IF('Malzeme Tanımlama'!A232="","",IF('Malzeme Tanımlama'!C232=$B$4,'Malzeme Tanımlama'!A232,""))</f>
        <v/>
      </c>
      <c r="B234" s="5" t="str">
        <f>IF($A234="","",'Malzeme Tanımlama'!B232)</f>
        <v/>
      </c>
      <c r="C234" s="5" t="str">
        <f>IF($A234="","",'Malzeme Tanımlama'!D232)</f>
        <v/>
      </c>
      <c r="D234" s="5" t="str">
        <f>IF($A234="","",SUMIFS('Stok Hareketleri'!$G$5:$G$2000,'Stok Hareketleri'!$D$5:$D$2000,$A234,'Stok Hareketleri'!$F$5:$F$2000,"Giriş",'Stok Hareketleri'!$C$5:$C$2000,$E$4))</f>
        <v/>
      </c>
      <c r="E234" s="5" t="str">
        <f>IF($A234="","",SUMIFS('Stok Hareketleri'!$G$5:$G$2000,'Stok Hareketleri'!$D$5:$D$2000,$A234,'Stok Hareketleri'!$F$5:$F$2000,"Çıkış",'Stok Hareketleri'!$C$5:$C$2000,$E$4))</f>
        <v/>
      </c>
      <c r="F234" s="5" t="str">
        <f t="shared" si="3"/>
        <v/>
      </c>
      <c r="G234" s="5" t="str">
        <f>IF($A234="","",IFERROR(INDEX('Stok Durumu'!$G$5:$G$300,MATCH($A234,'Stok Durumu'!$A$5:$A$300,0)),""))</f>
        <v/>
      </c>
    </row>
    <row r="235" spans="1:7" x14ac:dyDescent="0.3">
      <c r="A235" s="5" t="str">
        <f>IF('Malzeme Tanımlama'!A233="","",IF('Malzeme Tanımlama'!C233=$B$4,'Malzeme Tanımlama'!A233,""))</f>
        <v/>
      </c>
      <c r="B235" s="5" t="str">
        <f>IF($A235="","",'Malzeme Tanımlama'!B233)</f>
        <v/>
      </c>
      <c r="C235" s="5" t="str">
        <f>IF($A235="","",'Malzeme Tanımlama'!D233)</f>
        <v/>
      </c>
      <c r="D235" s="5" t="str">
        <f>IF($A235="","",SUMIFS('Stok Hareketleri'!$G$5:$G$2000,'Stok Hareketleri'!$D$5:$D$2000,$A235,'Stok Hareketleri'!$F$5:$F$2000,"Giriş",'Stok Hareketleri'!$C$5:$C$2000,$E$4))</f>
        <v/>
      </c>
      <c r="E235" s="5" t="str">
        <f>IF($A235="","",SUMIFS('Stok Hareketleri'!$G$5:$G$2000,'Stok Hareketleri'!$D$5:$D$2000,$A235,'Stok Hareketleri'!$F$5:$F$2000,"Çıkış",'Stok Hareketleri'!$C$5:$C$2000,$E$4))</f>
        <v/>
      </c>
      <c r="F235" s="5" t="str">
        <f t="shared" si="3"/>
        <v/>
      </c>
      <c r="G235" s="5" t="str">
        <f>IF($A235="","",IFERROR(INDEX('Stok Durumu'!$G$5:$G$300,MATCH($A235,'Stok Durumu'!$A$5:$A$300,0)),""))</f>
        <v/>
      </c>
    </row>
    <row r="236" spans="1:7" x14ac:dyDescent="0.3">
      <c r="A236" s="5" t="str">
        <f>IF('Malzeme Tanımlama'!A234="","",IF('Malzeme Tanımlama'!C234=$B$4,'Malzeme Tanımlama'!A234,""))</f>
        <v/>
      </c>
      <c r="B236" s="5" t="str">
        <f>IF($A236="","",'Malzeme Tanımlama'!B234)</f>
        <v/>
      </c>
      <c r="C236" s="5" t="str">
        <f>IF($A236="","",'Malzeme Tanımlama'!D234)</f>
        <v/>
      </c>
      <c r="D236" s="5" t="str">
        <f>IF($A236="","",SUMIFS('Stok Hareketleri'!$G$5:$G$2000,'Stok Hareketleri'!$D$5:$D$2000,$A236,'Stok Hareketleri'!$F$5:$F$2000,"Giriş",'Stok Hareketleri'!$C$5:$C$2000,$E$4))</f>
        <v/>
      </c>
      <c r="E236" s="5" t="str">
        <f>IF($A236="","",SUMIFS('Stok Hareketleri'!$G$5:$G$2000,'Stok Hareketleri'!$D$5:$D$2000,$A236,'Stok Hareketleri'!$F$5:$F$2000,"Çıkış",'Stok Hareketleri'!$C$5:$C$2000,$E$4))</f>
        <v/>
      </c>
      <c r="F236" s="5" t="str">
        <f t="shared" si="3"/>
        <v/>
      </c>
      <c r="G236" s="5" t="str">
        <f>IF($A236="","",IFERROR(INDEX('Stok Durumu'!$G$5:$G$300,MATCH($A236,'Stok Durumu'!$A$5:$A$300,0)),""))</f>
        <v/>
      </c>
    </row>
    <row r="237" spans="1:7" x14ac:dyDescent="0.3">
      <c r="A237" s="5" t="str">
        <f>IF('Malzeme Tanımlama'!A235="","",IF('Malzeme Tanımlama'!C235=$B$4,'Malzeme Tanımlama'!A235,""))</f>
        <v/>
      </c>
      <c r="B237" s="5" t="str">
        <f>IF($A237="","",'Malzeme Tanımlama'!B235)</f>
        <v/>
      </c>
      <c r="C237" s="5" t="str">
        <f>IF($A237="","",'Malzeme Tanımlama'!D235)</f>
        <v/>
      </c>
      <c r="D237" s="5" t="str">
        <f>IF($A237="","",SUMIFS('Stok Hareketleri'!$G$5:$G$2000,'Stok Hareketleri'!$D$5:$D$2000,$A237,'Stok Hareketleri'!$F$5:$F$2000,"Giriş",'Stok Hareketleri'!$C$5:$C$2000,$E$4))</f>
        <v/>
      </c>
      <c r="E237" s="5" t="str">
        <f>IF($A237="","",SUMIFS('Stok Hareketleri'!$G$5:$G$2000,'Stok Hareketleri'!$D$5:$D$2000,$A237,'Stok Hareketleri'!$F$5:$F$2000,"Çıkış",'Stok Hareketleri'!$C$5:$C$2000,$E$4))</f>
        <v/>
      </c>
      <c r="F237" s="5" t="str">
        <f t="shared" si="3"/>
        <v/>
      </c>
      <c r="G237" s="5" t="str">
        <f>IF($A237="","",IFERROR(INDEX('Stok Durumu'!$G$5:$G$300,MATCH($A237,'Stok Durumu'!$A$5:$A$300,0)),""))</f>
        <v/>
      </c>
    </row>
    <row r="238" spans="1:7" x14ac:dyDescent="0.3">
      <c r="A238" s="5" t="str">
        <f>IF('Malzeme Tanımlama'!A236="","",IF('Malzeme Tanımlama'!C236=$B$4,'Malzeme Tanımlama'!A236,""))</f>
        <v/>
      </c>
      <c r="B238" s="5" t="str">
        <f>IF($A238="","",'Malzeme Tanımlama'!B236)</f>
        <v/>
      </c>
      <c r="C238" s="5" t="str">
        <f>IF($A238="","",'Malzeme Tanımlama'!D236)</f>
        <v/>
      </c>
      <c r="D238" s="5" t="str">
        <f>IF($A238="","",SUMIFS('Stok Hareketleri'!$G$5:$G$2000,'Stok Hareketleri'!$D$5:$D$2000,$A238,'Stok Hareketleri'!$F$5:$F$2000,"Giriş",'Stok Hareketleri'!$C$5:$C$2000,$E$4))</f>
        <v/>
      </c>
      <c r="E238" s="5" t="str">
        <f>IF($A238="","",SUMIFS('Stok Hareketleri'!$G$5:$G$2000,'Stok Hareketleri'!$D$5:$D$2000,$A238,'Stok Hareketleri'!$F$5:$F$2000,"Çıkış",'Stok Hareketleri'!$C$5:$C$2000,$E$4))</f>
        <v/>
      </c>
      <c r="F238" s="5" t="str">
        <f t="shared" si="3"/>
        <v/>
      </c>
      <c r="G238" s="5" t="str">
        <f>IF($A238="","",IFERROR(INDEX('Stok Durumu'!$G$5:$G$300,MATCH($A238,'Stok Durumu'!$A$5:$A$300,0)),""))</f>
        <v/>
      </c>
    </row>
    <row r="239" spans="1:7" x14ac:dyDescent="0.3">
      <c r="A239" s="5" t="str">
        <f>IF('Malzeme Tanımlama'!A237="","",IF('Malzeme Tanımlama'!C237=$B$4,'Malzeme Tanımlama'!A237,""))</f>
        <v/>
      </c>
      <c r="B239" s="5" t="str">
        <f>IF($A239="","",'Malzeme Tanımlama'!B237)</f>
        <v/>
      </c>
      <c r="C239" s="5" t="str">
        <f>IF($A239="","",'Malzeme Tanımlama'!D237)</f>
        <v/>
      </c>
      <c r="D239" s="5" t="str">
        <f>IF($A239="","",SUMIFS('Stok Hareketleri'!$G$5:$G$2000,'Stok Hareketleri'!$D$5:$D$2000,$A239,'Stok Hareketleri'!$F$5:$F$2000,"Giriş",'Stok Hareketleri'!$C$5:$C$2000,$E$4))</f>
        <v/>
      </c>
      <c r="E239" s="5" t="str">
        <f>IF($A239="","",SUMIFS('Stok Hareketleri'!$G$5:$G$2000,'Stok Hareketleri'!$D$5:$D$2000,$A239,'Stok Hareketleri'!$F$5:$F$2000,"Çıkış",'Stok Hareketleri'!$C$5:$C$2000,$E$4))</f>
        <v/>
      </c>
      <c r="F239" s="5" t="str">
        <f t="shared" si="3"/>
        <v/>
      </c>
      <c r="G239" s="5" t="str">
        <f>IF($A239="","",IFERROR(INDEX('Stok Durumu'!$G$5:$G$300,MATCH($A239,'Stok Durumu'!$A$5:$A$300,0)),""))</f>
        <v/>
      </c>
    </row>
    <row r="240" spans="1:7" x14ac:dyDescent="0.3">
      <c r="A240" s="5" t="str">
        <f>IF('Malzeme Tanımlama'!A238="","",IF('Malzeme Tanımlama'!C238=$B$4,'Malzeme Tanımlama'!A238,""))</f>
        <v/>
      </c>
      <c r="B240" s="5" t="str">
        <f>IF($A240="","",'Malzeme Tanımlama'!B238)</f>
        <v/>
      </c>
      <c r="C240" s="5" t="str">
        <f>IF($A240="","",'Malzeme Tanımlama'!D238)</f>
        <v/>
      </c>
      <c r="D240" s="5" t="str">
        <f>IF($A240="","",SUMIFS('Stok Hareketleri'!$G$5:$G$2000,'Stok Hareketleri'!$D$5:$D$2000,$A240,'Stok Hareketleri'!$F$5:$F$2000,"Giriş",'Stok Hareketleri'!$C$5:$C$2000,$E$4))</f>
        <v/>
      </c>
      <c r="E240" s="5" t="str">
        <f>IF($A240="","",SUMIFS('Stok Hareketleri'!$G$5:$G$2000,'Stok Hareketleri'!$D$5:$D$2000,$A240,'Stok Hareketleri'!$F$5:$F$2000,"Çıkış",'Stok Hareketleri'!$C$5:$C$2000,$E$4))</f>
        <v/>
      </c>
      <c r="F240" s="5" t="str">
        <f t="shared" si="3"/>
        <v/>
      </c>
      <c r="G240" s="5" t="str">
        <f>IF($A240="","",IFERROR(INDEX('Stok Durumu'!$G$5:$G$300,MATCH($A240,'Stok Durumu'!$A$5:$A$300,0)),""))</f>
        <v/>
      </c>
    </row>
    <row r="241" spans="1:7" x14ac:dyDescent="0.3">
      <c r="A241" s="5" t="str">
        <f>IF('Malzeme Tanımlama'!A239="","",IF('Malzeme Tanımlama'!C239=$B$4,'Malzeme Tanımlama'!A239,""))</f>
        <v/>
      </c>
      <c r="B241" s="5" t="str">
        <f>IF($A241="","",'Malzeme Tanımlama'!B239)</f>
        <v/>
      </c>
      <c r="C241" s="5" t="str">
        <f>IF($A241="","",'Malzeme Tanımlama'!D239)</f>
        <v/>
      </c>
      <c r="D241" s="5" t="str">
        <f>IF($A241="","",SUMIFS('Stok Hareketleri'!$G$5:$G$2000,'Stok Hareketleri'!$D$5:$D$2000,$A241,'Stok Hareketleri'!$F$5:$F$2000,"Giriş",'Stok Hareketleri'!$C$5:$C$2000,$E$4))</f>
        <v/>
      </c>
      <c r="E241" s="5" t="str">
        <f>IF($A241="","",SUMIFS('Stok Hareketleri'!$G$5:$G$2000,'Stok Hareketleri'!$D$5:$D$2000,$A241,'Stok Hareketleri'!$F$5:$F$2000,"Çıkış",'Stok Hareketleri'!$C$5:$C$2000,$E$4))</f>
        <v/>
      </c>
      <c r="F241" s="5" t="str">
        <f t="shared" si="3"/>
        <v/>
      </c>
      <c r="G241" s="5" t="str">
        <f>IF($A241="","",IFERROR(INDEX('Stok Durumu'!$G$5:$G$300,MATCH($A241,'Stok Durumu'!$A$5:$A$300,0)),""))</f>
        <v/>
      </c>
    </row>
    <row r="242" spans="1:7" x14ac:dyDescent="0.3">
      <c r="A242" s="5" t="str">
        <f>IF('Malzeme Tanımlama'!A240="","",IF('Malzeme Tanımlama'!C240=$B$4,'Malzeme Tanımlama'!A240,""))</f>
        <v/>
      </c>
      <c r="B242" s="5" t="str">
        <f>IF($A242="","",'Malzeme Tanımlama'!B240)</f>
        <v/>
      </c>
      <c r="C242" s="5" t="str">
        <f>IF($A242="","",'Malzeme Tanımlama'!D240)</f>
        <v/>
      </c>
      <c r="D242" s="5" t="str">
        <f>IF($A242="","",SUMIFS('Stok Hareketleri'!$G$5:$G$2000,'Stok Hareketleri'!$D$5:$D$2000,$A242,'Stok Hareketleri'!$F$5:$F$2000,"Giriş",'Stok Hareketleri'!$C$5:$C$2000,$E$4))</f>
        <v/>
      </c>
      <c r="E242" s="5" t="str">
        <f>IF($A242="","",SUMIFS('Stok Hareketleri'!$G$5:$G$2000,'Stok Hareketleri'!$D$5:$D$2000,$A242,'Stok Hareketleri'!$F$5:$F$2000,"Çıkış",'Stok Hareketleri'!$C$5:$C$2000,$E$4))</f>
        <v/>
      </c>
      <c r="F242" s="5" t="str">
        <f t="shared" si="3"/>
        <v/>
      </c>
      <c r="G242" s="5" t="str">
        <f>IF($A242="","",IFERROR(INDEX('Stok Durumu'!$G$5:$G$300,MATCH($A242,'Stok Durumu'!$A$5:$A$300,0)),""))</f>
        <v/>
      </c>
    </row>
    <row r="243" spans="1:7" x14ac:dyDescent="0.3">
      <c r="A243" s="5" t="str">
        <f>IF('Malzeme Tanımlama'!A241="","",IF('Malzeme Tanımlama'!C241=$B$4,'Malzeme Tanımlama'!A241,""))</f>
        <v/>
      </c>
      <c r="B243" s="5" t="str">
        <f>IF($A243="","",'Malzeme Tanımlama'!B241)</f>
        <v/>
      </c>
      <c r="C243" s="5" t="str">
        <f>IF($A243="","",'Malzeme Tanımlama'!D241)</f>
        <v/>
      </c>
      <c r="D243" s="5" t="str">
        <f>IF($A243="","",SUMIFS('Stok Hareketleri'!$G$5:$G$2000,'Stok Hareketleri'!$D$5:$D$2000,$A243,'Stok Hareketleri'!$F$5:$F$2000,"Giriş",'Stok Hareketleri'!$C$5:$C$2000,$E$4))</f>
        <v/>
      </c>
      <c r="E243" s="5" t="str">
        <f>IF($A243="","",SUMIFS('Stok Hareketleri'!$G$5:$G$2000,'Stok Hareketleri'!$D$5:$D$2000,$A243,'Stok Hareketleri'!$F$5:$F$2000,"Çıkış",'Stok Hareketleri'!$C$5:$C$2000,$E$4))</f>
        <v/>
      </c>
      <c r="F243" s="5" t="str">
        <f t="shared" si="3"/>
        <v/>
      </c>
      <c r="G243" s="5" t="str">
        <f>IF($A243="","",IFERROR(INDEX('Stok Durumu'!$G$5:$G$300,MATCH($A243,'Stok Durumu'!$A$5:$A$300,0)),""))</f>
        <v/>
      </c>
    </row>
    <row r="244" spans="1:7" x14ac:dyDescent="0.3">
      <c r="A244" s="5" t="str">
        <f>IF('Malzeme Tanımlama'!A242="","",IF('Malzeme Tanımlama'!C242=$B$4,'Malzeme Tanımlama'!A242,""))</f>
        <v/>
      </c>
      <c r="B244" s="5" t="str">
        <f>IF($A244="","",'Malzeme Tanımlama'!B242)</f>
        <v/>
      </c>
      <c r="C244" s="5" t="str">
        <f>IF($A244="","",'Malzeme Tanımlama'!D242)</f>
        <v/>
      </c>
      <c r="D244" s="5" t="str">
        <f>IF($A244="","",SUMIFS('Stok Hareketleri'!$G$5:$G$2000,'Stok Hareketleri'!$D$5:$D$2000,$A244,'Stok Hareketleri'!$F$5:$F$2000,"Giriş",'Stok Hareketleri'!$C$5:$C$2000,$E$4))</f>
        <v/>
      </c>
      <c r="E244" s="5" t="str">
        <f>IF($A244="","",SUMIFS('Stok Hareketleri'!$G$5:$G$2000,'Stok Hareketleri'!$D$5:$D$2000,$A244,'Stok Hareketleri'!$F$5:$F$2000,"Çıkış",'Stok Hareketleri'!$C$5:$C$2000,$E$4))</f>
        <v/>
      </c>
      <c r="F244" s="5" t="str">
        <f t="shared" si="3"/>
        <v/>
      </c>
      <c r="G244" s="5" t="str">
        <f>IF($A244="","",IFERROR(INDEX('Stok Durumu'!$G$5:$G$300,MATCH($A244,'Stok Durumu'!$A$5:$A$300,0)),""))</f>
        <v/>
      </c>
    </row>
    <row r="245" spans="1:7" x14ac:dyDescent="0.3">
      <c r="A245" s="5" t="str">
        <f>IF('Malzeme Tanımlama'!A243="","",IF('Malzeme Tanımlama'!C243=$B$4,'Malzeme Tanımlama'!A243,""))</f>
        <v/>
      </c>
      <c r="B245" s="5" t="str">
        <f>IF($A245="","",'Malzeme Tanımlama'!B243)</f>
        <v/>
      </c>
      <c r="C245" s="5" t="str">
        <f>IF($A245="","",'Malzeme Tanımlama'!D243)</f>
        <v/>
      </c>
      <c r="D245" s="5" t="str">
        <f>IF($A245="","",SUMIFS('Stok Hareketleri'!$G$5:$G$2000,'Stok Hareketleri'!$D$5:$D$2000,$A245,'Stok Hareketleri'!$F$5:$F$2000,"Giriş",'Stok Hareketleri'!$C$5:$C$2000,$E$4))</f>
        <v/>
      </c>
      <c r="E245" s="5" t="str">
        <f>IF($A245="","",SUMIFS('Stok Hareketleri'!$G$5:$G$2000,'Stok Hareketleri'!$D$5:$D$2000,$A245,'Stok Hareketleri'!$F$5:$F$2000,"Çıkış",'Stok Hareketleri'!$C$5:$C$2000,$E$4))</f>
        <v/>
      </c>
      <c r="F245" s="5" t="str">
        <f t="shared" si="3"/>
        <v/>
      </c>
      <c r="G245" s="5" t="str">
        <f>IF($A245="","",IFERROR(INDEX('Stok Durumu'!$G$5:$G$300,MATCH($A245,'Stok Durumu'!$A$5:$A$300,0)),""))</f>
        <v/>
      </c>
    </row>
    <row r="246" spans="1:7" x14ac:dyDescent="0.3">
      <c r="A246" s="5" t="str">
        <f>IF('Malzeme Tanımlama'!A244="","",IF('Malzeme Tanımlama'!C244=$B$4,'Malzeme Tanımlama'!A244,""))</f>
        <v/>
      </c>
      <c r="B246" s="5" t="str">
        <f>IF($A246="","",'Malzeme Tanımlama'!B244)</f>
        <v/>
      </c>
      <c r="C246" s="5" t="str">
        <f>IF($A246="","",'Malzeme Tanımlama'!D244)</f>
        <v/>
      </c>
      <c r="D246" s="5" t="str">
        <f>IF($A246="","",SUMIFS('Stok Hareketleri'!$G$5:$G$2000,'Stok Hareketleri'!$D$5:$D$2000,$A246,'Stok Hareketleri'!$F$5:$F$2000,"Giriş",'Stok Hareketleri'!$C$5:$C$2000,$E$4))</f>
        <v/>
      </c>
      <c r="E246" s="5" t="str">
        <f>IF($A246="","",SUMIFS('Stok Hareketleri'!$G$5:$G$2000,'Stok Hareketleri'!$D$5:$D$2000,$A246,'Stok Hareketleri'!$F$5:$F$2000,"Çıkış",'Stok Hareketleri'!$C$5:$C$2000,$E$4))</f>
        <v/>
      </c>
      <c r="F246" s="5" t="str">
        <f t="shared" si="3"/>
        <v/>
      </c>
      <c r="G246" s="5" t="str">
        <f>IF($A246="","",IFERROR(INDEX('Stok Durumu'!$G$5:$G$300,MATCH($A246,'Stok Durumu'!$A$5:$A$300,0)),""))</f>
        <v/>
      </c>
    </row>
    <row r="247" spans="1:7" x14ac:dyDescent="0.3">
      <c r="A247" s="5" t="str">
        <f>IF('Malzeme Tanımlama'!A245="","",IF('Malzeme Tanımlama'!C245=$B$4,'Malzeme Tanımlama'!A245,""))</f>
        <v/>
      </c>
      <c r="B247" s="5" t="str">
        <f>IF($A247="","",'Malzeme Tanımlama'!B245)</f>
        <v/>
      </c>
      <c r="C247" s="5" t="str">
        <f>IF($A247="","",'Malzeme Tanımlama'!D245)</f>
        <v/>
      </c>
      <c r="D247" s="5" t="str">
        <f>IF($A247="","",SUMIFS('Stok Hareketleri'!$G$5:$G$2000,'Stok Hareketleri'!$D$5:$D$2000,$A247,'Stok Hareketleri'!$F$5:$F$2000,"Giriş",'Stok Hareketleri'!$C$5:$C$2000,$E$4))</f>
        <v/>
      </c>
      <c r="E247" s="5" t="str">
        <f>IF($A247="","",SUMIFS('Stok Hareketleri'!$G$5:$G$2000,'Stok Hareketleri'!$D$5:$D$2000,$A247,'Stok Hareketleri'!$F$5:$F$2000,"Çıkış",'Stok Hareketleri'!$C$5:$C$2000,$E$4))</f>
        <v/>
      </c>
      <c r="F247" s="5" t="str">
        <f t="shared" si="3"/>
        <v/>
      </c>
      <c r="G247" s="5" t="str">
        <f>IF($A247="","",IFERROR(INDEX('Stok Durumu'!$G$5:$G$300,MATCH($A247,'Stok Durumu'!$A$5:$A$300,0)),""))</f>
        <v/>
      </c>
    </row>
    <row r="248" spans="1:7" x14ac:dyDescent="0.3">
      <c r="A248" s="5" t="str">
        <f>IF('Malzeme Tanımlama'!A246="","",IF('Malzeme Tanımlama'!C246=$B$4,'Malzeme Tanımlama'!A246,""))</f>
        <v/>
      </c>
      <c r="B248" s="5" t="str">
        <f>IF($A248="","",'Malzeme Tanımlama'!B246)</f>
        <v/>
      </c>
      <c r="C248" s="5" t="str">
        <f>IF($A248="","",'Malzeme Tanımlama'!D246)</f>
        <v/>
      </c>
      <c r="D248" s="5" t="str">
        <f>IF($A248="","",SUMIFS('Stok Hareketleri'!$G$5:$G$2000,'Stok Hareketleri'!$D$5:$D$2000,$A248,'Stok Hareketleri'!$F$5:$F$2000,"Giriş",'Stok Hareketleri'!$C$5:$C$2000,$E$4))</f>
        <v/>
      </c>
      <c r="E248" s="5" t="str">
        <f>IF($A248="","",SUMIFS('Stok Hareketleri'!$G$5:$G$2000,'Stok Hareketleri'!$D$5:$D$2000,$A248,'Stok Hareketleri'!$F$5:$F$2000,"Çıkış",'Stok Hareketleri'!$C$5:$C$2000,$E$4))</f>
        <v/>
      </c>
      <c r="F248" s="5" t="str">
        <f t="shared" si="3"/>
        <v/>
      </c>
      <c r="G248" s="5" t="str">
        <f>IF($A248="","",IFERROR(INDEX('Stok Durumu'!$G$5:$G$300,MATCH($A248,'Stok Durumu'!$A$5:$A$300,0)),""))</f>
        <v/>
      </c>
    </row>
    <row r="249" spans="1:7" x14ac:dyDescent="0.3">
      <c r="A249" s="5" t="str">
        <f>IF('Malzeme Tanımlama'!A247="","",IF('Malzeme Tanımlama'!C247=$B$4,'Malzeme Tanımlama'!A247,""))</f>
        <v/>
      </c>
      <c r="B249" s="5" t="str">
        <f>IF($A249="","",'Malzeme Tanımlama'!B247)</f>
        <v/>
      </c>
      <c r="C249" s="5" t="str">
        <f>IF($A249="","",'Malzeme Tanımlama'!D247)</f>
        <v/>
      </c>
      <c r="D249" s="5" t="str">
        <f>IF($A249="","",SUMIFS('Stok Hareketleri'!$G$5:$G$2000,'Stok Hareketleri'!$D$5:$D$2000,$A249,'Stok Hareketleri'!$F$5:$F$2000,"Giriş",'Stok Hareketleri'!$C$5:$C$2000,$E$4))</f>
        <v/>
      </c>
      <c r="E249" s="5" t="str">
        <f>IF($A249="","",SUMIFS('Stok Hareketleri'!$G$5:$G$2000,'Stok Hareketleri'!$D$5:$D$2000,$A249,'Stok Hareketleri'!$F$5:$F$2000,"Çıkış",'Stok Hareketleri'!$C$5:$C$2000,$E$4))</f>
        <v/>
      </c>
      <c r="F249" s="5" t="str">
        <f t="shared" si="3"/>
        <v/>
      </c>
      <c r="G249" s="5" t="str">
        <f>IF($A249="","",IFERROR(INDEX('Stok Durumu'!$G$5:$G$300,MATCH($A249,'Stok Durumu'!$A$5:$A$300,0)),""))</f>
        <v/>
      </c>
    </row>
    <row r="250" spans="1:7" x14ac:dyDescent="0.3">
      <c r="A250" s="5" t="str">
        <f>IF('Malzeme Tanımlama'!A248="","",IF('Malzeme Tanımlama'!C248=$B$4,'Malzeme Tanımlama'!A248,""))</f>
        <v/>
      </c>
      <c r="B250" s="5" t="str">
        <f>IF($A250="","",'Malzeme Tanımlama'!B248)</f>
        <v/>
      </c>
      <c r="C250" s="5" t="str">
        <f>IF($A250="","",'Malzeme Tanımlama'!D248)</f>
        <v/>
      </c>
      <c r="D250" s="5" t="str">
        <f>IF($A250="","",SUMIFS('Stok Hareketleri'!$G$5:$G$2000,'Stok Hareketleri'!$D$5:$D$2000,$A250,'Stok Hareketleri'!$F$5:$F$2000,"Giriş",'Stok Hareketleri'!$C$5:$C$2000,$E$4))</f>
        <v/>
      </c>
      <c r="E250" s="5" t="str">
        <f>IF($A250="","",SUMIFS('Stok Hareketleri'!$G$5:$G$2000,'Stok Hareketleri'!$D$5:$D$2000,$A250,'Stok Hareketleri'!$F$5:$F$2000,"Çıkış",'Stok Hareketleri'!$C$5:$C$2000,$E$4))</f>
        <v/>
      </c>
      <c r="F250" s="5" t="str">
        <f t="shared" si="3"/>
        <v/>
      </c>
      <c r="G250" s="5" t="str">
        <f>IF($A250="","",IFERROR(INDEX('Stok Durumu'!$G$5:$G$300,MATCH($A250,'Stok Durumu'!$A$5:$A$300,0)),""))</f>
        <v/>
      </c>
    </row>
    <row r="251" spans="1:7" x14ac:dyDescent="0.3">
      <c r="A251" s="5" t="str">
        <f>IF('Malzeme Tanımlama'!A249="","",IF('Malzeme Tanımlama'!C249=$B$4,'Malzeme Tanımlama'!A249,""))</f>
        <v/>
      </c>
      <c r="B251" s="5" t="str">
        <f>IF($A251="","",'Malzeme Tanımlama'!B249)</f>
        <v/>
      </c>
      <c r="C251" s="5" t="str">
        <f>IF($A251="","",'Malzeme Tanımlama'!D249)</f>
        <v/>
      </c>
      <c r="D251" s="5" t="str">
        <f>IF($A251="","",SUMIFS('Stok Hareketleri'!$G$5:$G$2000,'Stok Hareketleri'!$D$5:$D$2000,$A251,'Stok Hareketleri'!$F$5:$F$2000,"Giriş",'Stok Hareketleri'!$C$5:$C$2000,$E$4))</f>
        <v/>
      </c>
      <c r="E251" s="5" t="str">
        <f>IF($A251="","",SUMIFS('Stok Hareketleri'!$G$5:$G$2000,'Stok Hareketleri'!$D$5:$D$2000,$A251,'Stok Hareketleri'!$F$5:$F$2000,"Çıkış",'Stok Hareketleri'!$C$5:$C$2000,$E$4))</f>
        <v/>
      </c>
      <c r="F251" s="5" t="str">
        <f t="shared" si="3"/>
        <v/>
      </c>
      <c r="G251" s="5" t="str">
        <f>IF($A251="","",IFERROR(INDEX('Stok Durumu'!$G$5:$G$300,MATCH($A251,'Stok Durumu'!$A$5:$A$300,0)),""))</f>
        <v/>
      </c>
    </row>
    <row r="252" spans="1:7" x14ac:dyDescent="0.3">
      <c r="A252" s="5" t="str">
        <f>IF('Malzeme Tanımlama'!A250="","",IF('Malzeme Tanımlama'!C250=$B$4,'Malzeme Tanımlama'!A250,""))</f>
        <v/>
      </c>
      <c r="B252" s="5" t="str">
        <f>IF($A252="","",'Malzeme Tanımlama'!B250)</f>
        <v/>
      </c>
      <c r="C252" s="5" t="str">
        <f>IF($A252="","",'Malzeme Tanımlama'!D250)</f>
        <v/>
      </c>
      <c r="D252" s="5" t="str">
        <f>IF($A252="","",SUMIFS('Stok Hareketleri'!$G$5:$G$2000,'Stok Hareketleri'!$D$5:$D$2000,$A252,'Stok Hareketleri'!$F$5:$F$2000,"Giriş",'Stok Hareketleri'!$C$5:$C$2000,$E$4))</f>
        <v/>
      </c>
      <c r="E252" s="5" t="str">
        <f>IF($A252="","",SUMIFS('Stok Hareketleri'!$G$5:$G$2000,'Stok Hareketleri'!$D$5:$D$2000,$A252,'Stok Hareketleri'!$F$5:$F$2000,"Çıkış",'Stok Hareketleri'!$C$5:$C$2000,$E$4))</f>
        <v/>
      </c>
      <c r="F252" s="5" t="str">
        <f t="shared" si="3"/>
        <v/>
      </c>
      <c r="G252" s="5" t="str">
        <f>IF($A252="","",IFERROR(INDEX('Stok Durumu'!$G$5:$G$300,MATCH($A252,'Stok Durumu'!$A$5:$A$300,0)),""))</f>
        <v/>
      </c>
    </row>
    <row r="253" spans="1:7" x14ac:dyDescent="0.3">
      <c r="A253" s="5" t="str">
        <f>IF('Malzeme Tanımlama'!A251="","",IF('Malzeme Tanımlama'!C251=$B$4,'Malzeme Tanımlama'!A251,""))</f>
        <v/>
      </c>
      <c r="B253" s="5" t="str">
        <f>IF($A253="","",'Malzeme Tanımlama'!B251)</f>
        <v/>
      </c>
      <c r="C253" s="5" t="str">
        <f>IF($A253="","",'Malzeme Tanımlama'!D251)</f>
        <v/>
      </c>
      <c r="D253" s="5" t="str">
        <f>IF($A253="","",SUMIFS('Stok Hareketleri'!$G$5:$G$2000,'Stok Hareketleri'!$D$5:$D$2000,$A253,'Stok Hareketleri'!$F$5:$F$2000,"Giriş",'Stok Hareketleri'!$C$5:$C$2000,$E$4))</f>
        <v/>
      </c>
      <c r="E253" s="5" t="str">
        <f>IF($A253="","",SUMIFS('Stok Hareketleri'!$G$5:$G$2000,'Stok Hareketleri'!$D$5:$D$2000,$A253,'Stok Hareketleri'!$F$5:$F$2000,"Çıkış",'Stok Hareketleri'!$C$5:$C$2000,$E$4))</f>
        <v/>
      </c>
      <c r="F253" s="5" t="str">
        <f t="shared" si="3"/>
        <v/>
      </c>
      <c r="G253" s="5" t="str">
        <f>IF($A253="","",IFERROR(INDEX('Stok Durumu'!$G$5:$G$300,MATCH($A253,'Stok Durumu'!$A$5:$A$300,0)),""))</f>
        <v/>
      </c>
    </row>
    <row r="254" spans="1:7" x14ac:dyDescent="0.3">
      <c r="A254" s="5" t="str">
        <f>IF('Malzeme Tanımlama'!A252="","",IF('Malzeme Tanımlama'!C252=$B$4,'Malzeme Tanımlama'!A252,""))</f>
        <v/>
      </c>
      <c r="B254" s="5" t="str">
        <f>IF($A254="","",'Malzeme Tanımlama'!B252)</f>
        <v/>
      </c>
      <c r="C254" s="5" t="str">
        <f>IF($A254="","",'Malzeme Tanımlama'!D252)</f>
        <v/>
      </c>
      <c r="D254" s="5" t="str">
        <f>IF($A254="","",SUMIFS('Stok Hareketleri'!$G$5:$G$2000,'Stok Hareketleri'!$D$5:$D$2000,$A254,'Stok Hareketleri'!$F$5:$F$2000,"Giriş",'Stok Hareketleri'!$C$5:$C$2000,$E$4))</f>
        <v/>
      </c>
      <c r="E254" s="5" t="str">
        <f>IF($A254="","",SUMIFS('Stok Hareketleri'!$G$5:$G$2000,'Stok Hareketleri'!$D$5:$D$2000,$A254,'Stok Hareketleri'!$F$5:$F$2000,"Çıkış",'Stok Hareketleri'!$C$5:$C$2000,$E$4))</f>
        <v/>
      </c>
      <c r="F254" s="5" t="str">
        <f t="shared" si="3"/>
        <v/>
      </c>
      <c r="G254" s="5" t="str">
        <f>IF($A254="","",IFERROR(INDEX('Stok Durumu'!$G$5:$G$300,MATCH($A254,'Stok Durumu'!$A$5:$A$300,0)),""))</f>
        <v/>
      </c>
    </row>
    <row r="255" spans="1:7" x14ac:dyDescent="0.3">
      <c r="A255" s="5" t="str">
        <f>IF('Malzeme Tanımlama'!A253="","",IF('Malzeme Tanımlama'!C253=$B$4,'Malzeme Tanımlama'!A253,""))</f>
        <v/>
      </c>
      <c r="B255" s="5" t="str">
        <f>IF($A255="","",'Malzeme Tanımlama'!B253)</f>
        <v/>
      </c>
      <c r="C255" s="5" t="str">
        <f>IF($A255="","",'Malzeme Tanımlama'!D253)</f>
        <v/>
      </c>
      <c r="D255" s="5" t="str">
        <f>IF($A255="","",SUMIFS('Stok Hareketleri'!$G$5:$G$2000,'Stok Hareketleri'!$D$5:$D$2000,$A255,'Stok Hareketleri'!$F$5:$F$2000,"Giriş",'Stok Hareketleri'!$C$5:$C$2000,$E$4))</f>
        <v/>
      </c>
      <c r="E255" s="5" t="str">
        <f>IF($A255="","",SUMIFS('Stok Hareketleri'!$G$5:$G$2000,'Stok Hareketleri'!$D$5:$D$2000,$A255,'Stok Hareketleri'!$F$5:$F$2000,"Çıkış",'Stok Hareketleri'!$C$5:$C$2000,$E$4))</f>
        <v/>
      </c>
      <c r="F255" s="5" t="str">
        <f t="shared" si="3"/>
        <v/>
      </c>
      <c r="G255" s="5" t="str">
        <f>IF($A255="","",IFERROR(INDEX('Stok Durumu'!$G$5:$G$300,MATCH($A255,'Stok Durumu'!$A$5:$A$300,0)),""))</f>
        <v/>
      </c>
    </row>
    <row r="256" spans="1:7" x14ac:dyDescent="0.3">
      <c r="A256" s="5" t="str">
        <f>IF('Malzeme Tanımlama'!A254="","",IF('Malzeme Tanımlama'!C254=$B$4,'Malzeme Tanımlama'!A254,""))</f>
        <v/>
      </c>
      <c r="B256" s="5" t="str">
        <f>IF($A256="","",'Malzeme Tanımlama'!B254)</f>
        <v/>
      </c>
      <c r="C256" s="5" t="str">
        <f>IF($A256="","",'Malzeme Tanımlama'!D254)</f>
        <v/>
      </c>
      <c r="D256" s="5" t="str">
        <f>IF($A256="","",SUMIFS('Stok Hareketleri'!$G$5:$G$2000,'Stok Hareketleri'!$D$5:$D$2000,$A256,'Stok Hareketleri'!$F$5:$F$2000,"Giriş",'Stok Hareketleri'!$C$5:$C$2000,$E$4))</f>
        <v/>
      </c>
      <c r="E256" s="5" t="str">
        <f>IF($A256="","",SUMIFS('Stok Hareketleri'!$G$5:$G$2000,'Stok Hareketleri'!$D$5:$D$2000,$A256,'Stok Hareketleri'!$F$5:$F$2000,"Çıkış",'Stok Hareketleri'!$C$5:$C$2000,$E$4))</f>
        <v/>
      </c>
      <c r="F256" s="5" t="str">
        <f t="shared" si="3"/>
        <v/>
      </c>
      <c r="G256" s="5" t="str">
        <f>IF($A256="","",IFERROR(INDEX('Stok Durumu'!$G$5:$G$300,MATCH($A256,'Stok Durumu'!$A$5:$A$300,0)),""))</f>
        <v/>
      </c>
    </row>
    <row r="257" spans="1:7" x14ac:dyDescent="0.3">
      <c r="A257" s="5" t="str">
        <f>IF('Malzeme Tanımlama'!A255="","",IF('Malzeme Tanımlama'!C255=$B$4,'Malzeme Tanımlama'!A255,""))</f>
        <v/>
      </c>
      <c r="B257" s="5" t="str">
        <f>IF($A257="","",'Malzeme Tanımlama'!B255)</f>
        <v/>
      </c>
      <c r="C257" s="5" t="str">
        <f>IF($A257="","",'Malzeme Tanımlama'!D255)</f>
        <v/>
      </c>
      <c r="D257" s="5" t="str">
        <f>IF($A257="","",SUMIFS('Stok Hareketleri'!$G$5:$G$2000,'Stok Hareketleri'!$D$5:$D$2000,$A257,'Stok Hareketleri'!$F$5:$F$2000,"Giriş",'Stok Hareketleri'!$C$5:$C$2000,$E$4))</f>
        <v/>
      </c>
      <c r="E257" s="5" t="str">
        <f>IF($A257="","",SUMIFS('Stok Hareketleri'!$G$5:$G$2000,'Stok Hareketleri'!$D$5:$D$2000,$A257,'Stok Hareketleri'!$F$5:$F$2000,"Çıkış",'Stok Hareketleri'!$C$5:$C$2000,$E$4))</f>
        <v/>
      </c>
      <c r="F257" s="5" t="str">
        <f t="shared" si="3"/>
        <v/>
      </c>
      <c r="G257" s="5" t="str">
        <f>IF($A257="","",IFERROR(INDEX('Stok Durumu'!$G$5:$G$300,MATCH($A257,'Stok Durumu'!$A$5:$A$300,0)),""))</f>
        <v/>
      </c>
    </row>
    <row r="258" spans="1:7" x14ac:dyDescent="0.3">
      <c r="A258" s="5" t="str">
        <f>IF('Malzeme Tanımlama'!A256="","",IF('Malzeme Tanımlama'!C256=$B$4,'Malzeme Tanımlama'!A256,""))</f>
        <v/>
      </c>
      <c r="B258" s="5" t="str">
        <f>IF($A258="","",'Malzeme Tanımlama'!B256)</f>
        <v/>
      </c>
      <c r="C258" s="5" t="str">
        <f>IF($A258="","",'Malzeme Tanımlama'!D256)</f>
        <v/>
      </c>
      <c r="D258" s="5" t="str">
        <f>IF($A258="","",SUMIFS('Stok Hareketleri'!$G$5:$G$2000,'Stok Hareketleri'!$D$5:$D$2000,$A258,'Stok Hareketleri'!$F$5:$F$2000,"Giriş",'Stok Hareketleri'!$C$5:$C$2000,$E$4))</f>
        <v/>
      </c>
      <c r="E258" s="5" t="str">
        <f>IF($A258="","",SUMIFS('Stok Hareketleri'!$G$5:$G$2000,'Stok Hareketleri'!$D$5:$D$2000,$A258,'Stok Hareketleri'!$F$5:$F$2000,"Çıkış",'Stok Hareketleri'!$C$5:$C$2000,$E$4))</f>
        <v/>
      </c>
      <c r="F258" s="5" t="str">
        <f t="shared" si="3"/>
        <v/>
      </c>
      <c r="G258" s="5" t="str">
        <f>IF($A258="","",IFERROR(INDEX('Stok Durumu'!$G$5:$G$300,MATCH($A258,'Stok Durumu'!$A$5:$A$300,0)),""))</f>
        <v/>
      </c>
    </row>
    <row r="259" spans="1:7" x14ac:dyDescent="0.3">
      <c r="A259" s="5" t="str">
        <f>IF('Malzeme Tanımlama'!A257="","",IF('Malzeme Tanımlama'!C257=$B$4,'Malzeme Tanımlama'!A257,""))</f>
        <v/>
      </c>
      <c r="B259" s="5" t="str">
        <f>IF($A259="","",'Malzeme Tanımlama'!B257)</f>
        <v/>
      </c>
      <c r="C259" s="5" t="str">
        <f>IF($A259="","",'Malzeme Tanımlama'!D257)</f>
        <v/>
      </c>
      <c r="D259" s="5" t="str">
        <f>IF($A259="","",SUMIFS('Stok Hareketleri'!$G$5:$G$2000,'Stok Hareketleri'!$D$5:$D$2000,$A259,'Stok Hareketleri'!$F$5:$F$2000,"Giriş",'Stok Hareketleri'!$C$5:$C$2000,$E$4))</f>
        <v/>
      </c>
      <c r="E259" s="5" t="str">
        <f>IF($A259="","",SUMIFS('Stok Hareketleri'!$G$5:$G$2000,'Stok Hareketleri'!$D$5:$D$2000,$A259,'Stok Hareketleri'!$F$5:$F$2000,"Çıkış",'Stok Hareketleri'!$C$5:$C$2000,$E$4))</f>
        <v/>
      </c>
      <c r="F259" s="5" t="str">
        <f t="shared" si="3"/>
        <v/>
      </c>
      <c r="G259" s="5" t="str">
        <f>IF($A259="","",IFERROR(INDEX('Stok Durumu'!$G$5:$G$300,MATCH($A259,'Stok Durumu'!$A$5:$A$300,0)),""))</f>
        <v/>
      </c>
    </row>
    <row r="260" spans="1:7" x14ac:dyDescent="0.3">
      <c r="A260" s="5" t="str">
        <f>IF('Malzeme Tanımlama'!A258="","",IF('Malzeme Tanımlama'!C258=$B$4,'Malzeme Tanımlama'!A258,""))</f>
        <v/>
      </c>
      <c r="B260" s="5" t="str">
        <f>IF($A260="","",'Malzeme Tanımlama'!B258)</f>
        <v/>
      </c>
      <c r="C260" s="5" t="str">
        <f>IF($A260="","",'Malzeme Tanımlama'!D258)</f>
        <v/>
      </c>
      <c r="D260" s="5" t="str">
        <f>IF($A260="","",SUMIFS('Stok Hareketleri'!$G$5:$G$2000,'Stok Hareketleri'!$D$5:$D$2000,$A260,'Stok Hareketleri'!$F$5:$F$2000,"Giriş",'Stok Hareketleri'!$C$5:$C$2000,$E$4))</f>
        <v/>
      </c>
      <c r="E260" s="5" t="str">
        <f>IF($A260="","",SUMIFS('Stok Hareketleri'!$G$5:$G$2000,'Stok Hareketleri'!$D$5:$D$2000,$A260,'Stok Hareketleri'!$F$5:$F$2000,"Çıkış",'Stok Hareketleri'!$C$5:$C$2000,$E$4))</f>
        <v/>
      </c>
      <c r="F260" s="5" t="str">
        <f t="shared" si="3"/>
        <v/>
      </c>
      <c r="G260" s="5" t="str">
        <f>IF($A260="","",IFERROR(INDEX('Stok Durumu'!$G$5:$G$300,MATCH($A260,'Stok Durumu'!$A$5:$A$300,0)),""))</f>
        <v/>
      </c>
    </row>
    <row r="261" spans="1:7" x14ac:dyDescent="0.3">
      <c r="A261" s="5" t="str">
        <f>IF('Malzeme Tanımlama'!A259="","",IF('Malzeme Tanımlama'!C259=$B$4,'Malzeme Tanımlama'!A259,""))</f>
        <v/>
      </c>
      <c r="B261" s="5" t="str">
        <f>IF($A261="","",'Malzeme Tanımlama'!B259)</f>
        <v/>
      </c>
      <c r="C261" s="5" t="str">
        <f>IF($A261="","",'Malzeme Tanımlama'!D259)</f>
        <v/>
      </c>
      <c r="D261" s="5" t="str">
        <f>IF($A261="","",SUMIFS('Stok Hareketleri'!$G$5:$G$2000,'Stok Hareketleri'!$D$5:$D$2000,$A261,'Stok Hareketleri'!$F$5:$F$2000,"Giriş",'Stok Hareketleri'!$C$5:$C$2000,$E$4))</f>
        <v/>
      </c>
      <c r="E261" s="5" t="str">
        <f>IF($A261="","",SUMIFS('Stok Hareketleri'!$G$5:$G$2000,'Stok Hareketleri'!$D$5:$D$2000,$A261,'Stok Hareketleri'!$F$5:$F$2000,"Çıkış",'Stok Hareketleri'!$C$5:$C$2000,$E$4))</f>
        <v/>
      </c>
      <c r="F261" s="5" t="str">
        <f t="shared" si="3"/>
        <v/>
      </c>
      <c r="G261" s="5" t="str">
        <f>IF($A261="","",IFERROR(INDEX('Stok Durumu'!$G$5:$G$300,MATCH($A261,'Stok Durumu'!$A$5:$A$300,0)),""))</f>
        <v/>
      </c>
    </row>
    <row r="262" spans="1:7" x14ac:dyDescent="0.3">
      <c r="A262" s="5" t="str">
        <f>IF('Malzeme Tanımlama'!A260="","",IF('Malzeme Tanımlama'!C260=$B$4,'Malzeme Tanımlama'!A260,""))</f>
        <v/>
      </c>
      <c r="B262" s="5" t="str">
        <f>IF($A262="","",'Malzeme Tanımlama'!B260)</f>
        <v/>
      </c>
      <c r="C262" s="5" t="str">
        <f>IF($A262="","",'Malzeme Tanımlama'!D260)</f>
        <v/>
      </c>
      <c r="D262" s="5" t="str">
        <f>IF($A262="","",SUMIFS('Stok Hareketleri'!$G$5:$G$2000,'Stok Hareketleri'!$D$5:$D$2000,$A262,'Stok Hareketleri'!$F$5:$F$2000,"Giriş",'Stok Hareketleri'!$C$5:$C$2000,$E$4))</f>
        <v/>
      </c>
      <c r="E262" s="5" t="str">
        <f>IF($A262="","",SUMIFS('Stok Hareketleri'!$G$5:$G$2000,'Stok Hareketleri'!$D$5:$D$2000,$A262,'Stok Hareketleri'!$F$5:$F$2000,"Çıkış",'Stok Hareketleri'!$C$5:$C$2000,$E$4))</f>
        <v/>
      </c>
      <c r="F262" s="5" t="str">
        <f t="shared" si="3"/>
        <v/>
      </c>
      <c r="G262" s="5" t="str">
        <f>IF($A262="","",IFERROR(INDEX('Stok Durumu'!$G$5:$G$300,MATCH($A262,'Stok Durumu'!$A$5:$A$300,0)),""))</f>
        <v/>
      </c>
    </row>
    <row r="263" spans="1:7" x14ac:dyDescent="0.3">
      <c r="A263" s="5" t="str">
        <f>IF('Malzeme Tanımlama'!A261="","",IF('Malzeme Tanımlama'!C261=$B$4,'Malzeme Tanımlama'!A261,""))</f>
        <v/>
      </c>
      <c r="B263" s="5" t="str">
        <f>IF($A263="","",'Malzeme Tanımlama'!B261)</f>
        <v/>
      </c>
      <c r="C263" s="5" t="str">
        <f>IF($A263="","",'Malzeme Tanımlama'!D261)</f>
        <v/>
      </c>
      <c r="D263" s="5" t="str">
        <f>IF($A263="","",SUMIFS('Stok Hareketleri'!$G$5:$G$2000,'Stok Hareketleri'!$D$5:$D$2000,$A263,'Stok Hareketleri'!$F$5:$F$2000,"Giriş",'Stok Hareketleri'!$C$5:$C$2000,$E$4))</f>
        <v/>
      </c>
      <c r="E263" s="5" t="str">
        <f>IF($A263="","",SUMIFS('Stok Hareketleri'!$G$5:$G$2000,'Stok Hareketleri'!$D$5:$D$2000,$A263,'Stok Hareketleri'!$F$5:$F$2000,"Çıkış",'Stok Hareketleri'!$C$5:$C$2000,$E$4))</f>
        <v/>
      </c>
      <c r="F263" s="5" t="str">
        <f t="shared" ref="F263:F302" si="4">IF($A263="","",$D263-$E263)</f>
        <v/>
      </c>
      <c r="G263" s="5" t="str">
        <f>IF($A263="","",IFERROR(INDEX('Stok Durumu'!$G$5:$G$300,MATCH($A263,'Stok Durumu'!$A$5:$A$300,0)),""))</f>
        <v/>
      </c>
    </row>
    <row r="264" spans="1:7" x14ac:dyDescent="0.3">
      <c r="A264" s="5" t="str">
        <f>IF('Malzeme Tanımlama'!A262="","",IF('Malzeme Tanımlama'!C262=$B$4,'Malzeme Tanımlama'!A262,""))</f>
        <v/>
      </c>
      <c r="B264" s="5" t="str">
        <f>IF($A264="","",'Malzeme Tanımlama'!B262)</f>
        <v/>
      </c>
      <c r="C264" s="5" t="str">
        <f>IF($A264="","",'Malzeme Tanımlama'!D262)</f>
        <v/>
      </c>
      <c r="D264" s="5" t="str">
        <f>IF($A264="","",SUMIFS('Stok Hareketleri'!$G$5:$G$2000,'Stok Hareketleri'!$D$5:$D$2000,$A264,'Stok Hareketleri'!$F$5:$F$2000,"Giriş",'Stok Hareketleri'!$C$5:$C$2000,$E$4))</f>
        <v/>
      </c>
      <c r="E264" s="5" t="str">
        <f>IF($A264="","",SUMIFS('Stok Hareketleri'!$G$5:$G$2000,'Stok Hareketleri'!$D$5:$D$2000,$A264,'Stok Hareketleri'!$F$5:$F$2000,"Çıkış",'Stok Hareketleri'!$C$5:$C$2000,$E$4))</f>
        <v/>
      </c>
      <c r="F264" s="5" t="str">
        <f t="shared" si="4"/>
        <v/>
      </c>
      <c r="G264" s="5" t="str">
        <f>IF($A264="","",IFERROR(INDEX('Stok Durumu'!$G$5:$G$300,MATCH($A264,'Stok Durumu'!$A$5:$A$300,0)),""))</f>
        <v/>
      </c>
    </row>
    <row r="265" spans="1:7" x14ac:dyDescent="0.3">
      <c r="A265" s="5" t="str">
        <f>IF('Malzeme Tanımlama'!A263="","",IF('Malzeme Tanımlama'!C263=$B$4,'Malzeme Tanımlama'!A263,""))</f>
        <v/>
      </c>
      <c r="B265" s="5" t="str">
        <f>IF($A265="","",'Malzeme Tanımlama'!B263)</f>
        <v/>
      </c>
      <c r="C265" s="5" t="str">
        <f>IF($A265="","",'Malzeme Tanımlama'!D263)</f>
        <v/>
      </c>
      <c r="D265" s="5" t="str">
        <f>IF($A265="","",SUMIFS('Stok Hareketleri'!$G$5:$G$2000,'Stok Hareketleri'!$D$5:$D$2000,$A265,'Stok Hareketleri'!$F$5:$F$2000,"Giriş",'Stok Hareketleri'!$C$5:$C$2000,$E$4))</f>
        <v/>
      </c>
      <c r="E265" s="5" t="str">
        <f>IF($A265="","",SUMIFS('Stok Hareketleri'!$G$5:$G$2000,'Stok Hareketleri'!$D$5:$D$2000,$A265,'Stok Hareketleri'!$F$5:$F$2000,"Çıkış",'Stok Hareketleri'!$C$5:$C$2000,$E$4))</f>
        <v/>
      </c>
      <c r="F265" s="5" t="str">
        <f t="shared" si="4"/>
        <v/>
      </c>
      <c r="G265" s="5" t="str">
        <f>IF($A265="","",IFERROR(INDEX('Stok Durumu'!$G$5:$G$300,MATCH($A265,'Stok Durumu'!$A$5:$A$300,0)),""))</f>
        <v/>
      </c>
    </row>
    <row r="266" spans="1:7" x14ac:dyDescent="0.3">
      <c r="A266" s="5" t="str">
        <f>IF('Malzeme Tanımlama'!A264="","",IF('Malzeme Tanımlama'!C264=$B$4,'Malzeme Tanımlama'!A264,""))</f>
        <v/>
      </c>
      <c r="B266" s="5" t="str">
        <f>IF($A266="","",'Malzeme Tanımlama'!B264)</f>
        <v/>
      </c>
      <c r="C266" s="5" t="str">
        <f>IF($A266="","",'Malzeme Tanımlama'!D264)</f>
        <v/>
      </c>
      <c r="D266" s="5" t="str">
        <f>IF($A266="","",SUMIFS('Stok Hareketleri'!$G$5:$G$2000,'Stok Hareketleri'!$D$5:$D$2000,$A266,'Stok Hareketleri'!$F$5:$F$2000,"Giriş",'Stok Hareketleri'!$C$5:$C$2000,$E$4))</f>
        <v/>
      </c>
      <c r="E266" s="5" t="str">
        <f>IF($A266="","",SUMIFS('Stok Hareketleri'!$G$5:$G$2000,'Stok Hareketleri'!$D$5:$D$2000,$A266,'Stok Hareketleri'!$F$5:$F$2000,"Çıkış",'Stok Hareketleri'!$C$5:$C$2000,$E$4))</f>
        <v/>
      </c>
      <c r="F266" s="5" t="str">
        <f t="shared" si="4"/>
        <v/>
      </c>
      <c r="G266" s="5" t="str">
        <f>IF($A266="","",IFERROR(INDEX('Stok Durumu'!$G$5:$G$300,MATCH($A266,'Stok Durumu'!$A$5:$A$300,0)),""))</f>
        <v/>
      </c>
    </row>
    <row r="267" spans="1:7" x14ac:dyDescent="0.3">
      <c r="A267" s="5" t="str">
        <f>IF('Malzeme Tanımlama'!A265="","",IF('Malzeme Tanımlama'!C265=$B$4,'Malzeme Tanımlama'!A265,""))</f>
        <v/>
      </c>
      <c r="B267" s="5" t="str">
        <f>IF($A267="","",'Malzeme Tanımlama'!B265)</f>
        <v/>
      </c>
      <c r="C267" s="5" t="str">
        <f>IF($A267="","",'Malzeme Tanımlama'!D265)</f>
        <v/>
      </c>
      <c r="D267" s="5" t="str">
        <f>IF($A267="","",SUMIFS('Stok Hareketleri'!$G$5:$G$2000,'Stok Hareketleri'!$D$5:$D$2000,$A267,'Stok Hareketleri'!$F$5:$F$2000,"Giriş",'Stok Hareketleri'!$C$5:$C$2000,$E$4))</f>
        <v/>
      </c>
      <c r="E267" s="5" t="str">
        <f>IF($A267="","",SUMIFS('Stok Hareketleri'!$G$5:$G$2000,'Stok Hareketleri'!$D$5:$D$2000,$A267,'Stok Hareketleri'!$F$5:$F$2000,"Çıkış",'Stok Hareketleri'!$C$5:$C$2000,$E$4))</f>
        <v/>
      </c>
      <c r="F267" s="5" t="str">
        <f t="shared" si="4"/>
        <v/>
      </c>
      <c r="G267" s="5" t="str">
        <f>IF($A267="","",IFERROR(INDEX('Stok Durumu'!$G$5:$G$300,MATCH($A267,'Stok Durumu'!$A$5:$A$300,0)),""))</f>
        <v/>
      </c>
    </row>
    <row r="268" spans="1:7" x14ac:dyDescent="0.3">
      <c r="A268" s="5" t="str">
        <f>IF('Malzeme Tanımlama'!A266="","",IF('Malzeme Tanımlama'!C266=$B$4,'Malzeme Tanımlama'!A266,""))</f>
        <v/>
      </c>
      <c r="B268" s="5" t="str">
        <f>IF($A268="","",'Malzeme Tanımlama'!B266)</f>
        <v/>
      </c>
      <c r="C268" s="5" t="str">
        <f>IF($A268="","",'Malzeme Tanımlama'!D266)</f>
        <v/>
      </c>
      <c r="D268" s="5" t="str">
        <f>IF($A268="","",SUMIFS('Stok Hareketleri'!$G$5:$G$2000,'Stok Hareketleri'!$D$5:$D$2000,$A268,'Stok Hareketleri'!$F$5:$F$2000,"Giriş",'Stok Hareketleri'!$C$5:$C$2000,$E$4))</f>
        <v/>
      </c>
      <c r="E268" s="5" t="str">
        <f>IF($A268="","",SUMIFS('Stok Hareketleri'!$G$5:$G$2000,'Stok Hareketleri'!$D$5:$D$2000,$A268,'Stok Hareketleri'!$F$5:$F$2000,"Çıkış",'Stok Hareketleri'!$C$5:$C$2000,$E$4))</f>
        <v/>
      </c>
      <c r="F268" s="5" t="str">
        <f t="shared" si="4"/>
        <v/>
      </c>
      <c r="G268" s="5" t="str">
        <f>IF($A268="","",IFERROR(INDEX('Stok Durumu'!$G$5:$G$300,MATCH($A268,'Stok Durumu'!$A$5:$A$300,0)),""))</f>
        <v/>
      </c>
    </row>
    <row r="269" spans="1:7" x14ac:dyDescent="0.3">
      <c r="A269" s="5" t="str">
        <f>IF('Malzeme Tanımlama'!A267="","",IF('Malzeme Tanımlama'!C267=$B$4,'Malzeme Tanımlama'!A267,""))</f>
        <v/>
      </c>
      <c r="B269" s="5" t="str">
        <f>IF($A269="","",'Malzeme Tanımlama'!B267)</f>
        <v/>
      </c>
      <c r="C269" s="5" t="str">
        <f>IF($A269="","",'Malzeme Tanımlama'!D267)</f>
        <v/>
      </c>
      <c r="D269" s="5" t="str">
        <f>IF($A269="","",SUMIFS('Stok Hareketleri'!$G$5:$G$2000,'Stok Hareketleri'!$D$5:$D$2000,$A269,'Stok Hareketleri'!$F$5:$F$2000,"Giriş",'Stok Hareketleri'!$C$5:$C$2000,$E$4))</f>
        <v/>
      </c>
      <c r="E269" s="5" t="str">
        <f>IF($A269="","",SUMIFS('Stok Hareketleri'!$G$5:$G$2000,'Stok Hareketleri'!$D$5:$D$2000,$A269,'Stok Hareketleri'!$F$5:$F$2000,"Çıkış",'Stok Hareketleri'!$C$5:$C$2000,$E$4))</f>
        <v/>
      </c>
      <c r="F269" s="5" t="str">
        <f t="shared" si="4"/>
        <v/>
      </c>
      <c r="G269" s="5" t="str">
        <f>IF($A269="","",IFERROR(INDEX('Stok Durumu'!$G$5:$G$300,MATCH($A269,'Stok Durumu'!$A$5:$A$300,0)),""))</f>
        <v/>
      </c>
    </row>
    <row r="270" spans="1:7" x14ac:dyDescent="0.3">
      <c r="A270" s="5" t="str">
        <f>IF('Malzeme Tanımlama'!A268="","",IF('Malzeme Tanımlama'!C268=$B$4,'Malzeme Tanımlama'!A268,""))</f>
        <v/>
      </c>
      <c r="B270" s="5" t="str">
        <f>IF($A270="","",'Malzeme Tanımlama'!B268)</f>
        <v/>
      </c>
      <c r="C270" s="5" t="str">
        <f>IF($A270="","",'Malzeme Tanımlama'!D268)</f>
        <v/>
      </c>
      <c r="D270" s="5" t="str">
        <f>IF($A270="","",SUMIFS('Stok Hareketleri'!$G$5:$G$2000,'Stok Hareketleri'!$D$5:$D$2000,$A270,'Stok Hareketleri'!$F$5:$F$2000,"Giriş",'Stok Hareketleri'!$C$5:$C$2000,$E$4))</f>
        <v/>
      </c>
      <c r="E270" s="5" t="str">
        <f>IF($A270="","",SUMIFS('Stok Hareketleri'!$G$5:$G$2000,'Stok Hareketleri'!$D$5:$D$2000,$A270,'Stok Hareketleri'!$F$5:$F$2000,"Çıkış",'Stok Hareketleri'!$C$5:$C$2000,$E$4))</f>
        <v/>
      </c>
      <c r="F270" s="5" t="str">
        <f t="shared" si="4"/>
        <v/>
      </c>
      <c r="G270" s="5" t="str">
        <f>IF($A270="","",IFERROR(INDEX('Stok Durumu'!$G$5:$G$300,MATCH($A270,'Stok Durumu'!$A$5:$A$300,0)),""))</f>
        <v/>
      </c>
    </row>
    <row r="271" spans="1:7" x14ac:dyDescent="0.3">
      <c r="A271" s="5" t="str">
        <f>IF('Malzeme Tanımlama'!A269="","",IF('Malzeme Tanımlama'!C269=$B$4,'Malzeme Tanımlama'!A269,""))</f>
        <v/>
      </c>
      <c r="B271" s="5" t="str">
        <f>IF($A271="","",'Malzeme Tanımlama'!B269)</f>
        <v/>
      </c>
      <c r="C271" s="5" t="str">
        <f>IF($A271="","",'Malzeme Tanımlama'!D269)</f>
        <v/>
      </c>
      <c r="D271" s="5" t="str">
        <f>IF($A271="","",SUMIFS('Stok Hareketleri'!$G$5:$G$2000,'Stok Hareketleri'!$D$5:$D$2000,$A271,'Stok Hareketleri'!$F$5:$F$2000,"Giriş",'Stok Hareketleri'!$C$5:$C$2000,$E$4))</f>
        <v/>
      </c>
      <c r="E271" s="5" t="str">
        <f>IF($A271="","",SUMIFS('Stok Hareketleri'!$G$5:$G$2000,'Stok Hareketleri'!$D$5:$D$2000,$A271,'Stok Hareketleri'!$F$5:$F$2000,"Çıkış",'Stok Hareketleri'!$C$5:$C$2000,$E$4))</f>
        <v/>
      </c>
      <c r="F271" s="5" t="str">
        <f t="shared" si="4"/>
        <v/>
      </c>
      <c r="G271" s="5" t="str">
        <f>IF($A271="","",IFERROR(INDEX('Stok Durumu'!$G$5:$G$300,MATCH($A271,'Stok Durumu'!$A$5:$A$300,0)),""))</f>
        <v/>
      </c>
    </row>
    <row r="272" spans="1:7" x14ac:dyDescent="0.3">
      <c r="A272" s="5" t="str">
        <f>IF('Malzeme Tanımlama'!A270="","",IF('Malzeme Tanımlama'!C270=$B$4,'Malzeme Tanımlama'!A270,""))</f>
        <v/>
      </c>
      <c r="B272" s="5" t="str">
        <f>IF($A272="","",'Malzeme Tanımlama'!B270)</f>
        <v/>
      </c>
      <c r="C272" s="5" t="str">
        <f>IF($A272="","",'Malzeme Tanımlama'!D270)</f>
        <v/>
      </c>
      <c r="D272" s="5" t="str">
        <f>IF($A272="","",SUMIFS('Stok Hareketleri'!$G$5:$G$2000,'Stok Hareketleri'!$D$5:$D$2000,$A272,'Stok Hareketleri'!$F$5:$F$2000,"Giriş",'Stok Hareketleri'!$C$5:$C$2000,$E$4))</f>
        <v/>
      </c>
      <c r="E272" s="5" t="str">
        <f>IF($A272="","",SUMIFS('Stok Hareketleri'!$G$5:$G$2000,'Stok Hareketleri'!$D$5:$D$2000,$A272,'Stok Hareketleri'!$F$5:$F$2000,"Çıkış",'Stok Hareketleri'!$C$5:$C$2000,$E$4))</f>
        <v/>
      </c>
      <c r="F272" s="5" t="str">
        <f t="shared" si="4"/>
        <v/>
      </c>
      <c r="G272" s="5" t="str">
        <f>IF($A272="","",IFERROR(INDEX('Stok Durumu'!$G$5:$G$300,MATCH($A272,'Stok Durumu'!$A$5:$A$300,0)),""))</f>
        <v/>
      </c>
    </row>
    <row r="273" spans="1:7" x14ac:dyDescent="0.3">
      <c r="A273" s="5" t="str">
        <f>IF('Malzeme Tanımlama'!A271="","",IF('Malzeme Tanımlama'!C271=$B$4,'Malzeme Tanımlama'!A271,""))</f>
        <v/>
      </c>
      <c r="B273" s="5" t="str">
        <f>IF($A273="","",'Malzeme Tanımlama'!B271)</f>
        <v/>
      </c>
      <c r="C273" s="5" t="str">
        <f>IF($A273="","",'Malzeme Tanımlama'!D271)</f>
        <v/>
      </c>
      <c r="D273" s="5" t="str">
        <f>IF($A273="","",SUMIFS('Stok Hareketleri'!$G$5:$G$2000,'Stok Hareketleri'!$D$5:$D$2000,$A273,'Stok Hareketleri'!$F$5:$F$2000,"Giriş",'Stok Hareketleri'!$C$5:$C$2000,$E$4))</f>
        <v/>
      </c>
      <c r="E273" s="5" t="str">
        <f>IF($A273="","",SUMIFS('Stok Hareketleri'!$G$5:$G$2000,'Stok Hareketleri'!$D$5:$D$2000,$A273,'Stok Hareketleri'!$F$5:$F$2000,"Çıkış",'Stok Hareketleri'!$C$5:$C$2000,$E$4))</f>
        <v/>
      </c>
      <c r="F273" s="5" t="str">
        <f t="shared" si="4"/>
        <v/>
      </c>
      <c r="G273" s="5" t="str">
        <f>IF($A273="","",IFERROR(INDEX('Stok Durumu'!$G$5:$G$300,MATCH($A273,'Stok Durumu'!$A$5:$A$300,0)),""))</f>
        <v/>
      </c>
    </row>
    <row r="274" spans="1:7" x14ac:dyDescent="0.3">
      <c r="A274" s="5" t="str">
        <f>IF('Malzeme Tanımlama'!A272="","",IF('Malzeme Tanımlama'!C272=$B$4,'Malzeme Tanımlama'!A272,""))</f>
        <v/>
      </c>
      <c r="B274" s="5" t="str">
        <f>IF($A274="","",'Malzeme Tanımlama'!B272)</f>
        <v/>
      </c>
      <c r="C274" s="5" t="str">
        <f>IF($A274="","",'Malzeme Tanımlama'!D272)</f>
        <v/>
      </c>
      <c r="D274" s="5" t="str">
        <f>IF($A274="","",SUMIFS('Stok Hareketleri'!$G$5:$G$2000,'Stok Hareketleri'!$D$5:$D$2000,$A274,'Stok Hareketleri'!$F$5:$F$2000,"Giriş",'Stok Hareketleri'!$C$5:$C$2000,$E$4))</f>
        <v/>
      </c>
      <c r="E274" s="5" t="str">
        <f>IF($A274="","",SUMIFS('Stok Hareketleri'!$G$5:$G$2000,'Stok Hareketleri'!$D$5:$D$2000,$A274,'Stok Hareketleri'!$F$5:$F$2000,"Çıkış",'Stok Hareketleri'!$C$5:$C$2000,$E$4))</f>
        <v/>
      </c>
      <c r="F274" s="5" t="str">
        <f t="shared" si="4"/>
        <v/>
      </c>
      <c r="G274" s="5" t="str">
        <f>IF($A274="","",IFERROR(INDEX('Stok Durumu'!$G$5:$G$300,MATCH($A274,'Stok Durumu'!$A$5:$A$300,0)),""))</f>
        <v/>
      </c>
    </row>
    <row r="275" spans="1:7" x14ac:dyDescent="0.3">
      <c r="A275" s="5" t="str">
        <f>IF('Malzeme Tanımlama'!A273="","",IF('Malzeme Tanımlama'!C273=$B$4,'Malzeme Tanımlama'!A273,""))</f>
        <v/>
      </c>
      <c r="B275" s="5" t="str">
        <f>IF($A275="","",'Malzeme Tanımlama'!B273)</f>
        <v/>
      </c>
      <c r="C275" s="5" t="str">
        <f>IF($A275="","",'Malzeme Tanımlama'!D273)</f>
        <v/>
      </c>
      <c r="D275" s="5" t="str">
        <f>IF($A275="","",SUMIFS('Stok Hareketleri'!$G$5:$G$2000,'Stok Hareketleri'!$D$5:$D$2000,$A275,'Stok Hareketleri'!$F$5:$F$2000,"Giriş",'Stok Hareketleri'!$C$5:$C$2000,$E$4))</f>
        <v/>
      </c>
      <c r="E275" s="5" t="str">
        <f>IF($A275="","",SUMIFS('Stok Hareketleri'!$G$5:$G$2000,'Stok Hareketleri'!$D$5:$D$2000,$A275,'Stok Hareketleri'!$F$5:$F$2000,"Çıkış",'Stok Hareketleri'!$C$5:$C$2000,$E$4))</f>
        <v/>
      </c>
      <c r="F275" s="5" t="str">
        <f t="shared" si="4"/>
        <v/>
      </c>
      <c r="G275" s="5" t="str">
        <f>IF($A275="","",IFERROR(INDEX('Stok Durumu'!$G$5:$G$300,MATCH($A275,'Stok Durumu'!$A$5:$A$300,0)),""))</f>
        <v/>
      </c>
    </row>
    <row r="276" spans="1:7" x14ac:dyDescent="0.3">
      <c r="A276" s="5" t="str">
        <f>IF('Malzeme Tanımlama'!A274="","",IF('Malzeme Tanımlama'!C274=$B$4,'Malzeme Tanımlama'!A274,""))</f>
        <v/>
      </c>
      <c r="B276" s="5" t="str">
        <f>IF($A276="","",'Malzeme Tanımlama'!B274)</f>
        <v/>
      </c>
      <c r="C276" s="5" t="str">
        <f>IF($A276="","",'Malzeme Tanımlama'!D274)</f>
        <v/>
      </c>
      <c r="D276" s="5" t="str">
        <f>IF($A276="","",SUMIFS('Stok Hareketleri'!$G$5:$G$2000,'Stok Hareketleri'!$D$5:$D$2000,$A276,'Stok Hareketleri'!$F$5:$F$2000,"Giriş",'Stok Hareketleri'!$C$5:$C$2000,$E$4))</f>
        <v/>
      </c>
      <c r="E276" s="5" t="str">
        <f>IF($A276="","",SUMIFS('Stok Hareketleri'!$G$5:$G$2000,'Stok Hareketleri'!$D$5:$D$2000,$A276,'Stok Hareketleri'!$F$5:$F$2000,"Çıkış",'Stok Hareketleri'!$C$5:$C$2000,$E$4))</f>
        <v/>
      </c>
      <c r="F276" s="5" t="str">
        <f t="shared" si="4"/>
        <v/>
      </c>
      <c r="G276" s="5" t="str">
        <f>IF($A276="","",IFERROR(INDEX('Stok Durumu'!$G$5:$G$300,MATCH($A276,'Stok Durumu'!$A$5:$A$300,0)),""))</f>
        <v/>
      </c>
    </row>
    <row r="277" spans="1:7" x14ac:dyDescent="0.3">
      <c r="A277" s="5" t="str">
        <f>IF('Malzeme Tanımlama'!A275="","",IF('Malzeme Tanımlama'!C275=$B$4,'Malzeme Tanımlama'!A275,""))</f>
        <v/>
      </c>
      <c r="B277" s="5" t="str">
        <f>IF($A277="","",'Malzeme Tanımlama'!B275)</f>
        <v/>
      </c>
      <c r="C277" s="5" t="str">
        <f>IF($A277="","",'Malzeme Tanımlama'!D275)</f>
        <v/>
      </c>
      <c r="D277" s="5" t="str">
        <f>IF($A277="","",SUMIFS('Stok Hareketleri'!$G$5:$G$2000,'Stok Hareketleri'!$D$5:$D$2000,$A277,'Stok Hareketleri'!$F$5:$F$2000,"Giriş",'Stok Hareketleri'!$C$5:$C$2000,$E$4))</f>
        <v/>
      </c>
      <c r="E277" s="5" t="str">
        <f>IF($A277="","",SUMIFS('Stok Hareketleri'!$G$5:$G$2000,'Stok Hareketleri'!$D$5:$D$2000,$A277,'Stok Hareketleri'!$F$5:$F$2000,"Çıkış",'Stok Hareketleri'!$C$5:$C$2000,$E$4))</f>
        <v/>
      </c>
      <c r="F277" s="5" t="str">
        <f t="shared" si="4"/>
        <v/>
      </c>
      <c r="G277" s="5" t="str">
        <f>IF($A277="","",IFERROR(INDEX('Stok Durumu'!$G$5:$G$300,MATCH($A277,'Stok Durumu'!$A$5:$A$300,0)),""))</f>
        <v/>
      </c>
    </row>
    <row r="278" spans="1:7" x14ac:dyDescent="0.3">
      <c r="A278" s="5" t="str">
        <f>IF('Malzeme Tanımlama'!A276="","",IF('Malzeme Tanımlama'!C276=$B$4,'Malzeme Tanımlama'!A276,""))</f>
        <v/>
      </c>
      <c r="B278" s="5" t="str">
        <f>IF($A278="","",'Malzeme Tanımlama'!B276)</f>
        <v/>
      </c>
      <c r="C278" s="5" t="str">
        <f>IF($A278="","",'Malzeme Tanımlama'!D276)</f>
        <v/>
      </c>
      <c r="D278" s="5" t="str">
        <f>IF($A278="","",SUMIFS('Stok Hareketleri'!$G$5:$G$2000,'Stok Hareketleri'!$D$5:$D$2000,$A278,'Stok Hareketleri'!$F$5:$F$2000,"Giriş",'Stok Hareketleri'!$C$5:$C$2000,$E$4))</f>
        <v/>
      </c>
      <c r="E278" s="5" t="str">
        <f>IF($A278="","",SUMIFS('Stok Hareketleri'!$G$5:$G$2000,'Stok Hareketleri'!$D$5:$D$2000,$A278,'Stok Hareketleri'!$F$5:$F$2000,"Çıkış",'Stok Hareketleri'!$C$5:$C$2000,$E$4))</f>
        <v/>
      </c>
      <c r="F278" s="5" t="str">
        <f t="shared" si="4"/>
        <v/>
      </c>
      <c r="G278" s="5" t="str">
        <f>IF($A278="","",IFERROR(INDEX('Stok Durumu'!$G$5:$G$300,MATCH($A278,'Stok Durumu'!$A$5:$A$300,0)),""))</f>
        <v/>
      </c>
    </row>
    <row r="279" spans="1:7" x14ac:dyDescent="0.3">
      <c r="A279" s="5" t="str">
        <f>IF('Malzeme Tanımlama'!A277="","",IF('Malzeme Tanımlama'!C277=$B$4,'Malzeme Tanımlama'!A277,""))</f>
        <v/>
      </c>
      <c r="B279" s="5" t="str">
        <f>IF($A279="","",'Malzeme Tanımlama'!B277)</f>
        <v/>
      </c>
      <c r="C279" s="5" t="str">
        <f>IF($A279="","",'Malzeme Tanımlama'!D277)</f>
        <v/>
      </c>
      <c r="D279" s="5" t="str">
        <f>IF($A279="","",SUMIFS('Stok Hareketleri'!$G$5:$G$2000,'Stok Hareketleri'!$D$5:$D$2000,$A279,'Stok Hareketleri'!$F$5:$F$2000,"Giriş",'Stok Hareketleri'!$C$5:$C$2000,$E$4))</f>
        <v/>
      </c>
      <c r="E279" s="5" t="str">
        <f>IF($A279="","",SUMIFS('Stok Hareketleri'!$G$5:$G$2000,'Stok Hareketleri'!$D$5:$D$2000,$A279,'Stok Hareketleri'!$F$5:$F$2000,"Çıkış",'Stok Hareketleri'!$C$5:$C$2000,$E$4))</f>
        <v/>
      </c>
      <c r="F279" s="5" t="str">
        <f t="shared" si="4"/>
        <v/>
      </c>
      <c r="G279" s="5" t="str">
        <f>IF($A279="","",IFERROR(INDEX('Stok Durumu'!$G$5:$G$300,MATCH($A279,'Stok Durumu'!$A$5:$A$300,0)),""))</f>
        <v/>
      </c>
    </row>
    <row r="280" spans="1:7" x14ac:dyDescent="0.3">
      <c r="A280" s="5" t="str">
        <f>IF('Malzeme Tanımlama'!A278="","",IF('Malzeme Tanımlama'!C278=$B$4,'Malzeme Tanımlama'!A278,""))</f>
        <v/>
      </c>
      <c r="B280" s="5" t="str">
        <f>IF($A280="","",'Malzeme Tanımlama'!B278)</f>
        <v/>
      </c>
      <c r="C280" s="5" t="str">
        <f>IF($A280="","",'Malzeme Tanımlama'!D278)</f>
        <v/>
      </c>
      <c r="D280" s="5" t="str">
        <f>IF($A280="","",SUMIFS('Stok Hareketleri'!$G$5:$G$2000,'Stok Hareketleri'!$D$5:$D$2000,$A280,'Stok Hareketleri'!$F$5:$F$2000,"Giriş",'Stok Hareketleri'!$C$5:$C$2000,$E$4))</f>
        <v/>
      </c>
      <c r="E280" s="5" t="str">
        <f>IF($A280="","",SUMIFS('Stok Hareketleri'!$G$5:$G$2000,'Stok Hareketleri'!$D$5:$D$2000,$A280,'Stok Hareketleri'!$F$5:$F$2000,"Çıkış",'Stok Hareketleri'!$C$5:$C$2000,$E$4))</f>
        <v/>
      </c>
      <c r="F280" s="5" t="str">
        <f t="shared" si="4"/>
        <v/>
      </c>
      <c r="G280" s="5" t="str">
        <f>IF($A280="","",IFERROR(INDEX('Stok Durumu'!$G$5:$G$300,MATCH($A280,'Stok Durumu'!$A$5:$A$300,0)),""))</f>
        <v/>
      </c>
    </row>
    <row r="281" spans="1:7" x14ac:dyDescent="0.3">
      <c r="A281" s="5" t="str">
        <f>IF('Malzeme Tanımlama'!A279="","",IF('Malzeme Tanımlama'!C279=$B$4,'Malzeme Tanımlama'!A279,""))</f>
        <v/>
      </c>
      <c r="B281" s="5" t="str">
        <f>IF($A281="","",'Malzeme Tanımlama'!B279)</f>
        <v/>
      </c>
      <c r="C281" s="5" t="str">
        <f>IF($A281="","",'Malzeme Tanımlama'!D279)</f>
        <v/>
      </c>
      <c r="D281" s="5" t="str">
        <f>IF($A281="","",SUMIFS('Stok Hareketleri'!$G$5:$G$2000,'Stok Hareketleri'!$D$5:$D$2000,$A281,'Stok Hareketleri'!$F$5:$F$2000,"Giriş",'Stok Hareketleri'!$C$5:$C$2000,$E$4))</f>
        <v/>
      </c>
      <c r="E281" s="5" t="str">
        <f>IF($A281="","",SUMIFS('Stok Hareketleri'!$G$5:$G$2000,'Stok Hareketleri'!$D$5:$D$2000,$A281,'Stok Hareketleri'!$F$5:$F$2000,"Çıkış",'Stok Hareketleri'!$C$5:$C$2000,$E$4))</f>
        <v/>
      </c>
      <c r="F281" s="5" t="str">
        <f t="shared" si="4"/>
        <v/>
      </c>
      <c r="G281" s="5" t="str">
        <f>IF($A281="","",IFERROR(INDEX('Stok Durumu'!$G$5:$G$300,MATCH($A281,'Stok Durumu'!$A$5:$A$300,0)),""))</f>
        <v/>
      </c>
    </row>
    <row r="282" spans="1:7" x14ac:dyDescent="0.3">
      <c r="A282" s="5" t="str">
        <f>IF('Malzeme Tanımlama'!A280="","",IF('Malzeme Tanımlama'!C280=$B$4,'Malzeme Tanımlama'!A280,""))</f>
        <v/>
      </c>
      <c r="B282" s="5" t="str">
        <f>IF($A282="","",'Malzeme Tanımlama'!B280)</f>
        <v/>
      </c>
      <c r="C282" s="5" t="str">
        <f>IF($A282="","",'Malzeme Tanımlama'!D280)</f>
        <v/>
      </c>
      <c r="D282" s="5" t="str">
        <f>IF($A282="","",SUMIFS('Stok Hareketleri'!$G$5:$G$2000,'Stok Hareketleri'!$D$5:$D$2000,$A282,'Stok Hareketleri'!$F$5:$F$2000,"Giriş",'Stok Hareketleri'!$C$5:$C$2000,$E$4))</f>
        <v/>
      </c>
      <c r="E282" s="5" t="str">
        <f>IF($A282="","",SUMIFS('Stok Hareketleri'!$G$5:$G$2000,'Stok Hareketleri'!$D$5:$D$2000,$A282,'Stok Hareketleri'!$F$5:$F$2000,"Çıkış",'Stok Hareketleri'!$C$5:$C$2000,$E$4))</f>
        <v/>
      </c>
      <c r="F282" s="5" t="str">
        <f t="shared" si="4"/>
        <v/>
      </c>
      <c r="G282" s="5" t="str">
        <f>IF($A282="","",IFERROR(INDEX('Stok Durumu'!$G$5:$G$300,MATCH($A282,'Stok Durumu'!$A$5:$A$300,0)),""))</f>
        <v/>
      </c>
    </row>
    <row r="283" spans="1:7" x14ac:dyDescent="0.3">
      <c r="A283" s="5" t="str">
        <f>IF('Malzeme Tanımlama'!A281="","",IF('Malzeme Tanımlama'!C281=$B$4,'Malzeme Tanımlama'!A281,""))</f>
        <v/>
      </c>
      <c r="B283" s="5" t="str">
        <f>IF($A283="","",'Malzeme Tanımlama'!B281)</f>
        <v/>
      </c>
      <c r="C283" s="5" t="str">
        <f>IF($A283="","",'Malzeme Tanımlama'!D281)</f>
        <v/>
      </c>
      <c r="D283" s="5" t="str">
        <f>IF($A283="","",SUMIFS('Stok Hareketleri'!$G$5:$G$2000,'Stok Hareketleri'!$D$5:$D$2000,$A283,'Stok Hareketleri'!$F$5:$F$2000,"Giriş",'Stok Hareketleri'!$C$5:$C$2000,$E$4))</f>
        <v/>
      </c>
      <c r="E283" s="5" t="str">
        <f>IF($A283="","",SUMIFS('Stok Hareketleri'!$G$5:$G$2000,'Stok Hareketleri'!$D$5:$D$2000,$A283,'Stok Hareketleri'!$F$5:$F$2000,"Çıkış",'Stok Hareketleri'!$C$5:$C$2000,$E$4))</f>
        <v/>
      </c>
      <c r="F283" s="5" t="str">
        <f t="shared" si="4"/>
        <v/>
      </c>
      <c r="G283" s="5" t="str">
        <f>IF($A283="","",IFERROR(INDEX('Stok Durumu'!$G$5:$G$300,MATCH($A283,'Stok Durumu'!$A$5:$A$300,0)),""))</f>
        <v/>
      </c>
    </row>
    <row r="284" spans="1:7" x14ac:dyDescent="0.3">
      <c r="A284" s="5" t="str">
        <f>IF('Malzeme Tanımlama'!A282="","",IF('Malzeme Tanımlama'!C282=$B$4,'Malzeme Tanımlama'!A282,""))</f>
        <v/>
      </c>
      <c r="B284" s="5" t="str">
        <f>IF($A284="","",'Malzeme Tanımlama'!B282)</f>
        <v/>
      </c>
      <c r="C284" s="5" t="str">
        <f>IF($A284="","",'Malzeme Tanımlama'!D282)</f>
        <v/>
      </c>
      <c r="D284" s="5" t="str">
        <f>IF($A284="","",SUMIFS('Stok Hareketleri'!$G$5:$G$2000,'Stok Hareketleri'!$D$5:$D$2000,$A284,'Stok Hareketleri'!$F$5:$F$2000,"Giriş",'Stok Hareketleri'!$C$5:$C$2000,$E$4))</f>
        <v/>
      </c>
      <c r="E284" s="5" t="str">
        <f>IF($A284="","",SUMIFS('Stok Hareketleri'!$G$5:$G$2000,'Stok Hareketleri'!$D$5:$D$2000,$A284,'Stok Hareketleri'!$F$5:$F$2000,"Çıkış",'Stok Hareketleri'!$C$5:$C$2000,$E$4))</f>
        <v/>
      </c>
      <c r="F284" s="5" t="str">
        <f t="shared" si="4"/>
        <v/>
      </c>
      <c r="G284" s="5" t="str">
        <f>IF($A284="","",IFERROR(INDEX('Stok Durumu'!$G$5:$G$300,MATCH($A284,'Stok Durumu'!$A$5:$A$300,0)),""))</f>
        <v/>
      </c>
    </row>
    <row r="285" spans="1:7" x14ac:dyDescent="0.3">
      <c r="A285" s="5" t="str">
        <f>IF('Malzeme Tanımlama'!A283="","",IF('Malzeme Tanımlama'!C283=$B$4,'Malzeme Tanımlama'!A283,""))</f>
        <v/>
      </c>
      <c r="B285" s="5" t="str">
        <f>IF($A285="","",'Malzeme Tanımlama'!B283)</f>
        <v/>
      </c>
      <c r="C285" s="5" t="str">
        <f>IF($A285="","",'Malzeme Tanımlama'!D283)</f>
        <v/>
      </c>
      <c r="D285" s="5" t="str">
        <f>IF($A285="","",SUMIFS('Stok Hareketleri'!$G$5:$G$2000,'Stok Hareketleri'!$D$5:$D$2000,$A285,'Stok Hareketleri'!$F$5:$F$2000,"Giriş",'Stok Hareketleri'!$C$5:$C$2000,$E$4))</f>
        <v/>
      </c>
      <c r="E285" s="5" t="str">
        <f>IF($A285="","",SUMIFS('Stok Hareketleri'!$G$5:$G$2000,'Stok Hareketleri'!$D$5:$D$2000,$A285,'Stok Hareketleri'!$F$5:$F$2000,"Çıkış",'Stok Hareketleri'!$C$5:$C$2000,$E$4))</f>
        <v/>
      </c>
      <c r="F285" s="5" t="str">
        <f t="shared" si="4"/>
        <v/>
      </c>
      <c r="G285" s="5" t="str">
        <f>IF($A285="","",IFERROR(INDEX('Stok Durumu'!$G$5:$G$300,MATCH($A285,'Stok Durumu'!$A$5:$A$300,0)),""))</f>
        <v/>
      </c>
    </row>
    <row r="286" spans="1:7" x14ac:dyDescent="0.3">
      <c r="A286" s="5" t="str">
        <f>IF('Malzeme Tanımlama'!A284="","",IF('Malzeme Tanımlama'!C284=$B$4,'Malzeme Tanımlama'!A284,""))</f>
        <v/>
      </c>
      <c r="B286" s="5" t="str">
        <f>IF($A286="","",'Malzeme Tanımlama'!B284)</f>
        <v/>
      </c>
      <c r="C286" s="5" t="str">
        <f>IF($A286="","",'Malzeme Tanımlama'!D284)</f>
        <v/>
      </c>
      <c r="D286" s="5" t="str">
        <f>IF($A286="","",SUMIFS('Stok Hareketleri'!$G$5:$G$2000,'Stok Hareketleri'!$D$5:$D$2000,$A286,'Stok Hareketleri'!$F$5:$F$2000,"Giriş",'Stok Hareketleri'!$C$5:$C$2000,$E$4))</f>
        <v/>
      </c>
      <c r="E286" s="5" t="str">
        <f>IF($A286="","",SUMIFS('Stok Hareketleri'!$G$5:$G$2000,'Stok Hareketleri'!$D$5:$D$2000,$A286,'Stok Hareketleri'!$F$5:$F$2000,"Çıkış",'Stok Hareketleri'!$C$5:$C$2000,$E$4))</f>
        <v/>
      </c>
      <c r="F286" s="5" t="str">
        <f t="shared" si="4"/>
        <v/>
      </c>
      <c r="G286" s="5" t="str">
        <f>IF($A286="","",IFERROR(INDEX('Stok Durumu'!$G$5:$G$300,MATCH($A286,'Stok Durumu'!$A$5:$A$300,0)),""))</f>
        <v/>
      </c>
    </row>
    <row r="287" spans="1:7" x14ac:dyDescent="0.3">
      <c r="A287" s="5" t="str">
        <f>IF('Malzeme Tanımlama'!A285="","",IF('Malzeme Tanımlama'!C285=$B$4,'Malzeme Tanımlama'!A285,""))</f>
        <v/>
      </c>
      <c r="B287" s="5" t="str">
        <f>IF($A287="","",'Malzeme Tanımlama'!B285)</f>
        <v/>
      </c>
      <c r="C287" s="5" t="str">
        <f>IF($A287="","",'Malzeme Tanımlama'!D285)</f>
        <v/>
      </c>
      <c r="D287" s="5" t="str">
        <f>IF($A287="","",SUMIFS('Stok Hareketleri'!$G$5:$G$2000,'Stok Hareketleri'!$D$5:$D$2000,$A287,'Stok Hareketleri'!$F$5:$F$2000,"Giriş",'Stok Hareketleri'!$C$5:$C$2000,$E$4))</f>
        <v/>
      </c>
      <c r="E287" s="5" t="str">
        <f>IF($A287="","",SUMIFS('Stok Hareketleri'!$G$5:$G$2000,'Stok Hareketleri'!$D$5:$D$2000,$A287,'Stok Hareketleri'!$F$5:$F$2000,"Çıkış",'Stok Hareketleri'!$C$5:$C$2000,$E$4))</f>
        <v/>
      </c>
      <c r="F287" s="5" t="str">
        <f t="shared" si="4"/>
        <v/>
      </c>
      <c r="G287" s="5" t="str">
        <f>IF($A287="","",IFERROR(INDEX('Stok Durumu'!$G$5:$G$300,MATCH($A287,'Stok Durumu'!$A$5:$A$300,0)),""))</f>
        <v/>
      </c>
    </row>
    <row r="288" spans="1:7" x14ac:dyDescent="0.3">
      <c r="A288" s="5" t="str">
        <f>IF('Malzeme Tanımlama'!A286="","",IF('Malzeme Tanımlama'!C286=$B$4,'Malzeme Tanımlama'!A286,""))</f>
        <v/>
      </c>
      <c r="B288" s="5" t="str">
        <f>IF($A288="","",'Malzeme Tanımlama'!B286)</f>
        <v/>
      </c>
      <c r="C288" s="5" t="str">
        <f>IF($A288="","",'Malzeme Tanımlama'!D286)</f>
        <v/>
      </c>
      <c r="D288" s="5" t="str">
        <f>IF($A288="","",SUMIFS('Stok Hareketleri'!$G$5:$G$2000,'Stok Hareketleri'!$D$5:$D$2000,$A288,'Stok Hareketleri'!$F$5:$F$2000,"Giriş",'Stok Hareketleri'!$C$5:$C$2000,$E$4))</f>
        <v/>
      </c>
      <c r="E288" s="5" t="str">
        <f>IF($A288="","",SUMIFS('Stok Hareketleri'!$G$5:$G$2000,'Stok Hareketleri'!$D$5:$D$2000,$A288,'Stok Hareketleri'!$F$5:$F$2000,"Çıkış",'Stok Hareketleri'!$C$5:$C$2000,$E$4))</f>
        <v/>
      </c>
      <c r="F288" s="5" t="str">
        <f t="shared" si="4"/>
        <v/>
      </c>
      <c r="G288" s="5" t="str">
        <f>IF($A288="","",IFERROR(INDEX('Stok Durumu'!$G$5:$G$300,MATCH($A288,'Stok Durumu'!$A$5:$A$300,0)),""))</f>
        <v/>
      </c>
    </row>
    <row r="289" spans="1:7" x14ac:dyDescent="0.3">
      <c r="A289" s="5" t="str">
        <f>IF('Malzeme Tanımlama'!A287="","",IF('Malzeme Tanımlama'!C287=$B$4,'Malzeme Tanımlama'!A287,""))</f>
        <v/>
      </c>
      <c r="B289" s="5" t="str">
        <f>IF($A289="","",'Malzeme Tanımlama'!B287)</f>
        <v/>
      </c>
      <c r="C289" s="5" t="str">
        <f>IF($A289="","",'Malzeme Tanımlama'!D287)</f>
        <v/>
      </c>
      <c r="D289" s="5" t="str">
        <f>IF($A289="","",SUMIFS('Stok Hareketleri'!$G$5:$G$2000,'Stok Hareketleri'!$D$5:$D$2000,$A289,'Stok Hareketleri'!$F$5:$F$2000,"Giriş",'Stok Hareketleri'!$C$5:$C$2000,$E$4))</f>
        <v/>
      </c>
      <c r="E289" s="5" t="str">
        <f>IF($A289="","",SUMIFS('Stok Hareketleri'!$G$5:$G$2000,'Stok Hareketleri'!$D$5:$D$2000,$A289,'Stok Hareketleri'!$F$5:$F$2000,"Çıkış",'Stok Hareketleri'!$C$5:$C$2000,$E$4))</f>
        <v/>
      </c>
      <c r="F289" s="5" t="str">
        <f t="shared" si="4"/>
        <v/>
      </c>
      <c r="G289" s="5" t="str">
        <f>IF($A289="","",IFERROR(INDEX('Stok Durumu'!$G$5:$G$300,MATCH($A289,'Stok Durumu'!$A$5:$A$300,0)),""))</f>
        <v/>
      </c>
    </row>
    <row r="290" spans="1:7" x14ac:dyDescent="0.3">
      <c r="A290" s="5" t="str">
        <f>IF('Malzeme Tanımlama'!A288="","",IF('Malzeme Tanımlama'!C288=$B$4,'Malzeme Tanımlama'!A288,""))</f>
        <v/>
      </c>
      <c r="B290" s="5" t="str">
        <f>IF($A290="","",'Malzeme Tanımlama'!B288)</f>
        <v/>
      </c>
      <c r="C290" s="5" t="str">
        <f>IF($A290="","",'Malzeme Tanımlama'!D288)</f>
        <v/>
      </c>
      <c r="D290" s="5" t="str">
        <f>IF($A290="","",SUMIFS('Stok Hareketleri'!$G$5:$G$2000,'Stok Hareketleri'!$D$5:$D$2000,$A290,'Stok Hareketleri'!$F$5:$F$2000,"Giriş",'Stok Hareketleri'!$C$5:$C$2000,$E$4))</f>
        <v/>
      </c>
      <c r="E290" s="5" t="str">
        <f>IF($A290="","",SUMIFS('Stok Hareketleri'!$G$5:$G$2000,'Stok Hareketleri'!$D$5:$D$2000,$A290,'Stok Hareketleri'!$F$5:$F$2000,"Çıkış",'Stok Hareketleri'!$C$5:$C$2000,$E$4))</f>
        <v/>
      </c>
      <c r="F290" s="5" t="str">
        <f t="shared" si="4"/>
        <v/>
      </c>
      <c r="G290" s="5" t="str">
        <f>IF($A290="","",IFERROR(INDEX('Stok Durumu'!$G$5:$G$300,MATCH($A290,'Stok Durumu'!$A$5:$A$300,0)),""))</f>
        <v/>
      </c>
    </row>
    <row r="291" spans="1:7" x14ac:dyDescent="0.3">
      <c r="A291" s="5" t="str">
        <f>IF('Malzeme Tanımlama'!A289="","",IF('Malzeme Tanımlama'!C289=$B$4,'Malzeme Tanımlama'!A289,""))</f>
        <v/>
      </c>
      <c r="B291" s="5" t="str">
        <f>IF($A291="","",'Malzeme Tanımlama'!B289)</f>
        <v/>
      </c>
      <c r="C291" s="5" t="str">
        <f>IF($A291="","",'Malzeme Tanımlama'!D289)</f>
        <v/>
      </c>
      <c r="D291" s="5" t="str">
        <f>IF($A291="","",SUMIFS('Stok Hareketleri'!$G$5:$G$2000,'Stok Hareketleri'!$D$5:$D$2000,$A291,'Stok Hareketleri'!$F$5:$F$2000,"Giriş",'Stok Hareketleri'!$C$5:$C$2000,$E$4))</f>
        <v/>
      </c>
      <c r="E291" s="5" t="str">
        <f>IF($A291="","",SUMIFS('Stok Hareketleri'!$G$5:$G$2000,'Stok Hareketleri'!$D$5:$D$2000,$A291,'Stok Hareketleri'!$F$5:$F$2000,"Çıkış",'Stok Hareketleri'!$C$5:$C$2000,$E$4))</f>
        <v/>
      </c>
      <c r="F291" s="5" t="str">
        <f t="shared" si="4"/>
        <v/>
      </c>
      <c r="G291" s="5" t="str">
        <f>IF($A291="","",IFERROR(INDEX('Stok Durumu'!$G$5:$G$300,MATCH($A291,'Stok Durumu'!$A$5:$A$300,0)),""))</f>
        <v/>
      </c>
    </row>
    <row r="292" spans="1:7" x14ac:dyDescent="0.3">
      <c r="A292" s="5" t="str">
        <f>IF('Malzeme Tanımlama'!A290="","",IF('Malzeme Tanımlama'!C290=$B$4,'Malzeme Tanımlama'!A290,""))</f>
        <v/>
      </c>
      <c r="B292" s="5" t="str">
        <f>IF($A292="","",'Malzeme Tanımlama'!B290)</f>
        <v/>
      </c>
      <c r="C292" s="5" t="str">
        <f>IF($A292="","",'Malzeme Tanımlama'!D290)</f>
        <v/>
      </c>
      <c r="D292" s="5" t="str">
        <f>IF($A292="","",SUMIFS('Stok Hareketleri'!$G$5:$G$2000,'Stok Hareketleri'!$D$5:$D$2000,$A292,'Stok Hareketleri'!$F$5:$F$2000,"Giriş",'Stok Hareketleri'!$C$5:$C$2000,$E$4))</f>
        <v/>
      </c>
      <c r="E292" s="5" t="str">
        <f>IF($A292="","",SUMIFS('Stok Hareketleri'!$G$5:$G$2000,'Stok Hareketleri'!$D$5:$D$2000,$A292,'Stok Hareketleri'!$F$5:$F$2000,"Çıkış",'Stok Hareketleri'!$C$5:$C$2000,$E$4))</f>
        <v/>
      </c>
      <c r="F292" s="5" t="str">
        <f t="shared" si="4"/>
        <v/>
      </c>
      <c r="G292" s="5" t="str">
        <f>IF($A292="","",IFERROR(INDEX('Stok Durumu'!$G$5:$G$300,MATCH($A292,'Stok Durumu'!$A$5:$A$300,0)),""))</f>
        <v/>
      </c>
    </row>
    <row r="293" spans="1:7" x14ac:dyDescent="0.3">
      <c r="A293" s="5" t="str">
        <f>IF('Malzeme Tanımlama'!A291="","",IF('Malzeme Tanımlama'!C291=$B$4,'Malzeme Tanımlama'!A291,""))</f>
        <v/>
      </c>
      <c r="B293" s="5" t="str">
        <f>IF($A293="","",'Malzeme Tanımlama'!B291)</f>
        <v/>
      </c>
      <c r="C293" s="5" t="str">
        <f>IF($A293="","",'Malzeme Tanımlama'!D291)</f>
        <v/>
      </c>
      <c r="D293" s="5" t="str">
        <f>IF($A293="","",SUMIFS('Stok Hareketleri'!$G$5:$G$2000,'Stok Hareketleri'!$D$5:$D$2000,$A293,'Stok Hareketleri'!$F$5:$F$2000,"Giriş",'Stok Hareketleri'!$C$5:$C$2000,$E$4))</f>
        <v/>
      </c>
      <c r="E293" s="5" t="str">
        <f>IF($A293="","",SUMIFS('Stok Hareketleri'!$G$5:$G$2000,'Stok Hareketleri'!$D$5:$D$2000,$A293,'Stok Hareketleri'!$F$5:$F$2000,"Çıkış",'Stok Hareketleri'!$C$5:$C$2000,$E$4))</f>
        <v/>
      </c>
      <c r="F293" s="5" t="str">
        <f t="shared" si="4"/>
        <v/>
      </c>
      <c r="G293" s="5" t="str">
        <f>IF($A293="","",IFERROR(INDEX('Stok Durumu'!$G$5:$G$300,MATCH($A293,'Stok Durumu'!$A$5:$A$300,0)),""))</f>
        <v/>
      </c>
    </row>
    <row r="294" spans="1:7" x14ac:dyDescent="0.3">
      <c r="A294" s="5" t="str">
        <f>IF('Malzeme Tanımlama'!A292="","",IF('Malzeme Tanımlama'!C292=$B$4,'Malzeme Tanımlama'!A292,""))</f>
        <v/>
      </c>
      <c r="B294" s="5" t="str">
        <f>IF($A294="","",'Malzeme Tanımlama'!B292)</f>
        <v/>
      </c>
      <c r="C294" s="5" t="str">
        <f>IF($A294="","",'Malzeme Tanımlama'!D292)</f>
        <v/>
      </c>
      <c r="D294" s="5" t="str">
        <f>IF($A294="","",SUMIFS('Stok Hareketleri'!$G$5:$G$2000,'Stok Hareketleri'!$D$5:$D$2000,$A294,'Stok Hareketleri'!$F$5:$F$2000,"Giriş",'Stok Hareketleri'!$C$5:$C$2000,$E$4))</f>
        <v/>
      </c>
      <c r="E294" s="5" t="str">
        <f>IF($A294="","",SUMIFS('Stok Hareketleri'!$G$5:$G$2000,'Stok Hareketleri'!$D$5:$D$2000,$A294,'Stok Hareketleri'!$F$5:$F$2000,"Çıkış",'Stok Hareketleri'!$C$5:$C$2000,$E$4))</f>
        <v/>
      </c>
      <c r="F294" s="5" t="str">
        <f t="shared" si="4"/>
        <v/>
      </c>
      <c r="G294" s="5" t="str">
        <f>IF($A294="","",IFERROR(INDEX('Stok Durumu'!$G$5:$G$300,MATCH($A294,'Stok Durumu'!$A$5:$A$300,0)),""))</f>
        <v/>
      </c>
    </row>
    <row r="295" spans="1:7" x14ac:dyDescent="0.3">
      <c r="A295" s="5" t="str">
        <f>IF('Malzeme Tanımlama'!A293="","",IF('Malzeme Tanımlama'!C293=$B$4,'Malzeme Tanımlama'!A293,""))</f>
        <v/>
      </c>
      <c r="B295" s="5" t="str">
        <f>IF($A295="","",'Malzeme Tanımlama'!B293)</f>
        <v/>
      </c>
      <c r="C295" s="5" t="str">
        <f>IF($A295="","",'Malzeme Tanımlama'!D293)</f>
        <v/>
      </c>
      <c r="D295" s="5" t="str">
        <f>IF($A295="","",SUMIFS('Stok Hareketleri'!$G$5:$G$2000,'Stok Hareketleri'!$D$5:$D$2000,$A295,'Stok Hareketleri'!$F$5:$F$2000,"Giriş",'Stok Hareketleri'!$C$5:$C$2000,$E$4))</f>
        <v/>
      </c>
      <c r="E295" s="5" t="str">
        <f>IF($A295="","",SUMIFS('Stok Hareketleri'!$G$5:$G$2000,'Stok Hareketleri'!$D$5:$D$2000,$A295,'Stok Hareketleri'!$F$5:$F$2000,"Çıkış",'Stok Hareketleri'!$C$5:$C$2000,$E$4))</f>
        <v/>
      </c>
      <c r="F295" s="5" t="str">
        <f t="shared" si="4"/>
        <v/>
      </c>
      <c r="G295" s="5" t="str">
        <f>IF($A295="","",IFERROR(INDEX('Stok Durumu'!$G$5:$G$300,MATCH($A295,'Stok Durumu'!$A$5:$A$300,0)),""))</f>
        <v/>
      </c>
    </row>
    <row r="296" spans="1:7" x14ac:dyDescent="0.3">
      <c r="A296" s="5" t="str">
        <f>IF('Malzeme Tanımlama'!A294="","",IF('Malzeme Tanımlama'!C294=$B$4,'Malzeme Tanımlama'!A294,""))</f>
        <v/>
      </c>
      <c r="B296" s="5" t="str">
        <f>IF($A296="","",'Malzeme Tanımlama'!B294)</f>
        <v/>
      </c>
      <c r="C296" s="5" t="str">
        <f>IF($A296="","",'Malzeme Tanımlama'!D294)</f>
        <v/>
      </c>
      <c r="D296" s="5" t="str">
        <f>IF($A296="","",SUMIFS('Stok Hareketleri'!$G$5:$G$2000,'Stok Hareketleri'!$D$5:$D$2000,$A296,'Stok Hareketleri'!$F$5:$F$2000,"Giriş",'Stok Hareketleri'!$C$5:$C$2000,$E$4))</f>
        <v/>
      </c>
      <c r="E296" s="5" t="str">
        <f>IF($A296="","",SUMIFS('Stok Hareketleri'!$G$5:$G$2000,'Stok Hareketleri'!$D$5:$D$2000,$A296,'Stok Hareketleri'!$F$5:$F$2000,"Çıkış",'Stok Hareketleri'!$C$5:$C$2000,$E$4))</f>
        <v/>
      </c>
      <c r="F296" s="5" t="str">
        <f t="shared" si="4"/>
        <v/>
      </c>
      <c r="G296" s="5" t="str">
        <f>IF($A296="","",IFERROR(INDEX('Stok Durumu'!$G$5:$G$300,MATCH($A296,'Stok Durumu'!$A$5:$A$300,0)),""))</f>
        <v/>
      </c>
    </row>
    <row r="297" spans="1:7" x14ac:dyDescent="0.3">
      <c r="A297" s="5" t="str">
        <f>IF('Malzeme Tanımlama'!A295="","",IF('Malzeme Tanımlama'!C295=$B$4,'Malzeme Tanımlama'!A295,""))</f>
        <v/>
      </c>
      <c r="B297" s="5" t="str">
        <f>IF($A297="","",'Malzeme Tanımlama'!B295)</f>
        <v/>
      </c>
      <c r="C297" s="5" t="str">
        <f>IF($A297="","",'Malzeme Tanımlama'!D295)</f>
        <v/>
      </c>
      <c r="D297" s="5" t="str">
        <f>IF($A297="","",SUMIFS('Stok Hareketleri'!$G$5:$G$2000,'Stok Hareketleri'!$D$5:$D$2000,$A297,'Stok Hareketleri'!$F$5:$F$2000,"Giriş",'Stok Hareketleri'!$C$5:$C$2000,$E$4))</f>
        <v/>
      </c>
      <c r="E297" s="5" t="str">
        <f>IF($A297="","",SUMIFS('Stok Hareketleri'!$G$5:$G$2000,'Stok Hareketleri'!$D$5:$D$2000,$A297,'Stok Hareketleri'!$F$5:$F$2000,"Çıkış",'Stok Hareketleri'!$C$5:$C$2000,$E$4))</f>
        <v/>
      </c>
      <c r="F297" s="5" t="str">
        <f t="shared" si="4"/>
        <v/>
      </c>
      <c r="G297" s="5" t="str">
        <f>IF($A297="","",IFERROR(INDEX('Stok Durumu'!$G$5:$G$300,MATCH($A297,'Stok Durumu'!$A$5:$A$300,0)),""))</f>
        <v/>
      </c>
    </row>
    <row r="298" spans="1:7" x14ac:dyDescent="0.3">
      <c r="A298" s="5" t="str">
        <f>IF('Malzeme Tanımlama'!A296="","",IF('Malzeme Tanımlama'!C296=$B$4,'Malzeme Tanımlama'!A296,""))</f>
        <v/>
      </c>
      <c r="B298" s="5" t="str">
        <f>IF($A298="","",'Malzeme Tanımlama'!B296)</f>
        <v/>
      </c>
      <c r="C298" s="5" t="str">
        <f>IF($A298="","",'Malzeme Tanımlama'!D296)</f>
        <v/>
      </c>
      <c r="D298" s="5" t="str">
        <f>IF($A298="","",SUMIFS('Stok Hareketleri'!$G$5:$G$2000,'Stok Hareketleri'!$D$5:$D$2000,$A298,'Stok Hareketleri'!$F$5:$F$2000,"Giriş",'Stok Hareketleri'!$C$5:$C$2000,$E$4))</f>
        <v/>
      </c>
      <c r="E298" s="5" t="str">
        <f>IF($A298="","",SUMIFS('Stok Hareketleri'!$G$5:$G$2000,'Stok Hareketleri'!$D$5:$D$2000,$A298,'Stok Hareketleri'!$F$5:$F$2000,"Çıkış",'Stok Hareketleri'!$C$5:$C$2000,$E$4))</f>
        <v/>
      </c>
      <c r="F298" s="5" t="str">
        <f t="shared" si="4"/>
        <v/>
      </c>
      <c r="G298" s="5" t="str">
        <f>IF($A298="","",IFERROR(INDEX('Stok Durumu'!$G$5:$G$300,MATCH($A298,'Stok Durumu'!$A$5:$A$300,0)),""))</f>
        <v/>
      </c>
    </row>
    <row r="299" spans="1:7" x14ac:dyDescent="0.3">
      <c r="A299" s="5" t="str">
        <f>IF('Malzeme Tanımlama'!A297="","",IF('Malzeme Tanımlama'!C297=$B$4,'Malzeme Tanımlama'!A297,""))</f>
        <v/>
      </c>
      <c r="B299" s="5" t="str">
        <f>IF($A299="","",'Malzeme Tanımlama'!B297)</f>
        <v/>
      </c>
      <c r="C299" s="5" t="str">
        <f>IF($A299="","",'Malzeme Tanımlama'!D297)</f>
        <v/>
      </c>
      <c r="D299" s="5" t="str">
        <f>IF($A299="","",SUMIFS('Stok Hareketleri'!$G$5:$G$2000,'Stok Hareketleri'!$D$5:$D$2000,$A299,'Stok Hareketleri'!$F$5:$F$2000,"Giriş",'Stok Hareketleri'!$C$5:$C$2000,$E$4))</f>
        <v/>
      </c>
      <c r="E299" s="5" t="str">
        <f>IF($A299="","",SUMIFS('Stok Hareketleri'!$G$5:$G$2000,'Stok Hareketleri'!$D$5:$D$2000,$A299,'Stok Hareketleri'!$F$5:$F$2000,"Çıkış",'Stok Hareketleri'!$C$5:$C$2000,$E$4))</f>
        <v/>
      </c>
      <c r="F299" s="5" t="str">
        <f t="shared" si="4"/>
        <v/>
      </c>
      <c r="G299" s="5" t="str">
        <f>IF($A299="","",IFERROR(INDEX('Stok Durumu'!$G$5:$G$300,MATCH($A299,'Stok Durumu'!$A$5:$A$300,0)),""))</f>
        <v/>
      </c>
    </row>
    <row r="300" spans="1:7" x14ac:dyDescent="0.3">
      <c r="A300" s="5" t="str">
        <f>IF('Malzeme Tanımlama'!A298="","",IF('Malzeme Tanımlama'!C298=$B$4,'Malzeme Tanımlama'!A298,""))</f>
        <v/>
      </c>
      <c r="B300" s="5" t="str">
        <f>IF($A300="","",'Malzeme Tanımlama'!B298)</f>
        <v/>
      </c>
      <c r="C300" s="5" t="str">
        <f>IF($A300="","",'Malzeme Tanımlama'!D298)</f>
        <v/>
      </c>
      <c r="D300" s="5" t="str">
        <f>IF($A300="","",SUMIFS('Stok Hareketleri'!$G$5:$G$2000,'Stok Hareketleri'!$D$5:$D$2000,$A300,'Stok Hareketleri'!$F$5:$F$2000,"Giriş",'Stok Hareketleri'!$C$5:$C$2000,$E$4))</f>
        <v/>
      </c>
      <c r="E300" s="5" t="str">
        <f>IF($A300="","",SUMIFS('Stok Hareketleri'!$G$5:$G$2000,'Stok Hareketleri'!$D$5:$D$2000,$A300,'Stok Hareketleri'!$F$5:$F$2000,"Çıkış",'Stok Hareketleri'!$C$5:$C$2000,$E$4))</f>
        <v/>
      </c>
      <c r="F300" s="5" t="str">
        <f t="shared" si="4"/>
        <v/>
      </c>
      <c r="G300" s="5" t="str">
        <f>IF($A300="","",IFERROR(INDEX('Stok Durumu'!$G$5:$G$300,MATCH($A300,'Stok Durumu'!$A$5:$A$300,0)),""))</f>
        <v/>
      </c>
    </row>
    <row r="301" spans="1:7" x14ac:dyDescent="0.3">
      <c r="A301" s="5" t="str">
        <f>IF('Malzeme Tanımlama'!A299="","",IF('Malzeme Tanımlama'!C299=$B$4,'Malzeme Tanımlama'!A299,""))</f>
        <v/>
      </c>
      <c r="B301" s="5" t="str">
        <f>IF($A301="","",'Malzeme Tanımlama'!B299)</f>
        <v/>
      </c>
      <c r="C301" s="5" t="str">
        <f>IF($A301="","",'Malzeme Tanımlama'!D299)</f>
        <v/>
      </c>
      <c r="D301" s="5" t="str">
        <f>IF($A301="","",SUMIFS('Stok Hareketleri'!$G$5:$G$2000,'Stok Hareketleri'!$D$5:$D$2000,$A301,'Stok Hareketleri'!$F$5:$F$2000,"Giriş",'Stok Hareketleri'!$C$5:$C$2000,$E$4))</f>
        <v/>
      </c>
      <c r="E301" s="5" t="str">
        <f>IF($A301="","",SUMIFS('Stok Hareketleri'!$G$5:$G$2000,'Stok Hareketleri'!$D$5:$D$2000,$A301,'Stok Hareketleri'!$F$5:$F$2000,"Çıkış",'Stok Hareketleri'!$C$5:$C$2000,$E$4))</f>
        <v/>
      </c>
      <c r="F301" s="5" t="str">
        <f t="shared" si="4"/>
        <v/>
      </c>
      <c r="G301" s="5" t="str">
        <f>IF($A301="","",IFERROR(INDEX('Stok Durumu'!$G$5:$G$300,MATCH($A301,'Stok Durumu'!$A$5:$A$300,0)),""))</f>
        <v/>
      </c>
    </row>
    <row r="302" spans="1:7" x14ac:dyDescent="0.3">
      <c r="A302" s="5" t="str">
        <f>IF('Malzeme Tanımlama'!A300="","",IF('Malzeme Tanımlama'!C300=$B$4,'Malzeme Tanımlama'!A300,""))</f>
        <v/>
      </c>
      <c r="B302" s="5" t="str">
        <f>IF($A302="","",'Malzeme Tanımlama'!B300)</f>
        <v/>
      </c>
      <c r="C302" s="5" t="str">
        <f>IF($A302="","",'Malzeme Tanımlama'!D300)</f>
        <v/>
      </c>
      <c r="D302" s="5" t="str">
        <f>IF($A302="","",SUMIFS('Stok Hareketleri'!$G$5:$G$2000,'Stok Hareketleri'!$D$5:$D$2000,$A302,'Stok Hareketleri'!$F$5:$F$2000,"Giriş",'Stok Hareketleri'!$C$5:$C$2000,$E$4))</f>
        <v/>
      </c>
      <c r="E302" s="5" t="str">
        <f>IF($A302="","",SUMIFS('Stok Hareketleri'!$G$5:$G$2000,'Stok Hareketleri'!$D$5:$D$2000,$A302,'Stok Hareketleri'!$F$5:$F$2000,"Çıkış",'Stok Hareketleri'!$C$5:$C$2000,$E$4))</f>
        <v/>
      </c>
      <c r="F302" s="5" t="str">
        <f t="shared" si="4"/>
        <v/>
      </c>
      <c r="G302" s="5" t="str">
        <f>IF($A302="","",IFERROR(INDEX('Stok Durumu'!$G$5:$G$300,MATCH($A302,'Stok Durumu'!$A$5:$A$300,0)),""))</f>
        <v/>
      </c>
    </row>
    <row r="303" spans="1:7" x14ac:dyDescent="0.3">
      <c r="A303" s="9" t="s">
        <v>47</v>
      </c>
      <c r="B303" s="10"/>
      <c r="C303" s="10"/>
      <c r="D303" s="9">
        <f>SUM(D7:D302)</f>
        <v>0</v>
      </c>
      <c r="E303" s="9">
        <f>SUM(E7:E302)</f>
        <v>0</v>
      </c>
      <c r="F303" s="9">
        <f>SUM(F7:F302)</f>
        <v>0</v>
      </c>
      <c r="G303" s="10"/>
    </row>
    <row r="305" spans="1:6" x14ac:dyDescent="0.3">
      <c r="A305" s="4" t="s">
        <v>48</v>
      </c>
    </row>
    <row r="306" spans="1:6" x14ac:dyDescent="0.3">
      <c r="A306" s="4" t="s">
        <v>49</v>
      </c>
    </row>
    <row r="308" spans="1:6" x14ac:dyDescent="0.3">
      <c r="A308" s="15" t="s">
        <v>50</v>
      </c>
      <c r="B308" s="15"/>
      <c r="C308" s="15" t="s">
        <v>51</v>
      </c>
      <c r="D308" s="15"/>
      <c r="E308" s="15" t="s">
        <v>52</v>
      </c>
      <c r="F308" s="15"/>
    </row>
    <row r="309" spans="1:6" x14ac:dyDescent="0.3">
      <c r="A309" s="16"/>
      <c r="B309" s="16"/>
      <c r="C309" s="16"/>
      <c r="D309" s="16"/>
      <c r="E309" s="16"/>
      <c r="F309" s="16"/>
    </row>
    <row r="310" spans="1:6" x14ac:dyDescent="0.3">
      <c r="A310" s="16"/>
      <c r="B310" s="16"/>
      <c r="C310" s="16"/>
      <c r="D310" s="16"/>
      <c r="E310" s="16"/>
      <c r="F310" s="16"/>
    </row>
    <row r="311" spans="1:6" x14ac:dyDescent="0.3">
      <c r="A311" s="16"/>
      <c r="B311" s="16"/>
      <c r="C311" s="16"/>
      <c r="D311" s="16"/>
      <c r="E311" s="16"/>
      <c r="F311" s="16"/>
    </row>
  </sheetData>
  <mergeCells count="7">
    <mergeCell ref="A1:G1"/>
    <mergeCell ref="A308:B308"/>
    <mergeCell ref="C308:D308"/>
    <mergeCell ref="E308:F308"/>
    <mergeCell ref="A309:B311"/>
    <mergeCell ref="C309:D311"/>
    <mergeCell ref="E309:F311"/>
  </mergeCells>
  <dataValidations count="2">
    <dataValidation type="list" showErrorMessage="1" error="Lütfen listeden kategori seçin." sqref="B4">
      <formula1>LST_KATEGORI</formula1>
      <formula2>0</formula2>
    </dataValidation>
    <dataValidation type="list" showErrorMessage="1" error="Lütfen listeden ay seçin." sqref="E4">
      <formula1>LST_AY</formula1>
      <formula2>0</formula2>
    </dataValidation>
  </dataValidations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zoomScaleNormal="100" workbookViewId="0"/>
  </sheetViews>
  <sheetFormatPr defaultColWidth="8.6640625" defaultRowHeight="14.4" x14ac:dyDescent="0.3"/>
  <cols>
    <col min="1" max="1" width="32" customWidth="1"/>
    <col min="2" max="2" width="28" customWidth="1"/>
    <col min="3" max="3" width="10" customWidth="1"/>
    <col min="4" max="4" width="26" customWidth="1"/>
    <col min="5" max="6" width="12" customWidth="1"/>
  </cols>
  <sheetData>
    <row r="1" spans="1:6" ht="16.8" x14ac:dyDescent="0.3">
      <c r="A1" s="11" t="s">
        <v>53</v>
      </c>
    </row>
    <row r="3" spans="1:6" x14ac:dyDescent="0.3">
      <c r="A3" s="12" t="s">
        <v>54</v>
      </c>
      <c r="B3" s="12" t="s">
        <v>4</v>
      </c>
      <c r="C3" s="12" t="s">
        <v>5</v>
      </c>
      <c r="D3" s="12" t="s">
        <v>6</v>
      </c>
      <c r="E3" s="12" t="s">
        <v>22</v>
      </c>
      <c r="F3" s="12" t="s">
        <v>21</v>
      </c>
    </row>
    <row r="4" spans="1:6" x14ac:dyDescent="0.3">
      <c r="A4" s="13" t="s">
        <v>55</v>
      </c>
      <c r="B4" s="13" t="s">
        <v>40</v>
      </c>
      <c r="C4" s="13" t="s">
        <v>13</v>
      </c>
      <c r="D4" s="13" t="s">
        <v>14</v>
      </c>
      <c r="E4" s="13" t="s">
        <v>56</v>
      </c>
      <c r="F4" s="13" t="s">
        <v>42</v>
      </c>
    </row>
    <row r="5" spans="1:6" x14ac:dyDescent="0.3">
      <c r="A5" s="13" t="s">
        <v>27</v>
      </c>
      <c r="B5" s="13" t="s">
        <v>57</v>
      </c>
      <c r="C5" s="13" t="s">
        <v>58</v>
      </c>
      <c r="D5" s="13" t="s">
        <v>59</v>
      </c>
      <c r="E5" s="13" t="s">
        <v>26</v>
      </c>
      <c r="F5" s="13" t="s">
        <v>60</v>
      </c>
    </row>
    <row r="6" spans="1:6" x14ac:dyDescent="0.3">
      <c r="A6" s="13" t="s">
        <v>61</v>
      </c>
      <c r="B6" s="13" t="s">
        <v>12</v>
      </c>
      <c r="C6" s="13" t="s">
        <v>62</v>
      </c>
      <c r="D6" s="13" t="s">
        <v>63</v>
      </c>
      <c r="F6" s="13" t="s">
        <v>64</v>
      </c>
    </row>
    <row r="7" spans="1:6" x14ac:dyDescent="0.3">
      <c r="A7" s="13" t="s">
        <v>65</v>
      </c>
      <c r="B7" s="13" t="s">
        <v>66</v>
      </c>
      <c r="C7" s="13" t="s">
        <v>67</v>
      </c>
      <c r="D7" s="13" t="s">
        <v>68</v>
      </c>
      <c r="F7" s="13" t="s">
        <v>69</v>
      </c>
    </row>
    <row r="8" spans="1:6" x14ac:dyDescent="0.3">
      <c r="A8" s="13" t="s">
        <v>70</v>
      </c>
      <c r="B8" s="13" t="s">
        <v>71</v>
      </c>
      <c r="C8" s="13" t="s">
        <v>72</v>
      </c>
      <c r="D8" s="13" t="s">
        <v>73</v>
      </c>
      <c r="F8" s="13" t="s">
        <v>74</v>
      </c>
    </row>
    <row r="9" spans="1:6" x14ac:dyDescent="0.3">
      <c r="A9" s="13" t="s">
        <v>75</v>
      </c>
      <c r="B9" s="13" t="s">
        <v>76</v>
      </c>
      <c r="C9" s="13" t="s">
        <v>77</v>
      </c>
      <c r="F9" s="13" t="s">
        <v>78</v>
      </c>
    </row>
    <row r="10" spans="1:6" x14ac:dyDescent="0.3">
      <c r="A10" s="13" t="s">
        <v>79</v>
      </c>
      <c r="B10" s="13" t="s">
        <v>80</v>
      </c>
      <c r="C10" s="13" t="s">
        <v>81</v>
      </c>
      <c r="F10" s="13" t="s">
        <v>82</v>
      </c>
    </row>
    <row r="11" spans="1:6" x14ac:dyDescent="0.3">
      <c r="A11" s="13" t="s">
        <v>83</v>
      </c>
      <c r="B11" s="13" t="s">
        <v>84</v>
      </c>
      <c r="C11" s="13" t="s">
        <v>85</v>
      </c>
      <c r="F11" s="13" t="s">
        <v>86</v>
      </c>
    </row>
    <row r="12" spans="1:6" x14ac:dyDescent="0.3">
      <c r="A12" s="13" t="s">
        <v>87</v>
      </c>
      <c r="B12" s="13" t="s">
        <v>88</v>
      </c>
      <c r="C12" s="13" t="s">
        <v>89</v>
      </c>
      <c r="F12" s="13" t="s">
        <v>90</v>
      </c>
    </row>
    <row r="13" spans="1:6" x14ac:dyDescent="0.3">
      <c r="A13" s="13" t="s">
        <v>91</v>
      </c>
      <c r="B13" s="13" t="s">
        <v>92</v>
      </c>
      <c r="C13" s="13" t="s">
        <v>93</v>
      </c>
      <c r="F13" s="13" t="s">
        <v>94</v>
      </c>
    </row>
    <row r="14" spans="1:6" x14ac:dyDescent="0.3">
      <c r="A14" s="13" t="s">
        <v>95</v>
      </c>
      <c r="B14" s="13" t="s">
        <v>96</v>
      </c>
      <c r="C14" s="13" t="s">
        <v>97</v>
      </c>
      <c r="F14" s="13" t="s">
        <v>98</v>
      </c>
    </row>
    <row r="15" spans="1:6" x14ac:dyDescent="0.3">
      <c r="A15" s="13" t="s">
        <v>99</v>
      </c>
      <c r="F15" s="13" t="s">
        <v>100</v>
      </c>
    </row>
    <row r="16" spans="1:6" x14ac:dyDescent="0.3">
      <c r="A16" s="13" t="s">
        <v>101</v>
      </c>
    </row>
    <row r="17" spans="1:1" x14ac:dyDescent="0.3">
      <c r="A17" s="13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8</vt:i4>
      </vt:variant>
    </vt:vector>
  </HeadingPairs>
  <TitlesOfParts>
    <vt:vector size="13" baseType="lpstr">
      <vt:lpstr>Malzeme Tanımlama</vt:lpstr>
      <vt:lpstr>Stok Hareketleri</vt:lpstr>
      <vt:lpstr>Stok Durumu</vt:lpstr>
      <vt:lpstr>Aylık Hareket Raporu</vt:lpstr>
      <vt:lpstr>Parametreler</vt:lpstr>
      <vt:lpstr>LST_AY</vt:lpstr>
      <vt:lpstr>LST_BIRIM</vt:lpstr>
      <vt:lpstr>LST_DEPO</vt:lpstr>
      <vt:lpstr>LST_HAREKETTURU</vt:lpstr>
      <vt:lpstr>LST_KATEGORI</vt:lpstr>
      <vt:lpstr>LST_MALZEMEKODU</vt:lpstr>
      <vt:lpstr>LST_MUDURLUK</vt:lpstr>
      <vt:lpstr>'Aylık Hareket Raporu'!Yazdırma_Alanı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Kadim</cp:lastModifiedBy>
  <cp:revision>0</cp:revision>
  <dcterms:created xsi:type="dcterms:W3CDTF">2026-07-13T06:46:55Z</dcterms:created>
  <dcterms:modified xsi:type="dcterms:W3CDTF">2026-07-13T10:27:19Z</dcterms:modified>
  <cp:category/>
  <cp:contentStatus/>
</cp:coreProperties>
</file>