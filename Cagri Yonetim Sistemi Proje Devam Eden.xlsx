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23040" windowHeight="9204" tabRatio="500" firstSheet="1" activeTab="1"/>
  </bookViews>
  <sheets>
    <sheet name="LİSTELER" sheetId="1" state="hidden" r:id="rId1"/>
    <sheet name="TANIMLAMALAR" sheetId="2" r:id="rId2"/>
    <sheet name="ŞİKAYET KAYIT" sheetId="3" r:id="rId3"/>
    <sheet name="AKTİF İŞLER" sheetId="4" r:id="rId4"/>
    <sheet name="KAPALI İŞLER" sheetId="5" r:id="rId5"/>
    <sheet name="İSTATİSTİK" sheetId="6" r:id="rId6"/>
    <sheet name="RAPORLAMA" sheetId="7" r:id="rId7"/>
  </sheets>
  <definedNames>
    <definedName name="_xlnm.Print_Area" localSheetId="6">RAPORLAMA!$A$1:$J$27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7" i="7" l="1"/>
  <c r="H24" i="7"/>
  <c r="H22" i="7"/>
  <c r="D22" i="7"/>
  <c r="H21" i="7"/>
  <c r="D21" i="7"/>
  <c r="H20" i="7"/>
  <c r="D20" i="7"/>
  <c r="A16" i="7"/>
  <c r="H14" i="7"/>
  <c r="D14" i="7"/>
  <c r="H12" i="7"/>
  <c r="D12" i="7"/>
  <c r="H11" i="7"/>
  <c r="D11" i="7"/>
  <c r="H10" i="7"/>
  <c r="D10" i="7"/>
  <c r="H9" i="7"/>
  <c r="D9" i="7"/>
  <c r="H8" i="7"/>
  <c r="D8" i="7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B6" i="7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B10" i="6"/>
  <c r="B9" i="6"/>
  <c r="B8" i="6"/>
  <c r="B7" i="6"/>
  <c r="B6" i="6"/>
  <c r="B5" i="6"/>
  <c r="A2" i="6"/>
  <c r="M503" i="5"/>
  <c r="L503" i="5"/>
  <c r="K503" i="5"/>
  <c r="J503" i="5"/>
  <c r="I503" i="5"/>
  <c r="H503" i="5"/>
  <c r="G503" i="5"/>
  <c r="F503" i="5"/>
  <c r="E503" i="5"/>
  <c r="D503" i="5"/>
  <c r="C503" i="5"/>
  <c r="B503" i="5"/>
  <c r="A503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A502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A501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A500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A499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A498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A497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A496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A495" i="5"/>
  <c r="M494" i="5"/>
  <c r="L494" i="5"/>
  <c r="K494" i="5"/>
  <c r="J494" i="5"/>
  <c r="I494" i="5"/>
  <c r="H494" i="5"/>
  <c r="G494" i="5"/>
  <c r="F494" i="5"/>
  <c r="E494" i="5"/>
  <c r="D494" i="5"/>
  <c r="C494" i="5"/>
  <c r="B494" i="5"/>
  <c r="A494" i="5"/>
  <c r="M493" i="5"/>
  <c r="L493" i="5"/>
  <c r="K493" i="5"/>
  <c r="J493" i="5"/>
  <c r="I493" i="5"/>
  <c r="H493" i="5"/>
  <c r="G493" i="5"/>
  <c r="F493" i="5"/>
  <c r="E493" i="5"/>
  <c r="D493" i="5"/>
  <c r="C493" i="5"/>
  <c r="B493" i="5"/>
  <c r="A493" i="5"/>
  <c r="M492" i="5"/>
  <c r="L492" i="5"/>
  <c r="K492" i="5"/>
  <c r="J492" i="5"/>
  <c r="I492" i="5"/>
  <c r="H492" i="5"/>
  <c r="G492" i="5"/>
  <c r="F492" i="5"/>
  <c r="E492" i="5"/>
  <c r="D492" i="5"/>
  <c r="C492" i="5"/>
  <c r="B492" i="5"/>
  <c r="A492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A491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A490" i="5"/>
  <c r="M489" i="5"/>
  <c r="L489" i="5"/>
  <c r="K489" i="5"/>
  <c r="J489" i="5"/>
  <c r="I489" i="5"/>
  <c r="H489" i="5"/>
  <c r="G489" i="5"/>
  <c r="F489" i="5"/>
  <c r="E489" i="5"/>
  <c r="D489" i="5"/>
  <c r="C489" i="5"/>
  <c r="B489" i="5"/>
  <c r="A489" i="5"/>
  <c r="M488" i="5"/>
  <c r="L488" i="5"/>
  <c r="K488" i="5"/>
  <c r="J488" i="5"/>
  <c r="I488" i="5"/>
  <c r="H488" i="5"/>
  <c r="G488" i="5"/>
  <c r="F488" i="5"/>
  <c r="E488" i="5"/>
  <c r="D488" i="5"/>
  <c r="C488" i="5"/>
  <c r="B488" i="5"/>
  <c r="A488" i="5"/>
  <c r="M487" i="5"/>
  <c r="L487" i="5"/>
  <c r="K487" i="5"/>
  <c r="J487" i="5"/>
  <c r="I487" i="5"/>
  <c r="H487" i="5"/>
  <c r="G487" i="5"/>
  <c r="F487" i="5"/>
  <c r="E487" i="5"/>
  <c r="D487" i="5"/>
  <c r="C487" i="5"/>
  <c r="B487" i="5"/>
  <c r="A487" i="5"/>
  <c r="M486" i="5"/>
  <c r="L486" i="5"/>
  <c r="K486" i="5"/>
  <c r="J486" i="5"/>
  <c r="I486" i="5"/>
  <c r="H486" i="5"/>
  <c r="G486" i="5"/>
  <c r="F486" i="5"/>
  <c r="E486" i="5"/>
  <c r="D486" i="5"/>
  <c r="C486" i="5"/>
  <c r="B486" i="5"/>
  <c r="A486" i="5"/>
  <c r="M485" i="5"/>
  <c r="L485" i="5"/>
  <c r="K485" i="5"/>
  <c r="J485" i="5"/>
  <c r="I485" i="5"/>
  <c r="H485" i="5"/>
  <c r="G485" i="5"/>
  <c r="F485" i="5"/>
  <c r="E485" i="5"/>
  <c r="D485" i="5"/>
  <c r="C485" i="5"/>
  <c r="B485" i="5"/>
  <c r="A485" i="5"/>
  <c r="M484" i="5"/>
  <c r="L484" i="5"/>
  <c r="K484" i="5"/>
  <c r="J484" i="5"/>
  <c r="I484" i="5"/>
  <c r="H484" i="5"/>
  <c r="G484" i="5"/>
  <c r="F484" i="5"/>
  <c r="E484" i="5"/>
  <c r="D484" i="5"/>
  <c r="C484" i="5"/>
  <c r="B484" i="5"/>
  <c r="A484" i="5"/>
  <c r="M483" i="5"/>
  <c r="L483" i="5"/>
  <c r="K483" i="5"/>
  <c r="J483" i="5"/>
  <c r="I483" i="5"/>
  <c r="H483" i="5"/>
  <c r="G483" i="5"/>
  <c r="F483" i="5"/>
  <c r="E483" i="5"/>
  <c r="D483" i="5"/>
  <c r="C483" i="5"/>
  <c r="B483" i="5"/>
  <c r="A483" i="5"/>
  <c r="M482" i="5"/>
  <c r="L482" i="5"/>
  <c r="K482" i="5"/>
  <c r="J482" i="5"/>
  <c r="I482" i="5"/>
  <c r="H482" i="5"/>
  <c r="G482" i="5"/>
  <c r="F482" i="5"/>
  <c r="E482" i="5"/>
  <c r="D482" i="5"/>
  <c r="C482" i="5"/>
  <c r="B482" i="5"/>
  <c r="A482" i="5"/>
  <c r="M481" i="5"/>
  <c r="L481" i="5"/>
  <c r="K481" i="5"/>
  <c r="J481" i="5"/>
  <c r="I481" i="5"/>
  <c r="H481" i="5"/>
  <c r="G481" i="5"/>
  <c r="F481" i="5"/>
  <c r="E481" i="5"/>
  <c r="D481" i="5"/>
  <c r="C481" i="5"/>
  <c r="B481" i="5"/>
  <c r="A481" i="5"/>
  <c r="M480" i="5"/>
  <c r="L480" i="5"/>
  <c r="K480" i="5"/>
  <c r="J480" i="5"/>
  <c r="I480" i="5"/>
  <c r="H480" i="5"/>
  <c r="G480" i="5"/>
  <c r="F480" i="5"/>
  <c r="E480" i="5"/>
  <c r="D480" i="5"/>
  <c r="C480" i="5"/>
  <c r="B480" i="5"/>
  <c r="A480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A479" i="5"/>
  <c r="M478" i="5"/>
  <c r="L478" i="5"/>
  <c r="K478" i="5"/>
  <c r="J478" i="5"/>
  <c r="I478" i="5"/>
  <c r="H478" i="5"/>
  <c r="G478" i="5"/>
  <c r="F478" i="5"/>
  <c r="E478" i="5"/>
  <c r="D478" i="5"/>
  <c r="C478" i="5"/>
  <c r="B478" i="5"/>
  <c r="A478" i="5"/>
  <c r="M477" i="5"/>
  <c r="L477" i="5"/>
  <c r="K477" i="5"/>
  <c r="J477" i="5"/>
  <c r="I477" i="5"/>
  <c r="H477" i="5"/>
  <c r="G477" i="5"/>
  <c r="F477" i="5"/>
  <c r="E477" i="5"/>
  <c r="D477" i="5"/>
  <c r="C477" i="5"/>
  <c r="B477" i="5"/>
  <c r="A477" i="5"/>
  <c r="M476" i="5"/>
  <c r="L476" i="5"/>
  <c r="K476" i="5"/>
  <c r="J476" i="5"/>
  <c r="I476" i="5"/>
  <c r="H476" i="5"/>
  <c r="G476" i="5"/>
  <c r="F476" i="5"/>
  <c r="E476" i="5"/>
  <c r="D476" i="5"/>
  <c r="C476" i="5"/>
  <c r="B476" i="5"/>
  <c r="A476" i="5"/>
  <c r="M475" i="5"/>
  <c r="L475" i="5"/>
  <c r="K475" i="5"/>
  <c r="J475" i="5"/>
  <c r="I475" i="5"/>
  <c r="H475" i="5"/>
  <c r="G475" i="5"/>
  <c r="F475" i="5"/>
  <c r="E475" i="5"/>
  <c r="D475" i="5"/>
  <c r="C475" i="5"/>
  <c r="B475" i="5"/>
  <c r="A475" i="5"/>
  <c r="M474" i="5"/>
  <c r="L474" i="5"/>
  <c r="K474" i="5"/>
  <c r="J474" i="5"/>
  <c r="I474" i="5"/>
  <c r="H474" i="5"/>
  <c r="G474" i="5"/>
  <c r="F474" i="5"/>
  <c r="E474" i="5"/>
  <c r="D474" i="5"/>
  <c r="C474" i="5"/>
  <c r="B474" i="5"/>
  <c r="A474" i="5"/>
  <c r="M473" i="5"/>
  <c r="L473" i="5"/>
  <c r="K473" i="5"/>
  <c r="J473" i="5"/>
  <c r="I473" i="5"/>
  <c r="H473" i="5"/>
  <c r="G473" i="5"/>
  <c r="F473" i="5"/>
  <c r="E473" i="5"/>
  <c r="D473" i="5"/>
  <c r="C473" i="5"/>
  <c r="B473" i="5"/>
  <c r="A473" i="5"/>
  <c r="M472" i="5"/>
  <c r="L472" i="5"/>
  <c r="K472" i="5"/>
  <c r="J472" i="5"/>
  <c r="I472" i="5"/>
  <c r="H472" i="5"/>
  <c r="G472" i="5"/>
  <c r="F472" i="5"/>
  <c r="E472" i="5"/>
  <c r="D472" i="5"/>
  <c r="C472" i="5"/>
  <c r="B472" i="5"/>
  <c r="A472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A471" i="5"/>
  <c r="M470" i="5"/>
  <c r="L470" i="5"/>
  <c r="K470" i="5"/>
  <c r="J470" i="5"/>
  <c r="I470" i="5"/>
  <c r="H470" i="5"/>
  <c r="G470" i="5"/>
  <c r="F470" i="5"/>
  <c r="E470" i="5"/>
  <c r="D470" i="5"/>
  <c r="C470" i="5"/>
  <c r="B470" i="5"/>
  <c r="A470" i="5"/>
  <c r="M469" i="5"/>
  <c r="L469" i="5"/>
  <c r="K469" i="5"/>
  <c r="J469" i="5"/>
  <c r="I469" i="5"/>
  <c r="H469" i="5"/>
  <c r="G469" i="5"/>
  <c r="F469" i="5"/>
  <c r="E469" i="5"/>
  <c r="D469" i="5"/>
  <c r="C469" i="5"/>
  <c r="B469" i="5"/>
  <c r="A469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A468" i="5"/>
  <c r="M467" i="5"/>
  <c r="L467" i="5"/>
  <c r="K467" i="5"/>
  <c r="J467" i="5"/>
  <c r="I467" i="5"/>
  <c r="H467" i="5"/>
  <c r="G467" i="5"/>
  <c r="F467" i="5"/>
  <c r="E467" i="5"/>
  <c r="D467" i="5"/>
  <c r="C467" i="5"/>
  <c r="B467" i="5"/>
  <c r="A467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A466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A465" i="5"/>
  <c r="M464" i="5"/>
  <c r="L464" i="5"/>
  <c r="K464" i="5"/>
  <c r="J464" i="5"/>
  <c r="I464" i="5"/>
  <c r="H464" i="5"/>
  <c r="G464" i="5"/>
  <c r="F464" i="5"/>
  <c r="E464" i="5"/>
  <c r="D464" i="5"/>
  <c r="C464" i="5"/>
  <c r="B464" i="5"/>
  <c r="A464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A463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A462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A461" i="5"/>
  <c r="M460" i="5"/>
  <c r="L460" i="5"/>
  <c r="K460" i="5"/>
  <c r="J460" i="5"/>
  <c r="I460" i="5"/>
  <c r="H460" i="5"/>
  <c r="G460" i="5"/>
  <c r="F460" i="5"/>
  <c r="E460" i="5"/>
  <c r="D460" i="5"/>
  <c r="C460" i="5"/>
  <c r="B460" i="5"/>
  <c r="A460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A459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A458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A457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A456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A455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A454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A453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A452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A451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A450" i="5"/>
  <c r="M449" i="5"/>
  <c r="L449" i="5"/>
  <c r="K449" i="5"/>
  <c r="J449" i="5"/>
  <c r="I449" i="5"/>
  <c r="H449" i="5"/>
  <c r="G449" i="5"/>
  <c r="F449" i="5"/>
  <c r="E449" i="5"/>
  <c r="D449" i="5"/>
  <c r="C449" i="5"/>
  <c r="B449" i="5"/>
  <c r="A449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A448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A447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A446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A445" i="5"/>
  <c r="M444" i="5"/>
  <c r="L444" i="5"/>
  <c r="K444" i="5"/>
  <c r="J444" i="5"/>
  <c r="I444" i="5"/>
  <c r="H444" i="5"/>
  <c r="G444" i="5"/>
  <c r="F444" i="5"/>
  <c r="E444" i="5"/>
  <c r="D444" i="5"/>
  <c r="C444" i="5"/>
  <c r="B444" i="5"/>
  <c r="A444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A443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A442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A441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A440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A439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A438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A437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A436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A435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A434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A433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A432" i="5"/>
  <c r="M431" i="5"/>
  <c r="L431" i="5"/>
  <c r="K431" i="5"/>
  <c r="J431" i="5"/>
  <c r="I431" i="5"/>
  <c r="H431" i="5"/>
  <c r="G431" i="5"/>
  <c r="F431" i="5"/>
  <c r="E431" i="5"/>
  <c r="D431" i="5"/>
  <c r="C431" i="5"/>
  <c r="B431" i="5"/>
  <c r="A431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A430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A429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A428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A427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426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A425" i="5"/>
  <c r="M424" i="5"/>
  <c r="L424" i="5"/>
  <c r="K424" i="5"/>
  <c r="J424" i="5"/>
  <c r="I424" i="5"/>
  <c r="H424" i="5"/>
  <c r="G424" i="5"/>
  <c r="F424" i="5"/>
  <c r="E424" i="5"/>
  <c r="D424" i="5"/>
  <c r="C424" i="5"/>
  <c r="B424" i="5"/>
  <c r="A424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A423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A422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A421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A420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A419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A418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A417" i="5"/>
  <c r="M416" i="5"/>
  <c r="L416" i="5"/>
  <c r="K416" i="5"/>
  <c r="J416" i="5"/>
  <c r="I416" i="5"/>
  <c r="H416" i="5"/>
  <c r="G416" i="5"/>
  <c r="F416" i="5"/>
  <c r="E416" i="5"/>
  <c r="D416" i="5"/>
  <c r="C416" i="5"/>
  <c r="B416" i="5"/>
  <c r="A416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A415" i="5"/>
  <c r="M414" i="5"/>
  <c r="L414" i="5"/>
  <c r="K414" i="5"/>
  <c r="J414" i="5"/>
  <c r="I414" i="5"/>
  <c r="H414" i="5"/>
  <c r="G414" i="5"/>
  <c r="F414" i="5"/>
  <c r="E414" i="5"/>
  <c r="D414" i="5"/>
  <c r="C414" i="5"/>
  <c r="B414" i="5"/>
  <c r="A414" i="5"/>
  <c r="M413" i="5"/>
  <c r="L413" i="5"/>
  <c r="K413" i="5"/>
  <c r="J413" i="5"/>
  <c r="I413" i="5"/>
  <c r="H413" i="5"/>
  <c r="G413" i="5"/>
  <c r="F413" i="5"/>
  <c r="E413" i="5"/>
  <c r="D413" i="5"/>
  <c r="C413" i="5"/>
  <c r="B413" i="5"/>
  <c r="A413" i="5"/>
  <c r="M412" i="5"/>
  <c r="L412" i="5"/>
  <c r="K412" i="5"/>
  <c r="J412" i="5"/>
  <c r="I412" i="5"/>
  <c r="H412" i="5"/>
  <c r="G412" i="5"/>
  <c r="F412" i="5"/>
  <c r="E412" i="5"/>
  <c r="D412" i="5"/>
  <c r="C412" i="5"/>
  <c r="B412" i="5"/>
  <c r="A412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A411" i="5"/>
  <c r="M410" i="5"/>
  <c r="L410" i="5"/>
  <c r="K410" i="5"/>
  <c r="J410" i="5"/>
  <c r="I410" i="5"/>
  <c r="H410" i="5"/>
  <c r="G410" i="5"/>
  <c r="F410" i="5"/>
  <c r="E410" i="5"/>
  <c r="D410" i="5"/>
  <c r="C410" i="5"/>
  <c r="B410" i="5"/>
  <c r="A410" i="5"/>
  <c r="M409" i="5"/>
  <c r="L409" i="5"/>
  <c r="K409" i="5"/>
  <c r="J409" i="5"/>
  <c r="I409" i="5"/>
  <c r="H409" i="5"/>
  <c r="G409" i="5"/>
  <c r="F409" i="5"/>
  <c r="E409" i="5"/>
  <c r="D409" i="5"/>
  <c r="C409" i="5"/>
  <c r="B409" i="5"/>
  <c r="A409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A408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A407" i="5"/>
  <c r="M406" i="5"/>
  <c r="L406" i="5"/>
  <c r="K406" i="5"/>
  <c r="J406" i="5"/>
  <c r="I406" i="5"/>
  <c r="H406" i="5"/>
  <c r="G406" i="5"/>
  <c r="F406" i="5"/>
  <c r="E406" i="5"/>
  <c r="D406" i="5"/>
  <c r="C406" i="5"/>
  <c r="B406" i="5"/>
  <c r="A406" i="5"/>
  <c r="M405" i="5"/>
  <c r="L405" i="5"/>
  <c r="K405" i="5"/>
  <c r="J405" i="5"/>
  <c r="I405" i="5"/>
  <c r="H405" i="5"/>
  <c r="G405" i="5"/>
  <c r="F405" i="5"/>
  <c r="E405" i="5"/>
  <c r="D405" i="5"/>
  <c r="C405" i="5"/>
  <c r="B405" i="5"/>
  <c r="A405" i="5"/>
  <c r="M404" i="5"/>
  <c r="L404" i="5"/>
  <c r="K404" i="5"/>
  <c r="J404" i="5"/>
  <c r="I404" i="5"/>
  <c r="H404" i="5"/>
  <c r="G404" i="5"/>
  <c r="F404" i="5"/>
  <c r="E404" i="5"/>
  <c r="D404" i="5"/>
  <c r="C404" i="5"/>
  <c r="B404" i="5"/>
  <c r="A404" i="5"/>
  <c r="M403" i="5"/>
  <c r="L403" i="5"/>
  <c r="K403" i="5"/>
  <c r="J403" i="5"/>
  <c r="I403" i="5"/>
  <c r="H403" i="5"/>
  <c r="G403" i="5"/>
  <c r="F403" i="5"/>
  <c r="E403" i="5"/>
  <c r="D403" i="5"/>
  <c r="C403" i="5"/>
  <c r="B403" i="5"/>
  <c r="A403" i="5"/>
  <c r="M402" i="5"/>
  <c r="L402" i="5"/>
  <c r="K402" i="5"/>
  <c r="J402" i="5"/>
  <c r="I402" i="5"/>
  <c r="H402" i="5"/>
  <c r="G402" i="5"/>
  <c r="F402" i="5"/>
  <c r="E402" i="5"/>
  <c r="D402" i="5"/>
  <c r="C402" i="5"/>
  <c r="B402" i="5"/>
  <c r="A402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A401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A400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A399" i="5"/>
  <c r="M398" i="5"/>
  <c r="L398" i="5"/>
  <c r="K398" i="5"/>
  <c r="J398" i="5"/>
  <c r="I398" i="5"/>
  <c r="H398" i="5"/>
  <c r="G398" i="5"/>
  <c r="F398" i="5"/>
  <c r="E398" i="5"/>
  <c r="D398" i="5"/>
  <c r="C398" i="5"/>
  <c r="B398" i="5"/>
  <c r="A398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A397" i="5"/>
  <c r="M396" i="5"/>
  <c r="L396" i="5"/>
  <c r="K396" i="5"/>
  <c r="J396" i="5"/>
  <c r="I396" i="5"/>
  <c r="H396" i="5"/>
  <c r="G396" i="5"/>
  <c r="F396" i="5"/>
  <c r="E396" i="5"/>
  <c r="D396" i="5"/>
  <c r="C396" i="5"/>
  <c r="B396" i="5"/>
  <c r="A396" i="5"/>
  <c r="M395" i="5"/>
  <c r="L395" i="5"/>
  <c r="K395" i="5"/>
  <c r="J395" i="5"/>
  <c r="I395" i="5"/>
  <c r="H395" i="5"/>
  <c r="G395" i="5"/>
  <c r="F395" i="5"/>
  <c r="E395" i="5"/>
  <c r="D395" i="5"/>
  <c r="C395" i="5"/>
  <c r="B395" i="5"/>
  <c r="A395" i="5"/>
  <c r="M394" i="5"/>
  <c r="L394" i="5"/>
  <c r="K394" i="5"/>
  <c r="J394" i="5"/>
  <c r="I394" i="5"/>
  <c r="H394" i="5"/>
  <c r="G394" i="5"/>
  <c r="F394" i="5"/>
  <c r="E394" i="5"/>
  <c r="D394" i="5"/>
  <c r="C394" i="5"/>
  <c r="B394" i="5"/>
  <c r="A394" i="5"/>
  <c r="M393" i="5"/>
  <c r="L393" i="5"/>
  <c r="K393" i="5"/>
  <c r="J393" i="5"/>
  <c r="I393" i="5"/>
  <c r="H393" i="5"/>
  <c r="G393" i="5"/>
  <c r="F393" i="5"/>
  <c r="E393" i="5"/>
  <c r="D393" i="5"/>
  <c r="C393" i="5"/>
  <c r="B393" i="5"/>
  <c r="A393" i="5"/>
  <c r="M392" i="5"/>
  <c r="L392" i="5"/>
  <c r="K392" i="5"/>
  <c r="J392" i="5"/>
  <c r="I392" i="5"/>
  <c r="H392" i="5"/>
  <c r="G392" i="5"/>
  <c r="F392" i="5"/>
  <c r="E392" i="5"/>
  <c r="D392" i="5"/>
  <c r="C392" i="5"/>
  <c r="B392" i="5"/>
  <c r="A392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A391" i="5"/>
  <c r="M390" i="5"/>
  <c r="L390" i="5"/>
  <c r="K390" i="5"/>
  <c r="J390" i="5"/>
  <c r="I390" i="5"/>
  <c r="H390" i="5"/>
  <c r="G390" i="5"/>
  <c r="F390" i="5"/>
  <c r="E390" i="5"/>
  <c r="D390" i="5"/>
  <c r="C390" i="5"/>
  <c r="B390" i="5"/>
  <c r="A390" i="5"/>
  <c r="M389" i="5"/>
  <c r="L389" i="5"/>
  <c r="K389" i="5"/>
  <c r="J389" i="5"/>
  <c r="I389" i="5"/>
  <c r="H389" i="5"/>
  <c r="G389" i="5"/>
  <c r="F389" i="5"/>
  <c r="E389" i="5"/>
  <c r="D389" i="5"/>
  <c r="C389" i="5"/>
  <c r="B389" i="5"/>
  <c r="A389" i="5"/>
  <c r="M388" i="5"/>
  <c r="L388" i="5"/>
  <c r="K388" i="5"/>
  <c r="J388" i="5"/>
  <c r="I388" i="5"/>
  <c r="H388" i="5"/>
  <c r="G388" i="5"/>
  <c r="F388" i="5"/>
  <c r="E388" i="5"/>
  <c r="D388" i="5"/>
  <c r="C388" i="5"/>
  <c r="B388" i="5"/>
  <c r="A388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A387" i="5"/>
  <c r="M386" i="5"/>
  <c r="L386" i="5"/>
  <c r="K386" i="5"/>
  <c r="J386" i="5"/>
  <c r="I386" i="5"/>
  <c r="H386" i="5"/>
  <c r="G386" i="5"/>
  <c r="F386" i="5"/>
  <c r="E386" i="5"/>
  <c r="D386" i="5"/>
  <c r="C386" i="5"/>
  <c r="B386" i="5"/>
  <c r="A386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A385" i="5"/>
  <c r="M384" i="5"/>
  <c r="L384" i="5"/>
  <c r="K384" i="5"/>
  <c r="J384" i="5"/>
  <c r="I384" i="5"/>
  <c r="H384" i="5"/>
  <c r="G384" i="5"/>
  <c r="F384" i="5"/>
  <c r="E384" i="5"/>
  <c r="D384" i="5"/>
  <c r="C384" i="5"/>
  <c r="B384" i="5"/>
  <c r="A384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A383" i="5"/>
  <c r="M382" i="5"/>
  <c r="L382" i="5"/>
  <c r="K382" i="5"/>
  <c r="J382" i="5"/>
  <c r="I382" i="5"/>
  <c r="H382" i="5"/>
  <c r="G382" i="5"/>
  <c r="F382" i="5"/>
  <c r="E382" i="5"/>
  <c r="D382" i="5"/>
  <c r="C382" i="5"/>
  <c r="B382" i="5"/>
  <c r="A382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A381" i="5"/>
  <c r="M380" i="5"/>
  <c r="L380" i="5"/>
  <c r="K380" i="5"/>
  <c r="J380" i="5"/>
  <c r="I380" i="5"/>
  <c r="H380" i="5"/>
  <c r="G380" i="5"/>
  <c r="F380" i="5"/>
  <c r="E380" i="5"/>
  <c r="D380" i="5"/>
  <c r="C380" i="5"/>
  <c r="B380" i="5"/>
  <c r="A380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A379" i="5"/>
  <c r="M378" i="5"/>
  <c r="L378" i="5"/>
  <c r="K378" i="5"/>
  <c r="J378" i="5"/>
  <c r="I378" i="5"/>
  <c r="H378" i="5"/>
  <c r="G378" i="5"/>
  <c r="F378" i="5"/>
  <c r="E378" i="5"/>
  <c r="D378" i="5"/>
  <c r="C378" i="5"/>
  <c r="B378" i="5"/>
  <c r="A378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A377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A376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A375" i="5"/>
  <c r="M374" i="5"/>
  <c r="L374" i="5"/>
  <c r="K374" i="5"/>
  <c r="J374" i="5"/>
  <c r="I374" i="5"/>
  <c r="H374" i="5"/>
  <c r="G374" i="5"/>
  <c r="F374" i="5"/>
  <c r="E374" i="5"/>
  <c r="D374" i="5"/>
  <c r="C374" i="5"/>
  <c r="B374" i="5"/>
  <c r="A374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A373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A372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A371" i="5"/>
  <c r="M370" i="5"/>
  <c r="L370" i="5"/>
  <c r="K370" i="5"/>
  <c r="J370" i="5"/>
  <c r="I370" i="5"/>
  <c r="H370" i="5"/>
  <c r="G370" i="5"/>
  <c r="F370" i="5"/>
  <c r="E370" i="5"/>
  <c r="D370" i="5"/>
  <c r="C370" i="5"/>
  <c r="B370" i="5"/>
  <c r="A370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A369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A368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A367" i="5"/>
  <c r="M366" i="5"/>
  <c r="L366" i="5"/>
  <c r="K366" i="5"/>
  <c r="J366" i="5"/>
  <c r="I366" i="5"/>
  <c r="H366" i="5"/>
  <c r="G366" i="5"/>
  <c r="F366" i="5"/>
  <c r="E366" i="5"/>
  <c r="D366" i="5"/>
  <c r="C366" i="5"/>
  <c r="B366" i="5"/>
  <c r="A366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A365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A364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A363" i="5"/>
  <c r="M362" i="5"/>
  <c r="L362" i="5"/>
  <c r="K362" i="5"/>
  <c r="J362" i="5"/>
  <c r="I362" i="5"/>
  <c r="H362" i="5"/>
  <c r="G362" i="5"/>
  <c r="F362" i="5"/>
  <c r="E362" i="5"/>
  <c r="D362" i="5"/>
  <c r="C362" i="5"/>
  <c r="B362" i="5"/>
  <c r="A362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A361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A360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A359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A358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A357" i="5"/>
  <c r="M356" i="5"/>
  <c r="L356" i="5"/>
  <c r="K356" i="5"/>
  <c r="J356" i="5"/>
  <c r="I356" i="5"/>
  <c r="H356" i="5"/>
  <c r="G356" i="5"/>
  <c r="F356" i="5"/>
  <c r="E356" i="5"/>
  <c r="D356" i="5"/>
  <c r="C356" i="5"/>
  <c r="B356" i="5"/>
  <c r="A356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A355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A354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A353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A352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A351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A350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A349" i="5"/>
  <c r="M348" i="5"/>
  <c r="L348" i="5"/>
  <c r="K348" i="5"/>
  <c r="J348" i="5"/>
  <c r="I348" i="5"/>
  <c r="H348" i="5"/>
  <c r="G348" i="5"/>
  <c r="F348" i="5"/>
  <c r="E348" i="5"/>
  <c r="D348" i="5"/>
  <c r="C348" i="5"/>
  <c r="B348" i="5"/>
  <c r="A348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A347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A346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A345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A344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A343" i="5"/>
  <c r="M342" i="5"/>
  <c r="L342" i="5"/>
  <c r="K342" i="5"/>
  <c r="J342" i="5"/>
  <c r="I342" i="5"/>
  <c r="H342" i="5"/>
  <c r="G342" i="5"/>
  <c r="F342" i="5"/>
  <c r="E342" i="5"/>
  <c r="D342" i="5"/>
  <c r="C342" i="5"/>
  <c r="B342" i="5"/>
  <c r="A342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A341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A340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A339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A338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A337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A336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A335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A334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A333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A332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A331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A330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A329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A328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A327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A326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A325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A324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A323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A322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A321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A320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A319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A318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A317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A316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A315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A314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A313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A312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A311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A310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A309" i="5"/>
  <c r="M308" i="5"/>
  <c r="L308" i="5"/>
  <c r="K308" i="5"/>
  <c r="J308" i="5"/>
  <c r="I308" i="5"/>
  <c r="H308" i="5"/>
  <c r="G308" i="5"/>
  <c r="F308" i="5"/>
  <c r="E308" i="5"/>
  <c r="D308" i="5"/>
  <c r="C308" i="5"/>
  <c r="B308" i="5"/>
  <c r="A308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A307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A306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A305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304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A303" i="5"/>
  <c r="M302" i="5"/>
  <c r="L302" i="5"/>
  <c r="K302" i="5"/>
  <c r="J302" i="5"/>
  <c r="I302" i="5"/>
  <c r="H302" i="5"/>
  <c r="G302" i="5"/>
  <c r="F302" i="5"/>
  <c r="E302" i="5"/>
  <c r="D302" i="5"/>
  <c r="C302" i="5"/>
  <c r="B302" i="5"/>
  <c r="A302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A301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A300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A299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A298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A297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A296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A295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A294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A293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A292" i="5"/>
  <c r="M291" i="5"/>
  <c r="L291" i="5"/>
  <c r="K291" i="5"/>
  <c r="J291" i="5"/>
  <c r="I291" i="5"/>
  <c r="H291" i="5"/>
  <c r="G291" i="5"/>
  <c r="F291" i="5"/>
  <c r="E291" i="5"/>
  <c r="D291" i="5"/>
  <c r="C291" i="5"/>
  <c r="B291" i="5"/>
  <c r="A291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A290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A289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A288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A287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286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285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A284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A283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A282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281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A280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A279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278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277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276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275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272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271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270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269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A268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267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266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265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A264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263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A259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258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256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A255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A254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A253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252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A251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250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A249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248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A247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A246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A245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244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243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A242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A241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240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234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233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A232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A231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A230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229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A228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227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A226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A225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224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223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A222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A221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A220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A219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217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215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214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213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A212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A211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A210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209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208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A207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206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205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204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203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202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201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A200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199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A195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194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193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191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190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189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187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184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183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182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179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178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177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175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174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173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171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170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166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165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163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162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161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158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157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A153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147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142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136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A126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A121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111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M78" i="5"/>
  <c r="L78" i="5"/>
  <c r="K78" i="5"/>
  <c r="J78" i="5"/>
  <c r="I78" i="5"/>
  <c r="H78" i="5"/>
  <c r="G78" i="5"/>
  <c r="F78" i="5"/>
  <c r="E78" i="5"/>
  <c r="D78" i="5"/>
  <c r="C78" i="5"/>
  <c r="B78" i="5"/>
  <c r="A78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M9" i="5"/>
  <c r="L9" i="5"/>
  <c r="K9" i="5"/>
  <c r="J9" i="5"/>
  <c r="I9" i="5"/>
  <c r="H9" i="5"/>
  <c r="G9" i="5"/>
  <c r="F9" i="5"/>
  <c r="E9" i="5"/>
  <c r="D9" i="5"/>
  <c r="C9" i="5"/>
  <c r="B9" i="5"/>
  <c r="A9" i="5"/>
  <c r="M8" i="5"/>
  <c r="L8" i="5"/>
  <c r="K8" i="5"/>
  <c r="J8" i="5"/>
  <c r="I8" i="5"/>
  <c r="H8" i="5"/>
  <c r="G8" i="5"/>
  <c r="F8" i="5"/>
  <c r="E8" i="5"/>
  <c r="D8" i="5"/>
  <c r="C8" i="5"/>
  <c r="B8" i="5"/>
  <c r="A8" i="5"/>
  <c r="M7" i="5"/>
  <c r="L7" i="5"/>
  <c r="K7" i="5"/>
  <c r="J7" i="5"/>
  <c r="I7" i="5"/>
  <c r="H7" i="5"/>
  <c r="G7" i="5"/>
  <c r="F7" i="5"/>
  <c r="E7" i="5"/>
  <c r="D7" i="5"/>
  <c r="C7" i="5"/>
  <c r="B7" i="5"/>
  <c r="A7" i="5"/>
  <c r="M6" i="5"/>
  <c r="L6" i="5"/>
  <c r="K6" i="5"/>
  <c r="J6" i="5"/>
  <c r="I6" i="5"/>
  <c r="H6" i="5"/>
  <c r="G6" i="5"/>
  <c r="F6" i="5"/>
  <c r="E6" i="5"/>
  <c r="D6" i="5"/>
  <c r="C6" i="5"/>
  <c r="B6" i="5"/>
  <c r="A6" i="5"/>
  <c r="M5" i="5"/>
  <c r="L5" i="5"/>
  <c r="K5" i="5"/>
  <c r="J5" i="5"/>
  <c r="I5" i="5"/>
  <c r="H5" i="5"/>
  <c r="G5" i="5"/>
  <c r="F5" i="5"/>
  <c r="E5" i="5"/>
  <c r="D5" i="5"/>
  <c r="C5" i="5"/>
  <c r="B5" i="5"/>
  <c r="A5" i="5"/>
  <c r="M4" i="5"/>
  <c r="L4" i="5"/>
  <c r="K4" i="5"/>
  <c r="J4" i="5"/>
  <c r="I4" i="5"/>
  <c r="H4" i="5"/>
  <c r="G4" i="5"/>
  <c r="F4" i="5"/>
  <c r="E4" i="5"/>
  <c r="D4" i="5"/>
  <c r="C4" i="5"/>
  <c r="B4" i="5"/>
  <c r="A4" i="5"/>
  <c r="M503" i="4"/>
  <c r="L503" i="4"/>
  <c r="K503" i="4"/>
  <c r="M503" i="3"/>
  <c r="J503" i="4"/>
  <c r="L503" i="3"/>
  <c r="I503" i="4"/>
  <c r="H503" i="4"/>
  <c r="G503" i="4"/>
  <c r="F503" i="4"/>
  <c r="E503" i="4"/>
  <c r="D503" i="4"/>
  <c r="C503" i="4"/>
  <c r="B503" i="4"/>
  <c r="A503" i="4"/>
  <c r="M502" i="4"/>
  <c r="L502" i="4"/>
  <c r="K502" i="4"/>
  <c r="M502" i="3"/>
  <c r="J502" i="4"/>
  <c r="L502" i="3"/>
  <c r="I502" i="4"/>
  <c r="H502" i="4"/>
  <c r="G502" i="4"/>
  <c r="F502" i="4"/>
  <c r="E502" i="4"/>
  <c r="D502" i="4"/>
  <c r="C502" i="4"/>
  <c r="B502" i="4"/>
  <c r="A502" i="4"/>
  <c r="M501" i="4"/>
  <c r="L501" i="4"/>
  <c r="K501" i="4"/>
  <c r="M501" i="3"/>
  <c r="J501" i="4"/>
  <c r="L501" i="3"/>
  <c r="I501" i="4"/>
  <c r="H501" i="4"/>
  <c r="G501" i="4"/>
  <c r="F501" i="4"/>
  <c r="E501" i="4"/>
  <c r="D501" i="4"/>
  <c r="C501" i="4"/>
  <c r="B501" i="4"/>
  <c r="A501" i="4"/>
  <c r="M500" i="4"/>
  <c r="L500" i="4"/>
  <c r="K500" i="4"/>
  <c r="M500" i="3"/>
  <c r="J500" i="4"/>
  <c r="L500" i="3"/>
  <c r="I500" i="4"/>
  <c r="H500" i="4"/>
  <c r="G500" i="4"/>
  <c r="F500" i="4"/>
  <c r="E500" i="4"/>
  <c r="D500" i="4"/>
  <c r="C500" i="4"/>
  <c r="B500" i="4"/>
  <c r="A500" i="4"/>
  <c r="M499" i="4"/>
  <c r="L499" i="4"/>
  <c r="K499" i="4"/>
  <c r="M499" i="3"/>
  <c r="J499" i="4"/>
  <c r="L499" i="3"/>
  <c r="I499" i="4"/>
  <c r="H499" i="4"/>
  <c r="G499" i="4"/>
  <c r="F499" i="4"/>
  <c r="E499" i="4"/>
  <c r="D499" i="4"/>
  <c r="C499" i="4"/>
  <c r="B499" i="4"/>
  <c r="A499" i="4"/>
  <c r="M498" i="4"/>
  <c r="L498" i="4"/>
  <c r="K498" i="4"/>
  <c r="M498" i="3"/>
  <c r="J498" i="4"/>
  <c r="L498" i="3"/>
  <c r="I498" i="4"/>
  <c r="H498" i="4"/>
  <c r="G498" i="4"/>
  <c r="F498" i="4"/>
  <c r="E498" i="4"/>
  <c r="D498" i="4"/>
  <c r="C498" i="4"/>
  <c r="B498" i="4"/>
  <c r="A498" i="4"/>
  <c r="M497" i="4"/>
  <c r="L497" i="4"/>
  <c r="K497" i="4"/>
  <c r="M497" i="3"/>
  <c r="J497" i="4"/>
  <c r="L497" i="3"/>
  <c r="I497" i="4"/>
  <c r="H497" i="4"/>
  <c r="G497" i="4"/>
  <c r="F497" i="4"/>
  <c r="E497" i="4"/>
  <c r="D497" i="4"/>
  <c r="C497" i="4"/>
  <c r="B497" i="4"/>
  <c r="A497" i="4"/>
  <c r="M496" i="4"/>
  <c r="L496" i="4"/>
  <c r="K496" i="4"/>
  <c r="M496" i="3"/>
  <c r="J496" i="4"/>
  <c r="L496" i="3"/>
  <c r="I496" i="4"/>
  <c r="H496" i="4"/>
  <c r="G496" i="4"/>
  <c r="F496" i="4"/>
  <c r="E496" i="4"/>
  <c r="D496" i="4"/>
  <c r="C496" i="4"/>
  <c r="B496" i="4"/>
  <c r="A496" i="4"/>
  <c r="M495" i="4"/>
  <c r="L495" i="4"/>
  <c r="K495" i="4"/>
  <c r="M495" i="3"/>
  <c r="J495" i="4"/>
  <c r="L495" i="3"/>
  <c r="I495" i="4"/>
  <c r="H495" i="4"/>
  <c r="G495" i="4"/>
  <c r="F495" i="4"/>
  <c r="E495" i="4"/>
  <c r="D495" i="4"/>
  <c r="C495" i="4"/>
  <c r="B495" i="4"/>
  <c r="A495" i="4"/>
  <c r="M494" i="4"/>
  <c r="L494" i="4"/>
  <c r="K494" i="4"/>
  <c r="M494" i="3"/>
  <c r="J494" i="4"/>
  <c r="L494" i="3"/>
  <c r="I494" i="4"/>
  <c r="H494" i="4"/>
  <c r="G494" i="4"/>
  <c r="F494" i="4"/>
  <c r="E494" i="4"/>
  <c r="D494" i="4"/>
  <c r="C494" i="4"/>
  <c r="B494" i="4"/>
  <c r="A494" i="4"/>
  <c r="M493" i="4"/>
  <c r="L493" i="4"/>
  <c r="K493" i="4"/>
  <c r="M493" i="3"/>
  <c r="J493" i="4"/>
  <c r="L493" i="3"/>
  <c r="I493" i="4"/>
  <c r="H493" i="4"/>
  <c r="G493" i="4"/>
  <c r="F493" i="4"/>
  <c r="E493" i="4"/>
  <c r="D493" i="4"/>
  <c r="C493" i="4"/>
  <c r="B493" i="4"/>
  <c r="A493" i="4"/>
  <c r="M492" i="4"/>
  <c r="L492" i="4"/>
  <c r="K492" i="4"/>
  <c r="M492" i="3"/>
  <c r="J492" i="4"/>
  <c r="L492" i="3"/>
  <c r="I492" i="4"/>
  <c r="H492" i="4"/>
  <c r="G492" i="4"/>
  <c r="F492" i="4"/>
  <c r="E492" i="4"/>
  <c r="D492" i="4"/>
  <c r="C492" i="4"/>
  <c r="B492" i="4"/>
  <c r="A492" i="4"/>
  <c r="M491" i="4"/>
  <c r="L491" i="4"/>
  <c r="K491" i="4"/>
  <c r="M491" i="3"/>
  <c r="J491" i="4"/>
  <c r="L491" i="3"/>
  <c r="I491" i="4"/>
  <c r="H491" i="4"/>
  <c r="G491" i="4"/>
  <c r="F491" i="4"/>
  <c r="E491" i="4"/>
  <c r="D491" i="4"/>
  <c r="C491" i="4"/>
  <c r="B491" i="4"/>
  <c r="A491" i="4"/>
  <c r="M490" i="4"/>
  <c r="L490" i="4"/>
  <c r="K490" i="4"/>
  <c r="M490" i="3"/>
  <c r="J490" i="4"/>
  <c r="L490" i="3"/>
  <c r="I490" i="4"/>
  <c r="H490" i="4"/>
  <c r="G490" i="4"/>
  <c r="F490" i="4"/>
  <c r="E490" i="4"/>
  <c r="D490" i="4"/>
  <c r="C490" i="4"/>
  <c r="B490" i="4"/>
  <c r="A490" i="4"/>
  <c r="M489" i="4"/>
  <c r="L489" i="4"/>
  <c r="K489" i="4"/>
  <c r="M489" i="3"/>
  <c r="J489" i="4"/>
  <c r="L489" i="3"/>
  <c r="I489" i="4"/>
  <c r="H489" i="4"/>
  <c r="G489" i="4"/>
  <c r="F489" i="4"/>
  <c r="E489" i="4"/>
  <c r="D489" i="4"/>
  <c r="C489" i="4"/>
  <c r="B489" i="4"/>
  <c r="A489" i="4"/>
  <c r="M488" i="4"/>
  <c r="L488" i="4"/>
  <c r="K488" i="4"/>
  <c r="M488" i="3"/>
  <c r="J488" i="4"/>
  <c r="L488" i="3"/>
  <c r="I488" i="4"/>
  <c r="H488" i="4"/>
  <c r="G488" i="4"/>
  <c r="F488" i="4"/>
  <c r="E488" i="4"/>
  <c r="D488" i="4"/>
  <c r="C488" i="4"/>
  <c r="B488" i="4"/>
  <c r="A488" i="4"/>
  <c r="M487" i="4"/>
  <c r="L487" i="4"/>
  <c r="K487" i="4"/>
  <c r="M487" i="3"/>
  <c r="J487" i="4"/>
  <c r="L487" i="3"/>
  <c r="I487" i="4"/>
  <c r="H487" i="4"/>
  <c r="G487" i="4"/>
  <c r="F487" i="4"/>
  <c r="E487" i="4"/>
  <c r="D487" i="4"/>
  <c r="C487" i="4"/>
  <c r="B487" i="4"/>
  <c r="A487" i="4"/>
  <c r="M486" i="4"/>
  <c r="L486" i="4"/>
  <c r="K486" i="4"/>
  <c r="M486" i="3"/>
  <c r="J486" i="4"/>
  <c r="L486" i="3"/>
  <c r="I486" i="4"/>
  <c r="H486" i="4"/>
  <c r="G486" i="4"/>
  <c r="F486" i="4"/>
  <c r="E486" i="4"/>
  <c r="D486" i="4"/>
  <c r="C486" i="4"/>
  <c r="B486" i="4"/>
  <c r="A486" i="4"/>
  <c r="M485" i="4"/>
  <c r="L485" i="4"/>
  <c r="K485" i="4"/>
  <c r="M485" i="3"/>
  <c r="J485" i="4"/>
  <c r="L485" i="3"/>
  <c r="I485" i="4"/>
  <c r="H485" i="4"/>
  <c r="G485" i="4"/>
  <c r="F485" i="4"/>
  <c r="E485" i="4"/>
  <c r="D485" i="4"/>
  <c r="C485" i="4"/>
  <c r="B485" i="4"/>
  <c r="A485" i="4"/>
  <c r="M484" i="4"/>
  <c r="L484" i="4"/>
  <c r="K484" i="4"/>
  <c r="M484" i="3"/>
  <c r="J484" i="4"/>
  <c r="L484" i="3"/>
  <c r="I484" i="4"/>
  <c r="H484" i="4"/>
  <c r="G484" i="4"/>
  <c r="F484" i="4"/>
  <c r="E484" i="4"/>
  <c r="D484" i="4"/>
  <c r="C484" i="4"/>
  <c r="B484" i="4"/>
  <c r="A484" i="4"/>
  <c r="M483" i="4"/>
  <c r="L483" i="4"/>
  <c r="K483" i="4"/>
  <c r="M483" i="3"/>
  <c r="J483" i="4"/>
  <c r="L483" i="3"/>
  <c r="I483" i="4"/>
  <c r="H483" i="4"/>
  <c r="G483" i="4"/>
  <c r="F483" i="4"/>
  <c r="E483" i="4"/>
  <c r="D483" i="4"/>
  <c r="C483" i="4"/>
  <c r="B483" i="4"/>
  <c r="A483" i="4"/>
  <c r="M482" i="4"/>
  <c r="L482" i="4"/>
  <c r="K482" i="4"/>
  <c r="M482" i="3"/>
  <c r="J482" i="4"/>
  <c r="L482" i="3"/>
  <c r="I482" i="4"/>
  <c r="H482" i="4"/>
  <c r="G482" i="4"/>
  <c r="F482" i="4"/>
  <c r="E482" i="4"/>
  <c r="D482" i="4"/>
  <c r="C482" i="4"/>
  <c r="B482" i="4"/>
  <c r="A482" i="4"/>
  <c r="M481" i="4"/>
  <c r="L481" i="4"/>
  <c r="K481" i="4"/>
  <c r="M481" i="3"/>
  <c r="J481" i="4"/>
  <c r="L481" i="3"/>
  <c r="I481" i="4"/>
  <c r="H481" i="4"/>
  <c r="G481" i="4"/>
  <c r="F481" i="4"/>
  <c r="E481" i="4"/>
  <c r="D481" i="4"/>
  <c r="C481" i="4"/>
  <c r="B481" i="4"/>
  <c r="A481" i="4"/>
  <c r="M480" i="4"/>
  <c r="L480" i="4"/>
  <c r="K480" i="4"/>
  <c r="M480" i="3"/>
  <c r="J480" i="4"/>
  <c r="L480" i="3"/>
  <c r="I480" i="4"/>
  <c r="H480" i="4"/>
  <c r="G480" i="4"/>
  <c r="F480" i="4"/>
  <c r="E480" i="4"/>
  <c r="D480" i="4"/>
  <c r="C480" i="4"/>
  <c r="B480" i="4"/>
  <c r="A480" i="4"/>
  <c r="M479" i="4"/>
  <c r="L479" i="4"/>
  <c r="K479" i="4"/>
  <c r="M479" i="3"/>
  <c r="J479" i="4"/>
  <c r="L479" i="3"/>
  <c r="I479" i="4"/>
  <c r="H479" i="4"/>
  <c r="G479" i="4"/>
  <c r="F479" i="4"/>
  <c r="E479" i="4"/>
  <c r="D479" i="4"/>
  <c r="C479" i="4"/>
  <c r="B479" i="4"/>
  <c r="A479" i="4"/>
  <c r="M478" i="4"/>
  <c r="L478" i="4"/>
  <c r="K478" i="4"/>
  <c r="M478" i="3"/>
  <c r="J478" i="4"/>
  <c r="L478" i="3"/>
  <c r="I478" i="4"/>
  <c r="H478" i="4"/>
  <c r="G478" i="4"/>
  <c r="F478" i="4"/>
  <c r="E478" i="4"/>
  <c r="D478" i="4"/>
  <c r="C478" i="4"/>
  <c r="B478" i="4"/>
  <c r="A478" i="4"/>
  <c r="M477" i="4"/>
  <c r="L477" i="4"/>
  <c r="K477" i="4"/>
  <c r="M477" i="3"/>
  <c r="J477" i="4"/>
  <c r="L477" i="3"/>
  <c r="I477" i="4"/>
  <c r="H477" i="4"/>
  <c r="G477" i="4"/>
  <c r="F477" i="4"/>
  <c r="E477" i="4"/>
  <c r="D477" i="4"/>
  <c r="C477" i="4"/>
  <c r="B477" i="4"/>
  <c r="A477" i="4"/>
  <c r="M476" i="4"/>
  <c r="L476" i="4"/>
  <c r="K476" i="4"/>
  <c r="M476" i="3"/>
  <c r="J476" i="4"/>
  <c r="L476" i="3"/>
  <c r="I476" i="4"/>
  <c r="H476" i="4"/>
  <c r="G476" i="4"/>
  <c r="F476" i="4"/>
  <c r="E476" i="4"/>
  <c r="D476" i="4"/>
  <c r="C476" i="4"/>
  <c r="B476" i="4"/>
  <c r="A476" i="4"/>
  <c r="M475" i="4"/>
  <c r="L475" i="4"/>
  <c r="K475" i="4"/>
  <c r="M475" i="3"/>
  <c r="J475" i="4"/>
  <c r="L475" i="3"/>
  <c r="I475" i="4"/>
  <c r="H475" i="4"/>
  <c r="G475" i="4"/>
  <c r="F475" i="4"/>
  <c r="E475" i="4"/>
  <c r="D475" i="4"/>
  <c r="C475" i="4"/>
  <c r="B475" i="4"/>
  <c r="A475" i="4"/>
  <c r="M474" i="4"/>
  <c r="L474" i="4"/>
  <c r="K474" i="4"/>
  <c r="M474" i="3"/>
  <c r="J474" i="4"/>
  <c r="L474" i="3"/>
  <c r="I474" i="4"/>
  <c r="H474" i="4"/>
  <c r="G474" i="4"/>
  <c r="F474" i="4"/>
  <c r="E474" i="4"/>
  <c r="D474" i="4"/>
  <c r="C474" i="4"/>
  <c r="B474" i="4"/>
  <c r="A474" i="4"/>
  <c r="M473" i="4"/>
  <c r="L473" i="4"/>
  <c r="K473" i="4"/>
  <c r="M473" i="3"/>
  <c r="J473" i="4"/>
  <c r="L473" i="3"/>
  <c r="I473" i="4"/>
  <c r="H473" i="4"/>
  <c r="G473" i="4"/>
  <c r="F473" i="4"/>
  <c r="E473" i="4"/>
  <c r="D473" i="4"/>
  <c r="C473" i="4"/>
  <c r="B473" i="4"/>
  <c r="A473" i="4"/>
  <c r="M472" i="4"/>
  <c r="L472" i="4"/>
  <c r="K472" i="4"/>
  <c r="M472" i="3"/>
  <c r="J472" i="4"/>
  <c r="L472" i="3"/>
  <c r="I472" i="4"/>
  <c r="H472" i="4"/>
  <c r="G472" i="4"/>
  <c r="F472" i="4"/>
  <c r="E472" i="4"/>
  <c r="D472" i="4"/>
  <c r="C472" i="4"/>
  <c r="B472" i="4"/>
  <c r="A472" i="4"/>
  <c r="M471" i="4"/>
  <c r="L471" i="4"/>
  <c r="K471" i="4"/>
  <c r="M471" i="3"/>
  <c r="J471" i="4"/>
  <c r="L471" i="3"/>
  <c r="I471" i="4"/>
  <c r="H471" i="4"/>
  <c r="G471" i="4"/>
  <c r="F471" i="4"/>
  <c r="E471" i="4"/>
  <c r="D471" i="4"/>
  <c r="C471" i="4"/>
  <c r="B471" i="4"/>
  <c r="A471" i="4"/>
  <c r="M470" i="4"/>
  <c r="L470" i="4"/>
  <c r="K470" i="4"/>
  <c r="M470" i="3"/>
  <c r="J470" i="4"/>
  <c r="L470" i="3"/>
  <c r="I470" i="4"/>
  <c r="H470" i="4"/>
  <c r="G470" i="4"/>
  <c r="F470" i="4"/>
  <c r="E470" i="4"/>
  <c r="D470" i="4"/>
  <c r="C470" i="4"/>
  <c r="B470" i="4"/>
  <c r="A470" i="4"/>
  <c r="M469" i="4"/>
  <c r="L469" i="4"/>
  <c r="K469" i="4"/>
  <c r="M469" i="3"/>
  <c r="J469" i="4"/>
  <c r="L469" i="3"/>
  <c r="I469" i="4"/>
  <c r="H469" i="4"/>
  <c r="G469" i="4"/>
  <c r="F469" i="4"/>
  <c r="E469" i="4"/>
  <c r="D469" i="4"/>
  <c r="C469" i="4"/>
  <c r="B469" i="4"/>
  <c r="A469" i="4"/>
  <c r="M468" i="4"/>
  <c r="L468" i="4"/>
  <c r="K468" i="4"/>
  <c r="M468" i="3"/>
  <c r="J468" i="4"/>
  <c r="L468" i="3"/>
  <c r="I468" i="4"/>
  <c r="H468" i="4"/>
  <c r="G468" i="4"/>
  <c r="F468" i="4"/>
  <c r="E468" i="4"/>
  <c r="D468" i="4"/>
  <c r="C468" i="4"/>
  <c r="B468" i="4"/>
  <c r="A468" i="4"/>
  <c r="M467" i="4"/>
  <c r="L467" i="4"/>
  <c r="K467" i="4"/>
  <c r="M467" i="3"/>
  <c r="J467" i="4"/>
  <c r="L467" i="3"/>
  <c r="I467" i="4"/>
  <c r="H467" i="4"/>
  <c r="G467" i="4"/>
  <c r="F467" i="4"/>
  <c r="E467" i="4"/>
  <c r="D467" i="4"/>
  <c r="C467" i="4"/>
  <c r="B467" i="4"/>
  <c r="A467" i="4"/>
  <c r="M466" i="4"/>
  <c r="L466" i="4"/>
  <c r="K466" i="4"/>
  <c r="M466" i="3"/>
  <c r="J466" i="4"/>
  <c r="L466" i="3"/>
  <c r="I466" i="4"/>
  <c r="H466" i="4"/>
  <c r="G466" i="4"/>
  <c r="F466" i="4"/>
  <c r="E466" i="4"/>
  <c r="D466" i="4"/>
  <c r="C466" i="4"/>
  <c r="B466" i="4"/>
  <c r="A466" i="4"/>
  <c r="M465" i="4"/>
  <c r="L465" i="4"/>
  <c r="K465" i="4"/>
  <c r="M465" i="3"/>
  <c r="J465" i="4"/>
  <c r="L465" i="3"/>
  <c r="I465" i="4"/>
  <c r="H465" i="4"/>
  <c r="G465" i="4"/>
  <c r="F465" i="4"/>
  <c r="E465" i="4"/>
  <c r="D465" i="4"/>
  <c r="C465" i="4"/>
  <c r="B465" i="4"/>
  <c r="A465" i="4"/>
  <c r="M464" i="4"/>
  <c r="L464" i="4"/>
  <c r="K464" i="4"/>
  <c r="M464" i="3"/>
  <c r="J464" i="4"/>
  <c r="L464" i="3"/>
  <c r="I464" i="4"/>
  <c r="H464" i="4"/>
  <c r="G464" i="4"/>
  <c r="F464" i="4"/>
  <c r="E464" i="4"/>
  <c r="D464" i="4"/>
  <c r="C464" i="4"/>
  <c r="B464" i="4"/>
  <c r="A464" i="4"/>
  <c r="M463" i="4"/>
  <c r="L463" i="4"/>
  <c r="K463" i="4"/>
  <c r="M463" i="3"/>
  <c r="J463" i="4"/>
  <c r="L463" i="3"/>
  <c r="I463" i="4"/>
  <c r="H463" i="4"/>
  <c r="G463" i="4"/>
  <c r="F463" i="4"/>
  <c r="E463" i="4"/>
  <c r="D463" i="4"/>
  <c r="C463" i="4"/>
  <c r="B463" i="4"/>
  <c r="A463" i="4"/>
  <c r="M462" i="4"/>
  <c r="L462" i="4"/>
  <c r="K462" i="4"/>
  <c r="M462" i="3"/>
  <c r="J462" i="4"/>
  <c r="L462" i="3"/>
  <c r="I462" i="4"/>
  <c r="H462" i="4"/>
  <c r="G462" i="4"/>
  <c r="F462" i="4"/>
  <c r="E462" i="4"/>
  <c r="D462" i="4"/>
  <c r="C462" i="4"/>
  <c r="B462" i="4"/>
  <c r="A462" i="4"/>
  <c r="M461" i="4"/>
  <c r="L461" i="4"/>
  <c r="K461" i="4"/>
  <c r="M461" i="3"/>
  <c r="J461" i="4"/>
  <c r="L461" i="3"/>
  <c r="I461" i="4"/>
  <c r="H461" i="4"/>
  <c r="G461" i="4"/>
  <c r="F461" i="4"/>
  <c r="E461" i="4"/>
  <c r="D461" i="4"/>
  <c r="C461" i="4"/>
  <c r="B461" i="4"/>
  <c r="A461" i="4"/>
  <c r="M460" i="4"/>
  <c r="L460" i="4"/>
  <c r="K460" i="4"/>
  <c r="M460" i="3"/>
  <c r="J460" i="4"/>
  <c r="L460" i="3"/>
  <c r="I460" i="4"/>
  <c r="H460" i="4"/>
  <c r="G460" i="4"/>
  <c r="F460" i="4"/>
  <c r="E460" i="4"/>
  <c r="D460" i="4"/>
  <c r="C460" i="4"/>
  <c r="B460" i="4"/>
  <c r="A460" i="4"/>
  <c r="M459" i="4"/>
  <c r="L459" i="4"/>
  <c r="K459" i="4"/>
  <c r="M459" i="3"/>
  <c r="J459" i="4"/>
  <c r="L459" i="3"/>
  <c r="I459" i="4"/>
  <c r="H459" i="4"/>
  <c r="G459" i="4"/>
  <c r="F459" i="4"/>
  <c r="E459" i="4"/>
  <c r="D459" i="4"/>
  <c r="C459" i="4"/>
  <c r="B459" i="4"/>
  <c r="A459" i="4"/>
  <c r="M458" i="4"/>
  <c r="L458" i="4"/>
  <c r="K458" i="4"/>
  <c r="M458" i="3"/>
  <c r="J458" i="4"/>
  <c r="L458" i="3"/>
  <c r="I458" i="4"/>
  <c r="H458" i="4"/>
  <c r="G458" i="4"/>
  <c r="F458" i="4"/>
  <c r="E458" i="4"/>
  <c r="D458" i="4"/>
  <c r="C458" i="4"/>
  <c r="B458" i="4"/>
  <c r="A458" i="4"/>
  <c r="M457" i="4"/>
  <c r="L457" i="4"/>
  <c r="K457" i="4"/>
  <c r="M457" i="3"/>
  <c r="J457" i="4"/>
  <c r="L457" i="3"/>
  <c r="I457" i="4"/>
  <c r="H457" i="4"/>
  <c r="G457" i="4"/>
  <c r="F457" i="4"/>
  <c r="E457" i="4"/>
  <c r="D457" i="4"/>
  <c r="C457" i="4"/>
  <c r="B457" i="4"/>
  <c r="A457" i="4"/>
  <c r="M456" i="4"/>
  <c r="L456" i="4"/>
  <c r="K456" i="4"/>
  <c r="M456" i="3"/>
  <c r="J456" i="4"/>
  <c r="L456" i="3"/>
  <c r="I456" i="4"/>
  <c r="H456" i="4"/>
  <c r="G456" i="4"/>
  <c r="F456" i="4"/>
  <c r="E456" i="4"/>
  <c r="D456" i="4"/>
  <c r="C456" i="4"/>
  <c r="B456" i="4"/>
  <c r="A456" i="4"/>
  <c r="M455" i="4"/>
  <c r="L455" i="4"/>
  <c r="K455" i="4"/>
  <c r="M455" i="3"/>
  <c r="J455" i="4"/>
  <c r="L455" i="3"/>
  <c r="I455" i="4"/>
  <c r="H455" i="4"/>
  <c r="G455" i="4"/>
  <c r="F455" i="4"/>
  <c r="E455" i="4"/>
  <c r="D455" i="4"/>
  <c r="C455" i="4"/>
  <c r="B455" i="4"/>
  <c r="A455" i="4"/>
  <c r="M454" i="4"/>
  <c r="L454" i="4"/>
  <c r="K454" i="4"/>
  <c r="M454" i="3"/>
  <c r="J454" i="4"/>
  <c r="L454" i="3"/>
  <c r="I454" i="4"/>
  <c r="H454" i="4"/>
  <c r="G454" i="4"/>
  <c r="F454" i="4"/>
  <c r="E454" i="4"/>
  <c r="D454" i="4"/>
  <c r="C454" i="4"/>
  <c r="B454" i="4"/>
  <c r="A454" i="4"/>
  <c r="M453" i="4"/>
  <c r="L453" i="4"/>
  <c r="K453" i="4"/>
  <c r="M453" i="3"/>
  <c r="J453" i="4"/>
  <c r="L453" i="3"/>
  <c r="I453" i="4"/>
  <c r="H453" i="4"/>
  <c r="G453" i="4"/>
  <c r="F453" i="4"/>
  <c r="E453" i="4"/>
  <c r="D453" i="4"/>
  <c r="C453" i="4"/>
  <c r="B453" i="4"/>
  <c r="A453" i="4"/>
  <c r="M452" i="4"/>
  <c r="L452" i="4"/>
  <c r="K452" i="4"/>
  <c r="M452" i="3"/>
  <c r="J452" i="4"/>
  <c r="L452" i="3"/>
  <c r="I452" i="4"/>
  <c r="H452" i="4"/>
  <c r="G452" i="4"/>
  <c r="F452" i="4"/>
  <c r="E452" i="4"/>
  <c r="D452" i="4"/>
  <c r="C452" i="4"/>
  <c r="B452" i="4"/>
  <c r="A452" i="4"/>
  <c r="M451" i="4"/>
  <c r="L451" i="4"/>
  <c r="K451" i="4"/>
  <c r="M451" i="3"/>
  <c r="J451" i="4"/>
  <c r="L451" i="3"/>
  <c r="I451" i="4"/>
  <c r="H451" i="4"/>
  <c r="G451" i="4"/>
  <c r="F451" i="4"/>
  <c r="E451" i="4"/>
  <c r="D451" i="4"/>
  <c r="C451" i="4"/>
  <c r="B451" i="4"/>
  <c r="A451" i="4"/>
  <c r="M450" i="4"/>
  <c r="L450" i="4"/>
  <c r="K450" i="4"/>
  <c r="M450" i="3"/>
  <c r="J450" i="4"/>
  <c r="L450" i="3"/>
  <c r="I450" i="4"/>
  <c r="H450" i="4"/>
  <c r="G450" i="4"/>
  <c r="F450" i="4"/>
  <c r="E450" i="4"/>
  <c r="D450" i="4"/>
  <c r="C450" i="4"/>
  <c r="B450" i="4"/>
  <c r="A450" i="4"/>
  <c r="M449" i="4"/>
  <c r="L449" i="4"/>
  <c r="K449" i="4"/>
  <c r="M449" i="3"/>
  <c r="J449" i="4"/>
  <c r="L449" i="3"/>
  <c r="I449" i="4"/>
  <c r="H449" i="4"/>
  <c r="G449" i="4"/>
  <c r="F449" i="4"/>
  <c r="E449" i="4"/>
  <c r="D449" i="4"/>
  <c r="C449" i="4"/>
  <c r="B449" i="4"/>
  <c r="A449" i="4"/>
  <c r="M448" i="4"/>
  <c r="L448" i="4"/>
  <c r="K448" i="4"/>
  <c r="M448" i="3"/>
  <c r="J448" i="4"/>
  <c r="L448" i="3"/>
  <c r="I448" i="4"/>
  <c r="H448" i="4"/>
  <c r="G448" i="4"/>
  <c r="F448" i="4"/>
  <c r="E448" i="4"/>
  <c r="D448" i="4"/>
  <c r="C448" i="4"/>
  <c r="B448" i="4"/>
  <c r="A448" i="4"/>
  <c r="M447" i="4"/>
  <c r="L447" i="4"/>
  <c r="K447" i="4"/>
  <c r="M447" i="3"/>
  <c r="J447" i="4"/>
  <c r="L447" i="3"/>
  <c r="I447" i="4"/>
  <c r="H447" i="4"/>
  <c r="G447" i="4"/>
  <c r="F447" i="4"/>
  <c r="E447" i="4"/>
  <c r="D447" i="4"/>
  <c r="C447" i="4"/>
  <c r="B447" i="4"/>
  <c r="A447" i="4"/>
  <c r="M446" i="4"/>
  <c r="L446" i="4"/>
  <c r="K446" i="4"/>
  <c r="M446" i="3"/>
  <c r="J446" i="4"/>
  <c r="L446" i="3"/>
  <c r="I446" i="4"/>
  <c r="H446" i="4"/>
  <c r="G446" i="4"/>
  <c r="F446" i="4"/>
  <c r="E446" i="4"/>
  <c r="D446" i="4"/>
  <c r="C446" i="4"/>
  <c r="B446" i="4"/>
  <c r="A446" i="4"/>
  <c r="M445" i="4"/>
  <c r="L445" i="4"/>
  <c r="K445" i="4"/>
  <c r="M445" i="3"/>
  <c r="J445" i="4"/>
  <c r="L445" i="3"/>
  <c r="I445" i="4"/>
  <c r="H445" i="4"/>
  <c r="G445" i="4"/>
  <c r="F445" i="4"/>
  <c r="E445" i="4"/>
  <c r="D445" i="4"/>
  <c r="C445" i="4"/>
  <c r="B445" i="4"/>
  <c r="A445" i="4"/>
  <c r="M444" i="4"/>
  <c r="L444" i="4"/>
  <c r="K444" i="4"/>
  <c r="M444" i="3"/>
  <c r="J444" i="4"/>
  <c r="L444" i="3"/>
  <c r="I444" i="4"/>
  <c r="H444" i="4"/>
  <c r="G444" i="4"/>
  <c r="F444" i="4"/>
  <c r="E444" i="4"/>
  <c r="D444" i="4"/>
  <c r="C444" i="4"/>
  <c r="B444" i="4"/>
  <c r="A444" i="4"/>
  <c r="M443" i="4"/>
  <c r="L443" i="4"/>
  <c r="K443" i="4"/>
  <c r="M443" i="3"/>
  <c r="J443" i="4"/>
  <c r="L443" i="3"/>
  <c r="I443" i="4"/>
  <c r="H443" i="4"/>
  <c r="G443" i="4"/>
  <c r="F443" i="4"/>
  <c r="E443" i="4"/>
  <c r="D443" i="4"/>
  <c r="C443" i="4"/>
  <c r="B443" i="4"/>
  <c r="A443" i="4"/>
  <c r="M442" i="4"/>
  <c r="L442" i="4"/>
  <c r="K442" i="4"/>
  <c r="M442" i="3"/>
  <c r="J442" i="4"/>
  <c r="L442" i="3"/>
  <c r="I442" i="4"/>
  <c r="H442" i="4"/>
  <c r="G442" i="4"/>
  <c r="F442" i="4"/>
  <c r="E442" i="4"/>
  <c r="D442" i="4"/>
  <c r="C442" i="4"/>
  <c r="B442" i="4"/>
  <c r="A442" i="4"/>
  <c r="M441" i="4"/>
  <c r="L441" i="4"/>
  <c r="K441" i="4"/>
  <c r="M441" i="3"/>
  <c r="J441" i="4"/>
  <c r="L441" i="3"/>
  <c r="I441" i="4"/>
  <c r="H441" i="4"/>
  <c r="G441" i="4"/>
  <c r="F441" i="4"/>
  <c r="E441" i="4"/>
  <c r="D441" i="4"/>
  <c r="C441" i="4"/>
  <c r="B441" i="4"/>
  <c r="A441" i="4"/>
  <c r="M440" i="4"/>
  <c r="L440" i="4"/>
  <c r="K440" i="4"/>
  <c r="M440" i="3"/>
  <c r="J440" i="4"/>
  <c r="L440" i="3"/>
  <c r="I440" i="4"/>
  <c r="H440" i="4"/>
  <c r="G440" i="4"/>
  <c r="F440" i="4"/>
  <c r="E440" i="4"/>
  <c r="D440" i="4"/>
  <c r="C440" i="4"/>
  <c r="B440" i="4"/>
  <c r="A440" i="4"/>
  <c r="M439" i="4"/>
  <c r="L439" i="4"/>
  <c r="K439" i="4"/>
  <c r="M439" i="3"/>
  <c r="J439" i="4"/>
  <c r="L439" i="3"/>
  <c r="I439" i="4"/>
  <c r="H439" i="4"/>
  <c r="G439" i="4"/>
  <c r="F439" i="4"/>
  <c r="E439" i="4"/>
  <c r="D439" i="4"/>
  <c r="C439" i="4"/>
  <c r="B439" i="4"/>
  <c r="A439" i="4"/>
  <c r="M438" i="4"/>
  <c r="L438" i="4"/>
  <c r="K438" i="4"/>
  <c r="M438" i="3"/>
  <c r="J438" i="4"/>
  <c r="L438" i="3"/>
  <c r="I438" i="4"/>
  <c r="H438" i="4"/>
  <c r="G438" i="4"/>
  <c r="F438" i="4"/>
  <c r="E438" i="4"/>
  <c r="D438" i="4"/>
  <c r="C438" i="4"/>
  <c r="B438" i="4"/>
  <c r="A438" i="4"/>
  <c r="M437" i="4"/>
  <c r="L437" i="4"/>
  <c r="K437" i="4"/>
  <c r="M437" i="3"/>
  <c r="J437" i="4"/>
  <c r="L437" i="3"/>
  <c r="I437" i="4"/>
  <c r="H437" i="4"/>
  <c r="G437" i="4"/>
  <c r="F437" i="4"/>
  <c r="E437" i="4"/>
  <c r="D437" i="4"/>
  <c r="C437" i="4"/>
  <c r="B437" i="4"/>
  <c r="A437" i="4"/>
  <c r="M436" i="4"/>
  <c r="L436" i="4"/>
  <c r="K436" i="4"/>
  <c r="M436" i="3"/>
  <c r="J436" i="4"/>
  <c r="L436" i="3"/>
  <c r="I436" i="4"/>
  <c r="H436" i="4"/>
  <c r="G436" i="4"/>
  <c r="F436" i="4"/>
  <c r="E436" i="4"/>
  <c r="D436" i="4"/>
  <c r="C436" i="4"/>
  <c r="B436" i="4"/>
  <c r="A436" i="4"/>
  <c r="M435" i="4"/>
  <c r="L435" i="4"/>
  <c r="K435" i="4"/>
  <c r="M435" i="3"/>
  <c r="J435" i="4"/>
  <c r="L435" i="3"/>
  <c r="I435" i="4"/>
  <c r="H435" i="4"/>
  <c r="G435" i="4"/>
  <c r="F435" i="4"/>
  <c r="E435" i="4"/>
  <c r="D435" i="4"/>
  <c r="C435" i="4"/>
  <c r="B435" i="4"/>
  <c r="A435" i="4"/>
  <c r="M434" i="4"/>
  <c r="L434" i="4"/>
  <c r="K434" i="4"/>
  <c r="M434" i="3"/>
  <c r="J434" i="4"/>
  <c r="L434" i="3"/>
  <c r="I434" i="4"/>
  <c r="H434" i="4"/>
  <c r="G434" i="4"/>
  <c r="F434" i="4"/>
  <c r="E434" i="4"/>
  <c r="D434" i="4"/>
  <c r="C434" i="4"/>
  <c r="B434" i="4"/>
  <c r="A434" i="4"/>
  <c r="M433" i="4"/>
  <c r="L433" i="4"/>
  <c r="K433" i="4"/>
  <c r="M433" i="3"/>
  <c r="J433" i="4"/>
  <c r="L433" i="3"/>
  <c r="I433" i="4"/>
  <c r="H433" i="4"/>
  <c r="G433" i="4"/>
  <c r="F433" i="4"/>
  <c r="E433" i="4"/>
  <c r="D433" i="4"/>
  <c r="C433" i="4"/>
  <c r="B433" i="4"/>
  <c r="A433" i="4"/>
  <c r="M432" i="4"/>
  <c r="L432" i="4"/>
  <c r="K432" i="4"/>
  <c r="M432" i="3"/>
  <c r="J432" i="4"/>
  <c r="L432" i="3"/>
  <c r="I432" i="4"/>
  <c r="H432" i="4"/>
  <c r="G432" i="4"/>
  <c r="F432" i="4"/>
  <c r="E432" i="4"/>
  <c r="D432" i="4"/>
  <c r="C432" i="4"/>
  <c r="B432" i="4"/>
  <c r="A432" i="4"/>
  <c r="M431" i="4"/>
  <c r="L431" i="4"/>
  <c r="K431" i="4"/>
  <c r="M431" i="3"/>
  <c r="J431" i="4"/>
  <c r="L431" i="3"/>
  <c r="I431" i="4"/>
  <c r="H431" i="4"/>
  <c r="G431" i="4"/>
  <c r="F431" i="4"/>
  <c r="E431" i="4"/>
  <c r="D431" i="4"/>
  <c r="C431" i="4"/>
  <c r="B431" i="4"/>
  <c r="A431" i="4"/>
  <c r="M430" i="4"/>
  <c r="L430" i="4"/>
  <c r="K430" i="4"/>
  <c r="M430" i="3"/>
  <c r="J430" i="4"/>
  <c r="L430" i="3"/>
  <c r="I430" i="4"/>
  <c r="H430" i="4"/>
  <c r="G430" i="4"/>
  <c r="F430" i="4"/>
  <c r="E430" i="4"/>
  <c r="D430" i="4"/>
  <c r="C430" i="4"/>
  <c r="B430" i="4"/>
  <c r="A430" i="4"/>
  <c r="M429" i="4"/>
  <c r="L429" i="4"/>
  <c r="K429" i="4"/>
  <c r="M429" i="3"/>
  <c r="J429" i="4"/>
  <c r="L429" i="3"/>
  <c r="I429" i="4"/>
  <c r="H429" i="4"/>
  <c r="G429" i="4"/>
  <c r="F429" i="4"/>
  <c r="E429" i="4"/>
  <c r="D429" i="4"/>
  <c r="C429" i="4"/>
  <c r="B429" i="4"/>
  <c r="A429" i="4"/>
  <c r="M428" i="4"/>
  <c r="L428" i="4"/>
  <c r="K428" i="4"/>
  <c r="M428" i="3"/>
  <c r="J428" i="4"/>
  <c r="L428" i="3"/>
  <c r="I428" i="4"/>
  <c r="H428" i="4"/>
  <c r="G428" i="4"/>
  <c r="F428" i="4"/>
  <c r="E428" i="4"/>
  <c r="D428" i="4"/>
  <c r="C428" i="4"/>
  <c r="B428" i="4"/>
  <c r="A428" i="4"/>
  <c r="M427" i="4"/>
  <c r="L427" i="4"/>
  <c r="K427" i="4"/>
  <c r="M427" i="3"/>
  <c r="J427" i="4"/>
  <c r="L427" i="3"/>
  <c r="I427" i="4"/>
  <c r="H427" i="4"/>
  <c r="G427" i="4"/>
  <c r="F427" i="4"/>
  <c r="E427" i="4"/>
  <c r="D427" i="4"/>
  <c r="C427" i="4"/>
  <c r="B427" i="4"/>
  <c r="A427" i="4"/>
  <c r="M426" i="4"/>
  <c r="L426" i="4"/>
  <c r="K426" i="4"/>
  <c r="M426" i="3"/>
  <c r="J426" i="4"/>
  <c r="L426" i="3"/>
  <c r="I426" i="4"/>
  <c r="H426" i="4"/>
  <c r="G426" i="4"/>
  <c r="F426" i="4"/>
  <c r="E426" i="4"/>
  <c r="D426" i="4"/>
  <c r="C426" i="4"/>
  <c r="B426" i="4"/>
  <c r="A426" i="4"/>
  <c r="M425" i="4"/>
  <c r="L425" i="4"/>
  <c r="K425" i="4"/>
  <c r="M425" i="3"/>
  <c r="J425" i="4"/>
  <c r="L425" i="3"/>
  <c r="I425" i="4"/>
  <c r="H425" i="4"/>
  <c r="G425" i="4"/>
  <c r="F425" i="4"/>
  <c r="E425" i="4"/>
  <c r="D425" i="4"/>
  <c r="C425" i="4"/>
  <c r="B425" i="4"/>
  <c r="A425" i="4"/>
  <c r="M424" i="4"/>
  <c r="L424" i="4"/>
  <c r="K424" i="4"/>
  <c r="M424" i="3"/>
  <c r="J424" i="4"/>
  <c r="L424" i="3"/>
  <c r="I424" i="4"/>
  <c r="H424" i="4"/>
  <c r="G424" i="4"/>
  <c r="F424" i="4"/>
  <c r="E424" i="4"/>
  <c r="D424" i="4"/>
  <c r="C424" i="4"/>
  <c r="B424" i="4"/>
  <c r="A424" i="4"/>
  <c r="M423" i="4"/>
  <c r="L423" i="4"/>
  <c r="K423" i="4"/>
  <c r="M423" i="3"/>
  <c r="J423" i="4"/>
  <c r="L423" i="3"/>
  <c r="I423" i="4"/>
  <c r="H423" i="4"/>
  <c r="G423" i="4"/>
  <c r="F423" i="4"/>
  <c r="E423" i="4"/>
  <c r="D423" i="4"/>
  <c r="C423" i="4"/>
  <c r="B423" i="4"/>
  <c r="A423" i="4"/>
  <c r="M422" i="4"/>
  <c r="L422" i="4"/>
  <c r="K422" i="4"/>
  <c r="M422" i="3"/>
  <c r="J422" i="4"/>
  <c r="L422" i="3"/>
  <c r="I422" i="4"/>
  <c r="H422" i="4"/>
  <c r="G422" i="4"/>
  <c r="F422" i="4"/>
  <c r="E422" i="4"/>
  <c r="D422" i="4"/>
  <c r="C422" i="4"/>
  <c r="B422" i="4"/>
  <c r="A422" i="4"/>
  <c r="M421" i="4"/>
  <c r="L421" i="4"/>
  <c r="K421" i="4"/>
  <c r="M421" i="3"/>
  <c r="J421" i="4"/>
  <c r="L421" i="3"/>
  <c r="I421" i="4"/>
  <c r="H421" i="4"/>
  <c r="G421" i="4"/>
  <c r="F421" i="4"/>
  <c r="E421" i="4"/>
  <c r="D421" i="4"/>
  <c r="C421" i="4"/>
  <c r="B421" i="4"/>
  <c r="A421" i="4"/>
  <c r="M420" i="4"/>
  <c r="L420" i="4"/>
  <c r="K420" i="4"/>
  <c r="M420" i="3"/>
  <c r="J420" i="4"/>
  <c r="L420" i="3"/>
  <c r="I420" i="4"/>
  <c r="H420" i="4"/>
  <c r="G420" i="4"/>
  <c r="F420" i="4"/>
  <c r="E420" i="4"/>
  <c r="D420" i="4"/>
  <c r="C420" i="4"/>
  <c r="B420" i="4"/>
  <c r="A420" i="4"/>
  <c r="M419" i="4"/>
  <c r="L419" i="4"/>
  <c r="K419" i="4"/>
  <c r="M419" i="3"/>
  <c r="J419" i="4"/>
  <c r="L419" i="3"/>
  <c r="I419" i="4"/>
  <c r="H419" i="4"/>
  <c r="G419" i="4"/>
  <c r="F419" i="4"/>
  <c r="E419" i="4"/>
  <c r="D419" i="4"/>
  <c r="C419" i="4"/>
  <c r="B419" i="4"/>
  <c r="A419" i="4"/>
  <c r="M418" i="4"/>
  <c r="L418" i="4"/>
  <c r="K418" i="4"/>
  <c r="M418" i="3"/>
  <c r="J418" i="4"/>
  <c r="L418" i="3"/>
  <c r="I418" i="4"/>
  <c r="H418" i="4"/>
  <c r="G418" i="4"/>
  <c r="F418" i="4"/>
  <c r="E418" i="4"/>
  <c r="D418" i="4"/>
  <c r="C418" i="4"/>
  <c r="B418" i="4"/>
  <c r="A418" i="4"/>
  <c r="M417" i="4"/>
  <c r="L417" i="4"/>
  <c r="K417" i="4"/>
  <c r="M417" i="3"/>
  <c r="J417" i="4"/>
  <c r="L417" i="3"/>
  <c r="I417" i="4"/>
  <c r="H417" i="4"/>
  <c r="G417" i="4"/>
  <c r="F417" i="4"/>
  <c r="E417" i="4"/>
  <c r="D417" i="4"/>
  <c r="C417" i="4"/>
  <c r="B417" i="4"/>
  <c r="A417" i="4"/>
  <c r="M416" i="4"/>
  <c r="L416" i="4"/>
  <c r="K416" i="4"/>
  <c r="M416" i="3"/>
  <c r="J416" i="4"/>
  <c r="L416" i="3"/>
  <c r="I416" i="4"/>
  <c r="H416" i="4"/>
  <c r="G416" i="4"/>
  <c r="F416" i="4"/>
  <c r="E416" i="4"/>
  <c r="D416" i="4"/>
  <c r="C416" i="4"/>
  <c r="B416" i="4"/>
  <c r="A416" i="4"/>
  <c r="M415" i="4"/>
  <c r="L415" i="4"/>
  <c r="K415" i="4"/>
  <c r="M415" i="3"/>
  <c r="J415" i="4"/>
  <c r="L415" i="3"/>
  <c r="I415" i="4"/>
  <c r="H415" i="4"/>
  <c r="G415" i="4"/>
  <c r="F415" i="4"/>
  <c r="E415" i="4"/>
  <c r="D415" i="4"/>
  <c r="C415" i="4"/>
  <c r="B415" i="4"/>
  <c r="A415" i="4"/>
  <c r="M414" i="4"/>
  <c r="L414" i="4"/>
  <c r="K414" i="4"/>
  <c r="M414" i="3"/>
  <c r="J414" i="4"/>
  <c r="L414" i="3"/>
  <c r="I414" i="4"/>
  <c r="H414" i="4"/>
  <c r="G414" i="4"/>
  <c r="F414" i="4"/>
  <c r="E414" i="4"/>
  <c r="D414" i="4"/>
  <c r="C414" i="4"/>
  <c r="B414" i="4"/>
  <c r="A414" i="4"/>
  <c r="M413" i="4"/>
  <c r="L413" i="4"/>
  <c r="K413" i="4"/>
  <c r="M413" i="3"/>
  <c r="J413" i="4"/>
  <c r="L413" i="3"/>
  <c r="I413" i="4"/>
  <c r="H413" i="4"/>
  <c r="G413" i="4"/>
  <c r="F413" i="4"/>
  <c r="E413" i="4"/>
  <c r="D413" i="4"/>
  <c r="C413" i="4"/>
  <c r="B413" i="4"/>
  <c r="A413" i="4"/>
  <c r="M412" i="4"/>
  <c r="L412" i="4"/>
  <c r="K412" i="4"/>
  <c r="M412" i="3"/>
  <c r="J412" i="4"/>
  <c r="L412" i="3"/>
  <c r="I412" i="4"/>
  <c r="H412" i="4"/>
  <c r="G412" i="4"/>
  <c r="F412" i="4"/>
  <c r="E412" i="4"/>
  <c r="D412" i="4"/>
  <c r="C412" i="4"/>
  <c r="B412" i="4"/>
  <c r="A412" i="4"/>
  <c r="M411" i="4"/>
  <c r="L411" i="4"/>
  <c r="K411" i="4"/>
  <c r="M411" i="3"/>
  <c r="J411" i="4"/>
  <c r="L411" i="3"/>
  <c r="I411" i="4"/>
  <c r="H411" i="4"/>
  <c r="G411" i="4"/>
  <c r="F411" i="4"/>
  <c r="E411" i="4"/>
  <c r="D411" i="4"/>
  <c r="C411" i="4"/>
  <c r="B411" i="4"/>
  <c r="A411" i="4"/>
  <c r="M410" i="4"/>
  <c r="L410" i="4"/>
  <c r="K410" i="4"/>
  <c r="M410" i="3"/>
  <c r="J410" i="4"/>
  <c r="L410" i="3"/>
  <c r="I410" i="4"/>
  <c r="H410" i="4"/>
  <c r="G410" i="4"/>
  <c r="F410" i="4"/>
  <c r="E410" i="4"/>
  <c r="D410" i="4"/>
  <c r="C410" i="4"/>
  <c r="B410" i="4"/>
  <c r="A410" i="4"/>
  <c r="M409" i="4"/>
  <c r="L409" i="4"/>
  <c r="K409" i="4"/>
  <c r="M409" i="3"/>
  <c r="J409" i="4"/>
  <c r="L409" i="3"/>
  <c r="I409" i="4"/>
  <c r="H409" i="4"/>
  <c r="G409" i="4"/>
  <c r="F409" i="4"/>
  <c r="E409" i="4"/>
  <c r="D409" i="4"/>
  <c r="C409" i="4"/>
  <c r="B409" i="4"/>
  <c r="A409" i="4"/>
  <c r="M408" i="4"/>
  <c r="L408" i="4"/>
  <c r="K408" i="4"/>
  <c r="M408" i="3"/>
  <c r="J408" i="4"/>
  <c r="L408" i="3"/>
  <c r="I408" i="4"/>
  <c r="H408" i="4"/>
  <c r="G408" i="4"/>
  <c r="F408" i="4"/>
  <c r="E408" i="4"/>
  <c r="D408" i="4"/>
  <c r="C408" i="4"/>
  <c r="B408" i="4"/>
  <c r="A408" i="4"/>
  <c r="M407" i="4"/>
  <c r="L407" i="4"/>
  <c r="K407" i="4"/>
  <c r="M407" i="3"/>
  <c r="J407" i="4"/>
  <c r="L407" i="3"/>
  <c r="I407" i="4"/>
  <c r="H407" i="4"/>
  <c r="G407" i="4"/>
  <c r="F407" i="4"/>
  <c r="E407" i="4"/>
  <c r="D407" i="4"/>
  <c r="C407" i="4"/>
  <c r="B407" i="4"/>
  <c r="A407" i="4"/>
  <c r="M406" i="4"/>
  <c r="L406" i="4"/>
  <c r="K406" i="4"/>
  <c r="M406" i="3"/>
  <c r="J406" i="4"/>
  <c r="L406" i="3"/>
  <c r="I406" i="4"/>
  <c r="H406" i="4"/>
  <c r="G406" i="4"/>
  <c r="F406" i="4"/>
  <c r="E406" i="4"/>
  <c r="D406" i="4"/>
  <c r="C406" i="4"/>
  <c r="B406" i="4"/>
  <c r="A406" i="4"/>
  <c r="M405" i="4"/>
  <c r="L405" i="4"/>
  <c r="K405" i="4"/>
  <c r="M405" i="3"/>
  <c r="J405" i="4"/>
  <c r="L405" i="3"/>
  <c r="I405" i="4"/>
  <c r="H405" i="4"/>
  <c r="G405" i="4"/>
  <c r="F405" i="4"/>
  <c r="E405" i="4"/>
  <c r="D405" i="4"/>
  <c r="C405" i="4"/>
  <c r="B405" i="4"/>
  <c r="A405" i="4"/>
  <c r="M404" i="4"/>
  <c r="L404" i="4"/>
  <c r="K404" i="4"/>
  <c r="M404" i="3"/>
  <c r="J404" i="4"/>
  <c r="L404" i="3"/>
  <c r="I404" i="4"/>
  <c r="H404" i="4"/>
  <c r="G404" i="4"/>
  <c r="F404" i="4"/>
  <c r="E404" i="4"/>
  <c r="D404" i="4"/>
  <c r="C404" i="4"/>
  <c r="B404" i="4"/>
  <c r="A404" i="4"/>
  <c r="M403" i="4"/>
  <c r="L403" i="4"/>
  <c r="K403" i="4"/>
  <c r="M403" i="3"/>
  <c r="J403" i="4"/>
  <c r="L403" i="3"/>
  <c r="I403" i="4"/>
  <c r="H403" i="4"/>
  <c r="G403" i="4"/>
  <c r="F403" i="4"/>
  <c r="E403" i="4"/>
  <c r="D403" i="4"/>
  <c r="C403" i="4"/>
  <c r="B403" i="4"/>
  <c r="A403" i="4"/>
  <c r="M402" i="4"/>
  <c r="L402" i="4"/>
  <c r="K402" i="4"/>
  <c r="M402" i="3"/>
  <c r="J402" i="4"/>
  <c r="L402" i="3"/>
  <c r="I402" i="4"/>
  <c r="H402" i="4"/>
  <c r="G402" i="4"/>
  <c r="F402" i="4"/>
  <c r="E402" i="4"/>
  <c r="D402" i="4"/>
  <c r="C402" i="4"/>
  <c r="B402" i="4"/>
  <c r="A402" i="4"/>
  <c r="M401" i="4"/>
  <c r="L401" i="4"/>
  <c r="K401" i="4"/>
  <c r="M401" i="3"/>
  <c r="J401" i="4"/>
  <c r="L401" i="3"/>
  <c r="I401" i="4"/>
  <c r="H401" i="4"/>
  <c r="G401" i="4"/>
  <c r="F401" i="4"/>
  <c r="E401" i="4"/>
  <c r="D401" i="4"/>
  <c r="C401" i="4"/>
  <c r="B401" i="4"/>
  <c r="A401" i="4"/>
  <c r="M400" i="4"/>
  <c r="L400" i="4"/>
  <c r="K400" i="4"/>
  <c r="M400" i="3"/>
  <c r="J400" i="4"/>
  <c r="L400" i="3"/>
  <c r="I400" i="4"/>
  <c r="H400" i="4"/>
  <c r="G400" i="4"/>
  <c r="F400" i="4"/>
  <c r="E400" i="4"/>
  <c r="D400" i="4"/>
  <c r="C400" i="4"/>
  <c r="B400" i="4"/>
  <c r="A400" i="4"/>
  <c r="M399" i="4"/>
  <c r="L399" i="4"/>
  <c r="K399" i="4"/>
  <c r="M399" i="3"/>
  <c r="J399" i="4"/>
  <c r="L399" i="3"/>
  <c r="I399" i="4"/>
  <c r="H399" i="4"/>
  <c r="G399" i="4"/>
  <c r="F399" i="4"/>
  <c r="E399" i="4"/>
  <c r="D399" i="4"/>
  <c r="C399" i="4"/>
  <c r="B399" i="4"/>
  <c r="A399" i="4"/>
  <c r="M398" i="4"/>
  <c r="L398" i="4"/>
  <c r="K398" i="4"/>
  <c r="M398" i="3"/>
  <c r="J398" i="4"/>
  <c r="L398" i="3"/>
  <c r="I398" i="4"/>
  <c r="H398" i="4"/>
  <c r="G398" i="4"/>
  <c r="F398" i="4"/>
  <c r="E398" i="4"/>
  <c r="D398" i="4"/>
  <c r="C398" i="4"/>
  <c r="B398" i="4"/>
  <c r="A398" i="4"/>
  <c r="M397" i="4"/>
  <c r="L397" i="4"/>
  <c r="K397" i="4"/>
  <c r="M397" i="3"/>
  <c r="J397" i="4"/>
  <c r="L397" i="3"/>
  <c r="I397" i="4"/>
  <c r="H397" i="4"/>
  <c r="G397" i="4"/>
  <c r="F397" i="4"/>
  <c r="E397" i="4"/>
  <c r="D397" i="4"/>
  <c r="C397" i="4"/>
  <c r="B397" i="4"/>
  <c r="A397" i="4"/>
  <c r="M396" i="4"/>
  <c r="L396" i="4"/>
  <c r="K396" i="4"/>
  <c r="M396" i="3"/>
  <c r="J396" i="4"/>
  <c r="L396" i="3"/>
  <c r="I396" i="4"/>
  <c r="H396" i="4"/>
  <c r="G396" i="4"/>
  <c r="F396" i="4"/>
  <c r="E396" i="4"/>
  <c r="D396" i="4"/>
  <c r="C396" i="4"/>
  <c r="B396" i="4"/>
  <c r="A396" i="4"/>
  <c r="M395" i="4"/>
  <c r="L395" i="4"/>
  <c r="K395" i="4"/>
  <c r="M395" i="3"/>
  <c r="J395" i="4"/>
  <c r="L395" i="3"/>
  <c r="I395" i="4"/>
  <c r="H395" i="4"/>
  <c r="G395" i="4"/>
  <c r="F395" i="4"/>
  <c r="E395" i="4"/>
  <c r="D395" i="4"/>
  <c r="C395" i="4"/>
  <c r="B395" i="4"/>
  <c r="A395" i="4"/>
  <c r="M394" i="4"/>
  <c r="L394" i="4"/>
  <c r="K394" i="4"/>
  <c r="M394" i="3"/>
  <c r="J394" i="4"/>
  <c r="L394" i="3"/>
  <c r="I394" i="4"/>
  <c r="H394" i="4"/>
  <c r="G394" i="4"/>
  <c r="F394" i="4"/>
  <c r="E394" i="4"/>
  <c r="D394" i="4"/>
  <c r="C394" i="4"/>
  <c r="B394" i="4"/>
  <c r="A394" i="4"/>
  <c r="M393" i="4"/>
  <c r="L393" i="4"/>
  <c r="K393" i="4"/>
  <c r="M393" i="3"/>
  <c r="J393" i="4"/>
  <c r="L393" i="3"/>
  <c r="I393" i="4"/>
  <c r="H393" i="4"/>
  <c r="G393" i="4"/>
  <c r="F393" i="4"/>
  <c r="E393" i="4"/>
  <c r="D393" i="4"/>
  <c r="C393" i="4"/>
  <c r="B393" i="4"/>
  <c r="A393" i="4"/>
  <c r="M392" i="4"/>
  <c r="L392" i="4"/>
  <c r="K392" i="4"/>
  <c r="M392" i="3"/>
  <c r="J392" i="4"/>
  <c r="L392" i="3"/>
  <c r="I392" i="4"/>
  <c r="H392" i="4"/>
  <c r="G392" i="4"/>
  <c r="F392" i="4"/>
  <c r="E392" i="4"/>
  <c r="D392" i="4"/>
  <c r="C392" i="4"/>
  <c r="B392" i="4"/>
  <c r="A392" i="4"/>
  <c r="M391" i="4"/>
  <c r="L391" i="4"/>
  <c r="K391" i="4"/>
  <c r="M391" i="3"/>
  <c r="J391" i="4"/>
  <c r="L391" i="3"/>
  <c r="I391" i="4"/>
  <c r="H391" i="4"/>
  <c r="G391" i="4"/>
  <c r="F391" i="4"/>
  <c r="E391" i="4"/>
  <c r="D391" i="4"/>
  <c r="C391" i="4"/>
  <c r="B391" i="4"/>
  <c r="A391" i="4"/>
  <c r="M390" i="4"/>
  <c r="L390" i="4"/>
  <c r="K390" i="4"/>
  <c r="M390" i="3"/>
  <c r="J390" i="4"/>
  <c r="L390" i="3"/>
  <c r="I390" i="4"/>
  <c r="H390" i="4"/>
  <c r="G390" i="4"/>
  <c r="F390" i="4"/>
  <c r="E390" i="4"/>
  <c r="D390" i="4"/>
  <c r="C390" i="4"/>
  <c r="B390" i="4"/>
  <c r="A390" i="4"/>
  <c r="M389" i="4"/>
  <c r="L389" i="4"/>
  <c r="K389" i="4"/>
  <c r="M389" i="3"/>
  <c r="J389" i="4"/>
  <c r="L389" i="3"/>
  <c r="I389" i="4"/>
  <c r="H389" i="4"/>
  <c r="G389" i="4"/>
  <c r="F389" i="4"/>
  <c r="E389" i="4"/>
  <c r="D389" i="4"/>
  <c r="C389" i="4"/>
  <c r="B389" i="4"/>
  <c r="A389" i="4"/>
  <c r="M388" i="4"/>
  <c r="L388" i="4"/>
  <c r="K388" i="4"/>
  <c r="M388" i="3"/>
  <c r="J388" i="4"/>
  <c r="L388" i="3"/>
  <c r="I388" i="4"/>
  <c r="H388" i="4"/>
  <c r="G388" i="4"/>
  <c r="F388" i="4"/>
  <c r="E388" i="4"/>
  <c r="D388" i="4"/>
  <c r="C388" i="4"/>
  <c r="B388" i="4"/>
  <c r="A388" i="4"/>
  <c r="M387" i="4"/>
  <c r="L387" i="4"/>
  <c r="K387" i="4"/>
  <c r="M387" i="3"/>
  <c r="J387" i="4"/>
  <c r="L387" i="3"/>
  <c r="I387" i="4"/>
  <c r="H387" i="4"/>
  <c r="G387" i="4"/>
  <c r="F387" i="4"/>
  <c r="E387" i="4"/>
  <c r="D387" i="4"/>
  <c r="C387" i="4"/>
  <c r="B387" i="4"/>
  <c r="A387" i="4"/>
  <c r="M386" i="4"/>
  <c r="L386" i="4"/>
  <c r="K386" i="4"/>
  <c r="M386" i="3"/>
  <c r="J386" i="4"/>
  <c r="L386" i="3"/>
  <c r="I386" i="4"/>
  <c r="H386" i="4"/>
  <c r="G386" i="4"/>
  <c r="F386" i="4"/>
  <c r="E386" i="4"/>
  <c r="D386" i="4"/>
  <c r="C386" i="4"/>
  <c r="B386" i="4"/>
  <c r="A386" i="4"/>
  <c r="M385" i="4"/>
  <c r="L385" i="4"/>
  <c r="K385" i="4"/>
  <c r="M385" i="3"/>
  <c r="J385" i="4"/>
  <c r="L385" i="3"/>
  <c r="I385" i="4"/>
  <c r="H385" i="4"/>
  <c r="G385" i="4"/>
  <c r="F385" i="4"/>
  <c r="E385" i="4"/>
  <c r="D385" i="4"/>
  <c r="C385" i="4"/>
  <c r="B385" i="4"/>
  <c r="A385" i="4"/>
  <c r="M384" i="4"/>
  <c r="L384" i="4"/>
  <c r="K384" i="4"/>
  <c r="M384" i="3"/>
  <c r="J384" i="4"/>
  <c r="L384" i="3"/>
  <c r="I384" i="4"/>
  <c r="H384" i="4"/>
  <c r="G384" i="4"/>
  <c r="F384" i="4"/>
  <c r="E384" i="4"/>
  <c r="D384" i="4"/>
  <c r="C384" i="4"/>
  <c r="B384" i="4"/>
  <c r="A384" i="4"/>
  <c r="M383" i="4"/>
  <c r="L383" i="4"/>
  <c r="K383" i="4"/>
  <c r="M383" i="3"/>
  <c r="J383" i="4"/>
  <c r="L383" i="3"/>
  <c r="I383" i="4"/>
  <c r="H383" i="4"/>
  <c r="G383" i="4"/>
  <c r="F383" i="4"/>
  <c r="E383" i="4"/>
  <c r="D383" i="4"/>
  <c r="C383" i="4"/>
  <c r="B383" i="4"/>
  <c r="A383" i="4"/>
  <c r="M382" i="4"/>
  <c r="L382" i="4"/>
  <c r="K382" i="4"/>
  <c r="M382" i="3"/>
  <c r="J382" i="4"/>
  <c r="L382" i="3"/>
  <c r="I382" i="4"/>
  <c r="H382" i="4"/>
  <c r="G382" i="4"/>
  <c r="F382" i="4"/>
  <c r="E382" i="4"/>
  <c r="D382" i="4"/>
  <c r="C382" i="4"/>
  <c r="B382" i="4"/>
  <c r="A382" i="4"/>
  <c r="M381" i="4"/>
  <c r="L381" i="4"/>
  <c r="K381" i="4"/>
  <c r="M381" i="3"/>
  <c r="J381" i="4"/>
  <c r="L381" i="3"/>
  <c r="I381" i="4"/>
  <c r="H381" i="4"/>
  <c r="G381" i="4"/>
  <c r="F381" i="4"/>
  <c r="E381" i="4"/>
  <c r="D381" i="4"/>
  <c r="C381" i="4"/>
  <c r="B381" i="4"/>
  <c r="A381" i="4"/>
  <c r="M380" i="4"/>
  <c r="L380" i="4"/>
  <c r="K380" i="4"/>
  <c r="M380" i="3"/>
  <c r="J380" i="4"/>
  <c r="L380" i="3"/>
  <c r="I380" i="4"/>
  <c r="H380" i="4"/>
  <c r="G380" i="4"/>
  <c r="F380" i="4"/>
  <c r="E380" i="4"/>
  <c r="D380" i="4"/>
  <c r="C380" i="4"/>
  <c r="B380" i="4"/>
  <c r="A380" i="4"/>
  <c r="M379" i="4"/>
  <c r="L379" i="4"/>
  <c r="K379" i="4"/>
  <c r="M379" i="3"/>
  <c r="J379" i="4"/>
  <c r="L379" i="3"/>
  <c r="I379" i="4"/>
  <c r="H379" i="4"/>
  <c r="G379" i="4"/>
  <c r="F379" i="4"/>
  <c r="E379" i="4"/>
  <c r="D379" i="4"/>
  <c r="C379" i="4"/>
  <c r="B379" i="4"/>
  <c r="A379" i="4"/>
  <c r="M378" i="4"/>
  <c r="L378" i="4"/>
  <c r="K378" i="4"/>
  <c r="M378" i="3"/>
  <c r="J378" i="4"/>
  <c r="L378" i="3"/>
  <c r="I378" i="4"/>
  <c r="H378" i="4"/>
  <c r="G378" i="4"/>
  <c r="F378" i="4"/>
  <c r="E378" i="4"/>
  <c r="D378" i="4"/>
  <c r="C378" i="4"/>
  <c r="B378" i="4"/>
  <c r="A378" i="4"/>
  <c r="M377" i="4"/>
  <c r="L377" i="4"/>
  <c r="K377" i="4"/>
  <c r="M377" i="3"/>
  <c r="J377" i="4"/>
  <c r="L377" i="3"/>
  <c r="I377" i="4"/>
  <c r="H377" i="4"/>
  <c r="G377" i="4"/>
  <c r="F377" i="4"/>
  <c r="E377" i="4"/>
  <c r="D377" i="4"/>
  <c r="C377" i="4"/>
  <c r="B377" i="4"/>
  <c r="A377" i="4"/>
  <c r="M376" i="4"/>
  <c r="L376" i="4"/>
  <c r="K376" i="4"/>
  <c r="M376" i="3"/>
  <c r="J376" i="4"/>
  <c r="L376" i="3"/>
  <c r="I376" i="4"/>
  <c r="H376" i="4"/>
  <c r="G376" i="4"/>
  <c r="F376" i="4"/>
  <c r="E376" i="4"/>
  <c r="D376" i="4"/>
  <c r="C376" i="4"/>
  <c r="B376" i="4"/>
  <c r="A376" i="4"/>
  <c r="M375" i="4"/>
  <c r="L375" i="4"/>
  <c r="K375" i="4"/>
  <c r="M375" i="3"/>
  <c r="J375" i="4"/>
  <c r="L375" i="3"/>
  <c r="I375" i="4"/>
  <c r="H375" i="4"/>
  <c r="G375" i="4"/>
  <c r="F375" i="4"/>
  <c r="E375" i="4"/>
  <c r="D375" i="4"/>
  <c r="C375" i="4"/>
  <c r="B375" i="4"/>
  <c r="A375" i="4"/>
  <c r="M374" i="4"/>
  <c r="L374" i="4"/>
  <c r="K374" i="4"/>
  <c r="M374" i="3"/>
  <c r="J374" i="4"/>
  <c r="L374" i="3"/>
  <c r="I374" i="4"/>
  <c r="H374" i="4"/>
  <c r="G374" i="4"/>
  <c r="F374" i="4"/>
  <c r="E374" i="4"/>
  <c r="D374" i="4"/>
  <c r="C374" i="4"/>
  <c r="B374" i="4"/>
  <c r="A374" i="4"/>
  <c r="M373" i="4"/>
  <c r="L373" i="4"/>
  <c r="K373" i="4"/>
  <c r="M373" i="3"/>
  <c r="J373" i="4"/>
  <c r="L373" i="3"/>
  <c r="I373" i="4"/>
  <c r="H373" i="4"/>
  <c r="G373" i="4"/>
  <c r="F373" i="4"/>
  <c r="E373" i="4"/>
  <c r="D373" i="4"/>
  <c r="C373" i="4"/>
  <c r="B373" i="4"/>
  <c r="A373" i="4"/>
  <c r="M372" i="4"/>
  <c r="L372" i="4"/>
  <c r="K372" i="4"/>
  <c r="M372" i="3"/>
  <c r="J372" i="4"/>
  <c r="L372" i="3"/>
  <c r="I372" i="4"/>
  <c r="H372" i="4"/>
  <c r="G372" i="4"/>
  <c r="F372" i="4"/>
  <c r="E372" i="4"/>
  <c r="D372" i="4"/>
  <c r="C372" i="4"/>
  <c r="B372" i="4"/>
  <c r="A372" i="4"/>
  <c r="M371" i="4"/>
  <c r="L371" i="4"/>
  <c r="K371" i="4"/>
  <c r="M371" i="3"/>
  <c r="J371" i="4"/>
  <c r="L371" i="3"/>
  <c r="I371" i="4"/>
  <c r="H371" i="4"/>
  <c r="G371" i="4"/>
  <c r="F371" i="4"/>
  <c r="E371" i="4"/>
  <c r="D371" i="4"/>
  <c r="C371" i="4"/>
  <c r="B371" i="4"/>
  <c r="A371" i="4"/>
  <c r="M370" i="4"/>
  <c r="L370" i="4"/>
  <c r="K370" i="4"/>
  <c r="M370" i="3"/>
  <c r="J370" i="4"/>
  <c r="L370" i="3"/>
  <c r="I370" i="4"/>
  <c r="H370" i="4"/>
  <c r="G370" i="4"/>
  <c r="F370" i="4"/>
  <c r="E370" i="4"/>
  <c r="D370" i="4"/>
  <c r="C370" i="4"/>
  <c r="B370" i="4"/>
  <c r="A370" i="4"/>
  <c r="M369" i="4"/>
  <c r="L369" i="4"/>
  <c r="K369" i="4"/>
  <c r="M369" i="3"/>
  <c r="J369" i="4"/>
  <c r="L369" i="3"/>
  <c r="I369" i="4"/>
  <c r="H369" i="4"/>
  <c r="G369" i="4"/>
  <c r="F369" i="4"/>
  <c r="E369" i="4"/>
  <c r="D369" i="4"/>
  <c r="C369" i="4"/>
  <c r="B369" i="4"/>
  <c r="A369" i="4"/>
  <c r="M368" i="4"/>
  <c r="L368" i="4"/>
  <c r="K368" i="4"/>
  <c r="M368" i="3"/>
  <c r="J368" i="4"/>
  <c r="L368" i="3"/>
  <c r="I368" i="4"/>
  <c r="H368" i="4"/>
  <c r="G368" i="4"/>
  <c r="F368" i="4"/>
  <c r="E368" i="4"/>
  <c r="D368" i="4"/>
  <c r="C368" i="4"/>
  <c r="B368" i="4"/>
  <c r="A368" i="4"/>
  <c r="M367" i="4"/>
  <c r="L367" i="4"/>
  <c r="K367" i="4"/>
  <c r="M367" i="3"/>
  <c r="J367" i="4"/>
  <c r="L367" i="3"/>
  <c r="I367" i="4"/>
  <c r="H367" i="4"/>
  <c r="G367" i="4"/>
  <c r="F367" i="4"/>
  <c r="E367" i="4"/>
  <c r="D367" i="4"/>
  <c r="C367" i="4"/>
  <c r="B367" i="4"/>
  <c r="A367" i="4"/>
  <c r="M366" i="4"/>
  <c r="L366" i="4"/>
  <c r="K366" i="4"/>
  <c r="M366" i="3"/>
  <c r="J366" i="4"/>
  <c r="L366" i="3"/>
  <c r="I366" i="4"/>
  <c r="H366" i="4"/>
  <c r="G366" i="4"/>
  <c r="F366" i="4"/>
  <c r="E366" i="4"/>
  <c r="D366" i="4"/>
  <c r="C366" i="4"/>
  <c r="B366" i="4"/>
  <c r="A366" i="4"/>
  <c r="M365" i="4"/>
  <c r="L365" i="4"/>
  <c r="K365" i="4"/>
  <c r="M365" i="3"/>
  <c r="J365" i="4"/>
  <c r="L365" i="3"/>
  <c r="I365" i="4"/>
  <c r="H365" i="4"/>
  <c r="G365" i="4"/>
  <c r="F365" i="4"/>
  <c r="E365" i="4"/>
  <c r="D365" i="4"/>
  <c r="C365" i="4"/>
  <c r="B365" i="4"/>
  <c r="A365" i="4"/>
  <c r="M364" i="4"/>
  <c r="L364" i="4"/>
  <c r="K364" i="4"/>
  <c r="M364" i="3"/>
  <c r="J364" i="4"/>
  <c r="L364" i="3"/>
  <c r="I364" i="4"/>
  <c r="H364" i="4"/>
  <c r="G364" i="4"/>
  <c r="F364" i="4"/>
  <c r="E364" i="4"/>
  <c r="D364" i="4"/>
  <c r="C364" i="4"/>
  <c r="B364" i="4"/>
  <c r="A364" i="4"/>
  <c r="M363" i="4"/>
  <c r="L363" i="4"/>
  <c r="K363" i="4"/>
  <c r="M363" i="3"/>
  <c r="J363" i="4"/>
  <c r="L363" i="3"/>
  <c r="I363" i="4"/>
  <c r="H363" i="4"/>
  <c r="G363" i="4"/>
  <c r="F363" i="4"/>
  <c r="E363" i="4"/>
  <c r="D363" i="4"/>
  <c r="C363" i="4"/>
  <c r="B363" i="4"/>
  <c r="A363" i="4"/>
  <c r="M362" i="4"/>
  <c r="L362" i="4"/>
  <c r="K362" i="4"/>
  <c r="M362" i="3"/>
  <c r="J362" i="4"/>
  <c r="L362" i="3"/>
  <c r="I362" i="4"/>
  <c r="H362" i="4"/>
  <c r="G362" i="4"/>
  <c r="F362" i="4"/>
  <c r="E362" i="4"/>
  <c r="D362" i="4"/>
  <c r="C362" i="4"/>
  <c r="B362" i="4"/>
  <c r="A362" i="4"/>
  <c r="M361" i="4"/>
  <c r="L361" i="4"/>
  <c r="K361" i="4"/>
  <c r="M361" i="3"/>
  <c r="J361" i="4"/>
  <c r="L361" i="3"/>
  <c r="I361" i="4"/>
  <c r="H361" i="4"/>
  <c r="G361" i="4"/>
  <c r="F361" i="4"/>
  <c r="E361" i="4"/>
  <c r="D361" i="4"/>
  <c r="C361" i="4"/>
  <c r="B361" i="4"/>
  <c r="A361" i="4"/>
  <c r="M360" i="4"/>
  <c r="L360" i="4"/>
  <c r="K360" i="4"/>
  <c r="M360" i="3"/>
  <c r="J360" i="4"/>
  <c r="L360" i="3"/>
  <c r="I360" i="4"/>
  <c r="H360" i="4"/>
  <c r="G360" i="4"/>
  <c r="F360" i="4"/>
  <c r="E360" i="4"/>
  <c r="D360" i="4"/>
  <c r="C360" i="4"/>
  <c r="B360" i="4"/>
  <c r="A360" i="4"/>
  <c r="M359" i="4"/>
  <c r="L359" i="4"/>
  <c r="K359" i="4"/>
  <c r="M359" i="3"/>
  <c r="J359" i="4"/>
  <c r="L359" i="3"/>
  <c r="I359" i="4"/>
  <c r="H359" i="4"/>
  <c r="G359" i="4"/>
  <c r="F359" i="4"/>
  <c r="E359" i="4"/>
  <c r="D359" i="4"/>
  <c r="C359" i="4"/>
  <c r="B359" i="4"/>
  <c r="A359" i="4"/>
  <c r="M358" i="4"/>
  <c r="L358" i="4"/>
  <c r="K358" i="4"/>
  <c r="M358" i="3"/>
  <c r="J358" i="4"/>
  <c r="L358" i="3"/>
  <c r="I358" i="4"/>
  <c r="H358" i="4"/>
  <c r="G358" i="4"/>
  <c r="F358" i="4"/>
  <c r="E358" i="4"/>
  <c r="D358" i="4"/>
  <c r="C358" i="4"/>
  <c r="B358" i="4"/>
  <c r="A358" i="4"/>
  <c r="M357" i="4"/>
  <c r="L357" i="4"/>
  <c r="K357" i="4"/>
  <c r="M357" i="3"/>
  <c r="J357" i="4"/>
  <c r="L357" i="3"/>
  <c r="I357" i="4"/>
  <c r="H357" i="4"/>
  <c r="G357" i="4"/>
  <c r="F357" i="4"/>
  <c r="E357" i="4"/>
  <c r="D357" i="4"/>
  <c r="C357" i="4"/>
  <c r="B357" i="4"/>
  <c r="A357" i="4"/>
  <c r="M356" i="4"/>
  <c r="L356" i="4"/>
  <c r="K356" i="4"/>
  <c r="M356" i="3"/>
  <c r="J356" i="4"/>
  <c r="L356" i="3"/>
  <c r="I356" i="4"/>
  <c r="H356" i="4"/>
  <c r="G356" i="4"/>
  <c r="F356" i="4"/>
  <c r="E356" i="4"/>
  <c r="D356" i="4"/>
  <c r="C356" i="4"/>
  <c r="B356" i="4"/>
  <c r="A356" i="4"/>
  <c r="M355" i="4"/>
  <c r="L355" i="4"/>
  <c r="K355" i="4"/>
  <c r="M355" i="3"/>
  <c r="J355" i="4"/>
  <c r="L355" i="3"/>
  <c r="I355" i="4"/>
  <c r="H355" i="4"/>
  <c r="G355" i="4"/>
  <c r="F355" i="4"/>
  <c r="E355" i="4"/>
  <c r="D355" i="4"/>
  <c r="C355" i="4"/>
  <c r="B355" i="4"/>
  <c r="A355" i="4"/>
  <c r="M354" i="4"/>
  <c r="L354" i="4"/>
  <c r="K354" i="4"/>
  <c r="M354" i="3"/>
  <c r="J354" i="4"/>
  <c r="L354" i="3"/>
  <c r="I354" i="4"/>
  <c r="H354" i="4"/>
  <c r="G354" i="4"/>
  <c r="F354" i="4"/>
  <c r="E354" i="4"/>
  <c r="D354" i="4"/>
  <c r="C354" i="4"/>
  <c r="B354" i="4"/>
  <c r="A354" i="4"/>
  <c r="M353" i="4"/>
  <c r="L353" i="4"/>
  <c r="K353" i="4"/>
  <c r="M353" i="3"/>
  <c r="J353" i="4"/>
  <c r="L353" i="3"/>
  <c r="I353" i="4"/>
  <c r="H353" i="4"/>
  <c r="G353" i="4"/>
  <c r="F353" i="4"/>
  <c r="E353" i="4"/>
  <c r="D353" i="4"/>
  <c r="C353" i="4"/>
  <c r="B353" i="4"/>
  <c r="A353" i="4"/>
  <c r="M352" i="4"/>
  <c r="L352" i="4"/>
  <c r="K352" i="4"/>
  <c r="M352" i="3"/>
  <c r="J352" i="4"/>
  <c r="L352" i="3"/>
  <c r="I352" i="4"/>
  <c r="H352" i="4"/>
  <c r="G352" i="4"/>
  <c r="F352" i="4"/>
  <c r="E352" i="4"/>
  <c r="D352" i="4"/>
  <c r="C352" i="4"/>
  <c r="B352" i="4"/>
  <c r="A352" i="4"/>
  <c r="M351" i="4"/>
  <c r="L351" i="4"/>
  <c r="K351" i="4"/>
  <c r="M351" i="3"/>
  <c r="J351" i="4"/>
  <c r="L351" i="3"/>
  <c r="I351" i="4"/>
  <c r="H351" i="4"/>
  <c r="G351" i="4"/>
  <c r="F351" i="4"/>
  <c r="E351" i="4"/>
  <c r="D351" i="4"/>
  <c r="C351" i="4"/>
  <c r="B351" i="4"/>
  <c r="A351" i="4"/>
  <c r="M350" i="4"/>
  <c r="L350" i="4"/>
  <c r="K350" i="4"/>
  <c r="M350" i="3"/>
  <c r="J350" i="4"/>
  <c r="L350" i="3"/>
  <c r="I350" i="4"/>
  <c r="H350" i="4"/>
  <c r="G350" i="4"/>
  <c r="F350" i="4"/>
  <c r="E350" i="4"/>
  <c r="D350" i="4"/>
  <c r="C350" i="4"/>
  <c r="B350" i="4"/>
  <c r="A350" i="4"/>
  <c r="M349" i="4"/>
  <c r="L349" i="4"/>
  <c r="K349" i="4"/>
  <c r="M349" i="3"/>
  <c r="J349" i="4"/>
  <c r="L349" i="3"/>
  <c r="I349" i="4"/>
  <c r="H349" i="4"/>
  <c r="G349" i="4"/>
  <c r="F349" i="4"/>
  <c r="E349" i="4"/>
  <c r="D349" i="4"/>
  <c r="C349" i="4"/>
  <c r="B349" i="4"/>
  <c r="A349" i="4"/>
  <c r="M348" i="4"/>
  <c r="L348" i="4"/>
  <c r="K348" i="4"/>
  <c r="M348" i="3"/>
  <c r="J348" i="4"/>
  <c r="L348" i="3"/>
  <c r="I348" i="4"/>
  <c r="H348" i="4"/>
  <c r="G348" i="4"/>
  <c r="F348" i="4"/>
  <c r="E348" i="4"/>
  <c r="D348" i="4"/>
  <c r="C348" i="4"/>
  <c r="B348" i="4"/>
  <c r="A348" i="4"/>
  <c r="M347" i="4"/>
  <c r="L347" i="4"/>
  <c r="K347" i="4"/>
  <c r="M347" i="3"/>
  <c r="J347" i="4"/>
  <c r="L347" i="3"/>
  <c r="I347" i="4"/>
  <c r="H347" i="4"/>
  <c r="G347" i="4"/>
  <c r="F347" i="4"/>
  <c r="E347" i="4"/>
  <c r="D347" i="4"/>
  <c r="C347" i="4"/>
  <c r="B347" i="4"/>
  <c r="A347" i="4"/>
  <c r="M346" i="4"/>
  <c r="L346" i="4"/>
  <c r="K346" i="4"/>
  <c r="M346" i="3"/>
  <c r="J346" i="4"/>
  <c r="L346" i="3"/>
  <c r="I346" i="4"/>
  <c r="H346" i="4"/>
  <c r="G346" i="4"/>
  <c r="F346" i="4"/>
  <c r="E346" i="4"/>
  <c r="D346" i="4"/>
  <c r="C346" i="4"/>
  <c r="B346" i="4"/>
  <c r="A346" i="4"/>
  <c r="M345" i="4"/>
  <c r="L345" i="4"/>
  <c r="K345" i="4"/>
  <c r="M345" i="3"/>
  <c r="J345" i="4"/>
  <c r="L345" i="3"/>
  <c r="I345" i="4"/>
  <c r="H345" i="4"/>
  <c r="G345" i="4"/>
  <c r="F345" i="4"/>
  <c r="E345" i="4"/>
  <c r="D345" i="4"/>
  <c r="C345" i="4"/>
  <c r="B345" i="4"/>
  <c r="A345" i="4"/>
  <c r="M344" i="4"/>
  <c r="L344" i="4"/>
  <c r="K344" i="4"/>
  <c r="M344" i="3"/>
  <c r="J344" i="4"/>
  <c r="L344" i="3"/>
  <c r="I344" i="4"/>
  <c r="H344" i="4"/>
  <c r="G344" i="4"/>
  <c r="F344" i="4"/>
  <c r="E344" i="4"/>
  <c r="D344" i="4"/>
  <c r="C344" i="4"/>
  <c r="B344" i="4"/>
  <c r="A344" i="4"/>
  <c r="M343" i="4"/>
  <c r="L343" i="4"/>
  <c r="K343" i="4"/>
  <c r="M343" i="3"/>
  <c r="J343" i="4"/>
  <c r="L343" i="3"/>
  <c r="I343" i="4"/>
  <c r="H343" i="4"/>
  <c r="G343" i="4"/>
  <c r="F343" i="4"/>
  <c r="E343" i="4"/>
  <c r="D343" i="4"/>
  <c r="C343" i="4"/>
  <c r="B343" i="4"/>
  <c r="A343" i="4"/>
  <c r="M342" i="4"/>
  <c r="L342" i="4"/>
  <c r="K342" i="4"/>
  <c r="M342" i="3"/>
  <c r="J342" i="4"/>
  <c r="L342" i="3"/>
  <c r="I342" i="4"/>
  <c r="H342" i="4"/>
  <c r="G342" i="4"/>
  <c r="F342" i="4"/>
  <c r="E342" i="4"/>
  <c r="D342" i="4"/>
  <c r="C342" i="4"/>
  <c r="B342" i="4"/>
  <c r="A342" i="4"/>
  <c r="M341" i="4"/>
  <c r="L341" i="4"/>
  <c r="K341" i="4"/>
  <c r="M341" i="3"/>
  <c r="J341" i="4"/>
  <c r="L341" i="3"/>
  <c r="I341" i="4"/>
  <c r="H341" i="4"/>
  <c r="G341" i="4"/>
  <c r="F341" i="4"/>
  <c r="E341" i="4"/>
  <c r="D341" i="4"/>
  <c r="C341" i="4"/>
  <c r="B341" i="4"/>
  <c r="A341" i="4"/>
  <c r="M340" i="4"/>
  <c r="L340" i="4"/>
  <c r="K340" i="4"/>
  <c r="M340" i="3"/>
  <c r="J340" i="4"/>
  <c r="L340" i="3"/>
  <c r="I340" i="4"/>
  <c r="H340" i="4"/>
  <c r="G340" i="4"/>
  <c r="F340" i="4"/>
  <c r="E340" i="4"/>
  <c r="D340" i="4"/>
  <c r="C340" i="4"/>
  <c r="B340" i="4"/>
  <c r="A340" i="4"/>
  <c r="M339" i="4"/>
  <c r="L339" i="4"/>
  <c r="K339" i="4"/>
  <c r="M339" i="3"/>
  <c r="J339" i="4"/>
  <c r="L339" i="3"/>
  <c r="I339" i="4"/>
  <c r="H339" i="4"/>
  <c r="G339" i="4"/>
  <c r="F339" i="4"/>
  <c r="E339" i="4"/>
  <c r="D339" i="4"/>
  <c r="C339" i="4"/>
  <c r="B339" i="4"/>
  <c r="A339" i="4"/>
  <c r="M338" i="4"/>
  <c r="L338" i="4"/>
  <c r="K338" i="4"/>
  <c r="M338" i="3"/>
  <c r="J338" i="4"/>
  <c r="L338" i="3"/>
  <c r="I338" i="4"/>
  <c r="H338" i="4"/>
  <c r="G338" i="4"/>
  <c r="F338" i="4"/>
  <c r="E338" i="4"/>
  <c r="D338" i="4"/>
  <c r="C338" i="4"/>
  <c r="B338" i="4"/>
  <c r="A338" i="4"/>
  <c r="M337" i="4"/>
  <c r="L337" i="4"/>
  <c r="K337" i="4"/>
  <c r="M337" i="3"/>
  <c r="J337" i="4"/>
  <c r="L337" i="3"/>
  <c r="I337" i="4"/>
  <c r="H337" i="4"/>
  <c r="G337" i="4"/>
  <c r="F337" i="4"/>
  <c r="E337" i="4"/>
  <c r="D337" i="4"/>
  <c r="C337" i="4"/>
  <c r="B337" i="4"/>
  <c r="A337" i="4"/>
  <c r="M336" i="4"/>
  <c r="L336" i="4"/>
  <c r="K336" i="4"/>
  <c r="M336" i="3"/>
  <c r="J336" i="4"/>
  <c r="L336" i="3"/>
  <c r="I336" i="4"/>
  <c r="H336" i="4"/>
  <c r="G336" i="4"/>
  <c r="F336" i="4"/>
  <c r="E336" i="4"/>
  <c r="D336" i="4"/>
  <c r="C336" i="4"/>
  <c r="B336" i="4"/>
  <c r="A336" i="4"/>
  <c r="M335" i="4"/>
  <c r="L335" i="4"/>
  <c r="K335" i="4"/>
  <c r="M335" i="3"/>
  <c r="J335" i="4"/>
  <c r="L335" i="3"/>
  <c r="I335" i="4"/>
  <c r="H335" i="4"/>
  <c r="G335" i="4"/>
  <c r="F335" i="4"/>
  <c r="E335" i="4"/>
  <c r="D335" i="4"/>
  <c r="C335" i="4"/>
  <c r="B335" i="4"/>
  <c r="A335" i="4"/>
  <c r="M334" i="4"/>
  <c r="L334" i="4"/>
  <c r="K334" i="4"/>
  <c r="M334" i="3"/>
  <c r="J334" i="4"/>
  <c r="L334" i="3"/>
  <c r="I334" i="4"/>
  <c r="H334" i="4"/>
  <c r="G334" i="4"/>
  <c r="F334" i="4"/>
  <c r="E334" i="4"/>
  <c r="D334" i="4"/>
  <c r="C334" i="4"/>
  <c r="B334" i="4"/>
  <c r="A334" i="4"/>
  <c r="M333" i="4"/>
  <c r="L333" i="4"/>
  <c r="K333" i="4"/>
  <c r="M333" i="3"/>
  <c r="J333" i="4"/>
  <c r="L333" i="3"/>
  <c r="I333" i="4"/>
  <c r="H333" i="4"/>
  <c r="G333" i="4"/>
  <c r="F333" i="4"/>
  <c r="E333" i="4"/>
  <c r="D333" i="4"/>
  <c r="C333" i="4"/>
  <c r="B333" i="4"/>
  <c r="A333" i="4"/>
  <c r="M332" i="4"/>
  <c r="L332" i="4"/>
  <c r="K332" i="4"/>
  <c r="M332" i="3"/>
  <c r="J332" i="4"/>
  <c r="L332" i="3"/>
  <c r="I332" i="4"/>
  <c r="H332" i="4"/>
  <c r="G332" i="4"/>
  <c r="F332" i="4"/>
  <c r="E332" i="4"/>
  <c r="D332" i="4"/>
  <c r="C332" i="4"/>
  <c r="B332" i="4"/>
  <c r="A332" i="4"/>
  <c r="M331" i="4"/>
  <c r="L331" i="4"/>
  <c r="K331" i="4"/>
  <c r="M331" i="3"/>
  <c r="J331" i="4"/>
  <c r="L331" i="3"/>
  <c r="I331" i="4"/>
  <c r="H331" i="4"/>
  <c r="G331" i="4"/>
  <c r="F331" i="4"/>
  <c r="E331" i="4"/>
  <c r="D331" i="4"/>
  <c r="C331" i="4"/>
  <c r="B331" i="4"/>
  <c r="A331" i="4"/>
  <c r="M330" i="4"/>
  <c r="L330" i="4"/>
  <c r="K330" i="4"/>
  <c r="M330" i="3"/>
  <c r="J330" i="4"/>
  <c r="L330" i="3"/>
  <c r="I330" i="4"/>
  <c r="H330" i="4"/>
  <c r="G330" i="4"/>
  <c r="F330" i="4"/>
  <c r="E330" i="4"/>
  <c r="D330" i="4"/>
  <c r="C330" i="4"/>
  <c r="B330" i="4"/>
  <c r="A330" i="4"/>
  <c r="M329" i="4"/>
  <c r="L329" i="4"/>
  <c r="K329" i="4"/>
  <c r="M329" i="3"/>
  <c r="J329" i="4"/>
  <c r="L329" i="3"/>
  <c r="I329" i="4"/>
  <c r="H329" i="4"/>
  <c r="G329" i="4"/>
  <c r="F329" i="4"/>
  <c r="E329" i="4"/>
  <c r="D329" i="4"/>
  <c r="C329" i="4"/>
  <c r="B329" i="4"/>
  <c r="A329" i="4"/>
  <c r="M328" i="4"/>
  <c r="L328" i="4"/>
  <c r="K328" i="4"/>
  <c r="M328" i="3"/>
  <c r="J328" i="4"/>
  <c r="L328" i="3"/>
  <c r="I328" i="4"/>
  <c r="H328" i="4"/>
  <c r="G328" i="4"/>
  <c r="F328" i="4"/>
  <c r="E328" i="4"/>
  <c r="D328" i="4"/>
  <c r="C328" i="4"/>
  <c r="B328" i="4"/>
  <c r="A328" i="4"/>
  <c r="M327" i="4"/>
  <c r="L327" i="4"/>
  <c r="K327" i="4"/>
  <c r="M327" i="3"/>
  <c r="J327" i="4"/>
  <c r="L327" i="3"/>
  <c r="I327" i="4"/>
  <c r="H327" i="4"/>
  <c r="G327" i="4"/>
  <c r="F327" i="4"/>
  <c r="E327" i="4"/>
  <c r="D327" i="4"/>
  <c r="C327" i="4"/>
  <c r="B327" i="4"/>
  <c r="A327" i="4"/>
  <c r="M326" i="4"/>
  <c r="L326" i="4"/>
  <c r="K326" i="4"/>
  <c r="M326" i="3"/>
  <c r="J326" i="4"/>
  <c r="L326" i="3"/>
  <c r="I326" i="4"/>
  <c r="H326" i="4"/>
  <c r="G326" i="4"/>
  <c r="F326" i="4"/>
  <c r="E326" i="4"/>
  <c r="D326" i="4"/>
  <c r="C326" i="4"/>
  <c r="B326" i="4"/>
  <c r="A326" i="4"/>
  <c r="M325" i="4"/>
  <c r="L325" i="4"/>
  <c r="K325" i="4"/>
  <c r="M325" i="3"/>
  <c r="J325" i="4"/>
  <c r="L325" i="3"/>
  <c r="I325" i="4"/>
  <c r="H325" i="4"/>
  <c r="G325" i="4"/>
  <c r="F325" i="4"/>
  <c r="E325" i="4"/>
  <c r="D325" i="4"/>
  <c r="C325" i="4"/>
  <c r="B325" i="4"/>
  <c r="A325" i="4"/>
  <c r="M324" i="4"/>
  <c r="L324" i="4"/>
  <c r="K324" i="4"/>
  <c r="M324" i="3"/>
  <c r="J324" i="4"/>
  <c r="L324" i="3"/>
  <c r="I324" i="4"/>
  <c r="H324" i="4"/>
  <c r="G324" i="4"/>
  <c r="F324" i="4"/>
  <c r="E324" i="4"/>
  <c r="D324" i="4"/>
  <c r="C324" i="4"/>
  <c r="B324" i="4"/>
  <c r="A324" i="4"/>
  <c r="M323" i="4"/>
  <c r="L323" i="4"/>
  <c r="K323" i="4"/>
  <c r="M323" i="3"/>
  <c r="J323" i="4"/>
  <c r="L323" i="3"/>
  <c r="I323" i="4"/>
  <c r="H323" i="4"/>
  <c r="G323" i="4"/>
  <c r="F323" i="4"/>
  <c r="E323" i="4"/>
  <c r="D323" i="4"/>
  <c r="C323" i="4"/>
  <c r="B323" i="4"/>
  <c r="A323" i="4"/>
  <c r="M322" i="4"/>
  <c r="L322" i="4"/>
  <c r="K322" i="4"/>
  <c r="M322" i="3"/>
  <c r="J322" i="4"/>
  <c r="L322" i="3"/>
  <c r="I322" i="4"/>
  <c r="H322" i="4"/>
  <c r="G322" i="4"/>
  <c r="F322" i="4"/>
  <c r="E322" i="4"/>
  <c r="D322" i="4"/>
  <c r="C322" i="4"/>
  <c r="B322" i="4"/>
  <c r="A322" i="4"/>
  <c r="M321" i="4"/>
  <c r="L321" i="4"/>
  <c r="K321" i="4"/>
  <c r="M321" i="3"/>
  <c r="J321" i="4"/>
  <c r="L321" i="3"/>
  <c r="I321" i="4"/>
  <c r="H321" i="4"/>
  <c r="G321" i="4"/>
  <c r="F321" i="4"/>
  <c r="E321" i="4"/>
  <c r="D321" i="4"/>
  <c r="C321" i="4"/>
  <c r="B321" i="4"/>
  <c r="A321" i="4"/>
  <c r="M320" i="4"/>
  <c r="L320" i="4"/>
  <c r="K320" i="4"/>
  <c r="M320" i="3"/>
  <c r="J320" i="4"/>
  <c r="L320" i="3"/>
  <c r="I320" i="4"/>
  <c r="H320" i="4"/>
  <c r="G320" i="4"/>
  <c r="F320" i="4"/>
  <c r="E320" i="4"/>
  <c r="D320" i="4"/>
  <c r="C320" i="4"/>
  <c r="B320" i="4"/>
  <c r="A320" i="4"/>
  <c r="M319" i="4"/>
  <c r="L319" i="4"/>
  <c r="K319" i="4"/>
  <c r="M319" i="3"/>
  <c r="J319" i="4"/>
  <c r="L319" i="3"/>
  <c r="I319" i="4"/>
  <c r="H319" i="4"/>
  <c r="G319" i="4"/>
  <c r="F319" i="4"/>
  <c r="E319" i="4"/>
  <c r="D319" i="4"/>
  <c r="C319" i="4"/>
  <c r="B319" i="4"/>
  <c r="A319" i="4"/>
  <c r="M318" i="4"/>
  <c r="L318" i="4"/>
  <c r="K318" i="4"/>
  <c r="M318" i="3"/>
  <c r="J318" i="4"/>
  <c r="L318" i="3"/>
  <c r="I318" i="4"/>
  <c r="H318" i="4"/>
  <c r="G318" i="4"/>
  <c r="F318" i="4"/>
  <c r="E318" i="4"/>
  <c r="D318" i="4"/>
  <c r="C318" i="4"/>
  <c r="B318" i="4"/>
  <c r="A318" i="4"/>
  <c r="M317" i="4"/>
  <c r="L317" i="4"/>
  <c r="K317" i="4"/>
  <c r="M317" i="3"/>
  <c r="J317" i="4"/>
  <c r="L317" i="3"/>
  <c r="I317" i="4"/>
  <c r="H317" i="4"/>
  <c r="G317" i="4"/>
  <c r="F317" i="4"/>
  <c r="E317" i="4"/>
  <c r="D317" i="4"/>
  <c r="C317" i="4"/>
  <c r="B317" i="4"/>
  <c r="A317" i="4"/>
  <c r="M316" i="4"/>
  <c r="L316" i="4"/>
  <c r="K316" i="4"/>
  <c r="M316" i="3"/>
  <c r="J316" i="4"/>
  <c r="L316" i="3"/>
  <c r="I316" i="4"/>
  <c r="H316" i="4"/>
  <c r="G316" i="4"/>
  <c r="F316" i="4"/>
  <c r="E316" i="4"/>
  <c r="D316" i="4"/>
  <c r="C316" i="4"/>
  <c r="B316" i="4"/>
  <c r="A316" i="4"/>
  <c r="M315" i="4"/>
  <c r="L315" i="4"/>
  <c r="K315" i="4"/>
  <c r="M315" i="3"/>
  <c r="J315" i="4"/>
  <c r="L315" i="3"/>
  <c r="I315" i="4"/>
  <c r="H315" i="4"/>
  <c r="G315" i="4"/>
  <c r="F315" i="4"/>
  <c r="E315" i="4"/>
  <c r="D315" i="4"/>
  <c r="C315" i="4"/>
  <c r="B315" i="4"/>
  <c r="A315" i="4"/>
  <c r="M314" i="4"/>
  <c r="L314" i="4"/>
  <c r="K314" i="4"/>
  <c r="M314" i="3"/>
  <c r="J314" i="4"/>
  <c r="L314" i="3"/>
  <c r="I314" i="4"/>
  <c r="H314" i="4"/>
  <c r="G314" i="4"/>
  <c r="F314" i="4"/>
  <c r="E314" i="4"/>
  <c r="D314" i="4"/>
  <c r="C314" i="4"/>
  <c r="B314" i="4"/>
  <c r="A314" i="4"/>
  <c r="M313" i="4"/>
  <c r="L313" i="4"/>
  <c r="K313" i="4"/>
  <c r="M313" i="3"/>
  <c r="J313" i="4"/>
  <c r="L313" i="3"/>
  <c r="I313" i="4"/>
  <c r="H313" i="4"/>
  <c r="G313" i="4"/>
  <c r="F313" i="4"/>
  <c r="E313" i="4"/>
  <c r="D313" i="4"/>
  <c r="C313" i="4"/>
  <c r="B313" i="4"/>
  <c r="A313" i="4"/>
  <c r="M312" i="4"/>
  <c r="L312" i="4"/>
  <c r="K312" i="4"/>
  <c r="M312" i="3"/>
  <c r="J312" i="4"/>
  <c r="L312" i="3"/>
  <c r="I312" i="4"/>
  <c r="H312" i="4"/>
  <c r="G312" i="4"/>
  <c r="F312" i="4"/>
  <c r="E312" i="4"/>
  <c r="D312" i="4"/>
  <c r="C312" i="4"/>
  <c r="B312" i="4"/>
  <c r="A312" i="4"/>
  <c r="M311" i="4"/>
  <c r="L311" i="4"/>
  <c r="K311" i="4"/>
  <c r="M311" i="3"/>
  <c r="J311" i="4"/>
  <c r="L311" i="3"/>
  <c r="I311" i="4"/>
  <c r="H311" i="4"/>
  <c r="G311" i="4"/>
  <c r="F311" i="4"/>
  <c r="E311" i="4"/>
  <c r="D311" i="4"/>
  <c r="C311" i="4"/>
  <c r="B311" i="4"/>
  <c r="A311" i="4"/>
  <c r="M310" i="4"/>
  <c r="L310" i="4"/>
  <c r="K310" i="4"/>
  <c r="M310" i="3"/>
  <c r="J310" i="4"/>
  <c r="L310" i="3"/>
  <c r="I310" i="4"/>
  <c r="H310" i="4"/>
  <c r="G310" i="4"/>
  <c r="F310" i="4"/>
  <c r="E310" i="4"/>
  <c r="D310" i="4"/>
  <c r="C310" i="4"/>
  <c r="B310" i="4"/>
  <c r="A310" i="4"/>
  <c r="M309" i="4"/>
  <c r="L309" i="4"/>
  <c r="K309" i="4"/>
  <c r="M309" i="3"/>
  <c r="J309" i="4"/>
  <c r="L309" i="3"/>
  <c r="I309" i="4"/>
  <c r="H309" i="4"/>
  <c r="G309" i="4"/>
  <c r="F309" i="4"/>
  <c r="E309" i="4"/>
  <c r="D309" i="4"/>
  <c r="C309" i="4"/>
  <c r="B309" i="4"/>
  <c r="A309" i="4"/>
  <c r="M308" i="4"/>
  <c r="L308" i="4"/>
  <c r="K308" i="4"/>
  <c r="M308" i="3"/>
  <c r="J308" i="4"/>
  <c r="L308" i="3"/>
  <c r="I308" i="4"/>
  <c r="H308" i="4"/>
  <c r="G308" i="4"/>
  <c r="F308" i="4"/>
  <c r="E308" i="4"/>
  <c r="D308" i="4"/>
  <c r="C308" i="4"/>
  <c r="B308" i="4"/>
  <c r="A308" i="4"/>
  <c r="M307" i="4"/>
  <c r="L307" i="4"/>
  <c r="K307" i="4"/>
  <c r="M307" i="3"/>
  <c r="J307" i="4"/>
  <c r="L307" i="3"/>
  <c r="I307" i="4"/>
  <c r="H307" i="4"/>
  <c r="G307" i="4"/>
  <c r="F307" i="4"/>
  <c r="E307" i="4"/>
  <c r="D307" i="4"/>
  <c r="C307" i="4"/>
  <c r="B307" i="4"/>
  <c r="A307" i="4"/>
  <c r="M306" i="4"/>
  <c r="L306" i="4"/>
  <c r="K306" i="4"/>
  <c r="M306" i="3"/>
  <c r="J306" i="4"/>
  <c r="L306" i="3"/>
  <c r="I306" i="4"/>
  <c r="H306" i="4"/>
  <c r="G306" i="4"/>
  <c r="F306" i="4"/>
  <c r="E306" i="4"/>
  <c r="D306" i="4"/>
  <c r="C306" i="4"/>
  <c r="B306" i="4"/>
  <c r="A306" i="4"/>
  <c r="M305" i="4"/>
  <c r="L305" i="4"/>
  <c r="K305" i="4"/>
  <c r="M305" i="3"/>
  <c r="J305" i="4"/>
  <c r="L305" i="3"/>
  <c r="I305" i="4"/>
  <c r="H305" i="4"/>
  <c r="G305" i="4"/>
  <c r="F305" i="4"/>
  <c r="E305" i="4"/>
  <c r="D305" i="4"/>
  <c r="C305" i="4"/>
  <c r="B305" i="4"/>
  <c r="A305" i="4"/>
  <c r="M304" i="4"/>
  <c r="L304" i="4"/>
  <c r="K304" i="4"/>
  <c r="M304" i="3"/>
  <c r="J304" i="4"/>
  <c r="L304" i="3"/>
  <c r="I304" i="4"/>
  <c r="H304" i="4"/>
  <c r="G304" i="4"/>
  <c r="F304" i="4"/>
  <c r="E304" i="4"/>
  <c r="D304" i="4"/>
  <c r="C304" i="4"/>
  <c r="B304" i="4"/>
  <c r="A304" i="4"/>
  <c r="M303" i="4"/>
  <c r="L303" i="4"/>
  <c r="K303" i="4"/>
  <c r="M303" i="3"/>
  <c r="J303" i="4"/>
  <c r="L303" i="3"/>
  <c r="I303" i="4"/>
  <c r="H303" i="4"/>
  <c r="G303" i="4"/>
  <c r="F303" i="4"/>
  <c r="E303" i="4"/>
  <c r="D303" i="4"/>
  <c r="C303" i="4"/>
  <c r="B303" i="4"/>
  <c r="A303" i="4"/>
  <c r="M302" i="4"/>
  <c r="L302" i="4"/>
  <c r="K302" i="4"/>
  <c r="M302" i="3"/>
  <c r="J302" i="4"/>
  <c r="L302" i="3"/>
  <c r="I302" i="4"/>
  <c r="H302" i="4"/>
  <c r="G302" i="4"/>
  <c r="F302" i="4"/>
  <c r="E302" i="4"/>
  <c r="D302" i="4"/>
  <c r="C302" i="4"/>
  <c r="B302" i="4"/>
  <c r="A302" i="4"/>
  <c r="M301" i="4"/>
  <c r="L301" i="4"/>
  <c r="K301" i="4"/>
  <c r="M301" i="3"/>
  <c r="J301" i="4"/>
  <c r="L301" i="3"/>
  <c r="I301" i="4"/>
  <c r="H301" i="4"/>
  <c r="G301" i="4"/>
  <c r="F301" i="4"/>
  <c r="E301" i="4"/>
  <c r="D301" i="4"/>
  <c r="C301" i="4"/>
  <c r="B301" i="4"/>
  <c r="A301" i="4"/>
  <c r="M300" i="4"/>
  <c r="L300" i="4"/>
  <c r="K300" i="4"/>
  <c r="M300" i="3"/>
  <c r="J300" i="4"/>
  <c r="L300" i="3"/>
  <c r="I300" i="4"/>
  <c r="H300" i="4"/>
  <c r="G300" i="4"/>
  <c r="F300" i="4"/>
  <c r="E300" i="4"/>
  <c r="D300" i="4"/>
  <c r="C300" i="4"/>
  <c r="B300" i="4"/>
  <c r="A300" i="4"/>
  <c r="M299" i="4"/>
  <c r="L299" i="4"/>
  <c r="K299" i="4"/>
  <c r="M299" i="3"/>
  <c r="J299" i="4"/>
  <c r="L299" i="3"/>
  <c r="I299" i="4"/>
  <c r="H299" i="4"/>
  <c r="G299" i="4"/>
  <c r="F299" i="4"/>
  <c r="E299" i="4"/>
  <c r="D299" i="4"/>
  <c r="C299" i="4"/>
  <c r="B299" i="4"/>
  <c r="A299" i="4"/>
  <c r="M298" i="4"/>
  <c r="L298" i="4"/>
  <c r="K298" i="4"/>
  <c r="M298" i="3"/>
  <c r="J298" i="4"/>
  <c r="L298" i="3"/>
  <c r="I298" i="4"/>
  <c r="H298" i="4"/>
  <c r="G298" i="4"/>
  <c r="F298" i="4"/>
  <c r="E298" i="4"/>
  <c r="D298" i="4"/>
  <c r="C298" i="4"/>
  <c r="B298" i="4"/>
  <c r="A298" i="4"/>
  <c r="M297" i="4"/>
  <c r="L297" i="4"/>
  <c r="K297" i="4"/>
  <c r="M297" i="3"/>
  <c r="J297" i="4"/>
  <c r="L297" i="3"/>
  <c r="I297" i="4"/>
  <c r="H297" i="4"/>
  <c r="G297" i="4"/>
  <c r="F297" i="4"/>
  <c r="E297" i="4"/>
  <c r="D297" i="4"/>
  <c r="C297" i="4"/>
  <c r="B297" i="4"/>
  <c r="A297" i="4"/>
  <c r="M296" i="4"/>
  <c r="L296" i="4"/>
  <c r="K296" i="4"/>
  <c r="M296" i="3"/>
  <c r="J296" i="4"/>
  <c r="L296" i="3"/>
  <c r="I296" i="4"/>
  <c r="H296" i="4"/>
  <c r="G296" i="4"/>
  <c r="F296" i="4"/>
  <c r="E296" i="4"/>
  <c r="D296" i="4"/>
  <c r="C296" i="4"/>
  <c r="B296" i="4"/>
  <c r="A296" i="4"/>
  <c r="M295" i="4"/>
  <c r="L295" i="4"/>
  <c r="K295" i="4"/>
  <c r="M295" i="3"/>
  <c r="J295" i="4"/>
  <c r="L295" i="3"/>
  <c r="I295" i="4"/>
  <c r="H295" i="4"/>
  <c r="G295" i="4"/>
  <c r="F295" i="4"/>
  <c r="E295" i="4"/>
  <c r="D295" i="4"/>
  <c r="C295" i="4"/>
  <c r="B295" i="4"/>
  <c r="A295" i="4"/>
  <c r="M294" i="4"/>
  <c r="L294" i="4"/>
  <c r="K294" i="4"/>
  <c r="M294" i="3"/>
  <c r="J294" i="4"/>
  <c r="L294" i="3"/>
  <c r="I294" i="4"/>
  <c r="H294" i="4"/>
  <c r="G294" i="4"/>
  <c r="F294" i="4"/>
  <c r="E294" i="4"/>
  <c r="D294" i="4"/>
  <c r="C294" i="4"/>
  <c r="B294" i="4"/>
  <c r="A294" i="4"/>
  <c r="M293" i="4"/>
  <c r="L293" i="4"/>
  <c r="K293" i="4"/>
  <c r="M293" i="3"/>
  <c r="J293" i="4"/>
  <c r="L293" i="3"/>
  <c r="I293" i="4"/>
  <c r="H293" i="4"/>
  <c r="G293" i="4"/>
  <c r="F293" i="4"/>
  <c r="E293" i="4"/>
  <c r="D293" i="4"/>
  <c r="C293" i="4"/>
  <c r="B293" i="4"/>
  <c r="A293" i="4"/>
  <c r="M292" i="4"/>
  <c r="L292" i="4"/>
  <c r="K292" i="4"/>
  <c r="M292" i="3"/>
  <c r="J292" i="4"/>
  <c r="L292" i="3"/>
  <c r="I292" i="4"/>
  <c r="H292" i="4"/>
  <c r="G292" i="4"/>
  <c r="F292" i="4"/>
  <c r="E292" i="4"/>
  <c r="D292" i="4"/>
  <c r="C292" i="4"/>
  <c r="B292" i="4"/>
  <c r="A292" i="4"/>
  <c r="M291" i="4"/>
  <c r="L291" i="4"/>
  <c r="K291" i="4"/>
  <c r="M291" i="3"/>
  <c r="J291" i="4"/>
  <c r="L291" i="3"/>
  <c r="I291" i="4"/>
  <c r="H291" i="4"/>
  <c r="G291" i="4"/>
  <c r="F291" i="4"/>
  <c r="E291" i="4"/>
  <c r="D291" i="4"/>
  <c r="C291" i="4"/>
  <c r="B291" i="4"/>
  <c r="A291" i="4"/>
  <c r="M290" i="4"/>
  <c r="L290" i="4"/>
  <c r="K290" i="4"/>
  <c r="M290" i="3"/>
  <c r="J290" i="4"/>
  <c r="L290" i="3"/>
  <c r="I290" i="4"/>
  <c r="H290" i="4"/>
  <c r="G290" i="4"/>
  <c r="F290" i="4"/>
  <c r="E290" i="4"/>
  <c r="D290" i="4"/>
  <c r="C290" i="4"/>
  <c r="B290" i="4"/>
  <c r="A290" i="4"/>
  <c r="M289" i="4"/>
  <c r="L289" i="4"/>
  <c r="K289" i="4"/>
  <c r="M289" i="3"/>
  <c r="J289" i="4"/>
  <c r="L289" i="3"/>
  <c r="I289" i="4"/>
  <c r="H289" i="4"/>
  <c r="G289" i="4"/>
  <c r="F289" i="4"/>
  <c r="E289" i="4"/>
  <c r="D289" i="4"/>
  <c r="C289" i="4"/>
  <c r="B289" i="4"/>
  <c r="A289" i="4"/>
  <c r="M288" i="4"/>
  <c r="L288" i="4"/>
  <c r="K288" i="4"/>
  <c r="M288" i="3"/>
  <c r="J288" i="4"/>
  <c r="L288" i="3"/>
  <c r="I288" i="4"/>
  <c r="H288" i="4"/>
  <c r="G288" i="4"/>
  <c r="F288" i="4"/>
  <c r="E288" i="4"/>
  <c r="D288" i="4"/>
  <c r="C288" i="4"/>
  <c r="B288" i="4"/>
  <c r="A288" i="4"/>
  <c r="M287" i="4"/>
  <c r="L287" i="4"/>
  <c r="K287" i="4"/>
  <c r="M287" i="3"/>
  <c r="J287" i="4"/>
  <c r="L287" i="3"/>
  <c r="I287" i="4"/>
  <c r="H287" i="4"/>
  <c r="G287" i="4"/>
  <c r="F287" i="4"/>
  <c r="E287" i="4"/>
  <c r="D287" i="4"/>
  <c r="C287" i="4"/>
  <c r="B287" i="4"/>
  <c r="A287" i="4"/>
  <c r="M286" i="4"/>
  <c r="L286" i="4"/>
  <c r="K286" i="4"/>
  <c r="M286" i="3"/>
  <c r="J286" i="4"/>
  <c r="L286" i="3"/>
  <c r="I286" i="4"/>
  <c r="H286" i="4"/>
  <c r="G286" i="4"/>
  <c r="F286" i="4"/>
  <c r="E286" i="4"/>
  <c r="D286" i="4"/>
  <c r="C286" i="4"/>
  <c r="B286" i="4"/>
  <c r="A286" i="4"/>
  <c r="M285" i="4"/>
  <c r="L285" i="4"/>
  <c r="K285" i="4"/>
  <c r="M285" i="3"/>
  <c r="J285" i="4"/>
  <c r="L285" i="3"/>
  <c r="I285" i="4"/>
  <c r="H285" i="4"/>
  <c r="G285" i="4"/>
  <c r="F285" i="4"/>
  <c r="E285" i="4"/>
  <c r="D285" i="4"/>
  <c r="C285" i="4"/>
  <c r="B285" i="4"/>
  <c r="A285" i="4"/>
  <c r="M284" i="4"/>
  <c r="L284" i="4"/>
  <c r="K284" i="4"/>
  <c r="M284" i="3"/>
  <c r="J284" i="4"/>
  <c r="L284" i="3"/>
  <c r="I284" i="4"/>
  <c r="H284" i="4"/>
  <c r="G284" i="4"/>
  <c r="F284" i="4"/>
  <c r="E284" i="4"/>
  <c r="D284" i="4"/>
  <c r="C284" i="4"/>
  <c r="B284" i="4"/>
  <c r="A284" i="4"/>
  <c r="M283" i="4"/>
  <c r="L283" i="4"/>
  <c r="K283" i="4"/>
  <c r="M283" i="3"/>
  <c r="J283" i="4"/>
  <c r="L283" i="3"/>
  <c r="I283" i="4"/>
  <c r="H283" i="4"/>
  <c r="G283" i="4"/>
  <c r="F283" i="4"/>
  <c r="E283" i="4"/>
  <c r="D283" i="4"/>
  <c r="C283" i="4"/>
  <c r="B283" i="4"/>
  <c r="A283" i="4"/>
  <c r="M282" i="4"/>
  <c r="L282" i="4"/>
  <c r="K282" i="4"/>
  <c r="M282" i="3"/>
  <c r="J282" i="4"/>
  <c r="L282" i="3"/>
  <c r="I282" i="4"/>
  <c r="H282" i="4"/>
  <c r="G282" i="4"/>
  <c r="F282" i="4"/>
  <c r="E282" i="4"/>
  <c r="D282" i="4"/>
  <c r="C282" i="4"/>
  <c r="B282" i="4"/>
  <c r="A282" i="4"/>
  <c r="M281" i="4"/>
  <c r="L281" i="4"/>
  <c r="K281" i="4"/>
  <c r="M281" i="3"/>
  <c r="J281" i="4"/>
  <c r="L281" i="3"/>
  <c r="I281" i="4"/>
  <c r="H281" i="4"/>
  <c r="G281" i="4"/>
  <c r="F281" i="4"/>
  <c r="E281" i="4"/>
  <c r="D281" i="4"/>
  <c r="C281" i="4"/>
  <c r="B281" i="4"/>
  <c r="A281" i="4"/>
  <c r="M280" i="4"/>
  <c r="L280" i="4"/>
  <c r="K280" i="4"/>
  <c r="M280" i="3"/>
  <c r="J280" i="4"/>
  <c r="L280" i="3"/>
  <c r="I280" i="4"/>
  <c r="H280" i="4"/>
  <c r="G280" i="4"/>
  <c r="F280" i="4"/>
  <c r="E280" i="4"/>
  <c r="D280" i="4"/>
  <c r="C280" i="4"/>
  <c r="B280" i="4"/>
  <c r="A280" i="4"/>
  <c r="M279" i="4"/>
  <c r="L279" i="4"/>
  <c r="K279" i="4"/>
  <c r="M279" i="3"/>
  <c r="J279" i="4"/>
  <c r="L279" i="3"/>
  <c r="I279" i="4"/>
  <c r="H279" i="4"/>
  <c r="G279" i="4"/>
  <c r="F279" i="4"/>
  <c r="E279" i="4"/>
  <c r="D279" i="4"/>
  <c r="C279" i="4"/>
  <c r="B279" i="4"/>
  <c r="A279" i="4"/>
  <c r="M278" i="4"/>
  <c r="L278" i="4"/>
  <c r="K278" i="4"/>
  <c r="M278" i="3"/>
  <c r="J278" i="4"/>
  <c r="L278" i="3"/>
  <c r="I278" i="4"/>
  <c r="H278" i="4"/>
  <c r="G278" i="4"/>
  <c r="F278" i="4"/>
  <c r="E278" i="4"/>
  <c r="D278" i="4"/>
  <c r="C278" i="4"/>
  <c r="B278" i="4"/>
  <c r="A278" i="4"/>
  <c r="M277" i="4"/>
  <c r="L277" i="4"/>
  <c r="K277" i="4"/>
  <c r="M277" i="3"/>
  <c r="J277" i="4"/>
  <c r="L277" i="3"/>
  <c r="I277" i="4"/>
  <c r="H277" i="4"/>
  <c r="G277" i="4"/>
  <c r="F277" i="4"/>
  <c r="E277" i="4"/>
  <c r="D277" i="4"/>
  <c r="C277" i="4"/>
  <c r="B277" i="4"/>
  <c r="A277" i="4"/>
  <c r="M276" i="4"/>
  <c r="L276" i="4"/>
  <c r="K276" i="4"/>
  <c r="M276" i="3"/>
  <c r="J276" i="4"/>
  <c r="L276" i="3"/>
  <c r="I276" i="4"/>
  <c r="H276" i="4"/>
  <c r="G276" i="4"/>
  <c r="F276" i="4"/>
  <c r="E276" i="4"/>
  <c r="D276" i="4"/>
  <c r="C276" i="4"/>
  <c r="B276" i="4"/>
  <c r="A276" i="4"/>
  <c r="M275" i="4"/>
  <c r="L275" i="4"/>
  <c r="K275" i="4"/>
  <c r="M275" i="3"/>
  <c r="J275" i="4"/>
  <c r="L275" i="3"/>
  <c r="I275" i="4"/>
  <c r="H275" i="4"/>
  <c r="G275" i="4"/>
  <c r="F275" i="4"/>
  <c r="E275" i="4"/>
  <c r="D275" i="4"/>
  <c r="C275" i="4"/>
  <c r="B275" i="4"/>
  <c r="A275" i="4"/>
  <c r="M274" i="4"/>
  <c r="L274" i="4"/>
  <c r="K274" i="4"/>
  <c r="M274" i="3"/>
  <c r="J274" i="4"/>
  <c r="L274" i="3"/>
  <c r="I274" i="4"/>
  <c r="H274" i="4"/>
  <c r="G274" i="4"/>
  <c r="F274" i="4"/>
  <c r="E274" i="4"/>
  <c r="D274" i="4"/>
  <c r="C274" i="4"/>
  <c r="B274" i="4"/>
  <c r="A274" i="4"/>
  <c r="M273" i="4"/>
  <c r="L273" i="4"/>
  <c r="K273" i="4"/>
  <c r="M273" i="3"/>
  <c r="J273" i="4"/>
  <c r="L273" i="3"/>
  <c r="I273" i="4"/>
  <c r="H273" i="4"/>
  <c r="G273" i="4"/>
  <c r="F273" i="4"/>
  <c r="E273" i="4"/>
  <c r="D273" i="4"/>
  <c r="C273" i="4"/>
  <c r="B273" i="4"/>
  <c r="A273" i="4"/>
  <c r="M272" i="4"/>
  <c r="L272" i="4"/>
  <c r="K272" i="4"/>
  <c r="M272" i="3"/>
  <c r="J272" i="4"/>
  <c r="L272" i="3"/>
  <c r="I272" i="4"/>
  <c r="H272" i="4"/>
  <c r="G272" i="4"/>
  <c r="F272" i="4"/>
  <c r="E272" i="4"/>
  <c r="D272" i="4"/>
  <c r="C272" i="4"/>
  <c r="B272" i="4"/>
  <c r="A272" i="4"/>
  <c r="M271" i="4"/>
  <c r="L271" i="4"/>
  <c r="K271" i="4"/>
  <c r="M271" i="3"/>
  <c r="J271" i="4"/>
  <c r="L271" i="3"/>
  <c r="I271" i="4"/>
  <c r="H271" i="4"/>
  <c r="G271" i="4"/>
  <c r="F271" i="4"/>
  <c r="E271" i="4"/>
  <c r="D271" i="4"/>
  <c r="C271" i="4"/>
  <c r="B271" i="4"/>
  <c r="A271" i="4"/>
  <c r="M270" i="4"/>
  <c r="L270" i="4"/>
  <c r="K270" i="4"/>
  <c r="M270" i="3"/>
  <c r="J270" i="4"/>
  <c r="L270" i="3"/>
  <c r="I270" i="4"/>
  <c r="H270" i="4"/>
  <c r="G270" i="4"/>
  <c r="F270" i="4"/>
  <c r="E270" i="4"/>
  <c r="D270" i="4"/>
  <c r="C270" i="4"/>
  <c r="B270" i="4"/>
  <c r="A270" i="4"/>
  <c r="M269" i="4"/>
  <c r="L269" i="4"/>
  <c r="K269" i="4"/>
  <c r="M269" i="3"/>
  <c r="J269" i="4"/>
  <c r="L269" i="3"/>
  <c r="I269" i="4"/>
  <c r="H269" i="4"/>
  <c r="G269" i="4"/>
  <c r="F269" i="4"/>
  <c r="E269" i="4"/>
  <c r="D269" i="4"/>
  <c r="C269" i="4"/>
  <c r="B269" i="4"/>
  <c r="A269" i="4"/>
  <c r="M268" i="4"/>
  <c r="L268" i="4"/>
  <c r="K268" i="4"/>
  <c r="M268" i="3"/>
  <c r="J268" i="4"/>
  <c r="L268" i="3"/>
  <c r="I268" i="4"/>
  <c r="H268" i="4"/>
  <c r="G268" i="4"/>
  <c r="F268" i="4"/>
  <c r="E268" i="4"/>
  <c r="D268" i="4"/>
  <c r="C268" i="4"/>
  <c r="B268" i="4"/>
  <c r="A268" i="4"/>
  <c r="M267" i="4"/>
  <c r="L267" i="4"/>
  <c r="K267" i="4"/>
  <c r="M267" i="3"/>
  <c r="J267" i="4"/>
  <c r="L267" i="3"/>
  <c r="I267" i="4"/>
  <c r="H267" i="4"/>
  <c r="G267" i="4"/>
  <c r="F267" i="4"/>
  <c r="E267" i="4"/>
  <c r="D267" i="4"/>
  <c r="C267" i="4"/>
  <c r="B267" i="4"/>
  <c r="A267" i="4"/>
  <c r="M266" i="4"/>
  <c r="L266" i="4"/>
  <c r="K266" i="4"/>
  <c r="M266" i="3"/>
  <c r="J266" i="4"/>
  <c r="L266" i="3"/>
  <c r="I266" i="4"/>
  <c r="H266" i="4"/>
  <c r="G266" i="4"/>
  <c r="F266" i="4"/>
  <c r="E266" i="4"/>
  <c r="D266" i="4"/>
  <c r="C266" i="4"/>
  <c r="B266" i="4"/>
  <c r="A266" i="4"/>
  <c r="M265" i="4"/>
  <c r="L265" i="4"/>
  <c r="K265" i="4"/>
  <c r="M265" i="3"/>
  <c r="J265" i="4"/>
  <c r="L265" i="3"/>
  <c r="I265" i="4"/>
  <c r="H265" i="4"/>
  <c r="G265" i="4"/>
  <c r="F265" i="4"/>
  <c r="E265" i="4"/>
  <c r="D265" i="4"/>
  <c r="C265" i="4"/>
  <c r="B265" i="4"/>
  <c r="A265" i="4"/>
  <c r="M264" i="4"/>
  <c r="L264" i="4"/>
  <c r="K264" i="4"/>
  <c r="M264" i="3"/>
  <c r="J264" i="4"/>
  <c r="L264" i="3"/>
  <c r="I264" i="4"/>
  <c r="H264" i="4"/>
  <c r="G264" i="4"/>
  <c r="F264" i="4"/>
  <c r="E264" i="4"/>
  <c r="D264" i="4"/>
  <c r="C264" i="4"/>
  <c r="B264" i="4"/>
  <c r="A264" i="4"/>
  <c r="M263" i="4"/>
  <c r="L263" i="4"/>
  <c r="K263" i="4"/>
  <c r="M263" i="3"/>
  <c r="J263" i="4"/>
  <c r="L263" i="3"/>
  <c r="I263" i="4"/>
  <c r="H263" i="4"/>
  <c r="G263" i="4"/>
  <c r="F263" i="4"/>
  <c r="E263" i="4"/>
  <c r="D263" i="4"/>
  <c r="C263" i="4"/>
  <c r="B263" i="4"/>
  <c r="A263" i="4"/>
  <c r="M262" i="4"/>
  <c r="L262" i="4"/>
  <c r="K262" i="4"/>
  <c r="M262" i="3"/>
  <c r="J262" i="4"/>
  <c r="L262" i="3"/>
  <c r="I262" i="4"/>
  <c r="H262" i="4"/>
  <c r="G262" i="4"/>
  <c r="F262" i="4"/>
  <c r="E262" i="4"/>
  <c r="D262" i="4"/>
  <c r="C262" i="4"/>
  <c r="B262" i="4"/>
  <c r="A262" i="4"/>
  <c r="M261" i="4"/>
  <c r="L261" i="4"/>
  <c r="K261" i="4"/>
  <c r="M261" i="3"/>
  <c r="J261" i="4"/>
  <c r="L261" i="3"/>
  <c r="I261" i="4"/>
  <c r="H261" i="4"/>
  <c r="G261" i="4"/>
  <c r="F261" i="4"/>
  <c r="E261" i="4"/>
  <c r="D261" i="4"/>
  <c r="C261" i="4"/>
  <c r="B261" i="4"/>
  <c r="A261" i="4"/>
  <c r="M260" i="4"/>
  <c r="L260" i="4"/>
  <c r="K260" i="4"/>
  <c r="M260" i="3"/>
  <c r="J260" i="4"/>
  <c r="L260" i="3"/>
  <c r="I260" i="4"/>
  <c r="H260" i="4"/>
  <c r="G260" i="4"/>
  <c r="F260" i="4"/>
  <c r="E260" i="4"/>
  <c r="D260" i="4"/>
  <c r="C260" i="4"/>
  <c r="B260" i="4"/>
  <c r="A260" i="4"/>
  <c r="M259" i="4"/>
  <c r="L259" i="4"/>
  <c r="K259" i="4"/>
  <c r="M259" i="3"/>
  <c r="J259" i="4"/>
  <c r="L259" i="3"/>
  <c r="I259" i="4"/>
  <c r="H259" i="4"/>
  <c r="G259" i="4"/>
  <c r="F259" i="4"/>
  <c r="E259" i="4"/>
  <c r="D259" i="4"/>
  <c r="C259" i="4"/>
  <c r="B259" i="4"/>
  <c r="A259" i="4"/>
  <c r="M258" i="4"/>
  <c r="L258" i="4"/>
  <c r="K258" i="4"/>
  <c r="M258" i="3"/>
  <c r="J258" i="4"/>
  <c r="L258" i="3"/>
  <c r="I258" i="4"/>
  <c r="H258" i="4"/>
  <c r="G258" i="4"/>
  <c r="F258" i="4"/>
  <c r="E258" i="4"/>
  <c r="D258" i="4"/>
  <c r="C258" i="4"/>
  <c r="B258" i="4"/>
  <c r="A258" i="4"/>
  <c r="M257" i="4"/>
  <c r="L257" i="4"/>
  <c r="K257" i="4"/>
  <c r="M257" i="3"/>
  <c r="J257" i="4"/>
  <c r="L257" i="3"/>
  <c r="I257" i="4"/>
  <c r="H257" i="4"/>
  <c r="G257" i="4"/>
  <c r="F257" i="4"/>
  <c r="E257" i="4"/>
  <c r="D257" i="4"/>
  <c r="C257" i="4"/>
  <c r="B257" i="4"/>
  <c r="A257" i="4"/>
  <c r="M256" i="4"/>
  <c r="L256" i="4"/>
  <c r="K256" i="4"/>
  <c r="M256" i="3"/>
  <c r="J256" i="4"/>
  <c r="L256" i="3"/>
  <c r="I256" i="4"/>
  <c r="H256" i="4"/>
  <c r="G256" i="4"/>
  <c r="F256" i="4"/>
  <c r="E256" i="4"/>
  <c r="D256" i="4"/>
  <c r="C256" i="4"/>
  <c r="B256" i="4"/>
  <c r="A256" i="4"/>
  <c r="M255" i="4"/>
  <c r="L255" i="4"/>
  <c r="K255" i="4"/>
  <c r="M255" i="3"/>
  <c r="J255" i="4"/>
  <c r="L255" i="3"/>
  <c r="I255" i="4"/>
  <c r="H255" i="4"/>
  <c r="G255" i="4"/>
  <c r="F255" i="4"/>
  <c r="E255" i="4"/>
  <c r="D255" i="4"/>
  <c r="C255" i="4"/>
  <c r="B255" i="4"/>
  <c r="A255" i="4"/>
  <c r="M254" i="4"/>
  <c r="L254" i="4"/>
  <c r="K254" i="4"/>
  <c r="M254" i="3"/>
  <c r="J254" i="4"/>
  <c r="L254" i="3"/>
  <c r="I254" i="4"/>
  <c r="H254" i="4"/>
  <c r="G254" i="4"/>
  <c r="F254" i="4"/>
  <c r="E254" i="4"/>
  <c r="D254" i="4"/>
  <c r="C254" i="4"/>
  <c r="B254" i="4"/>
  <c r="A254" i="4"/>
  <c r="M253" i="4"/>
  <c r="L253" i="4"/>
  <c r="K253" i="4"/>
  <c r="M253" i="3"/>
  <c r="J253" i="4"/>
  <c r="L253" i="3"/>
  <c r="I253" i="4"/>
  <c r="H253" i="4"/>
  <c r="G253" i="4"/>
  <c r="F253" i="4"/>
  <c r="E253" i="4"/>
  <c r="D253" i="4"/>
  <c r="C253" i="4"/>
  <c r="B253" i="4"/>
  <c r="A253" i="4"/>
  <c r="M252" i="4"/>
  <c r="L252" i="4"/>
  <c r="K252" i="4"/>
  <c r="M252" i="3"/>
  <c r="J252" i="4"/>
  <c r="L252" i="3"/>
  <c r="I252" i="4"/>
  <c r="H252" i="4"/>
  <c r="G252" i="4"/>
  <c r="F252" i="4"/>
  <c r="E252" i="4"/>
  <c r="D252" i="4"/>
  <c r="C252" i="4"/>
  <c r="B252" i="4"/>
  <c r="A252" i="4"/>
  <c r="M251" i="4"/>
  <c r="L251" i="4"/>
  <c r="K251" i="4"/>
  <c r="M251" i="3"/>
  <c r="J251" i="4"/>
  <c r="L251" i="3"/>
  <c r="I251" i="4"/>
  <c r="H251" i="4"/>
  <c r="G251" i="4"/>
  <c r="F251" i="4"/>
  <c r="E251" i="4"/>
  <c r="D251" i="4"/>
  <c r="C251" i="4"/>
  <c r="B251" i="4"/>
  <c r="A251" i="4"/>
  <c r="M250" i="4"/>
  <c r="L250" i="4"/>
  <c r="K250" i="4"/>
  <c r="M250" i="3"/>
  <c r="J250" i="4"/>
  <c r="L250" i="3"/>
  <c r="I250" i="4"/>
  <c r="H250" i="4"/>
  <c r="G250" i="4"/>
  <c r="F250" i="4"/>
  <c r="E250" i="4"/>
  <c r="D250" i="4"/>
  <c r="C250" i="4"/>
  <c r="B250" i="4"/>
  <c r="A250" i="4"/>
  <c r="M249" i="4"/>
  <c r="L249" i="4"/>
  <c r="K249" i="4"/>
  <c r="M249" i="3"/>
  <c r="J249" i="4"/>
  <c r="L249" i="3"/>
  <c r="I249" i="4"/>
  <c r="H249" i="4"/>
  <c r="G249" i="4"/>
  <c r="F249" i="4"/>
  <c r="E249" i="4"/>
  <c r="D249" i="4"/>
  <c r="C249" i="4"/>
  <c r="B249" i="4"/>
  <c r="A249" i="4"/>
  <c r="M248" i="4"/>
  <c r="L248" i="4"/>
  <c r="K248" i="4"/>
  <c r="M248" i="3"/>
  <c r="J248" i="4"/>
  <c r="L248" i="3"/>
  <c r="I248" i="4"/>
  <c r="H248" i="4"/>
  <c r="G248" i="4"/>
  <c r="F248" i="4"/>
  <c r="E248" i="4"/>
  <c r="D248" i="4"/>
  <c r="C248" i="4"/>
  <c r="B248" i="4"/>
  <c r="A248" i="4"/>
  <c r="M247" i="4"/>
  <c r="L247" i="4"/>
  <c r="K247" i="4"/>
  <c r="M247" i="3"/>
  <c r="J247" i="4"/>
  <c r="L247" i="3"/>
  <c r="I247" i="4"/>
  <c r="H247" i="4"/>
  <c r="G247" i="4"/>
  <c r="F247" i="4"/>
  <c r="E247" i="4"/>
  <c r="D247" i="4"/>
  <c r="C247" i="4"/>
  <c r="B247" i="4"/>
  <c r="A247" i="4"/>
  <c r="M246" i="4"/>
  <c r="L246" i="4"/>
  <c r="K246" i="4"/>
  <c r="M246" i="3"/>
  <c r="J246" i="4"/>
  <c r="L246" i="3"/>
  <c r="I246" i="4"/>
  <c r="H246" i="4"/>
  <c r="G246" i="4"/>
  <c r="F246" i="4"/>
  <c r="E246" i="4"/>
  <c r="D246" i="4"/>
  <c r="C246" i="4"/>
  <c r="B246" i="4"/>
  <c r="A246" i="4"/>
  <c r="M245" i="4"/>
  <c r="L245" i="4"/>
  <c r="K245" i="4"/>
  <c r="M245" i="3"/>
  <c r="J245" i="4"/>
  <c r="L245" i="3"/>
  <c r="I245" i="4"/>
  <c r="H245" i="4"/>
  <c r="G245" i="4"/>
  <c r="F245" i="4"/>
  <c r="E245" i="4"/>
  <c r="D245" i="4"/>
  <c r="C245" i="4"/>
  <c r="B245" i="4"/>
  <c r="A245" i="4"/>
  <c r="M244" i="4"/>
  <c r="L244" i="4"/>
  <c r="K244" i="4"/>
  <c r="M244" i="3"/>
  <c r="J244" i="4"/>
  <c r="L244" i="3"/>
  <c r="I244" i="4"/>
  <c r="H244" i="4"/>
  <c r="G244" i="4"/>
  <c r="F244" i="4"/>
  <c r="E244" i="4"/>
  <c r="D244" i="4"/>
  <c r="C244" i="4"/>
  <c r="B244" i="4"/>
  <c r="A244" i="4"/>
  <c r="M243" i="4"/>
  <c r="L243" i="4"/>
  <c r="K243" i="4"/>
  <c r="M243" i="3"/>
  <c r="J243" i="4"/>
  <c r="L243" i="3"/>
  <c r="I243" i="4"/>
  <c r="H243" i="4"/>
  <c r="G243" i="4"/>
  <c r="F243" i="4"/>
  <c r="E243" i="4"/>
  <c r="D243" i="4"/>
  <c r="C243" i="4"/>
  <c r="B243" i="4"/>
  <c r="A243" i="4"/>
  <c r="M242" i="4"/>
  <c r="L242" i="4"/>
  <c r="K242" i="4"/>
  <c r="M242" i="3"/>
  <c r="J242" i="4"/>
  <c r="L242" i="3"/>
  <c r="I242" i="4"/>
  <c r="H242" i="4"/>
  <c r="G242" i="4"/>
  <c r="F242" i="4"/>
  <c r="E242" i="4"/>
  <c r="D242" i="4"/>
  <c r="C242" i="4"/>
  <c r="B242" i="4"/>
  <c r="A242" i="4"/>
  <c r="M241" i="4"/>
  <c r="L241" i="4"/>
  <c r="K241" i="4"/>
  <c r="M241" i="3"/>
  <c r="J241" i="4"/>
  <c r="L241" i="3"/>
  <c r="I241" i="4"/>
  <c r="H241" i="4"/>
  <c r="G241" i="4"/>
  <c r="F241" i="4"/>
  <c r="E241" i="4"/>
  <c r="D241" i="4"/>
  <c r="C241" i="4"/>
  <c r="B241" i="4"/>
  <c r="A241" i="4"/>
  <c r="M240" i="4"/>
  <c r="L240" i="4"/>
  <c r="K240" i="4"/>
  <c r="M240" i="3"/>
  <c r="J240" i="4"/>
  <c r="L240" i="3"/>
  <c r="I240" i="4"/>
  <c r="H240" i="4"/>
  <c r="G240" i="4"/>
  <c r="F240" i="4"/>
  <c r="E240" i="4"/>
  <c r="D240" i="4"/>
  <c r="C240" i="4"/>
  <c r="B240" i="4"/>
  <c r="A240" i="4"/>
  <c r="M239" i="4"/>
  <c r="L239" i="4"/>
  <c r="K239" i="4"/>
  <c r="M239" i="3"/>
  <c r="J239" i="4"/>
  <c r="L239" i="3"/>
  <c r="I239" i="4"/>
  <c r="H239" i="4"/>
  <c r="G239" i="4"/>
  <c r="F239" i="4"/>
  <c r="E239" i="4"/>
  <c r="D239" i="4"/>
  <c r="C239" i="4"/>
  <c r="B239" i="4"/>
  <c r="A239" i="4"/>
  <c r="M238" i="4"/>
  <c r="L238" i="4"/>
  <c r="K238" i="4"/>
  <c r="M238" i="3"/>
  <c r="J238" i="4"/>
  <c r="L238" i="3"/>
  <c r="I238" i="4"/>
  <c r="H238" i="4"/>
  <c r="G238" i="4"/>
  <c r="F238" i="4"/>
  <c r="E238" i="4"/>
  <c r="D238" i="4"/>
  <c r="C238" i="4"/>
  <c r="B238" i="4"/>
  <c r="A238" i="4"/>
  <c r="M237" i="4"/>
  <c r="L237" i="4"/>
  <c r="K237" i="4"/>
  <c r="M237" i="3"/>
  <c r="J237" i="4"/>
  <c r="L237" i="3"/>
  <c r="I237" i="4"/>
  <c r="H237" i="4"/>
  <c r="G237" i="4"/>
  <c r="F237" i="4"/>
  <c r="E237" i="4"/>
  <c r="D237" i="4"/>
  <c r="C237" i="4"/>
  <c r="B237" i="4"/>
  <c r="A237" i="4"/>
  <c r="M236" i="4"/>
  <c r="L236" i="4"/>
  <c r="K236" i="4"/>
  <c r="M236" i="3"/>
  <c r="J236" i="4"/>
  <c r="L236" i="3"/>
  <c r="I236" i="4"/>
  <c r="H236" i="4"/>
  <c r="G236" i="4"/>
  <c r="F236" i="4"/>
  <c r="E236" i="4"/>
  <c r="D236" i="4"/>
  <c r="C236" i="4"/>
  <c r="B236" i="4"/>
  <c r="A236" i="4"/>
  <c r="M235" i="4"/>
  <c r="L235" i="4"/>
  <c r="K235" i="4"/>
  <c r="M235" i="3"/>
  <c r="J235" i="4"/>
  <c r="L235" i="3"/>
  <c r="I235" i="4"/>
  <c r="H235" i="4"/>
  <c r="G235" i="4"/>
  <c r="F235" i="4"/>
  <c r="E235" i="4"/>
  <c r="D235" i="4"/>
  <c r="C235" i="4"/>
  <c r="B235" i="4"/>
  <c r="A235" i="4"/>
  <c r="M234" i="4"/>
  <c r="L234" i="4"/>
  <c r="K234" i="4"/>
  <c r="M234" i="3"/>
  <c r="J234" i="4"/>
  <c r="L234" i="3"/>
  <c r="I234" i="4"/>
  <c r="H234" i="4"/>
  <c r="G234" i="4"/>
  <c r="F234" i="4"/>
  <c r="E234" i="4"/>
  <c r="D234" i="4"/>
  <c r="C234" i="4"/>
  <c r="B234" i="4"/>
  <c r="A234" i="4"/>
  <c r="M233" i="4"/>
  <c r="L233" i="4"/>
  <c r="K233" i="4"/>
  <c r="M233" i="3"/>
  <c r="J233" i="4"/>
  <c r="L233" i="3"/>
  <c r="I233" i="4"/>
  <c r="H233" i="4"/>
  <c r="G233" i="4"/>
  <c r="F233" i="4"/>
  <c r="E233" i="4"/>
  <c r="D233" i="4"/>
  <c r="C233" i="4"/>
  <c r="B233" i="4"/>
  <c r="A233" i="4"/>
  <c r="M232" i="4"/>
  <c r="L232" i="4"/>
  <c r="K232" i="4"/>
  <c r="M232" i="3"/>
  <c r="J232" i="4"/>
  <c r="L232" i="3"/>
  <c r="I232" i="4"/>
  <c r="H232" i="4"/>
  <c r="G232" i="4"/>
  <c r="F232" i="4"/>
  <c r="E232" i="4"/>
  <c r="D232" i="4"/>
  <c r="C232" i="4"/>
  <c r="B232" i="4"/>
  <c r="A232" i="4"/>
  <c r="M231" i="4"/>
  <c r="L231" i="4"/>
  <c r="K231" i="4"/>
  <c r="M231" i="3"/>
  <c r="J231" i="4"/>
  <c r="L231" i="3"/>
  <c r="I231" i="4"/>
  <c r="H231" i="4"/>
  <c r="G231" i="4"/>
  <c r="F231" i="4"/>
  <c r="E231" i="4"/>
  <c r="D231" i="4"/>
  <c r="C231" i="4"/>
  <c r="B231" i="4"/>
  <c r="A231" i="4"/>
  <c r="M230" i="4"/>
  <c r="L230" i="4"/>
  <c r="K230" i="4"/>
  <c r="M230" i="3"/>
  <c r="J230" i="4"/>
  <c r="L230" i="3"/>
  <c r="I230" i="4"/>
  <c r="H230" i="4"/>
  <c r="G230" i="4"/>
  <c r="F230" i="4"/>
  <c r="E230" i="4"/>
  <c r="D230" i="4"/>
  <c r="C230" i="4"/>
  <c r="B230" i="4"/>
  <c r="A230" i="4"/>
  <c r="M229" i="4"/>
  <c r="L229" i="4"/>
  <c r="K229" i="4"/>
  <c r="M229" i="3"/>
  <c r="J229" i="4"/>
  <c r="L229" i="3"/>
  <c r="I229" i="4"/>
  <c r="H229" i="4"/>
  <c r="G229" i="4"/>
  <c r="F229" i="4"/>
  <c r="E229" i="4"/>
  <c r="D229" i="4"/>
  <c r="C229" i="4"/>
  <c r="B229" i="4"/>
  <c r="A229" i="4"/>
  <c r="M228" i="4"/>
  <c r="L228" i="4"/>
  <c r="K228" i="4"/>
  <c r="M228" i="3"/>
  <c r="J228" i="4"/>
  <c r="L228" i="3"/>
  <c r="I228" i="4"/>
  <c r="H228" i="4"/>
  <c r="G228" i="4"/>
  <c r="F228" i="4"/>
  <c r="E228" i="4"/>
  <c r="D228" i="4"/>
  <c r="C228" i="4"/>
  <c r="B228" i="4"/>
  <c r="A228" i="4"/>
  <c r="M227" i="4"/>
  <c r="L227" i="4"/>
  <c r="K227" i="4"/>
  <c r="M227" i="3"/>
  <c r="J227" i="4"/>
  <c r="L227" i="3"/>
  <c r="I227" i="4"/>
  <c r="H227" i="4"/>
  <c r="G227" i="4"/>
  <c r="F227" i="4"/>
  <c r="E227" i="4"/>
  <c r="D227" i="4"/>
  <c r="C227" i="4"/>
  <c r="B227" i="4"/>
  <c r="A227" i="4"/>
  <c r="M226" i="4"/>
  <c r="L226" i="4"/>
  <c r="K226" i="4"/>
  <c r="M226" i="3"/>
  <c r="J226" i="4"/>
  <c r="L226" i="3"/>
  <c r="I226" i="4"/>
  <c r="H226" i="4"/>
  <c r="G226" i="4"/>
  <c r="F226" i="4"/>
  <c r="E226" i="4"/>
  <c r="D226" i="4"/>
  <c r="C226" i="4"/>
  <c r="B226" i="4"/>
  <c r="A226" i="4"/>
  <c r="M225" i="4"/>
  <c r="L225" i="4"/>
  <c r="K225" i="4"/>
  <c r="M225" i="3"/>
  <c r="J225" i="4"/>
  <c r="L225" i="3"/>
  <c r="I225" i="4"/>
  <c r="H225" i="4"/>
  <c r="G225" i="4"/>
  <c r="F225" i="4"/>
  <c r="E225" i="4"/>
  <c r="D225" i="4"/>
  <c r="C225" i="4"/>
  <c r="B225" i="4"/>
  <c r="A225" i="4"/>
  <c r="M224" i="4"/>
  <c r="L224" i="4"/>
  <c r="K224" i="4"/>
  <c r="M224" i="3"/>
  <c r="J224" i="4"/>
  <c r="L224" i="3"/>
  <c r="I224" i="4"/>
  <c r="H224" i="4"/>
  <c r="G224" i="4"/>
  <c r="F224" i="4"/>
  <c r="E224" i="4"/>
  <c r="D224" i="4"/>
  <c r="C224" i="4"/>
  <c r="B224" i="4"/>
  <c r="A224" i="4"/>
  <c r="M223" i="4"/>
  <c r="L223" i="4"/>
  <c r="K223" i="4"/>
  <c r="M223" i="3"/>
  <c r="J223" i="4"/>
  <c r="L223" i="3"/>
  <c r="I223" i="4"/>
  <c r="H223" i="4"/>
  <c r="G223" i="4"/>
  <c r="F223" i="4"/>
  <c r="E223" i="4"/>
  <c r="D223" i="4"/>
  <c r="C223" i="4"/>
  <c r="B223" i="4"/>
  <c r="A223" i="4"/>
  <c r="M222" i="4"/>
  <c r="L222" i="4"/>
  <c r="K222" i="4"/>
  <c r="M222" i="3"/>
  <c r="J222" i="4"/>
  <c r="L222" i="3"/>
  <c r="I222" i="4"/>
  <c r="H222" i="4"/>
  <c r="G222" i="4"/>
  <c r="F222" i="4"/>
  <c r="E222" i="4"/>
  <c r="D222" i="4"/>
  <c r="C222" i="4"/>
  <c r="B222" i="4"/>
  <c r="A222" i="4"/>
  <c r="M221" i="4"/>
  <c r="L221" i="4"/>
  <c r="K221" i="4"/>
  <c r="M221" i="3"/>
  <c r="J221" i="4"/>
  <c r="L221" i="3"/>
  <c r="I221" i="4"/>
  <c r="H221" i="4"/>
  <c r="G221" i="4"/>
  <c r="F221" i="4"/>
  <c r="E221" i="4"/>
  <c r="D221" i="4"/>
  <c r="C221" i="4"/>
  <c r="B221" i="4"/>
  <c r="A221" i="4"/>
  <c r="M220" i="4"/>
  <c r="L220" i="4"/>
  <c r="K220" i="4"/>
  <c r="M220" i="3"/>
  <c r="J220" i="4"/>
  <c r="L220" i="3"/>
  <c r="I220" i="4"/>
  <c r="H220" i="4"/>
  <c r="G220" i="4"/>
  <c r="F220" i="4"/>
  <c r="E220" i="4"/>
  <c r="D220" i="4"/>
  <c r="C220" i="4"/>
  <c r="B220" i="4"/>
  <c r="A220" i="4"/>
  <c r="M219" i="4"/>
  <c r="L219" i="4"/>
  <c r="K219" i="4"/>
  <c r="M219" i="3"/>
  <c r="J219" i="4"/>
  <c r="L219" i="3"/>
  <c r="I219" i="4"/>
  <c r="H219" i="4"/>
  <c r="G219" i="4"/>
  <c r="F219" i="4"/>
  <c r="E219" i="4"/>
  <c r="D219" i="4"/>
  <c r="C219" i="4"/>
  <c r="B219" i="4"/>
  <c r="A219" i="4"/>
  <c r="M218" i="4"/>
  <c r="L218" i="4"/>
  <c r="K218" i="4"/>
  <c r="M218" i="3"/>
  <c r="J218" i="4"/>
  <c r="L218" i="3"/>
  <c r="I218" i="4"/>
  <c r="H218" i="4"/>
  <c r="G218" i="4"/>
  <c r="F218" i="4"/>
  <c r="E218" i="4"/>
  <c r="D218" i="4"/>
  <c r="C218" i="4"/>
  <c r="B218" i="4"/>
  <c r="A218" i="4"/>
  <c r="M217" i="4"/>
  <c r="L217" i="4"/>
  <c r="K217" i="4"/>
  <c r="M217" i="3"/>
  <c r="J217" i="4"/>
  <c r="L217" i="3"/>
  <c r="I217" i="4"/>
  <c r="H217" i="4"/>
  <c r="G217" i="4"/>
  <c r="F217" i="4"/>
  <c r="E217" i="4"/>
  <c r="D217" i="4"/>
  <c r="C217" i="4"/>
  <c r="B217" i="4"/>
  <c r="A217" i="4"/>
  <c r="M216" i="4"/>
  <c r="L216" i="4"/>
  <c r="K216" i="4"/>
  <c r="M216" i="3"/>
  <c r="J216" i="4"/>
  <c r="L216" i="3"/>
  <c r="I216" i="4"/>
  <c r="H216" i="4"/>
  <c r="G216" i="4"/>
  <c r="F216" i="4"/>
  <c r="E216" i="4"/>
  <c r="D216" i="4"/>
  <c r="C216" i="4"/>
  <c r="B216" i="4"/>
  <c r="A216" i="4"/>
  <c r="M215" i="4"/>
  <c r="L215" i="4"/>
  <c r="K215" i="4"/>
  <c r="M215" i="3"/>
  <c r="J215" i="4"/>
  <c r="L215" i="3"/>
  <c r="I215" i="4"/>
  <c r="H215" i="4"/>
  <c r="G215" i="4"/>
  <c r="F215" i="4"/>
  <c r="E215" i="4"/>
  <c r="D215" i="4"/>
  <c r="C215" i="4"/>
  <c r="B215" i="4"/>
  <c r="A215" i="4"/>
  <c r="M214" i="4"/>
  <c r="L214" i="4"/>
  <c r="K214" i="4"/>
  <c r="M214" i="3"/>
  <c r="J214" i="4"/>
  <c r="L214" i="3"/>
  <c r="I214" i="4"/>
  <c r="H214" i="4"/>
  <c r="G214" i="4"/>
  <c r="F214" i="4"/>
  <c r="E214" i="4"/>
  <c r="D214" i="4"/>
  <c r="C214" i="4"/>
  <c r="B214" i="4"/>
  <c r="A214" i="4"/>
  <c r="M213" i="4"/>
  <c r="L213" i="4"/>
  <c r="K213" i="4"/>
  <c r="M213" i="3"/>
  <c r="J213" i="4"/>
  <c r="L213" i="3"/>
  <c r="I213" i="4"/>
  <c r="H213" i="4"/>
  <c r="G213" i="4"/>
  <c r="F213" i="4"/>
  <c r="E213" i="4"/>
  <c r="D213" i="4"/>
  <c r="C213" i="4"/>
  <c r="B213" i="4"/>
  <c r="A213" i="4"/>
  <c r="M212" i="4"/>
  <c r="L212" i="4"/>
  <c r="K212" i="4"/>
  <c r="M212" i="3"/>
  <c r="J212" i="4"/>
  <c r="L212" i="3"/>
  <c r="I212" i="4"/>
  <c r="H212" i="4"/>
  <c r="G212" i="4"/>
  <c r="F212" i="4"/>
  <c r="E212" i="4"/>
  <c r="D212" i="4"/>
  <c r="C212" i="4"/>
  <c r="B212" i="4"/>
  <c r="A212" i="4"/>
  <c r="M211" i="4"/>
  <c r="L211" i="4"/>
  <c r="K211" i="4"/>
  <c r="M211" i="3"/>
  <c r="J211" i="4"/>
  <c r="L211" i="3"/>
  <c r="I211" i="4"/>
  <c r="H211" i="4"/>
  <c r="G211" i="4"/>
  <c r="F211" i="4"/>
  <c r="E211" i="4"/>
  <c r="D211" i="4"/>
  <c r="C211" i="4"/>
  <c r="B211" i="4"/>
  <c r="A211" i="4"/>
  <c r="M210" i="4"/>
  <c r="L210" i="4"/>
  <c r="K210" i="4"/>
  <c r="M210" i="3"/>
  <c r="J210" i="4"/>
  <c r="L210" i="3"/>
  <c r="I210" i="4"/>
  <c r="H210" i="4"/>
  <c r="G210" i="4"/>
  <c r="F210" i="4"/>
  <c r="E210" i="4"/>
  <c r="D210" i="4"/>
  <c r="C210" i="4"/>
  <c r="B210" i="4"/>
  <c r="A210" i="4"/>
  <c r="M209" i="4"/>
  <c r="L209" i="4"/>
  <c r="K209" i="4"/>
  <c r="M209" i="3"/>
  <c r="J209" i="4"/>
  <c r="L209" i="3"/>
  <c r="I209" i="4"/>
  <c r="H209" i="4"/>
  <c r="G209" i="4"/>
  <c r="F209" i="4"/>
  <c r="E209" i="4"/>
  <c r="D209" i="4"/>
  <c r="C209" i="4"/>
  <c r="B209" i="4"/>
  <c r="A209" i="4"/>
  <c r="M208" i="4"/>
  <c r="L208" i="4"/>
  <c r="K208" i="4"/>
  <c r="M208" i="3"/>
  <c r="J208" i="4"/>
  <c r="L208" i="3"/>
  <c r="I208" i="4"/>
  <c r="H208" i="4"/>
  <c r="G208" i="4"/>
  <c r="F208" i="4"/>
  <c r="E208" i="4"/>
  <c r="D208" i="4"/>
  <c r="C208" i="4"/>
  <c r="B208" i="4"/>
  <c r="A208" i="4"/>
  <c r="M207" i="4"/>
  <c r="L207" i="4"/>
  <c r="K207" i="4"/>
  <c r="M207" i="3"/>
  <c r="J207" i="4"/>
  <c r="L207" i="3"/>
  <c r="I207" i="4"/>
  <c r="H207" i="4"/>
  <c r="G207" i="4"/>
  <c r="F207" i="4"/>
  <c r="E207" i="4"/>
  <c r="D207" i="4"/>
  <c r="C207" i="4"/>
  <c r="B207" i="4"/>
  <c r="A207" i="4"/>
  <c r="M206" i="4"/>
  <c r="L206" i="4"/>
  <c r="K206" i="4"/>
  <c r="M206" i="3"/>
  <c r="J206" i="4"/>
  <c r="L206" i="3"/>
  <c r="I206" i="4"/>
  <c r="H206" i="4"/>
  <c r="G206" i="4"/>
  <c r="F206" i="4"/>
  <c r="E206" i="4"/>
  <c r="D206" i="4"/>
  <c r="C206" i="4"/>
  <c r="B206" i="4"/>
  <c r="A206" i="4"/>
  <c r="M205" i="4"/>
  <c r="L205" i="4"/>
  <c r="K205" i="4"/>
  <c r="M205" i="3"/>
  <c r="J205" i="4"/>
  <c r="L205" i="3"/>
  <c r="I205" i="4"/>
  <c r="H205" i="4"/>
  <c r="G205" i="4"/>
  <c r="F205" i="4"/>
  <c r="E205" i="4"/>
  <c r="D205" i="4"/>
  <c r="C205" i="4"/>
  <c r="B205" i="4"/>
  <c r="A205" i="4"/>
  <c r="M204" i="4"/>
  <c r="L204" i="4"/>
  <c r="K204" i="4"/>
  <c r="M204" i="3"/>
  <c r="J204" i="4"/>
  <c r="L204" i="3"/>
  <c r="I204" i="4"/>
  <c r="H204" i="4"/>
  <c r="G204" i="4"/>
  <c r="F204" i="4"/>
  <c r="E204" i="4"/>
  <c r="D204" i="4"/>
  <c r="C204" i="4"/>
  <c r="B204" i="4"/>
  <c r="A204" i="4"/>
  <c r="M203" i="4"/>
  <c r="L203" i="4"/>
  <c r="K203" i="4"/>
  <c r="M203" i="3"/>
  <c r="J203" i="4"/>
  <c r="L203" i="3"/>
  <c r="I203" i="4"/>
  <c r="H203" i="4"/>
  <c r="G203" i="4"/>
  <c r="F203" i="4"/>
  <c r="E203" i="4"/>
  <c r="D203" i="4"/>
  <c r="C203" i="4"/>
  <c r="B203" i="4"/>
  <c r="A203" i="4"/>
  <c r="M202" i="4"/>
  <c r="L202" i="4"/>
  <c r="K202" i="4"/>
  <c r="M202" i="3"/>
  <c r="J202" i="4"/>
  <c r="L202" i="3"/>
  <c r="I202" i="4"/>
  <c r="H202" i="4"/>
  <c r="G202" i="4"/>
  <c r="F202" i="4"/>
  <c r="E202" i="4"/>
  <c r="D202" i="4"/>
  <c r="C202" i="4"/>
  <c r="B202" i="4"/>
  <c r="A202" i="4"/>
  <c r="M201" i="4"/>
  <c r="L201" i="4"/>
  <c r="K201" i="4"/>
  <c r="M201" i="3"/>
  <c r="J201" i="4"/>
  <c r="L201" i="3"/>
  <c r="I201" i="4"/>
  <c r="H201" i="4"/>
  <c r="G201" i="4"/>
  <c r="F201" i="4"/>
  <c r="E201" i="4"/>
  <c r="D201" i="4"/>
  <c r="C201" i="4"/>
  <c r="B201" i="4"/>
  <c r="A201" i="4"/>
  <c r="M200" i="4"/>
  <c r="L200" i="4"/>
  <c r="K200" i="4"/>
  <c r="M200" i="3"/>
  <c r="J200" i="4"/>
  <c r="L200" i="3"/>
  <c r="I200" i="4"/>
  <c r="H200" i="4"/>
  <c r="G200" i="4"/>
  <c r="F200" i="4"/>
  <c r="E200" i="4"/>
  <c r="D200" i="4"/>
  <c r="C200" i="4"/>
  <c r="B200" i="4"/>
  <c r="A200" i="4"/>
  <c r="M199" i="4"/>
  <c r="L199" i="4"/>
  <c r="K199" i="4"/>
  <c r="M199" i="3"/>
  <c r="J199" i="4"/>
  <c r="L199" i="3"/>
  <c r="I199" i="4"/>
  <c r="H199" i="4"/>
  <c r="G199" i="4"/>
  <c r="F199" i="4"/>
  <c r="E199" i="4"/>
  <c r="D199" i="4"/>
  <c r="C199" i="4"/>
  <c r="B199" i="4"/>
  <c r="A199" i="4"/>
  <c r="M198" i="4"/>
  <c r="L198" i="4"/>
  <c r="K198" i="4"/>
  <c r="M198" i="3"/>
  <c r="J198" i="4"/>
  <c r="L198" i="3"/>
  <c r="I198" i="4"/>
  <c r="H198" i="4"/>
  <c r="G198" i="4"/>
  <c r="F198" i="4"/>
  <c r="E198" i="4"/>
  <c r="D198" i="4"/>
  <c r="C198" i="4"/>
  <c r="B198" i="4"/>
  <c r="A198" i="4"/>
  <c r="M197" i="4"/>
  <c r="L197" i="4"/>
  <c r="K197" i="4"/>
  <c r="M197" i="3"/>
  <c r="J197" i="4"/>
  <c r="L197" i="3"/>
  <c r="I197" i="4"/>
  <c r="H197" i="4"/>
  <c r="G197" i="4"/>
  <c r="F197" i="4"/>
  <c r="E197" i="4"/>
  <c r="D197" i="4"/>
  <c r="C197" i="4"/>
  <c r="B197" i="4"/>
  <c r="A197" i="4"/>
  <c r="M196" i="4"/>
  <c r="L196" i="4"/>
  <c r="K196" i="4"/>
  <c r="M196" i="3"/>
  <c r="J196" i="4"/>
  <c r="L196" i="3"/>
  <c r="I196" i="4"/>
  <c r="H196" i="4"/>
  <c r="G196" i="4"/>
  <c r="F196" i="4"/>
  <c r="E196" i="4"/>
  <c r="D196" i="4"/>
  <c r="C196" i="4"/>
  <c r="B196" i="4"/>
  <c r="A196" i="4"/>
  <c r="M195" i="4"/>
  <c r="L195" i="4"/>
  <c r="K195" i="4"/>
  <c r="M195" i="3"/>
  <c r="J195" i="4"/>
  <c r="L195" i="3"/>
  <c r="I195" i="4"/>
  <c r="H195" i="4"/>
  <c r="G195" i="4"/>
  <c r="F195" i="4"/>
  <c r="E195" i="4"/>
  <c r="D195" i="4"/>
  <c r="C195" i="4"/>
  <c r="B195" i="4"/>
  <c r="A195" i="4"/>
  <c r="M194" i="4"/>
  <c r="L194" i="4"/>
  <c r="K194" i="4"/>
  <c r="M194" i="3"/>
  <c r="J194" i="4"/>
  <c r="L194" i="3"/>
  <c r="I194" i="4"/>
  <c r="H194" i="4"/>
  <c r="G194" i="4"/>
  <c r="F194" i="4"/>
  <c r="E194" i="4"/>
  <c r="D194" i="4"/>
  <c r="C194" i="4"/>
  <c r="B194" i="4"/>
  <c r="A194" i="4"/>
  <c r="M193" i="4"/>
  <c r="L193" i="4"/>
  <c r="K193" i="4"/>
  <c r="M193" i="3"/>
  <c r="J193" i="4"/>
  <c r="L193" i="3"/>
  <c r="I193" i="4"/>
  <c r="H193" i="4"/>
  <c r="G193" i="4"/>
  <c r="F193" i="4"/>
  <c r="E193" i="4"/>
  <c r="D193" i="4"/>
  <c r="C193" i="4"/>
  <c r="B193" i="4"/>
  <c r="A193" i="4"/>
  <c r="M192" i="4"/>
  <c r="L192" i="4"/>
  <c r="K192" i="4"/>
  <c r="M192" i="3"/>
  <c r="J192" i="4"/>
  <c r="L192" i="3"/>
  <c r="I192" i="4"/>
  <c r="H192" i="4"/>
  <c r="G192" i="4"/>
  <c r="F192" i="4"/>
  <c r="E192" i="4"/>
  <c r="D192" i="4"/>
  <c r="C192" i="4"/>
  <c r="B192" i="4"/>
  <c r="A192" i="4"/>
  <c r="M191" i="4"/>
  <c r="L191" i="4"/>
  <c r="K191" i="4"/>
  <c r="M191" i="3"/>
  <c r="J191" i="4"/>
  <c r="L191" i="3"/>
  <c r="I191" i="4"/>
  <c r="H191" i="4"/>
  <c r="G191" i="4"/>
  <c r="F191" i="4"/>
  <c r="E191" i="4"/>
  <c r="D191" i="4"/>
  <c r="C191" i="4"/>
  <c r="B191" i="4"/>
  <c r="A191" i="4"/>
  <c r="M190" i="4"/>
  <c r="L190" i="4"/>
  <c r="K190" i="4"/>
  <c r="M190" i="3"/>
  <c r="J190" i="4"/>
  <c r="L190" i="3"/>
  <c r="I190" i="4"/>
  <c r="H190" i="4"/>
  <c r="G190" i="4"/>
  <c r="F190" i="4"/>
  <c r="E190" i="4"/>
  <c r="D190" i="4"/>
  <c r="C190" i="4"/>
  <c r="B190" i="4"/>
  <c r="A190" i="4"/>
  <c r="M189" i="4"/>
  <c r="L189" i="4"/>
  <c r="K189" i="4"/>
  <c r="M189" i="3"/>
  <c r="J189" i="4"/>
  <c r="L189" i="3"/>
  <c r="I189" i="4"/>
  <c r="H189" i="4"/>
  <c r="G189" i="4"/>
  <c r="F189" i="4"/>
  <c r="E189" i="4"/>
  <c r="D189" i="4"/>
  <c r="C189" i="4"/>
  <c r="B189" i="4"/>
  <c r="A189" i="4"/>
  <c r="M188" i="4"/>
  <c r="L188" i="4"/>
  <c r="K188" i="4"/>
  <c r="M188" i="3"/>
  <c r="J188" i="4"/>
  <c r="L188" i="3"/>
  <c r="I188" i="4"/>
  <c r="H188" i="4"/>
  <c r="G188" i="4"/>
  <c r="F188" i="4"/>
  <c r="E188" i="4"/>
  <c r="D188" i="4"/>
  <c r="C188" i="4"/>
  <c r="B188" i="4"/>
  <c r="A188" i="4"/>
  <c r="M187" i="4"/>
  <c r="L187" i="4"/>
  <c r="K187" i="4"/>
  <c r="M187" i="3"/>
  <c r="J187" i="4"/>
  <c r="L187" i="3"/>
  <c r="I187" i="4"/>
  <c r="H187" i="4"/>
  <c r="G187" i="4"/>
  <c r="F187" i="4"/>
  <c r="E187" i="4"/>
  <c r="D187" i="4"/>
  <c r="C187" i="4"/>
  <c r="B187" i="4"/>
  <c r="A187" i="4"/>
  <c r="M186" i="4"/>
  <c r="L186" i="4"/>
  <c r="K186" i="4"/>
  <c r="M186" i="3"/>
  <c r="J186" i="4"/>
  <c r="L186" i="3"/>
  <c r="I186" i="4"/>
  <c r="H186" i="4"/>
  <c r="G186" i="4"/>
  <c r="F186" i="4"/>
  <c r="E186" i="4"/>
  <c r="D186" i="4"/>
  <c r="C186" i="4"/>
  <c r="B186" i="4"/>
  <c r="A186" i="4"/>
  <c r="M185" i="4"/>
  <c r="L185" i="4"/>
  <c r="K185" i="4"/>
  <c r="M185" i="3"/>
  <c r="J185" i="4"/>
  <c r="L185" i="3"/>
  <c r="I185" i="4"/>
  <c r="H185" i="4"/>
  <c r="G185" i="4"/>
  <c r="F185" i="4"/>
  <c r="E185" i="4"/>
  <c r="D185" i="4"/>
  <c r="C185" i="4"/>
  <c r="B185" i="4"/>
  <c r="A185" i="4"/>
  <c r="M184" i="4"/>
  <c r="L184" i="4"/>
  <c r="K184" i="4"/>
  <c r="M184" i="3"/>
  <c r="J184" i="4"/>
  <c r="L184" i="3"/>
  <c r="I184" i="4"/>
  <c r="H184" i="4"/>
  <c r="G184" i="4"/>
  <c r="F184" i="4"/>
  <c r="E184" i="4"/>
  <c r="D184" i="4"/>
  <c r="C184" i="4"/>
  <c r="B184" i="4"/>
  <c r="A184" i="4"/>
  <c r="M183" i="4"/>
  <c r="L183" i="4"/>
  <c r="K183" i="4"/>
  <c r="M183" i="3"/>
  <c r="J183" i="4"/>
  <c r="L183" i="3"/>
  <c r="I183" i="4"/>
  <c r="H183" i="4"/>
  <c r="G183" i="4"/>
  <c r="F183" i="4"/>
  <c r="E183" i="4"/>
  <c r="D183" i="4"/>
  <c r="C183" i="4"/>
  <c r="B183" i="4"/>
  <c r="A183" i="4"/>
  <c r="M182" i="4"/>
  <c r="L182" i="4"/>
  <c r="K182" i="4"/>
  <c r="M182" i="3"/>
  <c r="J182" i="4"/>
  <c r="L182" i="3"/>
  <c r="I182" i="4"/>
  <c r="H182" i="4"/>
  <c r="G182" i="4"/>
  <c r="F182" i="4"/>
  <c r="E182" i="4"/>
  <c r="D182" i="4"/>
  <c r="C182" i="4"/>
  <c r="B182" i="4"/>
  <c r="A182" i="4"/>
  <c r="M181" i="4"/>
  <c r="L181" i="4"/>
  <c r="K181" i="4"/>
  <c r="M181" i="3"/>
  <c r="J181" i="4"/>
  <c r="L181" i="3"/>
  <c r="I181" i="4"/>
  <c r="H181" i="4"/>
  <c r="G181" i="4"/>
  <c r="F181" i="4"/>
  <c r="E181" i="4"/>
  <c r="D181" i="4"/>
  <c r="C181" i="4"/>
  <c r="B181" i="4"/>
  <c r="A181" i="4"/>
  <c r="M180" i="4"/>
  <c r="L180" i="4"/>
  <c r="K180" i="4"/>
  <c r="M180" i="3"/>
  <c r="J180" i="4"/>
  <c r="L180" i="3"/>
  <c r="I180" i="4"/>
  <c r="H180" i="4"/>
  <c r="G180" i="4"/>
  <c r="F180" i="4"/>
  <c r="E180" i="4"/>
  <c r="D180" i="4"/>
  <c r="C180" i="4"/>
  <c r="B180" i="4"/>
  <c r="A180" i="4"/>
  <c r="M179" i="4"/>
  <c r="L179" i="4"/>
  <c r="K179" i="4"/>
  <c r="M179" i="3"/>
  <c r="J179" i="4"/>
  <c r="L179" i="3"/>
  <c r="I179" i="4"/>
  <c r="H179" i="4"/>
  <c r="G179" i="4"/>
  <c r="F179" i="4"/>
  <c r="E179" i="4"/>
  <c r="D179" i="4"/>
  <c r="C179" i="4"/>
  <c r="B179" i="4"/>
  <c r="A179" i="4"/>
  <c r="M178" i="4"/>
  <c r="L178" i="4"/>
  <c r="K178" i="4"/>
  <c r="M178" i="3"/>
  <c r="J178" i="4"/>
  <c r="L178" i="3"/>
  <c r="I178" i="4"/>
  <c r="H178" i="4"/>
  <c r="G178" i="4"/>
  <c r="F178" i="4"/>
  <c r="E178" i="4"/>
  <c r="D178" i="4"/>
  <c r="C178" i="4"/>
  <c r="B178" i="4"/>
  <c r="A178" i="4"/>
  <c r="M177" i="4"/>
  <c r="L177" i="4"/>
  <c r="K177" i="4"/>
  <c r="M177" i="3"/>
  <c r="J177" i="4"/>
  <c r="L177" i="3"/>
  <c r="I177" i="4"/>
  <c r="H177" i="4"/>
  <c r="G177" i="4"/>
  <c r="F177" i="4"/>
  <c r="E177" i="4"/>
  <c r="D177" i="4"/>
  <c r="C177" i="4"/>
  <c r="B177" i="4"/>
  <c r="A177" i="4"/>
  <c r="M176" i="4"/>
  <c r="L176" i="4"/>
  <c r="K176" i="4"/>
  <c r="M176" i="3"/>
  <c r="J176" i="4"/>
  <c r="L176" i="3"/>
  <c r="I176" i="4"/>
  <c r="H176" i="4"/>
  <c r="G176" i="4"/>
  <c r="F176" i="4"/>
  <c r="E176" i="4"/>
  <c r="D176" i="4"/>
  <c r="C176" i="4"/>
  <c r="B176" i="4"/>
  <c r="A176" i="4"/>
  <c r="M175" i="4"/>
  <c r="L175" i="4"/>
  <c r="K175" i="4"/>
  <c r="M175" i="3"/>
  <c r="J175" i="4"/>
  <c r="L175" i="3"/>
  <c r="I175" i="4"/>
  <c r="H175" i="4"/>
  <c r="G175" i="4"/>
  <c r="F175" i="4"/>
  <c r="E175" i="4"/>
  <c r="D175" i="4"/>
  <c r="C175" i="4"/>
  <c r="B175" i="4"/>
  <c r="A175" i="4"/>
  <c r="M174" i="4"/>
  <c r="L174" i="4"/>
  <c r="K174" i="4"/>
  <c r="M174" i="3"/>
  <c r="J174" i="4"/>
  <c r="L174" i="3"/>
  <c r="I174" i="4"/>
  <c r="H174" i="4"/>
  <c r="G174" i="4"/>
  <c r="F174" i="4"/>
  <c r="E174" i="4"/>
  <c r="D174" i="4"/>
  <c r="C174" i="4"/>
  <c r="B174" i="4"/>
  <c r="A174" i="4"/>
  <c r="M173" i="4"/>
  <c r="L173" i="4"/>
  <c r="K173" i="4"/>
  <c r="M173" i="3"/>
  <c r="J173" i="4"/>
  <c r="L173" i="3"/>
  <c r="I173" i="4"/>
  <c r="H173" i="4"/>
  <c r="G173" i="4"/>
  <c r="F173" i="4"/>
  <c r="E173" i="4"/>
  <c r="D173" i="4"/>
  <c r="C173" i="4"/>
  <c r="B173" i="4"/>
  <c r="A173" i="4"/>
  <c r="M172" i="4"/>
  <c r="L172" i="4"/>
  <c r="K172" i="4"/>
  <c r="M172" i="3"/>
  <c r="J172" i="4"/>
  <c r="L172" i="3"/>
  <c r="I172" i="4"/>
  <c r="H172" i="4"/>
  <c r="G172" i="4"/>
  <c r="F172" i="4"/>
  <c r="E172" i="4"/>
  <c r="D172" i="4"/>
  <c r="C172" i="4"/>
  <c r="B172" i="4"/>
  <c r="A172" i="4"/>
  <c r="M171" i="4"/>
  <c r="L171" i="4"/>
  <c r="K171" i="4"/>
  <c r="M171" i="3"/>
  <c r="J171" i="4"/>
  <c r="L171" i="3"/>
  <c r="I171" i="4"/>
  <c r="H171" i="4"/>
  <c r="G171" i="4"/>
  <c r="F171" i="4"/>
  <c r="E171" i="4"/>
  <c r="D171" i="4"/>
  <c r="C171" i="4"/>
  <c r="B171" i="4"/>
  <c r="A171" i="4"/>
  <c r="M170" i="4"/>
  <c r="L170" i="4"/>
  <c r="K170" i="4"/>
  <c r="M170" i="3"/>
  <c r="J170" i="4"/>
  <c r="L170" i="3"/>
  <c r="I170" i="4"/>
  <c r="H170" i="4"/>
  <c r="G170" i="4"/>
  <c r="F170" i="4"/>
  <c r="E170" i="4"/>
  <c r="D170" i="4"/>
  <c r="C170" i="4"/>
  <c r="B170" i="4"/>
  <c r="A170" i="4"/>
  <c r="M169" i="4"/>
  <c r="L169" i="4"/>
  <c r="K169" i="4"/>
  <c r="M169" i="3"/>
  <c r="J169" i="4"/>
  <c r="L169" i="3"/>
  <c r="I169" i="4"/>
  <c r="H169" i="4"/>
  <c r="G169" i="4"/>
  <c r="F169" i="4"/>
  <c r="E169" i="4"/>
  <c r="D169" i="4"/>
  <c r="C169" i="4"/>
  <c r="B169" i="4"/>
  <c r="A169" i="4"/>
  <c r="M168" i="4"/>
  <c r="L168" i="4"/>
  <c r="K168" i="4"/>
  <c r="M168" i="3"/>
  <c r="J168" i="4"/>
  <c r="L168" i="3"/>
  <c r="I168" i="4"/>
  <c r="H168" i="4"/>
  <c r="G168" i="4"/>
  <c r="F168" i="4"/>
  <c r="E168" i="4"/>
  <c r="D168" i="4"/>
  <c r="C168" i="4"/>
  <c r="B168" i="4"/>
  <c r="A168" i="4"/>
  <c r="M167" i="4"/>
  <c r="L167" i="4"/>
  <c r="K167" i="4"/>
  <c r="M167" i="3"/>
  <c r="J167" i="4"/>
  <c r="L167" i="3"/>
  <c r="I167" i="4"/>
  <c r="H167" i="4"/>
  <c r="G167" i="4"/>
  <c r="F167" i="4"/>
  <c r="E167" i="4"/>
  <c r="D167" i="4"/>
  <c r="C167" i="4"/>
  <c r="B167" i="4"/>
  <c r="A167" i="4"/>
  <c r="M166" i="4"/>
  <c r="L166" i="4"/>
  <c r="K166" i="4"/>
  <c r="M166" i="3"/>
  <c r="J166" i="4"/>
  <c r="L166" i="3"/>
  <c r="I166" i="4"/>
  <c r="H166" i="4"/>
  <c r="G166" i="4"/>
  <c r="F166" i="4"/>
  <c r="E166" i="4"/>
  <c r="D166" i="4"/>
  <c r="C166" i="4"/>
  <c r="B166" i="4"/>
  <c r="A166" i="4"/>
  <c r="M165" i="4"/>
  <c r="L165" i="4"/>
  <c r="K165" i="4"/>
  <c r="M165" i="3"/>
  <c r="J165" i="4"/>
  <c r="L165" i="3"/>
  <c r="I165" i="4"/>
  <c r="H165" i="4"/>
  <c r="G165" i="4"/>
  <c r="F165" i="4"/>
  <c r="E165" i="4"/>
  <c r="D165" i="4"/>
  <c r="C165" i="4"/>
  <c r="B165" i="4"/>
  <c r="A165" i="4"/>
  <c r="M164" i="4"/>
  <c r="L164" i="4"/>
  <c r="K164" i="4"/>
  <c r="M164" i="3"/>
  <c r="J164" i="4"/>
  <c r="L164" i="3"/>
  <c r="I164" i="4"/>
  <c r="H164" i="4"/>
  <c r="G164" i="4"/>
  <c r="F164" i="4"/>
  <c r="E164" i="4"/>
  <c r="D164" i="4"/>
  <c r="C164" i="4"/>
  <c r="B164" i="4"/>
  <c r="A164" i="4"/>
  <c r="M163" i="4"/>
  <c r="L163" i="4"/>
  <c r="K163" i="4"/>
  <c r="M163" i="3"/>
  <c r="J163" i="4"/>
  <c r="L163" i="3"/>
  <c r="I163" i="4"/>
  <c r="H163" i="4"/>
  <c r="G163" i="4"/>
  <c r="F163" i="4"/>
  <c r="E163" i="4"/>
  <c r="D163" i="4"/>
  <c r="C163" i="4"/>
  <c r="B163" i="4"/>
  <c r="A163" i="4"/>
  <c r="M162" i="4"/>
  <c r="L162" i="4"/>
  <c r="K162" i="4"/>
  <c r="M162" i="3"/>
  <c r="J162" i="4"/>
  <c r="L162" i="3"/>
  <c r="I162" i="4"/>
  <c r="H162" i="4"/>
  <c r="G162" i="4"/>
  <c r="F162" i="4"/>
  <c r="E162" i="4"/>
  <c r="D162" i="4"/>
  <c r="C162" i="4"/>
  <c r="B162" i="4"/>
  <c r="A162" i="4"/>
  <c r="M161" i="4"/>
  <c r="L161" i="4"/>
  <c r="K161" i="4"/>
  <c r="M161" i="3"/>
  <c r="J161" i="4"/>
  <c r="L161" i="3"/>
  <c r="I161" i="4"/>
  <c r="H161" i="4"/>
  <c r="G161" i="4"/>
  <c r="F161" i="4"/>
  <c r="E161" i="4"/>
  <c r="D161" i="4"/>
  <c r="C161" i="4"/>
  <c r="B161" i="4"/>
  <c r="A161" i="4"/>
  <c r="M160" i="4"/>
  <c r="L160" i="4"/>
  <c r="K160" i="4"/>
  <c r="M160" i="3"/>
  <c r="J160" i="4"/>
  <c r="L160" i="3"/>
  <c r="I160" i="4"/>
  <c r="H160" i="4"/>
  <c r="G160" i="4"/>
  <c r="F160" i="4"/>
  <c r="E160" i="4"/>
  <c r="D160" i="4"/>
  <c r="C160" i="4"/>
  <c r="B160" i="4"/>
  <c r="A160" i="4"/>
  <c r="M159" i="4"/>
  <c r="L159" i="4"/>
  <c r="K159" i="4"/>
  <c r="M159" i="3"/>
  <c r="J159" i="4"/>
  <c r="L159" i="3"/>
  <c r="I159" i="4"/>
  <c r="H159" i="4"/>
  <c r="G159" i="4"/>
  <c r="F159" i="4"/>
  <c r="E159" i="4"/>
  <c r="D159" i="4"/>
  <c r="C159" i="4"/>
  <c r="B159" i="4"/>
  <c r="A159" i="4"/>
  <c r="M158" i="4"/>
  <c r="L158" i="4"/>
  <c r="K158" i="4"/>
  <c r="M158" i="3"/>
  <c r="J158" i="4"/>
  <c r="L158" i="3"/>
  <c r="I158" i="4"/>
  <c r="H158" i="4"/>
  <c r="G158" i="4"/>
  <c r="F158" i="4"/>
  <c r="E158" i="4"/>
  <c r="D158" i="4"/>
  <c r="C158" i="4"/>
  <c r="B158" i="4"/>
  <c r="A158" i="4"/>
  <c r="M157" i="4"/>
  <c r="L157" i="4"/>
  <c r="K157" i="4"/>
  <c r="M157" i="3"/>
  <c r="J157" i="4"/>
  <c r="L157" i="3"/>
  <c r="I157" i="4"/>
  <c r="H157" i="4"/>
  <c r="G157" i="4"/>
  <c r="F157" i="4"/>
  <c r="E157" i="4"/>
  <c r="D157" i="4"/>
  <c r="C157" i="4"/>
  <c r="B157" i="4"/>
  <c r="A157" i="4"/>
  <c r="M156" i="4"/>
  <c r="L156" i="4"/>
  <c r="K156" i="4"/>
  <c r="M156" i="3"/>
  <c r="J156" i="4"/>
  <c r="L156" i="3"/>
  <c r="I156" i="4"/>
  <c r="H156" i="4"/>
  <c r="G156" i="4"/>
  <c r="F156" i="4"/>
  <c r="E156" i="4"/>
  <c r="D156" i="4"/>
  <c r="C156" i="4"/>
  <c r="B156" i="4"/>
  <c r="A156" i="4"/>
  <c r="M155" i="4"/>
  <c r="L155" i="4"/>
  <c r="K155" i="4"/>
  <c r="M155" i="3"/>
  <c r="J155" i="4"/>
  <c r="L155" i="3"/>
  <c r="I155" i="4"/>
  <c r="H155" i="4"/>
  <c r="G155" i="4"/>
  <c r="F155" i="4"/>
  <c r="E155" i="4"/>
  <c r="D155" i="4"/>
  <c r="C155" i="4"/>
  <c r="B155" i="4"/>
  <c r="A155" i="4"/>
  <c r="M154" i="4"/>
  <c r="L154" i="4"/>
  <c r="K154" i="4"/>
  <c r="M154" i="3"/>
  <c r="J154" i="4"/>
  <c r="L154" i="3"/>
  <c r="I154" i="4"/>
  <c r="H154" i="4"/>
  <c r="G154" i="4"/>
  <c r="F154" i="4"/>
  <c r="E154" i="4"/>
  <c r="D154" i="4"/>
  <c r="C154" i="4"/>
  <c r="B154" i="4"/>
  <c r="A154" i="4"/>
  <c r="M153" i="4"/>
  <c r="L153" i="4"/>
  <c r="K153" i="4"/>
  <c r="M153" i="3"/>
  <c r="J153" i="4"/>
  <c r="L153" i="3"/>
  <c r="I153" i="4"/>
  <c r="H153" i="4"/>
  <c r="G153" i="4"/>
  <c r="F153" i="4"/>
  <c r="E153" i="4"/>
  <c r="D153" i="4"/>
  <c r="C153" i="4"/>
  <c r="B153" i="4"/>
  <c r="A153" i="4"/>
  <c r="M152" i="4"/>
  <c r="L152" i="4"/>
  <c r="K152" i="4"/>
  <c r="M152" i="3"/>
  <c r="J152" i="4"/>
  <c r="L152" i="3"/>
  <c r="I152" i="4"/>
  <c r="H152" i="4"/>
  <c r="G152" i="4"/>
  <c r="F152" i="4"/>
  <c r="E152" i="4"/>
  <c r="D152" i="4"/>
  <c r="C152" i="4"/>
  <c r="B152" i="4"/>
  <c r="A152" i="4"/>
  <c r="M151" i="4"/>
  <c r="L151" i="4"/>
  <c r="K151" i="4"/>
  <c r="M151" i="3"/>
  <c r="J151" i="4"/>
  <c r="L151" i="3"/>
  <c r="I151" i="4"/>
  <c r="H151" i="4"/>
  <c r="G151" i="4"/>
  <c r="F151" i="4"/>
  <c r="E151" i="4"/>
  <c r="D151" i="4"/>
  <c r="C151" i="4"/>
  <c r="B151" i="4"/>
  <c r="A151" i="4"/>
  <c r="M150" i="4"/>
  <c r="L150" i="4"/>
  <c r="K150" i="4"/>
  <c r="M150" i="3"/>
  <c r="J150" i="4"/>
  <c r="L150" i="3"/>
  <c r="I150" i="4"/>
  <c r="H150" i="4"/>
  <c r="G150" i="4"/>
  <c r="F150" i="4"/>
  <c r="E150" i="4"/>
  <c r="D150" i="4"/>
  <c r="C150" i="4"/>
  <c r="B150" i="4"/>
  <c r="A150" i="4"/>
  <c r="M149" i="4"/>
  <c r="L149" i="4"/>
  <c r="K149" i="4"/>
  <c r="M149" i="3"/>
  <c r="J149" i="4"/>
  <c r="L149" i="3"/>
  <c r="I149" i="4"/>
  <c r="H149" i="4"/>
  <c r="G149" i="4"/>
  <c r="F149" i="4"/>
  <c r="E149" i="4"/>
  <c r="D149" i="4"/>
  <c r="C149" i="4"/>
  <c r="B149" i="4"/>
  <c r="A149" i="4"/>
  <c r="M148" i="4"/>
  <c r="L148" i="4"/>
  <c r="K148" i="4"/>
  <c r="M148" i="3"/>
  <c r="J148" i="4"/>
  <c r="L148" i="3"/>
  <c r="I148" i="4"/>
  <c r="H148" i="4"/>
  <c r="G148" i="4"/>
  <c r="F148" i="4"/>
  <c r="E148" i="4"/>
  <c r="D148" i="4"/>
  <c r="C148" i="4"/>
  <c r="B148" i="4"/>
  <c r="A148" i="4"/>
  <c r="M147" i="4"/>
  <c r="L147" i="4"/>
  <c r="K147" i="4"/>
  <c r="M147" i="3"/>
  <c r="J147" i="4"/>
  <c r="L147" i="3"/>
  <c r="I147" i="4"/>
  <c r="H147" i="4"/>
  <c r="G147" i="4"/>
  <c r="F147" i="4"/>
  <c r="E147" i="4"/>
  <c r="D147" i="4"/>
  <c r="C147" i="4"/>
  <c r="B147" i="4"/>
  <c r="A147" i="4"/>
  <c r="M146" i="4"/>
  <c r="L146" i="4"/>
  <c r="K146" i="4"/>
  <c r="M146" i="3"/>
  <c r="J146" i="4"/>
  <c r="L146" i="3"/>
  <c r="I146" i="4"/>
  <c r="H146" i="4"/>
  <c r="G146" i="4"/>
  <c r="F146" i="4"/>
  <c r="E146" i="4"/>
  <c r="D146" i="4"/>
  <c r="C146" i="4"/>
  <c r="B146" i="4"/>
  <c r="A146" i="4"/>
  <c r="M145" i="4"/>
  <c r="L145" i="4"/>
  <c r="K145" i="4"/>
  <c r="M145" i="3"/>
  <c r="J145" i="4"/>
  <c r="L145" i="3"/>
  <c r="I145" i="4"/>
  <c r="H145" i="4"/>
  <c r="G145" i="4"/>
  <c r="F145" i="4"/>
  <c r="E145" i="4"/>
  <c r="D145" i="4"/>
  <c r="C145" i="4"/>
  <c r="B145" i="4"/>
  <c r="A145" i="4"/>
  <c r="M144" i="4"/>
  <c r="L144" i="4"/>
  <c r="K144" i="4"/>
  <c r="M144" i="3"/>
  <c r="J144" i="4"/>
  <c r="L144" i="3"/>
  <c r="I144" i="4"/>
  <c r="H144" i="4"/>
  <c r="G144" i="4"/>
  <c r="F144" i="4"/>
  <c r="E144" i="4"/>
  <c r="D144" i="4"/>
  <c r="C144" i="4"/>
  <c r="B144" i="4"/>
  <c r="A144" i="4"/>
  <c r="M143" i="4"/>
  <c r="L143" i="4"/>
  <c r="K143" i="4"/>
  <c r="M143" i="3"/>
  <c r="J143" i="4"/>
  <c r="L143" i="3"/>
  <c r="I143" i="4"/>
  <c r="H143" i="4"/>
  <c r="G143" i="4"/>
  <c r="F143" i="4"/>
  <c r="E143" i="4"/>
  <c r="D143" i="4"/>
  <c r="C143" i="4"/>
  <c r="B143" i="4"/>
  <c r="A143" i="4"/>
  <c r="M142" i="4"/>
  <c r="L142" i="4"/>
  <c r="K142" i="4"/>
  <c r="M142" i="3"/>
  <c r="J142" i="4"/>
  <c r="L142" i="3"/>
  <c r="I142" i="4"/>
  <c r="H142" i="4"/>
  <c r="G142" i="4"/>
  <c r="F142" i="4"/>
  <c r="E142" i="4"/>
  <c r="D142" i="4"/>
  <c r="C142" i="4"/>
  <c r="B142" i="4"/>
  <c r="A142" i="4"/>
  <c r="M141" i="4"/>
  <c r="L141" i="4"/>
  <c r="K141" i="4"/>
  <c r="M141" i="3"/>
  <c r="J141" i="4"/>
  <c r="L141" i="3"/>
  <c r="I141" i="4"/>
  <c r="H141" i="4"/>
  <c r="G141" i="4"/>
  <c r="F141" i="4"/>
  <c r="E141" i="4"/>
  <c r="D141" i="4"/>
  <c r="C141" i="4"/>
  <c r="B141" i="4"/>
  <c r="A141" i="4"/>
  <c r="M140" i="4"/>
  <c r="L140" i="4"/>
  <c r="K140" i="4"/>
  <c r="M140" i="3"/>
  <c r="J140" i="4"/>
  <c r="L140" i="3"/>
  <c r="I140" i="4"/>
  <c r="H140" i="4"/>
  <c r="G140" i="4"/>
  <c r="F140" i="4"/>
  <c r="E140" i="4"/>
  <c r="D140" i="4"/>
  <c r="C140" i="4"/>
  <c r="B140" i="4"/>
  <c r="A140" i="4"/>
  <c r="M139" i="4"/>
  <c r="L139" i="4"/>
  <c r="K139" i="4"/>
  <c r="M139" i="3"/>
  <c r="J139" i="4"/>
  <c r="L139" i="3"/>
  <c r="I139" i="4"/>
  <c r="H139" i="4"/>
  <c r="G139" i="4"/>
  <c r="F139" i="4"/>
  <c r="E139" i="4"/>
  <c r="D139" i="4"/>
  <c r="C139" i="4"/>
  <c r="B139" i="4"/>
  <c r="A139" i="4"/>
  <c r="M138" i="4"/>
  <c r="L138" i="4"/>
  <c r="K138" i="4"/>
  <c r="M138" i="3"/>
  <c r="J138" i="4"/>
  <c r="L138" i="3"/>
  <c r="I138" i="4"/>
  <c r="H138" i="4"/>
  <c r="G138" i="4"/>
  <c r="F138" i="4"/>
  <c r="E138" i="4"/>
  <c r="D138" i="4"/>
  <c r="C138" i="4"/>
  <c r="B138" i="4"/>
  <c r="A138" i="4"/>
  <c r="M137" i="4"/>
  <c r="L137" i="4"/>
  <c r="K137" i="4"/>
  <c r="M137" i="3"/>
  <c r="J137" i="4"/>
  <c r="L137" i="3"/>
  <c r="I137" i="4"/>
  <c r="H137" i="4"/>
  <c r="G137" i="4"/>
  <c r="F137" i="4"/>
  <c r="E137" i="4"/>
  <c r="D137" i="4"/>
  <c r="C137" i="4"/>
  <c r="B137" i="4"/>
  <c r="A137" i="4"/>
  <c r="M136" i="4"/>
  <c r="L136" i="4"/>
  <c r="K136" i="4"/>
  <c r="M136" i="3"/>
  <c r="J136" i="4"/>
  <c r="L136" i="3"/>
  <c r="I136" i="4"/>
  <c r="H136" i="4"/>
  <c r="G136" i="4"/>
  <c r="F136" i="4"/>
  <c r="E136" i="4"/>
  <c r="D136" i="4"/>
  <c r="C136" i="4"/>
  <c r="B136" i="4"/>
  <c r="A136" i="4"/>
  <c r="M135" i="4"/>
  <c r="L135" i="4"/>
  <c r="K135" i="4"/>
  <c r="M135" i="3"/>
  <c r="J135" i="4"/>
  <c r="L135" i="3"/>
  <c r="I135" i="4"/>
  <c r="H135" i="4"/>
  <c r="G135" i="4"/>
  <c r="F135" i="4"/>
  <c r="E135" i="4"/>
  <c r="D135" i="4"/>
  <c r="C135" i="4"/>
  <c r="B135" i="4"/>
  <c r="A135" i="4"/>
  <c r="M134" i="4"/>
  <c r="L134" i="4"/>
  <c r="K134" i="4"/>
  <c r="M134" i="3"/>
  <c r="J134" i="4"/>
  <c r="L134" i="3"/>
  <c r="I134" i="4"/>
  <c r="H134" i="4"/>
  <c r="G134" i="4"/>
  <c r="F134" i="4"/>
  <c r="E134" i="4"/>
  <c r="D134" i="4"/>
  <c r="C134" i="4"/>
  <c r="B134" i="4"/>
  <c r="A134" i="4"/>
  <c r="M133" i="4"/>
  <c r="L133" i="4"/>
  <c r="K133" i="4"/>
  <c r="M133" i="3"/>
  <c r="J133" i="4"/>
  <c r="L133" i="3"/>
  <c r="I133" i="4"/>
  <c r="H133" i="4"/>
  <c r="G133" i="4"/>
  <c r="F133" i="4"/>
  <c r="E133" i="4"/>
  <c r="D133" i="4"/>
  <c r="C133" i="4"/>
  <c r="B133" i="4"/>
  <c r="A133" i="4"/>
  <c r="M132" i="4"/>
  <c r="L132" i="4"/>
  <c r="K132" i="4"/>
  <c r="M132" i="3"/>
  <c r="J132" i="4"/>
  <c r="L132" i="3"/>
  <c r="I132" i="4"/>
  <c r="H132" i="4"/>
  <c r="G132" i="4"/>
  <c r="F132" i="4"/>
  <c r="E132" i="4"/>
  <c r="D132" i="4"/>
  <c r="C132" i="4"/>
  <c r="B132" i="4"/>
  <c r="A132" i="4"/>
  <c r="M131" i="4"/>
  <c r="L131" i="4"/>
  <c r="K131" i="4"/>
  <c r="M131" i="3"/>
  <c r="J131" i="4"/>
  <c r="L131" i="3"/>
  <c r="I131" i="4"/>
  <c r="H131" i="4"/>
  <c r="G131" i="4"/>
  <c r="F131" i="4"/>
  <c r="E131" i="4"/>
  <c r="D131" i="4"/>
  <c r="C131" i="4"/>
  <c r="B131" i="4"/>
  <c r="A131" i="4"/>
  <c r="M130" i="4"/>
  <c r="L130" i="4"/>
  <c r="K130" i="4"/>
  <c r="M130" i="3"/>
  <c r="J130" i="4"/>
  <c r="L130" i="3"/>
  <c r="I130" i="4"/>
  <c r="H130" i="4"/>
  <c r="G130" i="4"/>
  <c r="F130" i="4"/>
  <c r="E130" i="4"/>
  <c r="D130" i="4"/>
  <c r="C130" i="4"/>
  <c r="B130" i="4"/>
  <c r="A130" i="4"/>
  <c r="M129" i="4"/>
  <c r="L129" i="4"/>
  <c r="K129" i="4"/>
  <c r="M129" i="3"/>
  <c r="J129" i="4"/>
  <c r="L129" i="3"/>
  <c r="I129" i="4"/>
  <c r="H129" i="4"/>
  <c r="G129" i="4"/>
  <c r="F129" i="4"/>
  <c r="E129" i="4"/>
  <c r="D129" i="4"/>
  <c r="C129" i="4"/>
  <c r="B129" i="4"/>
  <c r="A129" i="4"/>
  <c r="M128" i="4"/>
  <c r="L128" i="4"/>
  <c r="K128" i="4"/>
  <c r="M128" i="3"/>
  <c r="J128" i="4"/>
  <c r="L128" i="3"/>
  <c r="I128" i="4"/>
  <c r="H128" i="4"/>
  <c r="G128" i="4"/>
  <c r="F128" i="4"/>
  <c r="E128" i="4"/>
  <c r="D128" i="4"/>
  <c r="C128" i="4"/>
  <c r="B128" i="4"/>
  <c r="A128" i="4"/>
  <c r="M127" i="4"/>
  <c r="L127" i="4"/>
  <c r="K127" i="4"/>
  <c r="M127" i="3"/>
  <c r="J127" i="4"/>
  <c r="L127" i="3"/>
  <c r="I127" i="4"/>
  <c r="H127" i="4"/>
  <c r="G127" i="4"/>
  <c r="F127" i="4"/>
  <c r="E127" i="4"/>
  <c r="D127" i="4"/>
  <c r="C127" i="4"/>
  <c r="B127" i="4"/>
  <c r="A127" i="4"/>
  <c r="M126" i="4"/>
  <c r="L126" i="4"/>
  <c r="K126" i="4"/>
  <c r="M126" i="3"/>
  <c r="J126" i="4"/>
  <c r="L126" i="3"/>
  <c r="I126" i="4"/>
  <c r="H126" i="4"/>
  <c r="G126" i="4"/>
  <c r="F126" i="4"/>
  <c r="E126" i="4"/>
  <c r="D126" i="4"/>
  <c r="C126" i="4"/>
  <c r="B126" i="4"/>
  <c r="A126" i="4"/>
  <c r="M125" i="4"/>
  <c r="L125" i="4"/>
  <c r="K125" i="4"/>
  <c r="M125" i="3"/>
  <c r="J125" i="4"/>
  <c r="L125" i="3"/>
  <c r="I125" i="4"/>
  <c r="H125" i="4"/>
  <c r="G125" i="4"/>
  <c r="F125" i="4"/>
  <c r="E125" i="4"/>
  <c r="D125" i="4"/>
  <c r="C125" i="4"/>
  <c r="B125" i="4"/>
  <c r="A125" i="4"/>
  <c r="M124" i="4"/>
  <c r="L124" i="4"/>
  <c r="K124" i="4"/>
  <c r="M124" i="3"/>
  <c r="J124" i="4"/>
  <c r="L124" i="3"/>
  <c r="I124" i="4"/>
  <c r="H124" i="4"/>
  <c r="G124" i="4"/>
  <c r="F124" i="4"/>
  <c r="E124" i="4"/>
  <c r="D124" i="4"/>
  <c r="C124" i="4"/>
  <c r="B124" i="4"/>
  <c r="A124" i="4"/>
  <c r="M123" i="4"/>
  <c r="L123" i="4"/>
  <c r="K123" i="4"/>
  <c r="M123" i="3"/>
  <c r="J123" i="4"/>
  <c r="L123" i="3"/>
  <c r="I123" i="4"/>
  <c r="H123" i="4"/>
  <c r="G123" i="4"/>
  <c r="F123" i="4"/>
  <c r="E123" i="4"/>
  <c r="D123" i="4"/>
  <c r="C123" i="4"/>
  <c r="B123" i="4"/>
  <c r="A123" i="4"/>
  <c r="M122" i="4"/>
  <c r="L122" i="4"/>
  <c r="K122" i="4"/>
  <c r="M122" i="3"/>
  <c r="J122" i="4"/>
  <c r="L122" i="3"/>
  <c r="I122" i="4"/>
  <c r="H122" i="4"/>
  <c r="G122" i="4"/>
  <c r="F122" i="4"/>
  <c r="E122" i="4"/>
  <c r="D122" i="4"/>
  <c r="C122" i="4"/>
  <c r="B122" i="4"/>
  <c r="A122" i="4"/>
  <c r="M121" i="4"/>
  <c r="L121" i="4"/>
  <c r="K121" i="4"/>
  <c r="M121" i="3"/>
  <c r="J121" i="4"/>
  <c r="L121" i="3"/>
  <c r="I121" i="4"/>
  <c r="H121" i="4"/>
  <c r="G121" i="4"/>
  <c r="F121" i="4"/>
  <c r="E121" i="4"/>
  <c r="D121" i="4"/>
  <c r="C121" i="4"/>
  <c r="B121" i="4"/>
  <c r="A121" i="4"/>
  <c r="M120" i="4"/>
  <c r="L120" i="4"/>
  <c r="K120" i="4"/>
  <c r="M120" i="3"/>
  <c r="J120" i="4"/>
  <c r="L120" i="3"/>
  <c r="I120" i="4"/>
  <c r="H120" i="4"/>
  <c r="G120" i="4"/>
  <c r="F120" i="4"/>
  <c r="E120" i="4"/>
  <c r="D120" i="4"/>
  <c r="C120" i="4"/>
  <c r="B120" i="4"/>
  <c r="A120" i="4"/>
  <c r="M119" i="4"/>
  <c r="L119" i="4"/>
  <c r="K119" i="4"/>
  <c r="M119" i="3"/>
  <c r="J119" i="4"/>
  <c r="L119" i="3"/>
  <c r="I119" i="4"/>
  <c r="H119" i="4"/>
  <c r="G119" i="4"/>
  <c r="F119" i="4"/>
  <c r="E119" i="4"/>
  <c r="D119" i="4"/>
  <c r="C119" i="4"/>
  <c r="B119" i="4"/>
  <c r="A119" i="4"/>
  <c r="M118" i="4"/>
  <c r="L118" i="4"/>
  <c r="K118" i="4"/>
  <c r="M118" i="3"/>
  <c r="J118" i="4"/>
  <c r="L118" i="3"/>
  <c r="I118" i="4"/>
  <c r="H118" i="4"/>
  <c r="G118" i="4"/>
  <c r="F118" i="4"/>
  <c r="E118" i="4"/>
  <c r="D118" i="4"/>
  <c r="C118" i="4"/>
  <c r="B118" i="4"/>
  <c r="A118" i="4"/>
  <c r="M117" i="4"/>
  <c r="L117" i="4"/>
  <c r="K117" i="4"/>
  <c r="M117" i="3"/>
  <c r="J117" i="4"/>
  <c r="L117" i="3"/>
  <c r="I117" i="4"/>
  <c r="H117" i="4"/>
  <c r="G117" i="4"/>
  <c r="F117" i="4"/>
  <c r="E117" i="4"/>
  <c r="D117" i="4"/>
  <c r="C117" i="4"/>
  <c r="B117" i="4"/>
  <c r="A117" i="4"/>
  <c r="M116" i="4"/>
  <c r="L116" i="4"/>
  <c r="K116" i="4"/>
  <c r="M116" i="3"/>
  <c r="J116" i="4"/>
  <c r="L116" i="3"/>
  <c r="I116" i="4"/>
  <c r="H116" i="4"/>
  <c r="G116" i="4"/>
  <c r="F116" i="4"/>
  <c r="E116" i="4"/>
  <c r="D116" i="4"/>
  <c r="C116" i="4"/>
  <c r="B116" i="4"/>
  <c r="A116" i="4"/>
  <c r="M115" i="4"/>
  <c r="L115" i="4"/>
  <c r="K115" i="4"/>
  <c r="M115" i="3"/>
  <c r="J115" i="4"/>
  <c r="L115" i="3"/>
  <c r="I115" i="4"/>
  <c r="H115" i="4"/>
  <c r="G115" i="4"/>
  <c r="F115" i="4"/>
  <c r="E115" i="4"/>
  <c r="D115" i="4"/>
  <c r="C115" i="4"/>
  <c r="B115" i="4"/>
  <c r="A115" i="4"/>
  <c r="M114" i="4"/>
  <c r="L114" i="4"/>
  <c r="K114" i="4"/>
  <c r="M114" i="3"/>
  <c r="J114" i="4"/>
  <c r="L114" i="3"/>
  <c r="I114" i="4"/>
  <c r="H114" i="4"/>
  <c r="G114" i="4"/>
  <c r="F114" i="4"/>
  <c r="E114" i="4"/>
  <c r="D114" i="4"/>
  <c r="C114" i="4"/>
  <c r="B114" i="4"/>
  <c r="A114" i="4"/>
  <c r="M113" i="4"/>
  <c r="L113" i="4"/>
  <c r="K113" i="4"/>
  <c r="M113" i="3"/>
  <c r="J113" i="4"/>
  <c r="L113" i="3"/>
  <c r="I113" i="4"/>
  <c r="H113" i="4"/>
  <c r="G113" i="4"/>
  <c r="F113" i="4"/>
  <c r="E113" i="4"/>
  <c r="D113" i="4"/>
  <c r="C113" i="4"/>
  <c r="B113" i="4"/>
  <c r="A113" i="4"/>
  <c r="M112" i="4"/>
  <c r="L112" i="4"/>
  <c r="K112" i="4"/>
  <c r="M112" i="3"/>
  <c r="J112" i="4"/>
  <c r="L112" i="3"/>
  <c r="I112" i="4"/>
  <c r="H112" i="4"/>
  <c r="G112" i="4"/>
  <c r="F112" i="4"/>
  <c r="E112" i="4"/>
  <c r="D112" i="4"/>
  <c r="C112" i="4"/>
  <c r="B112" i="4"/>
  <c r="A112" i="4"/>
  <c r="M111" i="4"/>
  <c r="L111" i="4"/>
  <c r="K111" i="4"/>
  <c r="M111" i="3"/>
  <c r="J111" i="4"/>
  <c r="L111" i="3"/>
  <c r="I111" i="4"/>
  <c r="H111" i="4"/>
  <c r="G111" i="4"/>
  <c r="F111" i="4"/>
  <c r="E111" i="4"/>
  <c r="D111" i="4"/>
  <c r="C111" i="4"/>
  <c r="B111" i="4"/>
  <c r="A111" i="4"/>
  <c r="M110" i="4"/>
  <c r="L110" i="4"/>
  <c r="K110" i="4"/>
  <c r="M110" i="3"/>
  <c r="J110" i="4"/>
  <c r="L110" i="3"/>
  <c r="I110" i="4"/>
  <c r="H110" i="4"/>
  <c r="G110" i="4"/>
  <c r="F110" i="4"/>
  <c r="E110" i="4"/>
  <c r="D110" i="4"/>
  <c r="C110" i="4"/>
  <c r="B110" i="4"/>
  <c r="A110" i="4"/>
  <c r="M109" i="4"/>
  <c r="L109" i="4"/>
  <c r="K109" i="4"/>
  <c r="M109" i="3"/>
  <c r="J109" i="4"/>
  <c r="L109" i="3"/>
  <c r="I109" i="4"/>
  <c r="H109" i="4"/>
  <c r="G109" i="4"/>
  <c r="F109" i="4"/>
  <c r="E109" i="4"/>
  <c r="D109" i="4"/>
  <c r="C109" i="4"/>
  <c r="B109" i="4"/>
  <c r="A109" i="4"/>
  <c r="M108" i="4"/>
  <c r="L108" i="4"/>
  <c r="K108" i="4"/>
  <c r="M108" i="3"/>
  <c r="J108" i="4"/>
  <c r="L108" i="3"/>
  <c r="I108" i="4"/>
  <c r="H108" i="4"/>
  <c r="G108" i="4"/>
  <c r="F108" i="4"/>
  <c r="E108" i="4"/>
  <c r="D108" i="4"/>
  <c r="C108" i="4"/>
  <c r="B108" i="4"/>
  <c r="A108" i="4"/>
  <c r="M107" i="4"/>
  <c r="L107" i="4"/>
  <c r="K107" i="4"/>
  <c r="M107" i="3"/>
  <c r="J107" i="4"/>
  <c r="L107" i="3"/>
  <c r="I107" i="4"/>
  <c r="H107" i="4"/>
  <c r="G107" i="4"/>
  <c r="F107" i="4"/>
  <c r="E107" i="4"/>
  <c r="D107" i="4"/>
  <c r="C107" i="4"/>
  <c r="B107" i="4"/>
  <c r="A107" i="4"/>
  <c r="M106" i="4"/>
  <c r="L106" i="4"/>
  <c r="K106" i="4"/>
  <c r="M106" i="3"/>
  <c r="J106" i="4"/>
  <c r="L106" i="3"/>
  <c r="I106" i="4"/>
  <c r="H106" i="4"/>
  <c r="G106" i="4"/>
  <c r="F106" i="4"/>
  <c r="E106" i="4"/>
  <c r="D106" i="4"/>
  <c r="C106" i="4"/>
  <c r="B106" i="4"/>
  <c r="A106" i="4"/>
  <c r="M105" i="4"/>
  <c r="L105" i="4"/>
  <c r="K105" i="4"/>
  <c r="M105" i="3"/>
  <c r="J105" i="4"/>
  <c r="L105" i="3"/>
  <c r="I105" i="4"/>
  <c r="H105" i="4"/>
  <c r="G105" i="4"/>
  <c r="F105" i="4"/>
  <c r="E105" i="4"/>
  <c r="D105" i="4"/>
  <c r="C105" i="4"/>
  <c r="B105" i="4"/>
  <c r="A105" i="4"/>
  <c r="M104" i="4"/>
  <c r="L104" i="4"/>
  <c r="K104" i="4"/>
  <c r="M104" i="3"/>
  <c r="J104" i="4"/>
  <c r="L104" i="3"/>
  <c r="I104" i="4"/>
  <c r="H104" i="4"/>
  <c r="G104" i="4"/>
  <c r="F104" i="4"/>
  <c r="E104" i="4"/>
  <c r="D104" i="4"/>
  <c r="C104" i="4"/>
  <c r="B104" i="4"/>
  <c r="A104" i="4"/>
  <c r="M103" i="4"/>
  <c r="L103" i="4"/>
  <c r="K103" i="4"/>
  <c r="M103" i="3"/>
  <c r="J103" i="4"/>
  <c r="L103" i="3"/>
  <c r="I103" i="4"/>
  <c r="H103" i="4"/>
  <c r="G103" i="4"/>
  <c r="F103" i="4"/>
  <c r="E103" i="4"/>
  <c r="D103" i="4"/>
  <c r="C103" i="4"/>
  <c r="B103" i="4"/>
  <c r="A103" i="4"/>
  <c r="M102" i="4"/>
  <c r="L102" i="4"/>
  <c r="K102" i="4"/>
  <c r="M102" i="3"/>
  <c r="J102" i="4"/>
  <c r="L102" i="3"/>
  <c r="I102" i="4"/>
  <c r="H102" i="4"/>
  <c r="G102" i="4"/>
  <c r="F102" i="4"/>
  <c r="E102" i="4"/>
  <c r="D102" i="4"/>
  <c r="C102" i="4"/>
  <c r="B102" i="4"/>
  <c r="A102" i="4"/>
  <c r="M101" i="4"/>
  <c r="L101" i="4"/>
  <c r="K101" i="4"/>
  <c r="M101" i="3"/>
  <c r="J101" i="4"/>
  <c r="L101" i="3"/>
  <c r="I101" i="4"/>
  <c r="H101" i="4"/>
  <c r="G101" i="4"/>
  <c r="F101" i="4"/>
  <c r="E101" i="4"/>
  <c r="D101" i="4"/>
  <c r="C101" i="4"/>
  <c r="B101" i="4"/>
  <c r="A101" i="4"/>
  <c r="M100" i="4"/>
  <c r="L100" i="4"/>
  <c r="K100" i="4"/>
  <c r="M100" i="3"/>
  <c r="J100" i="4"/>
  <c r="L100" i="3"/>
  <c r="I100" i="4"/>
  <c r="H100" i="4"/>
  <c r="G100" i="4"/>
  <c r="F100" i="4"/>
  <c r="E100" i="4"/>
  <c r="D100" i="4"/>
  <c r="C100" i="4"/>
  <c r="B100" i="4"/>
  <c r="A100" i="4"/>
  <c r="M99" i="4"/>
  <c r="L99" i="4"/>
  <c r="K99" i="4"/>
  <c r="M99" i="3"/>
  <c r="J99" i="4"/>
  <c r="L99" i="3"/>
  <c r="I99" i="4"/>
  <c r="H99" i="4"/>
  <c r="G99" i="4"/>
  <c r="F99" i="4"/>
  <c r="E99" i="4"/>
  <c r="D99" i="4"/>
  <c r="C99" i="4"/>
  <c r="B99" i="4"/>
  <c r="A99" i="4"/>
  <c r="M98" i="4"/>
  <c r="L98" i="4"/>
  <c r="K98" i="4"/>
  <c r="M98" i="3"/>
  <c r="J98" i="4"/>
  <c r="L98" i="3"/>
  <c r="I98" i="4"/>
  <c r="H98" i="4"/>
  <c r="G98" i="4"/>
  <c r="F98" i="4"/>
  <c r="E98" i="4"/>
  <c r="D98" i="4"/>
  <c r="C98" i="4"/>
  <c r="B98" i="4"/>
  <c r="A98" i="4"/>
  <c r="M97" i="4"/>
  <c r="L97" i="4"/>
  <c r="K97" i="4"/>
  <c r="M97" i="3"/>
  <c r="J97" i="4"/>
  <c r="L97" i="3"/>
  <c r="I97" i="4"/>
  <c r="H97" i="4"/>
  <c r="G97" i="4"/>
  <c r="F97" i="4"/>
  <c r="E97" i="4"/>
  <c r="D97" i="4"/>
  <c r="C97" i="4"/>
  <c r="B97" i="4"/>
  <c r="A97" i="4"/>
  <c r="M96" i="4"/>
  <c r="L96" i="4"/>
  <c r="K96" i="4"/>
  <c r="M96" i="3"/>
  <c r="J96" i="4"/>
  <c r="L96" i="3"/>
  <c r="I96" i="4"/>
  <c r="H96" i="4"/>
  <c r="G96" i="4"/>
  <c r="F96" i="4"/>
  <c r="E96" i="4"/>
  <c r="D96" i="4"/>
  <c r="C96" i="4"/>
  <c r="B96" i="4"/>
  <c r="A96" i="4"/>
  <c r="M95" i="4"/>
  <c r="L95" i="4"/>
  <c r="K95" i="4"/>
  <c r="M95" i="3"/>
  <c r="J95" i="4"/>
  <c r="L95" i="3"/>
  <c r="I95" i="4"/>
  <c r="H95" i="4"/>
  <c r="G95" i="4"/>
  <c r="F95" i="4"/>
  <c r="E95" i="4"/>
  <c r="D95" i="4"/>
  <c r="C95" i="4"/>
  <c r="B95" i="4"/>
  <c r="A95" i="4"/>
  <c r="M94" i="4"/>
  <c r="L94" i="4"/>
  <c r="K94" i="4"/>
  <c r="M94" i="3"/>
  <c r="J94" i="4"/>
  <c r="L94" i="3"/>
  <c r="I94" i="4"/>
  <c r="H94" i="4"/>
  <c r="G94" i="4"/>
  <c r="F94" i="4"/>
  <c r="E94" i="4"/>
  <c r="D94" i="4"/>
  <c r="C94" i="4"/>
  <c r="B94" i="4"/>
  <c r="A94" i="4"/>
  <c r="M93" i="4"/>
  <c r="L93" i="4"/>
  <c r="K93" i="4"/>
  <c r="M93" i="3"/>
  <c r="J93" i="4"/>
  <c r="L93" i="3"/>
  <c r="I93" i="4"/>
  <c r="H93" i="4"/>
  <c r="G93" i="4"/>
  <c r="F93" i="4"/>
  <c r="E93" i="4"/>
  <c r="D93" i="4"/>
  <c r="C93" i="4"/>
  <c r="B93" i="4"/>
  <c r="A93" i="4"/>
  <c r="M92" i="4"/>
  <c r="L92" i="4"/>
  <c r="K92" i="4"/>
  <c r="M92" i="3"/>
  <c r="J92" i="4"/>
  <c r="L92" i="3"/>
  <c r="I92" i="4"/>
  <c r="H92" i="4"/>
  <c r="G92" i="4"/>
  <c r="F92" i="4"/>
  <c r="E92" i="4"/>
  <c r="D92" i="4"/>
  <c r="C92" i="4"/>
  <c r="B92" i="4"/>
  <c r="A92" i="4"/>
  <c r="M91" i="4"/>
  <c r="L91" i="4"/>
  <c r="K91" i="4"/>
  <c r="M91" i="3"/>
  <c r="J91" i="4"/>
  <c r="L91" i="3"/>
  <c r="I91" i="4"/>
  <c r="H91" i="4"/>
  <c r="G91" i="4"/>
  <c r="F91" i="4"/>
  <c r="E91" i="4"/>
  <c r="D91" i="4"/>
  <c r="C91" i="4"/>
  <c r="B91" i="4"/>
  <c r="A91" i="4"/>
  <c r="M90" i="4"/>
  <c r="L90" i="4"/>
  <c r="K90" i="4"/>
  <c r="M90" i="3"/>
  <c r="J90" i="4"/>
  <c r="L90" i="3"/>
  <c r="I90" i="4"/>
  <c r="H90" i="4"/>
  <c r="G90" i="4"/>
  <c r="F90" i="4"/>
  <c r="E90" i="4"/>
  <c r="D90" i="4"/>
  <c r="C90" i="4"/>
  <c r="B90" i="4"/>
  <c r="A90" i="4"/>
  <c r="M89" i="4"/>
  <c r="L89" i="4"/>
  <c r="K89" i="4"/>
  <c r="M89" i="3"/>
  <c r="J89" i="4"/>
  <c r="L89" i="3"/>
  <c r="I89" i="4"/>
  <c r="H89" i="4"/>
  <c r="G89" i="4"/>
  <c r="F89" i="4"/>
  <c r="E89" i="4"/>
  <c r="D89" i="4"/>
  <c r="C89" i="4"/>
  <c r="B89" i="4"/>
  <c r="A89" i="4"/>
  <c r="M88" i="4"/>
  <c r="L88" i="4"/>
  <c r="K88" i="4"/>
  <c r="M88" i="3"/>
  <c r="J88" i="4"/>
  <c r="L88" i="3"/>
  <c r="I88" i="4"/>
  <c r="H88" i="4"/>
  <c r="G88" i="4"/>
  <c r="F88" i="4"/>
  <c r="E88" i="4"/>
  <c r="D88" i="4"/>
  <c r="C88" i="4"/>
  <c r="B88" i="4"/>
  <c r="A88" i="4"/>
  <c r="M87" i="4"/>
  <c r="L87" i="4"/>
  <c r="K87" i="4"/>
  <c r="M87" i="3"/>
  <c r="J87" i="4"/>
  <c r="L87" i="3"/>
  <c r="I87" i="4"/>
  <c r="H87" i="4"/>
  <c r="G87" i="4"/>
  <c r="F87" i="4"/>
  <c r="E87" i="4"/>
  <c r="D87" i="4"/>
  <c r="C87" i="4"/>
  <c r="B87" i="4"/>
  <c r="A87" i="4"/>
  <c r="M86" i="4"/>
  <c r="L86" i="4"/>
  <c r="K86" i="4"/>
  <c r="M86" i="3"/>
  <c r="J86" i="4"/>
  <c r="L86" i="3"/>
  <c r="I86" i="4"/>
  <c r="H86" i="4"/>
  <c r="G86" i="4"/>
  <c r="F86" i="4"/>
  <c r="E86" i="4"/>
  <c r="D86" i="4"/>
  <c r="C86" i="4"/>
  <c r="B86" i="4"/>
  <c r="A86" i="4"/>
  <c r="M85" i="4"/>
  <c r="L85" i="4"/>
  <c r="K85" i="4"/>
  <c r="M85" i="3"/>
  <c r="J85" i="4"/>
  <c r="L85" i="3"/>
  <c r="I85" i="4"/>
  <c r="H85" i="4"/>
  <c r="G85" i="4"/>
  <c r="F85" i="4"/>
  <c r="E85" i="4"/>
  <c r="D85" i="4"/>
  <c r="C85" i="4"/>
  <c r="B85" i="4"/>
  <c r="A85" i="4"/>
  <c r="M84" i="4"/>
  <c r="L84" i="4"/>
  <c r="K84" i="4"/>
  <c r="M84" i="3"/>
  <c r="J84" i="4"/>
  <c r="L84" i="3"/>
  <c r="I84" i="4"/>
  <c r="H84" i="4"/>
  <c r="G84" i="4"/>
  <c r="F84" i="4"/>
  <c r="E84" i="4"/>
  <c r="D84" i="4"/>
  <c r="C84" i="4"/>
  <c r="B84" i="4"/>
  <c r="A84" i="4"/>
  <c r="M83" i="4"/>
  <c r="L83" i="4"/>
  <c r="K83" i="4"/>
  <c r="M83" i="3"/>
  <c r="J83" i="4"/>
  <c r="L83" i="3"/>
  <c r="I83" i="4"/>
  <c r="H83" i="4"/>
  <c r="G83" i="4"/>
  <c r="F83" i="4"/>
  <c r="E83" i="4"/>
  <c r="D83" i="4"/>
  <c r="C83" i="4"/>
  <c r="B83" i="4"/>
  <c r="A83" i="4"/>
  <c r="M82" i="4"/>
  <c r="L82" i="4"/>
  <c r="K82" i="4"/>
  <c r="M82" i="3"/>
  <c r="J82" i="4"/>
  <c r="L82" i="3"/>
  <c r="I82" i="4"/>
  <c r="H82" i="4"/>
  <c r="G82" i="4"/>
  <c r="F82" i="4"/>
  <c r="E82" i="4"/>
  <c r="D82" i="4"/>
  <c r="C82" i="4"/>
  <c r="B82" i="4"/>
  <c r="A82" i="4"/>
  <c r="M81" i="4"/>
  <c r="L81" i="4"/>
  <c r="K81" i="4"/>
  <c r="M81" i="3"/>
  <c r="J81" i="4"/>
  <c r="L81" i="3"/>
  <c r="I81" i="4"/>
  <c r="H81" i="4"/>
  <c r="G81" i="4"/>
  <c r="F81" i="4"/>
  <c r="E81" i="4"/>
  <c r="D81" i="4"/>
  <c r="C81" i="4"/>
  <c r="B81" i="4"/>
  <c r="A81" i="4"/>
  <c r="M80" i="4"/>
  <c r="L80" i="4"/>
  <c r="K80" i="4"/>
  <c r="M80" i="3"/>
  <c r="J80" i="4"/>
  <c r="L80" i="3"/>
  <c r="I80" i="4"/>
  <c r="H80" i="4"/>
  <c r="G80" i="4"/>
  <c r="F80" i="4"/>
  <c r="E80" i="4"/>
  <c r="D80" i="4"/>
  <c r="C80" i="4"/>
  <c r="B80" i="4"/>
  <c r="A80" i="4"/>
  <c r="M79" i="4"/>
  <c r="L79" i="4"/>
  <c r="K79" i="4"/>
  <c r="M79" i="3"/>
  <c r="J79" i="4"/>
  <c r="L79" i="3"/>
  <c r="I79" i="4"/>
  <c r="H79" i="4"/>
  <c r="G79" i="4"/>
  <c r="F79" i="4"/>
  <c r="E79" i="4"/>
  <c r="D79" i="4"/>
  <c r="C79" i="4"/>
  <c r="B79" i="4"/>
  <c r="A79" i="4"/>
  <c r="M78" i="4"/>
  <c r="L78" i="4"/>
  <c r="K78" i="4"/>
  <c r="M78" i="3"/>
  <c r="J78" i="4"/>
  <c r="L78" i="3"/>
  <c r="I78" i="4"/>
  <c r="H78" i="4"/>
  <c r="G78" i="4"/>
  <c r="F78" i="4"/>
  <c r="E78" i="4"/>
  <c r="D78" i="4"/>
  <c r="C78" i="4"/>
  <c r="B78" i="4"/>
  <c r="A78" i="4"/>
  <c r="M77" i="4"/>
  <c r="L77" i="4"/>
  <c r="K77" i="4"/>
  <c r="M77" i="3"/>
  <c r="J77" i="4"/>
  <c r="L77" i="3"/>
  <c r="I77" i="4"/>
  <c r="H77" i="4"/>
  <c r="G77" i="4"/>
  <c r="F77" i="4"/>
  <c r="E77" i="4"/>
  <c r="D77" i="4"/>
  <c r="C77" i="4"/>
  <c r="B77" i="4"/>
  <c r="A77" i="4"/>
  <c r="M76" i="4"/>
  <c r="L76" i="4"/>
  <c r="K76" i="4"/>
  <c r="M76" i="3"/>
  <c r="J76" i="4"/>
  <c r="L76" i="3"/>
  <c r="I76" i="4"/>
  <c r="H76" i="4"/>
  <c r="G76" i="4"/>
  <c r="F76" i="4"/>
  <c r="E76" i="4"/>
  <c r="D76" i="4"/>
  <c r="C76" i="4"/>
  <c r="B76" i="4"/>
  <c r="A76" i="4"/>
  <c r="M75" i="4"/>
  <c r="L75" i="4"/>
  <c r="K75" i="4"/>
  <c r="M75" i="3"/>
  <c r="J75" i="4"/>
  <c r="L75" i="3"/>
  <c r="I75" i="4"/>
  <c r="H75" i="4"/>
  <c r="G75" i="4"/>
  <c r="F75" i="4"/>
  <c r="E75" i="4"/>
  <c r="D75" i="4"/>
  <c r="C75" i="4"/>
  <c r="B75" i="4"/>
  <c r="A75" i="4"/>
  <c r="M74" i="4"/>
  <c r="L74" i="4"/>
  <c r="K74" i="4"/>
  <c r="M74" i="3"/>
  <c r="J74" i="4"/>
  <c r="L74" i="3"/>
  <c r="I74" i="4"/>
  <c r="H74" i="4"/>
  <c r="G74" i="4"/>
  <c r="F74" i="4"/>
  <c r="E74" i="4"/>
  <c r="D74" i="4"/>
  <c r="C74" i="4"/>
  <c r="B74" i="4"/>
  <c r="A74" i="4"/>
  <c r="M73" i="4"/>
  <c r="L73" i="4"/>
  <c r="K73" i="4"/>
  <c r="M73" i="3"/>
  <c r="J73" i="4"/>
  <c r="L73" i="3"/>
  <c r="I73" i="4"/>
  <c r="H73" i="4"/>
  <c r="G73" i="4"/>
  <c r="F73" i="4"/>
  <c r="E73" i="4"/>
  <c r="D73" i="4"/>
  <c r="C73" i="4"/>
  <c r="B73" i="4"/>
  <c r="A73" i="4"/>
  <c r="M72" i="4"/>
  <c r="L72" i="4"/>
  <c r="K72" i="4"/>
  <c r="M72" i="3"/>
  <c r="J72" i="4"/>
  <c r="L72" i="3"/>
  <c r="I72" i="4"/>
  <c r="H72" i="4"/>
  <c r="G72" i="4"/>
  <c r="F72" i="4"/>
  <c r="E72" i="4"/>
  <c r="D72" i="4"/>
  <c r="C72" i="4"/>
  <c r="B72" i="4"/>
  <c r="A72" i="4"/>
  <c r="M71" i="4"/>
  <c r="L71" i="4"/>
  <c r="K71" i="4"/>
  <c r="M71" i="3"/>
  <c r="J71" i="4"/>
  <c r="L71" i="3"/>
  <c r="I71" i="4"/>
  <c r="H71" i="4"/>
  <c r="G71" i="4"/>
  <c r="F71" i="4"/>
  <c r="E71" i="4"/>
  <c r="D71" i="4"/>
  <c r="C71" i="4"/>
  <c r="B71" i="4"/>
  <c r="A71" i="4"/>
  <c r="M70" i="4"/>
  <c r="L70" i="4"/>
  <c r="K70" i="4"/>
  <c r="M70" i="3"/>
  <c r="J70" i="4"/>
  <c r="L70" i="3"/>
  <c r="I70" i="4"/>
  <c r="H70" i="4"/>
  <c r="G70" i="4"/>
  <c r="F70" i="4"/>
  <c r="E70" i="4"/>
  <c r="D70" i="4"/>
  <c r="C70" i="4"/>
  <c r="B70" i="4"/>
  <c r="A70" i="4"/>
  <c r="M69" i="4"/>
  <c r="L69" i="4"/>
  <c r="K69" i="4"/>
  <c r="M69" i="3"/>
  <c r="J69" i="4"/>
  <c r="L69" i="3"/>
  <c r="I69" i="4"/>
  <c r="H69" i="4"/>
  <c r="G69" i="4"/>
  <c r="F69" i="4"/>
  <c r="E69" i="4"/>
  <c r="D69" i="4"/>
  <c r="C69" i="4"/>
  <c r="B69" i="4"/>
  <c r="A69" i="4"/>
  <c r="M68" i="4"/>
  <c r="L68" i="4"/>
  <c r="K68" i="4"/>
  <c r="M68" i="3"/>
  <c r="J68" i="4"/>
  <c r="L68" i="3"/>
  <c r="I68" i="4"/>
  <c r="H68" i="4"/>
  <c r="G68" i="4"/>
  <c r="F68" i="4"/>
  <c r="E68" i="4"/>
  <c r="D68" i="4"/>
  <c r="C68" i="4"/>
  <c r="B68" i="4"/>
  <c r="A68" i="4"/>
  <c r="M67" i="4"/>
  <c r="L67" i="4"/>
  <c r="K67" i="4"/>
  <c r="M67" i="3"/>
  <c r="J67" i="4"/>
  <c r="L67" i="3"/>
  <c r="I67" i="4"/>
  <c r="H67" i="4"/>
  <c r="G67" i="4"/>
  <c r="F67" i="4"/>
  <c r="E67" i="4"/>
  <c r="D67" i="4"/>
  <c r="C67" i="4"/>
  <c r="B67" i="4"/>
  <c r="A67" i="4"/>
  <c r="M66" i="4"/>
  <c r="L66" i="4"/>
  <c r="K66" i="4"/>
  <c r="M66" i="3"/>
  <c r="J66" i="4"/>
  <c r="L66" i="3"/>
  <c r="I66" i="4"/>
  <c r="H66" i="4"/>
  <c r="G66" i="4"/>
  <c r="F66" i="4"/>
  <c r="E66" i="4"/>
  <c r="D66" i="4"/>
  <c r="C66" i="4"/>
  <c r="B66" i="4"/>
  <c r="A66" i="4"/>
  <c r="M65" i="4"/>
  <c r="L65" i="4"/>
  <c r="K65" i="4"/>
  <c r="M65" i="3"/>
  <c r="J65" i="4"/>
  <c r="L65" i="3"/>
  <c r="I65" i="4"/>
  <c r="H65" i="4"/>
  <c r="G65" i="4"/>
  <c r="F65" i="4"/>
  <c r="E65" i="4"/>
  <c r="D65" i="4"/>
  <c r="C65" i="4"/>
  <c r="B65" i="4"/>
  <c r="A65" i="4"/>
  <c r="M64" i="4"/>
  <c r="L64" i="4"/>
  <c r="K64" i="4"/>
  <c r="M64" i="3"/>
  <c r="J64" i="4"/>
  <c r="L64" i="3"/>
  <c r="I64" i="4"/>
  <c r="H64" i="4"/>
  <c r="G64" i="4"/>
  <c r="F64" i="4"/>
  <c r="E64" i="4"/>
  <c r="D64" i="4"/>
  <c r="C64" i="4"/>
  <c r="B64" i="4"/>
  <c r="A64" i="4"/>
  <c r="M63" i="4"/>
  <c r="L63" i="4"/>
  <c r="K63" i="4"/>
  <c r="M63" i="3"/>
  <c r="J63" i="4"/>
  <c r="L63" i="3"/>
  <c r="I63" i="4"/>
  <c r="H63" i="4"/>
  <c r="G63" i="4"/>
  <c r="F63" i="4"/>
  <c r="E63" i="4"/>
  <c r="D63" i="4"/>
  <c r="C63" i="4"/>
  <c r="B63" i="4"/>
  <c r="A63" i="4"/>
  <c r="M62" i="4"/>
  <c r="L62" i="4"/>
  <c r="K62" i="4"/>
  <c r="M62" i="3"/>
  <c r="J62" i="4"/>
  <c r="L62" i="3"/>
  <c r="I62" i="4"/>
  <c r="H62" i="4"/>
  <c r="G62" i="4"/>
  <c r="F62" i="4"/>
  <c r="E62" i="4"/>
  <c r="D62" i="4"/>
  <c r="C62" i="4"/>
  <c r="B62" i="4"/>
  <c r="A62" i="4"/>
  <c r="M61" i="4"/>
  <c r="L61" i="4"/>
  <c r="K61" i="4"/>
  <c r="M61" i="3"/>
  <c r="J61" i="4"/>
  <c r="L61" i="3"/>
  <c r="I61" i="4"/>
  <c r="H61" i="4"/>
  <c r="G61" i="4"/>
  <c r="F61" i="4"/>
  <c r="E61" i="4"/>
  <c r="D61" i="4"/>
  <c r="C61" i="4"/>
  <c r="B61" i="4"/>
  <c r="A61" i="4"/>
  <c r="M60" i="4"/>
  <c r="L60" i="4"/>
  <c r="K60" i="4"/>
  <c r="M60" i="3"/>
  <c r="J60" i="4"/>
  <c r="L60" i="3"/>
  <c r="I60" i="4"/>
  <c r="H60" i="4"/>
  <c r="G60" i="4"/>
  <c r="F60" i="4"/>
  <c r="E60" i="4"/>
  <c r="D60" i="4"/>
  <c r="C60" i="4"/>
  <c r="B60" i="4"/>
  <c r="A60" i="4"/>
  <c r="M59" i="4"/>
  <c r="L59" i="4"/>
  <c r="K59" i="4"/>
  <c r="M59" i="3"/>
  <c r="J59" i="4"/>
  <c r="L59" i="3"/>
  <c r="I59" i="4"/>
  <c r="H59" i="4"/>
  <c r="G59" i="4"/>
  <c r="F59" i="4"/>
  <c r="E59" i="4"/>
  <c r="D59" i="4"/>
  <c r="C59" i="4"/>
  <c r="B59" i="4"/>
  <c r="A59" i="4"/>
  <c r="M58" i="4"/>
  <c r="L58" i="4"/>
  <c r="K58" i="4"/>
  <c r="M58" i="3"/>
  <c r="J58" i="4"/>
  <c r="L58" i="3"/>
  <c r="I58" i="4"/>
  <c r="H58" i="4"/>
  <c r="G58" i="4"/>
  <c r="F58" i="4"/>
  <c r="E58" i="4"/>
  <c r="D58" i="4"/>
  <c r="C58" i="4"/>
  <c r="B58" i="4"/>
  <c r="A58" i="4"/>
  <c r="M57" i="4"/>
  <c r="L57" i="4"/>
  <c r="K57" i="4"/>
  <c r="M57" i="3"/>
  <c r="J57" i="4"/>
  <c r="L57" i="3"/>
  <c r="I57" i="4"/>
  <c r="H57" i="4"/>
  <c r="G57" i="4"/>
  <c r="F57" i="4"/>
  <c r="E57" i="4"/>
  <c r="D57" i="4"/>
  <c r="C57" i="4"/>
  <c r="B57" i="4"/>
  <c r="A57" i="4"/>
  <c r="M56" i="4"/>
  <c r="L56" i="4"/>
  <c r="K56" i="4"/>
  <c r="M56" i="3"/>
  <c r="J56" i="4"/>
  <c r="L56" i="3"/>
  <c r="I56" i="4"/>
  <c r="H56" i="4"/>
  <c r="G56" i="4"/>
  <c r="F56" i="4"/>
  <c r="E56" i="4"/>
  <c r="D56" i="4"/>
  <c r="C56" i="4"/>
  <c r="B56" i="4"/>
  <c r="A56" i="4"/>
  <c r="M55" i="4"/>
  <c r="L55" i="4"/>
  <c r="K55" i="4"/>
  <c r="M55" i="3"/>
  <c r="J55" i="4"/>
  <c r="L55" i="3"/>
  <c r="I55" i="4"/>
  <c r="H55" i="4"/>
  <c r="G55" i="4"/>
  <c r="F55" i="4"/>
  <c r="E55" i="4"/>
  <c r="D55" i="4"/>
  <c r="C55" i="4"/>
  <c r="B55" i="4"/>
  <c r="A55" i="4"/>
  <c r="M54" i="4"/>
  <c r="L54" i="4"/>
  <c r="K54" i="4"/>
  <c r="M54" i="3"/>
  <c r="J54" i="4"/>
  <c r="L54" i="3"/>
  <c r="I54" i="4"/>
  <c r="H54" i="4"/>
  <c r="G54" i="4"/>
  <c r="F54" i="4"/>
  <c r="E54" i="4"/>
  <c r="D54" i="4"/>
  <c r="C54" i="4"/>
  <c r="B54" i="4"/>
  <c r="A54" i="4"/>
  <c r="M53" i="4"/>
  <c r="L53" i="4"/>
  <c r="K53" i="4"/>
  <c r="M53" i="3"/>
  <c r="J53" i="4"/>
  <c r="L53" i="3"/>
  <c r="I53" i="4"/>
  <c r="H53" i="4"/>
  <c r="G53" i="4"/>
  <c r="F53" i="4"/>
  <c r="E53" i="4"/>
  <c r="D53" i="4"/>
  <c r="C53" i="4"/>
  <c r="B53" i="4"/>
  <c r="A53" i="4"/>
  <c r="M52" i="4"/>
  <c r="L52" i="4"/>
  <c r="K52" i="4"/>
  <c r="M52" i="3"/>
  <c r="J52" i="4"/>
  <c r="L52" i="3"/>
  <c r="I52" i="4"/>
  <c r="H52" i="4"/>
  <c r="G52" i="4"/>
  <c r="F52" i="4"/>
  <c r="E52" i="4"/>
  <c r="D52" i="4"/>
  <c r="C52" i="4"/>
  <c r="B52" i="4"/>
  <c r="A52" i="4"/>
  <c r="M51" i="4"/>
  <c r="L51" i="4"/>
  <c r="K51" i="4"/>
  <c r="M51" i="3"/>
  <c r="J51" i="4"/>
  <c r="L51" i="3"/>
  <c r="I51" i="4"/>
  <c r="H51" i="4"/>
  <c r="G51" i="4"/>
  <c r="F51" i="4"/>
  <c r="E51" i="4"/>
  <c r="D51" i="4"/>
  <c r="C51" i="4"/>
  <c r="B51" i="4"/>
  <c r="A51" i="4"/>
  <c r="M50" i="4"/>
  <c r="L50" i="4"/>
  <c r="K50" i="4"/>
  <c r="M50" i="3"/>
  <c r="J50" i="4"/>
  <c r="L50" i="3"/>
  <c r="I50" i="4"/>
  <c r="H50" i="4"/>
  <c r="G50" i="4"/>
  <c r="F50" i="4"/>
  <c r="E50" i="4"/>
  <c r="D50" i="4"/>
  <c r="C50" i="4"/>
  <c r="B50" i="4"/>
  <c r="A50" i="4"/>
  <c r="M49" i="4"/>
  <c r="L49" i="4"/>
  <c r="K49" i="4"/>
  <c r="M49" i="3"/>
  <c r="J49" i="4"/>
  <c r="L49" i="3"/>
  <c r="I49" i="4"/>
  <c r="H49" i="4"/>
  <c r="G49" i="4"/>
  <c r="F49" i="4"/>
  <c r="E49" i="4"/>
  <c r="D49" i="4"/>
  <c r="C49" i="4"/>
  <c r="B49" i="4"/>
  <c r="A49" i="4"/>
  <c r="M48" i="4"/>
  <c r="L48" i="4"/>
  <c r="K48" i="4"/>
  <c r="M48" i="3"/>
  <c r="J48" i="4"/>
  <c r="L48" i="3"/>
  <c r="I48" i="4"/>
  <c r="H48" i="4"/>
  <c r="G48" i="4"/>
  <c r="F48" i="4"/>
  <c r="E48" i="4"/>
  <c r="D48" i="4"/>
  <c r="C48" i="4"/>
  <c r="B48" i="4"/>
  <c r="A48" i="4"/>
  <c r="M47" i="4"/>
  <c r="L47" i="4"/>
  <c r="K47" i="4"/>
  <c r="M47" i="3"/>
  <c r="J47" i="4"/>
  <c r="L47" i="3"/>
  <c r="I47" i="4"/>
  <c r="H47" i="4"/>
  <c r="G47" i="4"/>
  <c r="F47" i="4"/>
  <c r="E47" i="4"/>
  <c r="D47" i="4"/>
  <c r="C47" i="4"/>
  <c r="B47" i="4"/>
  <c r="A47" i="4"/>
  <c r="M46" i="4"/>
  <c r="L46" i="4"/>
  <c r="K46" i="4"/>
  <c r="M46" i="3"/>
  <c r="J46" i="4"/>
  <c r="L46" i="3"/>
  <c r="I46" i="4"/>
  <c r="H46" i="4"/>
  <c r="G46" i="4"/>
  <c r="F46" i="4"/>
  <c r="E46" i="4"/>
  <c r="D46" i="4"/>
  <c r="C46" i="4"/>
  <c r="B46" i="4"/>
  <c r="A46" i="4"/>
  <c r="M45" i="4"/>
  <c r="L45" i="4"/>
  <c r="K45" i="4"/>
  <c r="M45" i="3"/>
  <c r="J45" i="4"/>
  <c r="L45" i="3"/>
  <c r="I45" i="4"/>
  <c r="H45" i="4"/>
  <c r="G45" i="4"/>
  <c r="F45" i="4"/>
  <c r="E45" i="4"/>
  <c r="D45" i="4"/>
  <c r="C45" i="4"/>
  <c r="B45" i="4"/>
  <c r="A45" i="4"/>
  <c r="M44" i="4"/>
  <c r="L44" i="4"/>
  <c r="K44" i="4"/>
  <c r="M44" i="3"/>
  <c r="J44" i="4"/>
  <c r="L44" i="3"/>
  <c r="I44" i="4"/>
  <c r="H44" i="4"/>
  <c r="G44" i="4"/>
  <c r="F44" i="4"/>
  <c r="E44" i="4"/>
  <c r="D44" i="4"/>
  <c r="C44" i="4"/>
  <c r="B44" i="4"/>
  <c r="A44" i="4"/>
  <c r="M43" i="4"/>
  <c r="L43" i="4"/>
  <c r="K43" i="4"/>
  <c r="M43" i="3"/>
  <c r="J43" i="4"/>
  <c r="L43" i="3"/>
  <c r="I43" i="4"/>
  <c r="H43" i="4"/>
  <c r="G43" i="4"/>
  <c r="F43" i="4"/>
  <c r="E43" i="4"/>
  <c r="D43" i="4"/>
  <c r="C43" i="4"/>
  <c r="B43" i="4"/>
  <c r="A43" i="4"/>
  <c r="M42" i="4"/>
  <c r="L42" i="4"/>
  <c r="K42" i="4"/>
  <c r="M42" i="3"/>
  <c r="J42" i="4"/>
  <c r="L42" i="3"/>
  <c r="I42" i="4"/>
  <c r="H42" i="4"/>
  <c r="G42" i="4"/>
  <c r="F42" i="4"/>
  <c r="E42" i="4"/>
  <c r="D42" i="4"/>
  <c r="C42" i="4"/>
  <c r="B42" i="4"/>
  <c r="A42" i="4"/>
  <c r="M41" i="4"/>
  <c r="L41" i="4"/>
  <c r="K41" i="4"/>
  <c r="M41" i="3"/>
  <c r="J41" i="4"/>
  <c r="L41" i="3"/>
  <c r="I41" i="4"/>
  <c r="H41" i="4"/>
  <c r="G41" i="4"/>
  <c r="F41" i="4"/>
  <c r="E41" i="4"/>
  <c r="D41" i="4"/>
  <c r="C41" i="4"/>
  <c r="B41" i="4"/>
  <c r="A41" i="4"/>
  <c r="M40" i="4"/>
  <c r="L40" i="4"/>
  <c r="K40" i="4"/>
  <c r="M40" i="3"/>
  <c r="J40" i="4"/>
  <c r="L40" i="3"/>
  <c r="I40" i="4"/>
  <c r="H40" i="4"/>
  <c r="G40" i="4"/>
  <c r="F40" i="4"/>
  <c r="E40" i="4"/>
  <c r="D40" i="4"/>
  <c r="C40" i="4"/>
  <c r="B40" i="4"/>
  <c r="A40" i="4"/>
  <c r="M39" i="4"/>
  <c r="L39" i="4"/>
  <c r="K39" i="4"/>
  <c r="M39" i="3"/>
  <c r="J39" i="4"/>
  <c r="L39" i="3"/>
  <c r="I39" i="4"/>
  <c r="H39" i="4"/>
  <c r="G39" i="4"/>
  <c r="F39" i="4"/>
  <c r="E39" i="4"/>
  <c r="D39" i="4"/>
  <c r="C39" i="4"/>
  <c r="B39" i="4"/>
  <c r="A39" i="4"/>
  <c r="M38" i="4"/>
  <c r="L38" i="4"/>
  <c r="K38" i="4"/>
  <c r="M38" i="3"/>
  <c r="J38" i="4"/>
  <c r="L38" i="3"/>
  <c r="I38" i="4"/>
  <c r="H38" i="4"/>
  <c r="G38" i="4"/>
  <c r="F38" i="4"/>
  <c r="E38" i="4"/>
  <c r="D38" i="4"/>
  <c r="C38" i="4"/>
  <c r="B38" i="4"/>
  <c r="A38" i="4"/>
  <c r="M37" i="4"/>
  <c r="L37" i="4"/>
  <c r="K37" i="4"/>
  <c r="M37" i="3"/>
  <c r="J37" i="4"/>
  <c r="L37" i="3"/>
  <c r="I37" i="4"/>
  <c r="H37" i="4"/>
  <c r="G37" i="4"/>
  <c r="F37" i="4"/>
  <c r="E37" i="4"/>
  <c r="D37" i="4"/>
  <c r="C37" i="4"/>
  <c r="B37" i="4"/>
  <c r="A37" i="4"/>
  <c r="M36" i="4"/>
  <c r="L36" i="4"/>
  <c r="K36" i="4"/>
  <c r="M36" i="3"/>
  <c r="J36" i="4"/>
  <c r="L36" i="3"/>
  <c r="I36" i="4"/>
  <c r="H36" i="4"/>
  <c r="G36" i="4"/>
  <c r="F36" i="4"/>
  <c r="E36" i="4"/>
  <c r="D36" i="4"/>
  <c r="C36" i="4"/>
  <c r="B36" i="4"/>
  <c r="A36" i="4"/>
  <c r="M35" i="4"/>
  <c r="L35" i="4"/>
  <c r="K35" i="4"/>
  <c r="M35" i="3"/>
  <c r="J35" i="4"/>
  <c r="L35" i="3"/>
  <c r="I35" i="4"/>
  <c r="H35" i="4"/>
  <c r="G35" i="4"/>
  <c r="F35" i="4"/>
  <c r="E35" i="4"/>
  <c r="D35" i="4"/>
  <c r="C35" i="4"/>
  <c r="B35" i="4"/>
  <c r="A35" i="4"/>
  <c r="M34" i="4"/>
  <c r="L34" i="4"/>
  <c r="K34" i="4"/>
  <c r="M34" i="3"/>
  <c r="J34" i="4"/>
  <c r="L34" i="3"/>
  <c r="I34" i="4"/>
  <c r="H34" i="4"/>
  <c r="G34" i="4"/>
  <c r="F34" i="4"/>
  <c r="E34" i="4"/>
  <c r="D34" i="4"/>
  <c r="C34" i="4"/>
  <c r="B34" i="4"/>
  <c r="A34" i="4"/>
  <c r="M33" i="4"/>
  <c r="L33" i="4"/>
  <c r="K33" i="4"/>
  <c r="M33" i="3"/>
  <c r="J33" i="4"/>
  <c r="L33" i="3"/>
  <c r="I33" i="4"/>
  <c r="H33" i="4"/>
  <c r="G33" i="4"/>
  <c r="F33" i="4"/>
  <c r="E33" i="4"/>
  <c r="D33" i="4"/>
  <c r="C33" i="4"/>
  <c r="B33" i="4"/>
  <c r="A33" i="4"/>
  <c r="M32" i="4"/>
  <c r="L32" i="4"/>
  <c r="K32" i="4"/>
  <c r="M32" i="3"/>
  <c r="J32" i="4"/>
  <c r="L32" i="3"/>
  <c r="I32" i="4"/>
  <c r="H32" i="4"/>
  <c r="G32" i="4"/>
  <c r="F32" i="4"/>
  <c r="E32" i="4"/>
  <c r="D32" i="4"/>
  <c r="C32" i="4"/>
  <c r="B32" i="4"/>
  <c r="A32" i="4"/>
  <c r="M31" i="4"/>
  <c r="L31" i="4"/>
  <c r="K31" i="4"/>
  <c r="M31" i="3"/>
  <c r="J31" i="4"/>
  <c r="L31" i="3"/>
  <c r="I31" i="4"/>
  <c r="H31" i="4"/>
  <c r="G31" i="4"/>
  <c r="F31" i="4"/>
  <c r="E31" i="4"/>
  <c r="D31" i="4"/>
  <c r="C31" i="4"/>
  <c r="B31" i="4"/>
  <c r="A31" i="4"/>
  <c r="M30" i="4"/>
  <c r="L30" i="4"/>
  <c r="K30" i="4"/>
  <c r="M30" i="3"/>
  <c r="J30" i="4"/>
  <c r="L30" i="3"/>
  <c r="I30" i="4"/>
  <c r="H30" i="4"/>
  <c r="G30" i="4"/>
  <c r="F30" i="4"/>
  <c r="E30" i="4"/>
  <c r="D30" i="4"/>
  <c r="C30" i="4"/>
  <c r="B30" i="4"/>
  <c r="A30" i="4"/>
  <c r="M29" i="4"/>
  <c r="L29" i="4"/>
  <c r="K29" i="4"/>
  <c r="M29" i="3"/>
  <c r="J29" i="4"/>
  <c r="L29" i="3"/>
  <c r="I29" i="4"/>
  <c r="H29" i="4"/>
  <c r="G29" i="4"/>
  <c r="F29" i="4"/>
  <c r="E29" i="4"/>
  <c r="D29" i="4"/>
  <c r="C29" i="4"/>
  <c r="B29" i="4"/>
  <c r="A29" i="4"/>
  <c r="M28" i="4"/>
  <c r="L28" i="4"/>
  <c r="K28" i="4"/>
  <c r="M28" i="3"/>
  <c r="J28" i="4"/>
  <c r="L28" i="3"/>
  <c r="I28" i="4"/>
  <c r="H28" i="4"/>
  <c r="G28" i="4"/>
  <c r="F28" i="4"/>
  <c r="E28" i="4"/>
  <c r="D28" i="4"/>
  <c r="C28" i="4"/>
  <c r="B28" i="4"/>
  <c r="A28" i="4"/>
  <c r="M27" i="4"/>
  <c r="L27" i="4"/>
  <c r="K27" i="4"/>
  <c r="M27" i="3"/>
  <c r="J27" i="4"/>
  <c r="L27" i="3"/>
  <c r="I27" i="4"/>
  <c r="H27" i="4"/>
  <c r="G27" i="4"/>
  <c r="F27" i="4"/>
  <c r="E27" i="4"/>
  <c r="D27" i="4"/>
  <c r="C27" i="4"/>
  <c r="B27" i="4"/>
  <c r="A27" i="4"/>
  <c r="M26" i="4"/>
  <c r="L26" i="4"/>
  <c r="K26" i="4"/>
  <c r="M26" i="3"/>
  <c r="J26" i="4"/>
  <c r="L26" i="3"/>
  <c r="I26" i="4"/>
  <c r="H26" i="4"/>
  <c r="G26" i="4"/>
  <c r="F26" i="4"/>
  <c r="E26" i="4"/>
  <c r="D26" i="4"/>
  <c r="C26" i="4"/>
  <c r="B26" i="4"/>
  <c r="A26" i="4"/>
  <c r="M25" i="4"/>
  <c r="L25" i="4"/>
  <c r="K25" i="4"/>
  <c r="M25" i="3"/>
  <c r="J25" i="4"/>
  <c r="L25" i="3"/>
  <c r="I25" i="4"/>
  <c r="H25" i="4"/>
  <c r="G25" i="4"/>
  <c r="F25" i="4"/>
  <c r="E25" i="4"/>
  <c r="D25" i="4"/>
  <c r="C25" i="4"/>
  <c r="B25" i="4"/>
  <c r="A25" i="4"/>
  <c r="M24" i="4"/>
  <c r="L24" i="4"/>
  <c r="K24" i="4"/>
  <c r="M24" i="3"/>
  <c r="J24" i="4"/>
  <c r="L24" i="3"/>
  <c r="I24" i="4"/>
  <c r="H24" i="4"/>
  <c r="G24" i="4"/>
  <c r="F24" i="4"/>
  <c r="E24" i="4"/>
  <c r="D24" i="4"/>
  <c r="C24" i="4"/>
  <c r="B24" i="4"/>
  <c r="A24" i="4"/>
  <c r="M23" i="4"/>
  <c r="L23" i="4"/>
  <c r="K23" i="4"/>
  <c r="M23" i="3"/>
  <c r="J23" i="4"/>
  <c r="L23" i="3"/>
  <c r="I23" i="4"/>
  <c r="H23" i="4"/>
  <c r="G23" i="4"/>
  <c r="F23" i="4"/>
  <c r="E23" i="4"/>
  <c r="D23" i="4"/>
  <c r="C23" i="4"/>
  <c r="B23" i="4"/>
  <c r="A23" i="4"/>
  <c r="M22" i="4"/>
  <c r="L22" i="4"/>
  <c r="K22" i="4"/>
  <c r="M22" i="3"/>
  <c r="J22" i="4"/>
  <c r="L22" i="3"/>
  <c r="I22" i="4"/>
  <c r="H22" i="4"/>
  <c r="G22" i="4"/>
  <c r="F22" i="4"/>
  <c r="E22" i="4"/>
  <c r="D22" i="4"/>
  <c r="C22" i="4"/>
  <c r="B22" i="4"/>
  <c r="A22" i="4"/>
  <c r="M21" i="4"/>
  <c r="L21" i="4"/>
  <c r="K21" i="4"/>
  <c r="M21" i="3"/>
  <c r="J21" i="4"/>
  <c r="L21" i="3"/>
  <c r="I21" i="4"/>
  <c r="H21" i="4"/>
  <c r="G21" i="4"/>
  <c r="F21" i="4"/>
  <c r="E21" i="4"/>
  <c r="D21" i="4"/>
  <c r="C21" i="4"/>
  <c r="B21" i="4"/>
  <c r="A21" i="4"/>
  <c r="M20" i="4"/>
  <c r="L20" i="4"/>
  <c r="K20" i="4"/>
  <c r="M20" i="3"/>
  <c r="J20" i="4"/>
  <c r="L20" i="3"/>
  <c r="I20" i="4"/>
  <c r="H20" i="4"/>
  <c r="G20" i="4"/>
  <c r="F20" i="4"/>
  <c r="E20" i="4"/>
  <c r="D20" i="4"/>
  <c r="C20" i="4"/>
  <c r="B20" i="4"/>
  <c r="A20" i="4"/>
  <c r="M19" i="4"/>
  <c r="L19" i="4"/>
  <c r="K19" i="4"/>
  <c r="M19" i="3"/>
  <c r="J19" i="4"/>
  <c r="L19" i="3"/>
  <c r="I19" i="4"/>
  <c r="H19" i="4"/>
  <c r="G19" i="4"/>
  <c r="F19" i="4"/>
  <c r="E19" i="4"/>
  <c r="D19" i="4"/>
  <c r="C19" i="4"/>
  <c r="B19" i="4"/>
  <c r="A19" i="4"/>
  <c r="M18" i="4"/>
  <c r="L18" i="4"/>
  <c r="K18" i="4"/>
  <c r="M18" i="3"/>
  <c r="J18" i="4"/>
  <c r="L18" i="3"/>
  <c r="I18" i="4"/>
  <c r="H18" i="4"/>
  <c r="G18" i="4"/>
  <c r="F18" i="4"/>
  <c r="E18" i="4"/>
  <c r="D18" i="4"/>
  <c r="C18" i="4"/>
  <c r="B18" i="4"/>
  <c r="A18" i="4"/>
  <c r="M17" i="4"/>
  <c r="L17" i="4"/>
  <c r="K17" i="4"/>
  <c r="M17" i="3"/>
  <c r="J17" i="4"/>
  <c r="L17" i="3"/>
  <c r="I17" i="4"/>
  <c r="H17" i="4"/>
  <c r="G17" i="4"/>
  <c r="F17" i="4"/>
  <c r="E17" i="4"/>
  <c r="D17" i="4"/>
  <c r="C17" i="4"/>
  <c r="B17" i="4"/>
  <c r="A17" i="4"/>
  <c r="M16" i="4"/>
  <c r="L16" i="4"/>
  <c r="K16" i="4"/>
  <c r="M16" i="3"/>
  <c r="J16" i="4"/>
  <c r="L16" i="3"/>
  <c r="I16" i="4"/>
  <c r="H16" i="4"/>
  <c r="G16" i="4"/>
  <c r="F16" i="4"/>
  <c r="E16" i="4"/>
  <c r="D16" i="4"/>
  <c r="C16" i="4"/>
  <c r="B16" i="4"/>
  <c r="A16" i="4"/>
  <c r="M15" i="4"/>
  <c r="L15" i="4"/>
  <c r="K15" i="4"/>
  <c r="M15" i="3"/>
  <c r="J15" i="4"/>
  <c r="L15" i="3"/>
  <c r="I15" i="4"/>
  <c r="H15" i="4"/>
  <c r="G15" i="4"/>
  <c r="F15" i="4"/>
  <c r="E15" i="4"/>
  <c r="D15" i="4"/>
  <c r="C15" i="4"/>
  <c r="B15" i="4"/>
  <c r="A15" i="4"/>
  <c r="M14" i="4"/>
  <c r="L14" i="4"/>
  <c r="K14" i="4"/>
  <c r="M14" i="3"/>
  <c r="J14" i="4"/>
  <c r="L14" i="3"/>
  <c r="I14" i="4"/>
  <c r="H14" i="4"/>
  <c r="G14" i="4"/>
  <c r="F14" i="4"/>
  <c r="E14" i="4"/>
  <c r="D14" i="4"/>
  <c r="C14" i="4"/>
  <c r="B14" i="4"/>
  <c r="A14" i="4"/>
  <c r="M13" i="4"/>
  <c r="L13" i="4"/>
  <c r="K13" i="4"/>
  <c r="M13" i="3"/>
  <c r="J13" i="4"/>
  <c r="L13" i="3"/>
  <c r="I13" i="4"/>
  <c r="H13" i="4"/>
  <c r="G13" i="4"/>
  <c r="F13" i="4"/>
  <c r="E13" i="4"/>
  <c r="D13" i="4"/>
  <c r="C13" i="4"/>
  <c r="B13" i="4"/>
  <c r="A13" i="4"/>
  <c r="M12" i="4"/>
  <c r="L12" i="4"/>
  <c r="K12" i="4"/>
  <c r="M12" i="3"/>
  <c r="J12" i="4"/>
  <c r="L12" i="3"/>
  <c r="I12" i="4"/>
  <c r="H12" i="4"/>
  <c r="G12" i="4"/>
  <c r="F12" i="4"/>
  <c r="E12" i="4"/>
  <c r="D12" i="4"/>
  <c r="C12" i="4"/>
  <c r="B12" i="4"/>
  <c r="A12" i="4"/>
  <c r="M11" i="4"/>
  <c r="L11" i="4"/>
  <c r="K11" i="4"/>
  <c r="M11" i="3"/>
  <c r="J11" i="4"/>
  <c r="L11" i="3"/>
  <c r="I11" i="4"/>
  <c r="H11" i="4"/>
  <c r="G11" i="4"/>
  <c r="F11" i="4"/>
  <c r="E11" i="4"/>
  <c r="D11" i="4"/>
  <c r="C11" i="4"/>
  <c r="B11" i="4"/>
  <c r="A11" i="4"/>
  <c r="M10" i="4"/>
  <c r="L10" i="4"/>
  <c r="K10" i="4"/>
  <c r="M10" i="3"/>
  <c r="J10" i="4"/>
  <c r="L10" i="3"/>
  <c r="I10" i="4"/>
  <c r="H10" i="4"/>
  <c r="G10" i="4"/>
  <c r="F10" i="4"/>
  <c r="E10" i="4"/>
  <c r="D10" i="4"/>
  <c r="C10" i="4"/>
  <c r="B10" i="4"/>
  <c r="A10" i="4"/>
  <c r="M9" i="4"/>
  <c r="L9" i="4"/>
  <c r="K9" i="4"/>
  <c r="M9" i="3"/>
  <c r="J9" i="4"/>
  <c r="L9" i="3"/>
  <c r="I9" i="4"/>
  <c r="H9" i="4"/>
  <c r="G9" i="4"/>
  <c r="F9" i="4"/>
  <c r="E9" i="4"/>
  <c r="D9" i="4"/>
  <c r="C9" i="4"/>
  <c r="B9" i="4"/>
  <c r="A9" i="4"/>
  <c r="M8" i="4"/>
  <c r="L8" i="4"/>
  <c r="K8" i="4"/>
  <c r="M8" i="3"/>
  <c r="J8" i="4"/>
  <c r="L8" i="3"/>
  <c r="I8" i="4"/>
  <c r="H8" i="4"/>
  <c r="G8" i="4"/>
  <c r="F8" i="4"/>
  <c r="E8" i="4"/>
  <c r="D8" i="4"/>
  <c r="C8" i="4"/>
  <c r="B8" i="4"/>
  <c r="A8" i="4"/>
  <c r="M7" i="4"/>
  <c r="L7" i="4"/>
  <c r="K7" i="4"/>
  <c r="M7" i="3"/>
  <c r="J7" i="4"/>
  <c r="L7" i="3"/>
  <c r="I7" i="4"/>
  <c r="H7" i="4"/>
  <c r="G7" i="4"/>
  <c r="F7" i="4"/>
  <c r="E7" i="4"/>
  <c r="D7" i="4"/>
  <c r="C7" i="4"/>
  <c r="B7" i="4"/>
  <c r="A7" i="4"/>
  <c r="M6" i="4"/>
  <c r="L6" i="4"/>
  <c r="K6" i="4"/>
  <c r="M6" i="3"/>
  <c r="J6" i="4"/>
  <c r="L6" i="3"/>
  <c r="I6" i="4"/>
  <c r="H6" i="4"/>
  <c r="G6" i="4"/>
  <c r="F6" i="4"/>
  <c r="E6" i="4"/>
  <c r="D6" i="4"/>
  <c r="C6" i="4"/>
  <c r="B6" i="4"/>
  <c r="A6" i="4"/>
  <c r="M5" i="4"/>
  <c r="L5" i="4"/>
  <c r="K5" i="4"/>
  <c r="M5" i="3"/>
  <c r="J5" i="4"/>
  <c r="L5" i="3"/>
  <c r="I5" i="4"/>
  <c r="H5" i="4"/>
  <c r="G5" i="4"/>
  <c r="F5" i="4"/>
  <c r="E5" i="4"/>
  <c r="D5" i="4"/>
  <c r="C5" i="4"/>
  <c r="B5" i="4"/>
  <c r="A5" i="4"/>
  <c r="M4" i="4"/>
  <c r="L4" i="4"/>
  <c r="K4" i="4"/>
  <c r="M4" i="3"/>
  <c r="J4" i="4"/>
  <c r="L4" i="3"/>
  <c r="I4" i="4"/>
  <c r="H4" i="4"/>
  <c r="G4" i="4"/>
  <c r="F4" i="4"/>
  <c r="E4" i="4"/>
  <c r="D4" i="4"/>
  <c r="C4" i="4"/>
  <c r="B4" i="4"/>
  <c r="A4" i="4"/>
</calcChain>
</file>

<file path=xl/sharedStrings.xml><?xml version="1.0" encoding="utf-8"?>
<sst xmlns="http://schemas.openxmlformats.org/spreadsheetml/2006/main" count="177" uniqueCount="134">
  <si>
    <t>MAHALLELER</t>
  </si>
  <si>
    <t>MÜDÜRLÜKLER</t>
  </si>
  <si>
    <t>ŞİKAYET_TURLERI</t>
  </si>
  <si>
    <t>30 Ekim Mahallesi</t>
  </si>
  <si>
    <t>Fen İşleri Müdürlüğü</t>
  </si>
  <si>
    <t>Logar Tıkanıklığı</t>
  </si>
  <si>
    <t>Alpaslan Mahallesi</t>
  </si>
  <si>
    <t>Su ve Kanalizasyon İşleri Müdürlüğü</t>
  </si>
  <si>
    <t>Vidanjör Talebi</t>
  </si>
  <si>
    <t>Atatürk Mahallesi</t>
  </si>
  <si>
    <t>Temizlik İşleri Müdürlüğü</t>
  </si>
  <si>
    <t>Su Arızası</t>
  </si>
  <si>
    <t>Aydınlıkevler Mahallesi</t>
  </si>
  <si>
    <t>Zabıta Müdürlüğü</t>
  </si>
  <si>
    <t>Yol Bozukluğu</t>
  </si>
  <si>
    <t>Bahçelievler Mahallesi</t>
  </si>
  <si>
    <t>Park ve Bahçeler Müdürlüğü</t>
  </si>
  <si>
    <t>Çöp Toplama</t>
  </si>
  <si>
    <t>Bayrampaşa Mahallesi</t>
  </si>
  <si>
    <t>Ulaşım Hizmetleri Müdürlüğü</t>
  </si>
  <si>
    <t>Park Bakım</t>
  </si>
  <si>
    <t>Bülbül Mahallesi</t>
  </si>
  <si>
    <t>Karsbel Müdürlüğü</t>
  </si>
  <si>
    <t>Zabıta Şikayeti</t>
  </si>
  <si>
    <t>Cumhuriyet Mahallesi</t>
  </si>
  <si>
    <t>Ulaşım Sorunu</t>
  </si>
  <si>
    <t>Fevzi Çakmak Mahallesi</t>
  </si>
  <si>
    <t>Asfalt Onarım</t>
  </si>
  <si>
    <t>Hafızpaşa Mahallesi</t>
  </si>
  <si>
    <t>Diğer</t>
  </si>
  <si>
    <t>Halitpaşa Mahallesi</t>
  </si>
  <si>
    <t>İstasyon Mahallesi</t>
  </si>
  <si>
    <t>Kaleiçi Mahallesi</t>
  </si>
  <si>
    <t>Karadağ Mahallesi</t>
  </si>
  <si>
    <t>Merkez</t>
  </si>
  <si>
    <t>Ortakapı Mahallesi</t>
  </si>
  <si>
    <t>Örenek Mahallesi</t>
  </si>
  <si>
    <t>Paşaçayır Mahallesi</t>
  </si>
  <si>
    <t>Sukapı Mahallesi</t>
  </si>
  <si>
    <t>Şehitler Mahallesi</t>
  </si>
  <si>
    <t>Yenimahalle</t>
  </si>
  <si>
    <t>Yenişehir Mahallesi</t>
  </si>
  <si>
    <t>Yusufpaşa Mahallesi</t>
  </si>
  <si>
    <t>TANIMLAMALAR — Araç-Şoför Zimmet ve Personel Listesi</t>
  </si>
  <si>
    <t>Araç plakası, şoför adı ve telefon numarasını manuel giriniz. Şikayet Kayıt sayfasında plaka seçildiğinde şoför ve telefon otomatik gelecektir.</t>
  </si>
  <si>
    <t>ARAÇ — ŞOFÖR ZİMMET LİSTESİ</t>
  </si>
  <si>
    <t>PERSONEL LİSTESİ</t>
  </si>
  <si>
    <t>PLAKA</t>
  </si>
  <si>
    <t>ARAÇ CİNSİ / TİPİ</t>
  </si>
  <si>
    <t>ATANAN ŞOFÖR</t>
  </si>
  <si>
    <t>ŞOFÖR TELEFONU</t>
  </si>
  <si>
    <t>MÜDÜRLÜK / BİRİM</t>
  </si>
  <si>
    <t>ADI SOYADI</t>
  </si>
  <si>
    <t>TELEFON</t>
  </si>
  <si>
    <t>GÖREV / UNVAN</t>
  </si>
  <si>
    <t>NOT</t>
  </si>
  <si>
    <t>KARS BELEDİYESİ — MERKEZ ŞİKAYET &amp; İŞ TAKİP SİSTEMİ</t>
  </si>
  <si>
    <t>Her satır = 1 şikayet. Plaka girildiğinde Şoför ve Telefon otomatik dolar. Durum 'Kapatıldı' seçildiğinde kayıt Kapalı İşler'e geçer.</t>
  </si>
  <si>
    <t>Şikayet No</t>
  </si>
  <si>
    <t>Kayıt Tarihi</t>
  </si>
  <si>
    <t>Kayıt Saati</t>
  </si>
  <si>
    <t>Arayan Kişi</t>
  </si>
  <si>
    <t>Telefon</t>
  </si>
  <si>
    <t>Mahalle</t>
  </si>
  <si>
    <t>Açık Adres</t>
  </si>
  <si>
    <t>Şikayet Türü</t>
  </si>
  <si>
    <t>Açıklama</t>
  </si>
  <si>
    <t>Yönlendirilen Müdürlük</t>
  </si>
  <si>
    <t>Görevlendirilen Araç (Plaka)</t>
  </si>
  <si>
    <t>Şoför Adı</t>
  </si>
  <si>
    <t>Şoför Telefonu</t>
  </si>
  <si>
    <t>Görevlendirilen Personel</t>
  </si>
  <si>
    <t>Öncelik</t>
  </si>
  <si>
    <t>Durum</t>
  </si>
  <si>
    <t>Kapanış Tarihi</t>
  </si>
  <si>
    <t>Çözüm Notu</t>
  </si>
  <si>
    <t>AKTİF İŞLER — Açık ve Devam Eden Şikayetler</t>
  </si>
  <si>
    <t>ŞİKAYET KAYIT sayfasından otomatik beslenir. Durum 'Kapatıldı' olanlar bu listede görünmez.</t>
  </si>
  <si>
    <t>Tarih</t>
  </si>
  <si>
    <t>Arayan</t>
  </si>
  <si>
    <t>Müdürlük</t>
  </si>
  <si>
    <t>Plaka</t>
  </si>
  <si>
    <t>Şoför</t>
  </si>
  <si>
    <t>Şoför Tel.</t>
  </si>
  <si>
    <t>Personel</t>
  </si>
  <si>
    <t>KAPALI İŞLER — Tamamlanan Şikayetler Arşivi</t>
  </si>
  <si>
    <t>Durum 'Kapatıldı' olan kayıtlar buraya otomatik yansır. Onaylayan kişiyi seçiniz.</t>
  </si>
  <si>
    <t>Onaylayan</t>
  </si>
  <si>
    <t>KARS BELEDİYESİ — ŞİKAYET YÖNETİM İSTATİSTİKLERİ</t>
  </si>
  <si>
    <t>GENEL ÖZET</t>
  </si>
  <si>
    <t>Toplam Şikayet Kaydı</t>
  </si>
  <si>
    <t>Açık İşler</t>
  </si>
  <si>
    <t>Devam Eden İşler</t>
  </si>
  <si>
    <t>Kapatılan İşler</t>
  </si>
  <si>
    <t>Çok Acil İşler</t>
  </si>
  <si>
    <t>Acil İşler</t>
  </si>
  <si>
    <t>MÜDÜRLÜK BAZLI ŞİKAYET DAĞILIMI</t>
  </si>
  <si>
    <t>Toplam</t>
  </si>
  <si>
    <t>Açık</t>
  </si>
  <si>
    <t>Devam Ediyor</t>
  </si>
  <si>
    <t>Kapatıldı</t>
  </si>
  <si>
    <t>Çok Acil</t>
  </si>
  <si>
    <t>Acil</t>
  </si>
  <si>
    <t>Mahalle Yoğunluğu</t>
  </si>
  <si>
    <t>ŞİKAYET TÜRÜ DAĞILIMI</t>
  </si>
  <si>
    <t>KARS BELEDİYESİ</t>
  </si>
  <si>
    <t>Şikayet / İş Emri Raporu</t>
  </si>
  <si>
    <t>ŞİKAYET NO GİRİŞ ALANI — Şikayet numarasını girerek raporu otomatik doldurun</t>
  </si>
  <si>
    <t>Şikayet No Giriniz:</t>
  </si>
  <si>
    <t>Onaylayan:</t>
  </si>
  <si>
    <t>ŞİKAYET BİLGİLERİ</t>
  </si>
  <si>
    <t>Şikayet No:</t>
  </si>
  <si>
    <t>Müdürlük:</t>
  </si>
  <si>
    <t>Kayıt Tarihi:</t>
  </si>
  <si>
    <t>Şikayet Türü:</t>
  </si>
  <si>
    <t>Kayıt Saati:</t>
  </si>
  <si>
    <t>Öncelik:</t>
  </si>
  <si>
    <t>Arayan Kişi:</t>
  </si>
  <si>
    <t>Durum:</t>
  </si>
  <si>
    <t>Telefon:</t>
  </si>
  <si>
    <t>Kapanış Tarihi:</t>
  </si>
  <si>
    <t>KONUM BİLGİLERİ</t>
  </si>
  <si>
    <t>Mahalle:</t>
  </si>
  <si>
    <t>Açık Adres:</t>
  </si>
  <si>
    <t>ŞİKAYET AÇIKLAMASI</t>
  </si>
  <si>
    <t>GÖREVLENDİRME BİLGİLERİ</t>
  </si>
  <si>
    <t>Araç Plakası:</t>
  </si>
  <si>
    <t>Görevlendirilen Personel:</t>
  </si>
  <si>
    <t>Şoför Adı:</t>
  </si>
  <si>
    <t>Şoför Telefonu:</t>
  </si>
  <si>
    <t>Çözüm Notu:</t>
  </si>
  <si>
    <t>ONAY ve İMZA</t>
  </si>
  <si>
    <t>Hazırlayan
_____________________</t>
  </si>
  <si>
    <t>Kontrol Eden
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</si>
</sst>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b/>
      <sz val="13"/>
      <color rgb="FF1F3864"/>
      <name val="Arial"/>
      <charset val="1"/>
    </font>
    <font>
      <b/>
      <sz val="10"/>
      <color rgb="FF000000"/>
      <name val="Arial"/>
      <charset val="1"/>
    </font>
    <font>
      <b/>
      <sz val="18"/>
      <color rgb="FFFFFFFF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b/>
      <sz val="13"/>
      <color rgb="FFC00000"/>
      <name val="Arial"/>
      <charset val="1"/>
    </font>
    <font>
      <b/>
      <sz val="11"/>
      <color rgb="FF1F3864"/>
      <name val="Arial"/>
      <charset val="1"/>
    </font>
    <font>
      <sz val="8"/>
      <color rgb="FFFFFFFF"/>
      <name val="Arial"/>
      <charset val="1"/>
    </font>
    <font>
      <sz val="11"/>
      <color rgb="FF000000"/>
      <name val="Arial"/>
      <charset val="1"/>
    </font>
    <font>
      <sz val="8"/>
      <color rgb="FF595959"/>
      <name val="Arial"/>
      <charset val="1"/>
    </font>
    <font>
      <b/>
      <sz val="10"/>
      <color rgb="FFFF0000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ont="1" applyAlignme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center" vertical="center"/>
    </xf>
    <xf numFmtId="20" fontId="5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7" borderId="0" xfId="0" applyFont="1" applyFill="1" applyAlignment="1"/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/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/>
    <xf numFmtId="0" fontId="5" fillId="7" borderId="1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5" fillId="10" borderId="2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sz val="10"/>
        <color rgb="FF806000"/>
        <name val="Arial"/>
      </font>
      <fill>
        <patternFill>
          <bgColor rgb="FFFFF2CC"/>
        </patternFill>
      </fill>
    </dxf>
    <dxf>
      <font>
        <b/>
        <sz val="10"/>
        <color rgb="FFC00000"/>
        <name val="Arial"/>
      </font>
      <fill>
        <patternFill>
          <bgColor rgb="FFFCE4D6"/>
        </patternFill>
      </fill>
    </dxf>
    <dxf>
      <font>
        <b/>
        <sz val="10"/>
        <color rgb="FFC00000"/>
        <name val="Arial"/>
      </font>
      <fill>
        <patternFill>
          <bgColor rgb="FFFCE4D6"/>
        </patternFill>
      </fill>
    </dxf>
    <dxf>
      <font>
        <b/>
        <sz val="10"/>
        <color rgb="FF375623"/>
        <name val="Arial"/>
      </font>
      <fill>
        <patternFill>
          <bgColor rgb="FFE2EFDA"/>
        </patternFill>
      </fill>
    </dxf>
    <dxf>
      <font>
        <b/>
        <sz val="10"/>
        <color rgb="FF806000"/>
        <name val="Arial"/>
      </font>
      <fill>
        <patternFill>
          <bgColor rgb="FFFFF2CC"/>
        </patternFill>
      </fill>
    </dxf>
    <dxf>
      <font>
        <b/>
        <sz val="10"/>
        <color rgb="FFC00000"/>
        <name val="Arial"/>
      </font>
      <fill>
        <patternFill>
          <bgColor rgb="FFFCE4D6"/>
        </patternFill>
      </fill>
    </dxf>
    <dxf>
      <font>
        <b/>
        <sz val="10"/>
        <color rgb="FFE36B22"/>
        <name val="Arial"/>
      </font>
      <fill>
        <patternFill>
          <bgColor rgb="FFFCE4D6"/>
        </patternFill>
      </fill>
    </dxf>
    <dxf>
      <font>
        <b/>
        <sz val="10"/>
        <color rgb="FFC00000"/>
        <name val="Arial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36B22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İSTATİSTİK!$A$14</c:f>
              <c:strCache>
                <c:ptCount val="1"/>
                <c:pt idx="0">
                  <c:v>Fen İşleri Müdürlüğü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İSTATİSTİK!$B$13:$H$13</c:f>
              <c:strCache>
                <c:ptCount val="7"/>
                <c:pt idx="0">
                  <c:v>Toplam</c:v>
                </c:pt>
                <c:pt idx="1">
                  <c:v>Açık</c:v>
                </c:pt>
                <c:pt idx="2">
                  <c:v>Devam Ediyor</c:v>
                </c:pt>
                <c:pt idx="3">
                  <c:v>Kapatıldı</c:v>
                </c:pt>
                <c:pt idx="4">
                  <c:v>Çok Acil</c:v>
                </c:pt>
                <c:pt idx="5">
                  <c:v>Acil</c:v>
                </c:pt>
                <c:pt idx="6">
                  <c:v>Mahalle Yoğunluğu</c:v>
                </c:pt>
              </c:strCache>
            </c:strRef>
          </c:cat>
          <c:val>
            <c:numRef>
              <c:f>İSTATİSTİK!$B$14:$H$14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2-42AB-AF72-D3895D671BCE}"/>
            </c:ext>
          </c:extLst>
        </c:ser>
        <c:ser>
          <c:idx val="1"/>
          <c:order val="1"/>
          <c:tx>
            <c:strRef>
              <c:f>İSTATİSTİK!$A$15</c:f>
              <c:strCache>
                <c:ptCount val="1"/>
                <c:pt idx="0">
                  <c:v>Su ve Kanalizasyon İşleri Müdürlüğü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İSTATİSTİK!$B$13:$H$13</c:f>
              <c:strCache>
                <c:ptCount val="7"/>
                <c:pt idx="0">
                  <c:v>Toplam</c:v>
                </c:pt>
                <c:pt idx="1">
                  <c:v>Açık</c:v>
                </c:pt>
                <c:pt idx="2">
                  <c:v>Devam Ediyor</c:v>
                </c:pt>
                <c:pt idx="3">
                  <c:v>Kapatıldı</c:v>
                </c:pt>
                <c:pt idx="4">
                  <c:v>Çok Acil</c:v>
                </c:pt>
                <c:pt idx="5">
                  <c:v>Acil</c:v>
                </c:pt>
                <c:pt idx="6">
                  <c:v>Mahalle Yoğunluğu</c:v>
                </c:pt>
              </c:strCache>
            </c:strRef>
          </c:cat>
          <c:val>
            <c:numRef>
              <c:f>İSTATİSTİK!$B$15:$H$15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2-42AB-AF72-D3895D671BCE}"/>
            </c:ext>
          </c:extLst>
        </c:ser>
        <c:ser>
          <c:idx val="2"/>
          <c:order val="2"/>
          <c:tx>
            <c:strRef>
              <c:f>İSTATİSTİK!$A$16</c:f>
              <c:strCache>
                <c:ptCount val="1"/>
                <c:pt idx="0">
                  <c:v>Temizlik İşleri Müdürlüğü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İSTATİSTİK!$B$13:$H$13</c:f>
              <c:strCache>
                <c:ptCount val="7"/>
                <c:pt idx="0">
                  <c:v>Toplam</c:v>
                </c:pt>
                <c:pt idx="1">
                  <c:v>Açık</c:v>
                </c:pt>
                <c:pt idx="2">
                  <c:v>Devam Ediyor</c:v>
                </c:pt>
                <c:pt idx="3">
                  <c:v>Kapatıldı</c:v>
                </c:pt>
                <c:pt idx="4">
                  <c:v>Çok Acil</c:v>
                </c:pt>
                <c:pt idx="5">
                  <c:v>Acil</c:v>
                </c:pt>
                <c:pt idx="6">
                  <c:v>Mahalle Yoğunluğu</c:v>
                </c:pt>
              </c:strCache>
            </c:strRef>
          </c:cat>
          <c:val>
            <c:numRef>
              <c:f>İSTATİSTİK!$B$16:$H$16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62-42AB-AF72-D3895D671BCE}"/>
            </c:ext>
          </c:extLst>
        </c:ser>
        <c:ser>
          <c:idx val="3"/>
          <c:order val="3"/>
          <c:tx>
            <c:strRef>
              <c:f>İSTATİSTİK!$A$17</c:f>
              <c:strCache>
                <c:ptCount val="1"/>
                <c:pt idx="0">
                  <c:v>Zabıta Müdürlüğü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İSTATİSTİK!$B$13:$H$13</c:f>
              <c:strCache>
                <c:ptCount val="7"/>
                <c:pt idx="0">
                  <c:v>Toplam</c:v>
                </c:pt>
                <c:pt idx="1">
                  <c:v>Açık</c:v>
                </c:pt>
                <c:pt idx="2">
                  <c:v>Devam Ediyor</c:v>
                </c:pt>
                <c:pt idx="3">
                  <c:v>Kapatıldı</c:v>
                </c:pt>
                <c:pt idx="4">
                  <c:v>Çok Acil</c:v>
                </c:pt>
                <c:pt idx="5">
                  <c:v>Acil</c:v>
                </c:pt>
                <c:pt idx="6">
                  <c:v>Mahalle Yoğunluğu</c:v>
                </c:pt>
              </c:strCache>
            </c:strRef>
          </c:cat>
          <c:val>
            <c:numRef>
              <c:f>İSTATİSTİK!$B$17:$H$17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62-42AB-AF72-D3895D671BCE}"/>
            </c:ext>
          </c:extLst>
        </c:ser>
        <c:ser>
          <c:idx val="4"/>
          <c:order val="4"/>
          <c:tx>
            <c:strRef>
              <c:f>İSTATİSTİK!$A$18</c:f>
              <c:strCache>
                <c:ptCount val="1"/>
                <c:pt idx="0">
                  <c:v>Park ve Bahçeler Müdürlüğü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İSTATİSTİK!$B$13:$H$13</c:f>
              <c:strCache>
                <c:ptCount val="7"/>
                <c:pt idx="0">
                  <c:v>Toplam</c:v>
                </c:pt>
                <c:pt idx="1">
                  <c:v>Açık</c:v>
                </c:pt>
                <c:pt idx="2">
                  <c:v>Devam Ediyor</c:v>
                </c:pt>
                <c:pt idx="3">
                  <c:v>Kapatıldı</c:v>
                </c:pt>
                <c:pt idx="4">
                  <c:v>Çok Acil</c:v>
                </c:pt>
                <c:pt idx="5">
                  <c:v>Acil</c:v>
                </c:pt>
                <c:pt idx="6">
                  <c:v>Mahalle Yoğunluğu</c:v>
                </c:pt>
              </c:strCache>
            </c:strRef>
          </c:cat>
          <c:val>
            <c:numRef>
              <c:f>İSTATİSTİK!$B$18:$H$18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62-42AB-AF72-D3895D671BCE}"/>
            </c:ext>
          </c:extLst>
        </c:ser>
        <c:ser>
          <c:idx val="5"/>
          <c:order val="5"/>
          <c:tx>
            <c:strRef>
              <c:f>İSTATİSTİK!$A$19</c:f>
              <c:strCache>
                <c:ptCount val="1"/>
                <c:pt idx="0">
                  <c:v>Ulaşım Hizmetleri Müdürlüğü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İSTATİSTİK!$B$13:$H$13</c:f>
              <c:strCache>
                <c:ptCount val="7"/>
                <c:pt idx="0">
                  <c:v>Toplam</c:v>
                </c:pt>
                <c:pt idx="1">
                  <c:v>Açık</c:v>
                </c:pt>
                <c:pt idx="2">
                  <c:v>Devam Ediyor</c:v>
                </c:pt>
                <c:pt idx="3">
                  <c:v>Kapatıldı</c:v>
                </c:pt>
                <c:pt idx="4">
                  <c:v>Çok Acil</c:v>
                </c:pt>
                <c:pt idx="5">
                  <c:v>Acil</c:v>
                </c:pt>
                <c:pt idx="6">
                  <c:v>Mahalle Yoğunluğu</c:v>
                </c:pt>
              </c:strCache>
            </c:strRef>
          </c:cat>
          <c:val>
            <c:numRef>
              <c:f>İSTATİSTİK!$B$19:$H$19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62-42AB-AF72-D3895D671BCE}"/>
            </c:ext>
          </c:extLst>
        </c:ser>
        <c:ser>
          <c:idx val="6"/>
          <c:order val="6"/>
          <c:tx>
            <c:strRef>
              <c:f>İSTATİSTİK!$A$20</c:f>
              <c:strCache>
                <c:ptCount val="1"/>
                <c:pt idx="0">
                  <c:v>Karsbel Müdürlüğü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İSTATİSTİK!$B$13:$H$13</c:f>
              <c:strCache>
                <c:ptCount val="7"/>
                <c:pt idx="0">
                  <c:v>Toplam</c:v>
                </c:pt>
                <c:pt idx="1">
                  <c:v>Açık</c:v>
                </c:pt>
                <c:pt idx="2">
                  <c:v>Devam Ediyor</c:v>
                </c:pt>
                <c:pt idx="3">
                  <c:v>Kapatıldı</c:v>
                </c:pt>
                <c:pt idx="4">
                  <c:v>Çok Acil</c:v>
                </c:pt>
                <c:pt idx="5">
                  <c:v>Acil</c:v>
                </c:pt>
                <c:pt idx="6">
                  <c:v>Mahalle Yoğunluğu</c:v>
                </c:pt>
              </c:strCache>
            </c:strRef>
          </c:cat>
          <c:val>
            <c:numRef>
              <c:f>İSTATİSTİK!$B$20:$H$20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62-42AB-AF72-D3895D671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561567"/>
        <c:axId val="899562399"/>
      </c:barChart>
      <c:catAx>
        <c:axId val="89956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9562399"/>
        <c:crosses val="autoZero"/>
        <c:auto val="1"/>
        <c:lblAlgn val="ctr"/>
        <c:lblOffset val="100"/>
        <c:noMultiLvlLbl val="0"/>
      </c:catAx>
      <c:valAx>
        <c:axId val="89956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956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İSTATİSTİK!$B$22:$B$23</c:f>
              <c:strCache>
                <c:ptCount val="2"/>
                <c:pt idx="0">
                  <c:v>ŞİKAYET TÜRÜ DAĞILIMI</c:v>
                </c:pt>
                <c:pt idx="1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İSTATİSTİK!$A$24:$A$33</c:f>
              <c:strCache>
                <c:ptCount val="10"/>
                <c:pt idx="0">
                  <c:v>Logar Tıkanıklığı</c:v>
                </c:pt>
                <c:pt idx="1">
                  <c:v>Vidanjör Talebi</c:v>
                </c:pt>
                <c:pt idx="2">
                  <c:v>Su Arızası</c:v>
                </c:pt>
                <c:pt idx="3">
                  <c:v>Yol Bozukluğu</c:v>
                </c:pt>
                <c:pt idx="4">
                  <c:v>Çöp Toplama</c:v>
                </c:pt>
                <c:pt idx="5">
                  <c:v>Park Bakım</c:v>
                </c:pt>
                <c:pt idx="6">
                  <c:v>Zabıta Şikayeti</c:v>
                </c:pt>
                <c:pt idx="7">
                  <c:v>Ulaşım Sorunu</c:v>
                </c:pt>
                <c:pt idx="8">
                  <c:v>Asfalt Onarım</c:v>
                </c:pt>
                <c:pt idx="9">
                  <c:v>Diğer</c:v>
                </c:pt>
              </c:strCache>
            </c:strRef>
          </c:cat>
          <c:val>
            <c:numRef>
              <c:f>İSTATİSTİK!$B$24:$B$33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5-45A7-97E4-C149DCE74B4E}"/>
            </c:ext>
          </c:extLst>
        </c:ser>
        <c:ser>
          <c:idx val="1"/>
          <c:order val="1"/>
          <c:tx>
            <c:strRef>
              <c:f>İSTATİSTİK!$C$22:$C$23</c:f>
              <c:strCache>
                <c:ptCount val="2"/>
                <c:pt idx="0">
                  <c:v>ŞİKAYET TÜRÜ DAĞILIMI</c:v>
                </c:pt>
                <c:pt idx="1">
                  <c:v>Açık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İSTATİSTİK!$A$24:$A$33</c:f>
              <c:strCache>
                <c:ptCount val="10"/>
                <c:pt idx="0">
                  <c:v>Logar Tıkanıklığı</c:v>
                </c:pt>
                <c:pt idx="1">
                  <c:v>Vidanjör Talebi</c:v>
                </c:pt>
                <c:pt idx="2">
                  <c:v>Su Arızası</c:v>
                </c:pt>
                <c:pt idx="3">
                  <c:v>Yol Bozukluğu</c:v>
                </c:pt>
                <c:pt idx="4">
                  <c:v>Çöp Toplama</c:v>
                </c:pt>
                <c:pt idx="5">
                  <c:v>Park Bakım</c:v>
                </c:pt>
                <c:pt idx="6">
                  <c:v>Zabıta Şikayeti</c:v>
                </c:pt>
                <c:pt idx="7">
                  <c:v>Ulaşım Sorunu</c:v>
                </c:pt>
                <c:pt idx="8">
                  <c:v>Asfalt Onarım</c:v>
                </c:pt>
                <c:pt idx="9">
                  <c:v>Diğer</c:v>
                </c:pt>
              </c:strCache>
            </c:strRef>
          </c:cat>
          <c:val>
            <c:numRef>
              <c:f>İSTATİSTİK!$C$24:$C$33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5-45A7-97E4-C149DCE74B4E}"/>
            </c:ext>
          </c:extLst>
        </c:ser>
        <c:ser>
          <c:idx val="2"/>
          <c:order val="2"/>
          <c:tx>
            <c:strRef>
              <c:f>İSTATİSTİK!$D$22:$D$23</c:f>
              <c:strCache>
                <c:ptCount val="2"/>
                <c:pt idx="0">
                  <c:v>ŞİKAYET TÜRÜ DAĞILIMI</c:v>
                </c:pt>
                <c:pt idx="1">
                  <c:v>Kapatıldı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İSTATİSTİK!$A$24:$A$33</c:f>
              <c:strCache>
                <c:ptCount val="10"/>
                <c:pt idx="0">
                  <c:v>Logar Tıkanıklığı</c:v>
                </c:pt>
                <c:pt idx="1">
                  <c:v>Vidanjör Talebi</c:v>
                </c:pt>
                <c:pt idx="2">
                  <c:v>Su Arızası</c:v>
                </c:pt>
                <c:pt idx="3">
                  <c:v>Yol Bozukluğu</c:v>
                </c:pt>
                <c:pt idx="4">
                  <c:v>Çöp Toplama</c:v>
                </c:pt>
                <c:pt idx="5">
                  <c:v>Park Bakım</c:v>
                </c:pt>
                <c:pt idx="6">
                  <c:v>Zabıta Şikayeti</c:v>
                </c:pt>
                <c:pt idx="7">
                  <c:v>Ulaşım Sorunu</c:v>
                </c:pt>
                <c:pt idx="8">
                  <c:v>Asfalt Onarım</c:v>
                </c:pt>
                <c:pt idx="9">
                  <c:v>Diğer</c:v>
                </c:pt>
              </c:strCache>
            </c:strRef>
          </c:cat>
          <c:val>
            <c:numRef>
              <c:f>İSTATİSTİK!$D$24:$D$33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75-45A7-97E4-C149DCE74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1194095"/>
        <c:axId val="991184527"/>
      </c:barChart>
      <c:catAx>
        <c:axId val="99119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91184527"/>
        <c:crosses val="autoZero"/>
        <c:auto val="1"/>
        <c:lblAlgn val="ctr"/>
        <c:lblOffset val="100"/>
        <c:noMultiLvlLbl val="0"/>
      </c:catAx>
      <c:valAx>
        <c:axId val="99118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9119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İSTATİSTİK!$A$5:$A$10</c:f>
              <c:strCache>
                <c:ptCount val="6"/>
                <c:pt idx="0">
                  <c:v>Toplam Şikayet Kaydı</c:v>
                </c:pt>
                <c:pt idx="1">
                  <c:v>Açık İşler</c:v>
                </c:pt>
                <c:pt idx="2">
                  <c:v>Devam Eden İşler</c:v>
                </c:pt>
                <c:pt idx="3">
                  <c:v>Kapatılan İşler</c:v>
                </c:pt>
                <c:pt idx="4">
                  <c:v>Çok Acil İşler</c:v>
                </c:pt>
                <c:pt idx="5">
                  <c:v>Acil İşler</c:v>
                </c:pt>
              </c:strCache>
            </c:strRef>
          </c:cat>
          <c:val>
            <c:numRef>
              <c:f>İSTATİSTİK!$B$5:$B$10</c:f>
              <c:numCache>
                <c:formatCode>General</c:formatCode>
                <c:ptCount val="6"/>
                <c:pt idx="0">
                  <c:v>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6-4474-8B91-923F382F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184111"/>
        <c:axId val="991187855"/>
      </c:barChart>
      <c:catAx>
        <c:axId val="9911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91187855"/>
        <c:crosses val="autoZero"/>
        <c:auto val="1"/>
        <c:lblAlgn val="ctr"/>
        <c:lblOffset val="100"/>
        <c:noMultiLvlLbl val="0"/>
      </c:catAx>
      <c:valAx>
        <c:axId val="99118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9118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950259</xdr:colOff>
      <xdr:row>1</xdr:row>
      <xdr:rowOff>13207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0259" cy="954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180109</xdr:colOff>
      <xdr:row>1</xdr:row>
      <xdr:rowOff>32471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715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792481</xdr:colOff>
      <xdr:row>0</xdr:row>
      <xdr:rowOff>796019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92480" cy="796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781373</xdr:colOff>
      <xdr:row>1</xdr:row>
      <xdr:rowOff>1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372" cy="7848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883921</xdr:colOff>
      <xdr:row>0</xdr:row>
      <xdr:rowOff>887867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883920" cy="887866"/>
        </a:xfrm>
        <a:prstGeom prst="rect">
          <a:avLst/>
        </a:prstGeom>
      </xdr:spPr>
    </xdr:pic>
    <xdr:clientData/>
  </xdr:twoCellAnchor>
  <xdr:twoCellAnchor>
    <xdr:from>
      <xdr:col>8</xdr:col>
      <xdr:colOff>540327</xdr:colOff>
      <xdr:row>0</xdr:row>
      <xdr:rowOff>193964</xdr:rowOff>
    </xdr:from>
    <xdr:to>
      <xdr:col>26</xdr:col>
      <xdr:colOff>83127</xdr:colOff>
      <xdr:row>20</xdr:row>
      <xdr:rowOff>1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526473</xdr:colOff>
      <xdr:row>22</xdr:row>
      <xdr:rowOff>13854</xdr:rowOff>
    </xdr:from>
    <xdr:to>
      <xdr:col>27</xdr:col>
      <xdr:colOff>263236</xdr:colOff>
      <xdr:row>43</xdr:row>
      <xdr:rowOff>138546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374073</xdr:colOff>
      <xdr:row>0</xdr:row>
      <xdr:rowOff>235527</xdr:rowOff>
    </xdr:from>
    <xdr:to>
      <xdr:col>41</xdr:col>
      <xdr:colOff>0</xdr:colOff>
      <xdr:row>19</xdr:row>
      <xdr:rowOff>263236</xdr:rowOff>
    </xdr:to>
    <xdr:graphicFrame macro="">
      <xdr:nvGraphicFramePr>
        <xdr:cNvPr id="5" name="Grafik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544983</xdr:colOff>
      <xdr:row>2</xdr:row>
      <xdr:rowOff>1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9303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zoomScaleNormal="100" workbookViewId="0"/>
  </sheetViews>
  <sheetFormatPr defaultColWidth="8.6640625" defaultRowHeight="14.4" x14ac:dyDescent="0.3"/>
  <sheetData>
    <row r="1" spans="1:3" ht="15" customHeight="1" x14ac:dyDescent="0.3">
      <c r="A1" s="1" t="s">
        <v>0</v>
      </c>
      <c r="B1" s="1" t="s">
        <v>1</v>
      </c>
      <c r="C1" s="1" t="s">
        <v>2</v>
      </c>
    </row>
    <row r="2" spans="1:3" ht="15" customHeight="1" x14ac:dyDescent="0.3">
      <c r="A2" s="1" t="s">
        <v>3</v>
      </c>
      <c r="B2" s="1" t="s">
        <v>4</v>
      </c>
      <c r="C2" s="1" t="s">
        <v>5</v>
      </c>
    </row>
    <row r="3" spans="1:3" ht="15" customHeight="1" x14ac:dyDescent="0.3">
      <c r="A3" s="1" t="s">
        <v>6</v>
      </c>
      <c r="B3" s="1" t="s">
        <v>7</v>
      </c>
      <c r="C3" s="1" t="s">
        <v>8</v>
      </c>
    </row>
    <row r="4" spans="1:3" ht="15" customHeight="1" x14ac:dyDescent="0.3">
      <c r="A4" s="1" t="s">
        <v>9</v>
      </c>
      <c r="B4" s="1" t="s">
        <v>10</v>
      </c>
      <c r="C4" s="1" t="s">
        <v>11</v>
      </c>
    </row>
    <row r="5" spans="1:3" ht="15" customHeight="1" x14ac:dyDescent="0.3">
      <c r="A5" s="1" t="s">
        <v>12</v>
      </c>
      <c r="B5" s="1" t="s">
        <v>13</v>
      </c>
      <c r="C5" s="1" t="s">
        <v>14</v>
      </c>
    </row>
    <row r="6" spans="1:3" ht="15" customHeight="1" x14ac:dyDescent="0.3">
      <c r="A6" s="1" t="s">
        <v>15</v>
      </c>
      <c r="B6" s="1" t="s">
        <v>16</v>
      </c>
      <c r="C6" s="1" t="s">
        <v>17</v>
      </c>
    </row>
    <row r="7" spans="1:3" ht="15" customHeight="1" x14ac:dyDescent="0.3">
      <c r="A7" s="1" t="s">
        <v>18</v>
      </c>
      <c r="B7" s="1" t="s">
        <v>19</v>
      </c>
      <c r="C7" s="1" t="s">
        <v>20</v>
      </c>
    </row>
    <row r="8" spans="1:3" ht="15" customHeight="1" x14ac:dyDescent="0.3">
      <c r="A8" s="1" t="s">
        <v>21</v>
      </c>
      <c r="B8" s="1" t="s">
        <v>22</v>
      </c>
      <c r="C8" s="1" t="s">
        <v>23</v>
      </c>
    </row>
    <row r="9" spans="1:3" ht="15" customHeight="1" x14ac:dyDescent="0.3">
      <c r="A9" s="1" t="s">
        <v>24</v>
      </c>
      <c r="C9" s="1" t="s">
        <v>25</v>
      </c>
    </row>
    <row r="10" spans="1:3" ht="15" customHeight="1" x14ac:dyDescent="0.3">
      <c r="A10" s="1" t="s">
        <v>26</v>
      </c>
      <c r="C10" s="1" t="s">
        <v>27</v>
      </c>
    </row>
    <row r="11" spans="1:3" ht="15" customHeight="1" x14ac:dyDescent="0.3">
      <c r="A11" s="1" t="s">
        <v>28</v>
      </c>
      <c r="C11" s="1" t="s">
        <v>29</v>
      </c>
    </row>
    <row r="12" spans="1:3" ht="15" customHeight="1" x14ac:dyDescent="0.3">
      <c r="A12" s="1" t="s">
        <v>30</v>
      </c>
    </row>
    <row r="13" spans="1:3" ht="15" customHeight="1" x14ac:dyDescent="0.3">
      <c r="A13" s="1" t="s">
        <v>31</v>
      </c>
    </row>
    <row r="14" spans="1:3" ht="15" customHeight="1" x14ac:dyDescent="0.3">
      <c r="A14" s="1" t="s">
        <v>32</v>
      </c>
    </row>
    <row r="15" spans="1:3" ht="15" customHeight="1" x14ac:dyDescent="0.3">
      <c r="A15" s="1" t="s">
        <v>33</v>
      </c>
    </row>
    <row r="16" spans="1:3" ht="15" customHeight="1" x14ac:dyDescent="0.3">
      <c r="A16" s="1" t="s">
        <v>34</v>
      </c>
    </row>
    <row r="17" spans="1:1" ht="15" customHeight="1" x14ac:dyDescent="0.3">
      <c r="A17" s="1" t="s">
        <v>35</v>
      </c>
    </row>
    <row r="18" spans="1:1" ht="15" customHeight="1" x14ac:dyDescent="0.3">
      <c r="A18" s="1" t="s">
        <v>36</v>
      </c>
    </row>
    <row r="19" spans="1:1" ht="15" customHeight="1" x14ac:dyDescent="0.3">
      <c r="A19" s="1" t="s">
        <v>37</v>
      </c>
    </row>
    <row r="20" spans="1:1" ht="15" customHeight="1" x14ac:dyDescent="0.3">
      <c r="A20" s="1" t="s">
        <v>38</v>
      </c>
    </row>
    <row r="21" spans="1:1" ht="15" customHeight="1" x14ac:dyDescent="0.3">
      <c r="A21" s="1" t="s">
        <v>39</v>
      </c>
    </row>
    <row r="22" spans="1:1" ht="15" customHeight="1" x14ac:dyDescent="0.3">
      <c r="A22" s="1" t="s">
        <v>40</v>
      </c>
    </row>
    <row r="23" spans="1:1" ht="15" customHeight="1" x14ac:dyDescent="0.3">
      <c r="A23" s="1" t="s">
        <v>41</v>
      </c>
    </row>
    <row r="24" spans="1:1" ht="15" customHeight="1" x14ac:dyDescent="0.3">
      <c r="A24" s="1" t="s">
        <v>42</v>
      </c>
    </row>
    <row r="25" spans="1:1" ht="15" customHeight="1" x14ac:dyDescent="0.3">
      <c r="A25" s="1"/>
    </row>
    <row r="26" spans="1:1" ht="15" customHeight="1" x14ac:dyDescent="0.3">
      <c r="A26" s="1"/>
    </row>
    <row r="27" spans="1:1" ht="15" customHeight="1" x14ac:dyDescent="0.3">
      <c r="A27" s="1"/>
    </row>
    <row r="28" spans="1:1" ht="15" customHeight="1" x14ac:dyDescent="0.3">
      <c r="A28" s="1"/>
    </row>
    <row r="29" spans="1:1" ht="15" customHeight="1" x14ac:dyDescent="0.3">
      <c r="A29" s="1"/>
    </row>
    <row r="30" spans="1:1" ht="15" customHeight="1" x14ac:dyDescent="0.3">
      <c r="A30" s="1"/>
    </row>
    <row r="31" spans="1:1" ht="15" customHeight="1" x14ac:dyDescent="0.3">
      <c r="A31" s="1"/>
    </row>
    <row r="32" spans="1:1" ht="15" customHeight="1" x14ac:dyDescent="0.3">
      <c r="A32" s="1"/>
    </row>
    <row r="33" spans="1:1" ht="15" customHeight="1" x14ac:dyDescent="0.3">
      <c r="A33" s="1"/>
    </row>
    <row r="34" spans="1:1" ht="15" customHeight="1" x14ac:dyDescent="0.3">
      <c r="A34" s="1"/>
    </row>
    <row r="35" spans="1:1" ht="15" customHeight="1" x14ac:dyDescent="0.3">
      <c r="A35" s="1"/>
    </row>
    <row r="36" spans="1:1" ht="15" customHeight="1" x14ac:dyDescent="0.3">
      <c r="A36" s="1"/>
    </row>
    <row r="37" spans="1:1" ht="15" customHeight="1" x14ac:dyDescent="0.3">
      <c r="A37" s="1"/>
    </row>
    <row r="38" spans="1:1" ht="15" customHeight="1" x14ac:dyDescent="0.3">
      <c r="A38" s="1"/>
    </row>
    <row r="39" spans="1:1" ht="15" customHeight="1" x14ac:dyDescent="0.3">
      <c r="A39" s="1"/>
    </row>
    <row r="40" spans="1:1" ht="15" customHeight="1" x14ac:dyDescent="0.3">
      <c r="A40" s="1"/>
    </row>
    <row r="41" spans="1:1" ht="15" customHeight="1" x14ac:dyDescent="0.3">
      <c r="A4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K154"/>
  <sheetViews>
    <sheetView showGridLines="0" tabSelected="1" zoomScale="85" zoomScaleNormal="85" workbookViewId="0">
      <pane ySplit="4" topLeftCell="A5" activePane="bottomLeft" state="frozen"/>
      <selection pane="bottomLeft" activeCell="H10" sqref="H10"/>
    </sheetView>
  </sheetViews>
  <sheetFormatPr defaultColWidth="8.6640625" defaultRowHeight="14.4" x14ac:dyDescent="0.3"/>
  <cols>
    <col min="1" max="1" width="14" style="1" customWidth="1"/>
    <col min="2" max="2" width="24" style="1" customWidth="1"/>
    <col min="3" max="3" width="22" style="1" customWidth="1"/>
    <col min="4" max="4" width="18" style="1" customWidth="1"/>
    <col min="5" max="5" width="28" style="1" customWidth="1"/>
    <col min="6" max="6" width="3" style="1" customWidth="1"/>
    <col min="7" max="7" width="22" style="1" customWidth="1"/>
    <col min="8" max="8" width="16" style="1" customWidth="1"/>
    <col min="9" max="9" width="28" style="1" customWidth="1"/>
    <col min="10" max="10" width="22" style="1" customWidth="1"/>
    <col min="11" max="11" width="20" style="1" customWidth="1"/>
  </cols>
  <sheetData>
    <row r="1" spans="1:11" ht="74.400000000000006" customHeight="1" x14ac:dyDescent="0.3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8" customHeight="1" x14ac:dyDescent="0.3">
      <c r="A2" s="28" t="s">
        <v>44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24" customHeight="1" x14ac:dyDescent="0.3">
      <c r="A3" s="29" t="s">
        <v>45</v>
      </c>
      <c r="B3" s="29"/>
      <c r="C3" s="29"/>
      <c r="D3" s="29"/>
      <c r="E3" s="29"/>
      <c r="G3" s="29" t="s">
        <v>46</v>
      </c>
      <c r="H3" s="29"/>
      <c r="I3" s="29"/>
      <c r="J3" s="29"/>
      <c r="K3" s="29"/>
    </row>
    <row r="4" spans="1:11" ht="27.75" customHeight="1" x14ac:dyDescent="0.3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G4" s="2" t="s">
        <v>52</v>
      </c>
      <c r="H4" s="2" t="s">
        <v>53</v>
      </c>
      <c r="I4" s="2" t="s">
        <v>51</v>
      </c>
      <c r="J4" s="2" t="s">
        <v>54</v>
      </c>
      <c r="K4" s="2" t="s">
        <v>55</v>
      </c>
    </row>
    <row r="5" spans="1:11" ht="15" customHeight="1" x14ac:dyDescent="0.3">
      <c r="A5" s="3"/>
      <c r="B5" s="3"/>
      <c r="C5" s="3"/>
      <c r="D5" s="3"/>
      <c r="E5" s="3"/>
      <c r="G5" s="3"/>
      <c r="H5" s="3"/>
      <c r="I5" s="3"/>
      <c r="J5" s="3"/>
      <c r="K5" s="3"/>
    </row>
    <row r="6" spans="1:11" ht="15" customHeight="1" x14ac:dyDescent="0.3">
      <c r="A6" s="26"/>
      <c r="B6" s="26"/>
      <c r="C6" s="26"/>
      <c r="D6" s="26"/>
      <c r="E6" s="26"/>
      <c r="G6" s="26"/>
      <c r="H6" s="26"/>
      <c r="I6" s="26"/>
      <c r="J6" s="26"/>
      <c r="K6" s="26"/>
    </row>
    <row r="7" spans="1:11" ht="15" customHeight="1" x14ac:dyDescent="0.3">
      <c r="A7" s="3"/>
      <c r="B7" s="3"/>
      <c r="C7" s="3"/>
      <c r="D7" s="3"/>
      <c r="E7" s="3"/>
      <c r="G7" s="3"/>
      <c r="H7" s="3"/>
      <c r="I7" s="3"/>
      <c r="J7" s="3"/>
      <c r="K7" s="3"/>
    </row>
    <row r="8" spans="1:11" ht="15" customHeight="1" x14ac:dyDescent="0.3">
      <c r="A8" s="26"/>
      <c r="B8" s="26"/>
      <c r="C8" s="26"/>
      <c r="D8" s="26"/>
      <c r="E8" s="26"/>
      <c r="G8" s="26"/>
      <c r="H8" s="26"/>
      <c r="I8" s="26"/>
      <c r="J8" s="26"/>
      <c r="K8" s="26"/>
    </row>
    <row r="9" spans="1:11" ht="15" customHeight="1" x14ac:dyDescent="0.3">
      <c r="A9" s="3"/>
      <c r="B9" s="3"/>
      <c r="C9" s="3"/>
      <c r="D9" s="3"/>
      <c r="E9" s="3"/>
      <c r="G9" s="3"/>
      <c r="H9" s="3"/>
      <c r="I9" s="3"/>
      <c r="J9" s="3"/>
      <c r="K9" s="3"/>
    </row>
    <row r="10" spans="1:11" ht="15" customHeight="1" x14ac:dyDescent="0.3">
      <c r="A10" s="26"/>
      <c r="B10" s="26"/>
      <c r="C10" s="26"/>
      <c r="D10" s="26"/>
      <c r="E10" s="26"/>
      <c r="G10" s="26"/>
      <c r="H10" s="26"/>
      <c r="I10" s="26"/>
      <c r="J10" s="26"/>
      <c r="K10" s="26"/>
    </row>
    <row r="11" spans="1:11" ht="15" customHeight="1" x14ac:dyDescent="0.3">
      <c r="A11" s="3"/>
      <c r="B11" s="3"/>
      <c r="C11" s="3"/>
      <c r="D11" s="3"/>
      <c r="E11" s="3"/>
      <c r="G11" s="3"/>
      <c r="H11" s="3"/>
      <c r="I11" s="3"/>
      <c r="J11" s="3"/>
      <c r="K11" s="3"/>
    </row>
    <row r="12" spans="1:11" ht="15" customHeight="1" x14ac:dyDescent="0.3">
      <c r="A12" s="26"/>
      <c r="B12" s="26"/>
      <c r="C12" s="26"/>
      <c r="D12" s="26"/>
      <c r="E12" s="26"/>
      <c r="G12" s="26"/>
      <c r="H12" s="26"/>
      <c r="I12" s="26"/>
      <c r="J12" s="26"/>
      <c r="K12" s="26"/>
    </row>
    <row r="13" spans="1:11" ht="15" customHeight="1" x14ac:dyDescent="0.3">
      <c r="A13" s="3"/>
      <c r="B13" s="3"/>
      <c r="C13" s="3"/>
      <c r="D13" s="3"/>
      <c r="E13" s="3"/>
      <c r="G13" s="3"/>
      <c r="H13" s="3"/>
      <c r="I13" s="3"/>
      <c r="J13" s="3"/>
      <c r="K13" s="3"/>
    </row>
    <row r="14" spans="1:11" ht="15" customHeight="1" x14ac:dyDescent="0.3">
      <c r="A14" s="26"/>
      <c r="B14" s="26"/>
      <c r="C14" s="26"/>
      <c r="D14" s="26"/>
      <c r="E14" s="26"/>
      <c r="G14" s="26"/>
      <c r="H14" s="26"/>
      <c r="I14" s="26"/>
      <c r="J14" s="26"/>
      <c r="K14" s="26"/>
    </row>
    <row r="15" spans="1:11" ht="15" customHeight="1" x14ac:dyDescent="0.3">
      <c r="A15" s="3"/>
      <c r="B15" s="3"/>
      <c r="C15" s="3"/>
      <c r="D15" s="3"/>
      <c r="E15" s="3"/>
      <c r="G15" s="3"/>
      <c r="H15" s="3"/>
      <c r="I15" s="3"/>
      <c r="J15" s="3"/>
      <c r="K15" s="3"/>
    </row>
    <row r="16" spans="1:11" ht="15" customHeight="1" x14ac:dyDescent="0.3">
      <c r="A16" s="26"/>
      <c r="B16" s="26"/>
      <c r="C16" s="26"/>
      <c r="D16" s="26"/>
      <c r="E16" s="26"/>
      <c r="G16" s="26"/>
      <c r="H16" s="26"/>
      <c r="I16" s="26"/>
      <c r="J16" s="26"/>
      <c r="K16" s="26"/>
    </row>
    <row r="17" spans="1:11" ht="15" customHeight="1" x14ac:dyDescent="0.3">
      <c r="A17" s="3"/>
      <c r="B17" s="3"/>
      <c r="C17" s="3"/>
      <c r="D17" s="3"/>
      <c r="E17" s="3"/>
      <c r="G17" s="3"/>
      <c r="H17" s="3"/>
      <c r="I17" s="3"/>
      <c r="J17" s="3"/>
      <c r="K17" s="3"/>
    </row>
    <row r="18" spans="1:11" ht="15" customHeight="1" x14ac:dyDescent="0.3">
      <c r="A18" s="26"/>
      <c r="B18" s="26"/>
      <c r="C18" s="26"/>
      <c r="D18" s="26"/>
      <c r="E18" s="26"/>
      <c r="G18" s="26"/>
      <c r="H18" s="26"/>
      <c r="I18" s="26"/>
      <c r="J18" s="26"/>
      <c r="K18" s="26"/>
    </row>
    <row r="19" spans="1:11" ht="15" customHeight="1" x14ac:dyDescent="0.3">
      <c r="A19" s="3"/>
      <c r="B19" s="3"/>
      <c r="C19" s="3"/>
      <c r="D19" s="3"/>
      <c r="E19" s="3"/>
      <c r="G19" s="3"/>
      <c r="H19" s="3"/>
      <c r="I19" s="3"/>
      <c r="J19" s="3"/>
      <c r="K19" s="3"/>
    </row>
    <row r="20" spans="1:11" ht="15" customHeight="1" x14ac:dyDescent="0.3">
      <c r="A20" s="26"/>
      <c r="B20" s="26"/>
      <c r="C20" s="26"/>
      <c r="D20" s="26"/>
      <c r="E20" s="26"/>
      <c r="G20" s="26"/>
      <c r="H20" s="26"/>
      <c r="I20" s="26"/>
      <c r="J20" s="26"/>
      <c r="K20" s="26"/>
    </row>
    <row r="21" spans="1:11" ht="15" customHeight="1" x14ac:dyDescent="0.3">
      <c r="A21" s="3"/>
      <c r="B21" s="3"/>
      <c r="C21" s="3"/>
      <c r="D21" s="3"/>
      <c r="E21" s="3"/>
      <c r="G21" s="3"/>
      <c r="H21" s="3"/>
      <c r="I21" s="3"/>
      <c r="J21" s="3"/>
      <c r="K21" s="3"/>
    </row>
    <row r="22" spans="1:11" ht="15" customHeight="1" x14ac:dyDescent="0.3">
      <c r="A22" s="26"/>
      <c r="B22" s="26"/>
      <c r="C22" s="26"/>
      <c r="D22" s="26"/>
      <c r="E22" s="26"/>
      <c r="G22" s="26"/>
      <c r="H22" s="26"/>
      <c r="I22" s="26"/>
      <c r="J22" s="26"/>
      <c r="K22" s="26"/>
    </row>
    <row r="23" spans="1:11" ht="15" customHeight="1" x14ac:dyDescent="0.3">
      <c r="A23" s="3"/>
      <c r="B23" s="3"/>
      <c r="C23" s="3"/>
      <c r="D23" s="3"/>
      <c r="E23" s="3"/>
      <c r="G23" s="3"/>
      <c r="H23" s="3"/>
      <c r="I23" s="3"/>
      <c r="J23" s="3"/>
      <c r="K23" s="3"/>
    </row>
    <row r="24" spans="1:11" ht="15" customHeight="1" x14ac:dyDescent="0.3">
      <c r="A24" s="26"/>
      <c r="B24" s="26"/>
      <c r="C24" s="26"/>
      <c r="D24" s="26"/>
      <c r="E24" s="26"/>
      <c r="G24" s="26"/>
      <c r="H24" s="26"/>
      <c r="I24" s="26"/>
      <c r="J24" s="26"/>
      <c r="K24" s="26"/>
    </row>
    <row r="25" spans="1:11" ht="15" customHeight="1" x14ac:dyDescent="0.3">
      <c r="A25" s="3"/>
      <c r="B25" s="3"/>
      <c r="C25" s="3"/>
      <c r="D25" s="3"/>
      <c r="E25" s="3"/>
      <c r="G25" s="3"/>
      <c r="H25" s="3"/>
      <c r="I25" s="3"/>
      <c r="J25" s="3"/>
      <c r="K25" s="3"/>
    </row>
    <row r="26" spans="1:11" ht="15" customHeight="1" x14ac:dyDescent="0.3">
      <c r="A26" s="26"/>
      <c r="B26" s="26"/>
      <c r="C26" s="26"/>
      <c r="D26" s="26"/>
      <c r="E26" s="26"/>
      <c r="G26" s="26"/>
      <c r="H26" s="26"/>
      <c r="I26" s="26"/>
      <c r="J26" s="26"/>
      <c r="K26" s="26"/>
    </row>
    <row r="27" spans="1:11" ht="15" customHeight="1" x14ac:dyDescent="0.3">
      <c r="A27" s="3"/>
      <c r="B27" s="3"/>
      <c r="C27" s="3"/>
      <c r="D27" s="3"/>
      <c r="E27" s="3"/>
      <c r="G27" s="3"/>
      <c r="H27" s="3"/>
      <c r="I27" s="3"/>
      <c r="J27" s="3"/>
      <c r="K27" s="3"/>
    </row>
    <row r="28" spans="1:11" ht="15" customHeight="1" x14ac:dyDescent="0.3">
      <c r="A28" s="26"/>
      <c r="B28" s="26"/>
      <c r="C28" s="26"/>
      <c r="D28" s="26"/>
      <c r="E28" s="26"/>
      <c r="G28" s="26"/>
      <c r="H28" s="26"/>
      <c r="I28" s="26"/>
      <c r="J28" s="26"/>
      <c r="K28" s="26"/>
    </row>
    <row r="29" spans="1:11" ht="15" customHeight="1" x14ac:dyDescent="0.3">
      <c r="A29" s="3"/>
      <c r="B29" s="3"/>
      <c r="C29" s="3"/>
      <c r="D29" s="3"/>
      <c r="E29" s="3"/>
      <c r="G29" s="3"/>
      <c r="H29" s="3"/>
      <c r="I29" s="3"/>
      <c r="J29" s="3"/>
      <c r="K29" s="3"/>
    </row>
    <row r="30" spans="1:11" ht="15" customHeight="1" x14ac:dyDescent="0.3">
      <c r="A30" s="26"/>
      <c r="B30" s="26"/>
      <c r="C30" s="26"/>
      <c r="D30" s="26"/>
      <c r="E30" s="26"/>
      <c r="G30" s="26"/>
      <c r="H30" s="26"/>
      <c r="I30" s="26"/>
      <c r="J30" s="26"/>
      <c r="K30" s="26"/>
    </row>
    <row r="31" spans="1:11" ht="15" customHeight="1" x14ac:dyDescent="0.3">
      <c r="A31" s="3"/>
      <c r="B31" s="3"/>
      <c r="C31" s="3"/>
      <c r="D31" s="3"/>
      <c r="E31" s="3"/>
      <c r="G31" s="3"/>
      <c r="H31" s="3"/>
      <c r="I31" s="3"/>
      <c r="J31" s="3"/>
      <c r="K31" s="3"/>
    </row>
    <row r="32" spans="1:11" ht="15" customHeight="1" x14ac:dyDescent="0.3">
      <c r="A32" s="26"/>
      <c r="B32" s="26"/>
      <c r="C32" s="26"/>
      <c r="D32" s="26"/>
      <c r="E32" s="26"/>
      <c r="G32" s="26"/>
      <c r="H32" s="26"/>
      <c r="I32" s="26"/>
      <c r="J32" s="26"/>
      <c r="K32" s="26"/>
    </row>
    <row r="33" spans="1:11" ht="15" customHeight="1" x14ac:dyDescent="0.3">
      <c r="A33" s="3"/>
      <c r="B33" s="3"/>
      <c r="C33" s="3"/>
      <c r="D33" s="3"/>
      <c r="E33" s="3"/>
      <c r="G33" s="3"/>
      <c r="H33" s="3"/>
      <c r="I33" s="3"/>
      <c r="J33" s="3"/>
      <c r="K33" s="3"/>
    </row>
    <row r="34" spans="1:11" ht="15" customHeight="1" x14ac:dyDescent="0.3">
      <c r="A34" s="26"/>
      <c r="B34" s="26"/>
      <c r="C34" s="26"/>
      <c r="D34" s="26"/>
      <c r="E34" s="26"/>
      <c r="G34" s="26"/>
      <c r="H34" s="26"/>
      <c r="I34" s="26"/>
      <c r="J34" s="26"/>
      <c r="K34" s="26"/>
    </row>
    <row r="35" spans="1:11" ht="15" customHeight="1" x14ac:dyDescent="0.3">
      <c r="A35" s="3"/>
      <c r="B35" s="3"/>
      <c r="C35" s="3"/>
      <c r="D35" s="3"/>
      <c r="E35" s="3"/>
      <c r="G35" s="3"/>
      <c r="H35" s="3"/>
      <c r="I35" s="3"/>
      <c r="J35" s="3"/>
      <c r="K35" s="3"/>
    </row>
    <row r="36" spans="1:11" ht="15" customHeight="1" x14ac:dyDescent="0.3">
      <c r="A36" s="26"/>
      <c r="B36" s="26"/>
      <c r="C36" s="26"/>
      <c r="D36" s="26"/>
      <c r="E36" s="26"/>
      <c r="G36" s="26"/>
      <c r="H36" s="26"/>
      <c r="I36" s="26"/>
      <c r="J36" s="26"/>
      <c r="K36" s="26"/>
    </row>
    <row r="37" spans="1:11" ht="15" customHeight="1" x14ac:dyDescent="0.3">
      <c r="A37" s="3"/>
      <c r="B37" s="3"/>
      <c r="C37" s="3"/>
      <c r="D37" s="3"/>
      <c r="E37" s="3"/>
      <c r="G37" s="3"/>
      <c r="H37" s="3"/>
      <c r="I37" s="3"/>
      <c r="J37" s="3"/>
      <c r="K37" s="3"/>
    </row>
    <row r="38" spans="1:11" ht="15" customHeight="1" x14ac:dyDescent="0.3">
      <c r="A38" s="26"/>
      <c r="B38" s="26"/>
      <c r="C38" s="26"/>
      <c r="D38" s="26"/>
      <c r="E38" s="26"/>
      <c r="G38" s="26"/>
      <c r="H38" s="26"/>
      <c r="I38" s="26"/>
      <c r="J38" s="26"/>
      <c r="K38" s="26"/>
    </row>
    <row r="39" spans="1:11" ht="15" customHeight="1" x14ac:dyDescent="0.3">
      <c r="A39" s="3"/>
      <c r="B39" s="3"/>
      <c r="C39" s="3"/>
      <c r="D39" s="3"/>
      <c r="E39" s="3"/>
      <c r="G39" s="3"/>
      <c r="H39" s="3"/>
      <c r="I39" s="3"/>
      <c r="J39" s="3"/>
      <c r="K39" s="3"/>
    </row>
    <row r="40" spans="1:11" ht="15" customHeight="1" x14ac:dyDescent="0.3">
      <c r="A40" s="26"/>
      <c r="B40" s="26"/>
      <c r="C40" s="26"/>
      <c r="D40" s="26"/>
      <c r="E40" s="26"/>
      <c r="G40" s="26"/>
      <c r="H40" s="26"/>
      <c r="I40" s="26"/>
      <c r="J40" s="26"/>
      <c r="K40" s="26"/>
    </row>
    <row r="41" spans="1:11" ht="15" customHeight="1" x14ac:dyDescent="0.3">
      <c r="A41" s="3"/>
      <c r="B41" s="3"/>
      <c r="C41" s="3"/>
      <c r="D41" s="3"/>
      <c r="E41" s="3"/>
      <c r="G41" s="3"/>
      <c r="H41" s="3"/>
      <c r="I41" s="3"/>
      <c r="J41" s="3"/>
      <c r="K41" s="3"/>
    </row>
    <row r="42" spans="1:11" ht="15" customHeight="1" x14ac:dyDescent="0.3">
      <c r="A42" s="26"/>
      <c r="B42" s="26"/>
      <c r="C42" s="26"/>
      <c r="D42" s="26"/>
      <c r="E42" s="26"/>
      <c r="G42" s="26"/>
      <c r="H42" s="26"/>
      <c r="I42" s="26"/>
      <c r="J42" s="26"/>
      <c r="K42" s="26"/>
    </row>
    <row r="43" spans="1:11" ht="15" customHeight="1" x14ac:dyDescent="0.3">
      <c r="A43" s="3"/>
      <c r="B43" s="3"/>
      <c r="C43" s="3"/>
      <c r="D43" s="3"/>
      <c r="E43" s="3"/>
      <c r="G43" s="3"/>
      <c r="H43" s="3"/>
      <c r="I43" s="3"/>
      <c r="J43" s="3"/>
      <c r="K43" s="3"/>
    </row>
    <row r="44" spans="1:11" ht="15" customHeight="1" x14ac:dyDescent="0.3">
      <c r="A44" s="26"/>
      <c r="B44" s="26"/>
      <c r="C44" s="26"/>
      <c r="D44" s="26"/>
      <c r="E44" s="26"/>
      <c r="G44" s="26"/>
      <c r="H44" s="26"/>
      <c r="I44" s="26"/>
      <c r="J44" s="26"/>
      <c r="K44" s="26"/>
    </row>
    <row r="45" spans="1:11" ht="15" customHeight="1" x14ac:dyDescent="0.3">
      <c r="A45" s="3"/>
      <c r="B45" s="3"/>
      <c r="C45" s="3"/>
      <c r="D45" s="3"/>
      <c r="E45" s="3"/>
      <c r="G45" s="3"/>
      <c r="H45" s="3"/>
      <c r="I45" s="3"/>
      <c r="J45" s="3"/>
      <c r="K45" s="3"/>
    </row>
    <row r="46" spans="1:11" ht="15" customHeight="1" x14ac:dyDescent="0.3">
      <c r="A46" s="26"/>
      <c r="B46" s="26"/>
      <c r="C46" s="26"/>
      <c r="D46" s="26"/>
      <c r="E46" s="26"/>
      <c r="G46" s="26"/>
      <c r="H46" s="26"/>
      <c r="I46" s="26"/>
      <c r="J46" s="26"/>
      <c r="K46" s="26"/>
    </row>
    <row r="47" spans="1:11" ht="15" customHeight="1" x14ac:dyDescent="0.3">
      <c r="A47" s="3"/>
      <c r="B47" s="3"/>
      <c r="C47" s="3"/>
      <c r="D47" s="3"/>
      <c r="E47" s="3"/>
      <c r="G47" s="3"/>
      <c r="H47" s="3"/>
      <c r="I47" s="3"/>
      <c r="J47" s="3"/>
      <c r="K47" s="3"/>
    </row>
    <row r="48" spans="1:11" ht="15" customHeight="1" x14ac:dyDescent="0.3">
      <c r="A48" s="26"/>
      <c r="B48" s="26"/>
      <c r="C48" s="26"/>
      <c r="D48" s="26"/>
      <c r="E48" s="26"/>
      <c r="G48" s="26"/>
      <c r="H48" s="26"/>
      <c r="I48" s="26"/>
      <c r="J48" s="26"/>
      <c r="K48" s="26"/>
    </row>
    <row r="49" spans="1:11" ht="15" customHeight="1" x14ac:dyDescent="0.3">
      <c r="A49" s="3"/>
      <c r="B49" s="3"/>
      <c r="C49" s="3"/>
      <c r="D49" s="3"/>
      <c r="E49" s="3"/>
      <c r="G49" s="3"/>
      <c r="H49" s="3"/>
      <c r="I49" s="3"/>
      <c r="J49" s="3"/>
      <c r="K49" s="3"/>
    </row>
    <row r="50" spans="1:11" ht="15" customHeight="1" x14ac:dyDescent="0.3">
      <c r="A50" s="26"/>
      <c r="B50" s="26"/>
      <c r="C50" s="26"/>
      <c r="D50" s="26"/>
      <c r="E50" s="26"/>
      <c r="G50" s="26"/>
      <c r="H50" s="26"/>
      <c r="I50" s="26"/>
      <c r="J50" s="26"/>
      <c r="K50" s="26"/>
    </row>
    <row r="51" spans="1:11" ht="15" customHeight="1" x14ac:dyDescent="0.3">
      <c r="A51" s="3"/>
      <c r="B51" s="3"/>
      <c r="C51" s="3"/>
      <c r="D51" s="3"/>
      <c r="E51" s="3"/>
      <c r="G51" s="3"/>
      <c r="H51" s="3"/>
      <c r="I51" s="3"/>
      <c r="J51" s="3"/>
      <c r="K51" s="3"/>
    </row>
    <row r="52" spans="1:11" ht="15" customHeight="1" x14ac:dyDescent="0.3">
      <c r="A52" s="26"/>
      <c r="B52" s="26"/>
      <c r="C52" s="26"/>
      <c r="D52" s="26"/>
      <c r="E52" s="26"/>
      <c r="G52" s="26"/>
      <c r="H52" s="26"/>
      <c r="I52" s="26"/>
      <c r="J52" s="26"/>
      <c r="K52" s="26"/>
    </row>
    <row r="53" spans="1:11" ht="15" customHeight="1" x14ac:dyDescent="0.3">
      <c r="A53" s="3"/>
      <c r="B53" s="3"/>
      <c r="C53" s="3"/>
      <c r="D53" s="3"/>
      <c r="E53" s="3"/>
      <c r="G53" s="3"/>
      <c r="H53" s="3"/>
      <c r="I53" s="3"/>
      <c r="J53" s="3"/>
      <c r="K53" s="3"/>
    </row>
    <row r="54" spans="1:11" ht="15" customHeight="1" x14ac:dyDescent="0.3">
      <c r="A54" s="26"/>
      <c r="B54" s="26"/>
      <c r="C54" s="26"/>
      <c r="D54" s="26"/>
      <c r="E54" s="26"/>
      <c r="G54" s="26"/>
      <c r="H54" s="26"/>
      <c r="I54" s="26"/>
      <c r="J54" s="26"/>
      <c r="K54" s="26"/>
    </row>
    <row r="55" spans="1:11" ht="15" customHeight="1" x14ac:dyDescent="0.3">
      <c r="A55" s="3"/>
      <c r="B55" s="3"/>
      <c r="C55" s="3"/>
      <c r="D55" s="3"/>
      <c r="E55" s="3"/>
      <c r="G55" s="3"/>
      <c r="H55" s="3"/>
      <c r="I55" s="3"/>
      <c r="J55" s="3"/>
      <c r="K55" s="3"/>
    </row>
    <row r="56" spans="1:11" ht="15" customHeight="1" x14ac:dyDescent="0.3">
      <c r="A56" s="26"/>
      <c r="B56" s="26"/>
      <c r="C56" s="26"/>
      <c r="D56" s="26"/>
      <c r="E56" s="26"/>
      <c r="G56" s="26"/>
      <c r="H56" s="26"/>
      <c r="I56" s="26"/>
      <c r="J56" s="26"/>
      <c r="K56" s="26"/>
    </row>
    <row r="57" spans="1:11" ht="15" customHeight="1" x14ac:dyDescent="0.3">
      <c r="A57" s="3"/>
      <c r="B57" s="3"/>
      <c r="C57" s="3"/>
      <c r="D57" s="3"/>
      <c r="E57" s="3"/>
      <c r="G57" s="3"/>
      <c r="H57" s="3"/>
      <c r="I57" s="3"/>
      <c r="J57" s="3"/>
      <c r="K57" s="3"/>
    </row>
    <row r="58" spans="1:11" ht="15" customHeight="1" x14ac:dyDescent="0.3">
      <c r="A58" s="26"/>
      <c r="B58" s="26"/>
      <c r="C58" s="26"/>
      <c r="D58" s="26"/>
      <c r="E58" s="26"/>
      <c r="G58" s="26"/>
      <c r="H58" s="26"/>
      <c r="I58" s="26"/>
      <c r="J58" s="26"/>
      <c r="K58" s="26"/>
    </row>
    <row r="59" spans="1:11" ht="15" customHeight="1" x14ac:dyDescent="0.3">
      <c r="A59" s="3"/>
      <c r="B59" s="3"/>
      <c r="C59" s="3"/>
      <c r="D59" s="3"/>
      <c r="E59" s="3"/>
      <c r="G59" s="3"/>
      <c r="H59" s="3"/>
      <c r="I59" s="3"/>
      <c r="J59" s="3"/>
      <c r="K59" s="3"/>
    </row>
    <row r="60" spans="1:11" ht="15" customHeight="1" x14ac:dyDescent="0.3">
      <c r="A60" s="26"/>
      <c r="B60" s="26"/>
      <c r="C60" s="26"/>
      <c r="D60" s="26"/>
      <c r="E60" s="26"/>
      <c r="G60" s="26"/>
      <c r="H60" s="26"/>
      <c r="I60" s="26"/>
      <c r="J60" s="26"/>
      <c r="K60" s="26"/>
    </row>
    <row r="61" spans="1:11" ht="15" customHeight="1" x14ac:dyDescent="0.3">
      <c r="A61" s="3"/>
      <c r="B61" s="3"/>
      <c r="C61" s="3"/>
      <c r="D61" s="3"/>
      <c r="E61" s="3"/>
      <c r="G61" s="3"/>
      <c r="H61" s="3"/>
      <c r="I61" s="3"/>
      <c r="J61" s="3"/>
      <c r="K61" s="3"/>
    </row>
    <row r="62" spans="1:11" ht="15" customHeight="1" x14ac:dyDescent="0.3">
      <c r="A62" s="26"/>
      <c r="B62" s="26"/>
      <c r="C62" s="26"/>
      <c r="D62" s="26"/>
      <c r="E62" s="26"/>
      <c r="G62" s="26"/>
      <c r="H62" s="26"/>
      <c r="I62" s="26"/>
      <c r="J62" s="26"/>
      <c r="K62" s="26"/>
    </row>
    <row r="63" spans="1:11" ht="15" customHeight="1" x14ac:dyDescent="0.3">
      <c r="A63" s="3"/>
      <c r="B63" s="3"/>
      <c r="C63" s="3"/>
      <c r="D63" s="3"/>
      <c r="E63" s="3"/>
      <c r="G63" s="3"/>
      <c r="H63" s="3"/>
      <c r="I63" s="3"/>
      <c r="J63" s="3"/>
      <c r="K63" s="3"/>
    </row>
    <row r="64" spans="1:11" ht="15" customHeight="1" x14ac:dyDescent="0.3">
      <c r="A64" s="26"/>
      <c r="B64" s="26"/>
      <c r="C64" s="26"/>
      <c r="D64" s="26"/>
      <c r="E64" s="26"/>
      <c r="G64" s="26"/>
      <c r="H64" s="26"/>
      <c r="I64" s="26"/>
      <c r="J64" s="26"/>
      <c r="K64" s="26"/>
    </row>
    <row r="65" spans="1:11" ht="15" customHeight="1" x14ac:dyDescent="0.3">
      <c r="A65" s="3"/>
      <c r="B65" s="3"/>
      <c r="C65" s="3"/>
      <c r="D65" s="3"/>
      <c r="E65" s="3"/>
      <c r="G65" s="3"/>
      <c r="H65" s="3"/>
      <c r="I65" s="3"/>
      <c r="J65" s="3"/>
      <c r="K65" s="3"/>
    </row>
    <row r="66" spans="1:11" ht="15" customHeight="1" x14ac:dyDescent="0.3">
      <c r="A66" s="26"/>
      <c r="B66" s="26"/>
      <c r="C66" s="26"/>
      <c r="D66" s="26"/>
      <c r="E66" s="26"/>
      <c r="G66" s="26"/>
      <c r="H66" s="26"/>
      <c r="I66" s="26"/>
      <c r="J66" s="26"/>
      <c r="K66" s="26"/>
    </row>
    <row r="67" spans="1:11" ht="15" customHeight="1" x14ac:dyDescent="0.3">
      <c r="A67" s="3"/>
      <c r="B67" s="3"/>
      <c r="C67" s="3"/>
      <c r="D67" s="3"/>
      <c r="E67" s="3"/>
      <c r="G67" s="3"/>
      <c r="H67" s="3"/>
      <c r="I67" s="3"/>
      <c r="J67" s="3"/>
      <c r="K67" s="3"/>
    </row>
    <row r="68" spans="1:11" ht="15" customHeight="1" x14ac:dyDescent="0.3">
      <c r="A68" s="26"/>
      <c r="B68" s="26"/>
      <c r="C68" s="26"/>
      <c r="D68" s="26"/>
      <c r="E68" s="26"/>
      <c r="G68" s="26"/>
      <c r="H68" s="26"/>
      <c r="I68" s="26"/>
      <c r="J68" s="26"/>
      <c r="K68" s="26"/>
    </row>
    <row r="69" spans="1:11" ht="15" customHeight="1" x14ac:dyDescent="0.3">
      <c r="A69" s="3"/>
      <c r="B69" s="3"/>
      <c r="C69" s="3"/>
      <c r="D69" s="3"/>
      <c r="E69" s="3"/>
      <c r="G69" s="3"/>
      <c r="H69" s="3"/>
      <c r="I69" s="3"/>
      <c r="J69" s="3"/>
      <c r="K69" s="3"/>
    </row>
    <row r="70" spans="1:11" ht="15" customHeight="1" x14ac:dyDescent="0.3">
      <c r="A70" s="26"/>
      <c r="B70" s="26"/>
      <c r="C70" s="26"/>
      <c r="D70" s="26"/>
      <c r="E70" s="26"/>
      <c r="G70" s="26"/>
      <c r="H70" s="26"/>
      <c r="I70" s="26"/>
      <c r="J70" s="26"/>
      <c r="K70" s="26"/>
    </row>
    <row r="71" spans="1:11" ht="15" customHeight="1" x14ac:dyDescent="0.3">
      <c r="A71" s="3"/>
      <c r="B71" s="3"/>
      <c r="C71" s="3"/>
      <c r="D71" s="3"/>
      <c r="E71" s="3"/>
      <c r="G71" s="3"/>
      <c r="H71" s="3"/>
      <c r="I71" s="3"/>
      <c r="J71" s="3"/>
      <c r="K71" s="3"/>
    </row>
    <row r="72" spans="1:11" ht="15" customHeight="1" x14ac:dyDescent="0.3">
      <c r="A72" s="26"/>
      <c r="B72" s="26"/>
      <c r="C72" s="26"/>
      <c r="D72" s="26"/>
      <c r="E72" s="26"/>
      <c r="G72" s="26"/>
      <c r="H72" s="26"/>
      <c r="I72" s="26"/>
      <c r="J72" s="26"/>
      <c r="K72" s="26"/>
    </row>
    <row r="73" spans="1:11" ht="15" customHeight="1" x14ac:dyDescent="0.3">
      <c r="A73" s="3"/>
      <c r="B73" s="3"/>
      <c r="C73" s="3"/>
      <c r="D73" s="3"/>
      <c r="E73" s="3"/>
      <c r="G73" s="3"/>
      <c r="H73" s="3"/>
      <c r="I73" s="3"/>
      <c r="J73" s="3"/>
      <c r="K73" s="3"/>
    </row>
    <row r="74" spans="1:11" ht="15" customHeight="1" x14ac:dyDescent="0.3">
      <c r="A74" s="26"/>
      <c r="B74" s="26"/>
      <c r="C74" s="26"/>
      <c r="D74" s="26"/>
      <c r="E74" s="26"/>
      <c r="G74" s="26"/>
      <c r="H74" s="26"/>
      <c r="I74" s="26"/>
      <c r="J74" s="26"/>
      <c r="K74" s="26"/>
    </row>
    <row r="75" spans="1:11" ht="15" customHeight="1" x14ac:dyDescent="0.3">
      <c r="A75" s="3"/>
      <c r="B75" s="3"/>
      <c r="C75" s="3"/>
      <c r="D75" s="3"/>
      <c r="E75" s="3"/>
      <c r="G75" s="3"/>
      <c r="H75" s="3"/>
      <c r="I75" s="3"/>
      <c r="J75" s="3"/>
      <c r="K75" s="3"/>
    </row>
    <row r="76" spans="1:11" ht="15" customHeight="1" x14ac:dyDescent="0.3">
      <c r="A76" s="26"/>
      <c r="B76" s="26"/>
      <c r="C76" s="26"/>
      <c r="D76" s="26"/>
      <c r="E76" s="26"/>
      <c r="G76" s="26"/>
      <c r="H76" s="26"/>
      <c r="I76" s="26"/>
      <c r="J76" s="26"/>
      <c r="K76" s="26"/>
    </row>
    <row r="77" spans="1:11" ht="15" customHeight="1" x14ac:dyDescent="0.3">
      <c r="A77" s="3"/>
      <c r="B77" s="3"/>
      <c r="C77" s="3"/>
      <c r="D77" s="3"/>
      <c r="E77" s="3"/>
      <c r="G77" s="3"/>
      <c r="H77" s="3"/>
      <c r="I77" s="3"/>
      <c r="J77" s="3"/>
      <c r="K77" s="3"/>
    </row>
    <row r="78" spans="1:11" ht="15" customHeight="1" x14ac:dyDescent="0.3">
      <c r="A78" s="26"/>
      <c r="B78" s="26"/>
      <c r="C78" s="26"/>
      <c r="D78" s="26"/>
      <c r="E78" s="26"/>
      <c r="G78" s="26"/>
      <c r="H78" s="26"/>
      <c r="I78" s="26"/>
      <c r="J78" s="26"/>
      <c r="K78" s="26"/>
    </row>
    <row r="79" spans="1:11" ht="15" customHeight="1" x14ac:dyDescent="0.3">
      <c r="A79" s="3"/>
      <c r="B79" s="3"/>
      <c r="C79" s="3"/>
      <c r="D79" s="3"/>
      <c r="E79" s="3"/>
      <c r="G79" s="3"/>
      <c r="H79" s="3"/>
      <c r="I79" s="3"/>
      <c r="J79" s="3"/>
      <c r="K79" s="3"/>
    </row>
    <row r="80" spans="1:11" ht="15" customHeight="1" x14ac:dyDescent="0.3">
      <c r="A80" s="26"/>
      <c r="B80" s="26"/>
      <c r="C80" s="26"/>
      <c r="D80" s="26"/>
      <c r="E80" s="26"/>
      <c r="G80" s="26"/>
      <c r="H80" s="26"/>
      <c r="I80" s="26"/>
      <c r="J80" s="26"/>
      <c r="K80" s="26"/>
    </row>
    <row r="81" spans="1:11" ht="15" customHeight="1" x14ac:dyDescent="0.3">
      <c r="A81" s="3"/>
      <c r="B81" s="3"/>
      <c r="C81" s="3"/>
      <c r="D81" s="3"/>
      <c r="E81" s="3"/>
      <c r="G81" s="3"/>
      <c r="H81" s="3"/>
      <c r="I81" s="3"/>
      <c r="J81" s="3"/>
      <c r="K81" s="3"/>
    </row>
    <row r="82" spans="1:11" ht="15" customHeight="1" x14ac:dyDescent="0.3">
      <c r="A82" s="26"/>
      <c r="B82" s="26"/>
      <c r="C82" s="26"/>
      <c r="D82" s="26"/>
      <c r="E82" s="26"/>
      <c r="G82" s="26"/>
      <c r="H82" s="26"/>
      <c r="I82" s="26"/>
      <c r="J82" s="26"/>
      <c r="K82" s="26"/>
    </row>
    <row r="83" spans="1:11" ht="15" customHeight="1" x14ac:dyDescent="0.3">
      <c r="A83" s="3"/>
      <c r="B83" s="3"/>
      <c r="C83" s="3"/>
      <c r="D83" s="3"/>
      <c r="E83" s="3"/>
      <c r="G83" s="3"/>
      <c r="H83" s="3"/>
      <c r="I83" s="3"/>
      <c r="J83" s="3"/>
      <c r="K83" s="3"/>
    </row>
    <row r="84" spans="1:11" ht="15" customHeight="1" x14ac:dyDescent="0.3">
      <c r="A84" s="26"/>
      <c r="B84" s="26"/>
      <c r="C84" s="26"/>
      <c r="D84" s="26"/>
      <c r="E84" s="26"/>
      <c r="G84" s="26"/>
      <c r="H84" s="26"/>
      <c r="I84" s="26"/>
      <c r="J84" s="26"/>
      <c r="K84" s="26"/>
    </row>
    <row r="85" spans="1:11" ht="15" customHeight="1" x14ac:dyDescent="0.3">
      <c r="A85" s="3"/>
      <c r="B85" s="3"/>
      <c r="C85" s="3"/>
      <c r="D85" s="3"/>
      <c r="E85" s="3"/>
      <c r="G85" s="3"/>
      <c r="H85" s="3"/>
      <c r="I85" s="3"/>
      <c r="J85" s="3"/>
      <c r="K85" s="3"/>
    </row>
    <row r="86" spans="1:11" ht="15" customHeight="1" x14ac:dyDescent="0.3">
      <c r="A86" s="26"/>
      <c r="B86" s="26"/>
      <c r="C86" s="26"/>
      <c r="D86" s="26"/>
      <c r="E86" s="26"/>
      <c r="G86" s="26"/>
      <c r="H86" s="26"/>
      <c r="I86" s="26"/>
      <c r="J86" s="26"/>
      <c r="K86" s="26"/>
    </row>
    <row r="87" spans="1:11" ht="15" customHeight="1" x14ac:dyDescent="0.3">
      <c r="A87" s="3"/>
      <c r="B87" s="3"/>
      <c r="C87" s="3"/>
      <c r="D87" s="3"/>
      <c r="E87" s="3"/>
      <c r="G87" s="3"/>
      <c r="H87" s="3"/>
      <c r="I87" s="3"/>
      <c r="J87" s="3"/>
      <c r="K87" s="3"/>
    </row>
    <row r="88" spans="1:11" ht="15" customHeight="1" x14ac:dyDescent="0.3">
      <c r="A88" s="26"/>
      <c r="B88" s="26"/>
      <c r="C88" s="26"/>
      <c r="D88" s="26"/>
      <c r="E88" s="26"/>
      <c r="G88" s="26"/>
      <c r="H88" s="26"/>
      <c r="I88" s="26"/>
      <c r="J88" s="26"/>
      <c r="K88" s="26"/>
    </row>
    <row r="89" spans="1:11" ht="15" customHeight="1" x14ac:dyDescent="0.3">
      <c r="A89" s="3"/>
      <c r="B89" s="3"/>
      <c r="C89" s="3"/>
      <c r="D89" s="3"/>
      <c r="E89" s="3"/>
      <c r="G89" s="3"/>
      <c r="H89" s="3"/>
      <c r="I89" s="3"/>
      <c r="J89" s="3"/>
      <c r="K89" s="3"/>
    </row>
    <row r="90" spans="1:11" ht="15" customHeight="1" x14ac:dyDescent="0.3">
      <c r="A90" s="26"/>
      <c r="B90" s="26"/>
      <c r="C90" s="26"/>
      <c r="D90" s="26"/>
      <c r="E90" s="26"/>
      <c r="G90" s="26"/>
      <c r="H90" s="26"/>
      <c r="I90" s="26"/>
      <c r="J90" s="26"/>
      <c r="K90" s="26"/>
    </row>
    <row r="91" spans="1:11" ht="15" customHeight="1" x14ac:dyDescent="0.3">
      <c r="A91" s="3"/>
      <c r="B91" s="3"/>
      <c r="C91" s="3"/>
      <c r="D91" s="3"/>
      <c r="E91" s="3"/>
      <c r="G91" s="3"/>
      <c r="H91" s="3"/>
      <c r="I91" s="3"/>
      <c r="J91" s="3"/>
      <c r="K91" s="3"/>
    </row>
    <row r="92" spans="1:11" ht="15" customHeight="1" x14ac:dyDescent="0.3">
      <c r="A92" s="26"/>
      <c r="B92" s="26"/>
      <c r="C92" s="26"/>
      <c r="D92" s="26"/>
      <c r="E92" s="26"/>
      <c r="G92" s="26"/>
      <c r="H92" s="26"/>
      <c r="I92" s="26"/>
      <c r="J92" s="26"/>
      <c r="K92" s="26"/>
    </row>
    <row r="93" spans="1:11" ht="15" customHeight="1" x14ac:dyDescent="0.3">
      <c r="A93" s="3"/>
      <c r="B93" s="3"/>
      <c r="C93" s="3"/>
      <c r="D93" s="3"/>
      <c r="E93" s="3"/>
      <c r="G93" s="3"/>
      <c r="H93" s="3"/>
      <c r="I93" s="3"/>
      <c r="J93" s="3"/>
      <c r="K93" s="3"/>
    </row>
    <row r="94" spans="1:11" ht="15" customHeight="1" x14ac:dyDescent="0.3">
      <c r="A94" s="26"/>
      <c r="B94" s="26"/>
      <c r="C94" s="26"/>
      <c r="D94" s="26"/>
      <c r="E94" s="26"/>
      <c r="G94" s="26"/>
      <c r="H94" s="26"/>
      <c r="I94" s="26"/>
      <c r="J94" s="26"/>
      <c r="K94" s="26"/>
    </row>
    <row r="95" spans="1:11" ht="15" customHeight="1" x14ac:dyDescent="0.3">
      <c r="A95" s="3"/>
      <c r="B95" s="3"/>
      <c r="C95" s="3"/>
      <c r="D95" s="3"/>
      <c r="E95" s="3"/>
      <c r="G95" s="3"/>
      <c r="H95" s="3"/>
      <c r="I95" s="3"/>
      <c r="J95" s="3"/>
      <c r="K95" s="3"/>
    </row>
    <row r="96" spans="1:11" ht="15" customHeight="1" x14ac:dyDescent="0.3">
      <c r="A96" s="26"/>
      <c r="B96" s="26"/>
      <c r="C96" s="26"/>
      <c r="D96" s="26"/>
      <c r="E96" s="26"/>
      <c r="G96" s="26"/>
      <c r="H96" s="26"/>
      <c r="I96" s="26"/>
      <c r="J96" s="26"/>
      <c r="K96" s="26"/>
    </row>
    <row r="97" spans="1:11" ht="15" customHeight="1" x14ac:dyDescent="0.3">
      <c r="A97" s="3"/>
      <c r="B97" s="3"/>
      <c r="C97" s="3"/>
      <c r="D97" s="3"/>
      <c r="E97" s="3"/>
      <c r="G97" s="3"/>
      <c r="H97" s="3"/>
      <c r="I97" s="3"/>
      <c r="J97" s="3"/>
      <c r="K97" s="3"/>
    </row>
    <row r="98" spans="1:11" ht="15" customHeight="1" x14ac:dyDescent="0.3">
      <c r="A98" s="26"/>
      <c r="B98" s="26"/>
      <c r="C98" s="26"/>
      <c r="D98" s="26"/>
      <c r="E98" s="26"/>
      <c r="G98" s="26"/>
      <c r="H98" s="26"/>
      <c r="I98" s="26"/>
      <c r="J98" s="26"/>
      <c r="K98" s="26"/>
    </row>
    <row r="99" spans="1:11" ht="15" customHeight="1" x14ac:dyDescent="0.3">
      <c r="A99" s="3"/>
      <c r="B99" s="3"/>
      <c r="C99" s="3"/>
      <c r="D99" s="3"/>
      <c r="E99" s="3"/>
      <c r="G99" s="3"/>
      <c r="H99" s="3"/>
      <c r="I99" s="3"/>
      <c r="J99" s="3"/>
      <c r="K99" s="3"/>
    </row>
    <row r="100" spans="1:11" ht="15" customHeight="1" x14ac:dyDescent="0.3">
      <c r="A100" s="26"/>
      <c r="B100" s="26"/>
      <c r="C100" s="26"/>
      <c r="D100" s="26"/>
      <c r="E100" s="26"/>
      <c r="G100" s="26"/>
      <c r="H100" s="26"/>
      <c r="I100" s="26"/>
      <c r="J100" s="26"/>
      <c r="K100" s="26"/>
    </row>
    <row r="101" spans="1:11" ht="15" customHeight="1" x14ac:dyDescent="0.3">
      <c r="A101" s="3"/>
      <c r="B101" s="3"/>
      <c r="C101" s="3"/>
      <c r="D101" s="3"/>
      <c r="E101" s="3"/>
      <c r="G101" s="3"/>
      <c r="H101" s="3"/>
      <c r="I101" s="3"/>
      <c r="J101" s="3"/>
      <c r="K101" s="3"/>
    </row>
    <row r="102" spans="1:11" ht="15" customHeight="1" x14ac:dyDescent="0.3">
      <c r="A102" s="26"/>
      <c r="B102" s="26"/>
      <c r="C102" s="26"/>
      <c r="D102" s="26"/>
      <c r="E102" s="26"/>
      <c r="G102" s="26"/>
      <c r="H102" s="26"/>
      <c r="I102" s="26"/>
      <c r="J102" s="26"/>
      <c r="K102" s="26"/>
    </row>
    <row r="103" spans="1:11" ht="15" customHeight="1" x14ac:dyDescent="0.3">
      <c r="A103" s="3"/>
      <c r="B103" s="3"/>
      <c r="C103" s="3"/>
      <c r="D103" s="3"/>
      <c r="E103" s="3"/>
      <c r="G103" s="3"/>
      <c r="H103" s="3"/>
      <c r="I103" s="3"/>
      <c r="J103" s="3"/>
      <c r="K103" s="3"/>
    </row>
    <row r="104" spans="1:11" ht="15" customHeight="1" x14ac:dyDescent="0.3">
      <c r="A104" s="26"/>
      <c r="B104" s="26"/>
      <c r="C104" s="26"/>
      <c r="D104" s="26"/>
      <c r="E104" s="26"/>
      <c r="G104" s="26"/>
      <c r="H104" s="26"/>
      <c r="I104" s="26"/>
      <c r="J104" s="26"/>
      <c r="K104" s="26"/>
    </row>
    <row r="105" spans="1:11" ht="15" customHeight="1" x14ac:dyDescent="0.3">
      <c r="G105" s="3"/>
      <c r="H105" s="3"/>
      <c r="I105" s="3"/>
      <c r="J105" s="3"/>
      <c r="K105" s="3"/>
    </row>
    <row r="106" spans="1:11" ht="15" customHeight="1" x14ac:dyDescent="0.3">
      <c r="G106" s="26"/>
      <c r="H106" s="26"/>
      <c r="I106" s="26"/>
      <c r="J106" s="26"/>
      <c r="K106" s="26"/>
    </row>
    <row r="107" spans="1:11" ht="15" customHeight="1" x14ac:dyDescent="0.3">
      <c r="G107" s="3"/>
      <c r="H107" s="3"/>
      <c r="I107" s="3"/>
      <c r="J107" s="3"/>
      <c r="K107" s="3"/>
    </row>
    <row r="108" spans="1:11" ht="15" customHeight="1" x14ac:dyDescent="0.3">
      <c r="G108" s="26"/>
      <c r="H108" s="26"/>
      <c r="I108" s="26"/>
      <c r="J108" s="26"/>
      <c r="K108" s="26"/>
    </row>
    <row r="109" spans="1:11" ht="15" customHeight="1" x14ac:dyDescent="0.3">
      <c r="G109" s="3"/>
      <c r="H109" s="3"/>
      <c r="I109" s="3"/>
      <c r="J109" s="3"/>
      <c r="K109" s="3"/>
    </row>
    <row r="110" spans="1:11" ht="15" customHeight="1" x14ac:dyDescent="0.3">
      <c r="G110" s="26"/>
      <c r="H110" s="26"/>
      <c r="I110" s="26"/>
      <c r="J110" s="26"/>
      <c r="K110" s="26"/>
    </row>
    <row r="111" spans="1:11" ht="15" customHeight="1" x14ac:dyDescent="0.3">
      <c r="G111" s="3"/>
      <c r="H111" s="3"/>
      <c r="I111" s="3"/>
      <c r="J111" s="3"/>
      <c r="K111" s="3"/>
    </row>
    <row r="112" spans="1:11" ht="15" customHeight="1" x14ac:dyDescent="0.3">
      <c r="G112" s="26"/>
      <c r="H112" s="26"/>
      <c r="I112" s="26"/>
      <c r="J112" s="26"/>
      <c r="K112" s="26"/>
    </row>
    <row r="113" spans="7:11" ht="15" customHeight="1" x14ac:dyDescent="0.3">
      <c r="G113" s="3"/>
      <c r="H113" s="3"/>
      <c r="I113" s="3"/>
      <c r="J113" s="3"/>
      <c r="K113" s="3"/>
    </row>
    <row r="114" spans="7:11" ht="15" customHeight="1" x14ac:dyDescent="0.3">
      <c r="G114" s="26"/>
      <c r="H114" s="26"/>
      <c r="I114" s="26"/>
      <c r="J114" s="26"/>
      <c r="K114" s="26"/>
    </row>
    <row r="115" spans="7:11" ht="15" customHeight="1" x14ac:dyDescent="0.3">
      <c r="G115" s="3"/>
      <c r="H115" s="3"/>
      <c r="I115" s="3"/>
      <c r="J115" s="3"/>
      <c r="K115" s="3"/>
    </row>
    <row r="116" spans="7:11" ht="15" customHeight="1" x14ac:dyDescent="0.3">
      <c r="G116" s="26"/>
      <c r="H116" s="26"/>
      <c r="I116" s="26"/>
      <c r="J116" s="26"/>
      <c r="K116" s="26"/>
    </row>
    <row r="117" spans="7:11" ht="15" customHeight="1" x14ac:dyDescent="0.3">
      <c r="G117" s="3"/>
      <c r="H117" s="3"/>
      <c r="I117" s="3"/>
      <c r="J117" s="3"/>
      <c r="K117" s="3"/>
    </row>
    <row r="118" spans="7:11" ht="15" customHeight="1" x14ac:dyDescent="0.3">
      <c r="G118" s="26"/>
      <c r="H118" s="26"/>
      <c r="I118" s="26"/>
      <c r="J118" s="26"/>
      <c r="K118" s="26"/>
    </row>
    <row r="119" spans="7:11" ht="15" customHeight="1" x14ac:dyDescent="0.3">
      <c r="G119" s="3"/>
      <c r="H119" s="3"/>
      <c r="I119" s="3"/>
      <c r="J119" s="3"/>
      <c r="K119" s="3"/>
    </row>
    <row r="120" spans="7:11" ht="15" customHeight="1" x14ac:dyDescent="0.3">
      <c r="G120" s="26"/>
      <c r="H120" s="26"/>
      <c r="I120" s="26"/>
      <c r="J120" s="26"/>
      <c r="K120" s="26"/>
    </row>
    <row r="121" spans="7:11" ht="15" customHeight="1" x14ac:dyDescent="0.3">
      <c r="G121" s="3"/>
      <c r="H121" s="3"/>
      <c r="I121" s="3"/>
      <c r="J121" s="3"/>
      <c r="K121" s="3"/>
    </row>
    <row r="122" spans="7:11" ht="15" customHeight="1" x14ac:dyDescent="0.3">
      <c r="G122" s="26"/>
      <c r="H122" s="26"/>
      <c r="I122" s="26"/>
      <c r="J122" s="26"/>
      <c r="K122" s="26"/>
    </row>
    <row r="123" spans="7:11" ht="15" customHeight="1" x14ac:dyDescent="0.3">
      <c r="G123" s="3"/>
      <c r="H123" s="3"/>
      <c r="I123" s="3"/>
      <c r="J123" s="3"/>
      <c r="K123" s="3"/>
    </row>
    <row r="124" spans="7:11" ht="15" customHeight="1" x14ac:dyDescent="0.3">
      <c r="G124" s="26"/>
      <c r="H124" s="26"/>
      <c r="I124" s="26"/>
      <c r="J124" s="26"/>
      <c r="K124" s="26"/>
    </row>
    <row r="125" spans="7:11" ht="15" customHeight="1" x14ac:dyDescent="0.3">
      <c r="G125" s="3"/>
      <c r="H125" s="3"/>
      <c r="I125" s="3"/>
      <c r="J125" s="3"/>
      <c r="K125" s="3"/>
    </row>
    <row r="126" spans="7:11" ht="15" customHeight="1" x14ac:dyDescent="0.3">
      <c r="G126" s="26"/>
      <c r="H126" s="26"/>
      <c r="I126" s="26"/>
      <c r="J126" s="26"/>
      <c r="K126" s="26"/>
    </row>
    <row r="127" spans="7:11" ht="15" customHeight="1" x14ac:dyDescent="0.3">
      <c r="G127" s="3"/>
      <c r="H127" s="3"/>
      <c r="I127" s="3"/>
      <c r="J127" s="3"/>
      <c r="K127" s="3"/>
    </row>
    <row r="128" spans="7:11" ht="15" customHeight="1" x14ac:dyDescent="0.3">
      <c r="G128" s="26"/>
      <c r="H128" s="26"/>
      <c r="I128" s="26"/>
      <c r="J128" s="26"/>
      <c r="K128" s="26"/>
    </row>
    <row r="129" spans="7:11" ht="15" customHeight="1" x14ac:dyDescent="0.3">
      <c r="G129" s="3"/>
      <c r="H129" s="3"/>
      <c r="I129" s="3"/>
      <c r="J129" s="3"/>
      <c r="K129" s="3"/>
    </row>
    <row r="130" spans="7:11" ht="15" customHeight="1" x14ac:dyDescent="0.3">
      <c r="G130" s="26"/>
      <c r="H130" s="26"/>
      <c r="I130" s="26"/>
      <c r="J130" s="26"/>
      <c r="K130" s="26"/>
    </row>
    <row r="131" spans="7:11" ht="15" customHeight="1" x14ac:dyDescent="0.3">
      <c r="G131" s="3"/>
      <c r="H131" s="3"/>
      <c r="I131" s="3"/>
      <c r="J131" s="3"/>
      <c r="K131" s="3"/>
    </row>
    <row r="132" spans="7:11" ht="15" customHeight="1" x14ac:dyDescent="0.3">
      <c r="G132" s="26"/>
      <c r="H132" s="26"/>
      <c r="I132" s="26"/>
      <c r="J132" s="26"/>
      <c r="K132" s="26"/>
    </row>
    <row r="133" spans="7:11" ht="15" customHeight="1" x14ac:dyDescent="0.3">
      <c r="G133" s="3"/>
      <c r="H133" s="3"/>
      <c r="I133" s="3"/>
      <c r="J133" s="3"/>
      <c r="K133" s="3"/>
    </row>
    <row r="134" spans="7:11" ht="15" customHeight="1" x14ac:dyDescent="0.3">
      <c r="G134" s="26"/>
      <c r="H134" s="26"/>
      <c r="I134" s="26"/>
      <c r="J134" s="26"/>
      <c r="K134" s="26"/>
    </row>
    <row r="135" spans="7:11" ht="15" customHeight="1" x14ac:dyDescent="0.3">
      <c r="G135" s="3"/>
      <c r="H135" s="3"/>
      <c r="I135" s="3"/>
      <c r="J135" s="3"/>
      <c r="K135" s="3"/>
    </row>
    <row r="136" spans="7:11" ht="15" customHeight="1" x14ac:dyDescent="0.3">
      <c r="G136" s="26"/>
      <c r="H136" s="26"/>
      <c r="I136" s="26"/>
      <c r="J136" s="26"/>
      <c r="K136" s="26"/>
    </row>
    <row r="137" spans="7:11" ht="15" customHeight="1" x14ac:dyDescent="0.3">
      <c r="G137" s="3"/>
      <c r="H137" s="3"/>
      <c r="I137" s="3"/>
      <c r="J137" s="3"/>
      <c r="K137" s="3"/>
    </row>
    <row r="138" spans="7:11" ht="15" customHeight="1" x14ac:dyDescent="0.3">
      <c r="G138" s="26"/>
      <c r="H138" s="26"/>
      <c r="I138" s="26"/>
      <c r="J138" s="26"/>
      <c r="K138" s="26"/>
    </row>
    <row r="139" spans="7:11" ht="15" customHeight="1" x14ac:dyDescent="0.3">
      <c r="G139" s="3"/>
      <c r="H139" s="3"/>
      <c r="I139" s="3"/>
      <c r="J139" s="3"/>
      <c r="K139" s="3"/>
    </row>
    <row r="140" spans="7:11" ht="15" customHeight="1" x14ac:dyDescent="0.3">
      <c r="G140" s="26"/>
      <c r="H140" s="26"/>
      <c r="I140" s="26"/>
      <c r="J140" s="26"/>
      <c r="K140" s="26"/>
    </row>
    <row r="141" spans="7:11" ht="15" customHeight="1" x14ac:dyDescent="0.3">
      <c r="G141" s="3"/>
      <c r="H141" s="3"/>
      <c r="I141" s="3"/>
      <c r="J141" s="3"/>
      <c r="K141" s="3"/>
    </row>
    <row r="142" spans="7:11" ht="15" customHeight="1" x14ac:dyDescent="0.3">
      <c r="G142" s="26"/>
      <c r="H142" s="26"/>
      <c r="I142" s="26"/>
      <c r="J142" s="26"/>
      <c r="K142" s="26"/>
    </row>
    <row r="143" spans="7:11" ht="15" customHeight="1" x14ac:dyDescent="0.3">
      <c r="G143" s="3"/>
      <c r="H143" s="3"/>
      <c r="I143" s="3"/>
      <c r="J143" s="3"/>
      <c r="K143" s="3"/>
    </row>
    <row r="144" spans="7:11" ht="15" customHeight="1" x14ac:dyDescent="0.3">
      <c r="G144" s="26"/>
      <c r="H144" s="26"/>
      <c r="I144" s="26"/>
      <c r="J144" s="26"/>
      <c r="K144" s="26"/>
    </row>
    <row r="145" spans="7:11" ht="15" customHeight="1" x14ac:dyDescent="0.3">
      <c r="G145" s="3"/>
      <c r="H145" s="3"/>
      <c r="I145" s="3"/>
      <c r="J145" s="3"/>
      <c r="K145" s="3"/>
    </row>
    <row r="146" spans="7:11" ht="15" customHeight="1" x14ac:dyDescent="0.3">
      <c r="G146" s="26"/>
      <c r="H146" s="26"/>
      <c r="I146" s="26"/>
      <c r="J146" s="26"/>
      <c r="K146" s="26"/>
    </row>
    <row r="147" spans="7:11" ht="15" customHeight="1" x14ac:dyDescent="0.3">
      <c r="G147" s="3"/>
      <c r="H147" s="3"/>
      <c r="I147" s="3"/>
      <c r="J147" s="3"/>
      <c r="K147" s="3"/>
    </row>
    <row r="148" spans="7:11" ht="15" customHeight="1" x14ac:dyDescent="0.3">
      <c r="G148" s="26"/>
      <c r="H148" s="26"/>
      <c r="I148" s="26"/>
      <c r="J148" s="26"/>
      <c r="K148" s="26"/>
    </row>
    <row r="149" spans="7:11" ht="15" customHeight="1" x14ac:dyDescent="0.3">
      <c r="G149" s="3"/>
      <c r="H149" s="3"/>
      <c r="I149" s="3"/>
      <c r="J149" s="3"/>
      <c r="K149" s="3"/>
    </row>
    <row r="150" spans="7:11" ht="15" customHeight="1" x14ac:dyDescent="0.3">
      <c r="G150" s="26"/>
      <c r="H150" s="26"/>
      <c r="I150" s="26"/>
      <c r="J150" s="26"/>
      <c r="K150" s="26"/>
    </row>
    <row r="151" spans="7:11" ht="15" customHeight="1" x14ac:dyDescent="0.3">
      <c r="G151" s="3"/>
      <c r="H151" s="3"/>
      <c r="I151" s="3"/>
      <c r="J151" s="3"/>
      <c r="K151" s="3"/>
    </row>
    <row r="152" spans="7:11" ht="15" customHeight="1" x14ac:dyDescent="0.3">
      <c r="G152" s="26"/>
      <c r="H152" s="26"/>
      <c r="I152" s="26"/>
      <c r="J152" s="26"/>
      <c r="K152" s="26"/>
    </row>
    <row r="153" spans="7:11" ht="15" customHeight="1" x14ac:dyDescent="0.3">
      <c r="G153" s="3"/>
      <c r="H153" s="3"/>
      <c r="I153" s="3"/>
      <c r="J153" s="3"/>
      <c r="K153" s="3"/>
    </row>
    <row r="154" spans="7:11" ht="15" customHeight="1" x14ac:dyDescent="0.3">
      <c r="G154" s="26"/>
      <c r="H154" s="26"/>
      <c r="I154" s="26"/>
      <c r="J154" s="26"/>
      <c r="K154" s="26"/>
    </row>
  </sheetData>
  <mergeCells count="4">
    <mergeCell ref="A1:K1"/>
    <mergeCell ref="A2:K2"/>
    <mergeCell ref="A3:E3"/>
    <mergeCell ref="G3:K3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LİSTELER!$B$2:$B$8</xm:f>
          </x14:formula1>
          <x14:formula2>
            <xm:f>0</xm:f>
          </x14:formula2>
          <xm:sqref>E5:E104 I5:I154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R503"/>
  <sheetViews>
    <sheetView showGridLines="0" zoomScale="85" zoomScaleNormal="85" workbookViewId="0">
      <pane ySplit="3" topLeftCell="A4" activePane="bottomLeft" state="frozen"/>
      <selection pane="bottomLeft" activeCell="A2" sqref="A2:R2"/>
    </sheetView>
  </sheetViews>
  <sheetFormatPr defaultColWidth="8.6640625" defaultRowHeight="14.4" x14ac:dyDescent="0.3"/>
  <cols>
    <col min="1" max="1" width="13" style="1" customWidth="1"/>
    <col min="2" max="2" width="14" style="1" customWidth="1"/>
    <col min="3" max="3" width="11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8" style="1" customWidth="1"/>
    <col min="10" max="10" width="26" style="1" customWidth="1"/>
    <col min="11" max="12" width="18" style="1" customWidth="1"/>
    <col min="13" max="13" width="15" style="1" customWidth="1"/>
    <col min="14" max="14" width="22" style="1" customWidth="1"/>
    <col min="15" max="15" width="10" style="1" customWidth="1"/>
    <col min="16" max="16" width="13" style="1" customWidth="1"/>
    <col min="17" max="17" width="14" style="1" customWidth="1"/>
    <col min="18" max="18" width="28" style="1" customWidth="1"/>
  </cols>
  <sheetData>
    <row r="1" spans="1:18" ht="82.2" customHeight="1" x14ac:dyDescent="0.3">
      <c r="A1" s="30" t="s">
        <v>56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8" customHeight="1" x14ac:dyDescent="0.3">
      <c r="A2" s="49" t="s">
        <v>57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ht="39.75" customHeight="1" x14ac:dyDescent="0.3">
      <c r="A3" s="4" t="s">
        <v>58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  <c r="G3" s="4" t="s">
        <v>64</v>
      </c>
      <c r="H3" s="4" t="s">
        <v>65</v>
      </c>
      <c r="I3" s="4" t="s">
        <v>66</v>
      </c>
      <c r="J3" s="4" t="s">
        <v>67</v>
      </c>
      <c r="K3" s="4" t="s">
        <v>68</v>
      </c>
      <c r="L3" s="4" t="s">
        <v>69</v>
      </c>
      <c r="M3" s="4" t="s">
        <v>70</v>
      </c>
      <c r="N3" s="4" t="s">
        <v>71</v>
      </c>
      <c r="O3" s="4" t="s">
        <v>72</v>
      </c>
      <c r="P3" s="4" t="s">
        <v>73</v>
      </c>
      <c r="Q3" s="4" t="s">
        <v>74</v>
      </c>
      <c r="R3" s="4" t="s">
        <v>75</v>
      </c>
    </row>
    <row r="4" spans="1:18" ht="15" customHeight="1" x14ac:dyDescent="0.3">
      <c r="A4" s="3" t="str">
        <f t="shared" ref="A4:A67" si="0">IF(D4&lt;&gt;"","ŞKY-"&amp;TEXT(ROW()-3,"0000"),"")</f>
        <v/>
      </c>
      <c r="B4" s="5"/>
      <c r="C4" s="6"/>
      <c r="D4" s="3"/>
      <c r="E4" s="3"/>
      <c r="F4" s="3"/>
      <c r="G4" s="3"/>
      <c r="H4" s="3"/>
      <c r="I4" s="7"/>
      <c r="J4" s="3"/>
      <c r="K4" s="3"/>
      <c r="L4" s="3" t="str">
        <f>IFERROR(IF(K4="","",VLOOKUP(K4,TANIMLAMALAR!$A$5:$E$104,3,0)),"")</f>
        <v/>
      </c>
      <c r="M4" s="3" t="str">
        <f>IFERROR(IF(K4="","",VLOOKUP(K4,TANIMLAMALAR!$A$5:$E$104,4,0)),"")</f>
        <v/>
      </c>
      <c r="N4" s="3"/>
      <c r="O4" s="3"/>
      <c r="P4" s="3"/>
      <c r="Q4" s="5"/>
      <c r="R4" s="7"/>
    </row>
    <row r="5" spans="1:18" ht="15" customHeight="1" x14ac:dyDescent="0.3">
      <c r="A5" s="26" t="str">
        <f t="shared" si="0"/>
        <v/>
      </c>
      <c r="B5" s="8"/>
      <c r="C5" s="9"/>
      <c r="D5" s="26"/>
      <c r="E5" s="26"/>
      <c r="F5" s="26"/>
      <c r="G5" s="26"/>
      <c r="H5" s="26"/>
      <c r="I5" s="25"/>
      <c r="J5" s="26"/>
      <c r="K5" s="26"/>
      <c r="L5" s="26" t="str">
        <f>IFERROR(IF(K5="","",VLOOKUP(K5,TANIMLAMALAR!$A$5:$E$104,3,0)),"")</f>
        <v/>
      </c>
      <c r="M5" s="26" t="str">
        <f>IFERROR(IF(K5="","",VLOOKUP(K5,TANIMLAMALAR!$A$5:$E$104,4,0)),"")</f>
        <v/>
      </c>
      <c r="N5" s="26"/>
      <c r="O5" s="26"/>
      <c r="P5" s="26"/>
      <c r="Q5" s="8"/>
      <c r="R5" s="25"/>
    </row>
    <row r="6" spans="1:18" ht="15" customHeight="1" x14ac:dyDescent="0.3">
      <c r="A6" s="3" t="str">
        <f t="shared" si="0"/>
        <v/>
      </c>
      <c r="B6" s="5"/>
      <c r="C6" s="6"/>
      <c r="D6" s="3"/>
      <c r="E6" s="3"/>
      <c r="F6" s="3"/>
      <c r="G6" s="3"/>
      <c r="H6" s="3"/>
      <c r="I6" s="7"/>
      <c r="J6" s="3"/>
      <c r="K6" s="3"/>
      <c r="L6" s="3" t="str">
        <f>IFERROR(IF(K6="","",VLOOKUP(K6,TANIMLAMALAR!$A$5:$E$104,3,0)),"")</f>
        <v/>
      </c>
      <c r="M6" s="3" t="str">
        <f>IFERROR(IF(K6="","",VLOOKUP(K6,TANIMLAMALAR!$A$5:$E$104,4,0)),"")</f>
        <v/>
      </c>
      <c r="N6" s="3"/>
      <c r="O6" s="3"/>
      <c r="P6" s="3"/>
      <c r="Q6" s="5"/>
      <c r="R6" s="7"/>
    </row>
    <row r="7" spans="1:18" ht="15" customHeight="1" x14ac:dyDescent="0.3">
      <c r="A7" s="26" t="str">
        <f t="shared" si="0"/>
        <v/>
      </c>
      <c r="B7" s="8"/>
      <c r="C7" s="9"/>
      <c r="D7" s="26"/>
      <c r="E7" s="26"/>
      <c r="F7" s="26"/>
      <c r="G7" s="26"/>
      <c r="H7" s="26"/>
      <c r="I7" s="25"/>
      <c r="J7" s="26"/>
      <c r="K7" s="26"/>
      <c r="L7" s="26" t="str">
        <f>IFERROR(IF(K7="","",VLOOKUP(K7,TANIMLAMALAR!$A$5:$E$104,3,0)),"")</f>
        <v/>
      </c>
      <c r="M7" s="26" t="str">
        <f>IFERROR(IF(K7="","",VLOOKUP(K7,TANIMLAMALAR!$A$5:$E$104,4,0)),"")</f>
        <v/>
      </c>
      <c r="N7" s="26"/>
      <c r="O7" s="26"/>
      <c r="P7" s="26"/>
      <c r="Q7" s="8"/>
      <c r="R7" s="25"/>
    </row>
    <row r="8" spans="1:18" ht="15" customHeight="1" x14ac:dyDescent="0.3">
      <c r="A8" s="3" t="str">
        <f t="shared" si="0"/>
        <v/>
      </c>
      <c r="B8" s="5"/>
      <c r="C8" s="6"/>
      <c r="D8" s="3"/>
      <c r="E8" s="3"/>
      <c r="F8" s="3"/>
      <c r="G8" s="3"/>
      <c r="H8" s="3"/>
      <c r="I8" s="7"/>
      <c r="J8" s="3"/>
      <c r="K8" s="3"/>
      <c r="L8" s="3" t="str">
        <f>IFERROR(IF(K8="","",VLOOKUP(K8,TANIMLAMALAR!$A$5:$E$104,3,0)),"")</f>
        <v/>
      </c>
      <c r="M8" s="3" t="str">
        <f>IFERROR(IF(K8="","",VLOOKUP(K8,TANIMLAMALAR!$A$5:$E$104,4,0)),"")</f>
        <v/>
      </c>
      <c r="N8" s="3"/>
      <c r="O8" s="3"/>
      <c r="P8" s="3"/>
      <c r="Q8" s="5"/>
      <c r="R8" s="7"/>
    </row>
    <row r="9" spans="1:18" ht="15" customHeight="1" x14ac:dyDescent="0.3">
      <c r="A9" s="26" t="str">
        <f t="shared" si="0"/>
        <v/>
      </c>
      <c r="B9" s="8"/>
      <c r="C9" s="9"/>
      <c r="D9" s="26"/>
      <c r="E9" s="26"/>
      <c r="F9" s="26"/>
      <c r="G9" s="26"/>
      <c r="H9" s="26"/>
      <c r="I9" s="25"/>
      <c r="J9" s="26"/>
      <c r="K9" s="26"/>
      <c r="L9" s="26" t="str">
        <f>IFERROR(IF(K9="","",VLOOKUP(K9,TANIMLAMALAR!$A$5:$E$104,3,0)),"")</f>
        <v/>
      </c>
      <c r="M9" s="26" t="str">
        <f>IFERROR(IF(K9="","",VLOOKUP(K9,TANIMLAMALAR!$A$5:$E$104,4,0)),"")</f>
        <v/>
      </c>
      <c r="N9" s="26"/>
      <c r="O9" s="26"/>
      <c r="P9" s="26"/>
      <c r="Q9" s="8"/>
      <c r="R9" s="25"/>
    </row>
    <row r="10" spans="1:18" ht="15" customHeight="1" x14ac:dyDescent="0.3">
      <c r="A10" s="3" t="str">
        <f t="shared" si="0"/>
        <v/>
      </c>
      <c r="B10" s="5"/>
      <c r="C10" s="6"/>
      <c r="D10" s="3"/>
      <c r="E10" s="3"/>
      <c r="F10" s="3"/>
      <c r="G10" s="3"/>
      <c r="H10" s="3"/>
      <c r="I10" s="7"/>
      <c r="J10" s="3"/>
      <c r="K10" s="3"/>
      <c r="L10" s="3" t="str">
        <f>IFERROR(IF(K10="","",VLOOKUP(K10,TANIMLAMALAR!$A$5:$E$104,3,0)),"")</f>
        <v/>
      </c>
      <c r="M10" s="3" t="str">
        <f>IFERROR(IF(K10="","",VLOOKUP(K10,TANIMLAMALAR!$A$5:$E$104,4,0)),"")</f>
        <v/>
      </c>
      <c r="N10" s="3"/>
      <c r="O10" s="3"/>
      <c r="P10" s="3"/>
      <c r="Q10" s="5"/>
      <c r="R10" s="7"/>
    </row>
    <row r="11" spans="1:18" ht="15" customHeight="1" x14ac:dyDescent="0.3">
      <c r="A11" s="26" t="str">
        <f t="shared" si="0"/>
        <v/>
      </c>
      <c r="B11" s="8"/>
      <c r="C11" s="9"/>
      <c r="D11" s="26"/>
      <c r="E11" s="26"/>
      <c r="F11" s="26"/>
      <c r="G11" s="26"/>
      <c r="H11" s="26"/>
      <c r="I11" s="25"/>
      <c r="J11" s="26"/>
      <c r="K11" s="26"/>
      <c r="L11" s="26" t="str">
        <f>IFERROR(IF(K11="","",VLOOKUP(K11,TANIMLAMALAR!$A$5:$E$104,3,0)),"")</f>
        <v/>
      </c>
      <c r="M11" s="26" t="str">
        <f>IFERROR(IF(K11="","",VLOOKUP(K11,TANIMLAMALAR!$A$5:$E$104,4,0)),"")</f>
        <v/>
      </c>
      <c r="N11" s="26"/>
      <c r="O11" s="26"/>
      <c r="P11" s="26"/>
      <c r="Q11" s="8"/>
      <c r="R11" s="25"/>
    </row>
    <row r="12" spans="1:18" ht="15" customHeight="1" x14ac:dyDescent="0.3">
      <c r="A12" s="3" t="str">
        <f t="shared" si="0"/>
        <v/>
      </c>
      <c r="B12" s="5"/>
      <c r="C12" s="6"/>
      <c r="D12" s="3"/>
      <c r="E12" s="3"/>
      <c r="F12" s="3"/>
      <c r="G12" s="3"/>
      <c r="H12" s="3"/>
      <c r="I12" s="7"/>
      <c r="J12" s="3"/>
      <c r="K12" s="3"/>
      <c r="L12" s="3" t="str">
        <f>IFERROR(IF(K12="","",VLOOKUP(K12,TANIMLAMALAR!$A$5:$E$104,3,0)),"")</f>
        <v/>
      </c>
      <c r="M12" s="3" t="str">
        <f>IFERROR(IF(K12="","",VLOOKUP(K12,TANIMLAMALAR!$A$5:$E$104,4,0)),"")</f>
        <v/>
      </c>
      <c r="N12" s="3"/>
      <c r="O12" s="3"/>
      <c r="P12" s="3"/>
      <c r="Q12" s="5"/>
      <c r="R12" s="7"/>
    </row>
    <row r="13" spans="1:18" ht="15" customHeight="1" x14ac:dyDescent="0.3">
      <c r="A13" s="26" t="str">
        <f t="shared" si="0"/>
        <v/>
      </c>
      <c r="B13" s="8"/>
      <c r="C13" s="9"/>
      <c r="D13" s="26"/>
      <c r="E13" s="26"/>
      <c r="F13" s="26"/>
      <c r="G13" s="26"/>
      <c r="H13" s="26"/>
      <c r="I13" s="25"/>
      <c r="J13" s="26"/>
      <c r="K13" s="26"/>
      <c r="L13" s="26" t="str">
        <f>IFERROR(IF(K13="","",VLOOKUP(K13,TANIMLAMALAR!$A$5:$E$104,3,0)),"")</f>
        <v/>
      </c>
      <c r="M13" s="26" t="str">
        <f>IFERROR(IF(K13="","",VLOOKUP(K13,TANIMLAMALAR!$A$5:$E$104,4,0)),"")</f>
        <v/>
      </c>
      <c r="N13" s="26"/>
      <c r="O13" s="26"/>
      <c r="P13" s="26"/>
      <c r="Q13" s="8"/>
      <c r="R13" s="25"/>
    </row>
    <row r="14" spans="1:18" ht="15" customHeight="1" x14ac:dyDescent="0.3">
      <c r="A14" s="3" t="str">
        <f t="shared" si="0"/>
        <v/>
      </c>
      <c r="B14" s="5"/>
      <c r="C14" s="6"/>
      <c r="D14" s="3"/>
      <c r="E14" s="3"/>
      <c r="F14" s="3"/>
      <c r="G14" s="3"/>
      <c r="H14" s="3"/>
      <c r="I14" s="7"/>
      <c r="J14" s="3"/>
      <c r="K14" s="3"/>
      <c r="L14" s="3" t="str">
        <f>IFERROR(IF(K14="","",VLOOKUP(K14,TANIMLAMALAR!$A$5:$E$104,3,0)),"")</f>
        <v/>
      </c>
      <c r="M14" s="3" t="str">
        <f>IFERROR(IF(K14="","",VLOOKUP(K14,TANIMLAMALAR!$A$5:$E$104,4,0)),"")</f>
        <v/>
      </c>
      <c r="N14" s="3"/>
      <c r="O14" s="3"/>
      <c r="P14" s="3"/>
      <c r="Q14" s="5"/>
      <c r="R14" s="7"/>
    </row>
    <row r="15" spans="1:18" ht="15" customHeight="1" x14ac:dyDescent="0.3">
      <c r="A15" s="26" t="str">
        <f t="shared" si="0"/>
        <v/>
      </c>
      <c r="B15" s="8"/>
      <c r="C15" s="9"/>
      <c r="D15" s="26"/>
      <c r="E15" s="26"/>
      <c r="F15" s="26"/>
      <c r="G15" s="26"/>
      <c r="H15" s="26"/>
      <c r="I15" s="25"/>
      <c r="J15" s="26"/>
      <c r="K15" s="26"/>
      <c r="L15" s="26" t="str">
        <f>IFERROR(IF(K15="","",VLOOKUP(K15,TANIMLAMALAR!$A$5:$E$104,3,0)),"")</f>
        <v/>
      </c>
      <c r="M15" s="26" t="str">
        <f>IFERROR(IF(K15="","",VLOOKUP(K15,TANIMLAMALAR!$A$5:$E$104,4,0)),"")</f>
        <v/>
      </c>
      <c r="N15" s="26"/>
      <c r="O15" s="26"/>
      <c r="P15" s="26"/>
      <c r="Q15" s="8"/>
      <c r="R15" s="25"/>
    </row>
    <row r="16" spans="1:18" ht="15" customHeight="1" x14ac:dyDescent="0.3">
      <c r="A16" s="3" t="str">
        <f t="shared" si="0"/>
        <v/>
      </c>
      <c r="B16" s="5"/>
      <c r="C16" s="6"/>
      <c r="D16" s="3"/>
      <c r="E16" s="3"/>
      <c r="F16" s="3"/>
      <c r="G16" s="3"/>
      <c r="H16" s="3"/>
      <c r="I16" s="7"/>
      <c r="J16" s="3"/>
      <c r="K16" s="3"/>
      <c r="L16" s="3" t="str">
        <f>IFERROR(IF(K16="","",VLOOKUP(K16,TANIMLAMALAR!$A$5:$E$104,3,0)),"")</f>
        <v/>
      </c>
      <c r="M16" s="3" t="str">
        <f>IFERROR(IF(K16="","",VLOOKUP(K16,TANIMLAMALAR!$A$5:$E$104,4,0)),"")</f>
        <v/>
      </c>
      <c r="N16" s="3"/>
      <c r="O16" s="3"/>
      <c r="P16" s="3"/>
      <c r="Q16" s="5"/>
      <c r="R16" s="7"/>
    </row>
    <row r="17" spans="1:18" ht="15" customHeight="1" x14ac:dyDescent="0.3">
      <c r="A17" s="26" t="str">
        <f t="shared" si="0"/>
        <v/>
      </c>
      <c r="B17" s="8"/>
      <c r="C17" s="9"/>
      <c r="D17" s="26"/>
      <c r="E17" s="26"/>
      <c r="F17" s="26"/>
      <c r="G17" s="26"/>
      <c r="H17" s="26"/>
      <c r="I17" s="25"/>
      <c r="J17" s="26"/>
      <c r="K17" s="26"/>
      <c r="L17" s="26" t="str">
        <f>IFERROR(IF(K17="","",VLOOKUP(K17,TANIMLAMALAR!$A$5:$E$104,3,0)),"")</f>
        <v/>
      </c>
      <c r="M17" s="26" t="str">
        <f>IFERROR(IF(K17="","",VLOOKUP(K17,TANIMLAMALAR!$A$5:$E$104,4,0)),"")</f>
        <v/>
      </c>
      <c r="N17" s="26"/>
      <c r="O17" s="26"/>
      <c r="P17" s="26"/>
      <c r="Q17" s="8"/>
      <c r="R17" s="25"/>
    </row>
    <row r="18" spans="1:18" ht="15" customHeight="1" x14ac:dyDescent="0.3">
      <c r="A18" s="3" t="str">
        <f t="shared" si="0"/>
        <v/>
      </c>
      <c r="B18" s="5"/>
      <c r="C18" s="6"/>
      <c r="D18" s="3"/>
      <c r="E18" s="3"/>
      <c r="F18" s="3"/>
      <c r="G18" s="3"/>
      <c r="H18" s="3"/>
      <c r="I18" s="7"/>
      <c r="J18" s="3"/>
      <c r="K18" s="3"/>
      <c r="L18" s="3" t="str">
        <f>IFERROR(IF(K18="","",VLOOKUP(K18,TANIMLAMALAR!$A$5:$E$104,3,0)),"")</f>
        <v/>
      </c>
      <c r="M18" s="3" t="str">
        <f>IFERROR(IF(K18="","",VLOOKUP(K18,TANIMLAMALAR!$A$5:$E$104,4,0)),"")</f>
        <v/>
      </c>
      <c r="N18" s="3"/>
      <c r="O18" s="3"/>
      <c r="P18" s="3"/>
      <c r="Q18" s="5"/>
      <c r="R18" s="7"/>
    </row>
    <row r="19" spans="1:18" ht="15" customHeight="1" x14ac:dyDescent="0.3">
      <c r="A19" s="26" t="str">
        <f t="shared" si="0"/>
        <v/>
      </c>
      <c r="B19" s="8"/>
      <c r="C19" s="9"/>
      <c r="D19" s="26"/>
      <c r="E19" s="26"/>
      <c r="F19" s="26"/>
      <c r="G19" s="26"/>
      <c r="H19" s="26"/>
      <c r="I19" s="25"/>
      <c r="J19" s="26"/>
      <c r="K19" s="26"/>
      <c r="L19" s="26" t="str">
        <f>IFERROR(IF(K19="","",VLOOKUP(K19,TANIMLAMALAR!$A$5:$E$104,3,0)),"")</f>
        <v/>
      </c>
      <c r="M19" s="26" t="str">
        <f>IFERROR(IF(K19="","",VLOOKUP(K19,TANIMLAMALAR!$A$5:$E$104,4,0)),"")</f>
        <v/>
      </c>
      <c r="N19" s="26"/>
      <c r="O19" s="26"/>
      <c r="P19" s="26"/>
      <c r="Q19" s="8"/>
      <c r="R19" s="25"/>
    </row>
    <row r="20" spans="1:18" ht="15" customHeight="1" x14ac:dyDescent="0.3">
      <c r="A20" s="3" t="str">
        <f t="shared" si="0"/>
        <v/>
      </c>
      <c r="B20" s="5"/>
      <c r="C20" s="6"/>
      <c r="D20" s="3"/>
      <c r="E20" s="3"/>
      <c r="F20" s="3"/>
      <c r="G20" s="3"/>
      <c r="H20" s="3"/>
      <c r="I20" s="7"/>
      <c r="J20" s="3"/>
      <c r="K20" s="3"/>
      <c r="L20" s="3" t="str">
        <f>IFERROR(IF(K20="","",VLOOKUP(K20,TANIMLAMALAR!$A$5:$E$104,3,0)),"")</f>
        <v/>
      </c>
      <c r="M20" s="3" t="str">
        <f>IFERROR(IF(K20="","",VLOOKUP(K20,TANIMLAMALAR!$A$5:$E$104,4,0)),"")</f>
        <v/>
      </c>
      <c r="N20" s="3"/>
      <c r="O20" s="3"/>
      <c r="P20" s="3"/>
      <c r="Q20" s="5"/>
      <c r="R20" s="7"/>
    </row>
    <row r="21" spans="1:18" ht="15" customHeight="1" x14ac:dyDescent="0.3">
      <c r="A21" s="26" t="str">
        <f t="shared" si="0"/>
        <v/>
      </c>
      <c r="B21" s="8"/>
      <c r="C21" s="9"/>
      <c r="D21" s="26"/>
      <c r="E21" s="26"/>
      <c r="F21" s="26"/>
      <c r="G21" s="26"/>
      <c r="H21" s="26"/>
      <c r="I21" s="25"/>
      <c r="J21" s="26"/>
      <c r="K21" s="26"/>
      <c r="L21" s="26" t="str">
        <f>IFERROR(IF(K21="","",VLOOKUP(K21,TANIMLAMALAR!$A$5:$E$104,3,0)),"")</f>
        <v/>
      </c>
      <c r="M21" s="26" t="str">
        <f>IFERROR(IF(K21="","",VLOOKUP(K21,TANIMLAMALAR!$A$5:$E$104,4,0)),"")</f>
        <v/>
      </c>
      <c r="N21" s="26"/>
      <c r="O21" s="26"/>
      <c r="P21" s="26"/>
      <c r="Q21" s="8"/>
      <c r="R21" s="25"/>
    </row>
    <row r="22" spans="1:18" ht="15" customHeight="1" x14ac:dyDescent="0.3">
      <c r="A22" s="3" t="str">
        <f t="shared" si="0"/>
        <v/>
      </c>
      <c r="B22" s="5"/>
      <c r="C22" s="6"/>
      <c r="D22" s="3"/>
      <c r="E22" s="3"/>
      <c r="F22" s="3"/>
      <c r="G22" s="3"/>
      <c r="H22" s="3"/>
      <c r="I22" s="7"/>
      <c r="J22" s="3"/>
      <c r="K22" s="3"/>
      <c r="L22" s="3" t="str">
        <f>IFERROR(IF(K22="","",VLOOKUP(K22,TANIMLAMALAR!$A$5:$E$104,3,0)),"")</f>
        <v/>
      </c>
      <c r="M22" s="3" t="str">
        <f>IFERROR(IF(K22="","",VLOOKUP(K22,TANIMLAMALAR!$A$5:$E$104,4,0)),"")</f>
        <v/>
      </c>
      <c r="N22" s="3"/>
      <c r="O22" s="3"/>
      <c r="P22" s="3"/>
      <c r="Q22" s="5"/>
      <c r="R22" s="7"/>
    </row>
    <row r="23" spans="1:18" ht="15" customHeight="1" x14ac:dyDescent="0.3">
      <c r="A23" s="26" t="str">
        <f t="shared" si="0"/>
        <v/>
      </c>
      <c r="B23" s="8"/>
      <c r="C23" s="9"/>
      <c r="D23" s="26"/>
      <c r="E23" s="26"/>
      <c r="F23" s="26"/>
      <c r="G23" s="26"/>
      <c r="H23" s="26"/>
      <c r="I23" s="25"/>
      <c r="J23" s="26"/>
      <c r="K23" s="26"/>
      <c r="L23" s="26" t="str">
        <f>IFERROR(IF(K23="","",VLOOKUP(K23,TANIMLAMALAR!$A$5:$E$104,3,0)),"")</f>
        <v/>
      </c>
      <c r="M23" s="26" t="str">
        <f>IFERROR(IF(K23="","",VLOOKUP(K23,TANIMLAMALAR!$A$5:$E$104,4,0)),"")</f>
        <v/>
      </c>
      <c r="N23" s="26"/>
      <c r="O23" s="26"/>
      <c r="P23" s="26"/>
      <c r="Q23" s="8"/>
      <c r="R23" s="25"/>
    </row>
    <row r="24" spans="1:18" ht="15" customHeight="1" x14ac:dyDescent="0.3">
      <c r="A24" s="3" t="str">
        <f t="shared" si="0"/>
        <v/>
      </c>
      <c r="B24" s="5"/>
      <c r="C24" s="6"/>
      <c r="D24" s="3"/>
      <c r="E24" s="3"/>
      <c r="F24" s="3"/>
      <c r="G24" s="3"/>
      <c r="H24" s="3"/>
      <c r="I24" s="7"/>
      <c r="J24" s="3"/>
      <c r="K24" s="3"/>
      <c r="L24" s="3" t="str">
        <f>IFERROR(IF(K24="","",VLOOKUP(K24,TANIMLAMALAR!$A$5:$E$104,3,0)),"")</f>
        <v/>
      </c>
      <c r="M24" s="3" t="str">
        <f>IFERROR(IF(K24="","",VLOOKUP(K24,TANIMLAMALAR!$A$5:$E$104,4,0)),"")</f>
        <v/>
      </c>
      <c r="N24" s="3"/>
      <c r="O24" s="3"/>
      <c r="P24" s="3"/>
      <c r="Q24" s="5"/>
      <c r="R24" s="7"/>
    </row>
    <row r="25" spans="1:18" ht="15" customHeight="1" x14ac:dyDescent="0.3">
      <c r="A25" s="26" t="str">
        <f t="shared" si="0"/>
        <v/>
      </c>
      <c r="B25" s="8"/>
      <c r="C25" s="9"/>
      <c r="D25" s="26"/>
      <c r="E25" s="26"/>
      <c r="F25" s="26"/>
      <c r="G25" s="26"/>
      <c r="H25" s="26"/>
      <c r="I25" s="25"/>
      <c r="J25" s="26"/>
      <c r="K25" s="26"/>
      <c r="L25" s="26" t="str">
        <f>IFERROR(IF(K25="","",VLOOKUP(K25,TANIMLAMALAR!$A$5:$E$104,3,0)),"")</f>
        <v/>
      </c>
      <c r="M25" s="26" t="str">
        <f>IFERROR(IF(K25="","",VLOOKUP(K25,TANIMLAMALAR!$A$5:$E$104,4,0)),"")</f>
        <v/>
      </c>
      <c r="N25" s="26"/>
      <c r="O25" s="26"/>
      <c r="P25" s="26"/>
      <c r="Q25" s="8"/>
      <c r="R25" s="25"/>
    </row>
    <row r="26" spans="1:18" ht="15" customHeight="1" x14ac:dyDescent="0.3">
      <c r="A26" s="3" t="str">
        <f t="shared" si="0"/>
        <v/>
      </c>
      <c r="B26" s="5"/>
      <c r="C26" s="6"/>
      <c r="D26" s="3"/>
      <c r="E26" s="3"/>
      <c r="F26" s="3"/>
      <c r="G26" s="3"/>
      <c r="H26" s="3"/>
      <c r="I26" s="7"/>
      <c r="J26" s="3"/>
      <c r="K26" s="3"/>
      <c r="L26" s="3" t="str">
        <f>IFERROR(IF(K26="","",VLOOKUP(K26,TANIMLAMALAR!$A$5:$E$104,3,0)),"")</f>
        <v/>
      </c>
      <c r="M26" s="3" t="str">
        <f>IFERROR(IF(K26="","",VLOOKUP(K26,TANIMLAMALAR!$A$5:$E$104,4,0)),"")</f>
        <v/>
      </c>
      <c r="N26" s="3"/>
      <c r="O26" s="3"/>
      <c r="P26" s="3"/>
      <c r="Q26" s="5"/>
      <c r="R26" s="7"/>
    </row>
    <row r="27" spans="1:18" ht="15" customHeight="1" x14ac:dyDescent="0.3">
      <c r="A27" s="26" t="str">
        <f t="shared" si="0"/>
        <v/>
      </c>
      <c r="B27" s="8"/>
      <c r="C27" s="9"/>
      <c r="D27" s="26"/>
      <c r="E27" s="26"/>
      <c r="F27" s="26"/>
      <c r="G27" s="26"/>
      <c r="H27" s="26"/>
      <c r="I27" s="25"/>
      <c r="J27" s="26"/>
      <c r="K27" s="26"/>
      <c r="L27" s="26" t="str">
        <f>IFERROR(IF(K27="","",VLOOKUP(K27,TANIMLAMALAR!$A$5:$E$104,3,0)),"")</f>
        <v/>
      </c>
      <c r="M27" s="26" t="str">
        <f>IFERROR(IF(K27="","",VLOOKUP(K27,TANIMLAMALAR!$A$5:$E$104,4,0)),"")</f>
        <v/>
      </c>
      <c r="N27" s="26"/>
      <c r="O27" s="26"/>
      <c r="P27" s="26"/>
      <c r="Q27" s="8"/>
      <c r="R27" s="25"/>
    </row>
    <row r="28" spans="1:18" ht="15" customHeight="1" x14ac:dyDescent="0.3">
      <c r="A28" s="3" t="str">
        <f t="shared" si="0"/>
        <v/>
      </c>
      <c r="B28" s="5"/>
      <c r="C28" s="6"/>
      <c r="D28" s="3"/>
      <c r="E28" s="3"/>
      <c r="F28" s="3"/>
      <c r="G28" s="3"/>
      <c r="H28" s="3"/>
      <c r="I28" s="7"/>
      <c r="J28" s="3"/>
      <c r="K28" s="3"/>
      <c r="L28" s="3" t="str">
        <f>IFERROR(IF(K28="","",VLOOKUP(K28,TANIMLAMALAR!$A$5:$E$104,3,0)),"")</f>
        <v/>
      </c>
      <c r="M28" s="3" t="str">
        <f>IFERROR(IF(K28="","",VLOOKUP(K28,TANIMLAMALAR!$A$5:$E$104,4,0)),"")</f>
        <v/>
      </c>
      <c r="N28" s="3"/>
      <c r="O28" s="3"/>
      <c r="P28" s="3"/>
      <c r="Q28" s="5"/>
      <c r="R28" s="7"/>
    </row>
    <row r="29" spans="1:18" ht="15" customHeight="1" x14ac:dyDescent="0.3">
      <c r="A29" s="26" t="str">
        <f t="shared" si="0"/>
        <v/>
      </c>
      <c r="B29" s="8"/>
      <c r="C29" s="9"/>
      <c r="D29" s="26"/>
      <c r="E29" s="26"/>
      <c r="F29" s="26"/>
      <c r="G29" s="26"/>
      <c r="H29" s="26"/>
      <c r="I29" s="25"/>
      <c r="J29" s="26"/>
      <c r="K29" s="26"/>
      <c r="L29" s="26" t="str">
        <f>IFERROR(IF(K29="","",VLOOKUP(K29,TANIMLAMALAR!$A$5:$E$104,3,0)),"")</f>
        <v/>
      </c>
      <c r="M29" s="26" t="str">
        <f>IFERROR(IF(K29="","",VLOOKUP(K29,TANIMLAMALAR!$A$5:$E$104,4,0)),"")</f>
        <v/>
      </c>
      <c r="N29" s="26"/>
      <c r="O29" s="26"/>
      <c r="P29" s="26"/>
      <c r="Q29" s="8"/>
      <c r="R29" s="25"/>
    </row>
    <row r="30" spans="1:18" ht="15" customHeight="1" x14ac:dyDescent="0.3">
      <c r="A30" s="3" t="str">
        <f t="shared" si="0"/>
        <v/>
      </c>
      <c r="B30" s="5"/>
      <c r="C30" s="6"/>
      <c r="D30" s="3"/>
      <c r="E30" s="3"/>
      <c r="F30" s="3"/>
      <c r="G30" s="3"/>
      <c r="H30" s="3"/>
      <c r="I30" s="7"/>
      <c r="J30" s="3"/>
      <c r="K30" s="3"/>
      <c r="L30" s="3" t="str">
        <f>IFERROR(IF(K30="","",VLOOKUP(K30,TANIMLAMALAR!$A$5:$E$104,3,0)),"")</f>
        <v/>
      </c>
      <c r="M30" s="3" t="str">
        <f>IFERROR(IF(K30="","",VLOOKUP(K30,TANIMLAMALAR!$A$5:$E$104,4,0)),"")</f>
        <v/>
      </c>
      <c r="N30" s="3"/>
      <c r="O30" s="3"/>
      <c r="P30" s="3"/>
      <c r="Q30" s="5"/>
      <c r="R30" s="7"/>
    </row>
    <row r="31" spans="1:18" ht="15" customHeight="1" x14ac:dyDescent="0.3">
      <c r="A31" s="26" t="str">
        <f t="shared" si="0"/>
        <v/>
      </c>
      <c r="B31" s="8"/>
      <c r="C31" s="9"/>
      <c r="D31" s="26"/>
      <c r="E31" s="26"/>
      <c r="F31" s="26"/>
      <c r="G31" s="26"/>
      <c r="H31" s="26"/>
      <c r="I31" s="25"/>
      <c r="J31" s="26"/>
      <c r="K31" s="26"/>
      <c r="L31" s="26" t="str">
        <f>IFERROR(IF(K31="","",VLOOKUP(K31,TANIMLAMALAR!$A$5:$E$104,3,0)),"")</f>
        <v/>
      </c>
      <c r="M31" s="26" t="str">
        <f>IFERROR(IF(K31="","",VLOOKUP(K31,TANIMLAMALAR!$A$5:$E$104,4,0)),"")</f>
        <v/>
      </c>
      <c r="N31" s="26"/>
      <c r="O31" s="26"/>
      <c r="P31" s="26"/>
      <c r="Q31" s="8"/>
      <c r="R31" s="25"/>
    </row>
    <row r="32" spans="1:18" ht="15" customHeight="1" x14ac:dyDescent="0.3">
      <c r="A32" s="3" t="str">
        <f t="shared" si="0"/>
        <v/>
      </c>
      <c r="B32" s="5"/>
      <c r="C32" s="6"/>
      <c r="D32" s="3"/>
      <c r="E32" s="3"/>
      <c r="F32" s="3"/>
      <c r="G32" s="3"/>
      <c r="H32" s="3"/>
      <c r="I32" s="7"/>
      <c r="J32" s="3"/>
      <c r="K32" s="3"/>
      <c r="L32" s="3" t="str">
        <f>IFERROR(IF(K32="","",VLOOKUP(K32,TANIMLAMALAR!$A$5:$E$104,3,0)),"")</f>
        <v/>
      </c>
      <c r="M32" s="3" t="str">
        <f>IFERROR(IF(K32="","",VLOOKUP(K32,TANIMLAMALAR!$A$5:$E$104,4,0)),"")</f>
        <v/>
      </c>
      <c r="N32" s="3"/>
      <c r="O32" s="3"/>
      <c r="P32" s="3"/>
      <c r="Q32" s="5"/>
      <c r="R32" s="7"/>
    </row>
    <row r="33" spans="1:18" ht="15" customHeight="1" x14ac:dyDescent="0.3">
      <c r="A33" s="26" t="str">
        <f t="shared" si="0"/>
        <v/>
      </c>
      <c r="B33" s="8"/>
      <c r="C33" s="9"/>
      <c r="D33" s="26"/>
      <c r="E33" s="26"/>
      <c r="F33" s="26"/>
      <c r="G33" s="26"/>
      <c r="H33" s="26"/>
      <c r="I33" s="25"/>
      <c r="J33" s="26"/>
      <c r="K33" s="26"/>
      <c r="L33" s="26" t="str">
        <f>IFERROR(IF(K33="","",VLOOKUP(K33,TANIMLAMALAR!$A$5:$E$104,3,0)),"")</f>
        <v/>
      </c>
      <c r="M33" s="26" t="str">
        <f>IFERROR(IF(K33="","",VLOOKUP(K33,TANIMLAMALAR!$A$5:$E$104,4,0)),"")</f>
        <v/>
      </c>
      <c r="N33" s="26"/>
      <c r="O33" s="26"/>
      <c r="P33" s="26"/>
      <c r="Q33" s="8"/>
      <c r="R33" s="25"/>
    </row>
    <row r="34" spans="1:18" ht="15" customHeight="1" x14ac:dyDescent="0.3">
      <c r="A34" s="3" t="str">
        <f t="shared" si="0"/>
        <v/>
      </c>
      <c r="B34" s="5"/>
      <c r="C34" s="6"/>
      <c r="D34" s="3"/>
      <c r="E34" s="3"/>
      <c r="F34" s="3"/>
      <c r="G34" s="3"/>
      <c r="H34" s="3"/>
      <c r="I34" s="7"/>
      <c r="J34" s="3"/>
      <c r="K34" s="3"/>
      <c r="L34" s="3" t="str">
        <f>IFERROR(IF(K34="","",VLOOKUP(K34,TANIMLAMALAR!$A$5:$E$104,3,0)),"")</f>
        <v/>
      </c>
      <c r="M34" s="3" t="str">
        <f>IFERROR(IF(K34="","",VLOOKUP(K34,TANIMLAMALAR!$A$5:$E$104,4,0)),"")</f>
        <v/>
      </c>
      <c r="N34" s="3"/>
      <c r="O34" s="3"/>
      <c r="P34" s="3"/>
      <c r="Q34" s="5"/>
      <c r="R34" s="7"/>
    </row>
    <row r="35" spans="1:18" ht="15" customHeight="1" x14ac:dyDescent="0.3">
      <c r="A35" s="26" t="str">
        <f t="shared" si="0"/>
        <v/>
      </c>
      <c r="B35" s="8"/>
      <c r="C35" s="9"/>
      <c r="D35" s="26"/>
      <c r="E35" s="26"/>
      <c r="F35" s="26"/>
      <c r="G35" s="26"/>
      <c r="H35" s="26"/>
      <c r="I35" s="25"/>
      <c r="J35" s="26"/>
      <c r="K35" s="26"/>
      <c r="L35" s="26" t="str">
        <f>IFERROR(IF(K35="","",VLOOKUP(K35,TANIMLAMALAR!$A$5:$E$104,3,0)),"")</f>
        <v/>
      </c>
      <c r="M35" s="26" t="str">
        <f>IFERROR(IF(K35="","",VLOOKUP(K35,TANIMLAMALAR!$A$5:$E$104,4,0)),"")</f>
        <v/>
      </c>
      <c r="N35" s="26"/>
      <c r="O35" s="26"/>
      <c r="P35" s="26"/>
      <c r="Q35" s="8"/>
      <c r="R35" s="25"/>
    </row>
    <row r="36" spans="1:18" ht="15" customHeight="1" x14ac:dyDescent="0.3">
      <c r="A36" s="3" t="str">
        <f t="shared" si="0"/>
        <v/>
      </c>
      <c r="B36" s="5"/>
      <c r="C36" s="6"/>
      <c r="D36" s="3"/>
      <c r="E36" s="3"/>
      <c r="F36" s="3"/>
      <c r="G36" s="3"/>
      <c r="H36" s="3"/>
      <c r="I36" s="7"/>
      <c r="J36" s="3"/>
      <c r="K36" s="3"/>
      <c r="L36" s="3" t="str">
        <f>IFERROR(IF(K36="","",VLOOKUP(K36,TANIMLAMALAR!$A$5:$E$104,3,0)),"")</f>
        <v/>
      </c>
      <c r="M36" s="3" t="str">
        <f>IFERROR(IF(K36="","",VLOOKUP(K36,TANIMLAMALAR!$A$5:$E$104,4,0)),"")</f>
        <v/>
      </c>
      <c r="N36" s="3"/>
      <c r="O36" s="3"/>
      <c r="P36" s="3"/>
      <c r="Q36" s="5"/>
      <c r="R36" s="7"/>
    </row>
    <row r="37" spans="1:18" ht="15" customHeight="1" x14ac:dyDescent="0.3">
      <c r="A37" s="26" t="str">
        <f t="shared" si="0"/>
        <v/>
      </c>
      <c r="B37" s="8"/>
      <c r="C37" s="9"/>
      <c r="D37" s="26"/>
      <c r="E37" s="26"/>
      <c r="F37" s="26"/>
      <c r="G37" s="26"/>
      <c r="H37" s="26"/>
      <c r="I37" s="25"/>
      <c r="J37" s="26"/>
      <c r="K37" s="26"/>
      <c r="L37" s="26" t="str">
        <f>IFERROR(IF(K37="","",VLOOKUP(K37,TANIMLAMALAR!$A$5:$E$104,3,0)),"")</f>
        <v/>
      </c>
      <c r="M37" s="26" t="str">
        <f>IFERROR(IF(K37="","",VLOOKUP(K37,TANIMLAMALAR!$A$5:$E$104,4,0)),"")</f>
        <v/>
      </c>
      <c r="N37" s="26"/>
      <c r="O37" s="26"/>
      <c r="P37" s="26"/>
      <c r="Q37" s="8"/>
      <c r="R37" s="25"/>
    </row>
    <row r="38" spans="1:18" ht="15" customHeight="1" x14ac:dyDescent="0.3">
      <c r="A38" s="3" t="str">
        <f t="shared" si="0"/>
        <v/>
      </c>
      <c r="B38" s="5"/>
      <c r="C38" s="6"/>
      <c r="D38" s="3"/>
      <c r="E38" s="3"/>
      <c r="F38" s="3"/>
      <c r="G38" s="3"/>
      <c r="H38" s="3"/>
      <c r="I38" s="7"/>
      <c r="J38" s="3"/>
      <c r="K38" s="3"/>
      <c r="L38" s="3" t="str">
        <f>IFERROR(IF(K38="","",VLOOKUP(K38,TANIMLAMALAR!$A$5:$E$104,3,0)),"")</f>
        <v/>
      </c>
      <c r="M38" s="3" t="str">
        <f>IFERROR(IF(K38="","",VLOOKUP(K38,TANIMLAMALAR!$A$5:$E$104,4,0)),"")</f>
        <v/>
      </c>
      <c r="N38" s="3"/>
      <c r="O38" s="3"/>
      <c r="P38" s="3"/>
      <c r="Q38" s="5"/>
      <c r="R38" s="7"/>
    </row>
    <row r="39" spans="1:18" ht="15" customHeight="1" x14ac:dyDescent="0.3">
      <c r="A39" s="26" t="str">
        <f t="shared" si="0"/>
        <v/>
      </c>
      <c r="B39" s="8"/>
      <c r="C39" s="9"/>
      <c r="D39" s="26"/>
      <c r="E39" s="26"/>
      <c r="F39" s="26"/>
      <c r="G39" s="26"/>
      <c r="H39" s="26"/>
      <c r="I39" s="25"/>
      <c r="J39" s="26"/>
      <c r="K39" s="26"/>
      <c r="L39" s="26" t="str">
        <f>IFERROR(IF(K39="","",VLOOKUP(K39,TANIMLAMALAR!$A$5:$E$104,3,0)),"")</f>
        <v/>
      </c>
      <c r="M39" s="26" t="str">
        <f>IFERROR(IF(K39="","",VLOOKUP(K39,TANIMLAMALAR!$A$5:$E$104,4,0)),"")</f>
        <v/>
      </c>
      <c r="N39" s="26"/>
      <c r="O39" s="26"/>
      <c r="P39" s="26"/>
      <c r="Q39" s="8"/>
      <c r="R39" s="25"/>
    </row>
    <row r="40" spans="1:18" ht="15" customHeight="1" x14ac:dyDescent="0.3">
      <c r="A40" s="3" t="str">
        <f t="shared" si="0"/>
        <v/>
      </c>
      <c r="B40" s="5"/>
      <c r="C40" s="6"/>
      <c r="D40" s="3"/>
      <c r="E40" s="3"/>
      <c r="F40" s="3"/>
      <c r="G40" s="3"/>
      <c r="H40" s="3"/>
      <c r="I40" s="7"/>
      <c r="J40" s="3"/>
      <c r="K40" s="3"/>
      <c r="L40" s="3" t="str">
        <f>IFERROR(IF(K40="","",VLOOKUP(K40,TANIMLAMALAR!$A$5:$E$104,3,0)),"")</f>
        <v/>
      </c>
      <c r="M40" s="3" t="str">
        <f>IFERROR(IF(K40="","",VLOOKUP(K40,TANIMLAMALAR!$A$5:$E$104,4,0)),"")</f>
        <v/>
      </c>
      <c r="N40" s="3"/>
      <c r="O40" s="3"/>
      <c r="P40" s="3"/>
      <c r="Q40" s="5"/>
      <c r="R40" s="7"/>
    </row>
    <row r="41" spans="1:18" ht="15" customHeight="1" x14ac:dyDescent="0.3">
      <c r="A41" s="26" t="str">
        <f t="shared" si="0"/>
        <v/>
      </c>
      <c r="B41" s="8"/>
      <c r="C41" s="9"/>
      <c r="D41" s="26"/>
      <c r="E41" s="26"/>
      <c r="F41" s="26"/>
      <c r="G41" s="26"/>
      <c r="H41" s="26"/>
      <c r="I41" s="25"/>
      <c r="J41" s="26"/>
      <c r="K41" s="26"/>
      <c r="L41" s="26" t="str">
        <f>IFERROR(IF(K41="","",VLOOKUP(K41,TANIMLAMALAR!$A$5:$E$104,3,0)),"")</f>
        <v/>
      </c>
      <c r="M41" s="26" t="str">
        <f>IFERROR(IF(K41="","",VLOOKUP(K41,TANIMLAMALAR!$A$5:$E$104,4,0)),"")</f>
        <v/>
      </c>
      <c r="N41" s="26"/>
      <c r="O41" s="26"/>
      <c r="P41" s="26"/>
      <c r="Q41" s="8"/>
      <c r="R41" s="25"/>
    </row>
    <row r="42" spans="1:18" ht="15" customHeight="1" x14ac:dyDescent="0.3">
      <c r="A42" s="3" t="str">
        <f t="shared" si="0"/>
        <v/>
      </c>
      <c r="B42" s="5"/>
      <c r="C42" s="6"/>
      <c r="D42" s="3"/>
      <c r="E42" s="3"/>
      <c r="F42" s="3"/>
      <c r="G42" s="3"/>
      <c r="H42" s="3"/>
      <c r="I42" s="7"/>
      <c r="J42" s="3"/>
      <c r="K42" s="3"/>
      <c r="L42" s="3" t="str">
        <f>IFERROR(IF(K42="","",VLOOKUP(K42,TANIMLAMALAR!$A$5:$E$104,3,0)),"")</f>
        <v/>
      </c>
      <c r="M42" s="3" t="str">
        <f>IFERROR(IF(K42="","",VLOOKUP(K42,TANIMLAMALAR!$A$5:$E$104,4,0)),"")</f>
        <v/>
      </c>
      <c r="N42" s="3"/>
      <c r="O42" s="3"/>
      <c r="P42" s="3"/>
      <c r="Q42" s="5"/>
      <c r="R42" s="7"/>
    </row>
    <row r="43" spans="1:18" ht="15" customHeight="1" x14ac:dyDescent="0.3">
      <c r="A43" s="26" t="str">
        <f t="shared" si="0"/>
        <v/>
      </c>
      <c r="B43" s="8"/>
      <c r="C43" s="9"/>
      <c r="D43" s="26"/>
      <c r="E43" s="26"/>
      <c r="F43" s="26"/>
      <c r="G43" s="26"/>
      <c r="H43" s="26"/>
      <c r="I43" s="25"/>
      <c r="J43" s="26"/>
      <c r="K43" s="26"/>
      <c r="L43" s="26" t="str">
        <f>IFERROR(IF(K43="","",VLOOKUP(K43,TANIMLAMALAR!$A$5:$E$104,3,0)),"")</f>
        <v/>
      </c>
      <c r="M43" s="26" t="str">
        <f>IFERROR(IF(K43="","",VLOOKUP(K43,TANIMLAMALAR!$A$5:$E$104,4,0)),"")</f>
        <v/>
      </c>
      <c r="N43" s="26"/>
      <c r="O43" s="26"/>
      <c r="P43" s="26"/>
      <c r="Q43" s="8"/>
      <c r="R43" s="25"/>
    </row>
    <row r="44" spans="1:18" ht="15" customHeight="1" x14ac:dyDescent="0.3">
      <c r="A44" s="3" t="str">
        <f t="shared" si="0"/>
        <v/>
      </c>
      <c r="B44" s="5"/>
      <c r="C44" s="6"/>
      <c r="D44" s="3"/>
      <c r="E44" s="3"/>
      <c r="F44" s="3"/>
      <c r="G44" s="3"/>
      <c r="H44" s="3"/>
      <c r="I44" s="7"/>
      <c r="J44" s="3"/>
      <c r="K44" s="3"/>
      <c r="L44" s="3" t="str">
        <f>IFERROR(IF(K44="","",VLOOKUP(K44,TANIMLAMALAR!$A$5:$E$104,3,0)),"")</f>
        <v/>
      </c>
      <c r="M44" s="3" t="str">
        <f>IFERROR(IF(K44="","",VLOOKUP(K44,TANIMLAMALAR!$A$5:$E$104,4,0)),"")</f>
        <v/>
      </c>
      <c r="N44" s="3"/>
      <c r="O44" s="3"/>
      <c r="P44" s="3"/>
      <c r="Q44" s="5"/>
      <c r="R44" s="7"/>
    </row>
    <row r="45" spans="1:18" ht="15" customHeight="1" x14ac:dyDescent="0.3">
      <c r="A45" s="26" t="str">
        <f t="shared" si="0"/>
        <v/>
      </c>
      <c r="B45" s="8"/>
      <c r="C45" s="9"/>
      <c r="D45" s="26"/>
      <c r="E45" s="26"/>
      <c r="F45" s="26"/>
      <c r="G45" s="26"/>
      <c r="H45" s="26"/>
      <c r="I45" s="25"/>
      <c r="J45" s="26"/>
      <c r="K45" s="26"/>
      <c r="L45" s="26" t="str">
        <f>IFERROR(IF(K45="","",VLOOKUP(K45,TANIMLAMALAR!$A$5:$E$104,3,0)),"")</f>
        <v/>
      </c>
      <c r="M45" s="26" t="str">
        <f>IFERROR(IF(K45="","",VLOOKUP(K45,TANIMLAMALAR!$A$5:$E$104,4,0)),"")</f>
        <v/>
      </c>
      <c r="N45" s="26"/>
      <c r="O45" s="26"/>
      <c r="P45" s="26"/>
      <c r="Q45" s="8"/>
      <c r="R45" s="25"/>
    </row>
    <row r="46" spans="1:18" ht="15" customHeight="1" x14ac:dyDescent="0.3">
      <c r="A46" s="3" t="str">
        <f t="shared" si="0"/>
        <v/>
      </c>
      <c r="B46" s="5"/>
      <c r="C46" s="6"/>
      <c r="D46" s="3"/>
      <c r="E46" s="3"/>
      <c r="F46" s="3"/>
      <c r="G46" s="3"/>
      <c r="H46" s="3"/>
      <c r="I46" s="7"/>
      <c r="J46" s="3"/>
      <c r="K46" s="3"/>
      <c r="L46" s="3" t="str">
        <f>IFERROR(IF(K46="","",VLOOKUP(K46,TANIMLAMALAR!$A$5:$E$104,3,0)),"")</f>
        <v/>
      </c>
      <c r="M46" s="3" t="str">
        <f>IFERROR(IF(K46="","",VLOOKUP(K46,TANIMLAMALAR!$A$5:$E$104,4,0)),"")</f>
        <v/>
      </c>
      <c r="N46" s="3"/>
      <c r="O46" s="3"/>
      <c r="P46" s="3"/>
      <c r="Q46" s="5"/>
      <c r="R46" s="7"/>
    </row>
    <row r="47" spans="1:18" ht="15" customHeight="1" x14ac:dyDescent="0.3">
      <c r="A47" s="26" t="str">
        <f t="shared" si="0"/>
        <v/>
      </c>
      <c r="B47" s="8"/>
      <c r="C47" s="9"/>
      <c r="D47" s="26"/>
      <c r="E47" s="26"/>
      <c r="F47" s="26"/>
      <c r="G47" s="26"/>
      <c r="H47" s="26"/>
      <c r="I47" s="25"/>
      <c r="J47" s="26"/>
      <c r="K47" s="26"/>
      <c r="L47" s="26" t="str">
        <f>IFERROR(IF(K47="","",VLOOKUP(K47,TANIMLAMALAR!$A$5:$E$104,3,0)),"")</f>
        <v/>
      </c>
      <c r="M47" s="26" t="str">
        <f>IFERROR(IF(K47="","",VLOOKUP(K47,TANIMLAMALAR!$A$5:$E$104,4,0)),"")</f>
        <v/>
      </c>
      <c r="N47" s="26"/>
      <c r="O47" s="26"/>
      <c r="P47" s="26"/>
      <c r="Q47" s="8"/>
      <c r="R47" s="25"/>
    </row>
    <row r="48" spans="1:18" ht="15" customHeight="1" x14ac:dyDescent="0.3">
      <c r="A48" s="3" t="str">
        <f t="shared" si="0"/>
        <v/>
      </c>
      <c r="B48" s="5"/>
      <c r="C48" s="6"/>
      <c r="D48" s="3"/>
      <c r="E48" s="3"/>
      <c r="F48" s="3"/>
      <c r="G48" s="3"/>
      <c r="H48" s="3"/>
      <c r="I48" s="7"/>
      <c r="J48" s="3"/>
      <c r="K48" s="3"/>
      <c r="L48" s="3" t="str">
        <f>IFERROR(IF(K48="","",VLOOKUP(K48,TANIMLAMALAR!$A$5:$E$104,3,0)),"")</f>
        <v/>
      </c>
      <c r="M48" s="3" t="str">
        <f>IFERROR(IF(K48="","",VLOOKUP(K48,TANIMLAMALAR!$A$5:$E$104,4,0)),"")</f>
        <v/>
      </c>
      <c r="N48" s="3"/>
      <c r="O48" s="3"/>
      <c r="P48" s="3"/>
      <c r="Q48" s="5"/>
      <c r="R48" s="7"/>
    </row>
    <row r="49" spans="1:18" ht="15" customHeight="1" x14ac:dyDescent="0.3">
      <c r="A49" s="26" t="str">
        <f t="shared" si="0"/>
        <v/>
      </c>
      <c r="B49" s="8"/>
      <c r="C49" s="9"/>
      <c r="D49" s="26"/>
      <c r="E49" s="26"/>
      <c r="F49" s="26"/>
      <c r="G49" s="26"/>
      <c r="H49" s="26"/>
      <c r="I49" s="25"/>
      <c r="J49" s="26"/>
      <c r="K49" s="26"/>
      <c r="L49" s="26" t="str">
        <f>IFERROR(IF(K49="","",VLOOKUP(K49,TANIMLAMALAR!$A$5:$E$104,3,0)),"")</f>
        <v/>
      </c>
      <c r="M49" s="26" t="str">
        <f>IFERROR(IF(K49="","",VLOOKUP(K49,TANIMLAMALAR!$A$5:$E$104,4,0)),"")</f>
        <v/>
      </c>
      <c r="N49" s="26"/>
      <c r="O49" s="26"/>
      <c r="P49" s="26"/>
      <c r="Q49" s="8"/>
      <c r="R49" s="25"/>
    </row>
    <row r="50" spans="1:18" ht="15" customHeight="1" x14ac:dyDescent="0.3">
      <c r="A50" s="3" t="str">
        <f t="shared" si="0"/>
        <v/>
      </c>
      <c r="B50" s="5"/>
      <c r="C50" s="6"/>
      <c r="D50" s="3"/>
      <c r="E50" s="3"/>
      <c r="F50" s="3"/>
      <c r="G50" s="3"/>
      <c r="H50" s="3"/>
      <c r="I50" s="7"/>
      <c r="J50" s="3"/>
      <c r="K50" s="3"/>
      <c r="L50" s="3" t="str">
        <f>IFERROR(IF(K50="","",VLOOKUP(K50,TANIMLAMALAR!$A$5:$E$104,3,0)),"")</f>
        <v/>
      </c>
      <c r="M50" s="3" t="str">
        <f>IFERROR(IF(K50="","",VLOOKUP(K50,TANIMLAMALAR!$A$5:$E$104,4,0)),"")</f>
        <v/>
      </c>
      <c r="N50" s="3"/>
      <c r="O50" s="3"/>
      <c r="P50" s="3"/>
      <c r="Q50" s="5"/>
      <c r="R50" s="7"/>
    </row>
    <row r="51" spans="1:18" ht="15" customHeight="1" x14ac:dyDescent="0.3">
      <c r="A51" s="26" t="str">
        <f t="shared" si="0"/>
        <v/>
      </c>
      <c r="B51" s="8"/>
      <c r="C51" s="9"/>
      <c r="D51" s="26"/>
      <c r="E51" s="26"/>
      <c r="F51" s="26"/>
      <c r="G51" s="26"/>
      <c r="H51" s="26"/>
      <c r="I51" s="25"/>
      <c r="J51" s="26"/>
      <c r="K51" s="26"/>
      <c r="L51" s="26" t="str">
        <f>IFERROR(IF(K51="","",VLOOKUP(K51,TANIMLAMALAR!$A$5:$E$104,3,0)),"")</f>
        <v/>
      </c>
      <c r="M51" s="26" t="str">
        <f>IFERROR(IF(K51="","",VLOOKUP(K51,TANIMLAMALAR!$A$5:$E$104,4,0)),"")</f>
        <v/>
      </c>
      <c r="N51" s="26"/>
      <c r="O51" s="26"/>
      <c r="P51" s="26"/>
      <c r="Q51" s="8"/>
      <c r="R51" s="25"/>
    </row>
    <row r="52" spans="1:18" ht="15" customHeight="1" x14ac:dyDescent="0.3">
      <c r="A52" s="3" t="str">
        <f t="shared" si="0"/>
        <v/>
      </c>
      <c r="B52" s="5"/>
      <c r="C52" s="6"/>
      <c r="D52" s="3"/>
      <c r="E52" s="3"/>
      <c r="F52" s="3"/>
      <c r="G52" s="3"/>
      <c r="H52" s="3"/>
      <c r="I52" s="7"/>
      <c r="J52" s="3"/>
      <c r="K52" s="3"/>
      <c r="L52" s="3" t="str">
        <f>IFERROR(IF(K52="","",VLOOKUP(K52,TANIMLAMALAR!$A$5:$E$104,3,0)),"")</f>
        <v/>
      </c>
      <c r="M52" s="3" t="str">
        <f>IFERROR(IF(K52="","",VLOOKUP(K52,TANIMLAMALAR!$A$5:$E$104,4,0)),"")</f>
        <v/>
      </c>
      <c r="N52" s="3"/>
      <c r="O52" s="3"/>
      <c r="P52" s="3"/>
      <c r="Q52" s="5"/>
      <c r="R52" s="7"/>
    </row>
    <row r="53" spans="1:18" ht="15" customHeight="1" x14ac:dyDescent="0.3">
      <c r="A53" s="26" t="str">
        <f t="shared" si="0"/>
        <v/>
      </c>
      <c r="B53" s="8"/>
      <c r="C53" s="9"/>
      <c r="D53" s="26"/>
      <c r="E53" s="26"/>
      <c r="F53" s="26"/>
      <c r="G53" s="26"/>
      <c r="H53" s="26"/>
      <c r="I53" s="25"/>
      <c r="J53" s="26"/>
      <c r="K53" s="26"/>
      <c r="L53" s="26" t="str">
        <f>IFERROR(IF(K53="","",VLOOKUP(K53,TANIMLAMALAR!$A$5:$E$104,3,0)),"")</f>
        <v/>
      </c>
      <c r="M53" s="26" t="str">
        <f>IFERROR(IF(K53="","",VLOOKUP(K53,TANIMLAMALAR!$A$5:$E$104,4,0)),"")</f>
        <v/>
      </c>
      <c r="N53" s="26"/>
      <c r="O53" s="26"/>
      <c r="P53" s="26"/>
      <c r="Q53" s="8"/>
      <c r="R53" s="25"/>
    </row>
    <row r="54" spans="1:18" ht="15" customHeight="1" x14ac:dyDescent="0.3">
      <c r="A54" s="3" t="str">
        <f t="shared" si="0"/>
        <v/>
      </c>
      <c r="B54" s="5"/>
      <c r="C54" s="6"/>
      <c r="D54" s="3"/>
      <c r="E54" s="3"/>
      <c r="F54" s="3"/>
      <c r="G54" s="3"/>
      <c r="H54" s="3"/>
      <c r="I54" s="7"/>
      <c r="J54" s="3"/>
      <c r="K54" s="3"/>
      <c r="L54" s="3" t="str">
        <f>IFERROR(IF(K54="","",VLOOKUP(K54,TANIMLAMALAR!$A$5:$E$104,3,0)),"")</f>
        <v/>
      </c>
      <c r="M54" s="3" t="str">
        <f>IFERROR(IF(K54="","",VLOOKUP(K54,TANIMLAMALAR!$A$5:$E$104,4,0)),"")</f>
        <v/>
      </c>
      <c r="N54" s="3"/>
      <c r="O54" s="3"/>
      <c r="P54" s="3"/>
      <c r="Q54" s="5"/>
      <c r="R54" s="7"/>
    </row>
    <row r="55" spans="1:18" ht="15" customHeight="1" x14ac:dyDescent="0.3">
      <c r="A55" s="26" t="str">
        <f t="shared" si="0"/>
        <v/>
      </c>
      <c r="B55" s="8"/>
      <c r="C55" s="9"/>
      <c r="D55" s="26"/>
      <c r="E55" s="26"/>
      <c r="F55" s="26"/>
      <c r="G55" s="26"/>
      <c r="H55" s="26"/>
      <c r="I55" s="25"/>
      <c r="J55" s="26"/>
      <c r="K55" s="26"/>
      <c r="L55" s="26" t="str">
        <f>IFERROR(IF(K55="","",VLOOKUP(K55,TANIMLAMALAR!$A$5:$E$104,3,0)),"")</f>
        <v/>
      </c>
      <c r="M55" s="26" t="str">
        <f>IFERROR(IF(K55="","",VLOOKUP(K55,TANIMLAMALAR!$A$5:$E$104,4,0)),"")</f>
        <v/>
      </c>
      <c r="N55" s="26"/>
      <c r="O55" s="26"/>
      <c r="P55" s="26"/>
      <c r="Q55" s="8"/>
      <c r="R55" s="25"/>
    </row>
    <row r="56" spans="1:18" ht="15" customHeight="1" x14ac:dyDescent="0.3">
      <c r="A56" s="3" t="str">
        <f t="shared" si="0"/>
        <v/>
      </c>
      <c r="B56" s="5"/>
      <c r="C56" s="6"/>
      <c r="D56" s="3"/>
      <c r="E56" s="3"/>
      <c r="F56" s="3"/>
      <c r="G56" s="3"/>
      <c r="H56" s="3"/>
      <c r="I56" s="7"/>
      <c r="J56" s="3"/>
      <c r="K56" s="3"/>
      <c r="L56" s="3" t="str">
        <f>IFERROR(IF(K56="","",VLOOKUP(K56,TANIMLAMALAR!$A$5:$E$104,3,0)),"")</f>
        <v/>
      </c>
      <c r="M56" s="3" t="str">
        <f>IFERROR(IF(K56="","",VLOOKUP(K56,TANIMLAMALAR!$A$5:$E$104,4,0)),"")</f>
        <v/>
      </c>
      <c r="N56" s="3"/>
      <c r="O56" s="3"/>
      <c r="P56" s="3"/>
      <c r="Q56" s="5"/>
      <c r="R56" s="7"/>
    </row>
    <row r="57" spans="1:18" ht="15" customHeight="1" x14ac:dyDescent="0.3">
      <c r="A57" s="26" t="str">
        <f t="shared" si="0"/>
        <v/>
      </c>
      <c r="B57" s="8"/>
      <c r="C57" s="9"/>
      <c r="D57" s="26"/>
      <c r="E57" s="26"/>
      <c r="F57" s="26"/>
      <c r="G57" s="26"/>
      <c r="H57" s="26"/>
      <c r="I57" s="25"/>
      <c r="J57" s="26"/>
      <c r="K57" s="26"/>
      <c r="L57" s="26" t="str">
        <f>IFERROR(IF(K57="","",VLOOKUP(K57,TANIMLAMALAR!$A$5:$E$104,3,0)),"")</f>
        <v/>
      </c>
      <c r="M57" s="26" t="str">
        <f>IFERROR(IF(K57="","",VLOOKUP(K57,TANIMLAMALAR!$A$5:$E$104,4,0)),"")</f>
        <v/>
      </c>
      <c r="N57" s="26"/>
      <c r="O57" s="26"/>
      <c r="P57" s="26"/>
      <c r="Q57" s="8"/>
      <c r="R57" s="25"/>
    </row>
    <row r="58" spans="1:18" ht="15" customHeight="1" x14ac:dyDescent="0.3">
      <c r="A58" s="3" t="str">
        <f t="shared" si="0"/>
        <v/>
      </c>
      <c r="B58" s="5"/>
      <c r="C58" s="6"/>
      <c r="D58" s="3"/>
      <c r="E58" s="3"/>
      <c r="F58" s="3"/>
      <c r="G58" s="3"/>
      <c r="H58" s="3"/>
      <c r="I58" s="7"/>
      <c r="J58" s="3"/>
      <c r="K58" s="3"/>
      <c r="L58" s="3" t="str">
        <f>IFERROR(IF(K58="","",VLOOKUP(K58,TANIMLAMALAR!$A$5:$E$104,3,0)),"")</f>
        <v/>
      </c>
      <c r="M58" s="3" t="str">
        <f>IFERROR(IF(K58="","",VLOOKUP(K58,TANIMLAMALAR!$A$5:$E$104,4,0)),"")</f>
        <v/>
      </c>
      <c r="N58" s="3"/>
      <c r="O58" s="3"/>
      <c r="P58" s="3"/>
      <c r="Q58" s="5"/>
      <c r="R58" s="7"/>
    </row>
    <row r="59" spans="1:18" ht="15" customHeight="1" x14ac:dyDescent="0.3">
      <c r="A59" s="26" t="str">
        <f t="shared" si="0"/>
        <v/>
      </c>
      <c r="B59" s="8"/>
      <c r="C59" s="9"/>
      <c r="D59" s="26"/>
      <c r="E59" s="26"/>
      <c r="F59" s="26"/>
      <c r="G59" s="26"/>
      <c r="H59" s="26"/>
      <c r="I59" s="25"/>
      <c r="J59" s="26"/>
      <c r="K59" s="26"/>
      <c r="L59" s="26" t="str">
        <f>IFERROR(IF(K59="","",VLOOKUP(K59,TANIMLAMALAR!$A$5:$E$104,3,0)),"")</f>
        <v/>
      </c>
      <c r="M59" s="26" t="str">
        <f>IFERROR(IF(K59="","",VLOOKUP(K59,TANIMLAMALAR!$A$5:$E$104,4,0)),"")</f>
        <v/>
      </c>
      <c r="N59" s="26"/>
      <c r="O59" s="26"/>
      <c r="P59" s="26"/>
      <c r="Q59" s="8"/>
      <c r="R59" s="25"/>
    </row>
    <row r="60" spans="1:18" ht="15" customHeight="1" x14ac:dyDescent="0.3">
      <c r="A60" s="3" t="str">
        <f t="shared" si="0"/>
        <v/>
      </c>
      <c r="B60" s="5"/>
      <c r="C60" s="6"/>
      <c r="D60" s="3"/>
      <c r="E60" s="3"/>
      <c r="F60" s="3"/>
      <c r="G60" s="3"/>
      <c r="H60" s="3"/>
      <c r="I60" s="7"/>
      <c r="J60" s="3"/>
      <c r="K60" s="3"/>
      <c r="L60" s="3" t="str">
        <f>IFERROR(IF(K60="","",VLOOKUP(K60,TANIMLAMALAR!$A$5:$E$104,3,0)),"")</f>
        <v/>
      </c>
      <c r="M60" s="3" t="str">
        <f>IFERROR(IF(K60="","",VLOOKUP(K60,TANIMLAMALAR!$A$5:$E$104,4,0)),"")</f>
        <v/>
      </c>
      <c r="N60" s="3"/>
      <c r="O60" s="3"/>
      <c r="P60" s="3"/>
      <c r="Q60" s="5"/>
      <c r="R60" s="7"/>
    </row>
    <row r="61" spans="1:18" ht="15" customHeight="1" x14ac:dyDescent="0.3">
      <c r="A61" s="26" t="str">
        <f t="shared" si="0"/>
        <v/>
      </c>
      <c r="B61" s="8"/>
      <c r="C61" s="9"/>
      <c r="D61" s="26"/>
      <c r="E61" s="26"/>
      <c r="F61" s="26"/>
      <c r="G61" s="26"/>
      <c r="H61" s="26"/>
      <c r="I61" s="25"/>
      <c r="J61" s="26"/>
      <c r="K61" s="26"/>
      <c r="L61" s="26" t="str">
        <f>IFERROR(IF(K61="","",VLOOKUP(K61,TANIMLAMALAR!$A$5:$E$104,3,0)),"")</f>
        <v/>
      </c>
      <c r="M61" s="26" t="str">
        <f>IFERROR(IF(K61="","",VLOOKUP(K61,TANIMLAMALAR!$A$5:$E$104,4,0)),"")</f>
        <v/>
      </c>
      <c r="N61" s="26"/>
      <c r="O61" s="26"/>
      <c r="P61" s="26"/>
      <c r="Q61" s="8"/>
      <c r="R61" s="25"/>
    </row>
    <row r="62" spans="1:18" ht="15" customHeight="1" x14ac:dyDescent="0.3">
      <c r="A62" s="3" t="str">
        <f t="shared" si="0"/>
        <v/>
      </c>
      <c r="B62" s="5"/>
      <c r="C62" s="6"/>
      <c r="D62" s="3"/>
      <c r="E62" s="3"/>
      <c r="F62" s="3"/>
      <c r="G62" s="3"/>
      <c r="H62" s="3"/>
      <c r="I62" s="7"/>
      <c r="J62" s="3"/>
      <c r="K62" s="3"/>
      <c r="L62" s="3" t="str">
        <f>IFERROR(IF(K62="","",VLOOKUP(K62,TANIMLAMALAR!$A$5:$E$104,3,0)),"")</f>
        <v/>
      </c>
      <c r="M62" s="3" t="str">
        <f>IFERROR(IF(K62="","",VLOOKUP(K62,TANIMLAMALAR!$A$5:$E$104,4,0)),"")</f>
        <v/>
      </c>
      <c r="N62" s="3"/>
      <c r="O62" s="3"/>
      <c r="P62" s="3"/>
      <c r="Q62" s="5"/>
      <c r="R62" s="7"/>
    </row>
    <row r="63" spans="1:18" ht="15" customHeight="1" x14ac:dyDescent="0.3">
      <c r="A63" s="26" t="str">
        <f t="shared" si="0"/>
        <v/>
      </c>
      <c r="B63" s="8"/>
      <c r="C63" s="9"/>
      <c r="D63" s="26"/>
      <c r="E63" s="26"/>
      <c r="F63" s="26"/>
      <c r="G63" s="26"/>
      <c r="H63" s="26"/>
      <c r="I63" s="25"/>
      <c r="J63" s="26"/>
      <c r="K63" s="26"/>
      <c r="L63" s="26" t="str">
        <f>IFERROR(IF(K63="","",VLOOKUP(K63,TANIMLAMALAR!$A$5:$E$104,3,0)),"")</f>
        <v/>
      </c>
      <c r="M63" s="26" t="str">
        <f>IFERROR(IF(K63="","",VLOOKUP(K63,TANIMLAMALAR!$A$5:$E$104,4,0)),"")</f>
        <v/>
      </c>
      <c r="N63" s="26"/>
      <c r="O63" s="26"/>
      <c r="P63" s="26"/>
      <c r="Q63" s="8"/>
      <c r="R63" s="25"/>
    </row>
    <row r="64" spans="1:18" ht="15" customHeight="1" x14ac:dyDescent="0.3">
      <c r="A64" s="3" t="str">
        <f t="shared" si="0"/>
        <v/>
      </c>
      <c r="B64" s="5"/>
      <c r="C64" s="6"/>
      <c r="D64" s="3"/>
      <c r="E64" s="3"/>
      <c r="F64" s="3"/>
      <c r="G64" s="3"/>
      <c r="H64" s="3"/>
      <c r="I64" s="7"/>
      <c r="J64" s="3"/>
      <c r="K64" s="3"/>
      <c r="L64" s="3" t="str">
        <f>IFERROR(IF(K64="","",VLOOKUP(K64,TANIMLAMALAR!$A$5:$E$104,3,0)),"")</f>
        <v/>
      </c>
      <c r="M64" s="3" t="str">
        <f>IFERROR(IF(K64="","",VLOOKUP(K64,TANIMLAMALAR!$A$5:$E$104,4,0)),"")</f>
        <v/>
      </c>
      <c r="N64" s="3"/>
      <c r="O64" s="3"/>
      <c r="P64" s="3"/>
      <c r="Q64" s="5"/>
      <c r="R64" s="7"/>
    </row>
    <row r="65" spans="1:18" ht="15" customHeight="1" x14ac:dyDescent="0.3">
      <c r="A65" s="26" t="str">
        <f t="shared" si="0"/>
        <v/>
      </c>
      <c r="B65" s="8"/>
      <c r="C65" s="9"/>
      <c r="D65" s="26"/>
      <c r="E65" s="26"/>
      <c r="F65" s="26"/>
      <c r="G65" s="26"/>
      <c r="H65" s="26"/>
      <c r="I65" s="25"/>
      <c r="J65" s="26"/>
      <c r="K65" s="26"/>
      <c r="L65" s="26" t="str">
        <f>IFERROR(IF(K65="","",VLOOKUP(K65,TANIMLAMALAR!$A$5:$E$104,3,0)),"")</f>
        <v/>
      </c>
      <c r="M65" s="26" t="str">
        <f>IFERROR(IF(K65="","",VLOOKUP(K65,TANIMLAMALAR!$A$5:$E$104,4,0)),"")</f>
        <v/>
      </c>
      <c r="N65" s="26"/>
      <c r="O65" s="26"/>
      <c r="P65" s="26"/>
      <c r="Q65" s="8"/>
      <c r="R65" s="25"/>
    </row>
    <row r="66" spans="1:18" ht="15" customHeight="1" x14ac:dyDescent="0.3">
      <c r="A66" s="3" t="str">
        <f t="shared" si="0"/>
        <v/>
      </c>
      <c r="B66" s="5"/>
      <c r="C66" s="6"/>
      <c r="D66" s="3"/>
      <c r="E66" s="3"/>
      <c r="F66" s="3"/>
      <c r="G66" s="3"/>
      <c r="H66" s="3"/>
      <c r="I66" s="7"/>
      <c r="J66" s="3"/>
      <c r="K66" s="3"/>
      <c r="L66" s="3" t="str">
        <f>IFERROR(IF(K66="","",VLOOKUP(K66,TANIMLAMALAR!$A$5:$E$104,3,0)),"")</f>
        <v/>
      </c>
      <c r="M66" s="3" t="str">
        <f>IFERROR(IF(K66="","",VLOOKUP(K66,TANIMLAMALAR!$A$5:$E$104,4,0)),"")</f>
        <v/>
      </c>
      <c r="N66" s="3"/>
      <c r="O66" s="3"/>
      <c r="P66" s="3"/>
      <c r="Q66" s="5"/>
      <c r="R66" s="7"/>
    </row>
    <row r="67" spans="1:18" ht="15" customHeight="1" x14ac:dyDescent="0.3">
      <c r="A67" s="26" t="str">
        <f t="shared" si="0"/>
        <v/>
      </c>
      <c r="B67" s="8"/>
      <c r="C67" s="9"/>
      <c r="D67" s="26"/>
      <c r="E67" s="26"/>
      <c r="F67" s="26"/>
      <c r="G67" s="26"/>
      <c r="H67" s="26"/>
      <c r="I67" s="25"/>
      <c r="J67" s="26"/>
      <c r="K67" s="26"/>
      <c r="L67" s="26" t="str">
        <f>IFERROR(IF(K67="","",VLOOKUP(K67,TANIMLAMALAR!$A$5:$E$104,3,0)),"")</f>
        <v/>
      </c>
      <c r="M67" s="26" t="str">
        <f>IFERROR(IF(K67="","",VLOOKUP(K67,TANIMLAMALAR!$A$5:$E$104,4,0)),"")</f>
        <v/>
      </c>
      <c r="N67" s="26"/>
      <c r="O67" s="26"/>
      <c r="P67" s="26"/>
      <c r="Q67" s="8"/>
      <c r="R67" s="25"/>
    </row>
    <row r="68" spans="1:18" ht="15" customHeight="1" x14ac:dyDescent="0.3">
      <c r="A68" s="3" t="str">
        <f t="shared" ref="A68:A131" si="1">IF(D68&lt;&gt;"","ŞKY-"&amp;TEXT(ROW()-3,"0000"),"")</f>
        <v/>
      </c>
      <c r="B68" s="5"/>
      <c r="C68" s="6"/>
      <c r="D68" s="3"/>
      <c r="E68" s="3"/>
      <c r="F68" s="3"/>
      <c r="G68" s="3"/>
      <c r="H68" s="3"/>
      <c r="I68" s="7"/>
      <c r="J68" s="3"/>
      <c r="K68" s="3"/>
      <c r="L68" s="3" t="str">
        <f>IFERROR(IF(K68="","",VLOOKUP(K68,TANIMLAMALAR!$A$5:$E$104,3,0)),"")</f>
        <v/>
      </c>
      <c r="M68" s="3" t="str">
        <f>IFERROR(IF(K68="","",VLOOKUP(K68,TANIMLAMALAR!$A$5:$E$104,4,0)),"")</f>
        <v/>
      </c>
      <c r="N68" s="3"/>
      <c r="O68" s="3"/>
      <c r="P68" s="3"/>
      <c r="Q68" s="5"/>
      <c r="R68" s="7"/>
    </row>
    <row r="69" spans="1:18" ht="15" customHeight="1" x14ac:dyDescent="0.3">
      <c r="A69" s="26" t="str">
        <f t="shared" si="1"/>
        <v/>
      </c>
      <c r="B69" s="8"/>
      <c r="C69" s="9"/>
      <c r="D69" s="26"/>
      <c r="E69" s="26"/>
      <c r="F69" s="26"/>
      <c r="G69" s="26"/>
      <c r="H69" s="26"/>
      <c r="I69" s="25"/>
      <c r="J69" s="26"/>
      <c r="K69" s="26"/>
      <c r="L69" s="26" t="str">
        <f>IFERROR(IF(K69="","",VLOOKUP(K69,TANIMLAMALAR!$A$5:$E$104,3,0)),"")</f>
        <v/>
      </c>
      <c r="M69" s="26" t="str">
        <f>IFERROR(IF(K69="","",VLOOKUP(K69,TANIMLAMALAR!$A$5:$E$104,4,0)),"")</f>
        <v/>
      </c>
      <c r="N69" s="26"/>
      <c r="O69" s="26"/>
      <c r="P69" s="26"/>
      <c r="Q69" s="8"/>
      <c r="R69" s="25"/>
    </row>
    <row r="70" spans="1:18" ht="15" customHeight="1" x14ac:dyDescent="0.3">
      <c r="A70" s="3" t="str">
        <f t="shared" si="1"/>
        <v/>
      </c>
      <c r="B70" s="5"/>
      <c r="C70" s="6"/>
      <c r="D70" s="3"/>
      <c r="E70" s="3"/>
      <c r="F70" s="3"/>
      <c r="G70" s="3"/>
      <c r="H70" s="3"/>
      <c r="I70" s="7"/>
      <c r="J70" s="3"/>
      <c r="K70" s="3"/>
      <c r="L70" s="3" t="str">
        <f>IFERROR(IF(K70="","",VLOOKUP(K70,TANIMLAMALAR!$A$5:$E$104,3,0)),"")</f>
        <v/>
      </c>
      <c r="M70" s="3" t="str">
        <f>IFERROR(IF(K70="","",VLOOKUP(K70,TANIMLAMALAR!$A$5:$E$104,4,0)),"")</f>
        <v/>
      </c>
      <c r="N70" s="3"/>
      <c r="O70" s="3"/>
      <c r="P70" s="3"/>
      <c r="Q70" s="5"/>
      <c r="R70" s="7"/>
    </row>
    <row r="71" spans="1:18" ht="15" customHeight="1" x14ac:dyDescent="0.3">
      <c r="A71" s="26" t="str">
        <f t="shared" si="1"/>
        <v/>
      </c>
      <c r="B71" s="8"/>
      <c r="C71" s="9"/>
      <c r="D71" s="26"/>
      <c r="E71" s="26"/>
      <c r="F71" s="26"/>
      <c r="G71" s="26"/>
      <c r="H71" s="26"/>
      <c r="I71" s="25"/>
      <c r="J71" s="26"/>
      <c r="K71" s="26"/>
      <c r="L71" s="26" t="str">
        <f>IFERROR(IF(K71="","",VLOOKUP(K71,TANIMLAMALAR!$A$5:$E$104,3,0)),"")</f>
        <v/>
      </c>
      <c r="M71" s="26" t="str">
        <f>IFERROR(IF(K71="","",VLOOKUP(K71,TANIMLAMALAR!$A$5:$E$104,4,0)),"")</f>
        <v/>
      </c>
      <c r="N71" s="26"/>
      <c r="O71" s="26"/>
      <c r="P71" s="26"/>
      <c r="Q71" s="8"/>
      <c r="R71" s="25"/>
    </row>
    <row r="72" spans="1:18" ht="15" customHeight="1" x14ac:dyDescent="0.3">
      <c r="A72" s="3" t="str">
        <f t="shared" si="1"/>
        <v/>
      </c>
      <c r="B72" s="5"/>
      <c r="C72" s="6"/>
      <c r="D72" s="3"/>
      <c r="E72" s="3"/>
      <c r="F72" s="3"/>
      <c r="G72" s="3"/>
      <c r="H72" s="3"/>
      <c r="I72" s="7"/>
      <c r="J72" s="3"/>
      <c r="K72" s="3"/>
      <c r="L72" s="3" t="str">
        <f>IFERROR(IF(K72="","",VLOOKUP(K72,TANIMLAMALAR!$A$5:$E$104,3,0)),"")</f>
        <v/>
      </c>
      <c r="M72" s="3" t="str">
        <f>IFERROR(IF(K72="","",VLOOKUP(K72,TANIMLAMALAR!$A$5:$E$104,4,0)),"")</f>
        <v/>
      </c>
      <c r="N72" s="3"/>
      <c r="O72" s="3"/>
      <c r="P72" s="3"/>
      <c r="Q72" s="5"/>
      <c r="R72" s="7"/>
    </row>
    <row r="73" spans="1:18" ht="15" customHeight="1" x14ac:dyDescent="0.3">
      <c r="A73" s="26" t="str">
        <f t="shared" si="1"/>
        <v/>
      </c>
      <c r="B73" s="8"/>
      <c r="C73" s="9"/>
      <c r="D73" s="26"/>
      <c r="E73" s="26"/>
      <c r="F73" s="26"/>
      <c r="G73" s="26"/>
      <c r="H73" s="26"/>
      <c r="I73" s="25"/>
      <c r="J73" s="26"/>
      <c r="K73" s="26"/>
      <c r="L73" s="26" t="str">
        <f>IFERROR(IF(K73="","",VLOOKUP(K73,TANIMLAMALAR!$A$5:$E$104,3,0)),"")</f>
        <v/>
      </c>
      <c r="M73" s="26" t="str">
        <f>IFERROR(IF(K73="","",VLOOKUP(K73,TANIMLAMALAR!$A$5:$E$104,4,0)),"")</f>
        <v/>
      </c>
      <c r="N73" s="26"/>
      <c r="O73" s="26"/>
      <c r="P73" s="26"/>
      <c r="Q73" s="8"/>
      <c r="R73" s="25"/>
    </row>
    <row r="74" spans="1:18" ht="15" customHeight="1" x14ac:dyDescent="0.3">
      <c r="A74" s="3" t="str">
        <f t="shared" si="1"/>
        <v/>
      </c>
      <c r="B74" s="5"/>
      <c r="C74" s="6"/>
      <c r="D74" s="3"/>
      <c r="E74" s="3"/>
      <c r="F74" s="3"/>
      <c r="G74" s="3"/>
      <c r="H74" s="3"/>
      <c r="I74" s="7"/>
      <c r="J74" s="3"/>
      <c r="K74" s="3"/>
      <c r="L74" s="3" t="str">
        <f>IFERROR(IF(K74="","",VLOOKUP(K74,TANIMLAMALAR!$A$5:$E$104,3,0)),"")</f>
        <v/>
      </c>
      <c r="M74" s="3" t="str">
        <f>IFERROR(IF(K74="","",VLOOKUP(K74,TANIMLAMALAR!$A$5:$E$104,4,0)),"")</f>
        <v/>
      </c>
      <c r="N74" s="3"/>
      <c r="O74" s="3"/>
      <c r="P74" s="3"/>
      <c r="Q74" s="5"/>
      <c r="R74" s="7"/>
    </row>
    <row r="75" spans="1:18" ht="15" customHeight="1" x14ac:dyDescent="0.3">
      <c r="A75" s="26" t="str">
        <f t="shared" si="1"/>
        <v/>
      </c>
      <c r="B75" s="8"/>
      <c r="C75" s="9"/>
      <c r="D75" s="26"/>
      <c r="E75" s="26"/>
      <c r="F75" s="26"/>
      <c r="G75" s="26"/>
      <c r="H75" s="26"/>
      <c r="I75" s="25"/>
      <c r="J75" s="26"/>
      <c r="K75" s="26"/>
      <c r="L75" s="26" t="str">
        <f>IFERROR(IF(K75="","",VLOOKUP(K75,TANIMLAMALAR!$A$5:$E$104,3,0)),"")</f>
        <v/>
      </c>
      <c r="M75" s="26" t="str">
        <f>IFERROR(IF(K75="","",VLOOKUP(K75,TANIMLAMALAR!$A$5:$E$104,4,0)),"")</f>
        <v/>
      </c>
      <c r="N75" s="26"/>
      <c r="O75" s="26"/>
      <c r="P75" s="26"/>
      <c r="Q75" s="8"/>
      <c r="R75" s="25"/>
    </row>
    <row r="76" spans="1:18" ht="15" customHeight="1" x14ac:dyDescent="0.3">
      <c r="A76" s="3" t="str">
        <f t="shared" si="1"/>
        <v/>
      </c>
      <c r="B76" s="5"/>
      <c r="C76" s="6"/>
      <c r="D76" s="3"/>
      <c r="E76" s="3"/>
      <c r="F76" s="3"/>
      <c r="G76" s="3"/>
      <c r="H76" s="3"/>
      <c r="I76" s="7"/>
      <c r="J76" s="3"/>
      <c r="K76" s="3"/>
      <c r="L76" s="3" t="str">
        <f>IFERROR(IF(K76="","",VLOOKUP(K76,TANIMLAMALAR!$A$5:$E$104,3,0)),"")</f>
        <v/>
      </c>
      <c r="M76" s="3" t="str">
        <f>IFERROR(IF(K76="","",VLOOKUP(K76,TANIMLAMALAR!$A$5:$E$104,4,0)),"")</f>
        <v/>
      </c>
      <c r="N76" s="3"/>
      <c r="O76" s="3"/>
      <c r="P76" s="3"/>
      <c r="Q76" s="5"/>
      <c r="R76" s="7"/>
    </row>
    <row r="77" spans="1:18" ht="15" customHeight="1" x14ac:dyDescent="0.3">
      <c r="A77" s="26" t="str">
        <f t="shared" si="1"/>
        <v/>
      </c>
      <c r="B77" s="8"/>
      <c r="C77" s="9"/>
      <c r="D77" s="26"/>
      <c r="E77" s="26"/>
      <c r="F77" s="26"/>
      <c r="G77" s="26"/>
      <c r="H77" s="26"/>
      <c r="I77" s="25"/>
      <c r="J77" s="26"/>
      <c r="K77" s="26"/>
      <c r="L77" s="26" t="str">
        <f>IFERROR(IF(K77="","",VLOOKUP(K77,TANIMLAMALAR!$A$5:$E$104,3,0)),"")</f>
        <v/>
      </c>
      <c r="M77" s="26" t="str">
        <f>IFERROR(IF(K77="","",VLOOKUP(K77,TANIMLAMALAR!$A$5:$E$104,4,0)),"")</f>
        <v/>
      </c>
      <c r="N77" s="26"/>
      <c r="O77" s="26"/>
      <c r="P77" s="26"/>
      <c r="Q77" s="8"/>
      <c r="R77" s="25"/>
    </row>
    <row r="78" spans="1:18" ht="15" customHeight="1" x14ac:dyDescent="0.3">
      <c r="A78" s="3" t="str">
        <f t="shared" si="1"/>
        <v/>
      </c>
      <c r="B78" s="5"/>
      <c r="C78" s="6"/>
      <c r="D78" s="3"/>
      <c r="E78" s="3"/>
      <c r="F78" s="3"/>
      <c r="G78" s="3"/>
      <c r="H78" s="3"/>
      <c r="I78" s="7"/>
      <c r="J78" s="3"/>
      <c r="K78" s="3"/>
      <c r="L78" s="3" t="str">
        <f>IFERROR(IF(K78="","",VLOOKUP(K78,TANIMLAMALAR!$A$5:$E$104,3,0)),"")</f>
        <v/>
      </c>
      <c r="M78" s="3" t="str">
        <f>IFERROR(IF(K78="","",VLOOKUP(K78,TANIMLAMALAR!$A$5:$E$104,4,0)),"")</f>
        <v/>
      </c>
      <c r="N78" s="3"/>
      <c r="O78" s="3"/>
      <c r="P78" s="3"/>
      <c r="Q78" s="5"/>
      <c r="R78" s="7"/>
    </row>
    <row r="79" spans="1:18" ht="15" customHeight="1" x14ac:dyDescent="0.3">
      <c r="A79" s="26" t="str">
        <f t="shared" si="1"/>
        <v/>
      </c>
      <c r="B79" s="8"/>
      <c r="C79" s="9"/>
      <c r="D79" s="26"/>
      <c r="E79" s="26"/>
      <c r="F79" s="26"/>
      <c r="G79" s="26"/>
      <c r="H79" s="26"/>
      <c r="I79" s="25"/>
      <c r="J79" s="26"/>
      <c r="K79" s="26"/>
      <c r="L79" s="26" t="str">
        <f>IFERROR(IF(K79="","",VLOOKUP(K79,TANIMLAMALAR!$A$5:$E$104,3,0)),"")</f>
        <v/>
      </c>
      <c r="M79" s="26" t="str">
        <f>IFERROR(IF(K79="","",VLOOKUP(K79,TANIMLAMALAR!$A$5:$E$104,4,0)),"")</f>
        <v/>
      </c>
      <c r="N79" s="26"/>
      <c r="O79" s="26"/>
      <c r="P79" s="26"/>
      <c r="Q79" s="8"/>
      <c r="R79" s="25"/>
    </row>
    <row r="80" spans="1:18" ht="15" customHeight="1" x14ac:dyDescent="0.3">
      <c r="A80" s="3" t="str">
        <f t="shared" si="1"/>
        <v/>
      </c>
      <c r="B80" s="5"/>
      <c r="C80" s="6"/>
      <c r="D80" s="3"/>
      <c r="E80" s="3"/>
      <c r="F80" s="3"/>
      <c r="G80" s="3"/>
      <c r="H80" s="3"/>
      <c r="I80" s="7"/>
      <c r="J80" s="3"/>
      <c r="K80" s="3"/>
      <c r="L80" s="3" t="str">
        <f>IFERROR(IF(K80="","",VLOOKUP(K80,TANIMLAMALAR!$A$5:$E$104,3,0)),"")</f>
        <v/>
      </c>
      <c r="M80" s="3" t="str">
        <f>IFERROR(IF(K80="","",VLOOKUP(K80,TANIMLAMALAR!$A$5:$E$104,4,0)),"")</f>
        <v/>
      </c>
      <c r="N80" s="3"/>
      <c r="O80" s="3"/>
      <c r="P80" s="3"/>
      <c r="Q80" s="5"/>
      <c r="R80" s="7"/>
    </row>
    <row r="81" spans="1:18" ht="15" customHeight="1" x14ac:dyDescent="0.3">
      <c r="A81" s="26" t="str">
        <f t="shared" si="1"/>
        <v/>
      </c>
      <c r="B81" s="8"/>
      <c r="C81" s="9"/>
      <c r="D81" s="26"/>
      <c r="E81" s="26"/>
      <c r="F81" s="26"/>
      <c r="G81" s="26"/>
      <c r="H81" s="26"/>
      <c r="I81" s="25"/>
      <c r="J81" s="26"/>
      <c r="K81" s="26"/>
      <c r="L81" s="26" t="str">
        <f>IFERROR(IF(K81="","",VLOOKUP(K81,TANIMLAMALAR!$A$5:$E$104,3,0)),"")</f>
        <v/>
      </c>
      <c r="M81" s="26" t="str">
        <f>IFERROR(IF(K81="","",VLOOKUP(K81,TANIMLAMALAR!$A$5:$E$104,4,0)),"")</f>
        <v/>
      </c>
      <c r="N81" s="26"/>
      <c r="O81" s="26"/>
      <c r="P81" s="26"/>
      <c r="Q81" s="8"/>
      <c r="R81" s="25"/>
    </row>
    <row r="82" spans="1:18" ht="15" customHeight="1" x14ac:dyDescent="0.3">
      <c r="A82" s="3" t="str">
        <f t="shared" si="1"/>
        <v/>
      </c>
      <c r="B82" s="5"/>
      <c r="C82" s="6"/>
      <c r="D82" s="3"/>
      <c r="E82" s="3"/>
      <c r="F82" s="3"/>
      <c r="G82" s="3"/>
      <c r="H82" s="3"/>
      <c r="I82" s="7"/>
      <c r="J82" s="3"/>
      <c r="K82" s="3"/>
      <c r="L82" s="3" t="str">
        <f>IFERROR(IF(K82="","",VLOOKUP(K82,TANIMLAMALAR!$A$5:$E$104,3,0)),"")</f>
        <v/>
      </c>
      <c r="M82" s="3" t="str">
        <f>IFERROR(IF(K82="","",VLOOKUP(K82,TANIMLAMALAR!$A$5:$E$104,4,0)),"")</f>
        <v/>
      </c>
      <c r="N82" s="3"/>
      <c r="O82" s="3"/>
      <c r="P82" s="3"/>
      <c r="Q82" s="5"/>
      <c r="R82" s="7"/>
    </row>
    <row r="83" spans="1:18" ht="15" customHeight="1" x14ac:dyDescent="0.3">
      <c r="A83" s="26" t="str">
        <f t="shared" si="1"/>
        <v/>
      </c>
      <c r="B83" s="8"/>
      <c r="C83" s="9"/>
      <c r="D83" s="26"/>
      <c r="E83" s="26"/>
      <c r="F83" s="26"/>
      <c r="G83" s="26"/>
      <c r="H83" s="26"/>
      <c r="I83" s="25"/>
      <c r="J83" s="26"/>
      <c r="K83" s="26"/>
      <c r="L83" s="26" t="str">
        <f>IFERROR(IF(K83="","",VLOOKUP(K83,TANIMLAMALAR!$A$5:$E$104,3,0)),"")</f>
        <v/>
      </c>
      <c r="M83" s="26" t="str">
        <f>IFERROR(IF(K83="","",VLOOKUP(K83,TANIMLAMALAR!$A$5:$E$104,4,0)),"")</f>
        <v/>
      </c>
      <c r="N83" s="26"/>
      <c r="O83" s="26"/>
      <c r="P83" s="26"/>
      <c r="Q83" s="8"/>
      <c r="R83" s="25"/>
    </row>
    <row r="84" spans="1:18" ht="15" customHeight="1" x14ac:dyDescent="0.3">
      <c r="A84" s="3" t="str">
        <f t="shared" si="1"/>
        <v/>
      </c>
      <c r="B84" s="5"/>
      <c r="C84" s="6"/>
      <c r="D84" s="3"/>
      <c r="E84" s="3"/>
      <c r="F84" s="3"/>
      <c r="G84" s="3"/>
      <c r="H84" s="3"/>
      <c r="I84" s="7"/>
      <c r="J84" s="3"/>
      <c r="K84" s="3"/>
      <c r="L84" s="3" t="str">
        <f>IFERROR(IF(K84="","",VLOOKUP(K84,TANIMLAMALAR!$A$5:$E$104,3,0)),"")</f>
        <v/>
      </c>
      <c r="M84" s="3" t="str">
        <f>IFERROR(IF(K84="","",VLOOKUP(K84,TANIMLAMALAR!$A$5:$E$104,4,0)),"")</f>
        <v/>
      </c>
      <c r="N84" s="3"/>
      <c r="O84" s="3"/>
      <c r="P84" s="3"/>
      <c r="Q84" s="5"/>
      <c r="R84" s="7"/>
    </row>
    <row r="85" spans="1:18" ht="15" customHeight="1" x14ac:dyDescent="0.3">
      <c r="A85" s="26" t="str">
        <f t="shared" si="1"/>
        <v/>
      </c>
      <c r="B85" s="8"/>
      <c r="C85" s="9"/>
      <c r="D85" s="26"/>
      <c r="E85" s="26"/>
      <c r="F85" s="26"/>
      <c r="G85" s="26"/>
      <c r="H85" s="26"/>
      <c r="I85" s="25"/>
      <c r="J85" s="26"/>
      <c r="K85" s="26"/>
      <c r="L85" s="26" t="str">
        <f>IFERROR(IF(K85="","",VLOOKUP(K85,TANIMLAMALAR!$A$5:$E$104,3,0)),"")</f>
        <v/>
      </c>
      <c r="M85" s="26" t="str">
        <f>IFERROR(IF(K85="","",VLOOKUP(K85,TANIMLAMALAR!$A$5:$E$104,4,0)),"")</f>
        <v/>
      </c>
      <c r="N85" s="26"/>
      <c r="O85" s="26"/>
      <c r="P85" s="26"/>
      <c r="Q85" s="8"/>
      <c r="R85" s="25"/>
    </row>
    <row r="86" spans="1:18" ht="15" customHeight="1" x14ac:dyDescent="0.3">
      <c r="A86" s="3" t="str">
        <f t="shared" si="1"/>
        <v/>
      </c>
      <c r="B86" s="5"/>
      <c r="C86" s="6"/>
      <c r="D86" s="3"/>
      <c r="E86" s="3"/>
      <c r="F86" s="3"/>
      <c r="G86" s="3"/>
      <c r="H86" s="3"/>
      <c r="I86" s="7"/>
      <c r="J86" s="3"/>
      <c r="K86" s="3"/>
      <c r="L86" s="3" t="str">
        <f>IFERROR(IF(K86="","",VLOOKUP(K86,TANIMLAMALAR!$A$5:$E$104,3,0)),"")</f>
        <v/>
      </c>
      <c r="M86" s="3" t="str">
        <f>IFERROR(IF(K86="","",VLOOKUP(K86,TANIMLAMALAR!$A$5:$E$104,4,0)),"")</f>
        <v/>
      </c>
      <c r="N86" s="3"/>
      <c r="O86" s="3"/>
      <c r="P86" s="3"/>
      <c r="Q86" s="5"/>
      <c r="R86" s="7"/>
    </row>
    <row r="87" spans="1:18" ht="15" customHeight="1" x14ac:dyDescent="0.3">
      <c r="A87" s="26" t="str">
        <f t="shared" si="1"/>
        <v/>
      </c>
      <c r="B87" s="8"/>
      <c r="C87" s="9"/>
      <c r="D87" s="26"/>
      <c r="E87" s="26"/>
      <c r="F87" s="26"/>
      <c r="G87" s="26"/>
      <c r="H87" s="26"/>
      <c r="I87" s="25"/>
      <c r="J87" s="26"/>
      <c r="K87" s="26"/>
      <c r="L87" s="26" t="str">
        <f>IFERROR(IF(K87="","",VLOOKUP(K87,TANIMLAMALAR!$A$5:$E$104,3,0)),"")</f>
        <v/>
      </c>
      <c r="M87" s="26" t="str">
        <f>IFERROR(IF(K87="","",VLOOKUP(K87,TANIMLAMALAR!$A$5:$E$104,4,0)),"")</f>
        <v/>
      </c>
      <c r="N87" s="26"/>
      <c r="O87" s="26"/>
      <c r="P87" s="26"/>
      <c r="Q87" s="8"/>
      <c r="R87" s="25"/>
    </row>
    <row r="88" spans="1:18" ht="15" customHeight="1" x14ac:dyDescent="0.3">
      <c r="A88" s="3" t="str">
        <f t="shared" si="1"/>
        <v/>
      </c>
      <c r="B88" s="5"/>
      <c r="C88" s="6"/>
      <c r="D88" s="3"/>
      <c r="E88" s="3"/>
      <c r="F88" s="3"/>
      <c r="G88" s="3"/>
      <c r="H88" s="3"/>
      <c r="I88" s="7"/>
      <c r="J88" s="3"/>
      <c r="K88" s="3"/>
      <c r="L88" s="3" t="str">
        <f>IFERROR(IF(K88="","",VLOOKUP(K88,TANIMLAMALAR!$A$5:$E$104,3,0)),"")</f>
        <v/>
      </c>
      <c r="M88" s="3" t="str">
        <f>IFERROR(IF(K88="","",VLOOKUP(K88,TANIMLAMALAR!$A$5:$E$104,4,0)),"")</f>
        <v/>
      </c>
      <c r="N88" s="3"/>
      <c r="O88" s="3"/>
      <c r="P88" s="3"/>
      <c r="Q88" s="5"/>
      <c r="R88" s="7"/>
    </row>
    <row r="89" spans="1:18" ht="15" customHeight="1" x14ac:dyDescent="0.3">
      <c r="A89" s="26" t="str">
        <f t="shared" si="1"/>
        <v/>
      </c>
      <c r="B89" s="8"/>
      <c r="C89" s="9"/>
      <c r="D89" s="26"/>
      <c r="E89" s="26"/>
      <c r="F89" s="26"/>
      <c r="G89" s="26"/>
      <c r="H89" s="26"/>
      <c r="I89" s="25"/>
      <c r="J89" s="26"/>
      <c r="K89" s="26"/>
      <c r="L89" s="26" t="str">
        <f>IFERROR(IF(K89="","",VLOOKUP(K89,TANIMLAMALAR!$A$5:$E$104,3,0)),"")</f>
        <v/>
      </c>
      <c r="M89" s="26" t="str">
        <f>IFERROR(IF(K89="","",VLOOKUP(K89,TANIMLAMALAR!$A$5:$E$104,4,0)),"")</f>
        <v/>
      </c>
      <c r="N89" s="26"/>
      <c r="O89" s="26"/>
      <c r="P89" s="26"/>
      <c r="Q89" s="8"/>
      <c r="R89" s="25"/>
    </row>
    <row r="90" spans="1:18" ht="15" customHeight="1" x14ac:dyDescent="0.3">
      <c r="A90" s="3" t="str">
        <f t="shared" si="1"/>
        <v/>
      </c>
      <c r="B90" s="5"/>
      <c r="C90" s="6"/>
      <c r="D90" s="3"/>
      <c r="E90" s="3"/>
      <c r="F90" s="3"/>
      <c r="G90" s="3"/>
      <c r="H90" s="3"/>
      <c r="I90" s="7"/>
      <c r="J90" s="3"/>
      <c r="K90" s="3"/>
      <c r="L90" s="3" t="str">
        <f>IFERROR(IF(K90="","",VLOOKUP(K90,TANIMLAMALAR!$A$5:$E$104,3,0)),"")</f>
        <v/>
      </c>
      <c r="M90" s="3" t="str">
        <f>IFERROR(IF(K90="","",VLOOKUP(K90,TANIMLAMALAR!$A$5:$E$104,4,0)),"")</f>
        <v/>
      </c>
      <c r="N90" s="3"/>
      <c r="O90" s="3"/>
      <c r="P90" s="3"/>
      <c r="Q90" s="5"/>
      <c r="R90" s="7"/>
    </row>
    <row r="91" spans="1:18" ht="15" customHeight="1" x14ac:dyDescent="0.3">
      <c r="A91" s="26" t="str">
        <f t="shared" si="1"/>
        <v/>
      </c>
      <c r="B91" s="8"/>
      <c r="C91" s="9"/>
      <c r="D91" s="26"/>
      <c r="E91" s="26"/>
      <c r="F91" s="26"/>
      <c r="G91" s="26"/>
      <c r="H91" s="26"/>
      <c r="I91" s="25"/>
      <c r="J91" s="26"/>
      <c r="K91" s="26"/>
      <c r="L91" s="26" t="str">
        <f>IFERROR(IF(K91="","",VLOOKUP(K91,TANIMLAMALAR!$A$5:$E$104,3,0)),"")</f>
        <v/>
      </c>
      <c r="M91" s="26" t="str">
        <f>IFERROR(IF(K91="","",VLOOKUP(K91,TANIMLAMALAR!$A$5:$E$104,4,0)),"")</f>
        <v/>
      </c>
      <c r="N91" s="26"/>
      <c r="O91" s="26"/>
      <c r="P91" s="26"/>
      <c r="Q91" s="8"/>
      <c r="R91" s="25"/>
    </row>
    <row r="92" spans="1:18" ht="15" customHeight="1" x14ac:dyDescent="0.3">
      <c r="A92" s="3" t="str">
        <f t="shared" si="1"/>
        <v/>
      </c>
      <c r="B92" s="5"/>
      <c r="C92" s="6"/>
      <c r="D92" s="3"/>
      <c r="E92" s="3"/>
      <c r="F92" s="3"/>
      <c r="G92" s="3"/>
      <c r="H92" s="3"/>
      <c r="I92" s="7"/>
      <c r="J92" s="3"/>
      <c r="K92" s="3"/>
      <c r="L92" s="3" t="str">
        <f>IFERROR(IF(K92="","",VLOOKUP(K92,TANIMLAMALAR!$A$5:$E$104,3,0)),"")</f>
        <v/>
      </c>
      <c r="M92" s="3" t="str">
        <f>IFERROR(IF(K92="","",VLOOKUP(K92,TANIMLAMALAR!$A$5:$E$104,4,0)),"")</f>
        <v/>
      </c>
      <c r="N92" s="3"/>
      <c r="O92" s="3"/>
      <c r="P92" s="3"/>
      <c r="Q92" s="5"/>
      <c r="R92" s="7"/>
    </row>
    <row r="93" spans="1:18" ht="15" customHeight="1" x14ac:dyDescent="0.3">
      <c r="A93" s="26" t="str">
        <f t="shared" si="1"/>
        <v/>
      </c>
      <c r="B93" s="8"/>
      <c r="C93" s="9"/>
      <c r="D93" s="26"/>
      <c r="E93" s="26"/>
      <c r="F93" s="26"/>
      <c r="G93" s="26"/>
      <c r="H93" s="26"/>
      <c r="I93" s="25"/>
      <c r="J93" s="26"/>
      <c r="K93" s="26"/>
      <c r="L93" s="26" t="str">
        <f>IFERROR(IF(K93="","",VLOOKUP(K93,TANIMLAMALAR!$A$5:$E$104,3,0)),"")</f>
        <v/>
      </c>
      <c r="M93" s="26" t="str">
        <f>IFERROR(IF(K93="","",VLOOKUP(K93,TANIMLAMALAR!$A$5:$E$104,4,0)),"")</f>
        <v/>
      </c>
      <c r="N93" s="26"/>
      <c r="O93" s="26"/>
      <c r="P93" s="26"/>
      <c r="Q93" s="8"/>
      <c r="R93" s="25"/>
    </row>
    <row r="94" spans="1:18" ht="15" customHeight="1" x14ac:dyDescent="0.3">
      <c r="A94" s="3" t="str">
        <f t="shared" si="1"/>
        <v/>
      </c>
      <c r="B94" s="5"/>
      <c r="C94" s="6"/>
      <c r="D94" s="3"/>
      <c r="E94" s="3"/>
      <c r="F94" s="3"/>
      <c r="G94" s="3"/>
      <c r="H94" s="3"/>
      <c r="I94" s="7"/>
      <c r="J94" s="3"/>
      <c r="K94" s="3"/>
      <c r="L94" s="3" t="str">
        <f>IFERROR(IF(K94="","",VLOOKUP(K94,TANIMLAMALAR!$A$5:$E$104,3,0)),"")</f>
        <v/>
      </c>
      <c r="M94" s="3" t="str">
        <f>IFERROR(IF(K94="","",VLOOKUP(K94,TANIMLAMALAR!$A$5:$E$104,4,0)),"")</f>
        <v/>
      </c>
      <c r="N94" s="3"/>
      <c r="O94" s="3"/>
      <c r="P94" s="3"/>
      <c r="Q94" s="5"/>
      <c r="R94" s="7"/>
    </row>
    <row r="95" spans="1:18" ht="15" customHeight="1" x14ac:dyDescent="0.3">
      <c r="A95" s="26" t="str">
        <f t="shared" si="1"/>
        <v/>
      </c>
      <c r="B95" s="8"/>
      <c r="C95" s="9"/>
      <c r="D95" s="26"/>
      <c r="E95" s="26"/>
      <c r="F95" s="26"/>
      <c r="G95" s="26"/>
      <c r="H95" s="26"/>
      <c r="I95" s="25"/>
      <c r="J95" s="26"/>
      <c r="K95" s="26"/>
      <c r="L95" s="26" t="str">
        <f>IFERROR(IF(K95="","",VLOOKUP(K95,TANIMLAMALAR!$A$5:$E$104,3,0)),"")</f>
        <v/>
      </c>
      <c r="M95" s="26" t="str">
        <f>IFERROR(IF(K95="","",VLOOKUP(K95,TANIMLAMALAR!$A$5:$E$104,4,0)),"")</f>
        <v/>
      </c>
      <c r="N95" s="26"/>
      <c r="O95" s="26"/>
      <c r="P95" s="26"/>
      <c r="Q95" s="8"/>
      <c r="R95" s="25"/>
    </row>
    <row r="96" spans="1:18" ht="15" customHeight="1" x14ac:dyDescent="0.3">
      <c r="A96" s="3" t="str">
        <f t="shared" si="1"/>
        <v/>
      </c>
      <c r="B96" s="5"/>
      <c r="C96" s="6"/>
      <c r="D96" s="3"/>
      <c r="E96" s="3"/>
      <c r="F96" s="3"/>
      <c r="G96" s="3"/>
      <c r="H96" s="3"/>
      <c r="I96" s="7"/>
      <c r="J96" s="3"/>
      <c r="K96" s="3"/>
      <c r="L96" s="3" t="str">
        <f>IFERROR(IF(K96="","",VLOOKUP(K96,TANIMLAMALAR!$A$5:$E$104,3,0)),"")</f>
        <v/>
      </c>
      <c r="M96" s="3" t="str">
        <f>IFERROR(IF(K96="","",VLOOKUP(K96,TANIMLAMALAR!$A$5:$E$104,4,0)),"")</f>
        <v/>
      </c>
      <c r="N96" s="3"/>
      <c r="O96" s="3"/>
      <c r="P96" s="3"/>
      <c r="Q96" s="5"/>
      <c r="R96" s="7"/>
    </row>
    <row r="97" spans="1:18" ht="15" customHeight="1" x14ac:dyDescent="0.3">
      <c r="A97" s="26" t="str">
        <f t="shared" si="1"/>
        <v/>
      </c>
      <c r="B97" s="8"/>
      <c r="C97" s="9"/>
      <c r="D97" s="26"/>
      <c r="E97" s="26"/>
      <c r="F97" s="26"/>
      <c r="G97" s="26"/>
      <c r="H97" s="26"/>
      <c r="I97" s="25"/>
      <c r="J97" s="26"/>
      <c r="K97" s="26"/>
      <c r="L97" s="26" t="str">
        <f>IFERROR(IF(K97="","",VLOOKUP(K97,TANIMLAMALAR!$A$5:$E$104,3,0)),"")</f>
        <v/>
      </c>
      <c r="M97" s="26" t="str">
        <f>IFERROR(IF(K97="","",VLOOKUP(K97,TANIMLAMALAR!$A$5:$E$104,4,0)),"")</f>
        <v/>
      </c>
      <c r="N97" s="26"/>
      <c r="O97" s="26"/>
      <c r="P97" s="26"/>
      <c r="Q97" s="8"/>
      <c r="R97" s="25"/>
    </row>
    <row r="98" spans="1:18" ht="15" customHeight="1" x14ac:dyDescent="0.3">
      <c r="A98" s="3" t="str">
        <f t="shared" si="1"/>
        <v/>
      </c>
      <c r="B98" s="5"/>
      <c r="C98" s="6"/>
      <c r="D98" s="3"/>
      <c r="E98" s="3"/>
      <c r="F98" s="3"/>
      <c r="G98" s="3"/>
      <c r="H98" s="3"/>
      <c r="I98" s="7"/>
      <c r="J98" s="3"/>
      <c r="K98" s="3"/>
      <c r="L98" s="3" t="str">
        <f>IFERROR(IF(K98="","",VLOOKUP(K98,TANIMLAMALAR!$A$5:$E$104,3,0)),"")</f>
        <v/>
      </c>
      <c r="M98" s="3" t="str">
        <f>IFERROR(IF(K98="","",VLOOKUP(K98,TANIMLAMALAR!$A$5:$E$104,4,0)),"")</f>
        <v/>
      </c>
      <c r="N98" s="3"/>
      <c r="O98" s="3"/>
      <c r="P98" s="3"/>
      <c r="Q98" s="5"/>
      <c r="R98" s="7"/>
    </row>
    <row r="99" spans="1:18" ht="15" customHeight="1" x14ac:dyDescent="0.3">
      <c r="A99" s="26" t="str">
        <f t="shared" si="1"/>
        <v/>
      </c>
      <c r="B99" s="8"/>
      <c r="C99" s="9"/>
      <c r="D99" s="26"/>
      <c r="E99" s="26"/>
      <c r="F99" s="26"/>
      <c r="G99" s="26"/>
      <c r="H99" s="26"/>
      <c r="I99" s="25"/>
      <c r="J99" s="26"/>
      <c r="K99" s="26"/>
      <c r="L99" s="26" t="str">
        <f>IFERROR(IF(K99="","",VLOOKUP(K99,TANIMLAMALAR!$A$5:$E$104,3,0)),"")</f>
        <v/>
      </c>
      <c r="M99" s="26" t="str">
        <f>IFERROR(IF(K99="","",VLOOKUP(K99,TANIMLAMALAR!$A$5:$E$104,4,0)),"")</f>
        <v/>
      </c>
      <c r="N99" s="26"/>
      <c r="O99" s="26"/>
      <c r="P99" s="26"/>
      <c r="Q99" s="8"/>
      <c r="R99" s="25"/>
    </row>
    <row r="100" spans="1:18" ht="15" customHeight="1" x14ac:dyDescent="0.3">
      <c r="A100" s="3" t="str">
        <f t="shared" si="1"/>
        <v/>
      </c>
      <c r="B100" s="5"/>
      <c r="C100" s="6"/>
      <c r="D100" s="3"/>
      <c r="E100" s="3"/>
      <c r="F100" s="3"/>
      <c r="G100" s="3"/>
      <c r="H100" s="3"/>
      <c r="I100" s="7"/>
      <c r="J100" s="3"/>
      <c r="K100" s="3"/>
      <c r="L100" s="3" t="str">
        <f>IFERROR(IF(K100="","",VLOOKUP(K100,TANIMLAMALAR!$A$5:$E$104,3,0)),"")</f>
        <v/>
      </c>
      <c r="M100" s="3" t="str">
        <f>IFERROR(IF(K100="","",VLOOKUP(K100,TANIMLAMALAR!$A$5:$E$104,4,0)),"")</f>
        <v/>
      </c>
      <c r="N100" s="3"/>
      <c r="O100" s="3"/>
      <c r="P100" s="3"/>
      <c r="Q100" s="5"/>
      <c r="R100" s="7"/>
    </row>
    <row r="101" spans="1:18" ht="15" customHeight="1" x14ac:dyDescent="0.3">
      <c r="A101" s="26" t="str">
        <f t="shared" si="1"/>
        <v/>
      </c>
      <c r="B101" s="8"/>
      <c r="C101" s="9"/>
      <c r="D101" s="26"/>
      <c r="E101" s="26"/>
      <c r="F101" s="26"/>
      <c r="G101" s="26"/>
      <c r="H101" s="26"/>
      <c r="I101" s="25"/>
      <c r="J101" s="26"/>
      <c r="K101" s="26"/>
      <c r="L101" s="26" t="str">
        <f>IFERROR(IF(K101="","",VLOOKUP(K101,TANIMLAMALAR!$A$5:$E$104,3,0)),"")</f>
        <v/>
      </c>
      <c r="M101" s="26" t="str">
        <f>IFERROR(IF(K101="","",VLOOKUP(K101,TANIMLAMALAR!$A$5:$E$104,4,0)),"")</f>
        <v/>
      </c>
      <c r="N101" s="26"/>
      <c r="O101" s="26"/>
      <c r="P101" s="26"/>
      <c r="Q101" s="8"/>
      <c r="R101" s="25"/>
    </row>
    <row r="102" spans="1:18" ht="15" customHeight="1" x14ac:dyDescent="0.3">
      <c r="A102" s="3" t="str">
        <f t="shared" si="1"/>
        <v/>
      </c>
      <c r="B102" s="5"/>
      <c r="C102" s="6"/>
      <c r="D102" s="3"/>
      <c r="E102" s="3"/>
      <c r="F102" s="3"/>
      <c r="G102" s="3"/>
      <c r="H102" s="3"/>
      <c r="I102" s="7"/>
      <c r="J102" s="3"/>
      <c r="K102" s="3"/>
      <c r="L102" s="3" t="str">
        <f>IFERROR(IF(K102="","",VLOOKUP(K102,TANIMLAMALAR!$A$5:$E$104,3,0)),"")</f>
        <v/>
      </c>
      <c r="M102" s="3" t="str">
        <f>IFERROR(IF(K102="","",VLOOKUP(K102,TANIMLAMALAR!$A$5:$E$104,4,0)),"")</f>
        <v/>
      </c>
      <c r="N102" s="3"/>
      <c r="O102" s="3"/>
      <c r="P102" s="3"/>
      <c r="Q102" s="5"/>
      <c r="R102" s="7"/>
    </row>
    <row r="103" spans="1:18" ht="15" customHeight="1" x14ac:dyDescent="0.3">
      <c r="A103" s="26" t="str">
        <f t="shared" si="1"/>
        <v/>
      </c>
      <c r="B103" s="8"/>
      <c r="C103" s="9"/>
      <c r="D103" s="26"/>
      <c r="E103" s="26"/>
      <c r="F103" s="26"/>
      <c r="G103" s="26"/>
      <c r="H103" s="26"/>
      <c r="I103" s="25"/>
      <c r="J103" s="26"/>
      <c r="K103" s="26"/>
      <c r="L103" s="26" t="str">
        <f>IFERROR(IF(K103="","",VLOOKUP(K103,TANIMLAMALAR!$A$5:$E$104,3,0)),"")</f>
        <v/>
      </c>
      <c r="M103" s="26" t="str">
        <f>IFERROR(IF(K103="","",VLOOKUP(K103,TANIMLAMALAR!$A$5:$E$104,4,0)),"")</f>
        <v/>
      </c>
      <c r="N103" s="26"/>
      <c r="O103" s="26"/>
      <c r="P103" s="26"/>
      <c r="Q103" s="8"/>
      <c r="R103" s="25"/>
    </row>
    <row r="104" spans="1:18" ht="15" customHeight="1" x14ac:dyDescent="0.3">
      <c r="A104" s="3" t="str">
        <f t="shared" si="1"/>
        <v/>
      </c>
      <c r="B104" s="5"/>
      <c r="C104" s="6"/>
      <c r="D104" s="3"/>
      <c r="E104" s="3"/>
      <c r="F104" s="3"/>
      <c r="G104" s="3"/>
      <c r="H104" s="3"/>
      <c r="I104" s="7"/>
      <c r="J104" s="3"/>
      <c r="K104" s="3"/>
      <c r="L104" s="3" t="str">
        <f>IFERROR(IF(K104="","",VLOOKUP(K104,TANIMLAMALAR!$A$5:$E$104,3,0)),"")</f>
        <v/>
      </c>
      <c r="M104" s="3" t="str">
        <f>IFERROR(IF(K104="","",VLOOKUP(K104,TANIMLAMALAR!$A$5:$E$104,4,0)),"")</f>
        <v/>
      </c>
      <c r="N104" s="3"/>
      <c r="O104" s="3"/>
      <c r="P104" s="3"/>
      <c r="Q104" s="5"/>
      <c r="R104" s="7"/>
    </row>
    <row r="105" spans="1:18" ht="15" customHeight="1" x14ac:dyDescent="0.3">
      <c r="A105" s="26" t="str">
        <f t="shared" si="1"/>
        <v/>
      </c>
      <c r="B105" s="8"/>
      <c r="C105" s="9"/>
      <c r="D105" s="26"/>
      <c r="E105" s="26"/>
      <c r="F105" s="26"/>
      <c r="G105" s="26"/>
      <c r="H105" s="26"/>
      <c r="I105" s="25"/>
      <c r="J105" s="26"/>
      <c r="K105" s="26"/>
      <c r="L105" s="26" t="str">
        <f>IFERROR(IF(K105="","",VLOOKUP(K105,TANIMLAMALAR!$A$5:$E$104,3,0)),"")</f>
        <v/>
      </c>
      <c r="M105" s="26" t="str">
        <f>IFERROR(IF(K105="","",VLOOKUP(K105,TANIMLAMALAR!$A$5:$E$104,4,0)),"")</f>
        <v/>
      </c>
      <c r="N105" s="26"/>
      <c r="O105" s="26"/>
      <c r="P105" s="26"/>
      <c r="Q105" s="8"/>
      <c r="R105" s="25"/>
    </row>
    <row r="106" spans="1:18" ht="15" customHeight="1" x14ac:dyDescent="0.3">
      <c r="A106" s="3" t="str">
        <f t="shared" si="1"/>
        <v/>
      </c>
      <c r="B106" s="5"/>
      <c r="C106" s="6"/>
      <c r="D106" s="3"/>
      <c r="E106" s="3"/>
      <c r="F106" s="3"/>
      <c r="G106" s="3"/>
      <c r="H106" s="3"/>
      <c r="I106" s="7"/>
      <c r="J106" s="3"/>
      <c r="K106" s="3"/>
      <c r="L106" s="3" t="str">
        <f>IFERROR(IF(K106="","",VLOOKUP(K106,TANIMLAMALAR!$A$5:$E$104,3,0)),"")</f>
        <v/>
      </c>
      <c r="M106" s="3" t="str">
        <f>IFERROR(IF(K106="","",VLOOKUP(K106,TANIMLAMALAR!$A$5:$E$104,4,0)),"")</f>
        <v/>
      </c>
      <c r="N106" s="3"/>
      <c r="O106" s="3"/>
      <c r="P106" s="3"/>
      <c r="Q106" s="5"/>
      <c r="R106" s="7"/>
    </row>
    <row r="107" spans="1:18" ht="15" customHeight="1" x14ac:dyDescent="0.3">
      <c r="A107" s="26" t="str">
        <f t="shared" si="1"/>
        <v/>
      </c>
      <c r="B107" s="8"/>
      <c r="C107" s="9"/>
      <c r="D107" s="26"/>
      <c r="E107" s="26"/>
      <c r="F107" s="26"/>
      <c r="G107" s="26"/>
      <c r="H107" s="26"/>
      <c r="I107" s="25"/>
      <c r="J107" s="26"/>
      <c r="K107" s="26"/>
      <c r="L107" s="26" t="str">
        <f>IFERROR(IF(K107="","",VLOOKUP(K107,TANIMLAMALAR!$A$5:$E$104,3,0)),"")</f>
        <v/>
      </c>
      <c r="M107" s="26" t="str">
        <f>IFERROR(IF(K107="","",VLOOKUP(K107,TANIMLAMALAR!$A$5:$E$104,4,0)),"")</f>
        <v/>
      </c>
      <c r="N107" s="26"/>
      <c r="O107" s="26"/>
      <c r="P107" s="26"/>
      <c r="Q107" s="8"/>
      <c r="R107" s="25"/>
    </row>
    <row r="108" spans="1:18" ht="15" customHeight="1" x14ac:dyDescent="0.3">
      <c r="A108" s="3" t="str">
        <f t="shared" si="1"/>
        <v/>
      </c>
      <c r="B108" s="5"/>
      <c r="C108" s="6"/>
      <c r="D108" s="3"/>
      <c r="E108" s="3"/>
      <c r="F108" s="3"/>
      <c r="G108" s="3"/>
      <c r="H108" s="3"/>
      <c r="I108" s="7"/>
      <c r="J108" s="3"/>
      <c r="K108" s="3"/>
      <c r="L108" s="3" t="str">
        <f>IFERROR(IF(K108="","",VLOOKUP(K108,TANIMLAMALAR!$A$5:$E$104,3,0)),"")</f>
        <v/>
      </c>
      <c r="M108" s="3" t="str">
        <f>IFERROR(IF(K108="","",VLOOKUP(K108,TANIMLAMALAR!$A$5:$E$104,4,0)),"")</f>
        <v/>
      </c>
      <c r="N108" s="3"/>
      <c r="O108" s="3"/>
      <c r="P108" s="3"/>
      <c r="Q108" s="5"/>
      <c r="R108" s="7"/>
    </row>
    <row r="109" spans="1:18" ht="15" customHeight="1" x14ac:dyDescent="0.3">
      <c r="A109" s="26" t="str">
        <f t="shared" si="1"/>
        <v/>
      </c>
      <c r="B109" s="8"/>
      <c r="C109" s="9"/>
      <c r="D109" s="26"/>
      <c r="E109" s="26"/>
      <c r="F109" s="26"/>
      <c r="G109" s="26"/>
      <c r="H109" s="26"/>
      <c r="I109" s="25"/>
      <c r="J109" s="26"/>
      <c r="K109" s="26"/>
      <c r="L109" s="26" t="str">
        <f>IFERROR(IF(K109="","",VLOOKUP(K109,TANIMLAMALAR!$A$5:$E$104,3,0)),"")</f>
        <v/>
      </c>
      <c r="M109" s="26" t="str">
        <f>IFERROR(IF(K109="","",VLOOKUP(K109,TANIMLAMALAR!$A$5:$E$104,4,0)),"")</f>
        <v/>
      </c>
      <c r="N109" s="26"/>
      <c r="O109" s="26"/>
      <c r="P109" s="26"/>
      <c r="Q109" s="8"/>
      <c r="R109" s="25"/>
    </row>
    <row r="110" spans="1:18" ht="15" customHeight="1" x14ac:dyDescent="0.3">
      <c r="A110" s="3" t="str">
        <f t="shared" si="1"/>
        <v/>
      </c>
      <c r="B110" s="5"/>
      <c r="C110" s="6"/>
      <c r="D110" s="3"/>
      <c r="E110" s="3"/>
      <c r="F110" s="3"/>
      <c r="G110" s="3"/>
      <c r="H110" s="3"/>
      <c r="I110" s="7"/>
      <c r="J110" s="3"/>
      <c r="K110" s="3"/>
      <c r="L110" s="3" t="str">
        <f>IFERROR(IF(K110="","",VLOOKUP(K110,TANIMLAMALAR!$A$5:$E$104,3,0)),"")</f>
        <v/>
      </c>
      <c r="M110" s="3" t="str">
        <f>IFERROR(IF(K110="","",VLOOKUP(K110,TANIMLAMALAR!$A$5:$E$104,4,0)),"")</f>
        <v/>
      </c>
      <c r="N110" s="3"/>
      <c r="O110" s="3"/>
      <c r="P110" s="3"/>
      <c r="Q110" s="5"/>
      <c r="R110" s="7"/>
    </row>
    <row r="111" spans="1:18" ht="15" customHeight="1" x14ac:dyDescent="0.3">
      <c r="A111" s="26" t="str">
        <f t="shared" si="1"/>
        <v/>
      </c>
      <c r="B111" s="8"/>
      <c r="C111" s="9"/>
      <c r="D111" s="26"/>
      <c r="E111" s="26"/>
      <c r="F111" s="26"/>
      <c r="G111" s="26"/>
      <c r="H111" s="26"/>
      <c r="I111" s="25"/>
      <c r="J111" s="26"/>
      <c r="K111" s="26"/>
      <c r="L111" s="26" t="str">
        <f>IFERROR(IF(K111="","",VLOOKUP(K111,TANIMLAMALAR!$A$5:$E$104,3,0)),"")</f>
        <v/>
      </c>
      <c r="M111" s="26" t="str">
        <f>IFERROR(IF(K111="","",VLOOKUP(K111,TANIMLAMALAR!$A$5:$E$104,4,0)),"")</f>
        <v/>
      </c>
      <c r="N111" s="26"/>
      <c r="O111" s="26"/>
      <c r="P111" s="26"/>
      <c r="Q111" s="8"/>
      <c r="R111" s="25"/>
    </row>
    <row r="112" spans="1:18" ht="15" customHeight="1" x14ac:dyDescent="0.3">
      <c r="A112" s="3" t="str">
        <f t="shared" si="1"/>
        <v/>
      </c>
      <c r="B112" s="5"/>
      <c r="C112" s="6"/>
      <c r="D112" s="3"/>
      <c r="E112" s="3"/>
      <c r="F112" s="3"/>
      <c r="G112" s="3"/>
      <c r="H112" s="3"/>
      <c r="I112" s="7"/>
      <c r="J112" s="3"/>
      <c r="K112" s="3"/>
      <c r="L112" s="3" t="str">
        <f>IFERROR(IF(K112="","",VLOOKUP(K112,TANIMLAMALAR!$A$5:$E$104,3,0)),"")</f>
        <v/>
      </c>
      <c r="M112" s="3" t="str">
        <f>IFERROR(IF(K112="","",VLOOKUP(K112,TANIMLAMALAR!$A$5:$E$104,4,0)),"")</f>
        <v/>
      </c>
      <c r="N112" s="3"/>
      <c r="O112" s="3"/>
      <c r="P112" s="3"/>
      <c r="Q112" s="5"/>
      <c r="R112" s="7"/>
    </row>
    <row r="113" spans="1:18" ht="15" customHeight="1" x14ac:dyDescent="0.3">
      <c r="A113" s="26" t="str">
        <f t="shared" si="1"/>
        <v/>
      </c>
      <c r="B113" s="8"/>
      <c r="C113" s="9"/>
      <c r="D113" s="26"/>
      <c r="E113" s="26"/>
      <c r="F113" s="26"/>
      <c r="G113" s="26"/>
      <c r="H113" s="26"/>
      <c r="I113" s="25"/>
      <c r="J113" s="26"/>
      <c r="K113" s="26"/>
      <c r="L113" s="26" t="str">
        <f>IFERROR(IF(K113="","",VLOOKUP(K113,TANIMLAMALAR!$A$5:$E$104,3,0)),"")</f>
        <v/>
      </c>
      <c r="M113" s="26" t="str">
        <f>IFERROR(IF(K113="","",VLOOKUP(K113,TANIMLAMALAR!$A$5:$E$104,4,0)),"")</f>
        <v/>
      </c>
      <c r="N113" s="26"/>
      <c r="O113" s="26"/>
      <c r="P113" s="26"/>
      <c r="Q113" s="8"/>
      <c r="R113" s="25"/>
    </row>
    <row r="114" spans="1:18" ht="15" customHeight="1" x14ac:dyDescent="0.3">
      <c r="A114" s="3" t="str">
        <f t="shared" si="1"/>
        <v/>
      </c>
      <c r="B114" s="5"/>
      <c r="C114" s="6"/>
      <c r="D114" s="3"/>
      <c r="E114" s="3"/>
      <c r="F114" s="3"/>
      <c r="G114" s="3"/>
      <c r="H114" s="3"/>
      <c r="I114" s="7"/>
      <c r="J114" s="3"/>
      <c r="K114" s="3"/>
      <c r="L114" s="3" t="str">
        <f>IFERROR(IF(K114="","",VLOOKUP(K114,TANIMLAMALAR!$A$5:$E$104,3,0)),"")</f>
        <v/>
      </c>
      <c r="M114" s="3" t="str">
        <f>IFERROR(IF(K114="","",VLOOKUP(K114,TANIMLAMALAR!$A$5:$E$104,4,0)),"")</f>
        <v/>
      </c>
      <c r="N114" s="3"/>
      <c r="O114" s="3"/>
      <c r="P114" s="3"/>
      <c r="Q114" s="5"/>
      <c r="R114" s="7"/>
    </row>
    <row r="115" spans="1:18" ht="15" customHeight="1" x14ac:dyDescent="0.3">
      <c r="A115" s="26" t="str">
        <f t="shared" si="1"/>
        <v/>
      </c>
      <c r="B115" s="8"/>
      <c r="C115" s="9"/>
      <c r="D115" s="26"/>
      <c r="E115" s="26"/>
      <c r="F115" s="26"/>
      <c r="G115" s="26"/>
      <c r="H115" s="26"/>
      <c r="I115" s="25"/>
      <c r="J115" s="26"/>
      <c r="K115" s="26"/>
      <c r="L115" s="26" t="str">
        <f>IFERROR(IF(K115="","",VLOOKUP(K115,TANIMLAMALAR!$A$5:$E$104,3,0)),"")</f>
        <v/>
      </c>
      <c r="M115" s="26" t="str">
        <f>IFERROR(IF(K115="","",VLOOKUP(K115,TANIMLAMALAR!$A$5:$E$104,4,0)),"")</f>
        <v/>
      </c>
      <c r="N115" s="26"/>
      <c r="O115" s="26"/>
      <c r="P115" s="26"/>
      <c r="Q115" s="8"/>
      <c r="R115" s="25"/>
    </row>
    <row r="116" spans="1:18" ht="15" customHeight="1" x14ac:dyDescent="0.3">
      <c r="A116" s="3" t="str">
        <f t="shared" si="1"/>
        <v/>
      </c>
      <c r="B116" s="5"/>
      <c r="C116" s="6"/>
      <c r="D116" s="3"/>
      <c r="E116" s="3"/>
      <c r="F116" s="3"/>
      <c r="G116" s="3"/>
      <c r="H116" s="3"/>
      <c r="I116" s="7"/>
      <c r="J116" s="3"/>
      <c r="K116" s="3"/>
      <c r="L116" s="3" t="str">
        <f>IFERROR(IF(K116="","",VLOOKUP(K116,TANIMLAMALAR!$A$5:$E$104,3,0)),"")</f>
        <v/>
      </c>
      <c r="M116" s="3" t="str">
        <f>IFERROR(IF(K116="","",VLOOKUP(K116,TANIMLAMALAR!$A$5:$E$104,4,0)),"")</f>
        <v/>
      </c>
      <c r="N116" s="3"/>
      <c r="O116" s="3"/>
      <c r="P116" s="3"/>
      <c r="Q116" s="5"/>
      <c r="R116" s="7"/>
    </row>
    <row r="117" spans="1:18" ht="15" customHeight="1" x14ac:dyDescent="0.3">
      <c r="A117" s="26" t="str">
        <f t="shared" si="1"/>
        <v/>
      </c>
      <c r="B117" s="8"/>
      <c r="C117" s="9"/>
      <c r="D117" s="26"/>
      <c r="E117" s="26"/>
      <c r="F117" s="26"/>
      <c r="G117" s="26"/>
      <c r="H117" s="26"/>
      <c r="I117" s="25"/>
      <c r="J117" s="26"/>
      <c r="K117" s="26"/>
      <c r="L117" s="26" t="str">
        <f>IFERROR(IF(K117="","",VLOOKUP(K117,TANIMLAMALAR!$A$5:$E$104,3,0)),"")</f>
        <v/>
      </c>
      <c r="M117" s="26" t="str">
        <f>IFERROR(IF(K117="","",VLOOKUP(K117,TANIMLAMALAR!$A$5:$E$104,4,0)),"")</f>
        <v/>
      </c>
      <c r="N117" s="26"/>
      <c r="O117" s="26"/>
      <c r="P117" s="26"/>
      <c r="Q117" s="8"/>
      <c r="R117" s="25"/>
    </row>
    <row r="118" spans="1:18" ht="15" customHeight="1" x14ac:dyDescent="0.3">
      <c r="A118" s="3" t="str">
        <f t="shared" si="1"/>
        <v/>
      </c>
      <c r="B118" s="5"/>
      <c r="C118" s="6"/>
      <c r="D118" s="3"/>
      <c r="E118" s="3"/>
      <c r="F118" s="3"/>
      <c r="G118" s="3"/>
      <c r="H118" s="3"/>
      <c r="I118" s="7"/>
      <c r="J118" s="3"/>
      <c r="K118" s="3"/>
      <c r="L118" s="3" t="str">
        <f>IFERROR(IF(K118="","",VLOOKUP(K118,TANIMLAMALAR!$A$5:$E$104,3,0)),"")</f>
        <v/>
      </c>
      <c r="M118" s="3" t="str">
        <f>IFERROR(IF(K118="","",VLOOKUP(K118,TANIMLAMALAR!$A$5:$E$104,4,0)),"")</f>
        <v/>
      </c>
      <c r="N118" s="3"/>
      <c r="O118" s="3"/>
      <c r="P118" s="3"/>
      <c r="Q118" s="5"/>
      <c r="R118" s="7"/>
    </row>
    <row r="119" spans="1:18" ht="15" customHeight="1" x14ac:dyDescent="0.3">
      <c r="A119" s="26" t="str">
        <f t="shared" si="1"/>
        <v/>
      </c>
      <c r="B119" s="8"/>
      <c r="C119" s="9"/>
      <c r="D119" s="26"/>
      <c r="E119" s="26"/>
      <c r="F119" s="26"/>
      <c r="G119" s="26"/>
      <c r="H119" s="26"/>
      <c r="I119" s="25"/>
      <c r="J119" s="26"/>
      <c r="K119" s="26"/>
      <c r="L119" s="26" t="str">
        <f>IFERROR(IF(K119="","",VLOOKUP(K119,TANIMLAMALAR!$A$5:$E$104,3,0)),"")</f>
        <v/>
      </c>
      <c r="M119" s="26" t="str">
        <f>IFERROR(IF(K119="","",VLOOKUP(K119,TANIMLAMALAR!$A$5:$E$104,4,0)),"")</f>
        <v/>
      </c>
      <c r="N119" s="26"/>
      <c r="O119" s="26"/>
      <c r="P119" s="26"/>
      <c r="Q119" s="8"/>
      <c r="R119" s="25"/>
    </row>
    <row r="120" spans="1:18" ht="15" customHeight="1" x14ac:dyDescent="0.3">
      <c r="A120" s="3" t="str">
        <f t="shared" si="1"/>
        <v/>
      </c>
      <c r="B120" s="5"/>
      <c r="C120" s="6"/>
      <c r="D120" s="3"/>
      <c r="E120" s="3"/>
      <c r="F120" s="3"/>
      <c r="G120" s="3"/>
      <c r="H120" s="3"/>
      <c r="I120" s="7"/>
      <c r="J120" s="3"/>
      <c r="K120" s="3"/>
      <c r="L120" s="3" t="str">
        <f>IFERROR(IF(K120="","",VLOOKUP(K120,TANIMLAMALAR!$A$5:$E$104,3,0)),"")</f>
        <v/>
      </c>
      <c r="M120" s="3" t="str">
        <f>IFERROR(IF(K120="","",VLOOKUP(K120,TANIMLAMALAR!$A$5:$E$104,4,0)),"")</f>
        <v/>
      </c>
      <c r="N120" s="3"/>
      <c r="O120" s="3"/>
      <c r="P120" s="3"/>
      <c r="Q120" s="5"/>
      <c r="R120" s="7"/>
    </row>
    <row r="121" spans="1:18" ht="15" customHeight="1" x14ac:dyDescent="0.3">
      <c r="A121" s="26" t="str">
        <f t="shared" si="1"/>
        <v/>
      </c>
      <c r="B121" s="8"/>
      <c r="C121" s="9"/>
      <c r="D121" s="26"/>
      <c r="E121" s="26"/>
      <c r="F121" s="26"/>
      <c r="G121" s="26"/>
      <c r="H121" s="26"/>
      <c r="I121" s="25"/>
      <c r="J121" s="26"/>
      <c r="K121" s="26"/>
      <c r="L121" s="26" t="str">
        <f>IFERROR(IF(K121="","",VLOOKUP(K121,TANIMLAMALAR!$A$5:$E$104,3,0)),"")</f>
        <v/>
      </c>
      <c r="M121" s="26" t="str">
        <f>IFERROR(IF(K121="","",VLOOKUP(K121,TANIMLAMALAR!$A$5:$E$104,4,0)),"")</f>
        <v/>
      </c>
      <c r="N121" s="26"/>
      <c r="O121" s="26"/>
      <c r="P121" s="26"/>
      <c r="Q121" s="8"/>
      <c r="R121" s="25"/>
    </row>
    <row r="122" spans="1:18" ht="15" customHeight="1" x14ac:dyDescent="0.3">
      <c r="A122" s="3" t="str">
        <f t="shared" si="1"/>
        <v/>
      </c>
      <c r="B122" s="5"/>
      <c r="C122" s="6"/>
      <c r="D122" s="3"/>
      <c r="E122" s="3"/>
      <c r="F122" s="3"/>
      <c r="G122" s="3"/>
      <c r="H122" s="3"/>
      <c r="I122" s="7"/>
      <c r="J122" s="3"/>
      <c r="K122" s="3"/>
      <c r="L122" s="3" t="str">
        <f>IFERROR(IF(K122="","",VLOOKUP(K122,TANIMLAMALAR!$A$5:$E$104,3,0)),"")</f>
        <v/>
      </c>
      <c r="M122" s="3" t="str">
        <f>IFERROR(IF(K122="","",VLOOKUP(K122,TANIMLAMALAR!$A$5:$E$104,4,0)),"")</f>
        <v/>
      </c>
      <c r="N122" s="3"/>
      <c r="O122" s="3"/>
      <c r="P122" s="3"/>
      <c r="Q122" s="5"/>
      <c r="R122" s="7"/>
    </row>
    <row r="123" spans="1:18" ht="15" customHeight="1" x14ac:dyDescent="0.3">
      <c r="A123" s="26" t="str">
        <f t="shared" si="1"/>
        <v/>
      </c>
      <c r="B123" s="8"/>
      <c r="C123" s="9"/>
      <c r="D123" s="26"/>
      <c r="E123" s="26"/>
      <c r="F123" s="26"/>
      <c r="G123" s="26"/>
      <c r="H123" s="26"/>
      <c r="I123" s="25"/>
      <c r="J123" s="26"/>
      <c r="K123" s="26"/>
      <c r="L123" s="26" t="str">
        <f>IFERROR(IF(K123="","",VLOOKUP(K123,TANIMLAMALAR!$A$5:$E$104,3,0)),"")</f>
        <v/>
      </c>
      <c r="M123" s="26" t="str">
        <f>IFERROR(IF(K123="","",VLOOKUP(K123,TANIMLAMALAR!$A$5:$E$104,4,0)),"")</f>
        <v/>
      </c>
      <c r="N123" s="26"/>
      <c r="O123" s="26"/>
      <c r="P123" s="26"/>
      <c r="Q123" s="8"/>
      <c r="R123" s="25"/>
    </row>
    <row r="124" spans="1:18" ht="15" customHeight="1" x14ac:dyDescent="0.3">
      <c r="A124" s="3" t="str">
        <f t="shared" si="1"/>
        <v/>
      </c>
      <c r="B124" s="5"/>
      <c r="C124" s="6"/>
      <c r="D124" s="3"/>
      <c r="E124" s="3"/>
      <c r="F124" s="3"/>
      <c r="G124" s="3"/>
      <c r="H124" s="3"/>
      <c r="I124" s="7"/>
      <c r="J124" s="3"/>
      <c r="K124" s="3"/>
      <c r="L124" s="3" t="str">
        <f>IFERROR(IF(K124="","",VLOOKUP(K124,TANIMLAMALAR!$A$5:$E$104,3,0)),"")</f>
        <v/>
      </c>
      <c r="M124" s="3" t="str">
        <f>IFERROR(IF(K124="","",VLOOKUP(K124,TANIMLAMALAR!$A$5:$E$104,4,0)),"")</f>
        <v/>
      </c>
      <c r="N124" s="3"/>
      <c r="O124" s="3"/>
      <c r="P124" s="3"/>
      <c r="Q124" s="5"/>
      <c r="R124" s="7"/>
    </row>
    <row r="125" spans="1:18" ht="15" customHeight="1" x14ac:dyDescent="0.3">
      <c r="A125" s="26" t="str">
        <f t="shared" si="1"/>
        <v/>
      </c>
      <c r="B125" s="8"/>
      <c r="C125" s="9"/>
      <c r="D125" s="26"/>
      <c r="E125" s="26"/>
      <c r="F125" s="26"/>
      <c r="G125" s="26"/>
      <c r="H125" s="26"/>
      <c r="I125" s="25"/>
      <c r="J125" s="26"/>
      <c r="K125" s="26"/>
      <c r="L125" s="26" t="str">
        <f>IFERROR(IF(K125="","",VLOOKUP(K125,TANIMLAMALAR!$A$5:$E$104,3,0)),"")</f>
        <v/>
      </c>
      <c r="M125" s="26" t="str">
        <f>IFERROR(IF(K125="","",VLOOKUP(K125,TANIMLAMALAR!$A$5:$E$104,4,0)),"")</f>
        <v/>
      </c>
      <c r="N125" s="26"/>
      <c r="O125" s="26"/>
      <c r="P125" s="26"/>
      <c r="Q125" s="8"/>
      <c r="R125" s="25"/>
    </row>
    <row r="126" spans="1:18" ht="15" customHeight="1" x14ac:dyDescent="0.3">
      <c r="A126" s="3" t="str">
        <f t="shared" si="1"/>
        <v/>
      </c>
      <c r="B126" s="5"/>
      <c r="C126" s="6"/>
      <c r="D126" s="3"/>
      <c r="E126" s="3"/>
      <c r="F126" s="3"/>
      <c r="G126" s="3"/>
      <c r="H126" s="3"/>
      <c r="I126" s="7"/>
      <c r="J126" s="3"/>
      <c r="K126" s="3"/>
      <c r="L126" s="3" t="str">
        <f>IFERROR(IF(K126="","",VLOOKUP(K126,TANIMLAMALAR!$A$5:$E$104,3,0)),"")</f>
        <v/>
      </c>
      <c r="M126" s="3" t="str">
        <f>IFERROR(IF(K126="","",VLOOKUP(K126,TANIMLAMALAR!$A$5:$E$104,4,0)),"")</f>
        <v/>
      </c>
      <c r="N126" s="3"/>
      <c r="O126" s="3"/>
      <c r="P126" s="3"/>
      <c r="Q126" s="5"/>
      <c r="R126" s="7"/>
    </row>
    <row r="127" spans="1:18" ht="15" customHeight="1" x14ac:dyDescent="0.3">
      <c r="A127" s="26" t="str">
        <f t="shared" si="1"/>
        <v/>
      </c>
      <c r="B127" s="8"/>
      <c r="C127" s="9"/>
      <c r="D127" s="26"/>
      <c r="E127" s="26"/>
      <c r="F127" s="26"/>
      <c r="G127" s="26"/>
      <c r="H127" s="26"/>
      <c r="I127" s="25"/>
      <c r="J127" s="26"/>
      <c r="K127" s="26"/>
      <c r="L127" s="26" t="str">
        <f>IFERROR(IF(K127="","",VLOOKUP(K127,TANIMLAMALAR!$A$5:$E$104,3,0)),"")</f>
        <v/>
      </c>
      <c r="M127" s="26" t="str">
        <f>IFERROR(IF(K127="","",VLOOKUP(K127,TANIMLAMALAR!$A$5:$E$104,4,0)),"")</f>
        <v/>
      </c>
      <c r="N127" s="26"/>
      <c r="O127" s="26"/>
      <c r="P127" s="26"/>
      <c r="Q127" s="8"/>
      <c r="R127" s="25"/>
    </row>
    <row r="128" spans="1:18" ht="15" customHeight="1" x14ac:dyDescent="0.3">
      <c r="A128" s="3" t="str">
        <f t="shared" si="1"/>
        <v/>
      </c>
      <c r="B128" s="5"/>
      <c r="C128" s="6"/>
      <c r="D128" s="3"/>
      <c r="E128" s="3"/>
      <c r="F128" s="3"/>
      <c r="G128" s="3"/>
      <c r="H128" s="3"/>
      <c r="I128" s="7"/>
      <c r="J128" s="3"/>
      <c r="K128" s="3"/>
      <c r="L128" s="3" t="str">
        <f>IFERROR(IF(K128="","",VLOOKUP(K128,TANIMLAMALAR!$A$5:$E$104,3,0)),"")</f>
        <v/>
      </c>
      <c r="M128" s="3" t="str">
        <f>IFERROR(IF(K128="","",VLOOKUP(K128,TANIMLAMALAR!$A$5:$E$104,4,0)),"")</f>
        <v/>
      </c>
      <c r="N128" s="3"/>
      <c r="O128" s="3"/>
      <c r="P128" s="3"/>
      <c r="Q128" s="5"/>
      <c r="R128" s="7"/>
    </row>
    <row r="129" spans="1:18" ht="15" customHeight="1" x14ac:dyDescent="0.3">
      <c r="A129" s="26" t="str">
        <f t="shared" si="1"/>
        <v/>
      </c>
      <c r="B129" s="8"/>
      <c r="C129" s="9"/>
      <c r="D129" s="26"/>
      <c r="E129" s="26"/>
      <c r="F129" s="26"/>
      <c r="G129" s="26"/>
      <c r="H129" s="26"/>
      <c r="I129" s="25"/>
      <c r="J129" s="26"/>
      <c r="K129" s="26"/>
      <c r="L129" s="26" t="str">
        <f>IFERROR(IF(K129="","",VLOOKUP(K129,TANIMLAMALAR!$A$5:$E$104,3,0)),"")</f>
        <v/>
      </c>
      <c r="M129" s="26" t="str">
        <f>IFERROR(IF(K129="","",VLOOKUP(K129,TANIMLAMALAR!$A$5:$E$104,4,0)),"")</f>
        <v/>
      </c>
      <c r="N129" s="26"/>
      <c r="O129" s="26"/>
      <c r="P129" s="26"/>
      <c r="Q129" s="8"/>
      <c r="R129" s="25"/>
    </row>
    <row r="130" spans="1:18" ht="15" customHeight="1" x14ac:dyDescent="0.3">
      <c r="A130" s="3" t="str">
        <f t="shared" si="1"/>
        <v/>
      </c>
      <c r="B130" s="5"/>
      <c r="C130" s="6"/>
      <c r="D130" s="3"/>
      <c r="E130" s="3"/>
      <c r="F130" s="3"/>
      <c r="G130" s="3"/>
      <c r="H130" s="3"/>
      <c r="I130" s="7"/>
      <c r="J130" s="3"/>
      <c r="K130" s="3"/>
      <c r="L130" s="3" t="str">
        <f>IFERROR(IF(K130="","",VLOOKUP(K130,TANIMLAMALAR!$A$5:$E$104,3,0)),"")</f>
        <v/>
      </c>
      <c r="M130" s="3" t="str">
        <f>IFERROR(IF(K130="","",VLOOKUP(K130,TANIMLAMALAR!$A$5:$E$104,4,0)),"")</f>
        <v/>
      </c>
      <c r="N130" s="3"/>
      <c r="O130" s="3"/>
      <c r="P130" s="3"/>
      <c r="Q130" s="5"/>
      <c r="R130" s="7"/>
    </row>
    <row r="131" spans="1:18" ht="15" customHeight="1" x14ac:dyDescent="0.3">
      <c r="A131" s="26" t="str">
        <f t="shared" si="1"/>
        <v/>
      </c>
      <c r="B131" s="8"/>
      <c r="C131" s="9"/>
      <c r="D131" s="26"/>
      <c r="E131" s="26"/>
      <c r="F131" s="26"/>
      <c r="G131" s="26"/>
      <c r="H131" s="26"/>
      <c r="I131" s="25"/>
      <c r="J131" s="26"/>
      <c r="K131" s="26"/>
      <c r="L131" s="26" t="str">
        <f>IFERROR(IF(K131="","",VLOOKUP(K131,TANIMLAMALAR!$A$5:$E$104,3,0)),"")</f>
        <v/>
      </c>
      <c r="M131" s="26" t="str">
        <f>IFERROR(IF(K131="","",VLOOKUP(K131,TANIMLAMALAR!$A$5:$E$104,4,0)),"")</f>
        <v/>
      </c>
      <c r="N131" s="26"/>
      <c r="O131" s="26"/>
      <c r="P131" s="26"/>
      <c r="Q131" s="8"/>
      <c r="R131" s="25"/>
    </row>
    <row r="132" spans="1:18" ht="15" customHeight="1" x14ac:dyDescent="0.3">
      <c r="A132" s="3" t="str">
        <f t="shared" ref="A132:A195" si="2">IF(D132&lt;&gt;"","ŞKY-"&amp;TEXT(ROW()-3,"0000"),"")</f>
        <v/>
      </c>
      <c r="B132" s="5"/>
      <c r="C132" s="6"/>
      <c r="D132" s="3"/>
      <c r="E132" s="3"/>
      <c r="F132" s="3"/>
      <c r="G132" s="3"/>
      <c r="H132" s="3"/>
      <c r="I132" s="7"/>
      <c r="J132" s="3"/>
      <c r="K132" s="3"/>
      <c r="L132" s="3" t="str">
        <f>IFERROR(IF(K132="","",VLOOKUP(K132,TANIMLAMALAR!$A$5:$E$104,3,0)),"")</f>
        <v/>
      </c>
      <c r="M132" s="3" t="str">
        <f>IFERROR(IF(K132="","",VLOOKUP(K132,TANIMLAMALAR!$A$5:$E$104,4,0)),"")</f>
        <v/>
      </c>
      <c r="N132" s="3"/>
      <c r="O132" s="3"/>
      <c r="P132" s="3"/>
      <c r="Q132" s="5"/>
      <c r="R132" s="7"/>
    </row>
    <row r="133" spans="1:18" ht="15" customHeight="1" x14ac:dyDescent="0.3">
      <c r="A133" s="26" t="str">
        <f t="shared" si="2"/>
        <v/>
      </c>
      <c r="B133" s="8"/>
      <c r="C133" s="9"/>
      <c r="D133" s="26"/>
      <c r="E133" s="26"/>
      <c r="F133" s="26"/>
      <c r="G133" s="26"/>
      <c r="H133" s="26"/>
      <c r="I133" s="25"/>
      <c r="J133" s="26"/>
      <c r="K133" s="26"/>
      <c r="L133" s="26" t="str">
        <f>IFERROR(IF(K133="","",VLOOKUP(K133,TANIMLAMALAR!$A$5:$E$104,3,0)),"")</f>
        <v/>
      </c>
      <c r="M133" s="26" t="str">
        <f>IFERROR(IF(K133="","",VLOOKUP(K133,TANIMLAMALAR!$A$5:$E$104,4,0)),"")</f>
        <v/>
      </c>
      <c r="N133" s="26"/>
      <c r="O133" s="26"/>
      <c r="P133" s="26"/>
      <c r="Q133" s="8"/>
      <c r="R133" s="25"/>
    </row>
    <row r="134" spans="1:18" ht="15" customHeight="1" x14ac:dyDescent="0.3">
      <c r="A134" s="3" t="str">
        <f t="shared" si="2"/>
        <v/>
      </c>
      <c r="B134" s="5"/>
      <c r="C134" s="6"/>
      <c r="D134" s="3"/>
      <c r="E134" s="3"/>
      <c r="F134" s="3"/>
      <c r="G134" s="3"/>
      <c r="H134" s="3"/>
      <c r="I134" s="7"/>
      <c r="J134" s="3"/>
      <c r="K134" s="3"/>
      <c r="L134" s="3" t="str">
        <f>IFERROR(IF(K134="","",VLOOKUP(K134,TANIMLAMALAR!$A$5:$E$104,3,0)),"")</f>
        <v/>
      </c>
      <c r="M134" s="3" t="str">
        <f>IFERROR(IF(K134="","",VLOOKUP(K134,TANIMLAMALAR!$A$5:$E$104,4,0)),"")</f>
        <v/>
      </c>
      <c r="N134" s="3"/>
      <c r="O134" s="3"/>
      <c r="P134" s="3"/>
      <c r="Q134" s="5"/>
      <c r="R134" s="7"/>
    </row>
    <row r="135" spans="1:18" ht="15" customHeight="1" x14ac:dyDescent="0.3">
      <c r="A135" s="26" t="str">
        <f t="shared" si="2"/>
        <v/>
      </c>
      <c r="B135" s="8"/>
      <c r="C135" s="9"/>
      <c r="D135" s="26"/>
      <c r="E135" s="26"/>
      <c r="F135" s="26"/>
      <c r="G135" s="26"/>
      <c r="H135" s="26"/>
      <c r="I135" s="25"/>
      <c r="J135" s="26"/>
      <c r="K135" s="26"/>
      <c r="L135" s="26" t="str">
        <f>IFERROR(IF(K135="","",VLOOKUP(K135,TANIMLAMALAR!$A$5:$E$104,3,0)),"")</f>
        <v/>
      </c>
      <c r="M135" s="26" t="str">
        <f>IFERROR(IF(K135="","",VLOOKUP(K135,TANIMLAMALAR!$A$5:$E$104,4,0)),"")</f>
        <v/>
      </c>
      <c r="N135" s="26"/>
      <c r="O135" s="26"/>
      <c r="P135" s="26"/>
      <c r="Q135" s="8"/>
      <c r="R135" s="25"/>
    </row>
    <row r="136" spans="1:18" ht="15" customHeight="1" x14ac:dyDescent="0.3">
      <c r="A136" s="3" t="str">
        <f t="shared" si="2"/>
        <v/>
      </c>
      <c r="B136" s="5"/>
      <c r="C136" s="6"/>
      <c r="D136" s="3"/>
      <c r="E136" s="3"/>
      <c r="F136" s="3"/>
      <c r="G136" s="3"/>
      <c r="H136" s="3"/>
      <c r="I136" s="7"/>
      <c r="J136" s="3"/>
      <c r="K136" s="3"/>
      <c r="L136" s="3" t="str">
        <f>IFERROR(IF(K136="","",VLOOKUP(K136,TANIMLAMALAR!$A$5:$E$104,3,0)),"")</f>
        <v/>
      </c>
      <c r="M136" s="3" t="str">
        <f>IFERROR(IF(K136="","",VLOOKUP(K136,TANIMLAMALAR!$A$5:$E$104,4,0)),"")</f>
        <v/>
      </c>
      <c r="N136" s="3"/>
      <c r="O136" s="3"/>
      <c r="P136" s="3"/>
      <c r="Q136" s="5"/>
      <c r="R136" s="7"/>
    </row>
    <row r="137" spans="1:18" ht="15" customHeight="1" x14ac:dyDescent="0.3">
      <c r="A137" s="26" t="str">
        <f t="shared" si="2"/>
        <v/>
      </c>
      <c r="B137" s="8"/>
      <c r="C137" s="9"/>
      <c r="D137" s="26"/>
      <c r="E137" s="26"/>
      <c r="F137" s="26"/>
      <c r="G137" s="26"/>
      <c r="H137" s="26"/>
      <c r="I137" s="25"/>
      <c r="J137" s="26"/>
      <c r="K137" s="26"/>
      <c r="L137" s="26" t="str">
        <f>IFERROR(IF(K137="","",VLOOKUP(K137,TANIMLAMALAR!$A$5:$E$104,3,0)),"")</f>
        <v/>
      </c>
      <c r="M137" s="26" t="str">
        <f>IFERROR(IF(K137="","",VLOOKUP(K137,TANIMLAMALAR!$A$5:$E$104,4,0)),"")</f>
        <v/>
      </c>
      <c r="N137" s="26"/>
      <c r="O137" s="26"/>
      <c r="P137" s="26"/>
      <c r="Q137" s="8"/>
      <c r="R137" s="25"/>
    </row>
    <row r="138" spans="1:18" ht="15" customHeight="1" x14ac:dyDescent="0.3">
      <c r="A138" s="3" t="str">
        <f t="shared" si="2"/>
        <v/>
      </c>
      <c r="B138" s="5"/>
      <c r="C138" s="6"/>
      <c r="D138" s="3"/>
      <c r="E138" s="3"/>
      <c r="F138" s="3"/>
      <c r="G138" s="3"/>
      <c r="H138" s="3"/>
      <c r="I138" s="7"/>
      <c r="J138" s="3"/>
      <c r="K138" s="3"/>
      <c r="L138" s="3" t="str">
        <f>IFERROR(IF(K138="","",VLOOKUP(K138,TANIMLAMALAR!$A$5:$E$104,3,0)),"")</f>
        <v/>
      </c>
      <c r="M138" s="3" t="str">
        <f>IFERROR(IF(K138="","",VLOOKUP(K138,TANIMLAMALAR!$A$5:$E$104,4,0)),"")</f>
        <v/>
      </c>
      <c r="N138" s="3"/>
      <c r="O138" s="3"/>
      <c r="P138" s="3"/>
      <c r="Q138" s="5"/>
      <c r="R138" s="7"/>
    </row>
    <row r="139" spans="1:18" ht="15" customHeight="1" x14ac:dyDescent="0.3">
      <c r="A139" s="26" t="str">
        <f t="shared" si="2"/>
        <v/>
      </c>
      <c r="B139" s="8"/>
      <c r="C139" s="9"/>
      <c r="D139" s="26"/>
      <c r="E139" s="26"/>
      <c r="F139" s="26"/>
      <c r="G139" s="26"/>
      <c r="H139" s="26"/>
      <c r="I139" s="25"/>
      <c r="J139" s="26"/>
      <c r="K139" s="26"/>
      <c r="L139" s="26" t="str">
        <f>IFERROR(IF(K139="","",VLOOKUP(K139,TANIMLAMALAR!$A$5:$E$104,3,0)),"")</f>
        <v/>
      </c>
      <c r="M139" s="26" t="str">
        <f>IFERROR(IF(K139="","",VLOOKUP(K139,TANIMLAMALAR!$A$5:$E$104,4,0)),"")</f>
        <v/>
      </c>
      <c r="N139" s="26"/>
      <c r="O139" s="26"/>
      <c r="P139" s="26"/>
      <c r="Q139" s="8"/>
      <c r="R139" s="25"/>
    </row>
    <row r="140" spans="1:18" ht="15" customHeight="1" x14ac:dyDescent="0.3">
      <c r="A140" s="3" t="str">
        <f t="shared" si="2"/>
        <v/>
      </c>
      <c r="B140" s="5"/>
      <c r="C140" s="6"/>
      <c r="D140" s="3"/>
      <c r="E140" s="3"/>
      <c r="F140" s="3"/>
      <c r="G140" s="3"/>
      <c r="H140" s="3"/>
      <c r="I140" s="7"/>
      <c r="J140" s="3"/>
      <c r="K140" s="3"/>
      <c r="L140" s="3" t="str">
        <f>IFERROR(IF(K140="","",VLOOKUP(K140,TANIMLAMALAR!$A$5:$E$104,3,0)),"")</f>
        <v/>
      </c>
      <c r="M140" s="3" t="str">
        <f>IFERROR(IF(K140="","",VLOOKUP(K140,TANIMLAMALAR!$A$5:$E$104,4,0)),"")</f>
        <v/>
      </c>
      <c r="N140" s="3"/>
      <c r="O140" s="3"/>
      <c r="P140" s="3"/>
      <c r="Q140" s="5"/>
      <c r="R140" s="7"/>
    </row>
    <row r="141" spans="1:18" ht="15" customHeight="1" x14ac:dyDescent="0.3">
      <c r="A141" s="26" t="str">
        <f t="shared" si="2"/>
        <v/>
      </c>
      <c r="B141" s="8"/>
      <c r="C141" s="9"/>
      <c r="D141" s="26"/>
      <c r="E141" s="26"/>
      <c r="F141" s="26"/>
      <c r="G141" s="26"/>
      <c r="H141" s="26"/>
      <c r="I141" s="25"/>
      <c r="J141" s="26"/>
      <c r="K141" s="26"/>
      <c r="L141" s="26" t="str">
        <f>IFERROR(IF(K141="","",VLOOKUP(K141,TANIMLAMALAR!$A$5:$E$104,3,0)),"")</f>
        <v/>
      </c>
      <c r="M141" s="26" t="str">
        <f>IFERROR(IF(K141="","",VLOOKUP(K141,TANIMLAMALAR!$A$5:$E$104,4,0)),"")</f>
        <v/>
      </c>
      <c r="N141" s="26"/>
      <c r="O141" s="26"/>
      <c r="P141" s="26"/>
      <c r="Q141" s="8"/>
      <c r="R141" s="25"/>
    </row>
    <row r="142" spans="1:18" ht="15" customHeight="1" x14ac:dyDescent="0.3">
      <c r="A142" s="3" t="str">
        <f t="shared" si="2"/>
        <v/>
      </c>
      <c r="B142" s="5"/>
      <c r="C142" s="6"/>
      <c r="D142" s="3"/>
      <c r="E142" s="3"/>
      <c r="F142" s="3"/>
      <c r="G142" s="3"/>
      <c r="H142" s="3"/>
      <c r="I142" s="7"/>
      <c r="J142" s="3"/>
      <c r="K142" s="3"/>
      <c r="L142" s="3" t="str">
        <f>IFERROR(IF(K142="","",VLOOKUP(K142,TANIMLAMALAR!$A$5:$E$104,3,0)),"")</f>
        <v/>
      </c>
      <c r="M142" s="3" t="str">
        <f>IFERROR(IF(K142="","",VLOOKUP(K142,TANIMLAMALAR!$A$5:$E$104,4,0)),"")</f>
        <v/>
      </c>
      <c r="N142" s="3"/>
      <c r="O142" s="3"/>
      <c r="P142" s="3"/>
      <c r="Q142" s="5"/>
      <c r="R142" s="7"/>
    </row>
    <row r="143" spans="1:18" ht="15" customHeight="1" x14ac:dyDescent="0.3">
      <c r="A143" s="26" t="str">
        <f t="shared" si="2"/>
        <v/>
      </c>
      <c r="B143" s="8"/>
      <c r="C143" s="9"/>
      <c r="D143" s="26"/>
      <c r="E143" s="26"/>
      <c r="F143" s="26"/>
      <c r="G143" s="26"/>
      <c r="H143" s="26"/>
      <c r="I143" s="25"/>
      <c r="J143" s="26"/>
      <c r="K143" s="26"/>
      <c r="L143" s="26" t="str">
        <f>IFERROR(IF(K143="","",VLOOKUP(K143,TANIMLAMALAR!$A$5:$E$104,3,0)),"")</f>
        <v/>
      </c>
      <c r="M143" s="26" t="str">
        <f>IFERROR(IF(K143="","",VLOOKUP(K143,TANIMLAMALAR!$A$5:$E$104,4,0)),"")</f>
        <v/>
      </c>
      <c r="N143" s="26"/>
      <c r="O143" s="26"/>
      <c r="P143" s="26"/>
      <c r="Q143" s="8"/>
      <c r="R143" s="25"/>
    </row>
    <row r="144" spans="1:18" ht="15" customHeight="1" x14ac:dyDescent="0.3">
      <c r="A144" s="3" t="str">
        <f t="shared" si="2"/>
        <v/>
      </c>
      <c r="B144" s="5"/>
      <c r="C144" s="6"/>
      <c r="D144" s="3"/>
      <c r="E144" s="3"/>
      <c r="F144" s="3"/>
      <c r="G144" s="3"/>
      <c r="H144" s="3"/>
      <c r="I144" s="7"/>
      <c r="J144" s="3"/>
      <c r="K144" s="3"/>
      <c r="L144" s="3" t="str">
        <f>IFERROR(IF(K144="","",VLOOKUP(K144,TANIMLAMALAR!$A$5:$E$104,3,0)),"")</f>
        <v/>
      </c>
      <c r="M144" s="3" t="str">
        <f>IFERROR(IF(K144="","",VLOOKUP(K144,TANIMLAMALAR!$A$5:$E$104,4,0)),"")</f>
        <v/>
      </c>
      <c r="N144" s="3"/>
      <c r="O144" s="3"/>
      <c r="P144" s="3"/>
      <c r="Q144" s="5"/>
      <c r="R144" s="7"/>
    </row>
    <row r="145" spans="1:18" ht="15" customHeight="1" x14ac:dyDescent="0.3">
      <c r="A145" s="26" t="str">
        <f t="shared" si="2"/>
        <v/>
      </c>
      <c r="B145" s="8"/>
      <c r="C145" s="9"/>
      <c r="D145" s="26"/>
      <c r="E145" s="26"/>
      <c r="F145" s="26"/>
      <c r="G145" s="26"/>
      <c r="H145" s="26"/>
      <c r="I145" s="25"/>
      <c r="J145" s="26"/>
      <c r="K145" s="26"/>
      <c r="L145" s="26" t="str">
        <f>IFERROR(IF(K145="","",VLOOKUP(K145,TANIMLAMALAR!$A$5:$E$104,3,0)),"")</f>
        <v/>
      </c>
      <c r="M145" s="26" t="str">
        <f>IFERROR(IF(K145="","",VLOOKUP(K145,TANIMLAMALAR!$A$5:$E$104,4,0)),"")</f>
        <v/>
      </c>
      <c r="N145" s="26"/>
      <c r="O145" s="26"/>
      <c r="P145" s="26"/>
      <c r="Q145" s="8"/>
      <c r="R145" s="25"/>
    </row>
    <row r="146" spans="1:18" ht="15" customHeight="1" x14ac:dyDescent="0.3">
      <c r="A146" s="3" t="str">
        <f t="shared" si="2"/>
        <v/>
      </c>
      <c r="B146" s="5"/>
      <c r="C146" s="6"/>
      <c r="D146" s="3"/>
      <c r="E146" s="3"/>
      <c r="F146" s="3"/>
      <c r="G146" s="3"/>
      <c r="H146" s="3"/>
      <c r="I146" s="7"/>
      <c r="J146" s="3"/>
      <c r="K146" s="3"/>
      <c r="L146" s="3" t="str">
        <f>IFERROR(IF(K146="","",VLOOKUP(K146,TANIMLAMALAR!$A$5:$E$104,3,0)),"")</f>
        <v/>
      </c>
      <c r="M146" s="3" t="str">
        <f>IFERROR(IF(K146="","",VLOOKUP(K146,TANIMLAMALAR!$A$5:$E$104,4,0)),"")</f>
        <v/>
      </c>
      <c r="N146" s="3"/>
      <c r="O146" s="3"/>
      <c r="P146" s="3"/>
      <c r="Q146" s="5"/>
      <c r="R146" s="7"/>
    </row>
    <row r="147" spans="1:18" ht="15" customHeight="1" x14ac:dyDescent="0.3">
      <c r="A147" s="26" t="str">
        <f t="shared" si="2"/>
        <v/>
      </c>
      <c r="B147" s="8"/>
      <c r="C147" s="9"/>
      <c r="D147" s="26"/>
      <c r="E147" s="26"/>
      <c r="F147" s="26"/>
      <c r="G147" s="26"/>
      <c r="H147" s="26"/>
      <c r="I147" s="25"/>
      <c r="J147" s="26"/>
      <c r="K147" s="26"/>
      <c r="L147" s="26" t="str">
        <f>IFERROR(IF(K147="","",VLOOKUP(K147,TANIMLAMALAR!$A$5:$E$104,3,0)),"")</f>
        <v/>
      </c>
      <c r="M147" s="26" t="str">
        <f>IFERROR(IF(K147="","",VLOOKUP(K147,TANIMLAMALAR!$A$5:$E$104,4,0)),"")</f>
        <v/>
      </c>
      <c r="N147" s="26"/>
      <c r="O147" s="26"/>
      <c r="P147" s="26"/>
      <c r="Q147" s="8"/>
      <c r="R147" s="25"/>
    </row>
    <row r="148" spans="1:18" ht="15" customHeight="1" x14ac:dyDescent="0.3">
      <c r="A148" s="3" t="str">
        <f t="shared" si="2"/>
        <v/>
      </c>
      <c r="B148" s="5"/>
      <c r="C148" s="6"/>
      <c r="D148" s="3"/>
      <c r="E148" s="3"/>
      <c r="F148" s="3"/>
      <c r="G148" s="3"/>
      <c r="H148" s="3"/>
      <c r="I148" s="7"/>
      <c r="J148" s="3"/>
      <c r="K148" s="3"/>
      <c r="L148" s="3" t="str">
        <f>IFERROR(IF(K148="","",VLOOKUP(K148,TANIMLAMALAR!$A$5:$E$104,3,0)),"")</f>
        <v/>
      </c>
      <c r="M148" s="3" t="str">
        <f>IFERROR(IF(K148="","",VLOOKUP(K148,TANIMLAMALAR!$A$5:$E$104,4,0)),"")</f>
        <v/>
      </c>
      <c r="N148" s="3"/>
      <c r="O148" s="3"/>
      <c r="P148" s="3"/>
      <c r="Q148" s="5"/>
      <c r="R148" s="7"/>
    </row>
    <row r="149" spans="1:18" ht="15" customHeight="1" x14ac:dyDescent="0.3">
      <c r="A149" s="26" t="str">
        <f t="shared" si="2"/>
        <v/>
      </c>
      <c r="B149" s="8"/>
      <c r="C149" s="9"/>
      <c r="D149" s="26"/>
      <c r="E149" s="26"/>
      <c r="F149" s="26"/>
      <c r="G149" s="26"/>
      <c r="H149" s="26"/>
      <c r="I149" s="25"/>
      <c r="J149" s="26"/>
      <c r="K149" s="26"/>
      <c r="L149" s="26" t="str">
        <f>IFERROR(IF(K149="","",VLOOKUP(K149,TANIMLAMALAR!$A$5:$E$104,3,0)),"")</f>
        <v/>
      </c>
      <c r="M149" s="26" t="str">
        <f>IFERROR(IF(K149="","",VLOOKUP(K149,TANIMLAMALAR!$A$5:$E$104,4,0)),"")</f>
        <v/>
      </c>
      <c r="N149" s="26"/>
      <c r="O149" s="26"/>
      <c r="P149" s="26"/>
      <c r="Q149" s="8"/>
      <c r="R149" s="25"/>
    </row>
    <row r="150" spans="1:18" ht="15" customHeight="1" x14ac:dyDescent="0.3">
      <c r="A150" s="3" t="str">
        <f t="shared" si="2"/>
        <v/>
      </c>
      <c r="B150" s="5"/>
      <c r="C150" s="6"/>
      <c r="D150" s="3"/>
      <c r="E150" s="3"/>
      <c r="F150" s="3"/>
      <c r="G150" s="3"/>
      <c r="H150" s="3"/>
      <c r="I150" s="7"/>
      <c r="J150" s="3"/>
      <c r="K150" s="3"/>
      <c r="L150" s="3" t="str">
        <f>IFERROR(IF(K150="","",VLOOKUP(K150,TANIMLAMALAR!$A$5:$E$104,3,0)),"")</f>
        <v/>
      </c>
      <c r="M150" s="3" t="str">
        <f>IFERROR(IF(K150="","",VLOOKUP(K150,TANIMLAMALAR!$A$5:$E$104,4,0)),"")</f>
        <v/>
      </c>
      <c r="N150" s="3"/>
      <c r="O150" s="3"/>
      <c r="P150" s="3"/>
      <c r="Q150" s="5"/>
      <c r="R150" s="7"/>
    </row>
    <row r="151" spans="1:18" ht="15" customHeight="1" x14ac:dyDescent="0.3">
      <c r="A151" s="26" t="str">
        <f t="shared" si="2"/>
        <v/>
      </c>
      <c r="B151" s="8"/>
      <c r="C151" s="9"/>
      <c r="D151" s="26"/>
      <c r="E151" s="26"/>
      <c r="F151" s="26"/>
      <c r="G151" s="26"/>
      <c r="H151" s="26"/>
      <c r="I151" s="25"/>
      <c r="J151" s="26"/>
      <c r="K151" s="26"/>
      <c r="L151" s="26" t="str">
        <f>IFERROR(IF(K151="","",VLOOKUP(K151,TANIMLAMALAR!$A$5:$E$104,3,0)),"")</f>
        <v/>
      </c>
      <c r="M151" s="26" t="str">
        <f>IFERROR(IF(K151="","",VLOOKUP(K151,TANIMLAMALAR!$A$5:$E$104,4,0)),"")</f>
        <v/>
      </c>
      <c r="N151" s="26"/>
      <c r="O151" s="26"/>
      <c r="P151" s="26"/>
      <c r="Q151" s="8"/>
      <c r="R151" s="25"/>
    </row>
    <row r="152" spans="1:18" ht="15" customHeight="1" x14ac:dyDescent="0.3">
      <c r="A152" s="3" t="str">
        <f t="shared" si="2"/>
        <v/>
      </c>
      <c r="B152" s="5"/>
      <c r="C152" s="6"/>
      <c r="D152" s="3"/>
      <c r="E152" s="3"/>
      <c r="F152" s="3"/>
      <c r="G152" s="3"/>
      <c r="H152" s="3"/>
      <c r="I152" s="7"/>
      <c r="J152" s="3"/>
      <c r="K152" s="3"/>
      <c r="L152" s="3" t="str">
        <f>IFERROR(IF(K152="","",VLOOKUP(K152,TANIMLAMALAR!$A$5:$E$104,3,0)),"")</f>
        <v/>
      </c>
      <c r="M152" s="3" t="str">
        <f>IFERROR(IF(K152="","",VLOOKUP(K152,TANIMLAMALAR!$A$5:$E$104,4,0)),"")</f>
        <v/>
      </c>
      <c r="N152" s="3"/>
      <c r="O152" s="3"/>
      <c r="P152" s="3"/>
      <c r="Q152" s="5"/>
      <c r="R152" s="7"/>
    </row>
    <row r="153" spans="1:18" ht="15" customHeight="1" x14ac:dyDescent="0.3">
      <c r="A153" s="26" t="str">
        <f t="shared" si="2"/>
        <v/>
      </c>
      <c r="B153" s="8"/>
      <c r="C153" s="9"/>
      <c r="D153" s="26"/>
      <c r="E153" s="26"/>
      <c r="F153" s="26"/>
      <c r="G153" s="26"/>
      <c r="H153" s="26"/>
      <c r="I153" s="25"/>
      <c r="J153" s="26"/>
      <c r="K153" s="26"/>
      <c r="L153" s="26" t="str">
        <f>IFERROR(IF(K153="","",VLOOKUP(K153,TANIMLAMALAR!$A$5:$E$104,3,0)),"")</f>
        <v/>
      </c>
      <c r="M153" s="26" t="str">
        <f>IFERROR(IF(K153="","",VLOOKUP(K153,TANIMLAMALAR!$A$5:$E$104,4,0)),"")</f>
        <v/>
      </c>
      <c r="N153" s="26"/>
      <c r="O153" s="26"/>
      <c r="P153" s="26"/>
      <c r="Q153" s="8"/>
      <c r="R153" s="25"/>
    </row>
    <row r="154" spans="1:18" ht="15" customHeight="1" x14ac:dyDescent="0.3">
      <c r="A154" s="3" t="str">
        <f t="shared" si="2"/>
        <v/>
      </c>
      <c r="B154" s="5"/>
      <c r="C154" s="6"/>
      <c r="D154" s="3"/>
      <c r="E154" s="3"/>
      <c r="F154" s="3"/>
      <c r="G154" s="3"/>
      <c r="H154" s="3"/>
      <c r="I154" s="7"/>
      <c r="J154" s="3"/>
      <c r="K154" s="3"/>
      <c r="L154" s="3" t="str">
        <f>IFERROR(IF(K154="","",VLOOKUP(K154,TANIMLAMALAR!$A$5:$E$104,3,0)),"")</f>
        <v/>
      </c>
      <c r="M154" s="3" t="str">
        <f>IFERROR(IF(K154="","",VLOOKUP(K154,TANIMLAMALAR!$A$5:$E$104,4,0)),"")</f>
        <v/>
      </c>
      <c r="N154" s="3"/>
      <c r="O154" s="3"/>
      <c r="P154" s="3"/>
      <c r="Q154" s="5"/>
      <c r="R154" s="7"/>
    </row>
    <row r="155" spans="1:18" ht="15" customHeight="1" x14ac:dyDescent="0.3">
      <c r="A155" s="26" t="str">
        <f t="shared" si="2"/>
        <v/>
      </c>
      <c r="B155" s="8"/>
      <c r="C155" s="9"/>
      <c r="D155" s="26"/>
      <c r="E155" s="26"/>
      <c r="F155" s="26"/>
      <c r="G155" s="26"/>
      <c r="H155" s="26"/>
      <c r="I155" s="25"/>
      <c r="J155" s="26"/>
      <c r="K155" s="26"/>
      <c r="L155" s="26" t="str">
        <f>IFERROR(IF(K155="","",VLOOKUP(K155,TANIMLAMALAR!$A$5:$E$104,3,0)),"")</f>
        <v/>
      </c>
      <c r="M155" s="26" t="str">
        <f>IFERROR(IF(K155="","",VLOOKUP(K155,TANIMLAMALAR!$A$5:$E$104,4,0)),"")</f>
        <v/>
      </c>
      <c r="N155" s="26"/>
      <c r="O155" s="26"/>
      <c r="P155" s="26"/>
      <c r="Q155" s="8"/>
      <c r="R155" s="25"/>
    </row>
    <row r="156" spans="1:18" ht="15" customHeight="1" x14ac:dyDescent="0.3">
      <c r="A156" s="3" t="str">
        <f t="shared" si="2"/>
        <v/>
      </c>
      <c r="B156" s="5"/>
      <c r="C156" s="6"/>
      <c r="D156" s="3"/>
      <c r="E156" s="3"/>
      <c r="F156" s="3"/>
      <c r="G156" s="3"/>
      <c r="H156" s="3"/>
      <c r="I156" s="7"/>
      <c r="J156" s="3"/>
      <c r="K156" s="3"/>
      <c r="L156" s="3" t="str">
        <f>IFERROR(IF(K156="","",VLOOKUP(K156,TANIMLAMALAR!$A$5:$E$104,3,0)),"")</f>
        <v/>
      </c>
      <c r="M156" s="3" t="str">
        <f>IFERROR(IF(K156="","",VLOOKUP(K156,TANIMLAMALAR!$A$5:$E$104,4,0)),"")</f>
        <v/>
      </c>
      <c r="N156" s="3"/>
      <c r="O156" s="3"/>
      <c r="P156" s="3"/>
      <c r="Q156" s="5"/>
      <c r="R156" s="7"/>
    </row>
    <row r="157" spans="1:18" ht="15" customHeight="1" x14ac:dyDescent="0.3">
      <c r="A157" s="26" t="str">
        <f t="shared" si="2"/>
        <v/>
      </c>
      <c r="B157" s="8"/>
      <c r="C157" s="9"/>
      <c r="D157" s="26"/>
      <c r="E157" s="26"/>
      <c r="F157" s="26"/>
      <c r="G157" s="26"/>
      <c r="H157" s="26"/>
      <c r="I157" s="25"/>
      <c r="J157" s="26"/>
      <c r="K157" s="26"/>
      <c r="L157" s="26" t="str">
        <f>IFERROR(IF(K157="","",VLOOKUP(K157,TANIMLAMALAR!$A$5:$E$104,3,0)),"")</f>
        <v/>
      </c>
      <c r="M157" s="26" t="str">
        <f>IFERROR(IF(K157="","",VLOOKUP(K157,TANIMLAMALAR!$A$5:$E$104,4,0)),"")</f>
        <v/>
      </c>
      <c r="N157" s="26"/>
      <c r="O157" s="26"/>
      <c r="P157" s="26"/>
      <c r="Q157" s="8"/>
      <c r="R157" s="25"/>
    </row>
    <row r="158" spans="1:18" ht="15" customHeight="1" x14ac:dyDescent="0.3">
      <c r="A158" s="3" t="str">
        <f t="shared" si="2"/>
        <v/>
      </c>
      <c r="B158" s="5"/>
      <c r="C158" s="6"/>
      <c r="D158" s="3"/>
      <c r="E158" s="3"/>
      <c r="F158" s="3"/>
      <c r="G158" s="3"/>
      <c r="H158" s="3"/>
      <c r="I158" s="7"/>
      <c r="J158" s="3"/>
      <c r="K158" s="3"/>
      <c r="L158" s="3" t="str">
        <f>IFERROR(IF(K158="","",VLOOKUP(K158,TANIMLAMALAR!$A$5:$E$104,3,0)),"")</f>
        <v/>
      </c>
      <c r="M158" s="3" t="str">
        <f>IFERROR(IF(K158="","",VLOOKUP(K158,TANIMLAMALAR!$A$5:$E$104,4,0)),"")</f>
        <v/>
      </c>
      <c r="N158" s="3"/>
      <c r="O158" s="3"/>
      <c r="P158" s="3"/>
      <c r="Q158" s="5"/>
      <c r="R158" s="7"/>
    </row>
    <row r="159" spans="1:18" ht="15" customHeight="1" x14ac:dyDescent="0.3">
      <c r="A159" s="26" t="str">
        <f t="shared" si="2"/>
        <v/>
      </c>
      <c r="B159" s="8"/>
      <c r="C159" s="9"/>
      <c r="D159" s="26"/>
      <c r="E159" s="26"/>
      <c r="F159" s="26"/>
      <c r="G159" s="26"/>
      <c r="H159" s="26"/>
      <c r="I159" s="25"/>
      <c r="J159" s="26"/>
      <c r="K159" s="26"/>
      <c r="L159" s="26" t="str">
        <f>IFERROR(IF(K159="","",VLOOKUP(K159,TANIMLAMALAR!$A$5:$E$104,3,0)),"")</f>
        <v/>
      </c>
      <c r="M159" s="26" t="str">
        <f>IFERROR(IF(K159="","",VLOOKUP(K159,TANIMLAMALAR!$A$5:$E$104,4,0)),"")</f>
        <v/>
      </c>
      <c r="N159" s="26"/>
      <c r="O159" s="26"/>
      <c r="P159" s="26"/>
      <c r="Q159" s="8"/>
      <c r="R159" s="25"/>
    </row>
    <row r="160" spans="1:18" ht="15" customHeight="1" x14ac:dyDescent="0.3">
      <c r="A160" s="3" t="str">
        <f t="shared" si="2"/>
        <v/>
      </c>
      <c r="B160" s="5"/>
      <c r="C160" s="6"/>
      <c r="D160" s="3"/>
      <c r="E160" s="3"/>
      <c r="F160" s="3"/>
      <c r="G160" s="3"/>
      <c r="H160" s="3"/>
      <c r="I160" s="7"/>
      <c r="J160" s="3"/>
      <c r="K160" s="3"/>
      <c r="L160" s="3" t="str">
        <f>IFERROR(IF(K160="","",VLOOKUP(K160,TANIMLAMALAR!$A$5:$E$104,3,0)),"")</f>
        <v/>
      </c>
      <c r="M160" s="3" t="str">
        <f>IFERROR(IF(K160="","",VLOOKUP(K160,TANIMLAMALAR!$A$5:$E$104,4,0)),"")</f>
        <v/>
      </c>
      <c r="N160" s="3"/>
      <c r="O160" s="3"/>
      <c r="P160" s="3"/>
      <c r="Q160" s="5"/>
      <c r="R160" s="7"/>
    </row>
    <row r="161" spans="1:18" ht="15" customHeight="1" x14ac:dyDescent="0.3">
      <c r="A161" s="26" t="str">
        <f t="shared" si="2"/>
        <v/>
      </c>
      <c r="B161" s="8"/>
      <c r="C161" s="9"/>
      <c r="D161" s="26"/>
      <c r="E161" s="26"/>
      <c r="F161" s="26"/>
      <c r="G161" s="26"/>
      <c r="H161" s="26"/>
      <c r="I161" s="25"/>
      <c r="J161" s="26"/>
      <c r="K161" s="26"/>
      <c r="L161" s="26" t="str">
        <f>IFERROR(IF(K161="","",VLOOKUP(K161,TANIMLAMALAR!$A$5:$E$104,3,0)),"")</f>
        <v/>
      </c>
      <c r="M161" s="26" t="str">
        <f>IFERROR(IF(K161="","",VLOOKUP(K161,TANIMLAMALAR!$A$5:$E$104,4,0)),"")</f>
        <v/>
      </c>
      <c r="N161" s="26"/>
      <c r="O161" s="26"/>
      <c r="P161" s="26"/>
      <c r="Q161" s="8"/>
      <c r="R161" s="25"/>
    </row>
    <row r="162" spans="1:18" ht="15" customHeight="1" x14ac:dyDescent="0.3">
      <c r="A162" s="3" t="str">
        <f t="shared" si="2"/>
        <v/>
      </c>
      <c r="B162" s="5"/>
      <c r="C162" s="6"/>
      <c r="D162" s="3"/>
      <c r="E162" s="3"/>
      <c r="F162" s="3"/>
      <c r="G162" s="3"/>
      <c r="H162" s="3"/>
      <c r="I162" s="7"/>
      <c r="J162" s="3"/>
      <c r="K162" s="3"/>
      <c r="L162" s="3" t="str">
        <f>IFERROR(IF(K162="","",VLOOKUP(K162,TANIMLAMALAR!$A$5:$E$104,3,0)),"")</f>
        <v/>
      </c>
      <c r="M162" s="3" t="str">
        <f>IFERROR(IF(K162="","",VLOOKUP(K162,TANIMLAMALAR!$A$5:$E$104,4,0)),"")</f>
        <v/>
      </c>
      <c r="N162" s="3"/>
      <c r="O162" s="3"/>
      <c r="P162" s="3"/>
      <c r="Q162" s="5"/>
      <c r="R162" s="7"/>
    </row>
    <row r="163" spans="1:18" ht="15" customHeight="1" x14ac:dyDescent="0.3">
      <c r="A163" s="26" t="str">
        <f t="shared" si="2"/>
        <v/>
      </c>
      <c r="B163" s="8"/>
      <c r="C163" s="9"/>
      <c r="D163" s="26"/>
      <c r="E163" s="26"/>
      <c r="F163" s="26"/>
      <c r="G163" s="26"/>
      <c r="H163" s="26"/>
      <c r="I163" s="25"/>
      <c r="J163" s="26"/>
      <c r="K163" s="26"/>
      <c r="L163" s="26" t="str">
        <f>IFERROR(IF(K163="","",VLOOKUP(K163,TANIMLAMALAR!$A$5:$E$104,3,0)),"")</f>
        <v/>
      </c>
      <c r="M163" s="26" t="str">
        <f>IFERROR(IF(K163="","",VLOOKUP(K163,TANIMLAMALAR!$A$5:$E$104,4,0)),"")</f>
        <v/>
      </c>
      <c r="N163" s="26"/>
      <c r="O163" s="26"/>
      <c r="P163" s="26"/>
      <c r="Q163" s="8"/>
      <c r="R163" s="25"/>
    </row>
    <row r="164" spans="1:18" ht="15" customHeight="1" x14ac:dyDescent="0.3">
      <c r="A164" s="3" t="str">
        <f t="shared" si="2"/>
        <v/>
      </c>
      <c r="B164" s="5"/>
      <c r="C164" s="6"/>
      <c r="D164" s="3"/>
      <c r="E164" s="3"/>
      <c r="F164" s="3"/>
      <c r="G164" s="3"/>
      <c r="H164" s="3"/>
      <c r="I164" s="7"/>
      <c r="J164" s="3"/>
      <c r="K164" s="3"/>
      <c r="L164" s="3" t="str">
        <f>IFERROR(IF(K164="","",VLOOKUP(K164,TANIMLAMALAR!$A$5:$E$104,3,0)),"")</f>
        <v/>
      </c>
      <c r="M164" s="3" t="str">
        <f>IFERROR(IF(K164="","",VLOOKUP(K164,TANIMLAMALAR!$A$5:$E$104,4,0)),"")</f>
        <v/>
      </c>
      <c r="N164" s="3"/>
      <c r="O164" s="3"/>
      <c r="P164" s="3"/>
      <c r="Q164" s="5"/>
      <c r="R164" s="7"/>
    </row>
    <row r="165" spans="1:18" ht="15" customHeight="1" x14ac:dyDescent="0.3">
      <c r="A165" s="26" t="str">
        <f t="shared" si="2"/>
        <v/>
      </c>
      <c r="B165" s="8"/>
      <c r="C165" s="9"/>
      <c r="D165" s="26"/>
      <c r="E165" s="26"/>
      <c r="F165" s="26"/>
      <c r="G165" s="26"/>
      <c r="H165" s="26"/>
      <c r="I165" s="25"/>
      <c r="J165" s="26"/>
      <c r="K165" s="26"/>
      <c r="L165" s="26" t="str">
        <f>IFERROR(IF(K165="","",VLOOKUP(K165,TANIMLAMALAR!$A$5:$E$104,3,0)),"")</f>
        <v/>
      </c>
      <c r="M165" s="26" t="str">
        <f>IFERROR(IF(K165="","",VLOOKUP(K165,TANIMLAMALAR!$A$5:$E$104,4,0)),"")</f>
        <v/>
      </c>
      <c r="N165" s="26"/>
      <c r="O165" s="26"/>
      <c r="P165" s="26"/>
      <c r="Q165" s="8"/>
      <c r="R165" s="25"/>
    </row>
    <row r="166" spans="1:18" ht="15" customHeight="1" x14ac:dyDescent="0.3">
      <c r="A166" s="3" t="str">
        <f t="shared" si="2"/>
        <v/>
      </c>
      <c r="B166" s="5"/>
      <c r="C166" s="6"/>
      <c r="D166" s="3"/>
      <c r="E166" s="3"/>
      <c r="F166" s="3"/>
      <c r="G166" s="3"/>
      <c r="H166" s="3"/>
      <c r="I166" s="7"/>
      <c r="J166" s="3"/>
      <c r="K166" s="3"/>
      <c r="L166" s="3" t="str">
        <f>IFERROR(IF(K166="","",VLOOKUP(K166,TANIMLAMALAR!$A$5:$E$104,3,0)),"")</f>
        <v/>
      </c>
      <c r="M166" s="3" t="str">
        <f>IFERROR(IF(K166="","",VLOOKUP(K166,TANIMLAMALAR!$A$5:$E$104,4,0)),"")</f>
        <v/>
      </c>
      <c r="N166" s="3"/>
      <c r="O166" s="3"/>
      <c r="P166" s="3"/>
      <c r="Q166" s="5"/>
      <c r="R166" s="7"/>
    </row>
    <row r="167" spans="1:18" ht="15" customHeight="1" x14ac:dyDescent="0.3">
      <c r="A167" s="26" t="str">
        <f t="shared" si="2"/>
        <v/>
      </c>
      <c r="B167" s="8"/>
      <c r="C167" s="9"/>
      <c r="D167" s="26"/>
      <c r="E167" s="26"/>
      <c r="F167" s="26"/>
      <c r="G167" s="26"/>
      <c r="H167" s="26"/>
      <c r="I167" s="25"/>
      <c r="J167" s="26"/>
      <c r="K167" s="26"/>
      <c r="L167" s="26" t="str">
        <f>IFERROR(IF(K167="","",VLOOKUP(K167,TANIMLAMALAR!$A$5:$E$104,3,0)),"")</f>
        <v/>
      </c>
      <c r="M167" s="26" t="str">
        <f>IFERROR(IF(K167="","",VLOOKUP(K167,TANIMLAMALAR!$A$5:$E$104,4,0)),"")</f>
        <v/>
      </c>
      <c r="N167" s="26"/>
      <c r="O167" s="26"/>
      <c r="P167" s="26"/>
      <c r="Q167" s="8"/>
      <c r="R167" s="25"/>
    </row>
    <row r="168" spans="1:18" ht="15" customHeight="1" x14ac:dyDescent="0.3">
      <c r="A168" s="3" t="str">
        <f t="shared" si="2"/>
        <v/>
      </c>
      <c r="B168" s="5"/>
      <c r="C168" s="6"/>
      <c r="D168" s="3"/>
      <c r="E168" s="3"/>
      <c r="F168" s="3"/>
      <c r="G168" s="3"/>
      <c r="H168" s="3"/>
      <c r="I168" s="7"/>
      <c r="J168" s="3"/>
      <c r="K168" s="3"/>
      <c r="L168" s="3" t="str">
        <f>IFERROR(IF(K168="","",VLOOKUP(K168,TANIMLAMALAR!$A$5:$E$104,3,0)),"")</f>
        <v/>
      </c>
      <c r="M168" s="3" t="str">
        <f>IFERROR(IF(K168="","",VLOOKUP(K168,TANIMLAMALAR!$A$5:$E$104,4,0)),"")</f>
        <v/>
      </c>
      <c r="N168" s="3"/>
      <c r="O168" s="3"/>
      <c r="P168" s="3"/>
      <c r="Q168" s="5"/>
      <c r="R168" s="7"/>
    </row>
    <row r="169" spans="1:18" ht="15" customHeight="1" x14ac:dyDescent="0.3">
      <c r="A169" s="26" t="str">
        <f t="shared" si="2"/>
        <v/>
      </c>
      <c r="B169" s="8"/>
      <c r="C169" s="9"/>
      <c r="D169" s="26"/>
      <c r="E169" s="26"/>
      <c r="F169" s="26"/>
      <c r="G169" s="26"/>
      <c r="H169" s="26"/>
      <c r="I169" s="25"/>
      <c r="J169" s="26"/>
      <c r="K169" s="26"/>
      <c r="L169" s="26" t="str">
        <f>IFERROR(IF(K169="","",VLOOKUP(K169,TANIMLAMALAR!$A$5:$E$104,3,0)),"")</f>
        <v/>
      </c>
      <c r="M169" s="26" t="str">
        <f>IFERROR(IF(K169="","",VLOOKUP(K169,TANIMLAMALAR!$A$5:$E$104,4,0)),"")</f>
        <v/>
      </c>
      <c r="N169" s="26"/>
      <c r="O169" s="26"/>
      <c r="P169" s="26"/>
      <c r="Q169" s="8"/>
      <c r="R169" s="25"/>
    </row>
    <row r="170" spans="1:18" ht="15" customHeight="1" x14ac:dyDescent="0.3">
      <c r="A170" s="3" t="str">
        <f t="shared" si="2"/>
        <v/>
      </c>
      <c r="B170" s="5"/>
      <c r="C170" s="6"/>
      <c r="D170" s="3"/>
      <c r="E170" s="3"/>
      <c r="F170" s="3"/>
      <c r="G170" s="3"/>
      <c r="H170" s="3"/>
      <c r="I170" s="7"/>
      <c r="J170" s="3"/>
      <c r="K170" s="3"/>
      <c r="L170" s="3" t="str">
        <f>IFERROR(IF(K170="","",VLOOKUP(K170,TANIMLAMALAR!$A$5:$E$104,3,0)),"")</f>
        <v/>
      </c>
      <c r="M170" s="3" t="str">
        <f>IFERROR(IF(K170="","",VLOOKUP(K170,TANIMLAMALAR!$A$5:$E$104,4,0)),"")</f>
        <v/>
      </c>
      <c r="N170" s="3"/>
      <c r="O170" s="3"/>
      <c r="P170" s="3"/>
      <c r="Q170" s="5"/>
      <c r="R170" s="7"/>
    </row>
    <row r="171" spans="1:18" ht="15" customHeight="1" x14ac:dyDescent="0.3">
      <c r="A171" s="26" t="str">
        <f t="shared" si="2"/>
        <v/>
      </c>
      <c r="B171" s="8"/>
      <c r="C171" s="9"/>
      <c r="D171" s="26"/>
      <c r="E171" s="26"/>
      <c r="F171" s="26"/>
      <c r="G171" s="26"/>
      <c r="H171" s="26"/>
      <c r="I171" s="25"/>
      <c r="J171" s="26"/>
      <c r="K171" s="26"/>
      <c r="L171" s="26" t="str">
        <f>IFERROR(IF(K171="","",VLOOKUP(K171,TANIMLAMALAR!$A$5:$E$104,3,0)),"")</f>
        <v/>
      </c>
      <c r="M171" s="26" t="str">
        <f>IFERROR(IF(K171="","",VLOOKUP(K171,TANIMLAMALAR!$A$5:$E$104,4,0)),"")</f>
        <v/>
      </c>
      <c r="N171" s="26"/>
      <c r="O171" s="26"/>
      <c r="P171" s="26"/>
      <c r="Q171" s="8"/>
      <c r="R171" s="25"/>
    </row>
    <row r="172" spans="1:18" ht="15" customHeight="1" x14ac:dyDescent="0.3">
      <c r="A172" s="3" t="str">
        <f t="shared" si="2"/>
        <v/>
      </c>
      <c r="B172" s="5"/>
      <c r="C172" s="6"/>
      <c r="D172" s="3"/>
      <c r="E172" s="3"/>
      <c r="F172" s="3"/>
      <c r="G172" s="3"/>
      <c r="H172" s="3"/>
      <c r="I172" s="7"/>
      <c r="J172" s="3"/>
      <c r="K172" s="3"/>
      <c r="L172" s="3" t="str">
        <f>IFERROR(IF(K172="","",VLOOKUP(K172,TANIMLAMALAR!$A$5:$E$104,3,0)),"")</f>
        <v/>
      </c>
      <c r="M172" s="3" t="str">
        <f>IFERROR(IF(K172="","",VLOOKUP(K172,TANIMLAMALAR!$A$5:$E$104,4,0)),"")</f>
        <v/>
      </c>
      <c r="N172" s="3"/>
      <c r="O172" s="3"/>
      <c r="P172" s="3"/>
      <c r="Q172" s="5"/>
      <c r="R172" s="7"/>
    </row>
    <row r="173" spans="1:18" ht="15" customHeight="1" x14ac:dyDescent="0.3">
      <c r="A173" s="26" t="str">
        <f t="shared" si="2"/>
        <v/>
      </c>
      <c r="B173" s="8"/>
      <c r="C173" s="9"/>
      <c r="D173" s="26"/>
      <c r="E173" s="26"/>
      <c r="F173" s="26"/>
      <c r="G173" s="26"/>
      <c r="H173" s="26"/>
      <c r="I173" s="25"/>
      <c r="J173" s="26"/>
      <c r="K173" s="26"/>
      <c r="L173" s="26" t="str">
        <f>IFERROR(IF(K173="","",VLOOKUP(K173,TANIMLAMALAR!$A$5:$E$104,3,0)),"")</f>
        <v/>
      </c>
      <c r="M173" s="26" t="str">
        <f>IFERROR(IF(K173="","",VLOOKUP(K173,TANIMLAMALAR!$A$5:$E$104,4,0)),"")</f>
        <v/>
      </c>
      <c r="N173" s="26"/>
      <c r="O173" s="26"/>
      <c r="P173" s="26"/>
      <c r="Q173" s="8"/>
      <c r="R173" s="25"/>
    </row>
    <row r="174" spans="1:18" ht="15" customHeight="1" x14ac:dyDescent="0.3">
      <c r="A174" s="3" t="str">
        <f t="shared" si="2"/>
        <v/>
      </c>
      <c r="B174" s="5"/>
      <c r="C174" s="6"/>
      <c r="D174" s="3"/>
      <c r="E174" s="3"/>
      <c r="F174" s="3"/>
      <c r="G174" s="3"/>
      <c r="H174" s="3"/>
      <c r="I174" s="7"/>
      <c r="J174" s="3"/>
      <c r="K174" s="3"/>
      <c r="L174" s="3" t="str">
        <f>IFERROR(IF(K174="","",VLOOKUP(K174,TANIMLAMALAR!$A$5:$E$104,3,0)),"")</f>
        <v/>
      </c>
      <c r="M174" s="3" t="str">
        <f>IFERROR(IF(K174="","",VLOOKUP(K174,TANIMLAMALAR!$A$5:$E$104,4,0)),"")</f>
        <v/>
      </c>
      <c r="N174" s="3"/>
      <c r="O174" s="3"/>
      <c r="P174" s="3"/>
      <c r="Q174" s="5"/>
      <c r="R174" s="7"/>
    </row>
    <row r="175" spans="1:18" ht="15" customHeight="1" x14ac:dyDescent="0.3">
      <c r="A175" s="26" t="str">
        <f t="shared" si="2"/>
        <v/>
      </c>
      <c r="B175" s="8"/>
      <c r="C175" s="9"/>
      <c r="D175" s="26"/>
      <c r="E175" s="26"/>
      <c r="F175" s="26"/>
      <c r="G175" s="26"/>
      <c r="H175" s="26"/>
      <c r="I175" s="25"/>
      <c r="J175" s="26"/>
      <c r="K175" s="26"/>
      <c r="L175" s="26" t="str">
        <f>IFERROR(IF(K175="","",VLOOKUP(K175,TANIMLAMALAR!$A$5:$E$104,3,0)),"")</f>
        <v/>
      </c>
      <c r="M175" s="26" t="str">
        <f>IFERROR(IF(K175="","",VLOOKUP(K175,TANIMLAMALAR!$A$5:$E$104,4,0)),"")</f>
        <v/>
      </c>
      <c r="N175" s="26"/>
      <c r="O175" s="26"/>
      <c r="P175" s="26"/>
      <c r="Q175" s="8"/>
      <c r="R175" s="25"/>
    </row>
    <row r="176" spans="1:18" ht="15" customHeight="1" x14ac:dyDescent="0.3">
      <c r="A176" s="3" t="str">
        <f t="shared" si="2"/>
        <v/>
      </c>
      <c r="B176" s="5"/>
      <c r="C176" s="6"/>
      <c r="D176" s="3"/>
      <c r="E176" s="3"/>
      <c r="F176" s="3"/>
      <c r="G176" s="3"/>
      <c r="H176" s="3"/>
      <c r="I176" s="7"/>
      <c r="J176" s="3"/>
      <c r="K176" s="3"/>
      <c r="L176" s="3" t="str">
        <f>IFERROR(IF(K176="","",VLOOKUP(K176,TANIMLAMALAR!$A$5:$E$104,3,0)),"")</f>
        <v/>
      </c>
      <c r="M176" s="3" t="str">
        <f>IFERROR(IF(K176="","",VLOOKUP(K176,TANIMLAMALAR!$A$5:$E$104,4,0)),"")</f>
        <v/>
      </c>
      <c r="N176" s="3"/>
      <c r="O176" s="3"/>
      <c r="P176" s="3"/>
      <c r="Q176" s="5"/>
      <c r="R176" s="7"/>
    </row>
    <row r="177" spans="1:18" ht="15" customHeight="1" x14ac:dyDescent="0.3">
      <c r="A177" s="26" t="str">
        <f t="shared" si="2"/>
        <v/>
      </c>
      <c r="B177" s="8"/>
      <c r="C177" s="9"/>
      <c r="D177" s="26"/>
      <c r="E177" s="26"/>
      <c r="F177" s="26"/>
      <c r="G177" s="26"/>
      <c r="H177" s="26"/>
      <c r="I177" s="25"/>
      <c r="J177" s="26"/>
      <c r="K177" s="26"/>
      <c r="L177" s="26" t="str">
        <f>IFERROR(IF(K177="","",VLOOKUP(K177,TANIMLAMALAR!$A$5:$E$104,3,0)),"")</f>
        <v/>
      </c>
      <c r="M177" s="26" t="str">
        <f>IFERROR(IF(K177="","",VLOOKUP(K177,TANIMLAMALAR!$A$5:$E$104,4,0)),"")</f>
        <v/>
      </c>
      <c r="N177" s="26"/>
      <c r="O177" s="26"/>
      <c r="P177" s="26"/>
      <c r="Q177" s="8"/>
      <c r="R177" s="25"/>
    </row>
    <row r="178" spans="1:18" ht="15" customHeight="1" x14ac:dyDescent="0.3">
      <c r="A178" s="3" t="str">
        <f t="shared" si="2"/>
        <v/>
      </c>
      <c r="B178" s="5"/>
      <c r="C178" s="6"/>
      <c r="D178" s="3"/>
      <c r="E178" s="3"/>
      <c r="F178" s="3"/>
      <c r="G178" s="3"/>
      <c r="H178" s="3"/>
      <c r="I178" s="7"/>
      <c r="J178" s="3"/>
      <c r="K178" s="3"/>
      <c r="L178" s="3" t="str">
        <f>IFERROR(IF(K178="","",VLOOKUP(K178,TANIMLAMALAR!$A$5:$E$104,3,0)),"")</f>
        <v/>
      </c>
      <c r="M178" s="3" t="str">
        <f>IFERROR(IF(K178="","",VLOOKUP(K178,TANIMLAMALAR!$A$5:$E$104,4,0)),"")</f>
        <v/>
      </c>
      <c r="N178" s="3"/>
      <c r="O178" s="3"/>
      <c r="P178" s="3"/>
      <c r="Q178" s="5"/>
      <c r="R178" s="7"/>
    </row>
    <row r="179" spans="1:18" ht="15" customHeight="1" x14ac:dyDescent="0.3">
      <c r="A179" s="26" t="str">
        <f t="shared" si="2"/>
        <v/>
      </c>
      <c r="B179" s="8"/>
      <c r="C179" s="9"/>
      <c r="D179" s="26"/>
      <c r="E179" s="26"/>
      <c r="F179" s="26"/>
      <c r="G179" s="26"/>
      <c r="H179" s="26"/>
      <c r="I179" s="25"/>
      <c r="J179" s="26"/>
      <c r="K179" s="26"/>
      <c r="L179" s="26" t="str">
        <f>IFERROR(IF(K179="","",VLOOKUP(K179,TANIMLAMALAR!$A$5:$E$104,3,0)),"")</f>
        <v/>
      </c>
      <c r="M179" s="26" t="str">
        <f>IFERROR(IF(K179="","",VLOOKUP(K179,TANIMLAMALAR!$A$5:$E$104,4,0)),"")</f>
        <v/>
      </c>
      <c r="N179" s="26"/>
      <c r="O179" s="26"/>
      <c r="P179" s="26"/>
      <c r="Q179" s="8"/>
      <c r="R179" s="25"/>
    </row>
    <row r="180" spans="1:18" ht="15" customHeight="1" x14ac:dyDescent="0.3">
      <c r="A180" s="3" t="str">
        <f t="shared" si="2"/>
        <v/>
      </c>
      <c r="B180" s="5"/>
      <c r="C180" s="6"/>
      <c r="D180" s="3"/>
      <c r="E180" s="3"/>
      <c r="F180" s="3"/>
      <c r="G180" s="3"/>
      <c r="H180" s="3"/>
      <c r="I180" s="7"/>
      <c r="J180" s="3"/>
      <c r="K180" s="3"/>
      <c r="L180" s="3" t="str">
        <f>IFERROR(IF(K180="","",VLOOKUP(K180,TANIMLAMALAR!$A$5:$E$104,3,0)),"")</f>
        <v/>
      </c>
      <c r="M180" s="3" t="str">
        <f>IFERROR(IF(K180="","",VLOOKUP(K180,TANIMLAMALAR!$A$5:$E$104,4,0)),"")</f>
        <v/>
      </c>
      <c r="N180" s="3"/>
      <c r="O180" s="3"/>
      <c r="P180" s="3"/>
      <c r="Q180" s="5"/>
      <c r="R180" s="7"/>
    </row>
    <row r="181" spans="1:18" ht="15" customHeight="1" x14ac:dyDescent="0.3">
      <c r="A181" s="26" t="str">
        <f t="shared" si="2"/>
        <v/>
      </c>
      <c r="B181" s="8"/>
      <c r="C181" s="9"/>
      <c r="D181" s="26"/>
      <c r="E181" s="26"/>
      <c r="F181" s="26"/>
      <c r="G181" s="26"/>
      <c r="H181" s="26"/>
      <c r="I181" s="25"/>
      <c r="J181" s="26"/>
      <c r="K181" s="26"/>
      <c r="L181" s="26" t="str">
        <f>IFERROR(IF(K181="","",VLOOKUP(K181,TANIMLAMALAR!$A$5:$E$104,3,0)),"")</f>
        <v/>
      </c>
      <c r="M181" s="26" t="str">
        <f>IFERROR(IF(K181="","",VLOOKUP(K181,TANIMLAMALAR!$A$5:$E$104,4,0)),"")</f>
        <v/>
      </c>
      <c r="N181" s="26"/>
      <c r="O181" s="26"/>
      <c r="P181" s="26"/>
      <c r="Q181" s="8"/>
      <c r="R181" s="25"/>
    </row>
    <row r="182" spans="1:18" ht="15" customHeight="1" x14ac:dyDescent="0.3">
      <c r="A182" s="3" t="str">
        <f t="shared" si="2"/>
        <v/>
      </c>
      <c r="B182" s="5"/>
      <c r="C182" s="6"/>
      <c r="D182" s="3"/>
      <c r="E182" s="3"/>
      <c r="F182" s="3"/>
      <c r="G182" s="3"/>
      <c r="H182" s="3"/>
      <c r="I182" s="7"/>
      <c r="J182" s="3"/>
      <c r="K182" s="3"/>
      <c r="L182" s="3" t="str">
        <f>IFERROR(IF(K182="","",VLOOKUP(K182,TANIMLAMALAR!$A$5:$E$104,3,0)),"")</f>
        <v/>
      </c>
      <c r="M182" s="3" t="str">
        <f>IFERROR(IF(K182="","",VLOOKUP(K182,TANIMLAMALAR!$A$5:$E$104,4,0)),"")</f>
        <v/>
      </c>
      <c r="N182" s="3"/>
      <c r="O182" s="3"/>
      <c r="P182" s="3"/>
      <c r="Q182" s="5"/>
      <c r="R182" s="7"/>
    </row>
    <row r="183" spans="1:18" ht="15" customHeight="1" x14ac:dyDescent="0.3">
      <c r="A183" s="26" t="str">
        <f t="shared" si="2"/>
        <v/>
      </c>
      <c r="B183" s="8"/>
      <c r="C183" s="9"/>
      <c r="D183" s="26"/>
      <c r="E183" s="26"/>
      <c r="F183" s="26"/>
      <c r="G183" s="26"/>
      <c r="H183" s="26"/>
      <c r="I183" s="25"/>
      <c r="J183" s="26"/>
      <c r="K183" s="26"/>
      <c r="L183" s="26" t="str">
        <f>IFERROR(IF(K183="","",VLOOKUP(K183,TANIMLAMALAR!$A$5:$E$104,3,0)),"")</f>
        <v/>
      </c>
      <c r="M183" s="26" t="str">
        <f>IFERROR(IF(K183="","",VLOOKUP(K183,TANIMLAMALAR!$A$5:$E$104,4,0)),"")</f>
        <v/>
      </c>
      <c r="N183" s="26"/>
      <c r="O183" s="26"/>
      <c r="P183" s="26"/>
      <c r="Q183" s="8"/>
      <c r="R183" s="25"/>
    </row>
    <row r="184" spans="1:18" ht="15" customHeight="1" x14ac:dyDescent="0.3">
      <c r="A184" s="3" t="str">
        <f t="shared" si="2"/>
        <v/>
      </c>
      <c r="B184" s="5"/>
      <c r="C184" s="6"/>
      <c r="D184" s="3"/>
      <c r="E184" s="3"/>
      <c r="F184" s="3"/>
      <c r="G184" s="3"/>
      <c r="H184" s="3"/>
      <c r="I184" s="7"/>
      <c r="J184" s="3"/>
      <c r="K184" s="3"/>
      <c r="L184" s="3" t="str">
        <f>IFERROR(IF(K184="","",VLOOKUP(K184,TANIMLAMALAR!$A$5:$E$104,3,0)),"")</f>
        <v/>
      </c>
      <c r="M184" s="3" t="str">
        <f>IFERROR(IF(K184="","",VLOOKUP(K184,TANIMLAMALAR!$A$5:$E$104,4,0)),"")</f>
        <v/>
      </c>
      <c r="N184" s="3"/>
      <c r="O184" s="3"/>
      <c r="P184" s="3"/>
      <c r="Q184" s="5"/>
      <c r="R184" s="7"/>
    </row>
    <row r="185" spans="1:18" ht="15" customHeight="1" x14ac:dyDescent="0.3">
      <c r="A185" s="26" t="str">
        <f t="shared" si="2"/>
        <v/>
      </c>
      <c r="B185" s="8"/>
      <c r="C185" s="9"/>
      <c r="D185" s="26"/>
      <c r="E185" s="26"/>
      <c r="F185" s="26"/>
      <c r="G185" s="26"/>
      <c r="H185" s="26"/>
      <c r="I185" s="25"/>
      <c r="J185" s="26"/>
      <c r="K185" s="26"/>
      <c r="L185" s="26" t="str">
        <f>IFERROR(IF(K185="","",VLOOKUP(K185,TANIMLAMALAR!$A$5:$E$104,3,0)),"")</f>
        <v/>
      </c>
      <c r="M185" s="26" t="str">
        <f>IFERROR(IF(K185="","",VLOOKUP(K185,TANIMLAMALAR!$A$5:$E$104,4,0)),"")</f>
        <v/>
      </c>
      <c r="N185" s="26"/>
      <c r="O185" s="26"/>
      <c r="P185" s="26"/>
      <c r="Q185" s="8"/>
      <c r="R185" s="25"/>
    </row>
    <row r="186" spans="1:18" ht="15" customHeight="1" x14ac:dyDescent="0.3">
      <c r="A186" s="3" t="str">
        <f t="shared" si="2"/>
        <v/>
      </c>
      <c r="B186" s="5"/>
      <c r="C186" s="6"/>
      <c r="D186" s="3"/>
      <c r="E186" s="3"/>
      <c r="F186" s="3"/>
      <c r="G186" s="3"/>
      <c r="H186" s="3"/>
      <c r="I186" s="7"/>
      <c r="J186" s="3"/>
      <c r="K186" s="3"/>
      <c r="L186" s="3" t="str">
        <f>IFERROR(IF(K186="","",VLOOKUP(K186,TANIMLAMALAR!$A$5:$E$104,3,0)),"")</f>
        <v/>
      </c>
      <c r="M186" s="3" t="str">
        <f>IFERROR(IF(K186="","",VLOOKUP(K186,TANIMLAMALAR!$A$5:$E$104,4,0)),"")</f>
        <v/>
      </c>
      <c r="N186" s="3"/>
      <c r="O186" s="3"/>
      <c r="P186" s="3"/>
      <c r="Q186" s="5"/>
      <c r="R186" s="7"/>
    </row>
    <row r="187" spans="1:18" ht="15" customHeight="1" x14ac:dyDescent="0.3">
      <c r="A187" s="26" t="str">
        <f t="shared" si="2"/>
        <v/>
      </c>
      <c r="B187" s="8"/>
      <c r="C187" s="9"/>
      <c r="D187" s="26"/>
      <c r="E187" s="26"/>
      <c r="F187" s="26"/>
      <c r="G187" s="26"/>
      <c r="H187" s="26"/>
      <c r="I187" s="25"/>
      <c r="J187" s="26"/>
      <c r="K187" s="26"/>
      <c r="L187" s="26" t="str">
        <f>IFERROR(IF(K187="","",VLOOKUP(K187,TANIMLAMALAR!$A$5:$E$104,3,0)),"")</f>
        <v/>
      </c>
      <c r="M187" s="26" t="str">
        <f>IFERROR(IF(K187="","",VLOOKUP(K187,TANIMLAMALAR!$A$5:$E$104,4,0)),"")</f>
        <v/>
      </c>
      <c r="N187" s="26"/>
      <c r="O187" s="26"/>
      <c r="P187" s="26"/>
      <c r="Q187" s="8"/>
      <c r="R187" s="25"/>
    </row>
    <row r="188" spans="1:18" ht="15" customHeight="1" x14ac:dyDescent="0.3">
      <c r="A188" s="3" t="str">
        <f t="shared" si="2"/>
        <v/>
      </c>
      <c r="B188" s="5"/>
      <c r="C188" s="6"/>
      <c r="D188" s="3"/>
      <c r="E188" s="3"/>
      <c r="F188" s="3"/>
      <c r="G188" s="3"/>
      <c r="H188" s="3"/>
      <c r="I188" s="7"/>
      <c r="J188" s="3"/>
      <c r="K188" s="3"/>
      <c r="L188" s="3" t="str">
        <f>IFERROR(IF(K188="","",VLOOKUP(K188,TANIMLAMALAR!$A$5:$E$104,3,0)),"")</f>
        <v/>
      </c>
      <c r="M188" s="3" t="str">
        <f>IFERROR(IF(K188="","",VLOOKUP(K188,TANIMLAMALAR!$A$5:$E$104,4,0)),"")</f>
        <v/>
      </c>
      <c r="N188" s="3"/>
      <c r="O188" s="3"/>
      <c r="P188" s="3"/>
      <c r="Q188" s="5"/>
      <c r="R188" s="7"/>
    </row>
    <row r="189" spans="1:18" ht="15" customHeight="1" x14ac:dyDescent="0.3">
      <c r="A189" s="26" t="str">
        <f t="shared" si="2"/>
        <v/>
      </c>
      <c r="B189" s="8"/>
      <c r="C189" s="9"/>
      <c r="D189" s="26"/>
      <c r="E189" s="26"/>
      <c r="F189" s="26"/>
      <c r="G189" s="26"/>
      <c r="H189" s="26"/>
      <c r="I189" s="25"/>
      <c r="J189" s="26"/>
      <c r="K189" s="26"/>
      <c r="L189" s="26" t="str">
        <f>IFERROR(IF(K189="","",VLOOKUP(K189,TANIMLAMALAR!$A$5:$E$104,3,0)),"")</f>
        <v/>
      </c>
      <c r="M189" s="26" t="str">
        <f>IFERROR(IF(K189="","",VLOOKUP(K189,TANIMLAMALAR!$A$5:$E$104,4,0)),"")</f>
        <v/>
      </c>
      <c r="N189" s="26"/>
      <c r="O189" s="26"/>
      <c r="P189" s="26"/>
      <c r="Q189" s="8"/>
      <c r="R189" s="25"/>
    </row>
    <row r="190" spans="1:18" ht="15" customHeight="1" x14ac:dyDescent="0.3">
      <c r="A190" s="3" t="str">
        <f t="shared" si="2"/>
        <v/>
      </c>
      <c r="B190" s="5"/>
      <c r="C190" s="6"/>
      <c r="D190" s="3"/>
      <c r="E190" s="3"/>
      <c r="F190" s="3"/>
      <c r="G190" s="3"/>
      <c r="H190" s="3"/>
      <c r="I190" s="7"/>
      <c r="J190" s="3"/>
      <c r="K190" s="3"/>
      <c r="L190" s="3" t="str">
        <f>IFERROR(IF(K190="","",VLOOKUP(K190,TANIMLAMALAR!$A$5:$E$104,3,0)),"")</f>
        <v/>
      </c>
      <c r="M190" s="3" t="str">
        <f>IFERROR(IF(K190="","",VLOOKUP(K190,TANIMLAMALAR!$A$5:$E$104,4,0)),"")</f>
        <v/>
      </c>
      <c r="N190" s="3"/>
      <c r="O190" s="3"/>
      <c r="P190" s="3"/>
      <c r="Q190" s="5"/>
      <c r="R190" s="7"/>
    </row>
    <row r="191" spans="1:18" ht="15" customHeight="1" x14ac:dyDescent="0.3">
      <c r="A191" s="26" t="str">
        <f t="shared" si="2"/>
        <v/>
      </c>
      <c r="B191" s="8"/>
      <c r="C191" s="9"/>
      <c r="D191" s="26"/>
      <c r="E191" s="26"/>
      <c r="F191" s="26"/>
      <c r="G191" s="26"/>
      <c r="H191" s="26"/>
      <c r="I191" s="25"/>
      <c r="J191" s="26"/>
      <c r="K191" s="26"/>
      <c r="L191" s="26" t="str">
        <f>IFERROR(IF(K191="","",VLOOKUP(K191,TANIMLAMALAR!$A$5:$E$104,3,0)),"")</f>
        <v/>
      </c>
      <c r="M191" s="26" t="str">
        <f>IFERROR(IF(K191="","",VLOOKUP(K191,TANIMLAMALAR!$A$5:$E$104,4,0)),"")</f>
        <v/>
      </c>
      <c r="N191" s="26"/>
      <c r="O191" s="26"/>
      <c r="P191" s="26"/>
      <c r="Q191" s="8"/>
      <c r="R191" s="25"/>
    </row>
    <row r="192" spans="1:18" ht="15" customHeight="1" x14ac:dyDescent="0.3">
      <c r="A192" s="3" t="str">
        <f t="shared" si="2"/>
        <v/>
      </c>
      <c r="B192" s="5"/>
      <c r="C192" s="6"/>
      <c r="D192" s="3"/>
      <c r="E192" s="3"/>
      <c r="F192" s="3"/>
      <c r="G192" s="3"/>
      <c r="H192" s="3"/>
      <c r="I192" s="7"/>
      <c r="J192" s="3"/>
      <c r="K192" s="3"/>
      <c r="L192" s="3" t="str">
        <f>IFERROR(IF(K192="","",VLOOKUP(K192,TANIMLAMALAR!$A$5:$E$104,3,0)),"")</f>
        <v/>
      </c>
      <c r="M192" s="3" t="str">
        <f>IFERROR(IF(K192="","",VLOOKUP(K192,TANIMLAMALAR!$A$5:$E$104,4,0)),"")</f>
        <v/>
      </c>
      <c r="N192" s="3"/>
      <c r="O192" s="3"/>
      <c r="P192" s="3"/>
      <c r="Q192" s="5"/>
      <c r="R192" s="7"/>
    </row>
    <row r="193" spans="1:18" ht="15" customHeight="1" x14ac:dyDescent="0.3">
      <c r="A193" s="26" t="str">
        <f t="shared" si="2"/>
        <v/>
      </c>
      <c r="B193" s="8"/>
      <c r="C193" s="9"/>
      <c r="D193" s="26"/>
      <c r="E193" s="26"/>
      <c r="F193" s="26"/>
      <c r="G193" s="26"/>
      <c r="H193" s="26"/>
      <c r="I193" s="25"/>
      <c r="J193" s="26"/>
      <c r="K193" s="26"/>
      <c r="L193" s="26" t="str">
        <f>IFERROR(IF(K193="","",VLOOKUP(K193,TANIMLAMALAR!$A$5:$E$104,3,0)),"")</f>
        <v/>
      </c>
      <c r="M193" s="26" t="str">
        <f>IFERROR(IF(K193="","",VLOOKUP(K193,TANIMLAMALAR!$A$5:$E$104,4,0)),"")</f>
        <v/>
      </c>
      <c r="N193" s="26"/>
      <c r="O193" s="26"/>
      <c r="P193" s="26"/>
      <c r="Q193" s="8"/>
      <c r="R193" s="25"/>
    </row>
    <row r="194" spans="1:18" ht="15" customHeight="1" x14ac:dyDescent="0.3">
      <c r="A194" s="3" t="str">
        <f t="shared" si="2"/>
        <v/>
      </c>
      <c r="B194" s="5"/>
      <c r="C194" s="6"/>
      <c r="D194" s="3"/>
      <c r="E194" s="3"/>
      <c r="F194" s="3"/>
      <c r="G194" s="3"/>
      <c r="H194" s="3"/>
      <c r="I194" s="7"/>
      <c r="J194" s="3"/>
      <c r="K194" s="3"/>
      <c r="L194" s="3" t="str">
        <f>IFERROR(IF(K194="","",VLOOKUP(K194,TANIMLAMALAR!$A$5:$E$104,3,0)),"")</f>
        <v/>
      </c>
      <c r="M194" s="3" t="str">
        <f>IFERROR(IF(K194="","",VLOOKUP(K194,TANIMLAMALAR!$A$5:$E$104,4,0)),"")</f>
        <v/>
      </c>
      <c r="N194" s="3"/>
      <c r="O194" s="3"/>
      <c r="P194" s="3"/>
      <c r="Q194" s="5"/>
      <c r="R194" s="7"/>
    </row>
    <row r="195" spans="1:18" ht="15" customHeight="1" x14ac:dyDescent="0.3">
      <c r="A195" s="26" t="str">
        <f t="shared" si="2"/>
        <v/>
      </c>
      <c r="B195" s="8"/>
      <c r="C195" s="9"/>
      <c r="D195" s="26"/>
      <c r="E195" s="26"/>
      <c r="F195" s="26"/>
      <c r="G195" s="26"/>
      <c r="H195" s="26"/>
      <c r="I195" s="25"/>
      <c r="J195" s="26"/>
      <c r="K195" s="26"/>
      <c r="L195" s="26" t="str">
        <f>IFERROR(IF(K195="","",VLOOKUP(K195,TANIMLAMALAR!$A$5:$E$104,3,0)),"")</f>
        <v/>
      </c>
      <c r="M195" s="26" t="str">
        <f>IFERROR(IF(K195="","",VLOOKUP(K195,TANIMLAMALAR!$A$5:$E$104,4,0)),"")</f>
        <v/>
      </c>
      <c r="N195" s="26"/>
      <c r="O195" s="26"/>
      <c r="P195" s="26"/>
      <c r="Q195" s="8"/>
      <c r="R195" s="25"/>
    </row>
    <row r="196" spans="1:18" ht="15" customHeight="1" x14ac:dyDescent="0.3">
      <c r="A196" s="3" t="str">
        <f t="shared" ref="A196:A259" si="3">IF(D196&lt;&gt;"","ŞKY-"&amp;TEXT(ROW()-3,"0000"),"")</f>
        <v/>
      </c>
      <c r="B196" s="5"/>
      <c r="C196" s="6"/>
      <c r="D196" s="3"/>
      <c r="E196" s="3"/>
      <c r="F196" s="3"/>
      <c r="G196" s="3"/>
      <c r="H196" s="3"/>
      <c r="I196" s="7"/>
      <c r="J196" s="3"/>
      <c r="K196" s="3"/>
      <c r="L196" s="3" t="str">
        <f>IFERROR(IF(K196="","",VLOOKUP(K196,TANIMLAMALAR!$A$5:$E$104,3,0)),"")</f>
        <v/>
      </c>
      <c r="M196" s="3" t="str">
        <f>IFERROR(IF(K196="","",VLOOKUP(K196,TANIMLAMALAR!$A$5:$E$104,4,0)),"")</f>
        <v/>
      </c>
      <c r="N196" s="3"/>
      <c r="O196" s="3"/>
      <c r="P196" s="3"/>
      <c r="Q196" s="5"/>
      <c r="R196" s="7"/>
    </row>
    <row r="197" spans="1:18" ht="15" customHeight="1" x14ac:dyDescent="0.3">
      <c r="A197" s="26" t="str">
        <f t="shared" si="3"/>
        <v/>
      </c>
      <c r="B197" s="8"/>
      <c r="C197" s="9"/>
      <c r="D197" s="26"/>
      <c r="E197" s="26"/>
      <c r="F197" s="26"/>
      <c r="G197" s="26"/>
      <c r="H197" s="26"/>
      <c r="I197" s="25"/>
      <c r="J197" s="26"/>
      <c r="K197" s="26"/>
      <c r="L197" s="26" t="str">
        <f>IFERROR(IF(K197="","",VLOOKUP(K197,TANIMLAMALAR!$A$5:$E$104,3,0)),"")</f>
        <v/>
      </c>
      <c r="M197" s="26" t="str">
        <f>IFERROR(IF(K197="","",VLOOKUP(K197,TANIMLAMALAR!$A$5:$E$104,4,0)),"")</f>
        <v/>
      </c>
      <c r="N197" s="26"/>
      <c r="O197" s="26"/>
      <c r="P197" s="26"/>
      <c r="Q197" s="8"/>
      <c r="R197" s="25"/>
    </row>
    <row r="198" spans="1:18" ht="15" customHeight="1" x14ac:dyDescent="0.3">
      <c r="A198" s="3" t="str">
        <f t="shared" si="3"/>
        <v/>
      </c>
      <c r="B198" s="5"/>
      <c r="C198" s="6"/>
      <c r="D198" s="3"/>
      <c r="E198" s="3"/>
      <c r="F198" s="3"/>
      <c r="G198" s="3"/>
      <c r="H198" s="3"/>
      <c r="I198" s="7"/>
      <c r="J198" s="3"/>
      <c r="K198" s="3"/>
      <c r="L198" s="3" t="str">
        <f>IFERROR(IF(K198="","",VLOOKUP(K198,TANIMLAMALAR!$A$5:$E$104,3,0)),"")</f>
        <v/>
      </c>
      <c r="M198" s="3" t="str">
        <f>IFERROR(IF(K198="","",VLOOKUP(K198,TANIMLAMALAR!$A$5:$E$104,4,0)),"")</f>
        <v/>
      </c>
      <c r="N198" s="3"/>
      <c r="O198" s="3"/>
      <c r="P198" s="3"/>
      <c r="Q198" s="5"/>
      <c r="R198" s="7"/>
    </row>
    <row r="199" spans="1:18" ht="15" customHeight="1" x14ac:dyDescent="0.3">
      <c r="A199" s="26" t="str">
        <f t="shared" si="3"/>
        <v/>
      </c>
      <c r="B199" s="8"/>
      <c r="C199" s="9"/>
      <c r="D199" s="26"/>
      <c r="E199" s="26"/>
      <c r="F199" s="26"/>
      <c r="G199" s="26"/>
      <c r="H199" s="26"/>
      <c r="I199" s="25"/>
      <c r="J199" s="26"/>
      <c r="K199" s="26"/>
      <c r="L199" s="26" t="str">
        <f>IFERROR(IF(K199="","",VLOOKUP(K199,TANIMLAMALAR!$A$5:$E$104,3,0)),"")</f>
        <v/>
      </c>
      <c r="M199" s="26" t="str">
        <f>IFERROR(IF(K199="","",VLOOKUP(K199,TANIMLAMALAR!$A$5:$E$104,4,0)),"")</f>
        <v/>
      </c>
      <c r="N199" s="26"/>
      <c r="O199" s="26"/>
      <c r="P199" s="26"/>
      <c r="Q199" s="8"/>
      <c r="R199" s="25"/>
    </row>
    <row r="200" spans="1:18" ht="15" customHeight="1" x14ac:dyDescent="0.3">
      <c r="A200" s="3" t="str">
        <f t="shared" si="3"/>
        <v/>
      </c>
      <c r="B200" s="5"/>
      <c r="C200" s="6"/>
      <c r="D200" s="3"/>
      <c r="E200" s="3"/>
      <c r="F200" s="3"/>
      <c r="G200" s="3"/>
      <c r="H200" s="3"/>
      <c r="I200" s="7"/>
      <c r="J200" s="3"/>
      <c r="K200" s="3"/>
      <c r="L200" s="3" t="str">
        <f>IFERROR(IF(K200="","",VLOOKUP(K200,TANIMLAMALAR!$A$5:$E$104,3,0)),"")</f>
        <v/>
      </c>
      <c r="M200" s="3" t="str">
        <f>IFERROR(IF(K200="","",VLOOKUP(K200,TANIMLAMALAR!$A$5:$E$104,4,0)),"")</f>
        <v/>
      </c>
      <c r="N200" s="3"/>
      <c r="O200" s="3"/>
      <c r="P200" s="3"/>
      <c r="Q200" s="5"/>
      <c r="R200" s="7"/>
    </row>
    <row r="201" spans="1:18" ht="15" customHeight="1" x14ac:dyDescent="0.3">
      <c r="A201" s="26" t="str">
        <f t="shared" si="3"/>
        <v/>
      </c>
      <c r="B201" s="8"/>
      <c r="C201" s="9"/>
      <c r="D201" s="26"/>
      <c r="E201" s="26"/>
      <c r="F201" s="26"/>
      <c r="G201" s="26"/>
      <c r="H201" s="26"/>
      <c r="I201" s="25"/>
      <c r="J201" s="26"/>
      <c r="K201" s="26"/>
      <c r="L201" s="26" t="str">
        <f>IFERROR(IF(K201="","",VLOOKUP(K201,TANIMLAMALAR!$A$5:$E$104,3,0)),"")</f>
        <v/>
      </c>
      <c r="M201" s="26" t="str">
        <f>IFERROR(IF(K201="","",VLOOKUP(K201,TANIMLAMALAR!$A$5:$E$104,4,0)),"")</f>
        <v/>
      </c>
      <c r="N201" s="26"/>
      <c r="O201" s="26"/>
      <c r="P201" s="26"/>
      <c r="Q201" s="8"/>
      <c r="R201" s="25"/>
    </row>
    <row r="202" spans="1:18" ht="15" customHeight="1" x14ac:dyDescent="0.3">
      <c r="A202" s="3" t="str">
        <f t="shared" si="3"/>
        <v/>
      </c>
      <c r="B202" s="5"/>
      <c r="C202" s="6"/>
      <c r="D202" s="3"/>
      <c r="E202" s="3"/>
      <c r="F202" s="3"/>
      <c r="G202" s="3"/>
      <c r="H202" s="3"/>
      <c r="I202" s="7"/>
      <c r="J202" s="3"/>
      <c r="K202" s="3"/>
      <c r="L202" s="3" t="str">
        <f>IFERROR(IF(K202="","",VLOOKUP(K202,TANIMLAMALAR!$A$5:$E$104,3,0)),"")</f>
        <v/>
      </c>
      <c r="M202" s="3" t="str">
        <f>IFERROR(IF(K202="","",VLOOKUP(K202,TANIMLAMALAR!$A$5:$E$104,4,0)),"")</f>
        <v/>
      </c>
      <c r="N202" s="3"/>
      <c r="O202" s="3"/>
      <c r="P202" s="3"/>
      <c r="Q202" s="5"/>
      <c r="R202" s="7"/>
    </row>
    <row r="203" spans="1:18" ht="15" customHeight="1" x14ac:dyDescent="0.3">
      <c r="A203" s="26" t="str">
        <f t="shared" si="3"/>
        <v/>
      </c>
      <c r="B203" s="8"/>
      <c r="C203" s="9"/>
      <c r="D203" s="26"/>
      <c r="E203" s="26"/>
      <c r="F203" s="26"/>
      <c r="G203" s="26"/>
      <c r="H203" s="26"/>
      <c r="I203" s="25"/>
      <c r="J203" s="26"/>
      <c r="K203" s="26"/>
      <c r="L203" s="26" t="str">
        <f>IFERROR(IF(K203="","",VLOOKUP(K203,TANIMLAMALAR!$A$5:$E$104,3,0)),"")</f>
        <v/>
      </c>
      <c r="M203" s="26" t="str">
        <f>IFERROR(IF(K203="","",VLOOKUP(K203,TANIMLAMALAR!$A$5:$E$104,4,0)),"")</f>
        <v/>
      </c>
      <c r="N203" s="26"/>
      <c r="O203" s="26"/>
      <c r="P203" s="26"/>
      <c r="Q203" s="8"/>
      <c r="R203" s="25"/>
    </row>
    <row r="204" spans="1:18" ht="15" customHeight="1" x14ac:dyDescent="0.3">
      <c r="A204" s="3" t="str">
        <f t="shared" si="3"/>
        <v/>
      </c>
      <c r="B204" s="5"/>
      <c r="C204" s="6"/>
      <c r="D204" s="3"/>
      <c r="E204" s="3"/>
      <c r="F204" s="3"/>
      <c r="G204" s="3"/>
      <c r="H204" s="3"/>
      <c r="I204" s="7"/>
      <c r="J204" s="3"/>
      <c r="K204" s="3"/>
      <c r="L204" s="3" t="str">
        <f>IFERROR(IF(K204="","",VLOOKUP(K204,TANIMLAMALAR!$A$5:$E$104,3,0)),"")</f>
        <v/>
      </c>
      <c r="M204" s="3" t="str">
        <f>IFERROR(IF(K204="","",VLOOKUP(K204,TANIMLAMALAR!$A$5:$E$104,4,0)),"")</f>
        <v/>
      </c>
      <c r="N204" s="3"/>
      <c r="O204" s="3"/>
      <c r="P204" s="3"/>
      <c r="Q204" s="5"/>
      <c r="R204" s="7"/>
    </row>
    <row r="205" spans="1:18" ht="15" customHeight="1" x14ac:dyDescent="0.3">
      <c r="A205" s="26" t="str">
        <f t="shared" si="3"/>
        <v/>
      </c>
      <c r="B205" s="8"/>
      <c r="C205" s="9"/>
      <c r="D205" s="26"/>
      <c r="E205" s="26"/>
      <c r="F205" s="26"/>
      <c r="G205" s="26"/>
      <c r="H205" s="26"/>
      <c r="I205" s="25"/>
      <c r="J205" s="26"/>
      <c r="K205" s="26"/>
      <c r="L205" s="26" t="str">
        <f>IFERROR(IF(K205="","",VLOOKUP(K205,TANIMLAMALAR!$A$5:$E$104,3,0)),"")</f>
        <v/>
      </c>
      <c r="M205" s="26" t="str">
        <f>IFERROR(IF(K205="","",VLOOKUP(K205,TANIMLAMALAR!$A$5:$E$104,4,0)),"")</f>
        <v/>
      </c>
      <c r="N205" s="26"/>
      <c r="O205" s="26"/>
      <c r="P205" s="26"/>
      <c r="Q205" s="8"/>
      <c r="R205" s="25"/>
    </row>
    <row r="206" spans="1:18" ht="15" customHeight="1" x14ac:dyDescent="0.3">
      <c r="A206" s="3" t="str">
        <f t="shared" si="3"/>
        <v/>
      </c>
      <c r="B206" s="5"/>
      <c r="C206" s="6"/>
      <c r="D206" s="3"/>
      <c r="E206" s="3"/>
      <c r="F206" s="3"/>
      <c r="G206" s="3"/>
      <c r="H206" s="3"/>
      <c r="I206" s="7"/>
      <c r="J206" s="3"/>
      <c r="K206" s="3"/>
      <c r="L206" s="3" t="str">
        <f>IFERROR(IF(K206="","",VLOOKUP(K206,TANIMLAMALAR!$A$5:$E$104,3,0)),"")</f>
        <v/>
      </c>
      <c r="M206" s="3" t="str">
        <f>IFERROR(IF(K206="","",VLOOKUP(K206,TANIMLAMALAR!$A$5:$E$104,4,0)),"")</f>
        <v/>
      </c>
      <c r="N206" s="3"/>
      <c r="O206" s="3"/>
      <c r="P206" s="3"/>
      <c r="Q206" s="5"/>
      <c r="R206" s="7"/>
    </row>
    <row r="207" spans="1:18" ht="15" customHeight="1" x14ac:dyDescent="0.3">
      <c r="A207" s="26" t="str">
        <f t="shared" si="3"/>
        <v/>
      </c>
      <c r="B207" s="8"/>
      <c r="C207" s="9"/>
      <c r="D207" s="26"/>
      <c r="E207" s="26"/>
      <c r="F207" s="26"/>
      <c r="G207" s="26"/>
      <c r="H207" s="26"/>
      <c r="I207" s="25"/>
      <c r="J207" s="26"/>
      <c r="K207" s="26"/>
      <c r="L207" s="26" t="str">
        <f>IFERROR(IF(K207="","",VLOOKUP(K207,TANIMLAMALAR!$A$5:$E$104,3,0)),"")</f>
        <v/>
      </c>
      <c r="M207" s="26" t="str">
        <f>IFERROR(IF(K207="","",VLOOKUP(K207,TANIMLAMALAR!$A$5:$E$104,4,0)),"")</f>
        <v/>
      </c>
      <c r="N207" s="26"/>
      <c r="O207" s="26"/>
      <c r="P207" s="26"/>
      <c r="Q207" s="8"/>
      <c r="R207" s="25"/>
    </row>
    <row r="208" spans="1:18" ht="15" customHeight="1" x14ac:dyDescent="0.3">
      <c r="A208" s="3" t="str">
        <f t="shared" si="3"/>
        <v/>
      </c>
      <c r="B208" s="5"/>
      <c r="C208" s="6"/>
      <c r="D208" s="3"/>
      <c r="E208" s="3"/>
      <c r="F208" s="3"/>
      <c r="G208" s="3"/>
      <c r="H208" s="3"/>
      <c r="I208" s="7"/>
      <c r="J208" s="3"/>
      <c r="K208" s="3"/>
      <c r="L208" s="3" t="str">
        <f>IFERROR(IF(K208="","",VLOOKUP(K208,TANIMLAMALAR!$A$5:$E$104,3,0)),"")</f>
        <v/>
      </c>
      <c r="M208" s="3" t="str">
        <f>IFERROR(IF(K208="","",VLOOKUP(K208,TANIMLAMALAR!$A$5:$E$104,4,0)),"")</f>
        <v/>
      </c>
      <c r="N208" s="3"/>
      <c r="O208" s="3"/>
      <c r="P208" s="3"/>
      <c r="Q208" s="5"/>
      <c r="R208" s="7"/>
    </row>
    <row r="209" spans="1:18" ht="15" customHeight="1" x14ac:dyDescent="0.3">
      <c r="A209" s="26" t="str">
        <f t="shared" si="3"/>
        <v/>
      </c>
      <c r="B209" s="8"/>
      <c r="C209" s="9"/>
      <c r="D209" s="26"/>
      <c r="E209" s="26"/>
      <c r="F209" s="26"/>
      <c r="G209" s="26"/>
      <c r="H209" s="26"/>
      <c r="I209" s="25"/>
      <c r="J209" s="26"/>
      <c r="K209" s="26"/>
      <c r="L209" s="26" t="str">
        <f>IFERROR(IF(K209="","",VLOOKUP(K209,TANIMLAMALAR!$A$5:$E$104,3,0)),"")</f>
        <v/>
      </c>
      <c r="M209" s="26" t="str">
        <f>IFERROR(IF(K209="","",VLOOKUP(K209,TANIMLAMALAR!$A$5:$E$104,4,0)),"")</f>
        <v/>
      </c>
      <c r="N209" s="26"/>
      <c r="O209" s="26"/>
      <c r="P209" s="26"/>
      <c r="Q209" s="8"/>
      <c r="R209" s="25"/>
    </row>
    <row r="210" spans="1:18" ht="15" customHeight="1" x14ac:dyDescent="0.3">
      <c r="A210" s="3" t="str">
        <f t="shared" si="3"/>
        <v/>
      </c>
      <c r="B210" s="5"/>
      <c r="C210" s="6"/>
      <c r="D210" s="3"/>
      <c r="E210" s="3"/>
      <c r="F210" s="3"/>
      <c r="G210" s="3"/>
      <c r="H210" s="3"/>
      <c r="I210" s="7"/>
      <c r="J210" s="3"/>
      <c r="K210" s="3"/>
      <c r="L210" s="3" t="str">
        <f>IFERROR(IF(K210="","",VLOOKUP(K210,TANIMLAMALAR!$A$5:$E$104,3,0)),"")</f>
        <v/>
      </c>
      <c r="M210" s="3" t="str">
        <f>IFERROR(IF(K210="","",VLOOKUP(K210,TANIMLAMALAR!$A$5:$E$104,4,0)),"")</f>
        <v/>
      </c>
      <c r="N210" s="3"/>
      <c r="O210" s="3"/>
      <c r="P210" s="3"/>
      <c r="Q210" s="5"/>
      <c r="R210" s="7"/>
    </row>
    <row r="211" spans="1:18" ht="15" customHeight="1" x14ac:dyDescent="0.3">
      <c r="A211" s="26" t="str">
        <f t="shared" si="3"/>
        <v/>
      </c>
      <c r="B211" s="8"/>
      <c r="C211" s="9"/>
      <c r="D211" s="26"/>
      <c r="E211" s="26"/>
      <c r="F211" s="26"/>
      <c r="G211" s="26"/>
      <c r="H211" s="26"/>
      <c r="I211" s="25"/>
      <c r="J211" s="26"/>
      <c r="K211" s="26"/>
      <c r="L211" s="26" t="str">
        <f>IFERROR(IF(K211="","",VLOOKUP(K211,TANIMLAMALAR!$A$5:$E$104,3,0)),"")</f>
        <v/>
      </c>
      <c r="M211" s="26" t="str">
        <f>IFERROR(IF(K211="","",VLOOKUP(K211,TANIMLAMALAR!$A$5:$E$104,4,0)),"")</f>
        <v/>
      </c>
      <c r="N211" s="26"/>
      <c r="O211" s="26"/>
      <c r="P211" s="26"/>
      <c r="Q211" s="8"/>
      <c r="R211" s="25"/>
    </row>
    <row r="212" spans="1:18" ht="15" customHeight="1" x14ac:dyDescent="0.3">
      <c r="A212" s="3" t="str">
        <f t="shared" si="3"/>
        <v/>
      </c>
      <c r="B212" s="5"/>
      <c r="C212" s="6"/>
      <c r="D212" s="3"/>
      <c r="E212" s="3"/>
      <c r="F212" s="3"/>
      <c r="G212" s="3"/>
      <c r="H212" s="3"/>
      <c r="I212" s="7"/>
      <c r="J212" s="3"/>
      <c r="K212" s="3"/>
      <c r="L212" s="3" t="str">
        <f>IFERROR(IF(K212="","",VLOOKUP(K212,TANIMLAMALAR!$A$5:$E$104,3,0)),"")</f>
        <v/>
      </c>
      <c r="M212" s="3" t="str">
        <f>IFERROR(IF(K212="","",VLOOKUP(K212,TANIMLAMALAR!$A$5:$E$104,4,0)),"")</f>
        <v/>
      </c>
      <c r="N212" s="3"/>
      <c r="O212" s="3"/>
      <c r="P212" s="3"/>
      <c r="Q212" s="5"/>
      <c r="R212" s="7"/>
    </row>
    <row r="213" spans="1:18" ht="15" customHeight="1" x14ac:dyDescent="0.3">
      <c r="A213" s="26" t="str">
        <f t="shared" si="3"/>
        <v/>
      </c>
      <c r="B213" s="8"/>
      <c r="C213" s="9"/>
      <c r="D213" s="26"/>
      <c r="E213" s="26"/>
      <c r="F213" s="26"/>
      <c r="G213" s="26"/>
      <c r="H213" s="26"/>
      <c r="I213" s="25"/>
      <c r="J213" s="26"/>
      <c r="K213" s="26"/>
      <c r="L213" s="26" t="str">
        <f>IFERROR(IF(K213="","",VLOOKUP(K213,TANIMLAMALAR!$A$5:$E$104,3,0)),"")</f>
        <v/>
      </c>
      <c r="M213" s="26" t="str">
        <f>IFERROR(IF(K213="","",VLOOKUP(K213,TANIMLAMALAR!$A$5:$E$104,4,0)),"")</f>
        <v/>
      </c>
      <c r="N213" s="26"/>
      <c r="O213" s="26"/>
      <c r="P213" s="26"/>
      <c r="Q213" s="8"/>
      <c r="R213" s="25"/>
    </row>
    <row r="214" spans="1:18" ht="15" customHeight="1" x14ac:dyDescent="0.3">
      <c r="A214" s="3" t="str">
        <f t="shared" si="3"/>
        <v/>
      </c>
      <c r="B214" s="5"/>
      <c r="C214" s="6"/>
      <c r="D214" s="3"/>
      <c r="E214" s="3"/>
      <c r="F214" s="3"/>
      <c r="G214" s="3"/>
      <c r="H214" s="3"/>
      <c r="I214" s="7"/>
      <c r="J214" s="3"/>
      <c r="K214" s="3"/>
      <c r="L214" s="3" t="str">
        <f>IFERROR(IF(K214="","",VLOOKUP(K214,TANIMLAMALAR!$A$5:$E$104,3,0)),"")</f>
        <v/>
      </c>
      <c r="M214" s="3" t="str">
        <f>IFERROR(IF(K214="","",VLOOKUP(K214,TANIMLAMALAR!$A$5:$E$104,4,0)),"")</f>
        <v/>
      </c>
      <c r="N214" s="3"/>
      <c r="O214" s="3"/>
      <c r="P214" s="3"/>
      <c r="Q214" s="5"/>
      <c r="R214" s="7"/>
    </row>
    <row r="215" spans="1:18" ht="15" customHeight="1" x14ac:dyDescent="0.3">
      <c r="A215" s="26" t="str">
        <f t="shared" si="3"/>
        <v/>
      </c>
      <c r="B215" s="8"/>
      <c r="C215" s="9"/>
      <c r="D215" s="26"/>
      <c r="E215" s="26"/>
      <c r="F215" s="26"/>
      <c r="G215" s="26"/>
      <c r="H215" s="26"/>
      <c r="I215" s="25"/>
      <c r="J215" s="26"/>
      <c r="K215" s="26"/>
      <c r="L215" s="26" t="str">
        <f>IFERROR(IF(K215="","",VLOOKUP(K215,TANIMLAMALAR!$A$5:$E$104,3,0)),"")</f>
        <v/>
      </c>
      <c r="M215" s="26" t="str">
        <f>IFERROR(IF(K215="","",VLOOKUP(K215,TANIMLAMALAR!$A$5:$E$104,4,0)),"")</f>
        <v/>
      </c>
      <c r="N215" s="26"/>
      <c r="O215" s="26"/>
      <c r="P215" s="26"/>
      <c r="Q215" s="8"/>
      <c r="R215" s="25"/>
    </row>
    <row r="216" spans="1:18" ht="15" customHeight="1" x14ac:dyDescent="0.3">
      <c r="A216" s="3" t="str">
        <f t="shared" si="3"/>
        <v/>
      </c>
      <c r="B216" s="5"/>
      <c r="C216" s="6"/>
      <c r="D216" s="3"/>
      <c r="E216" s="3"/>
      <c r="F216" s="3"/>
      <c r="G216" s="3"/>
      <c r="H216" s="3"/>
      <c r="I216" s="7"/>
      <c r="J216" s="3"/>
      <c r="K216" s="3"/>
      <c r="L216" s="3" t="str">
        <f>IFERROR(IF(K216="","",VLOOKUP(K216,TANIMLAMALAR!$A$5:$E$104,3,0)),"")</f>
        <v/>
      </c>
      <c r="M216" s="3" t="str">
        <f>IFERROR(IF(K216="","",VLOOKUP(K216,TANIMLAMALAR!$A$5:$E$104,4,0)),"")</f>
        <v/>
      </c>
      <c r="N216" s="3"/>
      <c r="O216" s="3"/>
      <c r="P216" s="3"/>
      <c r="Q216" s="5"/>
      <c r="R216" s="7"/>
    </row>
    <row r="217" spans="1:18" ht="15" customHeight="1" x14ac:dyDescent="0.3">
      <c r="A217" s="26" t="str">
        <f t="shared" si="3"/>
        <v/>
      </c>
      <c r="B217" s="8"/>
      <c r="C217" s="9"/>
      <c r="D217" s="26"/>
      <c r="E217" s="26"/>
      <c r="F217" s="26"/>
      <c r="G217" s="26"/>
      <c r="H217" s="26"/>
      <c r="I217" s="25"/>
      <c r="J217" s="26"/>
      <c r="K217" s="26"/>
      <c r="L217" s="26" t="str">
        <f>IFERROR(IF(K217="","",VLOOKUP(K217,TANIMLAMALAR!$A$5:$E$104,3,0)),"")</f>
        <v/>
      </c>
      <c r="M217" s="26" t="str">
        <f>IFERROR(IF(K217="","",VLOOKUP(K217,TANIMLAMALAR!$A$5:$E$104,4,0)),"")</f>
        <v/>
      </c>
      <c r="N217" s="26"/>
      <c r="O217" s="26"/>
      <c r="P217" s="26"/>
      <c r="Q217" s="8"/>
      <c r="R217" s="25"/>
    </row>
    <row r="218" spans="1:18" ht="15" customHeight="1" x14ac:dyDescent="0.3">
      <c r="A218" s="3" t="str">
        <f t="shared" si="3"/>
        <v/>
      </c>
      <c r="B218" s="5"/>
      <c r="C218" s="6"/>
      <c r="D218" s="3"/>
      <c r="E218" s="3"/>
      <c r="F218" s="3"/>
      <c r="G218" s="3"/>
      <c r="H218" s="3"/>
      <c r="I218" s="7"/>
      <c r="J218" s="3"/>
      <c r="K218" s="3"/>
      <c r="L218" s="3" t="str">
        <f>IFERROR(IF(K218="","",VLOOKUP(K218,TANIMLAMALAR!$A$5:$E$104,3,0)),"")</f>
        <v/>
      </c>
      <c r="M218" s="3" t="str">
        <f>IFERROR(IF(K218="","",VLOOKUP(K218,TANIMLAMALAR!$A$5:$E$104,4,0)),"")</f>
        <v/>
      </c>
      <c r="N218" s="3"/>
      <c r="O218" s="3"/>
      <c r="P218" s="3"/>
      <c r="Q218" s="5"/>
      <c r="R218" s="7"/>
    </row>
    <row r="219" spans="1:18" ht="15" customHeight="1" x14ac:dyDescent="0.3">
      <c r="A219" s="26" t="str">
        <f t="shared" si="3"/>
        <v/>
      </c>
      <c r="B219" s="8"/>
      <c r="C219" s="9"/>
      <c r="D219" s="26"/>
      <c r="E219" s="26"/>
      <c r="F219" s="26"/>
      <c r="G219" s="26"/>
      <c r="H219" s="26"/>
      <c r="I219" s="25"/>
      <c r="J219" s="26"/>
      <c r="K219" s="26"/>
      <c r="L219" s="26" t="str">
        <f>IFERROR(IF(K219="","",VLOOKUP(K219,TANIMLAMALAR!$A$5:$E$104,3,0)),"")</f>
        <v/>
      </c>
      <c r="M219" s="26" t="str">
        <f>IFERROR(IF(K219="","",VLOOKUP(K219,TANIMLAMALAR!$A$5:$E$104,4,0)),"")</f>
        <v/>
      </c>
      <c r="N219" s="26"/>
      <c r="O219" s="26"/>
      <c r="P219" s="26"/>
      <c r="Q219" s="8"/>
      <c r="R219" s="25"/>
    </row>
    <row r="220" spans="1:18" ht="15" customHeight="1" x14ac:dyDescent="0.3">
      <c r="A220" s="3" t="str">
        <f t="shared" si="3"/>
        <v/>
      </c>
      <c r="B220" s="5"/>
      <c r="C220" s="6"/>
      <c r="D220" s="3"/>
      <c r="E220" s="3"/>
      <c r="F220" s="3"/>
      <c r="G220" s="3"/>
      <c r="H220" s="3"/>
      <c r="I220" s="7"/>
      <c r="J220" s="3"/>
      <c r="K220" s="3"/>
      <c r="L220" s="3" t="str">
        <f>IFERROR(IF(K220="","",VLOOKUP(K220,TANIMLAMALAR!$A$5:$E$104,3,0)),"")</f>
        <v/>
      </c>
      <c r="M220" s="3" t="str">
        <f>IFERROR(IF(K220="","",VLOOKUP(K220,TANIMLAMALAR!$A$5:$E$104,4,0)),"")</f>
        <v/>
      </c>
      <c r="N220" s="3"/>
      <c r="O220" s="3"/>
      <c r="P220" s="3"/>
      <c r="Q220" s="5"/>
      <c r="R220" s="7"/>
    </row>
    <row r="221" spans="1:18" ht="15" customHeight="1" x14ac:dyDescent="0.3">
      <c r="A221" s="26" t="str">
        <f t="shared" si="3"/>
        <v/>
      </c>
      <c r="B221" s="8"/>
      <c r="C221" s="9"/>
      <c r="D221" s="26"/>
      <c r="E221" s="26"/>
      <c r="F221" s="26"/>
      <c r="G221" s="26"/>
      <c r="H221" s="26"/>
      <c r="I221" s="25"/>
      <c r="J221" s="26"/>
      <c r="K221" s="26"/>
      <c r="L221" s="26" t="str">
        <f>IFERROR(IF(K221="","",VLOOKUP(K221,TANIMLAMALAR!$A$5:$E$104,3,0)),"")</f>
        <v/>
      </c>
      <c r="M221" s="26" t="str">
        <f>IFERROR(IF(K221="","",VLOOKUP(K221,TANIMLAMALAR!$A$5:$E$104,4,0)),"")</f>
        <v/>
      </c>
      <c r="N221" s="26"/>
      <c r="O221" s="26"/>
      <c r="P221" s="26"/>
      <c r="Q221" s="8"/>
      <c r="R221" s="25"/>
    </row>
    <row r="222" spans="1:18" ht="15" customHeight="1" x14ac:dyDescent="0.3">
      <c r="A222" s="3" t="str">
        <f t="shared" si="3"/>
        <v/>
      </c>
      <c r="B222" s="5"/>
      <c r="C222" s="6"/>
      <c r="D222" s="3"/>
      <c r="E222" s="3"/>
      <c r="F222" s="3"/>
      <c r="G222" s="3"/>
      <c r="H222" s="3"/>
      <c r="I222" s="7"/>
      <c r="J222" s="3"/>
      <c r="K222" s="3"/>
      <c r="L222" s="3" t="str">
        <f>IFERROR(IF(K222="","",VLOOKUP(K222,TANIMLAMALAR!$A$5:$E$104,3,0)),"")</f>
        <v/>
      </c>
      <c r="M222" s="3" t="str">
        <f>IFERROR(IF(K222="","",VLOOKUP(K222,TANIMLAMALAR!$A$5:$E$104,4,0)),"")</f>
        <v/>
      </c>
      <c r="N222" s="3"/>
      <c r="O222" s="3"/>
      <c r="P222" s="3"/>
      <c r="Q222" s="5"/>
      <c r="R222" s="7"/>
    </row>
    <row r="223" spans="1:18" ht="15" customHeight="1" x14ac:dyDescent="0.3">
      <c r="A223" s="26" t="str">
        <f t="shared" si="3"/>
        <v/>
      </c>
      <c r="B223" s="8"/>
      <c r="C223" s="9"/>
      <c r="D223" s="26"/>
      <c r="E223" s="26"/>
      <c r="F223" s="26"/>
      <c r="G223" s="26"/>
      <c r="H223" s="26"/>
      <c r="I223" s="25"/>
      <c r="J223" s="26"/>
      <c r="K223" s="26"/>
      <c r="L223" s="26" t="str">
        <f>IFERROR(IF(K223="","",VLOOKUP(K223,TANIMLAMALAR!$A$5:$E$104,3,0)),"")</f>
        <v/>
      </c>
      <c r="M223" s="26" t="str">
        <f>IFERROR(IF(K223="","",VLOOKUP(K223,TANIMLAMALAR!$A$5:$E$104,4,0)),"")</f>
        <v/>
      </c>
      <c r="N223" s="26"/>
      <c r="O223" s="26"/>
      <c r="P223" s="26"/>
      <c r="Q223" s="8"/>
      <c r="R223" s="25"/>
    </row>
    <row r="224" spans="1:18" ht="15" customHeight="1" x14ac:dyDescent="0.3">
      <c r="A224" s="3" t="str">
        <f t="shared" si="3"/>
        <v/>
      </c>
      <c r="B224" s="5"/>
      <c r="C224" s="6"/>
      <c r="D224" s="3"/>
      <c r="E224" s="3"/>
      <c r="F224" s="3"/>
      <c r="G224" s="3"/>
      <c r="H224" s="3"/>
      <c r="I224" s="7"/>
      <c r="J224" s="3"/>
      <c r="K224" s="3"/>
      <c r="L224" s="3" t="str">
        <f>IFERROR(IF(K224="","",VLOOKUP(K224,TANIMLAMALAR!$A$5:$E$104,3,0)),"")</f>
        <v/>
      </c>
      <c r="M224" s="3" t="str">
        <f>IFERROR(IF(K224="","",VLOOKUP(K224,TANIMLAMALAR!$A$5:$E$104,4,0)),"")</f>
        <v/>
      </c>
      <c r="N224" s="3"/>
      <c r="O224" s="3"/>
      <c r="P224" s="3"/>
      <c r="Q224" s="5"/>
      <c r="R224" s="7"/>
    </row>
    <row r="225" spans="1:18" ht="15" customHeight="1" x14ac:dyDescent="0.3">
      <c r="A225" s="26" t="str">
        <f t="shared" si="3"/>
        <v/>
      </c>
      <c r="B225" s="8"/>
      <c r="C225" s="9"/>
      <c r="D225" s="26"/>
      <c r="E225" s="26"/>
      <c r="F225" s="26"/>
      <c r="G225" s="26"/>
      <c r="H225" s="26"/>
      <c r="I225" s="25"/>
      <c r="J225" s="26"/>
      <c r="K225" s="26"/>
      <c r="L225" s="26" t="str">
        <f>IFERROR(IF(K225="","",VLOOKUP(K225,TANIMLAMALAR!$A$5:$E$104,3,0)),"")</f>
        <v/>
      </c>
      <c r="M225" s="26" t="str">
        <f>IFERROR(IF(K225="","",VLOOKUP(K225,TANIMLAMALAR!$A$5:$E$104,4,0)),"")</f>
        <v/>
      </c>
      <c r="N225" s="26"/>
      <c r="O225" s="26"/>
      <c r="P225" s="26"/>
      <c r="Q225" s="8"/>
      <c r="R225" s="25"/>
    </row>
    <row r="226" spans="1:18" ht="15" customHeight="1" x14ac:dyDescent="0.3">
      <c r="A226" s="3" t="str">
        <f t="shared" si="3"/>
        <v/>
      </c>
      <c r="B226" s="5"/>
      <c r="C226" s="6"/>
      <c r="D226" s="3"/>
      <c r="E226" s="3"/>
      <c r="F226" s="3"/>
      <c r="G226" s="3"/>
      <c r="H226" s="3"/>
      <c r="I226" s="7"/>
      <c r="J226" s="3"/>
      <c r="K226" s="3"/>
      <c r="L226" s="3" t="str">
        <f>IFERROR(IF(K226="","",VLOOKUP(K226,TANIMLAMALAR!$A$5:$E$104,3,0)),"")</f>
        <v/>
      </c>
      <c r="M226" s="3" t="str">
        <f>IFERROR(IF(K226="","",VLOOKUP(K226,TANIMLAMALAR!$A$5:$E$104,4,0)),"")</f>
        <v/>
      </c>
      <c r="N226" s="3"/>
      <c r="O226" s="3"/>
      <c r="P226" s="3"/>
      <c r="Q226" s="5"/>
      <c r="R226" s="7"/>
    </row>
    <row r="227" spans="1:18" ht="15" customHeight="1" x14ac:dyDescent="0.3">
      <c r="A227" s="26" t="str">
        <f t="shared" si="3"/>
        <v/>
      </c>
      <c r="B227" s="8"/>
      <c r="C227" s="9"/>
      <c r="D227" s="26"/>
      <c r="E227" s="26"/>
      <c r="F227" s="26"/>
      <c r="G227" s="26"/>
      <c r="H227" s="26"/>
      <c r="I227" s="25"/>
      <c r="J227" s="26"/>
      <c r="K227" s="26"/>
      <c r="L227" s="26" t="str">
        <f>IFERROR(IF(K227="","",VLOOKUP(K227,TANIMLAMALAR!$A$5:$E$104,3,0)),"")</f>
        <v/>
      </c>
      <c r="M227" s="26" t="str">
        <f>IFERROR(IF(K227="","",VLOOKUP(K227,TANIMLAMALAR!$A$5:$E$104,4,0)),"")</f>
        <v/>
      </c>
      <c r="N227" s="26"/>
      <c r="O227" s="26"/>
      <c r="P227" s="26"/>
      <c r="Q227" s="8"/>
      <c r="R227" s="25"/>
    </row>
    <row r="228" spans="1:18" ht="15" customHeight="1" x14ac:dyDescent="0.3">
      <c r="A228" s="3" t="str">
        <f t="shared" si="3"/>
        <v/>
      </c>
      <c r="B228" s="5"/>
      <c r="C228" s="6"/>
      <c r="D228" s="3"/>
      <c r="E228" s="3"/>
      <c r="F228" s="3"/>
      <c r="G228" s="3"/>
      <c r="H228" s="3"/>
      <c r="I228" s="7"/>
      <c r="J228" s="3"/>
      <c r="K228" s="3"/>
      <c r="L228" s="3" t="str">
        <f>IFERROR(IF(K228="","",VLOOKUP(K228,TANIMLAMALAR!$A$5:$E$104,3,0)),"")</f>
        <v/>
      </c>
      <c r="M228" s="3" t="str">
        <f>IFERROR(IF(K228="","",VLOOKUP(K228,TANIMLAMALAR!$A$5:$E$104,4,0)),"")</f>
        <v/>
      </c>
      <c r="N228" s="3"/>
      <c r="O228" s="3"/>
      <c r="P228" s="3"/>
      <c r="Q228" s="5"/>
      <c r="R228" s="7"/>
    </row>
    <row r="229" spans="1:18" ht="15" customHeight="1" x14ac:dyDescent="0.3">
      <c r="A229" s="26" t="str">
        <f t="shared" si="3"/>
        <v/>
      </c>
      <c r="B229" s="8"/>
      <c r="C229" s="9"/>
      <c r="D229" s="26"/>
      <c r="E229" s="26"/>
      <c r="F229" s="26"/>
      <c r="G229" s="26"/>
      <c r="H229" s="26"/>
      <c r="I229" s="25"/>
      <c r="J229" s="26"/>
      <c r="K229" s="26"/>
      <c r="L229" s="26" t="str">
        <f>IFERROR(IF(K229="","",VLOOKUP(K229,TANIMLAMALAR!$A$5:$E$104,3,0)),"")</f>
        <v/>
      </c>
      <c r="M229" s="26" t="str">
        <f>IFERROR(IF(K229="","",VLOOKUP(K229,TANIMLAMALAR!$A$5:$E$104,4,0)),"")</f>
        <v/>
      </c>
      <c r="N229" s="26"/>
      <c r="O229" s="26"/>
      <c r="P229" s="26"/>
      <c r="Q229" s="8"/>
      <c r="R229" s="25"/>
    </row>
    <row r="230" spans="1:18" ht="15" customHeight="1" x14ac:dyDescent="0.3">
      <c r="A230" s="3" t="str">
        <f t="shared" si="3"/>
        <v/>
      </c>
      <c r="B230" s="5"/>
      <c r="C230" s="6"/>
      <c r="D230" s="3"/>
      <c r="E230" s="3"/>
      <c r="F230" s="3"/>
      <c r="G230" s="3"/>
      <c r="H230" s="3"/>
      <c r="I230" s="7"/>
      <c r="J230" s="3"/>
      <c r="K230" s="3"/>
      <c r="L230" s="3" t="str">
        <f>IFERROR(IF(K230="","",VLOOKUP(K230,TANIMLAMALAR!$A$5:$E$104,3,0)),"")</f>
        <v/>
      </c>
      <c r="M230" s="3" t="str">
        <f>IFERROR(IF(K230="","",VLOOKUP(K230,TANIMLAMALAR!$A$5:$E$104,4,0)),"")</f>
        <v/>
      </c>
      <c r="N230" s="3"/>
      <c r="O230" s="3"/>
      <c r="P230" s="3"/>
      <c r="Q230" s="5"/>
      <c r="R230" s="7"/>
    </row>
    <row r="231" spans="1:18" ht="15" customHeight="1" x14ac:dyDescent="0.3">
      <c r="A231" s="26" t="str">
        <f t="shared" si="3"/>
        <v/>
      </c>
      <c r="B231" s="8"/>
      <c r="C231" s="9"/>
      <c r="D231" s="26"/>
      <c r="E231" s="26"/>
      <c r="F231" s="26"/>
      <c r="G231" s="26"/>
      <c r="H231" s="26"/>
      <c r="I231" s="25"/>
      <c r="J231" s="26"/>
      <c r="K231" s="26"/>
      <c r="L231" s="26" t="str">
        <f>IFERROR(IF(K231="","",VLOOKUP(K231,TANIMLAMALAR!$A$5:$E$104,3,0)),"")</f>
        <v/>
      </c>
      <c r="M231" s="26" t="str">
        <f>IFERROR(IF(K231="","",VLOOKUP(K231,TANIMLAMALAR!$A$5:$E$104,4,0)),"")</f>
        <v/>
      </c>
      <c r="N231" s="26"/>
      <c r="O231" s="26"/>
      <c r="P231" s="26"/>
      <c r="Q231" s="8"/>
      <c r="R231" s="25"/>
    </row>
    <row r="232" spans="1:18" ht="15" customHeight="1" x14ac:dyDescent="0.3">
      <c r="A232" s="3" t="str">
        <f t="shared" si="3"/>
        <v/>
      </c>
      <c r="B232" s="5"/>
      <c r="C232" s="6"/>
      <c r="D232" s="3"/>
      <c r="E232" s="3"/>
      <c r="F232" s="3"/>
      <c r="G232" s="3"/>
      <c r="H232" s="3"/>
      <c r="I232" s="7"/>
      <c r="J232" s="3"/>
      <c r="K232" s="3"/>
      <c r="L232" s="3" t="str">
        <f>IFERROR(IF(K232="","",VLOOKUP(K232,TANIMLAMALAR!$A$5:$E$104,3,0)),"")</f>
        <v/>
      </c>
      <c r="M232" s="3" t="str">
        <f>IFERROR(IF(K232="","",VLOOKUP(K232,TANIMLAMALAR!$A$5:$E$104,4,0)),"")</f>
        <v/>
      </c>
      <c r="N232" s="3"/>
      <c r="O232" s="3"/>
      <c r="P232" s="3"/>
      <c r="Q232" s="5"/>
      <c r="R232" s="7"/>
    </row>
    <row r="233" spans="1:18" ht="15" customHeight="1" x14ac:dyDescent="0.3">
      <c r="A233" s="26" t="str">
        <f t="shared" si="3"/>
        <v/>
      </c>
      <c r="B233" s="8"/>
      <c r="C233" s="9"/>
      <c r="D233" s="26"/>
      <c r="E233" s="26"/>
      <c r="F233" s="26"/>
      <c r="G233" s="26"/>
      <c r="H233" s="26"/>
      <c r="I233" s="25"/>
      <c r="J233" s="26"/>
      <c r="K233" s="26"/>
      <c r="L233" s="26" t="str">
        <f>IFERROR(IF(K233="","",VLOOKUP(K233,TANIMLAMALAR!$A$5:$E$104,3,0)),"")</f>
        <v/>
      </c>
      <c r="M233" s="26" t="str">
        <f>IFERROR(IF(K233="","",VLOOKUP(K233,TANIMLAMALAR!$A$5:$E$104,4,0)),"")</f>
        <v/>
      </c>
      <c r="N233" s="26"/>
      <c r="O233" s="26"/>
      <c r="P233" s="26"/>
      <c r="Q233" s="8"/>
      <c r="R233" s="25"/>
    </row>
    <row r="234" spans="1:18" ht="15" customHeight="1" x14ac:dyDescent="0.3">
      <c r="A234" s="3" t="str">
        <f t="shared" si="3"/>
        <v/>
      </c>
      <c r="B234" s="5"/>
      <c r="C234" s="6"/>
      <c r="D234" s="3"/>
      <c r="E234" s="3"/>
      <c r="F234" s="3"/>
      <c r="G234" s="3"/>
      <c r="H234" s="3"/>
      <c r="I234" s="7"/>
      <c r="J234" s="3"/>
      <c r="K234" s="3"/>
      <c r="L234" s="3" t="str">
        <f>IFERROR(IF(K234="","",VLOOKUP(K234,TANIMLAMALAR!$A$5:$E$104,3,0)),"")</f>
        <v/>
      </c>
      <c r="M234" s="3" t="str">
        <f>IFERROR(IF(K234="","",VLOOKUP(K234,TANIMLAMALAR!$A$5:$E$104,4,0)),"")</f>
        <v/>
      </c>
      <c r="N234" s="3"/>
      <c r="O234" s="3"/>
      <c r="P234" s="3"/>
      <c r="Q234" s="5"/>
      <c r="R234" s="7"/>
    </row>
    <row r="235" spans="1:18" ht="15" customHeight="1" x14ac:dyDescent="0.3">
      <c r="A235" s="26" t="str">
        <f t="shared" si="3"/>
        <v/>
      </c>
      <c r="B235" s="8"/>
      <c r="C235" s="9"/>
      <c r="D235" s="26"/>
      <c r="E235" s="26"/>
      <c r="F235" s="26"/>
      <c r="G235" s="26"/>
      <c r="H235" s="26"/>
      <c r="I235" s="25"/>
      <c r="J235" s="26"/>
      <c r="K235" s="26"/>
      <c r="L235" s="26" t="str">
        <f>IFERROR(IF(K235="","",VLOOKUP(K235,TANIMLAMALAR!$A$5:$E$104,3,0)),"")</f>
        <v/>
      </c>
      <c r="M235" s="26" t="str">
        <f>IFERROR(IF(K235="","",VLOOKUP(K235,TANIMLAMALAR!$A$5:$E$104,4,0)),"")</f>
        <v/>
      </c>
      <c r="N235" s="26"/>
      <c r="O235" s="26"/>
      <c r="P235" s="26"/>
      <c r="Q235" s="8"/>
      <c r="R235" s="25"/>
    </row>
    <row r="236" spans="1:18" ht="15" customHeight="1" x14ac:dyDescent="0.3">
      <c r="A236" s="3" t="str">
        <f t="shared" si="3"/>
        <v/>
      </c>
      <c r="B236" s="5"/>
      <c r="C236" s="6"/>
      <c r="D236" s="3"/>
      <c r="E236" s="3"/>
      <c r="F236" s="3"/>
      <c r="G236" s="3"/>
      <c r="H236" s="3"/>
      <c r="I236" s="7"/>
      <c r="J236" s="3"/>
      <c r="K236" s="3"/>
      <c r="L236" s="3" t="str">
        <f>IFERROR(IF(K236="","",VLOOKUP(K236,TANIMLAMALAR!$A$5:$E$104,3,0)),"")</f>
        <v/>
      </c>
      <c r="M236" s="3" t="str">
        <f>IFERROR(IF(K236="","",VLOOKUP(K236,TANIMLAMALAR!$A$5:$E$104,4,0)),"")</f>
        <v/>
      </c>
      <c r="N236" s="3"/>
      <c r="O236" s="3"/>
      <c r="P236" s="3"/>
      <c r="Q236" s="5"/>
      <c r="R236" s="7"/>
    </row>
    <row r="237" spans="1:18" ht="15" customHeight="1" x14ac:dyDescent="0.3">
      <c r="A237" s="26" t="str">
        <f t="shared" si="3"/>
        <v/>
      </c>
      <c r="B237" s="8"/>
      <c r="C237" s="9"/>
      <c r="D237" s="26"/>
      <c r="E237" s="26"/>
      <c r="F237" s="26"/>
      <c r="G237" s="26"/>
      <c r="H237" s="26"/>
      <c r="I237" s="25"/>
      <c r="J237" s="26"/>
      <c r="K237" s="26"/>
      <c r="L237" s="26" t="str">
        <f>IFERROR(IF(K237="","",VLOOKUP(K237,TANIMLAMALAR!$A$5:$E$104,3,0)),"")</f>
        <v/>
      </c>
      <c r="M237" s="26" t="str">
        <f>IFERROR(IF(K237="","",VLOOKUP(K237,TANIMLAMALAR!$A$5:$E$104,4,0)),"")</f>
        <v/>
      </c>
      <c r="N237" s="26"/>
      <c r="O237" s="26"/>
      <c r="P237" s="26"/>
      <c r="Q237" s="8"/>
      <c r="R237" s="25"/>
    </row>
    <row r="238" spans="1:18" ht="15" customHeight="1" x14ac:dyDescent="0.3">
      <c r="A238" s="3" t="str">
        <f t="shared" si="3"/>
        <v/>
      </c>
      <c r="B238" s="5"/>
      <c r="C238" s="6"/>
      <c r="D238" s="3"/>
      <c r="E238" s="3"/>
      <c r="F238" s="3"/>
      <c r="G238" s="3"/>
      <c r="H238" s="3"/>
      <c r="I238" s="7"/>
      <c r="J238" s="3"/>
      <c r="K238" s="3"/>
      <c r="L238" s="3" t="str">
        <f>IFERROR(IF(K238="","",VLOOKUP(K238,TANIMLAMALAR!$A$5:$E$104,3,0)),"")</f>
        <v/>
      </c>
      <c r="M238" s="3" t="str">
        <f>IFERROR(IF(K238="","",VLOOKUP(K238,TANIMLAMALAR!$A$5:$E$104,4,0)),"")</f>
        <v/>
      </c>
      <c r="N238" s="3"/>
      <c r="O238" s="3"/>
      <c r="P238" s="3"/>
      <c r="Q238" s="5"/>
      <c r="R238" s="7"/>
    </row>
    <row r="239" spans="1:18" ht="15" customHeight="1" x14ac:dyDescent="0.3">
      <c r="A239" s="26" t="str">
        <f t="shared" si="3"/>
        <v/>
      </c>
      <c r="B239" s="8"/>
      <c r="C239" s="9"/>
      <c r="D239" s="26"/>
      <c r="E239" s="26"/>
      <c r="F239" s="26"/>
      <c r="G239" s="26"/>
      <c r="H239" s="26"/>
      <c r="I239" s="25"/>
      <c r="J239" s="26"/>
      <c r="K239" s="26"/>
      <c r="L239" s="26" t="str">
        <f>IFERROR(IF(K239="","",VLOOKUP(K239,TANIMLAMALAR!$A$5:$E$104,3,0)),"")</f>
        <v/>
      </c>
      <c r="M239" s="26" t="str">
        <f>IFERROR(IF(K239="","",VLOOKUP(K239,TANIMLAMALAR!$A$5:$E$104,4,0)),"")</f>
        <v/>
      </c>
      <c r="N239" s="26"/>
      <c r="O239" s="26"/>
      <c r="P239" s="26"/>
      <c r="Q239" s="8"/>
      <c r="R239" s="25"/>
    </row>
    <row r="240" spans="1:18" ht="15" customHeight="1" x14ac:dyDescent="0.3">
      <c r="A240" s="3" t="str">
        <f t="shared" si="3"/>
        <v/>
      </c>
      <c r="B240" s="5"/>
      <c r="C240" s="6"/>
      <c r="D240" s="3"/>
      <c r="E240" s="3"/>
      <c r="F240" s="3"/>
      <c r="G240" s="3"/>
      <c r="H240" s="3"/>
      <c r="I240" s="7"/>
      <c r="J240" s="3"/>
      <c r="K240" s="3"/>
      <c r="L240" s="3" t="str">
        <f>IFERROR(IF(K240="","",VLOOKUP(K240,TANIMLAMALAR!$A$5:$E$104,3,0)),"")</f>
        <v/>
      </c>
      <c r="M240" s="3" t="str">
        <f>IFERROR(IF(K240="","",VLOOKUP(K240,TANIMLAMALAR!$A$5:$E$104,4,0)),"")</f>
        <v/>
      </c>
      <c r="N240" s="3"/>
      <c r="O240" s="3"/>
      <c r="P240" s="3"/>
      <c r="Q240" s="5"/>
      <c r="R240" s="7"/>
    </row>
    <row r="241" spans="1:18" ht="15" customHeight="1" x14ac:dyDescent="0.3">
      <c r="A241" s="26" t="str">
        <f t="shared" si="3"/>
        <v/>
      </c>
      <c r="B241" s="8"/>
      <c r="C241" s="9"/>
      <c r="D241" s="26"/>
      <c r="E241" s="26"/>
      <c r="F241" s="26"/>
      <c r="G241" s="26"/>
      <c r="H241" s="26"/>
      <c r="I241" s="25"/>
      <c r="J241" s="26"/>
      <c r="K241" s="26"/>
      <c r="L241" s="26" t="str">
        <f>IFERROR(IF(K241="","",VLOOKUP(K241,TANIMLAMALAR!$A$5:$E$104,3,0)),"")</f>
        <v/>
      </c>
      <c r="M241" s="26" t="str">
        <f>IFERROR(IF(K241="","",VLOOKUP(K241,TANIMLAMALAR!$A$5:$E$104,4,0)),"")</f>
        <v/>
      </c>
      <c r="N241" s="26"/>
      <c r="O241" s="26"/>
      <c r="P241" s="26"/>
      <c r="Q241" s="8"/>
      <c r="R241" s="25"/>
    </row>
    <row r="242" spans="1:18" ht="15" customHeight="1" x14ac:dyDescent="0.3">
      <c r="A242" s="3" t="str">
        <f t="shared" si="3"/>
        <v/>
      </c>
      <c r="B242" s="5"/>
      <c r="C242" s="6"/>
      <c r="D242" s="3"/>
      <c r="E242" s="3"/>
      <c r="F242" s="3"/>
      <c r="G242" s="3"/>
      <c r="H242" s="3"/>
      <c r="I242" s="7"/>
      <c r="J242" s="3"/>
      <c r="K242" s="3"/>
      <c r="L242" s="3" t="str">
        <f>IFERROR(IF(K242="","",VLOOKUP(K242,TANIMLAMALAR!$A$5:$E$104,3,0)),"")</f>
        <v/>
      </c>
      <c r="M242" s="3" t="str">
        <f>IFERROR(IF(K242="","",VLOOKUP(K242,TANIMLAMALAR!$A$5:$E$104,4,0)),"")</f>
        <v/>
      </c>
      <c r="N242" s="3"/>
      <c r="O242" s="3"/>
      <c r="P242" s="3"/>
      <c r="Q242" s="5"/>
      <c r="R242" s="7"/>
    </row>
    <row r="243" spans="1:18" ht="15" customHeight="1" x14ac:dyDescent="0.3">
      <c r="A243" s="26" t="str">
        <f t="shared" si="3"/>
        <v/>
      </c>
      <c r="B243" s="8"/>
      <c r="C243" s="9"/>
      <c r="D243" s="26"/>
      <c r="E243" s="26"/>
      <c r="F243" s="26"/>
      <c r="G243" s="26"/>
      <c r="H243" s="26"/>
      <c r="I243" s="25"/>
      <c r="J243" s="26"/>
      <c r="K243" s="26"/>
      <c r="L243" s="26" t="str">
        <f>IFERROR(IF(K243="","",VLOOKUP(K243,TANIMLAMALAR!$A$5:$E$104,3,0)),"")</f>
        <v/>
      </c>
      <c r="M243" s="26" t="str">
        <f>IFERROR(IF(K243="","",VLOOKUP(K243,TANIMLAMALAR!$A$5:$E$104,4,0)),"")</f>
        <v/>
      </c>
      <c r="N243" s="26"/>
      <c r="O243" s="26"/>
      <c r="P243" s="26"/>
      <c r="Q243" s="8"/>
      <c r="R243" s="25"/>
    </row>
    <row r="244" spans="1:18" ht="15" customHeight="1" x14ac:dyDescent="0.3">
      <c r="A244" s="3" t="str">
        <f t="shared" si="3"/>
        <v/>
      </c>
      <c r="B244" s="5"/>
      <c r="C244" s="6"/>
      <c r="D244" s="3"/>
      <c r="E244" s="3"/>
      <c r="F244" s="3"/>
      <c r="G244" s="3"/>
      <c r="H244" s="3"/>
      <c r="I244" s="7"/>
      <c r="J244" s="3"/>
      <c r="K244" s="3"/>
      <c r="L244" s="3" t="str">
        <f>IFERROR(IF(K244="","",VLOOKUP(K244,TANIMLAMALAR!$A$5:$E$104,3,0)),"")</f>
        <v/>
      </c>
      <c r="M244" s="3" t="str">
        <f>IFERROR(IF(K244="","",VLOOKUP(K244,TANIMLAMALAR!$A$5:$E$104,4,0)),"")</f>
        <v/>
      </c>
      <c r="N244" s="3"/>
      <c r="O244" s="3"/>
      <c r="P244" s="3"/>
      <c r="Q244" s="5"/>
      <c r="R244" s="7"/>
    </row>
    <row r="245" spans="1:18" ht="15" customHeight="1" x14ac:dyDescent="0.3">
      <c r="A245" s="26" t="str">
        <f t="shared" si="3"/>
        <v/>
      </c>
      <c r="B245" s="8"/>
      <c r="C245" s="9"/>
      <c r="D245" s="26"/>
      <c r="E245" s="26"/>
      <c r="F245" s="26"/>
      <c r="G245" s="26"/>
      <c r="H245" s="26"/>
      <c r="I245" s="25"/>
      <c r="J245" s="26"/>
      <c r="K245" s="26"/>
      <c r="L245" s="26" t="str">
        <f>IFERROR(IF(K245="","",VLOOKUP(K245,TANIMLAMALAR!$A$5:$E$104,3,0)),"")</f>
        <v/>
      </c>
      <c r="M245" s="26" t="str">
        <f>IFERROR(IF(K245="","",VLOOKUP(K245,TANIMLAMALAR!$A$5:$E$104,4,0)),"")</f>
        <v/>
      </c>
      <c r="N245" s="26"/>
      <c r="O245" s="26"/>
      <c r="P245" s="26"/>
      <c r="Q245" s="8"/>
      <c r="R245" s="25"/>
    </row>
    <row r="246" spans="1:18" ht="15" customHeight="1" x14ac:dyDescent="0.3">
      <c r="A246" s="3" t="str">
        <f t="shared" si="3"/>
        <v/>
      </c>
      <c r="B246" s="5"/>
      <c r="C246" s="6"/>
      <c r="D246" s="3"/>
      <c r="E246" s="3"/>
      <c r="F246" s="3"/>
      <c r="G246" s="3"/>
      <c r="H246" s="3"/>
      <c r="I246" s="7"/>
      <c r="J246" s="3"/>
      <c r="K246" s="3"/>
      <c r="L246" s="3" t="str">
        <f>IFERROR(IF(K246="","",VLOOKUP(K246,TANIMLAMALAR!$A$5:$E$104,3,0)),"")</f>
        <v/>
      </c>
      <c r="M246" s="3" t="str">
        <f>IFERROR(IF(K246="","",VLOOKUP(K246,TANIMLAMALAR!$A$5:$E$104,4,0)),"")</f>
        <v/>
      </c>
      <c r="N246" s="3"/>
      <c r="O246" s="3"/>
      <c r="P246" s="3"/>
      <c r="Q246" s="5"/>
      <c r="R246" s="7"/>
    </row>
    <row r="247" spans="1:18" ht="15" customHeight="1" x14ac:dyDescent="0.3">
      <c r="A247" s="26" t="str">
        <f t="shared" si="3"/>
        <v/>
      </c>
      <c r="B247" s="8"/>
      <c r="C247" s="9"/>
      <c r="D247" s="26"/>
      <c r="E247" s="26"/>
      <c r="F247" s="26"/>
      <c r="G247" s="26"/>
      <c r="H247" s="26"/>
      <c r="I247" s="25"/>
      <c r="J247" s="26"/>
      <c r="K247" s="26"/>
      <c r="L247" s="26" t="str">
        <f>IFERROR(IF(K247="","",VLOOKUP(K247,TANIMLAMALAR!$A$5:$E$104,3,0)),"")</f>
        <v/>
      </c>
      <c r="M247" s="26" t="str">
        <f>IFERROR(IF(K247="","",VLOOKUP(K247,TANIMLAMALAR!$A$5:$E$104,4,0)),"")</f>
        <v/>
      </c>
      <c r="N247" s="26"/>
      <c r="O247" s="26"/>
      <c r="P247" s="26"/>
      <c r="Q247" s="8"/>
      <c r="R247" s="25"/>
    </row>
    <row r="248" spans="1:18" ht="15" customHeight="1" x14ac:dyDescent="0.3">
      <c r="A248" s="3" t="str">
        <f t="shared" si="3"/>
        <v/>
      </c>
      <c r="B248" s="5"/>
      <c r="C248" s="6"/>
      <c r="D248" s="3"/>
      <c r="E248" s="3"/>
      <c r="F248" s="3"/>
      <c r="G248" s="3"/>
      <c r="H248" s="3"/>
      <c r="I248" s="7"/>
      <c r="J248" s="3"/>
      <c r="K248" s="3"/>
      <c r="L248" s="3" t="str">
        <f>IFERROR(IF(K248="","",VLOOKUP(K248,TANIMLAMALAR!$A$5:$E$104,3,0)),"")</f>
        <v/>
      </c>
      <c r="M248" s="3" t="str">
        <f>IFERROR(IF(K248="","",VLOOKUP(K248,TANIMLAMALAR!$A$5:$E$104,4,0)),"")</f>
        <v/>
      </c>
      <c r="N248" s="3"/>
      <c r="O248" s="3"/>
      <c r="P248" s="3"/>
      <c r="Q248" s="5"/>
      <c r="R248" s="7"/>
    </row>
    <row r="249" spans="1:18" ht="15" customHeight="1" x14ac:dyDescent="0.3">
      <c r="A249" s="26" t="str">
        <f t="shared" si="3"/>
        <v/>
      </c>
      <c r="B249" s="8"/>
      <c r="C249" s="9"/>
      <c r="D249" s="26"/>
      <c r="E249" s="26"/>
      <c r="F249" s="26"/>
      <c r="G249" s="26"/>
      <c r="H249" s="26"/>
      <c r="I249" s="25"/>
      <c r="J249" s="26"/>
      <c r="K249" s="26"/>
      <c r="L249" s="26" t="str">
        <f>IFERROR(IF(K249="","",VLOOKUP(K249,TANIMLAMALAR!$A$5:$E$104,3,0)),"")</f>
        <v/>
      </c>
      <c r="M249" s="26" t="str">
        <f>IFERROR(IF(K249="","",VLOOKUP(K249,TANIMLAMALAR!$A$5:$E$104,4,0)),"")</f>
        <v/>
      </c>
      <c r="N249" s="26"/>
      <c r="O249" s="26"/>
      <c r="P249" s="26"/>
      <c r="Q249" s="8"/>
      <c r="R249" s="25"/>
    </row>
    <row r="250" spans="1:18" ht="15" customHeight="1" x14ac:dyDescent="0.3">
      <c r="A250" s="3" t="str">
        <f t="shared" si="3"/>
        <v/>
      </c>
      <c r="B250" s="5"/>
      <c r="C250" s="6"/>
      <c r="D250" s="3"/>
      <c r="E250" s="3"/>
      <c r="F250" s="3"/>
      <c r="G250" s="3"/>
      <c r="H250" s="3"/>
      <c r="I250" s="7"/>
      <c r="J250" s="3"/>
      <c r="K250" s="3"/>
      <c r="L250" s="3" t="str">
        <f>IFERROR(IF(K250="","",VLOOKUP(K250,TANIMLAMALAR!$A$5:$E$104,3,0)),"")</f>
        <v/>
      </c>
      <c r="M250" s="3" t="str">
        <f>IFERROR(IF(K250="","",VLOOKUP(K250,TANIMLAMALAR!$A$5:$E$104,4,0)),"")</f>
        <v/>
      </c>
      <c r="N250" s="3"/>
      <c r="O250" s="3"/>
      <c r="P250" s="3"/>
      <c r="Q250" s="5"/>
      <c r="R250" s="7"/>
    </row>
    <row r="251" spans="1:18" ht="15" customHeight="1" x14ac:dyDescent="0.3">
      <c r="A251" s="26" t="str">
        <f t="shared" si="3"/>
        <v/>
      </c>
      <c r="B251" s="8"/>
      <c r="C251" s="9"/>
      <c r="D251" s="26"/>
      <c r="E251" s="26"/>
      <c r="F251" s="26"/>
      <c r="G251" s="26"/>
      <c r="H251" s="26"/>
      <c r="I251" s="25"/>
      <c r="J251" s="26"/>
      <c r="K251" s="26"/>
      <c r="L251" s="26" t="str">
        <f>IFERROR(IF(K251="","",VLOOKUP(K251,TANIMLAMALAR!$A$5:$E$104,3,0)),"")</f>
        <v/>
      </c>
      <c r="M251" s="26" t="str">
        <f>IFERROR(IF(K251="","",VLOOKUP(K251,TANIMLAMALAR!$A$5:$E$104,4,0)),"")</f>
        <v/>
      </c>
      <c r="N251" s="26"/>
      <c r="O251" s="26"/>
      <c r="P251" s="26"/>
      <c r="Q251" s="8"/>
      <c r="R251" s="25"/>
    </row>
    <row r="252" spans="1:18" ht="15" customHeight="1" x14ac:dyDescent="0.3">
      <c r="A252" s="3" t="str">
        <f t="shared" si="3"/>
        <v/>
      </c>
      <c r="B252" s="5"/>
      <c r="C252" s="6"/>
      <c r="D252" s="3"/>
      <c r="E252" s="3"/>
      <c r="F252" s="3"/>
      <c r="G252" s="3"/>
      <c r="H252" s="3"/>
      <c r="I252" s="7"/>
      <c r="J252" s="3"/>
      <c r="K252" s="3"/>
      <c r="L252" s="3" t="str">
        <f>IFERROR(IF(K252="","",VLOOKUP(K252,TANIMLAMALAR!$A$5:$E$104,3,0)),"")</f>
        <v/>
      </c>
      <c r="M252" s="3" t="str">
        <f>IFERROR(IF(K252="","",VLOOKUP(K252,TANIMLAMALAR!$A$5:$E$104,4,0)),"")</f>
        <v/>
      </c>
      <c r="N252" s="3"/>
      <c r="O252" s="3"/>
      <c r="P252" s="3"/>
      <c r="Q252" s="5"/>
      <c r="R252" s="7"/>
    </row>
    <row r="253" spans="1:18" ht="15" customHeight="1" x14ac:dyDescent="0.3">
      <c r="A253" s="26" t="str">
        <f t="shared" si="3"/>
        <v/>
      </c>
      <c r="B253" s="8"/>
      <c r="C253" s="9"/>
      <c r="D253" s="26"/>
      <c r="E253" s="26"/>
      <c r="F253" s="26"/>
      <c r="G253" s="26"/>
      <c r="H253" s="26"/>
      <c r="I253" s="25"/>
      <c r="J253" s="26"/>
      <c r="K253" s="26"/>
      <c r="L253" s="26" t="str">
        <f>IFERROR(IF(K253="","",VLOOKUP(K253,TANIMLAMALAR!$A$5:$E$104,3,0)),"")</f>
        <v/>
      </c>
      <c r="M253" s="26" t="str">
        <f>IFERROR(IF(K253="","",VLOOKUP(K253,TANIMLAMALAR!$A$5:$E$104,4,0)),"")</f>
        <v/>
      </c>
      <c r="N253" s="26"/>
      <c r="O253" s="26"/>
      <c r="P253" s="26"/>
      <c r="Q253" s="8"/>
      <c r="R253" s="25"/>
    </row>
    <row r="254" spans="1:18" ht="15" customHeight="1" x14ac:dyDescent="0.3">
      <c r="A254" s="3" t="str">
        <f t="shared" si="3"/>
        <v/>
      </c>
      <c r="B254" s="5"/>
      <c r="C254" s="6"/>
      <c r="D254" s="3"/>
      <c r="E254" s="3"/>
      <c r="F254" s="3"/>
      <c r="G254" s="3"/>
      <c r="H254" s="3"/>
      <c r="I254" s="7"/>
      <c r="J254" s="3"/>
      <c r="K254" s="3"/>
      <c r="L254" s="3" t="str">
        <f>IFERROR(IF(K254="","",VLOOKUP(K254,TANIMLAMALAR!$A$5:$E$104,3,0)),"")</f>
        <v/>
      </c>
      <c r="M254" s="3" t="str">
        <f>IFERROR(IF(K254="","",VLOOKUP(K254,TANIMLAMALAR!$A$5:$E$104,4,0)),"")</f>
        <v/>
      </c>
      <c r="N254" s="3"/>
      <c r="O254" s="3"/>
      <c r="P254" s="3"/>
      <c r="Q254" s="5"/>
      <c r="R254" s="7"/>
    </row>
    <row r="255" spans="1:18" ht="15" customHeight="1" x14ac:dyDescent="0.3">
      <c r="A255" s="26" t="str">
        <f t="shared" si="3"/>
        <v/>
      </c>
      <c r="B255" s="8"/>
      <c r="C255" s="9"/>
      <c r="D255" s="26"/>
      <c r="E255" s="26"/>
      <c r="F255" s="26"/>
      <c r="G255" s="26"/>
      <c r="H255" s="26"/>
      <c r="I255" s="25"/>
      <c r="J255" s="26"/>
      <c r="K255" s="26"/>
      <c r="L255" s="26" t="str">
        <f>IFERROR(IF(K255="","",VLOOKUP(K255,TANIMLAMALAR!$A$5:$E$104,3,0)),"")</f>
        <v/>
      </c>
      <c r="M255" s="26" t="str">
        <f>IFERROR(IF(K255="","",VLOOKUP(K255,TANIMLAMALAR!$A$5:$E$104,4,0)),"")</f>
        <v/>
      </c>
      <c r="N255" s="26"/>
      <c r="O255" s="26"/>
      <c r="P255" s="26"/>
      <c r="Q255" s="8"/>
      <c r="R255" s="25"/>
    </row>
    <row r="256" spans="1:18" ht="15" customHeight="1" x14ac:dyDescent="0.3">
      <c r="A256" s="3" t="str">
        <f t="shared" si="3"/>
        <v/>
      </c>
      <c r="B256" s="5"/>
      <c r="C256" s="6"/>
      <c r="D256" s="3"/>
      <c r="E256" s="3"/>
      <c r="F256" s="3"/>
      <c r="G256" s="3"/>
      <c r="H256" s="3"/>
      <c r="I256" s="7"/>
      <c r="J256" s="3"/>
      <c r="K256" s="3"/>
      <c r="L256" s="3" t="str">
        <f>IFERROR(IF(K256="","",VLOOKUP(K256,TANIMLAMALAR!$A$5:$E$104,3,0)),"")</f>
        <v/>
      </c>
      <c r="M256" s="3" t="str">
        <f>IFERROR(IF(K256="","",VLOOKUP(K256,TANIMLAMALAR!$A$5:$E$104,4,0)),"")</f>
        <v/>
      </c>
      <c r="N256" s="3"/>
      <c r="O256" s="3"/>
      <c r="P256" s="3"/>
      <c r="Q256" s="5"/>
      <c r="R256" s="7"/>
    </row>
    <row r="257" spans="1:18" ht="15" customHeight="1" x14ac:dyDescent="0.3">
      <c r="A257" s="26" t="str">
        <f t="shared" si="3"/>
        <v/>
      </c>
      <c r="B257" s="8"/>
      <c r="C257" s="9"/>
      <c r="D257" s="26"/>
      <c r="E257" s="26"/>
      <c r="F257" s="26"/>
      <c r="G257" s="26"/>
      <c r="H257" s="26"/>
      <c r="I257" s="25"/>
      <c r="J257" s="26"/>
      <c r="K257" s="26"/>
      <c r="L257" s="26" t="str">
        <f>IFERROR(IF(K257="","",VLOOKUP(K257,TANIMLAMALAR!$A$5:$E$104,3,0)),"")</f>
        <v/>
      </c>
      <c r="M257" s="26" t="str">
        <f>IFERROR(IF(K257="","",VLOOKUP(K257,TANIMLAMALAR!$A$5:$E$104,4,0)),"")</f>
        <v/>
      </c>
      <c r="N257" s="26"/>
      <c r="O257" s="26"/>
      <c r="P257" s="26"/>
      <c r="Q257" s="8"/>
      <c r="R257" s="25"/>
    </row>
    <row r="258" spans="1:18" ht="15" customHeight="1" x14ac:dyDescent="0.3">
      <c r="A258" s="3" t="str">
        <f t="shared" si="3"/>
        <v/>
      </c>
      <c r="B258" s="5"/>
      <c r="C258" s="6"/>
      <c r="D258" s="3"/>
      <c r="E258" s="3"/>
      <c r="F258" s="3"/>
      <c r="G258" s="3"/>
      <c r="H258" s="3"/>
      <c r="I258" s="7"/>
      <c r="J258" s="3"/>
      <c r="K258" s="3"/>
      <c r="L258" s="3" t="str">
        <f>IFERROR(IF(K258="","",VLOOKUP(K258,TANIMLAMALAR!$A$5:$E$104,3,0)),"")</f>
        <v/>
      </c>
      <c r="M258" s="3" t="str">
        <f>IFERROR(IF(K258="","",VLOOKUP(K258,TANIMLAMALAR!$A$5:$E$104,4,0)),"")</f>
        <v/>
      </c>
      <c r="N258" s="3"/>
      <c r="O258" s="3"/>
      <c r="P258" s="3"/>
      <c r="Q258" s="5"/>
      <c r="R258" s="7"/>
    </row>
    <row r="259" spans="1:18" ht="15" customHeight="1" x14ac:dyDescent="0.3">
      <c r="A259" s="26" t="str">
        <f t="shared" si="3"/>
        <v/>
      </c>
      <c r="B259" s="8"/>
      <c r="C259" s="9"/>
      <c r="D259" s="26"/>
      <c r="E259" s="26"/>
      <c r="F259" s="26"/>
      <c r="G259" s="26"/>
      <c r="H259" s="26"/>
      <c r="I259" s="25"/>
      <c r="J259" s="26"/>
      <c r="K259" s="26"/>
      <c r="L259" s="26" t="str">
        <f>IFERROR(IF(K259="","",VLOOKUP(K259,TANIMLAMALAR!$A$5:$E$104,3,0)),"")</f>
        <v/>
      </c>
      <c r="M259" s="26" t="str">
        <f>IFERROR(IF(K259="","",VLOOKUP(K259,TANIMLAMALAR!$A$5:$E$104,4,0)),"")</f>
        <v/>
      </c>
      <c r="N259" s="26"/>
      <c r="O259" s="26"/>
      <c r="P259" s="26"/>
      <c r="Q259" s="8"/>
      <c r="R259" s="25"/>
    </row>
    <row r="260" spans="1:18" ht="15" customHeight="1" x14ac:dyDescent="0.3">
      <c r="A260" s="3" t="str">
        <f t="shared" ref="A260:A323" si="4">IF(D260&lt;&gt;"","ŞKY-"&amp;TEXT(ROW()-3,"0000"),"")</f>
        <v/>
      </c>
      <c r="B260" s="5"/>
      <c r="C260" s="6"/>
      <c r="D260" s="3"/>
      <c r="E260" s="3"/>
      <c r="F260" s="3"/>
      <c r="G260" s="3"/>
      <c r="H260" s="3"/>
      <c r="I260" s="7"/>
      <c r="J260" s="3"/>
      <c r="K260" s="3"/>
      <c r="L260" s="3" t="str">
        <f>IFERROR(IF(K260="","",VLOOKUP(K260,TANIMLAMALAR!$A$5:$E$104,3,0)),"")</f>
        <v/>
      </c>
      <c r="M260" s="3" t="str">
        <f>IFERROR(IF(K260="","",VLOOKUP(K260,TANIMLAMALAR!$A$5:$E$104,4,0)),"")</f>
        <v/>
      </c>
      <c r="N260" s="3"/>
      <c r="O260" s="3"/>
      <c r="P260" s="3"/>
      <c r="Q260" s="5"/>
      <c r="R260" s="7"/>
    </row>
    <row r="261" spans="1:18" ht="15" customHeight="1" x14ac:dyDescent="0.3">
      <c r="A261" s="26" t="str">
        <f t="shared" si="4"/>
        <v/>
      </c>
      <c r="B261" s="8"/>
      <c r="C261" s="9"/>
      <c r="D261" s="26"/>
      <c r="E261" s="26"/>
      <c r="F261" s="26"/>
      <c r="G261" s="26"/>
      <c r="H261" s="26"/>
      <c r="I261" s="25"/>
      <c r="J261" s="26"/>
      <c r="K261" s="26"/>
      <c r="L261" s="26" t="str">
        <f>IFERROR(IF(K261="","",VLOOKUP(K261,TANIMLAMALAR!$A$5:$E$104,3,0)),"")</f>
        <v/>
      </c>
      <c r="M261" s="26" t="str">
        <f>IFERROR(IF(K261="","",VLOOKUP(K261,TANIMLAMALAR!$A$5:$E$104,4,0)),"")</f>
        <v/>
      </c>
      <c r="N261" s="26"/>
      <c r="O261" s="26"/>
      <c r="P261" s="26"/>
      <c r="Q261" s="8"/>
      <c r="R261" s="25"/>
    </row>
    <row r="262" spans="1:18" ht="15" customHeight="1" x14ac:dyDescent="0.3">
      <c r="A262" s="3" t="str">
        <f t="shared" si="4"/>
        <v/>
      </c>
      <c r="B262" s="5"/>
      <c r="C262" s="6"/>
      <c r="D262" s="3"/>
      <c r="E262" s="3"/>
      <c r="F262" s="3"/>
      <c r="G262" s="3"/>
      <c r="H262" s="3"/>
      <c r="I262" s="7"/>
      <c r="J262" s="3"/>
      <c r="K262" s="3"/>
      <c r="L262" s="3" t="str">
        <f>IFERROR(IF(K262="","",VLOOKUP(K262,TANIMLAMALAR!$A$5:$E$104,3,0)),"")</f>
        <v/>
      </c>
      <c r="M262" s="3" t="str">
        <f>IFERROR(IF(K262="","",VLOOKUP(K262,TANIMLAMALAR!$A$5:$E$104,4,0)),"")</f>
        <v/>
      </c>
      <c r="N262" s="3"/>
      <c r="O262" s="3"/>
      <c r="P262" s="3"/>
      <c r="Q262" s="5"/>
      <c r="R262" s="7"/>
    </row>
    <row r="263" spans="1:18" ht="15" customHeight="1" x14ac:dyDescent="0.3">
      <c r="A263" s="26" t="str">
        <f t="shared" si="4"/>
        <v/>
      </c>
      <c r="B263" s="8"/>
      <c r="C263" s="9"/>
      <c r="D263" s="26"/>
      <c r="E263" s="26"/>
      <c r="F263" s="26"/>
      <c r="G263" s="26"/>
      <c r="H263" s="26"/>
      <c r="I263" s="25"/>
      <c r="J263" s="26"/>
      <c r="K263" s="26"/>
      <c r="L263" s="26" t="str">
        <f>IFERROR(IF(K263="","",VLOOKUP(K263,TANIMLAMALAR!$A$5:$E$104,3,0)),"")</f>
        <v/>
      </c>
      <c r="M263" s="26" t="str">
        <f>IFERROR(IF(K263="","",VLOOKUP(K263,TANIMLAMALAR!$A$5:$E$104,4,0)),"")</f>
        <v/>
      </c>
      <c r="N263" s="26"/>
      <c r="O263" s="26"/>
      <c r="P263" s="26"/>
      <c r="Q263" s="8"/>
      <c r="R263" s="25"/>
    </row>
    <row r="264" spans="1:18" ht="15" customHeight="1" x14ac:dyDescent="0.3">
      <c r="A264" s="3" t="str">
        <f t="shared" si="4"/>
        <v/>
      </c>
      <c r="B264" s="5"/>
      <c r="C264" s="6"/>
      <c r="D264" s="3"/>
      <c r="E264" s="3"/>
      <c r="F264" s="3"/>
      <c r="G264" s="3"/>
      <c r="H264" s="3"/>
      <c r="I264" s="7"/>
      <c r="J264" s="3"/>
      <c r="K264" s="3"/>
      <c r="L264" s="3" t="str">
        <f>IFERROR(IF(K264="","",VLOOKUP(K264,TANIMLAMALAR!$A$5:$E$104,3,0)),"")</f>
        <v/>
      </c>
      <c r="M264" s="3" t="str">
        <f>IFERROR(IF(K264="","",VLOOKUP(K264,TANIMLAMALAR!$A$5:$E$104,4,0)),"")</f>
        <v/>
      </c>
      <c r="N264" s="3"/>
      <c r="O264" s="3"/>
      <c r="P264" s="3"/>
      <c r="Q264" s="5"/>
      <c r="R264" s="7"/>
    </row>
    <row r="265" spans="1:18" ht="15" customHeight="1" x14ac:dyDescent="0.3">
      <c r="A265" s="26" t="str">
        <f t="shared" si="4"/>
        <v/>
      </c>
      <c r="B265" s="8"/>
      <c r="C265" s="9"/>
      <c r="D265" s="26"/>
      <c r="E265" s="26"/>
      <c r="F265" s="26"/>
      <c r="G265" s="26"/>
      <c r="H265" s="26"/>
      <c r="I265" s="25"/>
      <c r="J265" s="26"/>
      <c r="K265" s="26"/>
      <c r="L265" s="26" t="str">
        <f>IFERROR(IF(K265="","",VLOOKUP(K265,TANIMLAMALAR!$A$5:$E$104,3,0)),"")</f>
        <v/>
      </c>
      <c r="M265" s="26" t="str">
        <f>IFERROR(IF(K265="","",VLOOKUP(K265,TANIMLAMALAR!$A$5:$E$104,4,0)),"")</f>
        <v/>
      </c>
      <c r="N265" s="26"/>
      <c r="O265" s="26"/>
      <c r="P265" s="26"/>
      <c r="Q265" s="8"/>
      <c r="R265" s="25"/>
    </row>
    <row r="266" spans="1:18" ht="15" customHeight="1" x14ac:dyDescent="0.3">
      <c r="A266" s="3" t="str">
        <f t="shared" si="4"/>
        <v/>
      </c>
      <c r="B266" s="5"/>
      <c r="C266" s="6"/>
      <c r="D266" s="3"/>
      <c r="E266" s="3"/>
      <c r="F266" s="3"/>
      <c r="G266" s="3"/>
      <c r="H266" s="3"/>
      <c r="I266" s="7"/>
      <c r="J266" s="3"/>
      <c r="K266" s="3"/>
      <c r="L266" s="3" t="str">
        <f>IFERROR(IF(K266="","",VLOOKUP(K266,TANIMLAMALAR!$A$5:$E$104,3,0)),"")</f>
        <v/>
      </c>
      <c r="M266" s="3" t="str">
        <f>IFERROR(IF(K266="","",VLOOKUP(K266,TANIMLAMALAR!$A$5:$E$104,4,0)),"")</f>
        <v/>
      </c>
      <c r="N266" s="3"/>
      <c r="O266" s="3"/>
      <c r="P266" s="3"/>
      <c r="Q266" s="5"/>
      <c r="R266" s="7"/>
    </row>
    <row r="267" spans="1:18" ht="15" customHeight="1" x14ac:dyDescent="0.3">
      <c r="A267" s="26" t="str">
        <f t="shared" si="4"/>
        <v/>
      </c>
      <c r="B267" s="8"/>
      <c r="C267" s="9"/>
      <c r="D267" s="26"/>
      <c r="E267" s="26"/>
      <c r="F267" s="26"/>
      <c r="G267" s="26"/>
      <c r="H267" s="26"/>
      <c r="I267" s="25"/>
      <c r="J267" s="26"/>
      <c r="K267" s="26"/>
      <c r="L267" s="26" t="str">
        <f>IFERROR(IF(K267="","",VLOOKUP(K267,TANIMLAMALAR!$A$5:$E$104,3,0)),"")</f>
        <v/>
      </c>
      <c r="M267" s="26" t="str">
        <f>IFERROR(IF(K267="","",VLOOKUP(K267,TANIMLAMALAR!$A$5:$E$104,4,0)),"")</f>
        <v/>
      </c>
      <c r="N267" s="26"/>
      <c r="O267" s="26"/>
      <c r="P267" s="26"/>
      <c r="Q267" s="8"/>
      <c r="R267" s="25"/>
    </row>
    <row r="268" spans="1:18" ht="15" customHeight="1" x14ac:dyDescent="0.3">
      <c r="A268" s="3" t="str">
        <f t="shared" si="4"/>
        <v/>
      </c>
      <c r="B268" s="5"/>
      <c r="C268" s="6"/>
      <c r="D268" s="3"/>
      <c r="E268" s="3"/>
      <c r="F268" s="3"/>
      <c r="G268" s="3"/>
      <c r="H268" s="3"/>
      <c r="I268" s="7"/>
      <c r="J268" s="3"/>
      <c r="K268" s="3"/>
      <c r="L268" s="3" t="str">
        <f>IFERROR(IF(K268="","",VLOOKUP(K268,TANIMLAMALAR!$A$5:$E$104,3,0)),"")</f>
        <v/>
      </c>
      <c r="M268" s="3" t="str">
        <f>IFERROR(IF(K268="","",VLOOKUP(K268,TANIMLAMALAR!$A$5:$E$104,4,0)),"")</f>
        <v/>
      </c>
      <c r="N268" s="3"/>
      <c r="O268" s="3"/>
      <c r="P268" s="3"/>
      <c r="Q268" s="5"/>
      <c r="R268" s="7"/>
    </row>
    <row r="269" spans="1:18" ht="15" customHeight="1" x14ac:dyDescent="0.3">
      <c r="A269" s="26" t="str">
        <f t="shared" si="4"/>
        <v/>
      </c>
      <c r="B269" s="8"/>
      <c r="C269" s="9"/>
      <c r="D269" s="26"/>
      <c r="E269" s="26"/>
      <c r="F269" s="26"/>
      <c r="G269" s="26"/>
      <c r="H269" s="26"/>
      <c r="I269" s="25"/>
      <c r="J269" s="26"/>
      <c r="K269" s="26"/>
      <c r="L269" s="26" t="str">
        <f>IFERROR(IF(K269="","",VLOOKUP(K269,TANIMLAMALAR!$A$5:$E$104,3,0)),"")</f>
        <v/>
      </c>
      <c r="M269" s="26" t="str">
        <f>IFERROR(IF(K269="","",VLOOKUP(K269,TANIMLAMALAR!$A$5:$E$104,4,0)),"")</f>
        <v/>
      </c>
      <c r="N269" s="26"/>
      <c r="O269" s="26"/>
      <c r="P269" s="26"/>
      <c r="Q269" s="8"/>
      <c r="R269" s="25"/>
    </row>
    <row r="270" spans="1:18" ht="15" customHeight="1" x14ac:dyDescent="0.3">
      <c r="A270" s="3" t="str">
        <f t="shared" si="4"/>
        <v/>
      </c>
      <c r="B270" s="5"/>
      <c r="C270" s="6"/>
      <c r="D270" s="3"/>
      <c r="E270" s="3"/>
      <c r="F270" s="3"/>
      <c r="G270" s="3"/>
      <c r="H270" s="3"/>
      <c r="I270" s="7"/>
      <c r="J270" s="3"/>
      <c r="K270" s="3"/>
      <c r="L270" s="3" t="str">
        <f>IFERROR(IF(K270="","",VLOOKUP(K270,TANIMLAMALAR!$A$5:$E$104,3,0)),"")</f>
        <v/>
      </c>
      <c r="M270" s="3" t="str">
        <f>IFERROR(IF(K270="","",VLOOKUP(K270,TANIMLAMALAR!$A$5:$E$104,4,0)),"")</f>
        <v/>
      </c>
      <c r="N270" s="3"/>
      <c r="O270" s="3"/>
      <c r="P270" s="3"/>
      <c r="Q270" s="5"/>
      <c r="R270" s="7"/>
    </row>
    <row r="271" spans="1:18" ht="15" customHeight="1" x14ac:dyDescent="0.3">
      <c r="A271" s="26" t="str">
        <f t="shared" si="4"/>
        <v/>
      </c>
      <c r="B271" s="8"/>
      <c r="C271" s="9"/>
      <c r="D271" s="26"/>
      <c r="E271" s="26"/>
      <c r="F271" s="26"/>
      <c r="G271" s="26"/>
      <c r="H271" s="26"/>
      <c r="I271" s="25"/>
      <c r="J271" s="26"/>
      <c r="K271" s="26"/>
      <c r="L271" s="26" t="str">
        <f>IFERROR(IF(K271="","",VLOOKUP(K271,TANIMLAMALAR!$A$5:$E$104,3,0)),"")</f>
        <v/>
      </c>
      <c r="M271" s="26" t="str">
        <f>IFERROR(IF(K271="","",VLOOKUP(K271,TANIMLAMALAR!$A$5:$E$104,4,0)),"")</f>
        <v/>
      </c>
      <c r="N271" s="26"/>
      <c r="O271" s="26"/>
      <c r="P271" s="26"/>
      <c r="Q271" s="8"/>
      <c r="R271" s="25"/>
    </row>
    <row r="272" spans="1:18" ht="15" customHeight="1" x14ac:dyDescent="0.3">
      <c r="A272" s="3" t="str">
        <f t="shared" si="4"/>
        <v/>
      </c>
      <c r="B272" s="5"/>
      <c r="C272" s="6"/>
      <c r="D272" s="3"/>
      <c r="E272" s="3"/>
      <c r="F272" s="3"/>
      <c r="G272" s="3"/>
      <c r="H272" s="3"/>
      <c r="I272" s="7"/>
      <c r="J272" s="3"/>
      <c r="K272" s="3"/>
      <c r="L272" s="3" t="str">
        <f>IFERROR(IF(K272="","",VLOOKUP(K272,TANIMLAMALAR!$A$5:$E$104,3,0)),"")</f>
        <v/>
      </c>
      <c r="M272" s="3" t="str">
        <f>IFERROR(IF(K272="","",VLOOKUP(K272,TANIMLAMALAR!$A$5:$E$104,4,0)),"")</f>
        <v/>
      </c>
      <c r="N272" s="3"/>
      <c r="O272" s="3"/>
      <c r="P272" s="3"/>
      <c r="Q272" s="5"/>
      <c r="R272" s="7"/>
    </row>
    <row r="273" spans="1:18" ht="15" customHeight="1" x14ac:dyDescent="0.3">
      <c r="A273" s="26" t="str">
        <f t="shared" si="4"/>
        <v/>
      </c>
      <c r="B273" s="8"/>
      <c r="C273" s="9"/>
      <c r="D273" s="26"/>
      <c r="E273" s="26"/>
      <c r="F273" s="26"/>
      <c r="G273" s="26"/>
      <c r="H273" s="26"/>
      <c r="I273" s="25"/>
      <c r="J273" s="26"/>
      <c r="K273" s="26"/>
      <c r="L273" s="26" t="str">
        <f>IFERROR(IF(K273="","",VLOOKUP(K273,TANIMLAMALAR!$A$5:$E$104,3,0)),"")</f>
        <v/>
      </c>
      <c r="M273" s="26" t="str">
        <f>IFERROR(IF(K273="","",VLOOKUP(K273,TANIMLAMALAR!$A$5:$E$104,4,0)),"")</f>
        <v/>
      </c>
      <c r="N273" s="26"/>
      <c r="O273" s="26"/>
      <c r="P273" s="26"/>
      <c r="Q273" s="8"/>
      <c r="R273" s="25"/>
    </row>
    <row r="274" spans="1:18" ht="15" customHeight="1" x14ac:dyDescent="0.3">
      <c r="A274" s="3" t="str">
        <f t="shared" si="4"/>
        <v/>
      </c>
      <c r="B274" s="5"/>
      <c r="C274" s="6"/>
      <c r="D274" s="3"/>
      <c r="E274" s="3"/>
      <c r="F274" s="3"/>
      <c r="G274" s="3"/>
      <c r="H274" s="3"/>
      <c r="I274" s="7"/>
      <c r="J274" s="3"/>
      <c r="K274" s="3"/>
      <c r="L274" s="3" t="str">
        <f>IFERROR(IF(K274="","",VLOOKUP(K274,TANIMLAMALAR!$A$5:$E$104,3,0)),"")</f>
        <v/>
      </c>
      <c r="M274" s="3" t="str">
        <f>IFERROR(IF(K274="","",VLOOKUP(K274,TANIMLAMALAR!$A$5:$E$104,4,0)),"")</f>
        <v/>
      </c>
      <c r="N274" s="3"/>
      <c r="O274" s="3"/>
      <c r="P274" s="3"/>
      <c r="Q274" s="5"/>
      <c r="R274" s="7"/>
    </row>
    <row r="275" spans="1:18" ht="15" customHeight="1" x14ac:dyDescent="0.3">
      <c r="A275" s="26" t="str">
        <f t="shared" si="4"/>
        <v/>
      </c>
      <c r="B275" s="8"/>
      <c r="C275" s="9"/>
      <c r="D275" s="26"/>
      <c r="E275" s="26"/>
      <c r="F275" s="26"/>
      <c r="G275" s="26"/>
      <c r="H275" s="26"/>
      <c r="I275" s="25"/>
      <c r="J275" s="26"/>
      <c r="K275" s="26"/>
      <c r="L275" s="26" t="str">
        <f>IFERROR(IF(K275="","",VLOOKUP(K275,TANIMLAMALAR!$A$5:$E$104,3,0)),"")</f>
        <v/>
      </c>
      <c r="M275" s="26" t="str">
        <f>IFERROR(IF(K275="","",VLOOKUP(K275,TANIMLAMALAR!$A$5:$E$104,4,0)),"")</f>
        <v/>
      </c>
      <c r="N275" s="26"/>
      <c r="O275" s="26"/>
      <c r="P275" s="26"/>
      <c r="Q275" s="8"/>
      <c r="R275" s="25"/>
    </row>
    <row r="276" spans="1:18" ht="15" customHeight="1" x14ac:dyDescent="0.3">
      <c r="A276" s="3" t="str">
        <f t="shared" si="4"/>
        <v/>
      </c>
      <c r="B276" s="5"/>
      <c r="C276" s="6"/>
      <c r="D276" s="3"/>
      <c r="E276" s="3"/>
      <c r="F276" s="3"/>
      <c r="G276" s="3"/>
      <c r="H276" s="3"/>
      <c r="I276" s="7"/>
      <c r="J276" s="3"/>
      <c r="K276" s="3"/>
      <c r="L276" s="3" t="str">
        <f>IFERROR(IF(K276="","",VLOOKUP(K276,TANIMLAMALAR!$A$5:$E$104,3,0)),"")</f>
        <v/>
      </c>
      <c r="M276" s="3" t="str">
        <f>IFERROR(IF(K276="","",VLOOKUP(K276,TANIMLAMALAR!$A$5:$E$104,4,0)),"")</f>
        <v/>
      </c>
      <c r="N276" s="3"/>
      <c r="O276" s="3"/>
      <c r="P276" s="3"/>
      <c r="Q276" s="5"/>
      <c r="R276" s="7"/>
    </row>
    <row r="277" spans="1:18" ht="15" customHeight="1" x14ac:dyDescent="0.3">
      <c r="A277" s="26" t="str">
        <f t="shared" si="4"/>
        <v/>
      </c>
      <c r="B277" s="8"/>
      <c r="C277" s="9"/>
      <c r="D277" s="26"/>
      <c r="E277" s="26"/>
      <c r="F277" s="26"/>
      <c r="G277" s="26"/>
      <c r="H277" s="26"/>
      <c r="I277" s="25"/>
      <c r="J277" s="26"/>
      <c r="K277" s="26"/>
      <c r="L277" s="26" t="str">
        <f>IFERROR(IF(K277="","",VLOOKUP(K277,TANIMLAMALAR!$A$5:$E$104,3,0)),"")</f>
        <v/>
      </c>
      <c r="M277" s="26" t="str">
        <f>IFERROR(IF(K277="","",VLOOKUP(K277,TANIMLAMALAR!$A$5:$E$104,4,0)),"")</f>
        <v/>
      </c>
      <c r="N277" s="26"/>
      <c r="O277" s="26"/>
      <c r="P277" s="26"/>
      <c r="Q277" s="8"/>
      <c r="R277" s="25"/>
    </row>
    <row r="278" spans="1:18" ht="15" customHeight="1" x14ac:dyDescent="0.3">
      <c r="A278" s="3" t="str">
        <f t="shared" si="4"/>
        <v/>
      </c>
      <c r="B278" s="5"/>
      <c r="C278" s="6"/>
      <c r="D278" s="3"/>
      <c r="E278" s="3"/>
      <c r="F278" s="3"/>
      <c r="G278" s="3"/>
      <c r="H278" s="3"/>
      <c r="I278" s="7"/>
      <c r="J278" s="3"/>
      <c r="K278" s="3"/>
      <c r="L278" s="3" t="str">
        <f>IFERROR(IF(K278="","",VLOOKUP(K278,TANIMLAMALAR!$A$5:$E$104,3,0)),"")</f>
        <v/>
      </c>
      <c r="M278" s="3" t="str">
        <f>IFERROR(IF(K278="","",VLOOKUP(K278,TANIMLAMALAR!$A$5:$E$104,4,0)),"")</f>
        <v/>
      </c>
      <c r="N278" s="3"/>
      <c r="O278" s="3"/>
      <c r="P278" s="3"/>
      <c r="Q278" s="5"/>
      <c r="R278" s="7"/>
    </row>
    <row r="279" spans="1:18" ht="15" customHeight="1" x14ac:dyDescent="0.3">
      <c r="A279" s="26" t="str">
        <f t="shared" si="4"/>
        <v/>
      </c>
      <c r="B279" s="8"/>
      <c r="C279" s="9"/>
      <c r="D279" s="26"/>
      <c r="E279" s="26"/>
      <c r="F279" s="26"/>
      <c r="G279" s="26"/>
      <c r="H279" s="26"/>
      <c r="I279" s="25"/>
      <c r="J279" s="26"/>
      <c r="K279" s="26"/>
      <c r="L279" s="26" t="str">
        <f>IFERROR(IF(K279="","",VLOOKUP(K279,TANIMLAMALAR!$A$5:$E$104,3,0)),"")</f>
        <v/>
      </c>
      <c r="M279" s="26" t="str">
        <f>IFERROR(IF(K279="","",VLOOKUP(K279,TANIMLAMALAR!$A$5:$E$104,4,0)),"")</f>
        <v/>
      </c>
      <c r="N279" s="26"/>
      <c r="O279" s="26"/>
      <c r="P279" s="26"/>
      <c r="Q279" s="8"/>
      <c r="R279" s="25"/>
    </row>
    <row r="280" spans="1:18" ht="15" customHeight="1" x14ac:dyDescent="0.3">
      <c r="A280" s="3" t="str">
        <f t="shared" si="4"/>
        <v/>
      </c>
      <c r="B280" s="5"/>
      <c r="C280" s="6"/>
      <c r="D280" s="3"/>
      <c r="E280" s="3"/>
      <c r="F280" s="3"/>
      <c r="G280" s="3"/>
      <c r="H280" s="3"/>
      <c r="I280" s="7"/>
      <c r="J280" s="3"/>
      <c r="K280" s="3"/>
      <c r="L280" s="3" t="str">
        <f>IFERROR(IF(K280="","",VLOOKUP(K280,TANIMLAMALAR!$A$5:$E$104,3,0)),"")</f>
        <v/>
      </c>
      <c r="M280" s="3" t="str">
        <f>IFERROR(IF(K280="","",VLOOKUP(K280,TANIMLAMALAR!$A$5:$E$104,4,0)),"")</f>
        <v/>
      </c>
      <c r="N280" s="3"/>
      <c r="O280" s="3"/>
      <c r="P280" s="3"/>
      <c r="Q280" s="5"/>
      <c r="R280" s="7"/>
    </row>
    <row r="281" spans="1:18" ht="15" customHeight="1" x14ac:dyDescent="0.3">
      <c r="A281" s="26" t="str">
        <f t="shared" si="4"/>
        <v/>
      </c>
      <c r="B281" s="8"/>
      <c r="C281" s="9"/>
      <c r="D281" s="26"/>
      <c r="E281" s="26"/>
      <c r="F281" s="26"/>
      <c r="G281" s="26"/>
      <c r="H281" s="26"/>
      <c r="I281" s="25"/>
      <c r="J281" s="26"/>
      <c r="K281" s="26"/>
      <c r="L281" s="26" t="str">
        <f>IFERROR(IF(K281="","",VLOOKUP(K281,TANIMLAMALAR!$A$5:$E$104,3,0)),"")</f>
        <v/>
      </c>
      <c r="M281" s="26" t="str">
        <f>IFERROR(IF(K281="","",VLOOKUP(K281,TANIMLAMALAR!$A$5:$E$104,4,0)),"")</f>
        <v/>
      </c>
      <c r="N281" s="26"/>
      <c r="O281" s="26"/>
      <c r="P281" s="26"/>
      <c r="Q281" s="8"/>
      <c r="R281" s="25"/>
    </row>
    <row r="282" spans="1:18" ht="15" customHeight="1" x14ac:dyDescent="0.3">
      <c r="A282" s="3" t="str">
        <f t="shared" si="4"/>
        <v/>
      </c>
      <c r="B282" s="5"/>
      <c r="C282" s="6"/>
      <c r="D282" s="3"/>
      <c r="E282" s="3"/>
      <c r="F282" s="3"/>
      <c r="G282" s="3"/>
      <c r="H282" s="3"/>
      <c r="I282" s="7"/>
      <c r="J282" s="3"/>
      <c r="K282" s="3"/>
      <c r="L282" s="3" t="str">
        <f>IFERROR(IF(K282="","",VLOOKUP(K282,TANIMLAMALAR!$A$5:$E$104,3,0)),"")</f>
        <v/>
      </c>
      <c r="M282" s="3" t="str">
        <f>IFERROR(IF(K282="","",VLOOKUP(K282,TANIMLAMALAR!$A$5:$E$104,4,0)),"")</f>
        <v/>
      </c>
      <c r="N282" s="3"/>
      <c r="O282" s="3"/>
      <c r="P282" s="3"/>
      <c r="Q282" s="5"/>
      <c r="R282" s="7"/>
    </row>
    <row r="283" spans="1:18" ht="15" customHeight="1" x14ac:dyDescent="0.3">
      <c r="A283" s="26" t="str">
        <f t="shared" si="4"/>
        <v/>
      </c>
      <c r="B283" s="8"/>
      <c r="C283" s="9"/>
      <c r="D283" s="26"/>
      <c r="E283" s="26"/>
      <c r="F283" s="26"/>
      <c r="G283" s="26"/>
      <c r="H283" s="26"/>
      <c r="I283" s="25"/>
      <c r="J283" s="26"/>
      <c r="K283" s="26"/>
      <c r="L283" s="26" t="str">
        <f>IFERROR(IF(K283="","",VLOOKUP(K283,TANIMLAMALAR!$A$5:$E$104,3,0)),"")</f>
        <v/>
      </c>
      <c r="M283" s="26" t="str">
        <f>IFERROR(IF(K283="","",VLOOKUP(K283,TANIMLAMALAR!$A$5:$E$104,4,0)),"")</f>
        <v/>
      </c>
      <c r="N283" s="26"/>
      <c r="O283" s="26"/>
      <c r="P283" s="26"/>
      <c r="Q283" s="8"/>
      <c r="R283" s="25"/>
    </row>
    <row r="284" spans="1:18" ht="15" customHeight="1" x14ac:dyDescent="0.3">
      <c r="A284" s="3" t="str">
        <f t="shared" si="4"/>
        <v/>
      </c>
      <c r="B284" s="5"/>
      <c r="C284" s="6"/>
      <c r="D284" s="3"/>
      <c r="E284" s="3"/>
      <c r="F284" s="3"/>
      <c r="G284" s="3"/>
      <c r="H284" s="3"/>
      <c r="I284" s="7"/>
      <c r="J284" s="3"/>
      <c r="K284" s="3"/>
      <c r="L284" s="3" t="str">
        <f>IFERROR(IF(K284="","",VLOOKUP(K284,TANIMLAMALAR!$A$5:$E$104,3,0)),"")</f>
        <v/>
      </c>
      <c r="M284" s="3" t="str">
        <f>IFERROR(IF(K284="","",VLOOKUP(K284,TANIMLAMALAR!$A$5:$E$104,4,0)),"")</f>
        <v/>
      </c>
      <c r="N284" s="3"/>
      <c r="O284" s="3"/>
      <c r="P284" s="3"/>
      <c r="Q284" s="5"/>
      <c r="R284" s="7"/>
    </row>
    <row r="285" spans="1:18" ht="15" customHeight="1" x14ac:dyDescent="0.3">
      <c r="A285" s="26" t="str">
        <f t="shared" si="4"/>
        <v/>
      </c>
      <c r="B285" s="8"/>
      <c r="C285" s="9"/>
      <c r="D285" s="26"/>
      <c r="E285" s="26"/>
      <c r="F285" s="26"/>
      <c r="G285" s="26"/>
      <c r="H285" s="26"/>
      <c r="I285" s="25"/>
      <c r="J285" s="26"/>
      <c r="K285" s="26"/>
      <c r="L285" s="26" t="str">
        <f>IFERROR(IF(K285="","",VLOOKUP(K285,TANIMLAMALAR!$A$5:$E$104,3,0)),"")</f>
        <v/>
      </c>
      <c r="M285" s="26" t="str">
        <f>IFERROR(IF(K285="","",VLOOKUP(K285,TANIMLAMALAR!$A$5:$E$104,4,0)),"")</f>
        <v/>
      </c>
      <c r="N285" s="26"/>
      <c r="O285" s="26"/>
      <c r="P285" s="26"/>
      <c r="Q285" s="8"/>
      <c r="R285" s="25"/>
    </row>
    <row r="286" spans="1:18" ht="15" customHeight="1" x14ac:dyDescent="0.3">
      <c r="A286" s="3" t="str">
        <f t="shared" si="4"/>
        <v/>
      </c>
      <c r="B286" s="5"/>
      <c r="C286" s="6"/>
      <c r="D286" s="3"/>
      <c r="E286" s="3"/>
      <c r="F286" s="3"/>
      <c r="G286" s="3"/>
      <c r="H286" s="3"/>
      <c r="I286" s="7"/>
      <c r="J286" s="3"/>
      <c r="K286" s="3"/>
      <c r="L286" s="3" t="str">
        <f>IFERROR(IF(K286="","",VLOOKUP(K286,TANIMLAMALAR!$A$5:$E$104,3,0)),"")</f>
        <v/>
      </c>
      <c r="M286" s="3" t="str">
        <f>IFERROR(IF(K286="","",VLOOKUP(K286,TANIMLAMALAR!$A$5:$E$104,4,0)),"")</f>
        <v/>
      </c>
      <c r="N286" s="3"/>
      <c r="O286" s="3"/>
      <c r="P286" s="3"/>
      <c r="Q286" s="5"/>
      <c r="R286" s="7"/>
    </row>
    <row r="287" spans="1:18" ht="15" customHeight="1" x14ac:dyDescent="0.3">
      <c r="A287" s="26" t="str">
        <f t="shared" si="4"/>
        <v/>
      </c>
      <c r="B287" s="8"/>
      <c r="C287" s="9"/>
      <c r="D287" s="26"/>
      <c r="E287" s="26"/>
      <c r="F287" s="26"/>
      <c r="G287" s="26"/>
      <c r="H287" s="26"/>
      <c r="I287" s="25"/>
      <c r="J287" s="26"/>
      <c r="K287" s="26"/>
      <c r="L287" s="26" t="str">
        <f>IFERROR(IF(K287="","",VLOOKUP(K287,TANIMLAMALAR!$A$5:$E$104,3,0)),"")</f>
        <v/>
      </c>
      <c r="M287" s="26" t="str">
        <f>IFERROR(IF(K287="","",VLOOKUP(K287,TANIMLAMALAR!$A$5:$E$104,4,0)),"")</f>
        <v/>
      </c>
      <c r="N287" s="26"/>
      <c r="O287" s="26"/>
      <c r="P287" s="26"/>
      <c r="Q287" s="8"/>
      <c r="R287" s="25"/>
    </row>
    <row r="288" spans="1:18" ht="15" customHeight="1" x14ac:dyDescent="0.3">
      <c r="A288" s="3" t="str">
        <f t="shared" si="4"/>
        <v/>
      </c>
      <c r="B288" s="5"/>
      <c r="C288" s="6"/>
      <c r="D288" s="3"/>
      <c r="E288" s="3"/>
      <c r="F288" s="3"/>
      <c r="G288" s="3"/>
      <c r="H288" s="3"/>
      <c r="I288" s="7"/>
      <c r="J288" s="3"/>
      <c r="K288" s="3"/>
      <c r="L288" s="3" t="str">
        <f>IFERROR(IF(K288="","",VLOOKUP(K288,TANIMLAMALAR!$A$5:$E$104,3,0)),"")</f>
        <v/>
      </c>
      <c r="M288" s="3" t="str">
        <f>IFERROR(IF(K288="","",VLOOKUP(K288,TANIMLAMALAR!$A$5:$E$104,4,0)),"")</f>
        <v/>
      </c>
      <c r="N288" s="3"/>
      <c r="O288" s="3"/>
      <c r="P288" s="3"/>
      <c r="Q288" s="5"/>
      <c r="R288" s="7"/>
    </row>
    <row r="289" spans="1:18" ht="15" customHeight="1" x14ac:dyDescent="0.3">
      <c r="A289" s="26" t="str">
        <f t="shared" si="4"/>
        <v/>
      </c>
      <c r="B289" s="8"/>
      <c r="C289" s="9"/>
      <c r="D289" s="26"/>
      <c r="E289" s="26"/>
      <c r="F289" s="26"/>
      <c r="G289" s="26"/>
      <c r="H289" s="26"/>
      <c r="I289" s="25"/>
      <c r="J289" s="26"/>
      <c r="K289" s="26"/>
      <c r="L289" s="26" t="str">
        <f>IFERROR(IF(K289="","",VLOOKUP(K289,TANIMLAMALAR!$A$5:$E$104,3,0)),"")</f>
        <v/>
      </c>
      <c r="M289" s="26" t="str">
        <f>IFERROR(IF(K289="","",VLOOKUP(K289,TANIMLAMALAR!$A$5:$E$104,4,0)),"")</f>
        <v/>
      </c>
      <c r="N289" s="26"/>
      <c r="O289" s="26"/>
      <c r="P289" s="26"/>
      <c r="Q289" s="8"/>
      <c r="R289" s="25"/>
    </row>
    <row r="290" spans="1:18" ht="15" customHeight="1" x14ac:dyDescent="0.3">
      <c r="A290" s="3" t="str">
        <f t="shared" si="4"/>
        <v/>
      </c>
      <c r="B290" s="5"/>
      <c r="C290" s="6"/>
      <c r="D290" s="3"/>
      <c r="E290" s="3"/>
      <c r="F290" s="3"/>
      <c r="G290" s="3"/>
      <c r="H290" s="3"/>
      <c r="I290" s="7"/>
      <c r="J290" s="3"/>
      <c r="K290" s="3"/>
      <c r="L290" s="3" t="str">
        <f>IFERROR(IF(K290="","",VLOOKUP(K290,TANIMLAMALAR!$A$5:$E$104,3,0)),"")</f>
        <v/>
      </c>
      <c r="M290" s="3" t="str">
        <f>IFERROR(IF(K290="","",VLOOKUP(K290,TANIMLAMALAR!$A$5:$E$104,4,0)),"")</f>
        <v/>
      </c>
      <c r="N290" s="3"/>
      <c r="O290" s="3"/>
      <c r="P290" s="3"/>
      <c r="Q290" s="5"/>
      <c r="R290" s="7"/>
    </row>
    <row r="291" spans="1:18" ht="15" customHeight="1" x14ac:dyDescent="0.3">
      <c r="A291" s="26" t="str">
        <f t="shared" si="4"/>
        <v/>
      </c>
      <c r="B291" s="8"/>
      <c r="C291" s="9"/>
      <c r="D291" s="26"/>
      <c r="E291" s="26"/>
      <c r="F291" s="26"/>
      <c r="G291" s="26"/>
      <c r="H291" s="26"/>
      <c r="I291" s="25"/>
      <c r="J291" s="26"/>
      <c r="K291" s="26"/>
      <c r="L291" s="26" t="str">
        <f>IFERROR(IF(K291="","",VLOOKUP(K291,TANIMLAMALAR!$A$5:$E$104,3,0)),"")</f>
        <v/>
      </c>
      <c r="M291" s="26" t="str">
        <f>IFERROR(IF(K291="","",VLOOKUP(K291,TANIMLAMALAR!$A$5:$E$104,4,0)),"")</f>
        <v/>
      </c>
      <c r="N291" s="26"/>
      <c r="O291" s="26"/>
      <c r="P291" s="26"/>
      <c r="Q291" s="8"/>
      <c r="R291" s="25"/>
    </row>
    <row r="292" spans="1:18" ht="15" customHeight="1" x14ac:dyDescent="0.3">
      <c r="A292" s="3" t="str">
        <f t="shared" si="4"/>
        <v/>
      </c>
      <c r="B292" s="5"/>
      <c r="C292" s="6"/>
      <c r="D292" s="3"/>
      <c r="E292" s="3"/>
      <c r="F292" s="3"/>
      <c r="G292" s="3"/>
      <c r="H292" s="3"/>
      <c r="I292" s="7"/>
      <c r="J292" s="3"/>
      <c r="K292" s="3"/>
      <c r="L292" s="3" t="str">
        <f>IFERROR(IF(K292="","",VLOOKUP(K292,TANIMLAMALAR!$A$5:$E$104,3,0)),"")</f>
        <v/>
      </c>
      <c r="M292" s="3" t="str">
        <f>IFERROR(IF(K292="","",VLOOKUP(K292,TANIMLAMALAR!$A$5:$E$104,4,0)),"")</f>
        <v/>
      </c>
      <c r="N292" s="3"/>
      <c r="O292" s="3"/>
      <c r="P292" s="3"/>
      <c r="Q292" s="5"/>
      <c r="R292" s="7"/>
    </row>
    <row r="293" spans="1:18" ht="15" customHeight="1" x14ac:dyDescent="0.3">
      <c r="A293" s="26" t="str">
        <f t="shared" si="4"/>
        <v/>
      </c>
      <c r="B293" s="8"/>
      <c r="C293" s="9"/>
      <c r="D293" s="26"/>
      <c r="E293" s="26"/>
      <c r="F293" s="26"/>
      <c r="G293" s="26"/>
      <c r="H293" s="26"/>
      <c r="I293" s="25"/>
      <c r="J293" s="26"/>
      <c r="K293" s="26"/>
      <c r="L293" s="26" t="str">
        <f>IFERROR(IF(K293="","",VLOOKUP(K293,TANIMLAMALAR!$A$5:$E$104,3,0)),"")</f>
        <v/>
      </c>
      <c r="M293" s="26" t="str">
        <f>IFERROR(IF(K293="","",VLOOKUP(K293,TANIMLAMALAR!$A$5:$E$104,4,0)),"")</f>
        <v/>
      </c>
      <c r="N293" s="26"/>
      <c r="O293" s="26"/>
      <c r="P293" s="26"/>
      <c r="Q293" s="8"/>
      <c r="R293" s="25"/>
    </row>
    <row r="294" spans="1:18" ht="15" customHeight="1" x14ac:dyDescent="0.3">
      <c r="A294" s="3" t="str">
        <f t="shared" si="4"/>
        <v/>
      </c>
      <c r="B294" s="5"/>
      <c r="C294" s="6"/>
      <c r="D294" s="3"/>
      <c r="E294" s="3"/>
      <c r="F294" s="3"/>
      <c r="G294" s="3"/>
      <c r="H294" s="3"/>
      <c r="I294" s="7"/>
      <c r="J294" s="3"/>
      <c r="K294" s="3"/>
      <c r="L294" s="3" t="str">
        <f>IFERROR(IF(K294="","",VLOOKUP(K294,TANIMLAMALAR!$A$5:$E$104,3,0)),"")</f>
        <v/>
      </c>
      <c r="M294" s="3" t="str">
        <f>IFERROR(IF(K294="","",VLOOKUP(K294,TANIMLAMALAR!$A$5:$E$104,4,0)),"")</f>
        <v/>
      </c>
      <c r="N294" s="3"/>
      <c r="O294" s="3"/>
      <c r="P294" s="3"/>
      <c r="Q294" s="5"/>
      <c r="R294" s="7"/>
    </row>
    <row r="295" spans="1:18" ht="15" customHeight="1" x14ac:dyDescent="0.3">
      <c r="A295" s="26" t="str">
        <f t="shared" si="4"/>
        <v/>
      </c>
      <c r="B295" s="8"/>
      <c r="C295" s="9"/>
      <c r="D295" s="26"/>
      <c r="E295" s="26"/>
      <c r="F295" s="26"/>
      <c r="G295" s="26"/>
      <c r="H295" s="26"/>
      <c r="I295" s="25"/>
      <c r="J295" s="26"/>
      <c r="K295" s="26"/>
      <c r="L295" s="26" t="str">
        <f>IFERROR(IF(K295="","",VLOOKUP(K295,TANIMLAMALAR!$A$5:$E$104,3,0)),"")</f>
        <v/>
      </c>
      <c r="M295" s="26" t="str">
        <f>IFERROR(IF(K295="","",VLOOKUP(K295,TANIMLAMALAR!$A$5:$E$104,4,0)),"")</f>
        <v/>
      </c>
      <c r="N295" s="26"/>
      <c r="O295" s="26"/>
      <c r="P295" s="26"/>
      <c r="Q295" s="8"/>
      <c r="R295" s="25"/>
    </row>
    <row r="296" spans="1:18" ht="15" customHeight="1" x14ac:dyDescent="0.3">
      <c r="A296" s="3" t="str">
        <f t="shared" si="4"/>
        <v/>
      </c>
      <c r="B296" s="5"/>
      <c r="C296" s="6"/>
      <c r="D296" s="3"/>
      <c r="E296" s="3"/>
      <c r="F296" s="3"/>
      <c r="G296" s="3"/>
      <c r="H296" s="3"/>
      <c r="I296" s="7"/>
      <c r="J296" s="3"/>
      <c r="K296" s="3"/>
      <c r="L296" s="3" t="str">
        <f>IFERROR(IF(K296="","",VLOOKUP(K296,TANIMLAMALAR!$A$5:$E$104,3,0)),"")</f>
        <v/>
      </c>
      <c r="M296" s="3" t="str">
        <f>IFERROR(IF(K296="","",VLOOKUP(K296,TANIMLAMALAR!$A$5:$E$104,4,0)),"")</f>
        <v/>
      </c>
      <c r="N296" s="3"/>
      <c r="O296" s="3"/>
      <c r="P296" s="3"/>
      <c r="Q296" s="5"/>
      <c r="R296" s="7"/>
    </row>
    <row r="297" spans="1:18" ht="15" customHeight="1" x14ac:dyDescent="0.3">
      <c r="A297" s="26" t="str">
        <f t="shared" si="4"/>
        <v/>
      </c>
      <c r="B297" s="8"/>
      <c r="C297" s="9"/>
      <c r="D297" s="26"/>
      <c r="E297" s="26"/>
      <c r="F297" s="26"/>
      <c r="G297" s="26"/>
      <c r="H297" s="26"/>
      <c r="I297" s="25"/>
      <c r="J297" s="26"/>
      <c r="K297" s="26"/>
      <c r="L297" s="26" t="str">
        <f>IFERROR(IF(K297="","",VLOOKUP(K297,TANIMLAMALAR!$A$5:$E$104,3,0)),"")</f>
        <v/>
      </c>
      <c r="M297" s="26" t="str">
        <f>IFERROR(IF(K297="","",VLOOKUP(K297,TANIMLAMALAR!$A$5:$E$104,4,0)),"")</f>
        <v/>
      </c>
      <c r="N297" s="26"/>
      <c r="O297" s="26"/>
      <c r="P297" s="26"/>
      <c r="Q297" s="8"/>
      <c r="R297" s="25"/>
    </row>
    <row r="298" spans="1:18" ht="15" customHeight="1" x14ac:dyDescent="0.3">
      <c r="A298" s="3" t="str">
        <f t="shared" si="4"/>
        <v/>
      </c>
      <c r="B298" s="5"/>
      <c r="C298" s="6"/>
      <c r="D298" s="3"/>
      <c r="E298" s="3"/>
      <c r="F298" s="3"/>
      <c r="G298" s="3"/>
      <c r="H298" s="3"/>
      <c r="I298" s="7"/>
      <c r="J298" s="3"/>
      <c r="K298" s="3"/>
      <c r="L298" s="3" t="str">
        <f>IFERROR(IF(K298="","",VLOOKUP(K298,TANIMLAMALAR!$A$5:$E$104,3,0)),"")</f>
        <v/>
      </c>
      <c r="M298" s="3" t="str">
        <f>IFERROR(IF(K298="","",VLOOKUP(K298,TANIMLAMALAR!$A$5:$E$104,4,0)),"")</f>
        <v/>
      </c>
      <c r="N298" s="3"/>
      <c r="O298" s="3"/>
      <c r="P298" s="3"/>
      <c r="Q298" s="5"/>
      <c r="R298" s="7"/>
    </row>
    <row r="299" spans="1:18" ht="15" customHeight="1" x14ac:dyDescent="0.3">
      <c r="A299" s="26" t="str">
        <f t="shared" si="4"/>
        <v/>
      </c>
      <c r="B299" s="8"/>
      <c r="C299" s="9"/>
      <c r="D299" s="26"/>
      <c r="E299" s="26"/>
      <c r="F299" s="26"/>
      <c r="G299" s="26"/>
      <c r="H299" s="26"/>
      <c r="I299" s="25"/>
      <c r="J299" s="26"/>
      <c r="K299" s="26"/>
      <c r="L299" s="26" t="str">
        <f>IFERROR(IF(K299="","",VLOOKUP(K299,TANIMLAMALAR!$A$5:$E$104,3,0)),"")</f>
        <v/>
      </c>
      <c r="M299" s="26" t="str">
        <f>IFERROR(IF(K299="","",VLOOKUP(K299,TANIMLAMALAR!$A$5:$E$104,4,0)),"")</f>
        <v/>
      </c>
      <c r="N299" s="26"/>
      <c r="O299" s="26"/>
      <c r="P299" s="26"/>
      <c r="Q299" s="8"/>
      <c r="R299" s="25"/>
    </row>
    <row r="300" spans="1:18" ht="15" customHeight="1" x14ac:dyDescent="0.3">
      <c r="A300" s="3" t="str">
        <f t="shared" si="4"/>
        <v/>
      </c>
      <c r="B300" s="5"/>
      <c r="C300" s="6"/>
      <c r="D300" s="3"/>
      <c r="E300" s="3"/>
      <c r="F300" s="3"/>
      <c r="G300" s="3"/>
      <c r="H300" s="3"/>
      <c r="I300" s="7"/>
      <c r="J300" s="3"/>
      <c r="K300" s="3"/>
      <c r="L300" s="3" t="str">
        <f>IFERROR(IF(K300="","",VLOOKUP(K300,TANIMLAMALAR!$A$5:$E$104,3,0)),"")</f>
        <v/>
      </c>
      <c r="M300" s="3" t="str">
        <f>IFERROR(IF(K300="","",VLOOKUP(K300,TANIMLAMALAR!$A$5:$E$104,4,0)),"")</f>
        <v/>
      </c>
      <c r="N300" s="3"/>
      <c r="O300" s="3"/>
      <c r="P300" s="3"/>
      <c r="Q300" s="5"/>
      <c r="R300" s="7"/>
    </row>
    <row r="301" spans="1:18" ht="15" customHeight="1" x14ac:dyDescent="0.3">
      <c r="A301" s="26" t="str">
        <f t="shared" si="4"/>
        <v/>
      </c>
      <c r="B301" s="8"/>
      <c r="C301" s="9"/>
      <c r="D301" s="26"/>
      <c r="E301" s="26"/>
      <c r="F301" s="26"/>
      <c r="G301" s="26"/>
      <c r="H301" s="26"/>
      <c r="I301" s="25"/>
      <c r="J301" s="26"/>
      <c r="K301" s="26"/>
      <c r="L301" s="26" t="str">
        <f>IFERROR(IF(K301="","",VLOOKUP(K301,TANIMLAMALAR!$A$5:$E$104,3,0)),"")</f>
        <v/>
      </c>
      <c r="M301" s="26" t="str">
        <f>IFERROR(IF(K301="","",VLOOKUP(K301,TANIMLAMALAR!$A$5:$E$104,4,0)),"")</f>
        <v/>
      </c>
      <c r="N301" s="26"/>
      <c r="O301" s="26"/>
      <c r="P301" s="26"/>
      <c r="Q301" s="8"/>
      <c r="R301" s="25"/>
    </row>
    <row r="302" spans="1:18" ht="15" customHeight="1" x14ac:dyDescent="0.3">
      <c r="A302" s="3" t="str">
        <f t="shared" si="4"/>
        <v/>
      </c>
      <c r="B302" s="5"/>
      <c r="C302" s="6"/>
      <c r="D302" s="3"/>
      <c r="E302" s="3"/>
      <c r="F302" s="3"/>
      <c r="G302" s="3"/>
      <c r="H302" s="3"/>
      <c r="I302" s="7"/>
      <c r="J302" s="3"/>
      <c r="K302" s="3"/>
      <c r="L302" s="3" t="str">
        <f>IFERROR(IF(K302="","",VLOOKUP(K302,TANIMLAMALAR!$A$5:$E$104,3,0)),"")</f>
        <v/>
      </c>
      <c r="M302" s="3" t="str">
        <f>IFERROR(IF(K302="","",VLOOKUP(K302,TANIMLAMALAR!$A$5:$E$104,4,0)),"")</f>
        <v/>
      </c>
      <c r="N302" s="3"/>
      <c r="O302" s="3"/>
      <c r="P302" s="3"/>
      <c r="Q302" s="5"/>
      <c r="R302" s="7"/>
    </row>
    <row r="303" spans="1:18" ht="15" customHeight="1" x14ac:dyDescent="0.3">
      <c r="A303" s="26" t="str">
        <f t="shared" si="4"/>
        <v/>
      </c>
      <c r="B303" s="8"/>
      <c r="C303" s="9"/>
      <c r="D303" s="26"/>
      <c r="E303" s="26"/>
      <c r="F303" s="26"/>
      <c r="G303" s="26"/>
      <c r="H303" s="26"/>
      <c r="I303" s="25"/>
      <c r="J303" s="26"/>
      <c r="K303" s="26"/>
      <c r="L303" s="26" t="str">
        <f>IFERROR(IF(K303="","",VLOOKUP(K303,TANIMLAMALAR!$A$5:$E$104,3,0)),"")</f>
        <v/>
      </c>
      <c r="M303" s="26" t="str">
        <f>IFERROR(IF(K303="","",VLOOKUP(K303,TANIMLAMALAR!$A$5:$E$104,4,0)),"")</f>
        <v/>
      </c>
      <c r="N303" s="26"/>
      <c r="O303" s="26"/>
      <c r="P303" s="26"/>
      <c r="Q303" s="8"/>
      <c r="R303" s="25"/>
    </row>
    <row r="304" spans="1:18" ht="15" customHeight="1" x14ac:dyDescent="0.3">
      <c r="A304" s="3" t="str">
        <f t="shared" si="4"/>
        <v/>
      </c>
      <c r="B304" s="5"/>
      <c r="C304" s="6"/>
      <c r="D304" s="3"/>
      <c r="E304" s="3"/>
      <c r="F304" s="3"/>
      <c r="G304" s="3"/>
      <c r="H304" s="3"/>
      <c r="I304" s="7"/>
      <c r="J304" s="3"/>
      <c r="K304" s="3"/>
      <c r="L304" s="3" t="str">
        <f>IFERROR(IF(K304="","",VLOOKUP(K304,TANIMLAMALAR!$A$5:$E$104,3,0)),"")</f>
        <v/>
      </c>
      <c r="M304" s="3" t="str">
        <f>IFERROR(IF(K304="","",VLOOKUP(K304,TANIMLAMALAR!$A$5:$E$104,4,0)),"")</f>
        <v/>
      </c>
      <c r="N304" s="3"/>
      <c r="O304" s="3"/>
      <c r="P304" s="3"/>
      <c r="Q304" s="5"/>
      <c r="R304" s="7"/>
    </row>
    <row r="305" spans="1:18" ht="15" customHeight="1" x14ac:dyDescent="0.3">
      <c r="A305" s="26" t="str">
        <f t="shared" si="4"/>
        <v/>
      </c>
      <c r="B305" s="8"/>
      <c r="C305" s="9"/>
      <c r="D305" s="26"/>
      <c r="E305" s="26"/>
      <c r="F305" s="26"/>
      <c r="G305" s="26"/>
      <c r="H305" s="26"/>
      <c r="I305" s="25"/>
      <c r="J305" s="26"/>
      <c r="K305" s="26"/>
      <c r="L305" s="26" t="str">
        <f>IFERROR(IF(K305="","",VLOOKUP(K305,TANIMLAMALAR!$A$5:$E$104,3,0)),"")</f>
        <v/>
      </c>
      <c r="M305" s="26" t="str">
        <f>IFERROR(IF(K305="","",VLOOKUP(K305,TANIMLAMALAR!$A$5:$E$104,4,0)),"")</f>
        <v/>
      </c>
      <c r="N305" s="26"/>
      <c r="O305" s="26"/>
      <c r="P305" s="26"/>
      <c r="Q305" s="8"/>
      <c r="R305" s="25"/>
    </row>
    <row r="306" spans="1:18" ht="15" customHeight="1" x14ac:dyDescent="0.3">
      <c r="A306" s="3" t="str">
        <f t="shared" si="4"/>
        <v/>
      </c>
      <c r="B306" s="5"/>
      <c r="C306" s="6"/>
      <c r="D306" s="3"/>
      <c r="E306" s="3"/>
      <c r="F306" s="3"/>
      <c r="G306" s="3"/>
      <c r="H306" s="3"/>
      <c r="I306" s="7"/>
      <c r="J306" s="3"/>
      <c r="K306" s="3"/>
      <c r="L306" s="3" t="str">
        <f>IFERROR(IF(K306="","",VLOOKUP(K306,TANIMLAMALAR!$A$5:$E$104,3,0)),"")</f>
        <v/>
      </c>
      <c r="M306" s="3" t="str">
        <f>IFERROR(IF(K306="","",VLOOKUP(K306,TANIMLAMALAR!$A$5:$E$104,4,0)),"")</f>
        <v/>
      </c>
      <c r="N306" s="3"/>
      <c r="O306" s="3"/>
      <c r="P306" s="3"/>
      <c r="Q306" s="5"/>
      <c r="R306" s="7"/>
    </row>
    <row r="307" spans="1:18" ht="15" customHeight="1" x14ac:dyDescent="0.3">
      <c r="A307" s="26" t="str">
        <f t="shared" si="4"/>
        <v/>
      </c>
      <c r="B307" s="8"/>
      <c r="C307" s="9"/>
      <c r="D307" s="26"/>
      <c r="E307" s="26"/>
      <c r="F307" s="26"/>
      <c r="G307" s="26"/>
      <c r="H307" s="26"/>
      <c r="I307" s="25"/>
      <c r="J307" s="26"/>
      <c r="K307" s="26"/>
      <c r="L307" s="26" t="str">
        <f>IFERROR(IF(K307="","",VLOOKUP(K307,TANIMLAMALAR!$A$5:$E$104,3,0)),"")</f>
        <v/>
      </c>
      <c r="M307" s="26" t="str">
        <f>IFERROR(IF(K307="","",VLOOKUP(K307,TANIMLAMALAR!$A$5:$E$104,4,0)),"")</f>
        <v/>
      </c>
      <c r="N307" s="26"/>
      <c r="O307" s="26"/>
      <c r="P307" s="26"/>
      <c r="Q307" s="8"/>
      <c r="R307" s="25"/>
    </row>
    <row r="308" spans="1:18" ht="15" customHeight="1" x14ac:dyDescent="0.3">
      <c r="A308" s="3" t="str">
        <f t="shared" si="4"/>
        <v/>
      </c>
      <c r="B308" s="5"/>
      <c r="C308" s="6"/>
      <c r="D308" s="3"/>
      <c r="E308" s="3"/>
      <c r="F308" s="3"/>
      <c r="G308" s="3"/>
      <c r="H308" s="3"/>
      <c r="I308" s="7"/>
      <c r="J308" s="3"/>
      <c r="K308" s="3"/>
      <c r="L308" s="3" t="str">
        <f>IFERROR(IF(K308="","",VLOOKUP(K308,TANIMLAMALAR!$A$5:$E$104,3,0)),"")</f>
        <v/>
      </c>
      <c r="M308" s="3" t="str">
        <f>IFERROR(IF(K308="","",VLOOKUP(K308,TANIMLAMALAR!$A$5:$E$104,4,0)),"")</f>
        <v/>
      </c>
      <c r="N308" s="3"/>
      <c r="O308" s="3"/>
      <c r="P308" s="3"/>
      <c r="Q308" s="5"/>
      <c r="R308" s="7"/>
    </row>
    <row r="309" spans="1:18" ht="15" customHeight="1" x14ac:dyDescent="0.3">
      <c r="A309" s="26" t="str">
        <f t="shared" si="4"/>
        <v/>
      </c>
      <c r="B309" s="8"/>
      <c r="C309" s="9"/>
      <c r="D309" s="26"/>
      <c r="E309" s="26"/>
      <c r="F309" s="26"/>
      <c r="G309" s="26"/>
      <c r="H309" s="26"/>
      <c r="I309" s="25"/>
      <c r="J309" s="26"/>
      <c r="K309" s="26"/>
      <c r="L309" s="26" t="str">
        <f>IFERROR(IF(K309="","",VLOOKUP(K309,TANIMLAMALAR!$A$5:$E$104,3,0)),"")</f>
        <v/>
      </c>
      <c r="M309" s="26" t="str">
        <f>IFERROR(IF(K309="","",VLOOKUP(K309,TANIMLAMALAR!$A$5:$E$104,4,0)),"")</f>
        <v/>
      </c>
      <c r="N309" s="26"/>
      <c r="O309" s="26"/>
      <c r="P309" s="26"/>
      <c r="Q309" s="8"/>
      <c r="R309" s="25"/>
    </row>
    <row r="310" spans="1:18" ht="15" customHeight="1" x14ac:dyDescent="0.3">
      <c r="A310" s="3" t="str">
        <f t="shared" si="4"/>
        <v/>
      </c>
      <c r="B310" s="5"/>
      <c r="C310" s="6"/>
      <c r="D310" s="3"/>
      <c r="E310" s="3"/>
      <c r="F310" s="3"/>
      <c r="G310" s="3"/>
      <c r="H310" s="3"/>
      <c r="I310" s="7"/>
      <c r="J310" s="3"/>
      <c r="K310" s="3"/>
      <c r="L310" s="3" t="str">
        <f>IFERROR(IF(K310="","",VLOOKUP(K310,TANIMLAMALAR!$A$5:$E$104,3,0)),"")</f>
        <v/>
      </c>
      <c r="M310" s="3" t="str">
        <f>IFERROR(IF(K310="","",VLOOKUP(K310,TANIMLAMALAR!$A$5:$E$104,4,0)),"")</f>
        <v/>
      </c>
      <c r="N310" s="3"/>
      <c r="O310" s="3"/>
      <c r="P310" s="3"/>
      <c r="Q310" s="5"/>
      <c r="R310" s="7"/>
    </row>
    <row r="311" spans="1:18" ht="15" customHeight="1" x14ac:dyDescent="0.3">
      <c r="A311" s="26" t="str">
        <f t="shared" si="4"/>
        <v/>
      </c>
      <c r="B311" s="8"/>
      <c r="C311" s="9"/>
      <c r="D311" s="26"/>
      <c r="E311" s="26"/>
      <c r="F311" s="26"/>
      <c r="G311" s="26"/>
      <c r="H311" s="26"/>
      <c r="I311" s="25"/>
      <c r="J311" s="26"/>
      <c r="K311" s="26"/>
      <c r="L311" s="26" t="str">
        <f>IFERROR(IF(K311="","",VLOOKUP(K311,TANIMLAMALAR!$A$5:$E$104,3,0)),"")</f>
        <v/>
      </c>
      <c r="M311" s="26" t="str">
        <f>IFERROR(IF(K311="","",VLOOKUP(K311,TANIMLAMALAR!$A$5:$E$104,4,0)),"")</f>
        <v/>
      </c>
      <c r="N311" s="26"/>
      <c r="O311" s="26"/>
      <c r="P311" s="26"/>
      <c r="Q311" s="8"/>
      <c r="R311" s="25"/>
    </row>
    <row r="312" spans="1:18" ht="15" customHeight="1" x14ac:dyDescent="0.3">
      <c r="A312" s="3" t="str">
        <f t="shared" si="4"/>
        <v/>
      </c>
      <c r="B312" s="5"/>
      <c r="C312" s="6"/>
      <c r="D312" s="3"/>
      <c r="E312" s="3"/>
      <c r="F312" s="3"/>
      <c r="G312" s="3"/>
      <c r="H312" s="3"/>
      <c r="I312" s="7"/>
      <c r="J312" s="3"/>
      <c r="K312" s="3"/>
      <c r="L312" s="3" t="str">
        <f>IFERROR(IF(K312="","",VLOOKUP(K312,TANIMLAMALAR!$A$5:$E$104,3,0)),"")</f>
        <v/>
      </c>
      <c r="M312" s="3" t="str">
        <f>IFERROR(IF(K312="","",VLOOKUP(K312,TANIMLAMALAR!$A$5:$E$104,4,0)),"")</f>
        <v/>
      </c>
      <c r="N312" s="3"/>
      <c r="O312" s="3"/>
      <c r="P312" s="3"/>
      <c r="Q312" s="5"/>
      <c r="R312" s="7"/>
    </row>
    <row r="313" spans="1:18" ht="15" customHeight="1" x14ac:dyDescent="0.3">
      <c r="A313" s="26" t="str">
        <f t="shared" si="4"/>
        <v/>
      </c>
      <c r="B313" s="8"/>
      <c r="C313" s="9"/>
      <c r="D313" s="26"/>
      <c r="E313" s="26"/>
      <c r="F313" s="26"/>
      <c r="G313" s="26"/>
      <c r="H313" s="26"/>
      <c r="I313" s="25"/>
      <c r="J313" s="26"/>
      <c r="K313" s="26"/>
      <c r="L313" s="26" t="str">
        <f>IFERROR(IF(K313="","",VLOOKUP(K313,TANIMLAMALAR!$A$5:$E$104,3,0)),"")</f>
        <v/>
      </c>
      <c r="M313" s="26" t="str">
        <f>IFERROR(IF(K313="","",VLOOKUP(K313,TANIMLAMALAR!$A$5:$E$104,4,0)),"")</f>
        <v/>
      </c>
      <c r="N313" s="26"/>
      <c r="O313" s="26"/>
      <c r="P313" s="26"/>
      <c r="Q313" s="8"/>
      <c r="R313" s="25"/>
    </row>
    <row r="314" spans="1:18" ht="15" customHeight="1" x14ac:dyDescent="0.3">
      <c r="A314" s="3" t="str">
        <f t="shared" si="4"/>
        <v/>
      </c>
      <c r="B314" s="5"/>
      <c r="C314" s="6"/>
      <c r="D314" s="3"/>
      <c r="E314" s="3"/>
      <c r="F314" s="3"/>
      <c r="G314" s="3"/>
      <c r="H314" s="3"/>
      <c r="I314" s="7"/>
      <c r="J314" s="3"/>
      <c r="K314" s="3"/>
      <c r="L314" s="3" t="str">
        <f>IFERROR(IF(K314="","",VLOOKUP(K314,TANIMLAMALAR!$A$5:$E$104,3,0)),"")</f>
        <v/>
      </c>
      <c r="M314" s="3" t="str">
        <f>IFERROR(IF(K314="","",VLOOKUP(K314,TANIMLAMALAR!$A$5:$E$104,4,0)),"")</f>
        <v/>
      </c>
      <c r="N314" s="3"/>
      <c r="O314" s="3"/>
      <c r="P314" s="3"/>
      <c r="Q314" s="5"/>
      <c r="R314" s="7"/>
    </row>
    <row r="315" spans="1:18" ht="15" customHeight="1" x14ac:dyDescent="0.3">
      <c r="A315" s="26" t="str">
        <f t="shared" si="4"/>
        <v/>
      </c>
      <c r="B315" s="8"/>
      <c r="C315" s="9"/>
      <c r="D315" s="26"/>
      <c r="E315" s="26"/>
      <c r="F315" s="26"/>
      <c r="G315" s="26"/>
      <c r="H315" s="26"/>
      <c r="I315" s="25"/>
      <c r="J315" s="26"/>
      <c r="K315" s="26"/>
      <c r="L315" s="26" t="str">
        <f>IFERROR(IF(K315="","",VLOOKUP(K315,TANIMLAMALAR!$A$5:$E$104,3,0)),"")</f>
        <v/>
      </c>
      <c r="M315" s="26" t="str">
        <f>IFERROR(IF(K315="","",VLOOKUP(K315,TANIMLAMALAR!$A$5:$E$104,4,0)),"")</f>
        <v/>
      </c>
      <c r="N315" s="26"/>
      <c r="O315" s="26"/>
      <c r="P315" s="26"/>
      <c r="Q315" s="8"/>
      <c r="R315" s="25"/>
    </row>
    <row r="316" spans="1:18" ht="15" customHeight="1" x14ac:dyDescent="0.3">
      <c r="A316" s="3" t="str">
        <f t="shared" si="4"/>
        <v/>
      </c>
      <c r="B316" s="5"/>
      <c r="C316" s="6"/>
      <c r="D316" s="3"/>
      <c r="E316" s="3"/>
      <c r="F316" s="3"/>
      <c r="G316" s="3"/>
      <c r="H316" s="3"/>
      <c r="I316" s="7"/>
      <c r="J316" s="3"/>
      <c r="K316" s="3"/>
      <c r="L316" s="3" t="str">
        <f>IFERROR(IF(K316="","",VLOOKUP(K316,TANIMLAMALAR!$A$5:$E$104,3,0)),"")</f>
        <v/>
      </c>
      <c r="M316" s="3" t="str">
        <f>IFERROR(IF(K316="","",VLOOKUP(K316,TANIMLAMALAR!$A$5:$E$104,4,0)),"")</f>
        <v/>
      </c>
      <c r="N316" s="3"/>
      <c r="O316" s="3"/>
      <c r="P316" s="3"/>
      <c r="Q316" s="5"/>
      <c r="R316" s="7"/>
    </row>
    <row r="317" spans="1:18" ht="15" customHeight="1" x14ac:dyDescent="0.3">
      <c r="A317" s="26" t="str">
        <f t="shared" si="4"/>
        <v/>
      </c>
      <c r="B317" s="8"/>
      <c r="C317" s="9"/>
      <c r="D317" s="26"/>
      <c r="E317" s="26"/>
      <c r="F317" s="26"/>
      <c r="G317" s="26"/>
      <c r="H317" s="26"/>
      <c r="I317" s="25"/>
      <c r="J317" s="26"/>
      <c r="K317" s="26"/>
      <c r="L317" s="26" t="str">
        <f>IFERROR(IF(K317="","",VLOOKUP(K317,TANIMLAMALAR!$A$5:$E$104,3,0)),"")</f>
        <v/>
      </c>
      <c r="M317" s="26" t="str">
        <f>IFERROR(IF(K317="","",VLOOKUP(K317,TANIMLAMALAR!$A$5:$E$104,4,0)),"")</f>
        <v/>
      </c>
      <c r="N317" s="26"/>
      <c r="O317" s="26"/>
      <c r="P317" s="26"/>
      <c r="Q317" s="8"/>
      <c r="R317" s="25"/>
    </row>
    <row r="318" spans="1:18" ht="15" customHeight="1" x14ac:dyDescent="0.3">
      <c r="A318" s="3" t="str">
        <f t="shared" si="4"/>
        <v/>
      </c>
      <c r="B318" s="5"/>
      <c r="C318" s="6"/>
      <c r="D318" s="3"/>
      <c r="E318" s="3"/>
      <c r="F318" s="3"/>
      <c r="G318" s="3"/>
      <c r="H318" s="3"/>
      <c r="I318" s="7"/>
      <c r="J318" s="3"/>
      <c r="K318" s="3"/>
      <c r="L318" s="3" t="str">
        <f>IFERROR(IF(K318="","",VLOOKUP(K318,TANIMLAMALAR!$A$5:$E$104,3,0)),"")</f>
        <v/>
      </c>
      <c r="M318" s="3" t="str">
        <f>IFERROR(IF(K318="","",VLOOKUP(K318,TANIMLAMALAR!$A$5:$E$104,4,0)),"")</f>
        <v/>
      </c>
      <c r="N318" s="3"/>
      <c r="O318" s="3"/>
      <c r="P318" s="3"/>
      <c r="Q318" s="5"/>
      <c r="R318" s="7"/>
    </row>
    <row r="319" spans="1:18" ht="15" customHeight="1" x14ac:dyDescent="0.3">
      <c r="A319" s="26" t="str">
        <f t="shared" si="4"/>
        <v/>
      </c>
      <c r="B319" s="8"/>
      <c r="C319" s="9"/>
      <c r="D319" s="26"/>
      <c r="E319" s="26"/>
      <c r="F319" s="26"/>
      <c r="G319" s="26"/>
      <c r="H319" s="26"/>
      <c r="I319" s="25"/>
      <c r="J319" s="26"/>
      <c r="K319" s="26"/>
      <c r="L319" s="26" t="str">
        <f>IFERROR(IF(K319="","",VLOOKUP(K319,TANIMLAMALAR!$A$5:$E$104,3,0)),"")</f>
        <v/>
      </c>
      <c r="M319" s="26" t="str">
        <f>IFERROR(IF(K319="","",VLOOKUP(K319,TANIMLAMALAR!$A$5:$E$104,4,0)),"")</f>
        <v/>
      </c>
      <c r="N319" s="26"/>
      <c r="O319" s="26"/>
      <c r="P319" s="26"/>
      <c r="Q319" s="8"/>
      <c r="R319" s="25"/>
    </row>
    <row r="320" spans="1:18" ht="15" customHeight="1" x14ac:dyDescent="0.3">
      <c r="A320" s="3" t="str">
        <f t="shared" si="4"/>
        <v/>
      </c>
      <c r="B320" s="5"/>
      <c r="C320" s="6"/>
      <c r="D320" s="3"/>
      <c r="E320" s="3"/>
      <c r="F320" s="3"/>
      <c r="G320" s="3"/>
      <c r="H320" s="3"/>
      <c r="I320" s="7"/>
      <c r="J320" s="3"/>
      <c r="K320" s="3"/>
      <c r="L320" s="3" t="str">
        <f>IFERROR(IF(K320="","",VLOOKUP(K320,TANIMLAMALAR!$A$5:$E$104,3,0)),"")</f>
        <v/>
      </c>
      <c r="M320" s="3" t="str">
        <f>IFERROR(IF(K320="","",VLOOKUP(K320,TANIMLAMALAR!$A$5:$E$104,4,0)),"")</f>
        <v/>
      </c>
      <c r="N320" s="3"/>
      <c r="O320" s="3"/>
      <c r="P320" s="3"/>
      <c r="Q320" s="5"/>
      <c r="R320" s="7"/>
    </row>
    <row r="321" spans="1:18" ht="15" customHeight="1" x14ac:dyDescent="0.3">
      <c r="A321" s="26" t="str">
        <f t="shared" si="4"/>
        <v/>
      </c>
      <c r="B321" s="8"/>
      <c r="C321" s="9"/>
      <c r="D321" s="26"/>
      <c r="E321" s="26"/>
      <c r="F321" s="26"/>
      <c r="G321" s="26"/>
      <c r="H321" s="26"/>
      <c r="I321" s="25"/>
      <c r="J321" s="26"/>
      <c r="K321" s="26"/>
      <c r="L321" s="26" t="str">
        <f>IFERROR(IF(K321="","",VLOOKUP(K321,TANIMLAMALAR!$A$5:$E$104,3,0)),"")</f>
        <v/>
      </c>
      <c r="M321" s="26" t="str">
        <f>IFERROR(IF(K321="","",VLOOKUP(K321,TANIMLAMALAR!$A$5:$E$104,4,0)),"")</f>
        <v/>
      </c>
      <c r="N321" s="26"/>
      <c r="O321" s="26"/>
      <c r="P321" s="26"/>
      <c r="Q321" s="8"/>
      <c r="R321" s="25"/>
    </row>
    <row r="322" spans="1:18" ht="15" customHeight="1" x14ac:dyDescent="0.3">
      <c r="A322" s="3" t="str">
        <f t="shared" si="4"/>
        <v/>
      </c>
      <c r="B322" s="5"/>
      <c r="C322" s="6"/>
      <c r="D322" s="3"/>
      <c r="E322" s="3"/>
      <c r="F322" s="3"/>
      <c r="G322" s="3"/>
      <c r="H322" s="3"/>
      <c r="I322" s="7"/>
      <c r="J322" s="3"/>
      <c r="K322" s="3"/>
      <c r="L322" s="3" t="str">
        <f>IFERROR(IF(K322="","",VLOOKUP(K322,TANIMLAMALAR!$A$5:$E$104,3,0)),"")</f>
        <v/>
      </c>
      <c r="M322" s="3" t="str">
        <f>IFERROR(IF(K322="","",VLOOKUP(K322,TANIMLAMALAR!$A$5:$E$104,4,0)),"")</f>
        <v/>
      </c>
      <c r="N322" s="3"/>
      <c r="O322" s="3"/>
      <c r="P322" s="3"/>
      <c r="Q322" s="5"/>
      <c r="R322" s="7"/>
    </row>
    <row r="323" spans="1:18" ht="15" customHeight="1" x14ac:dyDescent="0.3">
      <c r="A323" s="26" t="str">
        <f t="shared" si="4"/>
        <v/>
      </c>
      <c r="B323" s="8"/>
      <c r="C323" s="9"/>
      <c r="D323" s="26"/>
      <c r="E323" s="26"/>
      <c r="F323" s="26"/>
      <c r="G323" s="26"/>
      <c r="H323" s="26"/>
      <c r="I323" s="25"/>
      <c r="J323" s="26"/>
      <c r="K323" s="26"/>
      <c r="L323" s="26" t="str">
        <f>IFERROR(IF(K323="","",VLOOKUP(K323,TANIMLAMALAR!$A$5:$E$104,3,0)),"")</f>
        <v/>
      </c>
      <c r="M323" s="26" t="str">
        <f>IFERROR(IF(K323="","",VLOOKUP(K323,TANIMLAMALAR!$A$5:$E$104,4,0)),"")</f>
        <v/>
      </c>
      <c r="N323" s="26"/>
      <c r="O323" s="26"/>
      <c r="P323" s="26"/>
      <c r="Q323" s="8"/>
      <c r="R323" s="25"/>
    </row>
    <row r="324" spans="1:18" ht="15" customHeight="1" x14ac:dyDescent="0.3">
      <c r="A324" s="3" t="str">
        <f t="shared" ref="A324:A387" si="5">IF(D324&lt;&gt;"","ŞKY-"&amp;TEXT(ROW()-3,"0000"),"")</f>
        <v/>
      </c>
      <c r="B324" s="5"/>
      <c r="C324" s="6"/>
      <c r="D324" s="3"/>
      <c r="E324" s="3"/>
      <c r="F324" s="3"/>
      <c r="G324" s="3"/>
      <c r="H324" s="3"/>
      <c r="I324" s="7"/>
      <c r="J324" s="3"/>
      <c r="K324" s="3"/>
      <c r="L324" s="3" t="str">
        <f>IFERROR(IF(K324="","",VLOOKUP(K324,TANIMLAMALAR!$A$5:$E$104,3,0)),"")</f>
        <v/>
      </c>
      <c r="M324" s="3" t="str">
        <f>IFERROR(IF(K324="","",VLOOKUP(K324,TANIMLAMALAR!$A$5:$E$104,4,0)),"")</f>
        <v/>
      </c>
      <c r="N324" s="3"/>
      <c r="O324" s="3"/>
      <c r="P324" s="3"/>
      <c r="Q324" s="5"/>
      <c r="R324" s="7"/>
    </row>
    <row r="325" spans="1:18" ht="15" customHeight="1" x14ac:dyDescent="0.3">
      <c r="A325" s="26" t="str">
        <f t="shared" si="5"/>
        <v/>
      </c>
      <c r="B325" s="8"/>
      <c r="C325" s="9"/>
      <c r="D325" s="26"/>
      <c r="E325" s="26"/>
      <c r="F325" s="26"/>
      <c r="G325" s="26"/>
      <c r="H325" s="26"/>
      <c r="I325" s="25"/>
      <c r="J325" s="26"/>
      <c r="K325" s="26"/>
      <c r="L325" s="26" t="str">
        <f>IFERROR(IF(K325="","",VLOOKUP(K325,TANIMLAMALAR!$A$5:$E$104,3,0)),"")</f>
        <v/>
      </c>
      <c r="M325" s="26" t="str">
        <f>IFERROR(IF(K325="","",VLOOKUP(K325,TANIMLAMALAR!$A$5:$E$104,4,0)),"")</f>
        <v/>
      </c>
      <c r="N325" s="26"/>
      <c r="O325" s="26"/>
      <c r="P325" s="26"/>
      <c r="Q325" s="8"/>
      <c r="R325" s="25"/>
    </row>
    <row r="326" spans="1:18" ht="15" customHeight="1" x14ac:dyDescent="0.3">
      <c r="A326" s="3" t="str">
        <f t="shared" si="5"/>
        <v/>
      </c>
      <c r="B326" s="5"/>
      <c r="C326" s="6"/>
      <c r="D326" s="3"/>
      <c r="E326" s="3"/>
      <c r="F326" s="3"/>
      <c r="G326" s="3"/>
      <c r="H326" s="3"/>
      <c r="I326" s="7"/>
      <c r="J326" s="3"/>
      <c r="K326" s="3"/>
      <c r="L326" s="3" t="str">
        <f>IFERROR(IF(K326="","",VLOOKUP(K326,TANIMLAMALAR!$A$5:$E$104,3,0)),"")</f>
        <v/>
      </c>
      <c r="M326" s="3" t="str">
        <f>IFERROR(IF(K326="","",VLOOKUP(K326,TANIMLAMALAR!$A$5:$E$104,4,0)),"")</f>
        <v/>
      </c>
      <c r="N326" s="3"/>
      <c r="O326" s="3"/>
      <c r="P326" s="3"/>
      <c r="Q326" s="5"/>
      <c r="R326" s="7"/>
    </row>
    <row r="327" spans="1:18" ht="15" customHeight="1" x14ac:dyDescent="0.3">
      <c r="A327" s="26" t="str">
        <f t="shared" si="5"/>
        <v/>
      </c>
      <c r="B327" s="8"/>
      <c r="C327" s="9"/>
      <c r="D327" s="26"/>
      <c r="E327" s="26"/>
      <c r="F327" s="26"/>
      <c r="G327" s="26"/>
      <c r="H327" s="26"/>
      <c r="I327" s="25"/>
      <c r="J327" s="26"/>
      <c r="K327" s="26"/>
      <c r="L327" s="26" t="str">
        <f>IFERROR(IF(K327="","",VLOOKUP(K327,TANIMLAMALAR!$A$5:$E$104,3,0)),"")</f>
        <v/>
      </c>
      <c r="M327" s="26" t="str">
        <f>IFERROR(IF(K327="","",VLOOKUP(K327,TANIMLAMALAR!$A$5:$E$104,4,0)),"")</f>
        <v/>
      </c>
      <c r="N327" s="26"/>
      <c r="O327" s="26"/>
      <c r="P327" s="26"/>
      <c r="Q327" s="8"/>
      <c r="R327" s="25"/>
    </row>
    <row r="328" spans="1:18" ht="15" customHeight="1" x14ac:dyDescent="0.3">
      <c r="A328" s="3" t="str">
        <f t="shared" si="5"/>
        <v/>
      </c>
      <c r="B328" s="5"/>
      <c r="C328" s="6"/>
      <c r="D328" s="3"/>
      <c r="E328" s="3"/>
      <c r="F328" s="3"/>
      <c r="G328" s="3"/>
      <c r="H328" s="3"/>
      <c r="I328" s="7"/>
      <c r="J328" s="3"/>
      <c r="K328" s="3"/>
      <c r="L328" s="3" t="str">
        <f>IFERROR(IF(K328="","",VLOOKUP(K328,TANIMLAMALAR!$A$5:$E$104,3,0)),"")</f>
        <v/>
      </c>
      <c r="M328" s="3" t="str">
        <f>IFERROR(IF(K328="","",VLOOKUP(K328,TANIMLAMALAR!$A$5:$E$104,4,0)),"")</f>
        <v/>
      </c>
      <c r="N328" s="3"/>
      <c r="O328" s="3"/>
      <c r="P328" s="3"/>
      <c r="Q328" s="5"/>
      <c r="R328" s="7"/>
    </row>
    <row r="329" spans="1:18" ht="15" customHeight="1" x14ac:dyDescent="0.3">
      <c r="A329" s="26" t="str">
        <f t="shared" si="5"/>
        <v/>
      </c>
      <c r="B329" s="8"/>
      <c r="C329" s="9"/>
      <c r="D329" s="26"/>
      <c r="E329" s="26"/>
      <c r="F329" s="26"/>
      <c r="G329" s="26"/>
      <c r="H329" s="26"/>
      <c r="I329" s="25"/>
      <c r="J329" s="26"/>
      <c r="K329" s="26"/>
      <c r="L329" s="26" t="str">
        <f>IFERROR(IF(K329="","",VLOOKUP(K329,TANIMLAMALAR!$A$5:$E$104,3,0)),"")</f>
        <v/>
      </c>
      <c r="M329" s="26" t="str">
        <f>IFERROR(IF(K329="","",VLOOKUP(K329,TANIMLAMALAR!$A$5:$E$104,4,0)),"")</f>
        <v/>
      </c>
      <c r="N329" s="26"/>
      <c r="O329" s="26"/>
      <c r="P329" s="26"/>
      <c r="Q329" s="8"/>
      <c r="R329" s="25"/>
    </row>
    <row r="330" spans="1:18" ht="15" customHeight="1" x14ac:dyDescent="0.3">
      <c r="A330" s="3" t="str">
        <f t="shared" si="5"/>
        <v/>
      </c>
      <c r="B330" s="5"/>
      <c r="C330" s="6"/>
      <c r="D330" s="3"/>
      <c r="E330" s="3"/>
      <c r="F330" s="3"/>
      <c r="G330" s="3"/>
      <c r="H330" s="3"/>
      <c r="I330" s="7"/>
      <c r="J330" s="3"/>
      <c r="K330" s="3"/>
      <c r="L330" s="3" t="str">
        <f>IFERROR(IF(K330="","",VLOOKUP(K330,TANIMLAMALAR!$A$5:$E$104,3,0)),"")</f>
        <v/>
      </c>
      <c r="M330" s="3" t="str">
        <f>IFERROR(IF(K330="","",VLOOKUP(K330,TANIMLAMALAR!$A$5:$E$104,4,0)),"")</f>
        <v/>
      </c>
      <c r="N330" s="3"/>
      <c r="O330" s="3"/>
      <c r="P330" s="3"/>
      <c r="Q330" s="5"/>
      <c r="R330" s="7"/>
    </row>
    <row r="331" spans="1:18" ht="15" customHeight="1" x14ac:dyDescent="0.3">
      <c r="A331" s="26" t="str">
        <f t="shared" si="5"/>
        <v/>
      </c>
      <c r="B331" s="8"/>
      <c r="C331" s="9"/>
      <c r="D331" s="26"/>
      <c r="E331" s="26"/>
      <c r="F331" s="26"/>
      <c r="G331" s="26"/>
      <c r="H331" s="26"/>
      <c r="I331" s="25"/>
      <c r="J331" s="26"/>
      <c r="K331" s="26"/>
      <c r="L331" s="26" t="str">
        <f>IFERROR(IF(K331="","",VLOOKUP(K331,TANIMLAMALAR!$A$5:$E$104,3,0)),"")</f>
        <v/>
      </c>
      <c r="M331" s="26" t="str">
        <f>IFERROR(IF(K331="","",VLOOKUP(K331,TANIMLAMALAR!$A$5:$E$104,4,0)),"")</f>
        <v/>
      </c>
      <c r="N331" s="26"/>
      <c r="O331" s="26"/>
      <c r="P331" s="26"/>
      <c r="Q331" s="8"/>
      <c r="R331" s="25"/>
    </row>
    <row r="332" spans="1:18" ht="15" customHeight="1" x14ac:dyDescent="0.3">
      <c r="A332" s="3" t="str">
        <f t="shared" si="5"/>
        <v/>
      </c>
      <c r="B332" s="5"/>
      <c r="C332" s="6"/>
      <c r="D332" s="3"/>
      <c r="E332" s="3"/>
      <c r="F332" s="3"/>
      <c r="G332" s="3"/>
      <c r="H332" s="3"/>
      <c r="I332" s="7"/>
      <c r="J332" s="3"/>
      <c r="K332" s="3"/>
      <c r="L332" s="3" t="str">
        <f>IFERROR(IF(K332="","",VLOOKUP(K332,TANIMLAMALAR!$A$5:$E$104,3,0)),"")</f>
        <v/>
      </c>
      <c r="M332" s="3" t="str">
        <f>IFERROR(IF(K332="","",VLOOKUP(K332,TANIMLAMALAR!$A$5:$E$104,4,0)),"")</f>
        <v/>
      </c>
      <c r="N332" s="3"/>
      <c r="O332" s="3"/>
      <c r="P332" s="3"/>
      <c r="Q332" s="5"/>
      <c r="R332" s="7"/>
    </row>
    <row r="333" spans="1:18" ht="15" customHeight="1" x14ac:dyDescent="0.3">
      <c r="A333" s="26" t="str">
        <f t="shared" si="5"/>
        <v/>
      </c>
      <c r="B333" s="8"/>
      <c r="C333" s="9"/>
      <c r="D333" s="26"/>
      <c r="E333" s="26"/>
      <c r="F333" s="26"/>
      <c r="G333" s="26"/>
      <c r="H333" s="26"/>
      <c r="I333" s="25"/>
      <c r="J333" s="26"/>
      <c r="K333" s="26"/>
      <c r="L333" s="26" t="str">
        <f>IFERROR(IF(K333="","",VLOOKUP(K333,TANIMLAMALAR!$A$5:$E$104,3,0)),"")</f>
        <v/>
      </c>
      <c r="M333" s="26" t="str">
        <f>IFERROR(IF(K333="","",VLOOKUP(K333,TANIMLAMALAR!$A$5:$E$104,4,0)),"")</f>
        <v/>
      </c>
      <c r="N333" s="26"/>
      <c r="O333" s="26"/>
      <c r="P333" s="26"/>
      <c r="Q333" s="8"/>
      <c r="R333" s="25"/>
    </row>
    <row r="334" spans="1:18" ht="15" customHeight="1" x14ac:dyDescent="0.3">
      <c r="A334" s="3" t="str">
        <f t="shared" si="5"/>
        <v/>
      </c>
      <c r="B334" s="5"/>
      <c r="C334" s="6"/>
      <c r="D334" s="3"/>
      <c r="E334" s="3"/>
      <c r="F334" s="3"/>
      <c r="G334" s="3"/>
      <c r="H334" s="3"/>
      <c r="I334" s="7"/>
      <c r="J334" s="3"/>
      <c r="K334" s="3"/>
      <c r="L334" s="3" t="str">
        <f>IFERROR(IF(K334="","",VLOOKUP(K334,TANIMLAMALAR!$A$5:$E$104,3,0)),"")</f>
        <v/>
      </c>
      <c r="M334" s="3" t="str">
        <f>IFERROR(IF(K334="","",VLOOKUP(K334,TANIMLAMALAR!$A$5:$E$104,4,0)),"")</f>
        <v/>
      </c>
      <c r="N334" s="3"/>
      <c r="O334" s="3"/>
      <c r="P334" s="3"/>
      <c r="Q334" s="5"/>
      <c r="R334" s="7"/>
    </row>
    <row r="335" spans="1:18" ht="15" customHeight="1" x14ac:dyDescent="0.3">
      <c r="A335" s="26" t="str">
        <f t="shared" si="5"/>
        <v/>
      </c>
      <c r="B335" s="8"/>
      <c r="C335" s="9"/>
      <c r="D335" s="26"/>
      <c r="E335" s="26"/>
      <c r="F335" s="26"/>
      <c r="G335" s="26"/>
      <c r="H335" s="26"/>
      <c r="I335" s="25"/>
      <c r="J335" s="26"/>
      <c r="K335" s="26"/>
      <c r="L335" s="26" t="str">
        <f>IFERROR(IF(K335="","",VLOOKUP(K335,TANIMLAMALAR!$A$5:$E$104,3,0)),"")</f>
        <v/>
      </c>
      <c r="M335" s="26" t="str">
        <f>IFERROR(IF(K335="","",VLOOKUP(K335,TANIMLAMALAR!$A$5:$E$104,4,0)),"")</f>
        <v/>
      </c>
      <c r="N335" s="26"/>
      <c r="O335" s="26"/>
      <c r="P335" s="26"/>
      <c r="Q335" s="8"/>
      <c r="R335" s="25"/>
    </row>
    <row r="336" spans="1:18" ht="15" customHeight="1" x14ac:dyDescent="0.3">
      <c r="A336" s="3" t="str">
        <f t="shared" si="5"/>
        <v/>
      </c>
      <c r="B336" s="5"/>
      <c r="C336" s="6"/>
      <c r="D336" s="3"/>
      <c r="E336" s="3"/>
      <c r="F336" s="3"/>
      <c r="G336" s="3"/>
      <c r="H336" s="3"/>
      <c r="I336" s="7"/>
      <c r="J336" s="3"/>
      <c r="K336" s="3"/>
      <c r="L336" s="3" t="str">
        <f>IFERROR(IF(K336="","",VLOOKUP(K336,TANIMLAMALAR!$A$5:$E$104,3,0)),"")</f>
        <v/>
      </c>
      <c r="M336" s="3" t="str">
        <f>IFERROR(IF(K336="","",VLOOKUP(K336,TANIMLAMALAR!$A$5:$E$104,4,0)),"")</f>
        <v/>
      </c>
      <c r="N336" s="3"/>
      <c r="O336" s="3"/>
      <c r="P336" s="3"/>
      <c r="Q336" s="5"/>
      <c r="R336" s="7"/>
    </row>
    <row r="337" spans="1:18" ht="15" customHeight="1" x14ac:dyDescent="0.3">
      <c r="A337" s="26" t="str">
        <f t="shared" si="5"/>
        <v/>
      </c>
      <c r="B337" s="8"/>
      <c r="C337" s="9"/>
      <c r="D337" s="26"/>
      <c r="E337" s="26"/>
      <c r="F337" s="26"/>
      <c r="G337" s="26"/>
      <c r="H337" s="26"/>
      <c r="I337" s="25"/>
      <c r="J337" s="26"/>
      <c r="K337" s="26"/>
      <c r="L337" s="26" t="str">
        <f>IFERROR(IF(K337="","",VLOOKUP(K337,TANIMLAMALAR!$A$5:$E$104,3,0)),"")</f>
        <v/>
      </c>
      <c r="M337" s="26" t="str">
        <f>IFERROR(IF(K337="","",VLOOKUP(K337,TANIMLAMALAR!$A$5:$E$104,4,0)),"")</f>
        <v/>
      </c>
      <c r="N337" s="26"/>
      <c r="O337" s="26"/>
      <c r="P337" s="26"/>
      <c r="Q337" s="8"/>
      <c r="R337" s="25"/>
    </row>
    <row r="338" spans="1:18" ht="15" customHeight="1" x14ac:dyDescent="0.3">
      <c r="A338" s="3" t="str">
        <f t="shared" si="5"/>
        <v/>
      </c>
      <c r="B338" s="5"/>
      <c r="C338" s="6"/>
      <c r="D338" s="3"/>
      <c r="E338" s="3"/>
      <c r="F338" s="3"/>
      <c r="G338" s="3"/>
      <c r="H338" s="3"/>
      <c r="I338" s="7"/>
      <c r="J338" s="3"/>
      <c r="K338" s="3"/>
      <c r="L338" s="3" t="str">
        <f>IFERROR(IF(K338="","",VLOOKUP(K338,TANIMLAMALAR!$A$5:$E$104,3,0)),"")</f>
        <v/>
      </c>
      <c r="M338" s="3" t="str">
        <f>IFERROR(IF(K338="","",VLOOKUP(K338,TANIMLAMALAR!$A$5:$E$104,4,0)),"")</f>
        <v/>
      </c>
      <c r="N338" s="3"/>
      <c r="O338" s="3"/>
      <c r="P338" s="3"/>
      <c r="Q338" s="5"/>
      <c r="R338" s="7"/>
    </row>
    <row r="339" spans="1:18" ht="15" customHeight="1" x14ac:dyDescent="0.3">
      <c r="A339" s="26" t="str">
        <f t="shared" si="5"/>
        <v/>
      </c>
      <c r="B339" s="8"/>
      <c r="C339" s="9"/>
      <c r="D339" s="26"/>
      <c r="E339" s="26"/>
      <c r="F339" s="26"/>
      <c r="G339" s="26"/>
      <c r="H339" s="26"/>
      <c r="I339" s="25"/>
      <c r="J339" s="26"/>
      <c r="K339" s="26"/>
      <c r="L339" s="26" t="str">
        <f>IFERROR(IF(K339="","",VLOOKUP(K339,TANIMLAMALAR!$A$5:$E$104,3,0)),"")</f>
        <v/>
      </c>
      <c r="M339" s="26" t="str">
        <f>IFERROR(IF(K339="","",VLOOKUP(K339,TANIMLAMALAR!$A$5:$E$104,4,0)),"")</f>
        <v/>
      </c>
      <c r="N339" s="26"/>
      <c r="O339" s="26"/>
      <c r="P339" s="26"/>
      <c r="Q339" s="8"/>
      <c r="R339" s="25"/>
    </row>
    <row r="340" spans="1:18" ht="15" customHeight="1" x14ac:dyDescent="0.3">
      <c r="A340" s="3" t="str">
        <f t="shared" si="5"/>
        <v/>
      </c>
      <c r="B340" s="5"/>
      <c r="C340" s="6"/>
      <c r="D340" s="3"/>
      <c r="E340" s="3"/>
      <c r="F340" s="3"/>
      <c r="G340" s="3"/>
      <c r="H340" s="3"/>
      <c r="I340" s="7"/>
      <c r="J340" s="3"/>
      <c r="K340" s="3"/>
      <c r="L340" s="3" t="str">
        <f>IFERROR(IF(K340="","",VLOOKUP(K340,TANIMLAMALAR!$A$5:$E$104,3,0)),"")</f>
        <v/>
      </c>
      <c r="M340" s="3" t="str">
        <f>IFERROR(IF(K340="","",VLOOKUP(K340,TANIMLAMALAR!$A$5:$E$104,4,0)),"")</f>
        <v/>
      </c>
      <c r="N340" s="3"/>
      <c r="O340" s="3"/>
      <c r="P340" s="3"/>
      <c r="Q340" s="5"/>
      <c r="R340" s="7"/>
    </row>
    <row r="341" spans="1:18" ht="15" customHeight="1" x14ac:dyDescent="0.3">
      <c r="A341" s="26" t="str">
        <f t="shared" si="5"/>
        <v/>
      </c>
      <c r="B341" s="8"/>
      <c r="C341" s="9"/>
      <c r="D341" s="26"/>
      <c r="E341" s="26"/>
      <c r="F341" s="26"/>
      <c r="G341" s="26"/>
      <c r="H341" s="26"/>
      <c r="I341" s="25"/>
      <c r="J341" s="26"/>
      <c r="K341" s="26"/>
      <c r="L341" s="26" t="str">
        <f>IFERROR(IF(K341="","",VLOOKUP(K341,TANIMLAMALAR!$A$5:$E$104,3,0)),"")</f>
        <v/>
      </c>
      <c r="M341" s="26" t="str">
        <f>IFERROR(IF(K341="","",VLOOKUP(K341,TANIMLAMALAR!$A$5:$E$104,4,0)),"")</f>
        <v/>
      </c>
      <c r="N341" s="26"/>
      <c r="O341" s="26"/>
      <c r="P341" s="26"/>
      <c r="Q341" s="8"/>
      <c r="R341" s="25"/>
    </row>
    <row r="342" spans="1:18" ht="15" customHeight="1" x14ac:dyDescent="0.3">
      <c r="A342" s="3" t="str">
        <f t="shared" si="5"/>
        <v/>
      </c>
      <c r="B342" s="5"/>
      <c r="C342" s="6"/>
      <c r="D342" s="3"/>
      <c r="E342" s="3"/>
      <c r="F342" s="3"/>
      <c r="G342" s="3"/>
      <c r="H342" s="3"/>
      <c r="I342" s="7"/>
      <c r="J342" s="3"/>
      <c r="K342" s="3"/>
      <c r="L342" s="3" t="str">
        <f>IFERROR(IF(K342="","",VLOOKUP(K342,TANIMLAMALAR!$A$5:$E$104,3,0)),"")</f>
        <v/>
      </c>
      <c r="M342" s="3" t="str">
        <f>IFERROR(IF(K342="","",VLOOKUP(K342,TANIMLAMALAR!$A$5:$E$104,4,0)),"")</f>
        <v/>
      </c>
      <c r="N342" s="3"/>
      <c r="O342" s="3"/>
      <c r="P342" s="3"/>
      <c r="Q342" s="5"/>
      <c r="R342" s="7"/>
    </row>
    <row r="343" spans="1:18" ht="15" customHeight="1" x14ac:dyDescent="0.3">
      <c r="A343" s="26" t="str">
        <f t="shared" si="5"/>
        <v/>
      </c>
      <c r="B343" s="8"/>
      <c r="C343" s="9"/>
      <c r="D343" s="26"/>
      <c r="E343" s="26"/>
      <c r="F343" s="26"/>
      <c r="G343" s="26"/>
      <c r="H343" s="26"/>
      <c r="I343" s="25"/>
      <c r="J343" s="26"/>
      <c r="K343" s="26"/>
      <c r="L343" s="26" t="str">
        <f>IFERROR(IF(K343="","",VLOOKUP(K343,TANIMLAMALAR!$A$5:$E$104,3,0)),"")</f>
        <v/>
      </c>
      <c r="M343" s="26" t="str">
        <f>IFERROR(IF(K343="","",VLOOKUP(K343,TANIMLAMALAR!$A$5:$E$104,4,0)),"")</f>
        <v/>
      </c>
      <c r="N343" s="26"/>
      <c r="O343" s="26"/>
      <c r="P343" s="26"/>
      <c r="Q343" s="8"/>
      <c r="R343" s="25"/>
    </row>
    <row r="344" spans="1:18" ht="15" customHeight="1" x14ac:dyDescent="0.3">
      <c r="A344" s="3" t="str">
        <f t="shared" si="5"/>
        <v/>
      </c>
      <c r="B344" s="5"/>
      <c r="C344" s="6"/>
      <c r="D344" s="3"/>
      <c r="E344" s="3"/>
      <c r="F344" s="3"/>
      <c r="G344" s="3"/>
      <c r="H344" s="3"/>
      <c r="I344" s="7"/>
      <c r="J344" s="3"/>
      <c r="K344" s="3"/>
      <c r="L344" s="3" t="str">
        <f>IFERROR(IF(K344="","",VLOOKUP(K344,TANIMLAMALAR!$A$5:$E$104,3,0)),"")</f>
        <v/>
      </c>
      <c r="M344" s="3" t="str">
        <f>IFERROR(IF(K344="","",VLOOKUP(K344,TANIMLAMALAR!$A$5:$E$104,4,0)),"")</f>
        <v/>
      </c>
      <c r="N344" s="3"/>
      <c r="O344" s="3"/>
      <c r="P344" s="3"/>
      <c r="Q344" s="5"/>
      <c r="R344" s="7"/>
    </row>
    <row r="345" spans="1:18" ht="15" customHeight="1" x14ac:dyDescent="0.3">
      <c r="A345" s="26" t="str">
        <f t="shared" si="5"/>
        <v/>
      </c>
      <c r="B345" s="8"/>
      <c r="C345" s="9"/>
      <c r="D345" s="26"/>
      <c r="E345" s="26"/>
      <c r="F345" s="26"/>
      <c r="G345" s="26"/>
      <c r="H345" s="26"/>
      <c r="I345" s="25"/>
      <c r="J345" s="26"/>
      <c r="K345" s="26"/>
      <c r="L345" s="26" t="str">
        <f>IFERROR(IF(K345="","",VLOOKUP(K345,TANIMLAMALAR!$A$5:$E$104,3,0)),"")</f>
        <v/>
      </c>
      <c r="M345" s="26" t="str">
        <f>IFERROR(IF(K345="","",VLOOKUP(K345,TANIMLAMALAR!$A$5:$E$104,4,0)),"")</f>
        <v/>
      </c>
      <c r="N345" s="26"/>
      <c r="O345" s="26"/>
      <c r="P345" s="26"/>
      <c r="Q345" s="8"/>
      <c r="R345" s="25"/>
    </row>
    <row r="346" spans="1:18" ht="15" customHeight="1" x14ac:dyDescent="0.3">
      <c r="A346" s="3" t="str">
        <f t="shared" si="5"/>
        <v/>
      </c>
      <c r="B346" s="5"/>
      <c r="C346" s="6"/>
      <c r="D346" s="3"/>
      <c r="E346" s="3"/>
      <c r="F346" s="3"/>
      <c r="G346" s="3"/>
      <c r="H346" s="3"/>
      <c r="I346" s="7"/>
      <c r="J346" s="3"/>
      <c r="K346" s="3"/>
      <c r="L346" s="3" t="str">
        <f>IFERROR(IF(K346="","",VLOOKUP(K346,TANIMLAMALAR!$A$5:$E$104,3,0)),"")</f>
        <v/>
      </c>
      <c r="M346" s="3" t="str">
        <f>IFERROR(IF(K346="","",VLOOKUP(K346,TANIMLAMALAR!$A$5:$E$104,4,0)),"")</f>
        <v/>
      </c>
      <c r="N346" s="3"/>
      <c r="O346" s="3"/>
      <c r="P346" s="3"/>
      <c r="Q346" s="5"/>
      <c r="R346" s="7"/>
    </row>
    <row r="347" spans="1:18" ht="15" customHeight="1" x14ac:dyDescent="0.3">
      <c r="A347" s="26" t="str">
        <f t="shared" si="5"/>
        <v/>
      </c>
      <c r="B347" s="8"/>
      <c r="C347" s="9"/>
      <c r="D347" s="26"/>
      <c r="E347" s="26"/>
      <c r="F347" s="26"/>
      <c r="G347" s="26"/>
      <c r="H347" s="26"/>
      <c r="I347" s="25"/>
      <c r="J347" s="26"/>
      <c r="K347" s="26"/>
      <c r="L347" s="26" t="str">
        <f>IFERROR(IF(K347="","",VLOOKUP(K347,TANIMLAMALAR!$A$5:$E$104,3,0)),"")</f>
        <v/>
      </c>
      <c r="M347" s="26" t="str">
        <f>IFERROR(IF(K347="","",VLOOKUP(K347,TANIMLAMALAR!$A$5:$E$104,4,0)),"")</f>
        <v/>
      </c>
      <c r="N347" s="26"/>
      <c r="O347" s="26"/>
      <c r="P347" s="26"/>
      <c r="Q347" s="8"/>
      <c r="R347" s="25"/>
    </row>
    <row r="348" spans="1:18" ht="15" customHeight="1" x14ac:dyDescent="0.3">
      <c r="A348" s="3" t="str">
        <f t="shared" si="5"/>
        <v/>
      </c>
      <c r="B348" s="5"/>
      <c r="C348" s="6"/>
      <c r="D348" s="3"/>
      <c r="E348" s="3"/>
      <c r="F348" s="3"/>
      <c r="G348" s="3"/>
      <c r="H348" s="3"/>
      <c r="I348" s="7"/>
      <c r="J348" s="3"/>
      <c r="K348" s="3"/>
      <c r="L348" s="3" t="str">
        <f>IFERROR(IF(K348="","",VLOOKUP(K348,TANIMLAMALAR!$A$5:$E$104,3,0)),"")</f>
        <v/>
      </c>
      <c r="M348" s="3" t="str">
        <f>IFERROR(IF(K348="","",VLOOKUP(K348,TANIMLAMALAR!$A$5:$E$104,4,0)),"")</f>
        <v/>
      </c>
      <c r="N348" s="3"/>
      <c r="O348" s="3"/>
      <c r="P348" s="3"/>
      <c r="Q348" s="5"/>
      <c r="R348" s="7"/>
    </row>
    <row r="349" spans="1:18" ht="15" customHeight="1" x14ac:dyDescent="0.3">
      <c r="A349" s="26" t="str">
        <f t="shared" si="5"/>
        <v/>
      </c>
      <c r="B349" s="8"/>
      <c r="C349" s="9"/>
      <c r="D349" s="26"/>
      <c r="E349" s="26"/>
      <c r="F349" s="26"/>
      <c r="G349" s="26"/>
      <c r="H349" s="26"/>
      <c r="I349" s="25"/>
      <c r="J349" s="26"/>
      <c r="K349" s="26"/>
      <c r="L349" s="26" t="str">
        <f>IFERROR(IF(K349="","",VLOOKUP(K349,TANIMLAMALAR!$A$5:$E$104,3,0)),"")</f>
        <v/>
      </c>
      <c r="M349" s="26" t="str">
        <f>IFERROR(IF(K349="","",VLOOKUP(K349,TANIMLAMALAR!$A$5:$E$104,4,0)),"")</f>
        <v/>
      </c>
      <c r="N349" s="26"/>
      <c r="O349" s="26"/>
      <c r="P349" s="26"/>
      <c r="Q349" s="8"/>
      <c r="R349" s="25"/>
    </row>
    <row r="350" spans="1:18" ht="15" customHeight="1" x14ac:dyDescent="0.3">
      <c r="A350" s="3" t="str">
        <f t="shared" si="5"/>
        <v/>
      </c>
      <c r="B350" s="5"/>
      <c r="C350" s="6"/>
      <c r="D350" s="3"/>
      <c r="E350" s="3"/>
      <c r="F350" s="3"/>
      <c r="G350" s="3"/>
      <c r="H350" s="3"/>
      <c r="I350" s="7"/>
      <c r="J350" s="3"/>
      <c r="K350" s="3"/>
      <c r="L350" s="3" t="str">
        <f>IFERROR(IF(K350="","",VLOOKUP(K350,TANIMLAMALAR!$A$5:$E$104,3,0)),"")</f>
        <v/>
      </c>
      <c r="M350" s="3" t="str">
        <f>IFERROR(IF(K350="","",VLOOKUP(K350,TANIMLAMALAR!$A$5:$E$104,4,0)),"")</f>
        <v/>
      </c>
      <c r="N350" s="3"/>
      <c r="O350" s="3"/>
      <c r="P350" s="3"/>
      <c r="Q350" s="5"/>
      <c r="R350" s="7"/>
    </row>
    <row r="351" spans="1:18" ht="15" customHeight="1" x14ac:dyDescent="0.3">
      <c r="A351" s="26" t="str">
        <f t="shared" si="5"/>
        <v/>
      </c>
      <c r="B351" s="8"/>
      <c r="C351" s="9"/>
      <c r="D351" s="26"/>
      <c r="E351" s="26"/>
      <c r="F351" s="26"/>
      <c r="G351" s="26"/>
      <c r="H351" s="26"/>
      <c r="I351" s="25"/>
      <c r="J351" s="26"/>
      <c r="K351" s="26"/>
      <c r="L351" s="26" t="str">
        <f>IFERROR(IF(K351="","",VLOOKUP(K351,TANIMLAMALAR!$A$5:$E$104,3,0)),"")</f>
        <v/>
      </c>
      <c r="M351" s="26" t="str">
        <f>IFERROR(IF(K351="","",VLOOKUP(K351,TANIMLAMALAR!$A$5:$E$104,4,0)),"")</f>
        <v/>
      </c>
      <c r="N351" s="26"/>
      <c r="O351" s="26"/>
      <c r="P351" s="26"/>
      <c r="Q351" s="8"/>
      <c r="R351" s="25"/>
    </row>
    <row r="352" spans="1:18" ht="15" customHeight="1" x14ac:dyDescent="0.3">
      <c r="A352" s="3" t="str">
        <f t="shared" si="5"/>
        <v/>
      </c>
      <c r="B352" s="5"/>
      <c r="C352" s="6"/>
      <c r="D352" s="3"/>
      <c r="E352" s="3"/>
      <c r="F352" s="3"/>
      <c r="G352" s="3"/>
      <c r="H352" s="3"/>
      <c r="I352" s="7"/>
      <c r="J352" s="3"/>
      <c r="K352" s="3"/>
      <c r="L352" s="3" t="str">
        <f>IFERROR(IF(K352="","",VLOOKUP(K352,TANIMLAMALAR!$A$5:$E$104,3,0)),"")</f>
        <v/>
      </c>
      <c r="M352" s="3" t="str">
        <f>IFERROR(IF(K352="","",VLOOKUP(K352,TANIMLAMALAR!$A$5:$E$104,4,0)),"")</f>
        <v/>
      </c>
      <c r="N352" s="3"/>
      <c r="O352" s="3"/>
      <c r="P352" s="3"/>
      <c r="Q352" s="5"/>
      <c r="R352" s="7"/>
    </row>
    <row r="353" spans="1:18" ht="15" customHeight="1" x14ac:dyDescent="0.3">
      <c r="A353" s="26" t="str">
        <f t="shared" si="5"/>
        <v/>
      </c>
      <c r="B353" s="8"/>
      <c r="C353" s="9"/>
      <c r="D353" s="26"/>
      <c r="E353" s="26"/>
      <c r="F353" s="26"/>
      <c r="G353" s="26"/>
      <c r="H353" s="26"/>
      <c r="I353" s="25"/>
      <c r="J353" s="26"/>
      <c r="K353" s="26"/>
      <c r="L353" s="26" t="str">
        <f>IFERROR(IF(K353="","",VLOOKUP(K353,TANIMLAMALAR!$A$5:$E$104,3,0)),"")</f>
        <v/>
      </c>
      <c r="M353" s="26" t="str">
        <f>IFERROR(IF(K353="","",VLOOKUP(K353,TANIMLAMALAR!$A$5:$E$104,4,0)),"")</f>
        <v/>
      </c>
      <c r="N353" s="26"/>
      <c r="O353" s="26"/>
      <c r="P353" s="26"/>
      <c r="Q353" s="8"/>
      <c r="R353" s="25"/>
    </row>
    <row r="354" spans="1:18" ht="15" customHeight="1" x14ac:dyDescent="0.3">
      <c r="A354" s="3" t="str">
        <f t="shared" si="5"/>
        <v/>
      </c>
      <c r="B354" s="5"/>
      <c r="C354" s="6"/>
      <c r="D354" s="3"/>
      <c r="E354" s="3"/>
      <c r="F354" s="3"/>
      <c r="G354" s="3"/>
      <c r="H354" s="3"/>
      <c r="I354" s="7"/>
      <c r="J354" s="3"/>
      <c r="K354" s="3"/>
      <c r="L354" s="3" t="str">
        <f>IFERROR(IF(K354="","",VLOOKUP(K354,TANIMLAMALAR!$A$5:$E$104,3,0)),"")</f>
        <v/>
      </c>
      <c r="M354" s="3" t="str">
        <f>IFERROR(IF(K354="","",VLOOKUP(K354,TANIMLAMALAR!$A$5:$E$104,4,0)),"")</f>
        <v/>
      </c>
      <c r="N354" s="3"/>
      <c r="O354" s="3"/>
      <c r="P354" s="3"/>
      <c r="Q354" s="5"/>
      <c r="R354" s="7"/>
    </row>
    <row r="355" spans="1:18" ht="15" customHeight="1" x14ac:dyDescent="0.3">
      <c r="A355" s="26" t="str">
        <f t="shared" si="5"/>
        <v/>
      </c>
      <c r="B355" s="8"/>
      <c r="C355" s="9"/>
      <c r="D355" s="26"/>
      <c r="E355" s="26"/>
      <c r="F355" s="26"/>
      <c r="G355" s="26"/>
      <c r="H355" s="26"/>
      <c r="I355" s="25"/>
      <c r="J355" s="26"/>
      <c r="K355" s="26"/>
      <c r="L355" s="26" t="str">
        <f>IFERROR(IF(K355="","",VLOOKUP(K355,TANIMLAMALAR!$A$5:$E$104,3,0)),"")</f>
        <v/>
      </c>
      <c r="M355" s="26" t="str">
        <f>IFERROR(IF(K355="","",VLOOKUP(K355,TANIMLAMALAR!$A$5:$E$104,4,0)),"")</f>
        <v/>
      </c>
      <c r="N355" s="26"/>
      <c r="O355" s="26"/>
      <c r="P355" s="26"/>
      <c r="Q355" s="8"/>
      <c r="R355" s="25"/>
    </row>
    <row r="356" spans="1:18" ht="15" customHeight="1" x14ac:dyDescent="0.3">
      <c r="A356" s="3" t="str">
        <f t="shared" si="5"/>
        <v/>
      </c>
      <c r="B356" s="5"/>
      <c r="C356" s="6"/>
      <c r="D356" s="3"/>
      <c r="E356" s="3"/>
      <c r="F356" s="3"/>
      <c r="G356" s="3"/>
      <c r="H356" s="3"/>
      <c r="I356" s="7"/>
      <c r="J356" s="3"/>
      <c r="K356" s="3"/>
      <c r="L356" s="3" t="str">
        <f>IFERROR(IF(K356="","",VLOOKUP(K356,TANIMLAMALAR!$A$5:$E$104,3,0)),"")</f>
        <v/>
      </c>
      <c r="M356" s="3" t="str">
        <f>IFERROR(IF(K356="","",VLOOKUP(K356,TANIMLAMALAR!$A$5:$E$104,4,0)),"")</f>
        <v/>
      </c>
      <c r="N356" s="3"/>
      <c r="O356" s="3"/>
      <c r="P356" s="3"/>
      <c r="Q356" s="5"/>
      <c r="R356" s="7"/>
    </row>
    <row r="357" spans="1:18" ht="15" customHeight="1" x14ac:dyDescent="0.3">
      <c r="A357" s="26" t="str">
        <f t="shared" si="5"/>
        <v/>
      </c>
      <c r="B357" s="8"/>
      <c r="C357" s="9"/>
      <c r="D357" s="26"/>
      <c r="E357" s="26"/>
      <c r="F357" s="26"/>
      <c r="G357" s="26"/>
      <c r="H357" s="26"/>
      <c r="I357" s="25"/>
      <c r="J357" s="26"/>
      <c r="K357" s="26"/>
      <c r="L357" s="26" t="str">
        <f>IFERROR(IF(K357="","",VLOOKUP(K357,TANIMLAMALAR!$A$5:$E$104,3,0)),"")</f>
        <v/>
      </c>
      <c r="M357" s="26" t="str">
        <f>IFERROR(IF(K357="","",VLOOKUP(K357,TANIMLAMALAR!$A$5:$E$104,4,0)),"")</f>
        <v/>
      </c>
      <c r="N357" s="26"/>
      <c r="O357" s="26"/>
      <c r="P357" s="26"/>
      <c r="Q357" s="8"/>
      <c r="R357" s="25"/>
    </row>
    <row r="358" spans="1:18" ht="15" customHeight="1" x14ac:dyDescent="0.3">
      <c r="A358" s="3" t="str">
        <f t="shared" si="5"/>
        <v/>
      </c>
      <c r="B358" s="5"/>
      <c r="C358" s="6"/>
      <c r="D358" s="3"/>
      <c r="E358" s="3"/>
      <c r="F358" s="3"/>
      <c r="G358" s="3"/>
      <c r="H358" s="3"/>
      <c r="I358" s="7"/>
      <c r="J358" s="3"/>
      <c r="K358" s="3"/>
      <c r="L358" s="3" t="str">
        <f>IFERROR(IF(K358="","",VLOOKUP(K358,TANIMLAMALAR!$A$5:$E$104,3,0)),"")</f>
        <v/>
      </c>
      <c r="M358" s="3" t="str">
        <f>IFERROR(IF(K358="","",VLOOKUP(K358,TANIMLAMALAR!$A$5:$E$104,4,0)),"")</f>
        <v/>
      </c>
      <c r="N358" s="3"/>
      <c r="O358" s="3"/>
      <c r="P358" s="3"/>
      <c r="Q358" s="5"/>
      <c r="R358" s="7"/>
    </row>
    <row r="359" spans="1:18" ht="15" customHeight="1" x14ac:dyDescent="0.3">
      <c r="A359" s="26" t="str">
        <f t="shared" si="5"/>
        <v/>
      </c>
      <c r="B359" s="8"/>
      <c r="C359" s="9"/>
      <c r="D359" s="26"/>
      <c r="E359" s="26"/>
      <c r="F359" s="26"/>
      <c r="G359" s="26"/>
      <c r="H359" s="26"/>
      <c r="I359" s="25"/>
      <c r="J359" s="26"/>
      <c r="K359" s="26"/>
      <c r="L359" s="26" t="str">
        <f>IFERROR(IF(K359="","",VLOOKUP(K359,TANIMLAMALAR!$A$5:$E$104,3,0)),"")</f>
        <v/>
      </c>
      <c r="M359" s="26" t="str">
        <f>IFERROR(IF(K359="","",VLOOKUP(K359,TANIMLAMALAR!$A$5:$E$104,4,0)),"")</f>
        <v/>
      </c>
      <c r="N359" s="26"/>
      <c r="O359" s="26"/>
      <c r="P359" s="26"/>
      <c r="Q359" s="8"/>
      <c r="R359" s="25"/>
    </row>
    <row r="360" spans="1:18" ht="15" customHeight="1" x14ac:dyDescent="0.3">
      <c r="A360" s="3" t="str">
        <f t="shared" si="5"/>
        <v/>
      </c>
      <c r="B360" s="5"/>
      <c r="C360" s="6"/>
      <c r="D360" s="3"/>
      <c r="E360" s="3"/>
      <c r="F360" s="3"/>
      <c r="G360" s="3"/>
      <c r="H360" s="3"/>
      <c r="I360" s="7"/>
      <c r="J360" s="3"/>
      <c r="K360" s="3"/>
      <c r="L360" s="3" t="str">
        <f>IFERROR(IF(K360="","",VLOOKUP(K360,TANIMLAMALAR!$A$5:$E$104,3,0)),"")</f>
        <v/>
      </c>
      <c r="M360" s="3" t="str">
        <f>IFERROR(IF(K360="","",VLOOKUP(K360,TANIMLAMALAR!$A$5:$E$104,4,0)),"")</f>
        <v/>
      </c>
      <c r="N360" s="3"/>
      <c r="O360" s="3"/>
      <c r="P360" s="3"/>
      <c r="Q360" s="5"/>
      <c r="R360" s="7"/>
    </row>
    <row r="361" spans="1:18" ht="15" customHeight="1" x14ac:dyDescent="0.3">
      <c r="A361" s="26" t="str">
        <f t="shared" si="5"/>
        <v/>
      </c>
      <c r="B361" s="8"/>
      <c r="C361" s="9"/>
      <c r="D361" s="26"/>
      <c r="E361" s="26"/>
      <c r="F361" s="26"/>
      <c r="G361" s="26"/>
      <c r="H361" s="26"/>
      <c r="I361" s="25"/>
      <c r="J361" s="26"/>
      <c r="K361" s="26"/>
      <c r="L361" s="26" t="str">
        <f>IFERROR(IF(K361="","",VLOOKUP(K361,TANIMLAMALAR!$A$5:$E$104,3,0)),"")</f>
        <v/>
      </c>
      <c r="M361" s="26" t="str">
        <f>IFERROR(IF(K361="","",VLOOKUP(K361,TANIMLAMALAR!$A$5:$E$104,4,0)),"")</f>
        <v/>
      </c>
      <c r="N361" s="26"/>
      <c r="O361" s="26"/>
      <c r="P361" s="26"/>
      <c r="Q361" s="8"/>
      <c r="R361" s="25"/>
    </row>
    <row r="362" spans="1:18" ht="15" customHeight="1" x14ac:dyDescent="0.3">
      <c r="A362" s="3" t="str">
        <f t="shared" si="5"/>
        <v/>
      </c>
      <c r="B362" s="5"/>
      <c r="C362" s="6"/>
      <c r="D362" s="3"/>
      <c r="E362" s="3"/>
      <c r="F362" s="3"/>
      <c r="G362" s="3"/>
      <c r="H362" s="3"/>
      <c r="I362" s="7"/>
      <c r="J362" s="3"/>
      <c r="K362" s="3"/>
      <c r="L362" s="3" t="str">
        <f>IFERROR(IF(K362="","",VLOOKUP(K362,TANIMLAMALAR!$A$5:$E$104,3,0)),"")</f>
        <v/>
      </c>
      <c r="M362" s="3" t="str">
        <f>IFERROR(IF(K362="","",VLOOKUP(K362,TANIMLAMALAR!$A$5:$E$104,4,0)),"")</f>
        <v/>
      </c>
      <c r="N362" s="3"/>
      <c r="O362" s="3"/>
      <c r="P362" s="3"/>
      <c r="Q362" s="5"/>
      <c r="R362" s="7"/>
    </row>
    <row r="363" spans="1:18" ht="15" customHeight="1" x14ac:dyDescent="0.3">
      <c r="A363" s="26" t="str">
        <f t="shared" si="5"/>
        <v/>
      </c>
      <c r="B363" s="8"/>
      <c r="C363" s="9"/>
      <c r="D363" s="26"/>
      <c r="E363" s="26"/>
      <c r="F363" s="26"/>
      <c r="G363" s="26"/>
      <c r="H363" s="26"/>
      <c r="I363" s="25"/>
      <c r="J363" s="26"/>
      <c r="K363" s="26"/>
      <c r="L363" s="26" t="str">
        <f>IFERROR(IF(K363="","",VLOOKUP(K363,TANIMLAMALAR!$A$5:$E$104,3,0)),"")</f>
        <v/>
      </c>
      <c r="M363" s="26" t="str">
        <f>IFERROR(IF(K363="","",VLOOKUP(K363,TANIMLAMALAR!$A$5:$E$104,4,0)),"")</f>
        <v/>
      </c>
      <c r="N363" s="26"/>
      <c r="O363" s="26"/>
      <c r="P363" s="26"/>
      <c r="Q363" s="8"/>
      <c r="R363" s="25"/>
    </row>
    <row r="364" spans="1:18" ht="15" customHeight="1" x14ac:dyDescent="0.3">
      <c r="A364" s="3" t="str">
        <f t="shared" si="5"/>
        <v/>
      </c>
      <c r="B364" s="5"/>
      <c r="C364" s="6"/>
      <c r="D364" s="3"/>
      <c r="E364" s="3"/>
      <c r="F364" s="3"/>
      <c r="G364" s="3"/>
      <c r="H364" s="3"/>
      <c r="I364" s="7"/>
      <c r="J364" s="3"/>
      <c r="K364" s="3"/>
      <c r="L364" s="3" t="str">
        <f>IFERROR(IF(K364="","",VLOOKUP(K364,TANIMLAMALAR!$A$5:$E$104,3,0)),"")</f>
        <v/>
      </c>
      <c r="M364" s="3" t="str">
        <f>IFERROR(IF(K364="","",VLOOKUP(K364,TANIMLAMALAR!$A$5:$E$104,4,0)),"")</f>
        <v/>
      </c>
      <c r="N364" s="3"/>
      <c r="O364" s="3"/>
      <c r="P364" s="3"/>
      <c r="Q364" s="5"/>
      <c r="R364" s="7"/>
    </row>
    <row r="365" spans="1:18" ht="15" customHeight="1" x14ac:dyDescent="0.3">
      <c r="A365" s="26" t="str">
        <f t="shared" si="5"/>
        <v/>
      </c>
      <c r="B365" s="8"/>
      <c r="C365" s="9"/>
      <c r="D365" s="26"/>
      <c r="E365" s="26"/>
      <c r="F365" s="26"/>
      <c r="G365" s="26"/>
      <c r="H365" s="26"/>
      <c r="I365" s="25"/>
      <c r="J365" s="26"/>
      <c r="K365" s="26"/>
      <c r="L365" s="26" t="str">
        <f>IFERROR(IF(K365="","",VLOOKUP(K365,TANIMLAMALAR!$A$5:$E$104,3,0)),"")</f>
        <v/>
      </c>
      <c r="M365" s="26" t="str">
        <f>IFERROR(IF(K365="","",VLOOKUP(K365,TANIMLAMALAR!$A$5:$E$104,4,0)),"")</f>
        <v/>
      </c>
      <c r="N365" s="26"/>
      <c r="O365" s="26"/>
      <c r="P365" s="26"/>
      <c r="Q365" s="8"/>
      <c r="R365" s="25"/>
    </row>
    <row r="366" spans="1:18" ht="15" customHeight="1" x14ac:dyDescent="0.3">
      <c r="A366" s="3" t="str">
        <f t="shared" si="5"/>
        <v/>
      </c>
      <c r="B366" s="5"/>
      <c r="C366" s="6"/>
      <c r="D366" s="3"/>
      <c r="E366" s="3"/>
      <c r="F366" s="3"/>
      <c r="G366" s="3"/>
      <c r="H366" s="3"/>
      <c r="I366" s="7"/>
      <c r="J366" s="3"/>
      <c r="K366" s="3"/>
      <c r="L366" s="3" t="str">
        <f>IFERROR(IF(K366="","",VLOOKUP(K366,TANIMLAMALAR!$A$5:$E$104,3,0)),"")</f>
        <v/>
      </c>
      <c r="M366" s="3" t="str">
        <f>IFERROR(IF(K366="","",VLOOKUP(K366,TANIMLAMALAR!$A$5:$E$104,4,0)),"")</f>
        <v/>
      </c>
      <c r="N366" s="3"/>
      <c r="O366" s="3"/>
      <c r="P366" s="3"/>
      <c r="Q366" s="5"/>
      <c r="R366" s="7"/>
    </row>
    <row r="367" spans="1:18" ht="15" customHeight="1" x14ac:dyDescent="0.3">
      <c r="A367" s="26" t="str">
        <f t="shared" si="5"/>
        <v/>
      </c>
      <c r="B367" s="8"/>
      <c r="C367" s="9"/>
      <c r="D367" s="26"/>
      <c r="E367" s="26"/>
      <c r="F367" s="26"/>
      <c r="G367" s="26"/>
      <c r="H367" s="26"/>
      <c r="I367" s="25"/>
      <c r="J367" s="26"/>
      <c r="K367" s="26"/>
      <c r="L367" s="26" t="str">
        <f>IFERROR(IF(K367="","",VLOOKUP(K367,TANIMLAMALAR!$A$5:$E$104,3,0)),"")</f>
        <v/>
      </c>
      <c r="M367" s="26" t="str">
        <f>IFERROR(IF(K367="","",VLOOKUP(K367,TANIMLAMALAR!$A$5:$E$104,4,0)),"")</f>
        <v/>
      </c>
      <c r="N367" s="26"/>
      <c r="O367" s="26"/>
      <c r="P367" s="26"/>
      <c r="Q367" s="8"/>
      <c r="R367" s="25"/>
    </row>
    <row r="368" spans="1:18" ht="15" customHeight="1" x14ac:dyDescent="0.3">
      <c r="A368" s="3" t="str">
        <f t="shared" si="5"/>
        <v/>
      </c>
      <c r="B368" s="5"/>
      <c r="C368" s="6"/>
      <c r="D368" s="3"/>
      <c r="E368" s="3"/>
      <c r="F368" s="3"/>
      <c r="G368" s="3"/>
      <c r="H368" s="3"/>
      <c r="I368" s="7"/>
      <c r="J368" s="3"/>
      <c r="K368" s="3"/>
      <c r="L368" s="3" t="str">
        <f>IFERROR(IF(K368="","",VLOOKUP(K368,TANIMLAMALAR!$A$5:$E$104,3,0)),"")</f>
        <v/>
      </c>
      <c r="M368" s="3" t="str">
        <f>IFERROR(IF(K368="","",VLOOKUP(K368,TANIMLAMALAR!$A$5:$E$104,4,0)),"")</f>
        <v/>
      </c>
      <c r="N368" s="3"/>
      <c r="O368" s="3"/>
      <c r="P368" s="3"/>
      <c r="Q368" s="5"/>
      <c r="R368" s="7"/>
    </row>
    <row r="369" spans="1:18" ht="15" customHeight="1" x14ac:dyDescent="0.3">
      <c r="A369" s="26" t="str">
        <f t="shared" si="5"/>
        <v/>
      </c>
      <c r="B369" s="8"/>
      <c r="C369" s="9"/>
      <c r="D369" s="26"/>
      <c r="E369" s="26"/>
      <c r="F369" s="26"/>
      <c r="G369" s="26"/>
      <c r="H369" s="26"/>
      <c r="I369" s="25"/>
      <c r="J369" s="26"/>
      <c r="K369" s="26"/>
      <c r="L369" s="26" t="str">
        <f>IFERROR(IF(K369="","",VLOOKUP(K369,TANIMLAMALAR!$A$5:$E$104,3,0)),"")</f>
        <v/>
      </c>
      <c r="M369" s="26" t="str">
        <f>IFERROR(IF(K369="","",VLOOKUP(K369,TANIMLAMALAR!$A$5:$E$104,4,0)),"")</f>
        <v/>
      </c>
      <c r="N369" s="26"/>
      <c r="O369" s="26"/>
      <c r="P369" s="26"/>
      <c r="Q369" s="8"/>
      <c r="R369" s="25"/>
    </row>
    <row r="370" spans="1:18" ht="15" customHeight="1" x14ac:dyDescent="0.3">
      <c r="A370" s="3" t="str">
        <f t="shared" si="5"/>
        <v/>
      </c>
      <c r="B370" s="5"/>
      <c r="C370" s="6"/>
      <c r="D370" s="3"/>
      <c r="E370" s="3"/>
      <c r="F370" s="3"/>
      <c r="G370" s="3"/>
      <c r="H370" s="3"/>
      <c r="I370" s="7"/>
      <c r="J370" s="3"/>
      <c r="K370" s="3"/>
      <c r="L370" s="3" t="str">
        <f>IFERROR(IF(K370="","",VLOOKUP(K370,TANIMLAMALAR!$A$5:$E$104,3,0)),"")</f>
        <v/>
      </c>
      <c r="M370" s="3" t="str">
        <f>IFERROR(IF(K370="","",VLOOKUP(K370,TANIMLAMALAR!$A$5:$E$104,4,0)),"")</f>
        <v/>
      </c>
      <c r="N370" s="3"/>
      <c r="O370" s="3"/>
      <c r="P370" s="3"/>
      <c r="Q370" s="5"/>
      <c r="R370" s="7"/>
    </row>
    <row r="371" spans="1:18" ht="15" customHeight="1" x14ac:dyDescent="0.3">
      <c r="A371" s="26" t="str">
        <f t="shared" si="5"/>
        <v/>
      </c>
      <c r="B371" s="8"/>
      <c r="C371" s="9"/>
      <c r="D371" s="26"/>
      <c r="E371" s="26"/>
      <c r="F371" s="26"/>
      <c r="G371" s="26"/>
      <c r="H371" s="26"/>
      <c r="I371" s="25"/>
      <c r="J371" s="26"/>
      <c r="K371" s="26"/>
      <c r="L371" s="26" t="str">
        <f>IFERROR(IF(K371="","",VLOOKUP(K371,TANIMLAMALAR!$A$5:$E$104,3,0)),"")</f>
        <v/>
      </c>
      <c r="M371" s="26" t="str">
        <f>IFERROR(IF(K371="","",VLOOKUP(K371,TANIMLAMALAR!$A$5:$E$104,4,0)),"")</f>
        <v/>
      </c>
      <c r="N371" s="26"/>
      <c r="O371" s="26"/>
      <c r="P371" s="26"/>
      <c r="Q371" s="8"/>
      <c r="R371" s="25"/>
    </row>
    <row r="372" spans="1:18" ht="15" customHeight="1" x14ac:dyDescent="0.3">
      <c r="A372" s="3" t="str">
        <f t="shared" si="5"/>
        <v/>
      </c>
      <c r="B372" s="5"/>
      <c r="C372" s="6"/>
      <c r="D372" s="3"/>
      <c r="E372" s="3"/>
      <c r="F372" s="3"/>
      <c r="G372" s="3"/>
      <c r="H372" s="3"/>
      <c r="I372" s="7"/>
      <c r="J372" s="3"/>
      <c r="K372" s="3"/>
      <c r="L372" s="3" t="str">
        <f>IFERROR(IF(K372="","",VLOOKUP(K372,TANIMLAMALAR!$A$5:$E$104,3,0)),"")</f>
        <v/>
      </c>
      <c r="M372" s="3" t="str">
        <f>IFERROR(IF(K372="","",VLOOKUP(K372,TANIMLAMALAR!$A$5:$E$104,4,0)),"")</f>
        <v/>
      </c>
      <c r="N372" s="3"/>
      <c r="O372" s="3"/>
      <c r="P372" s="3"/>
      <c r="Q372" s="5"/>
      <c r="R372" s="7"/>
    </row>
    <row r="373" spans="1:18" ht="15" customHeight="1" x14ac:dyDescent="0.3">
      <c r="A373" s="26" t="str">
        <f t="shared" si="5"/>
        <v/>
      </c>
      <c r="B373" s="8"/>
      <c r="C373" s="9"/>
      <c r="D373" s="26"/>
      <c r="E373" s="26"/>
      <c r="F373" s="26"/>
      <c r="G373" s="26"/>
      <c r="H373" s="26"/>
      <c r="I373" s="25"/>
      <c r="J373" s="26"/>
      <c r="K373" s="26"/>
      <c r="L373" s="26" t="str">
        <f>IFERROR(IF(K373="","",VLOOKUP(K373,TANIMLAMALAR!$A$5:$E$104,3,0)),"")</f>
        <v/>
      </c>
      <c r="M373" s="26" t="str">
        <f>IFERROR(IF(K373="","",VLOOKUP(K373,TANIMLAMALAR!$A$5:$E$104,4,0)),"")</f>
        <v/>
      </c>
      <c r="N373" s="26"/>
      <c r="O373" s="26"/>
      <c r="P373" s="26"/>
      <c r="Q373" s="8"/>
      <c r="R373" s="25"/>
    </row>
    <row r="374" spans="1:18" ht="15" customHeight="1" x14ac:dyDescent="0.3">
      <c r="A374" s="3" t="str">
        <f t="shared" si="5"/>
        <v/>
      </c>
      <c r="B374" s="5"/>
      <c r="C374" s="6"/>
      <c r="D374" s="3"/>
      <c r="E374" s="3"/>
      <c r="F374" s="3"/>
      <c r="G374" s="3"/>
      <c r="H374" s="3"/>
      <c r="I374" s="7"/>
      <c r="J374" s="3"/>
      <c r="K374" s="3"/>
      <c r="L374" s="3" t="str">
        <f>IFERROR(IF(K374="","",VLOOKUP(K374,TANIMLAMALAR!$A$5:$E$104,3,0)),"")</f>
        <v/>
      </c>
      <c r="M374" s="3" t="str">
        <f>IFERROR(IF(K374="","",VLOOKUP(K374,TANIMLAMALAR!$A$5:$E$104,4,0)),"")</f>
        <v/>
      </c>
      <c r="N374" s="3"/>
      <c r="O374" s="3"/>
      <c r="P374" s="3"/>
      <c r="Q374" s="5"/>
      <c r="R374" s="7"/>
    </row>
    <row r="375" spans="1:18" ht="15" customHeight="1" x14ac:dyDescent="0.3">
      <c r="A375" s="26" t="str">
        <f t="shared" si="5"/>
        <v/>
      </c>
      <c r="B375" s="8"/>
      <c r="C375" s="9"/>
      <c r="D375" s="26"/>
      <c r="E375" s="26"/>
      <c r="F375" s="26"/>
      <c r="G375" s="26"/>
      <c r="H375" s="26"/>
      <c r="I375" s="25"/>
      <c r="J375" s="26"/>
      <c r="K375" s="26"/>
      <c r="L375" s="26" t="str">
        <f>IFERROR(IF(K375="","",VLOOKUP(K375,TANIMLAMALAR!$A$5:$E$104,3,0)),"")</f>
        <v/>
      </c>
      <c r="M375" s="26" t="str">
        <f>IFERROR(IF(K375="","",VLOOKUP(K375,TANIMLAMALAR!$A$5:$E$104,4,0)),"")</f>
        <v/>
      </c>
      <c r="N375" s="26"/>
      <c r="O375" s="26"/>
      <c r="P375" s="26"/>
      <c r="Q375" s="8"/>
      <c r="R375" s="25"/>
    </row>
    <row r="376" spans="1:18" ht="15" customHeight="1" x14ac:dyDescent="0.3">
      <c r="A376" s="3" t="str">
        <f t="shared" si="5"/>
        <v/>
      </c>
      <c r="B376" s="5"/>
      <c r="C376" s="6"/>
      <c r="D376" s="3"/>
      <c r="E376" s="3"/>
      <c r="F376" s="3"/>
      <c r="G376" s="3"/>
      <c r="H376" s="3"/>
      <c r="I376" s="7"/>
      <c r="J376" s="3"/>
      <c r="K376" s="3"/>
      <c r="L376" s="3" t="str">
        <f>IFERROR(IF(K376="","",VLOOKUP(K376,TANIMLAMALAR!$A$5:$E$104,3,0)),"")</f>
        <v/>
      </c>
      <c r="M376" s="3" t="str">
        <f>IFERROR(IF(K376="","",VLOOKUP(K376,TANIMLAMALAR!$A$5:$E$104,4,0)),"")</f>
        <v/>
      </c>
      <c r="N376" s="3"/>
      <c r="O376" s="3"/>
      <c r="P376" s="3"/>
      <c r="Q376" s="5"/>
      <c r="R376" s="7"/>
    </row>
    <row r="377" spans="1:18" ht="15" customHeight="1" x14ac:dyDescent="0.3">
      <c r="A377" s="26" t="str">
        <f t="shared" si="5"/>
        <v/>
      </c>
      <c r="B377" s="8"/>
      <c r="C377" s="9"/>
      <c r="D377" s="26"/>
      <c r="E377" s="26"/>
      <c r="F377" s="26"/>
      <c r="G377" s="26"/>
      <c r="H377" s="26"/>
      <c r="I377" s="25"/>
      <c r="J377" s="26"/>
      <c r="K377" s="26"/>
      <c r="L377" s="26" t="str">
        <f>IFERROR(IF(K377="","",VLOOKUP(K377,TANIMLAMALAR!$A$5:$E$104,3,0)),"")</f>
        <v/>
      </c>
      <c r="M377" s="26" t="str">
        <f>IFERROR(IF(K377="","",VLOOKUP(K377,TANIMLAMALAR!$A$5:$E$104,4,0)),"")</f>
        <v/>
      </c>
      <c r="N377" s="26"/>
      <c r="O377" s="26"/>
      <c r="P377" s="26"/>
      <c r="Q377" s="8"/>
      <c r="R377" s="25"/>
    </row>
    <row r="378" spans="1:18" ht="15" customHeight="1" x14ac:dyDescent="0.3">
      <c r="A378" s="3" t="str">
        <f t="shared" si="5"/>
        <v/>
      </c>
      <c r="B378" s="5"/>
      <c r="C378" s="6"/>
      <c r="D378" s="3"/>
      <c r="E378" s="3"/>
      <c r="F378" s="3"/>
      <c r="G378" s="3"/>
      <c r="H378" s="3"/>
      <c r="I378" s="7"/>
      <c r="J378" s="3"/>
      <c r="K378" s="3"/>
      <c r="L378" s="3" t="str">
        <f>IFERROR(IF(K378="","",VLOOKUP(K378,TANIMLAMALAR!$A$5:$E$104,3,0)),"")</f>
        <v/>
      </c>
      <c r="M378" s="3" t="str">
        <f>IFERROR(IF(K378="","",VLOOKUP(K378,TANIMLAMALAR!$A$5:$E$104,4,0)),"")</f>
        <v/>
      </c>
      <c r="N378" s="3"/>
      <c r="O378" s="3"/>
      <c r="P378" s="3"/>
      <c r="Q378" s="5"/>
      <c r="R378" s="7"/>
    </row>
    <row r="379" spans="1:18" ht="15" customHeight="1" x14ac:dyDescent="0.3">
      <c r="A379" s="26" t="str">
        <f t="shared" si="5"/>
        <v/>
      </c>
      <c r="B379" s="8"/>
      <c r="C379" s="9"/>
      <c r="D379" s="26"/>
      <c r="E379" s="26"/>
      <c r="F379" s="26"/>
      <c r="G379" s="26"/>
      <c r="H379" s="26"/>
      <c r="I379" s="25"/>
      <c r="J379" s="26"/>
      <c r="K379" s="26"/>
      <c r="L379" s="26" t="str">
        <f>IFERROR(IF(K379="","",VLOOKUP(K379,TANIMLAMALAR!$A$5:$E$104,3,0)),"")</f>
        <v/>
      </c>
      <c r="M379" s="26" t="str">
        <f>IFERROR(IF(K379="","",VLOOKUP(K379,TANIMLAMALAR!$A$5:$E$104,4,0)),"")</f>
        <v/>
      </c>
      <c r="N379" s="26"/>
      <c r="O379" s="26"/>
      <c r="P379" s="26"/>
      <c r="Q379" s="8"/>
      <c r="R379" s="25"/>
    </row>
    <row r="380" spans="1:18" ht="15" customHeight="1" x14ac:dyDescent="0.3">
      <c r="A380" s="3" t="str">
        <f t="shared" si="5"/>
        <v/>
      </c>
      <c r="B380" s="5"/>
      <c r="C380" s="6"/>
      <c r="D380" s="3"/>
      <c r="E380" s="3"/>
      <c r="F380" s="3"/>
      <c r="G380" s="3"/>
      <c r="H380" s="3"/>
      <c r="I380" s="7"/>
      <c r="J380" s="3"/>
      <c r="K380" s="3"/>
      <c r="L380" s="3" t="str">
        <f>IFERROR(IF(K380="","",VLOOKUP(K380,TANIMLAMALAR!$A$5:$E$104,3,0)),"")</f>
        <v/>
      </c>
      <c r="M380" s="3" t="str">
        <f>IFERROR(IF(K380="","",VLOOKUP(K380,TANIMLAMALAR!$A$5:$E$104,4,0)),"")</f>
        <v/>
      </c>
      <c r="N380" s="3"/>
      <c r="O380" s="3"/>
      <c r="P380" s="3"/>
      <c r="Q380" s="5"/>
      <c r="R380" s="7"/>
    </row>
    <row r="381" spans="1:18" ht="15" customHeight="1" x14ac:dyDescent="0.3">
      <c r="A381" s="26" t="str">
        <f t="shared" si="5"/>
        <v/>
      </c>
      <c r="B381" s="8"/>
      <c r="C381" s="9"/>
      <c r="D381" s="26"/>
      <c r="E381" s="26"/>
      <c r="F381" s="26"/>
      <c r="G381" s="26"/>
      <c r="H381" s="26"/>
      <c r="I381" s="25"/>
      <c r="J381" s="26"/>
      <c r="K381" s="26"/>
      <c r="L381" s="26" t="str">
        <f>IFERROR(IF(K381="","",VLOOKUP(K381,TANIMLAMALAR!$A$5:$E$104,3,0)),"")</f>
        <v/>
      </c>
      <c r="M381" s="26" t="str">
        <f>IFERROR(IF(K381="","",VLOOKUP(K381,TANIMLAMALAR!$A$5:$E$104,4,0)),"")</f>
        <v/>
      </c>
      <c r="N381" s="26"/>
      <c r="O381" s="26"/>
      <c r="P381" s="26"/>
      <c r="Q381" s="8"/>
      <c r="R381" s="25"/>
    </row>
    <row r="382" spans="1:18" ht="15" customHeight="1" x14ac:dyDescent="0.3">
      <c r="A382" s="3" t="str">
        <f t="shared" si="5"/>
        <v/>
      </c>
      <c r="B382" s="5"/>
      <c r="C382" s="6"/>
      <c r="D382" s="3"/>
      <c r="E382" s="3"/>
      <c r="F382" s="3"/>
      <c r="G382" s="3"/>
      <c r="H382" s="3"/>
      <c r="I382" s="7"/>
      <c r="J382" s="3"/>
      <c r="K382" s="3"/>
      <c r="L382" s="3" t="str">
        <f>IFERROR(IF(K382="","",VLOOKUP(K382,TANIMLAMALAR!$A$5:$E$104,3,0)),"")</f>
        <v/>
      </c>
      <c r="M382" s="3" t="str">
        <f>IFERROR(IF(K382="","",VLOOKUP(K382,TANIMLAMALAR!$A$5:$E$104,4,0)),"")</f>
        <v/>
      </c>
      <c r="N382" s="3"/>
      <c r="O382" s="3"/>
      <c r="P382" s="3"/>
      <c r="Q382" s="5"/>
      <c r="R382" s="7"/>
    </row>
    <row r="383" spans="1:18" ht="15" customHeight="1" x14ac:dyDescent="0.3">
      <c r="A383" s="26" t="str">
        <f t="shared" si="5"/>
        <v/>
      </c>
      <c r="B383" s="8"/>
      <c r="C383" s="9"/>
      <c r="D383" s="26"/>
      <c r="E383" s="26"/>
      <c r="F383" s="26"/>
      <c r="G383" s="26"/>
      <c r="H383" s="26"/>
      <c r="I383" s="25"/>
      <c r="J383" s="26"/>
      <c r="K383" s="26"/>
      <c r="L383" s="26" t="str">
        <f>IFERROR(IF(K383="","",VLOOKUP(K383,TANIMLAMALAR!$A$5:$E$104,3,0)),"")</f>
        <v/>
      </c>
      <c r="M383" s="26" t="str">
        <f>IFERROR(IF(K383="","",VLOOKUP(K383,TANIMLAMALAR!$A$5:$E$104,4,0)),"")</f>
        <v/>
      </c>
      <c r="N383" s="26"/>
      <c r="O383" s="26"/>
      <c r="P383" s="26"/>
      <c r="Q383" s="8"/>
      <c r="R383" s="25"/>
    </row>
    <row r="384" spans="1:18" ht="15" customHeight="1" x14ac:dyDescent="0.3">
      <c r="A384" s="3" t="str">
        <f t="shared" si="5"/>
        <v/>
      </c>
      <c r="B384" s="5"/>
      <c r="C384" s="6"/>
      <c r="D384" s="3"/>
      <c r="E384" s="3"/>
      <c r="F384" s="3"/>
      <c r="G384" s="3"/>
      <c r="H384" s="3"/>
      <c r="I384" s="7"/>
      <c r="J384" s="3"/>
      <c r="K384" s="3"/>
      <c r="L384" s="3" t="str">
        <f>IFERROR(IF(K384="","",VLOOKUP(K384,TANIMLAMALAR!$A$5:$E$104,3,0)),"")</f>
        <v/>
      </c>
      <c r="M384" s="3" t="str">
        <f>IFERROR(IF(K384="","",VLOOKUP(K384,TANIMLAMALAR!$A$5:$E$104,4,0)),"")</f>
        <v/>
      </c>
      <c r="N384" s="3"/>
      <c r="O384" s="3"/>
      <c r="P384" s="3"/>
      <c r="Q384" s="5"/>
      <c r="R384" s="7"/>
    </row>
    <row r="385" spans="1:18" ht="15" customHeight="1" x14ac:dyDescent="0.3">
      <c r="A385" s="26" t="str">
        <f t="shared" si="5"/>
        <v/>
      </c>
      <c r="B385" s="8"/>
      <c r="C385" s="9"/>
      <c r="D385" s="26"/>
      <c r="E385" s="26"/>
      <c r="F385" s="26"/>
      <c r="G385" s="26"/>
      <c r="H385" s="26"/>
      <c r="I385" s="25"/>
      <c r="J385" s="26"/>
      <c r="K385" s="26"/>
      <c r="L385" s="26" t="str">
        <f>IFERROR(IF(K385="","",VLOOKUP(K385,TANIMLAMALAR!$A$5:$E$104,3,0)),"")</f>
        <v/>
      </c>
      <c r="M385" s="26" t="str">
        <f>IFERROR(IF(K385="","",VLOOKUP(K385,TANIMLAMALAR!$A$5:$E$104,4,0)),"")</f>
        <v/>
      </c>
      <c r="N385" s="26"/>
      <c r="O385" s="26"/>
      <c r="P385" s="26"/>
      <c r="Q385" s="8"/>
      <c r="R385" s="25"/>
    </row>
    <row r="386" spans="1:18" ht="15" customHeight="1" x14ac:dyDescent="0.3">
      <c r="A386" s="3" t="str">
        <f t="shared" si="5"/>
        <v/>
      </c>
      <c r="B386" s="5"/>
      <c r="C386" s="6"/>
      <c r="D386" s="3"/>
      <c r="E386" s="3"/>
      <c r="F386" s="3"/>
      <c r="G386" s="3"/>
      <c r="H386" s="3"/>
      <c r="I386" s="7"/>
      <c r="J386" s="3"/>
      <c r="K386" s="3"/>
      <c r="L386" s="3" t="str">
        <f>IFERROR(IF(K386="","",VLOOKUP(K386,TANIMLAMALAR!$A$5:$E$104,3,0)),"")</f>
        <v/>
      </c>
      <c r="M386" s="3" t="str">
        <f>IFERROR(IF(K386="","",VLOOKUP(K386,TANIMLAMALAR!$A$5:$E$104,4,0)),"")</f>
        <v/>
      </c>
      <c r="N386" s="3"/>
      <c r="O386" s="3"/>
      <c r="P386" s="3"/>
      <c r="Q386" s="5"/>
      <c r="R386" s="7"/>
    </row>
    <row r="387" spans="1:18" ht="15" customHeight="1" x14ac:dyDescent="0.3">
      <c r="A387" s="26" t="str">
        <f t="shared" si="5"/>
        <v/>
      </c>
      <c r="B387" s="8"/>
      <c r="C387" s="9"/>
      <c r="D387" s="26"/>
      <c r="E387" s="26"/>
      <c r="F387" s="26"/>
      <c r="G387" s="26"/>
      <c r="H387" s="26"/>
      <c r="I387" s="25"/>
      <c r="J387" s="26"/>
      <c r="K387" s="26"/>
      <c r="L387" s="26" t="str">
        <f>IFERROR(IF(K387="","",VLOOKUP(K387,TANIMLAMALAR!$A$5:$E$104,3,0)),"")</f>
        <v/>
      </c>
      <c r="M387" s="26" t="str">
        <f>IFERROR(IF(K387="","",VLOOKUP(K387,TANIMLAMALAR!$A$5:$E$104,4,0)),"")</f>
        <v/>
      </c>
      <c r="N387" s="26"/>
      <c r="O387" s="26"/>
      <c r="P387" s="26"/>
      <c r="Q387" s="8"/>
      <c r="R387" s="25"/>
    </row>
    <row r="388" spans="1:18" ht="15" customHeight="1" x14ac:dyDescent="0.3">
      <c r="A388" s="3" t="str">
        <f t="shared" ref="A388:A451" si="6">IF(D388&lt;&gt;"","ŞKY-"&amp;TEXT(ROW()-3,"0000"),"")</f>
        <v/>
      </c>
      <c r="B388" s="5"/>
      <c r="C388" s="6"/>
      <c r="D388" s="3"/>
      <c r="E388" s="3"/>
      <c r="F388" s="3"/>
      <c r="G388" s="3"/>
      <c r="H388" s="3"/>
      <c r="I388" s="7"/>
      <c r="J388" s="3"/>
      <c r="K388" s="3"/>
      <c r="L388" s="3" t="str">
        <f>IFERROR(IF(K388="","",VLOOKUP(K388,TANIMLAMALAR!$A$5:$E$104,3,0)),"")</f>
        <v/>
      </c>
      <c r="M388" s="3" t="str">
        <f>IFERROR(IF(K388="","",VLOOKUP(K388,TANIMLAMALAR!$A$5:$E$104,4,0)),"")</f>
        <v/>
      </c>
      <c r="N388" s="3"/>
      <c r="O388" s="3"/>
      <c r="P388" s="3"/>
      <c r="Q388" s="5"/>
      <c r="R388" s="7"/>
    </row>
    <row r="389" spans="1:18" ht="15" customHeight="1" x14ac:dyDescent="0.3">
      <c r="A389" s="26" t="str">
        <f t="shared" si="6"/>
        <v/>
      </c>
      <c r="B389" s="8"/>
      <c r="C389" s="9"/>
      <c r="D389" s="26"/>
      <c r="E389" s="26"/>
      <c r="F389" s="26"/>
      <c r="G389" s="26"/>
      <c r="H389" s="26"/>
      <c r="I389" s="25"/>
      <c r="J389" s="26"/>
      <c r="K389" s="26"/>
      <c r="L389" s="26" t="str">
        <f>IFERROR(IF(K389="","",VLOOKUP(K389,TANIMLAMALAR!$A$5:$E$104,3,0)),"")</f>
        <v/>
      </c>
      <c r="M389" s="26" t="str">
        <f>IFERROR(IF(K389="","",VLOOKUP(K389,TANIMLAMALAR!$A$5:$E$104,4,0)),"")</f>
        <v/>
      </c>
      <c r="N389" s="26"/>
      <c r="O389" s="26"/>
      <c r="P389" s="26"/>
      <c r="Q389" s="8"/>
      <c r="R389" s="25"/>
    </row>
    <row r="390" spans="1:18" ht="15" customHeight="1" x14ac:dyDescent="0.3">
      <c r="A390" s="3" t="str">
        <f t="shared" si="6"/>
        <v/>
      </c>
      <c r="B390" s="5"/>
      <c r="C390" s="6"/>
      <c r="D390" s="3"/>
      <c r="E390" s="3"/>
      <c r="F390" s="3"/>
      <c r="G390" s="3"/>
      <c r="H390" s="3"/>
      <c r="I390" s="7"/>
      <c r="J390" s="3"/>
      <c r="K390" s="3"/>
      <c r="L390" s="3" t="str">
        <f>IFERROR(IF(K390="","",VLOOKUP(K390,TANIMLAMALAR!$A$5:$E$104,3,0)),"")</f>
        <v/>
      </c>
      <c r="M390" s="3" t="str">
        <f>IFERROR(IF(K390="","",VLOOKUP(K390,TANIMLAMALAR!$A$5:$E$104,4,0)),"")</f>
        <v/>
      </c>
      <c r="N390" s="3"/>
      <c r="O390" s="3"/>
      <c r="P390" s="3"/>
      <c r="Q390" s="5"/>
      <c r="R390" s="7"/>
    </row>
    <row r="391" spans="1:18" ht="15" customHeight="1" x14ac:dyDescent="0.3">
      <c r="A391" s="26" t="str">
        <f t="shared" si="6"/>
        <v/>
      </c>
      <c r="B391" s="8"/>
      <c r="C391" s="9"/>
      <c r="D391" s="26"/>
      <c r="E391" s="26"/>
      <c r="F391" s="26"/>
      <c r="G391" s="26"/>
      <c r="H391" s="26"/>
      <c r="I391" s="25"/>
      <c r="J391" s="26"/>
      <c r="K391" s="26"/>
      <c r="L391" s="26" t="str">
        <f>IFERROR(IF(K391="","",VLOOKUP(K391,TANIMLAMALAR!$A$5:$E$104,3,0)),"")</f>
        <v/>
      </c>
      <c r="M391" s="26" t="str">
        <f>IFERROR(IF(K391="","",VLOOKUP(K391,TANIMLAMALAR!$A$5:$E$104,4,0)),"")</f>
        <v/>
      </c>
      <c r="N391" s="26"/>
      <c r="O391" s="26"/>
      <c r="P391" s="26"/>
      <c r="Q391" s="8"/>
      <c r="R391" s="25"/>
    </row>
    <row r="392" spans="1:18" ht="15" customHeight="1" x14ac:dyDescent="0.3">
      <c r="A392" s="3" t="str">
        <f t="shared" si="6"/>
        <v/>
      </c>
      <c r="B392" s="5"/>
      <c r="C392" s="6"/>
      <c r="D392" s="3"/>
      <c r="E392" s="3"/>
      <c r="F392" s="3"/>
      <c r="G392" s="3"/>
      <c r="H392" s="3"/>
      <c r="I392" s="7"/>
      <c r="J392" s="3"/>
      <c r="K392" s="3"/>
      <c r="L392" s="3" t="str">
        <f>IFERROR(IF(K392="","",VLOOKUP(K392,TANIMLAMALAR!$A$5:$E$104,3,0)),"")</f>
        <v/>
      </c>
      <c r="M392" s="3" t="str">
        <f>IFERROR(IF(K392="","",VLOOKUP(K392,TANIMLAMALAR!$A$5:$E$104,4,0)),"")</f>
        <v/>
      </c>
      <c r="N392" s="3"/>
      <c r="O392" s="3"/>
      <c r="P392" s="3"/>
      <c r="Q392" s="5"/>
      <c r="R392" s="7"/>
    </row>
    <row r="393" spans="1:18" ht="15" customHeight="1" x14ac:dyDescent="0.3">
      <c r="A393" s="26" t="str">
        <f t="shared" si="6"/>
        <v/>
      </c>
      <c r="B393" s="8"/>
      <c r="C393" s="9"/>
      <c r="D393" s="26"/>
      <c r="E393" s="26"/>
      <c r="F393" s="26"/>
      <c r="G393" s="26"/>
      <c r="H393" s="26"/>
      <c r="I393" s="25"/>
      <c r="J393" s="26"/>
      <c r="K393" s="26"/>
      <c r="L393" s="26" t="str">
        <f>IFERROR(IF(K393="","",VLOOKUP(K393,TANIMLAMALAR!$A$5:$E$104,3,0)),"")</f>
        <v/>
      </c>
      <c r="M393" s="26" t="str">
        <f>IFERROR(IF(K393="","",VLOOKUP(K393,TANIMLAMALAR!$A$5:$E$104,4,0)),"")</f>
        <v/>
      </c>
      <c r="N393" s="26"/>
      <c r="O393" s="26"/>
      <c r="P393" s="26"/>
      <c r="Q393" s="8"/>
      <c r="R393" s="25"/>
    </row>
    <row r="394" spans="1:18" ht="15" customHeight="1" x14ac:dyDescent="0.3">
      <c r="A394" s="3" t="str">
        <f t="shared" si="6"/>
        <v/>
      </c>
      <c r="B394" s="5"/>
      <c r="C394" s="6"/>
      <c r="D394" s="3"/>
      <c r="E394" s="3"/>
      <c r="F394" s="3"/>
      <c r="G394" s="3"/>
      <c r="H394" s="3"/>
      <c r="I394" s="7"/>
      <c r="J394" s="3"/>
      <c r="K394" s="3"/>
      <c r="L394" s="3" t="str">
        <f>IFERROR(IF(K394="","",VLOOKUP(K394,TANIMLAMALAR!$A$5:$E$104,3,0)),"")</f>
        <v/>
      </c>
      <c r="M394" s="3" t="str">
        <f>IFERROR(IF(K394="","",VLOOKUP(K394,TANIMLAMALAR!$A$5:$E$104,4,0)),"")</f>
        <v/>
      </c>
      <c r="N394" s="3"/>
      <c r="O394" s="3"/>
      <c r="P394" s="3"/>
      <c r="Q394" s="5"/>
      <c r="R394" s="7"/>
    </row>
    <row r="395" spans="1:18" ht="15" customHeight="1" x14ac:dyDescent="0.3">
      <c r="A395" s="26" t="str">
        <f t="shared" si="6"/>
        <v/>
      </c>
      <c r="B395" s="8"/>
      <c r="C395" s="9"/>
      <c r="D395" s="26"/>
      <c r="E395" s="26"/>
      <c r="F395" s="26"/>
      <c r="G395" s="26"/>
      <c r="H395" s="26"/>
      <c r="I395" s="25"/>
      <c r="J395" s="26"/>
      <c r="K395" s="26"/>
      <c r="L395" s="26" t="str">
        <f>IFERROR(IF(K395="","",VLOOKUP(K395,TANIMLAMALAR!$A$5:$E$104,3,0)),"")</f>
        <v/>
      </c>
      <c r="M395" s="26" t="str">
        <f>IFERROR(IF(K395="","",VLOOKUP(K395,TANIMLAMALAR!$A$5:$E$104,4,0)),"")</f>
        <v/>
      </c>
      <c r="N395" s="26"/>
      <c r="O395" s="26"/>
      <c r="P395" s="26"/>
      <c r="Q395" s="8"/>
      <c r="R395" s="25"/>
    </row>
    <row r="396" spans="1:18" ht="15" customHeight="1" x14ac:dyDescent="0.3">
      <c r="A396" s="3" t="str">
        <f t="shared" si="6"/>
        <v/>
      </c>
      <c r="B396" s="5"/>
      <c r="C396" s="6"/>
      <c r="D396" s="3"/>
      <c r="E396" s="3"/>
      <c r="F396" s="3"/>
      <c r="G396" s="3"/>
      <c r="H396" s="3"/>
      <c r="I396" s="7"/>
      <c r="J396" s="3"/>
      <c r="K396" s="3"/>
      <c r="L396" s="3" t="str">
        <f>IFERROR(IF(K396="","",VLOOKUP(K396,TANIMLAMALAR!$A$5:$E$104,3,0)),"")</f>
        <v/>
      </c>
      <c r="M396" s="3" t="str">
        <f>IFERROR(IF(K396="","",VLOOKUP(K396,TANIMLAMALAR!$A$5:$E$104,4,0)),"")</f>
        <v/>
      </c>
      <c r="N396" s="3"/>
      <c r="O396" s="3"/>
      <c r="P396" s="3"/>
      <c r="Q396" s="5"/>
      <c r="R396" s="7"/>
    </row>
    <row r="397" spans="1:18" ht="15" customHeight="1" x14ac:dyDescent="0.3">
      <c r="A397" s="26" t="str">
        <f t="shared" si="6"/>
        <v/>
      </c>
      <c r="B397" s="8"/>
      <c r="C397" s="9"/>
      <c r="D397" s="26"/>
      <c r="E397" s="26"/>
      <c r="F397" s="26"/>
      <c r="G397" s="26"/>
      <c r="H397" s="26"/>
      <c r="I397" s="25"/>
      <c r="J397" s="26"/>
      <c r="K397" s="26"/>
      <c r="L397" s="26" t="str">
        <f>IFERROR(IF(K397="","",VLOOKUP(K397,TANIMLAMALAR!$A$5:$E$104,3,0)),"")</f>
        <v/>
      </c>
      <c r="M397" s="26" t="str">
        <f>IFERROR(IF(K397="","",VLOOKUP(K397,TANIMLAMALAR!$A$5:$E$104,4,0)),"")</f>
        <v/>
      </c>
      <c r="N397" s="26"/>
      <c r="O397" s="26"/>
      <c r="P397" s="26"/>
      <c r="Q397" s="8"/>
      <c r="R397" s="25"/>
    </row>
    <row r="398" spans="1:18" ht="15" customHeight="1" x14ac:dyDescent="0.3">
      <c r="A398" s="3" t="str">
        <f t="shared" si="6"/>
        <v/>
      </c>
      <c r="B398" s="5"/>
      <c r="C398" s="6"/>
      <c r="D398" s="3"/>
      <c r="E398" s="3"/>
      <c r="F398" s="3"/>
      <c r="G398" s="3"/>
      <c r="H398" s="3"/>
      <c r="I398" s="7"/>
      <c r="J398" s="3"/>
      <c r="K398" s="3"/>
      <c r="L398" s="3" t="str">
        <f>IFERROR(IF(K398="","",VLOOKUP(K398,TANIMLAMALAR!$A$5:$E$104,3,0)),"")</f>
        <v/>
      </c>
      <c r="M398" s="3" t="str">
        <f>IFERROR(IF(K398="","",VLOOKUP(K398,TANIMLAMALAR!$A$5:$E$104,4,0)),"")</f>
        <v/>
      </c>
      <c r="N398" s="3"/>
      <c r="O398" s="3"/>
      <c r="P398" s="3"/>
      <c r="Q398" s="5"/>
      <c r="R398" s="7"/>
    </row>
    <row r="399" spans="1:18" ht="15" customHeight="1" x14ac:dyDescent="0.3">
      <c r="A399" s="26" t="str">
        <f t="shared" si="6"/>
        <v/>
      </c>
      <c r="B399" s="8"/>
      <c r="C399" s="9"/>
      <c r="D399" s="26"/>
      <c r="E399" s="26"/>
      <c r="F399" s="26"/>
      <c r="G399" s="26"/>
      <c r="H399" s="26"/>
      <c r="I399" s="25"/>
      <c r="J399" s="26"/>
      <c r="K399" s="26"/>
      <c r="L399" s="26" t="str">
        <f>IFERROR(IF(K399="","",VLOOKUP(K399,TANIMLAMALAR!$A$5:$E$104,3,0)),"")</f>
        <v/>
      </c>
      <c r="M399" s="26" t="str">
        <f>IFERROR(IF(K399="","",VLOOKUP(K399,TANIMLAMALAR!$A$5:$E$104,4,0)),"")</f>
        <v/>
      </c>
      <c r="N399" s="26"/>
      <c r="O399" s="26"/>
      <c r="P399" s="26"/>
      <c r="Q399" s="8"/>
      <c r="R399" s="25"/>
    </row>
    <row r="400" spans="1:18" ht="15" customHeight="1" x14ac:dyDescent="0.3">
      <c r="A400" s="3" t="str">
        <f t="shared" si="6"/>
        <v/>
      </c>
      <c r="B400" s="5"/>
      <c r="C400" s="6"/>
      <c r="D400" s="3"/>
      <c r="E400" s="3"/>
      <c r="F400" s="3"/>
      <c r="G400" s="3"/>
      <c r="H400" s="3"/>
      <c r="I400" s="7"/>
      <c r="J400" s="3"/>
      <c r="K400" s="3"/>
      <c r="L400" s="3" t="str">
        <f>IFERROR(IF(K400="","",VLOOKUP(K400,TANIMLAMALAR!$A$5:$E$104,3,0)),"")</f>
        <v/>
      </c>
      <c r="M400" s="3" t="str">
        <f>IFERROR(IF(K400="","",VLOOKUP(K400,TANIMLAMALAR!$A$5:$E$104,4,0)),"")</f>
        <v/>
      </c>
      <c r="N400" s="3"/>
      <c r="O400" s="3"/>
      <c r="P400" s="3"/>
      <c r="Q400" s="5"/>
      <c r="R400" s="7"/>
    </row>
    <row r="401" spans="1:18" ht="15" customHeight="1" x14ac:dyDescent="0.3">
      <c r="A401" s="26" t="str">
        <f t="shared" si="6"/>
        <v/>
      </c>
      <c r="B401" s="8"/>
      <c r="C401" s="9"/>
      <c r="D401" s="26"/>
      <c r="E401" s="26"/>
      <c r="F401" s="26"/>
      <c r="G401" s="26"/>
      <c r="H401" s="26"/>
      <c r="I401" s="25"/>
      <c r="J401" s="26"/>
      <c r="K401" s="26"/>
      <c r="L401" s="26" t="str">
        <f>IFERROR(IF(K401="","",VLOOKUP(K401,TANIMLAMALAR!$A$5:$E$104,3,0)),"")</f>
        <v/>
      </c>
      <c r="M401" s="26" t="str">
        <f>IFERROR(IF(K401="","",VLOOKUP(K401,TANIMLAMALAR!$A$5:$E$104,4,0)),"")</f>
        <v/>
      </c>
      <c r="N401" s="26"/>
      <c r="O401" s="26"/>
      <c r="P401" s="26"/>
      <c r="Q401" s="8"/>
      <c r="R401" s="25"/>
    </row>
    <row r="402" spans="1:18" ht="15" customHeight="1" x14ac:dyDescent="0.3">
      <c r="A402" s="3" t="str">
        <f t="shared" si="6"/>
        <v/>
      </c>
      <c r="B402" s="5"/>
      <c r="C402" s="6"/>
      <c r="D402" s="3"/>
      <c r="E402" s="3"/>
      <c r="F402" s="3"/>
      <c r="G402" s="3"/>
      <c r="H402" s="3"/>
      <c r="I402" s="7"/>
      <c r="J402" s="3"/>
      <c r="K402" s="3"/>
      <c r="L402" s="3" t="str">
        <f>IFERROR(IF(K402="","",VLOOKUP(K402,TANIMLAMALAR!$A$5:$E$104,3,0)),"")</f>
        <v/>
      </c>
      <c r="M402" s="3" t="str">
        <f>IFERROR(IF(K402="","",VLOOKUP(K402,TANIMLAMALAR!$A$5:$E$104,4,0)),"")</f>
        <v/>
      </c>
      <c r="N402" s="3"/>
      <c r="O402" s="3"/>
      <c r="P402" s="3"/>
      <c r="Q402" s="5"/>
      <c r="R402" s="7"/>
    </row>
    <row r="403" spans="1:18" ht="15" customHeight="1" x14ac:dyDescent="0.3">
      <c r="A403" s="26" t="str">
        <f t="shared" si="6"/>
        <v/>
      </c>
      <c r="B403" s="8"/>
      <c r="C403" s="9"/>
      <c r="D403" s="26"/>
      <c r="E403" s="26"/>
      <c r="F403" s="26"/>
      <c r="G403" s="26"/>
      <c r="H403" s="26"/>
      <c r="I403" s="25"/>
      <c r="J403" s="26"/>
      <c r="K403" s="26"/>
      <c r="L403" s="26" t="str">
        <f>IFERROR(IF(K403="","",VLOOKUP(K403,TANIMLAMALAR!$A$5:$E$104,3,0)),"")</f>
        <v/>
      </c>
      <c r="M403" s="26" t="str">
        <f>IFERROR(IF(K403="","",VLOOKUP(K403,TANIMLAMALAR!$A$5:$E$104,4,0)),"")</f>
        <v/>
      </c>
      <c r="N403" s="26"/>
      <c r="O403" s="26"/>
      <c r="P403" s="26"/>
      <c r="Q403" s="8"/>
      <c r="R403" s="25"/>
    </row>
    <row r="404" spans="1:18" ht="15" customHeight="1" x14ac:dyDescent="0.3">
      <c r="A404" s="3" t="str">
        <f t="shared" si="6"/>
        <v/>
      </c>
      <c r="B404" s="5"/>
      <c r="C404" s="6"/>
      <c r="D404" s="3"/>
      <c r="E404" s="3"/>
      <c r="F404" s="3"/>
      <c r="G404" s="3"/>
      <c r="H404" s="3"/>
      <c r="I404" s="7"/>
      <c r="J404" s="3"/>
      <c r="K404" s="3"/>
      <c r="L404" s="3" t="str">
        <f>IFERROR(IF(K404="","",VLOOKUP(K404,TANIMLAMALAR!$A$5:$E$104,3,0)),"")</f>
        <v/>
      </c>
      <c r="M404" s="3" t="str">
        <f>IFERROR(IF(K404="","",VLOOKUP(K404,TANIMLAMALAR!$A$5:$E$104,4,0)),"")</f>
        <v/>
      </c>
      <c r="N404" s="3"/>
      <c r="O404" s="3"/>
      <c r="P404" s="3"/>
      <c r="Q404" s="5"/>
      <c r="R404" s="7"/>
    </row>
    <row r="405" spans="1:18" ht="15" customHeight="1" x14ac:dyDescent="0.3">
      <c r="A405" s="26" t="str">
        <f t="shared" si="6"/>
        <v/>
      </c>
      <c r="B405" s="8"/>
      <c r="C405" s="9"/>
      <c r="D405" s="26"/>
      <c r="E405" s="26"/>
      <c r="F405" s="26"/>
      <c r="G405" s="26"/>
      <c r="H405" s="26"/>
      <c r="I405" s="25"/>
      <c r="J405" s="26"/>
      <c r="K405" s="26"/>
      <c r="L405" s="26" t="str">
        <f>IFERROR(IF(K405="","",VLOOKUP(K405,TANIMLAMALAR!$A$5:$E$104,3,0)),"")</f>
        <v/>
      </c>
      <c r="M405" s="26" t="str">
        <f>IFERROR(IF(K405="","",VLOOKUP(K405,TANIMLAMALAR!$A$5:$E$104,4,0)),"")</f>
        <v/>
      </c>
      <c r="N405" s="26"/>
      <c r="O405" s="26"/>
      <c r="P405" s="26"/>
      <c r="Q405" s="8"/>
      <c r="R405" s="25"/>
    </row>
    <row r="406" spans="1:18" ht="15" customHeight="1" x14ac:dyDescent="0.3">
      <c r="A406" s="3" t="str">
        <f t="shared" si="6"/>
        <v/>
      </c>
      <c r="B406" s="5"/>
      <c r="C406" s="6"/>
      <c r="D406" s="3"/>
      <c r="E406" s="3"/>
      <c r="F406" s="3"/>
      <c r="G406" s="3"/>
      <c r="H406" s="3"/>
      <c r="I406" s="7"/>
      <c r="J406" s="3"/>
      <c r="K406" s="3"/>
      <c r="L406" s="3" t="str">
        <f>IFERROR(IF(K406="","",VLOOKUP(K406,TANIMLAMALAR!$A$5:$E$104,3,0)),"")</f>
        <v/>
      </c>
      <c r="M406" s="3" t="str">
        <f>IFERROR(IF(K406="","",VLOOKUP(K406,TANIMLAMALAR!$A$5:$E$104,4,0)),"")</f>
        <v/>
      </c>
      <c r="N406" s="3"/>
      <c r="O406" s="3"/>
      <c r="P406" s="3"/>
      <c r="Q406" s="5"/>
      <c r="R406" s="7"/>
    </row>
    <row r="407" spans="1:18" ht="15" customHeight="1" x14ac:dyDescent="0.3">
      <c r="A407" s="26" t="str">
        <f t="shared" si="6"/>
        <v/>
      </c>
      <c r="B407" s="8"/>
      <c r="C407" s="9"/>
      <c r="D407" s="26"/>
      <c r="E407" s="26"/>
      <c r="F407" s="26"/>
      <c r="G407" s="26"/>
      <c r="H407" s="26"/>
      <c r="I407" s="25"/>
      <c r="J407" s="26"/>
      <c r="K407" s="26"/>
      <c r="L407" s="26" t="str">
        <f>IFERROR(IF(K407="","",VLOOKUP(K407,TANIMLAMALAR!$A$5:$E$104,3,0)),"")</f>
        <v/>
      </c>
      <c r="M407" s="26" t="str">
        <f>IFERROR(IF(K407="","",VLOOKUP(K407,TANIMLAMALAR!$A$5:$E$104,4,0)),"")</f>
        <v/>
      </c>
      <c r="N407" s="26"/>
      <c r="O407" s="26"/>
      <c r="P407" s="26"/>
      <c r="Q407" s="8"/>
      <c r="R407" s="25"/>
    </row>
    <row r="408" spans="1:18" ht="15" customHeight="1" x14ac:dyDescent="0.3">
      <c r="A408" s="3" t="str">
        <f t="shared" si="6"/>
        <v/>
      </c>
      <c r="B408" s="5"/>
      <c r="C408" s="6"/>
      <c r="D408" s="3"/>
      <c r="E408" s="3"/>
      <c r="F408" s="3"/>
      <c r="G408" s="3"/>
      <c r="H408" s="3"/>
      <c r="I408" s="7"/>
      <c r="J408" s="3"/>
      <c r="K408" s="3"/>
      <c r="L408" s="3" t="str">
        <f>IFERROR(IF(K408="","",VLOOKUP(K408,TANIMLAMALAR!$A$5:$E$104,3,0)),"")</f>
        <v/>
      </c>
      <c r="M408" s="3" t="str">
        <f>IFERROR(IF(K408="","",VLOOKUP(K408,TANIMLAMALAR!$A$5:$E$104,4,0)),"")</f>
        <v/>
      </c>
      <c r="N408" s="3"/>
      <c r="O408" s="3"/>
      <c r="P408" s="3"/>
      <c r="Q408" s="5"/>
      <c r="R408" s="7"/>
    </row>
    <row r="409" spans="1:18" ht="15" customHeight="1" x14ac:dyDescent="0.3">
      <c r="A409" s="26" t="str">
        <f t="shared" si="6"/>
        <v/>
      </c>
      <c r="B409" s="8"/>
      <c r="C409" s="9"/>
      <c r="D409" s="26"/>
      <c r="E409" s="26"/>
      <c r="F409" s="26"/>
      <c r="G409" s="26"/>
      <c r="H409" s="26"/>
      <c r="I409" s="25"/>
      <c r="J409" s="26"/>
      <c r="K409" s="26"/>
      <c r="L409" s="26" t="str">
        <f>IFERROR(IF(K409="","",VLOOKUP(K409,TANIMLAMALAR!$A$5:$E$104,3,0)),"")</f>
        <v/>
      </c>
      <c r="M409" s="26" t="str">
        <f>IFERROR(IF(K409="","",VLOOKUP(K409,TANIMLAMALAR!$A$5:$E$104,4,0)),"")</f>
        <v/>
      </c>
      <c r="N409" s="26"/>
      <c r="O409" s="26"/>
      <c r="P409" s="26"/>
      <c r="Q409" s="8"/>
      <c r="R409" s="25"/>
    </row>
    <row r="410" spans="1:18" ht="15" customHeight="1" x14ac:dyDescent="0.3">
      <c r="A410" s="3" t="str">
        <f t="shared" si="6"/>
        <v/>
      </c>
      <c r="B410" s="5"/>
      <c r="C410" s="6"/>
      <c r="D410" s="3"/>
      <c r="E410" s="3"/>
      <c r="F410" s="3"/>
      <c r="G410" s="3"/>
      <c r="H410" s="3"/>
      <c r="I410" s="7"/>
      <c r="J410" s="3"/>
      <c r="K410" s="3"/>
      <c r="L410" s="3" t="str">
        <f>IFERROR(IF(K410="","",VLOOKUP(K410,TANIMLAMALAR!$A$5:$E$104,3,0)),"")</f>
        <v/>
      </c>
      <c r="M410" s="3" t="str">
        <f>IFERROR(IF(K410="","",VLOOKUP(K410,TANIMLAMALAR!$A$5:$E$104,4,0)),"")</f>
        <v/>
      </c>
      <c r="N410" s="3"/>
      <c r="O410" s="3"/>
      <c r="P410" s="3"/>
      <c r="Q410" s="5"/>
      <c r="R410" s="7"/>
    </row>
    <row r="411" spans="1:18" ht="15" customHeight="1" x14ac:dyDescent="0.3">
      <c r="A411" s="26" t="str">
        <f t="shared" si="6"/>
        <v/>
      </c>
      <c r="B411" s="8"/>
      <c r="C411" s="9"/>
      <c r="D411" s="26"/>
      <c r="E411" s="26"/>
      <c r="F411" s="26"/>
      <c r="G411" s="26"/>
      <c r="H411" s="26"/>
      <c r="I411" s="25"/>
      <c r="J411" s="26"/>
      <c r="K411" s="26"/>
      <c r="L411" s="26" t="str">
        <f>IFERROR(IF(K411="","",VLOOKUP(K411,TANIMLAMALAR!$A$5:$E$104,3,0)),"")</f>
        <v/>
      </c>
      <c r="M411" s="26" t="str">
        <f>IFERROR(IF(K411="","",VLOOKUP(K411,TANIMLAMALAR!$A$5:$E$104,4,0)),"")</f>
        <v/>
      </c>
      <c r="N411" s="26"/>
      <c r="O411" s="26"/>
      <c r="P411" s="26"/>
      <c r="Q411" s="8"/>
      <c r="R411" s="25"/>
    </row>
    <row r="412" spans="1:18" ht="15" customHeight="1" x14ac:dyDescent="0.3">
      <c r="A412" s="3" t="str">
        <f t="shared" si="6"/>
        <v/>
      </c>
      <c r="B412" s="5"/>
      <c r="C412" s="6"/>
      <c r="D412" s="3"/>
      <c r="E412" s="3"/>
      <c r="F412" s="3"/>
      <c r="G412" s="3"/>
      <c r="H412" s="3"/>
      <c r="I412" s="7"/>
      <c r="J412" s="3"/>
      <c r="K412" s="3"/>
      <c r="L412" s="3" t="str">
        <f>IFERROR(IF(K412="","",VLOOKUP(K412,TANIMLAMALAR!$A$5:$E$104,3,0)),"")</f>
        <v/>
      </c>
      <c r="M412" s="3" t="str">
        <f>IFERROR(IF(K412="","",VLOOKUP(K412,TANIMLAMALAR!$A$5:$E$104,4,0)),"")</f>
        <v/>
      </c>
      <c r="N412" s="3"/>
      <c r="O412" s="3"/>
      <c r="P412" s="3"/>
      <c r="Q412" s="5"/>
      <c r="R412" s="7"/>
    </row>
    <row r="413" spans="1:18" ht="15" customHeight="1" x14ac:dyDescent="0.3">
      <c r="A413" s="26" t="str">
        <f t="shared" si="6"/>
        <v/>
      </c>
      <c r="B413" s="8"/>
      <c r="C413" s="9"/>
      <c r="D413" s="26"/>
      <c r="E413" s="26"/>
      <c r="F413" s="26"/>
      <c r="G413" s="26"/>
      <c r="H413" s="26"/>
      <c r="I413" s="25"/>
      <c r="J413" s="26"/>
      <c r="K413" s="26"/>
      <c r="L413" s="26" t="str">
        <f>IFERROR(IF(K413="","",VLOOKUP(K413,TANIMLAMALAR!$A$5:$E$104,3,0)),"")</f>
        <v/>
      </c>
      <c r="M413" s="26" t="str">
        <f>IFERROR(IF(K413="","",VLOOKUP(K413,TANIMLAMALAR!$A$5:$E$104,4,0)),"")</f>
        <v/>
      </c>
      <c r="N413" s="26"/>
      <c r="O413" s="26"/>
      <c r="P413" s="26"/>
      <c r="Q413" s="8"/>
      <c r="R413" s="25"/>
    </row>
    <row r="414" spans="1:18" ht="15" customHeight="1" x14ac:dyDescent="0.3">
      <c r="A414" s="3" t="str">
        <f t="shared" si="6"/>
        <v/>
      </c>
      <c r="B414" s="5"/>
      <c r="C414" s="6"/>
      <c r="D414" s="3"/>
      <c r="E414" s="3"/>
      <c r="F414" s="3"/>
      <c r="G414" s="3"/>
      <c r="H414" s="3"/>
      <c r="I414" s="7"/>
      <c r="J414" s="3"/>
      <c r="K414" s="3"/>
      <c r="L414" s="3" t="str">
        <f>IFERROR(IF(K414="","",VLOOKUP(K414,TANIMLAMALAR!$A$5:$E$104,3,0)),"")</f>
        <v/>
      </c>
      <c r="M414" s="3" t="str">
        <f>IFERROR(IF(K414="","",VLOOKUP(K414,TANIMLAMALAR!$A$5:$E$104,4,0)),"")</f>
        <v/>
      </c>
      <c r="N414" s="3"/>
      <c r="O414" s="3"/>
      <c r="P414" s="3"/>
      <c r="Q414" s="5"/>
      <c r="R414" s="7"/>
    </row>
    <row r="415" spans="1:18" ht="15" customHeight="1" x14ac:dyDescent="0.3">
      <c r="A415" s="26" t="str">
        <f t="shared" si="6"/>
        <v/>
      </c>
      <c r="B415" s="8"/>
      <c r="C415" s="9"/>
      <c r="D415" s="26"/>
      <c r="E415" s="26"/>
      <c r="F415" s="26"/>
      <c r="G415" s="26"/>
      <c r="H415" s="26"/>
      <c r="I415" s="25"/>
      <c r="J415" s="26"/>
      <c r="K415" s="26"/>
      <c r="L415" s="26" t="str">
        <f>IFERROR(IF(K415="","",VLOOKUP(K415,TANIMLAMALAR!$A$5:$E$104,3,0)),"")</f>
        <v/>
      </c>
      <c r="M415" s="26" t="str">
        <f>IFERROR(IF(K415="","",VLOOKUP(K415,TANIMLAMALAR!$A$5:$E$104,4,0)),"")</f>
        <v/>
      </c>
      <c r="N415" s="26"/>
      <c r="O415" s="26"/>
      <c r="P415" s="26"/>
      <c r="Q415" s="8"/>
      <c r="R415" s="25"/>
    </row>
    <row r="416" spans="1:18" ht="15" customHeight="1" x14ac:dyDescent="0.3">
      <c r="A416" s="3" t="str">
        <f t="shared" si="6"/>
        <v/>
      </c>
      <c r="B416" s="5"/>
      <c r="C416" s="6"/>
      <c r="D416" s="3"/>
      <c r="E416" s="3"/>
      <c r="F416" s="3"/>
      <c r="G416" s="3"/>
      <c r="H416" s="3"/>
      <c r="I416" s="7"/>
      <c r="J416" s="3"/>
      <c r="K416" s="3"/>
      <c r="L416" s="3" t="str">
        <f>IFERROR(IF(K416="","",VLOOKUP(K416,TANIMLAMALAR!$A$5:$E$104,3,0)),"")</f>
        <v/>
      </c>
      <c r="M416" s="3" t="str">
        <f>IFERROR(IF(K416="","",VLOOKUP(K416,TANIMLAMALAR!$A$5:$E$104,4,0)),"")</f>
        <v/>
      </c>
      <c r="N416" s="3"/>
      <c r="O416" s="3"/>
      <c r="P416" s="3"/>
      <c r="Q416" s="5"/>
      <c r="R416" s="7"/>
    </row>
    <row r="417" spans="1:18" ht="15" customHeight="1" x14ac:dyDescent="0.3">
      <c r="A417" s="26" t="str">
        <f t="shared" si="6"/>
        <v/>
      </c>
      <c r="B417" s="8"/>
      <c r="C417" s="9"/>
      <c r="D417" s="26"/>
      <c r="E417" s="26"/>
      <c r="F417" s="26"/>
      <c r="G417" s="26"/>
      <c r="H417" s="26"/>
      <c r="I417" s="25"/>
      <c r="J417" s="26"/>
      <c r="K417" s="26"/>
      <c r="L417" s="26" t="str">
        <f>IFERROR(IF(K417="","",VLOOKUP(K417,TANIMLAMALAR!$A$5:$E$104,3,0)),"")</f>
        <v/>
      </c>
      <c r="M417" s="26" t="str">
        <f>IFERROR(IF(K417="","",VLOOKUP(K417,TANIMLAMALAR!$A$5:$E$104,4,0)),"")</f>
        <v/>
      </c>
      <c r="N417" s="26"/>
      <c r="O417" s="26"/>
      <c r="P417" s="26"/>
      <c r="Q417" s="8"/>
      <c r="R417" s="25"/>
    </row>
    <row r="418" spans="1:18" ht="15" customHeight="1" x14ac:dyDescent="0.3">
      <c r="A418" s="3" t="str">
        <f t="shared" si="6"/>
        <v/>
      </c>
      <c r="B418" s="5"/>
      <c r="C418" s="6"/>
      <c r="D418" s="3"/>
      <c r="E418" s="3"/>
      <c r="F418" s="3"/>
      <c r="G418" s="3"/>
      <c r="H418" s="3"/>
      <c r="I418" s="7"/>
      <c r="J418" s="3"/>
      <c r="K418" s="3"/>
      <c r="L418" s="3" t="str">
        <f>IFERROR(IF(K418="","",VLOOKUP(K418,TANIMLAMALAR!$A$5:$E$104,3,0)),"")</f>
        <v/>
      </c>
      <c r="M418" s="3" t="str">
        <f>IFERROR(IF(K418="","",VLOOKUP(K418,TANIMLAMALAR!$A$5:$E$104,4,0)),"")</f>
        <v/>
      </c>
      <c r="N418" s="3"/>
      <c r="O418" s="3"/>
      <c r="P418" s="3"/>
      <c r="Q418" s="5"/>
      <c r="R418" s="7"/>
    </row>
    <row r="419" spans="1:18" ht="15" customHeight="1" x14ac:dyDescent="0.3">
      <c r="A419" s="26" t="str">
        <f t="shared" si="6"/>
        <v/>
      </c>
      <c r="B419" s="8"/>
      <c r="C419" s="9"/>
      <c r="D419" s="26"/>
      <c r="E419" s="26"/>
      <c r="F419" s="26"/>
      <c r="G419" s="26"/>
      <c r="H419" s="26"/>
      <c r="I419" s="25"/>
      <c r="J419" s="26"/>
      <c r="K419" s="26"/>
      <c r="L419" s="26" t="str">
        <f>IFERROR(IF(K419="","",VLOOKUP(K419,TANIMLAMALAR!$A$5:$E$104,3,0)),"")</f>
        <v/>
      </c>
      <c r="M419" s="26" t="str">
        <f>IFERROR(IF(K419="","",VLOOKUP(K419,TANIMLAMALAR!$A$5:$E$104,4,0)),"")</f>
        <v/>
      </c>
      <c r="N419" s="26"/>
      <c r="O419" s="26"/>
      <c r="P419" s="26"/>
      <c r="Q419" s="8"/>
      <c r="R419" s="25"/>
    </row>
    <row r="420" spans="1:18" ht="15" customHeight="1" x14ac:dyDescent="0.3">
      <c r="A420" s="3" t="str">
        <f t="shared" si="6"/>
        <v/>
      </c>
      <c r="B420" s="5"/>
      <c r="C420" s="6"/>
      <c r="D420" s="3"/>
      <c r="E420" s="3"/>
      <c r="F420" s="3"/>
      <c r="G420" s="3"/>
      <c r="H420" s="3"/>
      <c r="I420" s="7"/>
      <c r="J420" s="3"/>
      <c r="K420" s="3"/>
      <c r="L420" s="3" t="str">
        <f>IFERROR(IF(K420="","",VLOOKUP(K420,TANIMLAMALAR!$A$5:$E$104,3,0)),"")</f>
        <v/>
      </c>
      <c r="M420" s="3" t="str">
        <f>IFERROR(IF(K420="","",VLOOKUP(K420,TANIMLAMALAR!$A$5:$E$104,4,0)),"")</f>
        <v/>
      </c>
      <c r="N420" s="3"/>
      <c r="O420" s="3"/>
      <c r="P420" s="3"/>
      <c r="Q420" s="5"/>
      <c r="R420" s="7"/>
    </row>
    <row r="421" spans="1:18" ht="15" customHeight="1" x14ac:dyDescent="0.3">
      <c r="A421" s="26" t="str">
        <f t="shared" si="6"/>
        <v/>
      </c>
      <c r="B421" s="8"/>
      <c r="C421" s="9"/>
      <c r="D421" s="26"/>
      <c r="E421" s="26"/>
      <c r="F421" s="26"/>
      <c r="G421" s="26"/>
      <c r="H421" s="26"/>
      <c r="I421" s="25"/>
      <c r="J421" s="26"/>
      <c r="K421" s="26"/>
      <c r="L421" s="26" t="str">
        <f>IFERROR(IF(K421="","",VLOOKUP(K421,TANIMLAMALAR!$A$5:$E$104,3,0)),"")</f>
        <v/>
      </c>
      <c r="M421" s="26" t="str">
        <f>IFERROR(IF(K421="","",VLOOKUP(K421,TANIMLAMALAR!$A$5:$E$104,4,0)),"")</f>
        <v/>
      </c>
      <c r="N421" s="26"/>
      <c r="O421" s="26"/>
      <c r="P421" s="26"/>
      <c r="Q421" s="8"/>
      <c r="R421" s="25"/>
    </row>
    <row r="422" spans="1:18" ht="15" customHeight="1" x14ac:dyDescent="0.3">
      <c r="A422" s="3" t="str">
        <f t="shared" si="6"/>
        <v/>
      </c>
      <c r="B422" s="5"/>
      <c r="C422" s="6"/>
      <c r="D422" s="3"/>
      <c r="E422" s="3"/>
      <c r="F422" s="3"/>
      <c r="G422" s="3"/>
      <c r="H422" s="3"/>
      <c r="I422" s="7"/>
      <c r="J422" s="3"/>
      <c r="K422" s="3"/>
      <c r="L422" s="3" t="str">
        <f>IFERROR(IF(K422="","",VLOOKUP(K422,TANIMLAMALAR!$A$5:$E$104,3,0)),"")</f>
        <v/>
      </c>
      <c r="M422" s="3" t="str">
        <f>IFERROR(IF(K422="","",VLOOKUP(K422,TANIMLAMALAR!$A$5:$E$104,4,0)),"")</f>
        <v/>
      </c>
      <c r="N422" s="3"/>
      <c r="O422" s="3"/>
      <c r="P422" s="3"/>
      <c r="Q422" s="5"/>
      <c r="R422" s="7"/>
    </row>
    <row r="423" spans="1:18" ht="15" customHeight="1" x14ac:dyDescent="0.3">
      <c r="A423" s="26" t="str">
        <f t="shared" si="6"/>
        <v/>
      </c>
      <c r="B423" s="8"/>
      <c r="C423" s="9"/>
      <c r="D423" s="26"/>
      <c r="E423" s="26"/>
      <c r="F423" s="26"/>
      <c r="G423" s="26"/>
      <c r="H423" s="26"/>
      <c r="I423" s="25"/>
      <c r="J423" s="26"/>
      <c r="K423" s="26"/>
      <c r="L423" s="26" t="str">
        <f>IFERROR(IF(K423="","",VLOOKUP(K423,TANIMLAMALAR!$A$5:$E$104,3,0)),"")</f>
        <v/>
      </c>
      <c r="M423" s="26" t="str">
        <f>IFERROR(IF(K423="","",VLOOKUP(K423,TANIMLAMALAR!$A$5:$E$104,4,0)),"")</f>
        <v/>
      </c>
      <c r="N423" s="26"/>
      <c r="O423" s="26"/>
      <c r="P423" s="26"/>
      <c r="Q423" s="8"/>
      <c r="R423" s="25"/>
    </row>
    <row r="424" spans="1:18" ht="15" customHeight="1" x14ac:dyDescent="0.3">
      <c r="A424" s="3" t="str">
        <f t="shared" si="6"/>
        <v/>
      </c>
      <c r="B424" s="5"/>
      <c r="C424" s="6"/>
      <c r="D424" s="3"/>
      <c r="E424" s="3"/>
      <c r="F424" s="3"/>
      <c r="G424" s="3"/>
      <c r="H424" s="3"/>
      <c r="I424" s="7"/>
      <c r="J424" s="3"/>
      <c r="K424" s="3"/>
      <c r="L424" s="3" t="str">
        <f>IFERROR(IF(K424="","",VLOOKUP(K424,TANIMLAMALAR!$A$5:$E$104,3,0)),"")</f>
        <v/>
      </c>
      <c r="M424" s="3" t="str">
        <f>IFERROR(IF(K424="","",VLOOKUP(K424,TANIMLAMALAR!$A$5:$E$104,4,0)),"")</f>
        <v/>
      </c>
      <c r="N424" s="3"/>
      <c r="O424" s="3"/>
      <c r="P424" s="3"/>
      <c r="Q424" s="5"/>
      <c r="R424" s="7"/>
    </row>
    <row r="425" spans="1:18" ht="15" customHeight="1" x14ac:dyDescent="0.3">
      <c r="A425" s="26" t="str">
        <f t="shared" si="6"/>
        <v/>
      </c>
      <c r="B425" s="8"/>
      <c r="C425" s="9"/>
      <c r="D425" s="26"/>
      <c r="E425" s="26"/>
      <c r="F425" s="26"/>
      <c r="G425" s="26"/>
      <c r="H425" s="26"/>
      <c r="I425" s="25"/>
      <c r="J425" s="26"/>
      <c r="K425" s="26"/>
      <c r="L425" s="26" t="str">
        <f>IFERROR(IF(K425="","",VLOOKUP(K425,TANIMLAMALAR!$A$5:$E$104,3,0)),"")</f>
        <v/>
      </c>
      <c r="M425" s="26" t="str">
        <f>IFERROR(IF(K425="","",VLOOKUP(K425,TANIMLAMALAR!$A$5:$E$104,4,0)),"")</f>
        <v/>
      </c>
      <c r="N425" s="26"/>
      <c r="O425" s="26"/>
      <c r="P425" s="26"/>
      <c r="Q425" s="8"/>
      <c r="R425" s="25"/>
    </row>
    <row r="426" spans="1:18" ht="15" customHeight="1" x14ac:dyDescent="0.3">
      <c r="A426" s="3" t="str">
        <f t="shared" si="6"/>
        <v/>
      </c>
      <c r="B426" s="5"/>
      <c r="C426" s="6"/>
      <c r="D426" s="3"/>
      <c r="E426" s="3"/>
      <c r="F426" s="3"/>
      <c r="G426" s="3"/>
      <c r="H426" s="3"/>
      <c r="I426" s="7"/>
      <c r="J426" s="3"/>
      <c r="K426" s="3"/>
      <c r="L426" s="3" t="str">
        <f>IFERROR(IF(K426="","",VLOOKUP(K426,TANIMLAMALAR!$A$5:$E$104,3,0)),"")</f>
        <v/>
      </c>
      <c r="M426" s="3" t="str">
        <f>IFERROR(IF(K426="","",VLOOKUP(K426,TANIMLAMALAR!$A$5:$E$104,4,0)),"")</f>
        <v/>
      </c>
      <c r="N426" s="3"/>
      <c r="O426" s="3"/>
      <c r="P426" s="3"/>
      <c r="Q426" s="5"/>
      <c r="R426" s="7"/>
    </row>
    <row r="427" spans="1:18" ht="15" customHeight="1" x14ac:dyDescent="0.3">
      <c r="A427" s="26" t="str">
        <f t="shared" si="6"/>
        <v/>
      </c>
      <c r="B427" s="8"/>
      <c r="C427" s="9"/>
      <c r="D427" s="26"/>
      <c r="E427" s="26"/>
      <c r="F427" s="26"/>
      <c r="G427" s="26"/>
      <c r="H427" s="26"/>
      <c r="I427" s="25"/>
      <c r="J427" s="26"/>
      <c r="K427" s="26"/>
      <c r="L427" s="26" t="str">
        <f>IFERROR(IF(K427="","",VLOOKUP(K427,TANIMLAMALAR!$A$5:$E$104,3,0)),"")</f>
        <v/>
      </c>
      <c r="M427" s="26" t="str">
        <f>IFERROR(IF(K427="","",VLOOKUP(K427,TANIMLAMALAR!$A$5:$E$104,4,0)),"")</f>
        <v/>
      </c>
      <c r="N427" s="26"/>
      <c r="O427" s="26"/>
      <c r="P427" s="26"/>
      <c r="Q427" s="8"/>
      <c r="R427" s="25"/>
    </row>
    <row r="428" spans="1:18" ht="15" customHeight="1" x14ac:dyDescent="0.3">
      <c r="A428" s="3" t="str">
        <f t="shared" si="6"/>
        <v/>
      </c>
      <c r="B428" s="5"/>
      <c r="C428" s="6"/>
      <c r="D428" s="3"/>
      <c r="E428" s="3"/>
      <c r="F428" s="3"/>
      <c r="G428" s="3"/>
      <c r="H428" s="3"/>
      <c r="I428" s="7"/>
      <c r="J428" s="3"/>
      <c r="K428" s="3"/>
      <c r="L428" s="3" t="str">
        <f>IFERROR(IF(K428="","",VLOOKUP(K428,TANIMLAMALAR!$A$5:$E$104,3,0)),"")</f>
        <v/>
      </c>
      <c r="M428" s="3" t="str">
        <f>IFERROR(IF(K428="","",VLOOKUP(K428,TANIMLAMALAR!$A$5:$E$104,4,0)),"")</f>
        <v/>
      </c>
      <c r="N428" s="3"/>
      <c r="O428" s="3"/>
      <c r="P428" s="3"/>
      <c r="Q428" s="5"/>
      <c r="R428" s="7"/>
    </row>
    <row r="429" spans="1:18" ht="15" customHeight="1" x14ac:dyDescent="0.3">
      <c r="A429" s="26" t="str">
        <f t="shared" si="6"/>
        <v/>
      </c>
      <c r="B429" s="8"/>
      <c r="C429" s="9"/>
      <c r="D429" s="26"/>
      <c r="E429" s="26"/>
      <c r="F429" s="26"/>
      <c r="G429" s="26"/>
      <c r="H429" s="26"/>
      <c r="I429" s="25"/>
      <c r="J429" s="26"/>
      <c r="K429" s="26"/>
      <c r="L429" s="26" t="str">
        <f>IFERROR(IF(K429="","",VLOOKUP(K429,TANIMLAMALAR!$A$5:$E$104,3,0)),"")</f>
        <v/>
      </c>
      <c r="M429" s="26" t="str">
        <f>IFERROR(IF(K429="","",VLOOKUP(K429,TANIMLAMALAR!$A$5:$E$104,4,0)),"")</f>
        <v/>
      </c>
      <c r="N429" s="26"/>
      <c r="O429" s="26"/>
      <c r="P429" s="26"/>
      <c r="Q429" s="8"/>
      <c r="R429" s="25"/>
    </row>
    <row r="430" spans="1:18" ht="15" customHeight="1" x14ac:dyDescent="0.3">
      <c r="A430" s="3" t="str">
        <f t="shared" si="6"/>
        <v/>
      </c>
      <c r="B430" s="5"/>
      <c r="C430" s="6"/>
      <c r="D430" s="3"/>
      <c r="E430" s="3"/>
      <c r="F430" s="3"/>
      <c r="G430" s="3"/>
      <c r="H430" s="3"/>
      <c r="I430" s="7"/>
      <c r="J430" s="3"/>
      <c r="K430" s="3"/>
      <c r="L430" s="3" t="str">
        <f>IFERROR(IF(K430="","",VLOOKUP(K430,TANIMLAMALAR!$A$5:$E$104,3,0)),"")</f>
        <v/>
      </c>
      <c r="M430" s="3" t="str">
        <f>IFERROR(IF(K430="","",VLOOKUP(K430,TANIMLAMALAR!$A$5:$E$104,4,0)),"")</f>
        <v/>
      </c>
      <c r="N430" s="3"/>
      <c r="O430" s="3"/>
      <c r="P430" s="3"/>
      <c r="Q430" s="5"/>
      <c r="R430" s="7"/>
    </row>
    <row r="431" spans="1:18" ht="15" customHeight="1" x14ac:dyDescent="0.3">
      <c r="A431" s="26" t="str">
        <f t="shared" si="6"/>
        <v/>
      </c>
      <c r="B431" s="8"/>
      <c r="C431" s="9"/>
      <c r="D431" s="26"/>
      <c r="E431" s="26"/>
      <c r="F431" s="26"/>
      <c r="G431" s="26"/>
      <c r="H431" s="26"/>
      <c r="I431" s="25"/>
      <c r="J431" s="26"/>
      <c r="K431" s="26"/>
      <c r="L431" s="26" t="str">
        <f>IFERROR(IF(K431="","",VLOOKUP(K431,TANIMLAMALAR!$A$5:$E$104,3,0)),"")</f>
        <v/>
      </c>
      <c r="M431" s="26" t="str">
        <f>IFERROR(IF(K431="","",VLOOKUP(K431,TANIMLAMALAR!$A$5:$E$104,4,0)),"")</f>
        <v/>
      </c>
      <c r="N431" s="26"/>
      <c r="O431" s="26"/>
      <c r="P431" s="26"/>
      <c r="Q431" s="8"/>
      <c r="R431" s="25"/>
    </row>
    <row r="432" spans="1:18" ht="15" customHeight="1" x14ac:dyDescent="0.3">
      <c r="A432" s="3" t="str">
        <f t="shared" si="6"/>
        <v/>
      </c>
      <c r="B432" s="5"/>
      <c r="C432" s="6"/>
      <c r="D432" s="3"/>
      <c r="E432" s="3"/>
      <c r="F432" s="3"/>
      <c r="G432" s="3"/>
      <c r="H432" s="3"/>
      <c r="I432" s="7"/>
      <c r="J432" s="3"/>
      <c r="K432" s="3"/>
      <c r="L432" s="3" t="str">
        <f>IFERROR(IF(K432="","",VLOOKUP(K432,TANIMLAMALAR!$A$5:$E$104,3,0)),"")</f>
        <v/>
      </c>
      <c r="M432" s="3" t="str">
        <f>IFERROR(IF(K432="","",VLOOKUP(K432,TANIMLAMALAR!$A$5:$E$104,4,0)),"")</f>
        <v/>
      </c>
      <c r="N432" s="3"/>
      <c r="O432" s="3"/>
      <c r="P432" s="3"/>
      <c r="Q432" s="5"/>
      <c r="R432" s="7"/>
    </row>
    <row r="433" spans="1:18" ht="15" customHeight="1" x14ac:dyDescent="0.3">
      <c r="A433" s="26" t="str">
        <f t="shared" si="6"/>
        <v/>
      </c>
      <c r="B433" s="8"/>
      <c r="C433" s="9"/>
      <c r="D433" s="26"/>
      <c r="E433" s="26"/>
      <c r="F433" s="26"/>
      <c r="G433" s="26"/>
      <c r="H433" s="26"/>
      <c r="I433" s="25"/>
      <c r="J433" s="26"/>
      <c r="K433" s="26"/>
      <c r="L433" s="26" t="str">
        <f>IFERROR(IF(K433="","",VLOOKUP(K433,TANIMLAMALAR!$A$5:$E$104,3,0)),"")</f>
        <v/>
      </c>
      <c r="M433" s="26" t="str">
        <f>IFERROR(IF(K433="","",VLOOKUP(K433,TANIMLAMALAR!$A$5:$E$104,4,0)),"")</f>
        <v/>
      </c>
      <c r="N433" s="26"/>
      <c r="O433" s="26"/>
      <c r="P433" s="26"/>
      <c r="Q433" s="8"/>
      <c r="R433" s="25"/>
    </row>
    <row r="434" spans="1:18" ht="15" customHeight="1" x14ac:dyDescent="0.3">
      <c r="A434" s="3" t="str">
        <f t="shared" si="6"/>
        <v/>
      </c>
      <c r="B434" s="5"/>
      <c r="C434" s="6"/>
      <c r="D434" s="3"/>
      <c r="E434" s="3"/>
      <c r="F434" s="3"/>
      <c r="G434" s="3"/>
      <c r="H434" s="3"/>
      <c r="I434" s="7"/>
      <c r="J434" s="3"/>
      <c r="K434" s="3"/>
      <c r="L434" s="3" t="str">
        <f>IFERROR(IF(K434="","",VLOOKUP(K434,TANIMLAMALAR!$A$5:$E$104,3,0)),"")</f>
        <v/>
      </c>
      <c r="M434" s="3" t="str">
        <f>IFERROR(IF(K434="","",VLOOKUP(K434,TANIMLAMALAR!$A$5:$E$104,4,0)),"")</f>
        <v/>
      </c>
      <c r="N434" s="3"/>
      <c r="O434" s="3"/>
      <c r="P434" s="3"/>
      <c r="Q434" s="5"/>
      <c r="R434" s="7"/>
    </row>
    <row r="435" spans="1:18" ht="15" customHeight="1" x14ac:dyDescent="0.3">
      <c r="A435" s="26" t="str">
        <f t="shared" si="6"/>
        <v/>
      </c>
      <c r="B435" s="8"/>
      <c r="C435" s="9"/>
      <c r="D435" s="26"/>
      <c r="E435" s="26"/>
      <c r="F435" s="26"/>
      <c r="G435" s="26"/>
      <c r="H435" s="26"/>
      <c r="I435" s="25"/>
      <c r="J435" s="26"/>
      <c r="K435" s="26"/>
      <c r="L435" s="26" t="str">
        <f>IFERROR(IF(K435="","",VLOOKUP(K435,TANIMLAMALAR!$A$5:$E$104,3,0)),"")</f>
        <v/>
      </c>
      <c r="M435" s="26" t="str">
        <f>IFERROR(IF(K435="","",VLOOKUP(K435,TANIMLAMALAR!$A$5:$E$104,4,0)),"")</f>
        <v/>
      </c>
      <c r="N435" s="26"/>
      <c r="O435" s="26"/>
      <c r="P435" s="26"/>
      <c r="Q435" s="8"/>
      <c r="R435" s="25"/>
    </row>
    <row r="436" spans="1:18" ht="15" customHeight="1" x14ac:dyDescent="0.3">
      <c r="A436" s="3" t="str">
        <f t="shared" si="6"/>
        <v/>
      </c>
      <c r="B436" s="5"/>
      <c r="C436" s="6"/>
      <c r="D436" s="3"/>
      <c r="E436" s="3"/>
      <c r="F436" s="3"/>
      <c r="G436" s="3"/>
      <c r="H436" s="3"/>
      <c r="I436" s="7"/>
      <c r="J436" s="3"/>
      <c r="K436" s="3"/>
      <c r="L436" s="3" t="str">
        <f>IFERROR(IF(K436="","",VLOOKUP(K436,TANIMLAMALAR!$A$5:$E$104,3,0)),"")</f>
        <v/>
      </c>
      <c r="M436" s="3" t="str">
        <f>IFERROR(IF(K436="","",VLOOKUP(K436,TANIMLAMALAR!$A$5:$E$104,4,0)),"")</f>
        <v/>
      </c>
      <c r="N436" s="3"/>
      <c r="O436" s="3"/>
      <c r="P436" s="3"/>
      <c r="Q436" s="5"/>
      <c r="R436" s="7"/>
    </row>
    <row r="437" spans="1:18" ht="15" customHeight="1" x14ac:dyDescent="0.3">
      <c r="A437" s="26" t="str">
        <f t="shared" si="6"/>
        <v/>
      </c>
      <c r="B437" s="8"/>
      <c r="C437" s="9"/>
      <c r="D437" s="26"/>
      <c r="E437" s="26"/>
      <c r="F437" s="26"/>
      <c r="G437" s="26"/>
      <c r="H437" s="26"/>
      <c r="I437" s="25"/>
      <c r="J437" s="26"/>
      <c r="K437" s="26"/>
      <c r="L437" s="26" t="str">
        <f>IFERROR(IF(K437="","",VLOOKUP(K437,TANIMLAMALAR!$A$5:$E$104,3,0)),"")</f>
        <v/>
      </c>
      <c r="M437" s="26" t="str">
        <f>IFERROR(IF(K437="","",VLOOKUP(K437,TANIMLAMALAR!$A$5:$E$104,4,0)),"")</f>
        <v/>
      </c>
      <c r="N437" s="26"/>
      <c r="O437" s="26"/>
      <c r="P437" s="26"/>
      <c r="Q437" s="8"/>
      <c r="R437" s="25"/>
    </row>
    <row r="438" spans="1:18" ht="15" customHeight="1" x14ac:dyDescent="0.3">
      <c r="A438" s="3" t="str">
        <f t="shared" si="6"/>
        <v/>
      </c>
      <c r="B438" s="5"/>
      <c r="C438" s="6"/>
      <c r="D438" s="3"/>
      <c r="E438" s="3"/>
      <c r="F438" s="3"/>
      <c r="G438" s="3"/>
      <c r="H438" s="3"/>
      <c r="I438" s="7"/>
      <c r="J438" s="3"/>
      <c r="K438" s="3"/>
      <c r="L438" s="3" t="str">
        <f>IFERROR(IF(K438="","",VLOOKUP(K438,TANIMLAMALAR!$A$5:$E$104,3,0)),"")</f>
        <v/>
      </c>
      <c r="M438" s="3" t="str">
        <f>IFERROR(IF(K438="","",VLOOKUP(K438,TANIMLAMALAR!$A$5:$E$104,4,0)),"")</f>
        <v/>
      </c>
      <c r="N438" s="3"/>
      <c r="O438" s="3"/>
      <c r="P438" s="3"/>
      <c r="Q438" s="5"/>
      <c r="R438" s="7"/>
    </row>
    <row r="439" spans="1:18" ht="15" customHeight="1" x14ac:dyDescent="0.3">
      <c r="A439" s="26" t="str">
        <f t="shared" si="6"/>
        <v/>
      </c>
      <c r="B439" s="8"/>
      <c r="C439" s="9"/>
      <c r="D439" s="26"/>
      <c r="E439" s="26"/>
      <c r="F439" s="26"/>
      <c r="G439" s="26"/>
      <c r="H439" s="26"/>
      <c r="I439" s="25"/>
      <c r="J439" s="26"/>
      <c r="K439" s="26"/>
      <c r="L439" s="26" t="str">
        <f>IFERROR(IF(K439="","",VLOOKUP(K439,TANIMLAMALAR!$A$5:$E$104,3,0)),"")</f>
        <v/>
      </c>
      <c r="M439" s="26" t="str">
        <f>IFERROR(IF(K439="","",VLOOKUP(K439,TANIMLAMALAR!$A$5:$E$104,4,0)),"")</f>
        <v/>
      </c>
      <c r="N439" s="26"/>
      <c r="O439" s="26"/>
      <c r="P439" s="26"/>
      <c r="Q439" s="8"/>
      <c r="R439" s="25"/>
    </row>
    <row r="440" spans="1:18" ht="15" customHeight="1" x14ac:dyDescent="0.3">
      <c r="A440" s="3" t="str">
        <f t="shared" si="6"/>
        <v/>
      </c>
      <c r="B440" s="5"/>
      <c r="C440" s="6"/>
      <c r="D440" s="3"/>
      <c r="E440" s="3"/>
      <c r="F440" s="3"/>
      <c r="G440" s="3"/>
      <c r="H440" s="3"/>
      <c r="I440" s="7"/>
      <c r="J440" s="3"/>
      <c r="K440" s="3"/>
      <c r="L440" s="3" t="str">
        <f>IFERROR(IF(K440="","",VLOOKUP(K440,TANIMLAMALAR!$A$5:$E$104,3,0)),"")</f>
        <v/>
      </c>
      <c r="M440" s="3" t="str">
        <f>IFERROR(IF(K440="","",VLOOKUP(K440,TANIMLAMALAR!$A$5:$E$104,4,0)),"")</f>
        <v/>
      </c>
      <c r="N440" s="3"/>
      <c r="O440" s="3"/>
      <c r="P440" s="3"/>
      <c r="Q440" s="5"/>
      <c r="R440" s="7"/>
    </row>
    <row r="441" spans="1:18" ht="15" customHeight="1" x14ac:dyDescent="0.3">
      <c r="A441" s="26" t="str">
        <f t="shared" si="6"/>
        <v/>
      </c>
      <c r="B441" s="8"/>
      <c r="C441" s="9"/>
      <c r="D441" s="26"/>
      <c r="E441" s="26"/>
      <c r="F441" s="26"/>
      <c r="G441" s="26"/>
      <c r="H441" s="26"/>
      <c r="I441" s="25"/>
      <c r="J441" s="26"/>
      <c r="K441" s="26"/>
      <c r="L441" s="26" t="str">
        <f>IFERROR(IF(K441="","",VLOOKUP(K441,TANIMLAMALAR!$A$5:$E$104,3,0)),"")</f>
        <v/>
      </c>
      <c r="M441" s="26" t="str">
        <f>IFERROR(IF(K441="","",VLOOKUP(K441,TANIMLAMALAR!$A$5:$E$104,4,0)),"")</f>
        <v/>
      </c>
      <c r="N441" s="26"/>
      <c r="O441" s="26"/>
      <c r="P441" s="26"/>
      <c r="Q441" s="8"/>
      <c r="R441" s="25"/>
    </row>
    <row r="442" spans="1:18" ht="15" customHeight="1" x14ac:dyDescent="0.3">
      <c r="A442" s="3" t="str">
        <f t="shared" si="6"/>
        <v/>
      </c>
      <c r="B442" s="5"/>
      <c r="C442" s="6"/>
      <c r="D442" s="3"/>
      <c r="E442" s="3"/>
      <c r="F442" s="3"/>
      <c r="G442" s="3"/>
      <c r="H442" s="3"/>
      <c r="I442" s="7"/>
      <c r="J442" s="3"/>
      <c r="K442" s="3"/>
      <c r="L442" s="3" t="str">
        <f>IFERROR(IF(K442="","",VLOOKUP(K442,TANIMLAMALAR!$A$5:$E$104,3,0)),"")</f>
        <v/>
      </c>
      <c r="M442" s="3" t="str">
        <f>IFERROR(IF(K442="","",VLOOKUP(K442,TANIMLAMALAR!$A$5:$E$104,4,0)),"")</f>
        <v/>
      </c>
      <c r="N442" s="3"/>
      <c r="O442" s="3"/>
      <c r="P442" s="3"/>
      <c r="Q442" s="5"/>
      <c r="R442" s="7"/>
    </row>
    <row r="443" spans="1:18" ht="15" customHeight="1" x14ac:dyDescent="0.3">
      <c r="A443" s="26" t="str">
        <f t="shared" si="6"/>
        <v/>
      </c>
      <c r="B443" s="8"/>
      <c r="C443" s="9"/>
      <c r="D443" s="26"/>
      <c r="E443" s="26"/>
      <c r="F443" s="26"/>
      <c r="G443" s="26"/>
      <c r="H443" s="26"/>
      <c r="I443" s="25"/>
      <c r="J443" s="26"/>
      <c r="K443" s="26"/>
      <c r="L443" s="26" t="str">
        <f>IFERROR(IF(K443="","",VLOOKUP(K443,TANIMLAMALAR!$A$5:$E$104,3,0)),"")</f>
        <v/>
      </c>
      <c r="M443" s="26" t="str">
        <f>IFERROR(IF(K443="","",VLOOKUP(K443,TANIMLAMALAR!$A$5:$E$104,4,0)),"")</f>
        <v/>
      </c>
      <c r="N443" s="26"/>
      <c r="O443" s="26"/>
      <c r="P443" s="26"/>
      <c r="Q443" s="8"/>
      <c r="R443" s="25"/>
    </row>
    <row r="444" spans="1:18" ht="15" customHeight="1" x14ac:dyDescent="0.3">
      <c r="A444" s="3" t="str">
        <f t="shared" si="6"/>
        <v/>
      </c>
      <c r="B444" s="5"/>
      <c r="C444" s="6"/>
      <c r="D444" s="3"/>
      <c r="E444" s="3"/>
      <c r="F444" s="3"/>
      <c r="G444" s="3"/>
      <c r="H444" s="3"/>
      <c r="I444" s="7"/>
      <c r="J444" s="3"/>
      <c r="K444" s="3"/>
      <c r="L444" s="3" t="str">
        <f>IFERROR(IF(K444="","",VLOOKUP(K444,TANIMLAMALAR!$A$5:$E$104,3,0)),"")</f>
        <v/>
      </c>
      <c r="M444" s="3" t="str">
        <f>IFERROR(IF(K444="","",VLOOKUP(K444,TANIMLAMALAR!$A$5:$E$104,4,0)),"")</f>
        <v/>
      </c>
      <c r="N444" s="3"/>
      <c r="O444" s="3"/>
      <c r="P444" s="3"/>
      <c r="Q444" s="5"/>
      <c r="R444" s="7"/>
    </row>
    <row r="445" spans="1:18" ht="15" customHeight="1" x14ac:dyDescent="0.3">
      <c r="A445" s="26" t="str">
        <f t="shared" si="6"/>
        <v/>
      </c>
      <c r="B445" s="8"/>
      <c r="C445" s="9"/>
      <c r="D445" s="26"/>
      <c r="E445" s="26"/>
      <c r="F445" s="26"/>
      <c r="G445" s="26"/>
      <c r="H445" s="26"/>
      <c r="I445" s="25"/>
      <c r="J445" s="26"/>
      <c r="K445" s="26"/>
      <c r="L445" s="26" t="str">
        <f>IFERROR(IF(K445="","",VLOOKUP(K445,TANIMLAMALAR!$A$5:$E$104,3,0)),"")</f>
        <v/>
      </c>
      <c r="M445" s="26" t="str">
        <f>IFERROR(IF(K445="","",VLOOKUP(K445,TANIMLAMALAR!$A$5:$E$104,4,0)),"")</f>
        <v/>
      </c>
      <c r="N445" s="26"/>
      <c r="O445" s="26"/>
      <c r="P445" s="26"/>
      <c r="Q445" s="8"/>
      <c r="R445" s="25"/>
    </row>
    <row r="446" spans="1:18" ht="15" customHeight="1" x14ac:dyDescent="0.3">
      <c r="A446" s="3" t="str">
        <f t="shared" si="6"/>
        <v/>
      </c>
      <c r="B446" s="5"/>
      <c r="C446" s="6"/>
      <c r="D446" s="3"/>
      <c r="E446" s="3"/>
      <c r="F446" s="3"/>
      <c r="G446" s="3"/>
      <c r="H446" s="3"/>
      <c r="I446" s="7"/>
      <c r="J446" s="3"/>
      <c r="K446" s="3"/>
      <c r="L446" s="3" t="str">
        <f>IFERROR(IF(K446="","",VLOOKUP(K446,TANIMLAMALAR!$A$5:$E$104,3,0)),"")</f>
        <v/>
      </c>
      <c r="M446" s="3" t="str">
        <f>IFERROR(IF(K446="","",VLOOKUP(K446,TANIMLAMALAR!$A$5:$E$104,4,0)),"")</f>
        <v/>
      </c>
      <c r="N446" s="3"/>
      <c r="O446" s="3"/>
      <c r="P446" s="3"/>
      <c r="Q446" s="5"/>
      <c r="R446" s="7"/>
    </row>
    <row r="447" spans="1:18" ht="15" customHeight="1" x14ac:dyDescent="0.3">
      <c r="A447" s="26" t="str">
        <f t="shared" si="6"/>
        <v/>
      </c>
      <c r="B447" s="8"/>
      <c r="C447" s="9"/>
      <c r="D447" s="26"/>
      <c r="E447" s="26"/>
      <c r="F447" s="26"/>
      <c r="G447" s="26"/>
      <c r="H447" s="26"/>
      <c r="I447" s="25"/>
      <c r="J447" s="26"/>
      <c r="K447" s="26"/>
      <c r="L447" s="26" t="str">
        <f>IFERROR(IF(K447="","",VLOOKUP(K447,TANIMLAMALAR!$A$5:$E$104,3,0)),"")</f>
        <v/>
      </c>
      <c r="M447" s="26" t="str">
        <f>IFERROR(IF(K447="","",VLOOKUP(K447,TANIMLAMALAR!$A$5:$E$104,4,0)),"")</f>
        <v/>
      </c>
      <c r="N447" s="26"/>
      <c r="O447" s="26"/>
      <c r="P447" s="26"/>
      <c r="Q447" s="8"/>
      <c r="R447" s="25"/>
    </row>
    <row r="448" spans="1:18" ht="15" customHeight="1" x14ac:dyDescent="0.3">
      <c r="A448" s="3" t="str">
        <f t="shared" si="6"/>
        <v/>
      </c>
      <c r="B448" s="5"/>
      <c r="C448" s="6"/>
      <c r="D448" s="3"/>
      <c r="E448" s="3"/>
      <c r="F448" s="3"/>
      <c r="G448" s="3"/>
      <c r="H448" s="3"/>
      <c r="I448" s="7"/>
      <c r="J448" s="3"/>
      <c r="K448" s="3"/>
      <c r="L448" s="3" t="str">
        <f>IFERROR(IF(K448="","",VLOOKUP(K448,TANIMLAMALAR!$A$5:$E$104,3,0)),"")</f>
        <v/>
      </c>
      <c r="M448" s="3" t="str">
        <f>IFERROR(IF(K448="","",VLOOKUP(K448,TANIMLAMALAR!$A$5:$E$104,4,0)),"")</f>
        <v/>
      </c>
      <c r="N448" s="3"/>
      <c r="O448" s="3"/>
      <c r="P448" s="3"/>
      <c r="Q448" s="5"/>
      <c r="R448" s="7"/>
    </row>
    <row r="449" spans="1:18" ht="15" customHeight="1" x14ac:dyDescent="0.3">
      <c r="A449" s="26" t="str">
        <f t="shared" si="6"/>
        <v/>
      </c>
      <c r="B449" s="8"/>
      <c r="C449" s="9"/>
      <c r="D449" s="26"/>
      <c r="E449" s="26"/>
      <c r="F449" s="26"/>
      <c r="G449" s="26"/>
      <c r="H449" s="26"/>
      <c r="I449" s="25"/>
      <c r="J449" s="26"/>
      <c r="K449" s="26"/>
      <c r="L449" s="26" t="str">
        <f>IFERROR(IF(K449="","",VLOOKUP(K449,TANIMLAMALAR!$A$5:$E$104,3,0)),"")</f>
        <v/>
      </c>
      <c r="M449" s="26" t="str">
        <f>IFERROR(IF(K449="","",VLOOKUP(K449,TANIMLAMALAR!$A$5:$E$104,4,0)),"")</f>
        <v/>
      </c>
      <c r="N449" s="26"/>
      <c r="O449" s="26"/>
      <c r="P449" s="26"/>
      <c r="Q449" s="8"/>
      <c r="R449" s="25"/>
    </row>
    <row r="450" spans="1:18" ht="15" customHeight="1" x14ac:dyDescent="0.3">
      <c r="A450" s="3" t="str">
        <f t="shared" si="6"/>
        <v/>
      </c>
      <c r="B450" s="5"/>
      <c r="C450" s="6"/>
      <c r="D450" s="3"/>
      <c r="E450" s="3"/>
      <c r="F450" s="3"/>
      <c r="G450" s="3"/>
      <c r="H450" s="3"/>
      <c r="I450" s="7"/>
      <c r="J450" s="3"/>
      <c r="K450" s="3"/>
      <c r="L450" s="3" t="str">
        <f>IFERROR(IF(K450="","",VLOOKUP(K450,TANIMLAMALAR!$A$5:$E$104,3,0)),"")</f>
        <v/>
      </c>
      <c r="M450" s="3" t="str">
        <f>IFERROR(IF(K450="","",VLOOKUP(K450,TANIMLAMALAR!$A$5:$E$104,4,0)),"")</f>
        <v/>
      </c>
      <c r="N450" s="3"/>
      <c r="O450" s="3"/>
      <c r="P450" s="3"/>
      <c r="Q450" s="5"/>
      <c r="R450" s="7"/>
    </row>
    <row r="451" spans="1:18" ht="15" customHeight="1" x14ac:dyDescent="0.3">
      <c r="A451" s="26" t="str">
        <f t="shared" si="6"/>
        <v/>
      </c>
      <c r="B451" s="8"/>
      <c r="C451" s="9"/>
      <c r="D451" s="26"/>
      <c r="E451" s="26"/>
      <c r="F451" s="26"/>
      <c r="G451" s="26"/>
      <c r="H451" s="26"/>
      <c r="I451" s="25"/>
      <c r="J451" s="26"/>
      <c r="K451" s="26"/>
      <c r="L451" s="26" t="str">
        <f>IFERROR(IF(K451="","",VLOOKUP(K451,TANIMLAMALAR!$A$5:$E$104,3,0)),"")</f>
        <v/>
      </c>
      <c r="M451" s="26" t="str">
        <f>IFERROR(IF(K451="","",VLOOKUP(K451,TANIMLAMALAR!$A$5:$E$104,4,0)),"")</f>
        <v/>
      </c>
      <c r="N451" s="26"/>
      <c r="O451" s="26"/>
      <c r="P451" s="26"/>
      <c r="Q451" s="8"/>
      <c r="R451" s="25"/>
    </row>
    <row r="452" spans="1:18" ht="15" customHeight="1" x14ac:dyDescent="0.3">
      <c r="A452" s="3" t="str">
        <f t="shared" ref="A452:A503" si="7">IF(D452&lt;&gt;"","ŞKY-"&amp;TEXT(ROW()-3,"0000"),"")</f>
        <v/>
      </c>
      <c r="B452" s="5"/>
      <c r="C452" s="6"/>
      <c r="D452" s="3"/>
      <c r="E452" s="3"/>
      <c r="F452" s="3"/>
      <c r="G452" s="3"/>
      <c r="H452" s="3"/>
      <c r="I452" s="7"/>
      <c r="J452" s="3"/>
      <c r="K452" s="3"/>
      <c r="L452" s="3" t="str">
        <f>IFERROR(IF(K452="","",VLOOKUP(K452,TANIMLAMALAR!$A$5:$E$104,3,0)),"")</f>
        <v/>
      </c>
      <c r="M452" s="3" t="str">
        <f>IFERROR(IF(K452="","",VLOOKUP(K452,TANIMLAMALAR!$A$5:$E$104,4,0)),"")</f>
        <v/>
      </c>
      <c r="N452" s="3"/>
      <c r="O452" s="3"/>
      <c r="P452" s="3"/>
      <c r="Q452" s="5"/>
      <c r="R452" s="7"/>
    </row>
    <row r="453" spans="1:18" ht="15" customHeight="1" x14ac:dyDescent="0.3">
      <c r="A453" s="26" t="str">
        <f t="shared" si="7"/>
        <v/>
      </c>
      <c r="B453" s="8"/>
      <c r="C453" s="9"/>
      <c r="D453" s="26"/>
      <c r="E453" s="26"/>
      <c r="F453" s="26"/>
      <c r="G453" s="26"/>
      <c r="H453" s="26"/>
      <c r="I453" s="25"/>
      <c r="J453" s="26"/>
      <c r="K453" s="26"/>
      <c r="L453" s="26" t="str">
        <f>IFERROR(IF(K453="","",VLOOKUP(K453,TANIMLAMALAR!$A$5:$E$104,3,0)),"")</f>
        <v/>
      </c>
      <c r="M453" s="26" t="str">
        <f>IFERROR(IF(K453="","",VLOOKUP(K453,TANIMLAMALAR!$A$5:$E$104,4,0)),"")</f>
        <v/>
      </c>
      <c r="N453" s="26"/>
      <c r="O453" s="26"/>
      <c r="P453" s="26"/>
      <c r="Q453" s="8"/>
      <c r="R453" s="25"/>
    </row>
    <row r="454" spans="1:18" ht="15" customHeight="1" x14ac:dyDescent="0.3">
      <c r="A454" s="3" t="str">
        <f t="shared" si="7"/>
        <v/>
      </c>
      <c r="B454" s="5"/>
      <c r="C454" s="6"/>
      <c r="D454" s="3"/>
      <c r="E454" s="3"/>
      <c r="F454" s="3"/>
      <c r="G454" s="3"/>
      <c r="H454" s="3"/>
      <c r="I454" s="7"/>
      <c r="J454" s="3"/>
      <c r="K454" s="3"/>
      <c r="L454" s="3" t="str">
        <f>IFERROR(IF(K454="","",VLOOKUP(K454,TANIMLAMALAR!$A$5:$E$104,3,0)),"")</f>
        <v/>
      </c>
      <c r="M454" s="3" t="str">
        <f>IFERROR(IF(K454="","",VLOOKUP(K454,TANIMLAMALAR!$A$5:$E$104,4,0)),"")</f>
        <v/>
      </c>
      <c r="N454" s="3"/>
      <c r="O454" s="3"/>
      <c r="P454" s="3"/>
      <c r="Q454" s="5"/>
      <c r="R454" s="7"/>
    </row>
    <row r="455" spans="1:18" ht="15" customHeight="1" x14ac:dyDescent="0.3">
      <c r="A455" s="26" t="str">
        <f t="shared" si="7"/>
        <v/>
      </c>
      <c r="B455" s="8"/>
      <c r="C455" s="9"/>
      <c r="D455" s="26"/>
      <c r="E455" s="26"/>
      <c r="F455" s="26"/>
      <c r="G455" s="26"/>
      <c r="H455" s="26"/>
      <c r="I455" s="25"/>
      <c r="J455" s="26"/>
      <c r="K455" s="26"/>
      <c r="L455" s="26" t="str">
        <f>IFERROR(IF(K455="","",VLOOKUP(K455,TANIMLAMALAR!$A$5:$E$104,3,0)),"")</f>
        <v/>
      </c>
      <c r="M455" s="26" t="str">
        <f>IFERROR(IF(K455="","",VLOOKUP(K455,TANIMLAMALAR!$A$5:$E$104,4,0)),"")</f>
        <v/>
      </c>
      <c r="N455" s="26"/>
      <c r="O455" s="26"/>
      <c r="P455" s="26"/>
      <c r="Q455" s="8"/>
      <c r="R455" s="25"/>
    </row>
    <row r="456" spans="1:18" ht="15" customHeight="1" x14ac:dyDescent="0.3">
      <c r="A456" s="3" t="str">
        <f t="shared" si="7"/>
        <v/>
      </c>
      <c r="B456" s="5"/>
      <c r="C456" s="6"/>
      <c r="D456" s="3"/>
      <c r="E456" s="3"/>
      <c r="F456" s="3"/>
      <c r="G456" s="3"/>
      <c r="H456" s="3"/>
      <c r="I456" s="7"/>
      <c r="J456" s="3"/>
      <c r="K456" s="3"/>
      <c r="L456" s="3" t="str">
        <f>IFERROR(IF(K456="","",VLOOKUP(K456,TANIMLAMALAR!$A$5:$E$104,3,0)),"")</f>
        <v/>
      </c>
      <c r="M456" s="3" t="str">
        <f>IFERROR(IF(K456="","",VLOOKUP(K456,TANIMLAMALAR!$A$5:$E$104,4,0)),"")</f>
        <v/>
      </c>
      <c r="N456" s="3"/>
      <c r="O456" s="3"/>
      <c r="P456" s="3"/>
      <c r="Q456" s="5"/>
      <c r="R456" s="7"/>
    </row>
    <row r="457" spans="1:18" ht="15" customHeight="1" x14ac:dyDescent="0.3">
      <c r="A457" s="26" t="str">
        <f t="shared" si="7"/>
        <v/>
      </c>
      <c r="B457" s="8"/>
      <c r="C457" s="9"/>
      <c r="D457" s="26"/>
      <c r="E457" s="26"/>
      <c r="F457" s="26"/>
      <c r="G457" s="26"/>
      <c r="H457" s="26"/>
      <c r="I457" s="25"/>
      <c r="J457" s="26"/>
      <c r="K457" s="26"/>
      <c r="L457" s="26" t="str">
        <f>IFERROR(IF(K457="","",VLOOKUP(K457,TANIMLAMALAR!$A$5:$E$104,3,0)),"")</f>
        <v/>
      </c>
      <c r="M457" s="26" t="str">
        <f>IFERROR(IF(K457="","",VLOOKUP(K457,TANIMLAMALAR!$A$5:$E$104,4,0)),"")</f>
        <v/>
      </c>
      <c r="N457" s="26"/>
      <c r="O457" s="26"/>
      <c r="P457" s="26"/>
      <c r="Q457" s="8"/>
      <c r="R457" s="25"/>
    </row>
    <row r="458" spans="1:18" ht="15" customHeight="1" x14ac:dyDescent="0.3">
      <c r="A458" s="3" t="str">
        <f t="shared" si="7"/>
        <v/>
      </c>
      <c r="B458" s="5"/>
      <c r="C458" s="6"/>
      <c r="D458" s="3"/>
      <c r="E458" s="3"/>
      <c r="F458" s="3"/>
      <c r="G458" s="3"/>
      <c r="H458" s="3"/>
      <c r="I458" s="7"/>
      <c r="J458" s="3"/>
      <c r="K458" s="3"/>
      <c r="L458" s="3" t="str">
        <f>IFERROR(IF(K458="","",VLOOKUP(K458,TANIMLAMALAR!$A$5:$E$104,3,0)),"")</f>
        <v/>
      </c>
      <c r="M458" s="3" t="str">
        <f>IFERROR(IF(K458="","",VLOOKUP(K458,TANIMLAMALAR!$A$5:$E$104,4,0)),"")</f>
        <v/>
      </c>
      <c r="N458" s="3"/>
      <c r="O458" s="3"/>
      <c r="P458" s="3"/>
      <c r="Q458" s="5"/>
      <c r="R458" s="7"/>
    </row>
    <row r="459" spans="1:18" ht="15" customHeight="1" x14ac:dyDescent="0.3">
      <c r="A459" s="26" t="str">
        <f t="shared" si="7"/>
        <v/>
      </c>
      <c r="B459" s="8"/>
      <c r="C459" s="9"/>
      <c r="D459" s="26"/>
      <c r="E459" s="26"/>
      <c r="F459" s="26"/>
      <c r="G459" s="26"/>
      <c r="H459" s="26"/>
      <c r="I459" s="25"/>
      <c r="J459" s="26"/>
      <c r="K459" s="26"/>
      <c r="L459" s="26" t="str">
        <f>IFERROR(IF(K459="","",VLOOKUP(K459,TANIMLAMALAR!$A$5:$E$104,3,0)),"")</f>
        <v/>
      </c>
      <c r="M459" s="26" t="str">
        <f>IFERROR(IF(K459="","",VLOOKUP(K459,TANIMLAMALAR!$A$5:$E$104,4,0)),"")</f>
        <v/>
      </c>
      <c r="N459" s="26"/>
      <c r="O459" s="26"/>
      <c r="P459" s="26"/>
      <c r="Q459" s="8"/>
      <c r="R459" s="25"/>
    </row>
    <row r="460" spans="1:18" ht="15" customHeight="1" x14ac:dyDescent="0.3">
      <c r="A460" s="3" t="str">
        <f t="shared" si="7"/>
        <v/>
      </c>
      <c r="B460" s="5"/>
      <c r="C460" s="6"/>
      <c r="D460" s="3"/>
      <c r="E460" s="3"/>
      <c r="F460" s="3"/>
      <c r="G460" s="3"/>
      <c r="H460" s="3"/>
      <c r="I460" s="7"/>
      <c r="J460" s="3"/>
      <c r="K460" s="3"/>
      <c r="L460" s="3" t="str">
        <f>IFERROR(IF(K460="","",VLOOKUP(K460,TANIMLAMALAR!$A$5:$E$104,3,0)),"")</f>
        <v/>
      </c>
      <c r="M460" s="3" t="str">
        <f>IFERROR(IF(K460="","",VLOOKUP(K460,TANIMLAMALAR!$A$5:$E$104,4,0)),"")</f>
        <v/>
      </c>
      <c r="N460" s="3"/>
      <c r="O460" s="3"/>
      <c r="P460" s="3"/>
      <c r="Q460" s="5"/>
      <c r="R460" s="7"/>
    </row>
    <row r="461" spans="1:18" ht="15" customHeight="1" x14ac:dyDescent="0.3">
      <c r="A461" s="26" t="str">
        <f t="shared" si="7"/>
        <v/>
      </c>
      <c r="B461" s="8"/>
      <c r="C461" s="9"/>
      <c r="D461" s="26"/>
      <c r="E461" s="26"/>
      <c r="F461" s="26"/>
      <c r="G461" s="26"/>
      <c r="H461" s="26"/>
      <c r="I461" s="25"/>
      <c r="J461" s="26"/>
      <c r="K461" s="26"/>
      <c r="L461" s="26" t="str">
        <f>IFERROR(IF(K461="","",VLOOKUP(K461,TANIMLAMALAR!$A$5:$E$104,3,0)),"")</f>
        <v/>
      </c>
      <c r="M461" s="26" t="str">
        <f>IFERROR(IF(K461="","",VLOOKUP(K461,TANIMLAMALAR!$A$5:$E$104,4,0)),"")</f>
        <v/>
      </c>
      <c r="N461" s="26"/>
      <c r="O461" s="26"/>
      <c r="P461" s="26"/>
      <c r="Q461" s="8"/>
      <c r="R461" s="25"/>
    </row>
    <row r="462" spans="1:18" ht="15" customHeight="1" x14ac:dyDescent="0.3">
      <c r="A462" s="3" t="str">
        <f t="shared" si="7"/>
        <v/>
      </c>
      <c r="B462" s="5"/>
      <c r="C462" s="6"/>
      <c r="D462" s="3"/>
      <c r="E462" s="3"/>
      <c r="F462" s="3"/>
      <c r="G462" s="3"/>
      <c r="H462" s="3"/>
      <c r="I462" s="7"/>
      <c r="J462" s="3"/>
      <c r="K462" s="3"/>
      <c r="L462" s="3" t="str">
        <f>IFERROR(IF(K462="","",VLOOKUP(K462,TANIMLAMALAR!$A$5:$E$104,3,0)),"")</f>
        <v/>
      </c>
      <c r="M462" s="3" t="str">
        <f>IFERROR(IF(K462="","",VLOOKUP(K462,TANIMLAMALAR!$A$5:$E$104,4,0)),"")</f>
        <v/>
      </c>
      <c r="N462" s="3"/>
      <c r="O462" s="3"/>
      <c r="P462" s="3"/>
      <c r="Q462" s="5"/>
      <c r="R462" s="7"/>
    </row>
    <row r="463" spans="1:18" ht="15" customHeight="1" x14ac:dyDescent="0.3">
      <c r="A463" s="26" t="str">
        <f t="shared" si="7"/>
        <v/>
      </c>
      <c r="B463" s="8"/>
      <c r="C463" s="9"/>
      <c r="D463" s="26"/>
      <c r="E463" s="26"/>
      <c r="F463" s="26"/>
      <c r="G463" s="26"/>
      <c r="H463" s="26"/>
      <c r="I463" s="25"/>
      <c r="J463" s="26"/>
      <c r="K463" s="26"/>
      <c r="L463" s="26" t="str">
        <f>IFERROR(IF(K463="","",VLOOKUP(K463,TANIMLAMALAR!$A$5:$E$104,3,0)),"")</f>
        <v/>
      </c>
      <c r="M463" s="26" t="str">
        <f>IFERROR(IF(K463="","",VLOOKUP(K463,TANIMLAMALAR!$A$5:$E$104,4,0)),"")</f>
        <v/>
      </c>
      <c r="N463" s="26"/>
      <c r="O463" s="26"/>
      <c r="P463" s="26"/>
      <c r="Q463" s="8"/>
      <c r="R463" s="25"/>
    </row>
    <row r="464" spans="1:18" ht="15" customHeight="1" x14ac:dyDescent="0.3">
      <c r="A464" s="3" t="str">
        <f t="shared" si="7"/>
        <v/>
      </c>
      <c r="B464" s="5"/>
      <c r="C464" s="6"/>
      <c r="D464" s="3"/>
      <c r="E464" s="3"/>
      <c r="F464" s="3"/>
      <c r="G464" s="3"/>
      <c r="H464" s="3"/>
      <c r="I464" s="7"/>
      <c r="J464" s="3"/>
      <c r="K464" s="3"/>
      <c r="L464" s="3" t="str">
        <f>IFERROR(IF(K464="","",VLOOKUP(K464,TANIMLAMALAR!$A$5:$E$104,3,0)),"")</f>
        <v/>
      </c>
      <c r="M464" s="3" t="str">
        <f>IFERROR(IF(K464="","",VLOOKUP(K464,TANIMLAMALAR!$A$5:$E$104,4,0)),"")</f>
        <v/>
      </c>
      <c r="N464" s="3"/>
      <c r="O464" s="3"/>
      <c r="P464" s="3"/>
      <c r="Q464" s="5"/>
      <c r="R464" s="7"/>
    </row>
    <row r="465" spans="1:18" ht="15" customHeight="1" x14ac:dyDescent="0.3">
      <c r="A465" s="26" t="str">
        <f t="shared" si="7"/>
        <v/>
      </c>
      <c r="B465" s="8"/>
      <c r="C465" s="9"/>
      <c r="D465" s="26"/>
      <c r="E465" s="26"/>
      <c r="F465" s="26"/>
      <c r="G465" s="26"/>
      <c r="H465" s="26"/>
      <c r="I465" s="25"/>
      <c r="J465" s="26"/>
      <c r="K465" s="26"/>
      <c r="L465" s="26" t="str">
        <f>IFERROR(IF(K465="","",VLOOKUP(K465,TANIMLAMALAR!$A$5:$E$104,3,0)),"")</f>
        <v/>
      </c>
      <c r="M465" s="26" t="str">
        <f>IFERROR(IF(K465="","",VLOOKUP(K465,TANIMLAMALAR!$A$5:$E$104,4,0)),"")</f>
        <v/>
      </c>
      <c r="N465" s="26"/>
      <c r="O465" s="26"/>
      <c r="P465" s="26"/>
      <c r="Q465" s="8"/>
      <c r="R465" s="25"/>
    </row>
    <row r="466" spans="1:18" ht="15" customHeight="1" x14ac:dyDescent="0.3">
      <c r="A466" s="3" t="str">
        <f t="shared" si="7"/>
        <v/>
      </c>
      <c r="B466" s="5"/>
      <c r="C466" s="6"/>
      <c r="D466" s="3"/>
      <c r="E466" s="3"/>
      <c r="F466" s="3"/>
      <c r="G466" s="3"/>
      <c r="H466" s="3"/>
      <c r="I466" s="7"/>
      <c r="J466" s="3"/>
      <c r="K466" s="3"/>
      <c r="L466" s="3" t="str">
        <f>IFERROR(IF(K466="","",VLOOKUP(K466,TANIMLAMALAR!$A$5:$E$104,3,0)),"")</f>
        <v/>
      </c>
      <c r="M466" s="3" t="str">
        <f>IFERROR(IF(K466="","",VLOOKUP(K466,TANIMLAMALAR!$A$5:$E$104,4,0)),"")</f>
        <v/>
      </c>
      <c r="N466" s="3"/>
      <c r="O466" s="3"/>
      <c r="P466" s="3"/>
      <c r="Q466" s="5"/>
      <c r="R466" s="7"/>
    </row>
    <row r="467" spans="1:18" ht="15" customHeight="1" x14ac:dyDescent="0.3">
      <c r="A467" s="26" t="str">
        <f t="shared" si="7"/>
        <v/>
      </c>
      <c r="B467" s="8"/>
      <c r="C467" s="9"/>
      <c r="D467" s="26"/>
      <c r="E467" s="26"/>
      <c r="F467" s="26"/>
      <c r="G467" s="26"/>
      <c r="H467" s="26"/>
      <c r="I467" s="25"/>
      <c r="J467" s="26"/>
      <c r="K467" s="26"/>
      <c r="L467" s="26" t="str">
        <f>IFERROR(IF(K467="","",VLOOKUP(K467,TANIMLAMALAR!$A$5:$E$104,3,0)),"")</f>
        <v/>
      </c>
      <c r="M467" s="26" t="str">
        <f>IFERROR(IF(K467="","",VLOOKUP(K467,TANIMLAMALAR!$A$5:$E$104,4,0)),"")</f>
        <v/>
      </c>
      <c r="N467" s="26"/>
      <c r="O467" s="26"/>
      <c r="P467" s="26"/>
      <c r="Q467" s="8"/>
      <c r="R467" s="25"/>
    </row>
    <row r="468" spans="1:18" ht="15" customHeight="1" x14ac:dyDescent="0.3">
      <c r="A468" s="3" t="str">
        <f t="shared" si="7"/>
        <v/>
      </c>
      <c r="B468" s="5"/>
      <c r="C468" s="6"/>
      <c r="D468" s="3"/>
      <c r="E468" s="3"/>
      <c r="F468" s="3"/>
      <c r="G468" s="3"/>
      <c r="H468" s="3"/>
      <c r="I468" s="7"/>
      <c r="J468" s="3"/>
      <c r="K468" s="3"/>
      <c r="L468" s="3" t="str">
        <f>IFERROR(IF(K468="","",VLOOKUP(K468,TANIMLAMALAR!$A$5:$E$104,3,0)),"")</f>
        <v/>
      </c>
      <c r="M468" s="3" t="str">
        <f>IFERROR(IF(K468="","",VLOOKUP(K468,TANIMLAMALAR!$A$5:$E$104,4,0)),"")</f>
        <v/>
      </c>
      <c r="N468" s="3"/>
      <c r="O468" s="3"/>
      <c r="P468" s="3"/>
      <c r="Q468" s="5"/>
      <c r="R468" s="7"/>
    </row>
    <row r="469" spans="1:18" ht="15" customHeight="1" x14ac:dyDescent="0.3">
      <c r="A469" s="26" t="str">
        <f t="shared" si="7"/>
        <v/>
      </c>
      <c r="B469" s="8"/>
      <c r="C469" s="9"/>
      <c r="D469" s="26"/>
      <c r="E469" s="26"/>
      <c r="F469" s="26"/>
      <c r="G469" s="26"/>
      <c r="H469" s="26"/>
      <c r="I469" s="25"/>
      <c r="J469" s="26"/>
      <c r="K469" s="26"/>
      <c r="L469" s="26" t="str">
        <f>IFERROR(IF(K469="","",VLOOKUP(K469,TANIMLAMALAR!$A$5:$E$104,3,0)),"")</f>
        <v/>
      </c>
      <c r="M469" s="26" t="str">
        <f>IFERROR(IF(K469="","",VLOOKUP(K469,TANIMLAMALAR!$A$5:$E$104,4,0)),"")</f>
        <v/>
      </c>
      <c r="N469" s="26"/>
      <c r="O469" s="26"/>
      <c r="P469" s="26"/>
      <c r="Q469" s="8"/>
      <c r="R469" s="25"/>
    </row>
    <row r="470" spans="1:18" ht="15" customHeight="1" x14ac:dyDescent="0.3">
      <c r="A470" s="3" t="str">
        <f t="shared" si="7"/>
        <v/>
      </c>
      <c r="B470" s="5"/>
      <c r="C470" s="6"/>
      <c r="D470" s="3"/>
      <c r="E470" s="3"/>
      <c r="F470" s="3"/>
      <c r="G470" s="3"/>
      <c r="H470" s="3"/>
      <c r="I470" s="7"/>
      <c r="J470" s="3"/>
      <c r="K470" s="3"/>
      <c r="L470" s="3" t="str">
        <f>IFERROR(IF(K470="","",VLOOKUP(K470,TANIMLAMALAR!$A$5:$E$104,3,0)),"")</f>
        <v/>
      </c>
      <c r="M470" s="3" t="str">
        <f>IFERROR(IF(K470="","",VLOOKUP(K470,TANIMLAMALAR!$A$5:$E$104,4,0)),"")</f>
        <v/>
      </c>
      <c r="N470" s="3"/>
      <c r="O470" s="3"/>
      <c r="P470" s="3"/>
      <c r="Q470" s="5"/>
      <c r="R470" s="7"/>
    </row>
    <row r="471" spans="1:18" ht="15" customHeight="1" x14ac:dyDescent="0.3">
      <c r="A471" s="26" t="str">
        <f t="shared" si="7"/>
        <v/>
      </c>
      <c r="B471" s="8"/>
      <c r="C471" s="9"/>
      <c r="D471" s="26"/>
      <c r="E471" s="26"/>
      <c r="F471" s="26"/>
      <c r="G471" s="26"/>
      <c r="H471" s="26"/>
      <c r="I471" s="25"/>
      <c r="J471" s="26"/>
      <c r="K471" s="26"/>
      <c r="L471" s="26" t="str">
        <f>IFERROR(IF(K471="","",VLOOKUP(K471,TANIMLAMALAR!$A$5:$E$104,3,0)),"")</f>
        <v/>
      </c>
      <c r="M471" s="26" t="str">
        <f>IFERROR(IF(K471="","",VLOOKUP(K471,TANIMLAMALAR!$A$5:$E$104,4,0)),"")</f>
        <v/>
      </c>
      <c r="N471" s="26"/>
      <c r="O471" s="26"/>
      <c r="P471" s="26"/>
      <c r="Q471" s="8"/>
      <c r="R471" s="25"/>
    </row>
    <row r="472" spans="1:18" ht="15" customHeight="1" x14ac:dyDescent="0.3">
      <c r="A472" s="3" t="str">
        <f t="shared" si="7"/>
        <v/>
      </c>
      <c r="B472" s="5"/>
      <c r="C472" s="6"/>
      <c r="D472" s="3"/>
      <c r="E472" s="3"/>
      <c r="F472" s="3"/>
      <c r="G472" s="3"/>
      <c r="H472" s="3"/>
      <c r="I472" s="7"/>
      <c r="J472" s="3"/>
      <c r="K472" s="3"/>
      <c r="L472" s="3" t="str">
        <f>IFERROR(IF(K472="","",VLOOKUP(K472,TANIMLAMALAR!$A$5:$E$104,3,0)),"")</f>
        <v/>
      </c>
      <c r="M472" s="3" t="str">
        <f>IFERROR(IF(K472="","",VLOOKUP(K472,TANIMLAMALAR!$A$5:$E$104,4,0)),"")</f>
        <v/>
      </c>
      <c r="N472" s="3"/>
      <c r="O472" s="3"/>
      <c r="P472" s="3"/>
      <c r="Q472" s="5"/>
      <c r="R472" s="7"/>
    </row>
    <row r="473" spans="1:18" ht="15" customHeight="1" x14ac:dyDescent="0.3">
      <c r="A473" s="26" t="str">
        <f t="shared" si="7"/>
        <v/>
      </c>
      <c r="B473" s="8"/>
      <c r="C473" s="9"/>
      <c r="D473" s="26"/>
      <c r="E473" s="26"/>
      <c r="F473" s="26"/>
      <c r="G473" s="26"/>
      <c r="H473" s="26"/>
      <c r="I473" s="25"/>
      <c r="J473" s="26"/>
      <c r="K473" s="26"/>
      <c r="L473" s="26" t="str">
        <f>IFERROR(IF(K473="","",VLOOKUP(K473,TANIMLAMALAR!$A$5:$E$104,3,0)),"")</f>
        <v/>
      </c>
      <c r="M473" s="26" t="str">
        <f>IFERROR(IF(K473="","",VLOOKUP(K473,TANIMLAMALAR!$A$5:$E$104,4,0)),"")</f>
        <v/>
      </c>
      <c r="N473" s="26"/>
      <c r="O473" s="26"/>
      <c r="P473" s="26"/>
      <c r="Q473" s="8"/>
      <c r="R473" s="25"/>
    </row>
    <row r="474" spans="1:18" ht="15" customHeight="1" x14ac:dyDescent="0.3">
      <c r="A474" s="3" t="str">
        <f t="shared" si="7"/>
        <v/>
      </c>
      <c r="B474" s="5"/>
      <c r="C474" s="6"/>
      <c r="D474" s="3"/>
      <c r="E474" s="3"/>
      <c r="F474" s="3"/>
      <c r="G474" s="3"/>
      <c r="H474" s="3"/>
      <c r="I474" s="7"/>
      <c r="J474" s="3"/>
      <c r="K474" s="3"/>
      <c r="L474" s="3" t="str">
        <f>IFERROR(IF(K474="","",VLOOKUP(K474,TANIMLAMALAR!$A$5:$E$104,3,0)),"")</f>
        <v/>
      </c>
      <c r="M474" s="3" t="str">
        <f>IFERROR(IF(K474="","",VLOOKUP(K474,TANIMLAMALAR!$A$5:$E$104,4,0)),"")</f>
        <v/>
      </c>
      <c r="N474" s="3"/>
      <c r="O474" s="3"/>
      <c r="P474" s="3"/>
      <c r="Q474" s="5"/>
      <c r="R474" s="7"/>
    </row>
    <row r="475" spans="1:18" ht="15" customHeight="1" x14ac:dyDescent="0.3">
      <c r="A475" s="26" t="str">
        <f t="shared" si="7"/>
        <v/>
      </c>
      <c r="B475" s="8"/>
      <c r="C475" s="9"/>
      <c r="D475" s="26"/>
      <c r="E475" s="26"/>
      <c r="F475" s="26"/>
      <c r="G475" s="26"/>
      <c r="H475" s="26"/>
      <c r="I475" s="25"/>
      <c r="J475" s="26"/>
      <c r="K475" s="26"/>
      <c r="L475" s="26" t="str">
        <f>IFERROR(IF(K475="","",VLOOKUP(K475,TANIMLAMALAR!$A$5:$E$104,3,0)),"")</f>
        <v/>
      </c>
      <c r="M475" s="26" t="str">
        <f>IFERROR(IF(K475="","",VLOOKUP(K475,TANIMLAMALAR!$A$5:$E$104,4,0)),"")</f>
        <v/>
      </c>
      <c r="N475" s="26"/>
      <c r="O475" s="26"/>
      <c r="P475" s="26"/>
      <c r="Q475" s="8"/>
      <c r="R475" s="25"/>
    </row>
    <row r="476" spans="1:18" ht="15" customHeight="1" x14ac:dyDescent="0.3">
      <c r="A476" s="3" t="str">
        <f t="shared" si="7"/>
        <v/>
      </c>
      <c r="B476" s="5"/>
      <c r="C476" s="6"/>
      <c r="D476" s="3"/>
      <c r="E476" s="3"/>
      <c r="F476" s="3"/>
      <c r="G476" s="3"/>
      <c r="H476" s="3"/>
      <c r="I476" s="7"/>
      <c r="J476" s="3"/>
      <c r="K476" s="3"/>
      <c r="L476" s="3" t="str">
        <f>IFERROR(IF(K476="","",VLOOKUP(K476,TANIMLAMALAR!$A$5:$E$104,3,0)),"")</f>
        <v/>
      </c>
      <c r="M476" s="3" t="str">
        <f>IFERROR(IF(K476="","",VLOOKUP(K476,TANIMLAMALAR!$A$5:$E$104,4,0)),"")</f>
        <v/>
      </c>
      <c r="N476" s="3"/>
      <c r="O476" s="3"/>
      <c r="P476" s="3"/>
      <c r="Q476" s="5"/>
      <c r="R476" s="7"/>
    </row>
    <row r="477" spans="1:18" ht="15" customHeight="1" x14ac:dyDescent="0.3">
      <c r="A477" s="26" t="str">
        <f t="shared" si="7"/>
        <v/>
      </c>
      <c r="B477" s="8"/>
      <c r="C477" s="9"/>
      <c r="D477" s="26"/>
      <c r="E477" s="26"/>
      <c r="F477" s="26"/>
      <c r="G477" s="26"/>
      <c r="H477" s="26"/>
      <c r="I477" s="25"/>
      <c r="J477" s="26"/>
      <c r="K477" s="26"/>
      <c r="L477" s="26" t="str">
        <f>IFERROR(IF(K477="","",VLOOKUP(K477,TANIMLAMALAR!$A$5:$E$104,3,0)),"")</f>
        <v/>
      </c>
      <c r="M477" s="26" t="str">
        <f>IFERROR(IF(K477="","",VLOOKUP(K477,TANIMLAMALAR!$A$5:$E$104,4,0)),"")</f>
        <v/>
      </c>
      <c r="N477" s="26"/>
      <c r="O477" s="26"/>
      <c r="P477" s="26"/>
      <c r="Q477" s="8"/>
      <c r="R477" s="25"/>
    </row>
    <row r="478" spans="1:18" ht="15" customHeight="1" x14ac:dyDescent="0.3">
      <c r="A478" s="3" t="str">
        <f t="shared" si="7"/>
        <v/>
      </c>
      <c r="B478" s="5"/>
      <c r="C478" s="6"/>
      <c r="D478" s="3"/>
      <c r="E478" s="3"/>
      <c r="F478" s="3"/>
      <c r="G478" s="3"/>
      <c r="H478" s="3"/>
      <c r="I478" s="7"/>
      <c r="J478" s="3"/>
      <c r="K478" s="3"/>
      <c r="L478" s="3" t="str">
        <f>IFERROR(IF(K478="","",VLOOKUP(K478,TANIMLAMALAR!$A$5:$E$104,3,0)),"")</f>
        <v/>
      </c>
      <c r="M478" s="3" t="str">
        <f>IFERROR(IF(K478="","",VLOOKUP(K478,TANIMLAMALAR!$A$5:$E$104,4,0)),"")</f>
        <v/>
      </c>
      <c r="N478" s="3"/>
      <c r="O478" s="3"/>
      <c r="P478" s="3"/>
      <c r="Q478" s="5"/>
      <c r="R478" s="7"/>
    </row>
    <row r="479" spans="1:18" ht="15" customHeight="1" x14ac:dyDescent="0.3">
      <c r="A479" s="26" t="str">
        <f t="shared" si="7"/>
        <v/>
      </c>
      <c r="B479" s="8"/>
      <c r="C479" s="9"/>
      <c r="D479" s="26"/>
      <c r="E479" s="26"/>
      <c r="F479" s="26"/>
      <c r="G479" s="26"/>
      <c r="H479" s="26"/>
      <c r="I479" s="25"/>
      <c r="J479" s="26"/>
      <c r="K479" s="26"/>
      <c r="L479" s="26" t="str">
        <f>IFERROR(IF(K479="","",VLOOKUP(K479,TANIMLAMALAR!$A$5:$E$104,3,0)),"")</f>
        <v/>
      </c>
      <c r="M479" s="26" t="str">
        <f>IFERROR(IF(K479="","",VLOOKUP(K479,TANIMLAMALAR!$A$5:$E$104,4,0)),"")</f>
        <v/>
      </c>
      <c r="N479" s="26"/>
      <c r="O479" s="26"/>
      <c r="P479" s="26"/>
      <c r="Q479" s="8"/>
      <c r="R479" s="25"/>
    </row>
    <row r="480" spans="1:18" ht="15" customHeight="1" x14ac:dyDescent="0.3">
      <c r="A480" s="3" t="str">
        <f t="shared" si="7"/>
        <v/>
      </c>
      <c r="B480" s="5"/>
      <c r="C480" s="6"/>
      <c r="D480" s="3"/>
      <c r="E480" s="3"/>
      <c r="F480" s="3"/>
      <c r="G480" s="3"/>
      <c r="H480" s="3"/>
      <c r="I480" s="7"/>
      <c r="J480" s="3"/>
      <c r="K480" s="3"/>
      <c r="L480" s="3" t="str">
        <f>IFERROR(IF(K480="","",VLOOKUP(K480,TANIMLAMALAR!$A$5:$E$104,3,0)),"")</f>
        <v/>
      </c>
      <c r="M480" s="3" t="str">
        <f>IFERROR(IF(K480="","",VLOOKUP(K480,TANIMLAMALAR!$A$5:$E$104,4,0)),"")</f>
        <v/>
      </c>
      <c r="N480" s="3"/>
      <c r="O480" s="3"/>
      <c r="P480" s="3"/>
      <c r="Q480" s="5"/>
      <c r="R480" s="7"/>
    </row>
    <row r="481" spans="1:18" ht="15" customHeight="1" x14ac:dyDescent="0.3">
      <c r="A481" s="26" t="str">
        <f t="shared" si="7"/>
        <v/>
      </c>
      <c r="B481" s="8"/>
      <c r="C481" s="9"/>
      <c r="D481" s="26"/>
      <c r="E481" s="26"/>
      <c r="F481" s="26"/>
      <c r="G481" s="26"/>
      <c r="H481" s="26"/>
      <c r="I481" s="25"/>
      <c r="J481" s="26"/>
      <c r="K481" s="26"/>
      <c r="L481" s="26" t="str">
        <f>IFERROR(IF(K481="","",VLOOKUP(K481,TANIMLAMALAR!$A$5:$E$104,3,0)),"")</f>
        <v/>
      </c>
      <c r="M481" s="26" t="str">
        <f>IFERROR(IF(K481="","",VLOOKUP(K481,TANIMLAMALAR!$A$5:$E$104,4,0)),"")</f>
        <v/>
      </c>
      <c r="N481" s="26"/>
      <c r="O481" s="26"/>
      <c r="P481" s="26"/>
      <c r="Q481" s="8"/>
      <c r="R481" s="25"/>
    </row>
    <row r="482" spans="1:18" ht="15" customHeight="1" x14ac:dyDescent="0.3">
      <c r="A482" s="3" t="str">
        <f t="shared" si="7"/>
        <v/>
      </c>
      <c r="B482" s="5"/>
      <c r="C482" s="6"/>
      <c r="D482" s="3"/>
      <c r="E482" s="3"/>
      <c r="F482" s="3"/>
      <c r="G482" s="3"/>
      <c r="H482" s="3"/>
      <c r="I482" s="7"/>
      <c r="J482" s="3"/>
      <c r="K482" s="3"/>
      <c r="L482" s="3" t="str">
        <f>IFERROR(IF(K482="","",VLOOKUP(K482,TANIMLAMALAR!$A$5:$E$104,3,0)),"")</f>
        <v/>
      </c>
      <c r="M482" s="3" t="str">
        <f>IFERROR(IF(K482="","",VLOOKUP(K482,TANIMLAMALAR!$A$5:$E$104,4,0)),"")</f>
        <v/>
      </c>
      <c r="N482" s="3"/>
      <c r="O482" s="3"/>
      <c r="P482" s="3"/>
      <c r="Q482" s="5"/>
      <c r="R482" s="7"/>
    </row>
    <row r="483" spans="1:18" ht="15" customHeight="1" x14ac:dyDescent="0.3">
      <c r="A483" s="26" t="str">
        <f t="shared" si="7"/>
        <v/>
      </c>
      <c r="B483" s="8"/>
      <c r="C483" s="9"/>
      <c r="D483" s="26"/>
      <c r="E483" s="26"/>
      <c r="F483" s="26"/>
      <c r="G483" s="26"/>
      <c r="H483" s="26"/>
      <c r="I483" s="25"/>
      <c r="J483" s="26"/>
      <c r="K483" s="26"/>
      <c r="L483" s="26" t="str">
        <f>IFERROR(IF(K483="","",VLOOKUP(K483,TANIMLAMALAR!$A$5:$E$104,3,0)),"")</f>
        <v/>
      </c>
      <c r="M483" s="26" t="str">
        <f>IFERROR(IF(K483="","",VLOOKUP(K483,TANIMLAMALAR!$A$5:$E$104,4,0)),"")</f>
        <v/>
      </c>
      <c r="N483" s="26"/>
      <c r="O483" s="26"/>
      <c r="P483" s="26"/>
      <c r="Q483" s="8"/>
      <c r="R483" s="25"/>
    </row>
    <row r="484" spans="1:18" ht="15" customHeight="1" x14ac:dyDescent="0.3">
      <c r="A484" s="3" t="str">
        <f t="shared" si="7"/>
        <v/>
      </c>
      <c r="B484" s="5"/>
      <c r="C484" s="6"/>
      <c r="D484" s="3"/>
      <c r="E484" s="3"/>
      <c r="F484" s="3"/>
      <c r="G484" s="3"/>
      <c r="H484" s="3"/>
      <c r="I484" s="7"/>
      <c r="J484" s="3"/>
      <c r="K484" s="3"/>
      <c r="L484" s="3" t="str">
        <f>IFERROR(IF(K484="","",VLOOKUP(K484,TANIMLAMALAR!$A$5:$E$104,3,0)),"")</f>
        <v/>
      </c>
      <c r="M484" s="3" t="str">
        <f>IFERROR(IF(K484="","",VLOOKUP(K484,TANIMLAMALAR!$A$5:$E$104,4,0)),"")</f>
        <v/>
      </c>
      <c r="N484" s="3"/>
      <c r="O484" s="3"/>
      <c r="P484" s="3"/>
      <c r="Q484" s="5"/>
      <c r="R484" s="7"/>
    </row>
    <row r="485" spans="1:18" ht="15" customHeight="1" x14ac:dyDescent="0.3">
      <c r="A485" s="26" t="str">
        <f t="shared" si="7"/>
        <v/>
      </c>
      <c r="B485" s="8"/>
      <c r="C485" s="9"/>
      <c r="D485" s="26"/>
      <c r="E485" s="26"/>
      <c r="F485" s="26"/>
      <c r="G485" s="26"/>
      <c r="H485" s="26"/>
      <c r="I485" s="25"/>
      <c r="J485" s="26"/>
      <c r="K485" s="26"/>
      <c r="L485" s="26" t="str">
        <f>IFERROR(IF(K485="","",VLOOKUP(K485,TANIMLAMALAR!$A$5:$E$104,3,0)),"")</f>
        <v/>
      </c>
      <c r="M485" s="26" t="str">
        <f>IFERROR(IF(K485="","",VLOOKUP(K485,TANIMLAMALAR!$A$5:$E$104,4,0)),"")</f>
        <v/>
      </c>
      <c r="N485" s="26"/>
      <c r="O485" s="26"/>
      <c r="P485" s="26"/>
      <c r="Q485" s="8"/>
      <c r="R485" s="25"/>
    </row>
    <row r="486" spans="1:18" ht="15" customHeight="1" x14ac:dyDescent="0.3">
      <c r="A486" s="3" t="str">
        <f t="shared" si="7"/>
        <v/>
      </c>
      <c r="B486" s="5"/>
      <c r="C486" s="6"/>
      <c r="D486" s="3"/>
      <c r="E486" s="3"/>
      <c r="F486" s="3"/>
      <c r="G486" s="3"/>
      <c r="H486" s="3"/>
      <c r="I486" s="7"/>
      <c r="J486" s="3"/>
      <c r="K486" s="3"/>
      <c r="L486" s="3" t="str">
        <f>IFERROR(IF(K486="","",VLOOKUP(K486,TANIMLAMALAR!$A$5:$E$104,3,0)),"")</f>
        <v/>
      </c>
      <c r="M486" s="3" t="str">
        <f>IFERROR(IF(K486="","",VLOOKUP(K486,TANIMLAMALAR!$A$5:$E$104,4,0)),"")</f>
        <v/>
      </c>
      <c r="N486" s="3"/>
      <c r="O486" s="3"/>
      <c r="P486" s="3"/>
      <c r="Q486" s="5"/>
      <c r="R486" s="7"/>
    </row>
    <row r="487" spans="1:18" ht="15" customHeight="1" x14ac:dyDescent="0.3">
      <c r="A487" s="26" t="str">
        <f t="shared" si="7"/>
        <v/>
      </c>
      <c r="B487" s="8"/>
      <c r="C487" s="9"/>
      <c r="D487" s="26"/>
      <c r="E487" s="26"/>
      <c r="F487" s="26"/>
      <c r="G487" s="26"/>
      <c r="H487" s="26"/>
      <c r="I487" s="25"/>
      <c r="J487" s="26"/>
      <c r="K487" s="26"/>
      <c r="L487" s="26" t="str">
        <f>IFERROR(IF(K487="","",VLOOKUP(K487,TANIMLAMALAR!$A$5:$E$104,3,0)),"")</f>
        <v/>
      </c>
      <c r="M487" s="26" t="str">
        <f>IFERROR(IF(K487="","",VLOOKUP(K487,TANIMLAMALAR!$A$5:$E$104,4,0)),"")</f>
        <v/>
      </c>
      <c r="N487" s="26"/>
      <c r="O487" s="26"/>
      <c r="P487" s="26"/>
      <c r="Q487" s="8"/>
      <c r="R487" s="25"/>
    </row>
    <row r="488" spans="1:18" ht="15" customHeight="1" x14ac:dyDescent="0.3">
      <c r="A488" s="3" t="str">
        <f t="shared" si="7"/>
        <v/>
      </c>
      <c r="B488" s="5"/>
      <c r="C488" s="6"/>
      <c r="D488" s="3"/>
      <c r="E488" s="3"/>
      <c r="F488" s="3"/>
      <c r="G488" s="3"/>
      <c r="H488" s="3"/>
      <c r="I488" s="7"/>
      <c r="J488" s="3"/>
      <c r="K488" s="3"/>
      <c r="L488" s="3" t="str">
        <f>IFERROR(IF(K488="","",VLOOKUP(K488,TANIMLAMALAR!$A$5:$E$104,3,0)),"")</f>
        <v/>
      </c>
      <c r="M488" s="3" t="str">
        <f>IFERROR(IF(K488="","",VLOOKUP(K488,TANIMLAMALAR!$A$5:$E$104,4,0)),"")</f>
        <v/>
      </c>
      <c r="N488" s="3"/>
      <c r="O488" s="3"/>
      <c r="P488" s="3"/>
      <c r="Q488" s="5"/>
      <c r="R488" s="7"/>
    </row>
    <row r="489" spans="1:18" ht="15" customHeight="1" x14ac:dyDescent="0.3">
      <c r="A489" s="26" t="str">
        <f t="shared" si="7"/>
        <v/>
      </c>
      <c r="B489" s="8"/>
      <c r="C489" s="9"/>
      <c r="D489" s="26"/>
      <c r="E489" s="26"/>
      <c r="F489" s="26"/>
      <c r="G489" s="26"/>
      <c r="H489" s="26"/>
      <c r="I489" s="25"/>
      <c r="J489" s="26"/>
      <c r="K489" s="26"/>
      <c r="L489" s="26" t="str">
        <f>IFERROR(IF(K489="","",VLOOKUP(K489,TANIMLAMALAR!$A$5:$E$104,3,0)),"")</f>
        <v/>
      </c>
      <c r="M489" s="26" t="str">
        <f>IFERROR(IF(K489="","",VLOOKUP(K489,TANIMLAMALAR!$A$5:$E$104,4,0)),"")</f>
        <v/>
      </c>
      <c r="N489" s="26"/>
      <c r="O489" s="26"/>
      <c r="P489" s="26"/>
      <c r="Q489" s="8"/>
      <c r="R489" s="25"/>
    </row>
    <row r="490" spans="1:18" ht="15" customHeight="1" x14ac:dyDescent="0.3">
      <c r="A490" s="3" t="str">
        <f t="shared" si="7"/>
        <v/>
      </c>
      <c r="B490" s="5"/>
      <c r="C490" s="6"/>
      <c r="D490" s="3"/>
      <c r="E490" s="3"/>
      <c r="F490" s="3"/>
      <c r="G490" s="3"/>
      <c r="H490" s="3"/>
      <c r="I490" s="7"/>
      <c r="J490" s="3"/>
      <c r="K490" s="3"/>
      <c r="L490" s="3" t="str">
        <f>IFERROR(IF(K490="","",VLOOKUP(K490,TANIMLAMALAR!$A$5:$E$104,3,0)),"")</f>
        <v/>
      </c>
      <c r="M490" s="3" t="str">
        <f>IFERROR(IF(K490="","",VLOOKUP(K490,TANIMLAMALAR!$A$5:$E$104,4,0)),"")</f>
        <v/>
      </c>
      <c r="N490" s="3"/>
      <c r="O490" s="3"/>
      <c r="P490" s="3"/>
      <c r="Q490" s="5"/>
      <c r="R490" s="7"/>
    </row>
    <row r="491" spans="1:18" ht="15" customHeight="1" x14ac:dyDescent="0.3">
      <c r="A491" s="26" t="str">
        <f t="shared" si="7"/>
        <v/>
      </c>
      <c r="B491" s="8"/>
      <c r="C491" s="9"/>
      <c r="D491" s="26"/>
      <c r="E491" s="26"/>
      <c r="F491" s="26"/>
      <c r="G491" s="26"/>
      <c r="H491" s="26"/>
      <c r="I491" s="25"/>
      <c r="J491" s="26"/>
      <c r="K491" s="26"/>
      <c r="L491" s="26" t="str">
        <f>IFERROR(IF(K491="","",VLOOKUP(K491,TANIMLAMALAR!$A$5:$E$104,3,0)),"")</f>
        <v/>
      </c>
      <c r="M491" s="26" t="str">
        <f>IFERROR(IF(K491="","",VLOOKUP(K491,TANIMLAMALAR!$A$5:$E$104,4,0)),"")</f>
        <v/>
      </c>
      <c r="N491" s="26"/>
      <c r="O491" s="26"/>
      <c r="P491" s="26"/>
      <c r="Q491" s="8"/>
      <c r="R491" s="25"/>
    </row>
    <row r="492" spans="1:18" ht="15" customHeight="1" x14ac:dyDescent="0.3">
      <c r="A492" s="3" t="str">
        <f t="shared" si="7"/>
        <v/>
      </c>
      <c r="B492" s="5"/>
      <c r="C492" s="6"/>
      <c r="D492" s="3"/>
      <c r="E492" s="3"/>
      <c r="F492" s="3"/>
      <c r="G492" s="3"/>
      <c r="H492" s="3"/>
      <c r="I492" s="7"/>
      <c r="J492" s="3"/>
      <c r="K492" s="3"/>
      <c r="L492" s="3" t="str">
        <f>IFERROR(IF(K492="","",VLOOKUP(K492,TANIMLAMALAR!$A$5:$E$104,3,0)),"")</f>
        <v/>
      </c>
      <c r="M492" s="3" t="str">
        <f>IFERROR(IF(K492="","",VLOOKUP(K492,TANIMLAMALAR!$A$5:$E$104,4,0)),"")</f>
        <v/>
      </c>
      <c r="N492" s="3"/>
      <c r="O492" s="3"/>
      <c r="P492" s="3"/>
      <c r="Q492" s="5"/>
      <c r="R492" s="7"/>
    </row>
    <row r="493" spans="1:18" ht="15" customHeight="1" x14ac:dyDescent="0.3">
      <c r="A493" s="26" t="str">
        <f t="shared" si="7"/>
        <v/>
      </c>
      <c r="B493" s="8"/>
      <c r="C493" s="9"/>
      <c r="D493" s="26"/>
      <c r="E493" s="26"/>
      <c r="F493" s="26"/>
      <c r="G493" s="26"/>
      <c r="H493" s="26"/>
      <c r="I493" s="25"/>
      <c r="J493" s="26"/>
      <c r="K493" s="26"/>
      <c r="L493" s="26" t="str">
        <f>IFERROR(IF(K493="","",VLOOKUP(K493,TANIMLAMALAR!$A$5:$E$104,3,0)),"")</f>
        <v/>
      </c>
      <c r="M493" s="26" t="str">
        <f>IFERROR(IF(K493="","",VLOOKUP(K493,TANIMLAMALAR!$A$5:$E$104,4,0)),"")</f>
        <v/>
      </c>
      <c r="N493" s="26"/>
      <c r="O493" s="26"/>
      <c r="P493" s="26"/>
      <c r="Q493" s="8"/>
      <c r="R493" s="25"/>
    </row>
    <row r="494" spans="1:18" ht="15" customHeight="1" x14ac:dyDescent="0.3">
      <c r="A494" s="3" t="str">
        <f t="shared" si="7"/>
        <v/>
      </c>
      <c r="B494" s="5"/>
      <c r="C494" s="6"/>
      <c r="D494" s="3"/>
      <c r="E494" s="3"/>
      <c r="F494" s="3"/>
      <c r="G494" s="3"/>
      <c r="H494" s="3"/>
      <c r="I494" s="7"/>
      <c r="J494" s="3"/>
      <c r="K494" s="3"/>
      <c r="L494" s="3" t="str">
        <f>IFERROR(IF(K494="","",VLOOKUP(K494,TANIMLAMALAR!$A$5:$E$104,3,0)),"")</f>
        <v/>
      </c>
      <c r="M494" s="3" t="str">
        <f>IFERROR(IF(K494="","",VLOOKUP(K494,TANIMLAMALAR!$A$5:$E$104,4,0)),"")</f>
        <v/>
      </c>
      <c r="N494" s="3"/>
      <c r="O494" s="3"/>
      <c r="P494" s="3"/>
      <c r="Q494" s="5"/>
      <c r="R494" s="7"/>
    </row>
    <row r="495" spans="1:18" ht="15" customHeight="1" x14ac:dyDescent="0.3">
      <c r="A495" s="26" t="str">
        <f t="shared" si="7"/>
        <v/>
      </c>
      <c r="B495" s="8"/>
      <c r="C495" s="9"/>
      <c r="D495" s="26"/>
      <c r="E495" s="26"/>
      <c r="F495" s="26"/>
      <c r="G495" s="26"/>
      <c r="H495" s="26"/>
      <c r="I495" s="25"/>
      <c r="J495" s="26"/>
      <c r="K495" s="26"/>
      <c r="L495" s="26" t="str">
        <f>IFERROR(IF(K495="","",VLOOKUP(K495,TANIMLAMALAR!$A$5:$E$104,3,0)),"")</f>
        <v/>
      </c>
      <c r="M495" s="26" t="str">
        <f>IFERROR(IF(K495="","",VLOOKUP(K495,TANIMLAMALAR!$A$5:$E$104,4,0)),"")</f>
        <v/>
      </c>
      <c r="N495" s="26"/>
      <c r="O495" s="26"/>
      <c r="P495" s="26"/>
      <c r="Q495" s="8"/>
      <c r="R495" s="25"/>
    </row>
    <row r="496" spans="1:18" ht="15" customHeight="1" x14ac:dyDescent="0.3">
      <c r="A496" s="3" t="str">
        <f t="shared" si="7"/>
        <v/>
      </c>
      <c r="B496" s="5"/>
      <c r="C496" s="6"/>
      <c r="D496" s="3"/>
      <c r="E496" s="3"/>
      <c r="F496" s="3"/>
      <c r="G496" s="3"/>
      <c r="H496" s="3"/>
      <c r="I496" s="7"/>
      <c r="J496" s="3"/>
      <c r="K496" s="3"/>
      <c r="L496" s="3" t="str">
        <f>IFERROR(IF(K496="","",VLOOKUP(K496,TANIMLAMALAR!$A$5:$E$104,3,0)),"")</f>
        <v/>
      </c>
      <c r="M496" s="3" t="str">
        <f>IFERROR(IF(K496="","",VLOOKUP(K496,TANIMLAMALAR!$A$5:$E$104,4,0)),"")</f>
        <v/>
      </c>
      <c r="N496" s="3"/>
      <c r="O496" s="3"/>
      <c r="P496" s="3"/>
      <c r="Q496" s="5"/>
      <c r="R496" s="7"/>
    </row>
    <row r="497" spans="1:18" ht="15" customHeight="1" x14ac:dyDescent="0.3">
      <c r="A497" s="26" t="str">
        <f t="shared" si="7"/>
        <v/>
      </c>
      <c r="B497" s="8"/>
      <c r="C497" s="9"/>
      <c r="D497" s="26"/>
      <c r="E497" s="26"/>
      <c r="F497" s="26"/>
      <c r="G497" s="26"/>
      <c r="H497" s="26"/>
      <c r="I497" s="25"/>
      <c r="J497" s="26"/>
      <c r="K497" s="26"/>
      <c r="L497" s="26" t="str">
        <f>IFERROR(IF(K497="","",VLOOKUP(K497,TANIMLAMALAR!$A$5:$E$104,3,0)),"")</f>
        <v/>
      </c>
      <c r="M497" s="26" t="str">
        <f>IFERROR(IF(K497="","",VLOOKUP(K497,TANIMLAMALAR!$A$5:$E$104,4,0)),"")</f>
        <v/>
      </c>
      <c r="N497" s="26"/>
      <c r="O497" s="26"/>
      <c r="P497" s="26"/>
      <c r="Q497" s="8"/>
      <c r="R497" s="25"/>
    </row>
    <row r="498" spans="1:18" ht="15" customHeight="1" x14ac:dyDescent="0.3">
      <c r="A498" s="3" t="str">
        <f t="shared" si="7"/>
        <v/>
      </c>
      <c r="B498" s="5"/>
      <c r="C498" s="6"/>
      <c r="D498" s="3"/>
      <c r="E498" s="3"/>
      <c r="F498" s="3"/>
      <c r="G498" s="3"/>
      <c r="H498" s="3"/>
      <c r="I498" s="7"/>
      <c r="J498" s="3"/>
      <c r="K498" s="3"/>
      <c r="L498" s="3" t="str">
        <f>IFERROR(IF(K498="","",VLOOKUP(K498,TANIMLAMALAR!$A$5:$E$104,3,0)),"")</f>
        <v/>
      </c>
      <c r="M498" s="3" t="str">
        <f>IFERROR(IF(K498="","",VLOOKUP(K498,TANIMLAMALAR!$A$5:$E$104,4,0)),"")</f>
        <v/>
      </c>
      <c r="N498" s="3"/>
      <c r="O498" s="3"/>
      <c r="P498" s="3"/>
      <c r="Q498" s="5"/>
      <c r="R498" s="7"/>
    </row>
    <row r="499" spans="1:18" ht="15" customHeight="1" x14ac:dyDescent="0.3">
      <c r="A499" s="26" t="str">
        <f t="shared" si="7"/>
        <v/>
      </c>
      <c r="B499" s="8"/>
      <c r="C499" s="9"/>
      <c r="D499" s="26"/>
      <c r="E499" s="26"/>
      <c r="F499" s="26"/>
      <c r="G499" s="26"/>
      <c r="H499" s="26"/>
      <c r="I499" s="25"/>
      <c r="J499" s="26"/>
      <c r="K499" s="26"/>
      <c r="L499" s="26" t="str">
        <f>IFERROR(IF(K499="","",VLOOKUP(K499,TANIMLAMALAR!$A$5:$E$104,3,0)),"")</f>
        <v/>
      </c>
      <c r="M499" s="26" t="str">
        <f>IFERROR(IF(K499="","",VLOOKUP(K499,TANIMLAMALAR!$A$5:$E$104,4,0)),"")</f>
        <v/>
      </c>
      <c r="N499" s="26"/>
      <c r="O499" s="26"/>
      <c r="P499" s="26"/>
      <c r="Q499" s="8"/>
      <c r="R499" s="25"/>
    </row>
    <row r="500" spans="1:18" ht="15" customHeight="1" x14ac:dyDescent="0.3">
      <c r="A500" s="3" t="str">
        <f t="shared" si="7"/>
        <v/>
      </c>
      <c r="B500" s="5"/>
      <c r="C500" s="6"/>
      <c r="D500" s="3"/>
      <c r="E500" s="3"/>
      <c r="F500" s="3"/>
      <c r="G500" s="3"/>
      <c r="H500" s="3"/>
      <c r="I500" s="7"/>
      <c r="J500" s="3"/>
      <c r="K500" s="3"/>
      <c r="L500" s="3" t="str">
        <f>IFERROR(IF(K500="","",VLOOKUP(K500,TANIMLAMALAR!$A$5:$E$104,3,0)),"")</f>
        <v/>
      </c>
      <c r="M500" s="3" t="str">
        <f>IFERROR(IF(K500="","",VLOOKUP(K500,TANIMLAMALAR!$A$5:$E$104,4,0)),"")</f>
        <v/>
      </c>
      <c r="N500" s="3"/>
      <c r="O500" s="3"/>
      <c r="P500" s="3"/>
      <c r="Q500" s="5"/>
      <c r="R500" s="7"/>
    </row>
    <row r="501" spans="1:18" ht="15" customHeight="1" x14ac:dyDescent="0.3">
      <c r="A501" s="26" t="str">
        <f t="shared" si="7"/>
        <v/>
      </c>
      <c r="B501" s="8"/>
      <c r="C501" s="9"/>
      <c r="D501" s="26"/>
      <c r="E501" s="26"/>
      <c r="F501" s="26"/>
      <c r="G501" s="26"/>
      <c r="H501" s="26"/>
      <c r="I501" s="25"/>
      <c r="J501" s="26"/>
      <c r="K501" s="26"/>
      <c r="L501" s="26" t="str">
        <f>IFERROR(IF(K501="","",VLOOKUP(K501,TANIMLAMALAR!$A$5:$E$104,3,0)),"")</f>
        <v/>
      </c>
      <c r="M501" s="26" t="str">
        <f>IFERROR(IF(K501="","",VLOOKUP(K501,TANIMLAMALAR!$A$5:$E$104,4,0)),"")</f>
        <v/>
      </c>
      <c r="N501" s="26"/>
      <c r="O501" s="26"/>
      <c r="P501" s="26"/>
      <c r="Q501" s="8"/>
      <c r="R501" s="25"/>
    </row>
    <row r="502" spans="1:18" ht="15" customHeight="1" x14ac:dyDescent="0.3">
      <c r="A502" s="3" t="str">
        <f t="shared" si="7"/>
        <v/>
      </c>
      <c r="B502" s="5"/>
      <c r="C502" s="6"/>
      <c r="D502" s="3"/>
      <c r="E502" s="3"/>
      <c r="F502" s="3"/>
      <c r="G502" s="3"/>
      <c r="H502" s="3"/>
      <c r="I502" s="7"/>
      <c r="J502" s="3"/>
      <c r="K502" s="3"/>
      <c r="L502" s="3" t="str">
        <f>IFERROR(IF(K502="","",VLOOKUP(K502,TANIMLAMALAR!$A$5:$E$104,3,0)),"")</f>
        <v/>
      </c>
      <c r="M502" s="3" t="str">
        <f>IFERROR(IF(K502="","",VLOOKUP(K502,TANIMLAMALAR!$A$5:$E$104,4,0)),"")</f>
        <v/>
      </c>
      <c r="N502" s="3"/>
      <c r="O502" s="3"/>
      <c r="P502" s="3"/>
      <c r="Q502" s="5"/>
      <c r="R502" s="7"/>
    </row>
    <row r="503" spans="1:18" ht="15" customHeight="1" x14ac:dyDescent="0.3">
      <c r="A503" s="26" t="str">
        <f t="shared" si="7"/>
        <v/>
      </c>
      <c r="B503" s="8"/>
      <c r="C503" s="9"/>
      <c r="D503" s="26"/>
      <c r="E503" s="26"/>
      <c r="F503" s="26"/>
      <c r="G503" s="26"/>
      <c r="H503" s="26"/>
      <c r="I503" s="25"/>
      <c r="J503" s="26"/>
      <c r="K503" s="26"/>
      <c r="L503" s="26" t="str">
        <f>IFERROR(IF(K503="","",VLOOKUP(K503,TANIMLAMALAR!$A$5:$E$104,3,0)),"")</f>
        <v/>
      </c>
      <c r="M503" s="26" t="str">
        <f>IFERROR(IF(K503="","",VLOOKUP(K503,TANIMLAMALAR!$A$5:$E$104,4,0)),"")</f>
        <v/>
      </c>
      <c r="N503" s="26"/>
      <c r="O503" s="26"/>
      <c r="P503" s="26"/>
      <c r="Q503" s="8"/>
      <c r="R503" s="25"/>
    </row>
  </sheetData>
  <mergeCells count="2">
    <mergeCell ref="A1:R1"/>
    <mergeCell ref="A2:R2"/>
  </mergeCells>
  <conditionalFormatting sqref="O4:O503">
    <cfRule type="cellIs" dxfId="7" priority="5" operator="equal">
      <formula>"Çok Acil"</formula>
    </cfRule>
    <cfRule type="cellIs" dxfId="6" priority="6" operator="equal">
      <formula>"Acil"</formula>
    </cfRule>
  </conditionalFormatting>
  <conditionalFormatting sqref="P4:P503">
    <cfRule type="cellIs" dxfId="5" priority="2" operator="equal">
      <formula>"Açık"</formula>
    </cfRule>
    <cfRule type="cellIs" dxfId="4" priority="3" operator="equal">
      <formula>"Devam Ediyor"</formula>
    </cfRule>
    <cfRule type="cellIs" dxfId="3" priority="4" operator="equal">
      <formula>"Kapatıldı"</formula>
    </cfRule>
  </conditionalFormatting>
  <dataValidations count="2">
    <dataValidation type="list" allowBlank="1" showInputMessage="1" showErrorMessage="1" errorTitle="Geçersiz Giriş" error="Lütfen listeden seçiniz." sqref="O4:O503">
      <formula1>"Normal,Acil,Çok Acil"</formula1>
      <formula2>0</formula2>
    </dataValidation>
    <dataValidation type="list" allowBlank="1" showInputMessage="1" showErrorMessage="1" errorTitle="Geçersiz Giriş" error="Lütfen listeden seçiniz." sqref="P4:P503">
      <formula1>"Açık,Devam Ediyor,Kapatıldı"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Geçersiz Giriş" error="Lütfen listeden seçiniz.">
          <x14:formula1>
            <xm:f>LİSTELER!$C$2:$C$11</xm:f>
          </x14:formula1>
          <x14:formula2>
            <xm:f>0</xm:f>
          </x14:formula2>
          <xm:sqref>H4:H503</xm:sqref>
        </x14:dataValidation>
        <x14:dataValidation type="list" allowBlank="1" showInputMessage="1" showErrorMessage="1" errorTitle="Geçersiz Giriş" error="Lütfen listeden seçiniz.">
          <x14:formula1>
            <xm:f>LİSTELER!$B$2:$B$8</xm:f>
          </x14:formula1>
          <x14:formula2>
            <xm:f>0</xm:f>
          </x14:formula2>
          <xm:sqref>J4:J503</xm:sqref>
        </x14:dataValidation>
        <x14:dataValidation type="list" allowBlank="1" showInputMessage="1" showErrorMessage="1" errorTitle="Geçersiz Giriş" error="Lütfen listeden seçiniz.">
          <x14:formula1>
            <xm:f>TANIMLAMALAR!$A$5:$A$104</xm:f>
          </x14:formula1>
          <x14:formula2>
            <xm:f>0</xm:f>
          </x14:formula2>
          <xm:sqref>K4:K503</xm:sqref>
        </x14:dataValidation>
        <x14:dataValidation type="list" allowBlank="1" showInputMessage="1" showErrorMessage="1" errorTitle="Geçersiz Giriş" error="Lütfen listeden seçiniz.">
          <x14:formula1>
            <xm:f>LİSTELER!$A$2:$A$24</xm:f>
          </x14:formula1>
          <x14:formula2>
            <xm:f>0</xm:f>
          </x14:formula2>
          <xm:sqref>F4:F503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B22"/>
  </sheetPr>
  <dimension ref="A1:M503"/>
  <sheetViews>
    <sheetView showGridLines="0" zoomScaleNormal="100" workbookViewId="0">
      <pane ySplit="3" topLeftCell="A4" activePane="bottomLeft" state="frozen"/>
      <selection pane="bottomLeft" activeCell="A2" sqref="A2:M2"/>
    </sheetView>
  </sheetViews>
  <sheetFormatPr defaultColWidth="8.6640625" defaultRowHeight="14.4" x14ac:dyDescent="0.3"/>
  <cols>
    <col min="1" max="2" width="14" style="1" customWidth="1"/>
    <col min="3" max="3" width="16" style="1" customWidth="1"/>
    <col min="4" max="5" width="18" style="1" customWidth="1"/>
    <col min="6" max="6" width="26" style="1" customWidth="1"/>
    <col min="7" max="7" width="24" style="1" customWidth="1"/>
    <col min="8" max="8" width="12" style="1" customWidth="1"/>
    <col min="9" max="9" width="16" style="1" customWidth="1"/>
    <col min="10" max="10" width="14" style="1" customWidth="1"/>
    <col min="11" max="11" width="20" style="1" customWidth="1"/>
    <col min="12" max="12" width="11" style="1" customWidth="1"/>
    <col min="13" max="13" width="13" style="1" customWidth="1"/>
  </cols>
  <sheetData>
    <row r="1" spans="1:13" ht="63" customHeight="1" x14ac:dyDescent="0.3">
      <c r="A1" s="27" t="s">
        <v>76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8" customHeight="1" x14ac:dyDescent="0.3">
      <c r="A2" s="49" t="s">
        <v>77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36" customHeight="1" x14ac:dyDescent="0.3">
      <c r="A3" s="4" t="s">
        <v>58</v>
      </c>
      <c r="B3" s="4" t="s">
        <v>78</v>
      </c>
      <c r="C3" s="4" t="s">
        <v>79</v>
      </c>
      <c r="D3" s="4" t="s">
        <v>63</v>
      </c>
      <c r="E3" s="4" t="s">
        <v>65</v>
      </c>
      <c r="F3" s="4" t="s">
        <v>66</v>
      </c>
      <c r="G3" s="4" t="s">
        <v>80</v>
      </c>
      <c r="H3" s="4" t="s">
        <v>81</v>
      </c>
      <c r="I3" s="4" t="s">
        <v>82</v>
      </c>
      <c r="J3" s="4" t="s">
        <v>83</v>
      </c>
      <c r="K3" s="4" t="s">
        <v>84</v>
      </c>
      <c r="L3" s="4" t="s">
        <v>72</v>
      </c>
      <c r="M3" s="4" t="s">
        <v>73</v>
      </c>
    </row>
    <row r="4" spans="1:13" ht="15" customHeight="1" x14ac:dyDescent="0.3">
      <c r="A4" s="3" t="str">
        <f>IFERROR(IF('ŞİKAYET KAYIT'!P4="Kapatıldı","",IF('ŞİKAYET KAYIT'!A4="","",'ŞİKAYET KAYIT'!A4)),"")</f>
        <v/>
      </c>
      <c r="B4" s="5" t="str">
        <f>IFERROR(IF('ŞİKAYET KAYIT'!P4="Kapatıldı","",IF('ŞİKAYET KAYIT'!B4="","",'ŞİKAYET KAYIT'!B4)),"")</f>
        <v/>
      </c>
      <c r="C4" s="3" t="str">
        <f>IFERROR(IF('ŞİKAYET KAYIT'!P4="Kapatıldı","",IF('ŞİKAYET KAYIT'!D4="","",'ŞİKAYET KAYIT'!D4)),"")</f>
        <v/>
      </c>
      <c r="D4" s="3" t="str">
        <f>IFERROR(IF('ŞİKAYET KAYIT'!P4="Kapatıldı","",IF('ŞİKAYET KAYIT'!F4="","",'ŞİKAYET KAYIT'!F4)),"")</f>
        <v/>
      </c>
      <c r="E4" s="3" t="str">
        <f>IFERROR(IF('ŞİKAYET KAYIT'!P4="Kapatıldı","",IF('ŞİKAYET KAYIT'!H4="","",'ŞİKAYET KAYIT'!H4)),"")</f>
        <v/>
      </c>
      <c r="F4" s="3" t="str">
        <f>IFERROR(IF('ŞİKAYET KAYIT'!P4="Kapatıldı","",IF('ŞİKAYET KAYIT'!I4="","",'ŞİKAYET KAYIT'!I4)),"")</f>
        <v/>
      </c>
      <c r="G4" s="3" t="str">
        <f>IFERROR(IF('ŞİKAYET KAYIT'!P4="Kapatıldı","",IF('ŞİKAYET KAYIT'!J4="","",'ŞİKAYET KAYIT'!J4)),"")</f>
        <v/>
      </c>
      <c r="H4" s="3" t="str">
        <f>IFERROR(IF('ŞİKAYET KAYIT'!P4="Kapatıldı","",IF('ŞİKAYET KAYIT'!K4="","",'ŞİKAYET KAYIT'!K4)),"")</f>
        <v/>
      </c>
      <c r="I4" s="3" t="str">
        <f>IFERROR(IF('ŞİKAYET KAYIT'!P4="Kapatıldı","",IF('ŞİKAYET KAYIT'!L4="","",'ŞİKAYET KAYIT'!L4)),"")</f>
        <v/>
      </c>
      <c r="J4" s="3" t="str">
        <f>IFERROR(IF('ŞİKAYET KAYIT'!P4="Kapatıldı","",IF('ŞİKAYET KAYIT'!M4="","",'ŞİKAYET KAYIT'!M4)),"")</f>
        <v/>
      </c>
      <c r="K4" s="3" t="str">
        <f>IFERROR(IF('ŞİKAYET KAYIT'!P4="Kapatıldı","",IF('ŞİKAYET KAYIT'!N4="","",'ŞİKAYET KAYIT'!N4)),"")</f>
        <v/>
      </c>
      <c r="L4" s="3" t="str">
        <f>IFERROR(IF('ŞİKAYET KAYIT'!P4="Kapatıldı","",IF('ŞİKAYET KAYIT'!O4="","",'ŞİKAYET KAYIT'!O4)),"")</f>
        <v/>
      </c>
      <c r="M4" s="3" t="str">
        <f>IFERROR(IF('ŞİKAYET KAYIT'!P4="Kapatıldı","",IF('ŞİKAYET KAYIT'!P4="","",'ŞİKAYET KAYIT'!P4)),"")</f>
        <v/>
      </c>
    </row>
    <row r="5" spans="1:13" ht="15" customHeight="1" x14ac:dyDescent="0.3">
      <c r="A5" s="26" t="str">
        <f>IFERROR(IF('ŞİKAYET KAYIT'!P5="Kapatıldı","",IF('ŞİKAYET KAYIT'!A5="","",'ŞİKAYET KAYIT'!A5)),"")</f>
        <v/>
      </c>
      <c r="B5" s="8" t="str">
        <f>IFERROR(IF('ŞİKAYET KAYIT'!P5="Kapatıldı","",IF('ŞİKAYET KAYIT'!B5="","",'ŞİKAYET KAYIT'!B5)),"")</f>
        <v/>
      </c>
      <c r="C5" s="26" t="str">
        <f>IFERROR(IF('ŞİKAYET KAYIT'!P5="Kapatıldı","",IF('ŞİKAYET KAYIT'!D5="","",'ŞİKAYET KAYIT'!D5)),"")</f>
        <v/>
      </c>
      <c r="D5" s="26" t="str">
        <f>IFERROR(IF('ŞİKAYET KAYIT'!P5="Kapatıldı","",IF('ŞİKAYET KAYIT'!F5="","",'ŞİKAYET KAYIT'!F5)),"")</f>
        <v/>
      </c>
      <c r="E5" s="26" t="str">
        <f>IFERROR(IF('ŞİKAYET KAYIT'!P5="Kapatıldı","",IF('ŞİKAYET KAYIT'!H5="","",'ŞİKAYET KAYIT'!H5)),"")</f>
        <v/>
      </c>
      <c r="F5" s="26" t="str">
        <f>IFERROR(IF('ŞİKAYET KAYIT'!P5="Kapatıldı","",IF('ŞİKAYET KAYIT'!I5="","",'ŞİKAYET KAYIT'!I5)),"")</f>
        <v/>
      </c>
      <c r="G5" s="26" t="str">
        <f>IFERROR(IF('ŞİKAYET KAYIT'!P5="Kapatıldı","",IF('ŞİKAYET KAYIT'!J5="","",'ŞİKAYET KAYIT'!J5)),"")</f>
        <v/>
      </c>
      <c r="H5" s="26" t="str">
        <f>IFERROR(IF('ŞİKAYET KAYIT'!P5="Kapatıldı","",IF('ŞİKAYET KAYIT'!K5="","",'ŞİKAYET KAYIT'!K5)),"")</f>
        <v/>
      </c>
      <c r="I5" s="26" t="str">
        <f>IFERROR(IF('ŞİKAYET KAYIT'!P5="Kapatıldı","",IF('ŞİKAYET KAYIT'!L5="","",'ŞİKAYET KAYIT'!L5)),"")</f>
        <v/>
      </c>
      <c r="J5" s="26" t="str">
        <f>IFERROR(IF('ŞİKAYET KAYIT'!P5="Kapatıldı","",IF('ŞİKAYET KAYIT'!M5="","",'ŞİKAYET KAYIT'!M5)),"")</f>
        <v/>
      </c>
      <c r="K5" s="26" t="str">
        <f>IFERROR(IF('ŞİKAYET KAYIT'!P5="Kapatıldı","",IF('ŞİKAYET KAYIT'!N5="","",'ŞİKAYET KAYIT'!N5)),"")</f>
        <v/>
      </c>
      <c r="L5" s="26" t="str">
        <f>IFERROR(IF('ŞİKAYET KAYIT'!P5="Kapatıldı","",IF('ŞİKAYET KAYIT'!O5="","",'ŞİKAYET KAYIT'!O5)),"")</f>
        <v/>
      </c>
      <c r="M5" s="26" t="str">
        <f>IFERROR(IF('ŞİKAYET KAYIT'!P5="Kapatıldı","",IF('ŞİKAYET KAYIT'!P5="","",'ŞİKAYET KAYIT'!P5)),"")</f>
        <v/>
      </c>
    </row>
    <row r="6" spans="1:13" ht="15" customHeight="1" x14ac:dyDescent="0.3">
      <c r="A6" s="3" t="str">
        <f>IFERROR(IF('ŞİKAYET KAYIT'!P6="Kapatıldı","",IF('ŞİKAYET KAYIT'!A6="","",'ŞİKAYET KAYIT'!A6)),"")</f>
        <v/>
      </c>
      <c r="B6" s="5" t="str">
        <f>IFERROR(IF('ŞİKAYET KAYIT'!P6="Kapatıldı","",IF('ŞİKAYET KAYIT'!B6="","",'ŞİKAYET KAYIT'!B6)),"")</f>
        <v/>
      </c>
      <c r="C6" s="3" t="str">
        <f>IFERROR(IF('ŞİKAYET KAYIT'!P6="Kapatıldı","",IF('ŞİKAYET KAYIT'!D6="","",'ŞİKAYET KAYIT'!D6)),"")</f>
        <v/>
      </c>
      <c r="D6" s="3" t="str">
        <f>IFERROR(IF('ŞİKAYET KAYIT'!P6="Kapatıldı","",IF('ŞİKAYET KAYIT'!F6="","",'ŞİKAYET KAYIT'!F6)),"")</f>
        <v/>
      </c>
      <c r="E6" s="3" t="str">
        <f>IFERROR(IF('ŞİKAYET KAYIT'!P6="Kapatıldı","",IF('ŞİKAYET KAYIT'!H6="","",'ŞİKAYET KAYIT'!H6)),"")</f>
        <v/>
      </c>
      <c r="F6" s="3" t="str">
        <f>IFERROR(IF('ŞİKAYET KAYIT'!P6="Kapatıldı","",IF('ŞİKAYET KAYIT'!I6="","",'ŞİKAYET KAYIT'!I6)),"")</f>
        <v/>
      </c>
      <c r="G6" s="3" t="str">
        <f>IFERROR(IF('ŞİKAYET KAYIT'!P6="Kapatıldı","",IF('ŞİKAYET KAYIT'!J6="","",'ŞİKAYET KAYIT'!J6)),"")</f>
        <v/>
      </c>
      <c r="H6" s="3" t="str">
        <f>IFERROR(IF('ŞİKAYET KAYIT'!P6="Kapatıldı","",IF('ŞİKAYET KAYIT'!K6="","",'ŞİKAYET KAYIT'!K6)),"")</f>
        <v/>
      </c>
      <c r="I6" s="3" t="str">
        <f>IFERROR(IF('ŞİKAYET KAYIT'!P6="Kapatıldı","",IF('ŞİKAYET KAYIT'!L6="","",'ŞİKAYET KAYIT'!L6)),"")</f>
        <v/>
      </c>
      <c r="J6" s="3" t="str">
        <f>IFERROR(IF('ŞİKAYET KAYIT'!P6="Kapatıldı","",IF('ŞİKAYET KAYIT'!M6="","",'ŞİKAYET KAYIT'!M6)),"")</f>
        <v/>
      </c>
      <c r="K6" s="3" t="str">
        <f>IFERROR(IF('ŞİKAYET KAYIT'!P6="Kapatıldı","",IF('ŞİKAYET KAYIT'!N6="","",'ŞİKAYET KAYIT'!N6)),"")</f>
        <v/>
      </c>
      <c r="L6" s="3" t="str">
        <f>IFERROR(IF('ŞİKAYET KAYIT'!P6="Kapatıldı","",IF('ŞİKAYET KAYIT'!O6="","",'ŞİKAYET KAYIT'!O6)),"")</f>
        <v/>
      </c>
      <c r="M6" s="3" t="str">
        <f>IFERROR(IF('ŞİKAYET KAYIT'!P6="Kapatıldı","",IF('ŞİKAYET KAYIT'!P6="","",'ŞİKAYET KAYIT'!P6)),"")</f>
        <v/>
      </c>
    </row>
    <row r="7" spans="1:13" ht="15" customHeight="1" x14ac:dyDescent="0.3">
      <c r="A7" s="26" t="str">
        <f>IFERROR(IF('ŞİKAYET KAYIT'!P7="Kapatıldı","",IF('ŞİKAYET KAYIT'!A7="","",'ŞİKAYET KAYIT'!A7)),"")</f>
        <v/>
      </c>
      <c r="B7" s="8" t="str">
        <f>IFERROR(IF('ŞİKAYET KAYIT'!P7="Kapatıldı","",IF('ŞİKAYET KAYIT'!B7="","",'ŞİKAYET KAYIT'!B7)),"")</f>
        <v/>
      </c>
      <c r="C7" s="26" t="str">
        <f>IFERROR(IF('ŞİKAYET KAYIT'!P7="Kapatıldı","",IF('ŞİKAYET KAYIT'!D7="","",'ŞİKAYET KAYIT'!D7)),"")</f>
        <v/>
      </c>
      <c r="D7" s="26" t="str">
        <f>IFERROR(IF('ŞİKAYET KAYIT'!P7="Kapatıldı","",IF('ŞİKAYET KAYIT'!F7="","",'ŞİKAYET KAYIT'!F7)),"")</f>
        <v/>
      </c>
      <c r="E7" s="26" t="str">
        <f>IFERROR(IF('ŞİKAYET KAYIT'!P7="Kapatıldı","",IF('ŞİKAYET KAYIT'!H7="","",'ŞİKAYET KAYIT'!H7)),"")</f>
        <v/>
      </c>
      <c r="F7" s="26" t="str">
        <f>IFERROR(IF('ŞİKAYET KAYIT'!P7="Kapatıldı","",IF('ŞİKAYET KAYIT'!I7="","",'ŞİKAYET KAYIT'!I7)),"")</f>
        <v/>
      </c>
      <c r="G7" s="26" t="str">
        <f>IFERROR(IF('ŞİKAYET KAYIT'!P7="Kapatıldı","",IF('ŞİKAYET KAYIT'!J7="","",'ŞİKAYET KAYIT'!J7)),"")</f>
        <v/>
      </c>
      <c r="H7" s="26" t="str">
        <f>IFERROR(IF('ŞİKAYET KAYIT'!P7="Kapatıldı","",IF('ŞİKAYET KAYIT'!K7="","",'ŞİKAYET KAYIT'!K7)),"")</f>
        <v/>
      </c>
      <c r="I7" s="26" t="str">
        <f>IFERROR(IF('ŞİKAYET KAYIT'!P7="Kapatıldı","",IF('ŞİKAYET KAYIT'!L7="","",'ŞİKAYET KAYIT'!L7)),"")</f>
        <v/>
      </c>
      <c r="J7" s="26" t="str">
        <f>IFERROR(IF('ŞİKAYET KAYIT'!P7="Kapatıldı","",IF('ŞİKAYET KAYIT'!M7="","",'ŞİKAYET KAYIT'!M7)),"")</f>
        <v/>
      </c>
      <c r="K7" s="26" t="str">
        <f>IFERROR(IF('ŞİKAYET KAYIT'!P7="Kapatıldı","",IF('ŞİKAYET KAYIT'!N7="","",'ŞİKAYET KAYIT'!N7)),"")</f>
        <v/>
      </c>
      <c r="L7" s="26" t="str">
        <f>IFERROR(IF('ŞİKAYET KAYIT'!P7="Kapatıldı","",IF('ŞİKAYET KAYIT'!O7="","",'ŞİKAYET KAYIT'!O7)),"")</f>
        <v/>
      </c>
      <c r="M7" s="26" t="str">
        <f>IFERROR(IF('ŞİKAYET KAYIT'!P7="Kapatıldı","",IF('ŞİKAYET KAYIT'!P7="","",'ŞİKAYET KAYIT'!P7)),"")</f>
        <v/>
      </c>
    </row>
    <row r="8" spans="1:13" ht="15" customHeight="1" x14ac:dyDescent="0.3">
      <c r="A8" s="3" t="str">
        <f>IFERROR(IF('ŞİKAYET KAYIT'!P8="Kapatıldı","",IF('ŞİKAYET KAYIT'!A8="","",'ŞİKAYET KAYIT'!A8)),"")</f>
        <v/>
      </c>
      <c r="B8" s="5" t="str">
        <f>IFERROR(IF('ŞİKAYET KAYIT'!P8="Kapatıldı","",IF('ŞİKAYET KAYIT'!B8="","",'ŞİKAYET KAYIT'!B8)),"")</f>
        <v/>
      </c>
      <c r="C8" s="3" t="str">
        <f>IFERROR(IF('ŞİKAYET KAYIT'!P8="Kapatıldı","",IF('ŞİKAYET KAYIT'!D8="","",'ŞİKAYET KAYIT'!D8)),"")</f>
        <v/>
      </c>
      <c r="D8" s="3" t="str">
        <f>IFERROR(IF('ŞİKAYET KAYIT'!P8="Kapatıldı","",IF('ŞİKAYET KAYIT'!F8="","",'ŞİKAYET KAYIT'!F8)),"")</f>
        <v/>
      </c>
      <c r="E8" s="3" t="str">
        <f>IFERROR(IF('ŞİKAYET KAYIT'!P8="Kapatıldı","",IF('ŞİKAYET KAYIT'!H8="","",'ŞİKAYET KAYIT'!H8)),"")</f>
        <v/>
      </c>
      <c r="F8" s="3" t="str">
        <f>IFERROR(IF('ŞİKAYET KAYIT'!P8="Kapatıldı","",IF('ŞİKAYET KAYIT'!I8="","",'ŞİKAYET KAYIT'!I8)),"")</f>
        <v/>
      </c>
      <c r="G8" s="3" t="str">
        <f>IFERROR(IF('ŞİKAYET KAYIT'!P8="Kapatıldı","",IF('ŞİKAYET KAYIT'!J8="","",'ŞİKAYET KAYIT'!J8)),"")</f>
        <v/>
      </c>
      <c r="H8" s="3" t="str">
        <f>IFERROR(IF('ŞİKAYET KAYIT'!P8="Kapatıldı","",IF('ŞİKAYET KAYIT'!K8="","",'ŞİKAYET KAYIT'!K8)),"")</f>
        <v/>
      </c>
      <c r="I8" s="3" t="str">
        <f>IFERROR(IF('ŞİKAYET KAYIT'!P8="Kapatıldı","",IF('ŞİKAYET KAYIT'!L8="","",'ŞİKAYET KAYIT'!L8)),"")</f>
        <v/>
      </c>
      <c r="J8" s="3" t="str">
        <f>IFERROR(IF('ŞİKAYET KAYIT'!P8="Kapatıldı","",IF('ŞİKAYET KAYIT'!M8="","",'ŞİKAYET KAYIT'!M8)),"")</f>
        <v/>
      </c>
      <c r="K8" s="3" t="str">
        <f>IFERROR(IF('ŞİKAYET KAYIT'!P8="Kapatıldı","",IF('ŞİKAYET KAYIT'!N8="","",'ŞİKAYET KAYIT'!N8)),"")</f>
        <v/>
      </c>
      <c r="L8" s="3" t="str">
        <f>IFERROR(IF('ŞİKAYET KAYIT'!P8="Kapatıldı","",IF('ŞİKAYET KAYIT'!O8="","",'ŞİKAYET KAYIT'!O8)),"")</f>
        <v/>
      </c>
      <c r="M8" s="3" t="str">
        <f>IFERROR(IF('ŞİKAYET KAYIT'!P8="Kapatıldı","",IF('ŞİKAYET KAYIT'!P8="","",'ŞİKAYET KAYIT'!P8)),"")</f>
        <v/>
      </c>
    </row>
    <row r="9" spans="1:13" ht="15" customHeight="1" x14ac:dyDescent="0.3">
      <c r="A9" s="26" t="str">
        <f>IFERROR(IF('ŞİKAYET KAYIT'!P9="Kapatıldı","",IF('ŞİKAYET KAYIT'!A9="","",'ŞİKAYET KAYIT'!A9)),"")</f>
        <v/>
      </c>
      <c r="B9" s="8" t="str">
        <f>IFERROR(IF('ŞİKAYET KAYIT'!P9="Kapatıldı","",IF('ŞİKAYET KAYIT'!B9="","",'ŞİKAYET KAYIT'!B9)),"")</f>
        <v/>
      </c>
      <c r="C9" s="26" t="str">
        <f>IFERROR(IF('ŞİKAYET KAYIT'!P9="Kapatıldı","",IF('ŞİKAYET KAYIT'!D9="","",'ŞİKAYET KAYIT'!D9)),"")</f>
        <v/>
      </c>
      <c r="D9" s="26" t="str">
        <f>IFERROR(IF('ŞİKAYET KAYIT'!P9="Kapatıldı","",IF('ŞİKAYET KAYIT'!F9="","",'ŞİKAYET KAYIT'!F9)),"")</f>
        <v/>
      </c>
      <c r="E9" s="26" t="str">
        <f>IFERROR(IF('ŞİKAYET KAYIT'!P9="Kapatıldı","",IF('ŞİKAYET KAYIT'!H9="","",'ŞİKAYET KAYIT'!H9)),"")</f>
        <v/>
      </c>
      <c r="F9" s="26" t="str">
        <f>IFERROR(IF('ŞİKAYET KAYIT'!P9="Kapatıldı","",IF('ŞİKAYET KAYIT'!I9="","",'ŞİKAYET KAYIT'!I9)),"")</f>
        <v/>
      </c>
      <c r="G9" s="26" t="str">
        <f>IFERROR(IF('ŞİKAYET KAYIT'!P9="Kapatıldı","",IF('ŞİKAYET KAYIT'!J9="","",'ŞİKAYET KAYIT'!J9)),"")</f>
        <v/>
      </c>
      <c r="H9" s="26" t="str">
        <f>IFERROR(IF('ŞİKAYET KAYIT'!P9="Kapatıldı","",IF('ŞİKAYET KAYIT'!K9="","",'ŞİKAYET KAYIT'!K9)),"")</f>
        <v/>
      </c>
      <c r="I9" s="26" t="str">
        <f>IFERROR(IF('ŞİKAYET KAYIT'!P9="Kapatıldı","",IF('ŞİKAYET KAYIT'!L9="","",'ŞİKAYET KAYIT'!L9)),"")</f>
        <v/>
      </c>
      <c r="J9" s="26" t="str">
        <f>IFERROR(IF('ŞİKAYET KAYIT'!P9="Kapatıldı","",IF('ŞİKAYET KAYIT'!M9="","",'ŞİKAYET KAYIT'!M9)),"")</f>
        <v/>
      </c>
      <c r="K9" s="26" t="str">
        <f>IFERROR(IF('ŞİKAYET KAYIT'!P9="Kapatıldı","",IF('ŞİKAYET KAYIT'!N9="","",'ŞİKAYET KAYIT'!N9)),"")</f>
        <v/>
      </c>
      <c r="L9" s="26" t="str">
        <f>IFERROR(IF('ŞİKAYET KAYIT'!P9="Kapatıldı","",IF('ŞİKAYET KAYIT'!O9="","",'ŞİKAYET KAYIT'!O9)),"")</f>
        <v/>
      </c>
      <c r="M9" s="26" t="str">
        <f>IFERROR(IF('ŞİKAYET KAYIT'!P9="Kapatıldı","",IF('ŞİKAYET KAYIT'!P9="","",'ŞİKAYET KAYIT'!P9)),"")</f>
        <v/>
      </c>
    </row>
    <row r="10" spans="1:13" ht="15" customHeight="1" x14ac:dyDescent="0.3">
      <c r="A10" s="3" t="str">
        <f>IFERROR(IF('ŞİKAYET KAYIT'!P10="Kapatıldı","",IF('ŞİKAYET KAYIT'!A10="","",'ŞİKAYET KAYIT'!A10)),"")</f>
        <v/>
      </c>
      <c r="B10" s="5" t="str">
        <f>IFERROR(IF('ŞİKAYET KAYIT'!P10="Kapatıldı","",IF('ŞİKAYET KAYIT'!B10="","",'ŞİKAYET KAYIT'!B10)),"")</f>
        <v/>
      </c>
      <c r="C10" s="3" t="str">
        <f>IFERROR(IF('ŞİKAYET KAYIT'!P10="Kapatıldı","",IF('ŞİKAYET KAYIT'!D10="","",'ŞİKAYET KAYIT'!D10)),"")</f>
        <v/>
      </c>
      <c r="D10" s="3" t="str">
        <f>IFERROR(IF('ŞİKAYET KAYIT'!P10="Kapatıldı","",IF('ŞİKAYET KAYIT'!F10="","",'ŞİKAYET KAYIT'!F10)),"")</f>
        <v/>
      </c>
      <c r="E10" s="3" t="str">
        <f>IFERROR(IF('ŞİKAYET KAYIT'!P10="Kapatıldı","",IF('ŞİKAYET KAYIT'!H10="","",'ŞİKAYET KAYIT'!H10)),"")</f>
        <v/>
      </c>
      <c r="F10" s="3" t="str">
        <f>IFERROR(IF('ŞİKAYET KAYIT'!P10="Kapatıldı","",IF('ŞİKAYET KAYIT'!I10="","",'ŞİKAYET KAYIT'!I10)),"")</f>
        <v/>
      </c>
      <c r="G10" s="3" t="str">
        <f>IFERROR(IF('ŞİKAYET KAYIT'!P10="Kapatıldı","",IF('ŞİKAYET KAYIT'!J10="","",'ŞİKAYET KAYIT'!J10)),"")</f>
        <v/>
      </c>
      <c r="H10" s="3" t="str">
        <f>IFERROR(IF('ŞİKAYET KAYIT'!P10="Kapatıldı","",IF('ŞİKAYET KAYIT'!K10="","",'ŞİKAYET KAYIT'!K10)),"")</f>
        <v/>
      </c>
      <c r="I10" s="3" t="str">
        <f>IFERROR(IF('ŞİKAYET KAYIT'!P10="Kapatıldı","",IF('ŞİKAYET KAYIT'!L10="","",'ŞİKAYET KAYIT'!L10)),"")</f>
        <v/>
      </c>
      <c r="J10" s="3" t="str">
        <f>IFERROR(IF('ŞİKAYET KAYIT'!P10="Kapatıldı","",IF('ŞİKAYET KAYIT'!M10="","",'ŞİKAYET KAYIT'!M10)),"")</f>
        <v/>
      </c>
      <c r="K10" s="3" t="str">
        <f>IFERROR(IF('ŞİKAYET KAYIT'!P10="Kapatıldı","",IF('ŞİKAYET KAYIT'!N10="","",'ŞİKAYET KAYIT'!N10)),"")</f>
        <v/>
      </c>
      <c r="L10" s="3" t="str">
        <f>IFERROR(IF('ŞİKAYET KAYIT'!P10="Kapatıldı","",IF('ŞİKAYET KAYIT'!O10="","",'ŞİKAYET KAYIT'!O10)),"")</f>
        <v/>
      </c>
      <c r="M10" s="3" t="str">
        <f>IFERROR(IF('ŞİKAYET KAYIT'!P10="Kapatıldı","",IF('ŞİKAYET KAYIT'!P10="","",'ŞİKAYET KAYIT'!P10)),"")</f>
        <v/>
      </c>
    </row>
    <row r="11" spans="1:13" ht="15" customHeight="1" x14ac:dyDescent="0.3">
      <c r="A11" s="26" t="str">
        <f>IFERROR(IF('ŞİKAYET KAYIT'!P11="Kapatıldı","",IF('ŞİKAYET KAYIT'!A11="","",'ŞİKAYET KAYIT'!A11)),"")</f>
        <v/>
      </c>
      <c r="B11" s="8" t="str">
        <f>IFERROR(IF('ŞİKAYET KAYIT'!P11="Kapatıldı","",IF('ŞİKAYET KAYIT'!B11="","",'ŞİKAYET KAYIT'!B11)),"")</f>
        <v/>
      </c>
      <c r="C11" s="26" t="str">
        <f>IFERROR(IF('ŞİKAYET KAYIT'!P11="Kapatıldı","",IF('ŞİKAYET KAYIT'!D11="","",'ŞİKAYET KAYIT'!D11)),"")</f>
        <v/>
      </c>
      <c r="D11" s="26" t="str">
        <f>IFERROR(IF('ŞİKAYET KAYIT'!P11="Kapatıldı","",IF('ŞİKAYET KAYIT'!F11="","",'ŞİKAYET KAYIT'!F11)),"")</f>
        <v/>
      </c>
      <c r="E11" s="26" t="str">
        <f>IFERROR(IF('ŞİKAYET KAYIT'!P11="Kapatıldı","",IF('ŞİKAYET KAYIT'!H11="","",'ŞİKAYET KAYIT'!H11)),"")</f>
        <v/>
      </c>
      <c r="F11" s="26" t="str">
        <f>IFERROR(IF('ŞİKAYET KAYIT'!P11="Kapatıldı","",IF('ŞİKAYET KAYIT'!I11="","",'ŞİKAYET KAYIT'!I11)),"")</f>
        <v/>
      </c>
      <c r="G11" s="26" t="str">
        <f>IFERROR(IF('ŞİKAYET KAYIT'!P11="Kapatıldı","",IF('ŞİKAYET KAYIT'!J11="","",'ŞİKAYET KAYIT'!J11)),"")</f>
        <v/>
      </c>
      <c r="H11" s="26" t="str">
        <f>IFERROR(IF('ŞİKAYET KAYIT'!P11="Kapatıldı","",IF('ŞİKAYET KAYIT'!K11="","",'ŞİKAYET KAYIT'!K11)),"")</f>
        <v/>
      </c>
      <c r="I11" s="26" t="str">
        <f>IFERROR(IF('ŞİKAYET KAYIT'!P11="Kapatıldı","",IF('ŞİKAYET KAYIT'!L11="","",'ŞİKAYET KAYIT'!L11)),"")</f>
        <v/>
      </c>
      <c r="J11" s="26" t="str">
        <f>IFERROR(IF('ŞİKAYET KAYIT'!P11="Kapatıldı","",IF('ŞİKAYET KAYIT'!M11="","",'ŞİKAYET KAYIT'!M11)),"")</f>
        <v/>
      </c>
      <c r="K11" s="26" t="str">
        <f>IFERROR(IF('ŞİKAYET KAYIT'!P11="Kapatıldı","",IF('ŞİKAYET KAYIT'!N11="","",'ŞİKAYET KAYIT'!N11)),"")</f>
        <v/>
      </c>
      <c r="L11" s="26" t="str">
        <f>IFERROR(IF('ŞİKAYET KAYIT'!P11="Kapatıldı","",IF('ŞİKAYET KAYIT'!O11="","",'ŞİKAYET KAYIT'!O11)),"")</f>
        <v/>
      </c>
      <c r="M11" s="26" t="str">
        <f>IFERROR(IF('ŞİKAYET KAYIT'!P11="Kapatıldı","",IF('ŞİKAYET KAYIT'!P11="","",'ŞİKAYET KAYIT'!P11)),"")</f>
        <v/>
      </c>
    </row>
    <row r="12" spans="1:13" ht="15" customHeight="1" x14ac:dyDescent="0.3">
      <c r="A12" s="3" t="str">
        <f>IFERROR(IF('ŞİKAYET KAYIT'!P12="Kapatıldı","",IF('ŞİKAYET KAYIT'!A12="","",'ŞİKAYET KAYIT'!A12)),"")</f>
        <v/>
      </c>
      <c r="B12" s="5" t="str">
        <f>IFERROR(IF('ŞİKAYET KAYIT'!P12="Kapatıldı","",IF('ŞİKAYET KAYIT'!B12="","",'ŞİKAYET KAYIT'!B12)),"")</f>
        <v/>
      </c>
      <c r="C12" s="3" t="str">
        <f>IFERROR(IF('ŞİKAYET KAYIT'!P12="Kapatıldı","",IF('ŞİKAYET KAYIT'!D12="","",'ŞİKAYET KAYIT'!D12)),"")</f>
        <v/>
      </c>
      <c r="D12" s="3" t="str">
        <f>IFERROR(IF('ŞİKAYET KAYIT'!P12="Kapatıldı","",IF('ŞİKAYET KAYIT'!F12="","",'ŞİKAYET KAYIT'!F12)),"")</f>
        <v/>
      </c>
      <c r="E12" s="3" t="str">
        <f>IFERROR(IF('ŞİKAYET KAYIT'!P12="Kapatıldı","",IF('ŞİKAYET KAYIT'!H12="","",'ŞİKAYET KAYIT'!H12)),"")</f>
        <v/>
      </c>
      <c r="F12" s="3" t="str">
        <f>IFERROR(IF('ŞİKAYET KAYIT'!P12="Kapatıldı","",IF('ŞİKAYET KAYIT'!I12="","",'ŞİKAYET KAYIT'!I12)),"")</f>
        <v/>
      </c>
      <c r="G12" s="3" t="str">
        <f>IFERROR(IF('ŞİKAYET KAYIT'!P12="Kapatıldı","",IF('ŞİKAYET KAYIT'!J12="","",'ŞİKAYET KAYIT'!J12)),"")</f>
        <v/>
      </c>
      <c r="H12" s="3" t="str">
        <f>IFERROR(IF('ŞİKAYET KAYIT'!P12="Kapatıldı","",IF('ŞİKAYET KAYIT'!K12="","",'ŞİKAYET KAYIT'!K12)),"")</f>
        <v/>
      </c>
      <c r="I12" s="3" t="str">
        <f>IFERROR(IF('ŞİKAYET KAYIT'!P12="Kapatıldı","",IF('ŞİKAYET KAYIT'!L12="","",'ŞİKAYET KAYIT'!L12)),"")</f>
        <v/>
      </c>
      <c r="J12" s="3" t="str">
        <f>IFERROR(IF('ŞİKAYET KAYIT'!P12="Kapatıldı","",IF('ŞİKAYET KAYIT'!M12="","",'ŞİKAYET KAYIT'!M12)),"")</f>
        <v/>
      </c>
      <c r="K12" s="3" t="str">
        <f>IFERROR(IF('ŞİKAYET KAYIT'!P12="Kapatıldı","",IF('ŞİKAYET KAYIT'!N12="","",'ŞİKAYET KAYIT'!N12)),"")</f>
        <v/>
      </c>
      <c r="L12" s="3" t="str">
        <f>IFERROR(IF('ŞİKAYET KAYIT'!P12="Kapatıldı","",IF('ŞİKAYET KAYIT'!O12="","",'ŞİKAYET KAYIT'!O12)),"")</f>
        <v/>
      </c>
      <c r="M12" s="3" t="str">
        <f>IFERROR(IF('ŞİKAYET KAYIT'!P12="Kapatıldı","",IF('ŞİKAYET KAYIT'!P12="","",'ŞİKAYET KAYIT'!P12)),"")</f>
        <v/>
      </c>
    </row>
    <row r="13" spans="1:13" ht="15" customHeight="1" x14ac:dyDescent="0.3">
      <c r="A13" s="26" t="str">
        <f>IFERROR(IF('ŞİKAYET KAYIT'!P13="Kapatıldı","",IF('ŞİKAYET KAYIT'!A13="","",'ŞİKAYET KAYIT'!A13)),"")</f>
        <v/>
      </c>
      <c r="B13" s="8" t="str">
        <f>IFERROR(IF('ŞİKAYET KAYIT'!P13="Kapatıldı","",IF('ŞİKAYET KAYIT'!B13="","",'ŞİKAYET KAYIT'!B13)),"")</f>
        <v/>
      </c>
      <c r="C13" s="26" t="str">
        <f>IFERROR(IF('ŞİKAYET KAYIT'!P13="Kapatıldı","",IF('ŞİKAYET KAYIT'!D13="","",'ŞİKAYET KAYIT'!D13)),"")</f>
        <v/>
      </c>
      <c r="D13" s="26" t="str">
        <f>IFERROR(IF('ŞİKAYET KAYIT'!P13="Kapatıldı","",IF('ŞİKAYET KAYIT'!F13="","",'ŞİKAYET KAYIT'!F13)),"")</f>
        <v/>
      </c>
      <c r="E13" s="26" t="str">
        <f>IFERROR(IF('ŞİKAYET KAYIT'!P13="Kapatıldı","",IF('ŞİKAYET KAYIT'!H13="","",'ŞİKAYET KAYIT'!H13)),"")</f>
        <v/>
      </c>
      <c r="F13" s="26" t="str">
        <f>IFERROR(IF('ŞİKAYET KAYIT'!P13="Kapatıldı","",IF('ŞİKAYET KAYIT'!I13="","",'ŞİKAYET KAYIT'!I13)),"")</f>
        <v/>
      </c>
      <c r="G13" s="26" t="str">
        <f>IFERROR(IF('ŞİKAYET KAYIT'!P13="Kapatıldı","",IF('ŞİKAYET KAYIT'!J13="","",'ŞİKAYET KAYIT'!J13)),"")</f>
        <v/>
      </c>
      <c r="H13" s="26" t="str">
        <f>IFERROR(IF('ŞİKAYET KAYIT'!P13="Kapatıldı","",IF('ŞİKAYET KAYIT'!K13="","",'ŞİKAYET KAYIT'!K13)),"")</f>
        <v/>
      </c>
      <c r="I13" s="26" t="str">
        <f>IFERROR(IF('ŞİKAYET KAYIT'!P13="Kapatıldı","",IF('ŞİKAYET KAYIT'!L13="","",'ŞİKAYET KAYIT'!L13)),"")</f>
        <v/>
      </c>
      <c r="J13" s="26" t="str">
        <f>IFERROR(IF('ŞİKAYET KAYIT'!P13="Kapatıldı","",IF('ŞİKAYET KAYIT'!M13="","",'ŞİKAYET KAYIT'!M13)),"")</f>
        <v/>
      </c>
      <c r="K13" s="26" t="str">
        <f>IFERROR(IF('ŞİKAYET KAYIT'!P13="Kapatıldı","",IF('ŞİKAYET KAYIT'!N13="","",'ŞİKAYET KAYIT'!N13)),"")</f>
        <v/>
      </c>
      <c r="L13" s="26" t="str">
        <f>IFERROR(IF('ŞİKAYET KAYIT'!P13="Kapatıldı","",IF('ŞİKAYET KAYIT'!O13="","",'ŞİKAYET KAYIT'!O13)),"")</f>
        <v/>
      </c>
      <c r="M13" s="26" t="str">
        <f>IFERROR(IF('ŞİKAYET KAYIT'!P13="Kapatıldı","",IF('ŞİKAYET KAYIT'!P13="","",'ŞİKAYET KAYIT'!P13)),"")</f>
        <v/>
      </c>
    </row>
    <row r="14" spans="1:13" ht="15" customHeight="1" x14ac:dyDescent="0.3">
      <c r="A14" s="3" t="str">
        <f>IFERROR(IF('ŞİKAYET KAYIT'!P14="Kapatıldı","",IF('ŞİKAYET KAYIT'!A14="","",'ŞİKAYET KAYIT'!A14)),"")</f>
        <v/>
      </c>
      <c r="B14" s="5" t="str">
        <f>IFERROR(IF('ŞİKAYET KAYIT'!P14="Kapatıldı","",IF('ŞİKAYET KAYIT'!B14="","",'ŞİKAYET KAYIT'!B14)),"")</f>
        <v/>
      </c>
      <c r="C14" s="3" t="str">
        <f>IFERROR(IF('ŞİKAYET KAYIT'!P14="Kapatıldı","",IF('ŞİKAYET KAYIT'!D14="","",'ŞİKAYET KAYIT'!D14)),"")</f>
        <v/>
      </c>
      <c r="D14" s="3" t="str">
        <f>IFERROR(IF('ŞİKAYET KAYIT'!P14="Kapatıldı","",IF('ŞİKAYET KAYIT'!F14="","",'ŞİKAYET KAYIT'!F14)),"")</f>
        <v/>
      </c>
      <c r="E14" s="3" t="str">
        <f>IFERROR(IF('ŞİKAYET KAYIT'!P14="Kapatıldı","",IF('ŞİKAYET KAYIT'!H14="","",'ŞİKAYET KAYIT'!H14)),"")</f>
        <v/>
      </c>
      <c r="F14" s="3" t="str">
        <f>IFERROR(IF('ŞİKAYET KAYIT'!P14="Kapatıldı","",IF('ŞİKAYET KAYIT'!I14="","",'ŞİKAYET KAYIT'!I14)),"")</f>
        <v/>
      </c>
      <c r="G14" s="3" t="str">
        <f>IFERROR(IF('ŞİKAYET KAYIT'!P14="Kapatıldı","",IF('ŞİKAYET KAYIT'!J14="","",'ŞİKAYET KAYIT'!J14)),"")</f>
        <v/>
      </c>
      <c r="H14" s="3" t="str">
        <f>IFERROR(IF('ŞİKAYET KAYIT'!P14="Kapatıldı","",IF('ŞİKAYET KAYIT'!K14="","",'ŞİKAYET KAYIT'!K14)),"")</f>
        <v/>
      </c>
      <c r="I14" s="3" t="str">
        <f>IFERROR(IF('ŞİKAYET KAYIT'!P14="Kapatıldı","",IF('ŞİKAYET KAYIT'!L14="","",'ŞİKAYET KAYIT'!L14)),"")</f>
        <v/>
      </c>
      <c r="J14" s="3" t="str">
        <f>IFERROR(IF('ŞİKAYET KAYIT'!P14="Kapatıldı","",IF('ŞİKAYET KAYIT'!M14="","",'ŞİKAYET KAYIT'!M14)),"")</f>
        <v/>
      </c>
      <c r="K14" s="3" t="str">
        <f>IFERROR(IF('ŞİKAYET KAYIT'!P14="Kapatıldı","",IF('ŞİKAYET KAYIT'!N14="","",'ŞİKAYET KAYIT'!N14)),"")</f>
        <v/>
      </c>
      <c r="L14" s="3" t="str">
        <f>IFERROR(IF('ŞİKAYET KAYIT'!P14="Kapatıldı","",IF('ŞİKAYET KAYIT'!O14="","",'ŞİKAYET KAYIT'!O14)),"")</f>
        <v/>
      </c>
      <c r="M14" s="3" t="str">
        <f>IFERROR(IF('ŞİKAYET KAYIT'!P14="Kapatıldı","",IF('ŞİKAYET KAYIT'!P14="","",'ŞİKAYET KAYIT'!P14)),"")</f>
        <v/>
      </c>
    </row>
    <row r="15" spans="1:13" ht="15" customHeight="1" x14ac:dyDescent="0.3">
      <c r="A15" s="26" t="str">
        <f>IFERROR(IF('ŞİKAYET KAYIT'!P15="Kapatıldı","",IF('ŞİKAYET KAYIT'!A15="","",'ŞİKAYET KAYIT'!A15)),"")</f>
        <v/>
      </c>
      <c r="B15" s="8" t="str">
        <f>IFERROR(IF('ŞİKAYET KAYIT'!P15="Kapatıldı","",IF('ŞİKAYET KAYIT'!B15="","",'ŞİKAYET KAYIT'!B15)),"")</f>
        <v/>
      </c>
      <c r="C15" s="26" t="str">
        <f>IFERROR(IF('ŞİKAYET KAYIT'!P15="Kapatıldı","",IF('ŞİKAYET KAYIT'!D15="","",'ŞİKAYET KAYIT'!D15)),"")</f>
        <v/>
      </c>
      <c r="D15" s="26" t="str">
        <f>IFERROR(IF('ŞİKAYET KAYIT'!P15="Kapatıldı","",IF('ŞİKAYET KAYIT'!F15="","",'ŞİKAYET KAYIT'!F15)),"")</f>
        <v/>
      </c>
      <c r="E15" s="26" t="str">
        <f>IFERROR(IF('ŞİKAYET KAYIT'!P15="Kapatıldı","",IF('ŞİKAYET KAYIT'!H15="","",'ŞİKAYET KAYIT'!H15)),"")</f>
        <v/>
      </c>
      <c r="F15" s="26" t="str">
        <f>IFERROR(IF('ŞİKAYET KAYIT'!P15="Kapatıldı","",IF('ŞİKAYET KAYIT'!I15="","",'ŞİKAYET KAYIT'!I15)),"")</f>
        <v/>
      </c>
      <c r="G15" s="26" t="str">
        <f>IFERROR(IF('ŞİKAYET KAYIT'!P15="Kapatıldı","",IF('ŞİKAYET KAYIT'!J15="","",'ŞİKAYET KAYIT'!J15)),"")</f>
        <v/>
      </c>
      <c r="H15" s="26" t="str">
        <f>IFERROR(IF('ŞİKAYET KAYIT'!P15="Kapatıldı","",IF('ŞİKAYET KAYIT'!K15="","",'ŞİKAYET KAYIT'!K15)),"")</f>
        <v/>
      </c>
      <c r="I15" s="26" t="str">
        <f>IFERROR(IF('ŞİKAYET KAYIT'!P15="Kapatıldı","",IF('ŞİKAYET KAYIT'!L15="","",'ŞİKAYET KAYIT'!L15)),"")</f>
        <v/>
      </c>
      <c r="J15" s="26" t="str">
        <f>IFERROR(IF('ŞİKAYET KAYIT'!P15="Kapatıldı","",IF('ŞİKAYET KAYIT'!M15="","",'ŞİKAYET KAYIT'!M15)),"")</f>
        <v/>
      </c>
      <c r="K15" s="26" t="str">
        <f>IFERROR(IF('ŞİKAYET KAYIT'!P15="Kapatıldı","",IF('ŞİKAYET KAYIT'!N15="","",'ŞİKAYET KAYIT'!N15)),"")</f>
        <v/>
      </c>
      <c r="L15" s="26" t="str">
        <f>IFERROR(IF('ŞİKAYET KAYIT'!P15="Kapatıldı","",IF('ŞİKAYET KAYIT'!O15="","",'ŞİKAYET KAYIT'!O15)),"")</f>
        <v/>
      </c>
      <c r="M15" s="26" t="str">
        <f>IFERROR(IF('ŞİKAYET KAYIT'!P15="Kapatıldı","",IF('ŞİKAYET KAYIT'!P15="","",'ŞİKAYET KAYIT'!P15)),"")</f>
        <v/>
      </c>
    </row>
    <row r="16" spans="1:13" ht="15" customHeight="1" x14ac:dyDescent="0.3">
      <c r="A16" s="3" t="str">
        <f>IFERROR(IF('ŞİKAYET KAYIT'!P16="Kapatıldı","",IF('ŞİKAYET KAYIT'!A16="","",'ŞİKAYET KAYIT'!A16)),"")</f>
        <v/>
      </c>
      <c r="B16" s="5" t="str">
        <f>IFERROR(IF('ŞİKAYET KAYIT'!P16="Kapatıldı","",IF('ŞİKAYET KAYIT'!B16="","",'ŞİKAYET KAYIT'!B16)),"")</f>
        <v/>
      </c>
      <c r="C16" s="3" t="str">
        <f>IFERROR(IF('ŞİKAYET KAYIT'!P16="Kapatıldı","",IF('ŞİKAYET KAYIT'!D16="","",'ŞİKAYET KAYIT'!D16)),"")</f>
        <v/>
      </c>
      <c r="D16" s="3" t="str">
        <f>IFERROR(IF('ŞİKAYET KAYIT'!P16="Kapatıldı","",IF('ŞİKAYET KAYIT'!F16="","",'ŞİKAYET KAYIT'!F16)),"")</f>
        <v/>
      </c>
      <c r="E16" s="3" t="str">
        <f>IFERROR(IF('ŞİKAYET KAYIT'!P16="Kapatıldı","",IF('ŞİKAYET KAYIT'!H16="","",'ŞİKAYET KAYIT'!H16)),"")</f>
        <v/>
      </c>
      <c r="F16" s="3" t="str">
        <f>IFERROR(IF('ŞİKAYET KAYIT'!P16="Kapatıldı","",IF('ŞİKAYET KAYIT'!I16="","",'ŞİKAYET KAYIT'!I16)),"")</f>
        <v/>
      </c>
      <c r="G16" s="3" t="str">
        <f>IFERROR(IF('ŞİKAYET KAYIT'!P16="Kapatıldı","",IF('ŞİKAYET KAYIT'!J16="","",'ŞİKAYET KAYIT'!J16)),"")</f>
        <v/>
      </c>
      <c r="H16" s="3" t="str">
        <f>IFERROR(IF('ŞİKAYET KAYIT'!P16="Kapatıldı","",IF('ŞİKAYET KAYIT'!K16="","",'ŞİKAYET KAYIT'!K16)),"")</f>
        <v/>
      </c>
      <c r="I16" s="3" t="str">
        <f>IFERROR(IF('ŞİKAYET KAYIT'!P16="Kapatıldı","",IF('ŞİKAYET KAYIT'!L16="","",'ŞİKAYET KAYIT'!L16)),"")</f>
        <v/>
      </c>
      <c r="J16" s="3" t="str">
        <f>IFERROR(IF('ŞİKAYET KAYIT'!P16="Kapatıldı","",IF('ŞİKAYET KAYIT'!M16="","",'ŞİKAYET KAYIT'!M16)),"")</f>
        <v/>
      </c>
      <c r="K16" s="3" t="str">
        <f>IFERROR(IF('ŞİKAYET KAYIT'!P16="Kapatıldı","",IF('ŞİKAYET KAYIT'!N16="","",'ŞİKAYET KAYIT'!N16)),"")</f>
        <v/>
      </c>
      <c r="L16" s="3" t="str">
        <f>IFERROR(IF('ŞİKAYET KAYIT'!P16="Kapatıldı","",IF('ŞİKAYET KAYIT'!O16="","",'ŞİKAYET KAYIT'!O16)),"")</f>
        <v/>
      </c>
      <c r="M16" s="3" t="str">
        <f>IFERROR(IF('ŞİKAYET KAYIT'!P16="Kapatıldı","",IF('ŞİKAYET KAYIT'!P16="","",'ŞİKAYET KAYIT'!P16)),"")</f>
        <v/>
      </c>
    </row>
    <row r="17" spans="1:13" ht="15" customHeight="1" x14ac:dyDescent="0.3">
      <c r="A17" s="26" t="str">
        <f>IFERROR(IF('ŞİKAYET KAYIT'!P17="Kapatıldı","",IF('ŞİKAYET KAYIT'!A17="","",'ŞİKAYET KAYIT'!A17)),"")</f>
        <v/>
      </c>
      <c r="B17" s="8" t="str">
        <f>IFERROR(IF('ŞİKAYET KAYIT'!P17="Kapatıldı","",IF('ŞİKAYET KAYIT'!B17="","",'ŞİKAYET KAYIT'!B17)),"")</f>
        <v/>
      </c>
      <c r="C17" s="26" t="str">
        <f>IFERROR(IF('ŞİKAYET KAYIT'!P17="Kapatıldı","",IF('ŞİKAYET KAYIT'!D17="","",'ŞİKAYET KAYIT'!D17)),"")</f>
        <v/>
      </c>
      <c r="D17" s="26" t="str">
        <f>IFERROR(IF('ŞİKAYET KAYIT'!P17="Kapatıldı","",IF('ŞİKAYET KAYIT'!F17="","",'ŞİKAYET KAYIT'!F17)),"")</f>
        <v/>
      </c>
      <c r="E17" s="26" t="str">
        <f>IFERROR(IF('ŞİKAYET KAYIT'!P17="Kapatıldı","",IF('ŞİKAYET KAYIT'!H17="","",'ŞİKAYET KAYIT'!H17)),"")</f>
        <v/>
      </c>
      <c r="F17" s="26" t="str">
        <f>IFERROR(IF('ŞİKAYET KAYIT'!P17="Kapatıldı","",IF('ŞİKAYET KAYIT'!I17="","",'ŞİKAYET KAYIT'!I17)),"")</f>
        <v/>
      </c>
      <c r="G17" s="26" t="str">
        <f>IFERROR(IF('ŞİKAYET KAYIT'!P17="Kapatıldı","",IF('ŞİKAYET KAYIT'!J17="","",'ŞİKAYET KAYIT'!J17)),"")</f>
        <v/>
      </c>
      <c r="H17" s="26" t="str">
        <f>IFERROR(IF('ŞİKAYET KAYIT'!P17="Kapatıldı","",IF('ŞİKAYET KAYIT'!K17="","",'ŞİKAYET KAYIT'!K17)),"")</f>
        <v/>
      </c>
      <c r="I17" s="26" t="str">
        <f>IFERROR(IF('ŞİKAYET KAYIT'!P17="Kapatıldı","",IF('ŞİKAYET KAYIT'!L17="","",'ŞİKAYET KAYIT'!L17)),"")</f>
        <v/>
      </c>
      <c r="J17" s="26" t="str">
        <f>IFERROR(IF('ŞİKAYET KAYIT'!P17="Kapatıldı","",IF('ŞİKAYET KAYIT'!M17="","",'ŞİKAYET KAYIT'!M17)),"")</f>
        <v/>
      </c>
      <c r="K17" s="26" t="str">
        <f>IFERROR(IF('ŞİKAYET KAYIT'!P17="Kapatıldı","",IF('ŞİKAYET KAYIT'!N17="","",'ŞİKAYET KAYIT'!N17)),"")</f>
        <v/>
      </c>
      <c r="L17" s="26" t="str">
        <f>IFERROR(IF('ŞİKAYET KAYIT'!P17="Kapatıldı","",IF('ŞİKAYET KAYIT'!O17="","",'ŞİKAYET KAYIT'!O17)),"")</f>
        <v/>
      </c>
      <c r="M17" s="26" t="str">
        <f>IFERROR(IF('ŞİKAYET KAYIT'!P17="Kapatıldı","",IF('ŞİKAYET KAYIT'!P17="","",'ŞİKAYET KAYIT'!P17)),"")</f>
        <v/>
      </c>
    </row>
    <row r="18" spans="1:13" ht="15" customHeight="1" x14ac:dyDescent="0.3">
      <c r="A18" s="3" t="str">
        <f>IFERROR(IF('ŞİKAYET KAYIT'!P18="Kapatıldı","",IF('ŞİKAYET KAYIT'!A18="","",'ŞİKAYET KAYIT'!A18)),"")</f>
        <v/>
      </c>
      <c r="B18" s="5" t="str">
        <f>IFERROR(IF('ŞİKAYET KAYIT'!P18="Kapatıldı","",IF('ŞİKAYET KAYIT'!B18="","",'ŞİKAYET KAYIT'!B18)),"")</f>
        <v/>
      </c>
      <c r="C18" s="3" t="str">
        <f>IFERROR(IF('ŞİKAYET KAYIT'!P18="Kapatıldı","",IF('ŞİKAYET KAYIT'!D18="","",'ŞİKAYET KAYIT'!D18)),"")</f>
        <v/>
      </c>
      <c r="D18" s="3" t="str">
        <f>IFERROR(IF('ŞİKAYET KAYIT'!P18="Kapatıldı","",IF('ŞİKAYET KAYIT'!F18="","",'ŞİKAYET KAYIT'!F18)),"")</f>
        <v/>
      </c>
      <c r="E18" s="3" t="str">
        <f>IFERROR(IF('ŞİKAYET KAYIT'!P18="Kapatıldı","",IF('ŞİKAYET KAYIT'!H18="","",'ŞİKAYET KAYIT'!H18)),"")</f>
        <v/>
      </c>
      <c r="F18" s="3" t="str">
        <f>IFERROR(IF('ŞİKAYET KAYIT'!P18="Kapatıldı","",IF('ŞİKAYET KAYIT'!I18="","",'ŞİKAYET KAYIT'!I18)),"")</f>
        <v/>
      </c>
      <c r="G18" s="3" t="str">
        <f>IFERROR(IF('ŞİKAYET KAYIT'!P18="Kapatıldı","",IF('ŞİKAYET KAYIT'!J18="","",'ŞİKAYET KAYIT'!J18)),"")</f>
        <v/>
      </c>
      <c r="H18" s="3" t="str">
        <f>IFERROR(IF('ŞİKAYET KAYIT'!P18="Kapatıldı","",IF('ŞİKAYET KAYIT'!K18="","",'ŞİKAYET KAYIT'!K18)),"")</f>
        <v/>
      </c>
      <c r="I18" s="3" t="str">
        <f>IFERROR(IF('ŞİKAYET KAYIT'!P18="Kapatıldı","",IF('ŞİKAYET KAYIT'!L18="","",'ŞİKAYET KAYIT'!L18)),"")</f>
        <v/>
      </c>
      <c r="J18" s="3" t="str">
        <f>IFERROR(IF('ŞİKAYET KAYIT'!P18="Kapatıldı","",IF('ŞİKAYET KAYIT'!M18="","",'ŞİKAYET KAYIT'!M18)),"")</f>
        <v/>
      </c>
      <c r="K18" s="3" t="str">
        <f>IFERROR(IF('ŞİKAYET KAYIT'!P18="Kapatıldı","",IF('ŞİKAYET KAYIT'!N18="","",'ŞİKAYET KAYIT'!N18)),"")</f>
        <v/>
      </c>
      <c r="L18" s="3" t="str">
        <f>IFERROR(IF('ŞİKAYET KAYIT'!P18="Kapatıldı","",IF('ŞİKAYET KAYIT'!O18="","",'ŞİKAYET KAYIT'!O18)),"")</f>
        <v/>
      </c>
      <c r="M18" s="3" t="str">
        <f>IFERROR(IF('ŞİKAYET KAYIT'!P18="Kapatıldı","",IF('ŞİKAYET KAYIT'!P18="","",'ŞİKAYET KAYIT'!P18)),"")</f>
        <v/>
      </c>
    </row>
    <row r="19" spans="1:13" ht="15" customHeight="1" x14ac:dyDescent="0.3">
      <c r="A19" s="26" t="str">
        <f>IFERROR(IF('ŞİKAYET KAYIT'!P19="Kapatıldı","",IF('ŞİKAYET KAYIT'!A19="","",'ŞİKAYET KAYIT'!A19)),"")</f>
        <v/>
      </c>
      <c r="B19" s="8" t="str">
        <f>IFERROR(IF('ŞİKAYET KAYIT'!P19="Kapatıldı","",IF('ŞİKAYET KAYIT'!B19="","",'ŞİKAYET KAYIT'!B19)),"")</f>
        <v/>
      </c>
      <c r="C19" s="26" t="str">
        <f>IFERROR(IF('ŞİKAYET KAYIT'!P19="Kapatıldı","",IF('ŞİKAYET KAYIT'!D19="","",'ŞİKAYET KAYIT'!D19)),"")</f>
        <v/>
      </c>
      <c r="D19" s="26" t="str">
        <f>IFERROR(IF('ŞİKAYET KAYIT'!P19="Kapatıldı","",IF('ŞİKAYET KAYIT'!F19="","",'ŞİKAYET KAYIT'!F19)),"")</f>
        <v/>
      </c>
      <c r="E19" s="26" t="str">
        <f>IFERROR(IF('ŞİKAYET KAYIT'!P19="Kapatıldı","",IF('ŞİKAYET KAYIT'!H19="","",'ŞİKAYET KAYIT'!H19)),"")</f>
        <v/>
      </c>
      <c r="F19" s="26" t="str">
        <f>IFERROR(IF('ŞİKAYET KAYIT'!P19="Kapatıldı","",IF('ŞİKAYET KAYIT'!I19="","",'ŞİKAYET KAYIT'!I19)),"")</f>
        <v/>
      </c>
      <c r="G19" s="26" t="str">
        <f>IFERROR(IF('ŞİKAYET KAYIT'!P19="Kapatıldı","",IF('ŞİKAYET KAYIT'!J19="","",'ŞİKAYET KAYIT'!J19)),"")</f>
        <v/>
      </c>
      <c r="H19" s="26" t="str">
        <f>IFERROR(IF('ŞİKAYET KAYIT'!P19="Kapatıldı","",IF('ŞİKAYET KAYIT'!K19="","",'ŞİKAYET KAYIT'!K19)),"")</f>
        <v/>
      </c>
      <c r="I19" s="26" t="str">
        <f>IFERROR(IF('ŞİKAYET KAYIT'!P19="Kapatıldı","",IF('ŞİKAYET KAYIT'!L19="","",'ŞİKAYET KAYIT'!L19)),"")</f>
        <v/>
      </c>
      <c r="J19" s="26" t="str">
        <f>IFERROR(IF('ŞİKAYET KAYIT'!P19="Kapatıldı","",IF('ŞİKAYET KAYIT'!M19="","",'ŞİKAYET KAYIT'!M19)),"")</f>
        <v/>
      </c>
      <c r="K19" s="26" t="str">
        <f>IFERROR(IF('ŞİKAYET KAYIT'!P19="Kapatıldı","",IF('ŞİKAYET KAYIT'!N19="","",'ŞİKAYET KAYIT'!N19)),"")</f>
        <v/>
      </c>
      <c r="L19" s="26" t="str">
        <f>IFERROR(IF('ŞİKAYET KAYIT'!P19="Kapatıldı","",IF('ŞİKAYET KAYIT'!O19="","",'ŞİKAYET KAYIT'!O19)),"")</f>
        <v/>
      </c>
      <c r="M19" s="26" t="str">
        <f>IFERROR(IF('ŞİKAYET KAYIT'!P19="Kapatıldı","",IF('ŞİKAYET KAYIT'!P19="","",'ŞİKAYET KAYIT'!P19)),"")</f>
        <v/>
      </c>
    </row>
    <row r="20" spans="1:13" ht="15" customHeight="1" x14ac:dyDescent="0.3">
      <c r="A20" s="3" t="str">
        <f>IFERROR(IF('ŞİKAYET KAYIT'!P20="Kapatıldı","",IF('ŞİKAYET KAYIT'!A20="","",'ŞİKAYET KAYIT'!A20)),"")</f>
        <v/>
      </c>
      <c r="B20" s="5" t="str">
        <f>IFERROR(IF('ŞİKAYET KAYIT'!P20="Kapatıldı","",IF('ŞİKAYET KAYIT'!B20="","",'ŞİKAYET KAYIT'!B20)),"")</f>
        <v/>
      </c>
      <c r="C20" s="3" t="str">
        <f>IFERROR(IF('ŞİKAYET KAYIT'!P20="Kapatıldı","",IF('ŞİKAYET KAYIT'!D20="","",'ŞİKAYET KAYIT'!D20)),"")</f>
        <v/>
      </c>
      <c r="D20" s="3" t="str">
        <f>IFERROR(IF('ŞİKAYET KAYIT'!P20="Kapatıldı","",IF('ŞİKAYET KAYIT'!F20="","",'ŞİKAYET KAYIT'!F20)),"")</f>
        <v/>
      </c>
      <c r="E20" s="3" t="str">
        <f>IFERROR(IF('ŞİKAYET KAYIT'!P20="Kapatıldı","",IF('ŞİKAYET KAYIT'!H20="","",'ŞİKAYET KAYIT'!H20)),"")</f>
        <v/>
      </c>
      <c r="F20" s="3" t="str">
        <f>IFERROR(IF('ŞİKAYET KAYIT'!P20="Kapatıldı","",IF('ŞİKAYET KAYIT'!I20="","",'ŞİKAYET KAYIT'!I20)),"")</f>
        <v/>
      </c>
      <c r="G20" s="3" t="str">
        <f>IFERROR(IF('ŞİKAYET KAYIT'!P20="Kapatıldı","",IF('ŞİKAYET KAYIT'!J20="","",'ŞİKAYET KAYIT'!J20)),"")</f>
        <v/>
      </c>
      <c r="H20" s="3" t="str">
        <f>IFERROR(IF('ŞİKAYET KAYIT'!P20="Kapatıldı","",IF('ŞİKAYET KAYIT'!K20="","",'ŞİKAYET KAYIT'!K20)),"")</f>
        <v/>
      </c>
      <c r="I20" s="3" t="str">
        <f>IFERROR(IF('ŞİKAYET KAYIT'!P20="Kapatıldı","",IF('ŞİKAYET KAYIT'!L20="","",'ŞİKAYET KAYIT'!L20)),"")</f>
        <v/>
      </c>
      <c r="J20" s="3" t="str">
        <f>IFERROR(IF('ŞİKAYET KAYIT'!P20="Kapatıldı","",IF('ŞİKAYET KAYIT'!M20="","",'ŞİKAYET KAYIT'!M20)),"")</f>
        <v/>
      </c>
      <c r="K20" s="3" t="str">
        <f>IFERROR(IF('ŞİKAYET KAYIT'!P20="Kapatıldı","",IF('ŞİKAYET KAYIT'!N20="","",'ŞİKAYET KAYIT'!N20)),"")</f>
        <v/>
      </c>
      <c r="L20" s="3" t="str">
        <f>IFERROR(IF('ŞİKAYET KAYIT'!P20="Kapatıldı","",IF('ŞİKAYET KAYIT'!O20="","",'ŞİKAYET KAYIT'!O20)),"")</f>
        <v/>
      </c>
      <c r="M20" s="3" t="str">
        <f>IFERROR(IF('ŞİKAYET KAYIT'!P20="Kapatıldı","",IF('ŞİKAYET KAYIT'!P20="","",'ŞİKAYET KAYIT'!P20)),"")</f>
        <v/>
      </c>
    </row>
    <row r="21" spans="1:13" ht="15" customHeight="1" x14ac:dyDescent="0.3">
      <c r="A21" s="26" t="str">
        <f>IFERROR(IF('ŞİKAYET KAYIT'!P21="Kapatıldı","",IF('ŞİKAYET KAYIT'!A21="","",'ŞİKAYET KAYIT'!A21)),"")</f>
        <v/>
      </c>
      <c r="B21" s="8" t="str">
        <f>IFERROR(IF('ŞİKAYET KAYIT'!P21="Kapatıldı","",IF('ŞİKAYET KAYIT'!B21="","",'ŞİKAYET KAYIT'!B21)),"")</f>
        <v/>
      </c>
      <c r="C21" s="26" t="str">
        <f>IFERROR(IF('ŞİKAYET KAYIT'!P21="Kapatıldı","",IF('ŞİKAYET KAYIT'!D21="","",'ŞİKAYET KAYIT'!D21)),"")</f>
        <v/>
      </c>
      <c r="D21" s="26" t="str">
        <f>IFERROR(IF('ŞİKAYET KAYIT'!P21="Kapatıldı","",IF('ŞİKAYET KAYIT'!F21="","",'ŞİKAYET KAYIT'!F21)),"")</f>
        <v/>
      </c>
      <c r="E21" s="26" t="str">
        <f>IFERROR(IF('ŞİKAYET KAYIT'!P21="Kapatıldı","",IF('ŞİKAYET KAYIT'!H21="","",'ŞİKAYET KAYIT'!H21)),"")</f>
        <v/>
      </c>
      <c r="F21" s="26" t="str">
        <f>IFERROR(IF('ŞİKAYET KAYIT'!P21="Kapatıldı","",IF('ŞİKAYET KAYIT'!I21="","",'ŞİKAYET KAYIT'!I21)),"")</f>
        <v/>
      </c>
      <c r="G21" s="26" t="str">
        <f>IFERROR(IF('ŞİKAYET KAYIT'!P21="Kapatıldı","",IF('ŞİKAYET KAYIT'!J21="","",'ŞİKAYET KAYIT'!J21)),"")</f>
        <v/>
      </c>
      <c r="H21" s="26" t="str">
        <f>IFERROR(IF('ŞİKAYET KAYIT'!P21="Kapatıldı","",IF('ŞİKAYET KAYIT'!K21="","",'ŞİKAYET KAYIT'!K21)),"")</f>
        <v/>
      </c>
      <c r="I21" s="26" t="str">
        <f>IFERROR(IF('ŞİKAYET KAYIT'!P21="Kapatıldı","",IF('ŞİKAYET KAYIT'!L21="","",'ŞİKAYET KAYIT'!L21)),"")</f>
        <v/>
      </c>
      <c r="J21" s="26" t="str">
        <f>IFERROR(IF('ŞİKAYET KAYIT'!P21="Kapatıldı","",IF('ŞİKAYET KAYIT'!M21="","",'ŞİKAYET KAYIT'!M21)),"")</f>
        <v/>
      </c>
      <c r="K21" s="26" t="str">
        <f>IFERROR(IF('ŞİKAYET KAYIT'!P21="Kapatıldı","",IF('ŞİKAYET KAYIT'!N21="","",'ŞİKAYET KAYIT'!N21)),"")</f>
        <v/>
      </c>
      <c r="L21" s="26" t="str">
        <f>IFERROR(IF('ŞİKAYET KAYIT'!P21="Kapatıldı","",IF('ŞİKAYET KAYIT'!O21="","",'ŞİKAYET KAYIT'!O21)),"")</f>
        <v/>
      </c>
      <c r="M21" s="26" t="str">
        <f>IFERROR(IF('ŞİKAYET KAYIT'!P21="Kapatıldı","",IF('ŞİKAYET KAYIT'!P21="","",'ŞİKAYET KAYIT'!P21)),"")</f>
        <v/>
      </c>
    </row>
    <row r="22" spans="1:13" ht="15" customHeight="1" x14ac:dyDescent="0.3">
      <c r="A22" s="3" t="str">
        <f>IFERROR(IF('ŞİKAYET KAYIT'!P22="Kapatıldı","",IF('ŞİKAYET KAYIT'!A22="","",'ŞİKAYET KAYIT'!A22)),"")</f>
        <v/>
      </c>
      <c r="B22" s="5" t="str">
        <f>IFERROR(IF('ŞİKAYET KAYIT'!P22="Kapatıldı","",IF('ŞİKAYET KAYIT'!B22="","",'ŞİKAYET KAYIT'!B22)),"")</f>
        <v/>
      </c>
      <c r="C22" s="3" t="str">
        <f>IFERROR(IF('ŞİKAYET KAYIT'!P22="Kapatıldı","",IF('ŞİKAYET KAYIT'!D22="","",'ŞİKAYET KAYIT'!D22)),"")</f>
        <v/>
      </c>
      <c r="D22" s="3" t="str">
        <f>IFERROR(IF('ŞİKAYET KAYIT'!P22="Kapatıldı","",IF('ŞİKAYET KAYIT'!F22="","",'ŞİKAYET KAYIT'!F22)),"")</f>
        <v/>
      </c>
      <c r="E22" s="3" t="str">
        <f>IFERROR(IF('ŞİKAYET KAYIT'!P22="Kapatıldı","",IF('ŞİKAYET KAYIT'!H22="","",'ŞİKAYET KAYIT'!H22)),"")</f>
        <v/>
      </c>
      <c r="F22" s="3" t="str">
        <f>IFERROR(IF('ŞİKAYET KAYIT'!P22="Kapatıldı","",IF('ŞİKAYET KAYIT'!I22="","",'ŞİKAYET KAYIT'!I22)),"")</f>
        <v/>
      </c>
      <c r="G22" s="3" t="str">
        <f>IFERROR(IF('ŞİKAYET KAYIT'!P22="Kapatıldı","",IF('ŞİKAYET KAYIT'!J22="","",'ŞİKAYET KAYIT'!J22)),"")</f>
        <v/>
      </c>
      <c r="H22" s="3" t="str">
        <f>IFERROR(IF('ŞİKAYET KAYIT'!P22="Kapatıldı","",IF('ŞİKAYET KAYIT'!K22="","",'ŞİKAYET KAYIT'!K22)),"")</f>
        <v/>
      </c>
      <c r="I22" s="3" t="str">
        <f>IFERROR(IF('ŞİKAYET KAYIT'!P22="Kapatıldı","",IF('ŞİKAYET KAYIT'!L22="","",'ŞİKAYET KAYIT'!L22)),"")</f>
        <v/>
      </c>
      <c r="J22" s="3" t="str">
        <f>IFERROR(IF('ŞİKAYET KAYIT'!P22="Kapatıldı","",IF('ŞİKAYET KAYIT'!M22="","",'ŞİKAYET KAYIT'!M22)),"")</f>
        <v/>
      </c>
      <c r="K22" s="3" t="str">
        <f>IFERROR(IF('ŞİKAYET KAYIT'!P22="Kapatıldı","",IF('ŞİKAYET KAYIT'!N22="","",'ŞİKAYET KAYIT'!N22)),"")</f>
        <v/>
      </c>
      <c r="L22" s="3" t="str">
        <f>IFERROR(IF('ŞİKAYET KAYIT'!P22="Kapatıldı","",IF('ŞİKAYET KAYIT'!O22="","",'ŞİKAYET KAYIT'!O22)),"")</f>
        <v/>
      </c>
      <c r="M22" s="3" t="str">
        <f>IFERROR(IF('ŞİKAYET KAYIT'!P22="Kapatıldı","",IF('ŞİKAYET KAYIT'!P22="","",'ŞİKAYET KAYIT'!P22)),"")</f>
        <v/>
      </c>
    </row>
    <row r="23" spans="1:13" ht="15" customHeight="1" x14ac:dyDescent="0.3">
      <c r="A23" s="26" t="str">
        <f>IFERROR(IF('ŞİKAYET KAYIT'!P23="Kapatıldı","",IF('ŞİKAYET KAYIT'!A23="","",'ŞİKAYET KAYIT'!A23)),"")</f>
        <v/>
      </c>
      <c r="B23" s="8" t="str">
        <f>IFERROR(IF('ŞİKAYET KAYIT'!P23="Kapatıldı","",IF('ŞİKAYET KAYIT'!B23="","",'ŞİKAYET KAYIT'!B23)),"")</f>
        <v/>
      </c>
      <c r="C23" s="26" t="str">
        <f>IFERROR(IF('ŞİKAYET KAYIT'!P23="Kapatıldı","",IF('ŞİKAYET KAYIT'!D23="","",'ŞİKAYET KAYIT'!D23)),"")</f>
        <v/>
      </c>
      <c r="D23" s="26" t="str">
        <f>IFERROR(IF('ŞİKAYET KAYIT'!P23="Kapatıldı","",IF('ŞİKAYET KAYIT'!F23="","",'ŞİKAYET KAYIT'!F23)),"")</f>
        <v/>
      </c>
      <c r="E23" s="26" t="str">
        <f>IFERROR(IF('ŞİKAYET KAYIT'!P23="Kapatıldı","",IF('ŞİKAYET KAYIT'!H23="","",'ŞİKAYET KAYIT'!H23)),"")</f>
        <v/>
      </c>
      <c r="F23" s="26" t="str">
        <f>IFERROR(IF('ŞİKAYET KAYIT'!P23="Kapatıldı","",IF('ŞİKAYET KAYIT'!I23="","",'ŞİKAYET KAYIT'!I23)),"")</f>
        <v/>
      </c>
      <c r="G23" s="26" t="str">
        <f>IFERROR(IF('ŞİKAYET KAYIT'!P23="Kapatıldı","",IF('ŞİKAYET KAYIT'!J23="","",'ŞİKAYET KAYIT'!J23)),"")</f>
        <v/>
      </c>
      <c r="H23" s="26" t="str">
        <f>IFERROR(IF('ŞİKAYET KAYIT'!P23="Kapatıldı","",IF('ŞİKAYET KAYIT'!K23="","",'ŞİKAYET KAYIT'!K23)),"")</f>
        <v/>
      </c>
      <c r="I23" s="26" t="str">
        <f>IFERROR(IF('ŞİKAYET KAYIT'!P23="Kapatıldı","",IF('ŞİKAYET KAYIT'!L23="","",'ŞİKAYET KAYIT'!L23)),"")</f>
        <v/>
      </c>
      <c r="J23" s="26" t="str">
        <f>IFERROR(IF('ŞİKAYET KAYIT'!P23="Kapatıldı","",IF('ŞİKAYET KAYIT'!M23="","",'ŞİKAYET KAYIT'!M23)),"")</f>
        <v/>
      </c>
      <c r="K23" s="26" t="str">
        <f>IFERROR(IF('ŞİKAYET KAYIT'!P23="Kapatıldı","",IF('ŞİKAYET KAYIT'!N23="","",'ŞİKAYET KAYIT'!N23)),"")</f>
        <v/>
      </c>
      <c r="L23" s="26" t="str">
        <f>IFERROR(IF('ŞİKAYET KAYIT'!P23="Kapatıldı","",IF('ŞİKAYET KAYIT'!O23="","",'ŞİKAYET KAYIT'!O23)),"")</f>
        <v/>
      </c>
      <c r="M23" s="26" t="str">
        <f>IFERROR(IF('ŞİKAYET KAYIT'!P23="Kapatıldı","",IF('ŞİKAYET KAYIT'!P23="","",'ŞİKAYET KAYIT'!P23)),"")</f>
        <v/>
      </c>
    </row>
    <row r="24" spans="1:13" ht="15" customHeight="1" x14ac:dyDescent="0.3">
      <c r="A24" s="3" t="str">
        <f>IFERROR(IF('ŞİKAYET KAYIT'!P24="Kapatıldı","",IF('ŞİKAYET KAYIT'!A24="","",'ŞİKAYET KAYIT'!A24)),"")</f>
        <v/>
      </c>
      <c r="B24" s="5" t="str">
        <f>IFERROR(IF('ŞİKAYET KAYIT'!P24="Kapatıldı","",IF('ŞİKAYET KAYIT'!B24="","",'ŞİKAYET KAYIT'!B24)),"")</f>
        <v/>
      </c>
      <c r="C24" s="3" t="str">
        <f>IFERROR(IF('ŞİKAYET KAYIT'!P24="Kapatıldı","",IF('ŞİKAYET KAYIT'!D24="","",'ŞİKAYET KAYIT'!D24)),"")</f>
        <v/>
      </c>
      <c r="D24" s="3" t="str">
        <f>IFERROR(IF('ŞİKAYET KAYIT'!P24="Kapatıldı","",IF('ŞİKAYET KAYIT'!F24="","",'ŞİKAYET KAYIT'!F24)),"")</f>
        <v/>
      </c>
      <c r="E24" s="3" t="str">
        <f>IFERROR(IF('ŞİKAYET KAYIT'!P24="Kapatıldı","",IF('ŞİKAYET KAYIT'!H24="","",'ŞİKAYET KAYIT'!H24)),"")</f>
        <v/>
      </c>
      <c r="F24" s="3" t="str">
        <f>IFERROR(IF('ŞİKAYET KAYIT'!P24="Kapatıldı","",IF('ŞİKAYET KAYIT'!I24="","",'ŞİKAYET KAYIT'!I24)),"")</f>
        <v/>
      </c>
      <c r="G24" s="3" t="str">
        <f>IFERROR(IF('ŞİKAYET KAYIT'!P24="Kapatıldı","",IF('ŞİKAYET KAYIT'!J24="","",'ŞİKAYET KAYIT'!J24)),"")</f>
        <v/>
      </c>
      <c r="H24" s="3" t="str">
        <f>IFERROR(IF('ŞİKAYET KAYIT'!P24="Kapatıldı","",IF('ŞİKAYET KAYIT'!K24="","",'ŞİKAYET KAYIT'!K24)),"")</f>
        <v/>
      </c>
      <c r="I24" s="3" t="str">
        <f>IFERROR(IF('ŞİKAYET KAYIT'!P24="Kapatıldı","",IF('ŞİKAYET KAYIT'!L24="","",'ŞİKAYET KAYIT'!L24)),"")</f>
        <v/>
      </c>
      <c r="J24" s="3" t="str">
        <f>IFERROR(IF('ŞİKAYET KAYIT'!P24="Kapatıldı","",IF('ŞİKAYET KAYIT'!M24="","",'ŞİKAYET KAYIT'!M24)),"")</f>
        <v/>
      </c>
      <c r="K24" s="3" t="str">
        <f>IFERROR(IF('ŞİKAYET KAYIT'!P24="Kapatıldı","",IF('ŞİKAYET KAYIT'!N24="","",'ŞİKAYET KAYIT'!N24)),"")</f>
        <v/>
      </c>
      <c r="L24" s="3" t="str">
        <f>IFERROR(IF('ŞİKAYET KAYIT'!P24="Kapatıldı","",IF('ŞİKAYET KAYIT'!O24="","",'ŞİKAYET KAYIT'!O24)),"")</f>
        <v/>
      </c>
      <c r="M24" s="3" t="str">
        <f>IFERROR(IF('ŞİKAYET KAYIT'!P24="Kapatıldı","",IF('ŞİKAYET KAYIT'!P24="","",'ŞİKAYET KAYIT'!P24)),"")</f>
        <v/>
      </c>
    </row>
    <row r="25" spans="1:13" ht="15" customHeight="1" x14ac:dyDescent="0.3">
      <c r="A25" s="26" t="str">
        <f>IFERROR(IF('ŞİKAYET KAYIT'!P25="Kapatıldı","",IF('ŞİKAYET KAYIT'!A25="","",'ŞİKAYET KAYIT'!A25)),"")</f>
        <v/>
      </c>
      <c r="B25" s="8" t="str">
        <f>IFERROR(IF('ŞİKAYET KAYIT'!P25="Kapatıldı","",IF('ŞİKAYET KAYIT'!B25="","",'ŞİKAYET KAYIT'!B25)),"")</f>
        <v/>
      </c>
      <c r="C25" s="26" t="str">
        <f>IFERROR(IF('ŞİKAYET KAYIT'!P25="Kapatıldı","",IF('ŞİKAYET KAYIT'!D25="","",'ŞİKAYET KAYIT'!D25)),"")</f>
        <v/>
      </c>
      <c r="D25" s="26" t="str">
        <f>IFERROR(IF('ŞİKAYET KAYIT'!P25="Kapatıldı","",IF('ŞİKAYET KAYIT'!F25="","",'ŞİKAYET KAYIT'!F25)),"")</f>
        <v/>
      </c>
      <c r="E25" s="26" t="str">
        <f>IFERROR(IF('ŞİKAYET KAYIT'!P25="Kapatıldı","",IF('ŞİKAYET KAYIT'!H25="","",'ŞİKAYET KAYIT'!H25)),"")</f>
        <v/>
      </c>
      <c r="F25" s="26" t="str">
        <f>IFERROR(IF('ŞİKAYET KAYIT'!P25="Kapatıldı","",IF('ŞİKAYET KAYIT'!I25="","",'ŞİKAYET KAYIT'!I25)),"")</f>
        <v/>
      </c>
      <c r="G25" s="26" t="str">
        <f>IFERROR(IF('ŞİKAYET KAYIT'!P25="Kapatıldı","",IF('ŞİKAYET KAYIT'!J25="","",'ŞİKAYET KAYIT'!J25)),"")</f>
        <v/>
      </c>
      <c r="H25" s="26" t="str">
        <f>IFERROR(IF('ŞİKAYET KAYIT'!P25="Kapatıldı","",IF('ŞİKAYET KAYIT'!K25="","",'ŞİKAYET KAYIT'!K25)),"")</f>
        <v/>
      </c>
      <c r="I25" s="26" t="str">
        <f>IFERROR(IF('ŞİKAYET KAYIT'!P25="Kapatıldı","",IF('ŞİKAYET KAYIT'!L25="","",'ŞİKAYET KAYIT'!L25)),"")</f>
        <v/>
      </c>
      <c r="J25" s="26" t="str">
        <f>IFERROR(IF('ŞİKAYET KAYIT'!P25="Kapatıldı","",IF('ŞİKAYET KAYIT'!M25="","",'ŞİKAYET KAYIT'!M25)),"")</f>
        <v/>
      </c>
      <c r="K25" s="26" t="str">
        <f>IFERROR(IF('ŞİKAYET KAYIT'!P25="Kapatıldı","",IF('ŞİKAYET KAYIT'!N25="","",'ŞİKAYET KAYIT'!N25)),"")</f>
        <v/>
      </c>
      <c r="L25" s="26" t="str">
        <f>IFERROR(IF('ŞİKAYET KAYIT'!P25="Kapatıldı","",IF('ŞİKAYET KAYIT'!O25="","",'ŞİKAYET KAYIT'!O25)),"")</f>
        <v/>
      </c>
      <c r="M25" s="26" t="str">
        <f>IFERROR(IF('ŞİKAYET KAYIT'!P25="Kapatıldı","",IF('ŞİKAYET KAYIT'!P25="","",'ŞİKAYET KAYIT'!P25)),"")</f>
        <v/>
      </c>
    </row>
    <row r="26" spans="1:13" ht="15" customHeight="1" x14ac:dyDescent="0.3">
      <c r="A26" s="3" t="str">
        <f>IFERROR(IF('ŞİKAYET KAYIT'!P26="Kapatıldı","",IF('ŞİKAYET KAYIT'!A26="","",'ŞİKAYET KAYIT'!A26)),"")</f>
        <v/>
      </c>
      <c r="B26" s="5" t="str">
        <f>IFERROR(IF('ŞİKAYET KAYIT'!P26="Kapatıldı","",IF('ŞİKAYET KAYIT'!B26="","",'ŞİKAYET KAYIT'!B26)),"")</f>
        <v/>
      </c>
      <c r="C26" s="3" t="str">
        <f>IFERROR(IF('ŞİKAYET KAYIT'!P26="Kapatıldı","",IF('ŞİKAYET KAYIT'!D26="","",'ŞİKAYET KAYIT'!D26)),"")</f>
        <v/>
      </c>
      <c r="D26" s="3" t="str">
        <f>IFERROR(IF('ŞİKAYET KAYIT'!P26="Kapatıldı","",IF('ŞİKAYET KAYIT'!F26="","",'ŞİKAYET KAYIT'!F26)),"")</f>
        <v/>
      </c>
      <c r="E26" s="3" t="str">
        <f>IFERROR(IF('ŞİKAYET KAYIT'!P26="Kapatıldı","",IF('ŞİKAYET KAYIT'!H26="","",'ŞİKAYET KAYIT'!H26)),"")</f>
        <v/>
      </c>
      <c r="F26" s="3" t="str">
        <f>IFERROR(IF('ŞİKAYET KAYIT'!P26="Kapatıldı","",IF('ŞİKAYET KAYIT'!I26="","",'ŞİKAYET KAYIT'!I26)),"")</f>
        <v/>
      </c>
      <c r="G26" s="3" t="str">
        <f>IFERROR(IF('ŞİKAYET KAYIT'!P26="Kapatıldı","",IF('ŞİKAYET KAYIT'!J26="","",'ŞİKAYET KAYIT'!J26)),"")</f>
        <v/>
      </c>
      <c r="H26" s="3" t="str">
        <f>IFERROR(IF('ŞİKAYET KAYIT'!P26="Kapatıldı","",IF('ŞİKAYET KAYIT'!K26="","",'ŞİKAYET KAYIT'!K26)),"")</f>
        <v/>
      </c>
      <c r="I26" s="3" t="str">
        <f>IFERROR(IF('ŞİKAYET KAYIT'!P26="Kapatıldı","",IF('ŞİKAYET KAYIT'!L26="","",'ŞİKAYET KAYIT'!L26)),"")</f>
        <v/>
      </c>
      <c r="J26" s="3" t="str">
        <f>IFERROR(IF('ŞİKAYET KAYIT'!P26="Kapatıldı","",IF('ŞİKAYET KAYIT'!M26="","",'ŞİKAYET KAYIT'!M26)),"")</f>
        <v/>
      </c>
      <c r="K26" s="3" t="str">
        <f>IFERROR(IF('ŞİKAYET KAYIT'!P26="Kapatıldı","",IF('ŞİKAYET KAYIT'!N26="","",'ŞİKAYET KAYIT'!N26)),"")</f>
        <v/>
      </c>
      <c r="L26" s="3" t="str">
        <f>IFERROR(IF('ŞİKAYET KAYIT'!P26="Kapatıldı","",IF('ŞİKAYET KAYIT'!O26="","",'ŞİKAYET KAYIT'!O26)),"")</f>
        <v/>
      </c>
      <c r="M26" s="3" t="str">
        <f>IFERROR(IF('ŞİKAYET KAYIT'!P26="Kapatıldı","",IF('ŞİKAYET KAYIT'!P26="","",'ŞİKAYET KAYIT'!P26)),"")</f>
        <v/>
      </c>
    </row>
    <row r="27" spans="1:13" ht="15" customHeight="1" x14ac:dyDescent="0.3">
      <c r="A27" s="26" t="str">
        <f>IFERROR(IF('ŞİKAYET KAYIT'!P27="Kapatıldı","",IF('ŞİKAYET KAYIT'!A27="","",'ŞİKAYET KAYIT'!A27)),"")</f>
        <v/>
      </c>
      <c r="B27" s="8" t="str">
        <f>IFERROR(IF('ŞİKAYET KAYIT'!P27="Kapatıldı","",IF('ŞİKAYET KAYIT'!B27="","",'ŞİKAYET KAYIT'!B27)),"")</f>
        <v/>
      </c>
      <c r="C27" s="26" t="str">
        <f>IFERROR(IF('ŞİKAYET KAYIT'!P27="Kapatıldı","",IF('ŞİKAYET KAYIT'!D27="","",'ŞİKAYET KAYIT'!D27)),"")</f>
        <v/>
      </c>
      <c r="D27" s="26" t="str">
        <f>IFERROR(IF('ŞİKAYET KAYIT'!P27="Kapatıldı","",IF('ŞİKAYET KAYIT'!F27="","",'ŞİKAYET KAYIT'!F27)),"")</f>
        <v/>
      </c>
      <c r="E27" s="26" t="str">
        <f>IFERROR(IF('ŞİKAYET KAYIT'!P27="Kapatıldı","",IF('ŞİKAYET KAYIT'!H27="","",'ŞİKAYET KAYIT'!H27)),"")</f>
        <v/>
      </c>
      <c r="F27" s="26" t="str">
        <f>IFERROR(IF('ŞİKAYET KAYIT'!P27="Kapatıldı","",IF('ŞİKAYET KAYIT'!I27="","",'ŞİKAYET KAYIT'!I27)),"")</f>
        <v/>
      </c>
      <c r="G27" s="26" t="str">
        <f>IFERROR(IF('ŞİKAYET KAYIT'!P27="Kapatıldı","",IF('ŞİKAYET KAYIT'!J27="","",'ŞİKAYET KAYIT'!J27)),"")</f>
        <v/>
      </c>
      <c r="H27" s="26" t="str">
        <f>IFERROR(IF('ŞİKAYET KAYIT'!P27="Kapatıldı","",IF('ŞİKAYET KAYIT'!K27="","",'ŞİKAYET KAYIT'!K27)),"")</f>
        <v/>
      </c>
      <c r="I27" s="26" t="str">
        <f>IFERROR(IF('ŞİKAYET KAYIT'!P27="Kapatıldı","",IF('ŞİKAYET KAYIT'!L27="","",'ŞİKAYET KAYIT'!L27)),"")</f>
        <v/>
      </c>
      <c r="J27" s="26" t="str">
        <f>IFERROR(IF('ŞİKAYET KAYIT'!P27="Kapatıldı","",IF('ŞİKAYET KAYIT'!M27="","",'ŞİKAYET KAYIT'!M27)),"")</f>
        <v/>
      </c>
      <c r="K27" s="26" t="str">
        <f>IFERROR(IF('ŞİKAYET KAYIT'!P27="Kapatıldı","",IF('ŞİKAYET KAYIT'!N27="","",'ŞİKAYET KAYIT'!N27)),"")</f>
        <v/>
      </c>
      <c r="L27" s="26" t="str">
        <f>IFERROR(IF('ŞİKAYET KAYIT'!P27="Kapatıldı","",IF('ŞİKAYET KAYIT'!O27="","",'ŞİKAYET KAYIT'!O27)),"")</f>
        <v/>
      </c>
      <c r="M27" s="26" t="str">
        <f>IFERROR(IF('ŞİKAYET KAYIT'!P27="Kapatıldı","",IF('ŞİKAYET KAYIT'!P27="","",'ŞİKAYET KAYIT'!P27)),"")</f>
        <v/>
      </c>
    </row>
    <row r="28" spans="1:13" ht="15" customHeight="1" x14ac:dyDescent="0.3">
      <c r="A28" s="3" t="str">
        <f>IFERROR(IF('ŞİKAYET KAYIT'!P28="Kapatıldı","",IF('ŞİKAYET KAYIT'!A28="","",'ŞİKAYET KAYIT'!A28)),"")</f>
        <v/>
      </c>
      <c r="B28" s="5" t="str">
        <f>IFERROR(IF('ŞİKAYET KAYIT'!P28="Kapatıldı","",IF('ŞİKAYET KAYIT'!B28="","",'ŞİKAYET KAYIT'!B28)),"")</f>
        <v/>
      </c>
      <c r="C28" s="3" t="str">
        <f>IFERROR(IF('ŞİKAYET KAYIT'!P28="Kapatıldı","",IF('ŞİKAYET KAYIT'!D28="","",'ŞİKAYET KAYIT'!D28)),"")</f>
        <v/>
      </c>
      <c r="D28" s="3" t="str">
        <f>IFERROR(IF('ŞİKAYET KAYIT'!P28="Kapatıldı","",IF('ŞİKAYET KAYIT'!F28="","",'ŞİKAYET KAYIT'!F28)),"")</f>
        <v/>
      </c>
      <c r="E28" s="3" t="str">
        <f>IFERROR(IF('ŞİKAYET KAYIT'!P28="Kapatıldı","",IF('ŞİKAYET KAYIT'!H28="","",'ŞİKAYET KAYIT'!H28)),"")</f>
        <v/>
      </c>
      <c r="F28" s="3" t="str">
        <f>IFERROR(IF('ŞİKAYET KAYIT'!P28="Kapatıldı","",IF('ŞİKAYET KAYIT'!I28="","",'ŞİKAYET KAYIT'!I28)),"")</f>
        <v/>
      </c>
      <c r="G28" s="3" t="str">
        <f>IFERROR(IF('ŞİKAYET KAYIT'!P28="Kapatıldı","",IF('ŞİKAYET KAYIT'!J28="","",'ŞİKAYET KAYIT'!J28)),"")</f>
        <v/>
      </c>
      <c r="H28" s="3" t="str">
        <f>IFERROR(IF('ŞİKAYET KAYIT'!P28="Kapatıldı","",IF('ŞİKAYET KAYIT'!K28="","",'ŞİKAYET KAYIT'!K28)),"")</f>
        <v/>
      </c>
      <c r="I28" s="3" t="str">
        <f>IFERROR(IF('ŞİKAYET KAYIT'!P28="Kapatıldı","",IF('ŞİKAYET KAYIT'!L28="","",'ŞİKAYET KAYIT'!L28)),"")</f>
        <v/>
      </c>
      <c r="J28" s="3" t="str">
        <f>IFERROR(IF('ŞİKAYET KAYIT'!P28="Kapatıldı","",IF('ŞİKAYET KAYIT'!M28="","",'ŞİKAYET KAYIT'!M28)),"")</f>
        <v/>
      </c>
      <c r="K28" s="3" t="str">
        <f>IFERROR(IF('ŞİKAYET KAYIT'!P28="Kapatıldı","",IF('ŞİKAYET KAYIT'!N28="","",'ŞİKAYET KAYIT'!N28)),"")</f>
        <v/>
      </c>
      <c r="L28" s="3" t="str">
        <f>IFERROR(IF('ŞİKAYET KAYIT'!P28="Kapatıldı","",IF('ŞİKAYET KAYIT'!O28="","",'ŞİKAYET KAYIT'!O28)),"")</f>
        <v/>
      </c>
      <c r="M28" s="3" t="str">
        <f>IFERROR(IF('ŞİKAYET KAYIT'!P28="Kapatıldı","",IF('ŞİKAYET KAYIT'!P28="","",'ŞİKAYET KAYIT'!P28)),"")</f>
        <v/>
      </c>
    </row>
    <row r="29" spans="1:13" ht="15" customHeight="1" x14ac:dyDescent="0.3">
      <c r="A29" s="26" t="str">
        <f>IFERROR(IF('ŞİKAYET KAYIT'!P29="Kapatıldı","",IF('ŞİKAYET KAYIT'!A29="","",'ŞİKAYET KAYIT'!A29)),"")</f>
        <v/>
      </c>
      <c r="B29" s="8" t="str">
        <f>IFERROR(IF('ŞİKAYET KAYIT'!P29="Kapatıldı","",IF('ŞİKAYET KAYIT'!B29="","",'ŞİKAYET KAYIT'!B29)),"")</f>
        <v/>
      </c>
      <c r="C29" s="26" t="str">
        <f>IFERROR(IF('ŞİKAYET KAYIT'!P29="Kapatıldı","",IF('ŞİKAYET KAYIT'!D29="","",'ŞİKAYET KAYIT'!D29)),"")</f>
        <v/>
      </c>
      <c r="D29" s="26" t="str">
        <f>IFERROR(IF('ŞİKAYET KAYIT'!P29="Kapatıldı","",IF('ŞİKAYET KAYIT'!F29="","",'ŞİKAYET KAYIT'!F29)),"")</f>
        <v/>
      </c>
      <c r="E29" s="26" t="str">
        <f>IFERROR(IF('ŞİKAYET KAYIT'!P29="Kapatıldı","",IF('ŞİKAYET KAYIT'!H29="","",'ŞİKAYET KAYIT'!H29)),"")</f>
        <v/>
      </c>
      <c r="F29" s="26" t="str">
        <f>IFERROR(IF('ŞİKAYET KAYIT'!P29="Kapatıldı","",IF('ŞİKAYET KAYIT'!I29="","",'ŞİKAYET KAYIT'!I29)),"")</f>
        <v/>
      </c>
      <c r="G29" s="26" t="str">
        <f>IFERROR(IF('ŞİKAYET KAYIT'!P29="Kapatıldı","",IF('ŞİKAYET KAYIT'!J29="","",'ŞİKAYET KAYIT'!J29)),"")</f>
        <v/>
      </c>
      <c r="H29" s="26" t="str">
        <f>IFERROR(IF('ŞİKAYET KAYIT'!P29="Kapatıldı","",IF('ŞİKAYET KAYIT'!K29="","",'ŞİKAYET KAYIT'!K29)),"")</f>
        <v/>
      </c>
      <c r="I29" s="26" t="str">
        <f>IFERROR(IF('ŞİKAYET KAYIT'!P29="Kapatıldı","",IF('ŞİKAYET KAYIT'!L29="","",'ŞİKAYET KAYIT'!L29)),"")</f>
        <v/>
      </c>
      <c r="J29" s="26" t="str">
        <f>IFERROR(IF('ŞİKAYET KAYIT'!P29="Kapatıldı","",IF('ŞİKAYET KAYIT'!M29="","",'ŞİKAYET KAYIT'!M29)),"")</f>
        <v/>
      </c>
      <c r="K29" s="26" t="str">
        <f>IFERROR(IF('ŞİKAYET KAYIT'!P29="Kapatıldı","",IF('ŞİKAYET KAYIT'!N29="","",'ŞİKAYET KAYIT'!N29)),"")</f>
        <v/>
      </c>
      <c r="L29" s="26" t="str">
        <f>IFERROR(IF('ŞİKAYET KAYIT'!P29="Kapatıldı","",IF('ŞİKAYET KAYIT'!O29="","",'ŞİKAYET KAYIT'!O29)),"")</f>
        <v/>
      </c>
      <c r="M29" s="26" t="str">
        <f>IFERROR(IF('ŞİKAYET KAYIT'!P29="Kapatıldı","",IF('ŞİKAYET KAYIT'!P29="","",'ŞİKAYET KAYIT'!P29)),"")</f>
        <v/>
      </c>
    </row>
    <row r="30" spans="1:13" ht="15" customHeight="1" x14ac:dyDescent="0.3">
      <c r="A30" s="3" t="str">
        <f>IFERROR(IF('ŞİKAYET KAYIT'!P30="Kapatıldı","",IF('ŞİKAYET KAYIT'!A30="","",'ŞİKAYET KAYIT'!A30)),"")</f>
        <v/>
      </c>
      <c r="B30" s="5" t="str">
        <f>IFERROR(IF('ŞİKAYET KAYIT'!P30="Kapatıldı","",IF('ŞİKAYET KAYIT'!B30="","",'ŞİKAYET KAYIT'!B30)),"")</f>
        <v/>
      </c>
      <c r="C30" s="3" t="str">
        <f>IFERROR(IF('ŞİKAYET KAYIT'!P30="Kapatıldı","",IF('ŞİKAYET KAYIT'!D30="","",'ŞİKAYET KAYIT'!D30)),"")</f>
        <v/>
      </c>
      <c r="D30" s="3" t="str">
        <f>IFERROR(IF('ŞİKAYET KAYIT'!P30="Kapatıldı","",IF('ŞİKAYET KAYIT'!F30="","",'ŞİKAYET KAYIT'!F30)),"")</f>
        <v/>
      </c>
      <c r="E30" s="3" t="str">
        <f>IFERROR(IF('ŞİKAYET KAYIT'!P30="Kapatıldı","",IF('ŞİKAYET KAYIT'!H30="","",'ŞİKAYET KAYIT'!H30)),"")</f>
        <v/>
      </c>
      <c r="F30" s="3" t="str">
        <f>IFERROR(IF('ŞİKAYET KAYIT'!P30="Kapatıldı","",IF('ŞİKAYET KAYIT'!I30="","",'ŞİKAYET KAYIT'!I30)),"")</f>
        <v/>
      </c>
      <c r="G30" s="3" t="str">
        <f>IFERROR(IF('ŞİKAYET KAYIT'!P30="Kapatıldı","",IF('ŞİKAYET KAYIT'!J30="","",'ŞİKAYET KAYIT'!J30)),"")</f>
        <v/>
      </c>
      <c r="H30" s="3" t="str">
        <f>IFERROR(IF('ŞİKAYET KAYIT'!P30="Kapatıldı","",IF('ŞİKAYET KAYIT'!K30="","",'ŞİKAYET KAYIT'!K30)),"")</f>
        <v/>
      </c>
      <c r="I30" s="3" t="str">
        <f>IFERROR(IF('ŞİKAYET KAYIT'!P30="Kapatıldı","",IF('ŞİKAYET KAYIT'!L30="","",'ŞİKAYET KAYIT'!L30)),"")</f>
        <v/>
      </c>
      <c r="J30" s="3" t="str">
        <f>IFERROR(IF('ŞİKAYET KAYIT'!P30="Kapatıldı","",IF('ŞİKAYET KAYIT'!M30="","",'ŞİKAYET KAYIT'!M30)),"")</f>
        <v/>
      </c>
      <c r="K30" s="3" t="str">
        <f>IFERROR(IF('ŞİKAYET KAYIT'!P30="Kapatıldı","",IF('ŞİKAYET KAYIT'!N30="","",'ŞİKAYET KAYIT'!N30)),"")</f>
        <v/>
      </c>
      <c r="L30" s="3" t="str">
        <f>IFERROR(IF('ŞİKAYET KAYIT'!P30="Kapatıldı","",IF('ŞİKAYET KAYIT'!O30="","",'ŞİKAYET KAYIT'!O30)),"")</f>
        <v/>
      </c>
      <c r="M30" s="3" t="str">
        <f>IFERROR(IF('ŞİKAYET KAYIT'!P30="Kapatıldı","",IF('ŞİKAYET KAYIT'!P30="","",'ŞİKAYET KAYIT'!P30)),"")</f>
        <v/>
      </c>
    </row>
    <row r="31" spans="1:13" ht="15" customHeight="1" x14ac:dyDescent="0.3">
      <c r="A31" s="26" t="str">
        <f>IFERROR(IF('ŞİKAYET KAYIT'!P31="Kapatıldı","",IF('ŞİKAYET KAYIT'!A31="","",'ŞİKAYET KAYIT'!A31)),"")</f>
        <v/>
      </c>
      <c r="B31" s="8" t="str">
        <f>IFERROR(IF('ŞİKAYET KAYIT'!P31="Kapatıldı","",IF('ŞİKAYET KAYIT'!B31="","",'ŞİKAYET KAYIT'!B31)),"")</f>
        <v/>
      </c>
      <c r="C31" s="26" t="str">
        <f>IFERROR(IF('ŞİKAYET KAYIT'!P31="Kapatıldı","",IF('ŞİKAYET KAYIT'!D31="","",'ŞİKAYET KAYIT'!D31)),"")</f>
        <v/>
      </c>
      <c r="D31" s="26" t="str">
        <f>IFERROR(IF('ŞİKAYET KAYIT'!P31="Kapatıldı","",IF('ŞİKAYET KAYIT'!F31="","",'ŞİKAYET KAYIT'!F31)),"")</f>
        <v/>
      </c>
      <c r="E31" s="26" t="str">
        <f>IFERROR(IF('ŞİKAYET KAYIT'!P31="Kapatıldı","",IF('ŞİKAYET KAYIT'!H31="","",'ŞİKAYET KAYIT'!H31)),"")</f>
        <v/>
      </c>
      <c r="F31" s="26" t="str">
        <f>IFERROR(IF('ŞİKAYET KAYIT'!P31="Kapatıldı","",IF('ŞİKAYET KAYIT'!I31="","",'ŞİKAYET KAYIT'!I31)),"")</f>
        <v/>
      </c>
      <c r="G31" s="26" t="str">
        <f>IFERROR(IF('ŞİKAYET KAYIT'!P31="Kapatıldı","",IF('ŞİKAYET KAYIT'!J31="","",'ŞİKAYET KAYIT'!J31)),"")</f>
        <v/>
      </c>
      <c r="H31" s="26" t="str">
        <f>IFERROR(IF('ŞİKAYET KAYIT'!P31="Kapatıldı","",IF('ŞİKAYET KAYIT'!K31="","",'ŞİKAYET KAYIT'!K31)),"")</f>
        <v/>
      </c>
      <c r="I31" s="26" t="str">
        <f>IFERROR(IF('ŞİKAYET KAYIT'!P31="Kapatıldı","",IF('ŞİKAYET KAYIT'!L31="","",'ŞİKAYET KAYIT'!L31)),"")</f>
        <v/>
      </c>
      <c r="J31" s="26" t="str">
        <f>IFERROR(IF('ŞİKAYET KAYIT'!P31="Kapatıldı","",IF('ŞİKAYET KAYIT'!M31="","",'ŞİKAYET KAYIT'!M31)),"")</f>
        <v/>
      </c>
      <c r="K31" s="26" t="str">
        <f>IFERROR(IF('ŞİKAYET KAYIT'!P31="Kapatıldı","",IF('ŞİKAYET KAYIT'!N31="","",'ŞİKAYET KAYIT'!N31)),"")</f>
        <v/>
      </c>
      <c r="L31" s="26" t="str">
        <f>IFERROR(IF('ŞİKAYET KAYIT'!P31="Kapatıldı","",IF('ŞİKAYET KAYIT'!O31="","",'ŞİKAYET KAYIT'!O31)),"")</f>
        <v/>
      </c>
      <c r="M31" s="26" t="str">
        <f>IFERROR(IF('ŞİKAYET KAYIT'!P31="Kapatıldı","",IF('ŞİKAYET KAYIT'!P31="","",'ŞİKAYET KAYIT'!P31)),"")</f>
        <v/>
      </c>
    </row>
    <row r="32" spans="1:13" ht="15" customHeight="1" x14ac:dyDescent="0.3">
      <c r="A32" s="3" t="str">
        <f>IFERROR(IF('ŞİKAYET KAYIT'!P32="Kapatıldı","",IF('ŞİKAYET KAYIT'!A32="","",'ŞİKAYET KAYIT'!A32)),"")</f>
        <v/>
      </c>
      <c r="B32" s="5" t="str">
        <f>IFERROR(IF('ŞİKAYET KAYIT'!P32="Kapatıldı","",IF('ŞİKAYET KAYIT'!B32="","",'ŞİKAYET KAYIT'!B32)),"")</f>
        <v/>
      </c>
      <c r="C32" s="3" t="str">
        <f>IFERROR(IF('ŞİKAYET KAYIT'!P32="Kapatıldı","",IF('ŞİKAYET KAYIT'!D32="","",'ŞİKAYET KAYIT'!D32)),"")</f>
        <v/>
      </c>
      <c r="D32" s="3" t="str">
        <f>IFERROR(IF('ŞİKAYET KAYIT'!P32="Kapatıldı","",IF('ŞİKAYET KAYIT'!F32="","",'ŞİKAYET KAYIT'!F32)),"")</f>
        <v/>
      </c>
      <c r="E32" s="3" t="str">
        <f>IFERROR(IF('ŞİKAYET KAYIT'!P32="Kapatıldı","",IF('ŞİKAYET KAYIT'!H32="","",'ŞİKAYET KAYIT'!H32)),"")</f>
        <v/>
      </c>
      <c r="F32" s="3" t="str">
        <f>IFERROR(IF('ŞİKAYET KAYIT'!P32="Kapatıldı","",IF('ŞİKAYET KAYIT'!I32="","",'ŞİKAYET KAYIT'!I32)),"")</f>
        <v/>
      </c>
      <c r="G32" s="3" t="str">
        <f>IFERROR(IF('ŞİKAYET KAYIT'!P32="Kapatıldı","",IF('ŞİKAYET KAYIT'!J32="","",'ŞİKAYET KAYIT'!J32)),"")</f>
        <v/>
      </c>
      <c r="H32" s="3" t="str">
        <f>IFERROR(IF('ŞİKAYET KAYIT'!P32="Kapatıldı","",IF('ŞİKAYET KAYIT'!K32="","",'ŞİKAYET KAYIT'!K32)),"")</f>
        <v/>
      </c>
      <c r="I32" s="3" t="str">
        <f>IFERROR(IF('ŞİKAYET KAYIT'!P32="Kapatıldı","",IF('ŞİKAYET KAYIT'!L32="","",'ŞİKAYET KAYIT'!L32)),"")</f>
        <v/>
      </c>
      <c r="J32" s="3" t="str">
        <f>IFERROR(IF('ŞİKAYET KAYIT'!P32="Kapatıldı","",IF('ŞİKAYET KAYIT'!M32="","",'ŞİKAYET KAYIT'!M32)),"")</f>
        <v/>
      </c>
      <c r="K32" s="3" t="str">
        <f>IFERROR(IF('ŞİKAYET KAYIT'!P32="Kapatıldı","",IF('ŞİKAYET KAYIT'!N32="","",'ŞİKAYET KAYIT'!N32)),"")</f>
        <v/>
      </c>
      <c r="L32" s="3" t="str">
        <f>IFERROR(IF('ŞİKAYET KAYIT'!P32="Kapatıldı","",IF('ŞİKAYET KAYIT'!O32="","",'ŞİKAYET KAYIT'!O32)),"")</f>
        <v/>
      </c>
      <c r="M32" s="3" t="str">
        <f>IFERROR(IF('ŞİKAYET KAYIT'!P32="Kapatıldı","",IF('ŞİKAYET KAYIT'!P32="","",'ŞİKAYET KAYIT'!P32)),"")</f>
        <v/>
      </c>
    </row>
    <row r="33" spans="1:13" ht="15" customHeight="1" x14ac:dyDescent="0.3">
      <c r="A33" s="26" t="str">
        <f>IFERROR(IF('ŞİKAYET KAYIT'!P33="Kapatıldı","",IF('ŞİKAYET KAYIT'!A33="","",'ŞİKAYET KAYIT'!A33)),"")</f>
        <v/>
      </c>
      <c r="B33" s="8" t="str">
        <f>IFERROR(IF('ŞİKAYET KAYIT'!P33="Kapatıldı","",IF('ŞİKAYET KAYIT'!B33="","",'ŞİKAYET KAYIT'!B33)),"")</f>
        <v/>
      </c>
      <c r="C33" s="26" t="str">
        <f>IFERROR(IF('ŞİKAYET KAYIT'!P33="Kapatıldı","",IF('ŞİKAYET KAYIT'!D33="","",'ŞİKAYET KAYIT'!D33)),"")</f>
        <v/>
      </c>
      <c r="D33" s="26" t="str">
        <f>IFERROR(IF('ŞİKAYET KAYIT'!P33="Kapatıldı","",IF('ŞİKAYET KAYIT'!F33="","",'ŞİKAYET KAYIT'!F33)),"")</f>
        <v/>
      </c>
      <c r="E33" s="26" t="str">
        <f>IFERROR(IF('ŞİKAYET KAYIT'!P33="Kapatıldı","",IF('ŞİKAYET KAYIT'!H33="","",'ŞİKAYET KAYIT'!H33)),"")</f>
        <v/>
      </c>
      <c r="F33" s="26" t="str">
        <f>IFERROR(IF('ŞİKAYET KAYIT'!P33="Kapatıldı","",IF('ŞİKAYET KAYIT'!I33="","",'ŞİKAYET KAYIT'!I33)),"")</f>
        <v/>
      </c>
      <c r="G33" s="26" t="str">
        <f>IFERROR(IF('ŞİKAYET KAYIT'!P33="Kapatıldı","",IF('ŞİKAYET KAYIT'!J33="","",'ŞİKAYET KAYIT'!J33)),"")</f>
        <v/>
      </c>
      <c r="H33" s="26" t="str">
        <f>IFERROR(IF('ŞİKAYET KAYIT'!P33="Kapatıldı","",IF('ŞİKAYET KAYIT'!K33="","",'ŞİKAYET KAYIT'!K33)),"")</f>
        <v/>
      </c>
      <c r="I33" s="26" t="str">
        <f>IFERROR(IF('ŞİKAYET KAYIT'!P33="Kapatıldı","",IF('ŞİKAYET KAYIT'!L33="","",'ŞİKAYET KAYIT'!L33)),"")</f>
        <v/>
      </c>
      <c r="J33" s="26" t="str">
        <f>IFERROR(IF('ŞİKAYET KAYIT'!P33="Kapatıldı","",IF('ŞİKAYET KAYIT'!M33="","",'ŞİKAYET KAYIT'!M33)),"")</f>
        <v/>
      </c>
      <c r="K33" s="26" t="str">
        <f>IFERROR(IF('ŞİKAYET KAYIT'!P33="Kapatıldı","",IF('ŞİKAYET KAYIT'!N33="","",'ŞİKAYET KAYIT'!N33)),"")</f>
        <v/>
      </c>
      <c r="L33" s="26" t="str">
        <f>IFERROR(IF('ŞİKAYET KAYIT'!P33="Kapatıldı","",IF('ŞİKAYET KAYIT'!O33="","",'ŞİKAYET KAYIT'!O33)),"")</f>
        <v/>
      </c>
      <c r="M33" s="26" t="str">
        <f>IFERROR(IF('ŞİKAYET KAYIT'!P33="Kapatıldı","",IF('ŞİKAYET KAYIT'!P33="","",'ŞİKAYET KAYIT'!P33)),"")</f>
        <v/>
      </c>
    </row>
    <row r="34" spans="1:13" ht="15" customHeight="1" x14ac:dyDescent="0.3">
      <c r="A34" s="3" t="str">
        <f>IFERROR(IF('ŞİKAYET KAYIT'!P34="Kapatıldı","",IF('ŞİKAYET KAYIT'!A34="","",'ŞİKAYET KAYIT'!A34)),"")</f>
        <v/>
      </c>
      <c r="B34" s="5" t="str">
        <f>IFERROR(IF('ŞİKAYET KAYIT'!P34="Kapatıldı","",IF('ŞİKAYET KAYIT'!B34="","",'ŞİKAYET KAYIT'!B34)),"")</f>
        <v/>
      </c>
      <c r="C34" s="3" t="str">
        <f>IFERROR(IF('ŞİKAYET KAYIT'!P34="Kapatıldı","",IF('ŞİKAYET KAYIT'!D34="","",'ŞİKAYET KAYIT'!D34)),"")</f>
        <v/>
      </c>
      <c r="D34" s="3" t="str">
        <f>IFERROR(IF('ŞİKAYET KAYIT'!P34="Kapatıldı","",IF('ŞİKAYET KAYIT'!F34="","",'ŞİKAYET KAYIT'!F34)),"")</f>
        <v/>
      </c>
      <c r="E34" s="3" t="str">
        <f>IFERROR(IF('ŞİKAYET KAYIT'!P34="Kapatıldı","",IF('ŞİKAYET KAYIT'!H34="","",'ŞİKAYET KAYIT'!H34)),"")</f>
        <v/>
      </c>
      <c r="F34" s="3" t="str">
        <f>IFERROR(IF('ŞİKAYET KAYIT'!P34="Kapatıldı","",IF('ŞİKAYET KAYIT'!I34="","",'ŞİKAYET KAYIT'!I34)),"")</f>
        <v/>
      </c>
      <c r="G34" s="3" t="str">
        <f>IFERROR(IF('ŞİKAYET KAYIT'!P34="Kapatıldı","",IF('ŞİKAYET KAYIT'!J34="","",'ŞİKAYET KAYIT'!J34)),"")</f>
        <v/>
      </c>
      <c r="H34" s="3" t="str">
        <f>IFERROR(IF('ŞİKAYET KAYIT'!P34="Kapatıldı","",IF('ŞİKAYET KAYIT'!K34="","",'ŞİKAYET KAYIT'!K34)),"")</f>
        <v/>
      </c>
      <c r="I34" s="3" t="str">
        <f>IFERROR(IF('ŞİKAYET KAYIT'!P34="Kapatıldı","",IF('ŞİKAYET KAYIT'!L34="","",'ŞİKAYET KAYIT'!L34)),"")</f>
        <v/>
      </c>
      <c r="J34" s="3" t="str">
        <f>IFERROR(IF('ŞİKAYET KAYIT'!P34="Kapatıldı","",IF('ŞİKAYET KAYIT'!M34="","",'ŞİKAYET KAYIT'!M34)),"")</f>
        <v/>
      </c>
      <c r="K34" s="3" t="str">
        <f>IFERROR(IF('ŞİKAYET KAYIT'!P34="Kapatıldı","",IF('ŞİKAYET KAYIT'!N34="","",'ŞİKAYET KAYIT'!N34)),"")</f>
        <v/>
      </c>
      <c r="L34" s="3" t="str">
        <f>IFERROR(IF('ŞİKAYET KAYIT'!P34="Kapatıldı","",IF('ŞİKAYET KAYIT'!O34="","",'ŞİKAYET KAYIT'!O34)),"")</f>
        <v/>
      </c>
      <c r="M34" s="3" t="str">
        <f>IFERROR(IF('ŞİKAYET KAYIT'!P34="Kapatıldı","",IF('ŞİKAYET KAYIT'!P34="","",'ŞİKAYET KAYIT'!P34)),"")</f>
        <v/>
      </c>
    </row>
    <row r="35" spans="1:13" ht="15" customHeight="1" x14ac:dyDescent="0.3">
      <c r="A35" s="26" t="str">
        <f>IFERROR(IF('ŞİKAYET KAYIT'!P35="Kapatıldı","",IF('ŞİKAYET KAYIT'!A35="","",'ŞİKAYET KAYIT'!A35)),"")</f>
        <v/>
      </c>
      <c r="B35" s="8" t="str">
        <f>IFERROR(IF('ŞİKAYET KAYIT'!P35="Kapatıldı","",IF('ŞİKAYET KAYIT'!B35="","",'ŞİKAYET KAYIT'!B35)),"")</f>
        <v/>
      </c>
      <c r="C35" s="26" t="str">
        <f>IFERROR(IF('ŞİKAYET KAYIT'!P35="Kapatıldı","",IF('ŞİKAYET KAYIT'!D35="","",'ŞİKAYET KAYIT'!D35)),"")</f>
        <v/>
      </c>
      <c r="D35" s="26" t="str">
        <f>IFERROR(IF('ŞİKAYET KAYIT'!P35="Kapatıldı","",IF('ŞİKAYET KAYIT'!F35="","",'ŞİKAYET KAYIT'!F35)),"")</f>
        <v/>
      </c>
      <c r="E35" s="26" t="str">
        <f>IFERROR(IF('ŞİKAYET KAYIT'!P35="Kapatıldı","",IF('ŞİKAYET KAYIT'!H35="","",'ŞİKAYET KAYIT'!H35)),"")</f>
        <v/>
      </c>
      <c r="F35" s="26" t="str">
        <f>IFERROR(IF('ŞİKAYET KAYIT'!P35="Kapatıldı","",IF('ŞİKAYET KAYIT'!I35="","",'ŞİKAYET KAYIT'!I35)),"")</f>
        <v/>
      </c>
      <c r="G35" s="26" t="str">
        <f>IFERROR(IF('ŞİKAYET KAYIT'!P35="Kapatıldı","",IF('ŞİKAYET KAYIT'!J35="","",'ŞİKAYET KAYIT'!J35)),"")</f>
        <v/>
      </c>
      <c r="H35" s="26" t="str">
        <f>IFERROR(IF('ŞİKAYET KAYIT'!P35="Kapatıldı","",IF('ŞİKAYET KAYIT'!K35="","",'ŞİKAYET KAYIT'!K35)),"")</f>
        <v/>
      </c>
      <c r="I35" s="26" t="str">
        <f>IFERROR(IF('ŞİKAYET KAYIT'!P35="Kapatıldı","",IF('ŞİKAYET KAYIT'!L35="","",'ŞİKAYET KAYIT'!L35)),"")</f>
        <v/>
      </c>
      <c r="J35" s="26" t="str">
        <f>IFERROR(IF('ŞİKAYET KAYIT'!P35="Kapatıldı","",IF('ŞİKAYET KAYIT'!M35="","",'ŞİKAYET KAYIT'!M35)),"")</f>
        <v/>
      </c>
      <c r="K35" s="26" t="str">
        <f>IFERROR(IF('ŞİKAYET KAYIT'!P35="Kapatıldı","",IF('ŞİKAYET KAYIT'!N35="","",'ŞİKAYET KAYIT'!N35)),"")</f>
        <v/>
      </c>
      <c r="L35" s="26" t="str">
        <f>IFERROR(IF('ŞİKAYET KAYIT'!P35="Kapatıldı","",IF('ŞİKAYET KAYIT'!O35="","",'ŞİKAYET KAYIT'!O35)),"")</f>
        <v/>
      </c>
      <c r="M35" s="26" t="str">
        <f>IFERROR(IF('ŞİKAYET KAYIT'!P35="Kapatıldı","",IF('ŞİKAYET KAYIT'!P35="","",'ŞİKAYET KAYIT'!P35)),"")</f>
        <v/>
      </c>
    </row>
    <row r="36" spans="1:13" ht="15" customHeight="1" x14ac:dyDescent="0.3">
      <c r="A36" s="3" t="str">
        <f>IFERROR(IF('ŞİKAYET KAYIT'!P36="Kapatıldı","",IF('ŞİKAYET KAYIT'!A36="","",'ŞİKAYET KAYIT'!A36)),"")</f>
        <v/>
      </c>
      <c r="B36" s="5" t="str">
        <f>IFERROR(IF('ŞİKAYET KAYIT'!P36="Kapatıldı","",IF('ŞİKAYET KAYIT'!B36="","",'ŞİKAYET KAYIT'!B36)),"")</f>
        <v/>
      </c>
      <c r="C36" s="3" t="str">
        <f>IFERROR(IF('ŞİKAYET KAYIT'!P36="Kapatıldı","",IF('ŞİKAYET KAYIT'!D36="","",'ŞİKAYET KAYIT'!D36)),"")</f>
        <v/>
      </c>
      <c r="D36" s="3" t="str">
        <f>IFERROR(IF('ŞİKAYET KAYIT'!P36="Kapatıldı","",IF('ŞİKAYET KAYIT'!F36="","",'ŞİKAYET KAYIT'!F36)),"")</f>
        <v/>
      </c>
      <c r="E36" s="3" t="str">
        <f>IFERROR(IF('ŞİKAYET KAYIT'!P36="Kapatıldı","",IF('ŞİKAYET KAYIT'!H36="","",'ŞİKAYET KAYIT'!H36)),"")</f>
        <v/>
      </c>
      <c r="F36" s="3" t="str">
        <f>IFERROR(IF('ŞİKAYET KAYIT'!P36="Kapatıldı","",IF('ŞİKAYET KAYIT'!I36="","",'ŞİKAYET KAYIT'!I36)),"")</f>
        <v/>
      </c>
      <c r="G36" s="3" t="str">
        <f>IFERROR(IF('ŞİKAYET KAYIT'!P36="Kapatıldı","",IF('ŞİKAYET KAYIT'!J36="","",'ŞİKAYET KAYIT'!J36)),"")</f>
        <v/>
      </c>
      <c r="H36" s="3" t="str">
        <f>IFERROR(IF('ŞİKAYET KAYIT'!P36="Kapatıldı","",IF('ŞİKAYET KAYIT'!K36="","",'ŞİKAYET KAYIT'!K36)),"")</f>
        <v/>
      </c>
      <c r="I36" s="3" t="str">
        <f>IFERROR(IF('ŞİKAYET KAYIT'!P36="Kapatıldı","",IF('ŞİKAYET KAYIT'!L36="","",'ŞİKAYET KAYIT'!L36)),"")</f>
        <v/>
      </c>
      <c r="J36" s="3" t="str">
        <f>IFERROR(IF('ŞİKAYET KAYIT'!P36="Kapatıldı","",IF('ŞİKAYET KAYIT'!M36="","",'ŞİKAYET KAYIT'!M36)),"")</f>
        <v/>
      </c>
      <c r="K36" s="3" t="str">
        <f>IFERROR(IF('ŞİKAYET KAYIT'!P36="Kapatıldı","",IF('ŞİKAYET KAYIT'!N36="","",'ŞİKAYET KAYIT'!N36)),"")</f>
        <v/>
      </c>
      <c r="L36" s="3" t="str">
        <f>IFERROR(IF('ŞİKAYET KAYIT'!P36="Kapatıldı","",IF('ŞİKAYET KAYIT'!O36="","",'ŞİKAYET KAYIT'!O36)),"")</f>
        <v/>
      </c>
      <c r="M36" s="3" t="str">
        <f>IFERROR(IF('ŞİKAYET KAYIT'!P36="Kapatıldı","",IF('ŞİKAYET KAYIT'!P36="","",'ŞİKAYET KAYIT'!P36)),"")</f>
        <v/>
      </c>
    </row>
    <row r="37" spans="1:13" ht="15" customHeight="1" x14ac:dyDescent="0.3">
      <c r="A37" s="26" t="str">
        <f>IFERROR(IF('ŞİKAYET KAYIT'!P37="Kapatıldı","",IF('ŞİKAYET KAYIT'!A37="","",'ŞİKAYET KAYIT'!A37)),"")</f>
        <v/>
      </c>
      <c r="B37" s="8" t="str">
        <f>IFERROR(IF('ŞİKAYET KAYIT'!P37="Kapatıldı","",IF('ŞİKAYET KAYIT'!B37="","",'ŞİKAYET KAYIT'!B37)),"")</f>
        <v/>
      </c>
      <c r="C37" s="26" t="str">
        <f>IFERROR(IF('ŞİKAYET KAYIT'!P37="Kapatıldı","",IF('ŞİKAYET KAYIT'!D37="","",'ŞİKAYET KAYIT'!D37)),"")</f>
        <v/>
      </c>
      <c r="D37" s="26" t="str">
        <f>IFERROR(IF('ŞİKAYET KAYIT'!P37="Kapatıldı","",IF('ŞİKAYET KAYIT'!F37="","",'ŞİKAYET KAYIT'!F37)),"")</f>
        <v/>
      </c>
      <c r="E37" s="26" t="str">
        <f>IFERROR(IF('ŞİKAYET KAYIT'!P37="Kapatıldı","",IF('ŞİKAYET KAYIT'!H37="","",'ŞİKAYET KAYIT'!H37)),"")</f>
        <v/>
      </c>
      <c r="F37" s="26" t="str">
        <f>IFERROR(IF('ŞİKAYET KAYIT'!P37="Kapatıldı","",IF('ŞİKAYET KAYIT'!I37="","",'ŞİKAYET KAYIT'!I37)),"")</f>
        <v/>
      </c>
      <c r="G37" s="26" t="str">
        <f>IFERROR(IF('ŞİKAYET KAYIT'!P37="Kapatıldı","",IF('ŞİKAYET KAYIT'!J37="","",'ŞİKAYET KAYIT'!J37)),"")</f>
        <v/>
      </c>
      <c r="H37" s="26" t="str">
        <f>IFERROR(IF('ŞİKAYET KAYIT'!P37="Kapatıldı","",IF('ŞİKAYET KAYIT'!K37="","",'ŞİKAYET KAYIT'!K37)),"")</f>
        <v/>
      </c>
      <c r="I37" s="26" t="str">
        <f>IFERROR(IF('ŞİKAYET KAYIT'!P37="Kapatıldı","",IF('ŞİKAYET KAYIT'!L37="","",'ŞİKAYET KAYIT'!L37)),"")</f>
        <v/>
      </c>
      <c r="J37" s="26" t="str">
        <f>IFERROR(IF('ŞİKAYET KAYIT'!P37="Kapatıldı","",IF('ŞİKAYET KAYIT'!M37="","",'ŞİKAYET KAYIT'!M37)),"")</f>
        <v/>
      </c>
      <c r="K37" s="26" t="str">
        <f>IFERROR(IF('ŞİKAYET KAYIT'!P37="Kapatıldı","",IF('ŞİKAYET KAYIT'!N37="","",'ŞİKAYET KAYIT'!N37)),"")</f>
        <v/>
      </c>
      <c r="L37" s="26" t="str">
        <f>IFERROR(IF('ŞİKAYET KAYIT'!P37="Kapatıldı","",IF('ŞİKAYET KAYIT'!O37="","",'ŞİKAYET KAYIT'!O37)),"")</f>
        <v/>
      </c>
      <c r="M37" s="26" t="str">
        <f>IFERROR(IF('ŞİKAYET KAYIT'!P37="Kapatıldı","",IF('ŞİKAYET KAYIT'!P37="","",'ŞİKAYET KAYIT'!P37)),"")</f>
        <v/>
      </c>
    </row>
    <row r="38" spans="1:13" ht="15" customHeight="1" x14ac:dyDescent="0.3">
      <c r="A38" s="3" t="str">
        <f>IFERROR(IF('ŞİKAYET KAYIT'!P38="Kapatıldı","",IF('ŞİKAYET KAYIT'!A38="","",'ŞİKAYET KAYIT'!A38)),"")</f>
        <v/>
      </c>
      <c r="B38" s="5" t="str">
        <f>IFERROR(IF('ŞİKAYET KAYIT'!P38="Kapatıldı","",IF('ŞİKAYET KAYIT'!B38="","",'ŞİKAYET KAYIT'!B38)),"")</f>
        <v/>
      </c>
      <c r="C38" s="3" t="str">
        <f>IFERROR(IF('ŞİKAYET KAYIT'!P38="Kapatıldı","",IF('ŞİKAYET KAYIT'!D38="","",'ŞİKAYET KAYIT'!D38)),"")</f>
        <v/>
      </c>
      <c r="D38" s="3" t="str">
        <f>IFERROR(IF('ŞİKAYET KAYIT'!P38="Kapatıldı","",IF('ŞİKAYET KAYIT'!F38="","",'ŞİKAYET KAYIT'!F38)),"")</f>
        <v/>
      </c>
      <c r="E38" s="3" t="str">
        <f>IFERROR(IF('ŞİKAYET KAYIT'!P38="Kapatıldı","",IF('ŞİKAYET KAYIT'!H38="","",'ŞİKAYET KAYIT'!H38)),"")</f>
        <v/>
      </c>
      <c r="F38" s="3" t="str">
        <f>IFERROR(IF('ŞİKAYET KAYIT'!P38="Kapatıldı","",IF('ŞİKAYET KAYIT'!I38="","",'ŞİKAYET KAYIT'!I38)),"")</f>
        <v/>
      </c>
      <c r="G38" s="3" t="str">
        <f>IFERROR(IF('ŞİKAYET KAYIT'!P38="Kapatıldı","",IF('ŞİKAYET KAYIT'!J38="","",'ŞİKAYET KAYIT'!J38)),"")</f>
        <v/>
      </c>
      <c r="H38" s="3" t="str">
        <f>IFERROR(IF('ŞİKAYET KAYIT'!P38="Kapatıldı","",IF('ŞİKAYET KAYIT'!K38="","",'ŞİKAYET KAYIT'!K38)),"")</f>
        <v/>
      </c>
      <c r="I38" s="3" t="str">
        <f>IFERROR(IF('ŞİKAYET KAYIT'!P38="Kapatıldı","",IF('ŞİKAYET KAYIT'!L38="","",'ŞİKAYET KAYIT'!L38)),"")</f>
        <v/>
      </c>
      <c r="J38" s="3" t="str">
        <f>IFERROR(IF('ŞİKAYET KAYIT'!P38="Kapatıldı","",IF('ŞİKAYET KAYIT'!M38="","",'ŞİKAYET KAYIT'!M38)),"")</f>
        <v/>
      </c>
      <c r="K38" s="3" t="str">
        <f>IFERROR(IF('ŞİKAYET KAYIT'!P38="Kapatıldı","",IF('ŞİKAYET KAYIT'!N38="","",'ŞİKAYET KAYIT'!N38)),"")</f>
        <v/>
      </c>
      <c r="L38" s="3" t="str">
        <f>IFERROR(IF('ŞİKAYET KAYIT'!P38="Kapatıldı","",IF('ŞİKAYET KAYIT'!O38="","",'ŞİKAYET KAYIT'!O38)),"")</f>
        <v/>
      </c>
      <c r="M38" s="3" t="str">
        <f>IFERROR(IF('ŞİKAYET KAYIT'!P38="Kapatıldı","",IF('ŞİKAYET KAYIT'!P38="","",'ŞİKAYET KAYIT'!P38)),"")</f>
        <v/>
      </c>
    </row>
    <row r="39" spans="1:13" ht="15" customHeight="1" x14ac:dyDescent="0.3">
      <c r="A39" s="26" t="str">
        <f>IFERROR(IF('ŞİKAYET KAYIT'!P39="Kapatıldı","",IF('ŞİKAYET KAYIT'!A39="","",'ŞİKAYET KAYIT'!A39)),"")</f>
        <v/>
      </c>
      <c r="B39" s="8" t="str">
        <f>IFERROR(IF('ŞİKAYET KAYIT'!P39="Kapatıldı","",IF('ŞİKAYET KAYIT'!B39="","",'ŞİKAYET KAYIT'!B39)),"")</f>
        <v/>
      </c>
      <c r="C39" s="26" t="str">
        <f>IFERROR(IF('ŞİKAYET KAYIT'!P39="Kapatıldı","",IF('ŞİKAYET KAYIT'!D39="","",'ŞİKAYET KAYIT'!D39)),"")</f>
        <v/>
      </c>
      <c r="D39" s="26" t="str">
        <f>IFERROR(IF('ŞİKAYET KAYIT'!P39="Kapatıldı","",IF('ŞİKAYET KAYIT'!F39="","",'ŞİKAYET KAYIT'!F39)),"")</f>
        <v/>
      </c>
      <c r="E39" s="26" t="str">
        <f>IFERROR(IF('ŞİKAYET KAYIT'!P39="Kapatıldı","",IF('ŞİKAYET KAYIT'!H39="","",'ŞİKAYET KAYIT'!H39)),"")</f>
        <v/>
      </c>
      <c r="F39" s="26" t="str">
        <f>IFERROR(IF('ŞİKAYET KAYIT'!P39="Kapatıldı","",IF('ŞİKAYET KAYIT'!I39="","",'ŞİKAYET KAYIT'!I39)),"")</f>
        <v/>
      </c>
      <c r="G39" s="26" t="str">
        <f>IFERROR(IF('ŞİKAYET KAYIT'!P39="Kapatıldı","",IF('ŞİKAYET KAYIT'!J39="","",'ŞİKAYET KAYIT'!J39)),"")</f>
        <v/>
      </c>
      <c r="H39" s="26" t="str">
        <f>IFERROR(IF('ŞİKAYET KAYIT'!P39="Kapatıldı","",IF('ŞİKAYET KAYIT'!K39="","",'ŞİKAYET KAYIT'!K39)),"")</f>
        <v/>
      </c>
      <c r="I39" s="26" t="str">
        <f>IFERROR(IF('ŞİKAYET KAYIT'!P39="Kapatıldı","",IF('ŞİKAYET KAYIT'!L39="","",'ŞİKAYET KAYIT'!L39)),"")</f>
        <v/>
      </c>
      <c r="J39" s="26" t="str">
        <f>IFERROR(IF('ŞİKAYET KAYIT'!P39="Kapatıldı","",IF('ŞİKAYET KAYIT'!M39="","",'ŞİKAYET KAYIT'!M39)),"")</f>
        <v/>
      </c>
      <c r="K39" s="26" t="str">
        <f>IFERROR(IF('ŞİKAYET KAYIT'!P39="Kapatıldı","",IF('ŞİKAYET KAYIT'!N39="","",'ŞİKAYET KAYIT'!N39)),"")</f>
        <v/>
      </c>
      <c r="L39" s="26" t="str">
        <f>IFERROR(IF('ŞİKAYET KAYIT'!P39="Kapatıldı","",IF('ŞİKAYET KAYIT'!O39="","",'ŞİKAYET KAYIT'!O39)),"")</f>
        <v/>
      </c>
      <c r="M39" s="26" t="str">
        <f>IFERROR(IF('ŞİKAYET KAYIT'!P39="Kapatıldı","",IF('ŞİKAYET KAYIT'!P39="","",'ŞİKAYET KAYIT'!P39)),"")</f>
        <v/>
      </c>
    </row>
    <row r="40" spans="1:13" ht="15" customHeight="1" x14ac:dyDescent="0.3">
      <c r="A40" s="3" t="str">
        <f>IFERROR(IF('ŞİKAYET KAYIT'!P40="Kapatıldı","",IF('ŞİKAYET KAYIT'!A40="","",'ŞİKAYET KAYIT'!A40)),"")</f>
        <v/>
      </c>
      <c r="B40" s="5" t="str">
        <f>IFERROR(IF('ŞİKAYET KAYIT'!P40="Kapatıldı","",IF('ŞİKAYET KAYIT'!B40="","",'ŞİKAYET KAYIT'!B40)),"")</f>
        <v/>
      </c>
      <c r="C40" s="3" t="str">
        <f>IFERROR(IF('ŞİKAYET KAYIT'!P40="Kapatıldı","",IF('ŞİKAYET KAYIT'!D40="","",'ŞİKAYET KAYIT'!D40)),"")</f>
        <v/>
      </c>
      <c r="D40" s="3" t="str">
        <f>IFERROR(IF('ŞİKAYET KAYIT'!P40="Kapatıldı","",IF('ŞİKAYET KAYIT'!F40="","",'ŞİKAYET KAYIT'!F40)),"")</f>
        <v/>
      </c>
      <c r="E40" s="3" t="str">
        <f>IFERROR(IF('ŞİKAYET KAYIT'!P40="Kapatıldı","",IF('ŞİKAYET KAYIT'!H40="","",'ŞİKAYET KAYIT'!H40)),"")</f>
        <v/>
      </c>
      <c r="F40" s="3" t="str">
        <f>IFERROR(IF('ŞİKAYET KAYIT'!P40="Kapatıldı","",IF('ŞİKAYET KAYIT'!I40="","",'ŞİKAYET KAYIT'!I40)),"")</f>
        <v/>
      </c>
      <c r="G40" s="3" t="str">
        <f>IFERROR(IF('ŞİKAYET KAYIT'!P40="Kapatıldı","",IF('ŞİKAYET KAYIT'!J40="","",'ŞİKAYET KAYIT'!J40)),"")</f>
        <v/>
      </c>
      <c r="H40" s="3" t="str">
        <f>IFERROR(IF('ŞİKAYET KAYIT'!P40="Kapatıldı","",IF('ŞİKAYET KAYIT'!K40="","",'ŞİKAYET KAYIT'!K40)),"")</f>
        <v/>
      </c>
      <c r="I40" s="3" t="str">
        <f>IFERROR(IF('ŞİKAYET KAYIT'!P40="Kapatıldı","",IF('ŞİKAYET KAYIT'!L40="","",'ŞİKAYET KAYIT'!L40)),"")</f>
        <v/>
      </c>
      <c r="J40" s="3" t="str">
        <f>IFERROR(IF('ŞİKAYET KAYIT'!P40="Kapatıldı","",IF('ŞİKAYET KAYIT'!M40="","",'ŞİKAYET KAYIT'!M40)),"")</f>
        <v/>
      </c>
      <c r="K40" s="3" t="str">
        <f>IFERROR(IF('ŞİKAYET KAYIT'!P40="Kapatıldı","",IF('ŞİKAYET KAYIT'!N40="","",'ŞİKAYET KAYIT'!N40)),"")</f>
        <v/>
      </c>
      <c r="L40" s="3" t="str">
        <f>IFERROR(IF('ŞİKAYET KAYIT'!P40="Kapatıldı","",IF('ŞİKAYET KAYIT'!O40="","",'ŞİKAYET KAYIT'!O40)),"")</f>
        <v/>
      </c>
      <c r="M40" s="3" t="str">
        <f>IFERROR(IF('ŞİKAYET KAYIT'!P40="Kapatıldı","",IF('ŞİKAYET KAYIT'!P40="","",'ŞİKAYET KAYIT'!P40)),"")</f>
        <v/>
      </c>
    </row>
    <row r="41" spans="1:13" ht="15" customHeight="1" x14ac:dyDescent="0.3">
      <c r="A41" s="26" t="str">
        <f>IFERROR(IF('ŞİKAYET KAYIT'!P41="Kapatıldı","",IF('ŞİKAYET KAYIT'!A41="","",'ŞİKAYET KAYIT'!A41)),"")</f>
        <v/>
      </c>
      <c r="B41" s="8" t="str">
        <f>IFERROR(IF('ŞİKAYET KAYIT'!P41="Kapatıldı","",IF('ŞİKAYET KAYIT'!B41="","",'ŞİKAYET KAYIT'!B41)),"")</f>
        <v/>
      </c>
      <c r="C41" s="26" t="str">
        <f>IFERROR(IF('ŞİKAYET KAYIT'!P41="Kapatıldı","",IF('ŞİKAYET KAYIT'!D41="","",'ŞİKAYET KAYIT'!D41)),"")</f>
        <v/>
      </c>
      <c r="D41" s="26" t="str">
        <f>IFERROR(IF('ŞİKAYET KAYIT'!P41="Kapatıldı","",IF('ŞİKAYET KAYIT'!F41="","",'ŞİKAYET KAYIT'!F41)),"")</f>
        <v/>
      </c>
      <c r="E41" s="26" t="str">
        <f>IFERROR(IF('ŞİKAYET KAYIT'!P41="Kapatıldı","",IF('ŞİKAYET KAYIT'!H41="","",'ŞİKAYET KAYIT'!H41)),"")</f>
        <v/>
      </c>
      <c r="F41" s="26" t="str">
        <f>IFERROR(IF('ŞİKAYET KAYIT'!P41="Kapatıldı","",IF('ŞİKAYET KAYIT'!I41="","",'ŞİKAYET KAYIT'!I41)),"")</f>
        <v/>
      </c>
      <c r="G41" s="26" t="str">
        <f>IFERROR(IF('ŞİKAYET KAYIT'!P41="Kapatıldı","",IF('ŞİKAYET KAYIT'!J41="","",'ŞİKAYET KAYIT'!J41)),"")</f>
        <v/>
      </c>
      <c r="H41" s="26" t="str">
        <f>IFERROR(IF('ŞİKAYET KAYIT'!P41="Kapatıldı","",IF('ŞİKAYET KAYIT'!K41="","",'ŞİKAYET KAYIT'!K41)),"")</f>
        <v/>
      </c>
      <c r="I41" s="26" t="str">
        <f>IFERROR(IF('ŞİKAYET KAYIT'!P41="Kapatıldı","",IF('ŞİKAYET KAYIT'!L41="","",'ŞİKAYET KAYIT'!L41)),"")</f>
        <v/>
      </c>
      <c r="J41" s="26" t="str">
        <f>IFERROR(IF('ŞİKAYET KAYIT'!P41="Kapatıldı","",IF('ŞİKAYET KAYIT'!M41="","",'ŞİKAYET KAYIT'!M41)),"")</f>
        <v/>
      </c>
      <c r="K41" s="26" t="str">
        <f>IFERROR(IF('ŞİKAYET KAYIT'!P41="Kapatıldı","",IF('ŞİKAYET KAYIT'!N41="","",'ŞİKAYET KAYIT'!N41)),"")</f>
        <v/>
      </c>
      <c r="L41" s="26" t="str">
        <f>IFERROR(IF('ŞİKAYET KAYIT'!P41="Kapatıldı","",IF('ŞİKAYET KAYIT'!O41="","",'ŞİKAYET KAYIT'!O41)),"")</f>
        <v/>
      </c>
      <c r="M41" s="26" t="str">
        <f>IFERROR(IF('ŞİKAYET KAYIT'!P41="Kapatıldı","",IF('ŞİKAYET KAYIT'!P41="","",'ŞİKAYET KAYIT'!P41)),"")</f>
        <v/>
      </c>
    </row>
    <row r="42" spans="1:13" ht="15" customHeight="1" x14ac:dyDescent="0.3">
      <c r="A42" s="3" t="str">
        <f>IFERROR(IF('ŞİKAYET KAYIT'!P42="Kapatıldı","",IF('ŞİKAYET KAYIT'!A42="","",'ŞİKAYET KAYIT'!A42)),"")</f>
        <v/>
      </c>
      <c r="B42" s="5" t="str">
        <f>IFERROR(IF('ŞİKAYET KAYIT'!P42="Kapatıldı","",IF('ŞİKAYET KAYIT'!B42="","",'ŞİKAYET KAYIT'!B42)),"")</f>
        <v/>
      </c>
      <c r="C42" s="3" t="str">
        <f>IFERROR(IF('ŞİKAYET KAYIT'!P42="Kapatıldı","",IF('ŞİKAYET KAYIT'!D42="","",'ŞİKAYET KAYIT'!D42)),"")</f>
        <v/>
      </c>
      <c r="D42" s="3" t="str">
        <f>IFERROR(IF('ŞİKAYET KAYIT'!P42="Kapatıldı","",IF('ŞİKAYET KAYIT'!F42="","",'ŞİKAYET KAYIT'!F42)),"")</f>
        <v/>
      </c>
      <c r="E42" s="3" t="str">
        <f>IFERROR(IF('ŞİKAYET KAYIT'!P42="Kapatıldı","",IF('ŞİKAYET KAYIT'!H42="","",'ŞİKAYET KAYIT'!H42)),"")</f>
        <v/>
      </c>
      <c r="F42" s="3" t="str">
        <f>IFERROR(IF('ŞİKAYET KAYIT'!P42="Kapatıldı","",IF('ŞİKAYET KAYIT'!I42="","",'ŞİKAYET KAYIT'!I42)),"")</f>
        <v/>
      </c>
      <c r="G42" s="3" t="str">
        <f>IFERROR(IF('ŞİKAYET KAYIT'!P42="Kapatıldı","",IF('ŞİKAYET KAYIT'!J42="","",'ŞİKAYET KAYIT'!J42)),"")</f>
        <v/>
      </c>
      <c r="H42" s="3" t="str">
        <f>IFERROR(IF('ŞİKAYET KAYIT'!P42="Kapatıldı","",IF('ŞİKAYET KAYIT'!K42="","",'ŞİKAYET KAYIT'!K42)),"")</f>
        <v/>
      </c>
      <c r="I42" s="3" t="str">
        <f>IFERROR(IF('ŞİKAYET KAYIT'!P42="Kapatıldı","",IF('ŞİKAYET KAYIT'!L42="","",'ŞİKAYET KAYIT'!L42)),"")</f>
        <v/>
      </c>
      <c r="J42" s="3" t="str">
        <f>IFERROR(IF('ŞİKAYET KAYIT'!P42="Kapatıldı","",IF('ŞİKAYET KAYIT'!M42="","",'ŞİKAYET KAYIT'!M42)),"")</f>
        <v/>
      </c>
      <c r="K42" s="3" t="str">
        <f>IFERROR(IF('ŞİKAYET KAYIT'!P42="Kapatıldı","",IF('ŞİKAYET KAYIT'!N42="","",'ŞİKAYET KAYIT'!N42)),"")</f>
        <v/>
      </c>
      <c r="L42" s="3" t="str">
        <f>IFERROR(IF('ŞİKAYET KAYIT'!P42="Kapatıldı","",IF('ŞİKAYET KAYIT'!O42="","",'ŞİKAYET KAYIT'!O42)),"")</f>
        <v/>
      </c>
      <c r="M42" s="3" t="str">
        <f>IFERROR(IF('ŞİKAYET KAYIT'!P42="Kapatıldı","",IF('ŞİKAYET KAYIT'!P42="","",'ŞİKAYET KAYIT'!P42)),"")</f>
        <v/>
      </c>
    </row>
    <row r="43" spans="1:13" ht="15" customHeight="1" x14ac:dyDescent="0.3">
      <c r="A43" s="26" t="str">
        <f>IFERROR(IF('ŞİKAYET KAYIT'!P43="Kapatıldı","",IF('ŞİKAYET KAYIT'!A43="","",'ŞİKAYET KAYIT'!A43)),"")</f>
        <v/>
      </c>
      <c r="B43" s="8" t="str">
        <f>IFERROR(IF('ŞİKAYET KAYIT'!P43="Kapatıldı","",IF('ŞİKAYET KAYIT'!B43="","",'ŞİKAYET KAYIT'!B43)),"")</f>
        <v/>
      </c>
      <c r="C43" s="26" t="str">
        <f>IFERROR(IF('ŞİKAYET KAYIT'!P43="Kapatıldı","",IF('ŞİKAYET KAYIT'!D43="","",'ŞİKAYET KAYIT'!D43)),"")</f>
        <v/>
      </c>
      <c r="D43" s="26" t="str">
        <f>IFERROR(IF('ŞİKAYET KAYIT'!P43="Kapatıldı","",IF('ŞİKAYET KAYIT'!F43="","",'ŞİKAYET KAYIT'!F43)),"")</f>
        <v/>
      </c>
      <c r="E43" s="26" t="str">
        <f>IFERROR(IF('ŞİKAYET KAYIT'!P43="Kapatıldı","",IF('ŞİKAYET KAYIT'!H43="","",'ŞİKAYET KAYIT'!H43)),"")</f>
        <v/>
      </c>
      <c r="F43" s="26" t="str">
        <f>IFERROR(IF('ŞİKAYET KAYIT'!P43="Kapatıldı","",IF('ŞİKAYET KAYIT'!I43="","",'ŞİKAYET KAYIT'!I43)),"")</f>
        <v/>
      </c>
      <c r="G43" s="26" t="str">
        <f>IFERROR(IF('ŞİKAYET KAYIT'!P43="Kapatıldı","",IF('ŞİKAYET KAYIT'!J43="","",'ŞİKAYET KAYIT'!J43)),"")</f>
        <v/>
      </c>
      <c r="H43" s="26" t="str">
        <f>IFERROR(IF('ŞİKAYET KAYIT'!P43="Kapatıldı","",IF('ŞİKAYET KAYIT'!K43="","",'ŞİKAYET KAYIT'!K43)),"")</f>
        <v/>
      </c>
      <c r="I43" s="26" t="str">
        <f>IFERROR(IF('ŞİKAYET KAYIT'!P43="Kapatıldı","",IF('ŞİKAYET KAYIT'!L43="","",'ŞİKAYET KAYIT'!L43)),"")</f>
        <v/>
      </c>
      <c r="J43" s="26" t="str">
        <f>IFERROR(IF('ŞİKAYET KAYIT'!P43="Kapatıldı","",IF('ŞİKAYET KAYIT'!M43="","",'ŞİKAYET KAYIT'!M43)),"")</f>
        <v/>
      </c>
      <c r="K43" s="26" t="str">
        <f>IFERROR(IF('ŞİKAYET KAYIT'!P43="Kapatıldı","",IF('ŞİKAYET KAYIT'!N43="","",'ŞİKAYET KAYIT'!N43)),"")</f>
        <v/>
      </c>
      <c r="L43" s="26" t="str">
        <f>IFERROR(IF('ŞİKAYET KAYIT'!P43="Kapatıldı","",IF('ŞİKAYET KAYIT'!O43="","",'ŞİKAYET KAYIT'!O43)),"")</f>
        <v/>
      </c>
      <c r="M43" s="26" t="str">
        <f>IFERROR(IF('ŞİKAYET KAYIT'!P43="Kapatıldı","",IF('ŞİKAYET KAYIT'!P43="","",'ŞİKAYET KAYIT'!P43)),"")</f>
        <v/>
      </c>
    </row>
    <row r="44" spans="1:13" ht="15" customHeight="1" x14ac:dyDescent="0.3">
      <c r="A44" s="3" t="str">
        <f>IFERROR(IF('ŞİKAYET KAYIT'!P44="Kapatıldı","",IF('ŞİKAYET KAYIT'!A44="","",'ŞİKAYET KAYIT'!A44)),"")</f>
        <v/>
      </c>
      <c r="B44" s="5" t="str">
        <f>IFERROR(IF('ŞİKAYET KAYIT'!P44="Kapatıldı","",IF('ŞİKAYET KAYIT'!B44="","",'ŞİKAYET KAYIT'!B44)),"")</f>
        <v/>
      </c>
      <c r="C44" s="3" t="str">
        <f>IFERROR(IF('ŞİKAYET KAYIT'!P44="Kapatıldı","",IF('ŞİKAYET KAYIT'!D44="","",'ŞİKAYET KAYIT'!D44)),"")</f>
        <v/>
      </c>
      <c r="D44" s="3" t="str">
        <f>IFERROR(IF('ŞİKAYET KAYIT'!P44="Kapatıldı","",IF('ŞİKAYET KAYIT'!F44="","",'ŞİKAYET KAYIT'!F44)),"")</f>
        <v/>
      </c>
      <c r="E44" s="3" t="str">
        <f>IFERROR(IF('ŞİKAYET KAYIT'!P44="Kapatıldı","",IF('ŞİKAYET KAYIT'!H44="","",'ŞİKAYET KAYIT'!H44)),"")</f>
        <v/>
      </c>
      <c r="F44" s="3" t="str">
        <f>IFERROR(IF('ŞİKAYET KAYIT'!P44="Kapatıldı","",IF('ŞİKAYET KAYIT'!I44="","",'ŞİKAYET KAYIT'!I44)),"")</f>
        <v/>
      </c>
      <c r="G44" s="3" t="str">
        <f>IFERROR(IF('ŞİKAYET KAYIT'!P44="Kapatıldı","",IF('ŞİKAYET KAYIT'!J44="","",'ŞİKAYET KAYIT'!J44)),"")</f>
        <v/>
      </c>
      <c r="H44" s="3" t="str">
        <f>IFERROR(IF('ŞİKAYET KAYIT'!P44="Kapatıldı","",IF('ŞİKAYET KAYIT'!K44="","",'ŞİKAYET KAYIT'!K44)),"")</f>
        <v/>
      </c>
      <c r="I44" s="3" t="str">
        <f>IFERROR(IF('ŞİKAYET KAYIT'!P44="Kapatıldı","",IF('ŞİKAYET KAYIT'!L44="","",'ŞİKAYET KAYIT'!L44)),"")</f>
        <v/>
      </c>
      <c r="J44" s="3" t="str">
        <f>IFERROR(IF('ŞİKAYET KAYIT'!P44="Kapatıldı","",IF('ŞİKAYET KAYIT'!M44="","",'ŞİKAYET KAYIT'!M44)),"")</f>
        <v/>
      </c>
      <c r="K44" s="3" t="str">
        <f>IFERROR(IF('ŞİKAYET KAYIT'!P44="Kapatıldı","",IF('ŞİKAYET KAYIT'!N44="","",'ŞİKAYET KAYIT'!N44)),"")</f>
        <v/>
      </c>
      <c r="L44" s="3" t="str">
        <f>IFERROR(IF('ŞİKAYET KAYIT'!P44="Kapatıldı","",IF('ŞİKAYET KAYIT'!O44="","",'ŞİKAYET KAYIT'!O44)),"")</f>
        <v/>
      </c>
      <c r="M44" s="3" t="str">
        <f>IFERROR(IF('ŞİKAYET KAYIT'!P44="Kapatıldı","",IF('ŞİKAYET KAYIT'!P44="","",'ŞİKAYET KAYIT'!P44)),"")</f>
        <v/>
      </c>
    </row>
    <row r="45" spans="1:13" ht="15" customHeight="1" x14ac:dyDescent="0.3">
      <c r="A45" s="26" t="str">
        <f>IFERROR(IF('ŞİKAYET KAYIT'!P45="Kapatıldı","",IF('ŞİKAYET KAYIT'!A45="","",'ŞİKAYET KAYIT'!A45)),"")</f>
        <v/>
      </c>
      <c r="B45" s="8" t="str">
        <f>IFERROR(IF('ŞİKAYET KAYIT'!P45="Kapatıldı","",IF('ŞİKAYET KAYIT'!B45="","",'ŞİKAYET KAYIT'!B45)),"")</f>
        <v/>
      </c>
      <c r="C45" s="26" t="str">
        <f>IFERROR(IF('ŞİKAYET KAYIT'!P45="Kapatıldı","",IF('ŞİKAYET KAYIT'!D45="","",'ŞİKAYET KAYIT'!D45)),"")</f>
        <v/>
      </c>
      <c r="D45" s="26" t="str">
        <f>IFERROR(IF('ŞİKAYET KAYIT'!P45="Kapatıldı","",IF('ŞİKAYET KAYIT'!F45="","",'ŞİKAYET KAYIT'!F45)),"")</f>
        <v/>
      </c>
      <c r="E45" s="26" t="str">
        <f>IFERROR(IF('ŞİKAYET KAYIT'!P45="Kapatıldı","",IF('ŞİKAYET KAYIT'!H45="","",'ŞİKAYET KAYIT'!H45)),"")</f>
        <v/>
      </c>
      <c r="F45" s="26" t="str">
        <f>IFERROR(IF('ŞİKAYET KAYIT'!P45="Kapatıldı","",IF('ŞİKAYET KAYIT'!I45="","",'ŞİKAYET KAYIT'!I45)),"")</f>
        <v/>
      </c>
      <c r="G45" s="26" t="str">
        <f>IFERROR(IF('ŞİKAYET KAYIT'!P45="Kapatıldı","",IF('ŞİKAYET KAYIT'!J45="","",'ŞİKAYET KAYIT'!J45)),"")</f>
        <v/>
      </c>
      <c r="H45" s="26" t="str">
        <f>IFERROR(IF('ŞİKAYET KAYIT'!P45="Kapatıldı","",IF('ŞİKAYET KAYIT'!K45="","",'ŞİKAYET KAYIT'!K45)),"")</f>
        <v/>
      </c>
      <c r="I45" s="26" t="str">
        <f>IFERROR(IF('ŞİKAYET KAYIT'!P45="Kapatıldı","",IF('ŞİKAYET KAYIT'!L45="","",'ŞİKAYET KAYIT'!L45)),"")</f>
        <v/>
      </c>
      <c r="J45" s="26" t="str">
        <f>IFERROR(IF('ŞİKAYET KAYIT'!P45="Kapatıldı","",IF('ŞİKAYET KAYIT'!M45="","",'ŞİKAYET KAYIT'!M45)),"")</f>
        <v/>
      </c>
      <c r="K45" s="26" t="str">
        <f>IFERROR(IF('ŞİKAYET KAYIT'!P45="Kapatıldı","",IF('ŞİKAYET KAYIT'!N45="","",'ŞİKAYET KAYIT'!N45)),"")</f>
        <v/>
      </c>
      <c r="L45" s="26" t="str">
        <f>IFERROR(IF('ŞİKAYET KAYIT'!P45="Kapatıldı","",IF('ŞİKAYET KAYIT'!O45="","",'ŞİKAYET KAYIT'!O45)),"")</f>
        <v/>
      </c>
      <c r="M45" s="26" t="str">
        <f>IFERROR(IF('ŞİKAYET KAYIT'!P45="Kapatıldı","",IF('ŞİKAYET KAYIT'!P45="","",'ŞİKAYET KAYIT'!P45)),"")</f>
        <v/>
      </c>
    </row>
    <row r="46" spans="1:13" ht="15" customHeight="1" x14ac:dyDescent="0.3">
      <c r="A46" s="3" t="str">
        <f>IFERROR(IF('ŞİKAYET KAYIT'!P46="Kapatıldı","",IF('ŞİKAYET KAYIT'!A46="","",'ŞİKAYET KAYIT'!A46)),"")</f>
        <v/>
      </c>
      <c r="B46" s="5" t="str">
        <f>IFERROR(IF('ŞİKAYET KAYIT'!P46="Kapatıldı","",IF('ŞİKAYET KAYIT'!B46="","",'ŞİKAYET KAYIT'!B46)),"")</f>
        <v/>
      </c>
      <c r="C46" s="3" t="str">
        <f>IFERROR(IF('ŞİKAYET KAYIT'!P46="Kapatıldı","",IF('ŞİKAYET KAYIT'!D46="","",'ŞİKAYET KAYIT'!D46)),"")</f>
        <v/>
      </c>
      <c r="D46" s="3" t="str">
        <f>IFERROR(IF('ŞİKAYET KAYIT'!P46="Kapatıldı","",IF('ŞİKAYET KAYIT'!F46="","",'ŞİKAYET KAYIT'!F46)),"")</f>
        <v/>
      </c>
      <c r="E46" s="3" t="str">
        <f>IFERROR(IF('ŞİKAYET KAYIT'!P46="Kapatıldı","",IF('ŞİKAYET KAYIT'!H46="","",'ŞİKAYET KAYIT'!H46)),"")</f>
        <v/>
      </c>
      <c r="F46" s="3" t="str">
        <f>IFERROR(IF('ŞİKAYET KAYIT'!P46="Kapatıldı","",IF('ŞİKAYET KAYIT'!I46="","",'ŞİKAYET KAYIT'!I46)),"")</f>
        <v/>
      </c>
      <c r="G46" s="3" t="str">
        <f>IFERROR(IF('ŞİKAYET KAYIT'!P46="Kapatıldı","",IF('ŞİKAYET KAYIT'!J46="","",'ŞİKAYET KAYIT'!J46)),"")</f>
        <v/>
      </c>
      <c r="H46" s="3" t="str">
        <f>IFERROR(IF('ŞİKAYET KAYIT'!P46="Kapatıldı","",IF('ŞİKAYET KAYIT'!K46="","",'ŞİKAYET KAYIT'!K46)),"")</f>
        <v/>
      </c>
      <c r="I46" s="3" t="str">
        <f>IFERROR(IF('ŞİKAYET KAYIT'!P46="Kapatıldı","",IF('ŞİKAYET KAYIT'!L46="","",'ŞİKAYET KAYIT'!L46)),"")</f>
        <v/>
      </c>
      <c r="J46" s="3" t="str">
        <f>IFERROR(IF('ŞİKAYET KAYIT'!P46="Kapatıldı","",IF('ŞİKAYET KAYIT'!M46="","",'ŞİKAYET KAYIT'!M46)),"")</f>
        <v/>
      </c>
      <c r="K46" s="3" t="str">
        <f>IFERROR(IF('ŞİKAYET KAYIT'!P46="Kapatıldı","",IF('ŞİKAYET KAYIT'!N46="","",'ŞİKAYET KAYIT'!N46)),"")</f>
        <v/>
      </c>
      <c r="L46" s="3" t="str">
        <f>IFERROR(IF('ŞİKAYET KAYIT'!P46="Kapatıldı","",IF('ŞİKAYET KAYIT'!O46="","",'ŞİKAYET KAYIT'!O46)),"")</f>
        <v/>
      </c>
      <c r="M46" s="3" t="str">
        <f>IFERROR(IF('ŞİKAYET KAYIT'!P46="Kapatıldı","",IF('ŞİKAYET KAYIT'!P46="","",'ŞİKAYET KAYIT'!P46)),"")</f>
        <v/>
      </c>
    </row>
    <row r="47" spans="1:13" ht="15" customHeight="1" x14ac:dyDescent="0.3">
      <c r="A47" s="26" t="str">
        <f>IFERROR(IF('ŞİKAYET KAYIT'!P47="Kapatıldı","",IF('ŞİKAYET KAYIT'!A47="","",'ŞİKAYET KAYIT'!A47)),"")</f>
        <v/>
      </c>
      <c r="B47" s="8" t="str">
        <f>IFERROR(IF('ŞİKAYET KAYIT'!P47="Kapatıldı","",IF('ŞİKAYET KAYIT'!B47="","",'ŞİKAYET KAYIT'!B47)),"")</f>
        <v/>
      </c>
      <c r="C47" s="26" t="str">
        <f>IFERROR(IF('ŞİKAYET KAYIT'!P47="Kapatıldı","",IF('ŞİKAYET KAYIT'!D47="","",'ŞİKAYET KAYIT'!D47)),"")</f>
        <v/>
      </c>
      <c r="D47" s="26" t="str">
        <f>IFERROR(IF('ŞİKAYET KAYIT'!P47="Kapatıldı","",IF('ŞİKAYET KAYIT'!F47="","",'ŞİKAYET KAYIT'!F47)),"")</f>
        <v/>
      </c>
      <c r="E47" s="26" t="str">
        <f>IFERROR(IF('ŞİKAYET KAYIT'!P47="Kapatıldı","",IF('ŞİKAYET KAYIT'!H47="","",'ŞİKAYET KAYIT'!H47)),"")</f>
        <v/>
      </c>
      <c r="F47" s="26" t="str">
        <f>IFERROR(IF('ŞİKAYET KAYIT'!P47="Kapatıldı","",IF('ŞİKAYET KAYIT'!I47="","",'ŞİKAYET KAYIT'!I47)),"")</f>
        <v/>
      </c>
      <c r="G47" s="26" t="str">
        <f>IFERROR(IF('ŞİKAYET KAYIT'!P47="Kapatıldı","",IF('ŞİKAYET KAYIT'!J47="","",'ŞİKAYET KAYIT'!J47)),"")</f>
        <v/>
      </c>
      <c r="H47" s="26" t="str">
        <f>IFERROR(IF('ŞİKAYET KAYIT'!P47="Kapatıldı","",IF('ŞİKAYET KAYIT'!K47="","",'ŞİKAYET KAYIT'!K47)),"")</f>
        <v/>
      </c>
      <c r="I47" s="26" t="str">
        <f>IFERROR(IF('ŞİKAYET KAYIT'!P47="Kapatıldı","",IF('ŞİKAYET KAYIT'!L47="","",'ŞİKAYET KAYIT'!L47)),"")</f>
        <v/>
      </c>
      <c r="J47" s="26" t="str">
        <f>IFERROR(IF('ŞİKAYET KAYIT'!P47="Kapatıldı","",IF('ŞİKAYET KAYIT'!M47="","",'ŞİKAYET KAYIT'!M47)),"")</f>
        <v/>
      </c>
      <c r="K47" s="26" t="str">
        <f>IFERROR(IF('ŞİKAYET KAYIT'!P47="Kapatıldı","",IF('ŞİKAYET KAYIT'!N47="","",'ŞİKAYET KAYIT'!N47)),"")</f>
        <v/>
      </c>
      <c r="L47" s="26" t="str">
        <f>IFERROR(IF('ŞİKAYET KAYIT'!P47="Kapatıldı","",IF('ŞİKAYET KAYIT'!O47="","",'ŞİKAYET KAYIT'!O47)),"")</f>
        <v/>
      </c>
      <c r="M47" s="26" t="str">
        <f>IFERROR(IF('ŞİKAYET KAYIT'!P47="Kapatıldı","",IF('ŞİKAYET KAYIT'!P47="","",'ŞİKAYET KAYIT'!P47)),"")</f>
        <v/>
      </c>
    </row>
    <row r="48" spans="1:13" ht="15" customHeight="1" x14ac:dyDescent="0.3">
      <c r="A48" s="3" t="str">
        <f>IFERROR(IF('ŞİKAYET KAYIT'!P48="Kapatıldı","",IF('ŞİKAYET KAYIT'!A48="","",'ŞİKAYET KAYIT'!A48)),"")</f>
        <v/>
      </c>
      <c r="B48" s="5" t="str">
        <f>IFERROR(IF('ŞİKAYET KAYIT'!P48="Kapatıldı","",IF('ŞİKAYET KAYIT'!B48="","",'ŞİKAYET KAYIT'!B48)),"")</f>
        <v/>
      </c>
      <c r="C48" s="3" t="str">
        <f>IFERROR(IF('ŞİKAYET KAYIT'!P48="Kapatıldı","",IF('ŞİKAYET KAYIT'!D48="","",'ŞİKAYET KAYIT'!D48)),"")</f>
        <v/>
      </c>
      <c r="D48" s="3" t="str">
        <f>IFERROR(IF('ŞİKAYET KAYIT'!P48="Kapatıldı","",IF('ŞİKAYET KAYIT'!F48="","",'ŞİKAYET KAYIT'!F48)),"")</f>
        <v/>
      </c>
      <c r="E48" s="3" t="str">
        <f>IFERROR(IF('ŞİKAYET KAYIT'!P48="Kapatıldı","",IF('ŞİKAYET KAYIT'!H48="","",'ŞİKAYET KAYIT'!H48)),"")</f>
        <v/>
      </c>
      <c r="F48" s="3" t="str">
        <f>IFERROR(IF('ŞİKAYET KAYIT'!P48="Kapatıldı","",IF('ŞİKAYET KAYIT'!I48="","",'ŞİKAYET KAYIT'!I48)),"")</f>
        <v/>
      </c>
      <c r="G48" s="3" t="str">
        <f>IFERROR(IF('ŞİKAYET KAYIT'!P48="Kapatıldı","",IF('ŞİKAYET KAYIT'!J48="","",'ŞİKAYET KAYIT'!J48)),"")</f>
        <v/>
      </c>
      <c r="H48" s="3" t="str">
        <f>IFERROR(IF('ŞİKAYET KAYIT'!P48="Kapatıldı","",IF('ŞİKAYET KAYIT'!K48="","",'ŞİKAYET KAYIT'!K48)),"")</f>
        <v/>
      </c>
      <c r="I48" s="3" t="str">
        <f>IFERROR(IF('ŞİKAYET KAYIT'!P48="Kapatıldı","",IF('ŞİKAYET KAYIT'!L48="","",'ŞİKAYET KAYIT'!L48)),"")</f>
        <v/>
      </c>
      <c r="J48" s="3" t="str">
        <f>IFERROR(IF('ŞİKAYET KAYIT'!P48="Kapatıldı","",IF('ŞİKAYET KAYIT'!M48="","",'ŞİKAYET KAYIT'!M48)),"")</f>
        <v/>
      </c>
      <c r="K48" s="3" t="str">
        <f>IFERROR(IF('ŞİKAYET KAYIT'!P48="Kapatıldı","",IF('ŞİKAYET KAYIT'!N48="","",'ŞİKAYET KAYIT'!N48)),"")</f>
        <v/>
      </c>
      <c r="L48" s="3" t="str">
        <f>IFERROR(IF('ŞİKAYET KAYIT'!P48="Kapatıldı","",IF('ŞİKAYET KAYIT'!O48="","",'ŞİKAYET KAYIT'!O48)),"")</f>
        <v/>
      </c>
      <c r="M48" s="3" t="str">
        <f>IFERROR(IF('ŞİKAYET KAYIT'!P48="Kapatıldı","",IF('ŞİKAYET KAYIT'!P48="","",'ŞİKAYET KAYIT'!P48)),"")</f>
        <v/>
      </c>
    </row>
    <row r="49" spans="1:13" ht="15" customHeight="1" x14ac:dyDescent="0.3">
      <c r="A49" s="26" t="str">
        <f>IFERROR(IF('ŞİKAYET KAYIT'!P49="Kapatıldı","",IF('ŞİKAYET KAYIT'!A49="","",'ŞİKAYET KAYIT'!A49)),"")</f>
        <v/>
      </c>
      <c r="B49" s="8" t="str">
        <f>IFERROR(IF('ŞİKAYET KAYIT'!P49="Kapatıldı","",IF('ŞİKAYET KAYIT'!B49="","",'ŞİKAYET KAYIT'!B49)),"")</f>
        <v/>
      </c>
      <c r="C49" s="26" t="str">
        <f>IFERROR(IF('ŞİKAYET KAYIT'!P49="Kapatıldı","",IF('ŞİKAYET KAYIT'!D49="","",'ŞİKAYET KAYIT'!D49)),"")</f>
        <v/>
      </c>
      <c r="D49" s="26" t="str">
        <f>IFERROR(IF('ŞİKAYET KAYIT'!P49="Kapatıldı","",IF('ŞİKAYET KAYIT'!F49="","",'ŞİKAYET KAYIT'!F49)),"")</f>
        <v/>
      </c>
      <c r="E49" s="26" t="str">
        <f>IFERROR(IF('ŞİKAYET KAYIT'!P49="Kapatıldı","",IF('ŞİKAYET KAYIT'!H49="","",'ŞİKAYET KAYIT'!H49)),"")</f>
        <v/>
      </c>
      <c r="F49" s="26" t="str">
        <f>IFERROR(IF('ŞİKAYET KAYIT'!P49="Kapatıldı","",IF('ŞİKAYET KAYIT'!I49="","",'ŞİKAYET KAYIT'!I49)),"")</f>
        <v/>
      </c>
      <c r="G49" s="26" t="str">
        <f>IFERROR(IF('ŞİKAYET KAYIT'!P49="Kapatıldı","",IF('ŞİKAYET KAYIT'!J49="","",'ŞİKAYET KAYIT'!J49)),"")</f>
        <v/>
      </c>
      <c r="H49" s="26" t="str">
        <f>IFERROR(IF('ŞİKAYET KAYIT'!P49="Kapatıldı","",IF('ŞİKAYET KAYIT'!K49="","",'ŞİKAYET KAYIT'!K49)),"")</f>
        <v/>
      </c>
      <c r="I49" s="26" t="str">
        <f>IFERROR(IF('ŞİKAYET KAYIT'!P49="Kapatıldı","",IF('ŞİKAYET KAYIT'!L49="","",'ŞİKAYET KAYIT'!L49)),"")</f>
        <v/>
      </c>
      <c r="J49" s="26" t="str">
        <f>IFERROR(IF('ŞİKAYET KAYIT'!P49="Kapatıldı","",IF('ŞİKAYET KAYIT'!M49="","",'ŞİKAYET KAYIT'!M49)),"")</f>
        <v/>
      </c>
      <c r="K49" s="26" t="str">
        <f>IFERROR(IF('ŞİKAYET KAYIT'!P49="Kapatıldı","",IF('ŞİKAYET KAYIT'!N49="","",'ŞİKAYET KAYIT'!N49)),"")</f>
        <v/>
      </c>
      <c r="L49" s="26" t="str">
        <f>IFERROR(IF('ŞİKAYET KAYIT'!P49="Kapatıldı","",IF('ŞİKAYET KAYIT'!O49="","",'ŞİKAYET KAYIT'!O49)),"")</f>
        <v/>
      </c>
      <c r="M49" s="26" t="str">
        <f>IFERROR(IF('ŞİKAYET KAYIT'!P49="Kapatıldı","",IF('ŞİKAYET KAYIT'!P49="","",'ŞİKAYET KAYIT'!P49)),"")</f>
        <v/>
      </c>
    </row>
    <row r="50" spans="1:13" ht="15" customHeight="1" x14ac:dyDescent="0.3">
      <c r="A50" s="3" t="str">
        <f>IFERROR(IF('ŞİKAYET KAYIT'!P50="Kapatıldı","",IF('ŞİKAYET KAYIT'!A50="","",'ŞİKAYET KAYIT'!A50)),"")</f>
        <v/>
      </c>
      <c r="B50" s="5" t="str">
        <f>IFERROR(IF('ŞİKAYET KAYIT'!P50="Kapatıldı","",IF('ŞİKAYET KAYIT'!B50="","",'ŞİKAYET KAYIT'!B50)),"")</f>
        <v/>
      </c>
      <c r="C50" s="3" t="str">
        <f>IFERROR(IF('ŞİKAYET KAYIT'!P50="Kapatıldı","",IF('ŞİKAYET KAYIT'!D50="","",'ŞİKAYET KAYIT'!D50)),"")</f>
        <v/>
      </c>
      <c r="D50" s="3" t="str">
        <f>IFERROR(IF('ŞİKAYET KAYIT'!P50="Kapatıldı","",IF('ŞİKAYET KAYIT'!F50="","",'ŞİKAYET KAYIT'!F50)),"")</f>
        <v/>
      </c>
      <c r="E50" s="3" t="str">
        <f>IFERROR(IF('ŞİKAYET KAYIT'!P50="Kapatıldı","",IF('ŞİKAYET KAYIT'!H50="","",'ŞİKAYET KAYIT'!H50)),"")</f>
        <v/>
      </c>
      <c r="F50" s="3" t="str">
        <f>IFERROR(IF('ŞİKAYET KAYIT'!P50="Kapatıldı","",IF('ŞİKAYET KAYIT'!I50="","",'ŞİKAYET KAYIT'!I50)),"")</f>
        <v/>
      </c>
      <c r="G50" s="3" t="str">
        <f>IFERROR(IF('ŞİKAYET KAYIT'!P50="Kapatıldı","",IF('ŞİKAYET KAYIT'!J50="","",'ŞİKAYET KAYIT'!J50)),"")</f>
        <v/>
      </c>
      <c r="H50" s="3" t="str">
        <f>IFERROR(IF('ŞİKAYET KAYIT'!P50="Kapatıldı","",IF('ŞİKAYET KAYIT'!K50="","",'ŞİKAYET KAYIT'!K50)),"")</f>
        <v/>
      </c>
      <c r="I50" s="3" t="str">
        <f>IFERROR(IF('ŞİKAYET KAYIT'!P50="Kapatıldı","",IF('ŞİKAYET KAYIT'!L50="","",'ŞİKAYET KAYIT'!L50)),"")</f>
        <v/>
      </c>
      <c r="J50" s="3" t="str">
        <f>IFERROR(IF('ŞİKAYET KAYIT'!P50="Kapatıldı","",IF('ŞİKAYET KAYIT'!M50="","",'ŞİKAYET KAYIT'!M50)),"")</f>
        <v/>
      </c>
      <c r="K50" s="3" t="str">
        <f>IFERROR(IF('ŞİKAYET KAYIT'!P50="Kapatıldı","",IF('ŞİKAYET KAYIT'!N50="","",'ŞİKAYET KAYIT'!N50)),"")</f>
        <v/>
      </c>
      <c r="L50" s="3" t="str">
        <f>IFERROR(IF('ŞİKAYET KAYIT'!P50="Kapatıldı","",IF('ŞİKAYET KAYIT'!O50="","",'ŞİKAYET KAYIT'!O50)),"")</f>
        <v/>
      </c>
      <c r="M50" s="3" t="str">
        <f>IFERROR(IF('ŞİKAYET KAYIT'!P50="Kapatıldı","",IF('ŞİKAYET KAYIT'!P50="","",'ŞİKAYET KAYIT'!P50)),"")</f>
        <v/>
      </c>
    </row>
    <row r="51" spans="1:13" ht="15" customHeight="1" x14ac:dyDescent="0.3">
      <c r="A51" s="26" t="str">
        <f>IFERROR(IF('ŞİKAYET KAYIT'!P51="Kapatıldı","",IF('ŞİKAYET KAYIT'!A51="","",'ŞİKAYET KAYIT'!A51)),"")</f>
        <v/>
      </c>
      <c r="B51" s="8" t="str">
        <f>IFERROR(IF('ŞİKAYET KAYIT'!P51="Kapatıldı","",IF('ŞİKAYET KAYIT'!B51="","",'ŞİKAYET KAYIT'!B51)),"")</f>
        <v/>
      </c>
      <c r="C51" s="26" t="str">
        <f>IFERROR(IF('ŞİKAYET KAYIT'!P51="Kapatıldı","",IF('ŞİKAYET KAYIT'!D51="","",'ŞİKAYET KAYIT'!D51)),"")</f>
        <v/>
      </c>
      <c r="D51" s="26" t="str">
        <f>IFERROR(IF('ŞİKAYET KAYIT'!P51="Kapatıldı","",IF('ŞİKAYET KAYIT'!F51="","",'ŞİKAYET KAYIT'!F51)),"")</f>
        <v/>
      </c>
      <c r="E51" s="26" t="str">
        <f>IFERROR(IF('ŞİKAYET KAYIT'!P51="Kapatıldı","",IF('ŞİKAYET KAYIT'!H51="","",'ŞİKAYET KAYIT'!H51)),"")</f>
        <v/>
      </c>
      <c r="F51" s="26" t="str">
        <f>IFERROR(IF('ŞİKAYET KAYIT'!P51="Kapatıldı","",IF('ŞİKAYET KAYIT'!I51="","",'ŞİKAYET KAYIT'!I51)),"")</f>
        <v/>
      </c>
      <c r="G51" s="26" t="str">
        <f>IFERROR(IF('ŞİKAYET KAYIT'!P51="Kapatıldı","",IF('ŞİKAYET KAYIT'!J51="","",'ŞİKAYET KAYIT'!J51)),"")</f>
        <v/>
      </c>
      <c r="H51" s="26" t="str">
        <f>IFERROR(IF('ŞİKAYET KAYIT'!P51="Kapatıldı","",IF('ŞİKAYET KAYIT'!K51="","",'ŞİKAYET KAYIT'!K51)),"")</f>
        <v/>
      </c>
      <c r="I51" s="26" t="str">
        <f>IFERROR(IF('ŞİKAYET KAYIT'!P51="Kapatıldı","",IF('ŞİKAYET KAYIT'!L51="","",'ŞİKAYET KAYIT'!L51)),"")</f>
        <v/>
      </c>
      <c r="J51" s="26" t="str">
        <f>IFERROR(IF('ŞİKAYET KAYIT'!P51="Kapatıldı","",IF('ŞİKAYET KAYIT'!M51="","",'ŞİKAYET KAYIT'!M51)),"")</f>
        <v/>
      </c>
      <c r="K51" s="26" t="str">
        <f>IFERROR(IF('ŞİKAYET KAYIT'!P51="Kapatıldı","",IF('ŞİKAYET KAYIT'!N51="","",'ŞİKAYET KAYIT'!N51)),"")</f>
        <v/>
      </c>
      <c r="L51" s="26" t="str">
        <f>IFERROR(IF('ŞİKAYET KAYIT'!P51="Kapatıldı","",IF('ŞİKAYET KAYIT'!O51="","",'ŞİKAYET KAYIT'!O51)),"")</f>
        <v/>
      </c>
      <c r="M51" s="26" t="str">
        <f>IFERROR(IF('ŞİKAYET KAYIT'!P51="Kapatıldı","",IF('ŞİKAYET KAYIT'!P51="","",'ŞİKAYET KAYIT'!P51)),"")</f>
        <v/>
      </c>
    </row>
    <row r="52" spans="1:13" ht="15" customHeight="1" x14ac:dyDescent="0.3">
      <c r="A52" s="3" t="str">
        <f>IFERROR(IF('ŞİKAYET KAYIT'!P52="Kapatıldı","",IF('ŞİKAYET KAYIT'!A52="","",'ŞİKAYET KAYIT'!A52)),"")</f>
        <v/>
      </c>
      <c r="B52" s="5" t="str">
        <f>IFERROR(IF('ŞİKAYET KAYIT'!P52="Kapatıldı","",IF('ŞİKAYET KAYIT'!B52="","",'ŞİKAYET KAYIT'!B52)),"")</f>
        <v/>
      </c>
      <c r="C52" s="3" t="str">
        <f>IFERROR(IF('ŞİKAYET KAYIT'!P52="Kapatıldı","",IF('ŞİKAYET KAYIT'!D52="","",'ŞİKAYET KAYIT'!D52)),"")</f>
        <v/>
      </c>
      <c r="D52" s="3" t="str">
        <f>IFERROR(IF('ŞİKAYET KAYIT'!P52="Kapatıldı","",IF('ŞİKAYET KAYIT'!F52="","",'ŞİKAYET KAYIT'!F52)),"")</f>
        <v/>
      </c>
      <c r="E52" s="3" t="str">
        <f>IFERROR(IF('ŞİKAYET KAYIT'!P52="Kapatıldı","",IF('ŞİKAYET KAYIT'!H52="","",'ŞİKAYET KAYIT'!H52)),"")</f>
        <v/>
      </c>
      <c r="F52" s="3" t="str">
        <f>IFERROR(IF('ŞİKAYET KAYIT'!P52="Kapatıldı","",IF('ŞİKAYET KAYIT'!I52="","",'ŞİKAYET KAYIT'!I52)),"")</f>
        <v/>
      </c>
      <c r="G52" s="3" t="str">
        <f>IFERROR(IF('ŞİKAYET KAYIT'!P52="Kapatıldı","",IF('ŞİKAYET KAYIT'!J52="","",'ŞİKAYET KAYIT'!J52)),"")</f>
        <v/>
      </c>
      <c r="H52" s="3" t="str">
        <f>IFERROR(IF('ŞİKAYET KAYIT'!P52="Kapatıldı","",IF('ŞİKAYET KAYIT'!K52="","",'ŞİKAYET KAYIT'!K52)),"")</f>
        <v/>
      </c>
      <c r="I52" s="3" t="str">
        <f>IFERROR(IF('ŞİKAYET KAYIT'!P52="Kapatıldı","",IF('ŞİKAYET KAYIT'!L52="","",'ŞİKAYET KAYIT'!L52)),"")</f>
        <v/>
      </c>
      <c r="J52" s="3" t="str">
        <f>IFERROR(IF('ŞİKAYET KAYIT'!P52="Kapatıldı","",IF('ŞİKAYET KAYIT'!M52="","",'ŞİKAYET KAYIT'!M52)),"")</f>
        <v/>
      </c>
      <c r="K52" s="3" t="str">
        <f>IFERROR(IF('ŞİKAYET KAYIT'!P52="Kapatıldı","",IF('ŞİKAYET KAYIT'!N52="","",'ŞİKAYET KAYIT'!N52)),"")</f>
        <v/>
      </c>
      <c r="L52" s="3" t="str">
        <f>IFERROR(IF('ŞİKAYET KAYIT'!P52="Kapatıldı","",IF('ŞİKAYET KAYIT'!O52="","",'ŞİKAYET KAYIT'!O52)),"")</f>
        <v/>
      </c>
      <c r="M52" s="3" t="str">
        <f>IFERROR(IF('ŞİKAYET KAYIT'!P52="Kapatıldı","",IF('ŞİKAYET KAYIT'!P52="","",'ŞİKAYET KAYIT'!P52)),"")</f>
        <v/>
      </c>
    </row>
    <row r="53" spans="1:13" ht="15" customHeight="1" x14ac:dyDescent="0.3">
      <c r="A53" s="26" t="str">
        <f>IFERROR(IF('ŞİKAYET KAYIT'!P53="Kapatıldı","",IF('ŞİKAYET KAYIT'!A53="","",'ŞİKAYET KAYIT'!A53)),"")</f>
        <v/>
      </c>
      <c r="B53" s="8" t="str">
        <f>IFERROR(IF('ŞİKAYET KAYIT'!P53="Kapatıldı","",IF('ŞİKAYET KAYIT'!B53="","",'ŞİKAYET KAYIT'!B53)),"")</f>
        <v/>
      </c>
      <c r="C53" s="26" t="str">
        <f>IFERROR(IF('ŞİKAYET KAYIT'!P53="Kapatıldı","",IF('ŞİKAYET KAYIT'!D53="","",'ŞİKAYET KAYIT'!D53)),"")</f>
        <v/>
      </c>
      <c r="D53" s="26" t="str">
        <f>IFERROR(IF('ŞİKAYET KAYIT'!P53="Kapatıldı","",IF('ŞİKAYET KAYIT'!F53="","",'ŞİKAYET KAYIT'!F53)),"")</f>
        <v/>
      </c>
      <c r="E53" s="26" t="str">
        <f>IFERROR(IF('ŞİKAYET KAYIT'!P53="Kapatıldı","",IF('ŞİKAYET KAYIT'!H53="","",'ŞİKAYET KAYIT'!H53)),"")</f>
        <v/>
      </c>
      <c r="F53" s="26" t="str">
        <f>IFERROR(IF('ŞİKAYET KAYIT'!P53="Kapatıldı","",IF('ŞİKAYET KAYIT'!I53="","",'ŞİKAYET KAYIT'!I53)),"")</f>
        <v/>
      </c>
      <c r="G53" s="26" t="str">
        <f>IFERROR(IF('ŞİKAYET KAYIT'!P53="Kapatıldı","",IF('ŞİKAYET KAYIT'!J53="","",'ŞİKAYET KAYIT'!J53)),"")</f>
        <v/>
      </c>
      <c r="H53" s="26" t="str">
        <f>IFERROR(IF('ŞİKAYET KAYIT'!P53="Kapatıldı","",IF('ŞİKAYET KAYIT'!K53="","",'ŞİKAYET KAYIT'!K53)),"")</f>
        <v/>
      </c>
      <c r="I53" s="26" t="str">
        <f>IFERROR(IF('ŞİKAYET KAYIT'!P53="Kapatıldı","",IF('ŞİKAYET KAYIT'!L53="","",'ŞİKAYET KAYIT'!L53)),"")</f>
        <v/>
      </c>
      <c r="J53" s="26" t="str">
        <f>IFERROR(IF('ŞİKAYET KAYIT'!P53="Kapatıldı","",IF('ŞİKAYET KAYIT'!M53="","",'ŞİKAYET KAYIT'!M53)),"")</f>
        <v/>
      </c>
      <c r="K53" s="26" t="str">
        <f>IFERROR(IF('ŞİKAYET KAYIT'!P53="Kapatıldı","",IF('ŞİKAYET KAYIT'!N53="","",'ŞİKAYET KAYIT'!N53)),"")</f>
        <v/>
      </c>
      <c r="L53" s="26" t="str">
        <f>IFERROR(IF('ŞİKAYET KAYIT'!P53="Kapatıldı","",IF('ŞİKAYET KAYIT'!O53="","",'ŞİKAYET KAYIT'!O53)),"")</f>
        <v/>
      </c>
      <c r="M53" s="26" t="str">
        <f>IFERROR(IF('ŞİKAYET KAYIT'!P53="Kapatıldı","",IF('ŞİKAYET KAYIT'!P53="","",'ŞİKAYET KAYIT'!P53)),"")</f>
        <v/>
      </c>
    </row>
    <row r="54" spans="1:13" ht="15" customHeight="1" x14ac:dyDescent="0.3">
      <c r="A54" s="3" t="str">
        <f>IFERROR(IF('ŞİKAYET KAYIT'!P54="Kapatıldı","",IF('ŞİKAYET KAYIT'!A54="","",'ŞİKAYET KAYIT'!A54)),"")</f>
        <v/>
      </c>
      <c r="B54" s="5" t="str">
        <f>IFERROR(IF('ŞİKAYET KAYIT'!P54="Kapatıldı","",IF('ŞİKAYET KAYIT'!B54="","",'ŞİKAYET KAYIT'!B54)),"")</f>
        <v/>
      </c>
      <c r="C54" s="3" t="str">
        <f>IFERROR(IF('ŞİKAYET KAYIT'!P54="Kapatıldı","",IF('ŞİKAYET KAYIT'!D54="","",'ŞİKAYET KAYIT'!D54)),"")</f>
        <v/>
      </c>
      <c r="D54" s="3" t="str">
        <f>IFERROR(IF('ŞİKAYET KAYIT'!P54="Kapatıldı","",IF('ŞİKAYET KAYIT'!F54="","",'ŞİKAYET KAYIT'!F54)),"")</f>
        <v/>
      </c>
      <c r="E54" s="3" t="str">
        <f>IFERROR(IF('ŞİKAYET KAYIT'!P54="Kapatıldı","",IF('ŞİKAYET KAYIT'!H54="","",'ŞİKAYET KAYIT'!H54)),"")</f>
        <v/>
      </c>
      <c r="F54" s="3" t="str">
        <f>IFERROR(IF('ŞİKAYET KAYIT'!P54="Kapatıldı","",IF('ŞİKAYET KAYIT'!I54="","",'ŞİKAYET KAYIT'!I54)),"")</f>
        <v/>
      </c>
      <c r="G54" s="3" t="str">
        <f>IFERROR(IF('ŞİKAYET KAYIT'!P54="Kapatıldı","",IF('ŞİKAYET KAYIT'!J54="","",'ŞİKAYET KAYIT'!J54)),"")</f>
        <v/>
      </c>
      <c r="H54" s="3" t="str">
        <f>IFERROR(IF('ŞİKAYET KAYIT'!P54="Kapatıldı","",IF('ŞİKAYET KAYIT'!K54="","",'ŞİKAYET KAYIT'!K54)),"")</f>
        <v/>
      </c>
      <c r="I54" s="3" t="str">
        <f>IFERROR(IF('ŞİKAYET KAYIT'!P54="Kapatıldı","",IF('ŞİKAYET KAYIT'!L54="","",'ŞİKAYET KAYIT'!L54)),"")</f>
        <v/>
      </c>
      <c r="J54" s="3" t="str">
        <f>IFERROR(IF('ŞİKAYET KAYIT'!P54="Kapatıldı","",IF('ŞİKAYET KAYIT'!M54="","",'ŞİKAYET KAYIT'!M54)),"")</f>
        <v/>
      </c>
      <c r="K54" s="3" t="str">
        <f>IFERROR(IF('ŞİKAYET KAYIT'!P54="Kapatıldı","",IF('ŞİKAYET KAYIT'!N54="","",'ŞİKAYET KAYIT'!N54)),"")</f>
        <v/>
      </c>
      <c r="L54" s="3" t="str">
        <f>IFERROR(IF('ŞİKAYET KAYIT'!P54="Kapatıldı","",IF('ŞİKAYET KAYIT'!O54="","",'ŞİKAYET KAYIT'!O54)),"")</f>
        <v/>
      </c>
      <c r="M54" s="3" t="str">
        <f>IFERROR(IF('ŞİKAYET KAYIT'!P54="Kapatıldı","",IF('ŞİKAYET KAYIT'!P54="","",'ŞİKAYET KAYIT'!P54)),"")</f>
        <v/>
      </c>
    </row>
    <row r="55" spans="1:13" ht="15" customHeight="1" x14ac:dyDescent="0.3">
      <c r="A55" s="26" t="str">
        <f>IFERROR(IF('ŞİKAYET KAYIT'!P55="Kapatıldı","",IF('ŞİKAYET KAYIT'!A55="","",'ŞİKAYET KAYIT'!A55)),"")</f>
        <v/>
      </c>
      <c r="B55" s="8" t="str">
        <f>IFERROR(IF('ŞİKAYET KAYIT'!P55="Kapatıldı","",IF('ŞİKAYET KAYIT'!B55="","",'ŞİKAYET KAYIT'!B55)),"")</f>
        <v/>
      </c>
      <c r="C55" s="26" t="str">
        <f>IFERROR(IF('ŞİKAYET KAYIT'!P55="Kapatıldı","",IF('ŞİKAYET KAYIT'!D55="","",'ŞİKAYET KAYIT'!D55)),"")</f>
        <v/>
      </c>
      <c r="D55" s="26" t="str">
        <f>IFERROR(IF('ŞİKAYET KAYIT'!P55="Kapatıldı","",IF('ŞİKAYET KAYIT'!F55="","",'ŞİKAYET KAYIT'!F55)),"")</f>
        <v/>
      </c>
      <c r="E55" s="26" t="str">
        <f>IFERROR(IF('ŞİKAYET KAYIT'!P55="Kapatıldı","",IF('ŞİKAYET KAYIT'!H55="","",'ŞİKAYET KAYIT'!H55)),"")</f>
        <v/>
      </c>
      <c r="F55" s="26" t="str">
        <f>IFERROR(IF('ŞİKAYET KAYIT'!P55="Kapatıldı","",IF('ŞİKAYET KAYIT'!I55="","",'ŞİKAYET KAYIT'!I55)),"")</f>
        <v/>
      </c>
      <c r="G55" s="26" t="str">
        <f>IFERROR(IF('ŞİKAYET KAYIT'!P55="Kapatıldı","",IF('ŞİKAYET KAYIT'!J55="","",'ŞİKAYET KAYIT'!J55)),"")</f>
        <v/>
      </c>
      <c r="H55" s="26" t="str">
        <f>IFERROR(IF('ŞİKAYET KAYIT'!P55="Kapatıldı","",IF('ŞİKAYET KAYIT'!K55="","",'ŞİKAYET KAYIT'!K55)),"")</f>
        <v/>
      </c>
      <c r="I55" s="26" t="str">
        <f>IFERROR(IF('ŞİKAYET KAYIT'!P55="Kapatıldı","",IF('ŞİKAYET KAYIT'!L55="","",'ŞİKAYET KAYIT'!L55)),"")</f>
        <v/>
      </c>
      <c r="J55" s="26" t="str">
        <f>IFERROR(IF('ŞİKAYET KAYIT'!P55="Kapatıldı","",IF('ŞİKAYET KAYIT'!M55="","",'ŞİKAYET KAYIT'!M55)),"")</f>
        <v/>
      </c>
      <c r="K55" s="26" t="str">
        <f>IFERROR(IF('ŞİKAYET KAYIT'!P55="Kapatıldı","",IF('ŞİKAYET KAYIT'!N55="","",'ŞİKAYET KAYIT'!N55)),"")</f>
        <v/>
      </c>
      <c r="L55" s="26" t="str">
        <f>IFERROR(IF('ŞİKAYET KAYIT'!P55="Kapatıldı","",IF('ŞİKAYET KAYIT'!O55="","",'ŞİKAYET KAYIT'!O55)),"")</f>
        <v/>
      </c>
      <c r="M55" s="26" t="str">
        <f>IFERROR(IF('ŞİKAYET KAYIT'!P55="Kapatıldı","",IF('ŞİKAYET KAYIT'!P55="","",'ŞİKAYET KAYIT'!P55)),"")</f>
        <v/>
      </c>
    </row>
    <row r="56" spans="1:13" ht="15" customHeight="1" x14ac:dyDescent="0.3">
      <c r="A56" s="3" t="str">
        <f>IFERROR(IF('ŞİKAYET KAYIT'!P56="Kapatıldı","",IF('ŞİKAYET KAYIT'!A56="","",'ŞİKAYET KAYIT'!A56)),"")</f>
        <v/>
      </c>
      <c r="B56" s="5" t="str">
        <f>IFERROR(IF('ŞİKAYET KAYIT'!P56="Kapatıldı","",IF('ŞİKAYET KAYIT'!B56="","",'ŞİKAYET KAYIT'!B56)),"")</f>
        <v/>
      </c>
      <c r="C56" s="3" t="str">
        <f>IFERROR(IF('ŞİKAYET KAYIT'!P56="Kapatıldı","",IF('ŞİKAYET KAYIT'!D56="","",'ŞİKAYET KAYIT'!D56)),"")</f>
        <v/>
      </c>
      <c r="D56" s="3" t="str">
        <f>IFERROR(IF('ŞİKAYET KAYIT'!P56="Kapatıldı","",IF('ŞİKAYET KAYIT'!F56="","",'ŞİKAYET KAYIT'!F56)),"")</f>
        <v/>
      </c>
      <c r="E56" s="3" t="str">
        <f>IFERROR(IF('ŞİKAYET KAYIT'!P56="Kapatıldı","",IF('ŞİKAYET KAYIT'!H56="","",'ŞİKAYET KAYIT'!H56)),"")</f>
        <v/>
      </c>
      <c r="F56" s="3" t="str">
        <f>IFERROR(IF('ŞİKAYET KAYIT'!P56="Kapatıldı","",IF('ŞİKAYET KAYIT'!I56="","",'ŞİKAYET KAYIT'!I56)),"")</f>
        <v/>
      </c>
      <c r="G56" s="3" t="str">
        <f>IFERROR(IF('ŞİKAYET KAYIT'!P56="Kapatıldı","",IF('ŞİKAYET KAYIT'!J56="","",'ŞİKAYET KAYIT'!J56)),"")</f>
        <v/>
      </c>
      <c r="H56" s="3" t="str">
        <f>IFERROR(IF('ŞİKAYET KAYIT'!P56="Kapatıldı","",IF('ŞİKAYET KAYIT'!K56="","",'ŞİKAYET KAYIT'!K56)),"")</f>
        <v/>
      </c>
      <c r="I56" s="3" t="str">
        <f>IFERROR(IF('ŞİKAYET KAYIT'!P56="Kapatıldı","",IF('ŞİKAYET KAYIT'!L56="","",'ŞİKAYET KAYIT'!L56)),"")</f>
        <v/>
      </c>
      <c r="J56" s="3" t="str">
        <f>IFERROR(IF('ŞİKAYET KAYIT'!P56="Kapatıldı","",IF('ŞİKAYET KAYIT'!M56="","",'ŞİKAYET KAYIT'!M56)),"")</f>
        <v/>
      </c>
      <c r="K56" s="3" t="str">
        <f>IFERROR(IF('ŞİKAYET KAYIT'!P56="Kapatıldı","",IF('ŞİKAYET KAYIT'!N56="","",'ŞİKAYET KAYIT'!N56)),"")</f>
        <v/>
      </c>
      <c r="L56" s="3" t="str">
        <f>IFERROR(IF('ŞİKAYET KAYIT'!P56="Kapatıldı","",IF('ŞİKAYET KAYIT'!O56="","",'ŞİKAYET KAYIT'!O56)),"")</f>
        <v/>
      </c>
      <c r="M56" s="3" t="str">
        <f>IFERROR(IF('ŞİKAYET KAYIT'!P56="Kapatıldı","",IF('ŞİKAYET KAYIT'!P56="","",'ŞİKAYET KAYIT'!P56)),"")</f>
        <v/>
      </c>
    </row>
    <row r="57" spans="1:13" ht="15" customHeight="1" x14ac:dyDescent="0.3">
      <c r="A57" s="26" t="str">
        <f>IFERROR(IF('ŞİKAYET KAYIT'!P57="Kapatıldı","",IF('ŞİKAYET KAYIT'!A57="","",'ŞİKAYET KAYIT'!A57)),"")</f>
        <v/>
      </c>
      <c r="B57" s="8" t="str">
        <f>IFERROR(IF('ŞİKAYET KAYIT'!P57="Kapatıldı","",IF('ŞİKAYET KAYIT'!B57="","",'ŞİKAYET KAYIT'!B57)),"")</f>
        <v/>
      </c>
      <c r="C57" s="26" t="str">
        <f>IFERROR(IF('ŞİKAYET KAYIT'!P57="Kapatıldı","",IF('ŞİKAYET KAYIT'!D57="","",'ŞİKAYET KAYIT'!D57)),"")</f>
        <v/>
      </c>
      <c r="D57" s="26" t="str">
        <f>IFERROR(IF('ŞİKAYET KAYIT'!P57="Kapatıldı","",IF('ŞİKAYET KAYIT'!F57="","",'ŞİKAYET KAYIT'!F57)),"")</f>
        <v/>
      </c>
      <c r="E57" s="26" t="str">
        <f>IFERROR(IF('ŞİKAYET KAYIT'!P57="Kapatıldı","",IF('ŞİKAYET KAYIT'!H57="","",'ŞİKAYET KAYIT'!H57)),"")</f>
        <v/>
      </c>
      <c r="F57" s="26" t="str">
        <f>IFERROR(IF('ŞİKAYET KAYIT'!P57="Kapatıldı","",IF('ŞİKAYET KAYIT'!I57="","",'ŞİKAYET KAYIT'!I57)),"")</f>
        <v/>
      </c>
      <c r="G57" s="26" t="str">
        <f>IFERROR(IF('ŞİKAYET KAYIT'!P57="Kapatıldı","",IF('ŞİKAYET KAYIT'!J57="","",'ŞİKAYET KAYIT'!J57)),"")</f>
        <v/>
      </c>
      <c r="H57" s="26" t="str">
        <f>IFERROR(IF('ŞİKAYET KAYIT'!P57="Kapatıldı","",IF('ŞİKAYET KAYIT'!K57="","",'ŞİKAYET KAYIT'!K57)),"")</f>
        <v/>
      </c>
      <c r="I57" s="26" t="str">
        <f>IFERROR(IF('ŞİKAYET KAYIT'!P57="Kapatıldı","",IF('ŞİKAYET KAYIT'!L57="","",'ŞİKAYET KAYIT'!L57)),"")</f>
        <v/>
      </c>
      <c r="J57" s="26" t="str">
        <f>IFERROR(IF('ŞİKAYET KAYIT'!P57="Kapatıldı","",IF('ŞİKAYET KAYIT'!M57="","",'ŞİKAYET KAYIT'!M57)),"")</f>
        <v/>
      </c>
      <c r="K57" s="26" t="str">
        <f>IFERROR(IF('ŞİKAYET KAYIT'!P57="Kapatıldı","",IF('ŞİKAYET KAYIT'!N57="","",'ŞİKAYET KAYIT'!N57)),"")</f>
        <v/>
      </c>
      <c r="L57" s="26" t="str">
        <f>IFERROR(IF('ŞİKAYET KAYIT'!P57="Kapatıldı","",IF('ŞİKAYET KAYIT'!O57="","",'ŞİKAYET KAYIT'!O57)),"")</f>
        <v/>
      </c>
      <c r="M57" s="26" t="str">
        <f>IFERROR(IF('ŞİKAYET KAYIT'!P57="Kapatıldı","",IF('ŞİKAYET KAYIT'!P57="","",'ŞİKAYET KAYIT'!P57)),"")</f>
        <v/>
      </c>
    </row>
    <row r="58" spans="1:13" ht="15" customHeight="1" x14ac:dyDescent="0.3">
      <c r="A58" s="3" t="str">
        <f>IFERROR(IF('ŞİKAYET KAYIT'!P58="Kapatıldı","",IF('ŞİKAYET KAYIT'!A58="","",'ŞİKAYET KAYIT'!A58)),"")</f>
        <v/>
      </c>
      <c r="B58" s="5" t="str">
        <f>IFERROR(IF('ŞİKAYET KAYIT'!P58="Kapatıldı","",IF('ŞİKAYET KAYIT'!B58="","",'ŞİKAYET KAYIT'!B58)),"")</f>
        <v/>
      </c>
      <c r="C58" s="3" t="str">
        <f>IFERROR(IF('ŞİKAYET KAYIT'!P58="Kapatıldı","",IF('ŞİKAYET KAYIT'!D58="","",'ŞİKAYET KAYIT'!D58)),"")</f>
        <v/>
      </c>
      <c r="D58" s="3" t="str">
        <f>IFERROR(IF('ŞİKAYET KAYIT'!P58="Kapatıldı","",IF('ŞİKAYET KAYIT'!F58="","",'ŞİKAYET KAYIT'!F58)),"")</f>
        <v/>
      </c>
      <c r="E58" s="3" t="str">
        <f>IFERROR(IF('ŞİKAYET KAYIT'!P58="Kapatıldı","",IF('ŞİKAYET KAYIT'!H58="","",'ŞİKAYET KAYIT'!H58)),"")</f>
        <v/>
      </c>
      <c r="F58" s="3" t="str">
        <f>IFERROR(IF('ŞİKAYET KAYIT'!P58="Kapatıldı","",IF('ŞİKAYET KAYIT'!I58="","",'ŞİKAYET KAYIT'!I58)),"")</f>
        <v/>
      </c>
      <c r="G58" s="3" t="str">
        <f>IFERROR(IF('ŞİKAYET KAYIT'!P58="Kapatıldı","",IF('ŞİKAYET KAYIT'!J58="","",'ŞİKAYET KAYIT'!J58)),"")</f>
        <v/>
      </c>
      <c r="H58" s="3" t="str">
        <f>IFERROR(IF('ŞİKAYET KAYIT'!P58="Kapatıldı","",IF('ŞİKAYET KAYIT'!K58="","",'ŞİKAYET KAYIT'!K58)),"")</f>
        <v/>
      </c>
      <c r="I58" s="3" t="str">
        <f>IFERROR(IF('ŞİKAYET KAYIT'!P58="Kapatıldı","",IF('ŞİKAYET KAYIT'!L58="","",'ŞİKAYET KAYIT'!L58)),"")</f>
        <v/>
      </c>
      <c r="J58" s="3" t="str">
        <f>IFERROR(IF('ŞİKAYET KAYIT'!P58="Kapatıldı","",IF('ŞİKAYET KAYIT'!M58="","",'ŞİKAYET KAYIT'!M58)),"")</f>
        <v/>
      </c>
      <c r="K58" s="3" t="str">
        <f>IFERROR(IF('ŞİKAYET KAYIT'!P58="Kapatıldı","",IF('ŞİKAYET KAYIT'!N58="","",'ŞİKAYET KAYIT'!N58)),"")</f>
        <v/>
      </c>
      <c r="L58" s="3" t="str">
        <f>IFERROR(IF('ŞİKAYET KAYIT'!P58="Kapatıldı","",IF('ŞİKAYET KAYIT'!O58="","",'ŞİKAYET KAYIT'!O58)),"")</f>
        <v/>
      </c>
      <c r="M58" s="3" t="str">
        <f>IFERROR(IF('ŞİKAYET KAYIT'!P58="Kapatıldı","",IF('ŞİKAYET KAYIT'!P58="","",'ŞİKAYET KAYIT'!P58)),"")</f>
        <v/>
      </c>
    </row>
    <row r="59" spans="1:13" ht="15" customHeight="1" x14ac:dyDescent="0.3">
      <c r="A59" s="26" t="str">
        <f>IFERROR(IF('ŞİKAYET KAYIT'!P59="Kapatıldı","",IF('ŞİKAYET KAYIT'!A59="","",'ŞİKAYET KAYIT'!A59)),"")</f>
        <v/>
      </c>
      <c r="B59" s="8" t="str">
        <f>IFERROR(IF('ŞİKAYET KAYIT'!P59="Kapatıldı","",IF('ŞİKAYET KAYIT'!B59="","",'ŞİKAYET KAYIT'!B59)),"")</f>
        <v/>
      </c>
      <c r="C59" s="26" t="str">
        <f>IFERROR(IF('ŞİKAYET KAYIT'!P59="Kapatıldı","",IF('ŞİKAYET KAYIT'!D59="","",'ŞİKAYET KAYIT'!D59)),"")</f>
        <v/>
      </c>
      <c r="D59" s="26" t="str">
        <f>IFERROR(IF('ŞİKAYET KAYIT'!P59="Kapatıldı","",IF('ŞİKAYET KAYIT'!F59="","",'ŞİKAYET KAYIT'!F59)),"")</f>
        <v/>
      </c>
      <c r="E59" s="26" t="str">
        <f>IFERROR(IF('ŞİKAYET KAYIT'!P59="Kapatıldı","",IF('ŞİKAYET KAYIT'!H59="","",'ŞİKAYET KAYIT'!H59)),"")</f>
        <v/>
      </c>
      <c r="F59" s="26" t="str">
        <f>IFERROR(IF('ŞİKAYET KAYIT'!P59="Kapatıldı","",IF('ŞİKAYET KAYIT'!I59="","",'ŞİKAYET KAYIT'!I59)),"")</f>
        <v/>
      </c>
      <c r="G59" s="26" t="str">
        <f>IFERROR(IF('ŞİKAYET KAYIT'!P59="Kapatıldı","",IF('ŞİKAYET KAYIT'!J59="","",'ŞİKAYET KAYIT'!J59)),"")</f>
        <v/>
      </c>
      <c r="H59" s="26" t="str">
        <f>IFERROR(IF('ŞİKAYET KAYIT'!P59="Kapatıldı","",IF('ŞİKAYET KAYIT'!K59="","",'ŞİKAYET KAYIT'!K59)),"")</f>
        <v/>
      </c>
      <c r="I59" s="26" t="str">
        <f>IFERROR(IF('ŞİKAYET KAYIT'!P59="Kapatıldı","",IF('ŞİKAYET KAYIT'!L59="","",'ŞİKAYET KAYIT'!L59)),"")</f>
        <v/>
      </c>
      <c r="J59" s="26" t="str">
        <f>IFERROR(IF('ŞİKAYET KAYIT'!P59="Kapatıldı","",IF('ŞİKAYET KAYIT'!M59="","",'ŞİKAYET KAYIT'!M59)),"")</f>
        <v/>
      </c>
      <c r="K59" s="26" t="str">
        <f>IFERROR(IF('ŞİKAYET KAYIT'!P59="Kapatıldı","",IF('ŞİKAYET KAYIT'!N59="","",'ŞİKAYET KAYIT'!N59)),"")</f>
        <v/>
      </c>
      <c r="L59" s="26" t="str">
        <f>IFERROR(IF('ŞİKAYET KAYIT'!P59="Kapatıldı","",IF('ŞİKAYET KAYIT'!O59="","",'ŞİKAYET KAYIT'!O59)),"")</f>
        <v/>
      </c>
      <c r="M59" s="26" t="str">
        <f>IFERROR(IF('ŞİKAYET KAYIT'!P59="Kapatıldı","",IF('ŞİKAYET KAYIT'!P59="","",'ŞİKAYET KAYIT'!P59)),"")</f>
        <v/>
      </c>
    </row>
    <row r="60" spans="1:13" ht="15" customHeight="1" x14ac:dyDescent="0.3">
      <c r="A60" s="3" t="str">
        <f>IFERROR(IF('ŞİKAYET KAYIT'!P60="Kapatıldı","",IF('ŞİKAYET KAYIT'!A60="","",'ŞİKAYET KAYIT'!A60)),"")</f>
        <v/>
      </c>
      <c r="B60" s="5" t="str">
        <f>IFERROR(IF('ŞİKAYET KAYIT'!P60="Kapatıldı","",IF('ŞİKAYET KAYIT'!B60="","",'ŞİKAYET KAYIT'!B60)),"")</f>
        <v/>
      </c>
      <c r="C60" s="3" t="str">
        <f>IFERROR(IF('ŞİKAYET KAYIT'!P60="Kapatıldı","",IF('ŞİKAYET KAYIT'!D60="","",'ŞİKAYET KAYIT'!D60)),"")</f>
        <v/>
      </c>
      <c r="D60" s="3" t="str">
        <f>IFERROR(IF('ŞİKAYET KAYIT'!P60="Kapatıldı","",IF('ŞİKAYET KAYIT'!F60="","",'ŞİKAYET KAYIT'!F60)),"")</f>
        <v/>
      </c>
      <c r="E60" s="3" t="str">
        <f>IFERROR(IF('ŞİKAYET KAYIT'!P60="Kapatıldı","",IF('ŞİKAYET KAYIT'!H60="","",'ŞİKAYET KAYIT'!H60)),"")</f>
        <v/>
      </c>
      <c r="F60" s="3" t="str">
        <f>IFERROR(IF('ŞİKAYET KAYIT'!P60="Kapatıldı","",IF('ŞİKAYET KAYIT'!I60="","",'ŞİKAYET KAYIT'!I60)),"")</f>
        <v/>
      </c>
      <c r="G60" s="3" t="str">
        <f>IFERROR(IF('ŞİKAYET KAYIT'!P60="Kapatıldı","",IF('ŞİKAYET KAYIT'!J60="","",'ŞİKAYET KAYIT'!J60)),"")</f>
        <v/>
      </c>
      <c r="H60" s="3" t="str">
        <f>IFERROR(IF('ŞİKAYET KAYIT'!P60="Kapatıldı","",IF('ŞİKAYET KAYIT'!K60="","",'ŞİKAYET KAYIT'!K60)),"")</f>
        <v/>
      </c>
      <c r="I60" s="3" t="str">
        <f>IFERROR(IF('ŞİKAYET KAYIT'!P60="Kapatıldı","",IF('ŞİKAYET KAYIT'!L60="","",'ŞİKAYET KAYIT'!L60)),"")</f>
        <v/>
      </c>
      <c r="J60" s="3" t="str">
        <f>IFERROR(IF('ŞİKAYET KAYIT'!P60="Kapatıldı","",IF('ŞİKAYET KAYIT'!M60="","",'ŞİKAYET KAYIT'!M60)),"")</f>
        <v/>
      </c>
      <c r="K60" s="3" t="str">
        <f>IFERROR(IF('ŞİKAYET KAYIT'!P60="Kapatıldı","",IF('ŞİKAYET KAYIT'!N60="","",'ŞİKAYET KAYIT'!N60)),"")</f>
        <v/>
      </c>
      <c r="L60" s="3" t="str">
        <f>IFERROR(IF('ŞİKAYET KAYIT'!P60="Kapatıldı","",IF('ŞİKAYET KAYIT'!O60="","",'ŞİKAYET KAYIT'!O60)),"")</f>
        <v/>
      </c>
      <c r="M60" s="3" t="str">
        <f>IFERROR(IF('ŞİKAYET KAYIT'!P60="Kapatıldı","",IF('ŞİKAYET KAYIT'!P60="","",'ŞİKAYET KAYIT'!P60)),"")</f>
        <v/>
      </c>
    </row>
    <row r="61" spans="1:13" ht="15" customHeight="1" x14ac:dyDescent="0.3">
      <c r="A61" s="26" t="str">
        <f>IFERROR(IF('ŞİKAYET KAYIT'!P61="Kapatıldı","",IF('ŞİKAYET KAYIT'!A61="","",'ŞİKAYET KAYIT'!A61)),"")</f>
        <v/>
      </c>
      <c r="B61" s="8" t="str">
        <f>IFERROR(IF('ŞİKAYET KAYIT'!P61="Kapatıldı","",IF('ŞİKAYET KAYIT'!B61="","",'ŞİKAYET KAYIT'!B61)),"")</f>
        <v/>
      </c>
      <c r="C61" s="26" t="str">
        <f>IFERROR(IF('ŞİKAYET KAYIT'!P61="Kapatıldı","",IF('ŞİKAYET KAYIT'!D61="","",'ŞİKAYET KAYIT'!D61)),"")</f>
        <v/>
      </c>
      <c r="D61" s="26" t="str">
        <f>IFERROR(IF('ŞİKAYET KAYIT'!P61="Kapatıldı","",IF('ŞİKAYET KAYIT'!F61="","",'ŞİKAYET KAYIT'!F61)),"")</f>
        <v/>
      </c>
      <c r="E61" s="26" t="str">
        <f>IFERROR(IF('ŞİKAYET KAYIT'!P61="Kapatıldı","",IF('ŞİKAYET KAYIT'!H61="","",'ŞİKAYET KAYIT'!H61)),"")</f>
        <v/>
      </c>
      <c r="F61" s="26" t="str">
        <f>IFERROR(IF('ŞİKAYET KAYIT'!P61="Kapatıldı","",IF('ŞİKAYET KAYIT'!I61="","",'ŞİKAYET KAYIT'!I61)),"")</f>
        <v/>
      </c>
      <c r="G61" s="26" t="str">
        <f>IFERROR(IF('ŞİKAYET KAYIT'!P61="Kapatıldı","",IF('ŞİKAYET KAYIT'!J61="","",'ŞİKAYET KAYIT'!J61)),"")</f>
        <v/>
      </c>
      <c r="H61" s="26" t="str">
        <f>IFERROR(IF('ŞİKAYET KAYIT'!P61="Kapatıldı","",IF('ŞİKAYET KAYIT'!K61="","",'ŞİKAYET KAYIT'!K61)),"")</f>
        <v/>
      </c>
      <c r="I61" s="26" t="str">
        <f>IFERROR(IF('ŞİKAYET KAYIT'!P61="Kapatıldı","",IF('ŞİKAYET KAYIT'!L61="","",'ŞİKAYET KAYIT'!L61)),"")</f>
        <v/>
      </c>
      <c r="J61" s="26" t="str">
        <f>IFERROR(IF('ŞİKAYET KAYIT'!P61="Kapatıldı","",IF('ŞİKAYET KAYIT'!M61="","",'ŞİKAYET KAYIT'!M61)),"")</f>
        <v/>
      </c>
      <c r="K61" s="26" t="str">
        <f>IFERROR(IF('ŞİKAYET KAYIT'!P61="Kapatıldı","",IF('ŞİKAYET KAYIT'!N61="","",'ŞİKAYET KAYIT'!N61)),"")</f>
        <v/>
      </c>
      <c r="L61" s="26" t="str">
        <f>IFERROR(IF('ŞİKAYET KAYIT'!P61="Kapatıldı","",IF('ŞİKAYET KAYIT'!O61="","",'ŞİKAYET KAYIT'!O61)),"")</f>
        <v/>
      </c>
      <c r="M61" s="26" t="str">
        <f>IFERROR(IF('ŞİKAYET KAYIT'!P61="Kapatıldı","",IF('ŞİKAYET KAYIT'!P61="","",'ŞİKAYET KAYIT'!P61)),"")</f>
        <v/>
      </c>
    </row>
    <row r="62" spans="1:13" ht="15" customHeight="1" x14ac:dyDescent="0.3">
      <c r="A62" s="3" t="str">
        <f>IFERROR(IF('ŞİKAYET KAYIT'!P62="Kapatıldı","",IF('ŞİKAYET KAYIT'!A62="","",'ŞİKAYET KAYIT'!A62)),"")</f>
        <v/>
      </c>
      <c r="B62" s="5" t="str">
        <f>IFERROR(IF('ŞİKAYET KAYIT'!P62="Kapatıldı","",IF('ŞİKAYET KAYIT'!B62="","",'ŞİKAYET KAYIT'!B62)),"")</f>
        <v/>
      </c>
      <c r="C62" s="3" t="str">
        <f>IFERROR(IF('ŞİKAYET KAYIT'!P62="Kapatıldı","",IF('ŞİKAYET KAYIT'!D62="","",'ŞİKAYET KAYIT'!D62)),"")</f>
        <v/>
      </c>
      <c r="D62" s="3" t="str">
        <f>IFERROR(IF('ŞİKAYET KAYIT'!P62="Kapatıldı","",IF('ŞİKAYET KAYIT'!F62="","",'ŞİKAYET KAYIT'!F62)),"")</f>
        <v/>
      </c>
      <c r="E62" s="3" t="str">
        <f>IFERROR(IF('ŞİKAYET KAYIT'!P62="Kapatıldı","",IF('ŞİKAYET KAYIT'!H62="","",'ŞİKAYET KAYIT'!H62)),"")</f>
        <v/>
      </c>
      <c r="F62" s="3" t="str">
        <f>IFERROR(IF('ŞİKAYET KAYIT'!P62="Kapatıldı","",IF('ŞİKAYET KAYIT'!I62="","",'ŞİKAYET KAYIT'!I62)),"")</f>
        <v/>
      </c>
      <c r="G62" s="3" t="str">
        <f>IFERROR(IF('ŞİKAYET KAYIT'!P62="Kapatıldı","",IF('ŞİKAYET KAYIT'!J62="","",'ŞİKAYET KAYIT'!J62)),"")</f>
        <v/>
      </c>
      <c r="H62" s="3" t="str">
        <f>IFERROR(IF('ŞİKAYET KAYIT'!P62="Kapatıldı","",IF('ŞİKAYET KAYIT'!K62="","",'ŞİKAYET KAYIT'!K62)),"")</f>
        <v/>
      </c>
      <c r="I62" s="3" t="str">
        <f>IFERROR(IF('ŞİKAYET KAYIT'!P62="Kapatıldı","",IF('ŞİKAYET KAYIT'!L62="","",'ŞİKAYET KAYIT'!L62)),"")</f>
        <v/>
      </c>
      <c r="J62" s="3" t="str">
        <f>IFERROR(IF('ŞİKAYET KAYIT'!P62="Kapatıldı","",IF('ŞİKAYET KAYIT'!M62="","",'ŞİKAYET KAYIT'!M62)),"")</f>
        <v/>
      </c>
      <c r="K62" s="3" t="str">
        <f>IFERROR(IF('ŞİKAYET KAYIT'!P62="Kapatıldı","",IF('ŞİKAYET KAYIT'!N62="","",'ŞİKAYET KAYIT'!N62)),"")</f>
        <v/>
      </c>
      <c r="L62" s="3" t="str">
        <f>IFERROR(IF('ŞİKAYET KAYIT'!P62="Kapatıldı","",IF('ŞİKAYET KAYIT'!O62="","",'ŞİKAYET KAYIT'!O62)),"")</f>
        <v/>
      </c>
      <c r="M62" s="3" t="str">
        <f>IFERROR(IF('ŞİKAYET KAYIT'!P62="Kapatıldı","",IF('ŞİKAYET KAYIT'!P62="","",'ŞİKAYET KAYIT'!P62)),"")</f>
        <v/>
      </c>
    </row>
    <row r="63" spans="1:13" ht="15" customHeight="1" x14ac:dyDescent="0.3">
      <c r="A63" s="26" t="str">
        <f>IFERROR(IF('ŞİKAYET KAYIT'!P63="Kapatıldı","",IF('ŞİKAYET KAYIT'!A63="","",'ŞİKAYET KAYIT'!A63)),"")</f>
        <v/>
      </c>
      <c r="B63" s="8" t="str">
        <f>IFERROR(IF('ŞİKAYET KAYIT'!P63="Kapatıldı","",IF('ŞİKAYET KAYIT'!B63="","",'ŞİKAYET KAYIT'!B63)),"")</f>
        <v/>
      </c>
      <c r="C63" s="26" t="str">
        <f>IFERROR(IF('ŞİKAYET KAYIT'!P63="Kapatıldı","",IF('ŞİKAYET KAYIT'!D63="","",'ŞİKAYET KAYIT'!D63)),"")</f>
        <v/>
      </c>
      <c r="D63" s="26" t="str">
        <f>IFERROR(IF('ŞİKAYET KAYIT'!P63="Kapatıldı","",IF('ŞİKAYET KAYIT'!F63="","",'ŞİKAYET KAYIT'!F63)),"")</f>
        <v/>
      </c>
      <c r="E63" s="26" t="str">
        <f>IFERROR(IF('ŞİKAYET KAYIT'!P63="Kapatıldı","",IF('ŞİKAYET KAYIT'!H63="","",'ŞİKAYET KAYIT'!H63)),"")</f>
        <v/>
      </c>
      <c r="F63" s="26" t="str">
        <f>IFERROR(IF('ŞİKAYET KAYIT'!P63="Kapatıldı","",IF('ŞİKAYET KAYIT'!I63="","",'ŞİKAYET KAYIT'!I63)),"")</f>
        <v/>
      </c>
      <c r="G63" s="26" t="str">
        <f>IFERROR(IF('ŞİKAYET KAYIT'!P63="Kapatıldı","",IF('ŞİKAYET KAYIT'!J63="","",'ŞİKAYET KAYIT'!J63)),"")</f>
        <v/>
      </c>
      <c r="H63" s="26" t="str">
        <f>IFERROR(IF('ŞİKAYET KAYIT'!P63="Kapatıldı","",IF('ŞİKAYET KAYIT'!K63="","",'ŞİKAYET KAYIT'!K63)),"")</f>
        <v/>
      </c>
      <c r="I63" s="26" t="str">
        <f>IFERROR(IF('ŞİKAYET KAYIT'!P63="Kapatıldı","",IF('ŞİKAYET KAYIT'!L63="","",'ŞİKAYET KAYIT'!L63)),"")</f>
        <v/>
      </c>
      <c r="J63" s="26" t="str">
        <f>IFERROR(IF('ŞİKAYET KAYIT'!P63="Kapatıldı","",IF('ŞİKAYET KAYIT'!M63="","",'ŞİKAYET KAYIT'!M63)),"")</f>
        <v/>
      </c>
      <c r="K63" s="26" t="str">
        <f>IFERROR(IF('ŞİKAYET KAYIT'!P63="Kapatıldı","",IF('ŞİKAYET KAYIT'!N63="","",'ŞİKAYET KAYIT'!N63)),"")</f>
        <v/>
      </c>
      <c r="L63" s="26" t="str">
        <f>IFERROR(IF('ŞİKAYET KAYIT'!P63="Kapatıldı","",IF('ŞİKAYET KAYIT'!O63="","",'ŞİKAYET KAYIT'!O63)),"")</f>
        <v/>
      </c>
      <c r="M63" s="26" t="str">
        <f>IFERROR(IF('ŞİKAYET KAYIT'!P63="Kapatıldı","",IF('ŞİKAYET KAYIT'!P63="","",'ŞİKAYET KAYIT'!P63)),"")</f>
        <v/>
      </c>
    </row>
    <row r="64" spans="1:13" ht="15" customHeight="1" x14ac:dyDescent="0.3">
      <c r="A64" s="3" t="str">
        <f>IFERROR(IF('ŞİKAYET KAYIT'!P64="Kapatıldı","",IF('ŞİKAYET KAYIT'!A64="","",'ŞİKAYET KAYIT'!A64)),"")</f>
        <v/>
      </c>
      <c r="B64" s="5" t="str">
        <f>IFERROR(IF('ŞİKAYET KAYIT'!P64="Kapatıldı","",IF('ŞİKAYET KAYIT'!B64="","",'ŞİKAYET KAYIT'!B64)),"")</f>
        <v/>
      </c>
      <c r="C64" s="3" t="str">
        <f>IFERROR(IF('ŞİKAYET KAYIT'!P64="Kapatıldı","",IF('ŞİKAYET KAYIT'!D64="","",'ŞİKAYET KAYIT'!D64)),"")</f>
        <v/>
      </c>
      <c r="D64" s="3" t="str">
        <f>IFERROR(IF('ŞİKAYET KAYIT'!P64="Kapatıldı","",IF('ŞİKAYET KAYIT'!F64="","",'ŞİKAYET KAYIT'!F64)),"")</f>
        <v/>
      </c>
      <c r="E64" s="3" t="str">
        <f>IFERROR(IF('ŞİKAYET KAYIT'!P64="Kapatıldı","",IF('ŞİKAYET KAYIT'!H64="","",'ŞİKAYET KAYIT'!H64)),"")</f>
        <v/>
      </c>
      <c r="F64" s="3" t="str">
        <f>IFERROR(IF('ŞİKAYET KAYIT'!P64="Kapatıldı","",IF('ŞİKAYET KAYIT'!I64="","",'ŞİKAYET KAYIT'!I64)),"")</f>
        <v/>
      </c>
      <c r="G64" s="3" t="str">
        <f>IFERROR(IF('ŞİKAYET KAYIT'!P64="Kapatıldı","",IF('ŞİKAYET KAYIT'!J64="","",'ŞİKAYET KAYIT'!J64)),"")</f>
        <v/>
      </c>
      <c r="H64" s="3" t="str">
        <f>IFERROR(IF('ŞİKAYET KAYIT'!P64="Kapatıldı","",IF('ŞİKAYET KAYIT'!K64="","",'ŞİKAYET KAYIT'!K64)),"")</f>
        <v/>
      </c>
      <c r="I64" s="3" t="str">
        <f>IFERROR(IF('ŞİKAYET KAYIT'!P64="Kapatıldı","",IF('ŞİKAYET KAYIT'!L64="","",'ŞİKAYET KAYIT'!L64)),"")</f>
        <v/>
      </c>
      <c r="J64" s="3" t="str">
        <f>IFERROR(IF('ŞİKAYET KAYIT'!P64="Kapatıldı","",IF('ŞİKAYET KAYIT'!M64="","",'ŞİKAYET KAYIT'!M64)),"")</f>
        <v/>
      </c>
      <c r="K64" s="3" t="str">
        <f>IFERROR(IF('ŞİKAYET KAYIT'!P64="Kapatıldı","",IF('ŞİKAYET KAYIT'!N64="","",'ŞİKAYET KAYIT'!N64)),"")</f>
        <v/>
      </c>
      <c r="L64" s="3" t="str">
        <f>IFERROR(IF('ŞİKAYET KAYIT'!P64="Kapatıldı","",IF('ŞİKAYET KAYIT'!O64="","",'ŞİKAYET KAYIT'!O64)),"")</f>
        <v/>
      </c>
      <c r="M64" s="3" t="str">
        <f>IFERROR(IF('ŞİKAYET KAYIT'!P64="Kapatıldı","",IF('ŞİKAYET KAYIT'!P64="","",'ŞİKAYET KAYIT'!P64)),"")</f>
        <v/>
      </c>
    </row>
    <row r="65" spans="1:13" ht="15" customHeight="1" x14ac:dyDescent="0.3">
      <c r="A65" s="26" t="str">
        <f>IFERROR(IF('ŞİKAYET KAYIT'!P65="Kapatıldı","",IF('ŞİKAYET KAYIT'!A65="","",'ŞİKAYET KAYIT'!A65)),"")</f>
        <v/>
      </c>
      <c r="B65" s="8" t="str">
        <f>IFERROR(IF('ŞİKAYET KAYIT'!P65="Kapatıldı","",IF('ŞİKAYET KAYIT'!B65="","",'ŞİKAYET KAYIT'!B65)),"")</f>
        <v/>
      </c>
      <c r="C65" s="26" t="str">
        <f>IFERROR(IF('ŞİKAYET KAYIT'!P65="Kapatıldı","",IF('ŞİKAYET KAYIT'!D65="","",'ŞİKAYET KAYIT'!D65)),"")</f>
        <v/>
      </c>
      <c r="D65" s="26" t="str">
        <f>IFERROR(IF('ŞİKAYET KAYIT'!P65="Kapatıldı","",IF('ŞİKAYET KAYIT'!F65="","",'ŞİKAYET KAYIT'!F65)),"")</f>
        <v/>
      </c>
      <c r="E65" s="26" t="str">
        <f>IFERROR(IF('ŞİKAYET KAYIT'!P65="Kapatıldı","",IF('ŞİKAYET KAYIT'!H65="","",'ŞİKAYET KAYIT'!H65)),"")</f>
        <v/>
      </c>
      <c r="F65" s="26" t="str">
        <f>IFERROR(IF('ŞİKAYET KAYIT'!P65="Kapatıldı","",IF('ŞİKAYET KAYIT'!I65="","",'ŞİKAYET KAYIT'!I65)),"")</f>
        <v/>
      </c>
      <c r="G65" s="26" t="str">
        <f>IFERROR(IF('ŞİKAYET KAYIT'!P65="Kapatıldı","",IF('ŞİKAYET KAYIT'!J65="","",'ŞİKAYET KAYIT'!J65)),"")</f>
        <v/>
      </c>
      <c r="H65" s="26" t="str">
        <f>IFERROR(IF('ŞİKAYET KAYIT'!P65="Kapatıldı","",IF('ŞİKAYET KAYIT'!K65="","",'ŞİKAYET KAYIT'!K65)),"")</f>
        <v/>
      </c>
      <c r="I65" s="26" t="str">
        <f>IFERROR(IF('ŞİKAYET KAYIT'!P65="Kapatıldı","",IF('ŞİKAYET KAYIT'!L65="","",'ŞİKAYET KAYIT'!L65)),"")</f>
        <v/>
      </c>
      <c r="J65" s="26" t="str">
        <f>IFERROR(IF('ŞİKAYET KAYIT'!P65="Kapatıldı","",IF('ŞİKAYET KAYIT'!M65="","",'ŞİKAYET KAYIT'!M65)),"")</f>
        <v/>
      </c>
      <c r="K65" s="26" t="str">
        <f>IFERROR(IF('ŞİKAYET KAYIT'!P65="Kapatıldı","",IF('ŞİKAYET KAYIT'!N65="","",'ŞİKAYET KAYIT'!N65)),"")</f>
        <v/>
      </c>
      <c r="L65" s="26" t="str">
        <f>IFERROR(IF('ŞİKAYET KAYIT'!P65="Kapatıldı","",IF('ŞİKAYET KAYIT'!O65="","",'ŞİKAYET KAYIT'!O65)),"")</f>
        <v/>
      </c>
      <c r="M65" s="26" t="str">
        <f>IFERROR(IF('ŞİKAYET KAYIT'!P65="Kapatıldı","",IF('ŞİKAYET KAYIT'!P65="","",'ŞİKAYET KAYIT'!P65)),"")</f>
        <v/>
      </c>
    </row>
    <row r="66" spans="1:13" ht="15" customHeight="1" x14ac:dyDescent="0.3">
      <c r="A66" s="3" t="str">
        <f>IFERROR(IF('ŞİKAYET KAYIT'!P66="Kapatıldı","",IF('ŞİKAYET KAYIT'!A66="","",'ŞİKAYET KAYIT'!A66)),"")</f>
        <v/>
      </c>
      <c r="B66" s="5" t="str">
        <f>IFERROR(IF('ŞİKAYET KAYIT'!P66="Kapatıldı","",IF('ŞİKAYET KAYIT'!B66="","",'ŞİKAYET KAYIT'!B66)),"")</f>
        <v/>
      </c>
      <c r="C66" s="3" t="str">
        <f>IFERROR(IF('ŞİKAYET KAYIT'!P66="Kapatıldı","",IF('ŞİKAYET KAYIT'!D66="","",'ŞİKAYET KAYIT'!D66)),"")</f>
        <v/>
      </c>
      <c r="D66" s="3" t="str">
        <f>IFERROR(IF('ŞİKAYET KAYIT'!P66="Kapatıldı","",IF('ŞİKAYET KAYIT'!F66="","",'ŞİKAYET KAYIT'!F66)),"")</f>
        <v/>
      </c>
      <c r="E66" s="3" t="str">
        <f>IFERROR(IF('ŞİKAYET KAYIT'!P66="Kapatıldı","",IF('ŞİKAYET KAYIT'!H66="","",'ŞİKAYET KAYIT'!H66)),"")</f>
        <v/>
      </c>
      <c r="F66" s="3" t="str">
        <f>IFERROR(IF('ŞİKAYET KAYIT'!P66="Kapatıldı","",IF('ŞİKAYET KAYIT'!I66="","",'ŞİKAYET KAYIT'!I66)),"")</f>
        <v/>
      </c>
      <c r="G66" s="3" t="str">
        <f>IFERROR(IF('ŞİKAYET KAYIT'!P66="Kapatıldı","",IF('ŞİKAYET KAYIT'!J66="","",'ŞİKAYET KAYIT'!J66)),"")</f>
        <v/>
      </c>
      <c r="H66" s="3" t="str">
        <f>IFERROR(IF('ŞİKAYET KAYIT'!P66="Kapatıldı","",IF('ŞİKAYET KAYIT'!K66="","",'ŞİKAYET KAYIT'!K66)),"")</f>
        <v/>
      </c>
      <c r="I66" s="3" t="str">
        <f>IFERROR(IF('ŞİKAYET KAYIT'!P66="Kapatıldı","",IF('ŞİKAYET KAYIT'!L66="","",'ŞİKAYET KAYIT'!L66)),"")</f>
        <v/>
      </c>
      <c r="J66" s="3" t="str">
        <f>IFERROR(IF('ŞİKAYET KAYIT'!P66="Kapatıldı","",IF('ŞİKAYET KAYIT'!M66="","",'ŞİKAYET KAYIT'!M66)),"")</f>
        <v/>
      </c>
      <c r="K66" s="3" t="str">
        <f>IFERROR(IF('ŞİKAYET KAYIT'!P66="Kapatıldı","",IF('ŞİKAYET KAYIT'!N66="","",'ŞİKAYET KAYIT'!N66)),"")</f>
        <v/>
      </c>
      <c r="L66" s="3" t="str">
        <f>IFERROR(IF('ŞİKAYET KAYIT'!P66="Kapatıldı","",IF('ŞİKAYET KAYIT'!O66="","",'ŞİKAYET KAYIT'!O66)),"")</f>
        <v/>
      </c>
      <c r="M66" s="3" t="str">
        <f>IFERROR(IF('ŞİKAYET KAYIT'!P66="Kapatıldı","",IF('ŞİKAYET KAYIT'!P66="","",'ŞİKAYET KAYIT'!P66)),"")</f>
        <v/>
      </c>
    </row>
    <row r="67" spans="1:13" ht="15" customHeight="1" x14ac:dyDescent="0.3">
      <c r="A67" s="26" t="str">
        <f>IFERROR(IF('ŞİKAYET KAYIT'!P67="Kapatıldı","",IF('ŞİKAYET KAYIT'!A67="","",'ŞİKAYET KAYIT'!A67)),"")</f>
        <v/>
      </c>
      <c r="B67" s="8" t="str">
        <f>IFERROR(IF('ŞİKAYET KAYIT'!P67="Kapatıldı","",IF('ŞİKAYET KAYIT'!B67="","",'ŞİKAYET KAYIT'!B67)),"")</f>
        <v/>
      </c>
      <c r="C67" s="26" t="str">
        <f>IFERROR(IF('ŞİKAYET KAYIT'!P67="Kapatıldı","",IF('ŞİKAYET KAYIT'!D67="","",'ŞİKAYET KAYIT'!D67)),"")</f>
        <v/>
      </c>
      <c r="D67" s="26" t="str">
        <f>IFERROR(IF('ŞİKAYET KAYIT'!P67="Kapatıldı","",IF('ŞİKAYET KAYIT'!F67="","",'ŞİKAYET KAYIT'!F67)),"")</f>
        <v/>
      </c>
      <c r="E67" s="26" t="str">
        <f>IFERROR(IF('ŞİKAYET KAYIT'!P67="Kapatıldı","",IF('ŞİKAYET KAYIT'!H67="","",'ŞİKAYET KAYIT'!H67)),"")</f>
        <v/>
      </c>
      <c r="F67" s="26" t="str">
        <f>IFERROR(IF('ŞİKAYET KAYIT'!P67="Kapatıldı","",IF('ŞİKAYET KAYIT'!I67="","",'ŞİKAYET KAYIT'!I67)),"")</f>
        <v/>
      </c>
      <c r="G67" s="26" t="str">
        <f>IFERROR(IF('ŞİKAYET KAYIT'!P67="Kapatıldı","",IF('ŞİKAYET KAYIT'!J67="","",'ŞİKAYET KAYIT'!J67)),"")</f>
        <v/>
      </c>
      <c r="H67" s="26" t="str">
        <f>IFERROR(IF('ŞİKAYET KAYIT'!P67="Kapatıldı","",IF('ŞİKAYET KAYIT'!K67="","",'ŞİKAYET KAYIT'!K67)),"")</f>
        <v/>
      </c>
      <c r="I67" s="26" t="str">
        <f>IFERROR(IF('ŞİKAYET KAYIT'!P67="Kapatıldı","",IF('ŞİKAYET KAYIT'!L67="","",'ŞİKAYET KAYIT'!L67)),"")</f>
        <v/>
      </c>
      <c r="J67" s="26" t="str">
        <f>IFERROR(IF('ŞİKAYET KAYIT'!P67="Kapatıldı","",IF('ŞİKAYET KAYIT'!M67="","",'ŞİKAYET KAYIT'!M67)),"")</f>
        <v/>
      </c>
      <c r="K67" s="26" t="str">
        <f>IFERROR(IF('ŞİKAYET KAYIT'!P67="Kapatıldı","",IF('ŞİKAYET KAYIT'!N67="","",'ŞİKAYET KAYIT'!N67)),"")</f>
        <v/>
      </c>
      <c r="L67" s="26" t="str">
        <f>IFERROR(IF('ŞİKAYET KAYIT'!P67="Kapatıldı","",IF('ŞİKAYET KAYIT'!O67="","",'ŞİKAYET KAYIT'!O67)),"")</f>
        <v/>
      </c>
      <c r="M67" s="26" t="str">
        <f>IFERROR(IF('ŞİKAYET KAYIT'!P67="Kapatıldı","",IF('ŞİKAYET KAYIT'!P67="","",'ŞİKAYET KAYIT'!P67)),"")</f>
        <v/>
      </c>
    </row>
    <row r="68" spans="1:13" ht="15" customHeight="1" x14ac:dyDescent="0.3">
      <c r="A68" s="3" t="str">
        <f>IFERROR(IF('ŞİKAYET KAYIT'!P68="Kapatıldı","",IF('ŞİKAYET KAYIT'!A68="","",'ŞİKAYET KAYIT'!A68)),"")</f>
        <v/>
      </c>
      <c r="B68" s="5" t="str">
        <f>IFERROR(IF('ŞİKAYET KAYIT'!P68="Kapatıldı","",IF('ŞİKAYET KAYIT'!B68="","",'ŞİKAYET KAYIT'!B68)),"")</f>
        <v/>
      </c>
      <c r="C68" s="3" t="str">
        <f>IFERROR(IF('ŞİKAYET KAYIT'!P68="Kapatıldı","",IF('ŞİKAYET KAYIT'!D68="","",'ŞİKAYET KAYIT'!D68)),"")</f>
        <v/>
      </c>
      <c r="D68" s="3" t="str">
        <f>IFERROR(IF('ŞİKAYET KAYIT'!P68="Kapatıldı","",IF('ŞİKAYET KAYIT'!F68="","",'ŞİKAYET KAYIT'!F68)),"")</f>
        <v/>
      </c>
      <c r="E68" s="3" t="str">
        <f>IFERROR(IF('ŞİKAYET KAYIT'!P68="Kapatıldı","",IF('ŞİKAYET KAYIT'!H68="","",'ŞİKAYET KAYIT'!H68)),"")</f>
        <v/>
      </c>
      <c r="F68" s="3" t="str">
        <f>IFERROR(IF('ŞİKAYET KAYIT'!P68="Kapatıldı","",IF('ŞİKAYET KAYIT'!I68="","",'ŞİKAYET KAYIT'!I68)),"")</f>
        <v/>
      </c>
      <c r="G68" s="3" t="str">
        <f>IFERROR(IF('ŞİKAYET KAYIT'!P68="Kapatıldı","",IF('ŞİKAYET KAYIT'!J68="","",'ŞİKAYET KAYIT'!J68)),"")</f>
        <v/>
      </c>
      <c r="H68" s="3" t="str">
        <f>IFERROR(IF('ŞİKAYET KAYIT'!P68="Kapatıldı","",IF('ŞİKAYET KAYIT'!K68="","",'ŞİKAYET KAYIT'!K68)),"")</f>
        <v/>
      </c>
      <c r="I68" s="3" t="str">
        <f>IFERROR(IF('ŞİKAYET KAYIT'!P68="Kapatıldı","",IF('ŞİKAYET KAYIT'!L68="","",'ŞİKAYET KAYIT'!L68)),"")</f>
        <v/>
      </c>
      <c r="J68" s="3" t="str">
        <f>IFERROR(IF('ŞİKAYET KAYIT'!P68="Kapatıldı","",IF('ŞİKAYET KAYIT'!M68="","",'ŞİKAYET KAYIT'!M68)),"")</f>
        <v/>
      </c>
      <c r="K68" s="3" t="str">
        <f>IFERROR(IF('ŞİKAYET KAYIT'!P68="Kapatıldı","",IF('ŞİKAYET KAYIT'!N68="","",'ŞİKAYET KAYIT'!N68)),"")</f>
        <v/>
      </c>
      <c r="L68" s="3" t="str">
        <f>IFERROR(IF('ŞİKAYET KAYIT'!P68="Kapatıldı","",IF('ŞİKAYET KAYIT'!O68="","",'ŞİKAYET KAYIT'!O68)),"")</f>
        <v/>
      </c>
      <c r="M68" s="3" t="str">
        <f>IFERROR(IF('ŞİKAYET KAYIT'!P68="Kapatıldı","",IF('ŞİKAYET KAYIT'!P68="","",'ŞİKAYET KAYIT'!P68)),"")</f>
        <v/>
      </c>
    </row>
    <row r="69" spans="1:13" ht="15" customHeight="1" x14ac:dyDescent="0.3">
      <c r="A69" s="26" t="str">
        <f>IFERROR(IF('ŞİKAYET KAYIT'!P69="Kapatıldı","",IF('ŞİKAYET KAYIT'!A69="","",'ŞİKAYET KAYIT'!A69)),"")</f>
        <v/>
      </c>
      <c r="B69" s="8" t="str">
        <f>IFERROR(IF('ŞİKAYET KAYIT'!P69="Kapatıldı","",IF('ŞİKAYET KAYIT'!B69="","",'ŞİKAYET KAYIT'!B69)),"")</f>
        <v/>
      </c>
      <c r="C69" s="26" t="str">
        <f>IFERROR(IF('ŞİKAYET KAYIT'!P69="Kapatıldı","",IF('ŞİKAYET KAYIT'!D69="","",'ŞİKAYET KAYIT'!D69)),"")</f>
        <v/>
      </c>
      <c r="D69" s="26" t="str">
        <f>IFERROR(IF('ŞİKAYET KAYIT'!P69="Kapatıldı","",IF('ŞİKAYET KAYIT'!F69="","",'ŞİKAYET KAYIT'!F69)),"")</f>
        <v/>
      </c>
      <c r="E69" s="26" t="str">
        <f>IFERROR(IF('ŞİKAYET KAYIT'!P69="Kapatıldı","",IF('ŞİKAYET KAYIT'!H69="","",'ŞİKAYET KAYIT'!H69)),"")</f>
        <v/>
      </c>
      <c r="F69" s="26" t="str">
        <f>IFERROR(IF('ŞİKAYET KAYIT'!P69="Kapatıldı","",IF('ŞİKAYET KAYIT'!I69="","",'ŞİKAYET KAYIT'!I69)),"")</f>
        <v/>
      </c>
      <c r="G69" s="26" t="str">
        <f>IFERROR(IF('ŞİKAYET KAYIT'!P69="Kapatıldı","",IF('ŞİKAYET KAYIT'!J69="","",'ŞİKAYET KAYIT'!J69)),"")</f>
        <v/>
      </c>
      <c r="H69" s="26" t="str">
        <f>IFERROR(IF('ŞİKAYET KAYIT'!P69="Kapatıldı","",IF('ŞİKAYET KAYIT'!K69="","",'ŞİKAYET KAYIT'!K69)),"")</f>
        <v/>
      </c>
      <c r="I69" s="26" t="str">
        <f>IFERROR(IF('ŞİKAYET KAYIT'!P69="Kapatıldı","",IF('ŞİKAYET KAYIT'!L69="","",'ŞİKAYET KAYIT'!L69)),"")</f>
        <v/>
      </c>
      <c r="J69" s="26" t="str">
        <f>IFERROR(IF('ŞİKAYET KAYIT'!P69="Kapatıldı","",IF('ŞİKAYET KAYIT'!M69="","",'ŞİKAYET KAYIT'!M69)),"")</f>
        <v/>
      </c>
      <c r="K69" s="26" t="str">
        <f>IFERROR(IF('ŞİKAYET KAYIT'!P69="Kapatıldı","",IF('ŞİKAYET KAYIT'!N69="","",'ŞİKAYET KAYIT'!N69)),"")</f>
        <v/>
      </c>
      <c r="L69" s="26" t="str">
        <f>IFERROR(IF('ŞİKAYET KAYIT'!P69="Kapatıldı","",IF('ŞİKAYET KAYIT'!O69="","",'ŞİKAYET KAYIT'!O69)),"")</f>
        <v/>
      </c>
      <c r="M69" s="26" t="str">
        <f>IFERROR(IF('ŞİKAYET KAYIT'!P69="Kapatıldı","",IF('ŞİKAYET KAYIT'!P69="","",'ŞİKAYET KAYIT'!P69)),"")</f>
        <v/>
      </c>
    </row>
    <row r="70" spans="1:13" ht="15" customHeight="1" x14ac:dyDescent="0.3">
      <c r="A70" s="3" t="str">
        <f>IFERROR(IF('ŞİKAYET KAYIT'!P70="Kapatıldı","",IF('ŞİKAYET KAYIT'!A70="","",'ŞİKAYET KAYIT'!A70)),"")</f>
        <v/>
      </c>
      <c r="B70" s="5" t="str">
        <f>IFERROR(IF('ŞİKAYET KAYIT'!P70="Kapatıldı","",IF('ŞİKAYET KAYIT'!B70="","",'ŞİKAYET KAYIT'!B70)),"")</f>
        <v/>
      </c>
      <c r="C70" s="3" t="str">
        <f>IFERROR(IF('ŞİKAYET KAYIT'!P70="Kapatıldı","",IF('ŞİKAYET KAYIT'!D70="","",'ŞİKAYET KAYIT'!D70)),"")</f>
        <v/>
      </c>
      <c r="D70" s="3" t="str">
        <f>IFERROR(IF('ŞİKAYET KAYIT'!P70="Kapatıldı","",IF('ŞİKAYET KAYIT'!F70="","",'ŞİKAYET KAYIT'!F70)),"")</f>
        <v/>
      </c>
      <c r="E70" s="3" t="str">
        <f>IFERROR(IF('ŞİKAYET KAYIT'!P70="Kapatıldı","",IF('ŞİKAYET KAYIT'!H70="","",'ŞİKAYET KAYIT'!H70)),"")</f>
        <v/>
      </c>
      <c r="F70" s="3" t="str">
        <f>IFERROR(IF('ŞİKAYET KAYIT'!P70="Kapatıldı","",IF('ŞİKAYET KAYIT'!I70="","",'ŞİKAYET KAYIT'!I70)),"")</f>
        <v/>
      </c>
      <c r="G70" s="3" t="str">
        <f>IFERROR(IF('ŞİKAYET KAYIT'!P70="Kapatıldı","",IF('ŞİKAYET KAYIT'!J70="","",'ŞİKAYET KAYIT'!J70)),"")</f>
        <v/>
      </c>
      <c r="H70" s="3" t="str">
        <f>IFERROR(IF('ŞİKAYET KAYIT'!P70="Kapatıldı","",IF('ŞİKAYET KAYIT'!K70="","",'ŞİKAYET KAYIT'!K70)),"")</f>
        <v/>
      </c>
      <c r="I70" s="3" t="str">
        <f>IFERROR(IF('ŞİKAYET KAYIT'!P70="Kapatıldı","",IF('ŞİKAYET KAYIT'!L70="","",'ŞİKAYET KAYIT'!L70)),"")</f>
        <v/>
      </c>
      <c r="J70" s="3" t="str">
        <f>IFERROR(IF('ŞİKAYET KAYIT'!P70="Kapatıldı","",IF('ŞİKAYET KAYIT'!M70="","",'ŞİKAYET KAYIT'!M70)),"")</f>
        <v/>
      </c>
      <c r="K70" s="3" t="str">
        <f>IFERROR(IF('ŞİKAYET KAYIT'!P70="Kapatıldı","",IF('ŞİKAYET KAYIT'!N70="","",'ŞİKAYET KAYIT'!N70)),"")</f>
        <v/>
      </c>
      <c r="L70" s="3" t="str">
        <f>IFERROR(IF('ŞİKAYET KAYIT'!P70="Kapatıldı","",IF('ŞİKAYET KAYIT'!O70="","",'ŞİKAYET KAYIT'!O70)),"")</f>
        <v/>
      </c>
      <c r="M70" s="3" t="str">
        <f>IFERROR(IF('ŞİKAYET KAYIT'!P70="Kapatıldı","",IF('ŞİKAYET KAYIT'!P70="","",'ŞİKAYET KAYIT'!P70)),"")</f>
        <v/>
      </c>
    </row>
    <row r="71" spans="1:13" ht="15" customHeight="1" x14ac:dyDescent="0.3">
      <c r="A71" s="26" t="str">
        <f>IFERROR(IF('ŞİKAYET KAYIT'!P71="Kapatıldı","",IF('ŞİKAYET KAYIT'!A71="","",'ŞİKAYET KAYIT'!A71)),"")</f>
        <v/>
      </c>
      <c r="B71" s="8" t="str">
        <f>IFERROR(IF('ŞİKAYET KAYIT'!P71="Kapatıldı","",IF('ŞİKAYET KAYIT'!B71="","",'ŞİKAYET KAYIT'!B71)),"")</f>
        <v/>
      </c>
      <c r="C71" s="26" t="str">
        <f>IFERROR(IF('ŞİKAYET KAYIT'!P71="Kapatıldı","",IF('ŞİKAYET KAYIT'!D71="","",'ŞİKAYET KAYIT'!D71)),"")</f>
        <v/>
      </c>
      <c r="D71" s="26" t="str">
        <f>IFERROR(IF('ŞİKAYET KAYIT'!P71="Kapatıldı","",IF('ŞİKAYET KAYIT'!F71="","",'ŞİKAYET KAYIT'!F71)),"")</f>
        <v/>
      </c>
      <c r="E71" s="26" t="str">
        <f>IFERROR(IF('ŞİKAYET KAYIT'!P71="Kapatıldı","",IF('ŞİKAYET KAYIT'!H71="","",'ŞİKAYET KAYIT'!H71)),"")</f>
        <v/>
      </c>
      <c r="F71" s="26" t="str">
        <f>IFERROR(IF('ŞİKAYET KAYIT'!P71="Kapatıldı","",IF('ŞİKAYET KAYIT'!I71="","",'ŞİKAYET KAYIT'!I71)),"")</f>
        <v/>
      </c>
      <c r="G71" s="26" t="str">
        <f>IFERROR(IF('ŞİKAYET KAYIT'!P71="Kapatıldı","",IF('ŞİKAYET KAYIT'!J71="","",'ŞİKAYET KAYIT'!J71)),"")</f>
        <v/>
      </c>
      <c r="H71" s="26" t="str">
        <f>IFERROR(IF('ŞİKAYET KAYIT'!P71="Kapatıldı","",IF('ŞİKAYET KAYIT'!K71="","",'ŞİKAYET KAYIT'!K71)),"")</f>
        <v/>
      </c>
      <c r="I71" s="26" t="str">
        <f>IFERROR(IF('ŞİKAYET KAYIT'!P71="Kapatıldı","",IF('ŞİKAYET KAYIT'!L71="","",'ŞİKAYET KAYIT'!L71)),"")</f>
        <v/>
      </c>
      <c r="J71" s="26" t="str">
        <f>IFERROR(IF('ŞİKAYET KAYIT'!P71="Kapatıldı","",IF('ŞİKAYET KAYIT'!M71="","",'ŞİKAYET KAYIT'!M71)),"")</f>
        <v/>
      </c>
      <c r="K71" s="26" t="str">
        <f>IFERROR(IF('ŞİKAYET KAYIT'!P71="Kapatıldı","",IF('ŞİKAYET KAYIT'!N71="","",'ŞİKAYET KAYIT'!N71)),"")</f>
        <v/>
      </c>
      <c r="L71" s="26" t="str">
        <f>IFERROR(IF('ŞİKAYET KAYIT'!P71="Kapatıldı","",IF('ŞİKAYET KAYIT'!O71="","",'ŞİKAYET KAYIT'!O71)),"")</f>
        <v/>
      </c>
      <c r="M71" s="26" t="str">
        <f>IFERROR(IF('ŞİKAYET KAYIT'!P71="Kapatıldı","",IF('ŞİKAYET KAYIT'!P71="","",'ŞİKAYET KAYIT'!P71)),"")</f>
        <v/>
      </c>
    </row>
    <row r="72" spans="1:13" ht="15" customHeight="1" x14ac:dyDescent="0.3">
      <c r="A72" s="3" t="str">
        <f>IFERROR(IF('ŞİKAYET KAYIT'!P72="Kapatıldı","",IF('ŞİKAYET KAYIT'!A72="","",'ŞİKAYET KAYIT'!A72)),"")</f>
        <v/>
      </c>
      <c r="B72" s="5" t="str">
        <f>IFERROR(IF('ŞİKAYET KAYIT'!P72="Kapatıldı","",IF('ŞİKAYET KAYIT'!B72="","",'ŞİKAYET KAYIT'!B72)),"")</f>
        <v/>
      </c>
      <c r="C72" s="3" t="str">
        <f>IFERROR(IF('ŞİKAYET KAYIT'!P72="Kapatıldı","",IF('ŞİKAYET KAYIT'!D72="","",'ŞİKAYET KAYIT'!D72)),"")</f>
        <v/>
      </c>
      <c r="D72" s="3" t="str">
        <f>IFERROR(IF('ŞİKAYET KAYIT'!P72="Kapatıldı","",IF('ŞİKAYET KAYIT'!F72="","",'ŞİKAYET KAYIT'!F72)),"")</f>
        <v/>
      </c>
      <c r="E72" s="3" t="str">
        <f>IFERROR(IF('ŞİKAYET KAYIT'!P72="Kapatıldı","",IF('ŞİKAYET KAYIT'!H72="","",'ŞİKAYET KAYIT'!H72)),"")</f>
        <v/>
      </c>
      <c r="F72" s="3" t="str">
        <f>IFERROR(IF('ŞİKAYET KAYIT'!P72="Kapatıldı","",IF('ŞİKAYET KAYIT'!I72="","",'ŞİKAYET KAYIT'!I72)),"")</f>
        <v/>
      </c>
      <c r="G72" s="3" t="str">
        <f>IFERROR(IF('ŞİKAYET KAYIT'!P72="Kapatıldı","",IF('ŞİKAYET KAYIT'!J72="","",'ŞİKAYET KAYIT'!J72)),"")</f>
        <v/>
      </c>
      <c r="H72" s="3" t="str">
        <f>IFERROR(IF('ŞİKAYET KAYIT'!P72="Kapatıldı","",IF('ŞİKAYET KAYIT'!K72="","",'ŞİKAYET KAYIT'!K72)),"")</f>
        <v/>
      </c>
      <c r="I72" s="3" t="str">
        <f>IFERROR(IF('ŞİKAYET KAYIT'!P72="Kapatıldı","",IF('ŞİKAYET KAYIT'!L72="","",'ŞİKAYET KAYIT'!L72)),"")</f>
        <v/>
      </c>
      <c r="J72" s="3" t="str">
        <f>IFERROR(IF('ŞİKAYET KAYIT'!P72="Kapatıldı","",IF('ŞİKAYET KAYIT'!M72="","",'ŞİKAYET KAYIT'!M72)),"")</f>
        <v/>
      </c>
      <c r="K72" s="3" t="str">
        <f>IFERROR(IF('ŞİKAYET KAYIT'!P72="Kapatıldı","",IF('ŞİKAYET KAYIT'!N72="","",'ŞİKAYET KAYIT'!N72)),"")</f>
        <v/>
      </c>
      <c r="L72" s="3" t="str">
        <f>IFERROR(IF('ŞİKAYET KAYIT'!P72="Kapatıldı","",IF('ŞİKAYET KAYIT'!O72="","",'ŞİKAYET KAYIT'!O72)),"")</f>
        <v/>
      </c>
      <c r="M72" s="3" t="str">
        <f>IFERROR(IF('ŞİKAYET KAYIT'!P72="Kapatıldı","",IF('ŞİKAYET KAYIT'!P72="","",'ŞİKAYET KAYIT'!P72)),"")</f>
        <v/>
      </c>
    </row>
    <row r="73" spans="1:13" ht="15" customHeight="1" x14ac:dyDescent="0.3">
      <c r="A73" s="26" t="str">
        <f>IFERROR(IF('ŞİKAYET KAYIT'!P73="Kapatıldı","",IF('ŞİKAYET KAYIT'!A73="","",'ŞİKAYET KAYIT'!A73)),"")</f>
        <v/>
      </c>
      <c r="B73" s="8" t="str">
        <f>IFERROR(IF('ŞİKAYET KAYIT'!P73="Kapatıldı","",IF('ŞİKAYET KAYIT'!B73="","",'ŞİKAYET KAYIT'!B73)),"")</f>
        <v/>
      </c>
      <c r="C73" s="26" t="str">
        <f>IFERROR(IF('ŞİKAYET KAYIT'!P73="Kapatıldı","",IF('ŞİKAYET KAYIT'!D73="","",'ŞİKAYET KAYIT'!D73)),"")</f>
        <v/>
      </c>
      <c r="D73" s="26" t="str">
        <f>IFERROR(IF('ŞİKAYET KAYIT'!P73="Kapatıldı","",IF('ŞİKAYET KAYIT'!F73="","",'ŞİKAYET KAYIT'!F73)),"")</f>
        <v/>
      </c>
      <c r="E73" s="26" t="str">
        <f>IFERROR(IF('ŞİKAYET KAYIT'!P73="Kapatıldı","",IF('ŞİKAYET KAYIT'!H73="","",'ŞİKAYET KAYIT'!H73)),"")</f>
        <v/>
      </c>
      <c r="F73" s="26" t="str">
        <f>IFERROR(IF('ŞİKAYET KAYIT'!P73="Kapatıldı","",IF('ŞİKAYET KAYIT'!I73="","",'ŞİKAYET KAYIT'!I73)),"")</f>
        <v/>
      </c>
      <c r="G73" s="26" t="str">
        <f>IFERROR(IF('ŞİKAYET KAYIT'!P73="Kapatıldı","",IF('ŞİKAYET KAYIT'!J73="","",'ŞİKAYET KAYIT'!J73)),"")</f>
        <v/>
      </c>
      <c r="H73" s="26" t="str">
        <f>IFERROR(IF('ŞİKAYET KAYIT'!P73="Kapatıldı","",IF('ŞİKAYET KAYIT'!K73="","",'ŞİKAYET KAYIT'!K73)),"")</f>
        <v/>
      </c>
      <c r="I73" s="26" t="str">
        <f>IFERROR(IF('ŞİKAYET KAYIT'!P73="Kapatıldı","",IF('ŞİKAYET KAYIT'!L73="","",'ŞİKAYET KAYIT'!L73)),"")</f>
        <v/>
      </c>
      <c r="J73" s="26" t="str">
        <f>IFERROR(IF('ŞİKAYET KAYIT'!P73="Kapatıldı","",IF('ŞİKAYET KAYIT'!M73="","",'ŞİKAYET KAYIT'!M73)),"")</f>
        <v/>
      </c>
      <c r="K73" s="26" t="str">
        <f>IFERROR(IF('ŞİKAYET KAYIT'!P73="Kapatıldı","",IF('ŞİKAYET KAYIT'!N73="","",'ŞİKAYET KAYIT'!N73)),"")</f>
        <v/>
      </c>
      <c r="L73" s="26" t="str">
        <f>IFERROR(IF('ŞİKAYET KAYIT'!P73="Kapatıldı","",IF('ŞİKAYET KAYIT'!O73="","",'ŞİKAYET KAYIT'!O73)),"")</f>
        <v/>
      </c>
      <c r="M73" s="26" t="str">
        <f>IFERROR(IF('ŞİKAYET KAYIT'!P73="Kapatıldı","",IF('ŞİKAYET KAYIT'!P73="","",'ŞİKAYET KAYIT'!P73)),"")</f>
        <v/>
      </c>
    </row>
    <row r="74" spans="1:13" ht="15" customHeight="1" x14ac:dyDescent="0.3">
      <c r="A74" s="3" t="str">
        <f>IFERROR(IF('ŞİKAYET KAYIT'!P74="Kapatıldı","",IF('ŞİKAYET KAYIT'!A74="","",'ŞİKAYET KAYIT'!A74)),"")</f>
        <v/>
      </c>
      <c r="B74" s="5" t="str">
        <f>IFERROR(IF('ŞİKAYET KAYIT'!P74="Kapatıldı","",IF('ŞİKAYET KAYIT'!B74="","",'ŞİKAYET KAYIT'!B74)),"")</f>
        <v/>
      </c>
      <c r="C74" s="3" t="str">
        <f>IFERROR(IF('ŞİKAYET KAYIT'!P74="Kapatıldı","",IF('ŞİKAYET KAYIT'!D74="","",'ŞİKAYET KAYIT'!D74)),"")</f>
        <v/>
      </c>
      <c r="D74" s="3" t="str">
        <f>IFERROR(IF('ŞİKAYET KAYIT'!P74="Kapatıldı","",IF('ŞİKAYET KAYIT'!F74="","",'ŞİKAYET KAYIT'!F74)),"")</f>
        <v/>
      </c>
      <c r="E74" s="3" t="str">
        <f>IFERROR(IF('ŞİKAYET KAYIT'!P74="Kapatıldı","",IF('ŞİKAYET KAYIT'!H74="","",'ŞİKAYET KAYIT'!H74)),"")</f>
        <v/>
      </c>
      <c r="F74" s="3" t="str">
        <f>IFERROR(IF('ŞİKAYET KAYIT'!P74="Kapatıldı","",IF('ŞİKAYET KAYIT'!I74="","",'ŞİKAYET KAYIT'!I74)),"")</f>
        <v/>
      </c>
      <c r="G74" s="3" t="str">
        <f>IFERROR(IF('ŞİKAYET KAYIT'!P74="Kapatıldı","",IF('ŞİKAYET KAYIT'!J74="","",'ŞİKAYET KAYIT'!J74)),"")</f>
        <v/>
      </c>
      <c r="H74" s="3" t="str">
        <f>IFERROR(IF('ŞİKAYET KAYIT'!P74="Kapatıldı","",IF('ŞİKAYET KAYIT'!K74="","",'ŞİKAYET KAYIT'!K74)),"")</f>
        <v/>
      </c>
      <c r="I74" s="3" t="str">
        <f>IFERROR(IF('ŞİKAYET KAYIT'!P74="Kapatıldı","",IF('ŞİKAYET KAYIT'!L74="","",'ŞİKAYET KAYIT'!L74)),"")</f>
        <v/>
      </c>
      <c r="J74" s="3" t="str">
        <f>IFERROR(IF('ŞİKAYET KAYIT'!P74="Kapatıldı","",IF('ŞİKAYET KAYIT'!M74="","",'ŞİKAYET KAYIT'!M74)),"")</f>
        <v/>
      </c>
      <c r="K74" s="3" t="str">
        <f>IFERROR(IF('ŞİKAYET KAYIT'!P74="Kapatıldı","",IF('ŞİKAYET KAYIT'!N74="","",'ŞİKAYET KAYIT'!N74)),"")</f>
        <v/>
      </c>
      <c r="L74" s="3" t="str">
        <f>IFERROR(IF('ŞİKAYET KAYIT'!P74="Kapatıldı","",IF('ŞİKAYET KAYIT'!O74="","",'ŞİKAYET KAYIT'!O74)),"")</f>
        <v/>
      </c>
      <c r="M74" s="3" t="str">
        <f>IFERROR(IF('ŞİKAYET KAYIT'!P74="Kapatıldı","",IF('ŞİKAYET KAYIT'!P74="","",'ŞİKAYET KAYIT'!P74)),"")</f>
        <v/>
      </c>
    </row>
    <row r="75" spans="1:13" ht="15" customHeight="1" x14ac:dyDescent="0.3">
      <c r="A75" s="26" t="str">
        <f>IFERROR(IF('ŞİKAYET KAYIT'!P75="Kapatıldı","",IF('ŞİKAYET KAYIT'!A75="","",'ŞİKAYET KAYIT'!A75)),"")</f>
        <v/>
      </c>
      <c r="B75" s="8" t="str">
        <f>IFERROR(IF('ŞİKAYET KAYIT'!P75="Kapatıldı","",IF('ŞİKAYET KAYIT'!B75="","",'ŞİKAYET KAYIT'!B75)),"")</f>
        <v/>
      </c>
      <c r="C75" s="26" t="str">
        <f>IFERROR(IF('ŞİKAYET KAYIT'!P75="Kapatıldı","",IF('ŞİKAYET KAYIT'!D75="","",'ŞİKAYET KAYIT'!D75)),"")</f>
        <v/>
      </c>
      <c r="D75" s="26" t="str">
        <f>IFERROR(IF('ŞİKAYET KAYIT'!P75="Kapatıldı","",IF('ŞİKAYET KAYIT'!F75="","",'ŞİKAYET KAYIT'!F75)),"")</f>
        <v/>
      </c>
      <c r="E75" s="26" t="str">
        <f>IFERROR(IF('ŞİKAYET KAYIT'!P75="Kapatıldı","",IF('ŞİKAYET KAYIT'!H75="","",'ŞİKAYET KAYIT'!H75)),"")</f>
        <v/>
      </c>
      <c r="F75" s="26" t="str">
        <f>IFERROR(IF('ŞİKAYET KAYIT'!P75="Kapatıldı","",IF('ŞİKAYET KAYIT'!I75="","",'ŞİKAYET KAYIT'!I75)),"")</f>
        <v/>
      </c>
      <c r="G75" s="26" t="str">
        <f>IFERROR(IF('ŞİKAYET KAYIT'!P75="Kapatıldı","",IF('ŞİKAYET KAYIT'!J75="","",'ŞİKAYET KAYIT'!J75)),"")</f>
        <v/>
      </c>
      <c r="H75" s="26" t="str">
        <f>IFERROR(IF('ŞİKAYET KAYIT'!P75="Kapatıldı","",IF('ŞİKAYET KAYIT'!K75="","",'ŞİKAYET KAYIT'!K75)),"")</f>
        <v/>
      </c>
      <c r="I75" s="26" t="str">
        <f>IFERROR(IF('ŞİKAYET KAYIT'!P75="Kapatıldı","",IF('ŞİKAYET KAYIT'!L75="","",'ŞİKAYET KAYIT'!L75)),"")</f>
        <v/>
      </c>
      <c r="J75" s="26" t="str">
        <f>IFERROR(IF('ŞİKAYET KAYIT'!P75="Kapatıldı","",IF('ŞİKAYET KAYIT'!M75="","",'ŞİKAYET KAYIT'!M75)),"")</f>
        <v/>
      </c>
      <c r="K75" s="26" t="str">
        <f>IFERROR(IF('ŞİKAYET KAYIT'!P75="Kapatıldı","",IF('ŞİKAYET KAYIT'!N75="","",'ŞİKAYET KAYIT'!N75)),"")</f>
        <v/>
      </c>
      <c r="L75" s="26" t="str">
        <f>IFERROR(IF('ŞİKAYET KAYIT'!P75="Kapatıldı","",IF('ŞİKAYET KAYIT'!O75="","",'ŞİKAYET KAYIT'!O75)),"")</f>
        <v/>
      </c>
      <c r="M75" s="26" t="str">
        <f>IFERROR(IF('ŞİKAYET KAYIT'!P75="Kapatıldı","",IF('ŞİKAYET KAYIT'!P75="","",'ŞİKAYET KAYIT'!P75)),"")</f>
        <v/>
      </c>
    </row>
    <row r="76" spans="1:13" ht="15" customHeight="1" x14ac:dyDescent="0.3">
      <c r="A76" s="3" t="str">
        <f>IFERROR(IF('ŞİKAYET KAYIT'!P76="Kapatıldı","",IF('ŞİKAYET KAYIT'!A76="","",'ŞİKAYET KAYIT'!A76)),"")</f>
        <v/>
      </c>
      <c r="B76" s="5" t="str">
        <f>IFERROR(IF('ŞİKAYET KAYIT'!P76="Kapatıldı","",IF('ŞİKAYET KAYIT'!B76="","",'ŞİKAYET KAYIT'!B76)),"")</f>
        <v/>
      </c>
      <c r="C76" s="3" t="str">
        <f>IFERROR(IF('ŞİKAYET KAYIT'!P76="Kapatıldı","",IF('ŞİKAYET KAYIT'!D76="","",'ŞİKAYET KAYIT'!D76)),"")</f>
        <v/>
      </c>
      <c r="D76" s="3" t="str">
        <f>IFERROR(IF('ŞİKAYET KAYIT'!P76="Kapatıldı","",IF('ŞİKAYET KAYIT'!F76="","",'ŞİKAYET KAYIT'!F76)),"")</f>
        <v/>
      </c>
      <c r="E76" s="3" t="str">
        <f>IFERROR(IF('ŞİKAYET KAYIT'!P76="Kapatıldı","",IF('ŞİKAYET KAYIT'!H76="","",'ŞİKAYET KAYIT'!H76)),"")</f>
        <v/>
      </c>
      <c r="F76" s="3" t="str">
        <f>IFERROR(IF('ŞİKAYET KAYIT'!P76="Kapatıldı","",IF('ŞİKAYET KAYIT'!I76="","",'ŞİKAYET KAYIT'!I76)),"")</f>
        <v/>
      </c>
      <c r="G76" s="3" t="str">
        <f>IFERROR(IF('ŞİKAYET KAYIT'!P76="Kapatıldı","",IF('ŞİKAYET KAYIT'!J76="","",'ŞİKAYET KAYIT'!J76)),"")</f>
        <v/>
      </c>
      <c r="H76" s="3" t="str">
        <f>IFERROR(IF('ŞİKAYET KAYIT'!P76="Kapatıldı","",IF('ŞİKAYET KAYIT'!K76="","",'ŞİKAYET KAYIT'!K76)),"")</f>
        <v/>
      </c>
      <c r="I76" s="3" t="str">
        <f>IFERROR(IF('ŞİKAYET KAYIT'!P76="Kapatıldı","",IF('ŞİKAYET KAYIT'!L76="","",'ŞİKAYET KAYIT'!L76)),"")</f>
        <v/>
      </c>
      <c r="J76" s="3" t="str">
        <f>IFERROR(IF('ŞİKAYET KAYIT'!P76="Kapatıldı","",IF('ŞİKAYET KAYIT'!M76="","",'ŞİKAYET KAYIT'!M76)),"")</f>
        <v/>
      </c>
      <c r="K76" s="3" t="str">
        <f>IFERROR(IF('ŞİKAYET KAYIT'!P76="Kapatıldı","",IF('ŞİKAYET KAYIT'!N76="","",'ŞİKAYET KAYIT'!N76)),"")</f>
        <v/>
      </c>
      <c r="L76" s="3" t="str">
        <f>IFERROR(IF('ŞİKAYET KAYIT'!P76="Kapatıldı","",IF('ŞİKAYET KAYIT'!O76="","",'ŞİKAYET KAYIT'!O76)),"")</f>
        <v/>
      </c>
      <c r="M76" s="3" t="str">
        <f>IFERROR(IF('ŞİKAYET KAYIT'!P76="Kapatıldı","",IF('ŞİKAYET KAYIT'!P76="","",'ŞİKAYET KAYIT'!P76)),"")</f>
        <v/>
      </c>
    </row>
    <row r="77" spans="1:13" ht="15" customHeight="1" x14ac:dyDescent="0.3">
      <c r="A77" s="26" t="str">
        <f>IFERROR(IF('ŞİKAYET KAYIT'!P77="Kapatıldı","",IF('ŞİKAYET KAYIT'!A77="","",'ŞİKAYET KAYIT'!A77)),"")</f>
        <v/>
      </c>
      <c r="B77" s="8" t="str">
        <f>IFERROR(IF('ŞİKAYET KAYIT'!P77="Kapatıldı","",IF('ŞİKAYET KAYIT'!B77="","",'ŞİKAYET KAYIT'!B77)),"")</f>
        <v/>
      </c>
      <c r="C77" s="26" t="str">
        <f>IFERROR(IF('ŞİKAYET KAYIT'!P77="Kapatıldı","",IF('ŞİKAYET KAYIT'!D77="","",'ŞİKAYET KAYIT'!D77)),"")</f>
        <v/>
      </c>
      <c r="D77" s="26" t="str">
        <f>IFERROR(IF('ŞİKAYET KAYIT'!P77="Kapatıldı","",IF('ŞİKAYET KAYIT'!F77="","",'ŞİKAYET KAYIT'!F77)),"")</f>
        <v/>
      </c>
      <c r="E77" s="26" t="str">
        <f>IFERROR(IF('ŞİKAYET KAYIT'!P77="Kapatıldı","",IF('ŞİKAYET KAYIT'!H77="","",'ŞİKAYET KAYIT'!H77)),"")</f>
        <v/>
      </c>
      <c r="F77" s="26" t="str">
        <f>IFERROR(IF('ŞİKAYET KAYIT'!P77="Kapatıldı","",IF('ŞİKAYET KAYIT'!I77="","",'ŞİKAYET KAYIT'!I77)),"")</f>
        <v/>
      </c>
      <c r="G77" s="26" t="str">
        <f>IFERROR(IF('ŞİKAYET KAYIT'!P77="Kapatıldı","",IF('ŞİKAYET KAYIT'!J77="","",'ŞİKAYET KAYIT'!J77)),"")</f>
        <v/>
      </c>
      <c r="H77" s="26" t="str">
        <f>IFERROR(IF('ŞİKAYET KAYIT'!P77="Kapatıldı","",IF('ŞİKAYET KAYIT'!K77="","",'ŞİKAYET KAYIT'!K77)),"")</f>
        <v/>
      </c>
      <c r="I77" s="26" t="str">
        <f>IFERROR(IF('ŞİKAYET KAYIT'!P77="Kapatıldı","",IF('ŞİKAYET KAYIT'!L77="","",'ŞİKAYET KAYIT'!L77)),"")</f>
        <v/>
      </c>
      <c r="J77" s="26" t="str">
        <f>IFERROR(IF('ŞİKAYET KAYIT'!P77="Kapatıldı","",IF('ŞİKAYET KAYIT'!M77="","",'ŞİKAYET KAYIT'!M77)),"")</f>
        <v/>
      </c>
      <c r="K77" s="26" t="str">
        <f>IFERROR(IF('ŞİKAYET KAYIT'!P77="Kapatıldı","",IF('ŞİKAYET KAYIT'!N77="","",'ŞİKAYET KAYIT'!N77)),"")</f>
        <v/>
      </c>
      <c r="L77" s="26" t="str">
        <f>IFERROR(IF('ŞİKAYET KAYIT'!P77="Kapatıldı","",IF('ŞİKAYET KAYIT'!O77="","",'ŞİKAYET KAYIT'!O77)),"")</f>
        <v/>
      </c>
      <c r="M77" s="26" t="str">
        <f>IFERROR(IF('ŞİKAYET KAYIT'!P77="Kapatıldı","",IF('ŞİKAYET KAYIT'!P77="","",'ŞİKAYET KAYIT'!P77)),"")</f>
        <v/>
      </c>
    </row>
    <row r="78" spans="1:13" ht="15" customHeight="1" x14ac:dyDescent="0.3">
      <c r="A78" s="3" t="str">
        <f>IFERROR(IF('ŞİKAYET KAYIT'!P78="Kapatıldı","",IF('ŞİKAYET KAYIT'!A78="","",'ŞİKAYET KAYIT'!A78)),"")</f>
        <v/>
      </c>
      <c r="B78" s="5" t="str">
        <f>IFERROR(IF('ŞİKAYET KAYIT'!P78="Kapatıldı","",IF('ŞİKAYET KAYIT'!B78="","",'ŞİKAYET KAYIT'!B78)),"")</f>
        <v/>
      </c>
      <c r="C78" s="3" t="str">
        <f>IFERROR(IF('ŞİKAYET KAYIT'!P78="Kapatıldı","",IF('ŞİKAYET KAYIT'!D78="","",'ŞİKAYET KAYIT'!D78)),"")</f>
        <v/>
      </c>
      <c r="D78" s="3" t="str">
        <f>IFERROR(IF('ŞİKAYET KAYIT'!P78="Kapatıldı","",IF('ŞİKAYET KAYIT'!F78="","",'ŞİKAYET KAYIT'!F78)),"")</f>
        <v/>
      </c>
      <c r="E78" s="3" t="str">
        <f>IFERROR(IF('ŞİKAYET KAYIT'!P78="Kapatıldı","",IF('ŞİKAYET KAYIT'!H78="","",'ŞİKAYET KAYIT'!H78)),"")</f>
        <v/>
      </c>
      <c r="F78" s="3" t="str">
        <f>IFERROR(IF('ŞİKAYET KAYIT'!P78="Kapatıldı","",IF('ŞİKAYET KAYIT'!I78="","",'ŞİKAYET KAYIT'!I78)),"")</f>
        <v/>
      </c>
      <c r="G78" s="3" t="str">
        <f>IFERROR(IF('ŞİKAYET KAYIT'!P78="Kapatıldı","",IF('ŞİKAYET KAYIT'!J78="","",'ŞİKAYET KAYIT'!J78)),"")</f>
        <v/>
      </c>
      <c r="H78" s="3" t="str">
        <f>IFERROR(IF('ŞİKAYET KAYIT'!P78="Kapatıldı","",IF('ŞİKAYET KAYIT'!K78="","",'ŞİKAYET KAYIT'!K78)),"")</f>
        <v/>
      </c>
      <c r="I78" s="3" t="str">
        <f>IFERROR(IF('ŞİKAYET KAYIT'!P78="Kapatıldı","",IF('ŞİKAYET KAYIT'!L78="","",'ŞİKAYET KAYIT'!L78)),"")</f>
        <v/>
      </c>
      <c r="J78" s="3" t="str">
        <f>IFERROR(IF('ŞİKAYET KAYIT'!P78="Kapatıldı","",IF('ŞİKAYET KAYIT'!M78="","",'ŞİKAYET KAYIT'!M78)),"")</f>
        <v/>
      </c>
      <c r="K78" s="3" t="str">
        <f>IFERROR(IF('ŞİKAYET KAYIT'!P78="Kapatıldı","",IF('ŞİKAYET KAYIT'!N78="","",'ŞİKAYET KAYIT'!N78)),"")</f>
        <v/>
      </c>
      <c r="L78" s="3" t="str">
        <f>IFERROR(IF('ŞİKAYET KAYIT'!P78="Kapatıldı","",IF('ŞİKAYET KAYIT'!O78="","",'ŞİKAYET KAYIT'!O78)),"")</f>
        <v/>
      </c>
      <c r="M78" s="3" t="str">
        <f>IFERROR(IF('ŞİKAYET KAYIT'!P78="Kapatıldı","",IF('ŞİKAYET KAYIT'!P78="","",'ŞİKAYET KAYIT'!P78)),"")</f>
        <v/>
      </c>
    </row>
    <row r="79" spans="1:13" ht="15" customHeight="1" x14ac:dyDescent="0.3">
      <c r="A79" s="26" t="str">
        <f>IFERROR(IF('ŞİKAYET KAYIT'!P79="Kapatıldı","",IF('ŞİKAYET KAYIT'!A79="","",'ŞİKAYET KAYIT'!A79)),"")</f>
        <v/>
      </c>
      <c r="B79" s="8" t="str">
        <f>IFERROR(IF('ŞİKAYET KAYIT'!P79="Kapatıldı","",IF('ŞİKAYET KAYIT'!B79="","",'ŞİKAYET KAYIT'!B79)),"")</f>
        <v/>
      </c>
      <c r="C79" s="26" t="str">
        <f>IFERROR(IF('ŞİKAYET KAYIT'!P79="Kapatıldı","",IF('ŞİKAYET KAYIT'!D79="","",'ŞİKAYET KAYIT'!D79)),"")</f>
        <v/>
      </c>
      <c r="D79" s="26" t="str">
        <f>IFERROR(IF('ŞİKAYET KAYIT'!P79="Kapatıldı","",IF('ŞİKAYET KAYIT'!F79="","",'ŞİKAYET KAYIT'!F79)),"")</f>
        <v/>
      </c>
      <c r="E79" s="26" t="str">
        <f>IFERROR(IF('ŞİKAYET KAYIT'!P79="Kapatıldı","",IF('ŞİKAYET KAYIT'!H79="","",'ŞİKAYET KAYIT'!H79)),"")</f>
        <v/>
      </c>
      <c r="F79" s="26" t="str">
        <f>IFERROR(IF('ŞİKAYET KAYIT'!P79="Kapatıldı","",IF('ŞİKAYET KAYIT'!I79="","",'ŞİKAYET KAYIT'!I79)),"")</f>
        <v/>
      </c>
      <c r="G79" s="26" t="str">
        <f>IFERROR(IF('ŞİKAYET KAYIT'!P79="Kapatıldı","",IF('ŞİKAYET KAYIT'!J79="","",'ŞİKAYET KAYIT'!J79)),"")</f>
        <v/>
      </c>
      <c r="H79" s="26" t="str">
        <f>IFERROR(IF('ŞİKAYET KAYIT'!P79="Kapatıldı","",IF('ŞİKAYET KAYIT'!K79="","",'ŞİKAYET KAYIT'!K79)),"")</f>
        <v/>
      </c>
      <c r="I79" s="26" t="str">
        <f>IFERROR(IF('ŞİKAYET KAYIT'!P79="Kapatıldı","",IF('ŞİKAYET KAYIT'!L79="","",'ŞİKAYET KAYIT'!L79)),"")</f>
        <v/>
      </c>
      <c r="J79" s="26" t="str">
        <f>IFERROR(IF('ŞİKAYET KAYIT'!P79="Kapatıldı","",IF('ŞİKAYET KAYIT'!M79="","",'ŞİKAYET KAYIT'!M79)),"")</f>
        <v/>
      </c>
      <c r="K79" s="26" t="str">
        <f>IFERROR(IF('ŞİKAYET KAYIT'!P79="Kapatıldı","",IF('ŞİKAYET KAYIT'!N79="","",'ŞİKAYET KAYIT'!N79)),"")</f>
        <v/>
      </c>
      <c r="L79" s="26" t="str">
        <f>IFERROR(IF('ŞİKAYET KAYIT'!P79="Kapatıldı","",IF('ŞİKAYET KAYIT'!O79="","",'ŞİKAYET KAYIT'!O79)),"")</f>
        <v/>
      </c>
      <c r="M79" s="26" t="str">
        <f>IFERROR(IF('ŞİKAYET KAYIT'!P79="Kapatıldı","",IF('ŞİKAYET KAYIT'!P79="","",'ŞİKAYET KAYIT'!P79)),"")</f>
        <v/>
      </c>
    </row>
    <row r="80" spans="1:13" ht="15" customHeight="1" x14ac:dyDescent="0.3">
      <c r="A80" s="3" t="str">
        <f>IFERROR(IF('ŞİKAYET KAYIT'!P80="Kapatıldı","",IF('ŞİKAYET KAYIT'!A80="","",'ŞİKAYET KAYIT'!A80)),"")</f>
        <v/>
      </c>
      <c r="B80" s="5" t="str">
        <f>IFERROR(IF('ŞİKAYET KAYIT'!P80="Kapatıldı","",IF('ŞİKAYET KAYIT'!B80="","",'ŞİKAYET KAYIT'!B80)),"")</f>
        <v/>
      </c>
      <c r="C80" s="3" t="str">
        <f>IFERROR(IF('ŞİKAYET KAYIT'!P80="Kapatıldı","",IF('ŞİKAYET KAYIT'!D80="","",'ŞİKAYET KAYIT'!D80)),"")</f>
        <v/>
      </c>
      <c r="D80" s="3" t="str">
        <f>IFERROR(IF('ŞİKAYET KAYIT'!P80="Kapatıldı","",IF('ŞİKAYET KAYIT'!F80="","",'ŞİKAYET KAYIT'!F80)),"")</f>
        <v/>
      </c>
      <c r="E80" s="3" t="str">
        <f>IFERROR(IF('ŞİKAYET KAYIT'!P80="Kapatıldı","",IF('ŞİKAYET KAYIT'!H80="","",'ŞİKAYET KAYIT'!H80)),"")</f>
        <v/>
      </c>
      <c r="F80" s="3" t="str">
        <f>IFERROR(IF('ŞİKAYET KAYIT'!P80="Kapatıldı","",IF('ŞİKAYET KAYIT'!I80="","",'ŞİKAYET KAYIT'!I80)),"")</f>
        <v/>
      </c>
      <c r="G80" s="3" t="str">
        <f>IFERROR(IF('ŞİKAYET KAYIT'!P80="Kapatıldı","",IF('ŞİKAYET KAYIT'!J80="","",'ŞİKAYET KAYIT'!J80)),"")</f>
        <v/>
      </c>
      <c r="H80" s="3" t="str">
        <f>IFERROR(IF('ŞİKAYET KAYIT'!P80="Kapatıldı","",IF('ŞİKAYET KAYIT'!K80="","",'ŞİKAYET KAYIT'!K80)),"")</f>
        <v/>
      </c>
      <c r="I80" s="3" t="str">
        <f>IFERROR(IF('ŞİKAYET KAYIT'!P80="Kapatıldı","",IF('ŞİKAYET KAYIT'!L80="","",'ŞİKAYET KAYIT'!L80)),"")</f>
        <v/>
      </c>
      <c r="J80" s="3" t="str">
        <f>IFERROR(IF('ŞİKAYET KAYIT'!P80="Kapatıldı","",IF('ŞİKAYET KAYIT'!M80="","",'ŞİKAYET KAYIT'!M80)),"")</f>
        <v/>
      </c>
      <c r="K80" s="3" t="str">
        <f>IFERROR(IF('ŞİKAYET KAYIT'!P80="Kapatıldı","",IF('ŞİKAYET KAYIT'!N80="","",'ŞİKAYET KAYIT'!N80)),"")</f>
        <v/>
      </c>
      <c r="L80" s="3" t="str">
        <f>IFERROR(IF('ŞİKAYET KAYIT'!P80="Kapatıldı","",IF('ŞİKAYET KAYIT'!O80="","",'ŞİKAYET KAYIT'!O80)),"")</f>
        <v/>
      </c>
      <c r="M80" s="3" t="str">
        <f>IFERROR(IF('ŞİKAYET KAYIT'!P80="Kapatıldı","",IF('ŞİKAYET KAYIT'!P80="","",'ŞİKAYET KAYIT'!P80)),"")</f>
        <v/>
      </c>
    </row>
    <row r="81" spans="1:13" ht="15" customHeight="1" x14ac:dyDescent="0.3">
      <c r="A81" s="26" t="str">
        <f>IFERROR(IF('ŞİKAYET KAYIT'!P81="Kapatıldı","",IF('ŞİKAYET KAYIT'!A81="","",'ŞİKAYET KAYIT'!A81)),"")</f>
        <v/>
      </c>
      <c r="B81" s="8" t="str">
        <f>IFERROR(IF('ŞİKAYET KAYIT'!P81="Kapatıldı","",IF('ŞİKAYET KAYIT'!B81="","",'ŞİKAYET KAYIT'!B81)),"")</f>
        <v/>
      </c>
      <c r="C81" s="26" t="str">
        <f>IFERROR(IF('ŞİKAYET KAYIT'!P81="Kapatıldı","",IF('ŞİKAYET KAYIT'!D81="","",'ŞİKAYET KAYIT'!D81)),"")</f>
        <v/>
      </c>
      <c r="D81" s="26" t="str">
        <f>IFERROR(IF('ŞİKAYET KAYIT'!P81="Kapatıldı","",IF('ŞİKAYET KAYIT'!F81="","",'ŞİKAYET KAYIT'!F81)),"")</f>
        <v/>
      </c>
      <c r="E81" s="26" t="str">
        <f>IFERROR(IF('ŞİKAYET KAYIT'!P81="Kapatıldı","",IF('ŞİKAYET KAYIT'!H81="","",'ŞİKAYET KAYIT'!H81)),"")</f>
        <v/>
      </c>
      <c r="F81" s="26" t="str">
        <f>IFERROR(IF('ŞİKAYET KAYIT'!P81="Kapatıldı","",IF('ŞİKAYET KAYIT'!I81="","",'ŞİKAYET KAYIT'!I81)),"")</f>
        <v/>
      </c>
      <c r="G81" s="26" t="str">
        <f>IFERROR(IF('ŞİKAYET KAYIT'!P81="Kapatıldı","",IF('ŞİKAYET KAYIT'!J81="","",'ŞİKAYET KAYIT'!J81)),"")</f>
        <v/>
      </c>
      <c r="H81" s="26" t="str">
        <f>IFERROR(IF('ŞİKAYET KAYIT'!P81="Kapatıldı","",IF('ŞİKAYET KAYIT'!K81="","",'ŞİKAYET KAYIT'!K81)),"")</f>
        <v/>
      </c>
      <c r="I81" s="26" t="str">
        <f>IFERROR(IF('ŞİKAYET KAYIT'!P81="Kapatıldı","",IF('ŞİKAYET KAYIT'!L81="","",'ŞİKAYET KAYIT'!L81)),"")</f>
        <v/>
      </c>
      <c r="J81" s="26" t="str">
        <f>IFERROR(IF('ŞİKAYET KAYIT'!P81="Kapatıldı","",IF('ŞİKAYET KAYIT'!M81="","",'ŞİKAYET KAYIT'!M81)),"")</f>
        <v/>
      </c>
      <c r="K81" s="26" t="str">
        <f>IFERROR(IF('ŞİKAYET KAYIT'!P81="Kapatıldı","",IF('ŞİKAYET KAYIT'!N81="","",'ŞİKAYET KAYIT'!N81)),"")</f>
        <v/>
      </c>
      <c r="L81" s="26" t="str">
        <f>IFERROR(IF('ŞİKAYET KAYIT'!P81="Kapatıldı","",IF('ŞİKAYET KAYIT'!O81="","",'ŞİKAYET KAYIT'!O81)),"")</f>
        <v/>
      </c>
      <c r="M81" s="26" t="str">
        <f>IFERROR(IF('ŞİKAYET KAYIT'!P81="Kapatıldı","",IF('ŞİKAYET KAYIT'!P81="","",'ŞİKAYET KAYIT'!P81)),"")</f>
        <v/>
      </c>
    </row>
    <row r="82" spans="1:13" ht="15" customHeight="1" x14ac:dyDescent="0.3">
      <c r="A82" s="3" t="str">
        <f>IFERROR(IF('ŞİKAYET KAYIT'!P82="Kapatıldı","",IF('ŞİKAYET KAYIT'!A82="","",'ŞİKAYET KAYIT'!A82)),"")</f>
        <v/>
      </c>
      <c r="B82" s="5" t="str">
        <f>IFERROR(IF('ŞİKAYET KAYIT'!P82="Kapatıldı","",IF('ŞİKAYET KAYIT'!B82="","",'ŞİKAYET KAYIT'!B82)),"")</f>
        <v/>
      </c>
      <c r="C82" s="3" t="str">
        <f>IFERROR(IF('ŞİKAYET KAYIT'!P82="Kapatıldı","",IF('ŞİKAYET KAYIT'!D82="","",'ŞİKAYET KAYIT'!D82)),"")</f>
        <v/>
      </c>
      <c r="D82" s="3" t="str">
        <f>IFERROR(IF('ŞİKAYET KAYIT'!P82="Kapatıldı","",IF('ŞİKAYET KAYIT'!F82="","",'ŞİKAYET KAYIT'!F82)),"")</f>
        <v/>
      </c>
      <c r="E82" s="3" t="str">
        <f>IFERROR(IF('ŞİKAYET KAYIT'!P82="Kapatıldı","",IF('ŞİKAYET KAYIT'!H82="","",'ŞİKAYET KAYIT'!H82)),"")</f>
        <v/>
      </c>
      <c r="F82" s="3" t="str">
        <f>IFERROR(IF('ŞİKAYET KAYIT'!P82="Kapatıldı","",IF('ŞİKAYET KAYIT'!I82="","",'ŞİKAYET KAYIT'!I82)),"")</f>
        <v/>
      </c>
      <c r="G82" s="3" t="str">
        <f>IFERROR(IF('ŞİKAYET KAYIT'!P82="Kapatıldı","",IF('ŞİKAYET KAYIT'!J82="","",'ŞİKAYET KAYIT'!J82)),"")</f>
        <v/>
      </c>
      <c r="H82" s="3" t="str">
        <f>IFERROR(IF('ŞİKAYET KAYIT'!P82="Kapatıldı","",IF('ŞİKAYET KAYIT'!K82="","",'ŞİKAYET KAYIT'!K82)),"")</f>
        <v/>
      </c>
      <c r="I82" s="3" t="str">
        <f>IFERROR(IF('ŞİKAYET KAYIT'!P82="Kapatıldı","",IF('ŞİKAYET KAYIT'!L82="","",'ŞİKAYET KAYIT'!L82)),"")</f>
        <v/>
      </c>
      <c r="J82" s="3" t="str">
        <f>IFERROR(IF('ŞİKAYET KAYIT'!P82="Kapatıldı","",IF('ŞİKAYET KAYIT'!M82="","",'ŞİKAYET KAYIT'!M82)),"")</f>
        <v/>
      </c>
      <c r="K82" s="3" t="str">
        <f>IFERROR(IF('ŞİKAYET KAYIT'!P82="Kapatıldı","",IF('ŞİKAYET KAYIT'!N82="","",'ŞİKAYET KAYIT'!N82)),"")</f>
        <v/>
      </c>
      <c r="L82" s="3" t="str">
        <f>IFERROR(IF('ŞİKAYET KAYIT'!P82="Kapatıldı","",IF('ŞİKAYET KAYIT'!O82="","",'ŞİKAYET KAYIT'!O82)),"")</f>
        <v/>
      </c>
      <c r="M82" s="3" t="str">
        <f>IFERROR(IF('ŞİKAYET KAYIT'!P82="Kapatıldı","",IF('ŞİKAYET KAYIT'!P82="","",'ŞİKAYET KAYIT'!P82)),"")</f>
        <v/>
      </c>
    </row>
    <row r="83" spans="1:13" ht="15" customHeight="1" x14ac:dyDescent="0.3">
      <c r="A83" s="26" t="str">
        <f>IFERROR(IF('ŞİKAYET KAYIT'!P83="Kapatıldı","",IF('ŞİKAYET KAYIT'!A83="","",'ŞİKAYET KAYIT'!A83)),"")</f>
        <v/>
      </c>
      <c r="B83" s="8" t="str">
        <f>IFERROR(IF('ŞİKAYET KAYIT'!P83="Kapatıldı","",IF('ŞİKAYET KAYIT'!B83="","",'ŞİKAYET KAYIT'!B83)),"")</f>
        <v/>
      </c>
      <c r="C83" s="26" t="str">
        <f>IFERROR(IF('ŞİKAYET KAYIT'!P83="Kapatıldı","",IF('ŞİKAYET KAYIT'!D83="","",'ŞİKAYET KAYIT'!D83)),"")</f>
        <v/>
      </c>
      <c r="D83" s="26" t="str">
        <f>IFERROR(IF('ŞİKAYET KAYIT'!P83="Kapatıldı","",IF('ŞİKAYET KAYIT'!F83="","",'ŞİKAYET KAYIT'!F83)),"")</f>
        <v/>
      </c>
      <c r="E83" s="26" t="str">
        <f>IFERROR(IF('ŞİKAYET KAYIT'!P83="Kapatıldı","",IF('ŞİKAYET KAYIT'!H83="","",'ŞİKAYET KAYIT'!H83)),"")</f>
        <v/>
      </c>
      <c r="F83" s="26" t="str">
        <f>IFERROR(IF('ŞİKAYET KAYIT'!P83="Kapatıldı","",IF('ŞİKAYET KAYIT'!I83="","",'ŞİKAYET KAYIT'!I83)),"")</f>
        <v/>
      </c>
      <c r="G83" s="26" t="str">
        <f>IFERROR(IF('ŞİKAYET KAYIT'!P83="Kapatıldı","",IF('ŞİKAYET KAYIT'!J83="","",'ŞİKAYET KAYIT'!J83)),"")</f>
        <v/>
      </c>
      <c r="H83" s="26" t="str">
        <f>IFERROR(IF('ŞİKAYET KAYIT'!P83="Kapatıldı","",IF('ŞİKAYET KAYIT'!K83="","",'ŞİKAYET KAYIT'!K83)),"")</f>
        <v/>
      </c>
      <c r="I83" s="26" t="str">
        <f>IFERROR(IF('ŞİKAYET KAYIT'!P83="Kapatıldı","",IF('ŞİKAYET KAYIT'!L83="","",'ŞİKAYET KAYIT'!L83)),"")</f>
        <v/>
      </c>
      <c r="J83" s="26" t="str">
        <f>IFERROR(IF('ŞİKAYET KAYIT'!P83="Kapatıldı","",IF('ŞİKAYET KAYIT'!M83="","",'ŞİKAYET KAYIT'!M83)),"")</f>
        <v/>
      </c>
      <c r="K83" s="26" t="str">
        <f>IFERROR(IF('ŞİKAYET KAYIT'!P83="Kapatıldı","",IF('ŞİKAYET KAYIT'!N83="","",'ŞİKAYET KAYIT'!N83)),"")</f>
        <v/>
      </c>
      <c r="L83" s="26" t="str">
        <f>IFERROR(IF('ŞİKAYET KAYIT'!P83="Kapatıldı","",IF('ŞİKAYET KAYIT'!O83="","",'ŞİKAYET KAYIT'!O83)),"")</f>
        <v/>
      </c>
      <c r="M83" s="26" t="str">
        <f>IFERROR(IF('ŞİKAYET KAYIT'!P83="Kapatıldı","",IF('ŞİKAYET KAYIT'!P83="","",'ŞİKAYET KAYIT'!P83)),"")</f>
        <v/>
      </c>
    </row>
    <row r="84" spans="1:13" ht="15" customHeight="1" x14ac:dyDescent="0.3">
      <c r="A84" s="3" t="str">
        <f>IFERROR(IF('ŞİKAYET KAYIT'!P84="Kapatıldı","",IF('ŞİKAYET KAYIT'!A84="","",'ŞİKAYET KAYIT'!A84)),"")</f>
        <v/>
      </c>
      <c r="B84" s="5" t="str">
        <f>IFERROR(IF('ŞİKAYET KAYIT'!P84="Kapatıldı","",IF('ŞİKAYET KAYIT'!B84="","",'ŞİKAYET KAYIT'!B84)),"")</f>
        <v/>
      </c>
      <c r="C84" s="3" t="str">
        <f>IFERROR(IF('ŞİKAYET KAYIT'!P84="Kapatıldı","",IF('ŞİKAYET KAYIT'!D84="","",'ŞİKAYET KAYIT'!D84)),"")</f>
        <v/>
      </c>
      <c r="D84" s="3" t="str">
        <f>IFERROR(IF('ŞİKAYET KAYIT'!P84="Kapatıldı","",IF('ŞİKAYET KAYIT'!F84="","",'ŞİKAYET KAYIT'!F84)),"")</f>
        <v/>
      </c>
      <c r="E84" s="3" t="str">
        <f>IFERROR(IF('ŞİKAYET KAYIT'!P84="Kapatıldı","",IF('ŞİKAYET KAYIT'!H84="","",'ŞİKAYET KAYIT'!H84)),"")</f>
        <v/>
      </c>
      <c r="F84" s="3" t="str">
        <f>IFERROR(IF('ŞİKAYET KAYIT'!P84="Kapatıldı","",IF('ŞİKAYET KAYIT'!I84="","",'ŞİKAYET KAYIT'!I84)),"")</f>
        <v/>
      </c>
      <c r="G84" s="3" t="str">
        <f>IFERROR(IF('ŞİKAYET KAYIT'!P84="Kapatıldı","",IF('ŞİKAYET KAYIT'!J84="","",'ŞİKAYET KAYIT'!J84)),"")</f>
        <v/>
      </c>
      <c r="H84" s="3" t="str">
        <f>IFERROR(IF('ŞİKAYET KAYIT'!P84="Kapatıldı","",IF('ŞİKAYET KAYIT'!K84="","",'ŞİKAYET KAYIT'!K84)),"")</f>
        <v/>
      </c>
      <c r="I84" s="3" t="str">
        <f>IFERROR(IF('ŞİKAYET KAYIT'!P84="Kapatıldı","",IF('ŞİKAYET KAYIT'!L84="","",'ŞİKAYET KAYIT'!L84)),"")</f>
        <v/>
      </c>
      <c r="J84" s="3" t="str">
        <f>IFERROR(IF('ŞİKAYET KAYIT'!P84="Kapatıldı","",IF('ŞİKAYET KAYIT'!M84="","",'ŞİKAYET KAYIT'!M84)),"")</f>
        <v/>
      </c>
      <c r="K84" s="3" t="str">
        <f>IFERROR(IF('ŞİKAYET KAYIT'!P84="Kapatıldı","",IF('ŞİKAYET KAYIT'!N84="","",'ŞİKAYET KAYIT'!N84)),"")</f>
        <v/>
      </c>
      <c r="L84" s="3" t="str">
        <f>IFERROR(IF('ŞİKAYET KAYIT'!P84="Kapatıldı","",IF('ŞİKAYET KAYIT'!O84="","",'ŞİKAYET KAYIT'!O84)),"")</f>
        <v/>
      </c>
      <c r="M84" s="3" t="str">
        <f>IFERROR(IF('ŞİKAYET KAYIT'!P84="Kapatıldı","",IF('ŞİKAYET KAYIT'!P84="","",'ŞİKAYET KAYIT'!P84)),"")</f>
        <v/>
      </c>
    </row>
    <row r="85" spans="1:13" ht="15" customHeight="1" x14ac:dyDescent="0.3">
      <c r="A85" s="26" t="str">
        <f>IFERROR(IF('ŞİKAYET KAYIT'!P85="Kapatıldı","",IF('ŞİKAYET KAYIT'!A85="","",'ŞİKAYET KAYIT'!A85)),"")</f>
        <v/>
      </c>
      <c r="B85" s="8" t="str">
        <f>IFERROR(IF('ŞİKAYET KAYIT'!P85="Kapatıldı","",IF('ŞİKAYET KAYIT'!B85="","",'ŞİKAYET KAYIT'!B85)),"")</f>
        <v/>
      </c>
      <c r="C85" s="26" t="str">
        <f>IFERROR(IF('ŞİKAYET KAYIT'!P85="Kapatıldı","",IF('ŞİKAYET KAYIT'!D85="","",'ŞİKAYET KAYIT'!D85)),"")</f>
        <v/>
      </c>
      <c r="D85" s="26" t="str">
        <f>IFERROR(IF('ŞİKAYET KAYIT'!P85="Kapatıldı","",IF('ŞİKAYET KAYIT'!F85="","",'ŞİKAYET KAYIT'!F85)),"")</f>
        <v/>
      </c>
      <c r="E85" s="26" t="str">
        <f>IFERROR(IF('ŞİKAYET KAYIT'!P85="Kapatıldı","",IF('ŞİKAYET KAYIT'!H85="","",'ŞİKAYET KAYIT'!H85)),"")</f>
        <v/>
      </c>
      <c r="F85" s="26" t="str">
        <f>IFERROR(IF('ŞİKAYET KAYIT'!P85="Kapatıldı","",IF('ŞİKAYET KAYIT'!I85="","",'ŞİKAYET KAYIT'!I85)),"")</f>
        <v/>
      </c>
      <c r="G85" s="26" t="str">
        <f>IFERROR(IF('ŞİKAYET KAYIT'!P85="Kapatıldı","",IF('ŞİKAYET KAYIT'!J85="","",'ŞİKAYET KAYIT'!J85)),"")</f>
        <v/>
      </c>
      <c r="H85" s="26" t="str">
        <f>IFERROR(IF('ŞİKAYET KAYIT'!P85="Kapatıldı","",IF('ŞİKAYET KAYIT'!K85="","",'ŞİKAYET KAYIT'!K85)),"")</f>
        <v/>
      </c>
      <c r="I85" s="26" t="str">
        <f>IFERROR(IF('ŞİKAYET KAYIT'!P85="Kapatıldı","",IF('ŞİKAYET KAYIT'!L85="","",'ŞİKAYET KAYIT'!L85)),"")</f>
        <v/>
      </c>
      <c r="J85" s="26" t="str">
        <f>IFERROR(IF('ŞİKAYET KAYIT'!P85="Kapatıldı","",IF('ŞİKAYET KAYIT'!M85="","",'ŞİKAYET KAYIT'!M85)),"")</f>
        <v/>
      </c>
      <c r="K85" s="26" t="str">
        <f>IFERROR(IF('ŞİKAYET KAYIT'!P85="Kapatıldı","",IF('ŞİKAYET KAYIT'!N85="","",'ŞİKAYET KAYIT'!N85)),"")</f>
        <v/>
      </c>
      <c r="L85" s="26" t="str">
        <f>IFERROR(IF('ŞİKAYET KAYIT'!P85="Kapatıldı","",IF('ŞİKAYET KAYIT'!O85="","",'ŞİKAYET KAYIT'!O85)),"")</f>
        <v/>
      </c>
      <c r="M85" s="26" t="str">
        <f>IFERROR(IF('ŞİKAYET KAYIT'!P85="Kapatıldı","",IF('ŞİKAYET KAYIT'!P85="","",'ŞİKAYET KAYIT'!P85)),"")</f>
        <v/>
      </c>
    </row>
    <row r="86" spans="1:13" ht="15" customHeight="1" x14ac:dyDescent="0.3">
      <c r="A86" s="3" t="str">
        <f>IFERROR(IF('ŞİKAYET KAYIT'!P86="Kapatıldı","",IF('ŞİKAYET KAYIT'!A86="","",'ŞİKAYET KAYIT'!A86)),"")</f>
        <v/>
      </c>
      <c r="B86" s="5" t="str">
        <f>IFERROR(IF('ŞİKAYET KAYIT'!P86="Kapatıldı","",IF('ŞİKAYET KAYIT'!B86="","",'ŞİKAYET KAYIT'!B86)),"")</f>
        <v/>
      </c>
      <c r="C86" s="3" t="str">
        <f>IFERROR(IF('ŞİKAYET KAYIT'!P86="Kapatıldı","",IF('ŞİKAYET KAYIT'!D86="","",'ŞİKAYET KAYIT'!D86)),"")</f>
        <v/>
      </c>
      <c r="D86" s="3" t="str">
        <f>IFERROR(IF('ŞİKAYET KAYIT'!P86="Kapatıldı","",IF('ŞİKAYET KAYIT'!F86="","",'ŞİKAYET KAYIT'!F86)),"")</f>
        <v/>
      </c>
      <c r="E86" s="3" t="str">
        <f>IFERROR(IF('ŞİKAYET KAYIT'!P86="Kapatıldı","",IF('ŞİKAYET KAYIT'!H86="","",'ŞİKAYET KAYIT'!H86)),"")</f>
        <v/>
      </c>
      <c r="F86" s="3" t="str">
        <f>IFERROR(IF('ŞİKAYET KAYIT'!P86="Kapatıldı","",IF('ŞİKAYET KAYIT'!I86="","",'ŞİKAYET KAYIT'!I86)),"")</f>
        <v/>
      </c>
      <c r="G86" s="3" t="str">
        <f>IFERROR(IF('ŞİKAYET KAYIT'!P86="Kapatıldı","",IF('ŞİKAYET KAYIT'!J86="","",'ŞİKAYET KAYIT'!J86)),"")</f>
        <v/>
      </c>
      <c r="H86" s="3" t="str">
        <f>IFERROR(IF('ŞİKAYET KAYIT'!P86="Kapatıldı","",IF('ŞİKAYET KAYIT'!K86="","",'ŞİKAYET KAYIT'!K86)),"")</f>
        <v/>
      </c>
      <c r="I86" s="3" t="str">
        <f>IFERROR(IF('ŞİKAYET KAYIT'!P86="Kapatıldı","",IF('ŞİKAYET KAYIT'!L86="","",'ŞİKAYET KAYIT'!L86)),"")</f>
        <v/>
      </c>
      <c r="J86" s="3" t="str">
        <f>IFERROR(IF('ŞİKAYET KAYIT'!P86="Kapatıldı","",IF('ŞİKAYET KAYIT'!M86="","",'ŞİKAYET KAYIT'!M86)),"")</f>
        <v/>
      </c>
      <c r="K86" s="3" t="str">
        <f>IFERROR(IF('ŞİKAYET KAYIT'!P86="Kapatıldı","",IF('ŞİKAYET KAYIT'!N86="","",'ŞİKAYET KAYIT'!N86)),"")</f>
        <v/>
      </c>
      <c r="L86" s="3" t="str">
        <f>IFERROR(IF('ŞİKAYET KAYIT'!P86="Kapatıldı","",IF('ŞİKAYET KAYIT'!O86="","",'ŞİKAYET KAYIT'!O86)),"")</f>
        <v/>
      </c>
      <c r="M86" s="3" t="str">
        <f>IFERROR(IF('ŞİKAYET KAYIT'!P86="Kapatıldı","",IF('ŞİKAYET KAYIT'!P86="","",'ŞİKAYET KAYIT'!P86)),"")</f>
        <v/>
      </c>
    </row>
    <row r="87" spans="1:13" ht="15" customHeight="1" x14ac:dyDescent="0.3">
      <c r="A87" s="26" t="str">
        <f>IFERROR(IF('ŞİKAYET KAYIT'!P87="Kapatıldı","",IF('ŞİKAYET KAYIT'!A87="","",'ŞİKAYET KAYIT'!A87)),"")</f>
        <v/>
      </c>
      <c r="B87" s="8" t="str">
        <f>IFERROR(IF('ŞİKAYET KAYIT'!P87="Kapatıldı","",IF('ŞİKAYET KAYIT'!B87="","",'ŞİKAYET KAYIT'!B87)),"")</f>
        <v/>
      </c>
      <c r="C87" s="26" t="str">
        <f>IFERROR(IF('ŞİKAYET KAYIT'!P87="Kapatıldı","",IF('ŞİKAYET KAYIT'!D87="","",'ŞİKAYET KAYIT'!D87)),"")</f>
        <v/>
      </c>
      <c r="D87" s="26" t="str">
        <f>IFERROR(IF('ŞİKAYET KAYIT'!P87="Kapatıldı","",IF('ŞİKAYET KAYIT'!F87="","",'ŞİKAYET KAYIT'!F87)),"")</f>
        <v/>
      </c>
      <c r="E87" s="26" t="str">
        <f>IFERROR(IF('ŞİKAYET KAYIT'!P87="Kapatıldı","",IF('ŞİKAYET KAYIT'!H87="","",'ŞİKAYET KAYIT'!H87)),"")</f>
        <v/>
      </c>
      <c r="F87" s="26" t="str">
        <f>IFERROR(IF('ŞİKAYET KAYIT'!P87="Kapatıldı","",IF('ŞİKAYET KAYIT'!I87="","",'ŞİKAYET KAYIT'!I87)),"")</f>
        <v/>
      </c>
      <c r="G87" s="26" t="str">
        <f>IFERROR(IF('ŞİKAYET KAYIT'!P87="Kapatıldı","",IF('ŞİKAYET KAYIT'!J87="","",'ŞİKAYET KAYIT'!J87)),"")</f>
        <v/>
      </c>
      <c r="H87" s="26" t="str">
        <f>IFERROR(IF('ŞİKAYET KAYIT'!P87="Kapatıldı","",IF('ŞİKAYET KAYIT'!K87="","",'ŞİKAYET KAYIT'!K87)),"")</f>
        <v/>
      </c>
      <c r="I87" s="26" t="str">
        <f>IFERROR(IF('ŞİKAYET KAYIT'!P87="Kapatıldı","",IF('ŞİKAYET KAYIT'!L87="","",'ŞİKAYET KAYIT'!L87)),"")</f>
        <v/>
      </c>
      <c r="J87" s="26" t="str">
        <f>IFERROR(IF('ŞİKAYET KAYIT'!P87="Kapatıldı","",IF('ŞİKAYET KAYIT'!M87="","",'ŞİKAYET KAYIT'!M87)),"")</f>
        <v/>
      </c>
      <c r="K87" s="26" t="str">
        <f>IFERROR(IF('ŞİKAYET KAYIT'!P87="Kapatıldı","",IF('ŞİKAYET KAYIT'!N87="","",'ŞİKAYET KAYIT'!N87)),"")</f>
        <v/>
      </c>
      <c r="L87" s="26" t="str">
        <f>IFERROR(IF('ŞİKAYET KAYIT'!P87="Kapatıldı","",IF('ŞİKAYET KAYIT'!O87="","",'ŞİKAYET KAYIT'!O87)),"")</f>
        <v/>
      </c>
      <c r="M87" s="26" t="str">
        <f>IFERROR(IF('ŞİKAYET KAYIT'!P87="Kapatıldı","",IF('ŞİKAYET KAYIT'!P87="","",'ŞİKAYET KAYIT'!P87)),"")</f>
        <v/>
      </c>
    </row>
    <row r="88" spans="1:13" ht="15" customHeight="1" x14ac:dyDescent="0.3">
      <c r="A88" s="3" t="str">
        <f>IFERROR(IF('ŞİKAYET KAYIT'!P88="Kapatıldı","",IF('ŞİKAYET KAYIT'!A88="","",'ŞİKAYET KAYIT'!A88)),"")</f>
        <v/>
      </c>
      <c r="B88" s="5" t="str">
        <f>IFERROR(IF('ŞİKAYET KAYIT'!P88="Kapatıldı","",IF('ŞİKAYET KAYIT'!B88="","",'ŞİKAYET KAYIT'!B88)),"")</f>
        <v/>
      </c>
      <c r="C88" s="3" t="str">
        <f>IFERROR(IF('ŞİKAYET KAYIT'!P88="Kapatıldı","",IF('ŞİKAYET KAYIT'!D88="","",'ŞİKAYET KAYIT'!D88)),"")</f>
        <v/>
      </c>
      <c r="D88" s="3" t="str">
        <f>IFERROR(IF('ŞİKAYET KAYIT'!P88="Kapatıldı","",IF('ŞİKAYET KAYIT'!F88="","",'ŞİKAYET KAYIT'!F88)),"")</f>
        <v/>
      </c>
      <c r="E88" s="3" t="str">
        <f>IFERROR(IF('ŞİKAYET KAYIT'!P88="Kapatıldı","",IF('ŞİKAYET KAYIT'!H88="","",'ŞİKAYET KAYIT'!H88)),"")</f>
        <v/>
      </c>
      <c r="F88" s="3" t="str">
        <f>IFERROR(IF('ŞİKAYET KAYIT'!P88="Kapatıldı","",IF('ŞİKAYET KAYIT'!I88="","",'ŞİKAYET KAYIT'!I88)),"")</f>
        <v/>
      </c>
      <c r="G88" s="3" t="str">
        <f>IFERROR(IF('ŞİKAYET KAYIT'!P88="Kapatıldı","",IF('ŞİKAYET KAYIT'!J88="","",'ŞİKAYET KAYIT'!J88)),"")</f>
        <v/>
      </c>
      <c r="H88" s="3" t="str">
        <f>IFERROR(IF('ŞİKAYET KAYIT'!P88="Kapatıldı","",IF('ŞİKAYET KAYIT'!K88="","",'ŞİKAYET KAYIT'!K88)),"")</f>
        <v/>
      </c>
      <c r="I88" s="3" t="str">
        <f>IFERROR(IF('ŞİKAYET KAYIT'!P88="Kapatıldı","",IF('ŞİKAYET KAYIT'!L88="","",'ŞİKAYET KAYIT'!L88)),"")</f>
        <v/>
      </c>
      <c r="J88" s="3" t="str">
        <f>IFERROR(IF('ŞİKAYET KAYIT'!P88="Kapatıldı","",IF('ŞİKAYET KAYIT'!M88="","",'ŞİKAYET KAYIT'!M88)),"")</f>
        <v/>
      </c>
      <c r="K88" s="3" t="str">
        <f>IFERROR(IF('ŞİKAYET KAYIT'!P88="Kapatıldı","",IF('ŞİKAYET KAYIT'!N88="","",'ŞİKAYET KAYIT'!N88)),"")</f>
        <v/>
      </c>
      <c r="L88" s="3" t="str">
        <f>IFERROR(IF('ŞİKAYET KAYIT'!P88="Kapatıldı","",IF('ŞİKAYET KAYIT'!O88="","",'ŞİKAYET KAYIT'!O88)),"")</f>
        <v/>
      </c>
      <c r="M88" s="3" t="str">
        <f>IFERROR(IF('ŞİKAYET KAYIT'!P88="Kapatıldı","",IF('ŞİKAYET KAYIT'!P88="","",'ŞİKAYET KAYIT'!P88)),"")</f>
        <v/>
      </c>
    </row>
    <row r="89" spans="1:13" ht="15" customHeight="1" x14ac:dyDescent="0.3">
      <c r="A89" s="26" t="str">
        <f>IFERROR(IF('ŞİKAYET KAYIT'!P89="Kapatıldı","",IF('ŞİKAYET KAYIT'!A89="","",'ŞİKAYET KAYIT'!A89)),"")</f>
        <v/>
      </c>
      <c r="B89" s="8" t="str">
        <f>IFERROR(IF('ŞİKAYET KAYIT'!P89="Kapatıldı","",IF('ŞİKAYET KAYIT'!B89="","",'ŞİKAYET KAYIT'!B89)),"")</f>
        <v/>
      </c>
      <c r="C89" s="26" t="str">
        <f>IFERROR(IF('ŞİKAYET KAYIT'!P89="Kapatıldı","",IF('ŞİKAYET KAYIT'!D89="","",'ŞİKAYET KAYIT'!D89)),"")</f>
        <v/>
      </c>
      <c r="D89" s="26" t="str">
        <f>IFERROR(IF('ŞİKAYET KAYIT'!P89="Kapatıldı","",IF('ŞİKAYET KAYIT'!F89="","",'ŞİKAYET KAYIT'!F89)),"")</f>
        <v/>
      </c>
      <c r="E89" s="26" t="str">
        <f>IFERROR(IF('ŞİKAYET KAYIT'!P89="Kapatıldı","",IF('ŞİKAYET KAYIT'!H89="","",'ŞİKAYET KAYIT'!H89)),"")</f>
        <v/>
      </c>
      <c r="F89" s="26" t="str">
        <f>IFERROR(IF('ŞİKAYET KAYIT'!P89="Kapatıldı","",IF('ŞİKAYET KAYIT'!I89="","",'ŞİKAYET KAYIT'!I89)),"")</f>
        <v/>
      </c>
      <c r="G89" s="26" t="str">
        <f>IFERROR(IF('ŞİKAYET KAYIT'!P89="Kapatıldı","",IF('ŞİKAYET KAYIT'!J89="","",'ŞİKAYET KAYIT'!J89)),"")</f>
        <v/>
      </c>
      <c r="H89" s="26" t="str">
        <f>IFERROR(IF('ŞİKAYET KAYIT'!P89="Kapatıldı","",IF('ŞİKAYET KAYIT'!K89="","",'ŞİKAYET KAYIT'!K89)),"")</f>
        <v/>
      </c>
      <c r="I89" s="26" t="str">
        <f>IFERROR(IF('ŞİKAYET KAYIT'!P89="Kapatıldı","",IF('ŞİKAYET KAYIT'!L89="","",'ŞİKAYET KAYIT'!L89)),"")</f>
        <v/>
      </c>
      <c r="J89" s="26" t="str">
        <f>IFERROR(IF('ŞİKAYET KAYIT'!P89="Kapatıldı","",IF('ŞİKAYET KAYIT'!M89="","",'ŞİKAYET KAYIT'!M89)),"")</f>
        <v/>
      </c>
      <c r="K89" s="26" t="str">
        <f>IFERROR(IF('ŞİKAYET KAYIT'!P89="Kapatıldı","",IF('ŞİKAYET KAYIT'!N89="","",'ŞİKAYET KAYIT'!N89)),"")</f>
        <v/>
      </c>
      <c r="L89" s="26" t="str">
        <f>IFERROR(IF('ŞİKAYET KAYIT'!P89="Kapatıldı","",IF('ŞİKAYET KAYIT'!O89="","",'ŞİKAYET KAYIT'!O89)),"")</f>
        <v/>
      </c>
      <c r="M89" s="26" t="str">
        <f>IFERROR(IF('ŞİKAYET KAYIT'!P89="Kapatıldı","",IF('ŞİKAYET KAYIT'!P89="","",'ŞİKAYET KAYIT'!P89)),"")</f>
        <v/>
      </c>
    </row>
    <row r="90" spans="1:13" ht="15" customHeight="1" x14ac:dyDescent="0.3">
      <c r="A90" s="3" t="str">
        <f>IFERROR(IF('ŞİKAYET KAYIT'!P90="Kapatıldı","",IF('ŞİKAYET KAYIT'!A90="","",'ŞİKAYET KAYIT'!A90)),"")</f>
        <v/>
      </c>
      <c r="B90" s="5" t="str">
        <f>IFERROR(IF('ŞİKAYET KAYIT'!P90="Kapatıldı","",IF('ŞİKAYET KAYIT'!B90="","",'ŞİKAYET KAYIT'!B90)),"")</f>
        <v/>
      </c>
      <c r="C90" s="3" t="str">
        <f>IFERROR(IF('ŞİKAYET KAYIT'!P90="Kapatıldı","",IF('ŞİKAYET KAYIT'!D90="","",'ŞİKAYET KAYIT'!D90)),"")</f>
        <v/>
      </c>
      <c r="D90" s="3" t="str">
        <f>IFERROR(IF('ŞİKAYET KAYIT'!P90="Kapatıldı","",IF('ŞİKAYET KAYIT'!F90="","",'ŞİKAYET KAYIT'!F90)),"")</f>
        <v/>
      </c>
      <c r="E90" s="3" t="str">
        <f>IFERROR(IF('ŞİKAYET KAYIT'!P90="Kapatıldı","",IF('ŞİKAYET KAYIT'!H90="","",'ŞİKAYET KAYIT'!H90)),"")</f>
        <v/>
      </c>
      <c r="F90" s="3" t="str">
        <f>IFERROR(IF('ŞİKAYET KAYIT'!P90="Kapatıldı","",IF('ŞİKAYET KAYIT'!I90="","",'ŞİKAYET KAYIT'!I90)),"")</f>
        <v/>
      </c>
      <c r="G90" s="3" t="str">
        <f>IFERROR(IF('ŞİKAYET KAYIT'!P90="Kapatıldı","",IF('ŞİKAYET KAYIT'!J90="","",'ŞİKAYET KAYIT'!J90)),"")</f>
        <v/>
      </c>
      <c r="H90" s="3" t="str">
        <f>IFERROR(IF('ŞİKAYET KAYIT'!P90="Kapatıldı","",IF('ŞİKAYET KAYIT'!K90="","",'ŞİKAYET KAYIT'!K90)),"")</f>
        <v/>
      </c>
      <c r="I90" s="3" t="str">
        <f>IFERROR(IF('ŞİKAYET KAYIT'!P90="Kapatıldı","",IF('ŞİKAYET KAYIT'!L90="","",'ŞİKAYET KAYIT'!L90)),"")</f>
        <v/>
      </c>
      <c r="J90" s="3" t="str">
        <f>IFERROR(IF('ŞİKAYET KAYIT'!P90="Kapatıldı","",IF('ŞİKAYET KAYIT'!M90="","",'ŞİKAYET KAYIT'!M90)),"")</f>
        <v/>
      </c>
      <c r="K90" s="3" t="str">
        <f>IFERROR(IF('ŞİKAYET KAYIT'!P90="Kapatıldı","",IF('ŞİKAYET KAYIT'!N90="","",'ŞİKAYET KAYIT'!N90)),"")</f>
        <v/>
      </c>
      <c r="L90" s="3" t="str">
        <f>IFERROR(IF('ŞİKAYET KAYIT'!P90="Kapatıldı","",IF('ŞİKAYET KAYIT'!O90="","",'ŞİKAYET KAYIT'!O90)),"")</f>
        <v/>
      </c>
      <c r="M90" s="3" t="str">
        <f>IFERROR(IF('ŞİKAYET KAYIT'!P90="Kapatıldı","",IF('ŞİKAYET KAYIT'!P90="","",'ŞİKAYET KAYIT'!P90)),"")</f>
        <v/>
      </c>
    </row>
    <row r="91" spans="1:13" ht="15" customHeight="1" x14ac:dyDescent="0.3">
      <c r="A91" s="26" t="str">
        <f>IFERROR(IF('ŞİKAYET KAYIT'!P91="Kapatıldı","",IF('ŞİKAYET KAYIT'!A91="","",'ŞİKAYET KAYIT'!A91)),"")</f>
        <v/>
      </c>
      <c r="B91" s="8" t="str">
        <f>IFERROR(IF('ŞİKAYET KAYIT'!P91="Kapatıldı","",IF('ŞİKAYET KAYIT'!B91="","",'ŞİKAYET KAYIT'!B91)),"")</f>
        <v/>
      </c>
      <c r="C91" s="26" t="str">
        <f>IFERROR(IF('ŞİKAYET KAYIT'!P91="Kapatıldı","",IF('ŞİKAYET KAYIT'!D91="","",'ŞİKAYET KAYIT'!D91)),"")</f>
        <v/>
      </c>
      <c r="D91" s="26" t="str">
        <f>IFERROR(IF('ŞİKAYET KAYIT'!P91="Kapatıldı","",IF('ŞİKAYET KAYIT'!F91="","",'ŞİKAYET KAYIT'!F91)),"")</f>
        <v/>
      </c>
      <c r="E91" s="26" t="str">
        <f>IFERROR(IF('ŞİKAYET KAYIT'!P91="Kapatıldı","",IF('ŞİKAYET KAYIT'!H91="","",'ŞİKAYET KAYIT'!H91)),"")</f>
        <v/>
      </c>
      <c r="F91" s="26" t="str">
        <f>IFERROR(IF('ŞİKAYET KAYIT'!P91="Kapatıldı","",IF('ŞİKAYET KAYIT'!I91="","",'ŞİKAYET KAYIT'!I91)),"")</f>
        <v/>
      </c>
      <c r="G91" s="26" t="str">
        <f>IFERROR(IF('ŞİKAYET KAYIT'!P91="Kapatıldı","",IF('ŞİKAYET KAYIT'!J91="","",'ŞİKAYET KAYIT'!J91)),"")</f>
        <v/>
      </c>
      <c r="H91" s="26" t="str">
        <f>IFERROR(IF('ŞİKAYET KAYIT'!P91="Kapatıldı","",IF('ŞİKAYET KAYIT'!K91="","",'ŞİKAYET KAYIT'!K91)),"")</f>
        <v/>
      </c>
      <c r="I91" s="26" t="str">
        <f>IFERROR(IF('ŞİKAYET KAYIT'!P91="Kapatıldı","",IF('ŞİKAYET KAYIT'!L91="","",'ŞİKAYET KAYIT'!L91)),"")</f>
        <v/>
      </c>
      <c r="J91" s="26" t="str">
        <f>IFERROR(IF('ŞİKAYET KAYIT'!P91="Kapatıldı","",IF('ŞİKAYET KAYIT'!M91="","",'ŞİKAYET KAYIT'!M91)),"")</f>
        <v/>
      </c>
      <c r="K91" s="26" t="str">
        <f>IFERROR(IF('ŞİKAYET KAYIT'!P91="Kapatıldı","",IF('ŞİKAYET KAYIT'!N91="","",'ŞİKAYET KAYIT'!N91)),"")</f>
        <v/>
      </c>
      <c r="L91" s="26" t="str">
        <f>IFERROR(IF('ŞİKAYET KAYIT'!P91="Kapatıldı","",IF('ŞİKAYET KAYIT'!O91="","",'ŞİKAYET KAYIT'!O91)),"")</f>
        <v/>
      </c>
      <c r="M91" s="26" t="str">
        <f>IFERROR(IF('ŞİKAYET KAYIT'!P91="Kapatıldı","",IF('ŞİKAYET KAYIT'!P91="","",'ŞİKAYET KAYIT'!P91)),"")</f>
        <v/>
      </c>
    </row>
    <row r="92" spans="1:13" ht="15" customHeight="1" x14ac:dyDescent="0.3">
      <c r="A92" s="3" t="str">
        <f>IFERROR(IF('ŞİKAYET KAYIT'!P92="Kapatıldı","",IF('ŞİKAYET KAYIT'!A92="","",'ŞİKAYET KAYIT'!A92)),"")</f>
        <v/>
      </c>
      <c r="B92" s="5" t="str">
        <f>IFERROR(IF('ŞİKAYET KAYIT'!P92="Kapatıldı","",IF('ŞİKAYET KAYIT'!B92="","",'ŞİKAYET KAYIT'!B92)),"")</f>
        <v/>
      </c>
      <c r="C92" s="3" t="str">
        <f>IFERROR(IF('ŞİKAYET KAYIT'!P92="Kapatıldı","",IF('ŞİKAYET KAYIT'!D92="","",'ŞİKAYET KAYIT'!D92)),"")</f>
        <v/>
      </c>
      <c r="D92" s="3" t="str">
        <f>IFERROR(IF('ŞİKAYET KAYIT'!P92="Kapatıldı","",IF('ŞİKAYET KAYIT'!F92="","",'ŞİKAYET KAYIT'!F92)),"")</f>
        <v/>
      </c>
      <c r="E92" s="3" t="str">
        <f>IFERROR(IF('ŞİKAYET KAYIT'!P92="Kapatıldı","",IF('ŞİKAYET KAYIT'!H92="","",'ŞİKAYET KAYIT'!H92)),"")</f>
        <v/>
      </c>
      <c r="F92" s="3" t="str">
        <f>IFERROR(IF('ŞİKAYET KAYIT'!P92="Kapatıldı","",IF('ŞİKAYET KAYIT'!I92="","",'ŞİKAYET KAYIT'!I92)),"")</f>
        <v/>
      </c>
      <c r="G92" s="3" t="str">
        <f>IFERROR(IF('ŞİKAYET KAYIT'!P92="Kapatıldı","",IF('ŞİKAYET KAYIT'!J92="","",'ŞİKAYET KAYIT'!J92)),"")</f>
        <v/>
      </c>
      <c r="H92" s="3" t="str">
        <f>IFERROR(IF('ŞİKAYET KAYIT'!P92="Kapatıldı","",IF('ŞİKAYET KAYIT'!K92="","",'ŞİKAYET KAYIT'!K92)),"")</f>
        <v/>
      </c>
      <c r="I92" s="3" t="str">
        <f>IFERROR(IF('ŞİKAYET KAYIT'!P92="Kapatıldı","",IF('ŞİKAYET KAYIT'!L92="","",'ŞİKAYET KAYIT'!L92)),"")</f>
        <v/>
      </c>
      <c r="J92" s="3" t="str">
        <f>IFERROR(IF('ŞİKAYET KAYIT'!P92="Kapatıldı","",IF('ŞİKAYET KAYIT'!M92="","",'ŞİKAYET KAYIT'!M92)),"")</f>
        <v/>
      </c>
      <c r="K92" s="3" t="str">
        <f>IFERROR(IF('ŞİKAYET KAYIT'!P92="Kapatıldı","",IF('ŞİKAYET KAYIT'!N92="","",'ŞİKAYET KAYIT'!N92)),"")</f>
        <v/>
      </c>
      <c r="L92" s="3" t="str">
        <f>IFERROR(IF('ŞİKAYET KAYIT'!P92="Kapatıldı","",IF('ŞİKAYET KAYIT'!O92="","",'ŞİKAYET KAYIT'!O92)),"")</f>
        <v/>
      </c>
      <c r="M92" s="3" t="str">
        <f>IFERROR(IF('ŞİKAYET KAYIT'!P92="Kapatıldı","",IF('ŞİKAYET KAYIT'!P92="","",'ŞİKAYET KAYIT'!P92)),"")</f>
        <v/>
      </c>
    </row>
    <row r="93" spans="1:13" ht="15" customHeight="1" x14ac:dyDescent="0.3">
      <c r="A93" s="26" t="str">
        <f>IFERROR(IF('ŞİKAYET KAYIT'!P93="Kapatıldı","",IF('ŞİKAYET KAYIT'!A93="","",'ŞİKAYET KAYIT'!A93)),"")</f>
        <v/>
      </c>
      <c r="B93" s="8" t="str">
        <f>IFERROR(IF('ŞİKAYET KAYIT'!P93="Kapatıldı","",IF('ŞİKAYET KAYIT'!B93="","",'ŞİKAYET KAYIT'!B93)),"")</f>
        <v/>
      </c>
      <c r="C93" s="26" t="str">
        <f>IFERROR(IF('ŞİKAYET KAYIT'!P93="Kapatıldı","",IF('ŞİKAYET KAYIT'!D93="","",'ŞİKAYET KAYIT'!D93)),"")</f>
        <v/>
      </c>
      <c r="D93" s="26" t="str">
        <f>IFERROR(IF('ŞİKAYET KAYIT'!P93="Kapatıldı","",IF('ŞİKAYET KAYIT'!F93="","",'ŞİKAYET KAYIT'!F93)),"")</f>
        <v/>
      </c>
      <c r="E93" s="26" t="str">
        <f>IFERROR(IF('ŞİKAYET KAYIT'!P93="Kapatıldı","",IF('ŞİKAYET KAYIT'!H93="","",'ŞİKAYET KAYIT'!H93)),"")</f>
        <v/>
      </c>
      <c r="F93" s="26" t="str">
        <f>IFERROR(IF('ŞİKAYET KAYIT'!P93="Kapatıldı","",IF('ŞİKAYET KAYIT'!I93="","",'ŞİKAYET KAYIT'!I93)),"")</f>
        <v/>
      </c>
      <c r="G93" s="26" t="str">
        <f>IFERROR(IF('ŞİKAYET KAYIT'!P93="Kapatıldı","",IF('ŞİKAYET KAYIT'!J93="","",'ŞİKAYET KAYIT'!J93)),"")</f>
        <v/>
      </c>
      <c r="H93" s="26" t="str">
        <f>IFERROR(IF('ŞİKAYET KAYIT'!P93="Kapatıldı","",IF('ŞİKAYET KAYIT'!K93="","",'ŞİKAYET KAYIT'!K93)),"")</f>
        <v/>
      </c>
      <c r="I93" s="26" t="str">
        <f>IFERROR(IF('ŞİKAYET KAYIT'!P93="Kapatıldı","",IF('ŞİKAYET KAYIT'!L93="","",'ŞİKAYET KAYIT'!L93)),"")</f>
        <v/>
      </c>
      <c r="J93" s="26" t="str">
        <f>IFERROR(IF('ŞİKAYET KAYIT'!P93="Kapatıldı","",IF('ŞİKAYET KAYIT'!M93="","",'ŞİKAYET KAYIT'!M93)),"")</f>
        <v/>
      </c>
      <c r="K93" s="26" t="str">
        <f>IFERROR(IF('ŞİKAYET KAYIT'!P93="Kapatıldı","",IF('ŞİKAYET KAYIT'!N93="","",'ŞİKAYET KAYIT'!N93)),"")</f>
        <v/>
      </c>
      <c r="L93" s="26" t="str">
        <f>IFERROR(IF('ŞİKAYET KAYIT'!P93="Kapatıldı","",IF('ŞİKAYET KAYIT'!O93="","",'ŞİKAYET KAYIT'!O93)),"")</f>
        <v/>
      </c>
      <c r="M93" s="26" t="str">
        <f>IFERROR(IF('ŞİKAYET KAYIT'!P93="Kapatıldı","",IF('ŞİKAYET KAYIT'!P93="","",'ŞİKAYET KAYIT'!P93)),"")</f>
        <v/>
      </c>
    </row>
    <row r="94" spans="1:13" ht="15" customHeight="1" x14ac:dyDescent="0.3">
      <c r="A94" s="3" t="str">
        <f>IFERROR(IF('ŞİKAYET KAYIT'!P94="Kapatıldı","",IF('ŞİKAYET KAYIT'!A94="","",'ŞİKAYET KAYIT'!A94)),"")</f>
        <v/>
      </c>
      <c r="B94" s="5" t="str">
        <f>IFERROR(IF('ŞİKAYET KAYIT'!P94="Kapatıldı","",IF('ŞİKAYET KAYIT'!B94="","",'ŞİKAYET KAYIT'!B94)),"")</f>
        <v/>
      </c>
      <c r="C94" s="3" t="str">
        <f>IFERROR(IF('ŞİKAYET KAYIT'!P94="Kapatıldı","",IF('ŞİKAYET KAYIT'!D94="","",'ŞİKAYET KAYIT'!D94)),"")</f>
        <v/>
      </c>
      <c r="D94" s="3" t="str">
        <f>IFERROR(IF('ŞİKAYET KAYIT'!P94="Kapatıldı","",IF('ŞİKAYET KAYIT'!F94="","",'ŞİKAYET KAYIT'!F94)),"")</f>
        <v/>
      </c>
      <c r="E94" s="3" t="str">
        <f>IFERROR(IF('ŞİKAYET KAYIT'!P94="Kapatıldı","",IF('ŞİKAYET KAYIT'!H94="","",'ŞİKAYET KAYIT'!H94)),"")</f>
        <v/>
      </c>
      <c r="F94" s="3" t="str">
        <f>IFERROR(IF('ŞİKAYET KAYIT'!P94="Kapatıldı","",IF('ŞİKAYET KAYIT'!I94="","",'ŞİKAYET KAYIT'!I94)),"")</f>
        <v/>
      </c>
      <c r="G94" s="3" t="str">
        <f>IFERROR(IF('ŞİKAYET KAYIT'!P94="Kapatıldı","",IF('ŞİKAYET KAYIT'!J94="","",'ŞİKAYET KAYIT'!J94)),"")</f>
        <v/>
      </c>
      <c r="H94" s="3" t="str">
        <f>IFERROR(IF('ŞİKAYET KAYIT'!P94="Kapatıldı","",IF('ŞİKAYET KAYIT'!K94="","",'ŞİKAYET KAYIT'!K94)),"")</f>
        <v/>
      </c>
      <c r="I94" s="3" t="str">
        <f>IFERROR(IF('ŞİKAYET KAYIT'!P94="Kapatıldı","",IF('ŞİKAYET KAYIT'!L94="","",'ŞİKAYET KAYIT'!L94)),"")</f>
        <v/>
      </c>
      <c r="J94" s="3" t="str">
        <f>IFERROR(IF('ŞİKAYET KAYIT'!P94="Kapatıldı","",IF('ŞİKAYET KAYIT'!M94="","",'ŞİKAYET KAYIT'!M94)),"")</f>
        <v/>
      </c>
      <c r="K94" s="3" t="str">
        <f>IFERROR(IF('ŞİKAYET KAYIT'!P94="Kapatıldı","",IF('ŞİKAYET KAYIT'!N94="","",'ŞİKAYET KAYIT'!N94)),"")</f>
        <v/>
      </c>
      <c r="L94" s="3" t="str">
        <f>IFERROR(IF('ŞİKAYET KAYIT'!P94="Kapatıldı","",IF('ŞİKAYET KAYIT'!O94="","",'ŞİKAYET KAYIT'!O94)),"")</f>
        <v/>
      </c>
      <c r="M94" s="3" t="str">
        <f>IFERROR(IF('ŞİKAYET KAYIT'!P94="Kapatıldı","",IF('ŞİKAYET KAYIT'!P94="","",'ŞİKAYET KAYIT'!P94)),"")</f>
        <v/>
      </c>
    </row>
    <row r="95" spans="1:13" ht="15" customHeight="1" x14ac:dyDescent="0.3">
      <c r="A95" s="26" t="str">
        <f>IFERROR(IF('ŞİKAYET KAYIT'!P95="Kapatıldı","",IF('ŞİKAYET KAYIT'!A95="","",'ŞİKAYET KAYIT'!A95)),"")</f>
        <v/>
      </c>
      <c r="B95" s="8" t="str">
        <f>IFERROR(IF('ŞİKAYET KAYIT'!P95="Kapatıldı","",IF('ŞİKAYET KAYIT'!B95="","",'ŞİKAYET KAYIT'!B95)),"")</f>
        <v/>
      </c>
      <c r="C95" s="26" t="str">
        <f>IFERROR(IF('ŞİKAYET KAYIT'!P95="Kapatıldı","",IF('ŞİKAYET KAYIT'!D95="","",'ŞİKAYET KAYIT'!D95)),"")</f>
        <v/>
      </c>
      <c r="D95" s="26" t="str">
        <f>IFERROR(IF('ŞİKAYET KAYIT'!P95="Kapatıldı","",IF('ŞİKAYET KAYIT'!F95="","",'ŞİKAYET KAYIT'!F95)),"")</f>
        <v/>
      </c>
      <c r="E95" s="26" t="str">
        <f>IFERROR(IF('ŞİKAYET KAYIT'!P95="Kapatıldı","",IF('ŞİKAYET KAYIT'!H95="","",'ŞİKAYET KAYIT'!H95)),"")</f>
        <v/>
      </c>
      <c r="F95" s="26" t="str">
        <f>IFERROR(IF('ŞİKAYET KAYIT'!P95="Kapatıldı","",IF('ŞİKAYET KAYIT'!I95="","",'ŞİKAYET KAYIT'!I95)),"")</f>
        <v/>
      </c>
      <c r="G95" s="26" t="str">
        <f>IFERROR(IF('ŞİKAYET KAYIT'!P95="Kapatıldı","",IF('ŞİKAYET KAYIT'!J95="","",'ŞİKAYET KAYIT'!J95)),"")</f>
        <v/>
      </c>
      <c r="H95" s="26" t="str">
        <f>IFERROR(IF('ŞİKAYET KAYIT'!P95="Kapatıldı","",IF('ŞİKAYET KAYIT'!K95="","",'ŞİKAYET KAYIT'!K95)),"")</f>
        <v/>
      </c>
      <c r="I95" s="26" t="str">
        <f>IFERROR(IF('ŞİKAYET KAYIT'!P95="Kapatıldı","",IF('ŞİKAYET KAYIT'!L95="","",'ŞİKAYET KAYIT'!L95)),"")</f>
        <v/>
      </c>
      <c r="J95" s="26" t="str">
        <f>IFERROR(IF('ŞİKAYET KAYIT'!P95="Kapatıldı","",IF('ŞİKAYET KAYIT'!M95="","",'ŞİKAYET KAYIT'!M95)),"")</f>
        <v/>
      </c>
      <c r="K95" s="26" t="str">
        <f>IFERROR(IF('ŞİKAYET KAYIT'!P95="Kapatıldı","",IF('ŞİKAYET KAYIT'!N95="","",'ŞİKAYET KAYIT'!N95)),"")</f>
        <v/>
      </c>
      <c r="L95" s="26" t="str">
        <f>IFERROR(IF('ŞİKAYET KAYIT'!P95="Kapatıldı","",IF('ŞİKAYET KAYIT'!O95="","",'ŞİKAYET KAYIT'!O95)),"")</f>
        <v/>
      </c>
      <c r="M95" s="26" t="str">
        <f>IFERROR(IF('ŞİKAYET KAYIT'!P95="Kapatıldı","",IF('ŞİKAYET KAYIT'!P95="","",'ŞİKAYET KAYIT'!P95)),"")</f>
        <v/>
      </c>
    </row>
    <row r="96" spans="1:13" ht="15" customHeight="1" x14ac:dyDescent="0.3">
      <c r="A96" s="3" t="str">
        <f>IFERROR(IF('ŞİKAYET KAYIT'!P96="Kapatıldı","",IF('ŞİKAYET KAYIT'!A96="","",'ŞİKAYET KAYIT'!A96)),"")</f>
        <v/>
      </c>
      <c r="B96" s="5" t="str">
        <f>IFERROR(IF('ŞİKAYET KAYIT'!P96="Kapatıldı","",IF('ŞİKAYET KAYIT'!B96="","",'ŞİKAYET KAYIT'!B96)),"")</f>
        <v/>
      </c>
      <c r="C96" s="3" t="str">
        <f>IFERROR(IF('ŞİKAYET KAYIT'!P96="Kapatıldı","",IF('ŞİKAYET KAYIT'!D96="","",'ŞİKAYET KAYIT'!D96)),"")</f>
        <v/>
      </c>
      <c r="D96" s="3" t="str">
        <f>IFERROR(IF('ŞİKAYET KAYIT'!P96="Kapatıldı","",IF('ŞİKAYET KAYIT'!F96="","",'ŞİKAYET KAYIT'!F96)),"")</f>
        <v/>
      </c>
      <c r="E96" s="3" t="str">
        <f>IFERROR(IF('ŞİKAYET KAYIT'!P96="Kapatıldı","",IF('ŞİKAYET KAYIT'!H96="","",'ŞİKAYET KAYIT'!H96)),"")</f>
        <v/>
      </c>
      <c r="F96" s="3" t="str">
        <f>IFERROR(IF('ŞİKAYET KAYIT'!P96="Kapatıldı","",IF('ŞİKAYET KAYIT'!I96="","",'ŞİKAYET KAYIT'!I96)),"")</f>
        <v/>
      </c>
      <c r="G96" s="3" t="str">
        <f>IFERROR(IF('ŞİKAYET KAYIT'!P96="Kapatıldı","",IF('ŞİKAYET KAYIT'!J96="","",'ŞİKAYET KAYIT'!J96)),"")</f>
        <v/>
      </c>
      <c r="H96" s="3" t="str">
        <f>IFERROR(IF('ŞİKAYET KAYIT'!P96="Kapatıldı","",IF('ŞİKAYET KAYIT'!K96="","",'ŞİKAYET KAYIT'!K96)),"")</f>
        <v/>
      </c>
      <c r="I96" s="3" t="str">
        <f>IFERROR(IF('ŞİKAYET KAYIT'!P96="Kapatıldı","",IF('ŞİKAYET KAYIT'!L96="","",'ŞİKAYET KAYIT'!L96)),"")</f>
        <v/>
      </c>
      <c r="J96" s="3" t="str">
        <f>IFERROR(IF('ŞİKAYET KAYIT'!P96="Kapatıldı","",IF('ŞİKAYET KAYIT'!M96="","",'ŞİKAYET KAYIT'!M96)),"")</f>
        <v/>
      </c>
      <c r="K96" s="3" t="str">
        <f>IFERROR(IF('ŞİKAYET KAYIT'!P96="Kapatıldı","",IF('ŞİKAYET KAYIT'!N96="","",'ŞİKAYET KAYIT'!N96)),"")</f>
        <v/>
      </c>
      <c r="L96" s="3" t="str">
        <f>IFERROR(IF('ŞİKAYET KAYIT'!P96="Kapatıldı","",IF('ŞİKAYET KAYIT'!O96="","",'ŞİKAYET KAYIT'!O96)),"")</f>
        <v/>
      </c>
      <c r="M96" s="3" t="str">
        <f>IFERROR(IF('ŞİKAYET KAYIT'!P96="Kapatıldı","",IF('ŞİKAYET KAYIT'!P96="","",'ŞİKAYET KAYIT'!P96)),"")</f>
        <v/>
      </c>
    </row>
    <row r="97" spans="1:13" ht="15" customHeight="1" x14ac:dyDescent="0.3">
      <c r="A97" s="26" t="str">
        <f>IFERROR(IF('ŞİKAYET KAYIT'!P97="Kapatıldı","",IF('ŞİKAYET KAYIT'!A97="","",'ŞİKAYET KAYIT'!A97)),"")</f>
        <v/>
      </c>
      <c r="B97" s="8" t="str">
        <f>IFERROR(IF('ŞİKAYET KAYIT'!P97="Kapatıldı","",IF('ŞİKAYET KAYIT'!B97="","",'ŞİKAYET KAYIT'!B97)),"")</f>
        <v/>
      </c>
      <c r="C97" s="26" t="str">
        <f>IFERROR(IF('ŞİKAYET KAYIT'!P97="Kapatıldı","",IF('ŞİKAYET KAYIT'!D97="","",'ŞİKAYET KAYIT'!D97)),"")</f>
        <v/>
      </c>
      <c r="D97" s="26" t="str">
        <f>IFERROR(IF('ŞİKAYET KAYIT'!P97="Kapatıldı","",IF('ŞİKAYET KAYIT'!F97="","",'ŞİKAYET KAYIT'!F97)),"")</f>
        <v/>
      </c>
      <c r="E97" s="26" t="str">
        <f>IFERROR(IF('ŞİKAYET KAYIT'!P97="Kapatıldı","",IF('ŞİKAYET KAYIT'!H97="","",'ŞİKAYET KAYIT'!H97)),"")</f>
        <v/>
      </c>
      <c r="F97" s="26" t="str">
        <f>IFERROR(IF('ŞİKAYET KAYIT'!P97="Kapatıldı","",IF('ŞİKAYET KAYIT'!I97="","",'ŞİKAYET KAYIT'!I97)),"")</f>
        <v/>
      </c>
      <c r="G97" s="26" t="str">
        <f>IFERROR(IF('ŞİKAYET KAYIT'!P97="Kapatıldı","",IF('ŞİKAYET KAYIT'!J97="","",'ŞİKAYET KAYIT'!J97)),"")</f>
        <v/>
      </c>
      <c r="H97" s="26" t="str">
        <f>IFERROR(IF('ŞİKAYET KAYIT'!P97="Kapatıldı","",IF('ŞİKAYET KAYIT'!K97="","",'ŞİKAYET KAYIT'!K97)),"")</f>
        <v/>
      </c>
      <c r="I97" s="26" t="str">
        <f>IFERROR(IF('ŞİKAYET KAYIT'!P97="Kapatıldı","",IF('ŞİKAYET KAYIT'!L97="","",'ŞİKAYET KAYIT'!L97)),"")</f>
        <v/>
      </c>
      <c r="J97" s="26" t="str">
        <f>IFERROR(IF('ŞİKAYET KAYIT'!P97="Kapatıldı","",IF('ŞİKAYET KAYIT'!M97="","",'ŞİKAYET KAYIT'!M97)),"")</f>
        <v/>
      </c>
      <c r="K97" s="26" t="str">
        <f>IFERROR(IF('ŞİKAYET KAYIT'!P97="Kapatıldı","",IF('ŞİKAYET KAYIT'!N97="","",'ŞİKAYET KAYIT'!N97)),"")</f>
        <v/>
      </c>
      <c r="L97" s="26" t="str">
        <f>IFERROR(IF('ŞİKAYET KAYIT'!P97="Kapatıldı","",IF('ŞİKAYET KAYIT'!O97="","",'ŞİKAYET KAYIT'!O97)),"")</f>
        <v/>
      </c>
      <c r="M97" s="26" t="str">
        <f>IFERROR(IF('ŞİKAYET KAYIT'!P97="Kapatıldı","",IF('ŞİKAYET KAYIT'!P97="","",'ŞİKAYET KAYIT'!P97)),"")</f>
        <v/>
      </c>
    </row>
    <row r="98" spans="1:13" ht="15" customHeight="1" x14ac:dyDescent="0.3">
      <c r="A98" s="3" t="str">
        <f>IFERROR(IF('ŞİKAYET KAYIT'!P98="Kapatıldı","",IF('ŞİKAYET KAYIT'!A98="","",'ŞİKAYET KAYIT'!A98)),"")</f>
        <v/>
      </c>
      <c r="B98" s="5" t="str">
        <f>IFERROR(IF('ŞİKAYET KAYIT'!P98="Kapatıldı","",IF('ŞİKAYET KAYIT'!B98="","",'ŞİKAYET KAYIT'!B98)),"")</f>
        <v/>
      </c>
      <c r="C98" s="3" t="str">
        <f>IFERROR(IF('ŞİKAYET KAYIT'!P98="Kapatıldı","",IF('ŞİKAYET KAYIT'!D98="","",'ŞİKAYET KAYIT'!D98)),"")</f>
        <v/>
      </c>
      <c r="D98" s="3" t="str">
        <f>IFERROR(IF('ŞİKAYET KAYIT'!P98="Kapatıldı","",IF('ŞİKAYET KAYIT'!F98="","",'ŞİKAYET KAYIT'!F98)),"")</f>
        <v/>
      </c>
      <c r="E98" s="3" t="str">
        <f>IFERROR(IF('ŞİKAYET KAYIT'!P98="Kapatıldı","",IF('ŞİKAYET KAYIT'!H98="","",'ŞİKAYET KAYIT'!H98)),"")</f>
        <v/>
      </c>
      <c r="F98" s="3" t="str">
        <f>IFERROR(IF('ŞİKAYET KAYIT'!P98="Kapatıldı","",IF('ŞİKAYET KAYIT'!I98="","",'ŞİKAYET KAYIT'!I98)),"")</f>
        <v/>
      </c>
      <c r="G98" s="3" t="str">
        <f>IFERROR(IF('ŞİKAYET KAYIT'!P98="Kapatıldı","",IF('ŞİKAYET KAYIT'!J98="","",'ŞİKAYET KAYIT'!J98)),"")</f>
        <v/>
      </c>
      <c r="H98" s="3" t="str">
        <f>IFERROR(IF('ŞİKAYET KAYIT'!P98="Kapatıldı","",IF('ŞİKAYET KAYIT'!K98="","",'ŞİKAYET KAYIT'!K98)),"")</f>
        <v/>
      </c>
      <c r="I98" s="3" t="str">
        <f>IFERROR(IF('ŞİKAYET KAYIT'!P98="Kapatıldı","",IF('ŞİKAYET KAYIT'!L98="","",'ŞİKAYET KAYIT'!L98)),"")</f>
        <v/>
      </c>
      <c r="J98" s="3" t="str">
        <f>IFERROR(IF('ŞİKAYET KAYIT'!P98="Kapatıldı","",IF('ŞİKAYET KAYIT'!M98="","",'ŞİKAYET KAYIT'!M98)),"")</f>
        <v/>
      </c>
      <c r="K98" s="3" t="str">
        <f>IFERROR(IF('ŞİKAYET KAYIT'!P98="Kapatıldı","",IF('ŞİKAYET KAYIT'!N98="","",'ŞİKAYET KAYIT'!N98)),"")</f>
        <v/>
      </c>
      <c r="L98" s="3" t="str">
        <f>IFERROR(IF('ŞİKAYET KAYIT'!P98="Kapatıldı","",IF('ŞİKAYET KAYIT'!O98="","",'ŞİKAYET KAYIT'!O98)),"")</f>
        <v/>
      </c>
      <c r="M98" s="3" t="str">
        <f>IFERROR(IF('ŞİKAYET KAYIT'!P98="Kapatıldı","",IF('ŞİKAYET KAYIT'!P98="","",'ŞİKAYET KAYIT'!P98)),"")</f>
        <v/>
      </c>
    </row>
    <row r="99" spans="1:13" ht="15" customHeight="1" x14ac:dyDescent="0.3">
      <c r="A99" s="26" t="str">
        <f>IFERROR(IF('ŞİKAYET KAYIT'!P99="Kapatıldı","",IF('ŞİKAYET KAYIT'!A99="","",'ŞİKAYET KAYIT'!A99)),"")</f>
        <v/>
      </c>
      <c r="B99" s="8" t="str">
        <f>IFERROR(IF('ŞİKAYET KAYIT'!P99="Kapatıldı","",IF('ŞİKAYET KAYIT'!B99="","",'ŞİKAYET KAYIT'!B99)),"")</f>
        <v/>
      </c>
      <c r="C99" s="26" t="str">
        <f>IFERROR(IF('ŞİKAYET KAYIT'!P99="Kapatıldı","",IF('ŞİKAYET KAYIT'!D99="","",'ŞİKAYET KAYIT'!D99)),"")</f>
        <v/>
      </c>
      <c r="D99" s="26" t="str">
        <f>IFERROR(IF('ŞİKAYET KAYIT'!P99="Kapatıldı","",IF('ŞİKAYET KAYIT'!F99="","",'ŞİKAYET KAYIT'!F99)),"")</f>
        <v/>
      </c>
      <c r="E99" s="26" t="str">
        <f>IFERROR(IF('ŞİKAYET KAYIT'!P99="Kapatıldı","",IF('ŞİKAYET KAYIT'!H99="","",'ŞİKAYET KAYIT'!H99)),"")</f>
        <v/>
      </c>
      <c r="F99" s="26" t="str">
        <f>IFERROR(IF('ŞİKAYET KAYIT'!P99="Kapatıldı","",IF('ŞİKAYET KAYIT'!I99="","",'ŞİKAYET KAYIT'!I99)),"")</f>
        <v/>
      </c>
      <c r="G99" s="26" t="str">
        <f>IFERROR(IF('ŞİKAYET KAYIT'!P99="Kapatıldı","",IF('ŞİKAYET KAYIT'!J99="","",'ŞİKAYET KAYIT'!J99)),"")</f>
        <v/>
      </c>
      <c r="H99" s="26" t="str">
        <f>IFERROR(IF('ŞİKAYET KAYIT'!P99="Kapatıldı","",IF('ŞİKAYET KAYIT'!K99="","",'ŞİKAYET KAYIT'!K99)),"")</f>
        <v/>
      </c>
      <c r="I99" s="26" t="str">
        <f>IFERROR(IF('ŞİKAYET KAYIT'!P99="Kapatıldı","",IF('ŞİKAYET KAYIT'!L99="","",'ŞİKAYET KAYIT'!L99)),"")</f>
        <v/>
      </c>
      <c r="J99" s="26" t="str">
        <f>IFERROR(IF('ŞİKAYET KAYIT'!P99="Kapatıldı","",IF('ŞİKAYET KAYIT'!M99="","",'ŞİKAYET KAYIT'!M99)),"")</f>
        <v/>
      </c>
      <c r="K99" s="26" t="str">
        <f>IFERROR(IF('ŞİKAYET KAYIT'!P99="Kapatıldı","",IF('ŞİKAYET KAYIT'!N99="","",'ŞİKAYET KAYIT'!N99)),"")</f>
        <v/>
      </c>
      <c r="L99" s="26" t="str">
        <f>IFERROR(IF('ŞİKAYET KAYIT'!P99="Kapatıldı","",IF('ŞİKAYET KAYIT'!O99="","",'ŞİKAYET KAYIT'!O99)),"")</f>
        <v/>
      </c>
      <c r="M99" s="26" t="str">
        <f>IFERROR(IF('ŞİKAYET KAYIT'!P99="Kapatıldı","",IF('ŞİKAYET KAYIT'!P99="","",'ŞİKAYET KAYIT'!P99)),"")</f>
        <v/>
      </c>
    </row>
    <row r="100" spans="1:13" ht="15" customHeight="1" x14ac:dyDescent="0.3">
      <c r="A100" s="3" t="str">
        <f>IFERROR(IF('ŞİKAYET KAYIT'!P100="Kapatıldı","",IF('ŞİKAYET KAYIT'!A100="","",'ŞİKAYET KAYIT'!A100)),"")</f>
        <v/>
      </c>
      <c r="B100" s="5" t="str">
        <f>IFERROR(IF('ŞİKAYET KAYIT'!P100="Kapatıldı","",IF('ŞİKAYET KAYIT'!B100="","",'ŞİKAYET KAYIT'!B100)),"")</f>
        <v/>
      </c>
      <c r="C100" s="3" t="str">
        <f>IFERROR(IF('ŞİKAYET KAYIT'!P100="Kapatıldı","",IF('ŞİKAYET KAYIT'!D100="","",'ŞİKAYET KAYIT'!D100)),"")</f>
        <v/>
      </c>
      <c r="D100" s="3" t="str">
        <f>IFERROR(IF('ŞİKAYET KAYIT'!P100="Kapatıldı","",IF('ŞİKAYET KAYIT'!F100="","",'ŞİKAYET KAYIT'!F100)),"")</f>
        <v/>
      </c>
      <c r="E100" s="3" t="str">
        <f>IFERROR(IF('ŞİKAYET KAYIT'!P100="Kapatıldı","",IF('ŞİKAYET KAYIT'!H100="","",'ŞİKAYET KAYIT'!H100)),"")</f>
        <v/>
      </c>
      <c r="F100" s="3" t="str">
        <f>IFERROR(IF('ŞİKAYET KAYIT'!P100="Kapatıldı","",IF('ŞİKAYET KAYIT'!I100="","",'ŞİKAYET KAYIT'!I100)),"")</f>
        <v/>
      </c>
      <c r="G100" s="3" t="str">
        <f>IFERROR(IF('ŞİKAYET KAYIT'!P100="Kapatıldı","",IF('ŞİKAYET KAYIT'!J100="","",'ŞİKAYET KAYIT'!J100)),"")</f>
        <v/>
      </c>
      <c r="H100" s="3" t="str">
        <f>IFERROR(IF('ŞİKAYET KAYIT'!P100="Kapatıldı","",IF('ŞİKAYET KAYIT'!K100="","",'ŞİKAYET KAYIT'!K100)),"")</f>
        <v/>
      </c>
      <c r="I100" s="3" t="str">
        <f>IFERROR(IF('ŞİKAYET KAYIT'!P100="Kapatıldı","",IF('ŞİKAYET KAYIT'!L100="","",'ŞİKAYET KAYIT'!L100)),"")</f>
        <v/>
      </c>
      <c r="J100" s="3" t="str">
        <f>IFERROR(IF('ŞİKAYET KAYIT'!P100="Kapatıldı","",IF('ŞİKAYET KAYIT'!M100="","",'ŞİKAYET KAYIT'!M100)),"")</f>
        <v/>
      </c>
      <c r="K100" s="3" t="str">
        <f>IFERROR(IF('ŞİKAYET KAYIT'!P100="Kapatıldı","",IF('ŞİKAYET KAYIT'!N100="","",'ŞİKAYET KAYIT'!N100)),"")</f>
        <v/>
      </c>
      <c r="L100" s="3" t="str">
        <f>IFERROR(IF('ŞİKAYET KAYIT'!P100="Kapatıldı","",IF('ŞİKAYET KAYIT'!O100="","",'ŞİKAYET KAYIT'!O100)),"")</f>
        <v/>
      </c>
      <c r="M100" s="3" t="str">
        <f>IFERROR(IF('ŞİKAYET KAYIT'!P100="Kapatıldı","",IF('ŞİKAYET KAYIT'!P100="","",'ŞİKAYET KAYIT'!P100)),"")</f>
        <v/>
      </c>
    </row>
    <row r="101" spans="1:13" ht="15" customHeight="1" x14ac:dyDescent="0.3">
      <c r="A101" s="26" t="str">
        <f>IFERROR(IF('ŞİKAYET KAYIT'!P101="Kapatıldı","",IF('ŞİKAYET KAYIT'!A101="","",'ŞİKAYET KAYIT'!A101)),"")</f>
        <v/>
      </c>
      <c r="B101" s="8" t="str">
        <f>IFERROR(IF('ŞİKAYET KAYIT'!P101="Kapatıldı","",IF('ŞİKAYET KAYIT'!B101="","",'ŞİKAYET KAYIT'!B101)),"")</f>
        <v/>
      </c>
      <c r="C101" s="26" t="str">
        <f>IFERROR(IF('ŞİKAYET KAYIT'!P101="Kapatıldı","",IF('ŞİKAYET KAYIT'!D101="","",'ŞİKAYET KAYIT'!D101)),"")</f>
        <v/>
      </c>
      <c r="D101" s="26" t="str">
        <f>IFERROR(IF('ŞİKAYET KAYIT'!P101="Kapatıldı","",IF('ŞİKAYET KAYIT'!F101="","",'ŞİKAYET KAYIT'!F101)),"")</f>
        <v/>
      </c>
      <c r="E101" s="26" t="str">
        <f>IFERROR(IF('ŞİKAYET KAYIT'!P101="Kapatıldı","",IF('ŞİKAYET KAYIT'!H101="","",'ŞİKAYET KAYIT'!H101)),"")</f>
        <v/>
      </c>
      <c r="F101" s="26" t="str">
        <f>IFERROR(IF('ŞİKAYET KAYIT'!P101="Kapatıldı","",IF('ŞİKAYET KAYIT'!I101="","",'ŞİKAYET KAYIT'!I101)),"")</f>
        <v/>
      </c>
      <c r="G101" s="26" t="str">
        <f>IFERROR(IF('ŞİKAYET KAYIT'!P101="Kapatıldı","",IF('ŞİKAYET KAYIT'!J101="","",'ŞİKAYET KAYIT'!J101)),"")</f>
        <v/>
      </c>
      <c r="H101" s="26" t="str">
        <f>IFERROR(IF('ŞİKAYET KAYIT'!P101="Kapatıldı","",IF('ŞİKAYET KAYIT'!K101="","",'ŞİKAYET KAYIT'!K101)),"")</f>
        <v/>
      </c>
      <c r="I101" s="26" t="str">
        <f>IFERROR(IF('ŞİKAYET KAYIT'!P101="Kapatıldı","",IF('ŞİKAYET KAYIT'!L101="","",'ŞİKAYET KAYIT'!L101)),"")</f>
        <v/>
      </c>
      <c r="J101" s="26" t="str">
        <f>IFERROR(IF('ŞİKAYET KAYIT'!P101="Kapatıldı","",IF('ŞİKAYET KAYIT'!M101="","",'ŞİKAYET KAYIT'!M101)),"")</f>
        <v/>
      </c>
      <c r="K101" s="26" t="str">
        <f>IFERROR(IF('ŞİKAYET KAYIT'!P101="Kapatıldı","",IF('ŞİKAYET KAYIT'!N101="","",'ŞİKAYET KAYIT'!N101)),"")</f>
        <v/>
      </c>
      <c r="L101" s="26" t="str">
        <f>IFERROR(IF('ŞİKAYET KAYIT'!P101="Kapatıldı","",IF('ŞİKAYET KAYIT'!O101="","",'ŞİKAYET KAYIT'!O101)),"")</f>
        <v/>
      </c>
      <c r="M101" s="26" t="str">
        <f>IFERROR(IF('ŞİKAYET KAYIT'!P101="Kapatıldı","",IF('ŞİKAYET KAYIT'!P101="","",'ŞİKAYET KAYIT'!P101)),"")</f>
        <v/>
      </c>
    </row>
    <row r="102" spans="1:13" ht="15" customHeight="1" x14ac:dyDescent="0.3">
      <c r="A102" s="3" t="str">
        <f>IFERROR(IF('ŞİKAYET KAYIT'!P102="Kapatıldı","",IF('ŞİKAYET KAYIT'!A102="","",'ŞİKAYET KAYIT'!A102)),"")</f>
        <v/>
      </c>
      <c r="B102" s="5" t="str">
        <f>IFERROR(IF('ŞİKAYET KAYIT'!P102="Kapatıldı","",IF('ŞİKAYET KAYIT'!B102="","",'ŞİKAYET KAYIT'!B102)),"")</f>
        <v/>
      </c>
      <c r="C102" s="3" t="str">
        <f>IFERROR(IF('ŞİKAYET KAYIT'!P102="Kapatıldı","",IF('ŞİKAYET KAYIT'!D102="","",'ŞİKAYET KAYIT'!D102)),"")</f>
        <v/>
      </c>
      <c r="D102" s="3" t="str">
        <f>IFERROR(IF('ŞİKAYET KAYIT'!P102="Kapatıldı","",IF('ŞİKAYET KAYIT'!F102="","",'ŞİKAYET KAYIT'!F102)),"")</f>
        <v/>
      </c>
      <c r="E102" s="3" t="str">
        <f>IFERROR(IF('ŞİKAYET KAYIT'!P102="Kapatıldı","",IF('ŞİKAYET KAYIT'!H102="","",'ŞİKAYET KAYIT'!H102)),"")</f>
        <v/>
      </c>
      <c r="F102" s="3" t="str">
        <f>IFERROR(IF('ŞİKAYET KAYIT'!P102="Kapatıldı","",IF('ŞİKAYET KAYIT'!I102="","",'ŞİKAYET KAYIT'!I102)),"")</f>
        <v/>
      </c>
      <c r="G102" s="3" t="str">
        <f>IFERROR(IF('ŞİKAYET KAYIT'!P102="Kapatıldı","",IF('ŞİKAYET KAYIT'!J102="","",'ŞİKAYET KAYIT'!J102)),"")</f>
        <v/>
      </c>
      <c r="H102" s="3" t="str">
        <f>IFERROR(IF('ŞİKAYET KAYIT'!P102="Kapatıldı","",IF('ŞİKAYET KAYIT'!K102="","",'ŞİKAYET KAYIT'!K102)),"")</f>
        <v/>
      </c>
      <c r="I102" s="3" t="str">
        <f>IFERROR(IF('ŞİKAYET KAYIT'!P102="Kapatıldı","",IF('ŞİKAYET KAYIT'!L102="","",'ŞİKAYET KAYIT'!L102)),"")</f>
        <v/>
      </c>
      <c r="J102" s="3" t="str">
        <f>IFERROR(IF('ŞİKAYET KAYIT'!P102="Kapatıldı","",IF('ŞİKAYET KAYIT'!M102="","",'ŞİKAYET KAYIT'!M102)),"")</f>
        <v/>
      </c>
      <c r="K102" s="3" t="str">
        <f>IFERROR(IF('ŞİKAYET KAYIT'!P102="Kapatıldı","",IF('ŞİKAYET KAYIT'!N102="","",'ŞİKAYET KAYIT'!N102)),"")</f>
        <v/>
      </c>
      <c r="L102" s="3" t="str">
        <f>IFERROR(IF('ŞİKAYET KAYIT'!P102="Kapatıldı","",IF('ŞİKAYET KAYIT'!O102="","",'ŞİKAYET KAYIT'!O102)),"")</f>
        <v/>
      </c>
      <c r="M102" s="3" t="str">
        <f>IFERROR(IF('ŞİKAYET KAYIT'!P102="Kapatıldı","",IF('ŞİKAYET KAYIT'!P102="","",'ŞİKAYET KAYIT'!P102)),"")</f>
        <v/>
      </c>
    </row>
    <row r="103" spans="1:13" ht="15" customHeight="1" x14ac:dyDescent="0.3">
      <c r="A103" s="26" t="str">
        <f>IFERROR(IF('ŞİKAYET KAYIT'!P103="Kapatıldı","",IF('ŞİKAYET KAYIT'!A103="","",'ŞİKAYET KAYIT'!A103)),"")</f>
        <v/>
      </c>
      <c r="B103" s="8" t="str">
        <f>IFERROR(IF('ŞİKAYET KAYIT'!P103="Kapatıldı","",IF('ŞİKAYET KAYIT'!B103="","",'ŞİKAYET KAYIT'!B103)),"")</f>
        <v/>
      </c>
      <c r="C103" s="26" t="str">
        <f>IFERROR(IF('ŞİKAYET KAYIT'!P103="Kapatıldı","",IF('ŞİKAYET KAYIT'!D103="","",'ŞİKAYET KAYIT'!D103)),"")</f>
        <v/>
      </c>
      <c r="D103" s="26" t="str">
        <f>IFERROR(IF('ŞİKAYET KAYIT'!P103="Kapatıldı","",IF('ŞİKAYET KAYIT'!F103="","",'ŞİKAYET KAYIT'!F103)),"")</f>
        <v/>
      </c>
      <c r="E103" s="26" t="str">
        <f>IFERROR(IF('ŞİKAYET KAYIT'!P103="Kapatıldı","",IF('ŞİKAYET KAYIT'!H103="","",'ŞİKAYET KAYIT'!H103)),"")</f>
        <v/>
      </c>
      <c r="F103" s="26" t="str">
        <f>IFERROR(IF('ŞİKAYET KAYIT'!P103="Kapatıldı","",IF('ŞİKAYET KAYIT'!I103="","",'ŞİKAYET KAYIT'!I103)),"")</f>
        <v/>
      </c>
      <c r="G103" s="26" t="str">
        <f>IFERROR(IF('ŞİKAYET KAYIT'!P103="Kapatıldı","",IF('ŞİKAYET KAYIT'!J103="","",'ŞİKAYET KAYIT'!J103)),"")</f>
        <v/>
      </c>
      <c r="H103" s="26" t="str">
        <f>IFERROR(IF('ŞİKAYET KAYIT'!P103="Kapatıldı","",IF('ŞİKAYET KAYIT'!K103="","",'ŞİKAYET KAYIT'!K103)),"")</f>
        <v/>
      </c>
      <c r="I103" s="26" t="str">
        <f>IFERROR(IF('ŞİKAYET KAYIT'!P103="Kapatıldı","",IF('ŞİKAYET KAYIT'!L103="","",'ŞİKAYET KAYIT'!L103)),"")</f>
        <v/>
      </c>
      <c r="J103" s="26" t="str">
        <f>IFERROR(IF('ŞİKAYET KAYIT'!P103="Kapatıldı","",IF('ŞİKAYET KAYIT'!M103="","",'ŞİKAYET KAYIT'!M103)),"")</f>
        <v/>
      </c>
      <c r="K103" s="26" t="str">
        <f>IFERROR(IF('ŞİKAYET KAYIT'!P103="Kapatıldı","",IF('ŞİKAYET KAYIT'!N103="","",'ŞİKAYET KAYIT'!N103)),"")</f>
        <v/>
      </c>
      <c r="L103" s="26" t="str">
        <f>IFERROR(IF('ŞİKAYET KAYIT'!P103="Kapatıldı","",IF('ŞİKAYET KAYIT'!O103="","",'ŞİKAYET KAYIT'!O103)),"")</f>
        <v/>
      </c>
      <c r="M103" s="26" t="str">
        <f>IFERROR(IF('ŞİKAYET KAYIT'!P103="Kapatıldı","",IF('ŞİKAYET KAYIT'!P103="","",'ŞİKAYET KAYIT'!P103)),"")</f>
        <v/>
      </c>
    </row>
    <row r="104" spans="1:13" ht="15" customHeight="1" x14ac:dyDescent="0.3">
      <c r="A104" s="3" t="str">
        <f>IFERROR(IF('ŞİKAYET KAYIT'!P104="Kapatıldı","",IF('ŞİKAYET KAYIT'!A104="","",'ŞİKAYET KAYIT'!A104)),"")</f>
        <v/>
      </c>
      <c r="B104" s="5" t="str">
        <f>IFERROR(IF('ŞİKAYET KAYIT'!P104="Kapatıldı","",IF('ŞİKAYET KAYIT'!B104="","",'ŞİKAYET KAYIT'!B104)),"")</f>
        <v/>
      </c>
      <c r="C104" s="3" t="str">
        <f>IFERROR(IF('ŞİKAYET KAYIT'!P104="Kapatıldı","",IF('ŞİKAYET KAYIT'!D104="","",'ŞİKAYET KAYIT'!D104)),"")</f>
        <v/>
      </c>
      <c r="D104" s="3" t="str">
        <f>IFERROR(IF('ŞİKAYET KAYIT'!P104="Kapatıldı","",IF('ŞİKAYET KAYIT'!F104="","",'ŞİKAYET KAYIT'!F104)),"")</f>
        <v/>
      </c>
      <c r="E104" s="3" t="str">
        <f>IFERROR(IF('ŞİKAYET KAYIT'!P104="Kapatıldı","",IF('ŞİKAYET KAYIT'!H104="","",'ŞİKAYET KAYIT'!H104)),"")</f>
        <v/>
      </c>
      <c r="F104" s="3" t="str">
        <f>IFERROR(IF('ŞİKAYET KAYIT'!P104="Kapatıldı","",IF('ŞİKAYET KAYIT'!I104="","",'ŞİKAYET KAYIT'!I104)),"")</f>
        <v/>
      </c>
      <c r="G104" s="3" t="str">
        <f>IFERROR(IF('ŞİKAYET KAYIT'!P104="Kapatıldı","",IF('ŞİKAYET KAYIT'!J104="","",'ŞİKAYET KAYIT'!J104)),"")</f>
        <v/>
      </c>
      <c r="H104" s="3" t="str">
        <f>IFERROR(IF('ŞİKAYET KAYIT'!P104="Kapatıldı","",IF('ŞİKAYET KAYIT'!K104="","",'ŞİKAYET KAYIT'!K104)),"")</f>
        <v/>
      </c>
      <c r="I104" s="3" t="str">
        <f>IFERROR(IF('ŞİKAYET KAYIT'!P104="Kapatıldı","",IF('ŞİKAYET KAYIT'!L104="","",'ŞİKAYET KAYIT'!L104)),"")</f>
        <v/>
      </c>
      <c r="J104" s="3" t="str">
        <f>IFERROR(IF('ŞİKAYET KAYIT'!P104="Kapatıldı","",IF('ŞİKAYET KAYIT'!M104="","",'ŞİKAYET KAYIT'!M104)),"")</f>
        <v/>
      </c>
      <c r="K104" s="3" t="str">
        <f>IFERROR(IF('ŞİKAYET KAYIT'!P104="Kapatıldı","",IF('ŞİKAYET KAYIT'!N104="","",'ŞİKAYET KAYIT'!N104)),"")</f>
        <v/>
      </c>
      <c r="L104" s="3" t="str">
        <f>IFERROR(IF('ŞİKAYET KAYIT'!P104="Kapatıldı","",IF('ŞİKAYET KAYIT'!O104="","",'ŞİKAYET KAYIT'!O104)),"")</f>
        <v/>
      </c>
      <c r="M104" s="3" t="str">
        <f>IFERROR(IF('ŞİKAYET KAYIT'!P104="Kapatıldı","",IF('ŞİKAYET KAYIT'!P104="","",'ŞİKAYET KAYIT'!P104)),"")</f>
        <v/>
      </c>
    </row>
    <row r="105" spans="1:13" ht="15" customHeight="1" x14ac:dyDescent="0.3">
      <c r="A105" s="26" t="str">
        <f>IFERROR(IF('ŞİKAYET KAYIT'!P105="Kapatıldı","",IF('ŞİKAYET KAYIT'!A105="","",'ŞİKAYET KAYIT'!A105)),"")</f>
        <v/>
      </c>
      <c r="B105" s="8" t="str">
        <f>IFERROR(IF('ŞİKAYET KAYIT'!P105="Kapatıldı","",IF('ŞİKAYET KAYIT'!B105="","",'ŞİKAYET KAYIT'!B105)),"")</f>
        <v/>
      </c>
      <c r="C105" s="26" t="str">
        <f>IFERROR(IF('ŞİKAYET KAYIT'!P105="Kapatıldı","",IF('ŞİKAYET KAYIT'!D105="","",'ŞİKAYET KAYIT'!D105)),"")</f>
        <v/>
      </c>
      <c r="D105" s="26" t="str">
        <f>IFERROR(IF('ŞİKAYET KAYIT'!P105="Kapatıldı","",IF('ŞİKAYET KAYIT'!F105="","",'ŞİKAYET KAYIT'!F105)),"")</f>
        <v/>
      </c>
      <c r="E105" s="26" t="str">
        <f>IFERROR(IF('ŞİKAYET KAYIT'!P105="Kapatıldı","",IF('ŞİKAYET KAYIT'!H105="","",'ŞİKAYET KAYIT'!H105)),"")</f>
        <v/>
      </c>
      <c r="F105" s="26" t="str">
        <f>IFERROR(IF('ŞİKAYET KAYIT'!P105="Kapatıldı","",IF('ŞİKAYET KAYIT'!I105="","",'ŞİKAYET KAYIT'!I105)),"")</f>
        <v/>
      </c>
      <c r="G105" s="26" t="str">
        <f>IFERROR(IF('ŞİKAYET KAYIT'!P105="Kapatıldı","",IF('ŞİKAYET KAYIT'!J105="","",'ŞİKAYET KAYIT'!J105)),"")</f>
        <v/>
      </c>
      <c r="H105" s="26" t="str">
        <f>IFERROR(IF('ŞİKAYET KAYIT'!P105="Kapatıldı","",IF('ŞİKAYET KAYIT'!K105="","",'ŞİKAYET KAYIT'!K105)),"")</f>
        <v/>
      </c>
      <c r="I105" s="26" t="str">
        <f>IFERROR(IF('ŞİKAYET KAYIT'!P105="Kapatıldı","",IF('ŞİKAYET KAYIT'!L105="","",'ŞİKAYET KAYIT'!L105)),"")</f>
        <v/>
      </c>
      <c r="J105" s="26" t="str">
        <f>IFERROR(IF('ŞİKAYET KAYIT'!P105="Kapatıldı","",IF('ŞİKAYET KAYIT'!M105="","",'ŞİKAYET KAYIT'!M105)),"")</f>
        <v/>
      </c>
      <c r="K105" s="26" t="str">
        <f>IFERROR(IF('ŞİKAYET KAYIT'!P105="Kapatıldı","",IF('ŞİKAYET KAYIT'!N105="","",'ŞİKAYET KAYIT'!N105)),"")</f>
        <v/>
      </c>
      <c r="L105" s="26" t="str">
        <f>IFERROR(IF('ŞİKAYET KAYIT'!P105="Kapatıldı","",IF('ŞİKAYET KAYIT'!O105="","",'ŞİKAYET KAYIT'!O105)),"")</f>
        <v/>
      </c>
      <c r="M105" s="26" t="str">
        <f>IFERROR(IF('ŞİKAYET KAYIT'!P105="Kapatıldı","",IF('ŞİKAYET KAYIT'!P105="","",'ŞİKAYET KAYIT'!P105)),"")</f>
        <v/>
      </c>
    </row>
    <row r="106" spans="1:13" ht="15" customHeight="1" x14ac:dyDescent="0.3">
      <c r="A106" s="3" t="str">
        <f>IFERROR(IF('ŞİKAYET KAYIT'!P106="Kapatıldı","",IF('ŞİKAYET KAYIT'!A106="","",'ŞİKAYET KAYIT'!A106)),"")</f>
        <v/>
      </c>
      <c r="B106" s="5" t="str">
        <f>IFERROR(IF('ŞİKAYET KAYIT'!P106="Kapatıldı","",IF('ŞİKAYET KAYIT'!B106="","",'ŞİKAYET KAYIT'!B106)),"")</f>
        <v/>
      </c>
      <c r="C106" s="3" t="str">
        <f>IFERROR(IF('ŞİKAYET KAYIT'!P106="Kapatıldı","",IF('ŞİKAYET KAYIT'!D106="","",'ŞİKAYET KAYIT'!D106)),"")</f>
        <v/>
      </c>
      <c r="D106" s="3" t="str">
        <f>IFERROR(IF('ŞİKAYET KAYIT'!P106="Kapatıldı","",IF('ŞİKAYET KAYIT'!F106="","",'ŞİKAYET KAYIT'!F106)),"")</f>
        <v/>
      </c>
      <c r="E106" s="3" t="str">
        <f>IFERROR(IF('ŞİKAYET KAYIT'!P106="Kapatıldı","",IF('ŞİKAYET KAYIT'!H106="","",'ŞİKAYET KAYIT'!H106)),"")</f>
        <v/>
      </c>
      <c r="F106" s="3" t="str">
        <f>IFERROR(IF('ŞİKAYET KAYIT'!P106="Kapatıldı","",IF('ŞİKAYET KAYIT'!I106="","",'ŞİKAYET KAYIT'!I106)),"")</f>
        <v/>
      </c>
      <c r="G106" s="3" t="str">
        <f>IFERROR(IF('ŞİKAYET KAYIT'!P106="Kapatıldı","",IF('ŞİKAYET KAYIT'!J106="","",'ŞİKAYET KAYIT'!J106)),"")</f>
        <v/>
      </c>
      <c r="H106" s="3" t="str">
        <f>IFERROR(IF('ŞİKAYET KAYIT'!P106="Kapatıldı","",IF('ŞİKAYET KAYIT'!K106="","",'ŞİKAYET KAYIT'!K106)),"")</f>
        <v/>
      </c>
      <c r="I106" s="3" t="str">
        <f>IFERROR(IF('ŞİKAYET KAYIT'!P106="Kapatıldı","",IF('ŞİKAYET KAYIT'!L106="","",'ŞİKAYET KAYIT'!L106)),"")</f>
        <v/>
      </c>
      <c r="J106" s="3" t="str">
        <f>IFERROR(IF('ŞİKAYET KAYIT'!P106="Kapatıldı","",IF('ŞİKAYET KAYIT'!M106="","",'ŞİKAYET KAYIT'!M106)),"")</f>
        <v/>
      </c>
      <c r="K106" s="3" t="str">
        <f>IFERROR(IF('ŞİKAYET KAYIT'!P106="Kapatıldı","",IF('ŞİKAYET KAYIT'!N106="","",'ŞİKAYET KAYIT'!N106)),"")</f>
        <v/>
      </c>
      <c r="L106" s="3" t="str">
        <f>IFERROR(IF('ŞİKAYET KAYIT'!P106="Kapatıldı","",IF('ŞİKAYET KAYIT'!O106="","",'ŞİKAYET KAYIT'!O106)),"")</f>
        <v/>
      </c>
      <c r="M106" s="3" t="str">
        <f>IFERROR(IF('ŞİKAYET KAYIT'!P106="Kapatıldı","",IF('ŞİKAYET KAYIT'!P106="","",'ŞİKAYET KAYIT'!P106)),"")</f>
        <v/>
      </c>
    </row>
    <row r="107" spans="1:13" ht="15" customHeight="1" x14ac:dyDescent="0.3">
      <c r="A107" s="26" t="str">
        <f>IFERROR(IF('ŞİKAYET KAYIT'!P107="Kapatıldı","",IF('ŞİKAYET KAYIT'!A107="","",'ŞİKAYET KAYIT'!A107)),"")</f>
        <v/>
      </c>
      <c r="B107" s="8" t="str">
        <f>IFERROR(IF('ŞİKAYET KAYIT'!P107="Kapatıldı","",IF('ŞİKAYET KAYIT'!B107="","",'ŞİKAYET KAYIT'!B107)),"")</f>
        <v/>
      </c>
      <c r="C107" s="26" t="str">
        <f>IFERROR(IF('ŞİKAYET KAYIT'!P107="Kapatıldı","",IF('ŞİKAYET KAYIT'!D107="","",'ŞİKAYET KAYIT'!D107)),"")</f>
        <v/>
      </c>
      <c r="D107" s="26" t="str">
        <f>IFERROR(IF('ŞİKAYET KAYIT'!P107="Kapatıldı","",IF('ŞİKAYET KAYIT'!F107="","",'ŞİKAYET KAYIT'!F107)),"")</f>
        <v/>
      </c>
      <c r="E107" s="26" t="str">
        <f>IFERROR(IF('ŞİKAYET KAYIT'!P107="Kapatıldı","",IF('ŞİKAYET KAYIT'!H107="","",'ŞİKAYET KAYIT'!H107)),"")</f>
        <v/>
      </c>
      <c r="F107" s="26" t="str">
        <f>IFERROR(IF('ŞİKAYET KAYIT'!P107="Kapatıldı","",IF('ŞİKAYET KAYIT'!I107="","",'ŞİKAYET KAYIT'!I107)),"")</f>
        <v/>
      </c>
      <c r="G107" s="26" t="str">
        <f>IFERROR(IF('ŞİKAYET KAYIT'!P107="Kapatıldı","",IF('ŞİKAYET KAYIT'!J107="","",'ŞİKAYET KAYIT'!J107)),"")</f>
        <v/>
      </c>
      <c r="H107" s="26" t="str">
        <f>IFERROR(IF('ŞİKAYET KAYIT'!P107="Kapatıldı","",IF('ŞİKAYET KAYIT'!K107="","",'ŞİKAYET KAYIT'!K107)),"")</f>
        <v/>
      </c>
      <c r="I107" s="26" t="str">
        <f>IFERROR(IF('ŞİKAYET KAYIT'!P107="Kapatıldı","",IF('ŞİKAYET KAYIT'!L107="","",'ŞİKAYET KAYIT'!L107)),"")</f>
        <v/>
      </c>
      <c r="J107" s="26" t="str">
        <f>IFERROR(IF('ŞİKAYET KAYIT'!P107="Kapatıldı","",IF('ŞİKAYET KAYIT'!M107="","",'ŞİKAYET KAYIT'!M107)),"")</f>
        <v/>
      </c>
      <c r="K107" s="26" t="str">
        <f>IFERROR(IF('ŞİKAYET KAYIT'!P107="Kapatıldı","",IF('ŞİKAYET KAYIT'!N107="","",'ŞİKAYET KAYIT'!N107)),"")</f>
        <v/>
      </c>
      <c r="L107" s="26" t="str">
        <f>IFERROR(IF('ŞİKAYET KAYIT'!P107="Kapatıldı","",IF('ŞİKAYET KAYIT'!O107="","",'ŞİKAYET KAYIT'!O107)),"")</f>
        <v/>
      </c>
      <c r="M107" s="26" t="str">
        <f>IFERROR(IF('ŞİKAYET KAYIT'!P107="Kapatıldı","",IF('ŞİKAYET KAYIT'!P107="","",'ŞİKAYET KAYIT'!P107)),"")</f>
        <v/>
      </c>
    </row>
    <row r="108" spans="1:13" ht="15" customHeight="1" x14ac:dyDescent="0.3">
      <c r="A108" s="3" t="str">
        <f>IFERROR(IF('ŞİKAYET KAYIT'!P108="Kapatıldı","",IF('ŞİKAYET KAYIT'!A108="","",'ŞİKAYET KAYIT'!A108)),"")</f>
        <v/>
      </c>
      <c r="B108" s="5" t="str">
        <f>IFERROR(IF('ŞİKAYET KAYIT'!P108="Kapatıldı","",IF('ŞİKAYET KAYIT'!B108="","",'ŞİKAYET KAYIT'!B108)),"")</f>
        <v/>
      </c>
      <c r="C108" s="3" t="str">
        <f>IFERROR(IF('ŞİKAYET KAYIT'!P108="Kapatıldı","",IF('ŞİKAYET KAYIT'!D108="","",'ŞİKAYET KAYIT'!D108)),"")</f>
        <v/>
      </c>
      <c r="D108" s="3" t="str">
        <f>IFERROR(IF('ŞİKAYET KAYIT'!P108="Kapatıldı","",IF('ŞİKAYET KAYIT'!F108="","",'ŞİKAYET KAYIT'!F108)),"")</f>
        <v/>
      </c>
      <c r="E108" s="3" t="str">
        <f>IFERROR(IF('ŞİKAYET KAYIT'!P108="Kapatıldı","",IF('ŞİKAYET KAYIT'!H108="","",'ŞİKAYET KAYIT'!H108)),"")</f>
        <v/>
      </c>
      <c r="F108" s="3" t="str">
        <f>IFERROR(IF('ŞİKAYET KAYIT'!P108="Kapatıldı","",IF('ŞİKAYET KAYIT'!I108="","",'ŞİKAYET KAYIT'!I108)),"")</f>
        <v/>
      </c>
      <c r="G108" s="3" t="str">
        <f>IFERROR(IF('ŞİKAYET KAYIT'!P108="Kapatıldı","",IF('ŞİKAYET KAYIT'!J108="","",'ŞİKAYET KAYIT'!J108)),"")</f>
        <v/>
      </c>
      <c r="H108" s="3" t="str">
        <f>IFERROR(IF('ŞİKAYET KAYIT'!P108="Kapatıldı","",IF('ŞİKAYET KAYIT'!K108="","",'ŞİKAYET KAYIT'!K108)),"")</f>
        <v/>
      </c>
      <c r="I108" s="3" t="str">
        <f>IFERROR(IF('ŞİKAYET KAYIT'!P108="Kapatıldı","",IF('ŞİKAYET KAYIT'!L108="","",'ŞİKAYET KAYIT'!L108)),"")</f>
        <v/>
      </c>
      <c r="J108" s="3" t="str">
        <f>IFERROR(IF('ŞİKAYET KAYIT'!P108="Kapatıldı","",IF('ŞİKAYET KAYIT'!M108="","",'ŞİKAYET KAYIT'!M108)),"")</f>
        <v/>
      </c>
      <c r="K108" s="3" t="str">
        <f>IFERROR(IF('ŞİKAYET KAYIT'!P108="Kapatıldı","",IF('ŞİKAYET KAYIT'!N108="","",'ŞİKAYET KAYIT'!N108)),"")</f>
        <v/>
      </c>
      <c r="L108" s="3" t="str">
        <f>IFERROR(IF('ŞİKAYET KAYIT'!P108="Kapatıldı","",IF('ŞİKAYET KAYIT'!O108="","",'ŞİKAYET KAYIT'!O108)),"")</f>
        <v/>
      </c>
      <c r="M108" s="3" t="str">
        <f>IFERROR(IF('ŞİKAYET KAYIT'!P108="Kapatıldı","",IF('ŞİKAYET KAYIT'!P108="","",'ŞİKAYET KAYIT'!P108)),"")</f>
        <v/>
      </c>
    </row>
    <row r="109" spans="1:13" ht="15" customHeight="1" x14ac:dyDescent="0.3">
      <c r="A109" s="26" t="str">
        <f>IFERROR(IF('ŞİKAYET KAYIT'!P109="Kapatıldı","",IF('ŞİKAYET KAYIT'!A109="","",'ŞİKAYET KAYIT'!A109)),"")</f>
        <v/>
      </c>
      <c r="B109" s="8" t="str">
        <f>IFERROR(IF('ŞİKAYET KAYIT'!P109="Kapatıldı","",IF('ŞİKAYET KAYIT'!B109="","",'ŞİKAYET KAYIT'!B109)),"")</f>
        <v/>
      </c>
      <c r="C109" s="26" t="str">
        <f>IFERROR(IF('ŞİKAYET KAYIT'!P109="Kapatıldı","",IF('ŞİKAYET KAYIT'!D109="","",'ŞİKAYET KAYIT'!D109)),"")</f>
        <v/>
      </c>
      <c r="D109" s="26" t="str">
        <f>IFERROR(IF('ŞİKAYET KAYIT'!P109="Kapatıldı","",IF('ŞİKAYET KAYIT'!F109="","",'ŞİKAYET KAYIT'!F109)),"")</f>
        <v/>
      </c>
      <c r="E109" s="26" t="str">
        <f>IFERROR(IF('ŞİKAYET KAYIT'!P109="Kapatıldı","",IF('ŞİKAYET KAYIT'!H109="","",'ŞİKAYET KAYIT'!H109)),"")</f>
        <v/>
      </c>
      <c r="F109" s="26" t="str">
        <f>IFERROR(IF('ŞİKAYET KAYIT'!P109="Kapatıldı","",IF('ŞİKAYET KAYIT'!I109="","",'ŞİKAYET KAYIT'!I109)),"")</f>
        <v/>
      </c>
      <c r="G109" s="26" t="str">
        <f>IFERROR(IF('ŞİKAYET KAYIT'!P109="Kapatıldı","",IF('ŞİKAYET KAYIT'!J109="","",'ŞİKAYET KAYIT'!J109)),"")</f>
        <v/>
      </c>
      <c r="H109" s="26" t="str">
        <f>IFERROR(IF('ŞİKAYET KAYIT'!P109="Kapatıldı","",IF('ŞİKAYET KAYIT'!K109="","",'ŞİKAYET KAYIT'!K109)),"")</f>
        <v/>
      </c>
      <c r="I109" s="26" t="str">
        <f>IFERROR(IF('ŞİKAYET KAYIT'!P109="Kapatıldı","",IF('ŞİKAYET KAYIT'!L109="","",'ŞİKAYET KAYIT'!L109)),"")</f>
        <v/>
      </c>
      <c r="J109" s="26" t="str">
        <f>IFERROR(IF('ŞİKAYET KAYIT'!P109="Kapatıldı","",IF('ŞİKAYET KAYIT'!M109="","",'ŞİKAYET KAYIT'!M109)),"")</f>
        <v/>
      </c>
      <c r="K109" s="26" t="str">
        <f>IFERROR(IF('ŞİKAYET KAYIT'!P109="Kapatıldı","",IF('ŞİKAYET KAYIT'!N109="","",'ŞİKAYET KAYIT'!N109)),"")</f>
        <v/>
      </c>
      <c r="L109" s="26" t="str">
        <f>IFERROR(IF('ŞİKAYET KAYIT'!P109="Kapatıldı","",IF('ŞİKAYET KAYIT'!O109="","",'ŞİKAYET KAYIT'!O109)),"")</f>
        <v/>
      </c>
      <c r="M109" s="26" t="str">
        <f>IFERROR(IF('ŞİKAYET KAYIT'!P109="Kapatıldı","",IF('ŞİKAYET KAYIT'!P109="","",'ŞİKAYET KAYIT'!P109)),"")</f>
        <v/>
      </c>
    </row>
    <row r="110" spans="1:13" ht="15" customHeight="1" x14ac:dyDescent="0.3">
      <c r="A110" s="3" t="str">
        <f>IFERROR(IF('ŞİKAYET KAYIT'!P110="Kapatıldı","",IF('ŞİKAYET KAYIT'!A110="","",'ŞİKAYET KAYIT'!A110)),"")</f>
        <v/>
      </c>
      <c r="B110" s="5" t="str">
        <f>IFERROR(IF('ŞİKAYET KAYIT'!P110="Kapatıldı","",IF('ŞİKAYET KAYIT'!B110="","",'ŞİKAYET KAYIT'!B110)),"")</f>
        <v/>
      </c>
      <c r="C110" s="3" t="str">
        <f>IFERROR(IF('ŞİKAYET KAYIT'!P110="Kapatıldı","",IF('ŞİKAYET KAYIT'!D110="","",'ŞİKAYET KAYIT'!D110)),"")</f>
        <v/>
      </c>
      <c r="D110" s="3" t="str">
        <f>IFERROR(IF('ŞİKAYET KAYIT'!P110="Kapatıldı","",IF('ŞİKAYET KAYIT'!F110="","",'ŞİKAYET KAYIT'!F110)),"")</f>
        <v/>
      </c>
      <c r="E110" s="3" t="str">
        <f>IFERROR(IF('ŞİKAYET KAYIT'!P110="Kapatıldı","",IF('ŞİKAYET KAYIT'!H110="","",'ŞİKAYET KAYIT'!H110)),"")</f>
        <v/>
      </c>
      <c r="F110" s="3" t="str">
        <f>IFERROR(IF('ŞİKAYET KAYIT'!P110="Kapatıldı","",IF('ŞİKAYET KAYIT'!I110="","",'ŞİKAYET KAYIT'!I110)),"")</f>
        <v/>
      </c>
      <c r="G110" s="3" t="str">
        <f>IFERROR(IF('ŞİKAYET KAYIT'!P110="Kapatıldı","",IF('ŞİKAYET KAYIT'!J110="","",'ŞİKAYET KAYIT'!J110)),"")</f>
        <v/>
      </c>
      <c r="H110" s="3" t="str">
        <f>IFERROR(IF('ŞİKAYET KAYIT'!P110="Kapatıldı","",IF('ŞİKAYET KAYIT'!K110="","",'ŞİKAYET KAYIT'!K110)),"")</f>
        <v/>
      </c>
      <c r="I110" s="3" t="str">
        <f>IFERROR(IF('ŞİKAYET KAYIT'!P110="Kapatıldı","",IF('ŞİKAYET KAYIT'!L110="","",'ŞİKAYET KAYIT'!L110)),"")</f>
        <v/>
      </c>
      <c r="J110" s="3" t="str">
        <f>IFERROR(IF('ŞİKAYET KAYIT'!P110="Kapatıldı","",IF('ŞİKAYET KAYIT'!M110="","",'ŞİKAYET KAYIT'!M110)),"")</f>
        <v/>
      </c>
      <c r="K110" s="3" t="str">
        <f>IFERROR(IF('ŞİKAYET KAYIT'!P110="Kapatıldı","",IF('ŞİKAYET KAYIT'!N110="","",'ŞİKAYET KAYIT'!N110)),"")</f>
        <v/>
      </c>
      <c r="L110" s="3" t="str">
        <f>IFERROR(IF('ŞİKAYET KAYIT'!P110="Kapatıldı","",IF('ŞİKAYET KAYIT'!O110="","",'ŞİKAYET KAYIT'!O110)),"")</f>
        <v/>
      </c>
      <c r="M110" s="3" t="str">
        <f>IFERROR(IF('ŞİKAYET KAYIT'!P110="Kapatıldı","",IF('ŞİKAYET KAYIT'!P110="","",'ŞİKAYET KAYIT'!P110)),"")</f>
        <v/>
      </c>
    </row>
    <row r="111" spans="1:13" ht="15" customHeight="1" x14ac:dyDescent="0.3">
      <c r="A111" s="26" t="str">
        <f>IFERROR(IF('ŞİKAYET KAYIT'!P111="Kapatıldı","",IF('ŞİKAYET KAYIT'!A111="","",'ŞİKAYET KAYIT'!A111)),"")</f>
        <v/>
      </c>
      <c r="B111" s="8" t="str">
        <f>IFERROR(IF('ŞİKAYET KAYIT'!P111="Kapatıldı","",IF('ŞİKAYET KAYIT'!B111="","",'ŞİKAYET KAYIT'!B111)),"")</f>
        <v/>
      </c>
      <c r="C111" s="26" t="str">
        <f>IFERROR(IF('ŞİKAYET KAYIT'!P111="Kapatıldı","",IF('ŞİKAYET KAYIT'!D111="","",'ŞİKAYET KAYIT'!D111)),"")</f>
        <v/>
      </c>
      <c r="D111" s="26" t="str">
        <f>IFERROR(IF('ŞİKAYET KAYIT'!P111="Kapatıldı","",IF('ŞİKAYET KAYIT'!F111="","",'ŞİKAYET KAYIT'!F111)),"")</f>
        <v/>
      </c>
      <c r="E111" s="26" t="str">
        <f>IFERROR(IF('ŞİKAYET KAYIT'!P111="Kapatıldı","",IF('ŞİKAYET KAYIT'!H111="","",'ŞİKAYET KAYIT'!H111)),"")</f>
        <v/>
      </c>
      <c r="F111" s="26" t="str">
        <f>IFERROR(IF('ŞİKAYET KAYIT'!P111="Kapatıldı","",IF('ŞİKAYET KAYIT'!I111="","",'ŞİKAYET KAYIT'!I111)),"")</f>
        <v/>
      </c>
      <c r="G111" s="26" t="str">
        <f>IFERROR(IF('ŞİKAYET KAYIT'!P111="Kapatıldı","",IF('ŞİKAYET KAYIT'!J111="","",'ŞİKAYET KAYIT'!J111)),"")</f>
        <v/>
      </c>
      <c r="H111" s="26" t="str">
        <f>IFERROR(IF('ŞİKAYET KAYIT'!P111="Kapatıldı","",IF('ŞİKAYET KAYIT'!K111="","",'ŞİKAYET KAYIT'!K111)),"")</f>
        <v/>
      </c>
      <c r="I111" s="26" t="str">
        <f>IFERROR(IF('ŞİKAYET KAYIT'!P111="Kapatıldı","",IF('ŞİKAYET KAYIT'!L111="","",'ŞİKAYET KAYIT'!L111)),"")</f>
        <v/>
      </c>
      <c r="J111" s="26" t="str">
        <f>IFERROR(IF('ŞİKAYET KAYIT'!P111="Kapatıldı","",IF('ŞİKAYET KAYIT'!M111="","",'ŞİKAYET KAYIT'!M111)),"")</f>
        <v/>
      </c>
      <c r="K111" s="26" t="str">
        <f>IFERROR(IF('ŞİKAYET KAYIT'!P111="Kapatıldı","",IF('ŞİKAYET KAYIT'!N111="","",'ŞİKAYET KAYIT'!N111)),"")</f>
        <v/>
      </c>
      <c r="L111" s="26" t="str">
        <f>IFERROR(IF('ŞİKAYET KAYIT'!P111="Kapatıldı","",IF('ŞİKAYET KAYIT'!O111="","",'ŞİKAYET KAYIT'!O111)),"")</f>
        <v/>
      </c>
      <c r="M111" s="26" t="str">
        <f>IFERROR(IF('ŞİKAYET KAYIT'!P111="Kapatıldı","",IF('ŞİKAYET KAYIT'!P111="","",'ŞİKAYET KAYIT'!P111)),"")</f>
        <v/>
      </c>
    </row>
    <row r="112" spans="1:13" ht="15" customHeight="1" x14ac:dyDescent="0.3">
      <c r="A112" s="3" t="str">
        <f>IFERROR(IF('ŞİKAYET KAYIT'!P112="Kapatıldı","",IF('ŞİKAYET KAYIT'!A112="","",'ŞİKAYET KAYIT'!A112)),"")</f>
        <v/>
      </c>
      <c r="B112" s="5" t="str">
        <f>IFERROR(IF('ŞİKAYET KAYIT'!P112="Kapatıldı","",IF('ŞİKAYET KAYIT'!B112="","",'ŞİKAYET KAYIT'!B112)),"")</f>
        <v/>
      </c>
      <c r="C112" s="3" t="str">
        <f>IFERROR(IF('ŞİKAYET KAYIT'!P112="Kapatıldı","",IF('ŞİKAYET KAYIT'!D112="","",'ŞİKAYET KAYIT'!D112)),"")</f>
        <v/>
      </c>
      <c r="D112" s="3" t="str">
        <f>IFERROR(IF('ŞİKAYET KAYIT'!P112="Kapatıldı","",IF('ŞİKAYET KAYIT'!F112="","",'ŞİKAYET KAYIT'!F112)),"")</f>
        <v/>
      </c>
      <c r="E112" s="3" t="str">
        <f>IFERROR(IF('ŞİKAYET KAYIT'!P112="Kapatıldı","",IF('ŞİKAYET KAYIT'!H112="","",'ŞİKAYET KAYIT'!H112)),"")</f>
        <v/>
      </c>
      <c r="F112" s="3" t="str">
        <f>IFERROR(IF('ŞİKAYET KAYIT'!P112="Kapatıldı","",IF('ŞİKAYET KAYIT'!I112="","",'ŞİKAYET KAYIT'!I112)),"")</f>
        <v/>
      </c>
      <c r="G112" s="3" t="str">
        <f>IFERROR(IF('ŞİKAYET KAYIT'!P112="Kapatıldı","",IF('ŞİKAYET KAYIT'!J112="","",'ŞİKAYET KAYIT'!J112)),"")</f>
        <v/>
      </c>
      <c r="H112" s="3" t="str">
        <f>IFERROR(IF('ŞİKAYET KAYIT'!P112="Kapatıldı","",IF('ŞİKAYET KAYIT'!K112="","",'ŞİKAYET KAYIT'!K112)),"")</f>
        <v/>
      </c>
      <c r="I112" s="3" t="str">
        <f>IFERROR(IF('ŞİKAYET KAYIT'!P112="Kapatıldı","",IF('ŞİKAYET KAYIT'!L112="","",'ŞİKAYET KAYIT'!L112)),"")</f>
        <v/>
      </c>
      <c r="J112" s="3" t="str">
        <f>IFERROR(IF('ŞİKAYET KAYIT'!P112="Kapatıldı","",IF('ŞİKAYET KAYIT'!M112="","",'ŞİKAYET KAYIT'!M112)),"")</f>
        <v/>
      </c>
      <c r="K112" s="3" t="str">
        <f>IFERROR(IF('ŞİKAYET KAYIT'!P112="Kapatıldı","",IF('ŞİKAYET KAYIT'!N112="","",'ŞİKAYET KAYIT'!N112)),"")</f>
        <v/>
      </c>
      <c r="L112" s="3" t="str">
        <f>IFERROR(IF('ŞİKAYET KAYIT'!P112="Kapatıldı","",IF('ŞİKAYET KAYIT'!O112="","",'ŞİKAYET KAYIT'!O112)),"")</f>
        <v/>
      </c>
      <c r="M112" s="3" t="str">
        <f>IFERROR(IF('ŞİKAYET KAYIT'!P112="Kapatıldı","",IF('ŞİKAYET KAYIT'!P112="","",'ŞİKAYET KAYIT'!P112)),"")</f>
        <v/>
      </c>
    </row>
    <row r="113" spans="1:13" ht="15" customHeight="1" x14ac:dyDescent="0.3">
      <c r="A113" s="26" t="str">
        <f>IFERROR(IF('ŞİKAYET KAYIT'!P113="Kapatıldı","",IF('ŞİKAYET KAYIT'!A113="","",'ŞİKAYET KAYIT'!A113)),"")</f>
        <v/>
      </c>
      <c r="B113" s="8" t="str">
        <f>IFERROR(IF('ŞİKAYET KAYIT'!P113="Kapatıldı","",IF('ŞİKAYET KAYIT'!B113="","",'ŞİKAYET KAYIT'!B113)),"")</f>
        <v/>
      </c>
      <c r="C113" s="26" t="str">
        <f>IFERROR(IF('ŞİKAYET KAYIT'!P113="Kapatıldı","",IF('ŞİKAYET KAYIT'!D113="","",'ŞİKAYET KAYIT'!D113)),"")</f>
        <v/>
      </c>
      <c r="D113" s="26" t="str">
        <f>IFERROR(IF('ŞİKAYET KAYIT'!P113="Kapatıldı","",IF('ŞİKAYET KAYIT'!F113="","",'ŞİKAYET KAYIT'!F113)),"")</f>
        <v/>
      </c>
      <c r="E113" s="26" t="str">
        <f>IFERROR(IF('ŞİKAYET KAYIT'!P113="Kapatıldı","",IF('ŞİKAYET KAYIT'!H113="","",'ŞİKAYET KAYIT'!H113)),"")</f>
        <v/>
      </c>
      <c r="F113" s="26" t="str">
        <f>IFERROR(IF('ŞİKAYET KAYIT'!P113="Kapatıldı","",IF('ŞİKAYET KAYIT'!I113="","",'ŞİKAYET KAYIT'!I113)),"")</f>
        <v/>
      </c>
      <c r="G113" s="26" t="str">
        <f>IFERROR(IF('ŞİKAYET KAYIT'!P113="Kapatıldı","",IF('ŞİKAYET KAYIT'!J113="","",'ŞİKAYET KAYIT'!J113)),"")</f>
        <v/>
      </c>
      <c r="H113" s="26" t="str">
        <f>IFERROR(IF('ŞİKAYET KAYIT'!P113="Kapatıldı","",IF('ŞİKAYET KAYIT'!K113="","",'ŞİKAYET KAYIT'!K113)),"")</f>
        <v/>
      </c>
      <c r="I113" s="26" t="str">
        <f>IFERROR(IF('ŞİKAYET KAYIT'!P113="Kapatıldı","",IF('ŞİKAYET KAYIT'!L113="","",'ŞİKAYET KAYIT'!L113)),"")</f>
        <v/>
      </c>
      <c r="J113" s="26" t="str">
        <f>IFERROR(IF('ŞİKAYET KAYIT'!P113="Kapatıldı","",IF('ŞİKAYET KAYIT'!M113="","",'ŞİKAYET KAYIT'!M113)),"")</f>
        <v/>
      </c>
      <c r="K113" s="26" t="str">
        <f>IFERROR(IF('ŞİKAYET KAYIT'!P113="Kapatıldı","",IF('ŞİKAYET KAYIT'!N113="","",'ŞİKAYET KAYIT'!N113)),"")</f>
        <v/>
      </c>
      <c r="L113" s="26" t="str">
        <f>IFERROR(IF('ŞİKAYET KAYIT'!P113="Kapatıldı","",IF('ŞİKAYET KAYIT'!O113="","",'ŞİKAYET KAYIT'!O113)),"")</f>
        <v/>
      </c>
      <c r="M113" s="26" t="str">
        <f>IFERROR(IF('ŞİKAYET KAYIT'!P113="Kapatıldı","",IF('ŞİKAYET KAYIT'!P113="","",'ŞİKAYET KAYIT'!P113)),"")</f>
        <v/>
      </c>
    </row>
    <row r="114" spans="1:13" ht="15" customHeight="1" x14ac:dyDescent="0.3">
      <c r="A114" s="3" t="str">
        <f>IFERROR(IF('ŞİKAYET KAYIT'!P114="Kapatıldı","",IF('ŞİKAYET KAYIT'!A114="","",'ŞİKAYET KAYIT'!A114)),"")</f>
        <v/>
      </c>
      <c r="B114" s="5" t="str">
        <f>IFERROR(IF('ŞİKAYET KAYIT'!P114="Kapatıldı","",IF('ŞİKAYET KAYIT'!B114="","",'ŞİKAYET KAYIT'!B114)),"")</f>
        <v/>
      </c>
      <c r="C114" s="3" t="str">
        <f>IFERROR(IF('ŞİKAYET KAYIT'!P114="Kapatıldı","",IF('ŞİKAYET KAYIT'!D114="","",'ŞİKAYET KAYIT'!D114)),"")</f>
        <v/>
      </c>
      <c r="D114" s="3" t="str">
        <f>IFERROR(IF('ŞİKAYET KAYIT'!P114="Kapatıldı","",IF('ŞİKAYET KAYIT'!F114="","",'ŞİKAYET KAYIT'!F114)),"")</f>
        <v/>
      </c>
      <c r="E114" s="3" t="str">
        <f>IFERROR(IF('ŞİKAYET KAYIT'!P114="Kapatıldı","",IF('ŞİKAYET KAYIT'!H114="","",'ŞİKAYET KAYIT'!H114)),"")</f>
        <v/>
      </c>
      <c r="F114" s="3" t="str">
        <f>IFERROR(IF('ŞİKAYET KAYIT'!P114="Kapatıldı","",IF('ŞİKAYET KAYIT'!I114="","",'ŞİKAYET KAYIT'!I114)),"")</f>
        <v/>
      </c>
      <c r="G114" s="3" t="str">
        <f>IFERROR(IF('ŞİKAYET KAYIT'!P114="Kapatıldı","",IF('ŞİKAYET KAYIT'!J114="","",'ŞİKAYET KAYIT'!J114)),"")</f>
        <v/>
      </c>
      <c r="H114" s="3" t="str">
        <f>IFERROR(IF('ŞİKAYET KAYIT'!P114="Kapatıldı","",IF('ŞİKAYET KAYIT'!K114="","",'ŞİKAYET KAYIT'!K114)),"")</f>
        <v/>
      </c>
      <c r="I114" s="3" t="str">
        <f>IFERROR(IF('ŞİKAYET KAYIT'!P114="Kapatıldı","",IF('ŞİKAYET KAYIT'!L114="","",'ŞİKAYET KAYIT'!L114)),"")</f>
        <v/>
      </c>
      <c r="J114" s="3" t="str">
        <f>IFERROR(IF('ŞİKAYET KAYIT'!P114="Kapatıldı","",IF('ŞİKAYET KAYIT'!M114="","",'ŞİKAYET KAYIT'!M114)),"")</f>
        <v/>
      </c>
      <c r="K114" s="3" t="str">
        <f>IFERROR(IF('ŞİKAYET KAYIT'!P114="Kapatıldı","",IF('ŞİKAYET KAYIT'!N114="","",'ŞİKAYET KAYIT'!N114)),"")</f>
        <v/>
      </c>
      <c r="L114" s="3" t="str">
        <f>IFERROR(IF('ŞİKAYET KAYIT'!P114="Kapatıldı","",IF('ŞİKAYET KAYIT'!O114="","",'ŞİKAYET KAYIT'!O114)),"")</f>
        <v/>
      </c>
      <c r="M114" s="3" t="str">
        <f>IFERROR(IF('ŞİKAYET KAYIT'!P114="Kapatıldı","",IF('ŞİKAYET KAYIT'!P114="","",'ŞİKAYET KAYIT'!P114)),"")</f>
        <v/>
      </c>
    </row>
    <row r="115" spans="1:13" ht="15" customHeight="1" x14ac:dyDescent="0.3">
      <c r="A115" s="26" t="str">
        <f>IFERROR(IF('ŞİKAYET KAYIT'!P115="Kapatıldı","",IF('ŞİKAYET KAYIT'!A115="","",'ŞİKAYET KAYIT'!A115)),"")</f>
        <v/>
      </c>
      <c r="B115" s="8" t="str">
        <f>IFERROR(IF('ŞİKAYET KAYIT'!P115="Kapatıldı","",IF('ŞİKAYET KAYIT'!B115="","",'ŞİKAYET KAYIT'!B115)),"")</f>
        <v/>
      </c>
      <c r="C115" s="26" t="str">
        <f>IFERROR(IF('ŞİKAYET KAYIT'!P115="Kapatıldı","",IF('ŞİKAYET KAYIT'!D115="","",'ŞİKAYET KAYIT'!D115)),"")</f>
        <v/>
      </c>
      <c r="D115" s="26" t="str">
        <f>IFERROR(IF('ŞİKAYET KAYIT'!P115="Kapatıldı","",IF('ŞİKAYET KAYIT'!F115="","",'ŞİKAYET KAYIT'!F115)),"")</f>
        <v/>
      </c>
      <c r="E115" s="26" t="str">
        <f>IFERROR(IF('ŞİKAYET KAYIT'!P115="Kapatıldı","",IF('ŞİKAYET KAYIT'!H115="","",'ŞİKAYET KAYIT'!H115)),"")</f>
        <v/>
      </c>
      <c r="F115" s="26" t="str">
        <f>IFERROR(IF('ŞİKAYET KAYIT'!P115="Kapatıldı","",IF('ŞİKAYET KAYIT'!I115="","",'ŞİKAYET KAYIT'!I115)),"")</f>
        <v/>
      </c>
      <c r="G115" s="26" t="str">
        <f>IFERROR(IF('ŞİKAYET KAYIT'!P115="Kapatıldı","",IF('ŞİKAYET KAYIT'!J115="","",'ŞİKAYET KAYIT'!J115)),"")</f>
        <v/>
      </c>
      <c r="H115" s="26" t="str">
        <f>IFERROR(IF('ŞİKAYET KAYIT'!P115="Kapatıldı","",IF('ŞİKAYET KAYIT'!K115="","",'ŞİKAYET KAYIT'!K115)),"")</f>
        <v/>
      </c>
      <c r="I115" s="26" t="str">
        <f>IFERROR(IF('ŞİKAYET KAYIT'!P115="Kapatıldı","",IF('ŞİKAYET KAYIT'!L115="","",'ŞİKAYET KAYIT'!L115)),"")</f>
        <v/>
      </c>
      <c r="J115" s="26" t="str">
        <f>IFERROR(IF('ŞİKAYET KAYIT'!P115="Kapatıldı","",IF('ŞİKAYET KAYIT'!M115="","",'ŞİKAYET KAYIT'!M115)),"")</f>
        <v/>
      </c>
      <c r="K115" s="26" t="str">
        <f>IFERROR(IF('ŞİKAYET KAYIT'!P115="Kapatıldı","",IF('ŞİKAYET KAYIT'!N115="","",'ŞİKAYET KAYIT'!N115)),"")</f>
        <v/>
      </c>
      <c r="L115" s="26" t="str">
        <f>IFERROR(IF('ŞİKAYET KAYIT'!P115="Kapatıldı","",IF('ŞİKAYET KAYIT'!O115="","",'ŞİKAYET KAYIT'!O115)),"")</f>
        <v/>
      </c>
      <c r="M115" s="26" t="str">
        <f>IFERROR(IF('ŞİKAYET KAYIT'!P115="Kapatıldı","",IF('ŞİKAYET KAYIT'!P115="","",'ŞİKAYET KAYIT'!P115)),"")</f>
        <v/>
      </c>
    </row>
    <row r="116" spans="1:13" ht="15" customHeight="1" x14ac:dyDescent="0.3">
      <c r="A116" s="3" t="str">
        <f>IFERROR(IF('ŞİKAYET KAYIT'!P116="Kapatıldı","",IF('ŞİKAYET KAYIT'!A116="","",'ŞİKAYET KAYIT'!A116)),"")</f>
        <v/>
      </c>
      <c r="B116" s="5" t="str">
        <f>IFERROR(IF('ŞİKAYET KAYIT'!P116="Kapatıldı","",IF('ŞİKAYET KAYIT'!B116="","",'ŞİKAYET KAYIT'!B116)),"")</f>
        <v/>
      </c>
      <c r="C116" s="3" t="str">
        <f>IFERROR(IF('ŞİKAYET KAYIT'!P116="Kapatıldı","",IF('ŞİKAYET KAYIT'!D116="","",'ŞİKAYET KAYIT'!D116)),"")</f>
        <v/>
      </c>
      <c r="D116" s="3" t="str">
        <f>IFERROR(IF('ŞİKAYET KAYIT'!P116="Kapatıldı","",IF('ŞİKAYET KAYIT'!F116="","",'ŞİKAYET KAYIT'!F116)),"")</f>
        <v/>
      </c>
      <c r="E116" s="3" t="str">
        <f>IFERROR(IF('ŞİKAYET KAYIT'!P116="Kapatıldı","",IF('ŞİKAYET KAYIT'!H116="","",'ŞİKAYET KAYIT'!H116)),"")</f>
        <v/>
      </c>
      <c r="F116" s="3" t="str">
        <f>IFERROR(IF('ŞİKAYET KAYIT'!P116="Kapatıldı","",IF('ŞİKAYET KAYIT'!I116="","",'ŞİKAYET KAYIT'!I116)),"")</f>
        <v/>
      </c>
      <c r="G116" s="3" t="str">
        <f>IFERROR(IF('ŞİKAYET KAYIT'!P116="Kapatıldı","",IF('ŞİKAYET KAYIT'!J116="","",'ŞİKAYET KAYIT'!J116)),"")</f>
        <v/>
      </c>
      <c r="H116" s="3" t="str">
        <f>IFERROR(IF('ŞİKAYET KAYIT'!P116="Kapatıldı","",IF('ŞİKAYET KAYIT'!K116="","",'ŞİKAYET KAYIT'!K116)),"")</f>
        <v/>
      </c>
      <c r="I116" s="3" t="str">
        <f>IFERROR(IF('ŞİKAYET KAYIT'!P116="Kapatıldı","",IF('ŞİKAYET KAYIT'!L116="","",'ŞİKAYET KAYIT'!L116)),"")</f>
        <v/>
      </c>
      <c r="J116" s="3" t="str">
        <f>IFERROR(IF('ŞİKAYET KAYIT'!P116="Kapatıldı","",IF('ŞİKAYET KAYIT'!M116="","",'ŞİKAYET KAYIT'!M116)),"")</f>
        <v/>
      </c>
      <c r="K116" s="3" t="str">
        <f>IFERROR(IF('ŞİKAYET KAYIT'!P116="Kapatıldı","",IF('ŞİKAYET KAYIT'!N116="","",'ŞİKAYET KAYIT'!N116)),"")</f>
        <v/>
      </c>
      <c r="L116" s="3" t="str">
        <f>IFERROR(IF('ŞİKAYET KAYIT'!P116="Kapatıldı","",IF('ŞİKAYET KAYIT'!O116="","",'ŞİKAYET KAYIT'!O116)),"")</f>
        <v/>
      </c>
      <c r="M116" s="3" t="str">
        <f>IFERROR(IF('ŞİKAYET KAYIT'!P116="Kapatıldı","",IF('ŞİKAYET KAYIT'!P116="","",'ŞİKAYET KAYIT'!P116)),"")</f>
        <v/>
      </c>
    </row>
    <row r="117" spans="1:13" ht="15" customHeight="1" x14ac:dyDescent="0.3">
      <c r="A117" s="26" t="str">
        <f>IFERROR(IF('ŞİKAYET KAYIT'!P117="Kapatıldı","",IF('ŞİKAYET KAYIT'!A117="","",'ŞİKAYET KAYIT'!A117)),"")</f>
        <v/>
      </c>
      <c r="B117" s="8" t="str">
        <f>IFERROR(IF('ŞİKAYET KAYIT'!P117="Kapatıldı","",IF('ŞİKAYET KAYIT'!B117="","",'ŞİKAYET KAYIT'!B117)),"")</f>
        <v/>
      </c>
      <c r="C117" s="26" t="str">
        <f>IFERROR(IF('ŞİKAYET KAYIT'!P117="Kapatıldı","",IF('ŞİKAYET KAYIT'!D117="","",'ŞİKAYET KAYIT'!D117)),"")</f>
        <v/>
      </c>
      <c r="D117" s="26" t="str">
        <f>IFERROR(IF('ŞİKAYET KAYIT'!P117="Kapatıldı","",IF('ŞİKAYET KAYIT'!F117="","",'ŞİKAYET KAYIT'!F117)),"")</f>
        <v/>
      </c>
      <c r="E117" s="26" t="str">
        <f>IFERROR(IF('ŞİKAYET KAYIT'!P117="Kapatıldı","",IF('ŞİKAYET KAYIT'!H117="","",'ŞİKAYET KAYIT'!H117)),"")</f>
        <v/>
      </c>
      <c r="F117" s="26" t="str">
        <f>IFERROR(IF('ŞİKAYET KAYIT'!P117="Kapatıldı","",IF('ŞİKAYET KAYIT'!I117="","",'ŞİKAYET KAYIT'!I117)),"")</f>
        <v/>
      </c>
      <c r="G117" s="26" t="str">
        <f>IFERROR(IF('ŞİKAYET KAYIT'!P117="Kapatıldı","",IF('ŞİKAYET KAYIT'!J117="","",'ŞİKAYET KAYIT'!J117)),"")</f>
        <v/>
      </c>
      <c r="H117" s="26" t="str">
        <f>IFERROR(IF('ŞİKAYET KAYIT'!P117="Kapatıldı","",IF('ŞİKAYET KAYIT'!K117="","",'ŞİKAYET KAYIT'!K117)),"")</f>
        <v/>
      </c>
      <c r="I117" s="26" t="str">
        <f>IFERROR(IF('ŞİKAYET KAYIT'!P117="Kapatıldı","",IF('ŞİKAYET KAYIT'!L117="","",'ŞİKAYET KAYIT'!L117)),"")</f>
        <v/>
      </c>
      <c r="J117" s="26" t="str">
        <f>IFERROR(IF('ŞİKAYET KAYIT'!P117="Kapatıldı","",IF('ŞİKAYET KAYIT'!M117="","",'ŞİKAYET KAYIT'!M117)),"")</f>
        <v/>
      </c>
      <c r="K117" s="26" t="str">
        <f>IFERROR(IF('ŞİKAYET KAYIT'!P117="Kapatıldı","",IF('ŞİKAYET KAYIT'!N117="","",'ŞİKAYET KAYIT'!N117)),"")</f>
        <v/>
      </c>
      <c r="L117" s="26" t="str">
        <f>IFERROR(IF('ŞİKAYET KAYIT'!P117="Kapatıldı","",IF('ŞİKAYET KAYIT'!O117="","",'ŞİKAYET KAYIT'!O117)),"")</f>
        <v/>
      </c>
      <c r="M117" s="26" t="str">
        <f>IFERROR(IF('ŞİKAYET KAYIT'!P117="Kapatıldı","",IF('ŞİKAYET KAYIT'!P117="","",'ŞİKAYET KAYIT'!P117)),"")</f>
        <v/>
      </c>
    </row>
    <row r="118" spans="1:13" ht="15" customHeight="1" x14ac:dyDescent="0.3">
      <c r="A118" s="3" t="str">
        <f>IFERROR(IF('ŞİKAYET KAYIT'!P118="Kapatıldı","",IF('ŞİKAYET KAYIT'!A118="","",'ŞİKAYET KAYIT'!A118)),"")</f>
        <v/>
      </c>
      <c r="B118" s="5" t="str">
        <f>IFERROR(IF('ŞİKAYET KAYIT'!P118="Kapatıldı","",IF('ŞİKAYET KAYIT'!B118="","",'ŞİKAYET KAYIT'!B118)),"")</f>
        <v/>
      </c>
      <c r="C118" s="3" t="str">
        <f>IFERROR(IF('ŞİKAYET KAYIT'!P118="Kapatıldı","",IF('ŞİKAYET KAYIT'!D118="","",'ŞİKAYET KAYIT'!D118)),"")</f>
        <v/>
      </c>
      <c r="D118" s="3" t="str">
        <f>IFERROR(IF('ŞİKAYET KAYIT'!P118="Kapatıldı","",IF('ŞİKAYET KAYIT'!F118="","",'ŞİKAYET KAYIT'!F118)),"")</f>
        <v/>
      </c>
      <c r="E118" s="3" t="str">
        <f>IFERROR(IF('ŞİKAYET KAYIT'!P118="Kapatıldı","",IF('ŞİKAYET KAYIT'!H118="","",'ŞİKAYET KAYIT'!H118)),"")</f>
        <v/>
      </c>
      <c r="F118" s="3" t="str">
        <f>IFERROR(IF('ŞİKAYET KAYIT'!P118="Kapatıldı","",IF('ŞİKAYET KAYIT'!I118="","",'ŞİKAYET KAYIT'!I118)),"")</f>
        <v/>
      </c>
      <c r="G118" s="3" t="str">
        <f>IFERROR(IF('ŞİKAYET KAYIT'!P118="Kapatıldı","",IF('ŞİKAYET KAYIT'!J118="","",'ŞİKAYET KAYIT'!J118)),"")</f>
        <v/>
      </c>
      <c r="H118" s="3" t="str">
        <f>IFERROR(IF('ŞİKAYET KAYIT'!P118="Kapatıldı","",IF('ŞİKAYET KAYIT'!K118="","",'ŞİKAYET KAYIT'!K118)),"")</f>
        <v/>
      </c>
      <c r="I118" s="3" t="str">
        <f>IFERROR(IF('ŞİKAYET KAYIT'!P118="Kapatıldı","",IF('ŞİKAYET KAYIT'!L118="","",'ŞİKAYET KAYIT'!L118)),"")</f>
        <v/>
      </c>
      <c r="J118" s="3" t="str">
        <f>IFERROR(IF('ŞİKAYET KAYIT'!P118="Kapatıldı","",IF('ŞİKAYET KAYIT'!M118="","",'ŞİKAYET KAYIT'!M118)),"")</f>
        <v/>
      </c>
      <c r="K118" s="3" t="str">
        <f>IFERROR(IF('ŞİKAYET KAYIT'!P118="Kapatıldı","",IF('ŞİKAYET KAYIT'!N118="","",'ŞİKAYET KAYIT'!N118)),"")</f>
        <v/>
      </c>
      <c r="L118" s="3" t="str">
        <f>IFERROR(IF('ŞİKAYET KAYIT'!P118="Kapatıldı","",IF('ŞİKAYET KAYIT'!O118="","",'ŞİKAYET KAYIT'!O118)),"")</f>
        <v/>
      </c>
      <c r="M118" s="3" t="str">
        <f>IFERROR(IF('ŞİKAYET KAYIT'!P118="Kapatıldı","",IF('ŞİKAYET KAYIT'!P118="","",'ŞİKAYET KAYIT'!P118)),"")</f>
        <v/>
      </c>
    </row>
    <row r="119" spans="1:13" ht="15" customHeight="1" x14ac:dyDescent="0.3">
      <c r="A119" s="26" t="str">
        <f>IFERROR(IF('ŞİKAYET KAYIT'!P119="Kapatıldı","",IF('ŞİKAYET KAYIT'!A119="","",'ŞİKAYET KAYIT'!A119)),"")</f>
        <v/>
      </c>
      <c r="B119" s="8" t="str">
        <f>IFERROR(IF('ŞİKAYET KAYIT'!P119="Kapatıldı","",IF('ŞİKAYET KAYIT'!B119="","",'ŞİKAYET KAYIT'!B119)),"")</f>
        <v/>
      </c>
      <c r="C119" s="26" t="str">
        <f>IFERROR(IF('ŞİKAYET KAYIT'!P119="Kapatıldı","",IF('ŞİKAYET KAYIT'!D119="","",'ŞİKAYET KAYIT'!D119)),"")</f>
        <v/>
      </c>
      <c r="D119" s="26" t="str">
        <f>IFERROR(IF('ŞİKAYET KAYIT'!P119="Kapatıldı","",IF('ŞİKAYET KAYIT'!F119="","",'ŞİKAYET KAYIT'!F119)),"")</f>
        <v/>
      </c>
      <c r="E119" s="26" t="str">
        <f>IFERROR(IF('ŞİKAYET KAYIT'!P119="Kapatıldı","",IF('ŞİKAYET KAYIT'!H119="","",'ŞİKAYET KAYIT'!H119)),"")</f>
        <v/>
      </c>
      <c r="F119" s="26" t="str">
        <f>IFERROR(IF('ŞİKAYET KAYIT'!P119="Kapatıldı","",IF('ŞİKAYET KAYIT'!I119="","",'ŞİKAYET KAYIT'!I119)),"")</f>
        <v/>
      </c>
      <c r="G119" s="26" t="str">
        <f>IFERROR(IF('ŞİKAYET KAYIT'!P119="Kapatıldı","",IF('ŞİKAYET KAYIT'!J119="","",'ŞİKAYET KAYIT'!J119)),"")</f>
        <v/>
      </c>
      <c r="H119" s="26" t="str">
        <f>IFERROR(IF('ŞİKAYET KAYIT'!P119="Kapatıldı","",IF('ŞİKAYET KAYIT'!K119="","",'ŞİKAYET KAYIT'!K119)),"")</f>
        <v/>
      </c>
      <c r="I119" s="26" t="str">
        <f>IFERROR(IF('ŞİKAYET KAYIT'!P119="Kapatıldı","",IF('ŞİKAYET KAYIT'!L119="","",'ŞİKAYET KAYIT'!L119)),"")</f>
        <v/>
      </c>
      <c r="J119" s="26" t="str">
        <f>IFERROR(IF('ŞİKAYET KAYIT'!P119="Kapatıldı","",IF('ŞİKAYET KAYIT'!M119="","",'ŞİKAYET KAYIT'!M119)),"")</f>
        <v/>
      </c>
      <c r="K119" s="26" t="str">
        <f>IFERROR(IF('ŞİKAYET KAYIT'!P119="Kapatıldı","",IF('ŞİKAYET KAYIT'!N119="","",'ŞİKAYET KAYIT'!N119)),"")</f>
        <v/>
      </c>
      <c r="L119" s="26" t="str">
        <f>IFERROR(IF('ŞİKAYET KAYIT'!P119="Kapatıldı","",IF('ŞİKAYET KAYIT'!O119="","",'ŞİKAYET KAYIT'!O119)),"")</f>
        <v/>
      </c>
      <c r="M119" s="26" t="str">
        <f>IFERROR(IF('ŞİKAYET KAYIT'!P119="Kapatıldı","",IF('ŞİKAYET KAYIT'!P119="","",'ŞİKAYET KAYIT'!P119)),"")</f>
        <v/>
      </c>
    </row>
    <row r="120" spans="1:13" ht="15" customHeight="1" x14ac:dyDescent="0.3">
      <c r="A120" s="3" t="str">
        <f>IFERROR(IF('ŞİKAYET KAYIT'!P120="Kapatıldı","",IF('ŞİKAYET KAYIT'!A120="","",'ŞİKAYET KAYIT'!A120)),"")</f>
        <v/>
      </c>
      <c r="B120" s="5" t="str">
        <f>IFERROR(IF('ŞİKAYET KAYIT'!P120="Kapatıldı","",IF('ŞİKAYET KAYIT'!B120="","",'ŞİKAYET KAYIT'!B120)),"")</f>
        <v/>
      </c>
      <c r="C120" s="3" t="str">
        <f>IFERROR(IF('ŞİKAYET KAYIT'!P120="Kapatıldı","",IF('ŞİKAYET KAYIT'!D120="","",'ŞİKAYET KAYIT'!D120)),"")</f>
        <v/>
      </c>
      <c r="D120" s="3" t="str">
        <f>IFERROR(IF('ŞİKAYET KAYIT'!P120="Kapatıldı","",IF('ŞİKAYET KAYIT'!F120="","",'ŞİKAYET KAYIT'!F120)),"")</f>
        <v/>
      </c>
      <c r="E120" s="3" t="str">
        <f>IFERROR(IF('ŞİKAYET KAYIT'!P120="Kapatıldı","",IF('ŞİKAYET KAYIT'!H120="","",'ŞİKAYET KAYIT'!H120)),"")</f>
        <v/>
      </c>
      <c r="F120" s="3" t="str">
        <f>IFERROR(IF('ŞİKAYET KAYIT'!P120="Kapatıldı","",IF('ŞİKAYET KAYIT'!I120="","",'ŞİKAYET KAYIT'!I120)),"")</f>
        <v/>
      </c>
      <c r="G120" s="3" t="str">
        <f>IFERROR(IF('ŞİKAYET KAYIT'!P120="Kapatıldı","",IF('ŞİKAYET KAYIT'!J120="","",'ŞİKAYET KAYIT'!J120)),"")</f>
        <v/>
      </c>
      <c r="H120" s="3" t="str">
        <f>IFERROR(IF('ŞİKAYET KAYIT'!P120="Kapatıldı","",IF('ŞİKAYET KAYIT'!K120="","",'ŞİKAYET KAYIT'!K120)),"")</f>
        <v/>
      </c>
      <c r="I120" s="3" t="str">
        <f>IFERROR(IF('ŞİKAYET KAYIT'!P120="Kapatıldı","",IF('ŞİKAYET KAYIT'!L120="","",'ŞİKAYET KAYIT'!L120)),"")</f>
        <v/>
      </c>
      <c r="J120" s="3" t="str">
        <f>IFERROR(IF('ŞİKAYET KAYIT'!P120="Kapatıldı","",IF('ŞİKAYET KAYIT'!M120="","",'ŞİKAYET KAYIT'!M120)),"")</f>
        <v/>
      </c>
      <c r="K120" s="3" t="str">
        <f>IFERROR(IF('ŞİKAYET KAYIT'!P120="Kapatıldı","",IF('ŞİKAYET KAYIT'!N120="","",'ŞİKAYET KAYIT'!N120)),"")</f>
        <v/>
      </c>
      <c r="L120" s="3" t="str">
        <f>IFERROR(IF('ŞİKAYET KAYIT'!P120="Kapatıldı","",IF('ŞİKAYET KAYIT'!O120="","",'ŞİKAYET KAYIT'!O120)),"")</f>
        <v/>
      </c>
      <c r="M120" s="3" t="str">
        <f>IFERROR(IF('ŞİKAYET KAYIT'!P120="Kapatıldı","",IF('ŞİKAYET KAYIT'!P120="","",'ŞİKAYET KAYIT'!P120)),"")</f>
        <v/>
      </c>
    </row>
    <row r="121" spans="1:13" ht="15" customHeight="1" x14ac:dyDescent="0.3">
      <c r="A121" s="26" t="str">
        <f>IFERROR(IF('ŞİKAYET KAYIT'!P121="Kapatıldı","",IF('ŞİKAYET KAYIT'!A121="","",'ŞİKAYET KAYIT'!A121)),"")</f>
        <v/>
      </c>
      <c r="B121" s="8" t="str">
        <f>IFERROR(IF('ŞİKAYET KAYIT'!P121="Kapatıldı","",IF('ŞİKAYET KAYIT'!B121="","",'ŞİKAYET KAYIT'!B121)),"")</f>
        <v/>
      </c>
      <c r="C121" s="26" t="str">
        <f>IFERROR(IF('ŞİKAYET KAYIT'!P121="Kapatıldı","",IF('ŞİKAYET KAYIT'!D121="","",'ŞİKAYET KAYIT'!D121)),"")</f>
        <v/>
      </c>
      <c r="D121" s="26" t="str">
        <f>IFERROR(IF('ŞİKAYET KAYIT'!P121="Kapatıldı","",IF('ŞİKAYET KAYIT'!F121="","",'ŞİKAYET KAYIT'!F121)),"")</f>
        <v/>
      </c>
      <c r="E121" s="26" t="str">
        <f>IFERROR(IF('ŞİKAYET KAYIT'!P121="Kapatıldı","",IF('ŞİKAYET KAYIT'!H121="","",'ŞİKAYET KAYIT'!H121)),"")</f>
        <v/>
      </c>
      <c r="F121" s="26" t="str">
        <f>IFERROR(IF('ŞİKAYET KAYIT'!P121="Kapatıldı","",IF('ŞİKAYET KAYIT'!I121="","",'ŞİKAYET KAYIT'!I121)),"")</f>
        <v/>
      </c>
      <c r="G121" s="26" t="str">
        <f>IFERROR(IF('ŞİKAYET KAYIT'!P121="Kapatıldı","",IF('ŞİKAYET KAYIT'!J121="","",'ŞİKAYET KAYIT'!J121)),"")</f>
        <v/>
      </c>
      <c r="H121" s="26" t="str">
        <f>IFERROR(IF('ŞİKAYET KAYIT'!P121="Kapatıldı","",IF('ŞİKAYET KAYIT'!K121="","",'ŞİKAYET KAYIT'!K121)),"")</f>
        <v/>
      </c>
      <c r="I121" s="26" t="str">
        <f>IFERROR(IF('ŞİKAYET KAYIT'!P121="Kapatıldı","",IF('ŞİKAYET KAYIT'!L121="","",'ŞİKAYET KAYIT'!L121)),"")</f>
        <v/>
      </c>
      <c r="J121" s="26" t="str">
        <f>IFERROR(IF('ŞİKAYET KAYIT'!P121="Kapatıldı","",IF('ŞİKAYET KAYIT'!M121="","",'ŞİKAYET KAYIT'!M121)),"")</f>
        <v/>
      </c>
      <c r="K121" s="26" t="str">
        <f>IFERROR(IF('ŞİKAYET KAYIT'!P121="Kapatıldı","",IF('ŞİKAYET KAYIT'!N121="","",'ŞİKAYET KAYIT'!N121)),"")</f>
        <v/>
      </c>
      <c r="L121" s="26" t="str">
        <f>IFERROR(IF('ŞİKAYET KAYIT'!P121="Kapatıldı","",IF('ŞİKAYET KAYIT'!O121="","",'ŞİKAYET KAYIT'!O121)),"")</f>
        <v/>
      </c>
      <c r="M121" s="26" t="str">
        <f>IFERROR(IF('ŞİKAYET KAYIT'!P121="Kapatıldı","",IF('ŞİKAYET KAYIT'!P121="","",'ŞİKAYET KAYIT'!P121)),"")</f>
        <v/>
      </c>
    </row>
    <row r="122" spans="1:13" ht="15" customHeight="1" x14ac:dyDescent="0.3">
      <c r="A122" s="3" t="str">
        <f>IFERROR(IF('ŞİKAYET KAYIT'!P122="Kapatıldı","",IF('ŞİKAYET KAYIT'!A122="","",'ŞİKAYET KAYIT'!A122)),"")</f>
        <v/>
      </c>
      <c r="B122" s="5" t="str">
        <f>IFERROR(IF('ŞİKAYET KAYIT'!P122="Kapatıldı","",IF('ŞİKAYET KAYIT'!B122="","",'ŞİKAYET KAYIT'!B122)),"")</f>
        <v/>
      </c>
      <c r="C122" s="3" t="str">
        <f>IFERROR(IF('ŞİKAYET KAYIT'!P122="Kapatıldı","",IF('ŞİKAYET KAYIT'!D122="","",'ŞİKAYET KAYIT'!D122)),"")</f>
        <v/>
      </c>
      <c r="D122" s="3" t="str">
        <f>IFERROR(IF('ŞİKAYET KAYIT'!P122="Kapatıldı","",IF('ŞİKAYET KAYIT'!F122="","",'ŞİKAYET KAYIT'!F122)),"")</f>
        <v/>
      </c>
      <c r="E122" s="3" t="str">
        <f>IFERROR(IF('ŞİKAYET KAYIT'!P122="Kapatıldı","",IF('ŞİKAYET KAYIT'!H122="","",'ŞİKAYET KAYIT'!H122)),"")</f>
        <v/>
      </c>
      <c r="F122" s="3" t="str">
        <f>IFERROR(IF('ŞİKAYET KAYIT'!P122="Kapatıldı","",IF('ŞİKAYET KAYIT'!I122="","",'ŞİKAYET KAYIT'!I122)),"")</f>
        <v/>
      </c>
      <c r="G122" s="3" t="str">
        <f>IFERROR(IF('ŞİKAYET KAYIT'!P122="Kapatıldı","",IF('ŞİKAYET KAYIT'!J122="","",'ŞİKAYET KAYIT'!J122)),"")</f>
        <v/>
      </c>
      <c r="H122" s="3" t="str">
        <f>IFERROR(IF('ŞİKAYET KAYIT'!P122="Kapatıldı","",IF('ŞİKAYET KAYIT'!K122="","",'ŞİKAYET KAYIT'!K122)),"")</f>
        <v/>
      </c>
      <c r="I122" s="3" t="str">
        <f>IFERROR(IF('ŞİKAYET KAYIT'!P122="Kapatıldı","",IF('ŞİKAYET KAYIT'!L122="","",'ŞİKAYET KAYIT'!L122)),"")</f>
        <v/>
      </c>
      <c r="J122" s="3" t="str">
        <f>IFERROR(IF('ŞİKAYET KAYIT'!P122="Kapatıldı","",IF('ŞİKAYET KAYIT'!M122="","",'ŞİKAYET KAYIT'!M122)),"")</f>
        <v/>
      </c>
      <c r="K122" s="3" t="str">
        <f>IFERROR(IF('ŞİKAYET KAYIT'!P122="Kapatıldı","",IF('ŞİKAYET KAYIT'!N122="","",'ŞİKAYET KAYIT'!N122)),"")</f>
        <v/>
      </c>
      <c r="L122" s="3" t="str">
        <f>IFERROR(IF('ŞİKAYET KAYIT'!P122="Kapatıldı","",IF('ŞİKAYET KAYIT'!O122="","",'ŞİKAYET KAYIT'!O122)),"")</f>
        <v/>
      </c>
      <c r="M122" s="3" t="str">
        <f>IFERROR(IF('ŞİKAYET KAYIT'!P122="Kapatıldı","",IF('ŞİKAYET KAYIT'!P122="","",'ŞİKAYET KAYIT'!P122)),"")</f>
        <v/>
      </c>
    </row>
    <row r="123" spans="1:13" ht="15" customHeight="1" x14ac:dyDescent="0.3">
      <c r="A123" s="26" t="str">
        <f>IFERROR(IF('ŞİKAYET KAYIT'!P123="Kapatıldı","",IF('ŞİKAYET KAYIT'!A123="","",'ŞİKAYET KAYIT'!A123)),"")</f>
        <v/>
      </c>
      <c r="B123" s="8" t="str">
        <f>IFERROR(IF('ŞİKAYET KAYIT'!P123="Kapatıldı","",IF('ŞİKAYET KAYIT'!B123="","",'ŞİKAYET KAYIT'!B123)),"")</f>
        <v/>
      </c>
      <c r="C123" s="26" t="str">
        <f>IFERROR(IF('ŞİKAYET KAYIT'!P123="Kapatıldı","",IF('ŞİKAYET KAYIT'!D123="","",'ŞİKAYET KAYIT'!D123)),"")</f>
        <v/>
      </c>
      <c r="D123" s="26" t="str">
        <f>IFERROR(IF('ŞİKAYET KAYIT'!P123="Kapatıldı","",IF('ŞİKAYET KAYIT'!F123="","",'ŞİKAYET KAYIT'!F123)),"")</f>
        <v/>
      </c>
      <c r="E123" s="26" t="str">
        <f>IFERROR(IF('ŞİKAYET KAYIT'!P123="Kapatıldı","",IF('ŞİKAYET KAYIT'!H123="","",'ŞİKAYET KAYIT'!H123)),"")</f>
        <v/>
      </c>
      <c r="F123" s="26" t="str">
        <f>IFERROR(IF('ŞİKAYET KAYIT'!P123="Kapatıldı","",IF('ŞİKAYET KAYIT'!I123="","",'ŞİKAYET KAYIT'!I123)),"")</f>
        <v/>
      </c>
      <c r="G123" s="26" t="str">
        <f>IFERROR(IF('ŞİKAYET KAYIT'!P123="Kapatıldı","",IF('ŞİKAYET KAYIT'!J123="","",'ŞİKAYET KAYIT'!J123)),"")</f>
        <v/>
      </c>
      <c r="H123" s="26" t="str">
        <f>IFERROR(IF('ŞİKAYET KAYIT'!P123="Kapatıldı","",IF('ŞİKAYET KAYIT'!K123="","",'ŞİKAYET KAYIT'!K123)),"")</f>
        <v/>
      </c>
      <c r="I123" s="26" t="str">
        <f>IFERROR(IF('ŞİKAYET KAYIT'!P123="Kapatıldı","",IF('ŞİKAYET KAYIT'!L123="","",'ŞİKAYET KAYIT'!L123)),"")</f>
        <v/>
      </c>
      <c r="J123" s="26" t="str">
        <f>IFERROR(IF('ŞİKAYET KAYIT'!P123="Kapatıldı","",IF('ŞİKAYET KAYIT'!M123="","",'ŞİKAYET KAYIT'!M123)),"")</f>
        <v/>
      </c>
      <c r="K123" s="26" t="str">
        <f>IFERROR(IF('ŞİKAYET KAYIT'!P123="Kapatıldı","",IF('ŞİKAYET KAYIT'!N123="","",'ŞİKAYET KAYIT'!N123)),"")</f>
        <v/>
      </c>
      <c r="L123" s="26" t="str">
        <f>IFERROR(IF('ŞİKAYET KAYIT'!P123="Kapatıldı","",IF('ŞİKAYET KAYIT'!O123="","",'ŞİKAYET KAYIT'!O123)),"")</f>
        <v/>
      </c>
      <c r="M123" s="26" t="str">
        <f>IFERROR(IF('ŞİKAYET KAYIT'!P123="Kapatıldı","",IF('ŞİKAYET KAYIT'!P123="","",'ŞİKAYET KAYIT'!P123)),"")</f>
        <v/>
      </c>
    </row>
    <row r="124" spans="1:13" ht="15" customHeight="1" x14ac:dyDescent="0.3">
      <c r="A124" s="3" t="str">
        <f>IFERROR(IF('ŞİKAYET KAYIT'!P124="Kapatıldı","",IF('ŞİKAYET KAYIT'!A124="","",'ŞİKAYET KAYIT'!A124)),"")</f>
        <v/>
      </c>
      <c r="B124" s="5" t="str">
        <f>IFERROR(IF('ŞİKAYET KAYIT'!P124="Kapatıldı","",IF('ŞİKAYET KAYIT'!B124="","",'ŞİKAYET KAYIT'!B124)),"")</f>
        <v/>
      </c>
      <c r="C124" s="3" t="str">
        <f>IFERROR(IF('ŞİKAYET KAYIT'!P124="Kapatıldı","",IF('ŞİKAYET KAYIT'!D124="","",'ŞİKAYET KAYIT'!D124)),"")</f>
        <v/>
      </c>
      <c r="D124" s="3" t="str">
        <f>IFERROR(IF('ŞİKAYET KAYIT'!P124="Kapatıldı","",IF('ŞİKAYET KAYIT'!F124="","",'ŞİKAYET KAYIT'!F124)),"")</f>
        <v/>
      </c>
      <c r="E124" s="3" t="str">
        <f>IFERROR(IF('ŞİKAYET KAYIT'!P124="Kapatıldı","",IF('ŞİKAYET KAYIT'!H124="","",'ŞİKAYET KAYIT'!H124)),"")</f>
        <v/>
      </c>
      <c r="F124" s="3" t="str">
        <f>IFERROR(IF('ŞİKAYET KAYIT'!P124="Kapatıldı","",IF('ŞİKAYET KAYIT'!I124="","",'ŞİKAYET KAYIT'!I124)),"")</f>
        <v/>
      </c>
      <c r="G124" s="3" t="str">
        <f>IFERROR(IF('ŞİKAYET KAYIT'!P124="Kapatıldı","",IF('ŞİKAYET KAYIT'!J124="","",'ŞİKAYET KAYIT'!J124)),"")</f>
        <v/>
      </c>
      <c r="H124" s="3" t="str">
        <f>IFERROR(IF('ŞİKAYET KAYIT'!P124="Kapatıldı","",IF('ŞİKAYET KAYIT'!K124="","",'ŞİKAYET KAYIT'!K124)),"")</f>
        <v/>
      </c>
      <c r="I124" s="3" t="str">
        <f>IFERROR(IF('ŞİKAYET KAYIT'!P124="Kapatıldı","",IF('ŞİKAYET KAYIT'!L124="","",'ŞİKAYET KAYIT'!L124)),"")</f>
        <v/>
      </c>
      <c r="J124" s="3" t="str">
        <f>IFERROR(IF('ŞİKAYET KAYIT'!P124="Kapatıldı","",IF('ŞİKAYET KAYIT'!M124="","",'ŞİKAYET KAYIT'!M124)),"")</f>
        <v/>
      </c>
      <c r="K124" s="3" t="str">
        <f>IFERROR(IF('ŞİKAYET KAYIT'!P124="Kapatıldı","",IF('ŞİKAYET KAYIT'!N124="","",'ŞİKAYET KAYIT'!N124)),"")</f>
        <v/>
      </c>
      <c r="L124" s="3" t="str">
        <f>IFERROR(IF('ŞİKAYET KAYIT'!P124="Kapatıldı","",IF('ŞİKAYET KAYIT'!O124="","",'ŞİKAYET KAYIT'!O124)),"")</f>
        <v/>
      </c>
      <c r="M124" s="3" t="str">
        <f>IFERROR(IF('ŞİKAYET KAYIT'!P124="Kapatıldı","",IF('ŞİKAYET KAYIT'!P124="","",'ŞİKAYET KAYIT'!P124)),"")</f>
        <v/>
      </c>
    </row>
    <row r="125" spans="1:13" ht="15" customHeight="1" x14ac:dyDescent="0.3">
      <c r="A125" s="26" t="str">
        <f>IFERROR(IF('ŞİKAYET KAYIT'!P125="Kapatıldı","",IF('ŞİKAYET KAYIT'!A125="","",'ŞİKAYET KAYIT'!A125)),"")</f>
        <v/>
      </c>
      <c r="B125" s="8" t="str">
        <f>IFERROR(IF('ŞİKAYET KAYIT'!P125="Kapatıldı","",IF('ŞİKAYET KAYIT'!B125="","",'ŞİKAYET KAYIT'!B125)),"")</f>
        <v/>
      </c>
      <c r="C125" s="26" t="str">
        <f>IFERROR(IF('ŞİKAYET KAYIT'!P125="Kapatıldı","",IF('ŞİKAYET KAYIT'!D125="","",'ŞİKAYET KAYIT'!D125)),"")</f>
        <v/>
      </c>
      <c r="D125" s="26" t="str">
        <f>IFERROR(IF('ŞİKAYET KAYIT'!P125="Kapatıldı","",IF('ŞİKAYET KAYIT'!F125="","",'ŞİKAYET KAYIT'!F125)),"")</f>
        <v/>
      </c>
      <c r="E125" s="26" t="str">
        <f>IFERROR(IF('ŞİKAYET KAYIT'!P125="Kapatıldı","",IF('ŞİKAYET KAYIT'!H125="","",'ŞİKAYET KAYIT'!H125)),"")</f>
        <v/>
      </c>
      <c r="F125" s="26" t="str">
        <f>IFERROR(IF('ŞİKAYET KAYIT'!P125="Kapatıldı","",IF('ŞİKAYET KAYIT'!I125="","",'ŞİKAYET KAYIT'!I125)),"")</f>
        <v/>
      </c>
      <c r="G125" s="26" t="str">
        <f>IFERROR(IF('ŞİKAYET KAYIT'!P125="Kapatıldı","",IF('ŞİKAYET KAYIT'!J125="","",'ŞİKAYET KAYIT'!J125)),"")</f>
        <v/>
      </c>
      <c r="H125" s="26" t="str">
        <f>IFERROR(IF('ŞİKAYET KAYIT'!P125="Kapatıldı","",IF('ŞİKAYET KAYIT'!K125="","",'ŞİKAYET KAYIT'!K125)),"")</f>
        <v/>
      </c>
      <c r="I125" s="26" t="str">
        <f>IFERROR(IF('ŞİKAYET KAYIT'!P125="Kapatıldı","",IF('ŞİKAYET KAYIT'!L125="","",'ŞİKAYET KAYIT'!L125)),"")</f>
        <v/>
      </c>
      <c r="J125" s="26" t="str">
        <f>IFERROR(IF('ŞİKAYET KAYIT'!P125="Kapatıldı","",IF('ŞİKAYET KAYIT'!M125="","",'ŞİKAYET KAYIT'!M125)),"")</f>
        <v/>
      </c>
      <c r="K125" s="26" t="str">
        <f>IFERROR(IF('ŞİKAYET KAYIT'!P125="Kapatıldı","",IF('ŞİKAYET KAYIT'!N125="","",'ŞİKAYET KAYIT'!N125)),"")</f>
        <v/>
      </c>
      <c r="L125" s="26" t="str">
        <f>IFERROR(IF('ŞİKAYET KAYIT'!P125="Kapatıldı","",IF('ŞİKAYET KAYIT'!O125="","",'ŞİKAYET KAYIT'!O125)),"")</f>
        <v/>
      </c>
      <c r="M125" s="26" t="str">
        <f>IFERROR(IF('ŞİKAYET KAYIT'!P125="Kapatıldı","",IF('ŞİKAYET KAYIT'!P125="","",'ŞİKAYET KAYIT'!P125)),"")</f>
        <v/>
      </c>
    </row>
    <row r="126" spans="1:13" ht="15" customHeight="1" x14ac:dyDescent="0.3">
      <c r="A126" s="3" t="str">
        <f>IFERROR(IF('ŞİKAYET KAYIT'!P126="Kapatıldı","",IF('ŞİKAYET KAYIT'!A126="","",'ŞİKAYET KAYIT'!A126)),"")</f>
        <v/>
      </c>
      <c r="B126" s="5" t="str">
        <f>IFERROR(IF('ŞİKAYET KAYIT'!P126="Kapatıldı","",IF('ŞİKAYET KAYIT'!B126="","",'ŞİKAYET KAYIT'!B126)),"")</f>
        <v/>
      </c>
      <c r="C126" s="3" t="str">
        <f>IFERROR(IF('ŞİKAYET KAYIT'!P126="Kapatıldı","",IF('ŞİKAYET KAYIT'!D126="","",'ŞİKAYET KAYIT'!D126)),"")</f>
        <v/>
      </c>
      <c r="D126" s="3" t="str">
        <f>IFERROR(IF('ŞİKAYET KAYIT'!P126="Kapatıldı","",IF('ŞİKAYET KAYIT'!F126="","",'ŞİKAYET KAYIT'!F126)),"")</f>
        <v/>
      </c>
      <c r="E126" s="3" t="str">
        <f>IFERROR(IF('ŞİKAYET KAYIT'!P126="Kapatıldı","",IF('ŞİKAYET KAYIT'!H126="","",'ŞİKAYET KAYIT'!H126)),"")</f>
        <v/>
      </c>
      <c r="F126" s="3" t="str">
        <f>IFERROR(IF('ŞİKAYET KAYIT'!P126="Kapatıldı","",IF('ŞİKAYET KAYIT'!I126="","",'ŞİKAYET KAYIT'!I126)),"")</f>
        <v/>
      </c>
      <c r="G126" s="3" t="str">
        <f>IFERROR(IF('ŞİKAYET KAYIT'!P126="Kapatıldı","",IF('ŞİKAYET KAYIT'!J126="","",'ŞİKAYET KAYIT'!J126)),"")</f>
        <v/>
      </c>
      <c r="H126" s="3" t="str">
        <f>IFERROR(IF('ŞİKAYET KAYIT'!P126="Kapatıldı","",IF('ŞİKAYET KAYIT'!K126="","",'ŞİKAYET KAYIT'!K126)),"")</f>
        <v/>
      </c>
      <c r="I126" s="3" t="str">
        <f>IFERROR(IF('ŞİKAYET KAYIT'!P126="Kapatıldı","",IF('ŞİKAYET KAYIT'!L126="","",'ŞİKAYET KAYIT'!L126)),"")</f>
        <v/>
      </c>
      <c r="J126" s="3" t="str">
        <f>IFERROR(IF('ŞİKAYET KAYIT'!P126="Kapatıldı","",IF('ŞİKAYET KAYIT'!M126="","",'ŞİKAYET KAYIT'!M126)),"")</f>
        <v/>
      </c>
      <c r="K126" s="3" t="str">
        <f>IFERROR(IF('ŞİKAYET KAYIT'!P126="Kapatıldı","",IF('ŞİKAYET KAYIT'!N126="","",'ŞİKAYET KAYIT'!N126)),"")</f>
        <v/>
      </c>
      <c r="L126" s="3" t="str">
        <f>IFERROR(IF('ŞİKAYET KAYIT'!P126="Kapatıldı","",IF('ŞİKAYET KAYIT'!O126="","",'ŞİKAYET KAYIT'!O126)),"")</f>
        <v/>
      </c>
      <c r="M126" s="3" t="str">
        <f>IFERROR(IF('ŞİKAYET KAYIT'!P126="Kapatıldı","",IF('ŞİKAYET KAYIT'!P126="","",'ŞİKAYET KAYIT'!P126)),"")</f>
        <v/>
      </c>
    </row>
    <row r="127" spans="1:13" ht="15" customHeight="1" x14ac:dyDescent="0.3">
      <c r="A127" s="26" t="str">
        <f>IFERROR(IF('ŞİKAYET KAYIT'!P127="Kapatıldı","",IF('ŞİKAYET KAYIT'!A127="","",'ŞİKAYET KAYIT'!A127)),"")</f>
        <v/>
      </c>
      <c r="B127" s="8" t="str">
        <f>IFERROR(IF('ŞİKAYET KAYIT'!P127="Kapatıldı","",IF('ŞİKAYET KAYIT'!B127="","",'ŞİKAYET KAYIT'!B127)),"")</f>
        <v/>
      </c>
      <c r="C127" s="26" t="str">
        <f>IFERROR(IF('ŞİKAYET KAYIT'!P127="Kapatıldı","",IF('ŞİKAYET KAYIT'!D127="","",'ŞİKAYET KAYIT'!D127)),"")</f>
        <v/>
      </c>
      <c r="D127" s="26" t="str">
        <f>IFERROR(IF('ŞİKAYET KAYIT'!P127="Kapatıldı","",IF('ŞİKAYET KAYIT'!F127="","",'ŞİKAYET KAYIT'!F127)),"")</f>
        <v/>
      </c>
      <c r="E127" s="26" t="str">
        <f>IFERROR(IF('ŞİKAYET KAYIT'!P127="Kapatıldı","",IF('ŞİKAYET KAYIT'!H127="","",'ŞİKAYET KAYIT'!H127)),"")</f>
        <v/>
      </c>
      <c r="F127" s="26" t="str">
        <f>IFERROR(IF('ŞİKAYET KAYIT'!P127="Kapatıldı","",IF('ŞİKAYET KAYIT'!I127="","",'ŞİKAYET KAYIT'!I127)),"")</f>
        <v/>
      </c>
      <c r="G127" s="26" t="str">
        <f>IFERROR(IF('ŞİKAYET KAYIT'!P127="Kapatıldı","",IF('ŞİKAYET KAYIT'!J127="","",'ŞİKAYET KAYIT'!J127)),"")</f>
        <v/>
      </c>
      <c r="H127" s="26" t="str">
        <f>IFERROR(IF('ŞİKAYET KAYIT'!P127="Kapatıldı","",IF('ŞİKAYET KAYIT'!K127="","",'ŞİKAYET KAYIT'!K127)),"")</f>
        <v/>
      </c>
      <c r="I127" s="26" t="str">
        <f>IFERROR(IF('ŞİKAYET KAYIT'!P127="Kapatıldı","",IF('ŞİKAYET KAYIT'!L127="","",'ŞİKAYET KAYIT'!L127)),"")</f>
        <v/>
      </c>
      <c r="J127" s="26" t="str">
        <f>IFERROR(IF('ŞİKAYET KAYIT'!P127="Kapatıldı","",IF('ŞİKAYET KAYIT'!M127="","",'ŞİKAYET KAYIT'!M127)),"")</f>
        <v/>
      </c>
      <c r="K127" s="26" t="str">
        <f>IFERROR(IF('ŞİKAYET KAYIT'!P127="Kapatıldı","",IF('ŞİKAYET KAYIT'!N127="","",'ŞİKAYET KAYIT'!N127)),"")</f>
        <v/>
      </c>
      <c r="L127" s="26" t="str">
        <f>IFERROR(IF('ŞİKAYET KAYIT'!P127="Kapatıldı","",IF('ŞİKAYET KAYIT'!O127="","",'ŞİKAYET KAYIT'!O127)),"")</f>
        <v/>
      </c>
      <c r="M127" s="26" t="str">
        <f>IFERROR(IF('ŞİKAYET KAYIT'!P127="Kapatıldı","",IF('ŞİKAYET KAYIT'!P127="","",'ŞİKAYET KAYIT'!P127)),"")</f>
        <v/>
      </c>
    </row>
    <row r="128" spans="1:13" ht="15" customHeight="1" x14ac:dyDescent="0.3">
      <c r="A128" s="3" t="str">
        <f>IFERROR(IF('ŞİKAYET KAYIT'!P128="Kapatıldı","",IF('ŞİKAYET KAYIT'!A128="","",'ŞİKAYET KAYIT'!A128)),"")</f>
        <v/>
      </c>
      <c r="B128" s="5" t="str">
        <f>IFERROR(IF('ŞİKAYET KAYIT'!P128="Kapatıldı","",IF('ŞİKAYET KAYIT'!B128="","",'ŞİKAYET KAYIT'!B128)),"")</f>
        <v/>
      </c>
      <c r="C128" s="3" t="str">
        <f>IFERROR(IF('ŞİKAYET KAYIT'!P128="Kapatıldı","",IF('ŞİKAYET KAYIT'!D128="","",'ŞİKAYET KAYIT'!D128)),"")</f>
        <v/>
      </c>
      <c r="D128" s="3" t="str">
        <f>IFERROR(IF('ŞİKAYET KAYIT'!P128="Kapatıldı","",IF('ŞİKAYET KAYIT'!F128="","",'ŞİKAYET KAYIT'!F128)),"")</f>
        <v/>
      </c>
      <c r="E128" s="3" t="str">
        <f>IFERROR(IF('ŞİKAYET KAYIT'!P128="Kapatıldı","",IF('ŞİKAYET KAYIT'!H128="","",'ŞİKAYET KAYIT'!H128)),"")</f>
        <v/>
      </c>
      <c r="F128" s="3" t="str">
        <f>IFERROR(IF('ŞİKAYET KAYIT'!P128="Kapatıldı","",IF('ŞİKAYET KAYIT'!I128="","",'ŞİKAYET KAYIT'!I128)),"")</f>
        <v/>
      </c>
      <c r="G128" s="3" t="str">
        <f>IFERROR(IF('ŞİKAYET KAYIT'!P128="Kapatıldı","",IF('ŞİKAYET KAYIT'!J128="","",'ŞİKAYET KAYIT'!J128)),"")</f>
        <v/>
      </c>
      <c r="H128" s="3" t="str">
        <f>IFERROR(IF('ŞİKAYET KAYIT'!P128="Kapatıldı","",IF('ŞİKAYET KAYIT'!K128="","",'ŞİKAYET KAYIT'!K128)),"")</f>
        <v/>
      </c>
      <c r="I128" s="3" t="str">
        <f>IFERROR(IF('ŞİKAYET KAYIT'!P128="Kapatıldı","",IF('ŞİKAYET KAYIT'!L128="","",'ŞİKAYET KAYIT'!L128)),"")</f>
        <v/>
      </c>
      <c r="J128" s="3" t="str">
        <f>IFERROR(IF('ŞİKAYET KAYIT'!P128="Kapatıldı","",IF('ŞİKAYET KAYIT'!M128="","",'ŞİKAYET KAYIT'!M128)),"")</f>
        <v/>
      </c>
      <c r="K128" s="3" t="str">
        <f>IFERROR(IF('ŞİKAYET KAYIT'!P128="Kapatıldı","",IF('ŞİKAYET KAYIT'!N128="","",'ŞİKAYET KAYIT'!N128)),"")</f>
        <v/>
      </c>
      <c r="L128" s="3" t="str">
        <f>IFERROR(IF('ŞİKAYET KAYIT'!P128="Kapatıldı","",IF('ŞİKAYET KAYIT'!O128="","",'ŞİKAYET KAYIT'!O128)),"")</f>
        <v/>
      </c>
      <c r="M128" s="3" t="str">
        <f>IFERROR(IF('ŞİKAYET KAYIT'!P128="Kapatıldı","",IF('ŞİKAYET KAYIT'!P128="","",'ŞİKAYET KAYIT'!P128)),"")</f>
        <v/>
      </c>
    </row>
    <row r="129" spans="1:13" ht="15" customHeight="1" x14ac:dyDescent="0.3">
      <c r="A129" s="26" t="str">
        <f>IFERROR(IF('ŞİKAYET KAYIT'!P129="Kapatıldı","",IF('ŞİKAYET KAYIT'!A129="","",'ŞİKAYET KAYIT'!A129)),"")</f>
        <v/>
      </c>
      <c r="B129" s="8" t="str">
        <f>IFERROR(IF('ŞİKAYET KAYIT'!P129="Kapatıldı","",IF('ŞİKAYET KAYIT'!B129="","",'ŞİKAYET KAYIT'!B129)),"")</f>
        <v/>
      </c>
      <c r="C129" s="26" t="str">
        <f>IFERROR(IF('ŞİKAYET KAYIT'!P129="Kapatıldı","",IF('ŞİKAYET KAYIT'!D129="","",'ŞİKAYET KAYIT'!D129)),"")</f>
        <v/>
      </c>
      <c r="D129" s="26" t="str">
        <f>IFERROR(IF('ŞİKAYET KAYIT'!P129="Kapatıldı","",IF('ŞİKAYET KAYIT'!F129="","",'ŞİKAYET KAYIT'!F129)),"")</f>
        <v/>
      </c>
      <c r="E129" s="26" t="str">
        <f>IFERROR(IF('ŞİKAYET KAYIT'!P129="Kapatıldı","",IF('ŞİKAYET KAYIT'!H129="","",'ŞİKAYET KAYIT'!H129)),"")</f>
        <v/>
      </c>
      <c r="F129" s="26" t="str">
        <f>IFERROR(IF('ŞİKAYET KAYIT'!P129="Kapatıldı","",IF('ŞİKAYET KAYIT'!I129="","",'ŞİKAYET KAYIT'!I129)),"")</f>
        <v/>
      </c>
      <c r="G129" s="26" t="str">
        <f>IFERROR(IF('ŞİKAYET KAYIT'!P129="Kapatıldı","",IF('ŞİKAYET KAYIT'!J129="","",'ŞİKAYET KAYIT'!J129)),"")</f>
        <v/>
      </c>
      <c r="H129" s="26" t="str">
        <f>IFERROR(IF('ŞİKAYET KAYIT'!P129="Kapatıldı","",IF('ŞİKAYET KAYIT'!K129="","",'ŞİKAYET KAYIT'!K129)),"")</f>
        <v/>
      </c>
      <c r="I129" s="26" t="str">
        <f>IFERROR(IF('ŞİKAYET KAYIT'!P129="Kapatıldı","",IF('ŞİKAYET KAYIT'!L129="","",'ŞİKAYET KAYIT'!L129)),"")</f>
        <v/>
      </c>
      <c r="J129" s="26" t="str">
        <f>IFERROR(IF('ŞİKAYET KAYIT'!P129="Kapatıldı","",IF('ŞİKAYET KAYIT'!M129="","",'ŞİKAYET KAYIT'!M129)),"")</f>
        <v/>
      </c>
      <c r="K129" s="26" t="str">
        <f>IFERROR(IF('ŞİKAYET KAYIT'!P129="Kapatıldı","",IF('ŞİKAYET KAYIT'!N129="","",'ŞİKAYET KAYIT'!N129)),"")</f>
        <v/>
      </c>
      <c r="L129" s="26" t="str">
        <f>IFERROR(IF('ŞİKAYET KAYIT'!P129="Kapatıldı","",IF('ŞİKAYET KAYIT'!O129="","",'ŞİKAYET KAYIT'!O129)),"")</f>
        <v/>
      </c>
      <c r="M129" s="26" t="str">
        <f>IFERROR(IF('ŞİKAYET KAYIT'!P129="Kapatıldı","",IF('ŞİKAYET KAYIT'!P129="","",'ŞİKAYET KAYIT'!P129)),"")</f>
        <v/>
      </c>
    </row>
    <row r="130" spans="1:13" ht="15" customHeight="1" x14ac:dyDescent="0.3">
      <c r="A130" s="3" t="str">
        <f>IFERROR(IF('ŞİKAYET KAYIT'!P130="Kapatıldı","",IF('ŞİKAYET KAYIT'!A130="","",'ŞİKAYET KAYIT'!A130)),"")</f>
        <v/>
      </c>
      <c r="B130" s="5" t="str">
        <f>IFERROR(IF('ŞİKAYET KAYIT'!P130="Kapatıldı","",IF('ŞİKAYET KAYIT'!B130="","",'ŞİKAYET KAYIT'!B130)),"")</f>
        <v/>
      </c>
      <c r="C130" s="3" t="str">
        <f>IFERROR(IF('ŞİKAYET KAYIT'!P130="Kapatıldı","",IF('ŞİKAYET KAYIT'!D130="","",'ŞİKAYET KAYIT'!D130)),"")</f>
        <v/>
      </c>
      <c r="D130" s="3" t="str">
        <f>IFERROR(IF('ŞİKAYET KAYIT'!P130="Kapatıldı","",IF('ŞİKAYET KAYIT'!F130="","",'ŞİKAYET KAYIT'!F130)),"")</f>
        <v/>
      </c>
      <c r="E130" s="3" t="str">
        <f>IFERROR(IF('ŞİKAYET KAYIT'!P130="Kapatıldı","",IF('ŞİKAYET KAYIT'!H130="","",'ŞİKAYET KAYIT'!H130)),"")</f>
        <v/>
      </c>
      <c r="F130" s="3" t="str">
        <f>IFERROR(IF('ŞİKAYET KAYIT'!P130="Kapatıldı","",IF('ŞİKAYET KAYIT'!I130="","",'ŞİKAYET KAYIT'!I130)),"")</f>
        <v/>
      </c>
      <c r="G130" s="3" t="str">
        <f>IFERROR(IF('ŞİKAYET KAYIT'!P130="Kapatıldı","",IF('ŞİKAYET KAYIT'!J130="","",'ŞİKAYET KAYIT'!J130)),"")</f>
        <v/>
      </c>
      <c r="H130" s="3" t="str">
        <f>IFERROR(IF('ŞİKAYET KAYIT'!P130="Kapatıldı","",IF('ŞİKAYET KAYIT'!K130="","",'ŞİKAYET KAYIT'!K130)),"")</f>
        <v/>
      </c>
      <c r="I130" s="3" t="str">
        <f>IFERROR(IF('ŞİKAYET KAYIT'!P130="Kapatıldı","",IF('ŞİKAYET KAYIT'!L130="","",'ŞİKAYET KAYIT'!L130)),"")</f>
        <v/>
      </c>
      <c r="J130" s="3" t="str">
        <f>IFERROR(IF('ŞİKAYET KAYIT'!P130="Kapatıldı","",IF('ŞİKAYET KAYIT'!M130="","",'ŞİKAYET KAYIT'!M130)),"")</f>
        <v/>
      </c>
      <c r="K130" s="3" t="str">
        <f>IFERROR(IF('ŞİKAYET KAYIT'!P130="Kapatıldı","",IF('ŞİKAYET KAYIT'!N130="","",'ŞİKAYET KAYIT'!N130)),"")</f>
        <v/>
      </c>
      <c r="L130" s="3" t="str">
        <f>IFERROR(IF('ŞİKAYET KAYIT'!P130="Kapatıldı","",IF('ŞİKAYET KAYIT'!O130="","",'ŞİKAYET KAYIT'!O130)),"")</f>
        <v/>
      </c>
      <c r="M130" s="3" t="str">
        <f>IFERROR(IF('ŞİKAYET KAYIT'!P130="Kapatıldı","",IF('ŞİKAYET KAYIT'!P130="","",'ŞİKAYET KAYIT'!P130)),"")</f>
        <v/>
      </c>
    </row>
    <row r="131" spans="1:13" ht="15" customHeight="1" x14ac:dyDescent="0.3">
      <c r="A131" s="26" t="str">
        <f>IFERROR(IF('ŞİKAYET KAYIT'!P131="Kapatıldı","",IF('ŞİKAYET KAYIT'!A131="","",'ŞİKAYET KAYIT'!A131)),"")</f>
        <v/>
      </c>
      <c r="B131" s="8" t="str">
        <f>IFERROR(IF('ŞİKAYET KAYIT'!P131="Kapatıldı","",IF('ŞİKAYET KAYIT'!B131="","",'ŞİKAYET KAYIT'!B131)),"")</f>
        <v/>
      </c>
      <c r="C131" s="26" t="str">
        <f>IFERROR(IF('ŞİKAYET KAYIT'!P131="Kapatıldı","",IF('ŞİKAYET KAYIT'!D131="","",'ŞİKAYET KAYIT'!D131)),"")</f>
        <v/>
      </c>
      <c r="D131" s="26" t="str">
        <f>IFERROR(IF('ŞİKAYET KAYIT'!P131="Kapatıldı","",IF('ŞİKAYET KAYIT'!F131="","",'ŞİKAYET KAYIT'!F131)),"")</f>
        <v/>
      </c>
      <c r="E131" s="26" t="str">
        <f>IFERROR(IF('ŞİKAYET KAYIT'!P131="Kapatıldı","",IF('ŞİKAYET KAYIT'!H131="","",'ŞİKAYET KAYIT'!H131)),"")</f>
        <v/>
      </c>
      <c r="F131" s="26" t="str">
        <f>IFERROR(IF('ŞİKAYET KAYIT'!P131="Kapatıldı","",IF('ŞİKAYET KAYIT'!I131="","",'ŞİKAYET KAYIT'!I131)),"")</f>
        <v/>
      </c>
      <c r="G131" s="26" t="str">
        <f>IFERROR(IF('ŞİKAYET KAYIT'!P131="Kapatıldı","",IF('ŞİKAYET KAYIT'!J131="","",'ŞİKAYET KAYIT'!J131)),"")</f>
        <v/>
      </c>
      <c r="H131" s="26" t="str">
        <f>IFERROR(IF('ŞİKAYET KAYIT'!P131="Kapatıldı","",IF('ŞİKAYET KAYIT'!K131="","",'ŞİKAYET KAYIT'!K131)),"")</f>
        <v/>
      </c>
      <c r="I131" s="26" t="str">
        <f>IFERROR(IF('ŞİKAYET KAYIT'!P131="Kapatıldı","",IF('ŞİKAYET KAYIT'!L131="","",'ŞİKAYET KAYIT'!L131)),"")</f>
        <v/>
      </c>
      <c r="J131" s="26" t="str">
        <f>IFERROR(IF('ŞİKAYET KAYIT'!P131="Kapatıldı","",IF('ŞİKAYET KAYIT'!M131="","",'ŞİKAYET KAYIT'!M131)),"")</f>
        <v/>
      </c>
      <c r="K131" s="26" t="str">
        <f>IFERROR(IF('ŞİKAYET KAYIT'!P131="Kapatıldı","",IF('ŞİKAYET KAYIT'!N131="","",'ŞİKAYET KAYIT'!N131)),"")</f>
        <v/>
      </c>
      <c r="L131" s="26" t="str">
        <f>IFERROR(IF('ŞİKAYET KAYIT'!P131="Kapatıldı","",IF('ŞİKAYET KAYIT'!O131="","",'ŞİKAYET KAYIT'!O131)),"")</f>
        <v/>
      </c>
      <c r="M131" s="26" t="str">
        <f>IFERROR(IF('ŞİKAYET KAYIT'!P131="Kapatıldı","",IF('ŞİKAYET KAYIT'!P131="","",'ŞİKAYET KAYIT'!P131)),"")</f>
        <v/>
      </c>
    </row>
    <row r="132" spans="1:13" ht="15" customHeight="1" x14ac:dyDescent="0.3">
      <c r="A132" s="3" t="str">
        <f>IFERROR(IF('ŞİKAYET KAYIT'!P132="Kapatıldı","",IF('ŞİKAYET KAYIT'!A132="","",'ŞİKAYET KAYIT'!A132)),"")</f>
        <v/>
      </c>
      <c r="B132" s="5" t="str">
        <f>IFERROR(IF('ŞİKAYET KAYIT'!P132="Kapatıldı","",IF('ŞİKAYET KAYIT'!B132="","",'ŞİKAYET KAYIT'!B132)),"")</f>
        <v/>
      </c>
      <c r="C132" s="3" t="str">
        <f>IFERROR(IF('ŞİKAYET KAYIT'!P132="Kapatıldı","",IF('ŞİKAYET KAYIT'!D132="","",'ŞİKAYET KAYIT'!D132)),"")</f>
        <v/>
      </c>
      <c r="D132" s="3" t="str">
        <f>IFERROR(IF('ŞİKAYET KAYIT'!P132="Kapatıldı","",IF('ŞİKAYET KAYIT'!F132="","",'ŞİKAYET KAYIT'!F132)),"")</f>
        <v/>
      </c>
      <c r="E132" s="3" t="str">
        <f>IFERROR(IF('ŞİKAYET KAYIT'!P132="Kapatıldı","",IF('ŞİKAYET KAYIT'!H132="","",'ŞİKAYET KAYIT'!H132)),"")</f>
        <v/>
      </c>
      <c r="F132" s="3" t="str">
        <f>IFERROR(IF('ŞİKAYET KAYIT'!P132="Kapatıldı","",IF('ŞİKAYET KAYIT'!I132="","",'ŞİKAYET KAYIT'!I132)),"")</f>
        <v/>
      </c>
      <c r="G132" s="3" t="str">
        <f>IFERROR(IF('ŞİKAYET KAYIT'!P132="Kapatıldı","",IF('ŞİKAYET KAYIT'!J132="","",'ŞİKAYET KAYIT'!J132)),"")</f>
        <v/>
      </c>
      <c r="H132" s="3" t="str">
        <f>IFERROR(IF('ŞİKAYET KAYIT'!P132="Kapatıldı","",IF('ŞİKAYET KAYIT'!K132="","",'ŞİKAYET KAYIT'!K132)),"")</f>
        <v/>
      </c>
      <c r="I132" s="3" t="str">
        <f>IFERROR(IF('ŞİKAYET KAYIT'!P132="Kapatıldı","",IF('ŞİKAYET KAYIT'!L132="","",'ŞİKAYET KAYIT'!L132)),"")</f>
        <v/>
      </c>
      <c r="J132" s="3" t="str">
        <f>IFERROR(IF('ŞİKAYET KAYIT'!P132="Kapatıldı","",IF('ŞİKAYET KAYIT'!M132="","",'ŞİKAYET KAYIT'!M132)),"")</f>
        <v/>
      </c>
      <c r="K132" s="3" t="str">
        <f>IFERROR(IF('ŞİKAYET KAYIT'!P132="Kapatıldı","",IF('ŞİKAYET KAYIT'!N132="","",'ŞİKAYET KAYIT'!N132)),"")</f>
        <v/>
      </c>
      <c r="L132" s="3" t="str">
        <f>IFERROR(IF('ŞİKAYET KAYIT'!P132="Kapatıldı","",IF('ŞİKAYET KAYIT'!O132="","",'ŞİKAYET KAYIT'!O132)),"")</f>
        <v/>
      </c>
      <c r="M132" s="3" t="str">
        <f>IFERROR(IF('ŞİKAYET KAYIT'!P132="Kapatıldı","",IF('ŞİKAYET KAYIT'!P132="","",'ŞİKAYET KAYIT'!P132)),"")</f>
        <v/>
      </c>
    </row>
    <row r="133" spans="1:13" ht="15" customHeight="1" x14ac:dyDescent="0.3">
      <c r="A133" s="26" t="str">
        <f>IFERROR(IF('ŞİKAYET KAYIT'!P133="Kapatıldı","",IF('ŞİKAYET KAYIT'!A133="","",'ŞİKAYET KAYIT'!A133)),"")</f>
        <v/>
      </c>
      <c r="B133" s="8" t="str">
        <f>IFERROR(IF('ŞİKAYET KAYIT'!P133="Kapatıldı","",IF('ŞİKAYET KAYIT'!B133="","",'ŞİKAYET KAYIT'!B133)),"")</f>
        <v/>
      </c>
      <c r="C133" s="26" t="str">
        <f>IFERROR(IF('ŞİKAYET KAYIT'!P133="Kapatıldı","",IF('ŞİKAYET KAYIT'!D133="","",'ŞİKAYET KAYIT'!D133)),"")</f>
        <v/>
      </c>
      <c r="D133" s="26" t="str">
        <f>IFERROR(IF('ŞİKAYET KAYIT'!P133="Kapatıldı","",IF('ŞİKAYET KAYIT'!F133="","",'ŞİKAYET KAYIT'!F133)),"")</f>
        <v/>
      </c>
      <c r="E133" s="26" t="str">
        <f>IFERROR(IF('ŞİKAYET KAYIT'!P133="Kapatıldı","",IF('ŞİKAYET KAYIT'!H133="","",'ŞİKAYET KAYIT'!H133)),"")</f>
        <v/>
      </c>
      <c r="F133" s="26" t="str">
        <f>IFERROR(IF('ŞİKAYET KAYIT'!P133="Kapatıldı","",IF('ŞİKAYET KAYIT'!I133="","",'ŞİKAYET KAYIT'!I133)),"")</f>
        <v/>
      </c>
      <c r="G133" s="26" t="str">
        <f>IFERROR(IF('ŞİKAYET KAYIT'!P133="Kapatıldı","",IF('ŞİKAYET KAYIT'!J133="","",'ŞİKAYET KAYIT'!J133)),"")</f>
        <v/>
      </c>
      <c r="H133" s="26" t="str">
        <f>IFERROR(IF('ŞİKAYET KAYIT'!P133="Kapatıldı","",IF('ŞİKAYET KAYIT'!K133="","",'ŞİKAYET KAYIT'!K133)),"")</f>
        <v/>
      </c>
      <c r="I133" s="26" t="str">
        <f>IFERROR(IF('ŞİKAYET KAYIT'!P133="Kapatıldı","",IF('ŞİKAYET KAYIT'!L133="","",'ŞİKAYET KAYIT'!L133)),"")</f>
        <v/>
      </c>
      <c r="J133" s="26" t="str">
        <f>IFERROR(IF('ŞİKAYET KAYIT'!P133="Kapatıldı","",IF('ŞİKAYET KAYIT'!M133="","",'ŞİKAYET KAYIT'!M133)),"")</f>
        <v/>
      </c>
      <c r="K133" s="26" t="str">
        <f>IFERROR(IF('ŞİKAYET KAYIT'!P133="Kapatıldı","",IF('ŞİKAYET KAYIT'!N133="","",'ŞİKAYET KAYIT'!N133)),"")</f>
        <v/>
      </c>
      <c r="L133" s="26" t="str">
        <f>IFERROR(IF('ŞİKAYET KAYIT'!P133="Kapatıldı","",IF('ŞİKAYET KAYIT'!O133="","",'ŞİKAYET KAYIT'!O133)),"")</f>
        <v/>
      </c>
      <c r="M133" s="26" t="str">
        <f>IFERROR(IF('ŞİKAYET KAYIT'!P133="Kapatıldı","",IF('ŞİKAYET KAYIT'!P133="","",'ŞİKAYET KAYIT'!P133)),"")</f>
        <v/>
      </c>
    </row>
    <row r="134" spans="1:13" ht="15" customHeight="1" x14ac:dyDescent="0.3">
      <c r="A134" s="3" t="str">
        <f>IFERROR(IF('ŞİKAYET KAYIT'!P134="Kapatıldı","",IF('ŞİKAYET KAYIT'!A134="","",'ŞİKAYET KAYIT'!A134)),"")</f>
        <v/>
      </c>
      <c r="B134" s="5" t="str">
        <f>IFERROR(IF('ŞİKAYET KAYIT'!P134="Kapatıldı","",IF('ŞİKAYET KAYIT'!B134="","",'ŞİKAYET KAYIT'!B134)),"")</f>
        <v/>
      </c>
      <c r="C134" s="3" t="str">
        <f>IFERROR(IF('ŞİKAYET KAYIT'!P134="Kapatıldı","",IF('ŞİKAYET KAYIT'!D134="","",'ŞİKAYET KAYIT'!D134)),"")</f>
        <v/>
      </c>
      <c r="D134" s="3" t="str">
        <f>IFERROR(IF('ŞİKAYET KAYIT'!P134="Kapatıldı","",IF('ŞİKAYET KAYIT'!F134="","",'ŞİKAYET KAYIT'!F134)),"")</f>
        <v/>
      </c>
      <c r="E134" s="3" t="str">
        <f>IFERROR(IF('ŞİKAYET KAYIT'!P134="Kapatıldı","",IF('ŞİKAYET KAYIT'!H134="","",'ŞİKAYET KAYIT'!H134)),"")</f>
        <v/>
      </c>
      <c r="F134" s="3" t="str">
        <f>IFERROR(IF('ŞİKAYET KAYIT'!P134="Kapatıldı","",IF('ŞİKAYET KAYIT'!I134="","",'ŞİKAYET KAYIT'!I134)),"")</f>
        <v/>
      </c>
      <c r="G134" s="3" t="str">
        <f>IFERROR(IF('ŞİKAYET KAYIT'!P134="Kapatıldı","",IF('ŞİKAYET KAYIT'!J134="","",'ŞİKAYET KAYIT'!J134)),"")</f>
        <v/>
      </c>
      <c r="H134" s="3" t="str">
        <f>IFERROR(IF('ŞİKAYET KAYIT'!P134="Kapatıldı","",IF('ŞİKAYET KAYIT'!K134="","",'ŞİKAYET KAYIT'!K134)),"")</f>
        <v/>
      </c>
      <c r="I134" s="3" t="str">
        <f>IFERROR(IF('ŞİKAYET KAYIT'!P134="Kapatıldı","",IF('ŞİKAYET KAYIT'!L134="","",'ŞİKAYET KAYIT'!L134)),"")</f>
        <v/>
      </c>
      <c r="J134" s="3" t="str">
        <f>IFERROR(IF('ŞİKAYET KAYIT'!P134="Kapatıldı","",IF('ŞİKAYET KAYIT'!M134="","",'ŞİKAYET KAYIT'!M134)),"")</f>
        <v/>
      </c>
      <c r="K134" s="3" t="str">
        <f>IFERROR(IF('ŞİKAYET KAYIT'!P134="Kapatıldı","",IF('ŞİKAYET KAYIT'!N134="","",'ŞİKAYET KAYIT'!N134)),"")</f>
        <v/>
      </c>
      <c r="L134" s="3" t="str">
        <f>IFERROR(IF('ŞİKAYET KAYIT'!P134="Kapatıldı","",IF('ŞİKAYET KAYIT'!O134="","",'ŞİKAYET KAYIT'!O134)),"")</f>
        <v/>
      </c>
      <c r="M134" s="3" t="str">
        <f>IFERROR(IF('ŞİKAYET KAYIT'!P134="Kapatıldı","",IF('ŞİKAYET KAYIT'!P134="","",'ŞİKAYET KAYIT'!P134)),"")</f>
        <v/>
      </c>
    </row>
    <row r="135" spans="1:13" ht="15" customHeight="1" x14ac:dyDescent="0.3">
      <c r="A135" s="26" t="str">
        <f>IFERROR(IF('ŞİKAYET KAYIT'!P135="Kapatıldı","",IF('ŞİKAYET KAYIT'!A135="","",'ŞİKAYET KAYIT'!A135)),"")</f>
        <v/>
      </c>
      <c r="B135" s="8" t="str">
        <f>IFERROR(IF('ŞİKAYET KAYIT'!P135="Kapatıldı","",IF('ŞİKAYET KAYIT'!B135="","",'ŞİKAYET KAYIT'!B135)),"")</f>
        <v/>
      </c>
      <c r="C135" s="26" t="str">
        <f>IFERROR(IF('ŞİKAYET KAYIT'!P135="Kapatıldı","",IF('ŞİKAYET KAYIT'!D135="","",'ŞİKAYET KAYIT'!D135)),"")</f>
        <v/>
      </c>
      <c r="D135" s="26" t="str">
        <f>IFERROR(IF('ŞİKAYET KAYIT'!P135="Kapatıldı","",IF('ŞİKAYET KAYIT'!F135="","",'ŞİKAYET KAYIT'!F135)),"")</f>
        <v/>
      </c>
      <c r="E135" s="26" t="str">
        <f>IFERROR(IF('ŞİKAYET KAYIT'!P135="Kapatıldı","",IF('ŞİKAYET KAYIT'!H135="","",'ŞİKAYET KAYIT'!H135)),"")</f>
        <v/>
      </c>
      <c r="F135" s="26" t="str">
        <f>IFERROR(IF('ŞİKAYET KAYIT'!P135="Kapatıldı","",IF('ŞİKAYET KAYIT'!I135="","",'ŞİKAYET KAYIT'!I135)),"")</f>
        <v/>
      </c>
      <c r="G135" s="26" t="str">
        <f>IFERROR(IF('ŞİKAYET KAYIT'!P135="Kapatıldı","",IF('ŞİKAYET KAYIT'!J135="","",'ŞİKAYET KAYIT'!J135)),"")</f>
        <v/>
      </c>
      <c r="H135" s="26" t="str">
        <f>IFERROR(IF('ŞİKAYET KAYIT'!P135="Kapatıldı","",IF('ŞİKAYET KAYIT'!K135="","",'ŞİKAYET KAYIT'!K135)),"")</f>
        <v/>
      </c>
      <c r="I135" s="26" t="str">
        <f>IFERROR(IF('ŞİKAYET KAYIT'!P135="Kapatıldı","",IF('ŞİKAYET KAYIT'!L135="","",'ŞİKAYET KAYIT'!L135)),"")</f>
        <v/>
      </c>
      <c r="J135" s="26" t="str">
        <f>IFERROR(IF('ŞİKAYET KAYIT'!P135="Kapatıldı","",IF('ŞİKAYET KAYIT'!M135="","",'ŞİKAYET KAYIT'!M135)),"")</f>
        <v/>
      </c>
      <c r="K135" s="26" t="str">
        <f>IFERROR(IF('ŞİKAYET KAYIT'!P135="Kapatıldı","",IF('ŞİKAYET KAYIT'!N135="","",'ŞİKAYET KAYIT'!N135)),"")</f>
        <v/>
      </c>
      <c r="L135" s="26" t="str">
        <f>IFERROR(IF('ŞİKAYET KAYIT'!P135="Kapatıldı","",IF('ŞİKAYET KAYIT'!O135="","",'ŞİKAYET KAYIT'!O135)),"")</f>
        <v/>
      </c>
      <c r="M135" s="26" t="str">
        <f>IFERROR(IF('ŞİKAYET KAYIT'!P135="Kapatıldı","",IF('ŞİKAYET KAYIT'!P135="","",'ŞİKAYET KAYIT'!P135)),"")</f>
        <v/>
      </c>
    </row>
    <row r="136" spans="1:13" ht="15" customHeight="1" x14ac:dyDescent="0.3">
      <c r="A136" s="3" t="str">
        <f>IFERROR(IF('ŞİKAYET KAYIT'!P136="Kapatıldı","",IF('ŞİKAYET KAYIT'!A136="","",'ŞİKAYET KAYIT'!A136)),"")</f>
        <v/>
      </c>
      <c r="B136" s="5" t="str">
        <f>IFERROR(IF('ŞİKAYET KAYIT'!P136="Kapatıldı","",IF('ŞİKAYET KAYIT'!B136="","",'ŞİKAYET KAYIT'!B136)),"")</f>
        <v/>
      </c>
      <c r="C136" s="3" t="str">
        <f>IFERROR(IF('ŞİKAYET KAYIT'!P136="Kapatıldı","",IF('ŞİKAYET KAYIT'!D136="","",'ŞİKAYET KAYIT'!D136)),"")</f>
        <v/>
      </c>
      <c r="D136" s="3" t="str">
        <f>IFERROR(IF('ŞİKAYET KAYIT'!P136="Kapatıldı","",IF('ŞİKAYET KAYIT'!F136="","",'ŞİKAYET KAYIT'!F136)),"")</f>
        <v/>
      </c>
      <c r="E136" s="3" t="str">
        <f>IFERROR(IF('ŞİKAYET KAYIT'!P136="Kapatıldı","",IF('ŞİKAYET KAYIT'!H136="","",'ŞİKAYET KAYIT'!H136)),"")</f>
        <v/>
      </c>
      <c r="F136" s="3" t="str">
        <f>IFERROR(IF('ŞİKAYET KAYIT'!P136="Kapatıldı","",IF('ŞİKAYET KAYIT'!I136="","",'ŞİKAYET KAYIT'!I136)),"")</f>
        <v/>
      </c>
      <c r="G136" s="3" t="str">
        <f>IFERROR(IF('ŞİKAYET KAYIT'!P136="Kapatıldı","",IF('ŞİKAYET KAYIT'!J136="","",'ŞİKAYET KAYIT'!J136)),"")</f>
        <v/>
      </c>
      <c r="H136" s="3" t="str">
        <f>IFERROR(IF('ŞİKAYET KAYIT'!P136="Kapatıldı","",IF('ŞİKAYET KAYIT'!K136="","",'ŞİKAYET KAYIT'!K136)),"")</f>
        <v/>
      </c>
      <c r="I136" s="3" t="str">
        <f>IFERROR(IF('ŞİKAYET KAYIT'!P136="Kapatıldı","",IF('ŞİKAYET KAYIT'!L136="","",'ŞİKAYET KAYIT'!L136)),"")</f>
        <v/>
      </c>
      <c r="J136" s="3" t="str">
        <f>IFERROR(IF('ŞİKAYET KAYIT'!P136="Kapatıldı","",IF('ŞİKAYET KAYIT'!M136="","",'ŞİKAYET KAYIT'!M136)),"")</f>
        <v/>
      </c>
      <c r="K136" s="3" t="str">
        <f>IFERROR(IF('ŞİKAYET KAYIT'!P136="Kapatıldı","",IF('ŞİKAYET KAYIT'!N136="","",'ŞİKAYET KAYIT'!N136)),"")</f>
        <v/>
      </c>
      <c r="L136" s="3" t="str">
        <f>IFERROR(IF('ŞİKAYET KAYIT'!P136="Kapatıldı","",IF('ŞİKAYET KAYIT'!O136="","",'ŞİKAYET KAYIT'!O136)),"")</f>
        <v/>
      </c>
      <c r="M136" s="3" t="str">
        <f>IFERROR(IF('ŞİKAYET KAYIT'!P136="Kapatıldı","",IF('ŞİKAYET KAYIT'!P136="","",'ŞİKAYET KAYIT'!P136)),"")</f>
        <v/>
      </c>
    </row>
    <row r="137" spans="1:13" ht="15" customHeight="1" x14ac:dyDescent="0.3">
      <c r="A137" s="26" t="str">
        <f>IFERROR(IF('ŞİKAYET KAYIT'!P137="Kapatıldı","",IF('ŞİKAYET KAYIT'!A137="","",'ŞİKAYET KAYIT'!A137)),"")</f>
        <v/>
      </c>
      <c r="B137" s="8" t="str">
        <f>IFERROR(IF('ŞİKAYET KAYIT'!P137="Kapatıldı","",IF('ŞİKAYET KAYIT'!B137="","",'ŞİKAYET KAYIT'!B137)),"")</f>
        <v/>
      </c>
      <c r="C137" s="26" t="str">
        <f>IFERROR(IF('ŞİKAYET KAYIT'!P137="Kapatıldı","",IF('ŞİKAYET KAYIT'!D137="","",'ŞİKAYET KAYIT'!D137)),"")</f>
        <v/>
      </c>
      <c r="D137" s="26" t="str">
        <f>IFERROR(IF('ŞİKAYET KAYIT'!P137="Kapatıldı","",IF('ŞİKAYET KAYIT'!F137="","",'ŞİKAYET KAYIT'!F137)),"")</f>
        <v/>
      </c>
      <c r="E137" s="26" t="str">
        <f>IFERROR(IF('ŞİKAYET KAYIT'!P137="Kapatıldı","",IF('ŞİKAYET KAYIT'!H137="","",'ŞİKAYET KAYIT'!H137)),"")</f>
        <v/>
      </c>
      <c r="F137" s="26" t="str">
        <f>IFERROR(IF('ŞİKAYET KAYIT'!P137="Kapatıldı","",IF('ŞİKAYET KAYIT'!I137="","",'ŞİKAYET KAYIT'!I137)),"")</f>
        <v/>
      </c>
      <c r="G137" s="26" t="str">
        <f>IFERROR(IF('ŞİKAYET KAYIT'!P137="Kapatıldı","",IF('ŞİKAYET KAYIT'!J137="","",'ŞİKAYET KAYIT'!J137)),"")</f>
        <v/>
      </c>
      <c r="H137" s="26" t="str">
        <f>IFERROR(IF('ŞİKAYET KAYIT'!P137="Kapatıldı","",IF('ŞİKAYET KAYIT'!K137="","",'ŞİKAYET KAYIT'!K137)),"")</f>
        <v/>
      </c>
      <c r="I137" s="26" t="str">
        <f>IFERROR(IF('ŞİKAYET KAYIT'!P137="Kapatıldı","",IF('ŞİKAYET KAYIT'!L137="","",'ŞİKAYET KAYIT'!L137)),"")</f>
        <v/>
      </c>
      <c r="J137" s="26" t="str">
        <f>IFERROR(IF('ŞİKAYET KAYIT'!P137="Kapatıldı","",IF('ŞİKAYET KAYIT'!M137="","",'ŞİKAYET KAYIT'!M137)),"")</f>
        <v/>
      </c>
      <c r="K137" s="26" t="str">
        <f>IFERROR(IF('ŞİKAYET KAYIT'!P137="Kapatıldı","",IF('ŞİKAYET KAYIT'!N137="","",'ŞİKAYET KAYIT'!N137)),"")</f>
        <v/>
      </c>
      <c r="L137" s="26" t="str">
        <f>IFERROR(IF('ŞİKAYET KAYIT'!P137="Kapatıldı","",IF('ŞİKAYET KAYIT'!O137="","",'ŞİKAYET KAYIT'!O137)),"")</f>
        <v/>
      </c>
      <c r="M137" s="26" t="str">
        <f>IFERROR(IF('ŞİKAYET KAYIT'!P137="Kapatıldı","",IF('ŞİKAYET KAYIT'!P137="","",'ŞİKAYET KAYIT'!P137)),"")</f>
        <v/>
      </c>
    </row>
    <row r="138" spans="1:13" ht="15" customHeight="1" x14ac:dyDescent="0.3">
      <c r="A138" s="3" t="str">
        <f>IFERROR(IF('ŞİKAYET KAYIT'!P138="Kapatıldı","",IF('ŞİKAYET KAYIT'!A138="","",'ŞİKAYET KAYIT'!A138)),"")</f>
        <v/>
      </c>
      <c r="B138" s="5" t="str">
        <f>IFERROR(IF('ŞİKAYET KAYIT'!P138="Kapatıldı","",IF('ŞİKAYET KAYIT'!B138="","",'ŞİKAYET KAYIT'!B138)),"")</f>
        <v/>
      </c>
      <c r="C138" s="3" t="str">
        <f>IFERROR(IF('ŞİKAYET KAYIT'!P138="Kapatıldı","",IF('ŞİKAYET KAYIT'!D138="","",'ŞİKAYET KAYIT'!D138)),"")</f>
        <v/>
      </c>
      <c r="D138" s="3" t="str">
        <f>IFERROR(IF('ŞİKAYET KAYIT'!P138="Kapatıldı","",IF('ŞİKAYET KAYIT'!F138="","",'ŞİKAYET KAYIT'!F138)),"")</f>
        <v/>
      </c>
      <c r="E138" s="3" t="str">
        <f>IFERROR(IF('ŞİKAYET KAYIT'!P138="Kapatıldı","",IF('ŞİKAYET KAYIT'!H138="","",'ŞİKAYET KAYIT'!H138)),"")</f>
        <v/>
      </c>
      <c r="F138" s="3" t="str">
        <f>IFERROR(IF('ŞİKAYET KAYIT'!P138="Kapatıldı","",IF('ŞİKAYET KAYIT'!I138="","",'ŞİKAYET KAYIT'!I138)),"")</f>
        <v/>
      </c>
      <c r="G138" s="3" t="str">
        <f>IFERROR(IF('ŞİKAYET KAYIT'!P138="Kapatıldı","",IF('ŞİKAYET KAYIT'!J138="","",'ŞİKAYET KAYIT'!J138)),"")</f>
        <v/>
      </c>
      <c r="H138" s="3" t="str">
        <f>IFERROR(IF('ŞİKAYET KAYIT'!P138="Kapatıldı","",IF('ŞİKAYET KAYIT'!K138="","",'ŞİKAYET KAYIT'!K138)),"")</f>
        <v/>
      </c>
      <c r="I138" s="3" t="str">
        <f>IFERROR(IF('ŞİKAYET KAYIT'!P138="Kapatıldı","",IF('ŞİKAYET KAYIT'!L138="","",'ŞİKAYET KAYIT'!L138)),"")</f>
        <v/>
      </c>
      <c r="J138" s="3" t="str">
        <f>IFERROR(IF('ŞİKAYET KAYIT'!P138="Kapatıldı","",IF('ŞİKAYET KAYIT'!M138="","",'ŞİKAYET KAYIT'!M138)),"")</f>
        <v/>
      </c>
      <c r="K138" s="3" t="str">
        <f>IFERROR(IF('ŞİKAYET KAYIT'!P138="Kapatıldı","",IF('ŞİKAYET KAYIT'!N138="","",'ŞİKAYET KAYIT'!N138)),"")</f>
        <v/>
      </c>
      <c r="L138" s="3" t="str">
        <f>IFERROR(IF('ŞİKAYET KAYIT'!P138="Kapatıldı","",IF('ŞİKAYET KAYIT'!O138="","",'ŞİKAYET KAYIT'!O138)),"")</f>
        <v/>
      </c>
      <c r="M138" s="3" t="str">
        <f>IFERROR(IF('ŞİKAYET KAYIT'!P138="Kapatıldı","",IF('ŞİKAYET KAYIT'!P138="","",'ŞİKAYET KAYIT'!P138)),"")</f>
        <v/>
      </c>
    </row>
    <row r="139" spans="1:13" ht="15" customHeight="1" x14ac:dyDescent="0.3">
      <c r="A139" s="26" t="str">
        <f>IFERROR(IF('ŞİKAYET KAYIT'!P139="Kapatıldı","",IF('ŞİKAYET KAYIT'!A139="","",'ŞİKAYET KAYIT'!A139)),"")</f>
        <v/>
      </c>
      <c r="B139" s="8" t="str">
        <f>IFERROR(IF('ŞİKAYET KAYIT'!P139="Kapatıldı","",IF('ŞİKAYET KAYIT'!B139="","",'ŞİKAYET KAYIT'!B139)),"")</f>
        <v/>
      </c>
      <c r="C139" s="26" t="str">
        <f>IFERROR(IF('ŞİKAYET KAYIT'!P139="Kapatıldı","",IF('ŞİKAYET KAYIT'!D139="","",'ŞİKAYET KAYIT'!D139)),"")</f>
        <v/>
      </c>
      <c r="D139" s="26" t="str">
        <f>IFERROR(IF('ŞİKAYET KAYIT'!P139="Kapatıldı","",IF('ŞİKAYET KAYIT'!F139="","",'ŞİKAYET KAYIT'!F139)),"")</f>
        <v/>
      </c>
      <c r="E139" s="26" t="str">
        <f>IFERROR(IF('ŞİKAYET KAYIT'!P139="Kapatıldı","",IF('ŞİKAYET KAYIT'!H139="","",'ŞİKAYET KAYIT'!H139)),"")</f>
        <v/>
      </c>
      <c r="F139" s="26" t="str">
        <f>IFERROR(IF('ŞİKAYET KAYIT'!P139="Kapatıldı","",IF('ŞİKAYET KAYIT'!I139="","",'ŞİKAYET KAYIT'!I139)),"")</f>
        <v/>
      </c>
      <c r="G139" s="26" t="str">
        <f>IFERROR(IF('ŞİKAYET KAYIT'!P139="Kapatıldı","",IF('ŞİKAYET KAYIT'!J139="","",'ŞİKAYET KAYIT'!J139)),"")</f>
        <v/>
      </c>
      <c r="H139" s="26" t="str">
        <f>IFERROR(IF('ŞİKAYET KAYIT'!P139="Kapatıldı","",IF('ŞİKAYET KAYIT'!K139="","",'ŞİKAYET KAYIT'!K139)),"")</f>
        <v/>
      </c>
      <c r="I139" s="26" t="str">
        <f>IFERROR(IF('ŞİKAYET KAYIT'!P139="Kapatıldı","",IF('ŞİKAYET KAYIT'!L139="","",'ŞİKAYET KAYIT'!L139)),"")</f>
        <v/>
      </c>
      <c r="J139" s="26" t="str">
        <f>IFERROR(IF('ŞİKAYET KAYIT'!P139="Kapatıldı","",IF('ŞİKAYET KAYIT'!M139="","",'ŞİKAYET KAYIT'!M139)),"")</f>
        <v/>
      </c>
      <c r="K139" s="26" t="str">
        <f>IFERROR(IF('ŞİKAYET KAYIT'!P139="Kapatıldı","",IF('ŞİKAYET KAYIT'!N139="","",'ŞİKAYET KAYIT'!N139)),"")</f>
        <v/>
      </c>
      <c r="L139" s="26" t="str">
        <f>IFERROR(IF('ŞİKAYET KAYIT'!P139="Kapatıldı","",IF('ŞİKAYET KAYIT'!O139="","",'ŞİKAYET KAYIT'!O139)),"")</f>
        <v/>
      </c>
      <c r="M139" s="26" t="str">
        <f>IFERROR(IF('ŞİKAYET KAYIT'!P139="Kapatıldı","",IF('ŞİKAYET KAYIT'!P139="","",'ŞİKAYET KAYIT'!P139)),"")</f>
        <v/>
      </c>
    </row>
    <row r="140" spans="1:13" ht="15" customHeight="1" x14ac:dyDescent="0.3">
      <c r="A140" s="3" t="str">
        <f>IFERROR(IF('ŞİKAYET KAYIT'!P140="Kapatıldı","",IF('ŞİKAYET KAYIT'!A140="","",'ŞİKAYET KAYIT'!A140)),"")</f>
        <v/>
      </c>
      <c r="B140" s="5" t="str">
        <f>IFERROR(IF('ŞİKAYET KAYIT'!P140="Kapatıldı","",IF('ŞİKAYET KAYIT'!B140="","",'ŞİKAYET KAYIT'!B140)),"")</f>
        <v/>
      </c>
      <c r="C140" s="3" t="str">
        <f>IFERROR(IF('ŞİKAYET KAYIT'!P140="Kapatıldı","",IF('ŞİKAYET KAYIT'!D140="","",'ŞİKAYET KAYIT'!D140)),"")</f>
        <v/>
      </c>
      <c r="D140" s="3" t="str">
        <f>IFERROR(IF('ŞİKAYET KAYIT'!P140="Kapatıldı","",IF('ŞİKAYET KAYIT'!F140="","",'ŞİKAYET KAYIT'!F140)),"")</f>
        <v/>
      </c>
      <c r="E140" s="3" t="str">
        <f>IFERROR(IF('ŞİKAYET KAYIT'!P140="Kapatıldı","",IF('ŞİKAYET KAYIT'!H140="","",'ŞİKAYET KAYIT'!H140)),"")</f>
        <v/>
      </c>
      <c r="F140" s="3" t="str">
        <f>IFERROR(IF('ŞİKAYET KAYIT'!P140="Kapatıldı","",IF('ŞİKAYET KAYIT'!I140="","",'ŞİKAYET KAYIT'!I140)),"")</f>
        <v/>
      </c>
      <c r="G140" s="3" t="str">
        <f>IFERROR(IF('ŞİKAYET KAYIT'!P140="Kapatıldı","",IF('ŞİKAYET KAYIT'!J140="","",'ŞİKAYET KAYIT'!J140)),"")</f>
        <v/>
      </c>
      <c r="H140" s="3" t="str">
        <f>IFERROR(IF('ŞİKAYET KAYIT'!P140="Kapatıldı","",IF('ŞİKAYET KAYIT'!K140="","",'ŞİKAYET KAYIT'!K140)),"")</f>
        <v/>
      </c>
      <c r="I140" s="3" t="str">
        <f>IFERROR(IF('ŞİKAYET KAYIT'!P140="Kapatıldı","",IF('ŞİKAYET KAYIT'!L140="","",'ŞİKAYET KAYIT'!L140)),"")</f>
        <v/>
      </c>
      <c r="J140" s="3" t="str">
        <f>IFERROR(IF('ŞİKAYET KAYIT'!P140="Kapatıldı","",IF('ŞİKAYET KAYIT'!M140="","",'ŞİKAYET KAYIT'!M140)),"")</f>
        <v/>
      </c>
      <c r="K140" s="3" t="str">
        <f>IFERROR(IF('ŞİKAYET KAYIT'!P140="Kapatıldı","",IF('ŞİKAYET KAYIT'!N140="","",'ŞİKAYET KAYIT'!N140)),"")</f>
        <v/>
      </c>
      <c r="L140" s="3" t="str">
        <f>IFERROR(IF('ŞİKAYET KAYIT'!P140="Kapatıldı","",IF('ŞİKAYET KAYIT'!O140="","",'ŞİKAYET KAYIT'!O140)),"")</f>
        <v/>
      </c>
      <c r="M140" s="3" t="str">
        <f>IFERROR(IF('ŞİKAYET KAYIT'!P140="Kapatıldı","",IF('ŞİKAYET KAYIT'!P140="","",'ŞİKAYET KAYIT'!P140)),"")</f>
        <v/>
      </c>
    </row>
    <row r="141" spans="1:13" ht="15" customHeight="1" x14ac:dyDescent="0.3">
      <c r="A141" s="26" t="str">
        <f>IFERROR(IF('ŞİKAYET KAYIT'!P141="Kapatıldı","",IF('ŞİKAYET KAYIT'!A141="","",'ŞİKAYET KAYIT'!A141)),"")</f>
        <v/>
      </c>
      <c r="B141" s="8" t="str">
        <f>IFERROR(IF('ŞİKAYET KAYIT'!P141="Kapatıldı","",IF('ŞİKAYET KAYIT'!B141="","",'ŞİKAYET KAYIT'!B141)),"")</f>
        <v/>
      </c>
      <c r="C141" s="26" t="str">
        <f>IFERROR(IF('ŞİKAYET KAYIT'!P141="Kapatıldı","",IF('ŞİKAYET KAYIT'!D141="","",'ŞİKAYET KAYIT'!D141)),"")</f>
        <v/>
      </c>
      <c r="D141" s="26" t="str">
        <f>IFERROR(IF('ŞİKAYET KAYIT'!P141="Kapatıldı","",IF('ŞİKAYET KAYIT'!F141="","",'ŞİKAYET KAYIT'!F141)),"")</f>
        <v/>
      </c>
      <c r="E141" s="26" t="str">
        <f>IFERROR(IF('ŞİKAYET KAYIT'!P141="Kapatıldı","",IF('ŞİKAYET KAYIT'!H141="","",'ŞİKAYET KAYIT'!H141)),"")</f>
        <v/>
      </c>
      <c r="F141" s="26" t="str">
        <f>IFERROR(IF('ŞİKAYET KAYIT'!P141="Kapatıldı","",IF('ŞİKAYET KAYIT'!I141="","",'ŞİKAYET KAYIT'!I141)),"")</f>
        <v/>
      </c>
      <c r="G141" s="26" t="str">
        <f>IFERROR(IF('ŞİKAYET KAYIT'!P141="Kapatıldı","",IF('ŞİKAYET KAYIT'!J141="","",'ŞİKAYET KAYIT'!J141)),"")</f>
        <v/>
      </c>
      <c r="H141" s="26" t="str">
        <f>IFERROR(IF('ŞİKAYET KAYIT'!P141="Kapatıldı","",IF('ŞİKAYET KAYIT'!K141="","",'ŞİKAYET KAYIT'!K141)),"")</f>
        <v/>
      </c>
      <c r="I141" s="26" t="str">
        <f>IFERROR(IF('ŞİKAYET KAYIT'!P141="Kapatıldı","",IF('ŞİKAYET KAYIT'!L141="","",'ŞİKAYET KAYIT'!L141)),"")</f>
        <v/>
      </c>
      <c r="J141" s="26" t="str">
        <f>IFERROR(IF('ŞİKAYET KAYIT'!P141="Kapatıldı","",IF('ŞİKAYET KAYIT'!M141="","",'ŞİKAYET KAYIT'!M141)),"")</f>
        <v/>
      </c>
      <c r="K141" s="26" t="str">
        <f>IFERROR(IF('ŞİKAYET KAYIT'!P141="Kapatıldı","",IF('ŞİKAYET KAYIT'!N141="","",'ŞİKAYET KAYIT'!N141)),"")</f>
        <v/>
      </c>
      <c r="L141" s="26" t="str">
        <f>IFERROR(IF('ŞİKAYET KAYIT'!P141="Kapatıldı","",IF('ŞİKAYET KAYIT'!O141="","",'ŞİKAYET KAYIT'!O141)),"")</f>
        <v/>
      </c>
      <c r="M141" s="26" t="str">
        <f>IFERROR(IF('ŞİKAYET KAYIT'!P141="Kapatıldı","",IF('ŞİKAYET KAYIT'!P141="","",'ŞİKAYET KAYIT'!P141)),"")</f>
        <v/>
      </c>
    </row>
    <row r="142" spans="1:13" ht="15" customHeight="1" x14ac:dyDescent="0.3">
      <c r="A142" s="3" t="str">
        <f>IFERROR(IF('ŞİKAYET KAYIT'!P142="Kapatıldı","",IF('ŞİKAYET KAYIT'!A142="","",'ŞİKAYET KAYIT'!A142)),"")</f>
        <v/>
      </c>
      <c r="B142" s="5" t="str">
        <f>IFERROR(IF('ŞİKAYET KAYIT'!P142="Kapatıldı","",IF('ŞİKAYET KAYIT'!B142="","",'ŞİKAYET KAYIT'!B142)),"")</f>
        <v/>
      </c>
      <c r="C142" s="3" t="str">
        <f>IFERROR(IF('ŞİKAYET KAYIT'!P142="Kapatıldı","",IF('ŞİKAYET KAYIT'!D142="","",'ŞİKAYET KAYIT'!D142)),"")</f>
        <v/>
      </c>
      <c r="D142" s="3" t="str">
        <f>IFERROR(IF('ŞİKAYET KAYIT'!P142="Kapatıldı","",IF('ŞİKAYET KAYIT'!F142="","",'ŞİKAYET KAYIT'!F142)),"")</f>
        <v/>
      </c>
      <c r="E142" s="3" t="str">
        <f>IFERROR(IF('ŞİKAYET KAYIT'!P142="Kapatıldı","",IF('ŞİKAYET KAYIT'!H142="","",'ŞİKAYET KAYIT'!H142)),"")</f>
        <v/>
      </c>
      <c r="F142" s="3" t="str">
        <f>IFERROR(IF('ŞİKAYET KAYIT'!P142="Kapatıldı","",IF('ŞİKAYET KAYIT'!I142="","",'ŞİKAYET KAYIT'!I142)),"")</f>
        <v/>
      </c>
      <c r="G142" s="3" t="str">
        <f>IFERROR(IF('ŞİKAYET KAYIT'!P142="Kapatıldı","",IF('ŞİKAYET KAYIT'!J142="","",'ŞİKAYET KAYIT'!J142)),"")</f>
        <v/>
      </c>
      <c r="H142" s="3" t="str">
        <f>IFERROR(IF('ŞİKAYET KAYIT'!P142="Kapatıldı","",IF('ŞİKAYET KAYIT'!K142="","",'ŞİKAYET KAYIT'!K142)),"")</f>
        <v/>
      </c>
      <c r="I142" s="3" t="str">
        <f>IFERROR(IF('ŞİKAYET KAYIT'!P142="Kapatıldı","",IF('ŞİKAYET KAYIT'!L142="","",'ŞİKAYET KAYIT'!L142)),"")</f>
        <v/>
      </c>
      <c r="J142" s="3" t="str">
        <f>IFERROR(IF('ŞİKAYET KAYIT'!P142="Kapatıldı","",IF('ŞİKAYET KAYIT'!M142="","",'ŞİKAYET KAYIT'!M142)),"")</f>
        <v/>
      </c>
      <c r="K142" s="3" t="str">
        <f>IFERROR(IF('ŞİKAYET KAYIT'!P142="Kapatıldı","",IF('ŞİKAYET KAYIT'!N142="","",'ŞİKAYET KAYIT'!N142)),"")</f>
        <v/>
      </c>
      <c r="L142" s="3" t="str">
        <f>IFERROR(IF('ŞİKAYET KAYIT'!P142="Kapatıldı","",IF('ŞİKAYET KAYIT'!O142="","",'ŞİKAYET KAYIT'!O142)),"")</f>
        <v/>
      </c>
      <c r="M142" s="3" t="str">
        <f>IFERROR(IF('ŞİKAYET KAYIT'!P142="Kapatıldı","",IF('ŞİKAYET KAYIT'!P142="","",'ŞİKAYET KAYIT'!P142)),"")</f>
        <v/>
      </c>
    </row>
    <row r="143" spans="1:13" ht="15" customHeight="1" x14ac:dyDescent="0.3">
      <c r="A143" s="26" t="str">
        <f>IFERROR(IF('ŞİKAYET KAYIT'!P143="Kapatıldı","",IF('ŞİKAYET KAYIT'!A143="","",'ŞİKAYET KAYIT'!A143)),"")</f>
        <v/>
      </c>
      <c r="B143" s="8" t="str">
        <f>IFERROR(IF('ŞİKAYET KAYIT'!P143="Kapatıldı","",IF('ŞİKAYET KAYIT'!B143="","",'ŞİKAYET KAYIT'!B143)),"")</f>
        <v/>
      </c>
      <c r="C143" s="26" t="str">
        <f>IFERROR(IF('ŞİKAYET KAYIT'!P143="Kapatıldı","",IF('ŞİKAYET KAYIT'!D143="","",'ŞİKAYET KAYIT'!D143)),"")</f>
        <v/>
      </c>
      <c r="D143" s="26" t="str">
        <f>IFERROR(IF('ŞİKAYET KAYIT'!P143="Kapatıldı","",IF('ŞİKAYET KAYIT'!F143="","",'ŞİKAYET KAYIT'!F143)),"")</f>
        <v/>
      </c>
      <c r="E143" s="26" t="str">
        <f>IFERROR(IF('ŞİKAYET KAYIT'!P143="Kapatıldı","",IF('ŞİKAYET KAYIT'!H143="","",'ŞİKAYET KAYIT'!H143)),"")</f>
        <v/>
      </c>
      <c r="F143" s="26" t="str">
        <f>IFERROR(IF('ŞİKAYET KAYIT'!P143="Kapatıldı","",IF('ŞİKAYET KAYIT'!I143="","",'ŞİKAYET KAYIT'!I143)),"")</f>
        <v/>
      </c>
      <c r="G143" s="26" t="str">
        <f>IFERROR(IF('ŞİKAYET KAYIT'!P143="Kapatıldı","",IF('ŞİKAYET KAYIT'!J143="","",'ŞİKAYET KAYIT'!J143)),"")</f>
        <v/>
      </c>
      <c r="H143" s="26" t="str">
        <f>IFERROR(IF('ŞİKAYET KAYIT'!P143="Kapatıldı","",IF('ŞİKAYET KAYIT'!K143="","",'ŞİKAYET KAYIT'!K143)),"")</f>
        <v/>
      </c>
      <c r="I143" s="26" t="str">
        <f>IFERROR(IF('ŞİKAYET KAYIT'!P143="Kapatıldı","",IF('ŞİKAYET KAYIT'!L143="","",'ŞİKAYET KAYIT'!L143)),"")</f>
        <v/>
      </c>
      <c r="J143" s="26" t="str">
        <f>IFERROR(IF('ŞİKAYET KAYIT'!P143="Kapatıldı","",IF('ŞİKAYET KAYIT'!M143="","",'ŞİKAYET KAYIT'!M143)),"")</f>
        <v/>
      </c>
      <c r="K143" s="26" t="str">
        <f>IFERROR(IF('ŞİKAYET KAYIT'!P143="Kapatıldı","",IF('ŞİKAYET KAYIT'!N143="","",'ŞİKAYET KAYIT'!N143)),"")</f>
        <v/>
      </c>
      <c r="L143" s="26" t="str">
        <f>IFERROR(IF('ŞİKAYET KAYIT'!P143="Kapatıldı","",IF('ŞİKAYET KAYIT'!O143="","",'ŞİKAYET KAYIT'!O143)),"")</f>
        <v/>
      </c>
      <c r="M143" s="26" t="str">
        <f>IFERROR(IF('ŞİKAYET KAYIT'!P143="Kapatıldı","",IF('ŞİKAYET KAYIT'!P143="","",'ŞİKAYET KAYIT'!P143)),"")</f>
        <v/>
      </c>
    </row>
    <row r="144" spans="1:13" ht="15" customHeight="1" x14ac:dyDescent="0.3">
      <c r="A144" s="3" t="str">
        <f>IFERROR(IF('ŞİKAYET KAYIT'!P144="Kapatıldı","",IF('ŞİKAYET KAYIT'!A144="","",'ŞİKAYET KAYIT'!A144)),"")</f>
        <v/>
      </c>
      <c r="B144" s="5" t="str">
        <f>IFERROR(IF('ŞİKAYET KAYIT'!P144="Kapatıldı","",IF('ŞİKAYET KAYIT'!B144="","",'ŞİKAYET KAYIT'!B144)),"")</f>
        <v/>
      </c>
      <c r="C144" s="3" t="str">
        <f>IFERROR(IF('ŞİKAYET KAYIT'!P144="Kapatıldı","",IF('ŞİKAYET KAYIT'!D144="","",'ŞİKAYET KAYIT'!D144)),"")</f>
        <v/>
      </c>
      <c r="D144" s="3" t="str">
        <f>IFERROR(IF('ŞİKAYET KAYIT'!P144="Kapatıldı","",IF('ŞİKAYET KAYIT'!F144="","",'ŞİKAYET KAYIT'!F144)),"")</f>
        <v/>
      </c>
      <c r="E144" s="3" t="str">
        <f>IFERROR(IF('ŞİKAYET KAYIT'!P144="Kapatıldı","",IF('ŞİKAYET KAYIT'!H144="","",'ŞİKAYET KAYIT'!H144)),"")</f>
        <v/>
      </c>
      <c r="F144" s="3" t="str">
        <f>IFERROR(IF('ŞİKAYET KAYIT'!P144="Kapatıldı","",IF('ŞİKAYET KAYIT'!I144="","",'ŞİKAYET KAYIT'!I144)),"")</f>
        <v/>
      </c>
      <c r="G144" s="3" t="str">
        <f>IFERROR(IF('ŞİKAYET KAYIT'!P144="Kapatıldı","",IF('ŞİKAYET KAYIT'!J144="","",'ŞİKAYET KAYIT'!J144)),"")</f>
        <v/>
      </c>
      <c r="H144" s="3" t="str">
        <f>IFERROR(IF('ŞİKAYET KAYIT'!P144="Kapatıldı","",IF('ŞİKAYET KAYIT'!K144="","",'ŞİKAYET KAYIT'!K144)),"")</f>
        <v/>
      </c>
      <c r="I144" s="3" t="str">
        <f>IFERROR(IF('ŞİKAYET KAYIT'!P144="Kapatıldı","",IF('ŞİKAYET KAYIT'!L144="","",'ŞİKAYET KAYIT'!L144)),"")</f>
        <v/>
      </c>
      <c r="J144" s="3" t="str">
        <f>IFERROR(IF('ŞİKAYET KAYIT'!P144="Kapatıldı","",IF('ŞİKAYET KAYIT'!M144="","",'ŞİKAYET KAYIT'!M144)),"")</f>
        <v/>
      </c>
      <c r="K144" s="3" t="str">
        <f>IFERROR(IF('ŞİKAYET KAYIT'!P144="Kapatıldı","",IF('ŞİKAYET KAYIT'!N144="","",'ŞİKAYET KAYIT'!N144)),"")</f>
        <v/>
      </c>
      <c r="L144" s="3" t="str">
        <f>IFERROR(IF('ŞİKAYET KAYIT'!P144="Kapatıldı","",IF('ŞİKAYET KAYIT'!O144="","",'ŞİKAYET KAYIT'!O144)),"")</f>
        <v/>
      </c>
      <c r="M144" s="3" t="str">
        <f>IFERROR(IF('ŞİKAYET KAYIT'!P144="Kapatıldı","",IF('ŞİKAYET KAYIT'!P144="","",'ŞİKAYET KAYIT'!P144)),"")</f>
        <v/>
      </c>
    </row>
    <row r="145" spans="1:13" ht="15" customHeight="1" x14ac:dyDescent="0.3">
      <c r="A145" s="26" t="str">
        <f>IFERROR(IF('ŞİKAYET KAYIT'!P145="Kapatıldı","",IF('ŞİKAYET KAYIT'!A145="","",'ŞİKAYET KAYIT'!A145)),"")</f>
        <v/>
      </c>
      <c r="B145" s="8" t="str">
        <f>IFERROR(IF('ŞİKAYET KAYIT'!P145="Kapatıldı","",IF('ŞİKAYET KAYIT'!B145="","",'ŞİKAYET KAYIT'!B145)),"")</f>
        <v/>
      </c>
      <c r="C145" s="26" t="str">
        <f>IFERROR(IF('ŞİKAYET KAYIT'!P145="Kapatıldı","",IF('ŞİKAYET KAYIT'!D145="","",'ŞİKAYET KAYIT'!D145)),"")</f>
        <v/>
      </c>
      <c r="D145" s="26" t="str">
        <f>IFERROR(IF('ŞİKAYET KAYIT'!P145="Kapatıldı","",IF('ŞİKAYET KAYIT'!F145="","",'ŞİKAYET KAYIT'!F145)),"")</f>
        <v/>
      </c>
      <c r="E145" s="26" t="str">
        <f>IFERROR(IF('ŞİKAYET KAYIT'!P145="Kapatıldı","",IF('ŞİKAYET KAYIT'!H145="","",'ŞİKAYET KAYIT'!H145)),"")</f>
        <v/>
      </c>
      <c r="F145" s="26" t="str">
        <f>IFERROR(IF('ŞİKAYET KAYIT'!P145="Kapatıldı","",IF('ŞİKAYET KAYIT'!I145="","",'ŞİKAYET KAYIT'!I145)),"")</f>
        <v/>
      </c>
      <c r="G145" s="26" t="str">
        <f>IFERROR(IF('ŞİKAYET KAYIT'!P145="Kapatıldı","",IF('ŞİKAYET KAYIT'!J145="","",'ŞİKAYET KAYIT'!J145)),"")</f>
        <v/>
      </c>
      <c r="H145" s="26" t="str">
        <f>IFERROR(IF('ŞİKAYET KAYIT'!P145="Kapatıldı","",IF('ŞİKAYET KAYIT'!K145="","",'ŞİKAYET KAYIT'!K145)),"")</f>
        <v/>
      </c>
      <c r="I145" s="26" t="str">
        <f>IFERROR(IF('ŞİKAYET KAYIT'!P145="Kapatıldı","",IF('ŞİKAYET KAYIT'!L145="","",'ŞİKAYET KAYIT'!L145)),"")</f>
        <v/>
      </c>
      <c r="J145" s="26" t="str">
        <f>IFERROR(IF('ŞİKAYET KAYIT'!P145="Kapatıldı","",IF('ŞİKAYET KAYIT'!M145="","",'ŞİKAYET KAYIT'!M145)),"")</f>
        <v/>
      </c>
      <c r="K145" s="26" t="str">
        <f>IFERROR(IF('ŞİKAYET KAYIT'!P145="Kapatıldı","",IF('ŞİKAYET KAYIT'!N145="","",'ŞİKAYET KAYIT'!N145)),"")</f>
        <v/>
      </c>
      <c r="L145" s="26" t="str">
        <f>IFERROR(IF('ŞİKAYET KAYIT'!P145="Kapatıldı","",IF('ŞİKAYET KAYIT'!O145="","",'ŞİKAYET KAYIT'!O145)),"")</f>
        <v/>
      </c>
      <c r="M145" s="26" t="str">
        <f>IFERROR(IF('ŞİKAYET KAYIT'!P145="Kapatıldı","",IF('ŞİKAYET KAYIT'!P145="","",'ŞİKAYET KAYIT'!P145)),"")</f>
        <v/>
      </c>
    </row>
    <row r="146" spans="1:13" ht="15" customHeight="1" x14ac:dyDescent="0.3">
      <c r="A146" s="3" t="str">
        <f>IFERROR(IF('ŞİKAYET KAYIT'!P146="Kapatıldı","",IF('ŞİKAYET KAYIT'!A146="","",'ŞİKAYET KAYIT'!A146)),"")</f>
        <v/>
      </c>
      <c r="B146" s="5" t="str">
        <f>IFERROR(IF('ŞİKAYET KAYIT'!P146="Kapatıldı","",IF('ŞİKAYET KAYIT'!B146="","",'ŞİKAYET KAYIT'!B146)),"")</f>
        <v/>
      </c>
      <c r="C146" s="3" t="str">
        <f>IFERROR(IF('ŞİKAYET KAYIT'!P146="Kapatıldı","",IF('ŞİKAYET KAYIT'!D146="","",'ŞİKAYET KAYIT'!D146)),"")</f>
        <v/>
      </c>
      <c r="D146" s="3" t="str">
        <f>IFERROR(IF('ŞİKAYET KAYIT'!P146="Kapatıldı","",IF('ŞİKAYET KAYIT'!F146="","",'ŞİKAYET KAYIT'!F146)),"")</f>
        <v/>
      </c>
      <c r="E146" s="3" t="str">
        <f>IFERROR(IF('ŞİKAYET KAYIT'!P146="Kapatıldı","",IF('ŞİKAYET KAYIT'!H146="","",'ŞİKAYET KAYIT'!H146)),"")</f>
        <v/>
      </c>
      <c r="F146" s="3" t="str">
        <f>IFERROR(IF('ŞİKAYET KAYIT'!P146="Kapatıldı","",IF('ŞİKAYET KAYIT'!I146="","",'ŞİKAYET KAYIT'!I146)),"")</f>
        <v/>
      </c>
      <c r="G146" s="3" t="str">
        <f>IFERROR(IF('ŞİKAYET KAYIT'!P146="Kapatıldı","",IF('ŞİKAYET KAYIT'!J146="","",'ŞİKAYET KAYIT'!J146)),"")</f>
        <v/>
      </c>
      <c r="H146" s="3" t="str">
        <f>IFERROR(IF('ŞİKAYET KAYIT'!P146="Kapatıldı","",IF('ŞİKAYET KAYIT'!K146="","",'ŞİKAYET KAYIT'!K146)),"")</f>
        <v/>
      </c>
      <c r="I146" s="3" t="str">
        <f>IFERROR(IF('ŞİKAYET KAYIT'!P146="Kapatıldı","",IF('ŞİKAYET KAYIT'!L146="","",'ŞİKAYET KAYIT'!L146)),"")</f>
        <v/>
      </c>
      <c r="J146" s="3" t="str">
        <f>IFERROR(IF('ŞİKAYET KAYIT'!P146="Kapatıldı","",IF('ŞİKAYET KAYIT'!M146="","",'ŞİKAYET KAYIT'!M146)),"")</f>
        <v/>
      </c>
      <c r="K146" s="3" t="str">
        <f>IFERROR(IF('ŞİKAYET KAYIT'!P146="Kapatıldı","",IF('ŞİKAYET KAYIT'!N146="","",'ŞİKAYET KAYIT'!N146)),"")</f>
        <v/>
      </c>
      <c r="L146" s="3" t="str">
        <f>IFERROR(IF('ŞİKAYET KAYIT'!P146="Kapatıldı","",IF('ŞİKAYET KAYIT'!O146="","",'ŞİKAYET KAYIT'!O146)),"")</f>
        <v/>
      </c>
      <c r="M146" s="3" t="str">
        <f>IFERROR(IF('ŞİKAYET KAYIT'!P146="Kapatıldı","",IF('ŞİKAYET KAYIT'!P146="","",'ŞİKAYET KAYIT'!P146)),"")</f>
        <v/>
      </c>
    </row>
    <row r="147" spans="1:13" ht="15" customHeight="1" x14ac:dyDescent="0.3">
      <c r="A147" s="26" t="str">
        <f>IFERROR(IF('ŞİKAYET KAYIT'!P147="Kapatıldı","",IF('ŞİKAYET KAYIT'!A147="","",'ŞİKAYET KAYIT'!A147)),"")</f>
        <v/>
      </c>
      <c r="B147" s="8" t="str">
        <f>IFERROR(IF('ŞİKAYET KAYIT'!P147="Kapatıldı","",IF('ŞİKAYET KAYIT'!B147="","",'ŞİKAYET KAYIT'!B147)),"")</f>
        <v/>
      </c>
      <c r="C147" s="26" t="str">
        <f>IFERROR(IF('ŞİKAYET KAYIT'!P147="Kapatıldı","",IF('ŞİKAYET KAYIT'!D147="","",'ŞİKAYET KAYIT'!D147)),"")</f>
        <v/>
      </c>
      <c r="D147" s="26" t="str">
        <f>IFERROR(IF('ŞİKAYET KAYIT'!P147="Kapatıldı","",IF('ŞİKAYET KAYIT'!F147="","",'ŞİKAYET KAYIT'!F147)),"")</f>
        <v/>
      </c>
      <c r="E147" s="26" t="str">
        <f>IFERROR(IF('ŞİKAYET KAYIT'!P147="Kapatıldı","",IF('ŞİKAYET KAYIT'!H147="","",'ŞİKAYET KAYIT'!H147)),"")</f>
        <v/>
      </c>
      <c r="F147" s="26" t="str">
        <f>IFERROR(IF('ŞİKAYET KAYIT'!P147="Kapatıldı","",IF('ŞİKAYET KAYIT'!I147="","",'ŞİKAYET KAYIT'!I147)),"")</f>
        <v/>
      </c>
      <c r="G147" s="26" t="str">
        <f>IFERROR(IF('ŞİKAYET KAYIT'!P147="Kapatıldı","",IF('ŞİKAYET KAYIT'!J147="","",'ŞİKAYET KAYIT'!J147)),"")</f>
        <v/>
      </c>
      <c r="H147" s="26" t="str">
        <f>IFERROR(IF('ŞİKAYET KAYIT'!P147="Kapatıldı","",IF('ŞİKAYET KAYIT'!K147="","",'ŞİKAYET KAYIT'!K147)),"")</f>
        <v/>
      </c>
      <c r="I147" s="26" t="str">
        <f>IFERROR(IF('ŞİKAYET KAYIT'!P147="Kapatıldı","",IF('ŞİKAYET KAYIT'!L147="","",'ŞİKAYET KAYIT'!L147)),"")</f>
        <v/>
      </c>
      <c r="J147" s="26" t="str">
        <f>IFERROR(IF('ŞİKAYET KAYIT'!P147="Kapatıldı","",IF('ŞİKAYET KAYIT'!M147="","",'ŞİKAYET KAYIT'!M147)),"")</f>
        <v/>
      </c>
      <c r="K147" s="26" t="str">
        <f>IFERROR(IF('ŞİKAYET KAYIT'!P147="Kapatıldı","",IF('ŞİKAYET KAYIT'!N147="","",'ŞİKAYET KAYIT'!N147)),"")</f>
        <v/>
      </c>
      <c r="L147" s="26" t="str">
        <f>IFERROR(IF('ŞİKAYET KAYIT'!P147="Kapatıldı","",IF('ŞİKAYET KAYIT'!O147="","",'ŞİKAYET KAYIT'!O147)),"")</f>
        <v/>
      </c>
      <c r="M147" s="26" t="str">
        <f>IFERROR(IF('ŞİKAYET KAYIT'!P147="Kapatıldı","",IF('ŞİKAYET KAYIT'!P147="","",'ŞİKAYET KAYIT'!P147)),"")</f>
        <v/>
      </c>
    </row>
    <row r="148" spans="1:13" ht="15" customHeight="1" x14ac:dyDescent="0.3">
      <c r="A148" s="3" t="str">
        <f>IFERROR(IF('ŞİKAYET KAYIT'!P148="Kapatıldı","",IF('ŞİKAYET KAYIT'!A148="","",'ŞİKAYET KAYIT'!A148)),"")</f>
        <v/>
      </c>
      <c r="B148" s="5" t="str">
        <f>IFERROR(IF('ŞİKAYET KAYIT'!P148="Kapatıldı","",IF('ŞİKAYET KAYIT'!B148="","",'ŞİKAYET KAYIT'!B148)),"")</f>
        <v/>
      </c>
      <c r="C148" s="3" t="str">
        <f>IFERROR(IF('ŞİKAYET KAYIT'!P148="Kapatıldı","",IF('ŞİKAYET KAYIT'!D148="","",'ŞİKAYET KAYIT'!D148)),"")</f>
        <v/>
      </c>
      <c r="D148" s="3" t="str">
        <f>IFERROR(IF('ŞİKAYET KAYIT'!P148="Kapatıldı","",IF('ŞİKAYET KAYIT'!F148="","",'ŞİKAYET KAYIT'!F148)),"")</f>
        <v/>
      </c>
      <c r="E148" s="3" t="str">
        <f>IFERROR(IF('ŞİKAYET KAYIT'!P148="Kapatıldı","",IF('ŞİKAYET KAYIT'!H148="","",'ŞİKAYET KAYIT'!H148)),"")</f>
        <v/>
      </c>
      <c r="F148" s="3" t="str">
        <f>IFERROR(IF('ŞİKAYET KAYIT'!P148="Kapatıldı","",IF('ŞİKAYET KAYIT'!I148="","",'ŞİKAYET KAYIT'!I148)),"")</f>
        <v/>
      </c>
      <c r="G148" s="3" t="str">
        <f>IFERROR(IF('ŞİKAYET KAYIT'!P148="Kapatıldı","",IF('ŞİKAYET KAYIT'!J148="","",'ŞİKAYET KAYIT'!J148)),"")</f>
        <v/>
      </c>
      <c r="H148" s="3" t="str">
        <f>IFERROR(IF('ŞİKAYET KAYIT'!P148="Kapatıldı","",IF('ŞİKAYET KAYIT'!K148="","",'ŞİKAYET KAYIT'!K148)),"")</f>
        <v/>
      </c>
      <c r="I148" s="3" t="str">
        <f>IFERROR(IF('ŞİKAYET KAYIT'!P148="Kapatıldı","",IF('ŞİKAYET KAYIT'!L148="","",'ŞİKAYET KAYIT'!L148)),"")</f>
        <v/>
      </c>
      <c r="J148" s="3" t="str">
        <f>IFERROR(IF('ŞİKAYET KAYIT'!P148="Kapatıldı","",IF('ŞİKAYET KAYIT'!M148="","",'ŞİKAYET KAYIT'!M148)),"")</f>
        <v/>
      </c>
      <c r="K148" s="3" t="str">
        <f>IFERROR(IF('ŞİKAYET KAYIT'!P148="Kapatıldı","",IF('ŞİKAYET KAYIT'!N148="","",'ŞİKAYET KAYIT'!N148)),"")</f>
        <v/>
      </c>
      <c r="L148" s="3" t="str">
        <f>IFERROR(IF('ŞİKAYET KAYIT'!P148="Kapatıldı","",IF('ŞİKAYET KAYIT'!O148="","",'ŞİKAYET KAYIT'!O148)),"")</f>
        <v/>
      </c>
      <c r="M148" s="3" t="str">
        <f>IFERROR(IF('ŞİKAYET KAYIT'!P148="Kapatıldı","",IF('ŞİKAYET KAYIT'!P148="","",'ŞİKAYET KAYIT'!P148)),"")</f>
        <v/>
      </c>
    </row>
    <row r="149" spans="1:13" ht="15" customHeight="1" x14ac:dyDescent="0.3">
      <c r="A149" s="26" t="str">
        <f>IFERROR(IF('ŞİKAYET KAYIT'!P149="Kapatıldı","",IF('ŞİKAYET KAYIT'!A149="","",'ŞİKAYET KAYIT'!A149)),"")</f>
        <v/>
      </c>
      <c r="B149" s="8" t="str">
        <f>IFERROR(IF('ŞİKAYET KAYIT'!P149="Kapatıldı","",IF('ŞİKAYET KAYIT'!B149="","",'ŞİKAYET KAYIT'!B149)),"")</f>
        <v/>
      </c>
      <c r="C149" s="26" t="str">
        <f>IFERROR(IF('ŞİKAYET KAYIT'!P149="Kapatıldı","",IF('ŞİKAYET KAYIT'!D149="","",'ŞİKAYET KAYIT'!D149)),"")</f>
        <v/>
      </c>
      <c r="D149" s="26" t="str">
        <f>IFERROR(IF('ŞİKAYET KAYIT'!P149="Kapatıldı","",IF('ŞİKAYET KAYIT'!F149="","",'ŞİKAYET KAYIT'!F149)),"")</f>
        <v/>
      </c>
      <c r="E149" s="26" t="str">
        <f>IFERROR(IF('ŞİKAYET KAYIT'!P149="Kapatıldı","",IF('ŞİKAYET KAYIT'!H149="","",'ŞİKAYET KAYIT'!H149)),"")</f>
        <v/>
      </c>
      <c r="F149" s="26" t="str">
        <f>IFERROR(IF('ŞİKAYET KAYIT'!P149="Kapatıldı","",IF('ŞİKAYET KAYIT'!I149="","",'ŞİKAYET KAYIT'!I149)),"")</f>
        <v/>
      </c>
      <c r="G149" s="26" t="str">
        <f>IFERROR(IF('ŞİKAYET KAYIT'!P149="Kapatıldı","",IF('ŞİKAYET KAYIT'!J149="","",'ŞİKAYET KAYIT'!J149)),"")</f>
        <v/>
      </c>
      <c r="H149" s="26" t="str">
        <f>IFERROR(IF('ŞİKAYET KAYIT'!P149="Kapatıldı","",IF('ŞİKAYET KAYIT'!K149="","",'ŞİKAYET KAYIT'!K149)),"")</f>
        <v/>
      </c>
      <c r="I149" s="26" t="str">
        <f>IFERROR(IF('ŞİKAYET KAYIT'!P149="Kapatıldı","",IF('ŞİKAYET KAYIT'!L149="","",'ŞİKAYET KAYIT'!L149)),"")</f>
        <v/>
      </c>
      <c r="J149" s="26" t="str">
        <f>IFERROR(IF('ŞİKAYET KAYIT'!P149="Kapatıldı","",IF('ŞİKAYET KAYIT'!M149="","",'ŞİKAYET KAYIT'!M149)),"")</f>
        <v/>
      </c>
      <c r="K149" s="26" t="str">
        <f>IFERROR(IF('ŞİKAYET KAYIT'!P149="Kapatıldı","",IF('ŞİKAYET KAYIT'!N149="","",'ŞİKAYET KAYIT'!N149)),"")</f>
        <v/>
      </c>
      <c r="L149" s="26" t="str">
        <f>IFERROR(IF('ŞİKAYET KAYIT'!P149="Kapatıldı","",IF('ŞİKAYET KAYIT'!O149="","",'ŞİKAYET KAYIT'!O149)),"")</f>
        <v/>
      </c>
      <c r="M149" s="26" t="str">
        <f>IFERROR(IF('ŞİKAYET KAYIT'!P149="Kapatıldı","",IF('ŞİKAYET KAYIT'!P149="","",'ŞİKAYET KAYIT'!P149)),"")</f>
        <v/>
      </c>
    </row>
    <row r="150" spans="1:13" ht="15" customHeight="1" x14ac:dyDescent="0.3">
      <c r="A150" s="3" t="str">
        <f>IFERROR(IF('ŞİKAYET KAYIT'!P150="Kapatıldı","",IF('ŞİKAYET KAYIT'!A150="","",'ŞİKAYET KAYIT'!A150)),"")</f>
        <v/>
      </c>
      <c r="B150" s="5" t="str">
        <f>IFERROR(IF('ŞİKAYET KAYIT'!P150="Kapatıldı","",IF('ŞİKAYET KAYIT'!B150="","",'ŞİKAYET KAYIT'!B150)),"")</f>
        <v/>
      </c>
      <c r="C150" s="3" t="str">
        <f>IFERROR(IF('ŞİKAYET KAYIT'!P150="Kapatıldı","",IF('ŞİKAYET KAYIT'!D150="","",'ŞİKAYET KAYIT'!D150)),"")</f>
        <v/>
      </c>
      <c r="D150" s="3" t="str">
        <f>IFERROR(IF('ŞİKAYET KAYIT'!P150="Kapatıldı","",IF('ŞİKAYET KAYIT'!F150="","",'ŞİKAYET KAYIT'!F150)),"")</f>
        <v/>
      </c>
      <c r="E150" s="3" t="str">
        <f>IFERROR(IF('ŞİKAYET KAYIT'!P150="Kapatıldı","",IF('ŞİKAYET KAYIT'!H150="","",'ŞİKAYET KAYIT'!H150)),"")</f>
        <v/>
      </c>
      <c r="F150" s="3" t="str">
        <f>IFERROR(IF('ŞİKAYET KAYIT'!P150="Kapatıldı","",IF('ŞİKAYET KAYIT'!I150="","",'ŞİKAYET KAYIT'!I150)),"")</f>
        <v/>
      </c>
      <c r="G150" s="3" t="str">
        <f>IFERROR(IF('ŞİKAYET KAYIT'!P150="Kapatıldı","",IF('ŞİKAYET KAYIT'!J150="","",'ŞİKAYET KAYIT'!J150)),"")</f>
        <v/>
      </c>
      <c r="H150" s="3" t="str">
        <f>IFERROR(IF('ŞİKAYET KAYIT'!P150="Kapatıldı","",IF('ŞİKAYET KAYIT'!K150="","",'ŞİKAYET KAYIT'!K150)),"")</f>
        <v/>
      </c>
      <c r="I150" s="3" t="str">
        <f>IFERROR(IF('ŞİKAYET KAYIT'!P150="Kapatıldı","",IF('ŞİKAYET KAYIT'!L150="","",'ŞİKAYET KAYIT'!L150)),"")</f>
        <v/>
      </c>
      <c r="J150" s="3" t="str">
        <f>IFERROR(IF('ŞİKAYET KAYIT'!P150="Kapatıldı","",IF('ŞİKAYET KAYIT'!M150="","",'ŞİKAYET KAYIT'!M150)),"")</f>
        <v/>
      </c>
      <c r="K150" s="3" t="str">
        <f>IFERROR(IF('ŞİKAYET KAYIT'!P150="Kapatıldı","",IF('ŞİKAYET KAYIT'!N150="","",'ŞİKAYET KAYIT'!N150)),"")</f>
        <v/>
      </c>
      <c r="L150" s="3" t="str">
        <f>IFERROR(IF('ŞİKAYET KAYIT'!P150="Kapatıldı","",IF('ŞİKAYET KAYIT'!O150="","",'ŞİKAYET KAYIT'!O150)),"")</f>
        <v/>
      </c>
      <c r="M150" s="3" t="str">
        <f>IFERROR(IF('ŞİKAYET KAYIT'!P150="Kapatıldı","",IF('ŞİKAYET KAYIT'!P150="","",'ŞİKAYET KAYIT'!P150)),"")</f>
        <v/>
      </c>
    </row>
    <row r="151" spans="1:13" ht="15" customHeight="1" x14ac:dyDescent="0.3">
      <c r="A151" s="26" t="str">
        <f>IFERROR(IF('ŞİKAYET KAYIT'!P151="Kapatıldı","",IF('ŞİKAYET KAYIT'!A151="","",'ŞİKAYET KAYIT'!A151)),"")</f>
        <v/>
      </c>
      <c r="B151" s="8" t="str">
        <f>IFERROR(IF('ŞİKAYET KAYIT'!P151="Kapatıldı","",IF('ŞİKAYET KAYIT'!B151="","",'ŞİKAYET KAYIT'!B151)),"")</f>
        <v/>
      </c>
      <c r="C151" s="26" t="str">
        <f>IFERROR(IF('ŞİKAYET KAYIT'!P151="Kapatıldı","",IF('ŞİKAYET KAYIT'!D151="","",'ŞİKAYET KAYIT'!D151)),"")</f>
        <v/>
      </c>
      <c r="D151" s="26" t="str">
        <f>IFERROR(IF('ŞİKAYET KAYIT'!P151="Kapatıldı","",IF('ŞİKAYET KAYIT'!F151="","",'ŞİKAYET KAYIT'!F151)),"")</f>
        <v/>
      </c>
      <c r="E151" s="26" t="str">
        <f>IFERROR(IF('ŞİKAYET KAYIT'!P151="Kapatıldı","",IF('ŞİKAYET KAYIT'!H151="","",'ŞİKAYET KAYIT'!H151)),"")</f>
        <v/>
      </c>
      <c r="F151" s="26" t="str">
        <f>IFERROR(IF('ŞİKAYET KAYIT'!P151="Kapatıldı","",IF('ŞİKAYET KAYIT'!I151="","",'ŞİKAYET KAYIT'!I151)),"")</f>
        <v/>
      </c>
      <c r="G151" s="26" t="str">
        <f>IFERROR(IF('ŞİKAYET KAYIT'!P151="Kapatıldı","",IF('ŞİKAYET KAYIT'!J151="","",'ŞİKAYET KAYIT'!J151)),"")</f>
        <v/>
      </c>
      <c r="H151" s="26" t="str">
        <f>IFERROR(IF('ŞİKAYET KAYIT'!P151="Kapatıldı","",IF('ŞİKAYET KAYIT'!K151="","",'ŞİKAYET KAYIT'!K151)),"")</f>
        <v/>
      </c>
      <c r="I151" s="26" t="str">
        <f>IFERROR(IF('ŞİKAYET KAYIT'!P151="Kapatıldı","",IF('ŞİKAYET KAYIT'!L151="","",'ŞİKAYET KAYIT'!L151)),"")</f>
        <v/>
      </c>
      <c r="J151" s="26" t="str">
        <f>IFERROR(IF('ŞİKAYET KAYIT'!P151="Kapatıldı","",IF('ŞİKAYET KAYIT'!M151="","",'ŞİKAYET KAYIT'!M151)),"")</f>
        <v/>
      </c>
      <c r="K151" s="26" t="str">
        <f>IFERROR(IF('ŞİKAYET KAYIT'!P151="Kapatıldı","",IF('ŞİKAYET KAYIT'!N151="","",'ŞİKAYET KAYIT'!N151)),"")</f>
        <v/>
      </c>
      <c r="L151" s="26" t="str">
        <f>IFERROR(IF('ŞİKAYET KAYIT'!P151="Kapatıldı","",IF('ŞİKAYET KAYIT'!O151="","",'ŞİKAYET KAYIT'!O151)),"")</f>
        <v/>
      </c>
      <c r="M151" s="26" t="str">
        <f>IFERROR(IF('ŞİKAYET KAYIT'!P151="Kapatıldı","",IF('ŞİKAYET KAYIT'!P151="","",'ŞİKAYET KAYIT'!P151)),"")</f>
        <v/>
      </c>
    </row>
    <row r="152" spans="1:13" ht="15" customHeight="1" x14ac:dyDescent="0.3">
      <c r="A152" s="3" t="str">
        <f>IFERROR(IF('ŞİKAYET KAYIT'!P152="Kapatıldı","",IF('ŞİKAYET KAYIT'!A152="","",'ŞİKAYET KAYIT'!A152)),"")</f>
        <v/>
      </c>
      <c r="B152" s="5" t="str">
        <f>IFERROR(IF('ŞİKAYET KAYIT'!P152="Kapatıldı","",IF('ŞİKAYET KAYIT'!B152="","",'ŞİKAYET KAYIT'!B152)),"")</f>
        <v/>
      </c>
      <c r="C152" s="3" t="str">
        <f>IFERROR(IF('ŞİKAYET KAYIT'!P152="Kapatıldı","",IF('ŞİKAYET KAYIT'!D152="","",'ŞİKAYET KAYIT'!D152)),"")</f>
        <v/>
      </c>
      <c r="D152" s="3" t="str">
        <f>IFERROR(IF('ŞİKAYET KAYIT'!P152="Kapatıldı","",IF('ŞİKAYET KAYIT'!F152="","",'ŞİKAYET KAYIT'!F152)),"")</f>
        <v/>
      </c>
      <c r="E152" s="3" t="str">
        <f>IFERROR(IF('ŞİKAYET KAYIT'!P152="Kapatıldı","",IF('ŞİKAYET KAYIT'!H152="","",'ŞİKAYET KAYIT'!H152)),"")</f>
        <v/>
      </c>
      <c r="F152" s="3" t="str">
        <f>IFERROR(IF('ŞİKAYET KAYIT'!P152="Kapatıldı","",IF('ŞİKAYET KAYIT'!I152="","",'ŞİKAYET KAYIT'!I152)),"")</f>
        <v/>
      </c>
      <c r="G152" s="3" t="str">
        <f>IFERROR(IF('ŞİKAYET KAYIT'!P152="Kapatıldı","",IF('ŞİKAYET KAYIT'!J152="","",'ŞİKAYET KAYIT'!J152)),"")</f>
        <v/>
      </c>
      <c r="H152" s="3" t="str">
        <f>IFERROR(IF('ŞİKAYET KAYIT'!P152="Kapatıldı","",IF('ŞİKAYET KAYIT'!K152="","",'ŞİKAYET KAYIT'!K152)),"")</f>
        <v/>
      </c>
      <c r="I152" s="3" t="str">
        <f>IFERROR(IF('ŞİKAYET KAYIT'!P152="Kapatıldı","",IF('ŞİKAYET KAYIT'!L152="","",'ŞİKAYET KAYIT'!L152)),"")</f>
        <v/>
      </c>
      <c r="J152" s="3" t="str">
        <f>IFERROR(IF('ŞİKAYET KAYIT'!P152="Kapatıldı","",IF('ŞİKAYET KAYIT'!M152="","",'ŞİKAYET KAYIT'!M152)),"")</f>
        <v/>
      </c>
      <c r="K152" s="3" t="str">
        <f>IFERROR(IF('ŞİKAYET KAYIT'!P152="Kapatıldı","",IF('ŞİKAYET KAYIT'!N152="","",'ŞİKAYET KAYIT'!N152)),"")</f>
        <v/>
      </c>
      <c r="L152" s="3" t="str">
        <f>IFERROR(IF('ŞİKAYET KAYIT'!P152="Kapatıldı","",IF('ŞİKAYET KAYIT'!O152="","",'ŞİKAYET KAYIT'!O152)),"")</f>
        <v/>
      </c>
      <c r="M152" s="3" t="str">
        <f>IFERROR(IF('ŞİKAYET KAYIT'!P152="Kapatıldı","",IF('ŞİKAYET KAYIT'!P152="","",'ŞİKAYET KAYIT'!P152)),"")</f>
        <v/>
      </c>
    </row>
    <row r="153" spans="1:13" ht="15" customHeight="1" x14ac:dyDescent="0.3">
      <c r="A153" s="26" t="str">
        <f>IFERROR(IF('ŞİKAYET KAYIT'!P153="Kapatıldı","",IF('ŞİKAYET KAYIT'!A153="","",'ŞİKAYET KAYIT'!A153)),"")</f>
        <v/>
      </c>
      <c r="B153" s="8" t="str">
        <f>IFERROR(IF('ŞİKAYET KAYIT'!P153="Kapatıldı","",IF('ŞİKAYET KAYIT'!B153="","",'ŞİKAYET KAYIT'!B153)),"")</f>
        <v/>
      </c>
      <c r="C153" s="26" t="str">
        <f>IFERROR(IF('ŞİKAYET KAYIT'!P153="Kapatıldı","",IF('ŞİKAYET KAYIT'!D153="","",'ŞİKAYET KAYIT'!D153)),"")</f>
        <v/>
      </c>
      <c r="D153" s="26" t="str">
        <f>IFERROR(IF('ŞİKAYET KAYIT'!P153="Kapatıldı","",IF('ŞİKAYET KAYIT'!F153="","",'ŞİKAYET KAYIT'!F153)),"")</f>
        <v/>
      </c>
      <c r="E153" s="26" t="str">
        <f>IFERROR(IF('ŞİKAYET KAYIT'!P153="Kapatıldı","",IF('ŞİKAYET KAYIT'!H153="","",'ŞİKAYET KAYIT'!H153)),"")</f>
        <v/>
      </c>
      <c r="F153" s="26" t="str">
        <f>IFERROR(IF('ŞİKAYET KAYIT'!P153="Kapatıldı","",IF('ŞİKAYET KAYIT'!I153="","",'ŞİKAYET KAYIT'!I153)),"")</f>
        <v/>
      </c>
      <c r="G153" s="26" t="str">
        <f>IFERROR(IF('ŞİKAYET KAYIT'!P153="Kapatıldı","",IF('ŞİKAYET KAYIT'!J153="","",'ŞİKAYET KAYIT'!J153)),"")</f>
        <v/>
      </c>
      <c r="H153" s="26" t="str">
        <f>IFERROR(IF('ŞİKAYET KAYIT'!P153="Kapatıldı","",IF('ŞİKAYET KAYIT'!K153="","",'ŞİKAYET KAYIT'!K153)),"")</f>
        <v/>
      </c>
      <c r="I153" s="26" t="str">
        <f>IFERROR(IF('ŞİKAYET KAYIT'!P153="Kapatıldı","",IF('ŞİKAYET KAYIT'!L153="","",'ŞİKAYET KAYIT'!L153)),"")</f>
        <v/>
      </c>
      <c r="J153" s="26" t="str">
        <f>IFERROR(IF('ŞİKAYET KAYIT'!P153="Kapatıldı","",IF('ŞİKAYET KAYIT'!M153="","",'ŞİKAYET KAYIT'!M153)),"")</f>
        <v/>
      </c>
      <c r="K153" s="26" t="str">
        <f>IFERROR(IF('ŞİKAYET KAYIT'!P153="Kapatıldı","",IF('ŞİKAYET KAYIT'!N153="","",'ŞİKAYET KAYIT'!N153)),"")</f>
        <v/>
      </c>
      <c r="L153" s="26" t="str">
        <f>IFERROR(IF('ŞİKAYET KAYIT'!P153="Kapatıldı","",IF('ŞİKAYET KAYIT'!O153="","",'ŞİKAYET KAYIT'!O153)),"")</f>
        <v/>
      </c>
      <c r="M153" s="26" t="str">
        <f>IFERROR(IF('ŞİKAYET KAYIT'!P153="Kapatıldı","",IF('ŞİKAYET KAYIT'!P153="","",'ŞİKAYET KAYIT'!P153)),"")</f>
        <v/>
      </c>
    </row>
    <row r="154" spans="1:13" ht="15" customHeight="1" x14ac:dyDescent="0.3">
      <c r="A154" s="3" t="str">
        <f>IFERROR(IF('ŞİKAYET KAYIT'!P154="Kapatıldı","",IF('ŞİKAYET KAYIT'!A154="","",'ŞİKAYET KAYIT'!A154)),"")</f>
        <v/>
      </c>
      <c r="B154" s="5" t="str">
        <f>IFERROR(IF('ŞİKAYET KAYIT'!P154="Kapatıldı","",IF('ŞİKAYET KAYIT'!B154="","",'ŞİKAYET KAYIT'!B154)),"")</f>
        <v/>
      </c>
      <c r="C154" s="3" t="str">
        <f>IFERROR(IF('ŞİKAYET KAYIT'!P154="Kapatıldı","",IF('ŞİKAYET KAYIT'!D154="","",'ŞİKAYET KAYIT'!D154)),"")</f>
        <v/>
      </c>
      <c r="D154" s="3" t="str">
        <f>IFERROR(IF('ŞİKAYET KAYIT'!P154="Kapatıldı","",IF('ŞİKAYET KAYIT'!F154="","",'ŞİKAYET KAYIT'!F154)),"")</f>
        <v/>
      </c>
      <c r="E154" s="3" t="str">
        <f>IFERROR(IF('ŞİKAYET KAYIT'!P154="Kapatıldı","",IF('ŞİKAYET KAYIT'!H154="","",'ŞİKAYET KAYIT'!H154)),"")</f>
        <v/>
      </c>
      <c r="F154" s="3" t="str">
        <f>IFERROR(IF('ŞİKAYET KAYIT'!P154="Kapatıldı","",IF('ŞİKAYET KAYIT'!I154="","",'ŞİKAYET KAYIT'!I154)),"")</f>
        <v/>
      </c>
      <c r="G154" s="3" t="str">
        <f>IFERROR(IF('ŞİKAYET KAYIT'!P154="Kapatıldı","",IF('ŞİKAYET KAYIT'!J154="","",'ŞİKAYET KAYIT'!J154)),"")</f>
        <v/>
      </c>
      <c r="H154" s="3" t="str">
        <f>IFERROR(IF('ŞİKAYET KAYIT'!P154="Kapatıldı","",IF('ŞİKAYET KAYIT'!K154="","",'ŞİKAYET KAYIT'!K154)),"")</f>
        <v/>
      </c>
      <c r="I154" s="3" t="str">
        <f>IFERROR(IF('ŞİKAYET KAYIT'!P154="Kapatıldı","",IF('ŞİKAYET KAYIT'!L154="","",'ŞİKAYET KAYIT'!L154)),"")</f>
        <v/>
      </c>
      <c r="J154" s="3" t="str">
        <f>IFERROR(IF('ŞİKAYET KAYIT'!P154="Kapatıldı","",IF('ŞİKAYET KAYIT'!M154="","",'ŞİKAYET KAYIT'!M154)),"")</f>
        <v/>
      </c>
      <c r="K154" s="3" t="str">
        <f>IFERROR(IF('ŞİKAYET KAYIT'!P154="Kapatıldı","",IF('ŞİKAYET KAYIT'!N154="","",'ŞİKAYET KAYIT'!N154)),"")</f>
        <v/>
      </c>
      <c r="L154" s="3" t="str">
        <f>IFERROR(IF('ŞİKAYET KAYIT'!P154="Kapatıldı","",IF('ŞİKAYET KAYIT'!O154="","",'ŞİKAYET KAYIT'!O154)),"")</f>
        <v/>
      </c>
      <c r="M154" s="3" t="str">
        <f>IFERROR(IF('ŞİKAYET KAYIT'!P154="Kapatıldı","",IF('ŞİKAYET KAYIT'!P154="","",'ŞİKAYET KAYIT'!P154)),"")</f>
        <v/>
      </c>
    </row>
    <row r="155" spans="1:13" ht="15" customHeight="1" x14ac:dyDescent="0.3">
      <c r="A155" s="26" t="str">
        <f>IFERROR(IF('ŞİKAYET KAYIT'!P155="Kapatıldı","",IF('ŞİKAYET KAYIT'!A155="","",'ŞİKAYET KAYIT'!A155)),"")</f>
        <v/>
      </c>
      <c r="B155" s="8" t="str">
        <f>IFERROR(IF('ŞİKAYET KAYIT'!P155="Kapatıldı","",IF('ŞİKAYET KAYIT'!B155="","",'ŞİKAYET KAYIT'!B155)),"")</f>
        <v/>
      </c>
      <c r="C155" s="26" t="str">
        <f>IFERROR(IF('ŞİKAYET KAYIT'!P155="Kapatıldı","",IF('ŞİKAYET KAYIT'!D155="","",'ŞİKAYET KAYIT'!D155)),"")</f>
        <v/>
      </c>
      <c r="D155" s="26" t="str">
        <f>IFERROR(IF('ŞİKAYET KAYIT'!P155="Kapatıldı","",IF('ŞİKAYET KAYIT'!F155="","",'ŞİKAYET KAYIT'!F155)),"")</f>
        <v/>
      </c>
      <c r="E155" s="26" t="str">
        <f>IFERROR(IF('ŞİKAYET KAYIT'!P155="Kapatıldı","",IF('ŞİKAYET KAYIT'!H155="","",'ŞİKAYET KAYIT'!H155)),"")</f>
        <v/>
      </c>
      <c r="F155" s="26" t="str">
        <f>IFERROR(IF('ŞİKAYET KAYIT'!P155="Kapatıldı","",IF('ŞİKAYET KAYIT'!I155="","",'ŞİKAYET KAYIT'!I155)),"")</f>
        <v/>
      </c>
      <c r="G155" s="26" t="str">
        <f>IFERROR(IF('ŞİKAYET KAYIT'!P155="Kapatıldı","",IF('ŞİKAYET KAYIT'!J155="","",'ŞİKAYET KAYIT'!J155)),"")</f>
        <v/>
      </c>
      <c r="H155" s="26" t="str">
        <f>IFERROR(IF('ŞİKAYET KAYIT'!P155="Kapatıldı","",IF('ŞİKAYET KAYIT'!K155="","",'ŞİKAYET KAYIT'!K155)),"")</f>
        <v/>
      </c>
      <c r="I155" s="26" t="str">
        <f>IFERROR(IF('ŞİKAYET KAYIT'!P155="Kapatıldı","",IF('ŞİKAYET KAYIT'!L155="","",'ŞİKAYET KAYIT'!L155)),"")</f>
        <v/>
      </c>
      <c r="J155" s="26" t="str">
        <f>IFERROR(IF('ŞİKAYET KAYIT'!P155="Kapatıldı","",IF('ŞİKAYET KAYIT'!M155="","",'ŞİKAYET KAYIT'!M155)),"")</f>
        <v/>
      </c>
      <c r="K155" s="26" t="str">
        <f>IFERROR(IF('ŞİKAYET KAYIT'!P155="Kapatıldı","",IF('ŞİKAYET KAYIT'!N155="","",'ŞİKAYET KAYIT'!N155)),"")</f>
        <v/>
      </c>
      <c r="L155" s="26" t="str">
        <f>IFERROR(IF('ŞİKAYET KAYIT'!P155="Kapatıldı","",IF('ŞİKAYET KAYIT'!O155="","",'ŞİKAYET KAYIT'!O155)),"")</f>
        <v/>
      </c>
      <c r="M155" s="26" t="str">
        <f>IFERROR(IF('ŞİKAYET KAYIT'!P155="Kapatıldı","",IF('ŞİKAYET KAYIT'!P155="","",'ŞİKAYET KAYIT'!P155)),"")</f>
        <v/>
      </c>
    </row>
    <row r="156" spans="1:13" ht="15" customHeight="1" x14ac:dyDescent="0.3">
      <c r="A156" s="3" t="str">
        <f>IFERROR(IF('ŞİKAYET KAYIT'!P156="Kapatıldı","",IF('ŞİKAYET KAYIT'!A156="","",'ŞİKAYET KAYIT'!A156)),"")</f>
        <v/>
      </c>
      <c r="B156" s="5" t="str">
        <f>IFERROR(IF('ŞİKAYET KAYIT'!P156="Kapatıldı","",IF('ŞİKAYET KAYIT'!B156="","",'ŞİKAYET KAYIT'!B156)),"")</f>
        <v/>
      </c>
      <c r="C156" s="3" t="str">
        <f>IFERROR(IF('ŞİKAYET KAYIT'!P156="Kapatıldı","",IF('ŞİKAYET KAYIT'!D156="","",'ŞİKAYET KAYIT'!D156)),"")</f>
        <v/>
      </c>
      <c r="D156" s="3" t="str">
        <f>IFERROR(IF('ŞİKAYET KAYIT'!P156="Kapatıldı","",IF('ŞİKAYET KAYIT'!F156="","",'ŞİKAYET KAYIT'!F156)),"")</f>
        <v/>
      </c>
      <c r="E156" s="3" t="str">
        <f>IFERROR(IF('ŞİKAYET KAYIT'!P156="Kapatıldı","",IF('ŞİKAYET KAYIT'!H156="","",'ŞİKAYET KAYIT'!H156)),"")</f>
        <v/>
      </c>
      <c r="F156" s="3" t="str">
        <f>IFERROR(IF('ŞİKAYET KAYIT'!P156="Kapatıldı","",IF('ŞİKAYET KAYIT'!I156="","",'ŞİKAYET KAYIT'!I156)),"")</f>
        <v/>
      </c>
      <c r="G156" s="3" t="str">
        <f>IFERROR(IF('ŞİKAYET KAYIT'!P156="Kapatıldı","",IF('ŞİKAYET KAYIT'!J156="","",'ŞİKAYET KAYIT'!J156)),"")</f>
        <v/>
      </c>
      <c r="H156" s="3" t="str">
        <f>IFERROR(IF('ŞİKAYET KAYIT'!P156="Kapatıldı","",IF('ŞİKAYET KAYIT'!K156="","",'ŞİKAYET KAYIT'!K156)),"")</f>
        <v/>
      </c>
      <c r="I156" s="3" t="str">
        <f>IFERROR(IF('ŞİKAYET KAYIT'!P156="Kapatıldı","",IF('ŞİKAYET KAYIT'!L156="","",'ŞİKAYET KAYIT'!L156)),"")</f>
        <v/>
      </c>
      <c r="J156" s="3" t="str">
        <f>IFERROR(IF('ŞİKAYET KAYIT'!P156="Kapatıldı","",IF('ŞİKAYET KAYIT'!M156="","",'ŞİKAYET KAYIT'!M156)),"")</f>
        <v/>
      </c>
      <c r="K156" s="3" t="str">
        <f>IFERROR(IF('ŞİKAYET KAYIT'!P156="Kapatıldı","",IF('ŞİKAYET KAYIT'!N156="","",'ŞİKAYET KAYIT'!N156)),"")</f>
        <v/>
      </c>
      <c r="L156" s="3" t="str">
        <f>IFERROR(IF('ŞİKAYET KAYIT'!P156="Kapatıldı","",IF('ŞİKAYET KAYIT'!O156="","",'ŞİKAYET KAYIT'!O156)),"")</f>
        <v/>
      </c>
      <c r="M156" s="3" t="str">
        <f>IFERROR(IF('ŞİKAYET KAYIT'!P156="Kapatıldı","",IF('ŞİKAYET KAYIT'!P156="","",'ŞİKAYET KAYIT'!P156)),"")</f>
        <v/>
      </c>
    </row>
    <row r="157" spans="1:13" ht="15" customHeight="1" x14ac:dyDescent="0.3">
      <c r="A157" s="26" t="str">
        <f>IFERROR(IF('ŞİKAYET KAYIT'!P157="Kapatıldı","",IF('ŞİKAYET KAYIT'!A157="","",'ŞİKAYET KAYIT'!A157)),"")</f>
        <v/>
      </c>
      <c r="B157" s="8" t="str">
        <f>IFERROR(IF('ŞİKAYET KAYIT'!P157="Kapatıldı","",IF('ŞİKAYET KAYIT'!B157="","",'ŞİKAYET KAYIT'!B157)),"")</f>
        <v/>
      </c>
      <c r="C157" s="26" t="str">
        <f>IFERROR(IF('ŞİKAYET KAYIT'!P157="Kapatıldı","",IF('ŞİKAYET KAYIT'!D157="","",'ŞİKAYET KAYIT'!D157)),"")</f>
        <v/>
      </c>
      <c r="D157" s="26" t="str">
        <f>IFERROR(IF('ŞİKAYET KAYIT'!P157="Kapatıldı","",IF('ŞİKAYET KAYIT'!F157="","",'ŞİKAYET KAYIT'!F157)),"")</f>
        <v/>
      </c>
      <c r="E157" s="26" t="str">
        <f>IFERROR(IF('ŞİKAYET KAYIT'!P157="Kapatıldı","",IF('ŞİKAYET KAYIT'!H157="","",'ŞİKAYET KAYIT'!H157)),"")</f>
        <v/>
      </c>
      <c r="F157" s="26" t="str">
        <f>IFERROR(IF('ŞİKAYET KAYIT'!P157="Kapatıldı","",IF('ŞİKAYET KAYIT'!I157="","",'ŞİKAYET KAYIT'!I157)),"")</f>
        <v/>
      </c>
      <c r="G157" s="26" t="str">
        <f>IFERROR(IF('ŞİKAYET KAYIT'!P157="Kapatıldı","",IF('ŞİKAYET KAYIT'!J157="","",'ŞİKAYET KAYIT'!J157)),"")</f>
        <v/>
      </c>
      <c r="H157" s="26" t="str">
        <f>IFERROR(IF('ŞİKAYET KAYIT'!P157="Kapatıldı","",IF('ŞİKAYET KAYIT'!K157="","",'ŞİKAYET KAYIT'!K157)),"")</f>
        <v/>
      </c>
      <c r="I157" s="26" t="str">
        <f>IFERROR(IF('ŞİKAYET KAYIT'!P157="Kapatıldı","",IF('ŞİKAYET KAYIT'!L157="","",'ŞİKAYET KAYIT'!L157)),"")</f>
        <v/>
      </c>
      <c r="J157" s="26" t="str">
        <f>IFERROR(IF('ŞİKAYET KAYIT'!P157="Kapatıldı","",IF('ŞİKAYET KAYIT'!M157="","",'ŞİKAYET KAYIT'!M157)),"")</f>
        <v/>
      </c>
      <c r="K157" s="26" t="str">
        <f>IFERROR(IF('ŞİKAYET KAYIT'!P157="Kapatıldı","",IF('ŞİKAYET KAYIT'!N157="","",'ŞİKAYET KAYIT'!N157)),"")</f>
        <v/>
      </c>
      <c r="L157" s="26" t="str">
        <f>IFERROR(IF('ŞİKAYET KAYIT'!P157="Kapatıldı","",IF('ŞİKAYET KAYIT'!O157="","",'ŞİKAYET KAYIT'!O157)),"")</f>
        <v/>
      </c>
      <c r="M157" s="26" t="str">
        <f>IFERROR(IF('ŞİKAYET KAYIT'!P157="Kapatıldı","",IF('ŞİKAYET KAYIT'!P157="","",'ŞİKAYET KAYIT'!P157)),"")</f>
        <v/>
      </c>
    </row>
    <row r="158" spans="1:13" ht="15" customHeight="1" x14ac:dyDescent="0.3">
      <c r="A158" s="3" t="str">
        <f>IFERROR(IF('ŞİKAYET KAYIT'!P158="Kapatıldı","",IF('ŞİKAYET KAYIT'!A158="","",'ŞİKAYET KAYIT'!A158)),"")</f>
        <v/>
      </c>
      <c r="B158" s="5" t="str">
        <f>IFERROR(IF('ŞİKAYET KAYIT'!P158="Kapatıldı","",IF('ŞİKAYET KAYIT'!B158="","",'ŞİKAYET KAYIT'!B158)),"")</f>
        <v/>
      </c>
      <c r="C158" s="3" t="str">
        <f>IFERROR(IF('ŞİKAYET KAYIT'!P158="Kapatıldı","",IF('ŞİKAYET KAYIT'!D158="","",'ŞİKAYET KAYIT'!D158)),"")</f>
        <v/>
      </c>
      <c r="D158" s="3" t="str">
        <f>IFERROR(IF('ŞİKAYET KAYIT'!P158="Kapatıldı","",IF('ŞİKAYET KAYIT'!F158="","",'ŞİKAYET KAYIT'!F158)),"")</f>
        <v/>
      </c>
      <c r="E158" s="3" t="str">
        <f>IFERROR(IF('ŞİKAYET KAYIT'!P158="Kapatıldı","",IF('ŞİKAYET KAYIT'!H158="","",'ŞİKAYET KAYIT'!H158)),"")</f>
        <v/>
      </c>
      <c r="F158" s="3" t="str">
        <f>IFERROR(IF('ŞİKAYET KAYIT'!P158="Kapatıldı","",IF('ŞİKAYET KAYIT'!I158="","",'ŞİKAYET KAYIT'!I158)),"")</f>
        <v/>
      </c>
      <c r="G158" s="3" t="str">
        <f>IFERROR(IF('ŞİKAYET KAYIT'!P158="Kapatıldı","",IF('ŞİKAYET KAYIT'!J158="","",'ŞİKAYET KAYIT'!J158)),"")</f>
        <v/>
      </c>
      <c r="H158" s="3" t="str">
        <f>IFERROR(IF('ŞİKAYET KAYIT'!P158="Kapatıldı","",IF('ŞİKAYET KAYIT'!K158="","",'ŞİKAYET KAYIT'!K158)),"")</f>
        <v/>
      </c>
      <c r="I158" s="3" t="str">
        <f>IFERROR(IF('ŞİKAYET KAYIT'!P158="Kapatıldı","",IF('ŞİKAYET KAYIT'!L158="","",'ŞİKAYET KAYIT'!L158)),"")</f>
        <v/>
      </c>
      <c r="J158" s="3" t="str">
        <f>IFERROR(IF('ŞİKAYET KAYIT'!P158="Kapatıldı","",IF('ŞİKAYET KAYIT'!M158="","",'ŞİKAYET KAYIT'!M158)),"")</f>
        <v/>
      </c>
      <c r="K158" s="3" t="str">
        <f>IFERROR(IF('ŞİKAYET KAYIT'!P158="Kapatıldı","",IF('ŞİKAYET KAYIT'!N158="","",'ŞİKAYET KAYIT'!N158)),"")</f>
        <v/>
      </c>
      <c r="L158" s="3" t="str">
        <f>IFERROR(IF('ŞİKAYET KAYIT'!P158="Kapatıldı","",IF('ŞİKAYET KAYIT'!O158="","",'ŞİKAYET KAYIT'!O158)),"")</f>
        <v/>
      </c>
      <c r="M158" s="3" t="str">
        <f>IFERROR(IF('ŞİKAYET KAYIT'!P158="Kapatıldı","",IF('ŞİKAYET KAYIT'!P158="","",'ŞİKAYET KAYIT'!P158)),"")</f>
        <v/>
      </c>
    </row>
    <row r="159" spans="1:13" ht="15" customHeight="1" x14ac:dyDescent="0.3">
      <c r="A159" s="26" t="str">
        <f>IFERROR(IF('ŞİKAYET KAYIT'!P159="Kapatıldı","",IF('ŞİKAYET KAYIT'!A159="","",'ŞİKAYET KAYIT'!A159)),"")</f>
        <v/>
      </c>
      <c r="B159" s="8" t="str">
        <f>IFERROR(IF('ŞİKAYET KAYIT'!P159="Kapatıldı","",IF('ŞİKAYET KAYIT'!B159="","",'ŞİKAYET KAYIT'!B159)),"")</f>
        <v/>
      </c>
      <c r="C159" s="26" t="str">
        <f>IFERROR(IF('ŞİKAYET KAYIT'!P159="Kapatıldı","",IF('ŞİKAYET KAYIT'!D159="","",'ŞİKAYET KAYIT'!D159)),"")</f>
        <v/>
      </c>
      <c r="D159" s="26" t="str">
        <f>IFERROR(IF('ŞİKAYET KAYIT'!P159="Kapatıldı","",IF('ŞİKAYET KAYIT'!F159="","",'ŞİKAYET KAYIT'!F159)),"")</f>
        <v/>
      </c>
      <c r="E159" s="26" t="str">
        <f>IFERROR(IF('ŞİKAYET KAYIT'!P159="Kapatıldı","",IF('ŞİKAYET KAYIT'!H159="","",'ŞİKAYET KAYIT'!H159)),"")</f>
        <v/>
      </c>
      <c r="F159" s="26" t="str">
        <f>IFERROR(IF('ŞİKAYET KAYIT'!P159="Kapatıldı","",IF('ŞİKAYET KAYIT'!I159="","",'ŞİKAYET KAYIT'!I159)),"")</f>
        <v/>
      </c>
      <c r="G159" s="26" t="str">
        <f>IFERROR(IF('ŞİKAYET KAYIT'!P159="Kapatıldı","",IF('ŞİKAYET KAYIT'!J159="","",'ŞİKAYET KAYIT'!J159)),"")</f>
        <v/>
      </c>
      <c r="H159" s="26" t="str">
        <f>IFERROR(IF('ŞİKAYET KAYIT'!P159="Kapatıldı","",IF('ŞİKAYET KAYIT'!K159="","",'ŞİKAYET KAYIT'!K159)),"")</f>
        <v/>
      </c>
      <c r="I159" s="26" t="str">
        <f>IFERROR(IF('ŞİKAYET KAYIT'!P159="Kapatıldı","",IF('ŞİKAYET KAYIT'!L159="","",'ŞİKAYET KAYIT'!L159)),"")</f>
        <v/>
      </c>
      <c r="J159" s="26" t="str">
        <f>IFERROR(IF('ŞİKAYET KAYIT'!P159="Kapatıldı","",IF('ŞİKAYET KAYIT'!M159="","",'ŞİKAYET KAYIT'!M159)),"")</f>
        <v/>
      </c>
      <c r="K159" s="26" t="str">
        <f>IFERROR(IF('ŞİKAYET KAYIT'!P159="Kapatıldı","",IF('ŞİKAYET KAYIT'!N159="","",'ŞİKAYET KAYIT'!N159)),"")</f>
        <v/>
      </c>
      <c r="L159" s="26" t="str">
        <f>IFERROR(IF('ŞİKAYET KAYIT'!P159="Kapatıldı","",IF('ŞİKAYET KAYIT'!O159="","",'ŞİKAYET KAYIT'!O159)),"")</f>
        <v/>
      </c>
      <c r="M159" s="26" t="str">
        <f>IFERROR(IF('ŞİKAYET KAYIT'!P159="Kapatıldı","",IF('ŞİKAYET KAYIT'!P159="","",'ŞİKAYET KAYIT'!P159)),"")</f>
        <v/>
      </c>
    </row>
    <row r="160" spans="1:13" ht="15" customHeight="1" x14ac:dyDescent="0.3">
      <c r="A160" s="3" t="str">
        <f>IFERROR(IF('ŞİKAYET KAYIT'!P160="Kapatıldı","",IF('ŞİKAYET KAYIT'!A160="","",'ŞİKAYET KAYIT'!A160)),"")</f>
        <v/>
      </c>
      <c r="B160" s="5" t="str">
        <f>IFERROR(IF('ŞİKAYET KAYIT'!P160="Kapatıldı","",IF('ŞİKAYET KAYIT'!B160="","",'ŞİKAYET KAYIT'!B160)),"")</f>
        <v/>
      </c>
      <c r="C160" s="3" t="str">
        <f>IFERROR(IF('ŞİKAYET KAYIT'!P160="Kapatıldı","",IF('ŞİKAYET KAYIT'!D160="","",'ŞİKAYET KAYIT'!D160)),"")</f>
        <v/>
      </c>
      <c r="D160" s="3" t="str">
        <f>IFERROR(IF('ŞİKAYET KAYIT'!P160="Kapatıldı","",IF('ŞİKAYET KAYIT'!F160="","",'ŞİKAYET KAYIT'!F160)),"")</f>
        <v/>
      </c>
      <c r="E160" s="3" t="str">
        <f>IFERROR(IF('ŞİKAYET KAYIT'!P160="Kapatıldı","",IF('ŞİKAYET KAYIT'!H160="","",'ŞİKAYET KAYIT'!H160)),"")</f>
        <v/>
      </c>
      <c r="F160" s="3" t="str">
        <f>IFERROR(IF('ŞİKAYET KAYIT'!P160="Kapatıldı","",IF('ŞİKAYET KAYIT'!I160="","",'ŞİKAYET KAYIT'!I160)),"")</f>
        <v/>
      </c>
      <c r="G160" s="3" t="str">
        <f>IFERROR(IF('ŞİKAYET KAYIT'!P160="Kapatıldı","",IF('ŞİKAYET KAYIT'!J160="","",'ŞİKAYET KAYIT'!J160)),"")</f>
        <v/>
      </c>
      <c r="H160" s="3" t="str">
        <f>IFERROR(IF('ŞİKAYET KAYIT'!P160="Kapatıldı","",IF('ŞİKAYET KAYIT'!K160="","",'ŞİKAYET KAYIT'!K160)),"")</f>
        <v/>
      </c>
      <c r="I160" s="3" t="str">
        <f>IFERROR(IF('ŞİKAYET KAYIT'!P160="Kapatıldı","",IF('ŞİKAYET KAYIT'!L160="","",'ŞİKAYET KAYIT'!L160)),"")</f>
        <v/>
      </c>
      <c r="J160" s="3" t="str">
        <f>IFERROR(IF('ŞİKAYET KAYIT'!P160="Kapatıldı","",IF('ŞİKAYET KAYIT'!M160="","",'ŞİKAYET KAYIT'!M160)),"")</f>
        <v/>
      </c>
      <c r="K160" s="3" t="str">
        <f>IFERROR(IF('ŞİKAYET KAYIT'!P160="Kapatıldı","",IF('ŞİKAYET KAYIT'!N160="","",'ŞİKAYET KAYIT'!N160)),"")</f>
        <v/>
      </c>
      <c r="L160" s="3" t="str">
        <f>IFERROR(IF('ŞİKAYET KAYIT'!P160="Kapatıldı","",IF('ŞİKAYET KAYIT'!O160="","",'ŞİKAYET KAYIT'!O160)),"")</f>
        <v/>
      </c>
      <c r="M160" s="3" t="str">
        <f>IFERROR(IF('ŞİKAYET KAYIT'!P160="Kapatıldı","",IF('ŞİKAYET KAYIT'!P160="","",'ŞİKAYET KAYIT'!P160)),"")</f>
        <v/>
      </c>
    </row>
    <row r="161" spans="1:13" ht="15" customHeight="1" x14ac:dyDescent="0.3">
      <c r="A161" s="26" t="str">
        <f>IFERROR(IF('ŞİKAYET KAYIT'!P161="Kapatıldı","",IF('ŞİKAYET KAYIT'!A161="","",'ŞİKAYET KAYIT'!A161)),"")</f>
        <v/>
      </c>
      <c r="B161" s="8" t="str">
        <f>IFERROR(IF('ŞİKAYET KAYIT'!P161="Kapatıldı","",IF('ŞİKAYET KAYIT'!B161="","",'ŞİKAYET KAYIT'!B161)),"")</f>
        <v/>
      </c>
      <c r="C161" s="26" t="str">
        <f>IFERROR(IF('ŞİKAYET KAYIT'!P161="Kapatıldı","",IF('ŞİKAYET KAYIT'!D161="","",'ŞİKAYET KAYIT'!D161)),"")</f>
        <v/>
      </c>
      <c r="D161" s="26" t="str">
        <f>IFERROR(IF('ŞİKAYET KAYIT'!P161="Kapatıldı","",IF('ŞİKAYET KAYIT'!F161="","",'ŞİKAYET KAYIT'!F161)),"")</f>
        <v/>
      </c>
      <c r="E161" s="26" t="str">
        <f>IFERROR(IF('ŞİKAYET KAYIT'!P161="Kapatıldı","",IF('ŞİKAYET KAYIT'!H161="","",'ŞİKAYET KAYIT'!H161)),"")</f>
        <v/>
      </c>
      <c r="F161" s="26" t="str">
        <f>IFERROR(IF('ŞİKAYET KAYIT'!P161="Kapatıldı","",IF('ŞİKAYET KAYIT'!I161="","",'ŞİKAYET KAYIT'!I161)),"")</f>
        <v/>
      </c>
      <c r="G161" s="26" t="str">
        <f>IFERROR(IF('ŞİKAYET KAYIT'!P161="Kapatıldı","",IF('ŞİKAYET KAYIT'!J161="","",'ŞİKAYET KAYIT'!J161)),"")</f>
        <v/>
      </c>
      <c r="H161" s="26" t="str">
        <f>IFERROR(IF('ŞİKAYET KAYIT'!P161="Kapatıldı","",IF('ŞİKAYET KAYIT'!K161="","",'ŞİKAYET KAYIT'!K161)),"")</f>
        <v/>
      </c>
      <c r="I161" s="26" t="str">
        <f>IFERROR(IF('ŞİKAYET KAYIT'!P161="Kapatıldı","",IF('ŞİKAYET KAYIT'!L161="","",'ŞİKAYET KAYIT'!L161)),"")</f>
        <v/>
      </c>
      <c r="J161" s="26" t="str">
        <f>IFERROR(IF('ŞİKAYET KAYIT'!P161="Kapatıldı","",IF('ŞİKAYET KAYIT'!M161="","",'ŞİKAYET KAYIT'!M161)),"")</f>
        <v/>
      </c>
      <c r="K161" s="26" t="str">
        <f>IFERROR(IF('ŞİKAYET KAYIT'!P161="Kapatıldı","",IF('ŞİKAYET KAYIT'!N161="","",'ŞİKAYET KAYIT'!N161)),"")</f>
        <v/>
      </c>
      <c r="L161" s="26" t="str">
        <f>IFERROR(IF('ŞİKAYET KAYIT'!P161="Kapatıldı","",IF('ŞİKAYET KAYIT'!O161="","",'ŞİKAYET KAYIT'!O161)),"")</f>
        <v/>
      </c>
      <c r="M161" s="26" t="str">
        <f>IFERROR(IF('ŞİKAYET KAYIT'!P161="Kapatıldı","",IF('ŞİKAYET KAYIT'!P161="","",'ŞİKAYET KAYIT'!P161)),"")</f>
        <v/>
      </c>
    </row>
    <row r="162" spans="1:13" ht="15" customHeight="1" x14ac:dyDescent="0.3">
      <c r="A162" s="3" t="str">
        <f>IFERROR(IF('ŞİKAYET KAYIT'!P162="Kapatıldı","",IF('ŞİKAYET KAYIT'!A162="","",'ŞİKAYET KAYIT'!A162)),"")</f>
        <v/>
      </c>
      <c r="B162" s="5" t="str">
        <f>IFERROR(IF('ŞİKAYET KAYIT'!P162="Kapatıldı","",IF('ŞİKAYET KAYIT'!B162="","",'ŞİKAYET KAYIT'!B162)),"")</f>
        <v/>
      </c>
      <c r="C162" s="3" t="str">
        <f>IFERROR(IF('ŞİKAYET KAYIT'!P162="Kapatıldı","",IF('ŞİKAYET KAYIT'!D162="","",'ŞİKAYET KAYIT'!D162)),"")</f>
        <v/>
      </c>
      <c r="D162" s="3" t="str">
        <f>IFERROR(IF('ŞİKAYET KAYIT'!P162="Kapatıldı","",IF('ŞİKAYET KAYIT'!F162="","",'ŞİKAYET KAYIT'!F162)),"")</f>
        <v/>
      </c>
      <c r="E162" s="3" t="str">
        <f>IFERROR(IF('ŞİKAYET KAYIT'!P162="Kapatıldı","",IF('ŞİKAYET KAYIT'!H162="","",'ŞİKAYET KAYIT'!H162)),"")</f>
        <v/>
      </c>
      <c r="F162" s="3" t="str">
        <f>IFERROR(IF('ŞİKAYET KAYIT'!P162="Kapatıldı","",IF('ŞİKAYET KAYIT'!I162="","",'ŞİKAYET KAYIT'!I162)),"")</f>
        <v/>
      </c>
      <c r="G162" s="3" t="str">
        <f>IFERROR(IF('ŞİKAYET KAYIT'!P162="Kapatıldı","",IF('ŞİKAYET KAYIT'!J162="","",'ŞİKAYET KAYIT'!J162)),"")</f>
        <v/>
      </c>
      <c r="H162" s="3" t="str">
        <f>IFERROR(IF('ŞİKAYET KAYIT'!P162="Kapatıldı","",IF('ŞİKAYET KAYIT'!K162="","",'ŞİKAYET KAYIT'!K162)),"")</f>
        <v/>
      </c>
      <c r="I162" s="3" t="str">
        <f>IFERROR(IF('ŞİKAYET KAYIT'!P162="Kapatıldı","",IF('ŞİKAYET KAYIT'!L162="","",'ŞİKAYET KAYIT'!L162)),"")</f>
        <v/>
      </c>
      <c r="J162" s="3" t="str">
        <f>IFERROR(IF('ŞİKAYET KAYIT'!P162="Kapatıldı","",IF('ŞİKAYET KAYIT'!M162="","",'ŞİKAYET KAYIT'!M162)),"")</f>
        <v/>
      </c>
      <c r="K162" s="3" t="str">
        <f>IFERROR(IF('ŞİKAYET KAYIT'!P162="Kapatıldı","",IF('ŞİKAYET KAYIT'!N162="","",'ŞİKAYET KAYIT'!N162)),"")</f>
        <v/>
      </c>
      <c r="L162" s="3" t="str">
        <f>IFERROR(IF('ŞİKAYET KAYIT'!P162="Kapatıldı","",IF('ŞİKAYET KAYIT'!O162="","",'ŞİKAYET KAYIT'!O162)),"")</f>
        <v/>
      </c>
      <c r="M162" s="3" t="str">
        <f>IFERROR(IF('ŞİKAYET KAYIT'!P162="Kapatıldı","",IF('ŞİKAYET KAYIT'!P162="","",'ŞİKAYET KAYIT'!P162)),"")</f>
        <v/>
      </c>
    </row>
    <row r="163" spans="1:13" ht="15" customHeight="1" x14ac:dyDescent="0.3">
      <c r="A163" s="26" t="str">
        <f>IFERROR(IF('ŞİKAYET KAYIT'!P163="Kapatıldı","",IF('ŞİKAYET KAYIT'!A163="","",'ŞİKAYET KAYIT'!A163)),"")</f>
        <v/>
      </c>
      <c r="B163" s="8" t="str">
        <f>IFERROR(IF('ŞİKAYET KAYIT'!P163="Kapatıldı","",IF('ŞİKAYET KAYIT'!B163="","",'ŞİKAYET KAYIT'!B163)),"")</f>
        <v/>
      </c>
      <c r="C163" s="26" t="str">
        <f>IFERROR(IF('ŞİKAYET KAYIT'!P163="Kapatıldı","",IF('ŞİKAYET KAYIT'!D163="","",'ŞİKAYET KAYIT'!D163)),"")</f>
        <v/>
      </c>
      <c r="D163" s="26" t="str">
        <f>IFERROR(IF('ŞİKAYET KAYIT'!P163="Kapatıldı","",IF('ŞİKAYET KAYIT'!F163="","",'ŞİKAYET KAYIT'!F163)),"")</f>
        <v/>
      </c>
      <c r="E163" s="26" t="str">
        <f>IFERROR(IF('ŞİKAYET KAYIT'!P163="Kapatıldı","",IF('ŞİKAYET KAYIT'!H163="","",'ŞİKAYET KAYIT'!H163)),"")</f>
        <v/>
      </c>
      <c r="F163" s="26" t="str">
        <f>IFERROR(IF('ŞİKAYET KAYIT'!P163="Kapatıldı","",IF('ŞİKAYET KAYIT'!I163="","",'ŞİKAYET KAYIT'!I163)),"")</f>
        <v/>
      </c>
      <c r="G163" s="26" t="str">
        <f>IFERROR(IF('ŞİKAYET KAYIT'!P163="Kapatıldı","",IF('ŞİKAYET KAYIT'!J163="","",'ŞİKAYET KAYIT'!J163)),"")</f>
        <v/>
      </c>
      <c r="H163" s="26" t="str">
        <f>IFERROR(IF('ŞİKAYET KAYIT'!P163="Kapatıldı","",IF('ŞİKAYET KAYIT'!K163="","",'ŞİKAYET KAYIT'!K163)),"")</f>
        <v/>
      </c>
      <c r="I163" s="26" t="str">
        <f>IFERROR(IF('ŞİKAYET KAYIT'!P163="Kapatıldı","",IF('ŞİKAYET KAYIT'!L163="","",'ŞİKAYET KAYIT'!L163)),"")</f>
        <v/>
      </c>
      <c r="J163" s="26" t="str">
        <f>IFERROR(IF('ŞİKAYET KAYIT'!P163="Kapatıldı","",IF('ŞİKAYET KAYIT'!M163="","",'ŞİKAYET KAYIT'!M163)),"")</f>
        <v/>
      </c>
      <c r="K163" s="26" t="str">
        <f>IFERROR(IF('ŞİKAYET KAYIT'!P163="Kapatıldı","",IF('ŞİKAYET KAYIT'!N163="","",'ŞİKAYET KAYIT'!N163)),"")</f>
        <v/>
      </c>
      <c r="L163" s="26" t="str">
        <f>IFERROR(IF('ŞİKAYET KAYIT'!P163="Kapatıldı","",IF('ŞİKAYET KAYIT'!O163="","",'ŞİKAYET KAYIT'!O163)),"")</f>
        <v/>
      </c>
      <c r="M163" s="26" t="str">
        <f>IFERROR(IF('ŞİKAYET KAYIT'!P163="Kapatıldı","",IF('ŞİKAYET KAYIT'!P163="","",'ŞİKAYET KAYIT'!P163)),"")</f>
        <v/>
      </c>
    </row>
    <row r="164" spans="1:13" ht="15" customHeight="1" x14ac:dyDescent="0.3">
      <c r="A164" s="3" t="str">
        <f>IFERROR(IF('ŞİKAYET KAYIT'!P164="Kapatıldı","",IF('ŞİKAYET KAYIT'!A164="","",'ŞİKAYET KAYIT'!A164)),"")</f>
        <v/>
      </c>
      <c r="B164" s="5" t="str">
        <f>IFERROR(IF('ŞİKAYET KAYIT'!P164="Kapatıldı","",IF('ŞİKAYET KAYIT'!B164="","",'ŞİKAYET KAYIT'!B164)),"")</f>
        <v/>
      </c>
      <c r="C164" s="3" t="str">
        <f>IFERROR(IF('ŞİKAYET KAYIT'!P164="Kapatıldı","",IF('ŞİKAYET KAYIT'!D164="","",'ŞİKAYET KAYIT'!D164)),"")</f>
        <v/>
      </c>
      <c r="D164" s="3" t="str">
        <f>IFERROR(IF('ŞİKAYET KAYIT'!P164="Kapatıldı","",IF('ŞİKAYET KAYIT'!F164="","",'ŞİKAYET KAYIT'!F164)),"")</f>
        <v/>
      </c>
      <c r="E164" s="3" t="str">
        <f>IFERROR(IF('ŞİKAYET KAYIT'!P164="Kapatıldı","",IF('ŞİKAYET KAYIT'!H164="","",'ŞİKAYET KAYIT'!H164)),"")</f>
        <v/>
      </c>
      <c r="F164" s="3" t="str">
        <f>IFERROR(IF('ŞİKAYET KAYIT'!P164="Kapatıldı","",IF('ŞİKAYET KAYIT'!I164="","",'ŞİKAYET KAYIT'!I164)),"")</f>
        <v/>
      </c>
      <c r="G164" s="3" t="str">
        <f>IFERROR(IF('ŞİKAYET KAYIT'!P164="Kapatıldı","",IF('ŞİKAYET KAYIT'!J164="","",'ŞİKAYET KAYIT'!J164)),"")</f>
        <v/>
      </c>
      <c r="H164" s="3" t="str">
        <f>IFERROR(IF('ŞİKAYET KAYIT'!P164="Kapatıldı","",IF('ŞİKAYET KAYIT'!K164="","",'ŞİKAYET KAYIT'!K164)),"")</f>
        <v/>
      </c>
      <c r="I164" s="3" t="str">
        <f>IFERROR(IF('ŞİKAYET KAYIT'!P164="Kapatıldı","",IF('ŞİKAYET KAYIT'!L164="","",'ŞİKAYET KAYIT'!L164)),"")</f>
        <v/>
      </c>
      <c r="J164" s="3" t="str">
        <f>IFERROR(IF('ŞİKAYET KAYIT'!P164="Kapatıldı","",IF('ŞİKAYET KAYIT'!M164="","",'ŞİKAYET KAYIT'!M164)),"")</f>
        <v/>
      </c>
      <c r="K164" s="3" t="str">
        <f>IFERROR(IF('ŞİKAYET KAYIT'!P164="Kapatıldı","",IF('ŞİKAYET KAYIT'!N164="","",'ŞİKAYET KAYIT'!N164)),"")</f>
        <v/>
      </c>
      <c r="L164" s="3" t="str">
        <f>IFERROR(IF('ŞİKAYET KAYIT'!P164="Kapatıldı","",IF('ŞİKAYET KAYIT'!O164="","",'ŞİKAYET KAYIT'!O164)),"")</f>
        <v/>
      </c>
      <c r="M164" s="3" t="str">
        <f>IFERROR(IF('ŞİKAYET KAYIT'!P164="Kapatıldı","",IF('ŞİKAYET KAYIT'!P164="","",'ŞİKAYET KAYIT'!P164)),"")</f>
        <v/>
      </c>
    </row>
    <row r="165" spans="1:13" ht="15" customHeight="1" x14ac:dyDescent="0.3">
      <c r="A165" s="26" t="str">
        <f>IFERROR(IF('ŞİKAYET KAYIT'!P165="Kapatıldı","",IF('ŞİKAYET KAYIT'!A165="","",'ŞİKAYET KAYIT'!A165)),"")</f>
        <v/>
      </c>
      <c r="B165" s="8" t="str">
        <f>IFERROR(IF('ŞİKAYET KAYIT'!P165="Kapatıldı","",IF('ŞİKAYET KAYIT'!B165="","",'ŞİKAYET KAYIT'!B165)),"")</f>
        <v/>
      </c>
      <c r="C165" s="26" t="str">
        <f>IFERROR(IF('ŞİKAYET KAYIT'!P165="Kapatıldı","",IF('ŞİKAYET KAYIT'!D165="","",'ŞİKAYET KAYIT'!D165)),"")</f>
        <v/>
      </c>
      <c r="D165" s="26" t="str">
        <f>IFERROR(IF('ŞİKAYET KAYIT'!P165="Kapatıldı","",IF('ŞİKAYET KAYIT'!F165="","",'ŞİKAYET KAYIT'!F165)),"")</f>
        <v/>
      </c>
      <c r="E165" s="26" t="str">
        <f>IFERROR(IF('ŞİKAYET KAYIT'!P165="Kapatıldı","",IF('ŞİKAYET KAYIT'!H165="","",'ŞİKAYET KAYIT'!H165)),"")</f>
        <v/>
      </c>
      <c r="F165" s="26" t="str">
        <f>IFERROR(IF('ŞİKAYET KAYIT'!P165="Kapatıldı","",IF('ŞİKAYET KAYIT'!I165="","",'ŞİKAYET KAYIT'!I165)),"")</f>
        <v/>
      </c>
      <c r="G165" s="26" t="str">
        <f>IFERROR(IF('ŞİKAYET KAYIT'!P165="Kapatıldı","",IF('ŞİKAYET KAYIT'!J165="","",'ŞİKAYET KAYIT'!J165)),"")</f>
        <v/>
      </c>
      <c r="H165" s="26" t="str">
        <f>IFERROR(IF('ŞİKAYET KAYIT'!P165="Kapatıldı","",IF('ŞİKAYET KAYIT'!K165="","",'ŞİKAYET KAYIT'!K165)),"")</f>
        <v/>
      </c>
      <c r="I165" s="26" t="str">
        <f>IFERROR(IF('ŞİKAYET KAYIT'!P165="Kapatıldı","",IF('ŞİKAYET KAYIT'!L165="","",'ŞİKAYET KAYIT'!L165)),"")</f>
        <v/>
      </c>
      <c r="J165" s="26" t="str">
        <f>IFERROR(IF('ŞİKAYET KAYIT'!P165="Kapatıldı","",IF('ŞİKAYET KAYIT'!M165="","",'ŞİKAYET KAYIT'!M165)),"")</f>
        <v/>
      </c>
      <c r="K165" s="26" t="str">
        <f>IFERROR(IF('ŞİKAYET KAYIT'!P165="Kapatıldı","",IF('ŞİKAYET KAYIT'!N165="","",'ŞİKAYET KAYIT'!N165)),"")</f>
        <v/>
      </c>
      <c r="L165" s="26" t="str">
        <f>IFERROR(IF('ŞİKAYET KAYIT'!P165="Kapatıldı","",IF('ŞİKAYET KAYIT'!O165="","",'ŞİKAYET KAYIT'!O165)),"")</f>
        <v/>
      </c>
      <c r="M165" s="26" t="str">
        <f>IFERROR(IF('ŞİKAYET KAYIT'!P165="Kapatıldı","",IF('ŞİKAYET KAYIT'!P165="","",'ŞİKAYET KAYIT'!P165)),"")</f>
        <v/>
      </c>
    </row>
    <row r="166" spans="1:13" ht="15" customHeight="1" x14ac:dyDescent="0.3">
      <c r="A166" s="3" t="str">
        <f>IFERROR(IF('ŞİKAYET KAYIT'!P166="Kapatıldı","",IF('ŞİKAYET KAYIT'!A166="","",'ŞİKAYET KAYIT'!A166)),"")</f>
        <v/>
      </c>
      <c r="B166" s="5" t="str">
        <f>IFERROR(IF('ŞİKAYET KAYIT'!P166="Kapatıldı","",IF('ŞİKAYET KAYIT'!B166="","",'ŞİKAYET KAYIT'!B166)),"")</f>
        <v/>
      </c>
      <c r="C166" s="3" t="str">
        <f>IFERROR(IF('ŞİKAYET KAYIT'!P166="Kapatıldı","",IF('ŞİKAYET KAYIT'!D166="","",'ŞİKAYET KAYIT'!D166)),"")</f>
        <v/>
      </c>
      <c r="D166" s="3" t="str">
        <f>IFERROR(IF('ŞİKAYET KAYIT'!P166="Kapatıldı","",IF('ŞİKAYET KAYIT'!F166="","",'ŞİKAYET KAYIT'!F166)),"")</f>
        <v/>
      </c>
      <c r="E166" s="3" t="str">
        <f>IFERROR(IF('ŞİKAYET KAYIT'!P166="Kapatıldı","",IF('ŞİKAYET KAYIT'!H166="","",'ŞİKAYET KAYIT'!H166)),"")</f>
        <v/>
      </c>
      <c r="F166" s="3" t="str">
        <f>IFERROR(IF('ŞİKAYET KAYIT'!P166="Kapatıldı","",IF('ŞİKAYET KAYIT'!I166="","",'ŞİKAYET KAYIT'!I166)),"")</f>
        <v/>
      </c>
      <c r="G166" s="3" t="str">
        <f>IFERROR(IF('ŞİKAYET KAYIT'!P166="Kapatıldı","",IF('ŞİKAYET KAYIT'!J166="","",'ŞİKAYET KAYIT'!J166)),"")</f>
        <v/>
      </c>
      <c r="H166" s="3" t="str">
        <f>IFERROR(IF('ŞİKAYET KAYIT'!P166="Kapatıldı","",IF('ŞİKAYET KAYIT'!K166="","",'ŞİKAYET KAYIT'!K166)),"")</f>
        <v/>
      </c>
      <c r="I166" s="3" t="str">
        <f>IFERROR(IF('ŞİKAYET KAYIT'!P166="Kapatıldı","",IF('ŞİKAYET KAYIT'!L166="","",'ŞİKAYET KAYIT'!L166)),"")</f>
        <v/>
      </c>
      <c r="J166" s="3" t="str">
        <f>IFERROR(IF('ŞİKAYET KAYIT'!P166="Kapatıldı","",IF('ŞİKAYET KAYIT'!M166="","",'ŞİKAYET KAYIT'!M166)),"")</f>
        <v/>
      </c>
      <c r="K166" s="3" t="str">
        <f>IFERROR(IF('ŞİKAYET KAYIT'!P166="Kapatıldı","",IF('ŞİKAYET KAYIT'!N166="","",'ŞİKAYET KAYIT'!N166)),"")</f>
        <v/>
      </c>
      <c r="L166" s="3" t="str">
        <f>IFERROR(IF('ŞİKAYET KAYIT'!P166="Kapatıldı","",IF('ŞİKAYET KAYIT'!O166="","",'ŞİKAYET KAYIT'!O166)),"")</f>
        <v/>
      </c>
      <c r="M166" s="3" t="str">
        <f>IFERROR(IF('ŞİKAYET KAYIT'!P166="Kapatıldı","",IF('ŞİKAYET KAYIT'!P166="","",'ŞİKAYET KAYIT'!P166)),"")</f>
        <v/>
      </c>
    </row>
    <row r="167" spans="1:13" ht="15" customHeight="1" x14ac:dyDescent="0.3">
      <c r="A167" s="26" t="str">
        <f>IFERROR(IF('ŞİKAYET KAYIT'!P167="Kapatıldı","",IF('ŞİKAYET KAYIT'!A167="","",'ŞİKAYET KAYIT'!A167)),"")</f>
        <v/>
      </c>
      <c r="B167" s="8" t="str">
        <f>IFERROR(IF('ŞİKAYET KAYIT'!P167="Kapatıldı","",IF('ŞİKAYET KAYIT'!B167="","",'ŞİKAYET KAYIT'!B167)),"")</f>
        <v/>
      </c>
      <c r="C167" s="26" t="str">
        <f>IFERROR(IF('ŞİKAYET KAYIT'!P167="Kapatıldı","",IF('ŞİKAYET KAYIT'!D167="","",'ŞİKAYET KAYIT'!D167)),"")</f>
        <v/>
      </c>
      <c r="D167" s="26" t="str">
        <f>IFERROR(IF('ŞİKAYET KAYIT'!P167="Kapatıldı","",IF('ŞİKAYET KAYIT'!F167="","",'ŞİKAYET KAYIT'!F167)),"")</f>
        <v/>
      </c>
      <c r="E167" s="26" t="str">
        <f>IFERROR(IF('ŞİKAYET KAYIT'!P167="Kapatıldı","",IF('ŞİKAYET KAYIT'!H167="","",'ŞİKAYET KAYIT'!H167)),"")</f>
        <v/>
      </c>
      <c r="F167" s="26" t="str">
        <f>IFERROR(IF('ŞİKAYET KAYIT'!P167="Kapatıldı","",IF('ŞİKAYET KAYIT'!I167="","",'ŞİKAYET KAYIT'!I167)),"")</f>
        <v/>
      </c>
      <c r="G167" s="26" t="str">
        <f>IFERROR(IF('ŞİKAYET KAYIT'!P167="Kapatıldı","",IF('ŞİKAYET KAYIT'!J167="","",'ŞİKAYET KAYIT'!J167)),"")</f>
        <v/>
      </c>
      <c r="H167" s="26" t="str">
        <f>IFERROR(IF('ŞİKAYET KAYIT'!P167="Kapatıldı","",IF('ŞİKAYET KAYIT'!K167="","",'ŞİKAYET KAYIT'!K167)),"")</f>
        <v/>
      </c>
      <c r="I167" s="26" t="str">
        <f>IFERROR(IF('ŞİKAYET KAYIT'!P167="Kapatıldı","",IF('ŞİKAYET KAYIT'!L167="","",'ŞİKAYET KAYIT'!L167)),"")</f>
        <v/>
      </c>
      <c r="J167" s="26" t="str">
        <f>IFERROR(IF('ŞİKAYET KAYIT'!P167="Kapatıldı","",IF('ŞİKAYET KAYIT'!M167="","",'ŞİKAYET KAYIT'!M167)),"")</f>
        <v/>
      </c>
      <c r="K167" s="26" t="str">
        <f>IFERROR(IF('ŞİKAYET KAYIT'!P167="Kapatıldı","",IF('ŞİKAYET KAYIT'!N167="","",'ŞİKAYET KAYIT'!N167)),"")</f>
        <v/>
      </c>
      <c r="L167" s="26" t="str">
        <f>IFERROR(IF('ŞİKAYET KAYIT'!P167="Kapatıldı","",IF('ŞİKAYET KAYIT'!O167="","",'ŞİKAYET KAYIT'!O167)),"")</f>
        <v/>
      </c>
      <c r="M167" s="26" t="str">
        <f>IFERROR(IF('ŞİKAYET KAYIT'!P167="Kapatıldı","",IF('ŞİKAYET KAYIT'!P167="","",'ŞİKAYET KAYIT'!P167)),"")</f>
        <v/>
      </c>
    </row>
    <row r="168" spans="1:13" ht="15" customHeight="1" x14ac:dyDescent="0.3">
      <c r="A168" s="3" t="str">
        <f>IFERROR(IF('ŞİKAYET KAYIT'!P168="Kapatıldı","",IF('ŞİKAYET KAYIT'!A168="","",'ŞİKAYET KAYIT'!A168)),"")</f>
        <v/>
      </c>
      <c r="B168" s="5" t="str">
        <f>IFERROR(IF('ŞİKAYET KAYIT'!P168="Kapatıldı","",IF('ŞİKAYET KAYIT'!B168="","",'ŞİKAYET KAYIT'!B168)),"")</f>
        <v/>
      </c>
      <c r="C168" s="3" t="str">
        <f>IFERROR(IF('ŞİKAYET KAYIT'!P168="Kapatıldı","",IF('ŞİKAYET KAYIT'!D168="","",'ŞİKAYET KAYIT'!D168)),"")</f>
        <v/>
      </c>
      <c r="D168" s="3" t="str">
        <f>IFERROR(IF('ŞİKAYET KAYIT'!P168="Kapatıldı","",IF('ŞİKAYET KAYIT'!F168="","",'ŞİKAYET KAYIT'!F168)),"")</f>
        <v/>
      </c>
      <c r="E168" s="3" t="str">
        <f>IFERROR(IF('ŞİKAYET KAYIT'!P168="Kapatıldı","",IF('ŞİKAYET KAYIT'!H168="","",'ŞİKAYET KAYIT'!H168)),"")</f>
        <v/>
      </c>
      <c r="F168" s="3" t="str">
        <f>IFERROR(IF('ŞİKAYET KAYIT'!P168="Kapatıldı","",IF('ŞİKAYET KAYIT'!I168="","",'ŞİKAYET KAYIT'!I168)),"")</f>
        <v/>
      </c>
      <c r="G168" s="3" t="str">
        <f>IFERROR(IF('ŞİKAYET KAYIT'!P168="Kapatıldı","",IF('ŞİKAYET KAYIT'!J168="","",'ŞİKAYET KAYIT'!J168)),"")</f>
        <v/>
      </c>
      <c r="H168" s="3" t="str">
        <f>IFERROR(IF('ŞİKAYET KAYIT'!P168="Kapatıldı","",IF('ŞİKAYET KAYIT'!K168="","",'ŞİKAYET KAYIT'!K168)),"")</f>
        <v/>
      </c>
      <c r="I168" s="3" t="str">
        <f>IFERROR(IF('ŞİKAYET KAYIT'!P168="Kapatıldı","",IF('ŞİKAYET KAYIT'!L168="","",'ŞİKAYET KAYIT'!L168)),"")</f>
        <v/>
      </c>
      <c r="J168" s="3" t="str">
        <f>IFERROR(IF('ŞİKAYET KAYIT'!P168="Kapatıldı","",IF('ŞİKAYET KAYIT'!M168="","",'ŞİKAYET KAYIT'!M168)),"")</f>
        <v/>
      </c>
      <c r="K168" s="3" t="str">
        <f>IFERROR(IF('ŞİKAYET KAYIT'!P168="Kapatıldı","",IF('ŞİKAYET KAYIT'!N168="","",'ŞİKAYET KAYIT'!N168)),"")</f>
        <v/>
      </c>
      <c r="L168" s="3" t="str">
        <f>IFERROR(IF('ŞİKAYET KAYIT'!P168="Kapatıldı","",IF('ŞİKAYET KAYIT'!O168="","",'ŞİKAYET KAYIT'!O168)),"")</f>
        <v/>
      </c>
      <c r="M168" s="3" t="str">
        <f>IFERROR(IF('ŞİKAYET KAYIT'!P168="Kapatıldı","",IF('ŞİKAYET KAYIT'!P168="","",'ŞİKAYET KAYIT'!P168)),"")</f>
        <v/>
      </c>
    </row>
    <row r="169" spans="1:13" ht="15" customHeight="1" x14ac:dyDescent="0.3">
      <c r="A169" s="26" t="str">
        <f>IFERROR(IF('ŞİKAYET KAYIT'!P169="Kapatıldı","",IF('ŞİKAYET KAYIT'!A169="","",'ŞİKAYET KAYIT'!A169)),"")</f>
        <v/>
      </c>
      <c r="B169" s="8" t="str">
        <f>IFERROR(IF('ŞİKAYET KAYIT'!P169="Kapatıldı","",IF('ŞİKAYET KAYIT'!B169="","",'ŞİKAYET KAYIT'!B169)),"")</f>
        <v/>
      </c>
      <c r="C169" s="26" t="str">
        <f>IFERROR(IF('ŞİKAYET KAYIT'!P169="Kapatıldı","",IF('ŞİKAYET KAYIT'!D169="","",'ŞİKAYET KAYIT'!D169)),"")</f>
        <v/>
      </c>
      <c r="D169" s="26" t="str">
        <f>IFERROR(IF('ŞİKAYET KAYIT'!P169="Kapatıldı","",IF('ŞİKAYET KAYIT'!F169="","",'ŞİKAYET KAYIT'!F169)),"")</f>
        <v/>
      </c>
      <c r="E169" s="26" t="str">
        <f>IFERROR(IF('ŞİKAYET KAYIT'!P169="Kapatıldı","",IF('ŞİKAYET KAYIT'!H169="","",'ŞİKAYET KAYIT'!H169)),"")</f>
        <v/>
      </c>
      <c r="F169" s="26" t="str">
        <f>IFERROR(IF('ŞİKAYET KAYIT'!P169="Kapatıldı","",IF('ŞİKAYET KAYIT'!I169="","",'ŞİKAYET KAYIT'!I169)),"")</f>
        <v/>
      </c>
      <c r="G169" s="26" t="str">
        <f>IFERROR(IF('ŞİKAYET KAYIT'!P169="Kapatıldı","",IF('ŞİKAYET KAYIT'!J169="","",'ŞİKAYET KAYIT'!J169)),"")</f>
        <v/>
      </c>
      <c r="H169" s="26" t="str">
        <f>IFERROR(IF('ŞİKAYET KAYIT'!P169="Kapatıldı","",IF('ŞİKAYET KAYIT'!K169="","",'ŞİKAYET KAYIT'!K169)),"")</f>
        <v/>
      </c>
      <c r="I169" s="26" t="str">
        <f>IFERROR(IF('ŞİKAYET KAYIT'!P169="Kapatıldı","",IF('ŞİKAYET KAYIT'!L169="","",'ŞİKAYET KAYIT'!L169)),"")</f>
        <v/>
      </c>
      <c r="J169" s="26" t="str">
        <f>IFERROR(IF('ŞİKAYET KAYIT'!P169="Kapatıldı","",IF('ŞİKAYET KAYIT'!M169="","",'ŞİKAYET KAYIT'!M169)),"")</f>
        <v/>
      </c>
      <c r="K169" s="26" t="str">
        <f>IFERROR(IF('ŞİKAYET KAYIT'!P169="Kapatıldı","",IF('ŞİKAYET KAYIT'!N169="","",'ŞİKAYET KAYIT'!N169)),"")</f>
        <v/>
      </c>
      <c r="L169" s="26" t="str">
        <f>IFERROR(IF('ŞİKAYET KAYIT'!P169="Kapatıldı","",IF('ŞİKAYET KAYIT'!O169="","",'ŞİKAYET KAYIT'!O169)),"")</f>
        <v/>
      </c>
      <c r="M169" s="26" t="str">
        <f>IFERROR(IF('ŞİKAYET KAYIT'!P169="Kapatıldı","",IF('ŞİKAYET KAYIT'!P169="","",'ŞİKAYET KAYIT'!P169)),"")</f>
        <v/>
      </c>
    </row>
    <row r="170" spans="1:13" ht="15" customHeight="1" x14ac:dyDescent="0.3">
      <c r="A170" s="3" t="str">
        <f>IFERROR(IF('ŞİKAYET KAYIT'!P170="Kapatıldı","",IF('ŞİKAYET KAYIT'!A170="","",'ŞİKAYET KAYIT'!A170)),"")</f>
        <v/>
      </c>
      <c r="B170" s="5" t="str">
        <f>IFERROR(IF('ŞİKAYET KAYIT'!P170="Kapatıldı","",IF('ŞİKAYET KAYIT'!B170="","",'ŞİKAYET KAYIT'!B170)),"")</f>
        <v/>
      </c>
      <c r="C170" s="3" t="str">
        <f>IFERROR(IF('ŞİKAYET KAYIT'!P170="Kapatıldı","",IF('ŞİKAYET KAYIT'!D170="","",'ŞİKAYET KAYIT'!D170)),"")</f>
        <v/>
      </c>
      <c r="D170" s="3" t="str">
        <f>IFERROR(IF('ŞİKAYET KAYIT'!P170="Kapatıldı","",IF('ŞİKAYET KAYIT'!F170="","",'ŞİKAYET KAYIT'!F170)),"")</f>
        <v/>
      </c>
      <c r="E170" s="3" t="str">
        <f>IFERROR(IF('ŞİKAYET KAYIT'!P170="Kapatıldı","",IF('ŞİKAYET KAYIT'!H170="","",'ŞİKAYET KAYIT'!H170)),"")</f>
        <v/>
      </c>
      <c r="F170" s="3" t="str">
        <f>IFERROR(IF('ŞİKAYET KAYIT'!P170="Kapatıldı","",IF('ŞİKAYET KAYIT'!I170="","",'ŞİKAYET KAYIT'!I170)),"")</f>
        <v/>
      </c>
      <c r="G170" s="3" t="str">
        <f>IFERROR(IF('ŞİKAYET KAYIT'!P170="Kapatıldı","",IF('ŞİKAYET KAYIT'!J170="","",'ŞİKAYET KAYIT'!J170)),"")</f>
        <v/>
      </c>
      <c r="H170" s="3" t="str">
        <f>IFERROR(IF('ŞİKAYET KAYIT'!P170="Kapatıldı","",IF('ŞİKAYET KAYIT'!K170="","",'ŞİKAYET KAYIT'!K170)),"")</f>
        <v/>
      </c>
      <c r="I170" s="3" t="str">
        <f>IFERROR(IF('ŞİKAYET KAYIT'!P170="Kapatıldı","",IF('ŞİKAYET KAYIT'!L170="","",'ŞİKAYET KAYIT'!L170)),"")</f>
        <v/>
      </c>
      <c r="J170" s="3" t="str">
        <f>IFERROR(IF('ŞİKAYET KAYIT'!P170="Kapatıldı","",IF('ŞİKAYET KAYIT'!M170="","",'ŞİKAYET KAYIT'!M170)),"")</f>
        <v/>
      </c>
      <c r="K170" s="3" t="str">
        <f>IFERROR(IF('ŞİKAYET KAYIT'!P170="Kapatıldı","",IF('ŞİKAYET KAYIT'!N170="","",'ŞİKAYET KAYIT'!N170)),"")</f>
        <v/>
      </c>
      <c r="L170" s="3" t="str">
        <f>IFERROR(IF('ŞİKAYET KAYIT'!P170="Kapatıldı","",IF('ŞİKAYET KAYIT'!O170="","",'ŞİKAYET KAYIT'!O170)),"")</f>
        <v/>
      </c>
      <c r="M170" s="3" t="str">
        <f>IFERROR(IF('ŞİKAYET KAYIT'!P170="Kapatıldı","",IF('ŞİKAYET KAYIT'!P170="","",'ŞİKAYET KAYIT'!P170)),"")</f>
        <v/>
      </c>
    </row>
    <row r="171" spans="1:13" ht="15" customHeight="1" x14ac:dyDescent="0.3">
      <c r="A171" s="26" t="str">
        <f>IFERROR(IF('ŞİKAYET KAYIT'!P171="Kapatıldı","",IF('ŞİKAYET KAYIT'!A171="","",'ŞİKAYET KAYIT'!A171)),"")</f>
        <v/>
      </c>
      <c r="B171" s="8" t="str">
        <f>IFERROR(IF('ŞİKAYET KAYIT'!P171="Kapatıldı","",IF('ŞİKAYET KAYIT'!B171="","",'ŞİKAYET KAYIT'!B171)),"")</f>
        <v/>
      </c>
      <c r="C171" s="26" t="str">
        <f>IFERROR(IF('ŞİKAYET KAYIT'!P171="Kapatıldı","",IF('ŞİKAYET KAYIT'!D171="","",'ŞİKAYET KAYIT'!D171)),"")</f>
        <v/>
      </c>
      <c r="D171" s="26" t="str">
        <f>IFERROR(IF('ŞİKAYET KAYIT'!P171="Kapatıldı","",IF('ŞİKAYET KAYIT'!F171="","",'ŞİKAYET KAYIT'!F171)),"")</f>
        <v/>
      </c>
      <c r="E171" s="26" t="str">
        <f>IFERROR(IF('ŞİKAYET KAYIT'!P171="Kapatıldı","",IF('ŞİKAYET KAYIT'!H171="","",'ŞİKAYET KAYIT'!H171)),"")</f>
        <v/>
      </c>
      <c r="F171" s="26" t="str">
        <f>IFERROR(IF('ŞİKAYET KAYIT'!P171="Kapatıldı","",IF('ŞİKAYET KAYIT'!I171="","",'ŞİKAYET KAYIT'!I171)),"")</f>
        <v/>
      </c>
      <c r="G171" s="26" t="str">
        <f>IFERROR(IF('ŞİKAYET KAYIT'!P171="Kapatıldı","",IF('ŞİKAYET KAYIT'!J171="","",'ŞİKAYET KAYIT'!J171)),"")</f>
        <v/>
      </c>
      <c r="H171" s="26" t="str">
        <f>IFERROR(IF('ŞİKAYET KAYIT'!P171="Kapatıldı","",IF('ŞİKAYET KAYIT'!K171="","",'ŞİKAYET KAYIT'!K171)),"")</f>
        <v/>
      </c>
      <c r="I171" s="26" t="str">
        <f>IFERROR(IF('ŞİKAYET KAYIT'!P171="Kapatıldı","",IF('ŞİKAYET KAYIT'!L171="","",'ŞİKAYET KAYIT'!L171)),"")</f>
        <v/>
      </c>
      <c r="J171" s="26" t="str">
        <f>IFERROR(IF('ŞİKAYET KAYIT'!P171="Kapatıldı","",IF('ŞİKAYET KAYIT'!M171="","",'ŞİKAYET KAYIT'!M171)),"")</f>
        <v/>
      </c>
      <c r="K171" s="26" t="str">
        <f>IFERROR(IF('ŞİKAYET KAYIT'!P171="Kapatıldı","",IF('ŞİKAYET KAYIT'!N171="","",'ŞİKAYET KAYIT'!N171)),"")</f>
        <v/>
      </c>
      <c r="L171" s="26" t="str">
        <f>IFERROR(IF('ŞİKAYET KAYIT'!P171="Kapatıldı","",IF('ŞİKAYET KAYIT'!O171="","",'ŞİKAYET KAYIT'!O171)),"")</f>
        <v/>
      </c>
      <c r="M171" s="26" t="str">
        <f>IFERROR(IF('ŞİKAYET KAYIT'!P171="Kapatıldı","",IF('ŞİKAYET KAYIT'!P171="","",'ŞİKAYET KAYIT'!P171)),"")</f>
        <v/>
      </c>
    </row>
    <row r="172" spans="1:13" ht="15" customHeight="1" x14ac:dyDescent="0.3">
      <c r="A172" s="3" t="str">
        <f>IFERROR(IF('ŞİKAYET KAYIT'!P172="Kapatıldı","",IF('ŞİKAYET KAYIT'!A172="","",'ŞİKAYET KAYIT'!A172)),"")</f>
        <v/>
      </c>
      <c r="B172" s="5" t="str">
        <f>IFERROR(IF('ŞİKAYET KAYIT'!P172="Kapatıldı","",IF('ŞİKAYET KAYIT'!B172="","",'ŞİKAYET KAYIT'!B172)),"")</f>
        <v/>
      </c>
      <c r="C172" s="3" t="str">
        <f>IFERROR(IF('ŞİKAYET KAYIT'!P172="Kapatıldı","",IF('ŞİKAYET KAYIT'!D172="","",'ŞİKAYET KAYIT'!D172)),"")</f>
        <v/>
      </c>
      <c r="D172" s="3" t="str">
        <f>IFERROR(IF('ŞİKAYET KAYIT'!P172="Kapatıldı","",IF('ŞİKAYET KAYIT'!F172="","",'ŞİKAYET KAYIT'!F172)),"")</f>
        <v/>
      </c>
      <c r="E172" s="3" t="str">
        <f>IFERROR(IF('ŞİKAYET KAYIT'!P172="Kapatıldı","",IF('ŞİKAYET KAYIT'!H172="","",'ŞİKAYET KAYIT'!H172)),"")</f>
        <v/>
      </c>
      <c r="F172" s="3" t="str">
        <f>IFERROR(IF('ŞİKAYET KAYIT'!P172="Kapatıldı","",IF('ŞİKAYET KAYIT'!I172="","",'ŞİKAYET KAYIT'!I172)),"")</f>
        <v/>
      </c>
      <c r="G172" s="3" t="str">
        <f>IFERROR(IF('ŞİKAYET KAYIT'!P172="Kapatıldı","",IF('ŞİKAYET KAYIT'!J172="","",'ŞİKAYET KAYIT'!J172)),"")</f>
        <v/>
      </c>
      <c r="H172" s="3" t="str">
        <f>IFERROR(IF('ŞİKAYET KAYIT'!P172="Kapatıldı","",IF('ŞİKAYET KAYIT'!K172="","",'ŞİKAYET KAYIT'!K172)),"")</f>
        <v/>
      </c>
      <c r="I172" s="3" t="str">
        <f>IFERROR(IF('ŞİKAYET KAYIT'!P172="Kapatıldı","",IF('ŞİKAYET KAYIT'!L172="","",'ŞİKAYET KAYIT'!L172)),"")</f>
        <v/>
      </c>
      <c r="J172" s="3" t="str">
        <f>IFERROR(IF('ŞİKAYET KAYIT'!P172="Kapatıldı","",IF('ŞİKAYET KAYIT'!M172="","",'ŞİKAYET KAYIT'!M172)),"")</f>
        <v/>
      </c>
      <c r="K172" s="3" t="str">
        <f>IFERROR(IF('ŞİKAYET KAYIT'!P172="Kapatıldı","",IF('ŞİKAYET KAYIT'!N172="","",'ŞİKAYET KAYIT'!N172)),"")</f>
        <v/>
      </c>
      <c r="L172" s="3" t="str">
        <f>IFERROR(IF('ŞİKAYET KAYIT'!P172="Kapatıldı","",IF('ŞİKAYET KAYIT'!O172="","",'ŞİKAYET KAYIT'!O172)),"")</f>
        <v/>
      </c>
      <c r="M172" s="3" t="str">
        <f>IFERROR(IF('ŞİKAYET KAYIT'!P172="Kapatıldı","",IF('ŞİKAYET KAYIT'!P172="","",'ŞİKAYET KAYIT'!P172)),"")</f>
        <v/>
      </c>
    </row>
    <row r="173" spans="1:13" ht="15" customHeight="1" x14ac:dyDescent="0.3">
      <c r="A173" s="26" t="str">
        <f>IFERROR(IF('ŞİKAYET KAYIT'!P173="Kapatıldı","",IF('ŞİKAYET KAYIT'!A173="","",'ŞİKAYET KAYIT'!A173)),"")</f>
        <v/>
      </c>
      <c r="B173" s="8" t="str">
        <f>IFERROR(IF('ŞİKAYET KAYIT'!P173="Kapatıldı","",IF('ŞİKAYET KAYIT'!B173="","",'ŞİKAYET KAYIT'!B173)),"")</f>
        <v/>
      </c>
      <c r="C173" s="26" t="str">
        <f>IFERROR(IF('ŞİKAYET KAYIT'!P173="Kapatıldı","",IF('ŞİKAYET KAYIT'!D173="","",'ŞİKAYET KAYIT'!D173)),"")</f>
        <v/>
      </c>
      <c r="D173" s="26" t="str">
        <f>IFERROR(IF('ŞİKAYET KAYIT'!P173="Kapatıldı","",IF('ŞİKAYET KAYIT'!F173="","",'ŞİKAYET KAYIT'!F173)),"")</f>
        <v/>
      </c>
      <c r="E173" s="26" t="str">
        <f>IFERROR(IF('ŞİKAYET KAYIT'!P173="Kapatıldı","",IF('ŞİKAYET KAYIT'!H173="","",'ŞİKAYET KAYIT'!H173)),"")</f>
        <v/>
      </c>
      <c r="F173" s="26" t="str">
        <f>IFERROR(IF('ŞİKAYET KAYIT'!P173="Kapatıldı","",IF('ŞİKAYET KAYIT'!I173="","",'ŞİKAYET KAYIT'!I173)),"")</f>
        <v/>
      </c>
      <c r="G173" s="26" t="str">
        <f>IFERROR(IF('ŞİKAYET KAYIT'!P173="Kapatıldı","",IF('ŞİKAYET KAYIT'!J173="","",'ŞİKAYET KAYIT'!J173)),"")</f>
        <v/>
      </c>
      <c r="H173" s="26" t="str">
        <f>IFERROR(IF('ŞİKAYET KAYIT'!P173="Kapatıldı","",IF('ŞİKAYET KAYIT'!K173="","",'ŞİKAYET KAYIT'!K173)),"")</f>
        <v/>
      </c>
      <c r="I173" s="26" t="str">
        <f>IFERROR(IF('ŞİKAYET KAYIT'!P173="Kapatıldı","",IF('ŞİKAYET KAYIT'!L173="","",'ŞİKAYET KAYIT'!L173)),"")</f>
        <v/>
      </c>
      <c r="J173" s="26" t="str">
        <f>IFERROR(IF('ŞİKAYET KAYIT'!P173="Kapatıldı","",IF('ŞİKAYET KAYIT'!M173="","",'ŞİKAYET KAYIT'!M173)),"")</f>
        <v/>
      </c>
      <c r="K173" s="26" t="str">
        <f>IFERROR(IF('ŞİKAYET KAYIT'!P173="Kapatıldı","",IF('ŞİKAYET KAYIT'!N173="","",'ŞİKAYET KAYIT'!N173)),"")</f>
        <v/>
      </c>
      <c r="L173" s="26" t="str">
        <f>IFERROR(IF('ŞİKAYET KAYIT'!P173="Kapatıldı","",IF('ŞİKAYET KAYIT'!O173="","",'ŞİKAYET KAYIT'!O173)),"")</f>
        <v/>
      </c>
      <c r="M173" s="26" t="str">
        <f>IFERROR(IF('ŞİKAYET KAYIT'!P173="Kapatıldı","",IF('ŞİKAYET KAYIT'!P173="","",'ŞİKAYET KAYIT'!P173)),"")</f>
        <v/>
      </c>
    </row>
    <row r="174" spans="1:13" ht="15" customHeight="1" x14ac:dyDescent="0.3">
      <c r="A174" s="3" t="str">
        <f>IFERROR(IF('ŞİKAYET KAYIT'!P174="Kapatıldı","",IF('ŞİKAYET KAYIT'!A174="","",'ŞİKAYET KAYIT'!A174)),"")</f>
        <v/>
      </c>
      <c r="B174" s="5" t="str">
        <f>IFERROR(IF('ŞİKAYET KAYIT'!P174="Kapatıldı","",IF('ŞİKAYET KAYIT'!B174="","",'ŞİKAYET KAYIT'!B174)),"")</f>
        <v/>
      </c>
      <c r="C174" s="3" t="str">
        <f>IFERROR(IF('ŞİKAYET KAYIT'!P174="Kapatıldı","",IF('ŞİKAYET KAYIT'!D174="","",'ŞİKAYET KAYIT'!D174)),"")</f>
        <v/>
      </c>
      <c r="D174" s="3" t="str">
        <f>IFERROR(IF('ŞİKAYET KAYIT'!P174="Kapatıldı","",IF('ŞİKAYET KAYIT'!F174="","",'ŞİKAYET KAYIT'!F174)),"")</f>
        <v/>
      </c>
      <c r="E174" s="3" t="str">
        <f>IFERROR(IF('ŞİKAYET KAYIT'!P174="Kapatıldı","",IF('ŞİKAYET KAYIT'!H174="","",'ŞİKAYET KAYIT'!H174)),"")</f>
        <v/>
      </c>
      <c r="F174" s="3" t="str">
        <f>IFERROR(IF('ŞİKAYET KAYIT'!P174="Kapatıldı","",IF('ŞİKAYET KAYIT'!I174="","",'ŞİKAYET KAYIT'!I174)),"")</f>
        <v/>
      </c>
      <c r="G174" s="3" t="str">
        <f>IFERROR(IF('ŞİKAYET KAYIT'!P174="Kapatıldı","",IF('ŞİKAYET KAYIT'!J174="","",'ŞİKAYET KAYIT'!J174)),"")</f>
        <v/>
      </c>
      <c r="H174" s="3" t="str">
        <f>IFERROR(IF('ŞİKAYET KAYIT'!P174="Kapatıldı","",IF('ŞİKAYET KAYIT'!K174="","",'ŞİKAYET KAYIT'!K174)),"")</f>
        <v/>
      </c>
      <c r="I174" s="3" t="str">
        <f>IFERROR(IF('ŞİKAYET KAYIT'!P174="Kapatıldı","",IF('ŞİKAYET KAYIT'!L174="","",'ŞİKAYET KAYIT'!L174)),"")</f>
        <v/>
      </c>
      <c r="J174" s="3" t="str">
        <f>IFERROR(IF('ŞİKAYET KAYIT'!P174="Kapatıldı","",IF('ŞİKAYET KAYIT'!M174="","",'ŞİKAYET KAYIT'!M174)),"")</f>
        <v/>
      </c>
      <c r="K174" s="3" t="str">
        <f>IFERROR(IF('ŞİKAYET KAYIT'!P174="Kapatıldı","",IF('ŞİKAYET KAYIT'!N174="","",'ŞİKAYET KAYIT'!N174)),"")</f>
        <v/>
      </c>
      <c r="L174" s="3" t="str">
        <f>IFERROR(IF('ŞİKAYET KAYIT'!P174="Kapatıldı","",IF('ŞİKAYET KAYIT'!O174="","",'ŞİKAYET KAYIT'!O174)),"")</f>
        <v/>
      </c>
      <c r="M174" s="3" t="str">
        <f>IFERROR(IF('ŞİKAYET KAYIT'!P174="Kapatıldı","",IF('ŞİKAYET KAYIT'!P174="","",'ŞİKAYET KAYIT'!P174)),"")</f>
        <v/>
      </c>
    </row>
    <row r="175" spans="1:13" ht="15" customHeight="1" x14ac:dyDescent="0.3">
      <c r="A175" s="26" t="str">
        <f>IFERROR(IF('ŞİKAYET KAYIT'!P175="Kapatıldı","",IF('ŞİKAYET KAYIT'!A175="","",'ŞİKAYET KAYIT'!A175)),"")</f>
        <v/>
      </c>
      <c r="B175" s="8" t="str">
        <f>IFERROR(IF('ŞİKAYET KAYIT'!P175="Kapatıldı","",IF('ŞİKAYET KAYIT'!B175="","",'ŞİKAYET KAYIT'!B175)),"")</f>
        <v/>
      </c>
      <c r="C175" s="26" t="str">
        <f>IFERROR(IF('ŞİKAYET KAYIT'!P175="Kapatıldı","",IF('ŞİKAYET KAYIT'!D175="","",'ŞİKAYET KAYIT'!D175)),"")</f>
        <v/>
      </c>
      <c r="D175" s="26" t="str">
        <f>IFERROR(IF('ŞİKAYET KAYIT'!P175="Kapatıldı","",IF('ŞİKAYET KAYIT'!F175="","",'ŞİKAYET KAYIT'!F175)),"")</f>
        <v/>
      </c>
      <c r="E175" s="26" t="str">
        <f>IFERROR(IF('ŞİKAYET KAYIT'!P175="Kapatıldı","",IF('ŞİKAYET KAYIT'!H175="","",'ŞİKAYET KAYIT'!H175)),"")</f>
        <v/>
      </c>
      <c r="F175" s="26" t="str">
        <f>IFERROR(IF('ŞİKAYET KAYIT'!P175="Kapatıldı","",IF('ŞİKAYET KAYIT'!I175="","",'ŞİKAYET KAYIT'!I175)),"")</f>
        <v/>
      </c>
      <c r="G175" s="26" t="str">
        <f>IFERROR(IF('ŞİKAYET KAYIT'!P175="Kapatıldı","",IF('ŞİKAYET KAYIT'!J175="","",'ŞİKAYET KAYIT'!J175)),"")</f>
        <v/>
      </c>
      <c r="H175" s="26" t="str">
        <f>IFERROR(IF('ŞİKAYET KAYIT'!P175="Kapatıldı","",IF('ŞİKAYET KAYIT'!K175="","",'ŞİKAYET KAYIT'!K175)),"")</f>
        <v/>
      </c>
      <c r="I175" s="26" t="str">
        <f>IFERROR(IF('ŞİKAYET KAYIT'!P175="Kapatıldı","",IF('ŞİKAYET KAYIT'!L175="","",'ŞİKAYET KAYIT'!L175)),"")</f>
        <v/>
      </c>
      <c r="J175" s="26" t="str">
        <f>IFERROR(IF('ŞİKAYET KAYIT'!P175="Kapatıldı","",IF('ŞİKAYET KAYIT'!M175="","",'ŞİKAYET KAYIT'!M175)),"")</f>
        <v/>
      </c>
      <c r="K175" s="26" t="str">
        <f>IFERROR(IF('ŞİKAYET KAYIT'!P175="Kapatıldı","",IF('ŞİKAYET KAYIT'!N175="","",'ŞİKAYET KAYIT'!N175)),"")</f>
        <v/>
      </c>
      <c r="L175" s="26" t="str">
        <f>IFERROR(IF('ŞİKAYET KAYIT'!P175="Kapatıldı","",IF('ŞİKAYET KAYIT'!O175="","",'ŞİKAYET KAYIT'!O175)),"")</f>
        <v/>
      </c>
      <c r="M175" s="26" t="str">
        <f>IFERROR(IF('ŞİKAYET KAYIT'!P175="Kapatıldı","",IF('ŞİKAYET KAYIT'!P175="","",'ŞİKAYET KAYIT'!P175)),"")</f>
        <v/>
      </c>
    </row>
    <row r="176" spans="1:13" ht="15" customHeight="1" x14ac:dyDescent="0.3">
      <c r="A176" s="3" t="str">
        <f>IFERROR(IF('ŞİKAYET KAYIT'!P176="Kapatıldı","",IF('ŞİKAYET KAYIT'!A176="","",'ŞİKAYET KAYIT'!A176)),"")</f>
        <v/>
      </c>
      <c r="B176" s="5" t="str">
        <f>IFERROR(IF('ŞİKAYET KAYIT'!P176="Kapatıldı","",IF('ŞİKAYET KAYIT'!B176="","",'ŞİKAYET KAYIT'!B176)),"")</f>
        <v/>
      </c>
      <c r="C176" s="3" t="str">
        <f>IFERROR(IF('ŞİKAYET KAYIT'!P176="Kapatıldı","",IF('ŞİKAYET KAYIT'!D176="","",'ŞİKAYET KAYIT'!D176)),"")</f>
        <v/>
      </c>
      <c r="D176" s="3" t="str">
        <f>IFERROR(IF('ŞİKAYET KAYIT'!P176="Kapatıldı","",IF('ŞİKAYET KAYIT'!F176="","",'ŞİKAYET KAYIT'!F176)),"")</f>
        <v/>
      </c>
      <c r="E176" s="3" t="str">
        <f>IFERROR(IF('ŞİKAYET KAYIT'!P176="Kapatıldı","",IF('ŞİKAYET KAYIT'!H176="","",'ŞİKAYET KAYIT'!H176)),"")</f>
        <v/>
      </c>
      <c r="F176" s="3" t="str">
        <f>IFERROR(IF('ŞİKAYET KAYIT'!P176="Kapatıldı","",IF('ŞİKAYET KAYIT'!I176="","",'ŞİKAYET KAYIT'!I176)),"")</f>
        <v/>
      </c>
      <c r="G176" s="3" t="str">
        <f>IFERROR(IF('ŞİKAYET KAYIT'!P176="Kapatıldı","",IF('ŞİKAYET KAYIT'!J176="","",'ŞİKAYET KAYIT'!J176)),"")</f>
        <v/>
      </c>
      <c r="H176" s="3" t="str">
        <f>IFERROR(IF('ŞİKAYET KAYIT'!P176="Kapatıldı","",IF('ŞİKAYET KAYIT'!K176="","",'ŞİKAYET KAYIT'!K176)),"")</f>
        <v/>
      </c>
      <c r="I176" s="3" t="str">
        <f>IFERROR(IF('ŞİKAYET KAYIT'!P176="Kapatıldı","",IF('ŞİKAYET KAYIT'!L176="","",'ŞİKAYET KAYIT'!L176)),"")</f>
        <v/>
      </c>
      <c r="J176" s="3" t="str">
        <f>IFERROR(IF('ŞİKAYET KAYIT'!P176="Kapatıldı","",IF('ŞİKAYET KAYIT'!M176="","",'ŞİKAYET KAYIT'!M176)),"")</f>
        <v/>
      </c>
      <c r="K176" s="3" t="str">
        <f>IFERROR(IF('ŞİKAYET KAYIT'!P176="Kapatıldı","",IF('ŞİKAYET KAYIT'!N176="","",'ŞİKAYET KAYIT'!N176)),"")</f>
        <v/>
      </c>
      <c r="L176" s="3" t="str">
        <f>IFERROR(IF('ŞİKAYET KAYIT'!P176="Kapatıldı","",IF('ŞİKAYET KAYIT'!O176="","",'ŞİKAYET KAYIT'!O176)),"")</f>
        <v/>
      </c>
      <c r="M176" s="3" t="str">
        <f>IFERROR(IF('ŞİKAYET KAYIT'!P176="Kapatıldı","",IF('ŞİKAYET KAYIT'!P176="","",'ŞİKAYET KAYIT'!P176)),"")</f>
        <v/>
      </c>
    </row>
    <row r="177" spans="1:13" ht="15" customHeight="1" x14ac:dyDescent="0.3">
      <c r="A177" s="26" t="str">
        <f>IFERROR(IF('ŞİKAYET KAYIT'!P177="Kapatıldı","",IF('ŞİKAYET KAYIT'!A177="","",'ŞİKAYET KAYIT'!A177)),"")</f>
        <v/>
      </c>
      <c r="B177" s="8" t="str">
        <f>IFERROR(IF('ŞİKAYET KAYIT'!P177="Kapatıldı","",IF('ŞİKAYET KAYIT'!B177="","",'ŞİKAYET KAYIT'!B177)),"")</f>
        <v/>
      </c>
      <c r="C177" s="26" t="str">
        <f>IFERROR(IF('ŞİKAYET KAYIT'!P177="Kapatıldı","",IF('ŞİKAYET KAYIT'!D177="","",'ŞİKAYET KAYIT'!D177)),"")</f>
        <v/>
      </c>
      <c r="D177" s="26" t="str">
        <f>IFERROR(IF('ŞİKAYET KAYIT'!P177="Kapatıldı","",IF('ŞİKAYET KAYIT'!F177="","",'ŞİKAYET KAYIT'!F177)),"")</f>
        <v/>
      </c>
      <c r="E177" s="26" t="str">
        <f>IFERROR(IF('ŞİKAYET KAYIT'!P177="Kapatıldı","",IF('ŞİKAYET KAYIT'!H177="","",'ŞİKAYET KAYIT'!H177)),"")</f>
        <v/>
      </c>
      <c r="F177" s="26" t="str">
        <f>IFERROR(IF('ŞİKAYET KAYIT'!P177="Kapatıldı","",IF('ŞİKAYET KAYIT'!I177="","",'ŞİKAYET KAYIT'!I177)),"")</f>
        <v/>
      </c>
      <c r="G177" s="26" t="str">
        <f>IFERROR(IF('ŞİKAYET KAYIT'!P177="Kapatıldı","",IF('ŞİKAYET KAYIT'!J177="","",'ŞİKAYET KAYIT'!J177)),"")</f>
        <v/>
      </c>
      <c r="H177" s="26" t="str">
        <f>IFERROR(IF('ŞİKAYET KAYIT'!P177="Kapatıldı","",IF('ŞİKAYET KAYIT'!K177="","",'ŞİKAYET KAYIT'!K177)),"")</f>
        <v/>
      </c>
      <c r="I177" s="26" t="str">
        <f>IFERROR(IF('ŞİKAYET KAYIT'!P177="Kapatıldı","",IF('ŞİKAYET KAYIT'!L177="","",'ŞİKAYET KAYIT'!L177)),"")</f>
        <v/>
      </c>
      <c r="J177" s="26" t="str">
        <f>IFERROR(IF('ŞİKAYET KAYIT'!P177="Kapatıldı","",IF('ŞİKAYET KAYIT'!M177="","",'ŞİKAYET KAYIT'!M177)),"")</f>
        <v/>
      </c>
      <c r="K177" s="26" t="str">
        <f>IFERROR(IF('ŞİKAYET KAYIT'!P177="Kapatıldı","",IF('ŞİKAYET KAYIT'!N177="","",'ŞİKAYET KAYIT'!N177)),"")</f>
        <v/>
      </c>
      <c r="L177" s="26" t="str">
        <f>IFERROR(IF('ŞİKAYET KAYIT'!P177="Kapatıldı","",IF('ŞİKAYET KAYIT'!O177="","",'ŞİKAYET KAYIT'!O177)),"")</f>
        <v/>
      </c>
      <c r="M177" s="26" t="str">
        <f>IFERROR(IF('ŞİKAYET KAYIT'!P177="Kapatıldı","",IF('ŞİKAYET KAYIT'!P177="","",'ŞİKAYET KAYIT'!P177)),"")</f>
        <v/>
      </c>
    </row>
    <row r="178" spans="1:13" ht="15" customHeight="1" x14ac:dyDescent="0.3">
      <c r="A178" s="3" t="str">
        <f>IFERROR(IF('ŞİKAYET KAYIT'!P178="Kapatıldı","",IF('ŞİKAYET KAYIT'!A178="","",'ŞİKAYET KAYIT'!A178)),"")</f>
        <v/>
      </c>
      <c r="B178" s="5" t="str">
        <f>IFERROR(IF('ŞİKAYET KAYIT'!P178="Kapatıldı","",IF('ŞİKAYET KAYIT'!B178="","",'ŞİKAYET KAYIT'!B178)),"")</f>
        <v/>
      </c>
      <c r="C178" s="3" t="str">
        <f>IFERROR(IF('ŞİKAYET KAYIT'!P178="Kapatıldı","",IF('ŞİKAYET KAYIT'!D178="","",'ŞİKAYET KAYIT'!D178)),"")</f>
        <v/>
      </c>
      <c r="D178" s="3" t="str">
        <f>IFERROR(IF('ŞİKAYET KAYIT'!P178="Kapatıldı","",IF('ŞİKAYET KAYIT'!F178="","",'ŞİKAYET KAYIT'!F178)),"")</f>
        <v/>
      </c>
      <c r="E178" s="3" t="str">
        <f>IFERROR(IF('ŞİKAYET KAYIT'!P178="Kapatıldı","",IF('ŞİKAYET KAYIT'!H178="","",'ŞİKAYET KAYIT'!H178)),"")</f>
        <v/>
      </c>
      <c r="F178" s="3" t="str">
        <f>IFERROR(IF('ŞİKAYET KAYIT'!P178="Kapatıldı","",IF('ŞİKAYET KAYIT'!I178="","",'ŞİKAYET KAYIT'!I178)),"")</f>
        <v/>
      </c>
      <c r="G178" s="3" t="str">
        <f>IFERROR(IF('ŞİKAYET KAYIT'!P178="Kapatıldı","",IF('ŞİKAYET KAYIT'!J178="","",'ŞİKAYET KAYIT'!J178)),"")</f>
        <v/>
      </c>
      <c r="H178" s="3" t="str">
        <f>IFERROR(IF('ŞİKAYET KAYIT'!P178="Kapatıldı","",IF('ŞİKAYET KAYIT'!K178="","",'ŞİKAYET KAYIT'!K178)),"")</f>
        <v/>
      </c>
      <c r="I178" s="3" t="str">
        <f>IFERROR(IF('ŞİKAYET KAYIT'!P178="Kapatıldı","",IF('ŞİKAYET KAYIT'!L178="","",'ŞİKAYET KAYIT'!L178)),"")</f>
        <v/>
      </c>
      <c r="J178" s="3" t="str">
        <f>IFERROR(IF('ŞİKAYET KAYIT'!P178="Kapatıldı","",IF('ŞİKAYET KAYIT'!M178="","",'ŞİKAYET KAYIT'!M178)),"")</f>
        <v/>
      </c>
      <c r="K178" s="3" t="str">
        <f>IFERROR(IF('ŞİKAYET KAYIT'!P178="Kapatıldı","",IF('ŞİKAYET KAYIT'!N178="","",'ŞİKAYET KAYIT'!N178)),"")</f>
        <v/>
      </c>
      <c r="L178" s="3" t="str">
        <f>IFERROR(IF('ŞİKAYET KAYIT'!P178="Kapatıldı","",IF('ŞİKAYET KAYIT'!O178="","",'ŞİKAYET KAYIT'!O178)),"")</f>
        <v/>
      </c>
      <c r="M178" s="3" t="str">
        <f>IFERROR(IF('ŞİKAYET KAYIT'!P178="Kapatıldı","",IF('ŞİKAYET KAYIT'!P178="","",'ŞİKAYET KAYIT'!P178)),"")</f>
        <v/>
      </c>
    </row>
    <row r="179" spans="1:13" ht="15" customHeight="1" x14ac:dyDescent="0.3">
      <c r="A179" s="26" t="str">
        <f>IFERROR(IF('ŞİKAYET KAYIT'!P179="Kapatıldı","",IF('ŞİKAYET KAYIT'!A179="","",'ŞİKAYET KAYIT'!A179)),"")</f>
        <v/>
      </c>
      <c r="B179" s="8" t="str">
        <f>IFERROR(IF('ŞİKAYET KAYIT'!P179="Kapatıldı","",IF('ŞİKAYET KAYIT'!B179="","",'ŞİKAYET KAYIT'!B179)),"")</f>
        <v/>
      </c>
      <c r="C179" s="26" t="str">
        <f>IFERROR(IF('ŞİKAYET KAYIT'!P179="Kapatıldı","",IF('ŞİKAYET KAYIT'!D179="","",'ŞİKAYET KAYIT'!D179)),"")</f>
        <v/>
      </c>
      <c r="D179" s="26" t="str">
        <f>IFERROR(IF('ŞİKAYET KAYIT'!P179="Kapatıldı","",IF('ŞİKAYET KAYIT'!F179="","",'ŞİKAYET KAYIT'!F179)),"")</f>
        <v/>
      </c>
      <c r="E179" s="26" t="str">
        <f>IFERROR(IF('ŞİKAYET KAYIT'!P179="Kapatıldı","",IF('ŞİKAYET KAYIT'!H179="","",'ŞİKAYET KAYIT'!H179)),"")</f>
        <v/>
      </c>
      <c r="F179" s="26" t="str">
        <f>IFERROR(IF('ŞİKAYET KAYIT'!P179="Kapatıldı","",IF('ŞİKAYET KAYIT'!I179="","",'ŞİKAYET KAYIT'!I179)),"")</f>
        <v/>
      </c>
      <c r="G179" s="26" t="str">
        <f>IFERROR(IF('ŞİKAYET KAYIT'!P179="Kapatıldı","",IF('ŞİKAYET KAYIT'!J179="","",'ŞİKAYET KAYIT'!J179)),"")</f>
        <v/>
      </c>
      <c r="H179" s="26" t="str">
        <f>IFERROR(IF('ŞİKAYET KAYIT'!P179="Kapatıldı","",IF('ŞİKAYET KAYIT'!K179="","",'ŞİKAYET KAYIT'!K179)),"")</f>
        <v/>
      </c>
      <c r="I179" s="26" t="str">
        <f>IFERROR(IF('ŞİKAYET KAYIT'!P179="Kapatıldı","",IF('ŞİKAYET KAYIT'!L179="","",'ŞİKAYET KAYIT'!L179)),"")</f>
        <v/>
      </c>
      <c r="J179" s="26" t="str">
        <f>IFERROR(IF('ŞİKAYET KAYIT'!P179="Kapatıldı","",IF('ŞİKAYET KAYIT'!M179="","",'ŞİKAYET KAYIT'!M179)),"")</f>
        <v/>
      </c>
      <c r="K179" s="26" t="str">
        <f>IFERROR(IF('ŞİKAYET KAYIT'!P179="Kapatıldı","",IF('ŞİKAYET KAYIT'!N179="","",'ŞİKAYET KAYIT'!N179)),"")</f>
        <v/>
      </c>
      <c r="L179" s="26" t="str">
        <f>IFERROR(IF('ŞİKAYET KAYIT'!P179="Kapatıldı","",IF('ŞİKAYET KAYIT'!O179="","",'ŞİKAYET KAYIT'!O179)),"")</f>
        <v/>
      </c>
      <c r="M179" s="26" t="str">
        <f>IFERROR(IF('ŞİKAYET KAYIT'!P179="Kapatıldı","",IF('ŞİKAYET KAYIT'!P179="","",'ŞİKAYET KAYIT'!P179)),"")</f>
        <v/>
      </c>
    </row>
    <row r="180" spans="1:13" ht="15" customHeight="1" x14ac:dyDescent="0.3">
      <c r="A180" s="3" t="str">
        <f>IFERROR(IF('ŞİKAYET KAYIT'!P180="Kapatıldı","",IF('ŞİKAYET KAYIT'!A180="","",'ŞİKAYET KAYIT'!A180)),"")</f>
        <v/>
      </c>
      <c r="B180" s="5" t="str">
        <f>IFERROR(IF('ŞİKAYET KAYIT'!P180="Kapatıldı","",IF('ŞİKAYET KAYIT'!B180="","",'ŞİKAYET KAYIT'!B180)),"")</f>
        <v/>
      </c>
      <c r="C180" s="3" t="str">
        <f>IFERROR(IF('ŞİKAYET KAYIT'!P180="Kapatıldı","",IF('ŞİKAYET KAYIT'!D180="","",'ŞİKAYET KAYIT'!D180)),"")</f>
        <v/>
      </c>
      <c r="D180" s="3" t="str">
        <f>IFERROR(IF('ŞİKAYET KAYIT'!P180="Kapatıldı","",IF('ŞİKAYET KAYIT'!F180="","",'ŞİKAYET KAYIT'!F180)),"")</f>
        <v/>
      </c>
      <c r="E180" s="3" t="str">
        <f>IFERROR(IF('ŞİKAYET KAYIT'!P180="Kapatıldı","",IF('ŞİKAYET KAYIT'!H180="","",'ŞİKAYET KAYIT'!H180)),"")</f>
        <v/>
      </c>
      <c r="F180" s="3" t="str">
        <f>IFERROR(IF('ŞİKAYET KAYIT'!P180="Kapatıldı","",IF('ŞİKAYET KAYIT'!I180="","",'ŞİKAYET KAYIT'!I180)),"")</f>
        <v/>
      </c>
      <c r="G180" s="3" t="str">
        <f>IFERROR(IF('ŞİKAYET KAYIT'!P180="Kapatıldı","",IF('ŞİKAYET KAYIT'!J180="","",'ŞİKAYET KAYIT'!J180)),"")</f>
        <v/>
      </c>
      <c r="H180" s="3" t="str">
        <f>IFERROR(IF('ŞİKAYET KAYIT'!P180="Kapatıldı","",IF('ŞİKAYET KAYIT'!K180="","",'ŞİKAYET KAYIT'!K180)),"")</f>
        <v/>
      </c>
      <c r="I180" s="3" t="str">
        <f>IFERROR(IF('ŞİKAYET KAYIT'!P180="Kapatıldı","",IF('ŞİKAYET KAYIT'!L180="","",'ŞİKAYET KAYIT'!L180)),"")</f>
        <v/>
      </c>
      <c r="J180" s="3" t="str">
        <f>IFERROR(IF('ŞİKAYET KAYIT'!P180="Kapatıldı","",IF('ŞİKAYET KAYIT'!M180="","",'ŞİKAYET KAYIT'!M180)),"")</f>
        <v/>
      </c>
      <c r="K180" s="3" t="str">
        <f>IFERROR(IF('ŞİKAYET KAYIT'!P180="Kapatıldı","",IF('ŞİKAYET KAYIT'!N180="","",'ŞİKAYET KAYIT'!N180)),"")</f>
        <v/>
      </c>
      <c r="L180" s="3" t="str">
        <f>IFERROR(IF('ŞİKAYET KAYIT'!P180="Kapatıldı","",IF('ŞİKAYET KAYIT'!O180="","",'ŞİKAYET KAYIT'!O180)),"")</f>
        <v/>
      </c>
      <c r="M180" s="3" t="str">
        <f>IFERROR(IF('ŞİKAYET KAYIT'!P180="Kapatıldı","",IF('ŞİKAYET KAYIT'!P180="","",'ŞİKAYET KAYIT'!P180)),"")</f>
        <v/>
      </c>
    </row>
    <row r="181" spans="1:13" ht="15" customHeight="1" x14ac:dyDescent="0.3">
      <c r="A181" s="26" t="str">
        <f>IFERROR(IF('ŞİKAYET KAYIT'!P181="Kapatıldı","",IF('ŞİKAYET KAYIT'!A181="","",'ŞİKAYET KAYIT'!A181)),"")</f>
        <v/>
      </c>
      <c r="B181" s="8" t="str">
        <f>IFERROR(IF('ŞİKAYET KAYIT'!P181="Kapatıldı","",IF('ŞİKAYET KAYIT'!B181="","",'ŞİKAYET KAYIT'!B181)),"")</f>
        <v/>
      </c>
      <c r="C181" s="26" t="str">
        <f>IFERROR(IF('ŞİKAYET KAYIT'!P181="Kapatıldı","",IF('ŞİKAYET KAYIT'!D181="","",'ŞİKAYET KAYIT'!D181)),"")</f>
        <v/>
      </c>
      <c r="D181" s="26" t="str">
        <f>IFERROR(IF('ŞİKAYET KAYIT'!P181="Kapatıldı","",IF('ŞİKAYET KAYIT'!F181="","",'ŞİKAYET KAYIT'!F181)),"")</f>
        <v/>
      </c>
      <c r="E181" s="26" t="str">
        <f>IFERROR(IF('ŞİKAYET KAYIT'!P181="Kapatıldı","",IF('ŞİKAYET KAYIT'!H181="","",'ŞİKAYET KAYIT'!H181)),"")</f>
        <v/>
      </c>
      <c r="F181" s="26" t="str">
        <f>IFERROR(IF('ŞİKAYET KAYIT'!P181="Kapatıldı","",IF('ŞİKAYET KAYIT'!I181="","",'ŞİKAYET KAYIT'!I181)),"")</f>
        <v/>
      </c>
      <c r="G181" s="26" t="str">
        <f>IFERROR(IF('ŞİKAYET KAYIT'!P181="Kapatıldı","",IF('ŞİKAYET KAYIT'!J181="","",'ŞİKAYET KAYIT'!J181)),"")</f>
        <v/>
      </c>
      <c r="H181" s="26" t="str">
        <f>IFERROR(IF('ŞİKAYET KAYIT'!P181="Kapatıldı","",IF('ŞİKAYET KAYIT'!K181="","",'ŞİKAYET KAYIT'!K181)),"")</f>
        <v/>
      </c>
      <c r="I181" s="26" t="str">
        <f>IFERROR(IF('ŞİKAYET KAYIT'!P181="Kapatıldı","",IF('ŞİKAYET KAYIT'!L181="","",'ŞİKAYET KAYIT'!L181)),"")</f>
        <v/>
      </c>
      <c r="J181" s="26" t="str">
        <f>IFERROR(IF('ŞİKAYET KAYIT'!P181="Kapatıldı","",IF('ŞİKAYET KAYIT'!M181="","",'ŞİKAYET KAYIT'!M181)),"")</f>
        <v/>
      </c>
      <c r="K181" s="26" t="str">
        <f>IFERROR(IF('ŞİKAYET KAYIT'!P181="Kapatıldı","",IF('ŞİKAYET KAYIT'!N181="","",'ŞİKAYET KAYIT'!N181)),"")</f>
        <v/>
      </c>
      <c r="L181" s="26" t="str">
        <f>IFERROR(IF('ŞİKAYET KAYIT'!P181="Kapatıldı","",IF('ŞİKAYET KAYIT'!O181="","",'ŞİKAYET KAYIT'!O181)),"")</f>
        <v/>
      </c>
      <c r="M181" s="26" t="str">
        <f>IFERROR(IF('ŞİKAYET KAYIT'!P181="Kapatıldı","",IF('ŞİKAYET KAYIT'!P181="","",'ŞİKAYET KAYIT'!P181)),"")</f>
        <v/>
      </c>
    </row>
    <row r="182" spans="1:13" ht="15" customHeight="1" x14ac:dyDescent="0.3">
      <c r="A182" s="3" t="str">
        <f>IFERROR(IF('ŞİKAYET KAYIT'!P182="Kapatıldı","",IF('ŞİKAYET KAYIT'!A182="","",'ŞİKAYET KAYIT'!A182)),"")</f>
        <v/>
      </c>
      <c r="B182" s="5" t="str">
        <f>IFERROR(IF('ŞİKAYET KAYIT'!P182="Kapatıldı","",IF('ŞİKAYET KAYIT'!B182="","",'ŞİKAYET KAYIT'!B182)),"")</f>
        <v/>
      </c>
      <c r="C182" s="3" t="str">
        <f>IFERROR(IF('ŞİKAYET KAYIT'!P182="Kapatıldı","",IF('ŞİKAYET KAYIT'!D182="","",'ŞİKAYET KAYIT'!D182)),"")</f>
        <v/>
      </c>
      <c r="D182" s="3" t="str">
        <f>IFERROR(IF('ŞİKAYET KAYIT'!P182="Kapatıldı","",IF('ŞİKAYET KAYIT'!F182="","",'ŞİKAYET KAYIT'!F182)),"")</f>
        <v/>
      </c>
      <c r="E182" s="3" t="str">
        <f>IFERROR(IF('ŞİKAYET KAYIT'!P182="Kapatıldı","",IF('ŞİKAYET KAYIT'!H182="","",'ŞİKAYET KAYIT'!H182)),"")</f>
        <v/>
      </c>
      <c r="F182" s="3" t="str">
        <f>IFERROR(IF('ŞİKAYET KAYIT'!P182="Kapatıldı","",IF('ŞİKAYET KAYIT'!I182="","",'ŞİKAYET KAYIT'!I182)),"")</f>
        <v/>
      </c>
      <c r="G182" s="3" t="str">
        <f>IFERROR(IF('ŞİKAYET KAYIT'!P182="Kapatıldı","",IF('ŞİKAYET KAYIT'!J182="","",'ŞİKAYET KAYIT'!J182)),"")</f>
        <v/>
      </c>
      <c r="H182" s="3" t="str">
        <f>IFERROR(IF('ŞİKAYET KAYIT'!P182="Kapatıldı","",IF('ŞİKAYET KAYIT'!K182="","",'ŞİKAYET KAYIT'!K182)),"")</f>
        <v/>
      </c>
      <c r="I182" s="3" t="str">
        <f>IFERROR(IF('ŞİKAYET KAYIT'!P182="Kapatıldı","",IF('ŞİKAYET KAYIT'!L182="","",'ŞİKAYET KAYIT'!L182)),"")</f>
        <v/>
      </c>
      <c r="J182" s="3" t="str">
        <f>IFERROR(IF('ŞİKAYET KAYIT'!P182="Kapatıldı","",IF('ŞİKAYET KAYIT'!M182="","",'ŞİKAYET KAYIT'!M182)),"")</f>
        <v/>
      </c>
      <c r="K182" s="3" t="str">
        <f>IFERROR(IF('ŞİKAYET KAYIT'!P182="Kapatıldı","",IF('ŞİKAYET KAYIT'!N182="","",'ŞİKAYET KAYIT'!N182)),"")</f>
        <v/>
      </c>
      <c r="L182" s="3" t="str">
        <f>IFERROR(IF('ŞİKAYET KAYIT'!P182="Kapatıldı","",IF('ŞİKAYET KAYIT'!O182="","",'ŞİKAYET KAYIT'!O182)),"")</f>
        <v/>
      </c>
      <c r="M182" s="3" t="str">
        <f>IFERROR(IF('ŞİKAYET KAYIT'!P182="Kapatıldı","",IF('ŞİKAYET KAYIT'!P182="","",'ŞİKAYET KAYIT'!P182)),"")</f>
        <v/>
      </c>
    </row>
    <row r="183" spans="1:13" ht="15" customHeight="1" x14ac:dyDescent="0.3">
      <c r="A183" s="26" t="str">
        <f>IFERROR(IF('ŞİKAYET KAYIT'!P183="Kapatıldı","",IF('ŞİKAYET KAYIT'!A183="","",'ŞİKAYET KAYIT'!A183)),"")</f>
        <v/>
      </c>
      <c r="B183" s="8" t="str">
        <f>IFERROR(IF('ŞİKAYET KAYIT'!P183="Kapatıldı","",IF('ŞİKAYET KAYIT'!B183="","",'ŞİKAYET KAYIT'!B183)),"")</f>
        <v/>
      </c>
      <c r="C183" s="26" t="str">
        <f>IFERROR(IF('ŞİKAYET KAYIT'!P183="Kapatıldı","",IF('ŞİKAYET KAYIT'!D183="","",'ŞİKAYET KAYIT'!D183)),"")</f>
        <v/>
      </c>
      <c r="D183" s="26" t="str">
        <f>IFERROR(IF('ŞİKAYET KAYIT'!P183="Kapatıldı","",IF('ŞİKAYET KAYIT'!F183="","",'ŞİKAYET KAYIT'!F183)),"")</f>
        <v/>
      </c>
      <c r="E183" s="26" t="str">
        <f>IFERROR(IF('ŞİKAYET KAYIT'!P183="Kapatıldı","",IF('ŞİKAYET KAYIT'!H183="","",'ŞİKAYET KAYIT'!H183)),"")</f>
        <v/>
      </c>
      <c r="F183" s="26" t="str">
        <f>IFERROR(IF('ŞİKAYET KAYIT'!P183="Kapatıldı","",IF('ŞİKAYET KAYIT'!I183="","",'ŞİKAYET KAYIT'!I183)),"")</f>
        <v/>
      </c>
      <c r="G183" s="26" t="str">
        <f>IFERROR(IF('ŞİKAYET KAYIT'!P183="Kapatıldı","",IF('ŞİKAYET KAYIT'!J183="","",'ŞİKAYET KAYIT'!J183)),"")</f>
        <v/>
      </c>
      <c r="H183" s="26" t="str">
        <f>IFERROR(IF('ŞİKAYET KAYIT'!P183="Kapatıldı","",IF('ŞİKAYET KAYIT'!K183="","",'ŞİKAYET KAYIT'!K183)),"")</f>
        <v/>
      </c>
      <c r="I183" s="26" t="str">
        <f>IFERROR(IF('ŞİKAYET KAYIT'!P183="Kapatıldı","",IF('ŞİKAYET KAYIT'!L183="","",'ŞİKAYET KAYIT'!L183)),"")</f>
        <v/>
      </c>
      <c r="J183" s="26" t="str">
        <f>IFERROR(IF('ŞİKAYET KAYIT'!P183="Kapatıldı","",IF('ŞİKAYET KAYIT'!M183="","",'ŞİKAYET KAYIT'!M183)),"")</f>
        <v/>
      </c>
      <c r="K183" s="26" t="str">
        <f>IFERROR(IF('ŞİKAYET KAYIT'!P183="Kapatıldı","",IF('ŞİKAYET KAYIT'!N183="","",'ŞİKAYET KAYIT'!N183)),"")</f>
        <v/>
      </c>
      <c r="L183" s="26" t="str">
        <f>IFERROR(IF('ŞİKAYET KAYIT'!P183="Kapatıldı","",IF('ŞİKAYET KAYIT'!O183="","",'ŞİKAYET KAYIT'!O183)),"")</f>
        <v/>
      </c>
      <c r="M183" s="26" t="str">
        <f>IFERROR(IF('ŞİKAYET KAYIT'!P183="Kapatıldı","",IF('ŞİKAYET KAYIT'!P183="","",'ŞİKAYET KAYIT'!P183)),"")</f>
        <v/>
      </c>
    </row>
    <row r="184" spans="1:13" ht="15" customHeight="1" x14ac:dyDescent="0.3">
      <c r="A184" s="3" t="str">
        <f>IFERROR(IF('ŞİKAYET KAYIT'!P184="Kapatıldı","",IF('ŞİKAYET KAYIT'!A184="","",'ŞİKAYET KAYIT'!A184)),"")</f>
        <v/>
      </c>
      <c r="B184" s="5" t="str">
        <f>IFERROR(IF('ŞİKAYET KAYIT'!P184="Kapatıldı","",IF('ŞİKAYET KAYIT'!B184="","",'ŞİKAYET KAYIT'!B184)),"")</f>
        <v/>
      </c>
      <c r="C184" s="3" t="str">
        <f>IFERROR(IF('ŞİKAYET KAYIT'!P184="Kapatıldı","",IF('ŞİKAYET KAYIT'!D184="","",'ŞİKAYET KAYIT'!D184)),"")</f>
        <v/>
      </c>
      <c r="D184" s="3" t="str">
        <f>IFERROR(IF('ŞİKAYET KAYIT'!P184="Kapatıldı","",IF('ŞİKAYET KAYIT'!F184="","",'ŞİKAYET KAYIT'!F184)),"")</f>
        <v/>
      </c>
      <c r="E184" s="3" t="str">
        <f>IFERROR(IF('ŞİKAYET KAYIT'!P184="Kapatıldı","",IF('ŞİKAYET KAYIT'!H184="","",'ŞİKAYET KAYIT'!H184)),"")</f>
        <v/>
      </c>
      <c r="F184" s="3" t="str">
        <f>IFERROR(IF('ŞİKAYET KAYIT'!P184="Kapatıldı","",IF('ŞİKAYET KAYIT'!I184="","",'ŞİKAYET KAYIT'!I184)),"")</f>
        <v/>
      </c>
      <c r="G184" s="3" t="str">
        <f>IFERROR(IF('ŞİKAYET KAYIT'!P184="Kapatıldı","",IF('ŞİKAYET KAYIT'!J184="","",'ŞİKAYET KAYIT'!J184)),"")</f>
        <v/>
      </c>
      <c r="H184" s="3" t="str">
        <f>IFERROR(IF('ŞİKAYET KAYIT'!P184="Kapatıldı","",IF('ŞİKAYET KAYIT'!K184="","",'ŞİKAYET KAYIT'!K184)),"")</f>
        <v/>
      </c>
      <c r="I184" s="3" t="str">
        <f>IFERROR(IF('ŞİKAYET KAYIT'!P184="Kapatıldı","",IF('ŞİKAYET KAYIT'!L184="","",'ŞİKAYET KAYIT'!L184)),"")</f>
        <v/>
      </c>
      <c r="J184" s="3" t="str">
        <f>IFERROR(IF('ŞİKAYET KAYIT'!P184="Kapatıldı","",IF('ŞİKAYET KAYIT'!M184="","",'ŞİKAYET KAYIT'!M184)),"")</f>
        <v/>
      </c>
      <c r="K184" s="3" t="str">
        <f>IFERROR(IF('ŞİKAYET KAYIT'!P184="Kapatıldı","",IF('ŞİKAYET KAYIT'!N184="","",'ŞİKAYET KAYIT'!N184)),"")</f>
        <v/>
      </c>
      <c r="L184" s="3" t="str">
        <f>IFERROR(IF('ŞİKAYET KAYIT'!P184="Kapatıldı","",IF('ŞİKAYET KAYIT'!O184="","",'ŞİKAYET KAYIT'!O184)),"")</f>
        <v/>
      </c>
      <c r="M184" s="3" t="str">
        <f>IFERROR(IF('ŞİKAYET KAYIT'!P184="Kapatıldı","",IF('ŞİKAYET KAYIT'!P184="","",'ŞİKAYET KAYIT'!P184)),"")</f>
        <v/>
      </c>
    </row>
    <row r="185" spans="1:13" ht="15" customHeight="1" x14ac:dyDescent="0.3">
      <c r="A185" s="26" t="str">
        <f>IFERROR(IF('ŞİKAYET KAYIT'!P185="Kapatıldı","",IF('ŞİKAYET KAYIT'!A185="","",'ŞİKAYET KAYIT'!A185)),"")</f>
        <v/>
      </c>
      <c r="B185" s="8" t="str">
        <f>IFERROR(IF('ŞİKAYET KAYIT'!P185="Kapatıldı","",IF('ŞİKAYET KAYIT'!B185="","",'ŞİKAYET KAYIT'!B185)),"")</f>
        <v/>
      </c>
      <c r="C185" s="26" t="str">
        <f>IFERROR(IF('ŞİKAYET KAYIT'!P185="Kapatıldı","",IF('ŞİKAYET KAYIT'!D185="","",'ŞİKAYET KAYIT'!D185)),"")</f>
        <v/>
      </c>
      <c r="D185" s="26" t="str">
        <f>IFERROR(IF('ŞİKAYET KAYIT'!P185="Kapatıldı","",IF('ŞİKAYET KAYIT'!F185="","",'ŞİKAYET KAYIT'!F185)),"")</f>
        <v/>
      </c>
      <c r="E185" s="26" t="str">
        <f>IFERROR(IF('ŞİKAYET KAYIT'!P185="Kapatıldı","",IF('ŞİKAYET KAYIT'!H185="","",'ŞİKAYET KAYIT'!H185)),"")</f>
        <v/>
      </c>
      <c r="F185" s="26" t="str">
        <f>IFERROR(IF('ŞİKAYET KAYIT'!P185="Kapatıldı","",IF('ŞİKAYET KAYIT'!I185="","",'ŞİKAYET KAYIT'!I185)),"")</f>
        <v/>
      </c>
      <c r="G185" s="26" t="str">
        <f>IFERROR(IF('ŞİKAYET KAYIT'!P185="Kapatıldı","",IF('ŞİKAYET KAYIT'!J185="","",'ŞİKAYET KAYIT'!J185)),"")</f>
        <v/>
      </c>
      <c r="H185" s="26" t="str">
        <f>IFERROR(IF('ŞİKAYET KAYIT'!P185="Kapatıldı","",IF('ŞİKAYET KAYIT'!K185="","",'ŞİKAYET KAYIT'!K185)),"")</f>
        <v/>
      </c>
      <c r="I185" s="26" t="str">
        <f>IFERROR(IF('ŞİKAYET KAYIT'!P185="Kapatıldı","",IF('ŞİKAYET KAYIT'!L185="","",'ŞİKAYET KAYIT'!L185)),"")</f>
        <v/>
      </c>
      <c r="J185" s="26" t="str">
        <f>IFERROR(IF('ŞİKAYET KAYIT'!P185="Kapatıldı","",IF('ŞİKAYET KAYIT'!M185="","",'ŞİKAYET KAYIT'!M185)),"")</f>
        <v/>
      </c>
      <c r="K185" s="26" t="str">
        <f>IFERROR(IF('ŞİKAYET KAYIT'!P185="Kapatıldı","",IF('ŞİKAYET KAYIT'!N185="","",'ŞİKAYET KAYIT'!N185)),"")</f>
        <v/>
      </c>
      <c r="L185" s="26" t="str">
        <f>IFERROR(IF('ŞİKAYET KAYIT'!P185="Kapatıldı","",IF('ŞİKAYET KAYIT'!O185="","",'ŞİKAYET KAYIT'!O185)),"")</f>
        <v/>
      </c>
      <c r="M185" s="26" t="str">
        <f>IFERROR(IF('ŞİKAYET KAYIT'!P185="Kapatıldı","",IF('ŞİKAYET KAYIT'!P185="","",'ŞİKAYET KAYIT'!P185)),"")</f>
        <v/>
      </c>
    </row>
    <row r="186" spans="1:13" ht="15" customHeight="1" x14ac:dyDescent="0.3">
      <c r="A186" s="3" t="str">
        <f>IFERROR(IF('ŞİKAYET KAYIT'!P186="Kapatıldı","",IF('ŞİKAYET KAYIT'!A186="","",'ŞİKAYET KAYIT'!A186)),"")</f>
        <v/>
      </c>
      <c r="B186" s="5" t="str">
        <f>IFERROR(IF('ŞİKAYET KAYIT'!P186="Kapatıldı","",IF('ŞİKAYET KAYIT'!B186="","",'ŞİKAYET KAYIT'!B186)),"")</f>
        <v/>
      </c>
      <c r="C186" s="3" t="str">
        <f>IFERROR(IF('ŞİKAYET KAYIT'!P186="Kapatıldı","",IF('ŞİKAYET KAYIT'!D186="","",'ŞİKAYET KAYIT'!D186)),"")</f>
        <v/>
      </c>
      <c r="D186" s="3" t="str">
        <f>IFERROR(IF('ŞİKAYET KAYIT'!P186="Kapatıldı","",IF('ŞİKAYET KAYIT'!F186="","",'ŞİKAYET KAYIT'!F186)),"")</f>
        <v/>
      </c>
      <c r="E186" s="3" t="str">
        <f>IFERROR(IF('ŞİKAYET KAYIT'!P186="Kapatıldı","",IF('ŞİKAYET KAYIT'!H186="","",'ŞİKAYET KAYIT'!H186)),"")</f>
        <v/>
      </c>
      <c r="F186" s="3" t="str">
        <f>IFERROR(IF('ŞİKAYET KAYIT'!P186="Kapatıldı","",IF('ŞİKAYET KAYIT'!I186="","",'ŞİKAYET KAYIT'!I186)),"")</f>
        <v/>
      </c>
      <c r="G186" s="3" t="str">
        <f>IFERROR(IF('ŞİKAYET KAYIT'!P186="Kapatıldı","",IF('ŞİKAYET KAYIT'!J186="","",'ŞİKAYET KAYIT'!J186)),"")</f>
        <v/>
      </c>
      <c r="H186" s="3" t="str">
        <f>IFERROR(IF('ŞİKAYET KAYIT'!P186="Kapatıldı","",IF('ŞİKAYET KAYIT'!K186="","",'ŞİKAYET KAYIT'!K186)),"")</f>
        <v/>
      </c>
      <c r="I186" s="3" t="str">
        <f>IFERROR(IF('ŞİKAYET KAYIT'!P186="Kapatıldı","",IF('ŞİKAYET KAYIT'!L186="","",'ŞİKAYET KAYIT'!L186)),"")</f>
        <v/>
      </c>
      <c r="J186" s="3" t="str">
        <f>IFERROR(IF('ŞİKAYET KAYIT'!P186="Kapatıldı","",IF('ŞİKAYET KAYIT'!M186="","",'ŞİKAYET KAYIT'!M186)),"")</f>
        <v/>
      </c>
      <c r="K186" s="3" t="str">
        <f>IFERROR(IF('ŞİKAYET KAYIT'!P186="Kapatıldı","",IF('ŞİKAYET KAYIT'!N186="","",'ŞİKAYET KAYIT'!N186)),"")</f>
        <v/>
      </c>
      <c r="L186" s="3" t="str">
        <f>IFERROR(IF('ŞİKAYET KAYIT'!P186="Kapatıldı","",IF('ŞİKAYET KAYIT'!O186="","",'ŞİKAYET KAYIT'!O186)),"")</f>
        <v/>
      </c>
      <c r="M186" s="3" t="str">
        <f>IFERROR(IF('ŞİKAYET KAYIT'!P186="Kapatıldı","",IF('ŞİKAYET KAYIT'!P186="","",'ŞİKAYET KAYIT'!P186)),"")</f>
        <v/>
      </c>
    </row>
    <row r="187" spans="1:13" ht="15" customHeight="1" x14ac:dyDescent="0.3">
      <c r="A187" s="26" t="str">
        <f>IFERROR(IF('ŞİKAYET KAYIT'!P187="Kapatıldı","",IF('ŞİKAYET KAYIT'!A187="","",'ŞİKAYET KAYIT'!A187)),"")</f>
        <v/>
      </c>
      <c r="B187" s="8" t="str">
        <f>IFERROR(IF('ŞİKAYET KAYIT'!P187="Kapatıldı","",IF('ŞİKAYET KAYIT'!B187="","",'ŞİKAYET KAYIT'!B187)),"")</f>
        <v/>
      </c>
      <c r="C187" s="26" t="str">
        <f>IFERROR(IF('ŞİKAYET KAYIT'!P187="Kapatıldı","",IF('ŞİKAYET KAYIT'!D187="","",'ŞİKAYET KAYIT'!D187)),"")</f>
        <v/>
      </c>
      <c r="D187" s="26" t="str">
        <f>IFERROR(IF('ŞİKAYET KAYIT'!P187="Kapatıldı","",IF('ŞİKAYET KAYIT'!F187="","",'ŞİKAYET KAYIT'!F187)),"")</f>
        <v/>
      </c>
      <c r="E187" s="26" t="str">
        <f>IFERROR(IF('ŞİKAYET KAYIT'!P187="Kapatıldı","",IF('ŞİKAYET KAYIT'!H187="","",'ŞİKAYET KAYIT'!H187)),"")</f>
        <v/>
      </c>
      <c r="F187" s="26" t="str">
        <f>IFERROR(IF('ŞİKAYET KAYIT'!P187="Kapatıldı","",IF('ŞİKAYET KAYIT'!I187="","",'ŞİKAYET KAYIT'!I187)),"")</f>
        <v/>
      </c>
      <c r="G187" s="26" t="str">
        <f>IFERROR(IF('ŞİKAYET KAYIT'!P187="Kapatıldı","",IF('ŞİKAYET KAYIT'!J187="","",'ŞİKAYET KAYIT'!J187)),"")</f>
        <v/>
      </c>
      <c r="H187" s="26" t="str">
        <f>IFERROR(IF('ŞİKAYET KAYIT'!P187="Kapatıldı","",IF('ŞİKAYET KAYIT'!K187="","",'ŞİKAYET KAYIT'!K187)),"")</f>
        <v/>
      </c>
      <c r="I187" s="26" t="str">
        <f>IFERROR(IF('ŞİKAYET KAYIT'!P187="Kapatıldı","",IF('ŞİKAYET KAYIT'!L187="","",'ŞİKAYET KAYIT'!L187)),"")</f>
        <v/>
      </c>
      <c r="J187" s="26" t="str">
        <f>IFERROR(IF('ŞİKAYET KAYIT'!P187="Kapatıldı","",IF('ŞİKAYET KAYIT'!M187="","",'ŞİKAYET KAYIT'!M187)),"")</f>
        <v/>
      </c>
      <c r="K187" s="26" t="str">
        <f>IFERROR(IF('ŞİKAYET KAYIT'!P187="Kapatıldı","",IF('ŞİKAYET KAYIT'!N187="","",'ŞİKAYET KAYIT'!N187)),"")</f>
        <v/>
      </c>
      <c r="L187" s="26" t="str">
        <f>IFERROR(IF('ŞİKAYET KAYIT'!P187="Kapatıldı","",IF('ŞİKAYET KAYIT'!O187="","",'ŞİKAYET KAYIT'!O187)),"")</f>
        <v/>
      </c>
      <c r="M187" s="26" t="str">
        <f>IFERROR(IF('ŞİKAYET KAYIT'!P187="Kapatıldı","",IF('ŞİKAYET KAYIT'!P187="","",'ŞİKAYET KAYIT'!P187)),"")</f>
        <v/>
      </c>
    </row>
    <row r="188" spans="1:13" ht="15" customHeight="1" x14ac:dyDescent="0.3">
      <c r="A188" s="3" t="str">
        <f>IFERROR(IF('ŞİKAYET KAYIT'!P188="Kapatıldı","",IF('ŞİKAYET KAYIT'!A188="","",'ŞİKAYET KAYIT'!A188)),"")</f>
        <v/>
      </c>
      <c r="B188" s="5" t="str">
        <f>IFERROR(IF('ŞİKAYET KAYIT'!P188="Kapatıldı","",IF('ŞİKAYET KAYIT'!B188="","",'ŞİKAYET KAYIT'!B188)),"")</f>
        <v/>
      </c>
      <c r="C188" s="3" t="str">
        <f>IFERROR(IF('ŞİKAYET KAYIT'!P188="Kapatıldı","",IF('ŞİKAYET KAYIT'!D188="","",'ŞİKAYET KAYIT'!D188)),"")</f>
        <v/>
      </c>
      <c r="D188" s="3" t="str">
        <f>IFERROR(IF('ŞİKAYET KAYIT'!P188="Kapatıldı","",IF('ŞİKAYET KAYIT'!F188="","",'ŞİKAYET KAYIT'!F188)),"")</f>
        <v/>
      </c>
      <c r="E188" s="3" t="str">
        <f>IFERROR(IF('ŞİKAYET KAYIT'!P188="Kapatıldı","",IF('ŞİKAYET KAYIT'!H188="","",'ŞİKAYET KAYIT'!H188)),"")</f>
        <v/>
      </c>
      <c r="F188" s="3" t="str">
        <f>IFERROR(IF('ŞİKAYET KAYIT'!P188="Kapatıldı","",IF('ŞİKAYET KAYIT'!I188="","",'ŞİKAYET KAYIT'!I188)),"")</f>
        <v/>
      </c>
      <c r="G188" s="3" t="str">
        <f>IFERROR(IF('ŞİKAYET KAYIT'!P188="Kapatıldı","",IF('ŞİKAYET KAYIT'!J188="","",'ŞİKAYET KAYIT'!J188)),"")</f>
        <v/>
      </c>
      <c r="H188" s="3" t="str">
        <f>IFERROR(IF('ŞİKAYET KAYIT'!P188="Kapatıldı","",IF('ŞİKAYET KAYIT'!K188="","",'ŞİKAYET KAYIT'!K188)),"")</f>
        <v/>
      </c>
      <c r="I188" s="3" t="str">
        <f>IFERROR(IF('ŞİKAYET KAYIT'!P188="Kapatıldı","",IF('ŞİKAYET KAYIT'!L188="","",'ŞİKAYET KAYIT'!L188)),"")</f>
        <v/>
      </c>
      <c r="J188" s="3" t="str">
        <f>IFERROR(IF('ŞİKAYET KAYIT'!P188="Kapatıldı","",IF('ŞİKAYET KAYIT'!M188="","",'ŞİKAYET KAYIT'!M188)),"")</f>
        <v/>
      </c>
      <c r="K188" s="3" t="str">
        <f>IFERROR(IF('ŞİKAYET KAYIT'!P188="Kapatıldı","",IF('ŞİKAYET KAYIT'!N188="","",'ŞİKAYET KAYIT'!N188)),"")</f>
        <v/>
      </c>
      <c r="L188" s="3" t="str">
        <f>IFERROR(IF('ŞİKAYET KAYIT'!P188="Kapatıldı","",IF('ŞİKAYET KAYIT'!O188="","",'ŞİKAYET KAYIT'!O188)),"")</f>
        <v/>
      </c>
      <c r="M188" s="3" t="str">
        <f>IFERROR(IF('ŞİKAYET KAYIT'!P188="Kapatıldı","",IF('ŞİKAYET KAYIT'!P188="","",'ŞİKAYET KAYIT'!P188)),"")</f>
        <v/>
      </c>
    </row>
    <row r="189" spans="1:13" ht="15" customHeight="1" x14ac:dyDescent="0.3">
      <c r="A189" s="26" t="str">
        <f>IFERROR(IF('ŞİKAYET KAYIT'!P189="Kapatıldı","",IF('ŞİKAYET KAYIT'!A189="","",'ŞİKAYET KAYIT'!A189)),"")</f>
        <v/>
      </c>
      <c r="B189" s="8" t="str">
        <f>IFERROR(IF('ŞİKAYET KAYIT'!P189="Kapatıldı","",IF('ŞİKAYET KAYIT'!B189="","",'ŞİKAYET KAYIT'!B189)),"")</f>
        <v/>
      </c>
      <c r="C189" s="26" t="str">
        <f>IFERROR(IF('ŞİKAYET KAYIT'!P189="Kapatıldı","",IF('ŞİKAYET KAYIT'!D189="","",'ŞİKAYET KAYIT'!D189)),"")</f>
        <v/>
      </c>
      <c r="D189" s="26" t="str">
        <f>IFERROR(IF('ŞİKAYET KAYIT'!P189="Kapatıldı","",IF('ŞİKAYET KAYIT'!F189="","",'ŞİKAYET KAYIT'!F189)),"")</f>
        <v/>
      </c>
      <c r="E189" s="26" t="str">
        <f>IFERROR(IF('ŞİKAYET KAYIT'!P189="Kapatıldı","",IF('ŞİKAYET KAYIT'!H189="","",'ŞİKAYET KAYIT'!H189)),"")</f>
        <v/>
      </c>
      <c r="F189" s="26" t="str">
        <f>IFERROR(IF('ŞİKAYET KAYIT'!P189="Kapatıldı","",IF('ŞİKAYET KAYIT'!I189="","",'ŞİKAYET KAYIT'!I189)),"")</f>
        <v/>
      </c>
      <c r="G189" s="26" t="str">
        <f>IFERROR(IF('ŞİKAYET KAYIT'!P189="Kapatıldı","",IF('ŞİKAYET KAYIT'!J189="","",'ŞİKAYET KAYIT'!J189)),"")</f>
        <v/>
      </c>
      <c r="H189" s="26" t="str">
        <f>IFERROR(IF('ŞİKAYET KAYIT'!P189="Kapatıldı","",IF('ŞİKAYET KAYIT'!K189="","",'ŞİKAYET KAYIT'!K189)),"")</f>
        <v/>
      </c>
      <c r="I189" s="26" t="str">
        <f>IFERROR(IF('ŞİKAYET KAYIT'!P189="Kapatıldı","",IF('ŞİKAYET KAYIT'!L189="","",'ŞİKAYET KAYIT'!L189)),"")</f>
        <v/>
      </c>
      <c r="J189" s="26" t="str">
        <f>IFERROR(IF('ŞİKAYET KAYIT'!P189="Kapatıldı","",IF('ŞİKAYET KAYIT'!M189="","",'ŞİKAYET KAYIT'!M189)),"")</f>
        <v/>
      </c>
      <c r="K189" s="26" t="str">
        <f>IFERROR(IF('ŞİKAYET KAYIT'!P189="Kapatıldı","",IF('ŞİKAYET KAYIT'!N189="","",'ŞİKAYET KAYIT'!N189)),"")</f>
        <v/>
      </c>
      <c r="L189" s="26" t="str">
        <f>IFERROR(IF('ŞİKAYET KAYIT'!P189="Kapatıldı","",IF('ŞİKAYET KAYIT'!O189="","",'ŞİKAYET KAYIT'!O189)),"")</f>
        <v/>
      </c>
      <c r="M189" s="26" t="str">
        <f>IFERROR(IF('ŞİKAYET KAYIT'!P189="Kapatıldı","",IF('ŞİKAYET KAYIT'!P189="","",'ŞİKAYET KAYIT'!P189)),"")</f>
        <v/>
      </c>
    </row>
    <row r="190" spans="1:13" ht="15" customHeight="1" x14ac:dyDescent="0.3">
      <c r="A190" s="3" t="str">
        <f>IFERROR(IF('ŞİKAYET KAYIT'!P190="Kapatıldı","",IF('ŞİKAYET KAYIT'!A190="","",'ŞİKAYET KAYIT'!A190)),"")</f>
        <v/>
      </c>
      <c r="B190" s="5" t="str">
        <f>IFERROR(IF('ŞİKAYET KAYIT'!P190="Kapatıldı","",IF('ŞİKAYET KAYIT'!B190="","",'ŞİKAYET KAYIT'!B190)),"")</f>
        <v/>
      </c>
      <c r="C190" s="3" t="str">
        <f>IFERROR(IF('ŞİKAYET KAYIT'!P190="Kapatıldı","",IF('ŞİKAYET KAYIT'!D190="","",'ŞİKAYET KAYIT'!D190)),"")</f>
        <v/>
      </c>
      <c r="D190" s="3" t="str">
        <f>IFERROR(IF('ŞİKAYET KAYIT'!P190="Kapatıldı","",IF('ŞİKAYET KAYIT'!F190="","",'ŞİKAYET KAYIT'!F190)),"")</f>
        <v/>
      </c>
      <c r="E190" s="3" t="str">
        <f>IFERROR(IF('ŞİKAYET KAYIT'!P190="Kapatıldı","",IF('ŞİKAYET KAYIT'!H190="","",'ŞİKAYET KAYIT'!H190)),"")</f>
        <v/>
      </c>
      <c r="F190" s="3" t="str">
        <f>IFERROR(IF('ŞİKAYET KAYIT'!P190="Kapatıldı","",IF('ŞİKAYET KAYIT'!I190="","",'ŞİKAYET KAYIT'!I190)),"")</f>
        <v/>
      </c>
      <c r="G190" s="3" t="str">
        <f>IFERROR(IF('ŞİKAYET KAYIT'!P190="Kapatıldı","",IF('ŞİKAYET KAYIT'!J190="","",'ŞİKAYET KAYIT'!J190)),"")</f>
        <v/>
      </c>
      <c r="H190" s="3" t="str">
        <f>IFERROR(IF('ŞİKAYET KAYIT'!P190="Kapatıldı","",IF('ŞİKAYET KAYIT'!K190="","",'ŞİKAYET KAYIT'!K190)),"")</f>
        <v/>
      </c>
      <c r="I190" s="3" t="str">
        <f>IFERROR(IF('ŞİKAYET KAYIT'!P190="Kapatıldı","",IF('ŞİKAYET KAYIT'!L190="","",'ŞİKAYET KAYIT'!L190)),"")</f>
        <v/>
      </c>
      <c r="J190" s="3" t="str">
        <f>IFERROR(IF('ŞİKAYET KAYIT'!P190="Kapatıldı","",IF('ŞİKAYET KAYIT'!M190="","",'ŞİKAYET KAYIT'!M190)),"")</f>
        <v/>
      </c>
      <c r="K190" s="3" t="str">
        <f>IFERROR(IF('ŞİKAYET KAYIT'!P190="Kapatıldı","",IF('ŞİKAYET KAYIT'!N190="","",'ŞİKAYET KAYIT'!N190)),"")</f>
        <v/>
      </c>
      <c r="L190" s="3" t="str">
        <f>IFERROR(IF('ŞİKAYET KAYIT'!P190="Kapatıldı","",IF('ŞİKAYET KAYIT'!O190="","",'ŞİKAYET KAYIT'!O190)),"")</f>
        <v/>
      </c>
      <c r="M190" s="3" t="str">
        <f>IFERROR(IF('ŞİKAYET KAYIT'!P190="Kapatıldı","",IF('ŞİKAYET KAYIT'!P190="","",'ŞİKAYET KAYIT'!P190)),"")</f>
        <v/>
      </c>
    </row>
    <row r="191" spans="1:13" ht="15" customHeight="1" x14ac:dyDescent="0.3">
      <c r="A191" s="26" t="str">
        <f>IFERROR(IF('ŞİKAYET KAYIT'!P191="Kapatıldı","",IF('ŞİKAYET KAYIT'!A191="","",'ŞİKAYET KAYIT'!A191)),"")</f>
        <v/>
      </c>
      <c r="B191" s="8" t="str">
        <f>IFERROR(IF('ŞİKAYET KAYIT'!P191="Kapatıldı","",IF('ŞİKAYET KAYIT'!B191="","",'ŞİKAYET KAYIT'!B191)),"")</f>
        <v/>
      </c>
      <c r="C191" s="26" t="str">
        <f>IFERROR(IF('ŞİKAYET KAYIT'!P191="Kapatıldı","",IF('ŞİKAYET KAYIT'!D191="","",'ŞİKAYET KAYIT'!D191)),"")</f>
        <v/>
      </c>
      <c r="D191" s="26" t="str">
        <f>IFERROR(IF('ŞİKAYET KAYIT'!P191="Kapatıldı","",IF('ŞİKAYET KAYIT'!F191="","",'ŞİKAYET KAYIT'!F191)),"")</f>
        <v/>
      </c>
      <c r="E191" s="26" t="str">
        <f>IFERROR(IF('ŞİKAYET KAYIT'!P191="Kapatıldı","",IF('ŞİKAYET KAYIT'!H191="","",'ŞİKAYET KAYIT'!H191)),"")</f>
        <v/>
      </c>
      <c r="F191" s="26" t="str">
        <f>IFERROR(IF('ŞİKAYET KAYIT'!P191="Kapatıldı","",IF('ŞİKAYET KAYIT'!I191="","",'ŞİKAYET KAYIT'!I191)),"")</f>
        <v/>
      </c>
      <c r="G191" s="26" t="str">
        <f>IFERROR(IF('ŞİKAYET KAYIT'!P191="Kapatıldı","",IF('ŞİKAYET KAYIT'!J191="","",'ŞİKAYET KAYIT'!J191)),"")</f>
        <v/>
      </c>
      <c r="H191" s="26" t="str">
        <f>IFERROR(IF('ŞİKAYET KAYIT'!P191="Kapatıldı","",IF('ŞİKAYET KAYIT'!K191="","",'ŞİKAYET KAYIT'!K191)),"")</f>
        <v/>
      </c>
      <c r="I191" s="26" t="str">
        <f>IFERROR(IF('ŞİKAYET KAYIT'!P191="Kapatıldı","",IF('ŞİKAYET KAYIT'!L191="","",'ŞİKAYET KAYIT'!L191)),"")</f>
        <v/>
      </c>
      <c r="J191" s="26" t="str">
        <f>IFERROR(IF('ŞİKAYET KAYIT'!P191="Kapatıldı","",IF('ŞİKAYET KAYIT'!M191="","",'ŞİKAYET KAYIT'!M191)),"")</f>
        <v/>
      </c>
      <c r="K191" s="26" t="str">
        <f>IFERROR(IF('ŞİKAYET KAYIT'!P191="Kapatıldı","",IF('ŞİKAYET KAYIT'!N191="","",'ŞİKAYET KAYIT'!N191)),"")</f>
        <v/>
      </c>
      <c r="L191" s="26" t="str">
        <f>IFERROR(IF('ŞİKAYET KAYIT'!P191="Kapatıldı","",IF('ŞİKAYET KAYIT'!O191="","",'ŞİKAYET KAYIT'!O191)),"")</f>
        <v/>
      </c>
      <c r="M191" s="26" t="str">
        <f>IFERROR(IF('ŞİKAYET KAYIT'!P191="Kapatıldı","",IF('ŞİKAYET KAYIT'!P191="","",'ŞİKAYET KAYIT'!P191)),"")</f>
        <v/>
      </c>
    </row>
    <row r="192" spans="1:13" ht="15" customHeight="1" x14ac:dyDescent="0.3">
      <c r="A192" s="3" t="str">
        <f>IFERROR(IF('ŞİKAYET KAYIT'!P192="Kapatıldı","",IF('ŞİKAYET KAYIT'!A192="","",'ŞİKAYET KAYIT'!A192)),"")</f>
        <v/>
      </c>
      <c r="B192" s="5" t="str">
        <f>IFERROR(IF('ŞİKAYET KAYIT'!P192="Kapatıldı","",IF('ŞİKAYET KAYIT'!B192="","",'ŞİKAYET KAYIT'!B192)),"")</f>
        <v/>
      </c>
      <c r="C192" s="3" t="str">
        <f>IFERROR(IF('ŞİKAYET KAYIT'!P192="Kapatıldı","",IF('ŞİKAYET KAYIT'!D192="","",'ŞİKAYET KAYIT'!D192)),"")</f>
        <v/>
      </c>
      <c r="D192" s="3" t="str">
        <f>IFERROR(IF('ŞİKAYET KAYIT'!P192="Kapatıldı","",IF('ŞİKAYET KAYIT'!F192="","",'ŞİKAYET KAYIT'!F192)),"")</f>
        <v/>
      </c>
      <c r="E192" s="3" t="str">
        <f>IFERROR(IF('ŞİKAYET KAYIT'!P192="Kapatıldı","",IF('ŞİKAYET KAYIT'!H192="","",'ŞİKAYET KAYIT'!H192)),"")</f>
        <v/>
      </c>
      <c r="F192" s="3" t="str">
        <f>IFERROR(IF('ŞİKAYET KAYIT'!P192="Kapatıldı","",IF('ŞİKAYET KAYIT'!I192="","",'ŞİKAYET KAYIT'!I192)),"")</f>
        <v/>
      </c>
      <c r="G192" s="3" t="str">
        <f>IFERROR(IF('ŞİKAYET KAYIT'!P192="Kapatıldı","",IF('ŞİKAYET KAYIT'!J192="","",'ŞİKAYET KAYIT'!J192)),"")</f>
        <v/>
      </c>
      <c r="H192" s="3" t="str">
        <f>IFERROR(IF('ŞİKAYET KAYIT'!P192="Kapatıldı","",IF('ŞİKAYET KAYIT'!K192="","",'ŞİKAYET KAYIT'!K192)),"")</f>
        <v/>
      </c>
      <c r="I192" s="3" t="str">
        <f>IFERROR(IF('ŞİKAYET KAYIT'!P192="Kapatıldı","",IF('ŞİKAYET KAYIT'!L192="","",'ŞİKAYET KAYIT'!L192)),"")</f>
        <v/>
      </c>
      <c r="J192" s="3" t="str">
        <f>IFERROR(IF('ŞİKAYET KAYIT'!P192="Kapatıldı","",IF('ŞİKAYET KAYIT'!M192="","",'ŞİKAYET KAYIT'!M192)),"")</f>
        <v/>
      </c>
      <c r="K192" s="3" t="str">
        <f>IFERROR(IF('ŞİKAYET KAYIT'!P192="Kapatıldı","",IF('ŞİKAYET KAYIT'!N192="","",'ŞİKAYET KAYIT'!N192)),"")</f>
        <v/>
      </c>
      <c r="L192" s="3" t="str">
        <f>IFERROR(IF('ŞİKAYET KAYIT'!P192="Kapatıldı","",IF('ŞİKAYET KAYIT'!O192="","",'ŞİKAYET KAYIT'!O192)),"")</f>
        <v/>
      </c>
      <c r="M192" s="3" t="str">
        <f>IFERROR(IF('ŞİKAYET KAYIT'!P192="Kapatıldı","",IF('ŞİKAYET KAYIT'!P192="","",'ŞİKAYET KAYIT'!P192)),"")</f>
        <v/>
      </c>
    </row>
    <row r="193" spans="1:13" ht="15" customHeight="1" x14ac:dyDescent="0.3">
      <c r="A193" s="26" t="str">
        <f>IFERROR(IF('ŞİKAYET KAYIT'!P193="Kapatıldı","",IF('ŞİKAYET KAYIT'!A193="","",'ŞİKAYET KAYIT'!A193)),"")</f>
        <v/>
      </c>
      <c r="B193" s="8" t="str">
        <f>IFERROR(IF('ŞİKAYET KAYIT'!P193="Kapatıldı","",IF('ŞİKAYET KAYIT'!B193="","",'ŞİKAYET KAYIT'!B193)),"")</f>
        <v/>
      </c>
      <c r="C193" s="26" t="str">
        <f>IFERROR(IF('ŞİKAYET KAYIT'!P193="Kapatıldı","",IF('ŞİKAYET KAYIT'!D193="","",'ŞİKAYET KAYIT'!D193)),"")</f>
        <v/>
      </c>
      <c r="D193" s="26" t="str">
        <f>IFERROR(IF('ŞİKAYET KAYIT'!P193="Kapatıldı","",IF('ŞİKAYET KAYIT'!F193="","",'ŞİKAYET KAYIT'!F193)),"")</f>
        <v/>
      </c>
      <c r="E193" s="26" t="str">
        <f>IFERROR(IF('ŞİKAYET KAYIT'!P193="Kapatıldı","",IF('ŞİKAYET KAYIT'!H193="","",'ŞİKAYET KAYIT'!H193)),"")</f>
        <v/>
      </c>
      <c r="F193" s="26" t="str">
        <f>IFERROR(IF('ŞİKAYET KAYIT'!P193="Kapatıldı","",IF('ŞİKAYET KAYIT'!I193="","",'ŞİKAYET KAYIT'!I193)),"")</f>
        <v/>
      </c>
      <c r="G193" s="26" t="str">
        <f>IFERROR(IF('ŞİKAYET KAYIT'!P193="Kapatıldı","",IF('ŞİKAYET KAYIT'!J193="","",'ŞİKAYET KAYIT'!J193)),"")</f>
        <v/>
      </c>
      <c r="H193" s="26" t="str">
        <f>IFERROR(IF('ŞİKAYET KAYIT'!P193="Kapatıldı","",IF('ŞİKAYET KAYIT'!K193="","",'ŞİKAYET KAYIT'!K193)),"")</f>
        <v/>
      </c>
      <c r="I193" s="26" t="str">
        <f>IFERROR(IF('ŞİKAYET KAYIT'!P193="Kapatıldı","",IF('ŞİKAYET KAYIT'!L193="","",'ŞİKAYET KAYIT'!L193)),"")</f>
        <v/>
      </c>
      <c r="J193" s="26" t="str">
        <f>IFERROR(IF('ŞİKAYET KAYIT'!P193="Kapatıldı","",IF('ŞİKAYET KAYIT'!M193="","",'ŞİKAYET KAYIT'!M193)),"")</f>
        <v/>
      </c>
      <c r="K193" s="26" t="str">
        <f>IFERROR(IF('ŞİKAYET KAYIT'!P193="Kapatıldı","",IF('ŞİKAYET KAYIT'!N193="","",'ŞİKAYET KAYIT'!N193)),"")</f>
        <v/>
      </c>
      <c r="L193" s="26" t="str">
        <f>IFERROR(IF('ŞİKAYET KAYIT'!P193="Kapatıldı","",IF('ŞİKAYET KAYIT'!O193="","",'ŞİKAYET KAYIT'!O193)),"")</f>
        <v/>
      </c>
      <c r="M193" s="26" t="str">
        <f>IFERROR(IF('ŞİKAYET KAYIT'!P193="Kapatıldı","",IF('ŞİKAYET KAYIT'!P193="","",'ŞİKAYET KAYIT'!P193)),"")</f>
        <v/>
      </c>
    </row>
    <row r="194" spans="1:13" ht="15" customHeight="1" x14ac:dyDescent="0.3">
      <c r="A194" s="3" t="str">
        <f>IFERROR(IF('ŞİKAYET KAYIT'!P194="Kapatıldı","",IF('ŞİKAYET KAYIT'!A194="","",'ŞİKAYET KAYIT'!A194)),"")</f>
        <v/>
      </c>
      <c r="B194" s="5" t="str">
        <f>IFERROR(IF('ŞİKAYET KAYIT'!P194="Kapatıldı","",IF('ŞİKAYET KAYIT'!B194="","",'ŞİKAYET KAYIT'!B194)),"")</f>
        <v/>
      </c>
      <c r="C194" s="3" t="str">
        <f>IFERROR(IF('ŞİKAYET KAYIT'!P194="Kapatıldı","",IF('ŞİKAYET KAYIT'!D194="","",'ŞİKAYET KAYIT'!D194)),"")</f>
        <v/>
      </c>
      <c r="D194" s="3" t="str">
        <f>IFERROR(IF('ŞİKAYET KAYIT'!P194="Kapatıldı","",IF('ŞİKAYET KAYIT'!F194="","",'ŞİKAYET KAYIT'!F194)),"")</f>
        <v/>
      </c>
      <c r="E194" s="3" t="str">
        <f>IFERROR(IF('ŞİKAYET KAYIT'!P194="Kapatıldı","",IF('ŞİKAYET KAYIT'!H194="","",'ŞİKAYET KAYIT'!H194)),"")</f>
        <v/>
      </c>
      <c r="F194" s="3" t="str">
        <f>IFERROR(IF('ŞİKAYET KAYIT'!P194="Kapatıldı","",IF('ŞİKAYET KAYIT'!I194="","",'ŞİKAYET KAYIT'!I194)),"")</f>
        <v/>
      </c>
      <c r="G194" s="3" t="str">
        <f>IFERROR(IF('ŞİKAYET KAYIT'!P194="Kapatıldı","",IF('ŞİKAYET KAYIT'!J194="","",'ŞİKAYET KAYIT'!J194)),"")</f>
        <v/>
      </c>
      <c r="H194" s="3" t="str">
        <f>IFERROR(IF('ŞİKAYET KAYIT'!P194="Kapatıldı","",IF('ŞİKAYET KAYIT'!K194="","",'ŞİKAYET KAYIT'!K194)),"")</f>
        <v/>
      </c>
      <c r="I194" s="3" t="str">
        <f>IFERROR(IF('ŞİKAYET KAYIT'!P194="Kapatıldı","",IF('ŞİKAYET KAYIT'!L194="","",'ŞİKAYET KAYIT'!L194)),"")</f>
        <v/>
      </c>
      <c r="J194" s="3" t="str">
        <f>IFERROR(IF('ŞİKAYET KAYIT'!P194="Kapatıldı","",IF('ŞİKAYET KAYIT'!M194="","",'ŞİKAYET KAYIT'!M194)),"")</f>
        <v/>
      </c>
      <c r="K194" s="3" t="str">
        <f>IFERROR(IF('ŞİKAYET KAYIT'!P194="Kapatıldı","",IF('ŞİKAYET KAYIT'!N194="","",'ŞİKAYET KAYIT'!N194)),"")</f>
        <v/>
      </c>
      <c r="L194" s="3" t="str">
        <f>IFERROR(IF('ŞİKAYET KAYIT'!P194="Kapatıldı","",IF('ŞİKAYET KAYIT'!O194="","",'ŞİKAYET KAYIT'!O194)),"")</f>
        <v/>
      </c>
      <c r="M194" s="3" t="str">
        <f>IFERROR(IF('ŞİKAYET KAYIT'!P194="Kapatıldı","",IF('ŞİKAYET KAYIT'!P194="","",'ŞİKAYET KAYIT'!P194)),"")</f>
        <v/>
      </c>
    </row>
    <row r="195" spans="1:13" ht="15" customHeight="1" x14ac:dyDescent="0.3">
      <c r="A195" s="26" t="str">
        <f>IFERROR(IF('ŞİKAYET KAYIT'!P195="Kapatıldı","",IF('ŞİKAYET KAYIT'!A195="","",'ŞİKAYET KAYIT'!A195)),"")</f>
        <v/>
      </c>
      <c r="B195" s="8" t="str">
        <f>IFERROR(IF('ŞİKAYET KAYIT'!P195="Kapatıldı","",IF('ŞİKAYET KAYIT'!B195="","",'ŞİKAYET KAYIT'!B195)),"")</f>
        <v/>
      </c>
      <c r="C195" s="26" t="str">
        <f>IFERROR(IF('ŞİKAYET KAYIT'!P195="Kapatıldı","",IF('ŞİKAYET KAYIT'!D195="","",'ŞİKAYET KAYIT'!D195)),"")</f>
        <v/>
      </c>
      <c r="D195" s="26" t="str">
        <f>IFERROR(IF('ŞİKAYET KAYIT'!P195="Kapatıldı","",IF('ŞİKAYET KAYIT'!F195="","",'ŞİKAYET KAYIT'!F195)),"")</f>
        <v/>
      </c>
      <c r="E195" s="26" t="str">
        <f>IFERROR(IF('ŞİKAYET KAYIT'!P195="Kapatıldı","",IF('ŞİKAYET KAYIT'!H195="","",'ŞİKAYET KAYIT'!H195)),"")</f>
        <v/>
      </c>
      <c r="F195" s="26" t="str">
        <f>IFERROR(IF('ŞİKAYET KAYIT'!P195="Kapatıldı","",IF('ŞİKAYET KAYIT'!I195="","",'ŞİKAYET KAYIT'!I195)),"")</f>
        <v/>
      </c>
      <c r="G195" s="26" t="str">
        <f>IFERROR(IF('ŞİKAYET KAYIT'!P195="Kapatıldı","",IF('ŞİKAYET KAYIT'!J195="","",'ŞİKAYET KAYIT'!J195)),"")</f>
        <v/>
      </c>
      <c r="H195" s="26" t="str">
        <f>IFERROR(IF('ŞİKAYET KAYIT'!P195="Kapatıldı","",IF('ŞİKAYET KAYIT'!K195="","",'ŞİKAYET KAYIT'!K195)),"")</f>
        <v/>
      </c>
      <c r="I195" s="26" t="str">
        <f>IFERROR(IF('ŞİKAYET KAYIT'!P195="Kapatıldı","",IF('ŞİKAYET KAYIT'!L195="","",'ŞİKAYET KAYIT'!L195)),"")</f>
        <v/>
      </c>
      <c r="J195" s="26" t="str">
        <f>IFERROR(IF('ŞİKAYET KAYIT'!P195="Kapatıldı","",IF('ŞİKAYET KAYIT'!M195="","",'ŞİKAYET KAYIT'!M195)),"")</f>
        <v/>
      </c>
      <c r="K195" s="26" t="str">
        <f>IFERROR(IF('ŞİKAYET KAYIT'!P195="Kapatıldı","",IF('ŞİKAYET KAYIT'!N195="","",'ŞİKAYET KAYIT'!N195)),"")</f>
        <v/>
      </c>
      <c r="L195" s="26" t="str">
        <f>IFERROR(IF('ŞİKAYET KAYIT'!P195="Kapatıldı","",IF('ŞİKAYET KAYIT'!O195="","",'ŞİKAYET KAYIT'!O195)),"")</f>
        <v/>
      </c>
      <c r="M195" s="26" t="str">
        <f>IFERROR(IF('ŞİKAYET KAYIT'!P195="Kapatıldı","",IF('ŞİKAYET KAYIT'!P195="","",'ŞİKAYET KAYIT'!P195)),"")</f>
        <v/>
      </c>
    </row>
    <row r="196" spans="1:13" ht="15" customHeight="1" x14ac:dyDescent="0.3">
      <c r="A196" s="3" t="str">
        <f>IFERROR(IF('ŞİKAYET KAYIT'!P196="Kapatıldı","",IF('ŞİKAYET KAYIT'!A196="","",'ŞİKAYET KAYIT'!A196)),"")</f>
        <v/>
      </c>
      <c r="B196" s="5" t="str">
        <f>IFERROR(IF('ŞİKAYET KAYIT'!P196="Kapatıldı","",IF('ŞİKAYET KAYIT'!B196="","",'ŞİKAYET KAYIT'!B196)),"")</f>
        <v/>
      </c>
      <c r="C196" s="3" t="str">
        <f>IFERROR(IF('ŞİKAYET KAYIT'!P196="Kapatıldı","",IF('ŞİKAYET KAYIT'!D196="","",'ŞİKAYET KAYIT'!D196)),"")</f>
        <v/>
      </c>
      <c r="D196" s="3" t="str">
        <f>IFERROR(IF('ŞİKAYET KAYIT'!P196="Kapatıldı","",IF('ŞİKAYET KAYIT'!F196="","",'ŞİKAYET KAYIT'!F196)),"")</f>
        <v/>
      </c>
      <c r="E196" s="3" t="str">
        <f>IFERROR(IF('ŞİKAYET KAYIT'!P196="Kapatıldı","",IF('ŞİKAYET KAYIT'!H196="","",'ŞİKAYET KAYIT'!H196)),"")</f>
        <v/>
      </c>
      <c r="F196" s="3" t="str">
        <f>IFERROR(IF('ŞİKAYET KAYIT'!P196="Kapatıldı","",IF('ŞİKAYET KAYIT'!I196="","",'ŞİKAYET KAYIT'!I196)),"")</f>
        <v/>
      </c>
      <c r="G196" s="3" t="str">
        <f>IFERROR(IF('ŞİKAYET KAYIT'!P196="Kapatıldı","",IF('ŞİKAYET KAYIT'!J196="","",'ŞİKAYET KAYIT'!J196)),"")</f>
        <v/>
      </c>
      <c r="H196" s="3" t="str">
        <f>IFERROR(IF('ŞİKAYET KAYIT'!P196="Kapatıldı","",IF('ŞİKAYET KAYIT'!K196="","",'ŞİKAYET KAYIT'!K196)),"")</f>
        <v/>
      </c>
      <c r="I196" s="3" t="str">
        <f>IFERROR(IF('ŞİKAYET KAYIT'!P196="Kapatıldı","",IF('ŞİKAYET KAYIT'!L196="","",'ŞİKAYET KAYIT'!L196)),"")</f>
        <v/>
      </c>
      <c r="J196" s="3" t="str">
        <f>IFERROR(IF('ŞİKAYET KAYIT'!P196="Kapatıldı","",IF('ŞİKAYET KAYIT'!M196="","",'ŞİKAYET KAYIT'!M196)),"")</f>
        <v/>
      </c>
      <c r="K196" s="3" t="str">
        <f>IFERROR(IF('ŞİKAYET KAYIT'!P196="Kapatıldı","",IF('ŞİKAYET KAYIT'!N196="","",'ŞİKAYET KAYIT'!N196)),"")</f>
        <v/>
      </c>
      <c r="L196" s="3" t="str">
        <f>IFERROR(IF('ŞİKAYET KAYIT'!P196="Kapatıldı","",IF('ŞİKAYET KAYIT'!O196="","",'ŞİKAYET KAYIT'!O196)),"")</f>
        <v/>
      </c>
      <c r="M196" s="3" t="str">
        <f>IFERROR(IF('ŞİKAYET KAYIT'!P196="Kapatıldı","",IF('ŞİKAYET KAYIT'!P196="","",'ŞİKAYET KAYIT'!P196)),"")</f>
        <v/>
      </c>
    </row>
    <row r="197" spans="1:13" ht="15" customHeight="1" x14ac:dyDescent="0.3">
      <c r="A197" s="26" t="str">
        <f>IFERROR(IF('ŞİKAYET KAYIT'!P197="Kapatıldı","",IF('ŞİKAYET KAYIT'!A197="","",'ŞİKAYET KAYIT'!A197)),"")</f>
        <v/>
      </c>
      <c r="B197" s="8" t="str">
        <f>IFERROR(IF('ŞİKAYET KAYIT'!P197="Kapatıldı","",IF('ŞİKAYET KAYIT'!B197="","",'ŞİKAYET KAYIT'!B197)),"")</f>
        <v/>
      </c>
      <c r="C197" s="26" t="str">
        <f>IFERROR(IF('ŞİKAYET KAYIT'!P197="Kapatıldı","",IF('ŞİKAYET KAYIT'!D197="","",'ŞİKAYET KAYIT'!D197)),"")</f>
        <v/>
      </c>
      <c r="D197" s="26" t="str">
        <f>IFERROR(IF('ŞİKAYET KAYIT'!P197="Kapatıldı","",IF('ŞİKAYET KAYIT'!F197="","",'ŞİKAYET KAYIT'!F197)),"")</f>
        <v/>
      </c>
      <c r="E197" s="26" t="str">
        <f>IFERROR(IF('ŞİKAYET KAYIT'!P197="Kapatıldı","",IF('ŞİKAYET KAYIT'!H197="","",'ŞİKAYET KAYIT'!H197)),"")</f>
        <v/>
      </c>
      <c r="F197" s="26" t="str">
        <f>IFERROR(IF('ŞİKAYET KAYIT'!P197="Kapatıldı","",IF('ŞİKAYET KAYIT'!I197="","",'ŞİKAYET KAYIT'!I197)),"")</f>
        <v/>
      </c>
      <c r="G197" s="26" t="str">
        <f>IFERROR(IF('ŞİKAYET KAYIT'!P197="Kapatıldı","",IF('ŞİKAYET KAYIT'!J197="","",'ŞİKAYET KAYIT'!J197)),"")</f>
        <v/>
      </c>
      <c r="H197" s="26" t="str">
        <f>IFERROR(IF('ŞİKAYET KAYIT'!P197="Kapatıldı","",IF('ŞİKAYET KAYIT'!K197="","",'ŞİKAYET KAYIT'!K197)),"")</f>
        <v/>
      </c>
      <c r="I197" s="26" t="str">
        <f>IFERROR(IF('ŞİKAYET KAYIT'!P197="Kapatıldı","",IF('ŞİKAYET KAYIT'!L197="","",'ŞİKAYET KAYIT'!L197)),"")</f>
        <v/>
      </c>
      <c r="J197" s="26" t="str">
        <f>IFERROR(IF('ŞİKAYET KAYIT'!P197="Kapatıldı","",IF('ŞİKAYET KAYIT'!M197="","",'ŞİKAYET KAYIT'!M197)),"")</f>
        <v/>
      </c>
      <c r="K197" s="26" t="str">
        <f>IFERROR(IF('ŞİKAYET KAYIT'!P197="Kapatıldı","",IF('ŞİKAYET KAYIT'!N197="","",'ŞİKAYET KAYIT'!N197)),"")</f>
        <v/>
      </c>
      <c r="L197" s="26" t="str">
        <f>IFERROR(IF('ŞİKAYET KAYIT'!P197="Kapatıldı","",IF('ŞİKAYET KAYIT'!O197="","",'ŞİKAYET KAYIT'!O197)),"")</f>
        <v/>
      </c>
      <c r="M197" s="26" t="str">
        <f>IFERROR(IF('ŞİKAYET KAYIT'!P197="Kapatıldı","",IF('ŞİKAYET KAYIT'!P197="","",'ŞİKAYET KAYIT'!P197)),"")</f>
        <v/>
      </c>
    </row>
    <row r="198" spans="1:13" ht="15" customHeight="1" x14ac:dyDescent="0.3">
      <c r="A198" s="3" t="str">
        <f>IFERROR(IF('ŞİKAYET KAYIT'!P198="Kapatıldı","",IF('ŞİKAYET KAYIT'!A198="","",'ŞİKAYET KAYIT'!A198)),"")</f>
        <v/>
      </c>
      <c r="B198" s="5" t="str">
        <f>IFERROR(IF('ŞİKAYET KAYIT'!P198="Kapatıldı","",IF('ŞİKAYET KAYIT'!B198="","",'ŞİKAYET KAYIT'!B198)),"")</f>
        <v/>
      </c>
      <c r="C198" s="3" t="str">
        <f>IFERROR(IF('ŞİKAYET KAYIT'!P198="Kapatıldı","",IF('ŞİKAYET KAYIT'!D198="","",'ŞİKAYET KAYIT'!D198)),"")</f>
        <v/>
      </c>
      <c r="D198" s="3" t="str">
        <f>IFERROR(IF('ŞİKAYET KAYIT'!P198="Kapatıldı","",IF('ŞİKAYET KAYIT'!F198="","",'ŞİKAYET KAYIT'!F198)),"")</f>
        <v/>
      </c>
      <c r="E198" s="3" t="str">
        <f>IFERROR(IF('ŞİKAYET KAYIT'!P198="Kapatıldı","",IF('ŞİKAYET KAYIT'!H198="","",'ŞİKAYET KAYIT'!H198)),"")</f>
        <v/>
      </c>
      <c r="F198" s="3" t="str">
        <f>IFERROR(IF('ŞİKAYET KAYIT'!P198="Kapatıldı","",IF('ŞİKAYET KAYIT'!I198="","",'ŞİKAYET KAYIT'!I198)),"")</f>
        <v/>
      </c>
      <c r="G198" s="3" t="str">
        <f>IFERROR(IF('ŞİKAYET KAYIT'!P198="Kapatıldı","",IF('ŞİKAYET KAYIT'!J198="","",'ŞİKAYET KAYIT'!J198)),"")</f>
        <v/>
      </c>
      <c r="H198" s="3" t="str">
        <f>IFERROR(IF('ŞİKAYET KAYIT'!P198="Kapatıldı","",IF('ŞİKAYET KAYIT'!K198="","",'ŞİKAYET KAYIT'!K198)),"")</f>
        <v/>
      </c>
      <c r="I198" s="3" t="str">
        <f>IFERROR(IF('ŞİKAYET KAYIT'!P198="Kapatıldı","",IF('ŞİKAYET KAYIT'!L198="","",'ŞİKAYET KAYIT'!L198)),"")</f>
        <v/>
      </c>
      <c r="J198" s="3" t="str">
        <f>IFERROR(IF('ŞİKAYET KAYIT'!P198="Kapatıldı","",IF('ŞİKAYET KAYIT'!M198="","",'ŞİKAYET KAYIT'!M198)),"")</f>
        <v/>
      </c>
      <c r="K198" s="3" t="str">
        <f>IFERROR(IF('ŞİKAYET KAYIT'!P198="Kapatıldı","",IF('ŞİKAYET KAYIT'!N198="","",'ŞİKAYET KAYIT'!N198)),"")</f>
        <v/>
      </c>
      <c r="L198" s="3" t="str">
        <f>IFERROR(IF('ŞİKAYET KAYIT'!P198="Kapatıldı","",IF('ŞİKAYET KAYIT'!O198="","",'ŞİKAYET KAYIT'!O198)),"")</f>
        <v/>
      </c>
      <c r="M198" s="3" t="str">
        <f>IFERROR(IF('ŞİKAYET KAYIT'!P198="Kapatıldı","",IF('ŞİKAYET KAYIT'!P198="","",'ŞİKAYET KAYIT'!P198)),"")</f>
        <v/>
      </c>
    </row>
    <row r="199" spans="1:13" ht="15" customHeight="1" x14ac:dyDescent="0.3">
      <c r="A199" s="26" t="str">
        <f>IFERROR(IF('ŞİKAYET KAYIT'!P199="Kapatıldı","",IF('ŞİKAYET KAYIT'!A199="","",'ŞİKAYET KAYIT'!A199)),"")</f>
        <v/>
      </c>
      <c r="B199" s="8" t="str">
        <f>IFERROR(IF('ŞİKAYET KAYIT'!P199="Kapatıldı","",IF('ŞİKAYET KAYIT'!B199="","",'ŞİKAYET KAYIT'!B199)),"")</f>
        <v/>
      </c>
      <c r="C199" s="26" t="str">
        <f>IFERROR(IF('ŞİKAYET KAYIT'!P199="Kapatıldı","",IF('ŞİKAYET KAYIT'!D199="","",'ŞİKAYET KAYIT'!D199)),"")</f>
        <v/>
      </c>
      <c r="D199" s="26" t="str">
        <f>IFERROR(IF('ŞİKAYET KAYIT'!P199="Kapatıldı","",IF('ŞİKAYET KAYIT'!F199="","",'ŞİKAYET KAYIT'!F199)),"")</f>
        <v/>
      </c>
      <c r="E199" s="26" t="str">
        <f>IFERROR(IF('ŞİKAYET KAYIT'!P199="Kapatıldı","",IF('ŞİKAYET KAYIT'!H199="","",'ŞİKAYET KAYIT'!H199)),"")</f>
        <v/>
      </c>
      <c r="F199" s="26" t="str">
        <f>IFERROR(IF('ŞİKAYET KAYIT'!P199="Kapatıldı","",IF('ŞİKAYET KAYIT'!I199="","",'ŞİKAYET KAYIT'!I199)),"")</f>
        <v/>
      </c>
      <c r="G199" s="26" t="str">
        <f>IFERROR(IF('ŞİKAYET KAYIT'!P199="Kapatıldı","",IF('ŞİKAYET KAYIT'!J199="","",'ŞİKAYET KAYIT'!J199)),"")</f>
        <v/>
      </c>
      <c r="H199" s="26" t="str">
        <f>IFERROR(IF('ŞİKAYET KAYIT'!P199="Kapatıldı","",IF('ŞİKAYET KAYIT'!K199="","",'ŞİKAYET KAYIT'!K199)),"")</f>
        <v/>
      </c>
      <c r="I199" s="26" t="str">
        <f>IFERROR(IF('ŞİKAYET KAYIT'!P199="Kapatıldı","",IF('ŞİKAYET KAYIT'!L199="","",'ŞİKAYET KAYIT'!L199)),"")</f>
        <v/>
      </c>
      <c r="J199" s="26" t="str">
        <f>IFERROR(IF('ŞİKAYET KAYIT'!P199="Kapatıldı","",IF('ŞİKAYET KAYIT'!M199="","",'ŞİKAYET KAYIT'!M199)),"")</f>
        <v/>
      </c>
      <c r="K199" s="26" t="str">
        <f>IFERROR(IF('ŞİKAYET KAYIT'!P199="Kapatıldı","",IF('ŞİKAYET KAYIT'!N199="","",'ŞİKAYET KAYIT'!N199)),"")</f>
        <v/>
      </c>
      <c r="L199" s="26" t="str">
        <f>IFERROR(IF('ŞİKAYET KAYIT'!P199="Kapatıldı","",IF('ŞİKAYET KAYIT'!O199="","",'ŞİKAYET KAYIT'!O199)),"")</f>
        <v/>
      </c>
      <c r="M199" s="26" t="str">
        <f>IFERROR(IF('ŞİKAYET KAYIT'!P199="Kapatıldı","",IF('ŞİKAYET KAYIT'!P199="","",'ŞİKAYET KAYIT'!P199)),"")</f>
        <v/>
      </c>
    </row>
    <row r="200" spans="1:13" ht="15" customHeight="1" x14ac:dyDescent="0.3">
      <c r="A200" s="3" t="str">
        <f>IFERROR(IF('ŞİKAYET KAYIT'!P200="Kapatıldı","",IF('ŞİKAYET KAYIT'!A200="","",'ŞİKAYET KAYIT'!A200)),"")</f>
        <v/>
      </c>
      <c r="B200" s="5" t="str">
        <f>IFERROR(IF('ŞİKAYET KAYIT'!P200="Kapatıldı","",IF('ŞİKAYET KAYIT'!B200="","",'ŞİKAYET KAYIT'!B200)),"")</f>
        <v/>
      </c>
      <c r="C200" s="3" t="str">
        <f>IFERROR(IF('ŞİKAYET KAYIT'!P200="Kapatıldı","",IF('ŞİKAYET KAYIT'!D200="","",'ŞİKAYET KAYIT'!D200)),"")</f>
        <v/>
      </c>
      <c r="D200" s="3" t="str">
        <f>IFERROR(IF('ŞİKAYET KAYIT'!P200="Kapatıldı","",IF('ŞİKAYET KAYIT'!F200="","",'ŞİKAYET KAYIT'!F200)),"")</f>
        <v/>
      </c>
      <c r="E200" s="3" t="str">
        <f>IFERROR(IF('ŞİKAYET KAYIT'!P200="Kapatıldı","",IF('ŞİKAYET KAYIT'!H200="","",'ŞİKAYET KAYIT'!H200)),"")</f>
        <v/>
      </c>
      <c r="F200" s="3" t="str">
        <f>IFERROR(IF('ŞİKAYET KAYIT'!P200="Kapatıldı","",IF('ŞİKAYET KAYIT'!I200="","",'ŞİKAYET KAYIT'!I200)),"")</f>
        <v/>
      </c>
      <c r="G200" s="3" t="str">
        <f>IFERROR(IF('ŞİKAYET KAYIT'!P200="Kapatıldı","",IF('ŞİKAYET KAYIT'!J200="","",'ŞİKAYET KAYIT'!J200)),"")</f>
        <v/>
      </c>
      <c r="H200" s="3" t="str">
        <f>IFERROR(IF('ŞİKAYET KAYIT'!P200="Kapatıldı","",IF('ŞİKAYET KAYIT'!K200="","",'ŞİKAYET KAYIT'!K200)),"")</f>
        <v/>
      </c>
      <c r="I200" s="3" t="str">
        <f>IFERROR(IF('ŞİKAYET KAYIT'!P200="Kapatıldı","",IF('ŞİKAYET KAYIT'!L200="","",'ŞİKAYET KAYIT'!L200)),"")</f>
        <v/>
      </c>
      <c r="J200" s="3" t="str">
        <f>IFERROR(IF('ŞİKAYET KAYIT'!P200="Kapatıldı","",IF('ŞİKAYET KAYIT'!M200="","",'ŞİKAYET KAYIT'!M200)),"")</f>
        <v/>
      </c>
      <c r="K200" s="3" t="str">
        <f>IFERROR(IF('ŞİKAYET KAYIT'!P200="Kapatıldı","",IF('ŞİKAYET KAYIT'!N200="","",'ŞİKAYET KAYIT'!N200)),"")</f>
        <v/>
      </c>
      <c r="L200" s="3" t="str">
        <f>IFERROR(IF('ŞİKAYET KAYIT'!P200="Kapatıldı","",IF('ŞİKAYET KAYIT'!O200="","",'ŞİKAYET KAYIT'!O200)),"")</f>
        <v/>
      </c>
      <c r="M200" s="3" t="str">
        <f>IFERROR(IF('ŞİKAYET KAYIT'!P200="Kapatıldı","",IF('ŞİKAYET KAYIT'!P200="","",'ŞİKAYET KAYIT'!P200)),"")</f>
        <v/>
      </c>
    </row>
    <row r="201" spans="1:13" ht="15" customHeight="1" x14ac:dyDescent="0.3">
      <c r="A201" s="26" t="str">
        <f>IFERROR(IF('ŞİKAYET KAYIT'!P201="Kapatıldı","",IF('ŞİKAYET KAYIT'!A201="","",'ŞİKAYET KAYIT'!A201)),"")</f>
        <v/>
      </c>
      <c r="B201" s="8" t="str">
        <f>IFERROR(IF('ŞİKAYET KAYIT'!P201="Kapatıldı","",IF('ŞİKAYET KAYIT'!B201="","",'ŞİKAYET KAYIT'!B201)),"")</f>
        <v/>
      </c>
      <c r="C201" s="26" t="str">
        <f>IFERROR(IF('ŞİKAYET KAYIT'!P201="Kapatıldı","",IF('ŞİKAYET KAYIT'!D201="","",'ŞİKAYET KAYIT'!D201)),"")</f>
        <v/>
      </c>
      <c r="D201" s="26" t="str">
        <f>IFERROR(IF('ŞİKAYET KAYIT'!P201="Kapatıldı","",IF('ŞİKAYET KAYIT'!F201="","",'ŞİKAYET KAYIT'!F201)),"")</f>
        <v/>
      </c>
      <c r="E201" s="26" t="str">
        <f>IFERROR(IF('ŞİKAYET KAYIT'!P201="Kapatıldı","",IF('ŞİKAYET KAYIT'!H201="","",'ŞİKAYET KAYIT'!H201)),"")</f>
        <v/>
      </c>
      <c r="F201" s="26" t="str">
        <f>IFERROR(IF('ŞİKAYET KAYIT'!P201="Kapatıldı","",IF('ŞİKAYET KAYIT'!I201="","",'ŞİKAYET KAYIT'!I201)),"")</f>
        <v/>
      </c>
      <c r="G201" s="26" t="str">
        <f>IFERROR(IF('ŞİKAYET KAYIT'!P201="Kapatıldı","",IF('ŞİKAYET KAYIT'!J201="","",'ŞİKAYET KAYIT'!J201)),"")</f>
        <v/>
      </c>
      <c r="H201" s="26" t="str">
        <f>IFERROR(IF('ŞİKAYET KAYIT'!P201="Kapatıldı","",IF('ŞİKAYET KAYIT'!K201="","",'ŞİKAYET KAYIT'!K201)),"")</f>
        <v/>
      </c>
      <c r="I201" s="26" t="str">
        <f>IFERROR(IF('ŞİKAYET KAYIT'!P201="Kapatıldı","",IF('ŞİKAYET KAYIT'!L201="","",'ŞİKAYET KAYIT'!L201)),"")</f>
        <v/>
      </c>
      <c r="J201" s="26" t="str">
        <f>IFERROR(IF('ŞİKAYET KAYIT'!P201="Kapatıldı","",IF('ŞİKAYET KAYIT'!M201="","",'ŞİKAYET KAYIT'!M201)),"")</f>
        <v/>
      </c>
      <c r="K201" s="26" t="str">
        <f>IFERROR(IF('ŞİKAYET KAYIT'!P201="Kapatıldı","",IF('ŞİKAYET KAYIT'!N201="","",'ŞİKAYET KAYIT'!N201)),"")</f>
        <v/>
      </c>
      <c r="L201" s="26" t="str">
        <f>IFERROR(IF('ŞİKAYET KAYIT'!P201="Kapatıldı","",IF('ŞİKAYET KAYIT'!O201="","",'ŞİKAYET KAYIT'!O201)),"")</f>
        <v/>
      </c>
      <c r="M201" s="26" t="str">
        <f>IFERROR(IF('ŞİKAYET KAYIT'!P201="Kapatıldı","",IF('ŞİKAYET KAYIT'!P201="","",'ŞİKAYET KAYIT'!P201)),"")</f>
        <v/>
      </c>
    </row>
    <row r="202" spans="1:13" ht="15" customHeight="1" x14ac:dyDescent="0.3">
      <c r="A202" s="3" t="str">
        <f>IFERROR(IF('ŞİKAYET KAYIT'!P202="Kapatıldı","",IF('ŞİKAYET KAYIT'!A202="","",'ŞİKAYET KAYIT'!A202)),"")</f>
        <v/>
      </c>
      <c r="B202" s="5" t="str">
        <f>IFERROR(IF('ŞİKAYET KAYIT'!P202="Kapatıldı","",IF('ŞİKAYET KAYIT'!B202="","",'ŞİKAYET KAYIT'!B202)),"")</f>
        <v/>
      </c>
      <c r="C202" s="3" t="str">
        <f>IFERROR(IF('ŞİKAYET KAYIT'!P202="Kapatıldı","",IF('ŞİKAYET KAYIT'!D202="","",'ŞİKAYET KAYIT'!D202)),"")</f>
        <v/>
      </c>
      <c r="D202" s="3" t="str">
        <f>IFERROR(IF('ŞİKAYET KAYIT'!P202="Kapatıldı","",IF('ŞİKAYET KAYIT'!F202="","",'ŞİKAYET KAYIT'!F202)),"")</f>
        <v/>
      </c>
      <c r="E202" s="3" t="str">
        <f>IFERROR(IF('ŞİKAYET KAYIT'!P202="Kapatıldı","",IF('ŞİKAYET KAYIT'!H202="","",'ŞİKAYET KAYIT'!H202)),"")</f>
        <v/>
      </c>
      <c r="F202" s="3" t="str">
        <f>IFERROR(IF('ŞİKAYET KAYIT'!P202="Kapatıldı","",IF('ŞİKAYET KAYIT'!I202="","",'ŞİKAYET KAYIT'!I202)),"")</f>
        <v/>
      </c>
      <c r="G202" s="3" t="str">
        <f>IFERROR(IF('ŞİKAYET KAYIT'!P202="Kapatıldı","",IF('ŞİKAYET KAYIT'!J202="","",'ŞİKAYET KAYIT'!J202)),"")</f>
        <v/>
      </c>
      <c r="H202" s="3" t="str">
        <f>IFERROR(IF('ŞİKAYET KAYIT'!P202="Kapatıldı","",IF('ŞİKAYET KAYIT'!K202="","",'ŞİKAYET KAYIT'!K202)),"")</f>
        <v/>
      </c>
      <c r="I202" s="3" t="str">
        <f>IFERROR(IF('ŞİKAYET KAYIT'!P202="Kapatıldı","",IF('ŞİKAYET KAYIT'!L202="","",'ŞİKAYET KAYIT'!L202)),"")</f>
        <v/>
      </c>
      <c r="J202" s="3" t="str">
        <f>IFERROR(IF('ŞİKAYET KAYIT'!P202="Kapatıldı","",IF('ŞİKAYET KAYIT'!M202="","",'ŞİKAYET KAYIT'!M202)),"")</f>
        <v/>
      </c>
      <c r="K202" s="3" t="str">
        <f>IFERROR(IF('ŞİKAYET KAYIT'!P202="Kapatıldı","",IF('ŞİKAYET KAYIT'!N202="","",'ŞİKAYET KAYIT'!N202)),"")</f>
        <v/>
      </c>
      <c r="L202" s="3" t="str">
        <f>IFERROR(IF('ŞİKAYET KAYIT'!P202="Kapatıldı","",IF('ŞİKAYET KAYIT'!O202="","",'ŞİKAYET KAYIT'!O202)),"")</f>
        <v/>
      </c>
      <c r="M202" s="3" t="str">
        <f>IFERROR(IF('ŞİKAYET KAYIT'!P202="Kapatıldı","",IF('ŞİKAYET KAYIT'!P202="","",'ŞİKAYET KAYIT'!P202)),"")</f>
        <v/>
      </c>
    </row>
    <row r="203" spans="1:13" ht="15" customHeight="1" x14ac:dyDescent="0.3">
      <c r="A203" s="26" t="str">
        <f>IFERROR(IF('ŞİKAYET KAYIT'!P203="Kapatıldı","",IF('ŞİKAYET KAYIT'!A203="","",'ŞİKAYET KAYIT'!A203)),"")</f>
        <v/>
      </c>
      <c r="B203" s="8" t="str">
        <f>IFERROR(IF('ŞİKAYET KAYIT'!P203="Kapatıldı","",IF('ŞİKAYET KAYIT'!B203="","",'ŞİKAYET KAYIT'!B203)),"")</f>
        <v/>
      </c>
      <c r="C203" s="26" t="str">
        <f>IFERROR(IF('ŞİKAYET KAYIT'!P203="Kapatıldı","",IF('ŞİKAYET KAYIT'!D203="","",'ŞİKAYET KAYIT'!D203)),"")</f>
        <v/>
      </c>
      <c r="D203" s="26" t="str">
        <f>IFERROR(IF('ŞİKAYET KAYIT'!P203="Kapatıldı","",IF('ŞİKAYET KAYIT'!F203="","",'ŞİKAYET KAYIT'!F203)),"")</f>
        <v/>
      </c>
      <c r="E203" s="26" t="str">
        <f>IFERROR(IF('ŞİKAYET KAYIT'!P203="Kapatıldı","",IF('ŞİKAYET KAYIT'!H203="","",'ŞİKAYET KAYIT'!H203)),"")</f>
        <v/>
      </c>
      <c r="F203" s="26" t="str">
        <f>IFERROR(IF('ŞİKAYET KAYIT'!P203="Kapatıldı","",IF('ŞİKAYET KAYIT'!I203="","",'ŞİKAYET KAYIT'!I203)),"")</f>
        <v/>
      </c>
      <c r="G203" s="26" t="str">
        <f>IFERROR(IF('ŞİKAYET KAYIT'!P203="Kapatıldı","",IF('ŞİKAYET KAYIT'!J203="","",'ŞİKAYET KAYIT'!J203)),"")</f>
        <v/>
      </c>
      <c r="H203" s="26" t="str">
        <f>IFERROR(IF('ŞİKAYET KAYIT'!P203="Kapatıldı","",IF('ŞİKAYET KAYIT'!K203="","",'ŞİKAYET KAYIT'!K203)),"")</f>
        <v/>
      </c>
      <c r="I203" s="26" t="str">
        <f>IFERROR(IF('ŞİKAYET KAYIT'!P203="Kapatıldı","",IF('ŞİKAYET KAYIT'!L203="","",'ŞİKAYET KAYIT'!L203)),"")</f>
        <v/>
      </c>
      <c r="J203" s="26" t="str">
        <f>IFERROR(IF('ŞİKAYET KAYIT'!P203="Kapatıldı","",IF('ŞİKAYET KAYIT'!M203="","",'ŞİKAYET KAYIT'!M203)),"")</f>
        <v/>
      </c>
      <c r="K203" s="26" t="str">
        <f>IFERROR(IF('ŞİKAYET KAYIT'!P203="Kapatıldı","",IF('ŞİKAYET KAYIT'!N203="","",'ŞİKAYET KAYIT'!N203)),"")</f>
        <v/>
      </c>
      <c r="L203" s="26" t="str">
        <f>IFERROR(IF('ŞİKAYET KAYIT'!P203="Kapatıldı","",IF('ŞİKAYET KAYIT'!O203="","",'ŞİKAYET KAYIT'!O203)),"")</f>
        <v/>
      </c>
      <c r="M203" s="26" t="str">
        <f>IFERROR(IF('ŞİKAYET KAYIT'!P203="Kapatıldı","",IF('ŞİKAYET KAYIT'!P203="","",'ŞİKAYET KAYIT'!P203)),"")</f>
        <v/>
      </c>
    </row>
    <row r="204" spans="1:13" ht="15" customHeight="1" x14ac:dyDescent="0.3">
      <c r="A204" s="3" t="str">
        <f>IFERROR(IF('ŞİKAYET KAYIT'!P204="Kapatıldı","",IF('ŞİKAYET KAYIT'!A204="","",'ŞİKAYET KAYIT'!A204)),"")</f>
        <v/>
      </c>
      <c r="B204" s="5" t="str">
        <f>IFERROR(IF('ŞİKAYET KAYIT'!P204="Kapatıldı","",IF('ŞİKAYET KAYIT'!B204="","",'ŞİKAYET KAYIT'!B204)),"")</f>
        <v/>
      </c>
      <c r="C204" s="3" t="str">
        <f>IFERROR(IF('ŞİKAYET KAYIT'!P204="Kapatıldı","",IF('ŞİKAYET KAYIT'!D204="","",'ŞİKAYET KAYIT'!D204)),"")</f>
        <v/>
      </c>
      <c r="D204" s="3" t="str">
        <f>IFERROR(IF('ŞİKAYET KAYIT'!P204="Kapatıldı","",IF('ŞİKAYET KAYIT'!F204="","",'ŞİKAYET KAYIT'!F204)),"")</f>
        <v/>
      </c>
      <c r="E204" s="3" t="str">
        <f>IFERROR(IF('ŞİKAYET KAYIT'!P204="Kapatıldı","",IF('ŞİKAYET KAYIT'!H204="","",'ŞİKAYET KAYIT'!H204)),"")</f>
        <v/>
      </c>
      <c r="F204" s="3" t="str">
        <f>IFERROR(IF('ŞİKAYET KAYIT'!P204="Kapatıldı","",IF('ŞİKAYET KAYIT'!I204="","",'ŞİKAYET KAYIT'!I204)),"")</f>
        <v/>
      </c>
      <c r="G204" s="3" t="str">
        <f>IFERROR(IF('ŞİKAYET KAYIT'!P204="Kapatıldı","",IF('ŞİKAYET KAYIT'!J204="","",'ŞİKAYET KAYIT'!J204)),"")</f>
        <v/>
      </c>
      <c r="H204" s="3" t="str">
        <f>IFERROR(IF('ŞİKAYET KAYIT'!P204="Kapatıldı","",IF('ŞİKAYET KAYIT'!K204="","",'ŞİKAYET KAYIT'!K204)),"")</f>
        <v/>
      </c>
      <c r="I204" s="3" t="str">
        <f>IFERROR(IF('ŞİKAYET KAYIT'!P204="Kapatıldı","",IF('ŞİKAYET KAYIT'!L204="","",'ŞİKAYET KAYIT'!L204)),"")</f>
        <v/>
      </c>
      <c r="J204" s="3" t="str">
        <f>IFERROR(IF('ŞİKAYET KAYIT'!P204="Kapatıldı","",IF('ŞİKAYET KAYIT'!M204="","",'ŞİKAYET KAYIT'!M204)),"")</f>
        <v/>
      </c>
      <c r="K204" s="3" t="str">
        <f>IFERROR(IF('ŞİKAYET KAYIT'!P204="Kapatıldı","",IF('ŞİKAYET KAYIT'!N204="","",'ŞİKAYET KAYIT'!N204)),"")</f>
        <v/>
      </c>
      <c r="L204" s="3" t="str">
        <f>IFERROR(IF('ŞİKAYET KAYIT'!P204="Kapatıldı","",IF('ŞİKAYET KAYIT'!O204="","",'ŞİKAYET KAYIT'!O204)),"")</f>
        <v/>
      </c>
      <c r="M204" s="3" t="str">
        <f>IFERROR(IF('ŞİKAYET KAYIT'!P204="Kapatıldı","",IF('ŞİKAYET KAYIT'!P204="","",'ŞİKAYET KAYIT'!P204)),"")</f>
        <v/>
      </c>
    </row>
    <row r="205" spans="1:13" ht="15" customHeight="1" x14ac:dyDescent="0.3">
      <c r="A205" s="26" t="str">
        <f>IFERROR(IF('ŞİKAYET KAYIT'!P205="Kapatıldı","",IF('ŞİKAYET KAYIT'!A205="","",'ŞİKAYET KAYIT'!A205)),"")</f>
        <v/>
      </c>
      <c r="B205" s="8" t="str">
        <f>IFERROR(IF('ŞİKAYET KAYIT'!P205="Kapatıldı","",IF('ŞİKAYET KAYIT'!B205="","",'ŞİKAYET KAYIT'!B205)),"")</f>
        <v/>
      </c>
      <c r="C205" s="26" t="str">
        <f>IFERROR(IF('ŞİKAYET KAYIT'!P205="Kapatıldı","",IF('ŞİKAYET KAYIT'!D205="","",'ŞİKAYET KAYIT'!D205)),"")</f>
        <v/>
      </c>
      <c r="D205" s="26" t="str">
        <f>IFERROR(IF('ŞİKAYET KAYIT'!P205="Kapatıldı","",IF('ŞİKAYET KAYIT'!F205="","",'ŞİKAYET KAYIT'!F205)),"")</f>
        <v/>
      </c>
      <c r="E205" s="26" t="str">
        <f>IFERROR(IF('ŞİKAYET KAYIT'!P205="Kapatıldı","",IF('ŞİKAYET KAYIT'!H205="","",'ŞİKAYET KAYIT'!H205)),"")</f>
        <v/>
      </c>
      <c r="F205" s="26" t="str">
        <f>IFERROR(IF('ŞİKAYET KAYIT'!P205="Kapatıldı","",IF('ŞİKAYET KAYIT'!I205="","",'ŞİKAYET KAYIT'!I205)),"")</f>
        <v/>
      </c>
      <c r="G205" s="26" t="str">
        <f>IFERROR(IF('ŞİKAYET KAYIT'!P205="Kapatıldı","",IF('ŞİKAYET KAYIT'!J205="","",'ŞİKAYET KAYIT'!J205)),"")</f>
        <v/>
      </c>
      <c r="H205" s="26" t="str">
        <f>IFERROR(IF('ŞİKAYET KAYIT'!P205="Kapatıldı","",IF('ŞİKAYET KAYIT'!K205="","",'ŞİKAYET KAYIT'!K205)),"")</f>
        <v/>
      </c>
      <c r="I205" s="26" t="str">
        <f>IFERROR(IF('ŞİKAYET KAYIT'!P205="Kapatıldı","",IF('ŞİKAYET KAYIT'!L205="","",'ŞİKAYET KAYIT'!L205)),"")</f>
        <v/>
      </c>
      <c r="J205" s="26" t="str">
        <f>IFERROR(IF('ŞİKAYET KAYIT'!P205="Kapatıldı","",IF('ŞİKAYET KAYIT'!M205="","",'ŞİKAYET KAYIT'!M205)),"")</f>
        <v/>
      </c>
      <c r="K205" s="26" t="str">
        <f>IFERROR(IF('ŞİKAYET KAYIT'!P205="Kapatıldı","",IF('ŞİKAYET KAYIT'!N205="","",'ŞİKAYET KAYIT'!N205)),"")</f>
        <v/>
      </c>
      <c r="L205" s="26" t="str">
        <f>IFERROR(IF('ŞİKAYET KAYIT'!P205="Kapatıldı","",IF('ŞİKAYET KAYIT'!O205="","",'ŞİKAYET KAYIT'!O205)),"")</f>
        <v/>
      </c>
      <c r="M205" s="26" t="str">
        <f>IFERROR(IF('ŞİKAYET KAYIT'!P205="Kapatıldı","",IF('ŞİKAYET KAYIT'!P205="","",'ŞİKAYET KAYIT'!P205)),"")</f>
        <v/>
      </c>
    </row>
    <row r="206" spans="1:13" ht="15" customHeight="1" x14ac:dyDescent="0.3">
      <c r="A206" s="3" t="str">
        <f>IFERROR(IF('ŞİKAYET KAYIT'!P206="Kapatıldı","",IF('ŞİKAYET KAYIT'!A206="","",'ŞİKAYET KAYIT'!A206)),"")</f>
        <v/>
      </c>
      <c r="B206" s="5" t="str">
        <f>IFERROR(IF('ŞİKAYET KAYIT'!P206="Kapatıldı","",IF('ŞİKAYET KAYIT'!B206="","",'ŞİKAYET KAYIT'!B206)),"")</f>
        <v/>
      </c>
      <c r="C206" s="3" t="str">
        <f>IFERROR(IF('ŞİKAYET KAYIT'!P206="Kapatıldı","",IF('ŞİKAYET KAYIT'!D206="","",'ŞİKAYET KAYIT'!D206)),"")</f>
        <v/>
      </c>
      <c r="D206" s="3" t="str">
        <f>IFERROR(IF('ŞİKAYET KAYIT'!P206="Kapatıldı","",IF('ŞİKAYET KAYIT'!F206="","",'ŞİKAYET KAYIT'!F206)),"")</f>
        <v/>
      </c>
      <c r="E206" s="3" t="str">
        <f>IFERROR(IF('ŞİKAYET KAYIT'!P206="Kapatıldı","",IF('ŞİKAYET KAYIT'!H206="","",'ŞİKAYET KAYIT'!H206)),"")</f>
        <v/>
      </c>
      <c r="F206" s="3" t="str">
        <f>IFERROR(IF('ŞİKAYET KAYIT'!P206="Kapatıldı","",IF('ŞİKAYET KAYIT'!I206="","",'ŞİKAYET KAYIT'!I206)),"")</f>
        <v/>
      </c>
      <c r="G206" s="3" t="str">
        <f>IFERROR(IF('ŞİKAYET KAYIT'!P206="Kapatıldı","",IF('ŞİKAYET KAYIT'!J206="","",'ŞİKAYET KAYIT'!J206)),"")</f>
        <v/>
      </c>
      <c r="H206" s="3" t="str">
        <f>IFERROR(IF('ŞİKAYET KAYIT'!P206="Kapatıldı","",IF('ŞİKAYET KAYIT'!K206="","",'ŞİKAYET KAYIT'!K206)),"")</f>
        <v/>
      </c>
      <c r="I206" s="3" t="str">
        <f>IFERROR(IF('ŞİKAYET KAYIT'!P206="Kapatıldı","",IF('ŞİKAYET KAYIT'!L206="","",'ŞİKAYET KAYIT'!L206)),"")</f>
        <v/>
      </c>
      <c r="J206" s="3" t="str">
        <f>IFERROR(IF('ŞİKAYET KAYIT'!P206="Kapatıldı","",IF('ŞİKAYET KAYIT'!M206="","",'ŞİKAYET KAYIT'!M206)),"")</f>
        <v/>
      </c>
      <c r="K206" s="3" t="str">
        <f>IFERROR(IF('ŞİKAYET KAYIT'!P206="Kapatıldı","",IF('ŞİKAYET KAYIT'!N206="","",'ŞİKAYET KAYIT'!N206)),"")</f>
        <v/>
      </c>
      <c r="L206" s="3" t="str">
        <f>IFERROR(IF('ŞİKAYET KAYIT'!P206="Kapatıldı","",IF('ŞİKAYET KAYIT'!O206="","",'ŞİKAYET KAYIT'!O206)),"")</f>
        <v/>
      </c>
      <c r="M206" s="3" t="str">
        <f>IFERROR(IF('ŞİKAYET KAYIT'!P206="Kapatıldı","",IF('ŞİKAYET KAYIT'!P206="","",'ŞİKAYET KAYIT'!P206)),"")</f>
        <v/>
      </c>
    </row>
    <row r="207" spans="1:13" ht="15" customHeight="1" x14ac:dyDescent="0.3">
      <c r="A207" s="26" t="str">
        <f>IFERROR(IF('ŞİKAYET KAYIT'!P207="Kapatıldı","",IF('ŞİKAYET KAYIT'!A207="","",'ŞİKAYET KAYIT'!A207)),"")</f>
        <v/>
      </c>
      <c r="B207" s="8" t="str">
        <f>IFERROR(IF('ŞİKAYET KAYIT'!P207="Kapatıldı","",IF('ŞİKAYET KAYIT'!B207="","",'ŞİKAYET KAYIT'!B207)),"")</f>
        <v/>
      </c>
      <c r="C207" s="26" t="str">
        <f>IFERROR(IF('ŞİKAYET KAYIT'!P207="Kapatıldı","",IF('ŞİKAYET KAYIT'!D207="","",'ŞİKAYET KAYIT'!D207)),"")</f>
        <v/>
      </c>
      <c r="D207" s="26" t="str">
        <f>IFERROR(IF('ŞİKAYET KAYIT'!P207="Kapatıldı","",IF('ŞİKAYET KAYIT'!F207="","",'ŞİKAYET KAYIT'!F207)),"")</f>
        <v/>
      </c>
      <c r="E207" s="26" t="str">
        <f>IFERROR(IF('ŞİKAYET KAYIT'!P207="Kapatıldı","",IF('ŞİKAYET KAYIT'!H207="","",'ŞİKAYET KAYIT'!H207)),"")</f>
        <v/>
      </c>
      <c r="F207" s="26" t="str">
        <f>IFERROR(IF('ŞİKAYET KAYIT'!P207="Kapatıldı","",IF('ŞİKAYET KAYIT'!I207="","",'ŞİKAYET KAYIT'!I207)),"")</f>
        <v/>
      </c>
      <c r="G207" s="26" t="str">
        <f>IFERROR(IF('ŞİKAYET KAYIT'!P207="Kapatıldı","",IF('ŞİKAYET KAYIT'!J207="","",'ŞİKAYET KAYIT'!J207)),"")</f>
        <v/>
      </c>
      <c r="H207" s="26" t="str">
        <f>IFERROR(IF('ŞİKAYET KAYIT'!P207="Kapatıldı","",IF('ŞİKAYET KAYIT'!K207="","",'ŞİKAYET KAYIT'!K207)),"")</f>
        <v/>
      </c>
      <c r="I207" s="26" t="str">
        <f>IFERROR(IF('ŞİKAYET KAYIT'!P207="Kapatıldı","",IF('ŞİKAYET KAYIT'!L207="","",'ŞİKAYET KAYIT'!L207)),"")</f>
        <v/>
      </c>
      <c r="J207" s="26" t="str">
        <f>IFERROR(IF('ŞİKAYET KAYIT'!P207="Kapatıldı","",IF('ŞİKAYET KAYIT'!M207="","",'ŞİKAYET KAYIT'!M207)),"")</f>
        <v/>
      </c>
      <c r="K207" s="26" t="str">
        <f>IFERROR(IF('ŞİKAYET KAYIT'!P207="Kapatıldı","",IF('ŞİKAYET KAYIT'!N207="","",'ŞİKAYET KAYIT'!N207)),"")</f>
        <v/>
      </c>
      <c r="L207" s="26" t="str">
        <f>IFERROR(IF('ŞİKAYET KAYIT'!P207="Kapatıldı","",IF('ŞİKAYET KAYIT'!O207="","",'ŞİKAYET KAYIT'!O207)),"")</f>
        <v/>
      </c>
      <c r="M207" s="26" t="str">
        <f>IFERROR(IF('ŞİKAYET KAYIT'!P207="Kapatıldı","",IF('ŞİKAYET KAYIT'!P207="","",'ŞİKAYET KAYIT'!P207)),"")</f>
        <v/>
      </c>
    </row>
    <row r="208" spans="1:13" ht="15" customHeight="1" x14ac:dyDescent="0.3">
      <c r="A208" s="3" t="str">
        <f>IFERROR(IF('ŞİKAYET KAYIT'!P208="Kapatıldı","",IF('ŞİKAYET KAYIT'!A208="","",'ŞİKAYET KAYIT'!A208)),"")</f>
        <v/>
      </c>
      <c r="B208" s="5" t="str">
        <f>IFERROR(IF('ŞİKAYET KAYIT'!P208="Kapatıldı","",IF('ŞİKAYET KAYIT'!B208="","",'ŞİKAYET KAYIT'!B208)),"")</f>
        <v/>
      </c>
      <c r="C208" s="3" t="str">
        <f>IFERROR(IF('ŞİKAYET KAYIT'!P208="Kapatıldı","",IF('ŞİKAYET KAYIT'!D208="","",'ŞİKAYET KAYIT'!D208)),"")</f>
        <v/>
      </c>
      <c r="D208" s="3" t="str">
        <f>IFERROR(IF('ŞİKAYET KAYIT'!P208="Kapatıldı","",IF('ŞİKAYET KAYIT'!F208="","",'ŞİKAYET KAYIT'!F208)),"")</f>
        <v/>
      </c>
      <c r="E208" s="3" t="str">
        <f>IFERROR(IF('ŞİKAYET KAYIT'!P208="Kapatıldı","",IF('ŞİKAYET KAYIT'!H208="","",'ŞİKAYET KAYIT'!H208)),"")</f>
        <v/>
      </c>
      <c r="F208" s="3" t="str">
        <f>IFERROR(IF('ŞİKAYET KAYIT'!P208="Kapatıldı","",IF('ŞİKAYET KAYIT'!I208="","",'ŞİKAYET KAYIT'!I208)),"")</f>
        <v/>
      </c>
      <c r="G208" s="3" t="str">
        <f>IFERROR(IF('ŞİKAYET KAYIT'!P208="Kapatıldı","",IF('ŞİKAYET KAYIT'!J208="","",'ŞİKAYET KAYIT'!J208)),"")</f>
        <v/>
      </c>
      <c r="H208" s="3" t="str">
        <f>IFERROR(IF('ŞİKAYET KAYIT'!P208="Kapatıldı","",IF('ŞİKAYET KAYIT'!K208="","",'ŞİKAYET KAYIT'!K208)),"")</f>
        <v/>
      </c>
      <c r="I208" s="3" t="str">
        <f>IFERROR(IF('ŞİKAYET KAYIT'!P208="Kapatıldı","",IF('ŞİKAYET KAYIT'!L208="","",'ŞİKAYET KAYIT'!L208)),"")</f>
        <v/>
      </c>
      <c r="J208" s="3" t="str">
        <f>IFERROR(IF('ŞİKAYET KAYIT'!P208="Kapatıldı","",IF('ŞİKAYET KAYIT'!M208="","",'ŞİKAYET KAYIT'!M208)),"")</f>
        <v/>
      </c>
      <c r="K208" s="3" t="str">
        <f>IFERROR(IF('ŞİKAYET KAYIT'!P208="Kapatıldı","",IF('ŞİKAYET KAYIT'!N208="","",'ŞİKAYET KAYIT'!N208)),"")</f>
        <v/>
      </c>
      <c r="L208" s="3" t="str">
        <f>IFERROR(IF('ŞİKAYET KAYIT'!P208="Kapatıldı","",IF('ŞİKAYET KAYIT'!O208="","",'ŞİKAYET KAYIT'!O208)),"")</f>
        <v/>
      </c>
      <c r="M208" s="3" t="str">
        <f>IFERROR(IF('ŞİKAYET KAYIT'!P208="Kapatıldı","",IF('ŞİKAYET KAYIT'!P208="","",'ŞİKAYET KAYIT'!P208)),"")</f>
        <v/>
      </c>
    </row>
    <row r="209" spans="1:13" ht="15" customHeight="1" x14ac:dyDescent="0.3">
      <c r="A209" s="26" t="str">
        <f>IFERROR(IF('ŞİKAYET KAYIT'!P209="Kapatıldı","",IF('ŞİKAYET KAYIT'!A209="","",'ŞİKAYET KAYIT'!A209)),"")</f>
        <v/>
      </c>
      <c r="B209" s="8" t="str">
        <f>IFERROR(IF('ŞİKAYET KAYIT'!P209="Kapatıldı","",IF('ŞİKAYET KAYIT'!B209="","",'ŞİKAYET KAYIT'!B209)),"")</f>
        <v/>
      </c>
      <c r="C209" s="26" t="str">
        <f>IFERROR(IF('ŞİKAYET KAYIT'!P209="Kapatıldı","",IF('ŞİKAYET KAYIT'!D209="","",'ŞİKAYET KAYIT'!D209)),"")</f>
        <v/>
      </c>
      <c r="D209" s="26" t="str">
        <f>IFERROR(IF('ŞİKAYET KAYIT'!P209="Kapatıldı","",IF('ŞİKAYET KAYIT'!F209="","",'ŞİKAYET KAYIT'!F209)),"")</f>
        <v/>
      </c>
      <c r="E209" s="26" t="str">
        <f>IFERROR(IF('ŞİKAYET KAYIT'!P209="Kapatıldı","",IF('ŞİKAYET KAYIT'!H209="","",'ŞİKAYET KAYIT'!H209)),"")</f>
        <v/>
      </c>
      <c r="F209" s="26" t="str">
        <f>IFERROR(IF('ŞİKAYET KAYIT'!P209="Kapatıldı","",IF('ŞİKAYET KAYIT'!I209="","",'ŞİKAYET KAYIT'!I209)),"")</f>
        <v/>
      </c>
      <c r="G209" s="26" t="str">
        <f>IFERROR(IF('ŞİKAYET KAYIT'!P209="Kapatıldı","",IF('ŞİKAYET KAYIT'!J209="","",'ŞİKAYET KAYIT'!J209)),"")</f>
        <v/>
      </c>
      <c r="H209" s="26" t="str">
        <f>IFERROR(IF('ŞİKAYET KAYIT'!P209="Kapatıldı","",IF('ŞİKAYET KAYIT'!K209="","",'ŞİKAYET KAYIT'!K209)),"")</f>
        <v/>
      </c>
      <c r="I209" s="26" t="str">
        <f>IFERROR(IF('ŞİKAYET KAYIT'!P209="Kapatıldı","",IF('ŞİKAYET KAYIT'!L209="","",'ŞİKAYET KAYIT'!L209)),"")</f>
        <v/>
      </c>
      <c r="J209" s="26" t="str">
        <f>IFERROR(IF('ŞİKAYET KAYIT'!P209="Kapatıldı","",IF('ŞİKAYET KAYIT'!M209="","",'ŞİKAYET KAYIT'!M209)),"")</f>
        <v/>
      </c>
      <c r="K209" s="26" t="str">
        <f>IFERROR(IF('ŞİKAYET KAYIT'!P209="Kapatıldı","",IF('ŞİKAYET KAYIT'!N209="","",'ŞİKAYET KAYIT'!N209)),"")</f>
        <v/>
      </c>
      <c r="L209" s="26" t="str">
        <f>IFERROR(IF('ŞİKAYET KAYIT'!P209="Kapatıldı","",IF('ŞİKAYET KAYIT'!O209="","",'ŞİKAYET KAYIT'!O209)),"")</f>
        <v/>
      </c>
      <c r="M209" s="26" t="str">
        <f>IFERROR(IF('ŞİKAYET KAYIT'!P209="Kapatıldı","",IF('ŞİKAYET KAYIT'!P209="","",'ŞİKAYET KAYIT'!P209)),"")</f>
        <v/>
      </c>
    </row>
    <row r="210" spans="1:13" ht="15" customHeight="1" x14ac:dyDescent="0.3">
      <c r="A210" s="3" t="str">
        <f>IFERROR(IF('ŞİKAYET KAYIT'!P210="Kapatıldı","",IF('ŞİKAYET KAYIT'!A210="","",'ŞİKAYET KAYIT'!A210)),"")</f>
        <v/>
      </c>
      <c r="B210" s="5" t="str">
        <f>IFERROR(IF('ŞİKAYET KAYIT'!P210="Kapatıldı","",IF('ŞİKAYET KAYIT'!B210="","",'ŞİKAYET KAYIT'!B210)),"")</f>
        <v/>
      </c>
      <c r="C210" s="3" t="str">
        <f>IFERROR(IF('ŞİKAYET KAYIT'!P210="Kapatıldı","",IF('ŞİKAYET KAYIT'!D210="","",'ŞİKAYET KAYIT'!D210)),"")</f>
        <v/>
      </c>
      <c r="D210" s="3" t="str">
        <f>IFERROR(IF('ŞİKAYET KAYIT'!P210="Kapatıldı","",IF('ŞİKAYET KAYIT'!F210="","",'ŞİKAYET KAYIT'!F210)),"")</f>
        <v/>
      </c>
      <c r="E210" s="3" t="str">
        <f>IFERROR(IF('ŞİKAYET KAYIT'!P210="Kapatıldı","",IF('ŞİKAYET KAYIT'!H210="","",'ŞİKAYET KAYIT'!H210)),"")</f>
        <v/>
      </c>
      <c r="F210" s="3" t="str">
        <f>IFERROR(IF('ŞİKAYET KAYIT'!P210="Kapatıldı","",IF('ŞİKAYET KAYIT'!I210="","",'ŞİKAYET KAYIT'!I210)),"")</f>
        <v/>
      </c>
      <c r="G210" s="3" t="str">
        <f>IFERROR(IF('ŞİKAYET KAYIT'!P210="Kapatıldı","",IF('ŞİKAYET KAYIT'!J210="","",'ŞİKAYET KAYIT'!J210)),"")</f>
        <v/>
      </c>
      <c r="H210" s="3" t="str">
        <f>IFERROR(IF('ŞİKAYET KAYIT'!P210="Kapatıldı","",IF('ŞİKAYET KAYIT'!K210="","",'ŞİKAYET KAYIT'!K210)),"")</f>
        <v/>
      </c>
      <c r="I210" s="3" t="str">
        <f>IFERROR(IF('ŞİKAYET KAYIT'!P210="Kapatıldı","",IF('ŞİKAYET KAYIT'!L210="","",'ŞİKAYET KAYIT'!L210)),"")</f>
        <v/>
      </c>
      <c r="J210" s="3" t="str">
        <f>IFERROR(IF('ŞİKAYET KAYIT'!P210="Kapatıldı","",IF('ŞİKAYET KAYIT'!M210="","",'ŞİKAYET KAYIT'!M210)),"")</f>
        <v/>
      </c>
      <c r="K210" s="3" t="str">
        <f>IFERROR(IF('ŞİKAYET KAYIT'!P210="Kapatıldı","",IF('ŞİKAYET KAYIT'!N210="","",'ŞİKAYET KAYIT'!N210)),"")</f>
        <v/>
      </c>
      <c r="L210" s="3" t="str">
        <f>IFERROR(IF('ŞİKAYET KAYIT'!P210="Kapatıldı","",IF('ŞİKAYET KAYIT'!O210="","",'ŞİKAYET KAYIT'!O210)),"")</f>
        <v/>
      </c>
      <c r="M210" s="3" t="str">
        <f>IFERROR(IF('ŞİKAYET KAYIT'!P210="Kapatıldı","",IF('ŞİKAYET KAYIT'!P210="","",'ŞİKAYET KAYIT'!P210)),"")</f>
        <v/>
      </c>
    </row>
    <row r="211" spans="1:13" ht="15" customHeight="1" x14ac:dyDescent="0.3">
      <c r="A211" s="26" t="str">
        <f>IFERROR(IF('ŞİKAYET KAYIT'!P211="Kapatıldı","",IF('ŞİKAYET KAYIT'!A211="","",'ŞİKAYET KAYIT'!A211)),"")</f>
        <v/>
      </c>
      <c r="B211" s="8" t="str">
        <f>IFERROR(IF('ŞİKAYET KAYIT'!P211="Kapatıldı","",IF('ŞİKAYET KAYIT'!B211="","",'ŞİKAYET KAYIT'!B211)),"")</f>
        <v/>
      </c>
      <c r="C211" s="26" t="str">
        <f>IFERROR(IF('ŞİKAYET KAYIT'!P211="Kapatıldı","",IF('ŞİKAYET KAYIT'!D211="","",'ŞİKAYET KAYIT'!D211)),"")</f>
        <v/>
      </c>
      <c r="D211" s="26" t="str">
        <f>IFERROR(IF('ŞİKAYET KAYIT'!P211="Kapatıldı","",IF('ŞİKAYET KAYIT'!F211="","",'ŞİKAYET KAYIT'!F211)),"")</f>
        <v/>
      </c>
      <c r="E211" s="26" t="str">
        <f>IFERROR(IF('ŞİKAYET KAYIT'!P211="Kapatıldı","",IF('ŞİKAYET KAYIT'!H211="","",'ŞİKAYET KAYIT'!H211)),"")</f>
        <v/>
      </c>
      <c r="F211" s="26" t="str">
        <f>IFERROR(IF('ŞİKAYET KAYIT'!P211="Kapatıldı","",IF('ŞİKAYET KAYIT'!I211="","",'ŞİKAYET KAYIT'!I211)),"")</f>
        <v/>
      </c>
      <c r="G211" s="26" t="str">
        <f>IFERROR(IF('ŞİKAYET KAYIT'!P211="Kapatıldı","",IF('ŞİKAYET KAYIT'!J211="","",'ŞİKAYET KAYIT'!J211)),"")</f>
        <v/>
      </c>
      <c r="H211" s="26" t="str">
        <f>IFERROR(IF('ŞİKAYET KAYIT'!P211="Kapatıldı","",IF('ŞİKAYET KAYIT'!K211="","",'ŞİKAYET KAYIT'!K211)),"")</f>
        <v/>
      </c>
      <c r="I211" s="26" t="str">
        <f>IFERROR(IF('ŞİKAYET KAYIT'!P211="Kapatıldı","",IF('ŞİKAYET KAYIT'!L211="","",'ŞİKAYET KAYIT'!L211)),"")</f>
        <v/>
      </c>
      <c r="J211" s="26" t="str">
        <f>IFERROR(IF('ŞİKAYET KAYIT'!P211="Kapatıldı","",IF('ŞİKAYET KAYIT'!M211="","",'ŞİKAYET KAYIT'!M211)),"")</f>
        <v/>
      </c>
      <c r="K211" s="26" t="str">
        <f>IFERROR(IF('ŞİKAYET KAYIT'!P211="Kapatıldı","",IF('ŞİKAYET KAYIT'!N211="","",'ŞİKAYET KAYIT'!N211)),"")</f>
        <v/>
      </c>
      <c r="L211" s="26" t="str">
        <f>IFERROR(IF('ŞİKAYET KAYIT'!P211="Kapatıldı","",IF('ŞİKAYET KAYIT'!O211="","",'ŞİKAYET KAYIT'!O211)),"")</f>
        <v/>
      </c>
      <c r="M211" s="26" t="str">
        <f>IFERROR(IF('ŞİKAYET KAYIT'!P211="Kapatıldı","",IF('ŞİKAYET KAYIT'!P211="","",'ŞİKAYET KAYIT'!P211)),"")</f>
        <v/>
      </c>
    </row>
    <row r="212" spans="1:13" ht="15" customHeight="1" x14ac:dyDescent="0.3">
      <c r="A212" s="3" t="str">
        <f>IFERROR(IF('ŞİKAYET KAYIT'!P212="Kapatıldı","",IF('ŞİKAYET KAYIT'!A212="","",'ŞİKAYET KAYIT'!A212)),"")</f>
        <v/>
      </c>
      <c r="B212" s="5" t="str">
        <f>IFERROR(IF('ŞİKAYET KAYIT'!P212="Kapatıldı","",IF('ŞİKAYET KAYIT'!B212="","",'ŞİKAYET KAYIT'!B212)),"")</f>
        <v/>
      </c>
      <c r="C212" s="3" t="str">
        <f>IFERROR(IF('ŞİKAYET KAYIT'!P212="Kapatıldı","",IF('ŞİKAYET KAYIT'!D212="","",'ŞİKAYET KAYIT'!D212)),"")</f>
        <v/>
      </c>
      <c r="D212" s="3" t="str">
        <f>IFERROR(IF('ŞİKAYET KAYIT'!P212="Kapatıldı","",IF('ŞİKAYET KAYIT'!F212="","",'ŞİKAYET KAYIT'!F212)),"")</f>
        <v/>
      </c>
      <c r="E212" s="3" t="str">
        <f>IFERROR(IF('ŞİKAYET KAYIT'!P212="Kapatıldı","",IF('ŞİKAYET KAYIT'!H212="","",'ŞİKAYET KAYIT'!H212)),"")</f>
        <v/>
      </c>
      <c r="F212" s="3" t="str">
        <f>IFERROR(IF('ŞİKAYET KAYIT'!P212="Kapatıldı","",IF('ŞİKAYET KAYIT'!I212="","",'ŞİKAYET KAYIT'!I212)),"")</f>
        <v/>
      </c>
      <c r="G212" s="3" t="str">
        <f>IFERROR(IF('ŞİKAYET KAYIT'!P212="Kapatıldı","",IF('ŞİKAYET KAYIT'!J212="","",'ŞİKAYET KAYIT'!J212)),"")</f>
        <v/>
      </c>
      <c r="H212" s="3" t="str">
        <f>IFERROR(IF('ŞİKAYET KAYIT'!P212="Kapatıldı","",IF('ŞİKAYET KAYIT'!K212="","",'ŞİKAYET KAYIT'!K212)),"")</f>
        <v/>
      </c>
      <c r="I212" s="3" t="str">
        <f>IFERROR(IF('ŞİKAYET KAYIT'!P212="Kapatıldı","",IF('ŞİKAYET KAYIT'!L212="","",'ŞİKAYET KAYIT'!L212)),"")</f>
        <v/>
      </c>
      <c r="J212" s="3" t="str">
        <f>IFERROR(IF('ŞİKAYET KAYIT'!P212="Kapatıldı","",IF('ŞİKAYET KAYIT'!M212="","",'ŞİKAYET KAYIT'!M212)),"")</f>
        <v/>
      </c>
      <c r="K212" s="3" t="str">
        <f>IFERROR(IF('ŞİKAYET KAYIT'!P212="Kapatıldı","",IF('ŞİKAYET KAYIT'!N212="","",'ŞİKAYET KAYIT'!N212)),"")</f>
        <v/>
      </c>
      <c r="L212" s="3" t="str">
        <f>IFERROR(IF('ŞİKAYET KAYIT'!P212="Kapatıldı","",IF('ŞİKAYET KAYIT'!O212="","",'ŞİKAYET KAYIT'!O212)),"")</f>
        <v/>
      </c>
      <c r="M212" s="3" t="str">
        <f>IFERROR(IF('ŞİKAYET KAYIT'!P212="Kapatıldı","",IF('ŞİKAYET KAYIT'!P212="","",'ŞİKAYET KAYIT'!P212)),"")</f>
        <v/>
      </c>
    </row>
    <row r="213" spans="1:13" ht="15" customHeight="1" x14ac:dyDescent="0.3">
      <c r="A213" s="26" t="str">
        <f>IFERROR(IF('ŞİKAYET KAYIT'!P213="Kapatıldı","",IF('ŞİKAYET KAYIT'!A213="","",'ŞİKAYET KAYIT'!A213)),"")</f>
        <v/>
      </c>
      <c r="B213" s="8" t="str">
        <f>IFERROR(IF('ŞİKAYET KAYIT'!P213="Kapatıldı","",IF('ŞİKAYET KAYIT'!B213="","",'ŞİKAYET KAYIT'!B213)),"")</f>
        <v/>
      </c>
      <c r="C213" s="26" t="str">
        <f>IFERROR(IF('ŞİKAYET KAYIT'!P213="Kapatıldı","",IF('ŞİKAYET KAYIT'!D213="","",'ŞİKAYET KAYIT'!D213)),"")</f>
        <v/>
      </c>
      <c r="D213" s="26" t="str">
        <f>IFERROR(IF('ŞİKAYET KAYIT'!P213="Kapatıldı","",IF('ŞİKAYET KAYIT'!F213="","",'ŞİKAYET KAYIT'!F213)),"")</f>
        <v/>
      </c>
      <c r="E213" s="26" t="str">
        <f>IFERROR(IF('ŞİKAYET KAYIT'!P213="Kapatıldı","",IF('ŞİKAYET KAYIT'!H213="","",'ŞİKAYET KAYIT'!H213)),"")</f>
        <v/>
      </c>
      <c r="F213" s="26" t="str">
        <f>IFERROR(IF('ŞİKAYET KAYIT'!P213="Kapatıldı","",IF('ŞİKAYET KAYIT'!I213="","",'ŞİKAYET KAYIT'!I213)),"")</f>
        <v/>
      </c>
      <c r="G213" s="26" t="str">
        <f>IFERROR(IF('ŞİKAYET KAYIT'!P213="Kapatıldı","",IF('ŞİKAYET KAYIT'!J213="","",'ŞİKAYET KAYIT'!J213)),"")</f>
        <v/>
      </c>
      <c r="H213" s="26" t="str">
        <f>IFERROR(IF('ŞİKAYET KAYIT'!P213="Kapatıldı","",IF('ŞİKAYET KAYIT'!K213="","",'ŞİKAYET KAYIT'!K213)),"")</f>
        <v/>
      </c>
      <c r="I213" s="26" t="str">
        <f>IFERROR(IF('ŞİKAYET KAYIT'!P213="Kapatıldı","",IF('ŞİKAYET KAYIT'!L213="","",'ŞİKAYET KAYIT'!L213)),"")</f>
        <v/>
      </c>
      <c r="J213" s="26" t="str">
        <f>IFERROR(IF('ŞİKAYET KAYIT'!P213="Kapatıldı","",IF('ŞİKAYET KAYIT'!M213="","",'ŞİKAYET KAYIT'!M213)),"")</f>
        <v/>
      </c>
      <c r="K213" s="26" t="str">
        <f>IFERROR(IF('ŞİKAYET KAYIT'!P213="Kapatıldı","",IF('ŞİKAYET KAYIT'!N213="","",'ŞİKAYET KAYIT'!N213)),"")</f>
        <v/>
      </c>
      <c r="L213" s="26" t="str">
        <f>IFERROR(IF('ŞİKAYET KAYIT'!P213="Kapatıldı","",IF('ŞİKAYET KAYIT'!O213="","",'ŞİKAYET KAYIT'!O213)),"")</f>
        <v/>
      </c>
      <c r="M213" s="26" t="str">
        <f>IFERROR(IF('ŞİKAYET KAYIT'!P213="Kapatıldı","",IF('ŞİKAYET KAYIT'!P213="","",'ŞİKAYET KAYIT'!P213)),"")</f>
        <v/>
      </c>
    </row>
    <row r="214" spans="1:13" ht="15" customHeight="1" x14ac:dyDescent="0.3">
      <c r="A214" s="3" t="str">
        <f>IFERROR(IF('ŞİKAYET KAYIT'!P214="Kapatıldı","",IF('ŞİKAYET KAYIT'!A214="","",'ŞİKAYET KAYIT'!A214)),"")</f>
        <v/>
      </c>
      <c r="B214" s="5" t="str">
        <f>IFERROR(IF('ŞİKAYET KAYIT'!P214="Kapatıldı","",IF('ŞİKAYET KAYIT'!B214="","",'ŞİKAYET KAYIT'!B214)),"")</f>
        <v/>
      </c>
      <c r="C214" s="3" t="str">
        <f>IFERROR(IF('ŞİKAYET KAYIT'!P214="Kapatıldı","",IF('ŞİKAYET KAYIT'!D214="","",'ŞİKAYET KAYIT'!D214)),"")</f>
        <v/>
      </c>
      <c r="D214" s="3" t="str">
        <f>IFERROR(IF('ŞİKAYET KAYIT'!P214="Kapatıldı","",IF('ŞİKAYET KAYIT'!F214="","",'ŞİKAYET KAYIT'!F214)),"")</f>
        <v/>
      </c>
      <c r="E214" s="3" t="str">
        <f>IFERROR(IF('ŞİKAYET KAYIT'!P214="Kapatıldı","",IF('ŞİKAYET KAYIT'!H214="","",'ŞİKAYET KAYIT'!H214)),"")</f>
        <v/>
      </c>
      <c r="F214" s="3" t="str">
        <f>IFERROR(IF('ŞİKAYET KAYIT'!P214="Kapatıldı","",IF('ŞİKAYET KAYIT'!I214="","",'ŞİKAYET KAYIT'!I214)),"")</f>
        <v/>
      </c>
      <c r="G214" s="3" t="str">
        <f>IFERROR(IF('ŞİKAYET KAYIT'!P214="Kapatıldı","",IF('ŞİKAYET KAYIT'!J214="","",'ŞİKAYET KAYIT'!J214)),"")</f>
        <v/>
      </c>
      <c r="H214" s="3" t="str">
        <f>IFERROR(IF('ŞİKAYET KAYIT'!P214="Kapatıldı","",IF('ŞİKAYET KAYIT'!K214="","",'ŞİKAYET KAYIT'!K214)),"")</f>
        <v/>
      </c>
      <c r="I214" s="3" t="str">
        <f>IFERROR(IF('ŞİKAYET KAYIT'!P214="Kapatıldı","",IF('ŞİKAYET KAYIT'!L214="","",'ŞİKAYET KAYIT'!L214)),"")</f>
        <v/>
      </c>
      <c r="J214" s="3" t="str">
        <f>IFERROR(IF('ŞİKAYET KAYIT'!P214="Kapatıldı","",IF('ŞİKAYET KAYIT'!M214="","",'ŞİKAYET KAYIT'!M214)),"")</f>
        <v/>
      </c>
      <c r="K214" s="3" t="str">
        <f>IFERROR(IF('ŞİKAYET KAYIT'!P214="Kapatıldı","",IF('ŞİKAYET KAYIT'!N214="","",'ŞİKAYET KAYIT'!N214)),"")</f>
        <v/>
      </c>
      <c r="L214" s="3" t="str">
        <f>IFERROR(IF('ŞİKAYET KAYIT'!P214="Kapatıldı","",IF('ŞİKAYET KAYIT'!O214="","",'ŞİKAYET KAYIT'!O214)),"")</f>
        <v/>
      </c>
      <c r="M214" s="3" t="str">
        <f>IFERROR(IF('ŞİKAYET KAYIT'!P214="Kapatıldı","",IF('ŞİKAYET KAYIT'!P214="","",'ŞİKAYET KAYIT'!P214)),"")</f>
        <v/>
      </c>
    </row>
    <row r="215" spans="1:13" ht="15" customHeight="1" x14ac:dyDescent="0.3">
      <c r="A215" s="26" t="str">
        <f>IFERROR(IF('ŞİKAYET KAYIT'!P215="Kapatıldı","",IF('ŞİKAYET KAYIT'!A215="","",'ŞİKAYET KAYIT'!A215)),"")</f>
        <v/>
      </c>
      <c r="B215" s="8" t="str">
        <f>IFERROR(IF('ŞİKAYET KAYIT'!P215="Kapatıldı","",IF('ŞİKAYET KAYIT'!B215="","",'ŞİKAYET KAYIT'!B215)),"")</f>
        <v/>
      </c>
      <c r="C215" s="26" t="str">
        <f>IFERROR(IF('ŞİKAYET KAYIT'!P215="Kapatıldı","",IF('ŞİKAYET KAYIT'!D215="","",'ŞİKAYET KAYIT'!D215)),"")</f>
        <v/>
      </c>
      <c r="D215" s="26" t="str">
        <f>IFERROR(IF('ŞİKAYET KAYIT'!P215="Kapatıldı","",IF('ŞİKAYET KAYIT'!F215="","",'ŞİKAYET KAYIT'!F215)),"")</f>
        <v/>
      </c>
      <c r="E215" s="26" t="str">
        <f>IFERROR(IF('ŞİKAYET KAYIT'!P215="Kapatıldı","",IF('ŞİKAYET KAYIT'!H215="","",'ŞİKAYET KAYIT'!H215)),"")</f>
        <v/>
      </c>
      <c r="F215" s="26" t="str">
        <f>IFERROR(IF('ŞİKAYET KAYIT'!P215="Kapatıldı","",IF('ŞİKAYET KAYIT'!I215="","",'ŞİKAYET KAYIT'!I215)),"")</f>
        <v/>
      </c>
      <c r="G215" s="26" t="str">
        <f>IFERROR(IF('ŞİKAYET KAYIT'!P215="Kapatıldı","",IF('ŞİKAYET KAYIT'!J215="","",'ŞİKAYET KAYIT'!J215)),"")</f>
        <v/>
      </c>
      <c r="H215" s="26" t="str">
        <f>IFERROR(IF('ŞİKAYET KAYIT'!P215="Kapatıldı","",IF('ŞİKAYET KAYIT'!K215="","",'ŞİKAYET KAYIT'!K215)),"")</f>
        <v/>
      </c>
      <c r="I215" s="26" t="str">
        <f>IFERROR(IF('ŞİKAYET KAYIT'!P215="Kapatıldı","",IF('ŞİKAYET KAYIT'!L215="","",'ŞİKAYET KAYIT'!L215)),"")</f>
        <v/>
      </c>
      <c r="J215" s="26" t="str">
        <f>IFERROR(IF('ŞİKAYET KAYIT'!P215="Kapatıldı","",IF('ŞİKAYET KAYIT'!M215="","",'ŞİKAYET KAYIT'!M215)),"")</f>
        <v/>
      </c>
      <c r="K215" s="26" t="str">
        <f>IFERROR(IF('ŞİKAYET KAYIT'!P215="Kapatıldı","",IF('ŞİKAYET KAYIT'!N215="","",'ŞİKAYET KAYIT'!N215)),"")</f>
        <v/>
      </c>
      <c r="L215" s="26" t="str">
        <f>IFERROR(IF('ŞİKAYET KAYIT'!P215="Kapatıldı","",IF('ŞİKAYET KAYIT'!O215="","",'ŞİKAYET KAYIT'!O215)),"")</f>
        <v/>
      </c>
      <c r="M215" s="26" t="str">
        <f>IFERROR(IF('ŞİKAYET KAYIT'!P215="Kapatıldı","",IF('ŞİKAYET KAYIT'!P215="","",'ŞİKAYET KAYIT'!P215)),"")</f>
        <v/>
      </c>
    </row>
    <row r="216" spans="1:13" ht="15" customHeight="1" x14ac:dyDescent="0.3">
      <c r="A216" s="3" t="str">
        <f>IFERROR(IF('ŞİKAYET KAYIT'!P216="Kapatıldı","",IF('ŞİKAYET KAYIT'!A216="","",'ŞİKAYET KAYIT'!A216)),"")</f>
        <v/>
      </c>
      <c r="B216" s="5" t="str">
        <f>IFERROR(IF('ŞİKAYET KAYIT'!P216="Kapatıldı","",IF('ŞİKAYET KAYIT'!B216="","",'ŞİKAYET KAYIT'!B216)),"")</f>
        <v/>
      </c>
      <c r="C216" s="3" t="str">
        <f>IFERROR(IF('ŞİKAYET KAYIT'!P216="Kapatıldı","",IF('ŞİKAYET KAYIT'!D216="","",'ŞİKAYET KAYIT'!D216)),"")</f>
        <v/>
      </c>
      <c r="D216" s="3" t="str">
        <f>IFERROR(IF('ŞİKAYET KAYIT'!P216="Kapatıldı","",IF('ŞİKAYET KAYIT'!F216="","",'ŞİKAYET KAYIT'!F216)),"")</f>
        <v/>
      </c>
      <c r="E216" s="3" t="str">
        <f>IFERROR(IF('ŞİKAYET KAYIT'!P216="Kapatıldı","",IF('ŞİKAYET KAYIT'!H216="","",'ŞİKAYET KAYIT'!H216)),"")</f>
        <v/>
      </c>
      <c r="F216" s="3" t="str">
        <f>IFERROR(IF('ŞİKAYET KAYIT'!P216="Kapatıldı","",IF('ŞİKAYET KAYIT'!I216="","",'ŞİKAYET KAYIT'!I216)),"")</f>
        <v/>
      </c>
      <c r="G216" s="3" t="str">
        <f>IFERROR(IF('ŞİKAYET KAYIT'!P216="Kapatıldı","",IF('ŞİKAYET KAYIT'!J216="","",'ŞİKAYET KAYIT'!J216)),"")</f>
        <v/>
      </c>
      <c r="H216" s="3" t="str">
        <f>IFERROR(IF('ŞİKAYET KAYIT'!P216="Kapatıldı","",IF('ŞİKAYET KAYIT'!K216="","",'ŞİKAYET KAYIT'!K216)),"")</f>
        <v/>
      </c>
      <c r="I216" s="3" t="str">
        <f>IFERROR(IF('ŞİKAYET KAYIT'!P216="Kapatıldı","",IF('ŞİKAYET KAYIT'!L216="","",'ŞİKAYET KAYIT'!L216)),"")</f>
        <v/>
      </c>
      <c r="J216" s="3" t="str">
        <f>IFERROR(IF('ŞİKAYET KAYIT'!P216="Kapatıldı","",IF('ŞİKAYET KAYIT'!M216="","",'ŞİKAYET KAYIT'!M216)),"")</f>
        <v/>
      </c>
      <c r="K216" s="3" t="str">
        <f>IFERROR(IF('ŞİKAYET KAYIT'!P216="Kapatıldı","",IF('ŞİKAYET KAYIT'!N216="","",'ŞİKAYET KAYIT'!N216)),"")</f>
        <v/>
      </c>
      <c r="L216" s="3" t="str">
        <f>IFERROR(IF('ŞİKAYET KAYIT'!P216="Kapatıldı","",IF('ŞİKAYET KAYIT'!O216="","",'ŞİKAYET KAYIT'!O216)),"")</f>
        <v/>
      </c>
      <c r="M216" s="3" t="str">
        <f>IFERROR(IF('ŞİKAYET KAYIT'!P216="Kapatıldı","",IF('ŞİKAYET KAYIT'!P216="","",'ŞİKAYET KAYIT'!P216)),"")</f>
        <v/>
      </c>
    </row>
    <row r="217" spans="1:13" ht="15" customHeight="1" x14ac:dyDescent="0.3">
      <c r="A217" s="26" t="str">
        <f>IFERROR(IF('ŞİKAYET KAYIT'!P217="Kapatıldı","",IF('ŞİKAYET KAYIT'!A217="","",'ŞİKAYET KAYIT'!A217)),"")</f>
        <v/>
      </c>
      <c r="B217" s="8" t="str">
        <f>IFERROR(IF('ŞİKAYET KAYIT'!P217="Kapatıldı","",IF('ŞİKAYET KAYIT'!B217="","",'ŞİKAYET KAYIT'!B217)),"")</f>
        <v/>
      </c>
      <c r="C217" s="26" t="str">
        <f>IFERROR(IF('ŞİKAYET KAYIT'!P217="Kapatıldı","",IF('ŞİKAYET KAYIT'!D217="","",'ŞİKAYET KAYIT'!D217)),"")</f>
        <v/>
      </c>
      <c r="D217" s="26" t="str">
        <f>IFERROR(IF('ŞİKAYET KAYIT'!P217="Kapatıldı","",IF('ŞİKAYET KAYIT'!F217="","",'ŞİKAYET KAYIT'!F217)),"")</f>
        <v/>
      </c>
      <c r="E217" s="26" t="str">
        <f>IFERROR(IF('ŞİKAYET KAYIT'!P217="Kapatıldı","",IF('ŞİKAYET KAYIT'!H217="","",'ŞİKAYET KAYIT'!H217)),"")</f>
        <v/>
      </c>
      <c r="F217" s="26" t="str">
        <f>IFERROR(IF('ŞİKAYET KAYIT'!P217="Kapatıldı","",IF('ŞİKAYET KAYIT'!I217="","",'ŞİKAYET KAYIT'!I217)),"")</f>
        <v/>
      </c>
      <c r="G217" s="26" t="str">
        <f>IFERROR(IF('ŞİKAYET KAYIT'!P217="Kapatıldı","",IF('ŞİKAYET KAYIT'!J217="","",'ŞİKAYET KAYIT'!J217)),"")</f>
        <v/>
      </c>
      <c r="H217" s="26" t="str">
        <f>IFERROR(IF('ŞİKAYET KAYIT'!P217="Kapatıldı","",IF('ŞİKAYET KAYIT'!K217="","",'ŞİKAYET KAYIT'!K217)),"")</f>
        <v/>
      </c>
      <c r="I217" s="26" t="str">
        <f>IFERROR(IF('ŞİKAYET KAYIT'!P217="Kapatıldı","",IF('ŞİKAYET KAYIT'!L217="","",'ŞİKAYET KAYIT'!L217)),"")</f>
        <v/>
      </c>
      <c r="J217" s="26" t="str">
        <f>IFERROR(IF('ŞİKAYET KAYIT'!P217="Kapatıldı","",IF('ŞİKAYET KAYIT'!M217="","",'ŞİKAYET KAYIT'!M217)),"")</f>
        <v/>
      </c>
      <c r="K217" s="26" t="str">
        <f>IFERROR(IF('ŞİKAYET KAYIT'!P217="Kapatıldı","",IF('ŞİKAYET KAYIT'!N217="","",'ŞİKAYET KAYIT'!N217)),"")</f>
        <v/>
      </c>
      <c r="L217" s="26" t="str">
        <f>IFERROR(IF('ŞİKAYET KAYIT'!P217="Kapatıldı","",IF('ŞİKAYET KAYIT'!O217="","",'ŞİKAYET KAYIT'!O217)),"")</f>
        <v/>
      </c>
      <c r="M217" s="26" t="str">
        <f>IFERROR(IF('ŞİKAYET KAYIT'!P217="Kapatıldı","",IF('ŞİKAYET KAYIT'!P217="","",'ŞİKAYET KAYIT'!P217)),"")</f>
        <v/>
      </c>
    </row>
    <row r="218" spans="1:13" ht="15" customHeight="1" x14ac:dyDescent="0.3">
      <c r="A218" s="3" t="str">
        <f>IFERROR(IF('ŞİKAYET KAYIT'!P218="Kapatıldı","",IF('ŞİKAYET KAYIT'!A218="","",'ŞİKAYET KAYIT'!A218)),"")</f>
        <v/>
      </c>
      <c r="B218" s="5" t="str">
        <f>IFERROR(IF('ŞİKAYET KAYIT'!P218="Kapatıldı","",IF('ŞİKAYET KAYIT'!B218="","",'ŞİKAYET KAYIT'!B218)),"")</f>
        <v/>
      </c>
      <c r="C218" s="3" t="str">
        <f>IFERROR(IF('ŞİKAYET KAYIT'!P218="Kapatıldı","",IF('ŞİKAYET KAYIT'!D218="","",'ŞİKAYET KAYIT'!D218)),"")</f>
        <v/>
      </c>
      <c r="D218" s="3" t="str">
        <f>IFERROR(IF('ŞİKAYET KAYIT'!P218="Kapatıldı","",IF('ŞİKAYET KAYIT'!F218="","",'ŞİKAYET KAYIT'!F218)),"")</f>
        <v/>
      </c>
      <c r="E218" s="3" t="str">
        <f>IFERROR(IF('ŞİKAYET KAYIT'!P218="Kapatıldı","",IF('ŞİKAYET KAYIT'!H218="","",'ŞİKAYET KAYIT'!H218)),"")</f>
        <v/>
      </c>
      <c r="F218" s="3" t="str">
        <f>IFERROR(IF('ŞİKAYET KAYIT'!P218="Kapatıldı","",IF('ŞİKAYET KAYIT'!I218="","",'ŞİKAYET KAYIT'!I218)),"")</f>
        <v/>
      </c>
      <c r="G218" s="3" t="str">
        <f>IFERROR(IF('ŞİKAYET KAYIT'!P218="Kapatıldı","",IF('ŞİKAYET KAYIT'!J218="","",'ŞİKAYET KAYIT'!J218)),"")</f>
        <v/>
      </c>
      <c r="H218" s="3" t="str">
        <f>IFERROR(IF('ŞİKAYET KAYIT'!P218="Kapatıldı","",IF('ŞİKAYET KAYIT'!K218="","",'ŞİKAYET KAYIT'!K218)),"")</f>
        <v/>
      </c>
      <c r="I218" s="3" t="str">
        <f>IFERROR(IF('ŞİKAYET KAYIT'!P218="Kapatıldı","",IF('ŞİKAYET KAYIT'!L218="","",'ŞİKAYET KAYIT'!L218)),"")</f>
        <v/>
      </c>
      <c r="J218" s="3" t="str">
        <f>IFERROR(IF('ŞİKAYET KAYIT'!P218="Kapatıldı","",IF('ŞİKAYET KAYIT'!M218="","",'ŞİKAYET KAYIT'!M218)),"")</f>
        <v/>
      </c>
      <c r="K218" s="3" t="str">
        <f>IFERROR(IF('ŞİKAYET KAYIT'!P218="Kapatıldı","",IF('ŞİKAYET KAYIT'!N218="","",'ŞİKAYET KAYIT'!N218)),"")</f>
        <v/>
      </c>
      <c r="L218" s="3" t="str">
        <f>IFERROR(IF('ŞİKAYET KAYIT'!P218="Kapatıldı","",IF('ŞİKAYET KAYIT'!O218="","",'ŞİKAYET KAYIT'!O218)),"")</f>
        <v/>
      </c>
      <c r="M218" s="3" t="str">
        <f>IFERROR(IF('ŞİKAYET KAYIT'!P218="Kapatıldı","",IF('ŞİKAYET KAYIT'!P218="","",'ŞİKAYET KAYIT'!P218)),"")</f>
        <v/>
      </c>
    </row>
    <row r="219" spans="1:13" ht="15" customHeight="1" x14ac:dyDescent="0.3">
      <c r="A219" s="26" t="str">
        <f>IFERROR(IF('ŞİKAYET KAYIT'!P219="Kapatıldı","",IF('ŞİKAYET KAYIT'!A219="","",'ŞİKAYET KAYIT'!A219)),"")</f>
        <v/>
      </c>
      <c r="B219" s="8" t="str">
        <f>IFERROR(IF('ŞİKAYET KAYIT'!P219="Kapatıldı","",IF('ŞİKAYET KAYIT'!B219="","",'ŞİKAYET KAYIT'!B219)),"")</f>
        <v/>
      </c>
      <c r="C219" s="26" t="str">
        <f>IFERROR(IF('ŞİKAYET KAYIT'!P219="Kapatıldı","",IF('ŞİKAYET KAYIT'!D219="","",'ŞİKAYET KAYIT'!D219)),"")</f>
        <v/>
      </c>
      <c r="D219" s="26" t="str">
        <f>IFERROR(IF('ŞİKAYET KAYIT'!P219="Kapatıldı","",IF('ŞİKAYET KAYIT'!F219="","",'ŞİKAYET KAYIT'!F219)),"")</f>
        <v/>
      </c>
      <c r="E219" s="26" t="str">
        <f>IFERROR(IF('ŞİKAYET KAYIT'!P219="Kapatıldı","",IF('ŞİKAYET KAYIT'!H219="","",'ŞİKAYET KAYIT'!H219)),"")</f>
        <v/>
      </c>
      <c r="F219" s="26" t="str">
        <f>IFERROR(IF('ŞİKAYET KAYIT'!P219="Kapatıldı","",IF('ŞİKAYET KAYIT'!I219="","",'ŞİKAYET KAYIT'!I219)),"")</f>
        <v/>
      </c>
      <c r="G219" s="26" t="str">
        <f>IFERROR(IF('ŞİKAYET KAYIT'!P219="Kapatıldı","",IF('ŞİKAYET KAYIT'!J219="","",'ŞİKAYET KAYIT'!J219)),"")</f>
        <v/>
      </c>
      <c r="H219" s="26" t="str">
        <f>IFERROR(IF('ŞİKAYET KAYIT'!P219="Kapatıldı","",IF('ŞİKAYET KAYIT'!K219="","",'ŞİKAYET KAYIT'!K219)),"")</f>
        <v/>
      </c>
      <c r="I219" s="26" t="str">
        <f>IFERROR(IF('ŞİKAYET KAYIT'!P219="Kapatıldı","",IF('ŞİKAYET KAYIT'!L219="","",'ŞİKAYET KAYIT'!L219)),"")</f>
        <v/>
      </c>
      <c r="J219" s="26" t="str">
        <f>IFERROR(IF('ŞİKAYET KAYIT'!P219="Kapatıldı","",IF('ŞİKAYET KAYIT'!M219="","",'ŞİKAYET KAYIT'!M219)),"")</f>
        <v/>
      </c>
      <c r="K219" s="26" t="str">
        <f>IFERROR(IF('ŞİKAYET KAYIT'!P219="Kapatıldı","",IF('ŞİKAYET KAYIT'!N219="","",'ŞİKAYET KAYIT'!N219)),"")</f>
        <v/>
      </c>
      <c r="L219" s="26" t="str">
        <f>IFERROR(IF('ŞİKAYET KAYIT'!P219="Kapatıldı","",IF('ŞİKAYET KAYIT'!O219="","",'ŞİKAYET KAYIT'!O219)),"")</f>
        <v/>
      </c>
      <c r="M219" s="26" t="str">
        <f>IFERROR(IF('ŞİKAYET KAYIT'!P219="Kapatıldı","",IF('ŞİKAYET KAYIT'!P219="","",'ŞİKAYET KAYIT'!P219)),"")</f>
        <v/>
      </c>
    </row>
    <row r="220" spans="1:13" ht="15" customHeight="1" x14ac:dyDescent="0.3">
      <c r="A220" s="3" t="str">
        <f>IFERROR(IF('ŞİKAYET KAYIT'!P220="Kapatıldı","",IF('ŞİKAYET KAYIT'!A220="","",'ŞİKAYET KAYIT'!A220)),"")</f>
        <v/>
      </c>
      <c r="B220" s="5" t="str">
        <f>IFERROR(IF('ŞİKAYET KAYIT'!P220="Kapatıldı","",IF('ŞİKAYET KAYIT'!B220="","",'ŞİKAYET KAYIT'!B220)),"")</f>
        <v/>
      </c>
      <c r="C220" s="3" t="str">
        <f>IFERROR(IF('ŞİKAYET KAYIT'!P220="Kapatıldı","",IF('ŞİKAYET KAYIT'!D220="","",'ŞİKAYET KAYIT'!D220)),"")</f>
        <v/>
      </c>
      <c r="D220" s="3" t="str">
        <f>IFERROR(IF('ŞİKAYET KAYIT'!P220="Kapatıldı","",IF('ŞİKAYET KAYIT'!F220="","",'ŞİKAYET KAYIT'!F220)),"")</f>
        <v/>
      </c>
      <c r="E220" s="3" t="str">
        <f>IFERROR(IF('ŞİKAYET KAYIT'!P220="Kapatıldı","",IF('ŞİKAYET KAYIT'!H220="","",'ŞİKAYET KAYIT'!H220)),"")</f>
        <v/>
      </c>
      <c r="F220" s="3" t="str">
        <f>IFERROR(IF('ŞİKAYET KAYIT'!P220="Kapatıldı","",IF('ŞİKAYET KAYIT'!I220="","",'ŞİKAYET KAYIT'!I220)),"")</f>
        <v/>
      </c>
      <c r="G220" s="3" t="str">
        <f>IFERROR(IF('ŞİKAYET KAYIT'!P220="Kapatıldı","",IF('ŞİKAYET KAYIT'!J220="","",'ŞİKAYET KAYIT'!J220)),"")</f>
        <v/>
      </c>
      <c r="H220" s="3" t="str">
        <f>IFERROR(IF('ŞİKAYET KAYIT'!P220="Kapatıldı","",IF('ŞİKAYET KAYIT'!K220="","",'ŞİKAYET KAYIT'!K220)),"")</f>
        <v/>
      </c>
      <c r="I220" s="3" t="str">
        <f>IFERROR(IF('ŞİKAYET KAYIT'!P220="Kapatıldı","",IF('ŞİKAYET KAYIT'!L220="","",'ŞİKAYET KAYIT'!L220)),"")</f>
        <v/>
      </c>
      <c r="J220" s="3" t="str">
        <f>IFERROR(IF('ŞİKAYET KAYIT'!P220="Kapatıldı","",IF('ŞİKAYET KAYIT'!M220="","",'ŞİKAYET KAYIT'!M220)),"")</f>
        <v/>
      </c>
      <c r="K220" s="3" t="str">
        <f>IFERROR(IF('ŞİKAYET KAYIT'!P220="Kapatıldı","",IF('ŞİKAYET KAYIT'!N220="","",'ŞİKAYET KAYIT'!N220)),"")</f>
        <v/>
      </c>
      <c r="L220" s="3" t="str">
        <f>IFERROR(IF('ŞİKAYET KAYIT'!P220="Kapatıldı","",IF('ŞİKAYET KAYIT'!O220="","",'ŞİKAYET KAYIT'!O220)),"")</f>
        <v/>
      </c>
      <c r="M220" s="3" t="str">
        <f>IFERROR(IF('ŞİKAYET KAYIT'!P220="Kapatıldı","",IF('ŞİKAYET KAYIT'!P220="","",'ŞİKAYET KAYIT'!P220)),"")</f>
        <v/>
      </c>
    </row>
    <row r="221" spans="1:13" ht="15" customHeight="1" x14ac:dyDescent="0.3">
      <c r="A221" s="26" t="str">
        <f>IFERROR(IF('ŞİKAYET KAYIT'!P221="Kapatıldı","",IF('ŞİKAYET KAYIT'!A221="","",'ŞİKAYET KAYIT'!A221)),"")</f>
        <v/>
      </c>
      <c r="B221" s="8" t="str">
        <f>IFERROR(IF('ŞİKAYET KAYIT'!P221="Kapatıldı","",IF('ŞİKAYET KAYIT'!B221="","",'ŞİKAYET KAYIT'!B221)),"")</f>
        <v/>
      </c>
      <c r="C221" s="26" t="str">
        <f>IFERROR(IF('ŞİKAYET KAYIT'!P221="Kapatıldı","",IF('ŞİKAYET KAYIT'!D221="","",'ŞİKAYET KAYIT'!D221)),"")</f>
        <v/>
      </c>
      <c r="D221" s="26" t="str">
        <f>IFERROR(IF('ŞİKAYET KAYIT'!P221="Kapatıldı","",IF('ŞİKAYET KAYIT'!F221="","",'ŞİKAYET KAYIT'!F221)),"")</f>
        <v/>
      </c>
      <c r="E221" s="26" t="str">
        <f>IFERROR(IF('ŞİKAYET KAYIT'!P221="Kapatıldı","",IF('ŞİKAYET KAYIT'!H221="","",'ŞİKAYET KAYIT'!H221)),"")</f>
        <v/>
      </c>
      <c r="F221" s="26" t="str">
        <f>IFERROR(IF('ŞİKAYET KAYIT'!P221="Kapatıldı","",IF('ŞİKAYET KAYIT'!I221="","",'ŞİKAYET KAYIT'!I221)),"")</f>
        <v/>
      </c>
      <c r="G221" s="26" t="str">
        <f>IFERROR(IF('ŞİKAYET KAYIT'!P221="Kapatıldı","",IF('ŞİKAYET KAYIT'!J221="","",'ŞİKAYET KAYIT'!J221)),"")</f>
        <v/>
      </c>
      <c r="H221" s="26" t="str">
        <f>IFERROR(IF('ŞİKAYET KAYIT'!P221="Kapatıldı","",IF('ŞİKAYET KAYIT'!K221="","",'ŞİKAYET KAYIT'!K221)),"")</f>
        <v/>
      </c>
      <c r="I221" s="26" t="str">
        <f>IFERROR(IF('ŞİKAYET KAYIT'!P221="Kapatıldı","",IF('ŞİKAYET KAYIT'!L221="","",'ŞİKAYET KAYIT'!L221)),"")</f>
        <v/>
      </c>
      <c r="J221" s="26" t="str">
        <f>IFERROR(IF('ŞİKAYET KAYIT'!P221="Kapatıldı","",IF('ŞİKAYET KAYIT'!M221="","",'ŞİKAYET KAYIT'!M221)),"")</f>
        <v/>
      </c>
      <c r="K221" s="26" t="str">
        <f>IFERROR(IF('ŞİKAYET KAYIT'!P221="Kapatıldı","",IF('ŞİKAYET KAYIT'!N221="","",'ŞİKAYET KAYIT'!N221)),"")</f>
        <v/>
      </c>
      <c r="L221" s="26" t="str">
        <f>IFERROR(IF('ŞİKAYET KAYIT'!P221="Kapatıldı","",IF('ŞİKAYET KAYIT'!O221="","",'ŞİKAYET KAYIT'!O221)),"")</f>
        <v/>
      </c>
      <c r="M221" s="26" t="str">
        <f>IFERROR(IF('ŞİKAYET KAYIT'!P221="Kapatıldı","",IF('ŞİKAYET KAYIT'!P221="","",'ŞİKAYET KAYIT'!P221)),"")</f>
        <v/>
      </c>
    </row>
    <row r="222" spans="1:13" ht="15" customHeight="1" x14ac:dyDescent="0.3">
      <c r="A222" s="3" t="str">
        <f>IFERROR(IF('ŞİKAYET KAYIT'!P222="Kapatıldı","",IF('ŞİKAYET KAYIT'!A222="","",'ŞİKAYET KAYIT'!A222)),"")</f>
        <v/>
      </c>
      <c r="B222" s="5" t="str">
        <f>IFERROR(IF('ŞİKAYET KAYIT'!P222="Kapatıldı","",IF('ŞİKAYET KAYIT'!B222="","",'ŞİKAYET KAYIT'!B222)),"")</f>
        <v/>
      </c>
      <c r="C222" s="3" t="str">
        <f>IFERROR(IF('ŞİKAYET KAYIT'!P222="Kapatıldı","",IF('ŞİKAYET KAYIT'!D222="","",'ŞİKAYET KAYIT'!D222)),"")</f>
        <v/>
      </c>
      <c r="D222" s="3" t="str">
        <f>IFERROR(IF('ŞİKAYET KAYIT'!P222="Kapatıldı","",IF('ŞİKAYET KAYIT'!F222="","",'ŞİKAYET KAYIT'!F222)),"")</f>
        <v/>
      </c>
      <c r="E222" s="3" t="str">
        <f>IFERROR(IF('ŞİKAYET KAYIT'!P222="Kapatıldı","",IF('ŞİKAYET KAYIT'!H222="","",'ŞİKAYET KAYIT'!H222)),"")</f>
        <v/>
      </c>
      <c r="F222" s="3" t="str">
        <f>IFERROR(IF('ŞİKAYET KAYIT'!P222="Kapatıldı","",IF('ŞİKAYET KAYIT'!I222="","",'ŞİKAYET KAYIT'!I222)),"")</f>
        <v/>
      </c>
      <c r="G222" s="3" t="str">
        <f>IFERROR(IF('ŞİKAYET KAYIT'!P222="Kapatıldı","",IF('ŞİKAYET KAYIT'!J222="","",'ŞİKAYET KAYIT'!J222)),"")</f>
        <v/>
      </c>
      <c r="H222" s="3" t="str">
        <f>IFERROR(IF('ŞİKAYET KAYIT'!P222="Kapatıldı","",IF('ŞİKAYET KAYIT'!K222="","",'ŞİKAYET KAYIT'!K222)),"")</f>
        <v/>
      </c>
      <c r="I222" s="3" t="str">
        <f>IFERROR(IF('ŞİKAYET KAYIT'!P222="Kapatıldı","",IF('ŞİKAYET KAYIT'!L222="","",'ŞİKAYET KAYIT'!L222)),"")</f>
        <v/>
      </c>
      <c r="J222" s="3" t="str">
        <f>IFERROR(IF('ŞİKAYET KAYIT'!P222="Kapatıldı","",IF('ŞİKAYET KAYIT'!M222="","",'ŞİKAYET KAYIT'!M222)),"")</f>
        <v/>
      </c>
      <c r="K222" s="3" t="str">
        <f>IFERROR(IF('ŞİKAYET KAYIT'!P222="Kapatıldı","",IF('ŞİKAYET KAYIT'!N222="","",'ŞİKAYET KAYIT'!N222)),"")</f>
        <v/>
      </c>
      <c r="L222" s="3" t="str">
        <f>IFERROR(IF('ŞİKAYET KAYIT'!P222="Kapatıldı","",IF('ŞİKAYET KAYIT'!O222="","",'ŞİKAYET KAYIT'!O222)),"")</f>
        <v/>
      </c>
      <c r="M222" s="3" t="str">
        <f>IFERROR(IF('ŞİKAYET KAYIT'!P222="Kapatıldı","",IF('ŞİKAYET KAYIT'!P222="","",'ŞİKAYET KAYIT'!P222)),"")</f>
        <v/>
      </c>
    </row>
    <row r="223" spans="1:13" ht="15" customHeight="1" x14ac:dyDescent="0.3">
      <c r="A223" s="26" t="str">
        <f>IFERROR(IF('ŞİKAYET KAYIT'!P223="Kapatıldı","",IF('ŞİKAYET KAYIT'!A223="","",'ŞİKAYET KAYIT'!A223)),"")</f>
        <v/>
      </c>
      <c r="B223" s="8" t="str">
        <f>IFERROR(IF('ŞİKAYET KAYIT'!P223="Kapatıldı","",IF('ŞİKAYET KAYIT'!B223="","",'ŞİKAYET KAYIT'!B223)),"")</f>
        <v/>
      </c>
      <c r="C223" s="26" t="str">
        <f>IFERROR(IF('ŞİKAYET KAYIT'!P223="Kapatıldı","",IF('ŞİKAYET KAYIT'!D223="","",'ŞİKAYET KAYIT'!D223)),"")</f>
        <v/>
      </c>
      <c r="D223" s="26" t="str">
        <f>IFERROR(IF('ŞİKAYET KAYIT'!P223="Kapatıldı","",IF('ŞİKAYET KAYIT'!F223="","",'ŞİKAYET KAYIT'!F223)),"")</f>
        <v/>
      </c>
      <c r="E223" s="26" t="str">
        <f>IFERROR(IF('ŞİKAYET KAYIT'!P223="Kapatıldı","",IF('ŞİKAYET KAYIT'!H223="","",'ŞİKAYET KAYIT'!H223)),"")</f>
        <v/>
      </c>
      <c r="F223" s="26" t="str">
        <f>IFERROR(IF('ŞİKAYET KAYIT'!P223="Kapatıldı","",IF('ŞİKAYET KAYIT'!I223="","",'ŞİKAYET KAYIT'!I223)),"")</f>
        <v/>
      </c>
      <c r="G223" s="26" t="str">
        <f>IFERROR(IF('ŞİKAYET KAYIT'!P223="Kapatıldı","",IF('ŞİKAYET KAYIT'!J223="","",'ŞİKAYET KAYIT'!J223)),"")</f>
        <v/>
      </c>
      <c r="H223" s="26" t="str">
        <f>IFERROR(IF('ŞİKAYET KAYIT'!P223="Kapatıldı","",IF('ŞİKAYET KAYIT'!K223="","",'ŞİKAYET KAYIT'!K223)),"")</f>
        <v/>
      </c>
      <c r="I223" s="26" t="str">
        <f>IFERROR(IF('ŞİKAYET KAYIT'!P223="Kapatıldı","",IF('ŞİKAYET KAYIT'!L223="","",'ŞİKAYET KAYIT'!L223)),"")</f>
        <v/>
      </c>
      <c r="J223" s="26" t="str">
        <f>IFERROR(IF('ŞİKAYET KAYIT'!P223="Kapatıldı","",IF('ŞİKAYET KAYIT'!M223="","",'ŞİKAYET KAYIT'!M223)),"")</f>
        <v/>
      </c>
      <c r="K223" s="26" t="str">
        <f>IFERROR(IF('ŞİKAYET KAYIT'!P223="Kapatıldı","",IF('ŞİKAYET KAYIT'!N223="","",'ŞİKAYET KAYIT'!N223)),"")</f>
        <v/>
      </c>
      <c r="L223" s="26" t="str">
        <f>IFERROR(IF('ŞİKAYET KAYIT'!P223="Kapatıldı","",IF('ŞİKAYET KAYIT'!O223="","",'ŞİKAYET KAYIT'!O223)),"")</f>
        <v/>
      </c>
      <c r="M223" s="26" t="str">
        <f>IFERROR(IF('ŞİKAYET KAYIT'!P223="Kapatıldı","",IF('ŞİKAYET KAYIT'!P223="","",'ŞİKAYET KAYIT'!P223)),"")</f>
        <v/>
      </c>
    </row>
    <row r="224" spans="1:13" ht="15" customHeight="1" x14ac:dyDescent="0.3">
      <c r="A224" s="3" t="str">
        <f>IFERROR(IF('ŞİKAYET KAYIT'!P224="Kapatıldı","",IF('ŞİKAYET KAYIT'!A224="","",'ŞİKAYET KAYIT'!A224)),"")</f>
        <v/>
      </c>
      <c r="B224" s="5" t="str">
        <f>IFERROR(IF('ŞİKAYET KAYIT'!P224="Kapatıldı","",IF('ŞİKAYET KAYIT'!B224="","",'ŞİKAYET KAYIT'!B224)),"")</f>
        <v/>
      </c>
      <c r="C224" s="3" t="str">
        <f>IFERROR(IF('ŞİKAYET KAYIT'!P224="Kapatıldı","",IF('ŞİKAYET KAYIT'!D224="","",'ŞİKAYET KAYIT'!D224)),"")</f>
        <v/>
      </c>
      <c r="D224" s="3" t="str">
        <f>IFERROR(IF('ŞİKAYET KAYIT'!P224="Kapatıldı","",IF('ŞİKAYET KAYIT'!F224="","",'ŞİKAYET KAYIT'!F224)),"")</f>
        <v/>
      </c>
      <c r="E224" s="3" t="str">
        <f>IFERROR(IF('ŞİKAYET KAYIT'!P224="Kapatıldı","",IF('ŞİKAYET KAYIT'!H224="","",'ŞİKAYET KAYIT'!H224)),"")</f>
        <v/>
      </c>
      <c r="F224" s="3" t="str">
        <f>IFERROR(IF('ŞİKAYET KAYIT'!P224="Kapatıldı","",IF('ŞİKAYET KAYIT'!I224="","",'ŞİKAYET KAYIT'!I224)),"")</f>
        <v/>
      </c>
      <c r="G224" s="3" t="str">
        <f>IFERROR(IF('ŞİKAYET KAYIT'!P224="Kapatıldı","",IF('ŞİKAYET KAYIT'!J224="","",'ŞİKAYET KAYIT'!J224)),"")</f>
        <v/>
      </c>
      <c r="H224" s="3" t="str">
        <f>IFERROR(IF('ŞİKAYET KAYIT'!P224="Kapatıldı","",IF('ŞİKAYET KAYIT'!K224="","",'ŞİKAYET KAYIT'!K224)),"")</f>
        <v/>
      </c>
      <c r="I224" s="3" t="str">
        <f>IFERROR(IF('ŞİKAYET KAYIT'!P224="Kapatıldı","",IF('ŞİKAYET KAYIT'!L224="","",'ŞİKAYET KAYIT'!L224)),"")</f>
        <v/>
      </c>
      <c r="J224" s="3" t="str">
        <f>IFERROR(IF('ŞİKAYET KAYIT'!P224="Kapatıldı","",IF('ŞİKAYET KAYIT'!M224="","",'ŞİKAYET KAYIT'!M224)),"")</f>
        <v/>
      </c>
      <c r="K224" s="3" t="str">
        <f>IFERROR(IF('ŞİKAYET KAYIT'!P224="Kapatıldı","",IF('ŞİKAYET KAYIT'!N224="","",'ŞİKAYET KAYIT'!N224)),"")</f>
        <v/>
      </c>
      <c r="L224" s="3" t="str">
        <f>IFERROR(IF('ŞİKAYET KAYIT'!P224="Kapatıldı","",IF('ŞİKAYET KAYIT'!O224="","",'ŞİKAYET KAYIT'!O224)),"")</f>
        <v/>
      </c>
      <c r="M224" s="3" t="str">
        <f>IFERROR(IF('ŞİKAYET KAYIT'!P224="Kapatıldı","",IF('ŞİKAYET KAYIT'!P224="","",'ŞİKAYET KAYIT'!P224)),"")</f>
        <v/>
      </c>
    </row>
    <row r="225" spans="1:13" ht="15" customHeight="1" x14ac:dyDescent="0.3">
      <c r="A225" s="26" t="str">
        <f>IFERROR(IF('ŞİKAYET KAYIT'!P225="Kapatıldı","",IF('ŞİKAYET KAYIT'!A225="","",'ŞİKAYET KAYIT'!A225)),"")</f>
        <v/>
      </c>
      <c r="B225" s="8" t="str">
        <f>IFERROR(IF('ŞİKAYET KAYIT'!P225="Kapatıldı","",IF('ŞİKAYET KAYIT'!B225="","",'ŞİKAYET KAYIT'!B225)),"")</f>
        <v/>
      </c>
      <c r="C225" s="26" t="str">
        <f>IFERROR(IF('ŞİKAYET KAYIT'!P225="Kapatıldı","",IF('ŞİKAYET KAYIT'!D225="","",'ŞİKAYET KAYIT'!D225)),"")</f>
        <v/>
      </c>
      <c r="D225" s="26" t="str">
        <f>IFERROR(IF('ŞİKAYET KAYIT'!P225="Kapatıldı","",IF('ŞİKAYET KAYIT'!F225="","",'ŞİKAYET KAYIT'!F225)),"")</f>
        <v/>
      </c>
      <c r="E225" s="26" t="str">
        <f>IFERROR(IF('ŞİKAYET KAYIT'!P225="Kapatıldı","",IF('ŞİKAYET KAYIT'!H225="","",'ŞİKAYET KAYIT'!H225)),"")</f>
        <v/>
      </c>
      <c r="F225" s="26" t="str">
        <f>IFERROR(IF('ŞİKAYET KAYIT'!P225="Kapatıldı","",IF('ŞİKAYET KAYIT'!I225="","",'ŞİKAYET KAYIT'!I225)),"")</f>
        <v/>
      </c>
      <c r="G225" s="26" t="str">
        <f>IFERROR(IF('ŞİKAYET KAYIT'!P225="Kapatıldı","",IF('ŞİKAYET KAYIT'!J225="","",'ŞİKAYET KAYIT'!J225)),"")</f>
        <v/>
      </c>
      <c r="H225" s="26" t="str">
        <f>IFERROR(IF('ŞİKAYET KAYIT'!P225="Kapatıldı","",IF('ŞİKAYET KAYIT'!K225="","",'ŞİKAYET KAYIT'!K225)),"")</f>
        <v/>
      </c>
      <c r="I225" s="26" t="str">
        <f>IFERROR(IF('ŞİKAYET KAYIT'!P225="Kapatıldı","",IF('ŞİKAYET KAYIT'!L225="","",'ŞİKAYET KAYIT'!L225)),"")</f>
        <v/>
      </c>
      <c r="J225" s="26" t="str">
        <f>IFERROR(IF('ŞİKAYET KAYIT'!P225="Kapatıldı","",IF('ŞİKAYET KAYIT'!M225="","",'ŞİKAYET KAYIT'!M225)),"")</f>
        <v/>
      </c>
      <c r="K225" s="26" t="str">
        <f>IFERROR(IF('ŞİKAYET KAYIT'!P225="Kapatıldı","",IF('ŞİKAYET KAYIT'!N225="","",'ŞİKAYET KAYIT'!N225)),"")</f>
        <v/>
      </c>
      <c r="L225" s="26" t="str">
        <f>IFERROR(IF('ŞİKAYET KAYIT'!P225="Kapatıldı","",IF('ŞİKAYET KAYIT'!O225="","",'ŞİKAYET KAYIT'!O225)),"")</f>
        <v/>
      </c>
      <c r="M225" s="26" t="str">
        <f>IFERROR(IF('ŞİKAYET KAYIT'!P225="Kapatıldı","",IF('ŞİKAYET KAYIT'!P225="","",'ŞİKAYET KAYIT'!P225)),"")</f>
        <v/>
      </c>
    </row>
    <row r="226" spans="1:13" ht="15" customHeight="1" x14ac:dyDescent="0.3">
      <c r="A226" s="3" t="str">
        <f>IFERROR(IF('ŞİKAYET KAYIT'!P226="Kapatıldı","",IF('ŞİKAYET KAYIT'!A226="","",'ŞİKAYET KAYIT'!A226)),"")</f>
        <v/>
      </c>
      <c r="B226" s="5" t="str">
        <f>IFERROR(IF('ŞİKAYET KAYIT'!P226="Kapatıldı","",IF('ŞİKAYET KAYIT'!B226="","",'ŞİKAYET KAYIT'!B226)),"")</f>
        <v/>
      </c>
      <c r="C226" s="3" t="str">
        <f>IFERROR(IF('ŞİKAYET KAYIT'!P226="Kapatıldı","",IF('ŞİKAYET KAYIT'!D226="","",'ŞİKAYET KAYIT'!D226)),"")</f>
        <v/>
      </c>
      <c r="D226" s="3" t="str">
        <f>IFERROR(IF('ŞİKAYET KAYIT'!P226="Kapatıldı","",IF('ŞİKAYET KAYIT'!F226="","",'ŞİKAYET KAYIT'!F226)),"")</f>
        <v/>
      </c>
      <c r="E226" s="3" t="str">
        <f>IFERROR(IF('ŞİKAYET KAYIT'!P226="Kapatıldı","",IF('ŞİKAYET KAYIT'!H226="","",'ŞİKAYET KAYIT'!H226)),"")</f>
        <v/>
      </c>
      <c r="F226" s="3" t="str">
        <f>IFERROR(IF('ŞİKAYET KAYIT'!P226="Kapatıldı","",IF('ŞİKAYET KAYIT'!I226="","",'ŞİKAYET KAYIT'!I226)),"")</f>
        <v/>
      </c>
      <c r="G226" s="3" t="str">
        <f>IFERROR(IF('ŞİKAYET KAYIT'!P226="Kapatıldı","",IF('ŞİKAYET KAYIT'!J226="","",'ŞİKAYET KAYIT'!J226)),"")</f>
        <v/>
      </c>
      <c r="H226" s="3" t="str">
        <f>IFERROR(IF('ŞİKAYET KAYIT'!P226="Kapatıldı","",IF('ŞİKAYET KAYIT'!K226="","",'ŞİKAYET KAYIT'!K226)),"")</f>
        <v/>
      </c>
      <c r="I226" s="3" t="str">
        <f>IFERROR(IF('ŞİKAYET KAYIT'!P226="Kapatıldı","",IF('ŞİKAYET KAYIT'!L226="","",'ŞİKAYET KAYIT'!L226)),"")</f>
        <v/>
      </c>
      <c r="J226" s="3" t="str">
        <f>IFERROR(IF('ŞİKAYET KAYIT'!P226="Kapatıldı","",IF('ŞİKAYET KAYIT'!M226="","",'ŞİKAYET KAYIT'!M226)),"")</f>
        <v/>
      </c>
      <c r="K226" s="3" t="str">
        <f>IFERROR(IF('ŞİKAYET KAYIT'!P226="Kapatıldı","",IF('ŞİKAYET KAYIT'!N226="","",'ŞİKAYET KAYIT'!N226)),"")</f>
        <v/>
      </c>
      <c r="L226" s="3" t="str">
        <f>IFERROR(IF('ŞİKAYET KAYIT'!P226="Kapatıldı","",IF('ŞİKAYET KAYIT'!O226="","",'ŞİKAYET KAYIT'!O226)),"")</f>
        <v/>
      </c>
      <c r="M226" s="3" t="str">
        <f>IFERROR(IF('ŞİKAYET KAYIT'!P226="Kapatıldı","",IF('ŞİKAYET KAYIT'!P226="","",'ŞİKAYET KAYIT'!P226)),"")</f>
        <v/>
      </c>
    </row>
    <row r="227" spans="1:13" ht="15" customHeight="1" x14ac:dyDescent="0.3">
      <c r="A227" s="26" t="str">
        <f>IFERROR(IF('ŞİKAYET KAYIT'!P227="Kapatıldı","",IF('ŞİKAYET KAYIT'!A227="","",'ŞİKAYET KAYIT'!A227)),"")</f>
        <v/>
      </c>
      <c r="B227" s="8" t="str">
        <f>IFERROR(IF('ŞİKAYET KAYIT'!P227="Kapatıldı","",IF('ŞİKAYET KAYIT'!B227="","",'ŞİKAYET KAYIT'!B227)),"")</f>
        <v/>
      </c>
      <c r="C227" s="26" t="str">
        <f>IFERROR(IF('ŞİKAYET KAYIT'!P227="Kapatıldı","",IF('ŞİKAYET KAYIT'!D227="","",'ŞİKAYET KAYIT'!D227)),"")</f>
        <v/>
      </c>
      <c r="D227" s="26" t="str">
        <f>IFERROR(IF('ŞİKAYET KAYIT'!P227="Kapatıldı","",IF('ŞİKAYET KAYIT'!F227="","",'ŞİKAYET KAYIT'!F227)),"")</f>
        <v/>
      </c>
      <c r="E227" s="26" t="str">
        <f>IFERROR(IF('ŞİKAYET KAYIT'!P227="Kapatıldı","",IF('ŞİKAYET KAYIT'!H227="","",'ŞİKAYET KAYIT'!H227)),"")</f>
        <v/>
      </c>
      <c r="F227" s="26" t="str">
        <f>IFERROR(IF('ŞİKAYET KAYIT'!P227="Kapatıldı","",IF('ŞİKAYET KAYIT'!I227="","",'ŞİKAYET KAYIT'!I227)),"")</f>
        <v/>
      </c>
      <c r="G227" s="26" t="str">
        <f>IFERROR(IF('ŞİKAYET KAYIT'!P227="Kapatıldı","",IF('ŞİKAYET KAYIT'!J227="","",'ŞİKAYET KAYIT'!J227)),"")</f>
        <v/>
      </c>
      <c r="H227" s="26" t="str">
        <f>IFERROR(IF('ŞİKAYET KAYIT'!P227="Kapatıldı","",IF('ŞİKAYET KAYIT'!K227="","",'ŞİKAYET KAYIT'!K227)),"")</f>
        <v/>
      </c>
      <c r="I227" s="26" t="str">
        <f>IFERROR(IF('ŞİKAYET KAYIT'!P227="Kapatıldı","",IF('ŞİKAYET KAYIT'!L227="","",'ŞİKAYET KAYIT'!L227)),"")</f>
        <v/>
      </c>
      <c r="J227" s="26" t="str">
        <f>IFERROR(IF('ŞİKAYET KAYIT'!P227="Kapatıldı","",IF('ŞİKAYET KAYIT'!M227="","",'ŞİKAYET KAYIT'!M227)),"")</f>
        <v/>
      </c>
      <c r="K227" s="26" t="str">
        <f>IFERROR(IF('ŞİKAYET KAYIT'!P227="Kapatıldı","",IF('ŞİKAYET KAYIT'!N227="","",'ŞİKAYET KAYIT'!N227)),"")</f>
        <v/>
      </c>
      <c r="L227" s="26" t="str">
        <f>IFERROR(IF('ŞİKAYET KAYIT'!P227="Kapatıldı","",IF('ŞİKAYET KAYIT'!O227="","",'ŞİKAYET KAYIT'!O227)),"")</f>
        <v/>
      </c>
      <c r="M227" s="26" t="str">
        <f>IFERROR(IF('ŞİKAYET KAYIT'!P227="Kapatıldı","",IF('ŞİKAYET KAYIT'!P227="","",'ŞİKAYET KAYIT'!P227)),"")</f>
        <v/>
      </c>
    </row>
    <row r="228" spans="1:13" ht="15" customHeight="1" x14ac:dyDescent="0.3">
      <c r="A228" s="3" t="str">
        <f>IFERROR(IF('ŞİKAYET KAYIT'!P228="Kapatıldı","",IF('ŞİKAYET KAYIT'!A228="","",'ŞİKAYET KAYIT'!A228)),"")</f>
        <v/>
      </c>
      <c r="B228" s="5" t="str">
        <f>IFERROR(IF('ŞİKAYET KAYIT'!P228="Kapatıldı","",IF('ŞİKAYET KAYIT'!B228="","",'ŞİKAYET KAYIT'!B228)),"")</f>
        <v/>
      </c>
      <c r="C228" s="3" t="str">
        <f>IFERROR(IF('ŞİKAYET KAYIT'!P228="Kapatıldı","",IF('ŞİKAYET KAYIT'!D228="","",'ŞİKAYET KAYIT'!D228)),"")</f>
        <v/>
      </c>
      <c r="D228" s="3" t="str">
        <f>IFERROR(IF('ŞİKAYET KAYIT'!P228="Kapatıldı","",IF('ŞİKAYET KAYIT'!F228="","",'ŞİKAYET KAYIT'!F228)),"")</f>
        <v/>
      </c>
      <c r="E228" s="3" t="str">
        <f>IFERROR(IF('ŞİKAYET KAYIT'!P228="Kapatıldı","",IF('ŞİKAYET KAYIT'!H228="","",'ŞİKAYET KAYIT'!H228)),"")</f>
        <v/>
      </c>
      <c r="F228" s="3" t="str">
        <f>IFERROR(IF('ŞİKAYET KAYIT'!P228="Kapatıldı","",IF('ŞİKAYET KAYIT'!I228="","",'ŞİKAYET KAYIT'!I228)),"")</f>
        <v/>
      </c>
      <c r="G228" s="3" t="str">
        <f>IFERROR(IF('ŞİKAYET KAYIT'!P228="Kapatıldı","",IF('ŞİKAYET KAYIT'!J228="","",'ŞİKAYET KAYIT'!J228)),"")</f>
        <v/>
      </c>
      <c r="H228" s="3" t="str">
        <f>IFERROR(IF('ŞİKAYET KAYIT'!P228="Kapatıldı","",IF('ŞİKAYET KAYIT'!K228="","",'ŞİKAYET KAYIT'!K228)),"")</f>
        <v/>
      </c>
      <c r="I228" s="3" t="str">
        <f>IFERROR(IF('ŞİKAYET KAYIT'!P228="Kapatıldı","",IF('ŞİKAYET KAYIT'!L228="","",'ŞİKAYET KAYIT'!L228)),"")</f>
        <v/>
      </c>
      <c r="J228" s="3" t="str">
        <f>IFERROR(IF('ŞİKAYET KAYIT'!P228="Kapatıldı","",IF('ŞİKAYET KAYIT'!M228="","",'ŞİKAYET KAYIT'!M228)),"")</f>
        <v/>
      </c>
      <c r="K228" s="3" t="str">
        <f>IFERROR(IF('ŞİKAYET KAYIT'!P228="Kapatıldı","",IF('ŞİKAYET KAYIT'!N228="","",'ŞİKAYET KAYIT'!N228)),"")</f>
        <v/>
      </c>
      <c r="L228" s="3" t="str">
        <f>IFERROR(IF('ŞİKAYET KAYIT'!P228="Kapatıldı","",IF('ŞİKAYET KAYIT'!O228="","",'ŞİKAYET KAYIT'!O228)),"")</f>
        <v/>
      </c>
      <c r="M228" s="3" t="str">
        <f>IFERROR(IF('ŞİKAYET KAYIT'!P228="Kapatıldı","",IF('ŞİKAYET KAYIT'!P228="","",'ŞİKAYET KAYIT'!P228)),"")</f>
        <v/>
      </c>
    </row>
    <row r="229" spans="1:13" ht="15" customHeight="1" x14ac:dyDescent="0.3">
      <c r="A229" s="26" t="str">
        <f>IFERROR(IF('ŞİKAYET KAYIT'!P229="Kapatıldı","",IF('ŞİKAYET KAYIT'!A229="","",'ŞİKAYET KAYIT'!A229)),"")</f>
        <v/>
      </c>
      <c r="B229" s="8" t="str">
        <f>IFERROR(IF('ŞİKAYET KAYIT'!P229="Kapatıldı","",IF('ŞİKAYET KAYIT'!B229="","",'ŞİKAYET KAYIT'!B229)),"")</f>
        <v/>
      </c>
      <c r="C229" s="26" t="str">
        <f>IFERROR(IF('ŞİKAYET KAYIT'!P229="Kapatıldı","",IF('ŞİKAYET KAYIT'!D229="","",'ŞİKAYET KAYIT'!D229)),"")</f>
        <v/>
      </c>
      <c r="D229" s="26" t="str">
        <f>IFERROR(IF('ŞİKAYET KAYIT'!P229="Kapatıldı","",IF('ŞİKAYET KAYIT'!F229="","",'ŞİKAYET KAYIT'!F229)),"")</f>
        <v/>
      </c>
      <c r="E229" s="26" t="str">
        <f>IFERROR(IF('ŞİKAYET KAYIT'!P229="Kapatıldı","",IF('ŞİKAYET KAYIT'!H229="","",'ŞİKAYET KAYIT'!H229)),"")</f>
        <v/>
      </c>
      <c r="F229" s="26" t="str">
        <f>IFERROR(IF('ŞİKAYET KAYIT'!P229="Kapatıldı","",IF('ŞİKAYET KAYIT'!I229="","",'ŞİKAYET KAYIT'!I229)),"")</f>
        <v/>
      </c>
      <c r="G229" s="26" t="str">
        <f>IFERROR(IF('ŞİKAYET KAYIT'!P229="Kapatıldı","",IF('ŞİKAYET KAYIT'!J229="","",'ŞİKAYET KAYIT'!J229)),"")</f>
        <v/>
      </c>
      <c r="H229" s="26" t="str">
        <f>IFERROR(IF('ŞİKAYET KAYIT'!P229="Kapatıldı","",IF('ŞİKAYET KAYIT'!K229="","",'ŞİKAYET KAYIT'!K229)),"")</f>
        <v/>
      </c>
      <c r="I229" s="26" t="str">
        <f>IFERROR(IF('ŞİKAYET KAYIT'!P229="Kapatıldı","",IF('ŞİKAYET KAYIT'!L229="","",'ŞİKAYET KAYIT'!L229)),"")</f>
        <v/>
      </c>
      <c r="J229" s="26" t="str">
        <f>IFERROR(IF('ŞİKAYET KAYIT'!P229="Kapatıldı","",IF('ŞİKAYET KAYIT'!M229="","",'ŞİKAYET KAYIT'!M229)),"")</f>
        <v/>
      </c>
      <c r="K229" s="26" t="str">
        <f>IFERROR(IF('ŞİKAYET KAYIT'!P229="Kapatıldı","",IF('ŞİKAYET KAYIT'!N229="","",'ŞİKAYET KAYIT'!N229)),"")</f>
        <v/>
      </c>
      <c r="L229" s="26" t="str">
        <f>IFERROR(IF('ŞİKAYET KAYIT'!P229="Kapatıldı","",IF('ŞİKAYET KAYIT'!O229="","",'ŞİKAYET KAYIT'!O229)),"")</f>
        <v/>
      </c>
      <c r="M229" s="26" t="str">
        <f>IFERROR(IF('ŞİKAYET KAYIT'!P229="Kapatıldı","",IF('ŞİKAYET KAYIT'!P229="","",'ŞİKAYET KAYIT'!P229)),"")</f>
        <v/>
      </c>
    </row>
    <row r="230" spans="1:13" ht="15" customHeight="1" x14ac:dyDescent="0.3">
      <c r="A230" s="3" t="str">
        <f>IFERROR(IF('ŞİKAYET KAYIT'!P230="Kapatıldı","",IF('ŞİKAYET KAYIT'!A230="","",'ŞİKAYET KAYIT'!A230)),"")</f>
        <v/>
      </c>
      <c r="B230" s="5" t="str">
        <f>IFERROR(IF('ŞİKAYET KAYIT'!P230="Kapatıldı","",IF('ŞİKAYET KAYIT'!B230="","",'ŞİKAYET KAYIT'!B230)),"")</f>
        <v/>
      </c>
      <c r="C230" s="3" t="str">
        <f>IFERROR(IF('ŞİKAYET KAYIT'!P230="Kapatıldı","",IF('ŞİKAYET KAYIT'!D230="","",'ŞİKAYET KAYIT'!D230)),"")</f>
        <v/>
      </c>
      <c r="D230" s="3" t="str">
        <f>IFERROR(IF('ŞİKAYET KAYIT'!P230="Kapatıldı","",IF('ŞİKAYET KAYIT'!F230="","",'ŞİKAYET KAYIT'!F230)),"")</f>
        <v/>
      </c>
      <c r="E230" s="3" t="str">
        <f>IFERROR(IF('ŞİKAYET KAYIT'!P230="Kapatıldı","",IF('ŞİKAYET KAYIT'!H230="","",'ŞİKAYET KAYIT'!H230)),"")</f>
        <v/>
      </c>
      <c r="F230" s="3" t="str">
        <f>IFERROR(IF('ŞİKAYET KAYIT'!P230="Kapatıldı","",IF('ŞİKAYET KAYIT'!I230="","",'ŞİKAYET KAYIT'!I230)),"")</f>
        <v/>
      </c>
      <c r="G230" s="3" t="str">
        <f>IFERROR(IF('ŞİKAYET KAYIT'!P230="Kapatıldı","",IF('ŞİKAYET KAYIT'!J230="","",'ŞİKAYET KAYIT'!J230)),"")</f>
        <v/>
      </c>
      <c r="H230" s="3" t="str">
        <f>IFERROR(IF('ŞİKAYET KAYIT'!P230="Kapatıldı","",IF('ŞİKAYET KAYIT'!K230="","",'ŞİKAYET KAYIT'!K230)),"")</f>
        <v/>
      </c>
      <c r="I230" s="3" t="str">
        <f>IFERROR(IF('ŞİKAYET KAYIT'!P230="Kapatıldı","",IF('ŞİKAYET KAYIT'!L230="","",'ŞİKAYET KAYIT'!L230)),"")</f>
        <v/>
      </c>
      <c r="J230" s="3" t="str">
        <f>IFERROR(IF('ŞİKAYET KAYIT'!P230="Kapatıldı","",IF('ŞİKAYET KAYIT'!M230="","",'ŞİKAYET KAYIT'!M230)),"")</f>
        <v/>
      </c>
      <c r="K230" s="3" t="str">
        <f>IFERROR(IF('ŞİKAYET KAYIT'!P230="Kapatıldı","",IF('ŞİKAYET KAYIT'!N230="","",'ŞİKAYET KAYIT'!N230)),"")</f>
        <v/>
      </c>
      <c r="L230" s="3" t="str">
        <f>IFERROR(IF('ŞİKAYET KAYIT'!P230="Kapatıldı","",IF('ŞİKAYET KAYIT'!O230="","",'ŞİKAYET KAYIT'!O230)),"")</f>
        <v/>
      </c>
      <c r="M230" s="3" t="str">
        <f>IFERROR(IF('ŞİKAYET KAYIT'!P230="Kapatıldı","",IF('ŞİKAYET KAYIT'!P230="","",'ŞİKAYET KAYIT'!P230)),"")</f>
        <v/>
      </c>
    </row>
    <row r="231" spans="1:13" ht="15" customHeight="1" x14ac:dyDescent="0.3">
      <c r="A231" s="26" t="str">
        <f>IFERROR(IF('ŞİKAYET KAYIT'!P231="Kapatıldı","",IF('ŞİKAYET KAYIT'!A231="","",'ŞİKAYET KAYIT'!A231)),"")</f>
        <v/>
      </c>
      <c r="B231" s="8" t="str">
        <f>IFERROR(IF('ŞİKAYET KAYIT'!P231="Kapatıldı","",IF('ŞİKAYET KAYIT'!B231="","",'ŞİKAYET KAYIT'!B231)),"")</f>
        <v/>
      </c>
      <c r="C231" s="26" t="str">
        <f>IFERROR(IF('ŞİKAYET KAYIT'!P231="Kapatıldı","",IF('ŞİKAYET KAYIT'!D231="","",'ŞİKAYET KAYIT'!D231)),"")</f>
        <v/>
      </c>
      <c r="D231" s="26" t="str">
        <f>IFERROR(IF('ŞİKAYET KAYIT'!P231="Kapatıldı","",IF('ŞİKAYET KAYIT'!F231="","",'ŞİKAYET KAYIT'!F231)),"")</f>
        <v/>
      </c>
      <c r="E231" s="26" t="str">
        <f>IFERROR(IF('ŞİKAYET KAYIT'!P231="Kapatıldı","",IF('ŞİKAYET KAYIT'!H231="","",'ŞİKAYET KAYIT'!H231)),"")</f>
        <v/>
      </c>
      <c r="F231" s="26" t="str">
        <f>IFERROR(IF('ŞİKAYET KAYIT'!P231="Kapatıldı","",IF('ŞİKAYET KAYIT'!I231="","",'ŞİKAYET KAYIT'!I231)),"")</f>
        <v/>
      </c>
      <c r="G231" s="26" t="str">
        <f>IFERROR(IF('ŞİKAYET KAYIT'!P231="Kapatıldı","",IF('ŞİKAYET KAYIT'!J231="","",'ŞİKAYET KAYIT'!J231)),"")</f>
        <v/>
      </c>
      <c r="H231" s="26" t="str">
        <f>IFERROR(IF('ŞİKAYET KAYIT'!P231="Kapatıldı","",IF('ŞİKAYET KAYIT'!K231="","",'ŞİKAYET KAYIT'!K231)),"")</f>
        <v/>
      </c>
      <c r="I231" s="26" t="str">
        <f>IFERROR(IF('ŞİKAYET KAYIT'!P231="Kapatıldı","",IF('ŞİKAYET KAYIT'!L231="","",'ŞİKAYET KAYIT'!L231)),"")</f>
        <v/>
      </c>
      <c r="J231" s="26" t="str">
        <f>IFERROR(IF('ŞİKAYET KAYIT'!P231="Kapatıldı","",IF('ŞİKAYET KAYIT'!M231="","",'ŞİKAYET KAYIT'!M231)),"")</f>
        <v/>
      </c>
      <c r="K231" s="26" t="str">
        <f>IFERROR(IF('ŞİKAYET KAYIT'!P231="Kapatıldı","",IF('ŞİKAYET KAYIT'!N231="","",'ŞİKAYET KAYIT'!N231)),"")</f>
        <v/>
      </c>
      <c r="L231" s="26" t="str">
        <f>IFERROR(IF('ŞİKAYET KAYIT'!P231="Kapatıldı","",IF('ŞİKAYET KAYIT'!O231="","",'ŞİKAYET KAYIT'!O231)),"")</f>
        <v/>
      </c>
      <c r="M231" s="26" t="str">
        <f>IFERROR(IF('ŞİKAYET KAYIT'!P231="Kapatıldı","",IF('ŞİKAYET KAYIT'!P231="","",'ŞİKAYET KAYIT'!P231)),"")</f>
        <v/>
      </c>
    </row>
    <row r="232" spans="1:13" ht="15" customHeight="1" x14ac:dyDescent="0.3">
      <c r="A232" s="3" t="str">
        <f>IFERROR(IF('ŞİKAYET KAYIT'!P232="Kapatıldı","",IF('ŞİKAYET KAYIT'!A232="","",'ŞİKAYET KAYIT'!A232)),"")</f>
        <v/>
      </c>
      <c r="B232" s="5" t="str">
        <f>IFERROR(IF('ŞİKAYET KAYIT'!P232="Kapatıldı","",IF('ŞİKAYET KAYIT'!B232="","",'ŞİKAYET KAYIT'!B232)),"")</f>
        <v/>
      </c>
      <c r="C232" s="3" t="str">
        <f>IFERROR(IF('ŞİKAYET KAYIT'!P232="Kapatıldı","",IF('ŞİKAYET KAYIT'!D232="","",'ŞİKAYET KAYIT'!D232)),"")</f>
        <v/>
      </c>
      <c r="D232" s="3" t="str">
        <f>IFERROR(IF('ŞİKAYET KAYIT'!P232="Kapatıldı","",IF('ŞİKAYET KAYIT'!F232="","",'ŞİKAYET KAYIT'!F232)),"")</f>
        <v/>
      </c>
      <c r="E232" s="3" t="str">
        <f>IFERROR(IF('ŞİKAYET KAYIT'!P232="Kapatıldı","",IF('ŞİKAYET KAYIT'!H232="","",'ŞİKAYET KAYIT'!H232)),"")</f>
        <v/>
      </c>
      <c r="F232" s="3" t="str">
        <f>IFERROR(IF('ŞİKAYET KAYIT'!P232="Kapatıldı","",IF('ŞİKAYET KAYIT'!I232="","",'ŞİKAYET KAYIT'!I232)),"")</f>
        <v/>
      </c>
      <c r="G232" s="3" t="str">
        <f>IFERROR(IF('ŞİKAYET KAYIT'!P232="Kapatıldı","",IF('ŞİKAYET KAYIT'!J232="","",'ŞİKAYET KAYIT'!J232)),"")</f>
        <v/>
      </c>
      <c r="H232" s="3" t="str">
        <f>IFERROR(IF('ŞİKAYET KAYIT'!P232="Kapatıldı","",IF('ŞİKAYET KAYIT'!K232="","",'ŞİKAYET KAYIT'!K232)),"")</f>
        <v/>
      </c>
      <c r="I232" s="3" t="str">
        <f>IFERROR(IF('ŞİKAYET KAYIT'!P232="Kapatıldı","",IF('ŞİKAYET KAYIT'!L232="","",'ŞİKAYET KAYIT'!L232)),"")</f>
        <v/>
      </c>
      <c r="J232" s="3" t="str">
        <f>IFERROR(IF('ŞİKAYET KAYIT'!P232="Kapatıldı","",IF('ŞİKAYET KAYIT'!M232="","",'ŞİKAYET KAYIT'!M232)),"")</f>
        <v/>
      </c>
      <c r="K232" s="3" t="str">
        <f>IFERROR(IF('ŞİKAYET KAYIT'!P232="Kapatıldı","",IF('ŞİKAYET KAYIT'!N232="","",'ŞİKAYET KAYIT'!N232)),"")</f>
        <v/>
      </c>
      <c r="L232" s="3" t="str">
        <f>IFERROR(IF('ŞİKAYET KAYIT'!P232="Kapatıldı","",IF('ŞİKAYET KAYIT'!O232="","",'ŞİKAYET KAYIT'!O232)),"")</f>
        <v/>
      </c>
      <c r="M232" s="3" t="str">
        <f>IFERROR(IF('ŞİKAYET KAYIT'!P232="Kapatıldı","",IF('ŞİKAYET KAYIT'!P232="","",'ŞİKAYET KAYIT'!P232)),"")</f>
        <v/>
      </c>
    </row>
    <row r="233" spans="1:13" ht="15" customHeight="1" x14ac:dyDescent="0.3">
      <c r="A233" s="26" t="str">
        <f>IFERROR(IF('ŞİKAYET KAYIT'!P233="Kapatıldı","",IF('ŞİKAYET KAYIT'!A233="","",'ŞİKAYET KAYIT'!A233)),"")</f>
        <v/>
      </c>
      <c r="B233" s="8" t="str">
        <f>IFERROR(IF('ŞİKAYET KAYIT'!P233="Kapatıldı","",IF('ŞİKAYET KAYIT'!B233="","",'ŞİKAYET KAYIT'!B233)),"")</f>
        <v/>
      </c>
      <c r="C233" s="26" t="str">
        <f>IFERROR(IF('ŞİKAYET KAYIT'!P233="Kapatıldı","",IF('ŞİKAYET KAYIT'!D233="","",'ŞİKAYET KAYIT'!D233)),"")</f>
        <v/>
      </c>
      <c r="D233" s="26" t="str">
        <f>IFERROR(IF('ŞİKAYET KAYIT'!P233="Kapatıldı","",IF('ŞİKAYET KAYIT'!F233="","",'ŞİKAYET KAYIT'!F233)),"")</f>
        <v/>
      </c>
      <c r="E233" s="26" t="str">
        <f>IFERROR(IF('ŞİKAYET KAYIT'!P233="Kapatıldı","",IF('ŞİKAYET KAYIT'!H233="","",'ŞİKAYET KAYIT'!H233)),"")</f>
        <v/>
      </c>
      <c r="F233" s="26" t="str">
        <f>IFERROR(IF('ŞİKAYET KAYIT'!P233="Kapatıldı","",IF('ŞİKAYET KAYIT'!I233="","",'ŞİKAYET KAYIT'!I233)),"")</f>
        <v/>
      </c>
      <c r="G233" s="26" t="str">
        <f>IFERROR(IF('ŞİKAYET KAYIT'!P233="Kapatıldı","",IF('ŞİKAYET KAYIT'!J233="","",'ŞİKAYET KAYIT'!J233)),"")</f>
        <v/>
      </c>
      <c r="H233" s="26" t="str">
        <f>IFERROR(IF('ŞİKAYET KAYIT'!P233="Kapatıldı","",IF('ŞİKAYET KAYIT'!K233="","",'ŞİKAYET KAYIT'!K233)),"")</f>
        <v/>
      </c>
      <c r="I233" s="26" t="str">
        <f>IFERROR(IF('ŞİKAYET KAYIT'!P233="Kapatıldı","",IF('ŞİKAYET KAYIT'!L233="","",'ŞİKAYET KAYIT'!L233)),"")</f>
        <v/>
      </c>
      <c r="J233" s="26" t="str">
        <f>IFERROR(IF('ŞİKAYET KAYIT'!P233="Kapatıldı","",IF('ŞİKAYET KAYIT'!M233="","",'ŞİKAYET KAYIT'!M233)),"")</f>
        <v/>
      </c>
      <c r="K233" s="26" t="str">
        <f>IFERROR(IF('ŞİKAYET KAYIT'!P233="Kapatıldı","",IF('ŞİKAYET KAYIT'!N233="","",'ŞİKAYET KAYIT'!N233)),"")</f>
        <v/>
      </c>
      <c r="L233" s="26" t="str">
        <f>IFERROR(IF('ŞİKAYET KAYIT'!P233="Kapatıldı","",IF('ŞİKAYET KAYIT'!O233="","",'ŞİKAYET KAYIT'!O233)),"")</f>
        <v/>
      </c>
      <c r="M233" s="26" t="str">
        <f>IFERROR(IF('ŞİKAYET KAYIT'!P233="Kapatıldı","",IF('ŞİKAYET KAYIT'!P233="","",'ŞİKAYET KAYIT'!P233)),"")</f>
        <v/>
      </c>
    </row>
    <row r="234" spans="1:13" ht="15" customHeight="1" x14ac:dyDescent="0.3">
      <c r="A234" s="3" t="str">
        <f>IFERROR(IF('ŞİKAYET KAYIT'!P234="Kapatıldı","",IF('ŞİKAYET KAYIT'!A234="","",'ŞİKAYET KAYIT'!A234)),"")</f>
        <v/>
      </c>
      <c r="B234" s="5" t="str">
        <f>IFERROR(IF('ŞİKAYET KAYIT'!P234="Kapatıldı","",IF('ŞİKAYET KAYIT'!B234="","",'ŞİKAYET KAYIT'!B234)),"")</f>
        <v/>
      </c>
      <c r="C234" s="3" t="str">
        <f>IFERROR(IF('ŞİKAYET KAYIT'!P234="Kapatıldı","",IF('ŞİKAYET KAYIT'!D234="","",'ŞİKAYET KAYIT'!D234)),"")</f>
        <v/>
      </c>
      <c r="D234" s="3" t="str">
        <f>IFERROR(IF('ŞİKAYET KAYIT'!P234="Kapatıldı","",IF('ŞİKAYET KAYIT'!F234="","",'ŞİKAYET KAYIT'!F234)),"")</f>
        <v/>
      </c>
      <c r="E234" s="3" t="str">
        <f>IFERROR(IF('ŞİKAYET KAYIT'!P234="Kapatıldı","",IF('ŞİKAYET KAYIT'!H234="","",'ŞİKAYET KAYIT'!H234)),"")</f>
        <v/>
      </c>
      <c r="F234" s="3" t="str">
        <f>IFERROR(IF('ŞİKAYET KAYIT'!P234="Kapatıldı","",IF('ŞİKAYET KAYIT'!I234="","",'ŞİKAYET KAYIT'!I234)),"")</f>
        <v/>
      </c>
      <c r="G234" s="3" t="str">
        <f>IFERROR(IF('ŞİKAYET KAYIT'!P234="Kapatıldı","",IF('ŞİKAYET KAYIT'!J234="","",'ŞİKAYET KAYIT'!J234)),"")</f>
        <v/>
      </c>
      <c r="H234" s="3" t="str">
        <f>IFERROR(IF('ŞİKAYET KAYIT'!P234="Kapatıldı","",IF('ŞİKAYET KAYIT'!K234="","",'ŞİKAYET KAYIT'!K234)),"")</f>
        <v/>
      </c>
      <c r="I234" s="3" t="str">
        <f>IFERROR(IF('ŞİKAYET KAYIT'!P234="Kapatıldı","",IF('ŞİKAYET KAYIT'!L234="","",'ŞİKAYET KAYIT'!L234)),"")</f>
        <v/>
      </c>
      <c r="J234" s="3" t="str">
        <f>IFERROR(IF('ŞİKAYET KAYIT'!P234="Kapatıldı","",IF('ŞİKAYET KAYIT'!M234="","",'ŞİKAYET KAYIT'!M234)),"")</f>
        <v/>
      </c>
      <c r="K234" s="3" t="str">
        <f>IFERROR(IF('ŞİKAYET KAYIT'!P234="Kapatıldı","",IF('ŞİKAYET KAYIT'!N234="","",'ŞİKAYET KAYIT'!N234)),"")</f>
        <v/>
      </c>
      <c r="L234" s="3" t="str">
        <f>IFERROR(IF('ŞİKAYET KAYIT'!P234="Kapatıldı","",IF('ŞİKAYET KAYIT'!O234="","",'ŞİKAYET KAYIT'!O234)),"")</f>
        <v/>
      </c>
      <c r="M234" s="3" t="str">
        <f>IFERROR(IF('ŞİKAYET KAYIT'!P234="Kapatıldı","",IF('ŞİKAYET KAYIT'!P234="","",'ŞİKAYET KAYIT'!P234)),"")</f>
        <v/>
      </c>
    </row>
    <row r="235" spans="1:13" ht="15" customHeight="1" x14ac:dyDescent="0.3">
      <c r="A235" s="26" t="str">
        <f>IFERROR(IF('ŞİKAYET KAYIT'!P235="Kapatıldı","",IF('ŞİKAYET KAYIT'!A235="","",'ŞİKAYET KAYIT'!A235)),"")</f>
        <v/>
      </c>
      <c r="B235" s="8" t="str">
        <f>IFERROR(IF('ŞİKAYET KAYIT'!P235="Kapatıldı","",IF('ŞİKAYET KAYIT'!B235="","",'ŞİKAYET KAYIT'!B235)),"")</f>
        <v/>
      </c>
      <c r="C235" s="26" t="str">
        <f>IFERROR(IF('ŞİKAYET KAYIT'!P235="Kapatıldı","",IF('ŞİKAYET KAYIT'!D235="","",'ŞİKAYET KAYIT'!D235)),"")</f>
        <v/>
      </c>
      <c r="D235" s="26" t="str">
        <f>IFERROR(IF('ŞİKAYET KAYIT'!P235="Kapatıldı","",IF('ŞİKAYET KAYIT'!F235="","",'ŞİKAYET KAYIT'!F235)),"")</f>
        <v/>
      </c>
      <c r="E235" s="26" t="str">
        <f>IFERROR(IF('ŞİKAYET KAYIT'!P235="Kapatıldı","",IF('ŞİKAYET KAYIT'!H235="","",'ŞİKAYET KAYIT'!H235)),"")</f>
        <v/>
      </c>
      <c r="F235" s="26" t="str">
        <f>IFERROR(IF('ŞİKAYET KAYIT'!P235="Kapatıldı","",IF('ŞİKAYET KAYIT'!I235="","",'ŞİKAYET KAYIT'!I235)),"")</f>
        <v/>
      </c>
      <c r="G235" s="26" t="str">
        <f>IFERROR(IF('ŞİKAYET KAYIT'!P235="Kapatıldı","",IF('ŞİKAYET KAYIT'!J235="","",'ŞİKAYET KAYIT'!J235)),"")</f>
        <v/>
      </c>
      <c r="H235" s="26" t="str">
        <f>IFERROR(IF('ŞİKAYET KAYIT'!P235="Kapatıldı","",IF('ŞİKAYET KAYIT'!K235="","",'ŞİKAYET KAYIT'!K235)),"")</f>
        <v/>
      </c>
      <c r="I235" s="26" t="str">
        <f>IFERROR(IF('ŞİKAYET KAYIT'!P235="Kapatıldı","",IF('ŞİKAYET KAYIT'!L235="","",'ŞİKAYET KAYIT'!L235)),"")</f>
        <v/>
      </c>
      <c r="J235" s="26" t="str">
        <f>IFERROR(IF('ŞİKAYET KAYIT'!P235="Kapatıldı","",IF('ŞİKAYET KAYIT'!M235="","",'ŞİKAYET KAYIT'!M235)),"")</f>
        <v/>
      </c>
      <c r="K235" s="26" t="str">
        <f>IFERROR(IF('ŞİKAYET KAYIT'!P235="Kapatıldı","",IF('ŞİKAYET KAYIT'!N235="","",'ŞİKAYET KAYIT'!N235)),"")</f>
        <v/>
      </c>
      <c r="L235" s="26" t="str">
        <f>IFERROR(IF('ŞİKAYET KAYIT'!P235="Kapatıldı","",IF('ŞİKAYET KAYIT'!O235="","",'ŞİKAYET KAYIT'!O235)),"")</f>
        <v/>
      </c>
      <c r="M235" s="26" t="str">
        <f>IFERROR(IF('ŞİKAYET KAYIT'!P235="Kapatıldı","",IF('ŞİKAYET KAYIT'!P235="","",'ŞİKAYET KAYIT'!P235)),"")</f>
        <v/>
      </c>
    </row>
    <row r="236" spans="1:13" ht="15" customHeight="1" x14ac:dyDescent="0.3">
      <c r="A236" s="3" t="str">
        <f>IFERROR(IF('ŞİKAYET KAYIT'!P236="Kapatıldı","",IF('ŞİKAYET KAYIT'!A236="","",'ŞİKAYET KAYIT'!A236)),"")</f>
        <v/>
      </c>
      <c r="B236" s="5" t="str">
        <f>IFERROR(IF('ŞİKAYET KAYIT'!P236="Kapatıldı","",IF('ŞİKAYET KAYIT'!B236="","",'ŞİKAYET KAYIT'!B236)),"")</f>
        <v/>
      </c>
      <c r="C236" s="3" t="str">
        <f>IFERROR(IF('ŞİKAYET KAYIT'!P236="Kapatıldı","",IF('ŞİKAYET KAYIT'!D236="","",'ŞİKAYET KAYIT'!D236)),"")</f>
        <v/>
      </c>
      <c r="D236" s="3" t="str">
        <f>IFERROR(IF('ŞİKAYET KAYIT'!P236="Kapatıldı","",IF('ŞİKAYET KAYIT'!F236="","",'ŞİKAYET KAYIT'!F236)),"")</f>
        <v/>
      </c>
      <c r="E236" s="3" t="str">
        <f>IFERROR(IF('ŞİKAYET KAYIT'!P236="Kapatıldı","",IF('ŞİKAYET KAYIT'!H236="","",'ŞİKAYET KAYIT'!H236)),"")</f>
        <v/>
      </c>
      <c r="F236" s="3" t="str">
        <f>IFERROR(IF('ŞİKAYET KAYIT'!P236="Kapatıldı","",IF('ŞİKAYET KAYIT'!I236="","",'ŞİKAYET KAYIT'!I236)),"")</f>
        <v/>
      </c>
      <c r="G236" s="3" t="str">
        <f>IFERROR(IF('ŞİKAYET KAYIT'!P236="Kapatıldı","",IF('ŞİKAYET KAYIT'!J236="","",'ŞİKAYET KAYIT'!J236)),"")</f>
        <v/>
      </c>
      <c r="H236" s="3" t="str">
        <f>IFERROR(IF('ŞİKAYET KAYIT'!P236="Kapatıldı","",IF('ŞİKAYET KAYIT'!K236="","",'ŞİKAYET KAYIT'!K236)),"")</f>
        <v/>
      </c>
      <c r="I236" s="3" t="str">
        <f>IFERROR(IF('ŞİKAYET KAYIT'!P236="Kapatıldı","",IF('ŞİKAYET KAYIT'!L236="","",'ŞİKAYET KAYIT'!L236)),"")</f>
        <v/>
      </c>
      <c r="J236" s="3" t="str">
        <f>IFERROR(IF('ŞİKAYET KAYIT'!P236="Kapatıldı","",IF('ŞİKAYET KAYIT'!M236="","",'ŞİKAYET KAYIT'!M236)),"")</f>
        <v/>
      </c>
      <c r="K236" s="3" t="str">
        <f>IFERROR(IF('ŞİKAYET KAYIT'!P236="Kapatıldı","",IF('ŞİKAYET KAYIT'!N236="","",'ŞİKAYET KAYIT'!N236)),"")</f>
        <v/>
      </c>
      <c r="L236" s="3" t="str">
        <f>IFERROR(IF('ŞİKAYET KAYIT'!P236="Kapatıldı","",IF('ŞİKAYET KAYIT'!O236="","",'ŞİKAYET KAYIT'!O236)),"")</f>
        <v/>
      </c>
      <c r="M236" s="3" t="str">
        <f>IFERROR(IF('ŞİKAYET KAYIT'!P236="Kapatıldı","",IF('ŞİKAYET KAYIT'!P236="","",'ŞİKAYET KAYIT'!P236)),"")</f>
        <v/>
      </c>
    </row>
    <row r="237" spans="1:13" ht="15" customHeight="1" x14ac:dyDescent="0.3">
      <c r="A237" s="26" t="str">
        <f>IFERROR(IF('ŞİKAYET KAYIT'!P237="Kapatıldı","",IF('ŞİKAYET KAYIT'!A237="","",'ŞİKAYET KAYIT'!A237)),"")</f>
        <v/>
      </c>
      <c r="B237" s="8" t="str">
        <f>IFERROR(IF('ŞİKAYET KAYIT'!P237="Kapatıldı","",IF('ŞİKAYET KAYIT'!B237="","",'ŞİKAYET KAYIT'!B237)),"")</f>
        <v/>
      </c>
      <c r="C237" s="26" t="str">
        <f>IFERROR(IF('ŞİKAYET KAYIT'!P237="Kapatıldı","",IF('ŞİKAYET KAYIT'!D237="","",'ŞİKAYET KAYIT'!D237)),"")</f>
        <v/>
      </c>
      <c r="D237" s="26" t="str">
        <f>IFERROR(IF('ŞİKAYET KAYIT'!P237="Kapatıldı","",IF('ŞİKAYET KAYIT'!F237="","",'ŞİKAYET KAYIT'!F237)),"")</f>
        <v/>
      </c>
      <c r="E237" s="26" t="str">
        <f>IFERROR(IF('ŞİKAYET KAYIT'!P237="Kapatıldı","",IF('ŞİKAYET KAYIT'!H237="","",'ŞİKAYET KAYIT'!H237)),"")</f>
        <v/>
      </c>
      <c r="F237" s="26" t="str">
        <f>IFERROR(IF('ŞİKAYET KAYIT'!P237="Kapatıldı","",IF('ŞİKAYET KAYIT'!I237="","",'ŞİKAYET KAYIT'!I237)),"")</f>
        <v/>
      </c>
      <c r="G237" s="26" t="str">
        <f>IFERROR(IF('ŞİKAYET KAYIT'!P237="Kapatıldı","",IF('ŞİKAYET KAYIT'!J237="","",'ŞİKAYET KAYIT'!J237)),"")</f>
        <v/>
      </c>
      <c r="H237" s="26" t="str">
        <f>IFERROR(IF('ŞİKAYET KAYIT'!P237="Kapatıldı","",IF('ŞİKAYET KAYIT'!K237="","",'ŞİKAYET KAYIT'!K237)),"")</f>
        <v/>
      </c>
      <c r="I237" s="26" t="str">
        <f>IFERROR(IF('ŞİKAYET KAYIT'!P237="Kapatıldı","",IF('ŞİKAYET KAYIT'!L237="","",'ŞİKAYET KAYIT'!L237)),"")</f>
        <v/>
      </c>
      <c r="J237" s="26" t="str">
        <f>IFERROR(IF('ŞİKAYET KAYIT'!P237="Kapatıldı","",IF('ŞİKAYET KAYIT'!M237="","",'ŞİKAYET KAYIT'!M237)),"")</f>
        <v/>
      </c>
      <c r="K237" s="26" t="str">
        <f>IFERROR(IF('ŞİKAYET KAYIT'!P237="Kapatıldı","",IF('ŞİKAYET KAYIT'!N237="","",'ŞİKAYET KAYIT'!N237)),"")</f>
        <v/>
      </c>
      <c r="L237" s="26" t="str">
        <f>IFERROR(IF('ŞİKAYET KAYIT'!P237="Kapatıldı","",IF('ŞİKAYET KAYIT'!O237="","",'ŞİKAYET KAYIT'!O237)),"")</f>
        <v/>
      </c>
      <c r="M237" s="26" t="str">
        <f>IFERROR(IF('ŞİKAYET KAYIT'!P237="Kapatıldı","",IF('ŞİKAYET KAYIT'!P237="","",'ŞİKAYET KAYIT'!P237)),"")</f>
        <v/>
      </c>
    </row>
    <row r="238" spans="1:13" ht="15" customHeight="1" x14ac:dyDescent="0.3">
      <c r="A238" s="3" t="str">
        <f>IFERROR(IF('ŞİKAYET KAYIT'!P238="Kapatıldı","",IF('ŞİKAYET KAYIT'!A238="","",'ŞİKAYET KAYIT'!A238)),"")</f>
        <v/>
      </c>
      <c r="B238" s="5" t="str">
        <f>IFERROR(IF('ŞİKAYET KAYIT'!P238="Kapatıldı","",IF('ŞİKAYET KAYIT'!B238="","",'ŞİKAYET KAYIT'!B238)),"")</f>
        <v/>
      </c>
      <c r="C238" s="3" t="str">
        <f>IFERROR(IF('ŞİKAYET KAYIT'!P238="Kapatıldı","",IF('ŞİKAYET KAYIT'!D238="","",'ŞİKAYET KAYIT'!D238)),"")</f>
        <v/>
      </c>
      <c r="D238" s="3" t="str">
        <f>IFERROR(IF('ŞİKAYET KAYIT'!P238="Kapatıldı","",IF('ŞİKAYET KAYIT'!F238="","",'ŞİKAYET KAYIT'!F238)),"")</f>
        <v/>
      </c>
      <c r="E238" s="3" t="str">
        <f>IFERROR(IF('ŞİKAYET KAYIT'!P238="Kapatıldı","",IF('ŞİKAYET KAYIT'!H238="","",'ŞİKAYET KAYIT'!H238)),"")</f>
        <v/>
      </c>
      <c r="F238" s="3" t="str">
        <f>IFERROR(IF('ŞİKAYET KAYIT'!P238="Kapatıldı","",IF('ŞİKAYET KAYIT'!I238="","",'ŞİKAYET KAYIT'!I238)),"")</f>
        <v/>
      </c>
      <c r="G238" s="3" t="str">
        <f>IFERROR(IF('ŞİKAYET KAYIT'!P238="Kapatıldı","",IF('ŞİKAYET KAYIT'!J238="","",'ŞİKAYET KAYIT'!J238)),"")</f>
        <v/>
      </c>
      <c r="H238" s="3" t="str">
        <f>IFERROR(IF('ŞİKAYET KAYIT'!P238="Kapatıldı","",IF('ŞİKAYET KAYIT'!K238="","",'ŞİKAYET KAYIT'!K238)),"")</f>
        <v/>
      </c>
      <c r="I238" s="3" t="str">
        <f>IFERROR(IF('ŞİKAYET KAYIT'!P238="Kapatıldı","",IF('ŞİKAYET KAYIT'!L238="","",'ŞİKAYET KAYIT'!L238)),"")</f>
        <v/>
      </c>
      <c r="J238" s="3" t="str">
        <f>IFERROR(IF('ŞİKAYET KAYIT'!P238="Kapatıldı","",IF('ŞİKAYET KAYIT'!M238="","",'ŞİKAYET KAYIT'!M238)),"")</f>
        <v/>
      </c>
      <c r="K238" s="3" t="str">
        <f>IFERROR(IF('ŞİKAYET KAYIT'!P238="Kapatıldı","",IF('ŞİKAYET KAYIT'!N238="","",'ŞİKAYET KAYIT'!N238)),"")</f>
        <v/>
      </c>
      <c r="L238" s="3" t="str">
        <f>IFERROR(IF('ŞİKAYET KAYIT'!P238="Kapatıldı","",IF('ŞİKAYET KAYIT'!O238="","",'ŞİKAYET KAYIT'!O238)),"")</f>
        <v/>
      </c>
      <c r="M238" s="3" t="str">
        <f>IFERROR(IF('ŞİKAYET KAYIT'!P238="Kapatıldı","",IF('ŞİKAYET KAYIT'!P238="","",'ŞİKAYET KAYIT'!P238)),"")</f>
        <v/>
      </c>
    </row>
    <row r="239" spans="1:13" ht="15" customHeight="1" x14ac:dyDescent="0.3">
      <c r="A239" s="26" t="str">
        <f>IFERROR(IF('ŞİKAYET KAYIT'!P239="Kapatıldı","",IF('ŞİKAYET KAYIT'!A239="","",'ŞİKAYET KAYIT'!A239)),"")</f>
        <v/>
      </c>
      <c r="B239" s="8" t="str">
        <f>IFERROR(IF('ŞİKAYET KAYIT'!P239="Kapatıldı","",IF('ŞİKAYET KAYIT'!B239="","",'ŞİKAYET KAYIT'!B239)),"")</f>
        <v/>
      </c>
      <c r="C239" s="26" t="str">
        <f>IFERROR(IF('ŞİKAYET KAYIT'!P239="Kapatıldı","",IF('ŞİKAYET KAYIT'!D239="","",'ŞİKAYET KAYIT'!D239)),"")</f>
        <v/>
      </c>
      <c r="D239" s="26" t="str">
        <f>IFERROR(IF('ŞİKAYET KAYIT'!P239="Kapatıldı","",IF('ŞİKAYET KAYIT'!F239="","",'ŞİKAYET KAYIT'!F239)),"")</f>
        <v/>
      </c>
      <c r="E239" s="26" t="str">
        <f>IFERROR(IF('ŞİKAYET KAYIT'!P239="Kapatıldı","",IF('ŞİKAYET KAYIT'!H239="","",'ŞİKAYET KAYIT'!H239)),"")</f>
        <v/>
      </c>
      <c r="F239" s="26" t="str">
        <f>IFERROR(IF('ŞİKAYET KAYIT'!P239="Kapatıldı","",IF('ŞİKAYET KAYIT'!I239="","",'ŞİKAYET KAYIT'!I239)),"")</f>
        <v/>
      </c>
      <c r="G239" s="26" t="str">
        <f>IFERROR(IF('ŞİKAYET KAYIT'!P239="Kapatıldı","",IF('ŞİKAYET KAYIT'!J239="","",'ŞİKAYET KAYIT'!J239)),"")</f>
        <v/>
      </c>
      <c r="H239" s="26" t="str">
        <f>IFERROR(IF('ŞİKAYET KAYIT'!P239="Kapatıldı","",IF('ŞİKAYET KAYIT'!K239="","",'ŞİKAYET KAYIT'!K239)),"")</f>
        <v/>
      </c>
      <c r="I239" s="26" t="str">
        <f>IFERROR(IF('ŞİKAYET KAYIT'!P239="Kapatıldı","",IF('ŞİKAYET KAYIT'!L239="","",'ŞİKAYET KAYIT'!L239)),"")</f>
        <v/>
      </c>
      <c r="J239" s="26" t="str">
        <f>IFERROR(IF('ŞİKAYET KAYIT'!P239="Kapatıldı","",IF('ŞİKAYET KAYIT'!M239="","",'ŞİKAYET KAYIT'!M239)),"")</f>
        <v/>
      </c>
      <c r="K239" s="26" t="str">
        <f>IFERROR(IF('ŞİKAYET KAYIT'!P239="Kapatıldı","",IF('ŞİKAYET KAYIT'!N239="","",'ŞİKAYET KAYIT'!N239)),"")</f>
        <v/>
      </c>
      <c r="L239" s="26" t="str">
        <f>IFERROR(IF('ŞİKAYET KAYIT'!P239="Kapatıldı","",IF('ŞİKAYET KAYIT'!O239="","",'ŞİKAYET KAYIT'!O239)),"")</f>
        <v/>
      </c>
      <c r="M239" s="26" t="str">
        <f>IFERROR(IF('ŞİKAYET KAYIT'!P239="Kapatıldı","",IF('ŞİKAYET KAYIT'!P239="","",'ŞİKAYET KAYIT'!P239)),"")</f>
        <v/>
      </c>
    </row>
    <row r="240" spans="1:13" ht="15" customHeight="1" x14ac:dyDescent="0.3">
      <c r="A240" s="3" t="str">
        <f>IFERROR(IF('ŞİKAYET KAYIT'!P240="Kapatıldı","",IF('ŞİKAYET KAYIT'!A240="","",'ŞİKAYET KAYIT'!A240)),"")</f>
        <v/>
      </c>
      <c r="B240" s="5" t="str">
        <f>IFERROR(IF('ŞİKAYET KAYIT'!P240="Kapatıldı","",IF('ŞİKAYET KAYIT'!B240="","",'ŞİKAYET KAYIT'!B240)),"")</f>
        <v/>
      </c>
      <c r="C240" s="3" t="str">
        <f>IFERROR(IF('ŞİKAYET KAYIT'!P240="Kapatıldı","",IF('ŞİKAYET KAYIT'!D240="","",'ŞİKAYET KAYIT'!D240)),"")</f>
        <v/>
      </c>
      <c r="D240" s="3" t="str">
        <f>IFERROR(IF('ŞİKAYET KAYIT'!P240="Kapatıldı","",IF('ŞİKAYET KAYIT'!F240="","",'ŞİKAYET KAYIT'!F240)),"")</f>
        <v/>
      </c>
      <c r="E240" s="3" t="str">
        <f>IFERROR(IF('ŞİKAYET KAYIT'!P240="Kapatıldı","",IF('ŞİKAYET KAYIT'!H240="","",'ŞİKAYET KAYIT'!H240)),"")</f>
        <v/>
      </c>
      <c r="F240" s="3" t="str">
        <f>IFERROR(IF('ŞİKAYET KAYIT'!P240="Kapatıldı","",IF('ŞİKAYET KAYIT'!I240="","",'ŞİKAYET KAYIT'!I240)),"")</f>
        <v/>
      </c>
      <c r="G240" s="3" t="str">
        <f>IFERROR(IF('ŞİKAYET KAYIT'!P240="Kapatıldı","",IF('ŞİKAYET KAYIT'!J240="","",'ŞİKAYET KAYIT'!J240)),"")</f>
        <v/>
      </c>
      <c r="H240" s="3" t="str">
        <f>IFERROR(IF('ŞİKAYET KAYIT'!P240="Kapatıldı","",IF('ŞİKAYET KAYIT'!K240="","",'ŞİKAYET KAYIT'!K240)),"")</f>
        <v/>
      </c>
      <c r="I240" s="3" t="str">
        <f>IFERROR(IF('ŞİKAYET KAYIT'!P240="Kapatıldı","",IF('ŞİKAYET KAYIT'!L240="","",'ŞİKAYET KAYIT'!L240)),"")</f>
        <v/>
      </c>
      <c r="J240" s="3" t="str">
        <f>IFERROR(IF('ŞİKAYET KAYIT'!P240="Kapatıldı","",IF('ŞİKAYET KAYIT'!M240="","",'ŞİKAYET KAYIT'!M240)),"")</f>
        <v/>
      </c>
      <c r="K240" s="3" t="str">
        <f>IFERROR(IF('ŞİKAYET KAYIT'!P240="Kapatıldı","",IF('ŞİKAYET KAYIT'!N240="","",'ŞİKAYET KAYIT'!N240)),"")</f>
        <v/>
      </c>
      <c r="L240" s="3" t="str">
        <f>IFERROR(IF('ŞİKAYET KAYIT'!P240="Kapatıldı","",IF('ŞİKAYET KAYIT'!O240="","",'ŞİKAYET KAYIT'!O240)),"")</f>
        <v/>
      </c>
      <c r="M240" s="3" t="str">
        <f>IFERROR(IF('ŞİKAYET KAYIT'!P240="Kapatıldı","",IF('ŞİKAYET KAYIT'!P240="","",'ŞİKAYET KAYIT'!P240)),"")</f>
        <v/>
      </c>
    </row>
    <row r="241" spans="1:13" ht="15" customHeight="1" x14ac:dyDescent="0.3">
      <c r="A241" s="26" t="str">
        <f>IFERROR(IF('ŞİKAYET KAYIT'!P241="Kapatıldı","",IF('ŞİKAYET KAYIT'!A241="","",'ŞİKAYET KAYIT'!A241)),"")</f>
        <v/>
      </c>
      <c r="B241" s="8" t="str">
        <f>IFERROR(IF('ŞİKAYET KAYIT'!P241="Kapatıldı","",IF('ŞİKAYET KAYIT'!B241="","",'ŞİKAYET KAYIT'!B241)),"")</f>
        <v/>
      </c>
      <c r="C241" s="26" t="str">
        <f>IFERROR(IF('ŞİKAYET KAYIT'!P241="Kapatıldı","",IF('ŞİKAYET KAYIT'!D241="","",'ŞİKAYET KAYIT'!D241)),"")</f>
        <v/>
      </c>
      <c r="D241" s="26" t="str">
        <f>IFERROR(IF('ŞİKAYET KAYIT'!P241="Kapatıldı","",IF('ŞİKAYET KAYIT'!F241="","",'ŞİKAYET KAYIT'!F241)),"")</f>
        <v/>
      </c>
      <c r="E241" s="26" t="str">
        <f>IFERROR(IF('ŞİKAYET KAYIT'!P241="Kapatıldı","",IF('ŞİKAYET KAYIT'!H241="","",'ŞİKAYET KAYIT'!H241)),"")</f>
        <v/>
      </c>
      <c r="F241" s="26" t="str">
        <f>IFERROR(IF('ŞİKAYET KAYIT'!P241="Kapatıldı","",IF('ŞİKAYET KAYIT'!I241="","",'ŞİKAYET KAYIT'!I241)),"")</f>
        <v/>
      </c>
      <c r="G241" s="26" t="str">
        <f>IFERROR(IF('ŞİKAYET KAYIT'!P241="Kapatıldı","",IF('ŞİKAYET KAYIT'!J241="","",'ŞİKAYET KAYIT'!J241)),"")</f>
        <v/>
      </c>
      <c r="H241" s="26" t="str">
        <f>IFERROR(IF('ŞİKAYET KAYIT'!P241="Kapatıldı","",IF('ŞİKAYET KAYIT'!K241="","",'ŞİKAYET KAYIT'!K241)),"")</f>
        <v/>
      </c>
      <c r="I241" s="26" t="str">
        <f>IFERROR(IF('ŞİKAYET KAYIT'!P241="Kapatıldı","",IF('ŞİKAYET KAYIT'!L241="","",'ŞİKAYET KAYIT'!L241)),"")</f>
        <v/>
      </c>
      <c r="J241" s="26" t="str">
        <f>IFERROR(IF('ŞİKAYET KAYIT'!P241="Kapatıldı","",IF('ŞİKAYET KAYIT'!M241="","",'ŞİKAYET KAYIT'!M241)),"")</f>
        <v/>
      </c>
      <c r="K241" s="26" t="str">
        <f>IFERROR(IF('ŞİKAYET KAYIT'!P241="Kapatıldı","",IF('ŞİKAYET KAYIT'!N241="","",'ŞİKAYET KAYIT'!N241)),"")</f>
        <v/>
      </c>
      <c r="L241" s="26" t="str">
        <f>IFERROR(IF('ŞİKAYET KAYIT'!P241="Kapatıldı","",IF('ŞİKAYET KAYIT'!O241="","",'ŞİKAYET KAYIT'!O241)),"")</f>
        <v/>
      </c>
      <c r="M241" s="26" t="str">
        <f>IFERROR(IF('ŞİKAYET KAYIT'!P241="Kapatıldı","",IF('ŞİKAYET KAYIT'!P241="","",'ŞİKAYET KAYIT'!P241)),"")</f>
        <v/>
      </c>
    </row>
    <row r="242" spans="1:13" ht="15" customHeight="1" x14ac:dyDescent="0.3">
      <c r="A242" s="3" t="str">
        <f>IFERROR(IF('ŞİKAYET KAYIT'!P242="Kapatıldı","",IF('ŞİKAYET KAYIT'!A242="","",'ŞİKAYET KAYIT'!A242)),"")</f>
        <v/>
      </c>
      <c r="B242" s="5" t="str">
        <f>IFERROR(IF('ŞİKAYET KAYIT'!P242="Kapatıldı","",IF('ŞİKAYET KAYIT'!B242="","",'ŞİKAYET KAYIT'!B242)),"")</f>
        <v/>
      </c>
      <c r="C242" s="3" t="str">
        <f>IFERROR(IF('ŞİKAYET KAYIT'!P242="Kapatıldı","",IF('ŞİKAYET KAYIT'!D242="","",'ŞİKAYET KAYIT'!D242)),"")</f>
        <v/>
      </c>
      <c r="D242" s="3" t="str">
        <f>IFERROR(IF('ŞİKAYET KAYIT'!P242="Kapatıldı","",IF('ŞİKAYET KAYIT'!F242="","",'ŞİKAYET KAYIT'!F242)),"")</f>
        <v/>
      </c>
      <c r="E242" s="3" t="str">
        <f>IFERROR(IF('ŞİKAYET KAYIT'!P242="Kapatıldı","",IF('ŞİKAYET KAYIT'!H242="","",'ŞİKAYET KAYIT'!H242)),"")</f>
        <v/>
      </c>
      <c r="F242" s="3" t="str">
        <f>IFERROR(IF('ŞİKAYET KAYIT'!P242="Kapatıldı","",IF('ŞİKAYET KAYIT'!I242="","",'ŞİKAYET KAYIT'!I242)),"")</f>
        <v/>
      </c>
      <c r="G242" s="3" t="str">
        <f>IFERROR(IF('ŞİKAYET KAYIT'!P242="Kapatıldı","",IF('ŞİKAYET KAYIT'!J242="","",'ŞİKAYET KAYIT'!J242)),"")</f>
        <v/>
      </c>
      <c r="H242" s="3" t="str">
        <f>IFERROR(IF('ŞİKAYET KAYIT'!P242="Kapatıldı","",IF('ŞİKAYET KAYIT'!K242="","",'ŞİKAYET KAYIT'!K242)),"")</f>
        <v/>
      </c>
      <c r="I242" s="3" t="str">
        <f>IFERROR(IF('ŞİKAYET KAYIT'!P242="Kapatıldı","",IF('ŞİKAYET KAYIT'!L242="","",'ŞİKAYET KAYIT'!L242)),"")</f>
        <v/>
      </c>
      <c r="J242" s="3" t="str">
        <f>IFERROR(IF('ŞİKAYET KAYIT'!P242="Kapatıldı","",IF('ŞİKAYET KAYIT'!M242="","",'ŞİKAYET KAYIT'!M242)),"")</f>
        <v/>
      </c>
      <c r="K242" s="3" t="str">
        <f>IFERROR(IF('ŞİKAYET KAYIT'!P242="Kapatıldı","",IF('ŞİKAYET KAYIT'!N242="","",'ŞİKAYET KAYIT'!N242)),"")</f>
        <v/>
      </c>
      <c r="L242" s="3" t="str">
        <f>IFERROR(IF('ŞİKAYET KAYIT'!P242="Kapatıldı","",IF('ŞİKAYET KAYIT'!O242="","",'ŞİKAYET KAYIT'!O242)),"")</f>
        <v/>
      </c>
      <c r="M242" s="3" t="str">
        <f>IFERROR(IF('ŞİKAYET KAYIT'!P242="Kapatıldı","",IF('ŞİKAYET KAYIT'!P242="","",'ŞİKAYET KAYIT'!P242)),"")</f>
        <v/>
      </c>
    </row>
    <row r="243" spans="1:13" ht="15" customHeight="1" x14ac:dyDescent="0.3">
      <c r="A243" s="26" t="str">
        <f>IFERROR(IF('ŞİKAYET KAYIT'!P243="Kapatıldı","",IF('ŞİKAYET KAYIT'!A243="","",'ŞİKAYET KAYIT'!A243)),"")</f>
        <v/>
      </c>
      <c r="B243" s="8" t="str">
        <f>IFERROR(IF('ŞİKAYET KAYIT'!P243="Kapatıldı","",IF('ŞİKAYET KAYIT'!B243="","",'ŞİKAYET KAYIT'!B243)),"")</f>
        <v/>
      </c>
      <c r="C243" s="26" t="str">
        <f>IFERROR(IF('ŞİKAYET KAYIT'!P243="Kapatıldı","",IF('ŞİKAYET KAYIT'!D243="","",'ŞİKAYET KAYIT'!D243)),"")</f>
        <v/>
      </c>
      <c r="D243" s="26" t="str">
        <f>IFERROR(IF('ŞİKAYET KAYIT'!P243="Kapatıldı","",IF('ŞİKAYET KAYIT'!F243="","",'ŞİKAYET KAYIT'!F243)),"")</f>
        <v/>
      </c>
      <c r="E243" s="26" t="str">
        <f>IFERROR(IF('ŞİKAYET KAYIT'!P243="Kapatıldı","",IF('ŞİKAYET KAYIT'!H243="","",'ŞİKAYET KAYIT'!H243)),"")</f>
        <v/>
      </c>
      <c r="F243" s="26" t="str">
        <f>IFERROR(IF('ŞİKAYET KAYIT'!P243="Kapatıldı","",IF('ŞİKAYET KAYIT'!I243="","",'ŞİKAYET KAYIT'!I243)),"")</f>
        <v/>
      </c>
      <c r="G243" s="26" t="str">
        <f>IFERROR(IF('ŞİKAYET KAYIT'!P243="Kapatıldı","",IF('ŞİKAYET KAYIT'!J243="","",'ŞİKAYET KAYIT'!J243)),"")</f>
        <v/>
      </c>
      <c r="H243" s="26" t="str">
        <f>IFERROR(IF('ŞİKAYET KAYIT'!P243="Kapatıldı","",IF('ŞİKAYET KAYIT'!K243="","",'ŞİKAYET KAYIT'!K243)),"")</f>
        <v/>
      </c>
      <c r="I243" s="26" t="str">
        <f>IFERROR(IF('ŞİKAYET KAYIT'!P243="Kapatıldı","",IF('ŞİKAYET KAYIT'!L243="","",'ŞİKAYET KAYIT'!L243)),"")</f>
        <v/>
      </c>
      <c r="J243" s="26" t="str">
        <f>IFERROR(IF('ŞİKAYET KAYIT'!P243="Kapatıldı","",IF('ŞİKAYET KAYIT'!M243="","",'ŞİKAYET KAYIT'!M243)),"")</f>
        <v/>
      </c>
      <c r="K243" s="26" t="str">
        <f>IFERROR(IF('ŞİKAYET KAYIT'!P243="Kapatıldı","",IF('ŞİKAYET KAYIT'!N243="","",'ŞİKAYET KAYIT'!N243)),"")</f>
        <v/>
      </c>
      <c r="L243" s="26" t="str">
        <f>IFERROR(IF('ŞİKAYET KAYIT'!P243="Kapatıldı","",IF('ŞİKAYET KAYIT'!O243="","",'ŞİKAYET KAYIT'!O243)),"")</f>
        <v/>
      </c>
      <c r="M243" s="26" t="str">
        <f>IFERROR(IF('ŞİKAYET KAYIT'!P243="Kapatıldı","",IF('ŞİKAYET KAYIT'!P243="","",'ŞİKAYET KAYIT'!P243)),"")</f>
        <v/>
      </c>
    </row>
    <row r="244" spans="1:13" ht="15" customHeight="1" x14ac:dyDescent="0.3">
      <c r="A244" s="3" t="str">
        <f>IFERROR(IF('ŞİKAYET KAYIT'!P244="Kapatıldı","",IF('ŞİKAYET KAYIT'!A244="","",'ŞİKAYET KAYIT'!A244)),"")</f>
        <v/>
      </c>
      <c r="B244" s="5" t="str">
        <f>IFERROR(IF('ŞİKAYET KAYIT'!P244="Kapatıldı","",IF('ŞİKAYET KAYIT'!B244="","",'ŞİKAYET KAYIT'!B244)),"")</f>
        <v/>
      </c>
      <c r="C244" s="3" t="str">
        <f>IFERROR(IF('ŞİKAYET KAYIT'!P244="Kapatıldı","",IF('ŞİKAYET KAYIT'!D244="","",'ŞİKAYET KAYIT'!D244)),"")</f>
        <v/>
      </c>
      <c r="D244" s="3" t="str">
        <f>IFERROR(IF('ŞİKAYET KAYIT'!P244="Kapatıldı","",IF('ŞİKAYET KAYIT'!F244="","",'ŞİKAYET KAYIT'!F244)),"")</f>
        <v/>
      </c>
      <c r="E244" s="3" t="str">
        <f>IFERROR(IF('ŞİKAYET KAYIT'!P244="Kapatıldı","",IF('ŞİKAYET KAYIT'!H244="","",'ŞİKAYET KAYIT'!H244)),"")</f>
        <v/>
      </c>
      <c r="F244" s="3" t="str">
        <f>IFERROR(IF('ŞİKAYET KAYIT'!P244="Kapatıldı","",IF('ŞİKAYET KAYIT'!I244="","",'ŞİKAYET KAYIT'!I244)),"")</f>
        <v/>
      </c>
      <c r="G244" s="3" t="str">
        <f>IFERROR(IF('ŞİKAYET KAYIT'!P244="Kapatıldı","",IF('ŞİKAYET KAYIT'!J244="","",'ŞİKAYET KAYIT'!J244)),"")</f>
        <v/>
      </c>
      <c r="H244" s="3" t="str">
        <f>IFERROR(IF('ŞİKAYET KAYIT'!P244="Kapatıldı","",IF('ŞİKAYET KAYIT'!K244="","",'ŞİKAYET KAYIT'!K244)),"")</f>
        <v/>
      </c>
      <c r="I244" s="3" t="str">
        <f>IFERROR(IF('ŞİKAYET KAYIT'!P244="Kapatıldı","",IF('ŞİKAYET KAYIT'!L244="","",'ŞİKAYET KAYIT'!L244)),"")</f>
        <v/>
      </c>
      <c r="J244" s="3" t="str">
        <f>IFERROR(IF('ŞİKAYET KAYIT'!P244="Kapatıldı","",IF('ŞİKAYET KAYIT'!M244="","",'ŞİKAYET KAYIT'!M244)),"")</f>
        <v/>
      </c>
      <c r="K244" s="3" t="str">
        <f>IFERROR(IF('ŞİKAYET KAYIT'!P244="Kapatıldı","",IF('ŞİKAYET KAYIT'!N244="","",'ŞİKAYET KAYIT'!N244)),"")</f>
        <v/>
      </c>
      <c r="L244" s="3" t="str">
        <f>IFERROR(IF('ŞİKAYET KAYIT'!P244="Kapatıldı","",IF('ŞİKAYET KAYIT'!O244="","",'ŞİKAYET KAYIT'!O244)),"")</f>
        <v/>
      </c>
      <c r="M244" s="3" t="str">
        <f>IFERROR(IF('ŞİKAYET KAYIT'!P244="Kapatıldı","",IF('ŞİKAYET KAYIT'!P244="","",'ŞİKAYET KAYIT'!P244)),"")</f>
        <v/>
      </c>
    </row>
    <row r="245" spans="1:13" ht="15" customHeight="1" x14ac:dyDescent="0.3">
      <c r="A245" s="26" t="str">
        <f>IFERROR(IF('ŞİKAYET KAYIT'!P245="Kapatıldı","",IF('ŞİKAYET KAYIT'!A245="","",'ŞİKAYET KAYIT'!A245)),"")</f>
        <v/>
      </c>
      <c r="B245" s="8" t="str">
        <f>IFERROR(IF('ŞİKAYET KAYIT'!P245="Kapatıldı","",IF('ŞİKAYET KAYIT'!B245="","",'ŞİKAYET KAYIT'!B245)),"")</f>
        <v/>
      </c>
      <c r="C245" s="26" t="str">
        <f>IFERROR(IF('ŞİKAYET KAYIT'!P245="Kapatıldı","",IF('ŞİKAYET KAYIT'!D245="","",'ŞİKAYET KAYIT'!D245)),"")</f>
        <v/>
      </c>
      <c r="D245" s="26" t="str">
        <f>IFERROR(IF('ŞİKAYET KAYIT'!P245="Kapatıldı","",IF('ŞİKAYET KAYIT'!F245="","",'ŞİKAYET KAYIT'!F245)),"")</f>
        <v/>
      </c>
      <c r="E245" s="26" t="str">
        <f>IFERROR(IF('ŞİKAYET KAYIT'!P245="Kapatıldı","",IF('ŞİKAYET KAYIT'!H245="","",'ŞİKAYET KAYIT'!H245)),"")</f>
        <v/>
      </c>
      <c r="F245" s="26" t="str">
        <f>IFERROR(IF('ŞİKAYET KAYIT'!P245="Kapatıldı","",IF('ŞİKAYET KAYIT'!I245="","",'ŞİKAYET KAYIT'!I245)),"")</f>
        <v/>
      </c>
      <c r="G245" s="26" t="str">
        <f>IFERROR(IF('ŞİKAYET KAYIT'!P245="Kapatıldı","",IF('ŞİKAYET KAYIT'!J245="","",'ŞİKAYET KAYIT'!J245)),"")</f>
        <v/>
      </c>
      <c r="H245" s="26" t="str">
        <f>IFERROR(IF('ŞİKAYET KAYIT'!P245="Kapatıldı","",IF('ŞİKAYET KAYIT'!K245="","",'ŞİKAYET KAYIT'!K245)),"")</f>
        <v/>
      </c>
      <c r="I245" s="26" t="str">
        <f>IFERROR(IF('ŞİKAYET KAYIT'!P245="Kapatıldı","",IF('ŞİKAYET KAYIT'!L245="","",'ŞİKAYET KAYIT'!L245)),"")</f>
        <v/>
      </c>
      <c r="J245" s="26" t="str">
        <f>IFERROR(IF('ŞİKAYET KAYIT'!P245="Kapatıldı","",IF('ŞİKAYET KAYIT'!M245="","",'ŞİKAYET KAYIT'!M245)),"")</f>
        <v/>
      </c>
      <c r="K245" s="26" t="str">
        <f>IFERROR(IF('ŞİKAYET KAYIT'!P245="Kapatıldı","",IF('ŞİKAYET KAYIT'!N245="","",'ŞİKAYET KAYIT'!N245)),"")</f>
        <v/>
      </c>
      <c r="L245" s="26" t="str">
        <f>IFERROR(IF('ŞİKAYET KAYIT'!P245="Kapatıldı","",IF('ŞİKAYET KAYIT'!O245="","",'ŞİKAYET KAYIT'!O245)),"")</f>
        <v/>
      </c>
      <c r="M245" s="26" t="str">
        <f>IFERROR(IF('ŞİKAYET KAYIT'!P245="Kapatıldı","",IF('ŞİKAYET KAYIT'!P245="","",'ŞİKAYET KAYIT'!P245)),"")</f>
        <v/>
      </c>
    </row>
    <row r="246" spans="1:13" ht="15" customHeight="1" x14ac:dyDescent="0.3">
      <c r="A246" s="3" t="str">
        <f>IFERROR(IF('ŞİKAYET KAYIT'!P246="Kapatıldı","",IF('ŞİKAYET KAYIT'!A246="","",'ŞİKAYET KAYIT'!A246)),"")</f>
        <v/>
      </c>
      <c r="B246" s="5" t="str">
        <f>IFERROR(IF('ŞİKAYET KAYIT'!P246="Kapatıldı","",IF('ŞİKAYET KAYIT'!B246="","",'ŞİKAYET KAYIT'!B246)),"")</f>
        <v/>
      </c>
      <c r="C246" s="3" t="str">
        <f>IFERROR(IF('ŞİKAYET KAYIT'!P246="Kapatıldı","",IF('ŞİKAYET KAYIT'!D246="","",'ŞİKAYET KAYIT'!D246)),"")</f>
        <v/>
      </c>
      <c r="D246" s="3" t="str">
        <f>IFERROR(IF('ŞİKAYET KAYIT'!P246="Kapatıldı","",IF('ŞİKAYET KAYIT'!F246="","",'ŞİKAYET KAYIT'!F246)),"")</f>
        <v/>
      </c>
      <c r="E246" s="3" t="str">
        <f>IFERROR(IF('ŞİKAYET KAYIT'!P246="Kapatıldı","",IF('ŞİKAYET KAYIT'!H246="","",'ŞİKAYET KAYIT'!H246)),"")</f>
        <v/>
      </c>
      <c r="F246" s="3" t="str">
        <f>IFERROR(IF('ŞİKAYET KAYIT'!P246="Kapatıldı","",IF('ŞİKAYET KAYIT'!I246="","",'ŞİKAYET KAYIT'!I246)),"")</f>
        <v/>
      </c>
      <c r="G246" s="3" t="str">
        <f>IFERROR(IF('ŞİKAYET KAYIT'!P246="Kapatıldı","",IF('ŞİKAYET KAYIT'!J246="","",'ŞİKAYET KAYIT'!J246)),"")</f>
        <v/>
      </c>
      <c r="H246" s="3" t="str">
        <f>IFERROR(IF('ŞİKAYET KAYIT'!P246="Kapatıldı","",IF('ŞİKAYET KAYIT'!K246="","",'ŞİKAYET KAYIT'!K246)),"")</f>
        <v/>
      </c>
      <c r="I246" s="3" t="str">
        <f>IFERROR(IF('ŞİKAYET KAYIT'!P246="Kapatıldı","",IF('ŞİKAYET KAYIT'!L246="","",'ŞİKAYET KAYIT'!L246)),"")</f>
        <v/>
      </c>
      <c r="J246" s="3" t="str">
        <f>IFERROR(IF('ŞİKAYET KAYIT'!P246="Kapatıldı","",IF('ŞİKAYET KAYIT'!M246="","",'ŞİKAYET KAYIT'!M246)),"")</f>
        <v/>
      </c>
      <c r="K246" s="3" t="str">
        <f>IFERROR(IF('ŞİKAYET KAYIT'!P246="Kapatıldı","",IF('ŞİKAYET KAYIT'!N246="","",'ŞİKAYET KAYIT'!N246)),"")</f>
        <v/>
      </c>
      <c r="L246" s="3" t="str">
        <f>IFERROR(IF('ŞİKAYET KAYIT'!P246="Kapatıldı","",IF('ŞİKAYET KAYIT'!O246="","",'ŞİKAYET KAYIT'!O246)),"")</f>
        <v/>
      </c>
      <c r="M246" s="3" t="str">
        <f>IFERROR(IF('ŞİKAYET KAYIT'!P246="Kapatıldı","",IF('ŞİKAYET KAYIT'!P246="","",'ŞİKAYET KAYIT'!P246)),"")</f>
        <v/>
      </c>
    </row>
    <row r="247" spans="1:13" ht="15" customHeight="1" x14ac:dyDescent="0.3">
      <c r="A247" s="26" t="str">
        <f>IFERROR(IF('ŞİKAYET KAYIT'!P247="Kapatıldı","",IF('ŞİKAYET KAYIT'!A247="","",'ŞİKAYET KAYIT'!A247)),"")</f>
        <v/>
      </c>
      <c r="B247" s="8" t="str">
        <f>IFERROR(IF('ŞİKAYET KAYIT'!P247="Kapatıldı","",IF('ŞİKAYET KAYIT'!B247="","",'ŞİKAYET KAYIT'!B247)),"")</f>
        <v/>
      </c>
      <c r="C247" s="26" t="str">
        <f>IFERROR(IF('ŞİKAYET KAYIT'!P247="Kapatıldı","",IF('ŞİKAYET KAYIT'!D247="","",'ŞİKAYET KAYIT'!D247)),"")</f>
        <v/>
      </c>
      <c r="D247" s="26" t="str">
        <f>IFERROR(IF('ŞİKAYET KAYIT'!P247="Kapatıldı","",IF('ŞİKAYET KAYIT'!F247="","",'ŞİKAYET KAYIT'!F247)),"")</f>
        <v/>
      </c>
      <c r="E247" s="26" t="str">
        <f>IFERROR(IF('ŞİKAYET KAYIT'!P247="Kapatıldı","",IF('ŞİKAYET KAYIT'!H247="","",'ŞİKAYET KAYIT'!H247)),"")</f>
        <v/>
      </c>
      <c r="F247" s="26" t="str">
        <f>IFERROR(IF('ŞİKAYET KAYIT'!P247="Kapatıldı","",IF('ŞİKAYET KAYIT'!I247="","",'ŞİKAYET KAYIT'!I247)),"")</f>
        <v/>
      </c>
      <c r="G247" s="26" t="str">
        <f>IFERROR(IF('ŞİKAYET KAYIT'!P247="Kapatıldı","",IF('ŞİKAYET KAYIT'!J247="","",'ŞİKAYET KAYIT'!J247)),"")</f>
        <v/>
      </c>
      <c r="H247" s="26" t="str">
        <f>IFERROR(IF('ŞİKAYET KAYIT'!P247="Kapatıldı","",IF('ŞİKAYET KAYIT'!K247="","",'ŞİKAYET KAYIT'!K247)),"")</f>
        <v/>
      </c>
      <c r="I247" s="26" t="str">
        <f>IFERROR(IF('ŞİKAYET KAYIT'!P247="Kapatıldı","",IF('ŞİKAYET KAYIT'!L247="","",'ŞİKAYET KAYIT'!L247)),"")</f>
        <v/>
      </c>
      <c r="J247" s="26" t="str">
        <f>IFERROR(IF('ŞİKAYET KAYIT'!P247="Kapatıldı","",IF('ŞİKAYET KAYIT'!M247="","",'ŞİKAYET KAYIT'!M247)),"")</f>
        <v/>
      </c>
      <c r="K247" s="26" t="str">
        <f>IFERROR(IF('ŞİKAYET KAYIT'!P247="Kapatıldı","",IF('ŞİKAYET KAYIT'!N247="","",'ŞİKAYET KAYIT'!N247)),"")</f>
        <v/>
      </c>
      <c r="L247" s="26" t="str">
        <f>IFERROR(IF('ŞİKAYET KAYIT'!P247="Kapatıldı","",IF('ŞİKAYET KAYIT'!O247="","",'ŞİKAYET KAYIT'!O247)),"")</f>
        <v/>
      </c>
      <c r="M247" s="26" t="str">
        <f>IFERROR(IF('ŞİKAYET KAYIT'!P247="Kapatıldı","",IF('ŞİKAYET KAYIT'!P247="","",'ŞİKAYET KAYIT'!P247)),"")</f>
        <v/>
      </c>
    </row>
    <row r="248" spans="1:13" ht="15" customHeight="1" x14ac:dyDescent="0.3">
      <c r="A248" s="3" t="str">
        <f>IFERROR(IF('ŞİKAYET KAYIT'!P248="Kapatıldı","",IF('ŞİKAYET KAYIT'!A248="","",'ŞİKAYET KAYIT'!A248)),"")</f>
        <v/>
      </c>
      <c r="B248" s="5" t="str">
        <f>IFERROR(IF('ŞİKAYET KAYIT'!P248="Kapatıldı","",IF('ŞİKAYET KAYIT'!B248="","",'ŞİKAYET KAYIT'!B248)),"")</f>
        <v/>
      </c>
      <c r="C248" s="3" t="str">
        <f>IFERROR(IF('ŞİKAYET KAYIT'!P248="Kapatıldı","",IF('ŞİKAYET KAYIT'!D248="","",'ŞİKAYET KAYIT'!D248)),"")</f>
        <v/>
      </c>
      <c r="D248" s="3" t="str">
        <f>IFERROR(IF('ŞİKAYET KAYIT'!P248="Kapatıldı","",IF('ŞİKAYET KAYIT'!F248="","",'ŞİKAYET KAYIT'!F248)),"")</f>
        <v/>
      </c>
      <c r="E248" s="3" t="str">
        <f>IFERROR(IF('ŞİKAYET KAYIT'!P248="Kapatıldı","",IF('ŞİKAYET KAYIT'!H248="","",'ŞİKAYET KAYIT'!H248)),"")</f>
        <v/>
      </c>
      <c r="F248" s="3" t="str">
        <f>IFERROR(IF('ŞİKAYET KAYIT'!P248="Kapatıldı","",IF('ŞİKAYET KAYIT'!I248="","",'ŞİKAYET KAYIT'!I248)),"")</f>
        <v/>
      </c>
      <c r="G248" s="3" t="str">
        <f>IFERROR(IF('ŞİKAYET KAYIT'!P248="Kapatıldı","",IF('ŞİKAYET KAYIT'!J248="","",'ŞİKAYET KAYIT'!J248)),"")</f>
        <v/>
      </c>
      <c r="H248" s="3" t="str">
        <f>IFERROR(IF('ŞİKAYET KAYIT'!P248="Kapatıldı","",IF('ŞİKAYET KAYIT'!K248="","",'ŞİKAYET KAYIT'!K248)),"")</f>
        <v/>
      </c>
      <c r="I248" s="3" t="str">
        <f>IFERROR(IF('ŞİKAYET KAYIT'!P248="Kapatıldı","",IF('ŞİKAYET KAYIT'!L248="","",'ŞİKAYET KAYIT'!L248)),"")</f>
        <v/>
      </c>
      <c r="J248" s="3" t="str">
        <f>IFERROR(IF('ŞİKAYET KAYIT'!P248="Kapatıldı","",IF('ŞİKAYET KAYIT'!M248="","",'ŞİKAYET KAYIT'!M248)),"")</f>
        <v/>
      </c>
      <c r="K248" s="3" t="str">
        <f>IFERROR(IF('ŞİKAYET KAYIT'!P248="Kapatıldı","",IF('ŞİKAYET KAYIT'!N248="","",'ŞİKAYET KAYIT'!N248)),"")</f>
        <v/>
      </c>
      <c r="L248" s="3" t="str">
        <f>IFERROR(IF('ŞİKAYET KAYIT'!P248="Kapatıldı","",IF('ŞİKAYET KAYIT'!O248="","",'ŞİKAYET KAYIT'!O248)),"")</f>
        <v/>
      </c>
      <c r="M248" s="3" t="str">
        <f>IFERROR(IF('ŞİKAYET KAYIT'!P248="Kapatıldı","",IF('ŞİKAYET KAYIT'!P248="","",'ŞİKAYET KAYIT'!P248)),"")</f>
        <v/>
      </c>
    </row>
    <row r="249" spans="1:13" ht="15" customHeight="1" x14ac:dyDescent="0.3">
      <c r="A249" s="26" t="str">
        <f>IFERROR(IF('ŞİKAYET KAYIT'!P249="Kapatıldı","",IF('ŞİKAYET KAYIT'!A249="","",'ŞİKAYET KAYIT'!A249)),"")</f>
        <v/>
      </c>
      <c r="B249" s="8" t="str">
        <f>IFERROR(IF('ŞİKAYET KAYIT'!P249="Kapatıldı","",IF('ŞİKAYET KAYIT'!B249="","",'ŞİKAYET KAYIT'!B249)),"")</f>
        <v/>
      </c>
      <c r="C249" s="26" t="str">
        <f>IFERROR(IF('ŞİKAYET KAYIT'!P249="Kapatıldı","",IF('ŞİKAYET KAYIT'!D249="","",'ŞİKAYET KAYIT'!D249)),"")</f>
        <v/>
      </c>
      <c r="D249" s="26" t="str">
        <f>IFERROR(IF('ŞİKAYET KAYIT'!P249="Kapatıldı","",IF('ŞİKAYET KAYIT'!F249="","",'ŞİKAYET KAYIT'!F249)),"")</f>
        <v/>
      </c>
      <c r="E249" s="26" t="str">
        <f>IFERROR(IF('ŞİKAYET KAYIT'!P249="Kapatıldı","",IF('ŞİKAYET KAYIT'!H249="","",'ŞİKAYET KAYIT'!H249)),"")</f>
        <v/>
      </c>
      <c r="F249" s="26" t="str">
        <f>IFERROR(IF('ŞİKAYET KAYIT'!P249="Kapatıldı","",IF('ŞİKAYET KAYIT'!I249="","",'ŞİKAYET KAYIT'!I249)),"")</f>
        <v/>
      </c>
      <c r="G249" s="26" t="str">
        <f>IFERROR(IF('ŞİKAYET KAYIT'!P249="Kapatıldı","",IF('ŞİKAYET KAYIT'!J249="","",'ŞİKAYET KAYIT'!J249)),"")</f>
        <v/>
      </c>
      <c r="H249" s="26" t="str">
        <f>IFERROR(IF('ŞİKAYET KAYIT'!P249="Kapatıldı","",IF('ŞİKAYET KAYIT'!K249="","",'ŞİKAYET KAYIT'!K249)),"")</f>
        <v/>
      </c>
      <c r="I249" s="26" t="str">
        <f>IFERROR(IF('ŞİKAYET KAYIT'!P249="Kapatıldı","",IF('ŞİKAYET KAYIT'!L249="","",'ŞİKAYET KAYIT'!L249)),"")</f>
        <v/>
      </c>
      <c r="J249" s="26" t="str">
        <f>IFERROR(IF('ŞİKAYET KAYIT'!P249="Kapatıldı","",IF('ŞİKAYET KAYIT'!M249="","",'ŞİKAYET KAYIT'!M249)),"")</f>
        <v/>
      </c>
      <c r="K249" s="26" t="str">
        <f>IFERROR(IF('ŞİKAYET KAYIT'!P249="Kapatıldı","",IF('ŞİKAYET KAYIT'!N249="","",'ŞİKAYET KAYIT'!N249)),"")</f>
        <v/>
      </c>
      <c r="L249" s="26" t="str">
        <f>IFERROR(IF('ŞİKAYET KAYIT'!P249="Kapatıldı","",IF('ŞİKAYET KAYIT'!O249="","",'ŞİKAYET KAYIT'!O249)),"")</f>
        <v/>
      </c>
      <c r="M249" s="26" t="str">
        <f>IFERROR(IF('ŞİKAYET KAYIT'!P249="Kapatıldı","",IF('ŞİKAYET KAYIT'!P249="","",'ŞİKAYET KAYIT'!P249)),"")</f>
        <v/>
      </c>
    </row>
    <row r="250" spans="1:13" ht="15" customHeight="1" x14ac:dyDescent="0.3">
      <c r="A250" s="3" t="str">
        <f>IFERROR(IF('ŞİKAYET KAYIT'!P250="Kapatıldı","",IF('ŞİKAYET KAYIT'!A250="","",'ŞİKAYET KAYIT'!A250)),"")</f>
        <v/>
      </c>
      <c r="B250" s="5" t="str">
        <f>IFERROR(IF('ŞİKAYET KAYIT'!P250="Kapatıldı","",IF('ŞİKAYET KAYIT'!B250="","",'ŞİKAYET KAYIT'!B250)),"")</f>
        <v/>
      </c>
      <c r="C250" s="3" t="str">
        <f>IFERROR(IF('ŞİKAYET KAYIT'!P250="Kapatıldı","",IF('ŞİKAYET KAYIT'!D250="","",'ŞİKAYET KAYIT'!D250)),"")</f>
        <v/>
      </c>
      <c r="D250" s="3" t="str">
        <f>IFERROR(IF('ŞİKAYET KAYIT'!P250="Kapatıldı","",IF('ŞİKAYET KAYIT'!F250="","",'ŞİKAYET KAYIT'!F250)),"")</f>
        <v/>
      </c>
      <c r="E250" s="3" t="str">
        <f>IFERROR(IF('ŞİKAYET KAYIT'!P250="Kapatıldı","",IF('ŞİKAYET KAYIT'!H250="","",'ŞİKAYET KAYIT'!H250)),"")</f>
        <v/>
      </c>
      <c r="F250" s="3" t="str">
        <f>IFERROR(IF('ŞİKAYET KAYIT'!P250="Kapatıldı","",IF('ŞİKAYET KAYIT'!I250="","",'ŞİKAYET KAYIT'!I250)),"")</f>
        <v/>
      </c>
      <c r="G250" s="3" t="str">
        <f>IFERROR(IF('ŞİKAYET KAYIT'!P250="Kapatıldı","",IF('ŞİKAYET KAYIT'!J250="","",'ŞİKAYET KAYIT'!J250)),"")</f>
        <v/>
      </c>
      <c r="H250" s="3" t="str">
        <f>IFERROR(IF('ŞİKAYET KAYIT'!P250="Kapatıldı","",IF('ŞİKAYET KAYIT'!K250="","",'ŞİKAYET KAYIT'!K250)),"")</f>
        <v/>
      </c>
      <c r="I250" s="3" t="str">
        <f>IFERROR(IF('ŞİKAYET KAYIT'!P250="Kapatıldı","",IF('ŞİKAYET KAYIT'!L250="","",'ŞİKAYET KAYIT'!L250)),"")</f>
        <v/>
      </c>
      <c r="J250" s="3" t="str">
        <f>IFERROR(IF('ŞİKAYET KAYIT'!P250="Kapatıldı","",IF('ŞİKAYET KAYIT'!M250="","",'ŞİKAYET KAYIT'!M250)),"")</f>
        <v/>
      </c>
      <c r="K250" s="3" t="str">
        <f>IFERROR(IF('ŞİKAYET KAYIT'!P250="Kapatıldı","",IF('ŞİKAYET KAYIT'!N250="","",'ŞİKAYET KAYIT'!N250)),"")</f>
        <v/>
      </c>
      <c r="L250" s="3" t="str">
        <f>IFERROR(IF('ŞİKAYET KAYIT'!P250="Kapatıldı","",IF('ŞİKAYET KAYIT'!O250="","",'ŞİKAYET KAYIT'!O250)),"")</f>
        <v/>
      </c>
      <c r="M250" s="3" t="str">
        <f>IFERROR(IF('ŞİKAYET KAYIT'!P250="Kapatıldı","",IF('ŞİKAYET KAYIT'!P250="","",'ŞİKAYET KAYIT'!P250)),"")</f>
        <v/>
      </c>
    </row>
    <row r="251" spans="1:13" ht="15" customHeight="1" x14ac:dyDescent="0.3">
      <c r="A251" s="26" t="str">
        <f>IFERROR(IF('ŞİKAYET KAYIT'!P251="Kapatıldı","",IF('ŞİKAYET KAYIT'!A251="","",'ŞİKAYET KAYIT'!A251)),"")</f>
        <v/>
      </c>
      <c r="B251" s="8" t="str">
        <f>IFERROR(IF('ŞİKAYET KAYIT'!P251="Kapatıldı","",IF('ŞİKAYET KAYIT'!B251="","",'ŞİKAYET KAYIT'!B251)),"")</f>
        <v/>
      </c>
      <c r="C251" s="26" t="str">
        <f>IFERROR(IF('ŞİKAYET KAYIT'!P251="Kapatıldı","",IF('ŞİKAYET KAYIT'!D251="","",'ŞİKAYET KAYIT'!D251)),"")</f>
        <v/>
      </c>
      <c r="D251" s="26" t="str">
        <f>IFERROR(IF('ŞİKAYET KAYIT'!P251="Kapatıldı","",IF('ŞİKAYET KAYIT'!F251="","",'ŞİKAYET KAYIT'!F251)),"")</f>
        <v/>
      </c>
      <c r="E251" s="26" t="str">
        <f>IFERROR(IF('ŞİKAYET KAYIT'!P251="Kapatıldı","",IF('ŞİKAYET KAYIT'!H251="","",'ŞİKAYET KAYIT'!H251)),"")</f>
        <v/>
      </c>
      <c r="F251" s="26" t="str">
        <f>IFERROR(IF('ŞİKAYET KAYIT'!P251="Kapatıldı","",IF('ŞİKAYET KAYIT'!I251="","",'ŞİKAYET KAYIT'!I251)),"")</f>
        <v/>
      </c>
      <c r="G251" s="26" t="str">
        <f>IFERROR(IF('ŞİKAYET KAYIT'!P251="Kapatıldı","",IF('ŞİKAYET KAYIT'!J251="","",'ŞİKAYET KAYIT'!J251)),"")</f>
        <v/>
      </c>
      <c r="H251" s="26" t="str">
        <f>IFERROR(IF('ŞİKAYET KAYIT'!P251="Kapatıldı","",IF('ŞİKAYET KAYIT'!K251="","",'ŞİKAYET KAYIT'!K251)),"")</f>
        <v/>
      </c>
      <c r="I251" s="26" t="str">
        <f>IFERROR(IF('ŞİKAYET KAYIT'!P251="Kapatıldı","",IF('ŞİKAYET KAYIT'!L251="","",'ŞİKAYET KAYIT'!L251)),"")</f>
        <v/>
      </c>
      <c r="J251" s="26" t="str">
        <f>IFERROR(IF('ŞİKAYET KAYIT'!P251="Kapatıldı","",IF('ŞİKAYET KAYIT'!M251="","",'ŞİKAYET KAYIT'!M251)),"")</f>
        <v/>
      </c>
      <c r="K251" s="26" t="str">
        <f>IFERROR(IF('ŞİKAYET KAYIT'!P251="Kapatıldı","",IF('ŞİKAYET KAYIT'!N251="","",'ŞİKAYET KAYIT'!N251)),"")</f>
        <v/>
      </c>
      <c r="L251" s="26" t="str">
        <f>IFERROR(IF('ŞİKAYET KAYIT'!P251="Kapatıldı","",IF('ŞİKAYET KAYIT'!O251="","",'ŞİKAYET KAYIT'!O251)),"")</f>
        <v/>
      </c>
      <c r="M251" s="26" t="str">
        <f>IFERROR(IF('ŞİKAYET KAYIT'!P251="Kapatıldı","",IF('ŞİKAYET KAYIT'!P251="","",'ŞİKAYET KAYIT'!P251)),"")</f>
        <v/>
      </c>
    </row>
    <row r="252" spans="1:13" ht="15" customHeight="1" x14ac:dyDescent="0.3">
      <c r="A252" s="3" t="str">
        <f>IFERROR(IF('ŞİKAYET KAYIT'!P252="Kapatıldı","",IF('ŞİKAYET KAYIT'!A252="","",'ŞİKAYET KAYIT'!A252)),"")</f>
        <v/>
      </c>
      <c r="B252" s="5" t="str">
        <f>IFERROR(IF('ŞİKAYET KAYIT'!P252="Kapatıldı","",IF('ŞİKAYET KAYIT'!B252="","",'ŞİKAYET KAYIT'!B252)),"")</f>
        <v/>
      </c>
      <c r="C252" s="3" t="str">
        <f>IFERROR(IF('ŞİKAYET KAYIT'!P252="Kapatıldı","",IF('ŞİKAYET KAYIT'!D252="","",'ŞİKAYET KAYIT'!D252)),"")</f>
        <v/>
      </c>
      <c r="D252" s="3" t="str">
        <f>IFERROR(IF('ŞİKAYET KAYIT'!P252="Kapatıldı","",IF('ŞİKAYET KAYIT'!F252="","",'ŞİKAYET KAYIT'!F252)),"")</f>
        <v/>
      </c>
      <c r="E252" s="3" t="str">
        <f>IFERROR(IF('ŞİKAYET KAYIT'!P252="Kapatıldı","",IF('ŞİKAYET KAYIT'!H252="","",'ŞİKAYET KAYIT'!H252)),"")</f>
        <v/>
      </c>
      <c r="F252" s="3" t="str">
        <f>IFERROR(IF('ŞİKAYET KAYIT'!P252="Kapatıldı","",IF('ŞİKAYET KAYIT'!I252="","",'ŞİKAYET KAYIT'!I252)),"")</f>
        <v/>
      </c>
      <c r="G252" s="3" t="str">
        <f>IFERROR(IF('ŞİKAYET KAYIT'!P252="Kapatıldı","",IF('ŞİKAYET KAYIT'!J252="","",'ŞİKAYET KAYIT'!J252)),"")</f>
        <v/>
      </c>
      <c r="H252" s="3" t="str">
        <f>IFERROR(IF('ŞİKAYET KAYIT'!P252="Kapatıldı","",IF('ŞİKAYET KAYIT'!K252="","",'ŞİKAYET KAYIT'!K252)),"")</f>
        <v/>
      </c>
      <c r="I252" s="3" t="str">
        <f>IFERROR(IF('ŞİKAYET KAYIT'!P252="Kapatıldı","",IF('ŞİKAYET KAYIT'!L252="","",'ŞİKAYET KAYIT'!L252)),"")</f>
        <v/>
      </c>
      <c r="J252" s="3" t="str">
        <f>IFERROR(IF('ŞİKAYET KAYIT'!P252="Kapatıldı","",IF('ŞİKAYET KAYIT'!M252="","",'ŞİKAYET KAYIT'!M252)),"")</f>
        <v/>
      </c>
      <c r="K252" s="3" t="str">
        <f>IFERROR(IF('ŞİKAYET KAYIT'!P252="Kapatıldı","",IF('ŞİKAYET KAYIT'!N252="","",'ŞİKAYET KAYIT'!N252)),"")</f>
        <v/>
      </c>
      <c r="L252" s="3" t="str">
        <f>IFERROR(IF('ŞİKAYET KAYIT'!P252="Kapatıldı","",IF('ŞİKAYET KAYIT'!O252="","",'ŞİKAYET KAYIT'!O252)),"")</f>
        <v/>
      </c>
      <c r="M252" s="3" t="str">
        <f>IFERROR(IF('ŞİKAYET KAYIT'!P252="Kapatıldı","",IF('ŞİKAYET KAYIT'!P252="","",'ŞİKAYET KAYIT'!P252)),"")</f>
        <v/>
      </c>
    </row>
    <row r="253" spans="1:13" ht="15" customHeight="1" x14ac:dyDescent="0.3">
      <c r="A253" s="26" t="str">
        <f>IFERROR(IF('ŞİKAYET KAYIT'!P253="Kapatıldı","",IF('ŞİKAYET KAYIT'!A253="","",'ŞİKAYET KAYIT'!A253)),"")</f>
        <v/>
      </c>
      <c r="B253" s="8" t="str">
        <f>IFERROR(IF('ŞİKAYET KAYIT'!P253="Kapatıldı","",IF('ŞİKAYET KAYIT'!B253="","",'ŞİKAYET KAYIT'!B253)),"")</f>
        <v/>
      </c>
      <c r="C253" s="26" t="str">
        <f>IFERROR(IF('ŞİKAYET KAYIT'!P253="Kapatıldı","",IF('ŞİKAYET KAYIT'!D253="","",'ŞİKAYET KAYIT'!D253)),"")</f>
        <v/>
      </c>
      <c r="D253" s="26" t="str">
        <f>IFERROR(IF('ŞİKAYET KAYIT'!P253="Kapatıldı","",IF('ŞİKAYET KAYIT'!F253="","",'ŞİKAYET KAYIT'!F253)),"")</f>
        <v/>
      </c>
      <c r="E253" s="26" t="str">
        <f>IFERROR(IF('ŞİKAYET KAYIT'!P253="Kapatıldı","",IF('ŞİKAYET KAYIT'!H253="","",'ŞİKAYET KAYIT'!H253)),"")</f>
        <v/>
      </c>
      <c r="F253" s="26" t="str">
        <f>IFERROR(IF('ŞİKAYET KAYIT'!P253="Kapatıldı","",IF('ŞİKAYET KAYIT'!I253="","",'ŞİKAYET KAYIT'!I253)),"")</f>
        <v/>
      </c>
      <c r="G253" s="26" t="str">
        <f>IFERROR(IF('ŞİKAYET KAYIT'!P253="Kapatıldı","",IF('ŞİKAYET KAYIT'!J253="","",'ŞİKAYET KAYIT'!J253)),"")</f>
        <v/>
      </c>
      <c r="H253" s="26" t="str">
        <f>IFERROR(IF('ŞİKAYET KAYIT'!P253="Kapatıldı","",IF('ŞİKAYET KAYIT'!K253="","",'ŞİKAYET KAYIT'!K253)),"")</f>
        <v/>
      </c>
      <c r="I253" s="26" t="str">
        <f>IFERROR(IF('ŞİKAYET KAYIT'!P253="Kapatıldı","",IF('ŞİKAYET KAYIT'!L253="","",'ŞİKAYET KAYIT'!L253)),"")</f>
        <v/>
      </c>
      <c r="J253" s="26" t="str">
        <f>IFERROR(IF('ŞİKAYET KAYIT'!P253="Kapatıldı","",IF('ŞİKAYET KAYIT'!M253="","",'ŞİKAYET KAYIT'!M253)),"")</f>
        <v/>
      </c>
      <c r="K253" s="26" t="str">
        <f>IFERROR(IF('ŞİKAYET KAYIT'!P253="Kapatıldı","",IF('ŞİKAYET KAYIT'!N253="","",'ŞİKAYET KAYIT'!N253)),"")</f>
        <v/>
      </c>
      <c r="L253" s="26" t="str">
        <f>IFERROR(IF('ŞİKAYET KAYIT'!P253="Kapatıldı","",IF('ŞİKAYET KAYIT'!O253="","",'ŞİKAYET KAYIT'!O253)),"")</f>
        <v/>
      </c>
      <c r="M253" s="26" t="str">
        <f>IFERROR(IF('ŞİKAYET KAYIT'!P253="Kapatıldı","",IF('ŞİKAYET KAYIT'!P253="","",'ŞİKAYET KAYIT'!P253)),"")</f>
        <v/>
      </c>
    </row>
    <row r="254" spans="1:13" ht="15" customHeight="1" x14ac:dyDescent="0.3">
      <c r="A254" s="3" t="str">
        <f>IFERROR(IF('ŞİKAYET KAYIT'!P254="Kapatıldı","",IF('ŞİKAYET KAYIT'!A254="","",'ŞİKAYET KAYIT'!A254)),"")</f>
        <v/>
      </c>
      <c r="B254" s="5" t="str">
        <f>IFERROR(IF('ŞİKAYET KAYIT'!P254="Kapatıldı","",IF('ŞİKAYET KAYIT'!B254="","",'ŞİKAYET KAYIT'!B254)),"")</f>
        <v/>
      </c>
      <c r="C254" s="3" t="str">
        <f>IFERROR(IF('ŞİKAYET KAYIT'!P254="Kapatıldı","",IF('ŞİKAYET KAYIT'!D254="","",'ŞİKAYET KAYIT'!D254)),"")</f>
        <v/>
      </c>
      <c r="D254" s="3" t="str">
        <f>IFERROR(IF('ŞİKAYET KAYIT'!P254="Kapatıldı","",IF('ŞİKAYET KAYIT'!F254="","",'ŞİKAYET KAYIT'!F254)),"")</f>
        <v/>
      </c>
      <c r="E254" s="3" t="str">
        <f>IFERROR(IF('ŞİKAYET KAYIT'!P254="Kapatıldı","",IF('ŞİKAYET KAYIT'!H254="","",'ŞİKAYET KAYIT'!H254)),"")</f>
        <v/>
      </c>
      <c r="F254" s="3" t="str">
        <f>IFERROR(IF('ŞİKAYET KAYIT'!P254="Kapatıldı","",IF('ŞİKAYET KAYIT'!I254="","",'ŞİKAYET KAYIT'!I254)),"")</f>
        <v/>
      </c>
      <c r="G254" s="3" t="str">
        <f>IFERROR(IF('ŞİKAYET KAYIT'!P254="Kapatıldı","",IF('ŞİKAYET KAYIT'!J254="","",'ŞİKAYET KAYIT'!J254)),"")</f>
        <v/>
      </c>
      <c r="H254" s="3" t="str">
        <f>IFERROR(IF('ŞİKAYET KAYIT'!P254="Kapatıldı","",IF('ŞİKAYET KAYIT'!K254="","",'ŞİKAYET KAYIT'!K254)),"")</f>
        <v/>
      </c>
      <c r="I254" s="3" t="str">
        <f>IFERROR(IF('ŞİKAYET KAYIT'!P254="Kapatıldı","",IF('ŞİKAYET KAYIT'!L254="","",'ŞİKAYET KAYIT'!L254)),"")</f>
        <v/>
      </c>
      <c r="J254" s="3" t="str">
        <f>IFERROR(IF('ŞİKAYET KAYIT'!P254="Kapatıldı","",IF('ŞİKAYET KAYIT'!M254="","",'ŞİKAYET KAYIT'!M254)),"")</f>
        <v/>
      </c>
      <c r="K254" s="3" t="str">
        <f>IFERROR(IF('ŞİKAYET KAYIT'!P254="Kapatıldı","",IF('ŞİKAYET KAYIT'!N254="","",'ŞİKAYET KAYIT'!N254)),"")</f>
        <v/>
      </c>
      <c r="L254" s="3" t="str">
        <f>IFERROR(IF('ŞİKAYET KAYIT'!P254="Kapatıldı","",IF('ŞİKAYET KAYIT'!O254="","",'ŞİKAYET KAYIT'!O254)),"")</f>
        <v/>
      </c>
      <c r="M254" s="3" t="str">
        <f>IFERROR(IF('ŞİKAYET KAYIT'!P254="Kapatıldı","",IF('ŞİKAYET KAYIT'!P254="","",'ŞİKAYET KAYIT'!P254)),"")</f>
        <v/>
      </c>
    </row>
    <row r="255" spans="1:13" ht="15" customHeight="1" x14ac:dyDescent="0.3">
      <c r="A255" s="26" t="str">
        <f>IFERROR(IF('ŞİKAYET KAYIT'!P255="Kapatıldı","",IF('ŞİKAYET KAYIT'!A255="","",'ŞİKAYET KAYIT'!A255)),"")</f>
        <v/>
      </c>
      <c r="B255" s="8" t="str">
        <f>IFERROR(IF('ŞİKAYET KAYIT'!P255="Kapatıldı","",IF('ŞİKAYET KAYIT'!B255="","",'ŞİKAYET KAYIT'!B255)),"")</f>
        <v/>
      </c>
      <c r="C255" s="26" t="str">
        <f>IFERROR(IF('ŞİKAYET KAYIT'!P255="Kapatıldı","",IF('ŞİKAYET KAYIT'!D255="","",'ŞİKAYET KAYIT'!D255)),"")</f>
        <v/>
      </c>
      <c r="D255" s="26" t="str">
        <f>IFERROR(IF('ŞİKAYET KAYIT'!P255="Kapatıldı","",IF('ŞİKAYET KAYIT'!F255="","",'ŞİKAYET KAYIT'!F255)),"")</f>
        <v/>
      </c>
      <c r="E255" s="26" t="str">
        <f>IFERROR(IF('ŞİKAYET KAYIT'!P255="Kapatıldı","",IF('ŞİKAYET KAYIT'!H255="","",'ŞİKAYET KAYIT'!H255)),"")</f>
        <v/>
      </c>
      <c r="F255" s="26" t="str">
        <f>IFERROR(IF('ŞİKAYET KAYIT'!P255="Kapatıldı","",IF('ŞİKAYET KAYIT'!I255="","",'ŞİKAYET KAYIT'!I255)),"")</f>
        <v/>
      </c>
      <c r="G255" s="26" t="str">
        <f>IFERROR(IF('ŞİKAYET KAYIT'!P255="Kapatıldı","",IF('ŞİKAYET KAYIT'!J255="","",'ŞİKAYET KAYIT'!J255)),"")</f>
        <v/>
      </c>
      <c r="H255" s="26" t="str">
        <f>IFERROR(IF('ŞİKAYET KAYIT'!P255="Kapatıldı","",IF('ŞİKAYET KAYIT'!K255="","",'ŞİKAYET KAYIT'!K255)),"")</f>
        <v/>
      </c>
      <c r="I255" s="26" t="str">
        <f>IFERROR(IF('ŞİKAYET KAYIT'!P255="Kapatıldı","",IF('ŞİKAYET KAYIT'!L255="","",'ŞİKAYET KAYIT'!L255)),"")</f>
        <v/>
      </c>
      <c r="J255" s="26" t="str">
        <f>IFERROR(IF('ŞİKAYET KAYIT'!P255="Kapatıldı","",IF('ŞİKAYET KAYIT'!M255="","",'ŞİKAYET KAYIT'!M255)),"")</f>
        <v/>
      </c>
      <c r="K255" s="26" t="str">
        <f>IFERROR(IF('ŞİKAYET KAYIT'!P255="Kapatıldı","",IF('ŞİKAYET KAYIT'!N255="","",'ŞİKAYET KAYIT'!N255)),"")</f>
        <v/>
      </c>
      <c r="L255" s="26" t="str">
        <f>IFERROR(IF('ŞİKAYET KAYIT'!P255="Kapatıldı","",IF('ŞİKAYET KAYIT'!O255="","",'ŞİKAYET KAYIT'!O255)),"")</f>
        <v/>
      </c>
      <c r="M255" s="26" t="str">
        <f>IFERROR(IF('ŞİKAYET KAYIT'!P255="Kapatıldı","",IF('ŞİKAYET KAYIT'!P255="","",'ŞİKAYET KAYIT'!P255)),"")</f>
        <v/>
      </c>
    </row>
    <row r="256" spans="1:13" ht="15" customHeight="1" x14ac:dyDescent="0.3">
      <c r="A256" s="3" t="str">
        <f>IFERROR(IF('ŞİKAYET KAYIT'!P256="Kapatıldı","",IF('ŞİKAYET KAYIT'!A256="","",'ŞİKAYET KAYIT'!A256)),"")</f>
        <v/>
      </c>
      <c r="B256" s="5" t="str">
        <f>IFERROR(IF('ŞİKAYET KAYIT'!P256="Kapatıldı","",IF('ŞİKAYET KAYIT'!B256="","",'ŞİKAYET KAYIT'!B256)),"")</f>
        <v/>
      </c>
      <c r="C256" s="3" t="str">
        <f>IFERROR(IF('ŞİKAYET KAYIT'!P256="Kapatıldı","",IF('ŞİKAYET KAYIT'!D256="","",'ŞİKAYET KAYIT'!D256)),"")</f>
        <v/>
      </c>
      <c r="D256" s="3" t="str">
        <f>IFERROR(IF('ŞİKAYET KAYIT'!P256="Kapatıldı","",IF('ŞİKAYET KAYIT'!F256="","",'ŞİKAYET KAYIT'!F256)),"")</f>
        <v/>
      </c>
      <c r="E256" s="3" t="str">
        <f>IFERROR(IF('ŞİKAYET KAYIT'!P256="Kapatıldı","",IF('ŞİKAYET KAYIT'!H256="","",'ŞİKAYET KAYIT'!H256)),"")</f>
        <v/>
      </c>
      <c r="F256" s="3" t="str">
        <f>IFERROR(IF('ŞİKAYET KAYIT'!P256="Kapatıldı","",IF('ŞİKAYET KAYIT'!I256="","",'ŞİKAYET KAYIT'!I256)),"")</f>
        <v/>
      </c>
      <c r="G256" s="3" t="str">
        <f>IFERROR(IF('ŞİKAYET KAYIT'!P256="Kapatıldı","",IF('ŞİKAYET KAYIT'!J256="","",'ŞİKAYET KAYIT'!J256)),"")</f>
        <v/>
      </c>
      <c r="H256" s="3" t="str">
        <f>IFERROR(IF('ŞİKAYET KAYIT'!P256="Kapatıldı","",IF('ŞİKAYET KAYIT'!K256="","",'ŞİKAYET KAYIT'!K256)),"")</f>
        <v/>
      </c>
      <c r="I256" s="3" t="str">
        <f>IFERROR(IF('ŞİKAYET KAYIT'!P256="Kapatıldı","",IF('ŞİKAYET KAYIT'!L256="","",'ŞİKAYET KAYIT'!L256)),"")</f>
        <v/>
      </c>
      <c r="J256" s="3" t="str">
        <f>IFERROR(IF('ŞİKAYET KAYIT'!P256="Kapatıldı","",IF('ŞİKAYET KAYIT'!M256="","",'ŞİKAYET KAYIT'!M256)),"")</f>
        <v/>
      </c>
      <c r="K256" s="3" t="str">
        <f>IFERROR(IF('ŞİKAYET KAYIT'!P256="Kapatıldı","",IF('ŞİKAYET KAYIT'!N256="","",'ŞİKAYET KAYIT'!N256)),"")</f>
        <v/>
      </c>
      <c r="L256" s="3" t="str">
        <f>IFERROR(IF('ŞİKAYET KAYIT'!P256="Kapatıldı","",IF('ŞİKAYET KAYIT'!O256="","",'ŞİKAYET KAYIT'!O256)),"")</f>
        <v/>
      </c>
      <c r="M256" s="3" t="str">
        <f>IFERROR(IF('ŞİKAYET KAYIT'!P256="Kapatıldı","",IF('ŞİKAYET KAYIT'!P256="","",'ŞİKAYET KAYIT'!P256)),"")</f>
        <v/>
      </c>
    </row>
    <row r="257" spans="1:13" ht="15" customHeight="1" x14ac:dyDescent="0.3">
      <c r="A257" s="26" t="str">
        <f>IFERROR(IF('ŞİKAYET KAYIT'!P257="Kapatıldı","",IF('ŞİKAYET KAYIT'!A257="","",'ŞİKAYET KAYIT'!A257)),"")</f>
        <v/>
      </c>
      <c r="B257" s="8" t="str">
        <f>IFERROR(IF('ŞİKAYET KAYIT'!P257="Kapatıldı","",IF('ŞİKAYET KAYIT'!B257="","",'ŞİKAYET KAYIT'!B257)),"")</f>
        <v/>
      </c>
      <c r="C257" s="26" t="str">
        <f>IFERROR(IF('ŞİKAYET KAYIT'!P257="Kapatıldı","",IF('ŞİKAYET KAYIT'!D257="","",'ŞİKAYET KAYIT'!D257)),"")</f>
        <v/>
      </c>
      <c r="D257" s="26" t="str">
        <f>IFERROR(IF('ŞİKAYET KAYIT'!P257="Kapatıldı","",IF('ŞİKAYET KAYIT'!F257="","",'ŞİKAYET KAYIT'!F257)),"")</f>
        <v/>
      </c>
      <c r="E257" s="26" t="str">
        <f>IFERROR(IF('ŞİKAYET KAYIT'!P257="Kapatıldı","",IF('ŞİKAYET KAYIT'!H257="","",'ŞİKAYET KAYIT'!H257)),"")</f>
        <v/>
      </c>
      <c r="F257" s="26" t="str">
        <f>IFERROR(IF('ŞİKAYET KAYIT'!P257="Kapatıldı","",IF('ŞİKAYET KAYIT'!I257="","",'ŞİKAYET KAYIT'!I257)),"")</f>
        <v/>
      </c>
      <c r="G257" s="26" t="str">
        <f>IFERROR(IF('ŞİKAYET KAYIT'!P257="Kapatıldı","",IF('ŞİKAYET KAYIT'!J257="","",'ŞİKAYET KAYIT'!J257)),"")</f>
        <v/>
      </c>
      <c r="H257" s="26" t="str">
        <f>IFERROR(IF('ŞİKAYET KAYIT'!P257="Kapatıldı","",IF('ŞİKAYET KAYIT'!K257="","",'ŞİKAYET KAYIT'!K257)),"")</f>
        <v/>
      </c>
      <c r="I257" s="26" t="str">
        <f>IFERROR(IF('ŞİKAYET KAYIT'!P257="Kapatıldı","",IF('ŞİKAYET KAYIT'!L257="","",'ŞİKAYET KAYIT'!L257)),"")</f>
        <v/>
      </c>
      <c r="J257" s="26" t="str">
        <f>IFERROR(IF('ŞİKAYET KAYIT'!P257="Kapatıldı","",IF('ŞİKAYET KAYIT'!M257="","",'ŞİKAYET KAYIT'!M257)),"")</f>
        <v/>
      </c>
      <c r="K257" s="26" t="str">
        <f>IFERROR(IF('ŞİKAYET KAYIT'!P257="Kapatıldı","",IF('ŞİKAYET KAYIT'!N257="","",'ŞİKAYET KAYIT'!N257)),"")</f>
        <v/>
      </c>
      <c r="L257" s="26" t="str">
        <f>IFERROR(IF('ŞİKAYET KAYIT'!P257="Kapatıldı","",IF('ŞİKAYET KAYIT'!O257="","",'ŞİKAYET KAYIT'!O257)),"")</f>
        <v/>
      </c>
      <c r="M257" s="26" t="str">
        <f>IFERROR(IF('ŞİKAYET KAYIT'!P257="Kapatıldı","",IF('ŞİKAYET KAYIT'!P257="","",'ŞİKAYET KAYIT'!P257)),"")</f>
        <v/>
      </c>
    </row>
    <row r="258" spans="1:13" ht="15" customHeight="1" x14ac:dyDescent="0.3">
      <c r="A258" s="3" t="str">
        <f>IFERROR(IF('ŞİKAYET KAYIT'!P258="Kapatıldı","",IF('ŞİKAYET KAYIT'!A258="","",'ŞİKAYET KAYIT'!A258)),"")</f>
        <v/>
      </c>
      <c r="B258" s="5" t="str">
        <f>IFERROR(IF('ŞİKAYET KAYIT'!P258="Kapatıldı","",IF('ŞİKAYET KAYIT'!B258="","",'ŞİKAYET KAYIT'!B258)),"")</f>
        <v/>
      </c>
      <c r="C258" s="3" t="str">
        <f>IFERROR(IF('ŞİKAYET KAYIT'!P258="Kapatıldı","",IF('ŞİKAYET KAYIT'!D258="","",'ŞİKAYET KAYIT'!D258)),"")</f>
        <v/>
      </c>
      <c r="D258" s="3" t="str">
        <f>IFERROR(IF('ŞİKAYET KAYIT'!P258="Kapatıldı","",IF('ŞİKAYET KAYIT'!F258="","",'ŞİKAYET KAYIT'!F258)),"")</f>
        <v/>
      </c>
      <c r="E258" s="3" t="str">
        <f>IFERROR(IF('ŞİKAYET KAYIT'!P258="Kapatıldı","",IF('ŞİKAYET KAYIT'!H258="","",'ŞİKAYET KAYIT'!H258)),"")</f>
        <v/>
      </c>
      <c r="F258" s="3" t="str">
        <f>IFERROR(IF('ŞİKAYET KAYIT'!P258="Kapatıldı","",IF('ŞİKAYET KAYIT'!I258="","",'ŞİKAYET KAYIT'!I258)),"")</f>
        <v/>
      </c>
      <c r="G258" s="3" t="str">
        <f>IFERROR(IF('ŞİKAYET KAYIT'!P258="Kapatıldı","",IF('ŞİKAYET KAYIT'!J258="","",'ŞİKAYET KAYIT'!J258)),"")</f>
        <v/>
      </c>
      <c r="H258" s="3" t="str">
        <f>IFERROR(IF('ŞİKAYET KAYIT'!P258="Kapatıldı","",IF('ŞİKAYET KAYIT'!K258="","",'ŞİKAYET KAYIT'!K258)),"")</f>
        <v/>
      </c>
      <c r="I258" s="3" t="str">
        <f>IFERROR(IF('ŞİKAYET KAYIT'!P258="Kapatıldı","",IF('ŞİKAYET KAYIT'!L258="","",'ŞİKAYET KAYIT'!L258)),"")</f>
        <v/>
      </c>
      <c r="J258" s="3" t="str">
        <f>IFERROR(IF('ŞİKAYET KAYIT'!P258="Kapatıldı","",IF('ŞİKAYET KAYIT'!M258="","",'ŞİKAYET KAYIT'!M258)),"")</f>
        <v/>
      </c>
      <c r="K258" s="3" t="str">
        <f>IFERROR(IF('ŞİKAYET KAYIT'!P258="Kapatıldı","",IF('ŞİKAYET KAYIT'!N258="","",'ŞİKAYET KAYIT'!N258)),"")</f>
        <v/>
      </c>
      <c r="L258" s="3" t="str">
        <f>IFERROR(IF('ŞİKAYET KAYIT'!P258="Kapatıldı","",IF('ŞİKAYET KAYIT'!O258="","",'ŞİKAYET KAYIT'!O258)),"")</f>
        <v/>
      </c>
      <c r="M258" s="3" t="str">
        <f>IFERROR(IF('ŞİKAYET KAYIT'!P258="Kapatıldı","",IF('ŞİKAYET KAYIT'!P258="","",'ŞİKAYET KAYIT'!P258)),"")</f>
        <v/>
      </c>
    </row>
    <row r="259" spans="1:13" ht="15" customHeight="1" x14ac:dyDescent="0.3">
      <c r="A259" s="26" t="str">
        <f>IFERROR(IF('ŞİKAYET KAYIT'!P259="Kapatıldı","",IF('ŞİKAYET KAYIT'!A259="","",'ŞİKAYET KAYIT'!A259)),"")</f>
        <v/>
      </c>
      <c r="B259" s="8" t="str">
        <f>IFERROR(IF('ŞİKAYET KAYIT'!P259="Kapatıldı","",IF('ŞİKAYET KAYIT'!B259="","",'ŞİKAYET KAYIT'!B259)),"")</f>
        <v/>
      </c>
      <c r="C259" s="26" t="str">
        <f>IFERROR(IF('ŞİKAYET KAYIT'!P259="Kapatıldı","",IF('ŞİKAYET KAYIT'!D259="","",'ŞİKAYET KAYIT'!D259)),"")</f>
        <v/>
      </c>
      <c r="D259" s="26" t="str">
        <f>IFERROR(IF('ŞİKAYET KAYIT'!P259="Kapatıldı","",IF('ŞİKAYET KAYIT'!F259="","",'ŞİKAYET KAYIT'!F259)),"")</f>
        <v/>
      </c>
      <c r="E259" s="26" t="str">
        <f>IFERROR(IF('ŞİKAYET KAYIT'!P259="Kapatıldı","",IF('ŞİKAYET KAYIT'!H259="","",'ŞİKAYET KAYIT'!H259)),"")</f>
        <v/>
      </c>
      <c r="F259" s="26" t="str">
        <f>IFERROR(IF('ŞİKAYET KAYIT'!P259="Kapatıldı","",IF('ŞİKAYET KAYIT'!I259="","",'ŞİKAYET KAYIT'!I259)),"")</f>
        <v/>
      </c>
      <c r="G259" s="26" t="str">
        <f>IFERROR(IF('ŞİKAYET KAYIT'!P259="Kapatıldı","",IF('ŞİKAYET KAYIT'!J259="","",'ŞİKAYET KAYIT'!J259)),"")</f>
        <v/>
      </c>
      <c r="H259" s="26" t="str">
        <f>IFERROR(IF('ŞİKAYET KAYIT'!P259="Kapatıldı","",IF('ŞİKAYET KAYIT'!K259="","",'ŞİKAYET KAYIT'!K259)),"")</f>
        <v/>
      </c>
      <c r="I259" s="26" t="str">
        <f>IFERROR(IF('ŞİKAYET KAYIT'!P259="Kapatıldı","",IF('ŞİKAYET KAYIT'!L259="","",'ŞİKAYET KAYIT'!L259)),"")</f>
        <v/>
      </c>
      <c r="J259" s="26" t="str">
        <f>IFERROR(IF('ŞİKAYET KAYIT'!P259="Kapatıldı","",IF('ŞİKAYET KAYIT'!M259="","",'ŞİKAYET KAYIT'!M259)),"")</f>
        <v/>
      </c>
      <c r="K259" s="26" t="str">
        <f>IFERROR(IF('ŞİKAYET KAYIT'!P259="Kapatıldı","",IF('ŞİKAYET KAYIT'!N259="","",'ŞİKAYET KAYIT'!N259)),"")</f>
        <v/>
      </c>
      <c r="L259" s="26" t="str">
        <f>IFERROR(IF('ŞİKAYET KAYIT'!P259="Kapatıldı","",IF('ŞİKAYET KAYIT'!O259="","",'ŞİKAYET KAYIT'!O259)),"")</f>
        <v/>
      </c>
      <c r="M259" s="26" t="str">
        <f>IFERROR(IF('ŞİKAYET KAYIT'!P259="Kapatıldı","",IF('ŞİKAYET KAYIT'!P259="","",'ŞİKAYET KAYIT'!P259)),"")</f>
        <v/>
      </c>
    </row>
    <row r="260" spans="1:13" ht="15" customHeight="1" x14ac:dyDescent="0.3">
      <c r="A260" s="3" t="str">
        <f>IFERROR(IF('ŞİKAYET KAYIT'!P260="Kapatıldı","",IF('ŞİKAYET KAYIT'!A260="","",'ŞİKAYET KAYIT'!A260)),"")</f>
        <v/>
      </c>
      <c r="B260" s="5" t="str">
        <f>IFERROR(IF('ŞİKAYET KAYIT'!P260="Kapatıldı","",IF('ŞİKAYET KAYIT'!B260="","",'ŞİKAYET KAYIT'!B260)),"")</f>
        <v/>
      </c>
      <c r="C260" s="3" t="str">
        <f>IFERROR(IF('ŞİKAYET KAYIT'!P260="Kapatıldı","",IF('ŞİKAYET KAYIT'!D260="","",'ŞİKAYET KAYIT'!D260)),"")</f>
        <v/>
      </c>
      <c r="D260" s="3" t="str">
        <f>IFERROR(IF('ŞİKAYET KAYIT'!P260="Kapatıldı","",IF('ŞİKAYET KAYIT'!F260="","",'ŞİKAYET KAYIT'!F260)),"")</f>
        <v/>
      </c>
      <c r="E260" s="3" t="str">
        <f>IFERROR(IF('ŞİKAYET KAYIT'!P260="Kapatıldı","",IF('ŞİKAYET KAYIT'!H260="","",'ŞİKAYET KAYIT'!H260)),"")</f>
        <v/>
      </c>
      <c r="F260" s="3" t="str">
        <f>IFERROR(IF('ŞİKAYET KAYIT'!P260="Kapatıldı","",IF('ŞİKAYET KAYIT'!I260="","",'ŞİKAYET KAYIT'!I260)),"")</f>
        <v/>
      </c>
      <c r="G260" s="3" t="str">
        <f>IFERROR(IF('ŞİKAYET KAYIT'!P260="Kapatıldı","",IF('ŞİKAYET KAYIT'!J260="","",'ŞİKAYET KAYIT'!J260)),"")</f>
        <v/>
      </c>
      <c r="H260" s="3" t="str">
        <f>IFERROR(IF('ŞİKAYET KAYIT'!P260="Kapatıldı","",IF('ŞİKAYET KAYIT'!K260="","",'ŞİKAYET KAYIT'!K260)),"")</f>
        <v/>
      </c>
      <c r="I260" s="3" t="str">
        <f>IFERROR(IF('ŞİKAYET KAYIT'!P260="Kapatıldı","",IF('ŞİKAYET KAYIT'!L260="","",'ŞİKAYET KAYIT'!L260)),"")</f>
        <v/>
      </c>
      <c r="J260" s="3" t="str">
        <f>IFERROR(IF('ŞİKAYET KAYIT'!P260="Kapatıldı","",IF('ŞİKAYET KAYIT'!M260="","",'ŞİKAYET KAYIT'!M260)),"")</f>
        <v/>
      </c>
      <c r="K260" s="3" t="str">
        <f>IFERROR(IF('ŞİKAYET KAYIT'!P260="Kapatıldı","",IF('ŞİKAYET KAYIT'!N260="","",'ŞİKAYET KAYIT'!N260)),"")</f>
        <v/>
      </c>
      <c r="L260" s="3" t="str">
        <f>IFERROR(IF('ŞİKAYET KAYIT'!P260="Kapatıldı","",IF('ŞİKAYET KAYIT'!O260="","",'ŞİKAYET KAYIT'!O260)),"")</f>
        <v/>
      </c>
      <c r="M260" s="3" t="str">
        <f>IFERROR(IF('ŞİKAYET KAYIT'!P260="Kapatıldı","",IF('ŞİKAYET KAYIT'!P260="","",'ŞİKAYET KAYIT'!P260)),"")</f>
        <v/>
      </c>
    </row>
    <row r="261" spans="1:13" ht="15" customHeight="1" x14ac:dyDescent="0.3">
      <c r="A261" s="26" t="str">
        <f>IFERROR(IF('ŞİKAYET KAYIT'!P261="Kapatıldı","",IF('ŞİKAYET KAYIT'!A261="","",'ŞİKAYET KAYIT'!A261)),"")</f>
        <v/>
      </c>
      <c r="B261" s="8" t="str">
        <f>IFERROR(IF('ŞİKAYET KAYIT'!P261="Kapatıldı","",IF('ŞİKAYET KAYIT'!B261="","",'ŞİKAYET KAYIT'!B261)),"")</f>
        <v/>
      </c>
      <c r="C261" s="26" t="str">
        <f>IFERROR(IF('ŞİKAYET KAYIT'!P261="Kapatıldı","",IF('ŞİKAYET KAYIT'!D261="","",'ŞİKAYET KAYIT'!D261)),"")</f>
        <v/>
      </c>
      <c r="D261" s="26" t="str">
        <f>IFERROR(IF('ŞİKAYET KAYIT'!P261="Kapatıldı","",IF('ŞİKAYET KAYIT'!F261="","",'ŞİKAYET KAYIT'!F261)),"")</f>
        <v/>
      </c>
      <c r="E261" s="26" t="str">
        <f>IFERROR(IF('ŞİKAYET KAYIT'!P261="Kapatıldı","",IF('ŞİKAYET KAYIT'!H261="","",'ŞİKAYET KAYIT'!H261)),"")</f>
        <v/>
      </c>
      <c r="F261" s="26" t="str">
        <f>IFERROR(IF('ŞİKAYET KAYIT'!P261="Kapatıldı","",IF('ŞİKAYET KAYIT'!I261="","",'ŞİKAYET KAYIT'!I261)),"")</f>
        <v/>
      </c>
      <c r="G261" s="26" t="str">
        <f>IFERROR(IF('ŞİKAYET KAYIT'!P261="Kapatıldı","",IF('ŞİKAYET KAYIT'!J261="","",'ŞİKAYET KAYIT'!J261)),"")</f>
        <v/>
      </c>
      <c r="H261" s="26" t="str">
        <f>IFERROR(IF('ŞİKAYET KAYIT'!P261="Kapatıldı","",IF('ŞİKAYET KAYIT'!K261="","",'ŞİKAYET KAYIT'!K261)),"")</f>
        <v/>
      </c>
      <c r="I261" s="26" t="str">
        <f>IFERROR(IF('ŞİKAYET KAYIT'!P261="Kapatıldı","",IF('ŞİKAYET KAYIT'!L261="","",'ŞİKAYET KAYIT'!L261)),"")</f>
        <v/>
      </c>
      <c r="J261" s="26" t="str">
        <f>IFERROR(IF('ŞİKAYET KAYIT'!P261="Kapatıldı","",IF('ŞİKAYET KAYIT'!M261="","",'ŞİKAYET KAYIT'!M261)),"")</f>
        <v/>
      </c>
      <c r="K261" s="26" t="str">
        <f>IFERROR(IF('ŞİKAYET KAYIT'!P261="Kapatıldı","",IF('ŞİKAYET KAYIT'!N261="","",'ŞİKAYET KAYIT'!N261)),"")</f>
        <v/>
      </c>
      <c r="L261" s="26" t="str">
        <f>IFERROR(IF('ŞİKAYET KAYIT'!P261="Kapatıldı","",IF('ŞİKAYET KAYIT'!O261="","",'ŞİKAYET KAYIT'!O261)),"")</f>
        <v/>
      </c>
      <c r="M261" s="26" t="str">
        <f>IFERROR(IF('ŞİKAYET KAYIT'!P261="Kapatıldı","",IF('ŞİKAYET KAYIT'!P261="","",'ŞİKAYET KAYIT'!P261)),"")</f>
        <v/>
      </c>
    </row>
    <row r="262" spans="1:13" ht="15" customHeight="1" x14ac:dyDescent="0.3">
      <c r="A262" s="3" t="str">
        <f>IFERROR(IF('ŞİKAYET KAYIT'!P262="Kapatıldı","",IF('ŞİKAYET KAYIT'!A262="","",'ŞİKAYET KAYIT'!A262)),"")</f>
        <v/>
      </c>
      <c r="B262" s="5" t="str">
        <f>IFERROR(IF('ŞİKAYET KAYIT'!P262="Kapatıldı","",IF('ŞİKAYET KAYIT'!B262="","",'ŞİKAYET KAYIT'!B262)),"")</f>
        <v/>
      </c>
      <c r="C262" s="3" t="str">
        <f>IFERROR(IF('ŞİKAYET KAYIT'!P262="Kapatıldı","",IF('ŞİKAYET KAYIT'!D262="","",'ŞİKAYET KAYIT'!D262)),"")</f>
        <v/>
      </c>
      <c r="D262" s="3" t="str">
        <f>IFERROR(IF('ŞİKAYET KAYIT'!P262="Kapatıldı","",IF('ŞİKAYET KAYIT'!F262="","",'ŞİKAYET KAYIT'!F262)),"")</f>
        <v/>
      </c>
      <c r="E262" s="3" t="str">
        <f>IFERROR(IF('ŞİKAYET KAYIT'!P262="Kapatıldı","",IF('ŞİKAYET KAYIT'!H262="","",'ŞİKAYET KAYIT'!H262)),"")</f>
        <v/>
      </c>
      <c r="F262" s="3" t="str">
        <f>IFERROR(IF('ŞİKAYET KAYIT'!P262="Kapatıldı","",IF('ŞİKAYET KAYIT'!I262="","",'ŞİKAYET KAYIT'!I262)),"")</f>
        <v/>
      </c>
      <c r="G262" s="3" t="str">
        <f>IFERROR(IF('ŞİKAYET KAYIT'!P262="Kapatıldı","",IF('ŞİKAYET KAYIT'!J262="","",'ŞİKAYET KAYIT'!J262)),"")</f>
        <v/>
      </c>
      <c r="H262" s="3" t="str">
        <f>IFERROR(IF('ŞİKAYET KAYIT'!P262="Kapatıldı","",IF('ŞİKAYET KAYIT'!K262="","",'ŞİKAYET KAYIT'!K262)),"")</f>
        <v/>
      </c>
      <c r="I262" s="3" t="str">
        <f>IFERROR(IF('ŞİKAYET KAYIT'!P262="Kapatıldı","",IF('ŞİKAYET KAYIT'!L262="","",'ŞİKAYET KAYIT'!L262)),"")</f>
        <v/>
      </c>
      <c r="J262" s="3" t="str">
        <f>IFERROR(IF('ŞİKAYET KAYIT'!P262="Kapatıldı","",IF('ŞİKAYET KAYIT'!M262="","",'ŞİKAYET KAYIT'!M262)),"")</f>
        <v/>
      </c>
      <c r="K262" s="3" t="str">
        <f>IFERROR(IF('ŞİKAYET KAYIT'!P262="Kapatıldı","",IF('ŞİKAYET KAYIT'!N262="","",'ŞİKAYET KAYIT'!N262)),"")</f>
        <v/>
      </c>
      <c r="L262" s="3" t="str">
        <f>IFERROR(IF('ŞİKAYET KAYIT'!P262="Kapatıldı","",IF('ŞİKAYET KAYIT'!O262="","",'ŞİKAYET KAYIT'!O262)),"")</f>
        <v/>
      </c>
      <c r="M262" s="3" t="str">
        <f>IFERROR(IF('ŞİKAYET KAYIT'!P262="Kapatıldı","",IF('ŞİKAYET KAYIT'!P262="","",'ŞİKAYET KAYIT'!P262)),"")</f>
        <v/>
      </c>
    </row>
    <row r="263" spans="1:13" ht="15" customHeight="1" x14ac:dyDescent="0.3">
      <c r="A263" s="26" t="str">
        <f>IFERROR(IF('ŞİKAYET KAYIT'!P263="Kapatıldı","",IF('ŞİKAYET KAYIT'!A263="","",'ŞİKAYET KAYIT'!A263)),"")</f>
        <v/>
      </c>
      <c r="B263" s="8" t="str">
        <f>IFERROR(IF('ŞİKAYET KAYIT'!P263="Kapatıldı","",IF('ŞİKAYET KAYIT'!B263="","",'ŞİKAYET KAYIT'!B263)),"")</f>
        <v/>
      </c>
      <c r="C263" s="26" t="str">
        <f>IFERROR(IF('ŞİKAYET KAYIT'!P263="Kapatıldı","",IF('ŞİKAYET KAYIT'!D263="","",'ŞİKAYET KAYIT'!D263)),"")</f>
        <v/>
      </c>
      <c r="D263" s="26" t="str">
        <f>IFERROR(IF('ŞİKAYET KAYIT'!P263="Kapatıldı","",IF('ŞİKAYET KAYIT'!F263="","",'ŞİKAYET KAYIT'!F263)),"")</f>
        <v/>
      </c>
      <c r="E263" s="26" t="str">
        <f>IFERROR(IF('ŞİKAYET KAYIT'!P263="Kapatıldı","",IF('ŞİKAYET KAYIT'!H263="","",'ŞİKAYET KAYIT'!H263)),"")</f>
        <v/>
      </c>
      <c r="F263" s="26" t="str">
        <f>IFERROR(IF('ŞİKAYET KAYIT'!P263="Kapatıldı","",IF('ŞİKAYET KAYIT'!I263="","",'ŞİKAYET KAYIT'!I263)),"")</f>
        <v/>
      </c>
      <c r="G263" s="26" t="str">
        <f>IFERROR(IF('ŞİKAYET KAYIT'!P263="Kapatıldı","",IF('ŞİKAYET KAYIT'!J263="","",'ŞİKAYET KAYIT'!J263)),"")</f>
        <v/>
      </c>
      <c r="H263" s="26" t="str">
        <f>IFERROR(IF('ŞİKAYET KAYIT'!P263="Kapatıldı","",IF('ŞİKAYET KAYIT'!K263="","",'ŞİKAYET KAYIT'!K263)),"")</f>
        <v/>
      </c>
      <c r="I263" s="26" t="str">
        <f>IFERROR(IF('ŞİKAYET KAYIT'!P263="Kapatıldı","",IF('ŞİKAYET KAYIT'!L263="","",'ŞİKAYET KAYIT'!L263)),"")</f>
        <v/>
      </c>
      <c r="J263" s="26" t="str">
        <f>IFERROR(IF('ŞİKAYET KAYIT'!P263="Kapatıldı","",IF('ŞİKAYET KAYIT'!M263="","",'ŞİKAYET KAYIT'!M263)),"")</f>
        <v/>
      </c>
      <c r="K263" s="26" t="str">
        <f>IFERROR(IF('ŞİKAYET KAYIT'!P263="Kapatıldı","",IF('ŞİKAYET KAYIT'!N263="","",'ŞİKAYET KAYIT'!N263)),"")</f>
        <v/>
      </c>
      <c r="L263" s="26" t="str">
        <f>IFERROR(IF('ŞİKAYET KAYIT'!P263="Kapatıldı","",IF('ŞİKAYET KAYIT'!O263="","",'ŞİKAYET KAYIT'!O263)),"")</f>
        <v/>
      </c>
      <c r="M263" s="26" t="str">
        <f>IFERROR(IF('ŞİKAYET KAYIT'!P263="Kapatıldı","",IF('ŞİKAYET KAYIT'!P263="","",'ŞİKAYET KAYIT'!P263)),"")</f>
        <v/>
      </c>
    </row>
    <row r="264" spans="1:13" ht="15" customHeight="1" x14ac:dyDescent="0.3">
      <c r="A264" s="3" t="str">
        <f>IFERROR(IF('ŞİKAYET KAYIT'!P264="Kapatıldı","",IF('ŞİKAYET KAYIT'!A264="","",'ŞİKAYET KAYIT'!A264)),"")</f>
        <v/>
      </c>
      <c r="B264" s="5" t="str">
        <f>IFERROR(IF('ŞİKAYET KAYIT'!P264="Kapatıldı","",IF('ŞİKAYET KAYIT'!B264="","",'ŞİKAYET KAYIT'!B264)),"")</f>
        <v/>
      </c>
      <c r="C264" s="3" t="str">
        <f>IFERROR(IF('ŞİKAYET KAYIT'!P264="Kapatıldı","",IF('ŞİKAYET KAYIT'!D264="","",'ŞİKAYET KAYIT'!D264)),"")</f>
        <v/>
      </c>
      <c r="D264" s="3" t="str">
        <f>IFERROR(IF('ŞİKAYET KAYIT'!P264="Kapatıldı","",IF('ŞİKAYET KAYIT'!F264="","",'ŞİKAYET KAYIT'!F264)),"")</f>
        <v/>
      </c>
      <c r="E264" s="3" t="str">
        <f>IFERROR(IF('ŞİKAYET KAYIT'!P264="Kapatıldı","",IF('ŞİKAYET KAYIT'!H264="","",'ŞİKAYET KAYIT'!H264)),"")</f>
        <v/>
      </c>
      <c r="F264" s="3" t="str">
        <f>IFERROR(IF('ŞİKAYET KAYIT'!P264="Kapatıldı","",IF('ŞİKAYET KAYIT'!I264="","",'ŞİKAYET KAYIT'!I264)),"")</f>
        <v/>
      </c>
      <c r="G264" s="3" t="str">
        <f>IFERROR(IF('ŞİKAYET KAYIT'!P264="Kapatıldı","",IF('ŞİKAYET KAYIT'!J264="","",'ŞİKAYET KAYIT'!J264)),"")</f>
        <v/>
      </c>
      <c r="H264" s="3" t="str">
        <f>IFERROR(IF('ŞİKAYET KAYIT'!P264="Kapatıldı","",IF('ŞİKAYET KAYIT'!K264="","",'ŞİKAYET KAYIT'!K264)),"")</f>
        <v/>
      </c>
      <c r="I264" s="3" t="str">
        <f>IFERROR(IF('ŞİKAYET KAYIT'!P264="Kapatıldı","",IF('ŞİKAYET KAYIT'!L264="","",'ŞİKAYET KAYIT'!L264)),"")</f>
        <v/>
      </c>
      <c r="J264" s="3" t="str">
        <f>IFERROR(IF('ŞİKAYET KAYIT'!P264="Kapatıldı","",IF('ŞİKAYET KAYIT'!M264="","",'ŞİKAYET KAYIT'!M264)),"")</f>
        <v/>
      </c>
      <c r="K264" s="3" t="str">
        <f>IFERROR(IF('ŞİKAYET KAYIT'!P264="Kapatıldı","",IF('ŞİKAYET KAYIT'!N264="","",'ŞİKAYET KAYIT'!N264)),"")</f>
        <v/>
      </c>
      <c r="L264" s="3" t="str">
        <f>IFERROR(IF('ŞİKAYET KAYIT'!P264="Kapatıldı","",IF('ŞİKAYET KAYIT'!O264="","",'ŞİKAYET KAYIT'!O264)),"")</f>
        <v/>
      </c>
      <c r="M264" s="3" t="str">
        <f>IFERROR(IF('ŞİKAYET KAYIT'!P264="Kapatıldı","",IF('ŞİKAYET KAYIT'!P264="","",'ŞİKAYET KAYIT'!P264)),"")</f>
        <v/>
      </c>
    </row>
    <row r="265" spans="1:13" ht="15" customHeight="1" x14ac:dyDescent="0.3">
      <c r="A265" s="26" t="str">
        <f>IFERROR(IF('ŞİKAYET KAYIT'!P265="Kapatıldı","",IF('ŞİKAYET KAYIT'!A265="","",'ŞİKAYET KAYIT'!A265)),"")</f>
        <v/>
      </c>
      <c r="B265" s="8" t="str">
        <f>IFERROR(IF('ŞİKAYET KAYIT'!P265="Kapatıldı","",IF('ŞİKAYET KAYIT'!B265="","",'ŞİKAYET KAYIT'!B265)),"")</f>
        <v/>
      </c>
      <c r="C265" s="26" t="str">
        <f>IFERROR(IF('ŞİKAYET KAYIT'!P265="Kapatıldı","",IF('ŞİKAYET KAYIT'!D265="","",'ŞİKAYET KAYIT'!D265)),"")</f>
        <v/>
      </c>
      <c r="D265" s="26" t="str">
        <f>IFERROR(IF('ŞİKAYET KAYIT'!P265="Kapatıldı","",IF('ŞİKAYET KAYIT'!F265="","",'ŞİKAYET KAYIT'!F265)),"")</f>
        <v/>
      </c>
      <c r="E265" s="26" t="str">
        <f>IFERROR(IF('ŞİKAYET KAYIT'!P265="Kapatıldı","",IF('ŞİKAYET KAYIT'!H265="","",'ŞİKAYET KAYIT'!H265)),"")</f>
        <v/>
      </c>
      <c r="F265" s="26" t="str">
        <f>IFERROR(IF('ŞİKAYET KAYIT'!P265="Kapatıldı","",IF('ŞİKAYET KAYIT'!I265="","",'ŞİKAYET KAYIT'!I265)),"")</f>
        <v/>
      </c>
      <c r="G265" s="26" t="str">
        <f>IFERROR(IF('ŞİKAYET KAYIT'!P265="Kapatıldı","",IF('ŞİKAYET KAYIT'!J265="","",'ŞİKAYET KAYIT'!J265)),"")</f>
        <v/>
      </c>
      <c r="H265" s="26" t="str">
        <f>IFERROR(IF('ŞİKAYET KAYIT'!P265="Kapatıldı","",IF('ŞİKAYET KAYIT'!K265="","",'ŞİKAYET KAYIT'!K265)),"")</f>
        <v/>
      </c>
      <c r="I265" s="26" t="str">
        <f>IFERROR(IF('ŞİKAYET KAYIT'!P265="Kapatıldı","",IF('ŞİKAYET KAYIT'!L265="","",'ŞİKAYET KAYIT'!L265)),"")</f>
        <v/>
      </c>
      <c r="J265" s="26" t="str">
        <f>IFERROR(IF('ŞİKAYET KAYIT'!P265="Kapatıldı","",IF('ŞİKAYET KAYIT'!M265="","",'ŞİKAYET KAYIT'!M265)),"")</f>
        <v/>
      </c>
      <c r="K265" s="26" t="str">
        <f>IFERROR(IF('ŞİKAYET KAYIT'!P265="Kapatıldı","",IF('ŞİKAYET KAYIT'!N265="","",'ŞİKAYET KAYIT'!N265)),"")</f>
        <v/>
      </c>
      <c r="L265" s="26" t="str">
        <f>IFERROR(IF('ŞİKAYET KAYIT'!P265="Kapatıldı","",IF('ŞİKAYET KAYIT'!O265="","",'ŞİKAYET KAYIT'!O265)),"")</f>
        <v/>
      </c>
      <c r="M265" s="26" t="str">
        <f>IFERROR(IF('ŞİKAYET KAYIT'!P265="Kapatıldı","",IF('ŞİKAYET KAYIT'!P265="","",'ŞİKAYET KAYIT'!P265)),"")</f>
        <v/>
      </c>
    </row>
    <row r="266" spans="1:13" ht="15" customHeight="1" x14ac:dyDescent="0.3">
      <c r="A266" s="3" t="str">
        <f>IFERROR(IF('ŞİKAYET KAYIT'!P266="Kapatıldı","",IF('ŞİKAYET KAYIT'!A266="","",'ŞİKAYET KAYIT'!A266)),"")</f>
        <v/>
      </c>
      <c r="B266" s="5" t="str">
        <f>IFERROR(IF('ŞİKAYET KAYIT'!P266="Kapatıldı","",IF('ŞİKAYET KAYIT'!B266="","",'ŞİKAYET KAYIT'!B266)),"")</f>
        <v/>
      </c>
      <c r="C266" s="3" t="str">
        <f>IFERROR(IF('ŞİKAYET KAYIT'!P266="Kapatıldı","",IF('ŞİKAYET KAYIT'!D266="","",'ŞİKAYET KAYIT'!D266)),"")</f>
        <v/>
      </c>
      <c r="D266" s="3" t="str">
        <f>IFERROR(IF('ŞİKAYET KAYIT'!P266="Kapatıldı","",IF('ŞİKAYET KAYIT'!F266="","",'ŞİKAYET KAYIT'!F266)),"")</f>
        <v/>
      </c>
      <c r="E266" s="3" t="str">
        <f>IFERROR(IF('ŞİKAYET KAYIT'!P266="Kapatıldı","",IF('ŞİKAYET KAYIT'!H266="","",'ŞİKAYET KAYIT'!H266)),"")</f>
        <v/>
      </c>
      <c r="F266" s="3" t="str">
        <f>IFERROR(IF('ŞİKAYET KAYIT'!P266="Kapatıldı","",IF('ŞİKAYET KAYIT'!I266="","",'ŞİKAYET KAYIT'!I266)),"")</f>
        <v/>
      </c>
      <c r="G266" s="3" t="str">
        <f>IFERROR(IF('ŞİKAYET KAYIT'!P266="Kapatıldı","",IF('ŞİKAYET KAYIT'!J266="","",'ŞİKAYET KAYIT'!J266)),"")</f>
        <v/>
      </c>
      <c r="H266" s="3" t="str">
        <f>IFERROR(IF('ŞİKAYET KAYIT'!P266="Kapatıldı","",IF('ŞİKAYET KAYIT'!K266="","",'ŞİKAYET KAYIT'!K266)),"")</f>
        <v/>
      </c>
      <c r="I266" s="3" t="str">
        <f>IFERROR(IF('ŞİKAYET KAYIT'!P266="Kapatıldı","",IF('ŞİKAYET KAYIT'!L266="","",'ŞİKAYET KAYIT'!L266)),"")</f>
        <v/>
      </c>
      <c r="J266" s="3" t="str">
        <f>IFERROR(IF('ŞİKAYET KAYIT'!P266="Kapatıldı","",IF('ŞİKAYET KAYIT'!M266="","",'ŞİKAYET KAYIT'!M266)),"")</f>
        <v/>
      </c>
      <c r="K266" s="3" t="str">
        <f>IFERROR(IF('ŞİKAYET KAYIT'!P266="Kapatıldı","",IF('ŞİKAYET KAYIT'!N266="","",'ŞİKAYET KAYIT'!N266)),"")</f>
        <v/>
      </c>
      <c r="L266" s="3" t="str">
        <f>IFERROR(IF('ŞİKAYET KAYIT'!P266="Kapatıldı","",IF('ŞİKAYET KAYIT'!O266="","",'ŞİKAYET KAYIT'!O266)),"")</f>
        <v/>
      </c>
      <c r="M266" s="3" t="str">
        <f>IFERROR(IF('ŞİKAYET KAYIT'!P266="Kapatıldı","",IF('ŞİKAYET KAYIT'!P266="","",'ŞİKAYET KAYIT'!P266)),"")</f>
        <v/>
      </c>
    </row>
    <row r="267" spans="1:13" ht="15" customHeight="1" x14ac:dyDescent="0.3">
      <c r="A267" s="26" t="str">
        <f>IFERROR(IF('ŞİKAYET KAYIT'!P267="Kapatıldı","",IF('ŞİKAYET KAYIT'!A267="","",'ŞİKAYET KAYIT'!A267)),"")</f>
        <v/>
      </c>
      <c r="B267" s="8" t="str">
        <f>IFERROR(IF('ŞİKAYET KAYIT'!P267="Kapatıldı","",IF('ŞİKAYET KAYIT'!B267="","",'ŞİKAYET KAYIT'!B267)),"")</f>
        <v/>
      </c>
      <c r="C267" s="26" t="str">
        <f>IFERROR(IF('ŞİKAYET KAYIT'!P267="Kapatıldı","",IF('ŞİKAYET KAYIT'!D267="","",'ŞİKAYET KAYIT'!D267)),"")</f>
        <v/>
      </c>
      <c r="D267" s="26" t="str">
        <f>IFERROR(IF('ŞİKAYET KAYIT'!P267="Kapatıldı","",IF('ŞİKAYET KAYIT'!F267="","",'ŞİKAYET KAYIT'!F267)),"")</f>
        <v/>
      </c>
      <c r="E267" s="26" t="str">
        <f>IFERROR(IF('ŞİKAYET KAYIT'!P267="Kapatıldı","",IF('ŞİKAYET KAYIT'!H267="","",'ŞİKAYET KAYIT'!H267)),"")</f>
        <v/>
      </c>
      <c r="F267" s="26" t="str">
        <f>IFERROR(IF('ŞİKAYET KAYIT'!P267="Kapatıldı","",IF('ŞİKAYET KAYIT'!I267="","",'ŞİKAYET KAYIT'!I267)),"")</f>
        <v/>
      </c>
      <c r="G267" s="26" t="str">
        <f>IFERROR(IF('ŞİKAYET KAYIT'!P267="Kapatıldı","",IF('ŞİKAYET KAYIT'!J267="","",'ŞİKAYET KAYIT'!J267)),"")</f>
        <v/>
      </c>
      <c r="H267" s="26" t="str">
        <f>IFERROR(IF('ŞİKAYET KAYIT'!P267="Kapatıldı","",IF('ŞİKAYET KAYIT'!K267="","",'ŞİKAYET KAYIT'!K267)),"")</f>
        <v/>
      </c>
      <c r="I267" s="26" t="str">
        <f>IFERROR(IF('ŞİKAYET KAYIT'!P267="Kapatıldı","",IF('ŞİKAYET KAYIT'!L267="","",'ŞİKAYET KAYIT'!L267)),"")</f>
        <v/>
      </c>
      <c r="J267" s="26" t="str">
        <f>IFERROR(IF('ŞİKAYET KAYIT'!P267="Kapatıldı","",IF('ŞİKAYET KAYIT'!M267="","",'ŞİKAYET KAYIT'!M267)),"")</f>
        <v/>
      </c>
      <c r="K267" s="26" t="str">
        <f>IFERROR(IF('ŞİKAYET KAYIT'!P267="Kapatıldı","",IF('ŞİKAYET KAYIT'!N267="","",'ŞİKAYET KAYIT'!N267)),"")</f>
        <v/>
      </c>
      <c r="L267" s="26" t="str">
        <f>IFERROR(IF('ŞİKAYET KAYIT'!P267="Kapatıldı","",IF('ŞİKAYET KAYIT'!O267="","",'ŞİKAYET KAYIT'!O267)),"")</f>
        <v/>
      </c>
      <c r="M267" s="26" t="str">
        <f>IFERROR(IF('ŞİKAYET KAYIT'!P267="Kapatıldı","",IF('ŞİKAYET KAYIT'!P267="","",'ŞİKAYET KAYIT'!P267)),"")</f>
        <v/>
      </c>
    </row>
    <row r="268" spans="1:13" ht="15" customHeight="1" x14ac:dyDescent="0.3">
      <c r="A268" s="3" t="str">
        <f>IFERROR(IF('ŞİKAYET KAYIT'!P268="Kapatıldı","",IF('ŞİKAYET KAYIT'!A268="","",'ŞİKAYET KAYIT'!A268)),"")</f>
        <v/>
      </c>
      <c r="B268" s="5" t="str">
        <f>IFERROR(IF('ŞİKAYET KAYIT'!P268="Kapatıldı","",IF('ŞİKAYET KAYIT'!B268="","",'ŞİKAYET KAYIT'!B268)),"")</f>
        <v/>
      </c>
      <c r="C268" s="3" t="str">
        <f>IFERROR(IF('ŞİKAYET KAYIT'!P268="Kapatıldı","",IF('ŞİKAYET KAYIT'!D268="","",'ŞİKAYET KAYIT'!D268)),"")</f>
        <v/>
      </c>
      <c r="D268" s="3" t="str">
        <f>IFERROR(IF('ŞİKAYET KAYIT'!P268="Kapatıldı","",IF('ŞİKAYET KAYIT'!F268="","",'ŞİKAYET KAYIT'!F268)),"")</f>
        <v/>
      </c>
      <c r="E268" s="3" t="str">
        <f>IFERROR(IF('ŞİKAYET KAYIT'!P268="Kapatıldı","",IF('ŞİKAYET KAYIT'!H268="","",'ŞİKAYET KAYIT'!H268)),"")</f>
        <v/>
      </c>
      <c r="F268" s="3" t="str">
        <f>IFERROR(IF('ŞİKAYET KAYIT'!P268="Kapatıldı","",IF('ŞİKAYET KAYIT'!I268="","",'ŞİKAYET KAYIT'!I268)),"")</f>
        <v/>
      </c>
      <c r="G268" s="3" t="str">
        <f>IFERROR(IF('ŞİKAYET KAYIT'!P268="Kapatıldı","",IF('ŞİKAYET KAYIT'!J268="","",'ŞİKAYET KAYIT'!J268)),"")</f>
        <v/>
      </c>
      <c r="H268" s="3" t="str">
        <f>IFERROR(IF('ŞİKAYET KAYIT'!P268="Kapatıldı","",IF('ŞİKAYET KAYIT'!K268="","",'ŞİKAYET KAYIT'!K268)),"")</f>
        <v/>
      </c>
      <c r="I268" s="3" t="str">
        <f>IFERROR(IF('ŞİKAYET KAYIT'!P268="Kapatıldı","",IF('ŞİKAYET KAYIT'!L268="","",'ŞİKAYET KAYIT'!L268)),"")</f>
        <v/>
      </c>
      <c r="J268" s="3" t="str">
        <f>IFERROR(IF('ŞİKAYET KAYIT'!P268="Kapatıldı","",IF('ŞİKAYET KAYIT'!M268="","",'ŞİKAYET KAYIT'!M268)),"")</f>
        <v/>
      </c>
      <c r="K268" s="3" t="str">
        <f>IFERROR(IF('ŞİKAYET KAYIT'!P268="Kapatıldı","",IF('ŞİKAYET KAYIT'!N268="","",'ŞİKAYET KAYIT'!N268)),"")</f>
        <v/>
      </c>
      <c r="L268" s="3" t="str">
        <f>IFERROR(IF('ŞİKAYET KAYIT'!P268="Kapatıldı","",IF('ŞİKAYET KAYIT'!O268="","",'ŞİKAYET KAYIT'!O268)),"")</f>
        <v/>
      </c>
      <c r="M268" s="3" t="str">
        <f>IFERROR(IF('ŞİKAYET KAYIT'!P268="Kapatıldı","",IF('ŞİKAYET KAYIT'!P268="","",'ŞİKAYET KAYIT'!P268)),"")</f>
        <v/>
      </c>
    </row>
    <row r="269" spans="1:13" ht="15" customHeight="1" x14ac:dyDescent="0.3">
      <c r="A269" s="26" t="str">
        <f>IFERROR(IF('ŞİKAYET KAYIT'!P269="Kapatıldı","",IF('ŞİKAYET KAYIT'!A269="","",'ŞİKAYET KAYIT'!A269)),"")</f>
        <v/>
      </c>
      <c r="B269" s="8" t="str">
        <f>IFERROR(IF('ŞİKAYET KAYIT'!P269="Kapatıldı","",IF('ŞİKAYET KAYIT'!B269="","",'ŞİKAYET KAYIT'!B269)),"")</f>
        <v/>
      </c>
      <c r="C269" s="26" t="str">
        <f>IFERROR(IF('ŞİKAYET KAYIT'!P269="Kapatıldı","",IF('ŞİKAYET KAYIT'!D269="","",'ŞİKAYET KAYIT'!D269)),"")</f>
        <v/>
      </c>
      <c r="D269" s="26" t="str">
        <f>IFERROR(IF('ŞİKAYET KAYIT'!P269="Kapatıldı","",IF('ŞİKAYET KAYIT'!F269="","",'ŞİKAYET KAYIT'!F269)),"")</f>
        <v/>
      </c>
      <c r="E269" s="26" t="str">
        <f>IFERROR(IF('ŞİKAYET KAYIT'!P269="Kapatıldı","",IF('ŞİKAYET KAYIT'!H269="","",'ŞİKAYET KAYIT'!H269)),"")</f>
        <v/>
      </c>
      <c r="F269" s="26" t="str">
        <f>IFERROR(IF('ŞİKAYET KAYIT'!P269="Kapatıldı","",IF('ŞİKAYET KAYIT'!I269="","",'ŞİKAYET KAYIT'!I269)),"")</f>
        <v/>
      </c>
      <c r="G269" s="26" t="str">
        <f>IFERROR(IF('ŞİKAYET KAYIT'!P269="Kapatıldı","",IF('ŞİKAYET KAYIT'!J269="","",'ŞİKAYET KAYIT'!J269)),"")</f>
        <v/>
      </c>
      <c r="H269" s="26" t="str">
        <f>IFERROR(IF('ŞİKAYET KAYIT'!P269="Kapatıldı","",IF('ŞİKAYET KAYIT'!K269="","",'ŞİKAYET KAYIT'!K269)),"")</f>
        <v/>
      </c>
      <c r="I269" s="26" t="str">
        <f>IFERROR(IF('ŞİKAYET KAYIT'!P269="Kapatıldı","",IF('ŞİKAYET KAYIT'!L269="","",'ŞİKAYET KAYIT'!L269)),"")</f>
        <v/>
      </c>
      <c r="J269" s="26" t="str">
        <f>IFERROR(IF('ŞİKAYET KAYIT'!P269="Kapatıldı","",IF('ŞİKAYET KAYIT'!M269="","",'ŞİKAYET KAYIT'!M269)),"")</f>
        <v/>
      </c>
      <c r="K269" s="26" t="str">
        <f>IFERROR(IF('ŞİKAYET KAYIT'!P269="Kapatıldı","",IF('ŞİKAYET KAYIT'!N269="","",'ŞİKAYET KAYIT'!N269)),"")</f>
        <v/>
      </c>
      <c r="L269" s="26" t="str">
        <f>IFERROR(IF('ŞİKAYET KAYIT'!P269="Kapatıldı","",IF('ŞİKAYET KAYIT'!O269="","",'ŞİKAYET KAYIT'!O269)),"")</f>
        <v/>
      </c>
      <c r="M269" s="26" t="str">
        <f>IFERROR(IF('ŞİKAYET KAYIT'!P269="Kapatıldı","",IF('ŞİKAYET KAYIT'!P269="","",'ŞİKAYET KAYIT'!P269)),"")</f>
        <v/>
      </c>
    </row>
    <row r="270" spans="1:13" ht="15" customHeight="1" x14ac:dyDescent="0.3">
      <c r="A270" s="3" t="str">
        <f>IFERROR(IF('ŞİKAYET KAYIT'!P270="Kapatıldı","",IF('ŞİKAYET KAYIT'!A270="","",'ŞİKAYET KAYIT'!A270)),"")</f>
        <v/>
      </c>
      <c r="B270" s="5" t="str">
        <f>IFERROR(IF('ŞİKAYET KAYIT'!P270="Kapatıldı","",IF('ŞİKAYET KAYIT'!B270="","",'ŞİKAYET KAYIT'!B270)),"")</f>
        <v/>
      </c>
      <c r="C270" s="3" t="str">
        <f>IFERROR(IF('ŞİKAYET KAYIT'!P270="Kapatıldı","",IF('ŞİKAYET KAYIT'!D270="","",'ŞİKAYET KAYIT'!D270)),"")</f>
        <v/>
      </c>
      <c r="D270" s="3" t="str">
        <f>IFERROR(IF('ŞİKAYET KAYIT'!P270="Kapatıldı","",IF('ŞİKAYET KAYIT'!F270="","",'ŞİKAYET KAYIT'!F270)),"")</f>
        <v/>
      </c>
      <c r="E270" s="3" t="str">
        <f>IFERROR(IF('ŞİKAYET KAYIT'!P270="Kapatıldı","",IF('ŞİKAYET KAYIT'!H270="","",'ŞİKAYET KAYIT'!H270)),"")</f>
        <v/>
      </c>
      <c r="F270" s="3" t="str">
        <f>IFERROR(IF('ŞİKAYET KAYIT'!P270="Kapatıldı","",IF('ŞİKAYET KAYIT'!I270="","",'ŞİKAYET KAYIT'!I270)),"")</f>
        <v/>
      </c>
      <c r="G270" s="3" t="str">
        <f>IFERROR(IF('ŞİKAYET KAYIT'!P270="Kapatıldı","",IF('ŞİKAYET KAYIT'!J270="","",'ŞİKAYET KAYIT'!J270)),"")</f>
        <v/>
      </c>
      <c r="H270" s="3" t="str">
        <f>IFERROR(IF('ŞİKAYET KAYIT'!P270="Kapatıldı","",IF('ŞİKAYET KAYIT'!K270="","",'ŞİKAYET KAYIT'!K270)),"")</f>
        <v/>
      </c>
      <c r="I270" s="3" t="str">
        <f>IFERROR(IF('ŞİKAYET KAYIT'!P270="Kapatıldı","",IF('ŞİKAYET KAYIT'!L270="","",'ŞİKAYET KAYIT'!L270)),"")</f>
        <v/>
      </c>
      <c r="J270" s="3" t="str">
        <f>IFERROR(IF('ŞİKAYET KAYIT'!P270="Kapatıldı","",IF('ŞİKAYET KAYIT'!M270="","",'ŞİKAYET KAYIT'!M270)),"")</f>
        <v/>
      </c>
      <c r="K270" s="3" t="str">
        <f>IFERROR(IF('ŞİKAYET KAYIT'!P270="Kapatıldı","",IF('ŞİKAYET KAYIT'!N270="","",'ŞİKAYET KAYIT'!N270)),"")</f>
        <v/>
      </c>
      <c r="L270" s="3" t="str">
        <f>IFERROR(IF('ŞİKAYET KAYIT'!P270="Kapatıldı","",IF('ŞİKAYET KAYIT'!O270="","",'ŞİKAYET KAYIT'!O270)),"")</f>
        <v/>
      </c>
      <c r="M270" s="3" t="str">
        <f>IFERROR(IF('ŞİKAYET KAYIT'!P270="Kapatıldı","",IF('ŞİKAYET KAYIT'!P270="","",'ŞİKAYET KAYIT'!P270)),"")</f>
        <v/>
      </c>
    </row>
    <row r="271" spans="1:13" ht="15" customHeight="1" x14ac:dyDescent="0.3">
      <c r="A271" s="26" t="str">
        <f>IFERROR(IF('ŞİKAYET KAYIT'!P271="Kapatıldı","",IF('ŞİKAYET KAYIT'!A271="","",'ŞİKAYET KAYIT'!A271)),"")</f>
        <v/>
      </c>
      <c r="B271" s="8" t="str">
        <f>IFERROR(IF('ŞİKAYET KAYIT'!P271="Kapatıldı","",IF('ŞİKAYET KAYIT'!B271="","",'ŞİKAYET KAYIT'!B271)),"")</f>
        <v/>
      </c>
      <c r="C271" s="26" t="str">
        <f>IFERROR(IF('ŞİKAYET KAYIT'!P271="Kapatıldı","",IF('ŞİKAYET KAYIT'!D271="","",'ŞİKAYET KAYIT'!D271)),"")</f>
        <v/>
      </c>
      <c r="D271" s="26" t="str">
        <f>IFERROR(IF('ŞİKAYET KAYIT'!P271="Kapatıldı","",IF('ŞİKAYET KAYIT'!F271="","",'ŞİKAYET KAYIT'!F271)),"")</f>
        <v/>
      </c>
      <c r="E271" s="26" t="str">
        <f>IFERROR(IF('ŞİKAYET KAYIT'!P271="Kapatıldı","",IF('ŞİKAYET KAYIT'!H271="","",'ŞİKAYET KAYIT'!H271)),"")</f>
        <v/>
      </c>
      <c r="F271" s="26" t="str">
        <f>IFERROR(IF('ŞİKAYET KAYIT'!P271="Kapatıldı","",IF('ŞİKAYET KAYIT'!I271="","",'ŞİKAYET KAYIT'!I271)),"")</f>
        <v/>
      </c>
      <c r="G271" s="26" t="str">
        <f>IFERROR(IF('ŞİKAYET KAYIT'!P271="Kapatıldı","",IF('ŞİKAYET KAYIT'!J271="","",'ŞİKAYET KAYIT'!J271)),"")</f>
        <v/>
      </c>
      <c r="H271" s="26" t="str">
        <f>IFERROR(IF('ŞİKAYET KAYIT'!P271="Kapatıldı","",IF('ŞİKAYET KAYIT'!K271="","",'ŞİKAYET KAYIT'!K271)),"")</f>
        <v/>
      </c>
      <c r="I271" s="26" t="str">
        <f>IFERROR(IF('ŞİKAYET KAYIT'!P271="Kapatıldı","",IF('ŞİKAYET KAYIT'!L271="","",'ŞİKAYET KAYIT'!L271)),"")</f>
        <v/>
      </c>
      <c r="J271" s="26" t="str">
        <f>IFERROR(IF('ŞİKAYET KAYIT'!P271="Kapatıldı","",IF('ŞİKAYET KAYIT'!M271="","",'ŞİKAYET KAYIT'!M271)),"")</f>
        <v/>
      </c>
      <c r="K271" s="26" t="str">
        <f>IFERROR(IF('ŞİKAYET KAYIT'!P271="Kapatıldı","",IF('ŞİKAYET KAYIT'!N271="","",'ŞİKAYET KAYIT'!N271)),"")</f>
        <v/>
      </c>
      <c r="L271" s="26" t="str">
        <f>IFERROR(IF('ŞİKAYET KAYIT'!P271="Kapatıldı","",IF('ŞİKAYET KAYIT'!O271="","",'ŞİKAYET KAYIT'!O271)),"")</f>
        <v/>
      </c>
      <c r="M271" s="26" t="str">
        <f>IFERROR(IF('ŞİKAYET KAYIT'!P271="Kapatıldı","",IF('ŞİKAYET KAYIT'!P271="","",'ŞİKAYET KAYIT'!P271)),"")</f>
        <v/>
      </c>
    </row>
    <row r="272" spans="1:13" ht="15" customHeight="1" x14ac:dyDescent="0.3">
      <c r="A272" s="3" t="str">
        <f>IFERROR(IF('ŞİKAYET KAYIT'!P272="Kapatıldı","",IF('ŞİKAYET KAYIT'!A272="","",'ŞİKAYET KAYIT'!A272)),"")</f>
        <v/>
      </c>
      <c r="B272" s="5" t="str">
        <f>IFERROR(IF('ŞİKAYET KAYIT'!P272="Kapatıldı","",IF('ŞİKAYET KAYIT'!B272="","",'ŞİKAYET KAYIT'!B272)),"")</f>
        <v/>
      </c>
      <c r="C272" s="3" t="str">
        <f>IFERROR(IF('ŞİKAYET KAYIT'!P272="Kapatıldı","",IF('ŞİKAYET KAYIT'!D272="","",'ŞİKAYET KAYIT'!D272)),"")</f>
        <v/>
      </c>
      <c r="D272" s="3" t="str">
        <f>IFERROR(IF('ŞİKAYET KAYIT'!P272="Kapatıldı","",IF('ŞİKAYET KAYIT'!F272="","",'ŞİKAYET KAYIT'!F272)),"")</f>
        <v/>
      </c>
      <c r="E272" s="3" t="str">
        <f>IFERROR(IF('ŞİKAYET KAYIT'!P272="Kapatıldı","",IF('ŞİKAYET KAYIT'!H272="","",'ŞİKAYET KAYIT'!H272)),"")</f>
        <v/>
      </c>
      <c r="F272" s="3" t="str">
        <f>IFERROR(IF('ŞİKAYET KAYIT'!P272="Kapatıldı","",IF('ŞİKAYET KAYIT'!I272="","",'ŞİKAYET KAYIT'!I272)),"")</f>
        <v/>
      </c>
      <c r="G272" s="3" t="str">
        <f>IFERROR(IF('ŞİKAYET KAYIT'!P272="Kapatıldı","",IF('ŞİKAYET KAYIT'!J272="","",'ŞİKAYET KAYIT'!J272)),"")</f>
        <v/>
      </c>
      <c r="H272" s="3" t="str">
        <f>IFERROR(IF('ŞİKAYET KAYIT'!P272="Kapatıldı","",IF('ŞİKAYET KAYIT'!K272="","",'ŞİKAYET KAYIT'!K272)),"")</f>
        <v/>
      </c>
      <c r="I272" s="3" t="str">
        <f>IFERROR(IF('ŞİKAYET KAYIT'!P272="Kapatıldı","",IF('ŞİKAYET KAYIT'!L272="","",'ŞİKAYET KAYIT'!L272)),"")</f>
        <v/>
      </c>
      <c r="J272" s="3" t="str">
        <f>IFERROR(IF('ŞİKAYET KAYIT'!P272="Kapatıldı","",IF('ŞİKAYET KAYIT'!M272="","",'ŞİKAYET KAYIT'!M272)),"")</f>
        <v/>
      </c>
      <c r="K272" s="3" t="str">
        <f>IFERROR(IF('ŞİKAYET KAYIT'!P272="Kapatıldı","",IF('ŞİKAYET KAYIT'!N272="","",'ŞİKAYET KAYIT'!N272)),"")</f>
        <v/>
      </c>
      <c r="L272" s="3" t="str">
        <f>IFERROR(IF('ŞİKAYET KAYIT'!P272="Kapatıldı","",IF('ŞİKAYET KAYIT'!O272="","",'ŞİKAYET KAYIT'!O272)),"")</f>
        <v/>
      </c>
      <c r="M272" s="3" t="str">
        <f>IFERROR(IF('ŞİKAYET KAYIT'!P272="Kapatıldı","",IF('ŞİKAYET KAYIT'!P272="","",'ŞİKAYET KAYIT'!P272)),"")</f>
        <v/>
      </c>
    </row>
    <row r="273" spans="1:13" ht="15" customHeight="1" x14ac:dyDescent="0.3">
      <c r="A273" s="26" t="str">
        <f>IFERROR(IF('ŞİKAYET KAYIT'!P273="Kapatıldı","",IF('ŞİKAYET KAYIT'!A273="","",'ŞİKAYET KAYIT'!A273)),"")</f>
        <v/>
      </c>
      <c r="B273" s="8" t="str">
        <f>IFERROR(IF('ŞİKAYET KAYIT'!P273="Kapatıldı","",IF('ŞİKAYET KAYIT'!B273="","",'ŞİKAYET KAYIT'!B273)),"")</f>
        <v/>
      </c>
      <c r="C273" s="26" t="str">
        <f>IFERROR(IF('ŞİKAYET KAYIT'!P273="Kapatıldı","",IF('ŞİKAYET KAYIT'!D273="","",'ŞİKAYET KAYIT'!D273)),"")</f>
        <v/>
      </c>
      <c r="D273" s="26" t="str">
        <f>IFERROR(IF('ŞİKAYET KAYIT'!P273="Kapatıldı","",IF('ŞİKAYET KAYIT'!F273="","",'ŞİKAYET KAYIT'!F273)),"")</f>
        <v/>
      </c>
      <c r="E273" s="26" t="str">
        <f>IFERROR(IF('ŞİKAYET KAYIT'!P273="Kapatıldı","",IF('ŞİKAYET KAYIT'!H273="","",'ŞİKAYET KAYIT'!H273)),"")</f>
        <v/>
      </c>
      <c r="F273" s="26" t="str">
        <f>IFERROR(IF('ŞİKAYET KAYIT'!P273="Kapatıldı","",IF('ŞİKAYET KAYIT'!I273="","",'ŞİKAYET KAYIT'!I273)),"")</f>
        <v/>
      </c>
      <c r="G273" s="26" t="str">
        <f>IFERROR(IF('ŞİKAYET KAYIT'!P273="Kapatıldı","",IF('ŞİKAYET KAYIT'!J273="","",'ŞİKAYET KAYIT'!J273)),"")</f>
        <v/>
      </c>
      <c r="H273" s="26" t="str">
        <f>IFERROR(IF('ŞİKAYET KAYIT'!P273="Kapatıldı","",IF('ŞİKAYET KAYIT'!K273="","",'ŞİKAYET KAYIT'!K273)),"")</f>
        <v/>
      </c>
      <c r="I273" s="26" t="str">
        <f>IFERROR(IF('ŞİKAYET KAYIT'!P273="Kapatıldı","",IF('ŞİKAYET KAYIT'!L273="","",'ŞİKAYET KAYIT'!L273)),"")</f>
        <v/>
      </c>
      <c r="J273" s="26" t="str">
        <f>IFERROR(IF('ŞİKAYET KAYIT'!P273="Kapatıldı","",IF('ŞİKAYET KAYIT'!M273="","",'ŞİKAYET KAYIT'!M273)),"")</f>
        <v/>
      </c>
      <c r="K273" s="26" t="str">
        <f>IFERROR(IF('ŞİKAYET KAYIT'!P273="Kapatıldı","",IF('ŞİKAYET KAYIT'!N273="","",'ŞİKAYET KAYIT'!N273)),"")</f>
        <v/>
      </c>
      <c r="L273" s="26" t="str">
        <f>IFERROR(IF('ŞİKAYET KAYIT'!P273="Kapatıldı","",IF('ŞİKAYET KAYIT'!O273="","",'ŞİKAYET KAYIT'!O273)),"")</f>
        <v/>
      </c>
      <c r="M273" s="26" t="str">
        <f>IFERROR(IF('ŞİKAYET KAYIT'!P273="Kapatıldı","",IF('ŞİKAYET KAYIT'!P273="","",'ŞİKAYET KAYIT'!P273)),"")</f>
        <v/>
      </c>
    </row>
    <row r="274" spans="1:13" ht="15" customHeight="1" x14ac:dyDescent="0.3">
      <c r="A274" s="3" t="str">
        <f>IFERROR(IF('ŞİKAYET KAYIT'!P274="Kapatıldı","",IF('ŞİKAYET KAYIT'!A274="","",'ŞİKAYET KAYIT'!A274)),"")</f>
        <v/>
      </c>
      <c r="B274" s="5" t="str">
        <f>IFERROR(IF('ŞİKAYET KAYIT'!P274="Kapatıldı","",IF('ŞİKAYET KAYIT'!B274="","",'ŞİKAYET KAYIT'!B274)),"")</f>
        <v/>
      </c>
      <c r="C274" s="3" t="str">
        <f>IFERROR(IF('ŞİKAYET KAYIT'!P274="Kapatıldı","",IF('ŞİKAYET KAYIT'!D274="","",'ŞİKAYET KAYIT'!D274)),"")</f>
        <v/>
      </c>
      <c r="D274" s="3" t="str">
        <f>IFERROR(IF('ŞİKAYET KAYIT'!P274="Kapatıldı","",IF('ŞİKAYET KAYIT'!F274="","",'ŞİKAYET KAYIT'!F274)),"")</f>
        <v/>
      </c>
      <c r="E274" s="3" t="str">
        <f>IFERROR(IF('ŞİKAYET KAYIT'!P274="Kapatıldı","",IF('ŞİKAYET KAYIT'!H274="","",'ŞİKAYET KAYIT'!H274)),"")</f>
        <v/>
      </c>
      <c r="F274" s="3" t="str">
        <f>IFERROR(IF('ŞİKAYET KAYIT'!P274="Kapatıldı","",IF('ŞİKAYET KAYIT'!I274="","",'ŞİKAYET KAYIT'!I274)),"")</f>
        <v/>
      </c>
      <c r="G274" s="3" t="str">
        <f>IFERROR(IF('ŞİKAYET KAYIT'!P274="Kapatıldı","",IF('ŞİKAYET KAYIT'!J274="","",'ŞİKAYET KAYIT'!J274)),"")</f>
        <v/>
      </c>
      <c r="H274" s="3" t="str">
        <f>IFERROR(IF('ŞİKAYET KAYIT'!P274="Kapatıldı","",IF('ŞİKAYET KAYIT'!K274="","",'ŞİKAYET KAYIT'!K274)),"")</f>
        <v/>
      </c>
      <c r="I274" s="3" t="str">
        <f>IFERROR(IF('ŞİKAYET KAYIT'!P274="Kapatıldı","",IF('ŞİKAYET KAYIT'!L274="","",'ŞİKAYET KAYIT'!L274)),"")</f>
        <v/>
      </c>
      <c r="J274" s="3" t="str">
        <f>IFERROR(IF('ŞİKAYET KAYIT'!P274="Kapatıldı","",IF('ŞİKAYET KAYIT'!M274="","",'ŞİKAYET KAYIT'!M274)),"")</f>
        <v/>
      </c>
      <c r="K274" s="3" t="str">
        <f>IFERROR(IF('ŞİKAYET KAYIT'!P274="Kapatıldı","",IF('ŞİKAYET KAYIT'!N274="","",'ŞİKAYET KAYIT'!N274)),"")</f>
        <v/>
      </c>
      <c r="L274" s="3" t="str">
        <f>IFERROR(IF('ŞİKAYET KAYIT'!P274="Kapatıldı","",IF('ŞİKAYET KAYIT'!O274="","",'ŞİKAYET KAYIT'!O274)),"")</f>
        <v/>
      </c>
      <c r="M274" s="3" t="str">
        <f>IFERROR(IF('ŞİKAYET KAYIT'!P274="Kapatıldı","",IF('ŞİKAYET KAYIT'!P274="","",'ŞİKAYET KAYIT'!P274)),"")</f>
        <v/>
      </c>
    </row>
    <row r="275" spans="1:13" ht="15" customHeight="1" x14ac:dyDescent="0.3">
      <c r="A275" s="26" t="str">
        <f>IFERROR(IF('ŞİKAYET KAYIT'!P275="Kapatıldı","",IF('ŞİKAYET KAYIT'!A275="","",'ŞİKAYET KAYIT'!A275)),"")</f>
        <v/>
      </c>
      <c r="B275" s="8" t="str">
        <f>IFERROR(IF('ŞİKAYET KAYIT'!P275="Kapatıldı","",IF('ŞİKAYET KAYIT'!B275="","",'ŞİKAYET KAYIT'!B275)),"")</f>
        <v/>
      </c>
      <c r="C275" s="26" t="str">
        <f>IFERROR(IF('ŞİKAYET KAYIT'!P275="Kapatıldı","",IF('ŞİKAYET KAYIT'!D275="","",'ŞİKAYET KAYIT'!D275)),"")</f>
        <v/>
      </c>
      <c r="D275" s="26" t="str">
        <f>IFERROR(IF('ŞİKAYET KAYIT'!P275="Kapatıldı","",IF('ŞİKAYET KAYIT'!F275="","",'ŞİKAYET KAYIT'!F275)),"")</f>
        <v/>
      </c>
      <c r="E275" s="26" t="str">
        <f>IFERROR(IF('ŞİKAYET KAYIT'!P275="Kapatıldı","",IF('ŞİKAYET KAYIT'!H275="","",'ŞİKAYET KAYIT'!H275)),"")</f>
        <v/>
      </c>
      <c r="F275" s="26" t="str">
        <f>IFERROR(IF('ŞİKAYET KAYIT'!P275="Kapatıldı","",IF('ŞİKAYET KAYIT'!I275="","",'ŞİKAYET KAYIT'!I275)),"")</f>
        <v/>
      </c>
      <c r="G275" s="26" t="str">
        <f>IFERROR(IF('ŞİKAYET KAYIT'!P275="Kapatıldı","",IF('ŞİKAYET KAYIT'!J275="","",'ŞİKAYET KAYIT'!J275)),"")</f>
        <v/>
      </c>
      <c r="H275" s="26" t="str">
        <f>IFERROR(IF('ŞİKAYET KAYIT'!P275="Kapatıldı","",IF('ŞİKAYET KAYIT'!K275="","",'ŞİKAYET KAYIT'!K275)),"")</f>
        <v/>
      </c>
      <c r="I275" s="26" t="str">
        <f>IFERROR(IF('ŞİKAYET KAYIT'!P275="Kapatıldı","",IF('ŞİKAYET KAYIT'!L275="","",'ŞİKAYET KAYIT'!L275)),"")</f>
        <v/>
      </c>
      <c r="J275" s="26" t="str">
        <f>IFERROR(IF('ŞİKAYET KAYIT'!P275="Kapatıldı","",IF('ŞİKAYET KAYIT'!M275="","",'ŞİKAYET KAYIT'!M275)),"")</f>
        <v/>
      </c>
      <c r="K275" s="26" t="str">
        <f>IFERROR(IF('ŞİKAYET KAYIT'!P275="Kapatıldı","",IF('ŞİKAYET KAYIT'!N275="","",'ŞİKAYET KAYIT'!N275)),"")</f>
        <v/>
      </c>
      <c r="L275" s="26" t="str">
        <f>IFERROR(IF('ŞİKAYET KAYIT'!P275="Kapatıldı","",IF('ŞİKAYET KAYIT'!O275="","",'ŞİKAYET KAYIT'!O275)),"")</f>
        <v/>
      </c>
      <c r="M275" s="26" t="str">
        <f>IFERROR(IF('ŞİKAYET KAYIT'!P275="Kapatıldı","",IF('ŞİKAYET KAYIT'!P275="","",'ŞİKAYET KAYIT'!P275)),"")</f>
        <v/>
      </c>
    </row>
    <row r="276" spans="1:13" ht="15" customHeight="1" x14ac:dyDescent="0.3">
      <c r="A276" s="3" t="str">
        <f>IFERROR(IF('ŞİKAYET KAYIT'!P276="Kapatıldı","",IF('ŞİKAYET KAYIT'!A276="","",'ŞİKAYET KAYIT'!A276)),"")</f>
        <v/>
      </c>
      <c r="B276" s="5" t="str">
        <f>IFERROR(IF('ŞİKAYET KAYIT'!P276="Kapatıldı","",IF('ŞİKAYET KAYIT'!B276="","",'ŞİKAYET KAYIT'!B276)),"")</f>
        <v/>
      </c>
      <c r="C276" s="3" t="str">
        <f>IFERROR(IF('ŞİKAYET KAYIT'!P276="Kapatıldı","",IF('ŞİKAYET KAYIT'!D276="","",'ŞİKAYET KAYIT'!D276)),"")</f>
        <v/>
      </c>
      <c r="D276" s="3" t="str">
        <f>IFERROR(IF('ŞİKAYET KAYIT'!P276="Kapatıldı","",IF('ŞİKAYET KAYIT'!F276="","",'ŞİKAYET KAYIT'!F276)),"")</f>
        <v/>
      </c>
      <c r="E276" s="3" t="str">
        <f>IFERROR(IF('ŞİKAYET KAYIT'!P276="Kapatıldı","",IF('ŞİKAYET KAYIT'!H276="","",'ŞİKAYET KAYIT'!H276)),"")</f>
        <v/>
      </c>
      <c r="F276" s="3" t="str">
        <f>IFERROR(IF('ŞİKAYET KAYIT'!P276="Kapatıldı","",IF('ŞİKAYET KAYIT'!I276="","",'ŞİKAYET KAYIT'!I276)),"")</f>
        <v/>
      </c>
      <c r="G276" s="3" t="str">
        <f>IFERROR(IF('ŞİKAYET KAYIT'!P276="Kapatıldı","",IF('ŞİKAYET KAYIT'!J276="","",'ŞİKAYET KAYIT'!J276)),"")</f>
        <v/>
      </c>
      <c r="H276" s="3" t="str">
        <f>IFERROR(IF('ŞİKAYET KAYIT'!P276="Kapatıldı","",IF('ŞİKAYET KAYIT'!K276="","",'ŞİKAYET KAYIT'!K276)),"")</f>
        <v/>
      </c>
      <c r="I276" s="3" t="str">
        <f>IFERROR(IF('ŞİKAYET KAYIT'!P276="Kapatıldı","",IF('ŞİKAYET KAYIT'!L276="","",'ŞİKAYET KAYIT'!L276)),"")</f>
        <v/>
      </c>
      <c r="J276" s="3" t="str">
        <f>IFERROR(IF('ŞİKAYET KAYIT'!P276="Kapatıldı","",IF('ŞİKAYET KAYIT'!M276="","",'ŞİKAYET KAYIT'!M276)),"")</f>
        <v/>
      </c>
      <c r="K276" s="3" t="str">
        <f>IFERROR(IF('ŞİKAYET KAYIT'!P276="Kapatıldı","",IF('ŞİKAYET KAYIT'!N276="","",'ŞİKAYET KAYIT'!N276)),"")</f>
        <v/>
      </c>
      <c r="L276" s="3" t="str">
        <f>IFERROR(IF('ŞİKAYET KAYIT'!P276="Kapatıldı","",IF('ŞİKAYET KAYIT'!O276="","",'ŞİKAYET KAYIT'!O276)),"")</f>
        <v/>
      </c>
      <c r="M276" s="3" t="str">
        <f>IFERROR(IF('ŞİKAYET KAYIT'!P276="Kapatıldı","",IF('ŞİKAYET KAYIT'!P276="","",'ŞİKAYET KAYIT'!P276)),"")</f>
        <v/>
      </c>
    </row>
    <row r="277" spans="1:13" ht="15" customHeight="1" x14ac:dyDescent="0.3">
      <c r="A277" s="26" t="str">
        <f>IFERROR(IF('ŞİKAYET KAYIT'!P277="Kapatıldı","",IF('ŞİKAYET KAYIT'!A277="","",'ŞİKAYET KAYIT'!A277)),"")</f>
        <v/>
      </c>
      <c r="B277" s="8" t="str">
        <f>IFERROR(IF('ŞİKAYET KAYIT'!P277="Kapatıldı","",IF('ŞİKAYET KAYIT'!B277="","",'ŞİKAYET KAYIT'!B277)),"")</f>
        <v/>
      </c>
      <c r="C277" s="26" t="str">
        <f>IFERROR(IF('ŞİKAYET KAYIT'!P277="Kapatıldı","",IF('ŞİKAYET KAYIT'!D277="","",'ŞİKAYET KAYIT'!D277)),"")</f>
        <v/>
      </c>
      <c r="D277" s="26" t="str">
        <f>IFERROR(IF('ŞİKAYET KAYIT'!P277="Kapatıldı","",IF('ŞİKAYET KAYIT'!F277="","",'ŞİKAYET KAYIT'!F277)),"")</f>
        <v/>
      </c>
      <c r="E277" s="26" t="str">
        <f>IFERROR(IF('ŞİKAYET KAYIT'!P277="Kapatıldı","",IF('ŞİKAYET KAYIT'!H277="","",'ŞİKAYET KAYIT'!H277)),"")</f>
        <v/>
      </c>
      <c r="F277" s="26" t="str">
        <f>IFERROR(IF('ŞİKAYET KAYIT'!P277="Kapatıldı","",IF('ŞİKAYET KAYIT'!I277="","",'ŞİKAYET KAYIT'!I277)),"")</f>
        <v/>
      </c>
      <c r="G277" s="26" t="str">
        <f>IFERROR(IF('ŞİKAYET KAYIT'!P277="Kapatıldı","",IF('ŞİKAYET KAYIT'!J277="","",'ŞİKAYET KAYIT'!J277)),"")</f>
        <v/>
      </c>
      <c r="H277" s="26" t="str">
        <f>IFERROR(IF('ŞİKAYET KAYIT'!P277="Kapatıldı","",IF('ŞİKAYET KAYIT'!K277="","",'ŞİKAYET KAYIT'!K277)),"")</f>
        <v/>
      </c>
      <c r="I277" s="26" t="str">
        <f>IFERROR(IF('ŞİKAYET KAYIT'!P277="Kapatıldı","",IF('ŞİKAYET KAYIT'!L277="","",'ŞİKAYET KAYIT'!L277)),"")</f>
        <v/>
      </c>
      <c r="J277" s="26" t="str">
        <f>IFERROR(IF('ŞİKAYET KAYIT'!P277="Kapatıldı","",IF('ŞİKAYET KAYIT'!M277="","",'ŞİKAYET KAYIT'!M277)),"")</f>
        <v/>
      </c>
      <c r="K277" s="26" t="str">
        <f>IFERROR(IF('ŞİKAYET KAYIT'!P277="Kapatıldı","",IF('ŞİKAYET KAYIT'!N277="","",'ŞİKAYET KAYIT'!N277)),"")</f>
        <v/>
      </c>
      <c r="L277" s="26" t="str">
        <f>IFERROR(IF('ŞİKAYET KAYIT'!P277="Kapatıldı","",IF('ŞİKAYET KAYIT'!O277="","",'ŞİKAYET KAYIT'!O277)),"")</f>
        <v/>
      </c>
      <c r="M277" s="26" t="str">
        <f>IFERROR(IF('ŞİKAYET KAYIT'!P277="Kapatıldı","",IF('ŞİKAYET KAYIT'!P277="","",'ŞİKAYET KAYIT'!P277)),"")</f>
        <v/>
      </c>
    </row>
    <row r="278" spans="1:13" ht="15" customHeight="1" x14ac:dyDescent="0.3">
      <c r="A278" s="3" t="str">
        <f>IFERROR(IF('ŞİKAYET KAYIT'!P278="Kapatıldı","",IF('ŞİKAYET KAYIT'!A278="","",'ŞİKAYET KAYIT'!A278)),"")</f>
        <v/>
      </c>
      <c r="B278" s="5" t="str">
        <f>IFERROR(IF('ŞİKAYET KAYIT'!P278="Kapatıldı","",IF('ŞİKAYET KAYIT'!B278="","",'ŞİKAYET KAYIT'!B278)),"")</f>
        <v/>
      </c>
      <c r="C278" s="3" t="str">
        <f>IFERROR(IF('ŞİKAYET KAYIT'!P278="Kapatıldı","",IF('ŞİKAYET KAYIT'!D278="","",'ŞİKAYET KAYIT'!D278)),"")</f>
        <v/>
      </c>
      <c r="D278" s="3" t="str">
        <f>IFERROR(IF('ŞİKAYET KAYIT'!P278="Kapatıldı","",IF('ŞİKAYET KAYIT'!F278="","",'ŞİKAYET KAYIT'!F278)),"")</f>
        <v/>
      </c>
      <c r="E278" s="3" t="str">
        <f>IFERROR(IF('ŞİKAYET KAYIT'!P278="Kapatıldı","",IF('ŞİKAYET KAYIT'!H278="","",'ŞİKAYET KAYIT'!H278)),"")</f>
        <v/>
      </c>
      <c r="F278" s="3" t="str">
        <f>IFERROR(IF('ŞİKAYET KAYIT'!P278="Kapatıldı","",IF('ŞİKAYET KAYIT'!I278="","",'ŞİKAYET KAYIT'!I278)),"")</f>
        <v/>
      </c>
      <c r="G278" s="3" t="str">
        <f>IFERROR(IF('ŞİKAYET KAYIT'!P278="Kapatıldı","",IF('ŞİKAYET KAYIT'!J278="","",'ŞİKAYET KAYIT'!J278)),"")</f>
        <v/>
      </c>
      <c r="H278" s="3" t="str">
        <f>IFERROR(IF('ŞİKAYET KAYIT'!P278="Kapatıldı","",IF('ŞİKAYET KAYIT'!K278="","",'ŞİKAYET KAYIT'!K278)),"")</f>
        <v/>
      </c>
      <c r="I278" s="3" t="str">
        <f>IFERROR(IF('ŞİKAYET KAYIT'!P278="Kapatıldı","",IF('ŞİKAYET KAYIT'!L278="","",'ŞİKAYET KAYIT'!L278)),"")</f>
        <v/>
      </c>
      <c r="J278" s="3" t="str">
        <f>IFERROR(IF('ŞİKAYET KAYIT'!P278="Kapatıldı","",IF('ŞİKAYET KAYIT'!M278="","",'ŞİKAYET KAYIT'!M278)),"")</f>
        <v/>
      </c>
      <c r="K278" s="3" t="str">
        <f>IFERROR(IF('ŞİKAYET KAYIT'!P278="Kapatıldı","",IF('ŞİKAYET KAYIT'!N278="","",'ŞİKAYET KAYIT'!N278)),"")</f>
        <v/>
      </c>
      <c r="L278" s="3" t="str">
        <f>IFERROR(IF('ŞİKAYET KAYIT'!P278="Kapatıldı","",IF('ŞİKAYET KAYIT'!O278="","",'ŞİKAYET KAYIT'!O278)),"")</f>
        <v/>
      </c>
      <c r="M278" s="3" t="str">
        <f>IFERROR(IF('ŞİKAYET KAYIT'!P278="Kapatıldı","",IF('ŞİKAYET KAYIT'!P278="","",'ŞİKAYET KAYIT'!P278)),"")</f>
        <v/>
      </c>
    </row>
    <row r="279" spans="1:13" ht="15" customHeight="1" x14ac:dyDescent="0.3">
      <c r="A279" s="26" t="str">
        <f>IFERROR(IF('ŞİKAYET KAYIT'!P279="Kapatıldı","",IF('ŞİKAYET KAYIT'!A279="","",'ŞİKAYET KAYIT'!A279)),"")</f>
        <v/>
      </c>
      <c r="B279" s="8" t="str">
        <f>IFERROR(IF('ŞİKAYET KAYIT'!P279="Kapatıldı","",IF('ŞİKAYET KAYIT'!B279="","",'ŞİKAYET KAYIT'!B279)),"")</f>
        <v/>
      </c>
      <c r="C279" s="26" t="str">
        <f>IFERROR(IF('ŞİKAYET KAYIT'!P279="Kapatıldı","",IF('ŞİKAYET KAYIT'!D279="","",'ŞİKAYET KAYIT'!D279)),"")</f>
        <v/>
      </c>
      <c r="D279" s="26" t="str">
        <f>IFERROR(IF('ŞİKAYET KAYIT'!P279="Kapatıldı","",IF('ŞİKAYET KAYIT'!F279="","",'ŞİKAYET KAYIT'!F279)),"")</f>
        <v/>
      </c>
      <c r="E279" s="26" t="str">
        <f>IFERROR(IF('ŞİKAYET KAYIT'!P279="Kapatıldı","",IF('ŞİKAYET KAYIT'!H279="","",'ŞİKAYET KAYIT'!H279)),"")</f>
        <v/>
      </c>
      <c r="F279" s="26" t="str">
        <f>IFERROR(IF('ŞİKAYET KAYIT'!P279="Kapatıldı","",IF('ŞİKAYET KAYIT'!I279="","",'ŞİKAYET KAYIT'!I279)),"")</f>
        <v/>
      </c>
      <c r="G279" s="26" t="str">
        <f>IFERROR(IF('ŞİKAYET KAYIT'!P279="Kapatıldı","",IF('ŞİKAYET KAYIT'!J279="","",'ŞİKAYET KAYIT'!J279)),"")</f>
        <v/>
      </c>
      <c r="H279" s="26" t="str">
        <f>IFERROR(IF('ŞİKAYET KAYIT'!P279="Kapatıldı","",IF('ŞİKAYET KAYIT'!K279="","",'ŞİKAYET KAYIT'!K279)),"")</f>
        <v/>
      </c>
      <c r="I279" s="26" t="str">
        <f>IFERROR(IF('ŞİKAYET KAYIT'!P279="Kapatıldı","",IF('ŞİKAYET KAYIT'!L279="","",'ŞİKAYET KAYIT'!L279)),"")</f>
        <v/>
      </c>
      <c r="J279" s="26" t="str">
        <f>IFERROR(IF('ŞİKAYET KAYIT'!P279="Kapatıldı","",IF('ŞİKAYET KAYIT'!M279="","",'ŞİKAYET KAYIT'!M279)),"")</f>
        <v/>
      </c>
      <c r="K279" s="26" t="str">
        <f>IFERROR(IF('ŞİKAYET KAYIT'!P279="Kapatıldı","",IF('ŞİKAYET KAYIT'!N279="","",'ŞİKAYET KAYIT'!N279)),"")</f>
        <v/>
      </c>
      <c r="L279" s="26" t="str">
        <f>IFERROR(IF('ŞİKAYET KAYIT'!P279="Kapatıldı","",IF('ŞİKAYET KAYIT'!O279="","",'ŞİKAYET KAYIT'!O279)),"")</f>
        <v/>
      </c>
      <c r="M279" s="26" t="str">
        <f>IFERROR(IF('ŞİKAYET KAYIT'!P279="Kapatıldı","",IF('ŞİKAYET KAYIT'!P279="","",'ŞİKAYET KAYIT'!P279)),"")</f>
        <v/>
      </c>
    </row>
    <row r="280" spans="1:13" ht="15" customHeight="1" x14ac:dyDescent="0.3">
      <c r="A280" s="3" t="str">
        <f>IFERROR(IF('ŞİKAYET KAYIT'!P280="Kapatıldı","",IF('ŞİKAYET KAYIT'!A280="","",'ŞİKAYET KAYIT'!A280)),"")</f>
        <v/>
      </c>
      <c r="B280" s="5" t="str">
        <f>IFERROR(IF('ŞİKAYET KAYIT'!P280="Kapatıldı","",IF('ŞİKAYET KAYIT'!B280="","",'ŞİKAYET KAYIT'!B280)),"")</f>
        <v/>
      </c>
      <c r="C280" s="3" t="str">
        <f>IFERROR(IF('ŞİKAYET KAYIT'!P280="Kapatıldı","",IF('ŞİKAYET KAYIT'!D280="","",'ŞİKAYET KAYIT'!D280)),"")</f>
        <v/>
      </c>
      <c r="D280" s="3" t="str">
        <f>IFERROR(IF('ŞİKAYET KAYIT'!P280="Kapatıldı","",IF('ŞİKAYET KAYIT'!F280="","",'ŞİKAYET KAYIT'!F280)),"")</f>
        <v/>
      </c>
      <c r="E280" s="3" t="str">
        <f>IFERROR(IF('ŞİKAYET KAYIT'!P280="Kapatıldı","",IF('ŞİKAYET KAYIT'!H280="","",'ŞİKAYET KAYIT'!H280)),"")</f>
        <v/>
      </c>
      <c r="F280" s="3" t="str">
        <f>IFERROR(IF('ŞİKAYET KAYIT'!P280="Kapatıldı","",IF('ŞİKAYET KAYIT'!I280="","",'ŞİKAYET KAYIT'!I280)),"")</f>
        <v/>
      </c>
      <c r="G280" s="3" t="str">
        <f>IFERROR(IF('ŞİKAYET KAYIT'!P280="Kapatıldı","",IF('ŞİKAYET KAYIT'!J280="","",'ŞİKAYET KAYIT'!J280)),"")</f>
        <v/>
      </c>
      <c r="H280" s="3" t="str">
        <f>IFERROR(IF('ŞİKAYET KAYIT'!P280="Kapatıldı","",IF('ŞİKAYET KAYIT'!K280="","",'ŞİKAYET KAYIT'!K280)),"")</f>
        <v/>
      </c>
      <c r="I280" s="3" t="str">
        <f>IFERROR(IF('ŞİKAYET KAYIT'!P280="Kapatıldı","",IF('ŞİKAYET KAYIT'!L280="","",'ŞİKAYET KAYIT'!L280)),"")</f>
        <v/>
      </c>
      <c r="J280" s="3" t="str">
        <f>IFERROR(IF('ŞİKAYET KAYIT'!P280="Kapatıldı","",IF('ŞİKAYET KAYIT'!M280="","",'ŞİKAYET KAYIT'!M280)),"")</f>
        <v/>
      </c>
      <c r="K280" s="3" t="str">
        <f>IFERROR(IF('ŞİKAYET KAYIT'!P280="Kapatıldı","",IF('ŞİKAYET KAYIT'!N280="","",'ŞİKAYET KAYIT'!N280)),"")</f>
        <v/>
      </c>
      <c r="L280" s="3" t="str">
        <f>IFERROR(IF('ŞİKAYET KAYIT'!P280="Kapatıldı","",IF('ŞİKAYET KAYIT'!O280="","",'ŞİKAYET KAYIT'!O280)),"")</f>
        <v/>
      </c>
      <c r="M280" s="3" t="str">
        <f>IFERROR(IF('ŞİKAYET KAYIT'!P280="Kapatıldı","",IF('ŞİKAYET KAYIT'!P280="","",'ŞİKAYET KAYIT'!P280)),"")</f>
        <v/>
      </c>
    </row>
    <row r="281" spans="1:13" ht="15" customHeight="1" x14ac:dyDescent="0.3">
      <c r="A281" s="26" t="str">
        <f>IFERROR(IF('ŞİKAYET KAYIT'!P281="Kapatıldı","",IF('ŞİKAYET KAYIT'!A281="","",'ŞİKAYET KAYIT'!A281)),"")</f>
        <v/>
      </c>
      <c r="B281" s="8" t="str">
        <f>IFERROR(IF('ŞİKAYET KAYIT'!P281="Kapatıldı","",IF('ŞİKAYET KAYIT'!B281="","",'ŞİKAYET KAYIT'!B281)),"")</f>
        <v/>
      </c>
      <c r="C281" s="26" t="str">
        <f>IFERROR(IF('ŞİKAYET KAYIT'!P281="Kapatıldı","",IF('ŞİKAYET KAYIT'!D281="","",'ŞİKAYET KAYIT'!D281)),"")</f>
        <v/>
      </c>
      <c r="D281" s="26" t="str">
        <f>IFERROR(IF('ŞİKAYET KAYIT'!P281="Kapatıldı","",IF('ŞİKAYET KAYIT'!F281="","",'ŞİKAYET KAYIT'!F281)),"")</f>
        <v/>
      </c>
      <c r="E281" s="26" t="str">
        <f>IFERROR(IF('ŞİKAYET KAYIT'!P281="Kapatıldı","",IF('ŞİKAYET KAYIT'!H281="","",'ŞİKAYET KAYIT'!H281)),"")</f>
        <v/>
      </c>
      <c r="F281" s="26" t="str">
        <f>IFERROR(IF('ŞİKAYET KAYIT'!P281="Kapatıldı","",IF('ŞİKAYET KAYIT'!I281="","",'ŞİKAYET KAYIT'!I281)),"")</f>
        <v/>
      </c>
      <c r="G281" s="26" t="str">
        <f>IFERROR(IF('ŞİKAYET KAYIT'!P281="Kapatıldı","",IF('ŞİKAYET KAYIT'!J281="","",'ŞİKAYET KAYIT'!J281)),"")</f>
        <v/>
      </c>
      <c r="H281" s="26" t="str">
        <f>IFERROR(IF('ŞİKAYET KAYIT'!P281="Kapatıldı","",IF('ŞİKAYET KAYIT'!K281="","",'ŞİKAYET KAYIT'!K281)),"")</f>
        <v/>
      </c>
      <c r="I281" s="26" t="str">
        <f>IFERROR(IF('ŞİKAYET KAYIT'!P281="Kapatıldı","",IF('ŞİKAYET KAYIT'!L281="","",'ŞİKAYET KAYIT'!L281)),"")</f>
        <v/>
      </c>
      <c r="J281" s="26" t="str">
        <f>IFERROR(IF('ŞİKAYET KAYIT'!P281="Kapatıldı","",IF('ŞİKAYET KAYIT'!M281="","",'ŞİKAYET KAYIT'!M281)),"")</f>
        <v/>
      </c>
      <c r="K281" s="26" t="str">
        <f>IFERROR(IF('ŞİKAYET KAYIT'!P281="Kapatıldı","",IF('ŞİKAYET KAYIT'!N281="","",'ŞİKAYET KAYIT'!N281)),"")</f>
        <v/>
      </c>
      <c r="L281" s="26" t="str">
        <f>IFERROR(IF('ŞİKAYET KAYIT'!P281="Kapatıldı","",IF('ŞİKAYET KAYIT'!O281="","",'ŞİKAYET KAYIT'!O281)),"")</f>
        <v/>
      </c>
      <c r="M281" s="26" t="str">
        <f>IFERROR(IF('ŞİKAYET KAYIT'!P281="Kapatıldı","",IF('ŞİKAYET KAYIT'!P281="","",'ŞİKAYET KAYIT'!P281)),"")</f>
        <v/>
      </c>
    </row>
    <row r="282" spans="1:13" ht="15" customHeight="1" x14ac:dyDescent="0.3">
      <c r="A282" s="3" t="str">
        <f>IFERROR(IF('ŞİKAYET KAYIT'!P282="Kapatıldı","",IF('ŞİKAYET KAYIT'!A282="","",'ŞİKAYET KAYIT'!A282)),"")</f>
        <v/>
      </c>
      <c r="B282" s="5" t="str">
        <f>IFERROR(IF('ŞİKAYET KAYIT'!P282="Kapatıldı","",IF('ŞİKAYET KAYIT'!B282="","",'ŞİKAYET KAYIT'!B282)),"")</f>
        <v/>
      </c>
      <c r="C282" s="3" t="str">
        <f>IFERROR(IF('ŞİKAYET KAYIT'!P282="Kapatıldı","",IF('ŞİKAYET KAYIT'!D282="","",'ŞİKAYET KAYIT'!D282)),"")</f>
        <v/>
      </c>
      <c r="D282" s="3" t="str">
        <f>IFERROR(IF('ŞİKAYET KAYIT'!P282="Kapatıldı","",IF('ŞİKAYET KAYIT'!F282="","",'ŞİKAYET KAYIT'!F282)),"")</f>
        <v/>
      </c>
      <c r="E282" s="3" t="str">
        <f>IFERROR(IF('ŞİKAYET KAYIT'!P282="Kapatıldı","",IF('ŞİKAYET KAYIT'!H282="","",'ŞİKAYET KAYIT'!H282)),"")</f>
        <v/>
      </c>
      <c r="F282" s="3" t="str">
        <f>IFERROR(IF('ŞİKAYET KAYIT'!P282="Kapatıldı","",IF('ŞİKAYET KAYIT'!I282="","",'ŞİKAYET KAYIT'!I282)),"")</f>
        <v/>
      </c>
      <c r="G282" s="3" t="str">
        <f>IFERROR(IF('ŞİKAYET KAYIT'!P282="Kapatıldı","",IF('ŞİKAYET KAYIT'!J282="","",'ŞİKAYET KAYIT'!J282)),"")</f>
        <v/>
      </c>
      <c r="H282" s="3" t="str">
        <f>IFERROR(IF('ŞİKAYET KAYIT'!P282="Kapatıldı","",IF('ŞİKAYET KAYIT'!K282="","",'ŞİKAYET KAYIT'!K282)),"")</f>
        <v/>
      </c>
      <c r="I282" s="3" t="str">
        <f>IFERROR(IF('ŞİKAYET KAYIT'!P282="Kapatıldı","",IF('ŞİKAYET KAYIT'!L282="","",'ŞİKAYET KAYIT'!L282)),"")</f>
        <v/>
      </c>
      <c r="J282" s="3" t="str">
        <f>IFERROR(IF('ŞİKAYET KAYIT'!P282="Kapatıldı","",IF('ŞİKAYET KAYIT'!M282="","",'ŞİKAYET KAYIT'!M282)),"")</f>
        <v/>
      </c>
      <c r="K282" s="3" t="str">
        <f>IFERROR(IF('ŞİKAYET KAYIT'!P282="Kapatıldı","",IF('ŞİKAYET KAYIT'!N282="","",'ŞİKAYET KAYIT'!N282)),"")</f>
        <v/>
      </c>
      <c r="L282" s="3" t="str">
        <f>IFERROR(IF('ŞİKAYET KAYIT'!P282="Kapatıldı","",IF('ŞİKAYET KAYIT'!O282="","",'ŞİKAYET KAYIT'!O282)),"")</f>
        <v/>
      </c>
      <c r="M282" s="3" t="str">
        <f>IFERROR(IF('ŞİKAYET KAYIT'!P282="Kapatıldı","",IF('ŞİKAYET KAYIT'!P282="","",'ŞİKAYET KAYIT'!P282)),"")</f>
        <v/>
      </c>
    </row>
    <row r="283" spans="1:13" ht="15" customHeight="1" x14ac:dyDescent="0.3">
      <c r="A283" s="26" t="str">
        <f>IFERROR(IF('ŞİKAYET KAYIT'!P283="Kapatıldı","",IF('ŞİKAYET KAYIT'!A283="","",'ŞİKAYET KAYIT'!A283)),"")</f>
        <v/>
      </c>
      <c r="B283" s="8" t="str">
        <f>IFERROR(IF('ŞİKAYET KAYIT'!P283="Kapatıldı","",IF('ŞİKAYET KAYIT'!B283="","",'ŞİKAYET KAYIT'!B283)),"")</f>
        <v/>
      </c>
      <c r="C283" s="26" t="str">
        <f>IFERROR(IF('ŞİKAYET KAYIT'!P283="Kapatıldı","",IF('ŞİKAYET KAYIT'!D283="","",'ŞİKAYET KAYIT'!D283)),"")</f>
        <v/>
      </c>
      <c r="D283" s="26" t="str">
        <f>IFERROR(IF('ŞİKAYET KAYIT'!P283="Kapatıldı","",IF('ŞİKAYET KAYIT'!F283="","",'ŞİKAYET KAYIT'!F283)),"")</f>
        <v/>
      </c>
      <c r="E283" s="26" t="str">
        <f>IFERROR(IF('ŞİKAYET KAYIT'!P283="Kapatıldı","",IF('ŞİKAYET KAYIT'!H283="","",'ŞİKAYET KAYIT'!H283)),"")</f>
        <v/>
      </c>
      <c r="F283" s="26" t="str">
        <f>IFERROR(IF('ŞİKAYET KAYIT'!P283="Kapatıldı","",IF('ŞİKAYET KAYIT'!I283="","",'ŞİKAYET KAYIT'!I283)),"")</f>
        <v/>
      </c>
      <c r="G283" s="26" t="str">
        <f>IFERROR(IF('ŞİKAYET KAYIT'!P283="Kapatıldı","",IF('ŞİKAYET KAYIT'!J283="","",'ŞİKAYET KAYIT'!J283)),"")</f>
        <v/>
      </c>
      <c r="H283" s="26" t="str">
        <f>IFERROR(IF('ŞİKAYET KAYIT'!P283="Kapatıldı","",IF('ŞİKAYET KAYIT'!K283="","",'ŞİKAYET KAYIT'!K283)),"")</f>
        <v/>
      </c>
      <c r="I283" s="26" t="str">
        <f>IFERROR(IF('ŞİKAYET KAYIT'!P283="Kapatıldı","",IF('ŞİKAYET KAYIT'!L283="","",'ŞİKAYET KAYIT'!L283)),"")</f>
        <v/>
      </c>
      <c r="J283" s="26" t="str">
        <f>IFERROR(IF('ŞİKAYET KAYIT'!P283="Kapatıldı","",IF('ŞİKAYET KAYIT'!M283="","",'ŞİKAYET KAYIT'!M283)),"")</f>
        <v/>
      </c>
      <c r="K283" s="26" t="str">
        <f>IFERROR(IF('ŞİKAYET KAYIT'!P283="Kapatıldı","",IF('ŞİKAYET KAYIT'!N283="","",'ŞİKAYET KAYIT'!N283)),"")</f>
        <v/>
      </c>
      <c r="L283" s="26" t="str">
        <f>IFERROR(IF('ŞİKAYET KAYIT'!P283="Kapatıldı","",IF('ŞİKAYET KAYIT'!O283="","",'ŞİKAYET KAYIT'!O283)),"")</f>
        <v/>
      </c>
      <c r="M283" s="26" t="str">
        <f>IFERROR(IF('ŞİKAYET KAYIT'!P283="Kapatıldı","",IF('ŞİKAYET KAYIT'!P283="","",'ŞİKAYET KAYIT'!P283)),"")</f>
        <v/>
      </c>
    </row>
    <row r="284" spans="1:13" ht="15" customHeight="1" x14ac:dyDescent="0.3">
      <c r="A284" s="3" t="str">
        <f>IFERROR(IF('ŞİKAYET KAYIT'!P284="Kapatıldı","",IF('ŞİKAYET KAYIT'!A284="","",'ŞİKAYET KAYIT'!A284)),"")</f>
        <v/>
      </c>
      <c r="B284" s="5" t="str">
        <f>IFERROR(IF('ŞİKAYET KAYIT'!P284="Kapatıldı","",IF('ŞİKAYET KAYIT'!B284="","",'ŞİKAYET KAYIT'!B284)),"")</f>
        <v/>
      </c>
      <c r="C284" s="3" t="str">
        <f>IFERROR(IF('ŞİKAYET KAYIT'!P284="Kapatıldı","",IF('ŞİKAYET KAYIT'!D284="","",'ŞİKAYET KAYIT'!D284)),"")</f>
        <v/>
      </c>
      <c r="D284" s="3" t="str">
        <f>IFERROR(IF('ŞİKAYET KAYIT'!P284="Kapatıldı","",IF('ŞİKAYET KAYIT'!F284="","",'ŞİKAYET KAYIT'!F284)),"")</f>
        <v/>
      </c>
      <c r="E284" s="3" t="str">
        <f>IFERROR(IF('ŞİKAYET KAYIT'!P284="Kapatıldı","",IF('ŞİKAYET KAYIT'!H284="","",'ŞİKAYET KAYIT'!H284)),"")</f>
        <v/>
      </c>
      <c r="F284" s="3" t="str">
        <f>IFERROR(IF('ŞİKAYET KAYIT'!P284="Kapatıldı","",IF('ŞİKAYET KAYIT'!I284="","",'ŞİKAYET KAYIT'!I284)),"")</f>
        <v/>
      </c>
      <c r="G284" s="3" t="str">
        <f>IFERROR(IF('ŞİKAYET KAYIT'!P284="Kapatıldı","",IF('ŞİKAYET KAYIT'!J284="","",'ŞİKAYET KAYIT'!J284)),"")</f>
        <v/>
      </c>
      <c r="H284" s="3" t="str">
        <f>IFERROR(IF('ŞİKAYET KAYIT'!P284="Kapatıldı","",IF('ŞİKAYET KAYIT'!K284="","",'ŞİKAYET KAYIT'!K284)),"")</f>
        <v/>
      </c>
      <c r="I284" s="3" t="str">
        <f>IFERROR(IF('ŞİKAYET KAYIT'!P284="Kapatıldı","",IF('ŞİKAYET KAYIT'!L284="","",'ŞİKAYET KAYIT'!L284)),"")</f>
        <v/>
      </c>
      <c r="J284" s="3" t="str">
        <f>IFERROR(IF('ŞİKAYET KAYIT'!P284="Kapatıldı","",IF('ŞİKAYET KAYIT'!M284="","",'ŞİKAYET KAYIT'!M284)),"")</f>
        <v/>
      </c>
      <c r="K284" s="3" t="str">
        <f>IFERROR(IF('ŞİKAYET KAYIT'!P284="Kapatıldı","",IF('ŞİKAYET KAYIT'!N284="","",'ŞİKAYET KAYIT'!N284)),"")</f>
        <v/>
      </c>
      <c r="L284" s="3" t="str">
        <f>IFERROR(IF('ŞİKAYET KAYIT'!P284="Kapatıldı","",IF('ŞİKAYET KAYIT'!O284="","",'ŞİKAYET KAYIT'!O284)),"")</f>
        <v/>
      </c>
      <c r="M284" s="3" t="str">
        <f>IFERROR(IF('ŞİKAYET KAYIT'!P284="Kapatıldı","",IF('ŞİKAYET KAYIT'!P284="","",'ŞİKAYET KAYIT'!P284)),"")</f>
        <v/>
      </c>
    </row>
    <row r="285" spans="1:13" ht="15" customHeight="1" x14ac:dyDescent="0.3">
      <c r="A285" s="26" t="str">
        <f>IFERROR(IF('ŞİKAYET KAYIT'!P285="Kapatıldı","",IF('ŞİKAYET KAYIT'!A285="","",'ŞİKAYET KAYIT'!A285)),"")</f>
        <v/>
      </c>
      <c r="B285" s="8" t="str">
        <f>IFERROR(IF('ŞİKAYET KAYIT'!P285="Kapatıldı","",IF('ŞİKAYET KAYIT'!B285="","",'ŞİKAYET KAYIT'!B285)),"")</f>
        <v/>
      </c>
      <c r="C285" s="26" t="str">
        <f>IFERROR(IF('ŞİKAYET KAYIT'!P285="Kapatıldı","",IF('ŞİKAYET KAYIT'!D285="","",'ŞİKAYET KAYIT'!D285)),"")</f>
        <v/>
      </c>
      <c r="D285" s="26" t="str">
        <f>IFERROR(IF('ŞİKAYET KAYIT'!P285="Kapatıldı","",IF('ŞİKAYET KAYIT'!F285="","",'ŞİKAYET KAYIT'!F285)),"")</f>
        <v/>
      </c>
      <c r="E285" s="26" t="str">
        <f>IFERROR(IF('ŞİKAYET KAYIT'!P285="Kapatıldı","",IF('ŞİKAYET KAYIT'!H285="","",'ŞİKAYET KAYIT'!H285)),"")</f>
        <v/>
      </c>
      <c r="F285" s="26" t="str">
        <f>IFERROR(IF('ŞİKAYET KAYIT'!P285="Kapatıldı","",IF('ŞİKAYET KAYIT'!I285="","",'ŞİKAYET KAYIT'!I285)),"")</f>
        <v/>
      </c>
      <c r="G285" s="26" t="str">
        <f>IFERROR(IF('ŞİKAYET KAYIT'!P285="Kapatıldı","",IF('ŞİKAYET KAYIT'!J285="","",'ŞİKAYET KAYIT'!J285)),"")</f>
        <v/>
      </c>
      <c r="H285" s="26" t="str">
        <f>IFERROR(IF('ŞİKAYET KAYIT'!P285="Kapatıldı","",IF('ŞİKAYET KAYIT'!K285="","",'ŞİKAYET KAYIT'!K285)),"")</f>
        <v/>
      </c>
      <c r="I285" s="26" t="str">
        <f>IFERROR(IF('ŞİKAYET KAYIT'!P285="Kapatıldı","",IF('ŞİKAYET KAYIT'!L285="","",'ŞİKAYET KAYIT'!L285)),"")</f>
        <v/>
      </c>
      <c r="J285" s="26" t="str">
        <f>IFERROR(IF('ŞİKAYET KAYIT'!P285="Kapatıldı","",IF('ŞİKAYET KAYIT'!M285="","",'ŞİKAYET KAYIT'!M285)),"")</f>
        <v/>
      </c>
      <c r="K285" s="26" t="str">
        <f>IFERROR(IF('ŞİKAYET KAYIT'!P285="Kapatıldı","",IF('ŞİKAYET KAYIT'!N285="","",'ŞİKAYET KAYIT'!N285)),"")</f>
        <v/>
      </c>
      <c r="L285" s="26" t="str">
        <f>IFERROR(IF('ŞİKAYET KAYIT'!P285="Kapatıldı","",IF('ŞİKAYET KAYIT'!O285="","",'ŞİKAYET KAYIT'!O285)),"")</f>
        <v/>
      </c>
      <c r="M285" s="26" t="str">
        <f>IFERROR(IF('ŞİKAYET KAYIT'!P285="Kapatıldı","",IF('ŞİKAYET KAYIT'!P285="","",'ŞİKAYET KAYIT'!P285)),"")</f>
        <v/>
      </c>
    </row>
    <row r="286" spans="1:13" ht="15" customHeight="1" x14ac:dyDescent="0.3">
      <c r="A286" s="3" t="str">
        <f>IFERROR(IF('ŞİKAYET KAYIT'!P286="Kapatıldı","",IF('ŞİKAYET KAYIT'!A286="","",'ŞİKAYET KAYIT'!A286)),"")</f>
        <v/>
      </c>
      <c r="B286" s="5" t="str">
        <f>IFERROR(IF('ŞİKAYET KAYIT'!P286="Kapatıldı","",IF('ŞİKAYET KAYIT'!B286="","",'ŞİKAYET KAYIT'!B286)),"")</f>
        <v/>
      </c>
      <c r="C286" s="3" t="str">
        <f>IFERROR(IF('ŞİKAYET KAYIT'!P286="Kapatıldı","",IF('ŞİKAYET KAYIT'!D286="","",'ŞİKAYET KAYIT'!D286)),"")</f>
        <v/>
      </c>
      <c r="D286" s="3" t="str">
        <f>IFERROR(IF('ŞİKAYET KAYIT'!P286="Kapatıldı","",IF('ŞİKAYET KAYIT'!F286="","",'ŞİKAYET KAYIT'!F286)),"")</f>
        <v/>
      </c>
      <c r="E286" s="3" t="str">
        <f>IFERROR(IF('ŞİKAYET KAYIT'!P286="Kapatıldı","",IF('ŞİKAYET KAYIT'!H286="","",'ŞİKAYET KAYIT'!H286)),"")</f>
        <v/>
      </c>
      <c r="F286" s="3" t="str">
        <f>IFERROR(IF('ŞİKAYET KAYIT'!P286="Kapatıldı","",IF('ŞİKAYET KAYIT'!I286="","",'ŞİKAYET KAYIT'!I286)),"")</f>
        <v/>
      </c>
      <c r="G286" s="3" t="str">
        <f>IFERROR(IF('ŞİKAYET KAYIT'!P286="Kapatıldı","",IF('ŞİKAYET KAYIT'!J286="","",'ŞİKAYET KAYIT'!J286)),"")</f>
        <v/>
      </c>
      <c r="H286" s="3" t="str">
        <f>IFERROR(IF('ŞİKAYET KAYIT'!P286="Kapatıldı","",IF('ŞİKAYET KAYIT'!K286="","",'ŞİKAYET KAYIT'!K286)),"")</f>
        <v/>
      </c>
      <c r="I286" s="3" t="str">
        <f>IFERROR(IF('ŞİKAYET KAYIT'!P286="Kapatıldı","",IF('ŞİKAYET KAYIT'!L286="","",'ŞİKAYET KAYIT'!L286)),"")</f>
        <v/>
      </c>
      <c r="J286" s="3" t="str">
        <f>IFERROR(IF('ŞİKAYET KAYIT'!P286="Kapatıldı","",IF('ŞİKAYET KAYIT'!M286="","",'ŞİKAYET KAYIT'!M286)),"")</f>
        <v/>
      </c>
      <c r="K286" s="3" t="str">
        <f>IFERROR(IF('ŞİKAYET KAYIT'!P286="Kapatıldı","",IF('ŞİKAYET KAYIT'!N286="","",'ŞİKAYET KAYIT'!N286)),"")</f>
        <v/>
      </c>
      <c r="L286" s="3" t="str">
        <f>IFERROR(IF('ŞİKAYET KAYIT'!P286="Kapatıldı","",IF('ŞİKAYET KAYIT'!O286="","",'ŞİKAYET KAYIT'!O286)),"")</f>
        <v/>
      </c>
      <c r="M286" s="3" t="str">
        <f>IFERROR(IF('ŞİKAYET KAYIT'!P286="Kapatıldı","",IF('ŞİKAYET KAYIT'!P286="","",'ŞİKAYET KAYIT'!P286)),"")</f>
        <v/>
      </c>
    </row>
    <row r="287" spans="1:13" ht="15" customHeight="1" x14ac:dyDescent="0.3">
      <c r="A287" s="26" t="str">
        <f>IFERROR(IF('ŞİKAYET KAYIT'!P287="Kapatıldı","",IF('ŞİKAYET KAYIT'!A287="","",'ŞİKAYET KAYIT'!A287)),"")</f>
        <v/>
      </c>
      <c r="B287" s="8" t="str">
        <f>IFERROR(IF('ŞİKAYET KAYIT'!P287="Kapatıldı","",IF('ŞİKAYET KAYIT'!B287="","",'ŞİKAYET KAYIT'!B287)),"")</f>
        <v/>
      </c>
      <c r="C287" s="26" t="str">
        <f>IFERROR(IF('ŞİKAYET KAYIT'!P287="Kapatıldı","",IF('ŞİKAYET KAYIT'!D287="","",'ŞİKAYET KAYIT'!D287)),"")</f>
        <v/>
      </c>
      <c r="D287" s="26" t="str">
        <f>IFERROR(IF('ŞİKAYET KAYIT'!P287="Kapatıldı","",IF('ŞİKAYET KAYIT'!F287="","",'ŞİKAYET KAYIT'!F287)),"")</f>
        <v/>
      </c>
      <c r="E287" s="26" t="str">
        <f>IFERROR(IF('ŞİKAYET KAYIT'!P287="Kapatıldı","",IF('ŞİKAYET KAYIT'!H287="","",'ŞİKAYET KAYIT'!H287)),"")</f>
        <v/>
      </c>
      <c r="F287" s="26" t="str">
        <f>IFERROR(IF('ŞİKAYET KAYIT'!P287="Kapatıldı","",IF('ŞİKAYET KAYIT'!I287="","",'ŞİKAYET KAYIT'!I287)),"")</f>
        <v/>
      </c>
      <c r="G287" s="26" t="str">
        <f>IFERROR(IF('ŞİKAYET KAYIT'!P287="Kapatıldı","",IF('ŞİKAYET KAYIT'!J287="","",'ŞİKAYET KAYIT'!J287)),"")</f>
        <v/>
      </c>
      <c r="H287" s="26" t="str">
        <f>IFERROR(IF('ŞİKAYET KAYIT'!P287="Kapatıldı","",IF('ŞİKAYET KAYIT'!K287="","",'ŞİKAYET KAYIT'!K287)),"")</f>
        <v/>
      </c>
      <c r="I287" s="26" t="str">
        <f>IFERROR(IF('ŞİKAYET KAYIT'!P287="Kapatıldı","",IF('ŞİKAYET KAYIT'!L287="","",'ŞİKAYET KAYIT'!L287)),"")</f>
        <v/>
      </c>
      <c r="J287" s="26" t="str">
        <f>IFERROR(IF('ŞİKAYET KAYIT'!P287="Kapatıldı","",IF('ŞİKAYET KAYIT'!M287="","",'ŞİKAYET KAYIT'!M287)),"")</f>
        <v/>
      </c>
      <c r="K287" s="26" t="str">
        <f>IFERROR(IF('ŞİKAYET KAYIT'!P287="Kapatıldı","",IF('ŞİKAYET KAYIT'!N287="","",'ŞİKAYET KAYIT'!N287)),"")</f>
        <v/>
      </c>
      <c r="L287" s="26" t="str">
        <f>IFERROR(IF('ŞİKAYET KAYIT'!P287="Kapatıldı","",IF('ŞİKAYET KAYIT'!O287="","",'ŞİKAYET KAYIT'!O287)),"")</f>
        <v/>
      </c>
      <c r="M287" s="26" t="str">
        <f>IFERROR(IF('ŞİKAYET KAYIT'!P287="Kapatıldı","",IF('ŞİKAYET KAYIT'!P287="","",'ŞİKAYET KAYIT'!P287)),"")</f>
        <v/>
      </c>
    </row>
    <row r="288" spans="1:13" ht="15" customHeight="1" x14ac:dyDescent="0.3">
      <c r="A288" s="3" t="str">
        <f>IFERROR(IF('ŞİKAYET KAYIT'!P288="Kapatıldı","",IF('ŞİKAYET KAYIT'!A288="","",'ŞİKAYET KAYIT'!A288)),"")</f>
        <v/>
      </c>
      <c r="B288" s="5" t="str">
        <f>IFERROR(IF('ŞİKAYET KAYIT'!P288="Kapatıldı","",IF('ŞİKAYET KAYIT'!B288="","",'ŞİKAYET KAYIT'!B288)),"")</f>
        <v/>
      </c>
      <c r="C288" s="3" t="str">
        <f>IFERROR(IF('ŞİKAYET KAYIT'!P288="Kapatıldı","",IF('ŞİKAYET KAYIT'!D288="","",'ŞİKAYET KAYIT'!D288)),"")</f>
        <v/>
      </c>
      <c r="D288" s="3" t="str">
        <f>IFERROR(IF('ŞİKAYET KAYIT'!P288="Kapatıldı","",IF('ŞİKAYET KAYIT'!F288="","",'ŞİKAYET KAYIT'!F288)),"")</f>
        <v/>
      </c>
      <c r="E288" s="3" t="str">
        <f>IFERROR(IF('ŞİKAYET KAYIT'!P288="Kapatıldı","",IF('ŞİKAYET KAYIT'!H288="","",'ŞİKAYET KAYIT'!H288)),"")</f>
        <v/>
      </c>
      <c r="F288" s="3" t="str">
        <f>IFERROR(IF('ŞİKAYET KAYIT'!P288="Kapatıldı","",IF('ŞİKAYET KAYIT'!I288="","",'ŞİKAYET KAYIT'!I288)),"")</f>
        <v/>
      </c>
      <c r="G288" s="3" t="str">
        <f>IFERROR(IF('ŞİKAYET KAYIT'!P288="Kapatıldı","",IF('ŞİKAYET KAYIT'!J288="","",'ŞİKAYET KAYIT'!J288)),"")</f>
        <v/>
      </c>
      <c r="H288" s="3" t="str">
        <f>IFERROR(IF('ŞİKAYET KAYIT'!P288="Kapatıldı","",IF('ŞİKAYET KAYIT'!K288="","",'ŞİKAYET KAYIT'!K288)),"")</f>
        <v/>
      </c>
      <c r="I288" s="3" t="str">
        <f>IFERROR(IF('ŞİKAYET KAYIT'!P288="Kapatıldı","",IF('ŞİKAYET KAYIT'!L288="","",'ŞİKAYET KAYIT'!L288)),"")</f>
        <v/>
      </c>
      <c r="J288" s="3" t="str">
        <f>IFERROR(IF('ŞİKAYET KAYIT'!P288="Kapatıldı","",IF('ŞİKAYET KAYIT'!M288="","",'ŞİKAYET KAYIT'!M288)),"")</f>
        <v/>
      </c>
      <c r="K288" s="3" t="str">
        <f>IFERROR(IF('ŞİKAYET KAYIT'!P288="Kapatıldı","",IF('ŞİKAYET KAYIT'!N288="","",'ŞİKAYET KAYIT'!N288)),"")</f>
        <v/>
      </c>
      <c r="L288" s="3" t="str">
        <f>IFERROR(IF('ŞİKAYET KAYIT'!P288="Kapatıldı","",IF('ŞİKAYET KAYIT'!O288="","",'ŞİKAYET KAYIT'!O288)),"")</f>
        <v/>
      </c>
      <c r="M288" s="3" t="str">
        <f>IFERROR(IF('ŞİKAYET KAYIT'!P288="Kapatıldı","",IF('ŞİKAYET KAYIT'!P288="","",'ŞİKAYET KAYIT'!P288)),"")</f>
        <v/>
      </c>
    </row>
    <row r="289" spans="1:13" ht="15" customHeight="1" x14ac:dyDescent="0.3">
      <c r="A289" s="26" t="str">
        <f>IFERROR(IF('ŞİKAYET KAYIT'!P289="Kapatıldı","",IF('ŞİKAYET KAYIT'!A289="","",'ŞİKAYET KAYIT'!A289)),"")</f>
        <v/>
      </c>
      <c r="B289" s="8" t="str">
        <f>IFERROR(IF('ŞİKAYET KAYIT'!P289="Kapatıldı","",IF('ŞİKAYET KAYIT'!B289="","",'ŞİKAYET KAYIT'!B289)),"")</f>
        <v/>
      </c>
      <c r="C289" s="26" t="str">
        <f>IFERROR(IF('ŞİKAYET KAYIT'!P289="Kapatıldı","",IF('ŞİKAYET KAYIT'!D289="","",'ŞİKAYET KAYIT'!D289)),"")</f>
        <v/>
      </c>
      <c r="D289" s="26" t="str">
        <f>IFERROR(IF('ŞİKAYET KAYIT'!P289="Kapatıldı","",IF('ŞİKAYET KAYIT'!F289="","",'ŞİKAYET KAYIT'!F289)),"")</f>
        <v/>
      </c>
      <c r="E289" s="26" t="str">
        <f>IFERROR(IF('ŞİKAYET KAYIT'!P289="Kapatıldı","",IF('ŞİKAYET KAYIT'!H289="","",'ŞİKAYET KAYIT'!H289)),"")</f>
        <v/>
      </c>
      <c r="F289" s="26" t="str">
        <f>IFERROR(IF('ŞİKAYET KAYIT'!P289="Kapatıldı","",IF('ŞİKAYET KAYIT'!I289="","",'ŞİKAYET KAYIT'!I289)),"")</f>
        <v/>
      </c>
      <c r="G289" s="26" t="str">
        <f>IFERROR(IF('ŞİKAYET KAYIT'!P289="Kapatıldı","",IF('ŞİKAYET KAYIT'!J289="","",'ŞİKAYET KAYIT'!J289)),"")</f>
        <v/>
      </c>
      <c r="H289" s="26" t="str">
        <f>IFERROR(IF('ŞİKAYET KAYIT'!P289="Kapatıldı","",IF('ŞİKAYET KAYIT'!K289="","",'ŞİKAYET KAYIT'!K289)),"")</f>
        <v/>
      </c>
      <c r="I289" s="26" t="str">
        <f>IFERROR(IF('ŞİKAYET KAYIT'!P289="Kapatıldı","",IF('ŞİKAYET KAYIT'!L289="","",'ŞİKAYET KAYIT'!L289)),"")</f>
        <v/>
      </c>
      <c r="J289" s="26" t="str">
        <f>IFERROR(IF('ŞİKAYET KAYIT'!P289="Kapatıldı","",IF('ŞİKAYET KAYIT'!M289="","",'ŞİKAYET KAYIT'!M289)),"")</f>
        <v/>
      </c>
      <c r="K289" s="26" t="str">
        <f>IFERROR(IF('ŞİKAYET KAYIT'!P289="Kapatıldı","",IF('ŞİKAYET KAYIT'!N289="","",'ŞİKAYET KAYIT'!N289)),"")</f>
        <v/>
      </c>
      <c r="L289" s="26" t="str">
        <f>IFERROR(IF('ŞİKAYET KAYIT'!P289="Kapatıldı","",IF('ŞİKAYET KAYIT'!O289="","",'ŞİKAYET KAYIT'!O289)),"")</f>
        <v/>
      </c>
      <c r="M289" s="26" t="str">
        <f>IFERROR(IF('ŞİKAYET KAYIT'!P289="Kapatıldı","",IF('ŞİKAYET KAYIT'!P289="","",'ŞİKAYET KAYIT'!P289)),"")</f>
        <v/>
      </c>
    </row>
    <row r="290" spans="1:13" ht="15" customHeight="1" x14ac:dyDescent="0.3">
      <c r="A290" s="3" t="str">
        <f>IFERROR(IF('ŞİKAYET KAYIT'!P290="Kapatıldı","",IF('ŞİKAYET KAYIT'!A290="","",'ŞİKAYET KAYIT'!A290)),"")</f>
        <v/>
      </c>
      <c r="B290" s="5" t="str">
        <f>IFERROR(IF('ŞİKAYET KAYIT'!P290="Kapatıldı","",IF('ŞİKAYET KAYIT'!B290="","",'ŞİKAYET KAYIT'!B290)),"")</f>
        <v/>
      </c>
      <c r="C290" s="3" t="str">
        <f>IFERROR(IF('ŞİKAYET KAYIT'!P290="Kapatıldı","",IF('ŞİKAYET KAYIT'!D290="","",'ŞİKAYET KAYIT'!D290)),"")</f>
        <v/>
      </c>
      <c r="D290" s="3" t="str">
        <f>IFERROR(IF('ŞİKAYET KAYIT'!P290="Kapatıldı","",IF('ŞİKAYET KAYIT'!F290="","",'ŞİKAYET KAYIT'!F290)),"")</f>
        <v/>
      </c>
      <c r="E290" s="3" t="str">
        <f>IFERROR(IF('ŞİKAYET KAYIT'!P290="Kapatıldı","",IF('ŞİKAYET KAYIT'!H290="","",'ŞİKAYET KAYIT'!H290)),"")</f>
        <v/>
      </c>
      <c r="F290" s="3" t="str">
        <f>IFERROR(IF('ŞİKAYET KAYIT'!P290="Kapatıldı","",IF('ŞİKAYET KAYIT'!I290="","",'ŞİKAYET KAYIT'!I290)),"")</f>
        <v/>
      </c>
      <c r="G290" s="3" t="str">
        <f>IFERROR(IF('ŞİKAYET KAYIT'!P290="Kapatıldı","",IF('ŞİKAYET KAYIT'!J290="","",'ŞİKAYET KAYIT'!J290)),"")</f>
        <v/>
      </c>
      <c r="H290" s="3" t="str">
        <f>IFERROR(IF('ŞİKAYET KAYIT'!P290="Kapatıldı","",IF('ŞİKAYET KAYIT'!K290="","",'ŞİKAYET KAYIT'!K290)),"")</f>
        <v/>
      </c>
      <c r="I290" s="3" t="str">
        <f>IFERROR(IF('ŞİKAYET KAYIT'!P290="Kapatıldı","",IF('ŞİKAYET KAYIT'!L290="","",'ŞİKAYET KAYIT'!L290)),"")</f>
        <v/>
      </c>
      <c r="J290" s="3" t="str">
        <f>IFERROR(IF('ŞİKAYET KAYIT'!P290="Kapatıldı","",IF('ŞİKAYET KAYIT'!M290="","",'ŞİKAYET KAYIT'!M290)),"")</f>
        <v/>
      </c>
      <c r="K290" s="3" t="str">
        <f>IFERROR(IF('ŞİKAYET KAYIT'!P290="Kapatıldı","",IF('ŞİKAYET KAYIT'!N290="","",'ŞİKAYET KAYIT'!N290)),"")</f>
        <v/>
      </c>
      <c r="L290" s="3" t="str">
        <f>IFERROR(IF('ŞİKAYET KAYIT'!P290="Kapatıldı","",IF('ŞİKAYET KAYIT'!O290="","",'ŞİKAYET KAYIT'!O290)),"")</f>
        <v/>
      </c>
      <c r="M290" s="3" t="str">
        <f>IFERROR(IF('ŞİKAYET KAYIT'!P290="Kapatıldı","",IF('ŞİKAYET KAYIT'!P290="","",'ŞİKAYET KAYIT'!P290)),"")</f>
        <v/>
      </c>
    </row>
    <row r="291" spans="1:13" ht="15" customHeight="1" x14ac:dyDescent="0.3">
      <c r="A291" s="26" t="str">
        <f>IFERROR(IF('ŞİKAYET KAYIT'!P291="Kapatıldı","",IF('ŞİKAYET KAYIT'!A291="","",'ŞİKAYET KAYIT'!A291)),"")</f>
        <v/>
      </c>
      <c r="B291" s="8" t="str">
        <f>IFERROR(IF('ŞİKAYET KAYIT'!P291="Kapatıldı","",IF('ŞİKAYET KAYIT'!B291="","",'ŞİKAYET KAYIT'!B291)),"")</f>
        <v/>
      </c>
      <c r="C291" s="26" t="str">
        <f>IFERROR(IF('ŞİKAYET KAYIT'!P291="Kapatıldı","",IF('ŞİKAYET KAYIT'!D291="","",'ŞİKAYET KAYIT'!D291)),"")</f>
        <v/>
      </c>
      <c r="D291" s="26" t="str">
        <f>IFERROR(IF('ŞİKAYET KAYIT'!P291="Kapatıldı","",IF('ŞİKAYET KAYIT'!F291="","",'ŞİKAYET KAYIT'!F291)),"")</f>
        <v/>
      </c>
      <c r="E291" s="26" t="str">
        <f>IFERROR(IF('ŞİKAYET KAYIT'!P291="Kapatıldı","",IF('ŞİKAYET KAYIT'!H291="","",'ŞİKAYET KAYIT'!H291)),"")</f>
        <v/>
      </c>
      <c r="F291" s="26" t="str">
        <f>IFERROR(IF('ŞİKAYET KAYIT'!P291="Kapatıldı","",IF('ŞİKAYET KAYIT'!I291="","",'ŞİKAYET KAYIT'!I291)),"")</f>
        <v/>
      </c>
      <c r="G291" s="26" t="str">
        <f>IFERROR(IF('ŞİKAYET KAYIT'!P291="Kapatıldı","",IF('ŞİKAYET KAYIT'!J291="","",'ŞİKAYET KAYIT'!J291)),"")</f>
        <v/>
      </c>
      <c r="H291" s="26" t="str">
        <f>IFERROR(IF('ŞİKAYET KAYIT'!P291="Kapatıldı","",IF('ŞİKAYET KAYIT'!K291="","",'ŞİKAYET KAYIT'!K291)),"")</f>
        <v/>
      </c>
      <c r="I291" s="26" t="str">
        <f>IFERROR(IF('ŞİKAYET KAYIT'!P291="Kapatıldı","",IF('ŞİKAYET KAYIT'!L291="","",'ŞİKAYET KAYIT'!L291)),"")</f>
        <v/>
      </c>
      <c r="J291" s="26" t="str">
        <f>IFERROR(IF('ŞİKAYET KAYIT'!P291="Kapatıldı","",IF('ŞİKAYET KAYIT'!M291="","",'ŞİKAYET KAYIT'!M291)),"")</f>
        <v/>
      </c>
      <c r="K291" s="26" t="str">
        <f>IFERROR(IF('ŞİKAYET KAYIT'!P291="Kapatıldı","",IF('ŞİKAYET KAYIT'!N291="","",'ŞİKAYET KAYIT'!N291)),"")</f>
        <v/>
      </c>
      <c r="L291" s="26" t="str">
        <f>IFERROR(IF('ŞİKAYET KAYIT'!P291="Kapatıldı","",IF('ŞİKAYET KAYIT'!O291="","",'ŞİKAYET KAYIT'!O291)),"")</f>
        <v/>
      </c>
      <c r="M291" s="26" t="str">
        <f>IFERROR(IF('ŞİKAYET KAYIT'!P291="Kapatıldı","",IF('ŞİKAYET KAYIT'!P291="","",'ŞİKAYET KAYIT'!P291)),"")</f>
        <v/>
      </c>
    </row>
    <row r="292" spans="1:13" ht="15" customHeight="1" x14ac:dyDescent="0.3">
      <c r="A292" s="3" t="str">
        <f>IFERROR(IF('ŞİKAYET KAYIT'!P292="Kapatıldı","",IF('ŞİKAYET KAYIT'!A292="","",'ŞİKAYET KAYIT'!A292)),"")</f>
        <v/>
      </c>
      <c r="B292" s="5" t="str">
        <f>IFERROR(IF('ŞİKAYET KAYIT'!P292="Kapatıldı","",IF('ŞİKAYET KAYIT'!B292="","",'ŞİKAYET KAYIT'!B292)),"")</f>
        <v/>
      </c>
      <c r="C292" s="3" t="str">
        <f>IFERROR(IF('ŞİKAYET KAYIT'!P292="Kapatıldı","",IF('ŞİKAYET KAYIT'!D292="","",'ŞİKAYET KAYIT'!D292)),"")</f>
        <v/>
      </c>
      <c r="D292" s="3" t="str">
        <f>IFERROR(IF('ŞİKAYET KAYIT'!P292="Kapatıldı","",IF('ŞİKAYET KAYIT'!F292="","",'ŞİKAYET KAYIT'!F292)),"")</f>
        <v/>
      </c>
      <c r="E292" s="3" t="str">
        <f>IFERROR(IF('ŞİKAYET KAYIT'!P292="Kapatıldı","",IF('ŞİKAYET KAYIT'!H292="","",'ŞİKAYET KAYIT'!H292)),"")</f>
        <v/>
      </c>
      <c r="F292" s="3" t="str">
        <f>IFERROR(IF('ŞİKAYET KAYIT'!P292="Kapatıldı","",IF('ŞİKAYET KAYIT'!I292="","",'ŞİKAYET KAYIT'!I292)),"")</f>
        <v/>
      </c>
      <c r="G292" s="3" t="str">
        <f>IFERROR(IF('ŞİKAYET KAYIT'!P292="Kapatıldı","",IF('ŞİKAYET KAYIT'!J292="","",'ŞİKAYET KAYIT'!J292)),"")</f>
        <v/>
      </c>
      <c r="H292" s="3" t="str">
        <f>IFERROR(IF('ŞİKAYET KAYIT'!P292="Kapatıldı","",IF('ŞİKAYET KAYIT'!K292="","",'ŞİKAYET KAYIT'!K292)),"")</f>
        <v/>
      </c>
      <c r="I292" s="3" t="str">
        <f>IFERROR(IF('ŞİKAYET KAYIT'!P292="Kapatıldı","",IF('ŞİKAYET KAYIT'!L292="","",'ŞİKAYET KAYIT'!L292)),"")</f>
        <v/>
      </c>
      <c r="J292" s="3" t="str">
        <f>IFERROR(IF('ŞİKAYET KAYIT'!P292="Kapatıldı","",IF('ŞİKAYET KAYIT'!M292="","",'ŞİKAYET KAYIT'!M292)),"")</f>
        <v/>
      </c>
      <c r="K292" s="3" t="str">
        <f>IFERROR(IF('ŞİKAYET KAYIT'!P292="Kapatıldı","",IF('ŞİKAYET KAYIT'!N292="","",'ŞİKAYET KAYIT'!N292)),"")</f>
        <v/>
      </c>
      <c r="L292" s="3" t="str">
        <f>IFERROR(IF('ŞİKAYET KAYIT'!P292="Kapatıldı","",IF('ŞİKAYET KAYIT'!O292="","",'ŞİKAYET KAYIT'!O292)),"")</f>
        <v/>
      </c>
      <c r="M292" s="3" t="str">
        <f>IFERROR(IF('ŞİKAYET KAYIT'!P292="Kapatıldı","",IF('ŞİKAYET KAYIT'!P292="","",'ŞİKAYET KAYIT'!P292)),"")</f>
        <v/>
      </c>
    </row>
    <row r="293" spans="1:13" ht="15" customHeight="1" x14ac:dyDescent="0.3">
      <c r="A293" s="26" t="str">
        <f>IFERROR(IF('ŞİKAYET KAYIT'!P293="Kapatıldı","",IF('ŞİKAYET KAYIT'!A293="","",'ŞİKAYET KAYIT'!A293)),"")</f>
        <v/>
      </c>
      <c r="B293" s="8" t="str">
        <f>IFERROR(IF('ŞİKAYET KAYIT'!P293="Kapatıldı","",IF('ŞİKAYET KAYIT'!B293="","",'ŞİKAYET KAYIT'!B293)),"")</f>
        <v/>
      </c>
      <c r="C293" s="26" t="str">
        <f>IFERROR(IF('ŞİKAYET KAYIT'!P293="Kapatıldı","",IF('ŞİKAYET KAYIT'!D293="","",'ŞİKAYET KAYIT'!D293)),"")</f>
        <v/>
      </c>
      <c r="D293" s="26" t="str">
        <f>IFERROR(IF('ŞİKAYET KAYIT'!P293="Kapatıldı","",IF('ŞİKAYET KAYIT'!F293="","",'ŞİKAYET KAYIT'!F293)),"")</f>
        <v/>
      </c>
      <c r="E293" s="26" t="str">
        <f>IFERROR(IF('ŞİKAYET KAYIT'!P293="Kapatıldı","",IF('ŞİKAYET KAYIT'!H293="","",'ŞİKAYET KAYIT'!H293)),"")</f>
        <v/>
      </c>
      <c r="F293" s="26" t="str">
        <f>IFERROR(IF('ŞİKAYET KAYIT'!P293="Kapatıldı","",IF('ŞİKAYET KAYIT'!I293="","",'ŞİKAYET KAYIT'!I293)),"")</f>
        <v/>
      </c>
      <c r="G293" s="26" t="str">
        <f>IFERROR(IF('ŞİKAYET KAYIT'!P293="Kapatıldı","",IF('ŞİKAYET KAYIT'!J293="","",'ŞİKAYET KAYIT'!J293)),"")</f>
        <v/>
      </c>
      <c r="H293" s="26" t="str">
        <f>IFERROR(IF('ŞİKAYET KAYIT'!P293="Kapatıldı","",IF('ŞİKAYET KAYIT'!K293="","",'ŞİKAYET KAYIT'!K293)),"")</f>
        <v/>
      </c>
      <c r="I293" s="26" t="str">
        <f>IFERROR(IF('ŞİKAYET KAYIT'!P293="Kapatıldı","",IF('ŞİKAYET KAYIT'!L293="","",'ŞİKAYET KAYIT'!L293)),"")</f>
        <v/>
      </c>
      <c r="J293" s="26" t="str">
        <f>IFERROR(IF('ŞİKAYET KAYIT'!P293="Kapatıldı","",IF('ŞİKAYET KAYIT'!M293="","",'ŞİKAYET KAYIT'!M293)),"")</f>
        <v/>
      </c>
      <c r="K293" s="26" t="str">
        <f>IFERROR(IF('ŞİKAYET KAYIT'!P293="Kapatıldı","",IF('ŞİKAYET KAYIT'!N293="","",'ŞİKAYET KAYIT'!N293)),"")</f>
        <v/>
      </c>
      <c r="L293" s="26" t="str">
        <f>IFERROR(IF('ŞİKAYET KAYIT'!P293="Kapatıldı","",IF('ŞİKAYET KAYIT'!O293="","",'ŞİKAYET KAYIT'!O293)),"")</f>
        <v/>
      </c>
      <c r="M293" s="26" t="str">
        <f>IFERROR(IF('ŞİKAYET KAYIT'!P293="Kapatıldı","",IF('ŞİKAYET KAYIT'!P293="","",'ŞİKAYET KAYIT'!P293)),"")</f>
        <v/>
      </c>
    </row>
    <row r="294" spans="1:13" ht="15" customHeight="1" x14ac:dyDescent="0.3">
      <c r="A294" s="3" t="str">
        <f>IFERROR(IF('ŞİKAYET KAYIT'!P294="Kapatıldı","",IF('ŞİKAYET KAYIT'!A294="","",'ŞİKAYET KAYIT'!A294)),"")</f>
        <v/>
      </c>
      <c r="B294" s="5" t="str">
        <f>IFERROR(IF('ŞİKAYET KAYIT'!P294="Kapatıldı","",IF('ŞİKAYET KAYIT'!B294="","",'ŞİKAYET KAYIT'!B294)),"")</f>
        <v/>
      </c>
      <c r="C294" s="3" t="str">
        <f>IFERROR(IF('ŞİKAYET KAYIT'!P294="Kapatıldı","",IF('ŞİKAYET KAYIT'!D294="","",'ŞİKAYET KAYIT'!D294)),"")</f>
        <v/>
      </c>
      <c r="D294" s="3" t="str">
        <f>IFERROR(IF('ŞİKAYET KAYIT'!P294="Kapatıldı","",IF('ŞİKAYET KAYIT'!F294="","",'ŞİKAYET KAYIT'!F294)),"")</f>
        <v/>
      </c>
      <c r="E294" s="3" t="str">
        <f>IFERROR(IF('ŞİKAYET KAYIT'!P294="Kapatıldı","",IF('ŞİKAYET KAYIT'!H294="","",'ŞİKAYET KAYIT'!H294)),"")</f>
        <v/>
      </c>
      <c r="F294" s="3" t="str">
        <f>IFERROR(IF('ŞİKAYET KAYIT'!P294="Kapatıldı","",IF('ŞİKAYET KAYIT'!I294="","",'ŞİKAYET KAYIT'!I294)),"")</f>
        <v/>
      </c>
      <c r="G294" s="3" t="str">
        <f>IFERROR(IF('ŞİKAYET KAYIT'!P294="Kapatıldı","",IF('ŞİKAYET KAYIT'!J294="","",'ŞİKAYET KAYIT'!J294)),"")</f>
        <v/>
      </c>
      <c r="H294" s="3" t="str">
        <f>IFERROR(IF('ŞİKAYET KAYIT'!P294="Kapatıldı","",IF('ŞİKAYET KAYIT'!K294="","",'ŞİKAYET KAYIT'!K294)),"")</f>
        <v/>
      </c>
      <c r="I294" s="3" t="str">
        <f>IFERROR(IF('ŞİKAYET KAYIT'!P294="Kapatıldı","",IF('ŞİKAYET KAYIT'!L294="","",'ŞİKAYET KAYIT'!L294)),"")</f>
        <v/>
      </c>
      <c r="J294" s="3" t="str">
        <f>IFERROR(IF('ŞİKAYET KAYIT'!P294="Kapatıldı","",IF('ŞİKAYET KAYIT'!M294="","",'ŞİKAYET KAYIT'!M294)),"")</f>
        <v/>
      </c>
      <c r="K294" s="3" t="str">
        <f>IFERROR(IF('ŞİKAYET KAYIT'!P294="Kapatıldı","",IF('ŞİKAYET KAYIT'!N294="","",'ŞİKAYET KAYIT'!N294)),"")</f>
        <v/>
      </c>
      <c r="L294" s="3" t="str">
        <f>IFERROR(IF('ŞİKAYET KAYIT'!P294="Kapatıldı","",IF('ŞİKAYET KAYIT'!O294="","",'ŞİKAYET KAYIT'!O294)),"")</f>
        <v/>
      </c>
      <c r="M294" s="3" t="str">
        <f>IFERROR(IF('ŞİKAYET KAYIT'!P294="Kapatıldı","",IF('ŞİKAYET KAYIT'!P294="","",'ŞİKAYET KAYIT'!P294)),"")</f>
        <v/>
      </c>
    </row>
    <row r="295" spans="1:13" ht="15" customHeight="1" x14ac:dyDescent="0.3">
      <c r="A295" s="26" t="str">
        <f>IFERROR(IF('ŞİKAYET KAYIT'!P295="Kapatıldı","",IF('ŞİKAYET KAYIT'!A295="","",'ŞİKAYET KAYIT'!A295)),"")</f>
        <v/>
      </c>
      <c r="B295" s="8" t="str">
        <f>IFERROR(IF('ŞİKAYET KAYIT'!P295="Kapatıldı","",IF('ŞİKAYET KAYIT'!B295="","",'ŞİKAYET KAYIT'!B295)),"")</f>
        <v/>
      </c>
      <c r="C295" s="26" t="str">
        <f>IFERROR(IF('ŞİKAYET KAYIT'!P295="Kapatıldı","",IF('ŞİKAYET KAYIT'!D295="","",'ŞİKAYET KAYIT'!D295)),"")</f>
        <v/>
      </c>
      <c r="D295" s="26" t="str">
        <f>IFERROR(IF('ŞİKAYET KAYIT'!P295="Kapatıldı","",IF('ŞİKAYET KAYIT'!F295="","",'ŞİKAYET KAYIT'!F295)),"")</f>
        <v/>
      </c>
      <c r="E295" s="26" t="str">
        <f>IFERROR(IF('ŞİKAYET KAYIT'!P295="Kapatıldı","",IF('ŞİKAYET KAYIT'!H295="","",'ŞİKAYET KAYIT'!H295)),"")</f>
        <v/>
      </c>
      <c r="F295" s="26" t="str">
        <f>IFERROR(IF('ŞİKAYET KAYIT'!P295="Kapatıldı","",IF('ŞİKAYET KAYIT'!I295="","",'ŞİKAYET KAYIT'!I295)),"")</f>
        <v/>
      </c>
      <c r="G295" s="26" t="str">
        <f>IFERROR(IF('ŞİKAYET KAYIT'!P295="Kapatıldı","",IF('ŞİKAYET KAYIT'!J295="","",'ŞİKAYET KAYIT'!J295)),"")</f>
        <v/>
      </c>
      <c r="H295" s="26" t="str">
        <f>IFERROR(IF('ŞİKAYET KAYIT'!P295="Kapatıldı","",IF('ŞİKAYET KAYIT'!K295="","",'ŞİKAYET KAYIT'!K295)),"")</f>
        <v/>
      </c>
      <c r="I295" s="26" t="str">
        <f>IFERROR(IF('ŞİKAYET KAYIT'!P295="Kapatıldı","",IF('ŞİKAYET KAYIT'!L295="","",'ŞİKAYET KAYIT'!L295)),"")</f>
        <v/>
      </c>
      <c r="J295" s="26" t="str">
        <f>IFERROR(IF('ŞİKAYET KAYIT'!P295="Kapatıldı","",IF('ŞİKAYET KAYIT'!M295="","",'ŞİKAYET KAYIT'!M295)),"")</f>
        <v/>
      </c>
      <c r="K295" s="26" t="str">
        <f>IFERROR(IF('ŞİKAYET KAYIT'!P295="Kapatıldı","",IF('ŞİKAYET KAYIT'!N295="","",'ŞİKAYET KAYIT'!N295)),"")</f>
        <v/>
      </c>
      <c r="L295" s="26" t="str">
        <f>IFERROR(IF('ŞİKAYET KAYIT'!P295="Kapatıldı","",IF('ŞİKAYET KAYIT'!O295="","",'ŞİKAYET KAYIT'!O295)),"")</f>
        <v/>
      </c>
      <c r="M295" s="26" t="str">
        <f>IFERROR(IF('ŞİKAYET KAYIT'!P295="Kapatıldı","",IF('ŞİKAYET KAYIT'!P295="","",'ŞİKAYET KAYIT'!P295)),"")</f>
        <v/>
      </c>
    </row>
    <row r="296" spans="1:13" ht="15" customHeight="1" x14ac:dyDescent="0.3">
      <c r="A296" s="3" t="str">
        <f>IFERROR(IF('ŞİKAYET KAYIT'!P296="Kapatıldı","",IF('ŞİKAYET KAYIT'!A296="","",'ŞİKAYET KAYIT'!A296)),"")</f>
        <v/>
      </c>
      <c r="B296" s="5" t="str">
        <f>IFERROR(IF('ŞİKAYET KAYIT'!P296="Kapatıldı","",IF('ŞİKAYET KAYIT'!B296="","",'ŞİKAYET KAYIT'!B296)),"")</f>
        <v/>
      </c>
      <c r="C296" s="3" t="str">
        <f>IFERROR(IF('ŞİKAYET KAYIT'!P296="Kapatıldı","",IF('ŞİKAYET KAYIT'!D296="","",'ŞİKAYET KAYIT'!D296)),"")</f>
        <v/>
      </c>
      <c r="D296" s="3" t="str">
        <f>IFERROR(IF('ŞİKAYET KAYIT'!P296="Kapatıldı","",IF('ŞİKAYET KAYIT'!F296="","",'ŞİKAYET KAYIT'!F296)),"")</f>
        <v/>
      </c>
      <c r="E296" s="3" t="str">
        <f>IFERROR(IF('ŞİKAYET KAYIT'!P296="Kapatıldı","",IF('ŞİKAYET KAYIT'!H296="","",'ŞİKAYET KAYIT'!H296)),"")</f>
        <v/>
      </c>
      <c r="F296" s="3" t="str">
        <f>IFERROR(IF('ŞİKAYET KAYIT'!P296="Kapatıldı","",IF('ŞİKAYET KAYIT'!I296="","",'ŞİKAYET KAYIT'!I296)),"")</f>
        <v/>
      </c>
      <c r="G296" s="3" t="str">
        <f>IFERROR(IF('ŞİKAYET KAYIT'!P296="Kapatıldı","",IF('ŞİKAYET KAYIT'!J296="","",'ŞİKAYET KAYIT'!J296)),"")</f>
        <v/>
      </c>
      <c r="H296" s="3" t="str">
        <f>IFERROR(IF('ŞİKAYET KAYIT'!P296="Kapatıldı","",IF('ŞİKAYET KAYIT'!K296="","",'ŞİKAYET KAYIT'!K296)),"")</f>
        <v/>
      </c>
      <c r="I296" s="3" t="str">
        <f>IFERROR(IF('ŞİKAYET KAYIT'!P296="Kapatıldı","",IF('ŞİKAYET KAYIT'!L296="","",'ŞİKAYET KAYIT'!L296)),"")</f>
        <v/>
      </c>
      <c r="J296" s="3" t="str">
        <f>IFERROR(IF('ŞİKAYET KAYIT'!P296="Kapatıldı","",IF('ŞİKAYET KAYIT'!M296="","",'ŞİKAYET KAYIT'!M296)),"")</f>
        <v/>
      </c>
      <c r="K296" s="3" t="str">
        <f>IFERROR(IF('ŞİKAYET KAYIT'!P296="Kapatıldı","",IF('ŞİKAYET KAYIT'!N296="","",'ŞİKAYET KAYIT'!N296)),"")</f>
        <v/>
      </c>
      <c r="L296" s="3" t="str">
        <f>IFERROR(IF('ŞİKAYET KAYIT'!P296="Kapatıldı","",IF('ŞİKAYET KAYIT'!O296="","",'ŞİKAYET KAYIT'!O296)),"")</f>
        <v/>
      </c>
      <c r="M296" s="3" t="str">
        <f>IFERROR(IF('ŞİKAYET KAYIT'!P296="Kapatıldı","",IF('ŞİKAYET KAYIT'!P296="","",'ŞİKAYET KAYIT'!P296)),"")</f>
        <v/>
      </c>
    </row>
    <row r="297" spans="1:13" ht="15" customHeight="1" x14ac:dyDescent="0.3">
      <c r="A297" s="26" t="str">
        <f>IFERROR(IF('ŞİKAYET KAYIT'!P297="Kapatıldı","",IF('ŞİKAYET KAYIT'!A297="","",'ŞİKAYET KAYIT'!A297)),"")</f>
        <v/>
      </c>
      <c r="B297" s="8" t="str">
        <f>IFERROR(IF('ŞİKAYET KAYIT'!P297="Kapatıldı","",IF('ŞİKAYET KAYIT'!B297="","",'ŞİKAYET KAYIT'!B297)),"")</f>
        <v/>
      </c>
      <c r="C297" s="26" t="str">
        <f>IFERROR(IF('ŞİKAYET KAYIT'!P297="Kapatıldı","",IF('ŞİKAYET KAYIT'!D297="","",'ŞİKAYET KAYIT'!D297)),"")</f>
        <v/>
      </c>
      <c r="D297" s="26" t="str">
        <f>IFERROR(IF('ŞİKAYET KAYIT'!P297="Kapatıldı","",IF('ŞİKAYET KAYIT'!F297="","",'ŞİKAYET KAYIT'!F297)),"")</f>
        <v/>
      </c>
      <c r="E297" s="26" t="str">
        <f>IFERROR(IF('ŞİKAYET KAYIT'!P297="Kapatıldı","",IF('ŞİKAYET KAYIT'!H297="","",'ŞİKAYET KAYIT'!H297)),"")</f>
        <v/>
      </c>
      <c r="F297" s="26" t="str">
        <f>IFERROR(IF('ŞİKAYET KAYIT'!P297="Kapatıldı","",IF('ŞİKAYET KAYIT'!I297="","",'ŞİKAYET KAYIT'!I297)),"")</f>
        <v/>
      </c>
      <c r="G297" s="26" t="str">
        <f>IFERROR(IF('ŞİKAYET KAYIT'!P297="Kapatıldı","",IF('ŞİKAYET KAYIT'!J297="","",'ŞİKAYET KAYIT'!J297)),"")</f>
        <v/>
      </c>
      <c r="H297" s="26" t="str">
        <f>IFERROR(IF('ŞİKAYET KAYIT'!P297="Kapatıldı","",IF('ŞİKAYET KAYIT'!K297="","",'ŞİKAYET KAYIT'!K297)),"")</f>
        <v/>
      </c>
      <c r="I297" s="26" t="str">
        <f>IFERROR(IF('ŞİKAYET KAYIT'!P297="Kapatıldı","",IF('ŞİKAYET KAYIT'!L297="","",'ŞİKAYET KAYIT'!L297)),"")</f>
        <v/>
      </c>
      <c r="J297" s="26" t="str">
        <f>IFERROR(IF('ŞİKAYET KAYIT'!P297="Kapatıldı","",IF('ŞİKAYET KAYIT'!M297="","",'ŞİKAYET KAYIT'!M297)),"")</f>
        <v/>
      </c>
      <c r="K297" s="26" t="str">
        <f>IFERROR(IF('ŞİKAYET KAYIT'!P297="Kapatıldı","",IF('ŞİKAYET KAYIT'!N297="","",'ŞİKAYET KAYIT'!N297)),"")</f>
        <v/>
      </c>
      <c r="L297" s="26" t="str">
        <f>IFERROR(IF('ŞİKAYET KAYIT'!P297="Kapatıldı","",IF('ŞİKAYET KAYIT'!O297="","",'ŞİKAYET KAYIT'!O297)),"")</f>
        <v/>
      </c>
      <c r="M297" s="26" t="str">
        <f>IFERROR(IF('ŞİKAYET KAYIT'!P297="Kapatıldı","",IF('ŞİKAYET KAYIT'!P297="","",'ŞİKAYET KAYIT'!P297)),"")</f>
        <v/>
      </c>
    </row>
    <row r="298" spans="1:13" ht="15" customHeight="1" x14ac:dyDescent="0.3">
      <c r="A298" s="3" t="str">
        <f>IFERROR(IF('ŞİKAYET KAYIT'!P298="Kapatıldı","",IF('ŞİKAYET KAYIT'!A298="","",'ŞİKAYET KAYIT'!A298)),"")</f>
        <v/>
      </c>
      <c r="B298" s="5" t="str">
        <f>IFERROR(IF('ŞİKAYET KAYIT'!P298="Kapatıldı","",IF('ŞİKAYET KAYIT'!B298="","",'ŞİKAYET KAYIT'!B298)),"")</f>
        <v/>
      </c>
      <c r="C298" s="3" t="str">
        <f>IFERROR(IF('ŞİKAYET KAYIT'!P298="Kapatıldı","",IF('ŞİKAYET KAYIT'!D298="","",'ŞİKAYET KAYIT'!D298)),"")</f>
        <v/>
      </c>
      <c r="D298" s="3" t="str">
        <f>IFERROR(IF('ŞİKAYET KAYIT'!P298="Kapatıldı","",IF('ŞİKAYET KAYIT'!F298="","",'ŞİKAYET KAYIT'!F298)),"")</f>
        <v/>
      </c>
      <c r="E298" s="3" t="str">
        <f>IFERROR(IF('ŞİKAYET KAYIT'!P298="Kapatıldı","",IF('ŞİKAYET KAYIT'!H298="","",'ŞİKAYET KAYIT'!H298)),"")</f>
        <v/>
      </c>
      <c r="F298" s="3" t="str">
        <f>IFERROR(IF('ŞİKAYET KAYIT'!P298="Kapatıldı","",IF('ŞİKAYET KAYIT'!I298="","",'ŞİKAYET KAYIT'!I298)),"")</f>
        <v/>
      </c>
      <c r="G298" s="3" t="str">
        <f>IFERROR(IF('ŞİKAYET KAYIT'!P298="Kapatıldı","",IF('ŞİKAYET KAYIT'!J298="","",'ŞİKAYET KAYIT'!J298)),"")</f>
        <v/>
      </c>
      <c r="H298" s="3" t="str">
        <f>IFERROR(IF('ŞİKAYET KAYIT'!P298="Kapatıldı","",IF('ŞİKAYET KAYIT'!K298="","",'ŞİKAYET KAYIT'!K298)),"")</f>
        <v/>
      </c>
      <c r="I298" s="3" t="str">
        <f>IFERROR(IF('ŞİKAYET KAYIT'!P298="Kapatıldı","",IF('ŞİKAYET KAYIT'!L298="","",'ŞİKAYET KAYIT'!L298)),"")</f>
        <v/>
      </c>
      <c r="J298" s="3" t="str">
        <f>IFERROR(IF('ŞİKAYET KAYIT'!P298="Kapatıldı","",IF('ŞİKAYET KAYIT'!M298="","",'ŞİKAYET KAYIT'!M298)),"")</f>
        <v/>
      </c>
      <c r="K298" s="3" t="str">
        <f>IFERROR(IF('ŞİKAYET KAYIT'!P298="Kapatıldı","",IF('ŞİKAYET KAYIT'!N298="","",'ŞİKAYET KAYIT'!N298)),"")</f>
        <v/>
      </c>
      <c r="L298" s="3" t="str">
        <f>IFERROR(IF('ŞİKAYET KAYIT'!P298="Kapatıldı","",IF('ŞİKAYET KAYIT'!O298="","",'ŞİKAYET KAYIT'!O298)),"")</f>
        <v/>
      </c>
      <c r="M298" s="3" t="str">
        <f>IFERROR(IF('ŞİKAYET KAYIT'!P298="Kapatıldı","",IF('ŞİKAYET KAYIT'!P298="","",'ŞİKAYET KAYIT'!P298)),"")</f>
        <v/>
      </c>
    </row>
    <row r="299" spans="1:13" ht="15" customHeight="1" x14ac:dyDescent="0.3">
      <c r="A299" s="26" t="str">
        <f>IFERROR(IF('ŞİKAYET KAYIT'!P299="Kapatıldı","",IF('ŞİKAYET KAYIT'!A299="","",'ŞİKAYET KAYIT'!A299)),"")</f>
        <v/>
      </c>
      <c r="B299" s="8" t="str">
        <f>IFERROR(IF('ŞİKAYET KAYIT'!P299="Kapatıldı","",IF('ŞİKAYET KAYIT'!B299="","",'ŞİKAYET KAYIT'!B299)),"")</f>
        <v/>
      </c>
      <c r="C299" s="26" t="str">
        <f>IFERROR(IF('ŞİKAYET KAYIT'!P299="Kapatıldı","",IF('ŞİKAYET KAYIT'!D299="","",'ŞİKAYET KAYIT'!D299)),"")</f>
        <v/>
      </c>
      <c r="D299" s="26" t="str">
        <f>IFERROR(IF('ŞİKAYET KAYIT'!P299="Kapatıldı","",IF('ŞİKAYET KAYIT'!F299="","",'ŞİKAYET KAYIT'!F299)),"")</f>
        <v/>
      </c>
      <c r="E299" s="26" t="str">
        <f>IFERROR(IF('ŞİKAYET KAYIT'!P299="Kapatıldı","",IF('ŞİKAYET KAYIT'!H299="","",'ŞİKAYET KAYIT'!H299)),"")</f>
        <v/>
      </c>
      <c r="F299" s="26" t="str">
        <f>IFERROR(IF('ŞİKAYET KAYIT'!P299="Kapatıldı","",IF('ŞİKAYET KAYIT'!I299="","",'ŞİKAYET KAYIT'!I299)),"")</f>
        <v/>
      </c>
      <c r="G299" s="26" t="str">
        <f>IFERROR(IF('ŞİKAYET KAYIT'!P299="Kapatıldı","",IF('ŞİKAYET KAYIT'!J299="","",'ŞİKAYET KAYIT'!J299)),"")</f>
        <v/>
      </c>
      <c r="H299" s="26" t="str">
        <f>IFERROR(IF('ŞİKAYET KAYIT'!P299="Kapatıldı","",IF('ŞİKAYET KAYIT'!K299="","",'ŞİKAYET KAYIT'!K299)),"")</f>
        <v/>
      </c>
      <c r="I299" s="26" t="str">
        <f>IFERROR(IF('ŞİKAYET KAYIT'!P299="Kapatıldı","",IF('ŞİKAYET KAYIT'!L299="","",'ŞİKAYET KAYIT'!L299)),"")</f>
        <v/>
      </c>
      <c r="J299" s="26" t="str">
        <f>IFERROR(IF('ŞİKAYET KAYIT'!P299="Kapatıldı","",IF('ŞİKAYET KAYIT'!M299="","",'ŞİKAYET KAYIT'!M299)),"")</f>
        <v/>
      </c>
      <c r="K299" s="26" t="str">
        <f>IFERROR(IF('ŞİKAYET KAYIT'!P299="Kapatıldı","",IF('ŞİKAYET KAYIT'!N299="","",'ŞİKAYET KAYIT'!N299)),"")</f>
        <v/>
      </c>
      <c r="L299" s="26" t="str">
        <f>IFERROR(IF('ŞİKAYET KAYIT'!P299="Kapatıldı","",IF('ŞİKAYET KAYIT'!O299="","",'ŞİKAYET KAYIT'!O299)),"")</f>
        <v/>
      </c>
      <c r="M299" s="26" t="str">
        <f>IFERROR(IF('ŞİKAYET KAYIT'!P299="Kapatıldı","",IF('ŞİKAYET KAYIT'!P299="","",'ŞİKAYET KAYIT'!P299)),"")</f>
        <v/>
      </c>
    </row>
    <row r="300" spans="1:13" ht="15" customHeight="1" x14ac:dyDescent="0.3">
      <c r="A300" s="3" t="str">
        <f>IFERROR(IF('ŞİKAYET KAYIT'!P300="Kapatıldı","",IF('ŞİKAYET KAYIT'!A300="","",'ŞİKAYET KAYIT'!A300)),"")</f>
        <v/>
      </c>
      <c r="B300" s="5" t="str">
        <f>IFERROR(IF('ŞİKAYET KAYIT'!P300="Kapatıldı","",IF('ŞİKAYET KAYIT'!B300="","",'ŞİKAYET KAYIT'!B300)),"")</f>
        <v/>
      </c>
      <c r="C300" s="3" t="str">
        <f>IFERROR(IF('ŞİKAYET KAYIT'!P300="Kapatıldı","",IF('ŞİKAYET KAYIT'!D300="","",'ŞİKAYET KAYIT'!D300)),"")</f>
        <v/>
      </c>
      <c r="D300" s="3" t="str">
        <f>IFERROR(IF('ŞİKAYET KAYIT'!P300="Kapatıldı","",IF('ŞİKAYET KAYIT'!F300="","",'ŞİKAYET KAYIT'!F300)),"")</f>
        <v/>
      </c>
      <c r="E300" s="3" t="str">
        <f>IFERROR(IF('ŞİKAYET KAYIT'!P300="Kapatıldı","",IF('ŞİKAYET KAYIT'!H300="","",'ŞİKAYET KAYIT'!H300)),"")</f>
        <v/>
      </c>
      <c r="F300" s="3" t="str">
        <f>IFERROR(IF('ŞİKAYET KAYIT'!P300="Kapatıldı","",IF('ŞİKAYET KAYIT'!I300="","",'ŞİKAYET KAYIT'!I300)),"")</f>
        <v/>
      </c>
      <c r="G300" s="3" t="str">
        <f>IFERROR(IF('ŞİKAYET KAYIT'!P300="Kapatıldı","",IF('ŞİKAYET KAYIT'!J300="","",'ŞİKAYET KAYIT'!J300)),"")</f>
        <v/>
      </c>
      <c r="H300" s="3" t="str">
        <f>IFERROR(IF('ŞİKAYET KAYIT'!P300="Kapatıldı","",IF('ŞİKAYET KAYIT'!K300="","",'ŞİKAYET KAYIT'!K300)),"")</f>
        <v/>
      </c>
      <c r="I300" s="3" t="str">
        <f>IFERROR(IF('ŞİKAYET KAYIT'!P300="Kapatıldı","",IF('ŞİKAYET KAYIT'!L300="","",'ŞİKAYET KAYIT'!L300)),"")</f>
        <v/>
      </c>
      <c r="J300" s="3" t="str">
        <f>IFERROR(IF('ŞİKAYET KAYIT'!P300="Kapatıldı","",IF('ŞİKAYET KAYIT'!M300="","",'ŞİKAYET KAYIT'!M300)),"")</f>
        <v/>
      </c>
      <c r="K300" s="3" t="str">
        <f>IFERROR(IF('ŞİKAYET KAYIT'!P300="Kapatıldı","",IF('ŞİKAYET KAYIT'!N300="","",'ŞİKAYET KAYIT'!N300)),"")</f>
        <v/>
      </c>
      <c r="L300" s="3" t="str">
        <f>IFERROR(IF('ŞİKAYET KAYIT'!P300="Kapatıldı","",IF('ŞİKAYET KAYIT'!O300="","",'ŞİKAYET KAYIT'!O300)),"")</f>
        <v/>
      </c>
      <c r="M300" s="3" t="str">
        <f>IFERROR(IF('ŞİKAYET KAYIT'!P300="Kapatıldı","",IF('ŞİKAYET KAYIT'!P300="","",'ŞİKAYET KAYIT'!P300)),"")</f>
        <v/>
      </c>
    </row>
    <row r="301" spans="1:13" ht="15" customHeight="1" x14ac:dyDescent="0.3">
      <c r="A301" s="26" t="str">
        <f>IFERROR(IF('ŞİKAYET KAYIT'!P301="Kapatıldı","",IF('ŞİKAYET KAYIT'!A301="","",'ŞİKAYET KAYIT'!A301)),"")</f>
        <v/>
      </c>
      <c r="B301" s="8" t="str">
        <f>IFERROR(IF('ŞİKAYET KAYIT'!P301="Kapatıldı","",IF('ŞİKAYET KAYIT'!B301="","",'ŞİKAYET KAYIT'!B301)),"")</f>
        <v/>
      </c>
      <c r="C301" s="26" t="str">
        <f>IFERROR(IF('ŞİKAYET KAYIT'!P301="Kapatıldı","",IF('ŞİKAYET KAYIT'!D301="","",'ŞİKAYET KAYIT'!D301)),"")</f>
        <v/>
      </c>
      <c r="D301" s="26" t="str">
        <f>IFERROR(IF('ŞİKAYET KAYIT'!P301="Kapatıldı","",IF('ŞİKAYET KAYIT'!F301="","",'ŞİKAYET KAYIT'!F301)),"")</f>
        <v/>
      </c>
      <c r="E301" s="26" t="str">
        <f>IFERROR(IF('ŞİKAYET KAYIT'!P301="Kapatıldı","",IF('ŞİKAYET KAYIT'!H301="","",'ŞİKAYET KAYIT'!H301)),"")</f>
        <v/>
      </c>
      <c r="F301" s="26" t="str">
        <f>IFERROR(IF('ŞİKAYET KAYIT'!P301="Kapatıldı","",IF('ŞİKAYET KAYIT'!I301="","",'ŞİKAYET KAYIT'!I301)),"")</f>
        <v/>
      </c>
      <c r="G301" s="26" t="str">
        <f>IFERROR(IF('ŞİKAYET KAYIT'!P301="Kapatıldı","",IF('ŞİKAYET KAYIT'!J301="","",'ŞİKAYET KAYIT'!J301)),"")</f>
        <v/>
      </c>
      <c r="H301" s="26" t="str">
        <f>IFERROR(IF('ŞİKAYET KAYIT'!P301="Kapatıldı","",IF('ŞİKAYET KAYIT'!K301="","",'ŞİKAYET KAYIT'!K301)),"")</f>
        <v/>
      </c>
      <c r="I301" s="26" t="str">
        <f>IFERROR(IF('ŞİKAYET KAYIT'!P301="Kapatıldı","",IF('ŞİKAYET KAYIT'!L301="","",'ŞİKAYET KAYIT'!L301)),"")</f>
        <v/>
      </c>
      <c r="J301" s="26" t="str">
        <f>IFERROR(IF('ŞİKAYET KAYIT'!P301="Kapatıldı","",IF('ŞİKAYET KAYIT'!M301="","",'ŞİKAYET KAYIT'!M301)),"")</f>
        <v/>
      </c>
      <c r="K301" s="26" t="str">
        <f>IFERROR(IF('ŞİKAYET KAYIT'!P301="Kapatıldı","",IF('ŞİKAYET KAYIT'!N301="","",'ŞİKAYET KAYIT'!N301)),"")</f>
        <v/>
      </c>
      <c r="L301" s="26" t="str">
        <f>IFERROR(IF('ŞİKAYET KAYIT'!P301="Kapatıldı","",IF('ŞİKAYET KAYIT'!O301="","",'ŞİKAYET KAYIT'!O301)),"")</f>
        <v/>
      </c>
      <c r="M301" s="26" t="str">
        <f>IFERROR(IF('ŞİKAYET KAYIT'!P301="Kapatıldı","",IF('ŞİKAYET KAYIT'!P301="","",'ŞİKAYET KAYIT'!P301)),"")</f>
        <v/>
      </c>
    </row>
    <row r="302" spans="1:13" ht="15" customHeight="1" x14ac:dyDescent="0.3">
      <c r="A302" s="3" t="str">
        <f>IFERROR(IF('ŞİKAYET KAYIT'!P302="Kapatıldı","",IF('ŞİKAYET KAYIT'!A302="","",'ŞİKAYET KAYIT'!A302)),"")</f>
        <v/>
      </c>
      <c r="B302" s="5" t="str">
        <f>IFERROR(IF('ŞİKAYET KAYIT'!P302="Kapatıldı","",IF('ŞİKAYET KAYIT'!B302="","",'ŞİKAYET KAYIT'!B302)),"")</f>
        <v/>
      </c>
      <c r="C302" s="3" t="str">
        <f>IFERROR(IF('ŞİKAYET KAYIT'!P302="Kapatıldı","",IF('ŞİKAYET KAYIT'!D302="","",'ŞİKAYET KAYIT'!D302)),"")</f>
        <v/>
      </c>
      <c r="D302" s="3" t="str">
        <f>IFERROR(IF('ŞİKAYET KAYIT'!P302="Kapatıldı","",IF('ŞİKAYET KAYIT'!F302="","",'ŞİKAYET KAYIT'!F302)),"")</f>
        <v/>
      </c>
      <c r="E302" s="3" t="str">
        <f>IFERROR(IF('ŞİKAYET KAYIT'!P302="Kapatıldı","",IF('ŞİKAYET KAYIT'!H302="","",'ŞİKAYET KAYIT'!H302)),"")</f>
        <v/>
      </c>
      <c r="F302" s="3" t="str">
        <f>IFERROR(IF('ŞİKAYET KAYIT'!P302="Kapatıldı","",IF('ŞİKAYET KAYIT'!I302="","",'ŞİKAYET KAYIT'!I302)),"")</f>
        <v/>
      </c>
      <c r="G302" s="3" t="str">
        <f>IFERROR(IF('ŞİKAYET KAYIT'!P302="Kapatıldı","",IF('ŞİKAYET KAYIT'!J302="","",'ŞİKAYET KAYIT'!J302)),"")</f>
        <v/>
      </c>
      <c r="H302" s="3" t="str">
        <f>IFERROR(IF('ŞİKAYET KAYIT'!P302="Kapatıldı","",IF('ŞİKAYET KAYIT'!K302="","",'ŞİKAYET KAYIT'!K302)),"")</f>
        <v/>
      </c>
      <c r="I302" s="3" t="str">
        <f>IFERROR(IF('ŞİKAYET KAYIT'!P302="Kapatıldı","",IF('ŞİKAYET KAYIT'!L302="","",'ŞİKAYET KAYIT'!L302)),"")</f>
        <v/>
      </c>
      <c r="J302" s="3" t="str">
        <f>IFERROR(IF('ŞİKAYET KAYIT'!P302="Kapatıldı","",IF('ŞİKAYET KAYIT'!M302="","",'ŞİKAYET KAYIT'!M302)),"")</f>
        <v/>
      </c>
      <c r="K302" s="3" t="str">
        <f>IFERROR(IF('ŞİKAYET KAYIT'!P302="Kapatıldı","",IF('ŞİKAYET KAYIT'!N302="","",'ŞİKAYET KAYIT'!N302)),"")</f>
        <v/>
      </c>
      <c r="L302" s="3" t="str">
        <f>IFERROR(IF('ŞİKAYET KAYIT'!P302="Kapatıldı","",IF('ŞİKAYET KAYIT'!O302="","",'ŞİKAYET KAYIT'!O302)),"")</f>
        <v/>
      </c>
      <c r="M302" s="3" t="str">
        <f>IFERROR(IF('ŞİKAYET KAYIT'!P302="Kapatıldı","",IF('ŞİKAYET KAYIT'!P302="","",'ŞİKAYET KAYIT'!P302)),"")</f>
        <v/>
      </c>
    </row>
    <row r="303" spans="1:13" ht="15" customHeight="1" x14ac:dyDescent="0.3">
      <c r="A303" s="26" t="str">
        <f>IFERROR(IF('ŞİKAYET KAYIT'!P303="Kapatıldı","",IF('ŞİKAYET KAYIT'!A303="","",'ŞİKAYET KAYIT'!A303)),"")</f>
        <v/>
      </c>
      <c r="B303" s="8" t="str">
        <f>IFERROR(IF('ŞİKAYET KAYIT'!P303="Kapatıldı","",IF('ŞİKAYET KAYIT'!B303="","",'ŞİKAYET KAYIT'!B303)),"")</f>
        <v/>
      </c>
      <c r="C303" s="26" t="str">
        <f>IFERROR(IF('ŞİKAYET KAYIT'!P303="Kapatıldı","",IF('ŞİKAYET KAYIT'!D303="","",'ŞİKAYET KAYIT'!D303)),"")</f>
        <v/>
      </c>
      <c r="D303" s="26" t="str">
        <f>IFERROR(IF('ŞİKAYET KAYIT'!P303="Kapatıldı","",IF('ŞİKAYET KAYIT'!F303="","",'ŞİKAYET KAYIT'!F303)),"")</f>
        <v/>
      </c>
      <c r="E303" s="26" t="str">
        <f>IFERROR(IF('ŞİKAYET KAYIT'!P303="Kapatıldı","",IF('ŞİKAYET KAYIT'!H303="","",'ŞİKAYET KAYIT'!H303)),"")</f>
        <v/>
      </c>
      <c r="F303" s="26" t="str">
        <f>IFERROR(IF('ŞİKAYET KAYIT'!P303="Kapatıldı","",IF('ŞİKAYET KAYIT'!I303="","",'ŞİKAYET KAYIT'!I303)),"")</f>
        <v/>
      </c>
      <c r="G303" s="26" t="str">
        <f>IFERROR(IF('ŞİKAYET KAYIT'!P303="Kapatıldı","",IF('ŞİKAYET KAYIT'!J303="","",'ŞİKAYET KAYIT'!J303)),"")</f>
        <v/>
      </c>
      <c r="H303" s="26" t="str">
        <f>IFERROR(IF('ŞİKAYET KAYIT'!P303="Kapatıldı","",IF('ŞİKAYET KAYIT'!K303="","",'ŞİKAYET KAYIT'!K303)),"")</f>
        <v/>
      </c>
      <c r="I303" s="26" t="str">
        <f>IFERROR(IF('ŞİKAYET KAYIT'!P303="Kapatıldı","",IF('ŞİKAYET KAYIT'!L303="","",'ŞİKAYET KAYIT'!L303)),"")</f>
        <v/>
      </c>
      <c r="J303" s="26" t="str">
        <f>IFERROR(IF('ŞİKAYET KAYIT'!P303="Kapatıldı","",IF('ŞİKAYET KAYIT'!M303="","",'ŞİKAYET KAYIT'!M303)),"")</f>
        <v/>
      </c>
      <c r="K303" s="26" t="str">
        <f>IFERROR(IF('ŞİKAYET KAYIT'!P303="Kapatıldı","",IF('ŞİKAYET KAYIT'!N303="","",'ŞİKAYET KAYIT'!N303)),"")</f>
        <v/>
      </c>
      <c r="L303" s="26" t="str">
        <f>IFERROR(IF('ŞİKAYET KAYIT'!P303="Kapatıldı","",IF('ŞİKAYET KAYIT'!O303="","",'ŞİKAYET KAYIT'!O303)),"")</f>
        <v/>
      </c>
      <c r="M303" s="26" t="str">
        <f>IFERROR(IF('ŞİKAYET KAYIT'!P303="Kapatıldı","",IF('ŞİKAYET KAYIT'!P303="","",'ŞİKAYET KAYIT'!P303)),"")</f>
        <v/>
      </c>
    </row>
    <row r="304" spans="1:13" ht="15" customHeight="1" x14ac:dyDescent="0.3">
      <c r="A304" s="3" t="str">
        <f>IFERROR(IF('ŞİKAYET KAYIT'!P304="Kapatıldı","",IF('ŞİKAYET KAYIT'!A304="","",'ŞİKAYET KAYIT'!A304)),"")</f>
        <v/>
      </c>
      <c r="B304" s="5" t="str">
        <f>IFERROR(IF('ŞİKAYET KAYIT'!P304="Kapatıldı","",IF('ŞİKAYET KAYIT'!B304="","",'ŞİKAYET KAYIT'!B304)),"")</f>
        <v/>
      </c>
      <c r="C304" s="3" t="str">
        <f>IFERROR(IF('ŞİKAYET KAYIT'!P304="Kapatıldı","",IF('ŞİKAYET KAYIT'!D304="","",'ŞİKAYET KAYIT'!D304)),"")</f>
        <v/>
      </c>
      <c r="D304" s="3" t="str">
        <f>IFERROR(IF('ŞİKAYET KAYIT'!P304="Kapatıldı","",IF('ŞİKAYET KAYIT'!F304="","",'ŞİKAYET KAYIT'!F304)),"")</f>
        <v/>
      </c>
      <c r="E304" s="3" t="str">
        <f>IFERROR(IF('ŞİKAYET KAYIT'!P304="Kapatıldı","",IF('ŞİKAYET KAYIT'!H304="","",'ŞİKAYET KAYIT'!H304)),"")</f>
        <v/>
      </c>
      <c r="F304" s="3" t="str">
        <f>IFERROR(IF('ŞİKAYET KAYIT'!P304="Kapatıldı","",IF('ŞİKAYET KAYIT'!I304="","",'ŞİKAYET KAYIT'!I304)),"")</f>
        <v/>
      </c>
      <c r="G304" s="3" t="str">
        <f>IFERROR(IF('ŞİKAYET KAYIT'!P304="Kapatıldı","",IF('ŞİKAYET KAYIT'!J304="","",'ŞİKAYET KAYIT'!J304)),"")</f>
        <v/>
      </c>
      <c r="H304" s="3" t="str">
        <f>IFERROR(IF('ŞİKAYET KAYIT'!P304="Kapatıldı","",IF('ŞİKAYET KAYIT'!K304="","",'ŞİKAYET KAYIT'!K304)),"")</f>
        <v/>
      </c>
      <c r="I304" s="3" t="str">
        <f>IFERROR(IF('ŞİKAYET KAYIT'!P304="Kapatıldı","",IF('ŞİKAYET KAYIT'!L304="","",'ŞİKAYET KAYIT'!L304)),"")</f>
        <v/>
      </c>
      <c r="J304" s="3" t="str">
        <f>IFERROR(IF('ŞİKAYET KAYIT'!P304="Kapatıldı","",IF('ŞİKAYET KAYIT'!M304="","",'ŞİKAYET KAYIT'!M304)),"")</f>
        <v/>
      </c>
      <c r="K304" s="3" t="str">
        <f>IFERROR(IF('ŞİKAYET KAYIT'!P304="Kapatıldı","",IF('ŞİKAYET KAYIT'!N304="","",'ŞİKAYET KAYIT'!N304)),"")</f>
        <v/>
      </c>
      <c r="L304" s="3" t="str">
        <f>IFERROR(IF('ŞİKAYET KAYIT'!P304="Kapatıldı","",IF('ŞİKAYET KAYIT'!O304="","",'ŞİKAYET KAYIT'!O304)),"")</f>
        <v/>
      </c>
      <c r="M304" s="3" t="str">
        <f>IFERROR(IF('ŞİKAYET KAYIT'!P304="Kapatıldı","",IF('ŞİKAYET KAYIT'!P304="","",'ŞİKAYET KAYIT'!P304)),"")</f>
        <v/>
      </c>
    </row>
    <row r="305" spans="1:13" ht="15" customHeight="1" x14ac:dyDescent="0.3">
      <c r="A305" s="26" t="str">
        <f>IFERROR(IF('ŞİKAYET KAYIT'!P305="Kapatıldı","",IF('ŞİKAYET KAYIT'!A305="","",'ŞİKAYET KAYIT'!A305)),"")</f>
        <v/>
      </c>
      <c r="B305" s="8" t="str">
        <f>IFERROR(IF('ŞİKAYET KAYIT'!P305="Kapatıldı","",IF('ŞİKAYET KAYIT'!B305="","",'ŞİKAYET KAYIT'!B305)),"")</f>
        <v/>
      </c>
      <c r="C305" s="26" t="str">
        <f>IFERROR(IF('ŞİKAYET KAYIT'!P305="Kapatıldı","",IF('ŞİKAYET KAYIT'!D305="","",'ŞİKAYET KAYIT'!D305)),"")</f>
        <v/>
      </c>
      <c r="D305" s="26" t="str">
        <f>IFERROR(IF('ŞİKAYET KAYIT'!P305="Kapatıldı","",IF('ŞİKAYET KAYIT'!F305="","",'ŞİKAYET KAYIT'!F305)),"")</f>
        <v/>
      </c>
      <c r="E305" s="26" t="str">
        <f>IFERROR(IF('ŞİKAYET KAYIT'!P305="Kapatıldı","",IF('ŞİKAYET KAYIT'!H305="","",'ŞİKAYET KAYIT'!H305)),"")</f>
        <v/>
      </c>
      <c r="F305" s="26" t="str">
        <f>IFERROR(IF('ŞİKAYET KAYIT'!P305="Kapatıldı","",IF('ŞİKAYET KAYIT'!I305="","",'ŞİKAYET KAYIT'!I305)),"")</f>
        <v/>
      </c>
      <c r="G305" s="26" t="str">
        <f>IFERROR(IF('ŞİKAYET KAYIT'!P305="Kapatıldı","",IF('ŞİKAYET KAYIT'!J305="","",'ŞİKAYET KAYIT'!J305)),"")</f>
        <v/>
      </c>
      <c r="H305" s="26" t="str">
        <f>IFERROR(IF('ŞİKAYET KAYIT'!P305="Kapatıldı","",IF('ŞİKAYET KAYIT'!K305="","",'ŞİKAYET KAYIT'!K305)),"")</f>
        <v/>
      </c>
      <c r="I305" s="26" t="str">
        <f>IFERROR(IF('ŞİKAYET KAYIT'!P305="Kapatıldı","",IF('ŞİKAYET KAYIT'!L305="","",'ŞİKAYET KAYIT'!L305)),"")</f>
        <v/>
      </c>
      <c r="J305" s="26" t="str">
        <f>IFERROR(IF('ŞİKAYET KAYIT'!P305="Kapatıldı","",IF('ŞİKAYET KAYIT'!M305="","",'ŞİKAYET KAYIT'!M305)),"")</f>
        <v/>
      </c>
      <c r="K305" s="26" t="str">
        <f>IFERROR(IF('ŞİKAYET KAYIT'!P305="Kapatıldı","",IF('ŞİKAYET KAYIT'!N305="","",'ŞİKAYET KAYIT'!N305)),"")</f>
        <v/>
      </c>
      <c r="L305" s="26" t="str">
        <f>IFERROR(IF('ŞİKAYET KAYIT'!P305="Kapatıldı","",IF('ŞİKAYET KAYIT'!O305="","",'ŞİKAYET KAYIT'!O305)),"")</f>
        <v/>
      </c>
      <c r="M305" s="26" t="str">
        <f>IFERROR(IF('ŞİKAYET KAYIT'!P305="Kapatıldı","",IF('ŞİKAYET KAYIT'!P305="","",'ŞİKAYET KAYIT'!P305)),"")</f>
        <v/>
      </c>
    </row>
    <row r="306" spans="1:13" ht="15" customHeight="1" x14ac:dyDescent="0.3">
      <c r="A306" s="3" t="str">
        <f>IFERROR(IF('ŞİKAYET KAYIT'!P306="Kapatıldı","",IF('ŞİKAYET KAYIT'!A306="","",'ŞİKAYET KAYIT'!A306)),"")</f>
        <v/>
      </c>
      <c r="B306" s="5" t="str">
        <f>IFERROR(IF('ŞİKAYET KAYIT'!P306="Kapatıldı","",IF('ŞİKAYET KAYIT'!B306="","",'ŞİKAYET KAYIT'!B306)),"")</f>
        <v/>
      </c>
      <c r="C306" s="3" t="str">
        <f>IFERROR(IF('ŞİKAYET KAYIT'!P306="Kapatıldı","",IF('ŞİKAYET KAYIT'!D306="","",'ŞİKAYET KAYIT'!D306)),"")</f>
        <v/>
      </c>
      <c r="D306" s="3" t="str">
        <f>IFERROR(IF('ŞİKAYET KAYIT'!P306="Kapatıldı","",IF('ŞİKAYET KAYIT'!F306="","",'ŞİKAYET KAYIT'!F306)),"")</f>
        <v/>
      </c>
      <c r="E306" s="3" t="str">
        <f>IFERROR(IF('ŞİKAYET KAYIT'!P306="Kapatıldı","",IF('ŞİKAYET KAYIT'!H306="","",'ŞİKAYET KAYIT'!H306)),"")</f>
        <v/>
      </c>
      <c r="F306" s="3" t="str">
        <f>IFERROR(IF('ŞİKAYET KAYIT'!P306="Kapatıldı","",IF('ŞİKAYET KAYIT'!I306="","",'ŞİKAYET KAYIT'!I306)),"")</f>
        <v/>
      </c>
      <c r="G306" s="3" t="str">
        <f>IFERROR(IF('ŞİKAYET KAYIT'!P306="Kapatıldı","",IF('ŞİKAYET KAYIT'!J306="","",'ŞİKAYET KAYIT'!J306)),"")</f>
        <v/>
      </c>
      <c r="H306" s="3" t="str">
        <f>IFERROR(IF('ŞİKAYET KAYIT'!P306="Kapatıldı","",IF('ŞİKAYET KAYIT'!K306="","",'ŞİKAYET KAYIT'!K306)),"")</f>
        <v/>
      </c>
      <c r="I306" s="3" t="str">
        <f>IFERROR(IF('ŞİKAYET KAYIT'!P306="Kapatıldı","",IF('ŞİKAYET KAYIT'!L306="","",'ŞİKAYET KAYIT'!L306)),"")</f>
        <v/>
      </c>
      <c r="J306" s="3" t="str">
        <f>IFERROR(IF('ŞİKAYET KAYIT'!P306="Kapatıldı","",IF('ŞİKAYET KAYIT'!M306="","",'ŞİKAYET KAYIT'!M306)),"")</f>
        <v/>
      </c>
      <c r="K306" s="3" t="str">
        <f>IFERROR(IF('ŞİKAYET KAYIT'!P306="Kapatıldı","",IF('ŞİKAYET KAYIT'!N306="","",'ŞİKAYET KAYIT'!N306)),"")</f>
        <v/>
      </c>
      <c r="L306" s="3" t="str">
        <f>IFERROR(IF('ŞİKAYET KAYIT'!P306="Kapatıldı","",IF('ŞİKAYET KAYIT'!O306="","",'ŞİKAYET KAYIT'!O306)),"")</f>
        <v/>
      </c>
      <c r="M306" s="3" t="str">
        <f>IFERROR(IF('ŞİKAYET KAYIT'!P306="Kapatıldı","",IF('ŞİKAYET KAYIT'!P306="","",'ŞİKAYET KAYIT'!P306)),"")</f>
        <v/>
      </c>
    </row>
    <row r="307" spans="1:13" ht="15" customHeight="1" x14ac:dyDescent="0.3">
      <c r="A307" s="26" t="str">
        <f>IFERROR(IF('ŞİKAYET KAYIT'!P307="Kapatıldı","",IF('ŞİKAYET KAYIT'!A307="","",'ŞİKAYET KAYIT'!A307)),"")</f>
        <v/>
      </c>
      <c r="B307" s="8" t="str">
        <f>IFERROR(IF('ŞİKAYET KAYIT'!P307="Kapatıldı","",IF('ŞİKAYET KAYIT'!B307="","",'ŞİKAYET KAYIT'!B307)),"")</f>
        <v/>
      </c>
      <c r="C307" s="26" t="str">
        <f>IFERROR(IF('ŞİKAYET KAYIT'!P307="Kapatıldı","",IF('ŞİKAYET KAYIT'!D307="","",'ŞİKAYET KAYIT'!D307)),"")</f>
        <v/>
      </c>
      <c r="D307" s="26" t="str">
        <f>IFERROR(IF('ŞİKAYET KAYIT'!P307="Kapatıldı","",IF('ŞİKAYET KAYIT'!F307="","",'ŞİKAYET KAYIT'!F307)),"")</f>
        <v/>
      </c>
      <c r="E307" s="26" t="str">
        <f>IFERROR(IF('ŞİKAYET KAYIT'!P307="Kapatıldı","",IF('ŞİKAYET KAYIT'!H307="","",'ŞİKAYET KAYIT'!H307)),"")</f>
        <v/>
      </c>
      <c r="F307" s="26" t="str">
        <f>IFERROR(IF('ŞİKAYET KAYIT'!P307="Kapatıldı","",IF('ŞİKAYET KAYIT'!I307="","",'ŞİKAYET KAYIT'!I307)),"")</f>
        <v/>
      </c>
      <c r="G307" s="26" t="str">
        <f>IFERROR(IF('ŞİKAYET KAYIT'!P307="Kapatıldı","",IF('ŞİKAYET KAYIT'!J307="","",'ŞİKAYET KAYIT'!J307)),"")</f>
        <v/>
      </c>
      <c r="H307" s="26" t="str">
        <f>IFERROR(IF('ŞİKAYET KAYIT'!P307="Kapatıldı","",IF('ŞİKAYET KAYIT'!K307="","",'ŞİKAYET KAYIT'!K307)),"")</f>
        <v/>
      </c>
      <c r="I307" s="26" t="str">
        <f>IFERROR(IF('ŞİKAYET KAYIT'!P307="Kapatıldı","",IF('ŞİKAYET KAYIT'!L307="","",'ŞİKAYET KAYIT'!L307)),"")</f>
        <v/>
      </c>
      <c r="J307" s="26" t="str">
        <f>IFERROR(IF('ŞİKAYET KAYIT'!P307="Kapatıldı","",IF('ŞİKAYET KAYIT'!M307="","",'ŞİKAYET KAYIT'!M307)),"")</f>
        <v/>
      </c>
      <c r="K307" s="26" t="str">
        <f>IFERROR(IF('ŞİKAYET KAYIT'!P307="Kapatıldı","",IF('ŞİKAYET KAYIT'!N307="","",'ŞİKAYET KAYIT'!N307)),"")</f>
        <v/>
      </c>
      <c r="L307" s="26" t="str">
        <f>IFERROR(IF('ŞİKAYET KAYIT'!P307="Kapatıldı","",IF('ŞİKAYET KAYIT'!O307="","",'ŞİKAYET KAYIT'!O307)),"")</f>
        <v/>
      </c>
      <c r="M307" s="26" t="str">
        <f>IFERROR(IF('ŞİKAYET KAYIT'!P307="Kapatıldı","",IF('ŞİKAYET KAYIT'!P307="","",'ŞİKAYET KAYIT'!P307)),"")</f>
        <v/>
      </c>
    </row>
    <row r="308" spans="1:13" ht="15" customHeight="1" x14ac:dyDescent="0.3">
      <c r="A308" s="3" t="str">
        <f>IFERROR(IF('ŞİKAYET KAYIT'!P308="Kapatıldı","",IF('ŞİKAYET KAYIT'!A308="","",'ŞİKAYET KAYIT'!A308)),"")</f>
        <v/>
      </c>
      <c r="B308" s="5" t="str">
        <f>IFERROR(IF('ŞİKAYET KAYIT'!P308="Kapatıldı","",IF('ŞİKAYET KAYIT'!B308="","",'ŞİKAYET KAYIT'!B308)),"")</f>
        <v/>
      </c>
      <c r="C308" s="3" t="str">
        <f>IFERROR(IF('ŞİKAYET KAYIT'!P308="Kapatıldı","",IF('ŞİKAYET KAYIT'!D308="","",'ŞİKAYET KAYIT'!D308)),"")</f>
        <v/>
      </c>
      <c r="D308" s="3" t="str">
        <f>IFERROR(IF('ŞİKAYET KAYIT'!P308="Kapatıldı","",IF('ŞİKAYET KAYIT'!F308="","",'ŞİKAYET KAYIT'!F308)),"")</f>
        <v/>
      </c>
      <c r="E308" s="3" t="str">
        <f>IFERROR(IF('ŞİKAYET KAYIT'!P308="Kapatıldı","",IF('ŞİKAYET KAYIT'!H308="","",'ŞİKAYET KAYIT'!H308)),"")</f>
        <v/>
      </c>
      <c r="F308" s="3" t="str">
        <f>IFERROR(IF('ŞİKAYET KAYIT'!P308="Kapatıldı","",IF('ŞİKAYET KAYIT'!I308="","",'ŞİKAYET KAYIT'!I308)),"")</f>
        <v/>
      </c>
      <c r="G308" s="3" t="str">
        <f>IFERROR(IF('ŞİKAYET KAYIT'!P308="Kapatıldı","",IF('ŞİKAYET KAYIT'!J308="","",'ŞİKAYET KAYIT'!J308)),"")</f>
        <v/>
      </c>
      <c r="H308" s="3" t="str">
        <f>IFERROR(IF('ŞİKAYET KAYIT'!P308="Kapatıldı","",IF('ŞİKAYET KAYIT'!K308="","",'ŞİKAYET KAYIT'!K308)),"")</f>
        <v/>
      </c>
      <c r="I308" s="3" t="str">
        <f>IFERROR(IF('ŞİKAYET KAYIT'!P308="Kapatıldı","",IF('ŞİKAYET KAYIT'!L308="","",'ŞİKAYET KAYIT'!L308)),"")</f>
        <v/>
      </c>
      <c r="J308" s="3" t="str">
        <f>IFERROR(IF('ŞİKAYET KAYIT'!P308="Kapatıldı","",IF('ŞİKAYET KAYIT'!M308="","",'ŞİKAYET KAYIT'!M308)),"")</f>
        <v/>
      </c>
      <c r="K308" s="3" t="str">
        <f>IFERROR(IF('ŞİKAYET KAYIT'!P308="Kapatıldı","",IF('ŞİKAYET KAYIT'!N308="","",'ŞİKAYET KAYIT'!N308)),"")</f>
        <v/>
      </c>
      <c r="L308" s="3" t="str">
        <f>IFERROR(IF('ŞİKAYET KAYIT'!P308="Kapatıldı","",IF('ŞİKAYET KAYIT'!O308="","",'ŞİKAYET KAYIT'!O308)),"")</f>
        <v/>
      </c>
      <c r="M308" s="3" t="str">
        <f>IFERROR(IF('ŞİKAYET KAYIT'!P308="Kapatıldı","",IF('ŞİKAYET KAYIT'!P308="","",'ŞİKAYET KAYIT'!P308)),"")</f>
        <v/>
      </c>
    </row>
    <row r="309" spans="1:13" ht="15" customHeight="1" x14ac:dyDescent="0.3">
      <c r="A309" s="26" t="str">
        <f>IFERROR(IF('ŞİKAYET KAYIT'!P309="Kapatıldı","",IF('ŞİKAYET KAYIT'!A309="","",'ŞİKAYET KAYIT'!A309)),"")</f>
        <v/>
      </c>
      <c r="B309" s="8" t="str">
        <f>IFERROR(IF('ŞİKAYET KAYIT'!P309="Kapatıldı","",IF('ŞİKAYET KAYIT'!B309="","",'ŞİKAYET KAYIT'!B309)),"")</f>
        <v/>
      </c>
      <c r="C309" s="26" t="str">
        <f>IFERROR(IF('ŞİKAYET KAYIT'!P309="Kapatıldı","",IF('ŞİKAYET KAYIT'!D309="","",'ŞİKAYET KAYIT'!D309)),"")</f>
        <v/>
      </c>
      <c r="D309" s="26" t="str">
        <f>IFERROR(IF('ŞİKAYET KAYIT'!P309="Kapatıldı","",IF('ŞİKAYET KAYIT'!F309="","",'ŞİKAYET KAYIT'!F309)),"")</f>
        <v/>
      </c>
      <c r="E309" s="26" t="str">
        <f>IFERROR(IF('ŞİKAYET KAYIT'!P309="Kapatıldı","",IF('ŞİKAYET KAYIT'!H309="","",'ŞİKAYET KAYIT'!H309)),"")</f>
        <v/>
      </c>
      <c r="F309" s="26" t="str">
        <f>IFERROR(IF('ŞİKAYET KAYIT'!P309="Kapatıldı","",IF('ŞİKAYET KAYIT'!I309="","",'ŞİKAYET KAYIT'!I309)),"")</f>
        <v/>
      </c>
      <c r="G309" s="26" t="str">
        <f>IFERROR(IF('ŞİKAYET KAYIT'!P309="Kapatıldı","",IF('ŞİKAYET KAYIT'!J309="","",'ŞİKAYET KAYIT'!J309)),"")</f>
        <v/>
      </c>
      <c r="H309" s="26" t="str">
        <f>IFERROR(IF('ŞİKAYET KAYIT'!P309="Kapatıldı","",IF('ŞİKAYET KAYIT'!K309="","",'ŞİKAYET KAYIT'!K309)),"")</f>
        <v/>
      </c>
      <c r="I309" s="26" t="str">
        <f>IFERROR(IF('ŞİKAYET KAYIT'!P309="Kapatıldı","",IF('ŞİKAYET KAYIT'!L309="","",'ŞİKAYET KAYIT'!L309)),"")</f>
        <v/>
      </c>
      <c r="J309" s="26" t="str">
        <f>IFERROR(IF('ŞİKAYET KAYIT'!P309="Kapatıldı","",IF('ŞİKAYET KAYIT'!M309="","",'ŞİKAYET KAYIT'!M309)),"")</f>
        <v/>
      </c>
      <c r="K309" s="26" t="str">
        <f>IFERROR(IF('ŞİKAYET KAYIT'!P309="Kapatıldı","",IF('ŞİKAYET KAYIT'!N309="","",'ŞİKAYET KAYIT'!N309)),"")</f>
        <v/>
      </c>
      <c r="L309" s="26" t="str">
        <f>IFERROR(IF('ŞİKAYET KAYIT'!P309="Kapatıldı","",IF('ŞİKAYET KAYIT'!O309="","",'ŞİKAYET KAYIT'!O309)),"")</f>
        <v/>
      </c>
      <c r="M309" s="26" t="str">
        <f>IFERROR(IF('ŞİKAYET KAYIT'!P309="Kapatıldı","",IF('ŞİKAYET KAYIT'!P309="","",'ŞİKAYET KAYIT'!P309)),"")</f>
        <v/>
      </c>
    </row>
    <row r="310" spans="1:13" ht="15" customHeight="1" x14ac:dyDescent="0.3">
      <c r="A310" s="3" t="str">
        <f>IFERROR(IF('ŞİKAYET KAYIT'!P310="Kapatıldı","",IF('ŞİKAYET KAYIT'!A310="","",'ŞİKAYET KAYIT'!A310)),"")</f>
        <v/>
      </c>
      <c r="B310" s="5" t="str">
        <f>IFERROR(IF('ŞİKAYET KAYIT'!P310="Kapatıldı","",IF('ŞİKAYET KAYIT'!B310="","",'ŞİKAYET KAYIT'!B310)),"")</f>
        <v/>
      </c>
      <c r="C310" s="3" t="str">
        <f>IFERROR(IF('ŞİKAYET KAYIT'!P310="Kapatıldı","",IF('ŞİKAYET KAYIT'!D310="","",'ŞİKAYET KAYIT'!D310)),"")</f>
        <v/>
      </c>
      <c r="D310" s="3" t="str">
        <f>IFERROR(IF('ŞİKAYET KAYIT'!P310="Kapatıldı","",IF('ŞİKAYET KAYIT'!F310="","",'ŞİKAYET KAYIT'!F310)),"")</f>
        <v/>
      </c>
      <c r="E310" s="3" t="str">
        <f>IFERROR(IF('ŞİKAYET KAYIT'!P310="Kapatıldı","",IF('ŞİKAYET KAYIT'!H310="","",'ŞİKAYET KAYIT'!H310)),"")</f>
        <v/>
      </c>
      <c r="F310" s="3" t="str">
        <f>IFERROR(IF('ŞİKAYET KAYIT'!P310="Kapatıldı","",IF('ŞİKAYET KAYIT'!I310="","",'ŞİKAYET KAYIT'!I310)),"")</f>
        <v/>
      </c>
      <c r="G310" s="3" t="str">
        <f>IFERROR(IF('ŞİKAYET KAYIT'!P310="Kapatıldı","",IF('ŞİKAYET KAYIT'!J310="","",'ŞİKAYET KAYIT'!J310)),"")</f>
        <v/>
      </c>
      <c r="H310" s="3" t="str">
        <f>IFERROR(IF('ŞİKAYET KAYIT'!P310="Kapatıldı","",IF('ŞİKAYET KAYIT'!K310="","",'ŞİKAYET KAYIT'!K310)),"")</f>
        <v/>
      </c>
      <c r="I310" s="3" t="str">
        <f>IFERROR(IF('ŞİKAYET KAYIT'!P310="Kapatıldı","",IF('ŞİKAYET KAYIT'!L310="","",'ŞİKAYET KAYIT'!L310)),"")</f>
        <v/>
      </c>
      <c r="J310" s="3" t="str">
        <f>IFERROR(IF('ŞİKAYET KAYIT'!P310="Kapatıldı","",IF('ŞİKAYET KAYIT'!M310="","",'ŞİKAYET KAYIT'!M310)),"")</f>
        <v/>
      </c>
      <c r="K310" s="3" t="str">
        <f>IFERROR(IF('ŞİKAYET KAYIT'!P310="Kapatıldı","",IF('ŞİKAYET KAYIT'!N310="","",'ŞİKAYET KAYIT'!N310)),"")</f>
        <v/>
      </c>
      <c r="L310" s="3" t="str">
        <f>IFERROR(IF('ŞİKAYET KAYIT'!P310="Kapatıldı","",IF('ŞİKAYET KAYIT'!O310="","",'ŞİKAYET KAYIT'!O310)),"")</f>
        <v/>
      </c>
      <c r="M310" s="3" t="str">
        <f>IFERROR(IF('ŞİKAYET KAYIT'!P310="Kapatıldı","",IF('ŞİKAYET KAYIT'!P310="","",'ŞİKAYET KAYIT'!P310)),"")</f>
        <v/>
      </c>
    </row>
    <row r="311" spans="1:13" ht="15" customHeight="1" x14ac:dyDescent="0.3">
      <c r="A311" s="26" t="str">
        <f>IFERROR(IF('ŞİKAYET KAYIT'!P311="Kapatıldı","",IF('ŞİKAYET KAYIT'!A311="","",'ŞİKAYET KAYIT'!A311)),"")</f>
        <v/>
      </c>
      <c r="B311" s="8" t="str">
        <f>IFERROR(IF('ŞİKAYET KAYIT'!P311="Kapatıldı","",IF('ŞİKAYET KAYIT'!B311="","",'ŞİKAYET KAYIT'!B311)),"")</f>
        <v/>
      </c>
      <c r="C311" s="26" t="str">
        <f>IFERROR(IF('ŞİKAYET KAYIT'!P311="Kapatıldı","",IF('ŞİKAYET KAYIT'!D311="","",'ŞİKAYET KAYIT'!D311)),"")</f>
        <v/>
      </c>
      <c r="D311" s="26" t="str">
        <f>IFERROR(IF('ŞİKAYET KAYIT'!P311="Kapatıldı","",IF('ŞİKAYET KAYIT'!F311="","",'ŞİKAYET KAYIT'!F311)),"")</f>
        <v/>
      </c>
      <c r="E311" s="26" t="str">
        <f>IFERROR(IF('ŞİKAYET KAYIT'!P311="Kapatıldı","",IF('ŞİKAYET KAYIT'!H311="","",'ŞİKAYET KAYIT'!H311)),"")</f>
        <v/>
      </c>
      <c r="F311" s="26" t="str">
        <f>IFERROR(IF('ŞİKAYET KAYIT'!P311="Kapatıldı","",IF('ŞİKAYET KAYIT'!I311="","",'ŞİKAYET KAYIT'!I311)),"")</f>
        <v/>
      </c>
      <c r="G311" s="26" t="str">
        <f>IFERROR(IF('ŞİKAYET KAYIT'!P311="Kapatıldı","",IF('ŞİKAYET KAYIT'!J311="","",'ŞİKAYET KAYIT'!J311)),"")</f>
        <v/>
      </c>
      <c r="H311" s="26" t="str">
        <f>IFERROR(IF('ŞİKAYET KAYIT'!P311="Kapatıldı","",IF('ŞİKAYET KAYIT'!K311="","",'ŞİKAYET KAYIT'!K311)),"")</f>
        <v/>
      </c>
      <c r="I311" s="26" t="str">
        <f>IFERROR(IF('ŞİKAYET KAYIT'!P311="Kapatıldı","",IF('ŞİKAYET KAYIT'!L311="","",'ŞİKAYET KAYIT'!L311)),"")</f>
        <v/>
      </c>
      <c r="J311" s="26" t="str">
        <f>IFERROR(IF('ŞİKAYET KAYIT'!P311="Kapatıldı","",IF('ŞİKAYET KAYIT'!M311="","",'ŞİKAYET KAYIT'!M311)),"")</f>
        <v/>
      </c>
      <c r="K311" s="26" t="str">
        <f>IFERROR(IF('ŞİKAYET KAYIT'!P311="Kapatıldı","",IF('ŞİKAYET KAYIT'!N311="","",'ŞİKAYET KAYIT'!N311)),"")</f>
        <v/>
      </c>
      <c r="L311" s="26" t="str">
        <f>IFERROR(IF('ŞİKAYET KAYIT'!P311="Kapatıldı","",IF('ŞİKAYET KAYIT'!O311="","",'ŞİKAYET KAYIT'!O311)),"")</f>
        <v/>
      </c>
      <c r="M311" s="26" t="str">
        <f>IFERROR(IF('ŞİKAYET KAYIT'!P311="Kapatıldı","",IF('ŞİKAYET KAYIT'!P311="","",'ŞİKAYET KAYIT'!P311)),"")</f>
        <v/>
      </c>
    </row>
    <row r="312" spans="1:13" ht="15" customHeight="1" x14ac:dyDescent="0.3">
      <c r="A312" s="3" t="str">
        <f>IFERROR(IF('ŞİKAYET KAYIT'!P312="Kapatıldı","",IF('ŞİKAYET KAYIT'!A312="","",'ŞİKAYET KAYIT'!A312)),"")</f>
        <v/>
      </c>
      <c r="B312" s="5" t="str">
        <f>IFERROR(IF('ŞİKAYET KAYIT'!P312="Kapatıldı","",IF('ŞİKAYET KAYIT'!B312="","",'ŞİKAYET KAYIT'!B312)),"")</f>
        <v/>
      </c>
      <c r="C312" s="3" t="str">
        <f>IFERROR(IF('ŞİKAYET KAYIT'!P312="Kapatıldı","",IF('ŞİKAYET KAYIT'!D312="","",'ŞİKAYET KAYIT'!D312)),"")</f>
        <v/>
      </c>
      <c r="D312" s="3" t="str">
        <f>IFERROR(IF('ŞİKAYET KAYIT'!P312="Kapatıldı","",IF('ŞİKAYET KAYIT'!F312="","",'ŞİKAYET KAYIT'!F312)),"")</f>
        <v/>
      </c>
      <c r="E312" s="3" t="str">
        <f>IFERROR(IF('ŞİKAYET KAYIT'!P312="Kapatıldı","",IF('ŞİKAYET KAYIT'!H312="","",'ŞİKAYET KAYIT'!H312)),"")</f>
        <v/>
      </c>
      <c r="F312" s="3" t="str">
        <f>IFERROR(IF('ŞİKAYET KAYIT'!P312="Kapatıldı","",IF('ŞİKAYET KAYIT'!I312="","",'ŞİKAYET KAYIT'!I312)),"")</f>
        <v/>
      </c>
      <c r="G312" s="3" t="str">
        <f>IFERROR(IF('ŞİKAYET KAYIT'!P312="Kapatıldı","",IF('ŞİKAYET KAYIT'!J312="","",'ŞİKAYET KAYIT'!J312)),"")</f>
        <v/>
      </c>
      <c r="H312" s="3" t="str">
        <f>IFERROR(IF('ŞİKAYET KAYIT'!P312="Kapatıldı","",IF('ŞİKAYET KAYIT'!K312="","",'ŞİKAYET KAYIT'!K312)),"")</f>
        <v/>
      </c>
      <c r="I312" s="3" t="str">
        <f>IFERROR(IF('ŞİKAYET KAYIT'!P312="Kapatıldı","",IF('ŞİKAYET KAYIT'!L312="","",'ŞİKAYET KAYIT'!L312)),"")</f>
        <v/>
      </c>
      <c r="J312" s="3" t="str">
        <f>IFERROR(IF('ŞİKAYET KAYIT'!P312="Kapatıldı","",IF('ŞİKAYET KAYIT'!M312="","",'ŞİKAYET KAYIT'!M312)),"")</f>
        <v/>
      </c>
      <c r="K312" s="3" t="str">
        <f>IFERROR(IF('ŞİKAYET KAYIT'!P312="Kapatıldı","",IF('ŞİKAYET KAYIT'!N312="","",'ŞİKAYET KAYIT'!N312)),"")</f>
        <v/>
      </c>
      <c r="L312" s="3" t="str">
        <f>IFERROR(IF('ŞİKAYET KAYIT'!P312="Kapatıldı","",IF('ŞİKAYET KAYIT'!O312="","",'ŞİKAYET KAYIT'!O312)),"")</f>
        <v/>
      </c>
      <c r="M312" s="3" t="str">
        <f>IFERROR(IF('ŞİKAYET KAYIT'!P312="Kapatıldı","",IF('ŞİKAYET KAYIT'!P312="","",'ŞİKAYET KAYIT'!P312)),"")</f>
        <v/>
      </c>
    </row>
    <row r="313" spans="1:13" ht="15" customHeight="1" x14ac:dyDescent="0.3">
      <c r="A313" s="26" t="str">
        <f>IFERROR(IF('ŞİKAYET KAYIT'!P313="Kapatıldı","",IF('ŞİKAYET KAYIT'!A313="","",'ŞİKAYET KAYIT'!A313)),"")</f>
        <v/>
      </c>
      <c r="B313" s="8" t="str">
        <f>IFERROR(IF('ŞİKAYET KAYIT'!P313="Kapatıldı","",IF('ŞİKAYET KAYIT'!B313="","",'ŞİKAYET KAYIT'!B313)),"")</f>
        <v/>
      </c>
      <c r="C313" s="26" t="str">
        <f>IFERROR(IF('ŞİKAYET KAYIT'!P313="Kapatıldı","",IF('ŞİKAYET KAYIT'!D313="","",'ŞİKAYET KAYIT'!D313)),"")</f>
        <v/>
      </c>
      <c r="D313" s="26" t="str">
        <f>IFERROR(IF('ŞİKAYET KAYIT'!P313="Kapatıldı","",IF('ŞİKAYET KAYIT'!F313="","",'ŞİKAYET KAYIT'!F313)),"")</f>
        <v/>
      </c>
      <c r="E313" s="26" t="str">
        <f>IFERROR(IF('ŞİKAYET KAYIT'!P313="Kapatıldı","",IF('ŞİKAYET KAYIT'!H313="","",'ŞİKAYET KAYIT'!H313)),"")</f>
        <v/>
      </c>
      <c r="F313" s="26" t="str">
        <f>IFERROR(IF('ŞİKAYET KAYIT'!P313="Kapatıldı","",IF('ŞİKAYET KAYIT'!I313="","",'ŞİKAYET KAYIT'!I313)),"")</f>
        <v/>
      </c>
      <c r="G313" s="26" t="str">
        <f>IFERROR(IF('ŞİKAYET KAYIT'!P313="Kapatıldı","",IF('ŞİKAYET KAYIT'!J313="","",'ŞİKAYET KAYIT'!J313)),"")</f>
        <v/>
      </c>
      <c r="H313" s="26" t="str">
        <f>IFERROR(IF('ŞİKAYET KAYIT'!P313="Kapatıldı","",IF('ŞİKAYET KAYIT'!K313="","",'ŞİKAYET KAYIT'!K313)),"")</f>
        <v/>
      </c>
      <c r="I313" s="26" t="str">
        <f>IFERROR(IF('ŞİKAYET KAYIT'!P313="Kapatıldı","",IF('ŞİKAYET KAYIT'!L313="","",'ŞİKAYET KAYIT'!L313)),"")</f>
        <v/>
      </c>
      <c r="J313" s="26" t="str">
        <f>IFERROR(IF('ŞİKAYET KAYIT'!P313="Kapatıldı","",IF('ŞİKAYET KAYIT'!M313="","",'ŞİKAYET KAYIT'!M313)),"")</f>
        <v/>
      </c>
      <c r="K313" s="26" t="str">
        <f>IFERROR(IF('ŞİKAYET KAYIT'!P313="Kapatıldı","",IF('ŞİKAYET KAYIT'!N313="","",'ŞİKAYET KAYIT'!N313)),"")</f>
        <v/>
      </c>
      <c r="L313" s="26" t="str">
        <f>IFERROR(IF('ŞİKAYET KAYIT'!P313="Kapatıldı","",IF('ŞİKAYET KAYIT'!O313="","",'ŞİKAYET KAYIT'!O313)),"")</f>
        <v/>
      </c>
      <c r="M313" s="26" t="str">
        <f>IFERROR(IF('ŞİKAYET KAYIT'!P313="Kapatıldı","",IF('ŞİKAYET KAYIT'!P313="","",'ŞİKAYET KAYIT'!P313)),"")</f>
        <v/>
      </c>
    </row>
    <row r="314" spans="1:13" ht="15" customHeight="1" x14ac:dyDescent="0.3">
      <c r="A314" s="3" t="str">
        <f>IFERROR(IF('ŞİKAYET KAYIT'!P314="Kapatıldı","",IF('ŞİKAYET KAYIT'!A314="","",'ŞİKAYET KAYIT'!A314)),"")</f>
        <v/>
      </c>
      <c r="B314" s="5" t="str">
        <f>IFERROR(IF('ŞİKAYET KAYIT'!P314="Kapatıldı","",IF('ŞİKAYET KAYIT'!B314="","",'ŞİKAYET KAYIT'!B314)),"")</f>
        <v/>
      </c>
      <c r="C314" s="3" t="str">
        <f>IFERROR(IF('ŞİKAYET KAYIT'!P314="Kapatıldı","",IF('ŞİKAYET KAYIT'!D314="","",'ŞİKAYET KAYIT'!D314)),"")</f>
        <v/>
      </c>
      <c r="D314" s="3" t="str">
        <f>IFERROR(IF('ŞİKAYET KAYIT'!P314="Kapatıldı","",IF('ŞİKAYET KAYIT'!F314="","",'ŞİKAYET KAYIT'!F314)),"")</f>
        <v/>
      </c>
      <c r="E314" s="3" t="str">
        <f>IFERROR(IF('ŞİKAYET KAYIT'!P314="Kapatıldı","",IF('ŞİKAYET KAYIT'!H314="","",'ŞİKAYET KAYIT'!H314)),"")</f>
        <v/>
      </c>
      <c r="F314" s="3" t="str">
        <f>IFERROR(IF('ŞİKAYET KAYIT'!P314="Kapatıldı","",IF('ŞİKAYET KAYIT'!I314="","",'ŞİKAYET KAYIT'!I314)),"")</f>
        <v/>
      </c>
      <c r="G314" s="3" t="str">
        <f>IFERROR(IF('ŞİKAYET KAYIT'!P314="Kapatıldı","",IF('ŞİKAYET KAYIT'!J314="","",'ŞİKAYET KAYIT'!J314)),"")</f>
        <v/>
      </c>
      <c r="H314" s="3" t="str">
        <f>IFERROR(IF('ŞİKAYET KAYIT'!P314="Kapatıldı","",IF('ŞİKAYET KAYIT'!K314="","",'ŞİKAYET KAYIT'!K314)),"")</f>
        <v/>
      </c>
      <c r="I314" s="3" t="str">
        <f>IFERROR(IF('ŞİKAYET KAYIT'!P314="Kapatıldı","",IF('ŞİKAYET KAYIT'!L314="","",'ŞİKAYET KAYIT'!L314)),"")</f>
        <v/>
      </c>
      <c r="J314" s="3" t="str">
        <f>IFERROR(IF('ŞİKAYET KAYIT'!P314="Kapatıldı","",IF('ŞİKAYET KAYIT'!M314="","",'ŞİKAYET KAYIT'!M314)),"")</f>
        <v/>
      </c>
      <c r="K314" s="3" t="str">
        <f>IFERROR(IF('ŞİKAYET KAYIT'!P314="Kapatıldı","",IF('ŞİKAYET KAYIT'!N314="","",'ŞİKAYET KAYIT'!N314)),"")</f>
        <v/>
      </c>
      <c r="L314" s="3" t="str">
        <f>IFERROR(IF('ŞİKAYET KAYIT'!P314="Kapatıldı","",IF('ŞİKAYET KAYIT'!O314="","",'ŞİKAYET KAYIT'!O314)),"")</f>
        <v/>
      </c>
      <c r="M314" s="3" t="str">
        <f>IFERROR(IF('ŞİKAYET KAYIT'!P314="Kapatıldı","",IF('ŞİKAYET KAYIT'!P314="","",'ŞİKAYET KAYIT'!P314)),"")</f>
        <v/>
      </c>
    </row>
    <row r="315" spans="1:13" ht="15" customHeight="1" x14ac:dyDescent="0.3">
      <c r="A315" s="26" t="str">
        <f>IFERROR(IF('ŞİKAYET KAYIT'!P315="Kapatıldı","",IF('ŞİKAYET KAYIT'!A315="","",'ŞİKAYET KAYIT'!A315)),"")</f>
        <v/>
      </c>
      <c r="B315" s="8" t="str">
        <f>IFERROR(IF('ŞİKAYET KAYIT'!P315="Kapatıldı","",IF('ŞİKAYET KAYIT'!B315="","",'ŞİKAYET KAYIT'!B315)),"")</f>
        <v/>
      </c>
      <c r="C315" s="26" t="str">
        <f>IFERROR(IF('ŞİKAYET KAYIT'!P315="Kapatıldı","",IF('ŞİKAYET KAYIT'!D315="","",'ŞİKAYET KAYIT'!D315)),"")</f>
        <v/>
      </c>
      <c r="D315" s="26" t="str">
        <f>IFERROR(IF('ŞİKAYET KAYIT'!P315="Kapatıldı","",IF('ŞİKAYET KAYIT'!F315="","",'ŞİKAYET KAYIT'!F315)),"")</f>
        <v/>
      </c>
      <c r="E315" s="26" t="str">
        <f>IFERROR(IF('ŞİKAYET KAYIT'!P315="Kapatıldı","",IF('ŞİKAYET KAYIT'!H315="","",'ŞİKAYET KAYIT'!H315)),"")</f>
        <v/>
      </c>
      <c r="F315" s="26" t="str">
        <f>IFERROR(IF('ŞİKAYET KAYIT'!P315="Kapatıldı","",IF('ŞİKAYET KAYIT'!I315="","",'ŞİKAYET KAYIT'!I315)),"")</f>
        <v/>
      </c>
      <c r="G315" s="26" t="str">
        <f>IFERROR(IF('ŞİKAYET KAYIT'!P315="Kapatıldı","",IF('ŞİKAYET KAYIT'!J315="","",'ŞİKAYET KAYIT'!J315)),"")</f>
        <v/>
      </c>
      <c r="H315" s="26" t="str">
        <f>IFERROR(IF('ŞİKAYET KAYIT'!P315="Kapatıldı","",IF('ŞİKAYET KAYIT'!K315="","",'ŞİKAYET KAYIT'!K315)),"")</f>
        <v/>
      </c>
      <c r="I315" s="26" t="str">
        <f>IFERROR(IF('ŞİKAYET KAYIT'!P315="Kapatıldı","",IF('ŞİKAYET KAYIT'!L315="","",'ŞİKAYET KAYIT'!L315)),"")</f>
        <v/>
      </c>
      <c r="J315" s="26" t="str">
        <f>IFERROR(IF('ŞİKAYET KAYIT'!P315="Kapatıldı","",IF('ŞİKAYET KAYIT'!M315="","",'ŞİKAYET KAYIT'!M315)),"")</f>
        <v/>
      </c>
      <c r="K315" s="26" t="str">
        <f>IFERROR(IF('ŞİKAYET KAYIT'!P315="Kapatıldı","",IF('ŞİKAYET KAYIT'!N315="","",'ŞİKAYET KAYIT'!N315)),"")</f>
        <v/>
      </c>
      <c r="L315" s="26" t="str">
        <f>IFERROR(IF('ŞİKAYET KAYIT'!P315="Kapatıldı","",IF('ŞİKAYET KAYIT'!O315="","",'ŞİKAYET KAYIT'!O315)),"")</f>
        <v/>
      </c>
      <c r="M315" s="26" t="str">
        <f>IFERROR(IF('ŞİKAYET KAYIT'!P315="Kapatıldı","",IF('ŞİKAYET KAYIT'!P315="","",'ŞİKAYET KAYIT'!P315)),"")</f>
        <v/>
      </c>
    </row>
    <row r="316" spans="1:13" ht="15" customHeight="1" x14ac:dyDescent="0.3">
      <c r="A316" s="3" t="str">
        <f>IFERROR(IF('ŞİKAYET KAYIT'!P316="Kapatıldı","",IF('ŞİKAYET KAYIT'!A316="","",'ŞİKAYET KAYIT'!A316)),"")</f>
        <v/>
      </c>
      <c r="B316" s="5" t="str">
        <f>IFERROR(IF('ŞİKAYET KAYIT'!P316="Kapatıldı","",IF('ŞİKAYET KAYIT'!B316="","",'ŞİKAYET KAYIT'!B316)),"")</f>
        <v/>
      </c>
      <c r="C316" s="3" t="str">
        <f>IFERROR(IF('ŞİKAYET KAYIT'!P316="Kapatıldı","",IF('ŞİKAYET KAYIT'!D316="","",'ŞİKAYET KAYIT'!D316)),"")</f>
        <v/>
      </c>
      <c r="D316" s="3" t="str">
        <f>IFERROR(IF('ŞİKAYET KAYIT'!P316="Kapatıldı","",IF('ŞİKAYET KAYIT'!F316="","",'ŞİKAYET KAYIT'!F316)),"")</f>
        <v/>
      </c>
      <c r="E316" s="3" t="str">
        <f>IFERROR(IF('ŞİKAYET KAYIT'!P316="Kapatıldı","",IF('ŞİKAYET KAYIT'!H316="","",'ŞİKAYET KAYIT'!H316)),"")</f>
        <v/>
      </c>
      <c r="F316" s="3" t="str">
        <f>IFERROR(IF('ŞİKAYET KAYIT'!P316="Kapatıldı","",IF('ŞİKAYET KAYIT'!I316="","",'ŞİKAYET KAYIT'!I316)),"")</f>
        <v/>
      </c>
      <c r="G316" s="3" t="str">
        <f>IFERROR(IF('ŞİKAYET KAYIT'!P316="Kapatıldı","",IF('ŞİKAYET KAYIT'!J316="","",'ŞİKAYET KAYIT'!J316)),"")</f>
        <v/>
      </c>
      <c r="H316" s="3" t="str">
        <f>IFERROR(IF('ŞİKAYET KAYIT'!P316="Kapatıldı","",IF('ŞİKAYET KAYIT'!K316="","",'ŞİKAYET KAYIT'!K316)),"")</f>
        <v/>
      </c>
      <c r="I316" s="3" t="str">
        <f>IFERROR(IF('ŞİKAYET KAYIT'!P316="Kapatıldı","",IF('ŞİKAYET KAYIT'!L316="","",'ŞİKAYET KAYIT'!L316)),"")</f>
        <v/>
      </c>
      <c r="J316" s="3" t="str">
        <f>IFERROR(IF('ŞİKAYET KAYIT'!P316="Kapatıldı","",IF('ŞİKAYET KAYIT'!M316="","",'ŞİKAYET KAYIT'!M316)),"")</f>
        <v/>
      </c>
      <c r="K316" s="3" t="str">
        <f>IFERROR(IF('ŞİKAYET KAYIT'!P316="Kapatıldı","",IF('ŞİKAYET KAYIT'!N316="","",'ŞİKAYET KAYIT'!N316)),"")</f>
        <v/>
      </c>
      <c r="L316" s="3" t="str">
        <f>IFERROR(IF('ŞİKAYET KAYIT'!P316="Kapatıldı","",IF('ŞİKAYET KAYIT'!O316="","",'ŞİKAYET KAYIT'!O316)),"")</f>
        <v/>
      </c>
      <c r="M316" s="3" t="str">
        <f>IFERROR(IF('ŞİKAYET KAYIT'!P316="Kapatıldı","",IF('ŞİKAYET KAYIT'!P316="","",'ŞİKAYET KAYIT'!P316)),"")</f>
        <v/>
      </c>
    </row>
    <row r="317" spans="1:13" ht="15" customHeight="1" x14ac:dyDescent="0.3">
      <c r="A317" s="26" t="str">
        <f>IFERROR(IF('ŞİKAYET KAYIT'!P317="Kapatıldı","",IF('ŞİKAYET KAYIT'!A317="","",'ŞİKAYET KAYIT'!A317)),"")</f>
        <v/>
      </c>
      <c r="B317" s="8" t="str">
        <f>IFERROR(IF('ŞİKAYET KAYIT'!P317="Kapatıldı","",IF('ŞİKAYET KAYIT'!B317="","",'ŞİKAYET KAYIT'!B317)),"")</f>
        <v/>
      </c>
      <c r="C317" s="26" t="str">
        <f>IFERROR(IF('ŞİKAYET KAYIT'!P317="Kapatıldı","",IF('ŞİKAYET KAYIT'!D317="","",'ŞİKAYET KAYIT'!D317)),"")</f>
        <v/>
      </c>
      <c r="D317" s="26" t="str">
        <f>IFERROR(IF('ŞİKAYET KAYIT'!P317="Kapatıldı","",IF('ŞİKAYET KAYIT'!F317="","",'ŞİKAYET KAYIT'!F317)),"")</f>
        <v/>
      </c>
      <c r="E317" s="26" t="str">
        <f>IFERROR(IF('ŞİKAYET KAYIT'!P317="Kapatıldı","",IF('ŞİKAYET KAYIT'!H317="","",'ŞİKAYET KAYIT'!H317)),"")</f>
        <v/>
      </c>
      <c r="F317" s="26" t="str">
        <f>IFERROR(IF('ŞİKAYET KAYIT'!P317="Kapatıldı","",IF('ŞİKAYET KAYIT'!I317="","",'ŞİKAYET KAYIT'!I317)),"")</f>
        <v/>
      </c>
      <c r="G317" s="26" t="str">
        <f>IFERROR(IF('ŞİKAYET KAYIT'!P317="Kapatıldı","",IF('ŞİKAYET KAYIT'!J317="","",'ŞİKAYET KAYIT'!J317)),"")</f>
        <v/>
      </c>
      <c r="H317" s="26" t="str">
        <f>IFERROR(IF('ŞİKAYET KAYIT'!P317="Kapatıldı","",IF('ŞİKAYET KAYIT'!K317="","",'ŞİKAYET KAYIT'!K317)),"")</f>
        <v/>
      </c>
      <c r="I317" s="26" t="str">
        <f>IFERROR(IF('ŞİKAYET KAYIT'!P317="Kapatıldı","",IF('ŞİKAYET KAYIT'!L317="","",'ŞİKAYET KAYIT'!L317)),"")</f>
        <v/>
      </c>
      <c r="J317" s="26" t="str">
        <f>IFERROR(IF('ŞİKAYET KAYIT'!P317="Kapatıldı","",IF('ŞİKAYET KAYIT'!M317="","",'ŞİKAYET KAYIT'!M317)),"")</f>
        <v/>
      </c>
      <c r="K317" s="26" t="str">
        <f>IFERROR(IF('ŞİKAYET KAYIT'!P317="Kapatıldı","",IF('ŞİKAYET KAYIT'!N317="","",'ŞİKAYET KAYIT'!N317)),"")</f>
        <v/>
      </c>
      <c r="L317" s="26" t="str">
        <f>IFERROR(IF('ŞİKAYET KAYIT'!P317="Kapatıldı","",IF('ŞİKAYET KAYIT'!O317="","",'ŞİKAYET KAYIT'!O317)),"")</f>
        <v/>
      </c>
      <c r="M317" s="26" t="str">
        <f>IFERROR(IF('ŞİKAYET KAYIT'!P317="Kapatıldı","",IF('ŞİKAYET KAYIT'!P317="","",'ŞİKAYET KAYIT'!P317)),"")</f>
        <v/>
      </c>
    </row>
    <row r="318" spans="1:13" ht="15" customHeight="1" x14ac:dyDescent="0.3">
      <c r="A318" s="3" t="str">
        <f>IFERROR(IF('ŞİKAYET KAYIT'!P318="Kapatıldı","",IF('ŞİKAYET KAYIT'!A318="","",'ŞİKAYET KAYIT'!A318)),"")</f>
        <v/>
      </c>
      <c r="B318" s="5" t="str">
        <f>IFERROR(IF('ŞİKAYET KAYIT'!P318="Kapatıldı","",IF('ŞİKAYET KAYIT'!B318="","",'ŞİKAYET KAYIT'!B318)),"")</f>
        <v/>
      </c>
      <c r="C318" s="3" t="str">
        <f>IFERROR(IF('ŞİKAYET KAYIT'!P318="Kapatıldı","",IF('ŞİKAYET KAYIT'!D318="","",'ŞİKAYET KAYIT'!D318)),"")</f>
        <v/>
      </c>
      <c r="D318" s="3" t="str">
        <f>IFERROR(IF('ŞİKAYET KAYIT'!P318="Kapatıldı","",IF('ŞİKAYET KAYIT'!F318="","",'ŞİKAYET KAYIT'!F318)),"")</f>
        <v/>
      </c>
      <c r="E318" s="3" t="str">
        <f>IFERROR(IF('ŞİKAYET KAYIT'!P318="Kapatıldı","",IF('ŞİKAYET KAYIT'!H318="","",'ŞİKAYET KAYIT'!H318)),"")</f>
        <v/>
      </c>
      <c r="F318" s="3" t="str">
        <f>IFERROR(IF('ŞİKAYET KAYIT'!P318="Kapatıldı","",IF('ŞİKAYET KAYIT'!I318="","",'ŞİKAYET KAYIT'!I318)),"")</f>
        <v/>
      </c>
      <c r="G318" s="3" t="str">
        <f>IFERROR(IF('ŞİKAYET KAYIT'!P318="Kapatıldı","",IF('ŞİKAYET KAYIT'!J318="","",'ŞİKAYET KAYIT'!J318)),"")</f>
        <v/>
      </c>
      <c r="H318" s="3" t="str">
        <f>IFERROR(IF('ŞİKAYET KAYIT'!P318="Kapatıldı","",IF('ŞİKAYET KAYIT'!K318="","",'ŞİKAYET KAYIT'!K318)),"")</f>
        <v/>
      </c>
      <c r="I318" s="3" t="str">
        <f>IFERROR(IF('ŞİKAYET KAYIT'!P318="Kapatıldı","",IF('ŞİKAYET KAYIT'!L318="","",'ŞİKAYET KAYIT'!L318)),"")</f>
        <v/>
      </c>
      <c r="J318" s="3" t="str">
        <f>IFERROR(IF('ŞİKAYET KAYIT'!P318="Kapatıldı","",IF('ŞİKAYET KAYIT'!M318="","",'ŞİKAYET KAYIT'!M318)),"")</f>
        <v/>
      </c>
      <c r="K318" s="3" t="str">
        <f>IFERROR(IF('ŞİKAYET KAYIT'!P318="Kapatıldı","",IF('ŞİKAYET KAYIT'!N318="","",'ŞİKAYET KAYIT'!N318)),"")</f>
        <v/>
      </c>
      <c r="L318" s="3" t="str">
        <f>IFERROR(IF('ŞİKAYET KAYIT'!P318="Kapatıldı","",IF('ŞİKAYET KAYIT'!O318="","",'ŞİKAYET KAYIT'!O318)),"")</f>
        <v/>
      </c>
      <c r="M318" s="3" t="str">
        <f>IFERROR(IF('ŞİKAYET KAYIT'!P318="Kapatıldı","",IF('ŞİKAYET KAYIT'!P318="","",'ŞİKAYET KAYIT'!P318)),"")</f>
        <v/>
      </c>
    </row>
    <row r="319" spans="1:13" ht="15" customHeight="1" x14ac:dyDescent="0.3">
      <c r="A319" s="26" t="str">
        <f>IFERROR(IF('ŞİKAYET KAYIT'!P319="Kapatıldı","",IF('ŞİKAYET KAYIT'!A319="","",'ŞİKAYET KAYIT'!A319)),"")</f>
        <v/>
      </c>
      <c r="B319" s="8" t="str">
        <f>IFERROR(IF('ŞİKAYET KAYIT'!P319="Kapatıldı","",IF('ŞİKAYET KAYIT'!B319="","",'ŞİKAYET KAYIT'!B319)),"")</f>
        <v/>
      </c>
      <c r="C319" s="26" t="str">
        <f>IFERROR(IF('ŞİKAYET KAYIT'!P319="Kapatıldı","",IF('ŞİKAYET KAYIT'!D319="","",'ŞİKAYET KAYIT'!D319)),"")</f>
        <v/>
      </c>
      <c r="D319" s="26" t="str">
        <f>IFERROR(IF('ŞİKAYET KAYIT'!P319="Kapatıldı","",IF('ŞİKAYET KAYIT'!F319="","",'ŞİKAYET KAYIT'!F319)),"")</f>
        <v/>
      </c>
      <c r="E319" s="26" t="str">
        <f>IFERROR(IF('ŞİKAYET KAYIT'!P319="Kapatıldı","",IF('ŞİKAYET KAYIT'!H319="","",'ŞİKAYET KAYIT'!H319)),"")</f>
        <v/>
      </c>
      <c r="F319" s="26" t="str">
        <f>IFERROR(IF('ŞİKAYET KAYIT'!P319="Kapatıldı","",IF('ŞİKAYET KAYIT'!I319="","",'ŞİKAYET KAYIT'!I319)),"")</f>
        <v/>
      </c>
      <c r="G319" s="26" t="str">
        <f>IFERROR(IF('ŞİKAYET KAYIT'!P319="Kapatıldı","",IF('ŞİKAYET KAYIT'!J319="","",'ŞİKAYET KAYIT'!J319)),"")</f>
        <v/>
      </c>
      <c r="H319" s="26" t="str">
        <f>IFERROR(IF('ŞİKAYET KAYIT'!P319="Kapatıldı","",IF('ŞİKAYET KAYIT'!K319="","",'ŞİKAYET KAYIT'!K319)),"")</f>
        <v/>
      </c>
      <c r="I319" s="26" t="str">
        <f>IFERROR(IF('ŞİKAYET KAYIT'!P319="Kapatıldı","",IF('ŞİKAYET KAYIT'!L319="","",'ŞİKAYET KAYIT'!L319)),"")</f>
        <v/>
      </c>
      <c r="J319" s="26" t="str">
        <f>IFERROR(IF('ŞİKAYET KAYIT'!P319="Kapatıldı","",IF('ŞİKAYET KAYIT'!M319="","",'ŞİKAYET KAYIT'!M319)),"")</f>
        <v/>
      </c>
      <c r="K319" s="26" t="str">
        <f>IFERROR(IF('ŞİKAYET KAYIT'!P319="Kapatıldı","",IF('ŞİKAYET KAYIT'!N319="","",'ŞİKAYET KAYIT'!N319)),"")</f>
        <v/>
      </c>
      <c r="L319" s="26" t="str">
        <f>IFERROR(IF('ŞİKAYET KAYIT'!P319="Kapatıldı","",IF('ŞİKAYET KAYIT'!O319="","",'ŞİKAYET KAYIT'!O319)),"")</f>
        <v/>
      </c>
      <c r="M319" s="26" t="str">
        <f>IFERROR(IF('ŞİKAYET KAYIT'!P319="Kapatıldı","",IF('ŞİKAYET KAYIT'!P319="","",'ŞİKAYET KAYIT'!P319)),"")</f>
        <v/>
      </c>
    </row>
    <row r="320" spans="1:13" ht="15" customHeight="1" x14ac:dyDescent="0.3">
      <c r="A320" s="3" t="str">
        <f>IFERROR(IF('ŞİKAYET KAYIT'!P320="Kapatıldı","",IF('ŞİKAYET KAYIT'!A320="","",'ŞİKAYET KAYIT'!A320)),"")</f>
        <v/>
      </c>
      <c r="B320" s="5" t="str">
        <f>IFERROR(IF('ŞİKAYET KAYIT'!P320="Kapatıldı","",IF('ŞİKAYET KAYIT'!B320="","",'ŞİKAYET KAYIT'!B320)),"")</f>
        <v/>
      </c>
      <c r="C320" s="3" t="str">
        <f>IFERROR(IF('ŞİKAYET KAYIT'!P320="Kapatıldı","",IF('ŞİKAYET KAYIT'!D320="","",'ŞİKAYET KAYIT'!D320)),"")</f>
        <v/>
      </c>
      <c r="D320" s="3" t="str">
        <f>IFERROR(IF('ŞİKAYET KAYIT'!P320="Kapatıldı","",IF('ŞİKAYET KAYIT'!F320="","",'ŞİKAYET KAYIT'!F320)),"")</f>
        <v/>
      </c>
      <c r="E320" s="3" t="str">
        <f>IFERROR(IF('ŞİKAYET KAYIT'!P320="Kapatıldı","",IF('ŞİKAYET KAYIT'!H320="","",'ŞİKAYET KAYIT'!H320)),"")</f>
        <v/>
      </c>
      <c r="F320" s="3" t="str">
        <f>IFERROR(IF('ŞİKAYET KAYIT'!P320="Kapatıldı","",IF('ŞİKAYET KAYIT'!I320="","",'ŞİKAYET KAYIT'!I320)),"")</f>
        <v/>
      </c>
      <c r="G320" s="3" t="str">
        <f>IFERROR(IF('ŞİKAYET KAYIT'!P320="Kapatıldı","",IF('ŞİKAYET KAYIT'!J320="","",'ŞİKAYET KAYIT'!J320)),"")</f>
        <v/>
      </c>
      <c r="H320" s="3" t="str">
        <f>IFERROR(IF('ŞİKAYET KAYIT'!P320="Kapatıldı","",IF('ŞİKAYET KAYIT'!K320="","",'ŞİKAYET KAYIT'!K320)),"")</f>
        <v/>
      </c>
      <c r="I320" s="3" t="str">
        <f>IFERROR(IF('ŞİKAYET KAYIT'!P320="Kapatıldı","",IF('ŞİKAYET KAYIT'!L320="","",'ŞİKAYET KAYIT'!L320)),"")</f>
        <v/>
      </c>
      <c r="J320" s="3" t="str">
        <f>IFERROR(IF('ŞİKAYET KAYIT'!P320="Kapatıldı","",IF('ŞİKAYET KAYIT'!M320="","",'ŞİKAYET KAYIT'!M320)),"")</f>
        <v/>
      </c>
      <c r="K320" s="3" t="str">
        <f>IFERROR(IF('ŞİKAYET KAYIT'!P320="Kapatıldı","",IF('ŞİKAYET KAYIT'!N320="","",'ŞİKAYET KAYIT'!N320)),"")</f>
        <v/>
      </c>
      <c r="L320" s="3" t="str">
        <f>IFERROR(IF('ŞİKAYET KAYIT'!P320="Kapatıldı","",IF('ŞİKAYET KAYIT'!O320="","",'ŞİKAYET KAYIT'!O320)),"")</f>
        <v/>
      </c>
      <c r="M320" s="3" t="str">
        <f>IFERROR(IF('ŞİKAYET KAYIT'!P320="Kapatıldı","",IF('ŞİKAYET KAYIT'!P320="","",'ŞİKAYET KAYIT'!P320)),"")</f>
        <v/>
      </c>
    </row>
    <row r="321" spans="1:13" ht="15" customHeight="1" x14ac:dyDescent="0.3">
      <c r="A321" s="26" t="str">
        <f>IFERROR(IF('ŞİKAYET KAYIT'!P321="Kapatıldı","",IF('ŞİKAYET KAYIT'!A321="","",'ŞİKAYET KAYIT'!A321)),"")</f>
        <v/>
      </c>
      <c r="B321" s="8" t="str">
        <f>IFERROR(IF('ŞİKAYET KAYIT'!P321="Kapatıldı","",IF('ŞİKAYET KAYIT'!B321="","",'ŞİKAYET KAYIT'!B321)),"")</f>
        <v/>
      </c>
      <c r="C321" s="26" t="str">
        <f>IFERROR(IF('ŞİKAYET KAYIT'!P321="Kapatıldı","",IF('ŞİKAYET KAYIT'!D321="","",'ŞİKAYET KAYIT'!D321)),"")</f>
        <v/>
      </c>
      <c r="D321" s="26" t="str">
        <f>IFERROR(IF('ŞİKAYET KAYIT'!P321="Kapatıldı","",IF('ŞİKAYET KAYIT'!F321="","",'ŞİKAYET KAYIT'!F321)),"")</f>
        <v/>
      </c>
      <c r="E321" s="26" t="str">
        <f>IFERROR(IF('ŞİKAYET KAYIT'!P321="Kapatıldı","",IF('ŞİKAYET KAYIT'!H321="","",'ŞİKAYET KAYIT'!H321)),"")</f>
        <v/>
      </c>
      <c r="F321" s="26" t="str">
        <f>IFERROR(IF('ŞİKAYET KAYIT'!P321="Kapatıldı","",IF('ŞİKAYET KAYIT'!I321="","",'ŞİKAYET KAYIT'!I321)),"")</f>
        <v/>
      </c>
      <c r="G321" s="26" t="str">
        <f>IFERROR(IF('ŞİKAYET KAYIT'!P321="Kapatıldı","",IF('ŞİKAYET KAYIT'!J321="","",'ŞİKAYET KAYIT'!J321)),"")</f>
        <v/>
      </c>
      <c r="H321" s="26" t="str">
        <f>IFERROR(IF('ŞİKAYET KAYIT'!P321="Kapatıldı","",IF('ŞİKAYET KAYIT'!K321="","",'ŞİKAYET KAYIT'!K321)),"")</f>
        <v/>
      </c>
      <c r="I321" s="26" t="str">
        <f>IFERROR(IF('ŞİKAYET KAYIT'!P321="Kapatıldı","",IF('ŞİKAYET KAYIT'!L321="","",'ŞİKAYET KAYIT'!L321)),"")</f>
        <v/>
      </c>
      <c r="J321" s="26" t="str">
        <f>IFERROR(IF('ŞİKAYET KAYIT'!P321="Kapatıldı","",IF('ŞİKAYET KAYIT'!M321="","",'ŞİKAYET KAYIT'!M321)),"")</f>
        <v/>
      </c>
      <c r="K321" s="26" t="str">
        <f>IFERROR(IF('ŞİKAYET KAYIT'!P321="Kapatıldı","",IF('ŞİKAYET KAYIT'!N321="","",'ŞİKAYET KAYIT'!N321)),"")</f>
        <v/>
      </c>
      <c r="L321" s="26" t="str">
        <f>IFERROR(IF('ŞİKAYET KAYIT'!P321="Kapatıldı","",IF('ŞİKAYET KAYIT'!O321="","",'ŞİKAYET KAYIT'!O321)),"")</f>
        <v/>
      </c>
      <c r="M321" s="26" t="str">
        <f>IFERROR(IF('ŞİKAYET KAYIT'!P321="Kapatıldı","",IF('ŞİKAYET KAYIT'!P321="","",'ŞİKAYET KAYIT'!P321)),"")</f>
        <v/>
      </c>
    </row>
    <row r="322" spans="1:13" ht="15" customHeight="1" x14ac:dyDescent="0.3">
      <c r="A322" s="3" t="str">
        <f>IFERROR(IF('ŞİKAYET KAYIT'!P322="Kapatıldı","",IF('ŞİKAYET KAYIT'!A322="","",'ŞİKAYET KAYIT'!A322)),"")</f>
        <v/>
      </c>
      <c r="B322" s="5" t="str">
        <f>IFERROR(IF('ŞİKAYET KAYIT'!P322="Kapatıldı","",IF('ŞİKAYET KAYIT'!B322="","",'ŞİKAYET KAYIT'!B322)),"")</f>
        <v/>
      </c>
      <c r="C322" s="3" t="str">
        <f>IFERROR(IF('ŞİKAYET KAYIT'!P322="Kapatıldı","",IF('ŞİKAYET KAYIT'!D322="","",'ŞİKAYET KAYIT'!D322)),"")</f>
        <v/>
      </c>
      <c r="D322" s="3" t="str">
        <f>IFERROR(IF('ŞİKAYET KAYIT'!P322="Kapatıldı","",IF('ŞİKAYET KAYIT'!F322="","",'ŞİKAYET KAYIT'!F322)),"")</f>
        <v/>
      </c>
      <c r="E322" s="3" t="str">
        <f>IFERROR(IF('ŞİKAYET KAYIT'!P322="Kapatıldı","",IF('ŞİKAYET KAYIT'!H322="","",'ŞİKAYET KAYIT'!H322)),"")</f>
        <v/>
      </c>
      <c r="F322" s="3" t="str">
        <f>IFERROR(IF('ŞİKAYET KAYIT'!P322="Kapatıldı","",IF('ŞİKAYET KAYIT'!I322="","",'ŞİKAYET KAYIT'!I322)),"")</f>
        <v/>
      </c>
      <c r="G322" s="3" t="str">
        <f>IFERROR(IF('ŞİKAYET KAYIT'!P322="Kapatıldı","",IF('ŞİKAYET KAYIT'!J322="","",'ŞİKAYET KAYIT'!J322)),"")</f>
        <v/>
      </c>
      <c r="H322" s="3" t="str">
        <f>IFERROR(IF('ŞİKAYET KAYIT'!P322="Kapatıldı","",IF('ŞİKAYET KAYIT'!K322="","",'ŞİKAYET KAYIT'!K322)),"")</f>
        <v/>
      </c>
      <c r="I322" s="3" t="str">
        <f>IFERROR(IF('ŞİKAYET KAYIT'!P322="Kapatıldı","",IF('ŞİKAYET KAYIT'!L322="","",'ŞİKAYET KAYIT'!L322)),"")</f>
        <v/>
      </c>
      <c r="J322" s="3" t="str">
        <f>IFERROR(IF('ŞİKAYET KAYIT'!P322="Kapatıldı","",IF('ŞİKAYET KAYIT'!M322="","",'ŞİKAYET KAYIT'!M322)),"")</f>
        <v/>
      </c>
      <c r="K322" s="3" t="str">
        <f>IFERROR(IF('ŞİKAYET KAYIT'!P322="Kapatıldı","",IF('ŞİKAYET KAYIT'!N322="","",'ŞİKAYET KAYIT'!N322)),"")</f>
        <v/>
      </c>
      <c r="L322" s="3" t="str">
        <f>IFERROR(IF('ŞİKAYET KAYIT'!P322="Kapatıldı","",IF('ŞİKAYET KAYIT'!O322="","",'ŞİKAYET KAYIT'!O322)),"")</f>
        <v/>
      </c>
      <c r="M322" s="3" t="str">
        <f>IFERROR(IF('ŞİKAYET KAYIT'!P322="Kapatıldı","",IF('ŞİKAYET KAYIT'!P322="","",'ŞİKAYET KAYIT'!P322)),"")</f>
        <v/>
      </c>
    </row>
    <row r="323" spans="1:13" ht="15" customHeight="1" x14ac:dyDescent="0.3">
      <c r="A323" s="26" t="str">
        <f>IFERROR(IF('ŞİKAYET KAYIT'!P323="Kapatıldı","",IF('ŞİKAYET KAYIT'!A323="","",'ŞİKAYET KAYIT'!A323)),"")</f>
        <v/>
      </c>
      <c r="B323" s="8" t="str">
        <f>IFERROR(IF('ŞİKAYET KAYIT'!P323="Kapatıldı","",IF('ŞİKAYET KAYIT'!B323="","",'ŞİKAYET KAYIT'!B323)),"")</f>
        <v/>
      </c>
      <c r="C323" s="26" t="str">
        <f>IFERROR(IF('ŞİKAYET KAYIT'!P323="Kapatıldı","",IF('ŞİKAYET KAYIT'!D323="","",'ŞİKAYET KAYIT'!D323)),"")</f>
        <v/>
      </c>
      <c r="D323" s="26" t="str">
        <f>IFERROR(IF('ŞİKAYET KAYIT'!P323="Kapatıldı","",IF('ŞİKAYET KAYIT'!F323="","",'ŞİKAYET KAYIT'!F323)),"")</f>
        <v/>
      </c>
      <c r="E323" s="26" t="str">
        <f>IFERROR(IF('ŞİKAYET KAYIT'!P323="Kapatıldı","",IF('ŞİKAYET KAYIT'!H323="","",'ŞİKAYET KAYIT'!H323)),"")</f>
        <v/>
      </c>
      <c r="F323" s="26" t="str">
        <f>IFERROR(IF('ŞİKAYET KAYIT'!P323="Kapatıldı","",IF('ŞİKAYET KAYIT'!I323="","",'ŞİKAYET KAYIT'!I323)),"")</f>
        <v/>
      </c>
      <c r="G323" s="26" t="str">
        <f>IFERROR(IF('ŞİKAYET KAYIT'!P323="Kapatıldı","",IF('ŞİKAYET KAYIT'!J323="","",'ŞİKAYET KAYIT'!J323)),"")</f>
        <v/>
      </c>
      <c r="H323" s="26" t="str">
        <f>IFERROR(IF('ŞİKAYET KAYIT'!P323="Kapatıldı","",IF('ŞİKAYET KAYIT'!K323="","",'ŞİKAYET KAYIT'!K323)),"")</f>
        <v/>
      </c>
      <c r="I323" s="26" t="str">
        <f>IFERROR(IF('ŞİKAYET KAYIT'!P323="Kapatıldı","",IF('ŞİKAYET KAYIT'!L323="","",'ŞİKAYET KAYIT'!L323)),"")</f>
        <v/>
      </c>
      <c r="J323" s="26" t="str">
        <f>IFERROR(IF('ŞİKAYET KAYIT'!P323="Kapatıldı","",IF('ŞİKAYET KAYIT'!M323="","",'ŞİKAYET KAYIT'!M323)),"")</f>
        <v/>
      </c>
      <c r="K323" s="26" t="str">
        <f>IFERROR(IF('ŞİKAYET KAYIT'!P323="Kapatıldı","",IF('ŞİKAYET KAYIT'!N323="","",'ŞİKAYET KAYIT'!N323)),"")</f>
        <v/>
      </c>
      <c r="L323" s="26" t="str">
        <f>IFERROR(IF('ŞİKAYET KAYIT'!P323="Kapatıldı","",IF('ŞİKAYET KAYIT'!O323="","",'ŞİKAYET KAYIT'!O323)),"")</f>
        <v/>
      </c>
      <c r="M323" s="26" t="str">
        <f>IFERROR(IF('ŞİKAYET KAYIT'!P323="Kapatıldı","",IF('ŞİKAYET KAYIT'!P323="","",'ŞİKAYET KAYIT'!P323)),"")</f>
        <v/>
      </c>
    </row>
    <row r="324" spans="1:13" ht="15" customHeight="1" x14ac:dyDescent="0.3">
      <c r="A324" s="3" t="str">
        <f>IFERROR(IF('ŞİKAYET KAYIT'!P324="Kapatıldı","",IF('ŞİKAYET KAYIT'!A324="","",'ŞİKAYET KAYIT'!A324)),"")</f>
        <v/>
      </c>
      <c r="B324" s="5" t="str">
        <f>IFERROR(IF('ŞİKAYET KAYIT'!P324="Kapatıldı","",IF('ŞİKAYET KAYIT'!B324="","",'ŞİKAYET KAYIT'!B324)),"")</f>
        <v/>
      </c>
      <c r="C324" s="3" t="str">
        <f>IFERROR(IF('ŞİKAYET KAYIT'!P324="Kapatıldı","",IF('ŞİKAYET KAYIT'!D324="","",'ŞİKAYET KAYIT'!D324)),"")</f>
        <v/>
      </c>
      <c r="D324" s="3" t="str">
        <f>IFERROR(IF('ŞİKAYET KAYIT'!P324="Kapatıldı","",IF('ŞİKAYET KAYIT'!F324="","",'ŞİKAYET KAYIT'!F324)),"")</f>
        <v/>
      </c>
      <c r="E324" s="3" t="str">
        <f>IFERROR(IF('ŞİKAYET KAYIT'!P324="Kapatıldı","",IF('ŞİKAYET KAYIT'!H324="","",'ŞİKAYET KAYIT'!H324)),"")</f>
        <v/>
      </c>
      <c r="F324" s="3" t="str">
        <f>IFERROR(IF('ŞİKAYET KAYIT'!P324="Kapatıldı","",IF('ŞİKAYET KAYIT'!I324="","",'ŞİKAYET KAYIT'!I324)),"")</f>
        <v/>
      </c>
      <c r="G324" s="3" t="str">
        <f>IFERROR(IF('ŞİKAYET KAYIT'!P324="Kapatıldı","",IF('ŞİKAYET KAYIT'!J324="","",'ŞİKAYET KAYIT'!J324)),"")</f>
        <v/>
      </c>
      <c r="H324" s="3" t="str">
        <f>IFERROR(IF('ŞİKAYET KAYIT'!P324="Kapatıldı","",IF('ŞİKAYET KAYIT'!K324="","",'ŞİKAYET KAYIT'!K324)),"")</f>
        <v/>
      </c>
      <c r="I324" s="3" t="str">
        <f>IFERROR(IF('ŞİKAYET KAYIT'!P324="Kapatıldı","",IF('ŞİKAYET KAYIT'!L324="","",'ŞİKAYET KAYIT'!L324)),"")</f>
        <v/>
      </c>
      <c r="J324" s="3" t="str">
        <f>IFERROR(IF('ŞİKAYET KAYIT'!P324="Kapatıldı","",IF('ŞİKAYET KAYIT'!M324="","",'ŞİKAYET KAYIT'!M324)),"")</f>
        <v/>
      </c>
      <c r="K324" s="3" t="str">
        <f>IFERROR(IF('ŞİKAYET KAYIT'!P324="Kapatıldı","",IF('ŞİKAYET KAYIT'!N324="","",'ŞİKAYET KAYIT'!N324)),"")</f>
        <v/>
      </c>
      <c r="L324" s="3" t="str">
        <f>IFERROR(IF('ŞİKAYET KAYIT'!P324="Kapatıldı","",IF('ŞİKAYET KAYIT'!O324="","",'ŞİKAYET KAYIT'!O324)),"")</f>
        <v/>
      </c>
      <c r="M324" s="3" t="str">
        <f>IFERROR(IF('ŞİKAYET KAYIT'!P324="Kapatıldı","",IF('ŞİKAYET KAYIT'!P324="","",'ŞİKAYET KAYIT'!P324)),"")</f>
        <v/>
      </c>
    </row>
    <row r="325" spans="1:13" ht="15" customHeight="1" x14ac:dyDescent="0.3">
      <c r="A325" s="26" t="str">
        <f>IFERROR(IF('ŞİKAYET KAYIT'!P325="Kapatıldı","",IF('ŞİKAYET KAYIT'!A325="","",'ŞİKAYET KAYIT'!A325)),"")</f>
        <v/>
      </c>
      <c r="B325" s="8" t="str">
        <f>IFERROR(IF('ŞİKAYET KAYIT'!P325="Kapatıldı","",IF('ŞİKAYET KAYIT'!B325="","",'ŞİKAYET KAYIT'!B325)),"")</f>
        <v/>
      </c>
      <c r="C325" s="26" t="str">
        <f>IFERROR(IF('ŞİKAYET KAYIT'!P325="Kapatıldı","",IF('ŞİKAYET KAYIT'!D325="","",'ŞİKAYET KAYIT'!D325)),"")</f>
        <v/>
      </c>
      <c r="D325" s="26" t="str">
        <f>IFERROR(IF('ŞİKAYET KAYIT'!P325="Kapatıldı","",IF('ŞİKAYET KAYIT'!F325="","",'ŞİKAYET KAYIT'!F325)),"")</f>
        <v/>
      </c>
      <c r="E325" s="26" t="str">
        <f>IFERROR(IF('ŞİKAYET KAYIT'!P325="Kapatıldı","",IF('ŞİKAYET KAYIT'!H325="","",'ŞİKAYET KAYIT'!H325)),"")</f>
        <v/>
      </c>
      <c r="F325" s="26" t="str">
        <f>IFERROR(IF('ŞİKAYET KAYIT'!P325="Kapatıldı","",IF('ŞİKAYET KAYIT'!I325="","",'ŞİKAYET KAYIT'!I325)),"")</f>
        <v/>
      </c>
      <c r="G325" s="26" t="str">
        <f>IFERROR(IF('ŞİKAYET KAYIT'!P325="Kapatıldı","",IF('ŞİKAYET KAYIT'!J325="","",'ŞİKAYET KAYIT'!J325)),"")</f>
        <v/>
      </c>
      <c r="H325" s="26" t="str">
        <f>IFERROR(IF('ŞİKAYET KAYIT'!P325="Kapatıldı","",IF('ŞİKAYET KAYIT'!K325="","",'ŞİKAYET KAYIT'!K325)),"")</f>
        <v/>
      </c>
      <c r="I325" s="26" t="str">
        <f>IFERROR(IF('ŞİKAYET KAYIT'!P325="Kapatıldı","",IF('ŞİKAYET KAYIT'!L325="","",'ŞİKAYET KAYIT'!L325)),"")</f>
        <v/>
      </c>
      <c r="J325" s="26" t="str">
        <f>IFERROR(IF('ŞİKAYET KAYIT'!P325="Kapatıldı","",IF('ŞİKAYET KAYIT'!M325="","",'ŞİKAYET KAYIT'!M325)),"")</f>
        <v/>
      </c>
      <c r="K325" s="26" t="str">
        <f>IFERROR(IF('ŞİKAYET KAYIT'!P325="Kapatıldı","",IF('ŞİKAYET KAYIT'!N325="","",'ŞİKAYET KAYIT'!N325)),"")</f>
        <v/>
      </c>
      <c r="L325" s="26" t="str">
        <f>IFERROR(IF('ŞİKAYET KAYIT'!P325="Kapatıldı","",IF('ŞİKAYET KAYIT'!O325="","",'ŞİKAYET KAYIT'!O325)),"")</f>
        <v/>
      </c>
      <c r="M325" s="26" t="str">
        <f>IFERROR(IF('ŞİKAYET KAYIT'!P325="Kapatıldı","",IF('ŞİKAYET KAYIT'!P325="","",'ŞİKAYET KAYIT'!P325)),"")</f>
        <v/>
      </c>
    </row>
    <row r="326" spans="1:13" ht="15" customHeight="1" x14ac:dyDescent="0.3">
      <c r="A326" s="3" t="str">
        <f>IFERROR(IF('ŞİKAYET KAYIT'!P326="Kapatıldı","",IF('ŞİKAYET KAYIT'!A326="","",'ŞİKAYET KAYIT'!A326)),"")</f>
        <v/>
      </c>
      <c r="B326" s="5" t="str">
        <f>IFERROR(IF('ŞİKAYET KAYIT'!P326="Kapatıldı","",IF('ŞİKAYET KAYIT'!B326="","",'ŞİKAYET KAYIT'!B326)),"")</f>
        <v/>
      </c>
      <c r="C326" s="3" t="str">
        <f>IFERROR(IF('ŞİKAYET KAYIT'!P326="Kapatıldı","",IF('ŞİKAYET KAYIT'!D326="","",'ŞİKAYET KAYIT'!D326)),"")</f>
        <v/>
      </c>
      <c r="D326" s="3" t="str">
        <f>IFERROR(IF('ŞİKAYET KAYIT'!P326="Kapatıldı","",IF('ŞİKAYET KAYIT'!F326="","",'ŞİKAYET KAYIT'!F326)),"")</f>
        <v/>
      </c>
      <c r="E326" s="3" t="str">
        <f>IFERROR(IF('ŞİKAYET KAYIT'!P326="Kapatıldı","",IF('ŞİKAYET KAYIT'!H326="","",'ŞİKAYET KAYIT'!H326)),"")</f>
        <v/>
      </c>
      <c r="F326" s="3" t="str">
        <f>IFERROR(IF('ŞİKAYET KAYIT'!P326="Kapatıldı","",IF('ŞİKAYET KAYIT'!I326="","",'ŞİKAYET KAYIT'!I326)),"")</f>
        <v/>
      </c>
      <c r="G326" s="3" t="str">
        <f>IFERROR(IF('ŞİKAYET KAYIT'!P326="Kapatıldı","",IF('ŞİKAYET KAYIT'!J326="","",'ŞİKAYET KAYIT'!J326)),"")</f>
        <v/>
      </c>
      <c r="H326" s="3" t="str">
        <f>IFERROR(IF('ŞİKAYET KAYIT'!P326="Kapatıldı","",IF('ŞİKAYET KAYIT'!K326="","",'ŞİKAYET KAYIT'!K326)),"")</f>
        <v/>
      </c>
      <c r="I326" s="3" t="str">
        <f>IFERROR(IF('ŞİKAYET KAYIT'!P326="Kapatıldı","",IF('ŞİKAYET KAYIT'!L326="","",'ŞİKAYET KAYIT'!L326)),"")</f>
        <v/>
      </c>
      <c r="J326" s="3" t="str">
        <f>IFERROR(IF('ŞİKAYET KAYIT'!P326="Kapatıldı","",IF('ŞİKAYET KAYIT'!M326="","",'ŞİKAYET KAYIT'!M326)),"")</f>
        <v/>
      </c>
      <c r="K326" s="3" t="str">
        <f>IFERROR(IF('ŞİKAYET KAYIT'!P326="Kapatıldı","",IF('ŞİKAYET KAYIT'!N326="","",'ŞİKAYET KAYIT'!N326)),"")</f>
        <v/>
      </c>
      <c r="L326" s="3" t="str">
        <f>IFERROR(IF('ŞİKAYET KAYIT'!P326="Kapatıldı","",IF('ŞİKAYET KAYIT'!O326="","",'ŞİKAYET KAYIT'!O326)),"")</f>
        <v/>
      </c>
      <c r="M326" s="3" t="str">
        <f>IFERROR(IF('ŞİKAYET KAYIT'!P326="Kapatıldı","",IF('ŞİKAYET KAYIT'!P326="","",'ŞİKAYET KAYIT'!P326)),"")</f>
        <v/>
      </c>
    </row>
    <row r="327" spans="1:13" ht="15" customHeight="1" x14ac:dyDescent="0.3">
      <c r="A327" s="26" t="str">
        <f>IFERROR(IF('ŞİKAYET KAYIT'!P327="Kapatıldı","",IF('ŞİKAYET KAYIT'!A327="","",'ŞİKAYET KAYIT'!A327)),"")</f>
        <v/>
      </c>
      <c r="B327" s="8" t="str">
        <f>IFERROR(IF('ŞİKAYET KAYIT'!P327="Kapatıldı","",IF('ŞİKAYET KAYIT'!B327="","",'ŞİKAYET KAYIT'!B327)),"")</f>
        <v/>
      </c>
      <c r="C327" s="26" t="str">
        <f>IFERROR(IF('ŞİKAYET KAYIT'!P327="Kapatıldı","",IF('ŞİKAYET KAYIT'!D327="","",'ŞİKAYET KAYIT'!D327)),"")</f>
        <v/>
      </c>
      <c r="D327" s="26" t="str">
        <f>IFERROR(IF('ŞİKAYET KAYIT'!P327="Kapatıldı","",IF('ŞİKAYET KAYIT'!F327="","",'ŞİKAYET KAYIT'!F327)),"")</f>
        <v/>
      </c>
      <c r="E327" s="26" t="str">
        <f>IFERROR(IF('ŞİKAYET KAYIT'!P327="Kapatıldı","",IF('ŞİKAYET KAYIT'!H327="","",'ŞİKAYET KAYIT'!H327)),"")</f>
        <v/>
      </c>
      <c r="F327" s="26" t="str">
        <f>IFERROR(IF('ŞİKAYET KAYIT'!P327="Kapatıldı","",IF('ŞİKAYET KAYIT'!I327="","",'ŞİKAYET KAYIT'!I327)),"")</f>
        <v/>
      </c>
      <c r="G327" s="26" t="str">
        <f>IFERROR(IF('ŞİKAYET KAYIT'!P327="Kapatıldı","",IF('ŞİKAYET KAYIT'!J327="","",'ŞİKAYET KAYIT'!J327)),"")</f>
        <v/>
      </c>
      <c r="H327" s="26" t="str">
        <f>IFERROR(IF('ŞİKAYET KAYIT'!P327="Kapatıldı","",IF('ŞİKAYET KAYIT'!K327="","",'ŞİKAYET KAYIT'!K327)),"")</f>
        <v/>
      </c>
      <c r="I327" s="26" t="str">
        <f>IFERROR(IF('ŞİKAYET KAYIT'!P327="Kapatıldı","",IF('ŞİKAYET KAYIT'!L327="","",'ŞİKAYET KAYIT'!L327)),"")</f>
        <v/>
      </c>
      <c r="J327" s="26" t="str">
        <f>IFERROR(IF('ŞİKAYET KAYIT'!P327="Kapatıldı","",IF('ŞİKAYET KAYIT'!M327="","",'ŞİKAYET KAYIT'!M327)),"")</f>
        <v/>
      </c>
      <c r="K327" s="26" t="str">
        <f>IFERROR(IF('ŞİKAYET KAYIT'!P327="Kapatıldı","",IF('ŞİKAYET KAYIT'!N327="","",'ŞİKAYET KAYIT'!N327)),"")</f>
        <v/>
      </c>
      <c r="L327" s="26" t="str">
        <f>IFERROR(IF('ŞİKAYET KAYIT'!P327="Kapatıldı","",IF('ŞİKAYET KAYIT'!O327="","",'ŞİKAYET KAYIT'!O327)),"")</f>
        <v/>
      </c>
      <c r="M327" s="26" t="str">
        <f>IFERROR(IF('ŞİKAYET KAYIT'!P327="Kapatıldı","",IF('ŞİKAYET KAYIT'!P327="","",'ŞİKAYET KAYIT'!P327)),"")</f>
        <v/>
      </c>
    </row>
    <row r="328" spans="1:13" ht="15" customHeight="1" x14ac:dyDescent="0.3">
      <c r="A328" s="3" t="str">
        <f>IFERROR(IF('ŞİKAYET KAYIT'!P328="Kapatıldı","",IF('ŞİKAYET KAYIT'!A328="","",'ŞİKAYET KAYIT'!A328)),"")</f>
        <v/>
      </c>
      <c r="B328" s="5" t="str">
        <f>IFERROR(IF('ŞİKAYET KAYIT'!P328="Kapatıldı","",IF('ŞİKAYET KAYIT'!B328="","",'ŞİKAYET KAYIT'!B328)),"")</f>
        <v/>
      </c>
      <c r="C328" s="3" t="str">
        <f>IFERROR(IF('ŞİKAYET KAYIT'!P328="Kapatıldı","",IF('ŞİKAYET KAYIT'!D328="","",'ŞİKAYET KAYIT'!D328)),"")</f>
        <v/>
      </c>
      <c r="D328" s="3" t="str">
        <f>IFERROR(IF('ŞİKAYET KAYIT'!P328="Kapatıldı","",IF('ŞİKAYET KAYIT'!F328="","",'ŞİKAYET KAYIT'!F328)),"")</f>
        <v/>
      </c>
      <c r="E328" s="3" t="str">
        <f>IFERROR(IF('ŞİKAYET KAYIT'!P328="Kapatıldı","",IF('ŞİKAYET KAYIT'!H328="","",'ŞİKAYET KAYIT'!H328)),"")</f>
        <v/>
      </c>
      <c r="F328" s="3" t="str">
        <f>IFERROR(IF('ŞİKAYET KAYIT'!P328="Kapatıldı","",IF('ŞİKAYET KAYIT'!I328="","",'ŞİKAYET KAYIT'!I328)),"")</f>
        <v/>
      </c>
      <c r="G328" s="3" t="str">
        <f>IFERROR(IF('ŞİKAYET KAYIT'!P328="Kapatıldı","",IF('ŞİKAYET KAYIT'!J328="","",'ŞİKAYET KAYIT'!J328)),"")</f>
        <v/>
      </c>
      <c r="H328" s="3" t="str">
        <f>IFERROR(IF('ŞİKAYET KAYIT'!P328="Kapatıldı","",IF('ŞİKAYET KAYIT'!K328="","",'ŞİKAYET KAYIT'!K328)),"")</f>
        <v/>
      </c>
      <c r="I328" s="3" t="str">
        <f>IFERROR(IF('ŞİKAYET KAYIT'!P328="Kapatıldı","",IF('ŞİKAYET KAYIT'!L328="","",'ŞİKAYET KAYIT'!L328)),"")</f>
        <v/>
      </c>
      <c r="J328" s="3" t="str">
        <f>IFERROR(IF('ŞİKAYET KAYIT'!P328="Kapatıldı","",IF('ŞİKAYET KAYIT'!M328="","",'ŞİKAYET KAYIT'!M328)),"")</f>
        <v/>
      </c>
      <c r="K328" s="3" t="str">
        <f>IFERROR(IF('ŞİKAYET KAYIT'!P328="Kapatıldı","",IF('ŞİKAYET KAYIT'!N328="","",'ŞİKAYET KAYIT'!N328)),"")</f>
        <v/>
      </c>
      <c r="L328" s="3" t="str">
        <f>IFERROR(IF('ŞİKAYET KAYIT'!P328="Kapatıldı","",IF('ŞİKAYET KAYIT'!O328="","",'ŞİKAYET KAYIT'!O328)),"")</f>
        <v/>
      </c>
      <c r="M328" s="3" t="str">
        <f>IFERROR(IF('ŞİKAYET KAYIT'!P328="Kapatıldı","",IF('ŞİKAYET KAYIT'!P328="","",'ŞİKAYET KAYIT'!P328)),"")</f>
        <v/>
      </c>
    </row>
    <row r="329" spans="1:13" ht="15" customHeight="1" x14ac:dyDescent="0.3">
      <c r="A329" s="26" t="str">
        <f>IFERROR(IF('ŞİKAYET KAYIT'!P329="Kapatıldı","",IF('ŞİKAYET KAYIT'!A329="","",'ŞİKAYET KAYIT'!A329)),"")</f>
        <v/>
      </c>
      <c r="B329" s="8" t="str">
        <f>IFERROR(IF('ŞİKAYET KAYIT'!P329="Kapatıldı","",IF('ŞİKAYET KAYIT'!B329="","",'ŞİKAYET KAYIT'!B329)),"")</f>
        <v/>
      </c>
      <c r="C329" s="26" t="str">
        <f>IFERROR(IF('ŞİKAYET KAYIT'!P329="Kapatıldı","",IF('ŞİKAYET KAYIT'!D329="","",'ŞİKAYET KAYIT'!D329)),"")</f>
        <v/>
      </c>
      <c r="D329" s="26" t="str">
        <f>IFERROR(IF('ŞİKAYET KAYIT'!P329="Kapatıldı","",IF('ŞİKAYET KAYIT'!F329="","",'ŞİKAYET KAYIT'!F329)),"")</f>
        <v/>
      </c>
      <c r="E329" s="26" t="str">
        <f>IFERROR(IF('ŞİKAYET KAYIT'!P329="Kapatıldı","",IF('ŞİKAYET KAYIT'!H329="","",'ŞİKAYET KAYIT'!H329)),"")</f>
        <v/>
      </c>
      <c r="F329" s="26" t="str">
        <f>IFERROR(IF('ŞİKAYET KAYIT'!P329="Kapatıldı","",IF('ŞİKAYET KAYIT'!I329="","",'ŞİKAYET KAYIT'!I329)),"")</f>
        <v/>
      </c>
      <c r="G329" s="26" t="str">
        <f>IFERROR(IF('ŞİKAYET KAYIT'!P329="Kapatıldı","",IF('ŞİKAYET KAYIT'!J329="","",'ŞİKAYET KAYIT'!J329)),"")</f>
        <v/>
      </c>
      <c r="H329" s="26" t="str">
        <f>IFERROR(IF('ŞİKAYET KAYIT'!P329="Kapatıldı","",IF('ŞİKAYET KAYIT'!K329="","",'ŞİKAYET KAYIT'!K329)),"")</f>
        <v/>
      </c>
      <c r="I329" s="26" t="str">
        <f>IFERROR(IF('ŞİKAYET KAYIT'!P329="Kapatıldı","",IF('ŞİKAYET KAYIT'!L329="","",'ŞİKAYET KAYIT'!L329)),"")</f>
        <v/>
      </c>
      <c r="J329" s="26" t="str">
        <f>IFERROR(IF('ŞİKAYET KAYIT'!P329="Kapatıldı","",IF('ŞİKAYET KAYIT'!M329="","",'ŞİKAYET KAYIT'!M329)),"")</f>
        <v/>
      </c>
      <c r="K329" s="26" t="str">
        <f>IFERROR(IF('ŞİKAYET KAYIT'!P329="Kapatıldı","",IF('ŞİKAYET KAYIT'!N329="","",'ŞİKAYET KAYIT'!N329)),"")</f>
        <v/>
      </c>
      <c r="L329" s="26" t="str">
        <f>IFERROR(IF('ŞİKAYET KAYIT'!P329="Kapatıldı","",IF('ŞİKAYET KAYIT'!O329="","",'ŞİKAYET KAYIT'!O329)),"")</f>
        <v/>
      </c>
      <c r="M329" s="26" t="str">
        <f>IFERROR(IF('ŞİKAYET KAYIT'!P329="Kapatıldı","",IF('ŞİKAYET KAYIT'!P329="","",'ŞİKAYET KAYIT'!P329)),"")</f>
        <v/>
      </c>
    </row>
    <row r="330" spans="1:13" ht="15" customHeight="1" x14ac:dyDescent="0.3">
      <c r="A330" s="3" t="str">
        <f>IFERROR(IF('ŞİKAYET KAYIT'!P330="Kapatıldı","",IF('ŞİKAYET KAYIT'!A330="","",'ŞİKAYET KAYIT'!A330)),"")</f>
        <v/>
      </c>
      <c r="B330" s="5" t="str">
        <f>IFERROR(IF('ŞİKAYET KAYIT'!P330="Kapatıldı","",IF('ŞİKAYET KAYIT'!B330="","",'ŞİKAYET KAYIT'!B330)),"")</f>
        <v/>
      </c>
      <c r="C330" s="3" t="str">
        <f>IFERROR(IF('ŞİKAYET KAYIT'!P330="Kapatıldı","",IF('ŞİKAYET KAYIT'!D330="","",'ŞİKAYET KAYIT'!D330)),"")</f>
        <v/>
      </c>
      <c r="D330" s="3" t="str">
        <f>IFERROR(IF('ŞİKAYET KAYIT'!P330="Kapatıldı","",IF('ŞİKAYET KAYIT'!F330="","",'ŞİKAYET KAYIT'!F330)),"")</f>
        <v/>
      </c>
      <c r="E330" s="3" t="str">
        <f>IFERROR(IF('ŞİKAYET KAYIT'!P330="Kapatıldı","",IF('ŞİKAYET KAYIT'!H330="","",'ŞİKAYET KAYIT'!H330)),"")</f>
        <v/>
      </c>
      <c r="F330" s="3" t="str">
        <f>IFERROR(IF('ŞİKAYET KAYIT'!P330="Kapatıldı","",IF('ŞİKAYET KAYIT'!I330="","",'ŞİKAYET KAYIT'!I330)),"")</f>
        <v/>
      </c>
      <c r="G330" s="3" t="str">
        <f>IFERROR(IF('ŞİKAYET KAYIT'!P330="Kapatıldı","",IF('ŞİKAYET KAYIT'!J330="","",'ŞİKAYET KAYIT'!J330)),"")</f>
        <v/>
      </c>
      <c r="H330" s="3" t="str">
        <f>IFERROR(IF('ŞİKAYET KAYIT'!P330="Kapatıldı","",IF('ŞİKAYET KAYIT'!K330="","",'ŞİKAYET KAYIT'!K330)),"")</f>
        <v/>
      </c>
      <c r="I330" s="3" t="str">
        <f>IFERROR(IF('ŞİKAYET KAYIT'!P330="Kapatıldı","",IF('ŞİKAYET KAYIT'!L330="","",'ŞİKAYET KAYIT'!L330)),"")</f>
        <v/>
      </c>
      <c r="J330" s="3" t="str">
        <f>IFERROR(IF('ŞİKAYET KAYIT'!P330="Kapatıldı","",IF('ŞİKAYET KAYIT'!M330="","",'ŞİKAYET KAYIT'!M330)),"")</f>
        <v/>
      </c>
      <c r="K330" s="3" t="str">
        <f>IFERROR(IF('ŞİKAYET KAYIT'!P330="Kapatıldı","",IF('ŞİKAYET KAYIT'!N330="","",'ŞİKAYET KAYIT'!N330)),"")</f>
        <v/>
      </c>
      <c r="L330" s="3" t="str">
        <f>IFERROR(IF('ŞİKAYET KAYIT'!P330="Kapatıldı","",IF('ŞİKAYET KAYIT'!O330="","",'ŞİKAYET KAYIT'!O330)),"")</f>
        <v/>
      </c>
      <c r="M330" s="3" t="str">
        <f>IFERROR(IF('ŞİKAYET KAYIT'!P330="Kapatıldı","",IF('ŞİKAYET KAYIT'!P330="","",'ŞİKAYET KAYIT'!P330)),"")</f>
        <v/>
      </c>
    </row>
    <row r="331" spans="1:13" ht="15" customHeight="1" x14ac:dyDescent="0.3">
      <c r="A331" s="26" t="str">
        <f>IFERROR(IF('ŞİKAYET KAYIT'!P331="Kapatıldı","",IF('ŞİKAYET KAYIT'!A331="","",'ŞİKAYET KAYIT'!A331)),"")</f>
        <v/>
      </c>
      <c r="B331" s="8" t="str">
        <f>IFERROR(IF('ŞİKAYET KAYIT'!P331="Kapatıldı","",IF('ŞİKAYET KAYIT'!B331="","",'ŞİKAYET KAYIT'!B331)),"")</f>
        <v/>
      </c>
      <c r="C331" s="26" t="str">
        <f>IFERROR(IF('ŞİKAYET KAYIT'!P331="Kapatıldı","",IF('ŞİKAYET KAYIT'!D331="","",'ŞİKAYET KAYIT'!D331)),"")</f>
        <v/>
      </c>
      <c r="D331" s="26" t="str">
        <f>IFERROR(IF('ŞİKAYET KAYIT'!P331="Kapatıldı","",IF('ŞİKAYET KAYIT'!F331="","",'ŞİKAYET KAYIT'!F331)),"")</f>
        <v/>
      </c>
      <c r="E331" s="26" t="str">
        <f>IFERROR(IF('ŞİKAYET KAYIT'!P331="Kapatıldı","",IF('ŞİKAYET KAYIT'!H331="","",'ŞİKAYET KAYIT'!H331)),"")</f>
        <v/>
      </c>
      <c r="F331" s="26" t="str">
        <f>IFERROR(IF('ŞİKAYET KAYIT'!P331="Kapatıldı","",IF('ŞİKAYET KAYIT'!I331="","",'ŞİKAYET KAYIT'!I331)),"")</f>
        <v/>
      </c>
      <c r="G331" s="26" t="str">
        <f>IFERROR(IF('ŞİKAYET KAYIT'!P331="Kapatıldı","",IF('ŞİKAYET KAYIT'!J331="","",'ŞİKAYET KAYIT'!J331)),"")</f>
        <v/>
      </c>
      <c r="H331" s="26" t="str">
        <f>IFERROR(IF('ŞİKAYET KAYIT'!P331="Kapatıldı","",IF('ŞİKAYET KAYIT'!K331="","",'ŞİKAYET KAYIT'!K331)),"")</f>
        <v/>
      </c>
      <c r="I331" s="26" t="str">
        <f>IFERROR(IF('ŞİKAYET KAYIT'!P331="Kapatıldı","",IF('ŞİKAYET KAYIT'!L331="","",'ŞİKAYET KAYIT'!L331)),"")</f>
        <v/>
      </c>
      <c r="J331" s="26" t="str">
        <f>IFERROR(IF('ŞİKAYET KAYIT'!P331="Kapatıldı","",IF('ŞİKAYET KAYIT'!M331="","",'ŞİKAYET KAYIT'!M331)),"")</f>
        <v/>
      </c>
      <c r="K331" s="26" t="str">
        <f>IFERROR(IF('ŞİKAYET KAYIT'!P331="Kapatıldı","",IF('ŞİKAYET KAYIT'!N331="","",'ŞİKAYET KAYIT'!N331)),"")</f>
        <v/>
      </c>
      <c r="L331" s="26" t="str">
        <f>IFERROR(IF('ŞİKAYET KAYIT'!P331="Kapatıldı","",IF('ŞİKAYET KAYIT'!O331="","",'ŞİKAYET KAYIT'!O331)),"")</f>
        <v/>
      </c>
      <c r="M331" s="26" t="str">
        <f>IFERROR(IF('ŞİKAYET KAYIT'!P331="Kapatıldı","",IF('ŞİKAYET KAYIT'!P331="","",'ŞİKAYET KAYIT'!P331)),"")</f>
        <v/>
      </c>
    </row>
    <row r="332" spans="1:13" ht="15" customHeight="1" x14ac:dyDescent="0.3">
      <c r="A332" s="3" t="str">
        <f>IFERROR(IF('ŞİKAYET KAYIT'!P332="Kapatıldı","",IF('ŞİKAYET KAYIT'!A332="","",'ŞİKAYET KAYIT'!A332)),"")</f>
        <v/>
      </c>
      <c r="B332" s="5" t="str">
        <f>IFERROR(IF('ŞİKAYET KAYIT'!P332="Kapatıldı","",IF('ŞİKAYET KAYIT'!B332="","",'ŞİKAYET KAYIT'!B332)),"")</f>
        <v/>
      </c>
      <c r="C332" s="3" t="str">
        <f>IFERROR(IF('ŞİKAYET KAYIT'!P332="Kapatıldı","",IF('ŞİKAYET KAYIT'!D332="","",'ŞİKAYET KAYIT'!D332)),"")</f>
        <v/>
      </c>
      <c r="D332" s="3" t="str">
        <f>IFERROR(IF('ŞİKAYET KAYIT'!P332="Kapatıldı","",IF('ŞİKAYET KAYIT'!F332="","",'ŞİKAYET KAYIT'!F332)),"")</f>
        <v/>
      </c>
      <c r="E332" s="3" t="str">
        <f>IFERROR(IF('ŞİKAYET KAYIT'!P332="Kapatıldı","",IF('ŞİKAYET KAYIT'!H332="","",'ŞİKAYET KAYIT'!H332)),"")</f>
        <v/>
      </c>
      <c r="F332" s="3" t="str">
        <f>IFERROR(IF('ŞİKAYET KAYIT'!P332="Kapatıldı","",IF('ŞİKAYET KAYIT'!I332="","",'ŞİKAYET KAYIT'!I332)),"")</f>
        <v/>
      </c>
      <c r="G332" s="3" t="str">
        <f>IFERROR(IF('ŞİKAYET KAYIT'!P332="Kapatıldı","",IF('ŞİKAYET KAYIT'!J332="","",'ŞİKAYET KAYIT'!J332)),"")</f>
        <v/>
      </c>
      <c r="H332" s="3" t="str">
        <f>IFERROR(IF('ŞİKAYET KAYIT'!P332="Kapatıldı","",IF('ŞİKAYET KAYIT'!K332="","",'ŞİKAYET KAYIT'!K332)),"")</f>
        <v/>
      </c>
      <c r="I332" s="3" t="str">
        <f>IFERROR(IF('ŞİKAYET KAYIT'!P332="Kapatıldı","",IF('ŞİKAYET KAYIT'!L332="","",'ŞİKAYET KAYIT'!L332)),"")</f>
        <v/>
      </c>
      <c r="J332" s="3" t="str">
        <f>IFERROR(IF('ŞİKAYET KAYIT'!P332="Kapatıldı","",IF('ŞİKAYET KAYIT'!M332="","",'ŞİKAYET KAYIT'!M332)),"")</f>
        <v/>
      </c>
      <c r="K332" s="3" t="str">
        <f>IFERROR(IF('ŞİKAYET KAYIT'!P332="Kapatıldı","",IF('ŞİKAYET KAYIT'!N332="","",'ŞİKAYET KAYIT'!N332)),"")</f>
        <v/>
      </c>
      <c r="L332" s="3" t="str">
        <f>IFERROR(IF('ŞİKAYET KAYIT'!P332="Kapatıldı","",IF('ŞİKAYET KAYIT'!O332="","",'ŞİKAYET KAYIT'!O332)),"")</f>
        <v/>
      </c>
      <c r="M332" s="3" t="str">
        <f>IFERROR(IF('ŞİKAYET KAYIT'!P332="Kapatıldı","",IF('ŞİKAYET KAYIT'!P332="","",'ŞİKAYET KAYIT'!P332)),"")</f>
        <v/>
      </c>
    </row>
    <row r="333" spans="1:13" ht="15" customHeight="1" x14ac:dyDescent="0.3">
      <c r="A333" s="26" t="str">
        <f>IFERROR(IF('ŞİKAYET KAYIT'!P333="Kapatıldı","",IF('ŞİKAYET KAYIT'!A333="","",'ŞİKAYET KAYIT'!A333)),"")</f>
        <v/>
      </c>
      <c r="B333" s="8" t="str">
        <f>IFERROR(IF('ŞİKAYET KAYIT'!P333="Kapatıldı","",IF('ŞİKAYET KAYIT'!B333="","",'ŞİKAYET KAYIT'!B333)),"")</f>
        <v/>
      </c>
      <c r="C333" s="26" t="str">
        <f>IFERROR(IF('ŞİKAYET KAYIT'!P333="Kapatıldı","",IF('ŞİKAYET KAYIT'!D333="","",'ŞİKAYET KAYIT'!D333)),"")</f>
        <v/>
      </c>
      <c r="D333" s="26" t="str">
        <f>IFERROR(IF('ŞİKAYET KAYIT'!P333="Kapatıldı","",IF('ŞİKAYET KAYIT'!F333="","",'ŞİKAYET KAYIT'!F333)),"")</f>
        <v/>
      </c>
      <c r="E333" s="26" t="str">
        <f>IFERROR(IF('ŞİKAYET KAYIT'!P333="Kapatıldı","",IF('ŞİKAYET KAYIT'!H333="","",'ŞİKAYET KAYIT'!H333)),"")</f>
        <v/>
      </c>
      <c r="F333" s="26" t="str">
        <f>IFERROR(IF('ŞİKAYET KAYIT'!P333="Kapatıldı","",IF('ŞİKAYET KAYIT'!I333="","",'ŞİKAYET KAYIT'!I333)),"")</f>
        <v/>
      </c>
      <c r="G333" s="26" t="str">
        <f>IFERROR(IF('ŞİKAYET KAYIT'!P333="Kapatıldı","",IF('ŞİKAYET KAYIT'!J333="","",'ŞİKAYET KAYIT'!J333)),"")</f>
        <v/>
      </c>
      <c r="H333" s="26" t="str">
        <f>IFERROR(IF('ŞİKAYET KAYIT'!P333="Kapatıldı","",IF('ŞİKAYET KAYIT'!K333="","",'ŞİKAYET KAYIT'!K333)),"")</f>
        <v/>
      </c>
      <c r="I333" s="26" t="str">
        <f>IFERROR(IF('ŞİKAYET KAYIT'!P333="Kapatıldı","",IF('ŞİKAYET KAYIT'!L333="","",'ŞİKAYET KAYIT'!L333)),"")</f>
        <v/>
      </c>
      <c r="J333" s="26" t="str">
        <f>IFERROR(IF('ŞİKAYET KAYIT'!P333="Kapatıldı","",IF('ŞİKAYET KAYIT'!M333="","",'ŞİKAYET KAYIT'!M333)),"")</f>
        <v/>
      </c>
      <c r="K333" s="26" t="str">
        <f>IFERROR(IF('ŞİKAYET KAYIT'!P333="Kapatıldı","",IF('ŞİKAYET KAYIT'!N333="","",'ŞİKAYET KAYIT'!N333)),"")</f>
        <v/>
      </c>
      <c r="L333" s="26" t="str">
        <f>IFERROR(IF('ŞİKAYET KAYIT'!P333="Kapatıldı","",IF('ŞİKAYET KAYIT'!O333="","",'ŞİKAYET KAYIT'!O333)),"")</f>
        <v/>
      </c>
      <c r="M333" s="26" t="str">
        <f>IFERROR(IF('ŞİKAYET KAYIT'!P333="Kapatıldı","",IF('ŞİKAYET KAYIT'!P333="","",'ŞİKAYET KAYIT'!P333)),"")</f>
        <v/>
      </c>
    </row>
    <row r="334" spans="1:13" ht="15" customHeight="1" x14ac:dyDescent="0.3">
      <c r="A334" s="3" t="str">
        <f>IFERROR(IF('ŞİKAYET KAYIT'!P334="Kapatıldı","",IF('ŞİKAYET KAYIT'!A334="","",'ŞİKAYET KAYIT'!A334)),"")</f>
        <v/>
      </c>
      <c r="B334" s="5" t="str">
        <f>IFERROR(IF('ŞİKAYET KAYIT'!P334="Kapatıldı","",IF('ŞİKAYET KAYIT'!B334="","",'ŞİKAYET KAYIT'!B334)),"")</f>
        <v/>
      </c>
      <c r="C334" s="3" t="str">
        <f>IFERROR(IF('ŞİKAYET KAYIT'!P334="Kapatıldı","",IF('ŞİKAYET KAYIT'!D334="","",'ŞİKAYET KAYIT'!D334)),"")</f>
        <v/>
      </c>
      <c r="D334" s="3" t="str">
        <f>IFERROR(IF('ŞİKAYET KAYIT'!P334="Kapatıldı","",IF('ŞİKAYET KAYIT'!F334="","",'ŞİKAYET KAYIT'!F334)),"")</f>
        <v/>
      </c>
      <c r="E334" s="3" t="str">
        <f>IFERROR(IF('ŞİKAYET KAYIT'!P334="Kapatıldı","",IF('ŞİKAYET KAYIT'!H334="","",'ŞİKAYET KAYIT'!H334)),"")</f>
        <v/>
      </c>
      <c r="F334" s="3" t="str">
        <f>IFERROR(IF('ŞİKAYET KAYIT'!P334="Kapatıldı","",IF('ŞİKAYET KAYIT'!I334="","",'ŞİKAYET KAYIT'!I334)),"")</f>
        <v/>
      </c>
      <c r="G334" s="3" t="str">
        <f>IFERROR(IF('ŞİKAYET KAYIT'!P334="Kapatıldı","",IF('ŞİKAYET KAYIT'!J334="","",'ŞİKAYET KAYIT'!J334)),"")</f>
        <v/>
      </c>
      <c r="H334" s="3" t="str">
        <f>IFERROR(IF('ŞİKAYET KAYIT'!P334="Kapatıldı","",IF('ŞİKAYET KAYIT'!K334="","",'ŞİKAYET KAYIT'!K334)),"")</f>
        <v/>
      </c>
      <c r="I334" s="3" t="str">
        <f>IFERROR(IF('ŞİKAYET KAYIT'!P334="Kapatıldı","",IF('ŞİKAYET KAYIT'!L334="","",'ŞİKAYET KAYIT'!L334)),"")</f>
        <v/>
      </c>
      <c r="J334" s="3" t="str">
        <f>IFERROR(IF('ŞİKAYET KAYIT'!P334="Kapatıldı","",IF('ŞİKAYET KAYIT'!M334="","",'ŞİKAYET KAYIT'!M334)),"")</f>
        <v/>
      </c>
      <c r="K334" s="3" t="str">
        <f>IFERROR(IF('ŞİKAYET KAYIT'!P334="Kapatıldı","",IF('ŞİKAYET KAYIT'!N334="","",'ŞİKAYET KAYIT'!N334)),"")</f>
        <v/>
      </c>
      <c r="L334" s="3" t="str">
        <f>IFERROR(IF('ŞİKAYET KAYIT'!P334="Kapatıldı","",IF('ŞİKAYET KAYIT'!O334="","",'ŞİKAYET KAYIT'!O334)),"")</f>
        <v/>
      </c>
      <c r="M334" s="3" t="str">
        <f>IFERROR(IF('ŞİKAYET KAYIT'!P334="Kapatıldı","",IF('ŞİKAYET KAYIT'!P334="","",'ŞİKAYET KAYIT'!P334)),"")</f>
        <v/>
      </c>
    </row>
    <row r="335" spans="1:13" ht="15" customHeight="1" x14ac:dyDescent="0.3">
      <c r="A335" s="26" t="str">
        <f>IFERROR(IF('ŞİKAYET KAYIT'!P335="Kapatıldı","",IF('ŞİKAYET KAYIT'!A335="","",'ŞİKAYET KAYIT'!A335)),"")</f>
        <v/>
      </c>
      <c r="B335" s="8" t="str">
        <f>IFERROR(IF('ŞİKAYET KAYIT'!P335="Kapatıldı","",IF('ŞİKAYET KAYIT'!B335="","",'ŞİKAYET KAYIT'!B335)),"")</f>
        <v/>
      </c>
      <c r="C335" s="26" t="str">
        <f>IFERROR(IF('ŞİKAYET KAYIT'!P335="Kapatıldı","",IF('ŞİKAYET KAYIT'!D335="","",'ŞİKAYET KAYIT'!D335)),"")</f>
        <v/>
      </c>
      <c r="D335" s="26" t="str">
        <f>IFERROR(IF('ŞİKAYET KAYIT'!P335="Kapatıldı","",IF('ŞİKAYET KAYIT'!F335="","",'ŞİKAYET KAYIT'!F335)),"")</f>
        <v/>
      </c>
      <c r="E335" s="26" t="str">
        <f>IFERROR(IF('ŞİKAYET KAYIT'!P335="Kapatıldı","",IF('ŞİKAYET KAYIT'!H335="","",'ŞİKAYET KAYIT'!H335)),"")</f>
        <v/>
      </c>
      <c r="F335" s="26" t="str">
        <f>IFERROR(IF('ŞİKAYET KAYIT'!P335="Kapatıldı","",IF('ŞİKAYET KAYIT'!I335="","",'ŞİKAYET KAYIT'!I335)),"")</f>
        <v/>
      </c>
      <c r="G335" s="26" t="str">
        <f>IFERROR(IF('ŞİKAYET KAYIT'!P335="Kapatıldı","",IF('ŞİKAYET KAYIT'!J335="","",'ŞİKAYET KAYIT'!J335)),"")</f>
        <v/>
      </c>
      <c r="H335" s="26" t="str">
        <f>IFERROR(IF('ŞİKAYET KAYIT'!P335="Kapatıldı","",IF('ŞİKAYET KAYIT'!K335="","",'ŞİKAYET KAYIT'!K335)),"")</f>
        <v/>
      </c>
      <c r="I335" s="26" t="str">
        <f>IFERROR(IF('ŞİKAYET KAYIT'!P335="Kapatıldı","",IF('ŞİKAYET KAYIT'!L335="","",'ŞİKAYET KAYIT'!L335)),"")</f>
        <v/>
      </c>
      <c r="J335" s="26" t="str">
        <f>IFERROR(IF('ŞİKAYET KAYIT'!P335="Kapatıldı","",IF('ŞİKAYET KAYIT'!M335="","",'ŞİKAYET KAYIT'!M335)),"")</f>
        <v/>
      </c>
      <c r="K335" s="26" t="str">
        <f>IFERROR(IF('ŞİKAYET KAYIT'!P335="Kapatıldı","",IF('ŞİKAYET KAYIT'!N335="","",'ŞİKAYET KAYIT'!N335)),"")</f>
        <v/>
      </c>
      <c r="L335" s="26" t="str">
        <f>IFERROR(IF('ŞİKAYET KAYIT'!P335="Kapatıldı","",IF('ŞİKAYET KAYIT'!O335="","",'ŞİKAYET KAYIT'!O335)),"")</f>
        <v/>
      </c>
      <c r="M335" s="26" t="str">
        <f>IFERROR(IF('ŞİKAYET KAYIT'!P335="Kapatıldı","",IF('ŞİKAYET KAYIT'!P335="","",'ŞİKAYET KAYIT'!P335)),"")</f>
        <v/>
      </c>
    </row>
    <row r="336" spans="1:13" ht="15" customHeight="1" x14ac:dyDescent="0.3">
      <c r="A336" s="3" t="str">
        <f>IFERROR(IF('ŞİKAYET KAYIT'!P336="Kapatıldı","",IF('ŞİKAYET KAYIT'!A336="","",'ŞİKAYET KAYIT'!A336)),"")</f>
        <v/>
      </c>
      <c r="B336" s="5" t="str">
        <f>IFERROR(IF('ŞİKAYET KAYIT'!P336="Kapatıldı","",IF('ŞİKAYET KAYIT'!B336="","",'ŞİKAYET KAYIT'!B336)),"")</f>
        <v/>
      </c>
      <c r="C336" s="3" t="str">
        <f>IFERROR(IF('ŞİKAYET KAYIT'!P336="Kapatıldı","",IF('ŞİKAYET KAYIT'!D336="","",'ŞİKAYET KAYIT'!D336)),"")</f>
        <v/>
      </c>
      <c r="D336" s="3" t="str">
        <f>IFERROR(IF('ŞİKAYET KAYIT'!P336="Kapatıldı","",IF('ŞİKAYET KAYIT'!F336="","",'ŞİKAYET KAYIT'!F336)),"")</f>
        <v/>
      </c>
      <c r="E336" s="3" t="str">
        <f>IFERROR(IF('ŞİKAYET KAYIT'!P336="Kapatıldı","",IF('ŞİKAYET KAYIT'!H336="","",'ŞİKAYET KAYIT'!H336)),"")</f>
        <v/>
      </c>
      <c r="F336" s="3" t="str">
        <f>IFERROR(IF('ŞİKAYET KAYIT'!P336="Kapatıldı","",IF('ŞİKAYET KAYIT'!I336="","",'ŞİKAYET KAYIT'!I336)),"")</f>
        <v/>
      </c>
      <c r="G336" s="3" t="str">
        <f>IFERROR(IF('ŞİKAYET KAYIT'!P336="Kapatıldı","",IF('ŞİKAYET KAYIT'!J336="","",'ŞİKAYET KAYIT'!J336)),"")</f>
        <v/>
      </c>
      <c r="H336" s="3" t="str">
        <f>IFERROR(IF('ŞİKAYET KAYIT'!P336="Kapatıldı","",IF('ŞİKAYET KAYIT'!K336="","",'ŞİKAYET KAYIT'!K336)),"")</f>
        <v/>
      </c>
      <c r="I336" s="3" t="str">
        <f>IFERROR(IF('ŞİKAYET KAYIT'!P336="Kapatıldı","",IF('ŞİKAYET KAYIT'!L336="","",'ŞİKAYET KAYIT'!L336)),"")</f>
        <v/>
      </c>
      <c r="J336" s="3" t="str">
        <f>IFERROR(IF('ŞİKAYET KAYIT'!P336="Kapatıldı","",IF('ŞİKAYET KAYIT'!M336="","",'ŞİKAYET KAYIT'!M336)),"")</f>
        <v/>
      </c>
      <c r="K336" s="3" t="str">
        <f>IFERROR(IF('ŞİKAYET KAYIT'!P336="Kapatıldı","",IF('ŞİKAYET KAYIT'!N336="","",'ŞİKAYET KAYIT'!N336)),"")</f>
        <v/>
      </c>
      <c r="L336" s="3" t="str">
        <f>IFERROR(IF('ŞİKAYET KAYIT'!P336="Kapatıldı","",IF('ŞİKAYET KAYIT'!O336="","",'ŞİKAYET KAYIT'!O336)),"")</f>
        <v/>
      </c>
      <c r="M336" s="3" t="str">
        <f>IFERROR(IF('ŞİKAYET KAYIT'!P336="Kapatıldı","",IF('ŞİKAYET KAYIT'!P336="","",'ŞİKAYET KAYIT'!P336)),"")</f>
        <v/>
      </c>
    </row>
    <row r="337" spans="1:13" ht="15" customHeight="1" x14ac:dyDescent="0.3">
      <c r="A337" s="26" t="str">
        <f>IFERROR(IF('ŞİKAYET KAYIT'!P337="Kapatıldı","",IF('ŞİKAYET KAYIT'!A337="","",'ŞİKAYET KAYIT'!A337)),"")</f>
        <v/>
      </c>
      <c r="B337" s="8" t="str">
        <f>IFERROR(IF('ŞİKAYET KAYIT'!P337="Kapatıldı","",IF('ŞİKAYET KAYIT'!B337="","",'ŞİKAYET KAYIT'!B337)),"")</f>
        <v/>
      </c>
      <c r="C337" s="26" t="str">
        <f>IFERROR(IF('ŞİKAYET KAYIT'!P337="Kapatıldı","",IF('ŞİKAYET KAYIT'!D337="","",'ŞİKAYET KAYIT'!D337)),"")</f>
        <v/>
      </c>
      <c r="D337" s="26" t="str">
        <f>IFERROR(IF('ŞİKAYET KAYIT'!P337="Kapatıldı","",IF('ŞİKAYET KAYIT'!F337="","",'ŞİKAYET KAYIT'!F337)),"")</f>
        <v/>
      </c>
      <c r="E337" s="26" t="str">
        <f>IFERROR(IF('ŞİKAYET KAYIT'!P337="Kapatıldı","",IF('ŞİKAYET KAYIT'!H337="","",'ŞİKAYET KAYIT'!H337)),"")</f>
        <v/>
      </c>
      <c r="F337" s="26" t="str">
        <f>IFERROR(IF('ŞİKAYET KAYIT'!P337="Kapatıldı","",IF('ŞİKAYET KAYIT'!I337="","",'ŞİKAYET KAYIT'!I337)),"")</f>
        <v/>
      </c>
      <c r="G337" s="26" t="str">
        <f>IFERROR(IF('ŞİKAYET KAYIT'!P337="Kapatıldı","",IF('ŞİKAYET KAYIT'!J337="","",'ŞİKAYET KAYIT'!J337)),"")</f>
        <v/>
      </c>
      <c r="H337" s="26" t="str">
        <f>IFERROR(IF('ŞİKAYET KAYIT'!P337="Kapatıldı","",IF('ŞİKAYET KAYIT'!K337="","",'ŞİKAYET KAYIT'!K337)),"")</f>
        <v/>
      </c>
      <c r="I337" s="26" t="str">
        <f>IFERROR(IF('ŞİKAYET KAYIT'!P337="Kapatıldı","",IF('ŞİKAYET KAYIT'!L337="","",'ŞİKAYET KAYIT'!L337)),"")</f>
        <v/>
      </c>
      <c r="J337" s="26" t="str">
        <f>IFERROR(IF('ŞİKAYET KAYIT'!P337="Kapatıldı","",IF('ŞİKAYET KAYIT'!M337="","",'ŞİKAYET KAYIT'!M337)),"")</f>
        <v/>
      </c>
      <c r="K337" s="26" t="str">
        <f>IFERROR(IF('ŞİKAYET KAYIT'!P337="Kapatıldı","",IF('ŞİKAYET KAYIT'!N337="","",'ŞİKAYET KAYIT'!N337)),"")</f>
        <v/>
      </c>
      <c r="L337" s="26" t="str">
        <f>IFERROR(IF('ŞİKAYET KAYIT'!P337="Kapatıldı","",IF('ŞİKAYET KAYIT'!O337="","",'ŞİKAYET KAYIT'!O337)),"")</f>
        <v/>
      </c>
      <c r="M337" s="26" t="str">
        <f>IFERROR(IF('ŞİKAYET KAYIT'!P337="Kapatıldı","",IF('ŞİKAYET KAYIT'!P337="","",'ŞİKAYET KAYIT'!P337)),"")</f>
        <v/>
      </c>
    </row>
    <row r="338" spans="1:13" ht="15" customHeight="1" x14ac:dyDescent="0.3">
      <c r="A338" s="3" t="str">
        <f>IFERROR(IF('ŞİKAYET KAYIT'!P338="Kapatıldı","",IF('ŞİKAYET KAYIT'!A338="","",'ŞİKAYET KAYIT'!A338)),"")</f>
        <v/>
      </c>
      <c r="B338" s="5" t="str">
        <f>IFERROR(IF('ŞİKAYET KAYIT'!P338="Kapatıldı","",IF('ŞİKAYET KAYIT'!B338="","",'ŞİKAYET KAYIT'!B338)),"")</f>
        <v/>
      </c>
      <c r="C338" s="3" t="str">
        <f>IFERROR(IF('ŞİKAYET KAYIT'!P338="Kapatıldı","",IF('ŞİKAYET KAYIT'!D338="","",'ŞİKAYET KAYIT'!D338)),"")</f>
        <v/>
      </c>
      <c r="D338" s="3" t="str">
        <f>IFERROR(IF('ŞİKAYET KAYIT'!P338="Kapatıldı","",IF('ŞİKAYET KAYIT'!F338="","",'ŞİKAYET KAYIT'!F338)),"")</f>
        <v/>
      </c>
      <c r="E338" s="3" t="str">
        <f>IFERROR(IF('ŞİKAYET KAYIT'!P338="Kapatıldı","",IF('ŞİKAYET KAYIT'!H338="","",'ŞİKAYET KAYIT'!H338)),"")</f>
        <v/>
      </c>
      <c r="F338" s="3" t="str">
        <f>IFERROR(IF('ŞİKAYET KAYIT'!P338="Kapatıldı","",IF('ŞİKAYET KAYIT'!I338="","",'ŞİKAYET KAYIT'!I338)),"")</f>
        <v/>
      </c>
      <c r="G338" s="3" t="str">
        <f>IFERROR(IF('ŞİKAYET KAYIT'!P338="Kapatıldı","",IF('ŞİKAYET KAYIT'!J338="","",'ŞİKAYET KAYIT'!J338)),"")</f>
        <v/>
      </c>
      <c r="H338" s="3" t="str">
        <f>IFERROR(IF('ŞİKAYET KAYIT'!P338="Kapatıldı","",IF('ŞİKAYET KAYIT'!K338="","",'ŞİKAYET KAYIT'!K338)),"")</f>
        <v/>
      </c>
      <c r="I338" s="3" t="str">
        <f>IFERROR(IF('ŞİKAYET KAYIT'!P338="Kapatıldı","",IF('ŞİKAYET KAYIT'!L338="","",'ŞİKAYET KAYIT'!L338)),"")</f>
        <v/>
      </c>
      <c r="J338" s="3" t="str">
        <f>IFERROR(IF('ŞİKAYET KAYIT'!P338="Kapatıldı","",IF('ŞİKAYET KAYIT'!M338="","",'ŞİKAYET KAYIT'!M338)),"")</f>
        <v/>
      </c>
      <c r="K338" s="3" t="str">
        <f>IFERROR(IF('ŞİKAYET KAYIT'!P338="Kapatıldı","",IF('ŞİKAYET KAYIT'!N338="","",'ŞİKAYET KAYIT'!N338)),"")</f>
        <v/>
      </c>
      <c r="L338" s="3" t="str">
        <f>IFERROR(IF('ŞİKAYET KAYIT'!P338="Kapatıldı","",IF('ŞİKAYET KAYIT'!O338="","",'ŞİKAYET KAYIT'!O338)),"")</f>
        <v/>
      </c>
      <c r="M338" s="3" t="str">
        <f>IFERROR(IF('ŞİKAYET KAYIT'!P338="Kapatıldı","",IF('ŞİKAYET KAYIT'!P338="","",'ŞİKAYET KAYIT'!P338)),"")</f>
        <v/>
      </c>
    </row>
    <row r="339" spans="1:13" ht="15" customHeight="1" x14ac:dyDescent="0.3">
      <c r="A339" s="26" t="str">
        <f>IFERROR(IF('ŞİKAYET KAYIT'!P339="Kapatıldı","",IF('ŞİKAYET KAYIT'!A339="","",'ŞİKAYET KAYIT'!A339)),"")</f>
        <v/>
      </c>
      <c r="B339" s="8" t="str">
        <f>IFERROR(IF('ŞİKAYET KAYIT'!P339="Kapatıldı","",IF('ŞİKAYET KAYIT'!B339="","",'ŞİKAYET KAYIT'!B339)),"")</f>
        <v/>
      </c>
      <c r="C339" s="26" t="str">
        <f>IFERROR(IF('ŞİKAYET KAYIT'!P339="Kapatıldı","",IF('ŞİKAYET KAYIT'!D339="","",'ŞİKAYET KAYIT'!D339)),"")</f>
        <v/>
      </c>
      <c r="D339" s="26" t="str">
        <f>IFERROR(IF('ŞİKAYET KAYIT'!P339="Kapatıldı","",IF('ŞİKAYET KAYIT'!F339="","",'ŞİKAYET KAYIT'!F339)),"")</f>
        <v/>
      </c>
      <c r="E339" s="26" t="str">
        <f>IFERROR(IF('ŞİKAYET KAYIT'!P339="Kapatıldı","",IF('ŞİKAYET KAYIT'!H339="","",'ŞİKAYET KAYIT'!H339)),"")</f>
        <v/>
      </c>
      <c r="F339" s="26" t="str">
        <f>IFERROR(IF('ŞİKAYET KAYIT'!P339="Kapatıldı","",IF('ŞİKAYET KAYIT'!I339="","",'ŞİKAYET KAYIT'!I339)),"")</f>
        <v/>
      </c>
      <c r="G339" s="26" t="str">
        <f>IFERROR(IF('ŞİKAYET KAYIT'!P339="Kapatıldı","",IF('ŞİKAYET KAYIT'!J339="","",'ŞİKAYET KAYIT'!J339)),"")</f>
        <v/>
      </c>
      <c r="H339" s="26" t="str">
        <f>IFERROR(IF('ŞİKAYET KAYIT'!P339="Kapatıldı","",IF('ŞİKAYET KAYIT'!K339="","",'ŞİKAYET KAYIT'!K339)),"")</f>
        <v/>
      </c>
      <c r="I339" s="26" t="str">
        <f>IFERROR(IF('ŞİKAYET KAYIT'!P339="Kapatıldı","",IF('ŞİKAYET KAYIT'!L339="","",'ŞİKAYET KAYIT'!L339)),"")</f>
        <v/>
      </c>
      <c r="J339" s="26" t="str">
        <f>IFERROR(IF('ŞİKAYET KAYIT'!P339="Kapatıldı","",IF('ŞİKAYET KAYIT'!M339="","",'ŞİKAYET KAYIT'!M339)),"")</f>
        <v/>
      </c>
      <c r="K339" s="26" t="str">
        <f>IFERROR(IF('ŞİKAYET KAYIT'!P339="Kapatıldı","",IF('ŞİKAYET KAYIT'!N339="","",'ŞİKAYET KAYIT'!N339)),"")</f>
        <v/>
      </c>
      <c r="L339" s="26" t="str">
        <f>IFERROR(IF('ŞİKAYET KAYIT'!P339="Kapatıldı","",IF('ŞİKAYET KAYIT'!O339="","",'ŞİKAYET KAYIT'!O339)),"")</f>
        <v/>
      </c>
      <c r="M339" s="26" t="str">
        <f>IFERROR(IF('ŞİKAYET KAYIT'!P339="Kapatıldı","",IF('ŞİKAYET KAYIT'!P339="","",'ŞİKAYET KAYIT'!P339)),"")</f>
        <v/>
      </c>
    </row>
    <row r="340" spans="1:13" ht="15" customHeight="1" x14ac:dyDescent="0.3">
      <c r="A340" s="3" t="str">
        <f>IFERROR(IF('ŞİKAYET KAYIT'!P340="Kapatıldı","",IF('ŞİKAYET KAYIT'!A340="","",'ŞİKAYET KAYIT'!A340)),"")</f>
        <v/>
      </c>
      <c r="B340" s="5" t="str">
        <f>IFERROR(IF('ŞİKAYET KAYIT'!P340="Kapatıldı","",IF('ŞİKAYET KAYIT'!B340="","",'ŞİKAYET KAYIT'!B340)),"")</f>
        <v/>
      </c>
      <c r="C340" s="3" t="str">
        <f>IFERROR(IF('ŞİKAYET KAYIT'!P340="Kapatıldı","",IF('ŞİKAYET KAYIT'!D340="","",'ŞİKAYET KAYIT'!D340)),"")</f>
        <v/>
      </c>
      <c r="D340" s="3" t="str">
        <f>IFERROR(IF('ŞİKAYET KAYIT'!P340="Kapatıldı","",IF('ŞİKAYET KAYIT'!F340="","",'ŞİKAYET KAYIT'!F340)),"")</f>
        <v/>
      </c>
      <c r="E340" s="3" t="str">
        <f>IFERROR(IF('ŞİKAYET KAYIT'!P340="Kapatıldı","",IF('ŞİKAYET KAYIT'!H340="","",'ŞİKAYET KAYIT'!H340)),"")</f>
        <v/>
      </c>
      <c r="F340" s="3" t="str">
        <f>IFERROR(IF('ŞİKAYET KAYIT'!P340="Kapatıldı","",IF('ŞİKAYET KAYIT'!I340="","",'ŞİKAYET KAYIT'!I340)),"")</f>
        <v/>
      </c>
      <c r="G340" s="3" t="str">
        <f>IFERROR(IF('ŞİKAYET KAYIT'!P340="Kapatıldı","",IF('ŞİKAYET KAYIT'!J340="","",'ŞİKAYET KAYIT'!J340)),"")</f>
        <v/>
      </c>
      <c r="H340" s="3" t="str">
        <f>IFERROR(IF('ŞİKAYET KAYIT'!P340="Kapatıldı","",IF('ŞİKAYET KAYIT'!K340="","",'ŞİKAYET KAYIT'!K340)),"")</f>
        <v/>
      </c>
      <c r="I340" s="3" t="str">
        <f>IFERROR(IF('ŞİKAYET KAYIT'!P340="Kapatıldı","",IF('ŞİKAYET KAYIT'!L340="","",'ŞİKAYET KAYIT'!L340)),"")</f>
        <v/>
      </c>
      <c r="J340" s="3" t="str">
        <f>IFERROR(IF('ŞİKAYET KAYIT'!P340="Kapatıldı","",IF('ŞİKAYET KAYIT'!M340="","",'ŞİKAYET KAYIT'!M340)),"")</f>
        <v/>
      </c>
      <c r="K340" s="3" t="str">
        <f>IFERROR(IF('ŞİKAYET KAYIT'!P340="Kapatıldı","",IF('ŞİKAYET KAYIT'!N340="","",'ŞİKAYET KAYIT'!N340)),"")</f>
        <v/>
      </c>
      <c r="L340" s="3" t="str">
        <f>IFERROR(IF('ŞİKAYET KAYIT'!P340="Kapatıldı","",IF('ŞİKAYET KAYIT'!O340="","",'ŞİKAYET KAYIT'!O340)),"")</f>
        <v/>
      </c>
      <c r="M340" s="3" t="str">
        <f>IFERROR(IF('ŞİKAYET KAYIT'!P340="Kapatıldı","",IF('ŞİKAYET KAYIT'!P340="","",'ŞİKAYET KAYIT'!P340)),"")</f>
        <v/>
      </c>
    </row>
    <row r="341" spans="1:13" ht="15" customHeight="1" x14ac:dyDescent="0.3">
      <c r="A341" s="26" t="str">
        <f>IFERROR(IF('ŞİKAYET KAYIT'!P341="Kapatıldı","",IF('ŞİKAYET KAYIT'!A341="","",'ŞİKAYET KAYIT'!A341)),"")</f>
        <v/>
      </c>
      <c r="B341" s="8" t="str">
        <f>IFERROR(IF('ŞİKAYET KAYIT'!P341="Kapatıldı","",IF('ŞİKAYET KAYIT'!B341="","",'ŞİKAYET KAYIT'!B341)),"")</f>
        <v/>
      </c>
      <c r="C341" s="26" t="str">
        <f>IFERROR(IF('ŞİKAYET KAYIT'!P341="Kapatıldı","",IF('ŞİKAYET KAYIT'!D341="","",'ŞİKAYET KAYIT'!D341)),"")</f>
        <v/>
      </c>
      <c r="D341" s="26" t="str">
        <f>IFERROR(IF('ŞİKAYET KAYIT'!P341="Kapatıldı","",IF('ŞİKAYET KAYIT'!F341="","",'ŞİKAYET KAYIT'!F341)),"")</f>
        <v/>
      </c>
      <c r="E341" s="26" t="str">
        <f>IFERROR(IF('ŞİKAYET KAYIT'!P341="Kapatıldı","",IF('ŞİKAYET KAYIT'!H341="","",'ŞİKAYET KAYIT'!H341)),"")</f>
        <v/>
      </c>
      <c r="F341" s="26" t="str">
        <f>IFERROR(IF('ŞİKAYET KAYIT'!P341="Kapatıldı","",IF('ŞİKAYET KAYIT'!I341="","",'ŞİKAYET KAYIT'!I341)),"")</f>
        <v/>
      </c>
      <c r="G341" s="26" t="str">
        <f>IFERROR(IF('ŞİKAYET KAYIT'!P341="Kapatıldı","",IF('ŞİKAYET KAYIT'!J341="","",'ŞİKAYET KAYIT'!J341)),"")</f>
        <v/>
      </c>
      <c r="H341" s="26" t="str">
        <f>IFERROR(IF('ŞİKAYET KAYIT'!P341="Kapatıldı","",IF('ŞİKAYET KAYIT'!K341="","",'ŞİKAYET KAYIT'!K341)),"")</f>
        <v/>
      </c>
      <c r="I341" s="26" t="str">
        <f>IFERROR(IF('ŞİKAYET KAYIT'!P341="Kapatıldı","",IF('ŞİKAYET KAYIT'!L341="","",'ŞİKAYET KAYIT'!L341)),"")</f>
        <v/>
      </c>
      <c r="J341" s="26" t="str">
        <f>IFERROR(IF('ŞİKAYET KAYIT'!P341="Kapatıldı","",IF('ŞİKAYET KAYIT'!M341="","",'ŞİKAYET KAYIT'!M341)),"")</f>
        <v/>
      </c>
      <c r="K341" s="26" t="str">
        <f>IFERROR(IF('ŞİKAYET KAYIT'!P341="Kapatıldı","",IF('ŞİKAYET KAYIT'!N341="","",'ŞİKAYET KAYIT'!N341)),"")</f>
        <v/>
      </c>
      <c r="L341" s="26" t="str">
        <f>IFERROR(IF('ŞİKAYET KAYIT'!P341="Kapatıldı","",IF('ŞİKAYET KAYIT'!O341="","",'ŞİKAYET KAYIT'!O341)),"")</f>
        <v/>
      </c>
      <c r="M341" s="26" t="str">
        <f>IFERROR(IF('ŞİKAYET KAYIT'!P341="Kapatıldı","",IF('ŞİKAYET KAYIT'!P341="","",'ŞİKAYET KAYIT'!P341)),"")</f>
        <v/>
      </c>
    </row>
    <row r="342" spans="1:13" ht="15" customHeight="1" x14ac:dyDescent="0.3">
      <c r="A342" s="3" t="str">
        <f>IFERROR(IF('ŞİKAYET KAYIT'!P342="Kapatıldı","",IF('ŞİKAYET KAYIT'!A342="","",'ŞİKAYET KAYIT'!A342)),"")</f>
        <v/>
      </c>
      <c r="B342" s="5" t="str">
        <f>IFERROR(IF('ŞİKAYET KAYIT'!P342="Kapatıldı","",IF('ŞİKAYET KAYIT'!B342="","",'ŞİKAYET KAYIT'!B342)),"")</f>
        <v/>
      </c>
      <c r="C342" s="3" t="str">
        <f>IFERROR(IF('ŞİKAYET KAYIT'!P342="Kapatıldı","",IF('ŞİKAYET KAYIT'!D342="","",'ŞİKAYET KAYIT'!D342)),"")</f>
        <v/>
      </c>
      <c r="D342" s="3" t="str">
        <f>IFERROR(IF('ŞİKAYET KAYIT'!P342="Kapatıldı","",IF('ŞİKAYET KAYIT'!F342="","",'ŞİKAYET KAYIT'!F342)),"")</f>
        <v/>
      </c>
      <c r="E342" s="3" t="str">
        <f>IFERROR(IF('ŞİKAYET KAYIT'!P342="Kapatıldı","",IF('ŞİKAYET KAYIT'!H342="","",'ŞİKAYET KAYIT'!H342)),"")</f>
        <v/>
      </c>
      <c r="F342" s="3" t="str">
        <f>IFERROR(IF('ŞİKAYET KAYIT'!P342="Kapatıldı","",IF('ŞİKAYET KAYIT'!I342="","",'ŞİKAYET KAYIT'!I342)),"")</f>
        <v/>
      </c>
      <c r="G342" s="3" t="str">
        <f>IFERROR(IF('ŞİKAYET KAYIT'!P342="Kapatıldı","",IF('ŞİKAYET KAYIT'!J342="","",'ŞİKAYET KAYIT'!J342)),"")</f>
        <v/>
      </c>
      <c r="H342" s="3" t="str">
        <f>IFERROR(IF('ŞİKAYET KAYIT'!P342="Kapatıldı","",IF('ŞİKAYET KAYIT'!K342="","",'ŞİKAYET KAYIT'!K342)),"")</f>
        <v/>
      </c>
      <c r="I342" s="3" t="str">
        <f>IFERROR(IF('ŞİKAYET KAYIT'!P342="Kapatıldı","",IF('ŞİKAYET KAYIT'!L342="","",'ŞİKAYET KAYIT'!L342)),"")</f>
        <v/>
      </c>
      <c r="J342" s="3" t="str">
        <f>IFERROR(IF('ŞİKAYET KAYIT'!P342="Kapatıldı","",IF('ŞİKAYET KAYIT'!M342="","",'ŞİKAYET KAYIT'!M342)),"")</f>
        <v/>
      </c>
      <c r="K342" s="3" t="str">
        <f>IFERROR(IF('ŞİKAYET KAYIT'!P342="Kapatıldı","",IF('ŞİKAYET KAYIT'!N342="","",'ŞİKAYET KAYIT'!N342)),"")</f>
        <v/>
      </c>
      <c r="L342" s="3" t="str">
        <f>IFERROR(IF('ŞİKAYET KAYIT'!P342="Kapatıldı","",IF('ŞİKAYET KAYIT'!O342="","",'ŞİKAYET KAYIT'!O342)),"")</f>
        <v/>
      </c>
      <c r="M342" s="3" t="str">
        <f>IFERROR(IF('ŞİKAYET KAYIT'!P342="Kapatıldı","",IF('ŞİKAYET KAYIT'!P342="","",'ŞİKAYET KAYIT'!P342)),"")</f>
        <v/>
      </c>
    </row>
    <row r="343" spans="1:13" ht="15" customHeight="1" x14ac:dyDescent="0.3">
      <c r="A343" s="26" t="str">
        <f>IFERROR(IF('ŞİKAYET KAYIT'!P343="Kapatıldı","",IF('ŞİKAYET KAYIT'!A343="","",'ŞİKAYET KAYIT'!A343)),"")</f>
        <v/>
      </c>
      <c r="B343" s="8" t="str">
        <f>IFERROR(IF('ŞİKAYET KAYIT'!P343="Kapatıldı","",IF('ŞİKAYET KAYIT'!B343="","",'ŞİKAYET KAYIT'!B343)),"")</f>
        <v/>
      </c>
      <c r="C343" s="26" t="str">
        <f>IFERROR(IF('ŞİKAYET KAYIT'!P343="Kapatıldı","",IF('ŞİKAYET KAYIT'!D343="","",'ŞİKAYET KAYIT'!D343)),"")</f>
        <v/>
      </c>
      <c r="D343" s="26" t="str">
        <f>IFERROR(IF('ŞİKAYET KAYIT'!P343="Kapatıldı","",IF('ŞİKAYET KAYIT'!F343="","",'ŞİKAYET KAYIT'!F343)),"")</f>
        <v/>
      </c>
      <c r="E343" s="26" t="str">
        <f>IFERROR(IF('ŞİKAYET KAYIT'!P343="Kapatıldı","",IF('ŞİKAYET KAYIT'!H343="","",'ŞİKAYET KAYIT'!H343)),"")</f>
        <v/>
      </c>
      <c r="F343" s="26" t="str">
        <f>IFERROR(IF('ŞİKAYET KAYIT'!P343="Kapatıldı","",IF('ŞİKAYET KAYIT'!I343="","",'ŞİKAYET KAYIT'!I343)),"")</f>
        <v/>
      </c>
      <c r="G343" s="26" t="str">
        <f>IFERROR(IF('ŞİKAYET KAYIT'!P343="Kapatıldı","",IF('ŞİKAYET KAYIT'!J343="","",'ŞİKAYET KAYIT'!J343)),"")</f>
        <v/>
      </c>
      <c r="H343" s="26" t="str">
        <f>IFERROR(IF('ŞİKAYET KAYIT'!P343="Kapatıldı","",IF('ŞİKAYET KAYIT'!K343="","",'ŞİKAYET KAYIT'!K343)),"")</f>
        <v/>
      </c>
      <c r="I343" s="26" t="str">
        <f>IFERROR(IF('ŞİKAYET KAYIT'!P343="Kapatıldı","",IF('ŞİKAYET KAYIT'!L343="","",'ŞİKAYET KAYIT'!L343)),"")</f>
        <v/>
      </c>
      <c r="J343" s="26" t="str">
        <f>IFERROR(IF('ŞİKAYET KAYIT'!P343="Kapatıldı","",IF('ŞİKAYET KAYIT'!M343="","",'ŞİKAYET KAYIT'!M343)),"")</f>
        <v/>
      </c>
      <c r="K343" s="26" t="str">
        <f>IFERROR(IF('ŞİKAYET KAYIT'!P343="Kapatıldı","",IF('ŞİKAYET KAYIT'!N343="","",'ŞİKAYET KAYIT'!N343)),"")</f>
        <v/>
      </c>
      <c r="L343" s="26" t="str">
        <f>IFERROR(IF('ŞİKAYET KAYIT'!P343="Kapatıldı","",IF('ŞİKAYET KAYIT'!O343="","",'ŞİKAYET KAYIT'!O343)),"")</f>
        <v/>
      </c>
      <c r="M343" s="26" t="str">
        <f>IFERROR(IF('ŞİKAYET KAYIT'!P343="Kapatıldı","",IF('ŞİKAYET KAYIT'!P343="","",'ŞİKAYET KAYIT'!P343)),"")</f>
        <v/>
      </c>
    </row>
    <row r="344" spans="1:13" ht="15" customHeight="1" x14ac:dyDescent="0.3">
      <c r="A344" s="3" t="str">
        <f>IFERROR(IF('ŞİKAYET KAYIT'!P344="Kapatıldı","",IF('ŞİKAYET KAYIT'!A344="","",'ŞİKAYET KAYIT'!A344)),"")</f>
        <v/>
      </c>
      <c r="B344" s="5" t="str">
        <f>IFERROR(IF('ŞİKAYET KAYIT'!P344="Kapatıldı","",IF('ŞİKAYET KAYIT'!B344="","",'ŞİKAYET KAYIT'!B344)),"")</f>
        <v/>
      </c>
      <c r="C344" s="3" t="str">
        <f>IFERROR(IF('ŞİKAYET KAYIT'!P344="Kapatıldı","",IF('ŞİKAYET KAYIT'!D344="","",'ŞİKAYET KAYIT'!D344)),"")</f>
        <v/>
      </c>
      <c r="D344" s="3" t="str">
        <f>IFERROR(IF('ŞİKAYET KAYIT'!P344="Kapatıldı","",IF('ŞİKAYET KAYIT'!F344="","",'ŞİKAYET KAYIT'!F344)),"")</f>
        <v/>
      </c>
      <c r="E344" s="3" t="str">
        <f>IFERROR(IF('ŞİKAYET KAYIT'!P344="Kapatıldı","",IF('ŞİKAYET KAYIT'!H344="","",'ŞİKAYET KAYIT'!H344)),"")</f>
        <v/>
      </c>
      <c r="F344" s="3" t="str">
        <f>IFERROR(IF('ŞİKAYET KAYIT'!P344="Kapatıldı","",IF('ŞİKAYET KAYIT'!I344="","",'ŞİKAYET KAYIT'!I344)),"")</f>
        <v/>
      </c>
      <c r="G344" s="3" t="str">
        <f>IFERROR(IF('ŞİKAYET KAYIT'!P344="Kapatıldı","",IF('ŞİKAYET KAYIT'!J344="","",'ŞİKAYET KAYIT'!J344)),"")</f>
        <v/>
      </c>
      <c r="H344" s="3" t="str">
        <f>IFERROR(IF('ŞİKAYET KAYIT'!P344="Kapatıldı","",IF('ŞİKAYET KAYIT'!K344="","",'ŞİKAYET KAYIT'!K344)),"")</f>
        <v/>
      </c>
      <c r="I344" s="3" t="str">
        <f>IFERROR(IF('ŞİKAYET KAYIT'!P344="Kapatıldı","",IF('ŞİKAYET KAYIT'!L344="","",'ŞİKAYET KAYIT'!L344)),"")</f>
        <v/>
      </c>
      <c r="J344" s="3" t="str">
        <f>IFERROR(IF('ŞİKAYET KAYIT'!P344="Kapatıldı","",IF('ŞİKAYET KAYIT'!M344="","",'ŞİKAYET KAYIT'!M344)),"")</f>
        <v/>
      </c>
      <c r="K344" s="3" t="str">
        <f>IFERROR(IF('ŞİKAYET KAYIT'!P344="Kapatıldı","",IF('ŞİKAYET KAYIT'!N344="","",'ŞİKAYET KAYIT'!N344)),"")</f>
        <v/>
      </c>
      <c r="L344" s="3" t="str">
        <f>IFERROR(IF('ŞİKAYET KAYIT'!P344="Kapatıldı","",IF('ŞİKAYET KAYIT'!O344="","",'ŞİKAYET KAYIT'!O344)),"")</f>
        <v/>
      </c>
      <c r="M344" s="3" t="str">
        <f>IFERROR(IF('ŞİKAYET KAYIT'!P344="Kapatıldı","",IF('ŞİKAYET KAYIT'!P344="","",'ŞİKAYET KAYIT'!P344)),"")</f>
        <v/>
      </c>
    </row>
    <row r="345" spans="1:13" ht="15" customHeight="1" x14ac:dyDescent="0.3">
      <c r="A345" s="26" t="str">
        <f>IFERROR(IF('ŞİKAYET KAYIT'!P345="Kapatıldı","",IF('ŞİKAYET KAYIT'!A345="","",'ŞİKAYET KAYIT'!A345)),"")</f>
        <v/>
      </c>
      <c r="B345" s="8" t="str">
        <f>IFERROR(IF('ŞİKAYET KAYIT'!P345="Kapatıldı","",IF('ŞİKAYET KAYIT'!B345="","",'ŞİKAYET KAYIT'!B345)),"")</f>
        <v/>
      </c>
      <c r="C345" s="26" t="str">
        <f>IFERROR(IF('ŞİKAYET KAYIT'!P345="Kapatıldı","",IF('ŞİKAYET KAYIT'!D345="","",'ŞİKAYET KAYIT'!D345)),"")</f>
        <v/>
      </c>
      <c r="D345" s="26" t="str">
        <f>IFERROR(IF('ŞİKAYET KAYIT'!P345="Kapatıldı","",IF('ŞİKAYET KAYIT'!F345="","",'ŞİKAYET KAYIT'!F345)),"")</f>
        <v/>
      </c>
      <c r="E345" s="26" t="str">
        <f>IFERROR(IF('ŞİKAYET KAYIT'!P345="Kapatıldı","",IF('ŞİKAYET KAYIT'!H345="","",'ŞİKAYET KAYIT'!H345)),"")</f>
        <v/>
      </c>
      <c r="F345" s="26" t="str">
        <f>IFERROR(IF('ŞİKAYET KAYIT'!P345="Kapatıldı","",IF('ŞİKAYET KAYIT'!I345="","",'ŞİKAYET KAYIT'!I345)),"")</f>
        <v/>
      </c>
      <c r="G345" s="26" t="str">
        <f>IFERROR(IF('ŞİKAYET KAYIT'!P345="Kapatıldı","",IF('ŞİKAYET KAYIT'!J345="","",'ŞİKAYET KAYIT'!J345)),"")</f>
        <v/>
      </c>
      <c r="H345" s="26" t="str">
        <f>IFERROR(IF('ŞİKAYET KAYIT'!P345="Kapatıldı","",IF('ŞİKAYET KAYIT'!K345="","",'ŞİKAYET KAYIT'!K345)),"")</f>
        <v/>
      </c>
      <c r="I345" s="26" t="str">
        <f>IFERROR(IF('ŞİKAYET KAYIT'!P345="Kapatıldı","",IF('ŞİKAYET KAYIT'!L345="","",'ŞİKAYET KAYIT'!L345)),"")</f>
        <v/>
      </c>
      <c r="J345" s="26" t="str">
        <f>IFERROR(IF('ŞİKAYET KAYIT'!P345="Kapatıldı","",IF('ŞİKAYET KAYIT'!M345="","",'ŞİKAYET KAYIT'!M345)),"")</f>
        <v/>
      </c>
      <c r="K345" s="26" t="str">
        <f>IFERROR(IF('ŞİKAYET KAYIT'!P345="Kapatıldı","",IF('ŞİKAYET KAYIT'!N345="","",'ŞİKAYET KAYIT'!N345)),"")</f>
        <v/>
      </c>
      <c r="L345" s="26" t="str">
        <f>IFERROR(IF('ŞİKAYET KAYIT'!P345="Kapatıldı","",IF('ŞİKAYET KAYIT'!O345="","",'ŞİKAYET KAYIT'!O345)),"")</f>
        <v/>
      </c>
      <c r="M345" s="26" t="str">
        <f>IFERROR(IF('ŞİKAYET KAYIT'!P345="Kapatıldı","",IF('ŞİKAYET KAYIT'!P345="","",'ŞİKAYET KAYIT'!P345)),"")</f>
        <v/>
      </c>
    </row>
    <row r="346" spans="1:13" ht="15" customHeight="1" x14ac:dyDescent="0.3">
      <c r="A346" s="3" t="str">
        <f>IFERROR(IF('ŞİKAYET KAYIT'!P346="Kapatıldı","",IF('ŞİKAYET KAYIT'!A346="","",'ŞİKAYET KAYIT'!A346)),"")</f>
        <v/>
      </c>
      <c r="B346" s="5" t="str">
        <f>IFERROR(IF('ŞİKAYET KAYIT'!P346="Kapatıldı","",IF('ŞİKAYET KAYIT'!B346="","",'ŞİKAYET KAYIT'!B346)),"")</f>
        <v/>
      </c>
      <c r="C346" s="3" t="str">
        <f>IFERROR(IF('ŞİKAYET KAYIT'!P346="Kapatıldı","",IF('ŞİKAYET KAYIT'!D346="","",'ŞİKAYET KAYIT'!D346)),"")</f>
        <v/>
      </c>
      <c r="D346" s="3" t="str">
        <f>IFERROR(IF('ŞİKAYET KAYIT'!P346="Kapatıldı","",IF('ŞİKAYET KAYIT'!F346="","",'ŞİKAYET KAYIT'!F346)),"")</f>
        <v/>
      </c>
      <c r="E346" s="3" t="str">
        <f>IFERROR(IF('ŞİKAYET KAYIT'!P346="Kapatıldı","",IF('ŞİKAYET KAYIT'!H346="","",'ŞİKAYET KAYIT'!H346)),"")</f>
        <v/>
      </c>
      <c r="F346" s="3" t="str">
        <f>IFERROR(IF('ŞİKAYET KAYIT'!P346="Kapatıldı","",IF('ŞİKAYET KAYIT'!I346="","",'ŞİKAYET KAYIT'!I346)),"")</f>
        <v/>
      </c>
      <c r="G346" s="3" t="str">
        <f>IFERROR(IF('ŞİKAYET KAYIT'!P346="Kapatıldı","",IF('ŞİKAYET KAYIT'!J346="","",'ŞİKAYET KAYIT'!J346)),"")</f>
        <v/>
      </c>
      <c r="H346" s="3" t="str">
        <f>IFERROR(IF('ŞİKAYET KAYIT'!P346="Kapatıldı","",IF('ŞİKAYET KAYIT'!K346="","",'ŞİKAYET KAYIT'!K346)),"")</f>
        <v/>
      </c>
      <c r="I346" s="3" t="str">
        <f>IFERROR(IF('ŞİKAYET KAYIT'!P346="Kapatıldı","",IF('ŞİKAYET KAYIT'!L346="","",'ŞİKAYET KAYIT'!L346)),"")</f>
        <v/>
      </c>
      <c r="J346" s="3" t="str">
        <f>IFERROR(IF('ŞİKAYET KAYIT'!P346="Kapatıldı","",IF('ŞİKAYET KAYIT'!M346="","",'ŞİKAYET KAYIT'!M346)),"")</f>
        <v/>
      </c>
      <c r="K346" s="3" t="str">
        <f>IFERROR(IF('ŞİKAYET KAYIT'!P346="Kapatıldı","",IF('ŞİKAYET KAYIT'!N346="","",'ŞİKAYET KAYIT'!N346)),"")</f>
        <v/>
      </c>
      <c r="L346" s="3" t="str">
        <f>IFERROR(IF('ŞİKAYET KAYIT'!P346="Kapatıldı","",IF('ŞİKAYET KAYIT'!O346="","",'ŞİKAYET KAYIT'!O346)),"")</f>
        <v/>
      </c>
      <c r="M346" s="3" t="str">
        <f>IFERROR(IF('ŞİKAYET KAYIT'!P346="Kapatıldı","",IF('ŞİKAYET KAYIT'!P346="","",'ŞİKAYET KAYIT'!P346)),"")</f>
        <v/>
      </c>
    </row>
    <row r="347" spans="1:13" ht="15" customHeight="1" x14ac:dyDescent="0.3">
      <c r="A347" s="26" t="str">
        <f>IFERROR(IF('ŞİKAYET KAYIT'!P347="Kapatıldı","",IF('ŞİKAYET KAYIT'!A347="","",'ŞİKAYET KAYIT'!A347)),"")</f>
        <v/>
      </c>
      <c r="B347" s="8" t="str">
        <f>IFERROR(IF('ŞİKAYET KAYIT'!P347="Kapatıldı","",IF('ŞİKAYET KAYIT'!B347="","",'ŞİKAYET KAYIT'!B347)),"")</f>
        <v/>
      </c>
      <c r="C347" s="26" t="str">
        <f>IFERROR(IF('ŞİKAYET KAYIT'!P347="Kapatıldı","",IF('ŞİKAYET KAYIT'!D347="","",'ŞİKAYET KAYIT'!D347)),"")</f>
        <v/>
      </c>
      <c r="D347" s="26" t="str">
        <f>IFERROR(IF('ŞİKAYET KAYIT'!P347="Kapatıldı","",IF('ŞİKAYET KAYIT'!F347="","",'ŞİKAYET KAYIT'!F347)),"")</f>
        <v/>
      </c>
      <c r="E347" s="26" t="str">
        <f>IFERROR(IF('ŞİKAYET KAYIT'!P347="Kapatıldı","",IF('ŞİKAYET KAYIT'!H347="","",'ŞİKAYET KAYIT'!H347)),"")</f>
        <v/>
      </c>
      <c r="F347" s="26" t="str">
        <f>IFERROR(IF('ŞİKAYET KAYIT'!P347="Kapatıldı","",IF('ŞİKAYET KAYIT'!I347="","",'ŞİKAYET KAYIT'!I347)),"")</f>
        <v/>
      </c>
      <c r="G347" s="26" t="str">
        <f>IFERROR(IF('ŞİKAYET KAYIT'!P347="Kapatıldı","",IF('ŞİKAYET KAYIT'!J347="","",'ŞİKAYET KAYIT'!J347)),"")</f>
        <v/>
      </c>
      <c r="H347" s="26" t="str">
        <f>IFERROR(IF('ŞİKAYET KAYIT'!P347="Kapatıldı","",IF('ŞİKAYET KAYIT'!K347="","",'ŞİKAYET KAYIT'!K347)),"")</f>
        <v/>
      </c>
      <c r="I347" s="26" t="str">
        <f>IFERROR(IF('ŞİKAYET KAYIT'!P347="Kapatıldı","",IF('ŞİKAYET KAYIT'!L347="","",'ŞİKAYET KAYIT'!L347)),"")</f>
        <v/>
      </c>
      <c r="J347" s="26" t="str">
        <f>IFERROR(IF('ŞİKAYET KAYIT'!P347="Kapatıldı","",IF('ŞİKAYET KAYIT'!M347="","",'ŞİKAYET KAYIT'!M347)),"")</f>
        <v/>
      </c>
      <c r="K347" s="26" t="str">
        <f>IFERROR(IF('ŞİKAYET KAYIT'!P347="Kapatıldı","",IF('ŞİKAYET KAYIT'!N347="","",'ŞİKAYET KAYIT'!N347)),"")</f>
        <v/>
      </c>
      <c r="L347" s="26" t="str">
        <f>IFERROR(IF('ŞİKAYET KAYIT'!P347="Kapatıldı","",IF('ŞİKAYET KAYIT'!O347="","",'ŞİKAYET KAYIT'!O347)),"")</f>
        <v/>
      </c>
      <c r="M347" s="26" t="str">
        <f>IFERROR(IF('ŞİKAYET KAYIT'!P347="Kapatıldı","",IF('ŞİKAYET KAYIT'!P347="","",'ŞİKAYET KAYIT'!P347)),"")</f>
        <v/>
      </c>
    </row>
    <row r="348" spans="1:13" ht="15" customHeight="1" x14ac:dyDescent="0.3">
      <c r="A348" s="3" t="str">
        <f>IFERROR(IF('ŞİKAYET KAYIT'!P348="Kapatıldı","",IF('ŞİKAYET KAYIT'!A348="","",'ŞİKAYET KAYIT'!A348)),"")</f>
        <v/>
      </c>
      <c r="B348" s="5" t="str">
        <f>IFERROR(IF('ŞİKAYET KAYIT'!P348="Kapatıldı","",IF('ŞİKAYET KAYIT'!B348="","",'ŞİKAYET KAYIT'!B348)),"")</f>
        <v/>
      </c>
      <c r="C348" s="3" t="str">
        <f>IFERROR(IF('ŞİKAYET KAYIT'!P348="Kapatıldı","",IF('ŞİKAYET KAYIT'!D348="","",'ŞİKAYET KAYIT'!D348)),"")</f>
        <v/>
      </c>
      <c r="D348" s="3" t="str">
        <f>IFERROR(IF('ŞİKAYET KAYIT'!P348="Kapatıldı","",IF('ŞİKAYET KAYIT'!F348="","",'ŞİKAYET KAYIT'!F348)),"")</f>
        <v/>
      </c>
      <c r="E348" s="3" t="str">
        <f>IFERROR(IF('ŞİKAYET KAYIT'!P348="Kapatıldı","",IF('ŞİKAYET KAYIT'!H348="","",'ŞİKAYET KAYIT'!H348)),"")</f>
        <v/>
      </c>
      <c r="F348" s="3" t="str">
        <f>IFERROR(IF('ŞİKAYET KAYIT'!P348="Kapatıldı","",IF('ŞİKAYET KAYIT'!I348="","",'ŞİKAYET KAYIT'!I348)),"")</f>
        <v/>
      </c>
      <c r="G348" s="3" t="str">
        <f>IFERROR(IF('ŞİKAYET KAYIT'!P348="Kapatıldı","",IF('ŞİKAYET KAYIT'!J348="","",'ŞİKAYET KAYIT'!J348)),"")</f>
        <v/>
      </c>
      <c r="H348" s="3" t="str">
        <f>IFERROR(IF('ŞİKAYET KAYIT'!P348="Kapatıldı","",IF('ŞİKAYET KAYIT'!K348="","",'ŞİKAYET KAYIT'!K348)),"")</f>
        <v/>
      </c>
      <c r="I348" s="3" t="str">
        <f>IFERROR(IF('ŞİKAYET KAYIT'!P348="Kapatıldı","",IF('ŞİKAYET KAYIT'!L348="","",'ŞİKAYET KAYIT'!L348)),"")</f>
        <v/>
      </c>
      <c r="J348" s="3" t="str">
        <f>IFERROR(IF('ŞİKAYET KAYIT'!P348="Kapatıldı","",IF('ŞİKAYET KAYIT'!M348="","",'ŞİKAYET KAYIT'!M348)),"")</f>
        <v/>
      </c>
      <c r="K348" s="3" t="str">
        <f>IFERROR(IF('ŞİKAYET KAYIT'!P348="Kapatıldı","",IF('ŞİKAYET KAYIT'!N348="","",'ŞİKAYET KAYIT'!N348)),"")</f>
        <v/>
      </c>
      <c r="L348" s="3" t="str">
        <f>IFERROR(IF('ŞİKAYET KAYIT'!P348="Kapatıldı","",IF('ŞİKAYET KAYIT'!O348="","",'ŞİKAYET KAYIT'!O348)),"")</f>
        <v/>
      </c>
      <c r="M348" s="3" t="str">
        <f>IFERROR(IF('ŞİKAYET KAYIT'!P348="Kapatıldı","",IF('ŞİKAYET KAYIT'!P348="","",'ŞİKAYET KAYIT'!P348)),"")</f>
        <v/>
      </c>
    </row>
    <row r="349" spans="1:13" ht="15" customHeight="1" x14ac:dyDescent="0.3">
      <c r="A349" s="26" t="str">
        <f>IFERROR(IF('ŞİKAYET KAYIT'!P349="Kapatıldı","",IF('ŞİKAYET KAYIT'!A349="","",'ŞİKAYET KAYIT'!A349)),"")</f>
        <v/>
      </c>
      <c r="B349" s="8" t="str">
        <f>IFERROR(IF('ŞİKAYET KAYIT'!P349="Kapatıldı","",IF('ŞİKAYET KAYIT'!B349="","",'ŞİKAYET KAYIT'!B349)),"")</f>
        <v/>
      </c>
      <c r="C349" s="26" t="str">
        <f>IFERROR(IF('ŞİKAYET KAYIT'!P349="Kapatıldı","",IF('ŞİKAYET KAYIT'!D349="","",'ŞİKAYET KAYIT'!D349)),"")</f>
        <v/>
      </c>
      <c r="D349" s="26" t="str">
        <f>IFERROR(IF('ŞİKAYET KAYIT'!P349="Kapatıldı","",IF('ŞİKAYET KAYIT'!F349="","",'ŞİKAYET KAYIT'!F349)),"")</f>
        <v/>
      </c>
      <c r="E349" s="26" t="str">
        <f>IFERROR(IF('ŞİKAYET KAYIT'!P349="Kapatıldı","",IF('ŞİKAYET KAYIT'!H349="","",'ŞİKAYET KAYIT'!H349)),"")</f>
        <v/>
      </c>
      <c r="F349" s="26" t="str">
        <f>IFERROR(IF('ŞİKAYET KAYIT'!P349="Kapatıldı","",IF('ŞİKAYET KAYIT'!I349="","",'ŞİKAYET KAYIT'!I349)),"")</f>
        <v/>
      </c>
      <c r="G349" s="26" t="str">
        <f>IFERROR(IF('ŞİKAYET KAYIT'!P349="Kapatıldı","",IF('ŞİKAYET KAYIT'!J349="","",'ŞİKAYET KAYIT'!J349)),"")</f>
        <v/>
      </c>
      <c r="H349" s="26" t="str">
        <f>IFERROR(IF('ŞİKAYET KAYIT'!P349="Kapatıldı","",IF('ŞİKAYET KAYIT'!K349="","",'ŞİKAYET KAYIT'!K349)),"")</f>
        <v/>
      </c>
      <c r="I349" s="26" t="str">
        <f>IFERROR(IF('ŞİKAYET KAYIT'!P349="Kapatıldı","",IF('ŞİKAYET KAYIT'!L349="","",'ŞİKAYET KAYIT'!L349)),"")</f>
        <v/>
      </c>
      <c r="J349" s="26" t="str">
        <f>IFERROR(IF('ŞİKAYET KAYIT'!P349="Kapatıldı","",IF('ŞİKAYET KAYIT'!M349="","",'ŞİKAYET KAYIT'!M349)),"")</f>
        <v/>
      </c>
      <c r="K349" s="26" t="str">
        <f>IFERROR(IF('ŞİKAYET KAYIT'!P349="Kapatıldı","",IF('ŞİKAYET KAYIT'!N349="","",'ŞİKAYET KAYIT'!N349)),"")</f>
        <v/>
      </c>
      <c r="L349" s="26" t="str">
        <f>IFERROR(IF('ŞİKAYET KAYIT'!P349="Kapatıldı","",IF('ŞİKAYET KAYIT'!O349="","",'ŞİKAYET KAYIT'!O349)),"")</f>
        <v/>
      </c>
      <c r="M349" s="26" t="str">
        <f>IFERROR(IF('ŞİKAYET KAYIT'!P349="Kapatıldı","",IF('ŞİKAYET KAYIT'!P349="","",'ŞİKAYET KAYIT'!P349)),"")</f>
        <v/>
      </c>
    </row>
    <row r="350" spans="1:13" ht="15" customHeight="1" x14ac:dyDescent="0.3">
      <c r="A350" s="3" t="str">
        <f>IFERROR(IF('ŞİKAYET KAYIT'!P350="Kapatıldı","",IF('ŞİKAYET KAYIT'!A350="","",'ŞİKAYET KAYIT'!A350)),"")</f>
        <v/>
      </c>
      <c r="B350" s="5" t="str">
        <f>IFERROR(IF('ŞİKAYET KAYIT'!P350="Kapatıldı","",IF('ŞİKAYET KAYIT'!B350="","",'ŞİKAYET KAYIT'!B350)),"")</f>
        <v/>
      </c>
      <c r="C350" s="3" t="str">
        <f>IFERROR(IF('ŞİKAYET KAYIT'!P350="Kapatıldı","",IF('ŞİKAYET KAYIT'!D350="","",'ŞİKAYET KAYIT'!D350)),"")</f>
        <v/>
      </c>
      <c r="D350" s="3" t="str">
        <f>IFERROR(IF('ŞİKAYET KAYIT'!P350="Kapatıldı","",IF('ŞİKAYET KAYIT'!F350="","",'ŞİKAYET KAYIT'!F350)),"")</f>
        <v/>
      </c>
      <c r="E350" s="3" t="str">
        <f>IFERROR(IF('ŞİKAYET KAYIT'!P350="Kapatıldı","",IF('ŞİKAYET KAYIT'!H350="","",'ŞİKAYET KAYIT'!H350)),"")</f>
        <v/>
      </c>
      <c r="F350" s="3" t="str">
        <f>IFERROR(IF('ŞİKAYET KAYIT'!P350="Kapatıldı","",IF('ŞİKAYET KAYIT'!I350="","",'ŞİKAYET KAYIT'!I350)),"")</f>
        <v/>
      </c>
      <c r="G350" s="3" t="str">
        <f>IFERROR(IF('ŞİKAYET KAYIT'!P350="Kapatıldı","",IF('ŞİKAYET KAYIT'!J350="","",'ŞİKAYET KAYIT'!J350)),"")</f>
        <v/>
      </c>
      <c r="H350" s="3" t="str">
        <f>IFERROR(IF('ŞİKAYET KAYIT'!P350="Kapatıldı","",IF('ŞİKAYET KAYIT'!K350="","",'ŞİKAYET KAYIT'!K350)),"")</f>
        <v/>
      </c>
      <c r="I350" s="3" t="str">
        <f>IFERROR(IF('ŞİKAYET KAYIT'!P350="Kapatıldı","",IF('ŞİKAYET KAYIT'!L350="","",'ŞİKAYET KAYIT'!L350)),"")</f>
        <v/>
      </c>
      <c r="J350" s="3" t="str">
        <f>IFERROR(IF('ŞİKAYET KAYIT'!P350="Kapatıldı","",IF('ŞİKAYET KAYIT'!M350="","",'ŞİKAYET KAYIT'!M350)),"")</f>
        <v/>
      </c>
      <c r="K350" s="3" t="str">
        <f>IFERROR(IF('ŞİKAYET KAYIT'!P350="Kapatıldı","",IF('ŞİKAYET KAYIT'!N350="","",'ŞİKAYET KAYIT'!N350)),"")</f>
        <v/>
      </c>
      <c r="L350" s="3" t="str">
        <f>IFERROR(IF('ŞİKAYET KAYIT'!P350="Kapatıldı","",IF('ŞİKAYET KAYIT'!O350="","",'ŞİKAYET KAYIT'!O350)),"")</f>
        <v/>
      </c>
      <c r="M350" s="3" t="str">
        <f>IFERROR(IF('ŞİKAYET KAYIT'!P350="Kapatıldı","",IF('ŞİKAYET KAYIT'!P350="","",'ŞİKAYET KAYIT'!P350)),"")</f>
        <v/>
      </c>
    </row>
    <row r="351" spans="1:13" ht="15" customHeight="1" x14ac:dyDescent="0.3">
      <c r="A351" s="26" t="str">
        <f>IFERROR(IF('ŞİKAYET KAYIT'!P351="Kapatıldı","",IF('ŞİKAYET KAYIT'!A351="","",'ŞİKAYET KAYIT'!A351)),"")</f>
        <v/>
      </c>
      <c r="B351" s="8" t="str">
        <f>IFERROR(IF('ŞİKAYET KAYIT'!P351="Kapatıldı","",IF('ŞİKAYET KAYIT'!B351="","",'ŞİKAYET KAYIT'!B351)),"")</f>
        <v/>
      </c>
      <c r="C351" s="26" t="str">
        <f>IFERROR(IF('ŞİKAYET KAYIT'!P351="Kapatıldı","",IF('ŞİKAYET KAYIT'!D351="","",'ŞİKAYET KAYIT'!D351)),"")</f>
        <v/>
      </c>
      <c r="D351" s="26" t="str">
        <f>IFERROR(IF('ŞİKAYET KAYIT'!P351="Kapatıldı","",IF('ŞİKAYET KAYIT'!F351="","",'ŞİKAYET KAYIT'!F351)),"")</f>
        <v/>
      </c>
      <c r="E351" s="26" t="str">
        <f>IFERROR(IF('ŞİKAYET KAYIT'!P351="Kapatıldı","",IF('ŞİKAYET KAYIT'!H351="","",'ŞİKAYET KAYIT'!H351)),"")</f>
        <v/>
      </c>
      <c r="F351" s="26" t="str">
        <f>IFERROR(IF('ŞİKAYET KAYIT'!P351="Kapatıldı","",IF('ŞİKAYET KAYIT'!I351="","",'ŞİKAYET KAYIT'!I351)),"")</f>
        <v/>
      </c>
      <c r="G351" s="26" t="str">
        <f>IFERROR(IF('ŞİKAYET KAYIT'!P351="Kapatıldı","",IF('ŞİKAYET KAYIT'!J351="","",'ŞİKAYET KAYIT'!J351)),"")</f>
        <v/>
      </c>
      <c r="H351" s="26" t="str">
        <f>IFERROR(IF('ŞİKAYET KAYIT'!P351="Kapatıldı","",IF('ŞİKAYET KAYIT'!K351="","",'ŞİKAYET KAYIT'!K351)),"")</f>
        <v/>
      </c>
      <c r="I351" s="26" t="str">
        <f>IFERROR(IF('ŞİKAYET KAYIT'!P351="Kapatıldı","",IF('ŞİKAYET KAYIT'!L351="","",'ŞİKAYET KAYIT'!L351)),"")</f>
        <v/>
      </c>
      <c r="J351" s="26" t="str">
        <f>IFERROR(IF('ŞİKAYET KAYIT'!P351="Kapatıldı","",IF('ŞİKAYET KAYIT'!M351="","",'ŞİKAYET KAYIT'!M351)),"")</f>
        <v/>
      </c>
      <c r="K351" s="26" t="str">
        <f>IFERROR(IF('ŞİKAYET KAYIT'!P351="Kapatıldı","",IF('ŞİKAYET KAYIT'!N351="","",'ŞİKAYET KAYIT'!N351)),"")</f>
        <v/>
      </c>
      <c r="L351" s="26" t="str">
        <f>IFERROR(IF('ŞİKAYET KAYIT'!P351="Kapatıldı","",IF('ŞİKAYET KAYIT'!O351="","",'ŞİKAYET KAYIT'!O351)),"")</f>
        <v/>
      </c>
      <c r="M351" s="26" t="str">
        <f>IFERROR(IF('ŞİKAYET KAYIT'!P351="Kapatıldı","",IF('ŞİKAYET KAYIT'!P351="","",'ŞİKAYET KAYIT'!P351)),"")</f>
        <v/>
      </c>
    </row>
    <row r="352" spans="1:13" ht="15" customHeight="1" x14ac:dyDescent="0.3">
      <c r="A352" s="3" t="str">
        <f>IFERROR(IF('ŞİKAYET KAYIT'!P352="Kapatıldı","",IF('ŞİKAYET KAYIT'!A352="","",'ŞİKAYET KAYIT'!A352)),"")</f>
        <v/>
      </c>
      <c r="B352" s="5" t="str">
        <f>IFERROR(IF('ŞİKAYET KAYIT'!P352="Kapatıldı","",IF('ŞİKAYET KAYIT'!B352="","",'ŞİKAYET KAYIT'!B352)),"")</f>
        <v/>
      </c>
      <c r="C352" s="3" t="str">
        <f>IFERROR(IF('ŞİKAYET KAYIT'!P352="Kapatıldı","",IF('ŞİKAYET KAYIT'!D352="","",'ŞİKAYET KAYIT'!D352)),"")</f>
        <v/>
      </c>
      <c r="D352" s="3" t="str">
        <f>IFERROR(IF('ŞİKAYET KAYIT'!P352="Kapatıldı","",IF('ŞİKAYET KAYIT'!F352="","",'ŞİKAYET KAYIT'!F352)),"")</f>
        <v/>
      </c>
      <c r="E352" s="3" t="str">
        <f>IFERROR(IF('ŞİKAYET KAYIT'!P352="Kapatıldı","",IF('ŞİKAYET KAYIT'!H352="","",'ŞİKAYET KAYIT'!H352)),"")</f>
        <v/>
      </c>
      <c r="F352" s="3" t="str">
        <f>IFERROR(IF('ŞİKAYET KAYIT'!P352="Kapatıldı","",IF('ŞİKAYET KAYIT'!I352="","",'ŞİKAYET KAYIT'!I352)),"")</f>
        <v/>
      </c>
      <c r="G352" s="3" t="str">
        <f>IFERROR(IF('ŞİKAYET KAYIT'!P352="Kapatıldı","",IF('ŞİKAYET KAYIT'!J352="","",'ŞİKAYET KAYIT'!J352)),"")</f>
        <v/>
      </c>
      <c r="H352" s="3" t="str">
        <f>IFERROR(IF('ŞİKAYET KAYIT'!P352="Kapatıldı","",IF('ŞİKAYET KAYIT'!K352="","",'ŞİKAYET KAYIT'!K352)),"")</f>
        <v/>
      </c>
      <c r="I352" s="3" t="str">
        <f>IFERROR(IF('ŞİKAYET KAYIT'!P352="Kapatıldı","",IF('ŞİKAYET KAYIT'!L352="","",'ŞİKAYET KAYIT'!L352)),"")</f>
        <v/>
      </c>
      <c r="J352" s="3" t="str">
        <f>IFERROR(IF('ŞİKAYET KAYIT'!P352="Kapatıldı","",IF('ŞİKAYET KAYIT'!M352="","",'ŞİKAYET KAYIT'!M352)),"")</f>
        <v/>
      </c>
      <c r="K352" s="3" t="str">
        <f>IFERROR(IF('ŞİKAYET KAYIT'!P352="Kapatıldı","",IF('ŞİKAYET KAYIT'!N352="","",'ŞİKAYET KAYIT'!N352)),"")</f>
        <v/>
      </c>
      <c r="L352" s="3" t="str">
        <f>IFERROR(IF('ŞİKAYET KAYIT'!P352="Kapatıldı","",IF('ŞİKAYET KAYIT'!O352="","",'ŞİKAYET KAYIT'!O352)),"")</f>
        <v/>
      </c>
      <c r="M352" s="3" t="str">
        <f>IFERROR(IF('ŞİKAYET KAYIT'!P352="Kapatıldı","",IF('ŞİKAYET KAYIT'!P352="","",'ŞİKAYET KAYIT'!P352)),"")</f>
        <v/>
      </c>
    </row>
    <row r="353" spans="1:13" ht="15" customHeight="1" x14ac:dyDescent="0.3">
      <c r="A353" s="26" t="str">
        <f>IFERROR(IF('ŞİKAYET KAYIT'!P353="Kapatıldı","",IF('ŞİKAYET KAYIT'!A353="","",'ŞİKAYET KAYIT'!A353)),"")</f>
        <v/>
      </c>
      <c r="B353" s="8" t="str">
        <f>IFERROR(IF('ŞİKAYET KAYIT'!P353="Kapatıldı","",IF('ŞİKAYET KAYIT'!B353="","",'ŞİKAYET KAYIT'!B353)),"")</f>
        <v/>
      </c>
      <c r="C353" s="26" t="str">
        <f>IFERROR(IF('ŞİKAYET KAYIT'!P353="Kapatıldı","",IF('ŞİKAYET KAYIT'!D353="","",'ŞİKAYET KAYIT'!D353)),"")</f>
        <v/>
      </c>
      <c r="D353" s="26" t="str">
        <f>IFERROR(IF('ŞİKAYET KAYIT'!P353="Kapatıldı","",IF('ŞİKAYET KAYIT'!F353="","",'ŞİKAYET KAYIT'!F353)),"")</f>
        <v/>
      </c>
      <c r="E353" s="26" t="str">
        <f>IFERROR(IF('ŞİKAYET KAYIT'!P353="Kapatıldı","",IF('ŞİKAYET KAYIT'!H353="","",'ŞİKAYET KAYIT'!H353)),"")</f>
        <v/>
      </c>
      <c r="F353" s="26" t="str">
        <f>IFERROR(IF('ŞİKAYET KAYIT'!P353="Kapatıldı","",IF('ŞİKAYET KAYIT'!I353="","",'ŞİKAYET KAYIT'!I353)),"")</f>
        <v/>
      </c>
      <c r="G353" s="26" t="str">
        <f>IFERROR(IF('ŞİKAYET KAYIT'!P353="Kapatıldı","",IF('ŞİKAYET KAYIT'!J353="","",'ŞİKAYET KAYIT'!J353)),"")</f>
        <v/>
      </c>
      <c r="H353" s="26" t="str">
        <f>IFERROR(IF('ŞİKAYET KAYIT'!P353="Kapatıldı","",IF('ŞİKAYET KAYIT'!K353="","",'ŞİKAYET KAYIT'!K353)),"")</f>
        <v/>
      </c>
      <c r="I353" s="26" t="str">
        <f>IFERROR(IF('ŞİKAYET KAYIT'!P353="Kapatıldı","",IF('ŞİKAYET KAYIT'!L353="","",'ŞİKAYET KAYIT'!L353)),"")</f>
        <v/>
      </c>
      <c r="J353" s="26" t="str">
        <f>IFERROR(IF('ŞİKAYET KAYIT'!P353="Kapatıldı","",IF('ŞİKAYET KAYIT'!M353="","",'ŞİKAYET KAYIT'!M353)),"")</f>
        <v/>
      </c>
      <c r="K353" s="26" t="str">
        <f>IFERROR(IF('ŞİKAYET KAYIT'!P353="Kapatıldı","",IF('ŞİKAYET KAYIT'!N353="","",'ŞİKAYET KAYIT'!N353)),"")</f>
        <v/>
      </c>
      <c r="L353" s="26" t="str">
        <f>IFERROR(IF('ŞİKAYET KAYIT'!P353="Kapatıldı","",IF('ŞİKAYET KAYIT'!O353="","",'ŞİKAYET KAYIT'!O353)),"")</f>
        <v/>
      </c>
      <c r="M353" s="26" t="str">
        <f>IFERROR(IF('ŞİKAYET KAYIT'!P353="Kapatıldı","",IF('ŞİKAYET KAYIT'!P353="","",'ŞİKAYET KAYIT'!P353)),"")</f>
        <v/>
      </c>
    </row>
    <row r="354" spans="1:13" ht="15" customHeight="1" x14ac:dyDescent="0.3">
      <c r="A354" s="3" t="str">
        <f>IFERROR(IF('ŞİKAYET KAYIT'!P354="Kapatıldı","",IF('ŞİKAYET KAYIT'!A354="","",'ŞİKAYET KAYIT'!A354)),"")</f>
        <v/>
      </c>
      <c r="B354" s="5" t="str">
        <f>IFERROR(IF('ŞİKAYET KAYIT'!P354="Kapatıldı","",IF('ŞİKAYET KAYIT'!B354="","",'ŞİKAYET KAYIT'!B354)),"")</f>
        <v/>
      </c>
      <c r="C354" s="3" t="str">
        <f>IFERROR(IF('ŞİKAYET KAYIT'!P354="Kapatıldı","",IF('ŞİKAYET KAYIT'!D354="","",'ŞİKAYET KAYIT'!D354)),"")</f>
        <v/>
      </c>
      <c r="D354" s="3" t="str">
        <f>IFERROR(IF('ŞİKAYET KAYIT'!P354="Kapatıldı","",IF('ŞİKAYET KAYIT'!F354="","",'ŞİKAYET KAYIT'!F354)),"")</f>
        <v/>
      </c>
      <c r="E354" s="3" t="str">
        <f>IFERROR(IF('ŞİKAYET KAYIT'!P354="Kapatıldı","",IF('ŞİKAYET KAYIT'!H354="","",'ŞİKAYET KAYIT'!H354)),"")</f>
        <v/>
      </c>
      <c r="F354" s="3" t="str">
        <f>IFERROR(IF('ŞİKAYET KAYIT'!P354="Kapatıldı","",IF('ŞİKAYET KAYIT'!I354="","",'ŞİKAYET KAYIT'!I354)),"")</f>
        <v/>
      </c>
      <c r="G354" s="3" t="str">
        <f>IFERROR(IF('ŞİKAYET KAYIT'!P354="Kapatıldı","",IF('ŞİKAYET KAYIT'!J354="","",'ŞİKAYET KAYIT'!J354)),"")</f>
        <v/>
      </c>
      <c r="H354" s="3" t="str">
        <f>IFERROR(IF('ŞİKAYET KAYIT'!P354="Kapatıldı","",IF('ŞİKAYET KAYIT'!K354="","",'ŞİKAYET KAYIT'!K354)),"")</f>
        <v/>
      </c>
      <c r="I354" s="3" t="str">
        <f>IFERROR(IF('ŞİKAYET KAYIT'!P354="Kapatıldı","",IF('ŞİKAYET KAYIT'!L354="","",'ŞİKAYET KAYIT'!L354)),"")</f>
        <v/>
      </c>
      <c r="J354" s="3" t="str">
        <f>IFERROR(IF('ŞİKAYET KAYIT'!P354="Kapatıldı","",IF('ŞİKAYET KAYIT'!M354="","",'ŞİKAYET KAYIT'!M354)),"")</f>
        <v/>
      </c>
      <c r="K354" s="3" t="str">
        <f>IFERROR(IF('ŞİKAYET KAYIT'!P354="Kapatıldı","",IF('ŞİKAYET KAYIT'!N354="","",'ŞİKAYET KAYIT'!N354)),"")</f>
        <v/>
      </c>
      <c r="L354" s="3" t="str">
        <f>IFERROR(IF('ŞİKAYET KAYIT'!P354="Kapatıldı","",IF('ŞİKAYET KAYIT'!O354="","",'ŞİKAYET KAYIT'!O354)),"")</f>
        <v/>
      </c>
      <c r="M354" s="3" t="str">
        <f>IFERROR(IF('ŞİKAYET KAYIT'!P354="Kapatıldı","",IF('ŞİKAYET KAYIT'!P354="","",'ŞİKAYET KAYIT'!P354)),"")</f>
        <v/>
      </c>
    </row>
    <row r="355" spans="1:13" ht="15" customHeight="1" x14ac:dyDescent="0.3">
      <c r="A355" s="26" t="str">
        <f>IFERROR(IF('ŞİKAYET KAYIT'!P355="Kapatıldı","",IF('ŞİKAYET KAYIT'!A355="","",'ŞİKAYET KAYIT'!A355)),"")</f>
        <v/>
      </c>
      <c r="B355" s="8" t="str">
        <f>IFERROR(IF('ŞİKAYET KAYIT'!P355="Kapatıldı","",IF('ŞİKAYET KAYIT'!B355="","",'ŞİKAYET KAYIT'!B355)),"")</f>
        <v/>
      </c>
      <c r="C355" s="26" t="str">
        <f>IFERROR(IF('ŞİKAYET KAYIT'!P355="Kapatıldı","",IF('ŞİKAYET KAYIT'!D355="","",'ŞİKAYET KAYIT'!D355)),"")</f>
        <v/>
      </c>
      <c r="D355" s="26" t="str">
        <f>IFERROR(IF('ŞİKAYET KAYIT'!P355="Kapatıldı","",IF('ŞİKAYET KAYIT'!F355="","",'ŞİKAYET KAYIT'!F355)),"")</f>
        <v/>
      </c>
      <c r="E355" s="26" t="str">
        <f>IFERROR(IF('ŞİKAYET KAYIT'!P355="Kapatıldı","",IF('ŞİKAYET KAYIT'!H355="","",'ŞİKAYET KAYIT'!H355)),"")</f>
        <v/>
      </c>
      <c r="F355" s="26" t="str">
        <f>IFERROR(IF('ŞİKAYET KAYIT'!P355="Kapatıldı","",IF('ŞİKAYET KAYIT'!I355="","",'ŞİKAYET KAYIT'!I355)),"")</f>
        <v/>
      </c>
      <c r="G355" s="26" t="str">
        <f>IFERROR(IF('ŞİKAYET KAYIT'!P355="Kapatıldı","",IF('ŞİKAYET KAYIT'!J355="","",'ŞİKAYET KAYIT'!J355)),"")</f>
        <v/>
      </c>
      <c r="H355" s="26" t="str">
        <f>IFERROR(IF('ŞİKAYET KAYIT'!P355="Kapatıldı","",IF('ŞİKAYET KAYIT'!K355="","",'ŞİKAYET KAYIT'!K355)),"")</f>
        <v/>
      </c>
      <c r="I355" s="26" t="str">
        <f>IFERROR(IF('ŞİKAYET KAYIT'!P355="Kapatıldı","",IF('ŞİKAYET KAYIT'!L355="","",'ŞİKAYET KAYIT'!L355)),"")</f>
        <v/>
      </c>
      <c r="J355" s="26" t="str">
        <f>IFERROR(IF('ŞİKAYET KAYIT'!P355="Kapatıldı","",IF('ŞİKAYET KAYIT'!M355="","",'ŞİKAYET KAYIT'!M355)),"")</f>
        <v/>
      </c>
      <c r="K355" s="26" t="str">
        <f>IFERROR(IF('ŞİKAYET KAYIT'!P355="Kapatıldı","",IF('ŞİKAYET KAYIT'!N355="","",'ŞİKAYET KAYIT'!N355)),"")</f>
        <v/>
      </c>
      <c r="L355" s="26" t="str">
        <f>IFERROR(IF('ŞİKAYET KAYIT'!P355="Kapatıldı","",IF('ŞİKAYET KAYIT'!O355="","",'ŞİKAYET KAYIT'!O355)),"")</f>
        <v/>
      </c>
      <c r="M355" s="26" t="str">
        <f>IFERROR(IF('ŞİKAYET KAYIT'!P355="Kapatıldı","",IF('ŞİKAYET KAYIT'!P355="","",'ŞİKAYET KAYIT'!P355)),"")</f>
        <v/>
      </c>
    </row>
    <row r="356" spans="1:13" ht="15" customHeight="1" x14ac:dyDescent="0.3">
      <c r="A356" s="3" t="str">
        <f>IFERROR(IF('ŞİKAYET KAYIT'!P356="Kapatıldı","",IF('ŞİKAYET KAYIT'!A356="","",'ŞİKAYET KAYIT'!A356)),"")</f>
        <v/>
      </c>
      <c r="B356" s="5" t="str">
        <f>IFERROR(IF('ŞİKAYET KAYIT'!P356="Kapatıldı","",IF('ŞİKAYET KAYIT'!B356="","",'ŞİKAYET KAYIT'!B356)),"")</f>
        <v/>
      </c>
      <c r="C356" s="3" t="str">
        <f>IFERROR(IF('ŞİKAYET KAYIT'!P356="Kapatıldı","",IF('ŞİKAYET KAYIT'!D356="","",'ŞİKAYET KAYIT'!D356)),"")</f>
        <v/>
      </c>
      <c r="D356" s="3" t="str">
        <f>IFERROR(IF('ŞİKAYET KAYIT'!P356="Kapatıldı","",IF('ŞİKAYET KAYIT'!F356="","",'ŞİKAYET KAYIT'!F356)),"")</f>
        <v/>
      </c>
      <c r="E356" s="3" t="str">
        <f>IFERROR(IF('ŞİKAYET KAYIT'!P356="Kapatıldı","",IF('ŞİKAYET KAYIT'!H356="","",'ŞİKAYET KAYIT'!H356)),"")</f>
        <v/>
      </c>
      <c r="F356" s="3" t="str">
        <f>IFERROR(IF('ŞİKAYET KAYIT'!P356="Kapatıldı","",IF('ŞİKAYET KAYIT'!I356="","",'ŞİKAYET KAYIT'!I356)),"")</f>
        <v/>
      </c>
      <c r="G356" s="3" t="str">
        <f>IFERROR(IF('ŞİKAYET KAYIT'!P356="Kapatıldı","",IF('ŞİKAYET KAYIT'!J356="","",'ŞİKAYET KAYIT'!J356)),"")</f>
        <v/>
      </c>
      <c r="H356" s="3" t="str">
        <f>IFERROR(IF('ŞİKAYET KAYIT'!P356="Kapatıldı","",IF('ŞİKAYET KAYIT'!K356="","",'ŞİKAYET KAYIT'!K356)),"")</f>
        <v/>
      </c>
      <c r="I356" s="3" t="str">
        <f>IFERROR(IF('ŞİKAYET KAYIT'!P356="Kapatıldı","",IF('ŞİKAYET KAYIT'!L356="","",'ŞİKAYET KAYIT'!L356)),"")</f>
        <v/>
      </c>
      <c r="J356" s="3" t="str">
        <f>IFERROR(IF('ŞİKAYET KAYIT'!P356="Kapatıldı","",IF('ŞİKAYET KAYIT'!M356="","",'ŞİKAYET KAYIT'!M356)),"")</f>
        <v/>
      </c>
      <c r="K356" s="3" t="str">
        <f>IFERROR(IF('ŞİKAYET KAYIT'!P356="Kapatıldı","",IF('ŞİKAYET KAYIT'!N356="","",'ŞİKAYET KAYIT'!N356)),"")</f>
        <v/>
      </c>
      <c r="L356" s="3" t="str">
        <f>IFERROR(IF('ŞİKAYET KAYIT'!P356="Kapatıldı","",IF('ŞİKAYET KAYIT'!O356="","",'ŞİKAYET KAYIT'!O356)),"")</f>
        <v/>
      </c>
      <c r="M356" s="3" t="str">
        <f>IFERROR(IF('ŞİKAYET KAYIT'!P356="Kapatıldı","",IF('ŞİKAYET KAYIT'!P356="","",'ŞİKAYET KAYIT'!P356)),"")</f>
        <v/>
      </c>
    </row>
    <row r="357" spans="1:13" ht="15" customHeight="1" x14ac:dyDescent="0.3">
      <c r="A357" s="26" t="str">
        <f>IFERROR(IF('ŞİKAYET KAYIT'!P357="Kapatıldı","",IF('ŞİKAYET KAYIT'!A357="","",'ŞİKAYET KAYIT'!A357)),"")</f>
        <v/>
      </c>
      <c r="B357" s="8" t="str">
        <f>IFERROR(IF('ŞİKAYET KAYIT'!P357="Kapatıldı","",IF('ŞİKAYET KAYIT'!B357="","",'ŞİKAYET KAYIT'!B357)),"")</f>
        <v/>
      </c>
      <c r="C357" s="26" t="str">
        <f>IFERROR(IF('ŞİKAYET KAYIT'!P357="Kapatıldı","",IF('ŞİKAYET KAYIT'!D357="","",'ŞİKAYET KAYIT'!D357)),"")</f>
        <v/>
      </c>
      <c r="D357" s="26" t="str">
        <f>IFERROR(IF('ŞİKAYET KAYIT'!P357="Kapatıldı","",IF('ŞİKAYET KAYIT'!F357="","",'ŞİKAYET KAYIT'!F357)),"")</f>
        <v/>
      </c>
      <c r="E357" s="26" t="str">
        <f>IFERROR(IF('ŞİKAYET KAYIT'!P357="Kapatıldı","",IF('ŞİKAYET KAYIT'!H357="","",'ŞİKAYET KAYIT'!H357)),"")</f>
        <v/>
      </c>
      <c r="F357" s="26" t="str">
        <f>IFERROR(IF('ŞİKAYET KAYIT'!P357="Kapatıldı","",IF('ŞİKAYET KAYIT'!I357="","",'ŞİKAYET KAYIT'!I357)),"")</f>
        <v/>
      </c>
      <c r="G357" s="26" t="str">
        <f>IFERROR(IF('ŞİKAYET KAYIT'!P357="Kapatıldı","",IF('ŞİKAYET KAYIT'!J357="","",'ŞİKAYET KAYIT'!J357)),"")</f>
        <v/>
      </c>
      <c r="H357" s="26" t="str">
        <f>IFERROR(IF('ŞİKAYET KAYIT'!P357="Kapatıldı","",IF('ŞİKAYET KAYIT'!K357="","",'ŞİKAYET KAYIT'!K357)),"")</f>
        <v/>
      </c>
      <c r="I357" s="26" t="str">
        <f>IFERROR(IF('ŞİKAYET KAYIT'!P357="Kapatıldı","",IF('ŞİKAYET KAYIT'!L357="","",'ŞİKAYET KAYIT'!L357)),"")</f>
        <v/>
      </c>
      <c r="J357" s="26" t="str">
        <f>IFERROR(IF('ŞİKAYET KAYIT'!P357="Kapatıldı","",IF('ŞİKAYET KAYIT'!M357="","",'ŞİKAYET KAYIT'!M357)),"")</f>
        <v/>
      </c>
      <c r="K357" s="26" t="str">
        <f>IFERROR(IF('ŞİKAYET KAYIT'!P357="Kapatıldı","",IF('ŞİKAYET KAYIT'!N357="","",'ŞİKAYET KAYIT'!N357)),"")</f>
        <v/>
      </c>
      <c r="L357" s="26" t="str">
        <f>IFERROR(IF('ŞİKAYET KAYIT'!P357="Kapatıldı","",IF('ŞİKAYET KAYIT'!O357="","",'ŞİKAYET KAYIT'!O357)),"")</f>
        <v/>
      </c>
      <c r="M357" s="26" t="str">
        <f>IFERROR(IF('ŞİKAYET KAYIT'!P357="Kapatıldı","",IF('ŞİKAYET KAYIT'!P357="","",'ŞİKAYET KAYIT'!P357)),"")</f>
        <v/>
      </c>
    </row>
    <row r="358" spans="1:13" ht="15" customHeight="1" x14ac:dyDescent="0.3">
      <c r="A358" s="3" t="str">
        <f>IFERROR(IF('ŞİKAYET KAYIT'!P358="Kapatıldı","",IF('ŞİKAYET KAYIT'!A358="","",'ŞİKAYET KAYIT'!A358)),"")</f>
        <v/>
      </c>
      <c r="B358" s="5" t="str">
        <f>IFERROR(IF('ŞİKAYET KAYIT'!P358="Kapatıldı","",IF('ŞİKAYET KAYIT'!B358="","",'ŞİKAYET KAYIT'!B358)),"")</f>
        <v/>
      </c>
      <c r="C358" s="3" t="str">
        <f>IFERROR(IF('ŞİKAYET KAYIT'!P358="Kapatıldı","",IF('ŞİKAYET KAYIT'!D358="","",'ŞİKAYET KAYIT'!D358)),"")</f>
        <v/>
      </c>
      <c r="D358" s="3" t="str">
        <f>IFERROR(IF('ŞİKAYET KAYIT'!P358="Kapatıldı","",IF('ŞİKAYET KAYIT'!F358="","",'ŞİKAYET KAYIT'!F358)),"")</f>
        <v/>
      </c>
      <c r="E358" s="3" t="str">
        <f>IFERROR(IF('ŞİKAYET KAYIT'!P358="Kapatıldı","",IF('ŞİKAYET KAYIT'!H358="","",'ŞİKAYET KAYIT'!H358)),"")</f>
        <v/>
      </c>
      <c r="F358" s="3" t="str">
        <f>IFERROR(IF('ŞİKAYET KAYIT'!P358="Kapatıldı","",IF('ŞİKAYET KAYIT'!I358="","",'ŞİKAYET KAYIT'!I358)),"")</f>
        <v/>
      </c>
      <c r="G358" s="3" t="str">
        <f>IFERROR(IF('ŞİKAYET KAYIT'!P358="Kapatıldı","",IF('ŞİKAYET KAYIT'!J358="","",'ŞİKAYET KAYIT'!J358)),"")</f>
        <v/>
      </c>
      <c r="H358" s="3" t="str">
        <f>IFERROR(IF('ŞİKAYET KAYIT'!P358="Kapatıldı","",IF('ŞİKAYET KAYIT'!K358="","",'ŞİKAYET KAYIT'!K358)),"")</f>
        <v/>
      </c>
      <c r="I358" s="3" t="str">
        <f>IFERROR(IF('ŞİKAYET KAYIT'!P358="Kapatıldı","",IF('ŞİKAYET KAYIT'!L358="","",'ŞİKAYET KAYIT'!L358)),"")</f>
        <v/>
      </c>
      <c r="J358" s="3" t="str">
        <f>IFERROR(IF('ŞİKAYET KAYIT'!P358="Kapatıldı","",IF('ŞİKAYET KAYIT'!M358="","",'ŞİKAYET KAYIT'!M358)),"")</f>
        <v/>
      </c>
      <c r="K358" s="3" t="str">
        <f>IFERROR(IF('ŞİKAYET KAYIT'!P358="Kapatıldı","",IF('ŞİKAYET KAYIT'!N358="","",'ŞİKAYET KAYIT'!N358)),"")</f>
        <v/>
      </c>
      <c r="L358" s="3" t="str">
        <f>IFERROR(IF('ŞİKAYET KAYIT'!P358="Kapatıldı","",IF('ŞİKAYET KAYIT'!O358="","",'ŞİKAYET KAYIT'!O358)),"")</f>
        <v/>
      </c>
      <c r="M358" s="3" t="str">
        <f>IFERROR(IF('ŞİKAYET KAYIT'!P358="Kapatıldı","",IF('ŞİKAYET KAYIT'!P358="","",'ŞİKAYET KAYIT'!P358)),"")</f>
        <v/>
      </c>
    </row>
    <row r="359" spans="1:13" ht="15" customHeight="1" x14ac:dyDescent="0.3">
      <c r="A359" s="26" t="str">
        <f>IFERROR(IF('ŞİKAYET KAYIT'!P359="Kapatıldı","",IF('ŞİKAYET KAYIT'!A359="","",'ŞİKAYET KAYIT'!A359)),"")</f>
        <v/>
      </c>
      <c r="B359" s="8" t="str">
        <f>IFERROR(IF('ŞİKAYET KAYIT'!P359="Kapatıldı","",IF('ŞİKAYET KAYIT'!B359="","",'ŞİKAYET KAYIT'!B359)),"")</f>
        <v/>
      </c>
      <c r="C359" s="26" t="str">
        <f>IFERROR(IF('ŞİKAYET KAYIT'!P359="Kapatıldı","",IF('ŞİKAYET KAYIT'!D359="","",'ŞİKAYET KAYIT'!D359)),"")</f>
        <v/>
      </c>
      <c r="D359" s="26" t="str">
        <f>IFERROR(IF('ŞİKAYET KAYIT'!P359="Kapatıldı","",IF('ŞİKAYET KAYIT'!F359="","",'ŞİKAYET KAYIT'!F359)),"")</f>
        <v/>
      </c>
      <c r="E359" s="26" t="str">
        <f>IFERROR(IF('ŞİKAYET KAYIT'!P359="Kapatıldı","",IF('ŞİKAYET KAYIT'!H359="","",'ŞİKAYET KAYIT'!H359)),"")</f>
        <v/>
      </c>
      <c r="F359" s="26" t="str">
        <f>IFERROR(IF('ŞİKAYET KAYIT'!P359="Kapatıldı","",IF('ŞİKAYET KAYIT'!I359="","",'ŞİKAYET KAYIT'!I359)),"")</f>
        <v/>
      </c>
      <c r="G359" s="26" t="str">
        <f>IFERROR(IF('ŞİKAYET KAYIT'!P359="Kapatıldı","",IF('ŞİKAYET KAYIT'!J359="","",'ŞİKAYET KAYIT'!J359)),"")</f>
        <v/>
      </c>
      <c r="H359" s="26" t="str">
        <f>IFERROR(IF('ŞİKAYET KAYIT'!P359="Kapatıldı","",IF('ŞİKAYET KAYIT'!K359="","",'ŞİKAYET KAYIT'!K359)),"")</f>
        <v/>
      </c>
      <c r="I359" s="26" t="str">
        <f>IFERROR(IF('ŞİKAYET KAYIT'!P359="Kapatıldı","",IF('ŞİKAYET KAYIT'!L359="","",'ŞİKAYET KAYIT'!L359)),"")</f>
        <v/>
      </c>
      <c r="J359" s="26" t="str">
        <f>IFERROR(IF('ŞİKAYET KAYIT'!P359="Kapatıldı","",IF('ŞİKAYET KAYIT'!M359="","",'ŞİKAYET KAYIT'!M359)),"")</f>
        <v/>
      </c>
      <c r="K359" s="26" t="str">
        <f>IFERROR(IF('ŞİKAYET KAYIT'!P359="Kapatıldı","",IF('ŞİKAYET KAYIT'!N359="","",'ŞİKAYET KAYIT'!N359)),"")</f>
        <v/>
      </c>
      <c r="L359" s="26" t="str">
        <f>IFERROR(IF('ŞİKAYET KAYIT'!P359="Kapatıldı","",IF('ŞİKAYET KAYIT'!O359="","",'ŞİKAYET KAYIT'!O359)),"")</f>
        <v/>
      </c>
      <c r="M359" s="26" t="str">
        <f>IFERROR(IF('ŞİKAYET KAYIT'!P359="Kapatıldı","",IF('ŞİKAYET KAYIT'!P359="","",'ŞİKAYET KAYIT'!P359)),"")</f>
        <v/>
      </c>
    </row>
    <row r="360" spans="1:13" ht="15" customHeight="1" x14ac:dyDescent="0.3">
      <c r="A360" s="3" t="str">
        <f>IFERROR(IF('ŞİKAYET KAYIT'!P360="Kapatıldı","",IF('ŞİKAYET KAYIT'!A360="","",'ŞİKAYET KAYIT'!A360)),"")</f>
        <v/>
      </c>
      <c r="B360" s="5" t="str">
        <f>IFERROR(IF('ŞİKAYET KAYIT'!P360="Kapatıldı","",IF('ŞİKAYET KAYIT'!B360="","",'ŞİKAYET KAYIT'!B360)),"")</f>
        <v/>
      </c>
      <c r="C360" s="3" t="str">
        <f>IFERROR(IF('ŞİKAYET KAYIT'!P360="Kapatıldı","",IF('ŞİKAYET KAYIT'!D360="","",'ŞİKAYET KAYIT'!D360)),"")</f>
        <v/>
      </c>
      <c r="D360" s="3" t="str">
        <f>IFERROR(IF('ŞİKAYET KAYIT'!P360="Kapatıldı","",IF('ŞİKAYET KAYIT'!F360="","",'ŞİKAYET KAYIT'!F360)),"")</f>
        <v/>
      </c>
      <c r="E360" s="3" t="str">
        <f>IFERROR(IF('ŞİKAYET KAYIT'!P360="Kapatıldı","",IF('ŞİKAYET KAYIT'!H360="","",'ŞİKAYET KAYIT'!H360)),"")</f>
        <v/>
      </c>
      <c r="F360" s="3" t="str">
        <f>IFERROR(IF('ŞİKAYET KAYIT'!P360="Kapatıldı","",IF('ŞİKAYET KAYIT'!I360="","",'ŞİKAYET KAYIT'!I360)),"")</f>
        <v/>
      </c>
      <c r="G360" s="3" t="str">
        <f>IFERROR(IF('ŞİKAYET KAYIT'!P360="Kapatıldı","",IF('ŞİKAYET KAYIT'!J360="","",'ŞİKAYET KAYIT'!J360)),"")</f>
        <v/>
      </c>
      <c r="H360" s="3" t="str">
        <f>IFERROR(IF('ŞİKAYET KAYIT'!P360="Kapatıldı","",IF('ŞİKAYET KAYIT'!K360="","",'ŞİKAYET KAYIT'!K360)),"")</f>
        <v/>
      </c>
      <c r="I360" s="3" t="str">
        <f>IFERROR(IF('ŞİKAYET KAYIT'!P360="Kapatıldı","",IF('ŞİKAYET KAYIT'!L360="","",'ŞİKAYET KAYIT'!L360)),"")</f>
        <v/>
      </c>
      <c r="J360" s="3" t="str">
        <f>IFERROR(IF('ŞİKAYET KAYIT'!P360="Kapatıldı","",IF('ŞİKAYET KAYIT'!M360="","",'ŞİKAYET KAYIT'!M360)),"")</f>
        <v/>
      </c>
      <c r="K360" s="3" t="str">
        <f>IFERROR(IF('ŞİKAYET KAYIT'!P360="Kapatıldı","",IF('ŞİKAYET KAYIT'!N360="","",'ŞİKAYET KAYIT'!N360)),"")</f>
        <v/>
      </c>
      <c r="L360" s="3" t="str">
        <f>IFERROR(IF('ŞİKAYET KAYIT'!P360="Kapatıldı","",IF('ŞİKAYET KAYIT'!O360="","",'ŞİKAYET KAYIT'!O360)),"")</f>
        <v/>
      </c>
      <c r="M360" s="3" t="str">
        <f>IFERROR(IF('ŞİKAYET KAYIT'!P360="Kapatıldı","",IF('ŞİKAYET KAYIT'!P360="","",'ŞİKAYET KAYIT'!P360)),"")</f>
        <v/>
      </c>
    </row>
    <row r="361" spans="1:13" ht="15" customHeight="1" x14ac:dyDescent="0.3">
      <c r="A361" s="26" t="str">
        <f>IFERROR(IF('ŞİKAYET KAYIT'!P361="Kapatıldı","",IF('ŞİKAYET KAYIT'!A361="","",'ŞİKAYET KAYIT'!A361)),"")</f>
        <v/>
      </c>
      <c r="B361" s="8" t="str">
        <f>IFERROR(IF('ŞİKAYET KAYIT'!P361="Kapatıldı","",IF('ŞİKAYET KAYIT'!B361="","",'ŞİKAYET KAYIT'!B361)),"")</f>
        <v/>
      </c>
      <c r="C361" s="26" t="str">
        <f>IFERROR(IF('ŞİKAYET KAYIT'!P361="Kapatıldı","",IF('ŞİKAYET KAYIT'!D361="","",'ŞİKAYET KAYIT'!D361)),"")</f>
        <v/>
      </c>
      <c r="D361" s="26" t="str">
        <f>IFERROR(IF('ŞİKAYET KAYIT'!P361="Kapatıldı","",IF('ŞİKAYET KAYIT'!F361="","",'ŞİKAYET KAYIT'!F361)),"")</f>
        <v/>
      </c>
      <c r="E361" s="26" t="str">
        <f>IFERROR(IF('ŞİKAYET KAYIT'!P361="Kapatıldı","",IF('ŞİKAYET KAYIT'!H361="","",'ŞİKAYET KAYIT'!H361)),"")</f>
        <v/>
      </c>
      <c r="F361" s="26" t="str">
        <f>IFERROR(IF('ŞİKAYET KAYIT'!P361="Kapatıldı","",IF('ŞİKAYET KAYIT'!I361="","",'ŞİKAYET KAYIT'!I361)),"")</f>
        <v/>
      </c>
      <c r="G361" s="26" t="str">
        <f>IFERROR(IF('ŞİKAYET KAYIT'!P361="Kapatıldı","",IF('ŞİKAYET KAYIT'!J361="","",'ŞİKAYET KAYIT'!J361)),"")</f>
        <v/>
      </c>
      <c r="H361" s="26" t="str">
        <f>IFERROR(IF('ŞİKAYET KAYIT'!P361="Kapatıldı","",IF('ŞİKAYET KAYIT'!K361="","",'ŞİKAYET KAYIT'!K361)),"")</f>
        <v/>
      </c>
      <c r="I361" s="26" t="str">
        <f>IFERROR(IF('ŞİKAYET KAYIT'!P361="Kapatıldı","",IF('ŞİKAYET KAYIT'!L361="","",'ŞİKAYET KAYIT'!L361)),"")</f>
        <v/>
      </c>
      <c r="J361" s="26" t="str">
        <f>IFERROR(IF('ŞİKAYET KAYIT'!P361="Kapatıldı","",IF('ŞİKAYET KAYIT'!M361="","",'ŞİKAYET KAYIT'!M361)),"")</f>
        <v/>
      </c>
      <c r="K361" s="26" t="str">
        <f>IFERROR(IF('ŞİKAYET KAYIT'!P361="Kapatıldı","",IF('ŞİKAYET KAYIT'!N361="","",'ŞİKAYET KAYIT'!N361)),"")</f>
        <v/>
      </c>
      <c r="L361" s="26" t="str">
        <f>IFERROR(IF('ŞİKAYET KAYIT'!P361="Kapatıldı","",IF('ŞİKAYET KAYIT'!O361="","",'ŞİKAYET KAYIT'!O361)),"")</f>
        <v/>
      </c>
      <c r="M361" s="26" t="str">
        <f>IFERROR(IF('ŞİKAYET KAYIT'!P361="Kapatıldı","",IF('ŞİKAYET KAYIT'!P361="","",'ŞİKAYET KAYIT'!P361)),"")</f>
        <v/>
      </c>
    </row>
    <row r="362" spans="1:13" ht="15" customHeight="1" x14ac:dyDescent="0.3">
      <c r="A362" s="3" t="str">
        <f>IFERROR(IF('ŞİKAYET KAYIT'!P362="Kapatıldı","",IF('ŞİKAYET KAYIT'!A362="","",'ŞİKAYET KAYIT'!A362)),"")</f>
        <v/>
      </c>
      <c r="B362" s="5" t="str">
        <f>IFERROR(IF('ŞİKAYET KAYIT'!P362="Kapatıldı","",IF('ŞİKAYET KAYIT'!B362="","",'ŞİKAYET KAYIT'!B362)),"")</f>
        <v/>
      </c>
      <c r="C362" s="3" t="str">
        <f>IFERROR(IF('ŞİKAYET KAYIT'!P362="Kapatıldı","",IF('ŞİKAYET KAYIT'!D362="","",'ŞİKAYET KAYIT'!D362)),"")</f>
        <v/>
      </c>
      <c r="D362" s="3" t="str">
        <f>IFERROR(IF('ŞİKAYET KAYIT'!P362="Kapatıldı","",IF('ŞİKAYET KAYIT'!F362="","",'ŞİKAYET KAYIT'!F362)),"")</f>
        <v/>
      </c>
      <c r="E362" s="3" t="str">
        <f>IFERROR(IF('ŞİKAYET KAYIT'!P362="Kapatıldı","",IF('ŞİKAYET KAYIT'!H362="","",'ŞİKAYET KAYIT'!H362)),"")</f>
        <v/>
      </c>
      <c r="F362" s="3" t="str">
        <f>IFERROR(IF('ŞİKAYET KAYIT'!P362="Kapatıldı","",IF('ŞİKAYET KAYIT'!I362="","",'ŞİKAYET KAYIT'!I362)),"")</f>
        <v/>
      </c>
      <c r="G362" s="3" t="str">
        <f>IFERROR(IF('ŞİKAYET KAYIT'!P362="Kapatıldı","",IF('ŞİKAYET KAYIT'!J362="","",'ŞİKAYET KAYIT'!J362)),"")</f>
        <v/>
      </c>
      <c r="H362" s="3" t="str">
        <f>IFERROR(IF('ŞİKAYET KAYIT'!P362="Kapatıldı","",IF('ŞİKAYET KAYIT'!K362="","",'ŞİKAYET KAYIT'!K362)),"")</f>
        <v/>
      </c>
      <c r="I362" s="3" t="str">
        <f>IFERROR(IF('ŞİKAYET KAYIT'!P362="Kapatıldı","",IF('ŞİKAYET KAYIT'!L362="","",'ŞİKAYET KAYIT'!L362)),"")</f>
        <v/>
      </c>
      <c r="J362" s="3" t="str">
        <f>IFERROR(IF('ŞİKAYET KAYIT'!P362="Kapatıldı","",IF('ŞİKAYET KAYIT'!M362="","",'ŞİKAYET KAYIT'!M362)),"")</f>
        <v/>
      </c>
      <c r="K362" s="3" t="str">
        <f>IFERROR(IF('ŞİKAYET KAYIT'!P362="Kapatıldı","",IF('ŞİKAYET KAYIT'!N362="","",'ŞİKAYET KAYIT'!N362)),"")</f>
        <v/>
      </c>
      <c r="L362" s="3" t="str">
        <f>IFERROR(IF('ŞİKAYET KAYIT'!P362="Kapatıldı","",IF('ŞİKAYET KAYIT'!O362="","",'ŞİKAYET KAYIT'!O362)),"")</f>
        <v/>
      </c>
      <c r="M362" s="3" t="str">
        <f>IFERROR(IF('ŞİKAYET KAYIT'!P362="Kapatıldı","",IF('ŞİKAYET KAYIT'!P362="","",'ŞİKAYET KAYIT'!P362)),"")</f>
        <v/>
      </c>
    </row>
    <row r="363" spans="1:13" ht="15" customHeight="1" x14ac:dyDescent="0.3">
      <c r="A363" s="26" t="str">
        <f>IFERROR(IF('ŞİKAYET KAYIT'!P363="Kapatıldı","",IF('ŞİKAYET KAYIT'!A363="","",'ŞİKAYET KAYIT'!A363)),"")</f>
        <v/>
      </c>
      <c r="B363" s="8" t="str">
        <f>IFERROR(IF('ŞİKAYET KAYIT'!P363="Kapatıldı","",IF('ŞİKAYET KAYIT'!B363="","",'ŞİKAYET KAYIT'!B363)),"")</f>
        <v/>
      </c>
      <c r="C363" s="26" t="str">
        <f>IFERROR(IF('ŞİKAYET KAYIT'!P363="Kapatıldı","",IF('ŞİKAYET KAYIT'!D363="","",'ŞİKAYET KAYIT'!D363)),"")</f>
        <v/>
      </c>
      <c r="D363" s="26" t="str">
        <f>IFERROR(IF('ŞİKAYET KAYIT'!P363="Kapatıldı","",IF('ŞİKAYET KAYIT'!F363="","",'ŞİKAYET KAYIT'!F363)),"")</f>
        <v/>
      </c>
      <c r="E363" s="26" t="str">
        <f>IFERROR(IF('ŞİKAYET KAYIT'!P363="Kapatıldı","",IF('ŞİKAYET KAYIT'!H363="","",'ŞİKAYET KAYIT'!H363)),"")</f>
        <v/>
      </c>
      <c r="F363" s="26" t="str">
        <f>IFERROR(IF('ŞİKAYET KAYIT'!P363="Kapatıldı","",IF('ŞİKAYET KAYIT'!I363="","",'ŞİKAYET KAYIT'!I363)),"")</f>
        <v/>
      </c>
      <c r="G363" s="26" t="str">
        <f>IFERROR(IF('ŞİKAYET KAYIT'!P363="Kapatıldı","",IF('ŞİKAYET KAYIT'!J363="","",'ŞİKAYET KAYIT'!J363)),"")</f>
        <v/>
      </c>
      <c r="H363" s="26" t="str">
        <f>IFERROR(IF('ŞİKAYET KAYIT'!P363="Kapatıldı","",IF('ŞİKAYET KAYIT'!K363="","",'ŞİKAYET KAYIT'!K363)),"")</f>
        <v/>
      </c>
      <c r="I363" s="26" t="str">
        <f>IFERROR(IF('ŞİKAYET KAYIT'!P363="Kapatıldı","",IF('ŞİKAYET KAYIT'!L363="","",'ŞİKAYET KAYIT'!L363)),"")</f>
        <v/>
      </c>
      <c r="J363" s="26" t="str">
        <f>IFERROR(IF('ŞİKAYET KAYIT'!P363="Kapatıldı","",IF('ŞİKAYET KAYIT'!M363="","",'ŞİKAYET KAYIT'!M363)),"")</f>
        <v/>
      </c>
      <c r="K363" s="26" t="str">
        <f>IFERROR(IF('ŞİKAYET KAYIT'!P363="Kapatıldı","",IF('ŞİKAYET KAYIT'!N363="","",'ŞİKAYET KAYIT'!N363)),"")</f>
        <v/>
      </c>
      <c r="L363" s="26" t="str">
        <f>IFERROR(IF('ŞİKAYET KAYIT'!P363="Kapatıldı","",IF('ŞİKAYET KAYIT'!O363="","",'ŞİKAYET KAYIT'!O363)),"")</f>
        <v/>
      </c>
      <c r="M363" s="26" t="str">
        <f>IFERROR(IF('ŞİKAYET KAYIT'!P363="Kapatıldı","",IF('ŞİKAYET KAYIT'!P363="","",'ŞİKAYET KAYIT'!P363)),"")</f>
        <v/>
      </c>
    </row>
    <row r="364" spans="1:13" ht="15" customHeight="1" x14ac:dyDescent="0.3">
      <c r="A364" s="3" t="str">
        <f>IFERROR(IF('ŞİKAYET KAYIT'!P364="Kapatıldı","",IF('ŞİKAYET KAYIT'!A364="","",'ŞİKAYET KAYIT'!A364)),"")</f>
        <v/>
      </c>
      <c r="B364" s="5" t="str">
        <f>IFERROR(IF('ŞİKAYET KAYIT'!P364="Kapatıldı","",IF('ŞİKAYET KAYIT'!B364="","",'ŞİKAYET KAYIT'!B364)),"")</f>
        <v/>
      </c>
      <c r="C364" s="3" t="str">
        <f>IFERROR(IF('ŞİKAYET KAYIT'!P364="Kapatıldı","",IF('ŞİKAYET KAYIT'!D364="","",'ŞİKAYET KAYIT'!D364)),"")</f>
        <v/>
      </c>
      <c r="D364" s="3" t="str">
        <f>IFERROR(IF('ŞİKAYET KAYIT'!P364="Kapatıldı","",IF('ŞİKAYET KAYIT'!F364="","",'ŞİKAYET KAYIT'!F364)),"")</f>
        <v/>
      </c>
      <c r="E364" s="3" t="str">
        <f>IFERROR(IF('ŞİKAYET KAYIT'!P364="Kapatıldı","",IF('ŞİKAYET KAYIT'!H364="","",'ŞİKAYET KAYIT'!H364)),"")</f>
        <v/>
      </c>
      <c r="F364" s="3" t="str">
        <f>IFERROR(IF('ŞİKAYET KAYIT'!P364="Kapatıldı","",IF('ŞİKAYET KAYIT'!I364="","",'ŞİKAYET KAYIT'!I364)),"")</f>
        <v/>
      </c>
      <c r="G364" s="3" t="str">
        <f>IFERROR(IF('ŞİKAYET KAYIT'!P364="Kapatıldı","",IF('ŞİKAYET KAYIT'!J364="","",'ŞİKAYET KAYIT'!J364)),"")</f>
        <v/>
      </c>
      <c r="H364" s="3" t="str">
        <f>IFERROR(IF('ŞİKAYET KAYIT'!P364="Kapatıldı","",IF('ŞİKAYET KAYIT'!K364="","",'ŞİKAYET KAYIT'!K364)),"")</f>
        <v/>
      </c>
      <c r="I364" s="3" t="str">
        <f>IFERROR(IF('ŞİKAYET KAYIT'!P364="Kapatıldı","",IF('ŞİKAYET KAYIT'!L364="","",'ŞİKAYET KAYIT'!L364)),"")</f>
        <v/>
      </c>
      <c r="J364" s="3" t="str">
        <f>IFERROR(IF('ŞİKAYET KAYIT'!P364="Kapatıldı","",IF('ŞİKAYET KAYIT'!M364="","",'ŞİKAYET KAYIT'!M364)),"")</f>
        <v/>
      </c>
      <c r="K364" s="3" t="str">
        <f>IFERROR(IF('ŞİKAYET KAYIT'!P364="Kapatıldı","",IF('ŞİKAYET KAYIT'!N364="","",'ŞİKAYET KAYIT'!N364)),"")</f>
        <v/>
      </c>
      <c r="L364" s="3" t="str">
        <f>IFERROR(IF('ŞİKAYET KAYIT'!P364="Kapatıldı","",IF('ŞİKAYET KAYIT'!O364="","",'ŞİKAYET KAYIT'!O364)),"")</f>
        <v/>
      </c>
      <c r="M364" s="3" t="str">
        <f>IFERROR(IF('ŞİKAYET KAYIT'!P364="Kapatıldı","",IF('ŞİKAYET KAYIT'!P364="","",'ŞİKAYET KAYIT'!P364)),"")</f>
        <v/>
      </c>
    </row>
    <row r="365" spans="1:13" ht="15" customHeight="1" x14ac:dyDescent="0.3">
      <c r="A365" s="26" t="str">
        <f>IFERROR(IF('ŞİKAYET KAYIT'!P365="Kapatıldı","",IF('ŞİKAYET KAYIT'!A365="","",'ŞİKAYET KAYIT'!A365)),"")</f>
        <v/>
      </c>
      <c r="B365" s="8" t="str">
        <f>IFERROR(IF('ŞİKAYET KAYIT'!P365="Kapatıldı","",IF('ŞİKAYET KAYIT'!B365="","",'ŞİKAYET KAYIT'!B365)),"")</f>
        <v/>
      </c>
      <c r="C365" s="26" t="str">
        <f>IFERROR(IF('ŞİKAYET KAYIT'!P365="Kapatıldı","",IF('ŞİKAYET KAYIT'!D365="","",'ŞİKAYET KAYIT'!D365)),"")</f>
        <v/>
      </c>
      <c r="D365" s="26" t="str">
        <f>IFERROR(IF('ŞİKAYET KAYIT'!P365="Kapatıldı","",IF('ŞİKAYET KAYIT'!F365="","",'ŞİKAYET KAYIT'!F365)),"")</f>
        <v/>
      </c>
      <c r="E365" s="26" t="str">
        <f>IFERROR(IF('ŞİKAYET KAYIT'!P365="Kapatıldı","",IF('ŞİKAYET KAYIT'!H365="","",'ŞİKAYET KAYIT'!H365)),"")</f>
        <v/>
      </c>
      <c r="F365" s="26" t="str">
        <f>IFERROR(IF('ŞİKAYET KAYIT'!P365="Kapatıldı","",IF('ŞİKAYET KAYIT'!I365="","",'ŞİKAYET KAYIT'!I365)),"")</f>
        <v/>
      </c>
      <c r="G365" s="26" t="str">
        <f>IFERROR(IF('ŞİKAYET KAYIT'!P365="Kapatıldı","",IF('ŞİKAYET KAYIT'!J365="","",'ŞİKAYET KAYIT'!J365)),"")</f>
        <v/>
      </c>
      <c r="H365" s="26" t="str">
        <f>IFERROR(IF('ŞİKAYET KAYIT'!P365="Kapatıldı","",IF('ŞİKAYET KAYIT'!K365="","",'ŞİKAYET KAYIT'!K365)),"")</f>
        <v/>
      </c>
      <c r="I365" s="26" t="str">
        <f>IFERROR(IF('ŞİKAYET KAYIT'!P365="Kapatıldı","",IF('ŞİKAYET KAYIT'!L365="","",'ŞİKAYET KAYIT'!L365)),"")</f>
        <v/>
      </c>
      <c r="J365" s="26" t="str">
        <f>IFERROR(IF('ŞİKAYET KAYIT'!P365="Kapatıldı","",IF('ŞİKAYET KAYIT'!M365="","",'ŞİKAYET KAYIT'!M365)),"")</f>
        <v/>
      </c>
      <c r="K365" s="26" t="str">
        <f>IFERROR(IF('ŞİKAYET KAYIT'!P365="Kapatıldı","",IF('ŞİKAYET KAYIT'!N365="","",'ŞİKAYET KAYIT'!N365)),"")</f>
        <v/>
      </c>
      <c r="L365" s="26" t="str">
        <f>IFERROR(IF('ŞİKAYET KAYIT'!P365="Kapatıldı","",IF('ŞİKAYET KAYIT'!O365="","",'ŞİKAYET KAYIT'!O365)),"")</f>
        <v/>
      </c>
      <c r="M365" s="26" t="str">
        <f>IFERROR(IF('ŞİKAYET KAYIT'!P365="Kapatıldı","",IF('ŞİKAYET KAYIT'!P365="","",'ŞİKAYET KAYIT'!P365)),"")</f>
        <v/>
      </c>
    </row>
    <row r="366" spans="1:13" ht="15" customHeight="1" x14ac:dyDescent="0.3">
      <c r="A366" s="3" t="str">
        <f>IFERROR(IF('ŞİKAYET KAYIT'!P366="Kapatıldı","",IF('ŞİKAYET KAYIT'!A366="","",'ŞİKAYET KAYIT'!A366)),"")</f>
        <v/>
      </c>
      <c r="B366" s="5" t="str">
        <f>IFERROR(IF('ŞİKAYET KAYIT'!P366="Kapatıldı","",IF('ŞİKAYET KAYIT'!B366="","",'ŞİKAYET KAYIT'!B366)),"")</f>
        <v/>
      </c>
      <c r="C366" s="3" t="str">
        <f>IFERROR(IF('ŞİKAYET KAYIT'!P366="Kapatıldı","",IF('ŞİKAYET KAYIT'!D366="","",'ŞİKAYET KAYIT'!D366)),"")</f>
        <v/>
      </c>
      <c r="D366" s="3" t="str">
        <f>IFERROR(IF('ŞİKAYET KAYIT'!P366="Kapatıldı","",IF('ŞİKAYET KAYIT'!F366="","",'ŞİKAYET KAYIT'!F366)),"")</f>
        <v/>
      </c>
      <c r="E366" s="3" t="str">
        <f>IFERROR(IF('ŞİKAYET KAYIT'!P366="Kapatıldı","",IF('ŞİKAYET KAYIT'!H366="","",'ŞİKAYET KAYIT'!H366)),"")</f>
        <v/>
      </c>
      <c r="F366" s="3" t="str">
        <f>IFERROR(IF('ŞİKAYET KAYIT'!P366="Kapatıldı","",IF('ŞİKAYET KAYIT'!I366="","",'ŞİKAYET KAYIT'!I366)),"")</f>
        <v/>
      </c>
      <c r="G366" s="3" t="str">
        <f>IFERROR(IF('ŞİKAYET KAYIT'!P366="Kapatıldı","",IF('ŞİKAYET KAYIT'!J366="","",'ŞİKAYET KAYIT'!J366)),"")</f>
        <v/>
      </c>
      <c r="H366" s="3" t="str">
        <f>IFERROR(IF('ŞİKAYET KAYIT'!P366="Kapatıldı","",IF('ŞİKAYET KAYIT'!K366="","",'ŞİKAYET KAYIT'!K366)),"")</f>
        <v/>
      </c>
      <c r="I366" s="3" t="str">
        <f>IFERROR(IF('ŞİKAYET KAYIT'!P366="Kapatıldı","",IF('ŞİKAYET KAYIT'!L366="","",'ŞİKAYET KAYIT'!L366)),"")</f>
        <v/>
      </c>
      <c r="J366" s="3" t="str">
        <f>IFERROR(IF('ŞİKAYET KAYIT'!P366="Kapatıldı","",IF('ŞİKAYET KAYIT'!M366="","",'ŞİKAYET KAYIT'!M366)),"")</f>
        <v/>
      </c>
      <c r="K366" s="3" t="str">
        <f>IFERROR(IF('ŞİKAYET KAYIT'!P366="Kapatıldı","",IF('ŞİKAYET KAYIT'!N366="","",'ŞİKAYET KAYIT'!N366)),"")</f>
        <v/>
      </c>
      <c r="L366" s="3" t="str">
        <f>IFERROR(IF('ŞİKAYET KAYIT'!P366="Kapatıldı","",IF('ŞİKAYET KAYIT'!O366="","",'ŞİKAYET KAYIT'!O366)),"")</f>
        <v/>
      </c>
      <c r="M366" s="3" t="str">
        <f>IFERROR(IF('ŞİKAYET KAYIT'!P366="Kapatıldı","",IF('ŞİKAYET KAYIT'!P366="","",'ŞİKAYET KAYIT'!P366)),"")</f>
        <v/>
      </c>
    </row>
    <row r="367" spans="1:13" ht="15" customHeight="1" x14ac:dyDescent="0.3">
      <c r="A367" s="26" t="str">
        <f>IFERROR(IF('ŞİKAYET KAYIT'!P367="Kapatıldı","",IF('ŞİKAYET KAYIT'!A367="","",'ŞİKAYET KAYIT'!A367)),"")</f>
        <v/>
      </c>
      <c r="B367" s="8" t="str">
        <f>IFERROR(IF('ŞİKAYET KAYIT'!P367="Kapatıldı","",IF('ŞİKAYET KAYIT'!B367="","",'ŞİKAYET KAYIT'!B367)),"")</f>
        <v/>
      </c>
      <c r="C367" s="26" t="str">
        <f>IFERROR(IF('ŞİKAYET KAYIT'!P367="Kapatıldı","",IF('ŞİKAYET KAYIT'!D367="","",'ŞİKAYET KAYIT'!D367)),"")</f>
        <v/>
      </c>
      <c r="D367" s="26" t="str">
        <f>IFERROR(IF('ŞİKAYET KAYIT'!P367="Kapatıldı","",IF('ŞİKAYET KAYIT'!F367="","",'ŞİKAYET KAYIT'!F367)),"")</f>
        <v/>
      </c>
      <c r="E367" s="26" t="str">
        <f>IFERROR(IF('ŞİKAYET KAYIT'!P367="Kapatıldı","",IF('ŞİKAYET KAYIT'!H367="","",'ŞİKAYET KAYIT'!H367)),"")</f>
        <v/>
      </c>
      <c r="F367" s="26" t="str">
        <f>IFERROR(IF('ŞİKAYET KAYIT'!P367="Kapatıldı","",IF('ŞİKAYET KAYIT'!I367="","",'ŞİKAYET KAYIT'!I367)),"")</f>
        <v/>
      </c>
      <c r="G367" s="26" t="str">
        <f>IFERROR(IF('ŞİKAYET KAYIT'!P367="Kapatıldı","",IF('ŞİKAYET KAYIT'!J367="","",'ŞİKAYET KAYIT'!J367)),"")</f>
        <v/>
      </c>
      <c r="H367" s="26" t="str">
        <f>IFERROR(IF('ŞİKAYET KAYIT'!P367="Kapatıldı","",IF('ŞİKAYET KAYIT'!K367="","",'ŞİKAYET KAYIT'!K367)),"")</f>
        <v/>
      </c>
      <c r="I367" s="26" t="str">
        <f>IFERROR(IF('ŞİKAYET KAYIT'!P367="Kapatıldı","",IF('ŞİKAYET KAYIT'!L367="","",'ŞİKAYET KAYIT'!L367)),"")</f>
        <v/>
      </c>
      <c r="J367" s="26" t="str">
        <f>IFERROR(IF('ŞİKAYET KAYIT'!P367="Kapatıldı","",IF('ŞİKAYET KAYIT'!M367="","",'ŞİKAYET KAYIT'!M367)),"")</f>
        <v/>
      </c>
      <c r="K367" s="26" t="str">
        <f>IFERROR(IF('ŞİKAYET KAYIT'!P367="Kapatıldı","",IF('ŞİKAYET KAYIT'!N367="","",'ŞİKAYET KAYIT'!N367)),"")</f>
        <v/>
      </c>
      <c r="L367" s="26" t="str">
        <f>IFERROR(IF('ŞİKAYET KAYIT'!P367="Kapatıldı","",IF('ŞİKAYET KAYIT'!O367="","",'ŞİKAYET KAYIT'!O367)),"")</f>
        <v/>
      </c>
      <c r="M367" s="26" t="str">
        <f>IFERROR(IF('ŞİKAYET KAYIT'!P367="Kapatıldı","",IF('ŞİKAYET KAYIT'!P367="","",'ŞİKAYET KAYIT'!P367)),"")</f>
        <v/>
      </c>
    </row>
    <row r="368" spans="1:13" ht="15" customHeight="1" x14ac:dyDescent="0.3">
      <c r="A368" s="3" t="str">
        <f>IFERROR(IF('ŞİKAYET KAYIT'!P368="Kapatıldı","",IF('ŞİKAYET KAYIT'!A368="","",'ŞİKAYET KAYIT'!A368)),"")</f>
        <v/>
      </c>
      <c r="B368" s="5" t="str">
        <f>IFERROR(IF('ŞİKAYET KAYIT'!P368="Kapatıldı","",IF('ŞİKAYET KAYIT'!B368="","",'ŞİKAYET KAYIT'!B368)),"")</f>
        <v/>
      </c>
      <c r="C368" s="3" t="str">
        <f>IFERROR(IF('ŞİKAYET KAYIT'!P368="Kapatıldı","",IF('ŞİKAYET KAYIT'!D368="","",'ŞİKAYET KAYIT'!D368)),"")</f>
        <v/>
      </c>
      <c r="D368" s="3" t="str">
        <f>IFERROR(IF('ŞİKAYET KAYIT'!P368="Kapatıldı","",IF('ŞİKAYET KAYIT'!F368="","",'ŞİKAYET KAYIT'!F368)),"")</f>
        <v/>
      </c>
      <c r="E368" s="3" t="str">
        <f>IFERROR(IF('ŞİKAYET KAYIT'!P368="Kapatıldı","",IF('ŞİKAYET KAYIT'!H368="","",'ŞİKAYET KAYIT'!H368)),"")</f>
        <v/>
      </c>
      <c r="F368" s="3" t="str">
        <f>IFERROR(IF('ŞİKAYET KAYIT'!P368="Kapatıldı","",IF('ŞİKAYET KAYIT'!I368="","",'ŞİKAYET KAYIT'!I368)),"")</f>
        <v/>
      </c>
      <c r="G368" s="3" t="str">
        <f>IFERROR(IF('ŞİKAYET KAYIT'!P368="Kapatıldı","",IF('ŞİKAYET KAYIT'!J368="","",'ŞİKAYET KAYIT'!J368)),"")</f>
        <v/>
      </c>
      <c r="H368" s="3" t="str">
        <f>IFERROR(IF('ŞİKAYET KAYIT'!P368="Kapatıldı","",IF('ŞİKAYET KAYIT'!K368="","",'ŞİKAYET KAYIT'!K368)),"")</f>
        <v/>
      </c>
      <c r="I368" s="3" t="str">
        <f>IFERROR(IF('ŞİKAYET KAYIT'!P368="Kapatıldı","",IF('ŞİKAYET KAYIT'!L368="","",'ŞİKAYET KAYIT'!L368)),"")</f>
        <v/>
      </c>
      <c r="J368" s="3" t="str">
        <f>IFERROR(IF('ŞİKAYET KAYIT'!P368="Kapatıldı","",IF('ŞİKAYET KAYIT'!M368="","",'ŞİKAYET KAYIT'!M368)),"")</f>
        <v/>
      </c>
      <c r="K368" s="3" t="str">
        <f>IFERROR(IF('ŞİKAYET KAYIT'!P368="Kapatıldı","",IF('ŞİKAYET KAYIT'!N368="","",'ŞİKAYET KAYIT'!N368)),"")</f>
        <v/>
      </c>
      <c r="L368" s="3" t="str">
        <f>IFERROR(IF('ŞİKAYET KAYIT'!P368="Kapatıldı","",IF('ŞİKAYET KAYIT'!O368="","",'ŞİKAYET KAYIT'!O368)),"")</f>
        <v/>
      </c>
      <c r="M368" s="3" t="str">
        <f>IFERROR(IF('ŞİKAYET KAYIT'!P368="Kapatıldı","",IF('ŞİKAYET KAYIT'!P368="","",'ŞİKAYET KAYIT'!P368)),"")</f>
        <v/>
      </c>
    </row>
    <row r="369" spans="1:13" ht="15" customHeight="1" x14ac:dyDescent="0.3">
      <c r="A369" s="26" t="str">
        <f>IFERROR(IF('ŞİKAYET KAYIT'!P369="Kapatıldı","",IF('ŞİKAYET KAYIT'!A369="","",'ŞİKAYET KAYIT'!A369)),"")</f>
        <v/>
      </c>
      <c r="B369" s="8" t="str">
        <f>IFERROR(IF('ŞİKAYET KAYIT'!P369="Kapatıldı","",IF('ŞİKAYET KAYIT'!B369="","",'ŞİKAYET KAYIT'!B369)),"")</f>
        <v/>
      </c>
      <c r="C369" s="26" t="str">
        <f>IFERROR(IF('ŞİKAYET KAYIT'!P369="Kapatıldı","",IF('ŞİKAYET KAYIT'!D369="","",'ŞİKAYET KAYIT'!D369)),"")</f>
        <v/>
      </c>
      <c r="D369" s="26" t="str">
        <f>IFERROR(IF('ŞİKAYET KAYIT'!P369="Kapatıldı","",IF('ŞİKAYET KAYIT'!F369="","",'ŞİKAYET KAYIT'!F369)),"")</f>
        <v/>
      </c>
      <c r="E369" s="26" t="str">
        <f>IFERROR(IF('ŞİKAYET KAYIT'!P369="Kapatıldı","",IF('ŞİKAYET KAYIT'!H369="","",'ŞİKAYET KAYIT'!H369)),"")</f>
        <v/>
      </c>
      <c r="F369" s="26" t="str">
        <f>IFERROR(IF('ŞİKAYET KAYIT'!P369="Kapatıldı","",IF('ŞİKAYET KAYIT'!I369="","",'ŞİKAYET KAYIT'!I369)),"")</f>
        <v/>
      </c>
      <c r="G369" s="26" t="str">
        <f>IFERROR(IF('ŞİKAYET KAYIT'!P369="Kapatıldı","",IF('ŞİKAYET KAYIT'!J369="","",'ŞİKAYET KAYIT'!J369)),"")</f>
        <v/>
      </c>
      <c r="H369" s="26" t="str">
        <f>IFERROR(IF('ŞİKAYET KAYIT'!P369="Kapatıldı","",IF('ŞİKAYET KAYIT'!K369="","",'ŞİKAYET KAYIT'!K369)),"")</f>
        <v/>
      </c>
      <c r="I369" s="26" t="str">
        <f>IFERROR(IF('ŞİKAYET KAYIT'!P369="Kapatıldı","",IF('ŞİKAYET KAYIT'!L369="","",'ŞİKAYET KAYIT'!L369)),"")</f>
        <v/>
      </c>
      <c r="J369" s="26" t="str">
        <f>IFERROR(IF('ŞİKAYET KAYIT'!P369="Kapatıldı","",IF('ŞİKAYET KAYIT'!M369="","",'ŞİKAYET KAYIT'!M369)),"")</f>
        <v/>
      </c>
      <c r="K369" s="26" t="str">
        <f>IFERROR(IF('ŞİKAYET KAYIT'!P369="Kapatıldı","",IF('ŞİKAYET KAYIT'!N369="","",'ŞİKAYET KAYIT'!N369)),"")</f>
        <v/>
      </c>
      <c r="L369" s="26" t="str">
        <f>IFERROR(IF('ŞİKAYET KAYIT'!P369="Kapatıldı","",IF('ŞİKAYET KAYIT'!O369="","",'ŞİKAYET KAYIT'!O369)),"")</f>
        <v/>
      </c>
      <c r="M369" s="26" t="str">
        <f>IFERROR(IF('ŞİKAYET KAYIT'!P369="Kapatıldı","",IF('ŞİKAYET KAYIT'!P369="","",'ŞİKAYET KAYIT'!P369)),"")</f>
        <v/>
      </c>
    </row>
    <row r="370" spans="1:13" ht="15" customHeight="1" x14ac:dyDescent="0.3">
      <c r="A370" s="3" t="str">
        <f>IFERROR(IF('ŞİKAYET KAYIT'!P370="Kapatıldı","",IF('ŞİKAYET KAYIT'!A370="","",'ŞİKAYET KAYIT'!A370)),"")</f>
        <v/>
      </c>
      <c r="B370" s="5" t="str">
        <f>IFERROR(IF('ŞİKAYET KAYIT'!P370="Kapatıldı","",IF('ŞİKAYET KAYIT'!B370="","",'ŞİKAYET KAYIT'!B370)),"")</f>
        <v/>
      </c>
      <c r="C370" s="3" t="str">
        <f>IFERROR(IF('ŞİKAYET KAYIT'!P370="Kapatıldı","",IF('ŞİKAYET KAYIT'!D370="","",'ŞİKAYET KAYIT'!D370)),"")</f>
        <v/>
      </c>
      <c r="D370" s="3" t="str">
        <f>IFERROR(IF('ŞİKAYET KAYIT'!P370="Kapatıldı","",IF('ŞİKAYET KAYIT'!F370="","",'ŞİKAYET KAYIT'!F370)),"")</f>
        <v/>
      </c>
      <c r="E370" s="3" t="str">
        <f>IFERROR(IF('ŞİKAYET KAYIT'!P370="Kapatıldı","",IF('ŞİKAYET KAYIT'!H370="","",'ŞİKAYET KAYIT'!H370)),"")</f>
        <v/>
      </c>
      <c r="F370" s="3" t="str">
        <f>IFERROR(IF('ŞİKAYET KAYIT'!P370="Kapatıldı","",IF('ŞİKAYET KAYIT'!I370="","",'ŞİKAYET KAYIT'!I370)),"")</f>
        <v/>
      </c>
      <c r="G370" s="3" t="str">
        <f>IFERROR(IF('ŞİKAYET KAYIT'!P370="Kapatıldı","",IF('ŞİKAYET KAYIT'!J370="","",'ŞİKAYET KAYIT'!J370)),"")</f>
        <v/>
      </c>
      <c r="H370" s="3" t="str">
        <f>IFERROR(IF('ŞİKAYET KAYIT'!P370="Kapatıldı","",IF('ŞİKAYET KAYIT'!K370="","",'ŞİKAYET KAYIT'!K370)),"")</f>
        <v/>
      </c>
      <c r="I370" s="3" t="str">
        <f>IFERROR(IF('ŞİKAYET KAYIT'!P370="Kapatıldı","",IF('ŞİKAYET KAYIT'!L370="","",'ŞİKAYET KAYIT'!L370)),"")</f>
        <v/>
      </c>
      <c r="J370" s="3" t="str">
        <f>IFERROR(IF('ŞİKAYET KAYIT'!P370="Kapatıldı","",IF('ŞİKAYET KAYIT'!M370="","",'ŞİKAYET KAYIT'!M370)),"")</f>
        <v/>
      </c>
      <c r="K370" s="3" t="str">
        <f>IFERROR(IF('ŞİKAYET KAYIT'!P370="Kapatıldı","",IF('ŞİKAYET KAYIT'!N370="","",'ŞİKAYET KAYIT'!N370)),"")</f>
        <v/>
      </c>
      <c r="L370" s="3" t="str">
        <f>IFERROR(IF('ŞİKAYET KAYIT'!P370="Kapatıldı","",IF('ŞİKAYET KAYIT'!O370="","",'ŞİKAYET KAYIT'!O370)),"")</f>
        <v/>
      </c>
      <c r="M370" s="3" t="str">
        <f>IFERROR(IF('ŞİKAYET KAYIT'!P370="Kapatıldı","",IF('ŞİKAYET KAYIT'!P370="","",'ŞİKAYET KAYIT'!P370)),"")</f>
        <v/>
      </c>
    </row>
    <row r="371" spans="1:13" ht="15" customHeight="1" x14ac:dyDescent="0.3">
      <c r="A371" s="26" t="str">
        <f>IFERROR(IF('ŞİKAYET KAYIT'!P371="Kapatıldı","",IF('ŞİKAYET KAYIT'!A371="","",'ŞİKAYET KAYIT'!A371)),"")</f>
        <v/>
      </c>
      <c r="B371" s="8" t="str">
        <f>IFERROR(IF('ŞİKAYET KAYIT'!P371="Kapatıldı","",IF('ŞİKAYET KAYIT'!B371="","",'ŞİKAYET KAYIT'!B371)),"")</f>
        <v/>
      </c>
      <c r="C371" s="26" t="str">
        <f>IFERROR(IF('ŞİKAYET KAYIT'!P371="Kapatıldı","",IF('ŞİKAYET KAYIT'!D371="","",'ŞİKAYET KAYIT'!D371)),"")</f>
        <v/>
      </c>
      <c r="D371" s="26" t="str">
        <f>IFERROR(IF('ŞİKAYET KAYIT'!P371="Kapatıldı","",IF('ŞİKAYET KAYIT'!F371="","",'ŞİKAYET KAYIT'!F371)),"")</f>
        <v/>
      </c>
      <c r="E371" s="26" t="str">
        <f>IFERROR(IF('ŞİKAYET KAYIT'!P371="Kapatıldı","",IF('ŞİKAYET KAYIT'!H371="","",'ŞİKAYET KAYIT'!H371)),"")</f>
        <v/>
      </c>
      <c r="F371" s="26" t="str">
        <f>IFERROR(IF('ŞİKAYET KAYIT'!P371="Kapatıldı","",IF('ŞİKAYET KAYIT'!I371="","",'ŞİKAYET KAYIT'!I371)),"")</f>
        <v/>
      </c>
      <c r="G371" s="26" t="str">
        <f>IFERROR(IF('ŞİKAYET KAYIT'!P371="Kapatıldı","",IF('ŞİKAYET KAYIT'!J371="","",'ŞİKAYET KAYIT'!J371)),"")</f>
        <v/>
      </c>
      <c r="H371" s="26" t="str">
        <f>IFERROR(IF('ŞİKAYET KAYIT'!P371="Kapatıldı","",IF('ŞİKAYET KAYIT'!K371="","",'ŞİKAYET KAYIT'!K371)),"")</f>
        <v/>
      </c>
      <c r="I371" s="26" t="str">
        <f>IFERROR(IF('ŞİKAYET KAYIT'!P371="Kapatıldı","",IF('ŞİKAYET KAYIT'!L371="","",'ŞİKAYET KAYIT'!L371)),"")</f>
        <v/>
      </c>
      <c r="J371" s="26" t="str">
        <f>IFERROR(IF('ŞİKAYET KAYIT'!P371="Kapatıldı","",IF('ŞİKAYET KAYIT'!M371="","",'ŞİKAYET KAYIT'!M371)),"")</f>
        <v/>
      </c>
      <c r="K371" s="26" t="str">
        <f>IFERROR(IF('ŞİKAYET KAYIT'!P371="Kapatıldı","",IF('ŞİKAYET KAYIT'!N371="","",'ŞİKAYET KAYIT'!N371)),"")</f>
        <v/>
      </c>
      <c r="L371" s="26" t="str">
        <f>IFERROR(IF('ŞİKAYET KAYIT'!P371="Kapatıldı","",IF('ŞİKAYET KAYIT'!O371="","",'ŞİKAYET KAYIT'!O371)),"")</f>
        <v/>
      </c>
      <c r="M371" s="26" t="str">
        <f>IFERROR(IF('ŞİKAYET KAYIT'!P371="Kapatıldı","",IF('ŞİKAYET KAYIT'!P371="","",'ŞİKAYET KAYIT'!P371)),"")</f>
        <v/>
      </c>
    </row>
    <row r="372" spans="1:13" ht="15" customHeight="1" x14ac:dyDescent="0.3">
      <c r="A372" s="3" t="str">
        <f>IFERROR(IF('ŞİKAYET KAYIT'!P372="Kapatıldı","",IF('ŞİKAYET KAYIT'!A372="","",'ŞİKAYET KAYIT'!A372)),"")</f>
        <v/>
      </c>
      <c r="B372" s="5" t="str">
        <f>IFERROR(IF('ŞİKAYET KAYIT'!P372="Kapatıldı","",IF('ŞİKAYET KAYIT'!B372="","",'ŞİKAYET KAYIT'!B372)),"")</f>
        <v/>
      </c>
      <c r="C372" s="3" t="str">
        <f>IFERROR(IF('ŞİKAYET KAYIT'!P372="Kapatıldı","",IF('ŞİKAYET KAYIT'!D372="","",'ŞİKAYET KAYIT'!D372)),"")</f>
        <v/>
      </c>
      <c r="D372" s="3" t="str">
        <f>IFERROR(IF('ŞİKAYET KAYIT'!P372="Kapatıldı","",IF('ŞİKAYET KAYIT'!F372="","",'ŞİKAYET KAYIT'!F372)),"")</f>
        <v/>
      </c>
      <c r="E372" s="3" t="str">
        <f>IFERROR(IF('ŞİKAYET KAYIT'!P372="Kapatıldı","",IF('ŞİKAYET KAYIT'!H372="","",'ŞİKAYET KAYIT'!H372)),"")</f>
        <v/>
      </c>
      <c r="F372" s="3" t="str">
        <f>IFERROR(IF('ŞİKAYET KAYIT'!P372="Kapatıldı","",IF('ŞİKAYET KAYIT'!I372="","",'ŞİKAYET KAYIT'!I372)),"")</f>
        <v/>
      </c>
      <c r="G372" s="3" t="str">
        <f>IFERROR(IF('ŞİKAYET KAYIT'!P372="Kapatıldı","",IF('ŞİKAYET KAYIT'!J372="","",'ŞİKAYET KAYIT'!J372)),"")</f>
        <v/>
      </c>
      <c r="H372" s="3" t="str">
        <f>IFERROR(IF('ŞİKAYET KAYIT'!P372="Kapatıldı","",IF('ŞİKAYET KAYIT'!K372="","",'ŞİKAYET KAYIT'!K372)),"")</f>
        <v/>
      </c>
      <c r="I372" s="3" t="str">
        <f>IFERROR(IF('ŞİKAYET KAYIT'!P372="Kapatıldı","",IF('ŞİKAYET KAYIT'!L372="","",'ŞİKAYET KAYIT'!L372)),"")</f>
        <v/>
      </c>
      <c r="J372" s="3" t="str">
        <f>IFERROR(IF('ŞİKAYET KAYIT'!P372="Kapatıldı","",IF('ŞİKAYET KAYIT'!M372="","",'ŞİKAYET KAYIT'!M372)),"")</f>
        <v/>
      </c>
      <c r="K372" s="3" t="str">
        <f>IFERROR(IF('ŞİKAYET KAYIT'!P372="Kapatıldı","",IF('ŞİKAYET KAYIT'!N372="","",'ŞİKAYET KAYIT'!N372)),"")</f>
        <v/>
      </c>
      <c r="L372" s="3" t="str">
        <f>IFERROR(IF('ŞİKAYET KAYIT'!P372="Kapatıldı","",IF('ŞİKAYET KAYIT'!O372="","",'ŞİKAYET KAYIT'!O372)),"")</f>
        <v/>
      </c>
      <c r="M372" s="3" t="str">
        <f>IFERROR(IF('ŞİKAYET KAYIT'!P372="Kapatıldı","",IF('ŞİKAYET KAYIT'!P372="","",'ŞİKAYET KAYIT'!P372)),"")</f>
        <v/>
      </c>
    </row>
    <row r="373" spans="1:13" ht="15" customHeight="1" x14ac:dyDescent="0.3">
      <c r="A373" s="26" t="str">
        <f>IFERROR(IF('ŞİKAYET KAYIT'!P373="Kapatıldı","",IF('ŞİKAYET KAYIT'!A373="","",'ŞİKAYET KAYIT'!A373)),"")</f>
        <v/>
      </c>
      <c r="B373" s="8" t="str">
        <f>IFERROR(IF('ŞİKAYET KAYIT'!P373="Kapatıldı","",IF('ŞİKAYET KAYIT'!B373="","",'ŞİKAYET KAYIT'!B373)),"")</f>
        <v/>
      </c>
      <c r="C373" s="26" t="str">
        <f>IFERROR(IF('ŞİKAYET KAYIT'!P373="Kapatıldı","",IF('ŞİKAYET KAYIT'!D373="","",'ŞİKAYET KAYIT'!D373)),"")</f>
        <v/>
      </c>
      <c r="D373" s="26" t="str">
        <f>IFERROR(IF('ŞİKAYET KAYIT'!P373="Kapatıldı","",IF('ŞİKAYET KAYIT'!F373="","",'ŞİKAYET KAYIT'!F373)),"")</f>
        <v/>
      </c>
      <c r="E373" s="26" t="str">
        <f>IFERROR(IF('ŞİKAYET KAYIT'!P373="Kapatıldı","",IF('ŞİKAYET KAYIT'!H373="","",'ŞİKAYET KAYIT'!H373)),"")</f>
        <v/>
      </c>
      <c r="F373" s="26" t="str">
        <f>IFERROR(IF('ŞİKAYET KAYIT'!P373="Kapatıldı","",IF('ŞİKAYET KAYIT'!I373="","",'ŞİKAYET KAYIT'!I373)),"")</f>
        <v/>
      </c>
      <c r="G373" s="26" t="str">
        <f>IFERROR(IF('ŞİKAYET KAYIT'!P373="Kapatıldı","",IF('ŞİKAYET KAYIT'!J373="","",'ŞİKAYET KAYIT'!J373)),"")</f>
        <v/>
      </c>
      <c r="H373" s="26" t="str">
        <f>IFERROR(IF('ŞİKAYET KAYIT'!P373="Kapatıldı","",IF('ŞİKAYET KAYIT'!K373="","",'ŞİKAYET KAYIT'!K373)),"")</f>
        <v/>
      </c>
      <c r="I373" s="26" t="str">
        <f>IFERROR(IF('ŞİKAYET KAYIT'!P373="Kapatıldı","",IF('ŞİKAYET KAYIT'!L373="","",'ŞİKAYET KAYIT'!L373)),"")</f>
        <v/>
      </c>
      <c r="J373" s="26" t="str">
        <f>IFERROR(IF('ŞİKAYET KAYIT'!P373="Kapatıldı","",IF('ŞİKAYET KAYIT'!M373="","",'ŞİKAYET KAYIT'!M373)),"")</f>
        <v/>
      </c>
      <c r="K373" s="26" t="str">
        <f>IFERROR(IF('ŞİKAYET KAYIT'!P373="Kapatıldı","",IF('ŞİKAYET KAYIT'!N373="","",'ŞİKAYET KAYIT'!N373)),"")</f>
        <v/>
      </c>
      <c r="L373" s="26" t="str">
        <f>IFERROR(IF('ŞİKAYET KAYIT'!P373="Kapatıldı","",IF('ŞİKAYET KAYIT'!O373="","",'ŞİKAYET KAYIT'!O373)),"")</f>
        <v/>
      </c>
      <c r="M373" s="26" t="str">
        <f>IFERROR(IF('ŞİKAYET KAYIT'!P373="Kapatıldı","",IF('ŞİKAYET KAYIT'!P373="","",'ŞİKAYET KAYIT'!P373)),"")</f>
        <v/>
      </c>
    </row>
    <row r="374" spans="1:13" ht="15" customHeight="1" x14ac:dyDescent="0.3">
      <c r="A374" s="3" t="str">
        <f>IFERROR(IF('ŞİKAYET KAYIT'!P374="Kapatıldı","",IF('ŞİKAYET KAYIT'!A374="","",'ŞİKAYET KAYIT'!A374)),"")</f>
        <v/>
      </c>
      <c r="B374" s="5" t="str">
        <f>IFERROR(IF('ŞİKAYET KAYIT'!P374="Kapatıldı","",IF('ŞİKAYET KAYIT'!B374="","",'ŞİKAYET KAYIT'!B374)),"")</f>
        <v/>
      </c>
      <c r="C374" s="3" t="str">
        <f>IFERROR(IF('ŞİKAYET KAYIT'!P374="Kapatıldı","",IF('ŞİKAYET KAYIT'!D374="","",'ŞİKAYET KAYIT'!D374)),"")</f>
        <v/>
      </c>
      <c r="D374" s="3" t="str">
        <f>IFERROR(IF('ŞİKAYET KAYIT'!P374="Kapatıldı","",IF('ŞİKAYET KAYIT'!F374="","",'ŞİKAYET KAYIT'!F374)),"")</f>
        <v/>
      </c>
      <c r="E374" s="3" t="str">
        <f>IFERROR(IF('ŞİKAYET KAYIT'!P374="Kapatıldı","",IF('ŞİKAYET KAYIT'!H374="","",'ŞİKAYET KAYIT'!H374)),"")</f>
        <v/>
      </c>
      <c r="F374" s="3" t="str">
        <f>IFERROR(IF('ŞİKAYET KAYIT'!P374="Kapatıldı","",IF('ŞİKAYET KAYIT'!I374="","",'ŞİKAYET KAYIT'!I374)),"")</f>
        <v/>
      </c>
      <c r="G374" s="3" t="str">
        <f>IFERROR(IF('ŞİKAYET KAYIT'!P374="Kapatıldı","",IF('ŞİKAYET KAYIT'!J374="","",'ŞİKAYET KAYIT'!J374)),"")</f>
        <v/>
      </c>
      <c r="H374" s="3" t="str">
        <f>IFERROR(IF('ŞİKAYET KAYIT'!P374="Kapatıldı","",IF('ŞİKAYET KAYIT'!K374="","",'ŞİKAYET KAYIT'!K374)),"")</f>
        <v/>
      </c>
      <c r="I374" s="3" t="str">
        <f>IFERROR(IF('ŞİKAYET KAYIT'!P374="Kapatıldı","",IF('ŞİKAYET KAYIT'!L374="","",'ŞİKAYET KAYIT'!L374)),"")</f>
        <v/>
      </c>
      <c r="J374" s="3" t="str">
        <f>IFERROR(IF('ŞİKAYET KAYIT'!P374="Kapatıldı","",IF('ŞİKAYET KAYIT'!M374="","",'ŞİKAYET KAYIT'!M374)),"")</f>
        <v/>
      </c>
      <c r="K374" s="3" t="str">
        <f>IFERROR(IF('ŞİKAYET KAYIT'!P374="Kapatıldı","",IF('ŞİKAYET KAYIT'!N374="","",'ŞİKAYET KAYIT'!N374)),"")</f>
        <v/>
      </c>
      <c r="L374" s="3" t="str">
        <f>IFERROR(IF('ŞİKAYET KAYIT'!P374="Kapatıldı","",IF('ŞİKAYET KAYIT'!O374="","",'ŞİKAYET KAYIT'!O374)),"")</f>
        <v/>
      </c>
      <c r="M374" s="3" t="str">
        <f>IFERROR(IF('ŞİKAYET KAYIT'!P374="Kapatıldı","",IF('ŞİKAYET KAYIT'!P374="","",'ŞİKAYET KAYIT'!P374)),"")</f>
        <v/>
      </c>
    </row>
    <row r="375" spans="1:13" ht="15" customHeight="1" x14ac:dyDescent="0.3">
      <c r="A375" s="26" t="str">
        <f>IFERROR(IF('ŞİKAYET KAYIT'!P375="Kapatıldı","",IF('ŞİKAYET KAYIT'!A375="","",'ŞİKAYET KAYIT'!A375)),"")</f>
        <v/>
      </c>
      <c r="B375" s="8" t="str">
        <f>IFERROR(IF('ŞİKAYET KAYIT'!P375="Kapatıldı","",IF('ŞİKAYET KAYIT'!B375="","",'ŞİKAYET KAYIT'!B375)),"")</f>
        <v/>
      </c>
      <c r="C375" s="26" t="str">
        <f>IFERROR(IF('ŞİKAYET KAYIT'!P375="Kapatıldı","",IF('ŞİKAYET KAYIT'!D375="","",'ŞİKAYET KAYIT'!D375)),"")</f>
        <v/>
      </c>
      <c r="D375" s="26" t="str">
        <f>IFERROR(IF('ŞİKAYET KAYIT'!P375="Kapatıldı","",IF('ŞİKAYET KAYIT'!F375="","",'ŞİKAYET KAYIT'!F375)),"")</f>
        <v/>
      </c>
      <c r="E375" s="26" t="str">
        <f>IFERROR(IF('ŞİKAYET KAYIT'!P375="Kapatıldı","",IF('ŞİKAYET KAYIT'!H375="","",'ŞİKAYET KAYIT'!H375)),"")</f>
        <v/>
      </c>
      <c r="F375" s="26" t="str">
        <f>IFERROR(IF('ŞİKAYET KAYIT'!P375="Kapatıldı","",IF('ŞİKAYET KAYIT'!I375="","",'ŞİKAYET KAYIT'!I375)),"")</f>
        <v/>
      </c>
      <c r="G375" s="26" t="str">
        <f>IFERROR(IF('ŞİKAYET KAYIT'!P375="Kapatıldı","",IF('ŞİKAYET KAYIT'!J375="","",'ŞİKAYET KAYIT'!J375)),"")</f>
        <v/>
      </c>
      <c r="H375" s="26" t="str">
        <f>IFERROR(IF('ŞİKAYET KAYIT'!P375="Kapatıldı","",IF('ŞİKAYET KAYIT'!K375="","",'ŞİKAYET KAYIT'!K375)),"")</f>
        <v/>
      </c>
      <c r="I375" s="26" t="str">
        <f>IFERROR(IF('ŞİKAYET KAYIT'!P375="Kapatıldı","",IF('ŞİKAYET KAYIT'!L375="","",'ŞİKAYET KAYIT'!L375)),"")</f>
        <v/>
      </c>
      <c r="J375" s="26" t="str">
        <f>IFERROR(IF('ŞİKAYET KAYIT'!P375="Kapatıldı","",IF('ŞİKAYET KAYIT'!M375="","",'ŞİKAYET KAYIT'!M375)),"")</f>
        <v/>
      </c>
      <c r="K375" s="26" t="str">
        <f>IFERROR(IF('ŞİKAYET KAYIT'!P375="Kapatıldı","",IF('ŞİKAYET KAYIT'!N375="","",'ŞİKAYET KAYIT'!N375)),"")</f>
        <v/>
      </c>
      <c r="L375" s="26" t="str">
        <f>IFERROR(IF('ŞİKAYET KAYIT'!P375="Kapatıldı","",IF('ŞİKAYET KAYIT'!O375="","",'ŞİKAYET KAYIT'!O375)),"")</f>
        <v/>
      </c>
      <c r="M375" s="26" t="str">
        <f>IFERROR(IF('ŞİKAYET KAYIT'!P375="Kapatıldı","",IF('ŞİKAYET KAYIT'!P375="","",'ŞİKAYET KAYIT'!P375)),"")</f>
        <v/>
      </c>
    </row>
    <row r="376" spans="1:13" ht="15" customHeight="1" x14ac:dyDescent="0.3">
      <c r="A376" s="3" t="str">
        <f>IFERROR(IF('ŞİKAYET KAYIT'!P376="Kapatıldı","",IF('ŞİKAYET KAYIT'!A376="","",'ŞİKAYET KAYIT'!A376)),"")</f>
        <v/>
      </c>
      <c r="B376" s="5" t="str">
        <f>IFERROR(IF('ŞİKAYET KAYIT'!P376="Kapatıldı","",IF('ŞİKAYET KAYIT'!B376="","",'ŞİKAYET KAYIT'!B376)),"")</f>
        <v/>
      </c>
      <c r="C376" s="3" t="str">
        <f>IFERROR(IF('ŞİKAYET KAYIT'!P376="Kapatıldı","",IF('ŞİKAYET KAYIT'!D376="","",'ŞİKAYET KAYIT'!D376)),"")</f>
        <v/>
      </c>
      <c r="D376" s="3" t="str">
        <f>IFERROR(IF('ŞİKAYET KAYIT'!P376="Kapatıldı","",IF('ŞİKAYET KAYIT'!F376="","",'ŞİKAYET KAYIT'!F376)),"")</f>
        <v/>
      </c>
      <c r="E376" s="3" t="str">
        <f>IFERROR(IF('ŞİKAYET KAYIT'!P376="Kapatıldı","",IF('ŞİKAYET KAYIT'!H376="","",'ŞİKAYET KAYIT'!H376)),"")</f>
        <v/>
      </c>
      <c r="F376" s="3" t="str">
        <f>IFERROR(IF('ŞİKAYET KAYIT'!P376="Kapatıldı","",IF('ŞİKAYET KAYIT'!I376="","",'ŞİKAYET KAYIT'!I376)),"")</f>
        <v/>
      </c>
      <c r="G376" s="3" t="str">
        <f>IFERROR(IF('ŞİKAYET KAYIT'!P376="Kapatıldı","",IF('ŞİKAYET KAYIT'!J376="","",'ŞİKAYET KAYIT'!J376)),"")</f>
        <v/>
      </c>
      <c r="H376" s="3" t="str">
        <f>IFERROR(IF('ŞİKAYET KAYIT'!P376="Kapatıldı","",IF('ŞİKAYET KAYIT'!K376="","",'ŞİKAYET KAYIT'!K376)),"")</f>
        <v/>
      </c>
      <c r="I376" s="3" t="str">
        <f>IFERROR(IF('ŞİKAYET KAYIT'!P376="Kapatıldı","",IF('ŞİKAYET KAYIT'!L376="","",'ŞİKAYET KAYIT'!L376)),"")</f>
        <v/>
      </c>
      <c r="J376" s="3" t="str">
        <f>IFERROR(IF('ŞİKAYET KAYIT'!P376="Kapatıldı","",IF('ŞİKAYET KAYIT'!M376="","",'ŞİKAYET KAYIT'!M376)),"")</f>
        <v/>
      </c>
      <c r="K376" s="3" t="str">
        <f>IFERROR(IF('ŞİKAYET KAYIT'!P376="Kapatıldı","",IF('ŞİKAYET KAYIT'!N376="","",'ŞİKAYET KAYIT'!N376)),"")</f>
        <v/>
      </c>
      <c r="L376" s="3" t="str">
        <f>IFERROR(IF('ŞİKAYET KAYIT'!P376="Kapatıldı","",IF('ŞİKAYET KAYIT'!O376="","",'ŞİKAYET KAYIT'!O376)),"")</f>
        <v/>
      </c>
      <c r="M376" s="3" t="str">
        <f>IFERROR(IF('ŞİKAYET KAYIT'!P376="Kapatıldı","",IF('ŞİKAYET KAYIT'!P376="","",'ŞİKAYET KAYIT'!P376)),"")</f>
        <v/>
      </c>
    </row>
    <row r="377" spans="1:13" ht="15" customHeight="1" x14ac:dyDescent="0.3">
      <c r="A377" s="26" t="str">
        <f>IFERROR(IF('ŞİKAYET KAYIT'!P377="Kapatıldı","",IF('ŞİKAYET KAYIT'!A377="","",'ŞİKAYET KAYIT'!A377)),"")</f>
        <v/>
      </c>
      <c r="B377" s="8" t="str">
        <f>IFERROR(IF('ŞİKAYET KAYIT'!P377="Kapatıldı","",IF('ŞİKAYET KAYIT'!B377="","",'ŞİKAYET KAYIT'!B377)),"")</f>
        <v/>
      </c>
      <c r="C377" s="26" t="str">
        <f>IFERROR(IF('ŞİKAYET KAYIT'!P377="Kapatıldı","",IF('ŞİKAYET KAYIT'!D377="","",'ŞİKAYET KAYIT'!D377)),"")</f>
        <v/>
      </c>
      <c r="D377" s="26" t="str">
        <f>IFERROR(IF('ŞİKAYET KAYIT'!P377="Kapatıldı","",IF('ŞİKAYET KAYIT'!F377="","",'ŞİKAYET KAYIT'!F377)),"")</f>
        <v/>
      </c>
      <c r="E377" s="26" t="str">
        <f>IFERROR(IF('ŞİKAYET KAYIT'!P377="Kapatıldı","",IF('ŞİKAYET KAYIT'!H377="","",'ŞİKAYET KAYIT'!H377)),"")</f>
        <v/>
      </c>
      <c r="F377" s="26" t="str">
        <f>IFERROR(IF('ŞİKAYET KAYIT'!P377="Kapatıldı","",IF('ŞİKAYET KAYIT'!I377="","",'ŞİKAYET KAYIT'!I377)),"")</f>
        <v/>
      </c>
      <c r="G377" s="26" t="str">
        <f>IFERROR(IF('ŞİKAYET KAYIT'!P377="Kapatıldı","",IF('ŞİKAYET KAYIT'!J377="","",'ŞİKAYET KAYIT'!J377)),"")</f>
        <v/>
      </c>
      <c r="H377" s="26" t="str">
        <f>IFERROR(IF('ŞİKAYET KAYIT'!P377="Kapatıldı","",IF('ŞİKAYET KAYIT'!K377="","",'ŞİKAYET KAYIT'!K377)),"")</f>
        <v/>
      </c>
      <c r="I377" s="26" t="str">
        <f>IFERROR(IF('ŞİKAYET KAYIT'!P377="Kapatıldı","",IF('ŞİKAYET KAYIT'!L377="","",'ŞİKAYET KAYIT'!L377)),"")</f>
        <v/>
      </c>
      <c r="J377" s="26" t="str">
        <f>IFERROR(IF('ŞİKAYET KAYIT'!P377="Kapatıldı","",IF('ŞİKAYET KAYIT'!M377="","",'ŞİKAYET KAYIT'!M377)),"")</f>
        <v/>
      </c>
      <c r="K377" s="26" t="str">
        <f>IFERROR(IF('ŞİKAYET KAYIT'!P377="Kapatıldı","",IF('ŞİKAYET KAYIT'!N377="","",'ŞİKAYET KAYIT'!N377)),"")</f>
        <v/>
      </c>
      <c r="L377" s="26" t="str">
        <f>IFERROR(IF('ŞİKAYET KAYIT'!P377="Kapatıldı","",IF('ŞİKAYET KAYIT'!O377="","",'ŞİKAYET KAYIT'!O377)),"")</f>
        <v/>
      </c>
      <c r="M377" s="26" t="str">
        <f>IFERROR(IF('ŞİKAYET KAYIT'!P377="Kapatıldı","",IF('ŞİKAYET KAYIT'!P377="","",'ŞİKAYET KAYIT'!P377)),"")</f>
        <v/>
      </c>
    </row>
    <row r="378" spans="1:13" ht="15" customHeight="1" x14ac:dyDescent="0.3">
      <c r="A378" s="3" t="str">
        <f>IFERROR(IF('ŞİKAYET KAYIT'!P378="Kapatıldı","",IF('ŞİKAYET KAYIT'!A378="","",'ŞİKAYET KAYIT'!A378)),"")</f>
        <v/>
      </c>
      <c r="B378" s="5" t="str">
        <f>IFERROR(IF('ŞİKAYET KAYIT'!P378="Kapatıldı","",IF('ŞİKAYET KAYIT'!B378="","",'ŞİKAYET KAYIT'!B378)),"")</f>
        <v/>
      </c>
      <c r="C378" s="3" t="str">
        <f>IFERROR(IF('ŞİKAYET KAYIT'!P378="Kapatıldı","",IF('ŞİKAYET KAYIT'!D378="","",'ŞİKAYET KAYIT'!D378)),"")</f>
        <v/>
      </c>
      <c r="D378" s="3" t="str">
        <f>IFERROR(IF('ŞİKAYET KAYIT'!P378="Kapatıldı","",IF('ŞİKAYET KAYIT'!F378="","",'ŞİKAYET KAYIT'!F378)),"")</f>
        <v/>
      </c>
      <c r="E378" s="3" t="str">
        <f>IFERROR(IF('ŞİKAYET KAYIT'!P378="Kapatıldı","",IF('ŞİKAYET KAYIT'!H378="","",'ŞİKAYET KAYIT'!H378)),"")</f>
        <v/>
      </c>
      <c r="F378" s="3" t="str">
        <f>IFERROR(IF('ŞİKAYET KAYIT'!P378="Kapatıldı","",IF('ŞİKAYET KAYIT'!I378="","",'ŞİKAYET KAYIT'!I378)),"")</f>
        <v/>
      </c>
      <c r="G378" s="3" t="str">
        <f>IFERROR(IF('ŞİKAYET KAYIT'!P378="Kapatıldı","",IF('ŞİKAYET KAYIT'!J378="","",'ŞİKAYET KAYIT'!J378)),"")</f>
        <v/>
      </c>
      <c r="H378" s="3" t="str">
        <f>IFERROR(IF('ŞİKAYET KAYIT'!P378="Kapatıldı","",IF('ŞİKAYET KAYIT'!K378="","",'ŞİKAYET KAYIT'!K378)),"")</f>
        <v/>
      </c>
      <c r="I378" s="3" t="str">
        <f>IFERROR(IF('ŞİKAYET KAYIT'!P378="Kapatıldı","",IF('ŞİKAYET KAYIT'!L378="","",'ŞİKAYET KAYIT'!L378)),"")</f>
        <v/>
      </c>
      <c r="J378" s="3" t="str">
        <f>IFERROR(IF('ŞİKAYET KAYIT'!P378="Kapatıldı","",IF('ŞİKAYET KAYIT'!M378="","",'ŞİKAYET KAYIT'!M378)),"")</f>
        <v/>
      </c>
      <c r="K378" s="3" t="str">
        <f>IFERROR(IF('ŞİKAYET KAYIT'!P378="Kapatıldı","",IF('ŞİKAYET KAYIT'!N378="","",'ŞİKAYET KAYIT'!N378)),"")</f>
        <v/>
      </c>
      <c r="L378" s="3" t="str">
        <f>IFERROR(IF('ŞİKAYET KAYIT'!P378="Kapatıldı","",IF('ŞİKAYET KAYIT'!O378="","",'ŞİKAYET KAYIT'!O378)),"")</f>
        <v/>
      </c>
      <c r="M378" s="3" t="str">
        <f>IFERROR(IF('ŞİKAYET KAYIT'!P378="Kapatıldı","",IF('ŞİKAYET KAYIT'!P378="","",'ŞİKAYET KAYIT'!P378)),"")</f>
        <v/>
      </c>
    </row>
    <row r="379" spans="1:13" ht="15" customHeight="1" x14ac:dyDescent="0.3">
      <c r="A379" s="26" t="str">
        <f>IFERROR(IF('ŞİKAYET KAYIT'!P379="Kapatıldı","",IF('ŞİKAYET KAYIT'!A379="","",'ŞİKAYET KAYIT'!A379)),"")</f>
        <v/>
      </c>
      <c r="B379" s="8" t="str">
        <f>IFERROR(IF('ŞİKAYET KAYIT'!P379="Kapatıldı","",IF('ŞİKAYET KAYIT'!B379="","",'ŞİKAYET KAYIT'!B379)),"")</f>
        <v/>
      </c>
      <c r="C379" s="26" t="str">
        <f>IFERROR(IF('ŞİKAYET KAYIT'!P379="Kapatıldı","",IF('ŞİKAYET KAYIT'!D379="","",'ŞİKAYET KAYIT'!D379)),"")</f>
        <v/>
      </c>
      <c r="D379" s="26" t="str">
        <f>IFERROR(IF('ŞİKAYET KAYIT'!P379="Kapatıldı","",IF('ŞİKAYET KAYIT'!F379="","",'ŞİKAYET KAYIT'!F379)),"")</f>
        <v/>
      </c>
      <c r="E379" s="26" t="str">
        <f>IFERROR(IF('ŞİKAYET KAYIT'!P379="Kapatıldı","",IF('ŞİKAYET KAYIT'!H379="","",'ŞİKAYET KAYIT'!H379)),"")</f>
        <v/>
      </c>
      <c r="F379" s="26" t="str">
        <f>IFERROR(IF('ŞİKAYET KAYIT'!P379="Kapatıldı","",IF('ŞİKAYET KAYIT'!I379="","",'ŞİKAYET KAYIT'!I379)),"")</f>
        <v/>
      </c>
      <c r="G379" s="26" t="str">
        <f>IFERROR(IF('ŞİKAYET KAYIT'!P379="Kapatıldı","",IF('ŞİKAYET KAYIT'!J379="","",'ŞİKAYET KAYIT'!J379)),"")</f>
        <v/>
      </c>
      <c r="H379" s="26" t="str">
        <f>IFERROR(IF('ŞİKAYET KAYIT'!P379="Kapatıldı","",IF('ŞİKAYET KAYIT'!K379="","",'ŞİKAYET KAYIT'!K379)),"")</f>
        <v/>
      </c>
      <c r="I379" s="26" t="str">
        <f>IFERROR(IF('ŞİKAYET KAYIT'!P379="Kapatıldı","",IF('ŞİKAYET KAYIT'!L379="","",'ŞİKAYET KAYIT'!L379)),"")</f>
        <v/>
      </c>
      <c r="J379" s="26" t="str">
        <f>IFERROR(IF('ŞİKAYET KAYIT'!P379="Kapatıldı","",IF('ŞİKAYET KAYIT'!M379="","",'ŞİKAYET KAYIT'!M379)),"")</f>
        <v/>
      </c>
      <c r="K379" s="26" t="str">
        <f>IFERROR(IF('ŞİKAYET KAYIT'!P379="Kapatıldı","",IF('ŞİKAYET KAYIT'!N379="","",'ŞİKAYET KAYIT'!N379)),"")</f>
        <v/>
      </c>
      <c r="L379" s="26" t="str">
        <f>IFERROR(IF('ŞİKAYET KAYIT'!P379="Kapatıldı","",IF('ŞİKAYET KAYIT'!O379="","",'ŞİKAYET KAYIT'!O379)),"")</f>
        <v/>
      </c>
      <c r="M379" s="26" t="str">
        <f>IFERROR(IF('ŞİKAYET KAYIT'!P379="Kapatıldı","",IF('ŞİKAYET KAYIT'!P379="","",'ŞİKAYET KAYIT'!P379)),"")</f>
        <v/>
      </c>
    </row>
    <row r="380" spans="1:13" ht="15" customHeight="1" x14ac:dyDescent="0.3">
      <c r="A380" s="3" t="str">
        <f>IFERROR(IF('ŞİKAYET KAYIT'!P380="Kapatıldı","",IF('ŞİKAYET KAYIT'!A380="","",'ŞİKAYET KAYIT'!A380)),"")</f>
        <v/>
      </c>
      <c r="B380" s="5" t="str">
        <f>IFERROR(IF('ŞİKAYET KAYIT'!P380="Kapatıldı","",IF('ŞİKAYET KAYIT'!B380="","",'ŞİKAYET KAYIT'!B380)),"")</f>
        <v/>
      </c>
      <c r="C380" s="3" t="str">
        <f>IFERROR(IF('ŞİKAYET KAYIT'!P380="Kapatıldı","",IF('ŞİKAYET KAYIT'!D380="","",'ŞİKAYET KAYIT'!D380)),"")</f>
        <v/>
      </c>
      <c r="D380" s="3" t="str">
        <f>IFERROR(IF('ŞİKAYET KAYIT'!P380="Kapatıldı","",IF('ŞİKAYET KAYIT'!F380="","",'ŞİKAYET KAYIT'!F380)),"")</f>
        <v/>
      </c>
      <c r="E380" s="3" t="str">
        <f>IFERROR(IF('ŞİKAYET KAYIT'!P380="Kapatıldı","",IF('ŞİKAYET KAYIT'!H380="","",'ŞİKAYET KAYIT'!H380)),"")</f>
        <v/>
      </c>
      <c r="F380" s="3" t="str">
        <f>IFERROR(IF('ŞİKAYET KAYIT'!P380="Kapatıldı","",IF('ŞİKAYET KAYIT'!I380="","",'ŞİKAYET KAYIT'!I380)),"")</f>
        <v/>
      </c>
      <c r="G380" s="3" t="str">
        <f>IFERROR(IF('ŞİKAYET KAYIT'!P380="Kapatıldı","",IF('ŞİKAYET KAYIT'!J380="","",'ŞİKAYET KAYIT'!J380)),"")</f>
        <v/>
      </c>
      <c r="H380" s="3" t="str">
        <f>IFERROR(IF('ŞİKAYET KAYIT'!P380="Kapatıldı","",IF('ŞİKAYET KAYIT'!K380="","",'ŞİKAYET KAYIT'!K380)),"")</f>
        <v/>
      </c>
      <c r="I380" s="3" t="str">
        <f>IFERROR(IF('ŞİKAYET KAYIT'!P380="Kapatıldı","",IF('ŞİKAYET KAYIT'!L380="","",'ŞİKAYET KAYIT'!L380)),"")</f>
        <v/>
      </c>
      <c r="J380" s="3" t="str">
        <f>IFERROR(IF('ŞİKAYET KAYIT'!P380="Kapatıldı","",IF('ŞİKAYET KAYIT'!M380="","",'ŞİKAYET KAYIT'!M380)),"")</f>
        <v/>
      </c>
      <c r="K380" s="3" t="str">
        <f>IFERROR(IF('ŞİKAYET KAYIT'!P380="Kapatıldı","",IF('ŞİKAYET KAYIT'!N380="","",'ŞİKAYET KAYIT'!N380)),"")</f>
        <v/>
      </c>
      <c r="L380" s="3" t="str">
        <f>IFERROR(IF('ŞİKAYET KAYIT'!P380="Kapatıldı","",IF('ŞİKAYET KAYIT'!O380="","",'ŞİKAYET KAYIT'!O380)),"")</f>
        <v/>
      </c>
      <c r="M380" s="3" t="str">
        <f>IFERROR(IF('ŞİKAYET KAYIT'!P380="Kapatıldı","",IF('ŞİKAYET KAYIT'!P380="","",'ŞİKAYET KAYIT'!P380)),"")</f>
        <v/>
      </c>
    </row>
    <row r="381" spans="1:13" ht="15" customHeight="1" x14ac:dyDescent="0.3">
      <c r="A381" s="26" t="str">
        <f>IFERROR(IF('ŞİKAYET KAYIT'!P381="Kapatıldı","",IF('ŞİKAYET KAYIT'!A381="","",'ŞİKAYET KAYIT'!A381)),"")</f>
        <v/>
      </c>
      <c r="B381" s="8" t="str">
        <f>IFERROR(IF('ŞİKAYET KAYIT'!P381="Kapatıldı","",IF('ŞİKAYET KAYIT'!B381="","",'ŞİKAYET KAYIT'!B381)),"")</f>
        <v/>
      </c>
      <c r="C381" s="26" t="str">
        <f>IFERROR(IF('ŞİKAYET KAYIT'!P381="Kapatıldı","",IF('ŞİKAYET KAYIT'!D381="","",'ŞİKAYET KAYIT'!D381)),"")</f>
        <v/>
      </c>
      <c r="D381" s="26" t="str">
        <f>IFERROR(IF('ŞİKAYET KAYIT'!P381="Kapatıldı","",IF('ŞİKAYET KAYIT'!F381="","",'ŞİKAYET KAYIT'!F381)),"")</f>
        <v/>
      </c>
      <c r="E381" s="26" t="str">
        <f>IFERROR(IF('ŞİKAYET KAYIT'!P381="Kapatıldı","",IF('ŞİKAYET KAYIT'!H381="","",'ŞİKAYET KAYIT'!H381)),"")</f>
        <v/>
      </c>
      <c r="F381" s="26" t="str">
        <f>IFERROR(IF('ŞİKAYET KAYIT'!P381="Kapatıldı","",IF('ŞİKAYET KAYIT'!I381="","",'ŞİKAYET KAYIT'!I381)),"")</f>
        <v/>
      </c>
      <c r="G381" s="26" t="str">
        <f>IFERROR(IF('ŞİKAYET KAYIT'!P381="Kapatıldı","",IF('ŞİKAYET KAYIT'!J381="","",'ŞİKAYET KAYIT'!J381)),"")</f>
        <v/>
      </c>
      <c r="H381" s="26" t="str">
        <f>IFERROR(IF('ŞİKAYET KAYIT'!P381="Kapatıldı","",IF('ŞİKAYET KAYIT'!K381="","",'ŞİKAYET KAYIT'!K381)),"")</f>
        <v/>
      </c>
      <c r="I381" s="26" t="str">
        <f>IFERROR(IF('ŞİKAYET KAYIT'!P381="Kapatıldı","",IF('ŞİKAYET KAYIT'!L381="","",'ŞİKAYET KAYIT'!L381)),"")</f>
        <v/>
      </c>
      <c r="J381" s="26" t="str">
        <f>IFERROR(IF('ŞİKAYET KAYIT'!P381="Kapatıldı","",IF('ŞİKAYET KAYIT'!M381="","",'ŞİKAYET KAYIT'!M381)),"")</f>
        <v/>
      </c>
      <c r="K381" s="26" t="str">
        <f>IFERROR(IF('ŞİKAYET KAYIT'!P381="Kapatıldı","",IF('ŞİKAYET KAYIT'!N381="","",'ŞİKAYET KAYIT'!N381)),"")</f>
        <v/>
      </c>
      <c r="L381" s="26" t="str">
        <f>IFERROR(IF('ŞİKAYET KAYIT'!P381="Kapatıldı","",IF('ŞİKAYET KAYIT'!O381="","",'ŞİKAYET KAYIT'!O381)),"")</f>
        <v/>
      </c>
      <c r="M381" s="26" t="str">
        <f>IFERROR(IF('ŞİKAYET KAYIT'!P381="Kapatıldı","",IF('ŞİKAYET KAYIT'!P381="","",'ŞİKAYET KAYIT'!P381)),"")</f>
        <v/>
      </c>
    </row>
    <row r="382" spans="1:13" ht="15" customHeight="1" x14ac:dyDescent="0.3">
      <c r="A382" s="3" t="str">
        <f>IFERROR(IF('ŞİKAYET KAYIT'!P382="Kapatıldı","",IF('ŞİKAYET KAYIT'!A382="","",'ŞİKAYET KAYIT'!A382)),"")</f>
        <v/>
      </c>
      <c r="B382" s="5" t="str">
        <f>IFERROR(IF('ŞİKAYET KAYIT'!P382="Kapatıldı","",IF('ŞİKAYET KAYIT'!B382="","",'ŞİKAYET KAYIT'!B382)),"")</f>
        <v/>
      </c>
      <c r="C382" s="3" t="str">
        <f>IFERROR(IF('ŞİKAYET KAYIT'!P382="Kapatıldı","",IF('ŞİKAYET KAYIT'!D382="","",'ŞİKAYET KAYIT'!D382)),"")</f>
        <v/>
      </c>
      <c r="D382" s="3" t="str">
        <f>IFERROR(IF('ŞİKAYET KAYIT'!P382="Kapatıldı","",IF('ŞİKAYET KAYIT'!F382="","",'ŞİKAYET KAYIT'!F382)),"")</f>
        <v/>
      </c>
      <c r="E382" s="3" t="str">
        <f>IFERROR(IF('ŞİKAYET KAYIT'!P382="Kapatıldı","",IF('ŞİKAYET KAYIT'!H382="","",'ŞİKAYET KAYIT'!H382)),"")</f>
        <v/>
      </c>
      <c r="F382" s="3" t="str">
        <f>IFERROR(IF('ŞİKAYET KAYIT'!P382="Kapatıldı","",IF('ŞİKAYET KAYIT'!I382="","",'ŞİKAYET KAYIT'!I382)),"")</f>
        <v/>
      </c>
      <c r="G382" s="3" t="str">
        <f>IFERROR(IF('ŞİKAYET KAYIT'!P382="Kapatıldı","",IF('ŞİKAYET KAYIT'!J382="","",'ŞİKAYET KAYIT'!J382)),"")</f>
        <v/>
      </c>
      <c r="H382" s="3" t="str">
        <f>IFERROR(IF('ŞİKAYET KAYIT'!P382="Kapatıldı","",IF('ŞİKAYET KAYIT'!K382="","",'ŞİKAYET KAYIT'!K382)),"")</f>
        <v/>
      </c>
      <c r="I382" s="3" t="str">
        <f>IFERROR(IF('ŞİKAYET KAYIT'!P382="Kapatıldı","",IF('ŞİKAYET KAYIT'!L382="","",'ŞİKAYET KAYIT'!L382)),"")</f>
        <v/>
      </c>
      <c r="J382" s="3" t="str">
        <f>IFERROR(IF('ŞİKAYET KAYIT'!P382="Kapatıldı","",IF('ŞİKAYET KAYIT'!M382="","",'ŞİKAYET KAYIT'!M382)),"")</f>
        <v/>
      </c>
      <c r="K382" s="3" t="str">
        <f>IFERROR(IF('ŞİKAYET KAYIT'!P382="Kapatıldı","",IF('ŞİKAYET KAYIT'!N382="","",'ŞİKAYET KAYIT'!N382)),"")</f>
        <v/>
      </c>
      <c r="L382" s="3" t="str">
        <f>IFERROR(IF('ŞİKAYET KAYIT'!P382="Kapatıldı","",IF('ŞİKAYET KAYIT'!O382="","",'ŞİKAYET KAYIT'!O382)),"")</f>
        <v/>
      </c>
      <c r="M382" s="3" t="str">
        <f>IFERROR(IF('ŞİKAYET KAYIT'!P382="Kapatıldı","",IF('ŞİKAYET KAYIT'!P382="","",'ŞİKAYET KAYIT'!P382)),"")</f>
        <v/>
      </c>
    </row>
    <row r="383" spans="1:13" ht="15" customHeight="1" x14ac:dyDescent="0.3">
      <c r="A383" s="26" t="str">
        <f>IFERROR(IF('ŞİKAYET KAYIT'!P383="Kapatıldı","",IF('ŞİKAYET KAYIT'!A383="","",'ŞİKAYET KAYIT'!A383)),"")</f>
        <v/>
      </c>
      <c r="B383" s="8" t="str">
        <f>IFERROR(IF('ŞİKAYET KAYIT'!P383="Kapatıldı","",IF('ŞİKAYET KAYIT'!B383="","",'ŞİKAYET KAYIT'!B383)),"")</f>
        <v/>
      </c>
      <c r="C383" s="26" t="str">
        <f>IFERROR(IF('ŞİKAYET KAYIT'!P383="Kapatıldı","",IF('ŞİKAYET KAYIT'!D383="","",'ŞİKAYET KAYIT'!D383)),"")</f>
        <v/>
      </c>
      <c r="D383" s="26" t="str">
        <f>IFERROR(IF('ŞİKAYET KAYIT'!P383="Kapatıldı","",IF('ŞİKAYET KAYIT'!F383="","",'ŞİKAYET KAYIT'!F383)),"")</f>
        <v/>
      </c>
      <c r="E383" s="26" t="str">
        <f>IFERROR(IF('ŞİKAYET KAYIT'!P383="Kapatıldı","",IF('ŞİKAYET KAYIT'!H383="","",'ŞİKAYET KAYIT'!H383)),"")</f>
        <v/>
      </c>
      <c r="F383" s="26" t="str">
        <f>IFERROR(IF('ŞİKAYET KAYIT'!P383="Kapatıldı","",IF('ŞİKAYET KAYIT'!I383="","",'ŞİKAYET KAYIT'!I383)),"")</f>
        <v/>
      </c>
      <c r="G383" s="26" t="str">
        <f>IFERROR(IF('ŞİKAYET KAYIT'!P383="Kapatıldı","",IF('ŞİKAYET KAYIT'!J383="","",'ŞİKAYET KAYIT'!J383)),"")</f>
        <v/>
      </c>
      <c r="H383" s="26" t="str">
        <f>IFERROR(IF('ŞİKAYET KAYIT'!P383="Kapatıldı","",IF('ŞİKAYET KAYIT'!K383="","",'ŞİKAYET KAYIT'!K383)),"")</f>
        <v/>
      </c>
      <c r="I383" s="26" t="str">
        <f>IFERROR(IF('ŞİKAYET KAYIT'!P383="Kapatıldı","",IF('ŞİKAYET KAYIT'!L383="","",'ŞİKAYET KAYIT'!L383)),"")</f>
        <v/>
      </c>
      <c r="J383" s="26" t="str">
        <f>IFERROR(IF('ŞİKAYET KAYIT'!P383="Kapatıldı","",IF('ŞİKAYET KAYIT'!M383="","",'ŞİKAYET KAYIT'!M383)),"")</f>
        <v/>
      </c>
      <c r="K383" s="26" t="str">
        <f>IFERROR(IF('ŞİKAYET KAYIT'!P383="Kapatıldı","",IF('ŞİKAYET KAYIT'!N383="","",'ŞİKAYET KAYIT'!N383)),"")</f>
        <v/>
      </c>
      <c r="L383" s="26" t="str">
        <f>IFERROR(IF('ŞİKAYET KAYIT'!P383="Kapatıldı","",IF('ŞİKAYET KAYIT'!O383="","",'ŞİKAYET KAYIT'!O383)),"")</f>
        <v/>
      </c>
      <c r="M383" s="26" t="str">
        <f>IFERROR(IF('ŞİKAYET KAYIT'!P383="Kapatıldı","",IF('ŞİKAYET KAYIT'!P383="","",'ŞİKAYET KAYIT'!P383)),"")</f>
        <v/>
      </c>
    </row>
    <row r="384" spans="1:13" ht="15" customHeight="1" x14ac:dyDescent="0.3">
      <c r="A384" s="3" t="str">
        <f>IFERROR(IF('ŞİKAYET KAYIT'!P384="Kapatıldı","",IF('ŞİKAYET KAYIT'!A384="","",'ŞİKAYET KAYIT'!A384)),"")</f>
        <v/>
      </c>
      <c r="B384" s="5" t="str">
        <f>IFERROR(IF('ŞİKAYET KAYIT'!P384="Kapatıldı","",IF('ŞİKAYET KAYIT'!B384="","",'ŞİKAYET KAYIT'!B384)),"")</f>
        <v/>
      </c>
      <c r="C384" s="3" t="str">
        <f>IFERROR(IF('ŞİKAYET KAYIT'!P384="Kapatıldı","",IF('ŞİKAYET KAYIT'!D384="","",'ŞİKAYET KAYIT'!D384)),"")</f>
        <v/>
      </c>
      <c r="D384" s="3" t="str">
        <f>IFERROR(IF('ŞİKAYET KAYIT'!P384="Kapatıldı","",IF('ŞİKAYET KAYIT'!F384="","",'ŞİKAYET KAYIT'!F384)),"")</f>
        <v/>
      </c>
      <c r="E384" s="3" t="str">
        <f>IFERROR(IF('ŞİKAYET KAYIT'!P384="Kapatıldı","",IF('ŞİKAYET KAYIT'!H384="","",'ŞİKAYET KAYIT'!H384)),"")</f>
        <v/>
      </c>
      <c r="F384" s="3" t="str">
        <f>IFERROR(IF('ŞİKAYET KAYIT'!P384="Kapatıldı","",IF('ŞİKAYET KAYIT'!I384="","",'ŞİKAYET KAYIT'!I384)),"")</f>
        <v/>
      </c>
      <c r="G384" s="3" t="str">
        <f>IFERROR(IF('ŞİKAYET KAYIT'!P384="Kapatıldı","",IF('ŞİKAYET KAYIT'!J384="","",'ŞİKAYET KAYIT'!J384)),"")</f>
        <v/>
      </c>
      <c r="H384" s="3" t="str">
        <f>IFERROR(IF('ŞİKAYET KAYIT'!P384="Kapatıldı","",IF('ŞİKAYET KAYIT'!K384="","",'ŞİKAYET KAYIT'!K384)),"")</f>
        <v/>
      </c>
      <c r="I384" s="3" t="str">
        <f>IFERROR(IF('ŞİKAYET KAYIT'!P384="Kapatıldı","",IF('ŞİKAYET KAYIT'!L384="","",'ŞİKAYET KAYIT'!L384)),"")</f>
        <v/>
      </c>
      <c r="J384" s="3" t="str">
        <f>IFERROR(IF('ŞİKAYET KAYIT'!P384="Kapatıldı","",IF('ŞİKAYET KAYIT'!M384="","",'ŞİKAYET KAYIT'!M384)),"")</f>
        <v/>
      </c>
      <c r="K384" s="3" t="str">
        <f>IFERROR(IF('ŞİKAYET KAYIT'!P384="Kapatıldı","",IF('ŞİKAYET KAYIT'!N384="","",'ŞİKAYET KAYIT'!N384)),"")</f>
        <v/>
      </c>
      <c r="L384" s="3" t="str">
        <f>IFERROR(IF('ŞİKAYET KAYIT'!P384="Kapatıldı","",IF('ŞİKAYET KAYIT'!O384="","",'ŞİKAYET KAYIT'!O384)),"")</f>
        <v/>
      </c>
      <c r="M384" s="3" t="str">
        <f>IFERROR(IF('ŞİKAYET KAYIT'!P384="Kapatıldı","",IF('ŞİKAYET KAYIT'!P384="","",'ŞİKAYET KAYIT'!P384)),"")</f>
        <v/>
      </c>
    </row>
    <row r="385" spans="1:13" ht="15" customHeight="1" x14ac:dyDescent="0.3">
      <c r="A385" s="26" t="str">
        <f>IFERROR(IF('ŞİKAYET KAYIT'!P385="Kapatıldı","",IF('ŞİKAYET KAYIT'!A385="","",'ŞİKAYET KAYIT'!A385)),"")</f>
        <v/>
      </c>
      <c r="B385" s="8" t="str">
        <f>IFERROR(IF('ŞİKAYET KAYIT'!P385="Kapatıldı","",IF('ŞİKAYET KAYIT'!B385="","",'ŞİKAYET KAYIT'!B385)),"")</f>
        <v/>
      </c>
      <c r="C385" s="26" t="str">
        <f>IFERROR(IF('ŞİKAYET KAYIT'!P385="Kapatıldı","",IF('ŞİKAYET KAYIT'!D385="","",'ŞİKAYET KAYIT'!D385)),"")</f>
        <v/>
      </c>
      <c r="D385" s="26" t="str">
        <f>IFERROR(IF('ŞİKAYET KAYIT'!P385="Kapatıldı","",IF('ŞİKAYET KAYIT'!F385="","",'ŞİKAYET KAYIT'!F385)),"")</f>
        <v/>
      </c>
      <c r="E385" s="26" t="str">
        <f>IFERROR(IF('ŞİKAYET KAYIT'!P385="Kapatıldı","",IF('ŞİKAYET KAYIT'!H385="","",'ŞİKAYET KAYIT'!H385)),"")</f>
        <v/>
      </c>
      <c r="F385" s="26" t="str">
        <f>IFERROR(IF('ŞİKAYET KAYIT'!P385="Kapatıldı","",IF('ŞİKAYET KAYIT'!I385="","",'ŞİKAYET KAYIT'!I385)),"")</f>
        <v/>
      </c>
      <c r="G385" s="26" t="str">
        <f>IFERROR(IF('ŞİKAYET KAYIT'!P385="Kapatıldı","",IF('ŞİKAYET KAYIT'!J385="","",'ŞİKAYET KAYIT'!J385)),"")</f>
        <v/>
      </c>
      <c r="H385" s="26" t="str">
        <f>IFERROR(IF('ŞİKAYET KAYIT'!P385="Kapatıldı","",IF('ŞİKAYET KAYIT'!K385="","",'ŞİKAYET KAYIT'!K385)),"")</f>
        <v/>
      </c>
      <c r="I385" s="26" t="str">
        <f>IFERROR(IF('ŞİKAYET KAYIT'!P385="Kapatıldı","",IF('ŞİKAYET KAYIT'!L385="","",'ŞİKAYET KAYIT'!L385)),"")</f>
        <v/>
      </c>
      <c r="J385" s="26" t="str">
        <f>IFERROR(IF('ŞİKAYET KAYIT'!P385="Kapatıldı","",IF('ŞİKAYET KAYIT'!M385="","",'ŞİKAYET KAYIT'!M385)),"")</f>
        <v/>
      </c>
      <c r="K385" s="26" t="str">
        <f>IFERROR(IF('ŞİKAYET KAYIT'!P385="Kapatıldı","",IF('ŞİKAYET KAYIT'!N385="","",'ŞİKAYET KAYIT'!N385)),"")</f>
        <v/>
      </c>
      <c r="L385" s="26" t="str">
        <f>IFERROR(IF('ŞİKAYET KAYIT'!P385="Kapatıldı","",IF('ŞİKAYET KAYIT'!O385="","",'ŞİKAYET KAYIT'!O385)),"")</f>
        <v/>
      </c>
      <c r="M385" s="26" t="str">
        <f>IFERROR(IF('ŞİKAYET KAYIT'!P385="Kapatıldı","",IF('ŞİKAYET KAYIT'!P385="","",'ŞİKAYET KAYIT'!P385)),"")</f>
        <v/>
      </c>
    </row>
    <row r="386" spans="1:13" ht="15" customHeight="1" x14ac:dyDescent="0.3">
      <c r="A386" s="3" t="str">
        <f>IFERROR(IF('ŞİKAYET KAYIT'!P386="Kapatıldı","",IF('ŞİKAYET KAYIT'!A386="","",'ŞİKAYET KAYIT'!A386)),"")</f>
        <v/>
      </c>
      <c r="B386" s="5" t="str">
        <f>IFERROR(IF('ŞİKAYET KAYIT'!P386="Kapatıldı","",IF('ŞİKAYET KAYIT'!B386="","",'ŞİKAYET KAYIT'!B386)),"")</f>
        <v/>
      </c>
      <c r="C386" s="3" t="str">
        <f>IFERROR(IF('ŞİKAYET KAYIT'!P386="Kapatıldı","",IF('ŞİKAYET KAYIT'!D386="","",'ŞİKAYET KAYIT'!D386)),"")</f>
        <v/>
      </c>
      <c r="D386" s="3" t="str">
        <f>IFERROR(IF('ŞİKAYET KAYIT'!P386="Kapatıldı","",IF('ŞİKAYET KAYIT'!F386="","",'ŞİKAYET KAYIT'!F386)),"")</f>
        <v/>
      </c>
      <c r="E386" s="3" t="str">
        <f>IFERROR(IF('ŞİKAYET KAYIT'!P386="Kapatıldı","",IF('ŞİKAYET KAYIT'!H386="","",'ŞİKAYET KAYIT'!H386)),"")</f>
        <v/>
      </c>
      <c r="F386" s="3" t="str">
        <f>IFERROR(IF('ŞİKAYET KAYIT'!P386="Kapatıldı","",IF('ŞİKAYET KAYIT'!I386="","",'ŞİKAYET KAYIT'!I386)),"")</f>
        <v/>
      </c>
      <c r="G386" s="3" t="str">
        <f>IFERROR(IF('ŞİKAYET KAYIT'!P386="Kapatıldı","",IF('ŞİKAYET KAYIT'!J386="","",'ŞİKAYET KAYIT'!J386)),"")</f>
        <v/>
      </c>
      <c r="H386" s="3" t="str">
        <f>IFERROR(IF('ŞİKAYET KAYIT'!P386="Kapatıldı","",IF('ŞİKAYET KAYIT'!K386="","",'ŞİKAYET KAYIT'!K386)),"")</f>
        <v/>
      </c>
      <c r="I386" s="3" t="str">
        <f>IFERROR(IF('ŞİKAYET KAYIT'!P386="Kapatıldı","",IF('ŞİKAYET KAYIT'!L386="","",'ŞİKAYET KAYIT'!L386)),"")</f>
        <v/>
      </c>
      <c r="J386" s="3" t="str">
        <f>IFERROR(IF('ŞİKAYET KAYIT'!P386="Kapatıldı","",IF('ŞİKAYET KAYIT'!M386="","",'ŞİKAYET KAYIT'!M386)),"")</f>
        <v/>
      </c>
      <c r="K386" s="3" t="str">
        <f>IFERROR(IF('ŞİKAYET KAYIT'!P386="Kapatıldı","",IF('ŞİKAYET KAYIT'!N386="","",'ŞİKAYET KAYIT'!N386)),"")</f>
        <v/>
      </c>
      <c r="L386" s="3" t="str">
        <f>IFERROR(IF('ŞİKAYET KAYIT'!P386="Kapatıldı","",IF('ŞİKAYET KAYIT'!O386="","",'ŞİKAYET KAYIT'!O386)),"")</f>
        <v/>
      </c>
      <c r="M386" s="3" t="str">
        <f>IFERROR(IF('ŞİKAYET KAYIT'!P386="Kapatıldı","",IF('ŞİKAYET KAYIT'!P386="","",'ŞİKAYET KAYIT'!P386)),"")</f>
        <v/>
      </c>
    </row>
    <row r="387" spans="1:13" ht="15" customHeight="1" x14ac:dyDescent="0.3">
      <c r="A387" s="26" t="str">
        <f>IFERROR(IF('ŞİKAYET KAYIT'!P387="Kapatıldı","",IF('ŞİKAYET KAYIT'!A387="","",'ŞİKAYET KAYIT'!A387)),"")</f>
        <v/>
      </c>
      <c r="B387" s="8" t="str">
        <f>IFERROR(IF('ŞİKAYET KAYIT'!P387="Kapatıldı","",IF('ŞİKAYET KAYIT'!B387="","",'ŞİKAYET KAYIT'!B387)),"")</f>
        <v/>
      </c>
      <c r="C387" s="26" t="str">
        <f>IFERROR(IF('ŞİKAYET KAYIT'!P387="Kapatıldı","",IF('ŞİKAYET KAYIT'!D387="","",'ŞİKAYET KAYIT'!D387)),"")</f>
        <v/>
      </c>
      <c r="D387" s="26" t="str">
        <f>IFERROR(IF('ŞİKAYET KAYIT'!P387="Kapatıldı","",IF('ŞİKAYET KAYIT'!F387="","",'ŞİKAYET KAYIT'!F387)),"")</f>
        <v/>
      </c>
      <c r="E387" s="26" t="str">
        <f>IFERROR(IF('ŞİKAYET KAYIT'!P387="Kapatıldı","",IF('ŞİKAYET KAYIT'!H387="","",'ŞİKAYET KAYIT'!H387)),"")</f>
        <v/>
      </c>
      <c r="F387" s="26" t="str">
        <f>IFERROR(IF('ŞİKAYET KAYIT'!P387="Kapatıldı","",IF('ŞİKAYET KAYIT'!I387="","",'ŞİKAYET KAYIT'!I387)),"")</f>
        <v/>
      </c>
      <c r="G387" s="26" t="str">
        <f>IFERROR(IF('ŞİKAYET KAYIT'!P387="Kapatıldı","",IF('ŞİKAYET KAYIT'!J387="","",'ŞİKAYET KAYIT'!J387)),"")</f>
        <v/>
      </c>
      <c r="H387" s="26" t="str">
        <f>IFERROR(IF('ŞİKAYET KAYIT'!P387="Kapatıldı","",IF('ŞİKAYET KAYIT'!K387="","",'ŞİKAYET KAYIT'!K387)),"")</f>
        <v/>
      </c>
      <c r="I387" s="26" t="str">
        <f>IFERROR(IF('ŞİKAYET KAYIT'!P387="Kapatıldı","",IF('ŞİKAYET KAYIT'!L387="","",'ŞİKAYET KAYIT'!L387)),"")</f>
        <v/>
      </c>
      <c r="J387" s="26" t="str">
        <f>IFERROR(IF('ŞİKAYET KAYIT'!P387="Kapatıldı","",IF('ŞİKAYET KAYIT'!M387="","",'ŞİKAYET KAYIT'!M387)),"")</f>
        <v/>
      </c>
      <c r="K387" s="26" t="str">
        <f>IFERROR(IF('ŞİKAYET KAYIT'!P387="Kapatıldı","",IF('ŞİKAYET KAYIT'!N387="","",'ŞİKAYET KAYIT'!N387)),"")</f>
        <v/>
      </c>
      <c r="L387" s="26" t="str">
        <f>IFERROR(IF('ŞİKAYET KAYIT'!P387="Kapatıldı","",IF('ŞİKAYET KAYIT'!O387="","",'ŞİKAYET KAYIT'!O387)),"")</f>
        <v/>
      </c>
      <c r="M387" s="26" t="str">
        <f>IFERROR(IF('ŞİKAYET KAYIT'!P387="Kapatıldı","",IF('ŞİKAYET KAYIT'!P387="","",'ŞİKAYET KAYIT'!P387)),"")</f>
        <v/>
      </c>
    </row>
    <row r="388" spans="1:13" ht="15" customHeight="1" x14ac:dyDescent="0.3">
      <c r="A388" s="3" t="str">
        <f>IFERROR(IF('ŞİKAYET KAYIT'!P388="Kapatıldı","",IF('ŞİKAYET KAYIT'!A388="","",'ŞİKAYET KAYIT'!A388)),"")</f>
        <v/>
      </c>
      <c r="B388" s="5" t="str">
        <f>IFERROR(IF('ŞİKAYET KAYIT'!P388="Kapatıldı","",IF('ŞİKAYET KAYIT'!B388="","",'ŞİKAYET KAYIT'!B388)),"")</f>
        <v/>
      </c>
      <c r="C388" s="3" t="str">
        <f>IFERROR(IF('ŞİKAYET KAYIT'!P388="Kapatıldı","",IF('ŞİKAYET KAYIT'!D388="","",'ŞİKAYET KAYIT'!D388)),"")</f>
        <v/>
      </c>
      <c r="D388" s="3" t="str">
        <f>IFERROR(IF('ŞİKAYET KAYIT'!P388="Kapatıldı","",IF('ŞİKAYET KAYIT'!F388="","",'ŞİKAYET KAYIT'!F388)),"")</f>
        <v/>
      </c>
      <c r="E388" s="3" t="str">
        <f>IFERROR(IF('ŞİKAYET KAYIT'!P388="Kapatıldı","",IF('ŞİKAYET KAYIT'!H388="","",'ŞİKAYET KAYIT'!H388)),"")</f>
        <v/>
      </c>
      <c r="F388" s="3" t="str">
        <f>IFERROR(IF('ŞİKAYET KAYIT'!P388="Kapatıldı","",IF('ŞİKAYET KAYIT'!I388="","",'ŞİKAYET KAYIT'!I388)),"")</f>
        <v/>
      </c>
      <c r="G388" s="3" t="str">
        <f>IFERROR(IF('ŞİKAYET KAYIT'!P388="Kapatıldı","",IF('ŞİKAYET KAYIT'!J388="","",'ŞİKAYET KAYIT'!J388)),"")</f>
        <v/>
      </c>
      <c r="H388" s="3" t="str">
        <f>IFERROR(IF('ŞİKAYET KAYIT'!P388="Kapatıldı","",IF('ŞİKAYET KAYIT'!K388="","",'ŞİKAYET KAYIT'!K388)),"")</f>
        <v/>
      </c>
      <c r="I388" s="3" t="str">
        <f>IFERROR(IF('ŞİKAYET KAYIT'!P388="Kapatıldı","",IF('ŞİKAYET KAYIT'!L388="","",'ŞİKAYET KAYIT'!L388)),"")</f>
        <v/>
      </c>
      <c r="J388" s="3" t="str">
        <f>IFERROR(IF('ŞİKAYET KAYIT'!P388="Kapatıldı","",IF('ŞİKAYET KAYIT'!M388="","",'ŞİKAYET KAYIT'!M388)),"")</f>
        <v/>
      </c>
      <c r="K388" s="3" t="str">
        <f>IFERROR(IF('ŞİKAYET KAYIT'!P388="Kapatıldı","",IF('ŞİKAYET KAYIT'!N388="","",'ŞİKAYET KAYIT'!N388)),"")</f>
        <v/>
      </c>
      <c r="L388" s="3" t="str">
        <f>IFERROR(IF('ŞİKAYET KAYIT'!P388="Kapatıldı","",IF('ŞİKAYET KAYIT'!O388="","",'ŞİKAYET KAYIT'!O388)),"")</f>
        <v/>
      </c>
      <c r="M388" s="3" t="str">
        <f>IFERROR(IF('ŞİKAYET KAYIT'!P388="Kapatıldı","",IF('ŞİKAYET KAYIT'!P388="","",'ŞİKAYET KAYIT'!P388)),"")</f>
        <v/>
      </c>
    </row>
    <row r="389" spans="1:13" ht="15" customHeight="1" x14ac:dyDescent="0.3">
      <c r="A389" s="26" t="str">
        <f>IFERROR(IF('ŞİKAYET KAYIT'!P389="Kapatıldı","",IF('ŞİKAYET KAYIT'!A389="","",'ŞİKAYET KAYIT'!A389)),"")</f>
        <v/>
      </c>
      <c r="B389" s="8" t="str">
        <f>IFERROR(IF('ŞİKAYET KAYIT'!P389="Kapatıldı","",IF('ŞİKAYET KAYIT'!B389="","",'ŞİKAYET KAYIT'!B389)),"")</f>
        <v/>
      </c>
      <c r="C389" s="26" t="str">
        <f>IFERROR(IF('ŞİKAYET KAYIT'!P389="Kapatıldı","",IF('ŞİKAYET KAYIT'!D389="","",'ŞİKAYET KAYIT'!D389)),"")</f>
        <v/>
      </c>
      <c r="D389" s="26" t="str">
        <f>IFERROR(IF('ŞİKAYET KAYIT'!P389="Kapatıldı","",IF('ŞİKAYET KAYIT'!F389="","",'ŞİKAYET KAYIT'!F389)),"")</f>
        <v/>
      </c>
      <c r="E389" s="26" t="str">
        <f>IFERROR(IF('ŞİKAYET KAYIT'!P389="Kapatıldı","",IF('ŞİKAYET KAYIT'!H389="","",'ŞİKAYET KAYIT'!H389)),"")</f>
        <v/>
      </c>
      <c r="F389" s="26" t="str">
        <f>IFERROR(IF('ŞİKAYET KAYIT'!P389="Kapatıldı","",IF('ŞİKAYET KAYIT'!I389="","",'ŞİKAYET KAYIT'!I389)),"")</f>
        <v/>
      </c>
      <c r="G389" s="26" t="str">
        <f>IFERROR(IF('ŞİKAYET KAYIT'!P389="Kapatıldı","",IF('ŞİKAYET KAYIT'!J389="","",'ŞİKAYET KAYIT'!J389)),"")</f>
        <v/>
      </c>
      <c r="H389" s="26" t="str">
        <f>IFERROR(IF('ŞİKAYET KAYIT'!P389="Kapatıldı","",IF('ŞİKAYET KAYIT'!K389="","",'ŞİKAYET KAYIT'!K389)),"")</f>
        <v/>
      </c>
      <c r="I389" s="26" t="str">
        <f>IFERROR(IF('ŞİKAYET KAYIT'!P389="Kapatıldı","",IF('ŞİKAYET KAYIT'!L389="","",'ŞİKAYET KAYIT'!L389)),"")</f>
        <v/>
      </c>
      <c r="J389" s="26" t="str">
        <f>IFERROR(IF('ŞİKAYET KAYIT'!P389="Kapatıldı","",IF('ŞİKAYET KAYIT'!M389="","",'ŞİKAYET KAYIT'!M389)),"")</f>
        <v/>
      </c>
      <c r="K389" s="26" t="str">
        <f>IFERROR(IF('ŞİKAYET KAYIT'!P389="Kapatıldı","",IF('ŞİKAYET KAYIT'!N389="","",'ŞİKAYET KAYIT'!N389)),"")</f>
        <v/>
      </c>
      <c r="L389" s="26" t="str">
        <f>IFERROR(IF('ŞİKAYET KAYIT'!P389="Kapatıldı","",IF('ŞİKAYET KAYIT'!O389="","",'ŞİKAYET KAYIT'!O389)),"")</f>
        <v/>
      </c>
      <c r="M389" s="26" t="str">
        <f>IFERROR(IF('ŞİKAYET KAYIT'!P389="Kapatıldı","",IF('ŞİKAYET KAYIT'!P389="","",'ŞİKAYET KAYIT'!P389)),"")</f>
        <v/>
      </c>
    </row>
    <row r="390" spans="1:13" ht="15" customHeight="1" x14ac:dyDescent="0.3">
      <c r="A390" s="3" t="str">
        <f>IFERROR(IF('ŞİKAYET KAYIT'!P390="Kapatıldı","",IF('ŞİKAYET KAYIT'!A390="","",'ŞİKAYET KAYIT'!A390)),"")</f>
        <v/>
      </c>
      <c r="B390" s="5" t="str">
        <f>IFERROR(IF('ŞİKAYET KAYIT'!P390="Kapatıldı","",IF('ŞİKAYET KAYIT'!B390="","",'ŞİKAYET KAYIT'!B390)),"")</f>
        <v/>
      </c>
      <c r="C390" s="3" t="str">
        <f>IFERROR(IF('ŞİKAYET KAYIT'!P390="Kapatıldı","",IF('ŞİKAYET KAYIT'!D390="","",'ŞİKAYET KAYIT'!D390)),"")</f>
        <v/>
      </c>
      <c r="D390" s="3" t="str">
        <f>IFERROR(IF('ŞİKAYET KAYIT'!P390="Kapatıldı","",IF('ŞİKAYET KAYIT'!F390="","",'ŞİKAYET KAYIT'!F390)),"")</f>
        <v/>
      </c>
      <c r="E390" s="3" t="str">
        <f>IFERROR(IF('ŞİKAYET KAYIT'!P390="Kapatıldı","",IF('ŞİKAYET KAYIT'!H390="","",'ŞİKAYET KAYIT'!H390)),"")</f>
        <v/>
      </c>
      <c r="F390" s="3" t="str">
        <f>IFERROR(IF('ŞİKAYET KAYIT'!P390="Kapatıldı","",IF('ŞİKAYET KAYIT'!I390="","",'ŞİKAYET KAYIT'!I390)),"")</f>
        <v/>
      </c>
      <c r="G390" s="3" t="str">
        <f>IFERROR(IF('ŞİKAYET KAYIT'!P390="Kapatıldı","",IF('ŞİKAYET KAYIT'!J390="","",'ŞİKAYET KAYIT'!J390)),"")</f>
        <v/>
      </c>
      <c r="H390" s="3" t="str">
        <f>IFERROR(IF('ŞİKAYET KAYIT'!P390="Kapatıldı","",IF('ŞİKAYET KAYIT'!K390="","",'ŞİKAYET KAYIT'!K390)),"")</f>
        <v/>
      </c>
      <c r="I390" s="3" t="str">
        <f>IFERROR(IF('ŞİKAYET KAYIT'!P390="Kapatıldı","",IF('ŞİKAYET KAYIT'!L390="","",'ŞİKAYET KAYIT'!L390)),"")</f>
        <v/>
      </c>
      <c r="J390" s="3" t="str">
        <f>IFERROR(IF('ŞİKAYET KAYIT'!P390="Kapatıldı","",IF('ŞİKAYET KAYIT'!M390="","",'ŞİKAYET KAYIT'!M390)),"")</f>
        <v/>
      </c>
      <c r="K390" s="3" t="str">
        <f>IFERROR(IF('ŞİKAYET KAYIT'!P390="Kapatıldı","",IF('ŞİKAYET KAYIT'!N390="","",'ŞİKAYET KAYIT'!N390)),"")</f>
        <v/>
      </c>
      <c r="L390" s="3" t="str">
        <f>IFERROR(IF('ŞİKAYET KAYIT'!P390="Kapatıldı","",IF('ŞİKAYET KAYIT'!O390="","",'ŞİKAYET KAYIT'!O390)),"")</f>
        <v/>
      </c>
      <c r="M390" s="3" t="str">
        <f>IFERROR(IF('ŞİKAYET KAYIT'!P390="Kapatıldı","",IF('ŞİKAYET KAYIT'!P390="","",'ŞİKAYET KAYIT'!P390)),"")</f>
        <v/>
      </c>
    </row>
    <row r="391" spans="1:13" ht="15" customHeight="1" x14ac:dyDescent="0.3">
      <c r="A391" s="26" t="str">
        <f>IFERROR(IF('ŞİKAYET KAYIT'!P391="Kapatıldı","",IF('ŞİKAYET KAYIT'!A391="","",'ŞİKAYET KAYIT'!A391)),"")</f>
        <v/>
      </c>
      <c r="B391" s="8" t="str">
        <f>IFERROR(IF('ŞİKAYET KAYIT'!P391="Kapatıldı","",IF('ŞİKAYET KAYIT'!B391="","",'ŞİKAYET KAYIT'!B391)),"")</f>
        <v/>
      </c>
      <c r="C391" s="26" t="str">
        <f>IFERROR(IF('ŞİKAYET KAYIT'!P391="Kapatıldı","",IF('ŞİKAYET KAYIT'!D391="","",'ŞİKAYET KAYIT'!D391)),"")</f>
        <v/>
      </c>
      <c r="D391" s="26" t="str">
        <f>IFERROR(IF('ŞİKAYET KAYIT'!P391="Kapatıldı","",IF('ŞİKAYET KAYIT'!F391="","",'ŞİKAYET KAYIT'!F391)),"")</f>
        <v/>
      </c>
      <c r="E391" s="26" t="str">
        <f>IFERROR(IF('ŞİKAYET KAYIT'!P391="Kapatıldı","",IF('ŞİKAYET KAYIT'!H391="","",'ŞİKAYET KAYIT'!H391)),"")</f>
        <v/>
      </c>
      <c r="F391" s="26" t="str">
        <f>IFERROR(IF('ŞİKAYET KAYIT'!P391="Kapatıldı","",IF('ŞİKAYET KAYIT'!I391="","",'ŞİKAYET KAYIT'!I391)),"")</f>
        <v/>
      </c>
      <c r="G391" s="26" t="str">
        <f>IFERROR(IF('ŞİKAYET KAYIT'!P391="Kapatıldı","",IF('ŞİKAYET KAYIT'!J391="","",'ŞİKAYET KAYIT'!J391)),"")</f>
        <v/>
      </c>
      <c r="H391" s="26" t="str">
        <f>IFERROR(IF('ŞİKAYET KAYIT'!P391="Kapatıldı","",IF('ŞİKAYET KAYIT'!K391="","",'ŞİKAYET KAYIT'!K391)),"")</f>
        <v/>
      </c>
      <c r="I391" s="26" t="str">
        <f>IFERROR(IF('ŞİKAYET KAYIT'!P391="Kapatıldı","",IF('ŞİKAYET KAYIT'!L391="","",'ŞİKAYET KAYIT'!L391)),"")</f>
        <v/>
      </c>
      <c r="J391" s="26" t="str">
        <f>IFERROR(IF('ŞİKAYET KAYIT'!P391="Kapatıldı","",IF('ŞİKAYET KAYIT'!M391="","",'ŞİKAYET KAYIT'!M391)),"")</f>
        <v/>
      </c>
      <c r="K391" s="26" t="str">
        <f>IFERROR(IF('ŞİKAYET KAYIT'!P391="Kapatıldı","",IF('ŞİKAYET KAYIT'!N391="","",'ŞİKAYET KAYIT'!N391)),"")</f>
        <v/>
      </c>
      <c r="L391" s="26" t="str">
        <f>IFERROR(IF('ŞİKAYET KAYIT'!P391="Kapatıldı","",IF('ŞİKAYET KAYIT'!O391="","",'ŞİKAYET KAYIT'!O391)),"")</f>
        <v/>
      </c>
      <c r="M391" s="26" t="str">
        <f>IFERROR(IF('ŞİKAYET KAYIT'!P391="Kapatıldı","",IF('ŞİKAYET KAYIT'!P391="","",'ŞİKAYET KAYIT'!P391)),"")</f>
        <v/>
      </c>
    </row>
    <row r="392" spans="1:13" ht="15" customHeight="1" x14ac:dyDescent="0.3">
      <c r="A392" s="3" t="str">
        <f>IFERROR(IF('ŞİKAYET KAYIT'!P392="Kapatıldı","",IF('ŞİKAYET KAYIT'!A392="","",'ŞİKAYET KAYIT'!A392)),"")</f>
        <v/>
      </c>
      <c r="B392" s="5" t="str">
        <f>IFERROR(IF('ŞİKAYET KAYIT'!P392="Kapatıldı","",IF('ŞİKAYET KAYIT'!B392="","",'ŞİKAYET KAYIT'!B392)),"")</f>
        <v/>
      </c>
      <c r="C392" s="3" t="str">
        <f>IFERROR(IF('ŞİKAYET KAYIT'!P392="Kapatıldı","",IF('ŞİKAYET KAYIT'!D392="","",'ŞİKAYET KAYIT'!D392)),"")</f>
        <v/>
      </c>
      <c r="D392" s="3" t="str">
        <f>IFERROR(IF('ŞİKAYET KAYIT'!P392="Kapatıldı","",IF('ŞİKAYET KAYIT'!F392="","",'ŞİKAYET KAYIT'!F392)),"")</f>
        <v/>
      </c>
      <c r="E392" s="3" t="str">
        <f>IFERROR(IF('ŞİKAYET KAYIT'!P392="Kapatıldı","",IF('ŞİKAYET KAYIT'!H392="","",'ŞİKAYET KAYIT'!H392)),"")</f>
        <v/>
      </c>
      <c r="F392" s="3" t="str">
        <f>IFERROR(IF('ŞİKAYET KAYIT'!P392="Kapatıldı","",IF('ŞİKAYET KAYIT'!I392="","",'ŞİKAYET KAYIT'!I392)),"")</f>
        <v/>
      </c>
      <c r="G392" s="3" t="str">
        <f>IFERROR(IF('ŞİKAYET KAYIT'!P392="Kapatıldı","",IF('ŞİKAYET KAYIT'!J392="","",'ŞİKAYET KAYIT'!J392)),"")</f>
        <v/>
      </c>
      <c r="H392" s="3" t="str">
        <f>IFERROR(IF('ŞİKAYET KAYIT'!P392="Kapatıldı","",IF('ŞİKAYET KAYIT'!K392="","",'ŞİKAYET KAYIT'!K392)),"")</f>
        <v/>
      </c>
      <c r="I392" s="3" t="str">
        <f>IFERROR(IF('ŞİKAYET KAYIT'!P392="Kapatıldı","",IF('ŞİKAYET KAYIT'!L392="","",'ŞİKAYET KAYIT'!L392)),"")</f>
        <v/>
      </c>
      <c r="J392" s="3" t="str">
        <f>IFERROR(IF('ŞİKAYET KAYIT'!P392="Kapatıldı","",IF('ŞİKAYET KAYIT'!M392="","",'ŞİKAYET KAYIT'!M392)),"")</f>
        <v/>
      </c>
      <c r="K392" s="3" t="str">
        <f>IFERROR(IF('ŞİKAYET KAYIT'!P392="Kapatıldı","",IF('ŞİKAYET KAYIT'!N392="","",'ŞİKAYET KAYIT'!N392)),"")</f>
        <v/>
      </c>
      <c r="L392" s="3" t="str">
        <f>IFERROR(IF('ŞİKAYET KAYIT'!P392="Kapatıldı","",IF('ŞİKAYET KAYIT'!O392="","",'ŞİKAYET KAYIT'!O392)),"")</f>
        <v/>
      </c>
      <c r="M392" s="3" t="str">
        <f>IFERROR(IF('ŞİKAYET KAYIT'!P392="Kapatıldı","",IF('ŞİKAYET KAYIT'!P392="","",'ŞİKAYET KAYIT'!P392)),"")</f>
        <v/>
      </c>
    </row>
    <row r="393" spans="1:13" ht="15" customHeight="1" x14ac:dyDescent="0.3">
      <c r="A393" s="26" t="str">
        <f>IFERROR(IF('ŞİKAYET KAYIT'!P393="Kapatıldı","",IF('ŞİKAYET KAYIT'!A393="","",'ŞİKAYET KAYIT'!A393)),"")</f>
        <v/>
      </c>
      <c r="B393" s="8" t="str">
        <f>IFERROR(IF('ŞİKAYET KAYIT'!P393="Kapatıldı","",IF('ŞİKAYET KAYIT'!B393="","",'ŞİKAYET KAYIT'!B393)),"")</f>
        <v/>
      </c>
      <c r="C393" s="26" t="str">
        <f>IFERROR(IF('ŞİKAYET KAYIT'!P393="Kapatıldı","",IF('ŞİKAYET KAYIT'!D393="","",'ŞİKAYET KAYIT'!D393)),"")</f>
        <v/>
      </c>
      <c r="D393" s="26" t="str">
        <f>IFERROR(IF('ŞİKAYET KAYIT'!P393="Kapatıldı","",IF('ŞİKAYET KAYIT'!F393="","",'ŞİKAYET KAYIT'!F393)),"")</f>
        <v/>
      </c>
      <c r="E393" s="26" t="str">
        <f>IFERROR(IF('ŞİKAYET KAYIT'!P393="Kapatıldı","",IF('ŞİKAYET KAYIT'!H393="","",'ŞİKAYET KAYIT'!H393)),"")</f>
        <v/>
      </c>
      <c r="F393" s="26" t="str">
        <f>IFERROR(IF('ŞİKAYET KAYIT'!P393="Kapatıldı","",IF('ŞİKAYET KAYIT'!I393="","",'ŞİKAYET KAYIT'!I393)),"")</f>
        <v/>
      </c>
      <c r="G393" s="26" t="str">
        <f>IFERROR(IF('ŞİKAYET KAYIT'!P393="Kapatıldı","",IF('ŞİKAYET KAYIT'!J393="","",'ŞİKAYET KAYIT'!J393)),"")</f>
        <v/>
      </c>
      <c r="H393" s="26" t="str">
        <f>IFERROR(IF('ŞİKAYET KAYIT'!P393="Kapatıldı","",IF('ŞİKAYET KAYIT'!K393="","",'ŞİKAYET KAYIT'!K393)),"")</f>
        <v/>
      </c>
      <c r="I393" s="26" t="str">
        <f>IFERROR(IF('ŞİKAYET KAYIT'!P393="Kapatıldı","",IF('ŞİKAYET KAYIT'!L393="","",'ŞİKAYET KAYIT'!L393)),"")</f>
        <v/>
      </c>
      <c r="J393" s="26" t="str">
        <f>IFERROR(IF('ŞİKAYET KAYIT'!P393="Kapatıldı","",IF('ŞİKAYET KAYIT'!M393="","",'ŞİKAYET KAYIT'!M393)),"")</f>
        <v/>
      </c>
      <c r="K393" s="26" t="str">
        <f>IFERROR(IF('ŞİKAYET KAYIT'!P393="Kapatıldı","",IF('ŞİKAYET KAYIT'!N393="","",'ŞİKAYET KAYIT'!N393)),"")</f>
        <v/>
      </c>
      <c r="L393" s="26" t="str">
        <f>IFERROR(IF('ŞİKAYET KAYIT'!P393="Kapatıldı","",IF('ŞİKAYET KAYIT'!O393="","",'ŞİKAYET KAYIT'!O393)),"")</f>
        <v/>
      </c>
      <c r="M393" s="26" t="str">
        <f>IFERROR(IF('ŞİKAYET KAYIT'!P393="Kapatıldı","",IF('ŞİKAYET KAYIT'!P393="","",'ŞİKAYET KAYIT'!P393)),"")</f>
        <v/>
      </c>
    </row>
    <row r="394" spans="1:13" ht="15" customHeight="1" x14ac:dyDescent="0.3">
      <c r="A394" s="3" t="str">
        <f>IFERROR(IF('ŞİKAYET KAYIT'!P394="Kapatıldı","",IF('ŞİKAYET KAYIT'!A394="","",'ŞİKAYET KAYIT'!A394)),"")</f>
        <v/>
      </c>
      <c r="B394" s="5" t="str">
        <f>IFERROR(IF('ŞİKAYET KAYIT'!P394="Kapatıldı","",IF('ŞİKAYET KAYIT'!B394="","",'ŞİKAYET KAYIT'!B394)),"")</f>
        <v/>
      </c>
      <c r="C394" s="3" t="str">
        <f>IFERROR(IF('ŞİKAYET KAYIT'!P394="Kapatıldı","",IF('ŞİKAYET KAYIT'!D394="","",'ŞİKAYET KAYIT'!D394)),"")</f>
        <v/>
      </c>
      <c r="D394" s="3" t="str">
        <f>IFERROR(IF('ŞİKAYET KAYIT'!P394="Kapatıldı","",IF('ŞİKAYET KAYIT'!F394="","",'ŞİKAYET KAYIT'!F394)),"")</f>
        <v/>
      </c>
      <c r="E394" s="3" t="str">
        <f>IFERROR(IF('ŞİKAYET KAYIT'!P394="Kapatıldı","",IF('ŞİKAYET KAYIT'!H394="","",'ŞİKAYET KAYIT'!H394)),"")</f>
        <v/>
      </c>
      <c r="F394" s="3" t="str">
        <f>IFERROR(IF('ŞİKAYET KAYIT'!P394="Kapatıldı","",IF('ŞİKAYET KAYIT'!I394="","",'ŞİKAYET KAYIT'!I394)),"")</f>
        <v/>
      </c>
      <c r="G394" s="3" t="str">
        <f>IFERROR(IF('ŞİKAYET KAYIT'!P394="Kapatıldı","",IF('ŞİKAYET KAYIT'!J394="","",'ŞİKAYET KAYIT'!J394)),"")</f>
        <v/>
      </c>
      <c r="H394" s="3" t="str">
        <f>IFERROR(IF('ŞİKAYET KAYIT'!P394="Kapatıldı","",IF('ŞİKAYET KAYIT'!K394="","",'ŞİKAYET KAYIT'!K394)),"")</f>
        <v/>
      </c>
      <c r="I394" s="3" t="str">
        <f>IFERROR(IF('ŞİKAYET KAYIT'!P394="Kapatıldı","",IF('ŞİKAYET KAYIT'!L394="","",'ŞİKAYET KAYIT'!L394)),"")</f>
        <v/>
      </c>
      <c r="J394" s="3" t="str">
        <f>IFERROR(IF('ŞİKAYET KAYIT'!P394="Kapatıldı","",IF('ŞİKAYET KAYIT'!M394="","",'ŞİKAYET KAYIT'!M394)),"")</f>
        <v/>
      </c>
      <c r="K394" s="3" t="str">
        <f>IFERROR(IF('ŞİKAYET KAYIT'!P394="Kapatıldı","",IF('ŞİKAYET KAYIT'!N394="","",'ŞİKAYET KAYIT'!N394)),"")</f>
        <v/>
      </c>
      <c r="L394" s="3" t="str">
        <f>IFERROR(IF('ŞİKAYET KAYIT'!P394="Kapatıldı","",IF('ŞİKAYET KAYIT'!O394="","",'ŞİKAYET KAYIT'!O394)),"")</f>
        <v/>
      </c>
      <c r="M394" s="3" t="str">
        <f>IFERROR(IF('ŞİKAYET KAYIT'!P394="Kapatıldı","",IF('ŞİKAYET KAYIT'!P394="","",'ŞİKAYET KAYIT'!P394)),"")</f>
        <v/>
      </c>
    </row>
    <row r="395" spans="1:13" ht="15" customHeight="1" x14ac:dyDescent="0.3">
      <c r="A395" s="26" t="str">
        <f>IFERROR(IF('ŞİKAYET KAYIT'!P395="Kapatıldı","",IF('ŞİKAYET KAYIT'!A395="","",'ŞİKAYET KAYIT'!A395)),"")</f>
        <v/>
      </c>
      <c r="B395" s="8" t="str">
        <f>IFERROR(IF('ŞİKAYET KAYIT'!P395="Kapatıldı","",IF('ŞİKAYET KAYIT'!B395="","",'ŞİKAYET KAYIT'!B395)),"")</f>
        <v/>
      </c>
      <c r="C395" s="26" t="str">
        <f>IFERROR(IF('ŞİKAYET KAYIT'!P395="Kapatıldı","",IF('ŞİKAYET KAYIT'!D395="","",'ŞİKAYET KAYIT'!D395)),"")</f>
        <v/>
      </c>
      <c r="D395" s="26" t="str">
        <f>IFERROR(IF('ŞİKAYET KAYIT'!P395="Kapatıldı","",IF('ŞİKAYET KAYIT'!F395="","",'ŞİKAYET KAYIT'!F395)),"")</f>
        <v/>
      </c>
      <c r="E395" s="26" t="str">
        <f>IFERROR(IF('ŞİKAYET KAYIT'!P395="Kapatıldı","",IF('ŞİKAYET KAYIT'!H395="","",'ŞİKAYET KAYIT'!H395)),"")</f>
        <v/>
      </c>
      <c r="F395" s="26" t="str">
        <f>IFERROR(IF('ŞİKAYET KAYIT'!P395="Kapatıldı","",IF('ŞİKAYET KAYIT'!I395="","",'ŞİKAYET KAYIT'!I395)),"")</f>
        <v/>
      </c>
      <c r="G395" s="26" t="str">
        <f>IFERROR(IF('ŞİKAYET KAYIT'!P395="Kapatıldı","",IF('ŞİKAYET KAYIT'!J395="","",'ŞİKAYET KAYIT'!J395)),"")</f>
        <v/>
      </c>
      <c r="H395" s="26" t="str">
        <f>IFERROR(IF('ŞİKAYET KAYIT'!P395="Kapatıldı","",IF('ŞİKAYET KAYIT'!K395="","",'ŞİKAYET KAYIT'!K395)),"")</f>
        <v/>
      </c>
      <c r="I395" s="26" t="str">
        <f>IFERROR(IF('ŞİKAYET KAYIT'!P395="Kapatıldı","",IF('ŞİKAYET KAYIT'!L395="","",'ŞİKAYET KAYIT'!L395)),"")</f>
        <v/>
      </c>
      <c r="J395" s="26" t="str">
        <f>IFERROR(IF('ŞİKAYET KAYIT'!P395="Kapatıldı","",IF('ŞİKAYET KAYIT'!M395="","",'ŞİKAYET KAYIT'!M395)),"")</f>
        <v/>
      </c>
      <c r="K395" s="26" t="str">
        <f>IFERROR(IF('ŞİKAYET KAYIT'!P395="Kapatıldı","",IF('ŞİKAYET KAYIT'!N395="","",'ŞİKAYET KAYIT'!N395)),"")</f>
        <v/>
      </c>
      <c r="L395" s="26" t="str">
        <f>IFERROR(IF('ŞİKAYET KAYIT'!P395="Kapatıldı","",IF('ŞİKAYET KAYIT'!O395="","",'ŞİKAYET KAYIT'!O395)),"")</f>
        <v/>
      </c>
      <c r="M395" s="26" t="str">
        <f>IFERROR(IF('ŞİKAYET KAYIT'!P395="Kapatıldı","",IF('ŞİKAYET KAYIT'!P395="","",'ŞİKAYET KAYIT'!P395)),"")</f>
        <v/>
      </c>
    </row>
    <row r="396" spans="1:13" ht="15" customHeight="1" x14ac:dyDescent="0.3">
      <c r="A396" s="3" t="str">
        <f>IFERROR(IF('ŞİKAYET KAYIT'!P396="Kapatıldı","",IF('ŞİKAYET KAYIT'!A396="","",'ŞİKAYET KAYIT'!A396)),"")</f>
        <v/>
      </c>
      <c r="B396" s="5" t="str">
        <f>IFERROR(IF('ŞİKAYET KAYIT'!P396="Kapatıldı","",IF('ŞİKAYET KAYIT'!B396="","",'ŞİKAYET KAYIT'!B396)),"")</f>
        <v/>
      </c>
      <c r="C396" s="3" t="str">
        <f>IFERROR(IF('ŞİKAYET KAYIT'!P396="Kapatıldı","",IF('ŞİKAYET KAYIT'!D396="","",'ŞİKAYET KAYIT'!D396)),"")</f>
        <v/>
      </c>
      <c r="D396" s="3" t="str">
        <f>IFERROR(IF('ŞİKAYET KAYIT'!P396="Kapatıldı","",IF('ŞİKAYET KAYIT'!F396="","",'ŞİKAYET KAYIT'!F396)),"")</f>
        <v/>
      </c>
      <c r="E396" s="3" t="str">
        <f>IFERROR(IF('ŞİKAYET KAYIT'!P396="Kapatıldı","",IF('ŞİKAYET KAYIT'!H396="","",'ŞİKAYET KAYIT'!H396)),"")</f>
        <v/>
      </c>
      <c r="F396" s="3" t="str">
        <f>IFERROR(IF('ŞİKAYET KAYIT'!P396="Kapatıldı","",IF('ŞİKAYET KAYIT'!I396="","",'ŞİKAYET KAYIT'!I396)),"")</f>
        <v/>
      </c>
      <c r="G396" s="3" t="str">
        <f>IFERROR(IF('ŞİKAYET KAYIT'!P396="Kapatıldı","",IF('ŞİKAYET KAYIT'!J396="","",'ŞİKAYET KAYIT'!J396)),"")</f>
        <v/>
      </c>
      <c r="H396" s="3" t="str">
        <f>IFERROR(IF('ŞİKAYET KAYIT'!P396="Kapatıldı","",IF('ŞİKAYET KAYIT'!K396="","",'ŞİKAYET KAYIT'!K396)),"")</f>
        <v/>
      </c>
      <c r="I396" s="3" t="str">
        <f>IFERROR(IF('ŞİKAYET KAYIT'!P396="Kapatıldı","",IF('ŞİKAYET KAYIT'!L396="","",'ŞİKAYET KAYIT'!L396)),"")</f>
        <v/>
      </c>
      <c r="J396" s="3" t="str">
        <f>IFERROR(IF('ŞİKAYET KAYIT'!P396="Kapatıldı","",IF('ŞİKAYET KAYIT'!M396="","",'ŞİKAYET KAYIT'!M396)),"")</f>
        <v/>
      </c>
      <c r="K396" s="3" t="str">
        <f>IFERROR(IF('ŞİKAYET KAYIT'!P396="Kapatıldı","",IF('ŞİKAYET KAYIT'!N396="","",'ŞİKAYET KAYIT'!N396)),"")</f>
        <v/>
      </c>
      <c r="L396" s="3" t="str">
        <f>IFERROR(IF('ŞİKAYET KAYIT'!P396="Kapatıldı","",IF('ŞİKAYET KAYIT'!O396="","",'ŞİKAYET KAYIT'!O396)),"")</f>
        <v/>
      </c>
      <c r="M396" s="3" t="str">
        <f>IFERROR(IF('ŞİKAYET KAYIT'!P396="Kapatıldı","",IF('ŞİKAYET KAYIT'!P396="","",'ŞİKAYET KAYIT'!P396)),"")</f>
        <v/>
      </c>
    </row>
    <row r="397" spans="1:13" ht="15" customHeight="1" x14ac:dyDescent="0.3">
      <c r="A397" s="26" t="str">
        <f>IFERROR(IF('ŞİKAYET KAYIT'!P397="Kapatıldı","",IF('ŞİKAYET KAYIT'!A397="","",'ŞİKAYET KAYIT'!A397)),"")</f>
        <v/>
      </c>
      <c r="B397" s="8" t="str">
        <f>IFERROR(IF('ŞİKAYET KAYIT'!P397="Kapatıldı","",IF('ŞİKAYET KAYIT'!B397="","",'ŞİKAYET KAYIT'!B397)),"")</f>
        <v/>
      </c>
      <c r="C397" s="26" t="str">
        <f>IFERROR(IF('ŞİKAYET KAYIT'!P397="Kapatıldı","",IF('ŞİKAYET KAYIT'!D397="","",'ŞİKAYET KAYIT'!D397)),"")</f>
        <v/>
      </c>
      <c r="D397" s="26" t="str">
        <f>IFERROR(IF('ŞİKAYET KAYIT'!P397="Kapatıldı","",IF('ŞİKAYET KAYIT'!F397="","",'ŞİKAYET KAYIT'!F397)),"")</f>
        <v/>
      </c>
      <c r="E397" s="26" t="str">
        <f>IFERROR(IF('ŞİKAYET KAYIT'!P397="Kapatıldı","",IF('ŞİKAYET KAYIT'!H397="","",'ŞİKAYET KAYIT'!H397)),"")</f>
        <v/>
      </c>
      <c r="F397" s="26" t="str">
        <f>IFERROR(IF('ŞİKAYET KAYIT'!P397="Kapatıldı","",IF('ŞİKAYET KAYIT'!I397="","",'ŞİKAYET KAYIT'!I397)),"")</f>
        <v/>
      </c>
      <c r="G397" s="26" t="str">
        <f>IFERROR(IF('ŞİKAYET KAYIT'!P397="Kapatıldı","",IF('ŞİKAYET KAYIT'!J397="","",'ŞİKAYET KAYIT'!J397)),"")</f>
        <v/>
      </c>
      <c r="H397" s="26" t="str">
        <f>IFERROR(IF('ŞİKAYET KAYIT'!P397="Kapatıldı","",IF('ŞİKAYET KAYIT'!K397="","",'ŞİKAYET KAYIT'!K397)),"")</f>
        <v/>
      </c>
      <c r="I397" s="26" t="str">
        <f>IFERROR(IF('ŞİKAYET KAYIT'!P397="Kapatıldı","",IF('ŞİKAYET KAYIT'!L397="","",'ŞİKAYET KAYIT'!L397)),"")</f>
        <v/>
      </c>
      <c r="J397" s="26" t="str">
        <f>IFERROR(IF('ŞİKAYET KAYIT'!P397="Kapatıldı","",IF('ŞİKAYET KAYIT'!M397="","",'ŞİKAYET KAYIT'!M397)),"")</f>
        <v/>
      </c>
      <c r="K397" s="26" t="str">
        <f>IFERROR(IF('ŞİKAYET KAYIT'!P397="Kapatıldı","",IF('ŞİKAYET KAYIT'!N397="","",'ŞİKAYET KAYIT'!N397)),"")</f>
        <v/>
      </c>
      <c r="L397" s="26" t="str">
        <f>IFERROR(IF('ŞİKAYET KAYIT'!P397="Kapatıldı","",IF('ŞİKAYET KAYIT'!O397="","",'ŞİKAYET KAYIT'!O397)),"")</f>
        <v/>
      </c>
      <c r="M397" s="26" t="str">
        <f>IFERROR(IF('ŞİKAYET KAYIT'!P397="Kapatıldı","",IF('ŞİKAYET KAYIT'!P397="","",'ŞİKAYET KAYIT'!P397)),"")</f>
        <v/>
      </c>
    </row>
    <row r="398" spans="1:13" ht="15" customHeight="1" x14ac:dyDescent="0.3">
      <c r="A398" s="3" t="str">
        <f>IFERROR(IF('ŞİKAYET KAYIT'!P398="Kapatıldı","",IF('ŞİKAYET KAYIT'!A398="","",'ŞİKAYET KAYIT'!A398)),"")</f>
        <v/>
      </c>
      <c r="B398" s="5" t="str">
        <f>IFERROR(IF('ŞİKAYET KAYIT'!P398="Kapatıldı","",IF('ŞİKAYET KAYIT'!B398="","",'ŞİKAYET KAYIT'!B398)),"")</f>
        <v/>
      </c>
      <c r="C398" s="3" t="str">
        <f>IFERROR(IF('ŞİKAYET KAYIT'!P398="Kapatıldı","",IF('ŞİKAYET KAYIT'!D398="","",'ŞİKAYET KAYIT'!D398)),"")</f>
        <v/>
      </c>
      <c r="D398" s="3" t="str">
        <f>IFERROR(IF('ŞİKAYET KAYIT'!P398="Kapatıldı","",IF('ŞİKAYET KAYIT'!F398="","",'ŞİKAYET KAYIT'!F398)),"")</f>
        <v/>
      </c>
      <c r="E398" s="3" t="str">
        <f>IFERROR(IF('ŞİKAYET KAYIT'!P398="Kapatıldı","",IF('ŞİKAYET KAYIT'!H398="","",'ŞİKAYET KAYIT'!H398)),"")</f>
        <v/>
      </c>
      <c r="F398" s="3" t="str">
        <f>IFERROR(IF('ŞİKAYET KAYIT'!P398="Kapatıldı","",IF('ŞİKAYET KAYIT'!I398="","",'ŞİKAYET KAYIT'!I398)),"")</f>
        <v/>
      </c>
      <c r="G398" s="3" t="str">
        <f>IFERROR(IF('ŞİKAYET KAYIT'!P398="Kapatıldı","",IF('ŞİKAYET KAYIT'!J398="","",'ŞİKAYET KAYIT'!J398)),"")</f>
        <v/>
      </c>
      <c r="H398" s="3" t="str">
        <f>IFERROR(IF('ŞİKAYET KAYIT'!P398="Kapatıldı","",IF('ŞİKAYET KAYIT'!K398="","",'ŞİKAYET KAYIT'!K398)),"")</f>
        <v/>
      </c>
      <c r="I398" s="3" t="str">
        <f>IFERROR(IF('ŞİKAYET KAYIT'!P398="Kapatıldı","",IF('ŞİKAYET KAYIT'!L398="","",'ŞİKAYET KAYIT'!L398)),"")</f>
        <v/>
      </c>
      <c r="J398" s="3" t="str">
        <f>IFERROR(IF('ŞİKAYET KAYIT'!P398="Kapatıldı","",IF('ŞİKAYET KAYIT'!M398="","",'ŞİKAYET KAYIT'!M398)),"")</f>
        <v/>
      </c>
      <c r="K398" s="3" t="str">
        <f>IFERROR(IF('ŞİKAYET KAYIT'!P398="Kapatıldı","",IF('ŞİKAYET KAYIT'!N398="","",'ŞİKAYET KAYIT'!N398)),"")</f>
        <v/>
      </c>
      <c r="L398" s="3" t="str">
        <f>IFERROR(IF('ŞİKAYET KAYIT'!P398="Kapatıldı","",IF('ŞİKAYET KAYIT'!O398="","",'ŞİKAYET KAYIT'!O398)),"")</f>
        <v/>
      </c>
      <c r="M398" s="3" t="str">
        <f>IFERROR(IF('ŞİKAYET KAYIT'!P398="Kapatıldı","",IF('ŞİKAYET KAYIT'!P398="","",'ŞİKAYET KAYIT'!P398)),"")</f>
        <v/>
      </c>
    </row>
    <row r="399" spans="1:13" ht="15" customHeight="1" x14ac:dyDescent="0.3">
      <c r="A399" s="26" t="str">
        <f>IFERROR(IF('ŞİKAYET KAYIT'!P399="Kapatıldı","",IF('ŞİKAYET KAYIT'!A399="","",'ŞİKAYET KAYIT'!A399)),"")</f>
        <v/>
      </c>
      <c r="B399" s="8" t="str">
        <f>IFERROR(IF('ŞİKAYET KAYIT'!P399="Kapatıldı","",IF('ŞİKAYET KAYIT'!B399="","",'ŞİKAYET KAYIT'!B399)),"")</f>
        <v/>
      </c>
      <c r="C399" s="26" t="str">
        <f>IFERROR(IF('ŞİKAYET KAYIT'!P399="Kapatıldı","",IF('ŞİKAYET KAYIT'!D399="","",'ŞİKAYET KAYIT'!D399)),"")</f>
        <v/>
      </c>
      <c r="D399" s="26" t="str">
        <f>IFERROR(IF('ŞİKAYET KAYIT'!P399="Kapatıldı","",IF('ŞİKAYET KAYIT'!F399="","",'ŞİKAYET KAYIT'!F399)),"")</f>
        <v/>
      </c>
      <c r="E399" s="26" t="str">
        <f>IFERROR(IF('ŞİKAYET KAYIT'!P399="Kapatıldı","",IF('ŞİKAYET KAYIT'!H399="","",'ŞİKAYET KAYIT'!H399)),"")</f>
        <v/>
      </c>
      <c r="F399" s="26" t="str">
        <f>IFERROR(IF('ŞİKAYET KAYIT'!P399="Kapatıldı","",IF('ŞİKAYET KAYIT'!I399="","",'ŞİKAYET KAYIT'!I399)),"")</f>
        <v/>
      </c>
      <c r="G399" s="26" t="str">
        <f>IFERROR(IF('ŞİKAYET KAYIT'!P399="Kapatıldı","",IF('ŞİKAYET KAYIT'!J399="","",'ŞİKAYET KAYIT'!J399)),"")</f>
        <v/>
      </c>
      <c r="H399" s="26" t="str">
        <f>IFERROR(IF('ŞİKAYET KAYIT'!P399="Kapatıldı","",IF('ŞİKAYET KAYIT'!K399="","",'ŞİKAYET KAYIT'!K399)),"")</f>
        <v/>
      </c>
      <c r="I399" s="26" t="str">
        <f>IFERROR(IF('ŞİKAYET KAYIT'!P399="Kapatıldı","",IF('ŞİKAYET KAYIT'!L399="","",'ŞİKAYET KAYIT'!L399)),"")</f>
        <v/>
      </c>
      <c r="J399" s="26" t="str">
        <f>IFERROR(IF('ŞİKAYET KAYIT'!P399="Kapatıldı","",IF('ŞİKAYET KAYIT'!M399="","",'ŞİKAYET KAYIT'!M399)),"")</f>
        <v/>
      </c>
      <c r="K399" s="26" t="str">
        <f>IFERROR(IF('ŞİKAYET KAYIT'!P399="Kapatıldı","",IF('ŞİKAYET KAYIT'!N399="","",'ŞİKAYET KAYIT'!N399)),"")</f>
        <v/>
      </c>
      <c r="L399" s="26" t="str">
        <f>IFERROR(IF('ŞİKAYET KAYIT'!P399="Kapatıldı","",IF('ŞİKAYET KAYIT'!O399="","",'ŞİKAYET KAYIT'!O399)),"")</f>
        <v/>
      </c>
      <c r="M399" s="26" t="str">
        <f>IFERROR(IF('ŞİKAYET KAYIT'!P399="Kapatıldı","",IF('ŞİKAYET KAYIT'!P399="","",'ŞİKAYET KAYIT'!P399)),"")</f>
        <v/>
      </c>
    </row>
    <row r="400" spans="1:13" ht="15" customHeight="1" x14ac:dyDescent="0.3">
      <c r="A400" s="3" t="str">
        <f>IFERROR(IF('ŞİKAYET KAYIT'!P400="Kapatıldı","",IF('ŞİKAYET KAYIT'!A400="","",'ŞİKAYET KAYIT'!A400)),"")</f>
        <v/>
      </c>
      <c r="B400" s="5" t="str">
        <f>IFERROR(IF('ŞİKAYET KAYIT'!P400="Kapatıldı","",IF('ŞİKAYET KAYIT'!B400="","",'ŞİKAYET KAYIT'!B400)),"")</f>
        <v/>
      </c>
      <c r="C400" s="3" t="str">
        <f>IFERROR(IF('ŞİKAYET KAYIT'!P400="Kapatıldı","",IF('ŞİKAYET KAYIT'!D400="","",'ŞİKAYET KAYIT'!D400)),"")</f>
        <v/>
      </c>
      <c r="D400" s="3" t="str">
        <f>IFERROR(IF('ŞİKAYET KAYIT'!P400="Kapatıldı","",IF('ŞİKAYET KAYIT'!F400="","",'ŞİKAYET KAYIT'!F400)),"")</f>
        <v/>
      </c>
      <c r="E400" s="3" t="str">
        <f>IFERROR(IF('ŞİKAYET KAYIT'!P400="Kapatıldı","",IF('ŞİKAYET KAYIT'!H400="","",'ŞİKAYET KAYIT'!H400)),"")</f>
        <v/>
      </c>
      <c r="F400" s="3" t="str">
        <f>IFERROR(IF('ŞİKAYET KAYIT'!P400="Kapatıldı","",IF('ŞİKAYET KAYIT'!I400="","",'ŞİKAYET KAYIT'!I400)),"")</f>
        <v/>
      </c>
      <c r="G400" s="3" t="str">
        <f>IFERROR(IF('ŞİKAYET KAYIT'!P400="Kapatıldı","",IF('ŞİKAYET KAYIT'!J400="","",'ŞİKAYET KAYIT'!J400)),"")</f>
        <v/>
      </c>
      <c r="H400" s="3" t="str">
        <f>IFERROR(IF('ŞİKAYET KAYIT'!P400="Kapatıldı","",IF('ŞİKAYET KAYIT'!K400="","",'ŞİKAYET KAYIT'!K400)),"")</f>
        <v/>
      </c>
      <c r="I400" s="3" t="str">
        <f>IFERROR(IF('ŞİKAYET KAYIT'!P400="Kapatıldı","",IF('ŞİKAYET KAYIT'!L400="","",'ŞİKAYET KAYIT'!L400)),"")</f>
        <v/>
      </c>
      <c r="J400" s="3" t="str">
        <f>IFERROR(IF('ŞİKAYET KAYIT'!P400="Kapatıldı","",IF('ŞİKAYET KAYIT'!M400="","",'ŞİKAYET KAYIT'!M400)),"")</f>
        <v/>
      </c>
      <c r="K400" s="3" t="str">
        <f>IFERROR(IF('ŞİKAYET KAYIT'!P400="Kapatıldı","",IF('ŞİKAYET KAYIT'!N400="","",'ŞİKAYET KAYIT'!N400)),"")</f>
        <v/>
      </c>
      <c r="L400" s="3" t="str">
        <f>IFERROR(IF('ŞİKAYET KAYIT'!P400="Kapatıldı","",IF('ŞİKAYET KAYIT'!O400="","",'ŞİKAYET KAYIT'!O400)),"")</f>
        <v/>
      </c>
      <c r="M400" s="3" t="str">
        <f>IFERROR(IF('ŞİKAYET KAYIT'!P400="Kapatıldı","",IF('ŞİKAYET KAYIT'!P400="","",'ŞİKAYET KAYIT'!P400)),"")</f>
        <v/>
      </c>
    </row>
    <row r="401" spans="1:13" ht="15" customHeight="1" x14ac:dyDescent="0.3">
      <c r="A401" s="26" t="str">
        <f>IFERROR(IF('ŞİKAYET KAYIT'!P401="Kapatıldı","",IF('ŞİKAYET KAYIT'!A401="","",'ŞİKAYET KAYIT'!A401)),"")</f>
        <v/>
      </c>
      <c r="B401" s="8" t="str">
        <f>IFERROR(IF('ŞİKAYET KAYIT'!P401="Kapatıldı","",IF('ŞİKAYET KAYIT'!B401="","",'ŞİKAYET KAYIT'!B401)),"")</f>
        <v/>
      </c>
      <c r="C401" s="26" t="str">
        <f>IFERROR(IF('ŞİKAYET KAYIT'!P401="Kapatıldı","",IF('ŞİKAYET KAYIT'!D401="","",'ŞİKAYET KAYIT'!D401)),"")</f>
        <v/>
      </c>
      <c r="D401" s="26" t="str">
        <f>IFERROR(IF('ŞİKAYET KAYIT'!P401="Kapatıldı","",IF('ŞİKAYET KAYIT'!F401="","",'ŞİKAYET KAYIT'!F401)),"")</f>
        <v/>
      </c>
      <c r="E401" s="26" t="str">
        <f>IFERROR(IF('ŞİKAYET KAYIT'!P401="Kapatıldı","",IF('ŞİKAYET KAYIT'!H401="","",'ŞİKAYET KAYIT'!H401)),"")</f>
        <v/>
      </c>
      <c r="F401" s="26" t="str">
        <f>IFERROR(IF('ŞİKAYET KAYIT'!P401="Kapatıldı","",IF('ŞİKAYET KAYIT'!I401="","",'ŞİKAYET KAYIT'!I401)),"")</f>
        <v/>
      </c>
      <c r="G401" s="26" t="str">
        <f>IFERROR(IF('ŞİKAYET KAYIT'!P401="Kapatıldı","",IF('ŞİKAYET KAYIT'!J401="","",'ŞİKAYET KAYIT'!J401)),"")</f>
        <v/>
      </c>
      <c r="H401" s="26" t="str">
        <f>IFERROR(IF('ŞİKAYET KAYIT'!P401="Kapatıldı","",IF('ŞİKAYET KAYIT'!K401="","",'ŞİKAYET KAYIT'!K401)),"")</f>
        <v/>
      </c>
      <c r="I401" s="26" t="str">
        <f>IFERROR(IF('ŞİKAYET KAYIT'!P401="Kapatıldı","",IF('ŞİKAYET KAYIT'!L401="","",'ŞİKAYET KAYIT'!L401)),"")</f>
        <v/>
      </c>
      <c r="J401" s="26" t="str">
        <f>IFERROR(IF('ŞİKAYET KAYIT'!P401="Kapatıldı","",IF('ŞİKAYET KAYIT'!M401="","",'ŞİKAYET KAYIT'!M401)),"")</f>
        <v/>
      </c>
      <c r="K401" s="26" t="str">
        <f>IFERROR(IF('ŞİKAYET KAYIT'!P401="Kapatıldı","",IF('ŞİKAYET KAYIT'!N401="","",'ŞİKAYET KAYIT'!N401)),"")</f>
        <v/>
      </c>
      <c r="L401" s="26" t="str">
        <f>IFERROR(IF('ŞİKAYET KAYIT'!P401="Kapatıldı","",IF('ŞİKAYET KAYIT'!O401="","",'ŞİKAYET KAYIT'!O401)),"")</f>
        <v/>
      </c>
      <c r="M401" s="26" t="str">
        <f>IFERROR(IF('ŞİKAYET KAYIT'!P401="Kapatıldı","",IF('ŞİKAYET KAYIT'!P401="","",'ŞİKAYET KAYIT'!P401)),"")</f>
        <v/>
      </c>
    </row>
    <row r="402" spans="1:13" ht="15" customHeight="1" x14ac:dyDescent="0.3">
      <c r="A402" s="3" t="str">
        <f>IFERROR(IF('ŞİKAYET KAYIT'!P402="Kapatıldı","",IF('ŞİKAYET KAYIT'!A402="","",'ŞİKAYET KAYIT'!A402)),"")</f>
        <v/>
      </c>
      <c r="B402" s="5" t="str">
        <f>IFERROR(IF('ŞİKAYET KAYIT'!P402="Kapatıldı","",IF('ŞİKAYET KAYIT'!B402="","",'ŞİKAYET KAYIT'!B402)),"")</f>
        <v/>
      </c>
      <c r="C402" s="3" t="str">
        <f>IFERROR(IF('ŞİKAYET KAYIT'!P402="Kapatıldı","",IF('ŞİKAYET KAYIT'!D402="","",'ŞİKAYET KAYIT'!D402)),"")</f>
        <v/>
      </c>
      <c r="D402" s="3" t="str">
        <f>IFERROR(IF('ŞİKAYET KAYIT'!P402="Kapatıldı","",IF('ŞİKAYET KAYIT'!F402="","",'ŞİKAYET KAYIT'!F402)),"")</f>
        <v/>
      </c>
      <c r="E402" s="3" t="str">
        <f>IFERROR(IF('ŞİKAYET KAYIT'!P402="Kapatıldı","",IF('ŞİKAYET KAYIT'!H402="","",'ŞİKAYET KAYIT'!H402)),"")</f>
        <v/>
      </c>
      <c r="F402" s="3" t="str">
        <f>IFERROR(IF('ŞİKAYET KAYIT'!P402="Kapatıldı","",IF('ŞİKAYET KAYIT'!I402="","",'ŞİKAYET KAYIT'!I402)),"")</f>
        <v/>
      </c>
      <c r="G402" s="3" t="str">
        <f>IFERROR(IF('ŞİKAYET KAYIT'!P402="Kapatıldı","",IF('ŞİKAYET KAYIT'!J402="","",'ŞİKAYET KAYIT'!J402)),"")</f>
        <v/>
      </c>
      <c r="H402" s="3" t="str">
        <f>IFERROR(IF('ŞİKAYET KAYIT'!P402="Kapatıldı","",IF('ŞİKAYET KAYIT'!K402="","",'ŞİKAYET KAYIT'!K402)),"")</f>
        <v/>
      </c>
      <c r="I402" s="3" t="str">
        <f>IFERROR(IF('ŞİKAYET KAYIT'!P402="Kapatıldı","",IF('ŞİKAYET KAYIT'!L402="","",'ŞİKAYET KAYIT'!L402)),"")</f>
        <v/>
      </c>
      <c r="J402" s="3" t="str">
        <f>IFERROR(IF('ŞİKAYET KAYIT'!P402="Kapatıldı","",IF('ŞİKAYET KAYIT'!M402="","",'ŞİKAYET KAYIT'!M402)),"")</f>
        <v/>
      </c>
      <c r="K402" s="3" t="str">
        <f>IFERROR(IF('ŞİKAYET KAYIT'!P402="Kapatıldı","",IF('ŞİKAYET KAYIT'!N402="","",'ŞİKAYET KAYIT'!N402)),"")</f>
        <v/>
      </c>
      <c r="L402" s="3" t="str">
        <f>IFERROR(IF('ŞİKAYET KAYIT'!P402="Kapatıldı","",IF('ŞİKAYET KAYIT'!O402="","",'ŞİKAYET KAYIT'!O402)),"")</f>
        <v/>
      </c>
      <c r="M402" s="3" t="str">
        <f>IFERROR(IF('ŞİKAYET KAYIT'!P402="Kapatıldı","",IF('ŞİKAYET KAYIT'!P402="","",'ŞİKAYET KAYIT'!P402)),"")</f>
        <v/>
      </c>
    </row>
    <row r="403" spans="1:13" ht="15" customHeight="1" x14ac:dyDescent="0.3">
      <c r="A403" s="26" t="str">
        <f>IFERROR(IF('ŞİKAYET KAYIT'!P403="Kapatıldı","",IF('ŞİKAYET KAYIT'!A403="","",'ŞİKAYET KAYIT'!A403)),"")</f>
        <v/>
      </c>
      <c r="B403" s="8" t="str">
        <f>IFERROR(IF('ŞİKAYET KAYIT'!P403="Kapatıldı","",IF('ŞİKAYET KAYIT'!B403="","",'ŞİKAYET KAYIT'!B403)),"")</f>
        <v/>
      </c>
      <c r="C403" s="26" t="str">
        <f>IFERROR(IF('ŞİKAYET KAYIT'!P403="Kapatıldı","",IF('ŞİKAYET KAYIT'!D403="","",'ŞİKAYET KAYIT'!D403)),"")</f>
        <v/>
      </c>
      <c r="D403" s="26" t="str">
        <f>IFERROR(IF('ŞİKAYET KAYIT'!P403="Kapatıldı","",IF('ŞİKAYET KAYIT'!F403="","",'ŞİKAYET KAYIT'!F403)),"")</f>
        <v/>
      </c>
      <c r="E403" s="26" t="str">
        <f>IFERROR(IF('ŞİKAYET KAYIT'!P403="Kapatıldı","",IF('ŞİKAYET KAYIT'!H403="","",'ŞİKAYET KAYIT'!H403)),"")</f>
        <v/>
      </c>
      <c r="F403" s="26" t="str">
        <f>IFERROR(IF('ŞİKAYET KAYIT'!P403="Kapatıldı","",IF('ŞİKAYET KAYIT'!I403="","",'ŞİKAYET KAYIT'!I403)),"")</f>
        <v/>
      </c>
      <c r="G403" s="26" t="str">
        <f>IFERROR(IF('ŞİKAYET KAYIT'!P403="Kapatıldı","",IF('ŞİKAYET KAYIT'!J403="","",'ŞİKAYET KAYIT'!J403)),"")</f>
        <v/>
      </c>
      <c r="H403" s="26" t="str">
        <f>IFERROR(IF('ŞİKAYET KAYIT'!P403="Kapatıldı","",IF('ŞİKAYET KAYIT'!K403="","",'ŞİKAYET KAYIT'!K403)),"")</f>
        <v/>
      </c>
      <c r="I403" s="26" t="str">
        <f>IFERROR(IF('ŞİKAYET KAYIT'!P403="Kapatıldı","",IF('ŞİKAYET KAYIT'!L403="","",'ŞİKAYET KAYIT'!L403)),"")</f>
        <v/>
      </c>
      <c r="J403" s="26" t="str">
        <f>IFERROR(IF('ŞİKAYET KAYIT'!P403="Kapatıldı","",IF('ŞİKAYET KAYIT'!M403="","",'ŞİKAYET KAYIT'!M403)),"")</f>
        <v/>
      </c>
      <c r="K403" s="26" t="str">
        <f>IFERROR(IF('ŞİKAYET KAYIT'!P403="Kapatıldı","",IF('ŞİKAYET KAYIT'!N403="","",'ŞİKAYET KAYIT'!N403)),"")</f>
        <v/>
      </c>
      <c r="L403" s="26" t="str">
        <f>IFERROR(IF('ŞİKAYET KAYIT'!P403="Kapatıldı","",IF('ŞİKAYET KAYIT'!O403="","",'ŞİKAYET KAYIT'!O403)),"")</f>
        <v/>
      </c>
      <c r="M403" s="26" t="str">
        <f>IFERROR(IF('ŞİKAYET KAYIT'!P403="Kapatıldı","",IF('ŞİKAYET KAYIT'!P403="","",'ŞİKAYET KAYIT'!P403)),"")</f>
        <v/>
      </c>
    </row>
    <row r="404" spans="1:13" ht="15" customHeight="1" x14ac:dyDescent="0.3">
      <c r="A404" s="3" t="str">
        <f>IFERROR(IF('ŞİKAYET KAYIT'!P404="Kapatıldı","",IF('ŞİKAYET KAYIT'!A404="","",'ŞİKAYET KAYIT'!A404)),"")</f>
        <v/>
      </c>
      <c r="B404" s="5" t="str">
        <f>IFERROR(IF('ŞİKAYET KAYIT'!P404="Kapatıldı","",IF('ŞİKAYET KAYIT'!B404="","",'ŞİKAYET KAYIT'!B404)),"")</f>
        <v/>
      </c>
      <c r="C404" s="3" t="str">
        <f>IFERROR(IF('ŞİKAYET KAYIT'!P404="Kapatıldı","",IF('ŞİKAYET KAYIT'!D404="","",'ŞİKAYET KAYIT'!D404)),"")</f>
        <v/>
      </c>
      <c r="D404" s="3" t="str">
        <f>IFERROR(IF('ŞİKAYET KAYIT'!P404="Kapatıldı","",IF('ŞİKAYET KAYIT'!F404="","",'ŞİKAYET KAYIT'!F404)),"")</f>
        <v/>
      </c>
      <c r="E404" s="3" t="str">
        <f>IFERROR(IF('ŞİKAYET KAYIT'!P404="Kapatıldı","",IF('ŞİKAYET KAYIT'!H404="","",'ŞİKAYET KAYIT'!H404)),"")</f>
        <v/>
      </c>
      <c r="F404" s="3" t="str">
        <f>IFERROR(IF('ŞİKAYET KAYIT'!P404="Kapatıldı","",IF('ŞİKAYET KAYIT'!I404="","",'ŞİKAYET KAYIT'!I404)),"")</f>
        <v/>
      </c>
      <c r="G404" s="3" t="str">
        <f>IFERROR(IF('ŞİKAYET KAYIT'!P404="Kapatıldı","",IF('ŞİKAYET KAYIT'!J404="","",'ŞİKAYET KAYIT'!J404)),"")</f>
        <v/>
      </c>
      <c r="H404" s="3" t="str">
        <f>IFERROR(IF('ŞİKAYET KAYIT'!P404="Kapatıldı","",IF('ŞİKAYET KAYIT'!K404="","",'ŞİKAYET KAYIT'!K404)),"")</f>
        <v/>
      </c>
      <c r="I404" s="3" t="str">
        <f>IFERROR(IF('ŞİKAYET KAYIT'!P404="Kapatıldı","",IF('ŞİKAYET KAYIT'!L404="","",'ŞİKAYET KAYIT'!L404)),"")</f>
        <v/>
      </c>
      <c r="J404" s="3" t="str">
        <f>IFERROR(IF('ŞİKAYET KAYIT'!P404="Kapatıldı","",IF('ŞİKAYET KAYIT'!M404="","",'ŞİKAYET KAYIT'!M404)),"")</f>
        <v/>
      </c>
      <c r="K404" s="3" t="str">
        <f>IFERROR(IF('ŞİKAYET KAYIT'!P404="Kapatıldı","",IF('ŞİKAYET KAYIT'!N404="","",'ŞİKAYET KAYIT'!N404)),"")</f>
        <v/>
      </c>
      <c r="L404" s="3" t="str">
        <f>IFERROR(IF('ŞİKAYET KAYIT'!P404="Kapatıldı","",IF('ŞİKAYET KAYIT'!O404="","",'ŞİKAYET KAYIT'!O404)),"")</f>
        <v/>
      </c>
      <c r="M404" s="3" t="str">
        <f>IFERROR(IF('ŞİKAYET KAYIT'!P404="Kapatıldı","",IF('ŞİKAYET KAYIT'!P404="","",'ŞİKAYET KAYIT'!P404)),"")</f>
        <v/>
      </c>
    </row>
    <row r="405" spans="1:13" ht="15" customHeight="1" x14ac:dyDescent="0.3">
      <c r="A405" s="26" t="str">
        <f>IFERROR(IF('ŞİKAYET KAYIT'!P405="Kapatıldı","",IF('ŞİKAYET KAYIT'!A405="","",'ŞİKAYET KAYIT'!A405)),"")</f>
        <v/>
      </c>
      <c r="B405" s="8" t="str">
        <f>IFERROR(IF('ŞİKAYET KAYIT'!P405="Kapatıldı","",IF('ŞİKAYET KAYIT'!B405="","",'ŞİKAYET KAYIT'!B405)),"")</f>
        <v/>
      </c>
      <c r="C405" s="26" t="str">
        <f>IFERROR(IF('ŞİKAYET KAYIT'!P405="Kapatıldı","",IF('ŞİKAYET KAYIT'!D405="","",'ŞİKAYET KAYIT'!D405)),"")</f>
        <v/>
      </c>
      <c r="D405" s="26" t="str">
        <f>IFERROR(IF('ŞİKAYET KAYIT'!P405="Kapatıldı","",IF('ŞİKAYET KAYIT'!F405="","",'ŞİKAYET KAYIT'!F405)),"")</f>
        <v/>
      </c>
      <c r="E405" s="26" t="str">
        <f>IFERROR(IF('ŞİKAYET KAYIT'!P405="Kapatıldı","",IF('ŞİKAYET KAYIT'!H405="","",'ŞİKAYET KAYIT'!H405)),"")</f>
        <v/>
      </c>
      <c r="F405" s="26" t="str">
        <f>IFERROR(IF('ŞİKAYET KAYIT'!P405="Kapatıldı","",IF('ŞİKAYET KAYIT'!I405="","",'ŞİKAYET KAYIT'!I405)),"")</f>
        <v/>
      </c>
      <c r="G405" s="26" t="str">
        <f>IFERROR(IF('ŞİKAYET KAYIT'!P405="Kapatıldı","",IF('ŞİKAYET KAYIT'!J405="","",'ŞİKAYET KAYIT'!J405)),"")</f>
        <v/>
      </c>
      <c r="H405" s="26" t="str">
        <f>IFERROR(IF('ŞİKAYET KAYIT'!P405="Kapatıldı","",IF('ŞİKAYET KAYIT'!K405="","",'ŞİKAYET KAYIT'!K405)),"")</f>
        <v/>
      </c>
      <c r="I405" s="26" t="str">
        <f>IFERROR(IF('ŞİKAYET KAYIT'!P405="Kapatıldı","",IF('ŞİKAYET KAYIT'!L405="","",'ŞİKAYET KAYIT'!L405)),"")</f>
        <v/>
      </c>
      <c r="J405" s="26" t="str">
        <f>IFERROR(IF('ŞİKAYET KAYIT'!P405="Kapatıldı","",IF('ŞİKAYET KAYIT'!M405="","",'ŞİKAYET KAYIT'!M405)),"")</f>
        <v/>
      </c>
      <c r="K405" s="26" t="str">
        <f>IFERROR(IF('ŞİKAYET KAYIT'!P405="Kapatıldı","",IF('ŞİKAYET KAYIT'!N405="","",'ŞİKAYET KAYIT'!N405)),"")</f>
        <v/>
      </c>
      <c r="L405" s="26" t="str">
        <f>IFERROR(IF('ŞİKAYET KAYIT'!P405="Kapatıldı","",IF('ŞİKAYET KAYIT'!O405="","",'ŞİKAYET KAYIT'!O405)),"")</f>
        <v/>
      </c>
      <c r="M405" s="26" t="str">
        <f>IFERROR(IF('ŞİKAYET KAYIT'!P405="Kapatıldı","",IF('ŞİKAYET KAYIT'!P405="","",'ŞİKAYET KAYIT'!P405)),"")</f>
        <v/>
      </c>
    </row>
    <row r="406" spans="1:13" ht="15" customHeight="1" x14ac:dyDescent="0.3">
      <c r="A406" s="3" t="str">
        <f>IFERROR(IF('ŞİKAYET KAYIT'!P406="Kapatıldı","",IF('ŞİKAYET KAYIT'!A406="","",'ŞİKAYET KAYIT'!A406)),"")</f>
        <v/>
      </c>
      <c r="B406" s="5" t="str">
        <f>IFERROR(IF('ŞİKAYET KAYIT'!P406="Kapatıldı","",IF('ŞİKAYET KAYIT'!B406="","",'ŞİKAYET KAYIT'!B406)),"")</f>
        <v/>
      </c>
      <c r="C406" s="3" t="str">
        <f>IFERROR(IF('ŞİKAYET KAYIT'!P406="Kapatıldı","",IF('ŞİKAYET KAYIT'!D406="","",'ŞİKAYET KAYIT'!D406)),"")</f>
        <v/>
      </c>
      <c r="D406" s="3" t="str">
        <f>IFERROR(IF('ŞİKAYET KAYIT'!P406="Kapatıldı","",IF('ŞİKAYET KAYIT'!F406="","",'ŞİKAYET KAYIT'!F406)),"")</f>
        <v/>
      </c>
      <c r="E406" s="3" t="str">
        <f>IFERROR(IF('ŞİKAYET KAYIT'!P406="Kapatıldı","",IF('ŞİKAYET KAYIT'!H406="","",'ŞİKAYET KAYIT'!H406)),"")</f>
        <v/>
      </c>
      <c r="F406" s="3" t="str">
        <f>IFERROR(IF('ŞİKAYET KAYIT'!P406="Kapatıldı","",IF('ŞİKAYET KAYIT'!I406="","",'ŞİKAYET KAYIT'!I406)),"")</f>
        <v/>
      </c>
      <c r="G406" s="3" t="str">
        <f>IFERROR(IF('ŞİKAYET KAYIT'!P406="Kapatıldı","",IF('ŞİKAYET KAYIT'!J406="","",'ŞİKAYET KAYIT'!J406)),"")</f>
        <v/>
      </c>
      <c r="H406" s="3" t="str">
        <f>IFERROR(IF('ŞİKAYET KAYIT'!P406="Kapatıldı","",IF('ŞİKAYET KAYIT'!K406="","",'ŞİKAYET KAYIT'!K406)),"")</f>
        <v/>
      </c>
      <c r="I406" s="3" t="str">
        <f>IFERROR(IF('ŞİKAYET KAYIT'!P406="Kapatıldı","",IF('ŞİKAYET KAYIT'!L406="","",'ŞİKAYET KAYIT'!L406)),"")</f>
        <v/>
      </c>
      <c r="J406" s="3" t="str">
        <f>IFERROR(IF('ŞİKAYET KAYIT'!P406="Kapatıldı","",IF('ŞİKAYET KAYIT'!M406="","",'ŞİKAYET KAYIT'!M406)),"")</f>
        <v/>
      </c>
      <c r="K406" s="3" t="str">
        <f>IFERROR(IF('ŞİKAYET KAYIT'!P406="Kapatıldı","",IF('ŞİKAYET KAYIT'!N406="","",'ŞİKAYET KAYIT'!N406)),"")</f>
        <v/>
      </c>
      <c r="L406" s="3" t="str">
        <f>IFERROR(IF('ŞİKAYET KAYIT'!P406="Kapatıldı","",IF('ŞİKAYET KAYIT'!O406="","",'ŞİKAYET KAYIT'!O406)),"")</f>
        <v/>
      </c>
      <c r="M406" s="3" t="str">
        <f>IFERROR(IF('ŞİKAYET KAYIT'!P406="Kapatıldı","",IF('ŞİKAYET KAYIT'!P406="","",'ŞİKAYET KAYIT'!P406)),"")</f>
        <v/>
      </c>
    </row>
    <row r="407" spans="1:13" ht="15" customHeight="1" x14ac:dyDescent="0.3">
      <c r="A407" s="26" t="str">
        <f>IFERROR(IF('ŞİKAYET KAYIT'!P407="Kapatıldı","",IF('ŞİKAYET KAYIT'!A407="","",'ŞİKAYET KAYIT'!A407)),"")</f>
        <v/>
      </c>
      <c r="B407" s="8" t="str">
        <f>IFERROR(IF('ŞİKAYET KAYIT'!P407="Kapatıldı","",IF('ŞİKAYET KAYIT'!B407="","",'ŞİKAYET KAYIT'!B407)),"")</f>
        <v/>
      </c>
      <c r="C407" s="26" t="str">
        <f>IFERROR(IF('ŞİKAYET KAYIT'!P407="Kapatıldı","",IF('ŞİKAYET KAYIT'!D407="","",'ŞİKAYET KAYIT'!D407)),"")</f>
        <v/>
      </c>
      <c r="D407" s="26" t="str">
        <f>IFERROR(IF('ŞİKAYET KAYIT'!P407="Kapatıldı","",IF('ŞİKAYET KAYIT'!F407="","",'ŞİKAYET KAYIT'!F407)),"")</f>
        <v/>
      </c>
      <c r="E407" s="26" t="str">
        <f>IFERROR(IF('ŞİKAYET KAYIT'!P407="Kapatıldı","",IF('ŞİKAYET KAYIT'!H407="","",'ŞİKAYET KAYIT'!H407)),"")</f>
        <v/>
      </c>
      <c r="F407" s="26" t="str">
        <f>IFERROR(IF('ŞİKAYET KAYIT'!P407="Kapatıldı","",IF('ŞİKAYET KAYIT'!I407="","",'ŞİKAYET KAYIT'!I407)),"")</f>
        <v/>
      </c>
      <c r="G407" s="26" t="str">
        <f>IFERROR(IF('ŞİKAYET KAYIT'!P407="Kapatıldı","",IF('ŞİKAYET KAYIT'!J407="","",'ŞİKAYET KAYIT'!J407)),"")</f>
        <v/>
      </c>
      <c r="H407" s="26" t="str">
        <f>IFERROR(IF('ŞİKAYET KAYIT'!P407="Kapatıldı","",IF('ŞİKAYET KAYIT'!K407="","",'ŞİKAYET KAYIT'!K407)),"")</f>
        <v/>
      </c>
      <c r="I407" s="26" t="str">
        <f>IFERROR(IF('ŞİKAYET KAYIT'!P407="Kapatıldı","",IF('ŞİKAYET KAYIT'!L407="","",'ŞİKAYET KAYIT'!L407)),"")</f>
        <v/>
      </c>
      <c r="J407" s="26" t="str">
        <f>IFERROR(IF('ŞİKAYET KAYIT'!P407="Kapatıldı","",IF('ŞİKAYET KAYIT'!M407="","",'ŞİKAYET KAYIT'!M407)),"")</f>
        <v/>
      </c>
      <c r="K407" s="26" t="str">
        <f>IFERROR(IF('ŞİKAYET KAYIT'!P407="Kapatıldı","",IF('ŞİKAYET KAYIT'!N407="","",'ŞİKAYET KAYIT'!N407)),"")</f>
        <v/>
      </c>
      <c r="L407" s="26" t="str">
        <f>IFERROR(IF('ŞİKAYET KAYIT'!P407="Kapatıldı","",IF('ŞİKAYET KAYIT'!O407="","",'ŞİKAYET KAYIT'!O407)),"")</f>
        <v/>
      </c>
      <c r="M407" s="26" t="str">
        <f>IFERROR(IF('ŞİKAYET KAYIT'!P407="Kapatıldı","",IF('ŞİKAYET KAYIT'!P407="","",'ŞİKAYET KAYIT'!P407)),"")</f>
        <v/>
      </c>
    </row>
    <row r="408" spans="1:13" ht="15" customHeight="1" x14ac:dyDescent="0.3">
      <c r="A408" s="3" t="str">
        <f>IFERROR(IF('ŞİKAYET KAYIT'!P408="Kapatıldı","",IF('ŞİKAYET KAYIT'!A408="","",'ŞİKAYET KAYIT'!A408)),"")</f>
        <v/>
      </c>
      <c r="B408" s="5" t="str">
        <f>IFERROR(IF('ŞİKAYET KAYIT'!P408="Kapatıldı","",IF('ŞİKAYET KAYIT'!B408="","",'ŞİKAYET KAYIT'!B408)),"")</f>
        <v/>
      </c>
      <c r="C408" s="3" t="str">
        <f>IFERROR(IF('ŞİKAYET KAYIT'!P408="Kapatıldı","",IF('ŞİKAYET KAYIT'!D408="","",'ŞİKAYET KAYIT'!D408)),"")</f>
        <v/>
      </c>
      <c r="D408" s="3" t="str">
        <f>IFERROR(IF('ŞİKAYET KAYIT'!P408="Kapatıldı","",IF('ŞİKAYET KAYIT'!F408="","",'ŞİKAYET KAYIT'!F408)),"")</f>
        <v/>
      </c>
      <c r="E408" s="3" t="str">
        <f>IFERROR(IF('ŞİKAYET KAYIT'!P408="Kapatıldı","",IF('ŞİKAYET KAYIT'!H408="","",'ŞİKAYET KAYIT'!H408)),"")</f>
        <v/>
      </c>
      <c r="F408" s="3" t="str">
        <f>IFERROR(IF('ŞİKAYET KAYIT'!P408="Kapatıldı","",IF('ŞİKAYET KAYIT'!I408="","",'ŞİKAYET KAYIT'!I408)),"")</f>
        <v/>
      </c>
      <c r="G408" s="3" t="str">
        <f>IFERROR(IF('ŞİKAYET KAYIT'!P408="Kapatıldı","",IF('ŞİKAYET KAYIT'!J408="","",'ŞİKAYET KAYIT'!J408)),"")</f>
        <v/>
      </c>
      <c r="H408" s="3" t="str">
        <f>IFERROR(IF('ŞİKAYET KAYIT'!P408="Kapatıldı","",IF('ŞİKAYET KAYIT'!K408="","",'ŞİKAYET KAYIT'!K408)),"")</f>
        <v/>
      </c>
      <c r="I408" s="3" t="str">
        <f>IFERROR(IF('ŞİKAYET KAYIT'!P408="Kapatıldı","",IF('ŞİKAYET KAYIT'!L408="","",'ŞİKAYET KAYIT'!L408)),"")</f>
        <v/>
      </c>
      <c r="J408" s="3" t="str">
        <f>IFERROR(IF('ŞİKAYET KAYIT'!P408="Kapatıldı","",IF('ŞİKAYET KAYIT'!M408="","",'ŞİKAYET KAYIT'!M408)),"")</f>
        <v/>
      </c>
      <c r="K408" s="3" t="str">
        <f>IFERROR(IF('ŞİKAYET KAYIT'!P408="Kapatıldı","",IF('ŞİKAYET KAYIT'!N408="","",'ŞİKAYET KAYIT'!N408)),"")</f>
        <v/>
      </c>
      <c r="L408" s="3" t="str">
        <f>IFERROR(IF('ŞİKAYET KAYIT'!P408="Kapatıldı","",IF('ŞİKAYET KAYIT'!O408="","",'ŞİKAYET KAYIT'!O408)),"")</f>
        <v/>
      </c>
      <c r="M408" s="3" t="str">
        <f>IFERROR(IF('ŞİKAYET KAYIT'!P408="Kapatıldı","",IF('ŞİKAYET KAYIT'!P408="","",'ŞİKAYET KAYIT'!P408)),"")</f>
        <v/>
      </c>
    </row>
    <row r="409" spans="1:13" ht="15" customHeight="1" x14ac:dyDescent="0.3">
      <c r="A409" s="26" t="str">
        <f>IFERROR(IF('ŞİKAYET KAYIT'!P409="Kapatıldı","",IF('ŞİKAYET KAYIT'!A409="","",'ŞİKAYET KAYIT'!A409)),"")</f>
        <v/>
      </c>
      <c r="B409" s="8" t="str">
        <f>IFERROR(IF('ŞİKAYET KAYIT'!P409="Kapatıldı","",IF('ŞİKAYET KAYIT'!B409="","",'ŞİKAYET KAYIT'!B409)),"")</f>
        <v/>
      </c>
      <c r="C409" s="26" t="str">
        <f>IFERROR(IF('ŞİKAYET KAYIT'!P409="Kapatıldı","",IF('ŞİKAYET KAYIT'!D409="","",'ŞİKAYET KAYIT'!D409)),"")</f>
        <v/>
      </c>
      <c r="D409" s="26" t="str">
        <f>IFERROR(IF('ŞİKAYET KAYIT'!P409="Kapatıldı","",IF('ŞİKAYET KAYIT'!F409="","",'ŞİKAYET KAYIT'!F409)),"")</f>
        <v/>
      </c>
      <c r="E409" s="26" t="str">
        <f>IFERROR(IF('ŞİKAYET KAYIT'!P409="Kapatıldı","",IF('ŞİKAYET KAYIT'!H409="","",'ŞİKAYET KAYIT'!H409)),"")</f>
        <v/>
      </c>
      <c r="F409" s="26" t="str">
        <f>IFERROR(IF('ŞİKAYET KAYIT'!P409="Kapatıldı","",IF('ŞİKAYET KAYIT'!I409="","",'ŞİKAYET KAYIT'!I409)),"")</f>
        <v/>
      </c>
      <c r="G409" s="26" t="str">
        <f>IFERROR(IF('ŞİKAYET KAYIT'!P409="Kapatıldı","",IF('ŞİKAYET KAYIT'!J409="","",'ŞİKAYET KAYIT'!J409)),"")</f>
        <v/>
      </c>
      <c r="H409" s="26" t="str">
        <f>IFERROR(IF('ŞİKAYET KAYIT'!P409="Kapatıldı","",IF('ŞİKAYET KAYIT'!K409="","",'ŞİKAYET KAYIT'!K409)),"")</f>
        <v/>
      </c>
      <c r="I409" s="26" t="str">
        <f>IFERROR(IF('ŞİKAYET KAYIT'!P409="Kapatıldı","",IF('ŞİKAYET KAYIT'!L409="","",'ŞİKAYET KAYIT'!L409)),"")</f>
        <v/>
      </c>
      <c r="J409" s="26" t="str">
        <f>IFERROR(IF('ŞİKAYET KAYIT'!P409="Kapatıldı","",IF('ŞİKAYET KAYIT'!M409="","",'ŞİKAYET KAYIT'!M409)),"")</f>
        <v/>
      </c>
      <c r="K409" s="26" t="str">
        <f>IFERROR(IF('ŞİKAYET KAYIT'!P409="Kapatıldı","",IF('ŞİKAYET KAYIT'!N409="","",'ŞİKAYET KAYIT'!N409)),"")</f>
        <v/>
      </c>
      <c r="L409" s="26" t="str">
        <f>IFERROR(IF('ŞİKAYET KAYIT'!P409="Kapatıldı","",IF('ŞİKAYET KAYIT'!O409="","",'ŞİKAYET KAYIT'!O409)),"")</f>
        <v/>
      </c>
      <c r="M409" s="26" t="str">
        <f>IFERROR(IF('ŞİKAYET KAYIT'!P409="Kapatıldı","",IF('ŞİKAYET KAYIT'!P409="","",'ŞİKAYET KAYIT'!P409)),"")</f>
        <v/>
      </c>
    </row>
    <row r="410" spans="1:13" ht="15" customHeight="1" x14ac:dyDescent="0.3">
      <c r="A410" s="3" t="str">
        <f>IFERROR(IF('ŞİKAYET KAYIT'!P410="Kapatıldı","",IF('ŞİKAYET KAYIT'!A410="","",'ŞİKAYET KAYIT'!A410)),"")</f>
        <v/>
      </c>
      <c r="B410" s="5" t="str">
        <f>IFERROR(IF('ŞİKAYET KAYIT'!P410="Kapatıldı","",IF('ŞİKAYET KAYIT'!B410="","",'ŞİKAYET KAYIT'!B410)),"")</f>
        <v/>
      </c>
      <c r="C410" s="3" t="str">
        <f>IFERROR(IF('ŞİKAYET KAYIT'!P410="Kapatıldı","",IF('ŞİKAYET KAYIT'!D410="","",'ŞİKAYET KAYIT'!D410)),"")</f>
        <v/>
      </c>
      <c r="D410" s="3" t="str">
        <f>IFERROR(IF('ŞİKAYET KAYIT'!P410="Kapatıldı","",IF('ŞİKAYET KAYIT'!F410="","",'ŞİKAYET KAYIT'!F410)),"")</f>
        <v/>
      </c>
      <c r="E410" s="3" t="str">
        <f>IFERROR(IF('ŞİKAYET KAYIT'!P410="Kapatıldı","",IF('ŞİKAYET KAYIT'!H410="","",'ŞİKAYET KAYIT'!H410)),"")</f>
        <v/>
      </c>
      <c r="F410" s="3" t="str">
        <f>IFERROR(IF('ŞİKAYET KAYIT'!P410="Kapatıldı","",IF('ŞİKAYET KAYIT'!I410="","",'ŞİKAYET KAYIT'!I410)),"")</f>
        <v/>
      </c>
      <c r="G410" s="3" t="str">
        <f>IFERROR(IF('ŞİKAYET KAYIT'!P410="Kapatıldı","",IF('ŞİKAYET KAYIT'!J410="","",'ŞİKAYET KAYIT'!J410)),"")</f>
        <v/>
      </c>
      <c r="H410" s="3" t="str">
        <f>IFERROR(IF('ŞİKAYET KAYIT'!P410="Kapatıldı","",IF('ŞİKAYET KAYIT'!K410="","",'ŞİKAYET KAYIT'!K410)),"")</f>
        <v/>
      </c>
      <c r="I410" s="3" t="str">
        <f>IFERROR(IF('ŞİKAYET KAYIT'!P410="Kapatıldı","",IF('ŞİKAYET KAYIT'!L410="","",'ŞİKAYET KAYIT'!L410)),"")</f>
        <v/>
      </c>
      <c r="J410" s="3" t="str">
        <f>IFERROR(IF('ŞİKAYET KAYIT'!P410="Kapatıldı","",IF('ŞİKAYET KAYIT'!M410="","",'ŞİKAYET KAYIT'!M410)),"")</f>
        <v/>
      </c>
      <c r="K410" s="3" t="str">
        <f>IFERROR(IF('ŞİKAYET KAYIT'!P410="Kapatıldı","",IF('ŞİKAYET KAYIT'!N410="","",'ŞİKAYET KAYIT'!N410)),"")</f>
        <v/>
      </c>
      <c r="L410" s="3" t="str">
        <f>IFERROR(IF('ŞİKAYET KAYIT'!P410="Kapatıldı","",IF('ŞİKAYET KAYIT'!O410="","",'ŞİKAYET KAYIT'!O410)),"")</f>
        <v/>
      </c>
      <c r="M410" s="3" t="str">
        <f>IFERROR(IF('ŞİKAYET KAYIT'!P410="Kapatıldı","",IF('ŞİKAYET KAYIT'!P410="","",'ŞİKAYET KAYIT'!P410)),"")</f>
        <v/>
      </c>
    </row>
    <row r="411" spans="1:13" ht="15" customHeight="1" x14ac:dyDescent="0.3">
      <c r="A411" s="26" t="str">
        <f>IFERROR(IF('ŞİKAYET KAYIT'!P411="Kapatıldı","",IF('ŞİKAYET KAYIT'!A411="","",'ŞİKAYET KAYIT'!A411)),"")</f>
        <v/>
      </c>
      <c r="B411" s="8" t="str">
        <f>IFERROR(IF('ŞİKAYET KAYIT'!P411="Kapatıldı","",IF('ŞİKAYET KAYIT'!B411="","",'ŞİKAYET KAYIT'!B411)),"")</f>
        <v/>
      </c>
      <c r="C411" s="26" t="str">
        <f>IFERROR(IF('ŞİKAYET KAYIT'!P411="Kapatıldı","",IF('ŞİKAYET KAYIT'!D411="","",'ŞİKAYET KAYIT'!D411)),"")</f>
        <v/>
      </c>
      <c r="D411" s="26" t="str">
        <f>IFERROR(IF('ŞİKAYET KAYIT'!P411="Kapatıldı","",IF('ŞİKAYET KAYIT'!F411="","",'ŞİKAYET KAYIT'!F411)),"")</f>
        <v/>
      </c>
      <c r="E411" s="26" t="str">
        <f>IFERROR(IF('ŞİKAYET KAYIT'!P411="Kapatıldı","",IF('ŞİKAYET KAYIT'!H411="","",'ŞİKAYET KAYIT'!H411)),"")</f>
        <v/>
      </c>
      <c r="F411" s="26" t="str">
        <f>IFERROR(IF('ŞİKAYET KAYIT'!P411="Kapatıldı","",IF('ŞİKAYET KAYIT'!I411="","",'ŞİKAYET KAYIT'!I411)),"")</f>
        <v/>
      </c>
      <c r="G411" s="26" t="str">
        <f>IFERROR(IF('ŞİKAYET KAYIT'!P411="Kapatıldı","",IF('ŞİKAYET KAYIT'!J411="","",'ŞİKAYET KAYIT'!J411)),"")</f>
        <v/>
      </c>
      <c r="H411" s="26" t="str">
        <f>IFERROR(IF('ŞİKAYET KAYIT'!P411="Kapatıldı","",IF('ŞİKAYET KAYIT'!K411="","",'ŞİKAYET KAYIT'!K411)),"")</f>
        <v/>
      </c>
      <c r="I411" s="26" t="str">
        <f>IFERROR(IF('ŞİKAYET KAYIT'!P411="Kapatıldı","",IF('ŞİKAYET KAYIT'!L411="","",'ŞİKAYET KAYIT'!L411)),"")</f>
        <v/>
      </c>
      <c r="J411" s="26" t="str">
        <f>IFERROR(IF('ŞİKAYET KAYIT'!P411="Kapatıldı","",IF('ŞİKAYET KAYIT'!M411="","",'ŞİKAYET KAYIT'!M411)),"")</f>
        <v/>
      </c>
      <c r="K411" s="26" t="str">
        <f>IFERROR(IF('ŞİKAYET KAYIT'!P411="Kapatıldı","",IF('ŞİKAYET KAYIT'!N411="","",'ŞİKAYET KAYIT'!N411)),"")</f>
        <v/>
      </c>
      <c r="L411" s="26" t="str">
        <f>IFERROR(IF('ŞİKAYET KAYIT'!P411="Kapatıldı","",IF('ŞİKAYET KAYIT'!O411="","",'ŞİKAYET KAYIT'!O411)),"")</f>
        <v/>
      </c>
      <c r="M411" s="26" t="str">
        <f>IFERROR(IF('ŞİKAYET KAYIT'!P411="Kapatıldı","",IF('ŞİKAYET KAYIT'!P411="","",'ŞİKAYET KAYIT'!P411)),"")</f>
        <v/>
      </c>
    </row>
    <row r="412" spans="1:13" ht="15" customHeight="1" x14ac:dyDescent="0.3">
      <c r="A412" s="3" t="str">
        <f>IFERROR(IF('ŞİKAYET KAYIT'!P412="Kapatıldı","",IF('ŞİKAYET KAYIT'!A412="","",'ŞİKAYET KAYIT'!A412)),"")</f>
        <v/>
      </c>
      <c r="B412" s="5" t="str">
        <f>IFERROR(IF('ŞİKAYET KAYIT'!P412="Kapatıldı","",IF('ŞİKAYET KAYIT'!B412="","",'ŞİKAYET KAYIT'!B412)),"")</f>
        <v/>
      </c>
      <c r="C412" s="3" t="str">
        <f>IFERROR(IF('ŞİKAYET KAYIT'!P412="Kapatıldı","",IF('ŞİKAYET KAYIT'!D412="","",'ŞİKAYET KAYIT'!D412)),"")</f>
        <v/>
      </c>
      <c r="D412" s="3" t="str">
        <f>IFERROR(IF('ŞİKAYET KAYIT'!P412="Kapatıldı","",IF('ŞİKAYET KAYIT'!F412="","",'ŞİKAYET KAYIT'!F412)),"")</f>
        <v/>
      </c>
      <c r="E412" s="3" t="str">
        <f>IFERROR(IF('ŞİKAYET KAYIT'!P412="Kapatıldı","",IF('ŞİKAYET KAYIT'!H412="","",'ŞİKAYET KAYIT'!H412)),"")</f>
        <v/>
      </c>
      <c r="F412" s="3" t="str">
        <f>IFERROR(IF('ŞİKAYET KAYIT'!P412="Kapatıldı","",IF('ŞİKAYET KAYIT'!I412="","",'ŞİKAYET KAYIT'!I412)),"")</f>
        <v/>
      </c>
      <c r="G412" s="3" t="str">
        <f>IFERROR(IF('ŞİKAYET KAYIT'!P412="Kapatıldı","",IF('ŞİKAYET KAYIT'!J412="","",'ŞİKAYET KAYIT'!J412)),"")</f>
        <v/>
      </c>
      <c r="H412" s="3" t="str">
        <f>IFERROR(IF('ŞİKAYET KAYIT'!P412="Kapatıldı","",IF('ŞİKAYET KAYIT'!K412="","",'ŞİKAYET KAYIT'!K412)),"")</f>
        <v/>
      </c>
      <c r="I412" s="3" t="str">
        <f>IFERROR(IF('ŞİKAYET KAYIT'!P412="Kapatıldı","",IF('ŞİKAYET KAYIT'!L412="","",'ŞİKAYET KAYIT'!L412)),"")</f>
        <v/>
      </c>
      <c r="J412" s="3" t="str">
        <f>IFERROR(IF('ŞİKAYET KAYIT'!P412="Kapatıldı","",IF('ŞİKAYET KAYIT'!M412="","",'ŞİKAYET KAYIT'!M412)),"")</f>
        <v/>
      </c>
      <c r="K412" s="3" t="str">
        <f>IFERROR(IF('ŞİKAYET KAYIT'!P412="Kapatıldı","",IF('ŞİKAYET KAYIT'!N412="","",'ŞİKAYET KAYIT'!N412)),"")</f>
        <v/>
      </c>
      <c r="L412" s="3" t="str">
        <f>IFERROR(IF('ŞİKAYET KAYIT'!P412="Kapatıldı","",IF('ŞİKAYET KAYIT'!O412="","",'ŞİKAYET KAYIT'!O412)),"")</f>
        <v/>
      </c>
      <c r="M412" s="3" t="str">
        <f>IFERROR(IF('ŞİKAYET KAYIT'!P412="Kapatıldı","",IF('ŞİKAYET KAYIT'!P412="","",'ŞİKAYET KAYIT'!P412)),"")</f>
        <v/>
      </c>
    </row>
    <row r="413" spans="1:13" ht="15" customHeight="1" x14ac:dyDescent="0.3">
      <c r="A413" s="26" t="str">
        <f>IFERROR(IF('ŞİKAYET KAYIT'!P413="Kapatıldı","",IF('ŞİKAYET KAYIT'!A413="","",'ŞİKAYET KAYIT'!A413)),"")</f>
        <v/>
      </c>
      <c r="B413" s="8" t="str">
        <f>IFERROR(IF('ŞİKAYET KAYIT'!P413="Kapatıldı","",IF('ŞİKAYET KAYIT'!B413="","",'ŞİKAYET KAYIT'!B413)),"")</f>
        <v/>
      </c>
      <c r="C413" s="26" t="str">
        <f>IFERROR(IF('ŞİKAYET KAYIT'!P413="Kapatıldı","",IF('ŞİKAYET KAYIT'!D413="","",'ŞİKAYET KAYIT'!D413)),"")</f>
        <v/>
      </c>
      <c r="D413" s="26" t="str">
        <f>IFERROR(IF('ŞİKAYET KAYIT'!P413="Kapatıldı","",IF('ŞİKAYET KAYIT'!F413="","",'ŞİKAYET KAYIT'!F413)),"")</f>
        <v/>
      </c>
      <c r="E413" s="26" t="str">
        <f>IFERROR(IF('ŞİKAYET KAYIT'!P413="Kapatıldı","",IF('ŞİKAYET KAYIT'!H413="","",'ŞİKAYET KAYIT'!H413)),"")</f>
        <v/>
      </c>
      <c r="F413" s="26" t="str">
        <f>IFERROR(IF('ŞİKAYET KAYIT'!P413="Kapatıldı","",IF('ŞİKAYET KAYIT'!I413="","",'ŞİKAYET KAYIT'!I413)),"")</f>
        <v/>
      </c>
      <c r="G413" s="26" t="str">
        <f>IFERROR(IF('ŞİKAYET KAYIT'!P413="Kapatıldı","",IF('ŞİKAYET KAYIT'!J413="","",'ŞİKAYET KAYIT'!J413)),"")</f>
        <v/>
      </c>
      <c r="H413" s="26" t="str">
        <f>IFERROR(IF('ŞİKAYET KAYIT'!P413="Kapatıldı","",IF('ŞİKAYET KAYIT'!K413="","",'ŞİKAYET KAYIT'!K413)),"")</f>
        <v/>
      </c>
      <c r="I413" s="26" t="str">
        <f>IFERROR(IF('ŞİKAYET KAYIT'!P413="Kapatıldı","",IF('ŞİKAYET KAYIT'!L413="","",'ŞİKAYET KAYIT'!L413)),"")</f>
        <v/>
      </c>
      <c r="J413" s="26" t="str">
        <f>IFERROR(IF('ŞİKAYET KAYIT'!P413="Kapatıldı","",IF('ŞİKAYET KAYIT'!M413="","",'ŞİKAYET KAYIT'!M413)),"")</f>
        <v/>
      </c>
      <c r="K413" s="26" t="str">
        <f>IFERROR(IF('ŞİKAYET KAYIT'!P413="Kapatıldı","",IF('ŞİKAYET KAYIT'!N413="","",'ŞİKAYET KAYIT'!N413)),"")</f>
        <v/>
      </c>
      <c r="L413" s="26" t="str">
        <f>IFERROR(IF('ŞİKAYET KAYIT'!P413="Kapatıldı","",IF('ŞİKAYET KAYIT'!O413="","",'ŞİKAYET KAYIT'!O413)),"")</f>
        <v/>
      </c>
      <c r="M413" s="26" t="str">
        <f>IFERROR(IF('ŞİKAYET KAYIT'!P413="Kapatıldı","",IF('ŞİKAYET KAYIT'!P413="","",'ŞİKAYET KAYIT'!P413)),"")</f>
        <v/>
      </c>
    </row>
    <row r="414" spans="1:13" ht="15" customHeight="1" x14ac:dyDescent="0.3">
      <c r="A414" s="3" t="str">
        <f>IFERROR(IF('ŞİKAYET KAYIT'!P414="Kapatıldı","",IF('ŞİKAYET KAYIT'!A414="","",'ŞİKAYET KAYIT'!A414)),"")</f>
        <v/>
      </c>
      <c r="B414" s="5" t="str">
        <f>IFERROR(IF('ŞİKAYET KAYIT'!P414="Kapatıldı","",IF('ŞİKAYET KAYIT'!B414="","",'ŞİKAYET KAYIT'!B414)),"")</f>
        <v/>
      </c>
      <c r="C414" s="3" t="str">
        <f>IFERROR(IF('ŞİKAYET KAYIT'!P414="Kapatıldı","",IF('ŞİKAYET KAYIT'!D414="","",'ŞİKAYET KAYIT'!D414)),"")</f>
        <v/>
      </c>
      <c r="D414" s="3" t="str">
        <f>IFERROR(IF('ŞİKAYET KAYIT'!P414="Kapatıldı","",IF('ŞİKAYET KAYIT'!F414="","",'ŞİKAYET KAYIT'!F414)),"")</f>
        <v/>
      </c>
      <c r="E414" s="3" t="str">
        <f>IFERROR(IF('ŞİKAYET KAYIT'!P414="Kapatıldı","",IF('ŞİKAYET KAYIT'!H414="","",'ŞİKAYET KAYIT'!H414)),"")</f>
        <v/>
      </c>
      <c r="F414" s="3" t="str">
        <f>IFERROR(IF('ŞİKAYET KAYIT'!P414="Kapatıldı","",IF('ŞİKAYET KAYIT'!I414="","",'ŞİKAYET KAYIT'!I414)),"")</f>
        <v/>
      </c>
      <c r="G414" s="3" t="str">
        <f>IFERROR(IF('ŞİKAYET KAYIT'!P414="Kapatıldı","",IF('ŞİKAYET KAYIT'!J414="","",'ŞİKAYET KAYIT'!J414)),"")</f>
        <v/>
      </c>
      <c r="H414" s="3" t="str">
        <f>IFERROR(IF('ŞİKAYET KAYIT'!P414="Kapatıldı","",IF('ŞİKAYET KAYIT'!K414="","",'ŞİKAYET KAYIT'!K414)),"")</f>
        <v/>
      </c>
      <c r="I414" s="3" t="str">
        <f>IFERROR(IF('ŞİKAYET KAYIT'!P414="Kapatıldı","",IF('ŞİKAYET KAYIT'!L414="","",'ŞİKAYET KAYIT'!L414)),"")</f>
        <v/>
      </c>
      <c r="J414" s="3" t="str">
        <f>IFERROR(IF('ŞİKAYET KAYIT'!P414="Kapatıldı","",IF('ŞİKAYET KAYIT'!M414="","",'ŞİKAYET KAYIT'!M414)),"")</f>
        <v/>
      </c>
      <c r="K414" s="3" t="str">
        <f>IFERROR(IF('ŞİKAYET KAYIT'!P414="Kapatıldı","",IF('ŞİKAYET KAYIT'!N414="","",'ŞİKAYET KAYIT'!N414)),"")</f>
        <v/>
      </c>
      <c r="L414" s="3" t="str">
        <f>IFERROR(IF('ŞİKAYET KAYIT'!P414="Kapatıldı","",IF('ŞİKAYET KAYIT'!O414="","",'ŞİKAYET KAYIT'!O414)),"")</f>
        <v/>
      </c>
      <c r="M414" s="3" t="str">
        <f>IFERROR(IF('ŞİKAYET KAYIT'!P414="Kapatıldı","",IF('ŞİKAYET KAYIT'!P414="","",'ŞİKAYET KAYIT'!P414)),"")</f>
        <v/>
      </c>
    </row>
    <row r="415" spans="1:13" ht="15" customHeight="1" x14ac:dyDescent="0.3">
      <c r="A415" s="26" t="str">
        <f>IFERROR(IF('ŞİKAYET KAYIT'!P415="Kapatıldı","",IF('ŞİKAYET KAYIT'!A415="","",'ŞİKAYET KAYIT'!A415)),"")</f>
        <v/>
      </c>
      <c r="B415" s="8" t="str">
        <f>IFERROR(IF('ŞİKAYET KAYIT'!P415="Kapatıldı","",IF('ŞİKAYET KAYIT'!B415="","",'ŞİKAYET KAYIT'!B415)),"")</f>
        <v/>
      </c>
      <c r="C415" s="26" t="str">
        <f>IFERROR(IF('ŞİKAYET KAYIT'!P415="Kapatıldı","",IF('ŞİKAYET KAYIT'!D415="","",'ŞİKAYET KAYIT'!D415)),"")</f>
        <v/>
      </c>
      <c r="D415" s="26" t="str">
        <f>IFERROR(IF('ŞİKAYET KAYIT'!P415="Kapatıldı","",IF('ŞİKAYET KAYIT'!F415="","",'ŞİKAYET KAYIT'!F415)),"")</f>
        <v/>
      </c>
      <c r="E415" s="26" t="str">
        <f>IFERROR(IF('ŞİKAYET KAYIT'!P415="Kapatıldı","",IF('ŞİKAYET KAYIT'!H415="","",'ŞİKAYET KAYIT'!H415)),"")</f>
        <v/>
      </c>
      <c r="F415" s="26" t="str">
        <f>IFERROR(IF('ŞİKAYET KAYIT'!P415="Kapatıldı","",IF('ŞİKAYET KAYIT'!I415="","",'ŞİKAYET KAYIT'!I415)),"")</f>
        <v/>
      </c>
      <c r="G415" s="26" t="str">
        <f>IFERROR(IF('ŞİKAYET KAYIT'!P415="Kapatıldı","",IF('ŞİKAYET KAYIT'!J415="","",'ŞİKAYET KAYIT'!J415)),"")</f>
        <v/>
      </c>
      <c r="H415" s="26" t="str">
        <f>IFERROR(IF('ŞİKAYET KAYIT'!P415="Kapatıldı","",IF('ŞİKAYET KAYIT'!K415="","",'ŞİKAYET KAYIT'!K415)),"")</f>
        <v/>
      </c>
      <c r="I415" s="26" t="str">
        <f>IFERROR(IF('ŞİKAYET KAYIT'!P415="Kapatıldı","",IF('ŞİKAYET KAYIT'!L415="","",'ŞİKAYET KAYIT'!L415)),"")</f>
        <v/>
      </c>
      <c r="J415" s="26" t="str">
        <f>IFERROR(IF('ŞİKAYET KAYIT'!P415="Kapatıldı","",IF('ŞİKAYET KAYIT'!M415="","",'ŞİKAYET KAYIT'!M415)),"")</f>
        <v/>
      </c>
      <c r="K415" s="26" t="str">
        <f>IFERROR(IF('ŞİKAYET KAYIT'!P415="Kapatıldı","",IF('ŞİKAYET KAYIT'!N415="","",'ŞİKAYET KAYIT'!N415)),"")</f>
        <v/>
      </c>
      <c r="L415" s="26" t="str">
        <f>IFERROR(IF('ŞİKAYET KAYIT'!P415="Kapatıldı","",IF('ŞİKAYET KAYIT'!O415="","",'ŞİKAYET KAYIT'!O415)),"")</f>
        <v/>
      </c>
      <c r="M415" s="26" t="str">
        <f>IFERROR(IF('ŞİKAYET KAYIT'!P415="Kapatıldı","",IF('ŞİKAYET KAYIT'!P415="","",'ŞİKAYET KAYIT'!P415)),"")</f>
        <v/>
      </c>
    </row>
    <row r="416" spans="1:13" ht="15" customHeight="1" x14ac:dyDescent="0.3">
      <c r="A416" s="3" t="str">
        <f>IFERROR(IF('ŞİKAYET KAYIT'!P416="Kapatıldı","",IF('ŞİKAYET KAYIT'!A416="","",'ŞİKAYET KAYIT'!A416)),"")</f>
        <v/>
      </c>
      <c r="B416" s="5" t="str">
        <f>IFERROR(IF('ŞİKAYET KAYIT'!P416="Kapatıldı","",IF('ŞİKAYET KAYIT'!B416="","",'ŞİKAYET KAYIT'!B416)),"")</f>
        <v/>
      </c>
      <c r="C416" s="3" t="str">
        <f>IFERROR(IF('ŞİKAYET KAYIT'!P416="Kapatıldı","",IF('ŞİKAYET KAYIT'!D416="","",'ŞİKAYET KAYIT'!D416)),"")</f>
        <v/>
      </c>
      <c r="D416" s="3" t="str">
        <f>IFERROR(IF('ŞİKAYET KAYIT'!P416="Kapatıldı","",IF('ŞİKAYET KAYIT'!F416="","",'ŞİKAYET KAYIT'!F416)),"")</f>
        <v/>
      </c>
      <c r="E416" s="3" t="str">
        <f>IFERROR(IF('ŞİKAYET KAYIT'!P416="Kapatıldı","",IF('ŞİKAYET KAYIT'!H416="","",'ŞİKAYET KAYIT'!H416)),"")</f>
        <v/>
      </c>
      <c r="F416" s="3" t="str">
        <f>IFERROR(IF('ŞİKAYET KAYIT'!P416="Kapatıldı","",IF('ŞİKAYET KAYIT'!I416="","",'ŞİKAYET KAYIT'!I416)),"")</f>
        <v/>
      </c>
      <c r="G416" s="3" t="str">
        <f>IFERROR(IF('ŞİKAYET KAYIT'!P416="Kapatıldı","",IF('ŞİKAYET KAYIT'!J416="","",'ŞİKAYET KAYIT'!J416)),"")</f>
        <v/>
      </c>
      <c r="H416" s="3" t="str">
        <f>IFERROR(IF('ŞİKAYET KAYIT'!P416="Kapatıldı","",IF('ŞİKAYET KAYIT'!K416="","",'ŞİKAYET KAYIT'!K416)),"")</f>
        <v/>
      </c>
      <c r="I416" s="3" t="str">
        <f>IFERROR(IF('ŞİKAYET KAYIT'!P416="Kapatıldı","",IF('ŞİKAYET KAYIT'!L416="","",'ŞİKAYET KAYIT'!L416)),"")</f>
        <v/>
      </c>
      <c r="J416" s="3" t="str">
        <f>IFERROR(IF('ŞİKAYET KAYIT'!P416="Kapatıldı","",IF('ŞİKAYET KAYIT'!M416="","",'ŞİKAYET KAYIT'!M416)),"")</f>
        <v/>
      </c>
      <c r="K416" s="3" t="str">
        <f>IFERROR(IF('ŞİKAYET KAYIT'!P416="Kapatıldı","",IF('ŞİKAYET KAYIT'!N416="","",'ŞİKAYET KAYIT'!N416)),"")</f>
        <v/>
      </c>
      <c r="L416" s="3" t="str">
        <f>IFERROR(IF('ŞİKAYET KAYIT'!P416="Kapatıldı","",IF('ŞİKAYET KAYIT'!O416="","",'ŞİKAYET KAYIT'!O416)),"")</f>
        <v/>
      </c>
      <c r="M416" s="3" t="str">
        <f>IFERROR(IF('ŞİKAYET KAYIT'!P416="Kapatıldı","",IF('ŞİKAYET KAYIT'!P416="","",'ŞİKAYET KAYIT'!P416)),"")</f>
        <v/>
      </c>
    </row>
    <row r="417" spans="1:13" ht="15" customHeight="1" x14ac:dyDescent="0.3">
      <c r="A417" s="26" t="str">
        <f>IFERROR(IF('ŞİKAYET KAYIT'!P417="Kapatıldı","",IF('ŞİKAYET KAYIT'!A417="","",'ŞİKAYET KAYIT'!A417)),"")</f>
        <v/>
      </c>
      <c r="B417" s="8" t="str">
        <f>IFERROR(IF('ŞİKAYET KAYIT'!P417="Kapatıldı","",IF('ŞİKAYET KAYIT'!B417="","",'ŞİKAYET KAYIT'!B417)),"")</f>
        <v/>
      </c>
      <c r="C417" s="26" t="str">
        <f>IFERROR(IF('ŞİKAYET KAYIT'!P417="Kapatıldı","",IF('ŞİKAYET KAYIT'!D417="","",'ŞİKAYET KAYIT'!D417)),"")</f>
        <v/>
      </c>
      <c r="D417" s="26" t="str">
        <f>IFERROR(IF('ŞİKAYET KAYIT'!P417="Kapatıldı","",IF('ŞİKAYET KAYIT'!F417="","",'ŞİKAYET KAYIT'!F417)),"")</f>
        <v/>
      </c>
      <c r="E417" s="26" t="str">
        <f>IFERROR(IF('ŞİKAYET KAYIT'!P417="Kapatıldı","",IF('ŞİKAYET KAYIT'!H417="","",'ŞİKAYET KAYIT'!H417)),"")</f>
        <v/>
      </c>
      <c r="F417" s="26" t="str">
        <f>IFERROR(IF('ŞİKAYET KAYIT'!P417="Kapatıldı","",IF('ŞİKAYET KAYIT'!I417="","",'ŞİKAYET KAYIT'!I417)),"")</f>
        <v/>
      </c>
      <c r="G417" s="26" t="str">
        <f>IFERROR(IF('ŞİKAYET KAYIT'!P417="Kapatıldı","",IF('ŞİKAYET KAYIT'!J417="","",'ŞİKAYET KAYIT'!J417)),"")</f>
        <v/>
      </c>
      <c r="H417" s="26" t="str">
        <f>IFERROR(IF('ŞİKAYET KAYIT'!P417="Kapatıldı","",IF('ŞİKAYET KAYIT'!K417="","",'ŞİKAYET KAYIT'!K417)),"")</f>
        <v/>
      </c>
      <c r="I417" s="26" t="str">
        <f>IFERROR(IF('ŞİKAYET KAYIT'!P417="Kapatıldı","",IF('ŞİKAYET KAYIT'!L417="","",'ŞİKAYET KAYIT'!L417)),"")</f>
        <v/>
      </c>
      <c r="J417" s="26" t="str">
        <f>IFERROR(IF('ŞİKAYET KAYIT'!P417="Kapatıldı","",IF('ŞİKAYET KAYIT'!M417="","",'ŞİKAYET KAYIT'!M417)),"")</f>
        <v/>
      </c>
      <c r="K417" s="26" t="str">
        <f>IFERROR(IF('ŞİKAYET KAYIT'!P417="Kapatıldı","",IF('ŞİKAYET KAYIT'!N417="","",'ŞİKAYET KAYIT'!N417)),"")</f>
        <v/>
      </c>
      <c r="L417" s="26" t="str">
        <f>IFERROR(IF('ŞİKAYET KAYIT'!P417="Kapatıldı","",IF('ŞİKAYET KAYIT'!O417="","",'ŞİKAYET KAYIT'!O417)),"")</f>
        <v/>
      </c>
      <c r="M417" s="26" t="str">
        <f>IFERROR(IF('ŞİKAYET KAYIT'!P417="Kapatıldı","",IF('ŞİKAYET KAYIT'!P417="","",'ŞİKAYET KAYIT'!P417)),"")</f>
        <v/>
      </c>
    </row>
    <row r="418" spans="1:13" ht="15" customHeight="1" x14ac:dyDescent="0.3">
      <c r="A418" s="3" t="str">
        <f>IFERROR(IF('ŞİKAYET KAYIT'!P418="Kapatıldı","",IF('ŞİKAYET KAYIT'!A418="","",'ŞİKAYET KAYIT'!A418)),"")</f>
        <v/>
      </c>
      <c r="B418" s="5" t="str">
        <f>IFERROR(IF('ŞİKAYET KAYIT'!P418="Kapatıldı","",IF('ŞİKAYET KAYIT'!B418="","",'ŞİKAYET KAYIT'!B418)),"")</f>
        <v/>
      </c>
      <c r="C418" s="3" t="str">
        <f>IFERROR(IF('ŞİKAYET KAYIT'!P418="Kapatıldı","",IF('ŞİKAYET KAYIT'!D418="","",'ŞİKAYET KAYIT'!D418)),"")</f>
        <v/>
      </c>
      <c r="D418" s="3" t="str">
        <f>IFERROR(IF('ŞİKAYET KAYIT'!P418="Kapatıldı","",IF('ŞİKAYET KAYIT'!F418="","",'ŞİKAYET KAYIT'!F418)),"")</f>
        <v/>
      </c>
      <c r="E418" s="3" t="str">
        <f>IFERROR(IF('ŞİKAYET KAYIT'!P418="Kapatıldı","",IF('ŞİKAYET KAYIT'!H418="","",'ŞİKAYET KAYIT'!H418)),"")</f>
        <v/>
      </c>
      <c r="F418" s="3" t="str">
        <f>IFERROR(IF('ŞİKAYET KAYIT'!P418="Kapatıldı","",IF('ŞİKAYET KAYIT'!I418="","",'ŞİKAYET KAYIT'!I418)),"")</f>
        <v/>
      </c>
      <c r="G418" s="3" t="str">
        <f>IFERROR(IF('ŞİKAYET KAYIT'!P418="Kapatıldı","",IF('ŞİKAYET KAYIT'!J418="","",'ŞİKAYET KAYIT'!J418)),"")</f>
        <v/>
      </c>
      <c r="H418" s="3" t="str">
        <f>IFERROR(IF('ŞİKAYET KAYIT'!P418="Kapatıldı","",IF('ŞİKAYET KAYIT'!K418="","",'ŞİKAYET KAYIT'!K418)),"")</f>
        <v/>
      </c>
      <c r="I418" s="3" t="str">
        <f>IFERROR(IF('ŞİKAYET KAYIT'!P418="Kapatıldı","",IF('ŞİKAYET KAYIT'!L418="","",'ŞİKAYET KAYIT'!L418)),"")</f>
        <v/>
      </c>
      <c r="J418" s="3" t="str">
        <f>IFERROR(IF('ŞİKAYET KAYIT'!P418="Kapatıldı","",IF('ŞİKAYET KAYIT'!M418="","",'ŞİKAYET KAYIT'!M418)),"")</f>
        <v/>
      </c>
      <c r="K418" s="3" t="str">
        <f>IFERROR(IF('ŞİKAYET KAYIT'!P418="Kapatıldı","",IF('ŞİKAYET KAYIT'!N418="","",'ŞİKAYET KAYIT'!N418)),"")</f>
        <v/>
      </c>
      <c r="L418" s="3" t="str">
        <f>IFERROR(IF('ŞİKAYET KAYIT'!P418="Kapatıldı","",IF('ŞİKAYET KAYIT'!O418="","",'ŞİKAYET KAYIT'!O418)),"")</f>
        <v/>
      </c>
      <c r="M418" s="3" t="str">
        <f>IFERROR(IF('ŞİKAYET KAYIT'!P418="Kapatıldı","",IF('ŞİKAYET KAYIT'!P418="","",'ŞİKAYET KAYIT'!P418)),"")</f>
        <v/>
      </c>
    </row>
    <row r="419" spans="1:13" ht="15" customHeight="1" x14ac:dyDescent="0.3">
      <c r="A419" s="26" t="str">
        <f>IFERROR(IF('ŞİKAYET KAYIT'!P419="Kapatıldı","",IF('ŞİKAYET KAYIT'!A419="","",'ŞİKAYET KAYIT'!A419)),"")</f>
        <v/>
      </c>
      <c r="B419" s="8" t="str">
        <f>IFERROR(IF('ŞİKAYET KAYIT'!P419="Kapatıldı","",IF('ŞİKAYET KAYIT'!B419="","",'ŞİKAYET KAYIT'!B419)),"")</f>
        <v/>
      </c>
      <c r="C419" s="26" t="str">
        <f>IFERROR(IF('ŞİKAYET KAYIT'!P419="Kapatıldı","",IF('ŞİKAYET KAYIT'!D419="","",'ŞİKAYET KAYIT'!D419)),"")</f>
        <v/>
      </c>
      <c r="D419" s="26" t="str">
        <f>IFERROR(IF('ŞİKAYET KAYIT'!P419="Kapatıldı","",IF('ŞİKAYET KAYIT'!F419="","",'ŞİKAYET KAYIT'!F419)),"")</f>
        <v/>
      </c>
      <c r="E419" s="26" t="str">
        <f>IFERROR(IF('ŞİKAYET KAYIT'!P419="Kapatıldı","",IF('ŞİKAYET KAYIT'!H419="","",'ŞİKAYET KAYIT'!H419)),"")</f>
        <v/>
      </c>
      <c r="F419" s="26" t="str">
        <f>IFERROR(IF('ŞİKAYET KAYIT'!P419="Kapatıldı","",IF('ŞİKAYET KAYIT'!I419="","",'ŞİKAYET KAYIT'!I419)),"")</f>
        <v/>
      </c>
      <c r="G419" s="26" t="str">
        <f>IFERROR(IF('ŞİKAYET KAYIT'!P419="Kapatıldı","",IF('ŞİKAYET KAYIT'!J419="","",'ŞİKAYET KAYIT'!J419)),"")</f>
        <v/>
      </c>
      <c r="H419" s="26" t="str">
        <f>IFERROR(IF('ŞİKAYET KAYIT'!P419="Kapatıldı","",IF('ŞİKAYET KAYIT'!K419="","",'ŞİKAYET KAYIT'!K419)),"")</f>
        <v/>
      </c>
      <c r="I419" s="26" t="str">
        <f>IFERROR(IF('ŞİKAYET KAYIT'!P419="Kapatıldı","",IF('ŞİKAYET KAYIT'!L419="","",'ŞİKAYET KAYIT'!L419)),"")</f>
        <v/>
      </c>
      <c r="J419" s="26" t="str">
        <f>IFERROR(IF('ŞİKAYET KAYIT'!P419="Kapatıldı","",IF('ŞİKAYET KAYIT'!M419="","",'ŞİKAYET KAYIT'!M419)),"")</f>
        <v/>
      </c>
      <c r="K419" s="26" t="str">
        <f>IFERROR(IF('ŞİKAYET KAYIT'!P419="Kapatıldı","",IF('ŞİKAYET KAYIT'!N419="","",'ŞİKAYET KAYIT'!N419)),"")</f>
        <v/>
      </c>
      <c r="L419" s="26" t="str">
        <f>IFERROR(IF('ŞİKAYET KAYIT'!P419="Kapatıldı","",IF('ŞİKAYET KAYIT'!O419="","",'ŞİKAYET KAYIT'!O419)),"")</f>
        <v/>
      </c>
      <c r="M419" s="26" t="str">
        <f>IFERROR(IF('ŞİKAYET KAYIT'!P419="Kapatıldı","",IF('ŞİKAYET KAYIT'!P419="","",'ŞİKAYET KAYIT'!P419)),"")</f>
        <v/>
      </c>
    </row>
    <row r="420" spans="1:13" ht="15" customHeight="1" x14ac:dyDescent="0.3">
      <c r="A420" s="3" t="str">
        <f>IFERROR(IF('ŞİKAYET KAYIT'!P420="Kapatıldı","",IF('ŞİKAYET KAYIT'!A420="","",'ŞİKAYET KAYIT'!A420)),"")</f>
        <v/>
      </c>
      <c r="B420" s="5" t="str">
        <f>IFERROR(IF('ŞİKAYET KAYIT'!P420="Kapatıldı","",IF('ŞİKAYET KAYIT'!B420="","",'ŞİKAYET KAYIT'!B420)),"")</f>
        <v/>
      </c>
      <c r="C420" s="3" t="str">
        <f>IFERROR(IF('ŞİKAYET KAYIT'!P420="Kapatıldı","",IF('ŞİKAYET KAYIT'!D420="","",'ŞİKAYET KAYIT'!D420)),"")</f>
        <v/>
      </c>
      <c r="D420" s="3" t="str">
        <f>IFERROR(IF('ŞİKAYET KAYIT'!P420="Kapatıldı","",IF('ŞİKAYET KAYIT'!F420="","",'ŞİKAYET KAYIT'!F420)),"")</f>
        <v/>
      </c>
      <c r="E420" s="3" t="str">
        <f>IFERROR(IF('ŞİKAYET KAYIT'!P420="Kapatıldı","",IF('ŞİKAYET KAYIT'!H420="","",'ŞİKAYET KAYIT'!H420)),"")</f>
        <v/>
      </c>
      <c r="F420" s="3" t="str">
        <f>IFERROR(IF('ŞİKAYET KAYIT'!P420="Kapatıldı","",IF('ŞİKAYET KAYIT'!I420="","",'ŞİKAYET KAYIT'!I420)),"")</f>
        <v/>
      </c>
      <c r="G420" s="3" t="str">
        <f>IFERROR(IF('ŞİKAYET KAYIT'!P420="Kapatıldı","",IF('ŞİKAYET KAYIT'!J420="","",'ŞİKAYET KAYIT'!J420)),"")</f>
        <v/>
      </c>
      <c r="H420" s="3" t="str">
        <f>IFERROR(IF('ŞİKAYET KAYIT'!P420="Kapatıldı","",IF('ŞİKAYET KAYIT'!K420="","",'ŞİKAYET KAYIT'!K420)),"")</f>
        <v/>
      </c>
      <c r="I420" s="3" t="str">
        <f>IFERROR(IF('ŞİKAYET KAYIT'!P420="Kapatıldı","",IF('ŞİKAYET KAYIT'!L420="","",'ŞİKAYET KAYIT'!L420)),"")</f>
        <v/>
      </c>
      <c r="J420" s="3" t="str">
        <f>IFERROR(IF('ŞİKAYET KAYIT'!P420="Kapatıldı","",IF('ŞİKAYET KAYIT'!M420="","",'ŞİKAYET KAYIT'!M420)),"")</f>
        <v/>
      </c>
      <c r="K420" s="3" t="str">
        <f>IFERROR(IF('ŞİKAYET KAYIT'!P420="Kapatıldı","",IF('ŞİKAYET KAYIT'!N420="","",'ŞİKAYET KAYIT'!N420)),"")</f>
        <v/>
      </c>
      <c r="L420" s="3" t="str">
        <f>IFERROR(IF('ŞİKAYET KAYIT'!P420="Kapatıldı","",IF('ŞİKAYET KAYIT'!O420="","",'ŞİKAYET KAYIT'!O420)),"")</f>
        <v/>
      </c>
      <c r="M420" s="3" t="str">
        <f>IFERROR(IF('ŞİKAYET KAYIT'!P420="Kapatıldı","",IF('ŞİKAYET KAYIT'!P420="","",'ŞİKAYET KAYIT'!P420)),"")</f>
        <v/>
      </c>
    </row>
    <row r="421" spans="1:13" ht="15" customHeight="1" x14ac:dyDescent="0.3">
      <c r="A421" s="26" t="str">
        <f>IFERROR(IF('ŞİKAYET KAYIT'!P421="Kapatıldı","",IF('ŞİKAYET KAYIT'!A421="","",'ŞİKAYET KAYIT'!A421)),"")</f>
        <v/>
      </c>
      <c r="B421" s="8" t="str">
        <f>IFERROR(IF('ŞİKAYET KAYIT'!P421="Kapatıldı","",IF('ŞİKAYET KAYIT'!B421="","",'ŞİKAYET KAYIT'!B421)),"")</f>
        <v/>
      </c>
      <c r="C421" s="26" t="str">
        <f>IFERROR(IF('ŞİKAYET KAYIT'!P421="Kapatıldı","",IF('ŞİKAYET KAYIT'!D421="","",'ŞİKAYET KAYIT'!D421)),"")</f>
        <v/>
      </c>
      <c r="D421" s="26" t="str">
        <f>IFERROR(IF('ŞİKAYET KAYIT'!P421="Kapatıldı","",IF('ŞİKAYET KAYIT'!F421="","",'ŞİKAYET KAYIT'!F421)),"")</f>
        <v/>
      </c>
      <c r="E421" s="26" t="str">
        <f>IFERROR(IF('ŞİKAYET KAYIT'!P421="Kapatıldı","",IF('ŞİKAYET KAYIT'!H421="","",'ŞİKAYET KAYIT'!H421)),"")</f>
        <v/>
      </c>
      <c r="F421" s="26" t="str">
        <f>IFERROR(IF('ŞİKAYET KAYIT'!P421="Kapatıldı","",IF('ŞİKAYET KAYIT'!I421="","",'ŞİKAYET KAYIT'!I421)),"")</f>
        <v/>
      </c>
      <c r="G421" s="26" t="str">
        <f>IFERROR(IF('ŞİKAYET KAYIT'!P421="Kapatıldı","",IF('ŞİKAYET KAYIT'!J421="","",'ŞİKAYET KAYIT'!J421)),"")</f>
        <v/>
      </c>
      <c r="H421" s="26" t="str">
        <f>IFERROR(IF('ŞİKAYET KAYIT'!P421="Kapatıldı","",IF('ŞİKAYET KAYIT'!K421="","",'ŞİKAYET KAYIT'!K421)),"")</f>
        <v/>
      </c>
      <c r="I421" s="26" t="str">
        <f>IFERROR(IF('ŞİKAYET KAYIT'!P421="Kapatıldı","",IF('ŞİKAYET KAYIT'!L421="","",'ŞİKAYET KAYIT'!L421)),"")</f>
        <v/>
      </c>
      <c r="J421" s="26" t="str">
        <f>IFERROR(IF('ŞİKAYET KAYIT'!P421="Kapatıldı","",IF('ŞİKAYET KAYIT'!M421="","",'ŞİKAYET KAYIT'!M421)),"")</f>
        <v/>
      </c>
      <c r="K421" s="26" t="str">
        <f>IFERROR(IF('ŞİKAYET KAYIT'!P421="Kapatıldı","",IF('ŞİKAYET KAYIT'!N421="","",'ŞİKAYET KAYIT'!N421)),"")</f>
        <v/>
      </c>
      <c r="L421" s="26" t="str">
        <f>IFERROR(IF('ŞİKAYET KAYIT'!P421="Kapatıldı","",IF('ŞİKAYET KAYIT'!O421="","",'ŞİKAYET KAYIT'!O421)),"")</f>
        <v/>
      </c>
      <c r="M421" s="26" t="str">
        <f>IFERROR(IF('ŞİKAYET KAYIT'!P421="Kapatıldı","",IF('ŞİKAYET KAYIT'!P421="","",'ŞİKAYET KAYIT'!P421)),"")</f>
        <v/>
      </c>
    </row>
    <row r="422" spans="1:13" ht="15" customHeight="1" x14ac:dyDescent="0.3">
      <c r="A422" s="3" t="str">
        <f>IFERROR(IF('ŞİKAYET KAYIT'!P422="Kapatıldı","",IF('ŞİKAYET KAYIT'!A422="","",'ŞİKAYET KAYIT'!A422)),"")</f>
        <v/>
      </c>
      <c r="B422" s="5" t="str">
        <f>IFERROR(IF('ŞİKAYET KAYIT'!P422="Kapatıldı","",IF('ŞİKAYET KAYIT'!B422="","",'ŞİKAYET KAYIT'!B422)),"")</f>
        <v/>
      </c>
      <c r="C422" s="3" t="str">
        <f>IFERROR(IF('ŞİKAYET KAYIT'!P422="Kapatıldı","",IF('ŞİKAYET KAYIT'!D422="","",'ŞİKAYET KAYIT'!D422)),"")</f>
        <v/>
      </c>
      <c r="D422" s="3" t="str">
        <f>IFERROR(IF('ŞİKAYET KAYIT'!P422="Kapatıldı","",IF('ŞİKAYET KAYIT'!F422="","",'ŞİKAYET KAYIT'!F422)),"")</f>
        <v/>
      </c>
      <c r="E422" s="3" t="str">
        <f>IFERROR(IF('ŞİKAYET KAYIT'!P422="Kapatıldı","",IF('ŞİKAYET KAYIT'!H422="","",'ŞİKAYET KAYIT'!H422)),"")</f>
        <v/>
      </c>
      <c r="F422" s="3" t="str">
        <f>IFERROR(IF('ŞİKAYET KAYIT'!P422="Kapatıldı","",IF('ŞİKAYET KAYIT'!I422="","",'ŞİKAYET KAYIT'!I422)),"")</f>
        <v/>
      </c>
      <c r="G422" s="3" t="str">
        <f>IFERROR(IF('ŞİKAYET KAYIT'!P422="Kapatıldı","",IF('ŞİKAYET KAYIT'!J422="","",'ŞİKAYET KAYIT'!J422)),"")</f>
        <v/>
      </c>
      <c r="H422" s="3" t="str">
        <f>IFERROR(IF('ŞİKAYET KAYIT'!P422="Kapatıldı","",IF('ŞİKAYET KAYIT'!K422="","",'ŞİKAYET KAYIT'!K422)),"")</f>
        <v/>
      </c>
      <c r="I422" s="3" t="str">
        <f>IFERROR(IF('ŞİKAYET KAYIT'!P422="Kapatıldı","",IF('ŞİKAYET KAYIT'!L422="","",'ŞİKAYET KAYIT'!L422)),"")</f>
        <v/>
      </c>
      <c r="J422" s="3" t="str">
        <f>IFERROR(IF('ŞİKAYET KAYIT'!P422="Kapatıldı","",IF('ŞİKAYET KAYIT'!M422="","",'ŞİKAYET KAYIT'!M422)),"")</f>
        <v/>
      </c>
      <c r="K422" s="3" t="str">
        <f>IFERROR(IF('ŞİKAYET KAYIT'!P422="Kapatıldı","",IF('ŞİKAYET KAYIT'!N422="","",'ŞİKAYET KAYIT'!N422)),"")</f>
        <v/>
      </c>
      <c r="L422" s="3" t="str">
        <f>IFERROR(IF('ŞİKAYET KAYIT'!P422="Kapatıldı","",IF('ŞİKAYET KAYIT'!O422="","",'ŞİKAYET KAYIT'!O422)),"")</f>
        <v/>
      </c>
      <c r="M422" s="3" t="str">
        <f>IFERROR(IF('ŞİKAYET KAYIT'!P422="Kapatıldı","",IF('ŞİKAYET KAYIT'!P422="","",'ŞİKAYET KAYIT'!P422)),"")</f>
        <v/>
      </c>
    </row>
    <row r="423" spans="1:13" ht="15" customHeight="1" x14ac:dyDescent="0.3">
      <c r="A423" s="26" t="str">
        <f>IFERROR(IF('ŞİKAYET KAYIT'!P423="Kapatıldı","",IF('ŞİKAYET KAYIT'!A423="","",'ŞİKAYET KAYIT'!A423)),"")</f>
        <v/>
      </c>
      <c r="B423" s="8" t="str">
        <f>IFERROR(IF('ŞİKAYET KAYIT'!P423="Kapatıldı","",IF('ŞİKAYET KAYIT'!B423="","",'ŞİKAYET KAYIT'!B423)),"")</f>
        <v/>
      </c>
      <c r="C423" s="26" t="str">
        <f>IFERROR(IF('ŞİKAYET KAYIT'!P423="Kapatıldı","",IF('ŞİKAYET KAYIT'!D423="","",'ŞİKAYET KAYIT'!D423)),"")</f>
        <v/>
      </c>
      <c r="D423" s="26" t="str">
        <f>IFERROR(IF('ŞİKAYET KAYIT'!P423="Kapatıldı","",IF('ŞİKAYET KAYIT'!F423="","",'ŞİKAYET KAYIT'!F423)),"")</f>
        <v/>
      </c>
      <c r="E423" s="26" t="str">
        <f>IFERROR(IF('ŞİKAYET KAYIT'!P423="Kapatıldı","",IF('ŞİKAYET KAYIT'!H423="","",'ŞİKAYET KAYIT'!H423)),"")</f>
        <v/>
      </c>
      <c r="F423" s="26" t="str">
        <f>IFERROR(IF('ŞİKAYET KAYIT'!P423="Kapatıldı","",IF('ŞİKAYET KAYIT'!I423="","",'ŞİKAYET KAYIT'!I423)),"")</f>
        <v/>
      </c>
      <c r="G423" s="26" t="str">
        <f>IFERROR(IF('ŞİKAYET KAYIT'!P423="Kapatıldı","",IF('ŞİKAYET KAYIT'!J423="","",'ŞİKAYET KAYIT'!J423)),"")</f>
        <v/>
      </c>
      <c r="H423" s="26" t="str">
        <f>IFERROR(IF('ŞİKAYET KAYIT'!P423="Kapatıldı","",IF('ŞİKAYET KAYIT'!K423="","",'ŞİKAYET KAYIT'!K423)),"")</f>
        <v/>
      </c>
      <c r="I423" s="26" t="str">
        <f>IFERROR(IF('ŞİKAYET KAYIT'!P423="Kapatıldı","",IF('ŞİKAYET KAYIT'!L423="","",'ŞİKAYET KAYIT'!L423)),"")</f>
        <v/>
      </c>
      <c r="J423" s="26" t="str">
        <f>IFERROR(IF('ŞİKAYET KAYIT'!P423="Kapatıldı","",IF('ŞİKAYET KAYIT'!M423="","",'ŞİKAYET KAYIT'!M423)),"")</f>
        <v/>
      </c>
      <c r="K423" s="26" t="str">
        <f>IFERROR(IF('ŞİKAYET KAYIT'!P423="Kapatıldı","",IF('ŞİKAYET KAYIT'!N423="","",'ŞİKAYET KAYIT'!N423)),"")</f>
        <v/>
      </c>
      <c r="L423" s="26" t="str">
        <f>IFERROR(IF('ŞİKAYET KAYIT'!P423="Kapatıldı","",IF('ŞİKAYET KAYIT'!O423="","",'ŞİKAYET KAYIT'!O423)),"")</f>
        <v/>
      </c>
      <c r="M423" s="26" t="str">
        <f>IFERROR(IF('ŞİKAYET KAYIT'!P423="Kapatıldı","",IF('ŞİKAYET KAYIT'!P423="","",'ŞİKAYET KAYIT'!P423)),"")</f>
        <v/>
      </c>
    </row>
    <row r="424" spans="1:13" ht="15" customHeight="1" x14ac:dyDescent="0.3">
      <c r="A424" s="3" t="str">
        <f>IFERROR(IF('ŞİKAYET KAYIT'!P424="Kapatıldı","",IF('ŞİKAYET KAYIT'!A424="","",'ŞİKAYET KAYIT'!A424)),"")</f>
        <v/>
      </c>
      <c r="B424" s="5" t="str">
        <f>IFERROR(IF('ŞİKAYET KAYIT'!P424="Kapatıldı","",IF('ŞİKAYET KAYIT'!B424="","",'ŞİKAYET KAYIT'!B424)),"")</f>
        <v/>
      </c>
      <c r="C424" s="3" t="str">
        <f>IFERROR(IF('ŞİKAYET KAYIT'!P424="Kapatıldı","",IF('ŞİKAYET KAYIT'!D424="","",'ŞİKAYET KAYIT'!D424)),"")</f>
        <v/>
      </c>
      <c r="D424" s="3" t="str">
        <f>IFERROR(IF('ŞİKAYET KAYIT'!P424="Kapatıldı","",IF('ŞİKAYET KAYIT'!F424="","",'ŞİKAYET KAYIT'!F424)),"")</f>
        <v/>
      </c>
      <c r="E424" s="3" t="str">
        <f>IFERROR(IF('ŞİKAYET KAYIT'!P424="Kapatıldı","",IF('ŞİKAYET KAYIT'!H424="","",'ŞİKAYET KAYIT'!H424)),"")</f>
        <v/>
      </c>
      <c r="F424" s="3" t="str">
        <f>IFERROR(IF('ŞİKAYET KAYIT'!P424="Kapatıldı","",IF('ŞİKAYET KAYIT'!I424="","",'ŞİKAYET KAYIT'!I424)),"")</f>
        <v/>
      </c>
      <c r="G424" s="3" t="str">
        <f>IFERROR(IF('ŞİKAYET KAYIT'!P424="Kapatıldı","",IF('ŞİKAYET KAYIT'!J424="","",'ŞİKAYET KAYIT'!J424)),"")</f>
        <v/>
      </c>
      <c r="H424" s="3" t="str">
        <f>IFERROR(IF('ŞİKAYET KAYIT'!P424="Kapatıldı","",IF('ŞİKAYET KAYIT'!K424="","",'ŞİKAYET KAYIT'!K424)),"")</f>
        <v/>
      </c>
      <c r="I424" s="3" t="str">
        <f>IFERROR(IF('ŞİKAYET KAYIT'!P424="Kapatıldı","",IF('ŞİKAYET KAYIT'!L424="","",'ŞİKAYET KAYIT'!L424)),"")</f>
        <v/>
      </c>
      <c r="J424" s="3" t="str">
        <f>IFERROR(IF('ŞİKAYET KAYIT'!P424="Kapatıldı","",IF('ŞİKAYET KAYIT'!M424="","",'ŞİKAYET KAYIT'!M424)),"")</f>
        <v/>
      </c>
      <c r="K424" s="3" t="str">
        <f>IFERROR(IF('ŞİKAYET KAYIT'!P424="Kapatıldı","",IF('ŞİKAYET KAYIT'!N424="","",'ŞİKAYET KAYIT'!N424)),"")</f>
        <v/>
      </c>
      <c r="L424" s="3" t="str">
        <f>IFERROR(IF('ŞİKAYET KAYIT'!P424="Kapatıldı","",IF('ŞİKAYET KAYIT'!O424="","",'ŞİKAYET KAYIT'!O424)),"")</f>
        <v/>
      </c>
      <c r="M424" s="3" t="str">
        <f>IFERROR(IF('ŞİKAYET KAYIT'!P424="Kapatıldı","",IF('ŞİKAYET KAYIT'!P424="","",'ŞİKAYET KAYIT'!P424)),"")</f>
        <v/>
      </c>
    </row>
    <row r="425" spans="1:13" ht="15" customHeight="1" x14ac:dyDescent="0.3">
      <c r="A425" s="26" t="str">
        <f>IFERROR(IF('ŞİKAYET KAYIT'!P425="Kapatıldı","",IF('ŞİKAYET KAYIT'!A425="","",'ŞİKAYET KAYIT'!A425)),"")</f>
        <v/>
      </c>
      <c r="B425" s="8" t="str">
        <f>IFERROR(IF('ŞİKAYET KAYIT'!P425="Kapatıldı","",IF('ŞİKAYET KAYIT'!B425="","",'ŞİKAYET KAYIT'!B425)),"")</f>
        <v/>
      </c>
      <c r="C425" s="26" t="str">
        <f>IFERROR(IF('ŞİKAYET KAYIT'!P425="Kapatıldı","",IF('ŞİKAYET KAYIT'!D425="","",'ŞİKAYET KAYIT'!D425)),"")</f>
        <v/>
      </c>
      <c r="D425" s="26" t="str">
        <f>IFERROR(IF('ŞİKAYET KAYIT'!P425="Kapatıldı","",IF('ŞİKAYET KAYIT'!F425="","",'ŞİKAYET KAYIT'!F425)),"")</f>
        <v/>
      </c>
      <c r="E425" s="26" t="str">
        <f>IFERROR(IF('ŞİKAYET KAYIT'!P425="Kapatıldı","",IF('ŞİKAYET KAYIT'!H425="","",'ŞİKAYET KAYIT'!H425)),"")</f>
        <v/>
      </c>
      <c r="F425" s="26" t="str">
        <f>IFERROR(IF('ŞİKAYET KAYIT'!P425="Kapatıldı","",IF('ŞİKAYET KAYIT'!I425="","",'ŞİKAYET KAYIT'!I425)),"")</f>
        <v/>
      </c>
      <c r="G425" s="26" t="str">
        <f>IFERROR(IF('ŞİKAYET KAYIT'!P425="Kapatıldı","",IF('ŞİKAYET KAYIT'!J425="","",'ŞİKAYET KAYIT'!J425)),"")</f>
        <v/>
      </c>
      <c r="H425" s="26" t="str">
        <f>IFERROR(IF('ŞİKAYET KAYIT'!P425="Kapatıldı","",IF('ŞİKAYET KAYIT'!K425="","",'ŞİKAYET KAYIT'!K425)),"")</f>
        <v/>
      </c>
      <c r="I425" s="26" t="str">
        <f>IFERROR(IF('ŞİKAYET KAYIT'!P425="Kapatıldı","",IF('ŞİKAYET KAYIT'!L425="","",'ŞİKAYET KAYIT'!L425)),"")</f>
        <v/>
      </c>
      <c r="J425" s="26" t="str">
        <f>IFERROR(IF('ŞİKAYET KAYIT'!P425="Kapatıldı","",IF('ŞİKAYET KAYIT'!M425="","",'ŞİKAYET KAYIT'!M425)),"")</f>
        <v/>
      </c>
      <c r="K425" s="26" t="str">
        <f>IFERROR(IF('ŞİKAYET KAYIT'!P425="Kapatıldı","",IF('ŞİKAYET KAYIT'!N425="","",'ŞİKAYET KAYIT'!N425)),"")</f>
        <v/>
      </c>
      <c r="L425" s="26" t="str">
        <f>IFERROR(IF('ŞİKAYET KAYIT'!P425="Kapatıldı","",IF('ŞİKAYET KAYIT'!O425="","",'ŞİKAYET KAYIT'!O425)),"")</f>
        <v/>
      </c>
      <c r="M425" s="26" t="str">
        <f>IFERROR(IF('ŞİKAYET KAYIT'!P425="Kapatıldı","",IF('ŞİKAYET KAYIT'!P425="","",'ŞİKAYET KAYIT'!P425)),"")</f>
        <v/>
      </c>
    </row>
    <row r="426" spans="1:13" ht="15" customHeight="1" x14ac:dyDescent="0.3">
      <c r="A426" s="3" t="str">
        <f>IFERROR(IF('ŞİKAYET KAYIT'!P426="Kapatıldı","",IF('ŞİKAYET KAYIT'!A426="","",'ŞİKAYET KAYIT'!A426)),"")</f>
        <v/>
      </c>
      <c r="B426" s="5" t="str">
        <f>IFERROR(IF('ŞİKAYET KAYIT'!P426="Kapatıldı","",IF('ŞİKAYET KAYIT'!B426="","",'ŞİKAYET KAYIT'!B426)),"")</f>
        <v/>
      </c>
      <c r="C426" s="3" t="str">
        <f>IFERROR(IF('ŞİKAYET KAYIT'!P426="Kapatıldı","",IF('ŞİKAYET KAYIT'!D426="","",'ŞİKAYET KAYIT'!D426)),"")</f>
        <v/>
      </c>
      <c r="D426" s="3" t="str">
        <f>IFERROR(IF('ŞİKAYET KAYIT'!P426="Kapatıldı","",IF('ŞİKAYET KAYIT'!F426="","",'ŞİKAYET KAYIT'!F426)),"")</f>
        <v/>
      </c>
      <c r="E426" s="3" t="str">
        <f>IFERROR(IF('ŞİKAYET KAYIT'!P426="Kapatıldı","",IF('ŞİKAYET KAYIT'!H426="","",'ŞİKAYET KAYIT'!H426)),"")</f>
        <v/>
      </c>
      <c r="F426" s="3" t="str">
        <f>IFERROR(IF('ŞİKAYET KAYIT'!P426="Kapatıldı","",IF('ŞİKAYET KAYIT'!I426="","",'ŞİKAYET KAYIT'!I426)),"")</f>
        <v/>
      </c>
      <c r="G426" s="3" t="str">
        <f>IFERROR(IF('ŞİKAYET KAYIT'!P426="Kapatıldı","",IF('ŞİKAYET KAYIT'!J426="","",'ŞİKAYET KAYIT'!J426)),"")</f>
        <v/>
      </c>
      <c r="H426" s="3" t="str">
        <f>IFERROR(IF('ŞİKAYET KAYIT'!P426="Kapatıldı","",IF('ŞİKAYET KAYIT'!K426="","",'ŞİKAYET KAYIT'!K426)),"")</f>
        <v/>
      </c>
      <c r="I426" s="3" t="str">
        <f>IFERROR(IF('ŞİKAYET KAYIT'!P426="Kapatıldı","",IF('ŞİKAYET KAYIT'!L426="","",'ŞİKAYET KAYIT'!L426)),"")</f>
        <v/>
      </c>
      <c r="J426" s="3" t="str">
        <f>IFERROR(IF('ŞİKAYET KAYIT'!P426="Kapatıldı","",IF('ŞİKAYET KAYIT'!M426="","",'ŞİKAYET KAYIT'!M426)),"")</f>
        <v/>
      </c>
      <c r="K426" s="3" t="str">
        <f>IFERROR(IF('ŞİKAYET KAYIT'!P426="Kapatıldı","",IF('ŞİKAYET KAYIT'!N426="","",'ŞİKAYET KAYIT'!N426)),"")</f>
        <v/>
      </c>
      <c r="L426" s="3" t="str">
        <f>IFERROR(IF('ŞİKAYET KAYIT'!P426="Kapatıldı","",IF('ŞİKAYET KAYIT'!O426="","",'ŞİKAYET KAYIT'!O426)),"")</f>
        <v/>
      </c>
      <c r="M426" s="3" t="str">
        <f>IFERROR(IF('ŞİKAYET KAYIT'!P426="Kapatıldı","",IF('ŞİKAYET KAYIT'!P426="","",'ŞİKAYET KAYIT'!P426)),"")</f>
        <v/>
      </c>
    </row>
    <row r="427" spans="1:13" ht="15" customHeight="1" x14ac:dyDescent="0.3">
      <c r="A427" s="26" t="str">
        <f>IFERROR(IF('ŞİKAYET KAYIT'!P427="Kapatıldı","",IF('ŞİKAYET KAYIT'!A427="","",'ŞİKAYET KAYIT'!A427)),"")</f>
        <v/>
      </c>
      <c r="B427" s="8" t="str">
        <f>IFERROR(IF('ŞİKAYET KAYIT'!P427="Kapatıldı","",IF('ŞİKAYET KAYIT'!B427="","",'ŞİKAYET KAYIT'!B427)),"")</f>
        <v/>
      </c>
      <c r="C427" s="26" t="str">
        <f>IFERROR(IF('ŞİKAYET KAYIT'!P427="Kapatıldı","",IF('ŞİKAYET KAYIT'!D427="","",'ŞİKAYET KAYIT'!D427)),"")</f>
        <v/>
      </c>
      <c r="D427" s="26" t="str">
        <f>IFERROR(IF('ŞİKAYET KAYIT'!P427="Kapatıldı","",IF('ŞİKAYET KAYIT'!F427="","",'ŞİKAYET KAYIT'!F427)),"")</f>
        <v/>
      </c>
      <c r="E427" s="26" t="str">
        <f>IFERROR(IF('ŞİKAYET KAYIT'!P427="Kapatıldı","",IF('ŞİKAYET KAYIT'!H427="","",'ŞİKAYET KAYIT'!H427)),"")</f>
        <v/>
      </c>
      <c r="F427" s="26" t="str">
        <f>IFERROR(IF('ŞİKAYET KAYIT'!P427="Kapatıldı","",IF('ŞİKAYET KAYIT'!I427="","",'ŞİKAYET KAYIT'!I427)),"")</f>
        <v/>
      </c>
      <c r="G427" s="26" t="str">
        <f>IFERROR(IF('ŞİKAYET KAYIT'!P427="Kapatıldı","",IF('ŞİKAYET KAYIT'!J427="","",'ŞİKAYET KAYIT'!J427)),"")</f>
        <v/>
      </c>
      <c r="H427" s="26" t="str">
        <f>IFERROR(IF('ŞİKAYET KAYIT'!P427="Kapatıldı","",IF('ŞİKAYET KAYIT'!K427="","",'ŞİKAYET KAYIT'!K427)),"")</f>
        <v/>
      </c>
      <c r="I427" s="26" t="str">
        <f>IFERROR(IF('ŞİKAYET KAYIT'!P427="Kapatıldı","",IF('ŞİKAYET KAYIT'!L427="","",'ŞİKAYET KAYIT'!L427)),"")</f>
        <v/>
      </c>
      <c r="J427" s="26" t="str">
        <f>IFERROR(IF('ŞİKAYET KAYIT'!P427="Kapatıldı","",IF('ŞİKAYET KAYIT'!M427="","",'ŞİKAYET KAYIT'!M427)),"")</f>
        <v/>
      </c>
      <c r="K427" s="26" t="str">
        <f>IFERROR(IF('ŞİKAYET KAYIT'!P427="Kapatıldı","",IF('ŞİKAYET KAYIT'!N427="","",'ŞİKAYET KAYIT'!N427)),"")</f>
        <v/>
      </c>
      <c r="L427" s="26" t="str">
        <f>IFERROR(IF('ŞİKAYET KAYIT'!P427="Kapatıldı","",IF('ŞİKAYET KAYIT'!O427="","",'ŞİKAYET KAYIT'!O427)),"")</f>
        <v/>
      </c>
      <c r="M427" s="26" t="str">
        <f>IFERROR(IF('ŞİKAYET KAYIT'!P427="Kapatıldı","",IF('ŞİKAYET KAYIT'!P427="","",'ŞİKAYET KAYIT'!P427)),"")</f>
        <v/>
      </c>
    </row>
    <row r="428" spans="1:13" ht="15" customHeight="1" x14ac:dyDescent="0.3">
      <c r="A428" s="3" t="str">
        <f>IFERROR(IF('ŞİKAYET KAYIT'!P428="Kapatıldı","",IF('ŞİKAYET KAYIT'!A428="","",'ŞİKAYET KAYIT'!A428)),"")</f>
        <v/>
      </c>
      <c r="B428" s="5" t="str">
        <f>IFERROR(IF('ŞİKAYET KAYIT'!P428="Kapatıldı","",IF('ŞİKAYET KAYIT'!B428="","",'ŞİKAYET KAYIT'!B428)),"")</f>
        <v/>
      </c>
      <c r="C428" s="3" t="str">
        <f>IFERROR(IF('ŞİKAYET KAYIT'!P428="Kapatıldı","",IF('ŞİKAYET KAYIT'!D428="","",'ŞİKAYET KAYIT'!D428)),"")</f>
        <v/>
      </c>
      <c r="D428" s="3" t="str">
        <f>IFERROR(IF('ŞİKAYET KAYIT'!P428="Kapatıldı","",IF('ŞİKAYET KAYIT'!F428="","",'ŞİKAYET KAYIT'!F428)),"")</f>
        <v/>
      </c>
      <c r="E428" s="3" t="str">
        <f>IFERROR(IF('ŞİKAYET KAYIT'!P428="Kapatıldı","",IF('ŞİKAYET KAYIT'!H428="","",'ŞİKAYET KAYIT'!H428)),"")</f>
        <v/>
      </c>
      <c r="F428" s="3" t="str">
        <f>IFERROR(IF('ŞİKAYET KAYIT'!P428="Kapatıldı","",IF('ŞİKAYET KAYIT'!I428="","",'ŞİKAYET KAYIT'!I428)),"")</f>
        <v/>
      </c>
      <c r="G428" s="3" t="str">
        <f>IFERROR(IF('ŞİKAYET KAYIT'!P428="Kapatıldı","",IF('ŞİKAYET KAYIT'!J428="","",'ŞİKAYET KAYIT'!J428)),"")</f>
        <v/>
      </c>
      <c r="H428" s="3" t="str">
        <f>IFERROR(IF('ŞİKAYET KAYIT'!P428="Kapatıldı","",IF('ŞİKAYET KAYIT'!K428="","",'ŞİKAYET KAYIT'!K428)),"")</f>
        <v/>
      </c>
      <c r="I428" s="3" t="str">
        <f>IFERROR(IF('ŞİKAYET KAYIT'!P428="Kapatıldı","",IF('ŞİKAYET KAYIT'!L428="","",'ŞİKAYET KAYIT'!L428)),"")</f>
        <v/>
      </c>
      <c r="J428" s="3" t="str">
        <f>IFERROR(IF('ŞİKAYET KAYIT'!P428="Kapatıldı","",IF('ŞİKAYET KAYIT'!M428="","",'ŞİKAYET KAYIT'!M428)),"")</f>
        <v/>
      </c>
      <c r="K428" s="3" t="str">
        <f>IFERROR(IF('ŞİKAYET KAYIT'!P428="Kapatıldı","",IF('ŞİKAYET KAYIT'!N428="","",'ŞİKAYET KAYIT'!N428)),"")</f>
        <v/>
      </c>
      <c r="L428" s="3" t="str">
        <f>IFERROR(IF('ŞİKAYET KAYIT'!P428="Kapatıldı","",IF('ŞİKAYET KAYIT'!O428="","",'ŞİKAYET KAYIT'!O428)),"")</f>
        <v/>
      </c>
      <c r="M428" s="3" t="str">
        <f>IFERROR(IF('ŞİKAYET KAYIT'!P428="Kapatıldı","",IF('ŞİKAYET KAYIT'!P428="","",'ŞİKAYET KAYIT'!P428)),"")</f>
        <v/>
      </c>
    </row>
    <row r="429" spans="1:13" ht="15" customHeight="1" x14ac:dyDescent="0.3">
      <c r="A429" s="26" t="str">
        <f>IFERROR(IF('ŞİKAYET KAYIT'!P429="Kapatıldı","",IF('ŞİKAYET KAYIT'!A429="","",'ŞİKAYET KAYIT'!A429)),"")</f>
        <v/>
      </c>
      <c r="B429" s="8" t="str">
        <f>IFERROR(IF('ŞİKAYET KAYIT'!P429="Kapatıldı","",IF('ŞİKAYET KAYIT'!B429="","",'ŞİKAYET KAYIT'!B429)),"")</f>
        <v/>
      </c>
      <c r="C429" s="26" t="str">
        <f>IFERROR(IF('ŞİKAYET KAYIT'!P429="Kapatıldı","",IF('ŞİKAYET KAYIT'!D429="","",'ŞİKAYET KAYIT'!D429)),"")</f>
        <v/>
      </c>
      <c r="D429" s="26" t="str">
        <f>IFERROR(IF('ŞİKAYET KAYIT'!P429="Kapatıldı","",IF('ŞİKAYET KAYIT'!F429="","",'ŞİKAYET KAYIT'!F429)),"")</f>
        <v/>
      </c>
      <c r="E429" s="26" t="str">
        <f>IFERROR(IF('ŞİKAYET KAYIT'!P429="Kapatıldı","",IF('ŞİKAYET KAYIT'!H429="","",'ŞİKAYET KAYIT'!H429)),"")</f>
        <v/>
      </c>
      <c r="F429" s="26" t="str">
        <f>IFERROR(IF('ŞİKAYET KAYIT'!P429="Kapatıldı","",IF('ŞİKAYET KAYIT'!I429="","",'ŞİKAYET KAYIT'!I429)),"")</f>
        <v/>
      </c>
      <c r="G429" s="26" t="str">
        <f>IFERROR(IF('ŞİKAYET KAYIT'!P429="Kapatıldı","",IF('ŞİKAYET KAYIT'!J429="","",'ŞİKAYET KAYIT'!J429)),"")</f>
        <v/>
      </c>
      <c r="H429" s="26" t="str">
        <f>IFERROR(IF('ŞİKAYET KAYIT'!P429="Kapatıldı","",IF('ŞİKAYET KAYIT'!K429="","",'ŞİKAYET KAYIT'!K429)),"")</f>
        <v/>
      </c>
      <c r="I429" s="26" t="str">
        <f>IFERROR(IF('ŞİKAYET KAYIT'!P429="Kapatıldı","",IF('ŞİKAYET KAYIT'!L429="","",'ŞİKAYET KAYIT'!L429)),"")</f>
        <v/>
      </c>
      <c r="J429" s="26" t="str">
        <f>IFERROR(IF('ŞİKAYET KAYIT'!P429="Kapatıldı","",IF('ŞİKAYET KAYIT'!M429="","",'ŞİKAYET KAYIT'!M429)),"")</f>
        <v/>
      </c>
      <c r="K429" s="26" t="str">
        <f>IFERROR(IF('ŞİKAYET KAYIT'!P429="Kapatıldı","",IF('ŞİKAYET KAYIT'!N429="","",'ŞİKAYET KAYIT'!N429)),"")</f>
        <v/>
      </c>
      <c r="L429" s="26" t="str">
        <f>IFERROR(IF('ŞİKAYET KAYIT'!P429="Kapatıldı","",IF('ŞİKAYET KAYIT'!O429="","",'ŞİKAYET KAYIT'!O429)),"")</f>
        <v/>
      </c>
      <c r="M429" s="26" t="str">
        <f>IFERROR(IF('ŞİKAYET KAYIT'!P429="Kapatıldı","",IF('ŞİKAYET KAYIT'!P429="","",'ŞİKAYET KAYIT'!P429)),"")</f>
        <v/>
      </c>
    </row>
    <row r="430" spans="1:13" ht="15" customHeight="1" x14ac:dyDescent="0.3">
      <c r="A430" s="3" t="str">
        <f>IFERROR(IF('ŞİKAYET KAYIT'!P430="Kapatıldı","",IF('ŞİKAYET KAYIT'!A430="","",'ŞİKAYET KAYIT'!A430)),"")</f>
        <v/>
      </c>
      <c r="B430" s="5" t="str">
        <f>IFERROR(IF('ŞİKAYET KAYIT'!P430="Kapatıldı","",IF('ŞİKAYET KAYIT'!B430="","",'ŞİKAYET KAYIT'!B430)),"")</f>
        <v/>
      </c>
      <c r="C430" s="3" t="str">
        <f>IFERROR(IF('ŞİKAYET KAYIT'!P430="Kapatıldı","",IF('ŞİKAYET KAYIT'!D430="","",'ŞİKAYET KAYIT'!D430)),"")</f>
        <v/>
      </c>
      <c r="D430" s="3" t="str">
        <f>IFERROR(IF('ŞİKAYET KAYIT'!P430="Kapatıldı","",IF('ŞİKAYET KAYIT'!F430="","",'ŞİKAYET KAYIT'!F430)),"")</f>
        <v/>
      </c>
      <c r="E430" s="3" t="str">
        <f>IFERROR(IF('ŞİKAYET KAYIT'!P430="Kapatıldı","",IF('ŞİKAYET KAYIT'!H430="","",'ŞİKAYET KAYIT'!H430)),"")</f>
        <v/>
      </c>
      <c r="F430" s="3" t="str">
        <f>IFERROR(IF('ŞİKAYET KAYIT'!P430="Kapatıldı","",IF('ŞİKAYET KAYIT'!I430="","",'ŞİKAYET KAYIT'!I430)),"")</f>
        <v/>
      </c>
      <c r="G430" s="3" t="str">
        <f>IFERROR(IF('ŞİKAYET KAYIT'!P430="Kapatıldı","",IF('ŞİKAYET KAYIT'!J430="","",'ŞİKAYET KAYIT'!J430)),"")</f>
        <v/>
      </c>
      <c r="H430" s="3" t="str">
        <f>IFERROR(IF('ŞİKAYET KAYIT'!P430="Kapatıldı","",IF('ŞİKAYET KAYIT'!K430="","",'ŞİKAYET KAYIT'!K430)),"")</f>
        <v/>
      </c>
      <c r="I430" s="3" t="str">
        <f>IFERROR(IF('ŞİKAYET KAYIT'!P430="Kapatıldı","",IF('ŞİKAYET KAYIT'!L430="","",'ŞİKAYET KAYIT'!L430)),"")</f>
        <v/>
      </c>
      <c r="J430" s="3" t="str">
        <f>IFERROR(IF('ŞİKAYET KAYIT'!P430="Kapatıldı","",IF('ŞİKAYET KAYIT'!M430="","",'ŞİKAYET KAYIT'!M430)),"")</f>
        <v/>
      </c>
      <c r="K430" s="3" t="str">
        <f>IFERROR(IF('ŞİKAYET KAYIT'!P430="Kapatıldı","",IF('ŞİKAYET KAYIT'!N430="","",'ŞİKAYET KAYIT'!N430)),"")</f>
        <v/>
      </c>
      <c r="L430" s="3" t="str">
        <f>IFERROR(IF('ŞİKAYET KAYIT'!P430="Kapatıldı","",IF('ŞİKAYET KAYIT'!O430="","",'ŞİKAYET KAYIT'!O430)),"")</f>
        <v/>
      </c>
      <c r="M430" s="3" t="str">
        <f>IFERROR(IF('ŞİKAYET KAYIT'!P430="Kapatıldı","",IF('ŞİKAYET KAYIT'!P430="","",'ŞİKAYET KAYIT'!P430)),"")</f>
        <v/>
      </c>
    </row>
    <row r="431" spans="1:13" ht="15" customHeight="1" x14ac:dyDescent="0.3">
      <c r="A431" s="26" t="str">
        <f>IFERROR(IF('ŞİKAYET KAYIT'!P431="Kapatıldı","",IF('ŞİKAYET KAYIT'!A431="","",'ŞİKAYET KAYIT'!A431)),"")</f>
        <v/>
      </c>
      <c r="B431" s="8" t="str">
        <f>IFERROR(IF('ŞİKAYET KAYIT'!P431="Kapatıldı","",IF('ŞİKAYET KAYIT'!B431="","",'ŞİKAYET KAYIT'!B431)),"")</f>
        <v/>
      </c>
      <c r="C431" s="26" t="str">
        <f>IFERROR(IF('ŞİKAYET KAYIT'!P431="Kapatıldı","",IF('ŞİKAYET KAYIT'!D431="","",'ŞİKAYET KAYIT'!D431)),"")</f>
        <v/>
      </c>
      <c r="D431" s="26" t="str">
        <f>IFERROR(IF('ŞİKAYET KAYIT'!P431="Kapatıldı","",IF('ŞİKAYET KAYIT'!F431="","",'ŞİKAYET KAYIT'!F431)),"")</f>
        <v/>
      </c>
      <c r="E431" s="26" t="str">
        <f>IFERROR(IF('ŞİKAYET KAYIT'!P431="Kapatıldı","",IF('ŞİKAYET KAYIT'!H431="","",'ŞİKAYET KAYIT'!H431)),"")</f>
        <v/>
      </c>
      <c r="F431" s="26" t="str">
        <f>IFERROR(IF('ŞİKAYET KAYIT'!P431="Kapatıldı","",IF('ŞİKAYET KAYIT'!I431="","",'ŞİKAYET KAYIT'!I431)),"")</f>
        <v/>
      </c>
      <c r="G431" s="26" t="str">
        <f>IFERROR(IF('ŞİKAYET KAYIT'!P431="Kapatıldı","",IF('ŞİKAYET KAYIT'!J431="","",'ŞİKAYET KAYIT'!J431)),"")</f>
        <v/>
      </c>
      <c r="H431" s="26" t="str">
        <f>IFERROR(IF('ŞİKAYET KAYIT'!P431="Kapatıldı","",IF('ŞİKAYET KAYIT'!K431="","",'ŞİKAYET KAYIT'!K431)),"")</f>
        <v/>
      </c>
      <c r="I431" s="26" t="str">
        <f>IFERROR(IF('ŞİKAYET KAYIT'!P431="Kapatıldı","",IF('ŞİKAYET KAYIT'!L431="","",'ŞİKAYET KAYIT'!L431)),"")</f>
        <v/>
      </c>
      <c r="J431" s="26" t="str">
        <f>IFERROR(IF('ŞİKAYET KAYIT'!P431="Kapatıldı","",IF('ŞİKAYET KAYIT'!M431="","",'ŞİKAYET KAYIT'!M431)),"")</f>
        <v/>
      </c>
      <c r="K431" s="26" t="str">
        <f>IFERROR(IF('ŞİKAYET KAYIT'!P431="Kapatıldı","",IF('ŞİKAYET KAYIT'!N431="","",'ŞİKAYET KAYIT'!N431)),"")</f>
        <v/>
      </c>
      <c r="L431" s="26" t="str">
        <f>IFERROR(IF('ŞİKAYET KAYIT'!P431="Kapatıldı","",IF('ŞİKAYET KAYIT'!O431="","",'ŞİKAYET KAYIT'!O431)),"")</f>
        <v/>
      </c>
      <c r="M431" s="26" t="str">
        <f>IFERROR(IF('ŞİKAYET KAYIT'!P431="Kapatıldı","",IF('ŞİKAYET KAYIT'!P431="","",'ŞİKAYET KAYIT'!P431)),"")</f>
        <v/>
      </c>
    </row>
    <row r="432" spans="1:13" ht="15" customHeight="1" x14ac:dyDescent="0.3">
      <c r="A432" s="3" t="str">
        <f>IFERROR(IF('ŞİKAYET KAYIT'!P432="Kapatıldı","",IF('ŞİKAYET KAYIT'!A432="","",'ŞİKAYET KAYIT'!A432)),"")</f>
        <v/>
      </c>
      <c r="B432" s="5" t="str">
        <f>IFERROR(IF('ŞİKAYET KAYIT'!P432="Kapatıldı","",IF('ŞİKAYET KAYIT'!B432="","",'ŞİKAYET KAYIT'!B432)),"")</f>
        <v/>
      </c>
      <c r="C432" s="3" t="str">
        <f>IFERROR(IF('ŞİKAYET KAYIT'!P432="Kapatıldı","",IF('ŞİKAYET KAYIT'!D432="","",'ŞİKAYET KAYIT'!D432)),"")</f>
        <v/>
      </c>
      <c r="D432" s="3" t="str">
        <f>IFERROR(IF('ŞİKAYET KAYIT'!P432="Kapatıldı","",IF('ŞİKAYET KAYIT'!F432="","",'ŞİKAYET KAYIT'!F432)),"")</f>
        <v/>
      </c>
      <c r="E432" s="3" t="str">
        <f>IFERROR(IF('ŞİKAYET KAYIT'!P432="Kapatıldı","",IF('ŞİKAYET KAYIT'!H432="","",'ŞİKAYET KAYIT'!H432)),"")</f>
        <v/>
      </c>
      <c r="F432" s="3" t="str">
        <f>IFERROR(IF('ŞİKAYET KAYIT'!P432="Kapatıldı","",IF('ŞİKAYET KAYIT'!I432="","",'ŞİKAYET KAYIT'!I432)),"")</f>
        <v/>
      </c>
      <c r="G432" s="3" t="str">
        <f>IFERROR(IF('ŞİKAYET KAYIT'!P432="Kapatıldı","",IF('ŞİKAYET KAYIT'!J432="","",'ŞİKAYET KAYIT'!J432)),"")</f>
        <v/>
      </c>
      <c r="H432" s="3" t="str">
        <f>IFERROR(IF('ŞİKAYET KAYIT'!P432="Kapatıldı","",IF('ŞİKAYET KAYIT'!K432="","",'ŞİKAYET KAYIT'!K432)),"")</f>
        <v/>
      </c>
      <c r="I432" s="3" t="str">
        <f>IFERROR(IF('ŞİKAYET KAYIT'!P432="Kapatıldı","",IF('ŞİKAYET KAYIT'!L432="","",'ŞİKAYET KAYIT'!L432)),"")</f>
        <v/>
      </c>
      <c r="J432" s="3" t="str">
        <f>IFERROR(IF('ŞİKAYET KAYIT'!P432="Kapatıldı","",IF('ŞİKAYET KAYIT'!M432="","",'ŞİKAYET KAYIT'!M432)),"")</f>
        <v/>
      </c>
      <c r="K432" s="3" t="str">
        <f>IFERROR(IF('ŞİKAYET KAYIT'!P432="Kapatıldı","",IF('ŞİKAYET KAYIT'!N432="","",'ŞİKAYET KAYIT'!N432)),"")</f>
        <v/>
      </c>
      <c r="L432" s="3" t="str">
        <f>IFERROR(IF('ŞİKAYET KAYIT'!P432="Kapatıldı","",IF('ŞİKAYET KAYIT'!O432="","",'ŞİKAYET KAYIT'!O432)),"")</f>
        <v/>
      </c>
      <c r="M432" s="3" t="str">
        <f>IFERROR(IF('ŞİKAYET KAYIT'!P432="Kapatıldı","",IF('ŞİKAYET KAYIT'!P432="","",'ŞİKAYET KAYIT'!P432)),"")</f>
        <v/>
      </c>
    </row>
    <row r="433" spans="1:13" ht="15" customHeight="1" x14ac:dyDescent="0.3">
      <c r="A433" s="26" t="str">
        <f>IFERROR(IF('ŞİKAYET KAYIT'!P433="Kapatıldı","",IF('ŞİKAYET KAYIT'!A433="","",'ŞİKAYET KAYIT'!A433)),"")</f>
        <v/>
      </c>
      <c r="B433" s="8" t="str">
        <f>IFERROR(IF('ŞİKAYET KAYIT'!P433="Kapatıldı","",IF('ŞİKAYET KAYIT'!B433="","",'ŞİKAYET KAYIT'!B433)),"")</f>
        <v/>
      </c>
      <c r="C433" s="26" t="str">
        <f>IFERROR(IF('ŞİKAYET KAYIT'!P433="Kapatıldı","",IF('ŞİKAYET KAYIT'!D433="","",'ŞİKAYET KAYIT'!D433)),"")</f>
        <v/>
      </c>
      <c r="D433" s="26" t="str">
        <f>IFERROR(IF('ŞİKAYET KAYIT'!P433="Kapatıldı","",IF('ŞİKAYET KAYIT'!F433="","",'ŞİKAYET KAYIT'!F433)),"")</f>
        <v/>
      </c>
      <c r="E433" s="26" t="str">
        <f>IFERROR(IF('ŞİKAYET KAYIT'!P433="Kapatıldı","",IF('ŞİKAYET KAYIT'!H433="","",'ŞİKAYET KAYIT'!H433)),"")</f>
        <v/>
      </c>
      <c r="F433" s="26" t="str">
        <f>IFERROR(IF('ŞİKAYET KAYIT'!P433="Kapatıldı","",IF('ŞİKAYET KAYIT'!I433="","",'ŞİKAYET KAYIT'!I433)),"")</f>
        <v/>
      </c>
      <c r="G433" s="26" t="str">
        <f>IFERROR(IF('ŞİKAYET KAYIT'!P433="Kapatıldı","",IF('ŞİKAYET KAYIT'!J433="","",'ŞİKAYET KAYIT'!J433)),"")</f>
        <v/>
      </c>
      <c r="H433" s="26" t="str">
        <f>IFERROR(IF('ŞİKAYET KAYIT'!P433="Kapatıldı","",IF('ŞİKAYET KAYIT'!K433="","",'ŞİKAYET KAYIT'!K433)),"")</f>
        <v/>
      </c>
      <c r="I433" s="26" t="str">
        <f>IFERROR(IF('ŞİKAYET KAYIT'!P433="Kapatıldı","",IF('ŞİKAYET KAYIT'!L433="","",'ŞİKAYET KAYIT'!L433)),"")</f>
        <v/>
      </c>
      <c r="J433" s="26" t="str">
        <f>IFERROR(IF('ŞİKAYET KAYIT'!P433="Kapatıldı","",IF('ŞİKAYET KAYIT'!M433="","",'ŞİKAYET KAYIT'!M433)),"")</f>
        <v/>
      </c>
      <c r="K433" s="26" t="str">
        <f>IFERROR(IF('ŞİKAYET KAYIT'!P433="Kapatıldı","",IF('ŞİKAYET KAYIT'!N433="","",'ŞİKAYET KAYIT'!N433)),"")</f>
        <v/>
      </c>
      <c r="L433" s="26" t="str">
        <f>IFERROR(IF('ŞİKAYET KAYIT'!P433="Kapatıldı","",IF('ŞİKAYET KAYIT'!O433="","",'ŞİKAYET KAYIT'!O433)),"")</f>
        <v/>
      </c>
      <c r="M433" s="26" t="str">
        <f>IFERROR(IF('ŞİKAYET KAYIT'!P433="Kapatıldı","",IF('ŞİKAYET KAYIT'!P433="","",'ŞİKAYET KAYIT'!P433)),"")</f>
        <v/>
      </c>
    </row>
    <row r="434" spans="1:13" ht="15" customHeight="1" x14ac:dyDescent="0.3">
      <c r="A434" s="3" t="str">
        <f>IFERROR(IF('ŞİKAYET KAYIT'!P434="Kapatıldı","",IF('ŞİKAYET KAYIT'!A434="","",'ŞİKAYET KAYIT'!A434)),"")</f>
        <v/>
      </c>
      <c r="B434" s="5" t="str">
        <f>IFERROR(IF('ŞİKAYET KAYIT'!P434="Kapatıldı","",IF('ŞİKAYET KAYIT'!B434="","",'ŞİKAYET KAYIT'!B434)),"")</f>
        <v/>
      </c>
      <c r="C434" s="3" t="str">
        <f>IFERROR(IF('ŞİKAYET KAYIT'!P434="Kapatıldı","",IF('ŞİKAYET KAYIT'!D434="","",'ŞİKAYET KAYIT'!D434)),"")</f>
        <v/>
      </c>
      <c r="D434" s="3" t="str">
        <f>IFERROR(IF('ŞİKAYET KAYIT'!P434="Kapatıldı","",IF('ŞİKAYET KAYIT'!F434="","",'ŞİKAYET KAYIT'!F434)),"")</f>
        <v/>
      </c>
      <c r="E434" s="3" t="str">
        <f>IFERROR(IF('ŞİKAYET KAYIT'!P434="Kapatıldı","",IF('ŞİKAYET KAYIT'!H434="","",'ŞİKAYET KAYIT'!H434)),"")</f>
        <v/>
      </c>
      <c r="F434" s="3" t="str">
        <f>IFERROR(IF('ŞİKAYET KAYIT'!P434="Kapatıldı","",IF('ŞİKAYET KAYIT'!I434="","",'ŞİKAYET KAYIT'!I434)),"")</f>
        <v/>
      </c>
      <c r="G434" s="3" t="str">
        <f>IFERROR(IF('ŞİKAYET KAYIT'!P434="Kapatıldı","",IF('ŞİKAYET KAYIT'!J434="","",'ŞİKAYET KAYIT'!J434)),"")</f>
        <v/>
      </c>
      <c r="H434" s="3" t="str">
        <f>IFERROR(IF('ŞİKAYET KAYIT'!P434="Kapatıldı","",IF('ŞİKAYET KAYIT'!K434="","",'ŞİKAYET KAYIT'!K434)),"")</f>
        <v/>
      </c>
      <c r="I434" s="3" t="str">
        <f>IFERROR(IF('ŞİKAYET KAYIT'!P434="Kapatıldı","",IF('ŞİKAYET KAYIT'!L434="","",'ŞİKAYET KAYIT'!L434)),"")</f>
        <v/>
      </c>
      <c r="J434" s="3" t="str">
        <f>IFERROR(IF('ŞİKAYET KAYIT'!P434="Kapatıldı","",IF('ŞİKAYET KAYIT'!M434="","",'ŞİKAYET KAYIT'!M434)),"")</f>
        <v/>
      </c>
      <c r="K434" s="3" t="str">
        <f>IFERROR(IF('ŞİKAYET KAYIT'!P434="Kapatıldı","",IF('ŞİKAYET KAYIT'!N434="","",'ŞİKAYET KAYIT'!N434)),"")</f>
        <v/>
      </c>
      <c r="L434" s="3" t="str">
        <f>IFERROR(IF('ŞİKAYET KAYIT'!P434="Kapatıldı","",IF('ŞİKAYET KAYIT'!O434="","",'ŞİKAYET KAYIT'!O434)),"")</f>
        <v/>
      </c>
      <c r="M434" s="3" t="str">
        <f>IFERROR(IF('ŞİKAYET KAYIT'!P434="Kapatıldı","",IF('ŞİKAYET KAYIT'!P434="","",'ŞİKAYET KAYIT'!P434)),"")</f>
        <v/>
      </c>
    </row>
    <row r="435" spans="1:13" ht="15" customHeight="1" x14ac:dyDescent="0.3">
      <c r="A435" s="26" t="str">
        <f>IFERROR(IF('ŞİKAYET KAYIT'!P435="Kapatıldı","",IF('ŞİKAYET KAYIT'!A435="","",'ŞİKAYET KAYIT'!A435)),"")</f>
        <v/>
      </c>
      <c r="B435" s="8" t="str">
        <f>IFERROR(IF('ŞİKAYET KAYIT'!P435="Kapatıldı","",IF('ŞİKAYET KAYIT'!B435="","",'ŞİKAYET KAYIT'!B435)),"")</f>
        <v/>
      </c>
      <c r="C435" s="26" t="str">
        <f>IFERROR(IF('ŞİKAYET KAYIT'!P435="Kapatıldı","",IF('ŞİKAYET KAYIT'!D435="","",'ŞİKAYET KAYIT'!D435)),"")</f>
        <v/>
      </c>
      <c r="D435" s="26" t="str">
        <f>IFERROR(IF('ŞİKAYET KAYIT'!P435="Kapatıldı","",IF('ŞİKAYET KAYIT'!F435="","",'ŞİKAYET KAYIT'!F435)),"")</f>
        <v/>
      </c>
      <c r="E435" s="26" t="str">
        <f>IFERROR(IF('ŞİKAYET KAYIT'!P435="Kapatıldı","",IF('ŞİKAYET KAYIT'!H435="","",'ŞİKAYET KAYIT'!H435)),"")</f>
        <v/>
      </c>
      <c r="F435" s="26" t="str">
        <f>IFERROR(IF('ŞİKAYET KAYIT'!P435="Kapatıldı","",IF('ŞİKAYET KAYIT'!I435="","",'ŞİKAYET KAYIT'!I435)),"")</f>
        <v/>
      </c>
      <c r="G435" s="26" t="str">
        <f>IFERROR(IF('ŞİKAYET KAYIT'!P435="Kapatıldı","",IF('ŞİKAYET KAYIT'!J435="","",'ŞİKAYET KAYIT'!J435)),"")</f>
        <v/>
      </c>
      <c r="H435" s="26" t="str">
        <f>IFERROR(IF('ŞİKAYET KAYIT'!P435="Kapatıldı","",IF('ŞİKAYET KAYIT'!K435="","",'ŞİKAYET KAYIT'!K435)),"")</f>
        <v/>
      </c>
      <c r="I435" s="26" t="str">
        <f>IFERROR(IF('ŞİKAYET KAYIT'!P435="Kapatıldı","",IF('ŞİKAYET KAYIT'!L435="","",'ŞİKAYET KAYIT'!L435)),"")</f>
        <v/>
      </c>
      <c r="J435" s="26" t="str">
        <f>IFERROR(IF('ŞİKAYET KAYIT'!P435="Kapatıldı","",IF('ŞİKAYET KAYIT'!M435="","",'ŞİKAYET KAYIT'!M435)),"")</f>
        <v/>
      </c>
      <c r="K435" s="26" t="str">
        <f>IFERROR(IF('ŞİKAYET KAYIT'!P435="Kapatıldı","",IF('ŞİKAYET KAYIT'!N435="","",'ŞİKAYET KAYIT'!N435)),"")</f>
        <v/>
      </c>
      <c r="L435" s="26" t="str">
        <f>IFERROR(IF('ŞİKAYET KAYIT'!P435="Kapatıldı","",IF('ŞİKAYET KAYIT'!O435="","",'ŞİKAYET KAYIT'!O435)),"")</f>
        <v/>
      </c>
      <c r="M435" s="26" t="str">
        <f>IFERROR(IF('ŞİKAYET KAYIT'!P435="Kapatıldı","",IF('ŞİKAYET KAYIT'!P435="","",'ŞİKAYET KAYIT'!P435)),"")</f>
        <v/>
      </c>
    </row>
    <row r="436" spans="1:13" ht="15" customHeight="1" x14ac:dyDescent="0.3">
      <c r="A436" s="3" t="str">
        <f>IFERROR(IF('ŞİKAYET KAYIT'!P436="Kapatıldı","",IF('ŞİKAYET KAYIT'!A436="","",'ŞİKAYET KAYIT'!A436)),"")</f>
        <v/>
      </c>
      <c r="B436" s="5" t="str">
        <f>IFERROR(IF('ŞİKAYET KAYIT'!P436="Kapatıldı","",IF('ŞİKAYET KAYIT'!B436="","",'ŞİKAYET KAYIT'!B436)),"")</f>
        <v/>
      </c>
      <c r="C436" s="3" t="str">
        <f>IFERROR(IF('ŞİKAYET KAYIT'!P436="Kapatıldı","",IF('ŞİKAYET KAYIT'!D436="","",'ŞİKAYET KAYIT'!D436)),"")</f>
        <v/>
      </c>
      <c r="D436" s="3" t="str">
        <f>IFERROR(IF('ŞİKAYET KAYIT'!P436="Kapatıldı","",IF('ŞİKAYET KAYIT'!F436="","",'ŞİKAYET KAYIT'!F436)),"")</f>
        <v/>
      </c>
      <c r="E436" s="3" t="str">
        <f>IFERROR(IF('ŞİKAYET KAYIT'!P436="Kapatıldı","",IF('ŞİKAYET KAYIT'!H436="","",'ŞİKAYET KAYIT'!H436)),"")</f>
        <v/>
      </c>
      <c r="F436" s="3" t="str">
        <f>IFERROR(IF('ŞİKAYET KAYIT'!P436="Kapatıldı","",IF('ŞİKAYET KAYIT'!I436="","",'ŞİKAYET KAYIT'!I436)),"")</f>
        <v/>
      </c>
      <c r="G436" s="3" t="str">
        <f>IFERROR(IF('ŞİKAYET KAYIT'!P436="Kapatıldı","",IF('ŞİKAYET KAYIT'!J436="","",'ŞİKAYET KAYIT'!J436)),"")</f>
        <v/>
      </c>
      <c r="H436" s="3" t="str">
        <f>IFERROR(IF('ŞİKAYET KAYIT'!P436="Kapatıldı","",IF('ŞİKAYET KAYIT'!K436="","",'ŞİKAYET KAYIT'!K436)),"")</f>
        <v/>
      </c>
      <c r="I436" s="3" t="str">
        <f>IFERROR(IF('ŞİKAYET KAYIT'!P436="Kapatıldı","",IF('ŞİKAYET KAYIT'!L436="","",'ŞİKAYET KAYIT'!L436)),"")</f>
        <v/>
      </c>
      <c r="J436" s="3" t="str">
        <f>IFERROR(IF('ŞİKAYET KAYIT'!P436="Kapatıldı","",IF('ŞİKAYET KAYIT'!M436="","",'ŞİKAYET KAYIT'!M436)),"")</f>
        <v/>
      </c>
      <c r="K436" s="3" t="str">
        <f>IFERROR(IF('ŞİKAYET KAYIT'!P436="Kapatıldı","",IF('ŞİKAYET KAYIT'!N436="","",'ŞİKAYET KAYIT'!N436)),"")</f>
        <v/>
      </c>
      <c r="L436" s="3" t="str">
        <f>IFERROR(IF('ŞİKAYET KAYIT'!P436="Kapatıldı","",IF('ŞİKAYET KAYIT'!O436="","",'ŞİKAYET KAYIT'!O436)),"")</f>
        <v/>
      </c>
      <c r="M436" s="3" t="str">
        <f>IFERROR(IF('ŞİKAYET KAYIT'!P436="Kapatıldı","",IF('ŞİKAYET KAYIT'!P436="","",'ŞİKAYET KAYIT'!P436)),"")</f>
        <v/>
      </c>
    </row>
    <row r="437" spans="1:13" ht="15" customHeight="1" x14ac:dyDescent="0.3">
      <c r="A437" s="26" t="str">
        <f>IFERROR(IF('ŞİKAYET KAYIT'!P437="Kapatıldı","",IF('ŞİKAYET KAYIT'!A437="","",'ŞİKAYET KAYIT'!A437)),"")</f>
        <v/>
      </c>
      <c r="B437" s="8" t="str">
        <f>IFERROR(IF('ŞİKAYET KAYIT'!P437="Kapatıldı","",IF('ŞİKAYET KAYIT'!B437="","",'ŞİKAYET KAYIT'!B437)),"")</f>
        <v/>
      </c>
      <c r="C437" s="26" t="str">
        <f>IFERROR(IF('ŞİKAYET KAYIT'!P437="Kapatıldı","",IF('ŞİKAYET KAYIT'!D437="","",'ŞİKAYET KAYIT'!D437)),"")</f>
        <v/>
      </c>
      <c r="D437" s="26" t="str">
        <f>IFERROR(IF('ŞİKAYET KAYIT'!P437="Kapatıldı","",IF('ŞİKAYET KAYIT'!F437="","",'ŞİKAYET KAYIT'!F437)),"")</f>
        <v/>
      </c>
      <c r="E437" s="26" t="str">
        <f>IFERROR(IF('ŞİKAYET KAYIT'!P437="Kapatıldı","",IF('ŞİKAYET KAYIT'!H437="","",'ŞİKAYET KAYIT'!H437)),"")</f>
        <v/>
      </c>
      <c r="F437" s="26" t="str">
        <f>IFERROR(IF('ŞİKAYET KAYIT'!P437="Kapatıldı","",IF('ŞİKAYET KAYIT'!I437="","",'ŞİKAYET KAYIT'!I437)),"")</f>
        <v/>
      </c>
      <c r="G437" s="26" t="str">
        <f>IFERROR(IF('ŞİKAYET KAYIT'!P437="Kapatıldı","",IF('ŞİKAYET KAYIT'!J437="","",'ŞİKAYET KAYIT'!J437)),"")</f>
        <v/>
      </c>
      <c r="H437" s="26" t="str">
        <f>IFERROR(IF('ŞİKAYET KAYIT'!P437="Kapatıldı","",IF('ŞİKAYET KAYIT'!K437="","",'ŞİKAYET KAYIT'!K437)),"")</f>
        <v/>
      </c>
      <c r="I437" s="26" t="str">
        <f>IFERROR(IF('ŞİKAYET KAYIT'!P437="Kapatıldı","",IF('ŞİKAYET KAYIT'!L437="","",'ŞİKAYET KAYIT'!L437)),"")</f>
        <v/>
      </c>
      <c r="J437" s="26" t="str">
        <f>IFERROR(IF('ŞİKAYET KAYIT'!P437="Kapatıldı","",IF('ŞİKAYET KAYIT'!M437="","",'ŞİKAYET KAYIT'!M437)),"")</f>
        <v/>
      </c>
      <c r="K437" s="26" t="str">
        <f>IFERROR(IF('ŞİKAYET KAYIT'!P437="Kapatıldı","",IF('ŞİKAYET KAYIT'!N437="","",'ŞİKAYET KAYIT'!N437)),"")</f>
        <v/>
      </c>
      <c r="L437" s="26" t="str">
        <f>IFERROR(IF('ŞİKAYET KAYIT'!P437="Kapatıldı","",IF('ŞİKAYET KAYIT'!O437="","",'ŞİKAYET KAYIT'!O437)),"")</f>
        <v/>
      </c>
      <c r="M437" s="26" t="str">
        <f>IFERROR(IF('ŞİKAYET KAYIT'!P437="Kapatıldı","",IF('ŞİKAYET KAYIT'!P437="","",'ŞİKAYET KAYIT'!P437)),"")</f>
        <v/>
      </c>
    </row>
    <row r="438" spans="1:13" ht="15" customHeight="1" x14ac:dyDescent="0.3">
      <c r="A438" s="3" t="str">
        <f>IFERROR(IF('ŞİKAYET KAYIT'!P438="Kapatıldı","",IF('ŞİKAYET KAYIT'!A438="","",'ŞİKAYET KAYIT'!A438)),"")</f>
        <v/>
      </c>
      <c r="B438" s="5" t="str">
        <f>IFERROR(IF('ŞİKAYET KAYIT'!P438="Kapatıldı","",IF('ŞİKAYET KAYIT'!B438="","",'ŞİKAYET KAYIT'!B438)),"")</f>
        <v/>
      </c>
      <c r="C438" s="3" t="str">
        <f>IFERROR(IF('ŞİKAYET KAYIT'!P438="Kapatıldı","",IF('ŞİKAYET KAYIT'!D438="","",'ŞİKAYET KAYIT'!D438)),"")</f>
        <v/>
      </c>
      <c r="D438" s="3" t="str">
        <f>IFERROR(IF('ŞİKAYET KAYIT'!P438="Kapatıldı","",IF('ŞİKAYET KAYIT'!F438="","",'ŞİKAYET KAYIT'!F438)),"")</f>
        <v/>
      </c>
      <c r="E438" s="3" t="str">
        <f>IFERROR(IF('ŞİKAYET KAYIT'!P438="Kapatıldı","",IF('ŞİKAYET KAYIT'!H438="","",'ŞİKAYET KAYIT'!H438)),"")</f>
        <v/>
      </c>
      <c r="F438" s="3" t="str">
        <f>IFERROR(IF('ŞİKAYET KAYIT'!P438="Kapatıldı","",IF('ŞİKAYET KAYIT'!I438="","",'ŞİKAYET KAYIT'!I438)),"")</f>
        <v/>
      </c>
      <c r="G438" s="3" t="str">
        <f>IFERROR(IF('ŞİKAYET KAYIT'!P438="Kapatıldı","",IF('ŞİKAYET KAYIT'!J438="","",'ŞİKAYET KAYIT'!J438)),"")</f>
        <v/>
      </c>
      <c r="H438" s="3" t="str">
        <f>IFERROR(IF('ŞİKAYET KAYIT'!P438="Kapatıldı","",IF('ŞİKAYET KAYIT'!K438="","",'ŞİKAYET KAYIT'!K438)),"")</f>
        <v/>
      </c>
      <c r="I438" s="3" t="str">
        <f>IFERROR(IF('ŞİKAYET KAYIT'!P438="Kapatıldı","",IF('ŞİKAYET KAYIT'!L438="","",'ŞİKAYET KAYIT'!L438)),"")</f>
        <v/>
      </c>
      <c r="J438" s="3" t="str">
        <f>IFERROR(IF('ŞİKAYET KAYIT'!P438="Kapatıldı","",IF('ŞİKAYET KAYIT'!M438="","",'ŞİKAYET KAYIT'!M438)),"")</f>
        <v/>
      </c>
      <c r="K438" s="3" t="str">
        <f>IFERROR(IF('ŞİKAYET KAYIT'!P438="Kapatıldı","",IF('ŞİKAYET KAYIT'!N438="","",'ŞİKAYET KAYIT'!N438)),"")</f>
        <v/>
      </c>
      <c r="L438" s="3" t="str">
        <f>IFERROR(IF('ŞİKAYET KAYIT'!P438="Kapatıldı","",IF('ŞİKAYET KAYIT'!O438="","",'ŞİKAYET KAYIT'!O438)),"")</f>
        <v/>
      </c>
      <c r="M438" s="3" t="str">
        <f>IFERROR(IF('ŞİKAYET KAYIT'!P438="Kapatıldı","",IF('ŞİKAYET KAYIT'!P438="","",'ŞİKAYET KAYIT'!P438)),"")</f>
        <v/>
      </c>
    </row>
    <row r="439" spans="1:13" ht="15" customHeight="1" x14ac:dyDescent="0.3">
      <c r="A439" s="26" t="str">
        <f>IFERROR(IF('ŞİKAYET KAYIT'!P439="Kapatıldı","",IF('ŞİKAYET KAYIT'!A439="","",'ŞİKAYET KAYIT'!A439)),"")</f>
        <v/>
      </c>
      <c r="B439" s="8" t="str">
        <f>IFERROR(IF('ŞİKAYET KAYIT'!P439="Kapatıldı","",IF('ŞİKAYET KAYIT'!B439="","",'ŞİKAYET KAYIT'!B439)),"")</f>
        <v/>
      </c>
      <c r="C439" s="26" t="str">
        <f>IFERROR(IF('ŞİKAYET KAYIT'!P439="Kapatıldı","",IF('ŞİKAYET KAYIT'!D439="","",'ŞİKAYET KAYIT'!D439)),"")</f>
        <v/>
      </c>
      <c r="D439" s="26" t="str">
        <f>IFERROR(IF('ŞİKAYET KAYIT'!P439="Kapatıldı","",IF('ŞİKAYET KAYIT'!F439="","",'ŞİKAYET KAYIT'!F439)),"")</f>
        <v/>
      </c>
      <c r="E439" s="26" t="str">
        <f>IFERROR(IF('ŞİKAYET KAYIT'!P439="Kapatıldı","",IF('ŞİKAYET KAYIT'!H439="","",'ŞİKAYET KAYIT'!H439)),"")</f>
        <v/>
      </c>
      <c r="F439" s="26" t="str">
        <f>IFERROR(IF('ŞİKAYET KAYIT'!P439="Kapatıldı","",IF('ŞİKAYET KAYIT'!I439="","",'ŞİKAYET KAYIT'!I439)),"")</f>
        <v/>
      </c>
      <c r="G439" s="26" t="str">
        <f>IFERROR(IF('ŞİKAYET KAYIT'!P439="Kapatıldı","",IF('ŞİKAYET KAYIT'!J439="","",'ŞİKAYET KAYIT'!J439)),"")</f>
        <v/>
      </c>
      <c r="H439" s="26" t="str">
        <f>IFERROR(IF('ŞİKAYET KAYIT'!P439="Kapatıldı","",IF('ŞİKAYET KAYIT'!K439="","",'ŞİKAYET KAYIT'!K439)),"")</f>
        <v/>
      </c>
      <c r="I439" s="26" t="str">
        <f>IFERROR(IF('ŞİKAYET KAYIT'!P439="Kapatıldı","",IF('ŞİKAYET KAYIT'!L439="","",'ŞİKAYET KAYIT'!L439)),"")</f>
        <v/>
      </c>
      <c r="J439" s="26" t="str">
        <f>IFERROR(IF('ŞİKAYET KAYIT'!P439="Kapatıldı","",IF('ŞİKAYET KAYIT'!M439="","",'ŞİKAYET KAYIT'!M439)),"")</f>
        <v/>
      </c>
      <c r="K439" s="26" t="str">
        <f>IFERROR(IF('ŞİKAYET KAYIT'!P439="Kapatıldı","",IF('ŞİKAYET KAYIT'!N439="","",'ŞİKAYET KAYIT'!N439)),"")</f>
        <v/>
      </c>
      <c r="L439" s="26" t="str">
        <f>IFERROR(IF('ŞİKAYET KAYIT'!P439="Kapatıldı","",IF('ŞİKAYET KAYIT'!O439="","",'ŞİKAYET KAYIT'!O439)),"")</f>
        <v/>
      </c>
      <c r="M439" s="26" t="str">
        <f>IFERROR(IF('ŞİKAYET KAYIT'!P439="Kapatıldı","",IF('ŞİKAYET KAYIT'!P439="","",'ŞİKAYET KAYIT'!P439)),"")</f>
        <v/>
      </c>
    </row>
    <row r="440" spans="1:13" ht="15" customHeight="1" x14ac:dyDescent="0.3">
      <c r="A440" s="3" t="str">
        <f>IFERROR(IF('ŞİKAYET KAYIT'!P440="Kapatıldı","",IF('ŞİKAYET KAYIT'!A440="","",'ŞİKAYET KAYIT'!A440)),"")</f>
        <v/>
      </c>
      <c r="B440" s="5" t="str">
        <f>IFERROR(IF('ŞİKAYET KAYIT'!P440="Kapatıldı","",IF('ŞİKAYET KAYIT'!B440="","",'ŞİKAYET KAYIT'!B440)),"")</f>
        <v/>
      </c>
      <c r="C440" s="3" t="str">
        <f>IFERROR(IF('ŞİKAYET KAYIT'!P440="Kapatıldı","",IF('ŞİKAYET KAYIT'!D440="","",'ŞİKAYET KAYIT'!D440)),"")</f>
        <v/>
      </c>
      <c r="D440" s="3" t="str">
        <f>IFERROR(IF('ŞİKAYET KAYIT'!P440="Kapatıldı","",IF('ŞİKAYET KAYIT'!F440="","",'ŞİKAYET KAYIT'!F440)),"")</f>
        <v/>
      </c>
      <c r="E440" s="3" t="str">
        <f>IFERROR(IF('ŞİKAYET KAYIT'!P440="Kapatıldı","",IF('ŞİKAYET KAYIT'!H440="","",'ŞİKAYET KAYIT'!H440)),"")</f>
        <v/>
      </c>
      <c r="F440" s="3" t="str">
        <f>IFERROR(IF('ŞİKAYET KAYIT'!P440="Kapatıldı","",IF('ŞİKAYET KAYIT'!I440="","",'ŞİKAYET KAYIT'!I440)),"")</f>
        <v/>
      </c>
      <c r="G440" s="3" t="str">
        <f>IFERROR(IF('ŞİKAYET KAYIT'!P440="Kapatıldı","",IF('ŞİKAYET KAYIT'!J440="","",'ŞİKAYET KAYIT'!J440)),"")</f>
        <v/>
      </c>
      <c r="H440" s="3" t="str">
        <f>IFERROR(IF('ŞİKAYET KAYIT'!P440="Kapatıldı","",IF('ŞİKAYET KAYIT'!K440="","",'ŞİKAYET KAYIT'!K440)),"")</f>
        <v/>
      </c>
      <c r="I440" s="3" t="str">
        <f>IFERROR(IF('ŞİKAYET KAYIT'!P440="Kapatıldı","",IF('ŞİKAYET KAYIT'!L440="","",'ŞİKAYET KAYIT'!L440)),"")</f>
        <v/>
      </c>
      <c r="J440" s="3" t="str">
        <f>IFERROR(IF('ŞİKAYET KAYIT'!P440="Kapatıldı","",IF('ŞİKAYET KAYIT'!M440="","",'ŞİKAYET KAYIT'!M440)),"")</f>
        <v/>
      </c>
      <c r="K440" s="3" t="str">
        <f>IFERROR(IF('ŞİKAYET KAYIT'!P440="Kapatıldı","",IF('ŞİKAYET KAYIT'!N440="","",'ŞİKAYET KAYIT'!N440)),"")</f>
        <v/>
      </c>
      <c r="L440" s="3" t="str">
        <f>IFERROR(IF('ŞİKAYET KAYIT'!P440="Kapatıldı","",IF('ŞİKAYET KAYIT'!O440="","",'ŞİKAYET KAYIT'!O440)),"")</f>
        <v/>
      </c>
      <c r="M440" s="3" t="str">
        <f>IFERROR(IF('ŞİKAYET KAYIT'!P440="Kapatıldı","",IF('ŞİKAYET KAYIT'!P440="","",'ŞİKAYET KAYIT'!P440)),"")</f>
        <v/>
      </c>
    </row>
    <row r="441" spans="1:13" ht="15" customHeight="1" x14ac:dyDescent="0.3">
      <c r="A441" s="26" t="str">
        <f>IFERROR(IF('ŞİKAYET KAYIT'!P441="Kapatıldı","",IF('ŞİKAYET KAYIT'!A441="","",'ŞİKAYET KAYIT'!A441)),"")</f>
        <v/>
      </c>
      <c r="B441" s="8" t="str">
        <f>IFERROR(IF('ŞİKAYET KAYIT'!P441="Kapatıldı","",IF('ŞİKAYET KAYIT'!B441="","",'ŞİKAYET KAYIT'!B441)),"")</f>
        <v/>
      </c>
      <c r="C441" s="26" t="str">
        <f>IFERROR(IF('ŞİKAYET KAYIT'!P441="Kapatıldı","",IF('ŞİKAYET KAYIT'!D441="","",'ŞİKAYET KAYIT'!D441)),"")</f>
        <v/>
      </c>
      <c r="D441" s="26" t="str">
        <f>IFERROR(IF('ŞİKAYET KAYIT'!P441="Kapatıldı","",IF('ŞİKAYET KAYIT'!F441="","",'ŞİKAYET KAYIT'!F441)),"")</f>
        <v/>
      </c>
      <c r="E441" s="26" t="str">
        <f>IFERROR(IF('ŞİKAYET KAYIT'!P441="Kapatıldı","",IF('ŞİKAYET KAYIT'!H441="","",'ŞİKAYET KAYIT'!H441)),"")</f>
        <v/>
      </c>
      <c r="F441" s="26" t="str">
        <f>IFERROR(IF('ŞİKAYET KAYIT'!P441="Kapatıldı","",IF('ŞİKAYET KAYIT'!I441="","",'ŞİKAYET KAYIT'!I441)),"")</f>
        <v/>
      </c>
      <c r="G441" s="26" t="str">
        <f>IFERROR(IF('ŞİKAYET KAYIT'!P441="Kapatıldı","",IF('ŞİKAYET KAYIT'!J441="","",'ŞİKAYET KAYIT'!J441)),"")</f>
        <v/>
      </c>
      <c r="H441" s="26" t="str">
        <f>IFERROR(IF('ŞİKAYET KAYIT'!P441="Kapatıldı","",IF('ŞİKAYET KAYIT'!K441="","",'ŞİKAYET KAYIT'!K441)),"")</f>
        <v/>
      </c>
      <c r="I441" s="26" t="str">
        <f>IFERROR(IF('ŞİKAYET KAYIT'!P441="Kapatıldı","",IF('ŞİKAYET KAYIT'!L441="","",'ŞİKAYET KAYIT'!L441)),"")</f>
        <v/>
      </c>
      <c r="J441" s="26" t="str">
        <f>IFERROR(IF('ŞİKAYET KAYIT'!P441="Kapatıldı","",IF('ŞİKAYET KAYIT'!M441="","",'ŞİKAYET KAYIT'!M441)),"")</f>
        <v/>
      </c>
      <c r="K441" s="26" t="str">
        <f>IFERROR(IF('ŞİKAYET KAYIT'!P441="Kapatıldı","",IF('ŞİKAYET KAYIT'!N441="","",'ŞİKAYET KAYIT'!N441)),"")</f>
        <v/>
      </c>
      <c r="L441" s="26" t="str">
        <f>IFERROR(IF('ŞİKAYET KAYIT'!P441="Kapatıldı","",IF('ŞİKAYET KAYIT'!O441="","",'ŞİKAYET KAYIT'!O441)),"")</f>
        <v/>
      </c>
      <c r="M441" s="26" t="str">
        <f>IFERROR(IF('ŞİKAYET KAYIT'!P441="Kapatıldı","",IF('ŞİKAYET KAYIT'!P441="","",'ŞİKAYET KAYIT'!P441)),"")</f>
        <v/>
      </c>
    </row>
    <row r="442" spans="1:13" ht="15" customHeight="1" x14ac:dyDescent="0.3">
      <c r="A442" s="3" t="str">
        <f>IFERROR(IF('ŞİKAYET KAYIT'!P442="Kapatıldı","",IF('ŞİKAYET KAYIT'!A442="","",'ŞİKAYET KAYIT'!A442)),"")</f>
        <v/>
      </c>
      <c r="B442" s="5" t="str">
        <f>IFERROR(IF('ŞİKAYET KAYIT'!P442="Kapatıldı","",IF('ŞİKAYET KAYIT'!B442="","",'ŞİKAYET KAYIT'!B442)),"")</f>
        <v/>
      </c>
      <c r="C442" s="3" t="str">
        <f>IFERROR(IF('ŞİKAYET KAYIT'!P442="Kapatıldı","",IF('ŞİKAYET KAYIT'!D442="","",'ŞİKAYET KAYIT'!D442)),"")</f>
        <v/>
      </c>
      <c r="D442" s="3" t="str">
        <f>IFERROR(IF('ŞİKAYET KAYIT'!P442="Kapatıldı","",IF('ŞİKAYET KAYIT'!F442="","",'ŞİKAYET KAYIT'!F442)),"")</f>
        <v/>
      </c>
      <c r="E442" s="3" t="str">
        <f>IFERROR(IF('ŞİKAYET KAYIT'!P442="Kapatıldı","",IF('ŞİKAYET KAYIT'!H442="","",'ŞİKAYET KAYIT'!H442)),"")</f>
        <v/>
      </c>
      <c r="F442" s="3" t="str">
        <f>IFERROR(IF('ŞİKAYET KAYIT'!P442="Kapatıldı","",IF('ŞİKAYET KAYIT'!I442="","",'ŞİKAYET KAYIT'!I442)),"")</f>
        <v/>
      </c>
      <c r="G442" s="3" t="str">
        <f>IFERROR(IF('ŞİKAYET KAYIT'!P442="Kapatıldı","",IF('ŞİKAYET KAYIT'!J442="","",'ŞİKAYET KAYIT'!J442)),"")</f>
        <v/>
      </c>
      <c r="H442" s="3" t="str">
        <f>IFERROR(IF('ŞİKAYET KAYIT'!P442="Kapatıldı","",IF('ŞİKAYET KAYIT'!K442="","",'ŞİKAYET KAYIT'!K442)),"")</f>
        <v/>
      </c>
      <c r="I442" s="3" t="str">
        <f>IFERROR(IF('ŞİKAYET KAYIT'!P442="Kapatıldı","",IF('ŞİKAYET KAYIT'!L442="","",'ŞİKAYET KAYIT'!L442)),"")</f>
        <v/>
      </c>
      <c r="J442" s="3" t="str">
        <f>IFERROR(IF('ŞİKAYET KAYIT'!P442="Kapatıldı","",IF('ŞİKAYET KAYIT'!M442="","",'ŞİKAYET KAYIT'!M442)),"")</f>
        <v/>
      </c>
      <c r="K442" s="3" t="str">
        <f>IFERROR(IF('ŞİKAYET KAYIT'!P442="Kapatıldı","",IF('ŞİKAYET KAYIT'!N442="","",'ŞİKAYET KAYIT'!N442)),"")</f>
        <v/>
      </c>
      <c r="L442" s="3" t="str">
        <f>IFERROR(IF('ŞİKAYET KAYIT'!P442="Kapatıldı","",IF('ŞİKAYET KAYIT'!O442="","",'ŞİKAYET KAYIT'!O442)),"")</f>
        <v/>
      </c>
      <c r="M442" s="3" t="str">
        <f>IFERROR(IF('ŞİKAYET KAYIT'!P442="Kapatıldı","",IF('ŞİKAYET KAYIT'!P442="","",'ŞİKAYET KAYIT'!P442)),"")</f>
        <v/>
      </c>
    </row>
    <row r="443" spans="1:13" ht="15" customHeight="1" x14ac:dyDescent="0.3">
      <c r="A443" s="26" t="str">
        <f>IFERROR(IF('ŞİKAYET KAYIT'!P443="Kapatıldı","",IF('ŞİKAYET KAYIT'!A443="","",'ŞİKAYET KAYIT'!A443)),"")</f>
        <v/>
      </c>
      <c r="B443" s="8" t="str">
        <f>IFERROR(IF('ŞİKAYET KAYIT'!P443="Kapatıldı","",IF('ŞİKAYET KAYIT'!B443="","",'ŞİKAYET KAYIT'!B443)),"")</f>
        <v/>
      </c>
      <c r="C443" s="26" t="str">
        <f>IFERROR(IF('ŞİKAYET KAYIT'!P443="Kapatıldı","",IF('ŞİKAYET KAYIT'!D443="","",'ŞİKAYET KAYIT'!D443)),"")</f>
        <v/>
      </c>
      <c r="D443" s="26" t="str">
        <f>IFERROR(IF('ŞİKAYET KAYIT'!P443="Kapatıldı","",IF('ŞİKAYET KAYIT'!F443="","",'ŞİKAYET KAYIT'!F443)),"")</f>
        <v/>
      </c>
      <c r="E443" s="26" t="str">
        <f>IFERROR(IF('ŞİKAYET KAYIT'!P443="Kapatıldı","",IF('ŞİKAYET KAYIT'!H443="","",'ŞİKAYET KAYIT'!H443)),"")</f>
        <v/>
      </c>
      <c r="F443" s="26" t="str">
        <f>IFERROR(IF('ŞİKAYET KAYIT'!P443="Kapatıldı","",IF('ŞİKAYET KAYIT'!I443="","",'ŞİKAYET KAYIT'!I443)),"")</f>
        <v/>
      </c>
      <c r="G443" s="26" t="str">
        <f>IFERROR(IF('ŞİKAYET KAYIT'!P443="Kapatıldı","",IF('ŞİKAYET KAYIT'!J443="","",'ŞİKAYET KAYIT'!J443)),"")</f>
        <v/>
      </c>
      <c r="H443" s="26" t="str">
        <f>IFERROR(IF('ŞİKAYET KAYIT'!P443="Kapatıldı","",IF('ŞİKAYET KAYIT'!K443="","",'ŞİKAYET KAYIT'!K443)),"")</f>
        <v/>
      </c>
      <c r="I443" s="26" t="str">
        <f>IFERROR(IF('ŞİKAYET KAYIT'!P443="Kapatıldı","",IF('ŞİKAYET KAYIT'!L443="","",'ŞİKAYET KAYIT'!L443)),"")</f>
        <v/>
      </c>
      <c r="J443" s="26" t="str">
        <f>IFERROR(IF('ŞİKAYET KAYIT'!P443="Kapatıldı","",IF('ŞİKAYET KAYIT'!M443="","",'ŞİKAYET KAYIT'!M443)),"")</f>
        <v/>
      </c>
      <c r="K443" s="26" t="str">
        <f>IFERROR(IF('ŞİKAYET KAYIT'!P443="Kapatıldı","",IF('ŞİKAYET KAYIT'!N443="","",'ŞİKAYET KAYIT'!N443)),"")</f>
        <v/>
      </c>
      <c r="L443" s="26" t="str">
        <f>IFERROR(IF('ŞİKAYET KAYIT'!P443="Kapatıldı","",IF('ŞİKAYET KAYIT'!O443="","",'ŞİKAYET KAYIT'!O443)),"")</f>
        <v/>
      </c>
      <c r="M443" s="26" t="str">
        <f>IFERROR(IF('ŞİKAYET KAYIT'!P443="Kapatıldı","",IF('ŞİKAYET KAYIT'!P443="","",'ŞİKAYET KAYIT'!P443)),"")</f>
        <v/>
      </c>
    </row>
    <row r="444" spans="1:13" ht="15" customHeight="1" x14ac:dyDescent="0.3">
      <c r="A444" s="3" t="str">
        <f>IFERROR(IF('ŞİKAYET KAYIT'!P444="Kapatıldı","",IF('ŞİKAYET KAYIT'!A444="","",'ŞİKAYET KAYIT'!A444)),"")</f>
        <v/>
      </c>
      <c r="B444" s="5" t="str">
        <f>IFERROR(IF('ŞİKAYET KAYIT'!P444="Kapatıldı","",IF('ŞİKAYET KAYIT'!B444="","",'ŞİKAYET KAYIT'!B444)),"")</f>
        <v/>
      </c>
      <c r="C444" s="3" t="str">
        <f>IFERROR(IF('ŞİKAYET KAYIT'!P444="Kapatıldı","",IF('ŞİKAYET KAYIT'!D444="","",'ŞİKAYET KAYIT'!D444)),"")</f>
        <v/>
      </c>
      <c r="D444" s="3" t="str">
        <f>IFERROR(IF('ŞİKAYET KAYIT'!P444="Kapatıldı","",IF('ŞİKAYET KAYIT'!F444="","",'ŞİKAYET KAYIT'!F444)),"")</f>
        <v/>
      </c>
      <c r="E444" s="3" t="str">
        <f>IFERROR(IF('ŞİKAYET KAYIT'!P444="Kapatıldı","",IF('ŞİKAYET KAYIT'!H444="","",'ŞİKAYET KAYIT'!H444)),"")</f>
        <v/>
      </c>
      <c r="F444" s="3" t="str">
        <f>IFERROR(IF('ŞİKAYET KAYIT'!P444="Kapatıldı","",IF('ŞİKAYET KAYIT'!I444="","",'ŞİKAYET KAYIT'!I444)),"")</f>
        <v/>
      </c>
      <c r="G444" s="3" t="str">
        <f>IFERROR(IF('ŞİKAYET KAYIT'!P444="Kapatıldı","",IF('ŞİKAYET KAYIT'!J444="","",'ŞİKAYET KAYIT'!J444)),"")</f>
        <v/>
      </c>
      <c r="H444" s="3" t="str">
        <f>IFERROR(IF('ŞİKAYET KAYIT'!P444="Kapatıldı","",IF('ŞİKAYET KAYIT'!K444="","",'ŞİKAYET KAYIT'!K444)),"")</f>
        <v/>
      </c>
      <c r="I444" s="3" t="str">
        <f>IFERROR(IF('ŞİKAYET KAYIT'!P444="Kapatıldı","",IF('ŞİKAYET KAYIT'!L444="","",'ŞİKAYET KAYIT'!L444)),"")</f>
        <v/>
      </c>
      <c r="J444" s="3" t="str">
        <f>IFERROR(IF('ŞİKAYET KAYIT'!P444="Kapatıldı","",IF('ŞİKAYET KAYIT'!M444="","",'ŞİKAYET KAYIT'!M444)),"")</f>
        <v/>
      </c>
      <c r="K444" s="3" t="str">
        <f>IFERROR(IF('ŞİKAYET KAYIT'!P444="Kapatıldı","",IF('ŞİKAYET KAYIT'!N444="","",'ŞİKAYET KAYIT'!N444)),"")</f>
        <v/>
      </c>
      <c r="L444" s="3" t="str">
        <f>IFERROR(IF('ŞİKAYET KAYIT'!P444="Kapatıldı","",IF('ŞİKAYET KAYIT'!O444="","",'ŞİKAYET KAYIT'!O444)),"")</f>
        <v/>
      </c>
      <c r="M444" s="3" t="str">
        <f>IFERROR(IF('ŞİKAYET KAYIT'!P444="Kapatıldı","",IF('ŞİKAYET KAYIT'!P444="","",'ŞİKAYET KAYIT'!P444)),"")</f>
        <v/>
      </c>
    </row>
    <row r="445" spans="1:13" ht="15" customHeight="1" x14ac:dyDescent="0.3">
      <c r="A445" s="26" t="str">
        <f>IFERROR(IF('ŞİKAYET KAYIT'!P445="Kapatıldı","",IF('ŞİKAYET KAYIT'!A445="","",'ŞİKAYET KAYIT'!A445)),"")</f>
        <v/>
      </c>
      <c r="B445" s="8" t="str">
        <f>IFERROR(IF('ŞİKAYET KAYIT'!P445="Kapatıldı","",IF('ŞİKAYET KAYIT'!B445="","",'ŞİKAYET KAYIT'!B445)),"")</f>
        <v/>
      </c>
      <c r="C445" s="26" t="str">
        <f>IFERROR(IF('ŞİKAYET KAYIT'!P445="Kapatıldı","",IF('ŞİKAYET KAYIT'!D445="","",'ŞİKAYET KAYIT'!D445)),"")</f>
        <v/>
      </c>
      <c r="D445" s="26" t="str">
        <f>IFERROR(IF('ŞİKAYET KAYIT'!P445="Kapatıldı","",IF('ŞİKAYET KAYIT'!F445="","",'ŞİKAYET KAYIT'!F445)),"")</f>
        <v/>
      </c>
      <c r="E445" s="26" t="str">
        <f>IFERROR(IF('ŞİKAYET KAYIT'!P445="Kapatıldı","",IF('ŞİKAYET KAYIT'!H445="","",'ŞİKAYET KAYIT'!H445)),"")</f>
        <v/>
      </c>
      <c r="F445" s="26" t="str">
        <f>IFERROR(IF('ŞİKAYET KAYIT'!P445="Kapatıldı","",IF('ŞİKAYET KAYIT'!I445="","",'ŞİKAYET KAYIT'!I445)),"")</f>
        <v/>
      </c>
      <c r="G445" s="26" t="str">
        <f>IFERROR(IF('ŞİKAYET KAYIT'!P445="Kapatıldı","",IF('ŞİKAYET KAYIT'!J445="","",'ŞİKAYET KAYIT'!J445)),"")</f>
        <v/>
      </c>
      <c r="H445" s="26" t="str">
        <f>IFERROR(IF('ŞİKAYET KAYIT'!P445="Kapatıldı","",IF('ŞİKAYET KAYIT'!K445="","",'ŞİKAYET KAYIT'!K445)),"")</f>
        <v/>
      </c>
      <c r="I445" s="26" t="str">
        <f>IFERROR(IF('ŞİKAYET KAYIT'!P445="Kapatıldı","",IF('ŞİKAYET KAYIT'!L445="","",'ŞİKAYET KAYIT'!L445)),"")</f>
        <v/>
      </c>
      <c r="J445" s="26" t="str">
        <f>IFERROR(IF('ŞİKAYET KAYIT'!P445="Kapatıldı","",IF('ŞİKAYET KAYIT'!M445="","",'ŞİKAYET KAYIT'!M445)),"")</f>
        <v/>
      </c>
      <c r="K445" s="26" t="str">
        <f>IFERROR(IF('ŞİKAYET KAYIT'!P445="Kapatıldı","",IF('ŞİKAYET KAYIT'!N445="","",'ŞİKAYET KAYIT'!N445)),"")</f>
        <v/>
      </c>
      <c r="L445" s="26" t="str">
        <f>IFERROR(IF('ŞİKAYET KAYIT'!P445="Kapatıldı","",IF('ŞİKAYET KAYIT'!O445="","",'ŞİKAYET KAYIT'!O445)),"")</f>
        <v/>
      </c>
      <c r="M445" s="26" t="str">
        <f>IFERROR(IF('ŞİKAYET KAYIT'!P445="Kapatıldı","",IF('ŞİKAYET KAYIT'!P445="","",'ŞİKAYET KAYIT'!P445)),"")</f>
        <v/>
      </c>
    </row>
    <row r="446" spans="1:13" ht="15" customHeight="1" x14ac:dyDescent="0.3">
      <c r="A446" s="3" t="str">
        <f>IFERROR(IF('ŞİKAYET KAYIT'!P446="Kapatıldı","",IF('ŞİKAYET KAYIT'!A446="","",'ŞİKAYET KAYIT'!A446)),"")</f>
        <v/>
      </c>
      <c r="B446" s="5" t="str">
        <f>IFERROR(IF('ŞİKAYET KAYIT'!P446="Kapatıldı","",IF('ŞİKAYET KAYIT'!B446="","",'ŞİKAYET KAYIT'!B446)),"")</f>
        <v/>
      </c>
      <c r="C446" s="3" t="str">
        <f>IFERROR(IF('ŞİKAYET KAYIT'!P446="Kapatıldı","",IF('ŞİKAYET KAYIT'!D446="","",'ŞİKAYET KAYIT'!D446)),"")</f>
        <v/>
      </c>
      <c r="D446" s="3" t="str">
        <f>IFERROR(IF('ŞİKAYET KAYIT'!P446="Kapatıldı","",IF('ŞİKAYET KAYIT'!F446="","",'ŞİKAYET KAYIT'!F446)),"")</f>
        <v/>
      </c>
      <c r="E446" s="3" t="str">
        <f>IFERROR(IF('ŞİKAYET KAYIT'!P446="Kapatıldı","",IF('ŞİKAYET KAYIT'!H446="","",'ŞİKAYET KAYIT'!H446)),"")</f>
        <v/>
      </c>
      <c r="F446" s="3" t="str">
        <f>IFERROR(IF('ŞİKAYET KAYIT'!P446="Kapatıldı","",IF('ŞİKAYET KAYIT'!I446="","",'ŞİKAYET KAYIT'!I446)),"")</f>
        <v/>
      </c>
      <c r="G446" s="3" t="str">
        <f>IFERROR(IF('ŞİKAYET KAYIT'!P446="Kapatıldı","",IF('ŞİKAYET KAYIT'!J446="","",'ŞİKAYET KAYIT'!J446)),"")</f>
        <v/>
      </c>
      <c r="H446" s="3" t="str">
        <f>IFERROR(IF('ŞİKAYET KAYIT'!P446="Kapatıldı","",IF('ŞİKAYET KAYIT'!K446="","",'ŞİKAYET KAYIT'!K446)),"")</f>
        <v/>
      </c>
      <c r="I446" s="3" t="str">
        <f>IFERROR(IF('ŞİKAYET KAYIT'!P446="Kapatıldı","",IF('ŞİKAYET KAYIT'!L446="","",'ŞİKAYET KAYIT'!L446)),"")</f>
        <v/>
      </c>
      <c r="J446" s="3" t="str">
        <f>IFERROR(IF('ŞİKAYET KAYIT'!P446="Kapatıldı","",IF('ŞİKAYET KAYIT'!M446="","",'ŞİKAYET KAYIT'!M446)),"")</f>
        <v/>
      </c>
      <c r="K446" s="3" t="str">
        <f>IFERROR(IF('ŞİKAYET KAYIT'!P446="Kapatıldı","",IF('ŞİKAYET KAYIT'!N446="","",'ŞİKAYET KAYIT'!N446)),"")</f>
        <v/>
      </c>
      <c r="L446" s="3" t="str">
        <f>IFERROR(IF('ŞİKAYET KAYIT'!P446="Kapatıldı","",IF('ŞİKAYET KAYIT'!O446="","",'ŞİKAYET KAYIT'!O446)),"")</f>
        <v/>
      </c>
      <c r="M446" s="3" t="str">
        <f>IFERROR(IF('ŞİKAYET KAYIT'!P446="Kapatıldı","",IF('ŞİKAYET KAYIT'!P446="","",'ŞİKAYET KAYIT'!P446)),"")</f>
        <v/>
      </c>
    </row>
    <row r="447" spans="1:13" ht="15" customHeight="1" x14ac:dyDescent="0.3">
      <c r="A447" s="26" t="str">
        <f>IFERROR(IF('ŞİKAYET KAYIT'!P447="Kapatıldı","",IF('ŞİKAYET KAYIT'!A447="","",'ŞİKAYET KAYIT'!A447)),"")</f>
        <v/>
      </c>
      <c r="B447" s="8" t="str">
        <f>IFERROR(IF('ŞİKAYET KAYIT'!P447="Kapatıldı","",IF('ŞİKAYET KAYIT'!B447="","",'ŞİKAYET KAYIT'!B447)),"")</f>
        <v/>
      </c>
      <c r="C447" s="26" t="str">
        <f>IFERROR(IF('ŞİKAYET KAYIT'!P447="Kapatıldı","",IF('ŞİKAYET KAYIT'!D447="","",'ŞİKAYET KAYIT'!D447)),"")</f>
        <v/>
      </c>
      <c r="D447" s="26" t="str">
        <f>IFERROR(IF('ŞİKAYET KAYIT'!P447="Kapatıldı","",IF('ŞİKAYET KAYIT'!F447="","",'ŞİKAYET KAYIT'!F447)),"")</f>
        <v/>
      </c>
      <c r="E447" s="26" t="str">
        <f>IFERROR(IF('ŞİKAYET KAYIT'!P447="Kapatıldı","",IF('ŞİKAYET KAYIT'!H447="","",'ŞİKAYET KAYIT'!H447)),"")</f>
        <v/>
      </c>
      <c r="F447" s="26" t="str">
        <f>IFERROR(IF('ŞİKAYET KAYIT'!P447="Kapatıldı","",IF('ŞİKAYET KAYIT'!I447="","",'ŞİKAYET KAYIT'!I447)),"")</f>
        <v/>
      </c>
      <c r="G447" s="26" t="str">
        <f>IFERROR(IF('ŞİKAYET KAYIT'!P447="Kapatıldı","",IF('ŞİKAYET KAYIT'!J447="","",'ŞİKAYET KAYIT'!J447)),"")</f>
        <v/>
      </c>
      <c r="H447" s="26" t="str">
        <f>IFERROR(IF('ŞİKAYET KAYIT'!P447="Kapatıldı","",IF('ŞİKAYET KAYIT'!K447="","",'ŞİKAYET KAYIT'!K447)),"")</f>
        <v/>
      </c>
      <c r="I447" s="26" t="str">
        <f>IFERROR(IF('ŞİKAYET KAYIT'!P447="Kapatıldı","",IF('ŞİKAYET KAYIT'!L447="","",'ŞİKAYET KAYIT'!L447)),"")</f>
        <v/>
      </c>
      <c r="J447" s="26" t="str">
        <f>IFERROR(IF('ŞİKAYET KAYIT'!P447="Kapatıldı","",IF('ŞİKAYET KAYIT'!M447="","",'ŞİKAYET KAYIT'!M447)),"")</f>
        <v/>
      </c>
      <c r="K447" s="26" t="str">
        <f>IFERROR(IF('ŞİKAYET KAYIT'!P447="Kapatıldı","",IF('ŞİKAYET KAYIT'!N447="","",'ŞİKAYET KAYIT'!N447)),"")</f>
        <v/>
      </c>
      <c r="L447" s="26" t="str">
        <f>IFERROR(IF('ŞİKAYET KAYIT'!P447="Kapatıldı","",IF('ŞİKAYET KAYIT'!O447="","",'ŞİKAYET KAYIT'!O447)),"")</f>
        <v/>
      </c>
      <c r="M447" s="26" t="str">
        <f>IFERROR(IF('ŞİKAYET KAYIT'!P447="Kapatıldı","",IF('ŞİKAYET KAYIT'!P447="","",'ŞİKAYET KAYIT'!P447)),"")</f>
        <v/>
      </c>
    </row>
    <row r="448" spans="1:13" ht="15" customHeight="1" x14ac:dyDescent="0.3">
      <c r="A448" s="3" t="str">
        <f>IFERROR(IF('ŞİKAYET KAYIT'!P448="Kapatıldı","",IF('ŞİKAYET KAYIT'!A448="","",'ŞİKAYET KAYIT'!A448)),"")</f>
        <v/>
      </c>
      <c r="B448" s="5" t="str">
        <f>IFERROR(IF('ŞİKAYET KAYIT'!P448="Kapatıldı","",IF('ŞİKAYET KAYIT'!B448="","",'ŞİKAYET KAYIT'!B448)),"")</f>
        <v/>
      </c>
      <c r="C448" s="3" t="str">
        <f>IFERROR(IF('ŞİKAYET KAYIT'!P448="Kapatıldı","",IF('ŞİKAYET KAYIT'!D448="","",'ŞİKAYET KAYIT'!D448)),"")</f>
        <v/>
      </c>
      <c r="D448" s="3" t="str">
        <f>IFERROR(IF('ŞİKAYET KAYIT'!P448="Kapatıldı","",IF('ŞİKAYET KAYIT'!F448="","",'ŞİKAYET KAYIT'!F448)),"")</f>
        <v/>
      </c>
      <c r="E448" s="3" t="str">
        <f>IFERROR(IF('ŞİKAYET KAYIT'!P448="Kapatıldı","",IF('ŞİKAYET KAYIT'!H448="","",'ŞİKAYET KAYIT'!H448)),"")</f>
        <v/>
      </c>
      <c r="F448" s="3" t="str">
        <f>IFERROR(IF('ŞİKAYET KAYIT'!P448="Kapatıldı","",IF('ŞİKAYET KAYIT'!I448="","",'ŞİKAYET KAYIT'!I448)),"")</f>
        <v/>
      </c>
      <c r="G448" s="3" t="str">
        <f>IFERROR(IF('ŞİKAYET KAYIT'!P448="Kapatıldı","",IF('ŞİKAYET KAYIT'!J448="","",'ŞİKAYET KAYIT'!J448)),"")</f>
        <v/>
      </c>
      <c r="H448" s="3" t="str">
        <f>IFERROR(IF('ŞİKAYET KAYIT'!P448="Kapatıldı","",IF('ŞİKAYET KAYIT'!K448="","",'ŞİKAYET KAYIT'!K448)),"")</f>
        <v/>
      </c>
      <c r="I448" s="3" t="str">
        <f>IFERROR(IF('ŞİKAYET KAYIT'!P448="Kapatıldı","",IF('ŞİKAYET KAYIT'!L448="","",'ŞİKAYET KAYIT'!L448)),"")</f>
        <v/>
      </c>
      <c r="J448" s="3" t="str">
        <f>IFERROR(IF('ŞİKAYET KAYIT'!P448="Kapatıldı","",IF('ŞİKAYET KAYIT'!M448="","",'ŞİKAYET KAYIT'!M448)),"")</f>
        <v/>
      </c>
      <c r="K448" s="3" t="str">
        <f>IFERROR(IF('ŞİKAYET KAYIT'!P448="Kapatıldı","",IF('ŞİKAYET KAYIT'!N448="","",'ŞİKAYET KAYIT'!N448)),"")</f>
        <v/>
      </c>
      <c r="L448" s="3" t="str">
        <f>IFERROR(IF('ŞİKAYET KAYIT'!P448="Kapatıldı","",IF('ŞİKAYET KAYIT'!O448="","",'ŞİKAYET KAYIT'!O448)),"")</f>
        <v/>
      </c>
      <c r="M448" s="3" t="str">
        <f>IFERROR(IF('ŞİKAYET KAYIT'!P448="Kapatıldı","",IF('ŞİKAYET KAYIT'!P448="","",'ŞİKAYET KAYIT'!P448)),"")</f>
        <v/>
      </c>
    </row>
    <row r="449" spans="1:13" ht="15" customHeight="1" x14ac:dyDescent="0.3">
      <c r="A449" s="26" t="str">
        <f>IFERROR(IF('ŞİKAYET KAYIT'!P449="Kapatıldı","",IF('ŞİKAYET KAYIT'!A449="","",'ŞİKAYET KAYIT'!A449)),"")</f>
        <v/>
      </c>
      <c r="B449" s="8" t="str">
        <f>IFERROR(IF('ŞİKAYET KAYIT'!P449="Kapatıldı","",IF('ŞİKAYET KAYIT'!B449="","",'ŞİKAYET KAYIT'!B449)),"")</f>
        <v/>
      </c>
      <c r="C449" s="26" t="str">
        <f>IFERROR(IF('ŞİKAYET KAYIT'!P449="Kapatıldı","",IF('ŞİKAYET KAYIT'!D449="","",'ŞİKAYET KAYIT'!D449)),"")</f>
        <v/>
      </c>
      <c r="D449" s="26" t="str">
        <f>IFERROR(IF('ŞİKAYET KAYIT'!P449="Kapatıldı","",IF('ŞİKAYET KAYIT'!F449="","",'ŞİKAYET KAYIT'!F449)),"")</f>
        <v/>
      </c>
      <c r="E449" s="26" t="str">
        <f>IFERROR(IF('ŞİKAYET KAYIT'!P449="Kapatıldı","",IF('ŞİKAYET KAYIT'!H449="","",'ŞİKAYET KAYIT'!H449)),"")</f>
        <v/>
      </c>
      <c r="F449" s="26" t="str">
        <f>IFERROR(IF('ŞİKAYET KAYIT'!P449="Kapatıldı","",IF('ŞİKAYET KAYIT'!I449="","",'ŞİKAYET KAYIT'!I449)),"")</f>
        <v/>
      </c>
      <c r="G449" s="26" t="str">
        <f>IFERROR(IF('ŞİKAYET KAYIT'!P449="Kapatıldı","",IF('ŞİKAYET KAYIT'!J449="","",'ŞİKAYET KAYIT'!J449)),"")</f>
        <v/>
      </c>
      <c r="H449" s="26" t="str">
        <f>IFERROR(IF('ŞİKAYET KAYIT'!P449="Kapatıldı","",IF('ŞİKAYET KAYIT'!K449="","",'ŞİKAYET KAYIT'!K449)),"")</f>
        <v/>
      </c>
      <c r="I449" s="26" t="str">
        <f>IFERROR(IF('ŞİKAYET KAYIT'!P449="Kapatıldı","",IF('ŞİKAYET KAYIT'!L449="","",'ŞİKAYET KAYIT'!L449)),"")</f>
        <v/>
      </c>
      <c r="J449" s="26" t="str">
        <f>IFERROR(IF('ŞİKAYET KAYIT'!P449="Kapatıldı","",IF('ŞİKAYET KAYIT'!M449="","",'ŞİKAYET KAYIT'!M449)),"")</f>
        <v/>
      </c>
      <c r="K449" s="26" t="str">
        <f>IFERROR(IF('ŞİKAYET KAYIT'!P449="Kapatıldı","",IF('ŞİKAYET KAYIT'!N449="","",'ŞİKAYET KAYIT'!N449)),"")</f>
        <v/>
      </c>
      <c r="L449" s="26" t="str">
        <f>IFERROR(IF('ŞİKAYET KAYIT'!P449="Kapatıldı","",IF('ŞİKAYET KAYIT'!O449="","",'ŞİKAYET KAYIT'!O449)),"")</f>
        <v/>
      </c>
      <c r="M449" s="26" t="str">
        <f>IFERROR(IF('ŞİKAYET KAYIT'!P449="Kapatıldı","",IF('ŞİKAYET KAYIT'!P449="","",'ŞİKAYET KAYIT'!P449)),"")</f>
        <v/>
      </c>
    </row>
    <row r="450" spans="1:13" ht="15" customHeight="1" x14ac:dyDescent="0.3">
      <c r="A450" s="3" t="str">
        <f>IFERROR(IF('ŞİKAYET KAYIT'!P450="Kapatıldı","",IF('ŞİKAYET KAYIT'!A450="","",'ŞİKAYET KAYIT'!A450)),"")</f>
        <v/>
      </c>
      <c r="B450" s="5" t="str">
        <f>IFERROR(IF('ŞİKAYET KAYIT'!P450="Kapatıldı","",IF('ŞİKAYET KAYIT'!B450="","",'ŞİKAYET KAYIT'!B450)),"")</f>
        <v/>
      </c>
      <c r="C450" s="3" t="str">
        <f>IFERROR(IF('ŞİKAYET KAYIT'!P450="Kapatıldı","",IF('ŞİKAYET KAYIT'!D450="","",'ŞİKAYET KAYIT'!D450)),"")</f>
        <v/>
      </c>
      <c r="D450" s="3" t="str">
        <f>IFERROR(IF('ŞİKAYET KAYIT'!P450="Kapatıldı","",IF('ŞİKAYET KAYIT'!F450="","",'ŞİKAYET KAYIT'!F450)),"")</f>
        <v/>
      </c>
      <c r="E450" s="3" t="str">
        <f>IFERROR(IF('ŞİKAYET KAYIT'!P450="Kapatıldı","",IF('ŞİKAYET KAYIT'!H450="","",'ŞİKAYET KAYIT'!H450)),"")</f>
        <v/>
      </c>
      <c r="F450" s="3" t="str">
        <f>IFERROR(IF('ŞİKAYET KAYIT'!P450="Kapatıldı","",IF('ŞİKAYET KAYIT'!I450="","",'ŞİKAYET KAYIT'!I450)),"")</f>
        <v/>
      </c>
      <c r="G450" s="3" t="str">
        <f>IFERROR(IF('ŞİKAYET KAYIT'!P450="Kapatıldı","",IF('ŞİKAYET KAYIT'!J450="","",'ŞİKAYET KAYIT'!J450)),"")</f>
        <v/>
      </c>
      <c r="H450" s="3" t="str">
        <f>IFERROR(IF('ŞİKAYET KAYIT'!P450="Kapatıldı","",IF('ŞİKAYET KAYIT'!K450="","",'ŞİKAYET KAYIT'!K450)),"")</f>
        <v/>
      </c>
      <c r="I450" s="3" t="str">
        <f>IFERROR(IF('ŞİKAYET KAYIT'!P450="Kapatıldı","",IF('ŞİKAYET KAYIT'!L450="","",'ŞİKAYET KAYIT'!L450)),"")</f>
        <v/>
      </c>
      <c r="J450" s="3" t="str">
        <f>IFERROR(IF('ŞİKAYET KAYIT'!P450="Kapatıldı","",IF('ŞİKAYET KAYIT'!M450="","",'ŞİKAYET KAYIT'!M450)),"")</f>
        <v/>
      </c>
      <c r="K450" s="3" t="str">
        <f>IFERROR(IF('ŞİKAYET KAYIT'!P450="Kapatıldı","",IF('ŞİKAYET KAYIT'!N450="","",'ŞİKAYET KAYIT'!N450)),"")</f>
        <v/>
      </c>
      <c r="L450" s="3" t="str">
        <f>IFERROR(IF('ŞİKAYET KAYIT'!P450="Kapatıldı","",IF('ŞİKAYET KAYIT'!O450="","",'ŞİKAYET KAYIT'!O450)),"")</f>
        <v/>
      </c>
      <c r="M450" s="3" t="str">
        <f>IFERROR(IF('ŞİKAYET KAYIT'!P450="Kapatıldı","",IF('ŞİKAYET KAYIT'!P450="","",'ŞİKAYET KAYIT'!P450)),"")</f>
        <v/>
      </c>
    </row>
    <row r="451" spans="1:13" ht="15" customHeight="1" x14ac:dyDescent="0.3">
      <c r="A451" s="26" t="str">
        <f>IFERROR(IF('ŞİKAYET KAYIT'!P451="Kapatıldı","",IF('ŞİKAYET KAYIT'!A451="","",'ŞİKAYET KAYIT'!A451)),"")</f>
        <v/>
      </c>
      <c r="B451" s="8" t="str">
        <f>IFERROR(IF('ŞİKAYET KAYIT'!P451="Kapatıldı","",IF('ŞİKAYET KAYIT'!B451="","",'ŞİKAYET KAYIT'!B451)),"")</f>
        <v/>
      </c>
      <c r="C451" s="26" t="str">
        <f>IFERROR(IF('ŞİKAYET KAYIT'!P451="Kapatıldı","",IF('ŞİKAYET KAYIT'!D451="","",'ŞİKAYET KAYIT'!D451)),"")</f>
        <v/>
      </c>
      <c r="D451" s="26" t="str">
        <f>IFERROR(IF('ŞİKAYET KAYIT'!P451="Kapatıldı","",IF('ŞİKAYET KAYIT'!F451="","",'ŞİKAYET KAYIT'!F451)),"")</f>
        <v/>
      </c>
      <c r="E451" s="26" t="str">
        <f>IFERROR(IF('ŞİKAYET KAYIT'!P451="Kapatıldı","",IF('ŞİKAYET KAYIT'!H451="","",'ŞİKAYET KAYIT'!H451)),"")</f>
        <v/>
      </c>
      <c r="F451" s="26" t="str">
        <f>IFERROR(IF('ŞİKAYET KAYIT'!P451="Kapatıldı","",IF('ŞİKAYET KAYIT'!I451="","",'ŞİKAYET KAYIT'!I451)),"")</f>
        <v/>
      </c>
      <c r="G451" s="26" t="str">
        <f>IFERROR(IF('ŞİKAYET KAYIT'!P451="Kapatıldı","",IF('ŞİKAYET KAYIT'!J451="","",'ŞİKAYET KAYIT'!J451)),"")</f>
        <v/>
      </c>
      <c r="H451" s="26" t="str">
        <f>IFERROR(IF('ŞİKAYET KAYIT'!P451="Kapatıldı","",IF('ŞİKAYET KAYIT'!K451="","",'ŞİKAYET KAYIT'!K451)),"")</f>
        <v/>
      </c>
      <c r="I451" s="26" t="str">
        <f>IFERROR(IF('ŞİKAYET KAYIT'!P451="Kapatıldı","",IF('ŞİKAYET KAYIT'!L451="","",'ŞİKAYET KAYIT'!L451)),"")</f>
        <v/>
      </c>
      <c r="J451" s="26" t="str">
        <f>IFERROR(IF('ŞİKAYET KAYIT'!P451="Kapatıldı","",IF('ŞİKAYET KAYIT'!M451="","",'ŞİKAYET KAYIT'!M451)),"")</f>
        <v/>
      </c>
      <c r="K451" s="26" t="str">
        <f>IFERROR(IF('ŞİKAYET KAYIT'!P451="Kapatıldı","",IF('ŞİKAYET KAYIT'!N451="","",'ŞİKAYET KAYIT'!N451)),"")</f>
        <v/>
      </c>
      <c r="L451" s="26" t="str">
        <f>IFERROR(IF('ŞİKAYET KAYIT'!P451="Kapatıldı","",IF('ŞİKAYET KAYIT'!O451="","",'ŞİKAYET KAYIT'!O451)),"")</f>
        <v/>
      </c>
      <c r="M451" s="26" t="str">
        <f>IFERROR(IF('ŞİKAYET KAYIT'!P451="Kapatıldı","",IF('ŞİKAYET KAYIT'!P451="","",'ŞİKAYET KAYIT'!P451)),"")</f>
        <v/>
      </c>
    </row>
    <row r="452" spans="1:13" ht="15" customHeight="1" x14ac:dyDescent="0.3">
      <c r="A452" s="3" t="str">
        <f>IFERROR(IF('ŞİKAYET KAYIT'!P452="Kapatıldı","",IF('ŞİKAYET KAYIT'!A452="","",'ŞİKAYET KAYIT'!A452)),"")</f>
        <v/>
      </c>
      <c r="B452" s="5" t="str">
        <f>IFERROR(IF('ŞİKAYET KAYIT'!P452="Kapatıldı","",IF('ŞİKAYET KAYIT'!B452="","",'ŞİKAYET KAYIT'!B452)),"")</f>
        <v/>
      </c>
      <c r="C452" s="3" t="str">
        <f>IFERROR(IF('ŞİKAYET KAYIT'!P452="Kapatıldı","",IF('ŞİKAYET KAYIT'!D452="","",'ŞİKAYET KAYIT'!D452)),"")</f>
        <v/>
      </c>
      <c r="D452" s="3" t="str">
        <f>IFERROR(IF('ŞİKAYET KAYIT'!P452="Kapatıldı","",IF('ŞİKAYET KAYIT'!F452="","",'ŞİKAYET KAYIT'!F452)),"")</f>
        <v/>
      </c>
      <c r="E452" s="3" t="str">
        <f>IFERROR(IF('ŞİKAYET KAYIT'!P452="Kapatıldı","",IF('ŞİKAYET KAYIT'!H452="","",'ŞİKAYET KAYIT'!H452)),"")</f>
        <v/>
      </c>
      <c r="F452" s="3" t="str">
        <f>IFERROR(IF('ŞİKAYET KAYIT'!P452="Kapatıldı","",IF('ŞİKAYET KAYIT'!I452="","",'ŞİKAYET KAYIT'!I452)),"")</f>
        <v/>
      </c>
      <c r="G452" s="3" t="str">
        <f>IFERROR(IF('ŞİKAYET KAYIT'!P452="Kapatıldı","",IF('ŞİKAYET KAYIT'!J452="","",'ŞİKAYET KAYIT'!J452)),"")</f>
        <v/>
      </c>
      <c r="H452" s="3" t="str">
        <f>IFERROR(IF('ŞİKAYET KAYIT'!P452="Kapatıldı","",IF('ŞİKAYET KAYIT'!K452="","",'ŞİKAYET KAYIT'!K452)),"")</f>
        <v/>
      </c>
      <c r="I452" s="3" t="str">
        <f>IFERROR(IF('ŞİKAYET KAYIT'!P452="Kapatıldı","",IF('ŞİKAYET KAYIT'!L452="","",'ŞİKAYET KAYIT'!L452)),"")</f>
        <v/>
      </c>
      <c r="J452" s="3" t="str">
        <f>IFERROR(IF('ŞİKAYET KAYIT'!P452="Kapatıldı","",IF('ŞİKAYET KAYIT'!M452="","",'ŞİKAYET KAYIT'!M452)),"")</f>
        <v/>
      </c>
      <c r="K452" s="3" t="str">
        <f>IFERROR(IF('ŞİKAYET KAYIT'!P452="Kapatıldı","",IF('ŞİKAYET KAYIT'!N452="","",'ŞİKAYET KAYIT'!N452)),"")</f>
        <v/>
      </c>
      <c r="L452" s="3" t="str">
        <f>IFERROR(IF('ŞİKAYET KAYIT'!P452="Kapatıldı","",IF('ŞİKAYET KAYIT'!O452="","",'ŞİKAYET KAYIT'!O452)),"")</f>
        <v/>
      </c>
      <c r="M452" s="3" t="str">
        <f>IFERROR(IF('ŞİKAYET KAYIT'!P452="Kapatıldı","",IF('ŞİKAYET KAYIT'!P452="","",'ŞİKAYET KAYIT'!P452)),"")</f>
        <v/>
      </c>
    </row>
    <row r="453" spans="1:13" ht="15" customHeight="1" x14ac:dyDescent="0.3">
      <c r="A453" s="26" t="str">
        <f>IFERROR(IF('ŞİKAYET KAYIT'!P453="Kapatıldı","",IF('ŞİKAYET KAYIT'!A453="","",'ŞİKAYET KAYIT'!A453)),"")</f>
        <v/>
      </c>
      <c r="B453" s="8" t="str">
        <f>IFERROR(IF('ŞİKAYET KAYIT'!P453="Kapatıldı","",IF('ŞİKAYET KAYIT'!B453="","",'ŞİKAYET KAYIT'!B453)),"")</f>
        <v/>
      </c>
      <c r="C453" s="26" t="str">
        <f>IFERROR(IF('ŞİKAYET KAYIT'!P453="Kapatıldı","",IF('ŞİKAYET KAYIT'!D453="","",'ŞİKAYET KAYIT'!D453)),"")</f>
        <v/>
      </c>
      <c r="D453" s="26" t="str">
        <f>IFERROR(IF('ŞİKAYET KAYIT'!P453="Kapatıldı","",IF('ŞİKAYET KAYIT'!F453="","",'ŞİKAYET KAYIT'!F453)),"")</f>
        <v/>
      </c>
      <c r="E453" s="26" t="str">
        <f>IFERROR(IF('ŞİKAYET KAYIT'!P453="Kapatıldı","",IF('ŞİKAYET KAYIT'!H453="","",'ŞİKAYET KAYIT'!H453)),"")</f>
        <v/>
      </c>
      <c r="F453" s="26" t="str">
        <f>IFERROR(IF('ŞİKAYET KAYIT'!P453="Kapatıldı","",IF('ŞİKAYET KAYIT'!I453="","",'ŞİKAYET KAYIT'!I453)),"")</f>
        <v/>
      </c>
      <c r="G453" s="26" t="str">
        <f>IFERROR(IF('ŞİKAYET KAYIT'!P453="Kapatıldı","",IF('ŞİKAYET KAYIT'!J453="","",'ŞİKAYET KAYIT'!J453)),"")</f>
        <v/>
      </c>
      <c r="H453" s="26" t="str">
        <f>IFERROR(IF('ŞİKAYET KAYIT'!P453="Kapatıldı","",IF('ŞİKAYET KAYIT'!K453="","",'ŞİKAYET KAYIT'!K453)),"")</f>
        <v/>
      </c>
      <c r="I453" s="26" t="str">
        <f>IFERROR(IF('ŞİKAYET KAYIT'!P453="Kapatıldı","",IF('ŞİKAYET KAYIT'!L453="","",'ŞİKAYET KAYIT'!L453)),"")</f>
        <v/>
      </c>
      <c r="J453" s="26" t="str">
        <f>IFERROR(IF('ŞİKAYET KAYIT'!P453="Kapatıldı","",IF('ŞİKAYET KAYIT'!M453="","",'ŞİKAYET KAYIT'!M453)),"")</f>
        <v/>
      </c>
      <c r="K453" s="26" t="str">
        <f>IFERROR(IF('ŞİKAYET KAYIT'!P453="Kapatıldı","",IF('ŞİKAYET KAYIT'!N453="","",'ŞİKAYET KAYIT'!N453)),"")</f>
        <v/>
      </c>
      <c r="L453" s="26" t="str">
        <f>IFERROR(IF('ŞİKAYET KAYIT'!P453="Kapatıldı","",IF('ŞİKAYET KAYIT'!O453="","",'ŞİKAYET KAYIT'!O453)),"")</f>
        <v/>
      </c>
      <c r="M453" s="26" t="str">
        <f>IFERROR(IF('ŞİKAYET KAYIT'!P453="Kapatıldı","",IF('ŞİKAYET KAYIT'!P453="","",'ŞİKAYET KAYIT'!P453)),"")</f>
        <v/>
      </c>
    </row>
    <row r="454" spans="1:13" ht="15" customHeight="1" x14ac:dyDescent="0.3">
      <c r="A454" s="3" t="str">
        <f>IFERROR(IF('ŞİKAYET KAYIT'!P454="Kapatıldı","",IF('ŞİKAYET KAYIT'!A454="","",'ŞİKAYET KAYIT'!A454)),"")</f>
        <v/>
      </c>
      <c r="B454" s="5" t="str">
        <f>IFERROR(IF('ŞİKAYET KAYIT'!P454="Kapatıldı","",IF('ŞİKAYET KAYIT'!B454="","",'ŞİKAYET KAYIT'!B454)),"")</f>
        <v/>
      </c>
      <c r="C454" s="3" t="str">
        <f>IFERROR(IF('ŞİKAYET KAYIT'!P454="Kapatıldı","",IF('ŞİKAYET KAYIT'!D454="","",'ŞİKAYET KAYIT'!D454)),"")</f>
        <v/>
      </c>
      <c r="D454" s="3" t="str">
        <f>IFERROR(IF('ŞİKAYET KAYIT'!P454="Kapatıldı","",IF('ŞİKAYET KAYIT'!F454="","",'ŞİKAYET KAYIT'!F454)),"")</f>
        <v/>
      </c>
      <c r="E454" s="3" t="str">
        <f>IFERROR(IF('ŞİKAYET KAYIT'!P454="Kapatıldı","",IF('ŞİKAYET KAYIT'!H454="","",'ŞİKAYET KAYIT'!H454)),"")</f>
        <v/>
      </c>
      <c r="F454" s="3" t="str">
        <f>IFERROR(IF('ŞİKAYET KAYIT'!P454="Kapatıldı","",IF('ŞİKAYET KAYIT'!I454="","",'ŞİKAYET KAYIT'!I454)),"")</f>
        <v/>
      </c>
      <c r="G454" s="3" t="str">
        <f>IFERROR(IF('ŞİKAYET KAYIT'!P454="Kapatıldı","",IF('ŞİKAYET KAYIT'!J454="","",'ŞİKAYET KAYIT'!J454)),"")</f>
        <v/>
      </c>
      <c r="H454" s="3" t="str">
        <f>IFERROR(IF('ŞİKAYET KAYIT'!P454="Kapatıldı","",IF('ŞİKAYET KAYIT'!K454="","",'ŞİKAYET KAYIT'!K454)),"")</f>
        <v/>
      </c>
      <c r="I454" s="3" t="str">
        <f>IFERROR(IF('ŞİKAYET KAYIT'!P454="Kapatıldı","",IF('ŞİKAYET KAYIT'!L454="","",'ŞİKAYET KAYIT'!L454)),"")</f>
        <v/>
      </c>
      <c r="J454" s="3" t="str">
        <f>IFERROR(IF('ŞİKAYET KAYIT'!P454="Kapatıldı","",IF('ŞİKAYET KAYIT'!M454="","",'ŞİKAYET KAYIT'!M454)),"")</f>
        <v/>
      </c>
      <c r="K454" s="3" t="str">
        <f>IFERROR(IF('ŞİKAYET KAYIT'!P454="Kapatıldı","",IF('ŞİKAYET KAYIT'!N454="","",'ŞİKAYET KAYIT'!N454)),"")</f>
        <v/>
      </c>
      <c r="L454" s="3" t="str">
        <f>IFERROR(IF('ŞİKAYET KAYIT'!P454="Kapatıldı","",IF('ŞİKAYET KAYIT'!O454="","",'ŞİKAYET KAYIT'!O454)),"")</f>
        <v/>
      </c>
      <c r="M454" s="3" t="str">
        <f>IFERROR(IF('ŞİKAYET KAYIT'!P454="Kapatıldı","",IF('ŞİKAYET KAYIT'!P454="","",'ŞİKAYET KAYIT'!P454)),"")</f>
        <v/>
      </c>
    </row>
    <row r="455" spans="1:13" ht="15" customHeight="1" x14ac:dyDescent="0.3">
      <c r="A455" s="26" t="str">
        <f>IFERROR(IF('ŞİKAYET KAYIT'!P455="Kapatıldı","",IF('ŞİKAYET KAYIT'!A455="","",'ŞİKAYET KAYIT'!A455)),"")</f>
        <v/>
      </c>
      <c r="B455" s="8" t="str">
        <f>IFERROR(IF('ŞİKAYET KAYIT'!P455="Kapatıldı","",IF('ŞİKAYET KAYIT'!B455="","",'ŞİKAYET KAYIT'!B455)),"")</f>
        <v/>
      </c>
      <c r="C455" s="26" t="str">
        <f>IFERROR(IF('ŞİKAYET KAYIT'!P455="Kapatıldı","",IF('ŞİKAYET KAYIT'!D455="","",'ŞİKAYET KAYIT'!D455)),"")</f>
        <v/>
      </c>
      <c r="D455" s="26" t="str">
        <f>IFERROR(IF('ŞİKAYET KAYIT'!P455="Kapatıldı","",IF('ŞİKAYET KAYIT'!F455="","",'ŞİKAYET KAYIT'!F455)),"")</f>
        <v/>
      </c>
      <c r="E455" s="26" t="str">
        <f>IFERROR(IF('ŞİKAYET KAYIT'!P455="Kapatıldı","",IF('ŞİKAYET KAYIT'!H455="","",'ŞİKAYET KAYIT'!H455)),"")</f>
        <v/>
      </c>
      <c r="F455" s="26" t="str">
        <f>IFERROR(IF('ŞİKAYET KAYIT'!P455="Kapatıldı","",IF('ŞİKAYET KAYIT'!I455="","",'ŞİKAYET KAYIT'!I455)),"")</f>
        <v/>
      </c>
      <c r="G455" s="26" t="str">
        <f>IFERROR(IF('ŞİKAYET KAYIT'!P455="Kapatıldı","",IF('ŞİKAYET KAYIT'!J455="","",'ŞİKAYET KAYIT'!J455)),"")</f>
        <v/>
      </c>
      <c r="H455" s="26" t="str">
        <f>IFERROR(IF('ŞİKAYET KAYIT'!P455="Kapatıldı","",IF('ŞİKAYET KAYIT'!K455="","",'ŞİKAYET KAYIT'!K455)),"")</f>
        <v/>
      </c>
      <c r="I455" s="26" t="str">
        <f>IFERROR(IF('ŞİKAYET KAYIT'!P455="Kapatıldı","",IF('ŞİKAYET KAYIT'!L455="","",'ŞİKAYET KAYIT'!L455)),"")</f>
        <v/>
      </c>
      <c r="J455" s="26" t="str">
        <f>IFERROR(IF('ŞİKAYET KAYIT'!P455="Kapatıldı","",IF('ŞİKAYET KAYIT'!M455="","",'ŞİKAYET KAYIT'!M455)),"")</f>
        <v/>
      </c>
      <c r="K455" s="26" t="str">
        <f>IFERROR(IF('ŞİKAYET KAYIT'!P455="Kapatıldı","",IF('ŞİKAYET KAYIT'!N455="","",'ŞİKAYET KAYIT'!N455)),"")</f>
        <v/>
      </c>
      <c r="L455" s="26" t="str">
        <f>IFERROR(IF('ŞİKAYET KAYIT'!P455="Kapatıldı","",IF('ŞİKAYET KAYIT'!O455="","",'ŞİKAYET KAYIT'!O455)),"")</f>
        <v/>
      </c>
      <c r="M455" s="26" t="str">
        <f>IFERROR(IF('ŞİKAYET KAYIT'!P455="Kapatıldı","",IF('ŞİKAYET KAYIT'!P455="","",'ŞİKAYET KAYIT'!P455)),"")</f>
        <v/>
      </c>
    </row>
    <row r="456" spans="1:13" ht="15" customHeight="1" x14ac:dyDescent="0.3">
      <c r="A456" s="3" t="str">
        <f>IFERROR(IF('ŞİKAYET KAYIT'!P456="Kapatıldı","",IF('ŞİKAYET KAYIT'!A456="","",'ŞİKAYET KAYIT'!A456)),"")</f>
        <v/>
      </c>
      <c r="B456" s="5" t="str">
        <f>IFERROR(IF('ŞİKAYET KAYIT'!P456="Kapatıldı","",IF('ŞİKAYET KAYIT'!B456="","",'ŞİKAYET KAYIT'!B456)),"")</f>
        <v/>
      </c>
      <c r="C456" s="3" t="str">
        <f>IFERROR(IF('ŞİKAYET KAYIT'!P456="Kapatıldı","",IF('ŞİKAYET KAYIT'!D456="","",'ŞİKAYET KAYIT'!D456)),"")</f>
        <v/>
      </c>
      <c r="D456" s="3" t="str">
        <f>IFERROR(IF('ŞİKAYET KAYIT'!P456="Kapatıldı","",IF('ŞİKAYET KAYIT'!F456="","",'ŞİKAYET KAYIT'!F456)),"")</f>
        <v/>
      </c>
      <c r="E456" s="3" t="str">
        <f>IFERROR(IF('ŞİKAYET KAYIT'!P456="Kapatıldı","",IF('ŞİKAYET KAYIT'!H456="","",'ŞİKAYET KAYIT'!H456)),"")</f>
        <v/>
      </c>
      <c r="F456" s="3" t="str">
        <f>IFERROR(IF('ŞİKAYET KAYIT'!P456="Kapatıldı","",IF('ŞİKAYET KAYIT'!I456="","",'ŞİKAYET KAYIT'!I456)),"")</f>
        <v/>
      </c>
      <c r="G456" s="3" t="str">
        <f>IFERROR(IF('ŞİKAYET KAYIT'!P456="Kapatıldı","",IF('ŞİKAYET KAYIT'!J456="","",'ŞİKAYET KAYIT'!J456)),"")</f>
        <v/>
      </c>
      <c r="H456" s="3" t="str">
        <f>IFERROR(IF('ŞİKAYET KAYIT'!P456="Kapatıldı","",IF('ŞİKAYET KAYIT'!K456="","",'ŞİKAYET KAYIT'!K456)),"")</f>
        <v/>
      </c>
      <c r="I456" s="3" t="str">
        <f>IFERROR(IF('ŞİKAYET KAYIT'!P456="Kapatıldı","",IF('ŞİKAYET KAYIT'!L456="","",'ŞİKAYET KAYIT'!L456)),"")</f>
        <v/>
      </c>
      <c r="J456" s="3" t="str">
        <f>IFERROR(IF('ŞİKAYET KAYIT'!P456="Kapatıldı","",IF('ŞİKAYET KAYIT'!M456="","",'ŞİKAYET KAYIT'!M456)),"")</f>
        <v/>
      </c>
      <c r="K456" s="3" t="str">
        <f>IFERROR(IF('ŞİKAYET KAYIT'!P456="Kapatıldı","",IF('ŞİKAYET KAYIT'!N456="","",'ŞİKAYET KAYIT'!N456)),"")</f>
        <v/>
      </c>
      <c r="L456" s="3" t="str">
        <f>IFERROR(IF('ŞİKAYET KAYIT'!P456="Kapatıldı","",IF('ŞİKAYET KAYIT'!O456="","",'ŞİKAYET KAYIT'!O456)),"")</f>
        <v/>
      </c>
      <c r="M456" s="3" t="str">
        <f>IFERROR(IF('ŞİKAYET KAYIT'!P456="Kapatıldı","",IF('ŞİKAYET KAYIT'!P456="","",'ŞİKAYET KAYIT'!P456)),"")</f>
        <v/>
      </c>
    </row>
    <row r="457" spans="1:13" ht="15" customHeight="1" x14ac:dyDescent="0.3">
      <c r="A457" s="26" t="str">
        <f>IFERROR(IF('ŞİKAYET KAYIT'!P457="Kapatıldı","",IF('ŞİKAYET KAYIT'!A457="","",'ŞİKAYET KAYIT'!A457)),"")</f>
        <v/>
      </c>
      <c r="B457" s="8" t="str">
        <f>IFERROR(IF('ŞİKAYET KAYIT'!P457="Kapatıldı","",IF('ŞİKAYET KAYIT'!B457="","",'ŞİKAYET KAYIT'!B457)),"")</f>
        <v/>
      </c>
      <c r="C457" s="26" t="str">
        <f>IFERROR(IF('ŞİKAYET KAYIT'!P457="Kapatıldı","",IF('ŞİKAYET KAYIT'!D457="","",'ŞİKAYET KAYIT'!D457)),"")</f>
        <v/>
      </c>
      <c r="D457" s="26" t="str">
        <f>IFERROR(IF('ŞİKAYET KAYIT'!P457="Kapatıldı","",IF('ŞİKAYET KAYIT'!F457="","",'ŞİKAYET KAYIT'!F457)),"")</f>
        <v/>
      </c>
      <c r="E457" s="26" t="str">
        <f>IFERROR(IF('ŞİKAYET KAYIT'!P457="Kapatıldı","",IF('ŞİKAYET KAYIT'!H457="","",'ŞİKAYET KAYIT'!H457)),"")</f>
        <v/>
      </c>
      <c r="F457" s="26" t="str">
        <f>IFERROR(IF('ŞİKAYET KAYIT'!P457="Kapatıldı","",IF('ŞİKAYET KAYIT'!I457="","",'ŞİKAYET KAYIT'!I457)),"")</f>
        <v/>
      </c>
      <c r="G457" s="26" t="str">
        <f>IFERROR(IF('ŞİKAYET KAYIT'!P457="Kapatıldı","",IF('ŞİKAYET KAYIT'!J457="","",'ŞİKAYET KAYIT'!J457)),"")</f>
        <v/>
      </c>
      <c r="H457" s="26" t="str">
        <f>IFERROR(IF('ŞİKAYET KAYIT'!P457="Kapatıldı","",IF('ŞİKAYET KAYIT'!K457="","",'ŞİKAYET KAYIT'!K457)),"")</f>
        <v/>
      </c>
      <c r="I457" s="26" t="str">
        <f>IFERROR(IF('ŞİKAYET KAYIT'!P457="Kapatıldı","",IF('ŞİKAYET KAYIT'!L457="","",'ŞİKAYET KAYIT'!L457)),"")</f>
        <v/>
      </c>
      <c r="J457" s="26" t="str">
        <f>IFERROR(IF('ŞİKAYET KAYIT'!P457="Kapatıldı","",IF('ŞİKAYET KAYIT'!M457="","",'ŞİKAYET KAYIT'!M457)),"")</f>
        <v/>
      </c>
      <c r="K457" s="26" t="str">
        <f>IFERROR(IF('ŞİKAYET KAYIT'!P457="Kapatıldı","",IF('ŞİKAYET KAYIT'!N457="","",'ŞİKAYET KAYIT'!N457)),"")</f>
        <v/>
      </c>
      <c r="L457" s="26" t="str">
        <f>IFERROR(IF('ŞİKAYET KAYIT'!P457="Kapatıldı","",IF('ŞİKAYET KAYIT'!O457="","",'ŞİKAYET KAYIT'!O457)),"")</f>
        <v/>
      </c>
      <c r="M457" s="26" t="str">
        <f>IFERROR(IF('ŞİKAYET KAYIT'!P457="Kapatıldı","",IF('ŞİKAYET KAYIT'!P457="","",'ŞİKAYET KAYIT'!P457)),"")</f>
        <v/>
      </c>
    </row>
    <row r="458" spans="1:13" ht="15" customHeight="1" x14ac:dyDescent="0.3">
      <c r="A458" s="3" t="str">
        <f>IFERROR(IF('ŞİKAYET KAYIT'!P458="Kapatıldı","",IF('ŞİKAYET KAYIT'!A458="","",'ŞİKAYET KAYIT'!A458)),"")</f>
        <v/>
      </c>
      <c r="B458" s="5" t="str">
        <f>IFERROR(IF('ŞİKAYET KAYIT'!P458="Kapatıldı","",IF('ŞİKAYET KAYIT'!B458="","",'ŞİKAYET KAYIT'!B458)),"")</f>
        <v/>
      </c>
      <c r="C458" s="3" t="str">
        <f>IFERROR(IF('ŞİKAYET KAYIT'!P458="Kapatıldı","",IF('ŞİKAYET KAYIT'!D458="","",'ŞİKAYET KAYIT'!D458)),"")</f>
        <v/>
      </c>
      <c r="D458" s="3" t="str">
        <f>IFERROR(IF('ŞİKAYET KAYIT'!P458="Kapatıldı","",IF('ŞİKAYET KAYIT'!F458="","",'ŞİKAYET KAYIT'!F458)),"")</f>
        <v/>
      </c>
      <c r="E458" s="3" t="str">
        <f>IFERROR(IF('ŞİKAYET KAYIT'!P458="Kapatıldı","",IF('ŞİKAYET KAYIT'!H458="","",'ŞİKAYET KAYIT'!H458)),"")</f>
        <v/>
      </c>
      <c r="F458" s="3" t="str">
        <f>IFERROR(IF('ŞİKAYET KAYIT'!P458="Kapatıldı","",IF('ŞİKAYET KAYIT'!I458="","",'ŞİKAYET KAYIT'!I458)),"")</f>
        <v/>
      </c>
      <c r="G458" s="3" t="str">
        <f>IFERROR(IF('ŞİKAYET KAYIT'!P458="Kapatıldı","",IF('ŞİKAYET KAYIT'!J458="","",'ŞİKAYET KAYIT'!J458)),"")</f>
        <v/>
      </c>
      <c r="H458" s="3" t="str">
        <f>IFERROR(IF('ŞİKAYET KAYIT'!P458="Kapatıldı","",IF('ŞİKAYET KAYIT'!K458="","",'ŞİKAYET KAYIT'!K458)),"")</f>
        <v/>
      </c>
      <c r="I458" s="3" t="str">
        <f>IFERROR(IF('ŞİKAYET KAYIT'!P458="Kapatıldı","",IF('ŞİKAYET KAYIT'!L458="","",'ŞİKAYET KAYIT'!L458)),"")</f>
        <v/>
      </c>
      <c r="J458" s="3" t="str">
        <f>IFERROR(IF('ŞİKAYET KAYIT'!P458="Kapatıldı","",IF('ŞİKAYET KAYIT'!M458="","",'ŞİKAYET KAYIT'!M458)),"")</f>
        <v/>
      </c>
      <c r="K458" s="3" t="str">
        <f>IFERROR(IF('ŞİKAYET KAYIT'!P458="Kapatıldı","",IF('ŞİKAYET KAYIT'!N458="","",'ŞİKAYET KAYIT'!N458)),"")</f>
        <v/>
      </c>
      <c r="L458" s="3" t="str">
        <f>IFERROR(IF('ŞİKAYET KAYIT'!P458="Kapatıldı","",IF('ŞİKAYET KAYIT'!O458="","",'ŞİKAYET KAYIT'!O458)),"")</f>
        <v/>
      </c>
      <c r="M458" s="3" t="str">
        <f>IFERROR(IF('ŞİKAYET KAYIT'!P458="Kapatıldı","",IF('ŞİKAYET KAYIT'!P458="","",'ŞİKAYET KAYIT'!P458)),"")</f>
        <v/>
      </c>
    </row>
    <row r="459" spans="1:13" ht="15" customHeight="1" x14ac:dyDescent="0.3">
      <c r="A459" s="26" t="str">
        <f>IFERROR(IF('ŞİKAYET KAYIT'!P459="Kapatıldı","",IF('ŞİKAYET KAYIT'!A459="","",'ŞİKAYET KAYIT'!A459)),"")</f>
        <v/>
      </c>
      <c r="B459" s="8" t="str">
        <f>IFERROR(IF('ŞİKAYET KAYIT'!P459="Kapatıldı","",IF('ŞİKAYET KAYIT'!B459="","",'ŞİKAYET KAYIT'!B459)),"")</f>
        <v/>
      </c>
      <c r="C459" s="26" t="str">
        <f>IFERROR(IF('ŞİKAYET KAYIT'!P459="Kapatıldı","",IF('ŞİKAYET KAYIT'!D459="","",'ŞİKAYET KAYIT'!D459)),"")</f>
        <v/>
      </c>
      <c r="D459" s="26" t="str">
        <f>IFERROR(IF('ŞİKAYET KAYIT'!P459="Kapatıldı","",IF('ŞİKAYET KAYIT'!F459="","",'ŞİKAYET KAYIT'!F459)),"")</f>
        <v/>
      </c>
      <c r="E459" s="26" t="str">
        <f>IFERROR(IF('ŞİKAYET KAYIT'!P459="Kapatıldı","",IF('ŞİKAYET KAYIT'!H459="","",'ŞİKAYET KAYIT'!H459)),"")</f>
        <v/>
      </c>
      <c r="F459" s="26" t="str">
        <f>IFERROR(IF('ŞİKAYET KAYIT'!P459="Kapatıldı","",IF('ŞİKAYET KAYIT'!I459="","",'ŞİKAYET KAYIT'!I459)),"")</f>
        <v/>
      </c>
      <c r="G459" s="26" t="str">
        <f>IFERROR(IF('ŞİKAYET KAYIT'!P459="Kapatıldı","",IF('ŞİKAYET KAYIT'!J459="","",'ŞİKAYET KAYIT'!J459)),"")</f>
        <v/>
      </c>
      <c r="H459" s="26" t="str">
        <f>IFERROR(IF('ŞİKAYET KAYIT'!P459="Kapatıldı","",IF('ŞİKAYET KAYIT'!K459="","",'ŞİKAYET KAYIT'!K459)),"")</f>
        <v/>
      </c>
      <c r="I459" s="26" t="str">
        <f>IFERROR(IF('ŞİKAYET KAYIT'!P459="Kapatıldı","",IF('ŞİKAYET KAYIT'!L459="","",'ŞİKAYET KAYIT'!L459)),"")</f>
        <v/>
      </c>
      <c r="J459" s="26" t="str">
        <f>IFERROR(IF('ŞİKAYET KAYIT'!P459="Kapatıldı","",IF('ŞİKAYET KAYIT'!M459="","",'ŞİKAYET KAYIT'!M459)),"")</f>
        <v/>
      </c>
      <c r="K459" s="26" t="str">
        <f>IFERROR(IF('ŞİKAYET KAYIT'!P459="Kapatıldı","",IF('ŞİKAYET KAYIT'!N459="","",'ŞİKAYET KAYIT'!N459)),"")</f>
        <v/>
      </c>
      <c r="L459" s="26" t="str">
        <f>IFERROR(IF('ŞİKAYET KAYIT'!P459="Kapatıldı","",IF('ŞİKAYET KAYIT'!O459="","",'ŞİKAYET KAYIT'!O459)),"")</f>
        <v/>
      </c>
      <c r="M459" s="26" t="str">
        <f>IFERROR(IF('ŞİKAYET KAYIT'!P459="Kapatıldı","",IF('ŞİKAYET KAYIT'!P459="","",'ŞİKAYET KAYIT'!P459)),"")</f>
        <v/>
      </c>
    </row>
    <row r="460" spans="1:13" ht="15" customHeight="1" x14ac:dyDescent="0.3">
      <c r="A460" s="3" t="str">
        <f>IFERROR(IF('ŞİKAYET KAYIT'!P460="Kapatıldı","",IF('ŞİKAYET KAYIT'!A460="","",'ŞİKAYET KAYIT'!A460)),"")</f>
        <v/>
      </c>
      <c r="B460" s="5" t="str">
        <f>IFERROR(IF('ŞİKAYET KAYIT'!P460="Kapatıldı","",IF('ŞİKAYET KAYIT'!B460="","",'ŞİKAYET KAYIT'!B460)),"")</f>
        <v/>
      </c>
      <c r="C460" s="3" t="str">
        <f>IFERROR(IF('ŞİKAYET KAYIT'!P460="Kapatıldı","",IF('ŞİKAYET KAYIT'!D460="","",'ŞİKAYET KAYIT'!D460)),"")</f>
        <v/>
      </c>
      <c r="D460" s="3" t="str">
        <f>IFERROR(IF('ŞİKAYET KAYIT'!P460="Kapatıldı","",IF('ŞİKAYET KAYIT'!F460="","",'ŞİKAYET KAYIT'!F460)),"")</f>
        <v/>
      </c>
      <c r="E460" s="3" t="str">
        <f>IFERROR(IF('ŞİKAYET KAYIT'!P460="Kapatıldı","",IF('ŞİKAYET KAYIT'!H460="","",'ŞİKAYET KAYIT'!H460)),"")</f>
        <v/>
      </c>
      <c r="F460" s="3" t="str">
        <f>IFERROR(IF('ŞİKAYET KAYIT'!P460="Kapatıldı","",IF('ŞİKAYET KAYIT'!I460="","",'ŞİKAYET KAYIT'!I460)),"")</f>
        <v/>
      </c>
      <c r="G460" s="3" t="str">
        <f>IFERROR(IF('ŞİKAYET KAYIT'!P460="Kapatıldı","",IF('ŞİKAYET KAYIT'!J460="","",'ŞİKAYET KAYIT'!J460)),"")</f>
        <v/>
      </c>
      <c r="H460" s="3" t="str">
        <f>IFERROR(IF('ŞİKAYET KAYIT'!P460="Kapatıldı","",IF('ŞİKAYET KAYIT'!K460="","",'ŞİKAYET KAYIT'!K460)),"")</f>
        <v/>
      </c>
      <c r="I460" s="3" t="str">
        <f>IFERROR(IF('ŞİKAYET KAYIT'!P460="Kapatıldı","",IF('ŞİKAYET KAYIT'!L460="","",'ŞİKAYET KAYIT'!L460)),"")</f>
        <v/>
      </c>
      <c r="J460" s="3" t="str">
        <f>IFERROR(IF('ŞİKAYET KAYIT'!P460="Kapatıldı","",IF('ŞİKAYET KAYIT'!M460="","",'ŞİKAYET KAYIT'!M460)),"")</f>
        <v/>
      </c>
      <c r="K460" s="3" t="str">
        <f>IFERROR(IF('ŞİKAYET KAYIT'!P460="Kapatıldı","",IF('ŞİKAYET KAYIT'!N460="","",'ŞİKAYET KAYIT'!N460)),"")</f>
        <v/>
      </c>
      <c r="L460" s="3" t="str">
        <f>IFERROR(IF('ŞİKAYET KAYIT'!P460="Kapatıldı","",IF('ŞİKAYET KAYIT'!O460="","",'ŞİKAYET KAYIT'!O460)),"")</f>
        <v/>
      </c>
      <c r="M460" s="3" t="str">
        <f>IFERROR(IF('ŞİKAYET KAYIT'!P460="Kapatıldı","",IF('ŞİKAYET KAYIT'!P460="","",'ŞİKAYET KAYIT'!P460)),"")</f>
        <v/>
      </c>
    </row>
    <row r="461" spans="1:13" ht="15" customHeight="1" x14ac:dyDescent="0.3">
      <c r="A461" s="26" t="str">
        <f>IFERROR(IF('ŞİKAYET KAYIT'!P461="Kapatıldı","",IF('ŞİKAYET KAYIT'!A461="","",'ŞİKAYET KAYIT'!A461)),"")</f>
        <v/>
      </c>
      <c r="B461" s="8" t="str">
        <f>IFERROR(IF('ŞİKAYET KAYIT'!P461="Kapatıldı","",IF('ŞİKAYET KAYIT'!B461="","",'ŞİKAYET KAYIT'!B461)),"")</f>
        <v/>
      </c>
      <c r="C461" s="26" t="str">
        <f>IFERROR(IF('ŞİKAYET KAYIT'!P461="Kapatıldı","",IF('ŞİKAYET KAYIT'!D461="","",'ŞİKAYET KAYIT'!D461)),"")</f>
        <v/>
      </c>
      <c r="D461" s="26" t="str">
        <f>IFERROR(IF('ŞİKAYET KAYIT'!P461="Kapatıldı","",IF('ŞİKAYET KAYIT'!F461="","",'ŞİKAYET KAYIT'!F461)),"")</f>
        <v/>
      </c>
      <c r="E461" s="26" t="str">
        <f>IFERROR(IF('ŞİKAYET KAYIT'!P461="Kapatıldı","",IF('ŞİKAYET KAYIT'!H461="","",'ŞİKAYET KAYIT'!H461)),"")</f>
        <v/>
      </c>
      <c r="F461" s="26" t="str">
        <f>IFERROR(IF('ŞİKAYET KAYIT'!P461="Kapatıldı","",IF('ŞİKAYET KAYIT'!I461="","",'ŞİKAYET KAYIT'!I461)),"")</f>
        <v/>
      </c>
      <c r="G461" s="26" t="str">
        <f>IFERROR(IF('ŞİKAYET KAYIT'!P461="Kapatıldı","",IF('ŞİKAYET KAYIT'!J461="","",'ŞİKAYET KAYIT'!J461)),"")</f>
        <v/>
      </c>
      <c r="H461" s="26" t="str">
        <f>IFERROR(IF('ŞİKAYET KAYIT'!P461="Kapatıldı","",IF('ŞİKAYET KAYIT'!K461="","",'ŞİKAYET KAYIT'!K461)),"")</f>
        <v/>
      </c>
      <c r="I461" s="26" t="str">
        <f>IFERROR(IF('ŞİKAYET KAYIT'!P461="Kapatıldı","",IF('ŞİKAYET KAYIT'!L461="","",'ŞİKAYET KAYIT'!L461)),"")</f>
        <v/>
      </c>
      <c r="J461" s="26" t="str">
        <f>IFERROR(IF('ŞİKAYET KAYIT'!P461="Kapatıldı","",IF('ŞİKAYET KAYIT'!M461="","",'ŞİKAYET KAYIT'!M461)),"")</f>
        <v/>
      </c>
      <c r="K461" s="26" t="str">
        <f>IFERROR(IF('ŞİKAYET KAYIT'!P461="Kapatıldı","",IF('ŞİKAYET KAYIT'!N461="","",'ŞİKAYET KAYIT'!N461)),"")</f>
        <v/>
      </c>
      <c r="L461" s="26" t="str">
        <f>IFERROR(IF('ŞİKAYET KAYIT'!P461="Kapatıldı","",IF('ŞİKAYET KAYIT'!O461="","",'ŞİKAYET KAYIT'!O461)),"")</f>
        <v/>
      </c>
      <c r="M461" s="26" t="str">
        <f>IFERROR(IF('ŞİKAYET KAYIT'!P461="Kapatıldı","",IF('ŞİKAYET KAYIT'!P461="","",'ŞİKAYET KAYIT'!P461)),"")</f>
        <v/>
      </c>
    </row>
    <row r="462" spans="1:13" ht="15" customHeight="1" x14ac:dyDescent="0.3">
      <c r="A462" s="3" t="str">
        <f>IFERROR(IF('ŞİKAYET KAYIT'!P462="Kapatıldı","",IF('ŞİKAYET KAYIT'!A462="","",'ŞİKAYET KAYIT'!A462)),"")</f>
        <v/>
      </c>
      <c r="B462" s="5" t="str">
        <f>IFERROR(IF('ŞİKAYET KAYIT'!P462="Kapatıldı","",IF('ŞİKAYET KAYIT'!B462="","",'ŞİKAYET KAYIT'!B462)),"")</f>
        <v/>
      </c>
      <c r="C462" s="3" t="str">
        <f>IFERROR(IF('ŞİKAYET KAYIT'!P462="Kapatıldı","",IF('ŞİKAYET KAYIT'!D462="","",'ŞİKAYET KAYIT'!D462)),"")</f>
        <v/>
      </c>
      <c r="D462" s="3" t="str">
        <f>IFERROR(IF('ŞİKAYET KAYIT'!P462="Kapatıldı","",IF('ŞİKAYET KAYIT'!F462="","",'ŞİKAYET KAYIT'!F462)),"")</f>
        <v/>
      </c>
      <c r="E462" s="3" t="str">
        <f>IFERROR(IF('ŞİKAYET KAYIT'!P462="Kapatıldı","",IF('ŞİKAYET KAYIT'!H462="","",'ŞİKAYET KAYIT'!H462)),"")</f>
        <v/>
      </c>
      <c r="F462" s="3" t="str">
        <f>IFERROR(IF('ŞİKAYET KAYIT'!P462="Kapatıldı","",IF('ŞİKAYET KAYIT'!I462="","",'ŞİKAYET KAYIT'!I462)),"")</f>
        <v/>
      </c>
      <c r="G462" s="3" t="str">
        <f>IFERROR(IF('ŞİKAYET KAYIT'!P462="Kapatıldı","",IF('ŞİKAYET KAYIT'!J462="","",'ŞİKAYET KAYIT'!J462)),"")</f>
        <v/>
      </c>
      <c r="H462" s="3" t="str">
        <f>IFERROR(IF('ŞİKAYET KAYIT'!P462="Kapatıldı","",IF('ŞİKAYET KAYIT'!K462="","",'ŞİKAYET KAYIT'!K462)),"")</f>
        <v/>
      </c>
      <c r="I462" s="3" t="str">
        <f>IFERROR(IF('ŞİKAYET KAYIT'!P462="Kapatıldı","",IF('ŞİKAYET KAYIT'!L462="","",'ŞİKAYET KAYIT'!L462)),"")</f>
        <v/>
      </c>
      <c r="J462" s="3" t="str">
        <f>IFERROR(IF('ŞİKAYET KAYIT'!P462="Kapatıldı","",IF('ŞİKAYET KAYIT'!M462="","",'ŞİKAYET KAYIT'!M462)),"")</f>
        <v/>
      </c>
      <c r="K462" s="3" t="str">
        <f>IFERROR(IF('ŞİKAYET KAYIT'!P462="Kapatıldı","",IF('ŞİKAYET KAYIT'!N462="","",'ŞİKAYET KAYIT'!N462)),"")</f>
        <v/>
      </c>
      <c r="L462" s="3" t="str">
        <f>IFERROR(IF('ŞİKAYET KAYIT'!P462="Kapatıldı","",IF('ŞİKAYET KAYIT'!O462="","",'ŞİKAYET KAYIT'!O462)),"")</f>
        <v/>
      </c>
      <c r="M462" s="3" t="str">
        <f>IFERROR(IF('ŞİKAYET KAYIT'!P462="Kapatıldı","",IF('ŞİKAYET KAYIT'!P462="","",'ŞİKAYET KAYIT'!P462)),"")</f>
        <v/>
      </c>
    </row>
    <row r="463" spans="1:13" ht="15" customHeight="1" x14ac:dyDescent="0.3">
      <c r="A463" s="26" t="str">
        <f>IFERROR(IF('ŞİKAYET KAYIT'!P463="Kapatıldı","",IF('ŞİKAYET KAYIT'!A463="","",'ŞİKAYET KAYIT'!A463)),"")</f>
        <v/>
      </c>
      <c r="B463" s="8" t="str">
        <f>IFERROR(IF('ŞİKAYET KAYIT'!P463="Kapatıldı","",IF('ŞİKAYET KAYIT'!B463="","",'ŞİKAYET KAYIT'!B463)),"")</f>
        <v/>
      </c>
      <c r="C463" s="26" t="str">
        <f>IFERROR(IF('ŞİKAYET KAYIT'!P463="Kapatıldı","",IF('ŞİKAYET KAYIT'!D463="","",'ŞİKAYET KAYIT'!D463)),"")</f>
        <v/>
      </c>
      <c r="D463" s="26" t="str">
        <f>IFERROR(IF('ŞİKAYET KAYIT'!P463="Kapatıldı","",IF('ŞİKAYET KAYIT'!F463="","",'ŞİKAYET KAYIT'!F463)),"")</f>
        <v/>
      </c>
      <c r="E463" s="26" t="str">
        <f>IFERROR(IF('ŞİKAYET KAYIT'!P463="Kapatıldı","",IF('ŞİKAYET KAYIT'!H463="","",'ŞİKAYET KAYIT'!H463)),"")</f>
        <v/>
      </c>
      <c r="F463" s="26" t="str">
        <f>IFERROR(IF('ŞİKAYET KAYIT'!P463="Kapatıldı","",IF('ŞİKAYET KAYIT'!I463="","",'ŞİKAYET KAYIT'!I463)),"")</f>
        <v/>
      </c>
      <c r="G463" s="26" t="str">
        <f>IFERROR(IF('ŞİKAYET KAYIT'!P463="Kapatıldı","",IF('ŞİKAYET KAYIT'!J463="","",'ŞİKAYET KAYIT'!J463)),"")</f>
        <v/>
      </c>
      <c r="H463" s="26" t="str">
        <f>IFERROR(IF('ŞİKAYET KAYIT'!P463="Kapatıldı","",IF('ŞİKAYET KAYIT'!K463="","",'ŞİKAYET KAYIT'!K463)),"")</f>
        <v/>
      </c>
      <c r="I463" s="26" t="str">
        <f>IFERROR(IF('ŞİKAYET KAYIT'!P463="Kapatıldı","",IF('ŞİKAYET KAYIT'!L463="","",'ŞİKAYET KAYIT'!L463)),"")</f>
        <v/>
      </c>
      <c r="J463" s="26" t="str">
        <f>IFERROR(IF('ŞİKAYET KAYIT'!P463="Kapatıldı","",IF('ŞİKAYET KAYIT'!M463="","",'ŞİKAYET KAYIT'!M463)),"")</f>
        <v/>
      </c>
      <c r="K463" s="26" t="str">
        <f>IFERROR(IF('ŞİKAYET KAYIT'!P463="Kapatıldı","",IF('ŞİKAYET KAYIT'!N463="","",'ŞİKAYET KAYIT'!N463)),"")</f>
        <v/>
      </c>
      <c r="L463" s="26" t="str">
        <f>IFERROR(IF('ŞİKAYET KAYIT'!P463="Kapatıldı","",IF('ŞİKAYET KAYIT'!O463="","",'ŞİKAYET KAYIT'!O463)),"")</f>
        <v/>
      </c>
      <c r="M463" s="26" t="str">
        <f>IFERROR(IF('ŞİKAYET KAYIT'!P463="Kapatıldı","",IF('ŞİKAYET KAYIT'!P463="","",'ŞİKAYET KAYIT'!P463)),"")</f>
        <v/>
      </c>
    </row>
    <row r="464" spans="1:13" ht="15" customHeight="1" x14ac:dyDescent="0.3">
      <c r="A464" s="3" t="str">
        <f>IFERROR(IF('ŞİKAYET KAYIT'!P464="Kapatıldı","",IF('ŞİKAYET KAYIT'!A464="","",'ŞİKAYET KAYIT'!A464)),"")</f>
        <v/>
      </c>
      <c r="B464" s="5" t="str">
        <f>IFERROR(IF('ŞİKAYET KAYIT'!P464="Kapatıldı","",IF('ŞİKAYET KAYIT'!B464="","",'ŞİKAYET KAYIT'!B464)),"")</f>
        <v/>
      </c>
      <c r="C464" s="3" t="str">
        <f>IFERROR(IF('ŞİKAYET KAYIT'!P464="Kapatıldı","",IF('ŞİKAYET KAYIT'!D464="","",'ŞİKAYET KAYIT'!D464)),"")</f>
        <v/>
      </c>
      <c r="D464" s="3" t="str">
        <f>IFERROR(IF('ŞİKAYET KAYIT'!P464="Kapatıldı","",IF('ŞİKAYET KAYIT'!F464="","",'ŞİKAYET KAYIT'!F464)),"")</f>
        <v/>
      </c>
      <c r="E464" s="3" t="str">
        <f>IFERROR(IF('ŞİKAYET KAYIT'!P464="Kapatıldı","",IF('ŞİKAYET KAYIT'!H464="","",'ŞİKAYET KAYIT'!H464)),"")</f>
        <v/>
      </c>
      <c r="F464" s="3" t="str">
        <f>IFERROR(IF('ŞİKAYET KAYIT'!P464="Kapatıldı","",IF('ŞİKAYET KAYIT'!I464="","",'ŞİKAYET KAYIT'!I464)),"")</f>
        <v/>
      </c>
      <c r="G464" s="3" t="str">
        <f>IFERROR(IF('ŞİKAYET KAYIT'!P464="Kapatıldı","",IF('ŞİKAYET KAYIT'!J464="","",'ŞİKAYET KAYIT'!J464)),"")</f>
        <v/>
      </c>
      <c r="H464" s="3" t="str">
        <f>IFERROR(IF('ŞİKAYET KAYIT'!P464="Kapatıldı","",IF('ŞİKAYET KAYIT'!K464="","",'ŞİKAYET KAYIT'!K464)),"")</f>
        <v/>
      </c>
      <c r="I464" s="3" t="str">
        <f>IFERROR(IF('ŞİKAYET KAYIT'!P464="Kapatıldı","",IF('ŞİKAYET KAYIT'!L464="","",'ŞİKAYET KAYIT'!L464)),"")</f>
        <v/>
      </c>
      <c r="J464" s="3" t="str">
        <f>IFERROR(IF('ŞİKAYET KAYIT'!P464="Kapatıldı","",IF('ŞİKAYET KAYIT'!M464="","",'ŞİKAYET KAYIT'!M464)),"")</f>
        <v/>
      </c>
      <c r="K464" s="3" t="str">
        <f>IFERROR(IF('ŞİKAYET KAYIT'!P464="Kapatıldı","",IF('ŞİKAYET KAYIT'!N464="","",'ŞİKAYET KAYIT'!N464)),"")</f>
        <v/>
      </c>
      <c r="L464" s="3" t="str">
        <f>IFERROR(IF('ŞİKAYET KAYIT'!P464="Kapatıldı","",IF('ŞİKAYET KAYIT'!O464="","",'ŞİKAYET KAYIT'!O464)),"")</f>
        <v/>
      </c>
      <c r="M464" s="3" t="str">
        <f>IFERROR(IF('ŞİKAYET KAYIT'!P464="Kapatıldı","",IF('ŞİKAYET KAYIT'!P464="","",'ŞİKAYET KAYIT'!P464)),"")</f>
        <v/>
      </c>
    </row>
    <row r="465" spans="1:13" ht="15" customHeight="1" x14ac:dyDescent="0.3">
      <c r="A465" s="26" t="str">
        <f>IFERROR(IF('ŞİKAYET KAYIT'!P465="Kapatıldı","",IF('ŞİKAYET KAYIT'!A465="","",'ŞİKAYET KAYIT'!A465)),"")</f>
        <v/>
      </c>
      <c r="B465" s="8" t="str">
        <f>IFERROR(IF('ŞİKAYET KAYIT'!P465="Kapatıldı","",IF('ŞİKAYET KAYIT'!B465="","",'ŞİKAYET KAYIT'!B465)),"")</f>
        <v/>
      </c>
      <c r="C465" s="26" t="str">
        <f>IFERROR(IF('ŞİKAYET KAYIT'!P465="Kapatıldı","",IF('ŞİKAYET KAYIT'!D465="","",'ŞİKAYET KAYIT'!D465)),"")</f>
        <v/>
      </c>
      <c r="D465" s="26" t="str">
        <f>IFERROR(IF('ŞİKAYET KAYIT'!P465="Kapatıldı","",IF('ŞİKAYET KAYIT'!F465="","",'ŞİKAYET KAYIT'!F465)),"")</f>
        <v/>
      </c>
      <c r="E465" s="26" t="str">
        <f>IFERROR(IF('ŞİKAYET KAYIT'!P465="Kapatıldı","",IF('ŞİKAYET KAYIT'!H465="","",'ŞİKAYET KAYIT'!H465)),"")</f>
        <v/>
      </c>
      <c r="F465" s="26" t="str">
        <f>IFERROR(IF('ŞİKAYET KAYIT'!P465="Kapatıldı","",IF('ŞİKAYET KAYIT'!I465="","",'ŞİKAYET KAYIT'!I465)),"")</f>
        <v/>
      </c>
      <c r="G465" s="26" t="str">
        <f>IFERROR(IF('ŞİKAYET KAYIT'!P465="Kapatıldı","",IF('ŞİKAYET KAYIT'!J465="","",'ŞİKAYET KAYIT'!J465)),"")</f>
        <v/>
      </c>
      <c r="H465" s="26" t="str">
        <f>IFERROR(IF('ŞİKAYET KAYIT'!P465="Kapatıldı","",IF('ŞİKAYET KAYIT'!K465="","",'ŞİKAYET KAYIT'!K465)),"")</f>
        <v/>
      </c>
      <c r="I465" s="26" t="str">
        <f>IFERROR(IF('ŞİKAYET KAYIT'!P465="Kapatıldı","",IF('ŞİKAYET KAYIT'!L465="","",'ŞİKAYET KAYIT'!L465)),"")</f>
        <v/>
      </c>
      <c r="J465" s="26" t="str">
        <f>IFERROR(IF('ŞİKAYET KAYIT'!P465="Kapatıldı","",IF('ŞİKAYET KAYIT'!M465="","",'ŞİKAYET KAYIT'!M465)),"")</f>
        <v/>
      </c>
      <c r="K465" s="26" t="str">
        <f>IFERROR(IF('ŞİKAYET KAYIT'!P465="Kapatıldı","",IF('ŞİKAYET KAYIT'!N465="","",'ŞİKAYET KAYIT'!N465)),"")</f>
        <v/>
      </c>
      <c r="L465" s="26" t="str">
        <f>IFERROR(IF('ŞİKAYET KAYIT'!P465="Kapatıldı","",IF('ŞİKAYET KAYIT'!O465="","",'ŞİKAYET KAYIT'!O465)),"")</f>
        <v/>
      </c>
      <c r="M465" s="26" t="str">
        <f>IFERROR(IF('ŞİKAYET KAYIT'!P465="Kapatıldı","",IF('ŞİKAYET KAYIT'!P465="","",'ŞİKAYET KAYIT'!P465)),"")</f>
        <v/>
      </c>
    </row>
    <row r="466" spans="1:13" ht="15" customHeight="1" x14ac:dyDescent="0.3">
      <c r="A466" s="3" t="str">
        <f>IFERROR(IF('ŞİKAYET KAYIT'!P466="Kapatıldı","",IF('ŞİKAYET KAYIT'!A466="","",'ŞİKAYET KAYIT'!A466)),"")</f>
        <v/>
      </c>
      <c r="B466" s="5" t="str">
        <f>IFERROR(IF('ŞİKAYET KAYIT'!P466="Kapatıldı","",IF('ŞİKAYET KAYIT'!B466="","",'ŞİKAYET KAYIT'!B466)),"")</f>
        <v/>
      </c>
      <c r="C466" s="3" t="str">
        <f>IFERROR(IF('ŞİKAYET KAYIT'!P466="Kapatıldı","",IF('ŞİKAYET KAYIT'!D466="","",'ŞİKAYET KAYIT'!D466)),"")</f>
        <v/>
      </c>
      <c r="D466" s="3" t="str">
        <f>IFERROR(IF('ŞİKAYET KAYIT'!P466="Kapatıldı","",IF('ŞİKAYET KAYIT'!F466="","",'ŞİKAYET KAYIT'!F466)),"")</f>
        <v/>
      </c>
      <c r="E466" s="3" t="str">
        <f>IFERROR(IF('ŞİKAYET KAYIT'!P466="Kapatıldı","",IF('ŞİKAYET KAYIT'!H466="","",'ŞİKAYET KAYIT'!H466)),"")</f>
        <v/>
      </c>
      <c r="F466" s="3" t="str">
        <f>IFERROR(IF('ŞİKAYET KAYIT'!P466="Kapatıldı","",IF('ŞİKAYET KAYIT'!I466="","",'ŞİKAYET KAYIT'!I466)),"")</f>
        <v/>
      </c>
      <c r="G466" s="3" t="str">
        <f>IFERROR(IF('ŞİKAYET KAYIT'!P466="Kapatıldı","",IF('ŞİKAYET KAYIT'!J466="","",'ŞİKAYET KAYIT'!J466)),"")</f>
        <v/>
      </c>
      <c r="H466" s="3" t="str">
        <f>IFERROR(IF('ŞİKAYET KAYIT'!P466="Kapatıldı","",IF('ŞİKAYET KAYIT'!K466="","",'ŞİKAYET KAYIT'!K466)),"")</f>
        <v/>
      </c>
      <c r="I466" s="3" t="str">
        <f>IFERROR(IF('ŞİKAYET KAYIT'!P466="Kapatıldı","",IF('ŞİKAYET KAYIT'!L466="","",'ŞİKAYET KAYIT'!L466)),"")</f>
        <v/>
      </c>
      <c r="J466" s="3" t="str">
        <f>IFERROR(IF('ŞİKAYET KAYIT'!P466="Kapatıldı","",IF('ŞİKAYET KAYIT'!M466="","",'ŞİKAYET KAYIT'!M466)),"")</f>
        <v/>
      </c>
      <c r="K466" s="3" t="str">
        <f>IFERROR(IF('ŞİKAYET KAYIT'!P466="Kapatıldı","",IF('ŞİKAYET KAYIT'!N466="","",'ŞİKAYET KAYIT'!N466)),"")</f>
        <v/>
      </c>
      <c r="L466" s="3" t="str">
        <f>IFERROR(IF('ŞİKAYET KAYIT'!P466="Kapatıldı","",IF('ŞİKAYET KAYIT'!O466="","",'ŞİKAYET KAYIT'!O466)),"")</f>
        <v/>
      </c>
      <c r="M466" s="3" t="str">
        <f>IFERROR(IF('ŞİKAYET KAYIT'!P466="Kapatıldı","",IF('ŞİKAYET KAYIT'!P466="","",'ŞİKAYET KAYIT'!P466)),"")</f>
        <v/>
      </c>
    </row>
    <row r="467" spans="1:13" ht="15" customHeight="1" x14ac:dyDescent="0.3">
      <c r="A467" s="26" t="str">
        <f>IFERROR(IF('ŞİKAYET KAYIT'!P467="Kapatıldı","",IF('ŞİKAYET KAYIT'!A467="","",'ŞİKAYET KAYIT'!A467)),"")</f>
        <v/>
      </c>
      <c r="B467" s="8" t="str">
        <f>IFERROR(IF('ŞİKAYET KAYIT'!P467="Kapatıldı","",IF('ŞİKAYET KAYIT'!B467="","",'ŞİKAYET KAYIT'!B467)),"")</f>
        <v/>
      </c>
      <c r="C467" s="26" t="str">
        <f>IFERROR(IF('ŞİKAYET KAYIT'!P467="Kapatıldı","",IF('ŞİKAYET KAYIT'!D467="","",'ŞİKAYET KAYIT'!D467)),"")</f>
        <v/>
      </c>
      <c r="D467" s="26" t="str">
        <f>IFERROR(IF('ŞİKAYET KAYIT'!P467="Kapatıldı","",IF('ŞİKAYET KAYIT'!F467="","",'ŞİKAYET KAYIT'!F467)),"")</f>
        <v/>
      </c>
      <c r="E467" s="26" t="str">
        <f>IFERROR(IF('ŞİKAYET KAYIT'!P467="Kapatıldı","",IF('ŞİKAYET KAYIT'!H467="","",'ŞİKAYET KAYIT'!H467)),"")</f>
        <v/>
      </c>
      <c r="F467" s="26" t="str">
        <f>IFERROR(IF('ŞİKAYET KAYIT'!P467="Kapatıldı","",IF('ŞİKAYET KAYIT'!I467="","",'ŞİKAYET KAYIT'!I467)),"")</f>
        <v/>
      </c>
      <c r="G467" s="26" t="str">
        <f>IFERROR(IF('ŞİKAYET KAYIT'!P467="Kapatıldı","",IF('ŞİKAYET KAYIT'!J467="","",'ŞİKAYET KAYIT'!J467)),"")</f>
        <v/>
      </c>
      <c r="H467" s="26" t="str">
        <f>IFERROR(IF('ŞİKAYET KAYIT'!P467="Kapatıldı","",IF('ŞİKAYET KAYIT'!K467="","",'ŞİKAYET KAYIT'!K467)),"")</f>
        <v/>
      </c>
      <c r="I467" s="26" t="str">
        <f>IFERROR(IF('ŞİKAYET KAYIT'!P467="Kapatıldı","",IF('ŞİKAYET KAYIT'!L467="","",'ŞİKAYET KAYIT'!L467)),"")</f>
        <v/>
      </c>
      <c r="J467" s="26" t="str">
        <f>IFERROR(IF('ŞİKAYET KAYIT'!P467="Kapatıldı","",IF('ŞİKAYET KAYIT'!M467="","",'ŞİKAYET KAYIT'!M467)),"")</f>
        <v/>
      </c>
      <c r="K467" s="26" t="str">
        <f>IFERROR(IF('ŞİKAYET KAYIT'!P467="Kapatıldı","",IF('ŞİKAYET KAYIT'!N467="","",'ŞİKAYET KAYIT'!N467)),"")</f>
        <v/>
      </c>
      <c r="L467" s="26" t="str">
        <f>IFERROR(IF('ŞİKAYET KAYIT'!P467="Kapatıldı","",IF('ŞİKAYET KAYIT'!O467="","",'ŞİKAYET KAYIT'!O467)),"")</f>
        <v/>
      </c>
      <c r="M467" s="26" t="str">
        <f>IFERROR(IF('ŞİKAYET KAYIT'!P467="Kapatıldı","",IF('ŞİKAYET KAYIT'!P467="","",'ŞİKAYET KAYIT'!P467)),"")</f>
        <v/>
      </c>
    </row>
    <row r="468" spans="1:13" ht="15" customHeight="1" x14ac:dyDescent="0.3">
      <c r="A468" s="3" t="str">
        <f>IFERROR(IF('ŞİKAYET KAYIT'!P468="Kapatıldı","",IF('ŞİKAYET KAYIT'!A468="","",'ŞİKAYET KAYIT'!A468)),"")</f>
        <v/>
      </c>
      <c r="B468" s="5" t="str">
        <f>IFERROR(IF('ŞİKAYET KAYIT'!P468="Kapatıldı","",IF('ŞİKAYET KAYIT'!B468="","",'ŞİKAYET KAYIT'!B468)),"")</f>
        <v/>
      </c>
      <c r="C468" s="3" t="str">
        <f>IFERROR(IF('ŞİKAYET KAYIT'!P468="Kapatıldı","",IF('ŞİKAYET KAYIT'!D468="","",'ŞİKAYET KAYIT'!D468)),"")</f>
        <v/>
      </c>
      <c r="D468" s="3" t="str">
        <f>IFERROR(IF('ŞİKAYET KAYIT'!P468="Kapatıldı","",IF('ŞİKAYET KAYIT'!F468="","",'ŞİKAYET KAYIT'!F468)),"")</f>
        <v/>
      </c>
      <c r="E468" s="3" t="str">
        <f>IFERROR(IF('ŞİKAYET KAYIT'!P468="Kapatıldı","",IF('ŞİKAYET KAYIT'!H468="","",'ŞİKAYET KAYIT'!H468)),"")</f>
        <v/>
      </c>
      <c r="F468" s="3" t="str">
        <f>IFERROR(IF('ŞİKAYET KAYIT'!P468="Kapatıldı","",IF('ŞİKAYET KAYIT'!I468="","",'ŞİKAYET KAYIT'!I468)),"")</f>
        <v/>
      </c>
      <c r="G468" s="3" t="str">
        <f>IFERROR(IF('ŞİKAYET KAYIT'!P468="Kapatıldı","",IF('ŞİKAYET KAYIT'!J468="","",'ŞİKAYET KAYIT'!J468)),"")</f>
        <v/>
      </c>
      <c r="H468" s="3" t="str">
        <f>IFERROR(IF('ŞİKAYET KAYIT'!P468="Kapatıldı","",IF('ŞİKAYET KAYIT'!K468="","",'ŞİKAYET KAYIT'!K468)),"")</f>
        <v/>
      </c>
      <c r="I468" s="3" t="str">
        <f>IFERROR(IF('ŞİKAYET KAYIT'!P468="Kapatıldı","",IF('ŞİKAYET KAYIT'!L468="","",'ŞİKAYET KAYIT'!L468)),"")</f>
        <v/>
      </c>
      <c r="J468" s="3" t="str">
        <f>IFERROR(IF('ŞİKAYET KAYIT'!P468="Kapatıldı","",IF('ŞİKAYET KAYIT'!M468="","",'ŞİKAYET KAYIT'!M468)),"")</f>
        <v/>
      </c>
      <c r="K468" s="3" t="str">
        <f>IFERROR(IF('ŞİKAYET KAYIT'!P468="Kapatıldı","",IF('ŞİKAYET KAYIT'!N468="","",'ŞİKAYET KAYIT'!N468)),"")</f>
        <v/>
      </c>
      <c r="L468" s="3" t="str">
        <f>IFERROR(IF('ŞİKAYET KAYIT'!P468="Kapatıldı","",IF('ŞİKAYET KAYIT'!O468="","",'ŞİKAYET KAYIT'!O468)),"")</f>
        <v/>
      </c>
      <c r="M468" s="3" t="str">
        <f>IFERROR(IF('ŞİKAYET KAYIT'!P468="Kapatıldı","",IF('ŞİKAYET KAYIT'!P468="","",'ŞİKAYET KAYIT'!P468)),"")</f>
        <v/>
      </c>
    </row>
    <row r="469" spans="1:13" ht="15" customHeight="1" x14ac:dyDescent="0.3">
      <c r="A469" s="26" t="str">
        <f>IFERROR(IF('ŞİKAYET KAYIT'!P469="Kapatıldı","",IF('ŞİKAYET KAYIT'!A469="","",'ŞİKAYET KAYIT'!A469)),"")</f>
        <v/>
      </c>
      <c r="B469" s="8" t="str">
        <f>IFERROR(IF('ŞİKAYET KAYIT'!P469="Kapatıldı","",IF('ŞİKAYET KAYIT'!B469="","",'ŞİKAYET KAYIT'!B469)),"")</f>
        <v/>
      </c>
      <c r="C469" s="26" t="str">
        <f>IFERROR(IF('ŞİKAYET KAYIT'!P469="Kapatıldı","",IF('ŞİKAYET KAYIT'!D469="","",'ŞİKAYET KAYIT'!D469)),"")</f>
        <v/>
      </c>
      <c r="D469" s="26" t="str">
        <f>IFERROR(IF('ŞİKAYET KAYIT'!P469="Kapatıldı","",IF('ŞİKAYET KAYIT'!F469="","",'ŞİKAYET KAYIT'!F469)),"")</f>
        <v/>
      </c>
      <c r="E469" s="26" t="str">
        <f>IFERROR(IF('ŞİKAYET KAYIT'!P469="Kapatıldı","",IF('ŞİKAYET KAYIT'!H469="","",'ŞİKAYET KAYIT'!H469)),"")</f>
        <v/>
      </c>
      <c r="F469" s="26" t="str">
        <f>IFERROR(IF('ŞİKAYET KAYIT'!P469="Kapatıldı","",IF('ŞİKAYET KAYIT'!I469="","",'ŞİKAYET KAYIT'!I469)),"")</f>
        <v/>
      </c>
      <c r="G469" s="26" t="str">
        <f>IFERROR(IF('ŞİKAYET KAYIT'!P469="Kapatıldı","",IF('ŞİKAYET KAYIT'!J469="","",'ŞİKAYET KAYIT'!J469)),"")</f>
        <v/>
      </c>
      <c r="H469" s="26" t="str">
        <f>IFERROR(IF('ŞİKAYET KAYIT'!P469="Kapatıldı","",IF('ŞİKAYET KAYIT'!K469="","",'ŞİKAYET KAYIT'!K469)),"")</f>
        <v/>
      </c>
      <c r="I469" s="26" t="str">
        <f>IFERROR(IF('ŞİKAYET KAYIT'!P469="Kapatıldı","",IF('ŞİKAYET KAYIT'!L469="","",'ŞİKAYET KAYIT'!L469)),"")</f>
        <v/>
      </c>
      <c r="J469" s="26" t="str">
        <f>IFERROR(IF('ŞİKAYET KAYIT'!P469="Kapatıldı","",IF('ŞİKAYET KAYIT'!M469="","",'ŞİKAYET KAYIT'!M469)),"")</f>
        <v/>
      </c>
      <c r="K469" s="26" t="str">
        <f>IFERROR(IF('ŞİKAYET KAYIT'!P469="Kapatıldı","",IF('ŞİKAYET KAYIT'!N469="","",'ŞİKAYET KAYIT'!N469)),"")</f>
        <v/>
      </c>
      <c r="L469" s="26" t="str">
        <f>IFERROR(IF('ŞİKAYET KAYIT'!P469="Kapatıldı","",IF('ŞİKAYET KAYIT'!O469="","",'ŞİKAYET KAYIT'!O469)),"")</f>
        <v/>
      </c>
      <c r="M469" s="26" t="str">
        <f>IFERROR(IF('ŞİKAYET KAYIT'!P469="Kapatıldı","",IF('ŞİKAYET KAYIT'!P469="","",'ŞİKAYET KAYIT'!P469)),"")</f>
        <v/>
      </c>
    </row>
    <row r="470" spans="1:13" ht="15" customHeight="1" x14ac:dyDescent="0.3">
      <c r="A470" s="3" t="str">
        <f>IFERROR(IF('ŞİKAYET KAYIT'!P470="Kapatıldı","",IF('ŞİKAYET KAYIT'!A470="","",'ŞİKAYET KAYIT'!A470)),"")</f>
        <v/>
      </c>
      <c r="B470" s="5" t="str">
        <f>IFERROR(IF('ŞİKAYET KAYIT'!P470="Kapatıldı","",IF('ŞİKAYET KAYIT'!B470="","",'ŞİKAYET KAYIT'!B470)),"")</f>
        <v/>
      </c>
      <c r="C470" s="3" t="str">
        <f>IFERROR(IF('ŞİKAYET KAYIT'!P470="Kapatıldı","",IF('ŞİKAYET KAYIT'!D470="","",'ŞİKAYET KAYIT'!D470)),"")</f>
        <v/>
      </c>
      <c r="D470" s="3" t="str">
        <f>IFERROR(IF('ŞİKAYET KAYIT'!P470="Kapatıldı","",IF('ŞİKAYET KAYIT'!F470="","",'ŞİKAYET KAYIT'!F470)),"")</f>
        <v/>
      </c>
      <c r="E470" s="3" t="str">
        <f>IFERROR(IF('ŞİKAYET KAYIT'!P470="Kapatıldı","",IF('ŞİKAYET KAYIT'!H470="","",'ŞİKAYET KAYIT'!H470)),"")</f>
        <v/>
      </c>
      <c r="F470" s="3" t="str">
        <f>IFERROR(IF('ŞİKAYET KAYIT'!P470="Kapatıldı","",IF('ŞİKAYET KAYIT'!I470="","",'ŞİKAYET KAYIT'!I470)),"")</f>
        <v/>
      </c>
      <c r="G470" s="3" t="str">
        <f>IFERROR(IF('ŞİKAYET KAYIT'!P470="Kapatıldı","",IF('ŞİKAYET KAYIT'!J470="","",'ŞİKAYET KAYIT'!J470)),"")</f>
        <v/>
      </c>
      <c r="H470" s="3" t="str">
        <f>IFERROR(IF('ŞİKAYET KAYIT'!P470="Kapatıldı","",IF('ŞİKAYET KAYIT'!K470="","",'ŞİKAYET KAYIT'!K470)),"")</f>
        <v/>
      </c>
      <c r="I470" s="3" t="str">
        <f>IFERROR(IF('ŞİKAYET KAYIT'!P470="Kapatıldı","",IF('ŞİKAYET KAYIT'!L470="","",'ŞİKAYET KAYIT'!L470)),"")</f>
        <v/>
      </c>
      <c r="J470" s="3" t="str">
        <f>IFERROR(IF('ŞİKAYET KAYIT'!P470="Kapatıldı","",IF('ŞİKAYET KAYIT'!M470="","",'ŞİKAYET KAYIT'!M470)),"")</f>
        <v/>
      </c>
      <c r="K470" s="3" t="str">
        <f>IFERROR(IF('ŞİKAYET KAYIT'!P470="Kapatıldı","",IF('ŞİKAYET KAYIT'!N470="","",'ŞİKAYET KAYIT'!N470)),"")</f>
        <v/>
      </c>
      <c r="L470" s="3" t="str">
        <f>IFERROR(IF('ŞİKAYET KAYIT'!P470="Kapatıldı","",IF('ŞİKAYET KAYIT'!O470="","",'ŞİKAYET KAYIT'!O470)),"")</f>
        <v/>
      </c>
      <c r="M470" s="3" t="str">
        <f>IFERROR(IF('ŞİKAYET KAYIT'!P470="Kapatıldı","",IF('ŞİKAYET KAYIT'!P470="","",'ŞİKAYET KAYIT'!P470)),"")</f>
        <v/>
      </c>
    </row>
    <row r="471" spans="1:13" ht="15" customHeight="1" x14ac:dyDescent="0.3">
      <c r="A471" s="26" t="str">
        <f>IFERROR(IF('ŞİKAYET KAYIT'!P471="Kapatıldı","",IF('ŞİKAYET KAYIT'!A471="","",'ŞİKAYET KAYIT'!A471)),"")</f>
        <v/>
      </c>
      <c r="B471" s="8" t="str">
        <f>IFERROR(IF('ŞİKAYET KAYIT'!P471="Kapatıldı","",IF('ŞİKAYET KAYIT'!B471="","",'ŞİKAYET KAYIT'!B471)),"")</f>
        <v/>
      </c>
      <c r="C471" s="26" t="str">
        <f>IFERROR(IF('ŞİKAYET KAYIT'!P471="Kapatıldı","",IF('ŞİKAYET KAYIT'!D471="","",'ŞİKAYET KAYIT'!D471)),"")</f>
        <v/>
      </c>
      <c r="D471" s="26" t="str">
        <f>IFERROR(IF('ŞİKAYET KAYIT'!P471="Kapatıldı","",IF('ŞİKAYET KAYIT'!F471="","",'ŞİKAYET KAYIT'!F471)),"")</f>
        <v/>
      </c>
      <c r="E471" s="26" t="str">
        <f>IFERROR(IF('ŞİKAYET KAYIT'!P471="Kapatıldı","",IF('ŞİKAYET KAYIT'!H471="","",'ŞİKAYET KAYIT'!H471)),"")</f>
        <v/>
      </c>
      <c r="F471" s="26" t="str">
        <f>IFERROR(IF('ŞİKAYET KAYIT'!P471="Kapatıldı","",IF('ŞİKAYET KAYIT'!I471="","",'ŞİKAYET KAYIT'!I471)),"")</f>
        <v/>
      </c>
      <c r="G471" s="26" t="str">
        <f>IFERROR(IF('ŞİKAYET KAYIT'!P471="Kapatıldı","",IF('ŞİKAYET KAYIT'!J471="","",'ŞİKAYET KAYIT'!J471)),"")</f>
        <v/>
      </c>
      <c r="H471" s="26" t="str">
        <f>IFERROR(IF('ŞİKAYET KAYIT'!P471="Kapatıldı","",IF('ŞİKAYET KAYIT'!K471="","",'ŞİKAYET KAYIT'!K471)),"")</f>
        <v/>
      </c>
      <c r="I471" s="26" t="str">
        <f>IFERROR(IF('ŞİKAYET KAYIT'!P471="Kapatıldı","",IF('ŞİKAYET KAYIT'!L471="","",'ŞİKAYET KAYIT'!L471)),"")</f>
        <v/>
      </c>
      <c r="J471" s="26" t="str">
        <f>IFERROR(IF('ŞİKAYET KAYIT'!P471="Kapatıldı","",IF('ŞİKAYET KAYIT'!M471="","",'ŞİKAYET KAYIT'!M471)),"")</f>
        <v/>
      </c>
      <c r="K471" s="26" t="str">
        <f>IFERROR(IF('ŞİKAYET KAYIT'!P471="Kapatıldı","",IF('ŞİKAYET KAYIT'!N471="","",'ŞİKAYET KAYIT'!N471)),"")</f>
        <v/>
      </c>
      <c r="L471" s="26" t="str">
        <f>IFERROR(IF('ŞİKAYET KAYIT'!P471="Kapatıldı","",IF('ŞİKAYET KAYIT'!O471="","",'ŞİKAYET KAYIT'!O471)),"")</f>
        <v/>
      </c>
      <c r="M471" s="26" t="str">
        <f>IFERROR(IF('ŞİKAYET KAYIT'!P471="Kapatıldı","",IF('ŞİKAYET KAYIT'!P471="","",'ŞİKAYET KAYIT'!P471)),"")</f>
        <v/>
      </c>
    </row>
    <row r="472" spans="1:13" ht="15" customHeight="1" x14ac:dyDescent="0.3">
      <c r="A472" s="3" t="str">
        <f>IFERROR(IF('ŞİKAYET KAYIT'!P472="Kapatıldı","",IF('ŞİKAYET KAYIT'!A472="","",'ŞİKAYET KAYIT'!A472)),"")</f>
        <v/>
      </c>
      <c r="B472" s="5" t="str">
        <f>IFERROR(IF('ŞİKAYET KAYIT'!P472="Kapatıldı","",IF('ŞİKAYET KAYIT'!B472="","",'ŞİKAYET KAYIT'!B472)),"")</f>
        <v/>
      </c>
      <c r="C472" s="3" t="str">
        <f>IFERROR(IF('ŞİKAYET KAYIT'!P472="Kapatıldı","",IF('ŞİKAYET KAYIT'!D472="","",'ŞİKAYET KAYIT'!D472)),"")</f>
        <v/>
      </c>
      <c r="D472" s="3" t="str">
        <f>IFERROR(IF('ŞİKAYET KAYIT'!P472="Kapatıldı","",IF('ŞİKAYET KAYIT'!F472="","",'ŞİKAYET KAYIT'!F472)),"")</f>
        <v/>
      </c>
      <c r="E472" s="3" t="str">
        <f>IFERROR(IF('ŞİKAYET KAYIT'!P472="Kapatıldı","",IF('ŞİKAYET KAYIT'!H472="","",'ŞİKAYET KAYIT'!H472)),"")</f>
        <v/>
      </c>
      <c r="F472" s="3" t="str">
        <f>IFERROR(IF('ŞİKAYET KAYIT'!P472="Kapatıldı","",IF('ŞİKAYET KAYIT'!I472="","",'ŞİKAYET KAYIT'!I472)),"")</f>
        <v/>
      </c>
      <c r="G472" s="3" t="str">
        <f>IFERROR(IF('ŞİKAYET KAYIT'!P472="Kapatıldı","",IF('ŞİKAYET KAYIT'!J472="","",'ŞİKAYET KAYIT'!J472)),"")</f>
        <v/>
      </c>
      <c r="H472" s="3" t="str">
        <f>IFERROR(IF('ŞİKAYET KAYIT'!P472="Kapatıldı","",IF('ŞİKAYET KAYIT'!K472="","",'ŞİKAYET KAYIT'!K472)),"")</f>
        <v/>
      </c>
      <c r="I472" s="3" t="str">
        <f>IFERROR(IF('ŞİKAYET KAYIT'!P472="Kapatıldı","",IF('ŞİKAYET KAYIT'!L472="","",'ŞİKAYET KAYIT'!L472)),"")</f>
        <v/>
      </c>
      <c r="J472" s="3" t="str">
        <f>IFERROR(IF('ŞİKAYET KAYIT'!P472="Kapatıldı","",IF('ŞİKAYET KAYIT'!M472="","",'ŞİKAYET KAYIT'!M472)),"")</f>
        <v/>
      </c>
      <c r="K472" s="3" t="str">
        <f>IFERROR(IF('ŞİKAYET KAYIT'!P472="Kapatıldı","",IF('ŞİKAYET KAYIT'!N472="","",'ŞİKAYET KAYIT'!N472)),"")</f>
        <v/>
      </c>
      <c r="L472" s="3" t="str">
        <f>IFERROR(IF('ŞİKAYET KAYIT'!P472="Kapatıldı","",IF('ŞİKAYET KAYIT'!O472="","",'ŞİKAYET KAYIT'!O472)),"")</f>
        <v/>
      </c>
      <c r="M472" s="3" t="str">
        <f>IFERROR(IF('ŞİKAYET KAYIT'!P472="Kapatıldı","",IF('ŞİKAYET KAYIT'!P472="","",'ŞİKAYET KAYIT'!P472)),"")</f>
        <v/>
      </c>
    </row>
    <row r="473" spans="1:13" ht="15" customHeight="1" x14ac:dyDescent="0.3">
      <c r="A473" s="26" t="str">
        <f>IFERROR(IF('ŞİKAYET KAYIT'!P473="Kapatıldı","",IF('ŞİKAYET KAYIT'!A473="","",'ŞİKAYET KAYIT'!A473)),"")</f>
        <v/>
      </c>
      <c r="B473" s="8" t="str">
        <f>IFERROR(IF('ŞİKAYET KAYIT'!P473="Kapatıldı","",IF('ŞİKAYET KAYIT'!B473="","",'ŞİKAYET KAYIT'!B473)),"")</f>
        <v/>
      </c>
      <c r="C473" s="26" t="str">
        <f>IFERROR(IF('ŞİKAYET KAYIT'!P473="Kapatıldı","",IF('ŞİKAYET KAYIT'!D473="","",'ŞİKAYET KAYIT'!D473)),"")</f>
        <v/>
      </c>
      <c r="D473" s="26" t="str">
        <f>IFERROR(IF('ŞİKAYET KAYIT'!P473="Kapatıldı","",IF('ŞİKAYET KAYIT'!F473="","",'ŞİKAYET KAYIT'!F473)),"")</f>
        <v/>
      </c>
      <c r="E473" s="26" t="str">
        <f>IFERROR(IF('ŞİKAYET KAYIT'!P473="Kapatıldı","",IF('ŞİKAYET KAYIT'!H473="","",'ŞİKAYET KAYIT'!H473)),"")</f>
        <v/>
      </c>
      <c r="F473" s="26" t="str">
        <f>IFERROR(IF('ŞİKAYET KAYIT'!P473="Kapatıldı","",IF('ŞİKAYET KAYIT'!I473="","",'ŞİKAYET KAYIT'!I473)),"")</f>
        <v/>
      </c>
      <c r="G473" s="26" t="str">
        <f>IFERROR(IF('ŞİKAYET KAYIT'!P473="Kapatıldı","",IF('ŞİKAYET KAYIT'!J473="","",'ŞİKAYET KAYIT'!J473)),"")</f>
        <v/>
      </c>
      <c r="H473" s="26" t="str">
        <f>IFERROR(IF('ŞİKAYET KAYIT'!P473="Kapatıldı","",IF('ŞİKAYET KAYIT'!K473="","",'ŞİKAYET KAYIT'!K473)),"")</f>
        <v/>
      </c>
      <c r="I473" s="26" t="str">
        <f>IFERROR(IF('ŞİKAYET KAYIT'!P473="Kapatıldı","",IF('ŞİKAYET KAYIT'!L473="","",'ŞİKAYET KAYIT'!L473)),"")</f>
        <v/>
      </c>
      <c r="J473" s="26" t="str">
        <f>IFERROR(IF('ŞİKAYET KAYIT'!P473="Kapatıldı","",IF('ŞİKAYET KAYIT'!M473="","",'ŞİKAYET KAYIT'!M473)),"")</f>
        <v/>
      </c>
      <c r="K473" s="26" t="str">
        <f>IFERROR(IF('ŞİKAYET KAYIT'!P473="Kapatıldı","",IF('ŞİKAYET KAYIT'!N473="","",'ŞİKAYET KAYIT'!N473)),"")</f>
        <v/>
      </c>
      <c r="L473" s="26" t="str">
        <f>IFERROR(IF('ŞİKAYET KAYIT'!P473="Kapatıldı","",IF('ŞİKAYET KAYIT'!O473="","",'ŞİKAYET KAYIT'!O473)),"")</f>
        <v/>
      </c>
      <c r="M473" s="26" t="str">
        <f>IFERROR(IF('ŞİKAYET KAYIT'!P473="Kapatıldı","",IF('ŞİKAYET KAYIT'!P473="","",'ŞİKAYET KAYIT'!P473)),"")</f>
        <v/>
      </c>
    </row>
    <row r="474" spans="1:13" ht="15" customHeight="1" x14ac:dyDescent="0.3">
      <c r="A474" s="3" t="str">
        <f>IFERROR(IF('ŞİKAYET KAYIT'!P474="Kapatıldı","",IF('ŞİKAYET KAYIT'!A474="","",'ŞİKAYET KAYIT'!A474)),"")</f>
        <v/>
      </c>
      <c r="B474" s="5" t="str">
        <f>IFERROR(IF('ŞİKAYET KAYIT'!P474="Kapatıldı","",IF('ŞİKAYET KAYIT'!B474="","",'ŞİKAYET KAYIT'!B474)),"")</f>
        <v/>
      </c>
      <c r="C474" s="3" t="str">
        <f>IFERROR(IF('ŞİKAYET KAYIT'!P474="Kapatıldı","",IF('ŞİKAYET KAYIT'!D474="","",'ŞİKAYET KAYIT'!D474)),"")</f>
        <v/>
      </c>
      <c r="D474" s="3" t="str">
        <f>IFERROR(IF('ŞİKAYET KAYIT'!P474="Kapatıldı","",IF('ŞİKAYET KAYIT'!F474="","",'ŞİKAYET KAYIT'!F474)),"")</f>
        <v/>
      </c>
      <c r="E474" s="3" t="str">
        <f>IFERROR(IF('ŞİKAYET KAYIT'!P474="Kapatıldı","",IF('ŞİKAYET KAYIT'!H474="","",'ŞİKAYET KAYIT'!H474)),"")</f>
        <v/>
      </c>
      <c r="F474" s="3" t="str">
        <f>IFERROR(IF('ŞİKAYET KAYIT'!P474="Kapatıldı","",IF('ŞİKAYET KAYIT'!I474="","",'ŞİKAYET KAYIT'!I474)),"")</f>
        <v/>
      </c>
      <c r="G474" s="3" t="str">
        <f>IFERROR(IF('ŞİKAYET KAYIT'!P474="Kapatıldı","",IF('ŞİKAYET KAYIT'!J474="","",'ŞİKAYET KAYIT'!J474)),"")</f>
        <v/>
      </c>
      <c r="H474" s="3" t="str">
        <f>IFERROR(IF('ŞİKAYET KAYIT'!P474="Kapatıldı","",IF('ŞİKAYET KAYIT'!K474="","",'ŞİKAYET KAYIT'!K474)),"")</f>
        <v/>
      </c>
      <c r="I474" s="3" t="str">
        <f>IFERROR(IF('ŞİKAYET KAYIT'!P474="Kapatıldı","",IF('ŞİKAYET KAYIT'!L474="","",'ŞİKAYET KAYIT'!L474)),"")</f>
        <v/>
      </c>
      <c r="J474" s="3" t="str">
        <f>IFERROR(IF('ŞİKAYET KAYIT'!P474="Kapatıldı","",IF('ŞİKAYET KAYIT'!M474="","",'ŞİKAYET KAYIT'!M474)),"")</f>
        <v/>
      </c>
      <c r="K474" s="3" t="str">
        <f>IFERROR(IF('ŞİKAYET KAYIT'!P474="Kapatıldı","",IF('ŞİKAYET KAYIT'!N474="","",'ŞİKAYET KAYIT'!N474)),"")</f>
        <v/>
      </c>
      <c r="L474" s="3" t="str">
        <f>IFERROR(IF('ŞİKAYET KAYIT'!P474="Kapatıldı","",IF('ŞİKAYET KAYIT'!O474="","",'ŞİKAYET KAYIT'!O474)),"")</f>
        <v/>
      </c>
      <c r="M474" s="3" t="str">
        <f>IFERROR(IF('ŞİKAYET KAYIT'!P474="Kapatıldı","",IF('ŞİKAYET KAYIT'!P474="","",'ŞİKAYET KAYIT'!P474)),"")</f>
        <v/>
      </c>
    </row>
    <row r="475" spans="1:13" ht="15" customHeight="1" x14ac:dyDescent="0.3">
      <c r="A475" s="26" t="str">
        <f>IFERROR(IF('ŞİKAYET KAYIT'!P475="Kapatıldı","",IF('ŞİKAYET KAYIT'!A475="","",'ŞİKAYET KAYIT'!A475)),"")</f>
        <v/>
      </c>
      <c r="B475" s="8" t="str">
        <f>IFERROR(IF('ŞİKAYET KAYIT'!P475="Kapatıldı","",IF('ŞİKAYET KAYIT'!B475="","",'ŞİKAYET KAYIT'!B475)),"")</f>
        <v/>
      </c>
      <c r="C475" s="26" t="str">
        <f>IFERROR(IF('ŞİKAYET KAYIT'!P475="Kapatıldı","",IF('ŞİKAYET KAYIT'!D475="","",'ŞİKAYET KAYIT'!D475)),"")</f>
        <v/>
      </c>
      <c r="D475" s="26" t="str">
        <f>IFERROR(IF('ŞİKAYET KAYIT'!P475="Kapatıldı","",IF('ŞİKAYET KAYIT'!F475="","",'ŞİKAYET KAYIT'!F475)),"")</f>
        <v/>
      </c>
      <c r="E475" s="26" t="str">
        <f>IFERROR(IF('ŞİKAYET KAYIT'!P475="Kapatıldı","",IF('ŞİKAYET KAYIT'!H475="","",'ŞİKAYET KAYIT'!H475)),"")</f>
        <v/>
      </c>
      <c r="F475" s="26" t="str">
        <f>IFERROR(IF('ŞİKAYET KAYIT'!P475="Kapatıldı","",IF('ŞİKAYET KAYIT'!I475="","",'ŞİKAYET KAYIT'!I475)),"")</f>
        <v/>
      </c>
      <c r="G475" s="26" t="str">
        <f>IFERROR(IF('ŞİKAYET KAYIT'!P475="Kapatıldı","",IF('ŞİKAYET KAYIT'!J475="","",'ŞİKAYET KAYIT'!J475)),"")</f>
        <v/>
      </c>
      <c r="H475" s="26" t="str">
        <f>IFERROR(IF('ŞİKAYET KAYIT'!P475="Kapatıldı","",IF('ŞİKAYET KAYIT'!K475="","",'ŞİKAYET KAYIT'!K475)),"")</f>
        <v/>
      </c>
      <c r="I475" s="26" t="str">
        <f>IFERROR(IF('ŞİKAYET KAYIT'!P475="Kapatıldı","",IF('ŞİKAYET KAYIT'!L475="","",'ŞİKAYET KAYIT'!L475)),"")</f>
        <v/>
      </c>
      <c r="J475" s="26" t="str">
        <f>IFERROR(IF('ŞİKAYET KAYIT'!P475="Kapatıldı","",IF('ŞİKAYET KAYIT'!M475="","",'ŞİKAYET KAYIT'!M475)),"")</f>
        <v/>
      </c>
      <c r="K475" s="26" t="str">
        <f>IFERROR(IF('ŞİKAYET KAYIT'!P475="Kapatıldı","",IF('ŞİKAYET KAYIT'!N475="","",'ŞİKAYET KAYIT'!N475)),"")</f>
        <v/>
      </c>
      <c r="L475" s="26" t="str">
        <f>IFERROR(IF('ŞİKAYET KAYIT'!P475="Kapatıldı","",IF('ŞİKAYET KAYIT'!O475="","",'ŞİKAYET KAYIT'!O475)),"")</f>
        <v/>
      </c>
      <c r="M475" s="26" t="str">
        <f>IFERROR(IF('ŞİKAYET KAYIT'!P475="Kapatıldı","",IF('ŞİKAYET KAYIT'!P475="","",'ŞİKAYET KAYIT'!P475)),"")</f>
        <v/>
      </c>
    </row>
    <row r="476" spans="1:13" ht="15" customHeight="1" x14ac:dyDescent="0.3">
      <c r="A476" s="3" t="str">
        <f>IFERROR(IF('ŞİKAYET KAYIT'!P476="Kapatıldı","",IF('ŞİKAYET KAYIT'!A476="","",'ŞİKAYET KAYIT'!A476)),"")</f>
        <v/>
      </c>
      <c r="B476" s="5" t="str">
        <f>IFERROR(IF('ŞİKAYET KAYIT'!P476="Kapatıldı","",IF('ŞİKAYET KAYIT'!B476="","",'ŞİKAYET KAYIT'!B476)),"")</f>
        <v/>
      </c>
      <c r="C476" s="3" t="str">
        <f>IFERROR(IF('ŞİKAYET KAYIT'!P476="Kapatıldı","",IF('ŞİKAYET KAYIT'!D476="","",'ŞİKAYET KAYIT'!D476)),"")</f>
        <v/>
      </c>
      <c r="D476" s="3" t="str">
        <f>IFERROR(IF('ŞİKAYET KAYIT'!P476="Kapatıldı","",IF('ŞİKAYET KAYIT'!F476="","",'ŞİKAYET KAYIT'!F476)),"")</f>
        <v/>
      </c>
      <c r="E476" s="3" t="str">
        <f>IFERROR(IF('ŞİKAYET KAYIT'!P476="Kapatıldı","",IF('ŞİKAYET KAYIT'!H476="","",'ŞİKAYET KAYIT'!H476)),"")</f>
        <v/>
      </c>
      <c r="F476" s="3" t="str">
        <f>IFERROR(IF('ŞİKAYET KAYIT'!P476="Kapatıldı","",IF('ŞİKAYET KAYIT'!I476="","",'ŞİKAYET KAYIT'!I476)),"")</f>
        <v/>
      </c>
      <c r="G476" s="3" t="str">
        <f>IFERROR(IF('ŞİKAYET KAYIT'!P476="Kapatıldı","",IF('ŞİKAYET KAYIT'!J476="","",'ŞİKAYET KAYIT'!J476)),"")</f>
        <v/>
      </c>
      <c r="H476" s="3" t="str">
        <f>IFERROR(IF('ŞİKAYET KAYIT'!P476="Kapatıldı","",IF('ŞİKAYET KAYIT'!K476="","",'ŞİKAYET KAYIT'!K476)),"")</f>
        <v/>
      </c>
      <c r="I476" s="3" t="str">
        <f>IFERROR(IF('ŞİKAYET KAYIT'!P476="Kapatıldı","",IF('ŞİKAYET KAYIT'!L476="","",'ŞİKAYET KAYIT'!L476)),"")</f>
        <v/>
      </c>
      <c r="J476" s="3" t="str">
        <f>IFERROR(IF('ŞİKAYET KAYIT'!P476="Kapatıldı","",IF('ŞİKAYET KAYIT'!M476="","",'ŞİKAYET KAYIT'!M476)),"")</f>
        <v/>
      </c>
      <c r="K476" s="3" t="str">
        <f>IFERROR(IF('ŞİKAYET KAYIT'!P476="Kapatıldı","",IF('ŞİKAYET KAYIT'!N476="","",'ŞİKAYET KAYIT'!N476)),"")</f>
        <v/>
      </c>
      <c r="L476" s="3" t="str">
        <f>IFERROR(IF('ŞİKAYET KAYIT'!P476="Kapatıldı","",IF('ŞİKAYET KAYIT'!O476="","",'ŞİKAYET KAYIT'!O476)),"")</f>
        <v/>
      </c>
      <c r="M476" s="3" t="str">
        <f>IFERROR(IF('ŞİKAYET KAYIT'!P476="Kapatıldı","",IF('ŞİKAYET KAYIT'!P476="","",'ŞİKAYET KAYIT'!P476)),"")</f>
        <v/>
      </c>
    </row>
    <row r="477" spans="1:13" ht="15" customHeight="1" x14ac:dyDescent="0.3">
      <c r="A477" s="26" t="str">
        <f>IFERROR(IF('ŞİKAYET KAYIT'!P477="Kapatıldı","",IF('ŞİKAYET KAYIT'!A477="","",'ŞİKAYET KAYIT'!A477)),"")</f>
        <v/>
      </c>
      <c r="B477" s="8" t="str">
        <f>IFERROR(IF('ŞİKAYET KAYIT'!P477="Kapatıldı","",IF('ŞİKAYET KAYIT'!B477="","",'ŞİKAYET KAYIT'!B477)),"")</f>
        <v/>
      </c>
      <c r="C477" s="26" t="str">
        <f>IFERROR(IF('ŞİKAYET KAYIT'!P477="Kapatıldı","",IF('ŞİKAYET KAYIT'!D477="","",'ŞİKAYET KAYIT'!D477)),"")</f>
        <v/>
      </c>
      <c r="D477" s="26" t="str">
        <f>IFERROR(IF('ŞİKAYET KAYIT'!P477="Kapatıldı","",IF('ŞİKAYET KAYIT'!F477="","",'ŞİKAYET KAYIT'!F477)),"")</f>
        <v/>
      </c>
      <c r="E477" s="26" t="str">
        <f>IFERROR(IF('ŞİKAYET KAYIT'!P477="Kapatıldı","",IF('ŞİKAYET KAYIT'!H477="","",'ŞİKAYET KAYIT'!H477)),"")</f>
        <v/>
      </c>
      <c r="F477" s="26" t="str">
        <f>IFERROR(IF('ŞİKAYET KAYIT'!P477="Kapatıldı","",IF('ŞİKAYET KAYIT'!I477="","",'ŞİKAYET KAYIT'!I477)),"")</f>
        <v/>
      </c>
      <c r="G477" s="26" t="str">
        <f>IFERROR(IF('ŞİKAYET KAYIT'!P477="Kapatıldı","",IF('ŞİKAYET KAYIT'!J477="","",'ŞİKAYET KAYIT'!J477)),"")</f>
        <v/>
      </c>
      <c r="H477" s="26" t="str">
        <f>IFERROR(IF('ŞİKAYET KAYIT'!P477="Kapatıldı","",IF('ŞİKAYET KAYIT'!K477="","",'ŞİKAYET KAYIT'!K477)),"")</f>
        <v/>
      </c>
      <c r="I477" s="26" t="str">
        <f>IFERROR(IF('ŞİKAYET KAYIT'!P477="Kapatıldı","",IF('ŞİKAYET KAYIT'!L477="","",'ŞİKAYET KAYIT'!L477)),"")</f>
        <v/>
      </c>
      <c r="J477" s="26" t="str">
        <f>IFERROR(IF('ŞİKAYET KAYIT'!P477="Kapatıldı","",IF('ŞİKAYET KAYIT'!M477="","",'ŞİKAYET KAYIT'!M477)),"")</f>
        <v/>
      </c>
      <c r="K477" s="26" t="str">
        <f>IFERROR(IF('ŞİKAYET KAYIT'!P477="Kapatıldı","",IF('ŞİKAYET KAYIT'!N477="","",'ŞİKAYET KAYIT'!N477)),"")</f>
        <v/>
      </c>
      <c r="L477" s="26" t="str">
        <f>IFERROR(IF('ŞİKAYET KAYIT'!P477="Kapatıldı","",IF('ŞİKAYET KAYIT'!O477="","",'ŞİKAYET KAYIT'!O477)),"")</f>
        <v/>
      </c>
      <c r="M477" s="26" t="str">
        <f>IFERROR(IF('ŞİKAYET KAYIT'!P477="Kapatıldı","",IF('ŞİKAYET KAYIT'!P477="","",'ŞİKAYET KAYIT'!P477)),"")</f>
        <v/>
      </c>
    </row>
    <row r="478" spans="1:13" ht="15" customHeight="1" x14ac:dyDescent="0.3">
      <c r="A478" s="3" t="str">
        <f>IFERROR(IF('ŞİKAYET KAYIT'!P478="Kapatıldı","",IF('ŞİKAYET KAYIT'!A478="","",'ŞİKAYET KAYIT'!A478)),"")</f>
        <v/>
      </c>
      <c r="B478" s="5" t="str">
        <f>IFERROR(IF('ŞİKAYET KAYIT'!P478="Kapatıldı","",IF('ŞİKAYET KAYIT'!B478="","",'ŞİKAYET KAYIT'!B478)),"")</f>
        <v/>
      </c>
      <c r="C478" s="3" t="str">
        <f>IFERROR(IF('ŞİKAYET KAYIT'!P478="Kapatıldı","",IF('ŞİKAYET KAYIT'!D478="","",'ŞİKAYET KAYIT'!D478)),"")</f>
        <v/>
      </c>
      <c r="D478" s="3" t="str">
        <f>IFERROR(IF('ŞİKAYET KAYIT'!P478="Kapatıldı","",IF('ŞİKAYET KAYIT'!F478="","",'ŞİKAYET KAYIT'!F478)),"")</f>
        <v/>
      </c>
      <c r="E478" s="3" t="str">
        <f>IFERROR(IF('ŞİKAYET KAYIT'!P478="Kapatıldı","",IF('ŞİKAYET KAYIT'!H478="","",'ŞİKAYET KAYIT'!H478)),"")</f>
        <v/>
      </c>
      <c r="F478" s="3" t="str">
        <f>IFERROR(IF('ŞİKAYET KAYIT'!P478="Kapatıldı","",IF('ŞİKAYET KAYIT'!I478="","",'ŞİKAYET KAYIT'!I478)),"")</f>
        <v/>
      </c>
      <c r="G478" s="3" t="str">
        <f>IFERROR(IF('ŞİKAYET KAYIT'!P478="Kapatıldı","",IF('ŞİKAYET KAYIT'!J478="","",'ŞİKAYET KAYIT'!J478)),"")</f>
        <v/>
      </c>
      <c r="H478" s="3" t="str">
        <f>IFERROR(IF('ŞİKAYET KAYIT'!P478="Kapatıldı","",IF('ŞİKAYET KAYIT'!K478="","",'ŞİKAYET KAYIT'!K478)),"")</f>
        <v/>
      </c>
      <c r="I478" s="3" t="str">
        <f>IFERROR(IF('ŞİKAYET KAYIT'!P478="Kapatıldı","",IF('ŞİKAYET KAYIT'!L478="","",'ŞİKAYET KAYIT'!L478)),"")</f>
        <v/>
      </c>
      <c r="J478" s="3" t="str">
        <f>IFERROR(IF('ŞİKAYET KAYIT'!P478="Kapatıldı","",IF('ŞİKAYET KAYIT'!M478="","",'ŞİKAYET KAYIT'!M478)),"")</f>
        <v/>
      </c>
      <c r="K478" s="3" t="str">
        <f>IFERROR(IF('ŞİKAYET KAYIT'!P478="Kapatıldı","",IF('ŞİKAYET KAYIT'!N478="","",'ŞİKAYET KAYIT'!N478)),"")</f>
        <v/>
      </c>
      <c r="L478" s="3" t="str">
        <f>IFERROR(IF('ŞİKAYET KAYIT'!P478="Kapatıldı","",IF('ŞİKAYET KAYIT'!O478="","",'ŞİKAYET KAYIT'!O478)),"")</f>
        <v/>
      </c>
      <c r="M478" s="3" t="str">
        <f>IFERROR(IF('ŞİKAYET KAYIT'!P478="Kapatıldı","",IF('ŞİKAYET KAYIT'!P478="","",'ŞİKAYET KAYIT'!P478)),"")</f>
        <v/>
      </c>
    </row>
    <row r="479" spans="1:13" ht="15" customHeight="1" x14ac:dyDescent="0.3">
      <c r="A479" s="26" t="str">
        <f>IFERROR(IF('ŞİKAYET KAYIT'!P479="Kapatıldı","",IF('ŞİKAYET KAYIT'!A479="","",'ŞİKAYET KAYIT'!A479)),"")</f>
        <v/>
      </c>
      <c r="B479" s="8" t="str">
        <f>IFERROR(IF('ŞİKAYET KAYIT'!P479="Kapatıldı","",IF('ŞİKAYET KAYIT'!B479="","",'ŞİKAYET KAYIT'!B479)),"")</f>
        <v/>
      </c>
      <c r="C479" s="26" t="str">
        <f>IFERROR(IF('ŞİKAYET KAYIT'!P479="Kapatıldı","",IF('ŞİKAYET KAYIT'!D479="","",'ŞİKAYET KAYIT'!D479)),"")</f>
        <v/>
      </c>
      <c r="D479" s="26" t="str">
        <f>IFERROR(IF('ŞİKAYET KAYIT'!P479="Kapatıldı","",IF('ŞİKAYET KAYIT'!F479="","",'ŞİKAYET KAYIT'!F479)),"")</f>
        <v/>
      </c>
      <c r="E479" s="26" t="str">
        <f>IFERROR(IF('ŞİKAYET KAYIT'!P479="Kapatıldı","",IF('ŞİKAYET KAYIT'!H479="","",'ŞİKAYET KAYIT'!H479)),"")</f>
        <v/>
      </c>
      <c r="F479" s="26" t="str">
        <f>IFERROR(IF('ŞİKAYET KAYIT'!P479="Kapatıldı","",IF('ŞİKAYET KAYIT'!I479="","",'ŞİKAYET KAYIT'!I479)),"")</f>
        <v/>
      </c>
      <c r="G479" s="26" t="str">
        <f>IFERROR(IF('ŞİKAYET KAYIT'!P479="Kapatıldı","",IF('ŞİKAYET KAYIT'!J479="","",'ŞİKAYET KAYIT'!J479)),"")</f>
        <v/>
      </c>
      <c r="H479" s="26" t="str">
        <f>IFERROR(IF('ŞİKAYET KAYIT'!P479="Kapatıldı","",IF('ŞİKAYET KAYIT'!K479="","",'ŞİKAYET KAYIT'!K479)),"")</f>
        <v/>
      </c>
      <c r="I479" s="26" t="str">
        <f>IFERROR(IF('ŞİKAYET KAYIT'!P479="Kapatıldı","",IF('ŞİKAYET KAYIT'!L479="","",'ŞİKAYET KAYIT'!L479)),"")</f>
        <v/>
      </c>
      <c r="J479" s="26" t="str">
        <f>IFERROR(IF('ŞİKAYET KAYIT'!P479="Kapatıldı","",IF('ŞİKAYET KAYIT'!M479="","",'ŞİKAYET KAYIT'!M479)),"")</f>
        <v/>
      </c>
      <c r="K479" s="26" t="str">
        <f>IFERROR(IF('ŞİKAYET KAYIT'!P479="Kapatıldı","",IF('ŞİKAYET KAYIT'!N479="","",'ŞİKAYET KAYIT'!N479)),"")</f>
        <v/>
      </c>
      <c r="L479" s="26" t="str">
        <f>IFERROR(IF('ŞİKAYET KAYIT'!P479="Kapatıldı","",IF('ŞİKAYET KAYIT'!O479="","",'ŞİKAYET KAYIT'!O479)),"")</f>
        <v/>
      </c>
      <c r="M479" s="26" t="str">
        <f>IFERROR(IF('ŞİKAYET KAYIT'!P479="Kapatıldı","",IF('ŞİKAYET KAYIT'!P479="","",'ŞİKAYET KAYIT'!P479)),"")</f>
        <v/>
      </c>
    </row>
    <row r="480" spans="1:13" ht="15" customHeight="1" x14ac:dyDescent="0.3">
      <c r="A480" s="3" t="str">
        <f>IFERROR(IF('ŞİKAYET KAYIT'!P480="Kapatıldı","",IF('ŞİKAYET KAYIT'!A480="","",'ŞİKAYET KAYIT'!A480)),"")</f>
        <v/>
      </c>
      <c r="B480" s="5" t="str">
        <f>IFERROR(IF('ŞİKAYET KAYIT'!P480="Kapatıldı","",IF('ŞİKAYET KAYIT'!B480="","",'ŞİKAYET KAYIT'!B480)),"")</f>
        <v/>
      </c>
      <c r="C480" s="3" t="str">
        <f>IFERROR(IF('ŞİKAYET KAYIT'!P480="Kapatıldı","",IF('ŞİKAYET KAYIT'!D480="","",'ŞİKAYET KAYIT'!D480)),"")</f>
        <v/>
      </c>
      <c r="D480" s="3" t="str">
        <f>IFERROR(IF('ŞİKAYET KAYIT'!P480="Kapatıldı","",IF('ŞİKAYET KAYIT'!F480="","",'ŞİKAYET KAYIT'!F480)),"")</f>
        <v/>
      </c>
      <c r="E480" s="3" t="str">
        <f>IFERROR(IF('ŞİKAYET KAYIT'!P480="Kapatıldı","",IF('ŞİKAYET KAYIT'!H480="","",'ŞİKAYET KAYIT'!H480)),"")</f>
        <v/>
      </c>
      <c r="F480" s="3" t="str">
        <f>IFERROR(IF('ŞİKAYET KAYIT'!P480="Kapatıldı","",IF('ŞİKAYET KAYIT'!I480="","",'ŞİKAYET KAYIT'!I480)),"")</f>
        <v/>
      </c>
      <c r="G480" s="3" t="str">
        <f>IFERROR(IF('ŞİKAYET KAYIT'!P480="Kapatıldı","",IF('ŞİKAYET KAYIT'!J480="","",'ŞİKAYET KAYIT'!J480)),"")</f>
        <v/>
      </c>
      <c r="H480" s="3" t="str">
        <f>IFERROR(IF('ŞİKAYET KAYIT'!P480="Kapatıldı","",IF('ŞİKAYET KAYIT'!K480="","",'ŞİKAYET KAYIT'!K480)),"")</f>
        <v/>
      </c>
      <c r="I480" s="3" t="str">
        <f>IFERROR(IF('ŞİKAYET KAYIT'!P480="Kapatıldı","",IF('ŞİKAYET KAYIT'!L480="","",'ŞİKAYET KAYIT'!L480)),"")</f>
        <v/>
      </c>
      <c r="J480" s="3" t="str">
        <f>IFERROR(IF('ŞİKAYET KAYIT'!P480="Kapatıldı","",IF('ŞİKAYET KAYIT'!M480="","",'ŞİKAYET KAYIT'!M480)),"")</f>
        <v/>
      </c>
      <c r="K480" s="3" t="str">
        <f>IFERROR(IF('ŞİKAYET KAYIT'!P480="Kapatıldı","",IF('ŞİKAYET KAYIT'!N480="","",'ŞİKAYET KAYIT'!N480)),"")</f>
        <v/>
      </c>
      <c r="L480" s="3" t="str">
        <f>IFERROR(IF('ŞİKAYET KAYIT'!P480="Kapatıldı","",IF('ŞİKAYET KAYIT'!O480="","",'ŞİKAYET KAYIT'!O480)),"")</f>
        <v/>
      </c>
      <c r="M480" s="3" t="str">
        <f>IFERROR(IF('ŞİKAYET KAYIT'!P480="Kapatıldı","",IF('ŞİKAYET KAYIT'!P480="","",'ŞİKAYET KAYIT'!P480)),"")</f>
        <v/>
      </c>
    </row>
    <row r="481" spans="1:13" ht="15" customHeight="1" x14ac:dyDescent="0.3">
      <c r="A481" s="26" t="str">
        <f>IFERROR(IF('ŞİKAYET KAYIT'!P481="Kapatıldı","",IF('ŞİKAYET KAYIT'!A481="","",'ŞİKAYET KAYIT'!A481)),"")</f>
        <v/>
      </c>
      <c r="B481" s="8" t="str">
        <f>IFERROR(IF('ŞİKAYET KAYIT'!P481="Kapatıldı","",IF('ŞİKAYET KAYIT'!B481="","",'ŞİKAYET KAYIT'!B481)),"")</f>
        <v/>
      </c>
      <c r="C481" s="26" t="str">
        <f>IFERROR(IF('ŞİKAYET KAYIT'!P481="Kapatıldı","",IF('ŞİKAYET KAYIT'!D481="","",'ŞİKAYET KAYIT'!D481)),"")</f>
        <v/>
      </c>
      <c r="D481" s="26" t="str">
        <f>IFERROR(IF('ŞİKAYET KAYIT'!P481="Kapatıldı","",IF('ŞİKAYET KAYIT'!F481="","",'ŞİKAYET KAYIT'!F481)),"")</f>
        <v/>
      </c>
      <c r="E481" s="26" t="str">
        <f>IFERROR(IF('ŞİKAYET KAYIT'!P481="Kapatıldı","",IF('ŞİKAYET KAYIT'!H481="","",'ŞİKAYET KAYIT'!H481)),"")</f>
        <v/>
      </c>
      <c r="F481" s="26" t="str">
        <f>IFERROR(IF('ŞİKAYET KAYIT'!P481="Kapatıldı","",IF('ŞİKAYET KAYIT'!I481="","",'ŞİKAYET KAYIT'!I481)),"")</f>
        <v/>
      </c>
      <c r="G481" s="26" t="str">
        <f>IFERROR(IF('ŞİKAYET KAYIT'!P481="Kapatıldı","",IF('ŞİKAYET KAYIT'!J481="","",'ŞİKAYET KAYIT'!J481)),"")</f>
        <v/>
      </c>
      <c r="H481" s="26" t="str">
        <f>IFERROR(IF('ŞİKAYET KAYIT'!P481="Kapatıldı","",IF('ŞİKAYET KAYIT'!K481="","",'ŞİKAYET KAYIT'!K481)),"")</f>
        <v/>
      </c>
      <c r="I481" s="26" t="str">
        <f>IFERROR(IF('ŞİKAYET KAYIT'!P481="Kapatıldı","",IF('ŞİKAYET KAYIT'!L481="","",'ŞİKAYET KAYIT'!L481)),"")</f>
        <v/>
      </c>
      <c r="J481" s="26" t="str">
        <f>IFERROR(IF('ŞİKAYET KAYIT'!P481="Kapatıldı","",IF('ŞİKAYET KAYIT'!M481="","",'ŞİKAYET KAYIT'!M481)),"")</f>
        <v/>
      </c>
      <c r="K481" s="26" t="str">
        <f>IFERROR(IF('ŞİKAYET KAYIT'!P481="Kapatıldı","",IF('ŞİKAYET KAYIT'!N481="","",'ŞİKAYET KAYIT'!N481)),"")</f>
        <v/>
      </c>
      <c r="L481" s="26" t="str">
        <f>IFERROR(IF('ŞİKAYET KAYIT'!P481="Kapatıldı","",IF('ŞİKAYET KAYIT'!O481="","",'ŞİKAYET KAYIT'!O481)),"")</f>
        <v/>
      </c>
      <c r="M481" s="26" t="str">
        <f>IFERROR(IF('ŞİKAYET KAYIT'!P481="Kapatıldı","",IF('ŞİKAYET KAYIT'!P481="","",'ŞİKAYET KAYIT'!P481)),"")</f>
        <v/>
      </c>
    </row>
    <row r="482" spans="1:13" ht="15" customHeight="1" x14ac:dyDescent="0.3">
      <c r="A482" s="3" t="str">
        <f>IFERROR(IF('ŞİKAYET KAYIT'!P482="Kapatıldı","",IF('ŞİKAYET KAYIT'!A482="","",'ŞİKAYET KAYIT'!A482)),"")</f>
        <v/>
      </c>
      <c r="B482" s="5" t="str">
        <f>IFERROR(IF('ŞİKAYET KAYIT'!P482="Kapatıldı","",IF('ŞİKAYET KAYIT'!B482="","",'ŞİKAYET KAYIT'!B482)),"")</f>
        <v/>
      </c>
      <c r="C482" s="3" t="str">
        <f>IFERROR(IF('ŞİKAYET KAYIT'!P482="Kapatıldı","",IF('ŞİKAYET KAYIT'!D482="","",'ŞİKAYET KAYIT'!D482)),"")</f>
        <v/>
      </c>
      <c r="D482" s="3" t="str">
        <f>IFERROR(IF('ŞİKAYET KAYIT'!P482="Kapatıldı","",IF('ŞİKAYET KAYIT'!F482="","",'ŞİKAYET KAYIT'!F482)),"")</f>
        <v/>
      </c>
      <c r="E482" s="3" t="str">
        <f>IFERROR(IF('ŞİKAYET KAYIT'!P482="Kapatıldı","",IF('ŞİKAYET KAYIT'!H482="","",'ŞİKAYET KAYIT'!H482)),"")</f>
        <v/>
      </c>
      <c r="F482" s="3" t="str">
        <f>IFERROR(IF('ŞİKAYET KAYIT'!P482="Kapatıldı","",IF('ŞİKAYET KAYIT'!I482="","",'ŞİKAYET KAYIT'!I482)),"")</f>
        <v/>
      </c>
      <c r="G482" s="3" t="str">
        <f>IFERROR(IF('ŞİKAYET KAYIT'!P482="Kapatıldı","",IF('ŞİKAYET KAYIT'!J482="","",'ŞİKAYET KAYIT'!J482)),"")</f>
        <v/>
      </c>
      <c r="H482" s="3" t="str">
        <f>IFERROR(IF('ŞİKAYET KAYIT'!P482="Kapatıldı","",IF('ŞİKAYET KAYIT'!K482="","",'ŞİKAYET KAYIT'!K482)),"")</f>
        <v/>
      </c>
      <c r="I482" s="3" t="str">
        <f>IFERROR(IF('ŞİKAYET KAYIT'!P482="Kapatıldı","",IF('ŞİKAYET KAYIT'!L482="","",'ŞİKAYET KAYIT'!L482)),"")</f>
        <v/>
      </c>
      <c r="J482" s="3" t="str">
        <f>IFERROR(IF('ŞİKAYET KAYIT'!P482="Kapatıldı","",IF('ŞİKAYET KAYIT'!M482="","",'ŞİKAYET KAYIT'!M482)),"")</f>
        <v/>
      </c>
      <c r="K482" s="3" t="str">
        <f>IFERROR(IF('ŞİKAYET KAYIT'!P482="Kapatıldı","",IF('ŞİKAYET KAYIT'!N482="","",'ŞİKAYET KAYIT'!N482)),"")</f>
        <v/>
      </c>
      <c r="L482" s="3" t="str">
        <f>IFERROR(IF('ŞİKAYET KAYIT'!P482="Kapatıldı","",IF('ŞİKAYET KAYIT'!O482="","",'ŞİKAYET KAYIT'!O482)),"")</f>
        <v/>
      </c>
      <c r="M482" s="3" t="str">
        <f>IFERROR(IF('ŞİKAYET KAYIT'!P482="Kapatıldı","",IF('ŞİKAYET KAYIT'!P482="","",'ŞİKAYET KAYIT'!P482)),"")</f>
        <v/>
      </c>
    </row>
    <row r="483" spans="1:13" ht="15" customHeight="1" x14ac:dyDescent="0.3">
      <c r="A483" s="26" t="str">
        <f>IFERROR(IF('ŞİKAYET KAYIT'!P483="Kapatıldı","",IF('ŞİKAYET KAYIT'!A483="","",'ŞİKAYET KAYIT'!A483)),"")</f>
        <v/>
      </c>
      <c r="B483" s="8" t="str">
        <f>IFERROR(IF('ŞİKAYET KAYIT'!P483="Kapatıldı","",IF('ŞİKAYET KAYIT'!B483="","",'ŞİKAYET KAYIT'!B483)),"")</f>
        <v/>
      </c>
      <c r="C483" s="26" t="str">
        <f>IFERROR(IF('ŞİKAYET KAYIT'!P483="Kapatıldı","",IF('ŞİKAYET KAYIT'!D483="","",'ŞİKAYET KAYIT'!D483)),"")</f>
        <v/>
      </c>
      <c r="D483" s="26" t="str">
        <f>IFERROR(IF('ŞİKAYET KAYIT'!P483="Kapatıldı","",IF('ŞİKAYET KAYIT'!F483="","",'ŞİKAYET KAYIT'!F483)),"")</f>
        <v/>
      </c>
      <c r="E483" s="26" t="str">
        <f>IFERROR(IF('ŞİKAYET KAYIT'!P483="Kapatıldı","",IF('ŞİKAYET KAYIT'!H483="","",'ŞİKAYET KAYIT'!H483)),"")</f>
        <v/>
      </c>
      <c r="F483" s="26" t="str">
        <f>IFERROR(IF('ŞİKAYET KAYIT'!P483="Kapatıldı","",IF('ŞİKAYET KAYIT'!I483="","",'ŞİKAYET KAYIT'!I483)),"")</f>
        <v/>
      </c>
      <c r="G483" s="26" t="str">
        <f>IFERROR(IF('ŞİKAYET KAYIT'!P483="Kapatıldı","",IF('ŞİKAYET KAYIT'!J483="","",'ŞİKAYET KAYIT'!J483)),"")</f>
        <v/>
      </c>
      <c r="H483" s="26" t="str">
        <f>IFERROR(IF('ŞİKAYET KAYIT'!P483="Kapatıldı","",IF('ŞİKAYET KAYIT'!K483="","",'ŞİKAYET KAYIT'!K483)),"")</f>
        <v/>
      </c>
      <c r="I483" s="26" t="str">
        <f>IFERROR(IF('ŞİKAYET KAYIT'!P483="Kapatıldı","",IF('ŞİKAYET KAYIT'!L483="","",'ŞİKAYET KAYIT'!L483)),"")</f>
        <v/>
      </c>
      <c r="J483" s="26" t="str">
        <f>IFERROR(IF('ŞİKAYET KAYIT'!P483="Kapatıldı","",IF('ŞİKAYET KAYIT'!M483="","",'ŞİKAYET KAYIT'!M483)),"")</f>
        <v/>
      </c>
      <c r="K483" s="26" t="str">
        <f>IFERROR(IF('ŞİKAYET KAYIT'!P483="Kapatıldı","",IF('ŞİKAYET KAYIT'!N483="","",'ŞİKAYET KAYIT'!N483)),"")</f>
        <v/>
      </c>
      <c r="L483" s="26" t="str">
        <f>IFERROR(IF('ŞİKAYET KAYIT'!P483="Kapatıldı","",IF('ŞİKAYET KAYIT'!O483="","",'ŞİKAYET KAYIT'!O483)),"")</f>
        <v/>
      </c>
      <c r="M483" s="26" t="str">
        <f>IFERROR(IF('ŞİKAYET KAYIT'!P483="Kapatıldı","",IF('ŞİKAYET KAYIT'!P483="","",'ŞİKAYET KAYIT'!P483)),"")</f>
        <v/>
      </c>
    </row>
    <row r="484" spans="1:13" ht="15" customHeight="1" x14ac:dyDescent="0.3">
      <c r="A484" s="3" t="str">
        <f>IFERROR(IF('ŞİKAYET KAYIT'!P484="Kapatıldı","",IF('ŞİKAYET KAYIT'!A484="","",'ŞİKAYET KAYIT'!A484)),"")</f>
        <v/>
      </c>
      <c r="B484" s="5" t="str">
        <f>IFERROR(IF('ŞİKAYET KAYIT'!P484="Kapatıldı","",IF('ŞİKAYET KAYIT'!B484="","",'ŞİKAYET KAYIT'!B484)),"")</f>
        <v/>
      </c>
      <c r="C484" s="3" t="str">
        <f>IFERROR(IF('ŞİKAYET KAYIT'!P484="Kapatıldı","",IF('ŞİKAYET KAYIT'!D484="","",'ŞİKAYET KAYIT'!D484)),"")</f>
        <v/>
      </c>
      <c r="D484" s="3" t="str">
        <f>IFERROR(IF('ŞİKAYET KAYIT'!P484="Kapatıldı","",IF('ŞİKAYET KAYIT'!F484="","",'ŞİKAYET KAYIT'!F484)),"")</f>
        <v/>
      </c>
      <c r="E484" s="3" t="str">
        <f>IFERROR(IF('ŞİKAYET KAYIT'!P484="Kapatıldı","",IF('ŞİKAYET KAYIT'!H484="","",'ŞİKAYET KAYIT'!H484)),"")</f>
        <v/>
      </c>
      <c r="F484" s="3" t="str">
        <f>IFERROR(IF('ŞİKAYET KAYIT'!P484="Kapatıldı","",IF('ŞİKAYET KAYIT'!I484="","",'ŞİKAYET KAYIT'!I484)),"")</f>
        <v/>
      </c>
      <c r="G484" s="3" t="str">
        <f>IFERROR(IF('ŞİKAYET KAYIT'!P484="Kapatıldı","",IF('ŞİKAYET KAYIT'!J484="","",'ŞİKAYET KAYIT'!J484)),"")</f>
        <v/>
      </c>
      <c r="H484" s="3" t="str">
        <f>IFERROR(IF('ŞİKAYET KAYIT'!P484="Kapatıldı","",IF('ŞİKAYET KAYIT'!K484="","",'ŞİKAYET KAYIT'!K484)),"")</f>
        <v/>
      </c>
      <c r="I484" s="3" t="str">
        <f>IFERROR(IF('ŞİKAYET KAYIT'!P484="Kapatıldı","",IF('ŞİKAYET KAYIT'!L484="","",'ŞİKAYET KAYIT'!L484)),"")</f>
        <v/>
      </c>
      <c r="J484" s="3" t="str">
        <f>IFERROR(IF('ŞİKAYET KAYIT'!P484="Kapatıldı","",IF('ŞİKAYET KAYIT'!M484="","",'ŞİKAYET KAYIT'!M484)),"")</f>
        <v/>
      </c>
      <c r="K484" s="3" t="str">
        <f>IFERROR(IF('ŞİKAYET KAYIT'!P484="Kapatıldı","",IF('ŞİKAYET KAYIT'!N484="","",'ŞİKAYET KAYIT'!N484)),"")</f>
        <v/>
      </c>
      <c r="L484" s="3" t="str">
        <f>IFERROR(IF('ŞİKAYET KAYIT'!P484="Kapatıldı","",IF('ŞİKAYET KAYIT'!O484="","",'ŞİKAYET KAYIT'!O484)),"")</f>
        <v/>
      </c>
      <c r="M484" s="3" t="str">
        <f>IFERROR(IF('ŞİKAYET KAYIT'!P484="Kapatıldı","",IF('ŞİKAYET KAYIT'!P484="","",'ŞİKAYET KAYIT'!P484)),"")</f>
        <v/>
      </c>
    </row>
    <row r="485" spans="1:13" ht="15" customHeight="1" x14ac:dyDescent="0.3">
      <c r="A485" s="26" t="str">
        <f>IFERROR(IF('ŞİKAYET KAYIT'!P485="Kapatıldı","",IF('ŞİKAYET KAYIT'!A485="","",'ŞİKAYET KAYIT'!A485)),"")</f>
        <v/>
      </c>
      <c r="B485" s="8" t="str">
        <f>IFERROR(IF('ŞİKAYET KAYIT'!P485="Kapatıldı","",IF('ŞİKAYET KAYIT'!B485="","",'ŞİKAYET KAYIT'!B485)),"")</f>
        <v/>
      </c>
      <c r="C485" s="26" t="str">
        <f>IFERROR(IF('ŞİKAYET KAYIT'!P485="Kapatıldı","",IF('ŞİKAYET KAYIT'!D485="","",'ŞİKAYET KAYIT'!D485)),"")</f>
        <v/>
      </c>
      <c r="D485" s="26" t="str">
        <f>IFERROR(IF('ŞİKAYET KAYIT'!P485="Kapatıldı","",IF('ŞİKAYET KAYIT'!F485="","",'ŞİKAYET KAYIT'!F485)),"")</f>
        <v/>
      </c>
      <c r="E485" s="26" t="str">
        <f>IFERROR(IF('ŞİKAYET KAYIT'!P485="Kapatıldı","",IF('ŞİKAYET KAYIT'!H485="","",'ŞİKAYET KAYIT'!H485)),"")</f>
        <v/>
      </c>
      <c r="F485" s="26" t="str">
        <f>IFERROR(IF('ŞİKAYET KAYIT'!P485="Kapatıldı","",IF('ŞİKAYET KAYIT'!I485="","",'ŞİKAYET KAYIT'!I485)),"")</f>
        <v/>
      </c>
      <c r="G485" s="26" t="str">
        <f>IFERROR(IF('ŞİKAYET KAYIT'!P485="Kapatıldı","",IF('ŞİKAYET KAYIT'!J485="","",'ŞİKAYET KAYIT'!J485)),"")</f>
        <v/>
      </c>
      <c r="H485" s="26" t="str">
        <f>IFERROR(IF('ŞİKAYET KAYIT'!P485="Kapatıldı","",IF('ŞİKAYET KAYIT'!K485="","",'ŞİKAYET KAYIT'!K485)),"")</f>
        <v/>
      </c>
      <c r="I485" s="26" t="str">
        <f>IFERROR(IF('ŞİKAYET KAYIT'!P485="Kapatıldı","",IF('ŞİKAYET KAYIT'!L485="","",'ŞİKAYET KAYIT'!L485)),"")</f>
        <v/>
      </c>
      <c r="J485" s="26" t="str">
        <f>IFERROR(IF('ŞİKAYET KAYIT'!P485="Kapatıldı","",IF('ŞİKAYET KAYIT'!M485="","",'ŞİKAYET KAYIT'!M485)),"")</f>
        <v/>
      </c>
      <c r="K485" s="26" t="str">
        <f>IFERROR(IF('ŞİKAYET KAYIT'!P485="Kapatıldı","",IF('ŞİKAYET KAYIT'!N485="","",'ŞİKAYET KAYIT'!N485)),"")</f>
        <v/>
      </c>
      <c r="L485" s="26" t="str">
        <f>IFERROR(IF('ŞİKAYET KAYIT'!P485="Kapatıldı","",IF('ŞİKAYET KAYIT'!O485="","",'ŞİKAYET KAYIT'!O485)),"")</f>
        <v/>
      </c>
      <c r="M485" s="26" t="str">
        <f>IFERROR(IF('ŞİKAYET KAYIT'!P485="Kapatıldı","",IF('ŞİKAYET KAYIT'!P485="","",'ŞİKAYET KAYIT'!P485)),"")</f>
        <v/>
      </c>
    </row>
    <row r="486" spans="1:13" ht="15" customHeight="1" x14ac:dyDescent="0.3">
      <c r="A486" s="3" t="str">
        <f>IFERROR(IF('ŞİKAYET KAYIT'!P486="Kapatıldı","",IF('ŞİKAYET KAYIT'!A486="","",'ŞİKAYET KAYIT'!A486)),"")</f>
        <v/>
      </c>
      <c r="B486" s="5" t="str">
        <f>IFERROR(IF('ŞİKAYET KAYIT'!P486="Kapatıldı","",IF('ŞİKAYET KAYIT'!B486="","",'ŞİKAYET KAYIT'!B486)),"")</f>
        <v/>
      </c>
      <c r="C486" s="3" t="str">
        <f>IFERROR(IF('ŞİKAYET KAYIT'!P486="Kapatıldı","",IF('ŞİKAYET KAYIT'!D486="","",'ŞİKAYET KAYIT'!D486)),"")</f>
        <v/>
      </c>
      <c r="D486" s="3" t="str">
        <f>IFERROR(IF('ŞİKAYET KAYIT'!P486="Kapatıldı","",IF('ŞİKAYET KAYIT'!F486="","",'ŞİKAYET KAYIT'!F486)),"")</f>
        <v/>
      </c>
      <c r="E486" s="3" t="str">
        <f>IFERROR(IF('ŞİKAYET KAYIT'!P486="Kapatıldı","",IF('ŞİKAYET KAYIT'!H486="","",'ŞİKAYET KAYIT'!H486)),"")</f>
        <v/>
      </c>
      <c r="F486" s="3" t="str">
        <f>IFERROR(IF('ŞİKAYET KAYIT'!P486="Kapatıldı","",IF('ŞİKAYET KAYIT'!I486="","",'ŞİKAYET KAYIT'!I486)),"")</f>
        <v/>
      </c>
      <c r="G486" s="3" t="str">
        <f>IFERROR(IF('ŞİKAYET KAYIT'!P486="Kapatıldı","",IF('ŞİKAYET KAYIT'!J486="","",'ŞİKAYET KAYIT'!J486)),"")</f>
        <v/>
      </c>
      <c r="H486" s="3" t="str">
        <f>IFERROR(IF('ŞİKAYET KAYIT'!P486="Kapatıldı","",IF('ŞİKAYET KAYIT'!K486="","",'ŞİKAYET KAYIT'!K486)),"")</f>
        <v/>
      </c>
      <c r="I486" s="3" t="str">
        <f>IFERROR(IF('ŞİKAYET KAYIT'!P486="Kapatıldı","",IF('ŞİKAYET KAYIT'!L486="","",'ŞİKAYET KAYIT'!L486)),"")</f>
        <v/>
      </c>
      <c r="J486" s="3" t="str">
        <f>IFERROR(IF('ŞİKAYET KAYIT'!P486="Kapatıldı","",IF('ŞİKAYET KAYIT'!M486="","",'ŞİKAYET KAYIT'!M486)),"")</f>
        <v/>
      </c>
      <c r="K486" s="3" t="str">
        <f>IFERROR(IF('ŞİKAYET KAYIT'!P486="Kapatıldı","",IF('ŞİKAYET KAYIT'!N486="","",'ŞİKAYET KAYIT'!N486)),"")</f>
        <v/>
      </c>
      <c r="L486" s="3" t="str">
        <f>IFERROR(IF('ŞİKAYET KAYIT'!P486="Kapatıldı","",IF('ŞİKAYET KAYIT'!O486="","",'ŞİKAYET KAYIT'!O486)),"")</f>
        <v/>
      </c>
      <c r="M486" s="3" t="str">
        <f>IFERROR(IF('ŞİKAYET KAYIT'!P486="Kapatıldı","",IF('ŞİKAYET KAYIT'!P486="","",'ŞİKAYET KAYIT'!P486)),"")</f>
        <v/>
      </c>
    </row>
    <row r="487" spans="1:13" ht="15" customHeight="1" x14ac:dyDescent="0.3">
      <c r="A487" s="26" t="str">
        <f>IFERROR(IF('ŞİKAYET KAYIT'!P487="Kapatıldı","",IF('ŞİKAYET KAYIT'!A487="","",'ŞİKAYET KAYIT'!A487)),"")</f>
        <v/>
      </c>
      <c r="B487" s="8" t="str">
        <f>IFERROR(IF('ŞİKAYET KAYIT'!P487="Kapatıldı","",IF('ŞİKAYET KAYIT'!B487="","",'ŞİKAYET KAYIT'!B487)),"")</f>
        <v/>
      </c>
      <c r="C487" s="26" t="str">
        <f>IFERROR(IF('ŞİKAYET KAYIT'!P487="Kapatıldı","",IF('ŞİKAYET KAYIT'!D487="","",'ŞİKAYET KAYIT'!D487)),"")</f>
        <v/>
      </c>
      <c r="D487" s="26" t="str">
        <f>IFERROR(IF('ŞİKAYET KAYIT'!P487="Kapatıldı","",IF('ŞİKAYET KAYIT'!F487="","",'ŞİKAYET KAYIT'!F487)),"")</f>
        <v/>
      </c>
      <c r="E487" s="26" t="str">
        <f>IFERROR(IF('ŞİKAYET KAYIT'!P487="Kapatıldı","",IF('ŞİKAYET KAYIT'!H487="","",'ŞİKAYET KAYIT'!H487)),"")</f>
        <v/>
      </c>
      <c r="F487" s="26" t="str">
        <f>IFERROR(IF('ŞİKAYET KAYIT'!P487="Kapatıldı","",IF('ŞİKAYET KAYIT'!I487="","",'ŞİKAYET KAYIT'!I487)),"")</f>
        <v/>
      </c>
      <c r="G487" s="26" t="str">
        <f>IFERROR(IF('ŞİKAYET KAYIT'!P487="Kapatıldı","",IF('ŞİKAYET KAYIT'!J487="","",'ŞİKAYET KAYIT'!J487)),"")</f>
        <v/>
      </c>
      <c r="H487" s="26" t="str">
        <f>IFERROR(IF('ŞİKAYET KAYIT'!P487="Kapatıldı","",IF('ŞİKAYET KAYIT'!K487="","",'ŞİKAYET KAYIT'!K487)),"")</f>
        <v/>
      </c>
      <c r="I487" s="26" t="str">
        <f>IFERROR(IF('ŞİKAYET KAYIT'!P487="Kapatıldı","",IF('ŞİKAYET KAYIT'!L487="","",'ŞİKAYET KAYIT'!L487)),"")</f>
        <v/>
      </c>
      <c r="J487" s="26" t="str">
        <f>IFERROR(IF('ŞİKAYET KAYIT'!P487="Kapatıldı","",IF('ŞİKAYET KAYIT'!M487="","",'ŞİKAYET KAYIT'!M487)),"")</f>
        <v/>
      </c>
      <c r="K487" s="26" t="str">
        <f>IFERROR(IF('ŞİKAYET KAYIT'!P487="Kapatıldı","",IF('ŞİKAYET KAYIT'!N487="","",'ŞİKAYET KAYIT'!N487)),"")</f>
        <v/>
      </c>
      <c r="L487" s="26" t="str">
        <f>IFERROR(IF('ŞİKAYET KAYIT'!P487="Kapatıldı","",IF('ŞİKAYET KAYIT'!O487="","",'ŞİKAYET KAYIT'!O487)),"")</f>
        <v/>
      </c>
      <c r="M487" s="26" t="str">
        <f>IFERROR(IF('ŞİKAYET KAYIT'!P487="Kapatıldı","",IF('ŞİKAYET KAYIT'!P487="","",'ŞİKAYET KAYIT'!P487)),"")</f>
        <v/>
      </c>
    </row>
    <row r="488" spans="1:13" ht="15" customHeight="1" x14ac:dyDescent="0.3">
      <c r="A488" s="3" t="str">
        <f>IFERROR(IF('ŞİKAYET KAYIT'!P488="Kapatıldı","",IF('ŞİKAYET KAYIT'!A488="","",'ŞİKAYET KAYIT'!A488)),"")</f>
        <v/>
      </c>
      <c r="B488" s="5" t="str">
        <f>IFERROR(IF('ŞİKAYET KAYIT'!P488="Kapatıldı","",IF('ŞİKAYET KAYIT'!B488="","",'ŞİKAYET KAYIT'!B488)),"")</f>
        <v/>
      </c>
      <c r="C488" s="3" t="str">
        <f>IFERROR(IF('ŞİKAYET KAYIT'!P488="Kapatıldı","",IF('ŞİKAYET KAYIT'!D488="","",'ŞİKAYET KAYIT'!D488)),"")</f>
        <v/>
      </c>
      <c r="D488" s="3" t="str">
        <f>IFERROR(IF('ŞİKAYET KAYIT'!P488="Kapatıldı","",IF('ŞİKAYET KAYIT'!F488="","",'ŞİKAYET KAYIT'!F488)),"")</f>
        <v/>
      </c>
      <c r="E488" s="3" t="str">
        <f>IFERROR(IF('ŞİKAYET KAYIT'!P488="Kapatıldı","",IF('ŞİKAYET KAYIT'!H488="","",'ŞİKAYET KAYIT'!H488)),"")</f>
        <v/>
      </c>
      <c r="F488" s="3" t="str">
        <f>IFERROR(IF('ŞİKAYET KAYIT'!P488="Kapatıldı","",IF('ŞİKAYET KAYIT'!I488="","",'ŞİKAYET KAYIT'!I488)),"")</f>
        <v/>
      </c>
      <c r="G488" s="3" t="str">
        <f>IFERROR(IF('ŞİKAYET KAYIT'!P488="Kapatıldı","",IF('ŞİKAYET KAYIT'!J488="","",'ŞİKAYET KAYIT'!J488)),"")</f>
        <v/>
      </c>
      <c r="H488" s="3" t="str">
        <f>IFERROR(IF('ŞİKAYET KAYIT'!P488="Kapatıldı","",IF('ŞİKAYET KAYIT'!K488="","",'ŞİKAYET KAYIT'!K488)),"")</f>
        <v/>
      </c>
      <c r="I488" s="3" t="str">
        <f>IFERROR(IF('ŞİKAYET KAYIT'!P488="Kapatıldı","",IF('ŞİKAYET KAYIT'!L488="","",'ŞİKAYET KAYIT'!L488)),"")</f>
        <v/>
      </c>
      <c r="J488" s="3" t="str">
        <f>IFERROR(IF('ŞİKAYET KAYIT'!P488="Kapatıldı","",IF('ŞİKAYET KAYIT'!M488="","",'ŞİKAYET KAYIT'!M488)),"")</f>
        <v/>
      </c>
      <c r="K488" s="3" t="str">
        <f>IFERROR(IF('ŞİKAYET KAYIT'!P488="Kapatıldı","",IF('ŞİKAYET KAYIT'!N488="","",'ŞİKAYET KAYIT'!N488)),"")</f>
        <v/>
      </c>
      <c r="L488" s="3" t="str">
        <f>IFERROR(IF('ŞİKAYET KAYIT'!P488="Kapatıldı","",IF('ŞİKAYET KAYIT'!O488="","",'ŞİKAYET KAYIT'!O488)),"")</f>
        <v/>
      </c>
      <c r="M488" s="3" t="str">
        <f>IFERROR(IF('ŞİKAYET KAYIT'!P488="Kapatıldı","",IF('ŞİKAYET KAYIT'!P488="","",'ŞİKAYET KAYIT'!P488)),"")</f>
        <v/>
      </c>
    </row>
    <row r="489" spans="1:13" ht="15" customHeight="1" x14ac:dyDescent="0.3">
      <c r="A489" s="26" t="str">
        <f>IFERROR(IF('ŞİKAYET KAYIT'!P489="Kapatıldı","",IF('ŞİKAYET KAYIT'!A489="","",'ŞİKAYET KAYIT'!A489)),"")</f>
        <v/>
      </c>
      <c r="B489" s="8" t="str">
        <f>IFERROR(IF('ŞİKAYET KAYIT'!P489="Kapatıldı","",IF('ŞİKAYET KAYIT'!B489="","",'ŞİKAYET KAYIT'!B489)),"")</f>
        <v/>
      </c>
      <c r="C489" s="26" t="str">
        <f>IFERROR(IF('ŞİKAYET KAYIT'!P489="Kapatıldı","",IF('ŞİKAYET KAYIT'!D489="","",'ŞİKAYET KAYIT'!D489)),"")</f>
        <v/>
      </c>
      <c r="D489" s="26" t="str">
        <f>IFERROR(IF('ŞİKAYET KAYIT'!P489="Kapatıldı","",IF('ŞİKAYET KAYIT'!F489="","",'ŞİKAYET KAYIT'!F489)),"")</f>
        <v/>
      </c>
      <c r="E489" s="26" t="str">
        <f>IFERROR(IF('ŞİKAYET KAYIT'!P489="Kapatıldı","",IF('ŞİKAYET KAYIT'!H489="","",'ŞİKAYET KAYIT'!H489)),"")</f>
        <v/>
      </c>
      <c r="F489" s="26" t="str">
        <f>IFERROR(IF('ŞİKAYET KAYIT'!P489="Kapatıldı","",IF('ŞİKAYET KAYIT'!I489="","",'ŞİKAYET KAYIT'!I489)),"")</f>
        <v/>
      </c>
      <c r="G489" s="26" t="str">
        <f>IFERROR(IF('ŞİKAYET KAYIT'!P489="Kapatıldı","",IF('ŞİKAYET KAYIT'!J489="","",'ŞİKAYET KAYIT'!J489)),"")</f>
        <v/>
      </c>
      <c r="H489" s="26" t="str">
        <f>IFERROR(IF('ŞİKAYET KAYIT'!P489="Kapatıldı","",IF('ŞİKAYET KAYIT'!K489="","",'ŞİKAYET KAYIT'!K489)),"")</f>
        <v/>
      </c>
      <c r="I489" s="26" t="str">
        <f>IFERROR(IF('ŞİKAYET KAYIT'!P489="Kapatıldı","",IF('ŞİKAYET KAYIT'!L489="","",'ŞİKAYET KAYIT'!L489)),"")</f>
        <v/>
      </c>
      <c r="J489" s="26" t="str">
        <f>IFERROR(IF('ŞİKAYET KAYIT'!P489="Kapatıldı","",IF('ŞİKAYET KAYIT'!M489="","",'ŞİKAYET KAYIT'!M489)),"")</f>
        <v/>
      </c>
      <c r="K489" s="26" t="str">
        <f>IFERROR(IF('ŞİKAYET KAYIT'!P489="Kapatıldı","",IF('ŞİKAYET KAYIT'!N489="","",'ŞİKAYET KAYIT'!N489)),"")</f>
        <v/>
      </c>
      <c r="L489" s="26" t="str">
        <f>IFERROR(IF('ŞİKAYET KAYIT'!P489="Kapatıldı","",IF('ŞİKAYET KAYIT'!O489="","",'ŞİKAYET KAYIT'!O489)),"")</f>
        <v/>
      </c>
      <c r="M489" s="26" t="str">
        <f>IFERROR(IF('ŞİKAYET KAYIT'!P489="Kapatıldı","",IF('ŞİKAYET KAYIT'!P489="","",'ŞİKAYET KAYIT'!P489)),"")</f>
        <v/>
      </c>
    </row>
    <row r="490" spans="1:13" ht="15" customHeight="1" x14ac:dyDescent="0.3">
      <c r="A490" s="3" t="str">
        <f>IFERROR(IF('ŞİKAYET KAYIT'!P490="Kapatıldı","",IF('ŞİKAYET KAYIT'!A490="","",'ŞİKAYET KAYIT'!A490)),"")</f>
        <v/>
      </c>
      <c r="B490" s="5" t="str">
        <f>IFERROR(IF('ŞİKAYET KAYIT'!P490="Kapatıldı","",IF('ŞİKAYET KAYIT'!B490="","",'ŞİKAYET KAYIT'!B490)),"")</f>
        <v/>
      </c>
      <c r="C490" s="3" t="str">
        <f>IFERROR(IF('ŞİKAYET KAYIT'!P490="Kapatıldı","",IF('ŞİKAYET KAYIT'!D490="","",'ŞİKAYET KAYIT'!D490)),"")</f>
        <v/>
      </c>
      <c r="D490" s="3" t="str">
        <f>IFERROR(IF('ŞİKAYET KAYIT'!P490="Kapatıldı","",IF('ŞİKAYET KAYIT'!F490="","",'ŞİKAYET KAYIT'!F490)),"")</f>
        <v/>
      </c>
      <c r="E490" s="3" t="str">
        <f>IFERROR(IF('ŞİKAYET KAYIT'!P490="Kapatıldı","",IF('ŞİKAYET KAYIT'!H490="","",'ŞİKAYET KAYIT'!H490)),"")</f>
        <v/>
      </c>
      <c r="F490" s="3" t="str">
        <f>IFERROR(IF('ŞİKAYET KAYIT'!P490="Kapatıldı","",IF('ŞİKAYET KAYIT'!I490="","",'ŞİKAYET KAYIT'!I490)),"")</f>
        <v/>
      </c>
      <c r="G490" s="3" t="str">
        <f>IFERROR(IF('ŞİKAYET KAYIT'!P490="Kapatıldı","",IF('ŞİKAYET KAYIT'!J490="","",'ŞİKAYET KAYIT'!J490)),"")</f>
        <v/>
      </c>
      <c r="H490" s="3" t="str">
        <f>IFERROR(IF('ŞİKAYET KAYIT'!P490="Kapatıldı","",IF('ŞİKAYET KAYIT'!K490="","",'ŞİKAYET KAYIT'!K490)),"")</f>
        <v/>
      </c>
      <c r="I490" s="3" t="str">
        <f>IFERROR(IF('ŞİKAYET KAYIT'!P490="Kapatıldı","",IF('ŞİKAYET KAYIT'!L490="","",'ŞİKAYET KAYIT'!L490)),"")</f>
        <v/>
      </c>
      <c r="J490" s="3" t="str">
        <f>IFERROR(IF('ŞİKAYET KAYIT'!P490="Kapatıldı","",IF('ŞİKAYET KAYIT'!M490="","",'ŞİKAYET KAYIT'!M490)),"")</f>
        <v/>
      </c>
      <c r="K490" s="3" t="str">
        <f>IFERROR(IF('ŞİKAYET KAYIT'!P490="Kapatıldı","",IF('ŞİKAYET KAYIT'!N490="","",'ŞİKAYET KAYIT'!N490)),"")</f>
        <v/>
      </c>
      <c r="L490" s="3" t="str">
        <f>IFERROR(IF('ŞİKAYET KAYIT'!P490="Kapatıldı","",IF('ŞİKAYET KAYIT'!O490="","",'ŞİKAYET KAYIT'!O490)),"")</f>
        <v/>
      </c>
      <c r="M490" s="3" t="str">
        <f>IFERROR(IF('ŞİKAYET KAYIT'!P490="Kapatıldı","",IF('ŞİKAYET KAYIT'!P490="","",'ŞİKAYET KAYIT'!P490)),"")</f>
        <v/>
      </c>
    </row>
    <row r="491" spans="1:13" ht="15" customHeight="1" x14ac:dyDescent="0.3">
      <c r="A491" s="26" t="str">
        <f>IFERROR(IF('ŞİKAYET KAYIT'!P491="Kapatıldı","",IF('ŞİKAYET KAYIT'!A491="","",'ŞİKAYET KAYIT'!A491)),"")</f>
        <v/>
      </c>
      <c r="B491" s="8" t="str">
        <f>IFERROR(IF('ŞİKAYET KAYIT'!P491="Kapatıldı","",IF('ŞİKAYET KAYIT'!B491="","",'ŞİKAYET KAYIT'!B491)),"")</f>
        <v/>
      </c>
      <c r="C491" s="26" t="str">
        <f>IFERROR(IF('ŞİKAYET KAYIT'!P491="Kapatıldı","",IF('ŞİKAYET KAYIT'!D491="","",'ŞİKAYET KAYIT'!D491)),"")</f>
        <v/>
      </c>
      <c r="D491" s="26" t="str">
        <f>IFERROR(IF('ŞİKAYET KAYIT'!P491="Kapatıldı","",IF('ŞİKAYET KAYIT'!F491="","",'ŞİKAYET KAYIT'!F491)),"")</f>
        <v/>
      </c>
      <c r="E491" s="26" t="str">
        <f>IFERROR(IF('ŞİKAYET KAYIT'!P491="Kapatıldı","",IF('ŞİKAYET KAYIT'!H491="","",'ŞİKAYET KAYIT'!H491)),"")</f>
        <v/>
      </c>
      <c r="F491" s="26" t="str">
        <f>IFERROR(IF('ŞİKAYET KAYIT'!P491="Kapatıldı","",IF('ŞİKAYET KAYIT'!I491="","",'ŞİKAYET KAYIT'!I491)),"")</f>
        <v/>
      </c>
      <c r="G491" s="26" t="str">
        <f>IFERROR(IF('ŞİKAYET KAYIT'!P491="Kapatıldı","",IF('ŞİKAYET KAYIT'!J491="","",'ŞİKAYET KAYIT'!J491)),"")</f>
        <v/>
      </c>
      <c r="H491" s="26" t="str">
        <f>IFERROR(IF('ŞİKAYET KAYIT'!P491="Kapatıldı","",IF('ŞİKAYET KAYIT'!K491="","",'ŞİKAYET KAYIT'!K491)),"")</f>
        <v/>
      </c>
      <c r="I491" s="26" t="str">
        <f>IFERROR(IF('ŞİKAYET KAYIT'!P491="Kapatıldı","",IF('ŞİKAYET KAYIT'!L491="","",'ŞİKAYET KAYIT'!L491)),"")</f>
        <v/>
      </c>
      <c r="J491" s="26" t="str">
        <f>IFERROR(IF('ŞİKAYET KAYIT'!P491="Kapatıldı","",IF('ŞİKAYET KAYIT'!M491="","",'ŞİKAYET KAYIT'!M491)),"")</f>
        <v/>
      </c>
      <c r="K491" s="26" t="str">
        <f>IFERROR(IF('ŞİKAYET KAYIT'!P491="Kapatıldı","",IF('ŞİKAYET KAYIT'!N491="","",'ŞİKAYET KAYIT'!N491)),"")</f>
        <v/>
      </c>
      <c r="L491" s="26" t="str">
        <f>IFERROR(IF('ŞİKAYET KAYIT'!P491="Kapatıldı","",IF('ŞİKAYET KAYIT'!O491="","",'ŞİKAYET KAYIT'!O491)),"")</f>
        <v/>
      </c>
      <c r="M491" s="26" t="str">
        <f>IFERROR(IF('ŞİKAYET KAYIT'!P491="Kapatıldı","",IF('ŞİKAYET KAYIT'!P491="","",'ŞİKAYET KAYIT'!P491)),"")</f>
        <v/>
      </c>
    </row>
    <row r="492" spans="1:13" ht="15" customHeight="1" x14ac:dyDescent="0.3">
      <c r="A492" s="3" t="str">
        <f>IFERROR(IF('ŞİKAYET KAYIT'!P492="Kapatıldı","",IF('ŞİKAYET KAYIT'!A492="","",'ŞİKAYET KAYIT'!A492)),"")</f>
        <v/>
      </c>
      <c r="B492" s="5" t="str">
        <f>IFERROR(IF('ŞİKAYET KAYIT'!P492="Kapatıldı","",IF('ŞİKAYET KAYIT'!B492="","",'ŞİKAYET KAYIT'!B492)),"")</f>
        <v/>
      </c>
      <c r="C492" s="3" t="str">
        <f>IFERROR(IF('ŞİKAYET KAYIT'!P492="Kapatıldı","",IF('ŞİKAYET KAYIT'!D492="","",'ŞİKAYET KAYIT'!D492)),"")</f>
        <v/>
      </c>
      <c r="D492" s="3" t="str">
        <f>IFERROR(IF('ŞİKAYET KAYIT'!P492="Kapatıldı","",IF('ŞİKAYET KAYIT'!F492="","",'ŞİKAYET KAYIT'!F492)),"")</f>
        <v/>
      </c>
      <c r="E492" s="3" t="str">
        <f>IFERROR(IF('ŞİKAYET KAYIT'!P492="Kapatıldı","",IF('ŞİKAYET KAYIT'!H492="","",'ŞİKAYET KAYIT'!H492)),"")</f>
        <v/>
      </c>
      <c r="F492" s="3" t="str">
        <f>IFERROR(IF('ŞİKAYET KAYIT'!P492="Kapatıldı","",IF('ŞİKAYET KAYIT'!I492="","",'ŞİKAYET KAYIT'!I492)),"")</f>
        <v/>
      </c>
      <c r="G492" s="3" t="str">
        <f>IFERROR(IF('ŞİKAYET KAYIT'!P492="Kapatıldı","",IF('ŞİKAYET KAYIT'!J492="","",'ŞİKAYET KAYIT'!J492)),"")</f>
        <v/>
      </c>
      <c r="H492" s="3" t="str">
        <f>IFERROR(IF('ŞİKAYET KAYIT'!P492="Kapatıldı","",IF('ŞİKAYET KAYIT'!K492="","",'ŞİKAYET KAYIT'!K492)),"")</f>
        <v/>
      </c>
      <c r="I492" s="3" t="str">
        <f>IFERROR(IF('ŞİKAYET KAYIT'!P492="Kapatıldı","",IF('ŞİKAYET KAYIT'!L492="","",'ŞİKAYET KAYIT'!L492)),"")</f>
        <v/>
      </c>
      <c r="J492" s="3" t="str">
        <f>IFERROR(IF('ŞİKAYET KAYIT'!P492="Kapatıldı","",IF('ŞİKAYET KAYIT'!M492="","",'ŞİKAYET KAYIT'!M492)),"")</f>
        <v/>
      </c>
      <c r="K492" s="3" t="str">
        <f>IFERROR(IF('ŞİKAYET KAYIT'!P492="Kapatıldı","",IF('ŞİKAYET KAYIT'!N492="","",'ŞİKAYET KAYIT'!N492)),"")</f>
        <v/>
      </c>
      <c r="L492" s="3" t="str">
        <f>IFERROR(IF('ŞİKAYET KAYIT'!P492="Kapatıldı","",IF('ŞİKAYET KAYIT'!O492="","",'ŞİKAYET KAYIT'!O492)),"")</f>
        <v/>
      </c>
      <c r="M492" s="3" t="str">
        <f>IFERROR(IF('ŞİKAYET KAYIT'!P492="Kapatıldı","",IF('ŞİKAYET KAYIT'!P492="","",'ŞİKAYET KAYIT'!P492)),"")</f>
        <v/>
      </c>
    </row>
    <row r="493" spans="1:13" ht="15" customHeight="1" x14ac:dyDescent="0.3">
      <c r="A493" s="26" t="str">
        <f>IFERROR(IF('ŞİKAYET KAYIT'!P493="Kapatıldı","",IF('ŞİKAYET KAYIT'!A493="","",'ŞİKAYET KAYIT'!A493)),"")</f>
        <v/>
      </c>
      <c r="B493" s="8" t="str">
        <f>IFERROR(IF('ŞİKAYET KAYIT'!P493="Kapatıldı","",IF('ŞİKAYET KAYIT'!B493="","",'ŞİKAYET KAYIT'!B493)),"")</f>
        <v/>
      </c>
      <c r="C493" s="26" t="str">
        <f>IFERROR(IF('ŞİKAYET KAYIT'!P493="Kapatıldı","",IF('ŞİKAYET KAYIT'!D493="","",'ŞİKAYET KAYIT'!D493)),"")</f>
        <v/>
      </c>
      <c r="D493" s="26" t="str">
        <f>IFERROR(IF('ŞİKAYET KAYIT'!P493="Kapatıldı","",IF('ŞİKAYET KAYIT'!F493="","",'ŞİKAYET KAYIT'!F493)),"")</f>
        <v/>
      </c>
      <c r="E493" s="26" t="str">
        <f>IFERROR(IF('ŞİKAYET KAYIT'!P493="Kapatıldı","",IF('ŞİKAYET KAYIT'!H493="","",'ŞİKAYET KAYIT'!H493)),"")</f>
        <v/>
      </c>
      <c r="F493" s="26" t="str">
        <f>IFERROR(IF('ŞİKAYET KAYIT'!P493="Kapatıldı","",IF('ŞİKAYET KAYIT'!I493="","",'ŞİKAYET KAYIT'!I493)),"")</f>
        <v/>
      </c>
      <c r="G493" s="26" t="str">
        <f>IFERROR(IF('ŞİKAYET KAYIT'!P493="Kapatıldı","",IF('ŞİKAYET KAYIT'!J493="","",'ŞİKAYET KAYIT'!J493)),"")</f>
        <v/>
      </c>
      <c r="H493" s="26" t="str">
        <f>IFERROR(IF('ŞİKAYET KAYIT'!P493="Kapatıldı","",IF('ŞİKAYET KAYIT'!K493="","",'ŞİKAYET KAYIT'!K493)),"")</f>
        <v/>
      </c>
      <c r="I493" s="26" t="str">
        <f>IFERROR(IF('ŞİKAYET KAYIT'!P493="Kapatıldı","",IF('ŞİKAYET KAYIT'!L493="","",'ŞİKAYET KAYIT'!L493)),"")</f>
        <v/>
      </c>
      <c r="J493" s="26" t="str">
        <f>IFERROR(IF('ŞİKAYET KAYIT'!P493="Kapatıldı","",IF('ŞİKAYET KAYIT'!M493="","",'ŞİKAYET KAYIT'!M493)),"")</f>
        <v/>
      </c>
      <c r="K493" s="26" t="str">
        <f>IFERROR(IF('ŞİKAYET KAYIT'!P493="Kapatıldı","",IF('ŞİKAYET KAYIT'!N493="","",'ŞİKAYET KAYIT'!N493)),"")</f>
        <v/>
      </c>
      <c r="L493" s="26" t="str">
        <f>IFERROR(IF('ŞİKAYET KAYIT'!P493="Kapatıldı","",IF('ŞİKAYET KAYIT'!O493="","",'ŞİKAYET KAYIT'!O493)),"")</f>
        <v/>
      </c>
      <c r="M493" s="26" t="str">
        <f>IFERROR(IF('ŞİKAYET KAYIT'!P493="Kapatıldı","",IF('ŞİKAYET KAYIT'!P493="","",'ŞİKAYET KAYIT'!P493)),"")</f>
        <v/>
      </c>
    </row>
    <row r="494" spans="1:13" ht="15" customHeight="1" x14ac:dyDescent="0.3">
      <c r="A494" s="3" t="str">
        <f>IFERROR(IF('ŞİKAYET KAYIT'!P494="Kapatıldı","",IF('ŞİKAYET KAYIT'!A494="","",'ŞİKAYET KAYIT'!A494)),"")</f>
        <v/>
      </c>
      <c r="B494" s="5" t="str">
        <f>IFERROR(IF('ŞİKAYET KAYIT'!P494="Kapatıldı","",IF('ŞİKAYET KAYIT'!B494="","",'ŞİKAYET KAYIT'!B494)),"")</f>
        <v/>
      </c>
      <c r="C494" s="3" t="str">
        <f>IFERROR(IF('ŞİKAYET KAYIT'!P494="Kapatıldı","",IF('ŞİKAYET KAYIT'!D494="","",'ŞİKAYET KAYIT'!D494)),"")</f>
        <v/>
      </c>
      <c r="D494" s="3" t="str">
        <f>IFERROR(IF('ŞİKAYET KAYIT'!P494="Kapatıldı","",IF('ŞİKAYET KAYIT'!F494="","",'ŞİKAYET KAYIT'!F494)),"")</f>
        <v/>
      </c>
      <c r="E494" s="3" t="str">
        <f>IFERROR(IF('ŞİKAYET KAYIT'!P494="Kapatıldı","",IF('ŞİKAYET KAYIT'!H494="","",'ŞİKAYET KAYIT'!H494)),"")</f>
        <v/>
      </c>
      <c r="F494" s="3" t="str">
        <f>IFERROR(IF('ŞİKAYET KAYIT'!P494="Kapatıldı","",IF('ŞİKAYET KAYIT'!I494="","",'ŞİKAYET KAYIT'!I494)),"")</f>
        <v/>
      </c>
      <c r="G494" s="3" t="str">
        <f>IFERROR(IF('ŞİKAYET KAYIT'!P494="Kapatıldı","",IF('ŞİKAYET KAYIT'!J494="","",'ŞİKAYET KAYIT'!J494)),"")</f>
        <v/>
      </c>
      <c r="H494" s="3" t="str">
        <f>IFERROR(IF('ŞİKAYET KAYIT'!P494="Kapatıldı","",IF('ŞİKAYET KAYIT'!K494="","",'ŞİKAYET KAYIT'!K494)),"")</f>
        <v/>
      </c>
      <c r="I494" s="3" t="str">
        <f>IFERROR(IF('ŞİKAYET KAYIT'!P494="Kapatıldı","",IF('ŞİKAYET KAYIT'!L494="","",'ŞİKAYET KAYIT'!L494)),"")</f>
        <v/>
      </c>
      <c r="J494" s="3" t="str">
        <f>IFERROR(IF('ŞİKAYET KAYIT'!P494="Kapatıldı","",IF('ŞİKAYET KAYIT'!M494="","",'ŞİKAYET KAYIT'!M494)),"")</f>
        <v/>
      </c>
      <c r="K494" s="3" t="str">
        <f>IFERROR(IF('ŞİKAYET KAYIT'!P494="Kapatıldı","",IF('ŞİKAYET KAYIT'!N494="","",'ŞİKAYET KAYIT'!N494)),"")</f>
        <v/>
      </c>
      <c r="L494" s="3" t="str">
        <f>IFERROR(IF('ŞİKAYET KAYIT'!P494="Kapatıldı","",IF('ŞİKAYET KAYIT'!O494="","",'ŞİKAYET KAYIT'!O494)),"")</f>
        <v/>
      </c>
      <c r="M494" s="3" t="str">
        <f>IFERROR(IF('ŞİKAYET KAYIT'!P494="Kapatıldı","",IF('ŞİKAYET KAYIT'!P494="","",'ŞİKAYET KAYIT'!P494)),"")</f>
        <v/>
      </c>
    </row>
    <row r="495" spans="1:13" ht="15" customHeight="1" x14ac:dyDescent="0.3">
      <c r="A495" s="26" t="str">
        <f>IFERROR(IF('ŞİKAYET KAYIT'!P495="Kapatıldı","",IF('ŞİKAYET KAYIT'!A495="","",'ŞİKAYET KAYIT'!A495)),"")</f>
        <v/>
      </c>
      <c r="B495" s="8" t="str">
        <f>IFERROR(IF('ŞİKAYET KAYIT'!P495="Kapatıldı","",IF('ŞİKAYET KAYIT'!B495="","",'ŞİKAYET KAYIT'!B495)),"")</f>
        <v/>
      </c>
      <c r="C495" s="26" t="str">
        <f>IFERROR(IF('ŞİKAYET KAYIT'!P495="Kapatıldı","",IF('ŞİKAYET KAYIT'!D495="","",'ŞİKAYET KAYIT'!D495)),"")</f>
        <v/>
      </c>
      <c r="D495" s="26" t="str">
        <f>IFERROR(IF('ŞİKAYET KAYIT'!P495="Kapatıldı","",IF('ŞİKAYET KAYIT'!F495="","",'ŞİKAYET KAYIT'!F495)),"")</f>
        <v/>
      </c>
      <c r="E495" s="26" t="str">
        <f>IFERROR(IF('ŞİKAYET KAYIT'!P495="Kapatıldı","",IF('ŞİKAYET KAYIT'!H495="","",'ŞİKAYET KAYIT'!H495)),"")</f>
        <v/>
      </c>
      <c r="F495" s="26" t="str">
        <f>IFERROR(IF('ŞİKAYET KAYIT'!P495="Kapatıldı","",IF('ŞİKAYET KAYIT'!I495="","",'ŞİKAYET KAYIT'!I495)),"")</f>
        <v/>
      </c>
      <c r="G495" s="26" t="str">
        <f>IFERROR(IF('ŞİKAYET KAYIT'!P495="Kapatıldı","",IF('ŞİKAYET KAYIT'!J495="","",'ŞİKAYET KAYIT'!J495)),"")</f>
        <v/>
      </c>
      <c r="H495" s="26" t="str">
        <f>IFERROR(IF('ŞİKAYET KAYIT'!P495="Kapatıldı","",IF('ŞİKAYET KAYIT'!K495="","",'ŞİKAYET KAYIT'!K495)),"")</f>
        <v/>
      </c>
      <c r="I495" s="26" t="str">
        <f>IFERROR(IF('ŞİKAYET KAYIT'!P495="Kapatıldı","",IF('ŞİKAYET KAYIT'!L495="","",'ŞİKAYET KAYIT'!L495)),"")</f>
        <v/>
      </c>
      <c r="J495" s="26" t="str">
        <f>IFERROR(IF('ŞİKAYET KAYIT'!P495="Kapatıldı","",IF('ŞİKAYET KAYIT'!M495="","",'ŞİKAYET KAYIT'!M495)),"")</f>
        <v/>
      </c>
      <c r="K495" s="26" t="str">
        <f>IFERROR(IF('ŞİKAYET KAYIT'!P495="Kapatıldı","",IF('ŞİKAYET KAYIT'!N495="","",'ŞİKAYET KAYIT'!N495)),"")</f>
        <v/>
      </c>
      <c r="L495" s="26" t="str">
        <f>IFERROR(IF('ŞİKAYET KAYIT'!P495="Kapatıldı","",IF('ŞİKAYET KAYIT'!O495="","",'ŞİKAYET KAYIT'!O495)),"")</f>
        <v/>
      </c>
      <c r="M495" s="26" t="str">
        <f>IFERROR(IF('ŞİKAYET KAYIT'!P495="Kapatıldı","",IF('ŞİKAYET KAYIT'!P495="","",'ŞİKAYET KAYIT'!P495)),"")</f>
        <v/>
      </c>
    </row>
    <row r="496" spans="1:13" ht="15" customHeight="1" x14ac:dyDescent="0.3">
      <c r="A496" s="3" t="str">
        <f>IFERROR(IF('ŞİKAYET KAYIT'!P496="Kapatıldı","",IF('ŞİKAYET KAYIT'!A496="","",'ŞİKAYET KAYIT'!A496)),"")</f>
        <v/>
      </c>
      <c r="B496" s="5" t="str">
        <f>IFERROR(IF('ŞİKAYET KAYIT'!P496="Kapatıldı","",IF('ŞİKAYET KAYIT'!B496="","",'ŞİKAYET KAYIT'!B496)),"")</f>
        <v/>
      </c>
      <c r="C496" s="3" t="str">
        <f>IFERROR(IF('ŞİKAYET KAYIT'!P496="Kapatıldı","",IF('ŞİKAYET KAYIT'!D496="","",'ŞİKAYET KAYIT'!D496)),"")</f>
        <v/>
      </c>
      <c r="D496" s="3" t="str">
        <f>IFERROR(IF('ŞİKAYET KAYIT'!P496="Kapatıldı","",IF('ŞİKAYET KAYIT'!F496="","",'ŞİKAYET KAYIT'!F496)),"")</f>
        <v/>
      </c>
      <c r="E496" s="3" t="str">
        <f>IFERROR(IF('ŞİKAYET KAYIT'!P496="Kapatıldı","",IF('ŞİKAYET KAYIT'!H496="","",'ŞİKAYET KAYIT'!H496)),"")</f>
        <v/>
      </c>
      <c r="F496" s="3" t="str">
        <f>IFERROR(IF('ŞİKAYET KAYIT'!P496="Kapatıldı","",IF('ŞİKAYET KAYIT'!I496="","",'ŞİKAYET KAYIT'!I496)),"")</f>
        <v/>
      </c>
      <c r="G496" s="3" t="str">
        <f>IFERROR(IF('ŞİKAYET KAYIT'!P496="Kapatıldı","",IF('ŞİKAYET KAYIT'!J496="","",'ŞİKAYET KAYIT'!J496)),"")</f>
        <v/>
      </c>
      <c r="H496" s="3" t="str">
        <f>IFERROR(IF('ŞİKAYET KAYIT'!P496="Kapatıldı","",IF('ŞİKAYET KAYIT'!K496="","",'ŞİKAYET KAYIT'!K496)),"")</f>
        <v/>
      </c>
      <c r="I496" s="3" t="str">
        <f>IFERROR(IF('ŞİKAYET KAYIT'!P496="Kapatıldı","",IF('ŞİKAYET KAYIT'!L496="","",'ŞİKAYET KAYIT'!L496)),"")</f>
        <v/>
      </c>
      <c r="J496" s="3" t="str">
        <f>IFERROR(IF('ŞİKAYET KAYIT'!P496="Kapatıldı","",IF('ŞİKAYET KAYIT'!M496="","",'ŞİKAYET KAYIT'!M496)),"")</f>
        <v/>
      </c>
      <c r="K496" s="3" t="str">
        <f>IFERROR(IF('ŞİKAYET KAYIT'!P496="Kapatıldı","",IF('ŞİKAYET KAYIT'!N496="","",'ŞİKAYET KAYIT'!N496)),"")</f>
        <v/>
      </c>
      <c r="L496" s="3" t="str">
        <f>IFERROR(IF('ŞİKAYET KAYIT'!P496="Kapatıldı","",IF('ŞİKAYET KAYIT'!O496="","",'ŞİKAYET KAYIT'!O496)),"")</f>
        <v/>
      </c>
      <c r="M496" s="3" t="str">
        <f>IFERROR(IF('ŞİKAYET KAYIT'!P496="Kapatıldı","",IF('ŞİKAYET KAYIT'!P496="","",'ŞİKAYET KAYIT'!P496)),"")</f>
        <v/>
      </c>
    </row>
    <row r="497" spans="1:13" ht="15" customHeight="1" x14ac:dyDescent="0.3">
      <c r="A497" s="26" t="str">
        <f>IFERROR(IF('ŞİKAYET KAYIT'!P497="Kapatıldı","",IF('ŞİKAYET KAYIT'!A497="","",'ŞİKAYET KAYIT'!A497)),"")</f>
        <v/>
      </c>
      <c r="B497" s="8" t="str">
        <f>IFERROR(IF('ŞİKAYET KAYIT'!P497="Kapatıldı","",IF('ŞİKAYET KAYIT'!B497="","",'ŞİKAYET KAYIT'!B497)),"")</f>
        <v/>
      </c>
      <c r="C497" s="26" t="str">
        <f>IFERROR(IF('ŞİKAYET KAYIT'!P497="Kapatıldı","",IF('ŞİKAYET KAYIT'!D497="","",'ŞİKAYET KAYIT'!D497)),"")</f>
        <v/>
      </c>
      <c r="D497" s="26" t="str">
        <f>IFERROR(IF('ŞİKAYET KAYIT'!P497="Kapatıldı","",IF('ŞİKAYET KAYIT'!F497="","",'ŞİKAYET KAYIT'!F497)),"")</f>
        <v/>
      </c>
      <c r="E497" s="26" t="str">
        <f>IFERROR(IF('ŞİKAYET KAYIT'!P497="Kapatıldı","",IF('ŞİKAYET KAYIT'!H497="","",'ŞİKAYET KAYIT'!H497)),"")</f>
        <v/>
      </c>
      <c r="F497" s="26" t="str">
        <f>IFERROR(IF('ŞİKAYET KAYIT'!P497="Kapatıldı","",IF('ŞİKAYET KAYIT'!I497="","",'ŞİKAYET KAYIT'!I497)),"")</f>
        <v/>
      </c>
      <c r="G497" s="26" t="str">
        <f>IFERROR(IF('ŞİKAYET KAYIT'!P497="Kapatıldı","",IF('ŞİKAYET KAYIT'!J497="","",'ŞİKAYET KAYIT'!J497)),"")</f>
        <v/>
      </c>
      <c r="H497" s="26" t="str">
        <f>IFERROR(IF('ŞİKAYET KAYIT'!P497="Kapatıldı","",IF('ŞİKAYET KAYIT'!K497="","",'ŞİKAYET KAYIT'!K497)),"")</f>
        <v/>
      </c>
      <c r="I497" s="26" t="str">
        <f>IFERROR(IF('ŞİKAYET KAYIT'!P497="Kapatıldı","",IF('ŞİKAYET KAYIT'!L497="","",'ŞİKAYET KAYIT'!L497)),"")</f>
        <v/>
      </c>
      <c r="J497" s="26" t="str">
        <f>IFERROR(IF('ŞİKAYET KAYIT'!P497="Kapatıldı","",IF('ŞİKAYET KAYIT'!M497="","",'ŞİKAYET KAYIT'!M497)),"")</f>
        <v/>
      </c>
      <c r="K497" s="26" t="str">
        <f>IFERROR(IF('ŞİKAYET KAYIT'!P497="Kapatıldı","",IF('ŞİKAYET KAYIT'!N497="","",'ŞİKAYET KAYIT'!N497)),"")</f>
        <v/>
      </c>
      <c r="L497" s="26" t="str">
        <f>IFERROR(IF('ŞİKAYET KAYIT'!P497="Kapatıldı","",IF('ŞİKAYET KAYIT'!O497="","",'ŞİKAYET KAYIT'!O497)),"")</f>
        <v/>
      </c>
      <c r="M497" s="26" t="str">
        <f>IFERROR(IF('ŞİKAYET KAYIT'!P497="Kapatıldı","",IF('ŞİKAYET KAYIT'!P497="","",'ŞİKAYET KAYIT'!P497)),"")</f>
        <v/>
      </c>
    </row>
    <row r="498" spans="1:13" ht="15" customHeight="1" x14ac:dyDescent="0.3">
      <c r="A498" s="3" t="str">
        <f>IFERROR(IF('ŞİKAYET KAYIT'!P498="Kapatıldı","",IF('ŞİKAYET KAYIT'!A498="","",'ŞİKAYET KAYIT'!A498)),"")</f>
        <v/>
      </c>
      <c r="B498" s="5" t="str">
        <f>IFERROR(IF('ŞİKAYET KAYIT'!P498="Kapatıldı","",IF('ŞİKAYET KAYIT'!B498="","",'ŞİKAYET KAYIT'!B498)),"")</f>
        <v/>
      </c>
      <c r="C498" s="3" t="str">
        <f>IFERROR(IF('ŞİKAYET KAYIT'!P498="Kapatıldı","",IF('ŞİKAYET KAYIT'!D498="","",'ŞİKAYET KAYIT'!D498)),"")</f>
        <v/>
      </c>
      <c r="D498" s="3" t="str">
        <f>IFERROR(IF('ŞİKAYET KAYIT'!P498="Kapatıldı","",IF('ŞİKAYET KAYIT'!F498="","",'ŞİKAYET KAYIT'!F498)),"")</f>
        <v/>
      </c>
      <c r="E498" s="3" t="str">
        <f>IFERROR(IF('ŞİKAYET KAYIT'!P498="Kapatıldı","",IF('ŞİKAYET KAYIT'!H498="","",'ŞİKAYET KAYIT'!H498)),"")</f>
        <v/>
      </c>
      <c r="F498" s="3" t="str">
        <f>IFERROR(IF('ŞİKAYET KAYIT'!P498="Kapatıldı","",IF('ŞİKAYET KAYIT'!I498="","",'ŞİKAYET KAYIT'!I498)),"")</f>
        <v/>
      </c>
      <c r="G498" s="3" t="str">
        <f>IFERROR(IF('ŞİKAYET KAYIT'!P498="Kapatıldı","",IF('ŞİKAYET KAYIT'!J498="","",'ŞİKAYET KAYIT'!J498)),"")</f>
        <v/>
      </c>
      <c r="H498" s="3" t="str">
        <f>IFERROR(IF('ŞİKAYET KAYIT'!P498="Kapatıldı","",IF('ŞİKAYET KAYIT'!K498="","",'ŞİKAYET KAYIT'!K498)),"")</f>
        <v/>
      </c>
      <c r="I498" s="3" t="str">
        <f>IFERROR(IF('ŞİKAYET KAYIT'!P498="Kapatıldı","",IF('ŞİKAYET KAYIT'!L498="","",'ŞİKAYET KAYIT'!L498)),"")</f>
        <v/>
      </c>
      <c r="J498" s="3" t="str">
        <f>IFERROR(IF('ŞİKAYET KAYIT'!P498="Kapatıldı","",IF('ŞİKAYET KAYIT'!M498="","",'ŞİKAYET KAYIT'!M498)),"")</f>
        <v/>
      </c>
      <c r="K498" s="3" t="str">
        <f>IFERROR(IF('ŞİKAYET KAYIT'!P498="Kapatıldı","",IF('ŞİKAYET KAYIT'!N498="","",'ŞİKAYET KAYIT'!N498)),"")</f>
        <v/>
      </c>
      <c r="L498" s="3" t="str">
        <f>IFERROR(IF('ŞİKAYET KAYIT'!P498="Kapatıldı","",IF('ŞİKAYET KAYIT'!O498="","",'ŞİKAYET KAYIT'!O498)),"")</f>
        <v/>
      </c>
      <c r="M498" s="3" t="str">
        <f>IFERROR(IF('ŞİKAYET KAYIT'!P498="Kapatıldı","",IF('ŞİKAYET KAYIT'!P498="","",'ŞİKAYET KAYIT'!P498)),"")</f>
        <v/>
      </c>
    </row>
    <row r="499" spans="1:13" ht="15" customHeight="1" x14ac:dyDescent="0.3">
      <c r="A499" s="26" t="str">
        <f>IFERROR(IF('ŞİKAYET KAYIT'!P499="Kapatıldı","",IF('ŞİKAYET KAYIT'!A499="","",'ŞİKAYET KAYIT'!A499)),"")</f>
        <v/>
      </c>
      <c r="B499" s="8" t="str">
        <f>IFERROR(IF('ŞİKAYET KAYIT'!P499="Kapatıldı","",IF('ŞİKAYET KAYIT'!B499="","",'ŞİKAYET KAYIT'!B499)),"")</f>
        <v/>
      </c>
      <c r="C499" s="26" t="str">
        <f>IFERROR(IF('ŞİKAYET KAYIT'!P499="Kapatıldı","",IF('ŞİKAYET KAYIT'!D499="","",'ŞİKAYET KAYIT'!D499)),"")</f>
        <v/>
      </c>
      <c r="D499" s="26" t="str">
        <f>IFERROR(IF('ŞİKAYET KAYIT'!P499="Kapatıldı","",IF('ŞİKAYET KAYIT'!F499="","",'ŞİKAYET KAYIT'!F499)),"")</f>
        <v/>
      </c>
      <c r="E499" s="26" t="str">
        <f>IFERROR(IF('ŞİKAYET KAYIT'!P499="Kapatıldı","",IF('ŞİKAYET KAYIT'!H499="","",'ŞİKAYET KAYIT'!H499)),"")</f>
        <v/>
      </c>
      <c r="F499" s="26" t="str">
        <f>IFERROR(IF('ŞİKAYET KAYIT'!P499="Kapatıldı","",IF('ŞİKAYET KAYIT'!I499="","",'ŞİKAYET KAYIT'!I499)),"")</f>
        <v/>
      </c>
      <c r="G499" s="26" t="str">
        <f>IFERROR(IF('ŞİKAYET KAYIT'!P499="Kapatıldı","",IF('ŞİKAYET KAYIT'!J499="","",'ŞİKAYET KAYIT'!J499)),"")</f>
        <v/>
      </c>
      <c r="H499" s="26" t="str">
        <f>IFERROR(IF('ŞİKAYET KAYIT'!P499="Kapatıldı","",IF('ŞİKAYET KAYIT'!K499="","",'ŞİKAYET KAYIT'!K499)),"")</f>
        <v/>
      </c>
      <c r="I499" s="26" t="str">
        <f>IFERROR(IF('ŞİKAYET KAYIT'!P499="Kapatıldı","",IF('ŞİKAYET KAYIT'!L499="","",'ŞİKAYET KAYIT'!L499)),"")</f>
        <v/>
      </c>
      <c r="J499" s="26" t="str">
        <f>IFERROR(IF('ŞİKAYET KAYIT'!P499="Kapatıldı","",IF('ŞİKAYET KAYIT'!M499="","",'ŞİKAYET KAYIT'!M499)),"")</f>
        <v/>
      </c>
      <c r="K499" s="26" t="str">
        <f>IFERROR(IF('ŞİKAYET KAYIT'!P499="Kapatıldı","",IF('ŞİKAYET KAYIT'!N499="","",'ŞİKAYET KAYIT'!N499)),"")</f>
        <v/>
      </c>
      <c r="L499" s="26" t="str">
        <f>IFERROR(IF('ŞİKAYET KAYIT'!P499="Kapatıldı","",IF('ŞİKAYET KAYIT'!O499="","",'ŞİKAYET KAYIT'!O499)),"")</f>
        <v/>
      </c>
      <c r="M499" s="26" t="str">
        <f>IFERROR(IF('ŞİKAYET KAYIT'!P499="Kapatıldı","",IF('ŞİKAYET KAYIT'!P499="","",'ŞİKAYET KAYIT'!P499)),"")</f>
        <v/>
      </c>
    </row>
    <row r="500" spans="1:13" ht="15" customHeight="1" x14ac:dyDescent="0.3">
      <c r="A500" s="3" t="str">
        <f>IFERROR(IF('ŞİKAYET KAYIT'!P500="Kapatıldı","",IF('ŞİKAYET KAYIT'!A500="","",'ŞİKAYET KAYIT'!A500)),"")</f>
        <v/>
      </c>
      <c r="B500" s="5" t="str">
        <f>IFERROR(IF('ŞİKAYET KAYIT'!P500="Kapatıldı","",IF('ŞİKAYET KAYIT'!B500="","",'ŞİKAYET KAYIT'!B500)),"")</f>
        <v/>
      </c>
      <c r="C500" s="3" t="str">
        <f>IFERROR(IF('ŞİKAYET KAYIT'!P500="Kapatıldı","",IF('ŞİKAYET KAYIT'!D500="","",'ŞİKAYET KAYIT'!D500)),"")</f>
        <v/>
      </c>
      <c r="D500" s="3" t="str">
        <f>IFERROR(IF('ŞİKAYET KAYIT'!P500="Kapatıldı","",IF('ŞİKAYET KAYIT'!F500="","",'ŞİKAYET KAYIT'!F500)),"")</f>
        <v/>
      </c>
      <c r="E500" s="3" t="str">
        <f>IFERROR(IF('ŞİKAYET KAYIT'!P500="Kapatıldı","",IF('ŞİKAYET KAYIT'!H500="","",'ŞİKAYET KAYIT'!H500)),"")</f>
        <v/>
      </c>
      <c r="F500" s="3" t="str">
        <f>IFERROR(IF('ŞİKAYET KAYIT'!P500="Kapatıldı","",IF('ŞİKAYET KAYIT'!I500="","",'ŞİKAYET KAYIT'!I500)),"")</f>
        <v/>
      </c>
      <c r="G500" s="3" t="str">
        <f>IFERROR(IF('ŞİKAYET KAYIT'!P500="Kapatıldı","",IF('ŞİKAYET KAYIT'!J500="","",'ŞİKAYET KAYIT'!J500)),"")</f>
        <v/>
      </c>
      <c r="H500" s="3" t="str">
        <f>IFERROR(IF('ŞİKAYET KAYIT'!P500="Kapatıldı","",IF('ŞİKAYET KAYIT'!K500="","",'ŞİKAYET KAYIT'!K500)),"")</f>
        <v/>
      </c>
      <c r="I500" s="3" t="str">
        <f>IFERROR(IF('ŞİKAYET KAYIT'!P500="Kapatıldı","",IF('ŞİKAYET KAYIT'!L500="","",'ŞİKAYET KAYIT'!L500)),"")</f>
        <v/>
      </c>
      <c r="J500" s="3" t="str">
        <f>IFERROR(IF('ŞİKAYET KAYIT'!P500="Kapatıldı","",IF('ŞİKAYET KAYIT'!M500="","",'ŞİKAYET KAYIT'!M500)),"")</f>
        <v/>
      </c>
      <c r="K500" s="3" t="str">
        <f>IFERROR(IF('ŞİKAYET KAYIT'!P500="Kapatıldı","",IF('ŞİKAYET KAYIT'!N500="","",'ŞİKAYET KAYIT'!N500)),"")</f>
        <v/>
      </c>
      <c r="L500" s="3" t="str">
        <f>IFERROR(IF('ŞİKAYET KAYIT'!P500="Kapatıldı","",IF('ŞİKAYET KAYIT'!O500="","",'ŞİKAYET KAYIT'!O500)),"")</f>
        <v/>
      </c>
      <c r="M500" s="3" t="str">
        <f>IFERROR(IF('ŞİKAYET KAYIT'!P500="Kapatıldı","",IF('ŞİKAYET KAYIT'!P500="","",'ŞİKAYET KAYIT'!P500)),"")</f>
        <v/>
      </c>
    </row>
    <row r="501" spans="1:13" ht="15" customHeight="1" x14ac:dyDescent="0.3">
      <c r="A501" s="26" t="str">
        <f>IFERROR(IF('ŞİKAYET KAYIT'!P501="Kapatıldı","",IF('ŞİKAYET KAYIT'!A501="","",'ŞİKAYET KAYIT'!A501)),"")</f>
        <v/>
      </c>
      <c r="B501" s="8" t="str">
        <f>IFERROR(IF('ŞİKAYET KAYIT'!P501="Kapatıldı","",IF('ŞİKAYET KAYIT'!B501="","",'ŞİKAYET KAYIT'!B501)),"")</f>
        <v/>
      </c>
      <c r="C501" s="26" t="str">
        <f>IFERROR(IF('ŞİKAYET KAYIT'!P501="Kapatıldı","",IF('ŞİKAYET KAYIT'!D501="","",'ŞİKAYET KAYIT'!D501)),"")</f>
        <v/>
      </c>
      <c r="D501" s="26" t="str">
        <f>IFERROR(IF('ŞİKAYET KAYIT'!P501="Kapatıldı","",IF('ŞİKAYET KAYIT'!F501="","",'ŞİKAYET KAYIT'!F501)),"")</f>
        <v/>
      </c>
      <c r="E501" s="26" t="str">
        <f>IFERROR(IF('ŞİKAYET KAYIT'!P501="Kapatıldı","",IF('ŞİKAYET KAYIT'!H501="","",'ŞİKAYET KAYIT'!H501)),"")</f>
        <v/>
      </c>
      <c r="F501" s="26" t="str">
        <f>IFERROR(IF('ŞİKAYET KAYIT'!P501="Kapatıldı","",IF('ŞİKAYET KAYIT'!I501="","",'ŞİKAYET KAYIT'!I501)),"")</f>
        <v/>
      </c>
      <c r="G501" s="26" t="str">
        <f>IFERROR(IF('ŞİKAYET KAYIT'!P501="Kapatıldı","",IF('ŞİKAYET KAYIT'!J501="","",'ŞİKAYET KAYIT'!J501)),"")</f>
        <v/>
      </c>
      <c r="H501" s="26" t="str">
        <f>IFERROR(IF('ŞİKAYET KAYIT'!P501="Kapatıldı","",IF('ŞİKAYET KAYIT'!K501="","",'ŞİKAYET KAYIT'!K501)),"")</f>
        <v/>
      </c>
      <c r="I501" s="26" t="str">
        <f>IFERROR(IF('ŞİKAYET KAYIT'!P501="Kapatıldı","",IF('ŞİKAYET KAYIT'!L501="","",'ŞİKAYET KAYIT'!L501)),"")</f>
        <v/>
      </c>
      <c r="J501" s="26" t="str">
        <f>IFERROR(IF('ŞİKAYET KAYIT'!P501="Kapatıldı","",IF('ŞİKAYET KAYIT'!M501="","",'ŞİKAYET KAYIT'!M501)),"")</f>
        <v/>
      </c>
      <c r="K501" s="26" t="str">
        <f>IFERROR(IF('ŞİKAYET KAYIT'!P501="Kapatıldı","",IF('ŞİKAYET KAYIT'!N501="","",'ŞİKAYET KAYIT'!N501)),"")</f>
        <v/>
      </c>
      <c r="L501" s="26" t="str">
        <f>IFERROR(IF('ŞİKAYET KAYIT'!P501="Kapatıldı","",IF('ŞİKAYET KAYIT'!O501="","",'ŞİKAYET KAYIT'!O501)),"")</f>
        <v/>
      </c>
      <c r="M501" s="26" t="str">
        <f>IFERROR(IF('ŞİKAYET KAYIT'!P501="Kapatıldı","",IF('ŞİKAYET KAYIT'!P501="","",'ŞİKAYET KAYIT'!P501)),"")</f>
        <v/>
      </c>
    </row>
    <row r="502" spans="1:13" ht="15" customHeight="1" x14ac:dyDescent="0.3">
      <c r="A502" s="3" t="str">
        <f>IFERROR(IF('ŞİKAYET KAYIT'!P502="Kapatıldı","",IF('ŞİKAYET KAYIT'!A502="","",'ŞİKAYET KAYIT'!A502)),"")</f>
        <v/>
      </c>
      <c r="B502" s="5" t="str">
        <f>IFERROR(IF('ŞİKAYET KAYIT'!P502="Kapatıldı","",IF('ŞİKAYET KAYIT'!B502="","",'ŞİKAYET KAYIT'!B502)),"")</f>
        <v/>
      </c>
      <c r="C502" s="3" t="str">
        <f>IFERROR(IF('ŞİKAYET KAYIT'!P502="Kapatıldı","",IF('ŞİKAYET KAYIT'!D502="","",'ŞİKAYET KAYIT'!D502)),"")</f>
        <v/>
      </c>
      <c r="D502" s="3" t="str">
        <f>IFERROR(IF('ŞİKAYET KAYIT'!P502="Kapatıldı","",IF('ŞİKAYET KAYIT'!F502="","",'ŞİKAYET KAYIT'!F502)),"")</f>
        <v/>
      </c>
      <c r="E502" s="3" t="str">
        <f>IFERROR(IF('ŞİKAYET KAYIT'!P502="Kapatıldı","",IF('ŞİKAYET KAYIT'!H502="","",'ŞİKAYET KAYIT'!H502)),"")</f>
        <v/>
      </c>
      <c r="F502" s="3" t="str">
        <f>IFERROR(IF('ŞİKAYET KAYIT'!P502="Kapatıldı","",IF('ŞİKAYET KAYIT'!I502="","",'ŞİKAYET KAYIT'!I502)),"")</f>
        <v/>
      </c>
      <c r="G502" s="3" t="str">
        <f>IFERROR(IF('ŞİKAYET KAYIT'!P502="Kapatıldı","",IF('ŞİKAYET KAYIT'!J502="","",'ŞİKAYET KAYIT'!J502)),"")</f>
        <v/>
      </c>
      <c r="H502" s="3" t="str">
        <f>IFERROR(IF('ŞİKAYET KAYIT'!P502="Kapatıldı","",IF('ŞİKAYET KAYIT'!K502="","",'ŞİKAYET KAYIT'!K502)),"")</f>
        <v/>
      </c>
      <c r="I502" s="3" t="str">
        <f>IFERROR(IF('ŞİKAYET KAYIT'!P502="Kapatıldı","",IF('ŞİKAYET KAYIT'!L502="","",'ŞİKAYET KAYIT'!L502)),"")</f>
        <v/>
      </c>
      <c r="J502" s="3" t="str">
        <f>IFERROR(IF('ŞİKAYET KAYIT'!P502="Kapatıldı","",IF('ŞİKAYET KAYIT'!M502="","",'ŞİKAYET KAYIT'!M502)),"")</f>
        <v/>
      </c>
      <c r="K502" s="3" t="str">
        <f>IFERROR(IF('ŞİKAYET KAYIT'!P502="Kapatıldı","",IF('ŞİKAYET KAYIT'!N502="","",'ŞİKAYET KAYIT'!N502)),"")</f>
        <v/>
      </c>
      <c r="L502" s="3" t="str">
        <f>IFERROR(IF('ŞİKAYET KAYIT'!P502="Kapatıldı","",IF('ŞİKAYET KAYIT'!O502="","",'ŞİKAYET KAYIT'!O502)),"")</f>
        <v/>
      </c>
      <c r="M502" s="3" t="str">
        <f>IFERROR(IF('ŞİKAYET KAYIT'!P502="Kapatıldı","",IF('ŞİKAYET KAYIT'!P502="","",'ŞİKAYET KAYIT'!P502)),"")</f>
        <v/>
      </c>
    </row>
    <row r="503" spans="1:13" ht="15" customHeight="1" x14ac:dyDescent="0.3">
      <c r="A503" s="26" t="str">
        <f>IFERROR(IF('ŞİKAYET KAYIT'!P503="Kapatıldı","",IF('ŞİKAYET KAYIT'!A503="","",'ŞİKAYET KAYIT'!A503)),"")</f>
        <v/>
      </c>
      <c r="B503" s="8" t="str">
        <f>IFERROR(IF('ŞİKAYET KAYIT'!P503="Kapatıldı","",IF('ŞİKAYET KAYIT'!B503="","",'ŞİKAYET KAYIT'!B503)),"")</f>
        <v/>
      </c>
      <c r="C503" s="26" t="str">
        <f>IFERROR(IF('ŞİKAYET KAYIT'!P503="Kapatıldı","",IF('ŞİKAYET KAYIT'!D503="","",'ŞİKAYET KAYIT'!D503)),"")</f>
        <v/>
      </c>
      <c r="D503" s="26" t="str">
        <f>IFERROR(IF('ŞİKAYET KAYIT'!P503="Kapatıldı","",IF('ŞİKAYET KAYIT'!F503="","",'ŞİKAYET KAYIT'!F503)),"")</f>
        <v/>
      </c>
      <c r="E503" s="26" t="str">
        <f>IFERROR(IF('ŞİKAYET KAYIT'!P503="Kapatıldı","",IF('ŞİKAYET KAYIT'!H503="","",'ŞİKAYET KAYIT'!H503)),"")</f>
        <v/>
      </c>
      <c r="F503" s="26" t="str">
        <f>IFERROR(IF('ŞİKAYET KAYIT'!P503="Kapatıldı","",IF('ŞİKAYET KAYIT'!I503="","",'ŞİKAYET KAYIT'!I503)),"")</f>
        <v/>
      </c>
      <c r="G503" s="26" t="str">
        <f>IFERROR(IF('ŞİKAYET KAYIT'!P503="Kapatıldı","",IF('ŞİKAYET KAYIT'!J503="","",'ŞİKAYET KAYIT'!J503)),"")</f>
        <v/>
      </c>
      <c r="H503" s="26" t="str">
        <f>IFERROR(IF('ŞİKAYET KAYIT'!P503="Kapatıldı","",IF('ŞİKAYET KAYIT'!K503="","",'ŞİKAYET KAYIT'!K503)),"")</f>
        <v/>
      </c>
      <c r="I503" s="26" t="str">
        <f>IFERROR(IF('ŞİKAYET KAYIT'!P503="Kapatıldı","",IF('ŞİKAYET KAYIT'!L503="","",'ŞİKAYET KAYIT'!L503)),"")</f>
        <v/>
      </c>
      <c r="J503" s="26" t="str">
        <f>IFERROR(IF('ŞİKAYET KAYIT'!P503="Kapatıldı","",IF('ŞİKAYET KAYIT'!M503="","",'ŞİKAYET KAYIT'!M503)),"")</f>
        <v/>
      </c>
      <c r="K503" s="26" t="str">
        <f>IFERROR(IF('ŞİKAYET KAYIT'!P503="Kapatıldı","",IF('ŞİKAYET KAYIT'!N503="","",'ŞİKAYET KAYIT'!N503)),"")</f>
        <v/>
      </c>
      <c r="L503" s="26" t="str">
        <f>IFERROR(IF('ŞİKAYET KAYIT'!P503="Kapatıldı","",IF('ŞİKAYET KAYIT'!O503="","",'ŞİKAYET KAYIT'!O503)),"")</f>
        <v/>
      </c>
      <c r="M503" s="26" t="str">
        <f>IFERROR(IF('ŞİKAYET KAYIT'!P503="Kapatıldı","",IF('ŞİKAYET KAYIT'!P503="","",'ŞİKAYET KAYIT'!P503)),"")</f>
        <v/>
      </c>
    </row>
  </sheetData>
  <mergeCells count="2">
    <mergeCell ref="A1:M1"/>
    <mergeCell ref="A2:M2"/>
  </mergeCells>
  <conditionalFormatting sqref="L4:L503">
    <cfRule type="cellIs" dxfId="2" priority="4" operator="equal">
      <formula>"Çok Acil"</formula>
    </cfRule>
  </conditionalFormatting>
  <conditionalFormatting sqref="M4:M503">
    <cfRule type="cellIs" dxfId="1" priority="2" operator="equal">
      <formula>"Açık"</formula>
    </cfRule>
    <cfRule type="cellIs" dxfId="0" priority="3" operator="equal">
      <formula>"Devam Ediyor"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N503"/>
  <sheetViews>
    <sheetView showGridLines="0" zoomScaleNormal="100" workbookViewId="0">
      <pane ySplit="3" topLeftCell="A4" activePane="bottomLeft" state="frozen"/>
      <selection pane="bottomLeft" activeCell="A2" sqref="A2:N2"/>
    </sheetView>
  </sheetViews>
  <sheetFormatPr defaultColWidth="8.6640625" defaultRowHeight="14.4" x14ac:dyDescent="0.3"/>
  <cols>
    <col min="1" max="2" width="14" style="1" customWidth="1"/>
    <col min="3" max="3" width="16" style="1" customWidth="1"/>
    <col min="4" max="5" width="18" style="1" customWidth="1"/>
    <col min="6" max="6" width="24" style="1" customWidth="1"/>
    <col min="7" max="7" width="12" style="1" customWidth="1"/>
    <col min="8" max="8" width="16" style="1" customWidth="1"/>
    <col min="9" max="9" width="14" style="1" customWidth="1"/>
    <col min="10" max="10" width="20" style="1" customWidth="1"/>
    <col min="11" max="11" width="11" style="1" customWidth="1"/>
    <col min="12" max="12" width="15" style="1" customWidth="1"/>
    <col min="13" max="13" width="28" style="1" customWidth="1"/>
    <col min="14" max="14" width="18" style="1" customWidth="1"/>
  </cols>
  <sheetData>
    <row r="1" spans="1:14" ht="61.8" customHeight="1" x14ac:dyDescent="0.3">
      <c r="A1" s="31" t="s">
        <v>85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18" customHeight="1" x14ac:dyDescent="0.3">
      <c r="A2" s="49" t="s">
        <v>86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36" customHeight="1" x14ac:dyDescent="0.3">
      <c r="A3" s="10" t="s">
        <v>58</v>
      </c>
      <c r="B3" s="10" t="s">
        <v>78</v>
      </c>
      <c r="C3" s="10" t="s">
        <v>79</v>
      </c>
      <c r="D3" s="10" t="s">
        <v>63</v>
      </c>
      <c r="E3" s="10" t="s">
        <v>65</v>
      </c>
      <c r="F3" s="10" t="s">
        <v>80</v>
      </c>
      <c r="G3" s="10" t="s">
        <v>81</v>
      </c>
      <c r="H3" s="10" t="s">
        <v>82</v>
      </c>
      <c r="I3" s="10" t="s">
        <v>83</v>
      </c>
      <c r="J3" s="10" t="s">
        <v>84</v>
      </c>
      <c r="K3" s="10" t="s">
        <v>72</v>
      </c>
      <c r="L3" s="10" t="s">
        <v>74</v>
      </c>
      <c r="M3" s="10" t="s">
        <v>75</v>
      </c>
      <c r="N3" s="10" t="s">
        <v>87</v>
      </c>
    </row>
    <row r="4" spans="1:14" ht="15" customHeight="1" x14ac:dyDescent="0.3">
      <c r="A4" s="11" t="str">
        <f>IFERROR(IF('ŞİKAYET KAYIT'!P4="Kapatıldı",'ŞİKAYET KAYIT'!A4,""),"")</f>
        <v/>
      </c>
      <c r="B4" s="12" t="str">
        <f>IFERROR(IF('ŞİKAYET KAYIT'!P4="Kapatıldı",'ŞİKAYET KAYIT'!B4,""),"")</f>
        <v/>
      </c>
      <c r="C4" s="11" t="str">
        <f>IFERROR(IF('ŞİKAYET KAYIT'!P4="Kapatıldı",'ŞİKAYET KAYIT'!D4,""),"")</f>
        <v/>
      </c>
      <c r="D4" s="11" t="str">
        <f>IFERROR(IF('ŞİKAYET KAYIT'!P4="Kapatıldı",'ŞİKAYET KAYIT'!F4,""),"")</f>
        <v/>
      </c>
      <c r="E4" s="11" t="str">
        <f>IFERROR(IF('ŞİKAYET KAYIT'!P4="Kapatıldı",'ŞİKAYET KAYIT'!H4,""),"")</f>
        <v/>
      </c>
      <c r="F4" s="11" t="str">
        <f>IFERROR(IF('ŞİKAYET KAYIT'!P4="Kapatıldı",'ŞİKAYET KAYIT'!J4,""),"")</f>
        <v/>
      </c>
      <c r="G4" s="11" t="str">
        <f>IFERROR(IF('ŞİKAYET KAYIT'!P4="Kapatıldı",'ŞİKAYET KAYIT'!K4,""),"")</f>
        <v/>
      </c>
      <c r="H4" s="11" t="str">
        <f>IFERROR(IF('ŞİKAYET KAYIT'!P4="Kapatıldı",'ŞİKAYET KAYIT'!L4,""),"")</f>
        <v/>
      </c>
      <c r="I4" s="11" t="str">
        <f>IFERROR(IF('ŞİKAYET KAYIT'!P4="Kapatıldı",'ŞİKAYET KAYIT'!M4,""),"")</f>
        <v/>
      </c>
      <c r="J4" s="11" t="str">
        <f>IFERROR(IF('ŞİKAYET KAYIT'!P4="Kapatıldı",'ŞİKAYET KAYIT'!N4,""),"")</f>
        <v/>
      </c>
      <c r="K4" s="11" t="str">
        <f>IFERROR(IF('ŞİKAYET KAYIT'!P4="Kapatıldı",'ŞİKAYET KAYIT'!O4,""),"")</f>
        <v/>
      </c>
      <c r="L4" s="12" t="str">
        <f>IFERROR(IF('ŞİKAYET KAYIT'!P4="Kapatıldı",'ŞİKAYET KAYIT'!Q4,""),"")</f>
        <v/>
      </c>
      <c r="M4" s="11" t="str">
        <f>IFERROR(IF('ŞİKAYET KAYIT'!P4="Kapatıldı",'ŞİKAYET KAYIT'!R4,""),"")</f>
        <v/>
      </c>
      <c r="N4" s="11"/>
    </row>
    <row r="5" spans="1:14" ht="15" customHeight="1" x14ac:dyDescent="0.3">
      <c r="A5" s="26" t="str">
        <f>IFERROR(IF('ŞİKAYET KAYIT'!P5="Kapatıldı",'ŞİKAYET KAYIT'!A5,""),"")</f>
        <v/>
      </c>
      <c r="B5" s="8" t="str">
        <f>IFERROR(IF('ŞİKAYET KAYIT'!P5="Kapatıldı",'ŞİKAYET KAYIT'!B5,""),"")</f>
        <v/>
      </c>
      <c r="C5" s="26" t="str">
        <f>IFERROR(IF('ŞİKAYET KAYIT'!P5="Kapatıldı",'ŞİKAYET KAYIT'!D5,""),"")</f>
        <v/>
      </c>
      <c r="D5" s="26" t="str">
        <f>IFERROR(IF('ŞİKAYET KAYIT'!P5="Kapatıldı",'ŞİKAYET KAYIT'!F5,""),"")</f>
        <v/>
      </c>
      <c r="E5" s="26" t="str">
        <f>IFERROR(IF('ŞİKAYET KAYIT'!P5="Kapatıldı",'ŞİKAYET KAYIT'!H5,""),"")</f>
        <v/>
      </c>
      <c r="F5" s="26" t="str">
        <f>IFERROR(IF('ŞİKAYET KAYIT'!P5="Kapatıldı",'ŞİKAYET KAYIT'!J5,""),"")</f>
        <v/>
      </c>
      <c r="G5" s="26" t="str">
        <f>IFERROR(IF('ŞİKAYET KAYIT'!P5="Kapatıldı",'ŞİKAYET KAYIT'!K5,""),"")</f>
        <v/>
      </c>
      <c r="H5" s="26" t="str">
        <f>IFERROR(IF('ŞİKAYET KAYIT'!P5="Kapatıldı",'ŞİKAYET KAYIT'!L5,""),"")</f>
        <v/>
      </c>
      <c r="I5" s="26" t="str">
        <f>IFERROR(IF('ŞİKAYET KAYIT'!P5="Kapatıldı",'ŞİKAYET KAYIT'!M5,""),"")</f>
        <v/>
      </c>
      <c r="J5" s="26" t="str">
        <f>IFERROR(IF('ŞİKAYET KAYIT'!P5="Kapatıldı",'ŞİKAYET KAYIT'!N5,""),"")</f>
        <v/>
      </c>
      <c r="K5" s="26" t="str">
        <f>IFERROR(IF('ŞİKAYET KAYIT'!P5="Kapatıldı",'ŞİKAYET KAYIT'!O5,""),"")</f>
        <v/>
      </c>
      <c r="L5" s="8" t="str">
        <f>IFERROR(IF('ŞİKAYET KAYIT'!P5="Kapatıldı",'ŞİKAYET KAYIT'!Q5,""),"")</f>
        <v/>
      </c>
      <c r="M5" s="26" t="str">
        <f>IFERROR(IF('ŞİKAYET KAYIT'!P5="Kapatıldı",'ŞİKAYET KAYIT'!R5,""),"")</f>
        <v/>
      </c>
      <c r="N5" s="26"/>
    </row>
    <row r="6" spans="1:14" ht="15" customHeight="1" x14ac:dyDescent="0.3">
      <c r="A6" s="11" t="str">
        <f>IFERROR(IF('ŞİKAYET KAYIT'!P6="Kapatıldı",'ŞİKAYET KAYIT'!A6,""),"")</f>
        <v/>
      </c>
      <c r="B6" s="12" t="str">
        <f>IFERROR(IF('ŞİKAYET KAYIT'!P6="Kapatıldı",'ŞİKAYET KAYIT'!B6,""),"")</f>
        <v/>
      </c>
      <c r="C6" s="11" t="str">
        <f>IFERROR(IF('ŞİKAYET KAYIT'!P6="Kapatıldı",'ŞİKAYET KAYIT'!D6,""),"")</f>
        <v/>
      </c>
      <c r="D6" s="11" t="str">
        <f>IFERROR(IF('ŞİKAYET KAYIT'!P6="Kapatıldı",'ŞİKAYET KAYIT'!F6,""),"")</f>
        <v/>
      </c>
      <c r="E6" s="11" t="str">
        <f>IFERROR(IF('ŞİKAYET KAYIT'!P6="Kapatıldı",'ŞİKAYET KAYIT'!H6,""),"")</f>
        <v/>
      </c>
      <c r="F6" s="11" t="str">
        <f>IFERROR(IF('ŞİKAYET KAYIT'!P6="Kapatıldı",'ŞİKAYET KAYIT'!J6,""),"")</f>
        <v/>
      </c>
      <c r="G6" s="11" t="str">
        <f>IFERROR(IF('ŞİKAYET KAYIT'!P6="Kapatıldı",'ŞİKAYET KAYIT'!K6,""),"")</f>
        <v/>
      </c>
      <c r="H6" s="11" t="str">
        <f>IFERROR(IF('ŞİKAYET KAYIT'!P6="Kapatıldı",'ŞİKAYET KAYIT'!L6,""),"")</f>
        <v/>
      </c>
      <c r="I6" s="11" t="str">
        <f>IFERROR(IF('ŞİKAYET KAYIT'!P6="Kapatıldı",'ŞİKAYET KAYIT'!M6,""),"")</f>
        <v/>
      </c>
      <c r="J6" s="11" t="str">
        <f>IFERROR(IF('ŞİKAYET KAYIT'!P6="Kapatıldı",'ŞİKAYET KAYIT'!N6,""),"")</f>
        <v/>
      </c>
      <c r="K6" s="11" t="str">
        <f>IFERROR(IF('ŞİKAYET KAYIT'!P6="Kapatıldı",'ŞİKAYET KAYIT'!O6,""),"")</f>
        <v/>
      </c>
      <c r="L6" s="12" t="str">
        <f>IFERROR(IF('ŞİKAYET KAYIT'!P6="Kapatıldı",'ŞİKAYET KAYIT'!Q6,""),"")</f>
        <v/>
      </c>
      <c r="M6" s="11" t="str">
        <f>IFERROR(IF('ŞİKAYET KAYIT'!P6="Kapatıldı",'ŞİKAYET KAYIT'!R6,""),"")</f>
        <v/>
      </c>
      <c r="N6" s="11"/>
    </row>
    <row r="7" spans="1:14" ht="15" customHeight="1" x14ac:dyDescent="0.3">
      <c r="A7" s="26" t="str">
        <f>IFERROR(IF('ŞİKAYET KAYIT'!P7="Kapatıldı",'ŞİKAYET KAYIT'!A7,""),"")</f>
        <v/>
      </c>
      <c r="B7" s="8" t="str">
        <f>IFERROR(IF('ŞİKAYET KAYIT'!P7="Kapatıldı",'ŞİKAYET KAYIT'!B7,""),"")</f>
        <v/>
      </c>
      <c r="C7" s="26" t="str">
        <f>IFERROR(IF('ŞİKAYET KAYIT'!P7="Kapatıldı",'ŞİKAYET KAYIT'!D7,""),"")</f>
        <v/>
      </c>
      <c r="D7" s="26" t="str">
        <f>IFERROR(IF('ŞİKAYET KAYIT'!P7="Kapatıldı",'ŞİKAYET KAYIT'!F7,""),"")</f>
        <v/>
      </c>
      <c r="E7" s="26" t="str">
        <f>IFERROR(IF('ŞİKAYET KAYIT'!P7="Kapatıldı",'ŞİKAYET KAYIT'!H7,""),"")</f>
        <v/>
      </c>
      <c r="F7" s="26" t="str">
        <f>IFERROR(IF('ŞİKAYET KAYIT'!P7="Kapatıldı",'ŞİKAYET KAYIT'!J7,""),"")</f>
        <v/>
      </c>
      <c r="G7" s="26" t="str">
        <f>IFERROR(IF('ŞİKAYET KAYIT'!P7="Kapatıldı",'ŞİKAYET KAYIT'!K7,""),"")</f>
        <v/>
      </c>
      <c r="H7" s="26" t="str">
        <f>IFERROR(IF('ŞİKAYET KAYIT'!P7="Kapatıldı",'ŞİKAYET KAYIT'!L7,""),"")</f>
        <v/>
      </c>
      <c r="I7" s="26" t="str">
        <f>IFERROR(IF('ŞİKAYET KAYIT'!P7="Kapatıldı",'ŞİKAYET KAYIT'!M7,""),"")</f>
        <v/>
      </c>
      <c r="J7" s="26" t="str">
        <f>IFERROR(IF('ŞİKAYET KAYIT'!P7="Kapatıldı",'ŞİKAYET KAYIT'!N7,""),"")</f>
        <v/>
      </c>
      <c r="K7" s="26" t="str">
        <f>IFERROR(IF('ŞİKAYET KAYIT'!P7="Kapatıldı",'ŞİKAYET KAYIT'!O7,""),"")</f>
        <v/>
      </c>
      <c r="L7" s="8" t="str">
        <f>IFERROR(IF('ŞİKAYET KAYIT'!P7="Kapatıldı",'ŞİKAYET KAYIT'!Q7,""),"")</f>
        <v/>
      </c>
      <c r="M7" s="26" t="str">
        <f>IFERROR(IF('ŞİKAYET KAYIT'!P7="Kapatıldı",'ŞİKAYET KAYIT'!R7,""),"")</f>
        <v/>
      </c>
      <c r="N7" s="26"/>
    </row>
    <row r="8" spans="1:14" ht="15" customHeight="1" x14ac:dyDescent="0.3">
      <c r="A8" s="11" t="str">
        <f>IFERROR(IF('ŞİKAYET KAYIT'!P8="Kapatıldı",'ŞİKAYET KAYIT'!A8,""),"")</f>
        <v/>
      </c>
      <c r="B8" s="12" t="str">
        <f>IFERROR(IF('ŞİKAYET KAYIT'!P8="Kapatıldı",'ŞİKAYET KAYIT'!B8,""),"")</f>
        <v/>
      </c>
      <c r="C8" s="11" t="str">
        <f>IFERROR(IF('ŞİKAYET KAYIT'!P8="Kapatıldı",'ŞİKAYET KAYIT'!D8,""),"")</f>
        <v/>
      </c>
      <c r="D8" s="11" t="str">
        <f>IFERROR(IF('ŞİKAYET KAYIT'!P8="Kapatıldı",'ŞİKAYET KAYIT'!F8,""),"")</f>
        <v/>
      </c>
      <c r="E8" s="11" t="str">
        <f>IFERROR(IF('ŞİKAYET KAYIT'!P8="Kapatıldı",'ŞİKAYET KAYIT'!H8,""),"")</f>
        <v/>
      </c>
      <c r="F8" s="11" t="str">
        <f>IFERROR(IF('ŞİKAYET KAYIT'!P8="Kapatıldı",'ŞİKAYET KAYIT'!J8,""),"")</f>
        <v/>
      </c>
      <c r="G8" s="11" t="str">
        <f>IFERROR(IF('ŞİKAYET KAYIT'!P8="Kapatıldı",'ŞİKAYET KAYIT'!K8,""),"")</f>
        <v/>
      </c>
      <c r="H8" s="11" t="str">
        <f>IFERROR(IF('ŞİKAYET KAYIT'!P8="Kapatıldı",'ŞİKAYET KAYIT'!L8,""),"")</f>
        <v/>
      </c>
      <c r="I8" s="11" t="str">
        <f>IFERROR(IF('ŞİKAYET KAYIT'!P8="Kapatıldı",'ŞİKAYET KAYIT'!M8,""),"")</f>
        <v/>
      </c>
      <c r="J8" s="11" t="str">
        <f>IFERROR(IF('ŞİKAYET KAYIT'!P8="Kapatıldı",'ŞİKAYET KAYIT'!N8,""),"")</f>
        <v/>
      </c>
      <c r="K8" s="11" t="str">
        <f>IFERROR(IF('ŞİKAYET KAYIT'!P8="Kapatıldı",'ŞİKAYET KAYIT'!O8,""),"")</f>
        <v/>
      </c>
      <c r="L8" s="12" t="str">
        <f>IFERROR(IF('ŞİKAYET KAYIT'!P8="Kapatıldı",'ŞİKAYET KAYIT'!Q8,""),"")</f>
        <v/>
      </c>
      <c r="M8" s="11" t="str">
        <f>IFERROR(IF('ŞİKAYET KAYIT'!P8="Kapatıldı",'ŞİKAYET KAYIT'!R8,""),"")</f>
        <v/>
      </c>
      <c r="N8" s="11"/>
    </row>
    <row r="9" spans="1:14" ht="15" customHeight="1" x14ac:dyDescent="0.3">
      <c r="A9" s="26" t="str">
        <f>IFERROR(IF('ŞİKAYET KAYIT'!P9="Kapatıldı",'ŞİKAYET KAYIT'!A9,""),"")</f>
        <v/>
      </c>
      <c r="B9" s="8" t="str">
        <f>IFERROR(IF('ŞİKAYET KAYIT'!P9="Kapatıldı",'ŞİKAYET KAYIT'!B9,""),"")</f>
        <v/>
      </c>
      <c r="C9" s="26" t="str">
        <f>IFERROR(IF('ŞİKAYET KAYIT'!P9="Kapatıldı",'ŞİKAYET KAYIT'!D9,""),"")</f>
        <v/>
      </c>
      <c r="D9" s="26" t="str">
        <f>IFERROR(IF('ŞİKAYET KAYIT'!P9="Kapatıldı",'ŞİKAYET KAYIT'!F9,""),"")</f>
        <v/>
      </c>
      <c r="E9" s="26" t="str">
        <f>IFERROR(IF('ŞİKAYET KAYIT'!P9="Kapatıldı",'ŞİKAYET KAYIT'!H9,""),"")</f>
        <v/>
      </c>
      <c r="F9" s="26" t="str">
        <f>IFERROR(IF('ŞİKAYET KAYIT'!P9="Kapatıldı",'ŞİKAYET KAYIT'!J9,""),"")</f>
        <v/>
      </c>
      <c r="G9" s="26" t="str">
        <f>IFERROR(IF('ŞİKAYET KAYIT'!P9="Kapatıldı",'ŞİKAYET KAYIT'!K9,""),"")</f>
        <v/>
      </c>
      <c r="H9" s="26" t="str">
        <f>IFERROR(IF('ŞİKAYET KAYIT'!P9="Kapatıldı",'ŞİKAYET KAYIT'!L9,""),"")</f>
        <v/>
      </c>
      <c r="I9" s="26" t="str">
        <f>IFERROR(IF('ŞİKAYET KAYIT'!P9="Kapatıldı",'ŞİKAYET KAYIT'!M9,""),"")</f>
        <v/>
      </c>
      <c r="J9" s="26" t="str">
        <f>IFERROR(IF('ŞİKAYET KAYIT'!P9="Kapatıldı",'ŞİKAYET KAYIT'!N9,""),"")</f>
        <v/>
      </c>
      <c r="K9" s="26" t="str">
        <f>IFERROR(IF('ŞİKAYET KAYIT'!P9="Kapatıldı",'ŞİKAYET KAYIT'!O9,""),"")</f>
        <v/>
      </c>
      <c r="L9" s="8" t="str">
        <f>IFERROR(IF('ŞİKAYET KAYIT'!P9="Kapatıldı",'ŞİKAYET KAYIT'!Q9,""),"")</f>
        <v/>
      </c>
      <c r="M9" s="26" t="str">
        <f>IFERROR(IF('ŞİKAYET KAYIT'!P9="Kapatıldı",'ŞİKAYET KAYIT'!R9,""),"")</f>
        <v/>
      </c>
      <c r="N9" s="26"/>
    </row>
    <row r="10" spans="1:14" ht="15" customHeight="1" x14ac:dyDescent="0.3">
      <c r="A10" s="11" t="str">
        <f>IFERROR(IF('ŞİKAYET KAYIT'!P10="Kapatıldı",'ŞİKAYET KAYIT'!A10,""),"")</f>
        <v/>
      </c>
      <c r="B10" s="12" t="str">
        <f>IFERROR(IF('ŞİKAYET KAYIT'!P10="Kapatıldı",'ŞİKAYET KAYIT'!B10,""),"")</f>
        <v/>
      </c>
      <c r="C10" s="11" t="str">
        <f>IFERROR(IF('ŞİKAYET KAYIT'!P10="Kapatıldı",'ŞİKAYET KAYIT'!D10,""),"")</f>
        <v/>
      </c>
      <c r="D10" s="11" t="str">
        <f>IFERROR(IF('ŞİKAYET KAYIT'!P10="Kapatıldı",'ŞİKAYET KAYIT'!F10,""),"")</f>
        <v/>
      </c>
      <c r="E10" s="11" t="str">
        <f>IFERROR(IF('ŞİKAYET KAYIT'!P10="Kapatıldı",'ŞİKAYET KAYIT'!H10,""),"")</f>
        <v/>
      </c>
      <c r="F10" s="11" t="str">
        <f>IFERROR(IF('ŞİKAYET KAYIT'!P10="Kapatıldı",'ŞİKAYET KAYIT'!J10,""),"")</f>
        <v/>
      </c>
      <c r="G10" s="11" t="str">
        <f>IFERROR(IF('ŞİKAYET KAYIT'!P10="Kapatıldı",'ŞİKAYET KAYIT'!K10,""),"")</f>
        <v/>
      </c>
      <c r="H10" s="11" t="str">
        <f>IFERROR(IF('ŞİKAYET KAYIT'!P10="Kapatıldı",'ŞİKAYET KAYIT'!L10,""),"")</f>
        <v/>
      </c>
      <c r="I10" s="11" t="str">
        <f>IFERROR(IF('ŞİKAYET KAYIT'!P10="Kapatıldı",'ŞİKAYET KAYIT'!M10,""),"")</f>
        <v/>
      </c>
      <c r="J10" s="11" t="str">
        <f>IFERROR(IF('ŞİKAYET KAYIT'!P10="Kapatıldı",'ŞİKAYET KAYIT'!N10,""),"")</f>
        <v/>
      </c>
      <c r="K10" s="11" t="str">
        <f>IFERROR(IF('ŞİKAYET KAYIT'!P10="Kapatıldı",'ŞİKAYET KAYIT'!O10,""),"")</f>
        <v/>
      </c>
      <c r="L10" s="12" t="str">
        <f>IFERROR(IF('ŞİKAYET KAYIT'!P10="Kapatıldı",'ŞİKAYET KAYIT'!Q10,""),"")</f>
        <v/>
      </c>
      <c r="M10" s="11" t="str">
        <f>IFERROR(IF('ŞİKAYET KAYIT'!P10="Kapatıldı",'ŞİKAYET KAYIT'!R10,""),"")</f>
        <v/>
      </c>
      <c r="N10" s="11"/>
    </row>
    <row r="11" spans="1:14" ht="15" customHeight="1" x14ac:dyDescent="0.3">
      <c r="A11" s="26" t="str">
        <f>IFERROR(IF('ŞİKAYET KAYIT'!P11="Kapatıldı",'ŞİKAYET KAYIT'!A11,""),"")</f>
        <v/>
      </c>
      <c r="B11" s="8" t="str">
        <f>IFERROR(IF('ŞİKAYET KAYIT'!P11="Kapatıldı",'ŞİKAYET KAYIT'!B11,""),"")</f>
        <v/>
      </c>
      <c r="C11" s="26" t="str">
        <f>IFERROR(IF('ŞİKAYET KAYIT'!P11="Kapatıldı",'ŞİKAYET KAYIT'!D11,""),"")</f>
        <v/>
      </c>
      <c r="D11" s="26" t="str">
        <f>IFERROR(IF('ŞİKAYET KAYIT'!P11="Kapatıldı",'ŞİKAYET KAYIT'!F11,""),"")</f>
        <v/>
      </c>
      <c r="E11" s="26" t="str">
        <f>IFERROR(IF('ŞİKAYET KAYIT'!P11="Kapatıldı",'ŞİKAYET KAYIT'!H11,""),"")</f>
        <v/>
      </c>
      <c r="F11" s="26" t="str">
        <f>IFERROR(IF('ŞİKAYET KAYIT'!P11="Kapatıldı",'ŞİKAYET KAYIT'!J11,""),"")</f>
        <v/>
      </c>
      <c r="G11" s="26" t="str">
        <f>IFERROR(IF('ŞİKAYET KAYIT'!P11="Kapatıldı",'ŞİKAYET KAYIT'!K11,""),"")</f>
        <v/>
      </c>
      <c r="H11" s="26" t="str">
        <f>IFERROR(IF('ŞİKAYET KAYIT'!P11="Kapatıldı",'ŞİKAYET KAYIT'!L11,""),"")</f>
        <v/>
      </c>
      <c r="I11" s="26" t="str">
        <f>IFERROR(IF('ŞİKAYET KAYIT'!P11="Kapatıldı",'ŞİKAYET KAYIT'!M11,""),"")</f>
        <v/>
      </c>
      <c r="J11" s="26" t="str">
        <f>IFERROR(IF('ŞİKAYET KAYIT'!P11="Kapatıldı",'ŞİKAYET KAYIT'!N11,""),"")</f>
        <v/>
      </c>
      <c r="K11" s="26" t="str">
        <f>IFERROR(IF('ŞİKAYET KAYIT'!P11="Kapatıldı",'ŞİKAYET KAYIT'!O11,""),"")</f>
        <v/>
      </c>
      <c r="L11" s="8" t="str">
        <f>IFERROR(IF('ŞİKAYET KAYIT'!P11="Kapatıldı",'ŞİKAYET KAYIT'!Q11,""),"")</f>
        <v/>
      </c>
      <c r="M11" s="26" t="str">
        <f>IFERROR(IF('ŞİKAYET KAYIT'!P11="Kapatıldı",'ŞİKAYET KAYIT'!R11,""),"")</f>
        <v/>
      </c>
      <c r="N11" s="26"/>
    </row>
    <row r="12" spans="1:14" ht="15" customHeight="1" x14ac:dyDescent="0.3">
      <c r="A12" s="11" t="str">
        <f>IFERROR(IF('ŞİKAYET KAYIT'!P12="Kapatıldı",'ŞİKAYET KAYIT'!A12,""),"")</f>
        <v/>
      </c>
      <c r="B12" s="12" t="str">
        <f>IFERROR(IF('ŞİKAYET KAYIT'!P12="Kapatıldı",'ŞİKAYET KAYIT'!B12,""),"")</f>
        <v/>
      </c>
      <c r="C12" s="11" t="str">
        <f>IFERROR(IF('ŞİKAYET KAYIT'!P12="Kapatıldı",'ŞİKAYET KAYIT'!D12,""),"")</f>
        <v/>
      </c>
      <c r="D12" s="11" t="str">
        <f>IFERROR(IF('ŞİKAYET KAYIT'!P12="Kapatıldı",'ŞİKAYET KAYIT'!F12,""),"")</f>
        <v/>
      </c>
      <c r="E12" s="11" t="str">
        <f>IFERROR(IF('ŞİKAYET KAYIT'!P12="Kapatıldı",'ŞİKAYET KAYIT'!H12,""),"")</f>
        <v/>
      </c>
      <c r="F12" s="11" t="str">
        <f>IFERROR(IF('ŞİKAYET KAYIT'!P12="Kapatıldı",'ŞİKAYET KAYIT'!J12,""),"")</f>
        <v/>
      </c>
      <c r="G12" s="11" t="str">
        <f>IFERROR(IF('ŞİKAYET KAYIT'!P12="Kapatıldı",'ŞİKAYET KAYIT'!K12,""),"")</f>
        <v/>
      </c>
      <c r="H12" s="11" t="str">
        <f>IFERROR(IF('ŞİKAYET KAYIT'!P12="Kapatıldı",'ŞİKAYET KAYIT'!L12,""),"")</f>
        <v/>
      </c>
      <c r="I12" s="11" t="str">
        <f>IFERROR(IF('ŞİKAYET KAYIT'!P12="Kapatıldı",'ŞİKAYET KAYIT'!M12,""),"")</f>
        <v/>
      </c>
      <c r="J12" s="11" t="str">
        <f>IFERROR(IF('ŞİKAYET KAYIT'!P12="Kapatıldı",'ŞİKAYET KAYIT'!N12,""),"")</f>
        <v/>
      </c>
      <c r="K12" s="11" t="str">
        <f>IFERROR(IF('ŞİKAYET KAYIT'!P12="Kapatıldı",'ŞİKAYET KAYIT'!O12,""),"")</f>
        <v/>
      </c>
      <c r="L12" s="12" t="str">
        <f>IFERROR(IF('ŞİKAYET KAYIT'!P12="Kapatıldı",'ŞİKAYET KAYIT'!Q12,""),"")</f>
        <v/>
      </c>
      <c r="M12" s="11" t="str">
        <f>IFERROR(IF('ŞİKAYET KAYIT'!P12="Kapatıldı",'ŞİKAYET KAYIT'!R12,""),"")</f>
        <v/>
      </c>
      <c r="N12" s="11"/>
    </row>
    <row r="13" spans="1:14" ht="15" customHeight="1" x14ac:dyDescent="0.3">
      <c r="A13" s="26" t="str">
        <f>IFERROR(IF('ŞİKAYET KAYIT'!P13="Kapatıldı",'ŞİKAYET KAYIT'!A13,""),"")</f>
        <v/>
      </c>
      <c r="B13" s="8" t="str">
        <f>IFERROR(IF('ŞİKAYET KAYIT'!P13="Kapatıldı",'ŞİKAYET KAYIT'!B13,""),"")</f>
        <v/>
      </c>
      <c r="C13" s="26" t="str">
        <f>IFERROR(IF('ŞİKAYET KAYIT'!P13="Kapatıldı",'ŞİKAYET KAYIT'!D13,""),"")</f>
        <v/>
      </c>
      <c r="D13" s="26" t="str">
        <f>IFERROR(IF('ŞİKAYET KAYIT'!P13="Kapatıldı",'ŞİKAYET KAYIT'!F13,""),"")</f>
        <v/>
      </c>
      <c r="E13" s="26" t="str">
        <f>IFERROR(IF('ŞİKAYET KAYIT'!P13="Kapatıldı",'ŞİKAYET KAYIT'!H13,""),"")</f>
        <v/>
      </c>
      <c r="F13" s="26" t="str">
        <f>IFERROR(IF('ŞİKAYET KAYIT'!P13="Kapatıldı",'ŞİKAYET KAYIT'!J13,""),"")</f>
        <v/>
      </c>
      <c r="G13" s="26" t="str">
        <f>IFERROR(IF('ŞİKAYET KAYIT'!P13="Kapatıldı",'ŞİKAYET KAYIT'!K13,""),"")</f>
        <v/>
      </c>
      <c r="H13" s="26" t="str">
        <f>IFERROR(IF('ŞİKAYET KAYIT'!P13="Kapatıldı",'ŞİKAYET KAYIT'!L13,""),"")</f>
        <v/>
      </c>
      <c r="I13" s="26" t="str">
        <f>IFERROR(IF('ŞİKAYET KAYIT'!P13="Kapatıldı",'ŞİKAYET KAYIT'!M13,""),"")</f>
        <v/>
      </c>
      <c r="J13" s="26" t="str">
        <f>IFERROR(IF('ŞİKAYET KAYIT'!P13="Kapatıldı",'ŞİKAYET KAYIT'!N13,""),"")</f>
        <v/>
      </c>
      <c r="K13" s="26" t="str">
        <f>IFERROR(IF('ŞİKAYET KAYIT'!P13="Kapatıldı",'ŞİKAYET KAYIT'!O13,""),"")</f>
        <v/>
      </c>
      <c r="L13" s="8" t="str">
        <f>IFERROR(IF('ŞİKAYET KAYIT'!P13="Kapatıldı",'ŞİKAYET KAYIT'!Q13,""),"")</f>
        <v/>
      </c>
      <c r="M13" s="26" t="str">
        <f>IFERROR(IF('ŞİKAYET KAYIT'!P13="Kapatıldı",'ŞİKAYET KAYIT'!R13,""),"")</f>
        <v/>
      </c>
      <c r="N13" s="26"/>
    </row>
    <row r="14" spans="1:14" ht="15" customHeight="1" x14ac:dyDescent="0.3">
      <c r="A14" s="11" t="str">
        <f>IFERROR(IF('ŞİKAYET KAYIT'!P14="Kapatıldı",'ŞİKAYET KAYIT'!A14,""),"")</f>
        <v/>
      </c>
      <c r="B14" s="12" t="str">
        <f>IFERROR(IF('ŞİKAYET KAYIT'!P14="Kapatıldı",'ŞİKAYET KAYIT'!B14,""),"")</f>
        <v/>
      </c>
      <c r="C14" s="11" t="str">
        <f>IFERROR(IF('ŞİKAYET KAYIT'!P14="Kapatıldı",'ŞİKAYET KAYIT'!D14,""),"")</f>
        <v/>
      </c>
      <c r="D14" s="11" t="str">
        <f>IFERROR(IF('ŞİKAYET KAYIT'!P14="Kapatıldı",'ŞİKAYET KAYIT'!F14,""),"")</f>
        <v/>
      </c>
      <c r="E14" s="11" t="str">
        <f>IFERROR(IF('ŞİKAYET KAYIT'!P14="Kapatıldı",'ŞİKAYET KAYIT'!H14,""),"")</f>
        <v/>
      </c>
      <c r="F14" s="11" t="str">
        <f>IFERROR(IF('ŞİKAYET KAYIT'!P14="Kapatıldı",'ŞİKAYET KAYIT'!J14,""),"")</f>
        <v/>
      </c>
      <c r="G14" s="11" t="str">
        <f>IFERROR(IF('ŞİKAYET KAYIT'!P14="Kapatıldı",'ŞİKAYET KAYIT'!K14,""),"")</f>
        <v/>
      </c>
      <c r="H14" s="11" t="str">
        <f>IFERROR(IF('ŞİKAYET KAYIT'!P14="Kapatıldı",'ŞİKAYET KAYIT'!L14,""),"")</f>
        <v/>
      </c>
      <c r="I14" s="11" t="str">
        <f>IFERROR(IF('ŞİKAYET KAYIT'!P14="Kapatıldı",'ŞİKAYET KAYIT'!M14,""),"")</f>
        <v/>
      </c>
      <c r="J14" s="11" t="str">
        <f>IFERROR(IF('ŞİKAYET KAYIT'!P14="Kapatıldı",'ŞİKAYET KAYIT'!N14,""),"")</f>
        <v/>
      </c>
      <c r="K14" s="11" t="str">
        <f>IFERROR(IF('ŞİKAYET KAYIT'!P14="Kapatıldı",'ŞİKAYET KAYIT'!O14,""),"")</f>
        <v/>
      </c>
      <c r="L14" s="12" t="str">
        <f>IFERROR(IF('ŞİKAYET KAYIT'!P14="Kapatıldı",'ŞİKAYET KAYIT'!Q14,""),"")</f>
        <v/>
      </c>
      <c r="M14" s="11" t="str">
        <f>IFERROR(IF('ŞİKAYET KAYIT'!P14="Kapatıldı",'ŞİKAYET KAYIT'!R14,""),"")</f>
        <v/>
      </c>
      <c r="N14" s="11"/>
    </row>
    <row r="15" spans="1:14" ht="15" customHeight="1" x14ac:dyDescent="0.3">
      <c r="A15" s="26" t="str">
        <f>IFERROR(IF('ŞİKAYET KAYIT'!P15="Kapatıldı",'ŞİKAYET KAYIT'!A15,""),"")</f>
        <v/>
      </c>
      <c r="B15" s="8" t="str">
        <f>IFERROR(IF('ŞİKAYET KAYIT'!P15="Kapatıldı",'ŞİKAYET KAYIT'!B15,""),"")</f>
        <v/>
      </c>
      <c r="C15" s="26" t="str">
        <f>IFERROR(IF('ŞİKAYET KAYIT'!P15="Kapatıldı",'ŞİKAYET KAYIT'!D15,""),"")</f>
        <v/>
      </c>
      <c r="D15" s="26" t="str">
        <f>IFERROR(IF('ŞİKAYET KAYIT'!P15="Kapatıldı",'ŞİKAYET KAYIT'!F15,""),"")</f>
        <v/>
      </c>
      <c r="E15" s="26" t="str">
        <f>IFERROR(IF('ŞİKAYET KAYIT'!P15="Kapatıldı",'ŞİKAYET KAYIT'!H15,""),"")</f>
        <v/>
      </c>
      <c r="F15" s="26" t="str">
        <f>IFERROR(IF('ŞİKAYET KAYIT'!P15="Kapatıldı",'ŞİKAYET KAYIT'!J15,""),"")</f>
        <v/>
      </c>
      <c r="G15" s="26" t="str">
        <f>IFERROR(IF('ŞİKAYET KAYIT'!P15="Kapatıldı",'ŞİKAYET KAYIT'!K15,""),"")</f>
        <v/>
      </c>
      <c r="H15" s="26" t="str">
        <f>IFERROR(IF('ŞİKAYET KAYIT'!P15="Kapatıldı",'ŞİKAYET KAYIT'!L15,""),"")</f>
        <v/>
      </c>
      <c r="I15" s="26" t="str">
        <f>IFERROR(IF('ŞİKAYET KAYIT'!P15="Kapatıldı",'ŞİKAYET KAYIT'!M15,""),"")</f>
        <v/>
      </c>
      <c r="J15" s="26" t="str">
        <f>IFERROR(IF('ŞİKAYET KAYIT'!P15="Kapatıldı",'ŞİKAYET KAYIT'!N15,""),"")</f>
        <v/>
      </c>
      <c r="K15" s="26" t="str">
        <f>IFERROR(IF('ŞİKAYET KAYIT'!P15="Kapatıldı",'ŞİKAYET KAYIT'!O15,""),"")</f>
        <v/>
      </c>
      <c r="L15" s="8" t="str">
        <f>IFERROR(IF('ŞİKAYET KAYIT'!P15="Kapatıldı",'ŞİKAYET KAYIT'!Q15,""),"")</f>
        <v/>
      </c>
      <c r="M15" s="26" t="str">
        <f>IFERROR(IF('ŞİKAYET KAYIT'!P15="Kapatıldı",'ŞİKAYET KAYIT'!R15,""),"")</f>
        <v/>
      </c>
      <c r="N15" s="26"/>
    </row>
    <row r="16" spans="1:14" ht="15" customHeight="1" x14ac:dyDescent="0.3">
      <c r="A16" s="11" t="str">
        <f>IFERROR(IF('ŞİKAYET KAYIT'!P16="Kapatıldı",'ŞİKAYET KAYIT'!A16,""),"")</f>
        <v/>
      </c>
      <c r="B16" s="12" t="str">
        <f>IFERROR(IF('ŞİKAYET KAYIT'!P16="Kapatıldı",'ŞİKAYET KAYIT'!B16,""),"")</f>
        <v/>
      </c>
      <c r="C16" s="11" t="str">
        <f>IFERROR(IF('ŞİKAYET KAYIT'!P16="Kapatıldı",'ŞİKAYET KAYIT'!D16,""),"")</f>
        <v/>
      </c>
      <c r="D16" s="11" t="str">
        <f>IFERROR(IF('ŞİKAYET KAYIT'!P16="Kapatıldı",'ŞİKAYET KAYIT'!F16,""),"")</f>
        <v/>
      </c>
      <c r="E16" s="11" t="str">
        <f>IFERROR(IF('ŞİKAYET KAYIT'!P16="Kapatıldı",'ŞİKAYET KAYIT'!H16,""),"")</f>
        <v/>
      </c>
      <c r="F16" s="11" t="str">
        <f>IFERROR(IF('ŞİKAYET KAYIT'!P16="Kapatıldı",'ŞİKAYET KAYIT'!J16,""),"")</f>
        <v/>
      </c>
      <c r="G16" s="11" t="str">
        <f>IFERROR(IF('ŞİKAYET KAYIT'!P16="Kapatıldı",'ŞİKAYET KAYIT'!K16,""),"")</f>
        <v/>
      </c>
      <c r="H16" s="11" t="str">
        <f>IFERROR(IF('ŞİKAYET KAYIT'!P16="Kapatıldı",'ŞİKAYET KAYIT'!L16,""),"")</f>
        <v/>
      </c>
      <c r="I16" s="11" t="str">
        <f>IFERROR(IF('ŞİKAYET KAYIT'!P16="Kapatıldı",'ŞİKAYET KAYIT'!M16,""),"")</f>
        <v/>
      </c>
      <c r="J16" s="11" t="str">
        <f>IFERROR(IF('ŞİKAYET KAYIT'!P16="Kapatıldı",'ŞİKAYET KAYIT'!N16,""),"")</f>
        <v/>
      </c>
      <c r="K16" s="11" t="str">
        <f>IFERROR(IF('ŞİKAYET KAYIT'!P16="Kapatıldı",'ŞİKAYET KAYIT'!O16,""),"")</f>
        <v/>
      </c>
      <c r="L16" s="12" t="str">
        <f>IFERROR(IF('ŞİKAYET KAYIT'!P16="Kapatıldı",'ŞİKAYET KAYIT'!Q16,""),"")</f>
        <v/>
      </c>
      <c r="M16" s="11" t="str">
        <f>IFERROR(IF('ŞİKAYET KAYIT'!P16="Kapatıldı",'ŞİKAYET KAYIT'!R16,""),"")</f>
        <v/>
      </c>
      <c r="N16" s="11"/>
    </row>
    <row r="17" spans="1:14" ht="15" customHeight="1" x14ac:dyDescent="0.3">
      <c r="A17" s="26" t="str">
        <f>IFERROR(IF('ŞİKAYET KAYIT'!P17="Kapatıldı",'ŞİKAYET KAYIT'!A17,""),"")</f>
        <v/>
      </c>
      <c r="B17" s="8" t="str">
        <f>IFERROR(IF('ŞİKAYET KAYIT'!P17="Kapatıldı",'ŞİKAYET KAYIT'!B17,""),"")</f>
        <v/>
      </c>
      <c r="C17" s="26" t="str">
        <f>IFERROR(IF('ŞİKAYET KAYIT'!P17="Kapatıldı",'ŞİKAYET KAYIT'!D17,""),"")</f>
        <v/>
      </c>
      <c r="D17" s="26" t="str">
        <f>IFERROR(IF('ŞİKAYET KAYIT'!P17="Kapatıldı",'ŞİKAYET KAYIT'!F17,""),"")</f>
        <v/>
      </c>
      <c r="E17" s="26" t="str">
        <f>IFERROR(IF('ŞİKAYET KAYIT'!P17="Kapatıldı",'ŞİKAYET KAYIT'!H17,""),"")</f>
        <v/>
      </c>
      <c r="F17" s="26" t="str">
        <f>IFERROR(IF('ŞİKAYET KAYIT'!P17="Kapatıldı",'ŞİKAYET KAYIT'!J17,""),"")</f>
        <v/>
      </c>
      <c r="G17" s="26" t="str">
        <f>IFERROR(IF('ŞİKAYET KAYIT'!P17="Kapatıldı",'ŞİKAYET KAYIT'!K17,""),"")</f>
        <v/>
      </c>
      <c r="H17" s="26" t="str">
        <f>IFERROR(IF('ŞİKAYET KAYIT'!P17="Kapatıldı",'ŞİKAYET KAYIT'!L17,""),"")</f>
        <v/>
      </c>
      <c r="I17" s="26" t="str">
        <f>IFERROR(IF('ŞİKAYET KAYIT'!P17="Kapatıldı",'ŞİKAYET KAYIT'!M17,""),"")</f>
        <v/>
      </c>
      <c r="J17" s="26" t="str">
        <f>IFERROR(IF('ŞİKAYET KAYIT'!P17="Kapatıldı",'ŞİKAYET KAYIT'!N17,""),"")</f>
        <v/>
      </c>
      <c r="K17" s="26" t="str">
        <f>IFERROR(IF('ŞİKAYET KAYIT'!P17="Kapatıldı",'ŞİKAYET KAYIT'!O17,""),"")</f>
        <v/>
      </c>
      <c r="L17" s="8" t="str">
        <f>IFERROR(IF('ŞİKAYET KAYIT'!P17="Kapatıldı",'ŞİKAYET KAYIT'!Q17,""),"")</f>
        <v/>
      </c>
      <c r="M17" s="26" t="str">
        <f>IFERROR(IF('ŞİKAYET KAYIT'!P17="Kapatıldı",'ŞİKAYET KAYIT'!R17,""),"")</f>
        <v/>
      </c>
      <c r="N17" s="26"/>
    </row>
    <row r="18" spans="1:14" ht="15" customHeight="1" x14ac:dyDescent="0.3">
      <c r="A18" s="11" t="str">
        <f>IFERROR(IF('ŞİKAYET KAYIT'!P18="Kapatıldı",'ŞİKAYET KAYIT'!A18,""),"")</f>
        <v/>
      </c>
      <c r="B18" s="12" t="str">
        <f>IFERROR(IF('ŞİKAYET KAYIT'!P18="Kapatıldı",'ŞİKAYET KAYIT'!B18,""),"")</f>
        <v/>
      </c>
      <c r="C18" s="11" t="str">
        <f>IFERROR(IF('ŞİKAYET KAYIT'!P18="Kapatıldı",'ŞİKAYET KAYIT'!D18,""),"")</f>
        <v/>
      </c>
      <c r="D18" s="11" t="str">
        <f>IFERROR(IF('ŞİKAYET KAYIT'!P18="Kapatıldı",'ŞİKAYET KAYIT'!F18,""),"")</f>
        <v/>
      </c>
      <c r="E18" s="11" t="str">
        <f>IFERROR(IF('ŞİKAYET KAYIT'!P18="Kapatıldı",'ŞİKAYET KAYIT'!H18,""),"")</f>
        <v/>
      </c>
      <c r="F18" s="11" t="str">
        <f>IFERROR(IF('ŞİKAYET KAYIT'!P18="Kapatıldı",'ŞİKAYET KAYIT'!J18,""),"")</f>
        <v/>
      </c>
      <c r="G18" s="11" t="str">
        <f>IFERROR(IF('ŞİKAYET KAYIT'!P18="Kapatıldı",'ŞİKAYET KAYIT'!K18,""),"")</f>
        <v/>
      </c>
      <c r="H18" s="11" t="str">
        <f>IFERROR(IF('ŞİKAYET KAYIT'!P18="Kapatıldı",'ŞİKAYET KAYIT'!L18,""),"")</f>
        <v/>
      </c>
      <c r="I18" s="11" t="str">
        <f>IFERROR(IF('ŞİKAYET KAYIT'!P18="Kapatıldı",'ŞİKAYET KAYIT'!M18,""),"")</f>
        <v/>
      </c>
      <c r="J18" s="11" t="str">
        <f>IFERROR(IF('ŞİKAYET KAYIT'!P18="Kapatıldı",'ŞİKAYET KAYIT'!N18,""),"")</f>
        <v/>
      </c>
      <c r="K18" s="11" t="str">
        <f>IFERROR(IF('ŞİKAYET KAYIT'!P18="Kapatıldı",'ŞİKAYET KAYIT'!O18,""),"")</f>
        <v/>
      </c>
      <c r="L18" s="12" t="str">
        <f>IFERROR(IF('ŞİKAYET KAYIT'!P18="Kapatıldı",'ŞİKAYET KAYIT'!Q18,""),"")</f>
        <v/>
      </c>
      <c r="M18" s="11" t="str">
        <f>IFERROR(IF('ŞİKAYET KAYIT'!P18="Kapatıldı",'ŞİKAYET KAYIT'!R18,""),"")</f>
        <v/>
      </c>
      <c r="N18" s="11"/>
    </row>
    <row r="19" spans="1:14" ht="15" customHeight="1" x14ac:dyDescent="0.3">
      <c r="A19" s="26" t="str">
        <f>IFERROR(IF('ŞİKAYET KAYIT'!P19="Kapatıldı",'ŞİKAYET KAYIT'!A19,""),"")</f>
        <v/>
      </c>
      <c r="B19" s="8" t="str">
        <f>IFERROR(IF('ŞİKAYET KAYIT'!P19="Kapatıldı",'ŞİKAYET KAYIT'!B19,""),"")</f>
        <v/>
      </c>
      <c r="C19" s="26" t="str">
        <f>IFERROR(IF('ŞİKAYET KAYIT'!P19="Kapatıldı",'ŞİKAYET KAYIT'!D19,""),"")</f>
        <v/>
      </c>
      <c r="D19" s="26" t="str">
        <f>IFERROR(IF('ŞİKAYET KAYIT'!P19="Kapatıldı",'ŞİKAYET KAYIT'!F19,""),"")</f>
        <v/>
      </c>
      <c r="E19" s="26" t="str">
        <f>IFERROR(IF('ŞİKAYET KAYIT'!P19="Kapatıldı",'ŞİKAYET KAYIT'!H19,""),"")</f>
        <v/>
      </c>
      <c r="F19" s="26" t="str">
        <f>IFERROR(IF('ŞİKAYET KAYIT'!P19="Kapatıldı",'ŞİKAYET KAYIT'!J19,""),"")</f>
        <v/>
      </c>
      <c r="G19" s="26" t="str">
        <f>IFERROR(IF('ŞİKAYET KAYIT'!P19="Kapatıldı",'ŞİKAYET KAYIT'!K19,""),"")</f>
        <v/>
      </c>
      <c r="H19" s="26" t="str">
        <f>IFERROR(IF('ŞİKAYET KAYIT'!P19="Kapatıldı",'ŞİKAYET KAYIT'!L19,""),"")</f>
        <v/>
      </c>
      <c r="I19" s="26" t="str">
        <f>IFERROR(IF('ŞİKAYET KAYIT'!P19="Kapatıldı",'ŞİKAYET KAYIT'!M19,""),"")</f>
        <v/>
      </c>
      <c r="J19" s="26" t="str">
        <f>IFERROR(IF('ŞİKAYET KAYIT'!P19="Kapatıldı",'ŞİKAYET KAYIT'!N19,""),"")</f>
        <v/>
      </c>
      <c r="K19" s="26" t="str">
        <f>IFERROR(IF('ŞİKAYET KAYIT'!P19="Kapatıldı",'ŞİKAYET KAYIT'!O19,""),"")</f>
        <v/>
      </c>
      <c r="L19" s="8" t="str">
        <f>IFERROR(IF('ŞİKAYET KAYIT'!P19="Kapatıldı",'ŞİKAYET KAYIT'!Q19,""),"")</f>
        <v/>
      </c>
      <c r="M19" s="26" t="str">
        <f>IFERROR(IF('ŞİKAYET KAYIT'!P19="Kapatıldı",'ŞİKAYET KAYIT'!R19,""),"")</f>
        <v/>
      </c>
      <c r="N19" s="26"/>
    </row>
    <row r="20" spans="1:14" ht="15" customHeight="1" x14ac:dyDescent="0.3">
      <c r="A20" s="11" t="str">
        <f>IFERROR(IF('ŞİKAYET KAYIT'!P20="Kapatıldı",'ŞİKAYET KAYIT'!A20,""),"")</f>
        <v/>
      </c>
      <c r="B20" s="12" t="str">
        <f>IFERROR(IF('ŞİKAYET KAYIT'!P20="Kapatıldı",'ŞİKAYET KAYIT'!B20,""),"")</f>
        <v/>
      </c>
      <c r="C20" s="11" t="str">
        <f>IFERROR(IF('ŞİKAYET KAYIT'!P20="Kapatıldı",'ŞİKAYET KAYIT'!D20,""),"")</f>
        <v/>
      </c>
      <c r="D20" s="11" t="str">
        <f>IFERROR(IF('ŞİKAYET KAYIT'!P20="Kapatıldı",'ŞİKAYET KAYIT'!F20,""),"")</f>
        <v/>
      </c>
      <c r="E20" s="11" t="str">
        <f>IFERROR(IF('ŞİKAYET KAYIT'!P20="Kapatıldı",'ŞİKAYET KAYIT'!H20,""),"")</f>
        <v/>
      </c>
      <c r="F20" s="11" t="str">
        <f>IFERROR(IF('ŞİKAYET KAYIT'!P20="Kapatıldı",'ŞİKAYET KAYIT'!J20,""),"")</f>
        <v/>
      </c>
      <c r="G20" s="11" t="str">
        <f>IFERROR(IF('ŞİKAYET KAYIT'!P20="Kapatıldı",'ŞİKAYET KAYIT'!K20,""),"")</f>
        <v/>
      </c>
      <c r="H20" s="11" t="str">
        <f>IFERROR(IF('ŞİKAYET KAYIT'!P20="Kapatıldı",'ŞİKAYET KAYIT'!L20,""),"")</f>
        <v/>
      </c>
      <c r="I20" s="11" t="str">
        <f>IFERROR(IF('ŞİKAYET KAYIT'!P20="Kapatıldı",'ŞİKAYET KAYIT'!M20,""),"")</f>
        <v/>
      </c>
      <c r="J20" s="11" t="str">
        <f>IFERROR(IF('ŞİKAYET KAYIT'!P20="Kapatıldı",'ŞİKAYET KAYIT'!N20,""),"")</f>
        <v/>
      </c>
      <c r="K20" s="11" t="str">
        <f>IFERROR(IF('ŞİKAYET KAYIT'!P20="Kapatıldı",'ŞİKAYET KAYIT'!O20,""),"")</f>
        <v/>
      </c>
      <c r="L20" s="12" t="str">
        <f>IFERROR(IF('ŞİKAYET KAYIT'!P20="Kapatıldı",'ŞİKAYET KAYIT'!Q20,""),"")</f>
        <v/>
      </c>
      <c r="M20" s="11" t="str">
        <f>IFERROR(IF('ŞİKAYET KAYIT'!P20="Kapatıldı",'ŞİKAYET KAYIT'!R20,""),"")</f>
        <v/>
      </c>
      <c r="N20" s="11"/>
    </row>
    <row r="21" spans="1:14" ht="15" customHeight="1" x14ac:dyDescent="0.3">
      <c r="A21" s="26" t="str">
        <f>IFERROR(IF('ŞİKAYET KAYIT'!P21="Kapatıldı",'ŞİKAYET KAYIT'!A21,""),"")</f>
        <v/>
      </c>
      <c r="B21" s="8" t="str">
        <f>IFERROR(IF('ŞİKAYET KAYIT'!P21="Kapatıldı",'ŞİKAYET KAYIT'!B21,""),"")</f>
        <v/>
      </c>
      <c r="C21" s="26" t="str">
        <f>IFERROR(IF('ŞİKAYET KAYIT'!P21="Kapatıldı",'ŞİKAYET KAYIT'!D21,""),"")</f>
        <v/>
      </c>
      <c r="D21" s="26" t="str">
        <f>IFERROR(IF('ŞİKAYET KAYIT'!P21="Kapatıldı",'ŞİKAYET KAYIT'!F21,""),"")</f>
        <v/>
      </c>
      <c r="E21" s="26" t="str">
        <f>IFERROR(IF('ŞİKAYET KAYIT'!P21="Kapatıldı",'ŞİKAYET KAYIT'!H21,""),"")</f>
        <v/>
      </c>
      <c r="F21" s="26" t="str">
        <f>IFERROR(IF('ŞİKAYET KAYIT'!P21="Kapatıldı",'ŞİKAYET KAYIT'!J21,""),"")</f>
        <v/>
      </c>
      <c r="G21" s="26" t="str">
        <f>IFERROR(IF('ŞİKAYET KAYIT'!P21="Kapatıldı",'ŞİKAYET KAYIT'!K21,""),"")</f>
        <v/>
      </c>
      <c r="H21" s="26" t="str">
        <f>IFERROR(IF('ŞİKAYET KAYIT'!P21="Kapatıldı",'ŞİKAYET KAYIT'!L21,""),"")</f>
        <v/>
      </c>
      <c r="I21" s="26" t="str">
        <f>IFERROR(IF('ŞİKAYET KAYIT'!P21="Kapatıldı",'ŞİKAYET KAYIT'!M21,""),"")</f>
        <v/>
      </c>
      <c r="J21" s="26" t="str">
        <f>IFERROR(IF('ŞİKAYET KAYIT'!P21="Kapatıldı",'ŞİKAYET KAYIT'!N21,""),"")</f>
        <v/>
      </c>
      <c r="K21" s="26" t="str">
        <f>IFERROR(IF('ŞİKAYET KAYIT'!P21="Kapatıldı",'ŞİKAYET KAYIT'!O21,""),"")</f>
        <v/>
      </c>
      <c r="L21" s="8" t="str">
        <f>IFERROR(IF('ŞİKAYET KAYIT'!P21="Kapatıldı",'ŞİKAYET KAYIT'!Q21,""),"")</f>
        <v/>
      </c>
      <c r="M21" s="26" t="str">
        <f>IFERROR(IF('ŞİKAYET KAYIT'!P21="Kapatıldı",'ŞİKAYET KAYIT'!R21,""),"")</f>
        <v/>
      </c>
      <c r="N21" s="26"/>
    </row>
    <row r="22" spans="1:14" ht="15" customHeight="1" x14ac:dyDescent="0.3">
      <c r="A22" s="11" t="str">
        <f>IFERROR(IF('ŞİKAYET KAYIT'!P22="Kapatıldı",'ŞİKAYET KAYIT'!A22,""),"")</f>
        <v/>
      </c>
      <c r="B22" s="12" t="str">
        <f>IFERROR(IF('ŞİKAYET KAYIT'!P22="Kapatıldı",'ŞİKAYET KAYIT'!B22,""),"")</f>
        <v/>
      </c>
      <c r="C22" s="11" t="str">
        <f>IFERROR(IF('ŞİKAYET KAYIT'!P22="Kapatıldı",'ŞİKAYET KAYIT'!D22,""),"")</f>
        <v/>
      </c>
      <c r="D22" s="11" t="str">
        <f>IFERROR(IF('ŞİKAYET KAYIT'!P22="Kapatıldı",'ŞİKAYET KAYIT'!F22,""),"")</f>
        <v/>
      </c>
      <c r="E22" s="11" t="str">
        <f>IFERROR(IF('ŞİKAYET KAYIT'!P22="Kapatıldı",'ŞİKAYET KAYIT'!H22,""),"")</f>
        <v/>
      </c>
      <c r="F22" s="11" t="str">
        <f>IFERROR(IF('ŞİKAYET KAYIT'!P22="Kapatıldı",'ŞİKAYET KAYIT'!J22,""),"")</f>
        <v/>
      </c>
      <c r="G22" s="11" t="str">
        <f>IFERROR(IF('ŞİKAYET KAYIT'!P22="Kapatıldı",'ŞİKAYET KAYIT'!K22,""),"")</f>
        <v/>
      </c>
      <c r="H22" s="11" t="str">
        <f>IFERROR(IF('ŞİKAYET KAYIT'!P22="Kapatıldı",'ŞİKAYET KAYIT'!L22,""),"")</f>
        <v/>
      </c>
      <c r="I22" s="11" t="str">
        <f>IFERROR(IF('ŞİKAYET KAYIT'!P22="Kapatıldı",'ŞİKAYET KAYIT'!M22,""),"")</f>
        <v/>
      </c>
      <c r="J22" s="11" t="str">
        <f>IFERROR(IF('ŞİKAYET KAYIT'!P22="Kapatıldı",'ŞİKAYET KAYIT'!N22,""),"")</f>
        <v/>
      </c>
      <c r="K22" s="11" t="str">
        <f>IFERROR(IF('ŞİKAYET KAYIT'!P22="Kapatıldı",'ŞİKAYET KAYIT'!O22,""),"")</f>
        <v/>
      </c>
      <c r="L22" s="12" t="str">
        <f>IFERROR(IF('ŞİKAYET KAYIT'!P22="Kapatıldı",'ŞİKAYET KAYIT'!Q22,""),"")</f>
        <v/>
      </c>
      <c r="M22" s="11" t="str">
        <f>IFERROR(IF('ŞİKAYET KAYIT'!P22="Kapatıldı",'ŞİKAYET KAYIT'!R22,""),"")</f>
        <v/>
      </c>
      <c r="N22" s="11"/>
    </row>
    <row r="23" spans="1:14" ht="15" customHeight="1" x14ac:dyDescent="0.3">
      <c r="A23" s="26" t="str">
        <f>IFERROR(IF('ŞİKAYET KAYIT'!P23="Kapatıldı",'ŞİKAYET KAYIT'!A23,""),"")</f>
        <v/>
      </c>
      <c r="B23" s="8" t="str">
        <f>IFERROR(IF('ŞİKAYET KAYIT'!P23="Kapatıldı",'ŞİKAYET KAYIT'!B23,""),"")</f>
        <v/>
      </c>
      <c r="C23" s="26" t="str">
        <f>IFERROR(IF('ŞİKAYET KAYIT'!P23="Kapatıldı",'ŞİKAYET KAYIT'!D23,""),"")</f>
        <v/>
      </c>
      <c r="D23" s="26" t="str">
        <f>IFERROR(IF('ŞİKAYET KAYIT'!P23="Kapatıldı",'ŞİKAYET KAYIT'!F23,""),"")</f>
        <v/>
      </c>
      <c r="E23" s="26" t="str">
        <f>IFERROR(IF('ŞİKAYET KAYIT'!P23="Kapatıldı",'ŞİKAYET KAYIT'!H23,""),"")</f>
        <v/>
      </c>
      <c r="F23" s="26" t="str">
        <f>IFERROR(IF('ŞİKAYET KAYIT'!P23="Kapatıldı",'ŞİKAYET KAYIT'!J23,""),"")</f>
        <v/>
      </c>
      <c r="G23" s="26" t="str">
        <f>IFERROR(IF('ŞİKAYET KAYIT'!P23="Kapatıldı",'ŞİKAYET KAYIT'!K23,""),"")</f>
        <v/>
      </c>
      <c r="H23" s="26" t="str">
        <f>IFERROR(IF('ŞİKAYET KAYIT'!P23="Kapatıldı",'ŞİKAYET KAYIT'!L23,""),"")</f>
        <v/>
      </c>
      <c r="I23" s="26" t="str">
        <f>IFERROR(IF('ŞİKAYET KAYIT'!P23="Kapatıldı",'ŞİKAYET KAYIT'!M23,""),"")</f>
        <v/>
      </c>
      <c r="J23" s="26" t="str">
        <f>IFERROR(IF('ŞİKAYET KAYIT'!P23="Kapatıldı",'ŞİKAYET KAYIT'!N23,""),"")</f>
        <v/>
      </c>
      <c r="K23" s="26" t="str">
        <f>IFERROR(IF('ŞİKAYET KAYIT'!P23="Kapatıldı",'ŞİKAYET KAYIT'!O23,""),"")</f>
        <v/>
      </c>
      <c r="L23" s="8" t="str">
        <f>IFERROR(IF('ŞİKAYET KAYIT'!P23="Kapatıldı",'ŞİKAYET KAYIT'!Q23,""),"")</f>
        <v/>
      </c>
      <c r="M23" s="26" t="str">
        <f>IFERROR(IF('ŞİKAYET KAYIT'!P23="Kapatıldı",'ŞİKAYET KAYIT'!R23,""),"")</f>
        <v/>
      </c>
      <c r="N23" s="26"/>
    </row>
    <row r="24" spans="1:14" ht="15" customHeight="1" x14ac:dyDescent="0.3">
      <c r="A24" s="11" t="str">
        <f>IFERROR(IF('ŞİKAYET KAYIT'!P24="Kapatıldı",'ŞİKAYET KAYIT'!A24,""),"")</f>
        <v/>
      </c>
      <c r="B24" s="12" t="str">
        <f>IFERROR(IF('ŞİKAYET KAYIT'!P24="Kapatıldı",'ŞİKAYET KAYIT'!B24,""),"")</f>
        <v/>
      </c>
      <c r="C24" s="11" t="str">
        <f>IFERROR(IF('ŞİKAYET KAYIT'!P24="Kapatıldı",'ŞİKAYET KAYIT'!D24,""),"")</f>
        <v/>
      </c>
      <c r="D24" s="11" t="str">
        <f>IFERROR(IF('ŞİKAYET KAYIT'!P24="Kapatıldı",'ŞİKAYET KAYIT'!F24,""),"")</f>
        <v/>
      </c>
      <c r="E24" s="11" t="str">
        <f>IFERROR(IF('ŞİKAYET KAYIT'!P24="Kapatıldı",'ŞİKAYET KAYIT'!H24,""),"")</f>
        <v/>
      </c>
      <c r="F24" s="11" t="str">
        <f>IFERROR(IF('ŞİKAYET KAYIT'!P24="Kapatıldı",'ŞİKAYET KAYIT'!J24,""),"")</f>
        <v/>
      </c>
      <c r="G24" s="11" t="str">
        <f>IFERROR(IF('ŞİKAYET KAYIT'!P24="Kapatıldı",'ŞİKAYET KAYIT'!K24,""),"")</f>
        <v/>
      </c>
      <c r="H24" s="11" t="str">
        <f>IFERROR(IF('ŞİKAYET KAYIT'!P24="Kapatıldı",'ŞİKAYET KAYIT'!L24,""),"")</f>
        <v/>
      </c>
      <c r="I24" s="11" t="str">
        <f>IFERROR(IF('ŞİKAYET KAYIT'!P24="Kapatıldı",'ŞİKAYET KAYIT'!M24,""),"")</f>
        <v/>
      </c>
      <c r="J24" s="11" t="str">
        <f>IFERROR(IF('ŞİKAYET KAYIT'!P24="Kapatıldı",'ŞİKAYET KAYIT'!N24,""),"")</f>
        <v/>
      </c>
      <c r="K24" s="11" t="str">
        <f>IFERROR(IF('ŞİKAYET KAYIT'!P24="Kapatıldı",'ŞİKAYET KAYIT'!O24,""),"")</f>
        <v/>
      </c>
      <c r="L24" s="12" t="str">
        <f>IFERROR(IF('ŞİKAYET KAYIT'!P24="Kapatıldı",'ŞİKAYET KAYIT'!Q24,""),"")</f>
        <v/>
      </c>
      <c r="M24" s="11" t="str">
        <f>IFERROR(IF('ŞİKAYET KAYIT'!P24="Kapatıldı",'ŞİKAYET KAYIT'!R24,""),"")</f>
        <v/>
      </c>
      <c r="N24" s="11"/>
    </row>
    <row r="25" spans="1:14" ht="15" customHeight="1" x14ac:dyDescent="0.3">
      <c r="A25" s="26" t="str">
        <f>IFERROR(IF('ŞİKAYET KAYIT'!P25="Kapatıldı",'ŞİKAYET KAYIT'!A25,""),"")</f>
        <v/>
      </c>
      <c r="B25" s="8" t="str">
        <f>IFERROR(IF('ŞİKAYET KAYIT'!P25="Kapatıldı",'ŞİKAYET KAYIT'!B25,""),"")</f>
        <v/>
      </c>
      <c r="C25" s="26" t="str">
        <f>IFERROR(IF('ŞİKAYET KAYIT'!P25="Kapatıldı",'ŞİKAYET KAYIT'!D25,""),"")</f>
        <v/>
      </c>
      <c r="D25" s="26" t="str">
        <f>IFERROR(IF('ŞİKAYET KAYIT'!P25="Kapatıldı",'ŞİKAYET KAYIT'!F25,""),"")</f>
        <v/>
      </c>
      <c r="E25" s="26" t="str">
        <f>IFERROR(IF('ŞİKAYET KAYIT'!P25="Kapatıldı",'ŞİKAYET KAYIT'!H25,""),"")</f>
        <v/>
      </c>
      <c r="F25" s="26" t="str">
        <f>IFERROR(IF('ŞİKAYET KAYIT'!P25="Kapatıldı",'ŞİKAYET KAYIT'!J25,""),"")</f>
        <v/>
      </c>
      <c r="G25" s="26" t="str">
        <f>IFERROR(IF('ŞİKAYET KAYIT'!P25="Kapatıldı",'ŞİKAYET KAYIT'!K25,""),"")</f>
        <v/>
      </c>
      <c r="H25" s="26" t="str">
        <f>IFERROR(IF('ŞİKAYET KAYIT'!P25="Kapatıldı",'ŞİKAYET KAYIT'!L25,""),"")</f>
        <v/>
      </c>
      <c r="I25" s="26" t="str">
        <f>IFERROR(IF('ŞİKAYET KAYIT'!P25="Kapatıldı",'ŞİKAYET KAYIT'!M25,""),"")</f>
        <v/>
      </c>
      <c r="J25" s="26" t="str">
        <f>IFERROR(IF('ŞİKAYET KAYIT'!P25="Kapatıldı",'ŞİKAYET KAYIT'!N25,""),"")</f>
        <v/>
      </c>
      <c r="K25" s="26" t="str">
        <f>IFERROR(IF('ŞİKAYET KAYIT'!P25="Kapatıldı",'ŞİKAYET KAYIT'!O25,""),"")</f>
        <v/>
      </c>
      <c r="L25" s="8" t="str">
        <f>IFERROR(IF('ŞİKAYET KAYIT'!P25="Kapatıldı",'ŞİKAYET KAYIT'!Q25,""),"")</f>
        <v/>
      </c>
      <c r="M25" s="26" t="str">
        <f>IFERROR(IF('ŞİKAYET KAYIT'!P25="Kapatıldı",'ŞİKAYET KAYIT'!R25,""),"")</f>
        <v/>
      </c>
      <c r="N25" s="26"/>
    </row>
    <row r="26" spans="1:14" ht="15" customHeight="1" x14ac:dyDescent="0.3">
      <c r="A26" s="11" t="str">
        <f>IFERROR(IF('ŞİKAYET KAYIT'!P26="Kapatıldı",'ŞİKAYET KAYIT'!A26,""),"")</f>
        <v/>
      </c>
      <c r="B26" s="12" t="str">
        <f>IFERROR(IF('ŞİKAYET KAYIT'!P26="Kapatıldı",'ŞİKAYET KAYIT'!B26,""),"")</f>
        <v/>
      </c>
      <c r="C26" s="11" t="str">
        <f>IFERROR(IF('ŞİKAYET KAYIT'!P26="Kapatıldı",'ŞİKAYET KAYIT'!D26,""),"")</f>
        <v/>
      </c>
      <c r="D26" s="11" t="str">
        <f>IFERROR(IF('ŞİKAYET KAYIT'!P26="Kapatıldı",'ŞİKAYET KAYIT'!F26,""),"")</f>
        <v/>
      </c>
      <c r="E26" s="11" t="str">
        <f>IFERROR(IF('ŞİKAYET KAYIT'!P26="Kapatıldı",'ŞİKAYET KAYIT'!H26,""),"")</f>
        <v/>
      </c>
      <c r="F26" s="11" t="str">
        <f>IFERROR(IF('ŞİKAYET KAYIT'!P26="Kapatıldı",'ŞİKAYET KAYIT'!J26,""),"")</f>
        <v/>
      </c>
      <c r="G26" s="11" t="str">
        <f>IFERROR(IF('ŞİKAYET KAYIT'!P26="Kapatıldı",'ŞİKAYET KAYIT'!K26,""),"")</f>
        <v/>
      </c>
      <c r="H26" s="11" t="str">
        <f>IFERROR(IF('ŞİKAYET KAYIT'!P26="Kapatıldı",'ŞİKAYET KAYIT'!L26,""),"")</f>
        <v/>
      </c>
      <c r="I26" s="11" t="str">
        <f>IFERROR(IF('ŞİKAYET KAYIT'!P26="Kapatıldı",'ŞİKAYET KAYIT'!M26,""),"")</f>
        <v/>
      </c>
      <c r="J26" s="11" t="str">
        <f>IFERROR(IF('ŞİKAYET KAYIT'!P26="Kapatıldı",'ŞİKAYET KAYIT'!N26,""),"")</f>
        <v/>
      </c>
      <c r="K26" s="11" t="str">
        <f>IFERROR(IF('ŞİKAYET KAYIT'!P26="Kapatıldı",'ŞİKAYET KAYIT'!O26,""),"")</f>
        <v/>
      </c>
      <c r="L26" s="12" t="str">
        <f>IFERROR(IF('ŞİKAYET KAYIT'!P26="Kapatıldı",'ŞİKAYET KAYIT'!Q26,""),"")</f>
        <v/>
      </c>
      <c r="M26" s="11" t="str">
        <f>IFERROR(IF('ŞİKAYET KAYIT'!P26="Kapatıldı",'ŞİKAYET KAYIT'!R26,""),"")</f>
        <v/>
      </c>
      <c r="N26" s="11"/>
    </row>
    <row r="27" spans="1:14" ht="15" customHeight="1" x14ac:dyDescent="0.3">
      <c r="A27" s="26" t="str">
        <f>IFERROR(IF('ŞİKAYET KAYIT'!P27="Kapatıldı",'ŞİKAYET KAYIT'!A27,""),"")</f>
        <v/>
      </c>
      <c r="B27" s="8" t="str">
        <f>IFERROR(IF('ŞİKAYET KAYIT'!P27="Kapatıldı",'ŞİKAYET KAYIT'!B27,""),"")</f>
        <v/>
      </c>
      <c r="C27" s="26" t="str">
        <f>IFERROR(IF('ŞİKAYET KAYIT'!P27="Kapatıldı",'ŞİKAYET KAYIT'!D27,""),"")</f>
        <v/>
      </c>
      <c r="D27" s="26" t="str">
        <f>IFERROR(IF('ŞİKAYET KAYIT'!P27="Kapatıldı",'ŞİKAYET KAYIT'!F27,""),"")</f>
        <v/>
      </c>
      <c r="E27" s="26" t="str">
        <f>IFERROR(IF('ŞİKAYET KAYIT'!P27="Kapatıldı",'ŞİKAYET KAYIT'!H27,""),"")</f>
        <v/>
      </c>
      <c r="F27" s="26" t="str">
        <f>IFERROR(IF('ŞİKAYET KAYIT'!P27="Kapatıldı",'ŞİKAYET KAYIT'!J27,""),"")</f>
        <v/>
      </c>
      <c r="G27" s="26" t="str">
        <f>IFERROR(IF('ŞİKAYET KAYIT'!P27="Kapatıldı",'ŞİKAYET KAYIT'!K27,""),"")</f>
        <v/>
      </c>
      <c r="H27" s="26" t="str">
        <f>IFERROR(IF('ŞİKAYET KAYIT'!P27="Kapatıldı",'ŞİKAYET KAYIT'!L27,""),"")</f>
        <v/>
      </c>
      <c r="I27" s="26" t="str">
        <f>IFERROR(IF('ŞİKAYET KAYIT'!P27="Kapatıldı",'ŞİKAYET KAYIT'!M27,""),"")</f>
        <v/>
      </c>
      <c r="J27" s="26" t="str">
        <f>IFERROR(IF('ŞİKAYET KAYIT'!P27="Kapatıldı",'ŞİKAYET KAYIT'!N27,""),"")</f>
        <v/>
      </c>
      <c r="K27" s="26" t="str">
        <f>IFERROR(IF('ŞİKAYET KAYIT'!P27="Kapatıldı",'ŞİKAYET KAYIT'!O27,""),"")</f>
        <v/>
      </c>
      <c r="L27" s="8" t="str">
        <f>IFERROR(IF('ŞİKAYET KAYIT'!P27="Kapatıldı",'ŞİKAYET KAYIT'!Q27,""),"")</f>
        <v/>
      </c>
      <c r="M27" s="26" t="str">
        <f>IFERROR(IF('ŞİKAYET KAYIT'!P27="Kapatıldı",'ŞİKAYET KAYIT'!R27,""),"")</f>
        <v/>
      </c>
      <c r="N27" s="26"/>
    </row>
    <row r="28" spans="1:14" ht="15" customHeight="1" x14ac:dyDescent="0.3">
      <c r="A28" s="11" t="str">
        <f>IFERROR(IF('ŞİKAYET KAYIT'!P28="Kapatıldı",'ŞİKAYET KAYIT'!A28,""),"")</f>
        <v/>
      </c>
      <c r="B28" s="12" t="str">
        <f>IFERROR(IF('ŞİKAYET KAYIT'!P28="Kapatıldı",'ŞİKAYET KAYIT'!B28,""),"")</f>
        <v/>
      </c>
      <c r="C28" s="11" t="str">
        <f>IFERROR(IF('ŞİKAYET KAYIT'!P28="Kapatıldı",'ŞİKAYET KAYIT'!D28,""),"")</f>
        <v/>
      </c>
      <c r="D28" s="11" t="str">
        <f>IFERROR(IF('ŞİKAYET KAYIT'!P28="Kapatıldı",'ŞİKAYET KAYIT'!F28,""),"")</f>
        <v/>
      </c>
      <c r="E28" s="11" t="str">
        <f>IFERROR(IF('ŞİKAYET KAYIT'!P28="Kapatıldı",'ŞİKAYET KAYIT'!H28,""),"")</f>
        <v/>
      </c>
      <c r="F28" s="11" t="str">
        <f>IFERROR(IF('ŞİKAYET KAYIT'!P28="Kapatıldı",'ŞİKAYET KAYIT'!J28,""),"")</f>
        <v/>
      </c>
      <c r="G28" s="11" t="str">
        <f>IFERROR(IF('ŞİKAYET KAYIT'!P28="Kapatıldı",'ŞİKAYET KAYIT'!K28,""),"")</f>
        <v/>
      </c>
      <c r="H28" s="11" t="str">
        <f>IFERROR(IF('ŞİKAYET KAYIT'!P28="Kapatıldı",'ŞİKAYET KAYIT'!L28,""),"")</f>
        <v/>
      </c>
      <c r="I28" s="11" t="str">
        <f>IFERROR(IF('ŞİKAYET KAYIT'!P28="Kapatıldı",'ŞİKAYET KAYIT'!M28,""),"")</f>
        <v/>
      </c>
      <c r="J28" s="11" t="str">
        <f>IFERROR(IF('ŞİKAYET KAYIT'!P28="Kapatıldı",'ŞİKAYET KAYIT'!N28,""),"")</f>
        <v/>
      </c>
      <c r="K28" s="11" t="str">
        <f>IFERROR(IF('ŞİKAYET KAYIT'!P28="Kapatıldı",'ŞİKAYET KAYIT'!O28,""),"")</f>
        <v/>
      </c>
      <c r="L28" s="12" t="str">
        <f>IFERROR(IF('ŞİKAYET KAYIT'!P28="Kapatıldı",'ŞİKAYET KAYIT'!Q28,""),"")</f>
        <v/>
      </c>
      <c r="M28" s="11" t="str">
        <f>IFERROR(IF('ŞİKAYET KAYIT'!P28="Kapatıldı",'ŞİKAYET KAYIT'!R28,""),"")</f>
        <v/>
      </c>
      <c r="N28" s="11"/>
    </row>
    <row r="29" spans="1:14" ht="15" customHeight="1" x14ac:dyDescent="0.3">
      <c r="A29" s="26" t="str">
        <f>IFERROR(IF('ŞİKAYET KAYIT'!P29="Kapatıldı",'ŞİKAYET KAYIT'!A29,""),"")</f>
        <v/>
      </c>
      <c r="B29" s="8" t="str">
        <f>IFERROR(IF('ŞİKAYET KAYIT'!P29="Kapatıldı",'ŞİKAYET KAYIT'!B29,""),"")</f>
        <v/>
      </c>
      <c r="C29" s="26" t="str">
        <f>IFERROR(IF('ŞİKAYET KAYIT'!P29="Kapatıldı",'ŞİKAYET KAYIT'!D29,""),"")</f>
        <v/>
      </c>
      <c r="D29" s="26" t="str">
        <f>IFERROR(IF('ŞİKAYET KAYIT'!P29="Kapatıldı",'ŞİKAYET KAYIT'!F29,""),"")</f>
        <v/>
      </c>
      <c r="E29" s="26" t="str">
        <f>IFERROR(IF('ŞİKAYET KAYIT'!P29="Kapatıldı",'ŞİKAYET KAYIT'!H29,""),"")</f>
        <v/>
      </c>
      <c r="F29" s="26" t="str">
        <f>IFERROR(IF('ŞİKAYET KAYIT'!P29="Kapatıldı",'ŞİKAYET KAYIT'!J29,""),"")</f>
        <v/>
      </c>
      <c r="G29" s="26" t="str">
        <f>IFERROR(IF('ŞİKAYET KAYIT'!P29="Kapatıldı",'ŞİKAYET KAYIT'!K29,""),"")</f>
        <v/>
      </c>
      <c r="H29" s="26" t="str">
        <f>IFERROR(IF('ŞİKAYET KAYIT'!P29="Kapatıldı",'ŞİKAYET KAYIT'!L29,""),"")</f>
        <v/>
      </c>
      <c r="I29" s="26" t="str">
        <f>IFERROR(IF('ŞİKAYET KAYIT'!P29="Kapatıldı",'ŞİKAYET KAYIT'!M29,""),"")</f>
        <v/>
      </c>
      <c r="J29" s="26" t="str">
        <f>IFERROR(IF('ŞİKAYET KAYIT'!P29="Kapatıldı",'ŞİKAYET KAYIT'!N29,""),"")</f>
        <v/>
      </c>
      <c r="K29" s="26" t="str">
        <f>IFERROR(IF('ŞİKAYET KAYIT'!P29="Kapatıldı",'ŞİKAYET KAYIT'!O29,""),"")</f>
        <v/>
      </c>
      <c r="L29" s="8" t="str">
        <f>IFERROR(IF('ŞİKAYET KAYIT'!P29="Kapatıldı",'ŞİKAYET KAYIT'!Q29,""),"")</f>
        <v/>
      </c>
      <c r="M29" s="26" t="str">
        <f>IFERROR(IF('ŞİKAYET KAYIT'!P29="Kapatıldı",'ŞİKAYET KAYIT'!R29,""),"")</f>
        <v/>
      </c>
      <c r="N29" s="26"/>
    </row>
    <row r="30" spans="1:14" ht="15" customHeight="1" x14ac:dyDescent="0.3">
      <c r="A30" s="11" t="str">
        <f>IFERROR(IF('ŞİKAYET KAYIT'!P30="Kapatıldı",'ŞİKAYET KAYIT'!A30,""),"")</f>
        <v/>
      </c>
      <c r="B30" s="12" t="str">
        <f>IFERROR(IF('ŞİKAYET KAYIT'!P30="Kapatıldı",'ŞİKAYET KAYIT'!B30,""),"")</f>
        <v/>
      </c>
      <c r="C30" s="11" t="str">
        <f>IFERROR(IF('ŞİKAYET KAYIT'!P30="Kapatıldı",'ŞİKAYET KAYIT'!D30,""),"")</f>
        <v/>
      </c>
      <c r="D30" s="11" t="str">
        <f>IFERROR(IF('ŞİKAYET KAYIT'!P30="Kapatıldı",'ŞİKAYET KAYIT'!F30,""),"")</f>
        <v/>
      </c>
      <c r="E30" s="11" t="str">
        <f>IFERROR(IF('ŞİKAYET KAYIT'!P30="Kapatıldı",'ŞİKAYET KAYIT'!H30,""),"")</f>
        <v/>
      </c>
      <c r="F30" s="11" t="str">
        <f>IFERROR(IF('ŞİKAYET KAYIT'!P30="Kapatıldı",'ŞİKAYET KAYIT'!J30,""),"")</f>
        <v/>
      </c>
      <c r="G30" s="11" t="str">
        <f>IFERROR(IF('ŞİKAYET KAYIT'!P30="Kapatıldı",'ŞİKAYET KAYIT'!K30,""),"")</f>
        <v/>
      </c>
      <c r="H30" s="11" t="str">
        <f>IFERROR(IF('ŞİKAYET KAYIT'!P30="Kapatıldı",'ŞİKAYET KAYIT'!L30,""),"")</f>
        <v/>
      </c>
      <c r="I30" s="11" t="str">
        <f>IFERROR(IF('ŞİKAYET KAYIT'!P30="Kapatıldı",'ŞİKAYET KAYIT'!M30,""),"")</f>
        <v/>
      </c>
      <c r="J30" s="11" t="str">
        <f>IFERROR(IF('ŞİKAYET KAYIT'!P30="Kapatıldı",'ŞİKAYET KAYIT'!N30,""),"")</f>
        <v/>
      </c>
      <c r="K30" s="11" t="str">
        <f>IFERROR(IF('ŞİKAYET KAYIT'!P30="Kapatıldı",'ŞİKAYET KAYIT'!O30,""),"")</f>
        <v/>
      </c>
      <c r="L30" s="12" t="str">
        <f>IFERROR(IF('ŞİKAYET KAYIT'!P30="Kapatıldı",'ŞİKAYET KAYIT'!Q30,""),"")</f>
        <v/>
      </c>
      <c r="M30" s="11" t="str">
        <f>IFERROR(IF('ŞİKAYET KAYIT'!P30="Kapatıldı",'ŞİKAYET KAYIT'!R30,""),"")</f>
        <v/>
      </c>
      <c r="N30" s="11"/>
    </row>
    <row r="31" spans="1:14" ht="15" customHeight="1" x14ac:dyDescent="0.3">
      <c r="A31" s="26" t="str">
        <f>IFERROR(IF('ŞİKAYET KAYIT'!P31="Kapatıldı",'ŞİKAYET KAYIT'!A31,""),"")</f>
        <v/>
      </c>
      <c r="B31" s="8" t="str">
        <f>IFERROR(IF('ŞİKAYET KAYIT'!P31="Kapatıldı",'ŞİKAYET KAYIT'!B31,""),"")</f>
        <v/>
      </c>
      <c r="C31" s="26" t="str">
        <f>IFERROR(IF('ŞİKAYET KAYIT'!P31="Kapatıldı",'ŞİKAYET KAYIT'!D31,""),"")</f>
        <v/>
      </c>
      <c r="D31" s="26" t="str">
        <f>IFERROR(IF('ŞİKAYET KAYIT'!P31="Kapatıldı",'ŞİKAYET KAYIT'!F31,""),"")</f>
        <v/>
      </c>
      <c r="E31" s="26" t="str">
        <f>IFERROR(IF('ŞİKAYET KAYIT'!P31="Kapatıldı",'ŞİKAYET KAYIT'!H31,""),"")</f>
        <v/>
      </c>
      <c r="F31" s="26" t="str">
        <f>IFERROR(IF('ŞİKAYET KAYIT'!P31="Kapatıldı",'ŞİKAYET KAYIT'!J31,""),"")</f>
        <v/>
      </c>
      <c r="G31" s="26" t="str">
        <f>IFERROR(IF('ŞİKAYET KAYIT'!P31="Kapatıldı",'ŞİKAYET KAYIT'!K31,""),"")</f>
        <v/>
      </c>
      <c r="H31" s="26" t="str">
        <f>IFERROR(IF('ŞİKAYET KAYIT'!P31="Kapatıldı",'ŞİKAYET KAYIT'!L31,""),"")</f>
        <v/>
      </c>
      <c r="I31" s="26" t="str">
        <f>IFERROR(IF('ŞİKAYET KAYIT'!P31="Kapatıldı",'ŞİKAYET KAYIT'!M31,""),"")</f>
        <v/>
      </c>
      <c r="J31" s="26" t="str">
        <f>IFERROR(IF('ŞİKAYET KAYIT'!P31="Kapatıldı",'ŞİKAYET KAYIT'!N31,""),"")</f>
        <v/>
      </c>
      <c r="K31" s="26" t="str">
        <f>IFERROR(IF('ŞİKAYET KAYIT'!P31="Kapatıldı",'ŞİKAYET KAYIT'!O31,""),"")</f>
        <v/>
      </c>
      <c r="L31" s="8" t="str">
        <f>IFERROR(IF('ŞİKAYET KAYIT'!P31="Kapatıldı",'ŞİKAYET KAYIT'!Q31,""),"")</f>
        <v/>
      </c>
      <c r="M31" s="26" t="str">
        <f>IFERROR(IF('ŞİKAYET KAYIT'!P31="Kapatıldı",'ŞİKAYET KAYIT'!R31,""),"")</f>
        <v/>
      </c>
      <c r="N31" s="26"/>
    </row>
    <row r="32" spans="1:14" ht="15" customHeight="1" x14ac:dyDescent="0.3">
      <c r="A32" s="11" t="str">
        <f>IFERROR(IF('ŞİKAYET KAYIT'!P32="Kapatıldı",'ŞİKAYET KAYIT'!A32,""),"")</f>
        <v/>
      </c>
      <c r="B32" s="12" t="str">
        <f>IFERROR(IF('ŞİKAYET KAYIT'!P32="Kapatıldı",'ŞİKAYET KAYIT'!B32,""),"")</f>
        <v/>
      </c>
      <c r="C32" s="11" t="str">
        <f>IFERROR(IF('ŞİKAYET KAYIT'!P32="Kapatıldı",'ŞİKAYET KAYIT'!D32,""),"")</f>
        <v/>
      </c>
      <c r="D32" s="11" t="str">
        <f>IFERROR(IF('ŞİKAYET KAYIT'!P32="Kapatıldı",'ŞİKAYET KAYIT'!F32,""),"")</f>
        <v/>
      </c>
      <c r="E32" s="11" t="str">
        <f>IFERROR(IF('ŞİKAYET KAYIT'!P32="Kapatıldı",'ŞİKAYET KAYIT'!H32,""),"")</f>
        <v/>
      </c>
      <c r="F32" s="11" t="str">
        <f>IFERROR(IF('ŞİKAYET KAYIT'!P32="Kapatıldı",'ŞİKAYET KAYIT'!J32,""),"")</f>
        <v/>
      </c>
      <c r="G32" s="11" t="str">
        <f>IFERROR(IF('ŞİKAYET KAYIT'!P32="Kapatıldı",'ŞİKAYET KAYIT'!K32,""),"")</f>
        <v/>
      </c>
      <c r="H32" s="11" t="str">
        <f>IFERROR(IF('ŞİKAYET KAYIT'!P32="Kapatıldı",'ŞİKAYET KAYIT'!L32,""),"")</f>
        <v/>
      </c>
      <c r="I32" s="11" t="str">
        <f>IFERROR(IF('ŞİKAYET KAYIT'!P32="Kapatıldı",'ŞİKAYET KAYIT'!M32,""),"")</f>
        <v/>
      </c>
      <c r="J32" s="11" t="str">
        <f>IFERROR(IF('ŞİKAYET KAYIT'!P32="Kapatıldı",'ŞİKAYET KAYIT'!N32,""),"")</f>
        <v/>
      </c>
      <c r="K32" s="11" t="str">
        <f>IFERROR(IF('ŞİKAYET KAYIT'!P32="Kapatıldı",'ŞİKAYET KAYIT'!O32,""),"")</f>
        <v/>
      </c>
      <c r="L32" s="12" t="str">
        <f>IFERROR(IF('ŞİKAYET KAYIT'!P32="Kapatıldı",'ŞİKAYET KAYIT'!Q32,""),"")</f>
        <v/>
      </c>
      <c r="M32" s="11" t="str">
        <f>IFERROR(IF('ŞİKAYET KAYIT'!P32="Kapatıldı",'ŞİKAYET KAYIT'!R32,""),"")</f>
        <v/>
      </c>
      <c r="N32" s="11"/>
    </row>
    <row r="33" spans="1:14" ht="15" customHeight="1" x14ac:dyDescent="0.3">
      <c r="A33" s="26" t="str">
        <f>IFERROR(IF('ŞİKAYET KAYIT'!P33="Kapatıldı",'ŞİKAYET KAYIT'!A33,""),"")</f>
        <v/>
      </c>
      <c r="B33" s="8" t="str">
        <f>IFERROR(IF('ŞİKAYET KAYIT'!P33="Kapatıldı",'ŞİKAYET KAYIT'!B33,""),"")</f>
        <v/>
      </c>
      <c r="C33" s="26" t="str">
        <f>IFERROR(IF('ŞİKAYET KAYIT'!P33="Kapatıldı",'ŞİKAYET KAYIT'!D33,""),"")</f>
        <v/>
      </c>
      <c r="D33" s="26" t="str">
        <f>IFERROR(IF('ŞİKAYET KAYIT'!P33="Kapatıldı",'ŞİKAYET KAYIT'!F33,""),"")</f>
        <v/>
      </c>
      <c r="E33" s="26" t="str">
        <f>IFERROR(IF('ŞİKAYET KAYIT'!P33="Kapatıldı",'ŞİKAYET KAYIT'!H33,""),"")</f>
        <v/>
      </c>
      <c r="F33" s="26" t="str">
        <f>IFERROR(IF('ŞİKAYET KAYIT'!P33="Kapatıldı",'ŞİKAYET KAYIT'!J33,""),"")</f>
        <v/>
      </c>
      <c r="G33" s="26" t="str">
        <f>IFERROR(IF('ŞİKAYET KAYIT'!P33="Kapatıldı",'ŞİKAYET KAYIT'!K33,""),"")</f>
        <v/>
      </c>
      <c r="H33" s="26" t="str">
        <f>IFERROR(IF('ŞİKAYET KAYIT'!P33="Kapatıldı",'ŞİKAYET KAYIT'!L33,""),"")</f>
        <v/>
      </c>
      <c r="I33" s="26" t="str">
        <f>IFERROR(IF('ŞİKAYET KAYIT'!P33="Kapatıldı",'ŞİKAYET KAYIT'!M33,""),"")</f>
        <v/>
      </c>
      <c r="J33" s="26" t="str">
        <f>IFERROR(IF('ŞİKAYET KAYIT'!P33="Kapatıldı",'ŞİKAYET KAYIT'!N33,""),"")</f>
        <v/>
      </c>
      <c r="K33" s="26" t="str">
        <f>IFERROR(IF('ŞİKAYET KAYIT'!P33="Kapatıldı",'ŞİKAYET KAYIT'!O33,""),"")</f>
        <v/>
      </c>
      <c r="L33" s="8" t="str">
        <f>IFERROR(IF('ŞİKAYET KAYIT'!P33="Kapatıldı",'ŞİKAYET KAYIT'!Q33,""),"")</f>
        <v/>
      </c>
      <c r="M33" s="26" t="str">
        <f>IFERROR(IF('ŞİKAYET KAYIT'!P33="Kapatıldı",'ŞİKAYET KAYIT'!R33,""),"")</f>
        <v/>
      </c>
      <c r="N33" s="26"/>
    </row>
    <row r="34" spans="1:14" ht="15" customHeight="1" x14ac:dyDescent="0.3">
      <c r="A34" s="11" t="str">
        <f>IFERROR(IF('ŞİKAYET KAYIT'!P34="Kapatıldı",'ŞİKAYET KAYIT'!A34,""),"")</f>
        <v/>
      </c>
      <c r="B34" s="12" t="str">
        <f>IFERROR(IF('ŞİKAYET KAYIT'!P34="Kapatıldı",'ŞİKAYET KAYIT'!B34,""),"")</f>
        <v/>
      </c>
      <c r="C34" s="11" t="str">
        <f>IFERROR(IF('ŞİKAYET KAYIT'!P34="Kapatıldı",'ŞİKAYET KAYIT'!D34,""),"")</f>
        <v/>
      </c>
      <c r="D34" s="11" t="str">
        <f>IFERROR(IF('ŞİKAYET KAYIT'!P34="Kapatıldı",'ŞİKAYET KAYIT'!F34,""),"")</f>
        <v/>
      </c>
      <c r="E34" s="11" t="str">
        <f>IFERROR(IF('ŞİKAYET KAYIT'!P34="Kapatıldı",'ŞİKAYET KAYIT'!H34,""),"")</f>
        <v/>
      </c>
      <c r="F34" s="11" t="str">
        <f>IFERROR(IF('ŞİKAYET KAYIT'!P34="Kapatıldı",'ŞİKAYET KAYIT'!J34,""),"")</f>
        <v/>
      </c>
      <c r="G34" s="11" t="str">
        <f>IFERROR(IF('ŞİKAYET KAYIT'!P34="Kapatıldı",'ŞİKAYET KAYIT'!K34,""),"")</f>
        <v/>
      </c>
      <c r="H34" s="11" t="str">
        <f>IFERROR(IF('ŞİKAYET KAYIT'!P34="Kapatıldı",'ŞİKAYET KAYIT'!L34,""),"")</f>
        <v/>
      </c>
      <c r="I34" s="11" t="str">
        <f>IFERROR(IF('ŞİKAYET KAYIT'!P34="Kapatıldı",'ŞİKAYET KAYIT'!M34,""),"")</f>
        <v/>
      </c>
      <c r="J34" s="11" t="str">
        <f>IFERROR(IF('ŞİKAYET KAYIT'!P34="Kapatıldı",'ŞİKAYET KAYIT'!N34,""),"")</f>
        <v/>
      </c>
      <c r="K34" s="11" t="str">
        <f>IFERROR(IF('ŞİKAYET KAYIT'!P34="Kapatıldı",'ŞİKAYET KAYIT'!O34,""),"")</f>
        <v/>
      </c>
      <c r="L34" s="12" t="str">
        <f>IFERROR(IF('ŞİKAYET KAYIT'!P34="Kapatıldı",'ŞİKAYET KAYIT'!Q34,""),"")</f>
        <v/>
      </c>
      <c r="M34" s="11" t="str">
        <f>IFERROR(IF('ŞİKAYET KAYIT'!P34="Kapatıldı",'ŞİKAYET KAYIT'!R34,""),"")</f>
        <v/>
      </c>
      <c r="N34" s="11"/>
    </row>
    <row r="35" spans="1:14" ht="15" customHeight="1" x14ac:dyDescent="0.3">
      <c r="A35" s="26" t="str">
        <f>IFERROR(IF('ŞİKAYET KAYIT'!P35="Kapatıldı",'ŞİKAYET KAYIT'!A35,""),"")</f>
        <v/>
      </c>
      <c r="B35" s="8" t="str">
        <f>IFERROR(IF('ŞİKAYET KAYIT'!P35="Kapatıldı",'ŞİKAYET KAYIT'!B35,""),"")</f>
        <v/>
      </c>
      <c r="C35" s="26" t="str">
        <f>IFERROR(IF('ŞİKAYET KAYIT'!P35="Kapatıldı",'ŞİKAYET KAYIT'!D35,""),"")</f>
        <v/>
      </c>
      <c r="D35" s="26" t="str">
        <f>IFERROR(IF('ŞİKAYET KAYIT'!P35="Kapatıldı",'ŞİKAYET KAYIT'!F35,""),"")</f>
        <v/>
      </c>
      <c r="E35" s="26" t="str">
        <f>IFERROR(IF('ŞİKAYET KAYIT'!P35="Kapatıldı",'ŞİKAYET KAYIT'!H35,""),"")</f>
        <v/>
      </c>
      <c r="F35" s="26" t="str">
        <f>IFERROR(IF('ŞİKAYET KAYIT'!P35="Kapatıldı",'ŞİKAYET KAYIT'!J35,""),"")</f>
        <v/>
      </c>
      <c r="G35" s="26" t="str">
        <f>IFERROR(IF('ŞİKAYET KAYIT'!P35="Kapatıldı",'ŞİKAYET KAYIT'!K35,""),"")</f>
        <v/>
      </c>
      <c r="H35" s="26" t="str">
        <f>IFERROR(IF('ŞİKAYET KAYIT'!P35="Kapatıldı",'ŞİKAYET KAYIT'!L35,""),"")</f>
        <v/>
      </c>
      <c r="I35" s="26" t="str">
        <f>IFERROR(IF('ŞİKAYET KAYIT'!P35="Kapatıldı",'ŞİKAYET KAYIT'!M35,""),"")</f>
        <v/>
      </c>
      <c r="J35" s="26" t="str">
        <f>IFERROR(IF('ŞİKAYET KAYIT'!P35="Kapatıldı",'ŞİKAYET KAYIT'!N35,""),"")</f>
        <v/>
      </c>
      <c r="K35" s="26" t="str">
        <f>IFERROR(IF('ŞİKAYET KAYIT'!P35="Kapatıldı",'ŞİKAYET KAYIT'!O35,""),"")</f>
        <v/>
      </c>
      <c r="L35" s="8" t="str">
        <f>IFERROR(IF('ŞİKAYET KAYIT'!P35="Kapatıldı",'ŞİKAYET KAYIT'!Q35,""),"")</f>
        <v/>
      </c>
      <c r="M35" s="26" t="str">
        <f>IFERROR(IF('ŞİKAYET KAYIT'!P35="Kapatıldı",'ŞİKAYET KAYIT'!R35,""),"")</f>
        <v/>
      </c>
      <c r="N35" s="26"/>
    </row>
    <row r="36" spans="1:14" ht="15" customHeight="1" x14ac:dyDescent="0.3">
      <c r="A36" s="11" t="str">
        <f>IFERROR(IF('ŞİKAYET KAYIT'!P36="Kapatıldı",'ŞİKAYET KAYIT'!A36,""),"")</f>
        <v/>
      </c>
      <c r="B36" s="12" t="str">
        <f>IFERROR(IF('ŞİKAYET KAYIT'!P36="Kapatıldı",'ŞİKAYET KAYIT'!B36,""),"")</f>
        <v/>
      </c>
      <c r="C36" s="11" t="str">
        <f>IFERROR(IF('ŞİKAYET KAYIT'!P36="Kapatıldı",'ŞİKAYET KAYIT'!D36,""),"")</f>
        <v/>
      </c>
      <c r="D36" s="11" t="str">
        <f>IFERROR(IF('ŞİKAYET KAYIT'!P36="Kapatıldı",'ŞİKAYET KAYIT'!F36,""),"")</f>
        <v/>
      </c>
      <c r="E36" s="11" t="str">
        <f>IFERROR(IF('ŞİKAYET KAYIT'!P36="Kapatıldı",'ŞİKAYET KAYIT'!H36,""),"")</f>
        <v/>
      </c>
      <c r="F36" s="11" t="str">
        <f>IFERROR(IF('ŞİKAYET KAYIT'!P36="Kapatıldı",'ŞİKAYET KAYIT'!J36,""),"")</f>
        <v/>
      </c>
      <c r="G36" s="11" t="str">
        <f>IFERROR(IF('ŞİKAYET KAYIT'!P36="Kapatıldı",'ŞİKAYET KAYIT'!K36,""),"")</f>
        <v/>
      </c>
      <c r="H36" s="11" t="str">
        <f>IFERROR(IF('ŞİKAYET KAYIT'!P36="Kapatıldı",'ŞİKAYET KAYIT'!L36,""),"")</f>
        <v/>
      </c>
      <c r="I36" s="11" t="str">
        <f>IFERROR(IF('ŞİKAYET KAYIT'!P36="Kapatıldı",'ŞİKAYET KAYIT'!M36,""),"")</f>
        <v/>
      </c>
      <c r="J36" s="11" t="str">
        <f>IFERROR(IF('ŞİKAYET KAYIT'!P36="Kapatıldı",'ŞİKAYET KAYIT'!N36,""),"")</f>
        <v/>
      </c>
      <c r="K36" s="11" t="str">
        <f>IFERROR(IF('ŞİKAYET KAYIT'!P36="Kapatıldı",'ŞİKAYET KAYIT'!O36,""),"")</f>
        <v/>
      </c>
      <c r="L36" s="12" t="str">
        <f>IFERROR(IF('ŞİKAYET KAYIT'!P36="Kapatıldı",'ŞİKAYET KAYIT'!Q36,""),"")</f>
        <v/>
      </c>
      <c r="M36" s="11" t="str">
        <f>IFERROR(IF('ŞİKAYET KAYIT'!P36="Kapatıldı",'ŞİKAYET KAYIT'!R36,""),"")</f>
        <v/>
      </c>
      <c r="N36" s="11"/>
    </row>
    <row r="37" spans="1:14" ht="15" customHeight="1" x14ac:dyDescent="0.3">
      <c r="A37" s="26" t="str">
        <f>IFERROR(IF('ŞİKAYET KAYIT'!P37="Kapatıldı",'ŞİKAYET KAYIT'!A37,""),"")</f>
        <v/>
      </c>
      <c r="B37" s="8" t="str">
        <f>IFERROR(IF('ŞİKAYET KAYIT'!P37="Kapatıldı",'ŞİKAYET KAYIT'!B37,""),"")</f>
        <v/>
      </c>
      <c r="C37" s="26" t="str">
        <f>IFERROR(IF('ŞİKAYET KAYIT'!P37="Kapatıldı",'ŞİKAYET KAYIT'!D37,""),"")</f>
        <v/>
      </c>
      <c r="D37" s="26" t="str">
        <f>IFERROR(IF('ŞİKAYET KAYIT'!P37="Kapatıldı",'ŞİKAYET KAYIT'!F37,""),"")</f>
        <v/>
      </c>
      <c r="E37" s="26" t="str">
        <f>IFERROR(IF('ŞİKAYET KAYIT'!P37="Kapatıldı",'ŞİKAYET KAYIT'!H37,""),"")</f>
        <v/>
      </c>
      <c r="F37" s="26" t="str">
        <f>IFERROR(IF('ŞİKAYET KAYIT'!P37="Kapatıldı",'ŞİKAYET KAYIT'!J37,""),"")</f>
        <v/>
      </c>
      <c r="G37" s="26" t="str">
        <f>IFERROR(IF('ŞİKAYET KAYIT'!P37="Kapatıldı",'ŞİKAYET KAYIT'!K37,""),"")</f>
        <v/>
      </c>
      <c r="H37" s="26" t="str">
        <f>IFERROR(IF('ŞİKAYET KAYIT'!P37="Kapatıldı",'ŞİKAYET KAYIT'!L37,""),"")</f>
        <v/>
      </c>
      <c r="I37" s="26" t="str">
        <f>IFERROR(IF('ŞİKAYET KAYIT'!P37="Kapatıldı",'ŞİKAYET KAYIT'!M37,""),"")</f>
        <v/>
      </c>
      <c r="J37" s="26" t="str">
        <f>IFERROR(IF('ŞİKAYET KAYIT'!P37="Kapatıldı",'ŞİKAYET KAYIT'!N37,""),"")</f>
        <v/>
      </c>
      <c r="K37" s="26" t="str">
        <f>IFERROR(IF('ŞİKAYET KAYIT'!P37="Kapatıldı",'ŞİKAYET KAYIT'!O37,""),"")</f>
        <v/>
      </c>
      <c r="L37" s="8" t="str">
        <f>IFERROR(IF('ŞİKAYET KAYIT'!P37="Kapatıldı",'ŞİKAYET KAYIT'!Q37,""),"")</f>
        <v/>
      </c>
      <c r="M37" s="26" t="str">
        <f>IFERROR(IF('ŞİKAYET KAYIT'!P37="Kapatıldı",'ŞİKAYET KAYIT'!R37,""),"")</f>
        <v/>
      </c>
      <c r="N37" s="26"/>
    </row>
    <row r="38" spans="1:14" ht="15" customHeight="1" x14ac:dyDescent="0.3">
      <c r="A38" s="11" t="str">
        <f>IFERROR(IF('ŞİKAYET KAYIT'!P38="Kapatıldı",'ŞİKAYET KAYIT'!A38,""),"")</f>
        <v/>
      </c>
      <c r="B38" s="12" t="str">
        <f>IFERROR(IF('ŞİKAYET KAYIT'!P38="Kapatıldı",'ŞİKAYET KAYIT'!B38,""),"")</f>
        <v/>
      </c>
      <c r="C38" s="11" t="str">
        <f>IFERROR(IF('ŞİKAYET KAYIT'!P38="Kapatıldı",'ŞİKAYET KAYIT'!D38,""),"")</f>
        <v/>
      </c>
      <c r="D38" s="11" t="str">
        <f>IFERROR(IF('ŞİKAYET KAYIT'!P38="Kapatıldı",'ŞİKAYET KAYIT'!F38,""),"")</f>
        <v/>
      </c>
      <c r="E38" s="11" t="str">
        <f>IFERROR(IF('ŞİKAYET KAYIT'!P38="Kapatıldı",'ŞİKAYET KAYIT'!H38,""),"")</f>
        <v/>
      </c>
      <c r="F38" s="11" t="str">
        <f>IFERROR(IF('ŞİKAYET KAYIT'!P38="Kapatıldı",'ŞİKAYET KAYIT'!J38,""),"")</f>
        <v/>
      </c>
      <c r="G38" s="11" t="str">
        <f>IFERROR(IF('ŞİKAYET KAYIT'!P38="Kapatıldı",'ŞİKAYET KAYIT'!K38,""),"")</f>
        <v/>
      </c>
      <c r="H38" s="11" t="str">
        <f>IFERROR(IF('ŞİKAYET KAYIT'!P38="Kapatıldı",'ŞİKAYET KAYIT'!L38,""),"")</f>
        <v/>
      </c>
      <c r="I38" s="11" t="str">
        <f>IFERROR(IF('ŞİKAYET KAYIT'!P38="Kapatıldı",'ŞİKAYET KAYIT'!M38,""),"")</f>
        <v/>
      </c>
      <c r="J38" s="11" t="str">
        <f>IFERROR(IF('ŞİKAYET KAYIT'!P38="Kapatıldı",'ŞİKAYET KAYIT'!N38,""),"")</f>
        <v/>
      </c>
      <c r="K38" s="11" t="str">
        <f>IFERROR(IF('ŞİKAYET KAYIT'!P38="Kapatıldı",'ŞİKAYET KAYIT'!O38,""),"")</f>
        <v/>
      </c>
      <c r="L38" s="12" t="str">
        <f>IFERROR(IF('ŞİKAYET KAYIT'!P38="Kapatıldı",'ŞİKAYET KAYIT'!Q38,""),"")</f>
        <v/>
      </c>
      <c r="M38" s="11" t="str">
        <f>IFERROR(IF('ŞİKAYET KAYIT'!P38="Kapatıldı",'ŞİKAYET KAYIT'!R38,""),"")</f>
        <v/>
      </c>
      <c r="N38" s="11"/>
    </row>
    <row r="39" spans="1:14" ht="15" customHeight="1" x14ac:dyDescent="0.3">
      <c r="A39" s="26" t="str">
        <f>IFERROR(IF('ŞİKAYET KAYIT'!P39="Kapatıldı",'ŞİKAYET KAYIT'!A39,""),"")</f>
        <v/>
      </c>
      <c r="B39" s="8" t="str">
        <f>IFERROR(IF('ŞİKAYET KAYIT'!P39="Kapatıldı",'ŞİKAYET KAYIT'!B39,""),"")</f>
        <v/>
      </c>
      <c r="C39" s="26" t="str">
        <f>IFERROR(IF('ŞİKAYET KAYIT'!P39="Kapatıldı",'ŞİKAYET KAYIT'!D39,""),"")</f>
        <v/>
      </c>
      <c r="D39" s="26" t="str">
        <f>IFERROR(IF('ŞİKAYET KAYIT'!P39="Kapatıldı",'ŞİKAYET KAYIT'!F39,""),"")</f>
        <v/>
      </c>
      <c r="E39" s="26" t="str">
        <f>IFERROR(IF('ŞİKAYET KAYIT'!P39="Kapatıldı",'ŞİKAYET KAYIT'!H39,""),"")</f>
        <v/>
      </c>
      <c r="F39" s="26" t="str">
        <f>IFERROR(IF('ŞİKAYET KAYIT'!P39="Kapatıldı",'ŞİKAYET KAYIT'!J39,""),"")</f>
        <v/>
      </c>
      <c r="G39" s="26" t="str">
        <f>IFERROR(IF('ŞİKAYET KAYIT'!P39="Kapatıldı",'ŞİKAYET KAYIT'!K39,""),"")</f>
        <v/>
      </c>
      <c r="H39" s="26" t="str">
        <f>IFERROR(IF('ŞİKAYET KAYIT'!P39="Kapatıldı",'ŞİKAYET KAYIT'!L39,""),"")</f>
        <v/>
      </c>
      <c r="I39" s="26" t="str">
        <f>IFERROR(IF('ŞİKAYET KAYIT'!P39="Kapatıldı",'ŞİKAYET KAYIT'!M39,""),"")</f>
        <v/>
      </c>
      <c r="J39" s="26" t="str">
        <f>IFERROR(IF('ŞİKAYET KAYIT'!P39="Kapatıldı",'ŞİKAYET KAYIT'!N39,""),"")</f>
        <v/>
      </c>
      <c r="K39" s="26" t="str">
        <f>IFERROR(IF('ŞİKAYET KAYIT'!P39="Kapatıldı",'ŞİKAYET KAYIT'!O39,""),"")</f>
        <v/>
      </c>
      <c r="L39" s="8" t="str">
        <f>IFERROR(IF('ŞİKAYET KAYIT'!P39="Kapatıldı",'ŞİKAYET KAYIT'!Q39,""),"")</f>
        <v/>
      </c>
      <c r="M39" s="26" t="str">
        <f>IFERROR(IF('ŞİKAYET KAYIT'!P39="Kapatıldı",'ŞİKAYET KAYIT'!R39,""),"")</f>
        <v/>
      </c>
      <c r="N39" s="26"/>
    </row>
    <row r="40" spans="1:14" ht="15" customHeight="1" x14ac:dyDescent="0.3">
      <c r="A40" s="11" t="str">
        <f>IFERROR(IF('ŞİKAYET KAYIT'!P40="Kapatıldı",'ŞİKAYET KAYIT'!A40,""),"")</f>
        <v/>
      </c>
      <c r="B40" s="12" t="str">
        <f>IFERROR(IF('ŞİKAYET KAYIT'!P40="Kapatıldı",'ŞİKAYET KAYIT'!B40,""),"")</f>
        <v/>
      </c>
      <c r="C40" s="11" t="str">
        <f>IFERROR(IF('ŞİKAYET KAYIT'!P40="Kapatıldı",'ŞİKAYET KAYIT'!D40,""),"")</f>
        <v/>
      </c>
      <c r="D40" s="11" t="str">
        <f>IFERROR(IF('ŞİKAYET KAYIT'!P40="Kapatıldı",'ŞİKAYET KAYIT'!F40,""),"")</f>
        <v/>
      </c>
      <c r="E40" s="11" t="str">
        <f>IFERROR(IF('ŞİKAYET KAYIT'!P40="Kapatıldı",'ŞİKAYET KAYIT'!H40,""),"")</f>
        <v/>
      </c>
      <c r="F40" s="11" t="str">
        <f>IFERROR(IF('ŞİKAYET KAYIT'!P40="Kapatıldı",'ŞİKAYET KAYIT'!J40,""),"")</f>
        <v/>
      </c>
      <c r="G40" s="11" t="str">
        <f>IFERROR(IF('ŞİKAYET KAYIT'!P40="Kapatıldı",'ŞİKAYET KAYIT'!K40,""),"")</f>
        <v/>
      </c>
      <c r="H40" s="11" t="str">
        <f>IFERROR(IF('ŞİKAYET KAYIT'!P40="Kapatıldı",'ŞİKAYET KAYIT'!L40,""),"")</f>
        <v/>
      </c>
      <c r="I40" s="11" t="str">
        <f>IFERROR(IF('ŞİKAYET KAYIT'!P40="Kapatıldı",'ŞİKAYET KAYIT'!M40,""),"")</f>
        <v/>
      </c>
      <c r="J40" s="11" t="str">
        <f>IFERROR(IF('ŞİKAYET KAYIT'!P40="Kapatıldı",'ŞİKAYET KAYIT'!N40,""),"")</f>
        <v/>
      </c>
      <c r="K40" s="11" t="str">
        <f>IFERROR(IF('ŞİKAYET KAYIT'!P40="Kapatıldı",'ŞİKAYET KAYIT'!O40,""),"")</f>
        <v/>
      </c>
      <c r="L40" s="12" t="str">
        <f>IFERROR(IF('ŞİKAYET KAYIT'!P40="Kapatıldı",'ŞİKAYET KAYIT'!Q40,""),"")</f>
        <v/>
      </c>
      <c r="M40" s="11" t="str">
        <f>IFERROR(IF('ŞİKAYET KAYIT'!P40="Kapatıldı",'ŞİKAYET KAYIT'!R40,""),"")</f>
        <v/>
      </c>
      <c r="N40" s="11"/>
    </row>
    <row r="41" spans="1:14" ht="15" customHeight="1" x14ac:dyDescent="0.3">
      <c r="A41" s="26" t="str">
        <f>IFERROR(IF('ŞİKAYET KAYIT'!P41="Kapatıldı",'ŞİKAYET KAYIT'!A41,""),"")</f>
        <v/>
      </c>
      <c r="B41" s="8" t="str">
        <f>IFERROR(IF('ŞİKAYET KAYIT'!P41="Kapatıldı",'ŞİKAYET KAYIT'!B41,""),"")</f>
        <v/>
      </c>
      <c r="C41" s="26" t="str">
        <f>IFERROR(IF('ŞİKAYET KAYIT'!P41="Kapatıldı",'ŞİKAYET KAYIT'!D41,""),"")</f>
        <v/>
      </c>
      <c r="D41" s="26" t="str">
        <f>IFERROR(IF('ŞİKAYET KAYIT'!P41="Kapatıldı",'ŞİKAYET KAYIT'!F41,""),"")</f>
        <v/>
      </c>
      <c r="E41" s="26" t="str">
        <f>IFERROR(IF('ŞİKAYET KAYIT'!P41="Kapatıldı",'ŞİKAYET KAYIT'!H41,""),"")</f>
        <v/>
      </c>
      <c r="F41" s="26" t="str">
        <f>IFERROR(IF('ŞİKAYET KAYIT'!P41="Kapatıldı",'ŞİKAYET KAYIT'!J41,""),"")</f>
        <v/>
      </c>
      <c r="G41" s="26" t="str">
        <f>IFERROR(IF('ŞİKAYET KAYIT'!P41="Kapatıldı",'ŞİKAYET KAYIT'!K41,""),"")</f>
        <v/>
      </c>
      <c r="H41" s="26" t="str">
        <f>IFERROR(IF('ŞİKAYET KAYIT'!P41="Kapatıldı",'ŞİKAYET KAYIT'!L41,""),"")</f>
        <v/>
      </c>
      <c r="I41" s="26" t="str">
        <f>IFERROR(IF('ŞİKAYET KAYIT'!P41="Kapatıldı",'ŞİKAYET KAYIT'!M41,""),"")</f>
        <v/>
      </c>
      <c r="J41" s="26" t="str">
        <f>IFERROR(IF('ŞİKAYET KAYIT'!P41="Kapatıldı",'ŞİKAYET KAYIT'!N41,""),"")</f>
        <v/>
      </c>
      <c r="K41" s="26" t="str">
        <f>IFERROR(IF('ŞİKAYET KAYIT'!P41="Kapatıldı",'ŞİKAYET KAYIT'!O41,""),"")</f>
        <v/>
      </c>
      <c r="L41" s="8" t="str">
        <f>IFERROR(IF('ŞİKAYET KAYIT'!P41="Kapatıldı",'ŞİKAYET KAYIT'!Q41,""),"")</f>
        <v/>
      </c>
      <c r="M41" s="26" t="str">
        <f>IFERROR(IF('ŞİKAYET KAYIT'!P41="Kapatıldı",'ŞİKAYET KAYIT'!R41,""),"")</f>
        <v/>
      </c>
      <c r="N41" s="26"/>
    </row>
    <row r="42" spans="1:14" ht="15" customHeight="1" x14ac:dyDescent="0.3">
      <c r="A42" s="11" t="str">
        <f>IFERROR(IF('ŞİKAYET KAYIT'!P42="Kapatıldı",'ŞİKAYET KAYIT'!A42,""),"")</f>
        <v/>
      </c>
      <c r="B42" s="12" t="str">
        <f>IFERROR(IF('ŞİKAYET KAYIT'!P42="Kapatıldı",'ŞİKAYET KAYIT'!B42,""),"")</f>
        <v/>
      </c>
      <c r="C42" s="11" t="str">
        <f>IFERROR(IF('ŞİKAYET KAYIT'!P42="Kapatıldı",'ŞİKAYET KAYIT'!D42,""),"")</f>
        <v/>
      </c>
      <c r="D42" s="11" t="str">
        <f>IFERROR(IF('ŞİKAYET KAYIT'!P42="Kapatıldı",'ŞİKAYET KAYIT'!F42,""),"")</f>
        <v/>
      </c>
      <c r="E42" s="11" t="str">
        <f>IFERROR(IF('ŞİKAYET KAYIT'!P42="Kapatıldı",'ŞİKAYET KAYIT'!H42,""),"")</f>
        <v/>
      </c>
      <c r="F42" s="11" t="str">
        <f>IFERROR(IF('ŞİKAYET KAYIT'!P42="Kapatıldı",'ŞİKAYET KAYIT'!J42,""),"")</f>
        <v/>
      </c>
      <c r="G42" s="11" t="str">
        <f>IFERROR(IF('ŞİKAYET KAYIT'!P42="Kapatıldı",'ŞİKAYET KAYIT'!K42,""),"")</f>
        <v/>
      </c>
      <c r="H42" s="11" t="str">
        <f>IFERROR(IF('ŞİKAYET KAYIT'!P42="Kapatıldı",'ŞİKAYET KAYIT'!L42,""),"")</f>
        <v/>
      </c>
      <c r="I42" s="11" t="str">
        <f>IFERROR(IF('ŞİKAYET KAYIT'!P42="Kapatıldı",'ŞİKAYET KAYIT'!M42,""),"")</f>
        <v/>
      </c>
      <c r="J42" s="11" t="str">
        <f>IFERROR(IF('ŞİKAYET KAYIT'!P42="Kapatıldı",'ŞİKAYET KAYIT'!N42,""),"")</f>
        <v/>
      </c>
      <c r="K42" s="11" t="str">
        <f>IFERROR(IF('ŞİKAYET KAYIT'!P42="Kapatıldı",'ŞİKAYET KAYIT'!O42,""),"")</f>
        <v/>
      </c>
      <c r="L42" s="12" t="str">
        <f>IFERROR(IF('ŞİKAYET KAYIT'!P42="Kapatıldı",'ŞİKAYET KAYIT'!Q42,""),"")</f>
        <v/>
      </c>
      <c r="M42" s="11" t="str">
        <f>IFERROR(IF('ŞİKAYET KAYIT'!P42="Kapatıldı",'ŞİKAYET KAYIT'!R42,""),"")</f>
        <v/>
      </c>
      <c r="N42" s="11"/>
    </row>
    <row r="43" spans="1:14" ht="15" customHeight="1" x14ac:dyDescent="0.3">
      <c r="A43" s="26" t="str">
        <f>IFERROR(IF('ŞİKAYET KAYIT'!P43="Kapatıldı",'ŞİKAYET KAYIT'!A43,""),"")</f>
        <v/>
      </c>
      <c r="B43" s="8" t="str">
        <f>IFERROR(IF('ŞİKAYET KAYIT'!P43="Kapatıldı",'ŞİKAYET KAYIT'!B43,""),"")</f>
        <v/>
      </c>
      <c r="C43" s="26" t="str">
        <f>IFERROR(IF('ŞİKAYET KAYIT'!P43="Kapatıldı",'ŞİKAYET KAYIT'!D43,""),"")</f>
        <v/>
      </c>
      <c r="D43" s="26" t="str">
        <f>IFERROR(IF('ŞİKAYET KAYIT'!P43="Kapatıldı",'ŞİKAYET KAYIT'!F43,""),"")</f>
        <v/>
      </c>
      <c r="E43" s="26" t="str">
        <f>IFERROR(IF('ŞİKAYET KAYIT'!P43="Kapatıldı",'ŞİKAYET KAYIT'!H43,""),"")</f>
        <v/>
      </c>
      <c r="F43" s="26" t="str">
        <f>IFERROR(IF('ŞİKAYET KAYIT'!P43="Kapatıldı",'ŞİKAYET KAYIT'!J43,""),"")</f>
        <v/>
      </c>
      <c r="G43" s="26" t="str">
        <f>IFERROR(IF('ŞİKAYET KAYIT'!P43="Kapatıldı",'ŞİKAYET KAYIT'!K43,""),"")</f>
        <v/>
      </c>
      <c r="H43" s="26" t="str">
        <f>IFERROR(IF('ŞİKAYET KAYIT'!P43="Kapatıldı",'ŞİKAYET KAYIT'!L43,""),"")</f>
        <v/>
      </c>
      <c r="I43" s="26" t="str">
        <f>IFERROR(IF('ŞİKAYET KAYIT'!P43="Kapatıldı",'ŞİKAYET KAYIT'!M43,""),"")</f>
        <v/>
      </c>
      <c r="J43" s="26" t="str">
        <f>IFERROR(IF('ŞİKAYET KAYIT'!P43="Kapatıldı",'ŞİKAYET KAYIT'!N43,""),"")</f>
        <v/>
      </c>
      <c r="K43" s="26" t="str">
        <f>IFERROR(IF('ŞİKAYET KAYIT'!P43="Kapatıldı",'ŞİKAYET KAYIT'!O43,""),"")</f>
        <v/>
      </c>
      <c r="L43" s="8" t="str">
        <f>IFERROR(IF('ŞİKAYET KAYIT'!P43="Kapatıldı",'ŞİKAYET KAYIT'!Q43,""),"")</f>
        <v/>
      </c>
      <c r="M43" s="26" t="str">
        <f>IFERROR(IF('ŞİKAYET KAYIT'!P43="Kapatıldı",'ŞİKAYET KAYIT'!R43,""),"")</f>
        <v/>
      </c>
      <c r="N43" s="26"/>
    </row>
    <row r="44" spans="1:14" ht="15" customHeight="1" x14ac:dyDescent="0.3">
      <c r="A44" s="11" t="str">
        <f>IFERROR(IF('ŞİKAYET KAYIT'!P44="Kapatıldı",'ŞİKAYET KAYIT'!A44,""),"")</f>
        <v/>
      </c>
      <c r="B44" s="12" t="str">
        <f>IFERROR(IF('ŞİKAYET KAYIT'!P44="Kapatıldı",'ŞİKAYET KAYIT'!B44,""),"")</f>
        <v/>
      </c>
      <c r="C44" s="11" t="str">
        <f>IFERROR(IF('ŞİKAYET KAYIT'!P44="Kapatıldı",'ŞİKAYET KAYIT'!D44,""),"")</f>
        <v/>
      </c>
      <c r="D44" s="11" t="str">
        <f>IFERROR(IF('ŞİKAYET KAYIT'!P44="Kapatıldı",'ŞİKAYET KAYIT'!F44,""),"")</f>
        <v/>
      </c>
      <c r="E44" s="11" t="str">
        <f>IFERROR(IF('ŞİKAYET KAYIT'!P44="Kapatıldı",'ŞİKAYET KAYIT'!H44,""),"")</f>
        <v/>
      </c>
      <c r="F44" s="11" t="str">
        <f>IFERROR(IF('ŞİKAYET KAYIT'!P44="Kapatıldı",'ŞİKAYET KAYIT'!J44,""),"")</f>
        <v/>
      </c>
      <c r="G44" s="11" t="str">
        <f>IFERROR(IF('ŞİKAYET KAYIT'!P44="Kapatıldı",'ŞİKAYET KAYIT'!K44,""),"")</f>
        <v/>
      </c>
      <c r="H44" s="11" t="str">
        <f>IFERROR(IF('ŞİKAYET KAYIT'!P44="Kapatıldı",'ŞİKAYET KAYIT'!L44,""),"")</f>
        <v/>
      </c>
      <c r="I44" s="11" t="str">
        <f>IFERROR(IF('ŞİKAYET KAYIT'!P44="Kapatıldı",'ŞİKAYET KAYIT'!M44,""),"")</f>
        <v/>
      </c>
      <c r="J44" s="11" t="str">
        <f>IFERROR(IF('ŞİKAYET KAYIT'!P44="Kapatıldı",'ŞİKAYET KAYIT'!N44,""),"")</f>
        <v/>
      </c>
      <c r="K44" s="11" t="str">
        <f>IFERROR(IF('ŞİKAYET KAYIT'!P44="Kapatıldı",'ŞİKAYET KAYIT'!O44,""),"")</f>
        <v/>
      </c>
      <c r="L44" s="12" t="str">
        <f>IFERROR(IF('ŞİKAYET KAYIT'!P44="Kapatıldı",'ŞİKAYET KAYIT'!Q44,""),"")</f>
        <v/>
      </c>
      <c r="M44" s="11" t="str">
        <f>IFERROR(IF('ŞİKAYET KAYIT'!P44="Kapatıldı",'ŞİKAYET KAYIT'!R44,""),"")</f>
        <v/>
      </c>
      <c r="N44" s="11"/>
    </row>
    <row r="45" spans="1:14" ht="15" customHeight="1" x14ac:dyDescent="0.3">
      <c r="A45" s="26" t="str">
        <f>IFERROR(IF('ŞİKAYET KAYIT'!P45="Kapatıldı",'ŞİKAYET KAYIT'!A45,""),"")</f>
        <v/>
      </c>
      <c r="B45" s="8" t="str">
        <f>IFERROR(IF('ŞİKAYET KAYIT'!P45="Kapatıldı",'ŞİKAYET KAYIT'!B45,""),"")</f>
        <v/>
      </c>
      <c r="C45" s="26" t="str">
        <f>IFERROR(IF('ŞİKAYET KAYIT'!P45="Kapatıldı",'ŞİKAYET KAYIT'!D45,""),"")</f>
        <v/>
      </c>
      <c r="D45" s="26" t="str">
        <f>IFERROR(IF('ŞİKAYET KAYIT'!P45="Kapatıldı",'ŞİKAYET KAYIT'!F45,""),"")</f>
        <v/>
      </c>
      <c r="E45" s="26" t="str">
        <f>IFERROR(IF('ŞİKAYET KAYIT'!P45="Kapatıldı",'ŞİKAYET KAYIT'!H45,""),"")</f>
        <v/>
      </c>
      <c r="F45" s="26" t="str">
        <f>IFERROR(IF('ŞİKAYET KAYIT'!P45="Kapatıldı",'ŞİKAYET KAYIT'!J45,""),"")</f>
        <v/>
      </c>
      <c r="G45" s="26" t="str">
        <f>IFERROR(IF('ŞİKAYET KAYIT'!P45="Kapatıldı",'ŞİKAYET KAYIT'!K45,""),"")</f>
        <v/>
      </c>
      <c r="H45" s="26" t="str">
        <f>IFERROR(IF('ŞİKAYET KAYIT'!P45="Kapatıldı",'ŞİKAYET KAYIT'!L45,""),"")</f>
        <v/>
      </c>
      <c r="I45" s="26" t="str">
        <f>IFERROR(IF('ŞİKAYET KAYIT'!P45="Kapatıldı",'ŞİKAYET KAYIT'!M45,""),"")</f>
        <v/>
      </c>
      <c r="J45" s="26" t="str">
        <f>IFERROR(IF('ŞİKAYET KAYIT'!P45="Kapatıldı",'ŞİKAYET KAYIT'!N45,""),"")</f>
        <v/>
      </c>
      <c r="K45" s="26" t="str">
        <f>IFERROR(IF('ŞİKAYET KAYIT'!P45="Kapatıldı",'ŞİKAYET KAYIT'!O45,""),"")</f>
        <v/>
      </c>
      <c r="L45" s="8" t="str">
        <f>IFERROR(IF('ŞİKAYET KAYIT'!P45="Kapatıldı",'ŞİKAYET KAYIT'!Q45,""),"")</f>
        <v/>
      </c>
      <c r="M45" s="26" t="str">
        <f>IFERROR(IF('ŞİKAYET KAYIT'!P45="Kapatıldı",'ŞİKAYET KAYIT'!R45,""),"")</f>
        <v/>
      </c>
      <c r="N45" s="26"/>
    </row>
    <row r="46" spans="1:14" ht="15" customHeight="1" x14ac:dyDescent="0.3">
      <c r="A46" s="11" t="str">
        <f>IFERROR(IF('ŞİKAYET KAYIT'!P46="Kapatıldı",'ŞİKAYET KAYIT'!A46,""),"")</f>
        <v/>
      </c>
      <c r="B46" s="12" t="str">
        <f>IFERROR(IF('ŞİKAYET KAYIT'!P46="Kapatıldı",'ŞİKAYET KAYIT'!B46,""),"")</f>
        <v/>
      </c>
      <c r="C46" s="11" t="str">
        <f>IFERROR(IF('ŞİKAYET KAYIT'!P46="Kapatıldı",'ŞİKAYET KAYIT'!D46,""),"")</f>
        <v/>
      </c>
      <c r="D46" s="11" t="str">
        <f>IFERROR(IF('ŞİKAYET KAYIT'!P46="Kapatıldı",'ŞİKAYET KAYIT'!F46,""),"")</f>
        <v/>
      </c>
      <c r="E46" s="11" t="str">
        <f>IFERROR(IF('ŞİKAYET KAYIT'!P46="Kapatıldı",'ŞİKAYET KAYIT'!H46,""),"")</f>
        <v/>
      </c>
      <c r="F46" s="11" t="str">
        <f>IFERROR(IF('ŞİKAYET KAYIT'!P46="Kapatıldı",'ŞİKAYET KAYIT'!J46,""),"")</f>
        <v/>
      </c>
      <c r="G46" s="11" t="str">
        <f>IFERROR(IF('ŞİKAYET KAYIT'!P46="Kapatıldı",'ŞİKAYET KAYIT'!K46,""),"")</f>
        <v/>
      </c>
      <c r="H46" s="11" t="str">
        <f>IFERROR(IF('ŞİKAYET KAYIT'!P46="Kapatıldı",'ŞİKAYET KAYIT'!L46,""),"")</f>
        <v/>
      </c>
      <c r="I46" s="11" t="str">
        <f>IFERROR(IF('ŞİKAYET KAYIT'!P46="Kapatıldı",'ŞİKAYET KAYIT'!M46,""),"")</f>
        <v/>
      </c>
      <c r="J46" s="11" t="str">
        <f>IFERROR(IF('ŞİKAYET KAYIT'!P46="Kapatıldı",'ŞİKAYET KAYIT'!N46,""),"")</f>
        <v/>
      </c>
      <c r="K46" s="11" t="str">
        <f>IFERROR(IF('ŞİKAYET KAYIT'!P46="Kapatıldı",'ŞİKAYET KAYIT'!O46,""),"")</f>
        <v/>
      </c>
      <c r="L46" s="12" t="str">
        <f>IFERROR(IF('ŞİKAYET KAYIT'!P46="Kapatıldı",'ŞİKAYET KAYIT'!Q46,""),"")</f>
        <v/>
      </c>
      <c r="M46" s="11" t="str">
        <f>IFERROR(IF('ŞİKAYET KAYIT'!P46="Kapatıldı",'ŞİKAYET KAYIT'!R46,""),"")</f>
        <v/>
      </c>
      <c r="N46" s="11"/>
    </row>
    <row r="47" spans="1:14" ht="15" customHeight="1" x14ac:dyDescent="0.3">
      <c r="A47" s="26" t="str">
        <f>IFERROR(IF('ŞİKAYET KAYIT'!P47="Kapatıldı",'ŞİKAYET KAYIT'!A47,""),"")</f>
        <v/>
      </c>
      <c r="B47" s="8" t="str">
        <f>IFERROR(IF('ŞİKAYET KAYIT'!P47="Kapatıldı",'ŞİKAYET KAYIT'!B47,""),"")</f>
        <v/>
      </c>
      <c r="C47" s="26" t="str">
        <f>IFERROR(IF('ŞİKAYET KAYIT'!P47="Kapatıldı",'ŞİKAYET KAYIT'!D47,""),"")</f>
        <v/>
      </c>
      <c r="D47" s="26" t="str">
        <f>IFERROR(IF('ŞİKAYET KAYIT'!P47="Kapatıldı",'ŞİKAYET KAYIT'!F47,""),"")</f>
        <v/>
      </c>
      <c r="E47" s="26" t="str">
        <f>IFERROR(IF('ŞİKAYET KAYIT'!P47="Kapatıldı",'ŞİKAYET KAYIT'!H47,""),"")</f>
        <v/>
      </c>
      <c r="F47" s="26" t="str">
        <f>IFERROR(IF('ŞİKAYET KAYIT'!P47="Kapatıldı",'ŞİKAYET KAYIT'!J47,""),"")</f>
        <v/>
      </c>
      <c r="G47" s="26" t="str">
        <f>IFERROR(IF('ŞİKAYET KAYIT'!P47="Kapatıldı",'ŞİKAYET KAYIT'!K47,""),"")</f>
        <v/>
      </c>
      <c r="H47" s="26" t="str">
        <f>IFERROR(IF('ŞİKAYET KAYIT'!P47="Kapatıldı",'ŞİKAYET KAYIT'!L47,""),"")</f>
        <v/>
      </c>
      <c r="I47" s="26" t="str">
        <f>IFERROR(IF('ŞİKAYET KAYIT'!P47="Kapatıldı",'ŞİKAYET KAYIT'!M47,""),"")</f>
        <v/>
      </c>
      <c r="J47" s="26" t="str">
        <f>IFERROR(IF('ŞİKAYET KAYIT'!P47="Kapatıldı",'ŞİKAYET KAYIT'!N47,""),"")</f>
        <v/>
      </c>
      <c r="K47" s="26" t="str">
        <f>IFERROR(IF('ŞİKAYET KAYIT'!P47="Kapatıldı",'ŞİKAYET KAYIT'!O47,""),"")</f>
        <v/>
      </c>
      <c r="L47" s="8" t="str">
        <f>IFERROR(IF('ŞİKAYET KAYIT'!P47="Kapatıldı",'ŞİKAYET KAYIT'!Q47,""),"")</f>
        <v/>
      </c>
      <c r="M47" s="26" t="str">
        <f>IFERROR(IF('ŞİKAYET KAYIT'!P47="Kapatıldı",'ŞİKAYET KAYIT'!R47,""),"")</f>
        <v/>
      </c>
      <c r="N47" s="26"/>
    </row>
    <row r="48" spans="1:14" ht="15" customHeight="1" x14ac:dyDescent="0.3">
      <c r="A48" s="11" t="str">
        <f>IFERROR(IF('ŞİKAYET KAYIT'!P48="Kapatıldı",'ŞİKAYET KAYIT'!A48,""),"")</f>
        <v/>
      </c>
      <c r="B48" s="12" t="str">
        <f>IFERROR(IF('ŞİKAYET KAYIT'!P48="Kapatıldı",'ŞİKAYET KAYIT'!B48,""),"")</f>
        <v/>
      </c>
      <c r="C48" s="11" t="str">
        <f>IFERROR(IF('ŞİKAYET KAYIT'!P48="Kapatıldı",'ŞİKAYET KAYIT'!D48,""),"")</f>
        <v/>
      </c>
      <c r="D48" s="11" t="str">
        <f>IFERROR(IF('ŞİKAYET KAYIT'!P48="Kapatıldı",'ŞİKAYET KAYIT'!F48,""),"")</f>
        <v/>
      </c>
      <c r="E48" s="11" t="str">
        <f>IFERROR(IF('ŞİKAYET KAYIT'!P48="Kapatıldı",'ŞİKAYET KAYIT'!H48,""),"")</f>
        <v/>
      </c>
      <c r="F48" s="11" t="str">
        <f>IFERROR(IF('ŞİKAYET KAYIT'!P48="Kapatıldı",'ŞİKAYET KAYIT'!J48,""),"")</f>
        <v/>
      </c>
      <c r="G48" s="11" t="str">
        <f>IFERROR(IF('ŞİKAYET KAYIT'!P48="Kapatıldı",'ŞİKAYET KAYIT'!K48,""),"")</f>
        <v/>
      </c>
      <c r="H48" s="11" t="str">
        <f>IFERROR(IF('ŞİKAYET KAYIT'!P48="Kapatıldı",'ŞİKAYET KAYIT'!L48,""),"")</f>
        <v/>
      </c>
      <c r="I48" s="11" t="str">
        <f>IFERROR(IF('ŞİKAYET KAYIT'!P48="Kapatıldı",'ŞİKAYET KAYIT'!M48,""),"")</f>
        <v/>
      </c>
      <c r="J48" s="11" t="str">
        <f>IFERROR(IF('ŞİKAYET KAYIT'!P48="Kapatıldı",'ŞİKAYET KAYIT'!N48,""),"")</f>
        <v/>
      </c>
      <c r="K48" s="11" t="str">
        <f>IFERROR(IF('ŞİKAYET KAYIT'!P48="Kapatıldı",'ŞİKAYET KAYIT'!O48,""),"")</f>
        <v/>
      </c>
      <c r="L48" s="12" t="str">
        <f>IFERROR(IF('ŞİKAYET KAYIT'!P48="Kapatıldı",'ŞİKAYET KAYIT'!Q48,""),"")</f>
        <v/>
      </c>
      <c r="M48" s="11" t="str">
        <f>IFERROR(IF('ŞİKAYET KAYIT'!P48="Kapatıldı",'ŞİKAYET KAYIT'!R48,""),"")</f>
        <v/>
      </c>
      <c r="N48" s="11"/>
    </row>
    <row r="49" spans="1:14" ht="15" customHeight="1" x14ac:dyDescent="0.3">
      <c r="A49" s="26" t="str">
        <f>IFERROR(IF('ŞİKAYET KAYIT'!P49="Kapatıldı",'ŞİKAYET KAYIT'!A49,""),"")</f>
        <v/>
      </c>
      <c r="B49" s="8" t="str">
        <f>IFERROR(IF('ŞİKAYET KAYIT'!P49="Kapatıldı",'ŞİKAYET KAYIT'!B49,""),"")</f>
        <v/>
      </c>
      <c r="C49" s="26" t="str">
        <f>IFERROR(IF('ŞİKAYET KAYIT'!P49="Kapatıldı",'ŞİKAYET KAYIT'!D49,""),"")</f>
        <v/>
      </c>
      <c r="D49" s="26" t="str">
        <f>IFERROR(IF('ŞİKAYET KAYIT'!P49="Kapatıldı",'ŞİKAYET KAYIT'!F49,""),"")</f>
        <v/>
      </c>
      <c r="E49" s="26" t="str">
        <f>IFERROR(IF('ŞİKAYET KAYIT'!P49="Kapatıldı",'ŞİKAYET KAYIT'!H49,""),"")</f>
        <v/>
      </c>
      <c r="F49" s="26" t="str">
        <f>IFERROR(IF('ŞİKAYET KAYIT'!P49="Kapatıldı",'ŞİKAYET KAYIT'!J49,""),"")</f>
        <v/>
      </c>
      <c r="G49" s="26" t="str">
        <f>IFERROR(IF('ŞİKAYET KAYIT'!P49="Kapatıldı",'ŞİKAYET KAYIT'!K49,""),"")</f>
        <v/>
      </c>
      <c r="H49" s="26" t="str">
        <f>IFERROR(IF('ŞİKAYET KAYIT'!P49="Kapatıldı",'ŞİKAYET KAYIT'!L49,""),"")</f>
        <v/>
      </c>
      <c r="I49" s="26" t="str">
        <f>IFERROR(IF('ŞİKAYET KAYIT'!P49="Kapatıldı",'ŞİKAYET KAYIT'!M49,""),"")</f>
        <v/>
      </c>
      <c r="J49" s="26" t="str">
        <f>IFERROR(IF('ŞİKAYET KAYIT'!P49="Kapatıldı",'ŞİKAYET KAYIT'!N49,""),"")</f>
        <v/>
      </c>
      <c r="K49" s="26" t="str">
        <f>IFERROR(IF('ŞİKAYET KAYIT'!P49="Kapatıldı",'ŞİKAYET KAYIT'!O49,""),"")</f>
        <v/>
      </c>
      <c r="L49" s="8" t="str">
        <f>IFERROR(IF('ŞİKAYET KAYIT'!P49="Kapatıldı",'ŞİKAYET KAYIT'!Q49,""),"")</f>
        <v/>
      </c>
      <c r="M49" s="26" t="str">
        <f>IFERROR(IF('ŞİKAYET KAYIT'!P49="Kapatıldı",'ŞİKAYET KAYIT'!R49,""),"")</f>
        <v/>
      </c>
      <c r="N49" s="26"/>
    </row>
    <row r="50" spans="1:14" ht="15" customHeight="1" x14ac:dyDescent="0.3">
      <c r="A50" s="11" t="str">
        <f>IFERROR(IF('ŞİKAYET KAYIT'!P50="Kapatıldı",'ŞİKAYET KAYIT'!A50,""),"")</f>
        <v/>
      </c>
      <c r="B50" s="12" t="str">
        <f>IFERROR(IF('ŞİKAYET KAYIT'!P50="Kapatıldı",'ŞİKAYET KAYIT'!B50,""),"")</f>
        <v/>
      </c>
      <c r="C50" s="11" t="str">
        <f>IFERROR(IF('ŞİKAYET KAYIT'!P50="Kapatıldı",'ŞİKAYET KAYIT'!D50,""),"")</f>
        <v/>
      </c>
      <c r="D50" s="11" t="str">
        <f>IFERROR(IF('ŞİKAYET KAYIT'!P50="Kapatıldı",'ŞİKAYET KAYIT'!F50,""),"")</f>
        <v/>
      </c>
      <c r="E50" s="11" t="str">
        <f>IFERROR(IF('ŞİKAYET KAYIT'!P50="Kapatıldı",'ŞİKAYET KAYIT'!H50,""),"")</f>
        <v/>
      </c>
      <c r="F50" s="11" t="str">
        <f>IFERROR(IF('ŞİKAYET KAYIT'!P50="Kapatıldı",'ŞİKAYET KAYIT'!J50,""),"")</f>
        <v/>
      </c>
      <c r="G50" s="11" t="str">
        <f>IFERROR(IF('ŞİKAYET KAYIT'!P50="Kapatıldı",'ŞİKAYET KAYIT'!K50,""),"")</f>
        <v/>
      </c>
      <c r="H50" s="11" t="str">
        <f>IFERROR(IF('ŞİKAYET KAYIT'!P50="Kapatıldı",'ŞİKAYET KAYIT'!L50,""),"")</f>
        <v/>
      </c>
      <c r="I50" s="11" t="str">
        <f>IFERROR(IF('ŞİKAYET KAYIT'!P50="Kapatıldı",'ŞİKAYET KAYIT'!M50,""),"")</f>
        <v/>
      </c>
      <c r="J50" s="11" t="str">
        <f>IFERROR(IF('ŞİKAYET KAYIT'!P50="Kapatıldı",'ŞİKAYET KAYIT'!N50,""),"")</f>
        <v/>
      </c>
      <c r="K50" s="11" t="str">
        <f>IFERROR(IF('ŞİKAYET KAYIT'!P50="Kapatıldı",'ŞİKAYET KAYIT'!O50,""),"")</f>
        <v/>
      </c>
      <c r="L50" s="12" t="str">
        <f>IFERROR(IF('ŞİKAYET KAYIT'!P50="Kapatıldı",'ŞİKAYET KAYIT'!Q50,""),"")</f>
        <v/>
      </c>
      <c r="M50" s="11" t="str">
        <f>IFERROR(IF('ŞİKAYET KAYIT'!P50="Kapatıldı",'ŞİKAYET KAYIT'!R50,""),"")</f>
        <v/>
      </c>
      <c r="N50" s="11"/>
    </row>
    <row r="51" spans="1:14" ht="15" customHeight="1" x14ac:dyDescent="0.3">
      <c r="A51" s="26" t="str">
        <f>IFERROR(IF('ŞİKAYET KAYIT'!P51="Kapatıldı",'ŞİKAYET KAYIT'!A51,""),"")</f>
        <v/>
      </c>
      <c r="B51" s="8" t="str">
        <f>IFERROR(IF('ŞİKAYET KAYIT'!P51="Kapatıldı",'ŞİKAYET KAYIT'!B51,""),"")</f>
        <v/>
      </c>
      <c r="C51" s="26" t="str">
        <f>IFERROR(IF('ŞİKAYET KAYIT'!P51="Kapatıldı",'ŞİKAYET KAYIT'!D51,""),"")</f>
        <v/>
      </c>
      <c r="D51" s="26" t="str">
        <f>IFERROR(IF('ŞİKAYET KAYIT'!P51="Kapatıldı",'ŞİKAYET KAYIT'!F51,""),"")</f>
        <v/>
      </c>
      <c r="E51" s="26" t="str">
        <f>IFERROR(IF('ŞİKAYET KAYIT'!P51="Kapatıldı",'ŞİKAYET KAYIT'!H51,""),"")</f>
        <v/>
      </c>
      <c r="F51" s="26" t="str">
        <f>IFERROR(IF('ŞİKAYET KAYIT'!P51="Kapatıldı",'ŞİKAYET KAYIT'!J51,""),"")</f>
        <v/>
      </c>
      <c r="G51" s="26" t="str">
        <f>IFERROR(IF('ŞİKAYET KAYIT'!P51="Kapatıldı",'ŞİKAYET KAYIT'!K51,""),"")</f>
        <v/>
      </c>
      <c r="H51" s="26" t="str">
        <f>IFERROR(IF('ŞİKAYET KAYIT'!P51="Kapatıldı",'ŞİKAYET KAYIT'!L51,""),"")</f>
        <v/>
      </c>
      <c r="I51" s="26" t="str">
        <f>IFERROR(IF('ŞİKAYET KAYIT'!P51="Kapatıldı",'ŞİKAYET KAYIT'!M51,""),"")</f>
        <v/>
      </c>
      <c r="J51" s="26" t="str">
        <f>IFERROR(IF('ŞİKAYET KAYIT'!P51="Kapatıldı",'ŞİKAYET KAYIT'!N51,""),"")</f>
        <v/>
      </c>
      <c r="K51" s="26" t="str">
        <f>IFERROR(IF('ŞİKAYET KAYIT'!P51="Kapatıldı",'ŞİKAYET KAYIT'!O51,""),"")</f>
        <v/>
      </c>
      <c r="L51" s="8" t="str">
        <f>IFERROR(IF('ŞİKAYET KAYIT'!P51="Kapatıldı",'ŞİKAYET KAYIT'!Q51,""),"")</f>
        <v/>
      </c>
      <c r="M51" s="26" t="str">
        <f>IFERROR(IF('ŞİKAYET KAYIT'!P51="Kapatıldı",'ŞİKAYET KAYIT'!R51,""),"")</f>
        <v/>
      </c>
      <c r="N51" s="26"/>
    </row>
    <row r="52" spans="1:14" ht="15" customHeight="1" x14ac:dyDescent="0.3">
      <c r="A52" s="11" t="str">
        <f>IFERROR(IF('ŞİKAYET KAYIT'!P52="Kapatıldı",'ŞİKAYET KAYIT'!A52,""),"")</f>
        <v/>
      </c>
      <c r="B52" s="12" t="str">
        <f>IFERROR(IF('ŞİKAYET KAYIT'!P52="Kapatıldı",'ŞİKAYET KAYIT'!B52,""),"")</f>
        <v/>
      </c>
      <c r="C52" s="11" t="str">
        <f>IFERROR(IF('ŞİKAYET KAYIT'!P52="Kapatıldı",'ŞİKAYET KAYIT'!D52,""),"")</f>
        <v/>
      </c>
      <c r="D52" s="11" t="str">
        <f>IFERROR(IF('ŞİKAYET KAYIT'!P52="Kapatıldı",'ŞİKAYET KAYIT'!F52,""),"")</f>
        <v/>
      </c>
      <c r="E52" s="11" t="str">
        <f>IFERROR(IF('ŞİKAYET KAYIT'!P52="Kapatıldı",'ŞİKAYET KAYIT'!H52,""),"")</f>
        <v/>
      </c>
      <c r="F52" s="11" t="str">
        <f>IFERROR(IF('ŞİKAYET KAYIT'!P52="Kapatıldı",'ŞİKAYET KAYIT'!J52,""),"")</f>
        <v/>
      </c>
      <c r="G52" s="11" t="str">
        <f>IFERROR(IF('ŞİKAYET KAYIT'!P52="Kapatıldı",'ŞİKAYET KAYIT'!K52,""),"")</f>
        <v/>
      </c>
      <c r="H52" s="11" t="str">
        <f>IFERROR(IF('ŞİKAYET KAYIT'!P52="Kapatıldı",'ŞİKAYET KAYIT'!L52,""),"")</f>
        <v/>
      </c>
      <c r="I52" s="11" t="str">
        <f>IFERROR(IF('ŞİKAYET KAYIT'!P52="Kapatıldı",'ŞİKAYET KAYIT'!M52,""),"")</f>
        <v/>
      </c>
      <c r="J52" s="11" t="str">
        <f>IFERROR(IF('ŞİKAYET KAYIT'!P52="Kapatıldı",'ŞİKAYET KAYIT'!N52,""),"")</f>
        <v/>
      </c>
      <c r="K52" s="11" t="str">
        <f>IFERROR(IF('ŞİKAYET KAYIT'!P52="Kapatıldı",'ŞİKAYET KAYIT'!O52,""),"")</f>
        <v/>
      </c>
      <c r="L52" s="12" t="str">
        <f>IFERROR(IF('ŞİKAYET KAYIT'!P52="Kapatıldı",'ŞİKAYET KAYIT'!Q52,""),"")</f>
        <v/>
      </c>
      <c r="M52" s="11" t="str">
        <f>IFERROR(IF('ŞİKAYET KAYIT'!P52="Kapatıldı",'ŞİKAYET KAYIT'!R52,""),"")</f>
        <v/>
      </c>
      <c r="N52" s="11"/>
    </row>
    <row r="53" spans="1:14" ht="15" customHeight="1" x14ac:dyDescent="0.3">
      <c r="A53" s="26" t="str">
        <f>IFERROR(IF('ŞİKAYET KAYIT'!P53="Kapatıldı",'ŞİKAYET KAYIT'!A53,""),"")</f>
        <v/>
      </c>
      <c r="B53" s="8" t="str">
        <f>IFERROR(IF('ŞİKAYET KAYIT'!P53="Kapatıldı",'ŞİKAYET KAYIT'!B53,""),"")</f>
        <v/>
      </c>
      <c r="C53" s="26" t="str">
        <f>IFERROR(IF('ŞİKAYET KAYIT'!P53="Kapatıldı",'ŞİKAYET KAYIT'!D53,""),"")</f>
        <v/>
      </c>
      <c r="D53" s="26" t="str">
        <f>IFERROR(IF('ŞİKAYET KAYIT'!P53="Kapatıldı",'ŞİKAYET KAYIT'!F53,""),"")</f>
        <v/>
      </c>
      <c r="E53" s="26" t="str">
        <f>IFERROR(IF('ŞİKAYET KAYIT'!P53="Kapatıldı",'ŞİKAYET KAYIT'!H53,""),"")</f>
        <v/>
      </c>
      <c r="F53" s="26" t="str">
        <f>IFERROR(IF('ŞİKAYET KAYIT'!P53="Kapatıldı",'ŞİKAYET KAYIT'!J53,""),"")</f>
        <v/>
      </c>
      <c r="G53" s="26" t="str">
        <f>IFERROR(IF('ŞİKAYET KAYIT'!P53="Kapatıldı",'ŞİKAYET KAYIT'!K53,""),"")</f>
        <v/>
      </c>
      <c r="H53" s="26" t="str">
        <f>IFERROR(IF('ŞİKAYET KAYIT'!P53="Kapatıldı",'ŞİKAYET KAYIT'!L53,""),"")</f>
        <v/>
      </c>
      <c r="I53" s="26" t="str">
        <f>IFERROR(IF('ŞİKAYET KAYIT'!P53="Kapatıldı",'ŞİKAYET KAYIT'!M53,""),"")</f>
        <v/>
      </c>
      <c r="J53" s="26" t="str">
        <f>IFERROR(IF('ŞİKAYET KAYIT'!P53="Kapatıldı",'ŞİKAYET KAYIT'!N53,""),"")</f>
        <v/>
      </c>
      <c r="K53" s="26" t="str">
        <f>IFERROR(IF('ŞİKAYET KAYIT'!P53="Kapatıldı",'ŞİKAYET KAYIT'!O53,""),"")</f>
        <v/>
      </c>
      <c r="L53" s="8" t="str">
        <f>IFERROR(IF('ŞİKAYET KAYIT'!P53="Kapatıldı",'ŞİKAYET KAYIT'!Q53,""),"")</f>
        <v/>
      </c>
      <c r="M53" s="26" t="str">
        <f>IFERROR(IF('ŞİKAYET KAYIT'!P53="Kapatıldı",'ŞİKAYET KAYIT'!R53,""),"")</f>
        <v/>
      </c>
      <c r="N53" s="26"/>
    </row>
    <row r="54" spans="1:14" ht="15" customHeight="1" x14ac:dyDescent="0.3">
      <c r="A54" s="11" t="str">
        <f>IFERROR(IF('ŞİKAYET KAYIT'!P54="Kapatıldı",'ŞİKAYET KAYIT'!A54,""),"")</f>
        <v/>
      </c>
      <c r="B54" s="12" t="str">
        <f>IFERROR(IF('ŞİKAYET KAYIT'!P54="Kapatıldı",'ŞİKAYET KAYIT'!B54,""),"")</f>
        <v/>
      </c>
      <c r="C54" s="11" t="str">
        <f>IFERROR(IF('ŞİKAYET KAYIT'!P54="Kapatıldı",'ŞİKAYET KAYIT'!D54,""),"")</f>
        <v/>
      </c>
      <c r="D54" s="11" t="str">
        <f>IFERROR(IF('ŞİKAYET KAYIT'!P54="Kapatıldı",'ŞİKAYET KAYIT'!F54,""),"")</f>
        <v/>
      </c>
      <c r="E54" s="11" t="str">
        <f>IFERROR(IF('ŞİKAYET KAYIT'!P54="Kapatıldı",'ŞİKAYET KAYIT'!H54,""),"")</f>
        <v/>
      </c>
      <c r="F54" s="11" t="str">
        <f>IFERROR(IF('ŞİKAYET KAYIT'!P54="Kapatıldı",'ŞİKAYET KAYIT'!J54,""),"")</f>
        <v/>
      </c>
      <c r="G54" s="11" t="str">
        <f>IFERROR(IF('ŞİKAYET KAYIT'!P54="Kapatıldı",'ŞİKAYET KAYIT'!K54,""),"")</f>
        <v/>
      </c>
      <c r="H54" s="11" t="str">
        <f>IFERROR(IF('ŞİKAYET KAYIT'!P54="Kapatıldı",'ŞİKAYET KAYIT'!L54,""),"")</f>
        <v/>
      </c>
      <c r="I54" s="11" t="str">
        <f>IFERROR(IF('ŞİKAYET KAYIT'!P54="Kapatıldı",'ŞİKAYET KAYIT'!M54,""),"")</f>
        <v/>
      </c>
      <c r="J54" s="11" t="str">
        <f>IFERROR(IF('ŞİKAYET KAYIT'!P54="Kapatıldı",'ŞİKAYET KAYIT'!N54,""),"")</f>
        <v/>
      </c>
      <c r="K54" s="11" t="str">
        <f>IFERROR(IF('ŞİKAYET KAYIT'!P54="Kapatıldı",'ŞİKAYET KAYIT'!O54,""),"")</f>
        <v/>
      </c>
      <c r="L54" s="12" t="str">
        <f>IFERROR(IF('ŞİKAYET KAYIT'!P54="Kapatıldı",'ŞİKAYET KAYIT'!Q54,""),"")</f>
        <v/>
      </c>
      <c r="M54" s="11" t="str">
        <f>IFERROR(IF('ŞİKAYET KAYIT'!P54="Kapatıldı",'ŞİKAYET KAYIT'!R54,""),"")</f>
        <v/>
      </c>
      <c r="N54" s="11"/>
    </row>
    <row r="55" spans="1:14" ht="15" customHeight="1" x14ac:dyDescent="0.3">
      <c r="A55" s="26" t="str">
        <f>IFERROR(IF('ŞİKAYET KAYIT'!P55="Kapatıldı",'ŞİKAYET KAYIT'!A55,""),"")</f>
        <v/>
      </c>
      <c r="B55" s="8" t="str">
        <f>IFERROR(IF('ŞİKAYET KAYIT'!P55="Kapatıldı",'ŞİKAYET KAYIT'!B55,""),"")</f>
        <v/>
      </c>
      <c r="C55" s="26" t="str">
        <f>IFERROR(IF('ŞİKAYET KAYIT'!P55="Kapatıldı",'ŞİKAYET KAYIT'!D55,""),"")</f>
        <v/>
      </c>
      <c r="D55" s="26" t="str">
        <f>IFERROR(IF('ŞİKAYET KAYIT'!P55="Kapatıldı",'ŞİKAYET KAYIT'!F55,""),"")</f>
        <v/>
      </c>
      <c r="E55" s="26" t="str">
        <f>IFERROR(IF('ŞİKAYET KAYIT'!P55="Kapatıldı",'ŞİKAYET KAYIT'!H55,""),"")</f>
        <v/>
      </c>
      <c r="F55" s="26" t="str">
        <f>IFERROR(IF('ŞİKAYET KAYIT'!P55="Kapatıldı",'ŞİKAYET KAYIT'!J55,""),"")</f>
        <v/>
      </c>
      <c r="G55" s="26" t="str">
        <f>IFERROR(IF('ŞİKAYET KAYIT'!P55="Kapatıldı",'ŞİKAYET KAYIT'!K55,""),"")</f>
        <v/>
      </c>
      <c r="H55" s="26" t="str">
        <f>IFERROR(IF('ŞİKAYET KAYIT'!P55="Kapatıldı",'ŞİKAYET KAYIT'!L55,""),"")</f>
        <v/>
      </c>
      <c r="I55" s="26" t="str">
        <f>IFERROR(IF('ŞİKAYET KAYIT'!P55="Kapatıldı",'ŞİKAYET KAYIT'!M55,""),"")</f>
        <v/>
      </c>
      <c r="J55" s="26" t="str">
        <f>IFERROR(IF('ŞİKAYET KAYIT'!P55="Kapatıldı",'ŞİKAYET KAYIT'!N55,""),"")</f>
        <v/>
      </c>
      <c r="K55" s="26" t="str">
        <f>IFERROR(IF('ŞİKAYET KAYIT'!P55="Kapatıldı",'ŞİKAYET KAYIT'!O55,""),"")</f>
        <v/>
      </c>
      <c r="L55" s="8" t="str">
        <f>IFERROR(IF('ŞİKAYET KAYIT'!P55="Kapatıldı",'ŞİKAYET KAYIT'!Q55,""),"")</f>
        <v/>
      </c>
      <c r="M55" s="26" t="str">
        <f>IFERROR(IF('ŞİKAYET KAYIT'!P55="Kapatıldı",'ŞİKAYET KAYIT'!R55,""),"")</f>
        <v/>
      </c>
      <c r="N55" s="26"/>
    </row>
    <row r="56" spans="1:14" ht="15" customHeight="1" x14ac:dyDescent="0.3">
      <c r="A56" s="11" t="str">
        <f>IFERROR(IF('ŞİKAYET KAYIT'!P56="Kapatıldı",'ŞİKAYET KAYIT'!A56,""),"")</f>
        <v/>
      </c>
      <c r="B56" s="12" t="str">
        <f>IFERROR(IF('ŞİKAYET KAYIT'!P56="Kapatıldı",'ŞİKAYET KAYIT'!B56,""),"")</f>
        <v/>
      </c>
      <c r="C56" s="11" t="str">
        <f>IFERROR(IF('ŞİKAYET KAYIT'!P56="Kapatıldı",'ŞİKAYET KAYIT'!D56,""),"")</f>
        <v/>
      </c>
      <c r="D56" s="11" t="str">
        <f>IFERROR(IF('ŞİKAYET KAYIT'!P56="Kapatıldı",'ŞİKAYET KAYIT'!F56,""),"")</f>
        <v/>
      </c>
      <c r="E56" s="11" t="str">
        <f>IFERROR(IF('ŞİKAYET KAYIT'!P56="Kapatıldı",'ŞİKAYET KAYIT'!H56,""),"")</f>
        <v/>
      </c>
      <c r="F56" s="11" t="str">
        <f>IFERROR(IF('ŞİKAYET KAYIT'!P56="Kapatıldı",'ŞİKAYET KAYIT'!J56,""),"")</f>
        <v/>
      </c>
      <c r="G56" s="11" t="str">
        <f>IFERROR(IF('ŞİKAYET KAYIT'!P56="Kapatıldı",'ŞİKAYET KAYIT'!K56,""),"")</f>
        <v/>
      </c>
      <c r="H56" s="11" t="str">
        <f>IFERROR(IF('ŞİKAYET KAYIT'!P56="Kapatıldı",'ŞİKAYET KAYIT'!L56,""),"")</f>
        <v/>
      </c>
      <c r="I56" s="11" t="str">
        <f>IFERROR(IF('ŞİKAYET KAYIT'!P56="Kapatıldı",'ŞİKAYET KAYIT'!M56,""),"")</f>
        <v/>
      </c>
      <c r="J56" s="11" t="str">
        <f>IFERROR(IF('ŞİKAYET KAYIT'!P56="Kapatıldı",'ŞİKAYET KAYIT'!N56,""),"")</f>
        <v/>
      </c>
      <c r="K56" s="11" t="str">
        <f>IFERROR(IF('ŞİKAYET KAYIT'!P56="Kapatıldı",'ŞİKAYET KAYIT'!O56,""),"")</f>
        <v/>
      </c>
      <c r="L56" s="12" t="str">
        <f>IFERROR(IF('ŞİKAYET KAYIT'!P56="Kapatıldı",'ŞİKAYET KAYIT'!Q56,""),"")</f>
        <v/>
      </c>
      <c r="M56" s="11" t="str">
        <f>IFERROR(IF('ŞİKAYET KAYIT'!P56="Kapatıldı",'ŞİKAYET KAYIT'!R56,""),"")</f>
        <v/>
      </c>
      <c r="N56" s="11"/>
    </row>
    <row r="57" spans="1:14" ht="15" customHeight="1" x14ac:dyDescent="0.3">
      <c r="A57" s="26" t="str">
        <f>IFERROR(IF('ŞİKAYET KAYIT'!P57="Kapatıldı",'ŞİKAYET KAYIT'!A57,""),"")</f>
        <v/>
      </c>
      <c r="B57" s="8" t="str">
        <f>IFERROR(IF('ŞİKAYET KAYIT'!P57="Kapatıldı",'ŞİKAYET KAYIT'!B57,""),"")</f>
        <v/>
      </c>
      <c r="C57" s="26" t="str">
        <f>IFERROR(IF('ŞİKAYET KAYIT'!P57="Kapatıldı",'ŞİKAYET KAYIT'!D57,""),"")</f>
        <v/>
      </c>
      <c r="D57" s="26" t="str">
        <f>IFERROR(IF('ŞİKAYET KAYIT'!P57="Kapatıldı",'ŞİKAYET KAYIT'!F57,""),"")</f>
        <v/>
      </c>
      <c r="E57" s="26" t="str">
        <f>IFERROR(IF('ŞİKAYET KAYIT'!P57="Kapatıldı",'ŞİKAYET KAYIT'!H57,""),"")</f>
        <v/>
      </c>
      <c r="F57" s="26" t="str">
        <f>IFERROR(IF('ŞİKAYET KAYIT'!P57="Kapatıldı",'ŞİKAYET KAYIT'!J57,""),"")</f>
        <v/>
      </c>
      <c r="G57" s="26" t="str">
        <f>IFERROR(IF('ŞİKAYET KAYIT'!P57="Kapatıldı",'ŞİKAYET KAYIT'!K57,""),"")</f>
        <v/>
      </c>
      <c r="H57" s="26" t="str">
        <f>IFERROR(IF('ŞİKAYET KAYIT'!P57="Kapatıldı",'ŞİKAYET KAYIT'!L57,""),"")</f>
        <v/>
      </c>
      <c r="I57" s="26" t="str">
        <f>IFERROR(IF('ŞİKAYET KAYIT'!P57="Kapatıldı",'ŞİKAYET KAYIT'!M57,""),"")</f>
        <v/>
      </c>
      <c r="J57" s="26" t="str">
        <f>IFERROR(IF('ŞİKAYET KAYIT'!P57="Kapatıldı",'ŞİKAYET KAYIT'!N57,""),"")</f>
        <v/>
      </c>
      <c r="K57" s="26" t="str">
        <f>IFERROR(IF('ŞİKAYET KAYIT'!P57="Kapatıldı",'ŞİKAYET KAYIT'!O57,""),"")</f>
        <v/>
      </c>
      <c r="L57" s="8" t="str">
        <f>IFERROR(IF('ŞİKAYET KAYIT'!P57="Kapatıldı",'ŞİKAYET KAYIT'!Q57,""),"")</f>
        <v/>
      </c>
      <c r="M57" s="26" t="str">
        <f>IFERROR(IF('ŞİKAYET KAYIT'!P57="Kapatıldı",'ŞİKAYET KAYIT'!R57,""),"")</f>
        <v/>
      </c>
      <c r="N57" s="26"/>
    </row>
    <row r="58" spans="1:14" ht="15" customHeight="1" x14ac:dyDescent="0.3">
      <c r="A58" s="11" t="str">
        <f>IFERROR(IF('ŞİKAYET KAYIT'!P58="Kapatıldı",'ŞİKAYET KAYIT'!A58,""),"")</f>
        <v/>
      </c>
      <c r="B58" s="12" t="str">
        <f>IFERROR(IF('ŞİKAYET KAYIT'!P58="Kapatıldı",'ŞİKAYET KAYIT'!B58,""),"")</f>
        <v/>
      </c>
      <c r="C58" s="11" t="str">
        <f>IFERROR(IF('ŞİKAYET KAYIT'!P58="Kapatıldı",'ŞİKAYET KAYIT'!D58,""),"")</f>
        <v/>
      </c>
      <c r="D58" s="11" t="str">
        <f>IFERROR(IF('ŞİKAYET KAYIT'!P58="Kapatıldı",'ŞİKAYET KAYIT'!F58,""),"")</f>
        <v/>
      </c>
      <c r="E58" s="11" t="str">
        <f>IFERROR(IF('ŞİKAYET KAYIT'!P58="Kapatıldı",'ŞİKAYET KAYIT'!H58,""),"")</f>
        <v/>
      </c>
      <c r="F58" s="11" t="str">
        <f>IFERROR(IF('ŞİKAYET KAYIT'!P58="Kapatıldı",'ŞİKAYET KAYIT'!J58,""),"")</f>
        <v/>
      </c>
      <c r="G58" s="11" t="str">
        <f>IFERROR(IF('ŞİKAYET KAYIT'!P58="Kapatıldı",'ŞİKAYET KAYIT'!K58,""),"")</f>
        <v/>
      </c>
      <c r="H58" s="11" t="str">
        <f>IFERROR(IF('ŞİKAYET KAYIT'!P58="Kapatıldı",'ŞİKAYET KAYIT'!L58,""),"")</f>
        <v/>
      </c>
      <c r="I58" s="11" t="str">
        <f>IFERROR(IF('ŞİKAYET KAYIT'!P58="Kapatıldı",'ŞİKAYET KAYIT'!M58,""),"")</f>
        <v/>
      </c>
      <c r="J58" s="11" t="str">
        <f>IFERROR(IF('ŞİKAYET KAYIT'!P58="Kapatıldı",'ŞİKAYET KAYIT'!N58,""),"")</f>
        <v/>
      </c>
      <c r="K58" s="11" t="str">
        <f>IFERROR(IF('ŞİKAYET KAYIT'!P58="Kapatıldı",'ŞİKAYET KAYIT'!O58,""),"")</f>
        <v/>
      </c>
      <c r="L58" s="12" t="str">
        <f>IFERROR(IF('ŞİKAYET KAYIT'!P58="Kapatıldı",'ŞİKAYET KAYIT'!Q58,""),"")</f>
        <v/>
      </c>
      <c r="M58" s="11" t="str">
        <f>IFERROR(IF('ŞİKAYET KAYIT'!P58="Kapatıldı",'ŞİKAYET KAYIT'!R58,""),"")</f>
        <v/>
      </c>
      <c r="N58" s="11"/>
    </row>
    <row r="59" spans="1:14" ht="15" customHeight="1" x14ac:dyDescent="0.3">
      <c r="A59" s="26" t="str">
        <f>IFERROR(IF('ŞİKAYET KAYIT'!P59="Kapatıldı",'ŞİKAYET KAYIT'!A59,""),"")</f>
        <v/>
      </c>
      <c r="B59" s="8" t="str">
        <f>IFERROR(IF('ŞİKAYET KAYIT'!P59="Kapatıldı",'ŞİKAYET KAYIT'!B59,""),"")</f>
        <v/>
      </c>
      <c r="C59" s="26" t="str">
        <f>IFERROR(IF('ŞİKAYET KAYIT'!P59="Kapatıldı",'ŞİKAYET KAYIT'!D59,""),"")</f>
        <v/>
      </c>
      <c r="D59" s="26" t="str">
        <f>IFERROR(IF('ŞİKAYET KAYIT'!P59="Kapatıldı",'ŞİKAYET KAYIT'!F59,""),"")</f>
        <v/>
      </c>
      <c r="E59" s="26" t="str">
        <f>IFERROR(IF('ŞİKAYET KAYIT'!P59="Kapatıldı",'ŞİKAYET KAYIT'!H59,""),"")</f>
        <v/>
      </c>
      <c r="F59" s="26" t="str">
        <f>IFERROR(IF('ŞİKAYET KAYIT'!P59="Kapatıldı",'ŞİKAYET KAYIT'!J59,""),"")</f>
        <v/>
      </c>
      <c r="G59" s="26" t="str">
        <f>IFERROR(IF('ŞİKAYET KAYIT'!P59="Kapatıldı",'ŞİKAYET KAYIT'!K59,""),"")</f>
        <v/>
      </c>
      <c r="H59" s="26" t="str">
        <f>IFERROR(IF('ŞİKAYET KAYIT'!P59="Kapatıldı",'ŞİKAYET KAYIT'!L59,""),"")</f>
        <v/>
      </c>
      <c r="I59" s="26" t="str">
        <f>IFERROR(IF('ŞİKAYET KAYIT'!P59="Kapatıldı",'ŞİKAYET KAYIT'!M59,""),"")</f>
        <v/>
      </c>
      <c r="J59" s="26" t="str">
        <f>IFERROR(IF('ŞİKAYET KAYIT'!P59="Kapatıldı",'ŞİKAYET KAYIT'!N59,""),"")</f>
        <v/>
      </c>
      <c r="K59" s="26" t="str">
        <f>IFERROR(IF('ŞİKAYET KAYIT'!P59="Kapatıldı",'ŞİKAYET KAYIT'!O59,""),"")</f>
        <v/>
      </c>
      <c r="L59" s="8" t="str">
        <f>IFERROR(IF('ŞİKAYET KAYIT'!P59="Kapatıldı",'ŞİKAYET KAYIT'!Q59,""),"")</f>
        <v/>
      </c>
      <c r="M59" s="26" t="str">
        <f>IFERROR(IF('ŞİKAYET KAYIT'!P59="Kapatıldı",'ŞİKAYET KAYIT'!R59,""),"")</f>
        <v/>
      </c>
      <c r="N59" s="26"/>
    </row>
    <row r="60" spans="1:14" ht="15" customHeight="1" x14ac:dyDescent="0.3">
      <c r="A60" s="11" t="str">
        <f>IFERROR(IF('ŞİKAYET KAYIT'!P60="Kapatıldı",'ŞİKAYET KAYIT'!A60,""),"")</f>
        <v/>
      </c>
      <c r="B60" s="12" t="str">
        <f>IFERROR(IF('ŞİKAYET KAYIT'!P60="Kapatıldı",'ŞİKAYET KAYIT'!B60,""),"")</f>
        <v/>
      </c>
      <c r="C60" s="11" t="str">
        <f>IFERROR(IF('ŞİKAYET KAYIT'!P60="Kapatıldı",'ŞİKAYET KAYIT'!D60,""),"")</f>
        <v/>
      </c>
      <c r="D60" s="11" t="str">
        <f>IFERROR(IF('ŞİKAYET KAYIT'!P60="Kapatıldı",'ŞİKAYET KAYIT'!F60,""),"")</f>
        <v/>
      </c>
      <c r="E60" s="11" t="str">
        <f>IFERROR(IF('ŞİKAYET KAYIT'!P60="Kapatıldı",'ŞİKAYET KAYIT'!H60,""),"")</f>
        <v/>
      </c>
      <c r="F60" s="11" t="str">
        <f>IFERROR(IF('ŞİKAYET KAYIT'!P60="Kapatıldı",'ŞİKAYET KAYIT'!J60,""),"")</f>
        <v/>
      </c>
      <c r="G60" s="11" t="str">
        <f>IFERROR(IF('ŞİKAYET KAYIT'!P60="Kapatıldı",'ŞİKAYET KAYIT'!K60,""),"")</f>
        <v/>
      </c>
      <c r="H60" s="11" t="str">
        <f>IFERROR(IF('ŞİKAYET KAYIT'!P60="Kapatıldı",'ŞİKAYET KAYIT'!L60,""),"")</f>
        <v/>
      </c>
      <c r="I60" s="11" t="str">
        <f>IFERROR(IF('ŞİKAYET KAYIT'!P60="Kapatıldı",'ŞİKAYET KAYIT'!M60,""),"")</f>
        <v/>
      </c>
      <c r="J60" s="11" t="str">
        <f>IFERROR(IF('ŞİKAYET KAYIT'!P60="Kapatıldı",'ŞİKAYET KAYIT'!N60,""),"")</f>
        <v/>
      </c>
      <c r="K60" s="11" t="str">
        <f>IFERROR(IF('ŞİKAYET KAYIT'!P60="Kapatıldı",'ŞİKAYET KAYIT'!O60,""),"")</f>
        <v/>
      </c>
      <c r="L60" s="12" t="str">
        <f>IFERROR(IF('ŞİKAYET KAYIT'!P60="Kapatıldı",'ŞİKAYET KAYIT'!Q60,""),"")</f>
        <v/>
      </c>
      <c r="M60" s="11" t="str">
        <f>IFERROR(IF('ŞİKAYET KAYIT'!P60="Kapatıldı",'ŞİKAYET KAYIT'!R60,""),"")</f>
        <v/>
      </c>
      <c r="N60" s="11"/>
    </row>
    <row r="61" spans="1:14" ht="15" customHeight="1" x14ac:dyDescent="0.3">
      <c r="A61" s="26" t="str">
        <f>IFERROR(IF('ŞİKAYET KAYIT'!P61="Kapatıldı",'ŞİKAYET KAYIT'!A61,""),"")</f>
        <v/>
      </c>
      <c r="B61" s="8" t="str">
        <f>IFERROR(IF('ŞİKAYET KAYIT'!P61="Kapatıldı",'ŞİKAYET KAYIT'!B61,""),"")</f>
        <v/>
      </c>
      <c r="C61" s="26" t="str">
        <f>IFERROR(IF('ŞİKAYET KAYIT'!P61="Kapatıldı",'ŞİKAYET KAYIT'!D61,""),"")</f>
        <v/>
      </c>
      <c r="D61" s="26" t="str">
        <f>IFERROR(IF('ŞİKAYET KAYIT'!P61="Kapatıldı",'ŞİKAYET KAYIT'!F61,""),"")</f>
        <v/>
      </c>
      <c r="E61" s="26" t="str">
        <f>IFERROR(IF('ŞİKAYET KAYIT'!P61="Kapatıldı",'ŞİKAYET KAYIT'!H61,""),"")</f>
        <v/>
      </c>
      <c r="F61" s="26" t="str">
        <f>IFERROR(IF('ŞİKAYET KAYIT'!P61="Kapatıldı",'ŞİKAYET KAYIT'!J61,""),"")</f>
        <v/>
      </c>
      <c r="G61" s="26" t="str">
        <f>IFERROR(IF('ŞİKAYET KAYIT'!P61="Kapatıldı",'ŞİKAYET KAYIT'!K61,""),"")</f>
        <v/>
      </c>
      <c r="H61" s="26" t="str">
        <f>IFERROR(IF('ŞİKAYET KAYIT'!P61="Kapatıldı",'ŞİKAYET KAYIT'!L61,""),"")</f>
        <v/>
      </c>
      <c r="I61" s="26" t="str">
        <f>IFERROR(IF('ŞİKAYET KAYIT'!P61="Kapatıldı",'ŞİKAYET KAYIT'!M61,""),"")</f>
        <v/>
      </c>
      <c r="J61" s="26" t="str">
        <f>IFERROR(IF('ŞİKAYET KAYIT'!P61="Kapatıldı",'ŞİKAYET KAYIT'!N61,""),"")</f>
        <v/>
      </c>
      <c r="K61" s="26" t="str">
        <f>IFERROR(IF('ŞİKAYET KAYIT'!P61="Kapatıldı",'ŞİKAYET KAYIT'!O61,""),"")</f>
        <v/>
      </c>
      <c r="L61" s="8" t="str">
        <f>IFERROR(IF('ŞİKAYET KAYIT'!P61="Kapatıldı",'ŞİKAYET KAYIT'!Q61,""),"")</f>
        <v/>
      </c>
      <c r="M61" s="26" t="str">
        <f>IFERROR(IF('ŞİKAYET KAYIT'!P61="Kapatıldı",'ŞİKAYET KAYIT'!R61,""),"")</f>
        <v/>
      </c>
      <c r="N61" s="26"/>
    </row>
    <row r="62" spans="1:14" ht="15" customHeight="1" x14ac:dyDescent="0.3">
      <c r="A62" s="11" t="str">
        <f>IFERROR(IF('ŞİKAYET KAYIT'!P62="Kapatıldı",'ŞİKAYET KAYIT'!A62,""),"")</f>
        <v/>
      </c>
      <c r="B62" s="12" t="str">
        <f>IFERROR(IF('ŞİKAYET KAYIT'!P62="Kapatıldı",'ŞİKAYET KAYIT'!B62,""),"")</f>
        <v/>
      </c>
      <c r="C62" s="11" t="str">
        <f>IFERROR(IF('ŞİKAYET KAYIT'!P62="Kapatıldı",'ŞİKAYET KAYIT'!D62,""),"")</f>
        <v/>
      </c>
      <c r="D62" s="11" t="str">
        <f>IFERROR(IF('ŞİKAYET KAYIT'!P62="Kapatıldı",'ŞİKAYET KAYIT'!F62,""),"")</f>
        <v/>
      </c>
      <c r="E62" s="11" t="str">
        <f>IFERROR(IF('ŞİKAYET KAYIT'!P62="Kapatıldı",'ŞİKAYET KAYIT'!H62,""),"")</f>
        <v/>
      </c>
      <c r="F62" s="11" t="str">
        <f>IFERROR(IF('ŞİKAYET KAYIT'!P62="Kapatıldı",'ŞİKAYET KAYIT'!J62,""),"")</f>
        <v/>
      </c>
      <c r="G62" s="11" t="str">
        <f>IFERROR(IF('ŞİKAYET KAYIT'!P62="Kapatıldı",'ŞİKAYET KAYIT'!K62,""),"")</f>
        <v/>
      </c>
      <c r="H62" s="11" t="str">
        <f>IFERROR(IF('ŞİKAYET KAYIT'!P62="Kapatıldı",'ŞİKAYET KAYIT'!L62,""),"")</f>
        <v/>
      </c>
      <c r="I62" s="11" t="str">
        <f>IFERROR(IF('ŞİKAYET KAYIT'!P62="Kapatıldı",'ŞİKAYET KAYIT'!M62,""),"")</f>
        <v/>
      </c>
      <c r="J62" s="11" t="str">
        <f>IFERROR(IF('ŞİKAYET KAYIT'!P62="Kapatıldı",'ŞİKAYET KAYIT'!N62,""),"")</f>
        <v/>
      </c>
      <c r="K62" s="11" t="str">
        <f>IFERROR(IF('ŞİKAYET KAYIT'!P62="Kapatıldı",'ŞİKAYET KAYIT'!O62,""),"")</f>
        <v/>
      </c>
      <c r="L62" s="12" t="str">
        <f>IFERROR(IF('ŞİKAYET KAYIT'!P62="Kapatıldı",'ŞİKAYET KAYIT'!Q62,""),"")</f>
        <v/>
      </c>
      <c r="M62" s="11" t="str">
        <f>IFERROR(IF('ŞİKAYET KAYIT'!P62="Kapatıldı",'ŞİKAYET KAYIT'!R62,""),"")</f>
        <v/>
      </c>
      <c r="N62" s="11"/>
    </row>
    <row r="63" spans="1:14" ht="15" customHeight="1" x14ac:dyDescent="0.3">
      <c r="A63" s="26" t="str">
        <f>IFERROR(IF('ŞİKAYET KAYIT'!P63="Kapatıldı",'ŞİKAYET KAYIT'!A63,""),"")</f>
        <v/>
      </c>
      <c r="B63" s="8" t="str">
        <f>IFERROR(IF('ŞİKAYET KAYIT'!P63="Kapatıldı",'ŞİKAYET KAYIT'!B63,""),"")</f>
        <v/>
      </c>
      <c r="C63" s="26" t="str">
        <f>IFERROR(IF('ŞİKAYET KAYIT'!P63="Kapatıldı",'ŞİKAYET KAYIT'!D63,""),"")</f>
        <v/>
      </c>
      <c r="D63" s="26" t="str">
        <f>IFERROR(IF('ŞİKAYET KAYIT'!P63="Kapatıldı",'ŞİKAYET KAYIT'!F63,""),"")</f>
        <v/>
      </c>
      <c r="E63" s="26" t="str">
        <f>IFERROR(IF('ŞİKAYET KAYIT'!P63="Kapatıldı",'ŞİKAYET KAYIT'!H63,""),"")</f>
        <v/>
      </c>
      <c r="F63" s="26" t="str">
        <f>IFERROR(IF('ŞİKAYET KAYIT'!P63="Kapatıldı",'ŞİKAYET KAYIT'!J63,""),"")</f>
        <v/>
      </c>
      <c r="G63" s="26" t="str">
        <f>IFERROR(IF('ŞİKAYET KAYIT'!P63="Kapatıldı",'ŞİKAYET KAYIT'!K63,""),"")</f>
        <v/>
      </c>
      <c r="H63" s="26" t="str">
        <f>IFERROR(IF('ŞİKAYET KAYIT'!P63="Kapatıldı",'ŞİKAYET KAYIT'!L63,""),"")</f>
        <v/>
      </c>
      <c r="I63" s="26" t="str">
        <f>IFERROR(IF('ŞİKAYET KAYIT'!P63="Kapatıldı",'ŞİKAYET KAYIT'!M63,""),"")</f>
        <v/>
      </c>
      <c r="J63" s="26" t="str">
        <f>IFERROR(IF('ŞİKAYET KAYIT'!P63="Kapatıldı",'ŞİKAYET KAYIT'!N63,""),"")</f>
        <v/>
      </c>
      <c r="K63" s="26" t="str">
        <f>IFERROR(IF('ŞİKAYET KAYIT'!P63="Kapatıldı",'ŞİKAYET KAYIT'!O63,""),"")</f>
        <v/>
      </c>
      <c r="L63" s="8" t="str">
        <f>IFERROR(IF('ŞİKAYET KAYIT'!P63="Kapatıldı",'ŞİKAYET KAYIT'!Q63,""),"")</f>
        <v/>
      </c>
      <c r="M63" s="26" t="str">
        <f>IFERROR(IF('ŞİKAYET KAYIT'!P63="Kapatıldı",'ŞİKAYET KAYIT'!R63,""),"")</f>
        <v/>
      </c>
      <c r="N63" s="26"/>
    </row>
    <row r="64" spans="1:14" ht="15" customHeight="1" x14ac:dyDescent="0.3">
      <c r="A64" s="11" t="str">
        <f>IFERROR(IF('ŞİKAYET KAYIT'!P64="Kapatıldı",'ŞİKAYET KAYIT'!A64,""),"")</f>
        <v/>
      </c>
      <c r="B64" s="12" t="str">
        <f>IFERROR(IF('ŞİKAYET KAYIT'!P64="Kapatıldı",'ŞİKAYET KAYIT'!B64,""),"")</f>
        <v/>
      </c>
      <c r="C64" s="11" t="str">
        <f>IFERROR(IF('ŞİKAYET KAYIT'!P64="Kapatıldı",'ŞİKAYET KAYIT'!D64,""),"")</f>
        <v/>
      </c>
      <c r="D64" s="11" t="str">
        <f>IFERROR(IF('ŞİKAYET KAYIT'!P64="Kapatıldı",'ŞİKAYET KAYIT'!F64,""),"")</f>
        <v/>
      </c>
      <c r="E64" s="11" t="str">
        <f>IFERROR(IF('ŞİKAYET KAYIT'!P64="Kapatıldı",'ŞİKAYET KAYIT'!H64,""),"")</f>
        <v/>
      </c>
      <c r="F64" s="11" t="str">
        <f>IFERROR(IF('ŞİKAYET KAYIT'!P64="Kapatıldı",'ŞİKAYET KAYIT'!J64,""),"")</f>
        <v/>
      </c>
      <c r="G64" s="11" t="str">
        <f>IFERROR(IF('ŞİKAYET KAYIT'!P64="Kapatıldı",'ŞİKAYET KAYIT'!K64,""),"")</f>
        <v/>
      </c>
      <c r="H64" s="11" t="str">
        <f>IFERROR(IF('ŞİKAYET KAYIT'!P64="Kapatıldı",'ŞİKAYET KAYIT'!L64,""),"")</f>
        <v/>
      </c>
      <c r="I64" s="11" t="str">
        <f>IFERROR(IF('ŞİKAYET KAYIT'!P64="Kapatıldı",'ŞİKAYET KAYIT'!M64,""),"")</f>
        <v/>
      </c>
      <c r="J64" s="11" t="str">
        <f>IFERROR(IF('ŞİKAYET KAYIT'!P64="Kapatıldı",'ŞİKAYET KAYIT'!N64,""),"")</f>
        <v/>
      </c>
      <c r="K64" s="11" t="str">
        <f>IFERROR(IF('ŞİKAYET KAYIT'!P64="Kapatıldı",'ŞİKAYET KAYIT'!O64,""),"")</f>
        <v/>
      </c>
      <c r="L64" s="12" t="str">
        <f>IFERROR(IF('ŞİKAYET KAYIT'!P64="Kapatıldı",'ŞİKAYET KAYIT'!Q64,""),"")</f>
        <v/>
      </c>
      <c r="M64" s="11" t="str">
        <f>IFERROR(IF('ŞİKAYET KAYIT'!P64="Kapatıldı",'ŞİKAYET KAYIT'!R64,""),"")</f>
        <v/>
      </c>
      <c r="N64" s="11"/>
    </row>
    <row r="65" spans="1:14" ht="15" customHeight="1" x14ac:dyDescent="0.3">
      <c r="A65" s="26" t="str">
        <f>IFERROR(IF('ŞİKAYET KAYIT'!P65="Kapatıldı",'ŞİKAYET KAYIT'!A65,""),"")</f>
        <v/>
      </c>
      <c r="B65" s="8" t="str">
        <f>IFERROR(IF('ŞİKAYET KAYIT'!P65="Kapatıldı",'ŞİKAYET KAYIT'!B65,""),"")</f>
        <v/>
      </c>
      <c r="C65" s="26" t="str">
        <f>IFERROR(IF('ŞİKAYET KAYIT'!P65="Kapatıldı",'ŞİKAYET KAYIT'!D65,""),"")</f>
        <v/>
      </c>
      <c r="D65" s="26" t="str">
        <f>IFERROR(IF('ŞİKAYET KAYIT'!P65="Kapatıldı",'ŞİKAYET KAYIT'!F65,""),"")</f>
        <v/>
      </c>
      <c r="E65" s="26" t="str">
        <f>IFERROR(IF('ŞİKAYET KAYIT'!P65="Kapatıldı",'ŞİKAYET KAYIT'!H65,""),"")</f>
        <v/>
      </c>
      <c r="F65" s="26" t="str">
        <f>IFERROR(IF('ŞİKAYET KAYIT'!P65="Kapatıldı",'ŞİKAYET KAYIT'!J65,""),"")</f>
        <v/>
      </c>
      <c r="G65" s="26" t="str">
        <f>IFERROR(IF('ŞİKAYET KAYIT'!P65="Kapatıldı",'ŞİKAYET KAYIT'!K65,""),"")</f>
        <v/>
      </c>
      <c r="H65" s="26" t="str">
        <f>IFERROR(IF('ŞİKAYET KAYIT'!P65="Kapatıldı",'ŞİKAYET KAYIT'!L65,""),"")</f>
        <v/>
      </c>
      <c r="I65" s="26" t="str">
        <f>IFERROR(IF('ŞİKAYET KAYIT'!P65="Kapatıldı",'ŞİKAYET KAYIT'!M65,""),"")</f>
        <v/>
      </c>
      <c r="J65" s="26" t="str">
        <f>IFERROR(IF('ŞİKAYET KAYIT'!P65="Kapatıldı",'ŞİKAYET KAYIT'!N65,""),"")</f>
        <v/>
      </c>
      <c r="K65" s="26" t="str">
        <f>IFERROR(IF('ŞİKAYET KAYIT'!P65="Kapatıldı",'ŞİKAYET KAYIT'!O65,""),"")</f>
        <v/>
      </c>
      <c r="L65" s="8" t="str">
        <f>IFERROR(IF('ŞİKAYET KAYIT'!P65="Kapatıldı",'ŞİKAYET KAYIT'!Q65,""),"")</f>
        <v/>
      </c>
      <c r="M65" s="26" t="str">
        <f>IFERROR(IF('ŞİKAYET KAYIT'!P65="Kapatıldı",'ŞİKAYET KAYIT'!R65,""),"")</f>
        <v/>
      </c>
      <c r="N65" s="26"/>
    </row>
    <row r="66" spans="1:14" ht="15" customHeight="1" x14ac:dyDescent="0.3">
      <c r="A66" s="11" t="str">
        <f>IFERROR(IF('ŞİKAYET KAYIT'!P66="Kapatıldı",'ŞİKAYET KAYIT'!A66,""),"")</f>
        <v/>
      </c>
      <c r="B66" s="12" t="str">
        <f>IFERROR(IF('ŞİKAYET KAYIT'!P66="Kapatıldı",'ŞİKAYET KAYIT'!B66,""),"")</f>
        <v/>
      </c>
      <c r="C66" s="11" t="str">
        <f>IFERROR(IF('ŞİKAYET KAYIT'!P66="Kapatıldı",'ŞİKAYET KAYIT'!D66,""),"")</f>
        <v/>
      </c>
      <c r="D66" s="11" t="str">
        <f>IFERROR(IF('ŞİKAYET KAYIT'!P66="Kapatıldı",'ŞİKAYET KAYIT'!F66,""),"")</f>
        <v/>
      </c>
      <c r="E66" s="11" t="str">
        <f>IFERROR(IF('ŞİKAYET KAYIT'!P66="Kapatıldı",'ŞİKAYET KAYIT'!H66,""),"")</f>
        <v/>
      </c>
      <c r="F66" s="11" t="str">
        <f>IFERROR(IF('ŞİKAYET KAYIT'!P66="Kapatıldı",'ŞİKAYET KAYIT'!J66,""),"")</f>
        <v/>
      </c>
      <c r="G66" s="11" t="str">
        <f>IFERROR(IF('ŞİKAYET KAYIT'!P66="Kapatıldı",'ŞİKAYET KAYIT'!K66,""),"")</f>
        <v/>
      </c>
      <c r="H66" s="11" t="str">
        <f>IFERROR(IF('ŞİKAYET KAYIT'!P66="Kapatıldı",'ŞİKAYET KAYIT'!L66,""),"")</f>
        <v/>
      </c>
      <c r="I66" s="11" t="str">
        <f>IFERROR(IF('ŞİKAYET KAYIT'!P66="Kapatıldı",'ŞİKAYET KAYIT'!M66,""),"")</f>
        <v/>
      </c>
      <c r="J66" s="11" t="str">
        <f>IFERROR(IF('ŞİKAYET KAYIT'!P66="Kapatıldı",'ŞİKAYET KAYIT'!N66,""),"")</f>
        <v/>
      </c>
      <c r="K66" s="11" t="str">
        <f>IFERROR(IF('ŞİKAYET KAYIT'!P66="Kapatıldı",'ŞİKAYET KAYIT'!O66,""),"")</f>
        <v/>
      </c>
      <c r="L66" s="12" t="str">
        <f>IFERROR(IF('ŞİKAYET KAYIT'!P66="Kapatıldı",'ŞİKAYET KAYIT'!Q66,""),"")</f>
        <v/>
      </c>
      <c r="M66" s="11" t="str">
        <f>IFERROR(IF('ŞİKAYET KAYIT'!P66="Kapatıldı",'ŞİKAYET KAYIT'!R66,""),"")</f>
        <v/>
      </c>
      <c r="N66" s="11"/>
    </row>
    <row r="67" spans="1:14" ht="15" customHeight="1" x14ac:dyDescent="0.3">
      <c r="A67" s="26" t="str">
        <f>IFERROR(IF('ŞİKAYET KAYIT'!P67="Kapatıldı",'ŞİKAYET KAYIT'!A67,""),"")</f>
        <v/>
      </c>
      <c r="B67" s="8" t="str">
        <f>IFERROR(IF('ŞİKAYET KAYIT'!P67="Kapatıldı",'ŞİKAYET KAYIT'!B67,""),"")</f>
        <v/>
      </c>
      <c r="C67" s="26" t="str">
        <f>IFERROR(IF('ŞİKAYET KAYIT'!P67="Kapatıldı",'ŞİKAYET KAYIT'!D67,""),"")</f>
        <v/>
      </c>
      <c r="D67" s="26" t="str">
        <f>IFERROR(IF('ŞİKAYET KAYIT'!P67="Kapatıldı",'ŞİKAYET KAYIT'!F67,""),"")</f>
        <v/>
      </c>
      <c r="E67" s="26" t="str">
        <f>IFERROR(IF('ŞİKAYET KAYIT'!P67="Kapatıldı",'ŞİKAYET KAYIT'!H67,""),"")</f>
        <v/>
      </c>
      <c r="F67" s="26" t="str">
        <f>IFERROR(IF('ŞİKAYET KAYIT'!P67="Kapatıldı",'ŞİKAYET KAYIT'!J67,""),"")</f>
        <v/>
      </c>
      <c r="G67" s="26" t="str">
        <f>IFERROR(IF('ŞİKAYET KAYIT'!P67="Kapatıldı",'ŞİKAYET KAYIT'!K67,""),"")</f>
        <v/>
      </c>
      <c r="H67" s="26" t="str">
        <f>IFERROR(IF('ŞİKAYET KAYIT'!P67="Kapatıldı",'ŞİKAYET KAYIT'!L67,""),"")</f>
        <v/>
      </c>
      <c r="I67" s="26" t="str">
        <f>IFERROR(IF('ŞİKAYET KAYIT'!P67="Kapatıldı",'ŞİKAYET KAYIT'!M67,""),"")</f>
        <v/>
      </c>
      <c r="J67" s="26" t="str">
        <f>IFERROR(IF('ŞİKAYET KAYIT'!P67="Kapatıldı",'ŞİKAYET KAYIT'!N67,""),"")</f>
        <v/>
      </c>
      <c r="K67" s="26" t="str">
        <f>IFERROR(IF('ŞİKAYET KAYIT'!P67="Kapatıldı",'ŞİKAYET KAYIT'!O67,""),"")</f>
        <v/>
      </c>
      <c r="L67" s="8" t="str">
        <f>IFERROR(IF('ŞİKAYET KAYIT'!P67="Kapatıldı",'ŞİKAYET KAYIT'!Q67,""),"")</f>
        <v/>
      </c>
      <c r="M67" s="26" t="str">
        <f>IFERROR(IF('ŞİKAYET KAYIT'!P67="Kapatıldı",'ŞİKAYET KAYIT'!R67,""),"")</f>
        <v/>
      </c>
      <c r="N67" s="26"/>
    </row>
    <row r="68" spans="1:14" ht="15" customHeight="1" x14ac:dyDescent="0.3">
      <c r="A68" s="11" t="str">
        <f>IFERROR(IF('ŞİKAYET KAYIT'!P68="Kapatıldı",'ŞİKAYET KAYIT'!A68,""),"")</f>
        <v/>
      </c>
      <c r="B68" s="12" t="str">
        <f>IFERROR(IF('ŞİKAYET KAYIT'!P68="Kapatıldı",'ŞİKAYET KAYIT'!B68,""),"")</f>
        <v/>
      </c>
      <c r="C68" s="11" t="str">
        <f>IFERROR(IF('ŞİKAYET KAYIT'!P68="Kapatıldı",'ŞİKAYET KAYIT'!D68,""),"")</f>
        <v/>
      </c>
      <c r="D68" s="11" t="str">
        <f>IFERROR(IF('ŞİKAYET KAYIT'!P68="Kapatıldı",'ŞİKAYET KAYIT'!F68,""),"")</f>
        <v/>
      </c>
      <c r="E68" s="11" t="str">
        <f>IFERROR(IF('ŞİKAYET KAYIT'!P68="Kapatıldı",'ŞİKAYET KAYIT'!H68,""),"")</f>
        <v/>
      </c>
      <c r="F68" s="11" t="str">
        <f>IFERROR(IF('ŞİKAYET KAYIT'!P68="Kapatıldı",'ŞİKAYET KAYIT'!J68,""),"")</f>
        <v/>
      </c>
      <c r="G68" s="11" t="str">
        <f>IFERROR(IF('ŞİKAYET KAYIT'!P68="Kapatıldı",'ŞİKAYET KAYIT'!K68,""),"")</f>
        <v/>
      </c>
      <c r="H68" s="11" t="str">
        <f>IFERROR(IF('ŞİKAYET KAYIT'!P68="Kapatıldı",'ŞİKAYET KAYIT'!L68,""),"")</f>
        <v/>
      </c>
      <c r="I68" s="11" t="str">
        <f>IFERROR(IF('ŞİKAYET KAYIT'!P68="Kapatıldı",'ŞİKAYET KAYIT'!M68,""),"")</f>
        <v/>
      </c>
      <c r="J68" s="11" t="str">
        <f>IFERROR(IF('ŞİKAYET KAYIT'!P68="Kapatıldı",'ŞİKAYET KAYIT'!N68,""),"")</f>
        <v/>
      </c>
      <c r="K68" s="11" t="str">
        <f>IFERROR(IF('ŞİKAYET KAYIT'!P68="Kapatıldı",'ŞİKAYET KAYIT'!O68,""),"")</f>
        <v/>
      </c>
      <c r="L68" s="12" t="str">
        <f>IFERROR(IF('ŞİKAYET KAYIT'!P68="Kapatıldı",'ŞİKAYET KAYIT'!Q68,""),"")</f>
        <v/>
      </c>
      <c r="M68" s="11" t="str">
        <f>IFERROR(IF('ŞİKAYET KAYIT'!P68="Kapatıldı",'ŞİKAYET KAYIT'!R68,""),"")</f>
        <v/>
      </c>
      <c r="N68" s="11"/>
    </row>
    <row r="69" spans="1:14" ht="15" customHeight="1" x14ac:dyDescent="0.3">
      <c r="A69" s="26" t="str">
        <f>IFERROR(IF('ŞİKAYET KAYIT'!P69="Kapatıldı",'ŞİKAYET KAYIT'!A69,""),"")</f>
        <v/>
      </c>
      <c r="B69" s="8" t="str">
        <f>IFERROR(IF('ŞİKAYET KAYIT'!P69="Kapatıldı",'ŞİKAYET KAYIT'!B69,""),"")</f>
        <v/>
      </c>
      <c r="C69" s="26" t="str">
        <f>IFERROR(IF('ŞİKAYET KAYIT'!P69="Kapatıldı",'ŞİKAYET KAYIT'!D69,""),"")</f>
        <v/>
      </c>
      <c r="D69" s="26" t="str">
        <f>IFERROR(IF('ŞİKAYET KAYIT'!P69="Kapatıldı",'ŞİKAYET KAYIT'!F69,""),"")</f>
        <v/>
      </c>
      <c r="E69" s="26" t="str">
        <f>IFERROR(IF('ŞİKAYET KAYIT'!P69="Kapatıldı",'ŞİKAYET KAYIT'!H69,""),"")</f>
        <v/>
      </c>
      <c r="F69" s="26" t="str">
        <f>IFERROR(IF('ŞİKAYET KAYIT'!P69="Kapatıldı",'ŞİKAYET KAYIT'!J69,""),"")</f>
        <v/>
      </c>
      <c r="G69" s="26" t="str">
        <f>IFERROR(IF('ŞİKAYET KAYIT'!P69="Kapatıldı",'ŞİKAYET KAYIT'!K69,""),"")</f>
        <v/>
      </c>
      <c r="H69" s="26" t="str">
        <f>IFERROR(IF('ŞİKAYET KAYIT'!P69="Kapatıldı",'ŞİKAYET KAYIT'!L69,""),"")</f>
        <v/>
      </c>
      <c r="I69" s="26" t="str">
        <f>IFERROR(IF('ŞİKAYET KAYIT'!P69="Kapatıldı",'ŞİKAYET KAYIT'!M69,""),"")</f>
        <v/>
      </c>
      <c r="J69" s="26" t="str">
        <f>IFERROR(IF('ŞİKAYET KAYIT'!P69="Kapatıldı",'ŞİKAYET KAYIT'!N69,""),"")</f>
        <v/>
      </c>
      <c r="K69" s="26" t="str">
        <f>IFERROR(IF('ŞİKAYET KAYIT'!P69="Kapatıldı",'ŞİKAYET KAYIT'!O69,""),"")</f>
        <v/>
      </c>
      <c r="L69" s="8" t="str">
        <f>IFERROR(IF('ŞİKAYET KAYIT'!P69="Kapatıldı",'ŞİKAYET KAYIT'!Q69,""),"")</f>
        <v/>
      </c>
      <c r="M69" s="26" t="str">
        <f>IFERROR(IF('ŞİKAYET KAYIT'!P69="Kapatıldı",'ŞİKAYET KAYIT'!R69,""),"")</f>
        <v/>
      </c>
      <c r="N69" s="26"/>
    </row>
    <row r="70" spans="1:14" ht="15" customHeight="1" x14ac:dyDescent="0.3">
      <c r="A70" s="11" t="str">
        <f>IFERROR(IF('ŞİKAYET KAYIT'!P70="Kapatıldı",'ŞİKAYET KAYIT'!A70,""),"")</f>
        <v/>
      </c>
      <c r="B70" s="12" t="str">
        <f>IFERROR(IF('ŞİKAYET KAYIT'!P70="Kapatıldı",'ŞİKAYET KAYIT'!B70,""),"")</f>
        <v/>
      </c>
      <c r="C70" s="11" t="str">
        <f>IFERROR(IF('ŞİKAYET KAYIT'!P70="Kapatıldı",'ŞİKAYET KAYIT'!D70,""),"")</f>
        <v/>
      </c>
      <c r="D70" s="11" t="str">
        <f>IFERROR(IF('ŞİKAYET KAYIT'!P70="Kapatıldı",'ŞİKAYET KAYIT'!F70,""),"")</f>
        <v/>
      </c>
      <c r="E70" s="11" t="str">
        <f>IFERROR(IF('ŞİKAYET KAYIT'!P70="Kapatıldı",'ŞİKAYET KAYIT'!H70,""),"")</f>
        <v/>
      </c>
      <c r="F70" s="11" t="str">
        <f>IFERROR(IF('ŞİKAYET KAYIT'!P70="Kapatıldı",'ŞİKAYET KAYIT'!J70,""),"")</f>
        <v/>
      </c>
      <c r="G70" s="11" t="str">
        <f>IFERROR(IF('ŞİKAYET KAYIT'!P70="Kapatıldı",'ŞİKAYET KAYIT'!K70,""),"")</f>
        <v/>
      </c>
      <c r="H70" s="11" t="str">
        <f>IFERROR(IF('ŞİKAYET KAYIT'!P70="Kapatıldı",'ŞİKAYET KAYIT'!L70,""),"")</f>
        <v/>
      </c>
      <c r="I70" s="11" t="str">
        <f>IFERROR(IF('ŞİKAYET KAYIT'!P70="Kapatıldı",'ŞİKAYET KAYIT'!M70,""),"")</f>
        <v/>
      </c>
      <c r="J70" s="11" t="str">
        <f>IFERROR(IF('ŞİKAYET KAYIT'!P70="Kapatıldı",'ŞİKAYET KAYIT'!N70,""),"")</f>
        <v/>
      </c>
      <c r="K70" s="11" t="str">
        <f>IFERROR(IF('ŞİKAYET KAYIT'!P70="Kapatıldı",'ŞİKAYET KAYIT'!O70,""),"")</f>
        <v/>
      </c>
      <c r="L70" s="12" t="str">
        <f>IFERROR(IF('ŞİKAYET KAYIT'!P70="Kapatıldı",'ŞİKAYET KAYIT'!Q70,""),"")</f>
        <v/>
      </c>
      <c r="M70" s="11" t="str">
        <f>IFERROR(IF('ŞİKAYET KAYIT'!P70="Kapatıldı",'ŞİKAYET KAYIT'!R70,""),"")</f>
        <v/>
      </c>
      <c r="N70" s="11"/>
    </row>
    <row r="71" spans="1:14" ht="15" customHeight="1" x14ac:dyDescent="0.3">
      <c r="A71" s="26" t="str">
        <f>IFERROR(IF('ŞİKAYET KAYIT'!P71="Kapatıldı",'ŞİKAYET KAYIT'!A71,""),"")</f>
        <v/>
      </c>
      <c r="B71" s="8" t="str">
        <f>IFERROR(IF('ŞİKAYET KAYIT'!P71="Kapatıldı",'ŞİKAYET KAYIT'!B71,""),"")</f>
        <v/>
      </c>
      <c r="C71" s="26" t="str">
        <f>IFERROR(IF('ŞİKAYET KAYIT'!P71="Kapatıldı",'ŞİKAYET KAYIT'!D71,""),"")</f>
        <v/>
      </c>
      <c r="D71" s="26" t="str">
        <f>IFERROR(IF('ŞİKAYET KAYIT'!P71="Kapatıldı",'ŞİKAYET KAYIT'!F71,""),"")</f>
        <v/>
      </c>
      <c r="E71" s="26" t="str">
        <f>IFERROR(IF('ŞİKAYET KAYIT'!P71="Kapatıldı",'ŞİKAYET KAYIT'!H71,""),"")</f>
        <v/>
      </c>
      <c r="F71" s="26" t="str">
        <f>IFERROR(IF('ŞİKAYET KAYIT'!P71="Kapatıldı",'ŞİKAYET KAYIT'!J71,""),"")</f>
        <v/>
      </c>
      <c r="G71" s="26" t="str">
        <f>IFERROR(IF('ŞİKAYET KAYIT'!P71="Kapatıldı",'ŞİKAYET KAYIT'!K71,""),"")</f>
        <v/>
      </c>
      <c r="H71" s="26" t="str">
        <f>IFERROR(IF('ŞİKAYET KAYIT'!P71="Kapatıldı",'ŞİKAYET KAYIT'!L71,""),"")</f>
        <v/>
      </c>
      <c r="I71" s="26" t="str">
        <f>IFERROR(IF('ŞİKAYET KAYIT'!P71="Kapatıldı",'ŞİKAYET KAYIT'!M71,""),"")</f>
        <v/>
      </c>
      <c r="J71" s="26" t="str">
        <f>IFERROR(IF('ŞİKAYET KAYIT'!P71="Kapatıldı",'ŞİKAYET KAYIT'!N71,""),"")</f>
        <v/>
      </c>
      <c r="K71" s="26" t="str">
        <f>IFERROR(IF('ŞİKAYET KAYIT'!P71="Kapatıldı",'ŞİKAYET KAYIT'!O71,""),"")</f>
        <v/>
      </c>
      <c r="L71" s="8" t="str">
        <f>IFERROR(IF('ŞİKAYET KAYIT'!P71="Kapatıldı",'ŞİKAYET KAYIT'!Q71,""),"")</f>
        <v/>
      </c>
      <c r="M71" s="26" t="str">
        <f>IFERROR(IF('ŞİKAYET KAYIT'!P71="Kapatıldı",'ŞİKAYET KAYIT'!R71,""),"")</f>
        <v/>
      </c>
      <c r="N71" s="26"/>
    </row>
    <row r="72" spans="1:14" ht="15" customHeight="1" x14ac:dyDescent="0.3">
      <c r="A72" s="11" t="str">
        <f>IFERROR(IF('ŞİKAYET KAYIT'!P72="Kapatıldı",'ŞİKAYET KAYIT'!A72,""),"")</f>
        <v/>
      </c>
      <c r="B72" s="12" t="str">
        <f>IFERROR(IF('ŞİKAYET KAYIT'!P72="Kapatıldı",'ŞİKAYET KAYIT'!B72,""),"")</f>
        <v/>
      </c>
      <c r="C72" s="11" t="str">
        <f>IFERROR(IF('ŞİKAYET KAYIT'!P72="Kapatıldı",'ŞİKAYET KAYIT'!D72,""),"")</f>
        <v/>
      </c>
      <c r="D72" s="11" t="str">
        <f>IFERROR(IF('ŞİKAYET KAYIT'!P72="Kapatıldı",'ŞİKAYET KAYIT'!F72,""),"")</f>
        <v/>
      </c>
      <c r="E72" s="11" t="str">
        <f>IFERROR(IF('ŞİKAYET KAYIT'!P72="Kapatıldı",'ŞİKAYET KAYIT'!H72,""),"")</f>
        <v/>
      </c>
      <c r="F72" s="11" t="str">
        <f>IFERROR(IF('ŞİKAYET KAYIT'!P72="Kapatıldı",'ŞİKAYET KAYIT'!J72,""),"")</f>
        <v/>
      </c>
      <c r="G72" s="11" t="str">
        <f>IFERROR(IF('ŞİKAYET KAYIT'!P72="Kapatıldı",'ŞİKAYET KAYIT'!K72,""),"")</f>
        <v/>
      </c>
      <c r="H72" s="11" t="str">
        <f>IFERROR(IF('ŞİKAYET KAYIT'!P72="Kapatıldı",'ŞİKAYET KAYIT'!L72,""),"")</f>
        <v/>
      </c>
      <c r="I72" s="11" t="str">
        <f>IFERROR(IF('ŞİKAYET KAYIT'!P72="Kapatıldı",'ŞİKAYET KAYIT'!M72,""),"")</f>
        <v/>
      </c>
      <c r="J72" s="11" t="str">
        <f>IFERROR(IF('ŞİKAYET KAYIT'!P72="Kapatıldı",'ŞİKAYET KAYIT'!N72,""),"")</f>
        <v/>
      </c>
      <c r="K72" s="11" t="str">
        <f>IFERROR(IF('ŞİKAYET KAYIT'!P72="Kapatıldı",'ŞİKAYET KAYIT'!O72,""),"")</f>
        <v/>
      </c>
      <c r="L72" s="12" t="str">
        <f>IFERROR(IF('ŞİKAYET KAYIT'!P72="Kapatıldı",'ŞİKAYET KAYIT'!Q72,""),"")</f>
        <v/>
      </c>
      <c r="M72" s="11" t="str">
        <f>IFERROR(IF('ŞİKAYET KAYIT'!P72="Kapatıldı",'ŞİKAYET KAYIT'!R72,""),"")</f>
        <v/>
      </c>
      <c r="N72" s="11"/>
    </row>
    <row r="73" spans="1:14" ht="15" customHeight="1" x14ac:dyDescent="0.3">
      <c r="A73" s="26" t="str">
        <f>IFERROR(IF('ŞİKAYET KAYIT'!P73="Kapatıldı",'ŞİKAYET KAYIT'!A73,""),"")</f>
        <v/>
      </c>
      <c r="B73" s="8" t="str">
        <f>IFERROR(IF('ŞİKAYET KAYIT'!P73="Kapatıldı",'ŞİKAYET KAYIT'!B73,""),"")</f>
        <v/>
      </c>
      <c r="C73" s="26" t="str">
        <f>IFERROR(IF('ŞİKAYET KAYIT'!P73="Kapatıldı",'ŞİKAYET KAYIT'!D73,""),"")</f>
        <v/>
      </c>
      <c r="D73" s="26" t="str">
        <f>IFERROR(IF('ŞİKAYET KAYIT'!P73="Kapatıldı",'ŞİKAYET KAYIT'!F73,""),"")</f>
        <v/>
      </c>
      <c r="E73" s="26" t="str">
        <f>IFERROR(IF('ŞİKAYET KAYIT'!P73="Kapatıldı",'ŞİKAYET KAYIT'!H73,""),"")</f>
        <v/>
      </c>
      <c r="F73" s="26" t="str">
        <f>IFERROR(IF('ŞİKAYET KAYIT'!P73="Kapatıldı",'ŞİKAYET KAYIT'!J73,""),"")</f>
        <v/>
      </c>
      <c r="G73" s="26" t="str">
        <f>IFERROR(IF('ŞİKAYET KAYIT'!P73="Kapatıldı",'ŞİKAYET KAYIT'!K73,""),"")</f>
        <v/>
      </c>
      <c r="H73" s="26" t="str">
        <f>IFERROR(IF('ŞİKAYET KAYIT'!P73="Kapatıldı",'ŞİKAYET KAYIT'!L73,""),"")</f>
        <v/>
      </c>
      <c r="I73" s="26" t="str">
        <f>IFERROR(IF('ŞİKAYET KAYIT'!P73="Kapatıldı",'ŞİKAYET KAYIT'!M73,""),"")</f>
        <v/>
      </c>
      <c r="J73" s="26" t="str">
        <f>IFERROR(IF('ŞİKAYET KAYIT'!P73="Kapatıldı",'ŞİKAYET KAYIT'!N73,""),"")</f>
        <v/>
      </c>
      <c r="K73" s="26" t="str">
        <f>IFERROR(IF('ŞİKAYET KAYIT'!P73="Kapatıldı",'ŞİKAYET KAYIT'!O73,""),"")</f>
        <v/>
      </c>
      <c r="L73" s="8" t="str">
        <f>IFERROR(IF('ŞİKAYET KAYIT'!P73="Kapatıldı",'ŞİKAYET KAYIT'!Q73,""),"")</f>
        <v/>
      </c>
      <c r="M73" s="26" t="str">
        <f>IFERROR(IF('ŞİKAYET KAYIT'!P73="Kapatıldı",'ŞİKAYET KAYIT'!R73,""),"")</f>
        <v/>
      </c>
      <c r="N73" s="26"/>
    </row>
    <row r="74" spans="1:14" ht="15" customHeight="1" x14ac:dyDescent="0.3">
      <c r="A74" s="11" t="str">
        <f>IFERROR(IF('ŞİKAYET KAYIT'!P74="Kapatıldı",'ŞİKAYET KAYIT'!A74,""),"")</f>
        <v/>
      </c>
      <c r="B74" s="12" t="str">
        <f>IFERROR(IF('ŞİKAYET KAYIT'!P74="Kapatıldı",'ŞİKAYET KAYIT'!B74,""),"")</f>
        <v/>
      </c>
      <c r="C74" s="11" t="str">
        <f>IFERROR(IF('ŞİKAYET KAYIT'!P74="Kapatıldı",'ŞİKAYET KAYIT'!D74,""),"")</f>
        <v/>
      </c>
      <c r="D74" s="11" t="str">
        <f>IFERROR(IF('ŞİKAYET KAYIT'!P74="Kapatıldı",'ŞİKAYET KAYIT'!F74,""),"")</f>
        <v/>
      </c>
      <c r="E74" s="11" t="str">
        <f>IFERROR(IF('ŞİKAYET KAYIT'!P74="Kapatıldı",'ŞİKAYET KAYIT'!H74,""),"")</f>
        <v/>
      </c>
      <c r="F74" s="11" t="str">
        <f>IFERROR(IF('ŞİKAYET KAYIT'!P74="Kapatıldı",'ŞİKAYET KAYIT'!J74,""),"")</f>
        <v/>
      </c>
      <c r="G74" s="11" t="str">
        <f>IFERROR(IF('ŞİKAYET KAYIT'!P74="Kapatıldı",'ŞİKAYET KAYIT'!K74,""),"")</f>
        <v/>
      </c>
      <c r="H74" s="11" t="str">
        <f>IFERROR(IF('ŞİKAYET KAYIT'!P74="Kapatıldı",'ŞİKAYET KAYIT'!L74,""),"")</f>
        <v/>
      </c>
      <c r="I74" s="11" t="str">
        <f>IFERROR(IF('ŞİKAYET KAYIT'!P74="Kapatıldı",'ŞİKAYET KAYIT'!M74,""),"")</f>
        <v/>
      </c>
      <c r="J74" s="11" t="str">
        <f>IFERROR(IF('ŞİKAYET KAYIT'!P74="Kapatıldı",'ŞİKAYET KAYIT'!N74,""),"")</f>
        <v/>
      </c>
      <c r="K74" s="11" t="str">
        <f>IFERROR(IF('ŞİKAYET KAYIT'!P74="Kapatıldı",'ŞİKAYET KAYIT'!O74,""),"")</f>
        <v/>
      </c>
      <c r="L74" s="12" t="str">
        <f>IFERROR(IF('ŞİKAYET KAYIT'!P74="Kapatıldı",'ŞİKAYET KAYIT'!Q74,""),"")</f>
        <v/>
      </c>
      <c r="M74" s="11" t="str">
        <f>IFERROR(IF('ŞİKAYET KAYIT'!P74="Kapatıldı",'ŞİKAYET KAYIT'!R74,""),"")</f>
        <v/>
      </c>
      <c r="N74" s="11"/>
    </row>
    <row r="75" spans="1:14" ht="15" customHeight="1" x14ac:dyDescent="0.3">
      <c r="A75" s="26" t="str">
        <f>IFERROR(IF('ŞİKAYET KAYIT'!P75="Kapatıldı",'ŞİKAYET KAYIT'!A75,""),"")</f>
        <v/>
      </c>
      <c r="B75" s="8" t="str">
        <f>IFERROR(IF('ŞİKAYET KAYIT'!P75="Kapatıldı",'ŞİKAYET KAYIT'!B75,""),"")</f>
        <v/>
      </c>
      <c r="C75" s="26" t="str">
        <f>IFERROR(IF('ŞİKAYET KAYIT'!P75="Kapatıldı",'ŞİKAYET KAYIT'!D75,""),"")</f>
        <v/>
      </c>
      <c r="D75" s="26" t="str">
        <f>IFERROR(IF('ŞİKAYET KAYIT'!P75="Kapatıldı",'ŞİKAYET KAYIT'!F75,""),"")</f>
        <v/>
      </c>
      <c r="E75" s="26" t="str">
        <f>IFERROR(IF('ŞİKAYET KAYIT'!P75="Kapatıldı",'ŞİKAYET KAYIT'!H75,""),"")</f>
        <v/>
      </c>
      <c r="F75" s="26" t="str">
        <f>IFERROR(IF('ŞİKAYET KAYIT'!P75="Kapatıldı",'ŞİKAYET KAYIT'!J75,""),"")</f>
        <v/>
      </c>
      <c r="G75" s="26" t="str">
        <f>IFERROR(IF('ŞİKAYET KAYIT'!P75="Kapatıldı",'ŞİKAYET KAYIT'!K75,""),"")</f>
        <v/>
      </c>
      <c r="H75" s="26" t="str">
        <f>IFERROR(IF('ŞİKAYET KAYIT'!P75="Kapatıldı",'ŞİKAYET KAYIT'!L75,""),"")</f>
        <v/>
      </c>
      <c r="I75" s="26" t="str">
        <f>IFERROR(IF('ŞİKAYET KAYIT'!P75="Kapatıldı",'ŞİKAYET KAYIT'!M75,""),"")</f>
        <v/>
      </c>
      <c r="J75" s="26" t="str">
        <f>IFERROR(IF('ŞİKAYET KAYIT'!P75="Kapatıldı",'ŞİKAYET KAYIT'!N75,""),"")</f>
        <v/>
      </c>
      <c r="K75" s="26" t="str">
        <f>IFERROR(IF('ŞİKAYET KAYIT'!P75="Kapatıldı",'ŞİKAYET KAYIT'!O75,""),"")</f>
        <v/>
      </c>
      <c r="L75" s="8" t="str">
        <f>IFERROR(IF('ŞİKAYET KAYIT'!P75="Kapatıldı",'ŞİKAYET KAYIT'!Q75,""),"")</f>
        <v/>
      </c>
      <c r="M75" s="26" t="str">
        <f>IFERROR(IF('ŞİKAYET KAYIT'!P75="Kapatıldı",'ŞİKAYET KAYIT'!R75,""),"")</f>
        <v/>
      </c>
      <c r="N75" s="26"/>
    </row>
    <row r="76" spans="1:14" ht="15" customHeight="1" x14ac:dyDescent="0.3">
      <c r="A76" s="11" t="str">
        <f>IFERROR(IF('ŞİKAYET KAYIT'!P76="Kapatıldı",'ŞİKAYET KAYIT'!A76,""),"")</f>
        <v/>
      </c>
      <c r="B76" s="12" t="str">
        <f>IFERROR(IF('ŞİKAYET KAYIT'!P76="Kapatıldı",'ŞİKAYET KAYIT'!B76,""),"")</f>
        <v/>
      </c>
      <c r="C76" s="11" t="str">
        <f>IFERROR(IF('ŞİKAYET KAYIT'!P76="Kapatıldı",'ŞİKAYET KAYIT'!D76,""),"")</f>
        <v/>
      </c>
      <c r="D76" s="11" t="str">
        <f>IFERROR(IF('ŞİKAYET KAYIT'!P76="Kapatıldı",'ŞİKAYET KAYIT'!F76,""),"")</f>
        <v/>
      </c>
      <c r="E76" s="11" t="str">
        <f>IFERROR(IF('ŞİKAYET KAYIT'!P76="Kapatıldı",'ŞİKAYET KAYIT'!H76,""),"")</f>
        <v/>
      </c>
      <c r="F76" s="11" t="str">
        <f>IFERROR(IF('ŞİKAYET KAYIT'!P76="Kapatıldı",'ŞİKAYET KAYIT'!J76,""),"")</f>
        <v/>
      </c>
      <c r="G76" s="11" t="str">
        <f>IFERROR(IF('ŞİKAYET KAYIT'!P76="Kapatıldı",'ŞİKAYET KAYIT'!K76,""),"")</f>
        <v/>
      </c>
      <c r="H76" s="11" t="str">
        <f>IFERROR(IF('ŞİKAYET KAYIT'!P76="Kapatıldı",'ŞİKAYET KAYIT'!L76,""),"")</f>
        <v/>
      </c>
      <c r="I76" s="11" t="str">
        <f>IFERROR(IF('ŞİKAYET KAYIT'!P76="Kapatıldı",'ŞİKAYET KAYIT'!M76,""),"")</f>
        <v/>
      </c>
      <c r="J76" s="11" t="str">
        <f>IFERROR(IF('ŞİKAYET KAYIT'!P76="Kapatıldı",'ŞİKAYET KAYIT'!N76,""),"")</f>
        <v/>
      </c>
      <c r="K76" s="11" t="str">
        <f>IFERROR(IF('ŞİKAYET KAYIT'!P76="Kapatıldı",'ŞİKAYET KAYIT'!O76,""),"")</f>
        <v/>
      </c>
      <c r="L76" s="12" t="str">
        <f>IFERROR(IF('ŞİKAYET KAYIT'!P76="Kapatıldı",'ŞİKAYET KAYIT'!Q76,""),"")</f>
        <v/>
      </c>
      <c r="M76" s="11" t="str">
        <f>IFERROR(IF('ŞİKAYET KAYIT'!P76="Kapatıldı",'ŞİKAYET KAYIT'!R76,""),"")</f>
        <v/>
      </c>
      <c r="N76" s="11"/>
    </row>
    <row r="77" spans="1:14" ht="15" customHeight="1" x14ac:dyDescent="0.3">
      <c r="A77" s="26" t="str">
        <f>IFERROR(IF('ŞİKAYET KAYIT'!P77="Kapatıldı",'ŞİKAYET KAYIT'!A77,""),"")</f>
        <v/>
      </c>
      <c r="B77" s="8" t="str">
        <f>IFERROR(IF('ŞİKAYET KAYIT'!P77="Kapatıldı",'ŞİKAYET KAYIT'!B77,""),"")</f>
        <v/>
      </c>
      <c r="C77" s="26" t="str">
        <f>IFERROR(IF('ŞİKAYET KAYIT'!P77="Kapatıldı",'ŞİKAYET KAYIT'!D77,""),"")</f>
        <v/>
      </c>
      <c r="D77" s="26" t="str">
        <f>IFERROR(IF('ŞİKAYET KAYIT'!P77="Kapatıldı",'ŞİKAYET KAYIT'!F77,""),"")</f>
        <v/>
      </c>
      <c r="E77" s="26" t="str">
        <f>IFERROR(IF('ŞİKAYET KAYIT'!P77="Kapatıldı",'ŞİKAYET KAYIT'!H77,""),"")</f>
        <v/>
      </c>
      <c r="F77" s="26" t="str">
        <f>IFERROR(IF('ŞİKAYET KAYIT'!P77="Kapatıldı",'ŞİKAYET KAYIT'!J77,""),"")</f>
        <v/>
      </c>
      <c r="G77" s="26" t="str">
        <f>IFERROR(IF('ŞİKAYET KAYIT'!P77="Kapatıldı",'ŞİKAYET KAYIT'!K77,""),"")</f>
        <v/>
      </c>
      <c r="H77" s="26" t="str">
        <f>IFERROR(IF('ŞİKAYET KAYIT'!P77="Kapatıldı",'ŞİKAYET KAYIT'!L77,""),"")</f>
        <v/>
      </c>
      <c r="I77" s="26" t="str">
        <f>IFERROR(IF('ŞİKAYET KAYIT'!P77="Kapatıldı",'ŞİKAYET KAYIT'!M77,""),"")</f>
        <v/>
      </c>
      <c r="J77" s="26" t="str">
        <f>IFERROR(IF('ŞİKAYET KAYIT'!P77="Kapatıldı",'ŞİKAYET KAYIT'!N77,""),"")</f>
        <v/>
      </c>
      <c r="K77" s="26" t="str">
        <f>IFERROR(IF('ŞİKAYET KAYIT'!P77="Kapatıldı",'ŞİKAYET KAYIT'!O77,""),"")</f>
        <v/>
      </c>
      <c r="L77" s="8" t="str">
        <f>IFERROR(IF('ŞİKAYET KAYIT'!P77="Kapatıldı",'ŞİKAYET KAYIT'!Q77,""),"")</f>
        <v/>
      </c>
      <c r="M77" s="26" t="str">
        <f>IFERROR(IF('ŞİKAYET KAYIT'!P77="Kapatıldı",'ŞİKAYET KAYIT'!R77,""),"")</f>
        <v/>
      </c>
      <c r="N77" s="26"/>
    </row>
    <row r="78" spans="1:14" ht="15" customHeight="1" x14ac:dyDescent="0.3">
      <c r="A78" s="11" t="str">
        <f>IFERROR(IF('ŞİKAYET KAYIT'!P78="Kapatıldı",'ŞİKAYET KAYIT'!A78,""),"")</f>
        <v/>
      </c>
      <c r="B78" s="12" t="str">
        <f>IFERROR(IF('ŞİKAYET KAYIT'!P78="Kapatıldı",'ŞİKAYET KAYIT'!B78,""),"")</f>
        <v/>
      </c>
      <c r="C78" s="11" t="str">
        <f>IFERROR(IF('ŞİKAYET KAYIT'!P78="Kapatıldı",'ŞİKAYET KAYIT'!D78,""),"")</f>
        <v/>
      </c>
      <c r="D78" s="11" t="str">
        <f>IFERROR(IF('ŞİKAYET KAYIT'!P78="Kapatıldı",'ŞİKAYET KAYIT'!F78,""),"")</f>
        <v/>
      </c>
      <c r="E78" s="11" t="str">
        <f>IFERROR(IF('ŞİKAYET KAYIT'!P78="Kapatıldı",'ŞİKAYET KAYIT'!H78,""),"")</f>
        <v/>
      </c>
      <c r="F78" s="11" t="str">
        <f>IFERROR(IF('ŞİKAYET KAYIT'!P78="Kapatıldı",'ŞİKAYET KAYIT'!J78,""),"")</f>
        <v/>
      </c>
      <c r="G78" s="11" t="str">
        <f>IFERROR(IF('ŞİKAYET KAYIT'!P78="Kapatıldı",'ŞİKAYET KAYIT'!K78,""),"")</f>
        <v/>
      </c>
      <c r="H78" s="11" t="str">
        <f>IFERROR(IF('ŞİKAYET KAYIT'!P78="Kapatıldı",'ŞİKAYET KAYIT'!L78,""),"")</f>
        <v/>
      </c>
      <c r="I78" s="11" t="str">
        <f>IFERROR(IF('ŞİKAYET KAYIT'!P78="Kapatıldı",'ŞİKAYET KAYIT'!M78,""),"")</f>
        <v/>
      </c>
      <c r="J78" s="11" t="str">
        <f>IFERROR(IF('ŞİKAYET KAYIT'!P78="Kapatıldı",'ŞİKAYET KAYIT'!N78,""),"")</f>
        <v/>
      </c>
      <c r="K78" s="11" t="str">
        <f>IFERROR(IF('ŞİKAYET KAYIT'!P78="Kapatıldı",'ŞİKAYET KAYIT'!O78,""),"")</f>
        <v/>
      </c>
      <c r="L78" s="12" t="str">
        <f>IFERROR(IF('ŞİKAYET KAYIT'!P78="Kapatıldı",'ŞİKAYET KAYIT'!Q78,""),"")</f>
        <v/>
      </c>
      <c r="M78" s="11" t="str">
        <f>IFERROR(IF('ŞİKAYET KAYIT'!P78="Kapatıldı",'ŞİKAYET KAYIT'!R78,""),"")</f>
        <v/>
      </c>
      <c r="N78" s="11"/>
    </row>
    <row r="79" spans="1:14" ht="15" customHeight="1" x14ac:dyDescent="0.3">
      <c r="A79" s="26" t="str">
        <f>IFERROR(IF('ŞİKAYET KAYIT'!P79="Kapatıldı",'ŞİKAYET KAYIT'!A79,""),"")</f>
        <v/>
      </c>
      <c r="B79" s="8" t="str">
        <f>IFERROR(IF('ŞİKAYET KAYIT'!P79="Kapatıldı",'ŞİKAYET KAYIT'!B79,""),"")</f>
        <v/>
      </c>
      <c r="C79" s="26" t="str">
        <f>IFERROR(IF('ŞİKAYET KAYIT'!P79="Kapatıldı",'ŞİKAYET KAYIT'!D79,""),"")</f>
        <v/>
      </c>
      <c r="D79" s="26" t="str">
        <f>IFERROR(IF('ŞİKAYET KAYIT'!P79="Kapatıldı",'ŞİKAYET KAYIT'!F79,""),"")</f>
        <v/>
      </c>
      <c r="E79" s="26" t="str">
        <f>IFERROR(IF('ŞİKAYET KAYIT'!P79="Kapatıldı",'ŞİKAYET KAYIT'!H79,""),"")</f>
        <v/>
      </c>
      <c r="F79" s="26" t="str">
        <f>IFERROR(IF('ŞİKAYET KAYIT'!P79="Kapatıldı",'ŞİKAYET KAYIT'!J79,""),"")</f>
        <v/>
      </c>
      <c r="G79" s="26" t="str">
        <f>IFERROR(IF('ŞİKAYET KAYIT'!P79="Kapatıldı",'ŞİKAYET KAYIT'!K79,""),"")</f>
        <v/>
      </c>
      <c r="H79" s="26" t="str">
        <f>IFERROR(IF('ŞİKAYET KAYIT'!P79="Kapatıldı",'ŞİKAYET KAYIT'!L79,""),"")</f>
        <v/>
      </c>
      <c r="I79" s="26" t="str">
        <f>IFERROR(IF('ŞİKAYET KAYIT'!P79="Kapatıldı",'ŞİKAYET KAYIT'!M79,""),"")</f>
        <v/>
      </c>
      <c r="J79" s="26" t="str">
        <f>IFERROR(IF('ŞİKAYET KAYIT'!P79="Kapatıldı",'ŞİKAYET KAYIT'!N79,""),"")</f>
        <v/>
      </c>
      <c r="K79" s="26" t="str">
        <f>IFERROR(IF('ŞİKAYET KAYIT'!P79="Kapatıldı",'ŞİKAYET KAYIT'!O79,""),"")</f>
        <v/>
      </c>
      <c r="L79" s="8" t="str">
        <f>IFERROR(IF('ŞİKAYET KAYIT'!P79="Kapatıldı",'ŞİKAYET KAYIT'!Q79,""),"")</f>
        <v/>
      </c>
      <c r="M79" s="26" t="str">
        <f>IFERROR(IF('ŞİKAYET KAYIT'!P79="Kapatıldı",'ŞİKAYET KAYIT'!R79,""),"")</f>
        <v/>
      </c>
      <c r="N79" s="26"/>
    </row>
    <row r="80" spans="1:14" ht="15" customHeight="1" x14ac:dyDescent="0.3">
      <c r="A80" s="11" t="str">
        <f>IFERROR(IF('ŞİKAYET KAYIT'!P80="Kapatıldı",'ŞİKAYET KAYIT'!A80,""),"")</f>
        <v/>
      </c>
      <c r="B80" s="12" t="str">
        <f>IFERROR(IF('ŞİKAYET KAYIT'!P80="Kapatıldı",'ŞİKAYET KAYIT'!B80,""),"")</f>
        <v/>
      </c>
      <c r="C80" s="11" t="str">
        <f>IFERROR(IF('ŞİKAYET KAYIT'!P80="Kapatıldı",'ŞİKAYET KAYIT'!D80,""),"")</f>
        <v/>
      </c>
      <c r="D80" s="11" t="str">
        <f>IFERROR(IF('ŞİKAYET KAYIT'!P80="Kapatıldı",'ŞİKAYET KAYIT'!F80,""),"")</f>
        <v/>
      </c>
      <c r="E80" s="11" t="str">
        <f>IFERROR(IF('ŞİKAYET KAYIT'!P80="Kapatıldı",'ŞİKAYET KAYIT'!H80,""),"")</f>
        <v/>
      </c>
      <c r="F80" s="11" t="str">
        <f>IFERROR(IF('ŞİKAYET KAYIT'!P80="Kapatıldı",'ŞİKAYET KAYIT'!J80,""),"")</f>
        <v/>
      </c>
      <c r="G80" s="11" t="str">
        <f>IFERROR(IF('ŞİKAYET KAYIT'!P80="Kapatıldı",'ŞİKAYET KAYIT'!K80,""),"")</f>
        <v/>
      </c>
      <c r="H80" s="11" t="str">
        <f>IFERROR(IF('ŞİKAYET KAYIT'!P80="Kapatıldı",'ŞİKAYET KAYIT'!L80,""),"")</f>
        <v/>
      </c>
      <c r="I80" s="11" t="str">
        <f>IFERROR(IF('ŞİKAYET KAYIT'!P80="Kapatıldı",'ŞİKAYET KAYIT'!M80,""),"")</f>
        <v/>
      </c>
      <c r="J80" s="11" t="str">
        <f>IFERROR(IF('ŞİKAYET KAYIT'!P80="Kapatıldı",'ŞİKAYET KAYIT'!N80,""),"")</f>
        <v/>
      </c>
      <c r="K80" s="11" t="str">
        <f>IFERROR(IF('ŞİKAYET KAYIT'!P80="Kapatıldı",'ŞİKAYET KAYIT'!O80,""),"")</f>
        <v/>
      </c>
      <c r="L80" s="12" t="str">
        <f>IFERROR(IF('ŞİKAYET KAYIT'!P80="Kapatıldı",'ŞİKAYET KAYIT'!Q80,""),"")</f>
        <v/>
      </c>
      <c r="M80" s="11" t="str">
        <f>IFERROR(IF('ŞİKAYET KAYIT'!P80="Kapatıldı",'ŞİKAYET KAYIT'!R80,""),"")</f>
        <v/>
      </c>
      <c r="N80" s="11"/>
    </row>
    <row r="81" spans="1:14" ht="15" customHeight="1" x14ac:dyDescent="0.3">
      <c r="A81" s="26" t="str">
        <f>IFERROR(IF('ŞİKAYET KAYIT'!P81="Kapatıldı",'ŞİKAYET KAYIT'!A81,""),"")</f>
        <v/>
      </c>
      <c r="B81" s="8" t="str">
        <f>IFERROR(IF('ŞİKAYET KAYIT'!P81="Kapatıldı",'ŞİKAYET KAYIT'!B81,""),"")</f>
        <v/>
      </c>
      <c r="C81" s="26" t="str">
        <f>IFERROR(IF('ŞİKAYET KAYIT'!P81="Kapatıldı",'ŞİKAYET KAYIT'!D81,""),"")</f>
        <v/>
      </c>
      <c r="D81" s="26" t="str">
        <f>IFERROR(IF('ŞİKAYET KAYIT'!P81="Kapatıldı",'ŞİKAYET KAYIT'!F81,""),"")</f>
        <v/>
      </c>
      <c r="E81" s="26" t="str">
        <f>IFERROR(IF('ŞİKAYET KAYIT'!P81="Kapatıldı",'ŞİKAYET KAYIT'!H81,""),"")</f>
        <v/>
      </c>
      <c r="F81" s="26" t="str">
        <f>IFERROR(IF('ŞİKAYET KAYIT'!P81="Kapatıldı",'ŞİKAYET KAYIT'!J81,""),"")</f>
        <v/>
      </c>
      <c r="G81" s="26" t="str">
        <f>IFERROR(IF('ŞİKAYET KAYIT'!P81="Kapatıldı",'ŞİKAYET KAYIT'!K81,""),"")</f>
        <v/>
      </c>
      <c r="H81" s="26" t="str">
        <f>IFERROR(IF('ŞİKAYET KAYIT'!P81="Kapatıldı",'ŞİKAYET KAYIT'!L81,""),"")</f>
        <v/>
      </c>
      <c r="I81" s="26" t="str">
        <f>IFERROR(IF('ŞİKAYET KAYIT'!P81="Kapatıldı",'ŞİKAYET KAYIT'!M81,""),"")</f>
        <v/>
      </c>
      <c r="J81" s="26" t="str">
        <f>IFERROR(IF('ŞİKAYET KAYIT'!P81="Kapatıldı",'ŞİKAYET KAYIT'!N81,""),"")</f>
        <v/>
      </c>
      <c r="K81" s="26" t="str">
        <f>IFERROR(IF('ŞİKAYET KAYIT'!P81="Kapatıldı",'ŞİKAYET KAYIT'!O81,""),"")</f>
        <v/>
      </c>
      <c r="L81" s="8" t="str">
        <f>IFERROR(IF('ŞİKAYET KAYIT'!P81="Kapatıldı",'ŞİKAYET KAYIT'!Q81,""),"")</f>
        <v/>
      </c>
      <c r="M81" s="26" t="str">
        <f>IFERROR(IF('ŞİKAYET KAYIT'!P81="Kapatıldı",'ŞİKAYET KAYIT'!R81,""),"")</f>
        <v/>
      </c>
      <c r="N81" s="26"/>
    </row>
    <row r="82" spans="1:14" ht="15" customHeight="1" x14ac:dyDescent="0.3">
      <c r="A82" s="11" t="str">
        <f>IFERROR(IF('ŞİKAYET KAYIT'!P82="Kapatıldı",'ŞİKAYET KAYIT'!A82,""),"")</f>
        <v/>
      </c>
      <c r="B82" s="12" t="str">
        <f>IFERROR(IF('ŞİKAYET KAYIT'!P82="Kapatıldı",'ŞİKAYET KAYIT'!B82,""),"")</f>
        <v/>
      </c>
      <c r="C82" s="11" t="str">
        <f>IFERROR(IF('ŞİKAYET KAYIT'!P82="Kapatıldı",'ŞİKAYET KAYIT'!D82,""),"")</f>
        <v/>
      </c>
      <c r="D82" s="11" t="str">
        <f>IFERROR(IF('ŞİKAYET KAYIT'!P82="Kapatıldı",'ŞİKAYET KAYIT'!F82,""),"")</f>
        <v/>
      </c>
      <c r="E82" s="11" t="str">
        <f>IFERROR(IF('ŞİKAYET KAYIT'!P82="Kapatıldı",'ŞİKAYET KAYIT'!H82,""),"")</f>
        <v/>
      </c>
      <c r="F82" s="11" t="str">
        <f>IFERROR(IF('ŞİKAYET KAYIT'!P82="Kapatıldı",'ŞİKAYET KAYIT'!J82,""),"")</f>
        <v/>
      </c>
      <c r="G82" s="11" t="str">
        <f>IFERROR(IF('ŞİKAYET KAYIT'!P82="Kapatıldı",'ŞİKAYET KAYIT'!K82,""),"")</f>
        <v/>
      </c>
      <c r="H82" s="11" t="str">
        <f>IFERROR(IF('ŞİKAYET KAYIT'!P82="Kapatıldı",'ŞİKAYET KAYIT'!L82,""),"")</f>
        <v/>
      </c>
      <c r="I82" s="11" t="str">
        <f>IFERROR(IF('ŞİKAYET KAYIT'!P82="Kapatıldı",'ŞİKAYET KAYIT'!M82,""),"")</f>
        <v/>
      </c>
      <c r="J82" s="11" t="str">
        <f>IFERROR(IF('ŞİKAYET KAYIT'!P82="Kapatıldı",'ŞİKAYET KAYIT'!N82,""),"")</f>
        <v/>
      </c>
      <c r="K82" s="11" t="str">
        <f>IFERROR(IF('ŞİKAYET KAYIT'!P82="Kapatıldı",'ŞİKAYET KAYIT'!O82,""),"")</f>
        <v/>
      </c>
      <c r="L82" s="12" t="str">
        <f>IFERROR(IF('ŞİKAYET KAYIT'!P82="Kapatıldı",'ŞİKAYET KAYIT'!Q82,""),"")</f>
        <v/>
      </c>
      <c r="M82" s="11" t="str">
        <f>IFERROR(IF('ŞİKAYET KAYIT'!P82="Kapatıldı",'ŞİKAYET KAYIT'!R82,""),"")</f>
        <v/>
      </c>
      <c r="N82" s="11"/>
    </row>
    <row r="83" spans="1:14" ht="15" customHeight="1" x14ac:dyDescent="0.3">
      <c r="A83" s="26" t="str">
        <f>IFERROR(IF('ŞİKAYET KAYIT'!P83="Kapatıldı",'ŞİKAYET KAYIT'!A83,""),"")</f>
        <v/>
      </c>
      <c r="B83" s="8" t="str">
        <f>IFERROR(IF('ŞİKAYET KAYIT'!P83="Kapatıldı",'ŞİKAYET KAYIT'!B83,""),"")</f>
        <v/>
      </c>
      <c r="C83" s="26" t="str">
        <f>IFERROR(IF('ŞİKAYET KAYIT'!P83="Kapatıldı",'ŞİKAYET KAYIT'!D83,""),"")</f>
        <v/>
      </c>
      <c r="D83" s="26" t="str">
        <f>IFERROR(IF('ŞİKAYET KAYIT'!P83="Kapatıldı",'ŞİKAYET KAYIT'!F83,""),"")</f>
        <v/>
      </c>
      <c r="E83" s="26" t="str">
        <f>IFERROR(IF('ŞİKAYET KAYIT'!P83="Kapatıldı",'ŞİKAYET KAYIT'!H83,""),"")</f>
        <v/>
      </c>
      <c r="F83" s="26" t="str">
        <f>IFERROR(IF('ŞİKAYET KAYIT'!P83="Kapatıldı",'ŞİKAYET KAYIT'!J83,""),"")</f>
        <v/>
      </c>
      <c r="G83" s="26" t="str">
        <f>IFERROR(IF('ŞİKAYET KAYIT'!P83="Kapatıldı",'ŞİKAYET KAYIT'!K83,""),"")</f>
        <v/>
      </c>
      <c r="H83" s="26" t="str">
        <f>IFERROR(IF('ŞİKAYET KAYIT'!P83="Kapatıldı",'ŞİKAYET KAYIT'!L83,""),"")</f>
        <v/>
      </c>
      <c r="I83" s="26" t="str">
        <f>IFERROR(IF('ŞİKAYET KAYIT'!P83="Kapatıldı",'ŞİKAYET KAYIT'!M83,""),"")</f>
        <v/>
      </c>
      <c r="J83" s="26" t="str">
        <f>IFERROR(IF('ŞİKAYET KAYIT'!P83="Kapatıldı",'ŞİKAYET KAYIT'!N83,""),"")</f>
        <v/>
      </c>
      <c r="K83" s="26" t="str">
        <f>IFERROR(IF('ŞİKAYET KAYIT'!P83="Kapatıldı",'ŞİKAYET KAYIT'!O83,""),"")</f>
        <v/>
      </c>
      <c r="L83" s="8" t="str">
        <f>IFERROR(IF('ŞİKAYET KAYIT'!P83="Kapatıldı",'ŞİKAYET KAYIT'!Q83,""),"")</f>
        <v/>
      </c>
      <c r="M83" s="26" t="str">
        <f>IFERROR(IF('ŞİKAYET KAYIT'!P83="Kapatıldı",'ŞİKAYET KAYIT'!R83,""),"")</f>
        <v/>
      </c>
      <c r="N83" s="26"/>
    </row>
    <row r="84" spans="1:14" ht="15" customHeight="1" x14ac:dyDescent="0.3">
      <c r="A84" s="11" t="str">
        <f>IFERROR(IF('ŞİKAYET KAYIT'!P84="Kapatıldı",'ŞİKAYET KAYIT'!A84,""),"")</f>
        <v/>
      </c>
      <c r="B84" s="12" t="str">
        <f>IFERROR(IF('ŞİKAYET KAYIT'!P84="Kapatıldı",'ŞİKAYET KAYIT'!B84,""),"")</f>
        <v/>
      </c>
      <c r="C84" s="11" t="str">
        <f>IFERROR(IF('ŞİKAYET KAYIT'!P84="Kapatıldı",'ŞİKAYET KAYIT'!D84,""),"")</f>
        <v/>
      </c>
      <c r="D84" s="11" t="str">
        <f>IFERROR(IF('ŞİKAYET KAYIT'!P84="Kapatıldı",'ŞİKAYET KAYIT'!F84,""),"")</f>
        <v/>
      </c>
      <c r="E84" s="11" t="str">
        <f>IFERROR(IF('ŞİKAYET KAYIT'!P84="Kapatıldı",'ŞİKAYET KAYIT'!H84,""),"")</f>
        <v/>
      </c>
      <c r="F84" s="11" t="str">
        <f>IFERROR(IF('ŞİKAYET KAYIT'!P84="Kapatıldı",'ŞİKAYET KAYIT'!J84,""),"")</f>
        <v/>
      </c>
      <c r="G84" s="11" t="str">
        <f>IFERROR(IF('ŞİKAYET KAYIT'!P84="Kapatıldı",'ŞİKAYET KAYIT'!K84,""),"")</f>
        <v/>
      </c>
      <c r="H84" s="11" t="str">
        <f>IFERROR(IF('ŞİKAYET KAYIT'!P84="Kapatıldı",'ŞİKAYET KAYIT'!L84,""),"")</f>
        <v/>
      </c>
      <c r="I84" s="11" t="str">
        <f>IFERROR(IF('ŞİKAYET KAYIT'!P84="Kapatıldı",'ŞİKAYET KAYIT'!M84,""),"")</f>
        <v/>
      </c>
      <c r="J84" s="11" t="str">
        <f>IFERROR(IF('ŞİKAYET KAYIT'!P84="Kapatıldı",'ŞİKAYET KAYIT'!N84,""),"")</f>
        <v/>
      </c>
      <c r="K84" s="11" t="str">
        <f>IFERROR(IF('ŞİKAYET KAYIT'!P84="Kapatıldı",'ŞİKAYET KAYIT'!O84,""),"")</f>
        <v/>
      </c>
      <c r="L84" s="12" t="str">
        <f>IFERROR(IF('ŞİKAYET KAYIT'!P84="Kapatıldı",'ŞİKAYET KAYIT'!Q84,""),"")</f>
        <v/>
      </c>
      <c r="M84" s="11" t="str">
        <f>IFERROR(IF('ŞİKAYET KAYIT'!P84="Kapatıldı",'ŞİKAYET KAYIT'!R84,""),"")</f>
        <v/>
      </c>
      <c r="N84" s="11"/>
    </row>
    <row r="85" spans="1:14" ht="15" customHeight="1" x14ac:dyDescent="0.3">
      <c r="A85" s="26" t="str">
        <f>IFERROR(IF('ŞİKAYET KAYIT'!P85="Kapatıldı",'ŞİKAYET KAYIT'!A85,""),"")</f>
        <v/>
      </c>
      <c r="B85" s="8" t="str">
        <f>IFERROR(IF('ŞİKAYET KAYIT'!P85="Kapatıldı",'ŞİKAYET KAYIT'!B85,""),"")</f>
        <v/>
      </c>
      <c r="C85" s="26" t="str">
        <f>IFERROR(IF('ŞİKAYET KAYIT'!P85="Kapatıldı",'ŞİKAYET KAYIT'!D85,""),"")</f>
        <v/>
      </c>
      <c r="D85" s="26" t="str">
        <f>IFERROR(IF('ŞİKAYET KAYIT'!P85="Kapatıldı",'ŞİKAYET KAYIT'!F85,""),"")</f>
        <v/>
      </c>
      <c r="E85" s="26" t="str">
        <f>IFERROR(IF('ŞİKAYET KAYIT'!P85="Kapatıldı",'ŞİKAYET KAYIT'!H85,""),"")</f>
        <v/>
      </c>
      <c r="F85" s="26" t="str">
        <f>IFERROR(IF('ŞİKAYET KAYIT'!P85="Kapatıldı",'ŞİKAYET KAYIT'!J85,""),"")</f>
        <v/>
      </c>
      <c r="G85" s="26" t="str">
        <f>IFERROR(IF('ŞİKAYET KAYIT'!P85="Kapatıldı",'ŞİKAYET KAYIT'!K85,""),"")</f>
        <v/>
      </c>
      <c r="H85" s="26" t="str">
        <f>IFERROR(IF('ŞİKAYET KAYIT'!P85="Kapatıldı",'ŞİKAYET KAYIT'!L85,""),"")</f>
        <v/>
      </c>
      <c r="I85" s="26" t="str">
        <f>IFERROR(IF('ŞİKAYET KAYIT'!P85="Kapatıldı",'ŞİKAYET KAYIT'!M85,""),"")</f>
        <v/>
      </c>
      <c r="J85" s="26" t="str">
        <f>IFERROR(IF('ŞİKAYET KAYIT'!P85="Kapatıldı",'ŞİKAYET KAYIT'!N85,""),"")</f>
        <v/>
      </c>
      <c r="K85" s="26" t="str">
        <f>IFERROR(IF('ŞİKAYET KAYIT'!P85="Kapatıldı",'ŞİKAYET KAYIT'!O85,""),"")</f>
        <v/>
      </c>
      <c r="L85" s="8" t="str">
        <f>IFERROR(IF('ŞİKAYET KAYIT'!P85="Kapatıldı",'ŞİKAYET KAYIT'!Q85,""),"")</f>
        <v/>
      </c>
      <c r="M85" s="26" t="str">
        <f>IFERROR(IF('ŞİKAYET KAYIT'!P85="Kapatıldı",'ŞİKAYET KAYIT'!R85,""),"")</f>
        <v/>
      </c>
      <c r="N85" s="26"/>
    </row>
    <row r="86" spans="1:14" ht="15" customHeight="1" x14ac:dyDescent="0.3">
      <c r="A86" s="11" t="str">
        <f>IFERROR(IF('ŞİKAYET KAYIT'!P86="Kapatıldı",'ŞİKAYET KAYIT'!A86,""),"")</f>
        <v/>
      </c>
      <c r="B86" s="12" t="str">
        <f>IFERROR(IF('ŞİKAYET KAYIT'!P86="Kapatıldı",'ŞİKAYET KAYIT'!B86,""),"")</f>
        <v/>
      </c>
      <c r="C86" s="11" t="str">
        <f>IFERROR(IF('ŞİKAYET KAYIT'!P86="Kapatıldı",'ŞİKAYET KAYIT'!D86,""),"")</f>
        <v/>
      </c>
      <c r="D86" s="11" t="str">
        <f>IFERROR(IF('ŞİKAYET KAYIT'!P86="Kapatıldı",'ŞİKAYET KAYIT'!F86,""),"")</f>
        <v/>
      </c>
      <c r="E86" s="11" t="str">
        <f>IFERROR(IF('ŞİKAYET KAYIT'!P86="Kapatıldı",'ŞİKAYET KAYIT'!H86,""),"")</f>
        <v/>
      </c>
      <c r="F86" s="11" t="str">
        <f>IFERROR(IF('ŞİKAYET KAYIT'!P86="Kapatıldı",'ŞİKAYET KAYIT'!J86,""),"")</f>
        <v/>
      </c>
      <c r="G86" s="11" t="str">
        <f>IFERROR(IF('ŞİKAYET KAYIT'!P86="Kapatıldı",'ŞİKAYET KAYIT'!K86,""),"")</f>
        <v/>
      </c>
      <c r="H86" s="11" t="str">
        <f>IFERROR(IF('ŞİKAYET KAYIT'!P86="Kapatıldı",'ŞİKAYET KAYIT'!L86,""),"")</f>
        <v/>
      </c>
      <c r="I86" s="11" t="str">
        <f>IFERROR(IF('ŞİKAYET KAYIT'!P86="Kapatıldı",'ŞİKAYET KAYIT'!M86,""),"")</f>
        <v/>
      </c>
      <c r="J86" s="11" t="str">
        <f>IFERROR(IF('ŞİKAYET KAYIT'!P86="Kapatıldı",'ŞİKAYET KAYIT'!N86,""),"")</f>
        <v/>
      </c>
      <c r="K86" s="11" t="str">
        <f>IFERROR(IF('ŞİKAYET KAYIT'!P86="Kapatıldı",'ŞİKAYET KAYIT'!O86,""),"")</f>
        <v/>
      </c>
      <c r="L86" s="12" t="str">
        <f>IFERROR(IF('ŞİKAYET KAYIT'!P86="Kapatıldı",'ŞİKAYET KAYIT'!Q86,""),"")</f>
        <v/>
      </c>
      <c r="M86" s="11" t="str">
        <f>IFERROR(IF('ŞİKAYET KAYIT'!P86="Kapatıldı",'ŞİKAYET KAYIT'!R86,""),"")</f>
        <v/>
      </c>
      <c r="N86" s="11"/>
    </row>
    <row r="87" spans="1:14" ht="15" customHeight="1" x14ac:dyDescent="0.3">
      <c r="A87" s="26" t="str">
        <f>IFERROR(IF('ŞİKAYET KAYIT'!P87="Kapatıldı",'ŞİKAYET KAYIT'!A87,""),"")</f>
        <v/>
      </c>
      <c r="B87" s="8" t="str">
        <f>IFERROR(IF('ŞİKAYET KAYIT'!P87="Kapatıldı",'ŞİKAYET KAYIT'!B87,""),"")</f>
        <v/>
      </c>
      <c r="C87" s="26" t="str">
        <f>IFERROR(IF('ŞİKAYET KAYIT'!P87="Kapatıldı",'ŞİKAYET KAYIT'!D87,""),"")</f>
        <v/>
      </c>
      <c r="D87" s="26" t="str">
        <f>IFERROR(IF('ŞİKAYET KAYIT'!P87="Kapatıldı",'ŞİKAYET KAYIT'!F87,""),"")</f>
        <v/>
      </c>
      <c r="E87" s="26" t="str">
        <f>IFERROR(IF('ŞİKAYET KAYIT'!P87="Kapatıldı",'ŞİKAYET KAYIT'!H87,""),"")</f>
        <v/>
      </c>
      <c r="F87" s="26" t="str">
        <f>IFERROR(IF('ŞİKAYET KAYIT'!P87="Kapatıldı",'ŞİKAYET KAYIT'!J87,""),"")</f>
        <v/>
      </c>
      <c r="G87" s="26" t="str">
        <f>IFERROR(IF('ŞİKAYET KAYIT'!P87="Kapatıldı",'ŞİKAYET KAYIT'!K87,""),"")</f>
        <v/>
      </c>
      <c r="H87" s="26" t="str">
        <f>IFERROR(IF('ŞİKAYET KAYIT'!P87="Kapatıldı",'ŞİKAYET KAYIT'!L87,""),"")</f>
        <v/>
      </c>
      <c r="I87" s="26" t="str">
        <f>IFERROR(IF('ŞİKAYET KAYIT'!P87="Kapatıldı",'ŞİKAYET KAYIT'!M87,""),"")</f>
        <v/>
      </c>
      <c r="J87" s="26" t="str">
        <f>IFERROR(IF('ŞİKAYET KAYIT'!P87="Kapatıldı",'ŞİKAYET KAYIT'!N87,""),"")</f>
        <v/>
      </c>
      <c r="K87" s="26" t="str">
        <f>IFERROR(IF('ŞİKAYET KAYIT'!P87="Kapatıldı",'ŞİKAYET KAYIT'!O87,""),"")</f>
        <v/>
      </c>
      <c r="L87" s="8" t="str">
        <f>IFERROR(IF('ŞİKAYET KAYIT'!P87="Kapatıldı",'ŞİKAYET KAYIT'!Q87,""),"")</f>
        <v/>
      </c>
      <c r="M87" s="26" t="str">
        <f>IFERROR(IF('ŞİKAYET KAYIT'!P87="Kapatıldı",'ŞİKAYET KAYIT'!R87,""),"")</f>
        <v/>
      </c>
      <c r="N87" s="26"/>
    </row>
    <row r="88" spans="1:14" ht="15" customHeight="1" x14ac:dyDescent="0.3">
      <c r="A88" s="11" t="str">
        <f>IFERROR(IF('ŞİKAYET KAYIT'!P88="Kapatıldı",'ŞİKAYET KAYIT'!A88,""),"")</f>
        <v/>
      </c>
      <c r="B88" s="12" t="str">
        <f>IFERROR(IF('ŞİKAYET KAYIT'!P88="Kapatıldı",'ŞİKAYET KAYIT'!B88,""),"")</f>
        <v/>
      </c>
      <c r="C88" s="11" t="str">
        <f>IFERROR(IF('ŞİKAYET KAYIT'!P88="Kapatıldı",'ŞİKAYET KAYIT'!D88,""),"")</f>
        <v/>
      </c>
      <c r="D88" s="11" t="str">
        <f>IFERROR(IF('ŞİKAYET KAYIT'!P88="Kapatıldı",'ŞİKAYET KAYIT'!F88,""),"")</f>
        <v/>
      </c>
      <c r="E88" s="11" t="str">
        <f>IFERROR(IF('ŞİKAYET KAYIT'!P88="Kapatıldı",'ŞİKAYET KAYIT'!H88,""),"")</f>
        <v/>
      </c>
      <c r="F88" s="11" t="str">
        <f>IFERROR(IF('ŞİKAYET KAYIT'!P88="Kapatıldı",'ŞİKAYET KAYIT'!J88,""),"")</f>
        <v/>
      </c>
      <c r="G88" s="11" t="str">
        <f>IFERROR(IF('ŞİKAYET KAYIT'!P88="Kapatıldı",'ŞİKAYET KAYIT'!K88,""),"")</f>
        <v/>
      </c>
      <c r="H88" s="11" t="str">
        <f>IFERROR(IF('ŞİKAYET KAYIT'!P88="Kapatıldı",'ŞİKAYET KAYIT'!L88,""),"")</f>
        <v/>
      </c>
      <c r="I88" s="11" t="str">
        <f>IFERROR(IF('ŞİKAYET KAYIT'!P88="Kapatıldı",'ŞİKAYET KAYIT'!M88,""),"")</f>
        <v/>
      </c>
      <c r="J88" s="11" t="str">
        <f>IFERROR(IF('ŞİKAYET KAYIT'!P88="Kapatıldı",'ŞİKAYET KAYIT'!N88,""),"")</f>
        <v/>
      </c>
      <c r="K88" s="11" t="str">
        <f>IFERROR(IF('ŞİKAYET KAYIT'!P88="Kapatıldı",'ŞİKAYET KAYIT'!O88,""),"")</f>
        <v/>
      </c>
      <c r="L88" s="12" t="str">
        <f>IFERROR(IF('ŞİKAYET KAYIT'!P88="Kapatıldı",'ŞİKAYET KAYIT'!Q88,""),"")</f>
        <v/>
      </c>
      <c r="M88" s="11" t="str">
        <f>IFERROR(IF('ŞİKAYET KAYIT'!P88="Kapatıldı",'ŞİKAYET KAYIT'!R88,""),"")</f>
        <v/>
      </c>
      <c r="N88" s="11"/>
    </row>
    <row r="89" spans="1:14" ht="15" customHeight="1" x14ac:dyDescent="0.3">
      <c r="A89" s="26" t="str">
        <f>IFERROR(IF('ŞİKAYET KAYIT'!P89="Kapatıldı",'ŞİKAYET KAYIT'!A89,""),"")</f>
        <v/>
      </c>
      <c r="B89" s="8" t="str">
        <f>IFERROR(IF('ŞİKAYET KAYIT'!P89="Kapatıldı",'ŞİKAYET KAYIT'!B89,""),"")</f>
        <v/>
      </c>
      <c r="C89" s="26" t="str">
        <f>IFERROR(IF('ŞİKAYET KAYIT'!P89="Kapatıldı",'ŞİKAYET KAYIT'!D89,""),"")</f>
        <v/>
      </c>
      <c r="D89" s="26" t="str">
        <f>IFERROR(IF('ŞİKAYET KAYIT'!P89="Kapatıldı",'ŞİKAYET KAYIT'!F89,""),"")</f>
        <v/>
      </c>
      <c r="E89" s="26" t="str">
        <f>IFERROR(IF('ŞİKAYET KAYIT'!P89="Kapatıldı",'ŞİKAYET KAYIT'!H89,""),"")</f>
        <v/>
      </c>
      <c r="F89" s="26" t="str">
        <f>IFERROR(IF('ŞİKAYET KAYIT'!P89="Kapatıldı",'ŞİKAYET KAYIT'!J89,""),"")</f>
        <v/>
      </c>
      <c r="G89" s="26" t="str">
        <f>IFERROR(IF('ŞİKAYET KAYIT'!P89="Kapatıldı",'ŞİKAYET KAYIT'!K89,""),"")</f>
        <v/>
      </c>
      <c r="H89" s="26" t="str">
        <f>IFERROR(IF('ŞİKAYET KAYIT'!P89="Kapatıldı",'ŞİKAYET KAYIT'!L89,""),"")</f>
        <v/>
      </c>
      <c r="I89" s="26" t="str">
        <f>IFERROR(IF('ŞİKAYET KAYIT'!P89="Kapatıldı",'ŞİKAYET KAYIT'!M89,""),"")</f>
        <v/>
      </c>
      <c r="J89" s="26" t="str">
        <f>IFERROR(IF('ŞİKAYET KAYIT'!P89="Kapatıldı",'ŞİKAYET KAYIT'!N89,""),"")</f>
        <v/>
      </c>
      <c r="K89" s="26" t="str">
        <f>IFERROR(IF('ŞİKAYET KAYIT'!P89="Kapatıldı",'ŞİKAYET KAYIT'!O89,""),"")</f>
        <v/>
      </c>
      <c r="L89" s="8" t="str">
        <f>IFERROR(IF('ŞİKAYET KAYIT'!P89="Kapatıldı",'ŞİKAYET KAYIT'!Q89,""),"")</f>
        <v/>
      </c>
      <c r="M89" s="26" t="str">
        <f>IFERROR(IF('ŞİKAYET KAYIT'!P89="Kapatıldı",'ŞİKAYET KAYIT'!R89,""),"")</f>
        <v/>
      </c>
      <c r="N89" s="26"/>
    </row>
    <row r="90" spans="1:14" ht="15" customHeight="1" x14ac:dyDescent="0.3">
      <c r="A90" s="11" t="str">
        <f>IFERROR(IF('ŞİKAYET KAYIT'!P90="Kapatıldı",'ŞİKAYET KAYIT'!A90,""),"")</f>
        <v/>
      </c>
      <c r="B90" s="12" t="str">
        <f>IFERROR(IF('ŞİKAYET KAYIT'!P90="Kapatıldı",'ŞİKAYET KAYIT'!B90,""),"")</f>
        <v/>
      </c>
      <c r="C90" s="11" t="str">
        <f>IFERROR(IF('ŞİKAYET KAYIT'!P90="Kapatıldı",'ŞİKAYET KAYIT'!D90,""),"")</f>
        <v/>
      </c>
      <c r="D90" s="11" t="str">
        <f>IFERROR(IF('ŞİKAYET KAYIT'!P90="Kapatıldı",'ŞİKAYET KAYIT'!F90,""),"")</f>
        <v/>
      </c>
      <c r="E90" s="11" t="str">
        <f>IFERROR(IF('ŞİKAYET KAYIT'!P90="Kapatıldı",'ŞİKAYET KAYIT'!H90,""),"")</f>
        <v/>
      </c>
      <c r="F90" s="11" t="str">
        <f>IFERROR(IF('ŞİKAYET KAYIT'!P90="Kapatıldı",'ŞİKAYET KAYIT'!J90,""),"")</f>
        <v/>
      </c>
      <c r="G90" s="11" t="str">
        <f>IFERROR(IF('ŞİKAYET KAYIT'!P90="Kapatıldı",'ŞİKAYET KAYIT'!K90,""),"")</f>
        <v/>
      </c>
      <c r="H90" s="11" t="str">
        <f>IFERROR(IF('ŞİKAYET KAYIT'!P90="Kapatıldı",'ŞİKAYET KAYIT'!L90,""),"")</f>
        <v/>
      </c>
      <c r="I90" s="11" t="str">
        <f>IFERROR(IF('ŞİKAYET KAYIT'!P90="Kapatıldı",'ŞİKAYET KAYIT'!M90,""),"")</f>
        <v/>
      </c>
      <c r="J90" s="11" t="str">
        <f>IFERROR(IF('ŞİKAYET KAYIT'!P90="Kapatıldı",'ŞİKAYET KAYIT'!N90,""),"")</f>
        <v/>
      </c>
      <c r="K90" s="11" t="str">
        <f>IFERROR(IF('ŞİKAYET KAYIT'!P90="Kapatıldı",'ŞİKAYET KAYIT'!O90,""),"")</f>
        <v/>
      </c>
      <c r="L90" s="12" t="str">
        <f>IFERROR(IF('ŞİKAYET KAYIT'!P90="Kapatıldı",'ŞİKAYET KAYIT'!Q90,""),"")</f>
        <v/>
      </c>
      <c r="M90" s="11" t="str">
        <f>IFERROR(IF('ŞİKAYET KAYIT'!P90="Kapatıldı",'ŞİKAYET KAYIT'!R90,""),"")</f>
        <v/>
      </c>
      <c r="N90" s="11"/>
    </row>
    <row r="91" spans="1:14" ht="15" customHeight="1" x14ac:dyDescent="0.3">
      <c r="A91" s="26" t="str">
        <f>IFERROR(IF('ŞİKAYET KAYIT'!P91="Kapatıldı",'ŞİKAYET KAYIT'!A91,""),"")</f>
        <v/>
      </c>
      <c r="B91" s="8" t="str">
        <f>IFERROR(IF('ŞİKAYET KAYIT'!P91="Kapatıldı",'ŞİKAYET KAYIT'!B91,""),"")</f>
        <v/>
      </c>
      <c r="C91" s="26" t="str">
        <f>IFERROR(IF('ŞİKAYET KAYIT'!P91="Kapatıldı",'ŞİKAYET KAYIT'!D91,""),"")</f>
        <v/>
      </c>
      <c r="D91" s="26" t="str">
        <f>IFERROR(IF('ŞİKAYET KAYIT'!P91="Kapatıldı",'ŞİKAYET KAYIT'!F91,""),"")</f>
        <v/>
      </c>
      <c r="E91" s="26" t="str">
        <f>IFERROR(IF('ŞİKAYET KAYIT'!P91="Kapatıldı",'ŞİKAYET KAYIT'!H91,""),"")</f>
        <v/>
      </c>
      <c r="F91" s="26" t="str">
        <f>IFERROR(IF('ŞİKAYET KAYIT'!P91="Kapatıldı",'ŞİKAYET KAYIT'!J91,""),"")</f>
        <v/>
      </c>
      <c r="G91" s="26" t="str">
        <f>IFERROR(IF('ŞİKAYET KAYIT'!P91="Kapatıldı",'ŞİKAYET KAYIT'!K91,""),"")</f>
        <v/>
      </c>
      <c r="H91" s="26" t="str">
        <f>IFERROR(IF('ŞİKAYET KAYIT'!P91="Kapatıldı",'ŞİKAYET KAYIT'!L91,""),"")</f>
        <v/>
      </c>
      <c r="I91" s="26" t="str">
        <f>IFERROR(IF('ŞİKAYET KAYIT'!P91="Kapatıldı",'ŞİKAYET KAYIT'!M91,""),"")</f>
        <v/>
      </c>
      <c r="J91" s="26" t="str">
        <f>IFERROR(IF('ŞİKAYET KAYIT'!P91="Kapatıldı",'ŞİKAYET KAYIT'!N91,""),"")</f>
        <v/>
      </c>
      <c r="K91" s="26" t="str">
        <f>IFERROR(IF('ŞİKAYET KAYIT'!P91="Kapatıldı",'ŞİKAYET KAYIT'!O91,""),"")</f>
        <v/>
      </c>
      <c r="L91" s="8" t="str">
        <f>IFERROR(IF('ŞİKAYET KAYIT'!P91="Kapatıldı",'ŞİKAYET KAYIT'!Q91,""),"")</f>
        <v/>
      </c>
      <c r="M91" s="26" t="str">
        <f>IFERROR(IF('ŞİKAYET KAYIT'!P91="Kapatıldı",'ŞİKAYET KAYIT'!R91,""),"")</f>
        <v/>
      </c>
      <c r="N91" s="26"/>
    </row>
    <row r="92" spans="1:14" ht="15" customHeight="1" x14ac:dyDescent="0.3">
      <c r="A92" s="11" t="str">
        <f>IFERROR(IF('ŞİKAYET KAYIT'!P92="Kapatıldı",'ŞİKAYET KAYIT'!A92,""),"")</f>
        <v/>
      </c>
      <c r="B92" s="12" t="str">
        <f>IFERROR(IF('ŞİKAYET KAYIT'!P92="Kapatıldı",'ŞİKAYET KAYIT'!B92,""),"")</f>
        <v/>
      </c>
      <c r="C92" s="11" t="str">
        <f>IFERROR(IF('ŞİKAYET KAYIT'!P92="Kapatıldı",'ŞİKAYET KAYIT'!D92,""),"")</f>
        <v/>
      </c>
      <c r="D92" s="11" t="str">
        <f>IFERROR(IF('ŞİKAYET KAYIT'!P92="Kapatıldı",'ŞİKAYET KAYIT'!F92,""),"")</f>
        <v/>
      </c>
      <c r="E92" s="11" t="str">
        <f>IFERROR(IF('ŞİKAYET KAYIT'!P92="Kapatıldı",'ŞİKAYET KAYIT'!H92,""),"")</f>
        <v/>
      </c>
      <c r="F92" s="11" t="str">
        <f>IFERROR(IF('ŞİKAYET KAYIT'!P92="Kapatıldı",'ŞİKAYET KAYIT'!J92,""),"")</f>
        <v/>
      </c>
      <c r="G92" s="11" t="str">
        <f>IFERROR(IF('ŞİKAYET KAYIT'!P92="Kapatıldı",'ŞİKAYET KAYIT'!K92,""),"")</f>
        <v/>
      </c>
      <c r="H92" s="11" t="str">
        <f>IFERROR(IF('ŞİKAYET KAYIT'!P92="Kapatıldı",'ŞİKAYET KAYIT'!L92,""),"")</f>
        <v/>
      </c>
      <c r="I92" s="11" t="str">
        <f>IFERROR(IF('ŞİKAYET KAYIT'!P92="Kapatıldı",'ŞİKAYET KAYIT'!M92,""),"")</f>
        <v/>
      </c>
      <c r="J92" s="11" t="str">
        <f>IFERROR(IF('ŞİKAYET KAYIT'!P92="Kapatıldı",'ŞİKAYET KAYIT'!N92,""),"")</f>
        <v/>
      </c>
      <c r="K92" s="11" t="str">
        <f>IFERROR(IF('ŞİKAYET KAYIT'!P92="Kapatıldı",'ŞİKAYET KAYIT'!O92,""),"")</f>
        <v/>
      </c>
      <c r="L92" s="12" t="str">
        <f>IFERROR(IF('ŞİKAYET KAYIT'!P92="Kapatıldı",'ŞİKAYET KAYIT'!Q92,""),"")</f>
        <v/>
      </c>
      <c r="M92" s="11" t="str">
        <f>IFERROR(IF('ŞİKAYET KAYIT'!P92="Kapatıldı",'ŞİKAYET KAYIT'!R92,""),"")</f>
        <v/>
      </c>
      <c r="N92" s="11"/>
    </row>
    <row r="93" spans="1:14" ht="15" customHeight="1" x14ac:dyDescent="0.3">
      <c r="A93" s="26" t="str">
        <f>IFERROR(IF('ŞİKAYET KAYIT'!P93="Kapatıldı",'ŞİKAYET KAYIT'!A93,""),"")</f>
        <v/>
      </c>
      <c r="B93" s="8" t="str">
        <f>IFERROR(IF('ŞİKAYET KAYIT'!P93="Kapatıldı",'ŞİKAYET KAYIT'!B93,""),"")</f>
        <v/>
      </c>
      <c r="C93" s="26" t="str">
        <f>IFERROR(IF('ŞİKAYET KAYIT'!P93="Kapatıldı",'ŞİKAYET KAYIT'!D93,""),"")</f>
        <v/>
      </c>
      <c r="D93" s="26" t="str">
        <f>IFERROR(IF('ŞİKAYET KAYIT'!P93="Kapatıldı",'ŞİKAYET KAYIT'!F93,""),"")</f>
        <v/>
      </c>
      <c r="E93" s="26" t="str">
        <f>IFERROR(IF('ŞİKAYET KAYIT'!P93="Kapatıldı",'ŞİKAYET KAYIT'!H93,""),"")</f>
        <v/>
      </c>
      <c r="F93" s="26" t="str">
        <f>IFERROR(IF('ŞİKAYET KAYIT'!P93="Kapatıldı",'ŞİKAYET KAYIT'!J93,""),"")</f>
        <v/>
      </c>
      <c r="G93" s="26" t="str">
        <f>IFERROR(IF('ŞİKAYET KAYIT'!P93="Kapatıldı",'ŞİKAYET KAYIT'!K93,""),"")</f>
        <v/>
      </c>
      <c r="H93" s="26" t="str">
        <f>IFERROR(IF('ŞİKAYET KAYIT'!P93="Kapatıldı",'ŞİKAYET KAYIT'!L93,""),"")</f>
        <v/>
      </c>
      <c r="I93" s="26" t="str">
        <f>IFERROR(IF('ŞİKAYET KAYIT'!P93="Kapatıldı",'ŞİKAYET KAYIT'!M93,""),"")</f>
        <v/>
      </c>
      <c r="J93" s="26" t="str">
        <f>IFERROR(IF('ŞİKAYET KAYIT'!P93="Kapatıldı",'ŞİKAYET KAYIT'!N93,""),"")</f>
        <v/>
      </c>
      <c r="K93" s="26" t="str">
        <f>IFERROR(IF('ŞİKAYET KAYIT'!P93="Kapatıldı",'ŞİKAYET KAYIT'!O93,""),"")</f>
        <v/>
      </c>
      <c r="L93" s="8" t="str">
        <f>IFERROR(IF('ŞİKAYET KAYIT'!P93="Kapatıldı",'ŞİKAYET KAYIT'!Q93,""),"")</f>
        <v/>
      </c>
      <c r="M93" s="26" t="str">
        <f>IFERROR(IF('ŞİKAYET KAYIT'!P93="Kapatıldı",'ŞİKAYET KAYIT'!R93,""),"")</f>
        <v/>
      </c>
      <c r="N93" s="26"/>
    </row>
    <row r="94" spans="1:14" ht="15" customHeight="1" x14ac:dyDescent="0.3">
      <c r="A94" s="11" t="str">
        <f>IFERROR(IF('ŞİKAYET KAYIT'!P94="Kapatıldı",'ŞİKAYET KAYIT'!A94,""),"")</f>
        <v/>
      </c>
      <c r="B94" s="12" t="str">
        <f>IFERROR(IF('ŞİKAYET KAYIT'!P94="Kapatıldı",'ŞİKAYET KAYIT'!B94,""),"")</f>
        <v/>
      </c>
      <c r="C94" s="11" t="str">
        <f>IFERROR(IF('ŞİKAYET KAYIT'!P94="Kapatıldı",'ŞİKAYET KAYIT'!D94,""),"")</f>
        <v/>
      </c>
      <c r="D94" s="11" t="str">
        <f>IFERROR(IF('ŞİKAYET KAYIT'!P94="Kapatıldı",'ŞİKAYET KAYIT'!F94,""),"")</f>
        <v/>
      </c>
      <c r="E94" s="11" t="str">
        <f>IFERROR(IF('ŞİKAYET KAYIT'!P94="Kapatıldı",'ŞİKAYET KAYIT'!H94,""),"")</f>
        <v/>
      </c>
      <c r="F94" s="11" t="str">
        <f>IFERROR(IF('ŞİKAYET KAYIT'!P94="Kapatıldı",'ŞİKAYET KAYIT'!J94,""),"")</f>
        <v/>
      </c>
      <c r="G94" s="11" t="str">
        <f>IFERROR(IF('ŞİKAYET KAYIT'!P94="Kapatıldı",'ŞİKAYET KAYIT'!K94,""),"")</f>
        <v/>
      </c>
      <c r="H94" s="11" t="str">
        <f>IFERROR(IF('ŞİKAYET KAYIT'!P94="Kapatıldı",'ŞİKAYET KAYIT'!L94,""),"")</f>
        <v/>
      </c>
      <c r="I94" s="11" t="str">
        <f>IFERROR(IF('ŞİKAYET KAYIT'!P94="Kapatıldı",'ŞİKAYET KAYIT'!M94,""),"")</f>
        <v/>
      </c>
      <c r="J94" s="11" t="str">
        <f>IFERROR(IF('ŞİKAYET KAYIT'!P94="Kapatıldı",'ŞİKAYET KAYIT'!N94,""),"")</f>
        <v/>
      </c>
      <c r="K94" s="11" t="str">
        <f>IFERROR(IF('ŞİKAYET KAYIT'!P94="Kapatıldı",'ŞİKAYET KAYIT'!O94,""),"")</f>
        <v/>
      </c>
      <c r="L94" s="12" t="str">
        <f>IFERROR(IF('ŞİKAYET KAYIT'!P94="Kapatıldı",'ŞİKAYET KAYIT'!Q94,""),"")</f>
        <v/>
      </c>
      <c r="M94" s="11" t="str">
        <f>IFERROR(IF('ŞİKAYET KAYIT'!P94="Kapatıldı",'ŞİKAYET KAYIT'!R94,""),"")</f>
        <v/>
      </c>
      <c r="N94" s="11"/>
    </row>
    <row r="95" spans="1:14" ht="15" customHeight="1" x14ac:dyDescent="0.3">
      <c r="A95" s="26" t="str">
        <f>IFERROR(IF('ŞİKAYET KAYIT'!P95="Kapatıldı",'ŞİKAYET KAYIT'!A95,""),"")</f>
        <v/>
      </c>
      <c r="B95" s="8" t="str">
        <f>IFERROR(IF('ŞİKAYET KAYIT'!P95="Kapatıldı",'ŞİKAYET KAYIT'!B95,""),"")</f>
        <v/>
      </c>
      <c r="C95" s="26" t="str">
        <f>IFERROR(IF('ŞİKAYET KAYIT'!P95="Kapatıldı",'ŞİKAYET KAYIT'!D95,""),"")</f>
        <v/>
      </c>
      <c r="D95" s="26" t="str">
        <f>IFERROR(IF('ŞİKAYET KAYIT'!P95="Kapatıldı",'ŞİKAYET KAYIT'!F95,""),"")</f>
        <v/>
      </c>
      <c r="E95" s="26" t="str">
        <f>IFERROR(IF('ŞİKAYET KAYIT'!P95="Kapatıldı",'ŞİKAYET KAYIT'!H95,""),"")</f>
        <v/>
      </c>
      <c r="F95" s="26" t="str">
        <f>IFERROR(IF('ŞİKAYET KAYIT'!P95="Kapatıldı",'ŞİKAYET KAYIT'!J95,""),"")</f>
        <v/>
      </c>
      <c r="G95" s="26" t="str">
        <f>IFERROR(IF('ŞİKAYET KAYIT'!P95="Kapatıldı",'ŞİKAYET KAYIT'!K95,""),"")</f>
        <v/>
      </c>
      <c r="H95" s="26" t="str">
        <f>IFERROR(IF('ŞİKAYET KAYIT'!P95="Kapatıldı",'ŞİKAYET KAYIT'!L95,""),"")</f>
        <v/>
      </c>
      <c r="I95" s="26" t="str">
        <f>IFERROR(IF('ŞİKAYET KAYIT'!P95="Kapatıldı",'ŞİKAYET KAYIT'!M95,""),"")</f>
        <v/>
      </c>
      <c r="J95" s="26" t="str">
        <f>IFERROR(IF('ŞİKAYET KAYIT'!P95="Kapatıldı",'ŞİKAYET KAYIT'!N95,""),"")</f>
        <v/>
      </c>
      <c r="K95" s="26" t="str">
        <f>IFERROR(IF('ŞİKAYET KAYIT'!P95="Kapatıldı",'ŞİKAYET KAYIT'!O95,""),"")</f>
        <v/>
      </c>
      <c r="L95" s="8" t="str">
        <f>IFERROR(IF('ŞİKAYET KAYIT'!P95="Kapatıldı",'ŞİKAYET KAYIT'!Q95,""),"")</f>
        <v/>
      </c>
      <c r="M95" s="26" t="str">
        <f>IFERROR(IF('ŞİKAYET KAYIT'!P95="Kapatıldı",'ŞİKAYET KAYIT'!R95,""),"")</f>
        <v/>
      </c>
      <c r="N95" s="26"/>
    </row>
    <row r="96" spans="1:14" ht="15" customHeight="1" x14ac:dyDescent="0.3">
      <c r="A96" s="11" t="str">
        <f>IFERROR(IF('ŞİKAYET KAYIT'!P96="Kapatıldı",'ŞİKAYET KAYIT'!A96,""),"")</f>
        <v/>
      </c>
      <c r="B96" s="12" t="str">
        <f>IFERROR(IF('ŞİKAYET KAYIT'!P96="Kapatıldı",'ŞİKAYET KAYIT'!B96,""),"")</f>
        <v/>
      </c>
      <c r="C96" s="11" t="str">
        <f>IFERROR(IF('ŞİKAYET KAYIT'!P96="Kapatıldı",'ŞİKAYET KAYIT'!D96,""),"")</f>
        <v/>
      </c>
      <c r="D96" s="11" t="str">
        <f>IFERROR(IF('ŞİKAYET KAYIT'!P96="Kapatıldı",'ŞİKAYET KAYIT'!F96,""),"")</f>
        <v/>
      </c>
      <c r="E96" s="11" t="str">
        <f>IFERROR(IF('ŞİKAYET KAYIT'!P96="Kapatıldı",'ŞİKAYET KAYIT'!H96,""),"")</f>
        <v/>
      </c>
      <c r="F96" s="11" t="str">
        <f>IFERROR(IF('ŞİKAYET KAYIT'!P96="Kapatıldı",'ŞİKAYET KAYIT'!J96,""),"")</f>
        <v/>
      </c>
      <c r="G96" s="11" t="str">
        <f>IFERROR(IF('ŞİKAYET KAYIT'!P96="Kapatıldı",'ŞİKAYET KAYIT'!K96,""),"")</f>
        <v/>
      </c>
      <c r="H96" s="11" t="str">
        <f>IFERROR(IF('ŞİKAYET KAYIT'!P96="Kapatıldı",'ŞİKAYET KAYIT'!L96,""),"")</f>
        <v/>
      </c>
      <c r="I96" s="11" t="str">
        <f>IFERROR(IF('ŞİKAYET KAYIT'!P96="Kapatıldı",'ŞİKAYET KAYIT'!M96,""),"")</f>
        <v/>
      </c>
      <c r="J96" s="11" t="str">
        <f>IFERROR(IF('ŞİKAYET KAYIT'!P96="Kapatıldı",'ŞİKAYET KAYIT'!N96,""),"")</f>
        <v/>
      </c>
      <c r="K96" s="11" t="str">
        <f>IFERROR(IF('ŞİKAYET KAYIT'!P96="Kapatıldı",'ŞİKAYET KAYIT'!O96,""),"")</f>
        <v/>
      </c>
      <c r="L96" s="12" t="str">
        <f>IFERROR(IF('ŞİKAYET KAYIT'!P96="Kapatıldı",'ŞİKAYET KAYIT'!Q96,""),"")</f>
        <v/>
      </c>
      <c r="M96" s="11" t="str">
        <f>IFERROR(IF('ŞİKAYET KAYIT'!P96="Kapatıldı",'ŞİKAYET KAYIT'!R96,""),"")</f>
        <v/>
      </c>
      <c r="N96" s="11"/>
    </row>
    <row r="97" spans="1:14" ht="15" customHeight="1" x14ac:dyDescent="0.3">
      <c r="A97" s="26" t="str">
        <f>IFERROR(IF('ŞİKAYET KAYIT'!P97="Kapatıldı",'ŞİKAYET KAYIT'!A97,""),"")</f>
        <v/>
      </c>
      <c r="B97" s="8" t="str">
        <f>IFERROR(IF('ŞİKAYET KAYIT'!P97="Kapatıldı",'ŞİKAYET KAYIT'!B97,""),"")</f>
        <v/>
      </c>
      <c r="C97" s="26" t="str">
        <f>IFERROR(IF('ŞİKAYET KAYIT'!P97="Kapatıldı",'ŞİKAYET KAYIT'!D97,""),"")</f>
        <v/>
      </c>
      <c r="D97" s="26" t="str">
        <f>IFERROR(IF('ŞİKAYET KAYIT'!P97="Kapatıldı",'ŞİKAYET KAYIT'!F97,""),"")</f>
        <v/>
      </c>
      <c r="E97" s="26" t="str">
        <f>IFERROR(IF('ŞİKAYET KAYIT'!P97="Kapatıldı",'ŞİKAYET KAYIT'!H97,""),"")</f>
        <v/>
      </c>
      <c r="F97" s="26" t="str">
        <f>IFERROR(IF('ŞİKAYET KAYIT'!P97="Kapatıldı",'ŞİKAYET KAYIT'!J97,""),"")</f>
        <v/>
      </c>
      <c r="G97" s="26" t="str">
        <f>IFERROR(IF('ŞİKAYET KAYIT'!P97="Kapatıldı",'ŞİKAYET KAYIT'!K97,""),"")</f>
        <v/>
      </c>
      <c r="H97" s="26" t="str">
        <f>IFERROR(IF('ŞİKAYET KAYIT'!P97="Kapatıldı",'ŞİKAYET KAYIT'!L97,""),"")</f>
        <v/>
      </c>
      <c r="I97" s="26" t="str">
        <f>IFERROR(IF('ŞİKAYET KAYIT'!P97="Kapatıldı",'ŞİKAYET KAYIT'!M97,""),"")</f>
        <v/>
      </c>
      <c r="J97" s="26" t="str">
        <f>IFERROR(IF('ŞİKAYET KAYIT'!P97="Kapatıldı",'ŞİKAYET KAYIT'!N97,""),"")</f>
        <v/>
      </c>
      <c r="K97" s="26" t="str">
        <f>IFERROR(IF('ŞİKAYET KAYIT'!P97="Kapatıldı",'ŞİKAYET KAYIT'!O97,""),"")</f>
        <v/>
      </c>
      <c r="L97" s="8" t="str">
        <f>IFERROR(IF('ŞİKAYET KAYIT'!P97="Kapatıldı",'ŞİKAYET KAYIT'!Q97,""),"")</f>
        <v/>
      </c>
      <c r="M97" s="26" t="str">
        <f>IFERROR(IF('ŞİKAYET KAYIT'!P97="Kapatıldı",'ŞİKAYET KAYIT'!R97,""),"")</f>
        <v/>
      </c>
      <c r="N97" s="26"/>
    </row>
    <row r="98" spans="1:14" ht="15" customHeight="1" x14ac:dyDescent="0.3">
      <c r="A98" s="11" t="str">
        <f>IFERROR(IF('ŞİKAYET KAYIT'!P98="Kapatıldı",'ŞİKAYET KAYIT'!A98,""),"")</f>
        <v/>
      </c>
      <c r="B98" s="12" t="str">
        <f>IFERROR(IF('ŞİKAYET KAYIT'!P98="Kapatıldı",'ŞİKAYET KAYIT'!B98,""),"")</f>
        <v/>
      </c>
      <c r="C98" s="11" t="str">
        <f>IFERROR(IF('ŞİKAYET KAYIT'!P98="Kapatıldı",'ŞİKAYET KAYIT'!D98,""),"")</f>
        <v/>
      </c>
      <c r="D98" s="11" t="str">
        <f>IFERROR(IF('ŞİKAYET KAYIT'!P98="Kapatıldı",'ŞİKAYET KAYIT'!F98,""),"")</f>
        <v/>
      </c>
      <c r="E98" s="11" t="str">
        <f>IFERROR(IF('ŞİKAYET KAYIT'!P98="Kapatıldı",'ŞİKAYET KAYIT'!H98,""),"")</f>
        <v/>
      </c>
      <c r="F98" s="11" t="str">
        <f>IFERROR(IF('ŞİKAYET KAYIT'!P98="Kapatıldı",'ŞİKAYET KAYIT'!J98,""),"")</f>
        <v/>
      </c>
      <c r="G98" s="11" t="str">
        <f>IFERROR(IF('ŞİKAYET KAYIT'!P98="Kapatıldı",'ŞİKAYET KAYIT'!K98,""),"")</f>
        <v/>
      </c>
      <c r="H98" s="11" t="str">
        <f>IFERROR(IF('ŞİKAYET KAYIT'!P98="Kapatıldı",'ŞİKAYET KAYIT'!L98,""),"")</f>
        <v/>
      </c>
      <c r="I98" s="11" t="str">
        <f>IFERROR(IF('ŞİKAYET KAYIT'!P98="Kapatıldı",'ŞİKAYET KAYIT'!M98,""),"")</f>
        <v/>
      </c>
      <c r="J98" s="11" t="str">
        <f>IFERROR(IF('ŞİKAYET KAYIT'!P98="Kapatıldı",'ŞİKAYET KAYIT'!N98,""),"")</f>
        <v/>
      </c>
      <c r="K98" s="11" t="str">
        <f>IFERROR(IF('ŞİKAYET KAYIT'!P98="Kapatıldı",'ŞİKAYET KAYIT'!O98,""),"")</f>
        <v/>
      </c>
      <c r="L98" s="12" t="str">
        <f>IFERROR(IF('ŞİKAYET KAYIT'!P98="Kapatıldı",'ŞİKAYET KAYIT'!Q98,""),"")</f>
        <v/>
      </c>
      <c r="M98" s="11" t="str">
        <f>IFERROR(IF('ŞİKAYET KAYIT'!P98="Kapatıldı",'ŞİKAYET KAYIT'!R98,""),"")</f>
        <v/>
      </c>
      <c r="N98" s="11"/>
    </row>
    <row r="99" spans="1:14" ht="15" customHeight="1" x14ac:dyDescent="0.3">
      <c r="A99" s="26" t="str">
        <f>IFERROR(IF('ŞİKAYET KAYIT'!P99="Kapatıldı",'ŞİKAYET KAYIT'!A99,""),"")</f>
        <v/>
      </c>
      <c r="B99" s="8" t="str">
        <f>IFERROR(IF('ŞİKAYET KAYIT'!P99="Kapatıldı",'ŞİKAYET KAYIT'!B99,""),"")</f>
        <v/>
      </c>
      <c r="C99" s="26" t="str">
        <f>IFERROR(IF('ŞİKAYET KAYIT'!P99="Kapatıldı",'ŞİKAYET KAYIT'!D99,""),"")</f>
        <v/>
      </c>
      <c r="D99" s="26" t="str">
        <f>IFERROR(IF('ŞİKAYET KAYIT'!P99="Kapatıldı",'ŞİKAYET KAYIT'!F99,""),"")</f>
        <v/>
      </c>
      <c r="E99" s="26" t="str">
        <f>IFERROR(IF('ŞİKAYET KAYIT'!P99="Kapatıldı",'ŞİKAYET KAYIT'!H99,""),"")</f>
        <v/>
      </c>
      <c r="F99" s="26" t="str">
        <f>IFERROR(IF('ŞİKAYET KAYIT'!P99="Kapatıldı",'ŞİKAYET KAYIT'!J99,""),"")</f>
        <v/>
      </c>
      <c r="G99" s="26" t="str">
        <f>IFERROR(IF('ŞİKAYET KAYIT'!P99="Kapatıldı",'ŞİKAYET KAYIT'!K99,""),"")</f>
        <v/>
      </c>
      <c r="H99" s="26" t="str">
        <f>IFERROR(IF('ŞİKAYET KAYIT'!P99="Kapatıldı",'ŞİKAYET KAYIT'!L99,""),"")</f>
        <v/>
      </c>
      <c r="I99" s="26" t="str">
        <f>IFERROR(IF('ŞİKAYET KAYIT'!P99="Kapatıldı",'ŞİKAYET KAYIT'!M99,""),"")</f>
        <v/>
      </c>
      <c r="J99" s="26" t="str">
        <f>IFERROR(IF('ŞİKAYET KAYIT'!P99="Kapatıldı",'ŞİKAYET KAYIT'!N99,""),"")</f>
        <v/>
      </c>
      <c r="K99" s="26" t="str">
        <f>IFERROR(IF('ŞİKAYET KAYIT'!P99="Kapatıldı",'ŞİKAYET KAYIT'!O99,""),"")</f>
        <v/>
      </c>
      <c r="L99" s="8" t="str">
        <f>IFERROR(IF('ŞİKAYET KAYIT'!P99="Kapatıldı",'ŞİKAYET KAYIT'!Q99,""),"")</f>
        <v/>
      </c>
      <c r="M99" s="26" t="str">
        <f>IFERROR(IF('ŞİKAYET KAYIT'!P99="Kapatıldı",'ŞİKAYET KAYIT'!R99,""),"")</f>
        <v/>
      </c>
      <c r="N99" s="26"/>
    </row>
    <row r="100" spans="1:14" ht="15" customHeight="1" x14ac:dyDescent="0.3">
      <c r="A100" s="11" t="str">
        <f>IFERROR(IF('ŞİKAYET KAYIT'!P100="Kapatıldı",'ŞİKAYET KAYIT'!A100,""),"")</f>
        <v/>
      </c>
      <c r="B100" s="12" t="str">
        <f>IFERROR(IF('ŞİKAYET KAYIT'!P100="Kapatıldı",'ŞİKAYET KAYIT'!B100,""),"")</f>
        <v/>
      </c>
      <c r="C100" s="11" t="str">
        <f>IFERROR(IF('ŞİKAYET KAYIT'!P100="Kapatıldı",'ŞİKAYET KAYIT'!D100,""),"")</f>
        <v/>
      </c>
      <c r="D100" s="11" t="str">
        <f>IFERROR(IF('ŞİKAYET KAYIT'!P100="Kapatıldı",'ŞİKAYET KAYIT'!F100,""),"")</f>
        <v/>
      </c>
      <c r="E100" s="11" t="str">
        <f>IFERROR(IF('ŞİKAYET KAYIT'!P100="Kapatıldı",'ŞİKAYET KAYIT'!H100,""),"")</f>
        <v/>
      </c>
      <c r="F100" s="11" t="str">
        <f>IFERROR(IF('ŞİKAYET KAYIT'!P100="Kapatıldı",'ŞİKAYET KAYIT'!J100,""),"")</f>
        <v/>
      </c>
      <c r="G100" s="11" t="str">
        <f>IFERROR(IF('ŞİKAYET KAYIT'!P100="Kapatıldı",'ŞİKAYET KAYIT'!K100,""),"")</f>
        <v/>
      </c>
      <c r="H100" s="11" t="str">
        <f>IFERROR(IF('ŞİKAYET KAYIT'!P100="Kapatıldı",'ŞİKAYET KAYIT'!L100,""),"")</f>
        <v/>
      </c>
      <c r="I100" s="11" t="str">
        <f>IFERROR(IF('ŞİKAYET KAYIT'!P100="Kapatıldı",'ŞİKAYET KAYIT'!M100,""),"")</f>
        <v/>
      </c>
      <c r="J100" s="11" t="str">
        <f>IFERROR(IF('ŞİKAYET KAYIT'!P100="Kapatıldı",'ŞİKAYET KAYIT'!N100,""),"")</f>
        <v/>
      </c>
      <c r="K100" s="11" t="str">
        <f>IFERROR(IF('ŞİKAYET KAYIT'!P100="Kapatıldı",'ŞİKAYET KAYIT'!O100,""),"")</f>
        <v/>
      </c>
      <c r="L100" s="12" t="str">
        <f>IFERROR(IF('ŞİKAYET KAYIT'!P100="Kapatıldı",'ŞİKAYET KAYIT'!Q100,""),"")</f>
        <v/>
      </c>
      <c r="M100" s="11" t="str">
        <f>IFERROR(IF('ŞİKAYET KAYIT'!P100="Kapatıldı",'ŞİKAYET KAYIT'!R100,""),"")</f>
        <v/>
      </c>
      <c r="N100" s="11"/>
    </row>
    <row r="101" spans="1:14" ht="15" customHeight="1" x14ac:dyDescent="0.3">
      <c r="A101" s="26" t="str">
        <f>IFERROR(IF('ŞİKAYET KAYIT'!P101="Kapatıldı",'ŞİKAYET KAYIT'!A101,""),"")</f>
        <v/>
      </c>
      <c r="B101" s="8" t="str">
        <f>IFERROR(IF('ŞİKAYET KAYIT'!P101="Kapatıldı",'ŞİKAYET KAYIT'!B101,""),"")</f>
        <v/>
      </c>
      <c r="C101" s="26" t="str">
        <f>IFERROR(IF('ŞİKAYET KAYIT'!P101="Kapatıldı",'ŞİKAYET KAYIT'!D101,""),"")</f>
        <v/>
      </c>
      <c r="D101" s="26" t="str">
        <f>IFERROR(IF('ŞİKAYET KAYIT'!P101="Kapatıldı",'ŞİKAYET KAYIT'!F101,""),"")</f>
        <v/>
      </c>
      <c r="E101" s="26" t="str">
        <f>IFERROR(IF('ŞİKAYET KAYIT'!P101="Kapatıldı",'ŞİKAYET KAYIT'!H101,""),"")</f>
        <v/>
      </c>
      <c r="F101" s="26" t="str">
        <f>IFERROR(IF('ŞİKAYET KAYIT'!P101="Kapatıldı",'ŞİKAYET KAYIT'!J101,""),"")</f>
        <v/>
      </c>
      <c r="G101" s="26" t="str">
        <f>IFERROR(IF('ŞİKAYET KAYIT'!P101="Kapatıldı",'ŞİKAYET KAYIT'!K101,""),"")</f>
        <v/>
      </c>
      <c r="H101" s="26" t="str">
        <f>IFERROR(IF('ŞİKAYET KAYIT'!P101="Kapatıldı",'ŞİKAYET KAYIT'!L101,""),"")</f>
        <v/>
      </c>
      <c r="I101" s="26" t="str">
        <f>IFERROR(IF('ŞİKAYET KAYIT'!P101="Kapatıldı",'ŞİKAYET KAYIT'!M101,""),"")</f>
        <v/>
      </c>
      <c r="J101" s="26" t="str">
        <f>IFERROR(IF('ŞİKAYET KAYIT'!P101="Kapatıldı",'ŞİKAYET KAYIT'!N101,""),"")</f>
        <v/>
      </c>
      <c r="K101" s="26" t="str">
        <f>IFERROR(IF('ŞİKAYET KAYIT'!P101="Kapatıldı",'ŞİKAYET KAYIT'!O101,""),"")</f>
        <v/>
      </c>
      <c r="L101" s="8" t="str">
        <f>IFERROR(IF('ŞİKAYET KAYIT'!P101="Kapatıldı",'ŞİKAYET KAYIT'!Q101,""),"")</f>
        <v/>
      </c>
      <c r="M101" s="26" t="str">
        <f>IFERROR(IF('ŞİKAYET KAYIT'!P101="Kapatıldı",'ŞİKAYET KAYIT'!R101,""),"")</f>
        <v/>
      </c>
      <c r="N101" s="26"/>
    </row>
    <row r="102" spans="1:14" ht="15" customHeight="1" x14ac:dyDescent="0.3">
      <c r="A102" s="11" t="str">
        <f>IFERROR(IF('ŞİKAYET KAYIT'!P102="Kapatıldı",'ŞİKAYET KAYIT'!A102,""),"")</f>
        <v/>
      </c>
      <c r="B102" s="12" t="str">
        <f>IFERROR(IF('ŞİKAYET KAYIT'!P102="Kapatıldı",'ŞİKAYET KAYIT'!B102,""),"")</f>
        <v/>
      </c>
      <c r="C102" s="11" t="str">
        <f>IFERROR(IF('ŞİKAYET KAYIT'!P102="Kapatıldı",'ŞİKAYET KAYIT'!D102,""),"")</f>
        <v/>
      </c>
      <c r="D102" s="11" t="str">
        <f>IFERROR(IF('ŞİKAYET KAYIT'!P102="Kapatıldı",'ŞİKAYET KAYIT'!F102,""),"")</f>
        <v/>
      </c>
      <c r="E102" s="11" t="str">
        <f>IFERROR(IF('ŞİKAYET KAYIT'!P102="Kapatıldı",'ŞİKAYET KAYIT'!H102,""),"")</f>
        <v/>
      </c>
      <c r="F102" s="11" t="str">
        <f>IFERROR(IF('ŞİKAYET KAYIT'!P102="Kapatıldı",'ŞİKAYET KAYIT'!J102,""),"")</f>
        <v/>
      </c>
      <c r="G102" s="11" t="str">
        <f>IFERROR(IF('ŞİKAYET KAYIT'!P102="Kapatıldı",'ŞİKAYET KAYIT'!K102,""),"")</f>
        <v/>
      </c>
      <c r="H102" s="11" t="str">
        <f>IFERROR(IF('ŞİKAYET KAYIT'!P102="Kapatıldı",'ŞİKAYET KAYIT'!L102,""),"")</f>
        <v/>
      </c>
      <c r="I102" s="11" t="str">
        <f>IFERROR(IF('ŞİKAYET KAYIT'!P102="Kapatıldı",'ŞİKAYET KAYIT'!M102,""),"")</f>
        <v/>
      </c>
      <c r="J102" s="11" t="str">
        <f>IFERROR(IF('ŞİKAYET KAYIT'!P102="Kapatıldı",'ŞİKAYET KAYIT'!N102,""),"")</f>
        <v/>
      </c>
      <c r="K102" s="11" t="str">
        <f>IFERROR(IF('ŞİKAYET KAYIT'!P102="Kapatıldı",'ŞİKAYET KAYIT'!O102,""),"")</f>
        <v/>
      </c>
      <c r="L102" s="12" t="str">
        <f>IFERROR(IF('ŞİKAYET KAYIT'!P102="Kapatıldı",'ŞİKAYET KAYIT'!Q102,""),"")</f>
        <v/>
      </c>
      <c r="M102" s="11" t="str">
        <f>IFERROR(IF('ŞİKAYET KAYIT'!P102="Kapatıldı",'ŞİKAYET KAYIT'!R102,""),"")</f>
        <v/>
      </c>
      <c r="N102" s="11"/>
    </row>
    <row r="103" spans="1:14" ht="15" customHeight="1" x14ac:dyDescent="0.3">
      <c r="A103" s="26" t="str">
        <f>IFERROR(IF('ŞİKAYET KAYIT'!P103="Kapatıldı",'ŞİKAYET KAYIT'!A103,""),"")</f>
        <v/>
      </c>
      <c r="B103" s="8" t="str">
        <f>IFERROR(IF('ŞİKAYET KAYIT'!P103="Kapatıldı",'ŞİKAYET KAYIT'!B103,""),"")</f>
        <v/>
      </c>
      <c r="C103" s="26" t="str">
        <f>IFERROR(IF('ŞİKAYET KAYIT'!P103="Kapatıldı",'ŞİKAYET KAYIT'!D103,""),"")</f>
        <v/>
      </c>
      <c r="D103" s="26" t="str">
        <f>IFERROR(IF('ŞİKAYET KAYIT'!P103="Kapatıldı",'ŞİKAYET KAYIT'!F103,""),"")</f>
        <v/>
      </c>
      <c r="E103" s="26" t="str">
        <f>IFERROR(IF('ŞİKAYET KAYIT'!P103="Kapatıldı",'ŞİKAYET KAYIT'!H103,""),"")</f>
        <v/>
      </c>
      <c r="F103" s="26" t="str">
        <f>IFERROR(IF('ŞİKAYET KAYIT'!P103="Kapatıldı",'ŞİKAYET KAYIT'!J103,""),"")</f>
        <v/>
      </c>
      <c r="G103" s="26" t="str">
        <f>IFERROR(IF('ŞİKAYET KAYIT'!P103="Kapatıldı",'ŞİKAYET KAYIT'!K103,""),"")</f>
        <v/>
      </c>
      <c r="H103" s="26" t="str">
        <f>IFERROR(IF('ŞİKAYET KAYIT'!P103="Kapatıldı",'ŞİKAYET KAYIT'!L103,""),"")</f>
        <v/>
      </c>
      <c r="I103" s="26" t="str">
        <f>IFERROR(IF('ŞİKAYET KAYIT'!P103="Kapatıldı",'ŞİKAYET KAYIT'!M103,""),"")</f>
        <v/>
      </c>
      <c r="J103" s="26" t="str">
        <f>IFERROR(IF('ŞİKAYET KAYIT'!P103="Kapatıldı",'ŞİKAYET KAYIT'!N103,""),"")</f>
        <v/>
      </c>
      <c r="K103" s="26" t="str">
        <f>IFERROR(IF('ŞİKAYET KAYIT'!P103="Kapatıldı",'ŞİKAYET KAYIT'!O103,""),"")</f>
        <v/>
      </c>
      <c r="L103" s="8" t="str">
        <f>IFERROR(IF('ŞİKAYET KAYIT'!P103="Kapatıldı",'ŞİKAYET KAYIT'!Q103,""),"")</f>
        <v/>
      </c>
      <c r="M103" s="26" t="str">
        <f>IFERROR(IF('ŞİKAYET KAYIT'!P103="Kapatıldı",'ŞİKAYET KAYIT'!R103,""),"")</f>
        <v/>
      </c>
      <c r="N103" s="26"/>
    </row>
    <row r="104" spans="1:14" ht="15" customHeight="1" x14ac:dyDescent="0.3">
      <c r="A104" s="11" t="str">
        <f>IFERROR(IF('ŞİKAYET KAYIT'!P104="Kapatıldı",'ŞİKAYET KAYIT'!A104,""),"")</f>
        <v/>
      </c>
      <c r="B104" s="12" t="str">
        <f>IFERROR(IF('ŞİKAYET KAYIT'!P104="Kapatıldı",'ŞİKAYET KAYIT'!B104,""),"")</f>
        <v/>
      </c>
      <c r="C104" s="11" t="str">
        <f>IFERROR(IF('ŞİKAYET KAYIT'!P104="Kapatıldı",'ŞİKAYET KAYIT'!D104,""),"")</f>
        <v/>
      </c>
      <c r="D104" s="11" t="str">
        <f>IFERROR(IF('ŞİKAYET KAYIT'!P104="Kapatıldı",'ŞİKAYET KAYIT'!F104,""),"")</f>
        <v/>
      </c>
      <c r="E104" s="11" t="str">
        <f>IFERROR(IF('ŞİKAYET KAYIT'!P104="Kapatıldı",'ŞİKAYET KAYIT'!H104,""),"")</f>
        <v/>
      </c>
      <c r="F104" s="11" t="str">
        <f>IFERROR(IF('ŞİKAYET KAYIT'!P104="Kapatıldı",'ŞİKAYET KAYIT'!J104,""),"")</f>
        <v/>
      </c>
      <c r="G104" s="11" t="str">
        <f>IFERROR(IF('ŞİKAYET KAYIT'!P104="Kapatıldı",'ŞİKAYET KAYIT'!K104,""),"")</f>
        <v/>
      </c>
      <c r="H104" s="11" t="str">
        <f>IFERROR(IF('ŞİKAYET KAYIT'!P104="Kapatıldı",'ŞİKAYET KAYIT'!L104,""),"")</f>
        <v/>
      </c>
      <c r="I104" s="11" t="str">
        <f>IFERROR(IF('ŞİKAYET KAYIT'!P104="Kapatıldı",'ŞİKAYET KAYIT'!M104,""),"")</f>
        <v/>
      </c>
      <c r="J104" s="11" t="str">
        <f>IFERROR(IF('ŞİKAYET KAYIT'!P104="Kapatıldı",'ŞİKAYET KAYIT'!N104,""),"")</f>
        <v/>
      </c>
      <c r="K104" s="11" t="str">
        <f>IFERROR(IF('ŞİKAYET KAYIT'!P104="Kapatıldı",'ŞİKAYET KAYIT'!O104,""),"")</f>
        <v/>
      </c>
      <c r="L104" s="12" t="str">
        <f>IFERROR(IF('ŞİKAYET KAYIT'!P104="Kapatıldı",'ŞİKAYET KAYIT'!Q104,""),"")</f>
        <v/>
      </c>
      <c r="M104" s="11" t="str">
        <f>IFERROR(IF('ŞİKAYET KAYIT'!P104="Kapatıldı",'ŞİKAYET KAYIT'!R104,""),"")</f>
        <v/>
      </c>
      <c r="N104" s="11"/>
    </row>
    <row r="105" spans="1:14" ht="15" customHeight="1" x14ac:dyDescent="0.3">
      <c r="A105" s="26" t="str">
        <f>IFERROR(IF('ŞİKAYET KAYIT'!P105="Kapatıldı",'ŞİKAYET KAYIT'!A105,""),"")</f>
        <v/>
      </c>
      <c r="B105" s="8" t="str">
        <f>IFERROR(IF('ŞİKAYET KAYIT'!P105="Kapatıldı",'ŞİKAYET KAYIT'!B105,""),"")</f>
        <v/>
      </c>
      <c r="C105" s="26" t="str">
        <f>IFERROR(IF('ŞİKAYET KAYIT'!P105="Kapatıldı",'ŞİKAYET KAYIT'!D105,""),"")</f>
        <v/>
      </c>
      <c r="D105" s="26" t="str">
        <f>IFERROR(IF('ŞİKAYET KAYIT'!P105="Kapatıldı",'ŞİKAYET KAYIT'!F105,""),"")</f>
        <v/>
      </c>
      <c r="E105" s="26" t="str">
        <f>IFERROR(IF('ŞİKAYET KAYIT'!P105="Kapatıldı",'ŞİKAYET KAYIT'!H105,""),"")</f>
        <v/>
      </c>
      <c r="F105" s="26" t="str">
        <f>IFERROR(IF('ŞİKAYET KAYIT'!P105="Kapatıldı",'ŞİKAYET KAYIT'!J105,""),"")</f>
        <v/>
      </c>
      <c r="G105" s="26" t="str">
        <f>IFERROR(IF('ŞİKAYET KAYIT'!P105="Kapatıldı",'ŞİKAYET KAYIT'!K105,""),"")</f>
        <v/>
      </c>
      <c r="H105" s="26" t="str">
        <f>IFERROR(IF('ŞİKAYET KAYIT'!P105="Kapatıldı",'ŞİKAYET KAYIT'!L105,""),"")</f>
        <v/>
      </c>
      <c r="I105" s="26" t="str">
        <f>IFERROR(IF('ŞİKAYET KAYIT'!P105="Kapatıldı",'ŞİKAYET KAYIT'!M105,""),"")</f>
        <v/>
      </c>
      <c r="J105" s="26" t="str">
        <f>IFERROR(IF('ŞİKAYET KAYIT'!P105="Kapatıldı",'ŞİKAYET KAYIT'!N105,""),"")</f>
        <v/>
      </c>
      <c r="K105" s="26" t="str">
        <f>IFERROR(IF('ŞİKAYET KAYIT'!P105="Kapatıldı",'ŞİKAYET KAYIT'!O105,""),"")</f>
        <v/>
      </c>
      <c r="L105" s="8" t="str">
        <f>IFERROR(IF('ŞİKAYET KAYIT'!P105="Kapatıldı",'ŞİKAYET KAYIT'!Q105,""),"")</f>
        <v/>
      </c>
      <c r="M105" s="26" t="str">
        <f>IFERROR(IF('ŞİKAYET KAYIT'!P105="Kapatıldı",'ŞİKAYET KAYIT'!R105,""),"")</f>
        <v/>
      </c>
      <c r="N105" s="26"/>
    </row>
    <row r="106" spans="1:14" ht="15" customHeight="1" x14ac:dyDescent="0.3">
      <c r="A106" s="11" t="str">
        <f>IFERROR(IF('ŞİKAYET KAYIT'!P106="Kapatıldı",'ŞİKAYET KAYIT'!A106,""),"")</f>
        <v/>
      </c>
      <c r="B106" s="12" t="str">
        <f>IFERROR(IF('ŞİKAYET KAYIT'!P106="Kapatıldı",'ŞİKAYET KAYIT'!B106,""),"")</f>
        <v/>
      </c>
      <c r="C106" s="11" t="str">
        <f>IFERROR(IF('ŞİKAYET KAYIT'!P106="Kapatıldı",'ŞİKAYET KAYIT'!D106,""),"")</f>
        <v/>
      </c>
      <c r="D106" s="11" t="str">
        <f>IFERROR(IF('ŞİKAYET KAYIT'!P106="Kapatıldı",'ŞİKAYET KAYIT'!F106,""),"")</f>
        <v/>
      </c>
      <c r="E106" s="11" t="str">
        <f>IFERROR(IF('ŞİKAYET KAYIT'!P106="Kapatıldı",'ŞİKAYET KAYIT'!H106,""),"")</f>
        <v/>
      </c>
      <c r="F106" s="11" t="str">
        <f>IFERROR(IF('ŞİKAYET KAYIT'!P106="Kapatıldı",'ŞİKAYET KAYIT'!J106,""),"")</f>
        <v/>
      </c>
      <c r="G106" s="11" t="str">
        <f>IFERROR(IF('ŞİKAYET KAYIT'!P106="Kapatıldı",'ŞİKAYET KAYIT'!K106,""),"")</f>
        <v/>
      </c>
      <c r="H106" s="11" t="str">
        <f>IFERROR(IF('ŞİKAYET KAYIT'!P106="Kapatıldı",'ŞİKAYET KAYIT'!L106,""),"")</f>
        <v/>
      </c>
      <c r="I106" s="11" t="str">
        <f>IFERROR(IF('ŞİKAYET KAYIT'!P106="Kapatıldı",'ŞİKAYET KAYIT'!M106,""),"")</f>
        <v/>
      </c>
      <c r="J106" s="11" t="str">
        <f>IFERROR(IF('ŞİKAYET KAYIT'!P106="Kapatıldı",'ŞİKAYET KAYIT'!N106,""),"")</f>
        <v/>
      </c>
      <c r="K106" s="11" t="str">
        <f>IFERROR(IF('ŞİKAYET KAYIT'!P106="Kapatıldı",'ŞİKAYET KAYIT'!O106,""),"")</f>
        <v/>
      </c>
      <c r="L106" s="12" t="str">
        <f>IFERROR(IF('ŞİKAYET KAYIT'!P106="Kapatıldı",'ŞİKAYET KAYIT'!Q106,""),"")</f>
        <v/>
      </c>
      <c r="M106" s="11" t="str">
        <f>IFERROR(IF('ŞİKAYET KAYIT'!P106="Kapatıldı",'ŞİKAYET KAYIT'!R106,""),"")</f>
        <v/>
      </c>
      <c r="N106" s="11"/>
    </row>
    <row r="107" spans="1:14" ht="15" customHeight="1" x14ac:dyDescent="0.3">
      <c r="A107" s="26" t="str">
        <f>IFERROR(IF('ŞİKAYET KAYIT'!P107="Kapatıldı",'ŞİKAYET KAYIT'!A107,""),"")</f>
        <v/>
      </c>
      <c r="B107" s="8" t="str">
        <f>IFERROR(IF('ŞİKAYET KAYIT'!P107="Kapatıldı",'ŞİKAYET KAYIT'!B107,""),"")</f>
        <v/>
      </c>
      <c r="C107" s="26" t="str">
        <f>IFERROR(IF('ŞİKAYET KAYIT'!P107="Kapatıldı",'ŞİKAYET KAYIT'!D107,""),"")</f>
        <v/>
      </c>
      <c r="D107" s="26" t="str">
        <f>IFERROR(IF('ŞİKAYET KAYIT'!P107="Kapatıldı",'ŞİKAYET KAYIT'!F107,""),"")</f>
        <v/>
      </c>
      <c r="E107" s="26" t="str">
        <f>IFERROR(IF('ŞİKAYET KAYIT'!P107="Kapatıldı",'ŞİKAYET KAYIT'!H107,""),"")</f>
        <v/>
      </c>
      <c r="F107" s="26" t="str">
        <f>IFERROR(IF('ŞİKAYET KAYIT'!P107="Kapatıldı",'ŞİKAYET KAYIT'!J107,""),"")</f>
        <v/>
      </c>
      <c r="G107" s="26" t="str">
        <f>IFERROR(IF('ŞİKAYET KAYIT'!P107="Kapatıldı",'ŞİKAYET KAYIT'!K107,""),"")</f>
        <v/>
      </c>
      <c r="H107" s="26" t="str">
        <f>IFERROR(IF('ŞİKAYET KAYIT'!P107="Kapatıldı",'ŞİKAYET KAYIT'!L107,""),"")</f>
        <v/>
      </c>
      <c r="I107" s="26" t="str">
        <f>IFERROR(IF('ŞİKAYET KAYIT'!P107="Kapatıldı",'ŞİKAYET KAYIT'!M107,""),"")</f>
        <v/>
      </c>
      <c r="J107" s="26" t="str">
        <f>IFERROR(IF('ŞİKAYET KAYIT'!P107="Kapatıldı",'ŞİKAYET KAYIT'!N107,""),"")</f>
        <v/>
      </c>
      <c r="K107" s="26" t="str">
        <f>IFERROR(IF('ŞİKAYET KAYIT'!P107="Kapatıldı",'ŞİKAYET KAYIT'!O107,""),"")</f>
        <v/>
      </c>
      <c r="L107" s="8" t="str">
        <f>IFERROR(IF('ŞİKAYET KAYIT'!P107="Kapatıldı",'ŞİKAYET KAYIT'!Q107,""),"")</f>
        <v/>
      </c>
      <c r="M107" s="26" t="str">
        <f>IFERROR(IF('ŞİKAYET KAYIT'!P107="Kapatıldı",'ŞİKAYET KAYIT'!R107,""),"")</f>
        <v/>
      </c>
      <c r="N107" s="26"/>
    </row>
    <row r="108" spans="1:14" ht="15" customHeight="1" x14ac:dyDescent="0.3">
      <c r="A108" s="11" t="str">
        <f>IFERROR(IF('ŞİKAYET KAYIT'!P108="Kapatıldı",'ŞİKAYET KAYIT'!A108,""),"")</f>
        <v/>
      </c>
      <c r="B108" s="12" t="str">
        <f>IFERROR(IF('ŞİKAYET KAYIT'!P108="Kapatıldı",'ŞİKAYET KAYIT'!B108,""),"")</f>
        <v/>
      </c>
      <c r="C108" s="11" t="str">
        <f>IFERROR(IF('ŞİKAYET KAYIT'!P108="Kapatıldı",'ŞİKAYET KAYIT'!D108,""),"")</f>
        <v/>
      </c>
      <c r="D108" s="11" t="str">
        <f>IFERROR(IF('ŞİKAYET KAYIT'!P108="Kapatıldı",'ŞİKAYET KAYIT'!F108,""),"")</f>
        <v/>
      </c>
      <c r="E108" s="11" t="str">
        <f>IFERROR(IF('ŞİKAYET KAYIT'!P108="Kapatıldı",'ŞİKAYET KAYIT'!H108,""),"")</f>
        <v/>
      </c>
      <c r="F108" s="11" t="str">
        <f>IFERROR(IF('ŞİKAYET KAYIT'!P108="Kapatıldı",'ŞİKAYET KAYIT'!J108,""),"")</f>
        <v/>
      </c>
      <c r="G108" s="11" t="str">
        <f>IFERROR(IF('ŞİKAYET KAYIT'!P108="Kapatıldı",'ŞİKAYET KAYIT'!K108,""),"")</f>
        <v/>
      </c>
      <c r="H108" s="11" t="str">
        <f>IFERROR(IF('ŞİKAYET KAYIT'!P108="Kapatıldı",'ŞİKAYET KAYIT'!L108,""),"")</f>
        <v/>
      </c>
      <c r="I108" s="11" t="str">
        <f>IFERROR(IF('ŞİKAYET KAYIT'!P108="Kapatıldı",'ŞİKAYET KAYIT'!M108,""),"")</f>
        <v/>
      </c>
      <c r="J108" s="11" t="str">
        <f>IFERROR(IF('ŞİKAYET KAYIT'!P108="Kapatıldı",'ŞİKAYET KAYIT'!N108,""),"")</f>
        <v/>
      </c>
      <c r="K108" s="11" t="str">
        <f>IFERROR(IF('ŞİKAYET KAYIT'!P108="Kapatıldı",'ŞİKAYET KAYIT'!O108,""),"")</f>
        <v/>
      </c>
      <c r="L108" s="12" t="str">
        <f>IFERROR(IF('ŞİKAYET KAYIT'!P108="Kapatıldı",'ŞİKAYET KAYIT'!Q108,""),"")</f>
        <v/>
      </c>
      <c r="M108" s="11" t="str">
        <f>IFERROR(IF('ŞİKAYET KAYIT'!P108="Kapatıldı",'ŞİKAYET KAYIT'!R108,""),"")</f>
        <v/>
      </c>
      <c r="N108" s="11"/>
    </row>
    <row r="109" spans="1:14" ht="15" customHeight="1" x14ac:dyDescent="0.3">
      <c r="A109" s="26" t="str">
        <f>IFERROR(IF('ŞİKAYET KAYIT'!P109="Kapatıldı",'ŞİKAYET KAYIT'!A109,""),"")</f>
        <v/>
      </c>
      <c r="B109" s="8" t="str">
        <f>IFERROR(IF('ŞİKAYET KAYIT'!P109="Kapatıldı",'ŞİKAYET KAYIT'!B109,""),"")</f>
        <v/>
      </c>
      <c r="C109" s="26" t="str">
        <f>IFERROR(IF('ŞİKAYET KAYIT'!P109="Kapatıldı",'ŞİKAYET KAYIT'!D109,""),"")</f>
        <v/>
      </c>
      <c r="D109" s="26" t="str">
        <f>IFERROR(IF('ŞİKAYET KAYIT'!P109="Kapatıldı",'ŞİKAYET KAYIT'!F109,""),"")</f>
        <v/>
      </c>
      <c r="E109" s="26" t="str">
        <f>IFERROR(IF('ŞİKAYET KAYIT'!P109="Kapatıldı",'ŞİKAYET KAYIT'!H109,""),"")</f>
        <v/>
      </c>
      <c r="F109" s="26" t="str">
        <f>IFERROR(IF('ŞİKAYET KAYIT'!P109="Kapatıldı",'ŞİKAYET KAYIT'!J109,""),"")</f>
        <v/>
      </c>
      <c r="G109" s="26" t="str">
        <f>IFERROR(IF('ŞİKAYET KAYIT'!P109="Kapatıldı",'ŞİKAYET KAYIT'!K109,""),"")</f>
        <v/>
      </c>
      <c r="H109" s="26" t="str">
        <f>IFERROR(IF('ŞİKAYET KAYIT'!P109="Kapatıldı",'ŞİKAYET KAYIT'!L109,""),"")</f>
        <v/>
      </c>
      <c r="I109" s="26" t="str">
        <f>IFERROR(IF('ŞİKAYET KAYIT'!P109="Kapatıldı",'ŞİKAYET KAYIT'!M109,""),"")</f>
        <v/>
      </c>
      <c r="J109" s="26" t="str">
        <f>IFERROR(IF('ŞİKAYET KAYIT'!P109="Kapatıldı",'ŞİKAYET KAYIT'!N109,""),"")</f>
        <v/>
      </c>
      <c r="K109" s="26" t="str">
        <f>IFERROR(IF('ŞİKAYET KAYIT'!P109="Kapatıldı",'ŞİKAYET KAYIT'!O109,""),"")</f>
        <v/>
      </c>
      <c r="L109" s="8" t="str">
        <f>IFERROR(IF('ŞİKAYET KAYIT'!P109="Kapatıldı",'ŞİKAYET KAYIT'!Q109,""),"")</f>
        <v/>
      </c>
      <c r="M109" s="26" t="str">
        <f>IFERROR(IF('ŞİKAYET KAYIT'!P109="Kapatıldı",'ŞİKAYET KAYIT'!R109,""),"")</f>
        <v/>
      </c>
      <c r="N109" s="26"/>
    </row>
    <row r="110" spans="1:14" ht="15" customHeight="1" x14ac:dyDescent="0.3">
      <c r="A110" s="11" t="str">
        <f>IFERROR(IF('ŞİKAYET KAYIT'!P110="Kapatıldı",'ŞİKAYET KAYIT'!A110,""),"")</f>
        <v/>
      </c>
      <c r="B110" s="12" t="str">
        <f>IFERROR(IF('ŞİKAYET KAYIT'!P110="Kapatıldı",'ŞİKAYET KAYIT'!B110,""),"")</f>
        <v/>
      </c>
      <c r="C110" s="11" t="str">
        <f>IFERROR(IF('ŞİKAYET KAYIT'!P110="Kapatıldı",'ŞİKAYET KAYIT'!D110,""),"")</f>
        <v/>
      </c>
      <c r="D110" s="11" t="str">
        <f>IFERROR(IF('ŞİKAYET KAYIT'!P110="Kapatıldı",'ŞİKAYET KAYIT'!F110,""),"")</f>
        <v/>
      </c>
      <c r="E110" s="11" t="str">
        <f>IFERROR(IF('ŞİKAYET KAYIT'!P110="Kapatıldı",'ŞİKAYET KAYIT'!H110,""),"")</f>
        <v/>
      </c>
      <c r="F110" s="11" t="str">
        <f>IFERROR(IF('ŞİKAYET KAYIT'!P110="Kapatıldı",'ŞİKAYET KAYIT'!J110,""),"")</f>
        <v/>
      </c>
      <c r="G110" s="11" t="str">
        <f>IFERROR(IF('ŞİKAYET KAYIT'!P110="Kapatıldı",'ŞİKAYET KAYIT'!K110,""),"")</f>
        <v/>
      </c>
      <c r="H110" s="11" t="str">
        <f>IFERROR(IF('ŞİKAYET KAYIT'!P110="Kapatıldı",'ŞİKAYET KAYIT'!L110,""),"")</f>
        <v/>
      </c>
      <c r="I110" s="11" t="str">
        <f>IFERROR(IF('ŞİKAYET KAYIT'!P110="Kapatıldı",'ŞİKAYET KAYIT'!M110,""),"")</f>
        <v/>
      </c>
      <c r="J110" s="11" t="str">
        <f>IFERROR(IF('ŞİKAYET KAYIT'!P110="Kapatıldı",'ŞİKAYET KAYIT'!N110,""),"")</f>
        <v/>
      </c>
      <c r="K110" s="11" t="str">
        <f>IFERROR(IF('ŞİKAYET KAYIT'!P110="Kapatıldı",'ŞİKAYET KAYIT'!O110,""),"")</f>
        <v/>
      </c>
      <c r="L110" s="12" t="str">
        <f>IFERROR(IF('ŞİKAYET KAYIT'!P110="Kapatıldı",'ŞİKAYET KAYIT'!Q110,""),"")</f>
        <v/>
      </c>
      <c r="M110" s="11" t="str">
        <f>IFERROR(IF('ŞİKAYET KAYIT'!P110="Kapatıldı",'ŞİKAYET KAYIT'!R110,""),"")</f>
        <v/>
      </c>
      <c r="N110" s="11"/>
    </row>
    <row r="111" spans="1:14" ht="15" customHeight="1" x14ac:dyDescent="0.3">
      <c r="A111" s="26" t="str">
        <f>IFERROR(IF('ŞİKAYET KAYIT'!P111="Kapatıldı",'ŞİKAYET KAYIT'!A111,""),"")</f>
        <v/>
      </c>
      <c r="B111" s="8" t="str">
        <f>IFERROR(IF('ŞİKAYET KAYIT'!P111="Kapatıldı",'ŞİKAYET KAYIT'!B111,""),"")</f>
        <v/>
      </c>
      <c r="C111" s="26" t="str">
        <f>IFERROR(IF('ŞİKAYET KAYIT'!P111="Kapatıldı",'ŞİKAYET KAYIT'!D111,""),"")</f>
        <v/>
      </c>
      <c r="D111" s="26" t="str">
        <f>IFERROR(IF('ŞİKAYET KAYIT'!P111="Kapatıldı",'ŞİKAYET KAYIT'!F111,""),"")</f>
        <v/>
      </c>
      <c r="E111" s="26" t="str">
        <f>IFERROR(IF('ŞİKAYET KAYIT'!P111="Kapatıldı",'ŞİKAYET KAYIT'!H111,""),"")</f>
        <v/>
      </c>
      <c r="F111" s="26" t="str">
        <f>IFERROR(IF('ŞİKAYET KAYIT'!P111="Kapatıldı",'ŞİKAYET KAYIT'!J111,""),"")</f>
        <v/>
      </c>
      <c r="G111" s="26" t="str">
        <f>IFERROR(IF('ŞİKAYET KAYIT'!P111="Kapatıldı",'ŞİKAYET KAYIT'!K111,""),"")</f>
        <v/>
      </c>
      <c r="H111" s="26" t="str">
        <f>IFERROR(IF('ŞİKAYET KAYIT'!P111="Kapatıldı",'ŞİKAYET KAYIT'!L111,""),"")</f>
        <v/>
      </c>
      <c r="I111" s="26" t="str">
        <f>IFERROR(IF('ŞİKAYET KAYIT'!P111="Kapatıldı",'ŞİKAYET KAYIT'!M111,""),"")</f>
        <v/>
      </c>
      <c r="J111" s="26" t="str">
        <f>IFERROR(IF('ŞİKAYET KAYIT'!P111="Kapatıldı",'ŞİKAYET KAYIT'!N111,""),"")</f>
        <v/>
      </c>
      <c r="K111" s="26" t="str">
        <f>IFERROR(IF('ŞİKAYET KAYIT'!P111="Kapatıldı",'ŞİKAYET KAYIT'!O111,""),"")</f>
        <v/>
      </c>
      <c r="L111" s="8" t="str">
        <f>IFERROR(IF('ŞİKAYET KAYIT'!P111="Kapatıldı",'ŞİKAYET KAYIT'!Q111,""),"")</f>
        <v/>
      </c>
      <c r="M111" s="26" t="str">
        <f>IFERROR(IF('ŞİKAYET KAYIT'!P111="Kapatıldı",'ŞİKAYET KAYIT'!R111,""),"")</f>
        <v/>
      </c>
      <c r="N111" s="26"/>
    </row>
    <row r="112" spans="1:14" ht="15" customHeight="1" x14ac:dyDescent="0.3">
      <c r="A112" s="11" t="str">
        <f>IFERROR(IF('ŞİKAYET KAYIT'!P112="Kapatıldı",'ŞİKAYET KAYIT'!A112,""),"")</f>
        <v/>
      </c>
      <c r="B112" s="12" t="str">
        <f>IFERROR(IF('ŞİKAYET KAYIT'!P112="Kapatıldı",'ŞİKAYET KAYIT'!B112,""),"")</f>
        <v/>
      </c>
      <c r="C112" s="11" t="str">
        <f>IFERROR(IF('ŞİKAYET KAYIT'!P112="Kapatıldı",'ŞİKAYET KAYIT'!D112,""),"")</f>
        <v/>
      </c>
      <c r="D112" s="11" t="str">
        <f>IFERROR(IF('ŞİKAYET KAYIT'!P112="Kapatıldı",'ŞİKAYET KAYIT'!F112,""),"")</f>
        <v/>
      </c>
      <c r="E112" s="11" t="str">
        <f>IFERROR(IF('ŞİKAYET KAYIT'!P112="Kapatıldı",'ŞİKAYET KAYIT'!H112,""),"")</f>
        <v/>
      </c>
      <c r="F112" s="11" t="str">
        <f>IFERROR(IF('ŞİKAYET KAYIT'!P112="Kapatıldı",'ŞİKAYET KAYIT'!J112,""),"")</f>
        <v/>
      </c>
      <c r="G112" s="11" t="str">
        <f>IFERROR(IF('ŞİKAYET KAYIT'!P112="Kapatıldı",'ŞİKAYET KAYIT'!K112,""),"")</f>
        <v/>
      </c>
      <c r="H112" s="11" t="str">
        <f>IFERROR(IF('ŞİKAYET KAYIT'!P112="Kapatıldı",'ŞİKAYET KAYIT'!L112,""),"")</f>
        <v/>
      </c>
      <c r="I112" s="11" t="str">
        <f>IFERROR(IF('ŞİKAYET KAYIT'!P112="Kapatıldı",'ŞİKAYET KAYIT'!M112,""),"")</f>
        <v/>
      </c>
      <c r="J112" s="11" t="str">
        <f>IFERROR(IF('ŞİKAYET KAYIT'!P112="Kapatıldı",'ŞİKAYET KAYIT'!N112,""),"")</f>
        <v/>
      </c>
      <c r="K112" s="11" t="str">
        <f>IFERROR(IF('ŞİKAYET KAYIT'!P112="Kapatıldı",'ŞİKAYET KAYIT'!O112,""),"")</f>
        <v/>
      </c>
      <c r="L112" s="12" t="str">
        <f>IFERROR(IF('ŞİKAYET KAYIT'!P112="Kapatıldı",'ŞİKAYET KAYIT'!Q112,""),"")</f>
        <v/>
      </c>
      <c r="M112" s="11" t="str">
        <f>IFERROR(IF('ŞİKAYET KAYIT'!P112="Kapatıldı",'ŞİKAYET KAYIT'!R112,""),"")</f>
        <v/>
      </c>
      <c r="N112" s="11"/>
    </row>
    <row r="113" spans="1:14" ht="15" customHeight="1" x14ac:dyDescent="0.3">
      <c r="A113" s="26" t="str">
        <f>IFERROR(IF('ŞİKAYET KAYIT'!P113="Kapatıldı",'ŞİKAYET KAYIT'!A113,""),"")</f>
        <v/>
      </c>
      <c r="B113" s="8" t="str">
        <f>IFERROR(IF('ŞİKAYET KAYIT'!P113="Kapatıldı",'ŞİKAYET KAYIT'!B113,""),"")</f>
        <v/>
      </c>
      <c r="C113" s="26" t="str">
        <f>IFERROR(IF('ŞİKAYET KAYIT'!P113="Kapatıldı",'ŞİKAYET KAYIT'!D113,""),"")</f>
        <v/>
      </c>
      <c r="D113" s="26" t="str">
        <f>IFERROR(IF('ŞİKAYET KAYIT'!P113="Kapatıldı",'ŞİKAYET KAYIT'!F113,""),"")</f>
        <v/>
      </c>
      <c r="E113" s="26" t="str">
        <f>IFERROR(IF('ŞİKAYET KAYIT'!P113="Kapatıldı",'ŞİKAYET KAYIT'!H113,""),"")</f>
        <v/>
      </c>
      <c r="F113" s="26" t="str">
        <f>IFERROR(IF('ŞİKAYET KAYIT'!P113="Kapatıldı",'ŞİKAYET KAYIT'!J113,""),"")</f>
        <v/>
      </c>
      <c r="G113" s="26" t="str">
        <f>IFERROR(IF('ŞİKAYET KAYIT'!P113="Kapatıldı",'ŞİKAYET KAYIT'!K113,""),"")</f>
        <v/>
      </c>
      <c r="H113" s="26" t="str">
        <f>IFERROR(IF('ŞİKAYET KAYIT'!P113="Kapatıldı",'ŞİKAYET KAYIT'!L113,""),"")</f>
        <v/>
      </c>
      <c r="I113" s="26" t="str">
        <f>IFERROR(IF('ŞİKAYET KAYIT'!P113="Kapatıldı",'ŞİKAYET KAYIT'!M113,""),"")</f>
        <v/>
      </c>
      <c r="J113" s="26" t="str">
        <f>IFERROR(IF('ŞİKAYET KAYIT'!P113="Kapatıldı",'ŞİKAYET KAYIT'!N113,""),"")</f>
        <v/>
      </c>
      <c r="K113" s="26" t="str">
        <f>IFERROR(IF('ŞİKAYET KAYIT'!P113="Kapatıldı",'ŞİKAYET KAYIT'!O113,""),"")</f>
        <v/>
      </c>
      <c r="L113" s="8" t="str">
        <f>IFERROR(IF('ŞİKAYET KAYIT'!P113="Kapatıldı",'ŞİKAYET KAYIT'!Q113,""),"")</f>
        <v/>
      </c>
      <c r="M113" s="26" t="str">
        <f>IFERROR(IF('ŞİKAYET KAYIT'!P113="Kapatıldı",'ŞİKAYET KAYIT'!R113,""),"")</f>
        <v/>
      </c>
      <c r="N113" s="26"/>
    </row>
    <row r="114" spans="1:14" ht="15" customHeight="1" x14ac:dyDescent="0.3">
      <c r="A114" s="11" t="str">
        <f>IFERROR(IF('ŞİKAYET KAYIT'!P114="Kapatıldı",'ŞİKAYET KAYIT'!A114,""),"")</f>
        <v/>
      </c>
      <c r="B114" s="12" t="str">
        <f>IFERROR(IF('ŞİKAYET KAYIT'!P114="Kapatıldı",'ŞİKAYET KAYIT'!B114,""),"")</f>
        <v/>
      </c>
      <c r="C114" s="11" t="str">
        <f>IFERROR(IF('ŞİKAYET KAYIT'!P114="Kapatıldı",'ŞİKAYET KAYIT'!D114,""),"")</f>
        <v/>
      </c>
      <c r="D114" s="11" t="str">
        <f>IFERROR(IF('ŞİKAYET KAYIT'!P114="Kapatıldı",'ŞİKAYET KAYIT'!F114,""),"")</f>
        <v/>
      </c>
      <c r="E114" s="11" t="str">
        <f>IFERROR(IF('ŞİKAYET KAYIT'!P114="Kapatıldı",'ŞİKAYET KAYIT'!H114,""),"")</f>
        <v/>
      </c>
      <c r="F114" s="11" t="str">
        <f>IFERROR(IF('ŞİKAYET KAYIT'!P114="Kapatıldı",'ŞİKAYET KAYIT'!J114,""),"")</f>
        <v/>
      </c>
      <c r="G114" s="11" t="str">
        <f>IFERROR(IF('ŞİKAYET KAYIT'!P114="Kapatıldı",'ŞİKAYET KAYIT'!K114,""),"")</f>
        <v/>
      </c>
      <c r="H114" s="11" t="str">
        <f>IFERROR(IF('ŞİKAYET KAYIT'!P114="Kapatıldı",'ŞİKAYET KAYIT'!L114,""),"")</f>
        <v/>
      </c>
      <c r="I114" s="11" t="str">
        <f>IFERROR(IF('ŞİKAYET KAYIT'!P114="Kapatıldı",'ŞİKAYET KAYIT'!M114,""),"")</f>
        <v/>
      </c>
      <c r="J114" s="11" t="str">
        <f>IFERROR(IF('ŞİKAYET KAYIT'!P114="Kapatıldı",'ŞİKAYET KAYIT'!N114,""),"")</f>
        <v/>
      </c>
      <c r="K114" s="11" t="str">
        <f>IFERROR(IF('ŞİKAYET KAYIT'!P114="Kapatıldı",'ŞİKAYET KAYIT'!O114,""),"")</f>
        <v/>
      </c>
      <c r="L114" s="12" t="str">
        <f>IFERROR(IF('ŞİKAYET KAYIT'!P114="Kapatıldı",'ŞİKAYET KAYIT'!Q114,""),"")</f>
        <v/>
      </c>
      <c r="M114" s="11" t="str">
        <f>IFERROR(IF('ŞİKAYET KAYIT'!P114="Kapatıldı",'ŞİKAYET KAYIT'!R114,""),"")</f>
        <v/>
      </c>
      <c r="N114" s="11"/>
    </row>
    <row r="115" spans="1:14" ht="15" customHeight="1" x14ac:dyDescent="0.3">
      <c r="A115" s="26" t="str">
        <f>IFERROR(IF('ŞİKAYET KAYIT'!P115="Kapatıldı",'ŞİKAYET KAYIT'!A115,""),"")</f>
        <v/>
      </c>
      <c r="B115" s="8" t="str">
        <f>IFERROR(IF('ŞİKAYET KAYIT'!P115="Kapatıldı",'ŞİKAYET KAYIT'!B115,""),"")</f>
        <v/>
      </c>
      <c r="C115" s="26" t="str">
        <f>IFERROR(IF('ŞİKAYET KAYIT'!P115="Kapatıldı",'ŞİKAYET KAYIT'!D115,""),"")</f>
        <v/>
      </c>
      <c r="D115" s="26" t="str">
        <f>IFERROR(IF('ŞİKAYET KAYIT'!P115="Kapatıldı",'ŞİKAYET KAYIT'!F115,""),"")</f>
        <v/>
      </c>
      <c r="E115" s="26" t="str">
        <f>IFERROR(IF('ŞİKAYET KAYIT'!P115="Kapatıldı",'ŞİKAYET KAYIT'!H115,""),"")</f>
        <v/>
      </c>
      <c r="F115" s="26" t="str">
        <f>IFERROR(IF('ŞİKAYET KAYIT'!P115="Kapatıldı",'ŞİKAYET KAYIT'!J115,""),"")</f>
        <v/>
      </c>
      <c r="G115" s="26" t="str">
        <f>IFERROR(IF('ŞİKAYET KAYIT'!P115="Kapatıldı",'ŞİKAYET KAYIT'!K115,""),"")</f>
        <v/>
      </c>
      <c r="H115" s="26" t="str">
        <f>IFERROR(IF('ŞİKAYET KAYIT'!P115="Kapatıldı",'ŞİKAYET KAYIT'!L115,""),"")</f>
        <v/>
      </c>
      <c r="I115" s="26" t="str">
        <f>IFERROR(IF('ŞİKAYET KAYIT'!P115="Kapatıldı",'ŞİKAYET KAYIT'!M115,""),"")</f>
        <v/>
      </c>
      <c r="J115" s="26" t="str">
        <f>IFERROR(IF('ŞİKAYET KAYIT'!P115="Kapatıldı",'ŞİKAYET KAYIT'!N115,""),"")</f>
        <v/>
      </c>
      <c r="K115" s="26" t="str">
        <f>IFERROR(IF('ŞİKAYET KAYIT'!P115="Kapatıldı",'ŞİKAYET KAYIT'!O115,""),"")</f>
        <v/>
      </c>
      <c r="L115" s="8" t="str">
        <f>IFERROR(IF('ŞİKAYET KAYIT'!P115="Kapatıldı",'ŞİKAYET KAYIT'!Q115,""),"")</f>
        <v/>
      </c>
      <c r="M115" s="26" t="str">
        <f>IFERROR(IF('ŞİKAYET KAYIT'!P115="Kapatıldı",'ŞİKAYET KAYIT'!R115,""),"")</f>
        <v/>
      </c>
      <c r="N115" s="26"/>
    </row>
    <row r="116" spans="1:14" ht="15" customHeight="1" x14ac:dyDescent="0.3">
      <c r="A116" s="11" t="str">
        <f>IFERROR(IF('ŞİKAYET KAYIT'!P116="Kapatıldı",'ŞİKAYET KAYIT'!A116,""),"")</f>
        <v/>
      </c>
      <c r="B116" s="12" t="str">
        <f>IFERROR(IF('ŞİKAYET KAYIT'!P116="Kapatıldı",'ŞİKAYET KAYIT'!B116,""),"")</f>
        <v/>
      </c>
      <c r="C116" s="11" t="str">
        <f>IFERROR(IF('ŞİKAYET KAYIT'!P116="Kapatıldı",'ŞİKAYET KAYIT'!D116,""),"")</f>
        <v/>
      </c>
      <c r="D116" s="11" t="str">
        <f>IFERROR(IF('ŞİKAYET KAYIT'!P116="Kapatıldı",'ŞİKAYET KAYIT'!F116,""),"")</f>
        <v/>
      </c>
      <c r="E116" s="11" t="str">
        <f>IFERROR(IF('ŞİKAYET KAYIT'!P116="Kapatıldı",'ŞİKAYET KAYIT'!H116,""),"")</f>
        <v/>
      </c>
      <c r="F116" s="11" t="str">
        <f>IFERROR(IF('ŞİKAYET KAYIT'!P116="Kapatıldı",'ŞİKAYET KAYIT'!J116,""),"")</f>
        <v/>
      </c>
      <c r="G116" s="11" t="str">
        <f>IFERROR(IF('ŞİKAYET KAYIT'!P116="Kapatıldı",'ŞİKAYET KAYIT'!K116,""),"")</f>
        <v/>
      </c>
      <c r="H116" s="11" t="str">
        <f>IFERROR(IF('ŞİKAYET KAYIT'!P116="Kapatıldı",'ŞİKAYET KAYIT'!L116,""),"")</f>
        <v/>
      </c>
      <c r="I116" s="11" t="str">
        <f>IFERROR(IF('ŞİKAYET KAYIT'!P116="Kapatıldı",'ŞİKAYET KAYIT'!M116,""),"")</f>
        <v/>
      </c>
      <c r="J116" s="11" t="str">
        <f>IFERROR(IF('ŞİKAYET KAYIT'!P116="Kapatıldı",'ŞİKAYET KAYIT'!N116,""),"")</f>
        <v/>
      </c>
      <c r="K116" s="11" t="str">
        <f>IFERROR(IF('ŞİKAYET KAYIT'!P116="Kapatıldı",'ŞİKAYET KAYIT'!O116,""),"")</f>
        <v/>
      </c>
      <c r="L116" s="12" t="str">
        <f>IFERROR(IF('ŞİKAYET KAYIT'!P116="Kapatıldı",'ŞİKAYET KAYIT'!Q116,""),"")</f>
        <v/>
      </c>
      <c r="M116" s="11" t="str">
        <f>IFERROR(IF('ŞİKAYET KAYIT'!P116="Kapatıldı",'ŞİKAYET KAYIT'!R116,""),"")</f>
        <v/>
      </c>
      <c r="N116" s="11"/>
    </row>
    <row r="117" spans="1:14" ht="15" customHeight="1" x14ac:dyDescent="0.3">
      <c r="A117" s="26" t="str">
        <f>IFERROR(IF('ŞİKAYET KAYIT'!P117="Kapatıldı",'ŞİKAYET KAYIT'!A117,""),"")</f>
        <v/>
      </c>
      <c r="B117" s="8" t="str">
        <f>IFERROR(IF('ŞİKAYET KAYIT'!P117="Kapatıldı",'ŞİKAYET KAYIT'!B117,""),"")</f>
        <v/>
      </c>
      <c r="C117" s="26" t="str">
        <f>IFERROR(IF('ŞİKAYET KAYIT'!P117="Kapatıldı",'ŞİKAYET KAYIT'!D117,""),"")</f>
        <v/>
      </c>
      <c r="D117" s="26" t="str">
        <f>IFERROR(IF('ŞİKAYET KAYIT'!P117="Kapatıldı",'ŞİKAYET KAYIT'!F117,""),"")</f>
        <v/>
      </c>
      <c r="E117" s="26" t="str">
        <f>IFERROR(IF('ŞİKAYET KAYIT'!P117="Kapatıldı",'ŞİKAYET KAYIT'!H117,""),"")</f>
        <v/>
      </c>
      <c r="F117" s="26" t="str">
        <f>IFERROR(IF('ŞİKAYET KAYIT'!P117="Kapatıldı",'ŞİKAYET KAYIT'!J117,""),"")</f>
        <v/>
      </c>
      <c r="G117" s="26" t="str">
        <f>IFERROR(IF('ŞİKAYET KAYIT'!P117="Kapatıldı",'ŞİKAYET KAYIT'!K117,""),"")</f>
        <v/>
      </c>
      <c r="H117" s="26" t="str">
        <f>IFERROR(IF('ŞİKAYET KAYIT'!P117="Kapatıldı",'ŞİKAYET KAYIT'!L117,""),"")</f>
        <v/>
      </c>
      <c r="I117" s="26" t="str">
        <f>IFERROR(IF('ŞİKAYET KAYIT'!P117="Kapatıldı",'ŞİKAYET KAYIT'!M117,""),"")</f>
        <v/>
      </c>
      <c r="J117" s="26" t="str">
        <f>IFERROR(IF('ŞİKAYET KAYIT'!P117="Kapatıldı",'ŞİKAYET KAYIT'!N117,""),"")</f>
        <v/>
      </c>
      <c r="K117" s="26" t="str">
        <f>IFERROR(IF('ŞİKAYET KAYIT'!P117="Kapatıldı",'ŞİKAYET KAYIT'!O117,""),"")</f>
        <v/>
      </c>
      <c r="L117" s="8" t="str">
        <f>IFERROR(IF('ŞİKAYET KAYIT'!P117="Kapatıldı",'ŞİKAYET KAYIT'!Q117,""),"")</f>
        <v/>
      </c>
      <c r="M117" s="26" t="str">
        <f>IFERROR(IF('ŞİKAYET KAYIT'!P117="Kapatıldı",'ŞİKAYET KAYIT'!R117,""),"")</f>
        <v/>
      </c>
      <c r="N117" s="26"/>
    </row>
    <row r="118" spans="1:14" ht="15" customHeight="1" x14ac:dyDescent="0.3">
      <c r="A118" s="11" t="str">
        <f>IFERROR(IF('ŞİKAYET KAYIT'!P118="Kapatıldı",'ŞİKAYET KAYIT'!A118,""),"")</f>
        <v/>
      </c>
      <c r="B118" s="12" t="str">
        <f>IFERROR(IF('ŞİKAYET KAYIT'!P118="Kapatıldı",'ŞİKAYET KAYIT'!B118,""),"")</f>
        <v/>
      </c>
      <c r="C118" s="11" t="str">
        <f>IFERROR(IF('ŞİKAYET KAYIT'!P118="Kapatıldı",'ŞİKAYET KAYIT'!D118,""),"")</f>
        <v/>
      </c>
      <c r="D118" s="11" t="str">
        <f>IFERROR(IF('ŞİKAYET KAYIT'!P118="Kapatıldı",'ŞİKAYET KAYIT'!F118,""),"")</f>
        <v/>
      </c>
      <c r="E118" s="11" t="str">
        <f>IFERROR(IF('ŞİKAYET KAYIT'!P118="Kapatıldı",'ŞİKAYET KAYIT'!H118,""),"")</f>
        <v/>
      </c>
      <c r="F118" s="11" t="str">
        <f>IFERROR(IF('ŞİKAYET KAYIT'!P118="Kapatıldı",'ŞİKAYET KAYIT'!J118,""),"")</f>
        <v/>
      </c>
      <c r="G118" s="11" t="str">
        <f>IFERROR(IF('ŞİKAYET KAYIT'!P118="Kapatıldı",'ŞİKAYET KAYIT'!K118,""),"")</f>
        <v/>
      </c>
      <c r="H118" s="11" t="str">
        <f>IFERROR(IF('ŞİKAYET KAYIT'!P118="Kapatıldı",'ŞİKAYET KAYIT'!L118,""),"")</f>
        <v/>
      </c>
      <c r="I118" s="11" t="str">
        <f>IFERROR(IF('ŞİKAYET KAYIT'!P118="Kapatıldı",'ŞİKAYET KAYIT'!M118,""),"")</f>
        <v/>
      </c>
      <c r="J118" s="11" t="str">
        <f>IFERROR(IF('ŞİKAYET KAYIT'!P118="Kapatıldı",'ŞİKAYET KAYIT'!N118,""),"")</f>
        <v/>
      </c>
      <c r="K118" s="11" t="str">
        <f>IFERROR(IF('ŞİKAYET KAYIT'!P118="Kapatıldı",'ŞİKAYET KAYIT'!O118,""),"")</f>
        <v/>
      </c>
      <c r="L118" s="12" t="str">
        <f>IFERROR(IF('ŞİKAYET KAYIT'!P118="Kapatıldı",'ŞİKAYET KAYIT'!Q118,""),"")</f>
        <v/>
      </c>
      <c r="M118" s="11" t="str">
        <f>IFERROR(IF('ŞİKAYET KAYIT'!P118="Kapatıldı",'ŞİKAYET KAYIT'!R118,""),"")</f>
        <v/>
      </c>
      <c r="N118" s="11"/>
    </row>
    <row r="119" spans="1:14" ht="15" customHeight="1" x14ac:dyDescent="0.3">
      <c r="A119" s="26" t="str">
        <f>IFERROR(IF('ŞİKAYET KAYIT'!P119="Kapatıldı",'ŞİKAYET KAYIT'!A119,""),"")</f>
        <v/>
      </c>
      <c r="B119" s="8" t="str">
        <f>IFERROR(IF('ŞİKAYET KAYIT'!P119="Kapatıldı",'ŞİKAYET KAYIT'!B119,""),"")</f>
        <v/>
      </c>
      <c r="C119" s="26" t="str">
        <f>IFERROR(IF('ŞİKAYET KAYIT'!P119="Kapatıldı",'ŞİKAYET KAYIT'!D119,""),"")</f>
        <v/>
      </c>
      <c r="D119" s="26" t="str">
        <f>IFERROR(IF('ŞİKAYET KAYIT'!P119="Kapatıldı",'ŞİKAYET KAYIT'!F119,""),"")</f>
        <v/>
      </c>
      <c r="E119" s="26" t="str">
        <f>IFERROR(IF('ŞİKAYET KAYIT'!P119="Kapatıldı",'ŞİKAYET KAYIT'!H119,""),"")</f>
        <v/>
      </c>
      <c r="F119" s="26" t="str">
        <f>IFERROR(IF('ŞİKAYET KAYIT'!P119="Kapatıldı",'ŞİKAYET KAYIT'!J119,""),"")</f>
        <v/>
      </c>
      <c r="G119" s="26" t="str">
        <f>IFERROR(IF('ŞİKAYET KAYIT'!P119="Kapatıldı",'ŞİKAYET KAYIT'!K119,""),"")</f>
        <v/>
      </c>
      <c r="H119" s="26" t="str">
        <f>IFERROR(IF('ŞİKAYET KAYIT'!P119="Kapatıldı",'ŞİKAYET KAYIT'!L119,""),"")</f>
        <v/>
      </c>
      <c r="I119" s="26" t="str">
        <f>IFERROR(IF('ŞİKAYET KAYIT'!P119="Kapatıldı",'ŞİKAYET KAYIT'!M119,""),"")</f>
        <v/>
      </c>
      <c r="J119" s="26" t="str">
        <f>IFERROR(IF('ŞİKAYET KAYIT'!P119="Kapatıldı",'ŞİKAYET KAYIT'!N119,""),"")</f>
        <v/>
      </c>
      <c r="K119" s="26" t="str">
        <f>IFERROR(IF('ŞİKAYET KAYIT'!P119="Kapatıldı",'ŞİKAYET KAYIT'!O119,""),"")</f>
        <v/>
      </c>
      <c r="L119" s="8" t="str">
        <f>IFERROR(IF('ŞİKAYET KAYIT'!P119="Kapatıldı",'ŞİKAYET KAYIT'!Q119,""),"")</f>
        <v/>
      </c>
      <c r="M119" s="26" t="str">
        <f>IFERROR(IF('ŞİKAYET KAYIT'!P119="Kapatıldı",'ŞİKAYET KAYIT'!R119,""),"")</f>
        <v/>
      </c>
      <c r="N119" s="26"/>
    </row>
    <row r="120" spans="1:14" ht="15" customHeight="1" x14ac:dyDescent="0.3">
      <c r="A120" s="11" t="str">
        <f>IFERROR(IF('ŞİKAYET KAYIT'!P120="Kapatıldı",'ŞİKAYET KAYIT'!A120,""),"")</f>
        <v/>
      </c>
      <c r="B120" s="12" t="str">
        <f>IFERROR(IF('ŞİKAYET KAYIT'!P120="Kapatıldı",'ŞİKAYET KAYIT'!B120,""),"")</f>
        <v/>
      </c>
      <c r="C120" s="11" t="str">
        <f>IFERROR(IF('ŞİKAYET KAYIT'!P120="Kapatıldı",'ŞİKAYET KAYIT'!D120,""),"")</f>
        <v/>
      </c>
      <c r="D120" s="11" t="str">
        <f>IFERROR(IF('ŞİKAYET KAYIT'!P120="Kapatıldı",'ŞİKAYET KAYIT'!F120,""),"")</f>
        <v/>
      </c>
      <c r="E120" s="11" t="str">
        <f>IFERROR(IF('ŞİKAYET KAYIT'!P120="Kapatıldı",'ŞİKAYET KAYIT'!H120,""),"")</f>
        <v/>
      </c>
      <c r="F120" s="11" t="str">
        <f>IFERROR(IF('ŞİKAYET KAYIT'!P120="Kapatıldı",'ŞİKAYET KAYIT'!J120,""),"")</f>
        <v/>
      </c>
      <c r="G120" s="11" t="str">
        <f>IFERROR(IF('ŞİKAYET KAYIT'!P120="Kapatıldı",'ŞİKAYET KAYIT'!K120,""),"")</f>
        <v/>
      </c>
      <c r="H120" s="11" t="str">
        <f>IFERROR(IF('ŞİKAYET KAYIT'!P120="Kapatıldı",'ŞİKAYET KAYIT'!L120,""),"")</f>
        <v/>
      </c>
      <c r="I120" s="11" t="str">
        <f>IFERROR(IF('ŞİKAYET KAYIT'!P120="Kapatıldı",'ŞİKAYET KAYIT'!M120,""),"")</f>
        <v/>
      </c>
      <c r="J120" s="11" t="str">
        <f>IFERROR(IF('ŞİKAYET KAYIT'!P120="Kapatıldı",'ŞİKAYET KAYIT'!N120,""),"")</f>
        <v/>
      </c>
      <c r="K120" s="11" t="str">
        <f>IFERROR(IF('ŞİKAYET KAYIT'!P120="Kapatıldı",'ŞİKAYET KAYIT'!O120,""),"")</f>
        <v/>
      </c>
      <c r="L120" s="12" t="str">
        <f>IFERROR(IF('ŞİKAYET KAYIT'!P120="Kapatıldı",'ŞİKAYET KAYIT'!Q120,""),"")</f>
        <v/>
      </c>
      <c r="M120" s="11" t="str">
        <f>IFERROR(IF('ŞİKAYET KAYIT'!P120="Kapatıldı",'ŞİKAYET KAYIT'!R120,""),"")</f>
        <v/>
      </c>
      <c r="N120" s="11"/>
    </row>
    <row r="121" spans="1:14" ht="15" customHeight="1" x14ac:dyDescent="0.3">
      <c r="A121" s="26" t="str">
        <f>IFERROR(IF('ŞİKAYET KAYIT'!P121="Kapatıldı",'ŞİKAYET KAYIT'!A121,""),"")</f>
        <v/>
      </c>
      <c r="B121" s="8" t="str">
        <f>IFERROR(IF('ŞİKAYET KAYIT'!P121="Kapatıldı",'ŞİKAYET KAYIT'!B121,""),"")</f>
        <v/>
      </c>
      <c r="C121" s="26" t="str">
        <f>IFERROR(IF('ŞİKAYET KAYIT'!P121="Kapatıldı",'ŞİKAYET KAYIT'!D121,""),"")</f>
        <v/>
      </c>
      <c r="D121" s="26" t="str">
        <f>IFERROR(IF('ŞİKAYET KAYIT'!P121="Kapatıldı",'ŞİKAYET KAYIT'!F121,""),"")</f>
        <v/>
      </c>
      <c r="E121" s="26" t="str">
        <f>IFERROR(IF('ŞİKAYET KAYIT'!P121="Kapatıldı",'ŞİKAYET KAYIT'!H121,""),"")</f>
        <v/>
      </c>
      <c r="F121" s="26" t="str">
        <f>IFERROR(IF('ŞİKAYET KAYIT'!P121="Kapatıldı",'ŞİKAYET KAYIT'!J121,""),"")</f>
        <v/>
      </c>
      <c r="G121" s="26" t="str">
        <f>IFERROR(IF('ŞİKAYET KAYIT'!P121="Kapatıldı",'ŞİKAYET KAYIT'!K121,""),"")</f>
        <v/>
      </c>
      <c r="H121" s="26" t="str">
        <f>IFERROR(IF('ŞİKAYET KAYIT'!P121="Kapatıldı",'ŞİKAYET KAYIT'!L121,""),"")</f>
        <v/>
      </c>
      <c r="I121" s="26" t="str">
        <f>IFERROR(IF('ŞİKAYET KAYIT'!P121="Kapatıldı",'ŞİKAYET KAYIT'!M121,""),"")</f>
        <v/>
      </c>
      <c r="J121" s="26" t="str">
        <f>IFERROR(IF('ŞİKAYET KAYIT'!P121="Kapatıldı",'ŞİKAYET KAYIT'!N121,""),"")</f>
        <v/>
      </c>
      <c r="K121" s="26" t="str">
        <f>IFERROR(IF('ŞİKAYET KAYIT'!P121="Kapatıldı",'ŞİKAYET KAYIT'!O121,""),"")</f>
        <v/>
      </c>
      <c r="L121" s="8" t="str">
        <f>IFERROR(IF('ŞİKAYET KAYIT'!P121="Kapatıldı",'ŞİKAYET KAYIT'!Q121,""),"")</f>
        <v/>
      </c>
      <c r="M121" s="26" t="str">
        <f>IFERROR(IF('ŞİKAYET KAYIT'!P121="Kapatıldı",'ŞİKAYET KAYIT'!R121,""),"")</f>
        <v/>
      </c>
      <c r="N121" s="26"/>
    </row>
    <row r="122" spans="1:14" ht="15" customHeight="1" x14ac:dyDescent="0.3">
      <c r="A122" s="11" t="str">
        <f>IFERROR(IF('ŞİKAYET KAYIT'!P122="Kapatıldı",'ŞİKAYET KAYIT'!A122,""),"")</f>
        <v/>
      </c>
      <c r="B122" s="12" t="str">
        <f>IFERROR(IF('ŞİKAYET KAYIT'!P122="Kapatıldı",'ŞİKAYET KAYIT'!B122,""),"")</f>
        <v/>
      </c>
      <c r="C122" s="11" t="str">
        <f>IFERROR(IF('ŞİKAYET KAYIT'!P122="Kapatıldı",'ŞİKAYET KAYIT'!D122,""),"")</f>
        <v/>
      </c>
      <c r="D122" s="11" t="str">
        <f>IFERROR(IF('ŞİKAYET KAYIT'!P122="Kapatıldı",'ŞİKAYET KAYIT'!F122,""),"")</f>
        <v/>
      </c>
      <c r="E122" s="11" t="str">
        <f>IFERROR(IF('ŞİKAYET KAYIT'!P122="Kapatıldı",'ŞİKAYET KAYIT'!H122,""),"")</f>
        <v/>
      </c>
      <c r="F122" s="11" t="str">
        <f>IFERROR(IF('ŞİKAYET KAYIT'!P122="Kapatıldı",'ŞİKAYET KAYIT'!J122,""),"")</f>
        <v/>
      </c>
      <c r="G122" s="11" t="str">
        <f>IFERROR(IF('ŞİKAYET KAYIT'!P122="Kapatıldı",'ŞİKAYET KAYIT'!K122,""),"")</f>
        <v/>
      </c>
      <c r="H122" s="11" t="str">
        <f>IFERROR(IF('ŞİKAYET KAYIT'!P122="Kapatıldı",'ŞİKAYET KAYIT'!L122,""),"")</f>
        <v/>
      </c>
      <c r="I122" s="11" t="str">
        <f>IFERROR(IF('ŞİKAYET KAYIT'!P122="Kapatıldı",'ŞİKAYET KAYIT'!M122,""),"")</f>
        <v/>
      </c>
      <c r="J122" s="11" t="str">
        <f>IFERROR(IF('ŞİKAYET KAYIT'!P122="Kapatıldı",'ŞİKAYET KAYIT'!N122,""),"")</f>
        <v/>
      </c>
      <c r="K122" s="11" t="str">
        <f>IFERROR(IF('ŞİKAYET KAYIT'!P122="Kapatıldı",'ŞİKAYET KAYIT'!O122,""),"")</f>
        <v/>
      </c>
      <c r="L122" s="12" t="str">
        <f>IFERROR(IF('ŞİKAYET KAYIT'!P122="Kapatıldı",'ŞİKAYET KAYIT'!Q122,""),"")</f>
        <v/>
      </c>
      <c r="M122" s="11" t="str">
        <f>IFERROR(IF('ŞİKAYET KAYIT'!P122="Kapatıldı",'ŞİKAYET KAYIT'!R122,""),"")</f>
        <v/>
      </c>
      <c r="N122" s="11"/>
    </row>
    <row r="123" spans="1:14" ht="15" customHeight="1" x14ac:dyDescent="0.3">
      <c r="A123" s="26" t="str">
        <f>IFERROR(IF('ŞİKAYET KAYIT'!P123="Kapatıldı",'ŞİKAYET KAYIT'!A123,""),"")</f>
        <v/>
      </c>
      <c r="B123" s="8" t="str">
        <f>IFERROR(IF('ŞİKAYET KAYIT'!P123="Kapatıldı",'ŞİKAYET KAYIT'!B123,""),"")</f>
        <v/>
      </c>
      <c r="C123" s="26" t="str">
        <f>IFERROR(IF('ŞİKAYET KAYIT'!P123="Kapatıldı",'ŞİKAYET KAYIT'!D123,""),"")</f>
        <v/>
      </c>
      <c r="D123" s="26" t="str">
        <f>IFERROR(IF('ŞİKAYET KAYIT'!P123="Kapatıldı",'ŞİKAYET KAYIT'!F123,""),"")</f>
        <v/>
      </c>
      <c r="E123" s="26" t="str">
        <f>IFERROR(IF('ŞİKAYET KAYIT'!P123="Kapatıldı",'ŞİKAYET KAYIT'!H123,""),"")</f>
        <v/>
      </c>
      <c r="F123" s="26" t="str">
        <f>IFERROR(IF('ŞİKAYET KAYIT'!P123="Kapatıldı",'ŞİKAYET KAYIT'!J123,""),"")</f>
        <v/>
      </c>
      <c r="G123" s="26" t="str">
        <f>IFERROR(IF('ŞİKAYET KAYIT'!P123="Kapatıldı",'ŞİKAYET KAYIT'!K123,""),"")</f>
        <v/>
      </c>
      <c r="H123" s="26" t="str">
        <f>IFERROR(IF('ŞİKAYET KAYIT'!P123="Kapatıldı",'ŞİKAYET KAYIT'!L123,""),"")</f>
        <v/>
      </c>
      <c r="I123" s="26" t="str">
        <f>IFERROR(IF('ŞİKAYET KAYIT'!P123="Kapatıldı",'ŞİKAYET KAYIT'!M123,""),"")</f>
        <v/>
      </c>
      <c r="J123" s="26" t="str">
        <f>IFERROR(IF('ŞİKAYET KAYIT'!P123="Kapatıldı",'ŞİKAYET KAYIT'!N123,""),"")</f>
        <v/>
      </c>
      <c r="K123" s="26" t="str">
        <f>IFERROR(IF('ŞİKAYET KAYIT'!P123="Kapatıldı",'ŞİKAYET KAYIT'!O123,""),"")</f>
        <v/>
      </c>
      <c r="L123" s="8" t="str">
        <f>IFERROR(IF('ŞİKAYET KAYIT'!P123="Kapatıldı",'ŞİKAYET KAYIT'!Q123,""),"")</f>
        <v/>
      </c>
      <c r="M123" s="26" t="str">
        <f>IFERROR(IF('ŞİKAYET KAYIT'!P123="Kapatıldı",'ŞİKAYET KAYIT'!R123,""),"")</f>
        <v/>
      </c>
      <c r="N123" s="26"/>
    </row>
    <row r="124" spans="1:14" ht="15" customHeight="1" x14ac:dyDescent="0.3">
      <c r="A124" s="11" t="str">
        <f>IFERROR(IF('ŞİKAYET KAYIT'!P124="Kapatıldı",'ŞİKAYET KAYIT'!A124,""),"")</f>
        <v/>
      </c>
      <c r="B124" s="12" t="str">
        <f>IFERROR(IF('ŞİKAYET KAYIT'!P124="Kapatıldı",'ŞİKAYET KAYIT'!B124,""),"")</f>
        <v/>
      </c>
      <c r="C124" s="11" t="str">
        <f>IFERROR(IF('ŞİKAYET KAYIT'!P124="Kapatıldı",'ŞİKAYET KAYIT'!D124,""),"")</f>
        <v/>
      </c>
      <c r="D124" s="11" t="str">
        <f>IFERROR(IF('ŞİKAYET KAYIT'!P124="Kapatıldı",'ŞİKAYET KAYIT'!F124,""),"")</f>
        <v/>
      </c>
      <c r="E124" s="11" t="str">
        <f>IFERROR(IF('ŞİKAYET KAYIT'!P124="Kapatıldı",'ŞİKAYET KAYIT'!H124,""),"")</f>
        <v/>
      </c>
      <c r="F124" s="11" t="str">
        <f>IFERROR(IF('ŞİKAYET KAYIT'!P124="Kapatıldı",'ŞİKAYET KAYIT'!J124,""),"")</f>
        <v/>
      </c>
      <c r="G124" s="11" t="str">
        <f>IFERROR(IF('ŞİKAYET KAYIT'!P124="Kapatıldı",'ŞİKAYET KAYIT'!K124,""),"")</f>
        <v/>
      </c>
      <c r="H124" s="11" t="str">
        <f>IFERROR(IF('ŞİKAYET KAYIT'!P124="Kapatıldı",'ŞİKAYET KAYIT'!L124,""),"")</f>
        <v/>
      </c>
      <c r="I124" s="11" t="str">
        <f>IFERROR(IF('ŞİKAYET KAYIT'!P124="Kapatıldı",'ŞİKAYET KAYIT'!M124,""),"")</f>
        <v/>
      </c>
      <c r="J124" s="11" t="str">
        <f>IFERROR(IF('ŞİKAYET KAYIT'!P124="Kapatıldı",'ŞİKAYET KAYIT'!N124,""),"")</f>
        <v/>
      </c>
      <c r="K124" s="11" t="str">
        <f>IFERROR(IF('ŞİKAYET KAYIT'!P124="Kapatıldı",'ŞİKAYET KAYIT'!O124,""),"")</f>
        <v/>
      </c>
      <c r="L124" s="12" t="str">
        <f>IFERROR(IF('ŞİKAYET KAYIT'!P124="Kapatıldı",'ŞİKAYET KAYIT'!Q124,""),"")</f>
        <v/>
      </c>
      <c r="M124" s="11" t="str">
        <f>IFERROR(IF('ŞİKAYET KAYIT'!P124="Kapatıldı",'ŞİKAYET KAYIT'!R124,""),"")</f>
        <v/>
      </c>
      <c r="N124" s="11"/>
    </row>
    <row r="125" spans="1:14" ht="15" customHeight="1" x14ac:dyDescent="0.3">
      <c r="A125" s="26" t="str">
        <f>IFERROR(IF('ŞİKAYET KAYIT'!P125="Kapatıldı",'ŞİKAYET KAYIT'!A125,""),"")</f>
        <v/>
      </c>
      <c r="B125" s="8" t="str">
        <f>IFERROR(IF('ŞİKAYET KAYIT'!P125="Kapatıldı",'ŞİKAYET KAYIT'!B125,""),"")</f>
        <v/>
      </c>
      <c r="C125" s="26" t="str">
        <f>IFERROR(IF('ŞİKAYET KAYIT'!P125="Kapatıldı",'ŞİKAYET KAYIT'!D125,""),"")</f>
        <v/>
      </c>
      <c r="D125" s="26" t="str">
        <f>IFERROR(IF('ŞİKAYET KAYIT'!P125="Kapatıldı",'ŞİKAYET KAYIT'!F125,""),"")</f>
        <v/>
      </c>
      <c r="E125" s="26" t="str">
        <f>IFERROR(IF('ŞİKAYET KAYIT'!P125="Kapatıldı",'ŞİKAYET KAYIT'!H125,""),"")</f>
        <v/>
      </c>
      <c r="F125" s="26" t="str">
        <f>IFERROR(IF('ŞİKAYET KAYIT'!P125="Kapatıldı",'ŞİKAYET KAYIT'!J125,""),"")</f>
        <v/>
      </c>
      <c r="G125" s="26" t="str">
        <f>IFERROR(IF('ŞİKAYET KAYIT'!P125="Kapatıldı",'ŞİKAYET KAYIT'!K125,""),"")</f>
        <v/>
      </c>
      <c r="H125" s="26" t="str">
        <f>IFERROR(IF('ŞİKAYET KAYIT'!P125="Kapatıldı",'ŞİKAYET KAYIT'!L125,""),"")</f>
        <v/>
      </c>
      <c r="I125" s="26" t="str">
        <f>IFERROR(IF('ŞİKAYET KAYIT'!P125="Kapatıldı",'ŞİKAYET KAYIT'!M125,""),"")</f>
        <v/>
      </c>
      <c r="J125" s="26" t="str">
        <f>IFERROR(IF('ŞİKAYET KAYIT'!P125="Kapatıldı",'ŞİKAYET KAYIT'!N125,""),"")</f>
        <v/>
      </c>
      <c r="K125" s="26" t="str">
        <f>IFERROR(IF('ŞİKAYET KAYIT'!P125="Kapatıldı",'ŞİKAYET KAYIT'!O125,""),"")</f>
        <v/>
      </c>
      <c r="L125" s="8" t="str">
        <f>IFERROR(IF('ŞİKAYET KAYIT'!P125="Kapatıldı",'ŞİKAYET KAYIT'!Q125,""),"")</f>
        <v/>
      </c>
      <c r="M125" s="26" t="str">
        <f>IFERROR(IF('ŞİKAYET KAYIT'!P125="Kapatıldı",'ŞİKAYET KAYIT'!R125,""),"")</f>
        <v/>
      </c>
      <c r="N125" s="26"/>
    </row>
    <row r="126" spans="1:14" ht="15" customHeight="1" x14ac:dyDescent="0.3">
      <c r="A126" s="11" t="str">
        <f>IFERROR(IF('ŞİKAYET KAYIT'!P126="Kapatıldı",'ŞİKAYET KAYIT'!A126,""),"")</f>
        <v/>
      </c>
      <c r="B126" s="12" t="str">
        <f>IFERROR(IF('ŞİKAYET KAYIT'!P126="Kapatıldı",'ŞİKAYET KAYIT'!B126,""),"")</f>
        <v/>
      </c>
      <c r="C126" s="11" t="str">
        <f>IFERROR(IF('ŞİKAYET KAYIT'!P126="Kapatıldı",'ŞİKAYET KAYIT'!D126,""),"")</f>
        <v/>
      </c>
      <c r="D126" s="11" t="str">
        <f>IFERROR(IF('ŞİKAYET KAYIT'!P126="Kapatıldı",'ŞİKAYET KAYIT'!F126,""),"")</f>
        <v/>
      </c>
      <c r="E126" s="11" t="str">
        <f>IFERROR(IF('ŞİKAYET KAYIT'!P126="Kapatıldı",'ŞİKAYET KAYIT'!H126,""),"")</f>
        <v/>
      </c>
      <c r="F126" s="11" t="str">
        <f>IFERROR(IF('ŞİKAYET KAYIT'!P126="Kapatıldı",'ŞİKAYET KAYIT'!J126,""),"")</f>
        <v/>
      </c>
      <c r="G126" s="11" t="str">
        <f>IFERROR(IF('ŞİKAYET KAYIT'!P126="Kapatıldı",'ŞİKAYET KAYIT'!K126,""),"")</f>
        <v/>
      </c>
      <c r="H126" s="11" t="str">
        <f>IFERROR(IF('ŞİKAYET KAYIT'!P126="Kapatıldı",'ŞİKAYET KAYIT'!L126,""),"")</f>
        <v/>
      </c>
      <c r="I126" s="11" t="str">
        <f>IFERROR(IF('ŞİKAYET KAYIT'!P126="Kapatıldı",'ŞİKAYET KAYIT'!M126,""),"")</f>
        <v/>
      </c>
      <c r="J126" s="11" t="str">
        <f>IFERROR(IF('ŞİKAYET KAYIT'!P126="Kapatıldı",'ŞİKAYET KAYIT'!N126,""),"")</f>
        <v/>
      </c>
      <c r="K126" s="11" t="str">
        <f>IFERROR(IF('ŞİKAYET KAYIT'!P126="Kapatıldı",'ŞİKAYET KAYIT'!O126,""),"")</f>
        <v/>
      </c>
      <c r="L126" s="12" t="str">
        <f>IFERROR(IF('ŞİKAYET KAYIT'!P126="Kapatıldı",'ŞİKAYET KAYIT'!Q126,""),"")</f>
        <v/>
      </c>
      <c r="M126" s="11" t="str">
        <f>IFERROR(IF('ŞİKAYET KAYIT'!P126="Kapatıldı",'ŞİKAYET KAYIT'!R126,""),"")</f>
        <v/>
      </c>
      <c r="N126" s="11"/>
    </row>
    <row r="127" spans="1:14" ht="15" customHeight="1" x14ac:dyDescent="0.3">
      <c r="A127" s="26" t="str">
        <f>IFERROR(IF('ŞİKAYET KAYIT'!P127="Kapatıldı",'ŞİKAYET KAYIT'!A127,""),"")</f>
        <v/>
      </c>
      <c r="B127" s="8" t="str">
        <f>IFERROR(IF('ŞİKAYET KAYIT'!P127="Kapatıldı",'ŞİKAYET KAYIT'!B127,""),"")</f>
        <v/>
      </c>
      <c r="C127" s="26" t="str">
        <f>IFERROR(IF('ŞİKAYET KAYIT'!P127="Kapatıldı",'ŞİKAYET KAYIT'!D127,""),"")</f>
        <v/>
      </c>
      <c r="D127" s="26" t="str">
        <f>IFERROR(IF('ŞİKAYET KAYIT'!P127="Kapatıldı",'ŞİKAYET KAYIT'!F127,""),"")</f>
        <v/>
      </c>
      <c r="E127" s="26" t="str">
        <f>IFERROR(IF('ŞİKAYET KAYIT'!P127="Kapatıldı",'ŞİKAYET KAYIT'!H127,""),"")</f>
        <v/>
      </c>
      <c r="F127" s="26" t="str">
        <f>IFERROR(IF('ŞİKAYET KAYIT'!P127="Kapatıldı",'ŞİKAYET KAYIT'!J127,""),"")</f>
        <v/>
      </c>
      <c r="G127" s="26" t="str">
        <f>IFERROR(IF('ŞİKAYET KAYIT'!P127="Kapatıldı",'ŞİKAYET KAYIT'!K127,""),"")</f>
        <v/>
      </c>
      <c r="H127" s="26" t="str">
        <f>IFERROR(IF('ŞİKAYET KAYIT'!P127="Kapatıldı",'ŞİKAYET KAYIT'!L127,""),"")</f>
        <v/>
      </c>
      <c r="I127" s="26" t="str">
        <f>IFERROR(IF('ŞİKAYET KAYIT'!P127="Kapatıldı",'ŞİKAYET KAYIT'!M127,""),"")</f>
        <v/>
      </c>
      <c r="J127" s="26" t="str">
        <f>IFERROR(IF('ŞİKAYET KAYIT'!P127="Kapatıldı",'ŞİKAYET KAYIT'!N127,""),"")</f>
        <v/>
      </c>
      <c r="K127" s="26" t="str">
        <f>IFERROR(IF('ŞİKAYET KAYIT'!P127="Kapatıldı",'ŞİKAYET KAYIT'!O127,""),"")</f>
        <v/>
      </c>
      <c r="L127" s="8" t="str">
        <f>IFERROR(IF('ŞİKAYET KAYIT'!P127="Kapatıldı",'ŞİKAYET KAYIT'!Q127,""),"")</f>
        <v/>
      </c>
      <c r="M127" s="26" t="str">
        <f>IFERROR(IF('ŞİKAYET KAYIT'!P127="Kapatıldı",'ŞİKAYET KAYIT'!R127,""),"")</f>
        <v/>
      </c>
      <c r="N127" s="26"/>
    </row>
    <row r="128" spans="1:14" ht="15" customHeight="1" x14ac:dyDescent="0.3">
      <c r="A128" s="11" t="str">
        <f>IFERROR(IF('ŞİKAYET KAYIT'!P128="Kapatıldı",'ŞİKAYET KAYIT'!A128,""),"")</f>
        <v/>
      </c>
      <c r="B128" s="12" t="str">
        <f>IFERROR(IF('ŞİKAYET KAYIT'!P128="Kapatıldı",'ŞİKAYET KAYIT'!B128,""),"")</f>
        <v/>
      </c>
      <c r="C128" s="11" t="str">
        <f>IFERROR(IF('ŞİKAYET KAYIT'!P128="Kapatıldı",'ŞİKAYET KAYIT'!D128,""),"")</f>
        <v/>
      </c>
      <c r="D128" s="11" t="str">
        <f>IFERROR(IF('ŞİKAYET KAYIT'!P128="Kapatıldı",'ŞİKAYET KAYIT'!F128,""),"")</f>
        <v/>
      </c>
      <c r="E128" s="11" t="str">
        <f>IFERROR(IF('ŞİKAYET KAYIT'!P128="Kapatıldı",'ŞİKAYET KAYIT'!H128,""),"")</f>
        <v/>
      </c>
      <c r="F128" s="11" t="str">
        <f>IFERROR(IF('ŞİKAYET KAYIT'!P128="Kapatıldı",'ŞİKAYET KAYIT'!J128,""),"")</f>
        <v/>
      </c>
      <c r="G128" s="11" t="str">
        <f>IFERROR(IF('ŞİKAYET KAYIT'!P128="Kapatıldı",'ŞİKAYET KAYIT'!K128,""),"")</f>
        <v/>
      </c>
      <c r="H128" s="11" t="str">
        <f>IFERROR(IF('ŞİKAYET KAYIT'!P128="Kapatıldı",'ŞİKAYET KAYIT'!L128,""),"")</f>
        <v/>
      </c>
      <c r="I128" s="11" t="str">
        <f>IFERROR(IF('ŞİKAYET KAYIT'!P128="Kapatıldı",'ŞİKAYET KAYIT'!M128,""),"")</f>
        <v/>
      </c>
      <c r="J128" s="11" t="str">
        <f>IFERROR(IF('ŞİKAYET KAYIT'!P128="Kapatıldı",'ŞİKAYET KAYIT'!N128,""),"")</f>
        <v/>
      </c>
      <c r="K128" s="11" t="str">
        <f>IFERROR(IF('ŞİKAYET KAYIT'!P128="Kapatıldı",'ŞİKAYET KAYIT'!O128,""),"")</f>
        <v/>
      </c>
      <c r="L128" s="12" t="str">
        <f>IFERROR(IF('ŞİKAYET KAYIT'!P128="Kapatıldı",'ŞİKAYET KAYIT'!Q128,""),"")</f>
        <v/>
      </c>
      <c r="M128" s="11" t="str">
        <f>IFERROR(IF('ŞİKAYET KAYIT'!P128="Kapatıldı",'ŞİKAYET KAYIT'!R128,""),"")</f>
        <v/>
      </c>
      <c r="N128" s="11"/>
    </row>
    <row r="129" spans="1:14" ht="15" customHeight="1" x14ac:dyDescent="0.3">
      <c r="A129" s="26" t="str">
        <f>IFERROR(IF('ŞİKAYET KAYIT'!P129="Kapatıldı",'ŞİKAYET KAYIT'!A129,""),"")</f>
        <v/>
      </c>
      <c r="B129" s="8" t="str">
        <f>IFERROR(IF('ŞİKAYET KAYIT'!P129="Kapatıldı",'ŞİKAYET KAYIT'!B129,""),"")</f>
        <v/>
      </c>
      <c r="C129" s="26" t="str">
        <f>IFERROR(IF('ŞİKAYET KAYIT'!P129="Kapatıldı",'ŞİKAYET KAYIT'!D129,""),"")</f>
        <v/>
      </c>
      <c r="D129" s="26" t="str">
        <f>IFERROR(IF('ŞİKAYET KAYIT'!P129="Kapatıldı",'ŞİKAYET KAYIT'!F129,""),"")</f>
        <v/>
      </c>
      <c r="E129" s="26" t="str">
        <f>IFERROR(IF('ŞİKAYET KAYIT'!P129="Kapatıldı",'ŞİKAYET KAYIT'!H129,""),"")</f>
        <v/>
      </c>
      <c r="F129" s="26" t="str">
        <f>IFERROR(IF('ŞİKAYET KAYIT'!P129="Kapatıldı",'ŞİKAYET KAYIT'!J129,""),"")</f>
        <v/>
      </c>
      <c r="G129" s="26" t="str">
        <f>IFERROR(IF('ŞİKAYET KAYIT'!P129="Kapatıldı",'ŞİKAYET KAYIT'!K129,""),"")</f>
        <v/>
      </c>
      <c r="H129" s="26" t="str">
        <f>IFERROR(IF('ŞİKAYET KAYIT'!P129="Kapatıldı",'ŞİKAYET KAYIT'!L129,""),"")</f>
        <v/>
      </c>
      <c r="I129" s="26" t="str">
        <f>IFERROR(IF('ŞİKAYET KAYIT'!P129="Kapatıldı",'ŞİKAYET KAYIT'!M129,""),"")</f>
        <v/>
      </c>
      <c r="J129" s="26" t="str">
        <f>IFERROR(IF('ŞİKAYET KAYIT'!P129="Kapatıldı",'ŞİKAYET KAYIT'!N129,""),"")</f>
        <v/>
      </c>
      <c r="K129" s="26" t="str">
        <f>IFERROR(IF('ŞİKAYET KAYIT'!P129="Kapatıldı",'ŞİKAYET KAYIT'!O129,""),"")</f>
        <v/>
      </c>
      <c r="L129" s="8" t="str">
        <f>IFERROR(IF('ŞİKAYET KAYIT'!P129="Kapatıldı",'ŞİKAYET KAYIT'!Q129,""),"")</f>
        <v/>
      </c>
      <c r="M129" s="26" t="str">
        <f>IFERROR(IF('ŞİKAYET KAYIT'!P129="Kapatıldı",'ŞİKAYET KAYIT'!R129,""),"")</f>
        <v/>
      </c>
      <c r="N129" s="26"/>
    </row>
    <row r="130" spans="1:14" ht="15" customHeight="1" x14ac:dyDescent="0.3">
      <c r="A130" s="11" t="str">
        <f>IFERROR(IF('ŞİKAYET KAYIT'!P130="Kapatıldı",'ŞİKAYET KAYIT'!A130,""),"")</f>
        <v/>
      </c>
      <c r="B130" s="12" t="str">
        <f>IFERROR(IF('ŞİKAYET KAYIT'!P130="Kapatıldı",'ŞİKAYET KAYIT'!B130,""),"")</f>
        <v/>
      </c>
      <c r="C130" s="11" t="str">
        <f>IFERROR(IF('ŞİKAYET KAYIT'!P130="Kapatıldı",'ŞİKAYET KAYIT'!D130,""),"")</f>
        <v/>
      </c>
      <c r="D130" s="11" t="str">
        <f>IFERROR(IF('ŞİKAYET KAYIT'!P130="Kapatıldı",'ŞİKAYET KAYIT'!F130,""),"")</f>
        <v/>
      </c>
      <c r="E130" s="11" t="str">
        <f>IFERROR(IF('ŞİKAYET KAYIT'!P130="Kapatıldı",'ŞİKAYET KAYIT'!H130,""),"")</f>
        <v/>
      </c>
      <c r="F130" s="11" t="str">
        <f>IFERROR(IF('ŞİKAYET KAYIT'!P130="Kapatıldı",'ŞİKAYET KAYIT'!J130,""),"")</f>
        <v/>
      </c>
      <c r="G130" s="11" t="str">
        <f>IFERROR(IF('ŞİKAYET KAYIT'!P130="Kapatıldı",'ŞİKAYET KAYIT'!K130,""),"")</f>
        <v/>
      </c>
      <c r="H130" s="11" t="str">
        <f>IFERROR(IF('ŞİKAYET KAYIT'!P130="Kapatıldı",'ŞİKAYET KAYIT'!L130,""),"")</f>
        <v/>
      </c>
      <c r="I130" s="11" t="str">
        <f>IFERROR(IF('ŞİKAYET KAYIT'!P130="Kapatıldı",'ŞİKAYET KAYIT'!M130,""),"")</f>
        <v/>
      </c>
      <c r="J130" s="11" t="str">
        <f>IFERROR(IF('ŞİKAYET KAYIT'!P130="Kapatıldı",'ŞİKAYET KAYIT'!N130,""),"")</f>
        <v/>
      </c>
      <c r="K130" s="11" t="str">
        <f>IFERROR(IF('ŞİKAYET KAYIT'!P130="Kapatıldı",'ŞİKAYET KAYIT'!O130,""),"")</f>
        <v/>
      </c>
      <c r="L130" s="12" t="str">
        <f>IFERROR(IF('ŞİKAYET KAYIT'!P130="Kapatıldı",'ŞİKAYET KAYIT'!Q130,""),"")</f>
        <v/>
      </c>
      <c r="M130" s="11" t="str">
        <f>IFERROR(IF('ŞİKAYET KAYIT'!P130="Kapatıldı",'ŞİKAYET KAYIT'!R130,""),"")</f>
        <v/>
      </c>
      <c r="N130" s="11"/>
    </row>
    <row r="131" spans="1:14" ht="15" customHeight="1" x14ac:dyDescent="0.3">
      <c r="A131" s="26" t="str">
        <f>IFERROR(IF('ŞİKAYET KAYIT'!P131="Kapatıldı",'ŞİKAYET KAYIT'!A131,""),"")</f>
        <v/>
      </c>
      <c r="B131" s="8" t="str">
        <f>IFERROR(IF('ŞİKAYET KAYIT'!P131="Kapatıldı",'ŞİKAYET KAYIT'!B131,""),"")</f>
        <v/>
      </c>
      <c r="C131" s="26" t="str">
        <f>IFERROR(IF('ŞİKAYET KAYIT'!P131="Kapatıldı",'ŞİKAYET KAYIT'!D131,""),"")</f>
        <v/>
      </c>
      <c r="D131" s="26" t="str">
        <f>IFERROR(IF('ŞİKAYET KAYIT'!P131="Kapatıldı",'ŞİKAYET KAYIT'!F131,""),"")</f>
        <v/>
      </c>
      <c r="E131" s="26" t="str">
        <f>IFERROR(IF('ŞİKAYET KAYIT'!P131="Kapatıldı",'ŞİKAYET KAYIT'!H131,""),"")</f>
        <v/>
      </c>
      <c r="F131" s="26" t="str">
        <f>IFERROR(IF('ŞİKAYET KAYIT'!P131="Kapatıldı",'ŞİKAYET KAYIT'!J131,""),"")</f>
        <v/>
      </c>
      <c r="G131" s="26" t="str">
        <f>IFERROR(IF('ŞİKAYET KAYIT'!P131="Kapatıldı",'ŞİKAYET KAYIT'!K131,""),"")</f>
        <v/>
      </c>
      <c r="H131" s="26" t="str">
        <f>IFERROR(IF('ŞİKAYET KAYIT'!P131="Kapatıldı",'ŞİKAYET KAYIT'!L131,""),"")</f>
        <v/>
      </c>
      <c r="I131" s="26" t="str">
        <f>IFERROR(IF('ŞİKAYET KAYIT'!P131="Kapatıldı",'ŞİKAYET KAYIT'!M131,""),"")</f>
        <v/>
      </c>
      <c r="J131" s="26" t="str">
        <f>IFERROR(IF('ŞİKAYET KAYIT'!P131="Kapatıldı",'ŞİKAYET KAYIT'!N131,""),"")</f>
        <v/>
      </c>
      <c r="K131" s="26" t="str">
        <f>IFERROR(IF('ŞİKAYET KAYIT'!P131="Kapatıldı",'ŞİKAYET KAYIT'!O131,""),"")</f>
        <v/>
      </c>
      <c r="L131" s="8" t="str">
        <f>IFERROR(IF('ŞİKAYET KAYIT'!P131="Kapatıldı",'ŞİKAYET KAYIT'!Q131,""),"")</f>
        <v/>
      </c>
      <c r="M131" s="26" t="str">
        <f>IFERROR(IF('ŞİKAYET KAYIT'!P131="Kapatıldı",'ŞİKAYET KAYIT'!R131,""),"")</f>
        <v/>
      </c>
      <c r="N131" s="26"/>
    </row>
    <row r="132" spans="1:14" ht="15" customHeight="1" x14ac:dyDescent="0.3">
      <c r="A132" s="11" t="str">
        <f>IFERROR(IF('ŞİKAYET KAYIT'!P132="Kapatıldı",'ŞİKAYET KAYIT'!A132,""),"")</f>
        <v/>
      </c>
      <c r="B132" s="12" t="str">
        <f>IFERROR(IF('ŞİKAYET KAYIT'!P132="Kapatıldı",'ŞİKAYET KAYIT'!B132,""),"")</f>
        <v/>
      </c>
      <c r="C132" s="11" t="str">
        <f>IFERROR(IF('ŞİKAYET KAYIT'!P132="Kapatıldı",'ŞİKAYET KAYIT'!D132,""),"")</f>
        <v/>
      </c>
      <c r="D132" s="11" t="str">
        <f>IFERROR(IF('ŞİKAYET KAYIT'!P132="Kapatıldı",'ŞİKAYET KAYIT'!F132,""),"")</f>
        <v/>
      </c>
      <c r="E132" s="11" t="str">
        <f>IFERROR(IF('ŞİKAYET KAYIT'!P132="Kapatıldı",'ŞİKAYET KAYIT'!H132,""),"")</f>
        <v/>
      </c>
      <c r="F132" s="11" t="str">
        <f>IFERROR(IF('ŞİKAYET KAYIT'!P132="Kapatıldı",'ŞİKAYET KAYIT'!J132,""),"")</f>
        <v/>
      </c>
      <c r="G132" s="11" t="str">
        <f>IFERROR(IF('ŞİKAYET KAYIT'!P132="Kapatıldı",'ŞİKAYET KAYIT'!K132,""),"")</f>
        <v/>
      </c>
      <c r="H132" s="11" t="str">
        <f>IFERROR(IF('ŞİKAYET KAYIT'!P132="Kapatıldı",'ŞİKAYET KAYIT'!L132,""),"")</f>
        <v/>
      </c>
      <c r="I132" s="11" t="str">
        <f>IFERROR(IF('ŞİKAYET KAYIT'!P132="Kapatıldı",'ŞİKAYET KAYIT'!M132,""),"")</f>
        <v/>
      </c>
      <c r="J132" s="11" t="str">
        <f>IFERROR(IF('ŞİKAYET KAYIT'!P132="Kapatıldı",'ŞİKAYET KAYIT'!N132,""),"")</f>
        <v/>
      </c>
      <c r="K132" s="11" t="str">
        <f>IFERROR(IF('ŞİKAYET KAYIT'!P132="Kapatıldı",'ŞİKAYET KAYIT'!O132,""),"")</f>
        <v/>
      </c>
      <c r="L132" s="12" t="str">
        <f>IFERROR(IF('ŞİKAYET KAYIT'!P132="Kapatıldı",'ŞİKAYET KAYIT'!Q132,""),"")</f>
        <v/>
      </c>
      <c r="M132" s="11" t="str">
        <f>IFERROR(IF('ŞİKAYET KAYIT'!P132="Kapatıldı",'ŞİKAYET KAYIT'!R132,""),"")</f>
        <v/>
      </c>
      <c r="N132" s="11"/>
    </row>
    <row r="133" spans="1:14" ht="15" customHeight="1" x14ac:dyDescent="0.3">
      <c r="A133" s="26" t="str">
        <f>IFERROR(IF('ŞİKAYET KAYIT'!P133="Kapatıldı",'ŞİKAYET KAYIT'!A133,""),"")</f>
        <v/>
      </c>
      <c r="B133" s="8" t="str">
        <f>IFERROR(IF('ŞİKAYET KAYIT'!P133="Kapatıldı",'ŞİKAYET KAYIT'!B133,""),"")</f>
        <v/>
      </c>
      <c r="C133" s="26" t="str">
        <f>IFERROR(IF('ŞİKAYET KAYIT'!P133="Kapatıldı",'ŞİKAYET KAYIT'!D133,""),"")</f>
        <v/>
      </c>
      <c r="D133" s="26" t="str">
        <f>IFERROR(IF('ŞİKAYET KAYIT'!P133="Kapatıldı",'ŞİKAYET KAYIT'!F133,""),"")</f>
        <v/>
      </c>
      <c r="E133" s="26" t="str">
        <f>IFERROR(IF('ŞİKAYET KAYIT'!P133="Kapatıldı",'ŞİKAYET KAYIT'!H133,""),"")</f>
        <v/>
      </c>
      <c r="F133" s="26" t="str">
        <f>IFERROR(IF('ŞİKAYET KAYIT'!P133="Kapatıldı",'ŞİKAYET KAYIT'!J133,""),"")</f>
        <v/>
      </c>
      <c r="G133" s="26" t="str">
        <f>IFERROR(IF('ŞİKAYET KAYIT'!P133="Kapatıldı",'ŞİKAYET KAYIT'!K133,""),"")</f>
        <v/>
      </c>
      <c r="H133" s="26" t="str">
        <f>IFERROR(IF('ŞİKAYET KAYIT'!P133="Kapatıldı",'ŞİKAYET KAYIT'!L133,""),"")</f>
        <v/>
      </c>
      <c r="I133" s="26" t="str">
        <f>IFERROR(IF('ŞİKAYET KAYIT'!P133="Kapatıldı",'ŞİKAYET KAYIT'!M133,""),"")</f>
        <v/>
      </c>
      <c r="J133" s="26" t="str">
        <f>IFERROR(IF('ŞİKAYET KAYIT'!P133="Kapatıldı",'ŞİKAYET KAYIT'!N133,""),"")</f>
        <v/>
      </c>
      <c r="K133" s="26" t="str">
        <f>IFERROR(IF('ŞİKAYET KAYIT'!P133="Kapatıldı",'ŞİKAYET KAYIT'!O133,""),"")</f>
        <v/>
      </c>
      <c r="L133" s="8" t="str">
        <f>IFERROR(IF('ŞİKAYET KAYIT'!P133="Kapatıldı",'ŞİKAYET KAYIT'!Q133,""),"")</f>
        <v/>
      </c>
      <c r="M133" s="26" t="str">
        <f>IFERROR(IF('ŞİKAYET KAYIT'!P133="Kapatıldı",'ŞİKAYET KAYIT'!R133,""),"")</f>
        <v/>
      </c>
      <c r="N133" s="26"/>
    </row>
    <row r="134" spans="1:14" ht="15" customHeight="1" x14ac:dyDescent="0.3">
      <c r="A134" s="11" t="str">
        <f>IFERROR(IF('ŞİKAYET KAYIT'!P134="Kapatıldı",'ŞİKAYET KAYIT'!A134,""),"")</f>
        <v/>
      </c>
      <c r="B134" s="12" t="str">
        <f>IFERROR(IF('ŞİKAYET KAYIT'!P134="Kapatıldı",'ŞİKAYET KAYIT'!B134,""),"")</f>
        <v/>
      </c>
      <c r="C134" s="11" t="str">
        <f>IFERROR(IF('ŞİKAYET KAYIT'!P134="Kapatıldı",'ŞİKAYET KAYIT'!D134,""),"")</f>
        <v/>
      </c>
      <c r="D134" s="11" t="str">
        <f>IFERROR(IF('ŞİKAYET KAYIT'!P134="Kapatıldı",'ŞİKAYET KAYIT'!F134,""),"")</f>
        <v/>
      </c>
      <c r="E134" s="11" t="str">
        <f>IFERROR(IF('ŞİKAYET KAYIT'!P134="Kapatıldı",'ŞİKAYET KAYIT'!H134,""),"")</f>
        <v/>
      </c>
      <c r="F134" s="11" t="str">
        <f>IFERROR(IF('ŞİKAYET KAYIT'!P134="Kapatıldı",'ŞİKAYET KAYIT'!J134,""),"")</f>
        <v/>
      </c>
      <c r="G134" s="11" t="str">
        <f>IFERROR(IF('ŞİKAYET KAYIT'!P134="Kapatıldı",'ŞİKAYET KAYIT'!K134,""),"")</f>
        <v/>
      </c>
      <c r="H134" s="11" t="str">
        <f>IFERROR(IF('ŞİKAYET KAYIT'!P134="Kapatıldı",'ŞİKAYET KAYIT'!L134,""),"")</f>
        <v/>
      </c>
      <c r="I134" s="11" t="str">
        <f>IFERROR(IF('ŞİKAYET KAYIT'!P134="Kapatıldı",'ŞİKAYET KAYIT'!M134,""),"")</f>
        <v/>
      </c>
      <c r="J134" s="11" t="str">
        <f>IFERROR(IF('ŞİKAYET KAYIT'!P134="Kapatıldı",'ŞİKAYET KAYIT'!N134,""),"")</f>
        <v/>
      </c>
      <c r="K134" s="11" t="str">
        <f>IFERROR(IF('ŞİKAYET KAYIT'!P134="Kapatıldı",'ŞİKAYET KAYIT'!O134,""),"")</f>
        <v/>
      </c>
      <c r="L134" s="12" t="str">
        <f>IFERROR(IF('ŞİKAYET KAYIT'!P134="Kapatıldı",'ŞİKAYET KAYIT'!Q134,""),"")</f>
        <v/>
      </c>
      <c r="M134" s="11" t="str">
        <f>IFERROR(IF('ŞİKAYET KAYIT'!P134="Kapatıldı",'ŞİKAYET KAYIT'!R134,""),"")</f>
        <v/>
      </c>
      <c r="N134" s="11"/>
    </row>
    <row r="135" spans="1:14" ht="15" customHeight="1" x14ac:dyDescent="0.3">
      <c r="A135" s="26" t="str">
        <f>IFERROR(IF('ŞİKAYET KAYIT'!P135="Kapatıldı",'ŞİKAYET KAYIT'!A135,""),"")</f>
        <v/>
      </c>
      <c r="B135" s="8" t="str">
        <f>IFERROR(IF('ŞİKAYET KAYIT'!P135="Kapatıldı",'ŞİKAYET KAYIT'!B135,""),"")</f>
        <v/>
      </c>
      <c r="C135" s="26" t="str">
        <f>IFERROR(IF('ŞİKAYET KAYIT'!P135="Kapatıldı",'ŞİKAYET KAYIT'!D135,""),"")</f>
        <v/>
      </c>
      <c r="D135" s="26" t="str">
        <f>IFERROR(IF('ŞİKAYET KAYIT'!P135="Kapatıldı",'ŞİKAYET KAYIT'!F135,""),"")</f>
        <v/>
      </c>
      <c r="E135" s="26" t="str">
        <f>IFERROR(IF('ŞİKAYET KAYIT'!P135="Kapatıldı",'ŞİKAYET KAYIT'!H135,""),"")</f>
        <v/>
      </c>
      <c r="F135" s="26" t="str">
        <f>IFERROR(IF('ŞİKAYET KAYIT'!P135="Kapatıldı",'ŞİKAYET KAYIT'!J135,""),"")</f>
        <v/>
      </c>
      <c r="G135" s="26" t="str">
        <f>IFERROR(IF('ŞİKAYET KAYIT'!P135="Kapatıldı",'ŞİKAYET KAYIT'!K135,""),"")</f>
        <v/>
      </c>
      <c r="H135" s="26" t="str">
        <f>IFERROR(IF('ŞİKAYET KAYIT'!P135="Kapatıldı",'ŞİKAYET KAYIT'!L135,""),"")</f>
        <v/>
      </c>
      <c r="I135" s="26" t="str">
        <f>IFERROR(IF('ŞİKAYET KAYIT'!P135="Kapatıldı",'ŞİKAYET KAYIT'!M135,""),"")</f>
        <v/>
      </c>
      <c r="J135" s="26" t="str">
        <f>IFERROR(IF('ŞİKAYET KAYIT'!P135="Kapatıldı",'ŞİKAYET KAYIT'!N135,""),"")</f>
        <v/>
      </c>
      <c r="K135" s="26" t="str">
        <f>IFERROR(IF('ŞİKAYET KAYIT'!P135="Kapatıldı",'ŞİKAYET KAYIT'!O135,""),"")</f>
        <v/>
      </c>
      <c r="L135" s="8" t="str">
        <f>IFERROR(IF('ŞİKAYET KAYIT'!P135="Kapatıldı",'ŞİKAYET KAYIT'!Q135,""),"")</f>
        <v/>
      </c>
      <c r="M135" s="26" t="str">
        <f>IFERROR(IF('ŞİKAYET KAYIT'!P135="Kapatıldı",'ŞİKAYET KAYIT'!R135,""),"")</f>
        <v/>
      </c>
      <c r="N135" s="26"/>
    </row>
    <row r="136" spans="1:14" ht="15" customHeight="1" x14ac:dyDescent="0.3">
      <c r="A136" s="11" t="str">
        <f>IFERROR(IF('ŞİKAYET KAYIT'!P136="Kapatıldı",'ŞİKAYET KAYIT'!A136,""),"")</f>
        <v/>
      </c>
      <c r="B136" s="12" t="str">
        <f>IFERROR(IF('ŞİKAYET KAYIT'!P136="Kapatıldı",'ŞİKAYET KAYIT'!B136,""),"")</f>
        <v/>
      </c>
      <c r="C136" s="11" t="str">
        <f>IFERROR(IF('ŞİKAYET KAYIT'!P136="Kapatıldı",'ŞİKAYET KAYIT'!D136,""),"")</f>
        <v/>
      </c>
      <c r="D136" s="11" t="str">
        <f>IFERROR(IF('ŞİKAYET KAYIT'!P136="Kapatıldı",'ŞİKAYET KAYIT'!F136,""),"")</f>
        <v/>
      </c>
      <c r="E136" s="11" t="str">
        <f>IFERROR(IF('ŞİKAYET KAYIT'!P136="Kapatıldı",'ŞİKAYET KAYIT'!H136,""),"")</f>
        <v/>
      </c>
      <c r="F136" s="11" t="str">
        <f>IFERROR(IF('ŞİKAYET KAYIT'!P136="Kapatıldı",'ŞİKAYET KAYIT'!J136,""),"")</f>
        <v/>
      </c>
      <c r="G136" s="11" t="str">
        <f>IFERROR(IF('ŞİKAYET KAYIT'!P136="Kapatıldı",'ŞİKAYET KAYIT'!K136,""),"")</f>
        <v/>
      </c>
      <c r="H136" s="11" t="str">
        <f>IFERROR(IF('ŞİKAYET KAYIT'!P136="Kapatıldı",'ŞİKAYET KAYIT'!L136,""),"")</f>
        <v/>
      </c>
      <c r="I136" s="11" t="str">
        <f>IFERROR(IF('ŞİKAYET KAYIT'!P136="Kapatıldı",'ŞİKAYET KAYIT'!M136,""),"")</f>
        <v/>
      </c>
      <c r="J136" s="11" t="str">
        <f>IFERROR(IF('ŞİKAYET KAYIT'!P136="Kapatıldı",'ŞİKAYET KAYIT'!N136,""),"")</f>
        <v/>
      </c>
      <c r="K136" s="11" t="str">
        <f>IFERROR(IF('ŞİKAYET KAYIT'!P136="Kapatıldı",'ŞİKAYET KAYIT'!O136,""),"")</f>
        <v/>
      </c>
      <c r="L136" s="12" t="str">
        <f>IFERROR(IF('ŞİKAYET KAYIT'!P136="Kapatıldı",'ŞİKAYET KAYIT'!Q136,""),"")</f>
        <v/>
      </c>
      <c r="M136" s="11" t="str">
        <f>IFERROR(IF('ŞİKAYET KAYIT'!P136="Kapatıldı",'ŞİKAYET KAYIT'!R136,""),"")</f>
        <v/>
      </c>
      <c r="N136" s="11"/>
    </row>
    <row r="137" spans="1:14" ht="15" customHeight="1" x14ac:dyDescent="0.3">
      <c r="A137" s="26" t="str">
        <f>IFERROR(IF('ŞİKAYET KAYIT'!P137="Kapatıldı",'ŞİKAYET KAYIT'!A137,""),"")</f>
        <v/>
      </c>
      <c r="B137" s="8" t="str">
        <f>IFERROR(IF('ŞİKAYET KAYIT'!P137="Kapatıldı",'ŞİKAYET KAYIT'!B137,""),"")</f>
        <v/>
      </c>
      <c r="C137" s="26" t="str">
        <f>IFERROR(IF('ŞİKAYET KAYIT'!P137="Kapatıldı",'ŞİKAYET KAYIT'!D137,""),"")</f>
        <v/>
      </c>
      <c r="D137" s="26" t="str">
        <f>IFERROR(IF('ŞİKAYET KAYIT'!P137="Kapatıldı",'ŞİKAYET KAYIT'!F137,""),"")</f>
        <v/>
      </c>
      <c r="E137" s="26" t="str">
        <f>IFERROR(IF('ŞİKAYET KAYIT'!P137="Kapatıldı",'ŞİKAYET KAYIT'!H137,""),"")</f>
        <v/>
      </c>
      <c r="F137" s="26" t="str">
        <f>IFERROR(IF('ŞİKAYET KAYIT'!P137="Kapatıldı",'ŞİKAYET KAYIT'!J137,""),"")</f>
        <v/>
      </c>
      <c r="G137" s="26" t="str">
        <f>IFERROR(IF('ŞİKAYET KAYIT'!P137="Kapatıldı",'ŞİKAYET KAYIT'!K137,""),"")</f>
        <v/>
      </c>
      <c r="H137" s="26" t="str">
        <f>IFERROR(IF('ŞİKAYET KAYIT'!P137="Kapatıldı",'ŞİKAYET KAYIT'!L137,""),"")</f>
        <v/>
      </c>
      <c r="I137" s="26" t="str">
        <f>IFERROR(IF('ŞİKAYET KAYIT'!P137="Kapatıldı",'ŞİKAYET KAYIT'!M137,""),"")</f>
        <v/>
      </c>
      <c r="J137" s="26" t="str">
        <f>IFERROR(IF('ŞİKAYET KAYIT'!P137="Kapatıldı",'ŞİKAYET KAYIT'!N137,""),"")</f>
        <v/>
      </c>
      <c r="K137" s="26" t="str">
        <f>IFERROR(IF('ŞİKAYET KAYIT'!P137="Kapatıldı",'ŞİKAYET KAYIT'!O137,""),"")</f>
        <v/>
      </c>
      <c r="L137" s="8" t="str">
        <f>IFERROR(IF('ŞİKAYET KAYIT'!P137="Kapatıldı",'ŞİKAYET KAYIT'!Q137,""),"")</f>
        <v/>
      </c>
      <c r="M137" s="26" t="str">
        <f>IFERROR(IF('ŞİKAYET KAYIT'!P137="Kapatıldı",'ŞİKAYET KAYIT'!R137,""),"")</f>
        <v/>
      </c>
      <c r="N137" s="26"/>
    </row>
    <row r="138" spans="1:14" ht="15" customHeight="1" x14ac:dyDescent="0.3">
      <c r="A138" s="11" t="str">
        <f>IFERROR(IF('ŞİKAYET KAYIT'!P138="Kapatıldı",'ŞİKAYET KAYIT'!A138,""),"")</f>
        <v/>
      </c>
      <c r="B138" s="12" t="str">
        <f>IFERROR(IF('ŞİKAYET KAYIT'!P138="Kapatıldı",'ŞİKAYET KAYIT'!B138,""),"")</f>
        <v/>
      </c>
      <c r="C138" s="11" t="str">
        <f>IFERROR(IF('ŞİKAYET KAYIT'!P138="Kapatıldı",'ŞİKAYET KAYIT'!D138,""),"")</f>
        <v/>
      </c>
      <c r="D138" s="11" t="str">
        <f>IFERROR(IF('ŞİKAYET KAYIT'!P138="Kapatıldı",'ŞİKAYET KAYIT'!F138,""),"")</f>
        <v/>
      </c>
      <c r="E138" s="11" t="str">
        <f>IFERROR(IF('ŞİKAYET KAYIT'!P138="Kapatıldı",'ŞİKAYET KAYIT'!H138,""),"")</f>
        <v/>
      </c>
      <c r="F138" s="11" t="str">
        <f>IFERROR(IF('ŞİKAYET KAYIT'!P138="Kapatıldı",'ŞİKAYET KAYIT'!J138,""),"")</f>
        <v/>
      </c>
      <c r="G138" s="11" t="str">
        <f>IFERROR(IF('ŞİKAYET KAYIT'!P138="Kapatıldı",'ŞİKAYET KAYIT'!K138,""),"")</f>
        <v/>
      </c>
      <c r="H138" s="11" t="str">
        <f>IFERROR(IF('ŞİKAYET KAYIT'!P138="Kapatıldı",'ŞİKAYET KAYIT'!L138,""),"")</f>
        <v/>
      </c>
      <c r="I138" s="11" t="str">
        <f>IFERROR(IF('ŞİKAYET KAYIT'!P138="Kapatıldı",'ŞİKAYET KAYIT'!M138,""),"")</f>
        <v/>
      </c>
      <c r="J138" s="11" t="str">
        <f>IFERROR(IF('ŞİKAYET KAYIT'!P138="Kapatıldı",'ŞİKAYET KAYIT'!N138,""),"")</f>
        <v/>
      </c>
      <c r="K138" s="11" t="str">
        <f>IFERROR(IF('ŞİKAYET KAYIT'!P138="Kapatıldı",'ŞİKAYET KAYIT'!O138,""),"")</f>
        <v/>
      </c>
      <c r="L138" s="12" t="str">
        <f>IFERROR(IF('ŞİKAYET KAYIT'!P138="Kapatıldı",'ŞİKAYET KAYIT'!Q138,""),"")</f>
        <v/>
      </c>
      <c r="M138" s="11" t="str">
        <f>IFERROR(IF('ŞİKAYET KAYIT'!P138="Kapatıldı",'ŞİKAYET KAYIT'!R138,""),"")</f>
        <v/>
      </c>
      <c r="N138" s="11"/>
    </row>
    <row r="139" spans="1:14" ht="15" customHeight="1" x14ac:dyDescent="0.3">
      <c r="A139" s="26" t="str">
        <f>IFERROR(IF('ŞİKAYET KAYIT'!P139="Kapatıldı",'ŞİKAYET KAYIT'!A139,""),"")</f>
        <v/>
      </c>
      <c r="B139" s="8" t="str">
        <f>IFERROR(IF('ŞİKAYET KAYIT'!P139="Kapatıldı",'ŞİKAYET KAYIT'!B139,""),"")</f>
        <v/>
      </c>
      <c r="C139" s="26" t="str">
        <f>IFERROR(IF('ŞİKAYET KAYIT'!P139="Kapatıldı",'ŞİKAYET KAYIT'!D139,""),"")</f>
        <v/>
      </c>
      <c r="D139" s="26" t="str">
        <f>IFERROR(IF('ŞİKAYET KAYIT'!P139="Kapatıldı",'ŞİKAYET KAYIT'!F139,""),"")</f>
        <v/>
      </c>
      <c r="E139" s="26" t="str">
        <f>IFERROR(IF('ŞİKAYET KAYIT'!P139="Kapatıldı",'ŞİKAYET KAYIT'!H139,""),"")</f>
        <v/>
      </c>
      <c r="F139" s="26" t="str">
        <f>IFERROR(IF('ŞİKAYET KAYIT'!P139="Kapatıldı",'ŞİKAYET KAYIT'!J139,""),"")</f>
        <v/>
      </c>
      <c r="G139" s="26" t="str">
        <f>IFERROR(IF('ŞİKAYET KAYIT'!P139="Kapatıldı",'ŞİKAYET KAYIT'!K139,""),"")</f>
        <v/>
      </c>
      <c r="H139" s="26" t="str">
        <f>IFERROR(IF('ŞİKAYET KAYIT'!P139="Kapatıldı",'ŞİKAYET KAYIT'!L139,""),"")</f>
        <v/>
      </c>
      <c r="I139" s="26" t="str">
        <f>IFERROR(IF('ŞİKAYET KAYIT'!P139="Kapatıldı",'ŞİKAYET KAYIT'!M139,""),"")</f>
        <v/>
      </c>
      <c r="J139" s="26" t="str">
        <f>IFERROR(IF('ŞİKAYET KAYIT'!P139="Kapatıldı",'ŞİKAYET KAYIT'!N139,""),"")</f>
        <v/>
      </c>
      <c r="K139" s="26" t="str">
        <f>IFERROR(IF('ŞİKAYET KAYIT'!P139="Kapatıldı",'ŞİKAYET KAYIT'!O139,""),"")</f>
        <v/>
      </c>
      <c r="L139" s="8" t="str">
        <f>IFERROR(IF('ŞİKAYET KAYIT'!P139="Kapatıldı",'ŞİKAYET KAYIT'!Q139,""),"")</f>
        <v/>
      </c>
      <c r="M139" s="26" t="str">
        <f>IFERROR(IF('ŞİKAYET KAYIT'!P139="Kapatıldı",'ŞİKAYET KAYIT'!R139,""),"")</f>
        <v/>
      </c>
      <c r="N139" s="26"/>
    </row>
    <row r="140" spans="1:14" ht="15" customHeight="1" x14ac:dyDescent="0.3">
      <c r="A140" s="11" t="str">
        <f>IFERROR(IF('ŞİKAYET KAYIT'!P140="Kapatıldı",'ŞİKAYET KAYIT'!A140,""),"")</f>
        <v/>
      </c>
      <c r="B140" s="12" t="str">
        <f>IFERROR(IF('ŞİKAYET KAYIT'!P140="Kapatıldı",'ŞİKAYET KAYIT'!B140,""),"")</f>
        <v/>
      </c>
      <c r="C140" s="11" t="str">
        <f>IFERROR(IF('ŞİKAYET KAYIT'!P140="Kapatıldı",'ŞİKAYET KAYIT'!D140,""),"")</f>
        <v/>
      </c>
      <c r="D140" s="11" t="str">
        <f>IFERROR(IF('ŞİKAYET KAYIT'!P140="Kapatıldı",'ŞİKAYET KAYIT'!F140,""),"")</f>
        <v/>
      </c>
      <c r="E140" s="11" t="str">
        <f>IFERROR(IF('ŞİKAYET KAYIT'!P140="Kapatıldı",'ŞİKAYET KAYIT'!H140,""),"")</f>
        <v/>
      </c>
      <c r="F140" s="11" t="str">
        <f>IFERROR(IF('ŞİKAYET KAYIT'!P140="Kapatıldı",'ŞİKAYET KAYIT'!J140,""),"")</f>
        <v/>
      </c>
      <c r="G140" s="11" t="str">
        <f>IFERROR(IF('ŞİKAYET KAYIT'!P140="Kapatıldı",'ŞİKAYET KAYIT'!K140,""),"")</f>
        <v/>
      </c>
      <c r="H140" s="11" t="str">
        <f>IFERROR(IF('ŞİKAYET KAYIT'!P140="Kapatıldı",'ŞİKAYET KAYIT'!L140,""),"")</f>
        <v/>
      </c>
      <c r="I140" s="11" t="str">
        <f>IFERROR(IF('ŞİKAYET KAYIT'!P140="Kapatıldı",'ŞİKAYET KAYIT'!M140,""),"")</f>
        <v/>
      </c>
      <c r="J140" s="11" t="str">
        <f>IFERROR(IF('ŞİKAYET KAYIT'!P140="Kapatıldı",'ŞİKAYET KAYIT'!N140,""),"")</f>
        <v/>
      </c>
      <c r="K140" s="11" t="str">
        <f>IFERROR(IF('ŞİKAYET KAYIT'!P140="Kapatıldı",'ŞİKAYET KAYIT'!O140,""),"")</f>
        <v/>
      </c>
      <c r="L140" s="12" t="str">
        <f>IFERROR(IF('ŞİKAYET KAYIT'!P140="Kapatıldı",'ŞİKAYET KAYIT'!Q140,""),"")</f>
        <v/>
      </c>
      <c r="M140" s="11" t="str">
        <f>IFERROR(IF('ŞİKAYET KAYIT'!P140="Kapatıldı",'ŞİKAYET KAYIT'!R140,""),"")</f>
        <v/>
      </c>
      <c r="N140" s="11"/>
    </row>
    <row r="141" spans="1:14" ht="15" customHeight="1" x14ac:dyDescent="0.3">
      <c r="A141" s="26" t="str">
        <f>IFERROR(IF('ŞİKAYET KAYIT'!P141="Kapatıldı",'ŞİKAYET KAYIT'!A141,""),"")</f>
        <v/>
      </c>
      <c r="B141" s="8" t="str">
        <f>IFERROR(IF('ŞİKAYET KAYIT'!P141="Kapatıldı",'ŞİKAYET KAYIT'!B141,""),"")</f>
        <v/>
      </c>
      <c r="C141" s="26" t="str">
        <f>IFERROR(IF('ŞİKAYET KAYIT'!P141="Kapatıldı",'ŞİKAYET KAYIT'!D141,""),"")</f>
        <v/>
      </c>
      <c r="D141" s="26" t="str">
        <f>IFERROR(IF('ŞİKAYET KAYIT'!P141="Kapatıldı",'ŞİKAYET KAYIT'!F141,""),"")</f>
        <v/>
      </c>
      <c r="E141" s="26" t="str">
        <f>IFERROR(IF('ŞİKAYET KAYIT'!P141="Kapatıldı",'ŞİKAYET KAYIT'!H141,""),"")</f>
        <v/>
      </c>
      <c r="F141" s="26" t="str">
        <f>IFERROR(IF('ŞİKAYET KAYIT'!P141="Kapatıldı",'ŞİKAYET KAYIT'!J141,""),"")</f>
        <v/>
      </c>
      <c r="G141" s="26" t="str">
        <f>IFERROR(IF('ŞİKAYET KAYIT'!P141="Kapatıldı",'ŞİKAYET KAYIT'!K141,""),"")</f>
        <v/>
      </c>
      <c r="H141" s="26" t="str">
        <f>IFERROR(IF('ŞİKAYET KAYIT'!P141="Kapatıldı",'ŞİKAYET KAYIT'!L141,""),"")</f>
        <v/>
      </c>
      <c r="I141" s="26" t="str">
        <f>IFERROR(IF('ŞİKAYET KAYIT'!P141="Kapatıldı",'ŞİKAYET KAYIT'!M141,""),"")</f>
        <v/>
      </c>
      <c r="J141" s="26" t="str">
        <f>IFERROR(IF('ŞİKAYET KAYIT'!P141="Kapatıldı",'ŞİKAYET KAYIT'!N141,""),"")</f>
        <v/>
      </c>
      <c r="K141" s="26" t="str">
        <f>IFERROR(IF('ŞİKAYET KAYIT'!P141="Kapatıldı",'ŞİKAYET KAYIT'!O141,""),"")</f>
        <v/>
      </c>
      <c r="L141" s="8" t="str">
        <f>IFERROR(IF('ŞİKAYET KAYIT'!P141="Kapatıldı",'ŞİKAYET KAYIT'!Q141,""),"")</f>
        <v/>
      </c>
      <c r="M141" s="26" t="str">
        <f>IFERROR(IF('ŞİKAYET KAYIT'!P141="Kapatıldı",'ŞİKAYET KAYIT'!R141,""),"")</f>
        <v/>
      </c>
      <c r="N141" s="26"/>
    </row>
    <row r="142" spans="1:14" ht="15" customHeight="1" x14ac:dyDescent="0.3">
      <c r="A142" s="11" t="str">
        <f>IFERROR(IF('ŞİKAYET KAYIT'!P142="Kapatıldı",'ŞİKAYET KAYIT'!A142,""),"")</f>
        <v/>
      </c>
      <c r="B142" s="12" t="str">
        <f>IFERROR(IF('ŞİKAYET KAYIT'!P142="Kapatıldı",'ŞİKAYET KAYIT'!B142,""),"")</f>
        <v/>
      </c>
      <c r="C142" s="11" t="str">
        <f>IFERROR(IF('ŞİKAYET KAYIT'!P142="Kapatıldı",'ŞİKAYET KAYIT'!D142,""),"")</f>
        <v/>
      </c>
      <c r="D142" s="11" t="str">
        <f>IFERROR(IF('ŞİKAYET KAYIT'!P142="Kapatıldı",'ŞİKAYET KAYIT'!F142,""),"")</f>
        <v/>
      </c>
      <c r="E142" s="11" t="str">
        <f>IFERROR(IF('ŞİKAYET KAYIT'!P142="Kapatıldı",'ŞİKAYET KAYIT'!H142,""),"")</f>
        <v/>
      </c>
      <c r="F142" s="11" t="str">
        <f>IFERROR(IF('ŞİKAYET KAYIT'!P142="Kapatıldı",'ŞİKAYET KAYIT'!J142,""),"")</f>
        <v/>
      </c>
      <c r="G142" s="11" t="str">
        <f>IFERROR(IF('ŞİKAYET KAYIT'!P142="Kapatıldı",'ŞİKAYET KAYIT'!K142,""),"")</f>
        <v/>
      </c>
      <c r="H142" s="11" t="str">
        <f>IFERROR(IF('ŞİKAYET KAYIT'!P142="Kapatıldı",'ŞİKAYET KAYIT'!L142,""),"")</f>
        <v/>
      </c>
      <c r="I142" s="11" t="str">
        <f>IFERROR(IF('ŞİKAYET KAYIT'!P142="Kapatıldı",'ŞİKAYET KAYIT'!M142,""),"")</f>
        <v/>
      </c>
      <c r="J142" s="11" t="str">
        <f>IFERROR(IF('ŞİKAYET KAYIT'!P142="Kapatıldı",'ŞİKAYET KAYIT'!N142,""),"")</f>
        <v/>
      </c>
      <c r="K142" s="11" t="str">
        <f>IFERROR(IF('ŞİKAYET KAYIT'!P142="Kapatıldı",'ŞİKAYET KAYIT'!O142,""),"")</f>
        <v/>
      </c>
      <c r="L142" s="12" t="str">
        <f>IFERROR(IF('ŞİKAYET KAYIT'!P142="Kapatıldı",'ŞİKAYET KAYIT'!Q142,""),"")</f>
        <v/>
      </c>
      <c r="M142" s="11" t="str">
        <f>IFERROR(IF('ŞİKAYET KAYIT'!P142="Kapatıldı",'ŞİKAYET KAYIT'!R142,""),"")</f>
        <v/>
      </c>
      <c r="N142" s="11"/>
    </row>
    <row r="143" spans="1:14" ht="15" customHeight="1" x14ac:dyDescent="0.3">
      <c r="A143" s="26" t="str">
        <f>IFERROR(IF('ŞİKAYET KAYIT'!P143="Kapatıldı",'ŞİKAYET KAYIT'!A143,""),"")</f>
        <v/>
      </c>
      <c r="B143" s="8" t="str">
        <f>IFERROR(IF('ŞİKAYET KAYIT'!P143="Kapatıldı",'ŞİKAYET KAYIT'!B143,""),"")</f>
        <v/>
      </c>
      <c r="C143" s="26" t="str">
        <f>IFERROR(IF('ŞİKAYET KAYIT'!P143="Kapatıldı",'ŞİKAYET KAYIT'!D143,""),"")</f>
        <v/>
      </c>
      <c r="D143" s="26" t="str">
        <f>IFERROR(IF('ŞİKAYET KAYIT'!P143="Kapatıldı",'ŞİKAYET KAYIT'!F143,""),"")</f>
        <v/>
      </c>
      <c r="E143" s="26" t="str">
        <f>IFERROR(IF('ŞİKAYET KAYIT'!P143="Kapatıldı",'ŞİKAYET KAYIT'!H143,""),"")</f>
        <v/>
      </c>
      <c r="F143" s="26" t="str">
        <f>IFERROR(IF('ŞİKAYET KAYIT'!P143="Kapatıldı",'ŞİKAYET KAYIT'!J143,""),"")</f>
        <v/>
      </c>
      <c r="G143" s="26" t="str">
        <f>IFERROR(IF('ŞİKAYET KAYIT'!P143="Kapatıldı",'ŞİKAYET KAYIT'!K143,""),"")</f>
        <v/>
      </c>
      <c r="H143" s="26" t="str">
        <f>IFERROR(IF('ŞİKAYET KAYIT'!P143="Kapatıldı",'ŞİKAYET KAYIT'!L143,""),"")</f>
        <v/>
      </c>
      <c r="I143" s="26" t="str">
        <f>IFERROR(IF('ŞİKAYET KAYIT'!P143="Kapatıldı",'ŞİKAYET KAYIT'!M143,""),"")</f>
        <v/>
      </c>
      <c r="J143" s="26" t="str">
        <f>IFERROR(IF('ŞİKAYET KAYIT'!P143="Kapatıldı",'ŞİKAYET KAYIT'!N143,""),"")</f>
        <v/>
      </c>
      <c r="K143" s="26" t="str">
        <f>IFERROR(IF('ŞİKAYET KAYIT'!P143="Kapatıldı",'ŞİKAYET KAYIT'!O143,""),"")</f>
        <v/>
      </c>
      <c r="L143" s="8" t="str">
        <f>IFERROR(IF('ŞİKAYET KAYIT'!P143="Kapatıldı",'ŞİKAYET KAYIT'!Q143,""),"")</f>
        <v/>
      </c>
      <c r="M143" s="26" t="str">
        <f>IFERROR(IF('ŞİKAYET KAYIT'!P143="Kapatıldı",'ŞİKAYET KAYIT'!R143,""),"")</f>
        <v/>
      </c>
      <c r="N143" s="26"/>
    </row>
    <row r="144" spans="1:14" ht="15" customHeight="1" x14ac:dyDescent="0.3">
      <c r="A144" s="11" t="str">
        <f>IFERROR(IF('ŞİKAYET KAYIT'!P144="Kapatıldı",'ŞİKAYET KAYIT'!A144,""),"")</f>
        <v/>
      </c>
      <c r="B144" s="12" t="str">
        <f>IFERROR(IF('ŞİKAYET KAYIT'!P144="Kapatıldı",'ŞİKAYET KAYIT'!B144,""),"")</f>
        <v/>
      </c>
      <c r="C144" s="11" t="str">
        <f>IFERROR(IF('ŞİKAYET KAYIT'!P144="Kapatıldı",'ŞİKAYET KAYIT'!D144,""),"")</f>
        <v/>
      </c>
      <c r="D144" s="11" t="str">
        <f>IFERROR(IF('ŞİKAYET KAYIT'!P144="Kapatıldı",'ŞİKAYET KAYIT'!F144,""),"")</f>
        <v/>
      </c>
      <c r="E144" s="11" t="str">
        <f>IFERROR(IF('ŞİKAYET KAYIT'!P144="Kapatıldı",'ŞİKAYET KAYIT'!H144,""),"")</f>
        <v/>
      </c>
      <c r="F144" s="11" t="str">
        <f>IFERROR(IF('ŞİKAYET KAYIT'!P144="Kapatıldı",'ŞİKAYET KAYIT'!J144,""),"")</f>
        <v/>
      </c>
      <c r="G144" s="11" t="str">
        <f>IFERROR(IF('ŞİKAYET KAYIT'!P144="Kapatıldı",'ŞİKAYET KAYIT'!K144,""),"")</f>
        <v/>
      </c>
      <c r="H144" s="11" t="str">
        <f>IFERROR(IF('ŞİKAYET KAYIT'!P144="Kapatıldı",'ŞİKAYET KAYIT'!L144,""),"")</f>
        <v/>
      </c>
      <c r="I144" s="11" t="str">
        <f>IFERROR(IF('ŞİKAYET KAYIT'!P144="Kapatıldı",'ŞİKAYET KAYIT'!M144,""),"")</f>
        <v/>
      </c>
      <c r="J144" s="11" t="str">
        <f>IFERROR(IF('ŞİKAYET KAYIT'!P144="Kapatıldı",'ŞİKAYET KAYIT'!N144,""),"")</f>
        <v/>
      </c>
      <c r="K144" s="11" t="str">
        <f>IFERROR(IF('ŞİKAYET KAYIT'!P144="Kapatıldı",'ŞİKAYET KAYIT'!O144,""),"")</f>
        <v/>
      </c>
      <c r="L144" s="12" t="str">
        <f>IFERROR(IF('ŞİKAYET KAYIT'!P144="Kapatıldı",'ŞİKAYET KAYIT'!Q144,""),"")</f>
        <v/>
      </c>
      <c r="M144" s="11" t="str">
        <f>IFERROR(IF('ŞİKAYET KAYIT'!P144="Kapatıldı",'ŞİKAYET KAYIT'!R144,""),"")</f>
        <v/>
      </c>
      <c r="N144" s="11"/>
    </row>
    <row r="145" spans="1:14" ht="15" customHeight="1" x14ac:dyDescent="0.3">
      <c r="A145" s="26" t="str">
        <f>IFERROR(IF('ŞİKAYET KAYIT'!P145="Kapatıldı",'ŞİKAYET KAYIT'!A145,""),"")</f>
        <v/>
      </c>
      <c r="B145" s="8" t="str">
        <f>IFERROR(IF('ŞİKAYET KAYIT'!P145="Kapatıldı",'ŞİKAYET KAYIT'!B145,""),"")</f>
        <v/>
      </c>
      <c r="C145" s="26" t="str">
        <f>IFERROR(IF('ŞİKAYET KAYIT'!P145="Kapatıldı",'ŞİKAYET KAYIT'!D145,""),"")</f>
        <v/>
      </c>
      <c r="D145" s="26" t="str">
        <f>IFERROR(IF('ŞİKAYET KAYIT'!P145="Kapatıldı",'ŞİKAYET KAYIT'!F145,""),"")</f>
        <v/>
      </c>
      <c r="E145" s="26" t="str">
        <f>IFERROR(IF('ŞİKAYET KAYIT'!P145="Kapatıldı",'ŞİKAYET KAYIT'!H145,""),"")</f>
        <v/>
      </c>
      <c r="F145" s="26" t="str">
        <f>IFERROR(IF('ŞİKAYET KAYIT'!P145="Kapatıldı",'ŞİKAYET KAYIT'!J145,""),"")</f>
        <v/>
      </c>
      <c r="G145" s="26" t="str">
        <f>IFERROR(IF('ŞİKAYET KAYIT'!P145="Kapatıldı",'ŞİKAYET KAYIT'!K145,""),"")</f>
        <v/>
      </c>
      <c r="H145" s="26" t="str">
        <f>IFERROR(IF('ŞİKAYET KAYIT'!P145="Kapatıldı",'ŞİKAYET KAYIT'!L145,""),"")</f>
        <v/>
      </c>
      <c r="I145" s="26" t="str">
        <f>IFERROR(IF('ŞİKAYET KAYIT'!P145="Kapatıldı",'ŞİKAYET KAYIT'!M145,""),"")</f>
        <v/>
      </c>
      <c r="J145" s="26" t="str">
        <f>IFERROR(IF('ŞİKAYET KAYIT'!P145="Kapatıldı",'ŞİKAYET KAYIT'!N145,""),"")</f>
        <v/>
      </c>
      <c r="K145" s="26" t="str">
        <f>IFERROR(IF('ŞİKAYET KAYIT'!P145="Kapatıldı",'ŞİKAYET KAYIT'!O145,""),"")</f>
        <v/>
      </c>
      <c r="L145" s="8" t="str">
        <f>IFERROR(IF('ŞİKAYET KAYIT'!P145="Kapatıldı",'ŞİKAYET KAYIT'!Q145,""),"")</f>
        <v/>
      </c>
      <c r="M145" s="26" t="str">
        <f>IFERROR(IF('ŞİKAYET KAYIT'!P145="Kapatıldı",'ŞİKAYET KAYIT'!R145,""),"")</f>
        <v/>
      </c>
      <c r="N145" s="26"/>
    </row>
    <row r="146" spans="1:14" ht="15" customHeight="1" x14ac:dyDescent="0.3">
      <c r="A146" s="11" t="str">
        <f>IFERROR(IF('ŞİKAYET KAYIT'!P146="Kapatıldı",'ŞİKAYET KAYIT'!A146,""),"")</f>
        <v/>
      </c>
      <c r="B146" s="12" t="str">
        <f>IFERROR(IF('ŞİKAYET KAYIT'!P146="Kapatıldı",'ŞİKAYET KAYIT'!B146,""),"")</f>
        <v/>
      </c>
      <c r="C146" s="11" t="str">
        <f>IFERROR(IF('ŞİKAYET KAYIT'!P146="Kapatıldı",'ŞİKAYET KAYIT'!D146,""),"")</f>
        <v/>
      </c>
      <c r="D146" s="11" t="str">
        <f>IFERROR(IF('ŞİKAYET KAYIT'!P146="Kapatıldı",'ŞİKAYET KAYIT'!F146,""),"")</f>
        <v/>
      </c>
      <c r="E146" s="11" t="str">
        <f>IFERROR(IF('ŞİKAYET KAYIT'!P146="Kapatıldı",'ŞİKAYET KAYIT'!H146,""),"")</f>
        <v/>
      </c>
      <c r="F146" s="11" t="str">
        <f>IFERROR(IF('ŞİKAYET KAYIT'!P146="Kapatıldı",'ŞİKAYET KAYIT'!J146,""),"")</f>
        <v/>
      </c>
      <c r="G146" s="11" t="str">
        <f>IFERROR(IF('ŞİKAYET KAYIT'!P146="Kapatıldı",'ŞİKAYET KAYIT'!K146,""),"")</f>
        <v/>
      </c>
      <c r="H146" s="11" t="str">
        <f>IFERROR(IF('ŞİKAYET KAYIT'!P146="Kapatıldı",'ŞİKAYET KAYIT'!L146,""),"")</f>
        <v/>
      </c>
      <c r="I146" s="11" t="str">
        <f>IFERROR(IF('ŞİKAYET KAYIT'!P146="Kapatıldı",'ŞİKAYET KAYIT'!M146,""),"")</f>
        <v/>
      </c>
      <c r="J146" s="11" t="str">
        <f>IFERROR(IF('ŞİKAYET KAYIT'!P146="Kapatıldı",'ŞİKAYET KAYIT'!N146,""),"")</f>
        <v/>
      </c>
      <c r="K146" s="11" t="str">
        <f>IFERROR(IF('ŞİKAYET KAYIT'!P146="Kapatıldı",'ŞİKAYET KAYIT'!O146,""),"")</f>
        <v/>
      </c>
      <c r="L146" s="12" t="str">
        <f>IFERROR(IF('ŞİKAYET KAYIT'!P146="Kapatıldı",'ŞİKAYET KAYIT'!Q146,""),"")</f>
        <v/>
      </c>
      <c r="M146" s="11" t="str">
        <f>IFERROR(IF('ŞİKAYET KAYIT'!P146="Kapatıldı",'ŞİKAYET KAYIT'!R146,""),"")</f>
        <v/>
      </c>
      <c r="N146" s="11"/>
    </row>
    <row r="147" spans="1:14" ht="15" customHeight="1" x14ac:dyDescent="0.3">
      <c r="A147" s="26" t="str">
        <f>IFERROR(IF('ŞİKAYET KAYIT'!P147="Kapatıldı",'ŞİKAYET KAYIT'!A147,""),"")</f>
        <v/>
      </c>
      <c r="B147" s="8" t="str">
        <f>IFERROR(IF('ŞİKAYET KAYIT'!P147="Kapatıldı",'ŞİKAYET KAYIT'!B147,""),"")</f>
        <v/>
      </c>
      <c r="C147" s="26" t="str">
        <f>IFERROR(IF('ŞİKAYET KAYIT'!P147="Kapatıldı",'ŞİKAYET KAYIT'!D147,""),"")</f>
        <v/>
      </c>
      <c r="D147" s="26" t="str">
        <f>IFERROR(IF('ŞİKAYET KAYIT'!P147="Kapatıldı",'ŞİKAYET KAYIT'!F147,""),"")</f>
        <v/>
      </c>
      <c r="E147" s="26" t="str">
        <f>IFERROR(IF('ŞİKAYET KAYIT'!P147="Kapatıldı",'ŞİKAYET KAYIT'!H147,""),"")</f>
        <v/>
      </c>
      <c r="F147" s="26" t="str">
        <f>IFERROR(IF('ŞİKAYET KAYIT'!P147="Kapatıldı",'ŞİKAYET KAYIT'!J147,""),"")</f>
        <v/>
      </c>
      <c r="G147" s="26" t="str">
        <f>IFERROR(IF('ŞİKAYET KAYIT'!P147="Kapatıldı",'ŞİKAYET KAYIT'!K147,""),"")</f>
        <v/>
      </c>
      <c r="H147" s="26" t="str">
        <f>IFERROR(IF('ŞİKAYET KAYIT'!P147="Kapatıldı",'ŞİKAYET KAYIT'!L147,""),"")</f>
        <v/>
      </c>
      <c r="I147" s="26" t="str">
        <f>IFERROR(IF('ŞİKAYET KAYIT'!P147="Kapatıldı",'ŞİKAYET KAYIT'!M147,""),"")</f>
        <v/>
      </c>
      <c r="J147" s="26" t="str">
        <f>IFERROR(IF('ŞİKAYET KAYIT'!P147="Kapatıldı",'ŞİKAYET KAYIT'!N147,""),"")</f>
        <v/>
      </c>
      <c r="K147" s="26" t="str">
        <f>IFERROR(IF('ŞİKAYET KAYIT'!P147="Kapatıldı",'ŞİKAYET KAYIT'!O147,""),"")</f>
        <v/>
      </c>
      <c r="L147" s="8" t="str">
        <f>IFERROR(IF('ŞİKAYET KAYIT'!P147="Kapatıldı",'ŞİKAYET KAYIT'!Q147,""),"")</f>
        <v/>
      </c>
      <c r="M147" s="26" t="str">
        <f>IFERROR(IF('ŞİKAYET KAYIT'!P147="Kapatıldı",'ŞİKAYET KAYIT'!R147,""),"")</f>
        <v/>
      </c>
      <c r="N147" s="26"/>
    </row>
    <row r="148" spans="1:14" ht="15" customHeight="1" x14ac:dyDescent="0.3">
      <c r="A148" s="11" t="str">
        <f>IFERROR(IF('ŞİKAYET KAYIT'!P148="Kapatıldı",'ŞİKAYET KAYIT'!A148,""),"")</f>
        <v/>
      </c>
      <c r="B148" s="12" t="str">
        <f>IFERROR(IF('ŞİKAYET KAYIT'!P148="Kapatıldı",'ŞİKAYET KAYIT'!B148,""),"")</f>
        <v/>
      </c>
      <c r="C148" s="11" t="str">
        <f>IFERROR(IF('ŞİKAYET KAYIT'!P148="Kapatıldı",'ŞİKAYET KAYIT'!D148,""),"")</f>
        <v/>
      </c>
      <c r="D148" s="11" t="str">
        <f>IFERROR(IF('ŞİKAYET KAYIT'!P148="Kapatıldı",'ŞİKAYET KAYIT'!F148,""),"")</f>
        <v/>
      </c>
      <c r="E148" s="11" t="str">
        <f>IFERROR(IF('ŞİKAYET KAYIT'!P148="Kapatıldı",'ŞİKAYET KAYIT'!H148,""),"")</f>
        <v/>
      </c>
      <c r="F148" s="11" t="str">
        <f>IFERROR(IF('ŞİKAYET KAYIT'!P148="Kapatıldı",'ŞİKAYET KAYIT'!J148,""),"")</f>
        <v/>
      </c>
      <c r="G148" s="11" t="str">
        <f>IFERROR(IF('ŞİKAYET KAYIT'!P148="Kapatıldı",'ŞİKAYET KAYIT'!K148,""),"")</f>
        <v/>
      </c>
      <c r="H148" s="11" t="str">
        <f>IFERROR(IF('ŞİKAYET KAYIT'!P148="Kapatıldı",'ŞİKAYET KAYIT'!L148,""),"")</f>
        <v/>
      </c>
      <c r="I148" s="11" t="str">
        <f>IFERROR(IF('ŞİKAYET KAYIT'!P148="Kapatıldı",'ŞİKAYET KAYIT'!M148,""),"")</f>
        <v/>
      </c>
      <c r="J148" s="11" t="str">
        <f>IFERROR(IF('ŞİKAYET KAYIT'!P148="Kapatıldı",'ŞİKAYET KAYIT'!N148,""),"")</f>
        <v/>
      </c>
      <c r="K148" s="11" t="str">
        <f>IFERROR(IF('ŞİKAYET KAYIT'!P148="Kapatıldı",'ŞİKAYET KAYIT'!O148,""),"")</f>
        <v/>
      </c>
      <c r="L148" s="12" t="str">
        <f>IFERROR(IF('ŞİKAYET KAYIT'!P148="Kapatıldı",'ŞİKAYET KAYIT'!Q148,""),"")</f>
        <v/>
      </c>
      <c r="M148" s="11" t="str">
        <f>IFERROR(IF('ŞİKAYET KAYIT'!P148="Kapatıldı",'ŞİKAYET KAYIT'!R148,""),"")</f>
        <v/>
      </c>
      <c r="N148" s="11"/>
    </row>
    <row r="149" spans="1:14" ht="15" customHeight="1" x14ac:dyDescent="0.3">
      <c r="A149" s="26" t="str">
        <f>IFERROR(IF('ŞİKAYET KAYIT'!P149="Kapatıldı",'ŞİKAYET KAYIT'!A149,""),"")</f>
        <v/>
      </c>
      <c r="B149" s="8" t="str">
        <f>IFERROR(IF('ŞİKAYET KAYIT'!P149="Kapatıldı",'ŞİKAYET KAYIT'!B149,""),"")</f>
        <v/>
      </c>
      <c r="C149" s="26" t="str">
        <f>IFERROR(IF('ŞİKAYET KAYIT'!P149="Kapatıldı",'ŞİKAYET KAYIT'!D149,""),"")</f>
        <v/>
      </c>
      <c r="D149" s="26" t="str">
        <f>IFERROR(IF('ŞİKAYET KAYIT'!P149="Kapatıldı",'ŞİKAYET KAYIT'!F149,""),"")</f>
        <v/>
      </c>
      <c r="E149" s="26" t="str">
        <f>IFERROR(IF('ŞİKAYET KAYIT'!P149="Kapatıldı",'ŞİKAYET KAYIT'!H149,""),"")</f>
        <v/>
      </c>
      <c r="F149" s="26" t="str">
        <f>IFERROR(IF('ŞİKAYET KAYIT'!P149="Kapatıldı",'ŞİKAYET KAYIT'!J149,""),"")</f>
        <v/>
      </c>
      <c r="G149" s="26" t="str">
        <f>IFERROR(IF('ŞİKAYET KAYIT'!P149="Kapatıldı",'ŞİKAYET KAYIT'!K149,""),"")</f>
        <v/>
      </c>
      <c r="H149" s="26" t="str">
        <f>IFERROR(IF('ŞİKAYET KAYIT'!P149="Kapatıldı",'ŞİKAYET KAYIT'!L149,""),"")</f>
        <v/>
      </c>
      <c r="I149" s="26" t="str">
        <f>IFERROR(IF('ŞİKAYET KAYIT'!P149="Kapatıldı",'ŞİKAYET KAYIT'!M149,""),"")</f>
        <v/>
      </c>
      <c r="J149" s="26" t="str">
        <f>IFERROR(IF('ŞİKAYET KAYIT'!P149="Kapatıldı",'ŞİKAYET KAYIT'!N149,""),"")</f>
        <v/>
      </c>
      <c r="K149" s="26" t="str">
        <f>IFERROR(IF('ŞİKAYET KAYIT'!P149="Kapatıldı",'ŞİKAYET KAYIT'!O149,""),"")</f>
        <v/>
      </c>
      <c r="L149" s="8" t="str">
        <f>IFERROR(IF('ŞİKAYET KAYIT'!P149="Kapatıldı",'ŞİKAYET KAYIT'!Q149,""),"")</f>
        <v/>
      </c>
      <c r="M149" s="26" t="str">
        <f>IFERROR(IF('ŞİKAYET KAYIT'!P149="Kapatıldı",'ŞİKAYET KAYIT'!R149,""),"")</f>
        <v/>
      </c>
      <c r="N149" s="26"/>
    </row>
    <row r="150" spans="1:14" ht="15" customHeight="1" x14ac:dyDescent="0.3">
      <c r="A150" s="11" t="str">
        <f>IFERROR(IF('ŞİKAYET KAYIT'!P150="Kapatıldı",'ŞİKAYET KAYIT'!A150,""),"")</f>
        <v/>
      </c>
      <c r="B150" s="12" t="str">
        <f>IFERROR(IF('ŞİKAYET KAYIT'!P150="Kapatıldı",'ŞİKAYET KAYIT'!B150,""),"")</f>
        <v/>
      </c>
      <c r="C150" s="11" t="str">
        <f>IFERROR(IF('ŞİKAYET KAYIT'!P150="Kapatıldı",'ŞİKAYET KAYIT'!D150,""),"")</f>
        <v/>
      </c>
      <c r="D150" s="11" t="str">
        <f>IFERROR(IF('ŞİKAYET KAYIT'!P150="Kapatıldı",'ŞİKAYET KAYIT'!F150,""),"")</f>
        <v/>
      </c>
      <c r="E150" s="11" t="str">
        <f>IFERROR(IF('ŞİKAYET KAYIT'!P150="Kapatıldı",'ŞİKAYET KAYIT'!H150,""),"")</f>
        <v/>
      </c>
      <c r="F150" s="11" t="str">
        <f>IFERROR(IF('ŞİKAYET KAYIT'!P150="Kapatıldı",'ŞİKAYET KAYIT'!J150,""),"")</f>
        <v/>
      </c>
      <c r="G150" s="11" t="str">
        <f>IFERROR(IF('ŞİKAYET KAYIT'!P150="Kapatıldı",'ŞİKAYET KAYIT'!K150,""),"")</f>
        <v/>
      </c>
      <c r="H150" s="11" t="str">
        <f>IFERROR(IF('ŞİKAYET KAYIT'!P150="Kapatıldı",'ŞİKAYET KAYIT'!L150,""),"")</f>
        <v/>
      </c>
      <c r="I150" s="11" t="str">
        <f>IFERROR(IF('ŞİKAYET KAYIT'!P150="Kapatıldı",'ŞİKAYET KAYIT'!M150,""),"")</f>
        <v/>
      </c>
      <c r="J150" s="11" t="str">
        <f>IFERROR(IF('ŞİKAYET KAYIT'!P150="Kapatıldı",'ŞİKAYET KAYIT'!N150,""),"")</f>
        <v/>
      </c>
      <c r="K150" s="11" t="str">
        <f>IFERROR(IF('ŞİKAYET KAYIT'!P150="Kapatıldı",'ŞİKAYET KAYIT'!O150,""),"")</f>
        <v/>
      </c>
      <c r="L150" s="12" t="str">
        <f>IFERROR(IF('ŞİKAYET KAYIT'!P150="Kapatıldı",'ŞİKAYET KAYIT'!Q150,""),"")</f>
        <v/>
      </c>
      <c r="M150" s="11" t="str">
        <f>IFERROR(IF('ŞİKAYET KAYIT'!P150="Kapatıldı",'ŞİKAYET KAYIT'!R150,""),"")</f>
        <v/>
      </c>
      <c r="N150" s="11"/>
    </row>
    <row r="151" spans="1:14" ht="15" customHeight="1" x14ac:dyDescent="0.3">
      <c r="A151" s="26" t="str">
        <f>IFERROR(IF('ŞİKAYET KAYIT'!P151="Kapatıldı",'ŞİKAYET KAYIT'!A151,""),"")</f>
        <v/>
      </c>
      <c r="B151" s="8" t="str">
        <f>IFERROR(IF('ŞİKAYET KAYIT'!P151="Kapatıldı",'ŞİKAYET KAYIT'!B151,""),"")</f>
        <v/>
      </c>
      <c r="C151" s="26" t="str">
        <f>IFERROR(IF('ŞİKAYET KAYIT'!P151="Kapatıldı",'ŞİKAYET KAYIT'!D151,""),"")</f>
        <v/>
      </c>
      <c r="D151" s="26" t="str">
        <f>IFERROR(IF('ŞİKAYET KAYIT'!P151="Kapatıldı",'ŞİKAYET KAYIT'!F151,""),"")</f>
        <v/>
      </c>
      <c r="E151" s="26" t="str">
        <f>IFERROR(IF('ŞİKAYET KAYIT'!P151="Kapatıldı",'ŞİKAYET KAYIT'!H151,""),"")</f>
        <v/>
      </c>
      <c r="F151" s="26" t="str">
        <f>IFERROR(IF('ŞİKAYET KAYIT'!P151="Kapatıldı",'ŞİKAYET KAYIT'!J151,""),"")</f>
        <v/>
      </c>
      <c r="G151" s="26" t="str">
        <f>IFERROR(IF('ŞİKAYET KAYIT'!P151="Kapatıldı",'ŞİKAYET KAYIT'!K151,""),"")</f>
        <v/>
      </c>
      <c r="H151" s="26" t="str">
        <f>IFERROR(IF('ŞİKAYET KAYIT'!P151="Kapatıldı",'ŞİKAYET KAYIT'!L151,""),"")</f>
        <v/>
      </c>
      <c r="I151" s="26" t="str">
        <f>IFERROR(IF('ŞİKAYET KAYIT'!P151="Kapatıldı",'ŞİKAYET KAYIT'!M151,""),"")</f>
        <v/>
      </c>
      <c r="J151" s="26" t="str">
        <f>IFERROR(IF('ŞİKAYET KAYIT'!P151="Kapatıldı",'ŞİKAYET KAYIT'!N151,""),"")</f>
        <v/>
      </c>
      <c r="K151" s="26" t="str">
        <f>IFERROR(IF('ŞİKAYET KAYIT'!P151="Kapatıldı",'ŞİKAYET KAYIT'!O151,""),"")</f>
        <v/>
      </c>
      <c r="L151" s="8" t="str">
        <f>IFERROR(IF('ŞİKAYET KAYIT'!P151="Kapatıldı",'ŞİKAYET KAYIT'!Q151,""),"")</f>
        <v/>
      </c>
      <c r="M151" s="26" t="str">
        <f>IFERROR(IF('ŞİKAYET KAYIT'!P151="Kapatıldı",'ŞİKAYET KAYIT'!R151,""),"")</f>
        <v/>
      </c>
      <c r="N151" s="26"/>
    </row>
    <row r="152" spans="1:14" ht="15" customHeight="1" x14ac:dyDescent="0.3">
      <c r="A152" s="11" t="str">
        <f>IFERROR(IF('ŞİKAYET KAYIT'!P152="Kapatıldı",'ŞİKAYET KAYIT'!A152,""),"")</f>
        <v/>
      </c>
      <c r="B152" s="12" t="str">
        <f>IFERROR(IF('ŞİKAYET KAYIT'!P152="Kapatıldı",'ŞİKAYET KAYIT'!B152,""),"")</f>
        <v/>
      </c>
      <c r="C152" s="11" t="str">
        <f>IFERROR(IF('ŞİKAYET KAYIT'!P152="Kapatıldı",'ŞİKAYET KAYIT'!D152,""),"")</f>
        <v/>
      </c>
      <c r="D152" s="11" t="str">
        <f>IFERROR(IF('ŞİKAYET KAYIT'!P152="Kapatıldı",'ŞİKAYET KAYIT'!F152,""),"")</f>
        <v/>
      </c>
      <c r="E152" s="11" t="str">
        <f>IFERROR(IF('ŞİKAYET KAYIT'!P152="Kapatıldı",'ŞİKAYET KAYIT'!H152,""),"")</f>
        <v/>
      </c>
      <c r="F152" s="11" t="str">
        <f>IFERROR(IF('ŞİKAYET KAYIT'!P152="Kapatıldı",'ŞİKAYET KAYIT'!J152,""),"")</f>
        <v/>
      </c>
      <c r="G152" s="11" t="str">
        <f>IFERROR(IF('ŞİKAYET KAYIT'!P152="Kapatıldı",'ŞİKAYET KAYIT'!K152,""),"")</f>
        <v/>
      </c>
      <c r="H152" s="11" t="str">
        <f>IFERROR(IF('ŞİKAYET KAYIT'!P152="Kapatıldı",'ŞİKAYET KAYIT'!L152,""),"")</f>
        <v/>
      </c>
      <c r="I152" s="11" t="str">
        <f>IFERROR(IF('ŞİKAYET KAYIT'!P152="Kapatıldı",'ŞİKAYET KAYIT'!M152,""),"")</f>
        <v/>
      </c>
      <c r="J152" s="11" t="str">
        <f>IFERROR(IF('ŞİKAYET KAYIT'!P152="Kapatıldı",'ŞİKAYET KAYIT'!N152,""),"")</f>
        <v/>
      </c>
      <c r="K152" s="11" t="str">
        <f>IFERROR(IF('ŞİKAYET KAYIT'!P152="Kapatıldı",'ŞİKAYET KAYIT'!O152,""),"")</f>
        <v/>
      </c>
      <c r="L152" s="12" t="str">
        <f>IFERROR(IF('ŞİKAYET KAYIT'!P152="Kapatıldı",'ŞİKAYET KAYIT'!Q152,""),"")</f>
        <v/>
      </c>
      <c r="M152" s="11" t="str">
        <f>IFERROR(IF('ŞİKAYET KAYIT'!P152="Kapatıldı",'ŞİKAYET KAYIT'!R152,""),"")</f>
        <v/>
      </c>
      <c r="N152" s="11"/>
    </row>
    <row r="153" spans="1:14" ht="15" customHeight="1" x14ac:dyDescent="0.3">
      <c r="A153" s="26" t="str">
        <f>IFERROR(IF('ŞİKAYET KAYIT'!P153="Kapatıldı",'ŞİKAYET KAYIT'!A153,""),"")</f>
        <v/>
      </c>
      <c r="B153" s="8" t="str">
        <f>IFERROR(IF('ŞİKAYET KAYIT'!P153="Kapatıldı",'ŞİKAYET KAYIT'!B153,""),"")</f>
        <v/>
      </c>
      <c r="C153" s="26" t="str">
        <f>IFERROR(IF('ŞİKAYET KAYIT'!P153="Kapatıldı",'ŞİKAYET KAYIT'!D153,""),"")</f>
        <v/>
      </c>
      <c r="D153" s="26" t="str">
        <f>IFERROR(IF('ŞİKAYET KAYIT'!P153="Kapatıldı",'ŞİKAYET KAYIT'!F153,""),"")</f>
        <v/>
      </c>
      <c r="E153" s="26" t="str">
        <f>IFERROR(IF('ŞİKAYET KAYIT'!P153="Kapatıldı",'ŞİKAYET KAYIT'!H153,""),"")</f>
        <v/>
      </c>
      <c r="F153" s="26" t="str">
        <f>IFERROR(IF('ŞİKAYET KAYIT'!P153="Kapatıldı",'ŞİKAYET KAYIT'!J153,""),"")</f>
        <v/>
      </c>
      <c r="G153" s="26" t="str">
        <f>IFERROR(IF('ŞİKAYET KAYIT'!P153="Kapatıldı",'ŞİKAYET KAYIT'!K153,""),"")</f>
        <v/>
      </c>
      <c r="H153" s="26" t="str">
        <f>IFERROR(IF('ŞİKAYET KAYIT'!P153="Kapatıldı",'ŞİKAYET KAYIT'!L153,""),"")</f>
        <v/>
      </c>
      <c r="I153" s="26" t="str">
        <f>IFERROR(IF('ŞİKAYET KAYIT'!P153="Kapatıldı",'ŞİKAYET KAYIT'!M153,""),"")</f>
        <v/>
      </c>
      <c r="J153" s="26" t="str">
        <f>IFERROR(IF('ŞİKAYET KAYIT'!P153="Kapatıldı",'ŞİKAYET KAYIT'!N153,""),"")</f>
        <v/>
      </c>
      <c r="K153" s="26" t="str">
        <f>IFERROR(IF('ŞİKAYET KAYIT'!P153="Kapatıldı",'ŞİKAYET KAYIT'!O153,""),"")</f>
        <v/>
      </c>
      <c r="L153" s="8" t="str">
        <f>IFERROR(IF('ŞİKAYET KAYIT'!P153="Kapatıldı",'ŞİKAYET KAYIT'!Q153,""),"")</f>
        <v/>
      </c>
      <c r="M153" s="26" t="str">
        <f>IFERROR(IF('ŞİKAYET KAYIT'!P153="Kapatıldı",'ŞİKAYET KAYIT'!R153,""),"")</f>
        <v/>
      </c>
      <c r="N153" s="26"/>
    </row>
    <row r="154" spans="1:14" ht="15" customHeight="1" x14ac:dyDescent="0.3">
      <c r="A154" s="11" t="str">
        <f>IFERROR(IF('ŞİKAYET KAYIT'!P154="Kapatıldı",'ŞİKAYET KAYIT'!A154,""),"")</f>
        <v/>
      </c>
      <c r="B154" s="12" t="str">
        <f>IFERROR(IF('ŞİKAYET KAYIT'!P154="Kapatıldı",'ŞİKAYET KAYIT'!B154,""),"")</f>
        <v/>
      </c>
      <c r="C154" s="11" t="str">
        <f>IFERROR(IF('ŞİKAYET KAYIT'!P154="Kapatıldı",'ŞİKAYET KAYIT'!D154,""),"")</f>
        <v/>
      </c>
      <c r="D154" s="11" t="str">
        <f>IFERROR(IF('ŞİKAYET KAYIT'!P154="Kapatıldı",'ŞİKAYET KAYIT'!F154,""),"")</f>
        <v/>
      </c>
      <c r="E154" s="11" t="str">
        <f>IFERROR(IF('ŞİKAYET KAYIT'!P154="Kapatıldı",'ŞİKAYET KAYIT'!H154,""),"")</f>
        <v/>
      </c>
      <c r="F154" s="11" t="str">
        <f>IFERROR(IF('ŞİKAYET KAYIT'!P154="Kapatıldı",'ŞİKAYET KAYIT'!J154,""),"")</f>
        <v/>
      </c>
      <c r="G154" s="11" t="str">
        <f>IFERROR(IF('ŞİKAYET KAYIT'!P154="Kapatıldı",'ŞİKAYET KAYIT'!K154,""),"")</f>
        <v/>
      </c>
      <c r="H154" s="11" t="str">
        <f>IFERROR(IF('ŞİKAYET KAYIT'!P154="Kapatıldı",'ŞİKAYET KAYIT'!L154,""),"")</f>
        <v/>
      </c>
      <c r="I154" s="11" t="str">
        <f>IFERROR(IF('ŞİKAYET KAYIT'!P154="Kapatıldı",'ŞİKAYET KAYIT'!M154,""),"")</f>
        <v/>
      </c>
      <c r="J154" s="11" t="str">
        <f>IFERROR(IF('ŞİKAYET KAYIT'!P154="Kapatıldı",'ŞİKAYET KAYIT'!N154,""),"")</f>
        <v/>
      </c>
      <c r="K154" s="11" t="str">
        <f>IFERROR(IF('ŞİKAYET KAYIT'!P154="Kapatıldı",'ŞİKAYET KAYIT'!O154,""),"")</f>
        <v/>
      </c>
      <c r="L154" s="12" t="str">
        <f>IFERROR(IF('ŞİKAYET KAYIT'!P154="Kapatıldı",'ŞİKAYET KAYIT'!Q154,""),"")</f>
        <v/>
      </c>
      <c r="M154" s="11" t="str">
        <f>IFERROR(IF('ŞİKAYET KAYIT'!P154="Kapatıldı",'ŞİKAYET KAYIT'!R154,""),"")</f>
        <v/>
      </c>
      <c r="N154" s="11"/>
    </row>
    <row r="155" spans="1:14" ht="15" customHeight="1" x14ac:dyDescent="0.3">
      <c r="A155" s="26" t="str">
        <f>IFERROR(IF('ŞİKAYET KAYIT'!P155="Kapatıldı",'ŞİKAYET KAYIT'!A155,""),"")</f>
        <v/>
      </c>
      <c r="B155" s="8" t="str">
        <f>IFERROR(IF('ŞİKAYET KAYIT'!P155="Kapatıldı",'ŞİKAYET KAYIT'!B155,""),"")</f>
        <v/>
      </c>
      <c r="C155" s="26" t="str">
        <f>IFERROR(IF('ŞİKAYET KAYIT'!P155="Kapatıldı",'ŞİKAYET KAYIT'!D155,""),"")</f>
        <v/>
      </c>
      <c r="D155" s="26" t="str">
        <f>IFERROR(IF('ŞİKAYET KAYIT'!P155="Kapatıldı",'ŞİKAYET KAYIT'!F155,""),"")</f>
        <v/>
      </c>
      <c r="E155" s="26" t="str">
        <f>IFERROR(IF('ŞİKAYET KAYIT'!P155="Kapatıldı",'ŞİKAYET KAYIT'!H155,""),"")</f>
        <v/>
      </c>
      <c r="F155" s="26" t="str">
        <f>IFERROR(IF('ŞİKAYET KAYIT'!P155="Kapatıldı",'ŞİKAYET KAYIT'!J155,""),"")</f>
        <v/>
      </c>
      <c r="G155" s="26" t="str">
        <f>IFERROR(IF('ŞİKAYET KAYIT'!P155="Kapatıldı",'ŞİKAYET KAYIT'!K155,""),"")</f>
        <v/>
      </c>
      <c r="H155" s="26" t="str">
        <f>IFERROR(IF('ŞİKAYET KAYIT'!P155="Kapatıldı",'ŞİKAYET KAYIT'!L155,""),"")</f>
        <v/>
      </c>
      <c r="I155" s="26" t="str">
        <f>IFERROR(IF('ŞİKAYET KAYIT'!P155="Kapatıldı",'ŞİKAYET KAYIT'!M155,""),"")</f>
        <v/>
      </c>
      <c r="J155" s="26" t="str">
        <f>IFERROR(IF('ŞİKAYET KAYIT'!P155="Kapatıldı",'ŞİKAYET KAYIT'!N155,""),"")</f>
        <v/>
      </c>
      <c r="K155" s="26" t="str">
        <f>IFERROR(IF('ŞİKAYET KAYIT'!P155="Kapatıldı",'ŞİKAYET KAYIT'!O155,""),"")</f>
        <v/>
      </c>
      <c r="L155" s="8" t="str">
        <f>IFERROR(IF('ŞİKAYET KAYIT'!P155="Kapatıldı",'ŞİKAYET KAYIT'!Q155,""),"")</f>
        <v/>
      </c>
      <c r="M155" s="26" t="str">
        <f>IFERROR(IF('ŞİKAYET KAYIT'!P155="Kapatıldı",'ŞİKAYET KAYIT'!R155,""),"")</f>
        <v/>
      </c>
      <c r="N155" s="26"/>
    </row>
    <row r="156" spans="1:14" ht="15" customHeight="1" x14ac:dyDescent="0.3">
      <c r="A156" s="11" t="str">
        <f>IFERROR(IF('ŞİKAYET KAYIT'!P156="Kapatıldı",'ŞİKAYET KAYIT'!A156,""),"")</f>
        <v/>
      </c>
      <c r="B156" s="12" t="str">
        <f>IFERROR(IF('ŞİKAYET KAYIT'!P156="Kapatıldı",'ŞİKAYET KAYIT'!B156,""),"")</f>
        <v/>
      </c>
      <c r="C156" s="11" t="str">
        <f>IFERROR(IF('ŞİKAYET KAYIT'!P156="Kapatıldı",'ŞİKAYET KAYIT'!D156,""),"")</f>
        <v/>
      </c>
      <c r="D156" s="11" t="str">
        <f>IFERROR(IF('ŞİKAYET KAYIT'!P156="Kapatıldı",'ŞİKAYET KAYIT'!F156,""),"")</f>
        <v/>
      </c>
      <c r="E156" s="11" t="str">
        <f>IFERROR(IF('ŞİKAYET KAYIT'!P156="Kapatıldı",'ŞİKAYET KAYIT'!H156,""),"")</f>
        <v/>
      </c>
      <c r="F156" s="11" t="str">
        <f>IFERROR(IF('ŞİKAYET KAYIT'!P156="Kapatıldı",'ŞİKAYET KAYIT'!J156,""),"")</f>
        <v/>
      </c>
      <c r="G156" s="11" t="str">
        <f>IFERROR(IF('ŞİKAYET KAYIT'!P156="Kapatıldı",'ŞİKAYET KAYIT'!K156,""),"")</f>
        <v/>
      </c>
      <c r="H156" s="11" t="str">
        <f>IFERROR(IF('ŞİKAYET KAYIT'!P156="Kapatıldı",'ŞİKAYET KAYIT'!L156,""),"")</f>
        <v/>
      </c>
      <c r="I156" s="11" t="str">
        <f>IFERROR(IF('ŞİKAYET KAYIT'!P156="Kapatıldı",'ŞİKAYET KAYIT'!M156,""),"")</f>
        <v/>
      </c>
      <c r="J156" s="11" t="str">
        <f>IFERROR(IF('ŞİKAYET KAYIT'!P156="Kapatıldı",'ŞİKAYET KAYIT'!N156,""),"")</f>
        <v/>
      </c>
      <c r="K156" s="11" t="str">
        <f>IFERROR(IF('ŞİKAYET KAYIT'!P156="Kapatıldı",'ŞİKAYET KAYIT'!O156,""),"")</f>
        <v/>
      </c>
      <c r="L156" s="12" t="str">
        <f>IFERROR(IF('ŞİKAYET KAYIT'!P156="Kapatıldı",'ŞİKAYET KAYIT'!Q156,""),"")</f>
        <v/>
      </c>
      <c r="M156" s="11" t="str">
        <f>IFERROR(IF('ŞİKAYET KAYIT'!P156="Kapatıldı",'ŞİKAYET KAYIT'!R156,""),"")</f>
        <v/>
      </c>
      <c r="N156" s="11"/>
    </row>
    <row r="157" spans="1:14" ht="15" customHeight="1" x14ac:dyDescent="0.3">
      <c r="A157" s="26" t="str">
        <f>IFERROR(IF('ŞİKAYET KAYIT'!P157="Kapatıldı",'ŞİKAYET KAYIT'!A157,""),"")</f>
        <v/>
      </c>
      <c r="B157" s="8" t="str">
        <f>IFERROR(IF('ŞİKAYET KAYIT'!P157="Kapatıldı",'ŞİKAYET KAYIT'!B157,""),"")</f>
        <v/>
      </c>
      <c r="C157" s="26" t="str">
        <f>IFERROR(IF('ŞİKAYET KAYIT'!P157="Kapatıldı",'ŞİKAYET KAYIT'!D157,""),"")</f>
        <v/>
      </c>
      <c r="D157" s="26" t="str">
        <f>IFERROR(IF('ŞİKAYET KAYIT'!P157="Kapatıldı",'ŞİKAYET KAYIT'!F157,""),"")</f>
        <v/>
      </c>
      <c r="E157" s="26" t="str">
        <f>IFERROR(IF('ŞİKAYET KAYIT'!P157="Kapatıldı",'ŞİKAYET KAYIT'!H157,""),"")</f>
        <v/>
      </c>
      <c r="F157" s="26" t="str">
        <f>IFERROR(IF('ŞİKAYET KAYIT'!P157="Kapatıldı",'ŞİKAYET KAYIT'!J157,""),"")</f>
        <v/>
      </c>
      <c r="G157" s="26" t="str">
        <f>IFERROR(IF('ŞİKAYET KAYIT'!P157="Kapatıldı",'ŞİKAYET KAYIT'!K157,""),"")</f>
        <v/>
      </c>
      <c r="H157" s="26" t="str">
        <f>IFERROR(IF('ŞİKAYET KAYIT'!P157="Kapatıldı",'ŞİKAYET KAYIT'!L157,""),"")</f>
        <v/>
      </c>
      <c r="I157" s="26" t="str">
        <f>IFERROR(IF('ŞİKAYET KAYIT'!P157="Kapatıldı",'ŞİKAYET KAYIT'!M157,""),"")</f>
        <v/>
      </c>
      <c r="J157" s="26" t="str">
        <f>IFERROR(IF('ŞİKAYET KAYIT'!P157="Kapatıldı",'ŞİKAYET KAYIT'!N157,""),"")</f>
        <v/>
      </c>
      <c r="K157" s="26" t="str">
        <f>IFERROR(IF('ŞİKAYET KAYIT'!P157="Kapatıldı",'ŞİKAYET KAYIT'!O157,""),"")</f>
        <v/>
      </c>
      <c r="L157" s="8" t="str">
        <f>IFERROR(IF('ŞİKAYET KAYIT'!P157="Kapatıldı",'ŞİKAYET KAYIT'!Q157,""),"")</f>
        <v/>
      </c>
      <c r="M157" s="26" t="str">
        <f>IFERROR(IF('ŞİKAYET KAYIT'!P157="Kapatıldı",'ŞİKAYET KAYIT'!R157,""),"")</f>
        <v/>
      </c>
      <c r="N157" s="26"/>
    </row>
    <row r="158" spans="1:14" ht="15" customHeight="1" x14ac:dyDescent="0.3">
      <c r="A158" s="11" t="str">
        <f>IFERROR(IF('ŞİKAYET KAYIT'!P158="Kapatıldı",'ŞİKAYET KAYIT'!A158,""),"")</f>
        <v/>
      </c>
      <c r="B158" s="12" t="str">
        <f>IFERROR(IF('ŞİKAYET KAYIT'!P158="Kapatıldı",'ŞİKAYET KAYIT'!B158,""),"")</f>
        <v/>
      </c>
      <c r="C158" s="11" t="str">
        <f>IFERROR(IF('ŞİKAYET KAYIT'!P158="Kapatıldı",'ŞİKAYET KAYIT'!D158,""),"")</f>
        <v/>
      </c>
      <c r="D158" s="11" t="str">
        <f>IFERROR(IF('ŞİKAYET KAYIT'!P158="Kapatıldı",'ŞİKAYET KAYIT'!F158,""),"")</f>
        <v/>
      </c>
      <c r="E158" s="11" t="str">
        <f>IFERROR(IF('ŞİKAYET KAYIT'!P158="Kapatıldı",'ŞİKAYET KAYIT'!H158,""),"")</f>
        <v/>
      </c>
      <c r="F158" s="11" t="str">
        <f>IFERROR(IF('ŞİKAYET KAYIT'!P158="Kapatıldı",'ŞİKAYET KAYIT'!J158,""),"")</f>
        <v/>
      </c>
      <c r="G158" s="11" t="str">
        <f>IFERROR(IF('ŞİKAYET KAYIT'!P158="Kapatıldı",'ŞİKAYET KAYIT'!K158,""),"")</f>
        <v/>
      </c>
      <c r="H158" s="11" t="str">
        <f>IFERROR(IF('ŞİKAYET KAYIT'!P158="Kapatıldı",'ŞİKAYET KAYIT'!L158,""),"")</f>
        <v/>
      </c>
      <c r="I158" s="11" t="str">
        <f>IFERROR(IF('ŞİKAYET KAYIT'!P158="Kapatıldı",'ŞİKAYET KAYIT'!M158,""),"")</f>
        <v/>
      </c>
      <c r="J158" s="11" t="str">
        <f>IFERROR(IF('ŞİKAYET KAYIT'!P158="Kapatıldı",'ŞİKAYET KAYIT'!N158,""),"")</f>
        <v/>
      </c>
      <c r="K158" s="11" t="str">
        <f>IFERROR(IF('ŞİKAYET KAYIT'!P158="Kapatıldı",'ŞİKAYET KAYIT'!O158,""),"")</f>
        <v/>
      </c>
      <c r="L158" s="12" t="str">
        <f>IFERROR(IF('ŞİKAYET KAYIT'!P158="Kapatıldı",'ŞİKAYET KAYIT'!Q158,""),"")</f>
        <v/>
      </c>
      <c r="M158" s="11" t="str">
        <f>IFERROR(IF('ŞİKAYET KAYIT'!P158="Kapatıldı",'ŞİKAYET KAYIT'!R158,""),"")</f>
        <v/>
      </c>
      <c r="N158" s="11"/>
    </row>
    <row r="159" spans="1:14" ht="15" customHeight="1" x14ac:dyDescent="0.3">
      <c r="A159" s="26" t="str">
        <f>IFERROR(IF('ŞİKAYET KAYIT'!P159="Kapatıldı",'ŞİKAYET KAYIT'!A159,""),"")</f>
        <v/>
      </c>
      <c r="B159" s="8" t="str">
        <f>IFERROR(IF('ŞİKAYET KAYIT'!P159="Kapatıldı",'ŞİKAYET KAYIT'!B159,""),"")</f>
        <v/>
      </c>
      <c r="C159" s="26" t="str">
        <f>IFERROR(IF('ŞİKAYET KAYIT'!P159="Kapatıldı",'ŞİKAYET KAYIT'!D159,""),"")</f>
        <v/>
      </c>
      <c r="D159" s="26" t="str">
        <f>IFERROR(IF('ŞİKAYET KAYIT'!P159="Kapatıldı",'ŞİKAYET KAYIT'!F159,""),"")</f>
        <v/>
      </c>
      <c r="E159" s="26" t="str">
        <f>IFERROR(IF('ŞİKAYET KAYIT'!P159="Kapatıldı",'ŞİKAYET KAYIT'!H159,""),"")</f>
        <v/>
      </c>
      <c r="F159" s="26" t="str">
        <f>IFERROR(IF('ŞİKAYET KAYIT'!P159="Kapatıldı",'ŞİKAYET KAYIT'!J159,""),"")</f>
        <v/>
      </c>
      <c r="G159" s="26" t="str">
        <f>IFERROR(IF('ŞİKAYET KAYIT'!P159="Kapatıldı",'ŞİKAYET KAYIT'!K159,""),"")</f>
        <v/>
      </c>
      <c r="H159" s="26" t="str">
        <f>IFERROR(IF('ŞİKAYET KAYIT'!P159="Kapatıldı",'ŞİKAYET KAYIT'!L159,""),"")</f>
        <v/>
      </c>
      <c r="I159" s="26" t="str">
        <f>IFERROR(IF('ŞİKAYET KAYIT'!P159="Kapatıldı",'ŞİKAYET KAYIT'!M159,""),"")</f>
        <v/>
      </c>
      <c r="J159" s="26" t="str">
        <f>IFERROR(IF('ŞİKAYET KAYIT'!P159="Kapatıldı",'ŞİKAYET KAYIT'!N159,""),"")</f>
        <v/>
      </c>
      <c r="K159" s="26" t="str">
        <f>IFERROR(IF('ŞİKAYET KAYIT'!P159="Kapatıldı",'ŞİKAYET KAYIT'!O159,""),"")</f>
        <v/>
      </c>
      <c r="L159" s="8" t="str">
        <f>IFERROR(IF('ŞİKAYET KAYIT'!P159="Kapatıldı",'ŞİKAYET KAYIT'!Q159,""),"")</f>
        <v/>
      </c>
      <c r="M159" s="26" t="str">
        <f>IFERROR(IF('ŞİKAYET KAYIT'!P159="Kapatıldı",'ŞİKAYET KAYIT'!R159,""),"")</f>
        <v/>
      </c>
      <c r="N159" s="26"/>
    </row>
    <row r="160" spans="1:14" ht="15" customHeight="1" x14ac:dyDescent="0.3">
      <c r="A160" s="11" t="str">
        <f>IFERROR(IF('ŞİKAYET KAYIT'!P160="Kapatıldı",'ŞİKAYET KAYIT'!A160,""),"")</f>
        <v/>
      </c>
      <c r="B160" s="12" t="str">
        <f>IFERROR(IF('ŞİKAYET KAYIT'!P160="Kapatıldı",'ŞİKAYET KAYIT'!B160,""),"")</f>
        <v/>
      </c>
      <c r="C160" s="11" t="str">
        <f>IFERROR(IF('ŞİKAYET KAYIT'!P160="Kapatıldı",'ŞİKAYET KAYIT'!D160,""),"")</f>
        <v/>
      </c>
      <c r="D160" s="11" t="str">
        <f>IFERROR(IF('ŞİKAYET KAYIT'!P160="Kapatıldı",'ŞİKAYET KAYIT'!F160,""),"")</f>
        <v/>
      </c>
      <c r="E160" s="11" t="str">
        <f>IFERROR(IF('ŞİKAYET KAYIT'!P160="Kapatıldı",'ŞİKAYET KAYIT'!H160,""),"")</f>
        <v/>
      </c>
      <c r="F160" s="11" t="str">
        <f>IFERROR(IF('ŞİKAYET KAYIT'!P160="Kapatıldı",'ŞİKAYET KAYIT'!J160,""),"")</f>
        <v/>
      </c>
      <c r="G160" s="11" t="str">
        <f>IFERROR(IF('ŞİKAYET KAYIT'!P160="Kapatıldı",'ŞİKAYET KAYIT'!K160,""),"")</f>
        <v/>
      </c>
      <c r="H160" s="11" t="str">
        <f>IFERROR(IF('ŞİKAYET KAYIT'!P160="Kapatıldı",'ŞİKAYET KAYIT'!L160,""),"")</f>
        <v/>
      </c>
      <c r="I160" s="11" t="str">
        <f>IFERROR(IF('ŞİKAYET KAYIT'!P160="Kapatıldı",'ŞİKAYET KAYIT'!M160,""),"")</f>
        <v/>
      </c>
      <c r="J160" s="11" t="str">
        <f>IFERROR(IF('ŞİKAYET KAYIT'!P160="Kapatıldı",'ŞİKAYET KAYIT'!N160,""),"")</f>
        <v/>
      </c>
      <c r="K160" s="11" t="str">
        <f>IFERROR(IF('ŞİKAYET KAYIT'!P160="Kapatıldı",'ŞİKAYET KAYIT'!O160,""),"")</f>
        <v/>
      </c>
      <c r="L160" s="12" t="str">
        <f>IFERROR(IF('ŞİKAYET KAYIT'!P160="Kapatıldı",'ŞİKAYET KAYIT'!Q160,""),"")</f>
        <v/>
      </c>
      <c r="M160" s="11" t="str">
        <f>IFERROR(IF('ŞİKAYET KAYIT'!P160="Kapatıldı",'ŞİKAYET KAYIT'!R160,""),"")</f>
        <v/>
      </c>
      <c r="N160" s="11"/>
    </row>
    <row r="161" spans="1:14" ht="15" customHeight="1" x14ac:dyDescent="0.3">
      <c r="A161" s="26" t="str">
        <f>IFERROR(IF('ŞİKAYET KAYIT'!P161="Kapatıldı",'ŞİKAYET KAYIT'!A161,""),"")</f>
        <v/>
      </c>
      <c r="B161" s="8" t="str">
        <f>IFERROR(IF('ŞİKAYET KAYIT'!P161="Kapatıldı",'ŞİKAYET KAYIT'!B161,""),"")</f>
        <v/>
      </c>
      <c r="C161" s="26" t="str">
        <f>IFERROR(IF('ŞİKAYET KAYIT'!P161="Kapatıldı",'ŞİKAYET KAYIT'!D161,""),"")</f>
        <v/>
      </c>
      <c r="D161" s="26" t="str">
        <f>IFERROR(IF('ŞİKAYET KAYIT'!P161="Kapatıldı",'ŞİKAYET KAYIT'!F161,""),"")</f>
        <v/>
      </c>
      <c r="E161" s="26" t="str">
        <f>IFERROR(IF('ŞİKAYET KAYIT'!P161="Kapatıldı",'ŞİKAYET KAYIT'!H161,""),"")</f>
        <v/>
      </c>
      <c r="F161" s="26" t="str">
        <f>IFERROR(IF('ŞİKAYET KAYIT'!P161="Kapatıldı",'ŞİKAYET KAYIT'!J161,""),"")</f>
        <v/>
      </c>
      <c r="G161" s="26" t="str">
        <f>IFERROR(IF('ŞİKAYET KAYIT'!P161="Kapatıldı",'ŞİKAYET KAYIT'!K161,""),"")</f>
        <v/>
      </c>
      <c r="H161" s="26" t="str">
        <f>IFERROR(IF('ŞİKAYET KAYIT'!P161="Kapatıldı",'ŞİKAYET KAYIT'!L161,""),"")</f>
        <v/>
      </c>
      <c r="I161" s="26" t="str">
        <f>IFERROR(IF('ŞİKAYET KAYIT'!P161="Kapatıldı",'ŞİKAYET KAYIT'!M161,""),"")</f>
        <v/>
      </c>
      <c r="J161" s="26" t="str">
        <f>IFERROR(IF('ŞİKAYET KAYIT'!P161="Kapatıldı",'ŞİKAYET KAYIT'!N161,""),"")</f>
        <v/>
      </c>
      <c r="K161" s="26" t="str">
        <f>IFERROR(IF('ŞİKAYET KAYIT'!P161="Kapatıldı",'ŞİKAYET KAYIT'!O161,""),"")</f>
        <v/>
      </c>
      <c r="L161" s="8" t="str">
        <f>IFERROR(IF('ŞİKAYET KAYIT'!P161="Kapatıldı",'ŞİKAYET KAYIT'!Q161,""),"")</f>
        <v/>
      </c>
      <c r="M161" s="26" t="str">
        <f>IFERROR(IF('ŞİKAYET KAYIT'!P161="Kapatıldı",'ŞİKAYET KAYIT'!R161,""),"")</f>
        <v/>
      </c>
      <c r="N161" s="26"/>
    </row>
    <row r="162" spans="1:14" ht="15" customHeight="1" x14ac:dyDescent="0.3">
      <c r="A162" s="11" t="str">
        <f>IFERROR(IF('ŞİKAYET KAYIT'!P162="Kapatıldı",'ŞİKAYET KAYIT'!A162,""),"")</f>
        <v/>
      </c>
      <c r="B162" s="12" t="str">
        <f>IFERROR(IF('ŞİKAYET KAYIT'!P162="Kapatıldı",'ŞİKAYET KAYIT'!B162,""),"")</f>
        <v/>
      </c>
      <c r="C162" s="11" t="str">
        <f>IFERROR(IF('ŞİKAYET KAYIT'!P162="Kapatıldı",'ŞİKAYET KAYIT'!D162,""),"")</f>
        <v/>
      </c>
      <c r="D162" s="11" t="str">
        <f>IFERROR(IF('ŞİKAYET KAYIT'!P162="Kapatıldı",'ŞİKAYET KAYIT'!F162,""),"")</f>
        <v/>
      </c>
      <c r="E162" s="11" t="str">
        <f>IFERROR(IF('ŞİKAYET KAYIT'!P162="Kapatıldı",'ŞİKAYET KAYIT'!H162,""),"")</f>
        <v/>
      </c>
      <c r="F162" s="11" t="str">
        <f>IFERROR(IF('ŞİKAYET KAYIT'!P162="Kapatıldı",'ŞİKAYET KAYIT'!J162,""),"")</f>
        <v/>
      </c>
      <c r="G162" s="11" t="str">
        <f>IFERROR(IF('ŞİKAYET KAYIT'!P162="Kapatıldı",'ŞİKAYET KAYIT'!K162,""),"")</f>
        <v/>
      </c>
      <c r="H162" s="11" t="str">
        <f>IFERROR(IF('ŞİKAYET KAYIT'!P162="Kapatıldı",'ŞİKAYET KAYIT'!L162,""),"")</f>
        <v/>
      </c>
      <c r="I162" s="11" t="str">
        <f>IFERROR(IF('ŞİKAYET KAYIT'!P162="Kapatıldı",'ŞİKAYET KAYIT'!M162,""),"")</f>
        <v/>
      </c>
      <c r="J162" s="11" t="str">
        <f>IFERROR(IF('ŞİKAYET KAYIT'!P162="Kapatıldı",'ŞİKAYET KAYIT'!N162,""),"")</f>
        <v/>
      </c>
      <c r="K162" s="11" t="str">
        <f>IFERROR(IF('ŞİKAYET KAYIT'!P162="Kapatıldı",'ŞİKAYET KAYIT'!O162,""),"")</f>
        <v/>
      </c>
      <c r="L162" s="12" t="str">
        <f>IFERROR(IF('ŞİKAYET KAYIT'!P162="Kapatıldı",'ŞİKAYET KAYIT'!Q162,""),"")</f>
        <v/>
      </c>
      <c r="M162" s="11" t="str">
        <f>IFERROR(IF('ŞİKAYET KAYIT'!P162="Kapatıldı",'ŞİKAYET KAYIT'!R162,""),"")</f>
        <v/>
      </c>
      <c r="N162" s="11"/>
    </row>
    <row r="163" spans="1:14" ht="15" customHeight="1" x14ac:dyDescent="0.3">
      <c r="A163" s="26" t="str">
        <f>IFERROR(IF('ŞİKAYET KAYIT'!P163="Kapatıldı",'ŞİKAYET KAYIT'!A163,""),"")</f>
        <v/>
      </c>
      <c r="B163" s="8" t="str">
        <f>IFERROR(IF('ŞİKAYET KAYIT'!P163="Kapatıldı",'ŞİKAYET KAYIT'!B163,""),"")</f>
        <v/>
      </c>
      <c r="C163" s="26" t="str">
        <f>IFERROR(IF('ŞİKAYET KAYIT'!P163="Kapatıldı",'ŞİKAYET KAYIT'!D163,""),"")</f>
        <v/>
      </c>
      <c r="D163" s="26" t="str">
        <f>IFERROR(IF('ŞİKAYET KAYIT'!P163="Kapatıldı",'ŞİKAYET KAYIT'!F163,""),"")</f>
        <v/>
      </c>
      <c r="E163" s="26" t="str">
        <f>IFERROR(IF('ŞİKAYET KAYIT'!P163="Kapatıldı",'ŞİKAYET KAYIT'!H163,""),"")</f>
        <v/>
      </c>
      <c r="F163" s="26" t="str">
        <f>IFERROR(IF('ŞİKAYET KAYIT'!P163="Kapatıldı",'ŞİKAYET KAYIT'!J163,""),"")</f>
        <v/>
      </c>
      <c r="G163" s="26" t="str">
        <f>IFERROR(IF('ŞİKAYET KAYIT'!P163="Kapatıldı",'ŞİKAYET KAYIT'!K163,""),"")</f>
        <v/>
      </c>
      <c r="H163" s="26" t="str">
        <f>IFERROR(IF('ŞİKAYET KAYIT'!P163="Kapatıldı",'ŞİKAYET KAYIT'!L163,""),"")</f>
        <v/>
      </c>
      <c r="I163" s="26" t="str">
        <f>IFERROR(IF('ŞİKAYET KAYIT'!P163="Kapatıldı",'ŞİKAYET KAYIT'!M163,""),"")</f>
        <v/>
      </c>
      <c r="J163" s="26" t="str">
        <f>IFERROR(IF('ŞİKAYET KAYIT'!P163="Kapatıldı",'ŞİKAYET KAYIT'!N163,""),"")</f>
        <v/>
      </c>
      <c r="K163" s="26" t="str">
        <f>IFERROR(IF('ŞİKAYET KAYIT'!P163="Kapatıldı",'ŞİKAYET KAYIT'!O163,""),"")</f>
        <v/>
      </c>
      <c r="L163" s="8" t="str">
        <f>IFERROR(IF('ŞİKAYET KAYIT'!P163="Kapatıldı",'ŞİKAYET KAYIT'!Q163,""),"")</f>
        <v/>
      </c>
      <c r="M163" s="26" t="str">
        <f>IFERROR(IF('ŞİKAYET KAYIT'!P163="Kapatıldı",'ŞİKAYET KAYIT'!R163,""),"")</f>
        <v/>
      </c>
      <c r="N163" s="26"/>
    </row>
    <row r="164" spans="1:14" ht="15" customHeight="1" x14ac:dyDescent="0.3">
      <c r="A164" s="11" t="str">
        <f>IFERROR(IF('ŞİKAYET KAYIT'!P164="Kapatıldı",'ŞİKAYET KAYIT'!A164,""),"")</f>
        <v/>
      </c>
      <c r="B164" s="12" t="str">
        <f>IFERROR(IF('ŞİKAYET KAYIT'!P164="Kapatıldı",'ŞİKAYET KAYIT'!B164,""),"")</f>
        <v/>
      </c>
      <c r="C164" s="11" t="str">
        <f>IFERROR(IF('ŞİKAYET KAYIT'!P164="Kapatıldı",'ŞİKAYET KAYIT'!D164,""),"")</f>
        <v/>
      </c>
      <c r="D164" s="11" t="str">
        <f>IFERROR(IF('ŞİKAYET KAYIT'!P164="Kapatıldı",'ŞİKAYET KAYIT'!F164,""),"")</f>
        <v/>
      </c>
      <c r="E164" s="11" t="str">
        <f>IFERROR(IF('ŞİKAYET KAYIT'!P164="Kapatıldı",'ŞİKAYET KAYIT'!H164,""),"")</f>
        <v/>
      </c>
      <c r="F164" s="11" t="str">
        <f>IFERROR(IF('ŞİKAYET KAYIT'!P164="Kapatıldı",'ŞİKAYET KAYIT'!J164,""),"")</f>
        <v/>
      </c>
      <c r="G164" s="11" t="str">
        <f>IFERROR(IF('ŞİKAYET KAYIT'!P164="Kapatıldı",'ŞİKAYET KAYIT'!K164,""),"")</f>
        <v/>
      </c>
      <c r="H164" s="11" t="str">
        <f>IFERROR(IF('ŞİKAYET KAYIT'!P164="Kapatıldı",'ŞİKAYET KAYIT'!L164,""),"")</f>
        <v/>
      </c>
      <c r="I164" s="11" t="str">
        <f>IFERROR(IF('ŞİKAYET KAYIT'!P164="Kapatıldı",'ŞİKAYET KAYIT'!M164,""),"")</f>
        <v/>
      </c>
      <c r="J164" s="11" t="str">
        <f>IFERROR(IF('ŞİKAYET KAYIT'!P164="Kapatıldı",'ŞİKAYET KAYIT'!N164,""),"")</f>
        <v/>
      </c>
      <c r="K164" s="11" t="str">
        <f>IFERROR(IF('ŞİKAYET KAYIT'!P164="Kapatıldı",'ŞİKAYET KAYIT'!O164,""),"")</f>
        <v/>
      </c>
      <c r="L164" s="12" t="str">
        <f>IFERROR(IF('ŞİKAYET KAYIT'!P164="Kapatıldı",'ŞİKAYET KAYIT'!Q164,""),"")</f>
        <v/>
      </c>
      <c r="M164" s="11" t="str">
        <f>IFERROR(IF('ŞİKAYET KAYIT'!P164="Kapatıldı",'ŞİKAYET KAYIT'!R164,""),"")</f>
        <v/>
      </c>
      <c r="N164" s="11"/>
    </row>
    <row r="165" spans="1:14" ht="15" customHeight="1" x14ac:dyDescent="0.3">
      <c r="A165" s="26" t="str">
        <f>IFERROR(IF('ŞİKAYET KAYIT'!P165="Kapatıldı",'ŞİKAYET KAYIT'!A165,""),"")</f>
        <v/>
      </c>
      <c r="B165" s="8" t="str">
        <f>IFERROR(IF('ŞİKAYET KAYIT'!P165="Kapatıldı",'ŞİKAYET KAYIT'!B165,""),"")</f>
        <v/>
      </c>
      <c r="C165" s="26" t="str">
        <f>IFERROR(IF('ŞİKAYET KAYIT'!P165="Kapatıldı",'ŞİKAYET KAYIT'!D165,""),"")</f>
        <v/>
      </c>
      <c r="D165" s="26" t="str">
        <f>IFERROR(IF('ŞİKAYET KAYIT'!P165="Kapatıldı",'ŞİKAYET KAYIT'!F165,""),"")</f>
        <v/>
      </c>
      <c r="E165" s="26" t="str">
        <f>IFERROR(IF('ŞİKAYET KAYIT'!P165="Kapatıldı",'ŞİKAYET KAYIT'!H165,""),"")</f>
        <v/>
      </c>
      <c r="F165" s="26" t="str">
        <f>IFERROR(IF('ŞİKAYET KAYIT'!P165="Kapatıldı",'ŞİKAYET KAYIT'!J165,""),"")</f>
        <v/>
      </c>
      <c r="G165" s="26" t="str">
        <f>IFERROR(IF('ŞİKAYET KAYIT'!P165="Kapatıldı",'ŞİKAYET KAYIT'!K165,""),"")</f>
        <v/>
      </c>
      <c r="H165" s="26" t="str">
        <f>IFERROR(IF('ŞİKAYET KAYIT'!P165="Kapatıldı",'ŞİKAYET KAYIT'!L165,""),"")</f>
        <v/>
      </c>
      <c r="I165" s="26" t="str">
        <f>IFERROR(IF('ŞİKAYET KAYIT'!P165="Kapatıldı",'ŞİKAYET KAYIT'!M165,""),"")</f>
        <v/>
      </c>
      <c r="J165" s="26" t="str">
        <f>IFERROR(IF('ŞİKAYET KAYIT'!P165="Kapatıldı",'ŞİKAYET KAYIT'!N165,""),"")</f>
        <v/>
      </c>
      <c r="K165" s="26" t="str">
        <f>IFERROR(IF('ŞİKAYET KAYIT'!P165="Kapatıldı",'ŞİKAYET KAYIT'!O165,""),"")</f>
        <v/>
      </c>
      <c r="L165" s="8" t="str">
        <f>IFERROR(IF('ŞİKAYET KAYIT'!P165="Kapatıldı",'ŞİKAYET KAYIT'!Q165,""),"")</f>
        <v/>
      </c>
      <c r="M165" s="26" t="str">
        <f>IFERROR(IF('ŞİKAYET KAYIT'!P165="Kapatıldı",'ŞİKAYET KAYIT'!R165,""),"")</f>
        <v/>
      </c>
      <c r="N165" s="26"/>
    </row>
    <row r="166" spans="1:14" ht="15" customHeight="1" x14ac:dyDescent="0.3">
      <c r="A166" s="11" t="str">
        <f>IFERROR(IF('ŞİKAYET KAYIT'!P166="Kapatıldı",'ŞİKAYET KAYIT'!A166,""),"")</f>
        <v/>
      </c>
      <c r="B166" s="12" t="str">
        <f>IFERROR(IF('ŞİKAYET KAYIT'!P166="Kapatıldı",'ŞİKAYET KAYIT'!B166,""),"")</f>
        <v/>
      </c>
      <c r="C166" s="11" t="str">
        <f>IFERROR(IF('ŞİKAYET KAYIT'!P166="Kapatıldı",'ŞİKAYET KAYIT'!D166,""),"")</f>
        <v/>
      </c>
      <c r="D166" s="11" t="str">
        <f>IFERROR(IF('ŞİKAYET KAYIT'!P166="Kapatıldı",'ŞİKAYET KAYIT'!F166,""),"")</f>
        <v/>
      </c>
      <c r="E166" s="11" t="str">
        <f>IFERROR(IF('ŞİKAYET KAYIT'!P166="Kapatıldı",'ŞİKAYET KAYIT'!H166,""),"")</f>
        <v/>
      </c>
      <c r="F166" s="11" t="str">
        <f>IFERROR(IF('ŞİKAYET KAYIT'!P166="Kapatıldı",'ŞİKAYET KAYIT'!J166,""),"")</f>
        <v/>
      </c>
      <c r="G166" s="11" t="str">
        <f>IFERROR(IF('ŞİKAYET KAYIT'!P166="Kapatıldı",'ŞİKAYET KAYIT'!K166,""),"")</f>
        <v/>
      </c>
      <c r="H166" s="11" t="str">
        <f>IFERROR(IF('ŞİKAYET KAYIT'!P166="Kapatıldı",'ŞİKAYET KAYIT'!L166,""),"")</f>
        <v/>
      </c>
      <c r="I166" s="11" t="str">
        <f>IFERROR(IF('ŞİKAYET KAYIT'!P166="Kapatıldı",'ŞİKAYET KAYIT'!M166,""),"")</f>
        <v/>
      </c>
      <c r="J166" s="11" t="str">
        <f>IFERROR(IF('ŞİKAYET KAYIT'!P166="Kapatıldı",'ŞİKAYET KAYIT'!N166,""),"")</f>
        <v/>
      </c>
      <c r="K166" s="11" t="str">
        <f>IFERROR(IF('ŞİKAYET KAYIT'!P166="Kapatıldı",'ŞİKAYET KAYIT'!O166,""),"")</f>
        <v/>
      </c>
      <c r="L166" s="12" t="str">
        <f>IFERROR(IF('ŞİKAYET KAYIT'!P166="Kapatıldı",'ŞİKAYET KAYIT'!Q166,""),"")</f>
        <v/>
      </c>
      <c r="M166" s="11" t="str">
        <f>IFERROR(IF('ŞİKAYET KAYIT'!P166="Kapatıldı",'ŞİKAYET KAYIT'!R166,""),"")</f>
        <v/>
      </c>
      <c r="N166" s="11"/>
    </row>
    <row r="167" spans="1:14" ht="15" customHeight="1" x14ac:dyDescent="0.3">
      <c r="A167" s="26" t="str">
        <f>IFERROR(IF('ŞİKAYET KAYIT'!P167="Kapatıldı",'ŞİKAYET KAYIT'!A167,""),"")</f>
        <v/>
      </c>
      <c r="B167" s="8" t="str">
        <f>IFERROR(IF('ŞİKAYET KAYIT'!P167="Kapatıldı",'ŞİKAYET KAYIT'!B167,""),"")</f>
        <v/>
      </c>
      <c r="C167" s="26" t="str">
        <f>IFERROR(IF('ŞİKAYET KAYIT'!P167="Kapatıldı",'ŞİKAYET KAYIT'!D167,""),"")</f>
        <v/>
      </c>
      <c r="D167" s="26" t="str">
        <f>IFERROR(IF('ŞİKAYET KAYIT'!P167="Kapatıldı",'ŞİKAYET KAYIT'!F167,""),"")</f>
        <v/>
      </c>
      <c r="E167" s="26" t="str">
        <f>IFERROR(IF('ŞİKAYET KAYIT'!P167="Kapatıldı",'ŞİKAYET KAYIT'!H167,""),"")</f>
        <v/>
      </c>
      <c r="F167" s="26" t="str">
        <f>IFERROR(IF('ŞİKAYET KAYIT'!P167="Kapatıldı",'ŞİKAYET KAYIT'!J167,""),"")</f>
        <v/>
      </c>
      <c r="G167" s="26" t="str">
        <f>IFERROR(IF('ŞİKAYET KAYIT'!P167="Kapatıldı",'ŞİKAYET KAYIT'!K167,""),"")</f>
        <v/>
      </c>
      <c r="H167" s="26" t="str">
        <f>IFERROR(IF('ŞİKAYET KAYIT'!P167="Kapatıldı",'ŞİKAYET KAYIT'!L167,""),"")</f>
        <v/>
      </c>
      <c r="I167" s="26" t="str">
        <f>IFERROR(IF('ŞİKAYET KAYIT'!P167="Kapatıldı",'ŞİKAYET KAYIT'!M167,""),"")</f>
        <v/>
      </c>
      <c r="J167" s="26" t="str">
        <f>IFERROR(IF('ŞİKAYET KAYIT'!P167="Kapatıldı",'ŞİKAYET KAYIT'!N167,""),"")</f>
        <v/>
      </c>
      <c r="K167" s="26" t="str">
        <f>IFERROR(IF('ŞİKAYET KAYIT'!P167="Kapatıldı",'ŞİKAYET KAYIT'!O167,""),"")</f>
        <v/>
      </c>
      <c r="L167" s="8" t="str">
        <f>IFERROR(IF('ŞİKAYET KAYIT'!P167="Kapatıldı",'ŞİKAYET KAYIT'!Q167,""),"")</f>
        <v/>
      </c>
      <c r="M167" s="26" t="str">
        <f>IFERROR(IF('ŞİKAYET KAYIT'!P167="Kapatıldı",'ŞİKAYET KAYIT'!R167,""),"")</f>
        <v/>
      </c>
      <c r="N167" s="26"/>
    </row>
    <row r="168" spans="1:14" ht="15" customHeight="1" x14ac:dyDescent="0.3">
      <c r="A168" s="11" t="str">
        <f>IFERROR(IF('ŞİKAYET KAYIT'!P168="Kapatıldı",'ŞİKAYET KAYIT'!A168,""),"")</f>
        <v/>
      </c>
      <c r="B168" s="12" t="str">
        <f>IFERROR(IF('ŞİKAYET KAYIT'!P168="Kapatıldı",'ŞİKAYET KAYIT'!B168,""),"")</f>
        <v/>
      </c>
      <c r="C168" s="11" t="str">
        <f>IFERROR(IF('ŞİKAYET KAYIT'!P168="Kapatıldı",'ŞİKAYET KAYIT'!D168,""),"")</f>
        <v/>
      </c>
      <c r="D168" s="11" t="str">
        <f>IFERROR(IF('ŞİKAYET KAYIT'!P168="Kapatıldı",'ŞİKAYET KAYIT'!F168,""),"")</f>
        <v/>
      </c>
      <c r="E168" s="11" t="str">
        <f>IFERROR(IF('ŞİKAYET KAYIT'!P168="Kapatıldı",'ŞİKAYET KAYIT'!H168,""),"")</f>
        <v/>
      </c>
      <c r="F168" s="11" t="str">
        <f>IFERROR(IF('ŞİKAYET KAYIT'!P168="Kapatıldı",'ŞİKAYET KAYIT'!J168,""),"")</f>
        <v/>
      </c>
      <c r="G168" s="11" t="str">
        <f>IFERROR(IF('ŞİKAYET KAYIT'!P168="Kapatıldı",'ŞİKAYET KAYIT'!K168,""),"")</f>
        <v/>
      </c>
      <c r="H168" s="11" t="str">
        <f>IFERROR(IF('ŞİKAYET KAYIT'!P168="Kapatıldı",'ŞİKAYET KAYIT'!L168,""),"")</f>
        <v/>
      </c>
      <c r="I168" s="11" t="str">
        <f>IFERROR(IF('ŞİKAYET KAYIT'!P168="Kapatıldı",'ŞİKAYET KAYIT'!M168,""),"")</f>
        <v/>
      </c>
      <c r="J168" s="11" t="str">
        <f>IFERROR(IF('ŞİKAYET KAYIT'!P168="Kapatıldı",'ŞİKAYET KAYIT'!N168,""),"")</f>
        <v/>
      </c>
      <c r="K168" s="11" t="str">
        <f>IFERROR(IF('ŞİKAYET KAYIT'!P168="Kapatıldı",'ŞİKAYET KAYIT'!O168,""),"")</f>
        <v/>
      </c>
      <c r="L168" s="12" t="str">
        <f>IFERROR(IF('ŞİKAYET KAYIT'!P168="Kapatıldı",'ŞİKAYET KAYIT'!Q168,""),"")</f>
        <v/>
      </c>
      <c r="M168" s="11" t="str">
        <f>IFERROR(IF('ŞİKAYET KAYIT'!P168="Kapatıldı",'ŞİKAYET KAYIT'!R168,""),"")</f>
        <v/>
      </c>
      <c r="N168" s="11"/>
    </row>
    <row r="169" spans="1:14" ht="15" customHeight="1" x14ac:dyDescent="0.3">
      <c r="A169" s="26" t="str">
        <f>IFERROR(IF('ŞİKAYET KAYIT'!P169="Kapatıldı",'ŞİKAYET KAYIT'!A169,""),"")</f>
        <v/>
      </c>
      <c r="B169" s="8" t="str">
        <f>IFERROR(IF('ŞİKAYET KAYIT'!P169="Kapatıldı",'ŞİKAYET KAYIT'!B169,""),"")</f>
        <v/>
      </c>
      <c r="C169" s="26" t="str">
        <f>IFERROR(IF('ŞİKAYET KAYIT'!P169="Kapatıldı",'ŞİKAYET KAYIT'!D169,""),"")</f>
        <v/>
      </c>
      <c r="D169" s="26" t="str">
        <f>IFERROR(IF('ŞİKAYET KAYIT'!P169="Kapatıldı",'ŞİKAYET KAYIT'!F169,""),"")</f>
        <v/>
      </c>
      <c r="E169" s="26" t="str">
        <f>IFERROR(IF('ŞİKAYET KAYIT'!P169="Kapatıldı",'ŞİKAYET KAYIT'!H169,""),"")</f>
        <v/>
      </c>
      <c r="F169" s="26" t="str">
        <f>IFERROR(IF('ŞİKAYET KAYIT'!P169="Kapatıldı",'ŞİKAYET KAYIT'!J169,""),"")</f>
        <v/>
      </c>
      <c r="G169" s="26" t="str">
        <f>IFERROR(IF('ŞİKAYET KAYIT'!P169="Kapatıldı",'ŞİKAYET KAYIT'!K169,""),"")</f>
        <v/>
      </c>
      <c r="H169" s="26" t="str">
        <f>IFERROR(IF('ŞİKAYET KAYIT'!P169="Kapatıldı",'ŞİKAYET KAYIT'!L169,""),"")</f>
        <v/>
      </c>
      <c r="I169" s="26" t="str">
        <f>IFERROR(IF('ŞİKAYET KAYIT'!P169="Kapatıldı",'ŞİKAYET KAYIT'!M169,""),"")</f>
        <v/>
      </c>
      <c r="J169" s="26" t="str">
        <f>IFERROR(IF('ŞİKAYET KAYIT'!P169="Kapatıldı",'ŞİKAYET KAYIT'!N169,""),"")</f>
        <v/>
      </c>
      <c r="K169" s="26" t="str">
        <f>IFERROR(IF('ŞİKAYET KAYIT'!P169="Kapatıldı",'ŞİKAYET KAYIT'!O169,""),"")</f>
        <v/>
      </c>
      <c r="L169" s="8" t="str">
        <f>IFERROR(IF('ŞİKAYET KAYIT'!P169="Kapatıldı",'ŞİKAYET KAYIT'!Q169,""),"")</f>
        <v/>
      </c>
      <c r="M169" s="26" t="str">
        <f>IFERROR(IF('ŞİKAYET KAYIT'!P169="Kapatıldı",'ŞİKAYET KAYIT'!R169,""),"")</f>
        <v/>
      </c>
      <c r="N169" s="26"/>
    </row>
    <row r="170" spans="1:14" ht="15" customHeight="1" x14ac:dyDescent="0.3">
      <c r="A170" s="11" t="str">
        <f>IFERROR(IF('ŞİKAYET KAYIT'!P170="Kapatıldı",'ŞİKAYET KAYIT'!A170,""),"")</f>
        <v/>
      </c>
      <c r="B170" s="12" t="str">
        <f>IFERROR(IF('ŞİKAYET KAYIT'!P170="Kapatıldı",'ŞİKAYET KAYIT'!B170,""),"")</f>
        <v/>
      </c>
      <c r="C170" s="11" t="str">
        <f>IFERROR(IF('ŞİKAYET KAYIT'!P170="Kapatıldı",'ŞİKAYET KAYIT'!D170,""),"")</f>
        <v/>
      </c>
      <c r="D170" s="11" t="str">
        <f>IFERROR(IF('ŞİKAYET KAYIT'!P170="Kapatıldı",'ŞİKAYET KAYIT'!F170,""),"")</f>
        <v/>
      </c>
      <c r="E170" s="11" t="str">
        <f>IFERROR(IF('ŞİKAYET KAYIT'!P170="Kapatıldı",'ŞİKAYET KAYIT'!H170,""),"")</f>
        <v/>
      </c>
      <c r="F170" s="11" t="str">
        <f>IFERROR(IF('ŞİKAYET KAYIT'!P170="Kapatıldı",'ŞİKAYET KAYIT'!J170,""),"")</f>
        <v/>
      </c>
      <c r="G170" s="11" t="str">
        <f>IFERROR(IF('ŞİKAYET KAYIT'!P170="Kapatıldı",'ŞİKAYET KAYIT'!K170,""),"")</f>
        <v/>
      </c>
      <c r="H170" s="11" t="str">
        <f>IFERROR(IF('ŞİKAYET KAYIT'!P170="Kapatıldı",'ŞİKAYET KAYIT'!L170,""),"")</f>
        <v/>
      </c>
      <c r="I170" s="11" t="str">
        <f>IFERROR(IF('ŞİKAYET KAYIT'!P170="Kapatıldı",'ŞİKAYET KAYIT'!M170,""),"")</f>
        <v/>
      </c>
      <c r="J170" s="11" t="str">
        <f>IFERROR(IF('ŞİKAYET KAYIT'!P170="Kapatıldı",'ŞİKAYET KAYIT'!N170,""),"")</f>
        <v/>
      </c>
      <c r="K170" s="11" t="str">
        <f>IFERROR(IF('ŞİKAYET KAYIT'!P170="Kapatıldı",'ŞİKAYET KAYIT'!O170,""),"")</f>
        <v/>
      </c>
      <c r="L170" s="12" t="str">
        <f>IFERROR(IF('ŞİKAYET KAYIT'!P170="Kapatıldı",'ŞİKAYET KAYIT'!Q170,""),"")</f>
        <v/>
      </c>
      <c r="M170" s="11" t="str">
        <f>IFERROR(IF('ŞİKAYET KAYIT'!P170="Kapatıldı",'ŞİKAYET KAYIT'!R170,""),"")</f>
        <v/>
      </c>
      <c r="N170" s="11"/>
    </row>
    <row r="171" spans="1:14" ht="15" customHeight="1" x14ac:dyDescent="0.3">
      <c r="A171" s="26" t="str">
        <f>IFERROR(IF('ŞİKAYET KAYIT'!P171="Kapatıldı",'ŞİKAYET KAYIT'!A171,""),"")</f>
        <v/>
      </c>
      <c r="B171" s="8" t="str">
        <f>IFERROR(IF('ŞİKAYET KAYIT'!P171="Kapatıldı",'ŞİKAYET KAYIT'!B171,""),"")</f>
        <v/>
      </c>
      <c r="C171" s="26" t="str">
        <f>IFERROR(IF('ŞİKAYET KAYIT'!P171="Kapatıldı",'ŞİKAYET KAYIT'!D171,""),"")</f>
        <v/>
      </c>
      <c r="D171" s="26" t="str">
        <f>IFERROR(IF('ŞİKAYET KAYIT'!P171="Kapatıldı",'ŞİKAYET KAYIT'!F171,""),"")</f>
        <v/>
      </c>
      <c r="E171" s="26" t="str">
        <f>IFERROR(IF('ŞİKAYET KAYIT'!P171="Kapatıldı",'ŞİKAYET KAYIT'!H171,""),"")</f>
        <v/>
      </c>
      <c r="F171" s="26" t="str">
        <f>IFERROR(IF('ŞİKAYET KAYIT'!P171="Kapatıldı",'ŞİKAYET KAYIT'!J171,""),"")</f>
        <v/>
      </c>
      <c r="G171" s="26" t="str">
        <f>IFERROR(IF('ŞİKAYET KAYIT'!P171="Kapatıldı",'ŞİKAYET KAYIT'!K171,""),"")</f>
        <v/>
      </c>
      <c r="H171" s="26" t="str">
        <f>IFERROR(IF('ŞİKAYET KAYIT'!P171="Kapatıldı",'ŞİKAYET KAYIT'!L171,""),"")</f>
        <v/>
      </c>
      <c r="I171" s="26" t="str">
        <f>IFERROR(IF('ŞİKAYET KAYIT'!P171="Kapatıldı",'ŞİKAYET KAYIT'!M171,""),"")</f>
        <v/>
      </c>
      <c r="J171" s="26" t="str">
        <f>IFERROR(IF('ŞİKAYET KAYIT'!P171="Kapatıldı",'ŞİKAYET KAYIT'!N171,""),"")</f>
        <v/>
      </c>
      <c r="K171" s="26" t="str">
        <f>IFERROR(IF('ŞİKAYET KAYIT'!P171="Kapatıldı",'ŞİKAYET KAYIT'!O171,""),"")</f>
        <v/>
      </c>
      <c r="L171" s="8" t="str">
        <f>IFERROR(IF('ŞİKAYET KAYIT'!P171="Kapatıldı",'ŞİKAYET KAYIT'!Q171,""),"")</f>
        <v/>
      </c>
      <c r="M171" s="26" t="str">
        <f>IFERROR(IF('ŞİKAYET KAYIT'!P171="Kapatıldı",'ŞİKAYET KAYIT'!R171,""),"")</f>
        <v/>
      </c>
      <c r="N171" s="26"/>
    </row>
    <row r="172" spans="1:14" ht="15" customHeight="1" x14ac:dyDescent="0.3">
      <c r="A172" s="11" t="str">
        <f>IFERROR(IF('ŞİKAYET KAYIT'!P172="Kapatıldı",'ŞİKAYET KAYIT'!A172,""),"")</f>
        <v/>
      </c>
      <c r="B172" s="12" t="str">
        <f>IFERROR(IF('ŞİKAYET KAYIT'!P172="Kapatıldı",'ŞİKAYET KAYIT'!B172,""),"")</f>
        <v/>
      </c>
      <c r="C172" s="11" t="str">
        <f>IFERROR(IF('ŞİKAYET KAYIT'!P172="Kapatıldı",'ŞİKAYET KAYIT'!D172,""),"")</f>
        <v/>
      </c>
      <c r="D172" s="11" t="str">
        <f>IFERROR(IF('ŞİKAYET KAYIT'!P172="Kapatıldı",'ŞİKAYET KAYIT'!F172,""),"")</f>
        <v/>
      </c>
      <c r="E172" s="11" t="str">
        <f>IFERROR(IF('ŞİKAYET KAYIT'!P172="Kapatıldı",'ŞİKAYET KAYIT'!H172,""),"")</f>
        <v/>
      </c>
      <c r="F172" s="11" t="str">
        <f>IFERROR(IF('ŞİKAYET KAYIT'!P172="Kapatıldı",'ŞİKAYET KAYIT'!J172,""),"")</f>
        <v/>
      </c>
      <c r="G172" s="11" t="str">
        <f>IFERROR(IF('ŞİKAYET KAYIT'!P172="Kapatıldı",'ŞİKAYET KAYIT'!K172,""),"")</f>
        <v/>
      </c>
      <c r="H172" s="11" t="str">
        <f>IFERROR(IF('ŞİKAYET KAYIT'!P172="Kapatıldı",'ŞİKAYET KAYIT'!L172,""),"")</f>
        <v/>
      </c>
      <c r="I172" s="11" t="str">
        <f>IFERROR(IF('ŞİKAYET KAYIT'!P172="Kapatıldı",'ŞİKAYET KAYIT'!M172,""),"")</f>
        <v/>
      </c>
      <c r="J172" s="11" t="str">
        <f>IFERROR(IF('ŞİKAYET KAYIT'!P172="Kapatıldı",'ŞİKAYET KAYIT'!N172,""),"")</f>
        <v/>
      </c>
      <c r="K172" s="11" t="str">
        <f>IFERROR(IF('ŞİKAYET KAYIT'!P172="Kapatıldı",'ŞİKAYET KAYIT'!O172,""),"")</f>
        <v/>
      </c>
      <c r="L172" s="12" t="str">
        <f>IFERROR(IF('ŞİKAYET KAYIT'!P172="Kapatıldı",'ŞİKAYET KAYIT'!Q172,""),"")</f>
        <v/>
      </c>
      <c r="M172" s="11" t="str">
        <f>IFERROR(IF('ŞİKAYET KAYIT'!P172="Kapatıldı",'ŞİKAYET KAYIT'!R172,""),"")</f>
        <v/>
      </c>
      <c r="N172" s="11"/>
    </row>
    <row r="173" spans="1:14" ht="15" customHeight="1" x14ac:dyDescent="0.3">
      <c r="A173" s="26" t="str">
        <f>IFERROR(IF('ŞİKAYET KAYIT'!P173="Kapatıldı",'ŞİKAYET KAYIT'!A173,""),"")</f>
        <v/>
      </c>
      <c r="B173" s="8" t="str">
        <f>IFERROR(IF('ŞİKAYET KAYIT'!P173="Kapatıldı",'ŞİKAYET KAYIT'!B173,""),"")</f>
        <v/>
      </c>
      <c r="C173" s="26" t="str">
        <f>IFERROR(IF('ŞİKAYET KAYIT'!P173="Kapatıldı",'ŞİKAYET KAYIT'!D173,""),"")</f>
        <v/>
      </c>
      <c r="D173" s="26" t="str">
        <f>IFERROR(IF('ŞİKAYET KAYIT'!P173="Kapatıldı",'ŞİKAYET KAYIT'!F173,""),"")</f>
        <v/>
      </c>
      <c r="E173" s="26" t="str">
        <f>IFERROR(IF('ŞİKAYET KAYIT'!P173="Kapatıldı",'ŞİKAYET KAYIT'!H173,""),"")</f>
        <v/>
      </c>
      <c r="F173" s="26" t="str">
        <f>IFERROR(IF('ŞİKAYET KAYIT'!P173="Kapatıldı",'ŞİKAYET KAYIT'!J173,""),"")</f>
        <v/>
      </c>
      <c r="G173" s="26" t="str">
        <f>IFERROR(IF('ŞİKAYET KAYIT'!P173="Kapatıldı",'ŞİKAYET KAYIT'!K173,""),"")</f>
        <v/>
      </c>
      <c r="H173" s="26" t="str">
        <f>IFERROR(IF('ŞİKAYET KAYIT'!P173="Kapatıldı",'ŞİKAYET KAYIT'!L173,""),"")</f>
        <v/>
      </c>
      <c r="I173" s="26" t="str">
        <f>IFERROR(IF('ŞİKAYET KAYIT'!P173="Kapatıldı",'ŞİKAYET KAYIT'!M173,""),"")</f>
        <v/>
      </c>
      <c r="J173" s="26" t="str">
        <f>IFERROR(IF('ŞİKAYET KAYIT'!P173="Kapatıldı",'ŞİKAYET KAYIT'!N173,""),"")</f>
        <v/>
      </c>
      <c r="K173" s="26" t="str">
        <f>IFERROR(IF('ŞİKAYET KAYIT'!P173="Kapatıldı",'ŞİKAYET KAYIT'!O173,""),"")</f>
        <v/>
      </c>
      <c r="L173" s="8" t="str">
        <f>IFERROR(IF('ŞİKAYET KAYIT'!P173="Kapatıldı",'ŞİKAYET KAYIT'!Q173,""),"")</f>
        <v/>
      </c>
      <c r="M173" s="26" t="str">
        <f>IFERROR(IF('ŞİKAYET KAYIT'!P173="Kapatıldı",'ŞİKAYET KAYIT'!R173,""),"")</f>
        <v/>
      </c>
      <c r="N173" s="26"/>
    </row>
    <row r="174" spans="1:14" ht="15" customHeight="1" x14ac:dyDescent="0.3">
      <c r="A174" s="11" t="str">
        <f>IFERROR(IF('ŞİKAYET KAYIT'!P174="Kapatıldı",'ŞİKAYET KAYIT'!A174,""),"")</f>
        <v/>
      </c>
      <c r="B174" s="12" t="str">
        <f>IFERROR(IF('ŞİKAYET KAYIT'!P174="Kapatıldı",'ŞİKAYET KAYIT'!B174,""),"")</f>
        <v/>
      </c>
      <c r="C174" s="11" t="str">
        <f>IFERROR(IF('ŞİKAYET KAYIT'!P174="Kapatıldı",'ŞİKAYET KAYIT'!D174,""),"")</f>
        <v/>
      </c>
      <c r="D174" s="11" t="str">
        <f>IFERROR(IF('ŞİKAYET KAYIT'!P174="Kapatıldı",'ŞİKAYET KAYIT'!F174,""),"")</f>
        <v/>
      </c>
      <c r="E174" s="11" t="str">
        <f>IFERROR(IF('ŞİKAYET KAYIT'!P174="Kapatıldı",'ŞİKAYET KAYIT'!H174,""),"")</f>
        <v/>
      </c>
      <c r="F174" s="11" t="str">
        <f>IFERROR(IF('ŞİKAYET KAYIT'!P174="Kapatıldı",'ŞİKAYET KAYIT'!J174,""),"")</f>
        <v/>
      </c>
      <c r="G174" s="11" t="str">
        <f>IFERROR(IF('ŞİKAYET KAYIT'!P174="Kapatıldı",'ŞİKAYET KAYIT'!K174,""),"")</f>
        <v/>
      </c>
      <c r="H174" s="11" t="str">
        <f>IFERROR(IF('ŞİKAYET KAYIT'!P174="Kapatıldı",'ŞİKAYET KAYIT'!L174,""),"")</f>
        <v/>
      </c>
      <c r="I174" s="11" t="str">
        <f>IFERROR(IF('ŞİKAYET KAYIT'!P174="Kapatıldı",'ŞİKAYET KAYIT'!M174,""),"")</f>
        <v/>
      </c>
      <c r="J174" s="11" t="str">
        <f>IFERROR(IF('ŞİKAYET KAYIT'!P174="Kapatıldı",'ŞİKAYET KAYIT'!N174,""),"")</f>
        <v/>
      </c>
      <c r="K174" s="11" t="str">
        <f>IFERROR(IF('ŞİKAYET KAYIT'!P174="Kapatıldı",'ŞİKAYET KAYIT'!O174,""),"")</f>
        <v/>
      </c>
      <c r="L174" s="12" t="str">
        <f>IFERROR(IF('ŞİKAYET KAYIT'!P174="Kapatıldı",'ŞİKAYET KAYIT'!Q174,""),"")</f>
        <v/>
      </c>
      <c r="M174" s="11" t="str">
        <f>IFERROR(IF('ŞİKAYET KAYIT'!P174="Kapatıldı",'ŞİKAYET KAYIT'!R174,""),"")</f>
        <v/>
      </c>
      <c r="N174" s="11"/>
    </row>
    <row r="175" spans="1:14" ht="15" customHeight="1" x14ac:dyDescent="0.3">
      <c r="A175" s="26" t="str">
        <f>IFERROR(IF('ŞİKAYET KAYIT'!P175="Kapatıldı",'ŞİKAYET KAYIT'!A175,""),"")</f>
        <v/>
      </c>
      <c r="B175" s="8" t="str">
        <f>IFERROR(IF('ŞİKAYET KAYIT'!P175="Kapatıldı",'ŞİKAYET KAYIT'!B175,""),"")</f>
        <v/>
      </c>
      <c r="C175" s="26" t="str">
        <f>IFERROR(IF('ŞİKAYET KAYIT'!P175="Kapatıldı",'ŞİKAYET KAYIT'!D175,""),"")</f>
        <v/>
      </c>
      <c r="D175" s="26" t="str">
        <f>IFERROR(IF('ŞİKAYET KAYIT'!P175="Kapatıldı",'ŞİKAYET KAYIT'!F175,""),"")</f>
        <v/>
      </c>
      <c r="E175" s="26" t="str">
        <f>IFERROR(IF('ŞİKAYET KAYIT'!P175="Kapatıldı",'ŞİKAYET KAYIT'!H175,""),"")</f>
        <v/>
      </c>
      <c r="F175" s="26" t="str">
        <f>IFERROR(IF('ŞİKAYET KAYIT'!P175="Kapatıldı",'ŞİKAYET KAYIT'!J175,""),"")</f>
        <v/>
      </c>
      <c r="G175" s="26" t="str">
        <f>IFERROR(IF('ŞİKAYET KAYIT'!P175="Kapatıldı",'ŞİKAYET KAYIT'!K175,""),"")</f>
        <v/>
      </c>
      <c r="H175" s="26" t="str">
        <f>IFERROR(IF('ŞİKAYET KAYIT'!P175="Kapatıldı",'ŞİKAYET KAYIT'!L175,""),"")</f>
        <v/>
      </c>
      <c r="I175" s="26" t="str">
        <f>IFERROR(IF('ŞİKAYET KAYIT'!P175="Kapatıldı",'ŞİKAYET KAYIT'!M175,""),"")</f>
        <v/>
      </c>
      <c r="J175" s="26" t="str">
        <f>IFERROR(IF('ŞİKAYET KAYIT'!P175="Kapatıldı",'ŞİKAYET KAYIT'!N175,""),"")</f>
        <v/>
      </c>
      <c r="K175" s="26" t="str">
        <f>IFERROR(IF('ŞİKAYET KAYIT'!P175="Kapatıldı",'ŞİKAYET KAYIT'!O175,""),"")</f>
        <v/>
      </c>
      <c r="L175" s="8" t="str">
        <f>IFERROR(IF('ŞİKAYET KAYIT'!P175="Kapatıldı",'ŞİKAYET KAYIT'!Q175,""),"")</f>
        <v/>
      </c>
      <c r="M175" s="26" t="str">
        <f>IFERROR(IF('ŞİKAYET KAYIT'!P175="Kapatıldı",'ŞİKAYET KAYIT'!R175,""),"")</f>
        <v/>
      </c>
      <c r="N175" s="26"/>
    </row>
    <row r="176" spans="1:14" ht="15" customHeight="1" x14ac:dyDescent="0.3">
      <c r="A176" s="11" t="str">
        <f>IFERROR(IF('ŞİKAYET KAYIT'!P176="Kapatıldı",'ŞİKAYET KAYIT'!A176,""),"")</f>
        <v/>
      </c>
      <c r="B176" s="12" t="str">
        <f>IFERROR(IF('ŞİKAYET KAYIT'!P176="Kapatıldı",'ŞİKAYET KAYIT'!B176,""),"")</f>
        <v/>
      </c>
      <c r="C176" s="11" t="str">
        <f>IFERROR(IF('ŞİKAYET KAYIT'!P176="Kapatıldı",'ŞİKAYET KAYIT'!D176,""),"")</f>
        <v/>
      </c>
      <c r="D176" s="11" t="str">
        <f>IFERROR(IF('ŞİKAYET KAYIT'!P176="Kapatıldı",'ŞİKAYET KAYIT'!F176,""),"")</f>
        <v/>
      </c>
      <c r="E176" s="11" t="str">
        <f>IFERROR(IF('ŞİKAYET KAYIT'!P176="Kapatıldı",'ŞİKAYET KAYIT'!H176,""),"")</f>
        <v/>
      </c>
      <c r="F176" s="11" t="str">
        <f>IFERROR(IF('ŞİKAYET KAYIT'!P176="Kapatıldı",'ŞİKAYET KAYIT'!J176,""),"")</f>
        <v/>
      </c>
      <c r="G176" s="11" t="str">
        <f>IFERROR(IF('ŞİKAYET KAYIT'!P176="Kapatıldı",'ŞİKAYET KAYIT'!K176,""),"")</f>
        <v/>
      </c>
      <c r="H176" s="11" t="str">
        <f>IFERROR(IF('ŞİKAYET KAYIT'!P176="Kapatıldı",'ŞİKAYET KAYIT'!L176,""),"")</f>
        <v/>
      </c>
      <c r="I176" s="11" t="str">
        <f>IFERROR(IF('ŞİKAYET KAYIT'!P176="Kapatıldı",'ŞİKAYET KAYIT'!M176,""),"")</f>
        <v/>
      </c>
      <c r="J176" s="11" t="str">
        <f>IFERROR(IF('ŞİKAYET KAYIT'!P176="Kapatıldı",'ŞİKAYET KAYIT'!N176,""),"")</f>
        <v/>
      </c>
      <c r="K176" s="11" t="str">
        <f>IFERROR(IF('ŞİKAYET KAYIT'!P176="Kapatıldı",'ŞİKAYET KAYIT'!O176,""),"")</f>
        <v/>
      </c>
      <c r="L176" s="12" t="str">
        <f>IFERROR(IF('ŞİKAYET KAYIT'!P176="Kapatıldı",'ŞİKAYET KAYIT'!Q176,""),"")</f>
        <v/>
      </c>
      <c r="M176" s="11" t="str">
        <f>IFERROR(IF('ŞİKAYET KAYIT'!P176="Kapatıldı",'ŞİKAYET KAYIT'!R176,""),"")</f>
        <v/>
      </c>
      <c r="N176" s="11"/>
    </row>
    <row r="177" spans="1:14" ht="15" customHeight="1" x14ac:dyDescent="0.3">
      <c r="A177" s="26" t="str">
        <f>IFERROR(IF('ŞİKAYET KAYIT'!P177="Kapatıldı",'ŞİKAYET KAYIT'!A177,""),"")</f>
        <v/>
      </c>
      <c r="B177" s="8" t="str">
        <f>IFERROR(IF('ŞİKAYET KAYIT'!P177="Kapatıldı",'ŞİKAYET KAYIT'!B177,""),"")</f>
        <v/>
      </c>
      <c r="C177" s="26" t="str">
        <f>IFERROR(IF('ŞİKAYET KAYIT'!P177="Kapatıldı",'ŞİKAYET KAYIT'!D177,""),"")</f>
        <v/>
      </c>
      <c r="D177" s="26" t="str">
        <f>IFERROR(IF('ŞİKAYET KAYIT'!P177="Kapatıldı",'ŞİKAYET KAYIT'!F177,""),"")</f>
        <v/>
      </c>
      <c r="E177" s="26" t="str">
        <f>IFERROR(IF('ŞİKAYET KAYIT'!P177="Kapatıldı",'ŞİKAYET KAYIT'!H177,""),"")</f>
        <v/>
      </c>
      <c r="F177" s="26" t="str">
        <f>IFERROR(IF('ŞİKAYET KAYIT'!P177="Kapatıldı",'ŞİKAYET KAYIT'!J177,""),"")</f>
        <v/>
      </c>
      <c r="G177" s="26" t="str">
        <f>IFERROR(IF('ŞİKAYET KAYIT'!P177="Kapatıldı",'ŞİKAYET KAYIT'!K177,""),"")</f>
        <v/>
      </c>
      <c r="H177" s="26" t="str">
        <f>IFERROR(IF('ŞİKAYET KAYIT'!P177="Kapatıldı",'ŞİKAYET KAYIT'!L177,""),"")</f>
        <v/>
      </c>
      <c r="I177" s="26" t="str">
        <f>IFERROR(IF('ŞİKAYET KAYIT'!P177="Kapatıldı",'ŞİKAYET KAYIT'!M177,""),"")</f>
        <v/>
      </c>
      <c r="J177" s="26" t="str">
        <f>IFERROR(IF('ŞİKAYET KAYIT'!P177="Kapatıldı",'ŞİKAYET KAYIT'!N177,""),"")</f>
        <v/>
      </c>
      <c r="K177" s="26" t="str">
        <f>IFERROR(IF('ŞİKAYET KAYIT'!P177="Kapatıldı",'ŞİKAYET KAYIT'!O177,""),"")</f>
        <v/>
      </c>
      <c r="L177" s="8" t="str">
        <f>IFERROR(IF('ŞİKAYET KAYIT'!P177="Kapatıldı",'ŞİKAYET KAYIT'!Q177,""),"")</f>
        <v/>
      </c>
      <c r="M177" s="26" t="str">
        <f>IFERROR(IF('ŞİKAYET KAYIT'!P177="Kapatıldı",'ŞİKAYET KAYIT'!R177,""),"")</f>
        <v/>
      </c>
      <c r="N177" s="26"/>
    </row>
    <row r="178" spans="1:14" ht="15" customHeight="1" x14ac:dyDescent="0.3">
      <c r="A178" s="11" t="str">
        <f>IFERROR(IF('ŞİKAYET KAYIT'!P178="Kapatıldı",'ŞİKAYET KAYIT'!A178,""),"")</f>
        <v/>
      </c>
      <c r="B178" s="12" t="str">
        <f>IFERROR(IF('ŞİKAYET KAYIT'!P178="Kapatıldı",'ŞİKAYET KAYIT'!B178,""),"")</f>
        <v/>
      </c>
      <c r="C178" s="11" t="str">
        <f>IFERROR(IF('ŞİKAYET KAYIT'!P178="Kapatıldı",'ŞİKAYET KAYIT'!D178,""),"")</f>
        <v/>
      </c>
      <c r="D178" s="11" t="str">
        <f>IFERROR(IF('ŞİKAYET KAYIT'!P178="Kapatıldı",'ŞİKAYET KAYIT'!F178,""),"")</f>
        <v/>
      </c>
      <c r="E178" s="11" t="str">
        <f>IFERROR(IF('ŞİKAYET KAYIT'!P178="Kapatıldı",'ŞİKAYET KAYIT'!H178,""),"")</f>
        <v/>
      </c>
      <c r="F178" s="11" t="str">
        <f>IFERROR(IF('ŞİKAYET KAYIT'!P178="Kapatıldı",'ŞİKAYET KAYIT'!J178,""),"")</f>
        <v/>
      </c>
      <c r="G178" s="11" t="str">
        <f>IFERROR(IF('ŞİKAYET KAYIT'!P178="Kapatıldı",'ŞİKAYET KAYIT'!K178,""),"")</f>
        <v/>
      </c>
      <c r="H178" s="11" t="str">
        <f>IFERROR(IF('ŞİKAYET KAYIT'!P178="Kapatıldı",'ŞİKAYET KAYIT'!L178,""),"")</f>
        <v/>
      </c>
      <c r="I178" s="11" t="str">
        <f>IFERROR(IF('ŞİKAYET KAYIT'!P178="Kapatıldı",'ŞİKAYET KAYIT'!M178,""),"")</f>
        <v/>
      </c>
      <c r="J178" s="11" t="str">
        <f>IFERROR(IF('ŞİKAYET KAYIT'!P178="Kapatıldı",'ŞİKAYET KAYIT'!N178,""),"")</f>
        <v/>
      </c>
      <c r="K178" s="11" t="str">
        <f>IFERROR(IF('ŞİKAYET KAYIT'!P178="Kapatıldı",'ŞİKAYET KAYIT'!O178,""),"")</f>
        <v/>
      </c>
      <c r="L178" s="12" t="str">
        <f>IFERROR(IF('ŞİKAYET KAYIT'!P178="Kapatıldı",'ŞİKAYET KAYIT'!Q178,""),"")</f>
        <v/>
      </c>
      <c r="M178" s="11" t="str">
        <f>IFERROR(IF('ŞİKAYET KAYIT'!P178="Kapatıldı",'ŞİKAYET KAYIT'!R178,""),"")</f>
        <v/>
      </c>
      <c r="N178" s="11"/>
    </row>
    <row r="179" spans="1:14" ht="15" customHeight="1" x14ac:dyDescent="0.3">
      <c r="A179" s="26" t="str">
        <f>IFERROR(IF('ŞİKAYET KAYIT'!P179="Kapatıldı",'ŞİKAYET KAYIT'!A179,""),"")</f>
        <v/>
      </c>
      <c r="B179" s="8" t="str">
        <f>IFERROR(IF('ŞİKAYET KAYIT'!P179="Kapatıldı",'ŞİKAYET KAYIT'!B179,""),"")</f>
        <v/>
      </c>
      <c r="C179" s="26" t="str">
        <f>IFERROR(IF('ŞİKAYET KAYIT'!P179="Kapatıldı",'ŞİKAYET KAYIT'!D179,""),"")</f>
        <v/>
      </c>
      <c r="D179" s="26" t="str">
        <f>IFERROR(IF('ŞİKAYET KAYIT'!P179="Kapatıldı",'ŞİKAYET KAYIT'!F179,""),"")</f>
        <v/>
      </c>
      <c r="E179" s="26" t="str">
        <f>IFERROR(IF('ŞİKAYET KAYIT'!P179="Kapatıldı",'ŞİKAYET KAYIT'!H179,""),"")</f>
        <v/>
      </c>
      <c r="F179" s="26" t="str">
        <f>IFERROR(IF('ŞİKAYET KAYIT'!P179="Kapatıldı",'ŞİKAYET KAYIT'!J179,""),"")</f>
        <v/>
      </c>
      <c r="G179" s="26" t="str">
        <f>IFERROR(IF('ŞİKAYET KAYIT'!P179="Kapatıldı",'ŞİKAYET KAYIT'!K179,""),"")</f>
        <v/>
      </c>
      <c r="H179" s="26" t="str">
        <f>IFERROR(IF('ŞİKAYET KAYIT'!P179="Kapatıldı",'ŞİKAYET KAYIT'!L179,""),"")</f>
        <v/>
      </c>
      <c r="I179" s="26" t="str">
        <f>IFERROR(IF('ŞİKAYET KAYIT'!P179="Kapatıldı",'ŞİKAYET KAYIT'!M179,""),"")</f>
        <v/>
      </c>
      <c r="J179" s="26" t="str">
        <f>IFERROR(IF('ŞİKAYET KAYIT'!P179="Kapatıldı",'ŞİKAYET KAYIT'!N179,""),"")</f>
        <v/>
      </c>
      <c r="K179" s="26" t="str">
        <f>IFERROR(IF('ŞİKAYET KAYIT'!P179="Kapatıldı",'ŞİKAYET KAYIT'!O179,""),"")</f>
        <v/>
      </c>
      <c r="L179" s="8" t="str">
        <f>IFERROR(IF('ŞİKAYET KAYIT'!P179="Kapatıldı",'ŞİKAYET KAYIT'!Q179,""),"")</f>
        <v/>
      </c>
      <c r="M179" s="26" t="str">
        <f>IFERROR(IF('ŞİKAYET KAYIT'!P179="Kapatıldı",'ŞİKAYET KAYIT'!R179,""),"")</f>
        <v/>
      </c>
      <c r="N179" s="26"/>
    </row>
    <row r="180" spans="1:14" ht="15" customHeight="1" x14ac:dyDescent="0.3">
      <c r="A180" s="11" t="str">
        <f>IFERROR(IF('ŞİKAYET KAYIT'!P180="Kapatıldı",'ŞİKAYET KAYIT'!A180,""),"")</f>
        <v/>
      </c>
      <c r="B180" s="12" t="str">
        <f>IFERROR(IF('ŞİKAYET KAYIT'!P180="Kapatıldı",'ŞİKAYET KAYIT'!B180,""),"")</f>
        <v/>
      </c>
      <c r="C180" s="11" t="str">
        <f>IFERROR(IF('ŞİKAYET KAYIT'!P180="Kapatıldı",'ŞİKAYET KAYIT'!D180,""),"")</f>
        <v/>
      </c>
      <c r="D180" s="11" t="str">
        <f>IFERROR(IF('ŞİKAYET KAYIT'!P180="Kapatıldı",'ŞİKAYET KAYIT'!F180,""),"")</f>
        <v/>
      </c>
      <c r="E180" s="11" t="str">
        <f>IFERROR(IF('ŞİKAYET KAYIT'!P180="Kapatıldı",'ŞİKAYET KAYIT'!H180,""),"")</f>
        <v/>
      </c>
      <c r="F180" s="11" t="str">
        <f>IFERROR(IF('ŞİKAYET KAYIT'!P180="Kapatıldı",'ŞİKAYET KAYIT'!J180,""),"")</f>
        <v/>
      </c>
      <c r="G180" s="11" t="str">
        <f>IFERROR(IF('ŞİKAYET KAYIT'!P180="Kapatıldı",'ŞİKAYET KAYIT'!K180,""),"")</f>
        <v/>
      </c>
      <c r="H180" s="11" t="str">
        <f>IFERROR(IF('ŞİKAYET KAYIT'!P180="Kapatıldı",'ŞİKAYET KAYIT'!L180,""),"")</f>
        <v/>
      </c>
      <c r="I180" s="11" t="str">
        <f>IFERROR(IF('ŞİKAYET KAYIT'!P180="Kapatıldı",'ŞİKAYET KAYIT'!M180,""),"")</f>
        <v/>
      </c>
      <c r="J180" s="11" t="str">
        <f>IFERROR(IF('ŞİKAYET KAYIT'!P180="Kapatıldı",'ŞİKAYET KAYIT'!N180,""),"")</f>
        <v/>
      </c>
      <c r="K180" s="11" t="str">
        <f>IFERROR(IF('ŞİKAYET KAYIT'!P180="Kapatıldı",'ŞİKAYET KAYIT'!O180,""),"")</f>
        <v/>
      </c>
      <c r="L180" s="12" t="str">
        <f>IFERROR(IF('ŞİKAYET KAYIT'!P180="Kapatıldı",'ŞİKAYET KAYIT'!Q180,""),"")</f>
        <v/>
      </c>
      <c r="M180" s="11" t="str">
        <f>IFERROR(IF('ŞİKAYET KAYIT'!P180="Kapatıldı",'ŞİKAYET KAYIT'!R180,""),"")</f>
        <v/>
      </c>
      <c r="N180" s="11"/>
    </row>
    <row r="181" spans="1:14" ht="15" customHeight="1" x14ac:dyDescent="0.3">
      <c r="A181" s="26" t="str">
        <f>IFERROR(IF('ŞİKAYET KAYIT'!P181="Kapatıldı",'ŞİKAYET KAYIT'!A181,""),"")</f>
        <v/>
      </c>
      <c r="B181" s="8" t="str">
        <f>IFERROR(IF('ŞİKAYET KAYIT'!P181="Kapatıldı",'ŞİKAYET KAYIT'!B181,""),"")</f>
        <v/>
      </c>
      <c r="C181" s="26" t="str">
        <f>IFERROR(IF('ŞİKAYET KAYIT'!P181="Kapatıldı",'ŞİKAYET KAYIT'!D181,""),"")</f>
        <v/>
      </c>
      <c r="D181" s="26" t="str">
        <f>IFERROR(IF('ŞİKAYET KAYIT'!P181="Kapatıldı",'ŞİKAYET KAYIT'!F181,""),"")</f>
        <v/>
      </c>
      <c r="E181" s="26" t="str">
        <f>IFERROR(IF('ŞİKAYET KAYIT'!P181="Kapatıldı",'ŞİKAYET KAYIT'!H181,""),"")</f>
        <v/>
      </c>
      <c r="F181" s="26" t="str">
        <f>IFERROR(IF('ŞİKAYET KAYIT'!P181="Kapatıldı",'ŞİKAYET KAYIT'!J181,""),"")</f>
        <v/>
      </c>
      <c r="G181" s="26" t="str">
        <f>IFERROR(IF('ŞİKAYET KAYIT'!P181="Kapatıldı",'ŞİKAYET KAYIT'!K181,""),"")</f>
        <v/>
      </c>
      <c r="H181" s="26" t="str">
        <f>IFERROR(IF('ŞİKAYET KAYIT'!P181="Kapatıldı",'ŞİKAYET KAYIT'!L181,""),"")</f>
        <v/>
      </c>
      <c r="I181" s="26" t="str">
        <f>IFERROR(IF('ŞİKAYET KAYIT'!P181="Kapatıldı",'ŞİKAYET KAYIT'!M181,""),"")</f>
        <v/>
      </c>
      <c r="J181" s="26" t="str">
        <f>IFERROR(IF('ŞİKAYET KAYIT'!P181="Kapatıldı",'ŞİKAYET KAYIT'!N181,""),"")</f>
        <v/>
      </c>
      <c r="K181" s="26" t="str">
        <f>IFERROR(IF('ŞİKAYET KAYIT'!P181="Kapatıldı",'ŞİKAYET KAYIT'!O181,""),"")</f>
        <v/>
      </c>
      <c r="L181" s="8" t="str">
        <f>IFERROR(IF('ŞİKAYET KAYIT'!P181="Kapatıldı",'ŞİKAYET KAYIT'!Q181,""),"")</f>
        <v/>
      </c>
      <c r="M181" s="26" t="str">
        <f>IFERROR(IF('ŞİKAYET KAYIT'!P181="Kapatıldı",'ŞİKAYET KAYIT'!R181,""),"")</f>
        <v/>
      </c>
      <c r="N181" s="26"/>
    </row>
    <row r="182" spans="1:14" ht="15" customHeight="1" x14ac:dyDescent="0.3">
      <c r="A182" s="11" t="str">
        <f>IFERROR(IF('ŞİKAYET KAYIT'!P182="Kapatıldı",'ŞİKAYET KAYIT'!A182,""),"")</f>
        <v/>
      </c>
      <c r="B182" s="12" t="str">
        <f>IFERROR(IF('ŞİKAYET KAYIT'!P182="Kapatıldı",'ŞİKAYET KAYIT'!B182,""),"")</f>
        <v/>
      </c>
      <c r="C182" s="11" t="str">
        <f>IFERROR(IF('ŞİKAYET KAYIT'!P182="Kapatıldı",'ŞİKAYET KAYIT'!D182,""),"")</f>
        <v/>
      </c>
      <c r="D182" s="11" t="str">
        <f>IFERROR(IF('ŞİKAYET KAYIT'!P182="Kapatıldı",'ŞİKAYET KAYIT'!F182,""),"")</f>
        <v/>
      </c>
      <c r="E182" s="11" t="str">
        <f>IFERROR(IF('ŞİKAYET KAYIT'!P182="Kapatıldı",'ŞİKAYET KAYIT'!H182,""),"")</f>
        <v/>
      </c>
      <c r="F182" s="11" t="str">
        <f>IFERROR(IF('ŞİKAYET KAYIT'!P182="Kapatıldı",'ŞİKAYET KAYIT'!J182,""),"")</f>
        <v/>
      </c>
      <c r="G182" s="11" t="str">
        <f>IFERROR(IF('ŞİKAYET KAYIT'!P182="Kapatıldı",'ŞİKAYET KAYIT'!K182,""),"")</f>
        <v/>
      </c>
      <c r="H182" s="11" t="str">
        <f>IFERROR(IF('ŞİKAYET KAYIT'!P182="Kapatıldı",'ŞİKAYET KAYIT'!L182,""),"")</f>
        <v/>
      </c>
      <c r="I182" s="11" t="str">
        <f>IFERROR(IF('ŞİKAYET KAYIT'!P182="Kapatıldı",'ŞİKAYET KAYIT'!M182,""),"")</f>
        <v/>
      </c>
      <c r="J182" s="11" t="str">
        <f>IFERROR(IF('ŞİKAYET KAYIT'!P182="Kapatıldı",'ŞİKAYET KAYIT'!N182,""),"")</f>
        <v/>
      </c>
      <c r="K182" s="11" t="str">
        <f>IFERROR(IF('ŞİKAYET KAYIT'!P182="Kapatıldı",'ŞİKAYET KAYIT'!O182,""),"")</f>
        <v/>
      </c>
      <c r="L182" s="12" t="str">
        <f>IFERROR(IF('ŞİKAYET KAYIT'!P182="Kapatıldı",'ŞİKAYET KAYIT'!Q182,""),"")</f>
        <v/>
      </c>
      <c r="M182" s="11" t="str">
        <f>IFERROR(IF('ŞİKAYET KAYIT'!P182="Kapatıldı",'ŞİKAYET KAYIT'!R182,""),"")</f>
        <v/>
      </c>
      <c r="N182" s="11"/>
    </row>
    <row r="183" spans="1:14" ht="15" customHeight="1" x14ac:dyDescent="0.3">
      <c r="A183" s="26" t="str">
        <f>IFERROR(IF('ŞİKAYET KAYIT'!P183="Kapatıldı",'ŞİKAYET KAYIT'!A183,""),"")</f>
        <v/>
      </c>
      <c r="B183" s="8" t="str">
        <f>IFERROR(IF('ŞİKAYET KAYIT'!P183="Kapatıldı",'ŞİKAYET KAYIT'!B183,""),"")</f>
        <v/>
      </c>
      <c r="C183" s="26" t="str">
        <f>IFERROR(IF('ŞİKAYET KAYIT'!P183="Kapatıldı",'ŞİKAYET KAYIT'!D183,""),"")</f>
        <v/>
      </c>
      <c r="D183" s="26" t="str">
        <f>IFERROR(IF('ŞİKAYET KAYIT'!P183="Kapatıldı",'ŞİKAYET KAYIT'!F183,""),"")</f>
        <v/>
      </c>
      <c r="E183" s="26" t="str">
        <f>IFERROR(IF('ŞİKAYET KAYIT'!P183="Kapatıldı",'ŞİKAYET KAYIT'!H183,""),"")</f>
        <v/>
      </c>
      <c r="F183" s="26" t="str">
        <f>IFERROR(IF('ŞİKAYET KAYIT'!P183="Kapatıldı",'ŞİKAYET KAYIT'!J183,""),"")</f>
        <v/>
      </c>
      <c r="G183" s="26" t="str">
        <f>IFERROR(IF('ŞİKAYET KAYIT'!P183="Kapatıldı",'ŞİKAYET KAYIT'!K183,""),"")</f>
        <v/>
      </c>
      <c r="H183" s="26" t="str">
        <f>IFERROR(IF('ŞİKAYET KAYIT'!P183="Kapatıldı",'ŞİKAYET KAYIT'!L183,""),"")</f>
        <v/>
      </c>
      <c r="I183" s="26" t="str">
        <f>IFERROR(IF('ŞİKAYET KAYIT'!P183="Kapatıldı",'ŞİKAYET KAYIT'!M183,""),"")</f>
        <v/>
      </c>
      <c r="J183" s="26" t="str">
        <f>IFERROR(IF('ŞİKAYET KAYIT'!P183="Kapatıldı",'ŞİKAYET KAYIT'!N183,""),"")</f>
        <v/>
      </c>
      <c r="K183" s="26" t="str">
        <f>IFERROR(IF('ŞİKAYET KAYIT'!P183="Kapatıldı",'ŞİKAYET KAYIT'!O183,""),"")</f>
        <v/>
      </c>
      <c r="L183" s="8" t="str">
        <f>IFERROR(IF('ŞİKAYET KAYIT'!P183="Kapatıldı",'ŞİKAYET KAYIT'!Q183,""),"")</f>
        <v/>
      </c>
      <c r="M183" s="26" t="str">
        <f>IFERROR(IF('ŞİKAYET KAYIT'!P183="Kapatıldı",'ŞİKAYET KAYIT'!R183,""),"")</f>
        <v/>
      </c>
      <c r="N183" s="26"/>
    </row>
    <row r="184" spans="1:14" ht="15" customHeight="1" x14ac:dyDescent="0.3">
      <c r="A184" s="11" t="str">
        <f>IFERROR(IF('ŞİKAYET KAYIT'!P184="Kapatıldı",'ŞİKAYET KAYIT'!A184,""),"")</f>
        <v/>
      </c>
      <c r="B184" s="12" t="str">
        <f>IFERROR(IF('ŞİKAYET KAYIT'!P184="Kapatıldı",'ŞİKAYET KAYIT'!B184,""),"")</f>
        <v/>
      </c>
      <c r="C184" s="11" t="str">
        <f>IFERROR(IF('ŞİKAYET KAYIT'!P184="Kapatıldı",'ŞİKAYET KAYIT'!D184,""),"")</f>
        <v/>
      </c>
      <c r="D184" s="11" t="str">
        <f>IFERROR(IF('ŞİKAYET KAYIT'!P184="Kapatıldı",'ŞİKAYET KAYIT'!F184,""),"")</f>
        <v/>
      </c>
      <c r="E184" s="11" t="str">
        <f>IFERROR(IF('ŞİKAYET KAYIT'!P184="Kapatıldı",'ŞİKAYET KAYIT'!H184,""),"")</f>
        <v/>
      </c>
      <c r="F184" s="11" t="str">
        <f>IFERROR(IF('ŞİKAYET KAYIT'!P184="Kapatıldı",'ŞİKAYET KAYIT'!J184,""),"")</f>
        <v/>
      </c>
      <c r="G184" s="11" t="str">
        <f>IFERROR(IF('ŞİKAYET KAYIT'!P184="Kapatıldı",'ŞİKAYET KAYIT'!K184,""),"")</f>
        <v/>
      </c>
      <c r="H184" s="11" t="str">
        <f>IFERROR(IF('ŞİKAYET KAYIT'!P184="Kapatıldı",'ŞİKAYET KAYIT'!L184,""),"")</f>
        <v/>
      </c>
      <c r="I184" s="11" t="str">
        <f>IFERROR(IF('ŞİKAYET KAYIT'!P184="Kapatıldı",'ŞİKAYET KAYIT'!M184,""),"")</f>
        <v/>
      </c>
      <c r="J184" s="11" t="str">
        <f>IFERROR(IF('ŞİKAYET KAYIT'!P184="Kapatıldı",'ŞİKAYET KAYIT'!N184,""),"")</f>
        <v/>
      </c>
      <c r="K184" s="11" t="str">
        <f>IFERROR(IF('ŞİKAYET KAYIT'!P184="Kapatıldı",'ŞİKAYET KAYIT'!O184,""),"")</f>
        <v/>
      </c>
      <c r="L184" s="12" t="str">
        <f>IFERROR(IF('ŞİKAYET KAYIT'!P184="Kapatıldı",'ŞİKAYET KAYIT'!Q184,""),"")</f>
        <v/>
      </c>
      <c r="M184" s="11" t="str">
        <f>IFERROR(IF('ŞİKAYET KAYIT'!P184="Kapatıldı",'ŞİKAYET KAYIT'!R184,""),"")</f>
        <v/>
      </c>
      <c r="N184" s="11"/>
    </row>
    <row r="185" spans="1:14" ht="15" customHeight="1" x14ac:dyDescent="0.3">
      <c r="A185" s="26" t="str">
        <f>IFERROR(IF('ŞİKAYET KAYIT'!P185="Kapatıldı",'ŞİKAYET KAYIT'!A185,""),"")</f>
        <v/>
      </c>
      <c r="B185" s="8" t="str">
        <f>IFERROR(IF('ŞİKAYET KAYIT'!P185="Kapatıldı",'ŞİKAYET KAYIT'!B185,""),"")</f>
        <v/>
      </c>
      <c r="C185" s="26" t="str">
        <f>IFERROR(IF('ŞİKAYET KAYIT'!P185="Kapatıldı",'ŞİKAYET KAYIT'!D185,""),"")</f>
        <v/>
      </c>
      <c r="D185" s="26" t="str">
        <f>IFERROR(IF('ŞİKAYET KAYIT'!P185="Kapatıldı",'ŞİKAYET KAYIT'!F185,""),"")</f>
        <v/>
      </c>
      <c r="E185" s="26" t="str">
        <f>IFERROR(IF('ŞİKAYET KAYIT'!P185="Kapatıldı",'ŞİKAYET KAYIT'!H185,""),"")</f>
        <v/>
      </c>
      <c r="F185" s="26" t="str">
        <f>IFERROR(IF('ŞİKAYET KAYIT'!P185="Kapatıldı",'ŞİKAYET KAYIT'!J185,""),"")</f>
        <v/>
      </c>
      <c r="G185" s="26" t="str">
        <f>IFERROR(IF('ŞİKAYET KAYIT'!P185="Kapatıldı",'ŞİKAYET KAYIT'!K185,""),"")</f>
        <v/>
      </c>
      <c r="H185" s="26" t="str">
        <f>IFERROR(IF('ŞİKAYET KAYIT'!P185="Kapatıldı",'ŞİKAYET KAYIT'!L185,""),"")</f>
        <v/>
      </c>
      <c r="I185" s="26" t="str">
        <f>IFERROR(IF('ŞİKAYET KAYIT'!P185="Kapatıldı",'ŞİKAYET KAYIT'!M185,""),"")</f>
        <v/>
      </c>
      <c r="J185" s="26" t="str">
        <f>IFERROR(IF('ŞİKAYET KAYIT'!P185="Kapatıldı",'ŞİKAYET KAYIT'!N185,""),"")</f>
        <v/>
      </c>
      <c r="K185" s="26" t="str">
        <f>IFERROR(IF('ŞİKAYET KAYIT'!P185="Kapatıldı",'ŞİKAYET KAYIT'!O185,""),"")</f>
        <v/>
      </c>
      <c r="L185" s="8" t="str">
        <f>IFERROR(IF('ŞİKAYET KAYIT'!P185="Kapatıldı",'ŞİKAYET KAYIT'!Q185,""),"")</f>
        <v/>
      </c>
      <c r="M185" s="26" t="str">
        <f>IFERROR(IF('ŞİKAYET KAYIT'!P185="Kapatıldı",'ŞİKAYET KAYIT'!R185,""),"")</f>
        <v/>
      </c>
      <c r="N185" s="26"/>
    </row>
    <row r="186" spans="1:14" ht="15" customHeight="1" x14ac:dyDescent="0.3">
      <c r="A186" s="11" t="str">
        <f>IFERROR(IF('ŞİKAYET KAYIT'!P186="Kapatıldı",'ŞİKAYET KAYIT'!A186,""),"")</f>
        <v/>
      </c>
      <c r="B186" s="12" t="str">
        <f>IFERROR(IF('ŞİKAYET KAYIT'!P186="Kapatıldı",'ŞİKAYET KAYIT'!B186,""),"")</f>
        <v/>
      </c>
      <c r="C186" s="11" t="str">
        <f>IFERROR(IF('ŞİKAYET KAYIT'!P186="Kapatıldı",'ŞİKAYET KAYIT'!D186,""),"")</f>
        <v/>
      </c>
      <c r="D186" s="11" t="str">
        <f>IFERROR(IF('ŞİKAYET KAYIT'!P186="Kapatıldı",'ŞİKAYET KAYIT'!F186,""),"")</f>
        <v/>
      </c>
      <c r="E186" s="11" t="str">
        <f>IFERROR(IF('ŞİKAYET KAYIT'!P186="Kapatıldı",'ŞİKAYET KAYIT'!H186,""),"")</f>
        <v/>
      </c>
      <c r="F186" s="11" t="str">
        <f>IFERROR(IF('ŞİKAYET KAYIT'!P186="Kapatıldı",'ŞİKAYET KAYIT'!J186,""),"")</f>
        <v/>
      </c>
      <c r="G186" s="11" t="str">
        <f>IFERROR(IF('ŞİKAYET KAYIT'!P186="Kapatıldı",'ŞİKAYET KAYIT'!K186,""),"")</f>
        <v/>
      </c>
      <c r="H186" s="11" t="str">
        <f>IFERROR(IF('ŞİKAYET KAYIT'!P186="Kapatıldı",'ŞİKAYET KAYIT'!L186,""),"")</f>
        <v/>
      </c>
      <c r="I186" s="11" t="str">
        <f>IFERROR(IF('ŞİKAYET KAYIT'!P186="Kapatıldı",'ŞİKAYET KAYIT'!M186,""),"")</f>
        <v/>
      </c>
      <c r="J186" s="11" t="str">
        <f>IFERROR(IF('ŞİKAYET KAYIT'!P186="Kapatıldı",'ŞİKAYET KAYIT'!N186,""),"")</f>
        <v/>
      </c>
      <c r="K186" s="11" t="str">
        <f>IFERROR(IF('ŞİKAYET KAYIT'!P186="Kapatıldı",'ŞİKAYET KAYIT'!O186,""),"")</f>
        <v/>
      </c>
      <c r="L186" s="12" t="str">
        <f>IFERROR(IF('ŞİKAYET KAYIT'!P186="Kapatıldı",'ŞİKAYET KAYIT'!Q186,""),"")</f>
        <v/>
      </c>
      <c r="M186" s="11" t="str">
        <f>IFERROR(IF('ŞİKAYET KAYIT'!P186="Kapatıldı",'ŞİKAYET KAYIT'!R186,""),"")</f>
        <v/>
      </c>
      <c r="N186" s="11"/>
    </row>
    <row r="187" spans="1:14" ht="15" customHeight="1" x14ac:dyDescent="0.3">
      <c r="A187" s="26" t="str">
        <f>IFERROR(IF('ŞİKAYET KAYIT'!P187="Kapatıldı",'ŞİKAYET KAYIT'!A187,""),"")</f>
        <v/>
      </c>
      <c r="B187" s="8" t="str">
        <f>IFERROR(IF('ŞİKAYET KAYIT'!P187="Kapatıldı",'ŞİKAYET KAYIT'!B187,""),"")</f>
        <v/>
      </c>
      <c r="C187" s="26" t="str">
        <f>IFERROR(IF('ŞİKAYET KAYIT'!P187="Kapatıldı",'ŞİKAYET KAYIT'!D187,""),"")</f>
        <v/>
      </c>
      <c r="D187" s="26" t="str">
        <f>IFERROR(IF('ŞİKAYET KAYIT'!P187="Kapatıldı",'ŞİKAYET KAYIT'!F187,""),"")</f>
        <v/>
      </c>
      <c r="E187" s="26" t="str">
        <f>IFERROR(IF('ŞİKAYET KAYIT'!P187="Kapatıldı",'ŞİKAYET KAYIT'!H187,""),"")</f>
        <v/>
      </c>
      <c r="F187" s="26" t="str">
        <f>IFERROR(IF('ŞİKAYET KAYIT'!P187="Kapatıldı",'ŞİKAYET KAYIT'!J187,""),"")</f>
        <v/>
      </c>
      <c r="G187" s="26" t="str">
        <f>IFERROR(IF('ŞİKAYET KAYIT'!P187="Kapatıldı",'ŞİKAYET KAYIT'!K187,""),"")</f>
        <v/>
      </c>
      <c r="H187" s="26" t="str">
        <f>IFERROR(IF('ŞİKAYET KAYIT'!P187="Kapatıldı",'ŞİKAYET KAYIT'!L187,""),"")</f>
        <v/>
      </c>
      <c r="I187" s="26" t="str">
        <f>IFERROR(IF('ŞİKAYET KAYIT'!P187="Kapatıldı",'ŞİKAYET KAYIT'!M187,""),"")</f>
        <v/>
      </c>
      <c r="J187" s="26" t="str">
        <f>IFERROR(IF('ŞİKAYET KAYIT'!P187="Kapatıldı",'ŞİKAYET KAYIT'!N187,""),"")</f>
        <v/>
      </c>
      <c r="K187" s="26" t="str">
        <f>IFERROR(IF('ŞİKAYET KAYIT'!P187="Kapatıldı",'ŞİKAYET KAYIT'!O187,""),"")</f>
        <v/>
      </c>
      <c r="L187" s="8" t="str">
        <f>IFERROR(IF('ŞİKAYET KAYIT'!P187="Kapatıldı",'ŞİKAYET KAYIT'!Q187,""),"")</f>
        <v/>
      </c>
      <c r="M187" s="26" t="str">
        <f>IFERROR(IF('ŞİKAYET KAYIT'!P187="Kapatıldı",'ŞİKAYET KAYIT'!R187,""),"")</f>
        <v/>
      </c>
      <c r="N187" s="26"/>
    </row>
    <row r="188" spans="1:14" ht="15" customHeight="1" x14ac:dyDescent="0.3">
      <c r="A188" s="11" t="str">
        <f>IFERROR(IF('ŞİKAYET KAYIT'!P188="Kapatıldı",'ŞİKAYET KAYIT'!A188,""),"")</f>
        <v/>
      </c>
      <c r="B188" s="12" t="str">
        <f>IFERROR(IF('ŞİKAYET KAYIT'!P188="Kapatıldı",'ŞİKAYET KAYIT'!B188,""),"")</f>
        <v/>
      </c>
      <c r="C188" s="11" t="str">
        <f>IFERROR(IF('ŞİKAYET KAYIT'!P188="Kapatıldı",'ŞİKAYET KAYIT'!D188,""),"")</f>
        <v/>
      </c>
      <c r="D188" s="11" t="str">
        <f>IFERROR(IF('ŞİKAYET KAYIT'!P188="Kapatıldı",'ŞİKAYET KAYIT'!F188,""),"")</f>
        <v/>
      </c>
      <c r="E188" s="11" t="str">
        <f>IFERROR(IF('ŞİKAYET KAYIT'!P188="Kapatıldı",'ŞİKAYET KAYIT'!H188,""),"")</f>
        <v/>
      </c>
      <c r="F188" s="11" t="str">
        <f>IFERROR(IF('ŞİKAYET KAYIT'!P188="Kapatıldı",'ŞİKAYET KAYIT'!J188,""),"")</f>
        <v/>
      </c>
      <c r="G188" s="11" t="str">
        <f>IFERROR(IF('ŞİKAYET KAYIT'!P188="Kapatıldı",'ŞİKAYET KAYIT'!K188,""),"")</f>
        <v/>
      </c>
      <c r="H188" s="11" t="str">
        <f>IFERROR(IF('ŞİKAYET KAYIT'!P188="Kapatıldı",'ŞİKAYET KAYIT'!L188,""),"")</f>
        <v/>
      </c>
      <c r="I188" s="11" t="str">
        <f>IFERROR(IF('ŞİKAYET KAYIT'!P188="Kapatıldı",'ŞİKAYET KAYIT'!M188,""),"")</f>
        <v/>
      </c>
      <c r="J188" s="11" t="str">
        <f>IFERROR(IF('ŞİKAYET KAYIT'!P188="Kapatıldı",'ŞİKAYET KAYIT'!N188,""),"")</f>
        <v/>
      </c>
      <c r="K188" s="11" t="str">
        <f>IFERROR(IF('ŞİKAYET KAYIT'!P188="Kapatıldı",'ŞİKAYET KAYIT'!O188,""),"")</f>
        <v/>
      </c>
      <c r="L188" s="12" t="str">
        <f>IFERROR(IF('ŞİKAYET KAYIT'!P188="Kapatıldı",'ŞİKAYET KAYIT'!Q188,""),"")</f>
        <v/>
      </c>
      <c r="M188" s="11" t="str">
        <f>IFERROR(IF('ŞİKAYET KAYIT'!P188="Kapatıldı",'ŞİKAYET KAYIT'!R188,""),"")</f>
        <v/>
      </c>
      <c r="N188" s="11"/>
    </row>
    <row r="189" spans="1:14" ht="15" customHeight="1" x14ac:dyDescent="0.3">
      <c r="A189" s="26" t="str">
        <f>IFERROR(IF('ŞİKAYET KAYIT'!P189="Kapatıldı",'ŞİKAYET KAYIT'!A189,""),"")</f>
        <v/>
      </c>
      <c r="B189" s="8" t="str">
        <f>IFERROR(IF('ŞİKAYET KAYIT'!P189="Kapatıldı",'ŞİKAYET KAYIT'!B189,""),"")</f>
        <v/>
      </c>
      <c r="C189" s="26" t="str">
        <f>IFERROR(IF('ŞİKAYET KAYIT'!P189="Kapatıldı",'ŞİKAYET KAYIT'!D189,""),"")</f>
        <v/>
      </c>
      <c r="D189" s="26" t="str">
        <f>IFERROR(IF('ŞİKAYET KAYIT'!P189="Kapatıldı",'ŞİKAYET KAYIT'!F189,""),"")</f>
        <v/>
      </c>
      <c r="E189" s="26" t="str">
        <f>IFERROR(IF('ŞİKAYET KAYIT'!P189="Kapatıldı",'ŞİKAYET KAYIT'!H189,""),"")</f>
        <v/>
      </c>
      <c r="F189" s="26" t="str">
        <f>IFERROR(IF('ŞİKAYET KAYIT'!P189="Kapatıldı",'ŞİKAYET KAYIT'!J189,""),"")</f>
        <v/>
      </c>
      <c r="G189" s="26" t="str">
        <f>IFERROR(IF('ŞİKAYET KAYIT'!P189="Kapatıldı",'ŞİKAYET KAYIT'!K189,""),"")</f>
        <v/>
      </c>
      <c r="H189" s="26" t="str">
        <f>IFERROR(IF('ŞİKAYET KAYIT'!P189="Kapatıldı",'ŞİKAYET KAYIT'!L189,""),"")</f>
        <v/>
      </c>
      <c r="I189" s="26" t="str">
        <f>IFERROR(IF('ŞİKAYET KAYIT'!P189="Kapatıldı",'ŞİKAYET KAYIT'!M189,""),"")</f>
        <v/>
      </c>
      <c r="J189" s="26" t="str">
        <f>IFERROR(IF('ŞİKAYET KAYIT'!P189="Kapatıldı",'ŞİKAYET KAYIT'!N189,""),"")</f>
        <v/>
      </c>
      <c r="K189" s="26" t="str">
        <f>IFERROR(IF('ŞİKAYET KAYIT'!P189="Kapatıldı",'ŞİKAYET KAYIT'!O189,""),"")</f>
        <v/>
      </c>
      <c r="L189" s="8" t="str">
        <f>IFERROR(IF('ŞİKAYET KAYIT'!P189="Kapatıldı",'ŞİKAYET KAYIT'!Q189,""),"")</f>
        <v/>
      </c>
      <c r="M189" s="26" t="str">
        <f>IFERROR(IF('ŞİKAYET KAYIT'!P189="Kapatıldı",'ŞİKAYET KAYIT'!R189,""),"")</f>
        <v/>
      </c>
      <c r="N189" s="26"/>
    </row>
    <row r="190" spans="1:14" ht="15" customHeight="1" x14ac:dyDescent="0.3">
      <c r="A190" s="11" t="str">
        <f>IFERROR(IF('ŞİKAYET KAYIT'!P190="Kapatıldı",'ŞİKAYET KAYIT'!A190,""),"")</f>
        <v/>
      </c>
      <c r="B190" s="12" t="str">
        <f>IFERROR(IF('ŞİKAYET KAYIT'!P190="Kapatıldı",'ŞİKAYET KAYIT'!B190,""),"")</f>
        <v/>
      </c>
      <c r="C190" s="11" t="str">
        <f>IFERROR(IF('ŞİKAYET KAYIT'!P190="Kapatıldı",'ŞİKAYET KAYIT'!D190,""),"")</f>
        <v/>
      </c>
      <c r="D190" s="11" t="str">
        <f>IFERROR(IF('ŞİKAYET KAYIT'!P190="Kapatıldı",'ŞİKAYET KAYIT'!F190,""),"")</f>
        <v/>
      </c>
      <c r="E190" s="11" t="str">
        <f>IFERROR(IF('ŞİKAYET KAYIT'!P190="Kapatıldı",'ŞİKAYET KAYIT'!H190,""),"")</f>
        <v/>
      </c>
      <c r="F190" s="11" t="str">
        <f>IFERROR(IF('ŞİKAYET KAYIT'!P190="Kapatıldı",'ŞİKAYET KAYIT'!J190,""),"")</f>
        <v/>
      </c>
      <c r="G190" s="11" t="str">
        <f>IFERROR(IF('ŞİKAYET KAYIT'!P190="Kapatıldı",'ŞİKAYET KAYIT'!K190,""),"")</f>
        <v/>
      </c>
      <c r="H190" s="11" t="str">
        <f>IFERROR(IF('ŞİKAYET KAYIT'!P190="Kapatıldı",'ŞİKAYET KAYIT'!L190,""),"")</f>
        <v/>
      </c>
      <c r="I190" s="11" t="str">
        <f>IFERROR(IF('ŞİKAYET KAYIT'!P190="Kapatıldı",'ŞİKAYET KAYIT'!M190,""),"")</f>
        <v/>
      </c>
      <c r="J190" s="11" t="str">
        <f>IFERROR(IF('ŞİKAYET KAYIT'!P190="Kapatıldı",'ŞİKAYET KAYIT'!N190,""),"")</f>
        <v/>
      </c>
      <c r="K190" s="11" t="str">
        <f>IFERROR(IF('ŞİKAYET KAYIT'!P190="Kapatıldı",'ŞİKAYET KAYIT'!O190,""),"")</f>
        <v/>
      </c>
      <c r="L190" s="12" t="str">
        <f>IFERROR(IF('ŞİKAYET KAYIT'!P190="Kapatıldı",'ŞİKAYET KAYIT'!Q190,""),"")</f>
        <v/>
      </c>
      <c r="M190" s="11" t="str">
        <f>IFERROR(IF('ŞİKAYET KAYIT'!P190="Kapatıldı",'ŞİKAYET KAYIT'!R190,""),"")</f>
        <v/>
      </c>
      <c r="N190" s="11"/>
    </row>
    <row r="191" spans="1:14" ht="15" customHeight="1" x14ac:dyDescent="0.3">
      <c r="A191" s="26" t="str">
        <f>IFERROR(IF('ŞİKAYET KAYIT'!P191="Kapatıldı",'ŞİKAYET KAYIT'!A191,""),"")</f>
        <v/>
      </c>
      <c r="B191" s="8" t="str">
        <f>IFERROR(IF('ŞİKAYET KAYIT'!P191="Kapatıldı",'ŞİKAYET KAYIT'!B191,""),"")</f>
        <v/>
      </c>
      <c r="C191" s="26" t="str">
        <f>IFERROR(IF('ŞİKAYET KAYIT'!P191="Kapatıldı",'ŞİKAYET KAYIT'!D191,""),"")</f>
        <v/>
      </c>
      <c r="D191" s="26" t="str">
        <f>IFERROR(IF('ŞİKAYET KAYIT'!P191="Kapatıldı",'ŞİKAYET KAYIT'!F191,""),"")</f>
        <v/>
      </c>
      <c r="E191" s="26" t="str">
        <f>IFERROR(IF('ŞİKAYET KAYIT'!P191="Kapatıldı",'ŞİKAYET KAYIT'!H191,""),"")</f>
        <v/>
      </c>
      <c r="F191" s="26" t="str">
        <f>IFERROR(IF('ŞİKAYET KAYIT'!P191="Kapatıldı",'ŞİKAYET KAYIT'!J191,""),"")</f>
        <v/>
      </c>
      <c r="G191" s="26" t="str">
        <f>IFERROR(IF('ŞİKAYET KAYIT'!P191="Kapatıldı",'ŞİKAYET KAYIT'!K191,""),"")</f>
        <v/>
      </c>
      <c r="H191" s="26" t="str">
        <f>IFERROR(IF('ŞİKAYET KAYIT'!P191="Kapatıldı",'ŞİKAYET KAYIT'!L191,""),"")</f>
        <v/>
      </c>
      <c r="I191" s="26" t="str">
        <f>IFERROR(IF('ŞİKAYET KAYIT'!P191="Kapatıldı",'ŞİKAYET KAYIT'!M191,""),"")</f>
        <v/>
      </c>
      <c r="J191" s="26" t="str">
        <f>IFERROR(IF('ŞİKAYET KAYIT'!P191="Kapatıldı",'ŞİKAYET KAYIT'!N191,""),"")</f>
        <v/>
      </c>
      <c r="K191" s="26" t="str">
        <f>IFERROR(IF('ŞİKAYET KAYIT'!P191="Kapatıldı",'ŞİKAYET KAYIT'!O191,""),"")</f>
        <v/>
      </c>
      <c r="L191" s="8" t="str">
        <f>IFERROR(IF('ŞİKAYET KAYIT'!P191="Kapatıldı",'ŞİKAYET KAYIT'!Q191,""),"")</f>
        <v/>
      </c>
      <c r="M191" s="26" t="str">
        <f>IFERROR(IF('ŞİKAYET KAYIT'!P191="Kapatıldı",'ŞİKAYET KAYIT'!R191,""),"")</f>
        <v/>
      </c>
      <c r="N191" s="26"/>
    </row>
    <row r="192" spans="1:14" ht="15" customHeight="1" x14ac:dyDescent="0.3">
      <c r="A192" s="11" t="str">
        <f>IFERROR(IF('ŞİKAYET KAYIT'!P192="Kapatıldı",'ŞİKAYET KAYIT'!A192,""),"")</f>
        <v/>
      </c>
      <c r="B192" s="12" t="str">
        <f>IFERROR(IF('ŞİKAYET KAYIT'!P192="Kapatıldı",'ŞİKAYET KAYIT'!B192,""),"")</f>
        <v/>
      </c>
      <c r="C192" s="11" t="str">
        <f>IFERROR(IF('ŞİKAYET KAYIT'!P192="Kapatıldı",'ŞİKAYET KAYIT'!D192,""),"")</f>
        <v/>
      </c>
      <c r="D192" s="11" t="str">
        <f>IFERROR(IF('ŞİKAYET KAYIT'!P192="Kapatıldı",'ŞİKAYET KAYIT'!F192,""),"")</f>
        <v/>
      </c>
      <c r="E192" s="11" t="str">
        <f>IFERROR(IF('ŞİKAYET KAYIT'!P192="Kapatıldı",'ŞİKAYET KAYIT'!H192,""),"")</f>
        <v/>
      </c>
      <c r="F192" s="11" t="str">
        <f>IFERROR(IF('ŞİKAYET KAYIT'!P192="Kapatıldı",'ŞİKAYET KAYIT'!J192,""),"")</f>
        <v/>
      </c>
      <c r="G192" s="11" t="str">
        <f>IFERROR(IF('ŞİKAYET KAYIT'!P192="Kapatıldı",'ŞİKAYET KAYIT'!K192,""),"")</f>
        <v/>
      </c>
      <c r="H192" s="11" t="str">
        <f>IFERROR(IF('ŞİKAYET KAYIT'!P192="Kapatıldı",'ŞİKAYET KAYIT'!L192,""),"")</f>
        <v/>
      </c>
      <c r="I192" s="11" t="str">
        <f>IFERROR(IF('ŞİKAYET KAYIT'!P192="Kapatıldı",'ŞİKAYET KAYIT'!M192,""),"")</f>
        <v/>
      </c>
      <c r="J192" s="11" t="str">
        <f>IFERROR(IF('ŞİKAYET KAYIT'!P192="Kapatıldı",'ŞİKAYET KAYIT'!N192,""),"")</f>
        <v/>
      </c>
      <c r="K192" s="11" t="str">
        <f>IFERROR(IF('ŞİKAYET KAYIT'!P192="Kapatıldı",'ŞİKAYET KAYIT'!O192,""),"")</f>
        <v/>
      </c>
      <c r="L192" s="12" t="str">
        <f>IFERROR(IF('ŞİKAYET KAYIT'!P192="Kapatıldı",'ŞİKAYET KAYIT'!Q192,""),"")</f>
        <v/>
      </c>
      <c r="M192" s="11" t="str">
        <f>IFERROR(IF('ŞİKAYET KAYIT'!P192="Kapatıldı",'ŞİKAYET KAYIT'!R192,""),"")</f>
        <v/>
      </c>
      <c r="N192" s="11"/>
    </row>
    <row r="193" spans="1:14" ht="15" customHeight="1" x14ac:dyDescent="0.3">
      <c r="A193" s="26" t="str">
        <f>IFERROR(IF('ŞİKAYET KAYIT'!P193="Kapatıldı",'ŞİKAYET KAYIT'!A193,""),"")</f>
        <v/>
      </c>
      <c r="B193" s="8" t="str">
        <f>IFERROR(IF('ŞİKAYET KAYIT'!P193="Kapatıldı",'ŞİKAYET KAYIT'!B193,""),"")</f>
        <v/>
      </c>
      <c r="C193" s="26" t="str">
        <f>IFERROR(IF('ŞİKAYET KAYIT'!P193="Kapatıldı",'ŞİKAYET KAYIT'!D193,""),"")</f>
        <v/>
      </c>
      <c r="D193" s="26" t="str">
        <f>IFERROR(IF('ŞİKAYET KAYIT'!P193="Kapatıldı",'ŞİKAYET KAYIT'!F193,""),"")</f>
        <v/>
      </c>
      <c r="E193" s="26" t="str">
        <f>IFERROR(IF('ŞİKAYET KAYIT'!P193="Kapatıldı",'ŞİKAYET KAYIT'!H193,""),"")</f>
        <v/>
      </c>
      <c r="F193" s="26" t="str">
        <f>IFERROR(IF('ŞİKAYET KAYIT'!P193="Kapatıldı",'ŞİKAYET KAYIT'!J193,""),"")</f>
        <v/>
      </c>
      <c r="G193" s="26" t="str">
        <f>IFERROR(IF('ŞİKAYET KAYIT'!P193="Kapatıldı",'ŞİKAYET KAYIT'!K193,""),"")</f>
        <v/>
      </c>
      <c r="H193" s="26" t="str">
        <f>IFERROR(IF('ŞİKAYET KAYIT'!P193="Kapatıldı",'ŞİKAYET KAYIT'!L193,""),"")</f>
        <v/>
      </c>
      <c r="I193" s="26" t="str">
        <f>IFERROR(IF('ŞİKAYET KAYIT'!P193="Kapatıldı",'ŞİKAYET KAYIT'!M193,""),"")</f>
        <v/>
      </c>
      <c r="J193" s="26" t="str">
        <f>IFERROR(IF('ŞİKAYET KAYIT'!P193="Kapatıldı",'ŞİKAYET KAYIT'!N193,""),"")</f>
        <v/>
      </c>
      <c r="K193" s="26" t="str">
        <f>IFERROR(IF('ŞİKAYET KAYIT'!P193="Kapatıldı",'ŞİKAYET KAYIT'!O193,""),"")</f>
        <v/>
      </c>
      <c r="L193" s="8" t="str">
        <f>IFERROR(IF('ŞİKAYET KAYIT'!P193="Kapatıldı",'ŞİKAYET KAYIT'!Q193,""),"")</f>
        <v/>
      </c>
      <c r="M193" s="26" t="str">
        <f>IFERROR(IF('ŞİKAYET KAYIT'!P193="Kapatıldı",'ŞİKAYET KAYIT'!R193,""),"")</f>
        <v/>
      </c>
      <c r="N193" s="26"/>
    </row>
    <row r="194" spans="1:14" ht="15" customHeight="1" x14ac:dyDescent="0.3">
      <c r="A194" s="11" t="str">
        <f>IFERROR(IF('ŞİKAYET KAYIT'!P194="Kapatıldı",'ŞİKAYET KAYIT'!A194,""),"")</f>
        <v/>
      </c>
      <c r="B194" s="12" t="str">
        <f>IFERROR(IF('ŞİKAYET KAYIT'!P194="Kapatıldı",'ŞİKAYET KAYIT'!B194,""),"")</f>
        <v/>
      </c>
      <c r="C194" s="11" t="str">
        <f>IFERROR(IF('ŞİKAYET KAYIT'!P194="Kapatıldı",'ŞİKAYET KAYIT'!D194,""),"")</f>
        <v/>
      </c>
      <c r="D194" s="11" t="str">
        <f>IFERROR(IF('ŞİKAYET KAYIT'!P194="Kapatıldı",'ŞİKAYET KAYIT'!F194,""),"")</f>
        <v/>
      </c>
      <c r="E194" s="11" t="str">
        <f>IFERROR(IF('ŞİKAYET KAYIT'!P194="Kapatıldı",'ŞİKAYET KAYIT'!H194,""),"")</f>
        <v/>
      </c>
      <c r="F194" s="11" t="str">
        <f>IFERROR(IF('ŞİKAYET KAYIT'!P194="Kapatıldı",'ŞİKAYET KAYIT'!J194,""),"")</f>
        <v/>
      </c>
      <c r="G194" s="11" t="str">
        <f>IFERROR(IF('ŞİKAYET KAYIT'!P194="Kapatıldı",'ŞİKAYET KAYIT'!K194,""),"")</f>
        <v/>
      </c>
      <c r="H194" s="11" t="str">
        <f>IFERROR(IF('ŞİKAYET KAYIT'!P194="Kapatıldı",'ŞİKAYET KAYIT'!L194,""),"")</f>
        <v/>
      </c>
      <c r="I194" s="11" t="str">
        <f>IFERROR(IF('ŞİKAYET KAYIT'!P194="Kapatıldı",'ŞİKAYET KAYIT'!M194,""),"")</f>
        <v/>
      </c>
      <c r="J194" s="11" t="str">
        <f>IFERROR(IF('ŞİKAYET KAYIT'!P194="Kapatıldı",'ŞİKAYET KAYIT'!N194,""),"")</f>
        <v/>
      </c>
      <c r="K194" s="11" t="str">
        <f>IFERROR(IF('ŞİKAYET KAYIT'!P194="Kapatıldı",'ŞİKAYET KAYIT'!O194,""),"")</f>
        <v/>
      </c>
      <c r="L194" s="12" t="str">
        <f>IFERROR(IF('ŞİKAYET KAYIT'!P194="Kapatıldı",'ŞİKAYET KAYIT'!Q194,""),"")</f>
        <v/>
      </c>
      <c r="M194" s="11" t="str">
        <f>IFERROR(IF('ŞİKAYET KAYIT'!P194="Kapatıldı",'ŞİKAYET KAYIT'!R194,""),"")</f>
        <v/>
      </c>
      <c r="N194" s="11"/>
    </row>
    <row r="195" spans="1:14" ht="15" customHeight="1" x14ac:dyDescent="0.3">
      <c r="A195" s="26" t="str">
        <f>IFERROR(IF('ŞİKAYET KAYIT'!P195="Kapatıldı",'ŞİKAYET KAYIT'!A195,""),"")</f>
        <v/>
      </c>
      <c r="B195" s="8" t="str">
        <f>IFERROR(IF('ŞİKAYET KAYIT'!P195="Kapatıldı",'ŞİKAYET KAYIT'!B195,""),"")</f>
        <v/>
      </c>
      <c r="C195" s="26" t="str">
        <f>IFERROR(IF('ŞİKAYET KAYIT'!P195="Kapatıldı",'ŞİKAYET KAYIT'!D195,""),"")</f>
        <v/>
      </c>
      <c r="D195" s="26" t="str">
        <f>IFERROR(IF('ŞİKAYET KAYIT'!P195="Kapatıldı",'ŞİKAYET KAYIT'!F195,""),"")</f>
        <v/>
      </c>
      <c r="E195" s="26" t="str">
        <f>IFERROR(IF('ŞİKAYET KAYIT'!P195="Kapatıldı",'ŞİKAYET KAYIT'!H195,""),"")</f>
        <v/>
      </c>
      <c r="F195" s="26" t="str">
        <f>IFERROR(IF('ŞİKAYET KAYIT'!P195="Kapatıldı",'ŞİKAYET KAYIT'!J195,""),"")</f>
        <v/>
      </c>
      <c r="G195" s="26" t="str">
        <f>IFERROR(IF('ŞİKAYET KAYIT'!P195="Kapatıldı",'ŞİKAYET KAYIT'!K195,""),"")</f>
        <v/>
      </c>
      <c r="H195" s="26" t="str">
        <f>IFERROR(IF('ŞİKAYET KAYIT'!P195="Kapatıldı",'ŞİKAYET KAYIT'!L195,""),"")</f>
        <v/>
      </c>
      <c r="I195" s="26" t="str">
        <f>IFERROR(IF('ŞİKAYET KAYIT'!P195="Kapatıldı",'ŞİKAYET KAYIT'!M195,""),"")</f>
        <v/>
      </c>
      <c r="J195" s="26" t="str">
        <f>IFERROR(IF('ŞİKAYET KAYIT'!P195="Kapatıldı",'ŞİKAYET KAYIT'!N195,""),"")</f>
        <v/>
      </c>
      <c r="K195" s="26" t="str">
        <f>IFERROR(IF('ŞİKAYET KAYIT'!P195="Kapatıldı",'ŞİKAYET KAYIT'!O195,""),"")</f>
        <v/>
      </c>
      <c r="L195" s="8" t="str">
        <f>IFERROR(IF('ŞİKAYET KAYIT'!P195="Kapatıldı",'ŞİKAYET KAYIT'!Q195,""),"")</f>
        <v/>
      </c>
      <c r="M195" s="26" t="str">
        <f>IFERROR(IF('ŞİKAYET KAYIT'!P195="Kapatıldı",'ŞİKAYET KAYIT'!R195,""),"")</f>
        <v/>
      </c>
      <c r="N195" s="26"/>
    </row>
    <row r="196" spans="1:14" ht="15" customHeight="1" x14ac:dyDescent="0.3">
      <c r="A196" s="11" t="str">
        <f>IFERROR(IF('ŞİKAYET KAYIT'!P196="Kapatıldı",'ŞİKAYET KAYIT'!A196,""),"")</f>
        <v/>
      </c>
      <c r="B196" s="12" t="str">
        <f>IFERROR(IF('ŞİKAYET KAYIT'!P196="Kapatıldı",'ŞİKAYET KAYIT'!B196,""),"")</f>
        <v/>
      </c>
      <c r="C196" s="11" t="str">
        <f>IFERROR(IF('ŞİKAYET KAYIT'!P196="Kapatıldı",'ŞİKAYET KAYIT'!D196,""),"")</f>
        <v/>
      </c>
      <c r="D196" s="11" t="str">
        <f>IFERROR(IF('ŞİKAYET KAYIT'!P196="Kapatıldı",'ŞİKAYET KAYIT'!F196,""),"")</f>
        <v/>
      </c>
      <c r="E196" s="11" t="str">
        <f>IFERROR(IF('ŞİKAYET KAYIT'!P196="Kapatıldı",'ŞİKAYET KAYIT'!H196,""),"")</f>
        <v/>
      </c>
      <c r="F196" s="11" t="str">
        <f>IFERROR(IF('ŞİKAYET KAYIT'!P196="Kapatıldı",'ŞİKAYET KAYIT'!J196,""),"")</f>
        <v/>
      </c>
      <c r="G196" s="11" t="str">
        <f>IFERROR(IF('ŞİKAYET KAYIT'!P196="Kapatıldı",'ŞİKAYET KAYIT'!K196,""),"")</f>
        <v/>
      </c>
      <c r="H196" s="11" t="str">
        <f>IFERROR(IF('ŞİKAYET KAYIT'!P196="Kapatıldı",'ŞİKAYET KAYIT'!L196,""),"")</f>
        <v/>
      </c>
      <c r="I196" s="11" t="str">
        <f>IFERROR(IF('ŞİKAYET KAYIT'!P196="Kapatıldı",'ŞİKAYET KAYIT'!M196,""),"")</f>
        <v/>
      </c>
      <c r="J196" s="11" t="str">
        <f>IFERROR(IF('ŞİKAYET KAYIT'!P196="Kapatıldı",'ŞİKAYET KAYIT'!N196,""),"")</f>
        <v/>
      </c>
      <c r="K196" s="11" t="str">
        <f>IFERROR(IF('ŞİKAYET KAYIT'!P196="Kapatıldı",'ŞİKAYET KAYIT'!O196,""),"")</f>
        <v/>
      </c>
      <c r="L196" s="12" t="str">
        <f>IFERROR(IF('ŞİKAYET KAYIT'!P196="Kapatıldı",'ŞİKAYET KAYIT'!Q196,""),"")</f>
        <v/>
      </c>
      <c r="M196" s="11" t="str">
        <f>IFERROR(IF('ŞİKAYET KAYIT'!P196="Kapatıldı",'ŞİKAYET KAYIT'!R196,""),"")</f>
        <v/>
      </c>
      <c r="N196" s="11"/>
    </row>
    <row r="197" spans="1:14" ht="15" customHeight="1" x14ac:dyDescent="0.3">
      <c r="A197" s="26" t="str">
        <f>IFERROR(IF('ŞİKAYET KAYIT'!P197="Kapatıldı",'ŞİKAYET KAYIT'!A197,""),"")</f>
        <v/>
      </c>
      <c r="B197" s="8" t="str">
        <f>IFERROR(IF('ŞİKAYET KAYIT'!P197="Kapatıldı",'ŞİKAYET KAYIT'!B197,""),"")</f>
        <v/>
      </c>
      <c r="C197" s="26" t="str">
        <f>IFERROR(IF('ŞİKAYET KAYIT'!P197="Kapatıldı",'ŞİKAYET KAYIT'!D197,""),"")</f>
        <v/>
      </c>
      <c r="D197" s="26" t="str">
        <f>IFERROR(IF('ŞİKAYET KAYIT'!P197="Kapatıldı",'ŞİKAYET KAYIT'!F197,""),"")</f>
        <v/>
      </c>
      <c r="E197" s="26" t="str">
        <f>IFERROR(IF('ŞİKAYET KAYIT'!P197="Kapatıldı",'ŞİKAYET KAYIT'!H197,""),"")</f>
        <v/>
      </c>
      <c r="F197" s="26" t="str">
        <f>IFERROR(IF('ŞİKAYET KAYIT'!P197="Kapatıldı",'ŞİKAYET KAYIT'!J197,""),"")</f>
        <v/>
      </c>
      <c r="G197" s="26" t="str">
        <f>IFERROR(IF('ŞİKAYET KAYIT'!P197="Kapatıldı",'ŞİKAYET KAYIT'!K197,""),"")</f>
        <v/>
      </c>
      <c r="H197" s="26" t="str">
        <f>IFERROR(IF('ŞİKAYET KAYIT'!P197="Kapatıldı",'ŞİKAYET KAYIT'!L197,""),"")</f>
        <v/>
      </c>
      <c r="I197" s="26" t="str">
        <f>IFERROR(IF('ŞİKAYET KAYIT'!P197="Kapatıldı",'ŞİKAYET KAYIT'!M197,""),"")</f>
        <v/>
      </c>
      <c r="J197" s="26" t="str">
        <f>IFERROR(IF('ŞİKAYET KAYIT'!P197="Kapatıldı",'ŞİKAYET KAYIT'!N197,""),"")</f>
        <v/>
      </c>
      <c r="K197" s="26" t="str">
        <f>IFERROR(IF('ŞİKAYET KAYIT'!P197="Kapatıldı",'ŞİKAYET KAYIT'!O197,""),"")</f>
        <v/>
      </c>
      <c r="L197" s="8" t="str">
        <f>IFERROR(IF('ŞİKAYET KAYIT'!P197="Kapatıldı",'ŞİKAYET KAYIT'!Q197,""),"")</f>
        <v/>
      </c>
      <c r="M197" s="26" t="str">
        <f>IFERROR(IF('ŞİKAYET KAYIT'!P197="Kapatıldı",'ŞİKAYET KAYIT'!R197,""),"")</f>
        <v/>
      </c>
      <c r="N197" s="26"/>
    </row>
    <row r="198" spans="1:14" ht="15" customHeight="1" x14ac:dyDescent="0.3">
      <c r="A198" s="11" t="str">
        <f>IFERROR(IF('ŞİKAYET KAYIT'!P198="Kapatıldı",'ŞİKAYET KAYIT'!A198,""),"")</f>
        <v/>
      </c>
      <c r="B198" s="12" t="str">
        <f>IFERROR(IF('ŞİKAYET KAYIT'!P198="Kapatıldı",'ŞİKAYET KAYIT'!B198,""),"")</f>
        <v/>
      </c>
      <c r="C198" s="11" t="str">
        <f>IFERROR(IF('ŞİKAYET KAYIT'!P198="Kapatıldı",'ŞİKAYET KAYIT'!D198,""),"")</f>
        <v/>
      </c>
      <c r="D198" s="11" t="str">
        <f>IFERROR(IF('ŞİKAYET KAYIT'!P198="Kapatıldı",'ŞİKAYET KAYIT'!F198,""),"")</f>
        <v/>
      </c>
      <c r="E198" s="11" t="str">
        <f>IFERROR(IF('ŞİKAYET KAYIT'!P198="Kapatıldı",'ŞİKAYET KAYIT'!H198,""),"")</f>
        <v/>
      </c>
      <c r="F198" s="11" t="str">
        <f>IFERROR(IF('ŞİKAYET KAYIT'!P198="Kapatıldı",'ŞİKAYET KAYIT'!J198,""),"")</f>
        <v/>
      </c>
      <c r="G198" s="11" t="str">
        <f>IFERROR(IF('ŞİKAYET KAYIT'!P198="Kapatıldı",'ŞİKAYET KAYIT'!K198,""),"")</f>
        <v/>
      </c>
      <c r="H198" s="11" t="str">
        <f>IFERROR(IF('ŞİKAYET KAYIT'!P198="Kapatıldı",'ŞİKAYET KAYIT'!L198,""),"")</f>
        <v/>
      </c>
      <c r="I198" s="11" t="str">
        <f>IFERROR(IF('ŞİKAYET KAYIT'!P198="Kapatıldı",'ŞİKAYET KAYIT'!M198,""),"")</f>
        <v/>
      </c>
      <c r="J198" s="11" t="str">
        <f>IFERROR(IF('ŞİKAYET KAYIT'!P198="Kapatıldı",'ŞİKAYET KAYIT'!N198,""),"")</f>
        <v/>
      </c>
      <c r="K198" s="11" t="str">
        <f>IFERROR(IF('ŞİKAYET KAYIT'!P198="Kapatıldı",'ŞİKAYET KAYIT'!O198,""),"")</f>
        <v/>
      </c>
      <c r="L198" s="12" t="str">
        <f>IFERROR(IF('ŞİKAYET KAYIT'!P198="Kapatıldı",'ŞİKAYET KAYIT'!Q198,""),"")</f>
        <v/>
      </c>
      <c r="M198" s="11" t="str">
        <f>IFERROR(IF('ŞİKAYET KAYIT'!P198="Kapatıldı",'ŞİKAYET KAYIT'!R198,""),"")</f>
        <v/>
      </c>
      <c r="N198" s="11"/>
    </row>
    <row r="199" spans="1:14" ht="15" customHeight="1" x14ac:dyDescent="0.3">
      <c r="A199" s="26" t="str">
        <f>IFERROR(IF('ŞİKAYET KAYIT'!P199="Kapatıldı",'ŞİKAYET KAYIT'!A199,""),"")</f>
        <v/>
      </c>
      <c r="B199" s="8" t="str">
        <f>IFERROR(IF('ŞİKAYET KAYIT'!P199="Kapatıldı",'ŞİKAYET KAYIT'!B199,""),"")</f>
        <v/>
      </c>
      <c r="C199" s="26" t="str">
        <f>IFERROR(IF('ŞİKAYET KAYIT'!P199="Kapatıldı",'ŞİKAYET KAYIT'!D199,""),"")</f>
        <v/>
      </c>
      <c r="D199" s="26" t="str">
        <f>IFERROR(IF('ŞİKAYET KAYIT'!P199="Kapatıldı",'ŞİKAYET KAYIT'!F199,""),"")</f>
        <v/>
      </c>
      <c r="E199" s="26" t="str">
        <f>IFERROR(IF('ŞİKAYET KAYIT'!P199="Kapatıldı",'ŞİKAYET KAYIT'!H199,""),"")</f>
        <v/>
      </c>
      <c r="F199" s="26" t="str">
        <f>IFERROR(IF('ŞİKAYET KAYIT'!P199="Kapatıldı",'ŞİKAYET KAYIT'!J199,""),"")</f>
        <v/>
      </c>
      <c r="G199" s="26" t="str">
        <f>IFERROR(IF('ŞİKAYET KAYIT'!P199="Kapatıldı",'ŞİKAYET KAYIT'!K199,""),"")</f>
        <v/>
      </c>
      <c r="H199" s="26" t="str">
        <f>IFERROR(IF('ŞİKAYET KAYIT'!P199="Kapatıldı",'ŞİKAYET KAYIT'!L199,""),"")</f>
        <v/>
      </c>
      <c r="I199" s="26" t="str">
        <f>IFERROR(IF('ŞİKAYET KAYIT'!P199="Kapatıldı",'ŞİKAYET KAYIT'!M199,""),"")</f>
        <v/>
      </c>
      <c r="J199" s="26" t="str">
        <f>IFERROR(IF('ŞİKAYET KAYIT'!P199="Kapatıldı",'ŞİKAYET KAYIT'!N199,""),"")</f>
        <v/>
      </c>
      <c r="K199" s="26" t="str">
        <f>IFERROR(IF('ŞİKAYET KAYIT'!P199="Kapatıldı",'ŞİKAYET KAYIT'!O199,""),"")</f>
        <v/>
      </c>
      <c r="L199" s="8" t="str">
        <f>IFERROR(IF('ŞİKAYET KAYIT'!P199="Kapatıldı",'ŞİKAYET KAYIT'!Q199,""),"")</f>
        <v/>
      </c>
      <c r="M199" s="26" t="str">
        <f>IFERROR(IF('ŞİKAYET KAYIT'!P199="Kapatıldı",'ŞİKAYET KAYIT'!R199,""),"")</f>
        <v/>
      </c>
      <c r="N199" s="26"/>
    </row>
    <row r="200" spans="1:14" ht="15" customHeight="1" x14ac:dyDescent="0.3">
      <c r="A200" s="11" t="str">
        <f>IFERROR(IF('ŞİKAYET KAYIT'!P200="Kapatıldı",'ŞİKAYET KAYIT'!A200,""),"")</f>
        <v/>
      </c>
      <c r="B200" s="12" t="str">
        <f>IFERROR(IF('ŞİKAYET KAYIT'!P200="Kapatıldı",'ŞİKAYET KAYIT'!B200,""),"")</f>
        <v/>
      </c>
      <c r="C200" s="11" t="str">
        <f>IFERROR(IF('ŞİKAYET KAYIT'!P200="Kapatıldı",'ŞİKAYET KAYIT'!D200,""),"")</f>
        <v/>
      </c>
      <c r="D200" s="11" t="str">
        <f>IFERROR(IF('ŞİKAYET KAYIT'!P200="Kapatıldı",'ŞİKAYET KAYIT'!F200,""),"")</f>
        <v/>
      </c>
      <c r="E200" s="11" t="str">
        <f>IFERROR(IF('ŞİKAYET KAYIT'!P200="Kapatıldı",'ŞİKAYET KAYIT'!H200,""),"")</f>
        <v/>
      </c>
      <c r="F200" s="11" t="str">
        <f>IFERROR(IF('ŞİKAYET KAYIT'!P200="Kapatıldı",'ŞİKAYET KAYIT'!J200,""),"")</f>
        <v/>
      </c>
      <c r="G200" s="11" t="str">
        <f>IFERROR(IF('ŞİKAYET KAYIT'!P200="Kapatıldı",'ŞİKAYET KAYIT'!K200,""),"")</f>
        <v/>
      </c>
      <c r="H200" s="11" t="str">
        <f>IFERROR(IF('ŞİKAYET KAYIT'!P200="Kapatıldı",'ŞİKAYET KAYIT'!L200,""),"")</f>
        <v/>
      </c>
      <c r="I200" s="11" t="str">
        <f>IFERROR(IF('ŞİKAYET KAYIT'!P200="Kapatıldı",'ŞİKAYET KAYIT'!M200,""),"")</f>
        <v/>
      </c>
      <c r="J200" s="11" t="str">
        <f>IFERROR(IF('ŞİKAYET KAYIT'!P200="Kapatıldı",'ŞİKAYET KAYIT'!N200,""),"")</f>
        <v/>
      </c>
      <c r="K200" s="11" t="str">
        <f>IFERROR(IF('ŞİKAYET KAYIT'!P200="Kapatıldı",'ŞİKAYET KAYIT'!O200,""),"")</f>
        <v/>
      </c>
      <c r="L200" s="12" t="str">
        <f>IFERROR(IF('ŞİKAYET KAYIT'!P200="Kapatıldı",'ŞİKAYET KAYIT'!Q200,""),"")</f>
        <v/>
      </c>
      <c r="M200" s="11" t="str">
        <f>IFERROR(IF('ŞİKAYET KAYIT'!P200="Kapatıldı",'ŞİKAYET KAYIT'!R200,""),"")</f>
        <v/>
      </c>
      <c r="N200" s="11"/>
    </row>
    <row r="201" spans="1:14" ht="15" customHeight="1" x14ac:dyDescent="0.3">
      <c r="A201" s="26" t="str">
        <f>IFERROR(IF('ŞİKAYET KAYIT'!P201="Kapatıldı",'ŞİKAYET KAYIT'!A201,""),"")</f>
        <v/>
      </c>
      <c r="B201" s="8" t="str">
        <f>IFERROR(IF('ŞİKAYET KAYIT'!P201="Kapatıldı",'ŞİKAYET KAYIT'!B201,""),"")</f>
        <v/>
      </c>
      <c r="C201" s="26" t="str">
        <f>IFERROR(IF('ŞİKAYET KAYIT'!P201="Kapatıldı",'ŞİKAYET KAYIT'!D201,""),"")</f>
        <v/>
      </c>
      <c r="D201" s="26" t="str">
        <f>IFERROR(IF('ŞİKAYET KAYIT'!P201="Kapatıldı",'ŞİKAYET KAYIT'!F201,""),"")</f>
        <v/>
      </c>
      <c r="E201" s="26" t="str">
        <f>IFERROR(IF('ŞİKAYET KAYIT'!P201="Kapatıldı",'ŞİKAYET KAYIT'!H201,""),"")</f>
        <v/>
      </c>
      <c r="F201" s="26" t="str">
        <f>IFERROR(IF('ŞİKAYET KAYIT'!P201="Kapatıldı",'ŞİKAYET KAYIT'!J201,""),"")</f>
        <v/>
      </c>
      <c r="G201" s="26" t="str">
        <f>IFERROR(IF('ŞİKAYET KAYIT'!P201="Kapatıldı",'ŞİKAYET KAYIT'!K201,""),"")</f>
        <v/>
      </c>
      <c r="H201" s="26" t="str">
        <f>IFERROR(IF('ŞİKAYET KAYIT'!P201="Kapatıldı",'ŞİKAYET KAYIT'!L201,""),"")</f>
        <v/>
      </c>
      <c r="I201" s="26" t="str">
        <f>IFERROR(IF('ŞİKAYET KAYIT'!P201="Kapatıldı",'ŞİKAYET KAYIT'!M201,""),"")</f>
        <v/>
      </c>
      <c r="J201" s="26" t="str">
        <f>IFERROR(IF('ŞİKAYET KAYIT'!P201="Kapatıldı",'ŞİKAYET KAYIT'!N201,""),"")</f>
        <v/>
      </c>
      <c r="K201" s="26" t="str">
        <f>IFERROR(IF('ŞİKAYET KAYIT'!P201="Kapatıldı",'ŞİKAYET KAYIT'!O201,""),"")</f>
        <v/>
      </c>
      <c r="L201" s="8" t="str">
        <f>IFERROR(IF('ŞİKAYET KAYIT'!P201="Kapatıldı",'ŞİKAYET KAYIT'!Q201,""),"")</f>
        <v/>
      </c>
      <c r="M201" s="26" t="str">
        <f>IFERROR(IF('ŞİKAYET KAYIT'!P201="Kapatıldı",'ŞİKAYET KAYIT'!R201,""),"")</f>
        <v/>
      </c>
      <c r="N201" s="26"/>
    </row>
    <row r="202" spans="1:14" ht="15" customHeight="1" x14ac:dyDescent="0.3">
      <c r="A202" s="11" t="str">
        <f>IFERROR(IF('ŞİKAYET KAYIT'!P202="Kapatıldı",'ŞİKAYET KAYIT'!A202,""),"")</f>
        <v/>
      </c>
      <c r="B202" s="12" t="str">
        <f>IFERROR(IF('ŞİKAYET KAYIT'!P202="Kapatıldı",'ŞİKAYET KAYIT'!B202,""),"")</f>
        <v/>
      </c>
      <c r="C202" s="11" t="str">
        <f>IFERROR(IF('ŞİKAYET KAYIT'!P202="Kapatıldı",'ŞİKAYET KAYIT'!D202,""),"")</f>
        <v/>
      </c>
      <c r="D202" s="11" t="str">
        <f>IFERROR(IF('ŞİKAYET KAYIT'!P202="Kapatıldı",'ŞİKAYET KAYIT'!F202,""),"")</f>
        <v/>
      </c>
      <c r="E202" s="11" t="str">
        <f>IFERROR(IF('ŞİKAYET KAYIT'!P202="Kapatıldı",'ŞİKAYET KAYIT'!H202,""),"")</f>
        <v/>
      </c>
      <c r="F202" s="11" t="str">
        <f>IFERROR(IF('ŞİKAYET KAYIT'!P202="Kapatıldı",'ŞİKAYET KAYIT'!J202,""),"")</f>
        <v/>
      </c>
      <c r="G202" s="11" t="str">
        <f>IFERROR(IF('ŞİKAYET KAYIT'!P202="Kapatıldı",'ŞİKAYET KAYIT'!K202,""),"")</f>
        <v/>
      </c>
      <c r="H202" s="11" t="str">
        <f>IFERROR(IF('ŞİKAYET KAYIT'!P202="Kapatıldı",'ŞİKAYET KAYIT'!L202,""),"")</f>
        <v/>
      </c>
      <c r="I202" s="11" t="str">
        <f>IFERROR(IF('ŞİKAYET KAYIT'!P202="Kapatıldı",'ŞİKAYET KAYIT'!M202,""),"")</f>
        <v/>
      </c>
      <c r="J202" s="11" t="str">
        <f>IFERROR(IF('ŞİKAYET KAYIT'!P202="Kapatıldı",'ŞİKAYET KAYIT'!N202,""),"")</f>
        <v/>
      </c>
      <c r="K202" s="11" t="str">
        <f>IFERROR(IF('ŞİKAYET KAYIT'!P202="Kapatıldı",'ŞİKAYET KAYIT'!O202,""),"")</f>
        <v/>
      </c>
      <c r="L202" s="12" t="str">
        <f>IFERROR(IF('ŞİKAYET KAYIT'!P202="Kapatıldı",'ŞİKAYET KAYIT'!Q202,""),"")</f>
        <v/>
      </c>
      <c r="M202" s="11" t="str">
        <f>IFERROR(IF('ŞİKAYET KAYIT'!P202="Kapatıldı",'ŞİKAYET KAYIT'!R202,""),"")</f>
        <v/>
      </c>
      <c r="N202" s="11"/>
    </row>
    <row r="203" spans="1:14" ht="15" customHeight="1" x14ac:dyDescent="0.3">
      <c r="A203" s="26" t="str">
        <f>IFERROR(IF('ŞİKAYET KAYIT'!P203="Kapatıldı",'ŞİKAYET KAYIT'!A203,""),"")</f>
        <v/>
      </c>
      <c r="B203" s="8" t="str">
        <f>IFERROR(IF('ŞİKAYET KAYIT'!P203="Kapatıldı",'ŞİKAYET KAYIT'!B203,""),"")</f>
        <v/>
      </c>
      <c r="C203" s="26" t="str">
        <f>IFERROR(IF('ŞİKAYET KAYIT'!P203="Kapatıldı",'ŞİKAYET KAYIT'!D203,""),"")</f>
        <v/>
      </c>
      <c r="D203" s="26" t="str">
        <f>IFERROR(IF('ŞİKAYET KAYIT'!P203="Kapatıldı",'ŞİKAYET KAYIT'!F203,""),"")</f>
        <v/>
      </c>
      <c r="E203" s="26" t="str">
        <f>IFERROR(IF('ŞİKAYET KAYIT'!P203="Kapatıldı",'ŞİKAYET KAYIT'!H203,""),"")</f>
        <v/>
      </c>
      <c r="F203" s="26" t="str">
        <f>IFERROR(IF('ŞİKAYET KAYIT'!P203="Kapatıldı",'ŞİKAYET KAYIT'!J203,""),"")</f>
        <v/>
      </c>
      <c r="G203" s="26" t="str">
        <f>IFERROR(IF('ŞİKAYET KAYIT'!P203="Kapatıldı",'ŞİKAYET KAYIT'!K203,""),"")</f>
        <v/>
      </c>
      <c r="H203" s="26" t="str">
        <f>IFERROR(IF('ŞİKAYET KAYIT'!P203="Kapatıldı",'ŞİKAYET KAYIT'!L203,""),"")</f>
        <v/>
      </c>
      <c r="I203" s="26" t="str">
        <f>IFERROR(IF('ŞİKAYET KAYIT'!P203="Kapatıldı",'ŞİKAYET KAYIT'!M203,""),"")</f>
        <v/>
      </c>
      <c r="J203" s="26" t="str">
        <f>IFERROR(IF('ŞİKAYET KAYIT'!P203="Kapatıldı",'ŞİKAYET KAYIT'!N203,""),"")</f>
        <v/>
      </c>
      <c r="K203" s="26" t="str">
        <f>IFERROR(IF('ŞİKAYET KAYIT'!P203="Kapatıldı",'ŞİKAYET KAYIT'!O203,""),"")</f>
        <v/>
      </c>
      <c r="L203" s="8" t="str">
        <f>IFERROR(IF('ŞİKAYET KAYIT'!P203="Kapatıldı",'ŞİKAYET KAYIT'!Q203,""),"")</f>
        <v/>
      </c>
      <c r="M203" s="26" t="str">
        <f>IFERROR(IF('ŞİKAYET KAYIT'!P203="Kapatıldı",'ŞİKAYET KAYIT'!R203,""),"")</f>
        <v/>
      </c>
      <c r="N203" s="26"/>
    </row>
    <row r="204" spans="1:14" ht="15" customHeight="1" x14ac:dyDescent="0.3">
      <c r="A204" s="11" t="str">
        <f>IFERROR(IF('ŞİKAYET KAYIT'!P204="Kapatıldı",'ŞİKAYET KAYIT'!A204,""),"")</f>
        <v/>
      </c>
      <c r="B204" s="12" t="str">
        <f>IFERROR(IF('ŞİKAYET KAYIT'!P204="Kapatıldı",'ŞİKAYET KAYIT'!B204,""),"")</f>
        <v/>
      </c>
      <c r="C204" s="11" t="str">
        <f>IFERROR(IF('ŞİKAYET KAYIT'!P204="Kapatıldı",'ŞİKAYET KAYIT'!D204,""),"")</f>
        <v/>
      </c>
      <c r="D204" s="11" t="str">
        <f>IFERROR(IF('ŞİKAYET KAYIT'!P204="Kapatıldı",'ŞİKAYET KAYIT'!F204,""),"")</f>
        <v/>
      </c>
      <c r="E204" s="11" t="str">
        <f>IFERROR(IF('ŞİKAYET KAYIT'!P204="Kapatıldı",'ŞİKAYET KAYIT'!H204,""),"")</f>
        <v/>
      </c>
      <c r="F204" s="11" t="str">
        <f>IFERROR(IF('ŞİKAYET KAYIT'!P204="Kapatıldı",'ŞİKAYET KAYIT'!J204,""),"")</f>
        <v/>
      </c>
      <c r="G204" s="11" t="str">
        <f>IFERROR(IF('ŞİKAYET KAYIT'!P204="Kapatıldı",'ŞİKAYET KAYIT'!K204,""),"")</f>
        <v/>
      </c>
      <c r="H204" s="11" t="str">
        <f>IFERROR(IF('ŞİKAYET KAYIT'!P204="Kapatıldı",'ŞİKAYET KAYIT'!L204,""),"")</f>
        <v/>
      </c>
      <c r="I204" s="11" t="str">
        <f>IFERROR(IF('ŞİKAYET KAYIT'!P204="Kapatıldı",'ŞİKAYET KAYIT'!M204,""),"")</f>
        <v/>
      </c>
      <c r="J204" s="11" t="str">
        <f>IFERROR(IF('ŞİKAYET KAYIT'!P204="Kapatıldı",'ŞİKAYET KAYIT'!N204,""),"")</f>
        <v/>
      </c>
      <c r="K204" s="11" t="str">
        <f>IFERROR(IF('ŞİKAYET KAYIT'!P204="Kapatıldı",'ŞİKAYET KAYIT'!O204,""),"")</f>
        <v/>
      </c>
      <c r="L204" s="12" t="str">
        <f>IFERROR(IF('ŞİKAYET KAYIT'!P204="Kapatıldı",'ŞİKAYET KAYIT'!Q204,""),"")</f>
        <v/>
      </c>
      <c r="M204" s="11" t="str">
        <f>IFERROR(IF('ŞİKAYET KAYIT'!P204="Kapatıldı",'ŞİKAYET KAYIT'!R204,""),"")</f>
        <v/>
      </c>
      <c r="N204" s="11"/>
    </row>
    <row r="205" spans="1:14" ht="15" customHeight="1" x14ac:dyDescent="0.3">
      <c r="A205" s="26" t="str">
        <f>IFERROR(IF('ŞİKAYET KAYIT'!P205="Kapatıldı",'ŞİKAYET KAYIT'!A205,""),"")</f>
        <v/>
      </c>
      <c r="B205" s="8" t="str">
        <f>IFERROR(IF('ŞİKAYET KAYIT'!P205="Kapatıldı",'ŞİKAYET KAYIT'!B205,""),"")</f>
        <v/>
      </c>
      <c r="C205" s="26" t="str">
        <f>IFERROR(IF('ŞİKAYET KAYIT'!P205="Kapatıldı",'ŞİKAYET KAYIT'!D205,""),"")</f>
        <v/>
      </c>
      <c r="D205" s="26" t="str">
        <f>IFERROR(IF('ŞİKAYET KAYIT'!P205="Kapatıldı",'ŞİKAYET KAYIT'!F205,""),"")</f>
        <v/>
      </c>
      <c r="E205" s="26" t="str">
        <f>IFERROR(IF('ŞİKAYET KAYIT'!P205="Kapatıldı",'ŞİKAYET KAYIT'!H205,""),"")</f>
        <v/>
      </c>
      <c r="F205" s="26" t="str">
        <f>IFERROR(IF('ŞİKAYET KAYIT'!P205="Kapatıldı",'ŞİKAYET KAYIT'!J205,""),"")</f>
        <v/>
      </c>
      <c r="G205" s="26" t="str">
        <f>IFERROR(IF('ŞİKAYET KAYIT'!P205="Kapatıldı",'ŞİKAYET KAYIT'!K205,""),"")</f>
        <v/>
      </c>
      <c r="H205" s="26" t="str">
        <f>IFERROR(IF('ŞİKAYET KAYIT'!P205="Kapatıldı",'ŞİKAYET KAYIT'!L205,""),"")</f>
        <v/>
      </c>
      <c r="I205" s="26" t="str">
        <f>IFERROR(IF('ŞİKAYET KAYIT'!P205="Kapatıldı",'ŞİKAYET KAYIT'!M205,""),"")</f>
        <v/>
      </c>
      <c r="J205" s="26" t="str">
        <f>IFERROR(IF('ŞİKAYET KAYIT'!P205="Kapatıldı",'ŞİKAYET KAYIT'!N205,""),"")</f>
        <v/>
      </c>
      <c r="K205" s="26" t="str">
        <f>IFERROR(IF('ŞİKAYET KAYIT'!P205="Kapatıldı",'ŞİKAYET KAYIT'!O205,""),"")</f>
        <v/>
      </c>
      <c r="L205" s="8" t="str">
        <f>IFERROR(IF('ŞİKAYET KAYIT'!P205="Kapatıldı",'ŞİKAYET KAYIT'!Q205,""),"")</f>
        <v/>
      </c>
      <c r="M205" s="26" t="str">
        <f>IFERROR(IF('ŞİKAYET KAYIT'!P205="Kapatıldı",'ŞİKAYET KAYIT'!R205,""),"")</f>
        <v/>
      </c>
      <c r="N205" s="26"/>
    </row>
    <row r="206" spans="1:14" ht="15" customHeight="1" x14ac:dyDescent="0.3">
      <c r="A206" s="11" t="str">
        <f>IFERROR(IF('ŞİKAYET KAYIT'!P206="Kapatıldı",'ŞİKAYET KAYIT'!A206,""),"")</f>
        <v/>
      </c>
      <c r="B206" s="12" t="str">
        <f>IFERROR(IF('ŞİKAYET KAYIT'!P206="Kapatıldı",'ŞİKAYET KAYIT'!B206,""),"")</f>
        <v/>
      </c>
      <c r="C206" s="11" t="str">
        <f>IFERROR(IF('ŞİKAYET KAYIT'!P206="Kapatıldı",'ŞİKAYET KAYIT'!D206,""),"")</f>
        <v/>
      </c>
      <c r="D206" s="11" t="str">
        <f>IFERROR(IF('ŞİKAYET KAYIT'!P206="Kapatıldı",'ŞİKAYET KAYIT'!F206,""),"")</f>
        <v/>
      </c>
      <c r="E206" s="11" t="str">
        <f>IFERROR(IF('ŞİKAYET KAYIT'!P206="Kapatıldı",'ŞİKAYET KAYIT'!H206,""),"")</f>
        <v/>
      </c>
      <c r="F206" s="11" t="str">
        <f>IFERROR(IF('ŞİKAYET KAYIT'!P206="Kapatıldı",'ŞİKAYET KAYIT'!J206,""),"")</f>
        <v/>
      </c>
      <c r="G206" s="11" t="str">
        <f>IFERROR(IF('ŞİKAYET KAYIT'!P206="Kapatıldı",'ŞİKAYET KAYIT'!K206,""),"")</f>
        <v/>
      </c>
      <c r="H206" s="11" t="str">
        <f>IFERROR(IF('ŞİKAYET KAYIT'!P206="Kapatıldı",'ŞİKAYET KAYIT'!L206,""),"")</f>
        <v/>
      </c>
      <c r="I206" s="11" t="str">
        <f>IFERROR(IF('ŞİKAYET KAYIT'!P206="Kapatıldı",'ŞİKAYET KAYIT'!M206,""),"")</f>
        <v/>
      </c>
      <c r="J206" s="11" t="str">
        <f>IFERROR(IF('ŞİKAYET KAYIT'!P206="Kapatıldı",'ŞİKAYET KAYIT'!N206,""),"")</f>
        <v/>
      </c>
      <c r="K206" s="11" t="str">
        <f>IFERROR(IF('ŞİKAYET KAYIT'!P206="Kapatıldı",'ŞİKAYET KAYIT'!O206,""),"")</f>
        <v/>
      </c>
      <c r="L206" s="12" t="str">
        <f>IFERROR(IF('ŞİKAYET KAYIT'!P206="Kapatıldı",'ŞİKAYET KAYIT'!Q206,""),"")</f>
        <v/>
      </c>
      <c r="M206" s="11" t="str">
        <f>IFERROR(IF('ŞİKAYET KAYIT'!P206="Kapatıldı",'ŞİKAYET KAYIT'!R206,""),"")</f>
        <v/>
      </c>
      <c r="N206" s="11"/>
    </row>
    <row r="207" spans="1:14" ht="15" customHeight="1" x14ac:dyDescent="0.3">
      <c r="A207" s="26" t="str">
        <f>IFERROR(IF('ŞİKAYET KAYIT'!P207="Kapatıldı",'ŞİKAYET KAYIT'!A207,""),"")</f>
        <v/>
      </c>
      <c r="B207" s="8" t="str">
        <f>IFERROR(IF('ŞİKAYET KAYIT'!P207="Kapatıldı",'ŞİKAYET KAYIT'!B207,""),"")</f>
        <v/>
      </c>
      <c r="C207" s="26" t="str">
        <f>IFERROR(IF('ŞİKAYET KAYIT'!P207="Kapatıldı",'ŞİKAYET KAYIT'!D207,""),"")</f>
        <v/>
      </c>
      <c r="D207" s="26" t="str">
        <f>IFERROR(IF('ŞİKAYET KAYIT'!P207="Kapatıldı",'ŞİKAYET KAYIT'!F207,""),"")</f>
        <v/>
      </c>
      <c r="E207" s="26" t="str">
        <f>IFERROR(IF('ŞİKAYET KAYIT'!P207="Kapatıldı",'ŞİKAYET KAYIT'!H207,""),"")</f>
        <v/>
      </c>
      <c r="F207" s="26" t="str">
        <f>IFERROR(IF('ŞİKAYET KAYIT'!P207="Kapatıldı",'ŞİKAYET KAYIT'!J207,""),"")</f>
        <v/>
      </c>
      <c r="G207" s="26" t="str">
        <f>IFERROR(IF('ŞİKAYET KAYIT'!P207="Kapatıldı",'ŞİKAYET KAYIT'!K207,""),"")</f>
        <v/>
      </c>
      <c r="H207" s="26" t="str">
        <f>IFERROR(IF('ŞİKAYET KAYIT'!P207="Kapatıldı",'ŞİKAYET KAYIT'!L207,""),"")</f>
        <v/>
      </c>
      <c r="I207" s="26" t="str">
        <f>IFERROR(IF('ŞİKAYET KAYIT'!P207="Kapatıldı",'ŞİKAYET KAYIT'!M207,""),"")</f>
        <v/>
      </c>
      <c r="J207" s="26" t="str">
        <f>IFERROR(IF('ŞİKAYET KAYIT'!P207="Kapatıldı",'ŞİKAYET KAYIT'!N207,""),"")</f>
        <v/>
      </c>
      <c r="K207" s="26" t="str">
        <f>IFERROR(IF('ŞİKAYET KAYIT'!P207="Kapatıldı",'ŞİKAYET KAYIT'!O207,""),"")</f>
        <v/>
      </c>
      <c r="L207" s="8" t="str">
        <f>IFERROR(IF('ŞİKAYET KAYIT'!P207="Kapatıldı",'ŞİKAYET KAYIT'!Q207,""),"")</f>
        <v/>
      </c>
      <c r="M207" s="26" t="str">
        <f>IFERROR(IF('ŞİKAYET KAYIT'!P207="Kapatıldı",'ŞİKAYET KAYIT'!R207,""),"")</f>
        <v/>
      </c>
      <c r="N207" s="26"/>
    </row>
    <row r="208" spans="1:14" ht="15" customHeight="1" x14ac:dyDescent="0.3">
      <c r="A208" s="11" t="str">
        <f>IFERROR(IF('ŞİKAYET KAYIT'!P208="Kapatıldı",'ŞİKAYET KAYIT'!A208,""),"")</f>
        <v/>
      </c>
      <c r="B208" s="12" t="str">
        <f>IFERROR(IF('ŞİKAYET KAYIT'!P208="Kapatıldı",'ŞİKAYET KAYIT'!B208,""),"")</f>
        <v/>
      </c>
      <c r="C208" s="11" t="str">
        <f>IFERROR(IF('ŞİKAYET KAYIT'!P208="Kapatıldı",'ŞİKAYET KAYIT'!D208,""),"")</f>
        <v/>
      </c>
      <c r="D208" s="11" t="str">
        <f>IFERROR(IF('ŞİKAYET KAYIT'!P208="Kapatıldı",'ŞİKAYET KAYIT'!F208,""),"")</f>
        <v/>
      </c>
      <c r="E208" s="11" t="str">
        <f>IFERROR(IF('ŞİKAYET KAYIT'!P208="Kapatıldı",'ŞİKAYET KAYIT'!H208,""),"")</f>
        <v/>
      </c>
      <c r="F208" s="11" t="str">
        <f>IFERROR(IF('ŞİKAYET KAYIT'!P208="Kapatıldı",'ŞİKAYET KAYIT'!J208,""),"")</f>
        <v/>
      </c>
      <c r="G208" s="11" t="str">
        <f>IFERROR(IF('ŞİKAYET KAYIT'!P208="Kapatıldı",'ŞİKAYET KAYIT'!K208,""),"")</f>
        <v/>
      </c>
      <c r="H208" s="11" t="str">
        <f>IFERROR(IF('ŞİKAYET KAYIT'!P208="Kapatıldı",'ŞİKAYET KAYIT'!L208,""),"")</f>
        <v/>
      </c>
      <c r="I208" s="11" t="str">
        <f>IFERROR(IF('ŞİKAYET KAYIT'!P208="Kapatıldı",'ŞİKAYET KAYIT'!M208,""),"")</f>
        <v/>
      </c>
      <c r="J208" s="11" t="str">
        <f>IFERROR(IF('ŞİKAYET KAYIT'!P208="Kapatıldı",'ŞİKAYET KAYIT'!N208,""),"")</f>
        <v/>
      </c>
      <c r="K208" s="11" t="str">
        <f>IFERROR(IF('ŞİKAYET KAYIT'!P208="Kapatıldı",'ŞİKAYET KAYIT'!O208,""),"")</f>
        <v/>
      </c>
      <c r="L208" s="12" t="str">
        <f>IFERROR(IF('ŞİKAYET KAYIT'!P208="Kapatıldı",'ŞİKAYET KAYIT'!Q208,""),"")</f>
        <v/>
      </c>
      <c r="M208" s="11" t="str">
        <f>IFERROR(IF('ŞİKAYET KAYIT'!P208="Kapatıldı",'ŞİKAYET KAYIT'!R208,""),"")</f>
        <v/>
      </c>
      <c r="N208" s="11"/>
    </row>
    <row r="209" spans="1:14" ht="15" customHeight="1" x14ac:dyDescent="0.3">
      <c r="A209" s="26" t="str">
        <f>IFERROR(IF('ŞİKAYET KAYIT'!P209="Kapatıldı",'ŞİKAYET KAYIT'!A209,""),"")</f>
        <v/>
      </c>
      <c r="B209" s="8" t="str">
        <f>IFERROR(IF('ŞİKAYET KAYIT'!P209="Kapatıldı",'ŞİKAYET KAYIT'!B209,""),"")</f>
        <v/>
      </c>
      <c r="C209" s="26" t="str">
        <f>IFERROR(IF('ŞİKAYET KAYIT'!P209="Kapatıldı",'ŞİKAYET KAYIT'!D209,""),"")</f>
        <v/>
      </c>
      <c r="D209" s="26" t="str">
        <f>IFERROR(IF('ŞİKAYET KAYIT'!P209="Kapatıldı",'ŞİKAYET KAYIT'!F209,""),"")</f>
        <v/>
      </c>
      <c r="E209" s="26" t="str">
        <f>IFERROR(IF('ŞİKAYET KAYIT'!P209="Kapatıldı",'ŞİKAYET KAYIT'!H209,""),"")</f>
        <v/>
      </c>
      <c r="F209" s="26" t="str">
        <f>IFERROR(IF('ŞİKAYET KAYIT'!P209="Kapatıldı",'ŞİKAYET KAYIT'!J209,""),"")</f>
        <v/>
      </c>
      <c r="G209" s="26" t="str">
        <f>IFERROR(IF('ŞİKAYET KAYIT'!P209="Kapatıldı",'ŞİKAYET KAYIT'!K209,""),"")</f>
        <v/>
      </c>
      <c r="H209" s="26" t="str">
        <f>IFERROR(IF('ŞİKAYET KAYIT'!P209="Kapatıldı",'ŞİKAYET KAYIT'!L209,""),"")</f>
        <v/>
      </c>
      <c r="I209" s="26" t="str">
        <f>IFERROR(IF('ŞİKAYET KAYIT'!P209="Kapatıldı",'ŞİKAYET KAYIT'!M209,""),"")</f>
        <v/>
      </c>
      <c r="J209" s="26" t="str">
        <f>IFERROR(IF('ŞİKAYET KAYIT'!P209="Kapatıldı",'ŞİKAYET KAYIT'!N209,""),"")</f>
        <v/>
      </c>
      <c r="K209" s="26" t="str">
        <f>IFERROR(IF('ŞİKAYET KAYIT'!P209="Kapatıldı",'ŞİKAYET KAYIT'!O209,""),"")</f>
        <v/>
      </c>
      <c r="L209" s="8" t="str">
        <f>IFERROR(IF('ŞİKAYET KAYIT'!P209="Kapatıldı",'ŞİKAYET KAYIT'!Q209,""),"")</f>
        <v/>
      </c>
      <c r="M209" s="26" t="str">
        <f>IFERROR(IF('ŞİKAYET KAYIT'!P209="Kapatıldı",'ŞİKAYET KAYIT'!R209,""),"")</f>
        <v/>
      </c>
      <c r="N209" s="26"/>
    </row>
    <row r="210" spans="1:14" ht="15" customHeight="1" x14ac:dyDescent="0.3">
      <c r="A210" s="11" t="str">
        <f>IFERROR(IF('ŞİKAYET KAYIT'!P210="Kapatıldı",'ŞİKAYET KAYIT'!A210,""),"")</f>
        <v/>
      </c>
      <c r="B210" s="12" t="str">
        <f>IFERROR(IF('ŞİKAYET KAYIT'!P210="Kapatıldı",'ŞİKAYET KAYIT'!B210,""),"")</f>
        <v/>
      </c>
      <c r="C210" s="11" t="str">
        <f>IFERROR(IF('ŞİKAYET KAYIT'!P210="Kapatıldı",'ŞİKAYET KAYIT'!D210,""),"")</f>
        <v/>
      </c>
      <c r="D210" s="11" t="str">
        <f>IFERROR(IF('ŞİKAYET KAYIT'!P210="Kapatıldı",'ŞİKAYET KAYIT'!F210,""),"")</f>
        <v/>
      </c>
      <c r="E210" s="11" t="str">
        <f>IFERROR(IF('ŞİKAYET KAYIT'!P210="Kapatıldı",'ŞİKAYET KAYIT'!H210,""),"")</f>
        <v/>
      </c>
      <c r="F210" s="11" t="str">
        <f>IFERROR(IF('ŞİKAYET KAYIT'!P210="Kapatıldı",'ŞİKAYET KAYIT'!J210,""),"")</f>
        <v/>
      </c>
      <c r="G210" s="11" t="str">
        <f>IFERROR(IF('ŞİKAYET KAYIT'!P210="Kapatıldı",'ŞİKAYET KAYIT'!K210,""),"")</f>
        <v/>
      </c>
      <c r="H210" s="11" t="str">
        <f>IFERROR(IF('ŞİKAYET KAYIT'!P210="Kapatıldı",'ŞİKAYET KAYIT'!L210,""),"")</f>
        <v/>
      </c>
      <c r="I210" s="11" t="str">
        <f>IFERROR(IF('ŞİKAYET KAYIT'!P210="Kapatıldı",'ŞİKAYET KAYIT'!M210,""),"")</f>
        <v/>
      </c>
      <c r="J210" s="11" t="str">
        <f>IFERROR(IF('ŞİKAYET KAYIT'!P210="Kapatıldı",'ŞİKAYET KAYIT'!N210,""),"")</f>
        <v/>
      </c>
      <c r="K210" s="11" t="str">
        <f>IFERROR(IF('ŞİKAYET KAYIT'!P210="Kapatıldı",'ŞİKAYET KAYIT'!O210,""),"")</f>
        <v/>
      </c>
      <c r="L210" s="12" t="str">
        <f>IFERROR(IF('ŞİKAYET KAYIT'!P210="Kapatıldı",'ŞİKAYET KAYIT'!Q210,""),"")</f>
        <v/>
      </c>
      <c r="M210" s="11" t="str">
        <f>IFERROR(IF('ŞİKAYET KAYIT'!P210="Kapatıldı",'ŞİKAYET KAYIT'!R210,""),"")</f>
        <v/>
      </c>
      <c r="N210" s="11"/>
    </row>
    <row r="211" spans="1:14" ht="15" customHeight="1" x14ac:dyDescent="0.3">
      <c r="A211" s="26" t="str">
        <f>IFERROR(IF('ŞİKAYET KAYIT'!P211="Kapatıldı",'ŞİKAYET KAYIT'!A211,""),"")</f>
        <v/>
      </c>
      <c r="B211" s="8" t="str">
        <f>IFERROR(IF('ŞİKAYET KAYIT'!P211="Kapatıldı",'ŞİKAYET KAYIT'!B211,""),"")</f>
        <v/>
      </c>
      <c r="C211" s="26" t="str">
        <f>IFERROR(IF('ŞİKAYET KAYIT'!P211="Kapatıldı",'ŞİKAYET KAYIT'!D211,""),"")</f>
        <v/>
      </c>
      <c r="D211" s="26" t="str">
        <f>IFERROR(IF('ŞİKAYET KAYIT'!P211="Kapatıldı",'ŞİKAYET KAYIT'!F211,""),"")</f>
        <v/>
      </c>
      <c r="E211" s="26" t="str">
        <f>IFERROR(IF('ŞİKAYET KAYIT'!P211="Kapatıldı",'ŞİKAYET KAYIT'!H211,""),"")</f>
        <v/>
      </c>
      <c r="F211" s="26" t="str">
        <f>IFERROR(IF('ŞİKAYET KAYIT'!P211="Kapatıldı",'ŞİKAYET KAYIT'!J211,""),"")</f>
        <v/>
      </c>
      <c r="G211" s="26" t="str">
        <f>IFERROR(IF('ŞİKAYET KAYIT'!P211="Kapatıldı",'ŞİKAYET KAYIT'!K211,""),"")</f>
        <v/>
      </c>
      <c r="H211" s="26" t="str">
        <f>IFERROR(IF('ŞİKAYET KAYIT'!P211="Kapatıldı",'ŞİKAYET KAYIT'!L211,""),"")</f>
        <v/>
      </c>
      <c r="I211" s="26" t="str">
        <f>IFERROR(IF('ŞİKAYET KAYIT'!P211="Kapatıldı",'ŞİKAYET KAYIT'!M211,""),"")</f>
        <v/>
      </c>
      <c r="J211" s="26" t="str">
        <f>IFERROR(IF('ŞİKAYET KAYIT'!P211="Kapatıldı",'ŞİKAYET KAYIT'!N211,""),"")</f>
        <v/>
      </c>
      <c r="K211" s="26" t="str">
        <f>IFERROR(IF('ŞİKAYET KAYIT'!P211="Kapatıldı",'ŞİKAYET KAYIT'!O211,""),"")</f>
        <v/>
      </c>
      <c r="L211" s="8" t="str">
        <f>IFERROR(IF('ŞİKAYET KAYIT'!P211="Kapatıldı",'ŞİKAYET KAYIT'!Q211,""),"")</f>
        <v/>
      </c>
      <c r="M211" s="26" t="str">
        <f>IFERROR(IF('ŞİKAYET KAYIT'!P211="Kapatıldı",'ŞİKAYET KAYIT'!R211,""),"")</f>
        <v/>
      </c>
      <c r="N211" s="26"/>
    </row>
    <row r="212" spans="1:14" ht="15" customHeight="1" x14ac:dyDescent="0.3">
      <c r="A212" s="11" t="str">
        <f>IFERROR(IF('ŞİKAYET KAYIT'!P212="Kapatıldı",'ŞİKAYET KAYIT'!A212,""),"")</f>
        <v/>
      </c>
      <c r="B212" s="12" t="str">
        <f>IFERROR(IF('ŞİKAYET KAYIT'!P212="Kapatıldı",'ŞİKAYET KAYIT'!B212,""),"")</f>
        <v/>
      </c>
      <c r="C212" s="11" t="str">
        <f>IFERROR(IF('ŞİKAYET KAYIT'!P212="Kapatıldı",'ŞİKAYET KAYIT'!D212,""),"")</f>
        <v/>
      </c>
      <c r="D212" s="11" t="str">
        <f>IFERROR(IF('ŞİKAYET KAYIT'!P212="Kapatıldı",'ŞİKAYET KAYIT'!F212,""),"")</f>
        <v/>
      </c>
      <c r="E212" s="11" t="str">
        <f>IFERROR(IF('ŞİKAYET KAYIT'!P212="Kapatıldı",'ŞİKAYET KAYIT'!H212,""),"")</f>
        <v/>
      </c>
      <c r="F212" s="11" t="str">
        <f>IFERROR(IF('ŞİKAYET KAYIT'!P212="Kapatıldı",'ŞİKAYET KAYIT'!J212,""),"")</f>
        <v/>
      </c>
      <c r="G212" s="11" t="str">
        <f>IFERROR(IF('ŞİKAYET KAYIT'!P212="Kapatıldı",'ŞİKAYET KAYIT'!K212,""),"")</f>
        <v/>
      </c>
      <c r="H212" s="11" t="str">
        <f>IFERROR(IF('ŞİKAYET KAYIT'!P212="Kapatıldı",'ŞİKAYET KAYIT'!L212,""),"")</f>
        <v/>
      </c>
      <c r="I212" s="11" t="str">
        <f>IFERROR(IF('ŞİKAYET KAYIT'!P212="Kapatıldı",'ŞİKAYET KAYIT'!M212,""),"")</f>
        <v/>
      </c>
      <c r="J212" s="11" t="str">
        <f>IFERROR(IF('ŞİKAYET KAYIT'!P212="Kapatıldı",'ŞİKAYET KAYIT'!N212,""),"")</f>
        <v/>
      </c>
      <c r="K212" s="11" t="str">
        <f>IFERROR(IF('ŞİKAYET KAYIT'!P212="Kapatıldı",'ŞİKAYET KAYIT'!O212,""),"")</f>
        <v/>
      </c>
      <c r="L212" s="12" t="str">
        <f>IFERROR(IF('ŞİKAYET KAYIT'!P212="Kapatıldı",'ŞİKAYET KAYIT'!Q212,""),"")</f>
        <v/>
      </c>
      <c r="M212" s="11" t="str">
        <f>IFERROR(IF('ŞİKAYET KAYIT'!P212="Kapatıldı",'ŞİKAYET KAYIT'!R212,""),"")</f>
        <v/>
      </c>
      <c r="N212" s="11"/>
    </row>
    <row r="213" spans="1:14" ht="15" customHeight="1" x14ac:dyDescent="0.3">
      <c r="A213" s="26" t="str">
        <f>IFERROR(IF('ŞİKAYET KAYIT'!P213="Kapatıldı",'ŞİKAYET KAYIT'!A213,""),"")</f>
        <v/>
      </c>
      <c r="B213" s="8" t="str">
        <f>IFERROR(IF('ŞİKAYET KAYIT'!P213="Kapatıldı",'ŞİKAYET KAYIT'!B213,""),"")</f>
        <v/>
      </c>
      <c r="C213" s="26" t="str">
        <f>IFERROR(IF('ŞİKAYET KAYIT'!P213="Kapatıldı",'ŞİKAYET KAYIT'!D213,""),"")</f>
        <v/>
      </c>
      <c r="D213" s="26" t="str">
        <f>IFERROR(IF('ŞİKAYET KAYIT'!P213="Kapatıldı",'ŞİKAYET KAYIT'!F213,""),"")</f>
        <v/>
      </c>
      <c r="E213" s="26" t="str">
        <f>IFERROR(IF('ŞİKAYET KAYIT'!P213="Kapatıldı",'ŞİKAYET KAYIT'!H213,""),"")</f>
        <v/>
      </c>
      <c r="F213" s="26" t="str">
        <f>IFERROR(IF('ŞİKAYET KAYIT'!P213="Kapatıldı",'ŞİKAYET KAYIT'!J213,""),"")</f>
        <v/>
      </c>
      <c r="G213" s="26" t="str">
        <f>IFERROR(IF('ŞİKAYET KAYIT'!P213="Kapatıldı",'ŞİKAYET KAYIT'!K213,""),"")</f>
        <v/>
      </c>
      <c r="H213" s="26" t="str">
        <f>IFERROR(IF('ŞİKAYET KAYIT'!P213="Kapatıldı",'ŞİKAYET KAYIT'!L213,""),"")</f>
        <v/>
      </c>
      <c r="I213" s="26" t="str">
        <f>IFERROR(IF('ŞİKAYET KAYIT'!P213="Kapatıldı",'ŞİKAYET KAYIT'!M213,""),"")</f>
        <v/>
      </c>
      <c r="J213" s="26" t="str">
        <f>IFERROR(IF('ŞİKAYET KAYIT'!P213="Kapatıldı",'ŞİKAYET KAYIT'!N213,""),"")</f>
        <v/>
      </c>
      <c r="K213" s="26" t="str">
        <f>IFERROR(IF('ŞİKAYET KAYIT'!P213="Kapatıldı",'ŞİKAYET KAYIT'!O213,""),"")</f>
        <v/>
      </c>
      <c r="L213" s="8" t="str">
        <f>IFERROR(IF('ŞİKAYET KAYIT'!P213="Kapatıldı",'ŞİKAYET KAYIT'!Q213,""),"")</f>
        <v/>
      </c>
      <c r="M213" s="26" t="str">
        <f>IFERROR(IF('ŞİKAYET KAYIT'!P213="Kapatıldı",'ŞİKAYET KAYIT'!R213,""),"")</f>
        <v/>
      </c>
      <c r="N213" s="26"/>
    </row>
    <row r="214" spans="1:14" ht="15" customHeight="1" x14ac:dyDescent="0.3">
      <c r="A214" s="11" t="str">
        <f>IFERROR(IF('ŞİKAYET KAYIT'!P214="Kapatıldı",'ŞİKAYET KAYIT'!A214,""),"")</f>
        <v/>
      </c>
      <c r="B214" s="12" t="str">
        <f>IFERROR(IF('ŞİKAYET KAYIT'!P214="Kapatıldı",'ŞİKAYET KAYIT'!B214,""),"")</f>
        <v/>
      </c>
      <c r="C214" s="11" t="str">
        <f>IFERROR(IF('ŞİKAYET KAYIT'!P214="Kapatıldı",'ŞİKAYET KAYIT'!D214,""),"")</f>
        <v/>
      </c>
      <c r="D214" s="11" t="str">
        <f>IFERROR(IF('ŞİKAYET KAYIT'!P214="Kapatıldı",'ŞİKAYET KAYIT'!F214,""),"")</f>
        <v/>
      </c>
      <c r="E214" s="11" t="str">
        <f>IFERROR(IF('ŞİKAYET KAYIT'!P214="Kapatıldı",'ŞİKAYET KAYIT'!H214,""),"")</f>
        <v/>
      </c>
      <c r="F214" s="11" t="str">
        <f>IFERROR(IF('ŞİKAYET KAYIT'!P214="Kapatıldı",'ŞİKAYET KAYIT'!J214,""),"")</f>
        <v/>
      </c>
      <c r="G214" s="11" t="str">
        <f>IFERROR(IF('ŞİKAYET KAYIT'!P214="Kapatıldı",'ŞİKAYET KAYIT'!K214,""),"")</f>
        <v/>
      </c>
      <c r="H214" s="11" t="str">
        <f>IFERROR(IF('ŞİKAYET KAYIT'!P214="Kapatıldı",'ŞİKAYET KAYIT'!L214,""),"")</f>
        <v/>
      </c>
      <c r="I214" s="11" t="str">
        <f>IFERROR(IF('ŞİKAYET KAYIT'!P214="Kapatıldı",'ŞİKAYET KAYIT'!M214,""),"")</f>
        <v/>
      </c>
      <c r="J214" s="11" t="str">
        <f>IFERROR(IF('ŞİKAYET KAYIT'!P214="Kapatıldı",'ŞİKAYET KAYIT'!N214,""),"")</f>
        <v/>
      </c>
      <c r="K214" s="11" t="str">
        <f>IFERROR(IF('ŞİKAYET KAYIT'!P214="Kapatıldı",'ŞİKAYET KAYIT'!O214,""),"")</f>
        <v/>
      </c>
      <c r="L214" s="12" t="str">
        <f>IFERROR(IF('ŞİKAYET KAYIT'!P214="Kapatıldı",'ŞİKAYET KAYIT'!Q214,""),"")</f>
        <v/>
      </c>
      <c r="M214" s="11" t="str">
        <f>IFERROR(IF('ŞİKAYET KAYIT'!P214="Kapatıldı",'ŞİKAYET KAYIT'!R214,""),"")</f>
        <v/>
      </c>
      <c r="N214" s="11"/>
    </row>
    <row r="215" spans="1:14" ht="15" customHeight="1" x14ac:dyDescent="0.3">
      <c r="A215" s="26" t="str">
        <f>IFERROR(IF('ŞİKAYET KAYIT'!P215="Kapatıldı",'ŞİKAYET KAYIT'!A215,""),"")</f>
        <v/>
      </c>
      <c r="B215" s="8" t="str">
        <f>IFERROR(IF('ŞİKAYET KAYIT'!P215="Kapatıldı",'ŞİKAYET KAYIT'!B215,""),"")</f>
        <v/>
      </c>
      <c r="C215" s="26" t="str">
        <f>IFERROR(IF('ŞİKAYET KAYIT'!P215="Kapatıldı",'ŞİKAYET KAYIT'!D215,""),"")</f>
        <v/>
      </c>
      <c r="D215" s="26" t="str">
        <f>IFERROR(IF('ŞİKAYET KAYIT'!P215="Kapatıldı",'ŞİKAYET KAYIT'!F215,""),"")</f>
        <v/>
      </c>
      <c r="E215" s="26" t="str">
        <f>IFERROR(IF('ŞİKAYET KAYIT'!P215="Kapatıldı",'ŞİKAYET KAYIT'!H215,""),"")</f>
        <v/>
      </c>
      <c r="F215" s="26" t="str">
        <f>IFERROR(IF('ŞİKAYET KAYIT'!P215="Kapatıldı",'ŞİKAYET KAYIT'!J215,""),"")</f>
        <v/>
      </c>
      <c r="G215" s="26" t="str">
        <f>IFERROR(IF('ŞİKAYET KAYIT'!P215="Kapatıldı",'ŞİKAYET KAYIT'!K215,""),"")</f>
        <v/>
      </c>
      <c r="H215" s="26" t="str">
        <f>IFERROR(IF('ŞİKAYET KAYIT'!P215="Kapatıldı",'ŞİKAYET KAYIT'!L215,""),"")</f>
        <v/>
      </c>
      <c r="I215" s="26" t="str">
        <f>IFERROR(IF('ŞİKAYET KAYIT'!P215="Kapatıldı",'ŞİKAYET KAYIT'!M215,""),"")</f>
        <v/>
      </c>
      <c r="J215" s="26" t="str">
        <f>IFERROR(IF('ŞİKAYET KAYIT'!P215="Kapatıldı",'ŞİKAYET KAYIT'!N215,""),"")</f>
        <v/>
      </c>
      <c r="K215" s="26" t="str">
        <f>IFERROR(IF('ŞİKAYET KAYIT'!P215="Kapatıldı",'ŞİKAYET KAYIT'!O215,""),"")</f>
        <v/>
      </c>
      <c r="L215" s="8" t="str">
        <f>IFERROR(IF('ŞİKAYET KAYIT'!P215="Kapatıldı",'ŞİKAYET KAYIT'!Q215,""),"")</f>
        <v/>
      </c>
      <c r="M215" s="26" t="str">
        <f>IFERROR(IF('ŞİKAYET KAYIT'!P215="Kapatıldı",'ŞİKAYET KAYIT'!R215,""),"")</f>
        <v/>
      </c>
      <c r="N215" s="26"/>
    </row>
    <row r="216" spans="1:14" ht="15" customHeight="1" x14ac:dyDescent="0.3">
      <c r="A216" s="11" t="str">
        <f>IFERROR(IF('ŞİKAYET KAYIT'!P216="Kapatıldı",'ŞİKAYET KAYIT'!A216,""),"")</f>
        <v/>
      </c>
      <c r="B216" s="12" t="str">
        <f>IFERROR(IF('ŞİKAYET KAYIT'!P216="Kapatıldı",'ŞİKAYET KAYIT'!B216,""),"")</f>
        <v/>
      </c>
      <c r="C216" s="11" t="str">
        <f>IFERROR(IF('ŞİKAYET KAYIT'!P216="Kapatıldı",'ŞİKAYET KAYIT'!D216,""),"")</f>
        <v/>
      </c>
      <c r="D216" s="11" t="str">
        <f>IFERROR(IF('ŞİKAYET KAYIT'!P216="Kapatıldı",'ŞİKAYET KAYIT'!F216,""),"")</f>
        <v/>
      </c>
      <c r="E216" s="11" t="str">
        <f>IFERROR(IF('ŞİKAYET KAYIT'!P216="Kapatıldı",'ŞİKAYET KAYIT'!H216,""),"")</f>
        <v/>
      </c>
      <c r="F216" s="11" t="str">
        <f>IFERROR(IF('ŞİKAYET KAYIT'!P216="Kapatıldı",'ŞİKAYET KAYIT'!J216,""),"")</f>
        <v/>
      </c>
      <c r="G216" s="11" t="str">
        <f>IFERROR(IF('ŞİKAYET KAYIT'!P216="Kapatıldı",'ŞİKAYET KAYIT'!K216,""),"")</f>
        <v/>
      </c>
      <c r="H216" s="11" t="str">
        <f>IFERROR(IF('ŞİKAYET KAYIT'!P216="Kapatıldı",'ŞİKAYET KAYIT'!L216,""),"")</f>
        <v/>
      </c>
      <c r="I216" s="11" t="str">
        <f>IFERROR(IF('ŞİKAYET KAYIT'!P216="Kapatıldı",'ŞİKAYET KAYIT'!M216,""),"")</f>
        <v/>
      </c>
      <c r="J216" s="11" t="str">
        <f>IFERROR(IF('ŞİKAYET KAYIT'!P216="Kapatıldı",'ŞİKAYET KAYIT'!N216,""),"")</f>
        <v/>
      </c>
      <c r="K216" s="11" t="str">
        <f>IFERROR(IF('ŞİKAYET KAYIT'!P216="Kapatıldı",'ŞİKAYET KAYIT'!O216,""),"")</f>
        <v/>
      </c>
      <c r="L216" s="12" t="str">
        <f>IFERROR(IF('ŞİKAYET KAYIT'!P216="Kapatıldı",'ŞİKAYET KAYIT'!Q216,""),"")</f>
        <v/>
      </c>
      <c r="M216" s="11" t="str">
        <f>IFERROR(IF('ŞİKAYET KAYIT'!P216="Kapatıldı",'ŞİKAYET KAYIT'!R216,""),"")</f>
        <v/>
      </c>
      <c r="N216" s="11"/>
    </row>
    <row r="217" spans="1:14" ht="15" customHeight="1" x14ac:dyDescent="0.3">
      <c r="A217" s="26" t="str">
        <f>IFERROR(IF('ŞİKAYET KAYIT'!P217="Kapatıldı",'ŞİKAYET KAYIT'!A217,""),"")</f>
        <v/>
      </c>
      <c r="B217" s="8" t="str">
        <f>IFERROR(IF('ŞİKAYET KAYIT'!P217="Kapatıldı",'ŞİKAYET KAYIT'!B217,""),"")</f>
        <v/>
      </c>
      <c r="C217" s="26" t="str">
        <f>IFERROR(IF('ŞİKAYET KAYIT'!P217="Kapatıldı",'ŞİKAYET KAYIT'!D217,""),"")</f>
        <v/>
      </c>
      <c r="D217" s="26" t="str">
        <f>IFERROR(IF('ŞİKAYET KAYIT'!P217="Kapatıldı",'ŞİKAYET KAYIT'!F217,""),"")</f>
        <v/>
      </c>
      <c r="E217" s="26" t="str">
        <f>IFERROR(IF('ŞİKAYET KAYIT'!P217="Kapatıldı",'ŞİKAYET KAYIT'!H217,""),"")</f>
        <v/>
      </c>
      <c r="F217" s="26" t="str">
        <f>IFERROR(IF('ŞİKAYET KAYIT'!P217="Kapatıldı",'ŞİKAYET KAYIT'!J217,""),"")</f>
        <v/>
      </c>
      <c r="G217" s="26" t="str">
        <f>IFERROR(IF('ŞİKAYET KAYIT'!P217="Kapatıldı",'ŞİKAYET KAYIT'!K217,""),"")</f>
        <v/>
      </c>
      <c r="H217" s="26" t="str">
        <f>IFERROR(IF('ŞİKAYET KAYIT'!P217="Kapatıldı",'ŞİKAYET KAYIT'!L217,""),"")</f>
        <v/>
      </c>
      <c r="I217" s="26" t="str">
        <f>IFERROR(IF('ŞİKAYET KAYIT'!P217="Kapatıldı",'ŞİKAYET KAYIT'!M217,""),"")</f>
        <v/>
      </c>
      <c r="J217" s="26" t="str">
        <f>IFERROR(IF('ŞİKAYET KAYIT'!P217="Kapatıldı",'ŞİKAYET KAYIT'!N217,""),"")</f>
        <v/>
      </c>
      <c r="K217" s="26" t="str">
        <f>IFERROR(IF('ŞİKAYET KAYIT'!P217="Kapatıldı",'ŞİKAYET KAYIT'!O217,""),"")</f>
        <v/>
      </c>
      <c r="L217" s="8" t="str">
        <f>IFERROR(IF('ŞİKAYET KAYIT'!P217="Kapatıldı",'ŞİKAYET KAYIT'!Q217,""),"")</f>
        <v/>
      </c>
      <c r="M217" s="26" t="str">
        <f>IFERROR(IF('ŞİKAYET KAYIT'!P217="Kapatıldı",'ŞİKAYET KAYIT'!R217,""),"")</f>
        <v/>
      </c>
      <c r="N217" s="26"/>
    </row>
    <row r="218" spans="1:14" ht="15" customHeight="1" x14ac:dyDescent="0.3">
      <c r="A218" s="11" t="str">
        <f>IFERROR(IF('ŞİKAYET KAYIT'!P218="Kapatıldı",'ŞİKAYET KAYIT'!A218,""),"")</f>
        <v/>
      </c>
      <c r="B218" s="12" t="str">
        <f>IFERROR(IF('ŞİKAYET KAYIT'!P218="Kapatıldı",'ŞİKAYET KAYIT'!B218,""),"")</f>
        <v/>
      </c>
      <c r="C218" s="11" t="str">
        <f>IFERROR(IF('ŞİKAYET KAYIT'!P218="Kapatıldı",'ŞİKAYET KAYIT'!D218,""),"")</f>
        <v/>
      </c>
      <c r="D218" s="11" t="str">
        <f>IFERROR(IF('ŞİKAYET KAYIT'!P218="Kapatıldı",'ŞİKAYET KAYIT'!F218,""),"")</f>
        <v/>
      </c>
      <c r="E218" s="11" t="str">
        <f>IFERROR(IF('ŞİKAYET KAYIT'!P218="Kapatıldı",'ŞİKAYET KAYIT'!H218,""),"")</f>
        <v/>
      </c>
      <c r="F218" s="11" t="str">
        <f>IFERROR(IF('ŞİKAYET KAYIT'!P218="Kapatıldı",'ŞİKAYET KAYIT'!J218,""),"")</f>
        <v/>
      </c>
      <c r="G218" s="11" t="str">
        <f>IFERROR(IF('ŞİKAYET KAYIT'!P218="Kapatıldı",'ŞİKAYET KAYIT'!K218,""),"")</f>
        <v/>
      </c>
      <c r="H218" s="11" t="str">
        <f>IFERROR(IF('ŞİKAYET KAYIT'!P218="Kapatıldı",'ŞİKAYET KAYIT'!L218,""),"")</f>
        <v/>
      </c>
      <c r="I218" s="11" t="str">
        <f>IFERROR(IF('ŞİKAYET KAYIT'!P218="Kapatıldı",'ŞİKAYET KAYIT'!M218,""),"")</f>
        <v/>
      </c>
      <c r="J218" s="11" t="str">
        <f>IFERROR(IF('ŞİKAYET KAYIT'!P218="Kapatıldı",'ŞİKAYET KAYIT'!N218,""),"")</f>
        <v/>
      </c>
      <c r="K218" s="11" t="str">
        <f>IFERROR(IF('ŞİKAYET KAYIT'!P218="Kapatıldı",'ŞİKAYET KAYIT'!O218,""),"")</f>
        <v/>
      </c>
      <c r="L218" s="12" t="str">
        <f>IFERROR(IF('ŞİKAYET KAYIT'!P218="Kapatıldı",'ŞİKAYET KAYIT'!Q218,""),"")</f>
        <v/>
      </c>
      <c r="M218" s="11" t="str">
        <f>IFERROR(IF('ŞİKAYET KAYIT'!P218="Kapatıldı",'ŞİKAYET KAYIT'!R218,""),"")</f>
        <v/>
      </c>
      <c r="N218" s="11"/>
    </row>
    <row r="219" spans="1:14" ht="15" customHeight="1" x14ac:dyDescent="0.3">
      <c r="A219" s="26" t="str">
        <f>IFERROR(IF('ŞİKAYET KAYIT'!P219="Kapatıldı",'ŞİKAYET KAYIT'!A219,""),"")</f>
        <v/>
      </c>
      <c r="B219" s="8" t="str">
        <f>IFERROR(IF('ŞİKAYET KAYIT'!P219="Kapatıldı",'ŞİKAYET KAYIT'!B219,""),"")</f>
        <v/>
      </c>
      <c r="C219" s="26" t="str">
        <f>IFERROR(IF('ŞİKAYET KAYIT'!P219="Kapatıldı",'ŞİKAYET KAYIT'!D219,""),"")</f>
        <v/>
      </c>
      <c r="D219" s="26" t="str">
        <f>IFERROR(IF('ŞİKAYET KAYIT'!P219="Kapatıldı",'ŞİKAYET KAYIT'!F219,""),"")</f>
        <v/>
      </c>
      <c r="E219" s="26" t="str">
        <f>IFERROR(IF('ŞİKAYET KAYIT'!P219="Kapatıldı",'ŞİKAYET KAYIT'!H219,""),"")</f>
        <v/>
      </c>
      <c r="F219" s="26" t="str">
        <f>IFERROR(IF('ŞİKAYET KAYIT'!P219="Kapatıldı",'ŞİKAYET KAYIT'!J219,""),"")</f>
        <v/>
      </c>
      <c r="G219" s="26" t="str">
        <f>IFERROR(IF('ŞİKAYET KAYIT'!P219="Kapatıldı",'ŞİKAYET KAYIT'!K219,""),"")</f>
        <v/>
      </c>
      <c r="H219" s="26" t="str">
        <f>IFERROR(IF('ŞİKAYET KAYIT'!P219="Kapatıldı",'ŞİKAYET KAYIT'!L219,""),"")</f>
        <v/>
      </c>
      <c r="I219" s="26" t="str">
        <f>IFERROR(IF('ŞİKAYET KAYIT'!P219="Kapatıldı",'ŞİKAYET KAYIT'!M219,""),"")</f>
        <v/>
      </c>
      <c r="J219" s="26" t="str">
        <f>IFERROR(IF('ŞİKAYET KAYIT'!P219="Kapatıldı",'ŞİKAYET KAYIT'!N219,""),"")</f>
        <v/>
      </c>
      <c r="K219" s="26" t="str">
        <f>IFERROR(IF('ŞİKAYET KAYIT'!P219="Kapatıldı",'ŞİKAYET KAYIT'!O219,""),"")</f>
        <v/>
      </c>
      <c r="L219" s="8" t="str">
        <f>IFERROR(IF('ŞİKAYET KAYIT'!P219="Kapatıldı",'ŞİKAYET KAYIT'!Q219,""),"")</f>
        <v/>
      </c>
      <c r="M219" s="26" t="str">
        <f>IFERROR(IF('ŞİKAYET KAYIT'!P219="Kapatıldı",'ŞİKAYET KAYIT'!R219,""),"")</f>
        <v/>
      </c>
      <c r="N219" s="26"/>
    </row>
    <row r="220" spans="1:14" ht="15" customHeight="1" x14ac:dyDescent="0.3">
      <c r="A220" s="11" t="str">
        <f>IFERROR(IF('ŞİKAYET KAYIT'!P220="Kapatıldı",'ŞİKAYET KAYIT'!A220,""),"")</f>
        <v/>
      </c>
      <c r="B220" s="12" t="str">
        <f>IFERROR(IF('ŞİKAYET KAYIT'!P220="Kapatıldı",'ŞİKAYET KAYIT'!B220,""),"")</f>
        <v/>
      </c>
      <c r="C220" s="11" t="str">
        <f>IFERROR(IF('ŞİKAYET KAYIT'!P220="Kapatıldı",'ŞİKAYET KAYIT'!D220,""),"")</f>
        <v/>
      </c>
      <c r="D220" s="11" t="str">
        <f>IFERROR(IF('ŞİKAYET KAYIT'!P220="Kapatıldı",'ŞİKAYET KAYIT'!F220,""),"")</f>
        <v/>
      </c>
      <c r="E220" s="11" t="str">
        <f>IFERROR(IF('ŞİKAYET KAYIT'!P220="Kapatıldı",'ŞİKAYET KAYIT'!H220,""),"")</f>
        <v/>
      </c>
      <c r="F220" s="11" t="str">
        <f>IFERROR(IF('ŞİKAYET KAYIT'!P220="Kapatıldı",'ŞİKAYET KAYIT'!J220,""),"")</f>
        <v/>
      </c>
      <c r="G220" s="11" t="str">
        <f>IFERROR(IF('ŞİKAYET KAYIT'!P220="Kapatıldı",'ŞİKAYET KAYIT'!K220,""),"")</f>
        <v/>
      </c>
      <c r="H220" s="11" t="str">
        <f>IFERROR(IF('ŞİKAYET KAYIT'!P220="Kapatıldı",'ŞİKAYET KAYIT'!L220,""),"")</f>
        <v/>
      </c>
      <c r="I220" s="11" t="str">
        <f>IFERROR(IF('ŞİKAYET KAYIT'!P220="Kapatıldı",'ŞİKAYET KAYIT'!M220,""),"")</f>
        <v/>
      </c>
      <c r="J220" s="11" t="str">
        <f>IFERROR(IF('ŞİKAYET KAYIT'!P220="Kapatıldı",'ŞİKAYET KAYIT'!N220,""),"")</f>
        <v/>
      </c>
      <c r="K220" s="11" t="str">
        <f>IFERROR(IF('ŞİKAYET KAYIT'!P220="Kapatıldı",'ŞİKAYET KAYIT'!O220,""),"")</f>
        <v/>
      </c>
      <c r="L220" s="12" t="str">
        <f>IFERROR(IF('ŞİKAYET KAYIT'!P220="Kapatıldı",'ŞİKAYET KAYIT'!Q220,""),"")</f>
        <v/>
      </c>
      <c r="M220" s="11" t="str">
        <f>IFERROR(IF('ŞİKAYET KAYIT'!P220="Kapatıldı",'ŞİKAYET KAYIT'!R220,""),"")</f>
        <v/>
      </c>
      <c r="N220" s="11"/>
    </row>
    <row r="221" spans="1:14" ht="15" customHeight="1" x14ac:dyDescent="0.3">
      <c r="A221" s="26" t="str">
        <f>IFERROR(IF('ŞİKAYET KAYIT'!P221="Kapatıldı",'ŞİKAYET KAYIT'!A221,""),"")</f>
        <v/>
      </c>
      <c r="B221" s="8" t="str">
        <f>IFERROR(IF('ŞİKAYET KAYIT'!P221="Kapatıldı",'ŞİKAYET KAYIT'!B221,""),"")</f>
        <v/>
      </c>
      <c r="C221" s="26" t="str">
        <f>IFERROR(IF('ŞİKAYET KAYIT'!P221="Kapatıldı",'ŞİKAYET KAYIT'!D221,""),"")</f>
        <v/>
      </c>
      <c r="D221" s="26" t="str">
        <f>IFERROR(IF('ŞİKAYET KAYIT'!P221="Kapatıldı",'ŞİKAYET KAYIT'!F221,""),"")</f>
        <v/>
      </c>
      <c r="E221" s="26" t="str">
        <f>IFERROR(IF('ŞİKAYET KAYIT'!P221="Kapatıldı",'ŞİKAYET KAYIT'!H221,""),"")</f>
        <v/>
      </c>
      <c r="F221" s="26" t="str">
        <f>IFERROR(IF('ŞİKAYET KAYIT'!P221="Kapatıldı",'ŞİKAYET KAYIT'!J221,""),"")</f>
        <v/>
      </c>
      <c r="G221" s="26" t="str">
        <f>IFERROR(IF('ŞİKAYET KAYIT'!P221="Kapatıldı",'ŞİKAYET KAYIT'!K221,""),"")</f>
        <v/>
      </c>
      <c r="H221" s="26" t="str">
        <f>IFERROR(IF('ŞİKAYET KAYIT'!P221="Kapatıldı",'ŞİKAYET KAYIT'!L221,""),"")</f>
        <v/>
      </c>
      <c r="I221" s="26" t="str">
        <f>IFERROR(IF('ŞİKAYET KAYIT'!P221="Kapatıldı",'ŞİKAYET KAYIT'!M221,""),"")</f>
        <v/>
      </c>
      <c r="J221" s="26" t="str">
        <f>IFERROR(IF('ŞİKAYET KAYIT'!P221="Kapatıldı",'ŞİKAYET KAYIT'!N221,""),"")</f>
        <v/>
      </c>
      <c r="K221" s="26" t="str">
        <f>IFERROR(IF('ŞİKAYET KAYIT'!P221="Kapatıldı",'ŞİKAYET KAYIT'!O221,""),"")</f>
        <v/>
      </c>
      <c r="L221" s="8" t="str">
        <f>IFERROR(IF('ŞİKAYET KAYIT'!P221="Kapatıldı",'ŞİKAYET KAYIT'!Q221,""),"")</f>
        <v/>
      </c>
      <c r="M221" s="26" t="str">
        <f>IFERROR(IF('ŞİKAYET KAYIT'!P221="Kapatıldı",'ŞİKAYET KAYIT'!R221,""),"")</f>
        <v/>
      </c>
      <c r="N221" s="26"/>
    </row>
    <row r="222" spans="1:14" ht="15" customHeight="1" x14ac:dyDescent="0.3">
      <c r="A222" s="11" t="str">
        <f>IFERROR(IF('ŞİKAYET KAYIT'!P222="Kapatıldı",'ŞİKAYET KAYIT'!A222,""),"")</f>
        <v/>
      </c>
      <c r="B222" s="12" t="str">
        <f>IFERROR(IF('ŞİKAYET KAYIT'!P222="Kapatıldı",'ŞİKAYET KAYIT'!B222,""),"")</f>
        <v/>
      </c>
      <c r="C222" s="11" t="str">
        <f>IFERROR(IF('ŞİKAYET KAYIT'!P222="Kapatıldı",'ŞİKAYET KAYIT'!D222,""),"")</f>
        <v/>
      </c>
      <c r="D222" s="11" t="str">
        <f>IFERROR(IF('ŞİKAYET KAYIT'!P222="Kapatıldı",'ŞİKAYET KAYIT'!F222,""),"")</f>
        <v/>
      </c>
      <c r="E222" s="11" t="str">
        <f>IFERROR(IF('ŞİKAYET KAYIT'!P222="Kapatıldı",'ŞİKAYET KAYIT'!H222,""),"")</f>
        <v/>
      </c>
      <c r="F222" s="11" t="str">
        <f>IFERROR(IF('ŞİKAYET KAYIT'!P222="Kapatıldı",'ŞİKAYET KAYIT'!J222,""),"")</f>
        <v/>
      </c>
      <c r="G222" s="11" t="str">
        <f>IFERROR(IF('ŞİKAYET KAYIT'!P222="Kapatıldı",'ŞİKAYET KAYIT'!K222,""),"")</f>
        <v/>
      </c>
      <c r="H222" s="11" t="str">
        <f>IFERROR(IF('ŞİKAYET KAYIT'!P222="Kapatıldı",'ŞİKAYET KAYIT'!L222,""),"")</f>
        <v/>
      </c>
      <c r="I222" s="11" t="str">
        <f>IFERROR(IF('ŞİKAYET KAYIT'!P222="Kapatıldı",'ŞİKAYET KAYIT'!M222,""),"")</f>
        <v/>
      </c>
      <c r="J222" s="11" t="str">
        <f>IFERROR(IF('ŞİKAYET KAYIT'!P222="Kapatıldı",'ŞİKAYET KAYIT'!N222,""),"")</f>
        <v/>
      </c>
      <c r="K222" s="11" t="str">
        <f>IFERROR(IF('ŞİKAYET KAYIT'!P222="Kapatıldı",'ŞİKAYET KAYIT'!O222,""),"")</f>
        <v/>
      </c>
      <c r="L222" s="12" t="str">
        <f>IFERROR(IF('ŞİKAYET KAYIT'!P222="Kapatıldı",'ŞİKAYET KAYIT'!Q222,""),"")</f>
        <v/>
      </c>
      <c r="M222" s="11" t="str">
        <f>IFERROR(IF('ŞİKAYET KAYIT'!P222="Kapatıldı",'ŞİKAYET KAYIT'!R222,""),"")</f>
        <v/>
      </c>
      <c r="N222" s="11"/>
    </row>
    <row r="223" spans="1:14" ht="15" customHeight="1" x14ac:dyDescent="0.3">
      <c r="A223" s="26" t="str">
        <f>IFERROR(IF('ŞİKAYET KAYIT'!P223="Kapatıldı",'ŞİKAYET KAYIT'!A223,""),"")</f>
        <v/>
      </c>
      <c r="B223" s="8" t="str">
        <f>IFERROR(IF('ŞİKAYET KAYIT'!P223="Kapatıldı",'ŞİKAYET KAYIT'!B223,""),"")</f>
        <v/>
      </c>
      <c r="C223" s="26" t="str">
        <f>IFERROR(IF('ŞİKAYET KAYIT'!P223="Kapatıldı",'ŞİKAYET KAYIT'!D223,""),"")</f>
        <v/>
      </c>
      <c r="D223" s="26" t="str">
        <f>IFERROR(IF('ŞİKAYET KAYIT'!P223="Kapatıldı",'ŞİKAYET KAYIT'!F223,""),"")</f>
        <v/>
      </c>
      <c r="E223" s="26" t="str">
        <f>IFERROR(IF('ŞİKAYET KAYIT'!P223="Kapatıldı",'ŞİKAYET KAYIT'!H223,""),"")</f>
        <v/>
      </c>
      <c r="F223" s="26" t="str">
        <f>IFERROR(IF('ŞİKAYET KAYIT'!P223="Kapatıldı",'ŞİKAYET KAYIT'!J223,""),"")</f>
        <v/>
      </c>
      <c r="G223" s="26" t="str">
        <f>IFERROR(IF('ŞİKAYET KAYIT'!P223="Kapatıldı",'ŞİKAYET KAYIT'!K223,""),"")</f>
        <v/>
      </c>
      <c r="H223" s="26" t="str">
        <f>IFERROR(IF('ŞİKAYET KAYIT'!P223="Kapatıldı",'ŞİKAYET KAYIT'!L223,""),"")</f>
        <v/>
      </c>
      <c r="I223" s="26" t="str">
        <f>IFERROR(IF('ŞİKAYET KAYIT'!P223="Kapatıldı",'ŞİKAYET KAYIT'!M223,""),"")</f>
        <v/>
      </c>
      <c r="J223" s="26" t="str">
        <f>IFERROR(IF('ŞİKAYET KAYIT'!P223="Kapatıldı",'ŞİKAYET KAYIT'!N223,""),"")</f>
        <v/>
      </c>
      <c r="K223" s="26" t="str">
        <f>IFERROR(IF('ŞİKAYET KAYIT'!P223="Kapatıldı",'ŞİKAYET KAYIT'!O223,""),"")</f>
        <v/>
      </c>
      <c r="L223" s="8" t="str">
        <f>IFERROR(IF('ŞİKAYET KAYIT'!P223="Kapatıldı",'ŞİKAYET KAYIT'!Q223,""),"")</f>
        <v/>
      </c>
      <c r="M223" s="26" t="str">
        <f>IFERROR(IF('ŞİKAYET KAYIT'!P223="Kapatıldı",'ŞİKAYET KAYIT'!R223,""),"")</f>
        <v/>
      </c>
      <c r="N223" s="26"/>
    </row>
    <row r="224" spans="1:14" ht="15" customHeight="1" x14ac:dyDescent="0.3">
      <c r="A224" s="11" t="str">
        <f>IFERROR(IF('ŞİKAYET KAYIT'!P224="Kapatıldı",'ŞİKAYET KAYIT'!A224,""),"")</f>
        <v/>
      </c>
      <c r="B224" s="12" t="str">
        <f>IFERROR(IF('ŞİKAYET KAYIT'!P224="Kapatıldı",'ŞİKAYET KAYIT'!B224,""),"")</f>
        <v/>
      </c>
      <c r="C224" s="11" t="str">
        <f>IFERROR(IF('ŞİKAYET KAYIT'!P224="Kapatıldı",'ŞİKAYET KAYIT'!D224,""),"")</f>
        <v/>
      </c>
      <c r="D224" s="11" t="str">
        <f>IFERROR(IF('ŞİKAYET KAYIT'!P224="Kapatıldı",'ŞİKAYET KAYIT'!F224,""),"")</f>
        <v/>
      </c>
      <c r="E224" s="11" t="str">
        <f>IFERROR(IF('ŞİKAYET KAYIT'!P224="Kapatıldı",'ŞİKAYET KAYIT'!H224,""),"")</f>
        <v/>
      </c>
      <c r="F224" s="11" t="str">
        <f>IFERROR(IF('ŞİKAYET KAYIT'!P224="Kapatıldı",'ŞİKAYET KAYIT'!J224,""),"")</f>
        <v/>
      </c>
      <c r="G224" s="11" t="str">
        <f>IFERROR(IF('ŞİKAYET KAYIT'!P224="Kapatıldı",'ŞİKAYET KAYIT'!K224,""),"")</f>
        <v/>
      </c>
      <c r="H224" s="11" t="str">
        <f>IFERROR(IF('ŞİKAYET KAYIT'!P224="Kapatıldı",'ŞİKAYET KAYIT'!L224,""),"")</f>
        <v/>
      </c>
      <c r="I224" s="11" t="str">
        <f>IFERROR(IF('ŞİKAYET KAYIT'!P224="Kapatıldı",'ŞİKAYET KAYIT'!M224,""),"")</f>
        <v/>
      </c>
      <c r="J224" s="11" t="str">
        <f>IFERROR(IF('ŞİKAYET KAYIT'!P224="Kapatıldı",'ŞİKAYET KAYIT'!N224,""),"")</f>
        <v/>
      </c>
      <c r="K224" s="11" t="str">
        <f>IFERROR(IF('ŞİKAYET KAYIT'!P224="Kapatıldı",'ŞİKAYET KAYIT'!O224,""),"")</f>
        <v/>
      </c>
      <c r="L224" s="12" t="str">
        <f>IFERROR(IF('ŞİKAYET KAYIT'!P224="Kapatıldı",'ŞİKAYET KAYIT'!Q224,""),"")</f>
        <v/>
      </c>
      <c r="M224" s="11" t="str">
        <f>IFERROR(IF('ŞİKAYET KAYIT'!P224="Kapatıldı",'ŞİKAYET KAYIT'!R224,""),"")</f>
        <v/>
      </c>
      <c r="N224" s="11"/>
    </row>
    <row r="225" spans="1:14" ht="15" customHeight="1" x14ac:dyDescent="0.3">
      <c r="A225" s="26" t="str">
        <f>IFERROR(IF('ŞİKAYET KAYIT'!P225="Kapatıldı",'ŞİKAYET KAYIT'!A225,""),"")</f>
        <v/>
      </c>
      <c r="B225" s="8" t="str">
        <f>IFERROR(IF('ŞİKAYET KAYIT'!P225="Kapatıldı",'ŞİKAYET KAYIT'!B225,""),"")</f>
        <v/>
      </c>
      <c r="C225" s="26" t="str">
        <f>IFERROR(IF('ŞİKAYET KAYIT'!P225="Kapatıldı",'ŞİKAYET KAYIT'!D225,""),"")</f>
        <v/>
      </c>
      <c r="D225" s="26" t="str">
        <f>IFERROR(IF('ŞİKAYET KAYIT'!P225="Kapatıldı",'ŞİKAYET KAYIT'!F225,""),"")</f>
        <v/>
      </c>
      <c r="E225" s="26" t="str">
        <f>IFERROR(IF('ŞİKAYET KAYIT'!P225="Kapatıldı",'ŞİKAYET KAYIT'!H225,""),"")</f>
        <v/>
      </c>
      <c r="F225" s="26" t="str">
        <f>IFERROR(IF('ŞİKAYET KAYIT'!P225="Kapatıldı",'ŞİKAYET KAYIT'!J225,""),"")</f>
        <v/>
      </c>
      <c r="G225" s="26" t="str">
        <f>IFERROR(IF('ŞİKAYET KAYIT'!P225="Kapatıldı",'ŞİKAYET KAYIT'!K225,""),"")</f>
        <v/>
      </c>
      <c r="H225" s="26" t="str">
        <f>IFERROR(IF('ŞİKAYET KAYIT'!P225="Kapatıldı",'ŞİKAYET KAYIT'!L225,""),"")</f>
        <v/>
      </c>
      <c r="I225" s="26" t="str">
        <f>IFERROR(IF('ŞİKAYET KAYIT'!P225="Kapatıldı",'ŞİKAYET KAYIT'!M225,""),"")</f>
        <v/>
      </c>
      <c r="J225" s="26" t="str">
        <f>IFERROR(IF('ŞİKAYET KAYIT'!P225="Kapatıldı",'ŞİKAYET KAYIT'!N225,""),"")</f>
        <v/>
      </c>
      <c r="K225" s="26" t="str">
        <f>IFERROR(IF('ŞİKAYET KAYIT'!P225="Kapatıldı",'ŞİKAYET KAYIT'!O225,""),"")</f>
        <v/>
      </c>
      <c r="L225" s="8" t="str">
        <f>IFERROR(IF('ŞİKAYET KAYIT'!P225="Kapatıldı",'ŞİKAYET KAYIT'!Q225,""),"")</f>
        <v/>
      </c>
      <c r="M225" s="26" t="str">
        <f>IFERROR(IF('ŞİKAYET KAYIT'!P225="Kapatıldı",'ŞİKAYET KAYIT'!R225,""),"")</f>
        <v/>
      </c>
      <c r="N225" s="26"/>
    </row>
    <row r="226" spans="1:14" ht="15" customHeight="1" x14ac:dyDescent="0.3">
      <c r="A226" s="11" t="str">
        <f>IFERROR(IF('ŞİKAYET KAYIT'!P226="Kapatıldı",'ŞİKAYET KAYIT'!A226,""),"")</f>
        <v/>
      </c>
      <c r="B226" s="12" t="str">
        <f>IFERROR(IF('ŞİKAYET KAYIT'!P226="Kapatıldı",'ŞİKAYET KAYIT'!B226,""),"")</f>
        <v/>
      </c>
      <c r="C226" s="11" t="str">
        <f>IFERROR(IF('ŞİKAYET KAYIT'!P226="Kapatıldı",'ŞİKAYET KAYIT'!D226,""),"")</f>
        <v/>
      </c>
      <c r="D226" s="11" t="str">
        <f>IFERROR(IF('ŞİKAYET KAYIT'!P226="Kapatıldı",'ŞİKAYET KAYIT'!F226,""),"")</f>
        <v/>
      </c>
      <c r="E226" s="11" t="str">
        <f>IFERROR(IF('ŞİKAYET KAYIT'!P226="Kapatıldı",'ŞİKAYET KAYIT'!H226,""),"")</f>
        <v/>
      </c>
      <c r="F226" s="11" t="str">
        <f>IFERROR(IF('ŞİKAYET KAYIT'!P226="Kapatıldı",'ŞİKAYET KAYIT'!J226,""),"")</f>
        <v/>
      </c>
      <c r="G226" s="11" t="str">
        <f>IFERROR(IF('ŞİKAYET KAYIT'!P226="Kapatıldı",'ŞİKAYET KAYIT'!K226,""),"")</f>
        <v/>
      </c>
      <c r="H226" s="11" t="str">
        <f>IFERROR(IF('ŞİKAYET KAYIT'!P226="Kapatıldı",'ŞİKAYET KAYIT'!L226,""),"")</f>
        <v/>
      </c>
      <c r="I226" s="11" t="str">
        <f>IFERROR(IF('ŞİKAYET KAYIT'!P226="Kapatıldı",'ŞİKAYET KAYIT'!M226,""),"")</f>
        <v/>
      </c>
      <c r="J226" s="11" t="str">
        <f>IFERROR(IF('ŞİKAYET KAYIT'!P226="Kapatıldı",'ŞİKAYET KAYIT'!N226,""),"")</f>
        <v/>
      </c>
      <c r="K226" s="11" t="str">
        <f>IFERROR(IF('ŞİKAYET KAYIT'!P226="Kapatıldı",'ŞİKAYET KAYIT'!O226,""),"")</f>
        <v/>
      </c>
      <c r="L226" s="12" t="str">
        <f>IFERROR(IF('ŞİKAYET KAYIT'!P226="Kapatıldı",'ŞİKAYET KAYIT'!Q226,""),"")</f>
        <v/>
      </c>
      <c r="M226" s="11" t="str">
        <f>IFERROR(IF('ŞİKAYET KAYIT'!P226="Kapatıldı",'ŞİKAYET KAYIT'!R226,""),"")</f>
        <v/>
      </c>
      <c r="N226" s="11"/>
    </row>
    <row r="227" spans="1:14" ht="15" customHeight="1" x14ac:dyDescent="0.3">
      <c r="A227" s="26" t="str">
        <f>IFERROR(IF('ŞİKAYET KAYIT'!P227="Kapatıldı",'ŞİKAYET KAYIT'!A227,""),"")</f>
        <v/>
      </c>
      <c r="B227" s="8" t="str">
        <f>IFERROR(IF('ŞİKAYET KAYIT'!P227="Kapatıldı",'ŞİKAYET KAYIT'!B227,""),"")</f>
        <v/>
      </c>
      <c r="C227" s="26" t="str">
        <f>IFERROR(IF('ŞİKAYET KAYIT'!P227="Kapatıldı",'ŞİKAYET KAYIT'!D227,""),"")</f>
        <v/>
      </c>
      <c r="D227" s="26" t="str">
        <f>IFERROR(IF('ŞİKAYET KAYIT'!P227="Kapatıldı",'ŞİKAYET KAYIT'!F227,""),"")</f>
        <v/>
      </c>
      <c r="E227" s="26" t="str">
        <f>IFERROR(IF('ŞİKAYET KAYIT'!P227="Kapatıldı",'ŞİKAYET KAYIT'!H227,""),"")</f>
        <v/>
      </c>
      <c r="F227" s="26" t="str">
        <f>IFERROR(IF('ŞİKAYET KAYIT'!P227="Kapatıldı",'ŞİKAYET KAYIT'!J227,""),"")</f>
        <v/>
      </c>
      <c r="G227" s="26" t="str">
        <f>IFERROR(IF('ŞİKAYET KAYIT'!P227="Kapatıldı",'ŞİKAYET KAYIT'!K227,""),"")</f>
        <v/>
      </c>
      <c r="H227" s="26" t="str">
        <f>IFERROR(IF('ŞİKAYET KAYIT'!P227="Kapatıldı",'ŞİKAYET KAYIT'!L227,""),"")</f>
        <v/>
      </c>
      <c r="I227" s="26" t="str">
        <f>IFERROR(IF('ŞİKAYET KAYIT'!P227="Kapatıldı",'ŞİKAYET KAYIT'!M227,""),"")</f>
        <v/>
      </c>
      <c r="J227" s="26" t="str">
        <f>IFERROR(IF('ŞİKAYET KAYIT'!P227="Kapatıldı",'ŞİKAYET KAYIT'!N227,""),"")</f>
        <v/>
      </c>
      <c r="K227" s="26" t="str">
        <f>IFERROR(IF('ŞİKAYET KAYIT'!P227="Kapatıldı",'ŞİKAYET KAYIT'!O227,""),"")</f>
        <v/>
      </c>
      <c r="L227" s="8" t="str">
        <f>IFERROR(IF('ŞİKAYET KAYIT'!P227="Kapatıldı",'ŞİKAYET KAYIT'!Q227,""),"")</f>
        <v/>
      </c>
      <c r="M227" s="26" t="str">
        <f>IFERROR(IF('ŞİKAYET KAYIT'!P227="Kapatıldı",'ŞİKAYET KAYIT'!R227,""),"")</f>
        <v/>
      </c>
      <c r="N227" s="26"/>
    </row>
    <row r="228" spans="1:14" ht="15" customHeight="1" x14ac:dyDescent="0.3">
      <c r="A228" s="11" t="str">
        <f>IFERROR(IF('ŞİKAYET KAYIT'!P228="Kapatıldı",'ŞİKAYET KAYIT'!A228,""),"")</f>
        <v/>
      </c>
      <c r="B228" s="12" t="str">
        <f>IFERROR(IF('ŞİKAYET KAYIT'!P228="Kapatıldı",'ŞİKAYET KAYIT'!B228,""),"")</f>
        <v/>
      </c>
      <c r="C228" s="11" t="str">
        <f>IFERROR(IF('ŞİKAYET KAYIT'!P228="Kapatıldı",'ŞİKAYET KAYIT'!D228,""),"")</f>
        <v/>
      </c>
      <c r="D228" s="11" t="str">
        <f>IFERROR(IF('ŞİKAYET KAYIT'!P228="Kapatıldı",'ŞİKAYET KAYIT'!F228,""),"")</f>
        <v/>
      </c>
      <c r="E228" s="11" t="str">
        <f>IFERROR(IF('ŞİKAYET KAYIT'!P228="Kapatıldı",'ŞİKAYET KAYIT'!H228,""),"")</f>
        <v/>
      </c>
      <c r="F228" s="11" t="str">
        <f>IFERROR(IF('ŞİKAYET KAYIT'!P228="Kapatıldı",'ŞİKAYET KAYIT'!J228,""),"")</f>
        <v/>
      </c>
      <c r="G228" s="11" t="str">
        <f>IFERROR(IF('ŞİKAYET KAYIT'!P228="Kapatıldı",'ŞİKAYET KAYIT'!K228,""),"")</f>
        <v/>
      </c>
      <c r="H228" s="11" t="str">
        <f>IFERROR(IF('ŞİKAYET KAYIT'!P228="Kapatıldı",'ŞİKAYET KAYIT'!L228,""),"")</f>
        <v/>
      </c>
      <c r="I228" s="11" t="str">
        <f>IFERROR(IF('ŞİKAYET KAYIT'!P228="Kapatıldı",'ŞİKAYET KAYIT'!M228,""),"")</f>
        <v/>
      </c>
      <c r="J228" s="11" t="str">
        <f>IFERROR(IF('ŞİKAYET KAYIT'!P228="Kapatıldı",'ŞİKAYET KAYIT'!N228,""),"")</f>
        <v/>
      </c>
      <c r="K228" s="11" t="str">
        <f>IFERROR(IF('ŞİKAYET KAYIT'!P228="Kapatıldı",'ŞİKAYET KAYIT'!O228,""),"")</f>
        <v/>
      </c>
      <c r="L228" s="12" t="str">
        <f>IFERROR(IF('ŞİKAYET KAYIT'!P228="Kapatıldı",'ŞİKAYET KAYIT'!Q228,""),"")</f>
        <v/>
      </c>
      <c r="M228" s="11" t="str">
        <f>IFERROR(IF('ŞİKAYET KAYIT'!P228="Kapatıldı",'ŞİKAYET KAYIT'!R228,""),"")</f>
        <v/>
      </c>
      <c r="N228" s="11"/>
    </row>
    <row r="229" spans="1:14" ht="15" customHeight="1" x14ac:dyDescent="0.3">
      <c r="A229" s="26" t="str">
        <f>IFERROR(IF('ŞİKAYET KAYIT'!P229="Kapatıldı",'ŞİKAYET KAYIT'!A229,""),"")</f>
        <v/>
      </c>
      <c r="B229" s="8" t="str">
        <f>IFERROR(IF('ŞİKAYET KAYIT'!P229="Kapatıldı",'ŞİKAYET KAYIT'!B229,""),"")</f>
        <v/>
      </c>
      <c r="C229" s="26" t="str">
        <f>IFERROR(IF('ŞİKAYET KAYIT'!P229="Kapatıldı",'ŞİKAYET KAYIT'!D229,""),"")</f>
        <v/>
      </c>
      <c r="D229" s="26" t="str">
        <f>IFERROR(IF('ŞİKAYET KAYIT'!P229="Kapatıldı",'ŞİKAYET KAYIT'!F229,""),"")</f>
        <v/>
      </c>
      <c r="E229" s="26" t="str">
        <f>IFERROR(IF('ŞİKAYET KAYIT'!P229="Kapatıldı",'ŞİKAYET KAYIT'!H229,""),"")</f>
        <v/>
      </c>
      <c r="F229" s="26" t="str">
        <f>IFERROR(IF('ŞİKAYET KAYIT'!P229="Kapatıldı",'ŞİKAYET KAYIT'!J229,""),"")</f>
        <v/>
      </c>
      <c r="G229" s="26" t="str">
        <f>IFERROR(IF('ŞİKAYET KAYIT'!P229="Kapatıldı",'ŞİKAYET KAYIT'!K229,""),"")</f>
        <v/>
      </c>
      <c r="H229" s="26" t="str">
        <f>IFERROR(IF('ŞİKAYET KAYIT'!P229="Kapatıldı",'ŞİKAYET KAYIT'!L229,""),"")</f>
        <v/>
      </c>
      <c r="I229" s="26" t="str">
        <f>IFERROR(IF('ŞİKAYET KAYIT'!P229="Kapatıldı",'ŞİKAYET KAYIT'!M229,""),"")</f>
        <v/>
      </c>
      <c r="J229" s="26" t="str">
        <f>IFERROR(IF('ŞİKAYET KAYIT'!P229="Kapatıldı",'ŞİKAYET KAYIT'!N229,""),"")</f>
        <v/>
      </c>
      <c r="K229" s="26" t="str">
        <f>IFERROR(IF('ŞİKAYET KAYIT'!P229="Kapatıldı",'ŞİKAYET KAYIT'!O229,""),"")</f>
        <v/>
      </c>
      <c r="L229" s="8" t="str">
        <f>IFERROR(IF('ŞİKAYET KAYIT'!P229="Kapatıldı",'ŞİKAYET KAYIT'!Q229,""),"")</f>
        <v/>
      </c>
      <c r="M229" s="26" t="str">
        <f>IFERROR(IF('ŞİKAYET KAYIT'!P229="Kapatıldı",'ŞİKAYET KAYIT'!R229,""),"")</f>
        <v/>
      </c>
      <c r="N229" s="26"/>
    </row>
    <row r="230" spans="1:14" ht="15" customHeight="1" x14ac:dyDescent="0.3">
      <c r="A230" s="11" t="str">
        <f>IFERROR(IF('ŞİKAYET KAYIT'!P230="Kapatıldı",'ŞİKAYET KAYIT'!A230,""),"")</f>
        <v/>
      </c>
      <c r="B230" s="12" t="str">
        <f>IFERROR(IF('ŞİKAYET KAYIT'!P230="Kapatıldı",'ŞİKAYET KAYIT'!B230,""),"")</f>
        <v/>
      </c>
      <c r="C230" s="11" t="str">
        <f>IFERROR(IF('ŞİKAYET KAYIT'!P230="Kapatıldı",'ŞİKAYET KAYIT'!D230,""),"")</f>
        <v/>
      </c>
      <c r="D230" s="11" t="str">
        <f>IFERROR(IF('ŞİKAYET KAYIT'!P230="Kapatıldı",'ŞİKAYET KAYIT'!F230,""),"")</f>
        <v/>
      </c>
      <c r="E230" s="11" t="str">
        <f>IFERROR(IF('ŞİKAYET KAYIT'!P230="Kapatıldı",'ŞİKAYET KAYIT'!H230,""),"")</f>
        <v/>
      </c>
      <c r="F230" s="11" t="str">
        <f>IFERROR(IF('ŞİKAYET KAYIT'!P230="Kapatıldı",'ŞİKAYET KAYIT'!J230,""),"")</f>
        <v/>
      </c>
      <c r="G230" s="11" t="str">
        <f>IFERROR(IF('ŞİKAYET KAYIT'!P230="Kapatıldı",'ŞİKAYET KAYIT'!K230,""),"")</f>
        <v/>
      </c>
      <c r="H230" s="11" t="str">
        <f>IFERROR(IF('ŞİKAYET KAYIT'!P230="Kapatıldı",'ŞİKAYET KAYIT'!L230,""),"")</f>
        <v/>
      </c>
      <c r="I230" s="11" t="str">
        <f>IFERROR(IF('ŞİKAYET KAYIT'!P230="Kapatıldı",'ŞİKAYET KAYIT'!M230,""),"")</f>
        <v/>
      </c>
      <c r="J230" s="11" t="str">
        <f>IFERROR(IF('ŞİKAYET KAYIT'!P230="Kapatıldı",'ŞİKAYET KAYIT'!N230,""),"")</f>
        <v/>
      </c>
      <c r="K230" s="11" t="str">
        <f>IFERROR(IF('ŞİKAYET KAYIT'!P230="Kapatıldı",'ŞİKAYET KAYIT'!O230,""),"")</f>
        <v/>
      </c>
      <c r="L230" s="12" t="str">
        <f>IFERROR(IF('ŞİKAYET KAYIT'!P230="Kapatıldı",'ŞİKAYET KAYIT'!Q230,""),"")</f>
        <v/>
      </c>
      <c r="M230" s="11" t="str">
        <f>IFERROR(IF('ŞİKAYET KAYIT'!P230="Kapatıldı",'ŞİKAYET KAYIT'!R230,""),"")</f>
        <v/>
      </c>
      <c r="N230" s="11"/>
    </row>
    <row r="231" spans="1:14" ht="15" customHeight="1" x14ac:dyDescent="0.3">
      <c r="A231" s="26" t="str">
        <f>IFERROR(IF('ŞİKAYET KAYIT'!P231="Kapatıldı",'ŞİKAYET KAYIT'!A231,""),"")</f>
        <v/>
      </c>
      <c r="B231" s="8" t="str">
        <f>IFERROR(IF('ŞİKAYET KAYIT'!P231="Kapatıldı",'ŞİKAYET KAYIT'!B231,""),"")</f>
        <v/>
      </c>
      <c r="C231" s="26" t="str">
        <f>IFERROR(IF('ŞİKAYET KAYIT'!P231="Kapatıldı",'ŞİKAYET KAYIT'!D231,""),"")</f>
        <v/>
      </c>
      <c r="D231" s="26" t="str">
        <f>IFERROR(IF('ŞİKAYET KAYIT'!P231="Kapatıldı",'ŞİKAYET KAYIT'!F231,""),"")</f>
        <v/>
      </c>
      <c r="E231" s="26" t="str">
        <f>IFERROR(IF('ŞİKAYET KAYIT'!P231="Kapatıldı",'ŞİKAYET KAYIT'!H231,""),"")</f>
        <v/>
      </c>
      <c r="F231" s="26" t="str">
        <f>IFERROR(IF('ŞİKAYET KAYIT'!P231="Kapatıldı",'ŞİKAYET KAYIT'!J231,""),"")</f>
        <v/>
      </c>
      <c r="G231" s="26" t="str">
        <f>IFERROR(IF('ŞİKAYET KAYIT'!P231="Kapatıldı",'ŞİKAYET KAYIT'!K231,""),"")</f>
        <v/>
      </c>
      <c r="H231" s="26" t="str">
        <f>IFERROR(IF('ŞİKAYET KAYIT'!P231="Kapatıldı",'ŞİKAYET KAYIT'!L231,""),"")</f>
        <v/>
      </c>
      <c r="I231" s="26" t="str">
        <f>IFERROR(IF('ŞİKAYET KAYIT'!P231="Kapatıldı",'ŞİKAYET KAYIT'!M231,""),"")</f>
        <v/>
      </c>
      <c r="J231" s="26" t="str">
        <f>IFERROR(IF('ŞİKAYET KAYIT'!P231="Kapatıldı",'ŞİKAYET KAYIT'!N231,""),"")</f>
        <v/>
      </c>
      <c r="K231" s="26" t="str">
        <f>IFERROR(IF('ŞİKAYET KAYIT'!P231="Kapatıldı",'ŞİKAYET KAYIT'!O231,""),"")</f>
        <v/>
      </c>
      <c r="L231" s="8" t="str">
        <f>IFERROR(IF('ŞİKAYET KAYIT'!P231="Kapatıldı",'ŞİKAYET KAYIT'!Q231,""),"")</f>
        <v/>
      </c>
      <c r="M231" s="26" t="str">
        <f>IFERROR(IF('ŞİKAYET KAYIT'!P231="Kapatıldı",'ŞİKAYET KAYIT'!R231,""),"")</f>
        <v/>
      </c>
      <c r="N231" s="26"/>
    </row>
    <row r="232" spans="1:14" ht="15" customHeight="1" x14ac:dyDescent="0.3">
      <c r="A232" s="11" t="str">
        <f>IFERROR(IF('ŞİKAYET KAYIT'!P232="Kapatıldı",'ŞİKAYET KAYIT'!A232,""),"")</f>
        <v/>
      </c>
      <c r="B232" s="12" t="str">
        <f>IFERROR(IF('ŞİKAYET KAYIT'!P232="Kapatıldı",'ŞİKAYET KAYIT'!B232,""),"")</f>
        <v/>
      </c>
      <c r="C232" s="11" t="str">
        <f>IFERROR(IF('ŞİKAYET KAYIT'!P232="Kapatıldı",'ŞİKAYET KAYIT'!D232,""),"")</f>
        <v/>
      </c>
      <c r="D232" s="11" t="str">
        <f>IFERROR(IF('ŞİKAYET KAYIT'!P232="Kapatıldı",'ŞİKAYET KAYIT'!F232,""),"")</f>
        <v/>
      </c>
      <c r="E232" s="11" t="str">
        <f>IFERROR(IF('ŞİKAYET KAYIT'!P232="Kapatıldı",'ŞİKAYET KAYIT'!H232,""),"")</f>
        <v/>
      </c>
      <c r="F232" s="11" t="str">
        <f>IFERROR(IF('ŞİKAYET KAYIT'!P232="Kapatıldı",'ŞİKAYET KAYIT'!J232,""),"")</f>
        <v/>
      </c>
      <c r="G232" s="11" t="str">
        <f>IFERROR(IF('ŞİKAYET KAYIT'!P232="Kapatıldı",'ŞİKAYET KAYIT'!K232,""),"")</f>
        <v/>
      </c>
      <c r="H232" s="11" t="str">
        <f>IFERROR(IF('ŞİKAYET KAYIT'!P232="Kapatıldı",'ŞİKAYET KAYIT'!L232,""),"")</f>
        <v/>
      </c>
      <c r="I232" s="11" t="str">
        <f>IFERROR(IF('ŞİKAYET KAYIT'!P232="Kapatıldı",'ŞİKAYET KAYIT'!M232,""),"")</f>
        <v/>
      </c>
      <c r="J232" s="11" t="str">
        <f>IFERROR(IF('ŞİKAYET KAYIT'!P232="Kapatıldı",'ŞİKAYET KAYIT'!N232,""),"")</f>
        <v/>
      </c>
      <c r="K232" s="11" t="str">
        <f>IFERROR(IF('ŞİKAYET KAYIT'!P232="Kapatıldı",'ŞİKAYET KAYIT'!O232,""),"")</f>
        <v/>
      </c>
      <c r="L232" s="12" t="str">
        <f>IFERROR(IF('ŞİKAYET KAYIT'!P232="Kapatıldı",'ŞİKAYET KAYIT'!Q232,""),"")</f>
        <v/>
      </c>
      <c r="M232" s="11" t="str">
        <f>IFERROR(IF('ŞİKAYET KAYIT'!P232="Kapatıldı",'ŞİKAYET KAYIT'!R232,""),"")</f>
        <v/>
      </c>
      <c r="N232" s="11"/>
    </row>
    <row r="233" spans="1:14" ht="15" customHeight="1" x14ac:dyDescent="0.3">
      <c r="A233" s="26" t="str">
        <f>IFERROR(IF('ŞİKAYET KAYIT'!P233="Kapatıldı",'ŞİKAYET KAYIT'!A233,""),"")</f>
        <v/>
      </c>
      <c r="B233" s="8" t="str">
        <f>IFERROR(IF('ŞİKAYET KAYIT'!P233="Kapatıldı",'ŞİKAYET KAYIT'!B233,""),"")</f>
        <v/>
      </c>
      <c r="C233" s="26" t="str">
        <f>IFERROR(IF('ŞİKAYET KAYIT'!P233="Kapatıldı",'ŞİKAYET KAYIT'!D233,""),"")</f>
        <v/>
      </c>
      <c r="D233" s="26" t="str">
        <f>IFERROR(IF('ŞİKAYET KAYIT'!P233="Kapatıldı",'ŞİKAYET KAYIT'!F233,""),"")</f>
        <v/>
      </c>
      <c r="E233" s="26" t="str">
        <f>IFERROR(IF('ŞİKAYET KAYIT'!P233="Kapatıldı",'ŞİKAYET KAYIT'!H233,""),"")</f>
        <v/>
      </c>
      <c r="F233" s="26" t="str">
        <f>IFERROR(IF('ŞİKAYET KAYIT'!P233="Kapatıldı",'ŞİKAYET KAYIT'!J233,""),"")</f>
        <v/>
      </c>
      <c r="G233" s="26" t="str">
        <f>IFERROR(IF('ŞİKAYET KAYIT'!P233="Kapatıldı",'ŞİKAYET KAYIT'!K233,""),"")</f>
        <v/>
      </c>
      <c r="H233" s="26" t="str">
        <f>IFERROR(IF('ŞİKAYET KAYIT'!P233="Kapatıldı",'ŞİKAYET KAYIT'!L233,""),"")</f>
        <v/>
      </c>
      <c r="I233" s="26" t="str">
        <f>IFERROR(IF('ŞİKAYET KAYIT'!P233="Kapatıldı",'ŞİKAYET KAYIT'!M233,""),"")</f>
        <v/>
      </c>
      <c r="J233" s="26" t="str">
        <f>IFERROR(IF('ŞİKAYET KAYIT'!P233="Kapatıldı",'ŞİKAYET KAYIT'!N233,""),"")</f>
        <v/>
      </c>
      <c r="K233" s="26" t="str">
        <f>IFERROR(IF('ŞİKAYET KAYIT'!P233="Kapatıldı",'ŞİKAYET KAYIT'!O233,""),"")</f>
        <v/>
      </c>
      <c r="L233" s="8" t="str">
        <f>IFERROR(IF('ŞİKAYET KAYIT'!P233="Kapatıldı",'ŞİKAYET KAYIT'!Q233,""),"")</f>
        <v/>
      </c>
      <c r="M233" s="26" t="str">
        <f>IFERROR(IF('ŞİKAYET KAYIT'!P233="Kapatıldı",'ŞİKAYET KAYIT'!R233,""),"")</f>
        <v/>
      </c>
      <c r="N233" s="26"/>
    </row>
    <row r="234" spans="1:14" ht="15" customHeight="1" x14ac:dyDescent="0.3">
      <c r="A234" s="11" t="str">
        <f>IFERROR(IF('ŞİKAYET KAYIT'!P234="Kapatıldı",'ŞİKAYET KAYIT'!A234,""),"")</f>
        <v/>
      </c>
      <c r="B234" s="12" t="str">
        <f>IFERROR(IF('ŞİKAYET KAYIT'!P234="Kapatıldı",'ŞİKAYET KAYIT'!B234,""),"")</f>
        <v/>
      </c>
      <c r="C234" s="11" t="str">
        <f>IFERROR(IF('ŞİKAYET KAYIT'!P234="Kapatıldı",'ŞİKAYET KAYIT'!D234,""),"")</f>
        <v/>
      </c>
      <c r="D234" s="11" t="str">
        <f>IFERROR(IF('ŞİKAYET KAYIT'!P234="Kapatıldı",'ŞİKAYET KAYIT'!F234,""),"")</f>
        <v/>
      </c>
      <c r="E234" s="11" t="str">
        <f>IFERROR(IF('ŞİKAYET KAYIT'!P234="Kapatıldı",'ŞİKAYET KAYIT'!H234,""),"")</f>
        <v/>
      </c>
      <c r="F234" s="11" t="str">
        <f>IFERROR(IF('ŞİKAYET KAYIT'!P234="Kapatıldı",'ŞİKAYET KAYIT'!J234,""),"")</f>
        <v/>
      </c>
      <c r="G234" s="11" t="str">
        <f>IFERROR(IF('ŞİKAYET KAYIT'!P234="Kapatıldı",'ŞİKAYET KAYIT'!K234,""),"")</f>
        <v/>
      </c>
      <c r="H234" s="11" t="str">
        <f>IFERROR(IF('ŞİKAYET KAYIT'!P234="Kapatıldı",'ŞİKAYET KAYIT'!L234,""),"")</f>
        <v/>
      </c>
      <c r="I234" s="11" t="str">
        <f>IFERROR(IF('ŞİKAYET KAYIT'!P234="Kapatıldı",'ŞİKAYET KAYIT'!M234,""),"")</f>
        <v/>
      </c>
      <c r="J234" s="11" t="str">
        <f>IFERROR(IF('ŞİKAYET KAYIT'!P234="Kapatıldı",'ŞİKAYET KAYIT'!N234,""),"")</f>
        <v/>
      </c>
      <c r="K234" s="11" t="str">
        <f>IFERROR(IF('ŞİKAYET KAYIT'!P234="Kapatıldı",'ŞİKAYET KAYIT'!O234,""),"")</f>
        <v/>
      </c>
      <c r="L234" s="12" t="str">
        <f>IFERROR(IF('ŞİKAYET KAYIT'!P234="Kapatıldı",'ŞİKAYET KAYIT'!Q234,""),"")</f>
        <v/>
      </c>
      <c r="M234" s="11" t="str">
        <f>IFERROR(IF('ŞİKAYET KAYIT'!P234="Kapatıldı",'ŞİKAYET KAYIT'!R234,""),"")</f>
        <v/>
      </c>
      <c r="N234" s="11"/>
    </row>
    <row r="235" spans="1:14" ht="15" customHeight="1" x14ac:dyDescent="0.3">
      <c r="A235" s="26" t="str">
        <f>IFERROR(IF('ŞİKAYET KAYIT'!P235="Kapatıldı",'ŞİKAYET KAYIT'!A235,""),"")</f>
        <v/>
      </c>
      <c r="B235" s="8" t="str">
        <f>IFERROR(IF('ŞİKAYET KAYIT'!P235="Kapatıldı",'ŞİKAYET KAYIT'!B235,""),"")</f>
        <v/>
      </c>
      <c r="C235" s="26" t="str">
        <f>IFERROR(IF('ŞİKAYET KAYIT'!P235="Kapatıldı",'ŞİKAYET KAYIT'!D235,""),"")</f>
        <v/>
      </c>
      <c r="D235" s="26" t="str">
        <f>IFERROR(IF('ŞİKAYET KAYIT'!P235="Kapatıldı",'ŞİKAYET KAYIT'!F235,""),"")</f>
        <v/>
      </c>
      <c r="E235" s="26" t="str">
        <f>IFERROR(IF('ŞİKAYET KAYIT'!P235="Kapatıldı",'ŞİKAYET KAYIT'!H235,""),"")</f>
        <v/>
      </c>
      <c r="F235" s="26" t="str">
        <f>IFERROR(IF('ŞİKAYET KAYIT'!P235="Kapatıldı",'ŞİKAYET KAYIT'!J235,""),"")</f>
        <v/>
      </c>
      <c r="G235" s="26" t="str">
        <f>IFERROR(IF('ŞİKAYET KAYIT'!P235="Kapatıldı",'ŞİKAYET KAYIT'!K235,""),"")</f>
        <v/>
      </c>
      <c r="H235" s="26" t="str">
        <f>IFERROR(IF('ŞİKAYET KAYIT'!P235="Kapatıldı",'ŞİKAYET KAYIT'!L235,""),"")</f>
        <v/>
      </c>
      <c r="I235" s="26" t="str">
        <f>IFERROR(IF('ŞİKAYET KAYIT'!P235="Kapatıldı",'ŞİKAYET KAYIT'!M235,""),"")</f>
        <v/>
      </c>
      <c r="J235" s="26" t="str">
        <f>IFERROR(IF('ŞİKAYET KAYIT'!P235="Kapatıldı",'ŞİKAYET KAYIT'!N235,""),"")</f>
        <v/>
      </c>
      <c r="K235" s="26" t="str">
        <f>IFERROR(IF('ŞİKAYET KAYIT'!P235="Kapatıldı",'ŞİKAYET KAYIT'!O235,""),"")</f>
        <v/>
      </c>
      <c r="L235" s="8" t="str">
        <f>IFERROR(IF('ŞİKAYET KAYIT'!P235="Kapatıldı",'ŞİKAYET KAYIT'!Q235,""),"")</f>
        <v/>
      </c>
      <c r="M235" s="26" t="str">
        <f>IFERROR(IF('ŞİKAYET KAYIT'!P235="Kapatıldı",'ŞİKAYET KAYIT'!R235,""),"")</f>
        <v/>
      </c>
      <c r="N235" s="26"/>
    </row>
    <row r="236" spans="1:14" ht="15" customHeight="1" x14ac:dyDescent="0.3">
      <c r="A236" s="11" t="str">
        <f>IFERROR(IF('ŞİKAYET KAYIT'!P236="Kapatıldı",'ŞİKAYET KAYIT'!A236,""),"")</f>
        <v/>
      </c>
      <c r="B236" s="12" t="str">
        <f>IFERROR(IF('ŞİKAYET KAYIT'!P236="Kapatıldı",'ŞİKAYET KAYIT'!B236,""),"")</f>
        <v/>
      </c>
      <c r="C236" s="11" t="str">
        <f>IFERROR(IF('ŞİKAYET KAYIT'!P236="Kapatıldı",'ŞİKAYET KAYIT'!D236,""),"")</f>
        <v/>
      </c>
      <c r="D236" s="11" t="str">
        <f>IFERROR(IF('ŞİKAYET KAYIT'!P236="Kapatıldı",'ŞİKAYET KAYIT'!F236,""),"")</f>
        <v/>
      </c>
      <c r="E236" s="11" t="str">
        <f>IFERROR(IF('ŞİKAYET KAYIT'!P236="Kapatıldı",'ŞİKAYET KAYIT'!H236,""),"")</f>
        <v/>
      </c>
      <c r="F236" s="11" t="str">
        <f>IFERROR(IF('ŞİKAYET KAYIT'!P236="Kapatıldı",'ŞİKAYET KAYIT'!J236,""),"")</f>
        <v/>
      </c>
      <c r="G236" s="11" t="str">
        <f>IFERROR(IF('ŞİKAYET KAYIT'!P236="Kapatıldı",'ŞİKAYET KAYIT'!K236,""),"")</f>
        <v/>
      </c>
      <c r="H236" s="11" t="str">
        <f>IFERROR(IF('ŞİKAYET KAYIT'!P236="Kapatıldı",'ŞİKAYET KAYIT'!L236,""),"")</f>
        <v/>
      </c>
      <c r="I236" s="11" t="str">
        <f>IFERROR(IF('ŞİKAYET KAYIT'!P236="Kapatıldı",'ŞİKAYET KAYIT'!M236,""),"")</f>
        <v/>
      </c>
      <c r="J236" s="11" t="str">
        <f>IFERROR(IF('ŞİKAYET KAYIT'!P236="Kapatıldı",'ŞİKAYET KAYIT'!N236,""),"")</f>
        <v/>
      </c>
      <c r="K236" s="11" t="str">
        <f>IFERROR(IF('ŞİKAYET KAYIT'!P236="Kapatıldı",'ŞİKAYET KAYIT'!O236,""),"")</f>
        <v/>
      </c>
      <c r="L236" s="12" t="str">
        <f>IFERROR(IF('ŞİKAYET KAYIT'!P236="Kapatıldı",'ŞİKAYET KAYIT'!Q236,""),"")</f>
        <v/>
      </c>
      <c r="M236" s="11" t="str">
        <f>IFERROR(IF('ŞİKAYET KAYIT'!P236="Kapatıldı",'ŞİKAYET KAYIT'!R236,""),"")</f>
        <v/>
      </c>
      <c r="N236" s="11"/>
    </row>
    <row r="237" spans="1:14" ht="15" customHeight="1" x14ac:dyDescent="0.3">
      <c r="A237" s="26" t="str">
        <f>IFERROR(IF('ŞİKAYET KAYIT'!P237="Kapatıldı",'ŞİKAYET KAYIT'!A237,""),"")</f>
        <v/>
      </c>
      <c r="B237" s="8" t="str">
        <f>IFERROR(IF('ŞİKAYET KAYIT'!P237="Kapatıldı",'ŞİKAYET KAYIT'!B237,""),"")</f>
        <v/>
      </c>
      <c r="C237" s="26" t="str">
        <f>IFERROR(IF('ŞİKAYET KAYIT'!P237="Kapatıldı",'ŞİKAYET KAYIT'!D237,""),"")</f>
        <v/>
      </c>
      <c r="D237" s="26" t="str">
        <f>IFERROR(IF('ŞİKAYET KAYIT'!P237="Kapatıldı",'ŞİKAYET KAYIT'!F237,""),"")</f>
        <v/>
      </c>
      <c r="E237" s="26" t="str">
        <f>IFERROR(IF('ŞİKAYET KAYIT'!P237="Kapatıldı",'ŞİKAYET KAYIT'!H237,""),"")</f>
        <v/>
      </c>
      <c r="F237" s="26" t="str">
        <f>IFERROR(IF('ŞİKAYET KAYIT'!P237="Kapatıldı",'ŞİKAYET KAYIT'!J237,""),"")</f>
        <v/>
      </c>
      <c r="G237" s="26" t="str">
        <f>IFERROR(IF('ŞİKAYET KAYIT'!P237="Kapatıldı",'ŞİKAYET KAYIT'!K237,""),"")</f>
        <v/>
      </c>
      <c r="H237" s="26" t="str">
        <f>IFERROR(IF('ŞİKAYET KAYIT'!P237="Kapatıldı",'ŞİKAYET KAYIT'!L237,""),"")</f>
        <v/>
      </c>
      <c r="I237" s="26" t="str">
        <f>IFERROR(IF('ŞİKAYET KAYIT'!P237="Kapatıldı",'ŞİKAYET KAYIT'!M237,""),"")</f>
        <v/>
      </c>
      <c r="J237" s="26" t="str">
        <f>IFERROR(IF('ŞİKAYET KAYIT'!P237="Kapatıldı",'ŞİKAYET KAYIT'!N237,""),"")</f>
        <v/>
      </c>
      <c r="K237" s="26" t="str">
        <f>IFERROR(IF('ŞİKAYET KAYIT'!P237="Kapatıldı",'ŞİKAYET KAYIT'!O237,""),"")</f>
        <v/>
      </c>
      <c r="L237" s="8" t="str">
        <f>IFERROR(IF('ŞİKAYET KAYIT'!P237="Kapatıldı",'ŞİKAYET KAYIT'!Q237,""),"")</f>
        <v/>
      </c>
      <c r="M237" s="26" t="str">
        <f>IFERROR(IF('ŞİKAYET KAYIT'!P237="Kapatıldı",'ŞİKAYET KAYIT'!R237,""),"")</f>
        <v/>
      </c>
      <c r="N237" s="26"/>
    </row>
    <row r="238" spans="1:14" ht="15" customHeight="1" x14ac:dyDescent="0.3">
      <c r="A238" s="11" t="str">
        <f>IFERROR(IF('ŞİKAYET KAYIT'!P238="Kapatıldı",'ŞİKAYET KAYIT'!A238,""),"")</f>
        <v/>
      </c>
      <c r="B238" s="12" t="str">
        <f>IFERROR(IF('ŞİKAYET KAYIT'!P238="Kapatıldı",'ŞİKAYET KAYIT'!B238,""),"")</f>
        <v/>
      </c>
      <c r="C238" s="11" t="str">
        <f>IFERROR(IF('ŞİKAYET KAYIT'!P238="Kapatıldı",'ŞİKAYET KAYIT'!D238,""),"")</f>
        <v/>
      </c>
      <c r="D238" s="11" t="str">
        <f>IFERROR(IF('ŞİKAYET KAYIT'!P238="Kapatıldı",'ŞİKAYET KAYIT'!F238,""),"")</f>
        <v/>
      </c>
      <c r="E238" s="11" t="str">
        <f>IFERROR(IF('ŞİKAYET KAYIT'!P238="Kapatıldı",'ŞİKAYET KAYIT'!H238,""),"")</f>
        <v/>
      </c>
      <c r="F238" s="11" t="str">
        <f>IFERROR(IF('ŞİKAYET KAYIT'!P238="Kapatıldı",'ŞİKAYET KAYIT'!J238,""),"")</f>
        <v/>
      </c>
      <c r="G238" s="11" t="str">
        <f>IFERROR(IF('ŞİKAYET KAYIT'!P238="Kapatıldı",'ŞİKAYET KAYIT'!K238,""),"")</f>
        <v/>
      </c>
      <c r="H238" s="11" t="str">
        <f>IFERROR(IF('ŞİKAYET KAYIT'!P238="Kapatıldı",'ŞİKAYET KAYIT'!L238,""),"")</f>
        <v/>
      </c>
      <c r="I238" s="11" t="str">
        <f>IFERROR(IF('ŞİKAYET KAYIT'!P238="Kapatıldı",'ŞİKAYET KAYIT'!M238,""),"")</f>
        <v/>
      </c>
      <c r="J238" s="11" t="str">
        <f>IFERROR(IF('ŞİKAYET KAYIT'!P238="Kapatıldı",'ŞİKAYET KAYIT'!N238,""),"")</f>
        <v/>
      </c>
      <c r="K238" s="11" t="str">
        <f>IFERROR(IF('ŞİKAYET KAYIT'!P238="Kapatıldı",'ŞİKAYET KAYIT'!O238,""),"")</f>
        <v/>
      </c>
      <c r="L238" s="12" t="str">
        <f>IFERROR(IF('ŞİKAYET KAYIT'!P238="Kapatıldı",'ŞİKAYET KAYIT'!Q238,""),"")</f>
        <v/>
      </c>
      <c r="M238" s="11" t="str">
        <f>IFERROR(IF('ŞİKAYET KAYIT'!P238="Kapatıldı",'ŞİKAYET KAYIT'!R238,""),"")</f>
        <v/>
      </c>
      <c r="N238" s="11"/>
    </row>
    <row r="239" spans="1:14" ht="15" customHeight="1" x14ac:dyDescent="0.3">
      <c r="A239" s="26" t="str">
        <f>IFERROR(IF('ŞİKAYET KAYIT'!P239="Kapatıldı",'ŞİKAYET KAYIT'!A239,""),"")</f>
        <v/>
      </c>
      <c r="B239" s="8" t="str">
        <f>IFERROR(IF('ŞİKAYET KAYIT'!P239="Kapatıldı",'ŞİKAYET KAYIT'!B239,""),"")</f>
        <v/>
      </c>
      <c r="C239" s="26" t="str">
        <f>IFERROR(IF('ŞİKAYET KAYIT'!P239="Kapatıldı",'ŞİKAYET KAYIT'!D239,""),"")</f>
        <v/>
      </c>
      <c r="D239" s="26" t="str">
        <f>IFERROR(IF('ŞİKAYET KAYIT'!P239="Kapatıldı",'ŞİKAYET KAYIT'!F239,""),"")</f>
        <v/>
      </c>
      <c r="E239" s="26" t="str">
        <f>IFERROR(IF('ŞİKAYET KAYIT'!P239="Kapatıldı",'ŞİKAYET KAYIT'!H239,""),"")</f>
        <v/>
      </c>
      <c r="F239" s="26" t="str">
        <f>IFERROR(IF('ŞİKAYET KAYIT'!P239="Kapatıldı",'ŞİKAYET KAYIT'!J239,""),"")</f>
        <v/>
      </c>
      <c r="G239" s="26" t="str">
        <f>IFERROR(IF('ŞİKAYET KAYIT'!P239="Kapatıldı",'ŞİKAYET KAYIT'!K239,""),"")</f>
        <v/>
      </c>
      <c r="H239" s="26" t="str">
        <f>IFERROR(IF('ŞİKAYET KAYIT'!P239="Kapatıldı",'ŞİKAYET KAYIT'!L239,""),"")</f>
        <v/>
      </c>
      <c r="I239" s="26" t="str">
        <f>IFERROR(IF('ŞİKAYET KAYIT'!P239="Kapatıldı",'ŞİKAYET KAYIT'!M239,""),"")</f>
        <v/>
      </c>
      <c r="J239" s="26" t="str">
        <f>IFERROR(IF('ŞİKAYET KAYIT'!P239="Kapatıldı",'ŞİKAYET KAYIT'!N239,""),"")</f>
        <v/>
      </c>
      <c r="K239" s="26" t="str">
        <f>IFERROR(IF('ŞİKAYET KAYIT'!P239="Kapatıldı",'ŞİKAYET KAYIT'!O239,""),"")</f>
        <v/>
      </c>
      <c r="L239" s="8" t="str">
        <f>IFERROR(IF('ŞİKAYET KAYIT'!P239="Kapatıldı",'ŞİKAYET KAYIT'!Q239,""),"")</f>
        <v/>
      </c>
      <c r="M239" s="26" t="str">
        <f>IFERROR(IF('ŞİKAYET KAYIT'!P239="Kapatıldı",'ŞİKAYET KAYIT'!R239,""),"")</f>
        <v/>
      </c>
      <c r="N239" s="26"/>
    </row>
    <row r="240" spans="1:14" ht="15" customHeight="1" x14ac:dyDescent="0.3">
      <c r="A240" s="11" t="str">
        <f>IFERROR(IF('ŞİKAYET KAYIT'!P240="Kapatıldı",'ŞİKAYET KAYIT'!A240,""),"")</f>
        <v/>
      </c>
      <c r="B240" s="12" t="str">
        <f>IFERROR(IF('ŞİKAYET KAYIT'!P240="Kapatıldı",'ŞİKAYET KAYIT'!B240,""),"")</f>
        <v/>
      </c>
      <c r="C240" s="11" t="str">
        <f>IFERROR(IF('ŞİKAYET KAYIT'!P240="Kapatıldı",'ŞİKAYET KAYIT'!D240,""),"")</f>
        <v/>
      </c>
      <c r="D240" s="11" t="str">
        <f>IFERROR(IF('ŞİKAYET KAYIT'!P240="Kapatıldı",'ŞİKAYET KAYIT'!F240,""),"")</f>
        <v/>
      </c>
      <c r="E240" s="11" t="str">
        <f>IFERROR(IF('ŞİKAYET KAYIT'!P240="Kapatıldı",'ŞİKAYET KAYIT'!H240,""),"")</f>
        <v/>
      </c>
      <c r="F240" s="11" t="str">
        <f>IFERROR(IF('ŞİKAYET KAYIT'!P240="Kapatıldı",'ŞİKAYET KAYIT'!J240,""),"")</f>
        <v/>
      </c>
      <c r="G240" s="11" t="str">
        <f>IFERROR(IF('ŞİKAYET KAYIT'!P240="Kapatıldı",'ŞİKAYET KAYIT'!K240,""),"")</f>
        <v/>
      </c>
      <c r="H240" s="11" t="str">
        <f>IFERROR(IF('ŞİKAYET KAYIT'!P240="Kapatıldı",'ŞİKAYET KAYIT'!L240,""),"")</f>
        <v/>
      </c>
      <c r="I240" s="11" t="str">
        <f>IFERROR(IF('ŞİKAYET KAYIT'!P240="Kapatıldı",'ŞİKAYET KAYIT'!M240,""),"")</f>
        <v/>
      </c>
      <c r="J240" s="11" t="str">
        <f>IFERROR(IF('ŞİKAYET KAYIT'!P240="Kapatıldı",'ŞİKAYET KAYIT'!N240,""),"")</f>
        <v/>
      </c>
      <c r="K240" s="11" t="str">
        <f>IFERROR(IF('ŞİKAYET KAYIT'!P240="Kapatıldı",'ŞİKAYET KAYIT'!O240,""),"")</f>
        <v/>
      </c>
      <c r="L240" s="12" t="str">
        <f>IFERROR(IF('ŞİKAYET KAYIT'!P240="Kapatıldı",'ŞİKAYET KAYIT'!Q240,""),"")</f>
        <v/>
      </c>
      <c r="M240" s="11" t="str">
        <f>IFERROR(IF('ŞİKAYET KAYIT'!P240="Kapatıldı",'ŞİKAYET KAYIT'!R240,""),"")</f>
        <v/>
      </c>
      <c r="N240" s="11"/>
    </row>
    <row r="241" spans="1:14" ht="15" customHeight="1" x14ac:dyDescent="0.3">
      <c r="A241" s="26" t="str">
        <f>IFERROR(IF('ŞİKAYET KAYIT'!P241="Kapatıldı",'ŞİKAYET KAYIT'!A241,""),"")</f>
        <v/>
      </c>
      <c r="B241" s="8" t="str">
        <f>IFERROR(IF('ŞİKAYET KAYIT'!P241="Kapatıldı",'ŞİKAYET KAYIT'!B241,""),"")</f>
        <v/>
      </c>
      <c r="C241" s="26" t="str">
        <f>IFERROR(IF('ŞİKAYET KAYIT'!P241="Kapatıldı",'ŞİKAYET KAYIT'!D241,""),"")</f>
        <v/>
      </c>
      <c r="D241" s="26" t="str">
        <f>IFERROR(IF('ŞİKAYET KAYIT'!P241="Kapatıldı",'ŞİKAYET KAYIT'!F241,""),"")</f>
        <v/>
      </c>
      <c r="E241" s="26" t="str">
        <f>IFERROR(IF('ŞİKAYET KAYIT'!P241="Kapatıldı",'ŞİKAYET KAYIT'!H241,""),"")</f>
        <v/>
      </c>
      <c r="F241" s="26" t="str">
        <f>IFERROR(IF('ŞİKAYET KAYIT'!P241="Kapatıldı",'ŞİKAYET KAYIT'!J241,""),"")</f>
        <v/>
      </c>
      <c r="G241" s="26" t="str">
        <f>IFERROR(IF('ŞİKAYET KAYIT'!P241="Kapatıldı",'ŞİKAYET KAYIT'!K241,""),"")</f>
        <v/>
      </c>
      <c r="H241" s="26" t="str">
        <f>IFERROR(IF('ŞİKAYET KAYIT'!P241="Kapatıldı",'ŞİKAYET KAYIT'!L241,""),"")</f>
        <v/>
      </c>
      <c r="I241" s="26" t="str">
        <f>IFERROR(IF('ŞİKAYET KAYIT'!P241="Kapatıldı",'ŞİKAYET KAYIT'!M241,""),"")</f>
        <v/>
      </c>
      <c r="J241" s="26" t="str">
        <f>IFERROR(IF('ŞİKAYET KAYIT'!P241="Kapatıldı",'ŞİKAYET KAYIT'!N241,""),"")</f>
        <v/>
      </c>
      <c r="K241" s="26" t="str">
        <f>IFERROR(IF('ŞİKAYET KAYIT'!P241="Kapatıldı",'ŞİKAYET KAYIT'!O241,""),"")</f>
        <v/>
      </c>
      <c r="L241" s="8" t="str">
        <f>IFERROR(IF('ŞİKAYET KAYIT'!P241="Kapatıldı",'ŞİKAYET KAYIT'!Q241,""),"")</f>
        <v/>
      </c>
      <c r="M241" s="26" t="str">
        <f>IFERROR(IF('ŞİKAYET KAYIT'!P241="Kapatıldı",'ŞİKAYET KAYIT'!R241,""),"")</f>
        <v/>
      </c>
      <c r="N241" s="26"/>
    </row>
    <row r="242" spans="1:14" ht="15" customHeight="1" x14ac:dyDescent="0.3">
      <c r="A242" s="11" t="str">
        <f>IFERROR(IF('ŞİKAYET KAYIT'!P242="Kapatıldı",'ŞİKAYET KAYIT'!A242,""),"")</f>
        <v/>
      </c>
      <c r="B242" s="12" t="str">
        <f>IFERROR(IF('ŞİKAYET KAYIT'!P242="Kapatıldı",'ŞİKAYET KAYIT'!B242,""),"")</f>
        <v/>
      </c>
      <c r="C242" s="11" t="str">
        <f>IFERROR(IF('ŞİKAYET KAYIT'!P242="Kapatıldı",'ŞİKAYET KAYIT'!D242,""),"")</f>
        <v/>
      </c>
      <c r="D242" s="11" t="str">
        <f>IFERROR(IF('ŞİKAYET KAYIT'!P242="Kapatıldı",'ŞİKAYET KAYIT'!F242,""),"")</f>
        <v/>
      </c>
      <c r="E242" s="11" t="str">
        <f>IFERROR(IF('ŞİKAYET KAYIT'!P242="Kapatıldı",'ŞİKAYET KAYIT'!H242,""),"")</f>
        <v/>
      </c>
      <c r="F242" s="11" t="str">
        <f>IFERROR(IF('ŞİKAYET KAYIT'!P242="Kapatıldı",'ŞİKAYET KAYIT'!J242,""),"")</f>
        <v/>
      </c>
      <c r="G242" s="11" t="str">
        <f>IFERROR(IF('ŞİKAYET KAYIT'!P242="Kapatıldı",'ŞİKAYET KAYIT'!K242,""),"")</f>
        <v/>
      </c>
      <c r="H242" s="11" t="str">
        <f>IFERROR(IF('ŞİKAYET KAYIT'!P242="Kapatıldı",'ŞİKAYET KAYIT'!L242,""),"")</f>
        <v/>
      </c>
      <c r="I242" s="11" t="str">
        <f>IFERROR(IF('ŞİKAYET KAYIT'!P242="Kapatıldı",'ŞİKAYET KAYIT'!M242,""),"")</f>
        <v/>
      </c>
      <c r="J242" s="11" t="str">
        <f>IFERROR(IF('ŞİKAYET KAYIT'!P242="Kapatıldı",'ŞİKAYET KAYIT'!N242,""),"")</f>
        <v/>
      </c>
      <c r="K242" s="11" t="str">
        <f>IFERROR(IF('ŞİKAYET KAYIT'!P242="Kapatıldı",'ŞİKAYET KAYIT'!O242,""),"")</f>
        <v/>
      </c>
      <c r="L242" s="12" t="str">
        <f>IFERROR(IF('ŞİKAYET KAYIT'!P242="Kapatıldı",'ŞİKAYET KAYIT'!Q242,""),"")</f>
        <v/>
      </c>
      <c r="M242" s="11" t="str">
        <f>IFERROR(IF('ŞİKAYET KAYIT'!P242="Kapatıldı",'ŞİKAYET KAYIT'!R242,""),"")</f>
        <v/>
      </c>
      <c r="N242" s="11"/>
    </row>
    <row r="243" spans="1:14" ht="15" customHeight="1" x14ac:dyDescent="0.3">
      <c r="A243" s="26" t="str">
        <f>IFERROR(IF('ŞİKAYET KAYIT'!P243="Kapatıldı",'ŞİKAYET KAYIT'!A243,""),"")</f>
        <v/>
      </c>
      <c r="B243" s="8" t="str">
        <f>IFERROR(IF('ŞİKAYET KAYIT'!P243="Kapatıldı",'ŞİKAYET KAYIT'!B243,""),"")</f>
        <v/>
      </c>
      <c r="C243" s="26" t="str">
        <f>IFERROR(IF('ŞİKAYET KAYIT'!P243="Kapatıldı",'ŞİKAYET KAYIT'!D243,""),"")</f>
        <v/>
      </c>
      <c r="D243" s="26" t="str">
        <f>IFERROR(IF('ŞİKAYET KAYIT'!P243="Kapatıldı",'ŞİKAYET KAYIT'!F243,""),"")</f>
        <v/>
      </c>
      <c r="E243" s="26" t="str">
        <f>IFERROR(IF('ŞİKAYET KAYIT'!P243="Kapatıldı",'ŞİKAYET KAYIT'!H243,""),"")</f>
        <v/>
      </c>
      <c r="F243" s="26" t="str">
        <f>IFERROR(IF('ŞİKAYET KAYIT'!P243="Kapatıldı",'ŞİKAYET KAYIT'!J243,""),"")</f>
        <v/>
      </c>
      <c r="G243" s="26" t="str">
        <f>IFERROR(IF('ŞİKAYET KAYIT'!P243="Kapatıldı",'ŞİKAYET KAYIT'!K243,""),"")</f>
        <v/>
      </c>
      <c r="H243" s="26" t="str">
        <f>IFERROR(IF('ŞİKAYET KAYIT'!P243="Kapatıldı",'ŞİKAYET KAYIT'!L243,""),"")</f>
        <v/>
      </c>
      <c r="I243" s="26" t="str">
        <f>IFERROR(IF('ŞİKAYET KAYIT'!P243="Kapatıldı",'ŞİKAYET KAYIT'!M243,""),"")</f>
        <v/>
      </c>
      <c r="J243" s="26" t="str">
        <f>IFERROR(IF('ŞİKAYET KAYIT'!P243="Kapatıldı",'ŞİKAYET KAYIT'!N243,""),"")</f>
        <v/>
      </c>
      <c r="K243" s="26" t="str">
        <f>IFERROR(IF('ŞİKAYET KAYIT'!P243="Kapatıldı",'ŞİKAYET KAYIT'!O243,""),"")</f>
        <v/>
      </c>
      <c r="L243" s="8" t="str">
        <f>IFERROR(IF('ŞİKAYET KAYIT'!P243="Kapatıldı",'ŞİKAYET KAYIT'!Q243,""),"")</f>
        <v/>
      </c>
      <c r="M243" s="26" t="str">
        <f>IFERROR(IF('ŞİKAYET KAYIT'!P243="Kapatıldı",'ŞİKAYET KAYIT'!R243,""),"")</f>
        <v/>
      </c>
      <c r="N243" s="26"/>
    </row>
    <row r="244" spans="1:14" ht="15" customHeight="1" x14ac:dyDescent="0.3">
      <c r="A244" s="11" t="str">
        <f>IFERROR(IF('ŞİKAYET KAYIT'!P244="Kapatıldı",'ŞİKAYET KAYIT'!A244,""),"")</f>
        <v/>
      </c>
      <c r="B244" s="12" t="str">
        <f>IFERROR(IF('ŞİKAYET KAYIT'!P244="Kapatıldı",'ŞİKAYET KAYIT'!B244,""),"")</f>
        <v/>
      </c>
      <c r="C244" s="11" t="str">
        <f>IFERROR(IF('ŞİKAYET KAYIT'!P244="Kapatıldı",'ŞİKAYET KAYIT'!D244,""),"")</f>
        <v/>
      </c>
      <c r="D244" s="11" t="str">
        <f>IFERROR(IF('ŞİKAYET KAYIT'!P244="Kapatıldı",'ŞİKAYET KAYIT'!F244,""),"")</f>
        <v/>
      </c>
      <c r="E244" s="11" t="str">
        <f>IFERROR(IF('ŞİKAYET KAYIT'!P244="Kapatıldı",'ŞİKAYET KAYIT'!H244,""),"")</f>
        <v/>
      </c>
      <c r="F244" s="11" t="str">
        <f>IFERROR(IF('ŞİKAYET KAYIT'!P244="Kapatıldı",'ŞİKAYET KAYIT'!J244,""),"")</f>
        <v/>
      </c>
      <c r="G244" s="11" t="str">
        <f>IFERROR(IF('ŞİKAYET KAYIT'!P244="Kapatıldı",'ŞİKAYET KAYIT'!K244,""),"")</f>
        <v/>
      </c>
      <c r="H244" s="11" t="str">
        <f>IFERROR(IF('ŞİKAYET KAYIT'!P244="Kapatıldı",'ŞİKAYET KAYIT'!L244,""),"")</f>
        <v/>
      </c>
      <c r="I244" s="11" t="str">
        <f>IFERROR(IF('ŞİKAYET KAYIT'!P244="Kapatıldı",'ŞİKAYET KAYIT'!M244,""),"")</f>
        <v/>
      </c>
      <c r="J244" s="11" t="str">
        <f>IFERROR(IF('ŞİKAYET KAYIT'!P244="Kapatıldı",'ŞİKAYET KAYIT'!N244,""),"")</f>
        <v/>
      </c>
      <c r="K244" s="11" t="str">
        <f>IFERROR(IF('ŞİKAYET KAYIT'!P244="Kapatıldı",'ŞİKAYET KAYIT'!O244,""),"")</f>
        <v/>
      </c>
      <c r="L244" s="12" t="str">
        <f>IFERROR(IF('ŞİKAYET KAYIT'!P244="Kapatıldı",'ŞİKAYET KAYIT'!Q244,""),"")</f>
        <v/>
      </c>
      <c r="M244" s="11" t="str">
        <f>IFERROR(IF('ŞİKAYET KAYIT'!P244="Kapatıldı",'ŞİKAYET KAYIT'!R244,""),"")</f>
        <v/>
      </c>
      <c r="N244" s="11"/>
    </row>
    <row r="245" spans="1:14" ht="15" customHeight="1" x14ac:dyDescent="0.3">
      <c r="A245" s="26" t="str">
        <f>IFERROR(IF('ŞİKAYET KAYIT'!P245="Kapatıldı",'ŞİKAYET KAYIT'!A245,""),"")</f>
        <v/>
      </c>
      <c r="B245" s="8" t="str">
        <f>IFERROR(IF('ŞİKAYET KAYIT'!P245="Kapatıldı",'ŞİKAYET KAYIT'!B245,""),"")</f>
        <v/>
      </c>
      <c r="C245" s="26" t="str">
        <f>IFERROR(IF('ŞİKAYET KAYIT'!P245="Kapatıldı",'ŞİKAYET KAYIT'!D245,""),"")</f>
        <v/>
      </c>
      <c r="D245" s="26" t="str">
        <f>IFERROR(IF('ŞİKAYET KAYIT'!P245="Kapatıldı",'ŞİKAYET KAYIT'!F245,""),"")</f>
        <v/>
      </c>
      <c r="E245" s="26" t="str">
        <f>IFERROR(IF('ŞİKAYET KAYIT'!P245="Kapatıldı",'ŞİKAYET KAYIT'!H245,""),"")</f>
        <v/>
      </c>
      <c r="F245" s="26" t="str">
        <f>IFERROR(IF('ŞİKAYET KAYIT'!P245="Kapatıldı",'ŞİKAYET KAYIT'!J245,""),"")</f>
        <v/>
      </c>
      <c r="G245" s="26" t="str">
        <f>IFERROR(IF('ŞİKAYET KAYIT'!P245="Kapatıldı",'ŞİKAYET KAYIT'!K245,""),"")</f>
        <v/>
      </c>
      <c r="H245" s="26" t="str">
        <f>IFERROR(IF('ŞİKAYET KAYIT'!P245="Kapatıldı",'ŞİKAYET KAYIT'!L245,""),"")</f>
        <v/>
      </c>
      <c r="I245" s="26" t="str">
        <f>IFERROR(IF('ŞİKAYET KAYIT'!P245="Kapatıldı",'ŞİKAYET KAYIT'!M245,""),"")</f>
        <v/>
      </c>
      <c r="J245" s="26" t="str">
        <f>IFERROR(IF('ŞİKAYET KAYIT'!P245="Kapatıldı",'ŞİKAYET KAYIT'!N245,""),"")</f>
        <v/>
      </c>
      <c r="K245" s="26" t="str">
        <f>IFERROR(IF('ŞİKAYET KAYIT'!P245="Kapatıldı",'ŞİKAYET KAYIT'!O245,""),"")</f>
        <v/>
      </c>
      <c r="L245" s="8" t="str">
        <f>IFERROR(IF('ŞİKAYET KAYIT'!P245="Kapatıldı",'ŞİKAYET KAYIT'!Q245,""),"")</f>
        <v/>
      </c>
      <c r="M245" s="26" t="str">
        <f>IFERROR(IF('ŞİKAYET KAYIT'!P245="Kapatıldı",'ŞİKAYET KAYIT'!R245,""),"")</f>
        <v/>
      </c>
      <c r="N245" s="26"/>
    </row>
    <row r="246" spans="1:14" ht="15" customHeight="1" x14ac:dyDescent="0.3">
      <c r="A246" s="11" t="str">
        <f>IFERROR(IF('ŞİKAYET KAYIT'!P246="Kapatıldı",'ŞİKAYET KAYIT'!A246,""),"")</f>
        <v/>
      </c>
      <c r="B246" s="12" t="str">
        <f>IFERROR(IF('ŞİKAYET KAYIT'!P246="Kapatıldı",'ŞİKAYET KAYIT'!B246,""),"")</f>
        <v/>
      </c>
      <c r="C246" s="11" t="str">
        <f>IFERROR(IF('ŞİKAYET KAYIT'!P246="Kapatıldı",'ŞİKAYET KAYIT'!D246,""),"")</f>
        <v/>
      </c>
      <c r="D246" s="11" t="str">
        <f>IFERROR(IF('ŞİKAYET KAYIT'!P246="Kapatıldı",'ŞİKAYET KAYIT'!F246,""),"")</f>
        <v/>
      </c>
      <c r="E246" s="11" t="str">
        <f>IFERROR(IF('ŞİKAYET KAYIT'!P246="Kapatıldı",'ŞİKAYET KAYIT'!H246,""),"")</f>
        <v/>
      </c>
      <c r="F246" s="11" t="str">
        <f>IFERROR(IF('ŞİKAYET KAYIT'!P246="Kapatıldı",'ŞİKAYET KAYIT'!J246,""),"")</f>
        <v/>
      </c>
      <c r="G246" s="11" t="str">
        <f>IFERROR(IF('ŞİKAYET KAYIT'!P246="Kapatıldı",'ŞİKAYET KAYIT'!K246,""),"")</f>
        <v/>
      </c>
      <c r="H246" s="11" t="str">
        <f>IFERROR(IF('ŞİKAYET KAYIT'!P246="Kapatıldı",'ŞİKAYET KAYIT'!L246,""),"")</f>
        <v/>
      </c>
      <c r="I246" s="11" t="str">
        <f>IFERROR(IF('ŞİKAYET KAYIT'!P246="Kapatıldı",'ŞİKAYET KAYIT'!M246,""),"")</f>
        <v/>
      </c>
      <c r="J246" s="11" t="str">
        <f>IFERROR(IF('ŞİKAYET KAYIT'!P246="Kapatıldı",'ŞİKAYET KAYIT'!N246,""),"")</f>
        <v/>
      </c>
      <c r="K246" s="11" t="str">
        <f>IFERROR(IF('ŞİKAYET KAYIT'!P246="Kapatıldı",'ŞİKAYET KAYIT'!O246,""),"")</f>
        <v/>
      </c>
      <c r="L246" s="12" t="str">
        <f>IFERROR(IF('ŞİKAYET KAYIT'!P246="Kapatıldı",'ŞİKAYET KAYIT'!Q246,""),"")</f>
        <v/>
      </c>
      <c r="M246" s="11" t="str">
        <f>IFERROR(IF('ŞİKAYET KAYIT'!P246="Kapatıldı",'ŞİKAYET KAYIT'!R246,""),"")</f>
        <v/>
      </c>
      <c r="N246" s="11"/>
    </row>
    <row r="247" spans="1:14" ht="15" customHeight="1" x14ac:dyDescent="0.3">
      <c r="A247" s="26" t="str">
        <f>IFERROR(IF('ŞİKAYET KAYIT'!P247="Kapatıldı",'ŞİKAYET KAYIT'!A247,""),"")</f>
        <v/>
      </c>
      <c r="B247" s="8" t="str">
        <f>IFERROR(IF('ŞİKAYET KAYIT'!P247="Kapatıldı",'ŞİKAYET KAYIT'!B247,""),"")</f>
        <v/>
      </c>
      <c r="C247" s="26" t="str">
        <f>IFERROR(IF('ŞİKAYET KAYIT'!P247="Kapatıldı",'ŞİKAYET KAYIT'!D247,""),"")</f>
        <v/>
      </c>
      <c r="D247" s="26" t="str">
        <f>IFERROR(IF('ŞİKAYET KAYIT'!P247="Kapatıldı",'ŞİKAYET KAYIT'!F247,""),"")</f>
        <v/>
      </c>
      <c r="E247" s="26" t="str">
        <f>IFERROR(IF('ŞİKAYET KAYIT'!P247="Kapatıldı",'ŞİKAYET KAYIT'!H247,""),"")</f>
        <v/>
      </c>
      <c r="F247" s="26" t="str">
        <f>IFERROR(IF('ŞİKAYET KAYIT'!P247="Kapatıldı",'ŞİKAYET KAYIT'!J247,""),"")</f>
        <v/>
      </c>
      <c r="G247" s="26" t="str">
        <f>IFERROR(IF('ŞİKAYET KAYIT'!P247="Kapatıldı",'ŞİKAYET KAYIT'!K247,""),"")</f>
        <v/>
      </c>
      <c r="H247" s="26" t="str">
        <f>IFERROR(IF('ŞİKAYET KAYIT'!P247="Kapatıldı",'ŞİKAYET KAYIT'!L247,""),"")</f>
        <v/>
      </c>
      <c r="I247" s="26" t="str">
        <f>IFERROR(IF('ŞİKAYET KAYIT'!P247="Kapatıldı",'ŞİKAYET KAYIT'!M247,""),"")</f>
        <v/>
      </c>
      <c r="J247" s="26" t="str">
        <f>IFERROR(IF('ŞİKAYET KAYIT'!P247="Kapatıldı",'ŞİKAYET KAYIT'!N247,""),"")</f>
        <v/>
      </c>
      <c r="K247" s="26" t="str">
        <f>IFERROR(IF('ŞİKAYET KAYIT'!P247="Kapatıldı",'ŞİKAYET KAYIT'!O247,""),"")</f>
        <v/>
      </c>
      <c r="L247" s="8" t="str">
        <f>IFERROR(IF('ŞİKAYET KAYIT'!P247="Kapatıldı",'ŞİKAYET KAYIT'!Q247,""),"")</f>
        <v/>
      </c>
      <c r="M247" s="26" t="str">
        <f>IFERROR(IF('ŞİKAYET KAYIT'!P247="Kapatıldı",'ŞİKAYET KAYIT'!R247,""),"")</f>
        <v/>
      </c>
      <c r="N247" s="26"/>
    </row>
    <row r="248" spans="1:14" ht="15" customHeight="1" x14ac:dyDescent="0.3">
      <c r="A248" s="11" t="str">
        <f>IFERROR(IF('ŞİKAYET KAYIT'!P248="Kapatıldı",'ŞİKAYET KAYIT'!A248,""),"")</f>
        <v/>
      </c>
      <c r="B248" s="12" t="str">
        <f>IFERROR(IF('ŞİKAYET KAYIT'!P248="Kapatıldı",'ŞİKAYET KAYIT'!B248,""),"")</f>
        <v/>
      </c>
      <c r="C248" s="11" t="str">
        <f>IFERROR(IF('ŞİKAYET KAYIT'!P248="Kapatıldı",'ŞİKAYET KAYIT'!D248,""),"")</f>
        <v/>
      </c>
      <c r="D248" s="11" t="str">
        <f>IFERROR(IF('ŞİKAYET KAYIT'!P248="Kapatıldı",'ŞİKAYET KAYIT'!F248,""),"")</f>
        <v/>
      </c>
      <c r="E248" s="11" t="str">
        <f>IFERROR(IF('ŞİKAYET KAYIT'!P248="Kapatıldı",'ŞİKAYET KAYIT'!H248,""),"")</f>
        <v/>
      </c>
      <c r="F248" s="11" t="str">
        <f>IFERROR(IF('ŞİKAYET KAYIT'!P248="Kapatıldı",'ŞİKAYET KAYIT'!J248,""),"")</f>
        <v/>
      </c>
      <c r="G248" s="11" t="str">
        <f>IFERROR(IF('ŞİKAYET KAYIT'!P248="Kapatıldı",'ŞİKAYET KAYIT'!K248,""),"")</f>
        <v/>
      </c>
      <c r="H248" s="11" t="str">
        <f>IFERROR(IF('ŞİKAYET KAYIT'!P248="Kapatıldı",'ŞİKAYET KAYIT'!L248,""),"")</f>
        <v/>
      </c>
      <c r="I248" s="11" t="str">
        <f>IFERROR(IF('ŞİKAYET KAYIT'!P248="Kapatıldı",'ŞİKAYET KAYIT'!M248,""),"")</f>
        <v/>
      </c>
      <c r="J248" s="11" t="str">
        <f>IFERROR(IF('ŞİKAYET KAYIT'!P248="Kapatıldı",'ŞİKAYET KAYIT'!N248,""),"")</f>
        <v/>
      </c>
      <c r="K248" s="11" t="str">
        <f>IFERROR(IF('ŞİKAYET KAYIT'!P248="Kapatıldı",'ŞİKAYET KAYIT'!O248,""),"")</f>
        <v/>
      </c>
      <c r="L248" s="12" t="str">
        <f>IFERROR(IF('ŞİKAYET KAYIT'!P248="Kapatıldı",'ŞİKAYET KAYIT'!Q248,""),"")</f>
        <v/>
      </c>
      <c r="M248" s="11" t="str">
        <f>IFERROR(IF('ŞİKAYET KAYIT'!P248="Kapatıldı",'ŞİKAYET KAYIT'!R248,""),"")</f>
        <v/>
      </c>
      <c r="N248" s="11"/>
    </row>
    <row r="249" spans="1:14" ht="15" customHeight="1" x14ac:dyDescent="0.3">
      <c r="A249" s="26" t="str">
        <f>IFERROR(IF('ŞİKAYET KAYIT'!P249="Kapatıldı",'ŞİKAYET KAYIT'!A249,""),"")</f>
        <v/>
      </c>
      <c r="B249" s="8" t="str">
        <f>IFERROR(IF('ŞİKAYET KAYIT'!P249="Kapatıldı",'ŞİKAYET KAYIT'!B249,""),"")</f>
        <v/>
      </c>
      <c r="C249" s="26" t="str">
        <f>IFERROR(IF('ŞİKAYET KAYIT'!P249="Kapatıldı",'ŞİKAYET KAYIT'!D249,""),"")</f>
        <v/>
      </c>
      <c r="D249" s="26" t="str">
        <f>IFERROR(IF('ŞİKAYET KAYIT'!P249="Kapatıldı",'ŞİKAYET KAYIT'!F249,""),"")</f>
        <v/>
      </c>
      <c r="E249" s="26" t="str">
        <f>IFERROR(IF('ŞİKAYET KAYIT'!P249="Kapatıldı",'ŞİKAYET KAYIT'!H249,""),"")</f>
        <v/>
      </c>
      <c r="F249" s="26" t="str">
        <f>IFERROR(IF('ŞİKAYET KAYIT'!P249="Kapatıldı",'ŞİKAYET KAYIT'!J249,""),"")</f>
        <v/>
      </c>
      <c r="G249" s="26" t="str">
        <f>IFERROR(IF('ŞİKAYET KAYIT'!P249="Kapatıldı",'ŞİKAYET KAYIT'!K249,""),"")</f>
        <v/>
      </c>
      <c r="H249" s="26" t="str">
        <f>IFERROR(IF('ŞİKAYET KAYIT'!P249="Kapatıldı",'ŞİKAYET KAYIT'!L249,""),"")</f>
        <v/>
      </c>
      <c r="I249" s="26" t="str">
        <f>IFERROR(IF('ŞİKAYET KAYIT'!P249="Kapatıldı",'ŞİKAYET KAYIT'!M249,""),"")</f>
        <v/>
      </c>
      <c r="J249" s="26" t="str">
        <f>IFERROR(IF('ŞİKAYET KAYIT'!P249="Kapatıldı",'ŞİKAYET KAYIT'!N249,""),"")</f>
        <v/>
      </c>
      <c r="K249" s="26" t="str">
        <f>IFERROR(IF('ŞİKAYET KAYIT'!P249="Kapatıldı",'ŞİKAYET KAYIT'!O249,""),"")</f>
        <v/>
      </c>
      <c r="L249" s="8" t="str">
        <f>IFERROR(IF('ŞİKAYET KAYIT'!P249="Kapatıldı",'ŞİKAYET KAYIT'!Q249,""),"")</f>
        <v/>
      </c>
      <c r="M249" s="26" t="str">
        <f>IFERROR(IF('ŞİKAYET KAYIT'!P249="Kapatıldı",'ŞİKAYET KAYIT'!R249,""),"")</f>
        <v/>
      </c>
      <c r="N249" s="26"/>
    </row>
    <row r="250" spans="1:14" ht="15" customHeight="1" x14ac:dyDescent="0.3">
      <c r="A250" s="11" t="str">
        <f>IFERROR(IF('ŞİKAYET KAYIT'!P250="Kapatıldı",'ŞİKAYET KAYIT'!A250,""),"")</f>
        <v/>
      </c>
      <c r="B250" s="12" t="str">
        <f>IFERROR(IF('ŞİKAYET KAYIT'!P250="Kapatıldı",'ŞİKAYET KAYIT'!B250,""),"")</f>
        <v/>
      </c>
      <c r="C250" s="11" t="str">
        <f>IFERROR(IF('ŞİKAYET KAYIT'!P250="Kapatıldı",'ŞİKAYET KAYIT'!D250,""),"")</f>
        <v/>
      </c>
      <c r="D250" s="11" t="str">
        <f>IFERROR(IF('ŞİKAYET KAYIT'!P250="Kapatıldı",'ŞİKAYET KAYIT'!F250,""),"")</f>
        <v/>
      </c>
      <c r="E250" s="11" t="str">
        <f>IFERROR(IF('ŞİKAYET KAYIT'!P250="Kapatıldı",'ŞİKAYET KAYIT'!H250,""),"")</f>
        <v/>
      </c>
      <c r="F250" s="11" t="str">
        <f>IFERROR(IF('ŞİKAYET KAYIT'!P250="Kapatıldı",'ŞİKAYET KAYIT'!J250,""),"")</f>
        <v/>
      </c>
      <c r="G250" s="11" t="str">
        <f>IFERROR(IF('ŞİKAYET KAYIT'!P250="Kapatıldı",'ŞİKAYET KAYIT'!K250,""),"")</f>
        <v/>
      </c>
      <c r="H250" s="11" t="str">
        <f>IFERROR(IF('ŞİKAYET KAYIT'!P250="Kapatıldı",'ŞİKAYET KAYIT'!L250,""),"")</f>
        <v/>
      </c>
      <c r="I250" s="11" t="str">
        <f>IFERROR(IF('ŞİKAYET KAYIT'!P250="Kapatıldı",'ŞİKAYET KAYIT'!M250,""),"")</f>
        <v/>
      </c>
      <c r="J250" s="11" t="str">
        <f>IFERROR(IF('ŞİKAYET KAYIT'!P250="Kapatıldı",'ŞİKAYET KAYIT'!N250,""),"")</f>
        <v/>
      </c>
      <c r="K250" s="11" t="str">
        <f>IFERROR(IF('ŞİKAYET KAYIT'!P250="Kapatıldı",'ŞİKAYET KAYIT'!O250,""),"")</f>
        <v/>
      </c>
      <c r="L250" s="12" t="str">
        <f>IFERROR(IF('ŞİKAYET KAYIT'!P250="Kapatıldı",'ŞİKAYET KAYIT'!Q250,""),"")</f>
        <v/>
      </c>
      <c r="M250" s="11" t="str">
        <f>IFERROR(IF('ŞİKAYET KAYIT'!P250="Kapatıldı",'ŞİKAYET KAYIT'!R250,""),"")</f>
        <v/>
      </c>
      <c r="N250" s="11"/>
    </row>
    <row r="251" spans="1:14" ht="15" customHeight="1" x14ac:dyDescent="0.3">
      <c r="A251" s="26" t="str">
        <f>IFERROR(IF('ŞİKAYET KAYIT'!P251="Kapatıldı",'ŞİKAYET KAYIT'!A251,""),"")</f>
        <v/>
      </c>
      <c r="B251" s="8" t="str">
        <f>IFERROR(IF('ŞİKAYET KAYIT'!P251="Kapatıldı",'ŞİKAYET KAYIT'!B251,""),"")</f>
        <v/>
      </c>
      <c r="C251" s="26" t="str">
        <f>IFERROR(IF('ŞİKAYET KAYIT'!P251="Kapatıldı",'ŞİKAYET KAYIT'!D251,""),"")</f>
        <v/>
      </c>
      <c r="D251" s="26" t="str">
        <f>IFERROR(IF('ŞİKAYET KAYIT'!P251="Kapatıldı",'ŞİKAYET KAYIT'!F251,""),"")</f>
        <v/>
      </c>
      <c r="E251" s="26" t="str">
        <f>IFERROR(IF('ŞİKAYET KAYIT'!P251="Kapatıldı",'ŞİKAYET KAYIT'!H251,""),"")</f>
        <v/>
      </c>
      <c r="F251" s="26" t="str">
        <f>IFERROR(IF('ŞİKAYET KAYIT'!P251="Kapatıldı",'ŞİKAYET KAYIT'!J251,""),"")</f>
        <v/>
      </c>
      <c r="G251" s="26" t="str">
        <f>IFERROR(IF('ŞİKAYET KAYIT'!P251="Kapatıldı",'ŞİKAYET KAYIT'!K251,""),"")</f>
        <v/>
      </c>
      <c r="H251" s="26" t="str">
        <f>IFERROR(IF('ŞİKAYET KAYIT'!P251="Kapatıldı",'ŞİKAYET KAYIT'!L251,""),"")</f>
        <v/>
      </c>
      <c r="I251" s="26" t="str">
        <f>IFERROR(IF('ŞİKAYET KAYIT'!P251="Kapatıldı",'ŞİKAYET KAYIT'!M251,""),"")</f>
        <v/>
      </c>
      <c r="J251" s="26" t="str">
        <f>IFERROR(IF('ŞİKAYET KAYIT'!P251="Kapatıldı",'ŞİKAYET KAYIT'!N251,""),"")</f>
        <v/>
      </c>
      <c r="K251" s="26" t="str">
        <f>IFERROR(IF('ŞİKAYET KAYIT'!P251="Kapatıldı",'ŞİKAYET KAYIT'!O251,""),"")</f>
        <v/>
      </c>
      <c r="L251" s="8" t="str">
        <f>IFERROR(IF('ŞİKAYET KAYIT'!P251="Kapatıldı",'ŞİKAYET KAYIT'!Q251,""),"")</f>
        <v/>
      </c>
      <c r="M251" s="26" t="str">
        <f>IFERROR(IF('ŞİKAYET KAYIT'!P251="Kapatıldı",'ŞİKAYET KAYIT'!R251,""),"")</f>
        <v/>
      </c>
      <c r="N251" s="26"/>
    </row>
    <row r="252" spans="1:14" ht="15" customHeight="1" x14ac:dyDescent="0.3">
      <c r="A252" s="11" t="str">
        <f>IFERROR(IF('ŞİKAYET KAYIT'!P252="Kapatıldı",'ŞİKAYET KAYIT'!A252,""),"")</f>
        <v/>
      </c>
      <c r="B252" s="12" t="str">
        <f>IFERROR(IF('ŞİKAYET KAYIT'!P252="Kapatıldı",'ŞİKAYET KAYIT'!B252,""),"")</f>
        <v/>
      </c>
      <c r="C252" s="11" t="str">
        <f>IFERROR(IF('ŞİKAYET KAYIT'!P252="Kapatıldı",'ŞİKAYET KAYIT'!D252,""),"")</f>
        <v/>
      </c>
      <c r="D252" s="11" t="str">
        <f>IFERROR(IF('ŞİKAYET KAYIT'!P252="Kapatıldı",'ŞİKAYET KAYIT'!F252,""),"")</f>
        <v/>
      </c>
      <c r="E252" s="11" t="str">
        <f>IFERROR(IF('ŞİKAYET KAYIT'!P252="Kapatıldı",'ŞİKAYET KAYIT'!H252,""),"")</f>
        <v/>
      </c>
      <c r="F252" s="11" t="str">
        <f>IFERROR(IF('ŞİKAYET KAYIT'!P252="Kapatıldı",'ŞİKAYET KAYIT'!J252,""),"")</f>
        <v/>
      </c>
      <c r="G252" s="11" t="str">
        <f>IFERROR(IF('ŞİKAYET KAYIT'!P252="Kapatıldı",'ŞİKAYET KAYIT'!K252,""),"")</f>
        <v/>
      </c>
      <c r="H252" s="11" t="str">
        <f>IFERROR(IF('ŞİKAYET KAYIT'!P252="Kapatıldı",'ŞİKAYET KAYIT'!L252,""),"")</f>
        <v/>
      </c>
      <c r="I252" s="11" t="str">
        <f>IFERROR(IF('ŞİKAYET KAYIT'!P252="Kapatıldı",'ŞİKAYET KAYIT'!M252,""),"")</f>
        <v/>
      </c>
      <c r="J252" s="11" t="str">
        <f>IFERROR(IF('ŞİKAYET KAYIT'!P252="Kapatıldı",'ŞİKAYET KAYIT'!N252,""),"")</f>
        <v/>
      </c>
      <c r="K252" s="11" t="str">
        <f>IFERROR(IF('ŞİKAYET KAYIT'!P252="Kapatıldı",'ŞİKAYET KAYIT'!O252,""),"")</f>
        <v/>
      </c>
      <c r="L252" s="12" t="str">
        <f>IFERROR(IF('ŞİKAYET KAYIT'!P252="Kapatıldı",'ŞİKAYET KAYIT'!Q252,""),"")</f>
        <v/>
      </c>
      <c r="M252" s="11" t="str">
        <f>IFERROR(IF('ŞİKAYET KAYIT'!P252="Kapatıldı",'ŞİKAYET KAYIT'!R252,""),"")</f>
        <v/>
      </c>
      <c r="N252" s="11"/>
    </row>
    <row r="253" spans="1:14" ht="15" customHeight="1" x14ac:dyDescent="0.3">
      <c r="A253" s="26" t="str">
        <f>IFERROR(IF('ŞİKAYET KAYIT'!P253="Kapatıldı",'ŞİKAYET KAYIT'!A253,""),"")</f>
        <v/>
      </c>
      <c r="B253" s="8" t="str">
        <f>IFERROR(IF('ŞİKAYET KAYIT'!P253="Kapatıldı",'ŞİKAYET KAYIT'!B253,""),"")</f>
        <v/>
      </c>
      <c r="C253" s="26" t="str">
        <f>IFERROR(IF('ŞİKAYET KAYIT'!P253="Kapatıldı",'ŞİKAYET KAYIT'!D253,""),"")</f>
        <v/>
      </c>
      <c r="D253" s="26" t="str">
        <f>IFERROR(IF('ŞİKAYET KAYIT'!P253="Kapatıldı",'ŞİKAYET KAYIT'!F253,""),"")</f>
        <v/>
      </c>
      <c r="E253" s="26" t="str">
        <f>IFERROR(IF('ŞİKAYET KAYIT'!P253="Kapatıldı",'ŞİKAYET KAYIT'!H253,""),"")</f>
        <v/>
      </c>
      <c r="F253" s="26" t="str">
        <f>IFERROR(IF('ŞİKAYET KAYIT'!P253="Kapatıldı",'ŞİKAYET KAYIT'!J253,""),"")</f>
        <v/>
      </c>
      <c r="G253" s="26" t="str">
        <f>IFERROR(IF('ŞİKAYET KAYIT'!P253="Kapatıldı",'ŞİKAYET KAYIT'!K253,""),"")</f>
        <v/>
      </c>
      <c r="H253" s="26" t="str">
        <f>IFERROR(IF('ŞİKAYET KAYIT'!P253="Kapatıldı",'ŞİKAYET KAYIT'!L253,""),"")</f>
        <v/>
      </c>
      <c r="I253" s="26" t="str">
        <f>IFERROR(IF('ŞİKAYET KAYIT'!P253="Kapatıldı",'ŞİKAYET KAYIT'!M253,""),"")</f>
        <v/>
      </c>
      <c r="J253" s="26" t="str">
        <f>IFERROR(IF('ŞİKAYET KAYIT'!P253="Kapatıldı",'ŞİKAYET KAYIT'!N253,""),"")</f>
        <v/>
      </c>
      <c r="K253" s="26" t="str">
        <f>IFERROR(IF('ŞİKAYET KAYIT'!P253="Kapatıldı",'ŞİKAYET KAYIT'!O253,""),"")</f>
        <v/>
      </c>
      <c r="L253" s="8" t="str">
        <f>IFERROR(IF('ŞİKAYET KAYIT'!P253="Kapatıldı",'ŞİKAYET KAYIT'!Q253,""),"")</f>
        <v/>
      </c>
      <c r="M253" s="26" t="str">
        <f>IFERROR(IF('ŞİKAYET KAYIT'!P253="Kapatıldı",'ŞİKAYET KAYIT'!R253,""),"")</f>
        <v/>
      </c>
      <c r="N253" s="26"/>
    </row>
    <row r="254" spans="1:14" ht="15" customHeight="1" x14ac:dyDescent="0.3">
      <c r="A254" s="11" t="str">
        <f>IFERROR(IF('ŞİKAYET KAYIT'!P254="Kapatıldı",'ŞİKAYET KAYIT'!A254,""),"")</f>
        <v/>
      </c>
      <c r="B254" s="12" t="str">
        <f>IFERROR(IF('ŞİKAYET KAYIT'!P254="Kapatıldı",'ŞİKAYET KAYIT'!B254,""),"")</f>
        <v/>
      </c>
      <c r="C254" s="11" t="str">
        <f>IFERROR(IF('ŞİKAYET KAYIT'!P254="Kapatıldı",'ŞİKAYET KAYIT'!D254,""),"")</f>
        <v/>
      </c>
      <c r="D254" s="11" t="str">
        <f>IFERROR(IF('ŞİKAYET KAYIT'!P254="Kapatıldı",'ŞİKAYET KAYIT'!F254,""),"")</f>
        <v/>
      </c>
      <c r="E254" s="11" t="str">
        <f>IFERROR(IF('ŞİKAYET KAYIT'!P254="Kapatıldı",'ŞİKAYET KAYIT'!H254,""),"")</f>
        <v/>
      </c>
      <c r="F254" s="11" t="str">
        <f>IFERROR(IF('ŞİKAYET KAYIT'!P254="Kapatıldı",'ŞİKAYET KAYIT'!J254,""),"")</f>
        <v/>
      </c>
      <c r="G254" s="11" t="str">
        <f>IFERROR(IF('ŞİKAYET KAYIT'!P254="Kapatıldı",'ŞİKAYET KAYIT'!K254,""),"")</f>
        <v/>
      </c>
      <c r="H254" s="11" t="str">
        <f>IFERROR(IF('ŞİKAYET KAYIT'!P254="Kapatıldı",'ŞİKAYET KAYIT'!L254,""),"")</f>
        <v/>
      </c>
      <c r="I254" s="11" t="str">
        <f>IFERROR(IF('ŞİKAYET KAYIT'!P254="Kapatıldı",'ŞİKAYET KAYIT'!M254,""),"")</f>
        <v/>
      </c>
      <c r="J254" s="11" t="str">
        <f>IFERROR(IF('ŞİKAYET KAYIT'!P254="Kapatıldı",'ŞİKAYET KAYIT'!N254,""),"")</f>
        <v/>
      </c>
      <c r="K254" s="11" t="str">
        <f>IFERROR(IF('ŞİKAYET KAYIT'!P254="Kapatıldı",'ŞİKAYET KAYIT'!O254,""),"")</f>
        <v/>
      </c>
      <c r="L254" s="12" t="str">
        <f>IFERROR(IF('ŞİKAYET KAYIT'!P254="Kapatıldı",'ŞİKAYET KAYIT'!Q254,""),"")</f>
        <v/>
      </c>
      <c r="M254" s="11" t="str">
        <f>IFERROR(IF('ŞİKAYET KAYIT'!P254="Kapatıldı",'ŞİKAYET KAYIT'!R254,""),"")</f>
        <v/>
      </c>
      <c r="N254" s="11"/>
    </row>
    <row r="255" spans="1:14" ht="15" customHeight="1" x14ac:dyDescent="0.3">
      <c r="A255" s="26" t="str">
        <f>IFERROR(IF('ŞİKAYET KAYIT'!P255="Kapatıldı",'ŞİKAYET KAYIT'!A255,""),"")</f>
        <v/>
      </c>
      <c r="B255" s="8" t="str">
        <f>IFERROR(IF('ŞİKAYET KAYIT'!P255="Kapatıldı",'ŞİKAYET KAYIT'!B255,""),"")</f>
        <v/>
      </c>
      <c r="C255" s="26" t="str">
        <f>IFERROR(IF('ŞİKAYET KAYIT'!P255="Kapatıldı",'ŞİKAYET KAYIT'!D255,""),"")</f>
        <v/>
      </c>
      <c r="D255" s="26" t="str">
        <f>IFERROR(IF('ŞİKAYET KAYIT'!P255="Kapatıldı",'ŞİKAYET KAYIT'!F255,""),"")</f>
        <v/>
      </c>
      <c r="E255" s="26" t="str">
        <f>IFERROR(IF('ŞİKAYET KAYIT'!P255="Kapatıldı",'ŞİKAYET KAYIT'!H255,""),"")</f>
        <v/>
      </c>
      <c r="F255" s="26" t="str">
        <f>IFERROR(IF('ŞİKAYET KAYIT'!P255="Kapatıldı",'ŞİKAYET KAYIT'!J255,""),"")</f>
        <v/>
      </c>
      <c r="G255" s="26" t="str">
        <f>IFERROR(IF('ŞİKAYET KAYIT'!P255="Kapatıldı",'ŞİKAYET KAYIT'!K255,""),"")</f>
        <v/>
      </c>
      <c r="H255" s="26" t="str">
        <f>IFERROR(IF('ŞİKAYET KAYIT'!P255="Kapatıldı",'ŞİKAYET KAYIT'!L255,""),"")</f>
        <v/>
      </c>
      <c r="I255" s="26" t="str">
        <f>IFERROR(IF('ŞİKAYET KAYIT'!P255="Kapatıldı",'ŞİKAYET KAYIT'!M255,""),"")</f>
        <v/>
      </c>
      <c r="J255" s="26" t="str">
        <f>IFERROR(IF('ŞİKAYET KAYIT'!P255="Kapatıldı",'ŞİKAYET KAYIT'!N255,""),"")</f>
        <v/>
      </c>
      <c r="K255" s="26" t="str">
        <f>IFERROR(IF('ŞİKAYET KAYIT'!P255="Kapatıldı",'ŞİKAYET KAYIT'!O255,""),"")</f>
        <v/>
      </c>
      <c r="L255" s="8" t="str">
        <f>IFERROR(IF('ŞİKAYET KAYIT'!P255="Kapatıldı",'ŞİKAYET KAYIT'!Q255,""),"")</f>
        <v/>
      </c>
      <c r="M255" s="26" t="str">
        <f>IFERROR(IF('ŞİKAYET KAYIT'!P255="Kapatıldı",'ŞİKAYET KAYIT'!R255,""),"")</f>
        <v/>
      </c>
      <c r="N255" s="26"/>
    </row>
    <row r="256" spans="1:14" ht="15" customHeight="1" x14ac:dyDescent="0.3">
      <c r="A256" s="11" t="str">
        <f>IFERROR(IF('ŞİKAYET KAYIT'!P256="Kapatıldı",'ŞİKAYET KAYIT'!A256,""),"")</f>
        <v/>
      </c>
      <c r="B256" s="12" t="str">
        <f>IFERROR(IF('ŞİKAYET KAYIT'!P256="Kapatıldı",'ŞİKAYET KAYIT'!B256,""),"")</f>
        <v/>
      </c>
      <c r="C256" s="11" t="str">
        <f>IFERROR(IF('ŞİKAYET KAYIT'!P256="Kapatıldı",'ŞİKAYET KAYIT'!D256,""),"")</f>
        <v/>
      </c>
      <c r="D256" s="11" t="str">
        <f>IFERROR(IF('ŞİKAYET KAYIT'!P256="Kapatıldı",'ŞİKAYET KAYIT'!F256,""),"")</f>
        <v/>
      </c>
      <c r="E256" s="11" t="str">
        <f>IFERROR(IF('ŞİKAYET KAYIT'!P256="Kapatıldı",'ŞİKAYET KAYIT'!H256,""),"")</f>
        <v/>
      </c>
      <c r="F256" s="11" t="str">
        <f>IFERROR(IF('ŞİKAYET KAYIT'!P256="Kapatıldı",'ŞİKAYET KAYIT'!J256,""),"")</f>
        <v/>
      </c>
      <c r="G256" s="11" t="str">
        <f>IFERROR(IF('ŞİKAYET KAYIT'!P256="Kapatıldı",'ŞİKAYET KAYIT'!K256,""),"")</f>
        <v/>
      </c>
      <c r="H256" s="11" t="str">
        <f>IFERROR(IF('ŞİKAYET KAYIT'!P256="Kapatıldı",'ŞİKAYET KAYIT'!L256,""),"")</f>
        <v/>
      </c>
      <c r="I256" s="11" t="str">
        <f>IFERROR(IF('ŞİKAYET KAYIT'!P256="Kapatıldı",'ŞİKAYET KAYIT'!M256,""),"")</f>
        <v/>
      </c>
      <c r="J256" s="11" t="str">
        <f>IFERROR(IF('ŞİKAYET KAYIT'!P256="Kapatıldı",'ŞİKAYET KAYIT'!N256,""),"")</f>
        <v/>
      </c>
      <c r="K256" s="11" t="str">
        <f>IFERROR(IF('ŞİKAYET KAYIT'!P256="Kapatıldı",'ŞİKAYET KAYIT'!O256,""),"")</f>
        <v/>
      </c>
      <c r="L256" s="12" t="str">
        <f>IFERROR(IF('ŞİKAYET KAYIT'!P256="Kapatıldı",'ŞİKAYET KAYIT'!Q256,""),"")</f>
        <v/>
      </c>
      <c r="M256" s="11" t="str">
        <f>IFERROR(IF('ŞİKAYET KAYIT'!P256="Kapatıldı",'ŞİKAYET KAYIT'!R256,""),"")</f>
        <v/>
      </c>
      <c r="N256" s="11"/>
    </row>
    <row r="257" spans="1:14" ht="15" customHeight="1" x14ac:dyDescent="0.3">
      <c r="A257" s="26" t="str">
        <f>IFERROR(IF('ŞİKAYET KAYIT'!P257="Kapatıldı",'ŞİKAYET KAYIT'!A257,""),"")</f>
        <v/>
      </c>
      <c r="B257" s="8" t="str">
        <f>IFERROR(IF('ŞİKAYET KAYIT'!P257="Kapatıldı",'ŞİKAYET KAYIT'!B257,""),"")</f>
        <v/>
      </c>
      <c r="C257" s="26" t="str">
        <f>IFERROR(IF('ŞİKAYET KAYIT'!P257="Kapatıldı",'ŞİKAYET KAYIT'!D257,""),"")</f>
        <v/>
      </c>
      <c r="D257" s="26" t="str">
        <f>IFERROR(IF('ŞİKAYET KAYIT'!P257="Kapatıldı",'ŞİKAYET KAYIT'!F257,""),"")</f>
        <v/>
      </c>
      <c r="E257" s="26" t="str">
        <f>IFERROR(IF('ŞİKAYET KAYIT'!P257="Kapatıldı",'ŞİKAYET KAYIT'!H257,""),"")</f>
        <v/>
      </c>
      <c r="F257" s="26" t="str">
        <f>IFERROR(IF('ŞİKAYET KAYIT'!P257="Kapatıldı",'ŞİKAYET KAYIT'!J257,""),"")</f>
        <v/>
      </c>
      <c r="G257" s="26" t="str">
        <f>IFERROR(IF('ŞİKAYET KAYIT'!P257="Kapatıldı",'ŞİKAYET KAYIT'!K257,""),"")</f>
        <v/>
      </c>
      <c r="H257" s="26" t="str">
        <f>IFERROR(IF('ŞİKAYET KAYIT'!P257="Kapatıldı",'ŞİKAYET KAYIT'!L257,""),"")</f>
        <v/>
      </c>
      <c r="I257" s="26" t="str">
        <f>IFERROR(IF('ŞİKAYET KAYIT'!P257="Kapatıldı",'ŞİKAYET KAYIT'!M257,""),"")</f>
        <v/>
      </c>
      <c r="J257" s="26" t="str">
        <f>IFERROR(IF('ŞİKAYET KAYIT'!P257="Kapatıldı",'ŞİKAYET KAYIT'!N257,""),"")</f>
        <v/>
      </c>
      <c r="K257" s="26" t="str">
        <f>IFERROR(IF('ŞİKAYET KAYIT'!P257="Kapatıldı",'ŞİKAYET KAYIT'!O257,""),"")</f>
        <v/>
      </c>
      <c r="L257" s="8" t="str">
        <f>IFERROR(IF('ŞİKAYET KAYIT'!P257="Kapatıldı",'ŞİKAYET KAYIT'!Q257,""),"")</f>
        <v/>
      </c>
      <c r="M257" s="26" t="str">
        <f>IFERROR(IF('ŞİKAYET KAYIT'!P257="Kapatıldı",'ŞİKAYET KAYIT'!R257,""),"")</f>
        <v/>
      </c>
      <c r="N257" s="26"/>
    </row>
    <row r="258" spans="1:14" ht="15" customHeight="1" x14ac:dyDescent="0.3">
      <c r="A258" s="11" t="str">
        <f>IFERROR(IF('ŞİKAYET KAYIT'!P258="Kapatıldı",'ŞİKAYET KAYIT'!A258,""),"")</f>
        <v/>
      </c>
      <c r="B258" s="12" t="str">
        <f>IFERROR(IF('ŞİKAYET KAYIT'!P258="Kapatıldı",'ŞİKAYET KAYIT'!B258,""),"")</f>
        <v/>
      </c>
      <c r="C258" s="11" t="str">
        <f>IFERROR(IF('ŞİKAYET KAYIT'!P258="Kapatıldı",'ŞİKAYET KAYIT'!D258,""),"")</f>
        <v/>
      </c>
      <c r="D258" s="11" t="str">
        <f>IFERROR(IF('ŞİKAYET KAYIT'!P258="Kapatıldı",'ŞİKAYET KAYIT'!F258,""),"")</f>
        <v/>
      </c>
      <c r="E258" s="11" t="str">
        <f>IFERROR(IF('ŞİKAYET KAYIT'!P258="Kapatıldı",'ŞİKAYET KAYIT'!H258,""),"")</f>
        <v/>
      </c>
      <c r="F258" s="11" t="str">
        <f>IFERROR(IF('ŞİKAYET KAYIT'!P258="Kapatıldı",'ŞİKAYET KAYIT'!J258,""),"")</f>
        <v/>
      </c>
      <c r="G258" s="11" t="str">
        <f>IFERROR(IF('ŞİKAYET KAYIT'!P258="Kapatıldı",'ŞİKAYET KAYIT'!K258,""),"")</f>
        <v/>
      </c>
      <c r="H258" s="11" t="str">
        <f>IFERROR(IF('ŞİKAYET KAYIT'!P258="Kapatıldı",'ŞİKAYET KAYIT'!L258,""),"")</f>
        <v/>
      </c>
      <c r="I258" s="11" t="str">
        <f>IFERROR(IF('ŞİKAYET KAYIT'!P258="Kapatıldı",'ŞİKAYET KAYIT'!M258,""),"")</f>
        <v/>
      </c>
      <c r="J258" s="11" t="str">
        <f>IFERROR(IF('ŞİKAYET KAYIT'!P258="Kapatıldı",'ŞİKAYET KAYIT'!N258,""),"")</f>
        <v/>
      </c>
      <c r="K258" s="11" t="str">
        <f>IFERROR(IF('ŞİKAYET KAYIT'!P258="Kapatıldı",'ŞİKAYET KAYIT'!O258,""),"")</f>
        <v/>
      </c>
      <c r="L258" s="12" t="str">
        <f>IFERROR(IF('ŞİKAYET KAYIT'!P258="Kapatıldı",'ŞİKAYET KAYIT'!Q258,""),"")</f>
        <v/>
      </c>
      <c r="M258" s="11" t="str">
        <f>IFERROR(IF('ŞİKAYET KAYIT'!P258="Kapatıldı",'ŞİKAYET KAYIT'!R258,""),"")</f>
        <v/>
      </c>
      <c r="N258" s="11"/>
    </row>
    <row r="259" spans="1:14" ht="15" customHeight="1" x14ac:dyDescent="0.3">
      <c r="A259" s="26" t="str">
        <f>IFERROR(IF('ŞİKAYET KAYIT'!P259="Kapatıldı",'ŞİKAYET KAYIT'!A259,""),"")</f>
        <v/>
      </c>
      <c r="B259" s="8" t="str">
        <f>IFERROR(IF('ŞİKAYET KAYIT'!P259="Kapatıldı",'ŞİKAYET KAYIT'!B259,""),"")</f>
        <v/>
      </c>
      <c r="C259" s="26" t="str">
        <f>IFERROR(IF('ŞİKAYET KAYIT'!P259="Kapatıldı",'ŞİKAYET KAYIT'!D259,""),"")</f>
        <v/>
      </c>
      <c r="D259" s="26" t="str">
        <f>IFERROR(IF('ŞİKAYET KAYIT'!P259="Kapatıldı",'ŞİKAYET KAYIT'!F259,""),"")</f>
        <v/>
      </c>
      <c r="E259" s="26" t="str">
        <f>IFERROR(IF('ŞİKAYET KAYIT'!P259="Kapatıldı",'ŞİKAYET KAYIT'!H259,""),"")</f>
        <v/>
      </c>
      <c r="F259" s="26" t="str">
        <f>IFERROR(IF('ŞİKAYET KAYIT'!P259="Kapatıldı",'ŞİKAYET KAYIT'!J259,""),"")</f>
        <v/>
      </c>
      <c r="G259" s="26" t="str">
        <f>IFERROR(IF('ŞİKAYET KAYIT'!P259="Kapatıldı",'ŞİKAYET KAYIT'!K259,""),"")</f>
        <v/>
      </c>
      <c r="H259" s="26" t="str">
        <f>IFERROR(IF('ŞİKAYET KAYIT'!P259="Kapatıldı",'ŞİKAYET KAYIT'!L259,""),"")</f>
        <v/>
      </c>
      <c r="I259" s="26" t="str">
        <f>IFERROR(IF('ŞİKAYET KAYIT'!P259="Kapatıldı",'ŞİKAYET KAYIT'!M259,""),"")</f>
        <v/>
      </c>
      <c r="J259" s="26" t="str">
        <f>IFERROR(IF('ŞİKAYET KAYIT'!P259="Kapatıldı",'ŞİKAYET KAYIT'!N259,""),"")</f>
        <v/>
      </c>
      <c r="K259" s="26" t="str">
        <f>IFERROR(IF('ŞİKAYET KAYIT'!P259="Kapatıldı",'ŞİKAYET KAYIT'!O259,""),"")</f>
        <v/>
      </c>
      <c r="L259" s="8" t="str">
        <f>IFERROR(IF('ŞİKAYET KAYIT'!P259="Kapatıldı",'ŞİKAYET KAYIT'!Q259,""),"")</f>
        <v/>
      </c>
      <c r="M259" s="26" t="str">
        <f>IFERROR(IF('ŞİKAYET KAYIT'!P259="Kapatıldı",'ŞİKAYET KAYIT'!R259,""),"")</f>
        <v/>
      </c>
      <c r="N259" s="26"/>
    </row>
    <row r="260" spans="1:14" ht="15" customHeight="1" x14ac:dyDescent="0.3">
      <c r="A260" s="11" t="str">
        <f>IFERROR(IF('ŞİKAYET KAYIT'!P260="Kapatıldı",'ŞİKAYET KAYIT'!A260,""),"")</f>
        <v/>
      </c>
      <c r="B260" s="12" t="str">
        <f>IFERROR(IF('ŞİKAYET KAYIT'!P260="Kapatıldı",'ŞİKAYET KAYIT'!B260,""),"")</f>
        <v/>
      </c>
      <c r="C260" s="11" t="str">
        <f>IFERROR(IF('ŞİKAYET KAYIT'!P260="Kapatıldı",'ŞİKAYET KAYIT'!D260,""),"")</f>
        <v/>
      </c>
      <c r="D260" s="11" t="str">
        <f>IFERROR(IF('ŞİKAYET KAYIT'!P260="Kapatıldı",'ŞİKAYET KAYIT'!F260,""),"")</f>
        <v/>
      </c>
      <c r="E260" s="11" t="str">
        <f>IFERROR(IF('ŞİKAYET KAYIT'!P260="Kapatıldı",'ŞİKAYET KAYIT'!H260,""),"")</f>
        <v/>
      </c>
      <c r="F260" s="11" t="str">
        <f>IFERROR(IF('ŞİKAYET KAYIT'!P260="Kapatıldı",'ŞİKAYET KAYIT'!J260,""),"")</f>
        <v/>
      </c>
      <c r="G260" s="11" t="str">
        <f>IFERROR(IF('ŞİKAYET KAYIT'!P260="Kapatıldı",'ŞİKAYET KAYIT'!K260,""),"")</f>
        <v/>
      </c>
      <c r="H260" s="11" t="str">
        <f>IFERROR(IF('ŞİKAYET KAYIT'!P260="Kapatıldı",'ŞİKAYET KAYIT'!L260,""),"")</f>
        <v/>
      </c>
      <c r="I260" s="11" t="str">
        <f>IFERROR(IF('ŞİKAYET KAYIT'!P260="Kapatıldı",'ŞİKAYET KAYIT'!M260,""),"")</f>
        <v/>
      </c>
      <c r="J260" s="11" t="str">
        <f>IFERROR(IF('ŞİKAYET KAYIT'!P260="Kapatıldı",'ŞİKAYET KAYIT'!N260,""),"")</f>
        <v/>
      </c>
      <c r="K260" s="11" t="str">
        <f>IFERROR(IF('ŞİKAYET KAYIT'!P260="Kapatıldı",'ŞİKAYET KAYIT'!O260,""),"")</f>
        <v/>
      </c>
      <c r="L260" s="12" t="str">
        <f>IFERROR(IF('ŞİKAYET KAYIT'!P260="Kapatıldı",'ŞİKAYET KAYIT'!Q260,""),"")</f>
        <v/>
      </c>
      <c r="M260" s="11" t="str">
        <f>IFERROR(IF('ŞİKAYET KAYIT'!P260="Kapatıldı",'ŞİKAYET KAYIT'!R260,""),"")</f>
        <v/>
      </c>
      <c r="N260" s="11"/>
    </row>
    <row r="261" spans="1:14" ht="15" customHeight="1" x14ac:dyDescent="0.3">
      <c r="A261" s="26" t="str">
        <f>IFERROR(IF('ŞİKAYET KAYIT'!P261="Kapatıldı",'ŞİKAYET KAYIT'!A261,""),"")</f>
        <v/>
      </c>
      <c r="B261" s="8" t="str">
        <f>IFERROR(IF('ŞİKAYET KAYIT'!P261="Kapatıldı",'ŞİKAYET KAYIT'!B261,""),"")</f>
        <v/>
      </c>
      <c r="C261" s="26" t="str">
        <f>IFERROR(IF('ŞİKAYET KAYIT'!P261="Kapatıldı",'ŞİKAYET KAYIT'!D261,""),"")</f>
        <v/>
      </c>
      <c r="D261" s="26" t="str">
        <f>IFERROR(IF('ŞİKAYET KAYIT'!P261="Kapatıldı",'ŞİKAYET KAYIT'!F261,""),"")</f>
        <v/>
      </c>
      <c r="E261" s="26" t="str">
        <f>IFERROR(IF('ŞİKAYET KAYIT'!P261="Kapatıldı",'ŞİKAYET KAYIT'!H261,""),"")</f>
        <v/>
      </c>
      <c r="F261" s="26" t="str">
        <f>IFERROR(IF('ŞİKAYET KAYIT'!P261="Kapatıldı",'ŞİKAYET KAYIT'!J261,""),"")</f>
        <v/>
      </c>
      <c r="G261" s="26" t="str">
        <f>IFERROR(IF('ŞİKAYET KAYIT'!P261="Kapatıldı",'ŞİKAYET KAYIT'!K261,""),"")</f>
        <v/>
      </c>
      <c r="H261" s="26" t="str">
        <f>IFERROR(IF('ŞİKAYET KAYIT'!P261="Kapatıldı",'ŞİKAYET KAYIT'!L261,""),"")</f>
        <v/>
      </c>
      <c r="I261" s="26" t="str">
        <f>IFERROR(IF('ŞİKAYET KAYIT'!P261="Kapatıldı",'ŞİKAYET KAYIT'!M261,""),"")</f>
        <v/>
      </c>
      <c r="J261" s="26" t="str">
        <f>IFERROR(IF('ŞİKAYET KAYIT'!P261="Kapatıldı",'ŞİKAYET KAYIT'!N261,""),"")</f>
        <v/>
      </c>
      <c r="K261" s="26" t="str">
        <f>IFERROR(IF('ŞİKAYET KAYIT'!P261="Kapatıldı",'ŞİKAYET KAYIT'!O261,""),"")</f>
        <v/>
      </c>
      <c r="L261" s="8" t="str">
        <f>IFERROR(IF('ŞİKAYET KAYIT'!P261="Kapatıldı",'ŞİKAYET KAYIT'!Q261,""),"")</f>
        <v/>
      </c>
      <c r="M261" s="26" t="str">
        <f>IFERROR(IF('ŞİKAYET KAYIT'!P261="Kapatıldı",'ŞİKAYET KAYIT'!R261,""),"")</f>
        <v/>
      </c>
      <c r="N261" s="26"/>
    </row>
    <row r="262" spans="1:14" ht="15" customHeight="1" x14ac:dyDescent="0.3">
      <c r="A262" s="11" t="str">
        <f>IFERROR(IF('ŞİKAYET KAYIT'!P262="Kapatıldı",'ŞİKAYET KAYIT'!A262,""),"")</f>
        <v/>
      </c>
      <c r="B262" s="12" t="str">
        <f>IFERROR(IF('ŞİKAYET KAYIT'!P262="Kapatıldı",'ŞİKAYET KAYIT'!B262,""),"")</f>
        <v/>
      </c>
      <c r="C262" s="11" t="str">
        <f>IFERROR(IF('ŞİKAYET KAYIT'!P262="Kapatıldı",'ŞİKAYET KAYIT'!D262,""),"")</f>
        <v/>
      </c>
      <c r="D262" s="11" t="str">
        <f>IFERROR(IF('ŞİKAYET KAYIT'!P262="Kapatıldı",'ŞİKAYET KAYIT'!F262,""),"")</f>
        <v/>
      </c>
      <c r="E262" s="11" t="str">
        <f>IFERROR(IF('ŞİKAYET KAYIT'!P262="Kapatıldı",'ŞİKAYET KAYIT'!H262,""),"")</f>
        <v/>
      </c>
      <c r="F262" s="11" t="str">
        <f>IFERROR(IF('ŞİKAYET KAYIT'!P262="Kapatıldı",'ŞİKAYET KAYIT'!J262,""),"")</f>
        <v/>
      </c>
      <c r="G262" s="11" t="str">
        <f>IFERROR(IF('ŞİKAYET KAYIT'!P262="Kapatıldı",'ŞİKAYET KAYIT'!K262,""),"")</f>
        <v/>
      </c>
      <c r="H262" s="11" t="str">
        <f>IFERROR(IF('ŞİKAYET KAYIT'!P262="Kapatıldı",'ŞİKAYET KAYIT'!L262,""),"")</f>
        <v/>
      </c>
      <c r="I262" s="11" t="str">
        <f>IFERROR(IF('ŞİKAYET KAYIT'!P262="Kapatıldı",'ŞİKAYET KAYIT'!M262,""),"")</f>
        <v/>
      </c>
      <c r="J262" s="11" t="str">
        <f>IFERROR(IF('ŞİKAYET KAYIT'!P262="Kapatıldı",'ŞİKAYET KAYIT'!N262,""),"")</f>
        <v/>
      </c>
      <c r="K262" s="11" t="str">
        <f>IFERROR(IF('ŞİKAYET KAYIT'!P262="Kapatıldı",'ŞİKAYET KAYIT'!O262,""),"")</f>
        <v/>
      </c>
      <c r="L262" s="12" t="str">
        <f>IFERROR(IF('ŞİKAYET KAYIT'!P262="Kapatıldı",'ŞİKAYET KAYIT'!Q262,""),"")</f>
        <v/>
      </c>
      <c r="M262" s="11" t="str">
        <f>IFERROR(IF('ŞİKAYET KAYIT'!P262="Kapatıldı",'ŞİKAYET KAYIT'!R262,""),"")</f>
        <v/>
      </c>
      <c r="N262" s="11"/>
    </row>
    <row r="263" spans="1:14" ht="15" customHeight="1" x14ac:dyDescent="0.3">
      <c r="A263" s="26" t="str">
        <f>IFERROR(IF('ŞİKAYET KAYIT'!P263="Kapatıldı",'ŞİKAYET KAYIT'!A263,""),"")</f>
        <v/>
      </c>
      <c r="B263" s="8" t="str">
        <f>IFERROR(IF('ŞİKAYET KAYIT'!P263="Kapatıldı",'ŞİKAYET KAYIT'!B263,""),"")</f>
        <v/>
      </c>
      <c r="C263" s="26" t="str">
        <f>IFERROR(IF('ŞİKAYET KAYIT'!P263="Kapatıldı",'ŞİKAYET KAYIT'!D263,""),"")</f>
        <v/>
      </c>
      <c r="D263" s="26" t="str">
        <f>IFERROR(IF('ŞİKAYET KAYIT'!P263="Kapatıldı",'ŞİKAYET KAYIT'!F263,""),"")</f>
        <v/>
      </c>
      <c r="E263" s="26" t="str">
        <f>IFERROR(IF('ŞİKAYET KAYIT'!P263="Kapatıldı",'ŞİKAYET KAYIT'!H263,""),"")</f>
        <v/>
      </c>
      <c r="F263" s="26" t="str">
        <f>IFERROR(IF('ŞİKAYET KAYIT'!P263="Kapatıldı",'ŞİKAYET KAYIT'!J263,""),"")</f>
        <v/>
      </c>
      <c r="G263" s="26" t="str">
        <f>IFERROR(IF('ŞİKAYET KAYIT'!P263="Kapatıldı",'ŞİKAYET KAYIT'!K263,""),"")</f>
        <v/>
      </c>
      <c r="H263" s="26" t="str">
        <f>IFERROR(IF('ŞİKAYET KAYIT'!P263="Kapatıldı",'ŞİKAYET KAYIT'!L263,""),"")</f>
        <v/>
      </c>
      <c r="I263" s="26" t="str">
        <f>IFERROR(IF('ŞİKAYET KAYIT'!P263="Kapatıldı",'ŞİKAYET KAYIT'!M263,""),"")</f>
        <v/>
      </c>
      <c r="J263" s="26" t="str">
        <f>IFERROR(IF('ŞİKAYET KAYIT'!P263="Kapatıldı",'ŞİKAYET KAYIT'!N263,""),"")</f>
        <v/>
      </c>
      <c r="K263" s="26" t="str">
        <f>IFERROR(IF('ŞİKAYET KAYIT'!P263="Kapatıldı",'ŞİKAYET KAYIT'!O263,""),"")</f>
        <v/>
      </c>
      <c r="L263" s="8" t="str">
        <f>IFERROR(IF('ŞİKAYET KAYIT'!P263="Kapatıldı",'ŞİKAYET KAYIT'!Q263,""),"")</f>
        <v/>
      </c>
      <c r="M263" s="26" t="str">
        <f>IFERROR(IF('ŞİKAYET KAYIT'!P263="Kapatıldı",'ŞİKAYET KAYIT'!R263,""),"")</f>
        <v/>
      </c>
      <c r="N263" s="26"/>
    </row>
    <row r="264" spans="1:14" ht="15" customHeight="1" x14ac:dyDescent="0.3">
      <c r="A264" s="11" t="str">
        <f>IFERROR(IF('ŞİKAYET KAYIT'!P264="Kapatıldı",'ŞİKAYET KAYIT'!A264,""),"")</f>
        <v/>
      </c>
      <c r="B264" s="12" t="str">
        <f>IFERROR(IF('ŞİKAYET KAYIT'!P264="Kapatıldı",'ŞİKAYET KAYIT'!B264,""),"")</f>
        <v/>
      </c>
      <c r="C264" s="11" t="str">
        <f>IFERROR(IF('ŞİKAYET KAYIT'!P264="Kapatıldı",'ŞİKAYET KAYIT'!D264,""),"")</f>
        <v/>
      </c>
      <c r="D264" s="11" t="str">
        <f>IFERROR(IF('ŞİKAYET KAYIT'!P264="Kapatıldı",'ŞİKAYET KAYIT'!F264,""),"")</f>
        <v/>
      </c>
      <c r="E264" s="11" t="str">
        <f>IFERROR(IF('ŞİKAYET KAYIT'!P264="Kapatıldı",'ŞİKAYET KAYIT'!H264,""),"")</f>
        <v/>
      </c>
      <c r="F264" s="11" t="str">
        <f>IFERROR(IF('ŞİKAYET KAYIT'!P264="Kapatıldı",'ŞİKAYET KAYIT'!J264,""),"")</f>
        <v/>
      </c>
      <c r="G264" s="11" t="str">
        <f>IFERROR(IF('ŞİKAYET KAYIT'!P264="Kapatıldı",'ŞİKAYET KAYIT'!K264,""),"")</f>
        <v/>
      </c>
      <c r="H264" s="11" t="str">
        <f>IFERROR(IF('ŞİKAYET KAYIT'!P264="Kapatıldı",'ŞİKAYET KAYIT'!L264,""),"")</f>
        <v/>
      </c>
      <c r="I264" s="11" t="str">
        <f>IFERROR(IF('ŞİKAYET KAYIT'!P264="Kapatıldı",'ŞİKAYET KAYIT'!M264,""),"")</f>
        <v/>
      </c>
      <c r="J264" s="11" t="str">
        <f>IFERROR(IF('ŞİKAYET KAYIT'!P264="Kapatıldı",'ŞİKAYET KAYIT'!N264,""),"")</f>
        <v/>
      </c>
      <c r="K264" s="11" t="str">
        <f>IFERROR(IF('ŞİKAYET KAYIT'!P264="Kapatıldı",'ŞİKAYET KAYIT'!O264,""),"")</f>
        <v/>
      </c>
      <c r="L264" s="12" t="str">
        <f>IFERROR(IF('ŞİKAYET KAYIT'!P264="Kapatıldı",'ŞİKAYET KAYIT'!Q264,""),"")</f>
        <v/>
      </c>
      <c r="M264" s="11" t="str">
        <f>IFERROR(IF('ŞİKAYET KAYIT'!P264="Kapatıldı",'ŞİKAYET KAYIT'!R264,""),"")</f>
        <v/>
      </c>
      <c r="N264" s="11"/>
    </row>
    <row r="265" spans="1:14" ht="15" customHeight="1" x14ac:dyDescent="0.3">
      <c r="A265" s="26" t="str">
        <f>IFERROR(IF('ŞİKAYET KAYIT'!P265="Kapatıldı",'ŞİKAYET KAYIT'!A265,""),"")</f>
        <v/>
      </c>
      <c r="B265" s="8" t="str">
        <f>IFERROR(IF('ŞİKAYET KAYIT'!P265="Kapatıldı",'ŞİKAYET KAYIT'!B265,""),"")</f>
        <v/>
      </c>
      <c r="C265" s="26" t="str">
        <f>IFERROR(IF('ŞİKAYET KAYIT'!P265="Kapatıldı",'ŞİKAYET KAYIT'!D265,""),"")</f>
        <v/>
      </c>
      <c r="D265" s="26" t="str">
        <f>IFERROR(IF('ŞİKAYET KAYIT'!P265="Kapatıldı",'ŞİKAYET KAYIT'!F265,""),"")</f>
        <v/>
      </c>
      <c r="E265" s="26" t="str">
        <f>IFERROR(IF('ŞİKAYET KAYIT'!P265="Kapatıldı",'ŞİKAYET KAYIT'!H265,""),"")</f>
        <v/>
      </c>
      <c r="F265" s="26" t="str">
        <f>IFERROR(IF('ŞİKAYET KAYIT'!P265="Kapatıldı",'ŞİKAYET KAYIT'!J265,""),"")</f>
        <v/>
      </c>
      <c r="G265" s="26" t="str">
        <f>IFERROR(IF('ŞİKAYET KAYIT'!P265="Kapatıldı",'ŞİKAYET KAYIT'!K265,""),"")</f>
        <v/>
      </c>
      <c r="H265" s="26" t="str">
        <f>IFERROR(IF('ŞİKAYET KAYIT'!P265="Kapatıldı",'ŞİKAYET KAYIT'!L265,""),"")</f>
        <v/>
      </c>
      <c r="I265" s="26" t="str">
        <f>IFERROR(IF('ŞİKAYET KAYIT'!P265="Kapatıldı",'ŞİKAYET KAYIT'!M265,""),"")</f>
        <v/>
      </c>
      <c r="J265" s="26" t="str">
        <f>IFERROR(IF('ŞİKAYET KAYIT'!P265="Kapatıldı",'ŞİKAYET KAYIT'!N265,""),"")</f>
        <v/>
      </c>
      <c r="K265" s="26" t="str">
        <f>IFERROR(IF('ŞİKAYET KAYIT'!P265="Kapatıldı",'ŞİKAYET KAYIT'!O265,""),"")</f>
        <v/>
      </c>
      <c r="L265" s="8" t="str">
        <f>IFERROR(IF('ŞİKAYET KAYIT'!P265="Kapatıldı",'ŞİKAYET KAYIT'!Q265,""),"")</f>
        <v/>
      </c>
      <c r="M265" s="26" t="str">
        <f>IFERROR(IF('ŞİKAYET KAYIT'!P265="Kapatıldı",'ŞİKAYET KAYIT'!R265,""),"")</f>
        <v/>
      </c>
      <c r="N265" s="26"/>
    </row>
    <row r="266" spans="1:14" ht="15" customHeight="1" x14ac:dyDescent="0.3">
      <c r="A266" s="11" t="str">
        <f>IFERROR(IF('ŞİKAYET KAYIT'!P266="Kapatıldı",'ŞİKAYET KAYIT'!A266,""),"")</f>
        <v/>
      </c>
      <c r="B266" s="12" t="str">
        <f>IFERROR(IF('ŞİKAYET KAYIT'!P266="Kapatıldı",'ŞİKAYET KAYIT'!B266,""),"")</f>
        <v/>
      </c>
      <c r="C266" s="11" t="str">
        <f>IFERROR(IF('ŞİKAYET KAYIT'!P266="Kapatıldı",'ŞİKAYET KAYIT'!D266,""),"")</f>
        <v/>
      </c>
      <c r="D266" s="11" t="str">
        <f>IFERROR(IF('ŞİKAYET KAYIT'!P266="Kapatıldı",'ŞİKAYET KAYIT'!F266,""),"")</f>
        <v/>
      </c>
      <c r="E266" s="11" t="str">
        <f>IFERROR(IF('ŞİKAYET KAYIT'!P266="Kapatıldı",'ŞİKAYET KAYIT'!H266,""),"")</f>
        <v/>
      </c>
      <c r="F266" s="11" t="str">
        <f>IFERROR(IF('ŞİKAYET KAYIT'!P266="Kapatıldı",'ŞİKAYET KAYIT'!J266,""),"")</f>
        <v/>
      </c>
      <c r="G266" s="11" t="str">
        <f>IFERROR(IF('ŞİKAYET KAYIT'!P266="Kapatıldı",'ŞİKAYET KAYIT'!K266,""),"")</f>
        <v/>
      </c>
      <c r="H266" s="11" t="str">
        <f>IFERROR(IF('ŞİKAYET KAYIT'!P266="Kapatıldı",'ŞİKAYET KAYIT'!L266,""),"")</f>
        <v/>
      </c>
      <c r="I266" s="11" t="str">
        <f>IFERROR(IF('ŞİKAYET KAYIT'!P266="Kapatıldı",'ŞİKAYET KAYIT'!M266,""),"")</f>
        <v/>
      </c>
      <c r="J266" s="11" t="str">
        <f>IFERROR(IF('ŞİKAYET KAYIT'!P266="Kapatıldı",'ŞİKAYET KAYIT'!N266,""),"")</f>
        <v/>
      </c>
      <c r="K266" s="11" t="str">
        <f>IFERROR(IF('ŞİKAYET KAYIT'!P266="Kapatıldı",'ŞİKAYET KAYIT'!O266,""),"")</f>
        <v/>
      </c>
      <c r="L266" s="12" t="str">
        <f>IFERROR(IF('ŞİKAYET KAYIT'!P266="Kapatıldı",'ŞİKAYET KAYIT'!Q266,""),"")</f>
        <v/>
      </c>
      <c r="M266" s="11" t="str">
        <f>IFERROR(IF('ŞİKAYET KAYIT'!P266="Kapatıldı",'ŞİKAYET KAYIT'!R266,""),"")</f>
        <v/>
      </c>
      <c r="N266" s="11"/>
    </row>
    <row r="267" spans="1:14" ht="15" customHeight="1" x14ac:dyDescent="0.3">
      <c r="A267" s="26" t="str">
        <f>IFERROR(IF('ŞİKAYET KAYIT'!P267="Kapatıldı",'ŞİKAYET KAYIT'!A267,""),"")</f>
        <v/>
      </c>
      <c r="B267" s="8" t="str">
        <f>IFERROR(IF('ŞİKAYET KAYIT'!P267="Kapatıldı",'ŞİKAYET KAYIT'!B267,""),"")</f>
        <v/>
      </c>
      <c r="C267" s="26" t="str">
        <f>IFERROR(IF('ŞİKAYET KAYIT'!P267="Kapatıldı",'ŞİKAYET KAYIT'!D267,""),"")</f>
        <v/>
      </c>
      <c r="D267" s="26" t="str">
        <f>IFERROR(IF('ŞİKAYET KAYIT'!P267="Kapatıldı",'ŞİKAYET KAYIT'!F267,""),"")</f>
        <v/>
      </c>
      <c r="E267" s="26" t="str">
        <f>IFERROR(IF('ŞİKAYET KAYIT'!P267="Kapatıldı",'ŞİKAYET KAYIT'!H267,""),"")</f>
        <v/>
      </c>
      <c r="F267" s="26" t="str">
        <f>IFERROR(IF('ŞİKAYET KAYIT'!P267="Kapatıldı",'ŞİKAYET KAYIT'!J267,""),"")</f>
        <v/>
      </c>
      <c r="G267" s="26" t="str">
        <f>IFERROR(IF('ŞİKAYET KAYIT'!P267="Kapatıldı",'ŞİKAYET KAYIT'!K267,""),"")</f>
        <v/>
      </c>
      <c r="H267" s="26" t="str">
        <f>IFERROR(IF('ŞİKAYET KAYIT'!P267="Kapatıldı",'ŞİKAYET KAYIT'!L267,""),"")</f>
        <v/>
      </c>
      <c r="I267" s="26" t="str">
        <f>IFERROR(IF('ŞİKAYET KAYIT'!P267="Kapatıldı",'ŞİKAYET KAYIT'!M267,""),"")</f>
        <v/>
      </c>
      <c r="J267" s="26" t="str">
        <f>IFERROR(IF('ŞİKAYET KAYIT'!P267="Kapatıldı",'ŞİKAYET KAYIT'!N267,""),"")</f>
        <v/>
      </c>
      <c r="K267" s="26" t="str">
        <f>IFERROR(IF('ŞİKAYET KAYIT'!P267="Kapatıldı",'ŞİKAYET KAYIT'!O267,""),"")</f>
        <v/>
      </c>
      <c r="L267" s="8" t="str">
        <f>IFERROR(IF('ŞİKAYET KAYIT'!P267="Kapatıldı",'ŞİKAYET KAYIT'!Q267,""),"")</f>
        <v/>
      </c>
      <c r="M267" s="26" t="str">
        <f>IFERROR(IF('ŞİKAYET KAYIT'!P267="Kapatıldı",'ŞİKAYET KAYIT'!R267,""),"")</f>
        <v/>
      </c>
      <c r="N267" s="26"/>
    </row>
    <row r="268" spans="1:14" ht="15" customHeight="1" x14ac:dyDescent="0.3">
      <c r="A268" s="11" t="str">
        <f>IFERROR(IF('ŞİKAYET KAYIT'!P268="Kapatıldı",'ŞİKAYET KAYIT'!A268,""),"")</f>
        <v/>
      </c>
      <c r="B268" s="12" t="str">
        <f>IFERROR(IF('ŞİKAYET KAYIT'!P268="Kapatıldı",'ŞİKAYET KAYIT'!B268,""),"")</f>
        <v/>
      </c>
      <c r="C268" s="11" t="str">
        <f>IFERROR(IF('ŞİKAYET KAYIT'!P268="Kapatıldı",'ŞİKAYET KAYIT'!D268,""),"")</f>
        <v/>
      </c>
      <c r="D268" s="11" t="str">
        <f>IFERROR(IF('ŞİKAYET KAYIT'!P268="Kapatıldı",'ŞİKAYET KAYIT'!F268,""),"")</f>
        <v/>
      </c>
      <c r="E268" s="11" t="str">
        <f>IFERROR(IF('ŞİKAYET KAYIT'!P268="Kapatıldı",'ŞİKAYET KAYIT'!H268,""),"")</f>
        <v/>
      </c>
      <c r="F268" s="11" t="str">
        <f>IFERROR(IF('ŞİKAYET KAYIT'!P268="Kapatıldı",'ŞİKAYET KAYIT'!J268,""),"")</f>
        <v/>
      </c>
      <c r="G268" s="11" t="str">
        <f>IFERROR(IF('ŞİKAYET KAYIT'!P268="Kapatıldı",'ŞİKAYET KAYIT'!K268,""),"")</f>
        <v/>
      </c>
      <c r="H268" s="11" t="str">
        <f>IFERROR(IF('ŞİKAYET KAYIT'!P268="Kapatıldı",'ŞİKAYET KAYIT'!L268,""),"")</f>
        <v/>
      </c>
      <c r="I268" s="11" t="str">
        <f>IFERROR(IF('ŞİKAYET KAYIT'!P268="Kapatıldı",'ŞİKAYET KAYIT'!M268,""),"")</f>
        <v/>
      </c>
      <c r="J268" s="11" t="str">
        <f>IFERROR(IF('ŞİKAYET KAYIT'!P268="Kapatıldı",'ŞİKAYET KAYIT'!N268,""),"")</f>
        <v/>
      </c>
      <c r="K268" s="11" t="str">
        <f>IFERROR(IF('ŞİKAYET KAYIT'!P268="Kapatıldı",'ŞİKAYET KAYIT'!O268,""),"")</f>
        <v/>
      </c>
      <c r="L268" s="12" t="str">
        <f>IFERROR(IF('ŞİKAYET KAYIT'!P268="Kapatıldı",'ŞİKAYET KAYIT'!Q268,""),"")</f>
        <v/>
      </c>
      <c r="M268" s="11" t="str">
        <f>IFERROR(IF('ŞİKAYET KAYIT'!P268="Kapatıldı",'ŞİKAYET KAYIT'!R268,""),"")</f>
        <v/>
      </c>
      <c r="N268" s="11"/>
    </row>
    <row r="269" spans="1:14" ht="15" customHeight="1" x14ac:dyDescent="0.3">
      <c r="A269" s="26" t="str">
        <f>IFERROR(IF('ŞİKAYET KAYIT'!P269="Kapatıldı",'ŞİKAYET KAYIT'!A269,""),"")</f>
        <v/>
      </c>
      <c r="B269" s="8" t="str">
        <f>IFERROR(IF('ŞİKAYET KAYIT'!P269="Kapatıldı",'ŞİKAYET KAYIT'!B269,""),"")</f>
        <v/>
      </c>
      <c r="C269" s="26" t="str">
        <f>IFERROR(IF('ŞİKAYET KAYIT'!P269="Kapatıldı",'ŞİKAYET KAYIT'!D269,""),"")</f>
        <v/>
      </c>
      <c r="D269" s="26" t="str">
        <f>IFERROR(IF('ŞİKAYET KAYIT'!P269="Kapatıldı",'ŞİKAYET KAYIT'!F269,""),"")</f>
        <v/>
      </c>
      <c r="E269" s="26" t="str">
        <f>IFERROR(IF('ŞİKAYET KAYIT'!P269="Kapatıldı",'ŞİKAYET KAYIT'!H269,""),"")</f>
        <v/>
      </c>
      <c r="F269" s="26" t="str">
        <f>IFERROR(IF('ŞİKAYET KAYIT'!P269="Kapatıldı",'ŞİKAYET KAYIT'!J269,""),"")</f>
        <v/>
      </c>
      <c r="G269" s="26" t="str">
        <f>IFERROR(IF('ŞİKAYET KAYIT'!P269="Kapatıldı",'ŞİKAYET KAYIT'!K269,""),"")</f>
        <v/>
      </c>
      <c r="H269" s="26" t="str">
        <f>IFERROR(IF('ŞİKAYET KAYIT'!P269="Kapatıldı",'ŞİKAYET KAYIT'!L269,""),"")</f>
        <v/>
      </c>
      <c r="I269" s="26" t="str">
        <f>IFERROR(IF('ŞİKAYET KAYIT'!P269="Kapatıldı",'ŞİKAYET KAYIT'!M269,""),"")</f>
        <v/>
      </c>
      <c r="J269" s="26" t="str">
        <f>IFERROR(IF('ŞİKAYET KAYIT'!P269="Kapatıldı",'ŞİKAYET KAYIT'!N269,""),"")</f>
        <v/>
      </c>
      <c r="K269" s="26" t="str">
        <f>IFERROR(IF('ŞİKAYET KAYIT'!P269="Kapatıldı",'ŞİKAYET KAYIT'!O269,""),"")</f>
        <v/>
      </c>
      <c r="L269" s="8" t="str">
        <f>IFERROR(IF('ŞİKAYET KAYIT'!P269="Kapatıldı",'ŞİKAYET KAYIT'!Q269,""),"")</f>
        <v/>
      </c>
      <c r="M269" s="26" t="str">
        <f>IFERROR(IF('ŞİKAYET KAYIT'!P269="Kapatıldı",'ŞİKAYET KAYIT'!R269,""),"")</f>
        <v/>
      </c>
      <c r="N269" s="26"/>
    </row>
    <row r="270" spans="1:14" ht="15" customHeight="1" x14ac:dyDescent="0.3">
      <c r="A270" s="11" t="str">
        <f>IFERROR(IF('ŞİKAYET KAYIT'!P270="Kapatıldı",'ŞİKAYET KAYIT'!A270,""),"")</f>
        <v/>
      </c>
      <c r="B270" s="12" t="str">
        <f>IFERROR(IF('ŞİKAYET KAYIT'!P270="Kapatıldı",'ŞİKAYET KAYIT'!B270,""),"")</f>
        <v/>
      </c>
      <c r="C270" s="11" t="str">
        <f>IFERROR(IF('ŞİKAYET KAYIT'!P270="Kapatıldı",'ŞİKAYET KAYIT'!D270,""),"")</f>
        <v/>
      </c>
      <c r="D270" s="11" t="str">
        <f>IFERROR(IF('ŞİKAYET KAYIT'!P270="Kapatıldı",'ŞİKAYET KAYIT'!F270,""),"")</f>
        <v/>
      </c>
      <c r="E270" s="11" t="str">
        <f>IFERROR(IF('ŞİKAYET KAYIT'!P270="Kapatıldı",'ŞİKAYET KAYIT'!H270,""),"")</f>
        <v/>
      </c>
      <c r="F270" s="11" t="str">
        <f>IFERROR(IF('ŞİKAYET KAYIT'!P270="Kapatıldı",'ŞİKAYET KAYIT'!J270,""),"")</f>
        <v/>
      </c>
      <c r="G270" s="11" t="str">
        <f>IFERROR(IF('ŞİKAYET KAYIT'!P270="Kapatıldı",'ŞİKAYET KAYIT'!K270,""),"")</f>
        <v/>
      </c>
      <c r="H270" s="11" t="str">
        <f>IFERROR(IF('ŞİKAYET KAYIT'!P270="Kapatıldı",'ŞİKAYET KAYIT'!L270,""),"")</f>
        <v/>
      </c>
      <c r="I270" s="11" t="str">
        <f>IFERROR(IF('ŞİKAYET KAYIT'!P270="Kapatıldı",'ŞİKAYET KAYIT'!M270,""),"")</f>
        <v/>
      </c>
      <c r="J270" s="11" t="str">
        <f>IFERROR(IF('ŞİKAYET KAYIT'!P270="Kapatıldı",'ŞİKAYET KAYIT'!N270,""),"")</f>
        <v/>
      </c>
      <c r="K270" s="11" t="str">
        <f>IFERROR(IF('ŞİKAYET KAYIT'!P270="Kapatıldı",'ŞİKAYET KAYIT'!O270,""),"")</f>
        <v/>
      </c>
      <c r="L270" s="12" t="str">
        <f>IFERROR(IF('ŞİKAYET KAYIT'!P270="Kapatıldı",'ŞİKAYET KAYIT'!Q270,""),"")</f>
        <v/>
      </c>
      <c r="M270" s="11" t="str">
        <f>IFERROR(IF('ŞİKAYET KAYIT'!P270="Kapatıldı",'ŞİKAYET KAYIT'!R270,""),"")</f>
        <v/>
      </c>
      <c r="N270" s="11"/>
    </row>
    <row r="271" spans="1:14" ht="15" customHeight="1" x14ac:dyDescent="0.3">
      <c r="A271" s="26" t="str">
        <f>IFERROR(IF('ŞİKAYET KAYIT'!P271="Kapatıldı",'ŞİKAYET KAYIT'!A271,""),"")</f>
        <v/>
      </c>
      <c r="B271" s="8" t="str">
        <f>IFERROR(IF('ŞİKAYET KAYIT'!P271="Kapatıldı",'ŞİKAYET KAYIT'!B271,""),"")</f>
        <v/>
      </c>
      <c r="C271" s="26" t="str">
        <f>IFERROR(IF('ŞİKAYET KAYIT'!P271="Kapatıldı",'ŞİKAYET KAYIT'!D271,""),"")</f>
        <v/>
      </c>
      <c r="D271" s="26" t="str">
        <f>IFERROR(IF('ŞİKAYET KAYIT'!P271="Kapatıldı",'ŞİKAYET KAYIT'!F271,""),"")</f>
        <v/>
      </c>
      <c r="E271" s="26" t="str">
        <f>IFERROR(IF('ŞİKAYET KAYIT'!P271="Kapatıldı",'ŞİKAYET KAYIT'!H271,""),"")</f>
        <v/>
      </c>
      <c r="F271" s="26" t="str">
        <f>IFERROR(IF('ŞİKAYET KAYIT'!P271="Kapatıldı",'ŞİKAYET KAYIT'!J271,""),"")</f>
        <v/>
      </c>
      <c r="G271" s="26" t="str">
        <f>IFERROR(IF('ŞİKAYET KAYIT'!P271="Kapatıldı",'ŞİKAYET KAYIT'!K271,""),"")</f>
        <v/>
      </c>
      <c r="H271" s="26" t="str">
        <f>IFERROR(IF('ŞİKAYET KAYIT'!P271="Kapatıldı",'ŞİKAYET KAYIT'!L271,""),"")</f>
        <v/>
      </c>
      <c r="I271" s="26" t="str">
        <f>IFERROR(IF('ŞİKAYET KAYIT'!P271="Kapatıldı",'ŞİKAYET KAYIT'!M271,""),"")</f>
        <v/>
      </c>
      <c r="J271" s="26" t="str">
        <f>IFERROR(IF('ŞİKAYET KAYIT'!P271="Kapatıldı",'ŞİKAYET KAYIT'!N271,""),"")</f>
        <v/>
      </c>
      <c r="K271" s="26" t="str">
        <f>IFERROR(IF('ŞİKAYET KAYIT'!P271="Kapatıldı",'ŞİKAYET KAYIT'!O271,""),"")</f>
        <v/>
      </c>
      <c r="L271" s="8" t="str">
        <f>IFERROR(IF('ŞİKAYET KAYIT'!P271="Kapatıldı",'ŞİKAYET KAYIT'!Q271,""),"")</f>
        <v/>
      </c>
      <c r="M271" s="26" t="str">
        <f>IFERROR(IF('ŞİKAYET KAYIT'!P271="Kapatıldı",'ŞİKAYET KAYIT'!R271,""),"")</f>
        <v/>
      </c>
      <c r="N271" s="26"/>
    </row>
    <row r="272" spans="1:14" ht="15" customHeight="1" x14ac:dyDescent="0.3">
      <c r="A272" s="11" t="str">
        <f>IFERROR(IF('ŞİKAYET KAYIT'!P272="Kapatıldı",'ŞİKAYET KAYIT'!A272,""),"")</f>
        <v/>
      </c>
      <c r="B272" s="12" t="str">
        <f>IFERROR(IF('ŞİKAYET KAYIT'!P272="Kapatıldı",'ŞİKAYET KAYIT'!B272,""),"")</f>
        <v/>
      </c>
      <c r="C272" s="11" t="str">
        <f>IFERROR(IF('ŞİKAYET KAYIT'!P272="Kapatıldı",'ŞİKAYET KAYIT'!D272,""),"")</f>
        <v/>
      </c>
      <c r="D272" s="11" t="str">
        <f>IFERROR(IF('ŞİKAYET KAYIT'!P272="Kapatıldı",'ŞİKAYET KAYIT'!F272,""),"")</f>
        <v/>
      </c>
      <c r="E272" s="11" t="str">
        <f>IFERROR(IF('ŞİKAYET KAYIT'!P272="Kapatıldı",'ŞİKAYET KAYIT'!H272,""),"")</f>
        <v/>
      </c>
      <c r="F272" s="11" t="str">
        <f>IFERROR(IF('ŞİKAYET KAYIT'!P272="Kapatıldı",'ŞİKAYET KAYIT'!J272,""),"")</f>
        <v/>
      </c>
      <c r="G272" s="11" t="str">
        <f>IFERROR(IF('ŞİKAYET KAYIT'!P272="Kapatıldı",'ŞİKAYET KAYIT'!K272,""),"")</f>
        <v/>
      </c>
      <c r="H272" s="11" t="str">
        <f>IFERROR(IF('ŞİKAYET KAYIT'!P272="Kapatıldı",'ŞİKAYET KAYIT'!L272,""),"")</f>
        <v/>
      </c>
      <c r="I272" s="11" t="str">
        <f>IFERROR(IF('ŞİKAYET KAYIT'!P272="Kapatıldı",'ŞİKAYET KAYIT'!M272,""),"")</f>
        <v/>
      </c>
      <c r="J272" s="11" t="str">
        <f>IFERROR(IF('ŞİKAYET KAYIT'!P272="Kapatıldı",'ŞİKAYET KAYIT'!N272,""),"")</f>
        <v/>
      </c>
      <c r="K272" s="11" t="str">
        <f>IFERROR(IF('ŞİKAYET KAYIT'!P272="Kapatıldı",'ŞİKAYET KAYIT'!O272,""),"")</f>
        <v/>
      </c>
      <c r="L272" s="12" t="str">
        <f>IFERROR(IF('ŞİKAYET KAYIT'!P272="Kapatıldı",'ŞİKAYET KAYIT'!Q272,""),"")</f>
        <v/>
      </c>
      <c r="M272" s="11" t="str">
        <f>IFERROR(IF('ŞİKAYET KAYIT'!P272="Kapatıldı",'ŞİKAYET KAYIT'!R272,""),"")</f>
        <v/>
      </c>
      <c r="N272" s="11"/>
    </row>
    <row r="273" spans="1:14" ht="15" customHeight="1" x14ac:dyDescent="0.3">
      <c r="A273" s="26" t="str">
        <f>IFERROR(IF('ŞİKAYET KAYIT'!P273="Kapatıldı",'ŞİKAYET KAYIT'!A273,""),"")</f>
        <v/>
      </c>
      <c r="B273" s="8" t="str">
        <f>IFERROR(IF('ŞİKAYET KAYIT'!P273="Kapatıldı",'ŞİKAYET KAYIT'!B273,""),"")</f>
        <v/>
      </c>
      <c r="C273" s="26" t="str">
        <f>IFERROR(IF('ŞİKAYET KAYIT'!P273="Kapatıldı",'ŞİKAYET KAYIT'!D273,""),"")</f>
        <v/>
      </c>
      <c r="D273" s="26" t="str">
        <f>IFERROR(IF('ŞİKAYET KAYIT'!P273="Kapatıldı",'ŞİKAYET KAYIT'!F273,""),"")</f>
        <v/>
      </c>
      <c r="E273" s="26" t="str">
        <f>IFERROR(IF('ŞİKAYET KAYIT'!P273="Kapatıldı",'ŞİKAYET KAYIT'!H273,""),"")</f>
        <v/>
      </c>
      <c r="F273" s="26" t="str">
        <f>IFERROR(IF('ŞİKAYET KAYIT'!P273="Kapatıldı",'ŞİKAYET KAYIT'!J273,""),"")</f>
        <v/>
      </c>
      <c r="G273" s="26" t="str">
        <f>IFERROR(IF('ŞİKAYET KAYIT'!P273="Kapatıldı",'ŞİKAYET KAYIT'!K273,""),"")</f>
        <v/>
      </c>
      <c r="H273" s="26" t="str">
        <f>IFERROR(IF('ŞİKAYET KAYIT'!P273="Kapatıldı",'ŞİKAYET KAYIT'!L273,""),"")</f>
        <v/>
      </c>
      <c r="I273" s="26" t="str">
        <f>IFERROR(IF('ŞİKAYET KAYIT'!P273="Kapatıldı",'ŞİKAYET KAYIT'!M273,""),"")</f>
        <v/>
      </c>
      <c r="J273" s="26" t="str">
        <f>IFERROR(IF('ŞİKAYET KAYIT'!P273="Kapatıldı",'ŞİKAYET KAYIT'!N273,""),"")</f>
        <v/>
      </c>
      <c r="K273" s="26" t="str">
        <f>IFERROR(IF('ŞİKAYET KAYIT'!P273="Kapatıldı",'ŞİKAYET KAYIT'!O273,""),"")</f>
        <v/>
      </c>
      <c r="L273" s="8" t="str">
        <f>IFERROR(IF('ŞİKAYET KAYIT'!P273="Kapatıldı",'ŞİKAYET KAYIT'!Q273,""),"")</f>
        <v/>
      </c>
      <c r="M273" s="26" t="str">
        <f>IFERROR(IF('ŞİKAYET KAYIT'!P273="Kapatıldı",'ŞİKAYET KAYIT'!R273,""),"")</f>
        <v/>
      </c>
      <c r="N273" s="26"/>
    </row>
    <row r="274" spans="1:14" ht="15" customHeight="1" x14ac:dyDescent="0.3">
      <c r="A274" s="11" t="str">
        <f>IFERROR(IF('ŞİKAYET KAYIT'!P274="Kapatıldı",'ŞİKAYET KAYIT'!A274,""),"")</f>
        <v/>
      </c>
      <c r="B274" s="12" t="str">
        <f>IFERROR(IF('ŞİKAYET KAYIT'!P274="Kapatıldı",'ŞİKAYET KAYIT'!B274,""),"")</f>
        <v/>
      </c>
      <c r="C274" s="11" t="str">
        <f>IFERROR(IF('ŞİKAYET KAYIT'!P274="Kapatıldı",'ŞİKAYET KAYIT'!D274,""),"")</f>
        <v/>
      </c>
      <c r="D274" s="11" t="str">
        <f>IFERROR(IF('ŞİKAYET KAYIT'!P274="Kapatıldı",'ŞİKAYET KAYIT'!F274,""),"")</f>
        <v/>
      </c>
      <c r="E274" s="11" t="str">
        <f>IFERROR(IF('ŞİKAYET KAYIT'!P274="Kapatıldı",'ŞİKAYET KAYIT'!H274,""),"")</f>
        <v/>
      </c>
      <c r="F274" s="11" t="str">
        <f>IFERROR(IF('ŞİKAYET KAYIT'!P274="Kapatıldı",'ŞİKAYET KAYIT'!J274,""),"")</f>
        <v/>
      </c>
      <c r="G274" s="11" t="str">
        <f>IFERROR(IF('ŞİKAYET KAYIT'!P274="Kapatıldı",'ŞİKAYET KAYIT'!K274,""),"")</f>
        <v/>
      </c>
      <c r="H274" s="11" t="str">
        <f>IFERROR(IF('ŞİKAYET KAYIT'!P274="Kapatıldı",'ŞİKAYET KAYIT'!L274,""),"")</f>
        <v/>
      </c>
      <c r="I274" s="11" t="str">
        <f>IFERROR(IF('ŞİKAYET KAYIT'!P274="Kapatıldı",'ŞİKAYET KAYIT'!M274,""),"")</f>
        <v/>
      </c>
      <c r="J274" s="11" t="str">
        <f>IFERROR(IF('ŞİKAYET KAYIT'!P274="Kapatıldı",'ŞİKAYET KAYIT'!N274,""),"")</f>
        <v/>
      </c>
      <c r="K274" s="11" t="str">
        <f>IFERROR(IF('ŞİKAYET KAYIT'!P274="Kapatıldı",'ŞİKAYET KAYIT'!O274,""),"")</f>
        <v/>
      </c>
      <c r="L274" s="12" t="str">
        <f>IFERROR(IF('ŞİKAYET KAYIT'!P274="Kapatıldı",'ŞİKAYET KAYIT'!Q274,""),"")</f>
        <v/>
      </c>
      <c r="M274" s="11" t="str">
        <f>IFERROR(IF('ŞİKAYET KAYIT'!P274="Kapatıldı",'ŞİKAYET KAYIT'!R274,""),"")</f>
        <v/>
      </c>
      <c r="N274" s="11"/>
    </row>
    <row r="275" spans="1:14" ht="15" customHeight="1" x14ac:dyDescent="0.3">
      <c r="A275" s="26" t="str">
        <f>IFERROR(IF('ŞİKAYET KAYIT'!P275="Kapatıldı",'ŞİKAYET KAYIT'!A275,""),"")</f>
        <v/>
      </c>
      <c r="B275" s="8" t="str">
        <f>IFERROR(IF('ŞİKAYET KAYIT'!P275="Kapatıldı",'ŞİKAYET KAYIT'!B275,""),"")</f>
        <v/>
      </c>
      <c r="C275" s="26" t="str">
        <f>IFERROR(IF('ŞİKAYET KAYIT'!P275="Kapatıldı",'ŞİKAYET KAYIT'!D275,""),"")</f>
        <v/>
      </c>
      <c r="D275" s="26" t="str">
        <f>IFERROR(IF('ŞİKAYET KAYIT'!P275="Kapatıldı",'ŞİKAYET KAYIT'!F275,""),"")</f>
        <v/>
      </c>
      <c r="E275" s="26" t="str">
        <f>IFERROR(IF('ŞİKAYET KAYIT'!P275="Kapatıldı",'ŞİKAYET KAYIT'!H275,""),"")</f>
        <v/>
      </c>
      <c r="F275" s="26" t="str">
        <f>IFERROR(IF('ŞİKAYET KAYIT'!P275="Kapatıldı",'ŞİKAYET KAYIT'!J275,""),"")</f>
        <v/>
      </c>
      <c r="G275" s="26" t="str">
        <f>IFERROR(IF('ŞİKAYET KAYIT'!P275="Kapatıldı",'ŞİKAYET KAYIT'!K275,""),"")</f>
        <v/>
      </c>
      <c r="H275" s="26" t="str">
        <f>IFERROR(IF('ŞİKAYET KAYIT'!P275="Kapatıldı",'ŞİKAYET KAYIT'!L275,""),"")</f>
        <v/>
      </c>
      <c r="I275" s="26" t="str">
        <f>IFERROR(IF('ŞİKAYET KAYIT'!P275="Kapatıldı",'ŞİKAYET KAYIT'!M275,""),"")</f>
        <v/>
      </c>
      <c r="J275" s="26" t="str">
        <f>IFERROR(IF('ŞİKAYET KAYIT'!P275="Kapatıldı",'ŞİKAYET KAYIT'!N275,""),"")</f>
        <v/>
      </c>
      <c r="K275" s="26" t="str">
        <f>IFERROR(IF('ŞİKAYET KAYIT'!P275="Kapatıldı",'ŞİKAYET KAYIT'!O275,""),"")</f>
        <v/>
      </c>
      <c r="L275" s="8" t="str">
        <f>IFERROR(IF('ŞİKAYET KAYIT'!P275="Kapatıldı",'ŞİKAYET KAYIT'!Q275,""),"")</f>
        <v/>
      </c>
      <c r="M275" s="26" t="str">
        <f>IFERROR(IF('ŞİKAYET KAYIT'!P275="Kapatıldı",'ŞİKAYET KAYIT'!R275,""),"")</f>
        <v/>
      </c>
      <c r="N275" s="26"/>
    </row>
    <row r="276" spans="1:14" ht="15" customHeight="1" x14ac:dyDescent="0.3">
      <c r="A276" s="11" t="str">
        <f>IFERROR(IF('ŞİKAYET KAYIT'!P276="Kapatıldı",'ŞİKAYET KAYIT'!A276,""),"")</f>
        <v/>
      </c>
      <c r="B276" s="12" t="str">
        <f>IFERROR(IF('ŞİKAYET KAYIT'!P276="Kapatıldı",'ŞİKAYET KAYIT'!B276,""),"")</f>
        <v/>
      </c>
      <c r="C276" s="11" t="str">
        <f>IFERROR(IF('ŞİKAYET KAYIT'!P276="Kapatıldı",'ŞİKAYET KAYIT'!D276,""),"")</f>
        <v/>
      </c>
      <c r="D276" s="11" t="str">
        <f>IFERROR(IF('ŞİKAYET KAYIT'!P276="Kapatıldı",'ŞİKAYET KAYIT'!F276,""),"")</f>
        <v/>
      </c>
      <c r="E276" s="11" t="str">
        <f>IFERROR(IF('ŞİKAYET KAYIT'!P276="Kapatıldı",'ŞİKAYET KAYIT'!H276,""),"")</f>
        <v/>
      </c>
      <c r="F276" s="11" t="str">
        <f>IFERROR(IF('ŞİKAYET KAYIT'!P276="Kapatıldı",'ŞİKAYET KAYIT'!J276,""),"")</f>
        <v/>
      </c>
      <c r="G276" s="11" t="str">
        <f>IFERROR(IF('ŞİKAYET KAYIT'!P276="Kapatıldı",'ŞİKAYET KAYIT'!K276,""),"")</f>
        <v/>
      </c>
      <c r="H276" s="11" t="str">
        <f>IFERROR(IF('ŞİKAYET KAYIT'!P276="Kapatıldı",'ŞİKAYET KAYIT'!L276,""),"")</f>
        <v/>
      </c>
      <c r="I276" s="11" t="str">
        <f>IFERROR(IF('ŞİKAYET KAYIT'!P276="Kapatıldı",'ŞİKAYET KAYIT'!M276,""),"")</f>
        <v/>
      </c>
      <c r="J276" s="11" t="str">
        <f>IFERROR(IF('ŞİKAYET KAYIT'!P276="Kapatıldı",'ŞİKAYET KAYIT'!N276,""),"")</f>
        <v/>
      </c>
      <c r="K276" s="11" t="str">
        <f>IFERROR(IF('ŞİKAYET KAYIT'!P276="Kapatıldı",'ŞİKAYET KAYIT'!O276,""),"")</f>
        <v/>
      </c>
      <c r="L276" s="12" t="str">
        <f>IFERROR(IF('ŞİKAYET KAYIT'!P276="Kapatıldı",'ŞİKAYET KAYIT'!Q276,""),"")</f>
        <v/>
      </c>
      <c r="M276" s="11" t="str">
        <f>IFERROR(IF('ŞİKAYET KAYIT'!P276="Kapatıldı",'ŞİKAYET KAYIT'!R276,""),"")</f>
        <v/>
      </c>
      <c r="N276" s="11"/>
    </row>
    <row r="277" spans="1:14" ht="15" customHeight="1" x14ac:dyDescent="0.3">
      <c r="A277" s="26" t="str">
        <f>IFERROR(IF('ŞİKAYET KAYIT'!P277="Kapatıldı",'ŞİKAYET KAYIT'!A277,""),"")</f>
        <v/>
      </c>
      <c r="B277" s="8" t="str">
        <f>IFERROR(IF('ŞİKAYET KAYIT'!P277="Kapatıldı",'ŞİKAYET KAYIT'!B277,""),"")</f>
        <v/>
      </c>
      <c r="C277" s="26" t="str">
        <f>IFERROR(IF('ŞİKAYET KAYIT'!P277="Kapatıldı",'ŞİKAYET KAYIT'!D277,""),"")</f>
        <v/>
      </c>
      <c r="D277" s="26" t="str">
        <f>IFERROR(IF('ŞİKAYET KAYIT'!P277="Kapatıldı",'ŞİKAYET KAYIT'!F277,""),"")</f>
        <v/>
      </c>
      <c r="E277" s="26" t="str">
        <f>IFERROR(IF('ŞİKAYET KAYIT'!P277="Kapatıldı",'ŞİKAYET KAYIT'!H277,""),"")</f>
        <v/>
      </c>
      <c r="F277" s="26" t="str">
        <f>IFERROR(IF('ŞİKAYET KAYIT'!P277="Kapatıldı",'ŞİKAYET KAYIT'!J277,""),"")</f>
        <v/>
      </c>
      <c r="G277" s="26" t="str">
        <f>IFERROR(IF('ŞİKAYET KAYIT'!P277="Kapatıldı",'ŞİKAYET KAYIT'!K277,""),"")</f>
        <v/>
      </c>
      <c r="H277" s="26" t="str">
        <f>IFERROR(IF('ŞİKAYET KAYIT'!P277="Kapatıldı",'ŞİKAYET KAYIT'!L277,""),"")</f>
        <v/>
      </c>
      <c r="I277" s="26" t="str">
        <f>IFERROR(IF('ŞİKAYET KAYIT'!P277="Kapatıldı",'ŞİKAYET KAYIT'!M277,""),"")</f>
        <v/>
      </c>
      <c r="J277" s="26" t="str">
        <f>IFERROR(IF('ŞİKAYET KAYIT'!P277="Kapatıldı",'ŞİKAYET KAYIT'!N277,""),"")</f>
        <v/>
      </c>
      <c r="K277" s="26" t="str">
        <f>IFERROR(IF('ŞİKAYET KAYIT'!P277="Kapatıldı",'ŞİKAYET KAYIT'!O277,""),"")</f>
        <v/>
      </c>
      <c r="L277" s="8" t="str">
        <f>IFERROR(IF('ŞİKAYET KAYIT'!P277="Kapatıldı",'ŞİKAYET KAYIT'!Q277,""),"")</f>
        <v/>
      </c>
      <c r="M277" s="26" t="str">
        <f>IFERROR(IF('ŞİKAYET KAYIT'!P277="Kapatıldı",'ŞİKAYET KAYIT'!R277,""),"")</f>
        <v/>
      </c>
      <c r="N277" s="26"/>
    </row>
    <row r="278" spans="1:14" ht="15" customHeight="1" x14ac:dyDescent="0.3">
      <c r="A278" s="11" t="str">
        <f>IFERROR(IF('ŞİKAYET KAYIT'!P278="Kapatıldı",'ŞİKAYET KAYIT'!A278,""),"")</f>
        <v/>
      </c>
      <c r="B278" s="12" t="str">
        <f>IFERROR(IF('ŞİKAYET KAYIT'!P278="Kapatıldı",'ŞİKAYET KAYIT'!B278,""),"")</f>
        <v/>
      </c>
      <c r="C278" s="11" t="str">
        <f>IFERROR(IF('ŞİKAYET KAYIT'!P278="Kapatıldı",'ŞİKAYET KAYIT'!D278,""),"")</f>
        <v/>
      </c>
      <c r="D278" s="11" t="str">
        <f>IFERROR(IF('ŞİKAYET KAYIT'!P278="Kapatıldı",'ŞİKAYET KAYIT'!F278,""),"")</f>
        <v/>
      </c>
      <c r="E278" s="11" t="str">
        <f>IFERROR(IF('ŞİKAYET KAYIT'!P278="Kapatıldı",'ŞİKAYET KAYIT'!H278,""),"")</f>
        <v/>
      </c>
      <c r="F278" s="11" t="str">
        <f>IFERROR(IF('ŞİKAYET KAYIT'!P278="Kapatıldı",'ŞİKAYET KAYIT'!J278,""),"")</f>
        <v/>
      </c>
      <c r="G278" s="11" t="str">
        <f>IFERROR(IF('ŞİKAYET KAYIT'!P278="Kapatıldı",'ŞİKAYET KAYIT'!K278,""),"")</f>
        <v/>
      </c>
      <c r="H278" s="11" t="str">
        <f>IFERROR(IF('ŞİKAYET KAYIT'!P278="Kapatıldı",'ŞİKAYET KAYIT'!L278,""),"")</f>
        <v/>
      </c>
      <c r="I278" s="11" t="str">
        <f>IFERROR(IF('ŞİKAYET KAYIT'!P278="Kapatıldı",'ŞİKAYET KAYIT'!M278,""),"")</f>
        <v/>
      </c>
      <c r="J278" s="11" t="str">
        <f>IFERROR(IF('ŞİKAYET KAYIT'!P278="Kapatıldı",'ŞİKAYET KAYIT'!N278,""),"")</f>
        <v/>
      </c>
      <c r="K278" s="11" t="str">
        <f>IFERROR(IF('ŞİKAYET KAYIT'!P278="Kapatıldı",'ŞİKAYET KAYIT'!O278,""),"")</f>
        <v/>
      </c>
      <c r="L278" s="12" t="str">
        <f>IFERROR(IF('ŞİKAYET KAYIT'!P278="Kapatıldı",'ŞİKAYET KAYIT'!Q278,""),"")</f>
        <v/>
      </c>
      <c r="M278" s="11" t="str">
        <f>IFERROR(IF('ŞİKAYET KAYIT'!P278="Kapatıldı",'ŞİKAYET KAYIT'!R278,""),"")</f>
        <v/>
      </c>
      <c r="N278" s="11"/>
    </row>
    <row r="279" spans="1:14" ht="15" customHeight="1" x14ac:dyDescent="0.3">
      <c r="A279" s="26" t="str">
        <f>IFERROR(IF('ŞİKAYET KAYIT'!P279="Kapatıldı",'ŞİKAYET KAYIT'!A279,""),"")</f>
        <v/>
      </c>
      <c r="B279" s="8" t="str">
        <f>IFERROR(IF('ŞİKAYET KAYIT'!P279="Kapatıldı",'ŞİKAYET KAYIT'!B279,""),"")</f>
        <v/>
      </c>
      <c r="C279" s="26" t="str">
        <f>IFERROR(IF('ŞİKAYET KAYIT'!P279="Kapatıldı",'ŞİKAYET KAYIT'!D279,""),"")</f>
        <v/>
      </c>
      <c r="D279" s="26" t="str">
        <f>IFERROR(IF('ŞİKAYET KAYIT'!P279="Kapatıldı",'ŞİKAYET KAYIT'!F279,""),"")</f>
        <v/>
      </c>
      <c r="E279" s="26" t="str">
        <f>IFERROR(IF('ŞİKAYET KAYIT'!P279="Kapatıldı",'ŞİKAYET KAYIT'!H279,""),"")</f>
        <v/>
      </c>
      <c r="F279" s="26" t="str">
        <f>IFERROR(IF('ŞİKAYET KAYIT'!P279="Kapatıldı",'ŞİKAYET KAYIT'!J279,""),"")</f>
        <v/>
      </c>
      <c r="G279" s="26" t="str">
        <f>IFERROR(IF('ŞİKAYET KAYIT'!P279="Kapatıldı",'ŞİKAYET KAYIT'!K279,""),"")</f>
        <v/>
      </c>
      <c r="H279" s="26" t="str">
        <f>IFERROR(IF('ŞİKAYET KAYIT'!P279="Kapatıldı",'ŞİKAYET KAYIT'!L279,""),"")</f>
        <v/>
      </c>
      <c r="I279" s="26" t="str">
        <f>IFERROR(IF('ŞİKAYET KAYIT'!P279="Kapatıldı",'ŞİKAYET KAYIT'!M279,""),"")</f>
        <v/>
      </c>
      <c r="J279" s="26" t="str">
        <f>IFERROR(IF('ŞİKAYET KAYIT'!P279="Kapatıldı",'ŞİKAYET KAYIT'!N279,""),"")</f>
        <v/>
      </c>
      <c r="K279" s="26" t="str">
        <f>IFERROR(IF('ŞİKAYET KAYIT'!P279="Kapatıldı",'ŞİKAYET KAYIT'!O279,""),"")</f>
        <v/>
      </c>
      <c r="L279" s="8" t="str">
        <f>IFERROR(IF('ŞİKAYET KAYIT'!P279="Kapatıldı",'ŞİKAYET KAYIT'!Q279,""),"")</f>
        <v/>
      </c>
      <c r="M279" s="26" t="str">
        <f>IFERROR(IF('ŞİKAYET KAYIT'!P279="Kapatıldı",'ŞİKAYET KAYIT'!R279,""),"")</f>
        <v/>
      </c>
      <c r="N279" s="26"/>
    </row>
    <row r="280" spans="1:14" ht="15" customHeight="1" x14ac:dyDescent="0.3">
      <c r="A280" s="11" t="str">
        <f>IFERROR(IF('ŞİKAYET KAYIT'!P280="Kapatıldı",'ŞİKAYET KAYIT'!A280,""),"")</f>
        <v/>
      </c>
      <c r="B280" s="12" t="str">
        <f>IFERROR(IF('ŞİKAYET KAYIT'!P280="Kapatıldı",'ŞİKAYET KAYIT'!B280,""),"")</f>
        <v/>
      </c>
      <c r="C280" s="11" t="str">
        <f>IFERROR(IF('ŞİKAYET KAYIT'!P280="Kapatıldı",'ŞİKAYET KAYIT'!D280,""),"")</f>
        <v/>
      </c>
      <c r="D280" s="11" t="str">
        <f>IFERROR(IF('ŞİKAYET KAYIT'!P280="Kapatıldı",'ŞİKAYET KAYIT'!F280,""),"")</f>
        <v/>
      </c>
      <c r="E280" s="11" t="str">
        <f>IFERROR(IF('ŞİKAYET KAYIT'!P280="Kapatıldı",'ŞİKAYET KAYIT'!H280,""),"")</f>
        <v/>
      </c>
      <c r="F280" s="11" t="str">
        <f>IFERROR(IF('ŞİKAYET KAYIT'!P280="Kapatıldı",'ŞİKAYET KAYIT'!J280,""),"")</f>
        <v/>
      </c>
      <c r="G280" s="11" t="str">
        <f>IFERROR(IF('ŞİKAYET KAYIT'!P280="Kapatıldı",'ŞİKAYET KAYIT'!K280,""),"")</f>
        <v/>
      </c>
      <c r="H280" s="11" t="str">
        <f>IFERROR(IF('ŞİKAYET KAYIT'!P280="Kapatıldı",'ŞİKAYET KAYIT'!L280,""),"")</f>
        <v/>
      </c>
      <c r="I280" s="11" t="str">
        <f>IFERROR(IF('ŞİKAYET KAYIT'!P280="Kapatıldı",'ŞİKAYET KAYIT'!M280,""),"")</f>
        <v/>
      </c>
      <c r="J280" s="11" t="str">
        <f>IFERROR(IF('ŞİKAYET KAYIT'!P280="Kapatıldı",'ŞİKAYET KAYIT'!N280,""),"")</f>
        <v/>
      </c>
      <c r="K280" s="11" t="str">
        <f>IFERROR(IF('ŞİKAYET KAYIT'!P280="Kapatıldı",'ŞİKAYET KAYIT'!O280,""),"")</f>
        <v/>
      </c>
      <c r="L280" s="12" t="str">
        <f>IFERROR(IF('ŞİKAYET KAYIT'!P280="Kapatıldı",'ŞİKAYET KAYIT'!Q280,""),"")</f>
        <v/>
      </c>
      <c r="M280" s="11" t="str">
        <f>IFERROR(IF('ŞİKAYET KAYIT'!P280="Kapatıldı",'ŞİKAYET KAYIT'!R280,""),"")</f>
        <v/>
      </c>
      <c r="N280" s="11"/>
    </row>
    <row r="281" spans="1:14" ht="15" customHeight="1" x14ac:dyDescent="0.3">
      <c r="A281" s="26" t="str">
        <f>IFERROR(IF('ŞİKAYET KAYIT'!P281="Kapatıldı",'ŞİKAYET KAYIT'!A281,""),"")</f>
        <v/>
      </c>
      <c r="B281" s="8" t="str">
        <f>IFERROR(IF('ŞİKAYET KAYIT'!P281="Kapatıldı",'ŞİKAYET KAYIT'!B281,""),"")</f>
        <v/>
      </c>
      <c r="C281" s="26" t="str">
        <f>IFERROR(IF('ŞİKAYET KAYIT'!P281="Kapatıldı",'ŞİKAYET KAYIT'!D281,""),"")</f>
        <v/>
      </c>
      <c r="D281" s="26" t="str">
        <f>IFERROR(IF('ŞİKAYET KAYIT'!P281="Kapatıldı",'ŞİKAYET KAYIT'!F281,""),"")</f>
        <v/>
      </c>
      <c r="E281" s="26" t="str">
        <f>IFERROR(IF('ŞİKAYET KAYIT'!P281="Kapatıldı",'ŞİKAYET KAYIT'!H281,""),"")</f>
        <v/>
      </c>
      <c r="F281" s="26" t="str">
        <f>IFERROR(IF('ŞİKAYET KAYIT'!P281="Kapatıldı",'ŞİKAYET KAYIT'!J281,""),"")</f>
        <v/>
      </c>
      <c r="G281" s="26" t="str">
        <f>IFERROR(IF('ŞİKAYET KAYIT'!P281="Kapatıldı",'ŞİKAYET KAYIT'!K281,""),"")</f>
        <v/>
      </c>
      <c r="H281" s="26" t="str">
        <f>IFERROR(IF('ŞİKAYET KAYIT'!P281="Kapatıldı",'ŞİKAYET KAYIT'!L281,""),"")</f>
        <v/>
      </c>
      <c r="I281" s="26" t="str">
        <f>IFERROR(IF('ŞİKAYET KAYIT'!P281="Kapatıldı",'ŞİKAYET KAYIT'!M281,""),"")</f>
        <v/>
      </c>
      <c r="J281" s="26" t="str">
        <f>IFERROR(IF('ŞİKAYET KAYIT'!P281="Kapatıldı",'ŞİKAYET KAYIT'!N281,""),"")</f>
        <v/>
      </c>
      <c r="K281" s="26" t="str">
        <f>IFERROR(IF('ŞİKAYET KAYIT'!P281="Kapatıldı",'ŞİKAYET KAYIT'!O281,""),"")</f>
        <v/>
      </c>
      <c r="L281" s="8" t="str">
        <f>IFERROR(IF('ŞİKAYET KAYIT'!P281="Kapatıldı",'ŞİKAYET KAYIT'!Q281,""),"")</f>
        <v/>
      </c>
      <c r="M281" s="26" t="str">
        <f>IFERROR(IF('ŞİKAYET KAYIT'!P281="Kapatıldı",'ŞİKAYET KAYIT'!R281,""),"")</f>
        <v/>
      </c>
      <c r="N281" s="26"/>
    </row>
    <row r="282" spans="1:14" ht="15" customHeight="1" x14ac:dyDescent="0.3">
      <c r="A282" s="11" t="str">
        <f>IFERROR(IF('ŞİKAYET KAYIT'!P282="Kapatıldı",'ŞİKAYET KAYIT'!A282,""),"")</f>
        <v/>
      </c>
      <c r="B282" s="12" t="str">
        <f>IFERROR(IF('ŞİKAYET KAYIT'!P282="Kapatıldı",'ŞİKAYET KAYIT'!B282,""),"")</f>
        <v/>
      </c>
      <c r="C282" s="11" t="str">
        <f>IFERROR(IF('ŞİKAYET KAYIT'!P282="Kapatıldı",'ŞİKAYET KAYIT'!D282,""),"")</f>
        <v/>
      </c>
      <c r="D282" s="11" t="str">
        <f>IFERROR(IF('ŞİKAYET KAYIT'!P282="Kapatıldı",'ŞİKAYET KAYIT'!F282,""),"")</f>
        <v/>
      </c>
      <c r="E282" s="11" t="str">
        <f>IFERROR(IF('ŞİKAYET KAYIT'!P282="Kapatıldı",'ŞİKAYET KAYIT'!H282,""),"")</f>
        <v/>
      </c>
      <c r="F282" s="11" t="str">
        <f>IFERROR(IF('ŞİKAYET KAYIT'!P282="Kapatıldı",'ŞİKAYET KAYIT'!J282,""),"")</f>
        <v/>
      </c>
      <c r="G282" s="11" t="str">
        <f>IFERROR(IF('ŞİKAYET KAYIT'!P282="Kapatıldı",'ŞİKAYET KAYIT'!K282,""),"")</f>
        <v/>
      </c>
      <c r="H282" s="11" t="str">
        <f>IFERROR(IF('ŞİKAYET KAYIT'!P282="Kapatıldı",'ŞİKAYET KAYIT'!L282,""),"")</f>
        <v/>
      </c>
      <c r="I282" s="11" t="str">
        <f>IFERROR(IF('ŞİKAYET KAYIT'!P282="Kapatıldı",'ŞİKAYET KAYIT'!M282,""),"")</f>
        <v/>
      </c>
      <c r="J282" s="11" t="str">
        <f>IFERROR(IF('ŞİKAYET KAYIT'!P282="Kapatıldı",'ŞİKAYET KAYIT'!N282,""),"")</f>
        <v/>
      </c>
      <c r="K282" s="11" t="str">
        <f>IFERROR(IF('ŞİKAYET KAYIT'!P282="Kapatıldı",'ŞİKAYET KAYIT'!O282,""),"")</f>
        <v/>
      </c>
      <c r="L282" s="12" t="str">
        <f>IFERROR(IF('ŞİKAYET KAYIT'!P282="Kapatıldı",'ŞİKAYET KAYIT'!Q282,""),"")</f>
        <v/>
      </c>
      <c r="M282" s="11" t="str">
        <f>IFERROR(IF('ŞİKAYET KAYIT'!P282="Kapatıldı",'ŞİKAYET KAYIT'!R282,""),"")</f>
        <v/>
      </c>
      <c r="N282" s="11"/>
    </row>
    <row r="283" spans="1:14" ht="15" customHeight="1" x14ac:dyDescent="0.3">
      <c r="A283" s="26" t="str">
        <f>IFERROR(IF('ŞİKAYET KAYIT'!P283="Kapatıldı",'ŞİKAYET KAYIT'!A283,""),"")</f>
        <v/>
      </c>
      <c r="B283" s="8" t="str">
        <f>IFERROR(IF('ŞİKAYET KAYIT'!P283="Kapatıldı",'ŞİKAYET KAYIT'!B283,""),"")</f>
        <v/>
      </c>
      <c r="C283" s="26" t="str">
        <f>IFERROR(IF('ŞİKAYET KAYIT'!P283="Kapatıldı",'ŞİKAYET KAYIT'!D283,""),"")</f>
        <v/>
      </c>
      <c r="D283" s="26" t="str">
        <f>IFERROR(IF('ŞİKAYET KAYIT'!P283="Kapatıldı",'ŞİKAYET KAYIT'!F283,""),"")</f>
        <v/>
      </c>
      <c r="E283" s="26" t="str">
        <f>IFERROR(IF('ŞİKAYET KAYIT'!P283="Kapatıldı",'ŞİKAYET KAYIT'!H283,""),"")</f>
        <v/>
      </c>
      <c r="F283" s="26" t="str">
        <f>IFERROR(IF('ŞİKAYET KAYIT'!P283="Kapatıldı",'ŞİKAYET KAYIT'!J283,""),"")</f>
        <v/>
      </c>
      <c r="G283" s="26" t="str">
        <f>IFERROR(IF('ŞİKAYET KAYIT'!P283="Kapatıldı",'ŞİKAYET KAYIT'!K283,""),"")</f>
        <v/>
      </c>
      <c r="H283" s="26" t="str">
        <f>IFERROR(IF('ŞİKAYET KAYIT'!P283="Kapatıldı",'ŞİKAYET KAYIT'!L283,""),"")</f>
        <v/>
      </c>
      <c r="I283" s="26" t="str">
        <f>IFERROR(IF('ŞİKAYET KAYIT'!P283="Kapatıldı",'ŞİKAYET KAYIT'!M283,""),"")</f>
        <v/>
      </c>
      <c r="J283" s="26" t="str">
        <f>IFERROR(IF('ŞİKAYET KAYIT'!P283="Kapatıldı",'ŞİKAYET KAYIT'!N283,""),"")</f>
        <v/>
      </c>
      <c r="K283" s="26" t="str">
        <f>IFERROR(IF('ŞİKAYET KAYIT'!P283="Kapatıldı",'ŞİKAYET KAYIT'!O283,""),"")</f>
        <v/>
      </c>
      <c r="L283" s="8" t="str">
        <f>IFERROR(IF('ŞİKAYET KAYIT'!P283="Kapatıldı",'ŞİKAYET KAYIT'!Q283,""),"")</f>
        <v/>
      </c>
      <c r="M283" s="26" t="str">
        <f>IFERROR(IF('ŞİKAYET KAYIT'!P283="Kapatıldı",'ŞİKAYET KAYIT'!R283,""),"")</f>
        <v/>
      </c>
      <c r="N283" s="26"/>
    </row>
    <row r="284" spans="1:14" ht="15" customHeight="1" x14ac:dyDescent="0.3">
      <c r="A284" s="11" t="str">
        <f>IFERROR(IF('ŞİKAYET KAYIT'!P284="Kapatıldı",'ŞİKAYET KAYIT'!A284,""),"")</f>
        <v/>
      </c>
      <c r="B284" s="12" t="str">
        <f>IFERROR(IF('ŞİKAYET KAYIT'!P284="Kapatıldı",'ŞİKAYET KAYIT'!B284,""),"")</f>
        <v/>
      </c>
      <c r="C284" s="11" t="str">
        <f>IFERROR(IF('ŞİKAYET KAYIT'!P284="Kapatıldı",'ŞİKAYET KAYIT'!D284,""),"")</f>
        <v/>
      </c>
      <c r="D284" s="11" t="str">
        <f>IFERROR(IF('ŞİKAYET KAYIT'!P284="Kapatıldı",'ŞİKAYET KAYIT'!F284,""),"")</f>
        <v/>
      </c>
      <c r="E284" s="11" t="str">
        <f>IFERROR(IF('ŞİKAYET KAYIT'!P284="Kapatıldı",'ŞİKAYET KAYIT'!H284,""),"")</f>
        <v/>
      </c>
      <c r="F284" s="11" t="str">
        <f>IFERROR(IF('ŞİKAYET KAYIT'!P284="Kapatıldı",'ŞİKAYET KAYIT'!J284,""),"")</f>
        <v/>
      </c>
      <c r="G284" s="11" t="str">
        <f>IFERROR(IF('ŞİKAYET KAYIT'!P284="Kapatıldı",'ŞİKAYET KAYIT'!K284,""),"")</f>
        <v/>
      </c>
      <c r="H284" s="11" t="str">
        <f>IFERROR(IF('ŞİKAYET KAYIT'!P284="Kapatıldı",'ŞİKAYET KAYIT'!L284,""),"")</f>
        <v/>
      </c>
      <c r="I284" s="11" t="str">
        <f>IFERROR(IF('ŞİKAYET KAYIT'!P284="Kapatıldı",'ŞİKAYET KAYIT'!M284,""),"")</f>
        <v/>
      </c>
      <c r="J284" s="11" t="str">
        <f>IFERROR(IF('ŞİKAYET KAYIT'!P284="Kapatıldı",'ŞİKAYET KAYIT'!N284,""),"")</f>
        <v/>
      </c>
      <c r="K284" s="11" t="str">
        <f>IFERROR(IF('ŞİKAYET KAYIT'!P284="Kapatıldı",'ŞİKAYET KAYIT'!O284,""),"")</f>
        <v/>
      </c>
      <c r="L284" s="12" t="str">
        <f>IFERROR(IF('ŞİKAYET KAYIT'!P284="Kapatıldı",'ŞİKAYET KAYIT'!Q284,""),"")</f>
        <v/>
      </c>
      <c r="M284" s="11" t="str">
        <f>IFERROR(IF('ŞİKAYET KAYIT'!P284="Kapatıldı",'ŞİKAYET KAYIT'!R284,""),"")</f>
        <v/>
      </c>
      <c r="N284" s="11"/>
    </row>
    <row r="285" spans="1:14" ht="15" customHeight="1" x14ac:dyDescent="0.3">
      <c r="A285" s="26" t="str">
        <f>IFERROR(IF('ŞİKAYET KAYIT'!P285="Kapatıldı",'ŞİKAYET KAYIT'!A285,""),"")</f>
        <v/>
      </c>
      <c r="B285" s="8" t="str">
        <f>IFERROR(IF('ŞİKAYET KAYIT'!P285="Kapatıldı",'ŞİKAYET KAYIT'!B285,""),"")</f>
        <v/>
      </c>
      <c r="C285" s="26" t="str">
        <f>IFERROR(IF('ŞİKAYET KAYIT'!P285="Kapatıldı",'ŞİKAYET KAYIT'!D285,""),"")</f>
        <v/>
      </c>
      <c r="D285" s="26" t="str">
        <f>IFERROR(IF('ŞİKAYET KAYIT'!P285="Kapatıldı",'ŞİKAYET KAYIT'!F285,""),"")</f>
        <v/>
      </c>
      <c r="E285" s="26" t="str">
        <f>IFERROR(IF('ŞİKAYET KAYIT'!P285="Kapatıldı",'ŞİKAYET KAYIT'!H285,""),"")</f>
        <v/>
      </c>
      <c r="F285" s="26" t="str">
        <f>IFERROR(IF('ŞİKAYET KAYIT'!P285="Kapatıldı",'ŞİKAYET KAYIT'!J285,""),"")</f>
        <v/>
      </c>
      <c r="G285" s="26" t="str">
        <f>IFERROR(IF('ŞİKAYET KAYIT'!P285="Kapatıldı",'ŞİKAYET KAYIT'!K285,""),"")</f>
        <v/>
      </c>
      <c r="H285" s="26" t="str">
        <f>IFERROR(IF('ŞİKAYET KAYIT'!P285="Kapatıldı",'ŞİKAYET KAYIT'!L285,""),"")</f>
        <v/>
      </c>
      <c r="I285" s="26" t="str">
        <f>IFERROR(IF('ŞİKAYET KAYIT'!P285="Kapatıldı",'ŞİKAYET KAYIT'!M285,""),"")</f>
        <v/>
      </c>
      <c r="J285" s="26" t="str">
        <f>IFERROR(IF('ŞİKAYET KAYIT'!P285="Kapatıldı",'ŞİKAYET KAYIT'!N285,""),"")</f>
        <v/>
      </c>
      <c r="K285" s="26" t="str">
        <f>IFERROR(IF('ŞİKAYET KAYIT'!P285="Kapatıldı",'ŞİKAYET KAYIT'!O285,""),"")</f>
        <v/>
      </c>
      <c r="L285" s="8" t="str">
        <f>IFERROR(IF('ŞİKAYET KAYIT'!P285="Kapatıldı",'ŞİKAYET KAYIT'!Q285,""),"")</f>
        <v/>
      </c>
      <c r="M285" s="26" t="str">
        <f>IFERROR(IF('ŞİKAYET KAYIT'!P285="Kapatıldı",'ŞİKAYET KAYIT'!R285,""),"")</f>
        <v/>
      </c>
      <c r="N285" s="26"/>
    </row>
    <row r="286" spans="1:14" ht="15" customHeight="1" x14ac:dyDescent="0.3">
      <c r="A286" s="11" t="str">
        <f>IFERROR(IF('ŞİKAYET KAYIT'!P286="Kapatıldı",'ŞİKAYET KAYIT'!A286,""),"")</f>
        <v/>
      </c>
      <c r="B286" s="12" t="str">
        <f>IFERROR(IF('ŞİKAYET KAYIT'!P286="Kapatıldı",'ŞİKAYET KAYIT'!B286,""),"")</f>
        <v/>
      </c>
      <c r="C286" s="11" t="str">
        <f>IFERROR(IF('ŞİKAYET KAYIT'!P286="Kapatıldı",'ŞİKAYET KAYIT'!D286,""),"")</f>
        <v/>
      </c>
      <c r="D286" s="11" t="str">
        <f>IFERROR(IF('ŞİKAYET KAYIT'!P286="Kapatıldı",'ŞİKAYET KAYIT'!F286,""),"")</f>
        <v/>
      </c>
      <c r="E286" s="11" t="str">
        <f>IFERROR(IF('ŞİKAYET KAYIT'!P286="Kapatıldı",'ŞİKAYET KAYIT'!H286,""),"")</f>
        <v/>
      </c>
      <c r="F286" s="11" t="str">
        <f>IFERROR(IF('ŞİKAYET KAYIT'!P286="Kapatıldı",'ŞİKAYET KAYIT'!J286,""),"")</f>
        <v/>
      </c>
      <c r="G286" s="11" t="str">
        <f>IFERROR(IF('ŞİKAYET KAYIT'!P286="Kapatıldı",'ŞİKAYET KAYIT'!K286,""),"")</f>
        <v/>
      </c>
      <c r="H286" s="11" t="str">
        <f>IFERROR(IF('ŞİKAYET KAYIT'!P286="Kapatıldı",'ŞİKAYET KAYIT'!L286,""),"")</f>
        <v/>
      </c>
      <c r="I286" s="11" t="str">
        <f>IFERROR(IF('ŞİKAYET KAYIT'!P286="Kapatıldı",'ŞİKAYET KAYIT'!M286,""),"")</f>
        <v/>
      </c>
      <c r="J286" s="11" t="str">
        <f>IFERROR(IF('ŞİKAYET KAYIT'!P286="Kapatıldı",'ŞİKAYET KAYIT'!N286,""),"")</f>
        <v/>
      </c>
      <c r="K286" s="11" t="str">
        <f>IFERROR(IF('ŞİKAYET KAYIT'!P286="Kapatıldı",'ŞİKAYET KAYIT'!O286,""),"")</f>
        <v/>
      </c>
      <c r="L286" s="12" t="str">
        <f>IFERROR(IF('ŞİKAYET KAYIT'!P286="Kapatıldı",'ŞİKAYET KAYIT'!Q286,""),"")</f>
        <v/>
      </c>
      <c r="M286" s="11" t="str">
        <f>IFERROR(IF('ŞİKAYET KAYIT'!P286="Kapatıldı",'ŞİKAYET KAYIT'!R286,""),"")</f>
        <v/>
      </c>
      <c r="N286" s="11"/>
    </row>
    <row r="287" spans="1:14" ht="15" customHeight="1" x14ac:dyDescent="0.3">
      <c r="A287" s="26" t="str">
        <f>IFERROR(IF('ŞİKAYET KAYIT'!P287="Kapatıldı",'ŞİKAYET KAYIT'!A287,""),"")</f>
        <v/>
      </c>
      <c r="B287" s="8" t="str">
        <f>IFERROR(IF('ŞİKAYET KAYIT'!P287="Kapatıldı",'ŞİKAYET KAYIT'!B287,""),"")</f>
        <v/>
      </c>
      <c r="C287" s="26" t="str">
        <f>IFERROR(IF('ŞİKAYET KAYIT'!P287="Kapatıldı",'ŞİKAYET KAYIT'!D287,""),"")</f>
        <v/>
      </c>
      <c r="D287" s="26" t="str">
        <f>IFERROR(IF('ŞİKAYET KAYIT'!P287="Kapatıldı",'ŞİKAYET KAYIT'!F287,""),"")</f>
        <v/>
      </c>
      <c r="E287" s="26" t="str">
        <f>IFERROR(IF('ŞİKAYET KAYIT'!P287="Kapatıldı",'ŞİKAYET KAYIT'!H287,""),"")</f>
        <v/>
      </c>
      <c r="F287" s="26" t="str">
        <f>IFERROR(IF('ŞİKAYET KAYIT'!P287="Kapatıldı",'ŞİKAYET KAYIT'!J287,""),"")</f>
        <v/>
      </c>
      <c r="G287" s="26" t="str">
        <f>IFERROR(IF('ŞİKAYET KAYIT'!P287="Kapatıldı",'ŞİKAYET KAYIT'!K287,""),"")</f>
        <v/>
      </c>
      <c r="H287" s="26" t="str">
        <f>IFERROR(IF('ŞİKAYET KAYIT'!P287="Kapatıldı",'ŞİKAYET KAYIT'!L287,""),"")</f>
        <v/>
      </c>
      <c r="I287" s="26" t="str">
        <f>IFERROR(IF('ŞİKAYET KAYIT'!P287="Kapatıldı",'ŞİKAYET KAYIT'!M287,""),"")</f>
        <v/>
      </c>
      <c r="J287" s="26" t="str">
        <f>IFERROR(IF('ŞİKAYET KAYIT'!P287="Kapatıldı",'ŞİKAYET KAYIT'!N287,""),"")</f>
        <v/>
      </c>
      <c r="K287" s="26" t="str">
        <f>IFERROR(IF('ŞİKAYET KAYIT'!P287="Kapatıldı",'ŞİKAYET KAYIT'!O287,""),"")</f>
        <v/>
      </c>
      <c r="L287" s="8" t="str">
        <f>IFERROR(IF('ŞİKAYET KAYIT'!P287="Kapatıldı",'ŞİKAYET KAYIT'!Q287,""),"")</f>
        <v/>
      </c>
      <c r="M287" s="26" t="str">
        <f>IFERROR(IF('ŞİKAYET KAYIT'!P287="Kapatıldı",'ŞİKAYET KAYIT'!R287,""),"")</f>
        <v/>
      </c>
      <c r="N287" s="26"/>
    </row>
    <row r="288" spans="1:14" ht="15" customHeight="1" x14ac:dyDescent="0.3">
      <c r="A288" s="11" t="str">
        <f>IFERROR(IF('ŞİKAYET KAYIT'!P288="Kapatıldı",'ŞİKAYET KAYIT'!A288,""),"")</f>
        <v/>
      </c>
      <c r="B288" s="12" t="str">
        <f>IFERROR(IF('ŞİKAYET KAYIT'!P288="Kapatıldı",'ŞİKAYET KAYIT'!B288,""),"")</f>
        <v/>
      </c>
      <c r="C288" s="11" t="str">
        <f>IFERROR(IF('ŞİKAYET KAYIT'!P288="Kapatıldı",'ŞİKAYET KAYIT'!D288,""),"")</f>
        <v/>
      </c>
      <c r="D288" s="11" t="str">
        <f>IFERROR(IF('ŞİKAYET KAYIT'!P288="Kapatıldı",'ŞİKAYET KAYIT'!F288,""),"")</f>
        <v/>
      </c>
      <c r="E288" s="11" t="str">
        <f>IFERROR(IF('ŞİKAYET KAYIT'!P288="Kapatıldı",'ŞİKAYET KAYIT'!H288,""),"")</f>
        <v/>
      </c>
      <c r="F288" s="11" t="str">
        <f>IFERROR(IF('ŞİKAYET KAYIT'!P288="Kapatıldı",'ŞİKAYET KAYIT'!J288,""),"")</f>
        <v/>
      </c>
      <c r="G288" s="11" t="str">
        <f>IFERROR(IF('ŞİKAYET KAYIT'!P288="Kapatıldı",'ŞİKAYET KAYIT'!K288,""),"")</f>
        <v/>
      </c>
      <c r="H288" s="11" t="str">
        <f>IFERROR(IF('ŞİKAYET KAYIT'!P288="Kapatıldı",'ŞİKAYET KAYIT'!L288,""),"")</f>
        <v/>
      </c>
      <c r="I288" s="11" t="str">
        <f>IFERROR(IF('ŞİKAYET KAYIT'!P288="Kapatıldı",'ŞİKAYET KAYIT'!M288,""),"")</f>
        <v/>
      </c>
      <c r="J288" s="11" t="str">
        <f>IFERROR(IF('ŞİKAYET KAYIT'!P288="Kapatıldı",'ŞİKAYET KAYIT'!N288,""),"")</f>
        <v/>
      </c>
      <c r="K288" s="11" t="str">
        <f>IFERROR(IF('ŞİKAYET KAYIT'!P288="Kapatıldı",'ŞİKAYET KAYIT'!O288,""),"")</f>
        <v/>
      </c>
      <c r="L288" s="12" t="str">
        <f>IFERROR(IF('ŞİKAYET KAYIT'!P288="Kapatıldı",'ŞİKAYET KAYIT'!Q288,""),"")</f>
        <v/>
      </c>
      <c r="M288" s="11" t="str">
        <f>IFERROR(IF('ŞİKAYET KAYIT'!P288="Kapatıldı",'ŞİKAYET KAYIT'!R288,""),"")</f>
        <v/>
      </c>
      <c r="N288" s="11"/>
    </row>
    <row r="289" spans="1:14" ht="15" customHeight="1" x14ac:dyDescent="0.3">
      <c r="A289" s="26" t="str">
        <f>IFERROR(IF('ŞİKAYET KAYIT'!P289="Kapatıldı",'ŞİKAYET KAYIT'!A289,""),"")</f>
        <v/>
      </c>
      <c r="B289" s="8" t="str">
        <f>IFERROR(IF('ŞİKAYET KAYIT'!P289="Kapatıldı",'ŞİKAYET KAYIT'!B289,""),"")</f>
        <v/>
      </c>
      <c r="C289" s="26" t="str">
        <f>IFERROR(IF('ŞİKAYET KAYIT'!P289="Kapatıldı",'ŞİKAYET KAYIT'!D289,""),"")</f>
        <v/>
      </c>
      <c r="D289" s="26" t="str">
        <f>IFERROR(IF('ŞİKAYET KAYIT'!P289="Kapatıldı",'ŞİKAYET KAYIT'!F289,""),"")</f>
        <v/>
      </c>
      <c r="E289" s="26" t="str">
        <f>IFERROR(IF('ŞİKAYET KAYIT'!P289="Kapatıldı",'ŞİKAYET KAYIT'!H289,""),"")</f>
        <v/>
      </c>
      <c r="F289" s="26" t="str">
        <f>IFERROR(IF('ŞİKAYET KAYIT'!P289="Kapatıldı",'ŞİKAYET KAYIT'!J289,""),"")</f>
        <v/>
      </c>
      <c r="G289" s="26" t="str">
        <f>IFERROR(IF('ŞİKAYET KAYIT'!P289="Kapatıldı",'ŞİKAYET KAYIT'!K289,""),"")</f>
        <v/>
      </c>
      <c r="H289" s="26" t="str">
        <f>IFERROR(IF('ŞİKAYET KAYIT'!P289="Kapatıldı",'ŞİKAYET KAYIT'!L289,""),"")</f>
        <v/>
      </c>
      <c r="I289" s="26" t="str">
        <f>IFERROR(IF('ŞİKAYET KAYIT'!P289="Kapatıldı",'ŞİKAYET KAYIT'!M289,""),"")</f>
        <v/>
      </c>
      <c r="J289" s="26" t="str">
        <f>IFERROR(IF('ŞİKAYET KAYIT'!P289="Kapatıldı",'ŞİKAYET KAYIT'!N289,""),"")</f>
        <v/>
      </c>
      <c r="K289" s="26" t="str">
        <f>IFERROR(IF('ŞİKAYET KAYIT'!P289="Kapatıldı",'ŞİKAYET KAYIT'!O289,""),"")</f>
        <v/>
      </c>
      <c r="L289" s="8" t="str">
        <f>IFERROR(IF('ŞİKAYET KAYIT'!P289="Kapatıldı",'ŞİKAYET KAYIT'!Q289,""),"")</f>
        <v/>
      </c>
      <c r="M289" s="26" t="str">
        <f>IFERROR(IF('ŞİKAYET KAYIT'!P289="Kapatıldı",'ŞİKAYET KAYIT'!R289,""),"")</f>
        <v/>
      </c>
      <c r="N289" s="26"/>
    </row>
    <row r="290" spans="1:14" ht="15" customHeight="1" x14ac:dyDescent="0.3">
      <c r="A290" s="11" t="str">
        <f>IFERROR(IF('ŞİKAYET KAYIT'!P290="Kapatıldı",'ŞİKAYET KAYIT'!A290,""),"")</f>
        <v/>
      </c>
      <c r="B290" s="12" t="str">
        <f>IFERROR(IF('ŞİKAYET KAYIT'!P290="Kapatıldı",'ŞİKAYET KAYIT'!B290,""),"")</f>
        <v/>
      </c>
      <c r="C290" s="11" t="str">
        <f>IFERROR(IF('ŞİKAYET KAYIT'!P290="Kapatıldı",'ŞİKAYET KAYIT'!D290,""),"")</f>
        <v/>
      </c>
      <c r="D290" s="11" t="str">
        <f>IFERROR(IF('ŞİKAYET KAYIT'!P290="Kapatıldı",'ŞİKAYET KAYIT'!F290,""),"")</f>
        <v/>
      </c>
      <c r="E290" s="11" t="str">
        <f>IFERROR(IF('ŞİKAYET KAYIT'!P290="Kapatıldı",'ŞİKAYET KAYIT'!H290,""),"")</f>
        <v/>
      </c>
      <c r="F290" s="11" t="str">
        <f>IFERROR(IF('ŞİKAYET KAYIT'!P290="Kapatıldı",'ŞİKAYET KAYIT'!J290,""),"")</f>
        <v/>
      </c>
      <c r="G290" s="11" t="str">
        <f>IFERROR(IF('ŞİKAYET KAYIT'!P290="Kapatıldı",'ŞİKAYET KAYIT'!K290,""),"")</f>
        <v/>
      </c>
      <c r="H290" s="11" t="str">
        <f>IFERROR(IF('ŞİKAYET KAYIT'!P290="Kapatıldı",'ŞİKAYET KAYIT'!L290,""),"")</f>
        <v/>
      </c>
      <c r="I290" s="11" t="str">
        <f>IFERROR(IF('ŞİKAYET KAYIT'!P290="Kapatıldı",'ŞİKAYET KAYIT'!M290,""),"")</f>
        <v/>
      </c>
      <c r="J290" s="11" t="str">
        <f>IFERROR(IF('ŞİKAYET KAYIT'!P290="Kapatıldı",'ŞİKAYET KAYIT'!N290,""),"")</f>
        <v/>
      </c>
      <c r="K290" s="11" t="str">
        <f>IFERROR(IF('ŞİKAYET KAYIT'!P290="Kapatıldı",'ŞİKAYET KAYIT'!O290,""),"")</f>
        <v/>
      </c>
      <c r="L290" s="12" t="str">
        <f>IFERROR(IF('ŞİKAYET KAYIT'!P290="Kapatıldı",'ŞİKAYET KAYIT'!Q290,""),"")</f>
        <v/>
      </c>
      <c r="M290" s="11" t="str">
        <f>IFERROR(IF('ŞİKAYET KAYIT'!P290="Kapatıldı",'ŞİKAYET KAYIT'!R290,""),"")</f>
        <v/>
      </c>
      <c r="N290" s="11"/>
    </row>
    <row r="291" spans="1:14" ht="15" customHeight="1" x14ac:dyDescent="0.3">
      <c r="A291" s="26" t="str">
        <f>IFERROR(IF('ŞİKAYET KAYIT'!P291="Kapatıldı",'ŞİKAYET KAYIT'!A291,""),"")</f>
        <v/>
      </c>
      <c r="B291" s="8" t="str">
        <f>IFERROR(IF('ŞİKAYET KAYIT'!P291="Kapatıldı",'ŞİKAYET KAYIT'!B291,""),"")</f>
        <v/>
      </c>
      <c r="C291" s="26" t="str">
        <f>IFERROR(IF('ŞİKAYET KAYIT'!P291="Kapatıldı",'ŞİKAYET KAYIT'!D291,""),"")</f>
        <v/>
      </c>
      <c r="D291" s="26" t="str">
        <f>IFERROR(IF('ŞİKAYET KAYIT'!P291="Kapatıldı",'ŞİKAYET KAYIT'!F291,""),"")</f>
        <v/>
      </c>
      <c r="E291" s="26" t="str">
        <f>IFERROR(IF('ŞİKAYET KAYIT'!P291="Kapatıldı",'ŞİKAYET KAYIT'!H291,""),"")</f>
        <v/>
      </c>
      <c r="F291" s="26" t="str">
        <f>IFERROR(IF('ŞİKAYET KAYIT'!P291="Kapatıldı",'ŞİKAYET KAYIT'!J291,""),"")</f>
        <v/>
      </c>
      <c r="G291" s="26" t="str">
        <f>IFERROR(IF('ŞİKAYET KAYIT'!P291="Kapatıldı",'ŞİKAYET KAYIT'!K291,""),"")</f>
        <v/>
      </c>
      <c r="H291" s="26" t="str">
        <f>IFERROR(IF('ŞİKAYET KAYIT'!P291="Kapatıldı",'ŞİKAYET KAYIT'!L291,""),"")</f>
        <v/>
      </c>
      <c r="I291" s="26" t="str">
        <f>IFERROR(IF('ŞİKAYET KAYIT'!P291="Kapatıldı",'ŞİKAYET KAYIT'!M291,""),"")</f>
        <v/>
      </c>
      <c r="J291" s="26" t="str">
        <f>IFERROR(IF('ŞİKAYET KAYIT'!P291="Kapatıldı",'ŞİKAYET KAYIT'!N291,""),"")</f>
        <v/>
      </c>
      <c r="K291" s="26" t="str">
        <f>IFERROR(IF('ŞİKAYET KAYIT'!P291="Kapatıldı",'ŞİKAYET KAYIT'!O291,""),"")</f>
        <v/>
      </c>
      <c r="L291" s="8" t="str">
        <f>IFERROR(IF('ŞİKAYET KAYIT'!P291="Kapatıldı",'ŞİKAYET KAYIT'!Q291,""),"")</f>
        <v/>
      </c>
      <c r="M291" s="26" t="str">
        <f>IFERROR(IF('ŞİKAYET KAYIT'!P291="Kapatıldı",'ŞİKAYET KAYIT'!R291,""),"")</f>
        <v/>
      </c>
      <c r="N291" s="26"/>
    </row>
    <row r="292" spans="1:14" ht="15" customHeight="1" x14ac:dyDescent="0.3">
      <c r="A292" s="11" t="str">
        <f>IFERROR(IF('ŞİKAYET KAYIT'!P292="Kapatıldı",'ŞİKAYET KAYIT'!A292,""),"")</f>
        <v/>
      </c>
      <c r="B292" s="12" t="str">
        <f>IFERROR(IF('ŞİKAYET KAYIT'!P292="Kapatıldı",'ŞİKAYET KAYIT'!B292,""),"")</f>
        <v/>
      </c>
      <c r="C292" s="11" t="str">
        <f>IFERROR(IF('ŞİKAYET KAYIT'!P292="Kapatıldı",'ŞİKAYET KAYIT'!D292,""),"")</f>
        <v/>
      </c>
      <c r="D292" s="11" t="str">
        <f>IFERROR(IF('ŞİKAYET KAYIT'!P292="Kapatıldı",'ŞİKAYET KAYIT'!F292,""),"")</f>
        <v/>
      </c>
      <c r="E292" s="11" t="str">
        <f>IFERROR(IF('ŞİKAYET KAYIT'!P292="Kapatıldı",'ŞİKAYET KAYIT'!H292,""),"")</f>
        <v/>
      </c>
      <c r="F292" s="11" t="str">
        <f>IFERROR(IF('ŞİKAYET KAYIT'!P292="Kapatıldı",'ŞİKAYET KAYIT'!J292,""),"")</f>
        <v/>
      </c>
      <c r="G292" s="11" t="str">
        <f>IFERROR(IF('ŞİKAYET KAYIT'!P292="Kapatıldı",'ŞİKAYET KAYIT'!K292,""),"")</f>
        <v/>
      </c>
      <c r="H292" s="11" t="str">
        <f>IFERROR(IF('ŞİKAYET KAYIT'!P292="Kapatıldı",'ŞİKAYET KAYIT'!L292,""),"")</f>
        <v/>
      </c>
      <c r="I292" s="11" t="str">
        <f>IFERROR(IF('ŞİKAYET KAYIT'!P292="Kapatıldı",'ŞİKAYET KAYIT'!M292,""),"")</f>
        <v/>
      </c>
      <c r="J292" s="11" t="str">
        <f>IFERROR(IF('ŞİKAYET KAYIT'!P292="Kapatıldı",'ŞİKAYET KAYIT'!N292,""),"")</f>
        <v/>
      </c>
      <c r="K292" s="11" t="str">
        <f>IFERROR(IF('ŞİKAYET KAYIT'!P292="Kapatıldı",'ŞİKAYET KAYIT'!O292,""),"")</f>
        <v/>
      </c>
      <c r="L292" s="12" t="str">
        <f>IFERROR(IF('ŞİKAYET KAYIT'!P292="Kapatıldı",'ŞİKAYET KAYIT'!Q292,""),"")</f>
        <v/>
      </c>
      <c r="M292" s="11" t="str">
        <f>IFERROR(IF('ŞİKAYET KAYIT'!P292="Kapatıldı",'ŞİKAYET KAYIT'!R292,""),"")</f>
        <v/>
      </c>
      <c r="N292" s="11"/>
    </row>
    <row r="293" spans="1:14" ht="15" customHeight="1" x14ac:dyDescent="0.3">
      <c r="A293" s="26" t="str">
        <f>IFERROR(IF('ŞİKAYET KAYIT'!P293="Kapatıldı",'ŞİKAYET KAYIT'!A293,""),"")</f>
        <v/>
      </c>
      <c r="B293" s="8" t="str">
        <f>IFERROR(IF('ŞİKAYET KAYIT'!P293="Kapatıldı",'ŞİKAYET KAYIT'!B293,""),"")</f>
        <v/>
      </c>
      <c r="C293" s="26" t="str">
        <f>IFERROR(IF('ŞİKAYET KAYIT'!P293="Kapatıldı",'ŞİKAYET KAYIT'!D293,""),"")</f>
        <v/>
      </c>
      <c r="D293" s="26" t="str">
        <f>IFERROR(IF('ŞİKAYET KAYIT'!P293="Kapatıldı",'ŞİKAYET KAYIT'!F293,""),"")</f>
        <v/>
      </c>
      <c r="E293" s="26" t="str">
        <f>IFERROR(IF('ŞİKAYET KAYIT'!P293="Kapatıldı",'ŞİKAYET KAYIT'!H293,""),"")</f>
        <v/>
      </c>
      <c r="F293" s="26" t="str">
        <f>IFERROR(IF('ŞİKAYET KAYIT'!P293="Kapatıldı",'ŞİKAYET KAYIT'!J293,""),"")</f>
        <v/>
      </c>
      <c r="G293" s="26" t="str">
        <f>IFERROR(IF('ŞİKAYET KAYIT'!P293="Kapatıldı",'ŞİKAYET KAYIT'!K293,""),"")</f>
        <v/>
      </c>
      <c r="H293" s="26" t="str">
        <f>IFERROR(IF('ŞİKAYET KAYIT'!P293="Kapatıldı",'ŞİKAYET KAYIT'!L293,""),"")</f>
        <v/>
      </c>
      <c r="I293" s="26" t="str">
        <f>IFERROR(IF('ŞİKAYET KAYIT'!P293="Kapatıldı",'ŞİKAYET KAYIT'!M293,""),"")</f>
        <v/>
      </c>
      <c r="J293" s="26" t="str">
        <f>IFERROR(IF('ŞİKAYET KAYIT'!P293="Kapatıldı",'ŞİKAYET KAYIT'!N293,""),"")</f>
        <v/>
      </c>
      <c r="K293" s="26" t="str">
        <f>IFERROR(IF('ŞİKAYET KAYIT'!P293="Kapatıldı",'ŞİKAYET KAYIT'!O293,""),"")</f>
        <v/>
      </c>
      <c r="L293" s="8" t="str">
        <f>IFERROR(IF('ŞİKAYET KAYIT'!P293="Kapatıldı",'ŞİKAYET KAYIT'!Q293,""),"")</f>
        <v/>
      </c>
      <c r="M293" s="26" t="str">
        <f>IFERROR(IF('ŞİKAYET KAYIT'!P293="Kapatıldı",'ŞİKAYET KAYIT'!R293,""),"")</f>
        <v/>
      </c>
      <c r="N293" s="26"/>
    </row>
    <row r="294" spans="1:14" ht="15" customHeight="1" x14ac:dyDescent="0.3">
      <c r="A294" s="11" t="str">
        <f>IFERROR(IF('ŞİKAYET KAYIT'!P294="Kapatıldı",'ŞİKAYET KAYIT'!A294,""),"")</f>
        <v/>
      </c>
      <c r="B294" s="12" t="str">
        <f>IFERROR(IF('ŞİKAYET KAYIT'!P294="Kapatıldı",'ŞİKAYET KAYIT'!B294,""),"")</f>
        <v/>
      </c>
      <c r="C294" s="11" t="str">
        <f>IFERROR(IF('ŞİKAYET KAYIT'!P294="Kapatıldı",'ŞİKAYET KAYIT'!D294,""),"")</f>
        <v/>
      </c>
      <c r="D294" s="11" t="str">
        <f>IFERROR(IF('ŞİKAYET KAYIT'!P294="Kapatıldı",'ŞİKAYET KAYIT'!F294,""),"")</f>
        <v/>
      </c>
      <c r="E294" s="11" t="str">
        <f>IFERROR(IF('ŞİKAYET KAYIT'!P294="Kapatıldı",'ŞİKAYET KAYIT'!H294,""),"")</f>
        <v/>
      </c>
      <c r="F294" s="11" t="str">
        <f>IFERROR(IF('ŞİKAYET KAYIT'!P294="Kapatıldı",'ŞİKAYET KAYIT'!J294,""),"")</f>
        <v/>
      </c>
      <c r="G294" s="11" t="str">
        <f>IFERROR(IF('ŞİKAYET KAYIT'!P294="Kapatıldı",'ŞİKAYET KAYIT'!K294,""),"")</f>
        <v/>
      </c>
      <c r="H294" s="11" t="str">
        <f>IFERROR(IF('ŞİKAYET KAYIT'!P294="Kapatıldı",'ŞİKAYET KAYIT'!L294,""),"")</f>
        <v/>
      </c>
      <c r="I294" s="11" t="str">
        <f>IFERROR(IF('ŞİKAYET KAYIT'!P294="Kapatıldı",'ŞİKAYET KAYIT'!M294,""),"")</f>
        <v/>
      </c>
      <c r="J294" s="11" t="str">
        <f>IFERROR(IF('ŞİKAYET KAYIT'!P294="Kapatıldı",'ŞİKAYET KAYIT'!N294,""),"")</f>
        <v/>
      </c>
      <c r="K294" s="11" t="str">
        <f>IFERROR(IF('ŞİKAYET KAYIT'!P294="Kapatıldı",'ŞİKAYET KAYIT'!O294,""),"")</f>
        <v/>
      </c>
      <c r="L294" s="12" t="str">
        <f>IFERROR(IF('ŞİKAYET KAYIT'!P294="Kapatıldı",'ŞİKAYET KAYIT'!Q294,""),"")</f>
        <v/>
      </c>
      <c r="M294" s="11" t="str">
        <f>IFERROR(IF('ŞİKAYET KAYIT'!P294="Kapatıldı",'ŞİKAYET KAYIT'!R294,""),"")</f>
        <v/>
      </c>
      <c r="N294" s="11"/>
    </row>
    <row r="295" spans="1:14" ht="15" customHeight="1" x14ac:dyDescent="0.3">
      <c r="A295" s="26" t="str">
        <f>IFERROR(IF('ŞİKAYET KAYIT'!P295="Kapatıldı",'ŞİKAYET KAYIT'!A295,""),"")</f>
        <v/>
      </c>
      <c r="B295" s="8" t="str">
        <f>IFERROR(IF('ŞİKAYET KAYIT'!P295="Kapatıldı",'ŞİKAYET KAYIT'!B295,""),"")</f>
        <v/>
      </c>
      <c r="C295" s="26" t="str">
        <f>IFERROR(IF('ŞİKAYET KAYIT'!P295="Kapatıldı",'ŞİKAYET KAYIT'!D295,""),"")</f>
        <v/>
      </c>
      <c r="D295" s="26" t="str">
        <f>IFERROR(IF('ŞİKAYET KAYIT'!P295="Kapatıldı",'ŞİKAYET KAYIT'!F295,""),"")</f>
        <v/>
      </c>
      <c r="E295" s="26" t="str">
        <f>IFERROR(IF('ŞİKAYET KAYIT'!P295="Kapatıldı",'ŞİKAYET KAYIT'!H295,""),"")</f>
        <v/>
      </c>
      <c r="F295" s="26" t="str">
        <f>IFERROR(IF('ŞİKAYET KAYIT'!P295="Kapatıldı",'ŞİKAYET KAYIT'!J295,""),"")</f>
        <v/>
      </c>
      <c r="G295" s="26" t="str">
        <f>IFERROR(IF('ŞİKAYET KAYIT'!P295="Kapatıldı",'ŞİKAYET KAYIT'!K295,""),"")</f>
        <v/>
      </c>
      <c r="H295" s="26" t="str">
        <f>IFERROR(IF('ŞİKAYET KAYIT'!P295="Kapatıldı",'ŞİKAYET KAYIT'!L295,""),"")</f>
        <v/>
      </c>
      <c r="I295" s="26" t="str">
        <f>IFERROR(IF('ŞİKAYET KAYIT'!P295="Kapatıldı",'ŞİKAYET KAYIT'!M295,""),"")</f>
        <v/>
      </c>
      <c r="J295" s="26" t="str">
        <f>IFERROR(IF('ŞİKAYET KAYIT'!P295="Kapatıldı",'ŞİKAYET KAYIT'!N295,""),"")</f>
        <v/>
      </c>
      <c r="K295" s="26" t="str">
        <f>IFERROR(IF('ŞİKAYET KAYIT'!P295="Kapatıldı",'ŞİKAYET KAYIT'!O295,""),"")</f>
        <v/>
      </c>
      <c r="L295" s="8" t="str">
        <f>IFERROR(IF('ŞİKAYET KAYIT'!P295="Kapatıldı",'ŞİKAYET KAYIT'!Q295,""),"")</f>
        <v/>
      </c>
      <c r="M295" s="26" t="str">
        <f>IFERROR(IF('ŞİKAYET KAYIT'!P295="Kapatıldı",'ŞİKAYET KAYIT'!R295,""),"")</f>
        <v/>
      </c>
      <c r="N295" s="26"/>
    </row>
    <row r="296" spans="1:14" ht="15" customHeight="1" x14ac:dyDescent="0.3">
      <c r="A296" s="11" t="str">
        <f>IFERROR(IF('ŞİKAYET KAYIT'!P296="Kapatıldı",'ŞİKAYET KAYIT'!A296,""),"")</f>
        <v/>
      </c>
      <c r="B296" s="12" t="str">
        <f>IFERROR(IF('ŞİKAYET KAYIT'!P296="Kapatıldı",'ŞİKAYET KAYIT'!B296,""),"")</f>
        <v/>
      </c>
      <c r="C296" s="11" t="str">
        <f>IFERROR(IF('ŞİKAYET KAYIT'!P296="Kapatıldı",'ŞİKAYET KAYIT'!D296,""),"")</f>
        <v/>
      </c>
      <c r="D296" s="11" t="str">
        <f>IFERROR(IF('ŞİKAYET KAYIT'!P296="Kapatıldı",'ŞİKAYET KAYIT'!F296,""),"")</f>
        <v/>
      </c>
      <c r="E296" s="11" t="str">
        <f>IFERROR(IF('ŞİKAYET KAYIT'!P296="Kapatıldı",'ŞİKAYET KAYIT'!H296,""),"")</f>
        <v/>
      </c>
      <c r="F296" s="11" t="str">
        <f>IFERROR(IF('ŞİKAYET KAYIT'!P296="Kapatıldı",'ŞİKAYET KAYIT'!J296,""),"")</f>
        <v/>
      </c>
      <c r="G296" s="11" t="str">
        <f>IFERROR(IF('ŞİKAYET KAYIT'!P296="Kapatıldı",'ŞİKAYET KAYIT'!K296,""),"")</f>
        <v/>
      </c>
      <c r="H296" s="11" t="str">
        <f>IFERROR(IF('ŞİKAYET KAYIT'!P296="Kapatıldı",'ŞİKAYET KAYIT'!L296,""),"")</f>
        <v/>
      </c>
      <c r="I296" s="11" t="str">
        <f>IFERROR(IF('ŞİKAYET KAYIT'!P296="Kapatıldı",'ŞİKAYET KAYIT'!M296,""),"")</f>
        <v/>
      </c>
      <c r="J296" s="11" t="str">
        <f>IFERROR(IF('ŞİKAYET KAYIT'!P296="Kapatıldı",'ŞİKAYET KAYIT'!N296,""),"")</f>
        <v/>
      </c>
      <c r="K296" s="11" t="str">
        <f>IFERROR(IF('ŞİKAYET KAYIT'!P296="Kapatıldı",'ŞİKAYET KAYIT'!O296,""),"")</f>
        <v/>
      </c>
      <c r="L296" s="12" t="str">
        <f>IFERROR(IF('ŞİKAYET KAYIT'!P296="Kapatıldı",'ŞİKAYET KAYIT'!Q296,""),"")</f>
        <v/>
      </c>
      <c r="M296" s="11" t="str">
        <f>IFERROR(IF('ŞİKAYET KAYIT'!P296="Kapatıldı",'ŞİKAYET KAYIT'!R296,""),"")</f>
        <v/>
      </c>
      <c r="N296" s="11"/>
    </row>
    <row r="297" spans="1:14" ht="15" customHeight="1" x14ac:dyDescent="0.3">
      <c r="A297" s="26" t="str">
        <f>IFERROR(IF('ŞİKAYET KAYIT'!P297="Kapatıldı",'ŞİKAYET KAYIT'!A297,""),"")</f>
        <v/>
      </c>
      <c r="B297" s="8" t="str">
        <f>IFERROR(IF('ŞİKAYET KAYIT'!P297="Kapatıldı",'ŞİKAYET KAYIT'!B297,""),"")</f>
        <v/>
      </c>
      <c r="C297" s="26" t="str">
        <f>IFERROR(IF('ŞİKAYET KAYIT'!P297="Kapatıldı",'ŞİKAYET KAYIT'!D297,""),"")</f>
        <v/>
      </c>
      <c r="D297" s="26" t="str">
        <f>IFERROR(IF('ŞİKAYET KAYIT'!P297="Kapatıldı",'ŞİKAYET KAYIT'!F297,""),"")</f>
        <v/>
      </c>
      <c r="E297" s="26" t="str">
        <f>IFERROR(IF('ŞİKAYET KAYIT'!P297="Kapatıldı",'ŞİKAYET KAYIT'!H297,""),"")</f>
        <v/>
      </c>
      <c r="F297" s="26" t="str">
        <f>IFERROR(IF('ŞİKAYET KAYIT'!P297="Kapatıldı",'ŞİKAYET KAYIT'!J297,""),"")</f>
        <v/>
      </c>
      <c r="G297" s="26" t="str">
        <f>IFERROR(IF('ŞİKAYET KAYIT'!P297="Kapatıldı",'ŞİKAYET KAYIT'!K297,""),"")</f>
        <v/>
      </c>
      <c r="H297" s="26" t="str">
        <f>IFERROR(IF('ŞİKAYET KAYIT'!P297="Kapatıldı",'ŞİKAYET KAYIT'!L297,""),"")</f>
        <v/>
      </c>
      <c r="I297" s="26" t="str">
        <f>IFERROR(IF('ŞİKAYET KAYIT'!P297="Kapatıldı",'ŞİKAYET KAYIT'!M297,""),"")</f>
        <v/>
      </c>
      <c r="J297" s="26" t="str">
        <f>IFERROR(IF('ŞİKAYET KAYIT'!P297="Kapatıldı",'ŞİKAYET KAYIT'!N297,""),"")</f>
        <v/>
      </c>
      <c r="K297" s="26" t="str">
        <f>IFERROR(IF('ŞİKAYET KAYIT'!P297="Kapatıldı",'ŞİKAYET KAYIT'!O297,""),"")</f>
        <v/>
      </c>
      <c r="L297" s="8" t="str">
        <f>IFERROR(IF('ŞİKAYET KAYIT'!P297="Kapatıldı",'ŞİKAYET KAYIT'!Q297,""),"")</f>
        <v/>
      </c>
      <c r="M297" s="26" t="str">
        <f>IFERROR(IF('ŞİKAYET KAYIT'!P297="Kapatıldı",'ŞİKAYET KAYIT'!R297,""),"")</f>
        <v/>
      </c>
      <c r="N297" s="26"/>
    </row>
    <row r="298" spans="1:14" ht="15" customHeight="1" x14ac:dyDescent="0.3">
      <c r="A298" s="11" t="str">
        <f>IFERROR(IF('ŞİKAYET KAYIT'!P298="Kapatıldı",'ŞİKAYET KAYIT'!A298,""),"")</f>
        <v/>
      </c>
      <c r="B298" s="12" t="str">
        <f>IFERROR(IF('ŞİKAYET KAYIT'!P298="Kapatıldı",'ŞİKAYET KAYIT'!B298,""),"")</f>
        <v/>
      </c>
      <c r="C298" s="11" t="str">
        <f>IFERROR(IF('ŞİKAYET KAYIT'!P298="Kapatıldı",'ŞİKAYET KAYIT'!D298,""),"")</f>
        <v/>
      </c>
      <c r="D298" s="11" t="str">
        <f>IFERROR(IF('ŞİKAYET KAYIT'!P298="Kapatıldı",'ŞİKAYET KAYIT'!F298,""),"")</f>
        <v/>
      </c>
      <c r="E298" s="11" t="str">
        <f>IFERROR(IF('ŞİKAYET KAYIT'!P298="Kapatıldı",'ŞİKAYET KAYIT'!H298,""),"")</f>
        <v/>
      </c>
      <c r="F298" s="11" t="str">
        <f>IFERROR(IF('ŞİKAYET KAYIT'!P298="Kapatıldı",'ŞİKAYET KAYIT'!J298,""),"")</f>
        <v/>
      </c>
      <c r="G298" s="11" t="str">
        <f>IFERROR(IF('ŞİKAYET KAYIT'!P298="Kapatıldı",'ŞİKAYET KAYIT'!K298,""),"")</f>
        <v/>
      </c>
      <c r="H298" s="11" t="str">
        <f>IFERROR(IF('ŞİKAYET KAYIT'!P298="Kapatıldı",'ŞİKAYET KAYIT'!L298,""),"")</f>
        <v/>
      </c>
      <c r="I298" s="11" t="str">
        <f>IFERROR(IF('ŞİKAYET KAYIT'!P298="Kapatıldı",'ŞİKAYET KAYIT'!M298,""),"")</f>
        <v/>
      </c>
      <c r="J298" s="11" t="str">
        <f>IFERROR(IF('ŞİKAYET KAYIT'!P298="Kapatıldı",'ŞİKAYET KAYIT'!N298,""),"")</f>
        <v/>
      </c>
      <c r="K298" s="11" t="str">
        <f>IFERROR(IF('ŞİKAYET KAYIT'!P298="Kapatıldı",'ŞİKAYET KAYIT'!O298,""),"")</f>
        <v/>
      </c>
      <c r="L298" s="12" t="str">
        <f>IFERROR(IF('ŞİKAYET KAYIT'!P298="Kapatıldı",'ŞİKAYET KAYIT'!Q298,""),"")</f>
        <v/>
      </c>
      <c r="M298" s="11" t="str">
        <f>IFERROR(IF('ŞİKAYET KAYIT'!P298="Kapatıldı",'ŞİKAYET KAYIT'!R298,""),"")</f>
        <v/>
      </c>
      <c r="N298" s="11"/>
    </row>
    <row r="299" spans="1:14" ht="15" customHeight="1" x14ac:dyDescent="0.3">
      <c r="A299" s="26" t="str">
        <f>IFERROR(IF('ŞİKAYET KAYIT'!P299="Kapatıldı",'ŞİKAYET KAYIT'!A299,""),"")</f>
        <v/>
      </c>
      <c r="B299" s="8" t="str">
        <f>IFERROR(IF('ŞİKAYET KAYIT'!P299="Kapatıldı",'ŞİKAYET KAYIT'!B299,""),"")</f>
        <v/>
      </c>
      <c r="C299" s="26" t="str">
        <f>IFERROR(IF('ŞİKAYET KAYIT'!P299="Kapatıldı",'ŞİKAYET KAYIT'!D299,""),"")</f>
        <v/>
      </c>
      <c r="D299" s="26" t="str">
        <f>IFERROR(IF('ŞİKAYET KAYIT'!P299="Kapatıldı",'ŞİKAYET KAYIT'!F299,""),"")</f>
        <v/>
      </c>
      <c r="E299" s="26" t="str">
        <f>IFERROR(IF('ŞİKAYET KAYIT'!P299="Kapatıldı",'ŞİKAYET KAYIT'!H299,""),"")</f>
        <v/>
      </c>
      <c r="F299" s="26" t="str">
        <f>IFERROR(IF('ŞİKAYET KAYIT'!P299="Kapatıldı",'ŞİKAYET KAYIT'!J299,""),"")</f>
        <v/>
      </c>
      <c r="G299" s="26" t="str">
        <f>IFERROR(IF('ŞİKAYET KAYIT'!P299="Kapatıldı",'ŞİKAYET KAYIT'!K299,""),"")</f>
        <v/>
      </c>
      <c r="H299" s="26" t="str">
        <f>IFERROR(IF('ŞİKAYET KAYIT'!P299="Kapatıldı",'ŞİKAYET KAYIT'!L299,""),"")</f>
        <v/>
      </c>
      <c r="I299" s="26" t="str">
        <f>IFERROR(IF('ŞİKAYET KAYIT'!P299="Kapatıldı",'ŞİKAYET KAYIT'!M299,""),"")</f>
        <v/>
      </c>
      <c r="J299" s="26" t="str">
        <f>IFERROR(IF('ŞİKAYET KAYIT'!P299="Kapatıldı",'ŞİKAYET KAYIT'!N299,""),"")</f>
        <v/>
      </c>
      <c r="K299" s="26" t="str">
        <f>IFERROR(IF('ŞİKAYET KAYIT'!P299="Kapatıldı",'ŞİKAYET KAYIT'!O299,""),"")</f>
        <v/>
      </c>
      <c r="L299" s="8" t="str">
        <f>IFERROR(IF('ŞİKAYET KAYIT'!P299="Kapatıldı",'ŞİKAYET KAYIT'!Q299,""),"")</f>
        <v/>
      </c>
      <c r="M299" s="26" t="str">
        <f>IFERROR(IF('ŞİKAYET KAYIT'!P299="Kapatıldı",'ŞİKAYET KAYIT'!R299,""),"")</f>
        <v/>
      </c>
      <c r="N299" s="26"/>
    </row>
    <row r="300" spans="1:14" ht="15" customHeight="1" x14ac:dyDescent="0.3">
      <c r="A300" s="11" t="str">
        <f>IFERROR(IF('ŞİKAYET KAYIT'!P300="Kapatıldı",'ŞİKAYET KAYIT'!A300,""),"")</f>
        <v/>
      </c>
      <c r="B300" s="12" t="str">
        <f>IFERROR(IF('ŞİKAYET KAYIT'!P300="Kapatıldı",'ŞİKAYET KAYIT'!B300,""),"")</f>
        <v/>
      </c>
      <c r="C300" s="11" t="str">
        <f>IFERROR(IF('ŞİKAYET KAYIT'!P300="Kapatıldı",'ŞİKAYET KAYIT'!D300,""),"")</f>
        <v/>
      </c>
      <c r="D300" s="11" t="str">
        <f>IFERROR(IF('ŞİKAYET KAYIT'!P300="Kapatıldı",'ŞİKAYET KAYIT'!F300,""),"")</f>
        <v/>
      </c>
      <c r="E300" s="11" t="str">
        <f>IFERROR(IF('ŞİKAYET KAYIT'!P300="Kapatıldı",'ŞİKAYET KAYIT'!H300,""),"")</f>
        <v/>
      </c>
      <c r="F300" s="11" t="str">
        <f>IFERROR(IF('ŞİKAYET KAYIT'!P300="Kapatıldı",'ŞİKAYET KAYIT'!J300,""),"")</f>
        <v/>
      </c>
      <c r="G300" s="11" t="str">
        <f>IFERROR(IF('ŞİKAYET KAYIT'!P300="Kapatıldı",'ŞİKAYET KAYIT'!K300,""),"")</f>
        <v/>
      </c>
      <c r="H300" s="11" t="str">
        <f>IFERROR(IF('ŞİKAYET KAYIT'!P300="Kapatıldı",'ŞİKAYET KAYIT'!L300,""),"")</f>
        <v/>
      </c>
      <c r="I300" s="11" t="str">
        <f>IFERROR(IF('ŞİKAYET KAYIT'!P300="Kapatıldı",'ŞİKAYET KAYIT'!M300,""),"")</f>
        <v/>
      </c>
      <c r="J300" s="11" t="str">
        <f>IFERROR(IF('ŞİKAYET KAYIT'!P300="Kapatıldı",'ŞİKAYET KAYIT'!N300,""),"")</f>
        <v/>
      </c>
      <c r="K300" s="11" t="str">
        <f>IFERROR(IF('ŞİKAYET KAYIT'!P300="Kapatıldı",'ŞİKAYET KAYIT'!O300,""),"")</f>
        <v/>
      </c>
      <c r="L300" s="12" t="str">
        <f>IFERROR(IF('ŞİKAYET KAYIT'!P300="Kapatıldı",'ŞİKAYET KAYIT'!Q300,""),"")</f>
        <v/>
      </c>
      <c r="M300" s="11" t="str">
        <f>IFERROR(IF('ŞİKAYET KAYIT'!P300="Kapatıldı",'ŞİKAYET KAYIT'!R300,""),"")</f>
        <v/>
      </c>
      <c r="N300" s="11"/>
    </row>
    <row r="301" spans="1:14" ht="15" customHeight="1" x14ac:dyDescent="0.3">
      <c r="A301" s="26" t="str">
        <f>IFERROR(IF('ŞİKAYET KAYIT'!P301="Kapatıldı",'ŞİKAYET KAYIT'!A301,""),"")</f>
        <v/>
      </c>
      <c r="B301" s="8" t="str">
        <f>IFERROR(IF('ŞİKAYET KAYIT'!P301="Kapatıldı",'ŞİKAYET KAYIT'!B301,""),"")</f>
        <v/>
      </c>
      <c r="C301" s="26" t="str">
        <f>IFERROR(IF('ŞİKAYET KAYIT'!P301="Kapatıldı",'ŞİKAYET KAYIT'!D301,""),"")</f>
        <v/>
      </c>
      <c r="D301" s="26" t="str">
        <f>IFERROR(IF('ŞİKAYET KAYIT'!P301="Kapatıldı",'ŞİKAYET KAYIT'!F301,""),"")</f>
        <v/>
      </c>
      <c r="E301" s="26" t="str">
        <f>IFERROR(IF('ŞİKAYET KAYIT'!P301="Kapatıldı",'ŞİKAYET KAYIT'!H301,""),"")</f>
        <v/>
      </c>
      <c r="F301" s="26" t="str">
        <f>IFERROR(IF('ŞİKAYET KAYIT'!P301="Kapatıldı",'ŞİKAYET KAYIT'!J301,""),"")</f>
        <v/>
      </c>
      <c r="G301" s="26" t="str">
        <f>IFERROR(IF('ŞİKAYET KAYIT'!P301="Kapatıldı",'ŞİKAYET KAYIT'!K301,""),"")</f>
        <v/>
      </c>
      <c r="H301" s="26" t="str">
        <f>IFERROR(IF('ŞİKAYET KAYIT'!P301="Kapatıldı",'ŞİKAYET KAYIT'!L301,""),"")</f>
        <v/>
      </c>
      <c r="I301" s="26" t="str">
        <f>IFERROR(IF('ŞİKAYET KAYIT'!P301="Kapatıldı",'ŞİKAYET KAYIT'!M301,""),"")</f>
        <v/>
      </c>
      <c r="J301" s="26" t="str">
        <f>IFERROR(IF('ŞİKAYET KAYIT'!P301="Kapatıldı",'ŞİKAYET KAYIT'!N301,""),"")</f>
        <v/>
      </c>
      <c r="K301" s="26" t="str">
        <f>IFERROR(IF('ŞİKAYET KAYIT'!P301="Kapatıldı",'ŞİKAYET KAYIT'!O301,""),"")</f>
        <v/>
      </c>
      <c r="L301" s="8" t="str">
        <f>IFERROR(IF('ŞİKAYET KAYIT'!P301="Kapatıldı",'ŞİKAYET KAYIT'!Q301,""),"")</f>
        <v/>
      </c>
      <c r="M301" s="26" t="str">
        <f>IFERROR(IF('ŞİKAYET KAYIT'!P301="Kapatıldı",'ŞİKAYET KAYIT'!R301,""),"")</f>
        <v/>
      </c>
      <c r="N301" s="26"/>
    </row>
    <row r="302" spans="1:14" ht="15" customHeight="1" x14ac:dyDescent="0.3">
      <c r="A302" s="11" t="str">
        <f>IFERROR(IF('ŞİKAYET KAYIT'!P302="Kapatıldı",'ŞİKAYET KAYIT'!A302,""),"")</f>
        <v/>
      </c>
      <c r="B302" s="12" t="str">
        <f>IFERROR(IF('ŞİKAYET KAYIT'!P302="Kapatıldı",'ŞİKAYET KAYIT'!B302,""),"")</f>
        <v/>
      </c>
      <c r="C302" s="11" t="str">
        <f>IFERROR(IF('ŞİKAYET KAYIT'!P302="Kapatıldı",'ŞİKAYET KAYIT'!D302,""),"")</f>
        <v/>
      </c>
      <c r="D302" s="11" t="str">
        <f>IFERROR(IF('ŞİKAYET KAYIT'!P302="Kapatıldı",'ŞİKAYET KAYIT'!F302,""),"")</f>
        <v/>
      </c>
      <c r="E302" s="11" t="str">
        <f>IFERROR(IF('ŞİKAYET KAYIT'!P302="Kapatıldı",'ŞİKAYET KAYIT'!H302,""),"")</f>
        <v/>
      </c>
      <c r="F302" s="11" t="str">
        <f>IFERROR(IF('ŞİKAYET KAYIT'!P302="Kapatıldı",'ŞİKAYET KAYIT'!J302,""),"")</f>
        <v/>
      </c>
      <c r="G302" s="11" t="str">
        <f>IFERROR(IF('ŞİKAYET KAYIT'!P302="Kapatıldı",'ŞİKAYET KAYIT'!K302,""),"")</f>
        <v/>
      </c>
      <c r="H302" s="11" t="str">
        <f>IFERROR(IF('ŞİKAYET KAYIT'!P302="Kapatıldı",'ŞİKAYET KAYIT'!L302,""),"")</f>
        <v/>
      </c>
      <c r="I302" s="11" t="str">
        <f>IFERROR(IF('ŞİKAYET KAYIT'!P302="Kapatıldı",'ŞİKAYET KAYIT'!M302,""),"")</f>
        <v/>
      </c>
      <c r="J302" s="11" t="str">
        <f>IFERROR(IF('ŞİKAYET KAYIT'!P302="Kapatıldı",'ŞİKAYET KAYIT'!N302,""),"")</f>
        <v/>
      </c>
      <c r="K302" s="11" t="str">
        <f>IFERROR(IF('ŞİKAYET KAYIT'!P302="Kapatıldı",'ŞİKAYET KAYIT'!O302,""),"")</f>
        <v/>
      </c>
      <c r="L302" s="12" t="str">
        <f>IFERROR(IF('ŞİKAYET KAYIT'!P302="Kapatıldı",'ŞİKAYET KAYIT'!Q302,""),"")</f>
        <v/>
      </c>
      <c r="M302" s="11" t="str">
        <f>IFERROR(IF('ŞİKAYET KAYIT'!P302="Kapatıldı",'ŞİKAYET KAYIT'!R302,""),"")</f>
        <v/>
      </c>
      <c r="N302" s="11"/>
    </row>
    <row r="303" spans="1:14" ht="15" customHeight="1" x14ac:dyDescent="0.3">
      <c r="A303" s="26" t="str">
        <f>IFERROR(IF('ŞİKAYET KAYIT'!P303="Kapatıldı",'ŞİKAYET KAYIT'!A303,""),"")</f>
        <v/>
      </c>
      <c r="B303" s="8" t="str">
        <f>IFERROR(IF('ŞİKAYET KAYIT'!P303="Kapatıldı",'ŞİKAYET KAYIT'!B303,""),"")</f>
        <v/>
      </c>
      <c r="C303" s="26" t="str">
        <f>IFERROR(IF('ŞİKAYET KAYIT'!P303="Kapatıldı",'ŞİKAYET KAYIT'!D303,""),"")</f>
        <v/>
      </c>
      <c r="D303" s="26" t="str">
        <f>IFERROR(IF('ŞİKAYET KAYIT'!P303="Kapatıldı",'ŞİKAYET KAYIT'!F303,""),"")</f>
        <v/>
      </c>
      <c r="E303" s="26" t="str">
        <f>IFERROR(IF('ŞİKAYET KAYIT'!P303="Kapatıldı",'ŞİKAYET KAYIT'!H303,""),"")</f>
        <v/>
      </c>
      <c r="F303" s="26" t="str">
        <f>IFERROR(IF('ŞİKAYET KAYIT'!P303="Kapatıldı",'ŞİKAYET KAYIT'!J303,""),"")</f>
        <v/>
      </c>
      <c r="G303" s="26" t="str">
        <f>IFERROR(IF('ŞİKAYET KAYIT'!P303="Kapatıldı",'ŞİKAYET KAYIT'!K303,""),"")</f>
        <v/>
      </c>
      <c r="H303" s="26" t="str">
        <f>IFERROR(IF('ŞİKAYET KAYIT'!P303="Kapatıldı",'ŞİKAYET KAYIT'!L303,""),"")</f>
        <v/>
      </c>
      <c r="I303" s="26" t="str">
        <f>IFERROR(IF('ŞİKAYET KAYIT'!P303="Kapatıldı",'ŞİKAYET KAYIT'!M303,""),"")</f>
        <v/>
      </c>
      <c r="J303" s="26" t="str">
        <f>IFERROR(IF('ŞİKAYET KAYIT'!P303="Kapatıldı",'ŞİKAYET KAYIT'!N303,""),"")</f>
        <v/>
      </c>
      <c r="K303" s="26" t="str">
        <f>IFERROR(IF('ŞİKAYET KAYIT'!P303="Kapatıldı",'ŞİKAYET KAYIT'!O303,""),"")</f>
        <v/>
      </c>
      <c r="L303" s="8" t="str">
        <f>IFERROR(IF('ŞİKAYET KAYIT'!P303="Kapatıldı",'ŞİKAYET KAYIT'!Q303,""),"")</f>
        <v/>
      </c>
      <c r="M303" s="26" t="str">
        <f>IFERROR(IF('ŞİKAYET KAYIT'!P303="Kapatıldı",'ŞİKAYET KAYIT'!R303,""),"")</f>
        <v/>
      </c>
      <c r="N303" s="26"/>
    </row>
    <row r="304" spans="1:14" ht="15" customHeight="1" x14ac:dyDescent="0.3">
      <c r="A304" s="11" t="str">
        <f>IFERROR(IF('ŞİKAYET KAYIT'!P304="Kapatıldı",'ŞİKAYET KAYIT'!A304,""),"")</f>
        <v/>
      </c>
      <c r="B304" s="12" t="str">
        <f>IFERROR(IF('ŞİKAYET KAYIT'!P304="Kapatıldı",'ŞİKAYET KAYIT'!B304,""),"")</f>
        <v/>
      </c>
      <c r="C304" s="11" t="str">
        <f>IFERROR(IF('ŞİKAYET KAYIT'!P304="Kapatıldı",'ŞİKAYET KAYIT'!D304,""),"")</f>
        <v/>
      </c>
      <c r="D304" s="11" t="str">
        <f>IFERROR(IF('ŞİKAYET KAYIT'!P304="Kapatıldı",'ŞİKAYET KAYIT'!F304,""),"")</f>
        <v/>
      </c>
      <c r="E304" s="11" t="str">
        <f>IFERROR(IF('ŞİKAYET KAYIT'!P304="Kapatıldı",'ŞİKAYET KAYIT'!H304,""),"")</f>
        <v/>
      </c>
      <c r="F304" s="11" t="str">
        <f>IFERROR(IF('ŞİKAYET KAYIT'!P304="Kapatıldı",'ŞİKAYET KAYIT'!J304,""),"")</f>
        <v/>
      </c>
      <c r="G304" s="11" t="str">
        <f>IFERROR(IF('ŞİKAYET KAYIT'!P304="Kapatıldı",'ŞİKAYET KAYIT'!K304,""),"")</f>
        <v/>
      </c>
      <c r="H304" s="11" t="str">
        <f>IFERROR(IF('ŞİKAYET KAYIT'!P304="Kapatıldı",'ŞİKAYET KAYIT'!L304,""),"")</f>
        <v/>
      </c>
      <c r="I304" s="11" t="str">
        <f>IFERROR(IF('ŞİKAYET KAYIT'!P304="Kapatıldı",'ŞİKAYET KAYIT'!M304,""),"")</f>
        <v/>
      </c>
      <c r="J304" s="11" t="str">
        <f>IFERROR(IF('ŞİKAYET KAYIT'!P304="Kapatıldı",'ŞİKAYET KAYIT'!N304,""),"")</f>
        <v/>
      </c>
      <c r="K304" s="11" t="str">
        <f>IFERROR(IF('ŞİKAYET KAYIT'!P304="Kapatıldı",'ŞİKAYET KAYIT'!O304,""),"")</f>
        <v/>
      </c>
      <c r="L304" s="12" t="str">
        <f>IFERROR(IF('ŞİKAYET KAYIT'!P304="Kapatıldı",'ŞİKAYET KAYIT'!Q304,""),"")</f>
        <v/>
      </c>
      <c r="M304" s="11" t="str">
        <f>IFERROR(IF('ŞİKAYET KAYIT'!P304="Kapatıldı",'ŞİKAYET KAYIT'!R304,""),"")</f>
        <v/>
      </c>
      <c r="N304" s="11"/>
    </row>
    <row r="305" spans="1:14" ht="15" customHeight="1" x14ac:dyDescent="0.3">
      <c r="A305" s="26" t="str">
        <f>IFERROR(IF('ŞİKAYET KAYIT'!P305="Kapatıldı",'ŞİKAYET KAYIT'!A305,""),"")</f>
        <v/>
      </c>
      <c r="B305" s="8" t="str">
        <f>IFERROR(IF('ŞİKAYET KAYIT'!P305="Kapatıldı",'ŞİKAYET KAYIT'!B305,""),"")</f>
        <v/>
      </c>
      <c r="C305" s="26" t="str">
        <f>IFERROR(IF('ŞİKAYET KAYIT'!P305="Kapatıldı",'ŞİKAYET KAYIT'!D305,""),"")</f>
        <v/>
      </c>
      <c r="D305" s="26" t="str">
        <f>IFERROR(IF('ŞİKAYET KAYIT'!P305="Kapatıldı",'ŞİKAYET KAYIT'!F305,""),"")</f>
        <v/>
      </c>
      <c r="E305" s="26" t="str">
        <f>IFERROR(IF('ŞİKAYET KAYIT'!P305="Kapatıldı",'ŞİKAYET KAYIT'!H305,""),"")</f>
        <v/>
      </c>
      <c r="F305" s="26" t="str">
        <f>IFERROR(IF('ŞİKAYET KAYIT'!P305="Kapatıldı",'ŞİKAYET KAYIT'!J305,""),"")</f>
        <v/>
      </c>
      <c r="G305" s="26" t="str">
        <f>IFERROR(IF('ŞİKAYET KAYIT'!P305="Kapatıldı",'ŞİKAYET KAYIT'!K305,""),"")</f>
        <v/>
      </c>
      <c r="H305" s="26" t="str">
        <f>IFERROR(IF('ŞİKAYET KAYIT'!P305="Kapatıldı",'ŞİKAYET KAYIT'!L305,""),"")</f>
        <v/>
      </c>
      <c r="I305" s="26" t="str">
        <f>IFERROR(IF('ŞİKAYET KAYIT'!P305="Kapatıldı",'ŞİKAYET KAYIT'!M305,""),"")</f>
        <v/>
      </c>
      <c r="J305" s="26" t="str">
        <f>IFERROR(IF('ŞİKAYET KAYIT'!P305="Kapatıldı",'ŞİKAYET KAYIT'!N305,""),"")</f>
        <v/>
      </c>
      <c r="K305" s="26" t="str">
        <f>IFERROR(IF('ŞİKAYET KAYIT'!P305="Kapatıldı",'ŞİKAYET KAYIT'!O305,""),"")</f>
        <v/>
      </c>
      <c r="L305" s="8" t="str">
        <f>IFERROR(IF('ŞİKAYET KAYIT'!P305="Kapatıldı",'ŞİKAYET KAYIT'!Q305,""),"")</f>
        <v/>
      </c>
      <c r="M305" s="26" t="str">
        <f>IFERROR(IF('ŞİKAYET KAYIT'!P305="Kapatıldı",'ŞİKAYET KAYIT'!R305,""),"")</f>
        <v/>
      </c>
      <c r="N305" s="26"/>
    </row>
    <row r="306" spans="1:14" ht="15" customHeight="1" x14ac:dyDescent="0.3">
      <c r="A306" s="11" t="str">
        <f>IFERROR(IF('ŞİKAYET KAYIT'!P306="Kapatıldı",'ŞİKAYET KAYIT'!A306,""),"")</f>
        <v/>
      </c>
      <c r="B306" s="12" t="str">
        <f>IFERROR(IF('ŞİKAYET KAYIT'!P306="Kapatıldı",'ŞİKAYET KAYIT'!B306,""),"")</f>
        <v/>
      </c>
      <c r="C306" s="11" t="str">
        <f>IFERROR(IF('ŞİKAYET KAYIT'!P306="Kapatıldı",'ŞİKAYET KAYIT'!D306,""),"")</f>
        <v/>
      </c>
      <c r="D306" s="11" t="str">
        <f>IFERROR(IF('ŞİKAYET KAYIT'!P306="Kapatıldı",'ŞİKAYET KAYIT'!F306,""),"")</f>
        <v/>
      </c>
      <c r="E306" s="11" t="str">
        <f>IFERROR(IF('ŞİKAYET KAYIT'!P306="Kapatıldı",'ŞİKAYET KAYIT'!H306,""),"")</f>
        <v/>
      </c>
      <c r="F306" s="11" t="str">
        <f>IFERROR(IF('ŞİKAYET KAYIT'!P306="Kapatıldı",'ŞİKAYET KAYIT'!J306,""),"")</f>
        <v/>
      </c>
      <c r="G306" s="11" t="str">
        <f>IFERROR(IF('ŞİKAYET KAYIT'!P306="Kapatıldı",'ŞİKAYET KAYIT'!K306,""),"")</f>
        <v/>
      </c>
      <c r="H306" s="11" t="str">
        <f>IFERROR(IF('ŞİKAYET KAYIT'!P306="Kapatıldı",'ŞİKAYET KAYIT'!L306,""),"")</f>
        <v/>
      </c>
      <c r="I306" s="11" t="str">
        <f>IFERROR(IF('ŞİKAYET KAYIT'!P306="Kapatıldı",'ŞİKAYET KAYIT'!M306,""),"")</f>
        <v/>
      </c>
      <c r="J306" s="11" t="str">
        <f>IFERROR(IF('ŞİKAYET KAYIT'!P306="Kapatıldı",'ŞİKAYET KAYIT'!N306,""),"")</f>
        <v/>
      </c>
      <c r="K306" s="11" t="str">
        <f>IFERROR(IF('ŞİKAYET KAYIT'!P306="Kapatıldı",'ŞİKAYET KAYIT'!O306,""),"")</f>
        <v/>
      </c>
      <c r="L306" s="12" t="str">
        <f>IFERROR(IF('ŞİKAYET KAYIT'!P306="Kapatıldı",'ŞİKAYET KAYIT'!Q306,""),"")</f>
        <v/>
      </c>
      <c r="M306" s="11" t="str">
        <f>IFERROR(IF('ŞİKAYET KAYIT'!P306="Kapatıldı",'ŞİKAYET KAYIT'!R306,""),"")</f>
        <v/>
      </c>
      <c r="N306" s="11"/>
    </row>
    <row r="307" spans="1:14" ht="15" customHeight="1" x14ac:dyDescent="0.3">
      <c r="A307" s="26" t="str">
        <f>IFERROR(IF('ŞİKAYET KAYIT'!P307="Kapatıldı",'ŞİKAYET KAYIT'!A307,""),"")</f>
        <v/>
      </c>
      <c r="B307" s="8" t="str">
        <f>IFERROR(IF('ŞİKAYET KAYIT'!P307="Kapatıldı",'ŞİKAYET KAYIT'!B307,""),"")</f>
        <v/>
      </c>
      <c r="C307" s="26" t="str">
        <f>IFERROR(IF('ŞİKAYET KAYIT'!P307="Kapatıldı",'ŞİKAYET KAYIT'!D307,""),"")</f>
        <v/>
      </c>
      <c r="D307" s="26" t="str">
        <f>IFERROR(IF('ŞİKAYET KAYIT'!P307="Kapatıldı",'ŞİKAYET KAYIT'!F307,""),"")</f>
        <v/>
      </c>
      <c r="E307" s="26" t="str">
        <f>IFERROR(IF('ŞİKAYET KAYIT'!P307="Kapatıldı",'ŞİKAYET KAYIT'!H307,""),"")</f>
        <v/>
      </c>
      <c r="F307" s="26" t="str">
        <f>IFERROR(IF('ŞİKAYET KAYIT'!P307="Kapatıldı",'ŞİKAYET KAYIT'!J307,""),"")</f>
        <v/>
      </c>
      <c r="G307" s="26" t="str">
        <f>IFERROR(IF('ŞİKAYET KAYIT'!P307="Kapatıldı",'ŞİKAYET KAYIT'!K307,""),"")</f>
        <v/>
      </c>
      <c r="H307" s="26" t="str">
        <f>IFERROR(IF('ŞİKAYET KAYIT'!P307="Kapatıldı",'ŞİKAYET KAYIT'!L307,""),"")</f>
        <v/>
      </c>
      <c r="I307" s="26" t="str">
        <f>IFERROR(IF('ŞİKAYET KAYIT'!P307="Kapatıldı",'ŞİKAYET KAYIT'!M307,""),"")</f>
        <v/>
      </c>
      <c r="J307" s="26" t="str">
        <f>IFERROR(IF('ŞİKAYET KAYIT'!P307="Kapatıldı",'ŞİKAYET KAYIT'!N307,""),"")</f>
        <v/>
      </c>
      <c r="K307" s="26" t="str">
        <f>IFERROR(IF('ŞİKAYET KAYIT'!P307="Kapatıldı",'ŞİKAYET KAYIT'!O307,""),"")</f>
        <v/>
      </c>
      <c r="L307" s="8" t="str">
        <f>IFERROR(IF('ŞİKAYET KAYIT'!P307="Kapatıldı",'ŞİKAYET KAYIT'!Q307,""),"")</f>
        <v/>
      </c>
      <c r="M307" s="26" t="str">
        <f>IFERROR(IF('ŞİKAYET KAYIT'!P307="Kapatıldı",'ŞİKAYET KAYIT'!R307,""),"")</f>
        <v/>
      </c>
      <c r="N307" s="26"/>
    </row>
    <row r="308" spans="1:14" ht="15" customHeight="1" x14ac:dyDescent="0.3">
      <c r="A308" s="11" t="str">
        <f>IFERROR(IF('ŞİKAYET KAYIT'!P308="Kapatıldı",'ŞİKAYET KAYIT'!A308,""),"")</f>
        <v/>
      </c>
      <c r="B308" s="12" t="str">
        <f>IFERROR(IF('ŞİKAYET KAYIT'!P308="Kapatıldı",'ŞİKAYET KAYIT'!B308,""),"")</f>
        <v/>
      </c>
      <c r="C308" s="11" t="str">
        <f>IFERROR(IF('ŞİKAYET KAYIT'!P308="Kapatıldı",'ŞİKAYET KAYIT'!D308,""),"")</f>
        <v/>
      </c>
      <c r="D308" s="11" t="str">
        <f>IFERROR(IF('ŞİKAYET KAYIT'!P308="Kapatıldı",'ŞİKAYET KAYIT'!F308,""),"")</f>
        <v/>
      </c>
      <c r="E308" s="11" t="str">
        <f>IFERROR(IF('ŞİKAYET KAYIT'!P308="Kapatıldı",'ŞİKAYET KAYIT'!H308,""),"")</f>
        <v/>
      </c>
      <c r="F308" s="11" t="str">
        <f>IFERROR(IF('ŞİKAYET KAYIT'!P308="Kapatıldı",'ŞİKAYET KAYIT'!J308,""),"")</f>
        <v/>
      </c>
      <c r="G308" s="11" t="str">
        <f>IFERROR(IF('ŞİKAYET KAYIT'!P308="Kapatıldı",'ŞİKAYET KAYIT'!K308,""),"")</f>
        <v/>
      </c>
      <c r="H308" s="11" t="str">
        <f>IFERROR(IF('ŞİKAYET KAYIT'!P308="Kapatıldı",'ŞİKAYET KAYIT'!L308,""),"")</f>
        <v/>
      </c>
      <c r="I308" s="11" t="str">
        <f>IFERROR(IF('ŞİKAYET KAYIT'!P308="Kapatıldı",'ŞİKAYET KAYIT'!M308,""),"")</f>
        <v/>
      </c>
      <c r="J308" s="11" t="str">
        <f>IFERROR(IF('ŞİKAYET KAYIT'!P308="Kapatıldı",'ŞİKAYET KAYIT'!N308,""),"")</f>
        <v/>
      </c>
      <c r="K308" s="11" t="str">
        <f>IFERROR(IF('ŞİKAYET KAYIT'!P308="Kapatıldı",'ŞİKAYET KAYIT'!O308,""),"")</f>
        <v/>
      </c>
      <c r="L308" s="12" t="str">
        <f>IFERROR(IF('ŞİKAYET KAYIT'!P308="Kapatıldı",'ŞİKAYET KAYIT'!Q308,""),"")</f>
        <v/>
      </c>
      <c r="M308" s="11" t="str">
        <f>IFERROR(IF('ŞİKAYET KAYIT'!P308="Kapatıldı",'ŞİKAYET KAYIT'!R308,""),"")</f>
        <v/>
      </c>
      <c r="N308" s="11"/>
    </row>
    <row r="309" spans="1:14" ht="15" customHeight="1" x14ac:dyDescent="0.3">
      <c r="A309" s="26" t="str">
        <f>IFERROR(IF('ŞİKAYET KAYIT'!P309="Kapatıldı",'ŞİKAYET KAYIT'!A309,""),"")</f>
        <v/>
      </c>
      <c r="B309" s="8" t="str">
        <f>IFERROR(IF('ŞİKAYET KAYIT'!P309="Kapatıldı",'ŞİKAYET KAYIT'!B309,""),"")</f>
        <v/>
      </c>
      <c r="C309" s="26" t="str">
        <f>IFERROR(IF('ŞİKAYET KAYIT'!P309="Kapatıldı",'ŞİKAYET KAYIT'!D309,""),"")</f>
        <v/>
      </c>
      <c r="D309" s="26" t="str">
        <f>IFERROR(IF('ŞİKAYET KAYIT'!P309="Kapatıldı",'ŞİKAYET KAYIT'!F309,""),"")</f>
        <v/>
      </c>
      <c r="E309" s="26" t="str">
        <f>IFERROR(IF('ŞİKAYET KAYIT'!P309="Kapatıldı",'ŞİKAYET KAYIT'!H309,""),"")</f>
        <v/>
      </c>
      <c r="F309" s="26" t="str">
        <f>IFERROR(IF('ŞİKAYET KAYIT'!P309="Kapatıldı",'ŞİKAYET KAYIT'!J309,""),"")</f>
        <v/>
      </c>
      <c r="G309" s="26" t="str">
        <f>IFERROR(IF('ŞİKAYET KAYIT'!P309="Kapatıldı",'ŞİKAYET KAYIT'!K309,""),"")</f>
        <v/>
      </c>
      <c r="H309" s="26" t="str">
        <f>IFERROR(IF('ŞİKAYET KAYIT'!P309="Kapatıldı",'ŞİKAYET KAYIT'!L309,""),"")</f>
        <v/>
      </c>
      <c r="I309" s="26" t="str">
        <f>IFERROR(IF('ŞİKAYET KAYIT'!P309="Kapatıldı",'ŞİKAYET KAYIT'!M309,""),"")</f>
        <v/>
      </c>
      <c r="J309" s="26" t="str">
        <f>IFERROR(IF('ŞİKAYET KAYIT'!P309="Kapatıldı",'ŞİKAYET KAYIT'!N309,""),"")</f>
        <v/>
      </c>
      <c r="K309" s="26" t="str">
        <f>IFERROR(IF('ŞİKAYET KAYIT'!P309="Kapatıldı",'ŞİKAYET KAYIT'!O309,""),"")</f>
        <v/>
      </c>
      <c r="L309" s="8" t="str">
        <f>IFERROR(IF('ŞİKAYET KAYIT'!P309="Kapatıldı",'ŞİKAYET KAYIT'!Q309,""),"")</f>
        <v/>
      </c>
      <c r="M309" s="26" t="str">
        <f>IFERROR(IF('ŞİKAYET KAYIT'!P309="Kapatıldı",'ŞİKAYET KAYIT'!R309,""),"")</f>
        <v/>
      </c>
      <c r="N309" s="26"/>
    </row>
    <row r="310" spans="1:14" ht="15" customHeight="1" x14ac:dyDescent="0.3">
      <c r="A310" s="11" t="str">
        <f>IFERROR(IF('ŞİKAYET KAYIT'!P310="Kapatıldı",'ŞİKAYET KAYIT'!A310,""),"")</f>
        <v/>
      </c>
      <c r="B310" s="12" t="str">
        <f>IFERROR(IF('ŞİKAYET KAYIT'!P310="Kapatıldı",'ŞİKAYET KAYIT'!B310,""),"")</f>
        <v/>
      </c>
      <c r="C310" s="11" t="str">
        <f>IFERROR(IF('ŞİKAYET KAYIT'!P310="Kapatıldı",'ŞİKAYET KAYIT'!D310,""),"")</f>
        <v/>
      </c>
      <c r="D310" s="11" t="str">
        <f>IFERROR(IF('ŞİKAYET KAYIT'!P310="Kapatıldı",'ŞİKAYET KAYIT'!F310,""),"")</f>
        <v/>
      </c>
      <c r="E310" s="11" t="str">
        <f>IFERROR(IF('ŞİKAYET KAYIT'!P310="Kapatıldı",'ŞİKAYET KAYIT'!H310,""),"")</f>
        <v/>
      </c>
      <c r="F310" s="11" t="str">
        <f>IFERROR(IF('ŞİKAYET KAYIT'!P310="Kapatıldı",'ŞİKAYET KAYIT'!J310,""),"")</f>
        <v/>
      </c>
      <c r="G310" s="11" t="str">
        <f>IFERROR(IF('ŞİKAYET KAYIT'!P310="Kapatıldı",'ŞİKAYET KAYIT'!K310,""),"")</f>
        <v/>
      </c>
      <c r="H310" s="11" t="str">
        <f>IFERROR(IF('ŞİKAYET KAYIT'!P310="Kapatıldı",'ŞİKAYET KAYIT'!L310,""),"")</f>
        <v/>
      </c>
      <c r="I310" s="11" t="str">
        <f>IFERROR(IF('ŞİKAYET KAYIT'!P310="Kapatıldı",'ŞİKAYET KAYIT'!M310,""),"")</f>
        <v/>
      </c>
      <c r="J310" s="11" t="str">
        <f>IFERROR(IF('ŞİKAYET KAYIT'!P310="Kapatıldı",'ŞİKAYET KAYIT'!N310,""),"")</f>
        <v/>
      </c>
      <c r="K310" s="11" t="str">
        <f>IFERROR(IF('ŞİKAYET KAYIT'!P310="Kapatıldı",'ŞİKAYET KAYIT'!O310,""),"")</f>
        <v/>
      </c>
      <c r="L310" s="12" t="str">
        <f>IFERROR(IF('ŞİKAYET KAYIT'!P310="Kapatıldı",'ŞİKAYET KAYIT'!Q310,""),"")</f>
        <v/>
      </c>
      <c r="M310" s="11" t="str">
        <f>IFERROR(IF('ŞİKAYET KAYIT'!P310="Kapatıldı",'ŞİKAYET KAYIT'!R310,""),"")</f>
        <v/>
      </c>
      <c r="N310" s="11"/>
    </row>
    <row r="311" spans="1:14" ht="15" customHeight="1" x14ac:dyDescent="0.3">
      <c r="A311" s="26" t="str">
        <f>IFERROR(IF('ŞİKAYET KAYIT'!P311="Kapatıldı",'ŞİKAYET KAYIT'!A311,""),"")</f>
        <v/>
      </c>
      <c r="B311" s="8" t="str">
        <f>IFERROR(IF('ŞİKAYET KAYIT'!P311="Kapatıldı",'ŞİKAYET KAYIT'!B311,""),"")</f>
        <v/>
      </c>
      <c r="C311" s="26" t="str">
        <f>IFERROR(IF('ŞİKAYET KAYIT'!P311="Kapatıldı",'ŞİKAYET KAYIT'!D311,""),"")</f>
        <v/>
      </c>
      <c r="D311" s="26" t="str">
        <f>IFERROR(IF('ŞİKAYET KAYIT'!P311="Kapatıldı",'ŞİKAYET KAYIT'!F311,""),"")</f>
        <v/>
      </c>
      <c r="E311" s="26" t="str">
        <f>IFERROR(IF('ŞİKAYET KAYIT'!P311="Kapatıldı",'ŞİKAYET KAYIT'!H311,""),"")</f>
        <v/>
      </c>
      <c r="F311" s="26" t="str">
        <f>IFERROR(IF('ŞİKAYET KAYIT'!P311="Kapatıldı",'ŞİKAYET KAYIT'!J311,""),"")</f>
        <v/>
      </c>
      <c r="G311" s="26" t="str">
        <f>IFERROR(IF('ŞİKAYET KAYIT'!P311="Kapatıldı",'ŞİKAYET KAYIT'!K311,""),"")</f>
        <v/>
      </c>
      <c r="H311" s="26" t="str">
        <f>IFERROR(IF('ŞİKAYET KAYIT'!P311="Kapatıldı",'ŞİKAYET KAYIT'!L311,""),"")</f>
        <v/>
      </c>
      <c r="I311" s="26" t="str">
        <f>IFERROR(IF('ŞİKAYET KAYIT'!P311="Kapatıldı",'ŞİKAYET KAYIT'!M311,""),"")</f>
        <v/>
      </c>
      <c r="J311" s="26" t="str">
        <f>IFERROR(IF('ŞİKAYET KAYIT'!P311="Kapatıldı",'ŞİKAYET KAYIT'!N311,""),"")</f>
        <v/>
      </c>
      <c r="K311" s="26" t="str">
        <f>IFERROR(IF('ŞİKAYET KAYIT'!P311="Kapatıldı",'ŞİKAYET KAYIT'!O311,""),"")</f>
        <v/>
      </c>
      <c r="L311" s="8" t="str">
        <f>IFERROR(IF('ŞİKAYET KAYIT'!P311="Kapatıldı",'ŞİKAYET KAYIT'!Q311,""),"")</f>
        <v/>
      </c>
      <c r="M311" s="26" t="str">
        <f>IFERROR(IF('ŞİKAYET KAYIT'!P311="Kapatıldı",'ŞİKAYET KAYIT'!R311,""),"")</f>
        <v/>
      </c>
      <c r="N311" s="26"/>
    </row>
    <row r="312" spans="1:14" ht="15" customHeight="1" x14ac:dyDescent="0.3">
      <c r="A312" s="11" t="str">
        <f>IFERROR(IF('ŞİKAYET KAYIT'!P312="Kapatıldı",'ŞİKAYET KAYIT'!A312,""),"")</f>
        <v/>
      </c>
      <c r="B312" s="12" t="str">
        <f>IFERROR(IF('ŞİKAYET KAYIT'!P312="Kapatıldı",'ŞİKAYET KAYIT'!B312,""),"")</f>
        <v/>
      </c>
      <c r="C312" s="11" t="str">
        <f>IFERROR(IF('ŞİKAYET KAYIT'!P312="Kapatıldı",'ŞİKAYET KAYIT'!D312,""),"")</f>
        <v/>
      </c>
      <c r="D312" s="11" t="str">
        <f>IFERROR(IF('ŞİKAYET KAYIT'!P312="Kapatıldı",'ŞİKAYET KAYIT'!F312,""),"")</f>
        <v/>
      </c>
      <c r="E312" s="11" t="str">
        <f>IFERROR(IF('ŞİKAYET KAYIT'!P312="Kapatıldı",'ŞİKAYET KAYIT'!H312,""),"")</f>
        <v/>
      </c>
      <c r="F312" s="11" t="str">
        <f>IFERROR(IF('ŞİKAYET KAYIT'!P312="Kapatıldı",'ŞİKAYET KAYIT'!J312,""),"")</f>
        <v/>
      </c>
      <c r="G312" s="11" t="str">
        <f>IFERROR(IF('ŞİKAYET KAYIT'!P312="Kapatıldı",'ŞİKAYET KAYIT'!K312,""),"")</f>
        <v/>
      </c>
      <c r="H312" s="11" t="str">
        <f>IFERROR(IF('ŞİKAYET KAYIT'!P312="Kapatıldı",'ŞİKAYET KAYIT'!L312,""),"")</f>
        <v/>
      </c>
      <c r="I312" s="11" t="str">
        <f>IFERROR(IF('ŞİKAYET KAYIT'!P312="Kapatıldı",'ŞİKAYET KAYIT'!M312,""),"")</f>
        <v/>
      </c>
      <c r="J312" s="11" t="str">
        <f>IFERROR(IF('ŞİKAYET KAYIT'!P312="Kapatıldı",'ŞİKAYET KAYIT'!N312,""),"")</f>
        <v/>
      </c>
      <c r="K312" s="11" t="str">
        <f>IFERROR(IF('ŞİKAYET KAYIT'!P312="Kapatıldı",'ŞİKAYET KAYIT'!O312,""),"")</f>
        <v/>
      </c>
      <c r="L312" s="12" t="str">
        <f>IFERROR(IF('ŞİKAYET KAYIT'!P312="Kapatıldı",'ŞİKAYET KAYIT'!Q312,""),"")</f>
        <v/>
      </c>
      <c r="M312" s="11" t="str">
        <f>IFERROR(IF('ŞİKAYET KAYIT'!P312="Kapatıldı",'ŞİKAYET KAYIT'!R312,""),"")</f>
        <v/>
      </c>
      <c r="N312" s="11"/>
    </row>
    <row r="313" spans="1:14" ht="15" customHeight="1" x14ac:dyDescent="0.3">
      <c r="A313" s="26" t="str">
        <f>IFERROR(IF('ŞİKAYET KAYIT'!P313="Kapatıldı",'ŞİKAYET KAYIT'!A313,""),"")</f>
        <v/>
      </c>
      <c r="B313" s="8" t="str">
        <f>IFERROR(IF('ŞİKAYET KAYIT'!P313="Kapatıldı",'ŞİKAYET KAYIT'!B313,""),"")</f>
        <v/>
      </c>
      <c r="C313" s="26" t="str">
        <f>IFERROR(IF('ŞİKAYET KAYIT'!P313="Kapatıldı",'ŞİKAYET KAYIT'!D313,""),"")</f>
        <v/>
      </c>
      <c r="D313" s="26" t="str">
        <f>IFERROR(IF('ŞİKAYET KAYIT'!P313="Kapatıldı",'ŞİKAYET KAYIT'!F313,""),"")</f>
        <v/>
      </c>
      <c r="E313" s="26" t="str">
        <f>IFERROR(IF('ŞİKAYET KAYIT'!P313="Kapatıldı",'ŞİKAYET KAYIT'!H313,""),"")</f>
        <v/>
      </c>
      <c r="F313" s="26" t="str">
        <f>IFERROR(IF('ŞİKAYET KAYIT'!P313="Kapatıldı",'ŞİKAYET KAYIT'!J313,""),"")</f>
        <v/>
      </c>
      <c r="G313" s="26" t="str">
        <f>IFERROR(IF('ŞİKAYET KAYIT'!P313="Kapatıldı",'ŞİKAYET KAYIT'!K313,""),"")</f>
        <v/>
      </c>
      <c r="H313" s="26" t="str">
        <f>IFERROR(IF('ŞİKAYET KAYIT'!P313="Kapatıldı",'ŞİKAYET KAYIT'!L313,""),"")</f>
        <v/>
      </c>
      <c r="I313" s="26" t="str">
        <f>IFERROR(IF('ŞİKAYET KAYIT'!P313="Kapatıldı",'ŞİKAYET KAYIT'!M313,""),"")</f>
        <v/>
      </c>
      <c r="J313" s="26" t="str">
        <f>IFERROR(IF('ŞİKAYET KAYIT'!P313="Kapatıldı",'ŞİKAYET KAYIT'!N313,""),"")</f>
        <v/>
      </c>
      <c r="K313" s="26" t="str">
        <f>IFERROR(IF('ŞİKAYET KAYIT'!P313="Kapatıldı",'ŞİKAYET KAYIT'!O313,""),"")</f>
        <v/>
      </c>
      <c r="L313" s="8" t="str">
        <f>IFERROR(IF('ŞİKAYET KAYIT'!P313="Kapatıldı",'ŞİKAYET KAYIT'!Q313,""),"")</f>
        <v/>
      </c>
      <c r="M313" s="26" t="str">
        <f>IFERROR(IF('ŞİKAYET KAYIT'!P313="Kapatıldı",'ŞİKAYET KAYIT'!R313,""),"")</f>
        <v/>
      </c>
      <c r="N313" s="26"/>
    </row>
    <row r="314" spans="1:14" ht="15" customHeight="1" x14ac:dyDescent="0.3">
      <c r="A314" s="11" t="str">
        <f>IFERROR(IF('ŞİKAYET KAYIT'!P314="Kapatıldı",'ŞİKAYET KAYIT'!A314,""),"")</f>
        <v/>
      </c>
      <c r="B314" s="12" t="str">
        <f>IFERROR(IF('ŞİKAYET KAYIT'!P314="Kapatıldı",'ŞİKAYET KAYIT'!B314,""),"")</f>
        <v/>
      </c>
      <c r="C314" s="11" t="str">
        <f>IFERROR(IF('ŞİKAYET KAYIT'!P314="Kapatıldı",'ŞİKAYET KAYIT'!D314,""),"")</f>
        <v/>
      </c>
      <c r="D314" s="11" t="str">
        <f>IFERROR(IF('ŞİKAYET KAYIT'!P314="Kapatıldı",'ŞİKAYET KAYIT'!F314,""),"")</f>
        <v/>
      </c>
      <c r="E314" s="11" t="str">
        <f>IFERROR(IF('ŞİKAYET KAYIT'!P314="Kapatıldı",'ŞİKAYET KAYIT'!H314,""),"")</f>
        <v/>
      </c>
      <c r="F314" s="11" t="str">
        <f>IFERROR(IF('ŞİKAYET KAYIT'!P314="Kapatıldı",'ŞİKAYET KAYIT'!J314,""),"")</f>
        <v/>
      </c>
      <c r="G314" s="11" t="str">
        <f>IFERROR(IF('ŞİKAYET KAYIT'!P314="Kapatıldı",'ŞİKAYET KAYIT'!K314,""),"")</f>
        <v/>
      </c>
      <c r="H314" s="11" t="str">
        <f>IFERROR(IF('ŞİKAYET KAYIT'!P314="Kapatıldı",'ŞİKAYET KAYIT'!L314,""),"")</f>
        <v/>
      </c>
      <c r="I314" s="11" t="str">
        <f>IFERROR(IF('ŞİKAYET KAYIT'!P314="Kapatıldı",'ŞİKAYET KAYIT'!M314,""),"")</f>
        <v/>
      </c>
      <c r="J314" s="11" t="str">
        <f>IFERROR(IF('ŞİKAYET KAYIT'!P314="Kapatıldı",'ŞİKAYET KAYIT'!N314,""),"")</f>
        <v/>
      </c>
      <c r="K314" s="11" t="str">
        <f>IFERROR(IF('ŞİKAYET KAYIT'!P314="Kapatıldı",'ŞİKAYET KAYIT'!O314,""),"")</f>
        <v/>
      </c>
      <c r="L314" s="12" t="str">
        <f>IFERROR(IF('ŞİKAYET KAYIT'!P314="Kapatıldı",'ŞİKAYET KAYIT'!Q314,""),"")</f>
        <v/>
      </c>
      <c r="M314" s="11" t="str">
        <f>IFERROR(IF('ŞİKAYET KAYIT'!P314="Kapatıldı",'ŞİKAYET KAYIT'!R314,""),"")</f>
        <v/>
      </c>
      <c r="N314" s="11"/>
    </row>
    <row r="315" spans="1:14" ht="15" customHeight="1" x14ac:dyDescent="0.3">
      <c r="A315" s="26" t="str">
        <f>IFERROR(IF('ŞİKAYET KAYIT'!P315="Kapatıldı",'ŞİKAYET KAYIT'!A315,""),"")</f>
        <v/>
      </c>
      <c r="B315" s="8" t="str">
        <f>IFERROR(IF('ŞİKAYET KAYIT'!P315="Kapatıldı",'ŞİKAYET KAYIT'!B315,""),"")</f>
        <v/>
      </c>
      <c r="C315" s="26" t="str">
        <f>IFERROR(IF('ŞİKAYET KAYIT'!P315="Kapatıldı",'ŞİKAYET KAYIT'!D315,""),"")</f>
        <v/>
      </c>
      <c r="D315" s="26" t="str">
        <f>IFERROR(IF('ŞİKAYET KAYIT'!P315="Kapatıldı",'ŞİKAYET KAYIT'!F315,""),"")</f>
        <v/>
      </c>
      <c r="E315" s="26" t="str">
        <f>IFERROR(IF('ŞİKAYET KAYIT'!P315="Kapatıldı",'ŞİKAYET KAYIT'!H315,""),"")</f>
        <v/>
      </c>
      <c r="F315" s="26" t="str">
        <f>IFERROR(IF('ŞİKAYET KAYIT'!P315="Kapatıldı",'ŞİKAYET KAYIT'!J315,""),"")</f>
        <v/>
      </c>
      <c r="G315" s="26" t="str">
        <f>IFERROR(IF('ŞİKAYET KAYIT'!P315="Kapatıldı",'ŞİKAYET KAYIT'!K315,""),"")</f>
        <v/>
      </c>
      <c r="H315" s="26" t="str">
        <f>IFERROR(IF('ŞİKAYET KAYIT'!P315="Kapatıldı",'ŞİKAYET KAYIT'!L315,""),"")</f>
        <v/>
      </c>
      <c r="I315" s="26" t="str">
        <f>IFERROR(IF('ŞİKAYET KAYIT'!P315="Kapatıldı",'ŞİKAYET KAYIT'!M315,""),"")</f>
        <v/>
      </c>
      <c r="J315" s="26" t="str">
        <f>IFERROR(IF('ŞİKAYET KAYIT'!P315="Kapatıldı",'ŞİKAYET KAYIT'!N315,""),"")</f>
        <v/>
      </c>
      <c r="K315" s="26" t="str">
        <f>IFERROR(IF('ŞİKAYET KAYIT'!P315="Kapatıldı",'ŞİKAYET KAYIT'!O315,""),"")</f>
        <v/>
      </c>
      <c r="L315" s="8" t="str">
        <f>IFERROR(IF('ŞİKAYET KAYIT'!P315="Kapatıldı",'ŞİKAYET KAYIT'!Q315,""),"")</f>
        <v/>
      </c>
      <c r="M315" s="26" t="str">
        <f>IFERROR(IF('ŞİKAYET KAYIT'!P315="Kapatıldı",'ŞİKAYET KAYIT'!R315,""),"")</f>
        <v/>
      </c>
      <c r="N315" s="26"/>
    </row>
    <row r="316" spans="1:14" ht="15" customHeight="1" x14ac:dyDescent="0.3">
      <c r="A316" s="11" t="str">
        <f>IFERROR(IF('ŞİKAYET KAYIT'!P316="Kapatıldı",'ŞİKAYET KAYIT'!A316,""),"")</f>
        <v/>
      </c>
      <c r="B316" s="12" t="str">
        <f>IFERROR(IF('ŞİKAYET KAYIT'!P316="Kapatıldı",'ŞİKAYET KAYIT'!B316,""),"")</f>
        <v/>
      </c>
      <c r="C316" s="11" t="str">
        <f>IFERROR(IF('ŞİKAYET KAYIT'!P316="Kapatıldı",'ŞİKAYET KAYIT'!D316,""),"")</f>
        <v/>
      </c>
      <c r="D316" s="11" t="str">
        <f>IFERROR(IF('ŞİKAYET KAYIT'!P316="Kapatıldı",'ŞİKAYET KAYIT'!F316,""),"")</f>
        <v/>
      </c>
      <c r="E316" s="11" t="str">
        <f>IFERROR(IF('ŞİKAYET KAYIT'!P316="Kapatıldı",'ŞİKAYET KAYIT'!H316,""),"")</f>
        <v/>
      </c>
      <c r="F316" s="11" t="str">
        <f>IFERROR(IF('ŞİKAYET KAYIT'!P316="Kapatıldı",'ŞİKAYET KAYIT'!J316,""),"")</f>
        <v/>
      </c>
      <c r="G316" s="11" t="str">
        <f>IFERROR(IF('ŞİKAYET KAYIT'!P316="Kapatıldı",'ŞİKAYET KAYIT'!K316,""),"")</f>
        <v/>
      </c>
      <c r="H316" s="11" t="str">
        <f>IFERROR(IF('ŞİKAYET KAYIT'!P316="Kapatıldı",'ŞİKAYET KAYIT'!L316,""),"")</f>
        <v/>
      </c>
      <c r="I316" s="11" t="str">
        <f>IFERROR(IF('ŞİKAYET KAYIT'!P316="Kapatıldı",'ŞİKAYET KAYIT'!M316,""),"")</f>
        <v/>
      </c>
      <c r="J316" s="11" t="str">
        <f>IFERROR(IF('ŞİKAYET KAYIT'!P316="Kapatıldı",'ŞİKAYET KAYIT'!N316,""),"")</f>
        <v/>
      </c>
      <c r="K316" s="11" t="str">
        <f>IFERROR(IF('ŞİKAYET KAYIT'!P316="Kapatıldı",'ŞİKAYET KAYIT'!O316,""),"")</f>
        <v/>
      </c>
      <c r="L316" s="12" t="str">
        <f>IFERROR(IF('ŞİKAYET KAYIT'!P316="Kapatıldı",'ŞİKAYET KAYIT'!Q316,""),"")</f>
        <v/>
      </c>
      <c r="M316" s="11" t="str">
        <f>IFERROR(IF('ŞİKAYET KAYIT'!P316="Kapatıldı",'ŞİKAYET KAYIT'!R316,""),"")</f>
        <v/>
      </c>
      <c r="N316" s="11"/>
    </row>
    <row r="317" spans="1:14" ht="15" customHeight="1" x14ac:dyDescent="0.3">
      <c r="A317" s="26" t="str">
        <f>IFERROR(IF('ŞİKAYET KAYIT'!P317="Kapatıldı",'ŞİKAYET KAYIT'!A317,""),"")</f>
        <v/>
      </c>
      <c r="B317" s="8" t="str">
        <f>IFERROR(IF('ŞİKAYET KAYIT'!P317="Kapatıldı",'ŞİKAYET KAYIT'!B317,""),"")</f>
        <v/>
      </c>
      <c r="C317" s="26" t="str">
        <f>IFERROR(IF('ŞİKAYET KAYIT'!P317="Kapatıldı",'ŞİKAYET KAYIT'!D317,""),"")</f>
        <v/>
      </c>
      <c r="D317" s="26" t="str">
        <f>IFERROR(IF('ŞİKAYET KAYIT'!P317="Kapatıldı",'ŞİKAYET KAYIT'!F317,""),"")</f>
        <v/>
      </c>
      <c r="E317" s="26" t="str">
        <f>IFERROR(IF('ŞİKAYET KAYIT'!P317="Kapatıldı",'ŞİKAYET KAYIT'!H317,""),"")</f>
        <v/>
      </c>
      <c r="F317" s="26" t="str">
        <f>IFERROR(IF('ŞİKAYET KAYIT'!P317="Kapatıldı",'ŞİKAYET KAYIT'!J317,""),"")</f>
        <v/>
      </c>
      <c r="G317" s="26" t="str">
        <f>IFERROR(IF('ŞİKAYET KAYIT'!P317="Kapatıldı",'ŞİKAYET KAYIT'!K317,""),"")</f>
        <v/>
      </c>
      <c r="H317" s="26" t="str">
        <f>IFERROR(IF('ŞİKAYET KAYIT'!P317="Kapatıldı",'ŞİKAYET KAYIT'!L317,""),"")</f>
        <v/>
      </c>
      <c r="I317" s="26" t="str">
        <f>IFERROR(IF('ŞİKAYET KAYIT'!P317="Kapatıldı",'ŞİKAYET KAYIT'!M317,""),"")</f>
        <v/>
      </c>
      <c r="J317" s="26" t="str">
        <f>IFERROR(IF('ŞİKAYET KAYIT'!P317="Kapatıldı",'ŞİKAYET KAYIT'!N317,""),"")</f>
        <v/>
      </c>
      <c r="K317" s="26" t="str">
        <f>IFERROR(IF('ŞİKAYET KAYIT'!P317="Kapatıldı",'ŞİKAYET KAYIT'!O317,""),"")</f>
        <v/>
      </c>
      <c r="L317" s="8" t="str">
        <f>IFERROR(IF('ŞİKAYET KAYIT'!P317="Kapatıldı",'ŞİKAYET KAYIT'!Q317,""),"")</f>
        <v/>
      </c>
      <c r="M317" s="26" t="str">
        <f>IFERROR(IF('ŞİKAYET KAYIT'!P317="Kapatıldı",'ŞİKAYET KAYIT'!R317,""),"")</f>
        <v/>
      </c>
      <c r="N317" s="26"/>
    </row>
    <row r="318" spans="1:14" ht="15" customHeight="1" x14ac:dyDescent="0.3">
      <c r="A318" s="11" t="str">
        <f>IFERROR(IF('ŞİKAYET KAYIT'!P318="Kapatıldı",'ŞİKAYET KAYIT'!A318,""),"")</f>
        <v/>
      </c>
      <c r="B318" s="12" t="str">
        <f>IFERROR(IF('ŞİKAYET KAYIT'!P318="Kapatıldı",'ŞİKAYET KAYIT'!B318,""),"")</f>
        <v/>
      </c>
      <c r="C318" s="11" t="str">
        <f>IFERROR(IF('ŞİKAYET KAYIT'!P318="Kapatıldı",'ŞİKAYET KAYIT'!D318,""),"")</f>
        <v/>
      </c>
      <c r="D318" s="11" t="str">
        <f>IFERROR(IF('ŞİKAYET KAYIT'!P318="Kapatıldı",'ŞİKAYET KAYIT'!F318,""),"")</f>
        <v/>
      </c>
      <c r="E318" s="11" t="str">
        <f>IFERROR(IF('ŞİKAYET KAYIT'!P318="Kapatıldı",'ŞİKAYET KAYIT'!H318,""),"")</f>
        <v/>
      </c>
      <c r="F318" s="11" t="str">
        <f>IFERROR(IF('ŞİKAYET KAYIT'!P318="Kapatıldı",'ŞİKAYET KAYIT'!J318,""),"")</f>
        <v/>
      </c>
      <c r="G318" s="11" t="str">
        <f>IFERROR(IF('ŞİKAYET KAYIT'!P318="Kapatıldı",'ŞİKAYET KAYIT'!K318,""),"")</f>
        <v/>
      </c>
      <c r="H318" s="11" t="str">
        <f>IFERROR(IF('ŞİKAYET KAYIT'!P318="Kapatıldı",'ŞİKAYET KAYIT'!L318,""),"")</f>
        <v/>
      </c>
      <c r="I318" s="11" t="str">
        <f>IFERROR(IF('ŞİKAYET KAYIT'!P318="Kapatıldı",'ŞİKAYET KAYIT'!M318,""),"")</f>
        <v/>
      </c>
      <c r="J318" s="11" t="str">
        <f>IFERROR(IF('ŞİKAYET KAYIT'!P318="Kapatıldı",'ŞİKAYET KAYIT'!N318,""),"")</f>
        <v/>
      </c>
      <c r="K318" s="11" t="str">
        <f>IFERROR(IF('ŞİKAYET KAYIT'!P318="Kapatıldı",'ŞİKAYET KAYIT'!O318,""),"")</f>
        <v/>
      </c>
      <c r="L318" s="12" t="str">
        <f>IFERROR(IF('ŞİKAYET KAYIT'!P318="Kapatıldı",'ŞİKAYET KAYIT'!Q318,""),"")</f>
        <v/>
      </c>
      <c r="M318" s="11" t="str">
        <f>IFERROR(IF('ŞİKAYET KAYIT'!P318="Kapatıldı",'ŞİKAYET KAYIT'!R318,""),"")</f>
        <v/>
      </c>
      <c r="N318" s="11"/>
    </row>
    <row r="319" spans="1:14" ht="15" customHeight="1" x14ac:dyDescent="0.3">
      <c r="A319" s="26" t="str">
        <f>IFERROR(IF('ŞİKAYET KAYIT'!P319="Kapatıldı",'ŞİKAYET KAYIT'!A319,""),"")</f>
        <v/>
      </c>
      <c r="B319" s="8" t="str">
        <f>IFERROR(IF('ŞİKAYET KAYIT'!P319="Kapatıldı",'ŞİKAYET KAYIT'!B319,""),"")</f>
        <v/>
      </c>
      <c r="C319" s="26" t="str">
        <f>IFERROR(IF('ŞİKAYET KAYIT'!P319="Kapatıldı",'ŞİKAYET KAYIT'!D319,""),"")</f>
        <v/>
      </c>
      <c r="D319" s="26" t="str">
        <f>IFERROR(IF('ŞİKAYET KAYIT'!P319="Kapatıldı",'ŞİKAYET KAYIT'!F319,""),"")</f>
        <v/>
      </c>
      <c r="E319" s="26" t="str">
        <f>IFERROR(IF('ŞİKAYET KAYIT'!P319="Kapatıldı",'ŞİKAYET KAYIT'!H319,""),"")</f>
        <v/>
      </c>
      <c r="F319" s="26" t="str">
        <f>IFERROR(IF('ŞİKAYET KAYIT'!P319="Kapatıldı",'ŞİKAYET KAYIT'!J319,""),"")</f>
        <v/>
      </c>
      <c r="G319" s="26" t="str">
        <f>IFERROR(IF('ŞİKAYET KAYIT'!P319="Kapatıldı",'ŞİKAYET KAYIT'!K319,""),"")</f>
        <v/>
      </c>
      <c r="H319" s="26" t="str">
        <f>IFERROR(IF('ŞİKAYET KAYIT'!P319="Kapatıldı",'ŞİKAYET KAYIT'!L319,""),"")</f>
        <v/>
      </c>
      <c r="I319" s="26" t="str">
        <f>IFERROR(IF('ŞİKAYET KAYIT'!P319="Kapatıldı",'ŞİKAYET KAYIT'!M319,""),"")</f>
        <v/>
      </c>
      <c r="J319" s="26" t="str">
        <f>IFERROR(IF('ŞİKAYET KAYIT'!P319="Kapatıldı",'ŞİKAYET KAYIT'!N319,""),"")</f>
        <v/>
      </c>
      <c r="K319" s="26" t="str">
        <f>IFERROR(IF('ŞİKAYET KAYIT'!P319="Kapatıldı",'ŞİKAYET KAYIT'!O319,""),"")</f>
        <v/>
      </c>
      <c r="L319" s="8" t="str">
        <f>IFERROR(IF('ŞİKAYET KAYIT'!P319="Kapatıldı",'ŞİKAYET KAYIT'!Q319,""),"")</f>
        <v/>
      </c>
      <c r="M319" s="26" t="str">
        <f>IFERROR(IF('ŞİKAYET KAYIT'!P319="Kapatıldı",'ŞİKAYET KAYIT'!R319,""),"")</f>
        <v/>
      </c>
      <c r="N319" s="26"/>
    </row>
    <row r="320" spans="1:14" ht="15" customHeight="1" x14ac:dyDescent="0.3">
      <c r="A320" s="11" t="str">
        <f>IFERROR(IF('ŞİKAYET KAYIT'!P320="Kapatıldı",'ŞİKAYET KAYIT'!A320,""),"")</f>
        <v/>
      </c>
      <c r="B320" s="12" t="str">
        <f>IFERROR(IF('ŞİKAYET KAYIT'!P320="Kapatıldı",'ŞİKAYET KAYIT'!B320,""),"")</f>
        <v/>
      </c>
      <c r="C320" s="11" t="str">
        <f>IFERROR(IF('ŞİKAYET KAYIT'!P320="Kapatıldı",'ŞİKAYET KAYIT'!D320,""),"")</f>
        <v/>
      </c>
      <c r="D320" s="11" t="str">
        <f>IFERROR(IF('ŞİKAYET KAYIT'!P320="Kapatıldı",'ŞİKAYET KAYIT'!F320,""),"")</f>
        <v/>
      </c>
      <c r="E320" s="11" t="str">
        <f>IFERROR(IF('ŞİKAYET KAYIT'!P320="Kapatıldı",'ŞİKAYET KAYIT'!H320,""),"")</f>
        <v/>
      </c>
      <c r="F320" s="11" t="str">
        <f>IFERROR(IF('ŞİKAYET KAYIT'!P320="Kapatıldı",'ŞİKAYET KAYIT'!J320,""),"")</f>
        <v/>
      </c>
      <c r="G320" s="11" t="str">
        <f>IFERROR(IF('ŞİKAYET KAYIT'!P320="Kapatıldı",'ŞİKAYET KAYIT'!K320,""),"")</f>
        <v/>
      </c>
      <c r="H320" s="11" t="str">
        <f>IFERROR(IF('ŞİKAYET KAYIT'!P320="Kapatıldı",'ŞİKAYET KAYIT'!L320,""),"")</f>
        <v/>
      </c>
      <c r="I320" s="11" t="str">
        <f>IFERROR(IF('ŞİKAYET KAYIT'!P320="Kapatıldı",'ŞİKAYET KAYIT'!M320,""),"")</f>
        <v/>
      </c>
      <c r="J320" s="11" t="str">
        <f>IFERROR(IF('ŞİKAYET KAYIT'!P320="Kapatıldı",'ŞİKAYET KAYIT'!N320,""),"")</f>
        <v/>
      </c>
      <c r="K320" s="11" t="str">
        <f>IFERROR(IF('ŞİKAYET KAYIT'!P320="Kapatıldı",'ŞİKAYET KAYIT'!O320,""),"")</f>
        <v/>
      </c>
      <c r="L320" s="12" t="str">
        <f>IFERROR(IF('ŞİKAYET KAYIT'!P320="Kapatıldı",'ŞİKAYET KAYIT'!Q320,""),"")</f>
        <v/>
      </c>
      <c r="M320" s="11" t="str">
        <f>IFERROR(IF('ŞİKAYET KAYIT'!P320="Kapatıldı",'ŞİKAYET KAYIT'!R320,""),"")</f>
        <v/>
      </c>
      <c r="N320" s="11"/>
    </row>
    <row r="321" spans="1:14" ht="15" customHeight="1" x14ac:dyDescent="0.3">
      <c r="A321" s="26" t="str">
        <f>IFERROR(IF('ŞİKAYET KAYIT'!P321="Kapatıldı",'ŞİKAYET KAYIT'!A321,""),"")</f>
        <v/>
      </c>
      <c r="B321" s="8" t="str">
        <f>IFERROR(IF('ŞİKAYET KAYIT'!P321="Kapatıldı",'ŞİKAYET KAYIT'!B321,""),"")</f>
        <v/>
      </c>
      <c r="C321" s="26" t="str">
        <f>IFERROR(IF('ŞİKAYET KAYIT'!P321="Kapatıldı",'ŞİKAYET KAYIT'!D321,""),"")</f>
        <v/>
      </c>
      <c r="D321" s="26" t="str">
        <f>IFERROR(IF('ŞİKAYET KAYIT'!P321="Kapatıldı",'ŞİKAYET KAYIT'!F321,""),"")</f>
        <v/>
      </c>
      <c r="E321" s="26" t="str">
        <f>IFERROR(IF('ŞİKAYET KAYIT'!P321="Kapatıldı",'ŞİKAYET KAYIT'!H321,""),"")</f>
        <v/>
      </c>
      <c r="F321" s="26" t="str">
        <f>IFERROR(IF('ŞİKAYET KAYIT'!P321="Kapatıldı",'ŞİKAYET KAYIT'!J321,""),"")</f>
        <v/>
      </c>
      <c r="G321" s="26" t="str">
        <f>IFERROR(IF('ŞİKAYET KAYIT'!P321="Kapatıldı",'ŞİKAYET KAYIT'!K321,""),"")</f>
        <v/>
      </c>
      <c r="H321" s="26" t="str">
        <f>IFERROR(IF('ŞİKAYET KAYIT'!P321="Kapatıldı",'ŞİKAYET KAYIT'!L321,""),"")</f>
        <v/>
      </c>
      <c r="I321" s="26" t="str">
        <f>IFERROR(IF('ŞİKAYET KAYIT'!P321="Kapatıldı",'ŞİKAYET KAYIT'!M321,""),"")</f>
        <v/>
      </c>
      <c r="J321" s="26" t="str">
        <f>IFERROR(IF('ŞİKAYET KAYIT'!P321="Kapatıldı",'ŞİKAYET KAYIT'!N321,""),"")</f>
        <v/>
      </c>
      <c r="K321" s="26" t="str">
        <f>IFERROR(IF('ŞİKAYET KAYIT'!P321="Kapatıldı",'ŞİKAYET KAYIT'!O321,""),"")</f>
        <v/>
      </c>
      <c r="L321" s="8" t="str">
        <f>IFERROR(IF('ŞİKAYET KAYIT'!P321="Kapatıldı",'ŞİKAYET KAYIT'!Q321,""),"")</f>
        <v/>
      </c>
      <c r="M321" s="26" t="str">
        <f>IFERROR(IF('ŞİKAYET KAYIT'!P321="Kapatıldı",'ŞİKAYET KAYIT'!R321,""),"")</f>
        <v/>
      </c>
      <c r="N321" s="26"/>
    </row>
    <row r="322" spans="1:14" ht="15" customHeight="1" x14ac:dyDescent="0.3">
      <c r="A322" s="11" t="str">
        <f>IFERROR(IF('ŞİKAYET KAYIT'!P322="Kapatıldı",'ŞİKAYET KAYIT'!A322,""),"")</f>
        <v/>
      </c>
      <c r="B322" s="12" t="str">
        <f>IFERROR(IF('ŞİKAYET KAYIT'!P322="Kapatıldı",'ŞİKAYET KAYIT'!B322,""),"")</f>
        <v/>
      </c>
      <c r="C322" s="11" t="str">
        <f>IFERROR(IF('ŞİKAYET KAYIT'!P322="Kapatıldı",'ŞİKAYET KAYIT'!D322,""),"")</f>
        <v/>
      </c>
      <c r="D322" s="11" t="str">
        <f>IFERROR(IF('ŞİKAYET KAYIT'!P322="Kapatıldı",'ŞİKAYET KAYIT'!F322,""),"")</f>
        <v/>
      </c>
      <c r="E322" s="11" t="str">
        <f>IFERROR(IF('ŞİKAYET KAYIT'!P322="Kapatıldı",'ŞİKAYET KAYIT'!H322,""),"")</f>
        <v/>
      </c>
      <c r="F322" s="11" t="str">
        <f>IFERROR(IF('ŞİKAYET KAYIT'!P322="Kapatıldı",'ŞİKAYET KAYIT'!J322,""),"")</f>
        <v/>
      </c>
      <c r="G322" s="11" t="str">
        <f>IFERROR(IF('ŞİKAYET KAYIT'!P322="Kapatıldı",'ŞİKAYET KAYIT'!K322,""),"")</f>
        <v/>
      </c>
      <c r="H322" s="11" t="str">
        <f>IFERROR(IF('ŞİKAYET KAYIT'!P322="Kapatıldı",'ŞİKAYET KAYIT'!L322,""),"")</f>
        <v/>
      </c>
      <c r="I322" s="11" t="str">
        <f>IFERROR(IF('ŞİKAYET KAYIT'!P322="Kapatıldı",'ŞİKAYET KAYIT'!M322,""),"")</f>
        <v/>
      </c>
      <c r="J322" s="11" t="str">
        <f>IFERROR(IF('ŞİKAYET KAYIT'!P322="Kapatıldı",'ŞİKAYET KAYIT'!N322,""),"")</f>
        <v/>
      </c>
      <c r="K322" s="11" t="str">
        <f>IFERROR(IF('ŞİKAYET KAYIT'!P322="Kapatıldı",'ŞİKAYET KAYIT'!O322,""),"")</f>
        <v/>
      </c>
      <c r="L322" s="12" t="str">
        <f>IFERROR(IF('ŞİKAYET KAYIT'!P322="Kapatıldı",'ŞİKAYET KAYIT'!Q322,""),"")</f>
        <v/>
      </c>
      <c r="M322" s="11" t="str">
        <f>IFERROR(IF('ŞİKAYET KAYIT'!P322="Kapatıldı",'ŞİKAYET KAYIT'!R322,""),"")</f>
        <v/>
      </c>
      <c r="N322" s="11"/>
    </row>
    <row r="323" spans="1:14" ht="15" customHeight="1" x14ac:dyDescent="0.3">
      <c r="A323" s="26" t="str">
        <f>IFERROR(IF('ŞİKAYET KAYIT'!P323="Kapatıldı",'ŞİKAYET KAYIT'!A323,""),"")</f>
        <v/>
      </c>
      <c r="B323" s="8" t="str">
        <f>IFERROR(IF('ŞİKAYET KAYIT'!P323="Kapatıldı",'ŞİKAYET KAYIT'!B323,""),"")</f>
        <v/>
      </c>
      <c r="C323" s="26" t="str">
        <f>IFERROR(IF('ŞİKAYET KAYIT'!P323="Kapatıldı",'ŞİKAYET KAYIT'!D323,""),"")</f>
        <v/>
      </c>
      <c r="D323" s="26" t="str">
        <f>IFERROR(IF('ŞİKAYET KAYIT'!P323="Kapatıldı",'ŞİKAYET KAYIT'!F323,""),"")</f>
        <v/>
      </c>
      <c r="E323" s="26" t="str">
        <f>IFERROR(IF('ŞİKAYET KAYIT'!P323="Kapatıldı",'ŞİKAYET KAYIT'!H323,""),"")</f>
        <v/>
      </c>
      <c r="F323" s="26" t="str">
        <f>IFERROR(IF('ŞİKAYET KAYIT'!P323="Kapatıldı",'ŞİKAYET KAYIT'!J323,""),"")</f>
        <v/>
      </c>
      <c r="G323" s="26" t="str">
        <f>IFERROR(IF('ŞİKAYET KAYIT'!P323="Kapatıldı",'ŞİKAYET KAYIT'!K323,""),"")</f>
        <v/>
      </c>
      <c r="H323" s="26" t="str">
        <f>IFERROR(IF('ŞİKAYET KAYIT'!P323="Kapatıldı",'ŞİKAYET KAYIT'!L323,""),"")</f>
        <v/>
      </c>
      <c r="I323" s="26" t="str">
        <f>IFERROR(IF('ŞİKAYET KAYIT'!P323="Kapatıldı",'ŞİKAYET KAYIT'!M323,""),"")</f>
        <v/>
      </c>
      <c r="J323" s="26" t="str">
        <f>IFERROR(IF('ŞİKAYET KAYIT'!P323="Kapatıldı",'ŞİKAYET KAYIT'!N323,""),"")</f>
        <v/>
      </c>
      <c r="K323" s="26" t="str">
        <f>IFERROR(IF('ŞİKAYET KAYIT'!P323="Kapatıldı",'ŞİKAYET KAYIT'!O323,""),"")</f>
        <v/>
      </c>
      <c r="L323" s="8" t="str">
        <f>IFERROR(IF('ŞİKAYET KAYIT'!P323="Kapatıldı",'ŞİKAYET KAYIT'!Q323,""),"")</f>
        <v/>
      </c>
      <c r="M323" s="26" t="str">
        <f>IFERROR(IF('ŞİKAYET KAYIT'!P323="Kapatıldı",'ŞİKAYET KAYIT'!R323,""),"")</f>
        <v/>
      </c>
      <c r="N323" s="26"/>
    </row>
    <row r="324" spans="1:14" ht="15" customHeight="1" x14ac:dyDescent="0.3">
      <c r="A324" s="11" t="str">
        <f>IFERROR(IF('ŞİKAYET KAYIT'!P324="Kapatıldı",'ŞİKAYET KAYIT'!A324,""),"")</f>
        <v/>
      </c>
      <c r="B324" s="12" t="str">
        <f>IFERROR(IF('ŞİKAYET KAYIT'!P324="Kapatıldı",'ŞİKAYET KAYIT'!B324,""),"")</f>
        <v/>
      </c>
      <c r="C324" s="11" t="str">
        <f>IFERROR(IF('ŞİKAYET KAYIT'!P324="Kapatıldı",'ŞİKAYET KAYIT'!D324,""),"")</f>
        <v/>
      </c>
      <c r="D324" s="11" t="str">
        <f>IFERROR(IF('ŞİKAYET KAYIT'!P324="Kapatıldı",'ŞİKAYET KAYIT'!F324,""),"")</f>
        <v/>
      </c>
      <c r="E324" s="11" t="str">
        <f>IFERROR(IF('ŞİKAYET KAYIT'!P324="Kapatıldı",'ŞİKAYET KAYIT'!H324,""),"")</f>
        <v/>
      </c>
      <c r="F324" s="11" t="str">
        <f>IFERROR(IF('ŞİKAYET KAYIT'!P324="Kapatıldı",'ŞİKAYET KAYIT'!J324,""),"")</f>
        <v/>
      </c>
      <c r="G324" s="11" t="str">
        <f>IFERROR(IF('ŞİKAYET KAYIT'!P324="Kapatıldı",'ŞİKAYET KAYIT'!K324,""),"")</f>
        <v/>
      </c>
      <c r="H324" s="11" t="str">
        <f>IFERROR(IF('ŞİKAYET KAYIT'!P324="Kapatıldı",'ŞİKAYET KAYIT'!L324,""),"")</f>
        <v/>
      </c>
      <c r="I324" s="11" t="str">
        <f>IFERROR(IF('ŞİKAYET KAYIT'!P324="Kapatıldı",'ŞİKAYET KAYIT'!M324,""),"")</f>
        <v/>
      </c>
      <c r="J324" s="11" t="str">
        <f>IFERROR(IF('ŞİKAYET KAYIT'!P324="Kapatıldı",'ŞİKAYET KAYIT'!N324,""),"")</f>
        <v/>
      </c>
      <c r="K324" s="11" t="str">
        <f>IFERROR(IF('ŞİKAYET KAYIT'!P324="Kapatıldı",'ŞİKAYET KAYIT'!O324,""),"")</f>
        <v/>
      </c>
      <c r="L324" s="12" t="str">
        <f>IFERROR(IF('ŞİKAYET KAYIT'!P324="Kapatıldı",'ŞİKAYET KAYIT'!Q324,""),"")</f>
        <v/>
      </c>
      <c r="M324" s="11" t="str">
        <f>IFERROR(IF('ŞİKAYET KAYIT'!P324="Kapatıldı",'ŞİKAYET KAYIT'!R324,""),"")</f>
        <v/>
      </c>
      <c r="N324" s="11"/>
    </row>
    <row r="325" spans="1:14" ht="15" customHeight="1" x14ac:dyDescent="0.3">
      <c r="A325" s="26" t="str">
        <f>IFERROR(IF('ŞİKAYET KAYIT'!P325="Kapatıldı",'ŞİKAYET KAYIT'!A325,""),"")</f>
        <v/>
      </c>
      <c r="B325" s="8" t="str">
        <f>IFERROR(IF('ŞİKAYET KAYIT'!P325="Kapatıldı",'ŞİKAYET KAYIT'!B325,""),"")</f>
        <v/>
      </c>
      <c r="C325" s="26" t="str">
        <f>IFERROR(IF('ŞİKAYET KAYIT'!P325="Kapatıldı",'ŞİKAYET KAYIT'!D325,""),"")</f>
        <v/>
      </c>
      <c r="D325" s="26" t="str">
        <f>IFERROR(IF('ŞİKAYET KAYIT'!P325="Kapatıldı",'ŞİKAYET KAYIT'!F325,""),"")</f>
        <v/>
      </c>
      <c r="E325" s="26" t="str">
        <f>IFERROR(IF('ŞİKAYET KAYIT'!P325="Kapatıldı",'ŞİKAYET KAYIT'!H325,""),"")</f>
        <v/>
      </c>
      <c r="F325" s="26" t="str">
        <f>IFERROR(IF('ŞİKAYET KAYIT'!P325="Kapatıldı",'ŞİKAYET KAYIT'!J325,""),"")</f>
        <v/>
      </c>
      <c r="G325" s="26" t="str">
        <f>IFERROR(IF('ŞİKAYET KAYIT'!P325="Kapatıldı",'ŞİKAYET KAYIT'!K325,""),"")</f>
        <v/>
      </c>
      <c r="H325" s="26" t="str">
        <f>IFERROR(IF('ŞİKAYET KAYIT'!P325="Kapatıldı",'ŞİKAYET KAYIT'!L325,""),"")</f>
        <v/>
      </c>
      <c r="I325" s="26" t="str">
        <f>IFERROR(IF('ŞİKAYET KAYIT'!P325="Kapatıldı",'ŞİKAYET KAYIT'!M325,""),"")</f>
        <v/>
      </c>
      <c r="J325" s="26" t="str">
        <f>IFERROR(IF('ŞİKAYET KAYIT'!P325="Kapatıldı",'ŞİKAYET KAYIT'!N325,""),"")</f>
        <v/>
      </c>
      <c r="K325" s="26" t="str">
        <f>IFERROR(IF('ŞİKAYET KAYIT'!P325="Kapatıldı",'ŞİKAYET KAYIT'!O325,""),"")</f>
        <v/>
      </c>
      <c r="L325" s="8" t="str">
        <f>IFERROR(IF('ŞİKAYET KAYIT'!P325="Kapatıldı",'ŞİKAYET KAYIT'!Q325,""),"")</f>
        <v/>
      </c>
      <c r="M325" s="26" t="str">
        <f>IFERROR(IF('ŞİKAYET KAYIT'!P325="Kapatıldı",'ŞİKAYET KAYIT'!R325,""),"")</f>
        <v/>
      </c>
      <c r="N325" s="26"/>
    </row>
    <row r="326" spans="1:14" ht="15" customHeight="1" x14ac:dyDescent="0.3">
      <c r="A326" s="11" t="str">
        <f>IFERROR(IF('ŞİKAYET KAYIT'!P326="Kapatıldı",'ŞİKAYET KAYIT'!A326,""),"")</f>
        <v/>
      </c>
      <c r="B326" s="12" t="str">
        <f>IFERROR(IF('ŞİKAYET KAYIT'!P326="Kapatıldı",'ŞİKAYET KAYIT'!B326,""),"")</f>
        <v/>
      </c>
      <c r="C326" s="11" t="str">
        <f>IFERROR(IF('ŞİKAYET KAYIT'!P326="Kapatıldı",'ŞİKAYET KAYIT'!D326,""),"")</f>
        <v/>
      </c>
      <c r="D326" s="11" t="str">
        <f>IFERROR(IF('ŞİKAYET KAYIT'!P326="Kapatıldı",'ŞİKAYET KAYIT'!F326,""),"")</f>
        <v/>
      </c>
      <c r="E326" s="11" t="str">
        <f>IFERROR(IF('ŞİKAYET KAYIT'!P326="Kapatıldı",'ŞİKAYET KAYIT'!H326,""),"")</f>
        <v/>
      </c>
      <c r="F326" s="11" t="str">
        <f>IFERROR(IF('ŞİKAYET KAYIT'!P326="Kapatıldı",'ŞİKAYET KAYIT'!J326,""),"")</f>
        <v/>
      </c>
      <c r="G326" s="11" t="str">
        <f>IFERROR(IF('ŞİKAYET KAYIT'!P326="Kapatıldı",'ŞİKAYET KAYIT'!K326,""),"")</f>
        <v/>
      </c>
      <c r="H326" s="11" t="str">
        <f>IFERROR(IF('ŞİKAYET KAYIT'!P326="Kapatıldı",'ŞİKAYET KAYIT'!L326,""),"")</f>
        <v/>
      </c>
      <c r="I326" s="11" t="str">
        <f>IFERROR(IF('ŞİKAYET KAYIT'!P326="Kapatıldı",'ŞİKAYET KAYIT'!M326,""),"")</f>
        <v/>
      </c>
      <c r="J326" s="11" t="str">
        <f>IFERROR(IF('ŞİKAYET KAYIT'!P326="Kapatıldı",'ŞİKAYET KAYIT'!N326,""),"")</f>
        <v/>
      </c>
      <c r="K326" s="11" t="str">
        <f>IFERROR(IF('ŞİKAYET KAYIT'!P326="Kapatıldı",'ŞİKAYET KAYIT'!O326,""),"")</f>
        <v/>
      </c>
      <c r="L326" s="12" t="str">
        <f>IFERROR(IF('ŞİKAYET KAYIT'!P326="Kapatıldı",'ŞİKAYET KAYIT'!Q326,""),"")</f>
        <v/>
      </c>
      <c r="M326" s="11" t="str">
        <f>IFERROR(IF('ŞİKAYET KAYIT'!P326="Kapatıldı",'ŞİKAYET KAYIT'!R326,""),"")</f>
        <v/>
      </c>
      <c r="N326" s="11"/>
    </row>
    <row r="327" spans="1:14" ht="15" customHeight="1" x14ac:dyDescent="0.3">
      <c r="A327" s="26" t="str">
        <f>IFERROR(IF('ŞİKAYET KAYIT'!P327="Kapatıldı",'ŞİKAYET KAYIT'!A327,""),"")</f>
        <v/>
      </c>
      <c r="B327" s="8" t="str">
        <f>IFERROR(IF('ŞİKAYET KAYIT'!P327="Kapatıldı",'ŞİKAYET KAYIT'!B327,""),"")</f>
        <v/>
      </c>
      <c r="C327" s="26" t="str">
        <f>IFERROR(IF('ŞİKAYET KAYIT'!P327="Kapatıldı",'ŞİKAYET KAYIT'!D327,""),"")</f>
        <v/>
      </c>
      <c r="D327" s="26" t="str">
        <f>IFERROR(IF('ŞİKAYET KAYIT'!P327="Kapatıldı",'ŞİKAYET KAYIT'!F327,""),"")</f>
        <v/>
      </c>
      <c r="E327" s="26" t="str">
        <f>IFERROR(IF('ŞİKAYET KAYIT'!P327="Kapatıldı",'ŞİKAYET KAYIT'!H327,""),"")</f>
        <v/>
      </c>
      <c r="F327" s="26" t="str">
        <f>IFERROR(IF('ŞİKAYET KAYIT'!P327="Kapatıldı",'ŞİKAYET KAYIT'!J327,""),"")</f>
        <v/>
      </c>
      <c r="G327" s="26" t="str">
        <f>IFERROR(IF('ŞİKAYET KAYIT'!P327="Kapatıldı",'ŞİKAYET KAYIT'!K327,""),"")</f>
        <v/>
      </c>
      <c r="H327" s="26" t="str">
        <f>IFERROR(IF('ŞİKAYET KAYIT'!P327="Kapatıldı",'ŞİKAYET KAYIT'!L327,""),"")</f>
        <v/>
      </c>
      <c r="I327" s="26" t="str">
        <f>IFERROR(IF('ŞİKAYET KAYIT'!P327="Kapatıldı",'ŞİKAYET KAYIT'!M327,""),"")</f>
        <v/>
      </c>
      <c r="J327" s="26" t="str">
        <f>IFERROR(IF('ŞİKAYET KAYIT'!P327="Kapatıldı",'ŞİKAYET KAYIT'!N327,""),"")</f>
        <v/>
      </c>
      <c r="K327" s="26" t="str">
        <f>IFERROR(IF('ŞİKAYET KAYIT'!P327="Kapatıldı",'ŞİKAYET KAYIT'!O327,""),"")</f>
        <v/>
      </c>
      <c r="L327" s="8" t="str">
        <f>IFERROR(IF('ŞİKAYET KAYIT'!P327="Kapatıldı",'ŞİKAYET KAYIT'!Q327,""),"")</f>
        <v/>
      </c>
      <c r="M327" s="26" t="str">
        <f>IFERROR(IF('ŞİKAYET KAYIT'!P327="Kapatıldı",'ŞİKAYET KAYIT'!R327,""),"")</f>
        <v/>
      </c>
      <c r="N327" s="26"/>
    </row>
    <row r="328" spans="1:14" ht="15" customHeight="1" x14ac:dyDescent="0.3">
      <c r="A328" s="11" t="str">
        <f>IFERROR(IF('ŞİKAYET KAYIT'!P328="Kapatıldı",'ŞİKAYET KAYIT'!A328,""),"")</f>
        <v/>
      </c>
      <c r="B328" s="12" t="str">
        <f>IFERROR(IF('ŞİKAYET KAYIT'!P328="Kapatıldı",'ŞİKAYET KAYIT'!B328,""),"")</f>
        <v/>
      </c>
      <c r="C328" s="11" t="str">
        <f>IFERROR(IF('ŞİKAYET KAYIT'!P328="Kapatıldı",'ŞİKAYET KAYIT'!D328,""),"")</f>
        <v/>
      </c>
      <c r="D328" s="11" t="str">
        <f>IFERROR(IF('ŞİKAYET KAYIT'!P328="Kapatıldı",'ŞİKAYET KAYIT'!F328,""),"")</f>
        <v/>
      </c>
      <c r="E328" s="11" t="str">
        <f>IFERROR(IF('ŞİKAYET KAYIT'!P328="Kapatıldı",'ŞİKAYET KAYIT'!H328,""),"")</f>
        <v/>
      </c>
      <c r="F328" s="11" t="str">
        <f>IFERROR(IF('ŞİKAYET KAYIT'!P328="Kapatıldı",'ŞİKAYET KAYIT'!J328,""),"")</f>
        <v/>
      </c>
      <c r="G328" s="11" t="str">
        <f>IFERROR(IF('ŞİKAYET KAYIT'!P328="Kapatıldı",'ŞİKAYET KAYIT'!K328,""),"")</f>
        <v/>
      </c>
      <c r="H328" s="11" t="str">
        <f>IFERROR(IF('ŞİKAYET KAYIT'!P328="Kapatıldı",'ŞİKAYET KAYIT'!L328,""),"")</f>
        <v/>
      </c>
      <c r="I328" s="11" t="str">
        <f>IFERROR(IF('ŞİKAYET KAYIT'!P328="Kapatıldı",'ŞİKAYET KAYIT'!M328,""),"")</f>
        <v/>
      </c>
      <c r="J328" s="11" t="str">
        <f>IFERROR(IF('ŞİKAYET KAYIT'!P328="Kapatıldı",'ŞİKAYET KAYIT'!N328,""),"")</f>
        <v/>
      </c>
      <c r="K328" s="11" t="str">
        <f>IFERROR(IF('ŞİKAYET KAYIT'!P328="Kapatıldı",'ŞİKAYET KAYIT'!O328,""),"")</f>
        <v/>
      </c>
      <c r="L328" s="12" t="str">
        <f>IFERROR(IF('ŞİKAYET KAYIT'!P328="Kapatıldı",'ŞİKAYET KAYIT'!Q328,""),"")</f>
        <v/>
      </c>
      <c r="M328" s="11" t="str">
        <f>IFERROR(IF('ŞİKAYET KAYIT'!P328="Kapatıldı",'ŞİKAYET KAYIT'!R328,""),"")</f>
        <v/>
      </c>
      <c r="N328" s="11"/>
    </row>
    <row r="329" spans="1:14" ht="15" customHeight="1" x14ac:dyDescent="0.3">
      <c r="A329" s="26" t="str">
        <f>IFERROR(IF('ŞİKAYET KAYIT'!P329="Kapatıldı",'ŞİKAYET KAYIT'!A329,""),"")</f>
        <v/>
      </c>
      <c r="B329" s="8" t="str">
        <f>IFERROR(IF('ŞİKAYET KAYIT'!P329="Kapatıldı",'ŞİKAYET KAYIT'!B329,""),"")</f>
        <v/>
      </c>
      <c r="C329" s="26" t="str">
        <f>IFERROR(IF('ŞİKAYET KAYIT'!P329="Kapatıldı",'ŞİKAYET KAYIT'!D329,""),"")</f>
        <v/>
      </c>
      <c r="D329" s="26" t="str">
        <f>IFERROR(IF('ŞİKAYET KAYIT'!P329="Kapatıldı",'ŞİKAYET KAYIT'!F329,""),"")</f>
        <v/>
      </c>
      <c r="E329" s="26" t="str">
        <f>IFERROR(IF('ŞİKAYET KAYIT'!P329="Kapatıldı",'ŞİKAYET KAYIT'!H329,""),"")</f>
        <v/>
      </c>
      <c r="F329" s="26" t="str">
        <f>IFERROR(IF('ŞİKAYET KAYIT'!P329="Kapatıldı",'ŞİKAYET KAYIT'!J329,""),"")</f>
        <v/>
      </c>
      <c r="G329" s="26" t="str">
        <f>IFERROR(IF('ŞİKAYET KAYIT'!P329="Kapatıldı",'ŞİKAYET KAYIT'!K329,""),"")</f>
        <v/>
      </c>
      <c r="H329" s="26" t="str">
        <f>IFERROR(IF('ŞİKAYET KAYIT'!P329="Kapatıldı",'ŞİKAYET KAYIT'!L329,""),"")</f>
        <v/>
      </c>
      <c r="I329" s="26" t="str">
        <f>IFERROR(IF('ŞİKAYET KAYIT'!P329="Kapatıldı",'ŞİKAYET KAYIT'!M329,""),"")</f>
        <v/>
      </c>
      <c r="J329" s="26" t="str">
        <f>IFERROR(IF('ŞİKAYET KAYIT'!P329="Kapatıldı",'ŞİKAYET KAYIT'!N329,""),"")</f>
        <v/>
      </c>
      <c r="K329" s="26" t="str">
        <f>IFERROR(IF('ŞİKAYET KAYIT'!P329="Kapatıldı",'ŞİKAYET KAYIT'!O329,""),"")</f>
        <v/>
      </c>
      <c r="L329" s="8" t="str">
        <f>IFERROR(IF('ŞİKAYET KAYIT'!P329="Kapatıldı",'ŞİKAYET KAYIT'!Q329,""),"")</f>
        <v/>
      </c>
      <c r="M329" s="26" t="str">
        <f>IFERROR(IF('ŞİKAYET KAYIT'!P329="Kapatıldı",'ŞİKAYET KAYIT'!R329,""),"")</f>
        <v/>
      </c>
      <c r="N329" s="26"/>
    </row>
    <row r="330" spans="1:14" ht="15" customHeight="1" x14ac:dyDescent="0.3">
      <c r="A330" s="11" t="str">
        <f>IFERROR(IF('ŞİKAYET KAYIT'!P330="Kapatıldı",'ŞİKAYET KAYIT'!A330,""),"")</f>
        <v/>
      </c>
      <c r="B330" s="12" t="str">
        <f>IFERROR(IF('ŞİKAYET KAYIT'!P330="Kapatıldı",'ŞİKAYET KAYIT'!B330,""),"")</f>
        <v/>
      </c>
      <c r="C330" s="11" t="str">
        <f>IFERROR(IF('ŞİKAYET KAYIT'!P330="Kapatıldı",'ŞİKAYET KAYIT'!D330,""),"")</f>
        <v/>
      </c>
      <c r="D330" s="11" t="str">
        <f>IFERROR(IF('ŞİKAYET KAYIT'!P330="Kapatıldı",'ŞİKAYET KAYIT'!F330,""),"")</f>
        <v/>
      </c>
      <c r="E330" s="11" t="str">
        <f>IFERROR(IF('ŞİKAYET KAYIT'!P330="Kapatıldı",'ŞİKAYET KAYIT'!H330,""),"")</f>
        <v/>
      </c>
      <c r="F330" s="11" t="str">
        <f>IFERROR(IF('ŞİKAYET KAYIT'!P330="Kapatıldı",'ŞİKAYET KAYIT'!J330,""),"")</f>
        <v/>
      </c>
      <c r="G330" s="11" t="str">
        <f>IFERROR(IF('ŞİKAYET KAYIT'!P330="Kapatıldı",'ŞİKAYET KAYIT'!K330,""),"")</f>
        <v/>
      </c>
      <c r="H330" s="11" t="str">
        <f>IFERROR(IF('ŞİKAYET KAYIT'!P330="Kapatıldı",'ŞİKAYET KAYIT'!L330,""),"")</f>
        <v/>
      </c>
      <c r="I330" s="11" t="str">
        <f>IFERROR(IF('ŞİKAYET KAYIT'!P330="Kapatıldı",'ŞİKAYET KAYIT'!M330,""),"")</f>
        <v/>
      </c>
      <c r="J330" s="11" t="str">
        <f>IFERROR(IF('ŞİKAYET KAYIT'!P330="Kapatıldı",'ŞİKAYET KAYIT'!N330,""),"")</f>
        <v/>
      </c>
      <c r="K330" s="11" t="str">
        <f>IFERROR(IF('ŞİKAYET KAYIT'!P330="Kapatıldı",'ŞİKAYET KAYIT'!O330,""),"")</f>
        <v/>
      </c>
      <c r="L330" s="12" t="str">
        <f>IFERROR(IF('ŞİKAYET KAYIT'!P330="Kapatıldı",'ŞİKAYET KAYIT'!Q330,""),"")</f>
        <v/>
      </c>
      <c r="M330" s="11" t="str">
        <f>IFERROR(IF('ŞİKAYET KAYIT'!P330="Kapatıldı",'ŞİKAYET KAYIT'!R330,""),"")</f>
        <v/>
      </c>
      <c r="N330" s="11"/>
    </row>
    <row r="331" spans="1:14" ht="15" customHeight="1" x14ac:dyDescent="0.3">
      <c r="A331" s="26" t="str">
        <f>IFERROR(IF('ŞİKAYET KAYIT'!P331="Kapatıldı",'ŞİKAYET KAYIT'!A331,""),"")</f>
        <v/>
      </c>
      <c r="B331" s="8" t="str">
        <f>IFERROR(IF('ŞİKAYET KAYIT'!P331="Kapatıldı",'ŞİKAYET KAYIT'!B331,""),"")</f>
        <v/>
      </c>
      <c r="C331" s="26" t="str">
        <f>IFERROR(IF('ŞİKAYET KAYIT'!P331="Kapatıldı",'ŞİKAYET KAYIT'!D331,""),"")</f>
        <v/>
      </c>
      <c r="D331" s="26" t="str">
        <f>IFERROR(IF('ŞİKAYET KAYIT'!P331="Kapatıldı",'ŞİKAYET KAYIT'!F331,""),"")</f>
        <v/>
      </c>
      <c r="E331" s="26" t="str">
        <f>IFERROR(IF('ŞİKAYET KAYIT'!P331="Kapatıldı",'ŞİKAYET KAYIT'!H331,""),"")</f>
        <v/>
      </c>
      <c r="F331" s="26" t="str">
        <f>IFERROR(IF('ŞİKAYET KAYIT'!P331="Kapatıldı",'ŞİKAYET KAYIT'!J331,""),"")</f>
        <v/>
      </c>
      <c r="G331" s="26" t="str">
        <f>IFERROR(IF('ŞİKAYET KAYIT'!P331="Kapatıldı",'ŞİKAYET KAYIT'!K331,""),"")</f>
        <v/>
      </c>
      <c r="H331" s="26" t="str">
        <f>IFERROR(IF('ŞİKAYET KAYIT'!P331="Kapatıldı",'ŞİKAYET KAYIT'!L331,""),"")</f>
        <v/>
      </c>
      <c r="I331" s="26" t="str">
        <f>IFERROR(IF('ŞİKAYET KAYIT'!P331="Kapatıldı",'ŞİKAYET KAYIT'!M331,""),"")</f>
        <v/>
      </c>
      <c r="J331" s="26" t="str">
        <f>IFERROR(IF('ŞİKAYET KAYIT'!P331="Kapatıldı",'ŞİKAYET KAYIT'!N331,""),"")</f>
        <v/>
      </c>
      <c r="K331" s="26" t="str">
        <f>IFERROR(IF('ŞİKAYET KAYIT'!P331="Kapatıldı",'ŞİKAYET KAYIT'!O331,""),"")</f>
        <v/>
      </c>
      <c r="L331" s="8" t="str">
        <f>IFERROR(IF('ŞİKAYET KAYIT'!P331="Kapatıldı",'ŞİKAYET KAYIT'!Q331,""),"")</f>
        <v/>
      </c>
      <c r="M331" s="26" t="str">
        <f>IFERROR(IF('ŞİKAYET KAYIT'!P331="Kapatıldı",'ŞİKAYET KAYIT'!R331,""),"")</f>
        <v/>
      </c>
      <c r="N331" s="26"/>
    </row>
    <row r="332" spans="1:14" ht="15" customHeight="1" x14ac:dyDescent="0.3">
      <c r="A332" s="11" t="str">
        <f>IFERROR(IF('ŞİKAYET KAYIT'!P332="Kapatıldı",'ŞİKAYET KAYIT'!A332,""),"")</f>
        <v/>
      </c>
      <c r="B332" s="12" t="str">
        <f>IFERROR(IF('ŞİKAYET KAYIT'!P332="Kapatıldı",'ŞİKAYET KAYIT'!B332,""),"")</f>
        <v/>
      </c>
      <c r="C332" s="11" t="str">
        <f>IFERROR(IF('ŞİKAYET KAYIT'!P332="Kapatıldı",'ŞİKAYET KAYIT'!D332,""),"")</f>
        <v/>
      </c>
      <c r="D332" s="11" t="str">
        <f>IFERROR(IF('ŞİKAYET KAYIT'!P332="Kapatıldı",'ŞİKAYET KAYIT'!F332,""),"")</f>
        <v/>
      </c>
      <c r="E332" s="11" t="str">
        <f>IFERROR(IF('ŞİKAYET KAYIT'!P332="Kapatıldı",'ŞİKAYET KAYIT'!H332,""),"")</f>
        <v/>
      </c>
      <c r="F332" s="11" t="str">
        <f>IFERROR(IF('ŞİKAYET KAYIT'!P332="Kapatıldı",'ŞİKAYET KAYIT'!J332,""),"")</f>
        <v/>
      </c>
      <c r="G332" s="11" t="str">
        <f>IFERROR(IF('ŞİKAYET KAYIT'!P332="Kapatıldı",'ŞİKAYET KAYIT'!K332,""),"")</f>
        <v/>
      </c>
      <c r="H332" s="11" t="str">
        <f>IFERROR(IF('ŞİKAYET KAYIT'!P332="Kapatıldı",'ŞİKAYET KAYIT'!L332,""),"")</f>
        <v/>
      </c>
      <c r="I332" s="11" t="str">
        <f>IFERROR(IF('ŞİKAYET KAYIT'!P332="Kapatıldı",'ŞİKAYET KAYIT'!M332,""),"")</f>
        <v/>
      </c>
      <c r="J332" s="11" t="str">
        <f>IFERROR(IF('ŞİKAYET KAYIT'!P332="Kapatıldı",'ŞİKAYET KAYIT'!N332,""),"")</f>
        <v/>
      </c>
      <c r="K332" s="11" t="str">
        <f>IFERROR(IF('ŞİKAYET KAYIT'!P332="Kapatıldı",'ŞİKAYET KAYIT'!O332,""),"")</f>
        <v/>
      </c>
      <c r="L332" s="12" t="str">
        <f>IFERROR(IF('ŞİKAYET KAYIT'!P332="Kapatıldı",'ŞİKAYET KAYIT'!Q332,""),"")</f>
        <v/>
      </c>
      <c r="M332" s="11" t="str">
        <f>IFERROR(IF('ŞİKAYET KAYIT'!P332="Kapatıldı",'ŞİKAYET KAYIT'!R332,""),"")</f>
        <v/>
      </c>
      <c r="N332" s="11"/>
    </row>
    <row r="333" spans="1:14" ht="15" customHeight="1" x14ac:dyDescent="0.3">
      <c r="A333" s="26" t="str">
        <f>IFERROR(IF('ŞİKAYET KAYIT'!P333="Kapatıldı",'ŞİKAYET KAYIT'!A333,""),"")</f>
        <v/>
      </c>
      <c r="B333" s="8" t="str">
        <f>IFERROR(IF('ŞİKAYET KAYIT'!P333="Kapatıldı",'ŞİKAYET KAYIT'!B333,""),"")</f>
        <v/>
      </c>
      <c r="C333" s="26" t="str">
        <f>IFERROR(IF('ŞİKAYET KAYIT'!P333="Kapatıldı",'ŞİKAYET KAYIT'!D333,""),"")</f>
        <v/>
      </c>
      <c r="D333" s="26" t="str">
        <f>IFERROR(IF('ŞİKAYET KAYIT'!P333="Kapatıldı",'ŞİKAYET KAYIT'!F333,""),"")</f>
        <v/>
      </c>
      <c r="E333" s="26" t="str">
        <f>IFERROR(IF('ŞİKAYET KAYIT'!P333="Kapatıldı",'ŞİKAYET KAYIT'!H333,""),"")</f>
        <v/>
      </c>
      <c r="F333" s="26" t="str">
        <f>IFERROR(IF('ŞİKAYET KAYIT'!P333="Kapatıldı",'ŞİKAYET KAYIT'!J333,""),"")</f>
        <v/>
      </c>
      <c r="G333" s="26" t="str">
        <f>IFERROR(IF('ŞİKAYET KAYIT'!P333="Kapatıldı",'ŞİKAYET KAYIT'!K333,""),"")</f>
        <v/>
      </c>
      <c r="H333" s="26" t="str">
        <f>IFERROR(IF('ŞİKAYET KAYIT'!P333="Kapatıldı",'ŞİKAYET KAYIT'!L333,""),"")</f>
        <v/>
      </c>
      <c r="I333" s="26" t="str">
        <f>IFERROR(IF('ŞİKAYET KAYIT'!P333="Kapatıldı",'ŞİKAYET KAYIT'!M333,""),"")</f>
        <v/>
      </c>
      <c r="J333" s="26" t="str">
        <f>IFERROR(IF('ŞİKAYET KAYIT'!P333="Kapatıldı",'ŞİKAYET KAYIT'!N333,""),"")</f>
        <v/>
      </c>
      <c r="K333" s="26" t="str">
        <f>IFERROR(IF('ŞİKAYET KAYIT'!P333="Kapatıldı",'ŞİKAYET KAYIT'!O333,""),"")</f>
        <v/>
      </c>
      <c r="L333" s="8" t="str">
        <f>IFERROR(IF('ŞİKAYET KAYIT'!P333="Kapatıldı",'ŞİKAYET KAYIT'!Q333,""),"")</f>
        <v/>
      </c>
      <c r="M333" s="26" t="str">
        <f>IFERROR(IF('ŞİKAYET KAYIT'!P333="Kapatıldı",'ŞİKAYET KAYIT'!R333,""),"")</f>
        <v/>
      </c>
      <c r="N333" s="26"/>
    </row>
    <row r="334" spans="1:14" ht="15" customHeight="1" x14ac:dyDescent="0.3">
      <c r="A334" s="11" t="str">
        <f>IFERROR(IF('ŞİKAYET KAYIT'!P334="Kapatıldı",'ŞİKAYET KAYIT'!A334,""),"")</f>
        <v/>
      </c>
      <c r="B334" s="12" t="str">
        <f>IFERROR(IF('ŞİKAYET KAYIT'!P334="Kapatıldı",'ŞİKAYET KAYIT'!B334,""),"")</f>
        <v/>
      </c>
      <c r="C334" s="11" t="str">
        <f>IFERROR(IF('ŞİKAYET KAYIT'!P334="Kapatıldı",'ŞİKAYET KAYIT'!D334,""),"")</f>
        <v/>
      </c>
      <c r="D334" s="11" t="str">
        <f>IFERROR(IF('ŞİKAYET KAYIT'!P334="Kapatıldı",'ŞİKAYET KAYIT'!F334,""),"")</f>
        <v/>
      </c>
      <c r="E334" s="11" t="str">
        <f>IFERROR(IF('ŞİKAYET KAYIT'!P334="Kapatıldı",'ŞİKAYET KAYIT'!H334,""),"")</f>
        <v/>
      </c>
      <c r="F334" s="11" t="str">
        <f>IFERROR(IF('ŞİKAYET KAYIT'!P334="Kapatıldı",'ŞİKAYET KAYIT'!J334,""),"")</f>
        <v/>
      </c>
      <c r="G334" s="11" t="str">
        <f>IFERROR(IF('ŞİKAYET KAYIT'!P334="Kapatıldı",'ŞİKAYET KAYIT'!K334,""),"")</f>
        <v/>
      </c>
      <c r="H334" s="11" t="str">
        <f>IFERROR(IF('ŞİKAYET KAYIT'!P334="Kapatıldı",'ŞİKAYET KAYIT'!L334,""),"")</f>
        <v/>
      </c>
      <c r="I334" s="11" t="str">
        <f>IFERROR(IF('ŞİKAYET KAYIT'!P334="Kapatıldı",'ŞİKAYET KAYIT'!M334,""),"")</f>
        <v/>
      </c>
      <c r="J334" s="11" t="str">
        <f>IFERROR(IF('ŞİKAYET KAYIT'!P334="Kapatıldı",'ŞİKAYET KAYIT'!N334,""),"")</f>
        <v/>
      </c>
      <c r="K334" s="11" t="str">
        <f>IFERROR(IF('ŞİKAYET KAYIT'!P334="Kapatıldı",'ŞİKAYET KAYIT'!O334,""),"")</f>
        <v/>
      </c>
      <c r="L334" s="12" t="str">
        <f>IFERROR(IF('ŞİKAYET KAYIT'!P334="Kapatıldı",'ŞİKAYET KAYIT'!Q334,""),"")</f>
        <v/>
      </c>
      <c r="M334" s="11" t="str">
        <f>IFERROR(IF('ŞİKAYET KAYIT'!P334="Kapatıldı",'ŞİKAYET KAYIT'!R334,""),"")</f>
        <v/>
      </c>
      <c r="N334" s="11"/>
    </row>
    <row r="335" spans="1:14" ht="15" customHeight="1" x14ac:dyDescent="0.3">
      <c r="A335" s="26" t="str">
        <f>IFERROR(IF('ŞİKAYET KAYIT'!P335="Kapatıldı",'ŞİKAYET KAYIT'!A335,""),"")</f>
        <v/>
      </c>
      <c r="B335" s="8" t="str">
        <f>IFERROR(IF('ŞİKAYET KAYIT'!P335="Kapatıldı",'ŞİKAYET KAYIT'!B335,""),"")</f>
        <v/>
      </c>
      <c r="C335" s="26" t="str">
        <f>IFERROR(IF('ŞİKAYET KAYIT'!P335="Kapatıldı",'ŞİKAYET KAYIT'!D335,""),"")</f>
        <v/>
      </c>
      <c r="D335" s="26" t="str">
        <f>IFERROR(IF('ŞİKAYET KAYIT'!P335="Kapatıldı",'ŞİKAYET KAYIT'!F335,""),"")</f>
        <v/>
      </c>
      <c r="E335" s="26" t="str">
        <f>IFERROR(IF('ŞİKAYET KAYIT'!P335="Kapatıldı",'ŞİKAYET KAYIT'!H335,""),"")</f>
        <v/>
      </c>
      <c r="F335" s="26" t="str">
        <f>IFERROR(IF('ŞİKAYET KAYIT'!P335="Kapatıldı",'ŞİKAYET KAYIT'!J335,""),"")</f>
        <v/>
      </c>
      <c r="G335" s="26" t="str">
        <f>IFERROR(IF('ŞİKAYET KAYIT'!P335="Kapatıldı",'ŞİKAYET KAYIT'!K335,""),"")</f>
        <v/>
      </c>
      <c r="H335" s="26" t="str">
        <f>IFERROR(IF('ŞİKAYET KAYIT'!P335="Kapatıldı",'ŞİKAYET KAYIT'!L335,""),"")</f>
        <v/>
      </c>
      <c r="I335" s="26" t="str">
        <f>IFERROR(IF('ŞİKAYET KAYIT'!P335="Kapatıldı",'ŞİKAYET KAYIT'!M335,""),"")</f>
        <v/>
      </c>
      <c r="J335" s="26" t="str">
        <f>IFERROR(IF('ŞİKAYET KAYIT'!P335="Kapatıldı",'ŞİKAYET KAYIT'!N335,""),"")</f>
        <v/>
      </c>
      <c r="K335" s="26" t="str">
        <f>IFERROR(IF('ŞİKAYET KAYIT'!P335="Kapatıldı",'ŞİKAYET KAYIT'!O335,""),"")</f>
        <v/>
      </c>
      <c r="L335" s="8" t="str">
        <f>IFERROR(IF('ŞİKAYET KAYIT'!P335="Kapatıldı",'ŞİKAYET KAYIT'!Q335,""),"")</f>
        <v/>
      </c>
      <c r="M335" s="26" t="str">
        <f>IFERROR(IF('ŞİKAYET KAYIT'!P335="Kapatıldı",'ŞİKAYET KAYIT'!R335,""),"")</f>
        <v/>
      </c>
      <c r="N335" s="26"/>
    </row>
    <row r="336" spans="1:14" ht="15" customHeight="1" x14ac:dyDescent="0.3">
      <c r="A336" s="11" t="str">
        <f>IFERROR(IF('ŞİKAYET KAYIT'!P336="Kapatıldı",'ŞİKAYET KAYIT'!A336,""),"")</f>
        <v/>
      </c>
      <c r="B336" s="12" t="str">
        <f>IFERROR(IF('ŞİKAYET KAYIT'!P336="Kapatıldı",'ŞİKAYET KAYIT'!B336,""),"")</f>
        <v/>
      </c>
      <c r="C336" s="11" t="str">
        <f>IFERROR(IF('ŞİKAYET KAYIT'!P336="Kapatıldı",'ŞİKAYET KAYIT'!D336,""),"")</f>
        <v/>
      </c>
      <c r="D336" s="11" t="str">
        <f>IFERROR(IF('ŞİKAYET KAYIT'!P336="Kapatıldı",'ŞİKAYET KAYIT'!F336,""),"")</f>
        <v/>
      </c>
      <c r="E336" s="11" t="str">
        <f>IFERROR(IF('ŞİKAYET KAYIT'!P336="Kapatıldı",'ŞİKAYET KAYIT'!H336,""),"")</f>
        <v/>
      </c>
      <c r="F336" s="11" t="str">
        <f>IFERROR(IF('ŞİKAYET KAYIT'!P336="Kapatıldı",'ŞİKAYET KAYIT'!J336,""),"")</f>
        <v/>
      </c>
      <c r="G336" s="11" t="str">
        <f>IFERROR(IF('ŞİKAYET KAYIT'!P336="Kapatıldı",'ŞİKAYET KAYIT'!K336,""),"")</f>
        <v/>
      </c>
      <c r="H336" s="11" t="str">
        <f>IFERROR(IF('ŞİKAYET KAYIT'!P336="Kapatıldı",'ŞİKAYET KAYIT'!L336,""),"")</f>
        <v/>
      </c>
      <c r="I336" s="11" t="str">
        <f>IFERROR(IF('ŞİKAYET KAYIT'!P336="Kapatıldı",'ŞİKAYET KAYIT'!M336,""),"")</f>
        <v/>
      </c>
      <c r="J336" s="11" t="str">
        <f>IFERROR(IF('ŞİKAYET KAYIT'!P336="Kapatıldı",'ŞİKAYET KAYIT'!N336,""),"")</f>
        <v/>
      </c>
      <c r="K336" s="11" t="str">
        <f>IFERROR(IF('ŞİKAYET KAYIT'!P336="Kapatıldı",'ŞİKAYET KAYIT'!O336,""),"")</f>
        <v/>
      </c>
      <c r="L336" s="12" t="str">
        <f>IFERROR(IF('ŞİKAYET KAYIT'!P336="Kapatıldı",'ŞİKAYET KAYIT'!Q336,""),"")</f>
        <v/>
      </c>
      <c r="M336" s="11" t="str">
        <f>IFERROR(IF('ŞİKAYET KAYIT'!P336="Kapatıldı",'ŞİKAYET KAYIT'!R336,""),"")</f>
        <v/>
      </c>
      <c r="N336" s="11"/>
    </row>
    <row r="337" spans="1:14" ht="15" customHeight="1" x14ac:dyDescent="0.3">
      <c r="A337" s="26" t="str">
        <f>IFERROR(IF('ŞİKAYET KAYIT'!P337="Kapatıldı",'ŞİKAYET KAYIT'!A337,""),"")</f>
        <v/>
      </c>
      <c r="B337" s="8" t="str">
        <f>IFERROR(IF('ŞİKAYET KAYIT'!P337="Kapatıldı",'ŞİKAYET KAYIT'!B337,""),"")</f>
        <v/>
      </c>
      <c r="C337" s="26" t="str">
        <f>IFERROR(IF('ŞİKAYET KAYIT'!P337="Kapatıldı",'ŞİKAYET KAYIT'!D337,""),"")</f>
        <v/>
      </c>
      <c r="D337" s="26" t="str">
        <f>IFERROR(IF('ŞİKAYET KAYIT'!P337="Kapatıldı",'ŞİKAYET KAYIT'!F337,""),"")</f>
        <v/>
      </c>
      <c r="E337" s="26" t="str">
        <f>IFERROR(IF('ŞİKAYET KAYIT'!P337="Kapatıldı",'ŞİKAYET KAYIT'!H337,""),"")</f>
        <v/>
      </c>
      <c r="F337" s="26" t="str">
        <f>IFERROR(IF('ŞİKAYET KAYIT'!P337="Kapatıldı",'ŞİKAYET KAYIT'!J337,""),"")</f>
        <v/>
      </c>
      <c r="G337" s="26" t="str">
        <f>IFERROR(IF('ŞİKAYET KAYIT'!P337="Kapatıldı",'ŞİKAYET KAYIT'!K337,""),"")</f>
        <v/>
      </c>
      <c r="H337" s="26" t="str">
        <f>IFERROR(IF('ŞİKAYET KAYIT'!P337="Kapatıldı",'ŞİKAYET KAYIT'!L337,""),"")</f>
        <v/>
      </c>
      <c r="I337" s="26" t="str">
        <f>IFERROR(IF('ŞİKAYET KAYIT'!P337="Kapatıldı",'ŞİKAYET KAYIT'!M337,""),"")</f>
        <v/>
      </c>
      <c r="J337" s="26" t="str">
        <f>IFERROR(IF('ŞİKAYET KAYIT'!P337="Kapatıldı",'ŞİKAYET KAYIT'!N337,""),"")</f>
        <v/>
      </c>
      <c r="K337" s="26" t="str">
        <f>IFERROR(IF('ŞİKAYET KAYIT'!P337="Kapatıldı",'ŞİKAYET KAYIT'!O337,""),"")</f>
        <v/>
      </c>
      <c r="L337" s="8" t="str">
        <f>IFERROR(IF('ŞİKAYET KAYIT'!P337="Kapatıldı",'ŞİKAYET KAYIT'!Q337,""),"")</f>
        <v/>
      </c>
      <c r="M337" s="26" t="str">
        <f>IFERROR(IF('ŞİKAYET KAYIT'!P337="Kapatıldı",'ŞİKAYET KAYIT'!R337,""),"")</f>
        <v/>
      </c>
      <c r="N337" s="26"/>
    </row>
    <row r="338" spans="1:14" ht="15" customHeight="1" x14ac:dyDescent="0.3">
      <c r="A338" s="11" t="str">
        <f>IFERROR(IF('ŞİKAYET KAYIT'!P338="Kapatıldı",'ŞİKAYET KAYIT'!A338,""),"")</f>
        <v/>
      </c>
      <c r="B338" s="12" t="str">
        <f>IFERROR(IF('ŞİKAYET KAYIT'!P338="Kapatıldı",'ŞİKAYET KAYIT'!B338,""),"")</f>
        <v/>
      </c>
      <c r="C338" s="11" t="str">
        <f>IFERROR(IF('ŞİKAYET KAYIT'!P338="Kapatıldı",'ŞİKAYET KAYIT'!D338,""),"")</f>
        <v/>
      </c>
      <c r="D338" s="11" t="str">
        <f>IFERROR(IF('ŞİKAYET KAYIT'!P338="Kapatıldı",'ŞİKAYET KAYIT'!F338,""),"")</f>
        <v/>
      </c>
      <c r="E338" s="11" t="str">
        <f>IFERROR(IF('ŞİKAYET KAYIT'!P338="Kapatıldı",'ŞİKAYET KAYIT'!H338,""),"")</f>
        <v/>
      </c>
      <c r="F338" s="11" t="str">
        <f>IFERROR(IF('ŞİKAYET KAYIT'!P338="Kapatıldı",'ŞİKAYET KAYIT'!J338,""),"")</f>
        <v/>
      </c>
      <c r="G338" s="11" t="str">
        <f>IFERROR(IF('ŞİKAYET KAYIT'!P338="Kapatıldı",'ŞİKAYET KAYIT'!K338,""),"")</f>
        <v/>
      </c>
      <c r="H338" s="11" t="str">
        <f>IFERROR(IF('ŞİKAYET KAYIT'!P338="Kapatıldı",'ŞİKAYET KAYIT'!L338,""),"")</f>
        <v/>
      </c>
      <c r="I338" s="11" t="str">
        <f>IFERROR(IF('ŞİKAYET KAYIT'!P338="Kapatıldı",'ŞİKAYET KAYIT'!M338,""),"")</f>
        <v/>
      </c>
      <c r="J338" s="11" t="str">
        <f>IFERROR(IF('ŞİKAYET KAYIT'!P338="Kapatıldı",'ŞİKAYET KAYIT'!N338,""),"")</f>
        <v/>
      </c>
      <c r="K338" s="11" t="str">
        <f>IFERROR(IF('ŞİKAYET KAYIT'!P338="Kapatıldı",'ŞİKAYET KAYIT'!O338,""),"")</f>
        <v/>
      </c>
      <c r="L338" s="12" t="str">
        <f>IFERROR(IF('ŞİKAYET KAYIT'!P338="Kapatıldı",'ŞİKAYET KAYIT'!Q338,""),"")</f>
        <v/>
      </c>
      <c r="M338" s="11" t="str">
        <f>IFERROR(IF('ŞİKAYET KAYIT'!P338="Kapatıldı",'ŞİKAYET KAYIT'!R338,""),"")</f>
        <v/>
      </c>
      <c r="N338" s="11"/>
    </row>
    <row r="339" spans="1:14" ht="15" customHeight="1" x14ac:dyDescent="0.3">
      <c r="A339" s="26" t="str">
        <f>IFERROR(IF('ŞİKAYET KAYIT'!P339="Kapatıldı",'ŞİKAYET KAYIT'!A339,""),"")</f>
        <v/>
      </c>
      <c r="B339" s="8" t="str">
        <f>IFERROR(IF('ŞİKAYET KAYIT'!P339="Kapatıldı",'ŞİKAYET KAYIT'!B339,""),"")</f>
        <v/>
      </c>
      <c r="C339" s="26" t="str">
        <f>IFERROR(IF('ŞİKAYET KAYIT'!P339="Kapatıldı",'ŞİKAYET KAYIT'!D339,""),"")</f>
        <v/>
      </c>
      <c r="D339" s="26" t="str">
        <f>IFERROR(IF('ŞİKAYET KAYIT'!P339="Kapatıldı",'ŞİKAYET KAYIT'!F339,""),"")</f>
        <v/>
      </c>
      <c r="E339" s="26" t="str">
        <f>IFERROR(IF('ŞİKAYET KAYIT'!P339="Kapatıldı",'ŞİKAYET KAYIT'!H339,""),"")</f>
        <v/>
      </c>
      <c r="F339" s="26" t="str">
        <f>IFERROR(IF('ŞİKAYET KAYIT'!P339="Kapatıldı",'ŞİKAYET KAYIT'!J339,""),"")</f>
        <v/>
      </c>
      <c r="G339" s="26" t="str">
        <f>IFERROR(IF('ŞİKAYET KAYIT'!P339="Kapatıldı",'ŞİKAYET KAYIT'!K339,""),"")</f>
        <v/>
      </c>
      <c r="H339" s="26" t="str">
        <f>IFERROR(IF('ŞİKAYET KAYIT'!P339="Kapatıldı",'ŞİKAYET KAYIT'!L339,""),"")</f>
        <v/>
      </c>
      <c r="I339" s="26" t="str">
        <f>IFERROR(IF('ŞİKAYET KAYIT'!P339="Kapatıldı",'ŞİKAYET KAYIT'!M339,""),"")</f>
        <v/>
      </c>
      <c r="J339" s="26" t="str">
        <f>IFERROR(IF('ŞİKAYET KAYIT'!P339="Kapatıldı",'ŞİKAYET KAYIT'!N339,""),"")</f>
        <v/>
      </c>
      <c r="K339" s="26" t="str">
        <f>IFERROR(IF('ŞİKAYET KAYIT'!P339="Kapatıldı",'ŞİKAYET KAYIT'!O339,""),"")</f>
        <v/>
      </c>
      <c r="L339" s="8" t="str">
        <f>IFERROR(IF('ŞİKAYET KAYIT'!P339="Kapatıldı",'ŞİKAYET KAYIT'!Q339,""),"")</f>
        <v/>
      </c>
      <c r="M339" s="26" t="str">
        <f>IFERROR(IF('ŞİKAYET KAYIT'!P339="Kapatıldı",'ŞİKAYET KAYIT'!R339,""),"")</f>
        <v/>
      </c>
      <c r="N339" s="26"/>
    </row>
    <row r="340" spans="1:14" ht="15" customHeight="1" x14ac:dyDescent="0.3">
      <c r="A340" s="11" t="str">
        <f>IFERROR(IF('ŞİKAYET KAYIT'!P340="Kapatıldı",'ŞİKAYET KAYIT'!A340,""),"")</f>
        <v/>
      </c>
      <c r="B340" s="12" t="str">
        <f>IFERROR(IF('ŞİKAYET KAYIT'!P340="Kapatıldı",'ŞİKAYET KAYIT'!B340,""),"")</f>
        <v/>
      </c>
      <c r="C340" s="11" t="str">
        <f>IFERROR(IF('ŞİKAYET KAYIT'!P340="Kapatıldı",'ŞİKAYET KAYIT'!D340,""),"")</f>
        <v/>
      </c>
      <c r="D340" s="11" t="str">
        <f>IFERROR(IF('ŞİKAYET KAYIT'!P340="Kapatıldı",'ŞİKAYET KAYIT'!F340,""),"")</f>
        <v/>
      </c>
      <c r="E340" s="11" t="str">
        <f>IFERROR(IF('ŞİKAYET KAYIT'!P340="Kapatıldı",'ŞİKAYET KAYIT'!H340,""),"")</f>
        <v/>
      </c>
      <c r="F340" s="11" t="str">
        <f>IFERROR(IF('ŞİKAYET KAYIT'!P340="Kapatıldı",'ŞİKAYET KAYIT'!J340,""),"")</f>
        <v/>
      </c>
      <c r="G340" s="11" t="str">
        <f>IFERROR(IF('ŞİKAYET KAYIT'!P340="Kapatıldı",'ŞİKAYET KAYIT'!K340,""),"")</f>
        <v/>
      </c>
      <c r="H340" s="11" t="str">
        <f>IFERROR(IF('ŞİKAYET KAYIT'!P340="Kapatıldı",'ŞİKAYET KAYIT'!L340,""),"")</f>
        <v/>
      </c>
      <c r="I340" s="11" t="str">
        <f>IFERROR(IF('ŞİKAYET KAYIT'!P340="Kapatıldı",'ŞİKAYET KAYIT'!M340,""),"")</f>
        <v/>
      </c>
      <c r="J340" s="11" t="str">
        <f>IFERROR(IF('ŞİKAYET KAYIT'!P340="Kapatıldı",'ŞİKAYET KAYIT'!N340,""),"")</f>
        <v/>
      </c>
      <c r="K340" s="11" t="str">
        <f>IFERROR(IF('ŞİKAYET KAYIT'!P340="Kapatıldı",'ŞİKAYET KAYIT'!O340,""),"")</f>
        <v/>
      </c>
      <c r="L340" s="12" t="str">
        <f>IFERROR(IF('ŞİKAYET KAYIT'!P340="Kapatıldı",'ŞİKAYET KAYIT'!Q340,""),"")</f>
        <v/>
      </c>
      <c r="M340" s="11" t="str">
        <f>IFERROR(IF('ŞİKAYET KAYIT'!P340="Kapatıldı",'ŞİKAYET KAYIT'!R340,""),"")</f>
        <v/>
      </c>
      <c r="N340" s="11"/>
    </row>
    <row r="341" spans="1:14" ht="15" customHeight="1" x14ac:dyDescent="0.3">
      <c r="A341" s="26" t="str">
        <f>IFERROR(IF('ŞİKAYET KAYIT'!P341="Kapatıldı",'ŞİKAYET KAYIT'!A341,""),"")</f>
        <v/>
      </c>
      <c r="B341" s="8" t="str">
        <f>IFERROR(IF('ŞİKAYET KAYIT'!P341="Kapatıldı",'ŞİKAYET KAYIT'!B341,""),"")</f>
        <v/>
      </c>
      <c r="C341" s="26" t="str">
        <f>IFERROR(IF('ŞİKAYET KAYIT'!P341="Kapatıldı",'ŞİKAYET KAYIT'!D341,""),"")</f>
        <v/>
      </c>
      <c r="D341" s="26" t="str">
        <f>IFERROR(IF('ŞİKAYET KAYIT'!P341="Kapatıldı",'ŞİKAYET KAYIT'!F341,""),"")</f>
        <v/>
      </c>
      <c r="E341" s="26" t="str">
        <f>IFERROR(IF('ŞİKAYET KAYIT'!P341="Kapatıldı",'ŞİKAYET KAYIT'!H341,""),"")</f>
        <v/>
      </c>
      <c r="F341" s="26" t="str">
        <f>IFERROR(IF('ŞİKAYET KAYIT'!P341="Kapatıldı",'ŞİKAYET KAYIT'!J341,""),"")</f>
        <v/>
      </c>
      <c r="G341" s="26" t="str">
        <f>IFERROR(IF('ŞİKAYET KAYIT'!P341="Kapatıldı",'ŞİKAYET KAYIT'!K341,""),"")</f>
        <v/>
      </c>
      <c r="H341" s="26" t="str">
        <f>IFERROR(IF('ŞİKAYET KAYIT'!P341="Kapatıldı",'ŞİKAYET KAYIT'!L341,""),"")</f>
        <v/>
      </c>
      <c r="I341" s="26" t="str">
        <f>IFERROR(IF('ŞİKAYET KAYIT'!P341="Kapatıldı",'ŞİKAYET KAYIT'!M341,""),"")</f>
        <v/>
      </c>
      <c r="J341" s="26" t="str">
        <f>IFERROR(IF('ŞİKAYET KAYIT'!P341="Kapatıldı",'ŞİKAYET KAYIT'!N341,""),"")</f>
        <v/>
      </c>
      <c r="K341" s="26" t="str">
        <f>IFERROR(IF('ŞİKAYET KAYIT'!P341="Kapatıldı",'ŞİKAYET KAYIT'!O341,""),"")</f>
        <v/>
      </c>
      <c r="L341" s="8" t="str">
        <f>IFERROR(IF('ŞİKAYET KAYIT'!P341="Kapatıldı",'ŞİKAYET KAYIT'!Q341,""),"")</f>
        <v/>
      </c>
      <c r="M341" s="26" t="str">
        <f>IFERROR(IF('ŞİKAYET KAYIT'!P341="Kapatıldı",'ŞİKAYET KAYIT'!R341,""),"")</f>
        <v/>
      </c>
      <c r="N341" s="26"/>
    </row>
    <row r="342" spans="1:14" ht="15" customHeight="1" x14ac:dyDescent="0.3">
      <c r="A342" s="11" t="str">
        <f>IFERROR(IF('ŞİKAYET KAYIT'!P342="Kapatıldı",'ŞİKAYET KAYIT'!A342,""),"")</f>
        <v/>
      </c>
      <c r="B342" s="12" t="str">
        <f>IFERROR(IF('ŞİKAYET KAYIT'!P342="Kapatıldı",'ŞİKAYET KAYIT'!B342,""),"")</f>
        <v/>
      </c>
      <c r="C342" s="11" t="str">
        <f>IFERROR(IF('ŞİKAYET KAYIT'!P342="Kapatıldı",'ŞİKAYET KAYIT'!D342,""),"")</f>
        <v/>
      </c>
      <c r="D342" s="11" t="str">
        <f>IFERROR(IF('ŞİKAYET KAYIT'!P342="Kapatıldı",'ŞİKAYET KAYIT'!F342,""),"")</f>
        <v/>
      </c>
      <c r="E342" s="11" t="str">
        <f>IFERROR(IF('ŞİKAYET KAYIT'!P342="Kapatıldı",'ŞİKAYET KAYIT'!H342,""),"")</f>
        <v/>
      </c>
      <c r="F342" s="11" t="str">
        <f>IFERROR(IF('ŞİKAYET KAYIT'!P342="Kapatıldı",'ŞİKAYET KAYIT'!J342,""),"")</f>
        <v/>
      </c>
      <c r="G342" s="11" t="str">
        <f>IFERROR(IF('ŞİKAYET KAYIT'!P342="Kapatıldı",'ŞİKAYET KAYIT'!K342,""),"")</f>
        <v/>
      </c>
      <c r="H342" s="11" t="str">
        <f>IFERROR(IF('ŞİKAYET KAYIT'!P342="Kapatıldı",'ŞİKAYET KAYIT'!L342,""),"")</f>
        <v/>
      </c>
      <c r="I342" s="11" t="str">
        <f>IFERROR(IF('ŞİKAYET KAYIT'!P342="Kapatıldı",'ŞİKAYET KAYIT'!M342,""),"")</f>
        <v/>
      </c>
      <c r="J342" s="11" t="str">
        <f>IFERROR(IF('ŞİKAYET KAYIT'!P342="Kapatıldı",'ŞİKAYET KAYIT'!N342,""),"")</f>
        <v/>
      </c>
      <c r="K342" s="11" t="str">
        <f>IFERROR(IF('ŞİKAYET KAYIT'!P342="Kapatıldı",'ŞİKAYET KAYIT'!O342,""),"")</f>
        <v/>
      </c>
      <c r="L342" s="12" t="str">
        <f>IFERROR(IF('ŞİKAYET KAYIT'!P342="Kapatıldı",'ŞİKAYET KAYIT'!Q342,""),"")</f>
        <v/>
      </c>
      <c r="M342" s="11" t="str">
        <f>IFERROR(IF('ŞİKAYET KAYIT'!P342="Kapatıldı",'ŞİKAYET KAYIT'!R342,""),"")</f>
        <v/>
      </c>
      <c r="N342" s="11"/>
    </row>
    <row r="343" spans="1:14" ht="15" customHeight="1" x14ac:dyDescent="0.3">
      <c r="A343" s="26" t="str">
        <f>IFERROR(IF('ŞİKAYET KAYIT'!P343="Kapatıldı",'ŞİKAYET KAYIT'!A343,""),"")</f>
        <v/>
      </c>
      <c r="B343" s="8" t="str">
        <f>IFERROR(IF('ŞİKAYET KAYIT'!P343="Kapatıldı",'ŞİKAYET KAYIT'!B343,""),"")</f>
        <v/>
      </c>
      <c r="C343" s="26" t="str">
        <f>IFERROR(IF('ŞİKAYET KAYIT'!P343="Kapatıldı",'ŞİKAYET KAYIT'!D343,""),"")</f>
        <v/>
      </c>
      <c r="D343" s="26" t="str">
        <f>IFERROR(IF('ŞİKAYET KAYIT'!P343="Kapatıldı",'ŞİKAYET KAYIT'!F343,""),"")</f>
        <v/>
      </c>
      <c r="E343" s="26" t="str">
        <f>IFERROR(IF('ŞİKAYET KAYIT'!P343="Kapatıldı",'ŞİKAYET KAYIT'!H343,""),"")</f>
        <v/>
      </c>
      <c r="F343" s="26" t="str">
        <f>IFERROR(IF('ŞİKAYET KAYIT'!P343="Kapatıldı",'ŞİKAYET KAYIT'!J343,""),"")</f>
        <v/>
      </c>
      <c r="G343" s="26" t="str">
        <f>IFERROR(IF('ŞİKAYET KAYIT'!P343="Kapatıldı",'ŞİKAYET KAYIT'!K343,""),"")</f>
        <v/>
      </c>
      <c r="H343" s="26" t="str">
        <f>IFERROR(IF('ŞİKAYET KAYIT'!P343="Kapatıldı",'ŞİKAYET KAYIT'!L343,""),"")</f>
        <v/>
      </c>
      <c r="I343" s="26" t="str">
        <f>IFERROR(IF('ŞİKAYET KAYIT'!P343="Kapatıldı",'ŞİKAYET KAYIT'!M343,""),"")</f>
        <v/>
      </c>
      <c r="J343" s="26" t="str">
        <f>IFERROR(IF('ŞİKAYET KAYIT'!P343="Kapatıldı",'ŞİKAYET KAYIT'!N343,""),"")</f>
        <v/>
      </c>
      <c r="K343" s="26" t="str">
        <f>IFERROR(IF('ŞİKAYET KAYIT'!P343="Kapatıldı",'ŞİKAYET KAYIT'!O343,""),"")</f>
        <v/>
      </c>
      <c r="L343" s="8" t="str">
        <f>IFERROR(IF('ŞİKAYET KAYIT'!P343="Kapatıldı",'ŞİKAYET KAYIT'!Q343,""),"")</f>
        <v/>
      </c>
      <c r="M343" s="26" t="str">
        <f>IFERROR(IF('ŞİKAYET KAYIT'!P343="Kapatıldı",'ŞİKAYET KAYIT'!R343,""),"")</f>
        <v/>
      </c>
      <c r="N343" s="26"/>
    </row>
    <row r="344" spans="1:14" ht="15" customHeight="1" x14ac:dyDescent="0.3">
      <c r="A344" s="11" t="str">
        <f>IFERROR(IF('ŞİKAYET KAYIT'!P344="Kapatıldı",'ŞİKAYET KAYIT'!A344,""),"")</f>
        <v/>
      </c>
      <c r="B344" s="12" t="str">
        <f>IFERROR(IF('ŞİKAYET KAYIT'!P344="Kapatıldı",'ŞİKAYET KAYIT'!B344,""),"")</f>
        <v/>
      </c>
      <c r="C344" s="11" t="str">
        <f>IFERROR(IF('ŞİKAYET KAYIT'!P344="Kapatıldı",'ŞİKAYET KAYIT'!D344,""),"")</f>
        <v/>
      </c>
      <c r="D344" s="11" t="str">
        <f>IFERROR(IF('ŞİKAYET KAYIT'!P344="Kapatıldı",'ŞİKAYET KAYIT'!F344,""),"")</f>
        <v/>
      </c>
      <c r="E344" s="11" t="str">
        <f>IFERROR(IF('ŞİKAYET KAYIT'!P344="Kapatıldı",'ŞİKAYET KAYIT'!H344,""),"")</f>
        <v/>
      </c>
      <c r="F344" s="11" t="str">
        <f>IFERROR(IF('ŞİKAYET KAYIT'!P344="Kapatıldı",'ŞİKAYET KAYIT'!J344,""),"")</f>
        <v/>
      </c>
      <c r="G344" s="11" t="str">
        <f>IFERROR(IF('ŞİKAYET KAYIT'!P344="Kapatıldı",'ŞİKAYET KAYIT'!K344,""),"")</f>
        <v/>
      </c>
      <c r="H344" s="11" t="str">
        <f>IFERROR(IF('ŞİKAYET KAYIT'!P344="Kapatıldı",'ŞİKAYET KAYIT'!L344,""),"")</f>
        <v/>
      </c>
      <c r="I344" s="11" t="str">
        <f>IFERROR(IF('ŞİKAYET KAYIT'!P344="Kapatıldı",'ŞİKAYET KAYIT'!M344,""),"")</f>
        <v/>
      </c>
      <c r="J344" s="11" t="str">
        <f>IFERROR(IF('ŞİKAYET KAYIT'!P344="Kapatıldı",'ŞİKAYET KAYIT'!N344,""),"")</f>
        <v/>
      </c>
      <c r="K344" s="11" t="str">
        <f>IFERROR(IF('ŞİKAYET KAYIT'!P344="Kapatıldı",'ŞİKAYET KAYIT'!O344,""),"")</f>
        <v/>
      </c>
      <c r="L344" s="12" t="str">
        <f>IFERROR(IF('ŞİKAYET KAYIT'!P344="Kapatıldı",'ŞİKAYET KAYIT'!Q344,""),"")</f>
        <v/>
      </c>
      <c r="M344" s="11" t="str">
        <f>IFERROR(IF('ŞİKAYET KAYIT'!P344="Kapatıldı",'ŞİKAYET KAYIT'!R344,""),"")</f>
        <v/>
      </c>
      <c r="N344" s="11"/>
    </row>
    <row r="345" spans="1:14" ht="15" customHeight="1" x14ac:dyDescent="0.3">
      <c r="A345" s="26" t="str">
        <f>IFERROR(IF('ŞİKAYET KAYIT'!P345="Kapatıldı",'ŞİKAYET KAYIT'!A345,""),"")</f>
        <v/>
      </c>
      <c r="B345" s="8" t="str">
        <f>IFERROR(IF('ŞİKAYET KAYIT'!P345="Kapatıldı",'ŞİKAYET KAYIT'!B345,""),"")</f>
        <v/>
      </c>
      <c r="C345" s="26" t="str">
        <f>IFERROR(IF('ŞİKAYET KAYIT'!P345="Kapatıldı",'ŞİKAYET KAYIT'!D345,""),"")</f>
        <v/>
      </c>
      <c r="D345" s="26" t="str">
        <f>IFERROR(IF('ŞİKAYET KAYIT'!P345="Kapatıldı",'ŞİKAYET KAYIT'!F345,""),"")</f>
        <v/>
      </c>
      <c r="E345" s="26" t="str">
        <f>IFERROR(IF('ŞİKAYET KAYIT'!P345="Kapatıldı",'ŞİKAYET KAYIT'!H345,""),"")</f>
        <v/>
      </c>
      <c r="F345" s="26" t="str">
        <f>IFERROR(IF('ŞİKAYET KAYIT'!P345="Kapatıldı",'ŞİKAYET KAYIT'!J345,""),"")</f>
        <v/>
      </c>
      <c r="G345" s="26" t="str">
        <f>IFERROR(IF('ŞİKAYET KAYIT'!P345="Kapatıldı",'ŞİKAYET KAYIT'!K345,""),"")</f>
        <v/>
      </c>
      <c r="H345" s="26" t="str">
        <f>IFERROR(IF('ŞİKAYET KAYIT'!P345="Kapatıldı",'ŞİKAYET KAYIT'!L345,""),"")</f>
        <v/>
      </c>
      <c r="I345" s="26" t="str">
        <f>IFERROR(IF('ŞİKAYET KAYIT'!P345="Kapatıldı",'ŞİKAYET KAYIT'!M345,""),"")</f>
        <v/>
      </c>
      <c r="J345" s="26" t="str">
        <f>IFERROR(IF('ŞİKAYET KAYIT'!P345="Kapatıldı",'ŞİKAYET KAYIT'!N345,""),"")</f>
        <v/>
      </c>
      <c r="K345" s="26" t="str">
        <f>IFERROR(IF('ŞİKAYET KAYIT'!P345="Kapatıldı",'ŞİKAYET KAYIT'!O345,""),"")</f>
        <v/>
      </c>
      <c r="L345" s="8" t="str">
        <f>IFERROR(IF('ŞİKAYET KAYIT'!P345="Kapatıldı",'ŞİKAYET KAYIT'!Q345,""),"")</f>
        <v/>
      </c>
      <c r="M345" s="26" t="str">
        <f>IFERROR(IF('ŞİKAYET KAYIT'!P345="Kapatıldı",'ŞİKAYET KAYIT'!R345,""),"")</f>
        <v/>
      </c>
      <c r="N345" s="26"/>
    </row>
    <row r="346" spans="1:14" ht="15" customHeight="1" x14ac:dyDescent="0.3">
      <c r="A346" s="11" t="str">
        <f>IFERROR(IF('ŞİKAYET KAYIT'!P346="Kapatıldı",'ŞİKAYET KAYIT'!A346,""),"")</f>
        <v/>
      </c>
      <c r="B346" s="12" t="str">
        <f>IFERROR(IF('ŞİKAYET KAYIT'!P346="Kapatıldı",'ŞİKAYET KAYIT'!B346,""),"")</f>
        <v/>
      </c>
      <c r="C346" s="11" t="str">
        <f>IFERROR(IF('ŞİKAYET KAYIT'!P346="Kapatıldı",'ŞİKAYET KAYIT'!D346,""),"")</f>
        <v/>
      </c>
      <c r="D346" s="11" t="str">
        <f>IFERROR(IF('ŞİKAYET KAYIT'!P346="Kapatıldı",'ŞİKAYET KAYIT'!F346,""),"")</f>
        <v/>
      </c>
      <c r="E346" s="11" t="str">
        <f>IFERROR(IF('ŞİKAYET KAYIT'!P346="Kapatıldı",'ŞİKAYET KAYIT'!H346,""),"")</f>
        <v/>
      </c>
      <c r="F346" s="11" t="str">
        <f>IFERROR(IF('ŞİKAYET KAYIT'!P346="Kapatıldı",'ŞİKAYET KAYIT'!J346,""),"")</f>
        <v/>
      </c>
      <c r="G346" s="11" t="str">
        <f>IFERROR(IF('ŞİKAYET KAYIT'!P346="Kapatıldı",'ŞİKAYET KAYIT'!K346,""),"")</f>
        <v/>
      </c>
      <c r="H346" s="11" t="str">
        <f>IFERROR(IF('ŞİKAYET KAYIT'!P346="Kapatıldı",'ŞİKAYET KAYIT'!L346,""),"")</f>
        <v/>
      </c>
      <c r="I346" s="11" t="str">
        <f>IFERROR(IF('ŞİKAYET KAYIT'!P346="Kapatıldı",'ŞİKAYET KAYIT'!M346,""),"")</f>
        <v/>
      </c>
      <c r="J346" s="11" t="str">
        <f>IFERROR(IF('ŞİKAYET KAYIT'!P346="Kapatıldı",'ŞİKAYET KAYIT'!N346,""),"")</f>
        <v/>
      </c>
      <c r="K346" s="11" t="str">
        <f>IFERROR(IF('ŞİKAYET KAYIT'!P346="Kapatıldı",'ŞİKAYET KAYIT'!O346,""),"")</f>
        <v/>
      </c>
      <c r="L346" s="12" t="str">
        <f>IFERROR(IF('ŞİKAYET KAYIT'!P346="Kapatıldı",'ŞİKAYET KAYIT'!Q346,""),"")</f>
        <v/>
      </c>
      <c r="M346" s="11" t="str">
        <f>IFERROR(IF('ŞİKAYET KAYIT'!P346="Kapatıldı",'ŞİKAYET KAYIT'!R346,""),"")</f>
        <v/>
      </c>
      <c r="N346" s="11"/>
    </row>
    <row r="347" spans="1:14" ht="15" customHeight="1" x14ac:dyDescent="0.3">
      <c r="A347" s="26" t="str">
        <f>IFERROR(IF('ŞİKAYET KAYIT'!P347="Kapatıldı",'ŞİKAYET KAYIT'!A347,""),"")</f>
        <v/>
      </c>
      <c r="B347" s="8" t="str">
        <f>IFERROR(IF('ŞİKAYET KAYIT'!P347="Kapatıldı",'ŞİKAYET KAYIT'!B347,""),"")</f>
        <v/>
      </c>
      <c r="C347" s="26" t="str">
        <f>IFERROR(IF('ŞİKAYET KAYIT'!P347="Kapatıldı",'ŞİKAYET KAYIT'!D347,""),"")</f>
        <v/>
      </c>
      <c r="D347" s="26" t="str">
        <f>IFERROR(IF('ŞİKAYET KAYIT'!P347="Kapatıldı",'ŞİKAYET KAYIT'!F347,""),"")</f>
        <v/>
      </c>
      <c r="E347" s="26" t="str">
        <f>IFERROR(IF('ŞİKAYET KAYIT'!P347="Kapatıldı",'ŞİKAYET KAYIT'!H347,""),"")</f>
        <v/>
      </c>
      <c r="F347" s="26" t="str">
        <f>IFERROR(IF('ŞİKAYET KAYIT'!P347="Kapatıldı",'ŞİKAYET KAYIT'!J347,""),"")</f>
        <v/>
      </c>
      <c r="G347" s="26" t="str">
        <f>IFERROR(IF('ŞİKAYET KAYIT'!P347="Kapatıldı",'ŞİKAYET KAYIT'!K347,""),"")</f>
        <v/>
      </c>
      <c r="H347" s="26" t="str">
        <f>IFERROR(IF('ŞİKAYET KAYIT'!P347="Kapatıldı",'ŞİKAYET KAYIT'!L347,""),"")</f>
        <v/>
      </c>
      <c r="I347" s="26" t="str">
        <f>IFERROR(IF('ŞİKAYET KAYIT'!P347="Kapatıldı",'ŞİKAYET KAYIT'!M347,""),"")</f>
        <v/>
      </c>
      <c r="J347" s="26" t="str">
        <f>IFERROR(IF('ŞİKAYET KAYIT'!P347="Kapatıldı",'ŞİKAYET KAYIT'!N347,""),"")</f>
        <v/>
      </c>
      <c r="K347" s="26" t="str">
        <f>IFERROR(IF('ŞİKAYET KAYIT'!P347="Kapatıldı",'ŞİKAYET KAYIT'!O347,""),"")</f>
        <v/>
      </c>
      <c r="L347" s="8" t="str">
        <f>IFERROR(IF('ŞİKAYET KAYIT'!P347="Kapatıldı",'ŞİKAYET KAYIT'!Q347,""),"")</f>
        <v/>
      </c>
      <c r="M347" s="26" t="str">
        <f>IFERROR(IF('ŞİKAYET KAYIT'!P347="Kapatıldı",'ŞİKAYET KAYIT'!R347,""),"")</f>
        <v/>
      </c>
      <c r="N347" s="26"/>
    </row>
    <row r="348" spans="1:14" ht="15" customHeight="1" x14ac:dyDescent="0.3">
      <c r="A348" s="11" t="str">
        <f>IFERROR(IF('ŞİKAYET KAYIT'!P348="Kapatıldı",'ŞİKAYET KAYIT'!A348,""),"")</f>
        <v/>
      </c>
      <c r="B348" s="12" t="str">
        <f>IFERROR(IF('ŞİKAYET KAYIT'!P348="Kapatıldı",'ŞİKAYET KAYIT'!B348,""),"")</f>
        <v/>
      </c>
      <c r="C348" s="11" t="str">
        <f>IFERROR(IF('ŞİKAYET KAYIT'!P348="Kapatıldı",'ŞİKAYET KAYIT'!D348,""),"")</f>
        <v/>
      </c>
      <c r="D348" s="11" t="str">
        <f>IFERROR(IF('ŞİKAYET KAYIT'!P348="Kapatıldı",'ŞİKAYET KAYIT'!F348,""),"")</f>
        <v/>
      </c>
      <c r="E348" s="11" t="str">
        <f>IFERROR(IF('ŞİKAYET KAYIT'!P348="Kapatıldı",'ŞİKAYET KAYIT'!H348,""),"")</f>
        <v/>
      </c>
      <c r="F348" s="11" t="str">
        <f>IFERROR(IF('ŞİKAYET KAYIT'!P348="Kapatıldı",'ŞİKAYET KAYIT'!J348,""),"")</f>
        <v/>
      </c>
      <c r="G348" s="11" t="str">
        <f>IFERROR(IF('ŞİKAYET KAYIT'!P348="Kapatıldı",'ŞİKAYET KAYIT'!K348,""),"")</f>
        <v/>
      </c>
      <c r="H348" s="11" t="str">
        <f>IFERROR(IF('ŞİKAYET KAYIT'!P348="Kapatıldı",'ŞİKAYET KAYIT'!L348,""),"")</f>
        <v/>
      </c>
      <c r="I348" s="11" t="str">
        <f>IFERROR(IF('ŞİKAYET KAYIT'!P348="Kapatıldı",'ŞİKAYET KAYIT'!M348,""),"")</f>
        <v/>
      </c>
      <c r="J348" s="11" t="str">
        <f>IFERROR(IF('ŞİKAYET KAYIT'!P348="Kapatıldı",'ŞİKAYET KAYIT'!N348,""),"")</f>
        <v/>
      </c>
      <c r="K348" s="11" t="str">
        <f>IFERROR(IF('ŞİKAYET KAYIT'!P348="Kapatıldı",'ŞİKAYET KAYIT'!O348,""),"")</f>
        <v/>
      </c>
      <c r="L348" s="12" t="str">
        <f>IFERROR(IF('ŞİKAYET KAYIT'!P348="Kapatıldı",'ŞİKAYET KAYIT'!Q348,""),"")</f>
        <v/>
      </c>
      <c r="M348" s="11" t="str">
        <f>IFERROR(IF('ŞİKAYET KAYIT'!P348="Kapatıldı",'ŞİKAYET KAYIT'!R348,""),"")</f>
        <v/>
      </c>
      <c r="N348" s="11"/>
    </row>
    <row r="349" spans="1:14" ht="15" customHeight="1" x14ac:dyDescent="0.3">
      <c r="A349" s="26" t="str">
        <f>IFERROR(IF('ŞİKAYET KAYIT'!P349="Kapatıldı",'ŞİKAYET KAYIT'!A349,""),"")</f>
        <v/>
      </c>
      <c r="B349" s="8" t="str">
        <f>IFERROR(IF('ŞİKAYET KAYIT'!P349="Kapatıldı",'ŞİKAYET KAYIT'!B349,""),"")</f>
        <v/>
      </c>
      <c r="C349" s="26" t="str">
        <f>IFERROR(IF('ŞİKAYET KAYIT'!P349="Kapatıldı",'ŞİKAYET KAYIT'!D349,""),"")</f>
        <v/>
      </c>
      <c r="D349" s="26" t="str">
        <f>IFERROR(IF('ŞİKAYET KAYIT'!P349="Kapatıldı",'ŞİKAYET KAYIT'!F349,""),"")</f>
        <v/>
      </c>
      <c r="E349" s="26" t="str">
        <f>IFERROR(IF('ŞİKAYET KAYIT'!P349="Kapatıldı",'ŞİKAYET KAYIT'!H349,""),"")</f>
        <v/>
      </c>
      <c r="F349" s="26" t="str">
        <f>IFERROR(IF('ŞİKAYET KAYIT'!P349="Kapatıldı",'ŞİKAYET KAYIT'!J349,""),"")</f>
        <v/>
      </c>
      <c r="G349" s="26" t="str">
        <f>IFERROR(IF('ŞİKAYET KAYIT'!P349="Kapatıldı",'ŞİKAYET KAYIT'!K349,""),"")</f>
        <v/>
      </c>
      <c r="H349" s="26" t="str">
        <f>IFERROR(IF('ŞİKAYET KAYIT'!P349="Kapatıldı",'ŞİKAYET KAYIT'!L349,""),"")</f>
        <v/>
      </c>
      <c r="I349" s="26" t="str">
        <f>IFERROR(IF('ŞİKAYET KAYIT'!P349="Kapatıldı",'ŞİKAYET KAYIT'!M349,""),"")</f>
        <v/>
      </c>
      <c r="J349" s="26" t="str">
        <f>IFERROR(IF('ŞİKAYET KAYIT'!P349="Kapatıldı",'ŞİKAYET KAYIT'!N349,""),"")</f>
        <v/>
      </c>
      <c r="K349" s="26" t="str">
        <f>IFERROR(IF('ŞİKAYET KAYIT'!P349="Kapatıldı",'ŞİKAYET KAYIT'!O349,""),"")</f>
        <v/>
      </c>
      <c r="L349" s="8" t="str">
        <f>IFERROR(IF('ŞİKAYET KAYIT'!P349="Kapatıldı",'ŞİKAYET KAYIT'!Q349,""),"")</f>
        <v/>
      </c>
      <c r="M349" s="26" t="str">
        <f>IFERROR(IF('ŞİKAYET KAYIT'!P349="Kapatıldı",'ŞİKAYET KAYIT'!R349,""),"")</f>
        <v/>
      </c>
      <c r="N349" s="26"/>
    </row>
    <row r="350" spans="1:14" ht="15" customHeight="1" x14ac:dyDescent="0.3">
      <c r="A350" s="11" t="str">
        <f>IFERROR(IF('ŞİKAYET KAYIT'!P350="Kapatıldı",'ŞİKAYET KAYIT'!A350,""),"")</f>
        <v/>
      </c>
      <c r="B350" s="12" t="str">
        <f>IFERROR(IF('ŞİKAYET KAYIT'!P350="Kapatıldı",'ŞİKAYET KAYIT'!B350,""),"")</f>
        <v/>
      </c>
      <c r="C350" s="11" t="str">
        <f>IFERROR(IF('ŞİKAYET KAYIT'!P350="Kapatıldı",'ŞİKAYET KAYIT'!D350,""),"")</f>
        <v/>
      </c>
      <c r="D350" s="11" t="str">
        <f>IFERROR(IF('ŞİKAYET KAYIT'!P350="Kapatıldı",'ŞİKAYET KAYIT'!F350,""),"")</f>
        <v/>
      </c>
      <c r="E350" s="11" t="str">
        <f>IFERROR(IF('ŞİKAYET KAYIT'!P350="Kapatıldı",'ŞİKAYET KAYIT'!H350,""),"")</f>
        <v/>
      </c>
      <c r="F350" s="11" t="str">
        <f>IFERROR(IF('ŞİKAYET KAYIT'!P350="Kapatıldı",'ŞİKAYET KAYIT'!J350,""),"")</f>
        <v/>
      </c>
      <c r="G350" s="11" t="str">
        <f>IFERROR(IF('ŞİKAYET KAYIT'!P350="Kapatıldı",'ŞİKAYET KAYIT'!K350,""),"")</f>
        <v/>
      </c>
      <c r="H350" s="11" t="str">
        <f>IFERROR(IF('ŞİKAYET KAYIT'!P350="Kapatıldı",'ŞİKAYET KAYIT'!L350,""),"")</f>
        <v/>
      </c>
      <c r="I350" s="11" t="str">
        <f>IFERROR(IF('ŞİKAYET KAYIT'!P350="Kapatıldı",'ŞİKAYET KAYIT'!M350,""),"")</f>
        <v/>
      </c>
      <c r="J350" s="11" t="str">
        <f>IFERROR(IF('ŞİKAYET KAYIT'!P350="Kapatıldı",'ŞİKAYET KAYIT'!N350,""),"")</f>
        <v/>
      </c>
      <c r="K350" s="11" t="str">
        <f>IFERROR(IF('ŞİKAYET KAYIT'!P350="Kapatıldı",'ŞİKAYET KAYIT'!O350,""),"")</f>
        <v/>
      </c>
      <c r="L350" s="12" t="str">
        <f>IFERROR(IF('ŞİKAYET KAYIT'!P350="Kapatıldı",'ŞİKAYET KAYIT'!Q350,""),"")</f>
        <v/>
      </c>
      <c r="M350" s="11" t="str">
        <f>IFERROR(IF('ŞİKAYET KAYIT'!P350="Kapatıldı",'ŞİKAYET KAYIT'!R350,""),"")</f>
        <v/>
      </c>
      <c r="N350" s="11"/>
    </row>
    <row r="351" spans="1:14" ht="15" customHeight="1" x14ac:dyDescent="0.3">
      <c r="A351" s="26" t="str">
        <f>IFERROR(IF('ŞİKAYET KAYIT'!P351="Kapatıldı",'ŞİKAYET KAYIT'!A351,""),"")</f>
        <v/>
      </c>
      <c r="B351" s="8" t="str">
        <f>IFERROR(IF('ŞİKAYET KAYIT'!P351="Kapatıldı",'ŞİKAYET KAYIT'!B351,""),"")</f>
        <v/>
      </c>
      <c r="C351" s="26" t="str">
        <f>IFERROR(IF('ŞİKAYET KAYIT'!P351="Kapatıldı",'ŞİKAYET KAYIT'!D351,""),"")</f>
        <v/>
      </c>
      <c r="D351" s="26" t="str">
        <f>IFERROR(IF('ŞİKAYET KAYIT'!P351="Kapatıldı",'ŞİKAYET KAYIT'!F351,""),"")</f>
        <v/>
      </c>
      <c r="E351" s="26" t="str">
        <f>IFERROR(IF('ŞİKAYET KAYIT'!P351="Kapatıldı",'ŞİKAYET KAYIT'!H351,""),"")</f>
        <v/>
      </c>
      <c r="F351" s="26" t="str">
        <f>IFERROR(IF('ŞİKAYET KAYIT'!P351="Kapatıldı",'ŞİKAYET KAYIT'!J351,""),"")</f>
        <v/>
      </c>
      <c r="G351" s="26" t="str">
        <f>IFERROR(IF('ŞİKAYET KAYIT'!P351="Kapatıldı",'ŞİKAYET KAYIT'!K351,""),"")</f>
        <v/>
      </c>
      <c r="H351" s="26" t="str">
        <f>IFERROR(IF('ŞİKAYET KAYIT'!P351="Kapatıldı",'ŞİKAYET KAYIT'!L351,""),"")</f>
        <v/>
      </c>
      <c r="I351" s="26" t="str">
        <f>IFERROR(IF('ŞİKAYET KAYIT'!P351="Kapatıldı",'ŞİKAYET KAYIT'!M351,""),"")</f>
        <v/>
      </c>
      <c r="J351" s="26" t="str">
        <f>IFERROR(IF('ŞİKAYET KAYIT'!P351="Kapatıldı",'ŞİKAYET KAYIT'!N351,""),"")</f>
        <v/>
      </c>
      <c r="K351" s="26" t="str">
        <f>IFERROR(IF('ŞİKAYET KAYIT'!P351="Kapatıldı",'ŞİKAYET KAYIT'!O351,""),"")</f>
        <v/>
      </c>
      <c r="L351" s="8" t="str">
        <f>IFERROR(IF('ŞİKAYET KAYIT'!P351="Kapatıldı",'ŞİKAYET KAYIT'!Q351,""),"")</f>
        <v/>
      </c>
      <c r="M351" s="26" t="str">
        <f>IFERROR(IF('ŞİKAYET KAYIT'!P351="Kapatıldı",'ŞİKAYET KAYIT'!R351,""),"")</f>
        <v/>
      </c>
      <c r="N351" s="26"/>
    </row>
    <row r="352" spans="1:14" ht="15" customHeight="1" x14ac:dyDescent="0.3">
      <c r="A352" s="11" t="str">
        <f>IFERROR(IF('ŞİKAYET KAYIT'!P352="Kapatıldı",'ŞİKAYET KAYIT'!A352,""),"")</f>
        <v/>
      </c>
      <c r="B352" s="12" t="str">
        <f>IFERROR(IF('ŞİKAYET KAYIT'!P352="Kapatıldı",'ŞİKAYET KAYIT'!B352,""),"")</f>
        <v/>
      </c>
      <c r="C352" s="11" t="str">
        <f>IFERROR(IF('ŞİKAYET KAYIT'!P352="Kapatıldı",'ŞİKAYET KAYIT'!D352,""),"")</f>
        <v/>
      </c>
      <c r="D352" s="11" t="str">
        <f>IFERROR(IF('ŞİKAYET KAYIT'!P352="Kapatıldı",'ŞİKAYET KAYIT'!F352,""),"")</f>
        <v/>
      </c>
      <c r="E352" s="11" t="str">
        <f>IFERROR(IF('ŞİKAYET KAYIT'!P352="Kapatıldı",'ŞİKAYET KAYIT'!H352,""),"")</f>
        <v/>
      </c>
      <c r="F352" s="11" t="str">
        <f>IFERROR(IF('ŞİKAYET KAYIT'!P352="Kapatıldı",'ŞİKAYET KAYIT'!J352,""),"")</f>
        <v/>
      </c>
      <c r="G352" s="11" t="str">
        <f>IFERROR(IF('ŞİKAYET KAYIT'!P352="Kapatıldı",'ŞİKAYET KAYIT'!K352,""),"")</f>
        <v/>
      </c>
      <c r="H352" s="11" t="str">
        <f>IFERROR(IF('ŞİKAYET KAYIT'!P352="Kapatıldı",'ŞİKAYET KAYIT'!L352,""),"")</f>
        <v/>
      </c>
      <c r="I352" s="11" t="str">
        <f>IFERROR(IF('ŞİKAYET KAYIT'!P352="Kapatıldı",'ŞİKAYET KAYIT'!M352,""),"")</f>
        <v/>
      </c>
      <c r="J352" s="11" t="str">
        <f>IFERROR(IF('ŞİKAYET KAYIT'!P352="Kapatıldı",'ŞİKAYET KAYIT'!N352,""),"")</f>
        <v/>
      </c>
      <c r="K352" s="11" t="str">
        <f>IFERROR(IF('ŞİKAYET KAYIT'!P352="Kapatıldı",'ŞİKAYET KAYIT'!O352,""),"")</f>
        <v/>
      </c>
      <c r="L352" s="12" t="str">
        <f>IFERROR(IF('ŞİKAYET KAYIT'!P352="Kapatıldı",'ŞİKAYET KAYIT'!Q352,""),"")</f>
        <v/>
      </c>
      <c r="M352" s="11" t="str">
        <f>IFERROR(IF('ŞİKAYET KAYIT'!P352="Kapatıldı",'ŞİKAYET KAYIT'!R352,""),"")</f>
        <v/>
      </c>
      <c r="N352" s="11"/>
    </row>
    <row r="353" spans="1:14" ht="15" customHeight="1" x14ac:dyDescent="0.3">
      <c r="A353" s="26" t="str">
        <f>IFERROR(IF('ŞİKAYET KAYIT'!P353="Kapatıldı",'ŞİKAYET KAYIT'!A353,""),"")</f>
        <v/>
      </c>
      <c r="B353" s="8" t="str">
        <f>IFERROR(IF('ŞİKAYET KAYIT'!P353="Kapatıldı",'ŞİKAYET KAYIT'!B353,""),"")</f>
        <v/>
      </c>
      <c r="C353" s="26" t="str">
        <f>IFERROR(IF('ŞİKAYET KAYIT'!P353="Kapatıldı",'ŞİKAYET KAYIT'!D353,""),"")</f>
        <v/>
      </c>
      <c r="D353" s="26" t="str">
        <f>IFERROR(IF('ŞİKAYET KAYIT'!P353="Kapatıldı",'ŞİKAYET KAYIT'!F353,""),"")</f>
        <v/>
      </c>
      <c r="E353" s="26" t="str">
        <f>IFERROR(IF('ŞİKAYET KAYIT'!P353="Kapatıldı",'ŞİKAYET KAYIT'!H353,""),"")</f>
        <v/>
      </c>
      <c r="F353" s="26" t="str">
        <f>IFERROR(IF('ŞİKAYET KAYIT'!P353="Kapatıldı",'ŞİKAYET KAYIT'!J353,""),"")</f>
        <v/>
      </c>
      <c r="G353" s="26" t="str">
        <f>IFERROR(IF('ŞİKAYET KAYIT'!P353="Kapatıldı",'ŞİKAYET KAYIT'!K353,""),"")</f>
        <v/>
      </c>
      <c r="H353" s="26" t="str">
        <f>IFERROR(IF('ŞİKAYET KAYIT'!P353="Kapatıldı",'ŞİKAYET KAYIT'!L353,""),"")</f>
        <v/>
      </c>
      <c r="I353" s="26" t="str">
        <f>IFERROR(IF('ŞİKAYET KAYIT'!P353="Kapatıldı",'ŞİKAYET KAYIT'!M353,""),"")</f>
        <v/>
      </c>
      <c r="J353" s="26" t="str">
        <f>IFERROR(IF('ŞİKAYET KAYIT'!P353="Kapatıldı",'ŞİKAYET KAYIT'!N353,""),"")</f>
        <v/>
      </c>
      <c r="K353" s="26" t="str">
        <f>IFERROR(IF('ŞİKAYET KAYIT'!P353="Kapatıldı",'ŞİKAYET KAYIT'!O353,""),"")</f>
        <v/>
      </c>
      <c r="L353" s="8" t="str">
        <f>IFERROR(IF('ŞİKAYET KAYIT'!P353="Kapatıldı",'ŞİKAYET KAYIT'!Q353,""),"")</f>
        <v/>
      </c>
      <c r="M353" s="26" t="str">
        <f>IFERROR(IF('ŞİKAYET KAYIT'!P353="Kapatıldı",'ŞİKAYET KAYIT'!R353,""),"")</f>
        <v/>
      </c>
      <c r="N353" s="26"/>
    </row>
    <row r="354" spans="1:14" ht="15" customHeight="1" x14ac:dyDescent="0.3">
      <c r="A354" s="11" t="str">
        <f>IFERROR(IF('ŞİKAYET KAYIT'!P354="Kapatıldı",'ŞİKAYET KAYIT'!A354,""),"")</f>
        <v/>
      </c>
      <c r="B354" s="12" t="str">
        <f>IFERROR(IF('ŞİKAYET KAYIT'!P354="Kapatıldı",'ŞİKAYET KAYIT'!B354,""),"")</f>
        <v/>
      </c>
      <c r="C354" s="11" t="str">
        <f>IFERROR(IF('ŞİKAYET KAYIT'!P354="Kapatıldı",'ŞİKAYET KAYIT'!D354,""),"")</f>
        <v/>
      </c>
      <c r="D354" s="11" t="str">
        <f>IFERROR(IF('ŞİKAYET KAYIT'!P354="Kapatıldı",'ŞİKAYET KAYIT'!F354,""),"")</f>
        <v/>
      </c>
      <c r="E354" s="11" t="str">
        <f>IFERROR(IF('ŞİKAYET KAYIT'!P354="Kapatıldı",'ŞİKAYET KAYIT'!H354,""),"")</f>
        <v/>
      </c>
      <c r="F354" s="11" t="str">
        <f>IFERROR(IF('ŞİKAYET KAYIT'!P354="Kapatıldı",'ŞİKAYET KAYIT'!J354,""),"")</f>
        <v/>
      </c>
      <c r="G354" s="11" t="str">
        <f>IFERROR(IF('ŞİKAYET KAYIT'!P354="Kapatıldı",'ŞİKAYET KAYIT'!K354,""),"")</f>
        <v/>
      </c>
      <c r="H354" s="11" t="str">
        <f>IFERROR(IF('ŞİKAYET KAYIT'!P354="Kapatıldı",'ŞİKAYET KAYIT'!L354,""),"")</f>
        <v/>
      </c>
      <c r="I354" s="11" t="str">
        <f>IFERROR(IF('ŞİKAYET KAYIT'!P354="Kapatıldı",'ŞİKAYET KAYIT'!M354,""),"")</f>
        <v/>
      </c>
      <c r="J354" s="11" t="str">
        <f>IFERROR(IF('ŞİKAYET KAYIT'!P354="Kapatıldı",'ŞİKAYET KAYIT'!N354,""),"")</f>
        <v/>
      </c>
      <c r="K354" s="11" t="str">
        <f>IFERROR(IF('ŞİKAYET KAYIT'!P354="Kapatıldı",'ŞİKAYET KAYIT'!O354,""),"")</f>
        <v/>
      </c>
      <c r="L354" s="12" t="str">
        <f>IFERROR(IF('ŞİKAYET KAYIT'!P354="Kapatıldı",'ŞİKAYET KAYIT'!Q354,""),"")</f>
        <v/>
      </c>
      <c r="M354" s="11" t="str">
        <f>IFERROR(IF('ŞİKAYET KAYIT'!P354="Kapatıldı",'ŞİKAYET KAYIT'!R354,""),"")</f>
        <v/>
      </c>
      <c r="N354" s="11"/>
    </row>
    <row r="355" spans="1:14" ht="15" customHeight="1" x14ac:dyDescent="0.3">
      <c r="A355" s="26" t="str">
        <f>IFERROR(IF('ŞİKAYET KAYIT'!P355="Kapatıldı",'ŞİKAYET KAYIT'!A355,""),"")</f>
        <v/>
      </c>
      <c r="B355" s="8" t="str">
        <f>IFERROR(IF('ŞİKAYET KAYIT'!P355="Kapatıldı",'ŞİKAYET KAYIT'!B355,""),"")</f>
        <v/>
      </c>
      <c r="C355" s="26" t="str">
        <f>IFERROR(IF('ŞİKAYET KAYIT'!P355="Kapatıldı",'ŞİKAYET KAYIT'!D355,""),"")</f>
        <v/>
      </c>
      <c r="D355" s="26" t="str">
        <f>IFERROR(IF('ŞİKAYET KAYIT'!P355="Kapatıldı",'ŞİKAYET KAYIT'!F355,""),"")</f>
        <v/>
      </c>
      <c r="E355" s="26" t="str">
        <f>IFERROR(IF('ŞİKAYET KAYIT'!P355="Kapatıldı",'ŞİKAYET KAYIT'!H355,""),"")</f>
        <v/>
      </c>
      <c r="F355" s="26" t="str">
        <f>IFERROR(IF('ŞİKAYET KAYIT'!P355="Kapatıldı",'ŞİKAYET KAYIT'!J355,""),"")</f>
        <v/>
      </c>
      <c r="G355" s="26" t="str">
        <f>IFERROR(IF('ŞİKAYET KAYIT'!P355="Kapatıldı",'ŞİKAYET KAYIT'!K355,""),"")</f>
        <v/>
      </c>
      <c r="H355" s="26" t="str">
        <f>IFERROR(IF('ŞİKAYET KAYIT'!P355="Kapatıldı",'ŞİKAYET KAYIT'!L355,""),"")</f>
        <v/>
      </c>
      <c r="I355" s="26" t="str">
        <f>IFERROR(IF('ŞİKAYET KAYIT'!P355="Kapatıldı",'ŞİKAYET KAYIT'!M355,""),"")</f>
        <v/>
      </c>
      <c r="J355" s="26" t="str">
        <f>IFERROR(IF('ŞİKAYET KAYIT'!P355="Kapatıldı",'ŞİKAYET KAYIT'!N355,""),"")</f>
        <v/>
      </c>
      <c r="K355" s="26" t="str">
        <f>IFERROR(IF('ŞİKAYET KAYIT'!P355="Kapatıldı",'ŞİKAYET KAYIT'!O355,""),"")</f>
        <v/>
      </c>
      <c r="L355" s="8" t="str">
        <f>IFERROR(IF('ŞİKAYET KAYIT'!P355="Kapatıldı",'ŞİKAYET KAYIT'!Q355,""),"")</f>
        <v/>
      </c>
      <c r="M355" s="26" t="str">
        <f>IFERROR(IF('ŞİKAYET KAYIT'!P355="Kapatıldı",'ŞİKAYET KAYIT'!R355,""),"")</f>
        <v/>
      </c>
      <c r="N355" s="26"/>
    </row>
    <row r="356" spans="1:14" ht="15" customHeight="1" x14ac:dyDescent="0.3">
      <c r="A356" s="11" t="str">
        <f>IFERROR(IF('ŞİKAYET KAYIT'!P356="Kapatıldı",'ŞİKAYET KAYIT'!A356,""),"")</f>
        <v/>
      </c>
      <c r="B356" s="12" t="str">
        <f>IFERROR(IF('ŞİKAYET KAYIT'!P356="Kapatıldı",'ŞİKAYET KAYIT'!B356,""),"")</f>
        <v/>
      </c>
      <c r="C356" s="11" t="str">
        <f>IFERROR(IF('ŞİKAYET KAYIT'!P356="Kapatıldı",'ŞİKAYET KAYIT'!D356,""),"")</f>
        <v/>
      </c>
      <c r="D356" s="11" t="str">
        <f>IFERROR(IF('ŞİKAYET KAYIT'!P356="Kapatıldı",'ŞİKAYET KAYIT'!F356,""),"")</f>
        <v/>
      </c>
      <c r="E356" s="11" t="str">
        <f>IFERROR(IF('ŞİKAYET KAYIT'!P356="Kapatıldı",'ŞİKAYET KAYIT'!H356,""),"")</f>
        <v/>
      </c>
      <c r="F356" s="11" t="str">
        <f>IFERROR(IF('ŞİKAYET KAYIT'!P356="Kapatıldı",'ŞİKAYET KAYIT'!J356,""),"")</f>
        <v/>
      </c>
      <c r="G356" s="11" t="str">
        <f>IFERROR(IF('ŞİKAYET KAYIT'!P356="Kapatıldı",'ŞİKAYET KAYIT'!K356,""),"")</f>
        <v/>
      </c>
      <c r="H356" s="11" t="str">
        <f>IFERROR(IF('ŞİKAYET KAYIT'!P356="Kapatıldı",'ŞİKAYET KAYIT'!L356,""),"")</f>
        <v/>
      </c>
      <c r="I356" s="11" t="str">
        <f>IFERROR(IF('ŞİKAYET KAYIT'!P356="Kapatıldı",'ŞİKAYET KAYIT'!M356,""),"")</f>
        <v/>
      </c>
      <c r="J356" s="11" t="str">
        <f>IFERROR(IF('ŞİKAYET KAYIT'!P356="Kapatıldı",'ŞİKAYET KAYIT'!N356,""),"")</f>
        <v/>
      </c>
      <c r="K356" s="11" t="str">
        <f>IFERROR(IF('ŞİKAYET KAYIT'!P356="Kapatıldı",'ŞİKAYET KAYIT'!O356,""),"")</f>
        <v/>
      </c>
      <c r="L356" s="12" t="str">
        <f>IFERROR(IF('ŞİKAYET KAYIT'!P356="Kapatıldı",'ŞİKAYET KAYIT'!Q356,""),"")</f>
        <v/>
      </c>
      <c r="M356" s="11" t="str">
        <f>IFERROR(IF('ŞİKAYET KAYIT'!P356="Kapatıldı",'ŞİKAYET KAYIT'!R356,""),"")</f>
        <v/>
      </c>
      <c r="N356" s="11"/>
    </row>
    <row r="357" spans="1:14" ht="15" customHeight="1" x14ac:dyDescent="0.3">
      <c r="A357" s="26" t="str">
        <f>IFERROR(IF('ŞİKAYET KAYIT'!P357="Kapatıldı",'ŞİKAYET KAYIT'!A357,""),"")</f>
        <v/>
      </c>
      <c r="B357" s="8" t="str">
        <f>IFERROR(IF('ŞİKAYET KAYIT'!P357="Kapatıldı",'ŞİKAYET KAYIT'!B357,""),"")</f>
        <v/>
      </c>
      <c r="C357" s="26" t="str">
        <f>IFERROR(IF('ŞİKAYET KAYIT'!P357="Kapatıldı",'ŞİKAYET KAYIT'!D357,""),"")</f>
        <v/>
      </c>
      <c r="D357" s="26" t="str">
        <f>IFERROR(IF('ŞİKAYET KAYIT'!P357="Kapatıldı",'ŞİKAYET KAYIT'!F357,""),"")</f>
        <v/>
      </c>
      <c r="E357" s="26" t="str">
        <f>IFERROR(IF('ŞİKAYET KAYIT'!P357="Kapatıldı",'ŞİKAYET KAYIT'!H357,""),"")</f>
        <v/>
      </c>
      <c r="F357" s="26" t="str">
        <f>IFERROR(IF('ŞİKAYET KAYIT'!P357="Kapatıldı",'ŞİKAYET KAYIT'!J357,""),"")</f>
        <v/>
      </c>
      <c r="G357" s="26" t="str">
        <f>IFERROR(IF('ŞİKAYET KAYIT'!P357="Kapatıldı",'ŞİKAYET KAYIT'!K357,""),"")</f>
        <v/>
      </c>
      <c r="H357" s="26" t="str">
        <f>IFERROR(IF('ŞİKAYET KAYIT'!P357="Kapatıldı",'ŞİKAYET KAYIT'!L357,""),"")</f>
        <v/>
      </c>
      <c r="I357" s="26" t="str">
        <f>IFERROR(IF('ŞİKAYET KAYIT'!P357="Kapatıldı",'ŞİKAYET KAYIT'!M357,""),"")</f>
        <v/>
      </c>
      <c r="J357" s="26" t="str">
        <f>IFERROR(IF('ŞİKAYET KAYIT'!P357="Kapatıldı",'ŞİKAYET KAYIT'!N357,""),"")</f>
        <v/>
      </c>
      <c r="K357" s="26" t="str">
        <f>IFERROR(IF('ŞİKAYET KAYIT'!P357="Kapatıldı",'ŞİKAYET KAYIT'!O357,""),"")</f>
        <v/>
      </c>
      <c r="L357" s="8" t="str">
        <f>IFERROR(IF('ŞİKAYET KAYIT'!P357="Kapatıldı",'ŞİKAYET KAYIT'!Q357,""),"")</f>
        <v/>
      </c>
      <c r="M357" s="26" t="str">
        <f>IFERROR(IF('ŞİKAYET KAYIT'!P357="Kapatıldı",'ŞİKAYET KAYIT'!R357,""),"")</f>
        <v/>
      </c>
      <c r="N357" s="26"/>
    </row>
    <row r="358" spans="1:14" ht="15" customHeight="1" x14ac:dyDescent="0.3">
      <c r="A358" s="11" t="str">
        <f>IFERROR(IF('ŞİKAYET KAYIT'!P358="Kapatıldı",'ŞİKAYET KAYIT'!A358,""),"")</f>
        <v/>
      </c>
      <c r="B358" s="12" t="str">
        <f>IFERROR(IF('ŞİKAYET KAYIT'!P358="Kapatıldı",'ŞİKAYET KAYIT'!B358,""),"")</f>
        <v/>
      </c>
      <c r="C358" s="11" t="str">
        <f>IFERROR(IF('ŞİKAYET KAYIT'!P358="Kapatıldı",'ŞİKAYET KAYIT'!D358,""),"")</f>
        <v/>
      </c>
      <c r="D358" s="11" t="str">
        <f>IFERROR(IF('ŞİKAYET KAYIT'!P358="Kapatıldı",'ŞİKAYET KAYIT'!F358,""),"")</f>
        <v/>
      </c>
      <c r="E358" s="11" t="str">
        <f>IFERROR(IF('ŞİKAYET KAYIT'!P358="Kapatıldı",'ŞİKAYET KAYIT'!H358,""),"")</f>
        <v/>
      </c>
      <c r="F358" s="11" t="str">
        <f>IFERROR(IF('ŞİKAYET KAYIT'!P358="Kapatıldı",'ŞİKAYET KAYIT'!J358,""),"")</f>
        <v/>
      </c>
      <c r="G358" s="11" t="str">
        <f>IFERROR(IF('ŞİKAYET KAYIT'!P358="Kapatıldı",'ŞİKAYET KAYIT'!K358,""),"")</f>
        <v/>
      </c>
      <c r="H358" s="11" t="str">
        <f>IFERROR(IF('ŞİKAYET KAYIT'!P358="Kapatıldı",'ŞİKAYET KAYIT'!L358,""),"")</f>
        <v/>
      </c>
      <c r="I358" s="11" t="str">
        <f>IFERROR(IF('ŞİKAYET KAYIT'!P358="Kapatıldı",'ŞİKAYET KAYIT'!M358,""),"")</f>
        <v/>
      </c>
      <c r="J358" s="11" t="str">
        <f>IFERROR(IF('ŞİKAYET KAYIT'!P358="Kapatıldı",'ŞİKAYET KAYIT'!N358,""),"")</f>
        <v/>
      </c>
      <c r="K358" s="11" t="str">
        <f>IFERROR(IF('ŞİKAYET KAYIT'!P358="Kapatıldı",'ŞİKAYET KAYIT'!O358,""),"")</f>
        <v/>
      </c>
      <c r="L358" s="12" t="str">
        <f>IFERROR(IF('ŞİKAYET KAYIT'!P358="Kapatıldı",'ŞİKAYET KAYIT'!Q358,""),"")</f>
        <v/>
      </c>
      <c r="M358" s="11" t="str">
        <f>IFERROR(IF('ŞİKAYET KAYIT'!P358="Kapatıldı",'ŞİKAYET KAYIT'!R358,""),"")</f>
        <v/>
      </c>
      <c r="N358" s="11"/>
    </row>
    <row r="359" spans="1:14" ht="15" customHeight="1" x14ac:dyDescent="0.3">
      <c r="A359" s="26" t="str">
        <f>IFERROR(IF('ŞİKAYET KAYIT'!P359="Kapatıldı",'ŞİKAYET KAYIT'!A359,""),"")</f>
        <v/>
      </c>
      <c r="B359" s="8" t="str">
        <f>IFERROR(IF('ŞİKAYET KAYIT'!P359="Kapatıldı",'ŞİKAYET KAYIT'!B359,""),"")</f>
        <v/>
      </c>
      <c r="C359" s="26" t="str">
        <f>IFERROR(IF('ŞİKAYET KAYIT'!P359="Kapatıldı",'ŞİKAYET KAYIT'!D359,""),"")</f>
        <v/>
      </c>
      <c r="D359" s="26" t="str">
        <f>IFERROR(IF('ŞİKAYET KAYIT'!P359="Kapatıldı",'ŞİKAYET KAYIT'!F359,""),"")</f>
        <v/>
      </c>
      <c r="E359" s="26" t="str">
        <f>IFERROR(IF('ŞİKAYET KAYIT'!P359="Kapatıldı",'ŞİKAYET KAYIT'!H359,""),"")</f>
        <v/>
      </c>
      <c r="F359" s="26" t="str">
        <f>IFERROR(IF('ŞİKAYET KAYIT'!P359="Kapatıldı",'ŞİKAYET KAYIT'!J359,""),"")</f>
        <v/>
      </c>
      <c r="G359" s="26" t="str">
        <f>IFERROR(IF('ŞİKAYET KAYIT'!P359="Kapatıldı",'ŞİKAYET KAYIT'!K359,""),"")</f>
        <v/>
      </c>
      <c r="H359" s="26" t="str">
        <f>IFERROR(IF('ŞİKAYET KAYIT'!P359="Kapatıldı",'ŞİKAYET KAYIT'!L359,""),"")</f>
        <v/>
      </c>
      <c r="I359" s="26" t="str">
        <f>IFERROR(IF('ŞİKAYET KAYIT'!P359="Kapatıldı",'ŞİKAYET KAYIT'!M359,""),"")</f>
        <v/>
      </c>
      <c r="J359" s="26" t="str">
        <f>IFERROR(IF('ŞİKAYET KAYIT'!P359="Kapatıldı",'ŞİKAYET KAYIT'!N359,""),"")</f>
        <v/>
      </c>
      <c r="K359" s="26" t="str">
        <f>IFERROR(IF('ŞİKAYET KAYIT'!P359="Kapatıldı",'ŞİKAYET KAYIT'!O359,""),"")</f>
        <v/>
      </c>
      <c r="L359" s="8" t="str">
        <f>IFERROR(IF('ŞİKAYET KAYIT'!P359="Kapatıldı",'ŞİKAYET KAYIT'!Q359,""),"")</f>
        <v/>
      </c>
      <c r="M359" s="26" t="str">
        <f>IFERROR(IF('ŞİKAYET KAYIT'!P359="Kapatıldı",'ŞİKAYET KAYIT'!R359,""),"")</f>
        <v/>
      </c>
      <c r="N359" s="26"/>
    </row>
    <row r="360" spans="1:14" ht="15" customHeight="1" x14ac:dyDescent="0.3">
      <c r="A360" s="11" t="str">
        <f>IFERROR(IF('ŞİKAYET KAYIT'!P360="Kapatıldı",'ŞİKAYET KAYIT'!A360,""),"")</f>
        <v/>
      </c>
      <c r="B360" s="12" t="str">
        <f>IFERROR(IF('ŞİKAYET KAYIT'!P360="Kapatıldı",'ŞİKAYET KAYIT'!B360,""),"")</f>
        <v/>
      </c>
      <c r="C360" s="11" t="str">
        <f>IFERROR(IF('ŞİKAYET KAYIT'!P360="Kapatıldı",'ŞİKAYET KAYIT'!D360,""),"")</f>
        <v/>
      </c>
      <c r="D360" s="11" t="str">
        <f>IFERROR(IF('ŞİKAYET KAYIT'!P360="Kapatıldı",'ŞİKAYET KAYIT'!F360,""),"")</f>
        <v/>
      </c>
      <c r="E360" s="11" t="str">
        <f>IFERROR(IF('ŞİKAYET KAYIT'!P360="Kapatıldı",'ŞİKAYET KAYIT'!H360,""),"")</f>
        <v/>
      </c>
      <c r="F360" s="11" t="str">
        <f>IFERROR(IF('ŞİKAYET KAYIT'!P360="Kapatıldı",'ŞİKAYET KAYIT'!J360,""),"")</f>
        <v/>
      </c>
      <c r="G360" s="11" t="str">
        <f>IFERROR(IF('ŞİKAYET KAYIT'!P360="Kapatıldı",'ŞİKAYET KAYIT'!K360,""),"")</f>
        <v/>
      </c>
      <c r="H360" s="11" t="str">
        <f>IFERROR(IF('ŞİKAYET KAYIT'!P360="Kapatıldı",'ŞİKAYET KAYIT'!L360,""),"")</f>
        <v/>
      </c>
      <c r="I360" s="11" t="str">
        <f>IFERROR(IF('ŞİKAYET KAYIT'!P360="Kapatıldı",'ŞİKAYET KAYIT'!M360,""),"")</f>
        <v/>
      </c>
      <c r="J360" s="11" t="str">
        <f>IFERROR(IF('ŞİKAYET KAYIT'!P360="Kapatıldı",'ŞİKAYET KAYIT'!N360,""),"")</f>
        <v/>
      </c>
      <c r="K360" s="11" t="str">
        <f>IFERROR(IF('ŞİKAYET KAYIT'!P360="Kapatıldı",'ŞİKAYET KAYIT'!O360,""),"")</f>
        <v/>
      </c>
      <c r="L360" s="12" t="str">
        <f>IFERROR(IF('ŞİKAYET KAYIT'!P360="Kapatıldı",'ŞİKAYET KAYIT'!Q360,""),"")</f>
        <v/>
      </c>
      <c r="M360" s="11" t="str">
        <f>IFERROR(IF('ŞİKAYET KAYIT'!P360="Kapatıldı",'ŞİKAYET KAYIT'!R360,""),"")</f>
        <v/>
      </c>
      <c r="N360" s="11"/>
    </row>
    <row r="361" spans="1:14" ht="15" customHeight="1" x14ac:dyDescent="0.3">
      <c r="A361" s="26" t="str">
        <f>IFERROR(IF('ŞİKAYET KAYIT'!P361="Kapatıldı",'ŞİKAYET KAYIT'!A361,""),"")</f>
        <v/>
      </c>
      <c r="B361" s="8" t="str">
        <f>IFERROR(IF('ŞİKAYET KAYIT'!P361="Kapatıldı",'ŞİKAYET KAYIT'!B361,""),"")</f>
        <v/>
      </c>
      <c r="C361" s="26" t="str">
        <f>IFERROR(IF('ŞİKAYET KAYIT'!P361="Kapatıldı",'ŞİKAYET KAYIT'!D361,""),"")</f>
        <v/>
      </c>
      <c r="D361" s="26" t="str">
        <f>IFERROR(IF('ŞİKAYET KAYIT'!P361="Kapatıldı",'ŞİKAYET KAYIT'!F361,""),"")</f>
        <v/>
      </c>
      <c r="E361" s="26" t="str">
        <f>IFERROR(IF('ŞİKAYET KAYIT'!P361="Kapatıldı",'ŞİKAYET KAYIT'!H361,""),"")</f>
        <v/>
      </c>
      <c r="F361" s="26" t="str">
        <f>IFERROR(IF('ŞİKAYET KAYIT'!P361="Kapatıldı",'ŞİKAYET KAYIT'!J361,""),"")</f>
        <v/>
      </c>
      <c r="G361" s="26" t="str">
        <f>IFERROR(IF('ŞİKAYET KAYIT'!P361="Kapatıldı",'ŞİKAYET KAYIT'!K361,""),"")</f>
        <v/>
      </c>
      <c r="H361" s="26" t="str">
        <f>IFERROR(IF('ŞİKAYET KAYIT'!P361="Kapatıldı",'ŞİKAYET KAYIT'!L361,""),"")</f>
        <v/>
      </c>
      <c r="I361" s="26" t="str">
        <f>IFERROR(IF('ŞİKAYET KAYIT'!P361="Kapatıldı",'ŞİKAYET KAYIT'!M361,""),"")</f>
        <v/>
      </c>
      <c r="J361" s="26" t="str">
        <f>IFERROR(IF('ŞİKAYET KAYIT'!P361="Kapatıldı",'ŞİKAYET KAYIT'!N361,""),"")</f>
        <v/>
      </c>
      <c r="K361" s="26" t="str">
        <f>IFERROR(IF('ŞİKAYET KAYIT'!P361="Kapatıldı",'ŞİKAYET KAYIT'!O361,""),"")</f>
        <v/>
      </c>
      <c r="L361" s="8" t="str">
        <f>IFERROR(IF('ŞİKAYET KAYIT'!P361="Kapatıldı",'ŞİKAYET KAYIT'!Q361,""),"")</f>
        <v/>
      </c>
      <c r="M361" s="26" t="str">
        <f>IFERROR(IF('ŞİKAYET KAYIT'!P361="Kapatıldı",'ŞİKAYET KAYIT'!R361,""),"")</f>
        <v/>
      </c>
      <c r="N361" s="26"/>
    </row>
    <row r="362" spans="1:14" ht="15" customHeight="1" x14ac:dyDescent="0.3">
      <c r="A362" s="11" t="str">
        <f>IFERROR(IF('ŞİKAYET KAYIT'!P362="Kapatıldı",'ŞİKAYET KAYIT'!A362,""),"")</f>
        <v/>
      </c>
      <c r="B362" s="12" t="str">
        <f>IFERROR(IF('ŞİKAYET KAYIT'!P362="Kapatıldı",'ŞİKAYET KAYIT'!B362,""),"")</f>
        <v/>
      </c>
      <c r="C362" s="11" t="str">
        <f>IFERROR(IF('ŞİKAYET KAYIT'!P362="Kapatıldı",'ŞİKAYET KAYIT'!D362,""),"")</f>
        <v/>
      </c>
      <c r="D362" s="11" t="str">
        <f>IFERROR(IF('ŞİKAYET KAYIT'!P362="Kapatıldı",'ŞİKAYET KAYIT'!F362,""),"")</f>
        <v/>
      </c>
      <c r="E362" s="11" t="str">
        <f>IFERROR(IF('ŞİKAYET KAYIT'!P362="Kapatıldı",'ŞİKAYET KAYIT'!H362,""),"")</f>
        <v/>
      </c>
      <c r="F362" s="11" t="str">
        <f>IFERROR(IF('ŞİKAYET KAYIT'!P362="Kapatıldı",'ŞİKAYET KAYIT'!J362,""),"")</f>
        <v/>
      </c>
      <c r="G362" s="11" t="str">
        <f>IFERROR(IF('ŞİKAYET KAYIT'!P362="Kapatıldı",'ŞİKAYET KAYIT'!K362,""),"")</f>
        <v/>
      </c>
      <c r="H362" s="11" t="str">
        <f>IFERROR(IF('ŞİKAYET KAYIT'!P362="Kapatıldı",'ŞİKAYET KAYIT'!L362,""),"")</f>
        <v/>
      </c>
      <c r="I362" s="11" t="str">
        <f>IFERROR(IF('ŞİKAYET KAYIT'!P362="Kapatıldı",'ŞİKAYET KAYIT'!M362,""),"")</f>
        <v/>
      </c>
      <c r="J362" s="11" t="str">
        <f>IFERROR(IF('ŞİKAYET KAYIT'!P362="Kapatıldı",'ŞİKAYET KAYIT'!N362,""),"")</f>
        <v/>
      </c>
      <c r="K362" s="11" t="str">
        <f>IFERROR(IF('ŞİKAYET KAYIT'!P362="Kapatıldı",'ŞİKAYET KAYIT'!O362,""),"")</f>
        <v/>
      </c>
      <c r="L362" s="12" t="str">
        <f>IFERROR(IF('ŞİKAYET KAYIT'!P362="Kapatıldı",'ŞİKAYET KAYIT'!Q362,""),"")</f>
        <v/>
      </c>
      <c r="M362" s="11" t="str">
        <f>IFERROR(IF('ŞİKAYET KAYIT'!P362="Kapatıldı",'ŞİKAYET KAYIT'!R362,""),"")</f>
        <v/>
      </c>
      <c r="N362" s="11"/>
    </row>
    <row r="363" spans="1:14" ht="15" customHeight="1" x14ac:dyDescent="0.3">
      <c r="A363" s="26" t="str">
        <f>IFERROR(IF('ŞİKAYET KAYIT'!P363="Kapatıldı",'ŞİKAYET KAYIT'!A363,""),"")</f>
        <v/>
      </c>
      <c r="B363" s="8" t="str">
        <f>IFERROR(IF('ŞİKAYET KAYIT'!P363="Kapatıldı",'ŞİKAYET KAYIT'!B363,""),"")</f>
        <v/>
      </c>
      <c r="C363" s="26" t="str">
        <f>IFERROR(IF('ŞİKAYET KAYIT'!P363="Kapatıldı",'ŞİKAYET KAYIT'!D363,""),"")</f>
        <v/>
      </c>
      <c r="D363" s="26" t="str">
        <f>IFERROR(IF('ŞİKAYET KAYIT'!P363="Kapatıldı",'ŞİKAYET KAYIT'!F363,""),"")</f>
        <v/>
      </c>
      <c r="E363" s="26" t="str">
        <f>IFERROR(IF('ŞİKAYET KAYIT'!P363="Kapatıldı",'ŞİKAYET KAYIT'!H363,""),"")</f>
        <v/>
      </c>
      <c r="F363" s="26" t="str">
        <f>IFERROR(IF('ŞİKAYET KAYIT'!P363="Kapatıldı",'ŞİKAYET KAYIT'!J363,""),"")</f>
        <v/>
      </c>
      <c r="G363" s="26" t="str">
        <f>IFERROR(IF('ŞİKAYET KAYIT'!P363="Kapatıldı",'ŞİKAYET KAYIT'!K363,""),"")</f>
        <v/>
      </c>
      <c r="H363" s="26" t="str">
        <f>IFERROR(IF('ŞİKAYET KAYIT'!P363="Kapatıldı",'ŞİKAYET KAYIT'!L363,""),"")</f>
        <v/>
      </c>
      <c r="I363" s="26" t="str">
        <f>IFERROR(IF('ŞİKAYET KAYIT'!P363="Kapatıldı",'ŞİKAYET KAYIT'!M363,""),"")</f>
        <v/>
      </c>
      <c r="J363" s="26" t="str">
        <f>IFERROR(IF('ŞİKAYET KAYIT'!P363="Kapatıldı",'ŞİKAYET KAYIT'!N363,""),"")</f>
        <v/>
      </c>
      <c r="K363" s="26" t="str">
        <f>IFERROR(IF('ŞİKAYET KAYIT'!P363="Kapatıldı",'ŞİKAYET KAYIT'!O363,""),"")</f>
        <v/>
      </c>
      <c r="L363" s="8" t="str">
        <f>IFERROR(IF('ŞİKAYET KAYIT'!P363="Kapatıldı",'ŞİKAYET KAYIT'!Q363,""),"")</f>
        <v/>
      </c>
      <c r="M363" s="26" t="str">
        <f>IFERROR(IF('ŞİKAYET KAYIT'!P363="Kapatıldı",'ŞİKAYET KAYIT'!R363,""),"")</f>
        <v/>
      </c>
      <c r="N363" s="26"/>
    </row>
    <row r="364" spans="1:14" ht="15" customHeight="1" x14ac:dyDescent="0.3">
      <c r="A364" s="11" t="str">
        <f>IFERROR(IF('ŞİKAYET KAYIT'!P364="Kapatıldı",'ŞİKAYET KAYIT'!A364,""),"")</f>
        <v/>
      </c>
      <c r="B364" s="12" t="str">
        <f>IFERROR(IF('ŞİKAYET KAYIT'!P364="Kapatıldı",'ŞİKAYET KAYIT'!B364,""),"")</f>
        <v/>
      </c>
      <c r="C364" s="11" t="str">
        <f>IFERROR(IF('ŞİKAYET KAYIT'!P364="Kapatıldı",'ŞİKAYET KAYIT'!D364,""),"")</f>
        <v/>
      </c>
      <c r="D364" s="11" t="str">
        <f>IFERROR(IF('ŞİKAYET KAYIT'!P364="Kapatıldı",'ŞİKAYET KAYIT'!F364,""),"")</f>
        <v/>
      </c>
      <c r="E364" s="11" t="str">
        <f>IFERROR(IF('ŞİKAYET KAYIT'!P364="Kapatıldı",'ŞİKAYET KAYIT'!H364,""),"")</f>
        <v/>
      </c>
      <c r="F364" s="11" t="str">
        <f>IFERROR(IF('ŞİKAYET KAYIT'!P364="Kapatıldı",'ŞİKAYET KAYIT'!J364,""),"")</f>
        <v/>
      </c>
      <c r="G364" s="11" t="str">
        <f>IFERROR(IF('ŞİKAYET KAYIT'!P364="Kapatıldı",'ŞİKAYET KAYIT'!K364,""),"")</f>
        <v/>
      </c>
      <c r="H364" s="11" t="str">
        <f>IFERROR(IF('ŞİKAYET KAYIT'!P364="Kapatıldı",'ŞİKAYET KAYIT'!L364,""),"")</f>
        <v/>
      </c>
      <c r="I364" s="11" t="str">
        <f>IFERROR(IF('ŞİKAYET KAYIT'!P364="Kapatıldı",'ŞİKAYET KAYIT'!M364,""),"")</f>
        <v/>
      </c>
      <c r="J364" s="11" t="str">
        <f>IFERROR(IF('ŞİKAYET KAYIT'!P364="Kapatıldı",'ŞİKAYET KAYIT'!N364,""),"")</f>
        <v/>
      </c>
      <c r="K364" s="11" t="str">
        <f>IFERROR(IF('ŞİKAYET KAYIT'!P364="Kapatıldı",'ŞİKAYET KAYIT'!O364,""),"")</f>
        <v/>
      </c>
      <c r="L364" s="12" t="str">
        <f>IFERROR(IF('ŞİKAYET KAYIT'!P364="Kapatıldı",'ŞİKAYET KAYIT'!Q364,""),"")</f>
        <v/>
      </c>
      <c r="M364" s="11" t="str">
        <f>IFERROR(IF('ŞİKAYET KAYIT'!P364="Kapatıldı",'ŞİKAYET KAYIT'!R364,""),"")</f>
        <v/>
      </c>
      <c r="N364" s="11"/>
    </row>
    <row r="365" spans="1:14" ht="15" customHeight="1" x14ac:dyDescent="0.3">
      <c r="A365" s="26" t="str">
        <f>IFERROR(IF('ŞİKAYET KAYIT'!P365="Kapatıldı",'ŞİKAYET KAYIT'!A365,""),"")</f>
        <v/>
      </c>
      <c r="B365" s="8" t="str">
        <f>IFERROR(IF('ŞİKAYET KAYIT'!P365="Kapatıldı",'ŞİKAYET KAYIT'!B365,""),"")</f>
        <v/>
      </c>
      <c r="C365" s="26" t="str">
        <f>IFERROR(IF('ŞİKAYET KAYIT'!P365="Kapatıldı",'ŞİKAYET KAYIT'!D365,""),"")</f>
        <v/>
      </c>
      <c r="D365" s="26" t="str">
        <f>IFERROR(IF('ŞİKAYET KAYIT'!P365="Kapatıldı",'ŞİKAYET KAYIT'!F365,""),"")</f>
        <v/>
      </c>
      <c r="E365" s="26" t="str">
        <f>IFERROR(IF('ŞİKAYET KAYIT'!P365="Kapatıldı",'ŞİKAYET KAYIT'!H365,""),"")</f>
        <v/>
      </c>
      <c r="F365" s="26" t="str">
        <f>IFERROR(IF('ŞİKAYET KAYIT'!P365="Kapatıldı",'ŞİKAYET KAYIT'!J365,""),"")</f>
        <v/>
      </c>
      <c r="G365" s="26" t="str">
        <f>IFERROR(IF('ŞİKAYET KAYIT'!P365="Kapatıldı",'ŞİKAYET KAYIT'!K365,""),"")</f>
        <v/>
      </c>
      <c r="H365" s="26" t="str">
        <f>IFERROR(IF('ŞİKAYET KAYIT'!P365="Kapatıldı",'ŞİKAYET KAYIT'!L365,""),"")</f>
        <v/>
      </c>
      <c r="I365" s="26" t="str">
        <f>IFERROR(IF('ŞİKAYET KAYIT'!P365="Kapatıldı",'ŞİKAYET KAYIT'!M365,""),"")</f>
        <v/>
      </c>
      <c r="J365" s="26" t="str">
        <f>IFERROR(IF('ŞİKAYET KAYIT'!P365="Kapatıldı",'ŞİKAYET KAYIT'!N365,""),"")</f>
        <v/>
      </c>
      <c r="K365" s="26" t="str">
        <f>IFERROR(IF('ŞİKAYET KAYIT'!P365="Kapatıldı",'ŞİKAYET KAYIT'!O365,""),"")</f>
        <v/>
      </c>
      <c r="L365" s="8" t="str">
        <f>IFERROR(IF('ŞİKAYET KAYIT'!P365="Kapatıldı",'ŞİKAYET KAYIT'!Q365,""),"")</f>
        <v/>
      </c>
      <c r="M365" s="26" t="str">
        <f>IFERROR(IF('ŞİKAYET KAYIT'!P365="Kapatıldı",'ŞİKAYET KAYIT'!R365,""),"")</f>
        <v/>
      </c>
      <c r="N365" s="26"/>
    </row>
    <row r="366" spans="1:14" ht="15" customHeight="1" x14ac:dyDescent="0.3">
      <c r="A366" s="11" t="str">
        <f>IFERROR(IF('ŞİKAYET KAYIT'!P366="Kapatıldı",'ŞİKAYET KAYIT'!A366,""),"")</f>
        <v/>
      </c>
      <c r="B366" s="12" t="str">
        <f>IFERROR(IF('ŞİKAYET KAYIT'!P366="Kapatıldı",'ŞİKAYET KAYIT'!B366,""),"")</f>
        <v/>
      </c>
      <c r="C366" s="11" t="str">
        <f>IFERROR(IF('ŞİKAYET KAYIT'!P366="Kapatıldı",'ŞİKAYET KAYIT'!D366,""),"")</f>
        <v/>
      </c>
      <c r="D366" s="11" t="str">
        <f>IFERROR(IF('ŞİKAYET KAYIT'!P366="Kapatıldı",'ŞİKAYET KAYIT'!F366,""),"")</f>
        <v/>
      </c>
      <c r="E366" s="11" t="str">
        <f>IFERROR(IF('ŞİKAYET KAYIT'!P366="Kapatıldı",'ŞİKAYET KAYIT'!H366,""),"")</f>
        <v/>
      </c>
      <c r="F366" s="11" t="str">
        <f>IFERROR(IF('ŞİKAYET KAYIT'!P366="Kapatıldı",'ŞİKAYET KAYIT'!J366,""),"")</f>
        <v/>
      </c>
      <c r="G366" s="11" t="str">
        <f>IFERROR(IF('ŞİKAYET KAYIT'!P366="Kapatıldı",'ŞİKAYET KAYIT'!K366,""),"")</f>
        <v/>
      </c>
      <c r="H366" s="11" t="str">
        <f>IFERROR(IF('ŞİKAYET KAYIT'!P366="Kapatıldı",'ŞİKAYET KAYIT'!L366,""),"")</f>
        <v/>
      </c>
      <c r="I366" s="11" t="str">
        <f>IFERROR(IF('ŞİKAYET KAYIT'!P366="Kapatıldı",'ŞİKAYET KAYIT'!M366,""),"")</f>
        <v/>
      </c>
      <c r="J366" s="11" t="str">
        <f>IFERROR(IF('ŞİKAYET KAYIT'!P366="Kapatıldı",'ŞİKAYET KAYIT'!N366,""),"")</f>
        <v/>
      </c>
      <c r="K366" s="11" t="str">
        <f>IFERROR(IF('ŞİKAYET KAYIT'!P366="Kapatıldı",'ŞİKAYET KAYIT'!O366,""),"")</f>
        <v/>
      </c>
      <c r="L366" s="12" t="str">
        <f>IFERROR(IF('ŞİKAYET KAYIT'!P366="Kapatıldı",'ŞİKAYET KAYIT'!Q366,""),"")</f>
        <v/>
      </c>
      <c r="M366" s="11" t="str">
        <f>IFERROR(IF('ŞİKAYET KAYIT'!P366="Kapatıldı",'ŞİKAYET KAYIT'!R366,""),"")</f>
        <v/>
      </c>
      <c r="N366" s="11"/>
    </row>
    <row r="367" spans="1:14" ht="15" customHeight="1" x14ac:dyDescent="0.3">
      <c r="A367" s="26" t="str">
        <f>IFERROR(IF('ŞİKAYET KAYIT'!P367="Kapatıldı",'ŞİKAYET KAYIT'!A367,""),"")</f>
        <v/>
      </c>
      <c r="B367" s="8" t="str">
        <f>IFERROR(IF('ŞİKAYET KAYIT'!P367="Kapatıldı",'ŞİKAYET KAYIT'!B367,""),"")</f>
        <v/>
      </c>
      <c r="C367" s="26" t="str">
        <f>IFERROR(IF('ŞİKAYET KAYIT'!P367="Kapatıldı",'ŞİKAYET KAYIT'!D367,""),"")</f>
        <v/>
      </c>
      <c r="D367" s="26" t="str">
        <f>IFERROR(IF('ŞİKAYET KAYIT'!P367="Kapatıldı",'ŞİKAYET KAYIT'!F367,""),"")</f>
        <v/>
      </c>
      <c r="E367" s="26" t="str">
        <f>IFERROR(IF('ŞİKAYET KAYIT'!P367="Kapatıldı",'ŞİKAYET KAYIT'!H367,""),"")</f>
        <v/>
      </c>
      <c r="F367" s="26" t="str">
        <f>IFERROR(IF('ŞİKAYET KAYIT'!P367="Kapatıldı",'ŞİKAYET KAYIT'!J367,""),"")</f>
        <v/>
      </c>
      <c r="G367" s="26" t="str">
        <f>IFERROR(IF('ŞİKAYET KAYIT'!P367="Kapatıldı",'ŞİKAYET KAYIT'!K367,""),"")</f>
        <v/>
      </c>
      <c r="H367" s="26" t="str">
        <f>IFERROR(IF('ŞİKAYET KAYIT'!P367="Kapatıldı",'ŞİKAYET KAYIT'!L367,""),"")</f>
        <v/>
      </c>
      <c r="I367" s="26" t="str">
        <f>IFERROR(IF('ŞİKAYET KAYIT'!P367="Kapatıldı",'ŞİKAYET KAYIT'!M367,""),"")</f>
        <v/>
      </c>
      <c r="J367" s="26" t="str">
        <f>IFERROR(IF('ŞİKAYET KAYIT'!P367="Kapatıldı",'ŞİKAYET KAYIT'!N367,""),"")</f>
        <v/>
      </c>
      <c r="K367" s="26" t="str">
        <f>IFERROR(IF('ŞİKAYET KAYIT'!P367="Kapatıldı",'ŞİKAYET KAYIT'!O367,""),"")</f>
        <v/>
      </c>
      <c r="L367" s="8" t="str">
        <f>IFERROR(IF('ŞİKAYET KAYIT'!P367="Kapatıldı",'ŞİKAYET KAYIT'!Q367,""),"")</f>
        <v/>
      </c>
      <c r="M367" s="26" t="str">
        <f>IFERROR(IF('ŞİKAYET KAYIT'!P367="Kapatıldı",'ŞİKAYET KAYIT'!R367,""),"")</f>
        <v/>
      </c>
      <c r="N367" s="26"/>
    </row>
    <row r="368" spans="1:14" ht="15" customHeight="1" x14ac:dyDescent="0.3">
      <c r="A368" s="11" t="str">
        <f>IFERROR(IF('ŞİKAYET KAYIT'!P368="Kapatıldı",'ŞİKAYET KAYIT'!A368,""),"")</f>
        <v/>
      </c>
      <c r="B368" s="12" t="str">
        <f>IFERROR(IF('ŞİKAYET KAYIT'!P368="Kapatıldı",'ŞİKAYET KAYIT'!B368,""),"")</f>
        <v/>
      </c>
      <c r="C368" s="11" t="str">
        <f>IFERROR(IF('ŞİKAYET KAYIT'!P368="Kapatıldı",'ŞİKAYET KAYIT'!D368,""),"")</f>
        <v/>
      </c>
      <c r="D368" s="11" t="str">
        <f>IFERROR(IF('ŞİKAYET KAYIT'!P368="Kapatıldı",'ŞİKAYET KAYIT'!F368,""),"")</f>
        <v/>
      </c>
      <c r="E368" s="11" t="str">
        <f>IFERROR(IF('ŞİKAYET KAYIT'!P368="Kapatıldı",'ŞİKAYET KAYIT'!H368,""),"")</f>
        <v/>
      </c>
      <c r="F368" s="11" t="str">
        <f>IFERROR(IF('ŞİKAYET KAYIT'!P368="Kapatıldı",'ŞİKAYET KAYIT'!J368,""),"")</f>
        <v/>
      </c>
      <c r="G368" s="11" t="str">
        <f>IFERROR(IF('ŞİKAYET KAYIT'!P368="Kapatıldı",'ŞİKAYET KAYIT'!K368,""),"")</f>
        <v/>
      </c>
      <c r="H368" s="11" t="str">
        <f>IFERROR(IF('ŞİKAYET KAYIT'!P368="Kapatıldı",'ŞİKAYET KAYIT'!L368,""),"")</f>
        <v/>
      </c>
      <c r="I368" s="11" t="str">
        <f>IFERROR(IF('ŞİKAYET KAYIT'!P368="Kapatıldı",'ŞİKAYET KAYIT'!M368,""),"")</f>
        <v/>
      </c>
      <c r="J368" s="11" t="str">
        <f>IFERROR(IF('ŞİKAYET KAYIT'!P368="Kapatıldı",'ŞİKAYET KAYIT'!N368,""),"")</f>
        <v/>
      </c>
      <c r="K368" s="11" t="str">
        <f>IFERROR(IF('ŞİKAYET KAYIT'!P368="Kapatıldı",'ŞİKAYET KAYIT'!O368,""),"")</f>
        <v/>
      </c>
      <c r="L368" s="12" t="str">
        <f>IFERROR(IF('ŞİKAYET KAYIT'!P368="Kapatıldı",'ŞİKAYET KAYIT'!Q368,""),"")</f>
        <v/>
      </c>
      <c r="M368" s="11" t="str">
        <f>IFERROR(IF('ŞİKAYET KAYIT'!P368="Kapatıldı",'ŞİKAYET KAYIT'!R368,""),"")</f>
        <v/>
      </c>
      <c r="N368" s="11"/>
    </row>
    <row r="369" spans="1:14" ht="15" customHeight="1" x14ac:dyDescent="0.3">
      <c r="A369" s="26" t="str">
        <f>IFERROR(IF('ŞİKAYET KAYIT'!P369="Kapatıldı",'ŞİKAYET KAYIT'!A369,""),"")</f>
        <v/>
      </c>
      <c r="B369" s="8" t="str">
        <f>IFERROR(IF('ŞİKAYET KAYIT'!P369="Kapatıldı",'ŞİKAYET KAYIT'!B369,""),"")</f>
        <v/>
      </c>
      <c r="C369" s="26" t="str">
        <f>IFERROR(IF('ŞİKAYET KAYIT'!P369="Kapatıldı",'ŞİKAYET KAYIT'!D369,""),"")</f>
        <v/>
      </c>
      <c r="D369" s="26" t="str">
        <f>IFERROR(IF('ŞİKAYET KAYIT'!P369="Kapatıldı",'ŞİKAYET KAYIT'!F369,""),"")</f>
        <v/>
      </c>
      <c r="E369" s="26" t="str">
        <f>IFERROR(IF('ŞİKAYET KAYIT'!P369="Kapatıldı",'ŞİKAYET KAYIT'!H369,""),"")</f>
        <v/>
      </c>
      <c r="F369" s="26" t="str">
        <f>IFERROR(IF('ŞİKAYET KAYIT'!P369="Kapatıldı",'ŞİKAYET KAYIT'!J369,""),"")</f>
        <v/>
      </c>
      <c r="G369" s="26" t="str">
        <f>IFERROR(IF('ŞİKAYET KAYIT'!P369="Kapatıldı",'ŞİKAYET KAYIT'!K369,""),"")</f>
        <v/>
      </c>
      <c r="H369" s="26" t="str">
        <f>IFERROR(IF('ŞİKAYET KAYIT'!P369="Kapatıldı",'ŞİKAYET KAYIT'!L369,""),"")</f>
        <v/>
      </c>
      <c r="I369" s="26" t="str">
        <f>IFERROR(IF('ŞİKAYET KAYIT'!P369="Kapatıldı",'ŞİKAYET KAYIT'!M369,""),"")</f>
        <v/>
      </c>
      <c r="J369" s="26" t="str">
        <f>IFERROR(IF('ŞİKAYET KAYIT'!P369="Kapatıldı",'ŞİKAYET KAYIT'!N369,""),"")</f>
        <v/>
      </c>
      <c r="K369" s="26" t="str">
        <f>IFERROR(IF('ŞİKAYET KAYIT'!P369="Kapatıldı",'ŞİKAYET KAYIT'!O369,""),"")</f>
        <v/>
      </c>
      <c r="L369" s="8" t="str">
        <f>IFERROR(IF('ŞİKAYET KAYIT'!P369="Kapatıldı",'ŞİKAYET KAYIT'!Q369,""),"")</f>
        <v/>
      </c>
      <c r="M369" s="26" t="str">
        <f>IFERROR(IF('ŞİKAYET KAYIT'!P369="Kapatıldı",'ŞİKAYET KAYIT'!R369,""),"")</f>
        <v/>
      </c>
      <c r="N369" s="26"/>
    </row>
    <row r="370" spans="1:14" ht="15" customHeight="1" x14ac:dyDescent="0.3">
      <c r="A370" s="11" t="str">
        <f>IFERROR(IF('ŞİKAYET KAYIT'!P370="Kapatıldı",'ŞİKAYET KAYIT'!A370,""),"")</f>
        <v/>
      </c>
      <c r="B370" s="12" t="str">
        <f>IFERROR(IF('ŞİKAYET KAYIT'!P370="Kapatıldı",'ŞİKAYET KAYIT'!B370,""),"")</f>
        <v/>
      </c>
      <c r="C370" s="11" t="str">
        <f>IFERROR(IF('ŞİKAYET KAYIT'!P370="Kapatıldı",'ŞİKAYET KAYIT'!D370,""),"")</f>
        <v/>
      </c>
      <c r="D370" s="11" t="str">
        <f>IFERROR(IF('ŞİKAYET KAYIT'!P370="Kapatıldı",'ŞİKAYET KAYIT'!F370,""),"")</f>
        <v/>
      </c>
      <c r="E370" s="11" t="str">
        <f>IFERROR(IF('ŞİKAYET KAYIT'!P370="Kapatıldı",'ŞİKAYET KAYIT'!H370,""),"")</f>
        <v/>
      </c>
      <c r="F370" s="11" t="str">
        <f>IFERROR(IF('ŞİKAYET KAYIT'!P370="Kapatıldı",'ŞİKAYET KAYIT'!J370,""),"")</f>
        <v/>
      </c>
      <c r="G370" s="11" t="str">
        <f>IFERROR(IF('ŞİKAYET KAYIT'!P370="Kapatıldı",'ŞİKAYET KAYIT'!K370,""),"")</f>
        <v/>
      </c>
      <c r="H370" s="11" t="str">
        <f>IFERROR(IF('ŞİKAYET KAYIT'!P370="Kapatıldı",'ŞİKAYET KAYIT'!L370,""),"")</f>
        <v/>
      </c>
      <c r="I370" s="11" t="str">
        <f>IFERROR(IF('ŞİKAYET KAYIT'!P370="Kapatıldı",'ŞİKAYET KAYIT'!M370,""),"")</f>
        <v/>
      </c>
      <c r="J370" s="11" t="str">
        <f>IFERROR(IF('ŞİKAYET KAYIT'!P370="Kapatıldı",'ŞİKAYET KAYIT'!N370,""),"")</f>
        <v/>
      </c>
      <c r="K370" s="11" t="str">
        <f>IFERROR(IF('ŞİKAYET KAYIT'!P370="Kapatıldı",'ŞİKAYET KAYIT'!O370,""),"")</f>
        <v/>
      </c>
      <c r="L370" s="12" t="str">
        <f>IFERROR(IF('ŞİKAYET KAYIT'!P370="Kapatıldı",'ŞİKAYET KAYIT'!Q370,""),"")</f>
        <v/>
      </c>
      <c r="M370" s="11" t="str">
        <f>IFERROR(IF('ŞİKAYET KAYIT'!P370="Kapatıldı",'ŞİKAYET KAYIT'!R370,""),"")</f>
        <v/>
      </c>
      <c r="N370" s="11"/>
    </row>
    <row r="371" spans="1:14" ht="15" customHeight="1" x14ac:dyDescent="0.3">
      <c r="A371" s="26" t="str">
        <f>IFERROR(IF('ŞİKAYET KAYIT'!P371="Kapatıldı",'ŞİKAYET KAYIT'!A371,""),"")</f>
        <v/>
      </c>
      <c r="B371" s="8" t="str">
        <f>IFERROR(IF('ŞİKAYET KAYIT'!P371="Kapatıldı",'ŞİKAYET KAYIT'!B371,""),"")</f>
        <v/>
      </c>
      <c r="C371" s="26" t="str">
        <f>IFERROR(IF('ŞİKAYET KAYIT'!P371="Kapatıldı",'ŞİKAYET KAYIT'!D371,""),"")</f>
        <v/>
      </c>
      <c r="D371" s="26" t="str">
        <f>IFERROR(IF('ŞİKAYET KAYIT'!P371="Kapatıldı",'ŞİKAYET KAYIT'!F371,""),"")</f>
        <v/>
      </c>
      <c r="E371" s="26" t="str">
        <f>IFERROR(IF('ŞİKAYET KAYIT'!P371="Kapatıldı",'ŞİKAYET KAYIT'!H371,""),"")</f>
        <v/>
      </c>
      <c r="F371" s="26" t="str">
        <f>IFERROR(IF('ŞİKAYET KAYIT'!P371="Kapatıldı",'ŞİKAYET KAYIT'!J371,""),"")</f>
        <v/>
      </c>
      <c r="G371" s="26" t="str">
        <f>IFERROR(IF('ŞİKAYET KAYIT'!P371="Kapatıldı",'ŞİKAYET KAYIT'!K371,""),"")</f>
        <v/>
      </c>
      <c r="H371" s="26" t="str">
        <f>IFERROR(IF('ŞİKAYET KAYIT'!P371="Kapatıldı",'ŞİKAYET KAYIT'!L371,""),"")</f>
        <v/>
      </c>
      <c r="I371" s="26" t="str">
        <f>IFERROR(IF('ŞİKAYET KAYIT'!P371="Kapatıldı",'ŞİKAYET KAYIT'!M371,""),"")</f>
        <v/>
      </c>
      <c r="J371" s="26" t="str">
        <f>IFERROR(IF('ŞİKAYET KAYIT'!P371="Kapatıldı",'ŞİKAYET KAYIT'!N371,""),"")</f>
        <v/>
      </c>
      <c r="K371" s="26" t="str">
        <f>IFERROR(IF('ŞİKAYET KAYIT'!P371="Kapatıldı",'ŞİKAYET KAYIT'!O371,""),"")</f>
        <v/>
      </c>
      <c r="L371" s="8" t="str">
        <f>IFERROR(IF('ŞİKAYET KAYIT'!P371="Kapatıldı",'ŞİKAYET KAYIT'!Q371,""),"")</f>
        <v/>
      </c>
      <c r="M371" s="26" t="str">
        <f>IFERROR(IF('ŞİKAYET KAYIT'!P371="Kapatıldı",'ŞİKAYET KAYIT'!R371,""),"")</f>
        <v/>
      </c>
      <c r="N371" s="26"/>
    </row>
    <row r="372" spans="1:14" ht="15" customHeight="1" x14ac:dyDescent="0.3">
      <c r="A372" s="11" t="str">
        <f>IFERROR(IF('ŞİKAYET KAYIT'!P372="Kapatıldı",'ŞİKAYET KAYIT'!A372,""),"")</f>
        <v/>
      </c>
      <c r="B372" s="12" t="str">
        <f>IFERROR(IF('ŞİKAYET KAYIT'!P372="Kapatıldı",'ŞİKAYET KAYIT'!B372,""),"")</f>
        <v/>
      </c>
      <c r="C372" s="11" t="str">
        <f>IFERROR(IF('ŞİKAYET KAYIT'!P372="Kapatıldı",'ŞİKAYET KAYIT'!D372,""),"")</f>
        <v/>
      </c>
      <c r="D372" s="11" t="str">
        <f>IFERROR(IF('ŞİKAYET KAYIT'!P372="Kapatıldı",'ŞİKAYET KAYIT'!F372,""),"")</f>
        <v/>
      </c>
      <c r="E372" s="11" t="str">
        <f>IFERROR(IF('ŞİKAYET KAYIT'!P372="Kapatıldı",'ŞİKAYET KAYIT'!H372,""),"")</f>
        <v/>
      </c>
      <c r="F372" s="11" t="str">
        <f>IFERROR(IF('ŞİKAYET KAYIT'!P372="Kapatıldı",'ŞİKAYET KAYIT'!J372,""),"")</f>
        <v/>
      </c>
      <c r="G372" s="11" t="str">
        <f>IFERROR(IF('ŞİKAYET KAYIT'!P372="Kapatıldı",'ŞİKAYET KAYIT'!K372,""),"")</f>
        <v/>
      </c>
      <c r="H372" s="11" t="str">
        <f>IFERROR(IF('ŞİKAYET KAYIT'!P372="Kapatıldı",'ŞİKAYET KAYIT'!L372,""),"")</f>
        <v/>
      </c>
      <c r="I372" s="11" t="str">
        <f>IFERROR(IF('ŞİKAYET KAYIT'!P372="Kapatıldı",'ŞİKAYET KAYIT'!M372,""),"")</f>
        <v/>
      </c>
      <c r="J372" s="11" t="str">
        <f>IFERROR(IF('ŞİKAYET KAYIT'!P372="Kapatıldı",'ŞİKAYET KAYIT'!N372,""),"")</f>
        <v/>
      </c>
      <c r="K372" s="11" t="str">
        <f>IFERROR(IF('ŞİKAYET KAYIT'!P372="Kapatıldı",'ŞİKAYET KAYIT'!O372,""),"")</f>
        <v/>
      </c>
      <c r="L372" s="12" t="str">
        <f>IFERROR(IF('ŞİKAYET KAYIT'!P372="Kapatıldı",'ŞİKAYET KAYIT'!Q372,""),"")</f>
        <v/>
      </c>
      <c r="M372" s="11" t="str">
        <f>IFERROR(IF('ŞİKAYET KAYIT'!P372="Kapatıldı",'ŞİKAYET KAYIT'!R372,""),"")</f>
        <v/>
      </c>
      <c r="N372" s="11"/>
    </row>
    <row r="373" spans="1:14" ht="15" customHeight="1" x14ac:dyDescent="0.3">
      <c r="A373" s="26" t="str">
        <f>IFERROR(IF('ŞİKAYET KAYIT'!P373="Kapatıldı",'ŞİKAYET KAYIT'!A373,""),"")</f>
        <v/>
      </c>
      <c r="B373" s="8" t="str">
        <f>IFERROR(IF('ŞİKAYET KAYIT'!P373="Kapatıldı",'ŞİKAYET KAYIT'!B373,""),"")</f>
        <v/>
      </c>
      <c r="C373" s="26" t="str">
        <f>IFERROR(IF('ŞİKAYET KAYIT'!P373="Kapatıldı",'ŞİKAYET KAYIT'!D373,""),"")</f>
        <v/>
      </c>
      <c r="D373" s="26" t="str">
        <f>IFERROR(IF('ŞİKAYET KAYIT'!P373="Kapatıldı",'ŞİKAYET KAYIT'!F373,""),"")</f>
        <v/>
      </c>
      <c r="E373" s="26" t="str">
        <f>IFERROR(IF('ŞİKAYET KAYIT'!P373="Kapatıldı",'ŞİKAYET KAYIT'!H373,""),"")</f>
        <v/>
      </c>
      <c r="F373" s="26" t="str">
        <f>IFERROR(IF('ŞİKAYET KAYIT'!P373="Kapatıldı",'ŞİKAYET KAYIT'!J373,""),"")</f>
        <v/>
      </c>
      <c r="G373" s="26" t="str">
        <f>IFERROR(IF('ŞİKAYET KAYIT'!P373="Kapatıldı",'ŞİKAYET KAYIT'!K373,""),"")</f>
        <v/>
      </c>
      <c r="H373" s="26" t="str">
        <f>IFERROR(IF('ŞİKAYET KAYIT'!P373="Kapatıldı",'ŞİKAYET KAYIT'!L373,""),"")</f>
        <v/>
      </c>
      <c r="I373" s="26" t="str">
        <f>IFERROR(IF('ŞİKAYET KAYIT'!P373="Kapatıldı",'ŞİKAYET KAYIT'!M373,""),"")</f>
        <v/>
      </c>
      <c r="J373" s="26" t="str">
        <f>IFERROR(IF('ŞİKAYET KAYIT'!P373="Kapatıldı",'ŞİKAYET KAYIT'!N373,""),"")</f>
        <v/>
      </c>
      <c r="K373" s="26" t="str">
        <f>IFERROR(IF('ŞİKAYET KAYIT'!P373="Kapatıldı",'ŞİKAYET KAYIT'!O373,""),"")</f>
        <v/>
      </c>
      <c r="L373" s="8" t="str">
        <f>IFERROR(IF('ŞİKAYET KAYIT'!P373="Kapatıldı",'ŞİKAYET KAYIT'!Q373,""),"")</f>
        <v/>
      </c>
      <c r="M373" s="26" t="str">
        <f>IFERROR(IF('ŞİKAYET KAYIT'!P373="Kapatıldı",'ŞİKAYET KAYIT'!R373,""),"")</f>
        <v/>
      </c>
      <c r="N373" s="26"/>
    </row>
    <row r="374" spans="1:14" ht="15" customHeight="1" x14ac:dyDescent="0.3">
      <c r="A374" s="11" t="str">
        <f>IFERROR(IF('ŞİKAYET KAYIT'!P374="Kapatıldı",'ŞİKAYET KAYIT'!A374,""),"")</f>
        <v/>
      </c>
      <c r="B374" s="12" t="str">
        <f>IFERROR(IF('ŞİKAYET KAYIT'!P374="Kapatıldı",'ŞİKAYET KAYIT'!B374,""),"")</f>
        <v/>
      </c>
      <c r="C374" s="11" t="str">
        <f>IFERROR(IF('ŞİKAYET KAYIT'!P374="Kapatıldı",'ŞİKAYET KAYIT'!D374,""),"")</f>
        <v/>
      </c>
      <c r="D374" s="11" t="str">
        <f>IFERROR(IF('ŞİKAYET KAYIT'!P374="Kapatıldı",'ŞİKAYET KAYIT'!F374,""),"")</f>
        <v/>
      </c>
      <c r="E374" s="11" t="str">
        <f>IFERROR(IF('ŞİKAYET KAYIT'!P374="Kapatıldı",'ŞİKAYET KAYIT'!H374,""),"")</f>
        <v/>
      </c>
      <c r="F374" s="11" t="str">
        <f>IFERROR(IF('ŞİKAYET KAYIT'!P374="Kapatıldı",'ŞİKAYET KAYIT'!J374,""),"")</f>
        <v/>
      </c>
      <c r="G374" s="11" t="str">
        <f>IFERROR(IF('ŞİKAYET KAYIT'!P374="Kapatıldı",'ŞİKAYET KAYIT'!K374,""),"")</f>
        <v/>
      </c>
      <c r="H374" s="11" t="str">
        <f>IFERROR(IF('ŞİKAYET KAYIT'!P374="Kapatıldı",'ŞİKAYET KAYIT'!L374,""),"")</f>
        <v/>
      </c>
      <c r="I374" s="11" t="str">
        <f>IFERROR(IF('ŞİKAYET KAYIT'!P374="Kapatıldı",'ŞİKAYET KAYIT'!M374,""),"")</f>
        <v/>
      </c>
      <c r="J374" s="11" t="str">
        <f>IFERROR(IF('ŞİKAYET KAYIT'!P374="Kapatıldı",'ŞİKAYET KAYIT'!N374,""),"")</f>
        <v/>
      </c>
      <c r="K374" s="11" t="str">
        <f>IFERROR(IF('ŞİKAYET KAYIT'!P374="Kapatıldı",'ŞİKAYET KAYIT'!O374,""),"")</f>
        <v/>
      </c>
      <c r="L374" s="12" t="str">
        <f>IFERROR(IF('ŞİKAYET KAYIT'!P374="Kapatıldı",'ŞİKAYET KAYIT'!Q374,""),"")</f>
        <v/>
      </c>
      <c r="M374" s="11" t="str">
        <f>IFERROR(IF('ŞİKAYET KAYIT'!P374="Kapatıldı",'ŞİKAYET KAYIT'!R374,""),"")</f>
        <v/>
      </c>
      <c r="N374" s="11"/>
    </row>
    <row r="375" spans="1:14" ht="15" customHeight="1" x14ac:dyDescent="0.3">
      <c r="A375" s="26" t="str">
        <f>IFERROR(IF('ŞİKAYET KAYIT'!P375="Kapatıldı",'ŞİKAYET KAYIT'!A375,""),"")</f>
        <v/>
      </c>
      <c r="B375" s="8" t="str">
        <f>IFERROR(IF('ŞİKAYET KAYIT'!P375="Kapatıldı",'ŞİKAYET KAYIT'!B375,""),"")</f>
        <v/>
      </c>
      <c r="C375" s="26" t="str">
        <f>IFERROR(IF('ŞİKAYET KAYIT'!P375="Kapatıldı",'ŞİKAYET KAYIT'!D375,""),"")</f>
        <v/>
      </c>
      <c r="D375" s="26" t="str">
        <f>IFERROR(IF('ŞİKAYET KAYIT'!P375="Kapatıldı",'ŞİKAYET KAYIT'!F375,""),"")</f>
        <v/>
      </c>
      <c r="E375" s="26" t="str">
        <f>IFERROR(IF('ŞİKAYET KAYIT'!P375="Kapatıldı",'ŞİKAYET KAYIT'!H375,""),"")</f>
        <v/>
      </c>
      <c r="F375" s="26" t="str">
        <f>IFERROR(IF('ŞİKAYET KAYIT'!P375="Kapatıldı",'ŞİKAYET KAYIT'!J375,""),"")</f>
        <v/>
      </c>
      <c r="G375" s="26" t="str">
        <f>IFERROR(IF('ŞİKAYET KAYIT'!P375="Kapatıldı",'ŞİKAYET KAYIT'!K375,""),"")</f>
        <v/>
      </c>
      <c r="H375" s="26" t="str">
        <f>IFERROR(IF('ŞİKAYET KAYIT'!P375="Kapatıldı",'ŞİKAYET KAYIT'!L375,""),"")</f>
        <v/>
      </c>
      <c r="I375" s="26" t="str">
        <f>IFERROR(IF('ŞİKAYET KAYIT'!P375="Kapatıldı",'ŞİKAYET KAYIT'!M375,""),"")</f>
        <v/>
      </c>
      <c r="J375" s="26" t="str">
        <f>IFERROR(IF('ŞİKAYET KAYIT'!P375="Kapatıldı",'ŞİKAYET KAYIT'!N375,""),"")</f>
        <v/>
      </c>
      <c r="K375" s="26" t="str">
        <f>IFERROR(IF('ŞİKAYET KAYIT'!P375="Kapatıldı",'ŞİKAYET KAYIT'!O375,""),"")</f>
        <v/>
      </c>
      <c r="L375" s="8" t="str">
        <f>IFERROR(IF('ŞİKAYET KAYIT'!P375="Kapatıldı",'ŞİKAYET KAYIT'!Q375,""),"")</f>
        <v/>
      </c>
      <c r="M375" s="26" t="str">
        <f>IFERROR(IF('ŞİKAYET KAYIT'!P375="Kapatıldı",'ŞİKAYET KAYIT'!R375,""),"")</f>
        <v/>
      </c>
      <c r="N375" s="26"/>
    </row>
    <row r="376" spans="1:14" ht="15" customHeight="1" x14ac:dyDescent="0.3">
      <c r="A376" s="11" t="str">
        <f>IFERROR(IF('ŞİKAYET KAYIT'!P376="Kapatıldı",'ŞİKAYET KAYIT'!A376,""),"")</f>
        <v/>
      </c>
      <c r="B376" s="12" t="str">
        <f>IFERROR(IF('ŞİKAYET KAYIT'!P376="Kapatıldı",'ŞİKAYET KAYIT'!B376,""),"")</f>
        <v/>
      </c>
      <c r="C376" s="11" t="str">
        <f>IFERROR(IF('ŞİKAYET KAYIT'!P376="Kapatıldı",'ŞİKAYET KAYIT'!D376,""),"")</f>
        <v/>
      </c>
      <c r="D376" s="11" t="str">
        <f>IFERROR(IF('ŞİKAYET KAYIT'!P376="Kapatıldı",'ŞİKAYET KAYIT'!F376,""),"")</f>
        <v/>
      </c>
      <c r="E376" s="11" t="str">
        <f>IFERROR(IF('ŞİKAYET KAYIT'!P376="Kapatıldı",'ŞİKAYET KAYIT'!H376,""),"")</f>
        <v/>
      </c>
      <c r="F376" s="11" t="str">
        <f>IFERROR(IF('ŞİKAYET KAYIT'!P376="Kapatıldı",'ŞİKAYET KAYIT'!J376,""),"")</f>
        <v/>
      </c>
      <c r="G376" s="11" t="str">
        <f>IFERROR(IF('ŞİKAYET KAYIT'!P376="Kapatıldı",'ŞİKAYET KAYIT'!K376,""),"")</f>
        <v/>
      </c>
      <c r="H376" s="11" t="str">
        <f>IFERROR(IF('ŞİKAYET KAYIT'!P376="Kapatıldı",'ŞİKAYET KAYIT'!L376,""),"")</f>
        <v/>
      </c>
      <c r="I376" s="11" t="str">
        <f>IFERROR(IF('ŞİKAYET KAYIT'!P376="Kapatıldı",'ŞİKAYET KAYIT'!M376,""),"")</f>
        <v/>
      </c>
      <c r="J376" s="11" t="str">
        <f>IFERROR(IF('ŞİKAYET KAYIT'!P376="Kapatıldı",'ŞİKAYET KAYIT'!N376,""),"")</f>
        <v/>
      </c>
      <c r="K376" s="11" t="str">
        <f>IFERROR(IF('ŞİKAYET KAYIT'!P376="Kapatıldı",'ŞİKAYET KAYIT'!O376,""),"")</f>
        <v/>
      </c>
      <c r="L376" s="12" t="str">
        <f>IFERROR(IF('ŞİKAYET KAYIT'!P376="Kapatıldı",'ŞİKAYET KAYIT'!Q376,""),"")</f>
        <v/>
      </c>
      <c r="M376" s="11" t="str">
        <f>IFERROR(IF('ŞİKAYET KAYIT'!P376="Kapatıldı",'ŞİKAYET KAYIT'!R376,""),"")</f>
        <v/>
      </c>
      <c r="N376" s="11"/>
    </row>
    <row r="377" spans="1:14" ht="15" customHeight="1" x14ac:dyDescent="0.3">
      <c r="A377" s="26" t="str">
        <f>IFERROR(IF('ŞİKAYET KAYIT'!P377="Kapatıldı",'ŞİKAYET KAYIT'!A377,""),"")</f>
        <v/>
      </c>
      <c r="B377" s="8" t="str">
        <f>IFERROR(IF('ŞİKAYET KAYIT'!P377="Kapatıldı",'ŞİKAYET KAYIT'!B377,""),"")</f>
        <v/>
      </c>
      <c r="C377" s="26" t="str">
        <f>IFERROR(IF('ŞİKAYET KAYIT'!P377="Kapatıldı",'ŞİKAYET KAYIT'!D377,""),"")</f>
        <v/>
      </c>
      <c r="D377" s="26" t="str">
        <f>IFERROR(IF('ŞİKAYET KAYIT'!P377="Kapatıldı",'ŞİKAYET KAYIT'!F377,""),"")</f>
        <v/>
      </c>
      <c r="E377" s="26" t="str">
        <f>IFERROR(IF('ŞİKAYET KAYIT'!P377="Kapatıldı",'ŞİKAYET KAYIT'!H377,""),"")</f>
        <v/>
      </c>
      <c r="F377" s="26" t="str">
        <f>IFERROR(IF('ŞİKAYET KAYIT'!P377="Kapatıldı",'ŞİKAYET KAYIT'!J377,""),"")</f>
        <v/>
      </c>
      <c r="G377" s="26" t="str">
        <f>IFERROR(IF('ŞİKAYET KAYIT'!P377="Kapatıldı",'ŞİKAYET KAYIT'!K377,""),"")</f>
        <v/>
      </c>
      <c r="H377" s="26" t="str">
        <f>IFERROR(IF('ŞİKAYET KAYIT'!P377="Kapatıldı",'ŞİKAYET KAYIT'!L377,""),"")</f>
        <v/>
      </c>
      <c r="I377" s="26" t="str">
        <f>IFERROR(IF('ŞİKAYET KAYIT'!P377="Kapatıldı",'ŞİKAYET KAYIT'!M377,""),"")</f>
        <v/>
      </c>
      <c r="J377" s="26" t="str">
        <f>IFERROR(IF('ŞİKAYET KAYIT'!P377="Kapatıldı",'ŞİKAYET KAYIT'!N377,""),"")</f>
        <v/>
      </c>
      <c r="K377" s="26" t="str">
        <f>IFERROR(IF('ŞİKAYET KAYIT'!P377="Kapatıldı",'ŞİKAYET KAYIT'!O377,""),"")</f>
        <v/>
      </c>
      <c r="L377" s="8" t="str">
        <f>IFERROR(IF('ŞİKAYET KAYIT'!P377="Kapatıldı",'ŞİKAYET KAYIT'!Q377,""),"")</f>
        <v/>
      </c>
      <c r="M377" s="26" t="str">
        <f>IFERROR(IF('ŞİKAYET KAYIT'!P377="Kapatıldı",'ŞİKAYET KAYIT'!R377,""),"")</f>
        <v/>
      </c>
      <c r="N377" s="26"/>
    </row>
    <row r="378" spans="1:14" ht="15" customHeight="1" x14ac:dyDescent="0.3">
      <c r="A378" s="11" t="str">
        <f>IFERROR(IF('ŞİKAYET KAYIT'!P378="Kapatıldı",'ŞİKAYET KAYIT'!A378,""),"")</f>
        <v/>
      </c>
      <c r="B378" s="12" t="str">
        <f>IFERROR(IF('ŞİKAYET KAYIT'!P378="Kapatıldı",'ŞİKAYET KAYIT'!B378,""),"")</f>
        <v/>
      </c>
      <c r="C378" s="11" t="str">
        <f>IFERROR(IF('ŞİKAYET KAYIT'!P378="Kapatıldı",'ŞİKAYET KAYIT'!D378,""),"")</f>
        <v/>
      </c>
      <c r="D378" s="11" t="str">
        <f>IFERROR(IF('ŞİKAYET KAYIT'!P378="Kapatıldı",'ŞİKAYET KAYIT'!F378,""),"")</f>
        <v/>
      </c>
      <c r="E378" s="11" t="str">
        <f>IFERROR(IF('ŞİKAYET KAYIT'!P378="Kapatıldı",'ŞİKAYET KAYIT'!H378,""),"")</f>
        <v/>
      </c>
      <c r="F378" s="11" t="str">
        <f>IFERROR(IF('ŞİKAYET KAYIT'!P378="Kapatıldı",'ŞİKAYET KAYIT'!J378,""),"")</f>
        <v/>
      </c>
      <c r="G378" s="11" t="str">
        <f>IFERROR(IF('ŞİKAYET KAYIT'!P378="Kapatıldı",'ŞİKAYET KAYIT'!K378,""),"")</f>
        <v/>
      </c>
      <c r="H378" s="11" t="str">
        <f>IFERROR(IF('ŞİKAYET KAYIT'!P378="Kapatıldı",'ŞİKAYET KAYIT'!L378,""),"")</f>
        <v/>
      </c>
      <c r="I378" s="11" t="str">
        <f>IFERROR(IF('ŞİKAYET KAYIT'!P378="Kapatıldı",'ŞİKAYET KAYIT'!M378,""),"")</f>
        <v/>
      </c>
      <c r="J378" s="11" t="str">
        <f>IFERROR(IF('ŞİKAYET KAYIT'!P378="Kapatıldı",'ŞİKAYET KAYIT'!N378,""),"")</f>
        <v/>
      </c>
      <c r="K378" s="11" t="str">
        <f>IFERROR(IF('ŞİKAYET KAYIT'!P378="Kapatıldı",'ŞİKAYET KAYIT'!O378,""),"")</f>
        <v/>
      </c>
      <c r="L378" s="12" t="str">
        <f>IFERROR(IF('ŞİKAYET KAYIT'!P378="Kapatıldı",'ŞİKAYET KAYIT'!Q378,""),"")</f>
        <v/>
      </c>
      <c r="M378" s="11" t="str">
        <f>IFERROR(IF('ŞİKAYET KAYIT'!P378="Kapatıldı",'ŞİKAYET KAYIT'!R378,""),"")</f>
        <v/>
      </c>
      <c r="N378" s="11"/>
    </row>
    <row r="379" spans="1:14" ht="15" customHeight="1" x14ac:dyDescent="0.3">
      <c r="A379" s="26" t="str">
        <f>IFERROR(IF('ŞİKAYET KAYIT'!P379="Kapatıldı",'ŞİKAYET KAYIT'!A379,""),"")</f>
        <v/>
      </c>
      <c r="B379" s="8" t="str">
        <f>IFERROR(IF('ŞİKAYET KAYIT'!P379="Kapatıldı",'ŞİKAYET KAYIT'!B379,""),"")</f>
        <v/>
      </c>
      <c r="C379" s="26" t="str">
        <f>IFERROR(IF('ŞİKAYET KAYIT'!P379="Kapatıldı",'ŞİKAYET KAYIT'!D379,""),"")</f>
        <v/>
      </c>
      <c r="D379" s="26" t="str">
        <f>IFERROR(IF('ŞİKAYET KAYIT'!P379="Kapatıldı",'ŞİKAYET KAYIT'!F379,""),"")</f>
        <v/>
      </c>
      <c r="E379" s="26" t="str">
        <f>IFERROR(IF('ŞİKAYET KAYIT'!P379="Kapatıldı",'ŞİKAYET KAYIT'!H379,""),"")</f>
        <v/>
      </c>
      <c r="F379" s="26" t="str">
        <f>IFERROR(IF('ŞİKAYET KAYIT'!P379="Kapatıldı",'ŞİKAYET KAYIT'!J379,""),"")</f>
        <v/>
      </c>
      <c r="G379" s="26" t="str">
        <f>IFERROR(IF('ŞİKAYET KAYIT'!P379="Kapatıldı",'ŞİKAYET KAYIT'!K379,""),"")</f>
        <v/>
      </c>
      <c r="H379" s="26" t="str">
        <f>IFERROR(IF('ŞİKAYET KAYIT'!P379="Kapatıldı",'ŞİKAYET KAYIT'!L379,""),"")</f>
        <v/>
      </c>
      <c r="I379" s="26" t="str">
        <f>IFERROR(IF('ŞİKAYET KAYIT'!P379="Kapatıldı",'ŞİKAYET KAYIT'!M379,""),"")</f>
        <v/>
      </c>
      <c r="J379" s="26" t="str">
        <f>IFERROR(IF('ŞİKAYET KAYIT'!P379="Kapatıldı",'ŞİKAYET KAYIT'!N379,""),"")</f>
        <v/>
      </c>
      <c r="K379" s="26" t="str">
        <f>IFERROR(IF('ŞİKAYET KAYIT'!P379="Kapatıldı",'ŞİKAYET KAYIT'!O379,""),"")</f>
        <v/>
      </c>
      <c r="L379" s="8" t="str">
        <f>IFERROR(IF('ŞİKAYET KAYIT'!P379="Kapatıldı",'ŞİKAYET KAYIT'!Q379,""),"")</f>
        <v/>
      </c>
      <c r="M379" s="26" t="str">
        <f>IFERROR(IF('ŞİKAYET KAYIT'!P379="Kapatıldı",'ŞİKAYET KAYIT'!R379,""),"")</f>
        <v/>
      </c>
      <c r="N379" s="26"/>
    </row>
    <row r="380" spans="1:14" ht="15" customHeight="1" x14ac:dyDescent="0.3">
      <c r="A380" s="11" t="str">
        <f>IFERROR(IF('ŞİKAYET KAYIT'!P380="Kapatıldı",'ŞİKAYET KAYIT'!A380,""),"")</f>
        <v/>
      </c>
      <c r="B380" s="12" t="str">
        <f>IFERROR(IF('ŞİKAYET KAYIT'!P380="Kapatıldı",'ŞİKAYET KAYIT'!B380,""),"")</f>
        <v/>
      </c>
      <c r="C380" s="11" t="str">
        <f>IFERROR(IF('ŞİKAYET KAYIT'!P380="Kapatıldı",'ŞİKAYET KAYIT'!D380,""),"")</f>
        <v/>
      </c>
      <c r="D380" s="11" t="str">
        <f>IFERROR(IF('ŞİKAYET KAYIT'!P380="Kapatıldı",'ŞİKAYET KAYIT'!F380,""),"")</f>
        <v/>
      </c>
      <c r="E380" s="11" t="str">
        <f>IFERROR(IF('ŞİKAYET KAYIT'!P380="Kapatıldı",'ŞİKAYET KAYIT'!H380,""),"")</f>
        <v/>
      </c>
      <c r="F380" s="11" t="str">
        <f>IFERROR(IF('ŞİKAYET KAYIT'!P380="Kapatıldı",'ŞİKAYET KAYIT'!J380,""),"")</f>
        <v/>
      </c>
      <c r="G380" s="11" t="str">
        <f>IFERROR(IF('ŞİKAYET KAYIT'!P380="Kapatıldı",'ŞİKAYET KAYIT'!K380,""),"")</f>
        <v/>
      </c>
      <c r="H380" s="11" t="str">
        <f>IFERROR(IF('ŞİKAYET KAYIT'!P380="Kapatıldı",'ŞİKAYET KAYIT'!L380,""),"")</f>
        <v/>
      </c>
      <c r="I380" s="11" t="str">
        <f>IFERROR(IF('ŞİKAYET KAYIT'!P380="Kapatıldı",'ŞİKAYET KAYIT'!M380,""),"")</f>
        <v/>
      </c>
      <c r="J380" s="11" t="str">
        <f>IFERROR(IF('ŞİKAYET KAYIT'!P380="Kapatıldı",'ŞİKAYET KAYIT'!N380,""),"")</f>
        <v/>
      </c>
      <c r="K380" s="11" t="str">
        <f>IFERROR(IF('ŞİKAYET KAYIT'!P380="Kapatıldı",'ŞİKAYET KAYIT'!O380,""),"")</f>
        <v/>
      </c>
      <c r="L380" s="12" t="str">
        <f>IFERROR(IF('ŞİKAYET KAYIT'!P380="Kapatıldı",'ŞİKAYET KAYIT'!Q380,""),"")</f>
        <v/>
      </c>
      <c r="M380" s="11" t="str">
        <f>IFERROR(IF('ŞİKAYET KAYIT'!P380="Kapatıldı",'ŞİKAYET KAYIT'!R380,""),"")</f>
        <v/>
      </c>
      <c r="N380" s="11"/>
    </row>
    <row r="381" spans="1:14" ht="15" customHeight="1" x14ac:dyDescent="0.3">
      <c r="A381" s="26" t="str">
        <f>IFERROR(IF('ŞİKAYET KAYIT'!P381="Kapatıldı",'ŞİKAYET KAYIT'!A381,""),"")</f>
        <v/>
      </c>
      <c r="B381" s="8" t="str">
        <f>IFERROR(IF('ŞİKAYET KAYIT'!P381="Kapatıldı",'ŞİKAYET KAYIT'!B381,""),"")</f>
        <v/>
      </c>
      <c r="C381" s="26" t="str">
        <f>IFERROR(IF('ŞİKAYET KAYIT'!P381="Kapatıldı",'ŞİKAYET KAYIT'!D381,""),"")</f>
        <v/>
      </c>
      <c r="D381" s="26" t="str">
        <f>IFERROR(IF('ŞİKAYET KAYIT'!P381="Kapatıldı",'ŞİKAYET KAYIT'!F381,""),"")</f>
        <v/>
      </c>
      <c r="E381" s="26" t="str">
        <f>IFERROR(IF('ŞİKAYET KAYIT'!P381="Kapatıldı",'ŞİKAYET KAYIT'!H381,""),"")</f>
        <v/>
      </c>
      <c r="F381" s="26" t="str">
        <f>IFERROR(IF('ŞİKAYET KAYIT'!P381="Kapatıldı",'ŞİKAYET KAYIT'!J381,""),"")</f>
        <v/>
      </c>
      <c r="G381" s="26" t="str">
        <f>IFERROR(IF('ŞİKAYET KAYIT'!P381="Kapatıldı",'ŞİKAYET KAYIT'!K381,""),"")</f>
        <v/>
      </c>
      <c r="H381" s="26" t="str">
        <f>IFERROR(IF('ŞİKAYET KAYIT'!P381="Kapatıldı",'ŞİKAYET KAYIT'!L381,""),"")</f>
        <v/>
      </c>
      <c r="I381" s="26" t="str">
        <f>IFERROR(IF('ŞİKAYET KAYIT'!P381="Kapatıldı",'ŞİKAYET KAYIT'!M381,""),"")</f>
        <v/>
      </c>
      <c r="J381" s="26" t="str">
        <f>IFERROR(IF('ŞİKAYET KAYIT'!P381="Kapatıldı",'ŞİKAYET KAYIT'!N381,""),"")</f>
        <v/>
      </c>
      <c r="K381" s="26" t="str">
        <f>IFERROR(IF('ŞİKAYET KAYIT'!P381="Kapatıldı",'ŞİKAYET KAYIT'!O381,""),"")</f>
        <v/>
      </c>
      <c r="L381" s="8" t="str">
        <f>IFERROR(IF('ŞİKAYET KAYIT'!P381="Kapatıldı",'ŞİKAYET KAYIT'!Q381,""),"")</f>
        <v/>
      </c>
      <c r="M381" s="26" t="str">
        <f>IFERROR(IF('ŞİKAYET KAYIT'!P381="Kapatıldı",'ŞİKAYET KAYIT'!R381,""),"")</f>
        <v/>
      </c>
      <c r="N381" s="26"/>
    </row>
    <row r="382" spans="1:14" ht="15" customHeight="1" x14ac:dyDescent="0.3">
      <c r="A382" s="11" t="str">
        <f>IFERROR(IF('ŞİKAYET KAYIT'!P382="Kapatıldı",'ŞİKAYET KAYIT'!A382,""),"")</f>
        <v/>
      </c>
      <c r="B382" s="12" t="str">
        <f>IFERROR(IF('ŞİKAYET KAYIT'!P382="Kapatıldı",'ŞİKAYET KAYIT'!B382,""),"")</f>
        <v/>
      </c>
      <c r="C382" s="11" t="str">
        <f>IFERROR(IF('ŞİKAYET KAYIT'!P382="Kapatıldı",'ŞİKAYET KAYIT'!D382,""),"")</f>
        <v/>
      </c>
      <c r="D382" s="11" t="str">
        <f>IFERROR(IF('ŞİKAYET KAYIT'!P382="Kapatıldı",'ŞİKAYET KAYIT'!F382,""),"")</f>
        <v/>
      </c>
      <c r="E382" s="11" t="str">
        <f>IFERROR(IF('ŞİKAYET KAYIT'!P382="Kapatıldı",'ŞİKAYET KAYIT'!H382,""),"")</f>
        <v/>
      </c>
      <c r="F382" s="11" t="str">
        <f>IFERROR(IF('ŞİKAYET KAYIT'!P382="Kapatıldı",'ŞİKAYET KAYIT'!J382,""),"")</f>
        <v/>
      </c>
      <c r="G382" s="11" t="str">
        <f>IFERROR(IF('ŞİKAYET KAYIT'!P382="Kapatıldı",'ŞİKAYET KAYIT'!K382,""),"")</f>
        <v/>
      </c>
      <c r="H382" s="11" t="str">
        <f>IFERROR(IF('ŞİKAYET KAYIT'!P382="Kapatıldı",'ŞİKAYET KAYIT'!L382,""),"")</f>
        <v/>
      </c>
      <c r="I382" s="11" t="str">
        <f>IFERROR(IF('ŞİKAYET KAYIT'!P382="Kapatıldı",'ŞİKAYET KAYIT'!M382,""),"")</f>
        <v/>
      </c>
      <c r="J382" s="11" t="str">
        <f>IFERROR(IF('ŞİKAYET KAYIT'!P382="Kapatıldı",'ŞİKAYET KAYIT'!N382,""),"")</f>
        <v/>
      </c>
      <c r="K382" s="11" t="str">
        <f>IFERROR(IF('ŞİKAYET KAYIT'!P382="Kapatıldı",'ŞİKAYET KAYIT'!O382,""),"")</f>
        <v/>
      </c>
      <c r="L382" s="12" t="str">
        <f>IFERROR(IF('ŞİKAYET KAYIT'!P382="Kapatıldı",'ŞİKAYET KAYIT'!Q382,""),"")</f>
        <v/>
      </c>
      <c r="M382" s="11" t="str">
        <f>IFERROR(IF('ŞİKAYET KAYIT'!P382="Kapatıldı",'ŞİKAYET KAYIT'!R382,""),"")</f>
        <v/>
      </c>
      <c r="N382" s="11"/>
    </row>
    <row r="383" spans="1:14" ht="15" customHeight="1" x14ac:dyDescent="0.3">
      <c r="A383" s="26" t="str">
        <f>IFERROR(IF('ŞİKAYET KAYIT'!P383="Kapatıldı",'ŞİKAYET KAYIT'!A383,""),"")</f>
        <v/>
      </c>
      <c r="B383" s="8" t="str">
        <f>IFERROR(IF('ŞİKAYET KAYIT'!P383="Kapatıldı",'ŞİKAYET KAYIT'!B383,""),"")</f>
        <v/>
      </c>
      <c r="C383" s="26" t="str">
        <f>IFERROR(IF('ŞİKAYET KAYIT'!P383="Kapatıldı",'ŞİKAYET KAYIT'!D383,""),"")</f>
        <v/>
      </c>
      <c r="D383" s="26" t="str">
        <f>IFERROR(IF('ŞİKAYET KAYIT'!P383="Kapatıldı",'ŞİKAYET KAYIT'!F383,""),"")</f>
        <v/>
      </c>
      <c r="E383" s="26" t="str">
        <f>IFERROR(IF('ŞİKAYET KAYIT'!P383="Kapatıldı",'ŞİKAYET KAYIT'!H383,""),"")</f>
        <v/>
      </c>
      <c r="F383" s="26" t="str">
        <f>IFERROR(IF('ŞİKAYET KAYIT'!P383="Kapatıldı",'ŞİKAYET KAYIT'!J383,""),"")</f>
        <v/>
      </c>
      <c r="G383" s="26" t="str">
        <f>IFERROR(IF('ŞİKAYET KAYIT'!P383="Kapatıldı",'ŞİKAYET KAYIT'!K383,""),"")</f>
        <v/>
      </c>
      <c r="H383" s="26" t="str">
        <f>IFERROR(IF('ŞİKAYET KAYIT'!P383="Kapatıldı",'ŞİKAYET KAYIT'!L383,""),"")</f>
        <v/>
      </c>
      <c r="I383" s="26" t="str">
        <f>IFERROR(IF('ŞİKAYET KAYIT'!P383="Kapatıldı",'ŞİKAYET KAYIT'!M383,""),"")</f>
        <v/>
      </c>
      <c r="J383" s="26" t="str">
        <f>IFERROR(IF('ŞİKAYET KAYIT'!P383="Kapatıldı",'ŞİKAYET KAYIT'!N383,""),"")</f>
        <v/>
      </c>
      <c r="K383" s="26" t="str">
        <f>IFERROR(IF('ŞİKAYET KAYIT'!P383="Kapatıldı",'ŞİKAYET KAYIT'!O383,""),"")</f>
        <v/>
      </c>
      <c r="L383" s="8" t="str">
        <f>IFERROR(IF('ŞİKAYET KAYIT'!P383="Kapatıldı",'ŞİKAYET KAYIT'!Q383,""),"")</f>
        <v/>
      </c>
      <c r="M383" s="26" t="str">
        <f>IFERROR(IF('ŞİKAYET KAYIT'!P383="Kapatıldı",'ŞİKAYET KAYIT'!R383,""),"")</f>
        <v/>
      </c>
      <c r="N383" s="26"/>
    </row>
    <row r="384" spans="1:14" ht="15" customHeight="1" x14ac:dyDescent="0.3">
      <c r="A384" s="11" t="str">
        <f>IFERROR(IF('ŞİKAYET KAYIT'!P384="Kapatıldı",'ŞİKAYET KAYIT'!A384,""),"")</f>
        <v/>
      </c>
      <c r="B384" s="12" t="str">
        <f>IFERROR(IF('ŞİKAYET KAYIT'!P384="Kapatıldı",'ŞİKAYET KAYIT'!B384,""),"")</f>
        <v/>
      </c>
      <c r="C384" s="11" t="str">
        <f>IFERROR(IF('ŞİKAYET KAYIT'!P384="Kapatıldı",'ŞİKAYET KAYIT'!D384,""),"")</f>
        <v/>
      </c>
      <c r="D384" s="11" t="str">
        <f>IFERROR(IF('ŞİKAYET KAYIT'!P384="Kapatıldı",'ŞİKAYET KAYIT'!F384,""),"")</f>
        <v/>
      </c>
      <c r="E384" s="11" t="str">
        <f>IFERROR(IF('ŞİKAYET KAYIT'!P384="Kapatıldı",'ŞİKAYET KAYIT'!H384,""),"")</f>
        <v/>
      </c>
      <c r="F384" s="11" t="str">
        <f>IFERROR(IF('ŞİKAYET KAYIT'!P384="Kapatıldı",'ŞİKAYET KAYIT'!J384,""),"")</f>
        <v/>
      </c>
      <c r="G384" s="11" t="str">
        <f>IFERROR(IF('ŞİKAYET KAYIT'!P384="Kapatıldı",'ŞİKAYET KAYIT'!K384,""),"")</f>
        <v/>
      </c>
      <c r="H384" s="11" t="str">
        <f>IFERROR(IF('ŞİKAYET KAYIT'!P384="Kapatıldı",'ŞİKAYET KAYIT'!L384,""),"")</f>
        <v/>
      </c>
      <c r="I384" s="11" t="str">
        <f>IFERROR(IF('ŞİKAYET KAYIT'!P384="Kapatıldı",'ŞİKAYET KAYIT'!M384,""),"")</f>
        <v/>
      </c>
      <c r="J384" s="11" t="str">
        <f>IFERROR(IF('ŞİKAYET KAYIT'!P384="Kapatıldı",'ŞİKAYET KAYIT'!N384,""),"")</f>
        <v/>
      </c>
      <c r="K384" s="11" t="str">
        <f>IFERROR(IF('ŞİKAYET KAYIT'!P384="Kapatıldı",'ŞİKAYET KAYIT'!O384,""),"")</f>
        <v/>
      </c>
      <c r="L384" s="12" t="str">
        <f>IFERROR(IF('ŞİKAYET KAYIT'!P384="Kapatıldı",'ŞİKAYET KAYIT'!Q384,""),"")</f>
        <v/>
      </c>
      <c r="M384" s="11" t="str">
        <f>IFERROR(IF('ŞİKAYET KAYIT'!P384="Kapatıldı",'ŞİKAYET KAYIT'!R384,""),"")</f>
        <v/>
      </c>
      <c r="N384" s="11"/>
    </row>
    <row r="385" spans="1:14" ht="15" customHeight="1" x14ac:dyDescent="0.3">
      <c r="A385" s="26" t="str">
        <f>IFERROR(IF('ŞİKAYET KAYIT'!P385="Kapatıldı",'ŞİKAYET KAYIT'!A385,""),"")</f>
        <v/>
      </c>
      <c r="B385" s="8" t="str">
        <f>IFERROR(IF('ŞİKAYET KAYIT'!P385="Kapatıldı",'ŞİKAYET KAYIT'!B385,""),"")</f>
        <v/>
      </c>
      <c r="C385" s="26" t="str">
        <f>IFERROR(IF('ŞİKAYET KAYIT'!P385="Kapatıldı",'ŞİKAYET KAYIT'!D385,""),"")</f>
        <v/>
      </c>
      <c r="D385" s="26" t="str">
        <f>IFERROR(IF('ŞİKAYET KAYIT'!P385="Kapatıldı",'ŞİKAYET KAYIT'!F385,""),"")</f>
        <v/>
      </c>
      <c r="E385" s="26" t="str">
        <f>IFERROR(IF('ŞİKAYET KAYIT'!P385="Kapatıldı",'ŞİKAYET KAYIT'!H385,""),"")</f>
        <v/>
      </c>
      <c r="F385" s="26" t="str">
        <f>IFERROR(IF('ŞİKAYET KAYIT'!P385="Kapatıldı",'ŞİKAYET KAYIT'!J385,""),"")</f>
        <v/>
      </c>
      <c r="G385" s="26" t="str">
        <f>IFERROR(IF('ŞİKAYET KAYIT'!P385="Kapatıldı",'ŞİKAYET KAYIT'!K385,""),"")</f>
        <v/>
      </c>
      <c r="H385" s="26" t="str">
        <f>IFERROR(IF('ŞİKAYET KAYIT'!P385="Kapatıldı",'ŞİKAYET KAYIT'!L385,""),"")</f>
        <v/>
      </c>
      <c r="I385" s="26" t="str">
        <f>IFERROR(IF('ŞİKAYET KAYIT'!P385="Kapatıldı",'ŞİKAYET KAYIT'!M385,""),"")</f>
        <v/>
      </c>
      <c r="J385" s="26" t="str">
        <f>IFERROR(IF('ŞİKAYET KAYIT'!P385="Kapatıldı",'ŞİKAYET KAYIT'!N385,""),"")</f>
        <v/>
      </c>
      <c r="K385" s="26" t="str">
        <f>IFERROR(IF('ŞİKAYET KAYIT'!P385="Kapatıldı",'ŞİKAYET KAYIT'!O385,""),"")</f>
        <v/>
      </c>
      <c r="L385" s="8" t="str">
        <f>IFERROR(IF('ŞİKAYET KAYIT'!P385="Kapatıldı",'ŞİKAYET KAYIT'!Q385,""),"")</f>
        <v/>
      </c>
      <c r="M385" s="26" t="str">
        <f>IFERROR(IF('ŞİKAYET KAYIT'!P385="Kapatıldı",'ŞİKAYET KAYIT'!R385,""),"")</f>
        <v/>
      </c>
      <c r="N385" s="26"/>
    </row>
    <row r="386" spans="1:14" ht="15" customHeight="1" x14ac:dyDescent="0.3">
      <c r="A386" s="11" t="str">
        <f>IFERROR(IF('ŞİKAYET KAYIT'!P386="Kapatıldı",'ŞİKAYET KAYIT'!A386,""),"")</f>
        <v/>
      </c>
      <c r="B386" s="12" t="str">
        <f>IFERROR(IF('ŞİKAYET KAYIT'!P386="Kapatıldı",'ŞİKAYET KAYIT'!B386,""),"")</f>
        <v/>
      </c>
      <c r="C386" s="11" t="str">
        <f>IFERROR(IF('ŞİKAYET KAYIT'!P386="Kapatıldı",'ŞİKAYET KAYIT'!D386,""),"")</f>
        <v/>
      </c>
      <c r="D386" s="11" t="str">
        <f>IFERROR(IF('ŞİKAYET KAYIT'!P386="Kapatıldı",'ŞİKAYET KAYIT'!F386,""),"")</f>
        <v/>
      </c>
      <c r="E386" s="11" t="str">
        <f>IFERROR(IF('ŞİKAYET KAYIT'!P386="Kapatıldı",'ŞİKAYET KAYIT'!H386,""),"")</f>
        <v/>
      </c>
      <c r="F386" s="11" t="str">
        <f>IFERROR(IF('ŞİKAYET KAYIT'!P386="Kapatıldı",'ŞİKAYET KAYIT'!J386,""),"")</f>
        <v/>
      </c>
      <c r="G386" s="11" t="str">
        <f>IFERROR(IF('ŞİKAYET KAYIT'!P386="Kapatıldı",'ŞİKAYET KAYIT'!K386,""),"")</f>
        <v/>
      </c>
      <c r="H386" s="11" t="str">
        <f>IFERROR(IF('ŞİKAYET KAYIT'!P386="Kapatıldı",'ŞİKAYET KAYIT'!L386,""),"")</f>
        <v/>
      </c>
      <c r="I386" s="11" t="str">
        <f>IFERROR(IF('ŞİKAYET KAYIT'!P386="Kapatıldı",'ŞİKAYET KAYIT'!M386,""),"")</f>
        <v/>
      </c>
      <c r="J386" s="11" t="str">
        <f>IFERROR(IF('ŞİKAYET KAYIT'!P386="Kapatıldı",'ŞİKAYET KAYIT'!N386,""),"")</f>
        <v/>
      </c>
      <c r="K386" s="11" t="str">
        <f>IFERROR(IF('ŞİKAYET KAYIT'!P386="Kapatıldı",'ŞİKAYET KAYIT'!O386,""),"")</f>
        <v/>
      </c>
      <c r="L386" s="12" t="str">
        <f>IFERROR(IF('ŞİKAYET KAYIT'!P386="Kapatıldı",'ŞİKAYET KAYIT'!Q386,""),"")</f>
        <v/>
      </c>
      <c r="M386" s="11" t="str">
        <f>IFERROR(IF('ŞİKAYET KAYIT'!P386="Kapatıldı",'ŞİKAYET KAYIT'!R386,""),"")</f>
        <v/>
      </c>
      <c r="N386" s="11"/>
    </row>
    <row r="387" spans="1:14" ht="15" customHeight="1" x14ac:dyDescent="0.3">
      <c r="A387" s="26" t="str">
        <f>IFERROR(IF('ŞİKAYET KAYIT'!P387="Kapatıldı",'ŞİKAYET KAYIT'!A387,""),"")</f>
        <v/>
      </c>
      <c r="B387" s="8" t="str">
        <f>IFERROR(IF('ŞİKAYET KAYIT'!P387="Kapatıldı",'ŞİKAYET KAYIT'!B387,""),"")</f>
        <v/>
      </c>
      <c r="C387" s="26" t="str">
        <f>IFERROR(IF('ŞİKAYET KAYIT'!P387="Kapatıldı",'ŞİKAYET KAYIT'!D387,""),"")</f>
        <v/>
      </c>
      <c r="D387" s="26" t="str">
        <f>IFERROR(IF('ŞİKAYET KAYIT'!P387="Kapatıldı",'ŞİKAYET KAYIT'!F387,""),"")</f>
        <v/>
      </c>
      <c r="E387" s="26" t="str">
        <f>IFERROR(IF('ŞİKAYET KAYIT'!P387="Kapatıldı",'ŞİKAYET KAYIT'!H387,""),"")</f>
        <v/>
      </c>
      <c r="F387" s="26" t="str">
        <f>IFERROR(IF('ŞİKAYET KAYIT'!P387="Kapatıldı",'ŞİKAYET KAYIT'!J387,""),"")</f>
        <v/>
      </c>
      <c r="G387" s="26" t="str">
        <f>IFERROR(IF('ŞİKAYET KAYIT'!P387="Kapatıldı",'ŞİKAYET KAYIT'!K387,""),"")</f>
        <v/>
      </c>
      <c r="H387" s="26" t="str">
        <f>IFERROR(IF('ŞİKAYET KAYIT'!P387="Kapatıldı",'ŞİKAYET KAYIT'!L387,""),"")</f>
        <v/>
      </c>
      <c r="I387" s="26" t="str">
        <f>IFERROR(IF('ŞİKAYET KAYIT'!P387="Kapatıldı",'ŞİKAYET KAYIT'!M387,""),"")</f>
        <v/>
      </c>
      <c r="J387" s="26" t="str">
        <f>IFERROR(IF('ŞİKAYET KAYIT'!P387="Kapatıldı",'ŞİKAYET KAYIT'!N387,""),"")</f>
        <v/>
      </c>
      <c r="K387" s="26" t="str">
        <f>IFERROR(IF('ŞİKAYET KAYIT'!P387="Kapatıldı",'ŞİKAYET KAYIT'!O387,""),"")</f>
        <v/>
      </c>
      <c r="L387" s="8" t="str">
        <f>IFERROR(IF('ŞİKAYET KAYIT'!P387="Kapatıldı",'ŞİKAYET KAYIT'!Q387,""),"")</f>
        <v/>
      </c>
      <c r="M387" s="26" t="str">
        <f>IFERROR(IF('ŞİKAYET KAYIT'!P387="Kapatıldı",'ŞİKAYET KAYIT'!R387,""),"")</f>
        <v/>
      </c>
      <c r="N387" s="26"/>
    </row>
    <row r="388" spans="1:14" ht="15" customHeight="1" x14ac:dyDescent="0.3">
      <c r="A388" s="11" t="str">
        <f>IFERROR(IF('ŞİKAYET KAYIT'!P388="Kapatıldı",'ŞİKAYET KAYIT'!A388,""),"")</f>
        <v/>
      </c>
      <c r="B388" s="12" t="str">
        <f>IFERROR(IF('ŞİKAYET KAYIT'!P388="Kapatıldı",'ŞİKAYET KAYIT'!B388,""),"")</f>
        <v/>
      </c>
      <c r="C388" s="11" t="str">
        <f>IFERROR(IF('ŞİKAYET KAYIT'!P388="Kapatıldı",'ŞİKAYET KAYIT'!D388,""),"")</f>
        <v/>
      </c>
      <c r="D388" s="11" t="str">
        <f>IFERROR(IF('ŞİKAYET KAYIT'!P388="Kapatıldı",'ŞİKAYET KAYIT'!F388,""),"")</f>
        <v/>
      </c>
      <c r="E388" s="11" t="str">
        <f>IFERROR(IF('ŞİKAYET KAYIT'!P388="Kapatıldı",'ŞİKAYET KAYIT'!H388,""),"")</f>
        <v/>
      </c>
      <c r="F388" s="11" t="str">
        <f>IFERROR(IF('ŞİKAYET KAYIT'!P388="Kapatıldı",'ŞİKAYET KAYIT'!J388,""),"")</f>
        <v/>
      </c>
      <c r="G388" s="11" t="str">
        <f>IFERROR(IF('ŞİKAYET KAYIT'!P388="Kapatıldı",'ŞİKAYET KAYIT'!K388,""),"")</f>
        <v/>
      </c>
      <c r="H388" s="11" t="str">
        <f>IFERROR(IF('ŞİKAYET KAYIT'!P388="Kapatıldı",'ŞİKAYET KAYIT'!L388,""),"")</f>
        <v/>
      </c>
      <c r="I388" s="11" t="str">
        <f>IFERROR(IF('ŞİKAYET KAYIT'!P388="Kapatıldı",'ŞİKAYET KAYIT'!M388,""),"")</f>
        <v/>
      </c>
      <c r="J388" s="11" t="str">
        <f>IFERROR(IF('ŞİKAYET KAYIT'!P388="Kapatıldı",'ŞİKAYET KAYIT'!N388,""),"")</f>
        <v/>
      </c>
      <c r="K388" s="11" t="str">
        <f>IFERROR(IF('ŞİKAYET KAYIT'!P388="Kapatıldı",'ŞİKAYET KAYIT'!O388,""),"")</f>
        <v/>
      </c>
      <c r="L388" s="12" t="str">
        <f>IFERROR(IF('ŞİKAYET KAYIT'!P388="Kapatıldı",'ŞİKAYET KAYIT'!Q388,""),"")</f>
        <v/>
      </c>
      <c r="M388" s="11" t="str">
        <f>IFERROR(IF('ŞİKAYET KAYIT'!P388="Kapatıldı",'ŞİKAYET KAYIT'!R388,""),"")</f>
        <v/>
      </c>
      <c r="N388" s="11"/>
    </row>
    <row r="389" spans="1:14" ht="15" customHeight="1" x14ac:dyDescent="0.3">
      <c r="A389" s="26" t="str">
        <f>IFERROR(IF('ŞİKAYET KAYIT'!P389="Kapatıldı",'ŞİKAYET KAYIT'!A389,""),"")</f>
        <v/>
      </c>
      <c r="B389" s="8" t="str">
        <f>IFERROR(IF('ŞİKAYET KAYIT'!P389="Kapatıldı",'ŞİKAYET KAYIT'!B389,""),"")</f>
        <v/>
      </c>
      <c r="C389" s="26" t="str">
        <f>IFERROR(IF('ŞİKAYET KAYIT'!P389="Kapatıldı",'ŞİKAYET KAYIT'!D389,""),"")</f>
        <v/>
      </c>
      <c r="D389" s="26" t="str">
        <f>IFERROR(IF('ŞİKAYET KAYIT'!P389="Kapatıldı",'ŞİKAYET KAYIT'!F389,""),"")</f>
        <v/>
      </c>
      <c r="E389" s="26" t="str">
        <f>IFERROR(IF('ŞİKAYET KAYIT'!P389="Kapatıldı",'ŞİKAYET KAYIT'!H389,""),"")</f>
        <v/>
      </c>
      <c r="F389" s="26" t="str">
        <f>IFERROR(IF('ŞİKAYET KAYIT'!P389="Kapatıldı",'ŞİKAYET KAYIT'!J389,""),"")</f>
        <v/>
      </c>
      <c r="G389" s="26" t="str">
        <f>IFERROR(IF('ŞİKAYET KAYIT'!P389="Kapatıldı",'ŞİKAYET KAYIT'!K389,""),"")</f>
        <v/>
      </c>
      <c r="H389" s="26" t="str">
        <f>IFERROR(IF('ŞİKAYET KAYIT'!P389="Kapatıldı",'ŞİKAYET KAYIT'!L389,""),"")</f>
        <v/>
      </c>
      <c r="I389" s="26" t="str">
        <f>IFERROR(IF('ŞİKAYET KAYIT'!P389="Kapatıldı",'ŞİKAYET KAYIT'!M389,""),"")</f>
        <v/>
      </c>
      <c r="J389" s="26" t="str">
        <f>IFERROR(IF('ŞİKAYET KAYIT'!P389="Kapatıldı",'ŞİKAYET KAYIT'!N389,""),"")</f>
        <v/>
      </c>
      <c r="K389" s="26" t="str">
        <f>IFERROR(IF('ŞİKAYET KAYIT'!P389="Kapatıldı",'ŞİKAYET KAYIT'!O389,""),"")</f>
        <v/>
      </c>
      <c r="L389" s="8" t="str">
        <f>IFERROR(IF('ŞİKAYET KAYIT'!P389="Kapatıldı",'ŞİKAYET KAYIT'!Q389,""),"")</f>
        <v/>
      </c>
      <c r="M389" s="26" t="str">
        <f>IFERROR(IF('ŞİKAYET KAYIT'!P389="Kapatıldı",'ŞİKAYET KAYIT'!R389,""),"")</f>
        <v/>
      </c>
      <c r="N389" s="26"/>
    </row>
    <row r="390" spans="1:14" ht="15" customHeight="1" x14ac:dyDescent="0.3">
      <c r="A390" s="11" t="str">
        <f>IFERROR(IF('ŞİKAYET KAYIT'!P390="Kapatıldı",'ŞİKAYET KAYIT'!A390,""),"")</f>
        <v/>
      </c>
      <c r="B390" s="12" t="str">
        <f>IFERROR(IF('ŞİKAYET KAYIT'!P390="Kapatıldı",'ŞİKAYET KAYIT'!B390,""),"")</f>
        <v/>
      </c>
      <c r="C390" s="11" t="str">
        <f>IFERROR(IF('ŞİKAYET KAYIT'!P390="Kapatıldı",'ŞİKAYET KAYIT'!D390,""),"")</f>
        <v/>
      </c>
      <c r="D390" s="11" t="str">
        <f>IFERROR(IF('ŞİKAYET KAYIT'!P390="Kapatıldı",'ŞİKAYET KAYIT'!F390,""),"")</f>
        <v/>
      </c>
      <c r="E390" s="11" t="str">
        <f>IFERROR(IF('ŞİKAYET KAYIT'!P390="Kapatıldı",'ŞİKAYET KAYIT'!H390,""),"")</f>
        <v/>
      </c>
      <c r="F390" s="11" t="str">
        <f>IFERROR(IF('ŞİKAYET KAYIT'!P390="Kapatıldı",'ŞİKAYET KAYIT'!J390,""),"")</f>
        <v/>
      </c>
      <c r="G390" s="11" t="str">
        <f>IFERROR(IF('ŞİKAYET KAYIT'!P390="Kapatıldı",'ŞİKAYET KAYIT'!K390,""),"")</f>
        <v/>
      </c>
      <c r="H390" s="11" t="str">
        <f>IFERROR(IF('ŞİKAYET KAYIT'!P390="Kapatıldı",'ŞİKAYET KAYIT'!L390,""),"")</f>
        <v/>
      </c>
      <c r="I390" s="11" t="str">
        <f>IFERROR(IF('ŞİKAYET KAYIT'!P390="Kapatıldı",'ŞİKAYET KAYIT'!M390,""),"")</f>
        <v/>
      </c>
      <c r="J390" s="11" t="str">
        <f>IFERROR(IF('ŞİKAYET KAYIT'!P390="Kapatıldı",'ŞİKAYET KAYIT'!N390,""),"")</f>
        <v/>
      </c>
      <c r="K390" s="11" t="str">
        <f>IFERROR(IF('ŞİKAYET KAYIT'!P390="Kapatıldı",'ŞİKAYET KAYIT'!O390,""),"")</f>
        <v/>
      </c>
      <c r="L390" s="12" t="str">
        <f>IFERROR(IF('ŞİKAYET KAYIT'!P390="Kapatıldı",'ŞİKAYET KAYIT'!Q390,""),"")</f>
        <v/>
      </c>
      <c r="M390" s="11" t="str">
        <f>IFERROR(IF('ŞİKAYET KAYIT'!P390="Kapatıldı",'ŞİKAYET KAYIT'!R390,""),"")</f>
        <v/>
      </c>
      <c r="N390" s="11"/>
    </row>
    <row r="391" spans="1:14" ht="15" customHeight="1" x14ac:dyDescent="0.3">
      <c r="A391" s="26" t="str">
        <f>IFERROR(IF('ŞİKAYET KAYIT'!P391="Kapatıldı",'ŞİKAYET KAYIT'!A391,""),"")</f>
        <v/>
      </c>
      <c r="B391" s="8" t="str">
        <f>IFERROR(IF('ŞİKAYET KAYIT'!P391="Kapatıldı",'ŞİKAYET KAYIT'!B391,""),"")</f>
        <v/>
      </c>
      <c r="C391" s="26" t="str">
        <f>IFERROR(IF('ŞİKAYET KAYIT'!P391="Kapatıldı",'ŞİKAYET KAYIT'!D391,""),"")</f>
        <v/>
      </c>
      <c r="D391" s="26" t="str">
        <f>IFERROR(IF('ŞİKAYET KAYIT'!P391="Kapatıldı",'ŞİKAYET KAYIT'!F391,""),"")</f>
        <v/>
      </c>
      <c r="E391" s="26" t="str">
        <f>IFERROR(IF('ŞİKAYET KAYIT'!P391="Kapatıldı",'ŞİKAYET KAYIT'!H391,""),"")</f>
        <v/>
      </c>
      <c r="F391" s="26" t="str">
        <f>IFERROR(IF('ŞİKAYET KAYIT'!P391="Kapatıldı",'ŞİKAYET KAYIT'!J391,""),"")</f>
        <v/>
      </c>
      <c r="G391" s="26" t="str">
        <f>IFERROR(IF('ŞİKAYET KAYIT'!P391="Kapatıldı",'ŞİKAYET KAYIT'!K391,""),"")</f>
        <v/>
      </c>
      <c r="H391" s="26" t="str">
        <f>IFERROR(IF('ŞİKAYET KAYIT'!P391="Kapatıldı",'ŞİKAYET KAYIT'!L391,""),"")</f>
        <v/>
      </c>
      <c r="I391" s="26" t="str">
        <f>IFERROR(IF('ŞİKAYET KAYIT'!P391="Kapatıldı",'ŞİKAYET KAYIT'!M391,""),"")</f>
        <v/>
      </c>
      <c r="J391" s="26" t="str">
        <f>IFERROR(IF('ŞİKAYET KAYIT'!P391="Kapatıldı",'ŞİKAYET KAYIT'!N391,""),"")</f>
        <v/>
      </c>
      <c r="K391" s="26" t="str">
        <f>IFERROR(IF('ŞİKAYET KAYIT'!P391="Kapatıldı",'ŞİKAYET KAYIT'!O391,""),"")</f>
        <v/>
      </c>
      <c r="L391" s="8" t="str">
        <f>IFERROR(IF('ŞİKAYET KAYIT'!P391="Kapatıldı",'ŞİKAYET KAYIT'!Q391,""),"")</f>
        <v/>
      </c>
      <c r="M391" s="26" t="str">
        <f>IFERROR(IF('ŞİKAYET KAYIT'!P391="Kapatıldı",'ŞİKAYET KAYIT'!R391,""),"")</f>
        <v/>
      </c>
      <c r="N391" s="26"/>
    </row>
    <row r="392" spans="1:14" ht="15" customHeight="1" x14ac:dyDescent="0.3">
      <c r="A392" s="11" t="str">
        <f>IFERROR(IF('ŞİKAYET KAYIT'!P392="Kapatıldı",'ŞİKAYET KAYIT'!A392,""),"")</f>
        <v/>
      </c>
      <c r="B392" s="12" t="str">
        <f>IFERROR(IF('ŞİKAYET KAYIT'!P392="Kapatıldı",'ŞİKAYET KAYIT'!B392,""),"")</f>
        <v/>
      </c>
      <c r="C392" s="11" t="str">
        <f>IFERROR(IF('ŞİKAYET KAYIT'!P392="Kapatıldı",'ŞİKAYET KAYIT'!D392,""),"")</f>
        <v/>
      </c>
      <c r="D392" s="11" t="str">
        <f>IFERROR(IF('ŞİKAYET KAYIT'!P392="Kapatıldı",'ŞİKAYET KAYIT'!F392,""),"")</f>
        <v/>
      </c>
      <c r="E392" s="11" t="str">
        <f>IFERROR(IF('ŞİKAYET KAYIT'!P392="Kapatıldı",'ŞİKAYET KAYIT'!H392,""),"")</f>
        <v/>
      </c>
      <c r="F392" s="11" t="str">
        <f>IFERROR(IF('ŞİKAYET KAYIT'!P392="Kapatıldı",'ŞİKAYET KAYIT'!J392,""),"")</f>
        <v/>
      </c>
      <c r="G392" s="11" t="str">
        <f>IFERROR(IF('ŞİKAYET KAYIT'!P392="Kapatıldı",'ŞİKAYET KAYIT'!K392,""),"")</f>
        <v/>
      </c>
      <c r="H392" s="11" t="str">
        <f>IFERROR(IF('ŞİKAYET KAYIT'!P392="Kapatıldı",'ŞİKAYET KAYIT'!L392,""),"")</f>
        <v/>
      </c>
      <c r="I392" s="11" t="str">
        <f>IFERROR(IF('ŞİKAYET KAYIT'!P392="Kapatıldı",'ŞİKAYET KAYIT'!M392,""),"")</f>
        <v/>
      </c>
      <c r="J392" s="11" t="str">
        <f>IFERROR(IF('ŞİKAYET KAYIT'!P392="Kapatıldı",'ŞİKAYET KAYIT'!N392,""),"")</f>
        <v/>
      </c>
      <c r="K392" s="11" t="str">
        <f>IFERROR(IF('ŞİKAYET KAYIT'!P392="Kapatıldı",'ŞİKAYET KAYIT'!O392,""),"")</f>
        <v/>
      </c>
      <c r="L392" s="12" t="str">
        <f>IFERROR(IF('ŞİKAYET KAYIT'!P392="Kapatıldı",'ŞİKAYET KAYIT'!Q392,""),"")</f>
        <v/>
      </c>
      <c r="M392" s="11" t="str">
        <f>IFERROR(IF('ŞİKAYET KAYIT'!P392="Kapatıldı",'ŞİKAYET KAYIT'!R392,""),"")</f>
        <v/>
      </c>
      <c r="N392" s="11"/>
    </row>
    <row r="393" spans="1:14" ht="15" customHeight="1" x14ac:dyDescent="0.3">
      <c r="A393" s="26" t="str">
        <f>IFERROR(IF('ŞİKAYET KAYIT'!P393="Kapatıldı",'ŞİKAYET KAYIT'!A393,""),"")</f>
        <v/>
      </c>
      <c r="B393" s="8" t="str">
        <f>IFERROR(IF('ŞİKAYET KAYIT'!P393="Kapatıldı",'ŞİKAYET KAYIT'!B393,""),"")</f>
        <v/>
      </c>
      <c r="C393" s="26" t="str">
        <f>IFERROR(IF('ŞİKAYET KAYIT'!P393="Kapatıldı",'ŞİKAYET KAYIT'!D393,""),"")</f>
        <v/>
      </c>
      <c r="D393" s="26" t="str">
        <f>IFERROR(IF('ŞİKAYET KAYIT'!P393="Kapatıldı",'ŞİKAYET KAYIT'!F393,""),"")</f>
        <v/>
      </c>
      <c r="E393" s="26" t="str">
        <f>IFERROR(IF('ŞİKAYET KAYIT'!P393="Kapatıldı",'ŞİKAYET KAYIT'!H393,""),"")</f>
        <v/>
      </c>
      <c r="F393" s="26" t="str">
        <f>IFERROR(IF('ŞİKAYET KAYIT'!P393="Kapatıldı",'ŞİKAYET KAYIT'!J393,""),"")</f>
        <v/>
      </c>
      <c r="G393" s="26" t="str">
        <f>IFERROR(IF('ŞİKAYET KAYIT'!P393="Kapatıldı",'ŞİKAYET KAYIT'!K393,""),"")</f>
        <v/>
      </c>
      <c r="H393" s="26" t="str">
        <f>IFERROR(IF('ŞİKAYET KAYIT'!P393="Kapatıldı",'ŞİKAYET KAYIT'!L393,""),"")</f>
        <v/>
      </c>
      <c r="I393" s="26" t="str">
        <f>IFERROR(IF('ŞİKAYET KAYIT'!P393="Kapatıldı",'ŞİKAYET KAYIT'!M393,""),"")</f>
        <v/>
      </c>
      <c r="J393" s="26" t="str">
        <f>IFERROR(IF('ŞİKAYET KAYIT'!P393="Kapatıldı",'ŞİKAYET KAYIT'!N393,""),"")</f>
        <v/>
      </c>
      <c r="K393" s="26" t="str">
        <f>IFERROR(IF('ŞİKAYET KAYIT'!P393="Kapatıldı",'ŞİKAYET KAYIT'!O393,""),"")</f>
        <v/>
      </c>
      <c r="L393" s="8" t="str">
        <f>IFERROR(IF('ŞİKAYET KAYIT'!P393="Kapatıldı",'ŞİKAYET KAYIT'!Q393,""),"")</f>
        <v/>
      </c>
      <c r="M393" s="26" t="str">
        <f>IFERROR(IF('ŞİKAYET KAYIT'!P393="Kapatıldı",'ŞİKAYET KAYIT'!R393,""),"")</f>
        <v/>
      </c>
      <c r="N393" s="26"/>
    </row>
    <row r="394" spans="1:14" ht="15" customHeight="1" x14ac:dyDescent="0.3">
      <c r="A394" s="11" t="str">
        <f>IFERROR(IF('ŞİKAYET KAYIT'!P394="Kapatıldı",'ŞİKAYET KAYIT'!A394,""),"")</f>
        <v/>
      </c>
      <c r="B394" s="12" t="str">
        <f>IFERROR(IF('ŞİKAYET KAYIT'!P394="Kapatıldı",'ŞİKAYET KAYIT'!B394,""),"")</f>
        <v/>
      </c>
      <c r="C394" s="11" t="str">
        <f>IFERROR(IF('ŞİKAYET KAYIT'!P394="Kapatıldı",'ŞİKAYET KAYIT'!D394,""),"")</f>
        <v/>
      </c>
      <c r="D394" s="11" t="str">
        <f>IFERROR(IF('ŞİKAYET KAYIT'!P394="Kapatıldı",'ŞİKAYET KAYIT'!F394,""),"")</f>
        <v/>
      </c>
      <c r="E394" s="11" t="str">
        <f>IFERROR(IF('ŞİKAYET KAYIT'!P394="Kapatıldı",'ŞİKAYET KAYIT'!H394,""),"")</f>
        <v/>
      </c>
      <c r="F394" s="11" t="str">
        <f>IFERROR(IF('ŞİKAYET KAYIT'!P394="Kapatıldı",'ŞİKAYET KAYIT'!J394,""),"")</f>
        <v/>
      </c>
      <c r="G394" s="11" t="str">
        <f>IFERROR(IF('ŞİKAYET KAYIT'!P394="Kapatıldı",'ŞİKAYET KAYIT'!K394,""),"")</f>
        <v/>
      </c>
      <c r="H394" s="11" t="str">
        <f>IFERROR(IF('ŞİKAYET KAYIT'!P394="Kapatıldı",'ŞİKAYET KAYIT'!L394,""),"")</f>
        <v/>
      </c>
      <c r="I394" s="11" t="str">
        <f>IFERROR(IF('ŞİKAYET KAYIT'!P394="Kapatıldı",'ŞİKAYET KAYIT'!M394,""),"")</f>
        <v/>
      </c>
      <c r="J394" s="11" t="str">
        <f>IFERROR(IF('ŞİKAYET KAYIT'!P394="Kapatıldı",'ŞİKAYET KAYIT'!N394,""),"")</f>
        <v/>
      </c>
      <c r="K394" s="11" t="str">
        <f>IFERROR(IF('ŞİKAYET KAYIT'!P394="Kapatıldı",'ŞİKAYET KAYIT'!O394,""),"")</f>
        <v/>
      </c>
      <c r="L394" s="12" t="str">
        <f>IFERROR(IF('ŞİKAYET KAYIT'!P394="Kapatıldı",'ŞİKAYET KAYIT'!Q394,""),"")</f>
        <v/>
      </c>
      <c r="M394" s="11" t="str">
        <f>IFERROR(IF('ŞİKAYET KAYIT'!P394="Kapatıldı",'ŞİKAYET KAYIT'!R394,""),"")</f>
        <v/>
      </c>
      <c r="N394" s="11"/>
    </row>
    <row r="395" spans="1:14" ht="15" customHeight="1" x14ac:dyDescent="0.3">
      <c r="A395" s="26" t="str">
        <f>IFERROR(IF('ŞİKAYET KAYIT'!P395="Kapatıldı",'ŞİKAYET KAYIT'!A395,""),"")</f>
        <v/>
      </c>
      <c r="B395" s="8" t="str">
        <f>IFERROR(IF('ŞİKAYET KAYIT'!P395="Kapatıldı",'ŞİKAYET KAYIT'!B395,""),"")</f>
        <v/>
      </c>
      <c r="C395" s="26" t="str">
        <f>IFERROR(IF('ŞİKAYET KAYIT'!P395="Kapatıldı",'ŞİKAYET KAYIT'!D395,""),"")</f>
        <v/>
      </c>
      <c r="D395" s="26" t="str">
        <f>IFERROR(IF('ŞİKAYET KAYIT'!P395="Kapatıldı",'ŞİKAYET KAYIT'!F395,""),"")</f>
        <v/>
      </c>
      <c r="E395" s="26" t="str">
        <f>IFERROR(IF('ŞİKAYET KAYIT'!P395="Kapatıldı",'ŞİKAYET KAYIT'!H395,""),"")</f>
        <v/>
      </c>
      <c r="F395" s="26" t="str">
        <f>IFERROR(IF('ŞİKAYET KAYIT'!P395="Kapatıldı",'ŞİKAYET KAYIT'!J395,""),"")</f>
        <v/>
      </c>
      <c r="G395" s="26" t="str">
        <f>IFERROR(IF('ŞİKAYET KAYIT'!P395="Kapatıldı",'ŞİKAYET KAYIT'!K395,""),"")</f>
        <v/>
      </c>
      <c r="H395" s="26" t="str">
        <f>IFERROR(IF('ŞİKAYET KAYIT'!P395="Kapatıldı",'ŞİKAYET KAYIT'!L395,""),"")</f>
        <v/>
      </c>
      <c r="I395" s="26" t="str">
        <f>IFERROR(IF('ŞİKAYET KAYIT'!P395="Kapatıldı",'ŞİKAYET KAYIT'!M395,""),"")</f>
        <v/>
      </c>
      <c r="J395" s="26" t="str">
        <f>IFERROR(IF('ŞİKAYET KAYIT'!P395="Kapatıldı",'ŞİKAYET KAYIT'!N395,""),"")</f>
        <v/>
      </c>
      <c r="K395" s="26" t="str">
        <f>IFERROR(IF('ŞİKAYET KAYIT'!P395="Kapatıldı",'ŞİKAYET KAYIT'!O395,""),"")</f>
        <v/>
      </c>
      <c r="L395" s="8" t="str">
        <f>IFERROR(IF('ŞİKAYET KAYIT'!P395="Kapatıldı",'ŞİKAYET KAYIT'!Q395,""),"")</f>
        <v/>
      </c>
      <c r="M395" s="26" t="str">
        <f>IFERROR(IF('ŞİKAYET KAYIT'!P395="Kapatıldı",'ŞİKAYET KAYIT'!R395,""),"")</f>
        <v/>
      </c>
      <c r="N395" s="26"/>
    </row>
    <row r="396" spans="1:14" ht="15" customHeight="1" x14ac:dyDescent="0.3">
      <c r="A396" s="11" t="str">
        <f>IFERROR(IF('ŞİKAYET KAYIT'!P396="Kapatıldı",'ŞİKAYET KAYIT'!A396,""),"")</f>
        <v/>
      </c>
      <c r="B396" s="12" t="str">
        <f>IFERROR(IF('ŞİKAYET KAYIT'!P396="Kapatıldı",'ŞİKAYET KAYIT'!B396,""),"")</f>
        <v/>
      </c>
      <c r="C396" s="11" t="str">
        <f>IFERROR(IF('ŞİKAYET KAYIT'!P396="Kapatıldı",'ŞİKAYET KAYIT'!D396,""),"")</f>
        <v/>
      </c>
      <c r="D396" s="11" t="str">
        <f>IFERROR(IF('ŞİKAYET KAYIT'!P396="Kapatıldı",'ŞİKAYET KAYIT'!F396,""),"")</f>
        <v/>
      </c>
      <c r="E396" s="11" t="str">
        <f>IFERROR(IF('ŞİKAYET KAYIT'!P396="Kapatıldı",'ŞİKAYET KAYIT'!H396,""),"")</f>
        <v/>
      </c>
      <c r="F396" s="11" t="str">
        <f>IFERROR(IF('ŞİKAYET KAYIT'!P396="Kapatıldı",'ŞİKAYET KAYIT'!J396,""),"")</f>
        <v/>
      </c>
      <c r="G396" s="11" t="str">
        <f>IFERROR(IF('ŞİKAYET KAYIT'!P396="Kapatıldı",'ŞİKAYET KAYIT'!K396,""),"")</f>
        <v/>
      </c>
      <c r="H396" s="11" t="str">
        <f>IFERROR(IF('ŞİKAYET KAYIT'!P396="Kapatıldı",'ŞİKAYET KAYIT'!L396,""),"")</f>
        <v/>
      </c>
      <c r="I396" s="11" t="str">
        <f>IFERROR(IF('ŞİKAYET KAYIT'!P396="Kapatıldı",'ŞİKAYET KAYIT'!M396,""),"")</f>
        <v/>
      </c>
      <c r="J396" s="11" t="str">
        <f>IFERROR(IF('ŞİKAYET KAYIT'!P396="Kapatıldı",'ŞİKAYET KAYIT'!N396,""),"")</f>
        <v/>
      </c>
      <c r="K396" s="11" t="str">
        <f>IFERROR(IF('ŞİKAYET KAYIT'!P396="Kapatıldı",'ŞİKAYET KAYIT'!O396,""),"")</f>
        <v/>
      </c>
      <c r="L396" s="12" t="str">
        <f>IFERROR(IF('ŞİKAYET KAYIT'!P396="Kapatıldı",'ŞİKAYET KAYIT'!Q396,""),"")</f>
        <v/>
      </c>
      <c r="M396" s="11" t="str">
        <f>IFERROR(IF('ŞİKAYET KAYIT'!P396="Kapatıldı",'ŞİKAYET KAYIT'!R396,""),"")</f>
        <v/>
      </c>
      <c r="N396" s="11"/>
    </row>
    <row r="397" spans="1:14" ht="15" customHeight="1" x14ac:dyDescent="0.3">
      <c r="A397" s="26" t="str">
        <f>IFERROR(IF('ŞİKAYET KAYIT'!P397="Kapatıldı",'ŞİKAYET KAYIT'!A397,""),"")</f>
        <v/>
      </c>
      <c r="B397" s="8" t="str">
        <f>IFERROR(IF('ŞİKAYET KAYIT'!P397="Kapatıldı",'ŞİKAYET KAYIT'!B397,""),"")</f>
        <v/>
      </c>
      <c r="C397" s="26" t="str">
        <f>IFERROR(IF('ŞİKAYET KAYIT'!P397="Kapatıldı",'ŞİKAYET KAYIT'!D397,""),"")</f>
        <v/>
      </c>
      <c r="D397" s="26" t="str">
        <f>IFERROR(IF('ŞİKAYET KAYIT'!P397="Kapatıldı",'ŞİKAYET KAYIT'!F397,""),"")</f>
        <v/>
      </c>
      <c r="E397" s="26" t="str">
        <f>IFERROR(IF('ŞİKAYET KAYIT'!P397="Kapatıldı",'ŞİKAYET KAYIT'!H397,""),"")</f>
        <v/>
      </c>
      <c r="F397" s="26" t="str">
        <f>IFERROR(IF('ŞİKAYET KAYIT'!P397="Kapatıldı",'ŞİKAYET KAYIT'!J397,""),"")</f>
        <v/>
      </c>
      <c r="G397" s="26" t="str">
        <f>IFERROR(IF('ŞİKAYET KAYIT'!P397="Kapatıldı",'ŞİKAYET KAYIT'!K397,""),"")</f>
        <v/>
      </c>
      <c r="H397" s="26" t="str">
        <f>IFERROR(IF('ŞİKAYET KAYIT'!P397="Kapatıldı",'ŞİKAYET KAYIT'!L397,""),"")</f>
        <v/>
      </c>
      <c r="I397" s="26" t="str">
        <f>IFERROR(IF('ŞİKAYET KAYIT'!P397="Kapatıldı",'ŞİKAYET KAYIT'!M397,""),"")</f>
        <v/>
      </c>
      <c r="J397" s="26" t="str">
        <f>IFERROR(IF('ŞİKAYET KAYIT'!P397="Kapatıldı",'ŞİKAYET KAYIT'!N397,""),"")</f>
        <v/>
      </c>
      <c r="K397" s="26" t="str">
        <f>IFERROR(IF('ŞİKAYET KAYIT'!P397="Kapatıldı",'ŞİKAYET KAYIT'!O397,""),"")</f>
        <v/>
      </c>
      <c r="L397" s="8" t="str">
        <f>IFERROR(IF('ŞİKAYET KAYIT'!P397="Kapatıldı",'ŞİKAYET KAYIT'!Q397,""),"")</f>
        <v/>
      </c>
      <c r="M397" s="26" t="str">
        <f>IFERROR(IF('ŞİKAYET KAYIT'!P397="Kapatıldı",'ŞİKAYET KAYIT'!R397,""),"")</f>
        <v/>
      </c>
      <c r="N397" s="26"/>
    </row>
    <row r="398" spans="1:14" ht="15" customHeight="1" x14ac:dyDescent="0.3">
      <c r="A398" s="11" t="str">
        <f>IFERROR(IF('ŞİKAYET KAYIT'!P398="Kapatıldı",'ŞİKAYET KAYIT'!A398,""),"")</f>
        <v/>
      </c>
      <c r="B398" s="12" t="str">
        <f>IFERROR(IF('ŞİKAYET KAYIT'!P398="Kapatıldı",'ŞİKAYET KAYIT'!B398,""),"")</f>
        <v/>
      </c>
      <c r="C398" s="11" t="str">
        <f>IFERROR(IF('ŞİKAYET KAYIT'!P398="Kapatıldı",'ŞİKAYET KAYIT'!D398,""),"")</f>
        <v/>
      </c>
      <c r="D398" s="11" t="str">
        <f>IFERROR(IF('ŞİKAYET KAYIT'!P398="Kapatıldı",'ŞİKAYET KAYIT'!F398,""),"")</f>
        <v/>
      </c>
      <c r="E398" s="11" t="str">
        <f>IFERROR(IF('ŞİKAYET KAYIT'!P398="Kapatıldı",'ŞİKAYET KAYIT'!H398,""),"")</f>
        <v/>
      </c>
      <c r="F398" s="11" t="str">
        <f>IFERROR(IF('ŞİKAYET KAYIT'!P398="Kapatıldı",'ŞİKAYET KAYIT'!J398,""),"")</f>
        <v/>
      </c>
      <c r="G398" s="11" t="str">
        <f>IFERROR(IF('ŞİKAYET KAYIT'!P398="Kapatıldı",'ŞİKAYET KAYIT'!K398,""),"")</f>
        <v/>
      </c>
      <c r="H398" s="11" t="str">
        <f>IFERROR(IF('ŞİKAYET KAYIT'!P398="Kapatıldı",'ŞİKAYET KAYIT'!L398,""),"")</f>
        <v/>
      </c>
      <c r="I398" s="11" t="str">
        <f>IFERROR(IF('ŞİKAYET KAYIT'!P398="Kapatıldı",'ŞİKAYET KAYIT'!M398,""),"")</f>
        <v/>
      </c>
      <c r="J398" s="11" t="str">
        <f>IFERROR(IF('ŞİKAYET KAYIT'!P398="Kapatıldı",'ŞİKAYET KAYIT'!N398,""),"")</f>
        <v/>
      </c>
      <c r="K398" s="11" t="str">
        <f>IFERROR(IF('ŞİKAYET KAYIT'!P398="Kapatıldı",'ŞİKAYET KAYIT'!O398,""),"")</f>
        <v/>
      </c>
      <c r="L398" s="12" t="str">
        <f>IFERROR(IF('ŞİKAYET KAYIT'!P398="Kapatıldı",'ŞİKAYET KAYIT'!Q398,""),"")</f>
        <v/>
      </c>
      <c r="M398" s="11" t="str">
        <f>IFERROR(IF('ŞİKAYET KAYIT'!P398="Kapatıldı",'ŞİKAYET KAYIT'!R398,""),"")</f>
        <v/>
      </c>
      <c r="N398" s="11"/>
    </row>
    <row r="399" spans="1:14" ht="15" customHeight="1" x14ac:dyDescent="0.3">
      <c r="A399" s="26" t="str">
        <f>IFERROR(IF('ŞİKAYET KAYIT'!P399="Kapatıldı",'ŞİKAYET KAYIT'!A399,""),"")</f>
        <v/>
      </c>
      <c r="B399" s="8" t="str">
        <f>IFERROR(IF('ŞİKAYET KAYIT'!P399="Kapatıldı",'ŞİKAYET KAYIT'!B399,""),"")</f>
        <v/>
      </c>
      <c r="C399" s="26" t="str">
        <f>IFERROR(IF('ŞİKAYET KAYIT'!P399="Kapatıldı",'ŞİKAYET KAYIT'!D399,""),"")</f>
        <v/>
      </c>
      <c r="D399" s="26" t="str">
        <f>IFERROR(IF('ŞİKAYET KAYIT'!P399="Kapatıldı",'ŞİKAYET KAYIT'!F399,""),"")</f>
        <v/>
      </c>
      <c r="E399" s="26" t="str">
        <f>IFERROR(IF('ŞİKAYET KAYIT'!P399="Kapatıldı",'ŞİKAYET KAYIT'!H399,""),"")</f>
        <v/>
      </c>
      <c r="F399" s="26" t="str">
        <f>IFERROR(IF('ŞİKAYET KAYIT'!P399="Kapatıldı",'ŞİKAYET KAYIT'!J399,""),"")</f>
        <v/>
      </c>
      <c r="G399" s="26" t="str">
        <f>IFERROR(IF('ŞİKAYET KAYIT'!P399="Kapatıldı",'ŞİKAYET KAYIT'!K399,""),"")</f>
        <v/>
      </c>
      <c r="H399" s="26" t="str">
        <f>IFERROR(IF('ŞİKAYET KAYIT'!P399="Kapatıldı",'ŞİKAYET KAYIT'!L399,""),"")</f>
        <v/>
      </c>
      <c r="I399" s="26" t="str">
        <f>IFERROR(IF('ŞİKAYET KAYIT'!P399="Kapatıldı",'ŞİKAYET KAYIT'!M399,""),"")</f>
        <v/>
      </c>
      <c r="J399" s="26" t="str">
        <f>IFERROR(IF('ŞİKAYET KAYIT'!P399="Kapatıldı",'ŞİKAYET KAYIT'!N399,""),"")</f>
        <v/>
      </c>
      <c r="K399" s="26" t="str">
        <f>IFERROR(IF('ŞİKAYET KAYIT'!P399="Kapatıldı",'ŞİKAYET KAYIT'!O399,""),"")</f>
        <v/>
      </c>
      <c r="L399" s="8" t="str">
        <f>IFERROR(IF('ŞİKAYET KAYIT'!P399="Kapatıldı",'ŞİKAYET KAYIT'!Q399,""),"")</f>
        <v/>
      </c>
      <c r="M399" s="26" t="str">
        <f>IFERROR(IF('ŞİKAYET KAYIT'!P399="Kapatıldı",'ŞİKAYET KAYIT'!R399,""),"")</f>
        <v/>
      </c>
      <c r="N399" s="26"/>
    </row>
    <row r="400" spans="1:14" ht="15" customHeight="1" x14ac:dyDescent="0.3">
      <c r="A400" s="11" t="str">
        <f>IFERROR(IF('ŞİKAYET KAYIT'!P400="Kapatıldı",'ŞİKAYET KAYIT'!A400,""),"")</f>
        <v/>
      </c>
      <c r="B400" s="12" t="str">
        <f>IFERROR(IF('ŞİKAYET KAYIT'!P400="Kapatıldı",'ŞİKAYET KAYIT'!B400,""),"")</f>
        <v/>
      </c>
      <c r="C400" s="11" t="str">
        <f>IFERROR(IF('ŞİKAYET KAYIT'!P400="Kapatıldı",'ŞİKAYET KAYIT'!D400,""),"")</f>
        <v/>
      </c>
      <c r="D400" s="11" t="str">
        <f>IFERROR(IF('ŞİKAYET KAYIT'!P400="Kapatıldı",'ŞİKAYET KAYIT'!F400,""),"")</f>
        <v/>
      </c>
      <c r="E400" s="11" t="str">
        <f>IFERROR(IF('ŞİKAYET KAYIT'!P400="Kapatıldı",'ŞİKAYET KAYIT'!H400,""),"")</f>
        <v/>
      </c>
      <c r="F400" s="11" t="str">
        <f>IFERROR(IF('ŞİKAYET KAYIT'!P400="Kapatıldı",'ŞİKAYET KAYIT'!J400,""),"")</f>
        <v/>
      </c>
      <c r="G400" s="11" t="str">
        <f>IFERROR(IF('ŞİKAYET KAYIT'!P400="Kapatıldı",'ŞİKAYET KAYIT'!K400,""),"")</f>
        <v/>
      </c>
      <c r="H400" s="11" t="str">
        <f>IFERROR(IF('ŞİKAYET KAYIT'!P400="Kapatıldı",'ŞİKAYET KAYIT'!L400,""),"")</f>
        <v/>
      </c>
      <c r="I400" s="11" t="str">
        <f>IFERROR(IF('ŞİKAYET KAYIT'!P400="Kapatıldı",'ŞİKAYET KAYIT'!M400,""),"")</f>
        <v/>
      </c>
      <c r="J400" s="11" t="str">
        <f>IFERROR(IF('ŞİKAYET KAYIT'!P400="Kapatıldı",'ŞİKAYET KAYIT'!N400,""),"")</f>
        <v/>
      </c>
      <c r="K400" s="11" t="str">
        <f>IFERROR(IF('ŞİKAYET KAYIT'!P400="Kapatıldı",'ŞİKAYET KAYIT'!O400,""),"")</f>
        <v/>
      </c>
      <c r="L400" s="12" t="str">
        <f>IFERROR(IF('ŞİKAYET KAYIT'!P400="Kapatıldı",'ŞİKAYET KAYIT'!Q400,""),"")</f>
        <v/>
      </c>
      <c r="M400" s="11" t="str">
        <f>IFERROR(IF('ŞİKAYET KAYIT'!P400="Kapatıldı",'ŞİKAYET KAYIT'!R400,""),"")</f>
        <v/>
      </c>
      <c r="N400" s="11"/>
    </row>
    <row r="401" spans="1:14" ht="15" customHeight="1" x14ac:dyDescent="0.3">
      <c r="A401" s="26" t="str">
        <f>IFERROR(IF('ŞİKAYET KAYIT'!P401="Kapatıldı",'ŞİKAYET KAYIT'!A401,""),"")</f>
        <v/>
      </c>
      <c r="B401" s="8" t="str">
        <f>IFERROR(IF('ŞİKAYET KAYIT'!P401="Kapatıldı",'ŞİKAYET KAYIT'!B401,""),"")</f>
        <v/>
      </c>
      <c r="C401" s="26" t="str">
        <f>IFERROR(IF('ŞİKAYET KAYIT'!P401="Kapatıldı",'ŞİKAYET KAYIT'!D401,""),"")</f>
        <v/>
      </c>
      <c r="D401" s="26" t="str">
        <f>IFERROR(IF('ŞİKAYET KAYIT'!P401="Kapatıldı",'ŞİKAYET KAYIT'!F401,""),"")</f>
        <v/>
      </c>
      <c r="E401" s="26" t="str">
        <f>IFERROR(IF('ŞİKAYET KAYIT'!P401="Kapatıldı",'ŞİKAYET KAYIT'!H401,""),"")</f>
        <v/>
      </c>
      <c r="F401" s="26" t="str">
        <f>IFERROR(IF('ŞİKAYET KAYIT'!P401="Kapatıldı",'ŞİKAYET KAYIT'!J401,""),"")</f>
        <v/>
      </c>
      <c r="G401" s="26" t="str">
        <f>IFERROR(IF('ŞİKAYET KAYIT'!P401="Kapatıldı",'ŞİKAYET KAYIT'!K401,""),"")</f>
        <v/>
      </c>
      <c r="H401" s="26" t="str">
        <f>IFERROR(IF('ŞİKAYET KAYIT'!P401="Kapatıldı",'ŞİKAYET KAYIT'!L401,""),"")</f>
        <v/>
      </c>
      <c r="I401" s="26" t="str">
        <f>IFERROR(IF('ŞİKAYET KAYIT'!P401="Kapatıldı",'ŞİKAYET KAYIT'!M401,""),"")</f>
        <v/>
      </c>
      <c r="J401" s="26" t="str">
        <f>IFERROR(IF('ŞİKAYET KAYIT'!P401="Kapatıldı",'ŞİKAYET KAYIT'!N401,""),"")</f>
        <v/>
      </c>
      <c r="K401" s="26" t="str">
        <f>IFERROR(IF('ŞİKAYET KAYIT'!P401="Kapatıldı",'ŞİKAYET KAYIT'!O401,""),"")</f>
        <v/>
      </c>
      <c r="L401" s="8" t="str">
        <f>IFERROR(IF('ŞİKAYET KAYIT'!P401="Kapatıldı",'ŞİKAYET KAYIT'!Q401,""),"")</f>
        <v/>
      </c>
      <c r="M401" s="26" t="str">
        <f>IFERROR(IF('ŞİKAYET KAYIT'!P401="Kapatıldı",'ŞİKAYET KAYIT'!R401,""),"")</f>
        <v/>
      </c>
      <c r="N401" s="26"/>
    </row>
    <row r="402" spans="1:14" ht="15" customHeight="1" x14ac:dyDescent="0.3">
      <c r="A402" s="11" t="str">
        <f>IFERROR(IF('ŞİKAYET KAYIT'!P402="Kapatıldı",'ŞİKAYET KAYIT'!A402,""),"")</f>
        <v/>
      </c>
      <c r="B402" s="12" t="str">
        <f>IFERROR(IF('ŞİKAYET KAYIT'!P402="Kapatıldı",'ŞİKAYET KAYIT'!B402,""),"")</f>
        <v/>
      </c>
      <c r="C402" s="11" t="str">
        <f>IFERROR(IF('ŞİKAYET KAYIT'!P402="Kapatıldı",'ŞİKAYET KAYIT'!D402,""),"")</f>
        <v/>
      </c>
      <c r="D402" s="11" t="str">
        <f>IFERROR(IF('ŞİKAYET KAYIT'!P402="Kapatıldı",'ŞİKAYET KAYIT'!F402,""),"")</f>
        <v/>
      </c>
      <c r="E402" s="11" t="str">
        <f>IFERROR(IF('ŞİKAYET KAYIT'!P402="Kapatıldı",'ŞİKAYET KAYIT'!H402,""),"")</f>
        <v/>
      </c>
      <c r="F402" s="11" t="str">
        <f>IFERROR(IF('ŞİKAYET KAYIT'!P402="Kapatıldı",'ŞİKAYET KAYIT'!J402,""),"")</f>
        <v/>
      </c>
      <c r="G402" s="11" t="str">
        <f>IFERROR(IF('ŞİKAYET KAYIT'!P402="Kapatıldı",'ŞİKAYET KAYIT'!K402,""),"")</f>
        <v/>
      </c>
      <c r="H402" s="11" t="str">
        <f>IFERROR(IF('ŞİKAYET KAYIT'!P402="Kapatıldı",'ŞİKAYET KAYIT'!L402,""),"")</f>
        <v/>
      </c>
      <c r="I402" s="11" t="str">
        <f>IFERROR(IF('ŞİKAYET KAYIT'!P402="Kapatıldı",'ŞİKAYET KAYIT'!M402,""),"")</f>
        <v/>
      </c>
      <c r="J402" s="11" t="str">
        <f>IFERROR(IF('ŞİKAYET KAYIT'!P402="Kapatıldı",'ŞİKAYET KAYIT'!N402,""),"")</f>
        <v/>
      </c>
      <c r="K402" s="11" t="str">
        <f>IFERROR(IF('ŞİKAYET KAYIT'!P402="Kapatıldı",'ŞİKAYET KAYIT'!O402,""),"")</f>
        <v/>
      </c>
      <c r="L402" s="12" t="str">
        <f>IFERROR(IF('ŞİKAYET KAYIT'!P402="Kapatıldı",'ŞİKAYET KAYIT'!Q402,""),"")</f>
        <v/>
      </c>
      <c r="M402" s="11" t="str">
        <f>IFERROR(IF('ŞİKAYET KAYIT'!P402="Kapatıldı",'ŞİKAYET KAYIT'!R402,""),"")</f>
        <v/>
      </c>
      <c r="N402" s="11"/>
    </row>
    <row r="403" spans="1:14" ht="15" customHeight="1" x14ac:dyDescent="0.3">
      <c r="A403" s="26" t="str">
        <f>IFERROR(IF('ŞİKAYET KAYIT'!P403="Kapatıldı",'ŞİKAYET KAYIT'!A403,""),"")</f>
        <v/>
      </c>
      <c r="B403" s="8" t="str">
        <f>IFERROR(IF('ŞİKAYET KAYIT'!P403="Kapatıldı",'ŞİKAYET KAYIT'!B403,""),"")</f>
        <v/>
      </c>
      <c r="C403" s="26" t="str">
        <f>IFERROR(IF('ŞİKAYET KAYIT'!P403="Kapatıldı",'ŞİKAYET KAYIT'!D403,""),"")</f>
        <v/>
      </c>
      <c r="D403" s="26" t="str">
        <f>IFERROR(IF('ŞİKAYET KAYIT'!P403="Kapatıldı",'ŞİKAYET KAYIT'!F403,""),"")</f>
        <v/>
      </c>
      <c r="E403" s="26" t="str">
        <f>IFERROR(IF('ŞİKAYET KAYIT'!P403="Kapatıldı",'ŞİKAYET KAYIT'!H403,""),"")</f>
        <v/>
      </c>
      <c r="F403" s="26" t="str">
        <f>IFERROR(IF('ŞİKAYET KAYIT'!P403="Kapatıldı",'ŞİKAYET KAYIT'!J403,""),"")</f>
        <v/>
      </c>
      <c r="G403" s="26" t="str">
        <f>IFERROR(IF('ŞİKAYET KAYIT'!P403="Kapatıldı",'ŞİKAYET KAYIT'!K403,""),"")</f>
        <v/>
      </c>
      <c r="H403" s="26" t="str">
        <f>IFERROR(IF('ŞİKAYET KAYIT'!P403="Kapatıldı",'ŞİKAYET KAYIT'!L403,""),"")</f>
        <v/>
      </c>
      <c r="I403" s="26" t="str">
        <f>IFERROR(IF('ŞİKAYET KAYIT'!P403="Kapatıldı",'ŞİKAYET KAYIT'!M403,""),"")</f>
        <v/>
      </c>
      <c r="J403" s="26" t="str">
        <f>IFERROR(IF('ŞİKAYET KAYIT'!P403="Kapatıldı",'ŞİKAYET KAYIT'!N403,""),"")</f>
        <v/>
      </c>
      <c r="K403" s="26" t="str">
        <f>IFERROR(IF('ŞİKAYET KAYIT'!P403="Kapatıldı",'ŞİKAYET KAYIT'!O403,""),"")</f>
        <v/>
      </c>
      <c r="L403" s="8" t="str">
        <f>IFERROR(IF('ŞİKAYET KAYIT'!P403="Kapatıldı",'ŞİKAYET KAYIT'!Q403,""),"")</f>
        <v/>
      </c>
      <c r="M403" s="26" t="str">
        <f>IFERROR(IF('ŞİKAYET KAYIT'!P403="Kapatıldı",'ŞİKAYET KAYIT'!R403,""),"")</f>
        <v/>
      </c>
      <c r="N403" s="26"/>
    </row>
    <row r="404" spans="1:14" ht="15" customHeight="1" x14ac:dyDescent="0.3">
      <c r="A404" s="11" t="str">
        <f>IFERROR(IF('ŞİKAYET KAYIT'!P404="Kapatıldı",'ŞİKAYET KAYIT'!A404,""),"")</f>
        <v/>
      </c>
      <c r="B404" s="12" t="str">
        <f>IFERROR(IF('ŞİKAYET KAYIT'!P404="Kapatıldı",'ŞİKAYET KAYIT'!B404,""),"")</f>
        <v/>
      </c>
      <c r="C404" s="11" t="str">
        <f>IFERROR(IF('ŞİKAYET KAYIT'!P404="Kapatıldı",'ŞİKAYET KAYIT'!D404,""),"")</f>
        <v/>
      </c>
      <c r="D404" s="11" t="str">
        <f>IFERROR(IF('ŞİKAYET KAYIT'!P404="Kapatıldı",'ŞİKAYET KAYIT'!F404,""),"")</f>
        <v/>
      </c>
      <c r="E404" s="11" t="str">
        <f>IFERROR(IF('ŞİKAYET KAYIT'!P404="Kapatıldı",'ŞİKAYET KAYIT'!H404,""),"")</f>
        <v/>
      </c>
      <c r="F404" s="11" t="str">
        <f>IFERROR(IF('ŞİKAYET KAYIT'!P404="Kapatıldı",'ŞİKAYET KAYIT'!J404,""),"")</f>
        <v/>
      </c>
      <c r="G404" s="11" t="str">
        <f>IFERROR(IF('ŞİKAYET KAYIT'!P404="Kapatıldı",'ŞİKAYET KAYIT'!K404,""),"")</f>
        <v/>
      </c>
      <c r="H404" s="11" t="str">
        <f>IFERROR(IF('ŞİKAYET KAYIT'!P404="Kapatıldı",'ŞİKAYET KAYIT'!L404,""),"")</f>
        <v/>
      </c>
      <c r="I404" s="11" t="str">
        <f>IFERROR(IF('ŞİKAYET KAYIT'!P404="Kapatıldı",'ŞİKAYET KAYIT'!M404,""),"")</f>
        <v/>
      </c>
      <c r="J404" s="11" t="str">
        <f>IFERROR(IF('ŞİKAYET KAYIT'!P404="Kapatıldı",'ŞİKAYET KAYIT'!N404,""),"")</f>
        <v/>
      </c>
      <c r="K404" s="11" t="str">
        <f>IFERROR(IF('ŞİKAYET KAYIT'!P404="Kapatıldı",'ŞİKAYET KAYIT'!O404,""),"")</f>
        <v/>
      </c>
      <c r="L404" s="12" t="str">
        <f>IFERROR(IF('ŞİKAYET KAYIT'!P404="Kapatıldı",'ŞİKAYET KAYIT'!Q404,""),"")</f>
        <v/>
      </c>
      <c r="M404" s="11" t="str">
        <f>IFERROR(IF('ŞİKAYET KAYIT'!P404="Kapatıldı",'ŞİKAYET KAYIT'!R404,""),"")</f>
        <v/>
      </c>
      <c r="N404" s="11"/>
    </row>
    <row r="405" spans="1:14" ht="15" customHeight="1" x14ac:dyDescent="0.3">
      <c r="A405" s="26" t="str">
        <f>IFERROR(IF('ŞİKAYET KAYIT'!P405="Kapatıldı",'ŞİKAYET KAYIT'!A405,""),"")</f>
        <v/>
      </c>
      <c r="B405" s="8" t="str">
        <f>IFERROR(IF('ŞİKAYET KAYIT'!P405="Kapatıldı",'ŞİKAYET KAYIT'!B405,""),"")</f>
        <v/>
      </c>
      <c r="C405" s="26" t="str">
        <f>IFERROR(IF('ŞİKAYET KAYIT'!P405="Kapatıldı",'ŞİKAYET KAYIT'!D405,""),"")</f>
        <v/>
      </c>
      <c r="D405" s="26" t="str">
        <f>IFERROR(IF('ŞİKAYET KAYIT'!P405="Kapatıldı",'ŞİKAYET KAYIT'!F405,""),"")</f>
        <v/>
      </c>
      <c r="E405" s="26" t="str">
        <f>IFERROR(IF('ŞİKAYET KAYIT'!P405="Kapatıldı",'ŞİKAYET KAYIT'!H405,""),"")</f>
        <v/>
      </c>
      <c r="F405" s="26" t="str">
        <f>IFERROR(IF('ŞİKAYET KAYIT'!P405="Kapatıldı",'ŞİKAYET KAYIT'!J405,""),"")</f>
        <v/>
      </c>
      <c r="G405" s="26" t="str">
        <f>IFERROR(IF('ŞİKAYET KAYIT'!P405="Kapatıldı",'ŞİKAYET KAYIT'!K405,""),"")</f>
        <v/>
      </c>
      <c r="H405" s="26" t="str">
        <f>IFERROR(IF('ŞİKAYET KAYIT'!P405="Kapatıldı",'ŞİKAYET KAYIT'!L405,""),"")</f>
        <v/>
      </c>
      <c r="I405" s="26" t="str">
        <f>IFERROR(IF('ŞİKAYET KAYIT'!P405="Kapatıldı",'ŞİKAYET KAYIT'!M405,""),"")</f>
        <v/>
      </c>
      <c r="J405" s="26" t="str">
        <f>IFERROR(IF('ŞİKAYET KAYIT'!P405="Kapatıldı",'ŞİKAYET KAYIT'!N405,""),"")</f>
        <v/>
      </c>
      <c r="K405" s="26" t="str">
        <f>IFERROR(IF('ŞİKAYET KAYIT'!P405="Kapatıldı",'ŞİKAYET KAYIT'!O405,""),"")</f>
        <v/>
      </c>
      <c r="L405" s="8" t="str">
        <f>IFERROR(IF('ŞİKAYET KAYIT'!P405="Kapatıldı",'ŞİKAYET KAYIT'!Q405,""),"")</f>
        <v/>
      </c>
      <c r="M405" s="26" t="str">
        <f>IFERROR(IF('ŞİKAYET KAYIT'!P405="Kapatıldı",'ŞİKAYET KAYIT'!R405,""),"")</f>
        <v/>
      </c>
      <c r="N405" s="26"/>
    </row>
    <row r="406" spans="1:14" ht="15" customHeight="1" x14ac:dyDescent="0.3">
      <c r="A406" s="11" t="str">
        <f>IFERROR(IF('ŞİKAYET KAYIT'!P406="Kapatıldı",'ŞİKAYET KAYIT'!A406,""),"")</f>
        <v/>
      </c>
      <c r="B406" s="12" t="str">
        <f>IFERROR(IF('ŞİKAYET KAYIT'!P406="Kapatıldı",'ŞİKAYET KAYIT'!B406,""),"")</f>
        <v/>
      </c>
      <c r="C406" s="11" t="str">
        <f>IFERROR(IF('ŞİKAYET KAYIT'!P406="Kapatıldı",'ŞİKAYET KAYIT'!D406,""),"")</f>
        <v/>
      </c>
      <c r="D406" s="11" t="str">
        <f>IFERROR(IF('ŞİKAYET KAYIT'!P406="Kapatıldı",'ŞİKAYET KAYIT'!F406,""),"")</f>
        <v/>
      </c>
      <c r="E406" s="11" t="str">
        <f>IFERROR(IF('ŞİKAYET KAYIT'!P406="Kapatıldı",'ŞİKAYET KAYIT'!H406,""),"")</f>
        <v/>
      </c>
      <c r="F406" s="11" t="str">
        <f>IFERROR(IF('ŞİKAYET KAYIT'!P406="Kapatıldı",'ŞİKAYET KAYIT'!J406,""),"")</f>
        <v/>
      </c>
      <c r="G406" s="11" t="str">
        <f>IFERROR(IF('ŞİKAYET KAYIT'!P406="Kapatıldı",'ŞİKAYET KAYIT'!K406,""),"")</f>
        <v/>
      </c>
      <c r="H406" s="11" t="str">
        <f>IFERROR(IF('ŞİKAYET KAYIT'!P406="Kapatıldı",'ŞİKAYET KAYIT'!L406,""),"")</f>
        <v/>
      </c>
      <c r="I406" s="11" t="str">
        <f>IFERROR(IF('ŞİKAYET KAYIT'!P406="Kapatıldı",'ŞİKAYET KAYIT'!M406,""),"")</f>
        <v/>
      </c>
      <c r="J406" s="11" t="str">
        <f>IFERROR(IF('ŞİKAYET KAYIT'!P406="Kapatıldı",'ŞİKAYET KAYIT'!N406,""),"")</f>
        <v/>
      </c>
      <c r="K406" s="11" t="str">
        <f>IFERROR(IF('ŞİKAYET KAYIT'!P406="Kapatıldı",'ŞİKAYET KAYIT'!O406,""),"")</f>
        <v/>
      </c>
      <c r="L406" s="12" t="str">
        <f>IFERROR(IF('ŞİKAYET KAYIT'!P406="Kapatıldı",'ŞİKAYET KAYIT'!Q406,""),"")</f>
        <v/>
      </c>
      <c r="M406" s="11" t="str">
        <f>IFERROR(IF('ŞİKAYET KAYIT'!P406="Kapatıldı",'ŞİKAYET KAYIT'!R406,""),"")</f>
        <v/>
      </c>
      <c r="N406" s="11"/>
    </row>
    <row r="407" spans="1:14" ht="15" customHeight="1" x14ac:dyDescent="0.3">
      <c r="A407" s="26" t="str">
        <f>IFERROR(IF('ŞİKAYET KAYIT'!P407="Kapatıldı",'ŞİKAYET KAYIT'!A407,""),"")</f>
        <v/>
      </c>
      <c r="B407" s="8" t="str">
        <f>IFERROR(IF('ŞİKAYET KAYIT'!P407="Kapatıldı",'ŞİKAYET KAYIT'!B407,""),"")</f>
        <v/>
      </c>
      <c r="C407" s="26" t="str">
        <f>IFERROR(IF('ŞİKAYET KAYIT'!P407="Kapatıldı",'ŞİKAYET KAYIT'!D407,""),"")</f>
        <v/>
      </c>
      <c r="D407" s="26" t="str">
        <f>IFERROR(IF('ŞİKAYET KAYIT'!P407="Kapatıldı",'ŞİKAYET KAYIT'!F407,""),"")</f>
        <v/>
      </c>
      <c r="E407" s="26" t="str">
        <f>IFERROR(IF('ŞİKAYET KAYIT'!P407="Kapatıldı",'ŞİKAYET KAYIT'!H407,""),"")</f>
        <v/>
      </c>
      <c r="F407" s="26" t="str">
        <f>IFERROR(IF('ŞİKAYET KAYIT'!P407="Kapatıldı",'ŞİKAYET KAYIT'!J407,""),"")</f>
        <v/>
      </c>
      <c r="G407" s="26" t="str">
        <f>IFERROR(IF('ŞİKAYET KAYIT'!P407="Kapatıldı",'ŞİKAYET KAYIT'!K407,""),"")</f>
        <v/>
      </c>
      <c r="H407" s="26" t="str">
        <f>IFERROR(IF('ŞİKAYET KAYIT'!P407="Kapatıldı",'ŞİKAYET KAYIT'!L407,""),"")</f>
        <v/>
      </c>
      <c r="I407" s="26" t="str">
        <f>IFERROR(IF('ŞİKAYET KAYIT'!P407="Kapatıldı",'ŞİKAYET KAYIT'!M407,""),"")</f>
        <v/>
      </c>
      <c r="J407" s="26" t="str">
        <f>IFERROR(IF('ŞİKAYET KAYIT'!P407="Kapatıldı",'ŞİKAYET KAYIT'!N407,""),"")</f>
        <v/>
      </c>
      <c r="K407" s="26" t="str">
        <f>IFERROR(IF('ŞİKAYET KAYIT'!P407="Kapatıldı",'ŞİKAYET KAYIT'!O407,""),"")</f>
        <v/>
      </c>
      <c r="L407" s="8" t="str">
        <f>IFERROR(IF('ŞİKAYET KAYIT'!P407="Kapatıldı",'ŞİKAYET KAYIT'!Q407,""),"")</f>
        <v/>
      </c>
      <c r="M407" s="26" t="str">
        <f>IFERROR(IF('ŞİKAYET KAYIT'!P407="Kapatıldı",'ŞİKAYET KAYIT'!R407,""),"")</f>
        <v/>
      </c>
      <c r="N407" s="26"/>
    </row>
    <row r="408" spans="1:14" ht="15" customHeight="1" x14ac:dyDescent="0.3">
      <c r="A408" s="11" t="str">
        <f>IFERROR(IF('ŞİKAYET KAYIT'!P408="Kapatıldı",'ŞİKAYET KAYIT'!A408,""),"")</f>
        <v/>
      </c>
      <c r="B408" s="12" t="str">
        <f>IFERROR(IF('ŞİKAYET KAYIT'!P408="Kapatıldı",'ŞİKAYET KAYIT'!B408,""),"")</f>
        <v/>
      </c>
      <c r="C408" s="11" t="str">
        <f>IFERROR(IF('ŞİKAYET KAYIT'!P408="Kapatıldı",'ŞİKAYET KAYIT'!D408,""),"")</f>
        <v/>
      </c>
      <c r="D408" s="11" t="str">
        <f>IFERROR(IF('ŞİKAYET KAYIT'!P408="Kapatıldı",'ŞİKAYET KAYIT'!F408,""),"")</f>
        <v/>
      </c>
      <c r="E408" s="11" t="str">
        <f>IFERROR(IF('ŞİKAYET KAYIT'!P408="Kapatıldı",'ŞİKAYET KAYIT'!H408,""),"")</f>
        <v/>
      </c>
      <c r="F408" s="11" t="str">
        <f>IFERROR(IF('ŞİKAYET KAYIT'!P408="Kapatıldı",'ŞİKAYET KAYIT'!J408,""),"")</f>
        <v/>
      </c>
      <c r="G408" s="11" t="str">
        <f>IFERROR(IF('ŞİKAYET KAYIT'!P408="Kapatıldı",'ŞİKAYET KAYIT'!K408,""),"")</f>
        <v/>
      </c>
      <c r="H408" s="11" t="str">
        <f>IFERROR(IF('ŞİKAYET KAYIT'!P408="Kapatıldı",'ŞİKAYET KAYIT'!L408,""),"")</f>
        <v/>
      </c>
      <c r="I408" s="11" t="str">
        <f>IFERROR(IF('ŞİKAYET KAYIT'!P408="Kapatıldı",'ŞİKAYET KAYIT'!M408,""),"")</f>
        <v/>
      </c>
      <c r="J408" s="11" t="str">
        <f>IFERROR(IF('ŞİKAYET KAYIT'!P408="Kapatıldı",'ŞİKAYET KAYIT'!N408,""),"")</f>
        <v/>
      </c>
      <c r="K408" s="11" t="str">
        <f>IFERROR(IF('ŞİKAYET KAYIT'!P408="Kapatıldı",'ŞİKAYET KAYIT'!O408,""),"")</f>
        <v/>
      </c>
      <c r="L408" s="12" t="str">
        <f>IFERROR(IF('ŞİKAYET KAYIT'!P408="Kapatıldı",'ŞİKAYET KAYIT'!Q408,""),"")</f>
        <v/>
      </c>
      <c r="M408" s="11" t="str">
        <f>IFERROR(IF('ŞİKAYET KAYIT'!P408="Kapatıldı",'ŞİKAYET KAYIT'!R408,""),"")</f>
        <v/>
      </c>
      <c r="N408" s="11"/>
    </row>
    <row r="409" spans="1:14" ht="15" customHeight="1" x14ac:dyDescent="0.3">
      <c r="A409" s="26" t="str">
        <f>IFERROR(IF('ŞİKAYET KAYIT'!P409="Kapatıldı",'ŞİKAYET KAYIT'!A409,""),"")</f>
        <v/>
      </c>
      <c r="B409" s="8" t="str">
        <f>IFERROR(IF('ŞİKAYET KAYIT'!P409="Kapatıldı",'ŞİKAYET KAYIT'!B409,""),"")</f>
        <v/>
      </c>
      <c r="C409" s="26" t="str">
        <f>IFERROR(IF('ŞİKAYET KAYIT'!P409="Kapatıldı",'ŞİKAYET KAYIT'!D409,""),"")</f>
        <v/>
      </c>
      <c r="D409" s="26" t="str">
        <f>IFERROR(IF('ŞİKAYET KAYIT'!P409="Kapatıldı",'ŞİKAYET KAYIT'!F409,""),"")</f>
        <v/>
      </c>
      <c r="E409" s="26" t="str">
        <f>IFERROR(IF('ŞİKAYET KAYIT'!P409="Kapatıldı",'ŞİKAYET KAYIT'!H409,""),"")</f>
        <v/>
      </c>
      <c r="F409" s="26" t="str">
        <f>IFERROR(IF('ŞİKAYET KAYIT'!P409="Kapatıldı",'ŞİKAYET KAYIT'!J409,""),"")</f>
        <v/>
      </c>
      <c r="G409" s="26" t="str">
        <f>IFERROR(IF('ŞİKAYET KAYIT'!P409="Kapatıldı",'ŞİKAYET KAYIT'!K409,""),"")</f>
        <v/>
      </c>
      <c r="H409" s="26" t="str">
        <f>IFERROR(IF('ŞİKAYET KAYIT'!P409="Kapatıldı",'ŞİKAYET KAYIT'!L409,""),"")</f>
        <v/>
      </c>
      <c r="I409" s="26" t="str">
        <f>IFERROR(IF('ŞİKAYET KAYIT'!P409="Kapatıldı",'ŞİKAYET KAYIT'!M409,""),"")</f>
        <v/>
      </c>
      <c r="J409" s="26" t="str">
        <f>IFERROR(IF('ŞİKAYET KAYIT'!P409="Kapatıldı",'ŞİKAYET KAYIT'!N409,""),"")</f>
        <v/>
      </c>
      <c r="K409" s="26" t="str">
        <f>IFERROR(IF('ŞİKAYET KAYIT'!P409="Kapatıldı",'ŞİKAYET KAYIT'!O409,""),"")</f>
        <v/>
      </c>
      <c r="L409" s="8" t="str">
        <f>IFERROR(IF('ŞİKAYET KAYIT'!P409="Kapatıldı",'ŞİKAYET KAYIT'!Q409,""),"")</f>
        <v/>
      </c>
      <c r="M409" s="26" t="str">
        <f>IFERROR(IF('ŞİKAYET KAYIT'!P409="Kapatıldı",'ŞİKAYET KAYIT'!R409,""),"")</f>
        <v/>
      </c>
      <c r="N409" s="26"/>
    </row>
    <row r="410" spans="1:14" ht="15" customHeight="1" x14ac:dyDescent="0.3">
      <c r="A410" s="11" t="str">
        <f>IFERROR(IF('ŞİKAYET KAYIT'!P410="Kapatıldı",'ŞİKAYET KAYIT'!A410,""),"")</f>
        <v/>
      </c>
      <c r="B410" s="12" t="str">
        <f>IFERROR(IF('ŞİKAYET KAYIT'!P410="Kapatıldı",'ŞİKAYET KAYIT'!B410,""),"")</f>
        <v/>
      </c>
      <c r="C410" s="11" t="str">
        <f>IFERROR(IF('ŞİKAYET KAYIT'!P410="Kapatıldı",'ŞİKAYET KAYIT'!D410,""),"")</f>
        <v/>
      </c>
      <c r="D410" s="11" t="str">
        <f>IFERROR(IF('ŞİKAYET KAYIT'!P410="Kapatıldı",'ŞİKAYET KAYIT'!F410,""),"")</f>
        <v/>
      </c>
      <c r="E410" s="11" t="str">
        <f>IFERROR(IF('ŞİKAYET KAYIT'!P410="Kapatıldı",'ŞİKAYET KAYIT'!H410,""),"")</f>
        <v/>
      </c>
      <c r="F410" s="11" t="str">
        <f>IFERROR(IF('ŞİKAYET KAYIT'!P410="Kapatıldı",'ŞİKAYET KAYIT'!J410,""),"")</f>
        <v/>
      </c>
      <c r="G410" s="11" t="str">
        <f>IFERROR(IF('ŞİKAYET KAYIT'!P410="Kapatıldı",'ŞİKAYET KAYIT'!K410,""),"")</f>
        <v/>
      </c>
      <c r="H410" s="11" t="str">
        <f>IFERROR(IF('ŞİKAYET KAYIT'!P410="Kapatıldı",'ŞİKAYET KAYIT'!L410,""),"")</f>
        <v/>
      </c>
      <c r="I410" s="11" t="str">
        <f>IFERROR(IF('ŞİKAYET KAYIT'!P410="Kapatıldı",'ŞİKAYET KAYIT'!M410,""),"")</f>
        <v/>
      </c>
      <c r="J410" s="11" t="str">
        <f>IFERROR(IF('ŞİKAYET KAYIT'!P410="Kapatıldı",'ŞİKAYET KAYIT'!N410,""),"")</f>
        <v/>
      </c>
      <c r="K410" s="11" t="str">
        <f>IFERROR(IF('ŞİKAYET KAYIT'!P410="Kapatıldı",'ŞİKAYET KAYIT'!O410,""),"")</f>
        <v/>
      </c>
      <c r="L410" s="12" t="str">
        <f>IFERROR(IF('ŞİKAYET KAYIT'!P410="Kapatıldı",'ŞİKAYET KAYIT'!Q410,""),"")</f>
        <v/>
      </c>
      <c r="M410" s="11" t="str">
        <f>IFERROR(IF('ŞİKAYET KAYIT'!P410="Kapatıldı",'ŞİKAYET KAYIT'!R410,""),"")</f>
        <v/>
      </c>
      <c r="N410" s="11"/>
    </row>
    <row r="411" spans="1:14" ht="15" customHeight="1" x14ac:dyDescent="0.3">
      <c r="A411" s="26" t="str">
        <f>IFERROR(IF('ŞİKAYET KAYIT'!P411="Kapatıldı",'ŞİKAYET KAYIT'!A411,""),"")</f>
        <v/>
      </c>
      <c r="B411" s="8" t="str">
        <f>IFERROR(IF('ŞİKAYET KAYIT'!P411="Kapatıldı",'ŞİKAYET KAYIT'!B411,""),"")</f>
        <v/>
      </c>
      <c r="C411" s="26" t="str">
        <f>IFERROR(IF('ŞİKAYET KAYIT'!P411="Kapatıldı",'ŞİKAYET KAYIT'!D411,""),"")</f>
        <v/>
      </c>
      <c r="D411" s="26" t="str">
        <f>IFERROR(IF('ŞİKAYET KAYIT'!P411="Kapatıldı",'ŞİKAYET KAYIT'!F411,""),"")</f>
        <v/>
      </c>
      <c r="E411" s="26" t="str">
        <f>IFERROR(IF('ŞİKAYET KAYIT'!P411="Kapatıldı",'ŞİKAYET KAYIT'!H411,""),"")</f>
        <v/>
      </c>
      <c r="F411" s="26" t="str">
        <f>IFERROR(IF('ŞİKAYET KAYIT'!P411="Kapatıldı",'ŞİKAYET KAYIT'!J411,""),"")</f>
        <v/>
      </c>
      <c r="G411" s="26" t="str">
        <f>IFERROR(IF('ŞİKAYET KAYIT'!P411="Kapatıldı",'ŞİKAYET KAYIT'!K411,""),"")</f>
        <v/>
      </c>
      <c r="H411" s="26" t="str">
        <f>IFERROR(IF('ŞİKAYET KAYIT'!P411="Kapatıldı",'ŞİKAYET KAYIT'!L411,""),"")</f>
        <v/>
      </c>
      <c r="I411" s="26" t="str">
        <f>IFERROR(IF('ŞİKAYET KAYIT'!P411="Kapatıldı",'ŞİKAYET KAYIT'!M411,""),"")</f>
        <v/>
      </c>
      <c r="J411" s="26" t="str">
        <f>IFERROR(IF('ŞİKAYET KAYIT'!P411="Kapatıldı",'ŞİKAYET KAYIT'!N411,""),"")</f>
        <v/>
      </c>
      <c r="K411" s="26" t="str">
        <f>IFERROR(IF('ŞİKAYET KAYIT'!P411="Kapatıldı",'ŞİKAYET KAYIT'!O411,""),"")</f>
        <v/>
      </c>
      <c r="L411" s="8" t="str">
        <f>IFERROR(IF('ŞİKAYET KAYIT'!P411="Kapatıldı",'ŞİKAYET KAYIT'!Q411,""),"")</f>
        <v/>
      </c>
      <c r="M411" s="26" t="str">
        <f>IFERROR(IF('ŞİKAYET KAYIT'!P411="Kapatıldı",'ŞİKAYET KAYIT'!R411,""),"")</f>
        <v/>
      </c>
      <c r="N411" s="26"/>
    </row>
    <row r="412" spans="1:14" ht="15" customHeight="1" x14ac:dyDescent="0.3">
      <c r="A412" s="11" t="str">
        <f>IFERROR(IF('ŞİKAYET KAYIT'!P412="Kapatıldı",'ŞİKAYET KAYIT'!A412,""),"")</f>
        <v/>
      </c>
      <c r="B412" s="12" t="str">
        <f>IFERROR(IF('ŞİKAYET KAYIT'!P412="Kapatıldı",'ŞİKAYET KAYIT'!B412,""),"")</f>
        <v/>
      </c>
      <c r="C412" s="11" t="str">
        <f>IFERROR(IF('ŞİKAYET KAYIT'!P412="Kapatıldı",'ŞİKAYET KAYIT'!D412,""),"")</f>
        <v/>
      </c>
      <c r="D412" s="11" t="str">
        <f>IFERROR(IF('ŞİKAYET KAYIT'!P412="Kapatıldı",'ŞİKAYET KAYIT'!F412,""),"")</f>
        <v/>
      </c>
      <c r="E412" s="11" t="str">
        <f>IFERROR(IF('ŞİKAYET KAYIT'!P412="Kapatıldı",'ŞİKAYET KAYIT'!H412,""),"")</f>
        <v/>
      </c>
      <c r="F412" s="11" t="str">
        <f>IFERROR(IF('ŞİKAYET KAYIT'!P412="Kapatıldı",'ŞİKAYET KAYIT'!J412,""),"")</f>
        <v/>
      </c>
      <c r="G412" s="11" t="str">
        <f>IFERROR(IF('ŞİKAYET KAYIT'!P412="Kapatıldı",'ŞİKAYET KAYIT'!K412,""),"")</f>
        <v/>
      </c>
      <c r="H412" s="11" t="str">
        <f>IFERROR(IF('ŞİKAYET KAYIT'!P412="Kapatıldı",'ŞİKAYET KAYIT'!L412,""),"")</f>
        <v/>
      </c>
      <c r="I412" s="11" t="str">
        <f>IFERROR(IF('ŞİKAYET KAYIT'!P412="Kapatıldı",'ŞİKAYET KAYIT'!M412,""),"")</f>
        <v/>
      </c>
      <c r="J412" s="11" t="str">
        <f>IFERROR(IF('ŞİKAYET KAYIT'!P412="Kapatıldı",'ŞİKAYET KAYIT'!N412,""),"")</f>
        <v/>
      </c>
      <c r="K412" s="11" t="str">
        <f>IFERROR(IF('ŞİKAYET KAYIT'!P412="Kapatıldı",'ŞİKAYET KAYIT'!O412,""),"")</f>
        <v/>
      </c>
      <c r="L412" s="12" t="str">
        <f>IFERROR(IF('ŞİKAYET KAYIT'!P412="Kapatıldı",'ŞİKAYET KAYIT'!Q412,""),"")</f>
        <v/>
      </c>
      <c r="M412" s="11" t="str">
        <f>IFERROR(IF('ŞİKAYET KAYIT'!P412="Kapatıldı",'ŞİKAYET KAYIT'!R412,""),"")</f>
        <v/>
      </c>
      <c r="N412" s="11"/>
    </row>
    <row r="413" spans="1:14" ht="15" customHeight="1" x14ac:dyDescent="0.3">
      <c r="A413" s="26" t="str">
        <f>IFERROR(IF('ŞİKAYET KAYIT'!P413="Kapatıldı",'ŞİKAYET KAYIT'!A413,""),"")</f>
        <v/>
      </c>
      <c r="B413" s="8" t="str">
        <f>IFERROR(IF('ŞİKAYET KAYIT'!P413="Kapatıldı",'ŞİKAYET KAYIT'!B413,""),"")</f>
        <v/>
      </c>
      <c r="C413" s="26" t="str">
        <f>IFERROR(IF('ŞİKAYET KAYIT'!P413="Kapatıldı",'ŞİKAYET KAYIT'!D413,""),"")</f>
        <v/>
      </c>
      <c r="D413" s="26" t="str">
        <f>IFERROR(IF('ŞİKAYET KAYIT'!P413="Kapatıldı",'ŞİKAYET KAYIT'!F413,""),"")</f>
        <v/>
      </c>
      <c r="E413" s="26" t="str">
        <f>IFERROR(IF('ŞİKAYET KAYIT'!P413="Kapatıldı",'ŞİKAYET KAYIT'!H413,""),"")</f>
        <v/>
      </c>
      <c r="F413" s="26" t="str">
        <f>IFERROR(IF('ŞİKAYET KAYIT'!P413="Kapatıldı",'ŞİKAYET KAYIT'!J413,""),"")</f>
        <v/>
      </c>
      <c r="G413" s="26" t="str">
        <f>IFERROR(IF('ŞİKAYET KAYIT'!P413="Kapatıldı",'ŞİKAYET KAYIT'!K413,""),"")</f>
        <v/>
      </c>
      <c r="H413" s="26" t="str">
        <f>IFERROR(IF('ŞİKAYET KAYIT'!P413="Kapatıldı",'ŞİKAYET KAYIT'!L413,""),"")</f>
        <v/>
      </c>
      <c r="I413" s="26" t="str">
        <f>IFERROR(IF('ŞİKAYET KAYIT'!P413="Kapatıldı",'ŞİKAYET KAYIT'!M413,""),"")</f>
        <v/>
      </c>
      <c r="J413" s="26" t="str">
        <f>IFERROR(IF('ŞİKAYET KAYIT'!P413="Kapatıldı",'ŞİKAYET KAYIT'!N413,""),"")</f>
        <v/>
      </c>
      <c r="K413" s="26" t="str">
        <f>IFERROR(IF('ŞİKAYET KAYIT'!P413="Kapatıldı",'ŞİKAYET KAYIT'!O413,""),"")</f>
        <v/>
      </c>
      <c r="L413" s="8" t="str">
        <f>IFERROR(IF('ŞİKAYET KAYIT'!P413="Kapatıldı",'ŞİKAYET KAYIT'!Q413,""),"")</f>
        <v/>
      </c>
      <c r="M413" s="26" t="str">
        <f>IFERROR(IF('ŞİKAYET KAYIT'!P413="Kapatıldı",'ŞİKAYET KAYIT'!R413,""),"")</f>
        <v/>
      </c>
      <c r="N413" s="26"/>
    </row>
    <row r="414" spans="1:14" ht="15" customHeight="1" x14ac:dyDescent="0.3">
      <c r="A414" s="11" t="str">
        <f>IFERROR(IF('ŞİKAYET KAYIT'!P414="Kapatıldı",'ŞİKAYET KAYIT'!A414,""),"")</f>
        <v/>
      </c>
      <c r="B414" s="12" t="str">
        <f>IFERROR(IF('ŞİKAYET KAYIT'!P414="Kapatıldı",'ŞİKAYET KAYIT'!B414,""),"")</f>
        <v/>
      </c>
      <c r="C414" s="11" t="str">
        <f>IFERROR(IF('ŞİKAYET KAYIT'!P414="Kapatıldı",'ŞİKAYET KAYIT'!D414,""),"")</f>
        <v/>
      </c>
      <c r="D414" s="11" t="str">
        <f>IFERROR(IF('ŞİKAYET KAYIT'!P414="Kapatıldı",'ŞİKAYET KAYIT'!F414,""),"")</f>
        <v/>
      </c>
      <c r="E414" s="11" t="str">
        <f>IFERROR(IF('ŞİKAYET KAYIT'!P414="Kapatıldı",'ŞİKAYET KAYIT'!H414,""),"")</f>
        <v/>
      </c>
      <c r="F414" s="11" t="str">
        <f>IFERROR(IF('ŞİKAYET KAYIT'!P414="Kapatıldı",'ŞİKAYET KAYIT'!J414,""),"")</f>
        <v/>
      </c>
      <c r="G414" s="11" t="str">
        <f>IFERROR(IF('ŞİKAYET KAYIT'!P414="Kapatıldı",'ŞİKAYET KAYIT'!K414,""),"")</f>
        <v/>
      </c>
      <c r="H414" s="11" t="str">
        <f>IFERROR(IF('ŞİKAYET KAYIT'!P414="Kapatıldı",'ŞİKAYET KAYIT'!L414,""),"")</f>
        <v/>
      </c>
      <c r="I414" s="11" t="str">
        <f>IFERROR(IF('ŞİKAYET KAYIT'!P414="Kapatıldı",'ŞİKAYET KAYIT'!M414,""),"")</f>
        <v/>
      </c>
      <c r="J414" s="11" t="str">
        <f>IFERROR(IF('ŞİKAYET KAYIT'!P414="Kapatıldı",'ŞİKAYET KAYIT'!N414,""),"")</f>
        <v/>
      </c>
      <c r="K414" s="11" t="str">
        <f>IFERROR(IF('ŞİKAYET KAYIT'!P414="Kapatıldı",'ŞİKAYET KAYIT'!O414,""),"")</f>
        <v/>
      </c>
      <c r="L414" s="12" t="str">
        <f>IFERROR(IF('ŞİKAYET KAYIT'!P414="Kapatıldı",'ŞİKAYET KAYIT'!Q414,""),"")</f>
        <v/>
      </c>
      <c r="M414" s="11" t="str">
        <f>IFERROR(IF('ŞİKAYET KAYIT'!P414="Kapatıldı",'ŞİKAYET KAYIT'!R414,""),"")</f>
        <v/>
      </c>
      <c r="N414" s="11"/>
    </row>
    <row r="415" spans="1:14" ht="15" customHeight="1" x14ac:dyDescent="0.3">
      <c r="A415" s="26" t="str">
        <f>IFERROR(IF('ŞİKAYET KAYIT'!P415="Kapatıldı",'ŞİKAYET KAYIT'!A415,""),"")</f>
        <v/>
      </c>
      <c r="B415" s="8" t="str">
        <f>IFERROR(IF('ŞİKAYET KAYIT'!P415="Kapatıldı",'ŞİKAYET KAYIT'!B415,""),"")</f>
        <v/>
      </c>
      <c r="C415" s="26" t="str">
        <f>IFERROR(IF('ŞİKAYET KAYIT'!P415="Kapatıldı",'ŞİKAYET KAYIT'!D415,""),"")</f>
        <v/>
      </c>
      <c r="D415" s="26" t="str">
        <f>IFERROR(IF('ŞİKAYET KAYIT'!P415="Kapatıldı",'ŞİKAYET KAYIT'!F415,""),"")</f>
        <v/>
      </c>
      <c r="E415" s="26" t="str">
        <f>IFERROR(IF('ŞİKAYET KAYIT'!P415="Kapatıldı",'ŞİKAYET KAYIT'!H415,""),"")</f>
        <v/>
      </c>
      <c r="F415" s="26" t="str">
        <f>IFERROR(IF('ŞİKAYET KAYIT'!P415="Kapatıldı",'ŞİKAYET KAYIT'!J415,""),"")</f>
        <v/>
      </c>
      <c r="G415" s="26" t="str">
        <f>IFERROR(IF('ŞİKAYET KAYIT'!P415="Kapatıldı",'ŞİKAYET KAYIT'!K415,""),"")</f>
        <v/>
      </c>
      <c r="H415" s="26" t="str">
        <f>IFERROR(IF('ŞİKAYET KAYIT'!P415="Kapatıldı",'ŞİKAYET KAYIT'!L415,""),"")</f>
        <v/>
      </c>
      <c r="I415" s="26" t="str">
        <f>IFERROR(IF('ŞİKAYET KAYIT'!P415="Kapatıldı",'ŞİKAYET KAYIT'!M415,""),"")</f>
        <v/>
      </c>
      <c r="J415" s="26" t="str">
        <f>IFERROR(IF('ŞİKAYET KAYIT'!P415="Kapatıldı",'ŞİKAYET KAYIT'!N415,""),"")</f>
        <v/>
      </c>
      <c r="K415" s="26" t="str">
        <f>IFERROR(IF('ŞİKAYET KAYIT'!P415="Kapatıldı",'ŞİKAYET KAYIT'!O415,""),"")</f>
        <v/>
      </c>
      <c r="L415" s="8" t="str">
        <f>IFERROR(IF('ŞİKAYET KAYIT'!P415="Kapatıldı",'ŞİKAYET KAYIT'!Q415,""),"")</f>
        <v/>
      </c>
      <c r="M415" s="26" t="str">
        <f>IFERROR(IF('ŞİKAYET KAYIT'!P415="Kapatıldı",'ŞİKAYET KAYIT'!R415,""),"")</f>
        <v/>
      </c>
      <c r="N415" s="26"/>
    </row>
    <row r="416" spans="1:14" ht="15" customHeight="1" x14ac:dyDescent="0.3">
      <c r="A416" s="11" t="str">
        <f>IFERROR(IF('ŞİKAYET KAYIT'!P416="Kapatıldı",'ŞİKAYET KAYIT'!A416,""),"")</f>
        <v/>
      </c>
      <c r="B416" s="12" t="str">
        <f>IFERROR(IF('ŞİKAYET KAYIT'!P416="Kapatıldı",'ŞİKAYET KAYIT'!B416,""),"")</f>
        <v/>
      </c>
      <c r="C416" s="11" t="str">
        <f>IFERROR(IF('ŞİKAYET KAYIT'!P416="Kapatıldı",'ŞİKAYET KAYIT'!D416,""),"")</f>
        <v/>
      </c>
      <c r="D416" s="11" t="str">
        <f>IFERROR(IF('ŞİKAYET KAYIT'!P416="Kapatıldı",'ŞİKAYET KAYIT'!F416,""),"")</f>
        <v/>
      </c>
      <c r="E416" s="11" t="str">
        <f>IFERROR(IF('ŞİKAYET KAYIT'!P416="Kapatıldı",'ŞİKAYET KAYIT'!H416,""),"")</f>
        <v/>
      </c>
      <c r="F416" s="11" t="str">
        <f>IFERROR(IF('ŞİKAYET KAYIT'!P416="Kapatıldı",'ŞİKAYET KAYIT'!J416,""),"")</f>
        <v/>
      </c>
      <c r="G416" s="11" t="str">
        <f>IFERROR(IF('ŞİKAYET KAYIT'!P416="Kapatıldı",'ŞİKAYET KAYIT'!K416,""),"")</f>
        <v/>
      </c>
      <c r="H416" s="11" t="str">
        <f>IFERROR(IF('ŞİKAYET KAYIT'!P416="Kapatıldı",'ŞİKAYET KAYIT'!L416,""),"")</f>
        <v/>
      </c>
      <c r="I416" s="11" t="str">
        <f>IFERROR(IF('ŞİKAYET KAYIT'!P416="Kapatıldı",'ŞİKAYET KAYIT'!M416,""),"")</f>
        <v/>
      </c>
      <c r="J416" s="11" t="str">
        <f>IFERROR(IF('ŞİKAYET KAYIT'!P416="Kapatıldı",'ŞİKAYET KAYIT'!N416,""),"")</f>
        <v/>
      </c>
      <c r="K416" s="11" t="str">
        <f>IFERROR(IF('ŞİKAYET KAYIT'!P416="Kapatıldı",'ŞİKAYET KAYIT'!O416,""),"")</f>
        <v/>
      </c>
      <c r="L416" s="12" t="str">
        <f>IFERROR(IF('ŞİKAYET KAYIT'!P416="Kapatıldı",'ŞİKAYET KAYIT'!Q416,""),"")</f>
        <v/>
      </c>
      <c r="M416" s="11" t="str">
        <f>IFERROR(IF('ŞİKAYET KAYIT'!P416="Kapatıldı",'ŞİKAYET KAYIT'!R416,""),"")</f>
        <v/>
      </c>
      <c r="N416" s="11"/>
    </row>
    <row r="417" spans="1:14" ht="15" customHeight="1" x14ac:dyDescent="0.3">
      <c r="A417" s="26" t="str">
        <f>IFERROR(IF('ŞİKAYET KAYIT'!P417="Kapatıldı",'ŞİKAYET KAYIT'!A417,""),"")</f>
        <v/>
      </c>
      <c r="B417" s="8" t="str">
        <f>IFERROR(IF('ŞİKAYET KAYIT'!P417="Kapatıldı",'ŞİKAYET KAYIT'!B417,""),"")</f>
        <v/>
      </c>
      <c r="C417" s="26" t="str">
        <f>IFERROR(IF('ŞİKAYET KAYIT'!P417="Kapatıldı",'ŞİKAYET KAYIT'!D417,""),"")</f>
        <v/>
      </c>
      <c r="D417" s="26" t="str">
        <f>IFERROR(IF('ŞİKAYET KAYIT'!P417="Kapatıldı",'ŞİKAYET KAYIT'!F417,""),"")</f>
        <v/>
      </c>
      <c r="E417" s="26" t="str">
        <f>IFERROR(IF('ŞİKAYET KAYIT'!P417="Kapatıldı",'ŞİKAYET KAYIT'!H417,""),"")</f>
        <v/>
      </c>
      <c r="F417" s="26" t="str">
        <f>IFERROR(IF('ŞİKAYET KAYIT'!P417="Kapatıldı",'ŞİKAYET KAYIT'!J417,""),"")</f>
        <v/>
      </c>
      <c r="G417" s="26" t="str">
        <f>IFERROR(IF('ŞİKAYET KAYIT'!P417="Kapatıldı",'ŞİKAYET KAYIT'!K417,""),"")</f>
        <v/>
      </c>
      <c r="H417" s="26" t="str">
        <f>IFERROR(IF('ŞİKAYET KAYIT'!P417="Kapatıldı",'ŞİKAYET KAYIT'!L417,""),"")</f>
        <v/>
      </c>
      <c r="I417" s="26" t="str">
        <f>IFERROR(IF('ŞİKAYET KAYIT'!P417="Kapatıldı",'ŞİKAYET KAYIT'!M417,""),"")</f>
        <v/>
      </c>
      <c r="J417" s="26" t="str">
        <f>IFERROR(IF('ŞİKAYET KAYIT'!P417="Kapatıldı",'ŞİKAYET KAYIT'!N417,""),"")</f>
        <v/>
      </c>
      <c r="K417" s="26" t="str">
        <f>IFERROR(IF('ŞİKAYET KAYIT'!P417="Kapatıldı",'ŞİKAYET KAYIT'!O417,""),"")</f>
        <v/>
      </c>
      <c r="L417" s="8" t="str">
        <f>IFERROR(IF('ŞİKAYET KAYIT'!P417="Kapatıldı",'ŞİKAYET KAYIT'!Q417,""),"")</f>
        <v/>
      </c>
      <c r="M417" s="26" t="str">
        <f>IFERROR(IF('ŞİKAYET KAYIT'!P417="Kapatıldı",'ŞİKAYET KAYIT'!R417,""),"")</f>
        <v/>
      </c>
      <c r="N417" s="26"/>
    </row>
    <row r="418" spans="1:14" ht="15" customHeight="1" x14ac:dyDescent="0.3">
      <c r="A418" s="11" t="str">
        <f>IFERROR(IF('ŞİKAYET KAYIT'!P418="Kapatıldı",'ŞİKAYET KAYIT'!A418,""),"")</f>
        <v/>
      </c>
      <c r="B418" s="12" t="str">
        <f>IFERROR(IF('ŞİKAYET KAYIT'!P418="Kapatıldı",'ŞİKAYET KAYIT'!B418,""),"")</f>
        <v/>
      </c>
      <c r="C418" s="11" t="str">
        <f>IFERROR(IF('ŞİKAYET KAYIT'!P418="Kapatıldı",'ŞİKAYET KAYIT'!D418,""),"")</f>
        <v/>
      </c>
      <c r="D418" s="11" t="str">
        <f>IFERROR(IF('ŞİKAYET KAYIT'!P418="Kapatıldı",'ŞİKAYET KAYIT'!F418,""),"")</f>
        <v/>
      </c>
      <c r="E418" s="11" t="str">
        <f>IFERROR(IF('ŞİKAYET KAYIT'!P418="Kapatıldı",'ŞİKAYET KAYIT'!H418,""),"")</f>
        <v/>
      </c>
      <c r="F418" s="11" t="str">
        <f>IFERROR(IF('ŞİKAYET KAYIT'!P418="Kapatıldı",'ŞİKAYET KAYIT'!J418,""),"")</f>
        <v/>
      </c>
      <c r="G418" s="11" t="str">
        <f>IFERROR(IF('ŞİKAYET KAYIT'!P418="Kapatıldı",'ŞİKAYET KAYIT'!K418,""),"")</f>
        <v/>
      </c>
      <c r="H418" s="11" t="str">
        <f>IFERROR(IF('ŞİKAYET KAYIT'!P418="Kapatıldı",'ŞİKAYET KAYIT'!L418,""),"")</f>
        <v/>
      </c>
      <c r="I418" s="11" t="str">
        <f>IFERROR(IF('ŞİKAYET KAYIT'!P418="Kapatıldı",'ŞİKAYET KAYIT'!M418,""),"")</f>
        <v/>
      </c>
      <c r="J418" s="11" t="str">
        <f>IFERROR(IF('ŞİKAYET KAYIT'!P418="Kapatıldı",'ŞİKAYET KAYIT'!N418,""),"")</f>
        <v/>
      </c>
      <c r="K418" s="11" t="str">
        <f>IFERROR(IF('ŞİKAYET KAYIT'!P418="Kapatıldı",'ŞİKAYET KAYIT'!O418,""),"")</f>
        <v/>
      </c>
      <c r="L418" s="12" t="str">
        <f>IFERROR(IF('ŞİKAYET KAYIT'!P418="Kapatıldı",'ŞİKAYET KAYIT'!Q418,""),"")</f>
        <v/>
      </c>
      <c r="M418" s="11" t="str">
        <f>IFERROR(IF('ŞİKAYET KAYIT'!P418="Kapatıldı",'ŞİKAYET KAYIT'!R418,""),"")</f>
        <v/>
      </c>
      <c r="N418" s="11"/>
    </row>
    <row r="419" spans="1:14" ht="15" customHeight="1" x14ac:dyDescent="0.3">
      <c r="A419" s="26" t="str">
        <f>IFERROR(IF('ŞİKAYET KAYIT'!P419="Kapatıldı",'ŞİKAYET KAYIT'!A419,""),"")</f>
        <v/>
      </c>
      <c r="B419" s="8" t="str">
        <f>IFERROR(IF('ŞİKAYET KAYIT'!P419="Kapatıldı",'ŞİKAYET KAYIT'!B419,""),"")</f>
        <v/>
      </c>
      <c r="C419" s="26" t="str">
        <f>IFERROR(IF('ŞİKAYET KAYIT'!P419="Kapatıldı",'ŞİKAYET KAYIT'!D419,""),"")</f>
        <v/>
      </c>
      <c r="D419" s="26" t="str">
        <f>IFERROR(IF('ŞİKAYET KAYIT'!P419="Kapatıldı",'ŞİKAYET KAYIT'!F419,""),"")</f>
        <v/>
      </c>
      <c r="E419" s="26" t="str">
        <f>IFERROR(IF('ŞİKAYET KAYIT'!P419="Kapatıldı",'ŞİKAYET KAYIT'!H419,""),"")</f>
        <v/>
      </c>
      <c r="F419" s="26" t="str">
        <f>IFERROR(IF('ŞİKAYET KAYIT'!P419="Kapatıldı",'ŞİKAYET KAYIT'!J419,""),"")</f>
        <v/>
      </c>
      <c r="G419" s="26" t="str">
        <f>IFERROR(IF('ŞİKAYET KAYIT'!P419="Kapatıldı",'ŞİKAYET KAYIT'!K419,""),"")</f>
        <v/>
      </c>
      <c r="H419" s="26" t="str">
        <f>IFERROR(IF('ŞİKAYET KAYIT'!P419="Kapatıldı",'ŞİKAYET KAYIT'!L419,""),"")</f>
        <v/>
      </c>
      <c r="I419" s="26" t="str">
        <f>IFERROR(IF('ŞİKAYET KAYIT'!P419="Kapatıldı",'ŞİKAYET KAYIT'!M419,""),"")</f>
        <v/>
      </c>
      <c r="J419" s="26" t="str">
        <f>IFERROR(IF('ŞİKAYET KAYIT'!P419="Kapatıldı",'ŞİKAYET KAYIT'!N419,""),"")</f>
        <v/>
      </c>
      <c r="K419" s="26" t="str">
        <f>IFERROR(IF('ŞİKAYET KAYIT'!P419="Kapatıldı",'ŞİKAYET KAYIT'!O419,""),"")</f>
        <v/>
      </c>
      <c r="L419" s="8" t="str">
        <f>IFERROR(IF('ŞİKAYET KAYIT'!P419="Kapatıldı",'ŞİKAYET KAYIT'!Q419,""),"")</f>
        <v/>
      </c>
      <c r="M419" s="26" t="str">
        <f>IFERROR(IF('ŞİKAYET KAYIT'!P419="Kapatıldı",'ŞİKAYET KAYIT'!R419,""),"")</f>
        <v/>
      </c>
      <c r="N419" s="26"/>
    </row>
    <row r="420" spans="1:14" ht="15" customHeight="1" x14ac:dyDescent="0.3">
      <c r="A420" s="11" t="str">
        <f>IFERROR(IF('ŞİKAYET KAYIT'!P420="Kapatıldı",'ŞİKAYET KAYIT'!A420,""),"")</f>
        <v/>
      </c>
      <c r="B420" s="12" t="str">
        <f>IFERROR(IF('ŞİKAYET KAYIT'!P420="Kapatıldı",'ŞİKAYET KAYIT'!B420,""),"")</f>
        <v/>
      </c>
      <c r="C420" s="11" t="str">
        <f>IFERROR(IF('ŞİKAYET KAYIT'!P420="Kapatıldı",'ŞİKAYET KAYIT'!D420,""),"")</f>
        <v/>
      </c>
      <c r="D420" s="11" t="str">
        <f>IFERROR(IF('ŞİKAYET KAYIT'!P420="Kapatıldı",'ŞİKAYET KAYIT'!F420,""),"")</f>
        <v/>
      </c>
      <c r="E420" s="11" t="str">
        <f>IFERROR(IF('ŞİKAYET KAYIT'!P420="Kapatıldı",'ŞİKAYET KAYIT'!H420,""),"")</f>
        <v/>
      </c>
      <c r="F420" s="11" t="str">
        <f>IFERROR(IF('ŞİKAYET KAYIT'!P420="Kapatıldı",'ŞİKAYET KAYIT'!J420,""),"")</f>
        <v/>
      </c>
      <c r="G420" s="11" t="str">
        <f>IFERROR(IF('ŞİKAYET KAYIT'!P420="Kapatıldı",'ŞİKAYET KAYIT'!K420,""),"")</f>
        <v/>
      </c>
      <c r="H420" s="11" t="str">
        <f>IFERROR(IF('ŞİKAYET KAYIT'!P420="Kapatıldı",'ŞİKAYET KAYIT'!L420,""),"")</f>
        <v/>
      </c>
      <c r="I420" s="11" t="str">
        <f>IFERROR(IF('ŞİKAYET KAYIT'!P420="Kapatıldı",'ŞİKAYET KAYIT'!M420,""),"")</f>
        <v/>
      </c>
      <c r="J420" s="11" t="str">
        <f>IFERROR(IF('ŞİKAYET KAYIT'!P420="Kapatıldı",'ŞİKAYET KAYIT'!N420,""),"")</f>
        <v/>
      </c>
      <c r="K420" s="11" t="str">
        <f>IFERROR(IF('ŞİKAYET KAYIT'!P420="Kapatıldı",'ŞİKAYET KAYIT'!O420,""),"")</f>
        <v/>
      </c>
      <c r="L420" s="12" t="str">
        <f>IFERROR(IF('ŞİKAYET KAYIT'!P420="Kapatıldı",'ŞİKAYET KAYIT'!Q420,""),"")</f>
        <v/>
      </c>
      <c r="M420" s="11" t="str">
        <f>IFERROR(IF('ŞİKAYET KAYIT'!P420="Kapatıldı",'ŞİKAYET KAYIT'!R420,""),"")</f>
        <v/>
      </c>
      <c r="N420" s="11"/>
    </row>
    <row r="421" spans="1:14" ht="15" customHeight="1" x14ac:dyDescent="0.3">
      <c r="A421" s="26" t="str">
        <f>IFERROR(IF('ŞİKAYET KAYIT'!P421="Kapatıldı",'ŞİKAYET KAYIT'!A421,""),"")</f>
        <v/>
      </c>
      <c r="B421" s="8" t="str">
        <f>IFERROR(IF('ŞİKAYET KAYIT'!P421="Kapatıldı",'ŞİKAYET KAYIT'!B421,""),"")</f>
        <v/>
      </c>
      <c r="C421" s="26" t="str">
        <f>IFERROR(IF('ŞİKAYET KAYIT'!P421="Kapatıldı",'ŞİKAYET KAYIT'!D421,""),"")</f>
        <v/>
      </c>
      <c r="D421" s="26" t="str">
        <f>IFERROR(IF('ŞİKAYET KAYIT'!P421="Kapatıldı",'ŞİKAYET KAYIT'!F421,""),"")</f>
        <v/>
      </c>
      <c r="E421" s="26" t="str">
        <f>IFERROR(IF('ŞİKAYET KAYIT'!P421="Kapatıldı",'ŞİKAYET KAYIT'!H421,""),"")</f>
        <v/>
      </c>
      <c r="F421" s="26" t="str">
        <f>IFERROR(IF('ŞİKAYET KAYIT'!P421="Kapatıldı",'ŞİKAYET KAYIT'!J421,""),"")</f>
        <v/>
      </c>
      <c r="G421" s="26" t="str">
        <f>IFERROR(IF('ŞİKAYET KAYIT'!P421="Kapatıldı",'ŞİKAYET KAYIT'!K421,""),"")</f>
        <v/>
      </c>
      <c r="H421" s="26" t="str">
        <f>IFERROR(IF('ŞİKAYET KAYIT'!P421="Kapatıldı",'ŞİKAYET KAYIT'!L421,""),"")</f>
        <v/>
      </c>
      <c r="I421" s="26" t="str">
        <f>IFERROR(IF('ŞİKAYET KAYIT'!P421="Kapatıldı",'ŞİKAYET KAYIT'!M421,""),"")</f>
        <v/>
      </c>
      <c r="J421" s="26" t="str">
        <f>IFERROR(IF('ŞİKAYET KAYIT'!P421="Kapatıldı",'ŞİKAYET KAYIT'!N421,""),"")</f>
        <v/>
      </c>
      <c r="K421" s="26" t="str">
        <f>IFERROR(IF('ŞİKAYET KAYIT'!P421="Kapatıldı",'ŞİKAYET KAYIT'!O421,""),"")</f>
        <v/>
      </c>
      <c r="L421" s="8" t="str">
        <f>IFERROR(IF('ŞİKAYET KAYIT'!P421="Kapatıldı",'ŞİKAYET KAYIT'!Q421,""),"")</f>
        <v/>
      </c>
      <c r="M421" s="26" t="str">
        <f>IFERROR(IF('ŞİKAYET KAYIT'!P421="Kapatıldı",'ŞİKAYET KAYIT'!R421,""),"")</f>
        <v/>
      </c>
      <c r="N421" s="26"/>
    </row>
    <row r="422" spans="1:14" ht="15" customHeight="1" x14ac:dyDescent="0.3">
      <c r="A422" s="11" t="str">
        <f>IFERROR(IF('ŞİKAYET KAYIT'!P422="Kapatıldı",'ŞİKAYET KAYIT'!A422,""),"")</f>
        <v/>
      </c>
      <c r="B422" s="12" t="str">
        <f>IFERROR(IF('ŞİKAYET KAYIT'!P422="Kapatıldı",'ŞİKAYET KAYIT'!B422,""),"")</f>
        <v/>
      </c>
      <c r="C422" s="11" t="str">
        <f>IFERROR(IF('ŞİKAYET KAYIT'!P422="Kapatıldı",'ŞİKAYET KAYIT'!D422,""),"")</f>
        <v/>
      </c>
      <c r="D422" s="11" t="str">
        <f>IFERROR(IF('ŞİKAYET KAYIT'!P422="Kapatıldı",'ŞİKAYET KAYIT'!F422,""),"")</f>
        <v/>
      </c>
      <c r="E422" s="11" t="str">
        <f>IFERROR(IF('ŞİKAYET KAYIT'!P422="Kapatıldı",'ŞİKAYET KAYIT'!H422,""),"")</f>
        <v/>
      </c>
      <c r="F422" s="11" t="str">
        <f>IFERROR(IF('ŞİKAYET KAYIT'!P422="Kapatıldı",'ŞİKAYET KAYIT'!J422,""),"")</f>
        <v/>
      </c>
      <c r="G422" s="11" t="str">
        <f>IFERROR(IF('ŞİKAYET KAYIT'!P422="Kapatıldı",'ŞİKAYET KAYIT'!K422,""),"")</f>
        <v/>
      </c>
      <c r="H422" s="11" t="str">
        <f>IFERROR(IF('ŞİKAYET KAYIT'!P422="Kapatıldı",'ŞİKAYET KAYIT'!L422,""),"")</f>
        <v/>
      </c>
      <c r="I422" s="11" t="str">
        <f>IFERROR(IF('ŞİKAYET KAYIT'!P422="Kapatıldı",'ŞİKAYET KAYIT'!M422,""),"")</f>
        <v/>
      </c>
      <c r="J422" s="11" t="str">
        <f>IFERROR(IF('ŞİKAYET KAYIT'!P422="Kapatıldı",'ŞİKAYET KAYIT'!N422,""),"")</f>
        <v/>
      </c>
      <c r="K422" s="11" t="str">
        <f>IFERROR(IF('ŞİKAYET KAYIT'!P422="Kapatıldı",'ŞİKAYET KAYIT'!O422,""),"")</f>
        <v/>
      </c>
      <c r="L422" s="12" t="str">
        <f>IFERROR(IF('ŞİKAYET KAYIT'!P422="Kapatıldı",'ŞİKAYET KAYIT'!Q422,""),"")</f>
        <v/>
      </c>
      <c r="M422" s="11" t="str">
        <f>IFERROR(IF('ŞİKAYET KAYIT'!P422="Kapatıldı",'ŞİKAYET KAYIT'!R422,""),"")</f>
        <v/>
      </c>
      <c r="N422" s="11"/>
    </row>
    <row r="423" spans="1:14" ht="15" customHeight="1" x14ac:dyDescent="0.3">
      <c r="A423" s="26" t="str">
        <f>IFERROR(IF('ŞİKAYET KAYIT'!P423="Kapatıldı",'ŞİKAYET KAYIT'!A423,""),"")</f>
        <v/>
      </c>
      <c r="B423" s="8" t="str">
        <f>IFERROR(IF('ŞİKAYET KAYIT'!P423="Kapatıldı",'ŞİKAYET KAYIT'!B423,""),"")</f>
        <v/>
      </c>
      <c r="C423" s="26" t="str">
        <f>IFERROR(IF('ŞİKAYET KAYIT'!P423="Kapatıldı",'ŞİKAYET KAYIT'!D423,""),"")</f>
        <v/>
      </c>
      <c r="D423" s="26" t="str">
        <f>IFERROR(IF('ŞİKAYET KAYIT'!P423="Kapatıldı",'ŞİKAYET KAYIT'!F423,""),"")</f>
        <v/>
      </c>
      <c r="E423" s="26" t="str">
        <f>IFERROR(IF('ŞİKAYET KAYIT'!P423="Kapatıldı",'ŞİKAYET KAYIT'!H423,""),"")</f>
        <v/>
      </c>
      <c r="F423" s="26" t="str">
        <f>IFERROR(IF('ŞİKAYET KAYIT'!P423="Kapatıldı",'ŞİKAYET KAYIT'!J423,""),"")</f>
        <v/>
      </c>
      <c r="G423" s="26" t="str">
        <f>IFERROR(IF('ŞİKAYET KAYIT'!P423="Kapatıldı",'ŞİKAYET KAYIT'!K423,""),"")</f>
        <v/>
      </c>
      <c r="H423" s="26" t="str">
        <f>IFERROR(IF('ŞİKAYET KAYIT'!P423="Kapatıldı",'ŞİKAYET KAYIT'!L423,""),"")</f>
        <v/>
      </c>
      <c r="I423" s="26" t="str">
        <f>IFERROR(IF('ŞİKAYET KAYIT'!P423="Kapatıldı",'ŞİKAYET KAYIT'!M423,""),"")</f>
        <v/>
      </c>
      <c r="J423" s="26" t="str">
        <f>IFERROR(IF('ŞİKAYET KAYIT'!P423="Kapatıldı",'ŞİKAYET KAYIT'!N423,""),"")</f>
        <v/>
      </c>
      <c r="K423" s="26" t="str">
        <f>IFERROR(IF('ŞİKAYET KAYIT'!P423="Kapatıldı",'ŞİKAYET KAYIT'!O423,""),"")</f>
        <v/>
      </c>
      <c r="L423" s="8" t="str">
        <f>IFERROR(IF('ŞİKAYET KAYIT'!P423="Kapatıldı",'ŞİKAYET KAYIT'!Q423,""),"")</f>
        <v/>
      </c>
      <c r="M423" s="26" t="str">
        <f>IFERROR(IF('ŞİKAYET KAYIT'!P423="Kapatıldı",'ŞİKAYET KAYIT'!R423,""),"")</f>
        <v/>
      </c>
      <c r="N423" s="26"/>
    </row>
    <row r="424" spans="1:14" ht="15" customHeight="1" x14ac:dyDescent="0.3">
      <c r="A424" s="11" t="str">
        <f>IFERROR(IF('ŞİKAYET KAYIT'!P424="Kapatıldı",'ŞİKAYET KAYIT'!A424,""),"")</f>
        <v/>
      </c>
      <c r="B424" s="12" t="str">
        <f>IFERROR(IF('ŞİKAYET KAYIT'!P424="Kapatıldı",'ŞİKAYET KAYIT'!B424,""),"")</f>
        <v/>
      </c>
      <c r="C424" s="11" t="str">
        <f>IFERROR(IF('ŞİKAYET KAYIT'!P424="Kapatıldı",'ŞİKAYET KAYIT'!D424,""),"")</f>
        <v/>
      </c>
      <c r="D424" s="11" t="str">
        <f>IFERROR(IF('ŞİKAYET KAYIT'!P424="Kapatıldı",'ŞİKAYET KAYIT'!F424,""),"")</f>
        <v/>
      </c>
      <c r="E424" s="11" t="str">
        <f>IFERROR(IF('ŞİKAYET KAYIT'!P424="Kapatıldı",'ŞİKAYET KAYIT'!H424,""),"")</f>
        <v/>
      </c>
      <c r="F424" s="11" t="str">
        <f>IFERROR(IF('ŞİKAYET KAYIT'!P424="Kapatıldı",'ŞİKAYET KAYIT'!J424,""),"")</f>
        <v/>
      </c>
      <c r="G424" s="11" t="str">
        <f>IFERROR(IF('ŞİKAYET KAYIT'!P424="Kapatıldı",'ŞİKAYET KAYIT'!K424,""),"")</f>
        <v/>
      </c>
      <c r="H424" s="11" t="str">
        <f>IFERROR(IF('ŞİKAYET KAYIT'!P424="Kapatıldı",'ŞİKAYET KAYIT'!L424,""),"")</f>
        <v/>
      </c>
      <c r="I424" s="11" t="str">
        <f>IFERROR(IF('ŞİKAYET KAYIT'!P424="Kapatıldı",'ŞİKAYET KAYIT'!M424,""),"")</f>
        <v/>
      </c>
      <c r="J424" s="11" t="str">
        <f>IFERROR(IF('ŞİKAYET KAYIT'!P424="Kapatıldı",'ŞİKAYET KAYIT'!N424,""),"")</f>
        <v/>
      </c>
      <c r="K424" s="11" t="str">
        <f>IFERROR(IF('ŞİKAYET KAYIT'!P424="Kapatıldı",'ŞİKAYET KAYIT'!O424,""),"")</f>
        <v/>
      </c>
      <c r="L424" s="12" t="str">
        <f>IFERROR(IF('ŞİKAYET KAYIT'!P424="Kapatıldı",'ŞİKAYET KAYIT'!Q424,""),"")</f>
        <v/>
      </c>
      <c r="M424" s="11" t="str">
        <f>IFERROR(IF('ŞİKAYET KAYIT'!P424="Kapatıldı",'ŞİKAYET KAYIT'!R424,""),"")</f>
        <v/>
      </c>
      <c r="N424" s="11"/>
    </row>
    <row r="425" spans="1:14" ht="15" customHeight="1" x14ac:dyDescent="0.3">
      <c r="A425" s="26" t="str">
        <f>IFERROR(IF('ŞİKAYET KAYIT'!P425="Kapatıldı",'ŞİKAYET KAYIT'!A425,""),"")</f>
        <v/>
      </c>
      <c r="B425" s="8" t="str">
        <f>IFERROR(IF('ŞİKAYET KAYIT'!P425="Kapatıldı",'ŞİKAYET KAYIT'!B425,""),"")</f>
        <v/>
      </c>
      <c r="C425" s="26" t="str">
        <f>IFERROR(IF('ŞİKAYET KAYIT'!P425="Kapatıldı",'ŞİKAYET KAYIT'!D425,""),"")</f>
        <v/>
      </c>
      <c r="D425" s="26" t="str">
        <f>IFERROR(IF('ŞİKAYET KAYIT'!P425="Kapatıldı",'ŞİKAYET KAYIT'!F425,""),"")</f>
        <v/>
      </c>
      <c r="E425" s="26" t="str">
        <f>IFERROR(IF('ŞİKAYET KAYIT'!P425="Kapatıldı",'ŞİKAYET KAYIT'!H425,""),"")</f>
        <v/>
      </c>
      <c r="F425" s="26" t="str">
        <f>IFERROR(IF('ŞİKAYET KAYIT'!P425="Kapatıldı",'ŞİKAYET KAYIT'!J425,""),"")</f>
        <v/>
      </c>
      <c r="G425" s="26" t="str">
        <f>IFERROR(IF('ŞİKAYET KAYIT'!P425="Kapatıldı",'ŞİKAYET KAYIT'!K425,""),"")</f>
        <v/>
      </c>
      <c r="H425" s="26" t="str">
        <f>IFERROR(IF('ŞİKAYET KAYIT'!P425="Kapatıldı",'ŞİKAYET KAYIT'!L425,""),"")</f>
        <v/>
      </c>
      <c r="I425" s="26" t="str">
        <f>IFERROR(IF('ŞİKAYET KAYIT'!P425="Kapatıldı",'ŞİKAYET KAYIT'!M425,""),"")</f>
        <v/>
      </c>
      <c r="J425" s="26" t="str">
        <f>IFERROR(IF('ŞİKAYET KAYIT'!P425="Kapatıldı",'ŞİKAYET KAYIT'!N425,""),"")</f>
        <v/>
      </c>
      <c r="K425" s="26" t="str">
        <f>IFERROR(IF('ŞİKAYET KAYIT'!P425="Kapatıldı",'ŞİKAYET KAYIT'!O425,""),"")</f>
        <v/>
      </c>
      <c r="L425" s="8" t="str">
        <f>IFERROR(IF('ŞİKAYET KAYIT'!P425="Kapatıldı",'ŞİKAYET KAYIT'!Q425,""),"")</f>
        <v/>
      </c>
      <c r="M425" s="26" t="str">
        <f>IFERROR(IF('ŞİKAYET KAYIT'!P425="Kapatıldı",'ŞİKAYET KAYIT'!R425,""),"")</f>
        <v/>
      </c>
      <c r="N425" s="26"/>
    </row>
    <row r="426" spans="1:14" ht="15" customHeight="1" x14ac:dyDescent="0.3">
      <c r="A426" s="11" t="str">
        <f>IFERROR(IF('ŞİKAYET KAYIT'!P426="Kapatıldı",'ŞİKAYET KAYIT'!A426,""),"")</f>
        <v/>
      </c>
      <c r="B426" s="12" t="str">
        <f>IFERROR(IF('ŞİKAYET KAYIT'!P426="Kapatıldı",'ŞİKAYET KAYIT'!B426,""),"")</f>
        <v/>
      </c>
      <c r="C426" s="11" t="str">
        <f>IFERROR(IF('ŞİKAYET KAYIT'!P426="Kapatıldı",'ŞİKAYET KAYIT'!D426,""),"")</f>
        <v/>
      </c>
      <c r="D426" s="11" t="str">
        <f>IFERROR(IF('ŞİKAYET KAYIT'!P426="Kapatıldı",'ŞİKAYET KAYIT'!F426,""),"")</f>
        <v/>
      </c>
      <c r="E426" s="11" t="str">
        <f>IFERROR(IF('ŞİKAYET KAYIT'!P426="Kapatıldı",'ŞİKAYET KAYIT'!H426,""),"")</f>
        <v/>
      </c>
      <c r="F426" s="11" t="str">
        <f>IFERROR(IF('ŞİKAYET KAYIT'!P426="Kapatıldı",'ŞİKAYET KAYIT'!J426,""),"")</f>
        <v/>
      </c>
      <c r="G426" s="11" t="str">
        <f>IFERROR(IF('ŞİKAYET KAYIT'!P426="Kapatıldı",'ŞİKAYET KAYIT'!K426,""),"")</f>
        <v/>
      </c>
      <c r="H426" s="11" t="str">
        <f>IFERROR(IF('ŞİKAYET KAYIT'!P426="Kapatıldı",'ŞİKAYET KAYIT'!L426,""),"")</f>
        <v/>
      </c>
      <c r="I426" s="11" t="str">
        <f>IFERROR(IF('ŞİKAYET KAYIT'!P426="Kapatıldı",'ŞİKAYET KAYIT'!M426,""),"")</f>
        <v/>
      </c>
      <c r="J426" s="11" t="str">
        <f>IFERROR(IF('ŞİKAYET KAYIT'!P426="Kapatıldı",'ŞİKAYET KAYIT'!N426,""),"")</f>
        <v/>
      </c>
      <c r="K426" s="11" t="str">
        <f>IFERROR(IF('ŞİKAYET KAYIT'!P426="Kapatıldı",'ŞİKAYET KAYIT'!O426,""),"")</f>
        <v/>
      </c>
      <c r="L426" s="12" t="str">
        <f>IFERROR(IF('ŞİKAYET KAYIT'!P426="Kapatıldı",'ŞİKAYET KAYIT'!Q426,""),"")</f>
        <v/>
      </c>
      <c r="M426" s="11" t="str">
        <f>IFERROR(IF('ŞİKAYET KAYIT'!P426="Kapatıldı",'ŞİKAYET KAYIT'!R426,""),"")</f>
        <v/>
      </c>
      <c r="N426" s="11"/>
    </row>
    <row r="427" spans="1:14" ht="15" customHeight="1" x14ac:dyDescent="0.3">
      <c r="A427" s="26" t="str">
        <f>IFERROR(IF('ŞİKAYET KAYIT'!P427="Kapatıldı",'ŞİKAYET KAYIT'!A427,""),"")</f>
        <v/>
      </c>
      <c r="B427" s="8" t="str">
        <f>IFERROR(IF('ŞİKAYET KAYIT'!P427="Kapatıldı",'ŞİKAYET KAYIT'!B427,""),"")</f>
        <v/>
      </c>
      <c r="C427" s="26" t="str">
        <f>IFERROR(IF('ŞİKAYET KAYIT'!P427="Kapatıldı",'ŞİKAYET KAYIT'!D427,""),"")</f>
        <v/>
      </c>
      <c r="D427" s="26" t="str">
        <f>IFERROR(IF('ŞİKAYET KAYIT'!P427="Kapatıldı",'ŞİKAYET KAYIT'!F427,""),"")</f>
        <v/>
      </c>
      <c r="E427" s="26" t="str">
        <f>IFERROR(IF('ŞİKAYET KAYIT'!P427="Kapatıldı",'ŞİKAYET KAYIT'!H427,""),"")</f>
        <v/>
      </c>
      <c r="F427" s="26" t="str">
        <f>IFERROR(IF('ŞİKAYET KAYIT'!P427="Kapatıldı",'ŞİKAYET KAYIT'!J427,""),"")</f>
        <v/>
      </c>
      <c r="G427" s="26" t="str">
        <f>IFERROR(IF('ŞİKAYET KAYIT'!P427="Kapatıldı",'ŞİKAYET KAYIT'!K427,""),"")</f>
        <v/>
      </c>
      <c r="H427" s="26" t="str">
        <f>IFERROR(IF('ŞİKAYET KAYIT'!P427="Kapatıldı",'ŞİKAYET KAYIT'!L427,""),"")</f>
        <v/>
      </c>
      <c r="I427" s="26" t="str">
        <f>IFERROR(IF('ŞİKAYET KAYIT'!P427="Kapatıldı",'ŞİKAYET KAYIT'!M427,""),"")</f>
        <v/>
      </c>
      <c r="J427" s="26" t="str">
        <f>IFERROR(IF('ŞİKAYET KAYIT'!P427="Kapatıldı",'ŞİKAYET KAYIT'!N427,""),"")</f>
        <v/>
      </c>
      <c r="K427" s="26" t="str">
        <f>IFERROR(IF('ŞİKAYET KAYIT'!P427="Kapatıldı",'ŞİKAYET KAYIT'!O427,""),"")</f>
        <v/>
      </c>
      <c r="L427" s="8" t="str">
        <f>IFERROR(IF('ŞİKAYET KAYIT'!P427="Kapatıldı",'ŞİKAYET KAYIT'!Q427,""),"")</f>
        <v/>
      </c>
      <c r="M427" s="26" t="str">
        <f>IFERROR(IF('ŞİKAYET KAYIT'!P427="Kapatıldı",'ŞİKAYET KAYIT'!R427,""),"")</f>
        <v/>
      </c>
      <c r="N427" s="26"/>
    </row>
    <row r="428" spans="1:14" ht="15" customHeight="1" x14ac:dyDescent="0.3">
      <c r="A428" s="11" t="str">
        <f>IFERROR(IF('ŞİKAYET KAYIT'!P428="Kapatıldı",'ŞİKAYET KAYIT'!A428,""),"")</f>
        <v/>
      </c>
      <c r="B428" s="12" t="str">
        <f>IFERROR(IF('ŞİKAYET KAYIT'!P428="Kapatıldı",'ŞİKAYET KAYIT'!B428,""),"")</f>
        <v/>
      </c>
      <c r="C428" s="11" t="str">
        <f>IFERROR(IF('ŞİKAYET KAYIT'!P428="Kapatıldı",'ŞİKAYET KAYIT'!D428,""),"")</f>
        <v/>
      </c>
      <c r="D428" s="11" t="str">
        <f>IFERROR(IF('ŞİKAYET KAYIT'!P428="Kapatıldı",'ŞİKAYET KAYIT'!F428,""),"")</f>
        <v/>
      </c>
      <c r="E428" s="11" t="str">
        <f>IFERROR(IF('ŞİKAYET KAYIT'!P428="Kapatıldı",'ŞİKAYET KAYIT'!H428,""),"")</f>
        <v/>
      </c>
      <c r="F428" s="11" t="str">
        <f>IFERROR(IF('ŞİKAYET KAYIT'!P428="Kapatıldı",'ŞİKAYET KAYIT'!J428,""),"")</f>
        <v/>
      </c>
      <c r="G428" s="11" t="str">
        <f>IFERROR(IF('ŞİKAYET KAYIT'!P428="Kapatıldı",'ŞİKAYET KAYIT'!K428,""),"")</f>
        <v/>
      </c>
      <c r="H428" s="11" t="str">
        <f>IFERROR(IF('ŞİKAYET KAYIT'!P428="Kapatıldı",'ŞİKAYET KAYIT'!L428,""),"")</f>
        <v/>
      </c>
      <c r="I428" s="11" t="str">
        <f>IFERROR(IF('ŞİKAYET KAYIT'!P428="Kapatıldı",'ŞİKAYET KAYIT'!M428,""),"")</f>
        <v/>
      </c>
      <c r="J428" s="11" t="str">
        <f>IFERROR(IF('ŞİKAYET KAYIT'!P428="Kapatıldı",'ŞİKAYET KAYIT'!N428,""),"")</f>
        <v/>
      </c>
      <c r="K428" s="11" t="str">
        <f>IFERROR(IF('ŞİKAYET KAYIT'!P428="Kapatıldı",'ŞİKAYET KAYIT'!O428,""),"")</f>
        <v/>
      </c>
      <c r="L428" s="12" t="str">
        <f>IFERROR(IF('ŞİKAYET KAYIT'!P428="Kapatıldı",'ŞİKAYET KAYIT'!Q428,""),"")</f>
        <v/>
      </c>
      <c r="M428" s="11" t="str">
        <f>IFERROR(IF('ŞİKAYET KAYIT'!P428="Kapatıldı",'ŞİKAYET KAYIT'!R428,""),"")</f>
        <v/>
      </c>
      <c r="N428" s="11"/>
    </row>
    <row r="429" spans="1:14" ht="15" customHeight="1" x14ac:dyDescent="0.3">
      <c r="A429" s="26" t="str">
        <f>IFERROR(IF('ŞİKAYET KAYIT'!P429="Kapatıldı",'ŞİKAYET KAYIT'!A429,""),"")</f>
        <v/>
      </c>
      <c r="B429" s="8" t="str">
        <f>IFERROR(IF('ŞİKAYET KAYIT'!P429="Kapatıldı",'ŞİKAYET KAYIT'!B429,""),"")</f>
        <v/>
      </c>
      <c r="C429" s="26" t="str">
        <f>IFERROR(IF('ŞİKAYET KAYIT'!P429="Kapatıldı",'ŞİKAYET KAYIT'!D429,""),"")</f>
        <v/>
      </c>
      <c r="D429" s="26" t="str">
        <f>IFERROR(IF('ŞİKAYET KAYIT'!P429="Kapatıldı",'ŞİKAYET KAYIT'!F429,""),"")</f>
        <v/>
      </c>
      <c r="E429" s="26" t="str">
        <f>IFERROR(IF('ŞİKAYET KAYIT'!P429="Kapatıldı",'ŞİKAYET KAYIT'!H429,""),"")</f>
        <v/>
      </c>
      <c r="F429" s="26" t="str">
        <f>IFERROR(IF('ŞİKAYET KAYIT'!P429="Kapatıldı",'ŞİKAYET KAYIT'!J429,""),"")</f>
        <v/>
      </c>
      <c r="G429" s="26" t="str">
        <f>IFERROR(IF('ŞİKAYET KAYIT'!P429="Kapatıldı",'ŞİKAYET KAYIT'!K429,""),"")</f>
        <v/>
      </c>
      <c r="H429" s="26" t="str">
        <f>IFERROR(IF('ŞİKAYET KAYIT'!P429="Kapatıldı",'ŞİKAYET KAYIT'!L429,""),"")</f>
        <v/>
      </c>
      <c r="I429" s="26" t="str">
        <f>IFERROR(IF('ŞİKAYET KAYIT'!P429="Kapatıldı",'ŞİKAYET KAYIT'!M429,""),"")</f>
        <v/>
      </c>
      <c r="J429" s="26" t="str">
        <f>IFERROR(IF('ŞİKAYET KAYIT'!P429="Kapatıldı",'ŞİKAYET KAYIT'!N429,""),"")</f>
        <v/>
      </c>
      <c r="K429" s="26" t="str">
        <f>IFERROR(IF('ŞİKAYET KAYIT'!P429="Kapatıldı",'ŞİKAYET KAYIT'!O429,""),"")</f>
        <v/>
      </c>
      <c r="L429" s="8" t="str">
        <f>IFERROR(IF('ŞİKAYET KAYIT'!P429="Kapatıldı",'ŞİKAYET KAYIT'!Q429,""),"")</f>
        <v/>
      </c>
      <c r="M429" s="26" t="str">
        <f>IFERROR(IF('ŞİKAYET KAYIT'!P429="Kapatıldı",'ŞİKAYET KAYIT'!R429,""),"")</f>
        <v/>
      </c>
      <c r="N429" s="26"/>
    </row>
    <row r="430" spans="1:14" ht="15" customHeight="1" x14ac:dyDescent="0.3">
      <c r="A430" s="11" t="str">
        <f>IFERROR(IF('ŞİKAYET KAYIT'!P430="Kapatıldı",'ŞİKAYET KAYIT'!A430,""),"")</f>
        <v/>
      </c>
      <c r="B430" s="12" t="str">
        <f>IFERROR(IF('ŞİKAYET KAYIT'!P430="Kapatıldı",'ŞİKAYET KAYIT'!B430,""),"")</f>
        <v/>
      </c>
      <c r="C430" s="11" t="str">
        <f>IFERROR(IF('ŞİKAYET KAYIT'!P430="Kapatıldı",'ŞİKAYET KAYIT'!D430,""),"")</f>
        <v/>
      </c>
      <c r="D430" s="11" t="str">
        <f>IFERROR(IF('ŞİKAYET KAYIT'!P430="Kapatıldı",'ŞİKAYET KAYIT'!F430,""),"")</f>
        <v/>
      </c>
      <c r="E430" s="11" t="str">
        <f>IFERROR(IF('ŞİKAYET KAYIT'!P430="Kapatıldı",'ŞİKAYET KAYIT'!H430,""),"")</f>
        <v/>
      </c>
      <c r="F430" s="11" t="str">
        <f>IFERROR(IF('ŞİKAYET KAYIT'!P430="Kapatıldı",'ŞİKAYET KAYIT'!J430,""),"")</f>
        <v/>
      </c>
      <c r="G430" s="11" t="str">
        <f>IFERROR(IF('ŞİKAYET KAYIT'!P430="Kapatıldı",'ŞİKAYET KAYIT'!K430,""),"")</f>
        <v/>
      </c>
      <c r="H430" s="11" t="str">
        <f>IFERROR(IF('ŞİKAYET KAYIT'!P430="Kapatıldı",'ŞİKAYET KAYIT'!L430,""),"")</f>
        <v/>
      </c>
      <c r="I430" s="11" t="str">
        <f>IFERROR(IF('ŞİKAYET KAYIT'!P430="Kapatıldı",'ŞİKAYET KAYIT'!M430,""),"")</f>
        <v/>
      </c>
      <c r="J430" s="11" t="str">
        <f>IFERROR(IF('ŞİKAYET KAYIT'!P430="Kapatıldı",'ŞİKAYET KAYIT'!N430,""),"")</f>
        <v/>
      </c>
      <c r="K430" s="11" t="str">
        <f>IFERROR(IF('ŞİKAYET KAYIT'!P430="Kapatıldı",'ŞİKAYET KAYIT'!O430,""),"")</f>
        <v/>
      </c>
      <c r="L430" s="12" t="str">
        <f>IFERROR(IF('ŞİKAYET KAYIT'!P430="Kapatıldı",'ŞİKAYET KAYIT'!Q430,""),"")</f>
        <v/>
      </c>
      <c r="M430" s="11" t="str">
        <f>IFERROR(IF('ŞİKAYET KAYIT'!P430="Kapatıldı",'ŞİKAYET KAYIT'!R430,""),"")</f>
        <v/>
      </c>
      <c r="N430" s="11"/>
    </row>
    <row r="431" spans="1:14" ht="15" customHeight="1" x14ac:dyDescent="0.3">
      <c r="A431" s="26" t="str">
        <f>IFERROR(IF('ŞİKAYET KAYIT'!P431="Kapatıldı",'ŞİKAYET KAYIT'!A431,""),"")</f>
        <v/>
      </c>
      <c r="B431" s="8" t="str">
        <f>IFERROR(IF('ŞİKAYET KAYIT'!P431="Kapatıldı",'ŞİKAYET KAYIT'!B431,""),"")</f>
        <v/>
      </c>
      <c r="C431" s="26" t="str">
        <f>IFERROR(IF('ŞİKAYET KAYIT'!P431="Kapatıldı",'ŞİKAYET KAYIT'!D431,""),"")</f>
        <v/>
      </c>
      <c r="D431" s="26" t="str">
        <f>IFERROR(IF('ŞİKAYET KAYIT'!P431="Kapatıldı",'ŞİKAYET KAYIT'!F431,""),"")</f>
        <v/>
      </c>
      <c r="E431" s="26" t="str">
        <f>IFERROR(IF('ŞİKAYET KAYIT'!P431="Kapatıldı",'ŞİKAYET KAYIT'!H431,""),"")</f>
        <v/>
      </c>
      <c r="F431" s="26" t="str">
        <f>IFERROR(IF('ŞİKAYET KAYIT'!P431="Kapatıldı",'ŞİKAYET KAYIT'!J431,""),"")</f>
        <v/>
      </c>
      <c r="G431" s="26" t="str">
        <f>IFERROR(IF('ŞİKAYET KAYIT'!P431="Kapatıldı",'ŞİKAYET KAYIT'!K431,""),"")</f>
        <v/>
      </c>
      <c r="H431" s="26" t="str">
        <f>IFERROR(IF('ŞİKAYET KAYIT'!P431="Kapatıldı",'ŞİKAYET KAYIT'!L431,""),"")</f>
        <v/>
      </c>
      <c r="I431" s="26" t="str">
        <f>IFERROR(IF('ŞİKAYET KAYIT'!P431="Kapatıldı",'ŞİKAYET KAYIT'!M431,""),"")</f>
        <v/>
      </c>
      <c r="J431" s="26" t="str">
        <f>IFERROR(IF('ŞİKAYET KAYIT'!P431="Kapatıldı",'ŞİKAYET KAYIT'!N431,""),"")</f>
        <v/>
      </c>
      <c r="K431" s="26" t="str">
        <f>IFERROR(IF('ŞİKAYET KAYIT'!P431="Kapatıldı",'ŞİKAYET KAYIT'!O431,""),"")</f>
        <v/>
      </c>
      <c r="L431" s="8" t="str">
        <f>IFERROR(IF('ŞİKAYET KAYIT'!P431="Kapatıldı",'ŞİKAYET KAYIT'!Q431,""),"")</f>
        <v/>
      </c>
      <c r="M431" s="26" t="str">
        <f>IFERROR(IF('ŞİKAYET KAYIT'!P431="Kapatıldı",'ŞİKAYET KAYIT'!R431,""),"")</f>
        <v/>
      </c>
      <c r="N431" s="26"/>
    </row>
    <row r="432" spans="1:14" ht="15" customHeight="1" x14ac:dyDescent="0.3">
      <c r="A432" s="11" t="str">
        <f>IFERROR(IF('ŞİKAYET KAYIT'!P432="Kapatıldı",'ŞİKAYET KAYIT'!A432,""),"")</f>
        <v/>
      </c>
      <c r="B432" s="12" t="str">
        <f>IFERROR(IF('ŞİKAYET KAYIT'!P432="Kapatıldı",'ŞİKAYET KAYIT'!B432,""),"")</f>
        <v/>
      </c>
      <c r="C432" s="11" t="str">
        <f>IFERROR(IF('ŞİKAYET KAYIT'!P432="Kapatıldı",'ŞİKAYET KAYIT'!D432,""),"")</f>
        <v/>
      </c>
      <c r="D432" s="11" t="str">
        <f>IFERROR(IF('ŞİKAYET KAYIT'!P432="Kapatıldı",'ŞİKAYET KAYIT'!F432,""),"")</f>
        <v/>
      </c>
      <c r="E432" s="11" t="str">
        <f>IFERROR(IF('ŞİKAYET KAYIT'!P432="Kapatıldı",'ŞİKAYET KAYIT'!H432,""),"")</f>
        <v/>
      </c>
      <c r="F432" s="11" t="str">
        <f>IFERROR(IF('ŞİKAYET KAYIT'!P432="Kapatıldı",'ŞİKAYET KAYIT'!J432,""),"")</f>
        <v/>
      </c>
      <c r="G432" s="11" t="str">
        <f>IFERROR(IF('ŞİKAYET KAYIT'!P432="Kapatıldı",'ŞİKAYET KAYIT'!K432,""),"")</f>
        <v/>
      </c>
      <c r="H432" s="11" t="str">
        <f>IFERROR(IF('ŞİKAYET KAYIT'!P432="Kapatıldı",'ŞİKAYET KAYIT'!L432,""),"")</f>
        <v/>
      </c>
      <c r="I432" s="11" t="str">
        <f>IFERROR(IF('ŞİKAYET KAYIT'!P432="Kapatıldı",'ŞİKAYET KAYIT'!M432,""),"")</f>
        <v/>
      </c>
      <c r="J432" s="11" t="str">
        <f>IFERROR(IF('ŞİKAYET KAYIT'!P432="Kapatıldı",'ŞİKAYET KAYIT'!N432,""),"")</f>
        <v/>
      </c>
      <c r="K432" s="11" t="str">
        <f>IFERROR(IF('ŞİKAYET KAYIT'!P432="Kapatıldı",'ŞİKAYET KAYIT'!O432,""),"")</f>
        <v/>
      </c>
      <c r="L432" s="12" t="str">
        <f>IFERROR(IF('ŞİKAYET KAYIT'!P432="Kapatıldı",'ŞİKAYET KAYIT'!Q432,""),"")</f>
        <v/>
      </c>
      <c r="M432" s="11" t="str">
        <f>IFERROR(IF('ŞİKAYET KAYIT'!P432="Kapatıldı",'ŞİKAYET KAYIT'!R432,""),"")</f>
        <v/>
      </c>
      <c r="N432" s="11"/>
    </row>
    <row r="433" spans="1:14" ht="15" customHeight="1" x14ac:dyDescent="0.3">
      <c r="A433" s="26" t="str">
        <f>IFERROR(IF('ŞİKAYET KAYIT'!P433="Kapatıldı",'ŞİKAYET KAYIT'!A433,""),"")</f>
        <v/>
      </c>
      <c r="B433" s="8" t="str">
        <f>IFERROR(IF('ŞİKAYET KAYIT'!P433="Kapatıldı",'ŞİKAYET KAYIT'!B433,""),"")</f>
        <v/>
      </c>
      <c r="C433" s="26" t="str">
        <f>IFERROR(IF('ŞİKAYET KAYIT'!P433="Kapatıldı",'ŞİKAYET KAYIT'!D433,""),"")</f>
        <v/>
      </c>
      <c r="D433" s="26" t="str">
        <f>IFERROR(IF('ŞİKAYET KAYIT'!P433="Kapatıldı",'ŞİKAYET KAYIT'!F433,""),"")</f>
        <v/>
      </c>
      <c r="E433" s="26" t="str">
        <f>IFERROR(IF('ŞİKAYET KAYIT'!P433="Kapatıldı",'ŞİKAYET KAYIT'!H433,""),"")</f>
        <v/>
      </c>
      <c r="F433" s="26" t="str">
        <f>IFERROR(IF('ŞİKAYET KAYIT'!P433="Kapatıldı",'ŞİKAYET KAYIT'!J433,""),"")</f>
        <v/>
      </c>
      <c r="G433" s="26" t="str">
        <f>IFERROR(IF('ŞİKAYET KAYIT'!P433="Kapatıldı",'ŞİKAYET KAYIT'!K433,""),"")</f>
        <v/>
      </c>
      <c r="H433" s="26" t="str">
        <f>IFERROR(IF('ŞİKAYET KAYIT'!P433="Kapatıldı",'ŞİKAYET KAYIT'!L433,""),"")</f>
        <v/>
      </c>
      <c r="I433" s="26" t="str">
        <f>IFERROR(IF('ŞİKAYET KAYIT'!P433="Kapatıldı",'ŞİKAYET KAYIT'!M433,""),"")</f>
        <v/>
      </c>
      <c r="J433" s="26" t="str">
        <f>IFERROR(IF('ŞİKAYET KAYIT'!P433="Kapatıldı",'ŞİKAYET KAYIT'!N433,""),"")</f>
        <v/>
      </c>
      <c r="K433" s="26" t="str">
        <f>IFERROR(IF('ŞİKAYET KAYIT'!P433="Kapatıldı",'ŞİKAYET KAYIT'!O433,""),"")</f>
        <v/>
      </c>
      <c r="L433" s="8" t="str">
        <f>IFERROR(IF('ŞİKAYET KAYIT'!P433="Kapatıldı",'ŞİKAYET KAYIT'!Q433,""),"")</f>
        <v/>
      </c>
      <c r="M433" s="26" t="str">
        <f>IFERROR(IF('ŞİKAYET KAYIT'!P433="Kapatıldı",'ŞİKAYET KAYIT'!R433,""),"")</f>
        <v/>
      </c>
      <c r="N433" s="26"/>
    </row>
    <row r="434" spans="1:14" ht="15" customHeight="1" x14ac:dyDescent="0.3">
      <c r="A434" s="11" t="str">
        <f>IFERROR(IF('ŞİKAYET KAYIT'!P434="Kapatıldı",'ŞİKAYET KAYIT'!A434,""),"")</f>
        <v/>
      </c>
      <c r="B434" s="12" t="str">
        <f>IFERROR(IF('ŞİKAYET KAYIT'!P434="Kapatıldı",'ŞİKAYET KAYIT'!B434,""),"")</f>
        <v/>
      </c>
      <c r="C434" s="11" t="str">
        <f>IFERROR(IF('ŞİKAYET KAYIT'!P434="Kapatıldı",'ŞİKAYET KAYIT'!D434,""),"")</f>
        <v/>
      </c>
      <c r="D434" s="11" t="str">
        <f>IFERROR(IF('ŞİKAYET KAYIT'!P434="Kapatıldı",'ŞİKAYET KAYIT'!F434,""),"")</f>
        <v/>
      </c>
      <c r="E434" s="11" t="str">
        <f>IFERROR(IF('ŞİKAYET KAYIT'!P434="Kapatıldı",'ŞİKAYET KAYIT'!H434,""),"")</f>
        <v/>
      </c>
      <c r="F434" s="11" t="str">
        <f>IFERROR(IF('ŞİKAYET KAYIT'!P434="Kapatıldı",'ŞİKAYET KAYIT'!J434,""),"")</f>
        <v/>
      </c>
      <c r="G434" s="11" t="str">
        <f>IFERROR(IF('ŞİKAYET KAYIT'!P434="Kapatıldı",'ŞİKAYET KAYIT'!K434,""),"")</f>
        <v/>
      </c>
      <c r="H434" s="11" t="str">
        <f>IFERROR(IF('ŞİKAYET KAYIT'!P434="Kapatıldı",'ŞİKAYET KAYIT'!L434,""),"")</f>
        <v/>
      </c>
      <c r="I434" s="11" t="str">
        <f>IFERROR(IF('ŞİKAYET KAYIT'!P434="Kapatıldı",'ŞİKAYET KAYIT'!M434,""),"")</f>
        <v/>
      </c>
      <c r="J434" s="11" t="str">
        <f>IFERROR(IF('ŞİKAYET KAYIT'!P434="Kapatıldı",'ŞİKAYET KAYIT'!N434,""),"")</f>
        <v/>
      </c>
      <c r="K434" s="11" t="str">
        <f>IFERROR(IF('ŞİKAYET KAYIT'!P434="Kapatıldı",'ŞİKAYET KAYIT'!O434,""),"")</f>
        <v/>
      </c>
      <c r="L434" s="12" t="str">
        <f>IFERROR(IF('ŞİKAYET KAYIT'!P434="Kapatıldı",'ŞİKAYET KAYIT'!Q434,""),"")</f>
        <v/>
      </c>
      <c r="M434" s="11" t="str">
        <f>IFERROR(IF('ŞİKAYET KAYIT'!P434="Kapatıldı",'ŞİKAYET KAYIT'!R434,""),"")</f>
        <v/>
      </c>
      <c r="N434" s="11"/>
    </row>
    <row r="435" spans="1:14" ht="15" customHeight="1" x14ac:dyDescent="0.3">
      <c r="A435" s="26" t="str">
        <f>IFERROR(IF('ŞİKAYET KAYIT'!P435="Kapatıldı",'ŞİKAYET KAYIT'!A435,""),"")</f>
        <v/>
      </c>
      <c r="B435" s="8" t="str">
        <f>IFERROR(IF('ŞİKAYET KAYIT'!P435="Kapatıldı",'ŞİKAYET KAYIT'!B435,""),"")</f>
        <v/>
      </c>
      <c r="C435" s="26" t="str">
        <f>IFERROR(IF('ŞİKAYET KAYIT'!P435="Kapatıldı",'ŞİKAYET KAYIT'!D435,""),"")</f>
        <v/>
      </c>
      <c r="D435" s="26" t="str">
        <f>IFERROR(IF('ŞİKAYET KAYIT'!P435="Kapatıldı",'ŞİKAYET KAYIT'!F435,""),"")</f>
        <v/>
      </c>
      <c r="E435" s="26" t="str">
        <f>IFERROR(IF('ŞİKAYET KAYIT'!P435="Kapatıldı",'ŞİKAYET KAYIT'!H435,""),"")</f>
        <v/>
      </c>
      <c r="F435" s="26" t="str">
        <f>IFERROR(IF('ŞİKAYET KAYIT'!P435="Kapatıldı",'ŞİKAYET KAYIT'!J435,""),"")</f>
        <v/>
      </c>
      <c r="G435" s="26" t="str">
        <f>IFERROR(IF('ŞİKAYET KAYIT'!P435="Kapatıldı",'ŞİKAYET KAYIT'!K435,""),"")</f>
        <v/>
      </c>
      <c r="H435" s="26" t="str">
        <f>IFERROR(IF('ŞİKAYET KAYIT'!P435="Kapatıldı",'ŞİKAYET KAYIT'!L435,""),"")</f>
        <v/>
      </c>
      <c r="I435" s="26" t="str">
        <f>IFERROR(IF('ŞİKAYET KAYIT'!P435="Kapatıldı",'ŞİKAYET KAYIT'!M435,""),"")</f>
        <v/>
      </c>
      <c r="J435" s="26" t="str">
        <f>IFERROR(IF('ŞİKAYET KAYIT'!P435="Kapatıldı",'ŞİKAYET KAYIT'!N435,""),"")</f>
        <v/>
      </c>
      <c r="K435" s="26" t="str">
        <f>IFERROR(IF('ŞİKAYET KAYIT'!P435="Kapatıldı",'ŞİKAYET KAYIT'!O435,""),"")</f>
        <v/>
      </c>
      <c r="L435" s="8" t="str">
        <f>IFERROR(IF('ŞİKAYET KAYIT'!P435="Kapatıldı",'ŞİKAYET KAYIT'!Q435,""),"")</f>
        <v/>
      </c>
      <c r="M435" s="26" t="str">
        <f>IFERROR(IF('ŞİKAYET KAYIT'!P435="Kapatıldı",'ŞİKAYET KAYIT'!R435,""),"")</f>
        <v/>
      </c>
      <c r="N435" s="26"/>
    </row>
    <row r="436" spans="1:14" ht="15" customHeight="1" x14ac:dyDescent="0.3">
      <c r="A436" s="11" t="str">
        <f>IFERROR(IF('ŞİKAYET KAYIT'!P436="Kapatıldı",'ŞİKAYET KAYIT'!A436,""),"")</f>
        <v/>
      </c>
      <c r="B436" s="12" t="str">
        <f>IFERROR(IF('ŞİKAYET KAYIT'!P436="Kapatıldı",'ŞİKAYET KAYIT'!B436,""),"")</f>
        <v/>
      </c>
      <c r="C436" s="11" t="str">
        <f>IFERROR(IF('ŞİKAYET KAYIT'!P436="Kapatıldı",'ŞİKAYET KAYIT'!D436,""),"")</f>
        <v/>
      </c>
      <c r="D436" s="11" t="str">
        <f>IFERROR(IF('ŞİKAYET KAYIT'!P436="Kapatıldı",'ŞİKAYET KAYIT'!F436,""),"")</f>
        <v/>
      </c>
      <c r="E436" s="11" t="str">
        <f>IFERROR(IF('ŞİKAYET KAYIT'!P436="Kapatıldı",'ŞİKAYET KAYIT'!H436,""),"")</f>
        <v/>
      </c>
      <c r="F436" s="11" t="str">
        <f>IFERROR(IF('ŞİKAYET KAYIT'!P436="Kapatıldı",'ŞİKAYET KAYIT'!J436,""),"")</f>
        <v/>
      </c>
      <c r="G436" s="11" t="str">
        <f>IFERROR(IF('ŞİKAYET KAYIT'!P436="Kapatıldı",'ŞİKAYET KAYIT'!K436,""),"")</f>
        <v/>
      </c>
      <c r="H436" s="11" t="str">
        <f>IFERROR(IF('ŞİKAYET KAYIT'!P436="Kapatıldı",'ŞİKAYET KAYIT'!L436,""),"")</f>
        <v/>
      </c>
      <c r="I436" s="11" t="str">
        <f>IFERROR(IF('ŞİKAYET KAYIT'!P436="Kapatıldı",'ŞİKAYET KAYIT'!M436,""),"")</f>
        <v/>
      </c>
      <c r="J436" s="11" t="str">
        <f>IFERROR(IF('ŞİKAYET KAYIT'!P436="Kapatıldı",'ŞİKAYET KAYIT'!N436,""),"")</f>
        <v/>
      </c>
      <c r="K436" s="11" t="str">
        <f>IFERROR(IF('ŞİKAYET KAYIT'!P436="Kapatıldı",'ŞİKAYET KAYIT'!O436,""),"")</f>
        <v/>
      </c>
      <c r="L436" s="12" t="str">
        <f>IFERROR(IF('ŞİKAYET KAYIT'!P436="Kapatıldı",'ŞİKAYET KAYIT'!Q436,""),"")</f>
        <v/>
      </c>
      <c r="M436" s="11" t="str">
        <f>IFERROR(IF('ŞİKAYET KAYIT'!P436="Kapatıldı",'ŞİKAYET KAYIT'!R436,""),"")</f>
        <v/>
      </c>
      <c r="N436" s="11"/>
    </row>
    <row r="437" spans="1:14" ht="15" customHeight="1" x14ac:dyDescent="0.3">
      <c r="A437" s="26" t="str">
        <f>IFERROR(IF('ŞİKAYET KAYIT'!P437="Kapatıldı",'ŞİKAYET KAYIT'!A437,""),"")</f>
        <v/>
      </c>
      <c r="B437" s="8" t="str">
        <f>IFERROR(IF('ŞİKAYET KAYIT'!P437="Kapatıldı",'ŞİKAYET KAYIT'!B437,""),"")</f>
        <v/>
      </c>
      <c r="C437" s="26" t="str">
        <f>IFERROR(IF('ŞİKAYET KAYIT'!P437="Kapatıldı",'ŞİKAYET KAYIT'!D437,""),"")</f>
        <v/>
      </c>
      <c r="D437" s="26" t="str">
        <f>IFERROR(IF('ŞİKAYET KAYIT'!P437="Kapatıldı",'ŞİKAYET KAYIT'!F437,""),"")</f>
        <v/>
      </c>
      <c r="E437" s="26" t="str">
        <f>IFERROR(IF('ŞİKAYET KAYIT'!P437="Kapatıldı",'ŞİKAYET KAYIT'!H437,""),"")</f>
        <v/>
      </c>
      <c r="F437" s="26" t="str">
        <f>IFERROR(IF('ŞİKAYET KAYIT'!P437="Kapatıldı",'ŞİKAYET KAYIT'!J437,""),"")</f>
        <v/>
      </c>
      <c r="G437" s="26" t="str">
        <f>IFERROR(IF('ŞİKAYET KAYIT'!P437="Kapatıldı",'ŞİKAYET KAYIT'!K437,""),"")</f>
        <v/>
      </c>
      <c r="H437" s="26" t="str">
        <f>IFERROR(IF('ŞİKAYET KAYIT'!P437="Kapatıldı",'ŞİKAYET KAYIT'!L437,""),"")</f>
        <v/>
      </c>
      <c r="I437" s="26" t="str">
        <f>IFERROR(IF('ŞİKAYET KAYIT'!P437="Kapatıldı",'ŞİKAYET KAYIT'!M437,""),"")</f>
        <v/>
      </c>
      <c r="J437" s="26" t="str">
        <f>IFERROR(IF('ŞİKAYET KAYIT'!P437="Kapatıldı",'ŞİKAYET KAYIT'!N437,""),"")</f>
        <v/>
      </c>
      <c r="K437" s="26" t="str">
        <f>IFERROR(IF('ŞİKAYET KAYIT'!P437="Kapatıldı",'ŞİKAYET KAYIT'!O437,""),"")</f>
        <v/>
      </c>
      <c r="L437" s="8" t="str">
        <f>IFERROR(IF('ŞİKAYET KAYIT'!P437="Kapatıldı",'ŞİKAYET KAYIT'!Q437,""),"")</f>
        <v/>
      </c>
      <c r="M437" s="26" t="str">
        <f>IFERROR(IF('ŞİKAYET KAYIT'!P437="Kapatıldı",'ŞİKAYET KAYIT'!R437,""),"")</f>
        <v/>
      </c>
      <c r="N437" s="26"/>
    </row>
    <row r="438" spans="1:14" ht="15" customHeight="1" x14ac:dyDescent="0.3">
      <c r="A438" s="11" t="str">
        <f>IFERROR(IF('ŞİKAYET KAYIT'!P438="Kapatıldı",'ŞİKAYET KAYIT'!A438,""),"")</f>
        <v/>
      </c>
      <c r="B438" s="12" t="str">
        <f>IFERROR(IF('ŞİKAYET KAYIT'!P438="Kapatıldı",'ŞİKAYET KAYIT'!B438,""),"")</f>
        <v/>
      </c>
      <c r="C438" s="11" t="str">
        <f>IFERROR(IF('ŞİKAYET KAYIT'!P438="Kapatıldı",'ŞİKAYET KAYIT'!D438,""),"")</f>
        <v/>
      </c>
      <c r="D438" s="11" t="str">
        <f>IFERROR(IF('ŞİKAYET KAYIT'!P438="Kapatıldı",'ŞİKAYET KAYIT'!F438,""),"")</f>
        <v/>
      </c>
      <c r="E438" s="11" t="str">
        <f>IFERROR(IF('ŞİKAYET KAYIT'!P438="Kapatıldı",'ŞİKAYET KAYIT'!H438,""),"")</f>
        <v/>
      </c>
      <c r="F438" s="11" t="str">
        <f>IFERROR(IF('ŞİKAYET KAYIT'!P438="Kapatıldı",'ŞİKAYET KAYIT'!J438,""),"")</f>
        <v/>
      </c>
      <c r="G438" s="11" t="str">
        <f>IFERROR(IF('ŞİKAYET KAYIT'!P438="Kapatıldı",'ŞİKAYET KAYIT'!K438,""),"")</f>
        <v/>
      </c>
      <c r="H438" s="11" t="str">
        <f>IFERROR(IF('ŞİKAYET KAYIT'!P438="Kapatıldı",'ŞİKAYET KAYIT'!L438,""),"")</f>
        <v/>
      </c>
      <c r="I438" s="11" t="str">
        <f>IFERROR(IF('ŞİKAYET KAYIT'!P438="Kapatıldı",'ŞİKAYET KAYIT'!M438,""),"")</f>
        <v/>
      </c>
      <c r="J438" s="11" t="str">
        <f>IFERROR(IF('ŞİKAYET KAYIT'!P438="Kapatıldı",'ŞİKAYET KAYIT'!N438,""),"")</f>
        <v/>
      </c>
      <c r="K438" s="11" t="str">
        <f>IFERROR(IF('ŞİKAYET KAYIT'!P438="Kapatıldı",'ŞİKAYET KAYIT'!O438,""),"")</f>
        <v/>
      </c>
      <c r="L438" s="12" t="str">
        <f>IFERROR(IF('ŞİKAYET KAYIT'!P438="Kapatıldı",'ŞİKAYET KAYIT'!Q438,""),"")</f>
        <v/>
      </c>
      <c r="M438" s="11" t="str">
        <f>IFERROR(IF('ŞİKAYET KAYIT'!P438="Kapatıldı",'ŞİKAYET KAYIT'!R438,""),"")</f>
        <v/>
      </c>
      <c r="N438" s="11"/>
    </row>
    <row r="439" spans="1:14" ht="15" customHeight="1" x14ac:dyDescent="0.3">
      <c r="A439" s="26" t="str">
        <f>IFERROR(IF('ŞİKAYET KAYIT'!P439="Kapatıldı",'ŞİKAYET KAYIT'!A439,""),"")</f>
        <v/>
      </c>
      <c r="B439" s="8" t="str">
        <f>IFERROR(IF('ŞİKAYET KAYIT'!P439="Kapatıldı",'ŞİKAYET KAYIT'!B439,""),"")</f>
        <v/>
      </c>
      <c r="C439" s="26" t="str">
        <f>IFERROR(IF('ŞİKAYET KAYIT'!P439="Kapatıldı",'ŞİKAYET KAYIT'!D439,""),"")</f>
        <v/>
      </c>
      <c r="D439" s="26" t="str">
        <f>IFERROR(IF('ŞİKAYET KAYIT'!P439="Kapatıldı",'ŞİKAYET KAYIT'!F439,""),"")</f>
        <v/>
      </c>
      <c r="E439" s="26" t="str">
        <f>IFERROR(IF('ŞİKAYET KAYIT'!P439="Kapatıldı",'ŞİKAYET KAYIT'!H439,""),"")</f>
        <v/>
      </c>
      <c r="F439" s="26" t="str">
        <f>IFERROR(IF('ŞİKAYET KAYIT'!P439="Kapatıldı",'ŞİKAYET KAYIT'!J439,""),"")</f>
        <v/>
      </c>
      <c r="G439" s="26" t="str">
        <f>IFERROR(IF('ŞİKAYET KAYIT'!P439="Kapatıldı",'ŞİKAYET KAYIT'!K439,""),"")</f>
        <v/>
      </c>
      <c r="H439" s="26" t="str">
        <f>IFERROR(IF('ŞİKAYET KAYIT'!P439="Kapatıldı",'ŞİKAYET KAYIT'!L439,""),"")</f>
        <v/>
      </c>
      <c r="I439" s="26" t="str">
        <f>IFERROR(IF('ŞİKAYET KAYIT'!P439="Kapatıldı",'ŞİKAYET KAYIT'!M439,""),"")</f>
        <v/>
      </c>
      <c r="J439" s="26" t="str">
        <f>IFERROR(IF('ŞİKAYET KAYIT'!P439="Kapatıldı",'ŞİKAYET KAYIT'!N439,""),"")</f>
        <v/>
      </c>
      <c r="K439" s="26" t="str">
        <f>IFERROR(IF('ŞİKAYET KAYIT'!P439="Kapatıldı",'ŞİKAYET KAYIT'!O439,""),"")</f>
        <v/>
      </c>
      <c r="L439" s="8" t="str">
        <f>IFERROR(IF('ŞİKAYET KAYIT'!P439="Kapatıldı",'ŞİKAYET KAYIT'!Q439,""),"")</f>
        <v/>
      </c>
      <c r="M439" s="26" t="str">
        <f>IFERROR(IF('ŞİKAYET KAYIT'!P439="Kapatıldı",'ŞİKAYET KAYIT'!R439,""),"")</f>
        <v/>
      </c>
      <c r="N439" s="26"/>
    </row>
    <row r="440" spans="1:14" ht="15" customHeight="1" x14ac:dyDescent="0.3">
      <c r="A440" s="11" t="str">
        <f>IFERROR(IF('ŞİKAYET KAYIT'!P440="Kapatıldı",'ŞİKAYET KAYIT'!A440,""),"")</f>
        <v/>
      </c>
      <c r="B440" s="12" t="str">
        <f>IFERROR(IF('ŞİKAYET KAYIT'!P440="Kapatıldı",'ŞİKAYET KAYIT'!B440,""),"")</f>
        <v/>
      </c>
      <c r="C440" s="11" t="str">
        <f>IFERROR(IF('ŞİKAYET KAYIT'!P440="Kapatıldı",'ŞİKAYET KAYIT'!D440,""),"")</f>
        <v/>
      </c>
      <c r="D440" s="11" t="str">
        <f>IFERROR(IF('ŞİKAYET KAYIT'!P440="Kapatıldı",'ŞİKAYET KAYIT'!F440,""),"")</f>
        <v/>
      </c>
      <c r="E440" s="11" t="str">
        <f>IFERROR(IF('ŞİKAYET KAYIT'!P440="Kapatıldı",'ŞİKAYET KAYIT'!H440,""),"")</f>
        <v/>
      </c>
      <c r="F440" s="11" t="str">
        <f>IFERROR(IF('ŞİKAYET KAYIT'!P440="Kapatıldı",'ŞİKAYET KAYIT'!J440,""),"")</f>
        <v/>
      </c>
      <c r="G440" s="11" t="str">
        <f>IFERROR(IF('ŞİKAYET KAYIT'!P440="Kapatıldı",'ŞİKAYET KAYIT'!K440,""),"")</f>
        <v/>
      </c>
      <c r="H440" s="11" t="str">
        <f>IFERROR(IF('ŞİKAYET KAYIT'!P440="Kapatıldı",'ŞİKAYET KAYIT'!L440,""),"")</f>
        <v/>
      </c>
      <c r="I440" s="11" t="str">
        <f>IFERROR(IF('ŞİKAYET KAYIT'!P440="Kapatıldı",'ŞİKAYET KAYIT'!M440,""),"")</f>
        <v/>
      </c>
      <c r="J440" s="11" t="str">
        <f>IFERROR(IF('ŞİKAYET KAYIT'!P440="Kapatıldı",'ŞİKAYET KAYIT'!N440,""),"")</f>
        <v/>
      </c>
      <c r="K440" s="11" t="str">
        <f>IFERROR(IF('ŞİKAYET KAYIT'!P440="Kapatıldı",'ŞİKAYET KAYIT'!O440,""),"")</f>
        <v/>
      </c>
      <c r="L440" s="12" t="str">
        <f>IFERROR(IF('ŞİKAYET KAYIT'!P440="Kapatıldı",'ŞİKAYET KAYIT'!Q440,""),"")</f>
        <v/>
      </c>
      <c r="M440" s="11" t="str">
        <f>IFERROR(IF('ŞİKAYET KAYIT'!P440="Kapatıldı",'ŞİKAYET KAYIT'!R440,""),"")</f>
        <v/>
      </c>
      <c r="N440" s="11"/>
    </row>
    <row r="441" spans="1:14" ht="15" customHeight="1" x14ac:dyDescent="0.3">
      <c r="A441" s="26" t="str">
        <f>IFERROR(IF('ŞİKAYET KAYIT'!P441="Kapatıldı",'ŞİKAYET KAYIT'!A441,""),"")</f>
        <v/>
      </c>
      <c r="B441" s="8" t="str">
        <f>IFERROR(IF('ŞİKAYET KAYIT'!P441="Kapatıldı",'ŞİKAYET KAYIT'!B441,""),"")</f>
        <v/>
      </c>
      <c r="C441" s="26" t="str">
        <f>IFERROR(IF('ŞİKAYET KAYIT'!P441="Kapatıldı",'ŞİKAYET KAYIT'!D441,""),"")</f>
        <v/>
      </c>
      <c r="D441" s="26" t="str">
        <f>IFERROR(IF('ŞİKAYET KAYIT'!P441="Kapatıldı",'ŞİKAYET KAYIT'!F441,""),"")</f>
        <v/>
      </c>
      <c r="E441" s="26" t="str">
        <f>IFERROR(IF('ŞİKAYET KAYIT'!P441="Kapatıldı",'ŞİKAYET KAYIT'!H441,""),"")</f>
        <v/>
      </c>
      <c r="F441" s="26" t="str">
        <f>IFERROR(IF('ŞİKAYET KAYIT'!P441="Kapatıldı",'ŞİKAYET KAYIT'!J441,""),"")</f>
        <v/>
      </c>
      <c r="G441" s="26" t="str">
        <f>IFERROR(IF('ŞİKAYET KAYIT'!P441="Kapatıldı",'ŞİKAYET KAYIT'!K441,""),"")</f>
        <v/>
      </c>
      <c r="H441" s="26" t="str">
        <f>IFERROR(IF('ŞİKAYET KAYIT'!P441="Kapatıldı",'ŞİKAYET KAYIT'!L441,""),"")</f>
        <v/>
      </c>
      <c r="I441" s="26" t="str">
        <f>IFERROR(IF('ŞİKAYET KAYIT'!P441="Kapatıldı",'ŞİKAYET KAYIT'!M441,""),"")</f>
        <v/>
      </c>
      <c r="J441" s="26" t="str">
        <f>IFERROR(IF('ŞİKAYET KAYIT'!P441="Kapatıldı",'ŞİKAYET KAYIT'!N441,""),"")</f>
        <v/>
      </c>
      <c r="K441" s="26" t="str">
        <f>IFERROR(IF('ŞİKAYET KAYIT'!P441="Kapatıldı",'ŞİKAYET KAYIT'!O441,""),"")</f>
        <v/>
      </c>
      <c r="L441" s="8" t="str">
        <f>IFERROR(IF('ŞİKAYET KAYIT'!P441="Kapatıldı",'ŞİKAYET KAYIT'!Q441,""),"")</f>
        <v/>
      </c>
      <c r="M441" s="26" t="str">
        <f>IFERROR(IF('ŞİKAYET KAYIT'!P441="Kapatıldı",'ŞİKAYET KAYIT'!R441,""),"")</f>
        <v/>
      </c>
      <c r="N441" s="26"/>
    </row>
    <row r="442" spans="1:14" ht="15" customHeight="1" x14ac:dyDescent="0.3">
      <c r="A442" s="11" t="str">
        <f>IFERROR(IF('ŞİKAYET KAYIT'!P442="Kapatıldı",'ŞİKAYET KAYIT'!A442,""),"")</f>
        <v/>
      </c>
      <c r="B442" s="12" t="str">
        <f>IFERROR(IF('ŞİKAYET KAYIT'!P442="Kapatıldı",'ŞİKAYET KAYIT'!B442,""),"")</f>
        <v/>
      </c>
      <c r="C442" s="11" t="str">
        <f>IFERROR(IF('ŞİKAYET KAYIT'!P442="Kapatıldı",'ŞİKAYET KAYIT'!D442,""),"")</f>
        <v/>
      </c>
      <c r="D442" s="11" t="str">
        <f>IFERROR(IF('ŞİKAYET KAYIT'!P442="Kapatıldı",'ŞİKAYET KAYIT'!F442,""),"")</f>
        <v/>
      </c>
      <c r="E442" s="11" t="str">
        <f>IFERROR(IF('ŞİKAYET KAYIT'!P442="Kapatıldı",'ŞİKAYET KAYIT'!H442,""),"")</f>
        <v/>
      </c>
      <c r="F442" s="11" t="str">
        <f>IFERROR(IF('ŞİKAYET KAYIT'!P442="Kapatıldı",'ŞİKAYET KAYIT'!J442,""),"")</f>
        <v/>
      </c>
      <c r="G442" s="11" t="str">
        <f>IFERROR(IF('ŞİKAYET KAYIT'!P442="Kapatıldı",'ŞİKAYET KAYIT'!K442,""),"")</f>
        <v/>
      </c>
      <c r="H442" s="11" t="str">
        <f>IFERROR(IF('ŞİKAYET KAYIT'!P442="Kapatıldı",'ŞİKAYET KAYIT'!L442,""),"")</f>
        <v/>
      </c>
      <c r="I442" s="11" t="str">
        <f>IFERROR(IF('ŞİKAYET KAYIT'!P442="Kapatıldı",'ŞİKAYET KAYIT'!M442,""),"")</f>
        <v/>
      </c>
      <c r="J442" s="11" t="str">
        <f>IFERROR(IF('ŞİKAYET KAYIT'!P442="Kapatıldı",'ŞİKAYET KAYIT'!N442,""),"")</f>
        <v/>
      </c>
      <c r="K442" s="11" t="str">
        <f>IFERROR(IF('ŞİKAYET KAYIT'!P442="Kapatıldı",'ŞİKAYET KAYIT'!O442,""),"")</f>
        <v/>
      </c>
      <c r="L442" s="12" t="str">
        <f>IFERROR(IF('ŞİKAYET KAYIT'!P442="Kapatıldı",'ŞİKAYET KAYIT'!Q442,""),"")</f>
        <v/>
      </c>
      <c r="M442" s="11" t="str">
        <f>IFERROR(IF('ŞİKAYET KAYIT'!P442="Kapatıldı",'ŞİKAYET KAYIT'!R442,""),"")</f>
        <v/>
      </c>
      <c r="N442" s="11"/>
    </row>
    <row r="443" spans="1:14" ht="15" customHeight="1" x14ac:dyDescent="0.3">
      <c r="A443" s="26" t="str">
        <f>IFERROR(IF('ŞİKAYET KAYIT'!P443="Kapatıldı",'ŞİKAYET KAYIT'!A443,""),"")</f>
        <v/>
      </c>
      <c r="B443" s="8" t="str">
        <f>IFERROR(IF('ŞİKAYET KAYIT'!P443="Kapatıldı",'ŞİKAYET KAYIT'!B443,""),"")</f>
        <v/>
      </c>
      <c r="C443" s="26" t="str">
        <f>IFERROR(IF('ŞİKAYET KAYIT'!P443="Kapatıldı",'ŞİKAYET KAYIT'!D443,""),"")</f>
        <v/>
      </c>
      <c r="D443" s="26" t="str">
        <f>IFERROR(IF('ŞİKAYET KAYIT'!P443="Kapatıldı",'ŞİKAYET KAYIT'!F443,""),"")</f>
        <v/>
      </c>
      <c r="E443" s="26" t="str">
        <f>IFERROR(IF('ŞİKAYET KAYIT'!P443="Kapatıldı",'ŞİKAYET KAYIT'!H443,""),"")</f>
        <v/>
      </c>
      <c r="F443" s="26" t="str">
        <f>IFERROR(IF('ŞİKAYET KAYIT'!P443="Kapatıldı",'ŞİKAYET KAYIT'!J443,""),"")</f>
        <v/>
      </c>
      <c r="G443" s="26" t="str">
        <f>IFERROR(IF('ŞİKAYET KAYIT'!P443="Kapatıldı",'ŞİKAYET KAYIT'!K443,""),"")</f>
        <v/>
      </c>
      <c r="H443" s="26" t="str">
        <f>IFERROR(IF('ŞİKAYET KAYIT'!P443="Kapatıldı",'ŞİKAYET KAYIT'!L443,""),"")</f>
        <v/>
      </c>
      <c r="I443" s="26" t="str">
        <f>IFERROR(IF('ŞİKAYET KAYIT'!P443="Kapatıldı",'ŞİKAYET KAYIT'!M443,""),"")</f>
        <v/>
      </c>
      <c r="J443" s="26" t="str">
        <f>IFERROR(IF('ŞİKAYET KAYIT'!P443="Kapatıldı",'ŞİKAYET KAYIT'!N443,""),"")</f>
        <v/>
      </c>
      <c r="K443" s="26" t="str">
        <f>IFERROR(IF('ŞİKAYET KAYIT'!P443="Kapatıldı",'ŞİKAYET KAYIT'!O443,""),"")</f>
        <v/>
      </c>
      <c r="L443" s="8" t="str">
        <f>IFERROR(IF('ŞİKAYET KAYIT'!P443="Kapatıldı",'ŞİKAYET KAYIT'!Q443,""),"")</f>
        <v/>
      </c>
      <c r="M443" s="26" t="str">
        <f>IFERROR(IF('ŞİKAYET KAYIT'!P443="Kapatıldı",'ŞİKAYET KAYIT'!R443,""),"")</f>
        <v/>
      </c>
      <c r="N443" s="26"/>
    </row>
    <row r="444" spans="1:14" ht="15" customHeight="1" x14ac:dyDescent="0.3">
      <c r="A444" s="11" t="str">
        <f>IFERROR(IF('ŞİKAYET KAYIT'!P444="Kapatıldı",'ŞİKAYET KAYIT'!A444,""),"")</f>
        <v/>
      </c>
      <c r="B444" s="12" t="str">
        <f>IFERROR(IF('ŞİKAYET KAYIT'!P444="Kapatıldı",'ŞİKAYET KAYIT'!B444,""),"")</f>
        <v/>
      </c>
      <c r="C444" s="11" t="str">
        <f>IFERROR(IF('ŞİKAYET KAYIT'!P444="Kapatıldı",'ŞİKAYET KAYIT'!D444,""),"")</f>
        <v/>
      </c>
      <c r="D444" s="11" t="str">
        <f>IFERROR(IF('ŞİKAYET KAYIT'!P444="Kapatıldı",'ŞİKAYET KAYIT'!F444,""),"")</f>
        <v/>
      </c>
      <c r="E444" s="11" t="str">
        <f>IFERROR(IF('ŞİKAYET KAYIT'!P444="Kapatıldı",'ŞİKAYET KAYIT'!H444,""),"")</f>
        <v/>
      </c>
      <c r="F444" s="11" t="str">
        <f>IFERROR(IF('ŞİKAYET KAYIT'!P444="Kapatıldı",'ŞİKAYET KAYIT'!J444,""),"")</f>
        <v/>
      </c>
      <c r="G444" s="11" t="str">
        <f>IFERROR(IF('ŞİKAYET KAYIT'!P444="Kapatıldı",'ŞİKAYET KAYIT'!K444,""),"")</f>
        <v/>
      </c>
      <c r="H444" s="11" t="str">
        <f>IFERROR(IF('ŞİKAYET KAYIT'!P444="Kapatıldı",'ŞİKAYET KAYIT'!L444,""),"")</f>
        <v/>
      </c>
      <c r="I444" s="11" t="str">
        <f>IFERROR(IF('ŞİKAYET KAYIT'!P444="Kapatıldı",'ŞİKAYET KAYIT'!M444,""),"")</f>
        <v/>
      </c>
      <c r="J444" s="11" t="str">
        <f>IFERROR(IF('ŞİKAYET KAYIT'!P444="Kapatıldı",'ŞİKAYET KAYIT'!N444,""),"")</f>
        <v/>
      </c>
      <c r="K444" s="11" t="str">
        <f>IFERROR(IF('ŞİKAYET KAYIT'!P444="Kapatıldı",'ŞİKAYET KAYIT'!O444,""),"")</f>
        <v/>
      </c>
      <c r="L444" s="12" t="str">
        <f>IFERROR(IF('ŞİKAYET KAYIT'!P444="Kapatıldı",'ŞİKAYET KAYIT'!Q444,""),"")</f>
        <v/>
      </c>
      <c r="M444" s="11" t="str">
        <f>IFERROR(IF('ŞİKAYET KAYIT'!P444="Kapatıldı",'ŞİKAYET KAYIT'!R444,""),"")</f>
        <v/>
      </c>
      <c r="N444" s="11"/>
    </row>
    <row r="445" spans="1:14" ht="15" customHeight="1" x14ac:dyDescent="0.3">
      <c r="A445" s="26" t="str">
        <f>IFERROR(IF('ŞİKAYET KAYIT'!P445="Kapatıldı",'ŞİKAYET KAYIT'!A445,""),"")</f>
        <v/>
      </c>
      <c r="B445" s="8" t="str">
        <f>IFERROR(IF('ŞİKAYET KAYIT'!P445="Kapatıldı",'ŞİKAYET KAYIT'!B445,""),"")</f>
        <v/>
      </c>
      <c r="C445" s="26" t="str">
        <f>IFERROR(IF('ŞİKAYET KAYIT'!P445="Kapatıldı",'ŞİKAYET KAYIT'!D445,""),"")</f>
        <v/>
      </c>
      <c r="D445" s="26" t="str">
        <f>IFERROR(IF('ŞİKAYET KAYIT'!P445="Kapatıldı",'ŞİKAYET KAYIT'!F445,""),"")</f>
        <v/>
      </c>
      <c r="E445" s="26" t="str">
        <f>IFERROR(IF('ŞİKAYET KAYIT'!P445="Kapatıldı",'ŞİKAYET KAYIT'!H445,""),"")</f>
        <v/>
      </c>
      <c r="F445" s="26" t="str">
        <f>IFERROR(IF('ŞİKAYET KAYIT'!P445="Kapatıldı",'ŞİKAYET KAYIT'!J445,""),"")</f>
        <v/>
      </c>
      <c r="G445" s="26" t="str">
        <f>IFERROR(IF('ŞİKAYET KAYIT'!P445="Kapatıldı",'ŞİKAYET KAYIT'!K445,""),"")</f>
        <v/>
      </c>
      <c r="H445" s="26" t="str">
        <f>IFERROR(IF('ŞİKAYET KAYIT'!P445="Kapatıldı",'ŞİKAYET KAYIT'!L445,""),"")</f>
        <v/>
      </c>
      <c r="I445" s="26" t="str">
        <f>IFERROR(IF('ŞİKAYET KAYIT'!P445="Kapatıldı",'ŞİKAYET KAYIT'!M445,""),"")</f>
        <v/>
      </c>
      <c r="J445" s="26" t="str">
        <f>IFERROR(IF('ŞİKAYET KAYIT'!P445="Kapatıldı",'ŞİKAYET KAYIT'!N445,""),"")</f>
        <v/>
      </c>
      <c r="K445" s="26" t="str">
        <f>IFERROR(IF('ŞİKAYET KAYIT'!P445="Kapatıldı",'ŞİKAYET KAYIT'!O445,""),"")</f>
        <v/>
      </c>
      <c r="L445" s="8" t="str">
        <f>IFERROR(IF('ŞİKAYET KAYIT'!P445="Kapatıldı",'ŞİKAYET KAYIT'!Q445,""),"")</f>
        <v/>
      </c>
      <c r="M445" s="26" t="str">
        <f>IFERROR(IF('ŞİKAYET KAYIT'!P445="Kapatıldı",'ŞİKAYET KAYIT'!R445,""),"")</f>
        <v/>
      </c>
      <c r="N445" s="26"/>
    </row>
    <row r="446" spans="1:14" ht="15" customHeight="1" x14ac:dyDescent="0.3">
      <c r="A446" s="11" t="str">
        <f>IFERROR(IF('ŞİKAYET KAYIT'!P446="Kapatıldı",'ŞİKAYET KAYIT'!A446,""),"")</f>
        <v/>
      </c>
      <c r="B446" s="12" t="str">
        <f>IFERROR(IF('ŞİKAYET KAYIT'!P446="Kapatıldı",'ŞİKAYET KAYIT'!B446,""),"")</f>
        <v/>
      </c>
      <c r="C446" s="11" t="str">
        <f>IFERROR(IF('ŞİKAYET KAYIT'!P446="Kapatıldı",'ŞİKAYET KAYIT'!D446,""),"")</f>
        <v/>
      </c>
      <c r="D446" s="11" t="str">
        <f>IFERROR(IF('ŞİKAYET KAYIT'!P446="Kapatıldı",'ŞİKAYET KAYIT'!F446,""),"")</f>
        <v/>
      </c>
      <c r="E446" s="11" t="str">
        <f>IFERROR(IF('ŞİKAYET KAYIT'!P446="Kapatıldı",'ŞİKAYET KAYIT'!H446,""),"")</f>
        <v/>
      </c>
      <c r="F446" s="11" t="str">
        <f>IFERROR(IF('ŞİKAYET KAYIT'!P446="Kapatıldı",'ŞİKAYET KAYIT'!J446,""),"")</f>
        <v/>
      </c>
      <c r="G446" s="11" t="str">
        <f>IFERROR(IF('ŞİKAYET KAYIT'!P446="Kapatıldı",'ŞİKAYET KAYIT'!K446,""),"")</f>
        <v/>
      </c>
      <c r="H446" s="11" t="str">
        <f>IFERROR(IF('ŞİKAYET KAYIT'!P446="Kapatıldı",'ŞİKAYET KAYIT'!L446,""),"")</f>
        <v/>
      </c>
      <c r="I446" s="11" t="str">
        <f>IFERROR(IF('ŞİKAYET KAYIT'!P446="Kapatıldı",'ŞİKAYET KAYIT'!M446,""),"")</f>
        <v/>
      </c>
      <c r="J446" s="11" t="str">
        <f>IFERROR(IF('ŞİKAYET KAYIT'!P446="Kapatıldı",'ŞİKAYET KAYIT'!N446,""),"")</f>
        <v/>
      </c>
      <c r="K446" s="11" t="str">
        <f>IFERROR(IF('ŞİKAYET KAYIT'!P446="Kapatıldı",'ŞİKAYET KAYIT'!O446,""),"")</f>
        <v/>
      </c>
      <c r="L446" s="12" t="str">
        <f>IFERROR(IF('ŞİKAYET KAYIT'!P446="Kapatıldı",'ŞİKAYET KAYIT'!Q446,""),"")</f>
        <v/>
      </c>
      <c r="M446" s="11" t="str">
        <f>IFERROR(IF('ŞİKAYET KAYIT'!P446="Kapatıldı",'ŞİKAYET KAYIT'!R446,""),"")</f>
        <v/>
      </c>
      <c r="N446" s="11"/>
    </row>
    <row r="447" spans="1:14" ht="15" customHeight="1" x14ac:dyDescent="0.3">
      <c r="A447" s="26" t="str">
        <f>IFERROR(IF('ŞİKAYET KAYIT'!P447="Kapatıldı",'ŞİKAYET KAYIT'!A447,""),"")</f>
        <v/>
      </c>
      <c r="B447" s="8" t="str">
        <f>IFERROR(IF('ŞİKAYET KAYIT'!P447="Kapatıldı",'ŞİKAYET KAYIT'!B447,""),"")</f>
        <v/>
      </c>
      <c r="C447" s="26" t="str">
        <f>IFERROR(IF('ŞİKAYET KAYIT'!P447="Kapatıldı",'ŞİKAYET KAYIT'!D447,""),"")</f>
        <v/>
      </c>
      <c r="D447" s="26" t="str">
        <f>IFERROR(IF('ŞİKAYET KAYIT'!P447="Kapatıldı",'ŞİKAYET KAYIT'!F447,""),"")</f>
        <v/>
      </c>
      <c r="E447" s="26" t="str">
        <f>IFERROR(IF('ŞİKAYET KAYIT'!P447="Kapatıldı",'ŞİKAYET KAYIT'!H447,""),"")</f>
        <v/>
      </c>
      <c r="F447" s="26" t="str">
        <f>IFERROR(IF('ŞİKAYET KAYIT'!P447="Kapatıldı",'ŞİKAYET KAYIT'!J447,""),"")</f>
        <v/>
      </c>
      <c r="G447" s="26" t="str">
        <f>IFERROR(IF('ŞİKAYET KAYIT'!P447="Kapatıldı",'ŞİKAYET KAYIT'!K447,""),"")</f>
        <v/>
      </c>
      <c r="H447" s="26" t="str">
        <f>IFERROR(IF('ŞİKAYET KAYIT'!P447="Kapatıldı",'ŞİKAYET KAYIT'!L447,""),"")</f>
        <v/>
      </c>
      <c r="I447" s="26" t="str">
        <f>IFERROR(IF('ŞİKAYET KAYIT'!P447="Kapatıldı",'ŞİKAYET KAYIT'!M447,""),"")</f>
        <v/>
      </c>
      <c r="J447" s="26" t="str">
        <f>IFERROR(IF('ŞİKAYET KAYIT'!P447="Kapatıldı",'ŞİKAYET KAYIT'!N447,""),"")</f>
        <v/>
      </c>
      <c r="K447" s="26" t="str">
        <f>IFERROR(IF('ŞİKAYET KAYIT'!P447="Kapatıldı",'ŞİKAYET KAYIT'!O447,""),"")</f>
        <v/>
      </c>
      <c r="L447" s="8" t="str">
        <f>IFERROR(IF('ŞİKAYET KAYIT'!P447="Kapatıldı",'ŞİKAYET KAYIT'!Q447,""),"")</f>
        <v/>
      </c>
      <c r="M447" s="26" t="str">
        <f>IFERROR(IF('ŞİKAYET KAYIT'!P447="Kapatıldı",'ŞİKAYET KAYIT'!R447,""),"")</f>
        <v/>
      </c>
      <c r="N447" s="26"/>
    </row>
    <row r="448" spans="1:14" ht="15" customHeight="1" x14ac:dyDescent="0.3">
      <c r="A448" s="11" t="str">
        <f>IFERROR(IF('ŞİKAYET KAYIT'!P448="Kapatıldı",'ŞİKAYET KAYIT'!A448,""),"")</f>
        <v/>
      </c>
      <c r="B448" s="12" t="str">
        <f>IFERROR(IF('ŞİKAYET KAYIT'!P448="Kapatıldı",'ŞİKAYET KAYIT'!B448,""),"")</f>
        <v/>
      </c>
      <c r="C448" s="11" t="str">
        <f>IFERROR(IF('ŞİKAYET KAYIT'!P448="Kapatıldı",'ŞİKAYET KAYIT'!D448,""),"")</f>
        <v/>
      </c>
      <c r="D448" s="11" t="str">
        <f>IFERROR(IF('ŞİKAYET KAYIT'!P448="Kapatıldı",'ŞİKAYET KAYIT'!F448,""),"")</f>
        <v/>
      </c>
      <c r="E448" s="11" t="str">
        <f>IFERROR(IF('ŞİKAYET KAYIT'!P448="Kapatıldı",'ŞİKAYET KAYIT'!H448,""),"")</f>
        <v/>
      </c>
      <c r="F448" s="11" t="str">
        <f>IFERROR(IF('ŞİKAYET KAYIT'!P448="Kapatıldı",'ŞİKAYET KAYIT'!J448,""),"")</f>
        <v/>
      </c>
      <c r="G448" s="11" t="str">
        <f>IFERROR(IF('ŞİKAYET KAYIT'!P448="Kapatıldı",'ŞİKAYET KAYIT'!K448,""),"")</f>
        <v/>
      </c>
      <c r="H448" s="11" t="str">
        <f>IFERROR(IF('ŞİKAYET KAYIT'!P448="Kapatıldı",'ŞİKAYET KAYIT'!L448,""),"")</f>
        <v/>
      </c>
      <c r="I448" s="11" t="str">
        <f>IFERROR(IF('ŞİKAYET KAYIT'!P448="Kapatıldı",'ŞİKAYET KAYIT'!M448,""),"")</f>
        <v/>
      </c>
      <c r="J448" s="11" t="str">
        <f>IFERROR(IF('ŞİKAYET KAYIT'!P448="Kapatıldı",'ŞİKAYET KAYIT'!N448,""),"")</f>
        <v/>
      </c>
      <c r="K448" s="11" t="str">
        <f>IFERROR(IF('ŞİKAYET KAYIT'!P448="Kapatıldı",'ŞİKAYET KAYIT'!O448,""),"")</f>
        <v/>
      </c>
      <c r="L448" s="12" t="str">
        <f>IFERROR(IF('ŞİKAYET KAYIT'!P448="Kapatıldı",'ŞİKAYET KAYIT'!Q448,""),"")</f>
        <v/>
      </c>
      <c r="M448" s="11" t="str">
        <f>IFERROR(IF('ŞİKAYET KAYIT'!P448="Kapatıldı",'ŞİKAYET KAYIT'!R448,""),"")</f>
        <v/>
      </c>
      <c r="N448" s="11"/>
    </row>
    <row r="449" spans="1:14" ht="15" customHeight="1" x14ac:dyDescent="0.3">
      <c r="A449" s="26" t="str">
        <f>IFERROR(IF('ŞİKAYET KAYIT'!P449="Kapatıldı",'ŞİKAYET KAYIT'!A449,""),"")</f>
        <v/>
      </c>
      <c r="B449" s="8" t="str">
        <f>IFERROR(IF('ŞİKAYET KAYIT'!P449="Kapatıldı",'ŞİKAYET KAYIT'!B449,""),"")</f>
        <v/>
      </c>
      <c r="C449" s="26" t="str">
        <f>IFERROR(IF('ŞİKAYET KAYIT'!P449="Kapatıldı",'ŞİKAYET KAYIT'!D449,""),"")</f>
        <v/>
      </c>
      <c r="D449" s="26" t="str">
        <f>IFERROR(IF('ŞİKAYET KAYIT'!P449="Kapatıldı",'ŞİKAYET KAYIT'!F449,""),"")</f>
        <v/>
      </c>
      <c r="E449" s="26" t="str">
        <f>IFERROR(IF('ŞİKAYET KAYIT'!P449="Kapatıldı",'ŞİKAYET KAYIT'!H449,""),"")</f>
        <v/>
      </c>
      <c r="F449" s="26" t="str">
        <f>IFERROR(IF('ŞİKAYET KAYIT'!P449="Kapatıldı",'ŞİKAYET KAYIT'!J449,""),"")</f>
        <v/>
      </c>
      <c r="G449" s="26" t="str">
        <f>IFERROR(IF('ŞİKAYET KAYIT'!P449="Kapatıldı",'ŞİKAYET KAYIT'!K449,""),"")</f>
        <v/>
      </c>
      <c r="H449" s="26" t="str">
        <f>IFERROR(IF('ŞİKAYET KAYIT'!P449="Kapatıldı",'ŞİKAYET KAYIT'!L449,""),"")</f>
        <v/>
      </c>
      <c r="I449" s="26" t="str">
        <f>IFERROR(IF('ŞİKAYET KAYIT'!P449="Kapatıldı",'ŞİKAYET KAYIT'!M449,""),"")</f>
        <v/>
      </c>
      <c r="J449" s="26" t="str">
        <f>IFERROR(IF('ŞİKAYET KAYIT'!P449="Kapatıldı",'ŞİKAYET KAYIT'!N449,""),"")</f>
        <v/>
      </c>
      <c r="K449" s="26" t="str">
        <f>IFERROR(IF('ŞİKAYET KAYIT'!P449="Kapatıldı",'ŞİKAYET KAYIT'!O449,""),"")</f>
        <v/>
      </c>
      <c r="L449" s="8" t="str">
        <f>IFERROR(IF('ŞİKAYET KAYIT'!P449="Kapatıldı",'ŞİKAYET KAYIT'!Q449,""),"")</f>
        <v/>
      </c>
      <c r="M449" s="26" t="str">
        <f>IFERROR(IF('ŞİKAYET KAYIT'!P449="Kapatıldı",'ŞİKAYET KAYIT'!R449,""),"")</f>
        <v/>
      </c>
      <c r="N449" s="26"/>
    </row>
    <row r="450" spans="1:14" ht="15" customHeight="1" x14ac:dyDescent="0.3">
      <c r="A450" s="11" t="str">
        <f>IFERROR(IF('ŞİKAYET KAYIT'!P450="Kapatıldı",'ŞİKAYET KAYIT'!A450,""),"")</f>
        <v/>
      </c>
      <c r="B450" s="12" t="str">
        <f>IFERROR(IF('ŞİKAYET KAYIT'!P450="Kapatıldı",'ŞİKAYET KAYIT'!B450,""),"")</f>
        <v/>
      </c>
      <c r="C450" s="11" t="str">
        <f>IFERROR(IF('ŞİKAYET KAYIT'!P450="Kapatıldı",'ŞİKAYET KAYIT'!D450,""),"")</f>
        <v/>
      </c>
      <c r="D450" s="11" t="str">
        <f>IFERROR(IF('ŞİKAYET KAYIT'!P450="Kapatıldı",'ŞİKAYET KAYIT'!F450,""),"")</f>
        <v/>
      </c>
      <c r="E450" s="11" t="str">
        <f>IFERROR(IF('ŞİKAYET KAYIT'!P450="Kapatıldı",'ŞİKAYET KAYIT'!H450,""),"")</f>
        <v/>
      </c>
      <c r="F450" s="11" t="str">
        <f>IFERROR(IF('ŞİKAYET KAYIT'!P450="Kapatıldı",'ŞİKAYET KAYIT'!J450,""),"")</f>
        <v/>
      </c>
      <c r="G450" s="11" t="str">
        <f>IFERROR(IF('ŞİKAYET KAYIT'!P450="Kapatıldı",'ŞİKAYET KAYIT'!K450,""),"")</f>
        <v/>
      </c>
      <c r="H450" s="11" t="str">
        <f>IFERROR(IF('ŞİKAYET KAYIT'!P450="Kapatıldı",'ŞİKAYET KAYIT'!L450,""),"")</f>
        <v/>
      </c>
      <c r="I450" s="11" t="str">
        <f>IFERROR(IF('ŞİKAYET KAYIT'!P450="Kapatıldı",'ŞİKAYET KAYIT'!M450,""),"")</f>
        <v/>
      </c>
      <c r="J450" s="11" t="str">
        <f>IFERROR(IF('ŞİKAYET KAYIT'!P450="Kapatıldı",'ŞİKAYET KAYIT'!N450,""),"")</f>
        <v/>
      </c>
      <c r="K450" s="11" t="str">
        <f>IFERROR(IF('ŞİKAYET KAYIT'!P450="Kapatıldı",'ŞİKAYET KAYIT'!O450,""),"")</f>
        <v/>
      </c>
      <c r="L450" s="12" t="str">
        <f>IFERROR(IF('ŞİKAYET KAYIT'!P450="Kapatıldı",'ŞİKAYET KAYIT'!Q450,""),"")</f>
        <v/>
      </c>
      <c r="M450" s="11" t="str">
        <f>IFERROR(IF('ŞİKAYET KAYIT'!P450="Kapatıldı",'ŞİKAYET KAYIT'!R450,""),"")</f>
        <v/>
      </c>
      <c r="N450" s="11"/>
    </row>
    <row r="451" spans="1:14" ht="15" customHeight="1" x14ac:dyDescent="0.3">
      <c r="A451" s="26" t="str">
        <f>IFERROR(IF('ŞİKAYET KAYIT'!P451="Kapatıldı",'ŞİKAYET KAYIT'!A451,""),"")</f>
        <v/>
      </c>
      <c r="B451" s="8" t="str">
        <f>IFERROR(IF('ŞİKAYET KAYIT'!P451="Kapatıldı",'ŞİKAYET KAYIT'!B451,""),"")</f>
        <v/>
      </c>
      <c r="C451" s="26" t="str">
        <f>IFERROR(IF('ŞİKAYET KAYIT'!P451="Kapatıldı",'ŞİKAYET KAYIT'!D451,""),"")</f>
        <v/>
      </c>
      <c r="D451" s="26" t="str">
        <f>IFERROR(IF('ŞİKAYET KAYIT'!P451="Kapatıldı",'ŞİKAYET KAYIT'!F451,""),"")</f>
        <v/>
      </c>
      <c r="E451" s="26" t="str">
        <f>IFERROR(IF('ŞİKAYET KAYIT'!P451="Kapatıldı",'ŞİKAYET KAYIT'!H451,""),"")</f>
        <v/>
      </c>
      <c r="F451" s="26" t="str">
        <f>IFERROR(IF('ŞİKAYET KAYIT'!P451="Kapatıldı",'ŞİKAYET KAYIT'!J451,""),"")</f>
        <v/>
      </c>
      <c r="G451" s="26" t="str">
        <f>IFERROR(IF('ŞİKAYET KAYIT'!P451="Kapatıldı",'ŞİKAYET KAYIT'!K451,""),"")</f>
        <v/>
      </c>
      <c r="H451" s="26" t="str">
        <f>IFERROR(IF('ŞİKAYET KAYIT'!P451="Kapatıldı",'ŞİKAYET KAYIT'!L451,""),"")</f>
        <v/>
      </c>
      <c r="I451" s="26" t="str">
        <f>IFERROR(IF('ŞİKAYET KAYIT'!P451="Kapatıldı",'ŞİKAYET KAYIT'!M451,""),"")</f>
        <v/>
      </c>
      <c r="J451" s="26" t="str">
        <f>IFERROR(IF('ŞİKAYET KAYIT'!P451="Kapatıldı",'ŞİKAYET KAYIT'!N451,""),"")</f>
        <v/>
      </c>
      <c r="K451" s="26" t="str">
        <f>IFERROR(IF('ŞİKAYET KAYIT'!P451="Kapatıldı",'ŞİKAYET KAYIT'!O451,""),"")</f>
        <v/>
      </c>
      <c r="L451" s="8" t="str">
        <f>IFERROR(IF('ŞİKAYET KAYIT'!P451="Kapatıldı",'ŞİKAYET KAYIT'!Q451,""),"")</f>
        <v/>
      </c>
      <c r="M451" s="26" t="str">
        <f>IFERROR(IF('ŞİKAYET KAYIT'!P451="Kapatıldı",'ŞİKAYET KAYIT'!R451,""),"")</f>
        <v/>
      </c>
      <c r="N451" s="26"/>
    </row>
    <row r="452" spans="1:14" ht="15" customHeight="1" x14ac:dyDescent="0.3">
      <c r="A452" s="11" t="str">
        <f>IFERROR(IF('ŞİKAYET KAYIT'!P452="Kapatıldı",'ŞİKAYET KAYIT'!A452,""),"")</f>
        <v/>
      </c>
      <c r="B452" s="12" t="str">
        <f>IFERROR(IF('ŞİKAYET KAYIT'!P452="Kapatıldı",'ŞİKAYET KAYIT'!B452,""),"")</f>
        <v/>
      </c>
      <c r="C452" s="11" t="str">
        <f>IFERROR(IF('ŞİKAYET KAYIT'!P452="Kapatıldı",'ŞİKAYET KAYIT'!D452,""),"")</f>
        <v/>
      </c>
      <c r="D452" s="11" t="str">
        <f>IFERROR(IF('ŞİKAYET KAYIT'!P452="Kapatıldı",'ŞİKAYET KAYIT'!F452,""),"")</f>
        <v/>
      </c>
      <c r="E452" s="11" t="str">
        <f>IFERROR(IF('ŞİKAYET KAYIT'!P452="Kapatıldı",'ŞİKAYET KAYIT'!H452,""),"")</f>
        <v/>
      </c>
      <c r="F452" s="11" t="str">
        <f>IFERROR(IF('ŞİKAYET KAYIT'!P452="Kapatıldı",'ŞİKAYET KAYIT'!J452,""),"")</f>
        <v/>
      </c>
      <c r="G452" s="11" t="str">
        <f>IFERROR(IF('ŞİKAYET KAYIT'!P452="Kapatıldı",'ŞİKAYET KAYIT'!K452,""),"")</f>
        <v/>
      </c>
      <c r="H452" s="11" t="str">
        <f>IFERROR(IF('ŞİKAYET KAYIT'!P452="Kapatıldı",'ŞİKAYET KAYIT'!L452,""),"")</f>
        <v/>
      </c>
      <c r="I452" s="11" t="str">
        <f>IFERROR(IF('ŞİKAYET KAYIT'!P452="Kapatıldı",'ŞİKAYET KAYIT'!M452,""),"")</f>
        <v/>
      </c>
      <c r="J452" s="11" t="str">
        <f>IFERROR(IF('ŞİKAYET KAYIT'!P452="Kapatıldı",'ŞİKAYET KAYIT'!N452,""),"")</f>
        <v/>
      </c>
      <c r="K452" s="11" t="str">
        <f>IFERROR(IF('ŞİKAYET KAYIT'!P452="Kapatıldı",'ŞİKAYET KAYIT'!O452,""),"")</f>
        <v/>
      </c>
      <c r="L452" s="12" t="str">
        <f>IFERROR(IF('ŞİKAYET KAYIT'!P452="Kapatıldı",'ŞİKAYET KAYIT'!Q452,""),"")</f>
        <v/>
      </c>
      <c r="M452" s="11" t="str">
        <f>IFERROR(IF('ŞİKAYET KAYIT'!P452="Kapatıldı",'ŞİKAYET KAYIT'!R452,""),"")</f>
        <v/>
      </c>
      <c r="N452" s="11"/>
    </row>
    <row r="453" spans="1:14" ht="15" customHeight="1" x14ac:dyDescent="0.3">
      <c r="A453" s="26" t="str">
        <f>IFERROR(IF('ŞİKAYET KAYIT'!P453="Kapatıldı",'ŞİKAYET KAYIT'!A453,""),"")</f>
        <v/>
      </c>
      <c r="B453" s="8" t="str">
        <f>IFERROR(IF('ŞİKAYET KAYIT'!P453="Kapatıldı",'ŞİKAYET KAYIT'!B453,""),"")</f>
        <v/>
      </c>
      <c r="C453" s="26" t="str">
        <f>IFERROR(IF('ŞİKAYET KAYIT'!P453="Kapatıldı",'ŞİKAYET KAYIT'!D453,""),"")</f>
        <v/>
      </c>
      <c r="D453" s="26" t="str">
        <f>IFERROR(IF('ŞİKAYET KAYIT'!P453="Kapatıldı",'ŞİKAYET KAYIT'!F453,""),"")</f>
        <v/>
      </c>
      <c r="E453" s="26" t="str">
        <f>IFERROR(IF('ŞİKAYET KAYIT'!P453="Kapatıldı",'ŞİKAYET KAYIT'!H453,""),"")</f>
        <v/>
      </c>
      <c r="F453" s="26" t="str">
        <f>IFERROR(IF('ŞİKAYET KAYIT'!P453="Kapatıldı",'ŞİKAYET KAYIT'!J453,""),"")</f>
        <v/>
      </c>
      <c r="G453" s="26" t="str">
        <f>IFERROR(IF('ŞİKAYET KAYIT'!P453="Kapatıldı",'ŞİKAYET KAYIT'!K453,""),"")</f>
        <v/>
      </c>
      <c r="H453" s="26" t="str">
        <f>IFERROR(IF('ŞİKAYET KAYIT'!P453="Kapatıldı",'ŞİKAYET KAYIT'!L453,""),"")</f>
        <v/>
      </c>
      <c r="I453" s="26" t="str">
        <f>IFERROR(IF('ŞİKAYET KAYIT'!P453="Kapatıldı",'ŞİKAYET KAYIT'!M453,""),"")</f>
        <v/>
      </c>
      <c r="J453" s="26" t="str">
        <f>IFERROR(IF('ŞİKAYET KAYIT'!P453="Kapatıldı",'ŞİKAYET KAYIT'!N453,""),"")</f>
        <v/>
      </c>
      <c r="K453" s="26" t="str">
        <f>IFERROR(IF('ŞİKAYET KAYIT'!P453="Kapatıldı",'ŞİKAYET KAYIT'!O453,""),"")</f>
        <v/>
      </c>
      <c r="L453" s="8" t="str">
        <f>IFERROR(IF('ŞİKAYET KAYIT'!P453="Kapatıldı",'ŞİKAYET KAYIT'!Q453,""),"")</f>
        <v/>
      </c>
      <c r="M453" s="26" t="str">
        <f>IFERROR(IF('ŞİKAYET KAYIT'!P453="Kapatıldı",'ŞİKAYET KAYIT'!R453,""),"")</f>
        <v/>
      </c>
      <c r="N453" s="26"/>
    </row>
    <row r="454" spans="1:14" ht="15" customHeight="1" x14ac:dyDescent="0.3">
      <c r="A454" s="11" t="str">
        <f>IFERROR(IF('ŞİKAYET KAYIT'!P454="Kapatıldı",'ŞİKAYET KAYIT'!A454,""),"")</f>
        <v/>
      </c>
      <c r="B454" s="12" t="str">
        <f>IFERROR(IF('ŞİKAYET KAYIT'!P454="Kapatıldı",'ŞİKAYET KAYIT'!B454,""),"")</f>
        <v/>
      </c>
      <c r="C454" s="11" t="str">
        <f>IFERROR(IF('ŞİKAYET KAYIT'!P454="Kapatıldı",'ŞİKAYET KAYIT'!D454,""),"")</f>
        <v/>
      </c>
      <c r="D454" s="11" t="str">
        <f>IFERROR(IF('ŞİKAYET KAYIT'!P454="Kapatıldı",'ŞİKAYET KAYIT'!F454,""),"")</f>
        <v/>
      </c>
      <c r="E454" s="11" t="str">
        <f>IFERROR(IF('ŞİKAYET KAYIT'!P454="Kapatıldı",'ŞİKAYET KAYIT'!H454,""),"")</f>
        <v/>
      </c>
      <c r="F454" s="11" t="str">
        <f>IFERROR(IF('ŞİKAYET KAYIT'!P454="Kapatıldı",'ŞİKAYET KAYIT'!J454,""),"")</f>
        <v/>
      </c>
      <c r="G454" s="11" t="str">
        <f>IFERROR(IF('ŞİKAYET KAYIT'!P454="Kapatıldı",'ŞİKAYET KAYIT'!K454,""),"")</f>
        <v/>
      </c>
      <c r="H454" s="11" t="str">
        <f>IFERROR(IF('ŞİKAYET KAYIT'!P454="Kapatıldı",'ŞİKAYET KAYIT'!L454,""),"")</f>
        <v/>
      </c>
      <c r="I454" s="11" t="str">
        <f>IFERROR(IF('ŞİKAYET KAYIT'!P454="Kapatıldı",'ŞİKAYET KAYIT'!M454,""),"")</f>
        <v/>
      </c>
      <c r="J454" s="11" t="str">
        <f>IFERROR(IF('ŞİKAYET KAYIT'!P454="Kapatıldı",'ŞİKAYET KAYIT'!N454,""),"")</f>
        <v/>
      </c>
      <c r="K454" s="11" t="str">
        <f>IFERROR(IF('ŞİKAYET KAYIT'!P454="Kapatıldı",'ŞİKAYET KAYIT'!O454,""),"")</f>
        <v/>
      </c>
      <c r="L454" s="12" t="str">
        <f>IFERROR(IF('ŞİKAYET KAYIT'!P454="Kapatıldı",'ŞİKAYET KAYIT'!Q454,""),"")</f>
        <v/>
      </c>
      <c r="M454" s="11" t="str">
        <f>IFERROR(IF('ŞİKAYET KAYIT'!P454="Kapatıldı",'ŞİKAYET KAYIT'!R454,""),"")</f>
        <v/>
      </c>
      <c r="N454" s="11"/>
    </row>
    <row r="455" spans="1:14" ht="15" customHeight="1" x14ac:dyDescent="0.3">
      <c r="A455" s="26" t="str">
        <f>IFERROR(IF('ŞİKAYET KAYIT'!P455="Kapatıldı",'ŞİKAYET KAYIT'!A455,""),"")</f>
        <v/>
      </c>
      <c r="B455" s="8" t="str">
        <f>IFERROR(IF('ŞİKAYET KAYIT'!P455="Kapatıldı",'ŞİKAYET KAYIT'!B455,""),"")</f>
        <v/>
      </c>
      <c r="C455" s="26" t="str">
        <f>IFERROR(IF('ŞİKAYET KAYIT'!P455="Kapatıldı",'ŞİKAYET KAYIT'!D455,""),"")</f>
        <v/>
      </c>
      <c r="D455" s="26" t="str">
        <f>IFERROR(IF('ŞİKAYET KAYIT'!P455="Kapatıldı",'ŞİKAYET KAYIT'!F455,""),"")</f>
        <v/>
      </c>
      <c r="E455" s="26" t="str">
        <f>IFERROR(IF('ŞİKAYET KAYIT'!P455="Kapatıldı",'ŞİKAYET KAYIT'!H455,""),"")</f>
        <v/>
      </c>
      <c r="F455" s="26" t="str">
        <f>IFERROR(IF('ŞİKAYET KAYIT'!P455="Kapatıldı",'ŞİKAYET KAYIT'!J455,""),"")</f>
        <v/>
      </c>
      <c r="G455" s="26" t="str">
        <f>IFERROR(IF('ŞİKAYET KAYIT'!P455="Kapatıldı",'ŞİKAYET KAYIT'!K455,""),"")</f>
        <v/>
      </c>
      <c r="H455" s="26" t="str">
        <f>IFERROR(IF('ŞİKAYET KAYIT'!P455="Kapatıldı",'ŞİKAYET KAYIT'!L455,""),"")</f>
        <v/>
      </c>
      <c r="I455" s="26" t="str">
        <f>IFERROR(IF('ŞİKAYET KAYIT'!P455="Kapatıldı",'ŞİKAYET KAYIT'!M455,""),"")</f>
        <v/>
      </c>
      <c r="J455" s="26" t="str">
        <f>IFERROR(IF('ŞİKAYET KAYIT'!P455="Kapatıldı",'ŞİKAYET KAYIT'!N455,""),"")</f>
        <v/>
      </c>
      <c r="K455" s="26" t="str">
        <f>IFERROR(IF('ŞİKAYET KAYIT'!P455="Kapatıldı",'ŞİKAYET KAYIT'!O455,""),"")</f>
        <v/>
      </c>
      <c r="L455" s="8" t="str">
        <f>IFERROR(IF('ŞİKAYET KAYIT'!P455="Kapatıldı",'ŞİKAYET KAYIT'!Q455,""),"")</f>
        <v/>
      </c>
      <c r="M455" s="26" t="str">
        <f>IFERROR(IF('ŞİKAYET KAYIT'!P455="Kapatıldı",'ŞİKAYET KAYIT'!R455,""),"")</f>
        <v/>
      </c>
      <c r="N455" s="26"/>
    </row>
    <row r="456" spans="1:14" ht="15" customHeight="1" x14ac:dyDescent="0.3">
      <c r="A456" s="11" t="str">
        <f>IFERROR(IF('ŞİKAYET KAYIT'!P456="Kapatıldı",'ŞİKAYET KAYIT'!A456,""),"")</f>
        <v/>
      </c>
      <c r="B456" s="12" t="str">
        <f>IFERROR(IF('ŞİKAYET KAYIT'!P456="Kapatıldı",'ŞİKAYET KAYIT'!B456,""),"")</f>
        <v/>
      </c>
      <c r="C456" s="11" t="str">
        <f>IFERROR(IF('ŞİKAYET KAYIT'!P456="Kapatıldı",'ŞİKAYET KAYIT'!D456,""),"")</f>
        <v/>
      </c>
      <c r="D456" s="11" t="str">
        <f>IFERROR(IF('ŞİKAYET KAYIT'!P456="Kapatıldı",'ŞİKAYET KAYIT'!F456,""),"")</f>
        <v/>
      </c>
      <c r="E456" s="11" t="str">
        <f>IFERROR(IF('ŞİKAYET KAYIT'!P456="Kapatıldı",'ŞİKAYET KAYIT'!H456,""),"")</f>
        <v/>
      </c>
      <c r="F456" s="11" t="str">
        <f>IFERROR(IF('ŞİKAYET KAYIT'!P456="Kapatıldı",'ŞİKAYET KAYIT'!J456,""),"")</f>
        <v/>
      </c>
      <c r="G456" s="11" t="str">
        <f>IFERROR(IF('ŞİKAYET KAYIT'!P456="Kapatıldı",'ŞİKAYET KAYIT'!K456,""),"")</f>
        <v/>
      </c>
      <c r="H456" s="11" t="str">
        <f>IFERROR(IF('ŞİKAYET KAYIT'!P456="Kapatıldı",'ŞİKAYET KAYIT'!L456,""),"")</f>
        <v/>
      </c>
      <c r="I456" s="11" t="str">
        <f>IFERROR(IF('ŞİKAYET KAYIT'!P456="Kapatıldı",'ŞİKAYET KAYIT'!M456,""),"")</f>
        <v/>
      </c>
      <c r="J456" s="11" t="str">
        <f>IFERROR(IF('ŞİKAYET KAYIT'!P456="Kapatıldı",'ŞİKAYET KAYIT'!N456,""),"")</f>
        <v/>
      </c>
      <c r="K456" s="11" t="str">
        <f>IFERROR(IF('ŞİKAYET KAYIT'!P456="Kapatıldı",'ŞİKAYET KAYIT'!O456,""),"")</f>
        <v/>
      </c>
      <c r="L456" s="12" t="str">
        <f>IFERROR(IF('ŞİKAYET KAYIT'!P456="Kapatıldı",'ŞİKAYET KAYIT'!Q456,""),"")</f>
        <v/>
      </c>
      <c r="M456" s="11" t="str">
        <f>IFERROR(IF('ŞİKAYET KAYIT'!P456="Kapatıldı",'ŞİKAYET KAYIT'!R456,""),"")</f>
        <v/>
      </c>
      <c r="N456" s="11"/>
    </row>
    <row r="457" spans="1:14" ht="15" customHeight="1" x14ac:dyDescent="0.3">
      <c r="A457" s="26" t="str">
        <f>IFERROR(IF('ŞİKAYET KAYIT'!P457="Kapatıldı",'ŞİKAYET KAYIT'!A457,""),"")</f>
        <v/>
      </c>
      <c r="B457" s="8" t="str">
        <f>IFERROR(IF('ŞİKAYET KAYIT'!P457="Kapatıldı",'ŞİKAYET KAYIT'!B457,""),"")</f>
        <v/>
      </c>
      <c r="C457" s="26" t="str">
        <f>IFERROR(IF('ŞİKAYET KAYIT'!P457="Kapatıldı",'ŞİKAYET KAYIT'!D457,""),"")</f>
        <v/>
      </c>
      <c r="D457" s="26" t="str">
        <f>IFERROR(IF('ŞİKAYET KAYIT'!P457="Kapatıldı",'ŞİKAYET KAYIT'!F457,""),"")</f>
        <v/>
      </c>
      <c r="E457" s="26" t="str">
        <f>IFERROR(IF('ŞİKAYET KAYIT'!P457="Kapatıldı",'ŞİKAYET KAYIT'!H457,""),"")</f>
        <v/>
      </c>
      <c r="F457" s="26" t="str">
        <f>IFERROR(IF('ŞİKAYET KAYIT'!P457="Kapatıldı",'ŞİKAYET KAYIT'!J457,""),"")</f>
        <v/>
      </c>
      <c r="G457" s="26" t="str">
        <f>IFERROR(IF('ŞİKAYET KAYIT'!P457="Kapatıldı",'ŞİKAYET KAYIT'!K457,""),"")</f>
        <v/>
      </c>
      <c r="H457" s="26" t="str">
        <f>IFERROR(IF('ŞİKAYET KAYIT'!P457="Kapatıldı",'ŞİKAYET KAYIT'!L457,""),"")</f>
        <v/>
      </c>
      <c r="I457" s="26" t="str">
        <f>IFERROR(IF('ŞİKAYET KAYIT'!P457="Kapatıldı",'ŞİKAYET KAYIT'!M457,""),"")</f>
        <v/>
      </c>
      <c r="J457" s="26" t="str">
        <f>IFERROR(IF('ŞİKAYET KAYIT'!P457="Kapatıldı",'ŞİKAYET KAYIT'!N457,""),"")</f>
        <v/>
      </c>
      <c r="K457" s="26" t="str">
        <f>IFERROR(IF('ŞİKAYET KAYIT'!P457="Kapatıldı",'ŞİKAYET KAYIT'!O457,""),"")</f>
        <v/>
      </c>
      <c r="L457" s="8" t="str">
        <f>IFERROR(IF('ŞİKAYET KAYIT'!P457="Kapatıldı",'ŞİKAYET KAYIT'!Q457,""),"")</f>
        <v/>
      </c>
      <c r="M457" s="26" t="str">
        <f>IFERROR(IF('ŞİKAYET KAYIT'!P457="Kapatıldı",'ŞİKAYET KAYIT'!R457,""),"")</f>
        <v/>
      </c>
      <c r="N457" s="26"/>
    </row>
    <row r="458" spans="1:14" ht="15" customHeight="1" x14ac:dyDescent="0.3">
      <c r="A458" s="11" t="str">
        <f>IFERROR(IF('ŞİKAYET KAYIT'!P458="Kapatıldı",'ŞİKAYET KAYIT'!A458,""),"")</f>
        <v/>
      </c>
      <c r="B458" s="12" t="str">
        <f>IFERROR(IF('ŞİKAYET KAYIT'!P458="Kapatıldı",'ŞİKAYET KAYIT'!B458,""),"")</f>
        <v/>
      </c>
      <c r="C458" s="11" t="str">
        <f>IFERROR(IF('ŞİKAYET KAYIT'!P458="Kapatıldı",'ŞİKAYET KAYIT'!D458,""),"")</f>
        <v/>
      </c>
      <c r="D458" s="11" t="str">
        <f>IFERROR(IF('ŞİKAYET KAYIT'!P458="Kapatıldı",'ŞİKAYET KAYIT'!F458,""),"")</f>
        <v/>
      </c>
      <c r="E458" s="11" t="str">
        <f>IFERROR(IF('ŞİKAYET KAYIT'!P458="Kapatıldı",'ŞİKAYET KAYIT'!H458,""),"")</f>
        <v/>
      </c>
      <c r="F458" s="11" t="str">
        <f>IFERROR(IF('ŞİKAYET KAYIT'!P458="Kapatıldı",'ŞİKAYET KAYIT'!J458,""),"")</f>
        <v/>
      </c>
      <c r="G458" s="11" t="str">
        <f>IFERROR(IF('ŞİKAYET KAYIT'!P458="Kapatıldı",'ŞİKAYET KAYIT'!K458,""),"")</f>
        <v/>
      </c>
      <c r="H458" s="11" t="str">
        <f>IFERROR(IF('ŞİKAYET KAYIT'!P458="Kapatıldı",'ŞİKAYET KAYIT'!L458,""),"")</f>
        <v/>
      </c>
      <c r="I458" s="11" t="str">
        <f>IFERROR(IF('ŞİKAYET KAYIT'!P458="Kapatıldı",'ŞİKAYET KAYIT'!M458,""),"")</f>
        <v/>
      </c>
      <c r="J458" s="11" t="str">
        <f>IFERROR(IF('ŞİKAYET KAYIT'!P458="Kapatıldı",'ŞİKAYET KAYIT'!N458,""),"")</f>
        <v/>
      </c>
      <c r="K458" s="11" t="str">
        <f>IFERROR(IF('ŞİKAYET KAYIT'!P458="Kapatıldı",'ŞİKAYET KAYIT'!O458,""),"")</f>
        <v/>
      </c>
      <c r="L458" s="12" t="str">
        <f>IFERROR(IF('ŞİKAYET KAYIT'!P458="Kapatıldı",'ŞİKAYET KAYIT'!Q458,""),"")</f>
        <v/>
      </c>
      <c r="M458" s="11" t="str">
        <f>IFERROR(IF('ŞİKAYET KAYIT'!P458="Kapatıldı",'ŞİKAYET KAYIT'!R458,""),"")</f>
        <v/>
      </c>
      <c r="N458" s="11"/>
    </row>
    <row r="459" spans="1:14" ht="15" customHeight="1" x14ac:dyDescent="0.3">
      <c r="A459" s="26" t="str">
        <f>IFERROR(IF('ŞİKAYET KAYIT'!P459="Kapatıldı",'ŞİKAYET KAYIT'!A459,""),"")</f>
        <v/>
      </c>
      <c r="B459" s="8" t="str">
        <f>IFERROR(IF('ŞİKAYET KAYIT'!P459="Kapatıldı",'ŞİKAYET KAYIT'!B459,""),"")</f>
        <v/>
      </c>
      <c r="C459" s="26" t="str">
        <f>IFERROR(IF('ŞİKAYET KAYIT'!P459="Kapatıldı",'ŞİKAYET KAYIT'!D459,""),"")</f>
        <v/>
      </c>
      <c r="D459" s="26" t="str">
        <f>IFERROR(IF('ŞİKAYET KAYIT'!P459="Kapatıldı",'ŞİKAYET KAYIT'!F459,""),"")</f>
        <v/>
      </c>
      <c r="E459" s="26" t="str">
        <f>IFERROR(IF('ŞİKAYET KAYIT'!P459="Kapatıldı",'ŞİKAYET KAYIT'!H459,""),"")</f>
        <v/>
      </c>
      <c r="F459" s="26" t="str">
        <f>IFERROR(IF('ŞİKAYET KAYIT'!P459="Kapatıldı",'ŞİKAYET KAYIT'!J459,""),"")</f>
        <v/>
      </c>
      <c r="G459" s="26" t="str">
        <f>IFERROR(IF('ŞİKAYET KAYIT'!P459="Kapatıldı",'ŞİKAYET KAYIT'!K459,""),"")</f>
        <v/>
      </c>
      <c r="H459" s="26" t="str">
        <f>IFERROR(IF('ŞİKAYET KAYIT'!P459="Kapatıldı",'ŞİKAYET KAYIT'!L459,""),"")</f>
        <v/>
      </c>
      <c r="I459" s="26" t="str">
        <f>IFERROR(IF('ŞİKAYET KAYIT'!P459="Kapatıldı",'ŞİKAYET KAYIT'!M459,""),"")</f>
        <v/>
      </c>
      <c r="J459" s="26" t="str">
        <f>IFERROR(IF('ŞİKAYET KAYIT'!P459="Kapatıldı",'ŞİKAYET KAYIT'!N459,""),"")</f>
        <v/>
      </c>
      <c r="K459" s="26" t="str">
        <f>IFERROR(IF('ŞİKAYET KAYIT'!P459="Kapatıldı",'ŞİKAYET KAYIT'!O459,""),"")</f>
        <v/>
      </c>
      <c r="L459" s="8" t="str">
        <f>IFERROR(IF('ŞİKAYET KAYIT'!P459="Kapatıldı",'ŞİKAYET KAYIT'!Q459,""),"")</f>
        <v/>
      </c>
      <c r="M459" s="26" t="str">
        <f>IFERROR(IF('ŞİKAYET KAYIT'!P459="Kapatıldı",'ŞİKAYET KAYIT'!R459,""),"")</f>
        <v/>
      </c>
      <c r="N459" s="26"/>
    </row>
    <row r="460" spans="1:14" ht="15" customHeight="1" x14ac:dyDescent="0.3">
      <c r="A460" s="11" t="str">
        <f>IFERROR(IF('ŞİKAYET KAYIT'!P460="Kapatıldı",'ŞİKAYET KAYIT'!A460,""),"")</f>
        <v/>
      </c>
      <c r="B460" s="12" t="str">
        <f>IFERROR(IF('ŞİKAYET KAYIT'!P460="Kapatıldı",'ŞİKAYET KAYIT'!B460,""),"")</f>
        <v/>
      </c>
      <c r="C460" s="11" t="str">
        <f>IFERROR(IF('ŞİKAYET KAYIT'!P460="Kapatıldı",'ŞİKAYET KAYIT'!D460,""),"")</f>
        <v/>
      </c>
      <c r="D460" s="11" t="str">
        <f>IFERROR(IF('ŞİKAYET KAYIT'!P460="Kapatıldı",'ŞİKAYET KAYIT'!F460,""),"")</f>
        <v/>
      </c>
      <c r="E460" s="11" t="str">
        <f>IFERROR(IF('ŞİKAYET KAYIT'!P460="Kapatıldı",'ŞİKAYET KAYIT'!H460,""),"")</f>
        <v/>
      </c>
      <c r="F460" s="11" t="str">
        <f>IFERROR(IF('ŞİKAYET KAYIT'!P460="Kapatıldı",'ŞİKAYET KAYIT'!J460,""),"")</f>
        <v/>
      </c>
      <c r="G460" s="11" t="str">
        <f>IFERROR(IF('ŞİKAYET KAYIT'!P460="Kapatıldı",'ŞİKAYET KAYIT'!K460,""),"")</f>
        <v/>
      </c>
      <c r="H460" s="11" t="str">
        <f>IFERROR(IF('ŞİKAYET KAYIT'!P460="Kapatıldı",'ŞİKAYET KAYIT'!L460,""),"")</f>
        <v/>
      </c>
      <c r="I460" s="11" t="str">
        <f>IFERROR(IF('ŞİKAYET KAYIT'!P460="Kapatıldı",'ŞİKAYET KAYIT'!M460,""),"")</f>
        <v/>
      </c>
      <c r="J460" s="11" t="str">
        <f>IFERROR(IF('ŞİKAYET KAYIT'!P460="Kapatıldı",'ŞİKAYET KAYIT'!N460,""),"")</f>
        <v/>
      </c>
      <c r="K460" s="11" t="str">
        <f>IFERROR(IF('ŞİKAYET KAYIT'!P460="Kapatıldı",'ŞİKAYET KAYIT'!O460,""),"")</f>
        <v/>
      </c>
      <c r="L460" s="12" t="str">
        <f>IFERROR(IF('ŞİKAYET KAYIT'!P460="Kapatıldı",'ŞİKAYET KAYIT'!Q460,""),"")</f>
        <v/>
      </c>
      <c r="M460" s="11" t="str">
        <f>IFERROR(IF('ŞİKAYET KAYIT'!P460="Kapatıldı",'ŞİKAYET KAYIT'!R460,""),"")</f>
        <v/>
      </c>
      <c r="N460" s="11"/>
    </row>
    <row r="461" spans="1:14" ht="15" customHeight="1" x14ac:dyDescent="0.3">
      <c r="A461" s="26" t="str">
        <f>IFERROR(IF('ŞİKAYET KAYIT'!P461="Kapatıldı",'ŞİKAYET KAYIT'!A461,""),"")</f>
        <v/>
      </c>
      <c r="B461" s="8" t="str">
        <f>IFERROR(IF('ŞİKAYET KAYIT'!P461="Kapatıldı",'ŞİKAYET KAYIT'!B461,""),"")</f>
        <v/>
      </c>
      <c r="C461" s="26" t="str">
        <f>IFERROR(IF('ŞİKAYET KAYIT'!P461="Kapatıldı",'ŞİKAYET KAYIT'!D461,""),"")</f>
        <v/>
      </c>
      <c r="D461" s="26" t="str">
        <f>IFERROR(IF('ŞİKAYET KAYIT'!P461="Kapatıldı",'ŞİKAYET KAYIT'!F461,""),"")</f>
        <v/>
      </c>
      <c r="E461" s="26" t="str">
        <f>IFERROR(IF('ŞİKAYET KAYIT'!P461="Kapatıldı",'ŞİKAYET KAYIT'!H461,""),"")</f>
        <v/>
      </c>
      <c r="F461" s="26" t="str">
        <f>IFERROR(IF('ŞİKAYET KAYIT'!P461="Kapatıldı",'ŞİKAYET KAYIT'!J461,""),"")</f>
        <v/>
      </c>
      <c r="G461" s="26" t="str">
        <f>IFERROR(IF('ŞİKAYET KAYIT'!P461="Kapatıldı",'ŞİKAYET KAYIT'!K461,""),"")</f>
        <v/>
      </c>
      <c r="H461" s="26" t="str">
        <f>IFERROR(IF('ŞİKAYET KAYIT'!P461="Kapatıldı",'ŞİKAYET KAYIT'!L461,""),"")</f>
        <v/>
      </c>
      <c r="I461" s="26" t="str">
        <f>IFERROR(IF('ŞİKAYET KAYIT'!P461="Kapatıldı",'ŞİKAYET KAYIT'!M461,""),"")</f>
        <v/>
      </c>
      <c r="J461" s="26" t="str">
        <f>IFERROR(IF('ŞİKAYET KAYIT'!P461="Kapatıldı",'ŞİKAYET KAYIT'!N461,""),"")</f>
        <v/>
      </c>
      <c r="K461" s="26" t="str">
        <f>IFERROR(IF('ŞİKAYET KAYIT'!P461="Kapatıldı",'ŞİKAYET KAYIT'!O461,""),"")</f>
        <v/>
      </c>
      <c r="L461" s="8" t="str">
        <f>IFERROR(IF('ŞİKAYET KAYIT'!P461="Kapatıldı",'ŞİKAYET KAYIT'!Q461,""),"")</f>
        <v/>
      </c>
      <c r="M461" s="26" t="str">
        <f>IFERROR(IF('ŞİKAYET KAYIT'!P461="Kapatıldı",'ŞİKAYET KAYIT'!R461,""),"")</f>
        <v/>
      </c>
      <c r="N461" s="26"/>
    </row>
    <row r="462" spans="1:14" ht="15" customHeight="1" x14ac:dyDescent="0.3">
      <c r="A462" s="11" t="str">
        <f>IFERROR(IF('ŞİKAYET KAYIT'!P462="Kapatıldı",'ŞİKAYET KAYIT'!A462,""),"")</f>
        <v/>
      </c>
      <c r="B462" s="12" t="str">
        <f>IFERROR(IF('ŞİKAYET KAYIT'!P462="Kapatıldı",'ŞİKAYET KAYIT'!B462,""),"")</f>
        <v/>
      </c>
      <c r="C462" s="11" t="str">
        <f>IFERROR(IF('ŞİKAYET KAYIT'!P462="Kapatıldı",'ŞİKAYET KAYIT'!D462,""),"")</f>
        <v/>
      </c>
      <c r="D462" s="11" t="str">
        <f>IFERROR(IF('ŞİKAYET KAYIT'!P462="Kapatıldı",'ŞİKAYET KAYIT'!F462,""),"")</f>
        <v/>
      </c>
      <c r="E462" s="11" t="str">
        <f>IFERROR(IF('ŞİKAYET KAYIT'!P462="Kapatıldı",'ŞİKAYET KAYIT'!H462,""),"")</f>
        <v/>
      </c>
      <c r="F462" s="11" t="str">
        <f>IFERROR(IF('ŞİKAYET KAYIT'!P462="Kapatıldı",'ŞİKAYET KAYIT'!J462,""),"")</f>
        <v/>
      </c>
      <c r="G462" s="11" t="str">
        <f>IFERROR(IF('ŞİKAYET KAYIT'!P462="Kapatıldı",'ŞİKAYET KAYIT'!K462,""),"")</f>
        <v/>
      </c>
      <c r="H462" s="11" t="str">
        <f>IFERROR(IF('ŞİKAYET KAYIT'!P462="Kapatıldı",'ŞİKAYET KAYIT'!L462,""),"")</f>
        <v/>
      </c>
      <c r="I462" s="11" t="str">
        <f>IFERROR(IF('ŞİKAYET KAYIT'!P462="Kapatıldı",'ŞİKAYET KAYIT'!M462,""),"")</f>
        <v/>
      </c>
      <c r="J462" s="11" t="str">
        <f>IFERROR(IF('ŞİKAYET KAYIT'!P462="Kapatıldı",'ŞİKAYET KAYIT'!N462,""),"")</f>
        <v/>
      </c>
      <c r="K462" s="11" t="str">
        <f>IFERROR(IF('ŞİKAYET KAYIT'!P462="Kapatıldı",'ŞİKAYET KAYIT'!O462,""),"")</f>
        <v/>
      </c>
      <c r="L462" s="12" t="str">
        <f>IFERROR(IF('ŞİKAYET KAYIT'!P462="Kapatıldı",'ŞİKAYET KAYIT'!Q462,""),"")</f>
        <v/>
      </c>
      <c r="M462" s="11" t="str">
        <f>IFERROR(IF('ŞİKAYET KAYIT'!P462="Kapatıldı",'ŞİKAYET KAYIT'!R462,""),"")</f>
        <v/>
      </c>
      <c r="N462" s="11"/>
    </row>
    <row r="463" spans="1:14" ht="15" customHeight="1" x14ac:dyDescent="0.3">
      <c r="A463" s="26" t="str">
        <f>IFERROR(IF('ŞİKAYET KAYIT'!P463="Kapatıldı",'ŞİKAYET KAYIT'!A463,""),"")</f>
        <v/>
      </c>
      <c r="B463" s="8" t="str">
        <f>IFERROR(IF('ŞİKAYET KAYIT'!P463="Kapatıldı",'ŞİKAYET KAYIT'!B463,""),"")</f>
        <v/>
      </c>
      <c r="C463" s="26" t="str">
        <f>IFERROR(IF('ŞİKAYET KAYIT'!P463="Kapatıldı",'ŞİKAYET KAYIT'!D463,""),"")</f>
        <v/>
      </c>
      <c r="D463" s="26" t="str">
        <f>IFERROR(IF('ŞİKAYET KAYIT'!P463="Kapatıldı",'ŞİKAYET KAYIT'!F463,""),"")</f>
        <v/>
      </c>
      <c r="E463" s="26" t="str">
        <f>IFERROR(IF('ŞİKAYET KAYIT'!P463="Kapatıldı",'ŞİKAYET KAYIT'!H463,""),"")</f>
        <v/>
      </c>
      <c r="F463" s="26" t="str">
        <f>IFERROR(IF('ŞİKAYET KAYIT'!P463="Kapatıldı",'ŞİKAYET KAYIT'!J463,""),"")</f>
        <v/>
      </c>
      <c r="G463" s="26" t="str">
        <f>IFERROR(IF('ŞİKAYET KAYIT'!P463="Kapatıldı",'ŞİKAYET KAYIT'!K463,""),"")</f>
        <v/>
      </c>
      <c r="H463" s="26" t="str">
        <f>IFERROR(IF('ŞİKAYET KAYIT'!P463="Kapatıldı",'ŞİKAYET KAYIT'!L463,""),"")</f>
        <v/>
      </c>
      <c r="I463" s="26" t="str">
        <f>IFERROR(IF('ŞİKAYET KAYIT'!P463="Kapatıldı",'ŞİKAYET KAYIT'!M463,""),"")</f>
        <v/>
      </c>
      <c r="J463" s="26" t="str">
        <f>IFERROR(IF('ŞİKAYET KAYIT'!P463="Kapatıldı",'ŞİKAYET KAYIT'!N463,""),"")</f>
        <v/>
      </c>
      <c r="K463" s="26" t="str">
        <f>IFERROR(IF('ŞİKAYET KAYIT'!P463="Kapatıldı",'ŞİKAYET KAYIT'!O463,""),"")</f>
        <v/>
      </c>
      <c r="L463" s="8" t="str">
        <f>IFERROR(IF('ŞİKAYET KAYIT'!P463="Kapatıldı",'ŞİKAYET KAYIT'!Q463,""),"")</f>
        <v/>
      </c>
      <c r="M463" s="26" t="str">
        <f>IFERROR(IF('ŞİKAYET KAYIT'!P463="Kapatıldı",'ŞİKAYET KAYIT'!R463,""),"")</f>
        <v/>
      </c>
      <c r="N463" s="26"/>
    </row>
    <row r="464" spans="1:14" ht="15" customHeight="1" x14ac:dyDescent="0.3">
      <c r="A464" s="11" t="str">
        <f>IFERROR(IF('ŞİKAYET KAYIT'!P464="Kapatıldı",'ŞİKAYET KAYIT'!A464,""),"")</f>
        <v/>
      </c>
      <c r="B464" s="12" t="str">
        <f>IFERROR(IF('ŞİKAYET KAYIT'!P464="Kapatıldı",'ŞİKAYET KAYIT'!B464,""),"")</f>
        <v/>
      </c>
      <c r="C464" s="11" t="str">
        <f>IFERROR(IF('ŞİKAYET KAYIT'!P464="Kapatıldı",'ŞİKAYET KAYIT'!D464,""),"")</f>
        <v/>
      </c>
      <c r="D464" s="11" t="str">
        <f>IFERROR(IF('ŞİKAYET KAYIT'!P464="Kapatıldı",'ŞİKAYET KAYIT'!F464,""),"")</f>
        <v/>
      </c>
      <c r="E464" s="11" t="str">
        <f>IFERROR(IF('ŞİKAYET KAYIT'!P464="Kapatıldı",'ŞİKAYET KAYIT'!H464,""),"")</f>
        <v/>
      </c>
      <c r="F464" s="11" t="str">
        <f>IFERROR(IF('ŞİKAYET KAYIT'!P464="Kapatıldı",'ŞİKAYET KAYIT'!J464,""),"")</f>
        <v/>
      </c>
      <c r="G464" s="11" t="str">
        <f>IFERROR(IF('ŞİKAYET KAYIT'!P464="Kapatıldı",'ŞİKAYET KAYIT'!K464,""),"")</f>
        <v/>
      </c>
      <c r="H464" s="11" t="str">
        <f>IFERROR(IF('ŞİKAYET KAYIT'!P464="Kapatıldı",'ŞİKAYET KAYIT'!L464,""),"")</f>
        <v/>
      </c>
      <c r="I464" s="11" t="str">
        <f>IFERROR(IF('ŞİKAYET KAYIT'!P464="Kapatıldı",'ŞİKAYET KAYIT'!M464,""),"")</f>
        <v/>
      </c>
      <c r="J464" s="11" t="str">
        <f>IFERROR(IF('ŞİKAYET KAYIT'!P464="Kapatıldı",'ŞİKAYET KAYIT'!N464,""),"")</f>
        <v/>
      </c>
      <c r="K464" s="11" t="str">
        <f>IFERROR(IF('ŞİKAYET KAYIT'!P464="Kapatıldı",'ŞİKAYET KAYIT'!O464,""),"")</f>
        <v/>
      </c>
      <c r="L464" s="12" t="str">
        <f>IFERROR(IF('ŞİKAYET KAYIT'!P464="Kapatıldı",'ŞİKAYET KAYIT'!Q464,""),"")</f>
        <v/>
      </c>
      <c r="M464" s="11" t="str">
        <f>IFERROR(IF('ŞİKAYET KAYIT'!P464="Kapatıldı",'ŞİKAYET KAYIT'!R464,""),"")</f>
        <v/>
      </c>
      <c r="N464" s="11"/>
    </row>
    <row r="465" spans="1:14" ht="15" customHeight="1" x14ac:dyDescent="0.3">
      <c r="A465" s="26" t="str">
        <f>IFERROR(IF('ŞİKAYET KAYIT'!P465="Kapatıldı",'ŞİKAYET KAYIT'!A465,""),"")</f>
        <v/>
      </c>
      <c r="B465" s="8" t="str">
        <f>IFERROR(IF('ŞİKAYET KAYIT'!P465="Kapatıldı",'ŞİKAYET KAYIT'!B465,""),"")</f>
        <v/>
      </c>
      <c r="C465" s="26" t="str">
        <f>IFERROR(IF('ŞİKAYET KAYIT'!P465="Kapatıldı",'ŞİKAYET KAYIT'!D465,""),"")</f>
        <v/>
      </c>
      <c r="D465" s="26" t="str">
        <f>IFERROR(IF('ŞİKAYET KAYIT'!P465="Kapatıldı",'ŞİKAYET KAYIT'!F465,""),"")</f>
        <v/>
      </c>
      <c r="E465" s="26" t="str">
        <f>IFERROR(IF('ŞİKAYET KAYIT'!P465="Kapatıldı",'ŞİKAYET KAYIT'!H465,""),"")</f>
        <v/>
      </c>
      <c r="F465" s="26" t="str">
        <f>IFERROR(IF('ŞİKAYET KAYIT'!P465="Kapatıldı",'ŞİKAYET KAYIT'!J465,""),"")</f>
        <v/>
      </c>
      <c r="G465" s="26" t="str">
        <f>IFERROR(IF('ŞİKAYET KAYIT'!P465="Kapatıldı",'ŞİKAYET KAYIT'!K465,""),"")</f>
        <v/>
      </c>
      <c r="H465" s="26" t="str">
        <f>IFERROR(IF('ŞİKAYET KAYIT'!P465="Kapatıldı",'ŞİKAYET KAYIT'!L465,""),"")</f>
        <v/>
      </c>
      <c r="I465" s="26" t="str">
        <f>IFERROR(IF('ŞİKAYET KAYIT'!P465="Kapatıldı",'ŞİKAYET KAYIT'!M465,""),"")</f>
        <v/>
      </c>
      <c r="J465" s="26" t="str">
        <f>IFERROR(IF('ŞİKAYET KAYIT'!P465="Kapatıldı",'ŞİKAYET KAYIT'!N465,""),"")</f>
        <v/>
      </c>
      <c r="K465" s="26" t="str">
        <f>IFERROR(IF('ŞİKAYET KAYIT'!P465="Kapatıldı",'ŞİKAYET KAYIT'!O465,""),"")</f>
        <v/>
      </c>
      <c r="L465" s="8" t="str">
        <f>IFERROR(IF('ŞİKAYET KAYIT'!P465="Kapatıldı",'ŞİKAYET KAYIT'!Q465,""),"")</f>
        <v/>
      </c>
      <c r="M465" s="26" t="str">
        <f>IFERROR(IF('ŞİKAYET KAYIT'!P465="Kapatıldı",'ŞİKAYET KAYIT'!R465,""),"")</f>
        <v/>
      </c>
      <c r="N465" s="26"/>
    </row>
    <row r="466" spans="1:14" ht="15" customHeight="1" x14ac:dyDescent="0.3">
      <c r="A466" s="11" t="str">
        <f>IFERROR(IF('ŞİKAYET KAYIT'!P466="Kapatıldı",'ŞİKAYET KAYIT'!A466,""),"")</f>
        <v/>
      </c>
      <c r="B466" s="12" t="str">
        <f>IFERROR(IF('ŞİKAYET KAYIT'!P466="Kapatıldı",'ŞİKAYET KAYIT'!B466,""),"")</f>
        <v/>
      </c>
      <c r="C466" s="11" t="str">
        <f>IFERROR(IF('ŞİKAYET KAYIT'!P466="Kapatıldı",'ŞİKAYET KAYIT'!D466,""),"")</f>
        <v/>
      </c>
      <c r="D466" s="11" t="str">
        <f>IFERROR(IF('ŞİKAYET KAYIT'!P466="Kapatıldı",'ŞİKAYET KAYIT'!F466,""),"")</f>
        <v/>
      </c>
      <c r="E466" s="11" t="str">
        <f>IFERROR(IF('ŞİKAYET KAYIT'!P466="Kapatıldı",'ŞİKAYET KAYIT'!H466,""),"")</f>
        <v/>
      </c>
      <c r="F466" s="11" t="str">
        <f>IFERROR(IF('ŞİKAYET KAYIT'!P466="Kapatıldı",'ŞİKAYET KAYIT'!J466,""),"")</f>
        <v/>
      </c>
      <c r="G466" s="11" t="str">
        <f>IFERROR(IF('ŞİKAYET KAYIT'!P466="Kapatıldı",'ŞİKAYET KAYIT'!K466,""),"")</f>
        <v/>
      </c>
      <c r="H466" s="11" t="str">
        <f>IFERROR(IF('ŞİKAYET KAYIT'!P466="Kapatıldı",'ŞİKAYET KAYIT'!L466,""),"")</f>
        <v/>
      </c>
      <c r="I466" s="11" t="str">
        <f>IFERROR(IF('ŞİKAYET KAYIT'!P466="Kapatıldı",'ŞİKAYET KAYIT'!M466,""),"")</f>
        <v/>
      </c>
      <c r="J466" s="11" t="str">
        <f>IFERROR(IF('ŞİKAYET KAYIT'!P466="Kapatıldı",'ŞİKAYET KAYIT'!N466,""),"")</f>
        <v/>
      </c>
      <c r="K466" s="11" t="str">
        <f>IFERROR(IF('ŞİKAYET KAYIT'!P466="Kapatıldı",'ŞİKAYET KAYIT'!O466,""),"")</f>
        <v/>
      </c>
      <c r="L466" s="12" t="str">
        <f>IFERROR(IF('ŞİKAYET KAYIT'!P466="Kapatıldı",'ŞİKAYET KAYIT'!Q466,""),"")</f>
        <v/>
      </c>
      <c r="M466" s="11" t="str">
        <f>IFERROR(IF('ŞİKAYET KAYIT'!P466="Kapatıldı",'ŞİKAYET KAYIT'!R466,""),"")</f>
        <v/>
      </c>
      <c r="N466" s="11"/>
    </row>
    <row r="467" spans="1:14" ht="15" customHeight="1" x14ac:dyDescent="0.3">
      <c r="A467" s="26" t="str">
        <f>IFERROR(IF('ŞİKAYET KAYIT'!P467="Kapatıldı",'ŞİKAYET KAYIT'!A467,""),"")</f>
        <v/>
      </c>
      <c r="B467" s="8" t="str">
        <f>IFERROR(IF('ŞİKAYET KAYIT'!P467="Kapatıldı",'ŞİKAYET KAYIT'!B467,""),"")</f>
        <v/>
      </c>
      <c r="C467" s="26" t="str">
        <f>IFERROR(IF('ŞİKAYET KAYIT'!P467="Kapatıldı",'ŞİKAYET KAYIT'!D467,""),"")</f>
        <v/>
      </c>
      <c r="D467" s="26" t="str">
        <f>IFERROR(IF('ŞİKAYET KAYIT'!P467="Kapatıldı",'ŞİKAYET KAYIT'!F467,""),"")</f>
        <v/>
      </c>
      <c r="E467" s="26" t="str">
        <f>IFERROR(IF('ŞİKAYET KAYIT'!P467="Kapatıldı",'ŞİKAYET KAYIT'!H467,""),"")</f>
        <v/>
      </c>
      <c r="F467" s="26" t="str">
        <f>IFERROR(IF('ŞİKAYET KAYIT'!P467="Kapatıldı",'ŞİKAYET KAYIT'!J467,""),"")</f>
        <v/>
      </c>
      <c r="G467" s="26" t="str">
        <f>IFERROR(IF('ŞİKAYET KAYIT'!P467="Kapatıldı",'ŞİKAYET KAYIT'!K467,""),"")</f>
        <v/>
      </c>
      <c r="H467" s="26" t="str">
        <f>IFERROR(IF('ŞİKAYET KAYIT'!P467="Kapatıldı",'ŞİKAYET KAYIT'!L467,""),"")</f>
        <v/>
      </c>
      <c r="I467" s="26" t="str">
        <f>IFERROR(IF('ŞİKAYET KAYIT'!P467="Kapatıldı",'ŞİKAYET KAYIT'!M467,""),"")</f>
        <v/>
      </c>
      <c r="J467" s="26" t="str">
        <f>IFERROR(IF('ŞİKAYET KAYIT'!P467="Kapatıldı",'ŞİKAYET KAYIT'!N467,""),"")</f>
        <v/>
      </c>
      <c r="K467" s="26" t="str">
        <f>IFERROR(IF('ŞİKAYET KAYIT'!P467="Kapatıldı",'ŞİKAYET KAYIT'!O467,""),"")</f>
        <v/>
      </c>
      <c r="L467" s="8" t="str">
        <f>IFERROR(IF('ŞİKAYET KAYIT'!P467="Kapatıldı",'ŞİKAYET KAYIT'!Q467,""),"")</f>
        <v/>
      </c>
      <c r="M467" s="26" t="str">
        <f>IFERROR(IF('ŞİKAYET KAYIT'!P467="Kapatıldı",'ŞİKAYET KAYIT'!R467,""),"")</f>
        <v/>
      </c>
      <c r="N467" s="26"/>
    </row>
    <row r="468" spans="1:14" ht="15" customHeight="1" x14ac:dyDescent="0.3">
      <c r="A468" s="11" t="str">
        <f>IFERROR(IF('ŞİKAYET KAYIT'!P468="Kapatıldı",'ŞİKAYET KAYIT'!A468,""),"")</f>
        <v/>
      </c>
      <c r="B468" s="12" t="str">
        <f>IFERROR(IF('ŞİKAYET KAYIT'!P468="Kapatıldı",'ŞİKAYET KAYIT'!B468,""),"")</f>
        <v/>
      </c>
      <c r="C468" s="11" t="str">
        <f>IFERROR(IF('ŞİKAYET KAYIT'!P468="Kapatıldı",'ŞİKAYET KAYIT'!D468,""),"")</f>
        <v/>
      </c>
      <c r="D468" s="11" t="str">
        <f>IFERROR(IF('ŞİKAYET KAYIT'!P468="Kapatıldı",'ŞİKAYET KAYIT'!F468,""),"")</f>
        <v/>
      </c>
      <c r="E468" s="11" t="str">
        <f>IFERROR(IF('ŞİKAYET KAYIT'!P468="Kapatıldı",'ŞİKAYET KAYIT'!H468,""),"")</f>
        <v/>
      </c>
      <c r="F468" s="11" t="str">
        <f>IFERROR(IF('ŞİKAYET KAYIT'!P468="Kapatıldı",'ŞİKAYET KAYIT'!J468,""),"")</f>
        <v/>
      </c>
      <c r="G468" s="11" t="str">
        <f>IFERROR(IF('ŞİKAYET KAYIT'!P468="Kapatıldı",'ŞİKAYET KAYIT'!K468,""),"")</f>
        <v/>
      </c>
      <c r="H468" s="11" t="str">
        <f>IFERROR(IF('ŞİKAYET KAYIT'!P468="Kapatıldı",'ŞİKAYET KAYIT'!L468,""),"")</f>
        <v/>
      </c>
      <c r="I468" s="11" t="str">
        <f>IFERROR(IF('ŞİKAYET KAYIT'!P468="Kapatıldı",'ŞİKAYET KAYIT'!M468,""),"")</f>
        <v/>
      </c>
      <c r="J468" s="11" t="str">
        <f>IFERROR(IF('ŞİKAYET KAYIT'!P468="Kapatıldı",'ŞİKAYET KAYIT'!N468,""),"")</f>
        <v/>
      </c>
      <c r="K468" s="11" t="str">
        <f>IFERROR(IF('ŞİKAYET KAYIT'!P468="Kapatıldı",'ŞİKAYET KAYIT'!O468,""),"")</f>
        <v/>
      </c>
      <c r="L468" s="12" t="str">
        <f>IFERROR(IF('ŞİKAYET KAYIT'!P468="Kapatıldı",'ŞİKAYET KAYIT'!Q468,""),"")</f>
        <v/>
      </c>
      <c r="M468" s="11" t="str">
        <f>IFERROR(IF('ŞİKAYET KAYIT'!P468="Kapatıldı",'ŞİKAYET KAYIT'!R468,""),"")</f>
        <v/>
      </c>
      <c r="N468" s="11"/>
    </row>
    <row r="469" spans="1:14" ht="15" customHeight="1" x14ac:dyDescent="0.3">
      <c r="A469" s="26" t="str">
        <f>IFERROR(IF('ŞİKAYET KAYIT'!P469="Kapatıldı",'ŞİKAYET KAYIT'!A469,""),"")</f>
        <v/>
      </c>
      <c r="B469" s="8" t="str">
        <f>IFERROR(IF('ŞİKAYET KAYIT'!P469="Kapatıldı",'ŞİKAYET KAYIT'!B469,""),"")</f>
        <v/>
      </c>
      <c r="C469" s="26" t="str">
        <f>IFERROR(IF('ŞİKAYET KAYIT'!P469="Kapatıldı",'ŞİKAYET KAYIT'!D469,""),"")</f>
        <v/>
      </c>
      <c r="D469" s="26" t="str">
        <f>IFERROR(IF('ŞİKAYET KAYIT'!P469="Kapatıldı",'ŞİKAYET KAYIT'!F469,""),"")</f>
        <v/>
      </c>
      <c r="E469" s="26" t="str">
        <f>IFERROR(IF('ŞİKAYET KAYIT'!P469="Kapatıldı",'ŞİKAYET KAYIT'!H469,""),"")</f>
        <v/>
      </c>
      <c r="F469" s="26" t="str">
        <f>IFERROR(IF('ŞİKAYET KAYIT'!P469="Kapatıldı",'ŞİKAYET KAYIT'!J469,""),"")</f>
        <v/>
      </c>
      <c r="G469" s="26" t="str">
        <f>IFERROR(IF('ŞİKAYET KAYIT'!P469="Kapatıldı",'ŞİKAYET KAYIT'!K469,""),"")</f>
        <v/>
      </c>
      <c r="H469" s="26" t="str">
        <f>IFERROR(IF('ŞİKAYET KAYIT'!P469="Kapatıldı",'ŞİKAYET KAYIT'!L469,""),"")</f>
        <v/>
      </c>
      <c r="I469" s="26" t="str">
        <f>IFERROR(IF('ŞİKAYET KAYIT'!P469="Kapatıldı",'ŞİKAYET KAYIT'!M469,""),"")</f>
        <v/>
      </c>
      <c r="J469" s="26" t="str">
        <f>IFERROR(IF('ŞİKAYET KAYIT'!P469="Kapatıldı",'ŞİKAYET KAYIT'!N469,""),"")</f>
        <v/>
      </c>
      <c r="K469" s="26" t="str">
        <f>IFERROR(IF('ŞİKAYET KAYIT'!P469="Kapatıldı",'ŞİKAYET KAYIT'!O469,""),"")</f>
        <v/>
      </c>
      <c r="L469" s="8" t="str">
        <f>IFERROR(IF('ŞİKAYET KAYIT'!P469="Kapatıldı",'ŞİKAYET KAYIT'!Q469,""),"")</f>
        <v/>
      </c>
      <c r="M469" s="26" t="str">
        <f>IFERROR(IF('ŞİKAYET KAYIT'!P469="Kapatıldı",'ŞİKAYET KAYIT'!R469,""),"")</f>
        <v/>
      </c>
      <c r="N469" s="26"/>
    </row>
    <row r="470" spans="1:14" ht="15" customHeight="1" x14ac:dyDescent="0.3">
      <c r="A470" s="11" t="str">
        <f>IFERROR(IF('ŞİKAYET KAYIT'!P470="Kapatıldı",'ŞİKAYET KAYIT'!A470,""),"")</f>
        <v/>
      </c>
      <c r="B470" s="12" t="str">
        <f>IFERROR(IF('ŞİKAYET KAYIT'!P470="Kapatıldı",'ŞİKAYET KAYIT'!B470,""),"")</f>
        <v/>
      </c>
      <c r="C470" s="11" t="str">
        <f>IFERROR(IF('ŞİKAYET KAYIT'!P470="Kapatıldı",'ŞİKAYET KAYIT'!D470,""),"")</f>
        <v/>
      </c>
      <c r="D470" s="11" t="str">
        <f>IFERROR(IF('ŞİKAYET KAYIT'!P470="Kapatıldı",'ŞİKAYET KAYIT'!F470,""),"")</f>
        <v/>
      </c>
      <c r="E470" s="11" t="str">
        <f>IFERROR(IF('ŞİKAYET KAYIT'!P470="Kapatıldı",'ŞİKAYET KAYIT'!H470,""),"")</f>
        <v/>
      </c>
      <c r="F470" s="11" t="str">
        <f>IFERROR(IF('ŞİKAYET KAYIT'!P470="Kapatıldı",'ŞİKAYET KAYIT'!J470,""),"")</f>
        <v/>
      </c>
      <c r="G470" s="11" t="str">
        <f>IFERROR(IF('ŞİKAYET KAYIT'!P470="Kapatıldı",'ŞİKAYET KAYIT'!K470,""),"")</f>
        <v/>
      </c>
      <c r="H470" s="11" t="str">
        <f>IFERROR(IF('ŞİKAYET KAYIT'!P470="Kapatıldı",'ŞİKAYET KAYIT'!L470,""),"")</f>
        <v/>
      </c>
      <c r="I470" s="11" t="str">
        <f>IFERROR(IF('ŞİKAYET KAYIT'!P470="Kapatıldı",'ŞİKAYET KAYIT'!M470,""),"")</f>
        <v/>
      </c>
      <c r="J470" s="11" t="str">
        <f>IFERROR(IF('ŞİKAYET KAYIT'!P470="Kapatıldı",'ŞİKAYET KAYIT'!N470,""),"")</f>
        <v/>
      </c>
      <c r="K470" s="11" t="str">
        <f>IFERROR(IF('ŞİKAYET KAYIT'!P470="Kapatıldı",'ŞİKAYET KAYIT'!O470,""),"")</f>
        <v/>
      </c>
      <c r="L470" s="12" t="str">
        <f>IFERROR(IF('ŞİKAYET KAYIT'!P470="Kapatıldı",'ŞİKAYET KAYIT'!Q470,""),"")</f>
        <v/>
      </c>
      <c r="M470" s="11" t="str">
        <f>IFERROR(IF('ŞİKAYET KAYIT'!P470="Kapatıldı",'ŞİKAYET KAYIT'!R470,""),"")</f>
        <v/>
      </c>
      <c r="N470" s="11"/>
    </row>
    <row r="471" spans="1:14" ht="15" customHeight="1" x14ac:dyDescent="0.3">
      <c r="A471" s="26" t="str">
        <f>IFERROR(IF('ŞİKAYET KAYIT'!P471="Kapatıldı",'ŞİKAYET KAYIT'!A471,""),"")</f>
        <v/>
      </c>
      <c r="B471" s="8" t="str">
        <f>IFERROR(IF('ŞİKAYET KAYIT'!P471="Kapatıldı",'ŞİKAYET KAYIT'!B471,""),"")</f>
        <v/>
      </c>
      <c r="C471" s="26" t="str">
        <f>IFERROR(IF('ŞİKAYET KAYIT'!P471="Kapatıldı",'ŞİKAYET KAYIT'!D471,""),"")</f>
        <v/>
      </c>
      <c r="D471" s="26" t="str">
        <f>IFERROR(IF('ŞİKAYET KAYIT'!P471="Kapatıldı",'ŞİKAYET KAYIT'!F471,""),"")</f>
        <v/>
      </c>
      <c r="E471" s="26" t="str">
        <f>IFERROR(IF('ŞİKAYET KAYIT'!P471="Kapatıldı",'ŞİKAYET KAYIT'!H471,""),"")</f>
        <v/>
      </c>
      <c r="F471" s="26" t="str">
        <f>IFERROR(IF('ŞİKAYET KAYIT'!P471="Kapatıldı",'ŞİKAYET KAYIT'!J471,""),"")</f>
        <v/>
      </c>
      <c r="G471" s="26" t="str">
        <f>IFERROR(IF('ŞİKAYET KAYIT'!P471="Kapatıldı",'ŞİKAYET KAYIT'!K471,""),"")</f>
        <v/>
      </c>
      <c r="H471" s="26" t="str">
        <f>IFERROR(IF('ŞİKAYET KAYIT'!P471="Kapatıldı",'ŞİKAYET KAYIT'!L471,""),"")</f>
        <v/>
      </c>
      <c r="I471" s="26" t="str">
        <f>IFERROR(IF('ŞİKAYET KAYIT'!P471="Kapatıldı",'ŞİKAYET KAYIT'!M471,""),"")</f>
        <v/>
      </c>
      <c r="J471" s="26" t="str">
        <f>IFERROR(IF('ŞİKAYET KAYIT'!P471="Kapatıldı",'ŞİKAYET KAYIT'!N471,""),"")</f>
        <v/>
      </c>
      <c r="K471" s="26" t="str">
        <f>IFERROR(IF('ŞİKAYET KAYIT'!P471="Kapatıldı",'ŞİKAYET KAYIT'!O471,""),"")</f>
        <v/>
      </c>
      <c r="L471" s="8" t="str">
        <f>IFERROR(IF('ŞİKAYET KAYIT'!P471="Kapatıldı",'ŞİKAYET KAYIT'!Q471,""),"")</f>
        <v/>
      </c>
      <c r="M471" s="26" t="str">
        <f>IFERROR(IF('ŞİKAYET KAYIT'!P471="Kapatıldı",'ŞİKAYET KAYIT'!R471,""),"")</f>
        <v/>
      </c>
      <c r="N471" s="26"/>
    </row>
    <row r="472" spans="1:14" ht="15" customHeight="1" x14ac:dyDescent="0.3">
      <c r="A472" s="11" t="str">
        <f>IFERROR(IF('ŞİKAYET KAYIT'!P472="Kapatıldı",'ŞİKAYET KAYIT'!A472,""),"")</f>
        <v/>
      </c>
      <c r="B472" s="12" t="str">
        <f>IFERROR(IF('ŞİKAYET KAYIT'!P472="Kapatıldı",'ŞİKAYET KAYIT'!B472,""),"")</f>
        <v/>
      </c>
      <c r="C472" s="11" t="str">
        <f>IFERROR(IF('ŞİKAYET KAYIT'!P472="Kapatıldı",'ŞİKAYET KAYIT'!D472,""),"")</f>
        <v/>
      </c>
      <c r="D472" s="11" t="str">
        <f>IFERROR(IF('ŞİKAYET KAYIT'!P472="Kapatıldı",'ŞİKAYET KAYIT'!F472,""),"")</f>
        <v/>
      </c>
      <c r="E472" s="11" t="str">
        <f>IFERROR(IF('ŞİKAYET KAYIT'!P472="Kapatıldı",'ŞİKAYET KAYIT'!H472,""),"")</f>
        <v/>
      </c>
      <c r="F472" s="11" t="str">
        <f>IFERROR(IF('ŞİKAYET KAYIT'!P472="Kapatıldı",'ŞİKAYET KAYIT'!J472,""),"")</f>
        <v/>
      </c>
      <c r="G472" s="11" t="str">
        <f>IFERROR(IF('ŞİKAYET KAYIT'!P472="Kapatıldı",'ŞİKAYET KAYIT'!K472,""),"")</f>
        <v/>
      </c>
      <c r="H472" s="11" t="str">
        <f>IFERROR(IF('ŞİKAYET KAYIT'!P472="Kapatıldı",'ŞİKAYET KAYIT'!L472,""),"")</f>
        <v/>
      </c>
      <c r="I472" s="11" t="str">
        <f>IFERROR(IF('ŞİKAYET KAYIT'!P472="Kapatıldı",'ŞİKAYET KAYIT'!M472,""),"")</f>
        <v/>
      </c>
      <c r="J472" s="11" t="str">
        <f>IFERROR(IF('ŞİKAYET KAYIT'!P472="Kapatıldı",'ŞİKAYET KAYIT'!N472,""),"")</f>
        <v/>
      </c>
      <c r="K472" s="11" t="str">
        <f>IFERROR(IF('ŞİKAYET KAYIT'!P472="Kapatıldı",'ŞİKAYET KAYIT'!O472,""),"")</f>
        <v/>
      </c>
      <c r="L472" s="12" t="str">
        <f>IFERROR(IF('ŞİKAYET KAYIT'!P472="Kapatıldı",'ŞİKAYET KAYIT'!Q472,""),"")</f>
        <v/>
      </c>
      <c r="M472" s="11" t="str">
        <f>IFERROR(IF('ŞİKAYET KAYIT'!P472="Kapatıldı",'ŞİKAYET KAYIT'!R472,""),"")</f>
        <v/>
      </c>
      <c r="N472" s="11"/>
    </row>
    <row r="473" spans="1:14" ht="15" customHeight="1" x14ac:dyDescent="0.3">
      <c r="A473" s="26" t="str">
        <f>IFERROR(IF('ŞİKAYET KAYIT'!P473="Kapatıldı",'ŞİKAYET KAYIT'!A473,""),"")</f>
        <v/>
      </c>
      <c r="B473" s="8" t="str">
        <f>IFERROR(IF('ŞİKAYET KAYIT'!P473="Kapatıldı",'ŞİKAYET KAYIT'!B473,""),"")</f>
        <v/>
      </c>
      <c r="C473" s="26" t="str">
        <f>IFERROR(IF('ŞİKAYET KAYIT'!P473="Kapatıldı",'ŞİKAYET KAYIT'!D473,""),"")</f>
        <v/>
      </c>
      <c r="D473" s="26" t="str">
        <f>IFERROR(IF('ŞİKAYET KAYIT'!P473="Kapatıldı",'ŞİKAYET KAYIT'!F473,""),"")</f>
        <v/>
      </c>
      <c r="E473" s="26" t="str">
        <f>IFERROR(IF('ŞİKAYET KAYIT'!P473="Kapatıldı",'ŞİKAYET KAYIT'!H473,""),"")</f>
        <v/>
      </c>
      <c r="F473" s="26" t="str">
        <f>IFERROR(IF('ŞİKAYET KAYIT'!P473="Kapatıldı",'ŞİKAYET KAYIT'!J473,""),"")</f>
        <v/>
      </c>
      <c r="G473" s="26" t="str">
        <f>IFERROR(IF('ŞİKAYET KAYIT'!P473="Kapatıldı",'ŞİKAYET KAYIT'!K473,""),"")</f>
        <v/>
      </c>
      <c r="H473" s="26" t="str">
        <f>IFERROR(IF('ŞİKAYET KAYIT'!P473="Kapatıldı",'ŞİKAYET KAYIT'!L473,""),"")</f>
        <v/>
      </c>
      <c r="I473" s="26" t="str">
        <f>IFERROR(IF('ŞİKAYET KAYIT'!P473="Kapatıldı",'ŞİKAYET KAYIT'!M473,""),"")</f>
        <v/>
      </c>
      <c r="J473" s="26" t="str">
        <f>IFERROR(IF('ŞİKAYET KAYIT'!P473="Kapatıldı",'ŞİKAYET KAYIT'!N473,""),"")</f>
        <v/>
      </c>
      <c r="K473" s="26" t="str">
        <f>IFERROR(IF('ŞİKAYET KAYIT'!P473="Kapatıldı",'ŞİKAYET KAYIT'!O473,""),"")</f>
        <v/>
      </c>
      <c r="L473" s="8" t="str">
        <f>IFERROR(IF('ŞİKAYET KAYIT'!P473="Kapatıldı",'ŞİKAYET KAYIT'!Q473,""),"")</f>
        <v/>
      </c>
      <c r="M473" s="26" t="str">
        <f>IFERROR(IF('ŞİKAYET KAYIT'!P473="Kapatıldı",'ŞİKAYET KAYIT'!R473,""),"")</f>
        <v/>
      </c>
      <c r="N473" s="26"/>
    </row>
    <row r="474" spans="1:14" ht="15" customHeight="1" x14ac:dyDescent="0.3">
      <c r="A474" s="11" t="str">
        <f>IFERROR(IF('ŞİKAYET KAYIT'!P474="Kapatıldı",'ŞİKAYET KAYIT'!A474,""),"")</f>
        <v/>
      </c>
      <c r="B474" s="12" t="str">
        <f>IFERROR(IF('ŞİKAYET KAYIT'!P474="Kapatıldı",'ŞİKAYET KAYIT'!B474,""),"")</f>
        <v/>
      </c>
      <c r="C474" s="11" t="str">
        <f>IFERROR(IF('ŞİKAYET KAYIT'!P474="Kapatıldı",'ŞİKAYET KAYIT'!D474,""),"")</f>
        <v/>
      </c>
      <c r="D474" s="11" t="str">
        <f>IFERROR(IF('ŞİKAYET KAYIT'!P474="Kapatıldı",'ŞİKAYET KAYIT'!F474,""),"")</f>
        <v/>
      </c>
      <c r="E474" s="11" t="str">
        <f>IFERROR(IF('ŞİKAYET KAYIT'!P474="Kapatıldı",'ŞİKAYET KAYIT'!H474,""),"")</f>
        <v/>
      </c>
      <c r="F474" s="11" t="str">
        <f>IFERROR(IF('ŞİKAYET KAYIT'!P474="Kapatıldı",'ŞİKAYET KAYIT'!J474,""),"")</f>
        <v/>
      </c>
      <c r="G474" s="11" t="str">
        <f>IFERROR(IF('ŞİKAYET KAYIT'!P474="Kapatıldı",'ŞİKAYET KAYIT'!K474,""),"")</f>
        <v/>
      </c>
      <c r="H474" s="11" t="str">
        <f>IFERROR(IF('ŞİKAYET KAYIT'!P474="Kapatıldı",'ŞİKAYET KAYIT'!L474,""),"")</f>
        <v/>
      </c>
      <c r="I474" s="11" t="str">
        <f>IFERROR(IF('ŞİKAYET KAYIT'!P474="Kapatıldı",'ŞİKAYET KAYIT'!M474,""),"")</f>
        <v/>
      </c>
      <c r="J474" s="11" t="str">
        <f>IFERROR(IF('ŞİKAYET KAYIT'!P474="Kapatıldı",'ŞİKAYET KAYIT'!N474,""),"")</f>
        <v/>
      </c>
      <c r="K474" s="11" t="str">
        <f>IFERROR(IF('ŞİKAYET KAYIT'!P474="Kapatıldı",'ŞİKAYET KAYIT'!O474,""),"")</f>
        <v/>
      </c>
      <c r="L474" s="12" t="str">
        <f>IFERROR(IF('ŞİKAYET KAYIT'!P474="Kapatıldı",'ŞİKAYET KAYIT'!Q474,""),"")</f>
        <v/>
      </c>
      <c r="M474" s="11" t="str">
        <f>IFERROR(IF('ŞİKAYET KAYIT'!P474="Kapatıldı",'ŞİKAYET KAYIT'!R474,""),"")</f>
        <v/>
      </c>
      <c r="N474" s="11"/>
    </row>
    <row r="475" spans="1:14" ht="15" customHeight="1" x14ac:dyDescent="0.3">
      <c r="A475" s="26" t="str">
        <f>IFERROR(IF('ŞİKAYET KAYIT'!P475="Kapatıldı",'ŞİKAYET KAYIT'!A475,""),"")</f>
        <v/>
      </c>
      <c r="B475" s="8" t="str">
        <f>IFERROR(IF('ŞİKAYET KAYIT'!P475="Kapatıldı",'ŞİKAYET KAYIT'!B475,""),"")</f>
        <v/>
      </c>
      <c r="C475" s="26" t="str">
        <f>IFERROR(IF('ŞİKAYET KAYIT'!P475="Kapatıldı",'ŞİKAYET KAYIT'!D475,""),"")</f>
        <v/>
      </c>
      <c r="D475" s="26" t="str">
        <f>IFERROR(IF('ŞİKAYET KAYIT'!P475="Kapatıldı",'ŞİKAYET KAYIT'!F475,""),"")</f>
        <v/>
      </c>
      <c r="E475" s="26" t="str">
        <f>IFERROR(IF('ŞİKAYET KAYIT'!P475="Kapatıldı",'ŞİKAYET KAYIT'!H475,""),"")</f>
        <v/>
      </c>
      <c r="F475" s="26" t="str">
        <f>IFERROR(IF('ŞİKAYET KAYIT'!P475="Kapatıldı",'ŞİKAYET KAYIT'!J475,""),"")</f>
        <v/>
      </c>
      <c r="G475" s="26" t="str">
        <f>IFERROR(IF('ŞİKAYET KAYIT'!P475="Kapatıldı",'ŞİKAYET KAYIT'!K475,""),"")</f>
        <v/>
      </c>
      <c r="H475" s="26" t="str">
        <f>IFERROR(IF('ŞİKAYET KAYIT'!P475="Kapatıldı",'ŞİKAYET KAYIT'!L475,""),"")</f>
        <v/>
      </c>
      <c r="I475" s="26" t="str">
        <f>IFERROR(IF('ŞİKAYET KAYIT'!P475="Kapatıldı",'ŞİKAYET KAYIT'!M475,""),"")</f>
        <v/>
      </c>
      <c r="J475" s="26" t="str">
        <f>IFERROR(IF('ŞİKAYET KAYIT'!P475="Kapatıldı",'ŞİKAYET KAYIT'!N475,""),"")</f>
        <v/>
      </c>
      <c r="K475" s="26" t="str">
        <f>IFERROR(IF('ŞİKAYET KAYIT'!P475="Kapatıldı",'ŞİKAYET KAYIT'!O475,""),"")</f>
        <v/>
      </c>
      <c r="L475" s="8" t="str">
        <f>IFERROR(IF('ŞİKAYET KAYIT'!P475="Kapatıldı",'ŞİKAYET KAYIT'!Q475,""),"")</f>
        <v/>
      </c>
      <c r="M475" s="26" t="str">
        <f>IFERROR(IF('ŞİKAYET KAYIT'!P475="Kapatıldı",'ŞİKAYET KAYIT'!R475,""),"")</f>
        <v/>
      </c>
      <c r="N475" s="26"/>
    </row>
    <row r="476" spans="1:14" ht="15" customHeight="1" x14ac:dyDescent="0.3">
      <c r="A476" s="11" t="str">
        <f>IFERROR(IF('ŞİKAYET KAYIT'!P476="Kapatıldı",'ŞİKAYET KAYIT'!A476,""),"")</f>
        <v/>
      </c>
      <c r="B476" s="12" t="str">
        <f>IFERROR(IF('ŞİKAYET KAYIT'!P476="Kapatıldı",'ŞİKAYET KAYIT'!B476,""),"")</f>
        <v/>
      </c>
      <c r="C476" s="11" t="str">
        <f>IFERROR(IF('ŞİKAYET KAYIT'!P476="Kapatıldı",'ŞİKAYET KAYIT'!D476,""),"")</f>
        <v/>
      </c>
      <c r="D476" s="11" t="str">
        <f>IFERROR(IF('ŞİKAYET KAYIT'!P476="Kapatıldı",'ŞİKAYET KAYIT'!F476,""),"")</f>
        <v/>
      </c>
      <c r="E476" s="11" t="str">
        <f>IFERROR(IF('ŞİKAYET KAYIT'!P476="Kapatıldı",'ŞİKAYET KAYIT'!H476,""),"")</f>
        <v/>
      </c>
      <c r="F476" s="11" t="str">
        <f>IFERROR(IF('ŞİKAYET KAYIT'!P476="Kapatıldı",'ŞİKAYET KAYIT'!J476,""),"")</f>
        <v/>
      </c>
      <c r="G476" s="11" t="str">
        <f>IFERROR(IF('ŞİKAYET KAYIT'!P476="Kapatıldı",'ŞİKAYET KAYIT'!K476,""),"")</f>
        <v/>
      </c>
      <c r="H476" s="11" t="str">
        <f>IFERROR(IF('ŞİKAYET KAYIT'!P476="Kapatıldı",'ŞİKAYET KAYIT'!L476,""),"")</f>
        <v/>
      </c>
      <c r="I476" s="11" t="str">
        <f>IFERROR(IF('ŞİKAYET KAYIT'!P476="Kapatıldı",'ŞİKAYET KAYIT'!M476,""),"")</f>
        <v/>
      </c>
      <c r="J476" s="11" t="str">
        <f>IFERROR(IF('ŞİKAYET KAYIT'!P476="Kapatıldı",'ŞİKAYET KAYIT'!N476,""),"")</f>
        <v/>
      </c>
      <c r="K476" s="11" t="str">
        <f>IFERROR(IF('ŞİKAYET KAYIT'!P476="Kapatıldı",'ŞİKAYET KAYIT'!O476,""),"")</f>
        <v/>
      </c>
      <c r="L476" s="12" t="str">
        <f>IFERROR(IF('ŞİKAYET KAYIT'!P476="Kapatıldı",'ŞİKAYET KAYIT'!Q476,""),"")</f>
        <v/>
      </c>
      <c r="M476" s="11" t="str">
        <f>IFERROR(IF('ŞİKAYET KAYIT'!P476="Kapatıldı",'ŞİKAYET KAYIT'!R476,""),"")</f>
        <v/>
      </c>
      <c r="N476" s="11"/>
    </row>
    <row r="477" spans="1:14" ht="15" customHeight="1" x14ac:dyDescent="0.3">
      <c r="A477" s="26" t="str">
        <f>IFERROR(IF('ŞİKAYET KAYIT'!P477="Kapatıldı",'ŞİKAYET KAYIT'!A477,""),"")</f>
        <v/>
      </c>
      <c r="B477" s="8" t="str">
        <f>IFERROR(IF('ŞİKAYET KAYIT'!P477="Kapatıldı",'ŞİKAYET KAYIT'!B477,""),"")</f>
        <v/>
      </c>
      <c r="C477" s="26" t="str">
        <f>IFERROR(IF('ŞİKAYET KAYIT'!P477="Kapatıldı",'ŞİKAYET KAYIT'!D477,""),"")</f>
        <v/>
      </c>
      <c r="D477" s="26" t="str">
        <f>IFERROR(IF('ŞİKAYET KAYIT'!P477="Kapatıldı",'ŞİKAYET KAYIT'!F477,""),"")</f>
        <v/>
      </c>
      <c r="E477" s="26" t="str">
        <f>IFERROR(IF('ŞİKAYET KAYIT'!P477="Kapatıldı",'ŞİKAYET KAYIT'!H477,""),"")</f>
        <v/>
      </c>
      <c r="F477" s="26" t="str">
        <f>IFERROR(IF('ŞİKAYET KAYIT'!P477="Kapatıldı",'ŞİKAYET KAYIT'!J477,""),"")</f>
        <v/>
      </c>
      <c r="G477" s="26" t="str">
        <f>IFERROR(IF('ŞİKAYET KAYIT'!P477="Kapatıldı",'ŞİKAYET KAYIT'!K477,""),"")</f>
        <v/>
      </c>
      <c r="H477" s="26" t="str">
        <f>IFERROR(IF('ŞİKAYET KAYIT'!P477="Kapatıldı",'ŞİKAYET KAYIT'!L477,""),"")</f>
        <v/>
      </c>
      <c r="I477" s="26" t="str">
        <f>IFERROR(IF('ŞİKAYET KAYIT'!P477="Kapatıldı",'ŞİKAYET KAYIT'!M477,""),"")</f>
        <v/>
      </c>
      <c r="J477" s="26" t="str">
        <f>IFERROR(IF('ŞİKAYET KAYIT'!P477="Kapatıldı",'ŞİKAYET KAYIT'!N477,""),"")</f>
        <v/>
      </c>
      <c r="K477" s="26" t="str">
        <f>IFERROR(IF('ŞİKAYET KAYIT'!P477="Kapatıldı",'ŞİKAYET KAYIT'!O477,""),"")</f>
        <v/>
      </c>
      <c r="L477" s="8" t="str">
        <f>IFERROR(IF('ŞİKAYET KAYIT'!P477="Kapatıldı",'ŞİKAYET KAYIT'!Q477,""),"")</f>
        <v/>
      </c>
      <c r="M477" s="26" t="str">
        <f>IFERROR(IF('ŞİKAYET KAYIT'!P477="Kapatıldı",'ŞİKAYET KAYIT'!R477,""),"")</f>
        <v/>
      </c>
      <c r="N477" s="26"/>
    </row>
    <row r="478" spans="1:14" ht="15" customHeight="1" x14ac:dyDescent="0.3">
      <c r="A478" s="11" t="str">
        <f>IFERROR(IF('ŞİKAYET KAYIT'!P478="Kapatıldı",'ŞİKAYET KAYIT'!A478,""),"")</f>
        <v/>
      </c>
      <c r="B478" s="12" t="str">
        <f>IFERROR(IF('ŞİKAYET KAYIT'!P478="Kapatıldı",'ŞİKAYET KAYIT'!B478,""),"")</f>
        <v/>
      </c>
      <c r="C478" s="11" t="str">
        <f>IFERROR(IF('ŞİKAYET KAYIT'!P478="Kapatıldı",'ŞİKAYET KAYIT'!D478,""),"")</f>
        <v/>
      </c>
      <c r="D478" s="11" t="str">
        <f>IFERROR(IF('ŞİKAYET KAYIT'!P478="Kapatıldı",'ŞİKAYET KAYIT'!F478,""),"")</f>
        <v/>
      </c>
      <c r="E478" s="11" t="str">
        <f>IFERROR(IF('ŞİKAYET KAYIT'!P478="Kapatıldı",'ŞİKAYET KAYIT'!H478,""),"")</f>
        <v/>
      </c>
      <c r="F478" s="11" t="str">
        <f>IFERROR(IF('ŞİKAYET KAYIT'!P478="Kapatıldı",'ŞİKAYET KAYIT'!J478,""),"")</f>
        <v/>
      </c>
      <c r="G478" s="11" t="str">
        <f>IFERROR(IF('ŞİKAYET KAYIT'!P478="Kapatıldı",'ŞİKAYET KAYIT'!K478,""),"")</f>
        <v/>
      </c>
      <c r="H478" s="11" t="str">
        <f>IFERROR(IF('ŞİKAYET KAYIT'!P478="Kapatıldı",'ŞİKAYET KAYIT'!L478,""),"")</f>
        <v/>
      </c>
      <c r="I478" s="11" t="str">
        <f>IFERROR(IF('ŞİKAYET KAYIT'!P478="Kapatıldı",'ŞİKAYET KAYIT'!M478,""),"")</f>
        <v/>
      </c>
      <c r="J478" s="11" t="str">
        <f>IFERROR(IF('ŞİKAYET KAYIT'!P478="Kapatıldı",'ŞİKAYET KAYIT'!N478,""),"")</f>
        <v/>
      </c>
      <c r="K478" s="11" t="str">
        <f>IFERROR(IF('ŞİKAYET KAYIT'!P478="Kapatıldı",'ŞİKAYET KAYIT'!O478,""),"")</f>
        <v/>
      </c>
      <c r="L478" s="12" t="str">
        <f>IFERROR(IF('ŞİKAYET KAYIT'!P478="Kapatıldı",'ŞİKAYET KAYIT'!Q478,""),"")</f>
        <v/>
      </c>
      <c r="M478" s="11" t="str">
        <f>IFERROR(IF('ŞİKAYET KAYIT'!P478="Kapatıldı",'ŞİKAYET KAYIT'!R478,""),"")</f>
        <v/>
      </c>
      <c r="N478" s="11"/>
    </row>
    <row r="479" spans="1:14" ht="15" customHeight="1" x14ac:dyDescent="0.3">
      <c r="A479" s="26" t="str">
        <f>IFERROR(IF('ŞİKAYET KAYIT'!P479="Kapatıldı",'ŞİKAYET KAYIT'!A479,""),"")</f>
        <v/>
      </c>
      <c r="B479" s="8" t="str">
        <f>IFERROR(IF('ŞİKAYET KAYIT'!P479="Kapatıldı",'ŞİKAYET KAYIT'!B479,""),"")</f>
        <v/>
      </c>
      <c r="C479" s="26" t="str">
        <f>IFERROR(IF('ŞİKAYET KAYIT'!P479="Kapatıldı",'ŞİKAYET KAYIT'!D479,""),"")</f>
        <v/>
      </c>
      <c r="D479" s="26" t="str">
        <f>IFERROR(IF('ŞİKAYET KAYIT'!P479="Kapatıldı",'ŞİKAYET KAYIT'!F479,""),"")</f>
        <v/>
      </c>
      <c r="E479" s="26" t="str">
        <f>IFERROR(IF('ŞİKAYET KAYIT'!P479="Kapatıldı",'ŞİKAYET KAYIT'!H479,""),"")</f>
        <v/>
      </c>
      <c r="F479" s="26" t="str">
        <f>IFERROR(IF('ŞİKAYET KAYIT'!P479="Kapatıldı",'ŞİKAYET KAYIT'!J479,""),"")</f>
        <v/>
      </c>
      <c r="G479" s="26" t="str">
        <f>IFERROR(IF('ŞİKAYET KAYIT'!P479="Kapatıldı",'ŞİKAYET KAYIT'!K479,""),"")</f>
        <v/>
      </c>
      <c r="H479" s="26" t="str">
        <f>IFERROR(IF('ŞİKAYET KAYIT'!P479="Kapatıldı",'ŞİKAYET KAYIT'!L479,""),"")</f>
        <v/>
      </c>
      <c r="I479" s="26" t="str">
        <f>IFERROR(IF('ŞİKAYET KAYIT'!P479="Kapatıldı",'ŞİKAYET KAYIT'!M479,""),"")</f>
        <v/>
      </c>
      <c r="J479" s="26" t="str">
        <f>IFERROR(IF('ŞİKAYET KAYIT'!P479="Kapatıldı",'ŞİKAYET KAYIT'!N479,""),"")</f>
        <v/>
      </c>
      <c r="K479" s="26" t="str">
        <f>IFERROR(IF('ŞİKAYET KAYIT'!P479="Kapatıldı",'ŞİKAYET KAYIT'!O479,""),"")</f>
        <v/>
      </c>
      <c r="L479" s="8" t="str">
        <f>IFERROR(IF('ŞİKAYET KAYIT'!P479="Kapatıldı",'ŞİKAYET KAYIT'!Q479,""),"")</f>
        <v/>
      </c>
      <c r="M479" s="26" t="str">
        <f>IFERROR(IF('ŞİKAYET KAYIT'!P479="Kapatıldı",'ŞİKAYET KAYIT'!R479,""),"")</f>
        <v/>
      </c>
      <c r="N479" s="26"/>
    </row>
    <row r="480" spans="1:14" ht="15" customHeight="1" x14ac:dyDescent="0.3">
      <c r="A480" s="11" t="str">
        <f>IFERROR(IF('ŞİKAYET KAYIT'!P480="Kapatıldı",'ŞİKAYET KAYIT'!A480,""),"")</f>
        <v/>
      </c>
      <c r="B480" s="12" t="str">
        <f>IFERROR(IF('ŞİKAYET KAYIT'!P480="Kapatıldı",'ŞİKAYET KAYIT'!B480,""),"")</f>
        <v/>
      </c>
      <c r="C480" s="11" t="str">
        <f>IFERROR(IF('ŞİKAYET KAYIT'!P480="Kapatıldı",'ŞİKAYET KAYIT'!D480,""),"")</f>
        <v/>
      </c>
      <c r="D480" s="11" t="str">
        <f>IFERROR(IF('ŞİKAYET KAYIT'!P480="Kapatıldı",'ŞİKAYET KAYIT'!F480,""),"")</f>
        <v/>
      </c>
      <c r="E480" s="11" t="str">
        <f>IFERROR(IF('ŞİKAYET KAYIT'!P480="Kapatıldı",'ŞİKAYET KAYIT'!H480,""),"")</f>
        <v/>
      </c>
      <c r="F480" s="11" t="str">
        <f>IFERROR(IF('ŞİKAYET KAYIT'!P480="Kapatıldı",'ŞİKAYET KAYIT'!J480,""),"")</f>
        <v/>
      </c>
      <c r="G480" s="11" t="str">
        <f>IFERROR(IF('ŞİKAYET KAYIT'!P480="Kapatıldı",'ŞİKAYET KAYIT'!K480,""),"")</f>
        <v/>
      </c>
      <c r="H480" s="11" t="str">
        <f>IFERROR(IF('ŞİKAYET KAYIT'!P480="Kapatıldı",'ŞİKAYET KAYIT'!L480,""),"")</f>
        <v/>
      </c>
      <c r="I480" s="11" t="str">
        <f>IFERROR(IF('ŞİKAYET KAYIT'!P480="Kapatıldı",'ŞİKAYET KAYIT'!M480,""),"")</f>
        <v/>
      </c>
      <c r="J480" s="11" t="str">
        <f>IFERROR(IF('ŞİKAYET KAYIT'!P480="Kapatıldı",'ŞİKAYET KAYIT'!N480,""),"")</f>
        <v/>
      </c>
      <c r="K480" s="11" t="str">
        <f>IFERROR(IF('ŞİKAYET KAYIT'!P480="Kapatıldı",'ŞİKAYET KAYIT'!O480,""),"")</f>
        <v/>
      </c>
      <c r="L480" s="12" t="str">
        <f>IFERROR(IF('ŞİKAYET KAYIT'!P480="Kapatıldı",'ŞİKAYET KAYIT'!Q480,""),"")</f>
        <v/>
      </c>
      <c r="M480" s="11" t="str">
        <f>IFERROR(IF('ŞİKAYET KAYIT'!P480="Kapatıldı",'ŞİKAYET KAYIT'!R480,""),"")</f>
        <v/>
      </c>
      <c r="N480" s="11"/>
    </row>
    <row r="481" spans="1:14" ht="15" customHeight="1" x14ac:dyDescent="0.3">
      <c r="A481" s="26" t="str">
        <f>IFERROR(IF('ŞİKAYET KAYIT'!P481="Kapatıldı",'ŞİKAYET KAYIT'!A481,""),"")</f>
        <v/>
      </c>
      <c r="B481" s="8" t="str">
        <f>IFERROR(IF('ŞİKAYET KAYIT'!P481="Kapatıldı",'ŞİKAYET KAYIT'!B481,""),"")</f>
        <v/>
      </c>
      <c r="C481" s="26" t="str">
        <f>IFERROR(IF('ŞİKAYET KAYIT'!P481="Kapatıldı",'ŞİKAYET KAYIT'!D481,""),"")</f>
        <v/>
      </c>
      <c r="D481" s="26" t="str">
        <f>IFERROR(IF('ŞİKAYET KAYIT'!P481="Kapatıldı",'ŞİKAYET KAYIT'!F481,""),"")</f>
        <v/>
      </c>
      <c r="E481" s="26" t="str">
        <f>IFERROR(IF('ŞİKAYET KAYIT'!P481="Kapatıldı",'ŞİKAYET KAYIT'!H481,""),"")</f>
        <v/>
      </c>
      <c r="F481" s="26" t="str">
        <f>IFERROR(IF('ŞİKAYET KAYIT'!P481="Kapatıldı",'ŞİKAYET KAYIT'!J481,""),"")</f>
        <v/>
      </c>
      <c r="G481" s="26" t="str">
        <f>IFERROR(IF('ŞİKAYET KAYIT'!P481="Kapatıldı",'ŞİKAYET KAYIT'!K481,""),"")</f>
        <v/>
      </c>
      <c r="H481" s="26" t="str">
        <f>IFERROR(IF('ŞİKAYET KAYIT'!P481="Kapatıldı",'ŞİKAYET KAYIT'!L481,""),"")</f>
        <v/>
      </c>
      <c r="I481" s="26" t="str">
        <f>IFERROR(IF('ŞİKAYET KAYIT'!P481="Kapatıldı",'ŞİKAYET KAYIT'!M481,""),"")</f>
        <v/>
      </c>
      <c r="J481" s="26" t="str">
        <f>IFERROR(IF('ŞİKAYET KAYIT'!P481="Kapatıldı",'ŞİKAYET KAYIT'!N481,""),"")</f>
        <v/>
      </c>
      <c r="K481" s="26" t="str">
        <f>IFERROR(IF('ŞİKAYET KAYIT'!P481="Kapatıldı",'ŞİKAYET KAYIT'!O481,""),"")</f>
        <v/>
      </c>
      <c r="L481" s="8" t="str">
        <f>IFERROR(IF('ŞİKAYET KAYIT'!P481="Kapatıldı",'ŞİKAYET KAYIT'!Q481,""),"")</f>
        <v/>
      </c>
      <c r="M481" s="26" t="str">
        <f>IFERROR(IF('ŞİKAYET KAYIT'!P481="Kapatıldı",'ŞİKAYET KAYIT'!R481,""),"")</f>
        <v/>
      </c>
      <c r="N481" s="26"/>
    </row>
    <row r="482" spans="1:14" ht="15" customHeight="1" x14ac:dyDescent="0.3">
      <c r="A482" s="11" t="str">
        <f>IFERROR(IF('ŞİKAYET KAYIT'!P482="Kapatıldı",'ŞİKAYET KAYIT'!A482,""),"")</f>
        <v/>
      </c>
      <c r="B482" s="12" t="str">
        <f>IFERROR(IF('ŞİKAYET KAYIT'!P482="Kapatıldı",'ŞİKAYET KAYIT'!B482,""),"")</f>
        <v/>
      </c>
      <c r="C482" s="11" t="str">
        <f>IFERROR(IF('ŞİKAYET KAYIT'!P482="Kapatıldı",'ŞİKAYET KAYIT'!D482,""),"")</f>
        <v/>
      </c>
      <c r="D482" s="11" t="str">
        <f>IFERROR(IF('ŞİKAYET KAYIT'!P482="Kapatıldı",'ŞİKAYET KAYIT'!F482,""),"")</f>
        <v/>
      </c>
      <c r="E482" s="11" t="str">
        <f>IFERROR(IF('ŞİKAYET KAYIT'!P482="Kapatıldı",'ŞİKAYET KAYIT'!H482,""),"")</f>
        <v/>
      </c>
      <c r="F482" s="11" t="str">
        <f>IFERROR(IF('ŞİKAYET KAYIT'!P482="Kapatıldı",'ŞİKAYET KAYIT'!J482,""),"")</f>
        <v/>
      </c>
      <c r="G482" s="11" t="str">
        <f>IFERROR(IF('ŞİKAYET KAYIT'!P482="Kapatıldı",'ŞİKAYET KAYIT'!K482,""),"")</f>
        <v/>
      </c>
      <c r="H482" s="11" t="str">
        <f>IFERROR(IF('ŞİKAYET KAYIT'!P482="Kapatıldı",'ŞİKAYET KAYIT'!L482,""),"")</f>
        <v/>
      </c>
      <c r="I482" s="11" t="str">
        <f>IFERROR(IF('ŞİKAYET KAYIT'!P482="Kapatıldı",'ŞİKAYET KAYIT'!M482,""),"")</f>
        <v/>
      </c>
      <c r="J482" s="11" t="str">
        <f>IFERROR(IF('ŞİKAYET KAYIT'!P482="Kapatıldı",'ŞİKAYET KAYIT'!N482,""),"")</f>
        <v/>
      </c>
      <c r="K482" s="11" t="str">
        <f>IFERROR(IF('ŞİKAYET KAYIT'!P482="Kapatıldı",'ŞİKAYET KAYIT'!O482,""),"")</f>
        <v/>
      </c>
      <c r="L482" s="12" t="str">
        <f>IFERROR(IF('ŞİKAYET KAYIT'!P482="Kapatıldı",'ŞİKAYET KAYIT'!Q482,""),"")</f>
        <v/>
      </c>
      <c r="M482" s="11" t="str">
        <f>IFERROR(IF('ŞİKAYET KAYIT'!P482="Kapatıldı",'ŞİKAYET KAYIT'!R482,""),"")</f>
        <v/>
      </c>
      <c r="N482" s="11"/>
    </row>
    <row r="483" spans="1:14" ht="15" customHeight="1" x14ac:dyDescent="0.3">
      <c r="A483" s="26" t="str">
        <f>IFERROR(IF('ŞİKAYET KAYIT'!P483="Kapatıldı",'ŞİKAYET KAYIT'!A483,""),"")</f>
        <v/>
      </c>
      <c r="B483" s="8" t="str">
        <f>IFERROR(IF('ŞİKAYET KAYIT'!P483="Kapatıldı",'ŞİKAYET KAYIT'!B483,""),"")</f>
        <v/>
      </c>
      <c r="C483" s="26" t="str">
        <f>IFERROR(IF('ŞİKAYET KAYIT'!P483="Kapatıldı",'ŞİKAYET KAYIT'!D483,""),"")</f>
        <v/>
      </c>
      <c r="D483" s="26" t="str">
        <f>IFERROR(IF('ŞİKAYET KAYIT'!P483="Kapatıldı",'ŞİKAYET KAYIT'!F483,""),"")</f>
        <v/>
      </c>
      <c r="E483" s="26" t="str">
        <f>IFERROR(IF('ŞİKAYET KAYIT'!P483="Kapatıldı",'ŞİKAYET KAYIT'!H483,""),"")</f>
        <v/>
      </c>
      <c r="F483" s="26" t="str">
        <f>IFERROR(IF('ŞİKAYET KAYIT'!P483="Kapatıldı",'ŞİKAYET KAYIT'!J483,""),"")</f>
        <v/>
      </c>
      <c r="G483" s="26" t="str">
        <f>IFERROR(IF('ŞİKAYET KAYIT'!P483="Kapatıldı",'ŞİKAYET KAYIT'!K483,""),"")</f>
        <v/>
      </c>
      <c r="H483" s="26" t="str">
        <f>IFERROR(IF('ŞİKAYET KAYIT'!P483="Kapatıldı",'ŞİKAYET KAYIT'!L483,""),"")</f>
        <v/>
      </c>
      <c r="I483" s="26" t="str">
        <f>IFERROR(IF('ŞİKAYET KAYIT'!P483="Kapatıldı",'ŞİKAYET KAYIT'!M483,""),"")</f>
        <v/>
      </c>
      <c r="J483" s="26" t="str">
        <f>IFERROR(IF('ŞİKAYET KAYIT'!P483="Kapatıldı",'ŞİKAYET KAYIT'!N483,""),"")</f>
        <v/>
      </c>
      <c r="K483" s="26" t="str">
        <f>IFERROR(IF('ŞİKAYET KAYIT'!P483="Kapatıldı",'ŞİKAYET KAYIT'!O483,""),"")</f>
        <v/>
      </c>
      <c r="L483" s="8" t="str">
        <f>IFERROR(IF('ŞİKAYET KAYIT'!P483="Kapatıldı",'ŞİKAYET KAYIT'!Q483,""),"")</f>
        <v/>
      </c>
      <c r="M483" s="26" t="str">
        <f>IFERROR(IF('ŞİKAYET KAYIT'!P483="Kapatıldı",'ŞİKAYET KAYIT'!R483,""),"")</f>
        <v/>
      </c>
      <c r="N483" s="26"/>
    </row>
    <row r="484" spans="1:14" ht="15" customHeight="1" x14ac:dyDescent="0.3">
      <c r="A484" s="11" t="str">
        <f>IFERROR(IF('ŞİKAYET KAYIT'!P484="Kapatıldı",'ŞİKAYET KAYIT'!A484,""),"")</f>
        <v/>
      </c>
      <c r="B484" s="12" t="str">
        <f>IFERROR(IF('ŞİKAYET KAYIT'!P484="Kapatıldı",'ŞİKAYET KAYIT'!B484,""),"")</f>
        <v/>
      </c>
      <c r="C484" s="11" t="str">
        <f>IFERROR(IF('ŞİKAYET KAYIT'!P484="Kapatıldı",'ŞİKAYET KAYIT'!D484,""),"")</f>
        <v/>
      </c>
      <c r="D484" s="11" t="str">
        <f>IFERROR(IF('ŞİKAYET KAYIT'!P484="Kapatıldı",'ŞİKAYET KAYIT'!F484,""),"")</f>
        <v/>
      </c>
      <c r="E484" s="11" t="str">
        <f>IFERROR(IF('ŞİKAYET KAYIT'!P484="Kapatıldı",'ŞİKAYET KAYIT'!H484,""),"")</f>
        <v/>
      </c>
      <c r="F484" s="11" t="str">
        <f>IFERROR(IF('ŞİKAYET KAYIT'!P484="Kapatıldı",'ŞİKAYET KAYIT'!J484,""),"")</f>
        <v/>
      </c>
      <c r="G484" s="11" t="str">
        <f>IFERROR(IF('ŞİKAYET KAYIT'!P484="Kapatıldı",'ŞİKAYET KAYIT'!K484,""),"")</f>
        <v/>
      </c>
      <c r="H484" s="11" t="str">
        <f>IFERROR(IF('ŞİKAYET KAYIT'!P484="Kapatıldı",'ŞİKAYET KAYIT'!L484,""),"")</f>
        <v/>
      </c>
      <c r="I484" s="11" t="str">
        <f>IFERROR(IF('ŞİKAYET KAYIT'!P484="Kapatıldı",'ŞİKAYET KAYIT'!M484,""),"")</f>
        <v/>
      </c>
      <c r="J484" s="11" t="str">
        <f>IFERROR(IF('ŞİKAYET KAYIT'!P484="Kapatıldı",'ŞİKAYET KAYIT'!N484,""),"")</f>
        <v/>
      </c>
      <c r="K484" s="11" t="str">
        <f>IFERROR(IF('ŞİKAYET KAYIT'!P484="Kapatıldı",'ŞİKAYET KAYIT'!O484,""),"")</f>
        <v/>
      </c>
      <c r="L484" s="12" t="str">
        <f>IFERROR(IF('ŞİKAYET KAYIT'!P484="Kapatıldı",'ŞİKAYET KAYIT'!Q484,""),"")</f>
        <v/>
      </c>
      <c r="M484" s="11" t="str">
        <f>IFERROR(IF('ŞİKAYET KAYIT'!P484="Kapatıldı",'ŞİKAYET KAYIT'!R484,""),"")</f>
        <v/>
      </c>
      <c r="N484" s="11"/>
    </row>
    <row r="485" spans="1:14" ht="15" customHeight="1" x14ac:dyDescent="0.3">
      <c r="A485" s="26" t="str">
        <f>IFERROR(IF('ŞİKAYET KAYIT'!P485="Kapatıldı",'ŞİKAYET KAYIT'!A485,""),"")</f>
        <v/>
      </c>
      <c r="B485" s="8" t="str">
        <f>IFERROR(IF('ŞİKAYET KAYIT'!P485="Kapatıldı",'ŞİKAYET KAYIT'!B485,""),"")</f>
        <v/>
      </c>
      <c r="C485" s="26" t="str">
        <f>IFERROR(IF('ŞİKAYET KAYIT'!P485="Kapatıldı",'ŞİKAYET KAYIT'!D485,""),"")</f>
        <v/>
      </c>
      <c r="D485" s="26" t="str">
        <f>IFERROR(IF('ŞİKAYET KAYIT'!P485="Kapatıldı",'ŞİKAYET KAYIT'!F485,""),"")</f>
        <v/>
      </c>
      <c r="E485" s="26" t="str">
        <f>IFERROR(IF('ŞİKAYET KAYIT'!P485="Kapatıldı",'ŞİKAYET KAYIT'!H485,""),"")</f>
        <v/>
      </c>
      <c r="F485" s="26" t="str">
        <f>IFERROR(IF('ŞİKAYET KAYIT'!P485="Kapatıldı",'ŞİKAYET KAYIT'!J485,""),"")</f>
        <v/>
      </c>
      <c r="G485" s="26" t="str">
        <f>IFERROR(IF('ŞİKAYET KAYIT'!P485="Kapatıldı",'ŞİKAYET KAYIT'!K485,""),"")</f>
        <v/>
      </c>
      <c r="H485" s="26" t="str">
        <f>IFERROR(IF('ŞİKAYET KAYIT'!P485="Kapatıldı",'ŞİKAYET KAYIT'!L485,""),"")</f>
        <v/>
      </c>
      <c r="I485" s="26" t="str">
        <f>IFERROR(IF('ŞİKAYET KAYIT'!P485="Kapatıldı",'ŞİKAYET KAYIT'!M485,""),"")</f>
        <v/>
      </c>
      <c r="J485" s="26" t="str">
        <f>IFERROR(IF('ŞİKAYET KAYIT'!P485="Kapatıldı",'ŞİKAYET KAYIT'!N485,""),"")</f>
        <v/>
      </c>
      <c r="K485" s="26" t="str">
        <f>IFERROR(IF('ŞİKAYET KAYIT'!P485="Kapatıldı",'ŞİKAYET KAYIT'!O485,""),"")</f>
        <v/>
      </c>
      <c r="L485" s="8" t="str">
        <f>IFERROR(IF('ŞİKAYET KAYIT'!P485="Kapatıldı",'ŞİKAYET KAYIT'!Q485,""),"")</f>
        <v/>
      </c>
      <c r="M485" s="26" t="str">
        <f>IFERROR(IF('ŞİKAYET KAYIT'!P485="Kapatıldı",'ŞİKAYET KAYIT'!R485,""),"")</f>
        <v/>
      </c>
      <c r="N485" s="26"/>
    </row>
    <row r="486" spans="1:14" ht="15" customHeight="1" x14ac:dyDescent="0.3">
      <c r="A486" s="11" t="str">
        <f>IFERROR(IF('ŞİKAYET KAYIT'!P486="Kapatıldı",'ŞİKAYET KAYIT'!A486,""),"")</f>
        <v/>
      </c>
      <c r="B486" s="12" t="str">
        <f>IFERROR(IF('ŞİKAYET KAYIT'!P486="Kapatıldı",'ŞİKAYET KAYIT'!B486,""),"")</f>
        <v/>
      </c>
      <c r="C486" s="11" t="str">
        <f>IFERROR(IF('ŞİKAYET KAYIT'!P486="Kapatıldı",'ŞİKAYET KAYIT'!D486,""),"")</f>
        <v/>
      </c>
      <c r="D486" s="11" t="str">
        <f>IFERROR(IF('ŞİKAYET KAYIT'!P486="Kapatıldı",'ŞİKAYET KAYIT'!F486,""),"")</f>
        <v/>
      </c>
      <c r="E486" s="11" t="str">
        <f>IFERROR(IF('ŞİKAYET KAYIT'!P486="Kapatıldı",'ŞİKAYET KAYIT'!H486,""),"")</f>
        <v/>
      </c>
      <c r="F486" s="11" t="str">
        <f>IFERROR(IF('ŞİKAYET KAYIT'!P486="Kapatıldı",'ŞİKAYET KAYIT'!J486,""),"")</f>
        <v/>
      </c>
      <c r="G486" s="11" t="str">
        <f>IFERROR(IF('ŞİKAYET KAYIT'!P486="Kapatıldı",'ŞİKAYET KAYIT'!K486,""),"")</f>
        <v/>
      </c>
      <c r="H486" s="11" t="str">
        <f>IFERROR(IF('ŞİKAYET KAYIT'!P486="Kapatıldı",'ŞİKAYET KAYIT'!L486,""),"")</f>
        <v/>
      </c>
      <c r="I486" s="11" t="str">
        <f>IFERROR(IF('ŞİKAYET KAYIT'!P486="Kapatıldı",'ŞİKAYET KAYIT'!M486,""),"")</f>
        <v/>
      </c>
      <c r="J486" s="11" t="str">
        <f>IFERROR(IF('ŞİKAYET KAYIT'!P486="Kapatıldı",'ŞİKAYET KAYIT'!N486,""),"")</f>
        <v/>
      </c>
      <c r="K486" s="11" t="str">
        <f>IFERROR(IF('ŞİKAYET KAYIT'!P486="Kapatıldı",'ŞİKAYET KAYIT'!O486,""),"")</f>
        <v/>
      </c>
      <c r="L486" s="12" t="str">
        <f>IFERROR(IF('ŞİKAYET KAYIT'!P486="Kapatıldı",'ŞİKAYET KAYIT'!Q486,""),"")</f>
        <v/>
      </c>
      <c r="M486" s="11" t="str">
        <f>IFERROR(IF('ŞİKAYET KAYIT'!P486="Kapatıldı",'ŞİKAYET KAYIT'!R486,""),"")</f>
        <v/>
      </c>
      <c r="N486" s="11"/>
    </row>
    <row r="487" spans="1:14" ht="15" customHeight="1" x14ac:dyDescent="0.3">
      <c r="A487" s="26" t="str">
        <f>IFERROR(IF('ŞİKAYET KAYIT'!P487="Kapatıldı",'ŞİKAYET KAYIT'!A487,""),"")</f>
        <v/>
      </c>
      <c r="B487" s="8" t="str">
        <f>IFERROR(IF('ŞİKAYET KAYIT'!P487="Kapatıldı",'ŞİKAYET KAYIT'!B487,""),"")</f>
        <v/>
      </c>
      <c r="C487" s="26" t="str">
        <f>IFERROR(IF('ŞİKAYET KAYIT'!P487="Kapatıldı",'ŞİKAYET KAYIT'!D487,""),"")</f>
        <v/>
      </c>
      <c r="D487" s="26" t="str">
        <f>IFERROR(IF('ŞİKAYET KAYIT'!P487="Kapatıldı",'ŞİKAYET KAYIT'!F487,""),"")</f>
        <v/>
      </c>
      <c r="E487" s="26" t="str">
        <f>IFERROR(IF('ŞİKAYET KAYIT'!P487="Kapatıldı",'ŞİKAYET KAYIT'!H487,""),"")</f>
        <v/>
      </c>
      <c r="F487" s="26" t="str">
        <f>IFERROR(IF('ŞİKAYET KAYIT'!P487="Kapatıldı",'ŞİKAYET KAYIT'!J487,""),"")</f>
        <v/>
      </c>
      <c r="G487" s="26" t="str">
        <f>IFERROR(IF('ŞİKAYET KAYIT'!P487="Kapatıldı",'ŞİKAYET KAYIT'!K487,""),"")</f>
        <v/>
      </c>
      <c r="H487" s="26" t="str">
        <f>IFERROR(IF('ŞİKAYET KAYIT'!P487="Kapatıldı",'ŞİKAYET KAYIT'!L487,""),"")</f>
        <v/>
      </c>
      <c r="I487" s="26" t="str">
        <f>IFERROR(IF('ŞİKAYET KAYIT'!P487="Kapatıldı",'ŞİKAYET KAYIT'!M487,""),"")</f>
        <v/>
      </c>
      <c r="J487" s="26" t="str">
        <f>IFERROR(IF('ŞİKAYET KAYIT'!P487="Kapatıldı",'ŞİKAYET KAYIT'!N487,""),"")</f>
        <v/>
      </c>
      <c r="K487" s="26" t="str">
        <f>IFERROR(IF('ŞİKAYET KAYIT'!P487="Kapatıldı",'ŞİKAYET KAYIT'!O487,""),"")</f>
        <v/>
      </c>
      <c r="L487" s="8" t="str">
        <f>IFERROR(IF('ŞİKAYET KAYIT'!P487="Kapatıldı",'ŞİKAYET KAYIT'!Q487,""),"")</f>
        <v/>
      </c>
      <c r="M487" s="26" t="str">
        <f>IFERROR(IF('ŞİKAYET KAYIT'!P487="Kapatıldı",'ŞİKAYET KAYIT'!R487,""),"")</f>
        <v/>
      </c>
      <c r="N487" s="26"/>
    </row>
    <row r="488" spans="1:14" ht="15" customHeight="1" x14ac:dyDescent="0.3">
      <c r="A488" s="11" t="str">
        <f>IFERROR(IF('ŞİKAYET KAYIT'!P488="Kapatıldı",'ŞİKAYET KAYIT'!A488,""),"")</f>
        <v/>
      </c>
      <c r="B488" s="12" t="str">
        <f>IFERROR(IF('ŞİKAYET KAYIT'!P488="Kapatıldı",'ŞİKAYET KAYIT'!B488,""),"")</f>
        <v/>
      </c>
      <c r="C488" s="11" t="str">
        <f>IFERROR(IF('ŞİKAYET KAYIT'!P488="Kapatıldı",'ŞİKAYET KAYIT'!D488,""),"")</f>
        <v/>
      </c>
      <c r="D488" s="11" t="str">
        <f>IFERROR(IF('ŞİKAYET KAYIT'!P488="Kapatıldı",'ŞİKAYET KAYIT'!F488,""),"")</f>
        <v/>
      </c>
      <c r="E488" s="11" t="str">
        <f>IFERROR(IF('ŞİKAYET KAYIT'!P488="Kapatıldı",'ŞİKAYET KAYIT'!H488,""),"")</f>
        <v/>
      </c>
      <c r="F488" s="11" t="str">
        <f>IFERROR(IF('ŞİKAYET KAYIT'!P488="Kapatıldı",'ŞİKAYET KAYIT'!J488,""),"")</f>
        <v/>
      </c>
      <c r="G488" s="11" t="str">
        <f>IFERROR(IF('ŞİKAYET KAYIT'!P488="Kapatıldı",'ŞİKAYET KAYIT'!K488,""),"")</f>
        <v/>
      </c>
      <c r="H488" s="11" t="str">
        <f>IFERROR(IF('ŞİKAYET KAYIT'!P488="Kapatıldı",'ŞİKAYET KAYIT'!L488,""),"")</f>
        <v/>
      </c>
      <c r="I488" s="11" t="str">
        <f>IFERROR(IF('ŞİKAYET KAYIT'!P488="Kapatıldı",'ŞİKAYET KAYIT'!M488,""),"")</f>
        <v/>
      </c>
      <c r="J488" s="11" t="str">
        <f>IFERROR(IF('ŞİKAYET KAYIT'!P488="Kapatıldı",'ŞİKAYET KAYIT'!N488,""),"")</f>
        <v/>
      </c>
      <c r="K488" s="11" t="str">
        <f>IFERROR(IF('ŞİKAYET KAYIT'!P488="Kapatıldı",'ŞİKAYET KAYIT'!O488,""),"")</f>
        <v/>
      </c>
      <c r="L488" s="12" t="str">
        <f>IFERROR(IF('ŞİKAYET KAYIT'!P488="Kapatıldı",'ŞİKAYET KAYIT'!Q488,""),"")</f>
        <v/>
      </c>
      <c r="M488" s="11" t="str">
        <f>IFERROR(IF('ŞİKAYET KAYIT'!P488="Kapatıldı",'ŞİKAYET KAYIT'!R488,""),"")</f>
        <v/>
      </c>
      <c r="N488" s="11"/>
    </row>
    <row r="489" spans="1:14" ht="15" customHeight="1" x14ac:dyDescent="0.3">
      <c r="A489" s="26" t="str">
        <f>IFERROR(IF('ŞİKAYET KAYIT'!P489="Kapatıldı",'ŞİKAYET KAYIT'!A489,""),"")</f>
        <v/>
      </c>
      <c r="B489" s="8" t="str">
        <f>IFERROR(IF('ŞİKAYET KAYIT'!P489="Kapatıldı",'ŞİKAYET KAYIT'!B489,""),"")</f>
        <v/>
      </c>
      <c r="C489" s="26" t="str">
        <f>IFERROR(IF('ŞİKAYET KAYIT'!P489="Kapatıldı",'ŞİKAYET KAYIT'!D489,""),"")</f>
        <v/>
      </c>
      <c r="D489" s="26" t="str">
        <f>IFERROR(IF('ŞİKAYET KAYIT'!P489="Kapatıldı",'ŞİKAYET KAYIT'!F489,""),"")</f>
        <v/>
      </c>
      <c r="E489" s="26" t="str">
        <f>IFERROR(IF('ŞİKAYET KAYIT'!P489="Kapatıldı",'ŞİKAYET KAYIT'!H489,""),"")</f>
        <v/>
      </c>
      <c r="F489" s="26" t="str">
        <f>IFERROR(IF('ŞİKAYET KAYIT'!P489="Kapatıldı",'ŞİKAYET KAYIT'!J489,""),"")</f>
        <v/>
      </c>
      <c r="G489" s="26" t="str">
        <f>IFERROR(IF('ŞİKAYET KAYIT'!P489="Kapatıldı",'ŞİKAYET KAYIT'!K489,""),"")</f>
        <v/>
      </c>
      <c r="H489" s="26" t="str">
        <f>IFERROR(IF('ŞİKAYET KAYIT'!P489="Kapatıldı",'ŞİKAYET KAYIT'!L489,""),"")</f>
        <v/>
      </c>
      <c r="I489" s="26" t="str">
        <f>IFERROR(IF('ŞİKAYET KAYIT'!P489="Kapatıldı",'ŞİKAYET KAYIT'!M489,""),"")</f>
        <v/>
      </c>
      <c r="J489" s="26" t="str">
        <f>IFERROR(IF('ŞİKAYET KAYIT'!P489="Kapatıldı",'ŞİKAYET KAYIT'!N489,""),"")</f>
        <v/>
      </c>
      <c r="K489" s="26" t="str">
        <f>IFERROR(IF('ŞİKAYET KAYIT'!P489="Kapatıldı",'ŞİKAYET KAYIT'!O489,""),"")</f>
        <v/>
      </c>
      <c r="L489" s="8" t="str">
        <f>IFERROR(IF('ŞİKAYET KAYIT'!P489="Kapatıldı",'ŞİKAYET KAYIT'!Q489,""),"")</f>
        <v/>
      </c>
      <c r="M489" s="26" t="str">
        <f>IFERROR(IF('ŞİKAYET KAYIT'!P489="Kapatıldı",'ŞİKAYET KAYIT'!R489,""),"")</f>
        <v/>
      </c>
      <c r="N489" s="26"/>
    </row>
    <row r="490" spans="1:14" ht="15" customHeight="1" x14ac:dyDescent="0.3">
      <c r="A490" s="11" t="str">
        <f>IFERROR(IF('ŞİKAYET KAYIT'!P490="Kapatıldı",'ŞİKAYET KAYIT'!A490,""),"")</f>
        <v/>
      </c>
      <c r="B490" s="12" t="str">
        <f>IFERROR(IF('ŞİKAYET KAYIT'!P490="Kapatıldı",'ŞİKAYET KAYIT'!B490,""),"")</f>
        <v/>
      </c>
      <c r="C490" s="11" t="str">
        <f>IFERROR(IF('ŞİKAYET KAYIT'!P490="Kapatıldı",'ŞİKAYET KAYIT'!D490,""),"")</f>
        <v/>
      </c>
      <c r="D490" s="11" t="str">
        <f>IFERROR(IF('ŞİKAYET KAYIT'!P490="Kapatıldı",'ŞİKAYET KAYIT'!F490,""),"")</f>
        <v/>
      </c>
      <c r="E490" s="11" t="str">
        <f>IFERROR(IF('ŞİKAYET KAYIT'!P490="Kapatıldı",'ŞİKAYET KAYIT'!H490,""),"")</f>
        <v/>
      </c>
      <c r="F490" s="11" t="str">
        <f>IFERROR(IF('ŞİKAYET KAYIT'!P490="Kapatıldı",'ŞİKAYET KAYIT'!J490,""),"")</f>
        <v/>
      </c>
      <c r="G490" s="11" t="str">
        <f>IFERROR(IF('ŞİKAYET KAYIT'!P490="Kapatıldı",'ŞİKAYET KAYIT'!K490,""),"")</f>
        <v/>
      </c>
      <c r="H490" s="11" t="str">
        <f>IFERROR(IF('ŞİKAYET KAYIT'!P490="Kapatıldı",'ŞİKAYET KAYIT'!L490,""),"")</f>
        <v/>
      </c>
      <c r="I490" s="11" t="str">
        <f>IFERROR(IF('ŞİKAYET KAYIT'!P490="Kapatıldı",'ŞİKAYET KAYIT'!M490,""),"")</f>
        <v/>
      </c>
      <c r="J490" s="11" t="str">
        <f>IFERROR(IF('ŞİKAYET KAYIT'!P490="Kapatıldı",'ŞİKAYET KAYIT'!N490,""),"")</f>
        <v/>
      </c>
      <c r="K490" s="11" t="str">
        <f>IFERROR(IF('ŞİKAYET KAYIT'!P490="Kapatıldı",'ŞİKAYET KAYIT'!O490,""),"")</f>
        <v/>
      </c>
      <c r="L490" s="12" t="str">
        <f>IFERROR(IF('ŞİKAYET KAYIT'!P490="Kapatıldı",'ŞİKAYET KAYIT'!Q490,""),"")</f>
        <v/>
      </c>
      <c r="M490" s="11" t="str">
        <f>IFERROR(IF('ŞİKAYET KAYIT'!P490="Kapatıldı",'ŞİKAYET KAYIT'!R490,""),"")</f>
        <v/>
      </c>
      <c r="N490" s="11"/>
    </row>
    <row r="491" spans="1:14" ht="15" customHeight="1" x14ac:dyDescent="0.3">
      <c r="A491" s="26" t="str">
        <f>IFERROR(IF('ŞİKAYET KAYIT'!P491="Kapatıldı",'ŞİKAYET KAYIT'!A491,""),"")</f>
        <v/>
      </c>
      <c r="B491" s="8" t="str">
        <f>IFERROR(IF('ŞİKAYET KAYIT'!P491="Kapatıldı",'ŞİKAYET KAYIT'!B491,""),"")</f>
        <v/>
      </c>
      <c r="C491" s="26" t="str">
        <f>IFERROR(IF('ŞİKAYET KAYIT'!P491="Kapatıldı",'ŞİKAYET KAYIT'!D491,""),"")</f>
        <v/>
      </c>
      <c r="D491" s="26" t="str">
        <f>IFERROR(IF('ŞİKAYET KAYIT'!P491="Kapatıldı",'ŞİKAYET KAYIT'!F491,""),"")</f>
        <v/>
      </c>
      <c r="E491" s="26" t="str">
        <f>IFERROR(IF('ŞİKAYET KAYIT'!P491="Kapatıldı",'ŞİKAYET KAYIT'!H491,""),"")</f>
        <v/>
      </c>
      <c r="F491" s="26" t="str">
        <f>IFERROR(IF('ŞİKAYET KAYIT'!P491="Kapatıldı",'ŞİKAYET KAYIT'!J491,""),"")</f>
        <v/>
      </c>
      <c r="G491" s="26" t="str">
        <f>IFERROR(IF('ŞİKAYET KAYIT'!P491="Kapatıldı",'ŞİKAYET KAYIT'!K491,""),"")</f>
        <v/>
      </c>
      <c r="H491" s="26" t="str">
        <f>IFERROR(IF('ŞİKAYET KAYIT'!P491="Kapatıldı",'ŞİKAYET KAYIT'!L491,""),"")</f>
        <v/>
      </c>
      <c r="I491" s="26" t="str">
        <f>IFERROR(IF('ŞİKAYET KAYIT'!P491="Kapatıldı",'ŞİKAYET KAYIT'!M491,""),"")</f>
        <v/>
      </c>
      <c r="J491" s="26" t="str">
        <f>IFERROR(IF('ŞİKAYET KAYIT'!P491="Kapatıldı",'ŞİKAYET KAYIT'!N491,""),"")</f>
        <v/>
      </c>
      <c r="K491" s="26" t="str">
        <f>IFERROR(IF('ŞİKAYET KAYIT'!P491="Kapatıldı",'ŞİKAYET KAYIT'!O491,""),"")</f>
        <v/>
      </c>
      <c r="L491" s="8" t="str">
        <f>IFERROR(IF('ŞİKAYET KAYIT'!P491="Kapatıldı",'ŞİKAYET KAYIT'!Q491,""),"")</f>
        <v/>
      </c>
      <c r="M491" s="26" t="str">
        <f>IFERROR(IF('ŞİKAYET KAYIT'!P491="Kapatıldı",'ŞİKAYET KAYIT'!R491,""),"")</f>
        <v/>
      </c>
      <c r="N491" s="26"/>
    </row>
    <row r="492" spans="1:14" ht="15" customHeight="1" x14ac:dyDescent="0.3">
      <c r="A492" s="11" t="str">
        <f>IFERROR(IF('ŞİKAYET KAYIT'!P492="Kapatıldı",'ŞİKAYET KAYIT'!A492,""),"")</f>
        <v/>
      </c>
      <c r="B492" s="12" t="str">
        <f>IFERROR(IF('ŞİKAYET KAYIT'!P492="Kapatıldı",'ŞİKAYET KAYIT'!B492,""),"")</f>
        <v/>
      </c>
      <c r="C492" s="11" t="str">
        <f>IFERROR(IF('ŞİKAYET KAYIT'!P492="Kapatıldı",'ŞİKAYET KAYIT'!D492,""),"")</f>
        <v/>
      </c>
      <c r="D492" s="11" t="str">
        <f>IFERROR(IF('ŞİKAYET KAYIT'!P492="Kapatıldı",'ŞİKAYET KAYIT'!F492,""),"")</f>
        <v/>
      </c>
      <c r="E492" s="11" t="str">
        <f>IFERROR(IF('ŞİKAYET KAYIT'!P492="Kapatıldı",'ŞİKAYET KAYIT'!H492,""),"")</f>
        <v/>
      </c>
      <c r="F492" s="11" t="str">
        <f>IFERROR(IF('ŞİKAYET KAYIT'!P492="Kapatıldı",'ŞİKAYET KAYIT'!J492,""),"")</f>
        <v/>
      </c>
      <c r="G492" s="11" t="str">
        <f>IFERROR(IF('ŞİKAYET KAYIT'!P492="Kapatıldı",'ŞİKAYET KAYIT'!K492,""),"")</f>
        <v/>
      </c>
      <c r="H492" s="11" t="str">
        <f>IFERROR(IF('ŞİKAYET KAYIT'!P492="Kapatıldı",'ŞİKAYET KAYIT'!L492,""),"")</f>
        <v/>
      </c>
      <c r="I492" s="11" t="str">
        <f>IFERROR(IF('ŞİKAYET KAYIT'!P492="Kapatıldı",'ŞİKAYET KAYIT'!M492,""),"")</f>
        <v/>
      </c>
      <c r="J492" s="11" t="str">
        <f>IFERROR(IF('ŞİKAYET KAYIT'!P492="Kapatıldı",'ŞİKAYET KAYIT'!N492,""),"")</f>
        <v/>
      </c>
      <c r="K492" s="11" t="str">
        <f>IFERROR(IF('ŞİKAYET KAYIT'!P492="Kapatıldı",'ŞİKAYET KAYIT'!O492,""),"")</f>
        <v/>
      </c>
      <c r="L492" s="12" t="str">
        <f>IFERROR(IF('ŞİKAYET KAYIT'!P492="Kapatıldı",'ŞİKAYET KAYIT'!Q492,""),"")</f>
        <v/>
      </c>
      <c r="M492" s="11" t="str">
        <f>IFERROR(IF('ŞİKAYET KAYIT'!P492="Kapatıldı",'ŞİKAYET KAYIT'!R492,""),"")</f>
        <v/>
      </c>
      <c r="N492" s="11"/>
    </row>
    <row r="493" spans="1:14" ht="15" customHeight="1" x14ac:dyDescent="0.3">
      <c r="A493" s="26" t="str">
        <f>IFERROR(IF('ŞİKAYET KAYIT'!P493="Kapatıldı",'ŞİKAYET KAYIT'!A493,""),"")</f>
        <v/>
      </c>
      <c r="B493" s="8" t="str">
        <f>IFERROR(IF('ŞİKAYET KAYIT'!P493="Kapatıldı",'ŞİKAYET KAYIT'!B493,""),"")</f>
        <v/>
      </c>
      <c r="C493" s="26" t="str">
        <f>IFERROR(IF('ŞİKAYET KAYIT'!P493="Kapatıldı",'ŞİKAYET KAYIT'!D493,""),"")</f>
        <v/>
      </c>
      <c r="D493" s="26" t="str">
        <f>IFERROR(IF('ŞİKAYET KAYIT'!P493="Kapatıldı",'ŞİKAYET KAYIT'!F493,""),"")</f>
        <v/>
      </c>
      <c r="E493" s="26" t="str">
        <f>IFERROR(IF('ŞİKAYET KAYIT'!P493="Kapatıldı",'ŞİKAYET KAYIT'!H493,""),"")</f>
        <v/>
      </c>
      <c r="F493" s="26" t="str">
        <f>IFERROR(IF('ŞİKAYET KAYIT'!P493="Kapatıldı",'ŞİKAYET KAYIT'!J493,""),"")</f>
        <v/>
      </c>
      <c r="G493" s="26" t="str">
        <f>IFERROR(IF('ŞİKAYET KAYIT'!P493="Kapatıldı",'ŞİKAYET KAYIT'!K493,""),"")</f>
        <v/>
      </c>
      <c r="H493" s="26" t="str">
        <f>IFERROR(IF('ŞİKAYET KAYIT'!P493="Kapatıldı",'ŞİKAYET KAYIT'!L493,""),"")</f>
        <v/>
      </c>
      <c r="I493" s="26" t="str">
        <f>IFERROR(IF('ŞİKAYET KAYIT'!P493="Kapatıldı",'ŞİKAYET KAYIT'!M493,""),"")</f>
        <v/>
      </c>
      <c r="J493" s="26" t="str">
        <f>IFERROR(IF('ŞİKAYET KAYIT'!P493="Kapatıldı",'ŞİKAYET KAYIT'!N493,""),"")</f>
        <v/>
      </c>
      <c r="K493" s="26" t="str">
        <f>IFERROR(IF('ŞİKAYET KAYIT'!P493="Kapatıldı",'ŞİKAYET KAYIT'!O493,""),"")</f>
        <v/>
      </c>
      <c r="L493" s="8" t="str">
        <f>IFERROR(IF('ŞİKAYET KAYIT'!P493="Kapatıldı",'ŞİKAYET KAYIT'!Q493,""),"")</f>
        <v/>
      </c>
      <c r="M493" s="26" t="str">
        <f>IFERROR(IF('ŞİKAYET KAYIT'!P493="Kapatıldı",'ŞİKAYET KAYIT'!R493,""),"")</f>
        <v/>
      </c>
      <c r="N493" s="26"/>
    </row>
    <row r="494" spans="1:14" ht="15" customHeight="1" x14ac:dyDescent="0.3">
      <c r="A494" s="11" t="str">
        <f>IFERROR(IF('ŞİKAYET KAYIT'!P494="Kapatıldı",'ŞİKAYET KAYIT'!A494,""),"")</f>
        <v/>
      </c>
      <c r="B494" s="12" t="str">
        <f>IFERROR(IF('ŞİKAYET KAYIT'!P494="Kapatıldı",'ŞİKAYET KAYIT'!B494,""),"")</f>
        <v/>
      </c>
      <c r="C494" s="11" t="str">
        <f>IFERROR(IF('ŞİKAYET KAYIT'!P494="Kapatıldı",'ŞİKAYET KAYIT'!D494,""),"")</f>
        <v/>
      </c>
      <c r="D494" s="11" t="str">
        <f>IFERROR(IF('ŞİKAYET KAYIT'!P494="Kapatıldı",'ŞİKAYET KAYIT'!F494,""),"")</f>
        <v/>
      </c>
      <c r="E494" s="11" t="str">
        <f>IFERROR(IF('ŞİKAYET KAYIT'!P494="Kapatıldı",'ŞİKAYET KAYIT'!H494,""),"")</f>
        <v/>
      </c>
      <c r="F494" s="11" t="str">
        <f>IFERROR(IF('ŞİKAYET KAYIT'!P494="Kapatıldı",'ŞİKAYET KAYIT'!J494,""),"")</f>
        <v/>
      </c>
      <c r="G494" s="11" t="str">
        <f>IFERROR(IF('ŞİKAYET KAYIT'!P494="Kapatıldı",'ŞİKAYET KAYIT'!K494,""),"")</f>
        <v/>
      </c>
      <c r="H494" s="11" t="str">
        <f>IFERROR(IF('ŞİKAYET KAYIT'!P494="Kapatıldı",'ŞİKAYET KAYIT'!L494,""),"")</f>
        <v/>
      </c>
      <c r="I494" s="11" t="str">
        <f>IFERROR(IF('ŞİKAYET KAYIT'!P494="Kapatıldı",'ŞİKAYET KAYIT'!M494,""),"")</f>
        <v/>
      </c>
      <c r="J494" s="11" t="str">
        <f>IFERROR(IF('ŞİKAYET KAYIT'!P494="Kapatıldı",'ŞİKAYET KAYIT'!N494,""),"")</f>
        <v/>
      </c>
      <c r="K494" s="11" t="str">
        <f>IFERROR(IF('ŞİKAYET KAYIT'!P494="Kapatıldı",'ŞİKAYET KAYIT'!O494,""),"")</f>
        <v/>
      </c>
      <c r="L494" s="12" t="str">
        <f>IFERROR(IF('ŞİKAYET KAYIT'!P494="Kapatıldı",'ŞİKAYET KAYIT'!Q494,""),"")</f>
        <v/>
      </c>
      <c r="M494" s="11" t="str">
        <f>IFERROR(IF('ŞİKAYET KAYIT'!P494="Kapatıldı",'ŞİKAYET KAYIT'!R494,""),"")</f>
        <v/>
      </c>
      <c r="N494" s="11"/>
    </row>
    <row r="495" spans="1:14" ht="15" customHeight="1" x14ac:dyDescent="0.3">
      <c r="A495" s="26" t="str">
        <f>IFERROR(IF('ŞİKAYET KAYIT'!P495="Kapatıldı",'ŞİKAYET KAYIT'!A495,""),"")</f>
        <v/>
      </c>
      <c r="B495" s="8" t="str">
        <f>IFERROR(IF('ŞİKAYET KAYIT'!P495="Kapatıldı",'ŞİKAYET KAYIT'!B495,""),"")</f>
        <v/>
      </c>
      <c r="C495" s="26" t="str">
        <f>IFERROR(IF('ŞİKAYET KAYIT'!P495="Kapatıldı",'ŞİKAYET KAYIT'!D495,""),"")</f>
        <v/>
      </c>
      <c r="D495" s="26" t="str">
        <f>IFERROR(IF('ŞİKAYET KAYIT'!P495="Kapatıldı",'ŞİKAYET KAYIT'!F495,""),"")</f>
        <v/>
      </c>
      <c r="E495" s="26" t="str">
        <f>IFERROR(IF('ŞİKAYET KAYIT'!P495="Kapatıldı",'ŞİKAYET KAYIT'!H495,""),"")</f>
        <v/>
      </c>
      <c r="F495" s="26" t="str">
        <f>IFERROR(IF('ŞİKAYET KAYIT'!P495="Kapatıldı",'ŞİKAYET KAYIT'!J495,""),"")</f>
        <v/>
      </c>
      <c r="G495" s="26" t="str">
        <f>IFERROR(IF('ŞİKAYET KAYIT'!P495="Kapatıldı",'ŞİKAYET KAYIT'!K495,""),"")</f>
        <v/>
      </c>
      <c r="H495" s="26" t="str">
        <f>IFERROR(IF('ŞİKAYET KAYIT'!P495="Kapatıldı",'ŞİKAYET KAYIT'!L495,""),"")</f>
        <v/>
      </c>
      <c r="I495" s="26" t="str">
        <f>IFERROR(IF('ŞİKAYET KAYIT'!P495="Kapatıldı",'ŞİKAYET KAYIT'!M495,""),"")</f>
        <v/>
      </c>
      <c r="J495" s="26" t="str">
        <f>IFERROR(IF('ŞİKAYET KAYIT'!P495="Kapatıldı",'ŞİKAYET KAYIT'!N495,""),"")</f>
        <v/>
      </c>
      <c r="K495" s="26" t="str">
        <f>IFERROR(IF('ŞİKAYET KAYIT'!P495="Kapatıldı",'ŞİKAYET KAYIT'!O495,""),"")</f>
        <v/>
      </c>
      <c r="L495" s="8" t="str">
        <f>IFERROR(IF('ŞİKAYET KAYIT'!P495="Kapatıldı",'ŞİKAYET KAYIT'!Q495,""),"")</f>
        <v/>
      </c>
      <c r="M495" s="26" t="str">
        <f>IFERROR(IF('ŞİKAYET KAYIT'!P495="Kapatıldı",'ŞİKAYET KAYIT'!R495,""),"")</f>
        <v/>
      </c>
      <c r="N495" s="26"/>
    </row>
    <row r="496" spans="1:14" ht="15" customHeight="1" x14ac:dyDescent="0.3">
      <c r="A496" s="11" t="str">
        <f>IFERROR(IF('ŞİKAYET KAYIT'!P496="Kapatıldı",'ŞİKAYET KAYIT'!A496,""),"")</f>
        <v/>
      </c>
      <c r="B496" s="12" t="str">
        <f>IFERROR(IF('ŞİKAYET KAYIT'!P496="Kapatıldı",'ŞİKAYET KAYIT'!B496,""),"")</f>
        <v/>
      </c>
      <c r="C496" s="11" t="str">
        <f>IFERROR(IF('ŞİKAYET KAYIT'!P496="Kapatıldı",'ŞİKAYET KAYIT'!D496,""),"")</f>
        <v/>
      </c>
      <c r="D496" s="11" t="str">
        <f>IFERROR(IF('ŞİKAYET KAYIT'!P496="Kapatıldı",'ŞİKAYET KAYIT'!F496,""),"")</f>
        <v/>
      </c>
      <c r="E496" s="11" t="str">
        <f>IFERROR(IF('ŞİKAYET KAYIT'!P496="Kapatıldı",'ŞİKAYET KAYIT'!H496,""),"")</f>
        <v/>
      </c>
      <c r="F496" s="11" t="str">
        <f>IFERROR(IF('ŞİKAYET KAYIT'!P496="Kapatıldı",'ŞİKAYET KAYIT'!J496,""),"")</f>
        <v/>
      </c>
      <c r="G496" s="11" t="str">
        <f>IFERROR(IF('ŞİKAYET KAYIT'!P496="Kapatıldı",'ŞİKAYET KAYIT'!K496,""),"")</f>
        <v/>
      </c>
      <c r="H496" s="11" t="str">
        <f>IFERROR(IF('ŞİKAYET KAYIT'!P496="Kapatıldı",'ŞİKAYET KAYIT'!L496,""),"")</f>
        <v/>
      </c>
      <c r="I496" s="11" t="str">
        <f>IFERROR(IF('ŞİKAYET KAYIT'!P496="Kapatıldı",'ŞİKAYET KAYIT'!M496,""),"")</f>
        <v/>
      </c>
      <c r="J496" s="11" t="str">
        <f>IFERROR(IF('ŞİKAYET KAYIT'!P496="Kapatıldı",'ŞİKAYET KAYIT'!N496,""),"")</f>
        <v/>
      </c>
      <c r="K496" s="11" t="str">
        <f>IFERROR(IF('ŞİKAYET KAYIT'!P496="Kapatıldı",'ŞİKAYET KAYIT'!O496,""),"")</f>
        <v/>
      </c>
      <c r="L496" s="12" t="str">
        <f>IFERROR(IF('ŞİKAYET KAYIT'!P496="Kapatıldı",'ŞİKAYET KAYIT'!Q496,""),"")</f>
        <v/>
      </c>
      <c r="M496" s="11" t="str">
        <f>IFERROR(IF('ŞİKAYET KAYIT'!P496="Kapatıldı",'ŞİKAYET KAYIT'!R496,""),"")</f>
        <v/>
      </c>
      <c r="N496" s="11"/>
    </row>
    <row r="497" spans="1:14" ht="15" customHeight="1" x14ac:dyDescent="0.3">
      <c r="A497" s="26" t="str">
        <f>IFERROR(IF('ŞİKAYET KAYIT'!P497="Kapatıldı",'ŞİKAYET KAYIT'!A497,""),"")</f>
        <v/>
      </c>
      <c r="B497" s="8" t="str">
        <f>IFERROR(IF('ŞİKAYET KAYIT'!P497="Kapatıldı",'ŞİKAYET KAYIT'!B497,""),"")</f>
        <v/>
      </c>
      <c r="C497" s="26" t="str">
        <f>IFERROR(IF('ŞİKAYET KAYIT'!P497="Kapatıldı",'ŞİKAYET KAYIT'!D497,""),"")</f>
        <v/>
      </c>
      <c r="D497" s="26" t="str">
        <f>IFERROR(IF('ŞİKAYET KAYIT'!P497="Kapatıldı",'ŞİKAYET KAYIT'!F497,""),"")</f>
        <v/>
      </c>
      <c r="E497" s="26" t="str">
        <f>IFERROR(IF('ŞİKAYET KAYIT'!P497="Kapatıldı",'ŞİKAYET KAYIT'!H497,""),"")</f>
        <v/>
      </c>
      <c r="F497" s="26" t="str">
        <f>IFERROR(IF('ŞİKAYET KAYIT'!P497="Kapatıldı",'ŞİKAYET KAYIT'!J497,""),"")</f>
        <v/>
      </c>
      <c r="G497" s="26" t="str">
        <f>IFERROR(IF('ŞİKAYET KAYIT'!P497="Kapatıldı",'ŞİKAYET KAYIT'!K497,""),"")</f>
        <v/>
      </c>
      <c r="H497" s="26" t="str">
        <f>IFERROR(IF('ŞİKAYET KAYIT'!P497="Kapatıldı",'ŞİKAYET KAYIT'!L497,""),"")</f>
        <v/>
      </c>
      <c r="I497" s="26" t="str">
        <f>IFERROR(IF('ŞİKAYET KAYIT'!P497="Kapatıldı",'ŞİKAYET KAYIT'!M497,""),"")</f>
        <v/>
      </c>
      <c r="J497" s="26" t="str">
        <f>IFERROR(IF('ŞİKAYET KAYIT'!P497="Kapatıldı",'ŞİKAYET KAYIT'!N497,""),"")</f>
        <v/>
      </c>
      <c r="K497" s="26" t="str">
        <f>IFERROR(IF('ŞİKAYET KAYIT'!P497="Kapatıldı",'ŞİKAYET KAYIT'!O497,""),"")</f>
        <v/>
      </c>
      <c r="L497" s="8" t="str">
        <f>IFERROR(IF('ŞİKAYET KAYIT'!P497="Kapatıldı",'ŞİKAYET KAYIT'!Q497,""),"")</f>
        <v/>
      </c>
      <c r="M497" s="26" t="str">
        <f>IFERROR(IF('ŞİKAYET KAYIT'!P497="Kapatıldı",'ŞİKAYET KAYIT'!R497,""),"")</f>
        <v/>
      </c>
      <c r="N497" s="26"/>
    </row>
    <row r="498" spans="1:14" ht="15" customHeight="1" x14ac:dyDescent="0.3">
      <c r="A498" s="11" t="str">
        <f>IFERROR(IF('ŞİKAYET KAYIT'!P498="Kapatıldı",'ŞİKAYET KAYIT'!A498,""),"")</f>
        <v/>
      </c>
      <c r="B498" s="12" t="str">
        <f>IFERROR(IF('ŞİKAYET KAYIT'!P498="Kapatıldı",'ŞİKAYET KAYIT'!B498,""),"")</f>
        <v/>
      </c>
      <c r="C498" s="11" t="str">
        <f>IFERROR(IF('ŞİKAYET KAYIT'!P498="Kapatıldı",'ŞİKAYET KAYIT'!D498,""),"")</f>
        <v/>
      </c>
      <c r="D498" s="11" t="str">
        <f>IFERROR(IF('ŞİKAYET KAYIT'!P498="Kapatıldı",'ŞİKAYET KAYIT'!F498,""),"")</f>
        <v/>
      </c>
      <c r="E498" s="11" t="str">
        <f>IFERROR(IF('ŞİKAYET KAYIT'!P498="Kapatıldı",'ŞİKAYET KAYIT'!H498,""),"")</f>
        <v/>
      </c>
      <c r="F498" s="11" t="str">
        <f>IFERROR(IF('ŞİKAYET KAYIT'!P498="Kapatıldı",'ŞİKAYET KAYIT'!J498,""),"")</f>
        <v/>
      </c>
      <c r="G498" s="11" t="str">
        <f>IFERROR(IF('ŞİKAYET KAYIT'!P498="Kapatıldı",'ŞİKAYET KAYIT'!K498,""),"")</f>
        <v/>
      </c>
      <c r="H498" s="11" t="str">
        <f>IFERROR(IF('ŞİKAYET KAYIT'!P498="Kapatıldı",'ŞİKAYET KAYIT'!L498,""),"")</f>
        <v/>
      </c>
      <c r="I498" s="11" t="str">
        <f>IFERROR(IF('ŞİKAYET KAYIT'!P498="Kapatıldı",'ŞİKAYET KAYIT'!M498,""),"")</f>
        <v/>
      </c>
      <c r="J498" s="11" t="str">
        <f>IFERROR(IF('ŞİKAYET KAYIT'!P498="Kapatıldı",'ŞİKAYET KAYIT'!N498,""),"")</f>
        <v/>
      </c>
      <c r="K498" s="11" t="str">
        <f>IFERROR(IF('ŞİKAYET KAYIT'!P498="Kapatıldı",'ŞİKAYET KAYIT'!O498,""),"")</f>
        <v/>
      </c>
      <c r="L498" s="12" t="str">
        <f>IFERROR(IF('ŞİKAYET KAYIT'!P498="Kapatıldı",'ŞİKAYET KAYIT'!Q498,""),"")</f>
        <v/>
      </c>
      <c r="M498" s="11" t="str">
        <f>IFERROR(IF('ŞİKAYET KAYIT'!P498="Kapatıldı",'ŞİKAYET KAYIT'!R498,""),"")</f>
        <v/>
      </c>
      <c r="N498" s="11"/>
    </row>
    <row r="499" spans="1:14" ht="15" customHeight="1" x14ac:dyDescent="0.3">
      <c r="A499" s="26" t="str">
        <f>IFERROR(IF('ŞİKAYET KAYIT'!P499="Kapatıldı",'ŞİKAYET KAYIT'!A499,""),"")</f>
        <v/>
      </c>
      <c r="B499" s="8" t="str">
        <f>IFERROR(IF('ŞİKAYET KAYIT'!P499="Kapatıldı",'ŞİKAYET KAYIT'!B499,""),"")</f>
        <v/>
      </c>
      <c r="C499" s="26" t="str">
        <f>IFERROR(IF('ŞİKAYET KAYIT'!P499="Kapatıldı",'ŞİKAYET KAYIT'!D499,""),"")</f>
        <v/>
      </c>
      <c r="D499" s="26" t="str">
        <f>IFERROR(IF('ŞİKAYET KAYIT'!P499="Kapatıldı",'ŞİKAYET KAYIT'!F499,""),"")</f>
        <v/>
      </c>
      <c r="E499" s="26" t="str">
        <f>IFERROR(IF('ŞİKAYET KAYIT'!P499="Kapatıldı",'ŞİKAYET KAYIT'!H499,""),"")</f>
        <v/>
      </c>
      <c r="F499" s="26" t="str">
        <f>IFERROR(IF('ŞİKAYET KAYIT'!P499="Kapatıldı",'ŞİKAYET KAYIT'!J499,""),"")</f>
        <v/>
      </c>
      <c r="G499" s="26" t="str">
        <f>IFERROR(IF('ŞİKAYET KAYIT'!P499="Kapatıldı",'ŞİKAYET KAYIT'!K499,""),"")</f>
        <v/>
      </c>
      <c r="H499" s="26" t="str">
        <f>IFERROR(IF('ŞİKAYET KAYIT'!P499="Kapatıldı",'ŞİKAYET KAYIT'!L499,""),"")</f>
        <v/>
      </c>
      <c r="I499" s="26" t="str">
        <f>IFERROR(IF('ŞİKAYET KAYIT'!P499="Kapatıldı",'ŞİKAYET KAYIT'!M499,""),"")</f>
        <v/>
      </c>
      <c r="J499" s="26" t="str">
        <f>IFERROR(IF('ŞİKAYET KAYIT'!P499="Kapatıldı",'ŞİKAYET KAYIT'!N499,""),"")</f>
        <v/>
      </c>
      <c r="K499" s="26" t="str">
        <f>IFERROR(IF('ŞİKAYET KAYIT'!P499="Kapatıldı",'ŞİKAYET KAYIT'!O499,""),"")</f>
        <v/>
      </c>
      <c r="L499" s="8" t="str">
        <f>IFERROR(IF('ŞİKAYET KAYIT'!P499="Kapatıldı",'ŞİKAYET KAYIT'!Q499,""),"")</f>
        <v/>
      </c>
      <c r="M499" s="26" t="str">
        <f>IFERROR(IF('ŞİKAYET KAYIT'!P499="Kapatıldı",'ŞİKAYET KAYIT'!R499,""),"")</f>
        <v/>
      </c>
      <c r="N499" s="26"/>
    </row>
    <row r="500" spans="1:14" ht="15" customHeight="1" x14ac:dyDescent="0.3">
      <c r="A500" s="11" t="str">
        <f>IFERROR(IF('ŞİKAYET KAYIT'!P500="Kapatıldı",'ŞİKAYET KAYIT'!A500,""),"")</f>
        <v/>
      </c>
      <c r="B500" s="12" t="str">
        <f>IFERROR(IF('ŞİKAYET KAYIT'!P500="Kapatıldı",'ŞİKAYET KAYIT'!B500,""),"")</f>
        <v/>
      </c>
      <c r="C500" s="11" t="str">
        <f>IFERROR(IF('ŞİKAYET KAYIT'!P500="Kapatıldı",'ŞİKAYET KAYIT'!D500,""),"")</f>
        <v/>
      </c>
      <c r="D500" s="11" t="str">
        <f>IFERROR(IF('ŞİKAYET KAYIT'!P500="Kapatıldı",'ŞİKAYET KAYIT'!F500,""),"")</f>
        <v/>
      </c>
      <c r="E500" s="11" t="str">
        <f>IFERROR(IF('ŞİKAYET KAYIT'!P500="Kapatıldı",'ŞİKAYET KAYIT'!H500,""),"")</f>
        <v/>
      </c>
      <c r="F500" s="11" t="str">
        <f>IFERROR(IF('ŞİKAYET KAYIT'!P500="Kapatıldı",'ŞİKAYET KAYIT'!J500,""),"")</f>
        <v/>
      </c>
      <c r="G500" s="11" t="str">
        <f>IFERROR(IF('ŞİKAYET KAYIT'!P500="Kapatıldı",'ŞİKAYET KAYIT'!K500,""),"")</f>
        <v/>
      </c>
      <c r="H500" s="11" t="str">
        <f>IFERROR(IF('ŞİKAYET KAYIT'!P500="Kapatıldı",'ŞİKAYET KAYIT'!L500,""),"")</f>
        <v/>
      </c>
      <c r="I500" s="11" t="str">
        <f>IFERROR(IF('ŞİKAYET KAYIT'!P500="Kapatıldı",'ŞİKAYET KAYIT'!M500,""),"")</f>
        <v/>
      </c>
      <c r="J500" s="11" t="str">
        <f>IFERROR(IF('ŞİKAYET KAYIT'!P500="Kapatıldı",'ŞİKAYET KAYIT'!N500,""),"")</f>
        <v/>
      </c>
      <c r="K500" s="11" t="str">
        <f>IFERROR(IF('ŞİKAYET KAYIT'!P500="Kapatıldı",'ŞİKAYET KAYIT'!O500,""),"")</f>
        <v/>
      </c>
      <c r="L500" s="12" t="str">
        <f>IFERROR(IF('ŞİKAYET KAYIT'!P500="Kapatıldı",'ŞİKAYET KAYIT'!Q500,""),"")</f>
        <v/>
      </c>
      <c r="M500" s="11" t="str">
        <f>IFERROR(IF('ŞİKAYET KAYIT'!P500="Kapatıldı",'ŞİKAYET KAYIT'!R500,""),"")</f>
        <v/>
      </c>
      <c r="N500" s="11"/>
    </row>
    <row r="501" spans="1:14" ht="15" customHeight="1" x14ac:dyDescent="0.3">
      <c r="A501" s="26" t="str">
        <f>IFERROR(IF('ŞİKAYET KAYIT'!P501="Kapatıldı",'ŞİKAYET KAYIT'!A501,""),"")</f>
        <v/>
      </c>
      <c r="B501" s="8" t="str">
        <f>IFERROR(IF('ŞİKAYET KAYIT'!P501="Kapatıldı",'ŞİKAYET KAYIT'!B501,""),"")</f>
        <v/>
      </c>
      <c r="C501" s="26" t="str">
        <f>IFERROR(IF('ŞİKAYET KAYIT'!P501="Kapatıldı",'ŞİKAYET KAYIT'!D501,""),"")</f>
        <v/>
      </c>
      <c r="D501" s="26" t="str">
        <f>IFERROR(IF('ŞİKAYET KAYIT'!P501="Kapatıldı",'ŞİKAYET KAYIT'!F501,""),"")</f>
        <v/>
      </c>
      <c r="E501" s="26" t="str">
        <f>IFERROR(IF('ŞİKAYET KAYIT'!P501="Kapatıldı",'ŞİKAYET KAYIT'!H501,""),"")</f>
        <v/>
      </c>
      <c r="F501" s="26" t="str">
        <f>IFERROR(IF('ŞİKAYET KAYIT'!P501="Kapatıldı",'ŞİKAYET KAYIT'!J501,""),"")</f>
        <v/>
      </c>
      <c r="G501" s="26" t="str">
        <f>IFERROR(IF('ŞİKAYET KAYIT'!P501="Kapatıldı",'ŞİKAYET KAYIT'!K501,""),"")</f>
        <v/>
      </c>
      <c r="H501" s="26" t="str">
        <f>IFERROR(IF('ŞİKAYET KAYIT'!P501="Kapatıldı",'ŞİKAYET KAYIT'!L501,""),"")</f>
        <v/>
      </c>
      <c r="I501" s="26" t="str">
        <f>IFERROR(IF('ŞİKAYET KAYIT'!P501="Kapatıldı",'ŞİKAYET KAYIT'!M501,""),"")</f>
        <v/>
      </c>
      <c r="J501" s="26" t="str">
        <f>IFERROR(IF('ŞİKAYET KAYIT'!P501="Kapatıldı",'ŞİKAYET KAYIT'!N501,""),"")</f>
        <v/>
      </c>
      <c r="K501" s="26" t="str">
        <f>IFERROR(IF('ŞİKAYET KAYIT'!P501="Kapatıldı",'ŞİKAYET KAYIT'!O501,""),"")</f>
        <v/>
      </c>
      <c r="L501" s="8" t="str">
        <f>IFERROR(IF('ŞİKAYET KAYIT'!P501="Kapatıldı",'ŞİKAYET KAYIT'!Q501,""),"")</f>
        <v/>
      </c>
      <c r="M501" s="26" t="str">
        <f>IFERROR(IF('ŞİKAYET KAYIT'!P501="Kapatıldı",'ŞİKAYET KAYIT'!R501,""),"")</f>
        <v/>
      </c>
      <c r="N501" s="26"/>
    </row>
    <row r="502" spans="1:14" ht="15" customHeight="1" x14ac:dyDescent="0.3">
      <c r="A502" s="11" t="str">
        <f>IFERROR(IF('ŞİKAYET KAYIT'!P502="Kapatıldı",'ŞİKAYET KAYIT'!A502,""),"")</f>
        <v/>
      </c>
      <c r="B502" s="12" t="str">
        <f>IFERROR(IF('ŞİKAYET KAYIT'!P502="Kapatıldı",'ŞİKAYET KAYIT'!B502,""),"")</f>
        <v/>
      </c>
      <c r="C502" s="11" t="str">
        <f>IFERROR(IF('ŞİKAYET KAYIT'!P502="Kapatıldı",'ŞİKAYET KAYIT'!D502,""),"")</f>
        <v/>
      </c>
      <c r="D502" s="11" t="str">
        <f>IFERROR(IF('ŞİKAYET KAYIT'!P502="Kapatıldı",'ŞİKAYET KAYIT'!F502,""),"")</f>
        <v/>
      </c>
      <c r="E502" s="11" t="str">
        <f>IFERROR(IF('ŞİKAYET KAYIT'!P502="Kapatıldı",'ŞİKAYET KAYIT'!H502,""),"")</f>
        <v/>
      </c>
      <c r="F502" s="11" t="str">
        <f>IFERROR(IF('ŞİKAYET KAYIT'!P502="Kapatıldı",'ŞİKAYET KAYIT'!J502,""),"")</f>
        <v/>
      </c>
      <c r="G502" s="11" t="str">
        <f>IFERROR(IF('ŞİKAYET KAYIT'!P502="Kapatıldı",'ŞİKAYET KAYIT'!K502,""),"")</f>
        <v/>
      </c>
      <c r="H502" s="11" t="str">
        <f>IFERROR(IF('ŞİKAYET KAYIT'!P502="Kapatıldı",'ŞİKAYET KAYIT'!L502,""),"")</f>
        <v/>
      </c>
      <c r="I502" s="11" t="str">
        <f>IFERROR(IF('ŞİKAYET KAYIT'!P502="Kapatıldı",'ŞİKAYET KAYIT'!M502,""),"")</f>
        <v/>
      </c>
      <c r="J502" s="11" t="str">
        <f>IFERROR(IF('ŞİKAYET KAYIT'!P502="Kapatıldı",'ŞİKAYET KAYIT'!N502,""),"")</f>
        <v/>
      </c>
      <c r="K502" s="11" t="str">
        <f>IFERROR(IF('ŞİKAYET KAYIT'!P502="Kapatıldı",'ŞİKAYET KAYIT'!O502,""),"")</f>
        <v/>
      </c>
      <c r="L502" s="12" t="str">
        <f>IFERROR(IF('ŞİKAYET KAYIT'!P502="Kapatıldı",'ŞİKAYET KAYIT'!Q502,""),"")</f>
        <v/>
      </c>
      <c r="M502" s="11" t="str">
        <f>IFERROR(IF('ŞİKAYET KAYIT'!P502="Kapatıldı",'ŞİKAYET KAYIT'!R502,""),"")</f>
        <v/>
      </c>
      <c r="N502" s="11"/>
    </row>
    <row r="503" spans="1:14" ht="15" customHeight="1" x14ac:dyDescent="0.3">
      <c r="A503" s="26" t="str">
        <f>IFERROR(IF('ŞİKAYET KAYIT'!P503="Kapatıldı",'ŞİKAYET KAYIT'!A503,""),"")</f>
        <v/>
      </c>
      <c r="B503" s="8" t="str">
        <f>IFERROR(IF('ŞİKAYET KAYIT'!P503="Kapatıldı",'ŞİKAYET KAYIT'!B503,""),"")</f>
        <v/>
      </c>
      <c r="C503" s="26" t="str">
        <f>IFERROR(IF('ŞİKAYET KAYIT'!P503="Kapatıldı",'ŞİKAYET KAYIT'!D503,""),"")</f>
        <v/>
      </c>
      <c r="D503" s="26" t="str">
        <f>IFERROR(IF('ŞİKAYET KAYIT'!P503="Kapatıldı",'ŞİKAYET KAYIT'!F503,""),"")</f>
        <v/>
      </c>
      <c r="E503" s="26" t="str">
        <f>IFERROR(IF('ŞİKAYET KAYIT'!P503="Kapatıldı",'ŞİKAYET KAYIT'!H503,""),"")</f>
        <v/>
      </c>
      <c r="F503" s="26" t="str">
        <f>IFERROR(IF('ŞİKAYET KAYIT'!P503="Kapatıldı",'ŞİKAYET KAYIT'!J503,""),"")</f>
        <v/>
      </c>
      <c r="G503" s="26" t="str">
        <f>IFERROR(IF('ŞİKAYET KAYIT'!P503="Kapatıldı",'ŞİKAYET KAYIT'!K503,""),"")</f>
        <v/>
      </c>
      <c r="H503" s="26" t="str">
        <f>IFERROR(IF('ŞİKAYET KAYIT'!P503="Kapatıldı",'ŞİKAYET KAYIT'!L503,""),"")</f>
        <v/>
      </c>
      <c r="I503" s="26" t="str">
        <f>IFERROR(IF('ŞİKAYET KAYIT'!P503="Kapatıldı",'ŞİKAYET KAYIT'!M503,""),"")</f>
        <v/>
      </c>
      <c r="J503" s="26" t="str">
        <f>IFERROR(IF('ŞİKAYET KAYIT'!P503="Kapatıldı",'ŞİKAYET KAYIT'!N503,""),"")</f>
        <v/>
      </c>
      <c r="K503" s="26" t="str">
        <f>IFERROR(IF('ŞİKAYET KAYIT'!P503="Kapatıldı",'ŞİKAYET KAYIT'!O503,""),"")</f>
        <v/>
      </c>
      <c r="L503" s="8" t="str">
        <f>IFERROR(IF('ŞİKAYET KAYIT'!P503="Kapatıldı",'ŞİKAYET KAYIT'!Q503,""),"")</f>
        <v/>
      </c>
      <c r="M503" s="26" t="str">
        <f>IFERROR(IF('ŞİKAYET KAYIT'!P503="Kapatıldı",'ŞİKAYET KAYIT'!R503,""),"")</f>
        <v/>
      </c>
      <c r="N503" s="26"/>
    </row>
  </sheetData>
  <mergeCells count="2">
    <mergeCell ref="A1:N1"/>
    <mergeCell ref="A2:N2"/>
  </mergeCells>
  <dataValidations count="1">
    <dataValidation type="list" allowBlank="1" showInputMessage="1" showErrorMessage="1" errorTitle="Geçersiz Giriş" error="Lütfen listeden seçiniz." sqref="N4:N503">
      <formula1>"Kadim Işık,Bülent Toraman,Ötügen Sünger"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33"/>
  <sheetViews>
    <sheetView showGridLines="0" zoomScale="55" zoomScaleNormal="55" workbookViewId="0">
      <selection activeCell="A5" sqref="A5:B10"/>
    </sheetView>
  </sheetViews>
  <sheetFormatPr defaultColWidth="8.6640625" defaultRowHeight="14.4" x14ac:dyDescent="0.3"/>
  <cols>
    <col min="1" max="1" width="36" style="1" customWidth="1"/>
    <col min="2" max="3" width="10" style="1" customWidth="1"/>
    <col min="4" max="4" width="14" style="1" customWidth="1"/>
    <col min="5" max="5" width="12" style="1" customWidth="1"/>
    <col min="6" max="6" width="11" style="1" customWidth="1"/>
    <col min="7" max="7" width="10" style="1" customWidth="1"/>
    <col min="8" max="8" width="18" style="1" customWidth="1"/>
  </cols>
  <sheetData>
    <row r="1" spans="1:8" ht="70.2" customHeight="1" x14ac:dyDescent="0.3">
      <c r="A1" s="30" t="s">
        <v>88</v>
      </c>
      <c r="B1" s="30"/>
      <c r="C1" s="30"/>
      <c r="D1" s="30"/>
      <c r="E1" s="30"/>
      <c r="F1" s="30"/>
      <c r="G1" s="30"/>
      <c r="H1" s="30"/>
    </row>
    <row r="2" spans="1:8" ht="18" customHeight="1" x14ac:dyDescent="0.3">
      <c r="A2" s="13" t="str">
        <f ca="1">TEXT(TODAY(),"DD.MM.YYYY tarihi itibarıyla")</f>
        <v>00.MM.2026 t7rihi iti697rı26l7</v>
      </c>
    </row>
    <row r="4" spans="1:8" ht="24" customHeight="1" x14ac:dyDescent="0.3">
      <c r="A4" s="29" t="s">
        <v>89</v>
      </c>
      <c r="B4" s="29"/>
      <c r="C4" s="29"/>
    </row>
    <row r="5" spans="1:8" ht="21.75" customHeight="1" x14ac:dyDescent="0.3">
      <c r="A5" s="14" t="s">
        <v>90</v>
      </c>
      <c r="B5" s="15">
        <f>COUNTA('ŞİKAYET KAYIT'!A4:A503)</f>
        <v>500</v>
      </c>
    </row>
    <row r="6" spans="1:8" ht="21.75" customHeight="1" x14ac:dyDescent="0.3">
      <c r="A6" s="16" t="s">
        <v>91</v>
      </c>
      <c r="B6" s="17">
        <f>COUNTIF('ŞİKAYET KAYIT'!P4:P503,"Açık")</f>
        <v>0</v>
      </c>
    </row>
    <row r="7" spans="1:8" ht="21.75" customHeight="1" x14ac:dyDescent="0.3">
      <c r="A7" s="14" t="s">
        <v>92</v>
      </c>
      <c r="B7" s="15">
        <f>COUNTIF('ŞİKAYET KAYIT'!P4:P503,"Devam Ediyor")</f>
        <v>0</v>
      </c>
    </row>
    <row r="8" spans="1:8" ht="21.75" customHeight="1" x14ac:dyDescent="0.3">
      <c r="A8" s="16" t="s">
        <v>93</v>
      </c>
      <c r="B8" s="17">
        <f>COUNTIF('ŞİKAYET KAYIT'!P4:P503,"Kapatıldı")</f>
        <v>0</v>
      </c>
    </row>
    <row r="9" spans="1:8" ht="21.75" customHeight="1" x14ac:dyDescent="0.3">
      <c r="A9" s="14" t="s">
        <v>94</v>
      </c>
      <c r="B9" s="15">
        <f>COUNTIF('ŞİKAYET KAYIT'!O4:O503,"Çok Acil")</f>
        <v>0</v>
      </c>
    </row>
    <row r="10" spans="1:8" ht="21.75" customHeight="1" x14ac:dyDescent="0.3">
      <c r="A10" s="16" t="s">
        <v>95</v>
      </c>
      <c r="B10" s="17">
        <f>COUNTIF('ŞİKAYET KAYIT'!O4:O503,"Acil")</f>
        <v>0</v>
      </c>
    </row>
    <row r="12" spans="1:8" ht="24" customHeight="1" x14ac:dyDescent="0.3">
      <c r="A12" s="29" t="s">
        <v>96</v>
      </c>
      <c r="B12" s="29"/>
      <c r="C12" s="29"/>
      <c r="D12" s="29"/>
      <c r="E12" s="29"/>
      <c r="F12" s="29"/>
      <c r="G12" s="29"/>
      <c r="H12" s="29"/>
    </row>
    <row r="13" spans="1:8" ht="30" customHeight="1" x14ac:dyDescent="0.3">
      <c r="A13" s="4" t="s">
        <v>80</v>
      </c>
      <c r="B13" s="4" t="s">
        <v>97</v>
      </c>
      <c r="C13" s="4" t="s">
        <v>98</v>
      </c>
      <c r="D13" s="4" t="s">
        <v>99</v>
      </c>
      <c r="E13" s="4" t="s">
        <v>100</v>
      </c>
      <c r="F13" s="4" t="s">
        <v>101</v>
      </c>
      <c r="G13" s="4" t="s">
        <v>102</v>
      </c>
      <c r="H13" s="4" t="s">
        <v>103</v>
      </c>
    </row>
    <row r="14" spans="1:8" ht="21.75" customHeight="1" x14ac:dyDescent="0.3">
      <c r="A14" s="18" t="s">
        <v>4</v>
      </c>
      <c r="B14" s="3">
        <f>COUNTIF('ŞİKAYET KAYIT'!J4:J503,"Fen İşleri Müdürlüğü")</f>
        <v>0</v>
      </c>
      <c r="C14" s="3">
        <f>COUNTIFS('ŞİKAYET KAYIT'!J4:J503,"Fen İşleri Müdürlüğü",'ŞİKAYET KAYIT'!P4:P503,"Açık")</f>
        <v>0</v>
      </c>
      <c r="D14" s="3">
        <f>COUNTIFS('ŞİKAYET KAYIT'!J4:J503,"Fen İşleri Müdürlüğü",'ŞİKAYET KAYIT'!P4:P503,"Devam Ediyor")</f>
        <v>0</v>
      </c>
      <c r="E14" s="3">
        <f>COUNTIFS('ŞİKAYET KAYIT'!J4:J503,"Fen İşleri Müdürlüğü",'ŞİKAYET KAYIT'!P4:P503,"Kapatıldı")</f>
        <v>0</v>
      </c>
      <c r="F14" s="3">
        <f>COUNTIFS('ŞİKAYET KAYIT'!J4:J503,"Fen İşleri Müdürlüğü",'ŞİKAYET KAYIT'!O4:O503,"Çok Acil")</f>
        <v>0</v>
      </c>
      <c r="G14" s="3">
        <f>COUNTIFS('ŞİKAYET KAYIT'!J4:J503,"Fen İşleri Müdürlüğü",'ŞİKAYET KAYIT'!O4:O503,"Acil")</f>
        <v>0</v>
      </c>
      <c r="H14" s="3"/>
    </row>
    <row r="15" spans="1:8" ht="21.75" customHeight="1" x14ac:dyDescent="0.3">
      <c r="A15" s="19" t="s">
        <v>7</v>
      </c>
      <c r="B15" s="26">
        <f>COUNTIF('ŞİKAYET KAYIT'!J4:J503,"Su ve Kanalizasyon İşleri Müdürlüğü")</f>
        <v>0</v>
      </c>
      <c r="C15" s="26">
        <f>COUNTIFS('ŞİKAYET KAYIT'!J4:J503,"Su ve Kanalizasyon İşleri Müdürlüğü",'ŞİKAYET KAYIT'!P4:P503,"Açık")</f>
        <v>0</v>
      </c>
      <c r="D15" s="26">
        <f>COUNTIFS('ŞİKAYET KAYIT'!J4:J503,"Su ve Kanalizasyon İşleri Müdürlüğü",'ŞİKAYET KAYIT'!P4:P503,"Devam Ediyor")</f>
        <v>0</v>
      </c>
      <c r="E15" s="26">
        <f>COUNTIFS('ŞİKAYET KAYIT'!J4:J503,"Su ve Kanalizasyon İşleri Müdürlüğü",'ŞİKAYET KAYIT'!P4:P503,"Kapatıldı")</f>
        <v>0</v>
      </c>
      <c r="F15" s="26">
        <f>COUNTIFS('ŞİKAYET KAYIT'!J4:J503,"Su ve Kanalizasyon İşleri Müdürlüğü",'ŞİKAYET KAYIT'!O4:O503,"Çok Acil")</f>
        <v>0</v>
      </c>
      <c r="G15" s="26">
        <f>COUNTIFS('ŞİKAYET KAYIT'!J4:J503,"Su ve Kanalizasyon İşleri Müdürlüğü",'ŞİKAYET KAYIT'!O4:O503,"Acil")</f>
        <v>0</v>
      </c>
      <c r="H15" s="26"/>
    </row>
    <row r="16" spans="1:8" ht="21.75" customHeight="1" x14ac:dyDescent="0.3">
      <c r="A16" s="18" t="s">
        <v>10</v>
      </c>
      <c r="B16" s="3">
        <f>COUNTIF('ŞİKAYET KAYIT'!J4:J503,"Temizlik İşleri Müdürlüğü")</f>
        <v>0</v>
      </c>
      <c r="C16" s="3">
        <f>COUNTIFS('ŞİKAYET KAYIT'!J4:J503,"Temizlik İşleri Müdürlüğü",'ŞİKAYET KAYIT'!P4:P503,"Açık")</f>
        <v>0</v>
      </c>
      <c r="D16" s="3">
        <f>COUNTIFS('ŞİKAYET KAYIT'!J4:J503,"Temizlik İşleri Müdürlüğü",'ŞİKAYET KAYIT'!P4:P503,"Devam Ediyor")</f>
        <v>0</v>
      </c>
      <c r="E16" s="3">
        <f>COUNTIFS('ŞİKAYET KAYIT'!J4:J503,"Temizlik İşleri Müdürlüğü",'ŞİKAYET KAYIT'!P4:P503,"Kapatıldı")</f>
        <v>0</v>
      </c>
      <c r="F16" s="3">
        <f>COUNTIFS('ŞİKAYET KAYIT'!J4:J503,"Temizlik İşleri Müdürlüğü",'ŞİKAYET KAYIT'!O4:O503,"Çok Acil")</f>
        <v>0</v>
      </c>
      <c r="G16" s="3">
        <f>COUNTIFS('ŞİKAYET KAYIT'!J4:J503,"Temizlik İşleri Müdürlüğü",'ŞİKAYET KAYIT'!O4:O503,"Acil")</f>
        <v>0</v>
      </c>
      <c r="H16" s="3"/>
    </row>
    <row r="17" spans="1:8" ht="21.75" customHeight="1" x14ac:dyDescent="0.3">
      <c r="A17" s="19" t="s">
        <v>13</v>
      </c>
      <c r="B17" s="26">
        <f>COUNTIF('ŞİKAYET KAYIT'!J4:J503,"Zabıta Müdürlüğü")</f>
        <v>0</v>
      </c>
      <c r="C17" s="26">
        <f>COUNTIFS('ŞİKAYET KAYIT'!J4:J503,"Zabıta Müdürlüğü",'ŞİKAYET KAYIT'!P4:P503,"Açık")</f>
        <v>0</v>
      </c>
      <c r="D17" s="26">
        <f>COUNTIFS('ŞİKAYET KAYIT'!J4:J503,"Zabıta Müdürlüğü",'ŞİKAYET KAYIT'!P4:P503,"Devam Ediyor")</f>
        <v>0</v>
      </c>
      <c r="E17" s="26">
        <f>COUNTIFS('ŞİKAYET KAYIT'!J4:J503,"Zabıta Müdürlüğü",'ŞİKAYET KAYIT'!P4:P503,"Kapatıldı")</f>
        <v>0</v>
      </c>
      <c r="F17" s="26">
        <f>COUNTIFS('ŞİKAYET KAYIT'!J4:J503,"Zabıta Müdürlüğü",'ŞİKAYET KAYIT'!O4:O503,"Çok Acil")</f>
        <v>0</v>
      </c>
      <c r="G17" s="26">
        <f>COUNTIFS('ŞİKAYET KAYIT'!J4:J503,"Zabıta Müdürlüğü",'ŞİKAYET KAYIT'!O4:O503,"Acil")</f>
        <v>0</v>
      </c>
      <c r="H17" s="26"/>
    </row>
    <row r="18" spans="1:8" ht="21.75" customHeight="1" x14ac:dyDescent="0.3">
      <c r="A18" s="18" t="s">
        <v>16</v>
      </c>
      <c r="B18" s="3">
        <f>COUNTIF('ŞİKAYET KAYIT'!J4:J503,"Park ve Bahçeler Müdürlüğü")</f>
        <v>0</v>
      </c>
      <c r="C18" s="3">
        <f>COUNTIFS('ŞİKAYET KAYIT'!J4:J503,"Park ve Bahçeler Müdürlüğü",'ŞİKAYET KAYIT'!P4:P503,"Açık")</f>
        <v>0</v>
      </c>
      <c r="D18" s="3">
        <f>COUNTIFS('ŞİKAYET KAYIT'!J4:J503,"Park ve Bahçeler Müdürlüğü",'ŞİKAYET KAYIT'!P4:P503,"Devam Ediyor")</f>
        <v>0</v>
      </c>
      <c r="E18" s="3">
        <f>COUNTIFS('ŞİKAYET KAYIT'!J4:J503,"Park ve Bahçeler Müdürlüğü",'ŞİKAYET KAYIT'!P4:P503,"Kapatıldı")</f>
        <v>0</v>
      </c>
      <c r="F18" s="3">
        <f>COUNTIFS('ŞİKAYET KAYIT'!J4:J503,"Park ve Bahçeler Müdürlüğü",'ŞİKAYET KAYIT'!O4:O503,"Çok Acil")</f>
        <v>0</v>
      </c>
      <c r="G18" s="3">
        <f>COUNTIFS('ŞİKAYET KAYIT'!J4:J503,"Park ve Bahçeler Müdürlüğü",'ŞİKAYET KAYIT'!O4:O503,"Acil")</f>
        <v>0</v>
      </c>
      <c r="H18" s="3"/>
    </row>
    <row r="19" spans="1:8" ht="21.75" customHeight="1" x14ac:dyDescent="0.3">
      <c r="A19" s="19" t="s">
        <v>19</v>
      </c>
      <c r="B19" s="26">
        <f>COUNTIF('ŞİKAYET KAYIT'!J4:J503,"Ulaşım Hizmetleri Müdürlüğü")</f>
        <v>0</v>
      </c>
      <c r="C19" s="26">
        <f>COUNTIFS('ŞİKAYET KAYIT'!J4:J503,"Ulaşım Hizmetleri Müdürlüğü",'ŞİKAYET KAYIT'!P4:P503,"Açık")</f>
        <v>0</v>
      </c>
      <c r="D19" s="26">
        <f>COUNTIFS('ŞİKAYET KAYIT'!J4:J503,"Ulaşım Hizmetleri Müdürlüğü",'ŞİKAYET KAYIT'!P4:P503,"Devam Ediyor")</f>
        <v>0</v>
      </c>
      <c r="E19" s="26">
        <f>COUNTIFS('ŞİKAYET KAYIT'!J4:J503,"Ulaşım Hizmetleri Müdürlüğü",'ŞİKAYET KAYIT'!P4:P503,"Kapatıldı")</f>
        <v>0</v>
      </c>
      <c r="F19" s="26">
        <f>COUNTIFS('ŞİKAYET KAYIT'!J4:J503,"Ulaşım Hizmetleri Müdürlüğü",'ŞİKAYET KAYIT'!O4:O503,"Çok Acil")</f>
        <v>0</v>
      </c>
      <c r="G19" s="26">
        <f>COUNTIFS('ŞİKAYET KAYIT'!J4:J503,"Ulaşım Hizmetleri Müdürlüğü",'ŞİKAYET KAYIT'!O4:O503,"Acil")</f>
        <v>0</v>
      </c>
      <c r="H19" s="26"/>
    </row>
    <row r="20" spans="1:8" ht="21.75" customHeight="1" x14ac:dyDescent="0.3">
      <c r="A20" s="18" t="s">
        <v>22</v>
      </c>
      <c r="B20" s="3">
        <f>COUNTIF('ŞİKAYET KAYIT'!J4:J503,"Karsbel Müdürlüğü")</f>
        <v>0</v>
      </c>
      <c r="C20" s="3">
        <f>COUNTIFS('ŞİKAYET KAYIT'!J4:J503,"Karsbel Müdürlüğü",'ŞİKAYET KAYIT'!P4:P503,"Açık")</f>
        <v>0</v>
      </c>
      <c r="D20" s="3">
        <f>COUNTIFS('ŞİKAYET KAYIT'!J4:J503,"Karsbel Müdürlüğü",'ŞİKAYET KAYIT'!P4:P503,"Devam Ediyor")</f>
        <v>0</v>
      </c>
      <c r="E20" s="3">
        <f>COUNTIFS('ŞİKAYET KAYIT'!J4:J503,"Karsbel Müdürlüğü",'ŞİKAYET KAYIT'!P4:P503,"Kapatıldı")</f>
        <v>0</v>
      </c>
      <c r="F20" s="3">
        <f>COUNTIFS('ŞİKAYET KAYIT'!J4:J503,"Karsbel Müdürlüğü",'ŞİKAYET KAYIT'!O4:O503,"Çok Acil")</f>
        <v>0</v>
      </c>
      <c r="G20" s="3">
        <f>COUNTIFS('ŞİKAYET KAYIT'!J4:J503,"Karsbel Müdürlüğü",'ŞİKAYET KAYIT'!O4:O503,"Acil")</f>
        <v>0</v>
      </c>
      <c r="H20" s="3"/>
    </row>
    <row r="22" spans="1:8" ht="24" customHeight="1" x14ac:dyDescent="0.3">
      <c r="A22" s="29" t="s">
        <v>104</v>
      </c>
      <c r="B22" s="29"/>
      <c r="C22" s="29"/>
      <c r="D22" s="29"/>
    </row>
    <row r="23" spans="1:8" ht="15" customHeight="1" x14ac:dyDescent="0.3">
      <c r="A23" s="20" t="s">
        <v>65</v>
      </c>
      <c r="B23" s="20" t="s">
        <v>97</v>
      </c>
      <c r="C23" s="20" t="s">
        <v>98</v>
      </c>
      <c r="D23" s="20" t="s">
        <v>100</v>
      </c>
    </row>
    <row r="24" spans="1:8" ht="19.5" customHeight="1" x14ac:dyDescent="0.3">
      <c r="A24" s="18" t="s">
        <v>5</v>
      </c>
      <c r="B24" s="3">
        <f>COUNTIF('ŞİKAYET KAYIT'!H4:H503,"Logar Tıkanıklığı")</f>
        <v>0</v>
      </c>
      <c r="C24" s="3">
        <f>COUNTIFS('ŞİKAYET KAYIT'!H4:H503,"Logar Tıkanıklığı",'ŞİKAYET KAYIT'!P4:P503,"Açık")</f>
        <v>0</v>
      </c>
      <c r="D24" s="3">
        <f>COUNTIFS('ŞİKAYET KAYIT'!H4:H503,"Logar Tıkanıklığı",'ŞİKAYET KAYIT'!P4:P503,"Kapatıldı")</f>
        <v>0</v>
      </c>
    </row>
    <row r="25" spans="1:8" ht="19.5" customHeight="1" x14ac:dyDescent="0.3">
      <c r="A25" s="19" t="s">
        <v>8</v>
      </c>
      <c r="B25" s="26">
        <f>COUNTIF('ŞİKAYET KAYIT'!H4:H503,"Vidanjör Talebi")</f>
        <v>0</v>
      </c>
      <c r="C25" s="26">
        <f>COUNTIFS('ŞİKAYET KAYIT'!H4:H503,"Vidanjör Talebi",'ŞİKAYET KAYIT'!P4:P503,"Açık")</f>
        <v>0</v>
      </c>
      <c r="D25" s="26">
        <f>COUNTIFS('ŞİKAYET KAYIT'!H4:H503,"Vidanjör Talebi",'ŞİKAYET KAYIT'!P4:P503,"Kapatıldı")</f>
        <v>0</v>
      </c>
    </row>
    <row r="26" spans="1:8" ht="19.5" customHeight="1" x14ac:dyDescent="0.3">
      <c r="A26" s="18" t="s">
        <v>11</v>
      </c>
      <c r="B26" s="3">
        <f>COUNTIF('ŞİKAYET KAYIT'!H4:H503,"Su Arızası")</f>
        <v>0</v>
      </c>
      <c r="C26" s="3">
        <f>COUNTIFS('ŞİKAYET KAYIT'!H4:H503,"Su Arızası",'ŞİKAYET KAYIT'!P4:P503,"Açık")</f>
        <v>0</v>
      </c>
      <c r="D26" s="3">
        <f>COUNTIFS('ŞİKAYET KAYIT'!H4:H503,"Su Arızası",'ŞİKAYET KAYIT'!P4:P503,"Kapatıldı")</f>
        <v>0</v>
      </c>
    </row>
    <row r="27" spans="1:8" ht="19.5" customHeight="1" x14ac:dyDescent="0.3">
      <c r="A27" s="19" t="s">
        <v>14</v>
      </c>
      <c r="B27" s="26">
        <f>COUNTIF('ŞİKAYET KAYIT'!H4:H503,"Yol Bozukluğu")</f>
        <v>0</v>
      </c>
      <c r="C27" s="26">
        <f>COUNTIFS('ŞİKAYET KAYIT'!H4:H503,"Yol Bozukluğu",'ŞİKAYET KAYIT'!P4:P503,"Açık")</f>
        <v>0</v>
      </c>
      <c r="D27" s="26">
        <f>COUNTIFS('ŞİKAYET KAYIT'!H4:H503,"Yol Bozukluğu",'ŞİKAYET KAYIT'!P4:P503,"Kapatıldı")</f>
        <v>0</v>
      </c>
    </row>
    <row r="28" spans="1:8" ht="19.5" customHeight="1" x14ac:dyDescent="0.3">
      <c r="A28" s="18" t="s">
        <v>17</v>
      </c>
      <c r="B28" s="3">
        <f>COUNTIF('ŞİKAYET KAYIT'!H4:H503,"Çöp Toplama")</f>
        <v>0</v>
      </c>
      <c r="C28" s="3">
        <f>COUNTIFS('ŞİKAYET KAYIT'!H4:H503,"Çöp Toplama",'ŞİKAYET KAYIT'!P4:P503,"Açık")</f>
        <v>0</v>
      </c>
      <c r="D28" s="3">
        <f>COUNTIFS('ŞİKAYET KAYIT'!H4:H503,"Çöp Toplama",'ŞİKAYET KAYIT'!P4:P503,"Kapatıldı")</f>
        <v>0</v>
      </c>
    </row>
    <row r="29" spans="1:8" ht="19.5" customHeight="1" x14ac:dyDescent="0.3">
      <c r="A29" s="19" t="s">
        <v>20</v>
      </c>
      <c r="B29" s="26">
        <f>COUNTIF('ŞİKAYET KAYIT'!H4:H503,"Park Bakım")</f>
        <v>0</v>
      </c>
      <c r="C29" s="26">
        <f>COUNTIFS('ŞİKAYET KAYIT'!H4:H503,"Park Bakım",'ŞİKAYET KAYIT'!P4:P503,"Açık")</f>
        <v>0</v>
      </c>
      <c r="D29" s="26">
        <f>COUNTIFS('ŞİKAYET KAYIT'!H4:H503,"Park Bakım",'ŞİKAYET KAYIT'!P4:P503,"Kapatıldı")</f>
        <v>0</v>
      </c>
    </row>
    <row r="30" spans="1:8" ht="19.5" customHeight="1" x14ac:dyDescent="0.3">
      <c r="A30" s="18" t="s">
        <v>23</v>
      </c>
      <c r="B30" s="3">
        <f>COUNTIF('ŞİKAYET KAYIT'!H4:H503,"Zabıta Şikayeti")</f>
        <v>0</v>
      </c>
      <c r="C30" s="3">
        <f>COUNTIFS('ŞİKAYET KAYIT'!H4:H503,"Zabıta Şikayeti",'ŞİKAYET KAYIT'!P4:P503,"Açık")</f>
        <v>0</v>
      </c>
      <c r="D30" s="3">
        <f>COUNTIFS('ŞİKAYET KAYIT'!H4:H503,"Zabıta Şikayeti",'ŞİKAYET KAYIT'!P4:P503,"Kapatıldı")</f>
        <v>0</v>
      </c>
    </row>
    <row r="31" spans="1:8" ht="19.5" customHeight="1" x14ac:dyDescent="0.3">
      <c r="A31" s="19" t="s">
        <v>25</v>
      </c>
      <c r="B31" s="26">
        <f>COUNTIF('ŞİKAYET KAYIT'!H4:H503,"Ulaşım Sorunu")</f>
        <v>0</v>
      </c>
      <c r="C31" s="26">
        <f>COUNTIFS('ŞİKAYET KAYIT'!H4:H503,"Ulaşım Sorunu",'ŞİKAYET KAYIT'!P4:P503,"Açık")</f>
        <v>0</v>
      </c>
      <c r="D31" s="26">
        <f>COUNTIFS('ŞİKAYET KAYIT'!H4:H503,"Ulaşım Sorunu",'ŞİKAYET KAYIT'!P4:P503,"Kapatıldı")</f>
        <v>0</v>
      </c>
    </row>
    <row r="32" spans="1:8" ht="19.5" customHeight="1" x14ac:dyDescent="0.3">
      <c r="A32" s="18" t="s">
        <v>27</v>
      </c>
      <c r="B32" s="3">
        <f>COUNTIF('ŞİKAYET KAYIT'!H4:H503,"Asfalt Onarım")</f>
        <v>0</v>
      </c>
      <c r="C32" s="3">
        <f>COUNTIFS('ŞİKAYET KAYIT'!H4:H503,"Asfalt Onarım",'ŞİKAYET KAYIT'!P4:P503,"Açık")</f>
        <v>0</v>
      </c>
      <c r="D32" s="3">
        <f>COUNTIFS('ŞİKAYET KAYIT'!H4:H503,"Asfalt Onarım",'ŞİKAYET KAYIT'!P4:P503,"Kapatıldı")</f>
        <v>0</v>
      </c>
    </row>
    <row r="33" spans="1:4" ht="19.5" customHeight="1" x14ac:dyDescent="0.3">
      <c r="A33" s="19" t="s">
        <v>29</v>
      </c>
      <c r="B33" s="26">
        <f>COUNTIF('ŞİKAYET KAYIT'!H4:H503,"Diğer")</f>
        <v>0</v>
      </c>
      <c r="C33" s="26">
        <f>COUNTIFS('ŞİKAYET KAYIT'!H4:H503,"Diğer",'ŞİKAYET KAYIT'!P4:P503,"Açık")</f>
        <v>0</v>
      </c>
      <c r="D33" s="26">
        <f>COUNTIFS('ŞİKAYET KAYIT'!H4:H503,"Diğer",'ŞİKAYET KAYIT'!P4:P503,"Kapatıldı")</f>
        <v>0</v>
      </c>
    </row>
  </sheetData>
  <mergeCells count="4">
    <mergeCell ref="A1:H1"/>
    <mergeCell ref="A4:C4"/>
    <mergeCell ref="A12:H12"/>
    <mergeCell ref="A22:D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J27"/>
  <sheetViews>
    <sheetView showGridLines="0" zoomScaleNormal="100" workbookViewId="0">
      <selection activeCell="H5" sqref="H5:J5"/>
    </sheetView>
  </sheetViews>
  <sheetFormatPr defaultColWidth="8.6640625" defaultRowHeight="14.4" x14ac:dyDescent="0.3"/>
  <cols>
    <col min="1" max="1" width="4" style="1" customWidth="1"/>
    <col min="2" max="2" width="16" style="1" customWidth="1"/>
    <col min="3" max="3" width="18" style="1" customWidth="1"/>
    <col min="4" max="4" width="20" style="1" customWidth="1"/>
    <col min="5" max="5" width="16" style="1" customWidth="1"/>
    <col min="6" max="6" width="22" style="1" customWidth="1"/>
    <col min="7" max="7" width="20" style="1" customWidth="1"/>
    <col min="8" max="8" width="14" style="1" customWidth="1"/>
    <col min="9" max="9" width="16" style="1" customWidth="1"/>
    <col min="10" max="10" width="5" style="1" customWidth="1"/>
  </cols>
  <sheetData>
    <row r="1" spans="1:10" ht="39.75" customHeight="1" x14ac:dyDescent="0.3">
      <c r="A1" s="43" t="s">
        <v>105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25.5" customHeight="1" x14ac:dyDescent="0.3">
      <c r="A2" s="44" t="s">
        <v>106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7.5" customHeight="1" x14ac:dyDescent="0.3"/>
    <row r="4" spans="1:10" ht="21.75" customHeight="1" x14ac:dyDescent="0.3">
      <c r="A4" s="45" t="s">
        <v>107</v>
      </c>
      <c r="B4" s="45"/>
      <c r="C4" s="45"/>
      <c r="D4" s="45"/>
      <c r="E4" s="45"/>
      <c r="F4" s="45"/>
      <c r="G4" s="45"/>
      <c r="H4" s="45"/>
      <c r="I4" s="45"/>
      <c r="J4" s="45"/>
    </row>
    <row r="5" spans="1:10" ht="27.75" customHeight="1" x14ac:dyDescent="0.3">
      <c r="B5" s="46" t="s">
        <v>108</v>
      </c>
      <c r="C5" s="46"/>
      <c r="D5" s="47"/>
      <c r="E5" s="47"/>
      <c r="F5" s="47"/>
      <c r="G5" s="21" t="s">
        <v>109</v>
      </c>
      <c r="H5" s="48"/>
      <c r="I5" s="48"/>
      <c r="J5" s="48"/>
    </row>
    <row r="6" spans="1:10" ht="6" customHeight="1" x14ac:dyDescent="0.3">
      <c r="B6" s="22" t="str">
        <f>IFERROR(MATCH(D5,'ŞİKAYET KAYIT'!$A:$A,0),"")</f>
        <v/>
      </c>
    </row>
    <row r="7" spans="1:10" ht="21.75" customHeight="1" x14ac:dyDescent="0.3">
      <c r="A7" s="32" t="s">
        <v>110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ht="21.75" customHeight="1" x14ac:dyDescent="0.3">
      <c r="B8" s="36" t="s">
        <v>111</v>
      </c>
      <c r="C8" s="36"/>
      <c r="D8" s="39" t="str">
        <f>IFERROR(IF($D$5="","—",INDEX('ŞİKAYET KAYIT'!A:A,$B$6)),"— Bulunamadı")</f>
        <v>—</v>
      </c>
      <c r="E8" s="39"/>
      <c r="F8" s="39"/>
      <c r="G8" s="23" t="s">
        <v>112</v>
      </c>
      <c r="H8" s="39" t="str">
        <f>IFERROR(IF($D$5="","—",INDEX('ŞİKAYET KAYIT'!J:J,$B$6)),"— Bulunamadı")</f>
        <v>—</v>
      </c>
      <c r="I8" s="39"/>
      <c r="J8" s="39"/>
    </row>
    <row r="9" spans="1:10" ht="21.75" customHeight="1" x14ac:dyDescent="0.3">
      <c r="B9" s="36" t="s">
        <v>113</v>
      </c>
      <c r="C9" s="36"/>
      <c r="D9" s="40" t="str">
        <f>IFERROR(IF($D$5="","—",INDEX('ŞİKAYET KAYIT'!B:B,$B$6)),"— Bulunamadı")</f>
        <v>—</v>
      </c>
      <c r="E9" s="40"/>
      <c r="F9" s="40"/>
      <c r="G9" s="23" t="s">
        <v>114</v>
      </c>
      <c r="H9" s="39" t="str">
        <f>IFERROR(IF($D$5="","—",INDEX('ŞİKAYET KAYIT'!H:H,$B$6)),"— Bulunamadı")</f>
        <v>—</v>
      </c>
      <c r="I9" s="39"/>
      <c r="J9" s="39"/>
    </row>
    <row r="10" spans="1:10" ht="21.75" customHeight="1" x14ac:dyDescent="0.3">
      <c r="B10" s="36" t="s">
        <v>115</v>
      </c>
      <c r="C10" s="36"/>
      <c r="D10" s="39" t="str">
        <f>IFERROR(IF($D$5="","—",INDEX('ŞİKAYET KAYIT'!C:C,$B$6)),"— Bulunamadı")</f>
        <v>—</v>
      </c>
      <c r="E10" s="39"/>
      <c r="F10" s="39"/>
      <c r="G10" s="23" t="s">
        <v>116</v>
      </c>
      <c r="H10" s="39" t="str">
        <f>IFERROR(IF($D$5="","—",INDEX('ŞİKAYET KAYIT'!O:O,$B$6)),"— Bulunamadı")</f>
        <v>—</v>
      </c>
      <c r="I10" s="39"/>
      <c r="J10" s="39"/>
    </row>
    <row r="11" spans="1:10" ht="21.75" customHeight="1" x14ac:dyDescent="0.3">
      <c r="B11" s="36" t="s">
        <v>117</v>
      </c>
      <c r="C11" s="36"/>
      <c r="D11" s="39" t="str">
        <f>IFERROR(IF($D$5="","—",INDEX('ŞİKAYET KAYIT'!D:D,$B$6)),"— Bulunamadı")</f>
        <v>—</v>
      </c>
      <c r="E11" s="39"/>
      <c r="F11" s="39"/>
      <c r="G11" s="23" t="s">
        <v>118</v>
      </c>
      <c r="H11" s="39" t="str">
        <f>IFERROR(IF($D$5="","—",INDEX('ŞİKAYET KAYIT'!P:P,$B$6)),"— Bulunamadı")</f>
        <v>—</v>
      </c>
      <c r="I11" s="39"/>
      <c r="J11" s="39"/>
    </row>
    <row r="12" spans="1:10" ht="21.75" customHeight="1" x14ac:dyDescent="0.3">
      <c r="B12" s="36" t="s">
        <v>119</v>
      </c>
      <c r="C12" s="36"/>
      <c r="D12" s="39" t="str">
        <f>IFERROR(IF($D$5="","—",INDEX('ŞİKAYET KAYIT'!E:E,$B$6)),"— Bulunamadı")</f>
        <v>—</v>
      </c>
      <c r="E12" s="39"/>
      <c r="F12" s="39"/>
      <c r="G12" s="23" t="s">
        <v>120</v>
      </c>
      <c r="H12" s="40" t="str">
        <f>IFERROR(IF($D$5="","—",INDEX('ŞİKAYET KAYIT'!Q:Q,$B$6)),"— Bulunamadı")</f>
        <v>—</v>
      </c>
      <c r="I12" s="40"/>
      <c r="J12" s="40"/>
    </row>
    <row r="13" spans="1:10" ht="21.75" customHeight="1" x14ac:dyDescent="0.3">
      <c r="A13" s="32" t="s">
        <v>121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 ht="21.75" customHeight="1" x14ac:dyDescent="0.3">
      <c r="B14" s="36" t="s">
        <v>122</v>
      </c>
      <c r="C14" s="36"/>
      <c r="D14" s="41" t="str">
        <f>IFERROR(IF($D$5="","—",INDEX('ŞİKAYET KAYIT'!F:F,$B$6)),"— Bulunamadı")</f>
        <v>—</v>
      </c>
      <c r="E14" s="41"/>
      <c r="F14" s="41"/>
      <c r="G14" s="24" t="s">
        <v>123</v>
      </c>
      <c r="H14" s="42" t="str">
        <f>IFERROR(IF($D$5="","—",INDEX('ŞİKAYET KAYIT'!G:G,$B$6)),"— Bulunamadı")</f>
        <v>—</v>
      </c>
      <c r="I14" s="42"/>
      <c r="J14" s="42"/>
    </row>
    <row r="15" spans="1:10" ht="21.75" customHeight="1" x14ac:dyDescent="0.3">
      <c r="A15" s="32" t="s">
        <v>124</v>
      </c>
      <c r="B15" s="32"/>
      <c r="C15" s="32"/>
      <c r="D15" s="32"/>
      <c r="E15" s="32"/>
      <c r="F15" s="32"/>
      <c r="G15" s="32"/>
      <c r="H15" s="32"/>
      <c r="I15" s="32"/>
      <c r="J15" s="32"/>
    </row>
    <row r="16" spans="1:10" ht="21.75" customHeight="1" x14ac:dyDescent="0.3">
      <c r="A16" s="38" t="str">
        <f>IFERROR(IF($D$5="","—",INDEX('ŞİKAYET KAYIT'!I:I,$B$6)),"— Bulunamadı")</f>
        <v>—</v>
      </c>
      <c r="B16" s="38"/>
      <c r="C16" s="38"/>
      <c r="D16" s="38"/>
      <c r="E16" s="38"/>
      <c r="F16" s="38"/>
      <c r="G16" s="38"/>
      <c r="H16" s="38"/>
      <c r="I16" s="38"/>
      <c r="J16" s="38"/>
    </row>
    <row r="17" spans="1:10" ht="21.75" customHeight="1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</row>
    <row r="18" spans="1:10" ht="21.75" customHeight="1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</row>
    <row r="19" spans="1:10" ht="21.75" customHeight="1" x14ac:dyDescent="0.3">
      <c r="A19" s="32" t="s">
        <v>125</v>
      </c>
      <c r="B19" s="32"/>
      <c r="C19" s="32"/>
      <c r="D19" s="32"/>
      <c r="E19" s="32"/>
      <c r="F19" s="32"/>
      <c r="G19" s="32"/>
      <c r="H19" s="32"/>
      <c r="I19" s="32"/>
      <c r="J19" s="32"/>
    </row>
    <row r="20" spans="1:10" ht="21.75" customHeight="1" x14ac:dyDescent="0.3">
      <c r="B20" s="36" t="s">
        <v>126</v>
      </c>
      <c r="C20" s="36"/>
      <c r="D20" s="37" t="str">
        <f>IFERROR(IF($D$5="","—",INDEX('ŞİKAYET KAYIT'!K:K,$B$6)),"— Bulunamadı")</f>
        <v>—</v>
      </c>
      <c r="E20" s="37"/>
      <c r="F20" s="37"/>
      <c r="G20" s="23" t="s">
        <v>127</v>
      </c>
      <c r="H20" s="37" t="str">
        <f>IFERROR(IF($D$5="","—",INDEX('ŞİKAYET KAYIT'!N:N,$B$6)),"— Bulunamadı")</f>
        <v>—</v>
      </c>
      <c r="I20" s="37"/>
      <c r="J20" s="37"/>
    </row>
    <row r="21" spans="1:10" ht="21.75" customHeight="1" x14ac:dyDescent="0.3">
      <c r="B21" s="36" t="s">
        <v>128</v>
      </c>
      <c r="C21" s="36"/>
      <c r="D21" s="37" t="str">
        <f>IFERROR(IF($D$5="","—",INDEX('ŞİKAYET KAYIT'!L:L,$B$6)),"— Bulunamadı")</f>
        <v>—</v>
      </c>
      <c r="E21" s="37"/>
      <c r="F21" s="37"/>
      <c r="G21" s="23" t="s">
        <v>112</v>
      </c>
      <c r="H21" s="37" t="str">
        <f>IFERROR(IF($D$5="","—",INDEX('ŞİKAYET KAYIT'!J:J,$B$6)),"— Bulunamadı")</f>
        <v>—</v>
      </c>
      <c r="I21" s="37"/>
      <c r="J21" s="37"/>
    </row>
    <row r="22" spans="1:10" ht="21.75" customHeight="1" x14ac:dyDescent="0.3">
      <c r="B22" s="36" t="s">
        <v>129</v>
      </c>
      <c r="C22" s="36"/>
      <c r="D22" s="37" t="str">
        <f>IFERROR(IF($D$5="","—",INDEX('ŞİKAYET KAYIT'!M:M,$B$6)),"— Bulunamadı")</f>
        <v>—</v>
      </c>
      <c r="E22" s="37"/>
      <c r="F22" s="37"/>
      <c r="G22" s="23" t="s">
        <v>130</v>
      </c>
      <c r="H22" s="37" t="str">
        <f>IFERROR(IF($D$5="","—",INDEX('ŞİKAYET KAYIT'!R:R,$B$6)),"— Bulunamadı")</f>
        <v>—</v>
      </c>
      <c r="I22" s="37"/>
      <c r="J22" s="37"/>
    </row>
    <row r="23" spans="1:10" ht="21.75" customHeight="1" x14ac:dyDescent="0.3">
      <c r="A23" s="32" t="s">
        <v>131</v>
      </c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9.5" customHeight="1" x14ac:dyDescent="0.3">
      <c r="B24" s="33" t="s">
        <v>132</v>
      </c>
      <c r="D24" s="34" t="s">
        <v>133</v>
      </c>
      <c r="E24" s="34"/>
      <c r="F24" s="34"/>
      <c r="H24" s="34" t="str">
        <f>IF(H5="","Onaylayan
_____________________","Onaylayan: "&amp;H5&amp;"
_____________________")</f>
        <v>Onaylayan
_____________________</v>
      </c>
      <c r="I24" s="34"/>
      <c r="J24" s="34"/>
    </row>
    <row r="25" spans="1:10" ht="19.5" customHeight="1" x14ac:dyDescent="0.3">
      <c r="B25" s="33"/>
      <c r="D25" s="34"/>
      <c r="E25" s="34"/>
      <c r="F25" s="34"/>
      <c r="H25" s="34"/>
      <c r="I25" s="34"/>
      <c r="J25" s="34"/>
    </row>
    <row r="26" spans="1:10" ht="19.5" customHeight="1" x14ac:dyDescent="0.3">
      <c r="B26" s="33"/>
      <c r="D26" s="34"/>
      <c r="E26" s="34"/>
      <c r="F26" s="34"/>
      <c r="H26" s="34"/>
      <c r="I26" s="34"/>
      <c r="J26" s="34"/>
    </row>
    <row r="27" spans="1:10" ht="15.75" customHeight="1" x14ac:dyDescent="0.3">
      <c r="A27" s="35" t="str">
        <f ca="1">IFERROR("Kars Belediyesi  |  Rapor Tarihi: "&amp;TEXT(TODAY(),"DD.MM.YYYY")&amp;"  |  "&amp;D5&amp;"  |  Bu belge resmi kayıt niteliği taşır.","Kars Belediyesi | Resmi Kayıt")</f>
        <v>Kars Belediyesi  |  Rapor Tarihi: 00.MM.2026  |    |  Bu belge resmi kayıt niteliği taşır.</v>
      </c>
      <c r="B27" s="35"/>
      <c r="C27" s="35"/>
      <c r="D27" s="35"/>
      <c r="E27" s="35"/>
      <c r="F27" s="35"/>
      <c r="G27" s="35"/>
      <c r="H27" s="35"/>
      <c r="I27" s="35"/>
      <c r="J27" s="35"/>
    </row>
  </sheetData>
  <mergeCells count="43">
    <mergeCell ref="A1:J1"/>
    <mergeCell ref="A2:J2"/>
    <mergeCell ref="A4:J4"/>
    <mergeCell ref="B5:C5"/>
    <mergeCell ref="D5:F5"/>
    <mergeCell ref="H5:J5"/>
    <mergeCell ref="A7:J7"/>
    <mergeCell ref="B8:C8"/>
    <mergeCell ref="D8:F8"/>
    <mergeCell ref="H8:J8"/>
    <mergeCell ref="B9:C9"/>
    <mergeCell ref="D9:F9"/>
    <mergeCell ref="H9:J9"/>
    <mergeCell ref="B10:C10"/>
    <mergeCell ref="D10:F10"/>
    <mergeCell ref="H10:J10"/>
    <mergeCell ref="B11:C11"/>
    <mergeCell ref="D11:F11"/>
    <mergeCell ref="H11:J11"/>
    <mergeCell ref="B12:C12"/>
    <mergeCell ref="D12:F12"/>
    <mergeCell ref="H12:J12"/>
    <mergeCell ref="A13:J13"/>
    <mergeCell ref="B14:C14"/>
    <mergeCell ref="D14:F14"/>
    <mergeCell ref="H14:J14"/>
    <mergeCell ref="A15:J15"/>
    <mergeCell ref="A16:J18"/>
    <mergeCell ref="A19:J19"/>
    <mergeCell ref="B20:C20"/>
    <mergeCell ref="D20:F20"/>
    <mergeCell ref="H20:J20"/>
    <mergeCell ref="B21:C21"/>
    <mergeCell ref="D21:F21"/>
    <mergeCell ref="H21:J21"/>
    <mergeCell ref="B22:C22"/>
    <mergeCell ref="D22:F22"/>
    <mergeCell ref="H22:J22"/>
    <mergeCell ref="A23:J23"/>
    <mergeCell ref="B24:B26"/>
    <mergeCell ref="D24:F26"/>
    <mergeCell ref="H24:J26"/>
    <mergeCell ref="A27:J27"/>
  </mergeCells>
  <dataValidations count="1">
    <dataValidation type="list" allowBlank="1" showInputMessage="1" showErrorMessage="1" errorTitle="Geçersiz Giriş" error="Lütfen listeden seçiniz." sqref="H5">
      <formula1>"Kadim Işık,Bülent Toraman,Ötüken Senger"</formula1>
    </dataValidation>
  </dataValidations>
  <pageMargins left="0.5" right="0.5" top="0.8" bottom="0.8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7</vt:i4>
      </vt:variant>
      <vt:variant>
        <vt:lpstr>Adlandırılmış Aralıklar</vt:lpstr>
      </vt:variant>
      <vt:variant>
        <vt:i4>1</vt:i4>
      </vt:variant>
    </vt:vector>
  </HeadingPairs>
  <TitlesOfParts>
    <vt:vector size="8" baseType="lpstr">
      <vt:lpstr>LİSTELER</vt:lpstr>
      <vt:lpstr>TANIMLAMALAR</vt:lpstr>
      <vt:lpstr>ŞİKAYET KAYIT</vt:lpstr>
      <vt:lpstr>AKTİF İŞLER</vt:lpstr>
      <vt:lpstr>KAPALI İŞLER</vt:lpstr>
      <vt:lpstr>İSTATİSTİK</vt:lpstr>
      <vt:lpstr>RAPORLAMA</vt:lpstr>
      <vt:lpstr>RAPORLAMA!Yazdırma_Alanı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0</cp:revision>
  <dcterms:created xsi:type="dcterms:W3CDTF">2026-06-24T10:35:51Z</dcterms:created>
  <dcterms:modified xsi:type="dcterms:W3CDTF">2026-07-13T10:50:48Z</dcterms:modified>
  <cp:category/>
  <cp:contentStatus/>
</cp:coreProperties>
</file>