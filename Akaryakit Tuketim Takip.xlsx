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0" documentId="8_{1183A0FB-8FCE-44AE-999D-AB6CAC478C1D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Araç Tanımlama" sheetId="1" r:id="rId1"/>
    <sheet name="Yakıt Alım Kayıt" sheetId="2" r:id="rId2"/>
    <sheet name="Tüketim Analizi" sheetId="3" r:id="rId3"/>
    <sheet name="Aylık Rapor" sheetId="4" r:id="rId4"/>
    <sheet name="Parametreler" sheetId="5" state="hidden" r:id="rId5"/>
  </sheets>
  <definedNames>
    <definedName name="LST_ARACCINSI">Parametreler!$D$4:$D$11</definedName>
    <definedName name="LST_AY">Parametreler!$E$4:$E$15</definedName>
    <definedName name="LST_MUDURLUK">Parametreler!$A$4:$A$17</definedName>
    <definedName name="LST_PLAKA">'Araç Tanımlama'!$A$5:$A$200</definedName>
    <definedName name="LST_SAYACTIPI">Parametreler!$C$4:$C$5</definedName>
    <definedName name="LST_YAKITTURU">Parametreler!$B$4:$B$6</definedName>
    <definedName name="_xlnm.Print_Area" localSheetId="3">'Aylık Rapor'!$A$1:$F$211</definedName>
  </definedNames>
  <calcPr calcId="191028" iterateDelta="1E-4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7" i="4" l="1"/>
  <c r="C5" i="2"/>
  <c r="E7" i="4"/>
  <c r="A8" i="4"/>
  <c r="E8" i="4"/>
  <c r="A9" i="4"/>
  <c r="E9" i="4"/>
  <c r="A10" i="4"/>
  <c r="E10" i="4"/>
  <c r="A11" i="4"/>
  <c r="E11" i="4"/>
  <c r="A12" i="4"/>
  <c r="E12" i="4"/>
  <c r="A13" i="4"/>
  <c r="E13" i="4"/>
  <c r="A14" i="4"/>
  <c r="E14" i="4"/>
  <c r="A15" i="4"/>
  <c r="E15" i="4"/>
  <c r="A16" i="4"/>
  <c r="E16" i="4"/>
  <c r="A17" i="4"/>
  <c r="E17" i="4"/>
  <c r="A18" i="4"/>
  <c r="E18" i="4"/>
  <c r="A19" i="4"/>
  <c r="E19" i="4"/>
  <c r="A20" i="4"/>
  <c r="E20" i="4"/>
  <c r="A21" i="4"/>
  <c r="E21" i="4"/>
  <c r="A22" i="4"/>
  <c r="E22" i="4"/>
  <c r="A23" i="4"/>
  <c r="E23" i="4"/>
  <c r="A24" i="4"/>
  <c r="E24" i="4"/>
  <c r="A25" i="4"/>
  <c r="E25" i="4"/>
  <c r="A26" i="4"/>
  <c r="E26" i="4"/>
  <c r="A27" i="4"/>
  <c r="E27" i="4"/>
  <c r="A28" i="4"/>
  <c r="E28" i="4"/>
  <c r="A29" i="4"/>
  <c r="E29" i="4"/>
  <c r="A30" i="4"/>
  <c r="E30" i="4"/>
  <c r="A31" i="4"/>
  <c r="E31" i="4"/>
  <c r="A32" i="4"/>
  <c r="E32" i="4"/>
  <c r="A33" i="4"/>
  <c r="E33" i="4"/>
  <c r="A34" i="4"/>
  <c r="E34" i="4"/>
  <c r="A35" i="4"/>
  <c r="E35" i="4"/>
  <c r="A36" i="4"/>
  <c r="E36" i="4"/>
  <c r="A37" i="4"/>
  <c r="E37" i="4"/>
  <c r="A38" i="4"/>
  <c r="E38" i="4"/>
  <c r="A39" i="4"/>
  <c r="E39" i="4"/>
  <c r="A40" i="4"/>
  <c r="E40" i="4"/>
  <c r="A41" i="4"/>
  <c r="E41" i="4"/>
  <c r="A42" i="4"/>
  <c r="E42" i="4"/>
  <c r="A43" i="4"/>
  <c r="E43" i="4"/>
  <c r="A44" i="4"/>
  <c r="E44" i="4"/>
  <c r="A45" i="4"/>
  <c r="E45" i="4"/>
  <c r="A46" i="4"/>
  <c r="E46" i="4"/>
  <c r="A47" i="4"/>
  <c r="E47" i="4"/>
  <c r="A48" i="4"/>
  <c r="E48" i="4"/>
  <c r="A49" i="4"/>
  <c r="E49" i="4"/>
  <c r="A50" i="4"/>
  <c r="E50" i="4"/>
  <c r="A51" i="4"/>
  <c r="E51" i="4"/>
  <c r="A52" i="4"/>
  <c r="E52" i="4"/>
  <c r="A53" i="4"/>
  <c r="E53" i="4"/>
  <c r="A54" i="4"/>
  <c r="E54" i="4"/>
  <c r="A55" i="4"/>
  <c r="E55" i="4"/>
  <c r="A56" i="4"/>
  <c r="E56" i="4"/>
  <c r="A57" i="4"/>
  <c r="E57" i="4"/>
  <c r="A58" i="4"/>
  <c r="E58" i="4"/>
  <c r="A59" i="4"/>
  <c r="E59" i="4"/>
  <c r="A60" i="4"/>
  <c r="E60" i="4"/>
  <c r="A61" i="4"/>
  <c r="E61" i="4"/>
  <c r="A62" i="4"/>
  <c r="E62" i="4"/>
  <c r="A63" i="4"/>
  <c r="E63" i="4"/>
  <c r="A64" i="4"/>
  <c r="E64" i="4"/>
  <c r="A65" i="4"/>
  <c r="E65" i="4"/>
  <c r="A66" i="4"/>
  <c r="E66" i="4"/>
  <c r="A67" i="4"/>
  <c r="E67" i="4"/>
  <c r="A68" i="4"/>
  <c r="E68" i="4"/>
  <c r="A69" i="4"/>
  <c r="E69" i="4"/>
  <c r="A70" i="4"/>
  <c r="E70" i="4"/>
  <c r="A71" i="4"/>
  <c r="E71" i="4"/>
  <c r="A72" i="4"/>
  <c r="E72" i="4"/>
  <c r="A73" i="4"/>
  <c r="E73" i="4"/>
  <c r="A74" i="4"/>
  <c r="E74" i="4"/>
  <c r="A75" i="4"/>
  <c r="E75" i="4"/>
  <c r="A76" i="4"/>
  <c r="E76" i="4"/>
  <c r="A77" i="4"/>
  <c r="E77" i="4"/>
  <c r="A78" i="4"/>
  <c r="E78" i="4"/>
  <c r="A79" i="4"/>
  <c r="E79" i="4"/>
  <c r="A80" i="4"/>
  <c r="E80" i="4"/>
  <c r="A81" i="4"/>
  <c r="E81" i="4"/>
  <c r="A82" i="4"/>
  <c r="E82" i="4"/>
  <c r="A83" i="4"/>
  <c r="E83" i="4"/>
  <c r="A84" i="4"/>
  <c r="E84" i="4"/>
  <c r="A85" i="4"/>
  <c r="E85" i="4"/>
  <c r="A86" i="4"/>
  <c r="E86" i="4"/>
  <c r="A87" i="4"/>
  <c r="E87" i="4"/>
  <c r="A88" i="4"/>
  <c r="E88" i="4"/>
  <c r="A89" i="4"/>
  <c r="E89" i="4"/>
  <c r="A90" i="4"/>
  <c r="E90" i="4"/>
  <c r="A91" i="4"/>
  <c r="E91" i="4"/>
  <c r="A92" i="4"/>
  <c r="E92" i="4"/>
  <c r="A93" i="4"/>
  <c r="E93" i="4"/>
  <c r="A94" i="4"/>
  <c r="E94" i="4"/>
  <c r="A95" i="4"/>
  <c r="E95" i="4"/>
  <c r="A96" i="4"/>
  <c r="E96" i="4"/>
  <c r="A97" i="4"/>
  <c r="E97" i="4"/>
  <c r="A98" i="4"/>
  <c r="E98" i="4"/>
  <c r="A99" i="4"/>
  <c r="E99" i="4"/>
  <c r="A100" i="4"/>
  <c r="E100" i="4"/>
  <c r="A101" i="4"/>
  <c r="E101" i="4"/>
  <c r="A102" i="4"/>
  <c r="E102" i="4"/>
  <c r="A103" i="4"/>
  <c r="E103" i="4"/>
  <c r="A104" i="4"/>
  <c r="E104" i="4"/>
  <c r="A105" i="4"/>
  <c r="E105" i="4"/>
  <c r="A106" i="4"/>
  <c r="E106" i="4"/>
  <c r="A107" i="4"/>
  <c r="E107" i="4"/>
  <c r="A108" i="4"/>
  <c r="E108" i="4"/>
  <c r="A109" i="4"/>
  <c r="E109" i="4"/>
  <c r="A110" i="4"/>
  <c r="E110" i="4"/>
  <c r="A111" i="4"/>
  <c r="E111" i="4"/>
  <c r="A112" i="4"/>
  <c r="E112" i="4"/>
  <c r="A113" i="4"/>
  <c r="E113" i="4"/>
  <c r="A114" i="4"/>
  <c r="E114" i="4"/>
  <c r="A115" i="4"/>
  <c r="E115" i="4"/>
  <c r="A116" i="4"/>
  <c r="E116" i="4"/>
  <c r="A117" i="4"/>
  <c r="E117" i="4"/>
  <c r="A118" i="4"/>
  <c r="E118" i="4"/>
  <c r="A119" i="4"/>
  <c r="E119" i="4"/>
  <c r="A120" i="4"/>
  <c r="E120" i="4"/>
  <c r="A121" i="4"/>
  <c r="E121" i="4"/>
  <c r="A122" i="4"/>
  <c r="E122" i="4"/>
  <c r="A123" i="4"/>
  <c r="E123" i="4"/>
  <c r="A124" i="4"/>
  <c r="E124" i="4"/>
  <c r="A125" i="4"/>
  <c r="E125" i="4"/>
  <c r="A126" i="4"/>
  <c r="E126" i="4"/>
  <c r="A127" i="4"/>
  <c r="E127" i="4"/>
  <c r="A128" i="4"/>
  <c r="E128" i="4"/>
  <c r="A129" i="4"/>
  <c r="E129" i="4"/>
  <c r="A130" i="4"/>
  <c r="E130" i="4"/>
  <c r="A131" i="4"/>
  <c r="E131" i="4"/>
  <c r="A132" i="4"/>
  <c r="E132" i="4"/>
  <c r="A133" i="4"/>
  <c r="E133" i="4"/>
  <c r="A134" i="4"/>
  <c r="E134" i="4"/>
  <c r="A135" i="4"/>
  <c r="E135" i="4"/>
  <c r="A136" i="4"/>
  <c r="E136" i="4"/>
  <c r="A137" i="4"/>
  <c r="E137" i="4"/>
  <c r="A138" i="4"/>
  <c r="E138" i="4"/>
  <c r="A139" i="4"/>
  <c r="E139" i="4"/>
  <c r="A140" i="4"/>
  <c r="E140" i="4"/>
  <c r="A141" i="4"/>
  <c r="E141" i="4"/>
  <c r="A142" i="4"/>
  <c r="E142" i="4"/>
  <c r="A143" i="4"/>
  <c r="E143" i="4"/>
  <c r="A144" i="4"/>
  <c r="E144" i="4"/>
  <c r="A145" i="4"/>
  <c r="E145" i="4"/>
  <c r="A146" i="4"/>
  <c r="E146" i="4"/>
  <c r="A147" i="4"/>
  <c r="E147" i="4"/>
  <c r="A148" i="4"/>
  <c r="E148" i="4"/>
  <c r="A149" i="4"/>
  <c r="E149" i="4"/>
  <c r="A150" i="4"/>
  <c r="E150" i="4"/>
  <c r="A151" i="4"/>
  <c r="E151" i="4"/>
  <c r="A152" i="4"/>
  <c r="E152" i="4"/>
  <c r="A153" i="4"/>
  <c r="E153" i="4"/>
  <c r="A154" i="4"/>
  <c r="E154" i="4"/>
  <c r="A155" i="4"/>
  <c r="E155" i="4"/>
  <c r="A156" i="4"/>
  <c r="E156" i="4"/>
  <c r="A157" i="4"/>
  <c r="E157" i="4"/>
  <c r="A158" i="4"/>
  <c r="E158" i="4"/>
  <c r="A159" i="4"/>
  <c r="E159" i="4"/>
  <c r="A160" i="4"/>
  <c r="E160" i="4"/>
  <c r="A161" i="4"/>
  <c r="E161" i="4"/>
  <c r="A162" i="4"/>
  <c r="E162" i="4"/>
  <c r="A163" i="4"/>
  <c r="E163" i="4"/>
  <c r="A164" i="4"/>
  <c r="E164" i="4"/>
  <c r="A165" i="4"/>
  <c r="E165" i="4"/>
  <c r="A166" i="4"/>
  <c r="E166" i="4"/>
  <c r="A167" i="4"/>
  <c r="E167" i="4"/>
  <c r="A168" i="4"/>
  <c r="E168" i="4"/>
  <c r="A169" i="4"/>
  <c r="E169" i="4"/>
  <c r="A170" i="4"/>
  <c r="E170" i="4"/>
  <c r="A171" i="4"/>
  <c r="E171" i="4"/>
  <c r="A172" i="4"/>
  <c r="E172" i="4"/>
  <c r="A173" i="4"/>
  <c r="E173" i="4"/>
  <c r="A174" i="4"/>
  <c r="E174" i="4"/>
  <c r="A175" i="4"/>
  <c r="E175" i="4"/>
  <c r="A176" i="4"/>
  <c r="E176" i="4"/>
  <c r="A177" i="4"/>
  <c r="E177" i="4"/>
  <c r="A178" i="4"/>
  <c r="E178" i="4"/>
  <c r="A179" i="4"/>
  <c r="E179" i="4"/>
  <c r="A180" i="4"/>
  <c r="E180" i="4"/>
  <c r="A181" i="4"/>
  <c r="E181" i="4"/>
  <c r="A182" i="4"/>
  <c r="E182" i="4"/>
  <c r="A183" i="4"/>
  <c r="E183" i="4"/>
  <c r="A184" i="4"/>
  <c r="E184" i="4"/>
  <c r="A185" i="4"/>
  <c r="E185" i="4"/>
  <c r="A186" i="4"/>
  <c r="E186" i="4"/>
  <c r="A187" i="4"/>
  <c r="E187" i="4"/>
  <c r="A188" i="4"/>
  <c r="E188" i="4"/>
  <c r="A189" i="4"/>
  <c r="E189" i="4"/>
  <c r="A190" i="4"/>
  <c r="E190" i="4"/>
  <c r="A191" i="4"/>
  <c r="E191" i="4"/>
  <c r="A192" i="4"/>
  <c r="E192" i="4"/>
  <c r="A193" i="4"/>
  <c r="E193" i="4"/>
  <c r="A194" i="4"/>
  <c r="E194" i="4"/>
  <c r="A195" i="4"/>
  <c r="E195" i="4"/>
  <c r="A196" i="4"/>
  <c r="E196" i="4"/>
  <c r="A197" i="4"/>
  <c r="E197" i="4"/>
  <c r="A198" i="4"/>
  <c r="E198" i="4"/>
  <c r="A199" i="4"/>
  <c r="E199" i="4"/>
  <c r="A200" i="4"/>
  <c r="E200" i="4"/>
  <c r="A201" i="4"/>
  <c r="E201" i="4"/>
  <c r="A202" i="4"/>
  <c r="E202" i="4"/>
  <c r="E203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F202" i="4"/>
  <c r="B202" i="4"/>
  <c r="F201" i="4"/>
  <c r="B201" i="4"/>
  <c r="F200" i="4"/>
  <c r="B200" i="4"/>
  <c r="F199" i="4"/>
  <c r="B199" i="4"/>
  <c r="F198" i="4"/>
  <c r="B198" i="4"/>
  <c r="F197" i="4"/>
  <c r="B197" i="4"/>
  <c r="F196" i="4"/>
  <c r="B196" i="4"/>
  <c r="F195" i="4"/>
  <c r="B195" i="4"/>
  <c r="F194" i="4"/>
  <c r="B194" i="4"/>
  <c r="F193" i="4"/>
  <c r="B193" i="4"/>
  <c r="F192" i="4"/>
  <c r="B192" i="4"/>
  <c r="F191" i="4"/>
  <c r="B191" i="4"/>
  <c r="F190" i="4"/>
  <c r="B190" i="4"/>
  <c r="F189" i="4"/>
  <c r="B189" i="4"/>
  <c r="F188" i="4"/>
  <c r="B188" i="4"/>
  <c r="F187" i="4"/>
  <c r="B187" i="4"/>
  <c r="F186" i="4"/>
  <c r="B186" i="4"/>
  <c r="F185" i="4"/>
  <c r="B185" i="4"/>
  <c r="F184" i="4"/>
  <c r="B184" i="4"/>
  <c r="F183" i="4"/>
  <c r="B183" i="4"/>
  <c r="F182" i="4"/>
  <c r="B182" i="4"/>
  <c r="F181" i="4"/>
  <c r="B181" i="4"/>
  <c r="F180" i="4"/>
  <c r="B180" i="4"/>
  <c r="F179" i="4"/>
  <c r="B179" i="4"/>
  <c r="F178" i="4"/>
  <c r="B178" i="4"/>
  <c r="F177" i="4"/>
  <c r="B177" i="4"/>
  <c r="F176" i="4"/>
  <c r="B176" i="4"/>
  <c r="F175" i="4"/>
  <c r="B175" i="4"/>
  <c r="F174" i="4"/>
  <c r="B174" i="4"/>
  <c r="F173" i="4"/>
  <c r="B173" i="4"/>
  <c r="F172" i="4"/>
  <c r="B172" i="4"/>
  <c r="F171" i="4"/>
  <c r="B171" i="4"/>
  <c r="F170" i="4"/>
  <c r="B170" i="4"/>
  <c r="F169" i="4"/>
  <c r="B169" i="4"/>
  <c r="F168" i="4"/>
  <c r="B168" i="4"/>
  <c r="F167" i="4"/>
  <c r="B167" i="4"/>
  <c r="F166" i="4"/>
  <c r="B166" i="4"/>
  <c r="F165" i="4"/>
  <c r="B165" i="4"/>
  <c r="F164" i="4"/>
  <c r="B164" i="4"/>
  <c r="F163" i="4"/>
  <c r="B163" i="4"/>
  <c r="F162" i="4"/>
  <c r="B162" i="4"/>
  <c r="F161" i="4"/>
  <c r="B161" i="4"/>
  <c r="F160" i="4"/>
  <c r="B160" i="4"/>
  <c r="F159" i="4"/>
  <c r="B159" i="4"/>
  <c r="F158" i="4"/>
  <c r="B158" i="4"/>
  <c r="F157" i="4"/>
  <c r="B157" i="4"/>
  <c r="F156" i="4"/>
  <c r="B156" i="4"/>
  <c r="F155" i="4"/>
  <c r="B155" i="4"/>
  <c r="F154" i="4"/>
  <c r="B154" i="4"/>
  <c r="F153" i="4"/>
  <c r="B153" i="4"/>
  <c r="F152" i="4"/>
  <c r="B152" i="4"/>
  <c r="F151" i="4"/>
  <c r="B151" i="4"/>
  <c r="F150" i="4"/>
  <c r="B150" i="4"/>
  <c r="F149" i="4"/>
  <c r="B149" i="4"/>
  <c r="F148" i="4"/>
  <c r="B148" i="4"/>
  <c r="F147" i="4"/>
  <c r="B147" i="4"/>
  <c r="F146" i="4"/>
  <c r="B146" i="4"/>
  <c r="F145" i="4"/>
  <c r="B145" i="4"/>
  <c r="F144" i="4"/>
  <c r="B144" i="4"/>
  <c r="F143" i="4"/>
  <c r="B143" i="4"/>
  <c r="F142" i="4"/>
  <c r="B142" i="4"/>
  <c r="F141" i="4"/>
  <c r="B141" i="4"/>
  <c r="F140" i="4"/>
  <c r="B140" i="4"/>
  <c r="F139" i="4"/>
  <c r="B139" i="4"/>
  <c r="F138" i="4"/>
  <c r="B138" i="4"/>
  <c r="F137" i="4"/>
  <c r="B137" i="4"/>
  <c r="F136" i="4"/>
  <c r="B136" i="4"/>
  <c r="F135" i="4"/>
  <c r="B135" i="4"/>
  <c r="F134" i="4"/>
  <c r="B134" i="4"/>
  <c r="F133" i="4"/>
  <c r="B133" i="4"/>
  <c r="F132" i="4"/>
  <c r="B132" i="4"/>
  <c r="F131" i="4"/>
  <c r="B131" i="4"/>
  <c r="F130" i="4"/>
  <c r="B130" i="4"/>
  <c r="F129" i="4"/>
  <c r="B129" i="4"/>
  <c r="F128" i="4"/>
  <c r="B128" i="4"/>
  <c r="F127" i="4"/>
  <c r="B127" i="4"/>
  <c r="F126" i="4"/>
  <c r="B126" i="4"/>
  <c r="F125" i="4"/>
  <c r="B125" i="4"/>
  <c r="F124" i="4"/>
  <c r="B124" i="4"/>
  <c r="F123" i="4"/>
  <c r="B123" i="4"/>
  <c r="F122" i="4"/>
  <c r="B122" i="4"/>
  <c r="F121" i="4"/>
  <c r="B121" i="4"/>
  <c r="F120" i="4"/>
  <c r="B120" i="4"/>
  <c r="F119" i="4"/>
  <c r="B119" i="4"/>
  <c r="F118" i="4"/>
  <c r="B118" i="4"/>
  <c r="F117" i="4"/>
  <c r="B117" i="4"/>
  <c r="F116" i="4"/>
  <c r="B116" i="4"/>
  <c r="F115" i="4"/>
  <c r="B115" i="4"/>
  <c r="F114" i="4"/>
  <c r="B114" i="4"/>
  <c r="F113" i="4"/>
  <c r="B113" i="4"/>
  <c r="F112" i="4"/>
  <c r="B112" i="4"/>
  <c r="F111" i="4"/>
  <c r="B111" i="4"/>
  <c r="F110" i="4"/>
  <c r="B110" i="4"/>
  <c r="F109" i="4"/>
  <c r="B109" i="4"/>
  <c r="F108" i="4"/>
  <c r="B108" i="4"/>
  <c r="F107" i="4"/>
  <c r="B107" i="4"/>
  <c r="F106" i="4"/>
  <c r="B106" i="4"/>
  <c r="F105" i="4"/>
  <c r="B105" i="4"/>
  <c r="F104" i="4"/>
  <c r="B104" i="4"/>
  <c r="F103" i="4"/>
  <c r="B103" i="4"/>
  <c r="F102" i="4"/>
  <c r="B102" i="4"/>
  <c r="F101" i="4"/>
  <c r="B101" i="4"/>
  <c r="F100" i="4"/>
  <c r="B100" i="4"/>
  <c r="F99" i="4"/>
  <c r="B99" i="4"/>
  <c r="F98" i="4"/>
  <c r="B98" i="4"/>
  <c r="F97" i="4"/>
  <c r="B97" i="4"/>
  <c r="F96" i="4"/>
  <c r="B96" i="4"/>
  <c r="F95" i="4"/>
  <c r="B95" i="4"/>
  <c r="F94" i="4"/>
  <c r="B94" i="4"/>
  <c r="F93" i="4"/>
  <c r="B93" i="4"/>
  <c r="F92" i="4"/>
  <c r="B92" i="4"/>
  <c r="F91" i="4"/>
  <c r="B91" i="4"/>
  <c r="F90" i="4"/>
  <c r="B90" i="4"/>
  <c r="F89" i="4"/>
  <c r="B89" i="4"/>
  <c r="F88" i="4"/>
  <c r="B88" i="4"/>
  <c r="F87" i="4"/>
  <c r="B87" i="4"/>
  <c r="F86" i="4"/>
  <c r="B86" i="4"/>
  <c r="F85" i="4"/>
  <c r="B85" i="4"/>
  <c r="F84" i="4"/>
  <c r="B84" i="4"/>
  <c r="F83" i="4"/>
  <c r="B83" i="4"/>
  <c r="F82" i="4"/>
  <c r="B82" i="4"/>
  <c r="F81" i="4"/>
  <c r="B81" i="4"/>
  <c r="F80" i="4"/>
  <c r="B80" i="4"/>
  <c r="F79" i="4"/>
  <c r="B79" i="4"/>
  <c r="F78" i="4"/>
  <c r="B78" i="4"/>
  <c r="F77" i="4"/>
  <c r="B77" i="4"/>
  <c r="F76" i="4"/>
  <c r="B76" i="4"/>
  <c r="F75" i="4"/>
  <c r="B75" i="4"/>
  <c r="F74" i="4"/>
  <c r="B74" i="4"/>
  <c r="F73" i="4"/>
  <c r="B73" i="4"/>
  <c r="F72" i="4"/>
  <c r="B72" i="4"/>
  <c r="F71" i="4"/>
  <c r="B71" i="4"/>
  <c r="F70" i="4"/>
  <c r="B70" i="4"/>
  <c r="F69" i="4"/>
  <c r="B69" i="4"/>
  <c r="F68" i="4"/>
  <c r="B68" i="4"/>
  <c r="F67" i="4"/>
  <c r="B67" i="4"/>
  <c r="F66" i="4"/>
  <c r="B66" i="4"/>
  <c r="F65" i="4"/>
  <c r="B65" i="4"/>
  <c r="F64" i="4"/>
  <c r="B64" i="4"/>
  <c r="F63" i="4"/>
  <c r="B63" i="4"/>
  <c r="F62" i="4"/>
  <c r="B62" i="4"/>
  <c r="F61" i="4"/>
  <c r="B61" i="4"/>
  <c r="F60" i="4"/>
  <c r="B60" i="4"/>
  <c r="F59" i="4"/>
  <c r="B59" i="4"/>
  <c r="F58" i="4"/>
  <c r="B58" i="4"/>
  <c r="F57" i="4"/>
  <c r="B57" i="4"/>
  <c r="F56" i="4"/>
  <c r="B56" i="4"/>
  <c r="F55" i="4"/>
  <c r="B55" i="4"/>
  <c r="F54" i="4"/>
  <c r="B54" i="4"/>
  <c r="F53" i="4"/>
  <c r="B53" i="4"/>
  <c r="F52" i="4"/>
  <c r="B52" i="4"/>
  <c r="F51" i="4"/>
  <c r="B51" i="4"/>
  <c r="F50" i="4"/>
  <c r="B50" i="4"/>
  <c r="F49" i="4"/>
  <c r="B49" i="4"/>
  <c r="F48" i="4"/>
  <c r="B48" i="4"/>
  <c r="F47" i="4"/>
  <c r="B47" i="4"/>
  <c r="F46" i="4"/>
  <c r="B46" i="4"/>
  <c r="F45" i="4"/>
  <c r="B45" i="4"/>
  <c r="F44" i="4"/>
  <c r="B44" i="4"/>
  <c r="F43" i="4"/>
  <c r="B43" i="4"/>
  <c r="F42" i="4"/>
  <c r="B42" i="4"/>
  <c r="F41" i="4"/>
  <c r="B41" i="4"/>
  <c r="F40" i="4"/>
  <c r="B40" i="4"/>
  <c r="F39" i="4"/>
  <c r="B39" i="4"/>
  <c r="F38" i="4"/>
  <c r="B38" i="4"/>
  <c r="F37" i="4"/>
  <c r="B37" i="4"/>
  <c r="F36" i="4"/>
  <c r="B36" i="4"/>
  <c r="F35" i="4"/>
  <c r="B35" i="4"/>
  <c r="F34" i="4"/>
  <c r="B34" i="4"/>
  <c r="F33" i="4"/>
  <c r="B33" i="4"/>
  <c r="F32" i="4"/>
  <c r="B32" i="4"/>
  <c r="F31" i="4"/>
  <c r="B31" i="4"/>
  <c r="F30" i="4"/>
  <c r="B30" i="4"/>
  <c r="F29" i="4"/>
  <c r="B29" i="4"/>
  <c r="F28" i="4"/>
  <c r="B28" i="4"/>
  <c r="F27" i="4"/>
  <c r="B27" i="4"/>
  <c r="F26" i="4"/>
  <c r="B26" i="4"/>
  <c r="F25" i="4"/>
  <c r="B25" i="4"/>
  <c r="F24" i="4"/>
  <c r="B24" i="4"/>
  <c r="F23" i="4"/>
  <c r="B23" i="4"/>
  <c r="F22" i="4"/>
  <c r="B22" i="4"/>
  <c r="F21" i="4"/>
  <c r="B21" i="4"/>
  <c r="F20" i="4"/>
  <c r="B20" i="4"/>
  <c r="F19" i="4"/>
  <c r="B19" i="4"/>
  <c r="F18" i="4"/>
  <c r="B18" i="4"/>
  <c r="F17" i="4"/>
  <c r="B17" i="4"/>
  <c r="F16" i="4"/>
  <c r="B16" i="4"/>
  <c r="F15" i="4"/>
  <c r="B15" i="4"/>
  <c r="F14" i="4"/>
  <c r="B14" i="4"/>
  <c r="F13" i="4"/>
  <c r="B13" i="4"/>
  <c r="F12" i="4"/>
  <c r="B12" i="4"/>
  <c r="F11" i="4"/>
  <c r="B11" i="4"/>
  <c r="F10" i="4"/>
  <c r="B10" i="4"/>
  <c r="F9" i="4"/>
  <c r="B9" i="4"/>
  <c r="F8" i="4"/>
  <c r="B8" i="4"/>
  <c r="F7" i="4"/>
  <c r="B7" i="4"/>
  <c r="A200" i="3"/>
  <c r="G200" i="3"/>
  <c r="H200" i="3"/>
  <c r="I200" i="3"/>
  <c r="J200" i="3"/>
  <c r="F200" i="3"/>
  <c r="E200" i="3"/>
  <c r="D200" i="3"/>
  <c r="C200" i="3"/>
  <c r="B200" i="3"/>
  <c r="A199" i="3"/>
  <c r="G199" i="3"/>
  <c r="H199" i="3"/>
  <c r="I199" i="3"/>
  <c r="J199" i="3"/>
  <c r="F199" i="3"/>
  <c r="E199" i="3"/>
  <c r="D199" i="3"/>
  <c r="C199" i="3"/>
  <c r="B199" i="3"/>
  <c r="A198" i="3"/>
  <c r="G198" i="3"/>
  <c r="H198" i="3"/>
  <c r="I198" i="3"/>
  <c r="J198" i="3"/>
  <c r="F198" i="3"/>
  <c r="E198" i="3"/>
  <c r="D198" i="3"/>
  <c r="C198" i="3"/>
  <c r="B198" i="3"/>
  <c r="A197" i="3"/>
  <c r="G197" i="3"/>
  <c r="H197" i="3"/>
  <c r="I197" i="3"/>
  <c r="J197" i="3"/>
  <c r="F197" i="3"/>
  <c r="E197" i="3"/>
  <c r="D197" i="3"/>
  <c r="C197" i="3"/>
  <c r="B197" i="3"/>
  <c r="A196" i="3"/>
  <c r="G196" i="3"/>
  <c r="H196" i="3"/>
  <c r="I196" i="3"/>
  <c r="J196" i="3"/>
  <c r="F196" i="3"/>
  <c r="E196" i="3"/>
  <c r="D196" i="3"/>
  <c r="C196" i="3"/>
  <c r="B196" i="3"/>
  <c r="A195" i="3"/>
  <c r="G195" i="3"/>
  <c r="H195" i="3"/>
  <c r="I195" i="3"/>
  <c r="J195" i="3"/>
  <c r="F195" i="3"/>
  <c r="E195" i="3"/>
  <c r="D195" i="3"/>
  <c r="C195" i="3"/>
  <c r="B195" i="3"/>
  <c r="A194" i="3"/>
  <c r="G194" i="3"/>
  <c r="H194" i="3"/>
  <c r="I194" i="3"/>
  <c r="J194" i="3"/>
  <c r="F194" i="3"/>
  <c r="E194" i="3"/>
  <c r="D194" i="3"/>
  <c r="C194" i="3"/>
  <c r="B194" i="3"/>
  <c r="A193" i="3"/>
  <c r="G193" i="3"/>
  <c r="H193" i="3"/>
  <c r="I193" i="3"/>
  <c r="J193" i="3"/>
  <c r="F193" i="3"/>
  <c r="E193" i="3"/>
  <c r="D193" i="3"/>
  <c r="C193" i="3"/>
  <c r="B193" i="3"/>
  <c r="A192" i="3"/>
  <c r="G192" i="3"/>
  <c r="H192" i="3"/>
  <c r="I192" i="3"/>
  <c r="J192" i="3"/>
  <c r="F192" i="3"/>
  <c r="E192" i="3"/>
  <c r="D192" i="3"/>
  <c r="C192" i="3"/>
  <c r="B192" i="3"/>
  <c r="A191" i="3"/>
  <c r="G191" i="3"/>
  <c r="H191" i="3"/>
  <c r="I191" i="3"/>
  <c r="J191" i="3"/>
  <c r="F191" i="3"/>
  <c r="E191" i="3"/>
  <c r="D191" i="3"/>
  <c r="C191" i="3"/>
  <c r="B191" i="3"/>
  <c r="A190" i="3"/>
  <c r="G190" i="3"/>
  <c r="H190" i="3"/>
  <c r="I190" i="3"/>
  <c r="J190" i="3"/>
  <c r="F190" i="3"/>
  <c r="E190" i="3"/>
  <c r="D190" i="3"/>
  <c r="C190" i="3"/>
  <c r="B190" i="3"/>
  <c r="A189" i="3"/>
  <c r="G189" i="3"/>
  <c r="H189" i="3"/>
  <c r="I189" i="3"/>
  <c r="J189" i="3"/>
  <c r="F189" i="3"/>
  <c r="E189" i="3"/>
  <c r="D189" i="3"/>
  <c r="C189" i="3"/>
  <c r="B189" i="3"/>
  <c r="A188" i="3"/>
  <c r="G188" i="3"/>
  <c r="H188" i="3"/>
  <c r="I188" i="3"/>
  <c r="J188" i="3"/>
  <c r="F188" i="3"/>
  <c r="E188" i="3"/>
  <c r="D188" i="3"/>
  <c r="C188" i="3"/>
  <c r="B188" i="3"/>
  <c r="A187" i="3"/>
  <c r="G187" i="3"/>
  <c r="H187" i="3"/>
  <c r="I187" i="3"/>
  <c r="J187" i="3"/>
  <c r="F187" i="3"/>
  <c r="E187" i="3"/>
  <c r="D187" i="3"/>
  <c r="C187" i="3"/>
  <c r="B187" i="3"/>
  <c r="A186" i="3"/>
  <c r="G186" i="3"/>
  <c r="H186" i="3"/>
  <c r="I186" i="3"/>
  <c r="J186" i="3"/>
  <c r="F186" i="3"/>
  <c r="E186" i="3"/>
  <c r="D186" i="3"/>
  <c r="C186" i="3"/>
  <c r="B186" i="3"/>
  <c r="A185" i="3"/>
  <c r="G185" i="3"/>
  <c r="H185" i="3"/>
  <c r="I185" i="3"/>
  <c r="J185" i="3"/>
  <c r="F185" i="3"/>
  <c r="E185" i="3"/>
  <c r="D185" i="3"/>
  <c r="C185" i="3"/>
  <c r="B185" i="3"/>
  <c r="A184" i="3"/>
  <c r="G184" i="3"/>
  <c r="H184" i="3"/>
  <c r="I184" i="3"/>
  <c r="J184" i="3"/>
  <c r="F184" i="3"/>
  <c r="E184" i="3"/>
  <c r="D184" i="3"/>
  <c r="C184" i="3"/>
  <c r="B184" i="3"/>
  <c r="A183" i="3"/>
  <c r="G183" i="3"/>
  <c r="H183" i="3"/>
  <c r="I183" i="3"/>
  <c r="J183" i="3"/>
  <c r="F183" i="3"/>
  <c r="E183" i="3"/>
  <c r="D183" i="3"/>
  <c r="C183" i="3"/>
  <c r="B183" i="3"/>
  <c r="A182" i="3"/>
  <c r="G182" i="3"/>
  <c r="H182" i="3"/>
  <c r="I182" i="3"/>
  <c r="J182" i="3"/>
  <c r="F182" i="3"/>
  <c r="E182" i="3"/>
  <c r="D182" i="3"/>
  <c r="C182" i="3"/>
  <c r="B182" i="3"/>
  <c r="A181" i="3"/>
  <c r="G181" i="3"/>
  <c r="H181" i="3"/>
  <c r="I181" i="3"/>
  <c r="J181" i="3"/>
  <c r="F181" i="3"/>
  <c r="E181" i="3"/>
  <c r="D181" i="3"/>
  <c r="C181" i="3"/>
  <c r="B181" i="3"/>
  <c r="A180" i="3"/>
  <c r="G180" i="3"/>
  <c r="H180" i="3"/>
  <c r="I180" i="3"/>
  <c r="J180" i="3"/>
  <c r="F180" i="3"/>
  <c r="E180" i="3"/>
  <c r="D180" i="3"/>
  <c r="C180" i="3"/>
  <c r="B180" i="3"/>
  <c r="A179" i="3"/>
  <c r="G179" i="3"/>
  <c r="H179" i="3"/>
  <c r="I179" i="3"/>
  <c r="J179" i="3"/>
  <c r="F179" i="3"/>
  <c r="E179" i="3"/>
  <c r="D179" i="3"/>
  <c r="C179" i="3"/>
  <c r="B179" i="3"/>
  <c r="A178" i="3"/>
  <c r="G178" i="3"/>
  <c r="H178" i="3"/>
  <c r="I178" i="3"/>
  <c r="J178" i="3"/>
  <c r="F178" i="3"/>
  <c r="E178" i="3"/>
  <c r="D178" i="3"/>
  <c r="C178" i="3"/>
  <c r="B178" i="3"/>
  <c r="A177" i="3"/>
  <c r="G177" i="3"/>
  <c r="H177" i="3"/>
  <c r="I177" i="3"/>
  <c r="J177" i="3"/>
  <c r="F177" i="3"/>
  <c r="E177" i="3"/>
  <c r="D177" i="3"/>
  <c r="C177" i="3"/>
  <c r="B177" i="3"/>
  <c r="A176" i="3"/>
  <c r="G176" i="3"/>
  <c r="H176" i="3"/>
  <c r="I176" i="3"/>
  <c r="J176" i="3"/>
  <c r="F176" i="3"/>
  <c r="E176" i="3"/>
  <c r="D176" i="3"/>
  <c r="C176" i="3"/>
  <c r="B176" i="3"/>
  <c r="A175" i="3"/>
  <c r="G175" i="3"/>
  <c r="H175" i="3"/>
  <c r="I175" i="3"/>
  <c r="J175" i="3"/>
  <c r="F175" i="3"/>
  <c r="E175" i="3"/>
  <c r="D175" i="3"/>
  <c r="C175" i="3"/>
  <c r="B175" i="3"/>
  <c r="A174" i="3"/>
  <c r="G174" i="3"/>
  <c r="H174" i="3"/>
  <c r="I174" i="3"/>
  <c r="J174" i="3"/>
  <c r="F174" i="3"/>
  <c r="E174" i="3"/>
  <c r="D174" i="3"/>
  <c r="C174" i="3"/>
  <c r="B174" i="3"/>
  <c r="A173" i="3"/>
  <c r="G173" i="3"/>
  <c r="H173" i="3"/>
  <c r="I173" i="3"/>
  <c r="J173" i="3"/>
  <c r="F173" i="3"/>
  <c r="E173" i="3"/>
  <c r="D173" i="3"/>
  <c r="C173" i="3"/>
  <c r="B173" i="3"/>
  <c r="A172" i="3"/>
  <c r="G172" i="3"/>
  <c r="H172" i="3"/>
  <c r="I172" i="3"/>
  <c r="J172" i="3"/>
  <c r="F172" i="3"/>
  <c r="E172" i="3"/>
  <c r="D172" i="3"/>
  <c r="C172" i="3"/>
  <c r="B172" i="3"/>
  <c r="A171" i="3"/>
  <c r="G171" i="3"/>
  <c r="H171" i="3"/>
  <c r="I171" i="3"/>
  <c r="J171" i="3"/>
  <c r="F171" i="3"/>
  <c r="E171" i="3"/>
  <c r="D171" i="3"/>
  <c r="C171" i="3"/>
  <c r="B171" i="3"/>
  <c r="A170" i="3"/>
  <c r="G170" i="3"/>
  <c r="H170" i="3"/>
  <c r="I170" i="3"/>
  <c r="J170" i="3"/>
  <c r="F170" i="3"/>
  <c r="E170" i="3"/>
  <c r="D170" i="3"/>
  <c r="C170" i="3"/>
  <c r="B170" i="3"/>
  <c r="A169" i="3"/>
  <c r="G169" i="3"/>
  <c r="H169" i="3"/>
  <c r="I169" i="3"/>
  <c r="J169" i="3"/>
  <c r="F169" i="3"/>
  <c r="E169" i="3"/>
  <c r="D169" i="3"/>
  <c r="C169" i="3"/>
  <c r="B169" i="3"/>
  <c r="A168" i="3"/>
  <c r="G168" i="3"/>
  <c r="H168" i="3"/>
  <c r="I168" i="3"/>
  <c r="J168" i="3"/>
  <c r="F168" i="3"/>
  <c r="E168" i="3"/>
  <c r="D168" i="3"/>
  <c r="C168" i="3"/>
  <c r="B168" i="3"/>
  <c r="A167" i="3"/>
  <c r="G167" i="3"/>
  <c r="H167" i="3"/>
  <c r="I167" i="3"/>
  <c r="J167" i="3"/>
  <c r="F167" i="3"/>
  <c r="E167" i="3"/>
  <c r="D167" i="3"/>
  <c r="C167" i="3"/>
  <c r="B167" i="3"/>
  <c r="A166" i="3"/>
  <c r="G166" i="3"/>
  <c r="H166" i="3"/>
  <c r="I166" i="3"/>
  <c r="J166" i="3"/>
  <c r="F166" i="3"/>
  <c r="E166" i="3"/>
  <c r="D166" i="3"/>
  <c r="C166" i="3"/>
  <c r="B166" i="3"/>
  <c r="A165" i="3"/>
  <c r="G165" i="3"/>
  <c r="H165" i="3"/>
  <c r="I165" i="3"/>
  <c r="J165" i="3"/>
  <c r="F165" i="3"/>
  <c r="E165" i="3"/>
  <c r="D165" i="3"/>
  <c r="C165" i="3"/>
  <c r="B165" i="3"/>
  <c r="A164" i="3"/>
  <c r="G164" i="3"/>
  <c r="H164" i="3"/>
  <c r="I164" i="3"/>
  <c r="J164" i="3"/>
  <c r="F164" i="3"/>
  <c r="E164" i="3"/>
  <c r="D164" i="3"/>
  <c r="C164" i="3"/>
  <c r="B164" i="3"/>
  <c r="A163" i="3"/>
  <c r="G163" i="3"/>
  <c r="H163" i="3"/>
  <c r="I163" i="3"/>
  <c r="J163" i="3"/>
  <c r="F163" i="3"/>
  <c r="E163" i="3"/>
  <c r="D163" i="3"/>
  <c r="C163" i="3"/>
  <c r="B163" i="3"/>
  <c r="A162" i="3"/>
  <c r="G162" i="3"/>
  <c r="H162" i="3"/>
  <c r="I162" i="3"/>
  <c r="J162" i="3"/>
  <c r="F162" i="3"/>
  <c r="E162" i="3"/>
  <c r="D162" i="3"/>
  <c r="C162" i="3"/>
  <c r="B162" i="3"/>
  <c r="A161" i="3"/>
  <c r="G161" i="3"/>
  <c r="H161" i="3"/>
  <c r="I161" i="3"/>
  <c r="J161" i="3"/>
  <c r="F161" i="3"/>
  <c r="E161" i="3"/>
  <c r="D161" i="3"/>
  <c r="C161" i="3"/>
  <c r="B161" i="3"/>
  <c r="A160" i="3"/>
  <c r="G160" i="3"/>
  <c r="H160" i="3"/>
  <c r="I160" i="3"/>
  <c r="J160" i="3"/>
  <c r="F160" i="3"/>
  <c r="E160" i="3"/>
  <c r="D160" i="3"/>
  <c r="C160" i="3"/>
  <c r="B160" i="3"/>
  <c r="A159" i="3"/>
  <c r="G159" i="3"/>
  <c r="H159" i="3"/>
  <c r="I159" i="3"/>
  <c r="J159" i="3"/>
  <c r="F159" i="3"/>
  <c r="E159" i="3"/>
  <c r="D159" i="3"/>
  <c r="C159" i="3"/>
  <c r="B159" i="3"/>
  <c r="A158" i="3"/>
  <c r="G158" i="3"/>
  <c r="H158" i="3"/>
  <c r="I158" i="3"/>
  <c r="J158" i="3"/>
  <c r="F158" i="3"/>
  <c r="E158" i="3"/>
  <c r="D158" i="3"/>
  <c r="C158" i="3"/>
  <c r="B158" i="3"/>
  <c r="A157" i="3"/>
  <c r="G157" i="3"/>
  <c r="H157" i="3"/>
  <c r="I157" i="3"/>
  <c r="J157" i="3"/>
  <c r="F157" i="3"/>
  <c r="E157" i="3"/>
  <c r="D157" i="3"/>
  <c r="C157" i="3"/>
  <c r="B157" i="3"/>
  <c r="A156" i="3"/>
  <c r="G156" i="3"/>
  <c r="H156" i="3"/>
  <c r="I156" i="3"/>
  <c r="J156" i="3"/>
  <c r="F156" i="3"/>
  <c r="E156" i="3"/>
  <c r="D156" i="3"/>
  <c r="C156" i="3"/>
  <c r="B156" i="3"/>
  <c r="A155" i="3"/>
  <c r="G155" i="3"/>
  <c r="H155" i="3"/>
  <c r="I155" i="3"/>
  <c r="J155" i="3"/>
  <c r="F155" i="3"/>
  <c r="E155" i="3"/>
  <c r="D155" i="3"/>
  <c r="C155" i="3"/>
  <c r="B155" i="3"/>
  <c r="A154" i="3"/>
  <c r="G154" i="3"/>
  <c r="H154" i="3"/>
  <c r="I154" i="3"/>
  <c r="J154" i="3"/>
  <c r="F154" i="3"/>
  <c r="E154" i="3"/>
  <c r="D154" i="3"/>
  <c r="C154" i="3"/>
  <c r="B154" i="3"/>
  <c r="A153" i="3"/>
  <c r="G153" i="3"/>
  <c r="H153" i="3"/>
  <c r="I153" i="3"/>
  <c r="J153" i="3"/>
  <c r="F153" i="3"/>
  <c r="E153" i="3"/>
  <c r="D153" i="3"/>
  <c r="C153" i="3"/>
  <c r="B153" i="3"/>
  <c r="A152" i="3"/>
  <c r="G152" i="3"/>
  <c r="H152" i="3"/>
  <c r="I152" i="3"/>
  <c r="J152" i="3"/>
  <c r="F152" i="3"/>
  <c r="E152" i="3"/>
  <c r="D152" i="3"/>
  <c r="C152" i="3"/>
  <c r="B152" i="3"/>
  <c r="A151" i="3"/>
  <c r="G151" i="3"/>
  <c r="H151" i="3"/>
  <c r="I151" i="3"/>
  <c r="J151" i="3"/>
  <c r="F151" i="3"/>
  <c r="E151" i="3"/>
  <c r="D151" i="3"/>
  <c r="C151" i="3"/>
  <c r="B151" i="3"/>
  <c r="A150" i="3"/>
  <c r="G150" i="3"/>
  <c r="H150" i="3"/>
  <c r="I150" i="3"/>
  <c r="J150" i="3"/>
  <c r="F150" i="3"/>
  <c r="E150" i="3"/>
  <c r="D150" i="3"/>
  <c r="C150" i="3"/>
  <c r="B150" i="3"/>
  <c r="A149" i="3"/>
  <c r="G149" i="3"/>
  <c r="H149" i="3"/>
  <c r="I149" i="3"/>
  <c r="J149" i="3"/>
  <c r="F149" i="3"/>
  <c r="E149" i="3"/>
  <c r="D149" i="3"/>
  <c r="C149" i="3"/>
  <c r="B149" i="3"/>
  <c r="A148" i="3"/>
  <c r="G148" i="3"/>
  <c r="H148" i="3"/>
  <c r="I148" i="3"/>
  <c r="J148" i="3"/>
  <c r="F148" i="3"/>
  <c r="E148" i="3"/>
  <c r="D148" i="3"/>
  <c r="C148" i="3"/>
  <c r="B148" i="3"/>
  <c r="A147" i="3"/>
  <c r="G147" i="3"/>
  <c r="H147" i="3"/>
  <c r="I147" i="3"/>
  <c r="J147" i="3"/>
  <c r="F147" i="3"/>
  <c r="E147" i="3"/>
  <c r="D147" i="3"/>
  <c r="C147" i="3"/>
  <c r="B147" i="3"/>
  <c r="A146" i="3"/>
  <c r="G146" i="3"/>
  <c r="H146" i="3"/>
  <c r="I146" i="3"/>
  <c r="J146" i="3"/>
  <c r="F146" i="3"/>
  <c r="E146" i="3"/>
  <c r="D146" i="3"/>
  <c r="C146" i="3"/>
  <c r="B146" i="3"/>
  <c r="A145" i="3"/>
  <c r="G145" i="3"/>
  <c r="H145" i="3"/>
  <c r="I145" i="3"/>
  <c r="J145" i="3"/>
  <c r="F145" i="3"/>
  <c r="E145" i="3"/>
  <c r="D145" i="3"/>
  <c r="C145" i="3"/>
  <c r="B145" i="3"/>
  <c r="A144" i="3"/>
  <c r="G144" i="3"/>
  <c r="H144" i="3"/>
  <c r="I144" i="3"/>
  <c r="J144" i="3"/>
  <c r="F144" i="3"/>
  <c r="E144" i="3"/>
  <c r="D144" i="3"/>
  <c r="C144" i="3"/>
  <c r="B144" i="3"/>
  <c r="A143" i="3"/>
  <c r="G143" i="3"/>
  <c r="H143" i="3"/>
  <c r="I143" i="3"/>
  <c r="J143" i="3"/>
  <c r="F143" i="3"/>
  <c r="E143" i="3"/>
  <c r="D143" i="3"/>
  <c r="C143" i="3"/>
  <c r="B143" i="3"/>
  <c r="A142" i="3"/>
  <c r="G142" i="3"/>
  <c r="H142" i="3"/>
  <c r="I142" i="3"/>
  <c r="J142" i="3"/>
  <c r="F142" i="3"/>
  <c r="E142" i="3"/>
  <c r="D142" i="3"/>
  <c r="C142" i="3"/>
  <c r="B142" i="3"/>
  <c r="A141" i="3"/>
  <c r="G141" i="3"/>
  <c r="H141" i="3"/>
  <c r="I141" i="3"/>
  <c r="J141" i="3"/>
  <c r="F141" i="3"/>
  <c r="E141" i="3"/>
  <c r="D141" i="3"/>
  <c r="C141" i="3"/>
  <c r="B141" i="3"/>
  <c r="A140" i="3"/>
  <c r="G140" i="3"/>
  <c r="H140" i="3"/>
  <c r="I140" i="3"/>
  <c r="J140" i="3"/>
  <c r="F140" i="3"/>
  <c r="E140" i="3"/>
  <c r="D140" i="3"/>
  <c r="C140" i="3"/>
  <c r="B140" i="3"/>
  <c r="A139" i="3"/>
  <c r="G139" i="3"/>
  <c r="H139" i="3"/>
  <c r="I139" i="3"/>
  <c r="J139" i="3"/>
  <c r="F139" i="3"/>
  <c r="E139" i="3"/>
  <c r="D139" i="3"/>
  <c r="C139" i="3"/>
  <c r="B139" i="3"/>
  <c r="A138" i="3"/>
  <c r="G138" i="3"/>
  <c r="H138" i="3"/>
  <c r="I138" i="3"/>
  <c r="J138" i="3"/>
  <c r="F138" i="3"/>
  <c r="E138" i="3"/>
  <c r="D138" i="3"/>
  <c r="C138" i="3"/>
  <c r="B138" i="3"/>
  <c r="A137" i="3"/>
  <c r="G137" i="3"/>
  <c r="H137" i="3"/>
  <c r="I137" i="3"/>
  <c r="J137" i="3"/>
  <c r="F137" i="3"/>
  <c r="E137" i="3"/>
  <c r="D137" i="3"/>
  <c r="C137" i="3"/>
  <c r="B137" i="3"/>
  <c r="A136" i="3"/>
  <c r="G136" i="3"/>
  <c r="H136" i="3"/>
  <c r="I136" i="3"/>
  <c r="J136" i="3"/>
  <c r="F136" i="3"/>
  <c r="E136" i="3"/>
  <c r="D136" i="3"/>
  <c r="C136" i="3"/>
  <c r="B136" i="3"/>
  <c r="A135" i="3"/>
  <c r="G135" i="3"/>
  <c r="H135" i="3"/>
  <c r="I135" i="3"/>
  <c r="J135" i="3"/>
  <c r="F135" i="3"/>
  <c r="E135" i="3"/>
  <c r="D135" i="3"/>
  <c r="C135" i="3"/>
  <c r="B135" i="3"/>
  <c r="A134" i="3"/>
  <c r="G134" i="3"/>
  <c r="H134" i="3"/>
  <c r="I134" i="3"/>
  <c r="J134" i="3"/>
  <c r="F134" i="3"/>
  <c r="E134" i="3"/>
  <c r="D134" i="3"/>
  <c r="C134" i="3"/>
  <c r="B134" i="3"/>
  <c r="A133" i="3"/>
  <c r="G133" i="3"/>
  <c r="H133" i="3"/>
  <c r="I133" i="3"/>
  <c r="J133" i="3"/>
  <c r="F133" i="3"/>
  <c r="E133" i="3"/>
  <c r="D133" i="3"/>
  <c r="C133" i="3"/>
  <c r="B133" i="3"/>
  <c r="A132" i="3"/>
  <c r="G132" i="3"/>
  <c r="H132" i="3"/>
  <c r="I132" i="3"/>
  <c r="J132" i="3"/>
  <c r="F132" i="3"/>
  <c r="E132" i="3"/>
  <c r="D132" i="3"/>
  <c r="C132" i="3"/>
  <c r="B132" i="3"/>
  <c r="A131" i="3"/>
  <c r="G131" i="3"/>
  <c r="H131" i="3"/>
  <c r="I131" i="3"/>
  <c r="J131" i="3"/>
  <c r="F131" i="3"/>
  <c r="E131" i="3"/>
  <c r="D131" i="3"/>
  <c r="C131" i="3"/>
  <c r="B131" i="3"/>
  <c r="A130" i="3"/>
  <c r="G130" i="3"/>
  <c r="H130" i="3"/>
  <c r="I130" i="3"/>
  <c r="J130" i="3"/>
  <c r="F130" i="3"/>
  <c r="E130" i="3"/>
  <c r="D130" i="3"/>
  <c r="C130" i="3"/>
  <c r="B130" i="3"/>
  <c r="A129" i="3"/>
  <c r="G129" i="3"/>
  <c r="H129" i="3"/>
  <c r="I129" i="3"/>
  <c r="J129" i="3"/>
  <c r="F129" i="3"/>
  <c r="E129" i="3"/>
  <c r="D129" i="3"/>
  <c r="C129" i="3"/>
  <c r="B129" i="3"/>
  <c r="A128" i="3"/>
  <c r="G128" i="3"/>
  <c r="H128" i="3"/>
  <c r="I128" i="3"/>
  <c r="J128" i="3"/>
  <c r="F128" i="3"/>
  <c r="E128" i="3"/>
  <c r="D128" i="3"/>
  <c r="C128" i="3"/>
  <c r="B128" i="3"/>
  <c r="A127" i="3"/>
  <c r="G127" i="3"/>
  <c r="H127" i="3"/>
  <c r="I127" i="3"/>
  <c r="J127" i="3"/>
  <c r="F127" i="3"/>
  <c r="E127" i="3"/>
  <c r="D127" i="3"/>
  <c r="C127" i="3"/>
  <c r="B127" i="3"/>
  <c r="A126" i="3"/>
  <c r="G126" i="3"/>
  <c r="H126" i="3"/>
  <c r="I126" i="3"/>
  <c r="J126" i="3"/>
  <c r="F126" i="3"/>
  <c r="E126" i="3"/>
  <c r="D126" i="3"/>
  <c r="C126" i="3"/>
  <c r="B126" i="3"/>
  <c r="A125" i="3"/>
  <c r="G125" i="3"/>
  <c r="H125" i="3"/>
  <c r="I125" i="3"/>
  <c r="J125" i="3"/>
  <c r="F125" i="3"/>
  <c r="E125" i="3"/>
  <c r="D125" i="3"/>
  <c r="C125" i="3"/>
  <c r="B125" i="3"/>
  <c r="A124" i="3"/>
  <c r="G124" i="3"/>
  <c r="H124" i="3"/>
  <c r="I124" i="3"/>
  <c r="J124" i="3"/>
  <c r="F124" i="3"/>
  <c r="E124" i="3"/>
  <c r="D124" i="3"/>
  <c r="C124" i="3"/>
  <c r="B124" i="3"/>
  <c r="A123" i="3"/>
  <c r="G123" i="3"/>
  <c r="H123" i="3"/>
  <c r="I123" i="3"/>
  <c r="J123" i="3"/>
  <c r="F123" i="3"/>
  <c r="E123" i="3"/>
  <c r="D123" i="3"/>
  <c r="C123" i="3"/>
  <c r="B123" i="3"/>
  <c r="A122" i="3"/>
  <c r="G122" i="3"/>
  <c r="H122" i="3"/>
  <c r="I122" i="3"/>
  <c r="J122" i="3"/>
  <c r="F122" i="3"/>
  <c r="E122" i="3"/>
  <c r="D122" i="3"/>
  <c r="C122" i="3"/>
  <c r="B122" i="3"/>
  <c r="A121" i="3"/>
  <c r="G121" i="3"/>
  <c r="H121" i="3"/>
  <c r="I121" i="3"/>
  <c r="J121" i="3"/>
  <c r="F121" i="3"/>
  <c r="E121" i="3"/>
  <c r="D121" i="3"/>
  <c r="C121" i="3"/>
  <c r="B121" i="3"/>
  <c r="A120" i="3"/>
  <c r="G120" i="3"/>
  <c r="H120" i="3"/>
  <c r="I120" i="3"/>
  <c r="J120" i="3"/>
  <c r="F120" i="3"/>
  <c r="E120" i="3"/>
  <c r="D120" i="3"/>
  <c r="C120" i="3"/>
  <c r="B120" i="3"/>
  <c r="A119" i="3"/>
  <c r="G119" i="3"/>
  <c r="H119" i="3"/>
  <c r="I119" i="3"/>
  <c r="J119" i="3"/>
  <c r="F119" i="3"/>
  <c r="E119" i="3"/>
  <c r="D119" i="3"/>
  <c r="C119" i="3"/>
  <c r="B119" i="3"/>
  <c r="A118" i="3"/>
  <c r="G118" i="3"/>
  <c r="H118" i="3"/>
  <c r="I118" i="3"/>
  <c r="J118" i="3"/>
  <c r="F118" i="3"/>
  <c r="E118" i="3"/>
  <c r="D118" i="3"/>
  <c r="C118" i="3"/>
  <c r="B118" i="3"/>
  <c r="A117" i="3"/>
  <c r="G117" i="3"/>
  <c r="H117" i="3"/>
  <c r="I117" i="3"/>
  <c r="J117" i="3"/>
  <c r="F117" i="3"/>
  <c r="E117" i="3"/>
  <c r="D117" i="3"/>
  <c r="C117" i="3"/>
  <c r="B117" i="3"/>
  <c r="A116" i="3"/>
  <c r="G116" i="3"/>
  <c r="H116" i="3"/>
  <c r="I116" i="3"/>
  <c r="J116" i="3"/>
  <c r="F116" i="3"/>
  <c r="E116" i="3"/>
  <c r="D116" i="3"/>
  <c r="C116" i="3"/>
  <c r="B116" i="3"/>
  <c r="A115" i="3"/>
  <c r="G115" i="3"/>
  <c r="H115" i="3"/>
  <c r="I115" i="3"/>
  <c r="J115" i="3"/>
  <c r="F115" i="3"/>
  <c r="E115" i="3"/>
  <c r="D115" i="3"/>
  <c r="C115" i="3"/>
  <c r="B115" i="3"/>
  <c r="A114" i="3"/>
  <c r="G114" i="3"/>
  <c r="H114" i="3"/>
  <c r="I114" i="3"/>
  <c r="J114" i="3"/>
  <c r="F114" i="3"/>
  <c r="E114" i="3"/>
  <c r="D114" i="3"/>
  <c r="C114" i="3"/>
  <c r="B114" i="3"/>
  <c r="A113" i="3"/>
  <c r="G113" i="3"/>
  <c r="H113" i="3"/>
  <c r="I113" i="3"/>
  <c r="J113" i="3"/>
  <c r="F113" i="3"/>
  <c r="E113" i="3"/>
  <c r="D113" i="3"/>
  <c r="C113" i="3"/>
  <c r="B113" i="3"/>
  <c r="A112" i="3"/>
  <c r="G112" i="3"/>
  <c r="H112" i="3"/>
  <c r="I112" i="3"/>
  <c r="J112" i="3"/>
  <c r="F112" i="3"/>
  <c r="E112" i="3"/>
  <c r="D112" i="3"/>
  <c r="C112" i="3"/>
  <c r="B112" i="3"/>
  <c r="A111" i="3"/>
  <c r="G111" i="3"/>
  <c r="H111" i="3"/>
  <c r="I111" i="3"/>
  <c r="J111" i="3"/>
  <c r="F111" i="3"/>
  <c r="E111" i="3"/>
  <c r="D111" i="3"/>
  <c r="C111" i="3"/>
  <c r="B111" i="3"/>
  <c r="A110" i="3"/>
  <c r="G110" i="3"/>
  <c r="H110" i="3"/>
  <c r="I110" i="3"/>
  <c r="J110" i="3"/>
  <c r="F110" i="3"/>
  <c r="E110" i="3"/>
  <c r="D110" i="3"/>
  <c r="C110" i="3"/>
  <c r="B110" i="3"/>
  <c r="A109" i="3"/>
  <c r="G109" i="3"/>
  <c r="H109" i="3"/>
  <c r="I109" i="3"/>
  <c r="J109" i="3"/>
  <c r="F109" i="3"/>
  <c r="E109" i="3"/>
  <c r="D109" i="3"/>
  <c r="C109" i="3"/>
  <c r="B109" i="3"/>
  <c r="A108" i="3"/>
  <c r="G108" i="3"/>
  <c r="H108" i="3"/>
  <c r="I108" i="3"/>
  <c r="J108" i="3"/>
  <c r="F108" i="3"/>
  <c r="E108" i="3"/>
  <c r="D108" i="3"/>
  <c r="C108" i="3"/>
  <c r="B108" i="3"/>
  <c r="A107" i="3"/>
  <c r="G107" i="3"/>
  <c r="H107" i="3"/>
  <c r="I107" i="3"/>
  <c r="J107" i="3"/>
  <c r="F107" i="3"/>
  <c r="E107" i="3"/>
  <c r="D107" i="3"/>
  <c r="C107" i="3"/>
  <c r="B107" i="3"/>
  <c r="A106" i="3"/>
  <c r="G106" i="3"/>
  <c r="H106" i="3"/>
  <c r="I106" i="3"/>
  <c r="J106" i="3"/>
  <c r="F106" i="3"/>
  <c r="E106" i="3"/>
  <c r="D106" i="3"/>
  <c r="C106" i="3"/>
  <c r="B106" i="3"/>
  <c r="A105" i="3"/>
  <c r="G105" i="3"/>
  <c r="H105" i="3"/>
  <c r="I105" i="3"/>
  <c r="J105" i="3"/>
  <c r="F105" i="3"/>
  <c r="E105" i="3"/>
  <c r="D105" i="3"/>
  <c r="C105" i="3"/>
  <c r="B105" i="3"/>
  <c r="A104" i="3"/>
  <c r="G104" i="3"/>
  <c r="H104" i="3"/>
  <c r="I104" i="3"/>
  <c r="J104" i="3"/>
  <c r="F104" i="3"/>
  <c r="E104" i="3"/>
  <c r="D104" i="3"/>
  <c r="C104" i="3"/>
  <c r="B104" i="3"/>
  <c r="A103" i="3"/>
  <c r="G103" i="3"/>
  <c r="H103" i="3"/>
  <c r="I103" i="3"/>
  <c r="J103" i="3"/>
  <c r="F103" i="3"/>
  <c r="E103" i="3"/>
  <c r="D103" i="3"/>
  <c r="C103" i="3"/>
  <c r="B103" i="3"/>
  <c r="A102" i="3"/>
  <c r="G102" i="3"/>
  <c r="H102" i="3"/>
  <c r="I102" i="3"/>
  <c r="J102" i="3"/>
  <c r="F102" i="3"/>
  <c r="E102" i="3"/>
  <c r="D102" i="3"/>
  <c r="C102" i="3"/>
  <c r="B102" i="3"/>
  <c r="A101" i="3"/>
  <c r="G101" i="3"/>
  <c r="H101" i="3"/>
  <c r="I101" i="3"/>
  <c r="J101" i="3"/>
  <c r="F101" i="3"/>
  <c r="E101" i="3"/>
  <c r="D101" i="3"/>
  <c r="C101" i="3"/>
  <c r="B101" i="3"/>
  <c r="A100" i="3"/>
  <c r="G100" i="3"/>
  <c r="H100" i="3"/>
  <c r="I100" i="3"/>
  <c r="J100" i="3"/>
  <c r="F100" i="3"/>
  <c r="E100" i="3"/>
  <c r="D100" i="3"/>
  <c r="C100" i="3"/>
  <c r="B100" i="3"/>
  <c r="A99" i="3"/>
  <c r="G99" i="3"/>
  <c r="H99" i="3"/>
  <c r="I99" i="3"/>
  <c r="J99" i="3"/>
  <c r="F99" i="3"/>
  <c r="E99" i="3"/>
  <c r="D99" i="3"/>
  <c r="C99" i="3"/>
  <c r="B99" i="3"/>
  <c r="A98" i="3"/>
  <c r="G98" i="3"/>
  <c r="H98" i="3"/>
  <c r="I98" i="3"/>
  <c r="J98" i="3"/>
  <c r="F98" i="3"/>
  <c r="E98" i="3"/>
  <c r="D98" i="3"/>
  <c r="C98" i="3"/>
  <c r="B98" i="3"/>
  <c r="A97" i="3"/>
  <c r="G97" i="3"/>
  <c r="H97" i="3"/>
  <c r="I97" i="3"/>
  <c r="J97" i="3"/>
  <c r="F97" i="3"/>
  <c r="E97" i="3"/>
  <c r="D97" i="3"/>
  <c r="C97" i="3"/>
  <c r="B97" i="3"/>
  <c r="A96" i="3"/>
  <c r="G96" i="3"/>
  <c r="H96" i="3"/>
  <c r="I96" i="3"/>
  <c r="J96" i="3"/>
  <c r="F96" i="3"/>
  <c r="E96" i="3"/>
  <c r="D96" i="3"/>
  <c r="C96" i="3"/>
  <c r="B96" i="3"/>
  <c r="A95" i="3"/>
  <c r="G95" i="3"/>
  <c r="H95" i="3"/>
  <c r="I95" i="3"/>
  <c r="J95" i="3"/>
  <c r="F95" i="3"/>
  <c r="E95" i="3"/>
  <c r="D95" i="3"/>
  <c r="C95" i="3"/>
  <c r="B95" i="3"/>
  <c r="A94" i="3"/>
  <c r="G94" i="3"/>
  <c r="H94" i="3"/>
  <c r="I94" i="3"/>
  <c r="J94" i="3"/>
  <c r="F94" i="3"/>
  <c r="E94" i="3"/>
  <c r="D94" i="3"/>
  <c r="C94" i="3"/>
  <c r="B94" i="3"/>
  <c r="A93" i="3"/>
  <c r="G93" i="3"/>
  <c r="H93" i="3"/>
  <c r="I93" i="3"/>
  <c r="J93" i="3"/>
  <c r="F93" i="3"/>
  <c r="E93" i="3"/>
  <c r="D93" i="3"/>
  <c r="C93" i="3"/>
  <c r="B93" i="3"/>
  <c r="A92" i="3"/>
  <c r="G92" i="3"/>
  <c r="H92" i="3"/>
  <c r="I92" i="3"/>
  <c r="J92" i="3"/>
  <c r="F92" i="3"/>
  <c r="E92" i="3"/>
  <c r="D92" i="3"/>
  <c r="C92" i="3"/>
  <c r="B92" i="3"/>
  <c r="A91" i="3"/>
  <c r="G91" i="3"/>
  <c r="H91" i="3"/>
  <c r="I91" i="3"/>
  <c r="J91" i="3"/>
  <c r="F91" i="3"/>
  <c r="E91" i="3"/>
  <c r="D91" i="3"/>
  <c r="C91" i="3"/>
  <c r="B91" i="3"/>
  <c r="A90" i="3"/>
  <c r="G90" i="3"/>
  <c r="H90" i="3"/>
  <c r="I90" i="3"/>
  <c r="J90" i="3"/>
  <c r="F90" i="3"/>
  <c r="E90" i="3"/>
  <c r="D90" i="3"/>
  <c r="C90" i="3"/>
  <c r="B90" i="3"/>
  <c r="A89" i="3"/>
  <c r="G89" i="3"/>
  <c r="H89" i="3"/>
  <c r="I89" i="3"/>
  <c r="J89" i="3"/>
  <c r="F89" i="3"/>
  <c r="E89" i="3"/>
  <c r="D89" i="3"/>
  <c r="C89" i="3"/>
  <c r="B89" i="3"/>
  <c r="A88" i="3"/>
  <c r="G88" i="3"/>
  <c r="H88" i="3"/>
  <c r="I88" i="3"/>
  <c r="J88" i="3"/>
  <c r="F88" i="3"/>
  <c r="E88" i="3"/>
  <c r="D88" i="3"/>
  <c r="C88" i="3"/>
  <c r="B88" i="3"/>
  <c r="A87" i="3"/>
  <c r="G87" i="3"/>
  <c r="H87" i="3"/>
  <c r="I87" i="3"/>
  <c r="J87" i="3"/>
  <c r="F87" i="3"/>
  <c r="E87" i="3"/>
  <c r="D87" i="3"/>
  <c r="C87" i="3"/>
  <c r="B87" i="3"/>
  <c r="A86" i="3"/>
  <c r="G86" i="3"/>
  <c r="H86" i="3"/>
  <c r="I86" i="3"/>
  <c r="J86" i="3"/>
  <c r="F86" i="3"/>
  <c r="E86" i="3"/>
  <c r="D86" i="3"/>
  <c r="C86" i="3"/>
  <c r="B86" i="3"/>
  <c r="A85" i="3"/>
  <c r="G85" i="3"/>
  <c r="H85" i="3"/>
  <c r="I85" i="3"/>
  <c r="J85" i="3"/>
  <c r="F85" i="3"/>
  <c r="E85" i="3"/>
  <c r="D85" i="3"/>
  <c r="C85" i="3"/>
  <c r="B85" i="3"/>
  <c r="A84" i="3"/>
  <c r="G84" i="3"/>
  <c r="H84" i="3"/>
  <c r="I84" i="3"/>
  <c r="J84" i="3"/>
  <c r="F84" i="3"/>
  <c r="E84" i="3"/>
  <c r="D84" i="3"/>
  <c r="C84" i="3"/>
  <c r="B84" i="3"/>
  <c r="A83" i="3"/>
  <c r="G83" i="3"/>
  <c r="H83" i="3"/>
  <c r="I83" i="3"/>
  <c r="J83" i="3"/>
  <c r="F83" i="3"/>
  <c r="E83" i="3"/>
  <c r="D83" i="3"/>
  <c r="C83" i="3"/>
  <c r="B83" i="3"/>
  <c r="A82" i="3"/>
  <c r="G82" i="3"/>
  <c r="H82" i="3"/>
  <c r="I82" i="3"/>
  <c r="J82" i="3"/>
  <c r="F82" i="3"/>
  <c r="E82" i="3"/>
  <c r="D82" i="3"/>
  <c r="C82" i="3"/>
  <c r="B82" i="3"/>
  <c r="A81" i="3"/>
  <c r="G81" i="3"/>
  <c r="H81" i="3"/>
  <c r="I81" i="3"/>
  <c r="J81" i="3"/>
  <c r="F81" i="3"/>
  <c r="E81" i="3"/>
  <c r="D81" i="3"/>
  <c r="C81" i="3"/>
  <c r="B81" i="3"/>
  <c r="A80" i="3"/>
  <c r="G80" i="3"/>
  <c r="H80" i="3"/>
  <c r="I80" i="3"/>
  <c r="J80" i="3"/>
  <c r="F80" i="3"/>
  <c r="E80" i="3"/>
  <c r="D80" i="3"/>
  <c r="C80" i="3"/>
  <c r="B80" i="3"/>
  <c r="A79" i="3"/>
  <c r="G79" i="3"/>
  <c r="H79" i="3"/>
  <c r="I79" i="3"/>
  <c r="J79" i="3"/>
  <c r="F79" i="3"/>
  <c r="E79" i="3"/>
  <c r="D79" i="3"/>
  <c r="C79" i="3"/>
  <c r="B79" i="3"/>
  <c r="A78" i="3"/>
  <c r="G78" i="3"/>
  <c r="H78" i="3"/>
  <c r="I78" i="3"/>
  <c r="J78" i="3"/>
  <c r="F78" i="3"/>
  <c r="E78" i="3"/>
  <c r="D78" i="3"/>
  <c r="C78" i="3"/>
  <c r="B78" i="3"/>
  <c r="A77" i="3"/>
  <c r="G77" i="3"/>
  <c r="H77" i="3"/>
  <c r="I77" i="3"/>
  <c r="J77" i="3"/>
  <c r="F77" i="3"/>
  <c r="E77" i="3"/>
  <c r="D77" i="3"/>
  <c r="C77" i="3"/>
  <c r="B77" i="3"/>
  <c r="A76" i="3"/>
  <c r="G76" i="3"/>
  <c r="H76" i="3"/>
  <c r="I76" i="3"/>
  <c r="J76" i="3"/>
  <c r="F76" i="3"/>
  <c r="E76" i="3"/>
  <c r="D76" i="3"/>
  <c r="C76" i="3"/>
  <c r="B76" i="3"/>
  <c r="A75" i="3"/>
  <c r="G75" i="3"/>
  <c r="H75" i="3"/>
  <c r="I75" i="3"/>
  <c r="J75" i="3"/>
  <c r="F75" i="3"/>
  <c r="E75" i="3"/>
  <c r="D75" i="3"/>
  <c r="C75" i="3"/>
  <c r="B75" i="3"/>
  <c r="A74" i="3"/>
  <c r="G74" i="3"/>
  <c r="H74" i="3"/>
  <c r="I74" i="3"/>
  <c r="J74" i="3"/>
  <c r="F74" i="3"/>
  <c r="E74" i="3"/>
  <c r="D74" i="3"/>
  <c r="C74" i="3"/>
  <c r="B74" i="3"/>
  <c r="A73" i="3"/>
  <c r="G73" i="3"/>
  <c r="H73" i="3"/>
  <c r="I73" i="3"/>
  <c r="J73" i="3"/>
  <c r="F73" i="3"/>
  <c r="E73" i="3"/>
  <c r="D73" i="3"/>
  <c r="C73" i="3"/>
  <c r="B73" i="3"/>
  <c r="A72" i="3"/>
  <c r="G72" i="3"/>
  <c r="H72" i="3"/>
  <c r="I72" i="3"/>
  <c r="J72" i="3"/>
  <c r="F72" i="3"/>
  <c r="E72" i="3"/>
  <c r="D72" i="3"/>
  <c r="C72" i="3"/>
  <c r="B72" i="3"/>
  <c r="A71" i="3"/>
  <c r="G71" i="3"/>
  <c r="H71" i="3"/>
  <c r="I71" i="3"/>
  <c r="J71" i="3"/>
  <c r="F71" i="3"/>
  <c r="E71" i="3"/>
  <c r="D71" i="3"/>
  <c r="C71" i="3"/>
  <c r="B71" i="3"/>
  <c r="A70" i="3"/>
  <c r="G70" i="3"/>
  <c r="H70" i="3"/>
  <c r="I70" i="3"/>
  <c r="J70" i="3"/>
  <c r="F70" i="3"/>
  <c r="E70" i="3"/>
  <c r="D70" i="3"/>
  <c r="C70" i="3"/>
  <c r="B70" i="3"/>
  <c r="A69" i="3"/>
  <c r="G69" i="3"/>
  <c r="H69" i="3"/>
  <c r="I69" i="3"/>
  <c r="J69" i="3"/>
  <c r="F69" i="3"/>
  <c r="E69" i="3"/>
  <c r="D69" i="3"/>
  <c r="C69" i="3"/>
  <c r="B69" i="3"/>
  <c r="A68" i="3"/>
  <c r="G68" i="3"/>
  <c r="H68" i="3"/>
  <c r="I68" i="3"/>
  <c r="J68" i="3"/>
  <c r="F68" i="3"/>
  <c r="E68" i="3"/>
  <c r="D68" i="3"/>
  <c r="C68" i="3"/>
  <c r="B68" i="3"/>
  <c r="A67" i="3"/>
  <c r="G67" i="3"/>
  <c r="H67" i="3"/>
  <c r="I67" i="3"/>
  <c r="J67" i="3"/>
  <c r="F67" i="3"/>
  <c r="E67" i="3"/>
  <c r="D67" i="3"/>
  <c r="C67" i="3"/>
  <c r="B67" i="3"/>
  <c r="A66" i="3"/>
  <c r="G66" i="3"/>
  <c r="H66" i="3"/>
  <c r="I66" i="3"/>
  <c r="J66" i="3"/>
  <c r="F66" i="3"/>
  <c r="E66" i="3"/>
  <c r="D66" i="3"/>
  <c r="C66" i="3"/>
  <c r="B66" i="3"/>
  <c r="A65" i="3"/>
  <c r="G65" i="3"/>
  <c r="H65" i="3"/>
  <c r="I65" i="3"/>
  <c r="J65" i="3"/>
  <c r="F65" i="3"/>
  <c r="E65" i="3"/>
  <c r="D65" i="3"/>
  <c r="C65" i="3"/>
  <c r="B65" i="3"/>
  <c r="A64" i="3"/>
  <c r="G64" i="3"/>
  <c r="H64" i="3"/>
  <c r="I64" i="3"/>
  <c r="J64" i="3"/>
  <c r="F64" i="3"/>
  <c r="E64" i="3"/>
  <c r="D64" i="3"/>
  <c r="C64" i="3"/>
  <c r="B64" i="3"/>
  <c r="A63" i="3"/>
  <c r="G63" i="3"/>
  <c r="H63" i="3"/>
  <c r="I63" i="3"/>
  <c r="J63" i="3"/>
  <c r="F63" i="3"/>
  <c r="E63" i="3"/>
  <c r="D63" i="3"/>
  <c r="C63" i="3"/>
  <c r="B63" i="3"/>
  <c r="A62" i="3"/>
  <c r="G62" i="3"/>
  <c r="H62" i="3"/>
  <c r="I62" i="3"/>
  <c r="J62" i="3"/>
  <c r="F62" i="3"/>
  <c r="E62" i="3"/>
  <c r="D62" i="3"/>
  <c r="C62" i="3"/>
  <c r="B62" i="3"/>
  <c r="A61" i="3"/>
  <c r="G61" i="3"/>
  <c r="H61" i="3"/>
  <c r="I61" i="3"/>
  <c r="J61" i="3"/>
  <c r="F61" i="3"/>
  <c r="E61" i="3"/>
  <c r="D61" i="3"/>
  <c r="C61" i="3"/>
  <c r="B61" i="3"/>
  <c r="A60" i="3"/>
  <c r="G60" i="3"/>
  <c r="H60" i="3"/>
  <c r="I60" i="3"/>
  <c r="J60" i="3"/>
  <c r="F60" i="3"/>
  <c r="E60" i="3"/>
  <c r="D60" i="3"/>
  <c r="C60" i="3"/>
  <c r="B60" i="3"/>
  <c r="A59" i="3"/>
  <c r="G59" i="3"/>
  <c r="H59" i="3"/>
  <c r="I59" i="3"/>
  <c r="J59" i="3"/>
  <c r="F59" i="3"/>
  <c r="E59" i="3"/>
  <c r="D59" i="3"/>
  <c r="C59" i="3"/>
  <c r="B59" i="3"/>
  <c r="A58" i="3"/>
  <c r="G58" i="3"/>
  <c r="H58" i="3"/>
  <c r="I58" i="3"/>
  <c r="J58" i="3"/>
  <c r="F58" i="3"/>
  <c r="E58" i="3"/>
  <c r="D58" i="3"/>
  <c r="C58" i="3"/>
  <c r="B58" i="3"/>
  <c r="A57" i="3"/>
  <c r="G57" i="3"/>
  <c r="H57" i="3"/>
  <c r="I57" i="3"/>
  <c r="J57" i="3"/>
  <c r="F57" i="3"/>
  <c r="E57" i="3"/>
  <c r="D57" i="3"/>
  <c r="C57" i="3"/>
  <c r="B57" i="3"/>
  <c r="A56" i="3"/>
  <c r="G56" i="3"/>
  <c r="H56" i="3"/>
  <c r="I56" i="3"/>
  <c r="J56" i="3"/>
  <c r="F56" i="3"/>
  <c r="E56" i="3"/>
  <c r="D56" i="3"/>
  <c r="C56" i="3"/>
  <c r="B56" i="3"/>
  <c r="A55" i="3"/>
  <c r="G55" i="3"/>
  <c r="H55" i="3"/>
  <c r="I55" i="3"/>
  <c r="J55" i="3"/>
  <c r="F55" i="3"/>
  <c r="E55" i="3"/>
  <c r="D55" i="3"/>
  <c r="C55" i="3"/>
  <c r="B55" i="3"/>
  <c r="A54" i="3"/>
  <c r="G54" i="3"/>
  <c r="H54" i="3"/>
  <c r="I54" i="3"/>
  <c r="J54" i="3"/>
  <c r="F54" i="3"/>
  <c r="E54" i="3"/>
  <c r="D54" i="3"/>
  <c r="C54" i="3"/>
  <c r="B54" i="3"/>
  <c r="A53" i="3"/>
  <c r="G53" i="3"/>
  <c r="H53" i="3"/>
  <c r="I53" i="3"/>
  <c r="J53" i="3"/>
  <c r="F53" i="3"/>
  <c r="E53" i="3"/>
  <c r="D53" i="3"/>
  <c r="C53" i="3"/>
  <c r="B53" i="3"/>
  <c r="A52" i="3"/>
  <c r="G52" i="3"/>
  <c r="H52" i="3"/>
  <c r="I52" i="3"/>
  <c r="J52" i="3"/>
  <c r="F52" i="3"/>
  <c r="E52" i="3"/>
  <c r="D52" i="3"/>
  <c r="C52" i="3"/>
  <c r="B52" i="3"/>
  <c r="A51" i="3"/>
  <c r="G51" i="3"/>
  <c r="H51" i="3"/>
  <c r="I51" i="3"/>
  <c r="J51" i="3"/>
  <c r="F51" i="3"/>
  <c r="E51" i="3"/>
  <c r="D51" i="3"/>
  <c r="C51" i="3"/>
  <c r="B51" i="3"/>
  <c r="A50" i="3"/>
  <c r="G50" i="3"/>
  <c r="H50" i="3"/>
  <c r="I50" i="3"/>
  <c r="J50" i="3"/>
  <c r="F50" i="3"/>
  <c r="E50" i="3"/>
  <c r="D50" i="3"/>
  <c r="C50" i="3"/>
  <c r="B50" i="3"/>
  <c r="A49" i="3"/>
  <c r="G49" i="3"/>
  <c r="H49" i="3"/>
  <c r="I49" i="3"/>
  <c r="J49" i="3"/>
  <c r="F49" i="3"/>
  <c r="E49" i="3"/>
  <c r="D49" i="3"/>
  <c r="C49" i="3"/>
  <c r="B49" i="3"/>
  <c r="A48" i="3"/>
  <c r="G48" i="3"/>
  <c r="H48" i="3"/>
  <c r="I48" i="3"/>
  <c r="J48" i="3"/>
  <c r="F48" i="3"/>
  <c r="E48" i="3"/>
  <c r="D48" i="3"/>
  <c r="C48" i="3"/>
  <c r="B48" i="3"/>
  <c r="A47" i="3"/>
  <c r="G47" i="3"/>
  <c r="H47" i="3"/>
  <c r="I47" i="3"/>
  <c r="J47" i="3"/>
  <c r="F47" i="3"/>
  <c r="E47" i="3"/>
  <c r="D47" i="3"/>
  <c r="C47" i="3"/>
  <c r="B47" i="3"/>
  <c r="A46" i="3"/>
  <c r="G46" i="3"/>
  <c r="H46" i="3"/>
  <c r="I46" i="3"/>
  <c r="J46" i="3"/>
  <c r="F46" i="3"/>
  <c r="E46" i="3"/>
  <c r="D46" i="3"/>
  <c r="C46" i="3"/>
  <c r="B46" i="3"/>
  <c r="A45" i="3"/>
  <c r="G45" i="3"/>
  <c r="H45" i="3"/>
  <c r="I45" i="3"/>
  <c r="J45" i="3"/>
  <c r="F45" i="3"/>
  <c r="E45" i="3"/>
  <c r="D45" i="3"/>
  <c r="C45" i="3"/>
  <c r="B45" i="3"/>
  <c r="A44" i="3"/>
  <c r="G44" i="3"/>
  <c r="H44" i="3"/>
  <c r="I44" i="3"/>
  <c r="J44" i="3"/>
  <c r="F44" i="3"/>
  <c r="E44" i="3"/>
  <c r="D44" i="3"/>
  <c r="C44" i="3"/>
  <c r="B44" i="3"/>
  <c r="A43" i="3"/>
  <c r="G43" i="3"/>
  <c r="H43" i="3"/>
  <c r="I43" i="3"/>
  <c r="J43" i="3"/>
  <c r="F43" i="3"/>
  <c r="E43" i="3"/>
  <c r="D43" i="3"/>
  <c r="C43" i="3"/>
  <c r="B43" i="3"/>
  <c r="A42" i="3"/>
  <c r="G42" i="3"/>
  <c r="H42" i="3"/>
  <c r="I42" i="3"/>
  <c r="J42" i="3"/>
  <c r="F42" i="3"/>
  <c r="E42" i="3"/>
  <c r="D42" i="3"/>
  <c r="C42" i="3"/>
  <c r="B42" i="3"/>
  <c r="A41" i="3"/>
  <c r="G41" i="3"/>
  <c r="H41" i="3"/>
  <c r="I41" i="3"/>
  <c r="J41" i="3"/>
  <c r="F41" i="3"/>
  <c r="E41" i="3"/>
  <c r="D41" i="3"/>
  <c r="C41" i="3"/>
  <c r="B41" i="3"/>
  <c r="A40" i="3"/>
  <c r="G40" i="3"/>
  <c r="H40" i="3"/>
  <c r="I40" i="3"/>
  <c r="J40" i="3"/>
  <c r="F40" i="3"/>
  <c r="E40" i="3"/>
  <c r="D40" i="3"/>
  <c r="C40" i="3"/>
  <c r="B40" i="3"/>
  <c r="A39" i="3"/>
  <c r="G39" i="3"/>
  <c r="H39" i="3"/>
  <c r="I39" i="3"/>
  <c r="J39" i="3"/>
  <c r="F39" i="3"/>
  <c r="E39" i="3"/>
  <c r="D39" i="3"/>
  <c r="C39" i="3"/>
  <c r="B39" i="3"/>
  <c r="A38" i="3"/>
  <c r="G38" i="3"/>
  <c r="H38" i="3"/>
  <c r="I38" i="3"/>
  <c r="J38" i="3"/>
  <c r="F38" i="3"/>
  <c r="E38" i="3"/>
  <c r="D38" i="3"/>
  <c r="C38" i="3"/>
  <c r="B38" i="3"/>
  <c r="A37" i="3"/>
  <c r="G37" i="3"/>
  <c r="H37" i="3"/>
  <c r="I37" i="3"/>
  <c r="J37" i="3"/>
  <c r="F37" i="3"/>
  <c r="E37" i="3"/>
  <c r="D37" i="3"/>
  <c r="C37" i="3"/>
  <c r="B37" i="3"/>
  <c r="A36" i="3"/>
  <c r="G36" i="3"/>
  <c r="H36" i="3"/>
  <c r="I36" i="3"/>
  <c r="J36" i="3"/>
  <c r="F36" i="3"/>
  <c r="E36" i="3"/>
  <c r="D36" i="3"/>
  <c r="C36" i="3"/>
  <c r="B36" i="3"/>
  <c r="A35" i="3"/>
  <c r="G35" i="3"/>
  <c r="H35" i="3"/>
  <c r="I35" i="3"/>
  <c r="J35" i="3"/>
  <c r="F35" i="3"/>
  <c r="E35" i="3"/>
  <c r="D35" i="3"/>
  <c r="C35" i="3"/>
  <c r="B35" i="3"/>
  <c r="A34" i="3"/>
  <c r="G34" i="3"/>
  <c r="H34" i="3"/>
  <c r="I34" i="3"/>
  <c r="J34" i="3"/>
  <c r="F34" i="3"/>
  <c r="E34" i="3"/>
  <c r="D34" i="3"/>
  <c r="C34" i="3"/>
  <c r="B34" i="3"/>
  <c r="A33" i="3"/>
  <c r="G33" i="3"/>
  <c r="H33" i="3"/>
  <c r="I33" i="3"/>
  <c r="J33" i="3"/>
  <c r="F33" i="3"/>
  <c r="E33" i="3"/>
  <c r="D33" i="3"/>
  <c r="C33" i="3"/>
  <c r="B33" i="3"/>
  <c r="A32" i="3"/>
  <c r="G32" i="3"/>
  <c r="H32" i="3"/>
  <c r="I32" i="3"/>
  <c r="J32" i="3"/>
  <c r="F32" i="3"/>
  <c r="E32" i="3"/>
  <c r="D32" i="3"/>
  <c r="C32" i="3"/>
  <c r="B32" i="3"/>
  <c r="A31" i="3"/>
  <c r="G31" i="3"/>
  <c r="H31" i="3"/>
  <c r="I31" i="3"/>
  <c r="J31" i="3"/>
  <c r="F31" i="3"/>
  <c r="E31" i="3"/>
  <c r="D31" i="3"/>
  <c r="C31" i="3"/>
  <c r="B31" i="3"/>
  <c r="A30" i="3"/>
  <c r="G30" i="3"/>
  <c r="H30" i="3"/>
  <c r="I30" i="3"/>
  <c r="J30" i="3"/>
  <c r="F30" i="3"/>
  <c r="E30" i="3"/>
  <c r="D30" i="3"/>
  <c r="C30" i="3"/>
  <c r="B30" i="3"/>
  <c r="A29" i="3"/>
  <c r="G29" i="3"/>
  <c r="H29" i="3"/>
  <c r="I29" i="3"/>
  <c r="J29" i="3"/>
  <c r="F29" i="3"/>
  <c r="E29" i="3"/>
  <c r="D29" i="3"/>
  <c r="C29" i="3"/>
  <c r="B29" i="3"/>
  <c r="A28" i="3"/>
  <c r="G28" i="3"/>
  <c r="H28" i="3"/>
  <c r="I28" i="3"/>
  <c r="J28" i="3"/>
  <c r="F28" i="3"/>
  <c r="E28" i="3"/>
  <c r="D28" i="3"/>
  <c r="C28" i="3"/>
  <c r="B28" i="3"/>
  <c r="A27" i="3"/>
  <c r="G27" i="3"/>
  <c r="H27" i="3"/>
  <c r="I27" i="3"/>
  <c r="J27" i="3"/>
  <c r="F27" i="3"/>
  <c r="E27" i="3"/>
  <c r="D27" i="3"/>
  <c r="C27" i="3"/>
  <c r="B27" i="3"/>
  <c r="A26" i="3"/>
  <c r="G26" i="3"/>
  <c r="H26" i="3"/>
  <c r="I26" i="3"/>
  <c r="J26" i="3"/>
  <c r="F26" i="3"/>
  <c r="E26" i="3"/>
  <c r="D26" i="3"/>
  <c r="C26" i="3"/>
  <c r="B26" i="3"/>
  <c r="A25" i="3"/>
  <c r="G25" i="3"/>
  <c r="H25" i="3"/>
  <c r="I25" i="3"/>
  <c r="J25" i="3"/>
  <c r="F25" i="3"/>
  <c r="E25" i="3"/>
  <c r="D25" i="3"/>
  <c r="C25" i="3"/>
  <c r="B25" i="3"/>
  <c r="A24" i="3"/>
  <c r="G24" i="3"/>
  <c r="H24" i="3"/>
  <c r="I24" i="3"/>
  <c r="J24" i="3"/>
  <c r="F24" i="3"/>
  <c r="E24" i="3"/>
  <c r="D24" i="3"/>
  <c r="C24" i="3"/>
  <c r="B24" i="3"/>
  <c r="A23" i="3"/>
  <c r="G23" i="3"/>
  <c r="H23" i="3"/>
  <c r="I23" i="3"/>
  <c r="J23" i="3"/>
  <c r="F23" i="3"/>
  <c r="E23" i="3"/>
  <c r="D23" i="3"/>
  <c r="C23" i="3"/>
  <c r="B23" i="3"/>
  <c r="A22" i="3"/>
  <c r="G22" i="3"/>
  <c r="H22" i="3"/>
  <c r="I22" i="3"/>
  <c r="J22" i="3"/>
  <c r="F22" i="3"/>
  <c r="E22" i="3"/>
  <c r="D22" i="3"/>
  <c r="C22" i="3"/>
  <c r="B22" i="3"/>
  <c r="A21" i="3"/>
  <c r="G21" i="3"/>
  <c r="H21" i="3"/>
  <c r="I21" i="3"/>
  <c r="J21" i="3"/>
  <c r="F21" i="3"/>
  <c r="E21" i="3"/>
  <c r="D21" i="3"/>
  <c r="C21" i="3"/>
  <c r="B21" i="3"/>
  <c r="A20" i="3"/>
  <c r="G20" i="3"/>
  <c r="H20" i="3"/>
  <c r="I20" i="3"/>
  <c r="J20" i="3"/>
  <c r="F20" i="3"/>
  <c r="E20" i="3"/>
  <c r="D20" i="3"/>
  <c r="C20" i="3"/>
  <c r="B20" i="3"/>
  <c r="A19" i="3"/>
  <c r="G19" i="3"/>
  <c r="H19" i="3"/>
  <c r="I19" i="3"/>
  <c r="J19" i="3"/>
  <c r="F19" i="3"/>
  <c r="E19" i="3"/>
  <c r="D19" i="3"/>
  <c r="C19" i="3"/>
  <c r="B19" i="3"/>
  <c r="A18" i="3"/>
  <c r="G18" i="3"/>
  <c r="H18" i="3"/>
  <c r="I18" i="3"/>
  <c r="J18" i="3"/>
  <c r="F18" i="3"/>
  <c r="E18" i="3"/>
  <c r="D18" i="3"/>
  <c r="C18" i="3"/>
  <c r="B18" i="3"/>
  <c r="A17" i="3"/>
  <c r="G17" i="3"/>
  <c r="H17" i="3"/>
  <c r="I17" i="3"/>
  <c r="J17" i="3"/>
  <c r="F17" i="3"/>
  <c r="E17" i="3"/>
  <c r="D17" i="3"/>
  <c r="C17" i="3"/>
  <c r="B17" i="3"/>
  <c r="A16" i="3"/>
  <c r="G16" i="3"/>
  <c r="H16" i="3"/>
  <c r="I16" i="3"/>
  <c r="J16" i="3"/>
  <c r="F16" i="3"/>
  <c r="E16" i="3"/>
  <c r="D16" i="3"/>
  <c r="C16" i="3"/>
  <c r="B16" i="3"/>
  <c r="A15" i="3"/>
  <c r="G15" i="3"/>
  <c r="H15" i="3"/>
  <c r="I15" i="3"/>
  <c r="J15" i="3"/>
  <c r="F15" i="3"/>
  <c r="E15" i="3"/>
  <c r="D15" i="3"/>
  <c r="C15" i="3"/>
  <c r="B15" i="3"/>
  <c r="A14" i="3"/>
  <c r="G14" i="3"/>
  <c r="H14" i="3"/>
  <c r="I14" i="3"/>
  <c r="J14" i="3"/>
  <c r="F14" i="3"/>
  <c r="E14" i="3"/>
  <c r="D14" i="3"/>
  <c r="C14" i="3"/>
  <c r="B14" i="3"/>
  <c r="A13" i="3"/>
  <c r="G13" i="3"/>
  <c r="H13" i="3"/>
  <c r="I13" i="3"/>
  <c r="J13" i="3"/>
  <c r="F13" i="3"/>
  <c r="E13" i="3"/>
  <c r="D13" i="3"/>
  <c r="C13" i="3"/>
  <c r="B13" i="3"/>
  <c r="A12" i="3"/>
  <c r="G12" i="3"/>
  <c r="H12" i="3"/>
  <c r="I12" i="3"/>
  <c r="J12" i="3"/>
  <c r="F12" i="3"/>
  <c r="E12" i="3"/>
  <c r="D12" i="3"/>
  <c r="C12" i="3"/>
  <c r="B12" i="3"/>
  <c r="A11" i="3"/>
  <c r="G11" i="3"/>
  <c r="H11" i="3"/>
  <c r="I11" i="3"/>
  <c r="J11" i="3"/>
  <c r="F11" i="3"/>
  <c r="E11" i="3"/>
  <c r="D11" i="3"/>
  <c r="C11" i="3"/>
  <c r="B11" i="3"/>
  <c r="A10" i="3"/>
  <c r="G10" i="3"/>
  <c r="H10" i="3"/>
  <c r="I10" i="3"/>
  <c r="J10" i="3"/>
  <c r="F10" i="3"/>
  <c r="E10" i="3"/>
  <c r="D10" i="3"/>
  <c r="C10" i="3"/>
  <c r="B10" i="3"/>
  <c r="A9" i="3"/>
  <c r="G9" i="3"/>
  <c r="H9" i="3"/>
  <c r="I9" i="3"/>
  <c r="J9" i="3"/>
  <c r="F9" i="3"/>
  <c r="E9" i="3"/>
  <c r="D9" i="3"/>
  <c r="C9" i="3"/>
  <c r="B9" i="3"/>
  <c r="A8" i="3"/>
  <c r="G8" i="3"/>
  <c r="H8" i="3"/>
  <c r="I8" i="3"/>
  <c r="J8" i="3"/>
  <c r="F8" i="3"/>
  <c r="E8" i="3"/>
  <c r="D8" i="3"/>
  <c r="C8" i="3"/>
  <c r="B8" i="3"/>
  <c r="A7" i="3"/>
  <c r="G7" i="3"/>
  <c r="H7" i="3"/>
  <c r="I7" i="3"/>
  <c r="J7" i="3"/>
  <c r="F7" i="3"/>
  <c r="E7" i="3"/>
  <c r="D7" i="3"/>
  <c r="C7" i="3"/>
  <c r="B7" i="3"/>
  <c r="A6" i="3"/>
  <c r="G6" i="3"/>
  <c r="H6" i="3"/>
  <c r="I6" i="3"/>
  <c r="J6" i="3"/>
  <c r="F6" i="3"/>
  <c r="E6" i="3"/>
  <c r="D6" i="3"/>
  <c r="C6" i="3"/>
  <c r="B6" i="3"/>
  <c r="A5" i="3"/>
  <c r="G5" i="3"/>
  <c r="H5" i="3"/>
  <c r="I5" i="3"/>
  <c r="J5" i="3"/>
  <c r="I5" i="2"/>
  <c r="F5" i="3"/>
  <c r="E5" i="3"/>
  <c r="D5" i="3"/>
  <c r="C5" i="3"/>
  <c r="B5" i="3"/>
  <c r="I1500" i="2"/>
  <c r="F1500" i="2"/>
  <c r="E1500" i="2"/>
  <c r="C1500" i="2"/>
  <c r="A1500" i="2"/>
  <c r="I1499" i="2"/>
  <c r="F1499" i="2"/>
  <c r="E1499" i="2"/>
  <c r="C1499" i="2"/>
  <c r="A1499" i="2"/>
  <c r="I1498" i="2"/>
  <c r="F1498" i="2"/>
  <c r="E1498" i="2"/>
  <c r="C1498" i="2"/>
  <c r="A1498" i="2"/>
  <c r="I1497" i="2"/>
  <c r="F1497" i="2"/>
  <c r="E1497" i="2"/>
  <c r="C1497" i="2"/>
  <c r="A1497" i="2"/>
  <c r="I1496" i="2"/>
  <c r="F1496" i="2"/>
  <c r="E1496" i="2"/>
  <c r="C1496" i="2"/>
  <c r="A1496" i="2"/>
  <c r="I1495" i="2"/>
  <c r="F1495" i="2"/>
  <c r="E1495" i="2"/>
  <c r="C1495" i="2"/>
  <c r="A1495" i="2"/>
  <c r="I1494" i="2"/>
  <c r="F1494" i="2"/>
  <c r="E1494" i="2"/>
  <c r="C1494" i="2"/>
  <c r="A1494" i="2"/>
  <c r="I1493" i="2"/>
  <c r="F1493" i="2"/>
  <c r="E1493" i="2"/>
  <c r="C1493" i="2"/>
  <c r="A1493" i="2"/>
  <c r="I1492" i="2"/>
  <c r="F1492" i="2"/>
  <c r="E1492" i="2"/>
  <c r="C1492" i="2"/>
  <c r="A1492" i="2"/>
  <c r="I1491" i="2"/>
  <c r="F1491" i="2"/>
  <c r="E1491" i="2"/>
  <c r="C1491" i="2"/>
  <c r="A1491" i="2"/>
  <c r="I1490" i="2"/>
  <c r="F1490" i="2"/>
  <c r="E1490" i="2"/>
  <c r="C1490" i="2"/>
  <c r="A1490" i="2"/>
  <c r="I1489" i="2"/>
  <c r="F1489" i="2"/>
  <c r="E1489" i="2"/>
  <c r="C1489" i="2"/>
  <c r="A1489" i="2"/>
  <c r="I1488" i="2"/>
  <c r="F1488" i="2"/>
  <c r="E1488" i="2"/>
  <c r="C1488" i="2"/>
  <c r="A1488" i="2"/>
  <c r="I1487" i="2"/>
  <c r="F1487" i="2"/>
  <c r="E1487" i="2"/>
  <c r="C1487" i="2"/>
  <c r="A1487" i="2"/>
  <c r="I1486" i="2"/>
  <c r="F1486" i="2"/>
  <c r="E1486" i="2"/>
  <c r="C1486" i="2"/>
  <c r="A1486" i="2"/>
  <c r="I1485" i="2"/>
  <c r="F1485" i="2"/>
  <c r="E1485" i="2"/>
  <c r="C1485" i="2"/>
  <c r="A1485" i="2"/>
  <c r="I1484" i="2"/>
  <c r="F1484" i="2"/>
  <c r="E1484" i="2"/>
  <c r="C1484" i="2"/>
  <c r="A1484" i="2"/>
  <c r="I1483" i="2"/>
  <c r="F1483" i="2"/>
  <c r="E1483" i="2"/>
  <c r="C1483" i="2"/>
  <c r="A1483" i="2"/>
  <c r="I1482" i="2"/>
  <c r="F1482" i="2"/>
  <c r="E1482" i="2"/>
  <c r="C1482" i="2"/>
  <c r="A1482" i="2"/>
  <c r="I1481" i="2"/>
  <c r="F1481" i="2"/>
  <c r="E1481" i="2"/>
  <c r="C1481" i="2"/>
  <c r="A1481" i="2"/>
  <c r="I1480" i="2"/>
  <c r="F1480" i="2"/>
  <c r="E1480" i="2"/>
  <c r="C1480" i="2"/>
  <c r="A1480" i="2"/>
  <c r="I1479" i="2"/>
  <c r="F1479" i="2"/>
  <c r="E1479" i="2"/>
  <c r="C1479" i="2"/>
  <c r="A1479" i="2"/>
  <c r="I1478" i="2"/>
  <c r="F1478" i="2"/>
  <c r="E1478" i="2"/>
  <c r="C1478" i="2"/>
  <c r="A1478" i="2"/>
  <c r="I1477" i="2"/>
  <c r="F1477" i="2"/>
  <c r="E1477" i="2"/>
  <c r="C1477" i="2"/>
  <c r="A1477" i="2"/>
  <c r="I1476" i="2"/>
  <c r="F1476" i="2"/>
  <c r="E1476" i="2"/>
  <c r="C1476" i="2"/>
  <c r="A1476" i="2"/>
  <c r="I1475" i="2"/>
  <c r="F1475" i="2"/>
  <c r="E1475" i="2"/>
  <c r="C1475" i="2"/>
  <c r="A1475" i="2"/>
  <c r="I1474" i="2"/>
  <c r="F1474" i="2"/>
  <c r="E1474" i="2"/>
  <c r="C1474" i="2"/>
  <c r="A1474" i="2"/>
  <c r="I1473" i="2"/>
  <c r="F1473" i="2"/>
  <c r="E1473" i="2"/>
  <c r="C1473" i="2"/>
  <c r="A1473" i="2"/>
  <c r="I1472" i="2"/>
  <c r="F1472" i="2"/>
  <c r="E1472" i="2"/>
  <c r="C1472" i="2"/>
  <c r="A1472" i="2"/>
  <c r="I1471" i="2"/>
  <c r="F1471" i="2"/>
  <c r="E1471" i="2"/>
  <c r="C1471" i="2"/>
  <c r="A1471" i="2"/>
  <c r="I1470" i="2"/>
  <c r="F1470" i="2"/>
  <c r="E1470" i="2"/>
  <c r="C1470" i="2"/>
  <c r="A1470" i="2"/>
  <c r="I1469" i="2"/>
  <c r="F1469" i="2"/>
  <c r="E1469" i="2"/>
  <c r="C1469" i="2"/>
  <c r="A1469" i="2"/>
  <c r="I1468" i="2"/>
  <c r="F1468" i="2"/>
  <c r="E1468" i="2"/>
  <c r="C1468" i="2"/>
  <c r="A1468" i="2"/>
  <c r="I1467" i="2"/>
  <c r="F1467" i="2"/>
  <c r="E1467" i="2"/>
  <c r="C1467" i="2"/>
  <c r="A1467" i="2"/>
  <c r="I1466" i="2"/>
  <c r="F1466" i="2"/>
  <c r="E1466" i="2"/>
  <c r="C1466" i="2"/>
  <c r="A1466" i="2"/>
  <c r="I1465" i="2"/>
  <c r="F1465" i="2"/>
  <c r="E1465" i="2"/>
  <c r="C1465" i="2"/>
  <c r="A1465" i="2"/>
  <c r="I1464" i="2"/>
  <c r="F1464" i="2"/>
  <c r="E1464" i="2"/>
  <c r="C1464" i="2"/>
  <c r="A1464" i="2"/>
  <c r="I1463" i="2"/>
  <c r="F1463" i="2"/>
  <c r="E1463" i="2"/>
  <c r="C1463" i="2"/>
  <c r="A1463" i="2"/>
  <c r="I1462" i="2"/>
  <c r="F1462" i="2"/>
  <c r="E1462" i="2"/>
  <c r="C1462" i="2"/>
  <c r="A1462" i="2"/>
  <c r="I1461" i="2"/>
  <c r="F1461" i="2"/>
  <c r="E1461" i="2"/>
  <c r="C1461" i="2"/>
  <c r="A1461" i="2"/>
  <c r="I1460" i="2"/>
  <c r="F1460" i="2"/>
  <c r="E1460" i="2"/>
  <c r="C1460" i="2"/>
  <c r="A1460" i="2"/>
  <c r="I1459" i="2"/>
  <c r="F1459" i="2"/>
  <c r="E1459" i="2"/>
  <c r="C1459" i="2"/>
  <c r="A1459" i="2"/>
  <c r="I1458" i="2"/>
  <c r="F1458" i="2"/>
  <c r="E1458" i="2"/>
  <c r="C1458" i="2"/>
  <c r="A1458" i="2"/>
  <c r="I1457" i="2"/>
  <c r="F1457" i="2"/>
  <c r="E1457" i="2"/>
  <c r="C1457" i="2"/>
  <c r="A1457" i="2"/>
  <c r="I1456" i="2"/>
  <c r="F1456" i="2"/>
  <c r="E1456" i="2"/>
  <c r="C1456" i="2"/>
  <c r="A1456" i="2"/>
  <c r="I1455" i="2"/>
  <c r="F1455" i="2"/>
  <c r="E1455" i="2"/>
  <c r="C1455" i="2"/>
  <c r="A1455" i="2"/>
  <c r="I1454" i="2"/>
  <c r="F1454" i="2"/>
  <c r="E1454" i="2"/>
  <c r="C1454" i="2"/>
  <c r="A1454" i="2"/>
  <c r="I1453" i="2"/>
  <c r="F1453" i="2"/>
  <c r="E1453" i="2"/>
  <c r="C1453" i="2"/>
  <c r="A1453" i="2"/>
  <c r="I1452" i="2"/>
  <c r="F1452" i="2"/>
  <c r="E1452" i="2"/>
  <c r="C1452" i="2"/>
  <c r="A1452" i="2"/>
  <c r="I1451" i="2"/>
  <c r="F1451" i="2"/>
  <c r="E1451" i="2"/>
  <c r="C1451" i="2"/>
  <c r="A1451" i="2"/>
  <c r="I1450" i="2"/>
  <c r="F1450" i="2"/>
  <c r="E1450" i="2"/>
  <c r="C1450" i="2"/>
  <c r="A1450" i="2"/>
  <c r="I1449" i="2"/>
  <c r="F1449" i="2"/>
  <c r="E1449" i="2"/>
  <c r="C1449" i="2"/>
  <c r="A1449" i="2"/>
  <c r="I1448" i="2"/>
  <c r="F1448" i="2"/>
  <c r="E1448" i="2"/>
  <c r="C1448" i="2"/>
  <c r="A1448" i="2"/>
  <c r="I1447" i="2"/>
  <c r="F1447" i="2"/>
  <c r="E1447" i="2"/>
  <c r="C1447" i="2"/>
  <c r="A1447" i="2"/>
  <c r="I1446" i="2"/>
  <c r="F1446" i="2"/>
  <c r="E1446" i="2"/>
  <c r="C1446" i="2"/>
  <c r="A1446" i="2"/>
  <c r="I1445" i="2"/>
  <c r="F1445" i="2"/>
  <c r="E1445" i="2"/>
  <c r="C1445" i="2"/>
  <c r="A1445" i="2"/>
  <c r="I1444" i="2"/>
  <c r="F1444" i="2"/>
  <c r="E1444" i="2"/>
  <c r="C1444" i="2"/>
  <c r="A1444" i="2"/>
  <c r="I1443" i="2"/>
  <c r="F1443" i="2"/>
  <c r="E1443" i="2"/>
  <c r="C1443" i="2"/>
  <c r="A1443" i="2"/>
  <c r="I1442" i="2"/>
  <c r="F1442" i="2"/>
  <c r="E1442" i="2"/>
  <c r="C1442" i="2"/>
  <c r="A1442" i="2"/>
  <c r="I1441" i="2"/>
  <c r="F1441" i="2"/>
  <c r="E1441" i="2"/>
  <c r="C1441" i="2"/>
  <c r="A1441" i="2"/>
  <c r="I1440" i="2"/>
  <c r="F1440" i="2"/>
  <c r="E1440" i="2"/>
  <c r="C1440" i="2"/>
  <c r="A1440" i="2"/>
  <c r="I1439" i="2"/>
  <c r="F1439" i="2"/>
  <c r="E1439" i="2"/>
  <c r="C1439" i="2"/>
  <c r="A1439" i="2"/>
  <c r="I1438" i="2"/>
  <c r="F1438" i="2"/>
  <c r="E1438" i="2"/>
  <c r="C1438" i="2"/>
  <c r="A1438" i="2"/>
  <c r="I1437" i="2"/>
  <c r="F1437" i="2"/>
  <c r="E1437" i="2"/>
  <c r="C1437" i="2"/>
  <c r="A1437" i="2"/>
  <c r="I1436" i="2"/>
  <c r="F1436" i="2"/>
  <c r="E1436" i="2"/>
  <c r="C1436" i="2"/>
  <c r="A1436" i="2"/>
  <c r="I1435" i="2"/>
  <c r="F1435" i="2"/>
  <c r="E1435" i="2"/>
  <c r="C1435" i="2"/>
  <c r="A1435" i="2"/>
  <c r="I1434" i="2"/>
  <c r="F1434" i="2"/>
  <c r="E1434" i="2"/>
  <c r="C1434" i="2"/>
  <c r="A1434" i="2"/>
  <c r="I1433" i="2"/>
  <c r="F1433" i="2"/>
  <c r="E1433" i="2"/>
  <c r="C1433" i="2"/>
  <c r="A1433" i="2"/>
  <c r="I1432" i="2"/>
  <c r="F1432" i="2"/>
  <c r="E1432" i="2"/>
  <c r="C1432" i="2"/>
  <c r="A1432" i="2"/>
  <c r="I1431" i="2"/>
  <c r="F1431" i="2"/>
  <c r="E1431" i="2"/>
  <c r="C1431" i="2"/>
  <c r="A1431" i="2"/>
  <c r="I1430" i="2"/>
  <c r="F1430" i="2"/>
  <c r="E1430" i="2"/>
  <c r="C1430" i="2"/>
  <c r="A1430" i="2"/>
  <c r="I1429" i="2"/>
  <c r="F1429" i="2"/>
  <c r="E1429" i="2"/>
  <c r="C1429" i="2"/>
  <c r="A1429" i="2"/>
  <c r="I1428" i="2"/>
  <c r="F1428" i="2"/>
  <c r="E1428" i="2"/>
  <c r="C1428" i="2"/>
  <c r="A1428" i="2"/>
  <c r="I1427" i="2"/>
  <c r="F1427" i="2"/>
  <c r="E1427" i="2"/>
  <c r="C1427" i="2"/>
  <c r="A1427" i="2"/>
  <c r="I1426" i="2"/>
  <c r="F1426" i="2"/>
  <c r="E1426" i="2"/>
  <c r="C1426" i="2"/>
  <c r="A1426" i="2"/>
  <c r="I1425" i="2"/>
  <c r="F1425" i="2"/>
  <c r="E1425" i="2"/>
  <c r="C1425" i="2"/>
  <c r="A1425" i="2"/>
  <c r="I1424" i="2"/>
  <c r="F1424" i="2"/>
  <c r="E1424" i="2"/>
  <c r="C1424" i="2"/>
  <c r="A1424" i="2"/>
  <c r="I1423" i="2"/>
  <c r="F1423" i="2"/>
  <c r="E1423" i="2"/>
  <c r="C1423" i="2"/>
  <c r="A1423" i="2"/>
  <c r="I1422" i="2"/>
  <c r="F1422" i="2"/>
  <c r="E1422" i="2"/>
  <c r="C1422" i="2"/>
  <c r="A1422" i="2"/>
  <c r="I1421" i="2"/>
  <c r="F1421" i="2"/>
  <c r="E1421" i="2"/>
  <c r="C1421" i="2"/>
  <c r="A1421" i="2"/>
  <c r="I1420" i="2"/>
  <c r="F1420" i="2"/>
  <c r="E1420" i="2"/>
  <c r="C1420" i="2"/>
  <c r="A1420" i="2"/>
  <c r="I1419" i="2"/>
  <c r="F1419" i="2"/>
  <c r="E1419" i="2"/>
  <c r="C1419" i="2"/>
  <c r="A1419" i="2"/>
  <c r="I1418" i="2"/>
  <c r="F1418" i="2"/>
  <c r="E1418" i="2"/>
  <c r="C1418" i="2"/>
  <c r="A1418" i="2"/>
  <c r="I1417" i="2"/>
  <c r="F1417" i="2"/>
  <c r="E1417" i="2"/>
  <c r="C1417" i="2"/>
  <c r="A1417" i="2"/>
  <c r="I1416" i="2"/>
  <c r="F1416" i="2"/>
  <c r="E1416" i="2"/>
  <c r="C1416" i="2"/>
  <c r="A1416" i="2"/>
  <c r="I1415" i="2"/>
  <c r="F1415" i="2"/>
  <c r="E1415" i="2"/>
  <c r="C1415" i="2"/>
  <c r="A1415" i="2"/>
  <c r="I1414" i="2"/>
  <c r="F1414" i="2"/>
  <c r="E1414" i="2"/>
  <c r="C1414" i="2"/>
  <c r="A1414" i="2"/>
  <c r="I1413" i="2"/>
  <c r="F1413" i="2"/>
  <c r="E1413" i="2"/>
  <c r="C1413" i="2"/>
  <c r="A1413" i="2"/>
  <c r="I1412" i="2"/>
  <c r="F1412" i="2"/>
  <c r="E1412" i="2"/>
  <c r="C1412" i="2"/>
  <c r="A1412" i="2"/>
  <c r="I1411" i="2"/>
  <c r="F1411" i="2"/>
  <c r="E1411" i="2"/>
  <c r="C1411" i="2"/>
  <c r="A1411" i="2"/>
  <c r="I1410" i="2"/>
  <c r="F1410" i="2"/>
  <c r="E1410" i="2"/>
  <c r="C1410" i="2"/>
  <c r="A1410" i="2"/>
  <c r="I1409" i="2"/>
  <c r="F1409" i="2"/>
  <c r="E1409" i="2"/>
  <c r="C1409" i="2"/>
  <c r="A1409" i="2"/>
  <c r="I1408" i="2"/>
  <c r="F1408" i="2"/>
  <c r="E1408" i="2"/>
  <c r="C1408" i="2"/>
  <c r="A1408" i="2"/>
  <c r="I1407" i="2"/>
  <c r="F1407" i="2"/>
  <c r="E1407" i="2"/>
  <c r="C1407" i="2"/>
  <c r="A1407" i="2"/>
  <c r="I1406" i="2"/>
  <c r="F1406" i="2"/>
  <c r="E1406" i="2"/>
  <c r="C1406" i="2"/>
  <c r="A1406" i="2"/>
  <c r="I1405" i="2"/>
  <c r="F1405" i="2"/>
  <c r="E1405" i="2"/>
  <c r="C1405" i="2"/>
  <c r="A1405" i="2"/>
  <c r="I1404" i="2"/>
  <c r="F1404" i="2"/>
  <c r="E1404" i="2"/>
  <c r="C1404" i="2"/>
  <c r="A1404" i="2"/>
  <c r="I1403" i="2"/>
  <c r="F1403" i="2"/>
  <c r="E1403" i="2"/>
  <c r="C1403" i="2"/>
  <c r="A1403" i="2"/>
  <c r="I1402" i="2"/>
  <c r="F1402" i="2"/>
  <c r="E1402" i="2"/>
  <c r="C1402" i="2"/>
  <c r="A1402" i="2"/>
  <c r="I1401" i="2"/>
  <c r="F1401" i="2"/>
  <c r="E1401" i="2"/>
  <c r="C1401" i="2"/>
  <c r="A1401" i="2"/>
  <c r="I1400" i="2"/>
  <c r="F1400" i="2"/>
  <c r="E1400" i="2"/>
  <c r="C1400" i="2"/>
  <c r="A1400" i="2"/>
  <c r="I1399" i="2"/>
  <c r="F1399" i="2"/>
  <c r="E1399" i="2"/>
  <c r="C1399" i="2"/>
  <c r="A1399" i="2"/>
  <c r="I1398" i="2"/>
  <c r="F1398" i="2"/>
  <c r="E1398" i="2"/>
  <c r="C1398" i="2"/>
  <c r="A1398" i="2"/>
  <c r="I1397" i="2"/>
  <c r="F1397" i="2"/>
  <c r="E1397" i="2"/>
  <c r="C1397" i="2"/>
  <c r="A1397" i="2"/>
  <c r="I1396" i="2"/>
  <c r="F1396" i="2"/>
  <c r="E1396" i="2"/>
  <c r="C1396" i="2"/>
  <c r="A1396" i="2"/>
  <c r="I1395" i="2"/>
  <c r="F1395" i="2"/>
  <c r="E1395" i="2"/>
  <c r="C1395" i="2"/>
  <c r="A1395" i="2"/>
  <c r="I1394" i="2"/>
  <c r="F1394" i="2"/>
  <c r="E1394" i="2"/>
  <c r="C1394" i="2"/>
  <c r="A1394" i="2"/>
  <c r="I1393" i="2"/>
  <c r="F1393" i="2"/>
  <c r="E1393" i="2"/>
  <c r="C1393" i="2"/>
  <c r="A1393" i="2"/>
  <c r="I1392" i="2"/>
  <c r="F1392" i="2"/>
  <c r="E1392" i="2"/>
  <c r="C1392" i="2"/>
  <c r="A1392" i="2"/>
  <c r="I1391" i="2"/>
  <c r="F1391" i="2"/>
  <c r="E1391" i="2"/>
  <c r="C1391" i="2"/>
  <c r="A1391" i="2"/>
  <c r="I1390" i="2"/>
  <c r="F1390" i="2"/>
  <c r="E1390" i="2"/>
  <c r="C1390" i="2"/>
  <c r="A1390" i="2"/>
  <c r="I1389" i="2"/>
  <c r="F1389" i="2"/>
  <c r="E1389" i="2"/>
  <c r="C1389" i="2"/>
  <c r="A1389" i="2"/>
  <c r="I1388" i="2"/>
  <c r="F1388" i="2"/>
  <c r="E1388" i="2"/>
  <c r="C1388" i="2"/>
  <c r="A1388" i="2"/>
  <c r="I1387" i="2"/>
  <c r="F1387" i="2"/>
  <c r="E1387" i="2"/>
  <c r="C1387" i="2"/>
  <c r="A1387" i="2"/>
  <c r="I1386" i="2"/>
  <c r="F1386" i="2"/>
  <c r="E1386" i="2"/>
  <c r="C1386" i="2"/>
  <c r="A1386" i="2"/>
  <c r="I1385" i="2"/>
  <c r="F1385" i="2"/>
  <c r="E1385" i="2"/>
  <c r="C1385" i="2"/>
  <c r="A1385" i="2"/>
  <c r="I1384" i="2"/>
  <c r="F1384" i="2"/>
  <c r="E1384" i="2"/>
  <c r="C1384" i="2"/>
  <c r="A1384" i="2"/>
  <c r="I1383" i="2"/>
  <c r="F1383" i="2"/>
  <c r="E1383" i="2"/>
  <c r="C1383" i="2"/>
  <c r="A1383" i="2"/>
  <c r="I1382" i="2"/>
  <c r="F1382" i="2"/>
  <c r="E1382" i="2"/>
  <c r="C1382" i="2"/>
  <c r="A1382" i="2"/>
  <c r="I1381" i="2"/>
  <c r="F1381" i="2"/>
  <c r="E1381" i="2"/>
  <c r="C1381" i="2"/>
  <c r="A1381" i="2"/>
  <c r="I1380" i="2"/>
  <c r="F1380" i="2"/>
  <c r="E1380" i="2"/>
  <c r="C1380" i="2"/>
  <c r="A1380" i="2"/>
  <c r="I1379" i="2"/>
  <c r="F1379" i="2"/>
  <c r="E1379" i="2"/>
  <c r="C1379" i="2"/>
  <c r="A1379" i="2"/>
  <c r="I1378" i="2"/>
  <c r="F1378" i="2"/>
  <c r="E1378" i="2"/>
  <c r="C1378" i="2"/>
  <c r="A1378" i="2"/>
  <c r="I1377" i="2"/>
  <c r="F1377" i="2"/>
  <c r="E1377" i="2"/>
  <c r="C1377" i="2"/>
  <c r="A1377" i="2"/>
  <c r="I1376" i="2"/>
  <c r="F1376" i="2"/>
  <c r="E1376" i="2"/>
  <c r="C1376" i="2"/>
  <c r="A1376" i="2"/>
  <c r="I1375" i="2"/>
  <c r="F1375" i="2"/>
  <c r="E1375" i="2"/>
  <c r="C1375" i="2"/>
  <c r="A1375" i="2"/>
  <c r="I1374" i="2"/>
  <c r="F1374" i="2"/>
  <c r="E1374" i="2"/>
  <c r="C1374" i="2"/>
  <c r="A1374" i="2"/>
  <c r="I1373" i="2"/>
  <c r="F1373" i="2"/>
  <c r="E1373" i="2"/>
  <c r="C1373" i="2"/>
  <c r="A1373" i="2"/>
  <c r="I1372" i="2"/>
  <c r="F1372" i="2"/>
  <c r="E1372" i="2"/>
  <c r="C1372" i="2"/>
  <c r="A1372" i="2"/>
  <c r="I1371" i="2"/>
  <c r="F1371" i="2"/>
  <c r="E1371" i="2"/>
  <c r="C1371" i="2"/>
  <c r="A1371" i="2"/>
  <c r="I1370" i="2"/>
  <c r="F1370" i="2"/>
  <c r="E1370" i="2"/>
  <c r="C1370" i="2"/>
  <c r="A1370" i="2"/>
  <c r="I1369" i="2"/>
  <c r="F1369" i="2"/>
  <c r="E1369" i="2"/>
  <c r="C1369" i="2"/>
  <c r="A1369" i="2"/>
  <c r="I1368" i="2"/>
  <c r="F1368" i="2"/>
  <c r="E1368" i="2"/>
  <c r="C1368" i="2"/>
  <c r="A1368" i="2"/>
  <c r="I1367" i="2"/>
  <c r="F1367" i="2"/>
  <c r="E1367" i="2"/>
  <c r="C1367" i="2"/>
  <c r="A1367" i="2"/>
  <c r="I1366" i="2"/>
  <c r="F1366" i="2"/>
  <c r="E1366" i="2"/>
  <c r="C1366" i="2"/>
  <c r="A1366" i="2"/>
  <c r="I1365" i="2"/>
  <c r="F1365" i="2"/>
  <c r="E1365" i="2"/>
  <c r="C1365" i="2"/>
  <c r="A1365" i="2"/>
  <c r="I1364" i="2"/>
  <c r="F1364" i="2"/>
  <c r="E1364" i="2"/>
  <c r="C1364" i="2"/>
  <c r="A1364" i="2"/>
  <c r="I1363" i="2"/>
  <c r="F1363" i="2"/>
  <c r="E1363" i="2"/>
  <c r="C1363" i="2"/>
  <c r="A1363" i="2"/>
  <c r="I1362" i="2"/>
  <c r="F1362" i="2"/>
  <c r="E1362" i="2"/>
  <c r="C1362" i="2"/>
  <c r="A1362" i="2"/>
  <c r="I1361" i="2"/>
  <c r="F1361" i="2"/>
  <c r="E1361" i="2"/>
  <c r="C1361" i="2"/>
  <c r="A1361" i="2"/>
  <c r="I1360" i="2"/>
  <c r="F1360" i="2"/>
  <c r="E1360" i="2"/>
  <c r="C1360" i="2"/>
  <c r="A1360" i="2"/>
  <c r="I1359" i="2"/>
  <c r="F1359" i="2"/>
  <c r="E1359" i="2"/>
  <c r="C1359" i="2"/>
  <c r="A1359" i="2"/>
  <c r="I1358" i="2"/>
  <c r="F1358" i="2"/>
  <c r="E1358" i="2"/>
  <c r="C1358" i="2"/>
  <c r="A1358" i="2"/>
  <c r="I1357" i="2"/>
  <c r="F1357" i="2"/>
  <c r="E1357" i="2"/>
  <c r="C1357" i="2"/>
  <c r="A1357" i="2"/>
  <c r="I1356" i="2"/>
  <c r="F1356" i="2"/>
  <c r="E1356" i="2"/>
  <c r="C1356" i="2"/>
  <c r="A1356" i="2"/>
  <c r="I1355" i="2"/>
  <c r="F1355" i="2"/>
  <c r="E1355" i="2"/>
  <c r="C1355" i="2"/>
  <c r="A1355" i="2"/>
  <c r="I1354" i="2"/>
  <c r="F1354" i="2"/>
  <c r="E1354" i="2"/>
  <c r="C1354" i="2"/>
  <c r="A1354" i="2"/>
  <c r="I1353" i="2"/>
  <c r="F1353" i="2"/>
  <c r="E1353" i="2"/>
  <c r="C1353" i="2"/>
  <c r="A1353" i="2"/>
  <c r="I1352" i="2"/>
  <c r="F1352" i="2"/>
  <c r="E1352" i="2"/>
  <c r="C1352" i="2"/>
  <c r="A1352" i="2"/>
  <c r="I1351" i="2"/>
  <c r="F1351" i="2"/>
  <c r="E1351" i="2"/>
  <c r="C1351" i="2"/>
  <c r="A1351" i="2"/>
  <c r="I1350" i="2"/>
  <c r="F1350" i="2"/>
  <c r="E1350" i="2"/>
  <c r="C1350" i="2"/>
  <c r="A1350" i="2"/>
  <c r="I1349" i="2"/>
  <c r="F1349" i="2"/>
  <c r="E1349" i="2"/>
  <c r="C1349" i="2"/>
  <c r="A1349" i="2"/>
  <c r="I1348" i="2"/>
  <c r="F1348" i="2"/>
  <c r="E1348" i="2"/>
  <c r="C1348" i="2"/>
  <c r="A1348" i="2"/>
  <c r="I1347" i="2"/>
  <c r="F1347" i="2"/>
  <c r="E1347" i="2"/>
  <c r="C1347" i="2"/>
  <c r="A1347" i="2"/>
  <c r="I1346" i="2"/>
  <c r="F1346" i="2"/>
  <c r="E1346" i="2"/>
  <c r="C1346" i="2"/>
  <c r="A1346" i="2"/>
  <c r="I1345" i="2"/>
  <c r="F1345" i="2"/>
  <c r="E1345" i="2"/>
  <c r="C1345" i="2"/>
  <c r="A1345" i="2"/>
  <c r="I1344" i="2"/>
  <c r="F1344" i="2"/>
  <c r="E1344" i="2"/>
  <c r="C1344" i="2"/>
  <c r="A1344" i="2"/>
  <c r="I1343" i="2"/>
  <c r="F1343" i="2"/>
  <c r="E1343" i="2"/>
  <c r="C1343" i="2"/>
  <c r="A1343" i="2"/>
  <c r="I1342" i="2"/>
  <c r="F1342" i="2"/>
  <c r="E1342" i="2"/>
  <c r="C1342" i="2"/>
  <c r="A1342" i="2"/>
  <c r="I1341" i="2"/>
  <c r="F1341" i="2"/>
  <c r="E1341" i="2"/>
  <c r="C1341" i="2"/>
  <c r="A1341" i="2"/>
  <c r="I1340" i="2"/>
  <c r="F1340" i="2"/>
  <c r="E1340" i="2"/>
  <c r="C1340" i="2"/>
  <c r="A1340" i="2"/>
  <c r="I1339" i="2"/>
  <c r="F1339" i="2"/>
  <c r="E1339" i="2"/>
  <c r="C1339" i="2"/>
  <c r="A1339" i="2"/>
  <c r="I1338" i="2"/>
  <c r="F1338" i="2"/>
  <c r="E1338" i="2"/>
  <c r="C1338" i="2"/>
  <c r="A1338" i="2"/>
  <c r="I1337" i="2"/>
  <c r="F1337" i="2"/>
  <c r="E1337" i="2"/>
  <c r="C1337" i="2"/>
  <c r="A1337" i="2"/>
  <c r="I1336" i="2"/>
  <c r="F1336" i="2"/>
  <c r="E1336" i="2"/>
  <c r="C1336" i="2"/>
  <c r="A1336" i="2"/>
  <c r="I1335" i="2"/>
  <c r="F1335" i="2"/>
  <c r="E1335" i="2"/>
  <c r="C1335" i="2"/>
  <c r="A1335" i="2"/>
  <c r="I1334" i="2"/>
  <c r="F1334" i="2"/>
  <c r="E1334" i="2"/>
  <c r="C1334" i="2"/>
  <c r="A1334" i="2"/>
  <c r="I1333" i="2"/>
  <c r="F1333" i="2"/>
  <c r="E1333" i="2"/>
  <c r="C1333" i="2"/>
  <c r="A1333" i="2"/>
  <c r="I1332" i="2"/>
  <c r="F1332" i="2"/>
  <c r="E1332" i="2"/>
  <c r="C1332" i="2"/>
  <c r="A1332" i="2"/>
  <c r="I1331" i="2"/>
  <c r="F1331" i="2"/>
  <c r="E1331" i="2"/>
  <c r="C1331" i="2"/>
  <c r="A1331" i="2"/>
  <c r="I1330" i="2"/>
  <c r="F1330" i="2"/>
  <c r="E1330" i="2"/>
  <c r="C1330" i="2"/>
  <c r="A1330" i="2"/>
  <c r="I1329" i="2"/>
  <c r="F1329" i="2"/>
  <c r="E1329" i="2"/>
  <c r="C1329" i="2"/>
  <c r="A1329" i="2"/>
  <c r="I1328" i="2"/>
  <c r="F1328" i="2"/>
  <c r="E1328" i="2"/>
  <c r="C1328" i="2"/>
  <c r="A1328" i="2"/>
  <c r="I1327" i="2"/>
  <c r="F1327" i="2"/>
  <c r="E1327" i="2"/>
  <c r="C1327" i="2"/>
  <c r="A1327" i="2"/>
  <c r="I1326" i="2"/>
  <c r="F1326" i="2"/>
  <c r="E1326" i="2"/>
  <c r="C1326" i="2"/>
  <c r="A1326" i="2"/>
  <c r="I1325" i="2"/>
  <c r="F1325" i="2"/>
  <c r="E1325" i="2"/>
  <c r="C1325" i="2"/>
  <c r="A1325" i="2"/>
  <c r="I1324" i="2"/>
  <c r="F1324" i="2"/>
  <c r="E1324" i="2"/>
  <c r="C1324" i="2"/>
  <c r="A1324" i="2"/>
  <c r="I1323" i="2"/>
  <c r="F1323" i="2"/>
  <c r="E1323" i="2"/>
  <c r="C1323" i="2"/>
  <c r="A1323" i="2"/>
  <c r="I1322" i="2"/>
  <c r="F1322" i="2"/>
  <c r="E1322" i="2"/>
  <c r="C1322" i="2"/>
  <c r="A1322" i="2"/>
  <c r="I1321" i="2"/>
  <c r="F1321" i="2"/>
  <c r="E1321" i="2"/>
  <c r="C1321" i="2"/>
  <c r="A1321" i="2"/>
  <c r="I1320" i="2"/>
  <c r="F1320" i="2"/>
  <c r="E1320" i="2"/>
  <c r="C1320" i="2"/>
  <c r="A1320" i="2"/>
  <c r="I1319" i="2"/>
  <c r="F1319" i="2"/>
  <c r="E1319" i="2"/>
  <c r="C1319" i="2"/>
  <c r="A1319" i="2"/>
  <c r="I1318" i="2"/>
  <c r="F1318" i="2"/>
  <c r="E1318" i="2"/>
  <c r="C1318" i="2"/>
  <c r="A1318" i="2"/>
  <c r="I1317" i="2"/>
  <c r="F1317" i="2"/>
  <c r="E1317" i="2"/>
  <c r="C1317" i="2"/>
  <c r="A1317" i="2"/>
  <c r="I1316" i="2"/>
  <c r="F1316" i="2"/>
  <c r="E1316" i="2"/>
  <c r="C1316" i="2"/>
  <c r="A1316" i="2"/>
  <c r="I1315" i="2"/>
  <c r="F1315" i="2"/>
  <c r="E1315" i="2"/>
  <c r="C1315" i="2"/>
  <c r="A1315" i="2"/>
  <c r="I1314" i="2"/>
  <c r="F1314" i="2"/>
  <c r="E1314" i="2"/>
  <c r="C1314" i="2"/>
  <c r="A1314" i="2"/>
  <c r="I1313" i="2"/>
  <c r="F1313" i="2"/>
  <c r="E1313" i="2"/>
  <c r="C1313" i="2"/>
  <c r="A1313" i="2"/>
  <c r="I1312" i="2"/>
  <c r="F1312" i="2"/>
  <c r="E1312" i="2"/>
  <c r="C1312" i="2"/>
  <c r="A1312" i="2"/>
  <c r="I1311" i="2"/>
  <c r="F1311" i="2"/>
  <c r="E1311" i="2"/>
  <c r="C1311" i="2"/>
  <c r="A1311" i="2"/>
  <c r="I1310" i="2"/>
  <c r="F1310" i="2"/>
  <c r="E1310" i="2"/>
  <c r="C1310" i="2"/>
  <c r="A1310" i="2"/>
  <c r="I1309" i="2"/>
  <c r="F1309" i="2"/>
  <c r="E1309" i="2"/>
  <c r="C1309" i="2"/>
  <c r="A1309" i="2"/>
  <c r="I1308" i="2"/>
  <c r="F1308" i="2"/>
  <c r="E1308" i="2"/>
  <c r="C1308" i="2"/>
  <c r="A1308" i="2"/>
  <c r="I1307" i="2"/>
  <c r="F1307" i="2"/>
  <c r="E1307" i="2"/>
  <c r="C1307" i="2"/>
  <c r="A1307" i="2"/>
  <c r="I1306" i="2"/>
  <c r="F1306" i="2"/>
  <c r="E1306" i="2"/>
  <c r="C1306" i="2"/>
  <c r="A1306" i="2"/>
  <c r="I1305" i="2"/>
  <c r="F1305" i="2"/>
  <c r="E1305" i="2"/>
  <c r="C1305" i="2"/>
  <c r="A1305" i="2"/>
  <c r="I1304" i="2"/>
  <c r="F1304" i="2"/>
  <c r="E1304" i="2"/>
  <c r="C1304" i="2"/>
  <c r="A1304" i="2"/>
  <c r="I1303" i="2"/>
  <c r="F1303" i="2"/>
  <c r="E1303" i="2"/>
  <c r="C1303" i="2"/>
  <c r="A1303" i="2"/>
  <c r="I1302" i="2"/>
  <c r="F1302" i="2"/>
  <c r="E1302" i="2"/>
  <c r="C1302" i="2"/>
  <c r="A1302" i="2"/>
  <c r="I1301" i="2"/>
  <c r="F1301" i="2"/>
  <c r="E1301" i="2"/>
  <c r="C1301" i="2"/>
  <c r="A1301" i="2"/>
  <c r="I1300" i="2"/>
  <c r="F1300" i="2"/>
  <c r="E1300" i="2"/>
  <c r="C1300" i="2"/>
  <c r="A1300" i="2"/>
  <c r="I1299" i="2"/>
  <c r="F1299" i="2"/>
  <c r="E1299" i="2"/>
  <c r="C1299" i="2"/>
  <c r="A1299" i="2"/>
  <c r="I1298" i="2"/>
  <c r="F1298" i="2"/>
  <c r="E1298" i="2"/>
  <c r="C1298" i="2"/>
  <c r="A1298" i="2"/>
  <c r="I1297" i="2"/>
  <c r="F1297" i="2"/>
  <c r="E1297" i="2"/>
  <c r="C1297" i="2"/>
  <c r="A1297" i="2"/>
  <c r="I1296" i="2"/>
  <c r="F1296" i="2"/>
  <c r="E1296" i="2"/>
  <c r="C1296" i="2"/>
  <c r="A1296" i="2"/>
  <c r="I1295" i="2"/>
  <c r="F1295" i="2"/>
  <c r="E1295" i="2"/>
  <c r="C1295" i="2"/>
  <c r="A1295" i="2"/>
  <c r="I1294" i="2"/>
  <c r="F1294" i="2"/>
  <c r="E1294" i="2"/>
  <c r="C1294" i="2"/>
  <c r="A1294" i="2"/>
  <c r="I1293" i="2"/>
  <c r="F1293" i="2"/>
  <c r="E1293" i="2"/>
  <c r="C1293" i="2"/>
  <c r="A1293" i="2"/>
  <c r="I1292" i="2"/>
  <c r="F1292" i="2"/>
  <c r="E1292" i="2"/>
  <c r="C1292" i="2"/>
  <c r="A1292" i="2"/>
  <c r="I1291" i="2"/>
  <c r="F1291" i="2"/>
  <c r="E1291" i="2"/>
  <c r="C1291" i="2"/>
  <c r="A1291" i="2"/>
  <c r="I1290" i="2"/>
  <c r="F1290" i="2"/>
  <c r="E1290" i="2"/>
  <c r="C1290" i="2"/>
  <c r="A1290" i="2"/>
  <c r="I1289" i="2"/>
  <c r="F1289" i="2"/>
  <c r="E1289" i="2"/>
  <c r="C1289" i="2"/>
  <c r="A1289" i="2"/>
  <c r="I1288" i="2"/>
  <c r="F1288" i="2"/>
  <c r="E1288" i="2"/>
  <c r="C1288" i="2"/>
  <c r="A1288" i="2"/>
  <c r="I1287" i="2"/>
  <c r="F1287" i="2"/>
  <c r="E1287" i="2"/>
  <c r="C1287" i="2"/>
  <c r="A1287" i="2"/>
  <c r="I1286" i="2"/>
  <c r="F1286" i="2"/>
  <c r="E1286" i="2"/>
  <c r="C1286" i="2"/>
  <c r="A1286" i="2"/>
  <c r="I1285" i="2"/>
  <c r="F1285" i="2"/>
  <c r="E1285" i="2"/>
  <c r="C1285" i="2"/>
  <c r="A1285" i="2"/>
  <c r="I1284" i="2"/>
  <c r="F1284" i="2"/>
  <c r="E1284" i="2"/>
  <c r="C1284" i="2"/>
  <c r="A1284" i="2"/>
  <c r="I1283" i="2"/>
  <c r="F1283" i="2"/>
  <c r="E1283" i="2"/>
  <c r="C1283" i="2"/>
  <c r="A1283" i="2"/>
  <c r="I1282" i="2"/>
  <c r="F1282" i="2"/>
  <c r="E1282" i="2"/>
  <c r="C1282" i="2"/>
  <c r="A1282" i="2"/>
  <c r="I1281" i="2"/>
  <c r="F1281" i="2"/>
  <c r="E1281" i="2"/>
  <c r="C1281" i="2"/>
  <c r="A1281" i="2"/>
  <c r="I1280" i="2"/>
  <c r="F1280" i="2"/>
  <c r="E1280" i="2"/>
  <c r="C1280" i="2"/>
  <c r="A1280" i="2"/>
  <c r="I1279" i="2"/>
  <c r="F1279" i="2"/>
  <c r="E1279" i="2"/>
  <c r="C1279" i="2"/>
  <c r="A1279" i="2"/>
  <c r="I1278" i="2"/>
  <c r="F1278" i="2"/>
  <c r="E1278" i="2"/>
  <c r="C1278" i="2"/>
  <c r="A1278" i="2"/>
  <c r="I1277" i="2"/>
  <c r="F1277" i="2"/>
  <c r="E1277" i="2"/>
  <c r="C1277" i="2"/>
  <c r="A1277" i="2"/>
  <c r="I1276" i="2"/>
  <c r="F1276" i="2"/>
  <c r="E1276" i="2"/>
  <c r="C1276" i="2"/>
  <c r="A1276" i="2"/>
  <c r="I1275" i="2"/>
  <c r="F1275" i="2"/>
  <c r="E1275" i="2"/>
  <c r="C1275" i="2"/>
  <c r="A1275" i="2"/>
  <c r="I1274" i="2"/>
  <c r="F1274" i="2"/>
  <c r="E1274" i="2"/>
  <c r="C1274" i="2"/>
  <c r="A1274" i="2"/>
  <c r="I1273" i="2"/>
  <c r="F1273" i="2"/>
  <c r="E1273" i="2"/>
  <c r="C1273" i="2"/>
  <c r="A1273" i="2"/>
  <c r="I1272" i="2"/>
  <c r="F1272" i="2"/>
  <c r="E1272" i="2"/>
  <c r="C1272" i="2"/>
  <c r="A1272" i="2"/>
  <c r="I1271" i="2"/>
  <c r="F1271" i="2"/>
  <c r="E1271" i="2"/>
  <c r="C1271" i="2"/>
  <c r="A1271" i="2"/>
  <c r="I1270" i="2"/>
  <c r="F1270" i="2"/>
  <c r="E1270" i="2"/>
  <c r="C1270" i="2"/>
  <c r="A1270" i="2"/>
  <c r="I1269" i="2"/>
  <c r="F1269" i="2"/>
  <c r="E1269" i="2"/>
  <c r="C1269" i="2"/>
  <c r="A1269" i="2"/>
  <c r="I1268" i="2"/>
  <c r="F1268" i="2"/>
  <c r="E1268" i="2"/>
  <c r="C1268" i="2"/>
  <c r="A1268" i="2"/>
  <c r="I1267" i="2"/>
  <c r="F1267" i="2"/>
  <c r="E1267" i="2"/>
  <c r="C1267" i="2"/>
  <c r="A1267" i="2"/>
  <c r="I1266" i="2"/>
  <c r="F1266" i="2"/>
  <c r="E1266" i="2"/>
  <c r="C1266" i="2"/>
  <c r="A1266" i="2"/>
  <c r="I1265" i="2"/>
  <c r="F1265" i="2"/>
  <c r="E1265" i="2"/>
  <c r="C1265" i="2"/>
  <c r="A1265" i="2"/>
  <c r="I1264" i="2"/>
  <c r="F1264" i="2"/>
  <c r="E1264" i="2"/>
  <c r="C1264" i="2"/>
  <c r="A1264" i="2"/>
  <c r="I1263" i="2"/>
  <c r="F1263" i="2"/>
  <c r="E1263" i="2"/>
  <c r="C1263" i="2"/>
  <c r="A1263" i="2"/>
  <c r="I1262" i="2"/>
  <c r="F1262" i="2"/>
  <c r="E1262" i="2"/>
  <c r="C1262" i="2"/>
  <c r="A1262" i="2"/>
  <c r="I1261" i="2"/>
  <c r="F1261" i="2"/>
  <c r="E1261" i="2"/>
  <c r="C1261" i="2"/>
  <c r="A1261" i="2"/>
  <c r="I1260" i="2"/>
  <c r="F1260" i="2"/>
  <c r="E1260" i="2"/>
  <c r="C1260" i="2"/>
  <c r="A1260" i="2"/>
  <c r="I1259" i="2"/>
  <c r="F1259" i="2"/>
  <c r="E1259" i="2"/>
  <c r="C1259" i="2"/>
  <c r="A1259" i="2"/>
  <c r="I1258" i="2"/>
  <c r="F1258" i="2"/>
  <c r="E1258" i="2"/>
  <c r="C1258" i="2"/>
  <c r="A1258" i="2"/>
  <c r="I1257" i="2"/>
  <c r="F1257" i="2"/>
  <c r="E1257" i="2"/>
  <c r="C1257" i="2"/>
  <c r="A1257" i="2"/>
  <c r="I1256" i="2"/>
  <c r="F1256" i="2"/>
  <c r="E1256" i="2"/>
  <c r="C1256" i="2"/>
  <c r="A1256" i="2"/>
  <c r="I1255" i="2"/>
  <c r="F1255" i="2"/>
  <c r="E1255" i="2"/>
  <c r="C1255" i="2"/>
  <c r="A1255" i="2"/>
  <c r="I1254" i="2"/>
  <c r="F1254" i="2"/>
  <c r="E1254" i="2"/>
  <c r="C1254" i="2"/>
  <c r="A1254" i="2"/>
  <c r="I1253" i="2"/>
  <c r="F1253" i="2"/>
  <c r="E1253" i="2"/>
  <c r="C1253" i="2"/>
  <c r="A1253" i="2"/>
  <c r="I1252" i="2"/>
  <c r="F1252" i="2"/>
  <c r="E1252" i="2"/>
  <c r="C1252" i="2"/>
  <c r="A1252" i="2"/>
  <c r="I1251" i="2"/>
  <c r="F1251" i="2"/>
  <c r="E1251" i="2"/>
  <c r="C1251" i="2"/>
  <c r="A1251" i="2"/>
  <c r="I1250" i="2"/>
  <c r="F1250" i="2"/>
  <c r="E1250" i="2"/>
  <c r="C1250" i="2"/>
  <c r="A1250" i="2"/>
  <c r="I1249" i="2"/>
  <c r="F1249" i="2"/>
  <c r="E1249" i="2"/>
  <c r="C1249" i="2"/>
  <c r="A1249" i="2"/>
  <c r="I1248" i="2"/>
  <c r="F1248" i="2"/>
  <c r="E1248" i="2"/>
  <c r="C1248" i="2"/>
  <c r="A1248" i="2"/>
  <c r="I1247" i="2"/>
  <c r="F1247" i="2"/>
  <c r="E1247" i="2"/>
  <c r="C1247" i="2"/>
  <c r="A1247" i="2"/>
  <c r="I1246" i="2"/>
  <c r="F1246" i="2"/>
  <c r="E1246" i="2"/>
  <c r="C1246" i="2"/>
  <c r="A1246" i="2"/>
  <c r="I1245" i="2"/>
  <c r="F1245" i="2"/>
  <c r="E1245" i="2"/>
  <c r="C1245" i="2"/>
  <c r="A1245" i="2"/>
  <c r="I1244" i="2"/>
  <c r="F1244" i="2"/>
  <c r="E1244" i="2"/>
  <c r="C1244" i="2"/>
  <c r="A1244" i="2"/>
  <c r="I1243" i="2"/>
  <c r="F1243" i="2"/>
  <c r="E1243" i="2"/>
  <c r="C1243" i="2"/>
  <c r="A1243" i="2"/>
  <c r="I1242" i="2"/>
  <c r="F1242" i="2"/>
  <c r="E1242" i="2"/>
  <c r="C1242" i="2"/>
  <c r="A1242" i="2"/>
  <c r="I1241" i="2"/>
  <c r="F1241" i="2"/>
  <c r="E1241" i="2"/>
  <c r="C1241" i="2"/>
  <c r="A1241" i="2"/>
  <c r="I1240" i="2"/>
  <c r="F1240" i="2"/>
  <c r="E1240" i="2"/>
  <c r="C1240" i="2"/>
  <c r="A1240" i="2"/>
  <c r="I1239" i="2"/>
  <c r="F1239" i="2"/>
  <c r="E1239" i="2"/>
  <c r="C1239" i="2"/>
  <c r="A1239" i="2"/>
  <c r="I1238" i="2"/>
  <c r="F1238" i="2"/>
  <c r="E1238" i="2"/>
  <c r="C1238" i="2"/>
  <c r="A1238" i="2"/>
  <c r="I1237" i="2"/>
  <c r="F1237" i="2"/>
  <c r="E1237" i="2"/>
  <c r="C1237" i="2"/>
  <c r="A1237" i="2"/>
  <c r="I1236" i="2"/>
  <c r="F1236" i="2"/>
  <c r="E1236" i="2"/>
  <c r="C1236" i="2"/>
  <c r="A1236" i="2"/>
  <c r="I1235" i="2"/>
  <c r="F1235" i="2"/>
  <c r="E1235" i="2"/>
  <c r="C1235" i="2"/>
  <c r="A1235" i="2"/>
  <c r="I1234" i="2"/>
  <c r="F1234" i="2"/>
  <c r="E1234" i="2"/>
  <c r="C1234" i="2"/>
  <c r="A1234" i="2"/>
  <c r="I1233" i="2"/>
  <c r="F1233" i="2"/>
  <c r="E1233" i="2"/>
  <c r="C1233" i="2"/>
  <c r="A1233" i="2"/>
  <c r="I1232" i="2"/>
  <c r="F1232" i="2"/>
  <c r="E1232" i="2"/>
  <c r="C1232" i="2"/>
  <c r="A1232" i="2"/>
  <c r="I1231" i="2"/>
  <c r="F1231" i="2"/>
  <c r="E1231" i="2"/>
  <c r="C1231" i="2"/>
  <c r="A1231" i="2"/>
  <c r="I1230" i="2"/>
  <c r="F1230" i="2"/>
  <c r="E1230" i="2"/>
  <c r="C1230" i="2"/>
  <c r="A1230" i="2"/>
  <c r="I1229" i="2"/>
  <c r="F1229" i="2"/>
  <c r="E1229" i="2"/>
  <c r="C1229" i="2"/>
  <c r="A1229" i="2"/>
  <c r="I1228" i="2"/>
  <c r="F1228" i="2"/>
  <c r="E1228" i="2"/>
  <c r="C1228" i="2"/>
  <c r="A1228" i="2"/>
  <c r="I1227" i="2"/>
  <c r="F1227" i="2"/>
  <c r="E1227" i="2"/>
  <c r="C1227" i="2"/>
  <c r="A1227" i="2"/>
  <c r="I1226" i="2"/>
  <c r="F1226" i="2"/>
  <c r="E1226" i="2"/>
  <c r="C1226" i="2"/>
  <c r="A1226" i="2"/>
  <c r="I1225" i="2"/>
  <c r="F1225" i="2"/>
  <c r="E1225" i="2"/>
  <c r="C1225" i="2"/>
  <c r="A1225" i="2"/>
  <c r="I1224" i="2"/>
  <c r="F1224" i="2"/>
  <c r="E1224" i="2"/>
  <c r="C1224" i="2"/>
  <c r="A1224" i="2"/>
  <c r="I1223" i="2"/>
  <c r="F1223" i="2"/>
  <c r="E1223" i="2"/>
  <c r="C1223" i="2"/>
  <c r="A1223" i="2"/>
  <c r="I1222" i="2"/>
  <c r="F1222" i="2"/>
  <c r="E1222" i="2"/>
  <c r="C1222" i="2"/>
  <c r="A1222" i="2"/>
  <c r="I1221" i="2"/>
  <c r="F1221" i="2"/>
  <c r="E1221" i="2"/>
  <c r="C1221" i="2"/>
  <c r="A1221" i="2"/>
  <c r="I1220" i="2"/>
  <c r="F1220" i="2"/>
  <c r="E1220" i="2"/>
  <c r="C1220" i="2"/>
  <c r="A1220" i="2"/>
  <c r="I1219" i="2"/>
  <c r="F1219" i="2"/>
  <c r="E1219" i="2"/>
  <c r="C1219" i="2"/>
  <c r="A1219" i="2"/>
  <c r="I1218" i="2"/>
  <c r="F1218" i="2"/>
  <c r="E1218" i="2"/>
  <c r="C1218" i="2"/>
  <c r="A1218" i="2"/>
  <c r="I1217" i="2"/>
  <c r="F1217" i="2"/>
  <c r="E1217" i="2"/>
  <c r="C1217" i="2"/>
  <c r="A1217" i="2"/>
  <c r="I1216" i="2"/>
  <c r="F1216" i="2"/>
  <c r="E1216" i="2"/>
  <c r="C1216" i="2"/>
  <c r="A1216" i="2"/>
  <c r="I1215" i="2"/>
  <c r="F1215" i="2"/>
  <c r="E1215" i="2"/>
  <c r="C1215" i="2"/>
  <c r="A1215" i="2"/>
  <c r="I1214" i="2"/>
  <c r="F1214" i="2"/>
  <c r="E1214" i="2"/>
  <c r="C1214" i="2"/>
  <c r="A1214" i="2"/>
  <c r="I1213" i="2"/>
  <c r="F1213" i="2"/>
  <c r="E1213" i="2"/>
  <c r="C1213" i="2"/>
  <c r="A1213" i="2"/>
  <c r="I1212" i="2"/>
  <c r="F1212" i="2"/>
  <c r="E1212" i="2"/>
  <c r="C1212" i="2"/>
  <c r="A1212" i="2"/>
  <c r="I1211" i="2"/>
  <c r="F1211" i="2"/>
  <c r="E1211" i="2"/>
  <c r="C1211" i="2"/>
  <c r="A1211" i="2"/>
  <c r="I1210" i="2"/>
  <c r="F1210" i="2"/>
  <c r="E1210" i="2"/>
  <c r="C1210" i="2"/>
  <c r="A1210" i="2"/>
  <c r="I1209" i="2"/>
  <c r="F1209" i="2"/>
  <c r="E1209" i="2"/>
  <c r="C1209" i="2"/>
  <c r="A1209" i="2"/>
  <c r="I1208" i="2"/>
  <c r="F1208" i="2"/>
  <c r="E1208" i="2"/>
  <c r="C1208" i="2"/>
  <c r="A1208" i="2"/>
  <c r="I1207" i="2"/>
  <c r="F1207" i="2"/>
  <c r="E1207" i="2"/>
  <c r="C1207" i="2"/>
  <c r="A1207" i="2"/>
  <c r="I1206" i="2"/>
  <c r="F1206" i="2"/>
  <c r="E1206" i="2"/>
  <c r="C1206" i="2"/>
  <c r="A1206" i="2"/>
  <c r="I1205" i="2"/>
  <c r="F1205" i="2"/>
  <c r="E1205" i="2"/>
  <c r="C1205" i="2"/>
  <c r="A1205" i="2"/>
  <c r="I1204" i="2"/>
  <c r="F1204" i="2"/>
  <c r="E1204" i="2"/>
  <c r="C1204" i="2"/>
  <c r="A1204" i="2"/>
  <c r="I1203" i="2"/>
  <c r="F1203" i="2"/>
  <c r="E1203" i="2"/>
  <c r="C1203" i="2"/>
  <c r="A1203" i="2"/>
  <c r="I1202" i="2"/>
  <c r="F1202" i="2"/>
  <c r="E1202" i="2"/>
  <c r="C1202" i="2"/>
  <c r="A1202" i="2"/>
  <c r="I1201" i="2"/>
  <c r="F1201" i="2"/>
  <c r="E1201" i="2"/>
  <c r="C1201" i="2"/>
  <c r="A1201" i="2"/>
  <c r="I1200" i="2"/>
  <c r="F1200" i="2"/>
  <c r="E1200" i="2"/>
  <c r="C1200" i="2"/>
  <c r="A1200" i="2"/>
  <c r="I1199" i="2"/>
  <c r="F1199" i="2"/>
  <c r="E1199" i="2"/>
  <c r="C1199" i="2"/>
  <c r="A1199" i="2"/>
  <c r="I1198" i="2"/>
  <c r="F1198" i="2"/>
  <c r="E1198" i="2"/>
  <c r="C1198" i="2"/>
  <c r="A1198" i="2"/>
  <c r="I1197" i="2"/>
  <c r="F1197" i="2"/>
  <c r="E1197" i="2"/>
  <c r="C1197" i="2"/>
  <c r="A1197" i="2"/>
  <c r="I1196" i="2"/>
  <c r="F1196" i="2"/>
  <c r="E1196" i="2"/>
  <c r="C1196" i="2"/>
  <c r="A1196" i="2"/>
  <c r="I1195" i="2"/>
  <c r="F1195" i="2"/>
  <c r="E1195" i="2"/>
  <c r="C1195" i="2"/>
  <c r="A1195" i="2"/>
  <c r="I1194" i="2"/>
  <c r="F1194" i="2"/>
  <c r="E1194" i="2"/>
  <c r="C1194" i="2"/>
  <c r="A1194" i="2"/>
  <c r="I1193" i="2"/>
  <c r="F1193" i="2"/>
  <c r="E1193" i="2"/>
  <c r="C1193" i="2"/>
  <c r="A1193" i="2"/>
  <c r="I1192" i="2"/>
  <c r="F1192" i="2"/>
  <c r="E1192" i="2"/>
  <c r="C1192" i="2"/>
  <c r="A1192" i="2"/>
  <c r="I1191" i="2"/>
  <c r="F1191" i="2"/>
  <c r="E1191" i="2"/>
  <c r="C1191" i="2"/>
  <c r="A1191" i="2"/>
  <c r="I1190" i="2"/>
  <c r="F1190" i="2"/>
  <c r="E1190" i="2"/>
  <c r="C1190" i="2"/>
  <c r="A1190" i="2"/>
  <c r="I1189" i="2"/>
  <c r="F1189" i="2"/>
  <c r="E1189" i="2"/>
  <c r="C1189" i="2"/>
  <c r="A1189" i="2"/>
  <c r="I1188" i="2"/>
  <c r="F1188" i="2"/>
  <c r="E1188" i="2"/>
  <c r="C1188" i="2"/>
  <c r="A1188" i="2"/>
  <c r="I1187" i="2"/>
  <c r="F1187" i="2"/>
  <c r="E1187" i="2"/>
  <c r="C1187" i="2"/>
  <c r="A1187" i="2"/>
  <c r="I1186" i="2"/>
  <c r="F1186" i="2"/>
  <c r="E1186" i="2"/>
  <c r="C1186" i="2"/>
  <c r="A1186" i="2"/>
  <c r="I1185" i="2"/>
  <c r="F1185" i="2"/>
  <c r="E1185" i="2"/>
  <c r="C1185" i="2"/>
  <c r="A1185" i="2"/>
  <c r="I1184" i="2"/>
  <c r="F1184" i="2"/>
  <c r="E1184" i="2"/>
  <c r="C1184" i="2"/>
  <c r="A1184" i="2"/>
  <c r="I1183" i="2"/>
  <c r="F1183" i="2"/>
  <c r="E1183" i="2"/>
  <c r="C1183" i="2"/>
  <c r="A1183" i="2"/>
  <c r="I1182" i="2"/>
  <c r="F1182" i="2"/>
  <c r="E1182" i="2"/>
  <c r="C1182" i="2"/>
  <c r="A1182" i="2"/>
  <c r="I1181" i="2"/>
  <c r="F1181" i="2"/>
  <c r="E1181" i="2"/>
  <c r="C1181" i="2"/>
  <c r="A1181" i="2"/>
  <c r="I1180" i="2"/>
  <c r="F1180" i="2"/>
  <c r="E1180" i="2"/>
  <c r="C1180" i="2"/>
  <c r="A1180" i="2"/>
  <c r="I1179" i="2"/>
  <c r="F1179" i="2"/>
  <c r="E1179" i="2"/>
  <c r="C1179" i="2"/>
  <c r="A1179" i="2"/>
  <c r="I1178" i="2"/>
  <c r="F1178" i="2"/>
  <c r="E1178" i="2"/>
  <c r="C1178" i="2"/>
  <c r="A1178" i="2"/>
  <c r="I1177" i="2"/>
  <c r="F1177" i="2"/>
  <c r="E1177" i="2"/>
  <c r="C1177" i="2"/>
  <c r="A1177" i="2"/>
  <c r="I1176" i="2"/>
  <c r="F1176" i="2"/>
  <c r="E1176" i="2"/>
  <c r="C1176" i="2"/>
  <c r="A1176" i="2"/>
  <c r="I1175" i="2"/>
  <c r="F1175" i="2"/>
  <c r="E1175" i="2"/>
  <c r="C1175" i="2"/>
  <c r="A1175" i="2"/>
  <c r="I1174" i="2"/>
  <c r="F1174" i="2"/>
  <c r="E1174" i="2"/>
  <c r="C1174" i="2"/>
  <c r="A1174" i="2"/>
  <c r="I1173" i="2"/>
  <c r="F1173" i="2"/>
  <c r="E1173" i="2"/>
  <c r="C1173" i="2"/>
  <c r="A1173" i="2"/>
  <c r="I1172" i="2"/>
  <c r="F1172" i="2"/>
  <c r="E1172" i="2"/>
  <c r="C1172" i="2"/>
  <c r="A1172" i="2"/>
  <c r="I1171" i="2"/>
  <c r="F1171" i="2"/>
  <c r="E1171" i="2"/>
  <c r="C1171" i="2"/>
  <c r="A1171" i="2"/>
  <c r="I1170" i="2"/>
  <c r="F1170" i="2"/>
  <c r="E1170" i="2"/>
  <c r="C1170" i="2"/>
  <c r="A1170" i="2"/>
  <c r="I1169" i="2"/>
  <c r="F1169" i="2"/>
  <c r="E1169" i="2"/>
  <c r="C1169" i="2"/>
  <c r="A1169" i="2"/>
  <c r="I1168" i="2"/>
  <c r="F1168" i="2"/>
  <c r="E1168" i="2"/>
  <c r="C1168" i="2"/>
  <c r="A1168" i="2"/>
  <c r="I1167" i="2"/>
  <c r="F1167" i="2"/>
  <c r="E1167" i="2"/>
  <c r="C1167" i="2"/>
  <c r="A1167" i="2"/>
  <c r="I1166" i="2"/>
  <c r="F1166" i="2"/>
  <c r="E1166" i="2"/>
  <c r="C1166" i="2"/>
  <c r="A1166" i="2"/>
  <c r="I1165" i="2"/>
  <c r="F1165" i="2"/>
  <c r="E1165" i="2"/>
  <c r="C1165" i="2"/>
  <c r="A1165" i="2"/>
  <c r="I1164" i="2"/>
  <c r="F1164" i="2"/>
  <c r="E1164" i="2"/>
  <c r="C1164" i="2"/>
  <c r="A1164" i="2"/>
  <c r="I1163" i="2"/>
  <c r="F1163" i="2"/>
  <c r="E1163" i="2"/>
  <c r="C1163" i="2"/>
  <c r="A1163" i="2"/>
  <c r="I1162" i="2"/>
  <c r="F1162" i="2"/>
  <c r="E1162" i="2"/>
  <c r="C1162" i="2"/>
  <c r="A1162" i="2"/>
  <c r="I1161" i="2"/>
  <c r="F1161" i="2"/>
  <c r="E1161" i="2"/>
  <c r="C1161" i="2"/>
  <c r="A1161" i="2"/>
  <c r="I1160" i="2"/>
  <c r="F1160" i="2"/>
  <c r="E1160" i="2"/>
  <c r="C1160" i="2"/>
  <c r="A1160" i="2"/>
  <c r="I1159" i="2"/>
  <c r="F1159" i="2"/>
  <c r="E1159" i="2"/>
  <c r="C1159" i="2"/>
  <c r="A1159" i="2"/>
  <c r="I1158" i="2"/>
  <c r="F1158" i="2"/>
  <c r="E1158" i="2"/>
  <c r="C1158" i="2"/>
  <c r="A1158" i="2"/>
  <c r="I1157" i="2"/>
  <c r="F1157" i="2"/>
  <c r="E1157" i="2"/>
  <c r="C1157" i="2"/>
  <c r="A1157" i="2"/>
  <c r="I1156" i="2"/>
  <c r="F1156" i="2"/>
  <c r="E1156" i="2"/>
  <c r="C1156" i="2"/>
  <c r="A1156" i="2"/>
  <c r="I1155" i="2"/>
  <c r="F1155" i="2"/>
  <c r="E1155" i="2"/>
  <c r="C1155" i="2"/>
  <c r="A1155" i="2"/>
  <c r="I1154" i="2"/>
  <c r="F1154" i="2"/>
  <c r="E1154" i="2"/>
  <c r="C1154" i="2"/>
  <c r="A1154" i="2"/>
  <c r="I1153" i="2"/>
  <c r="F1153" i="2"/>
  <c r="E1153" i="2"/>
  <c r="C1153" i="2"/>
  <c r="A1153" i="2"/>
  <c r="I1152" i="2"/>
  <c r="F1152" i="2"/>
  <c r="E1152" i="2"/>
  <c r="C1152" i="2"/>
  <c r="A1152" i="2"/>
  <c r="I1151" i="2"/>
  <c r="F1151" i="2"/>
  <c r="E1151" i="2"/>
  <c r="C1151" i="2"/>
  <c r="A1151" i="2"/>
  <c r="I1150" i="2"/>
  <c r="F1150" i="2"/>
  <c r="E1150" i="2"/>
  <c r="C1150" i="2"/>
  <c r="A1150" i="2"/>
  <c r="I1149" i="2"/>
  <c r="F1149" i="2"/>
  <c r="E1149" i="2"/>
  <c r="C1149" i="2"/>
  <c r="A1149" i="2"/>
  <c r="I1148" i="2"/>
  <c r="F1148" i="2"/>
  <c r="E1148" i="2"/>
  <c r="C1148" i="2"/>
  <c r="A1148" i="2"/>
  <c r="I1147" i="2"/>
  <c r="F1147" i="2"/>
  <c r="E1147" i="2"/>
  <c r="C1147" i="2"/>
  <c r="A1147" i="2"/>
  <c r="I1146" i="2"/>
  <c r="F1146" i="2"/>
  <c r="E1146" i="2"/>
  <c r="C1146" i="2"/>
  <c r="A1146" i="2"/>
  <c r="I1145" i="2"/>
  <c r="F1145" i="2"/>
  <c r="E1145" i="2"/>
  <c r="C1145" i="2"/>
  <c r="A1145" i="2"/>
  <c r="I1144" i="2"/>
  <c r="F1144" i="2"/>
  <c r="E1144" i="2"/>
  <c r="C1144" i="2"/>
  <c r="A1144" i="2"/>
  <c r="I1143" i="2"/>
  <c r="F1143" i="2"/>
  <c r="E1143" i="2"/>
  <c r="C1143" i="2"/>
  <c r="A1143" i="2"/>
  <c r="I1142" i="2"/>
  <c r="F1142" i="2"/>
  <c r="E1142" i="2"/>
  <c r="C1142" i="2"/>
  <c r="A1142" i="2"/>
  <c r="I1141" i="2"/>
  <c r="F1141" i="2"/>
  <c r="E1141" i="2"/>
  <c r="C1141" i="2"/>
  <c r="A1141" i="2"/>
  <c r="I1140" i="2"/>
  <c r="F1140" i="2"/>
  <c r="E1140" i="2"/>
  <c r="C1140" i="2"/>
  <c r="A1140" i="2"/>
  <c r="I1139" i="2"/>
  <c r="F1139" i="2"/>
  <c r="E1139" i="2"/>
  <c r="C1139" i="2"/>
  <c r="A1139" i="2"/>
  <c r="I1138" i="2"/>
  <c r="F1138" i="2"/>
  <c r="E1138" i="2"/>
  <c r="C1138" i="2"/>
  <c r="A1138" i="2"/>
  <c r="I1137" i="2"/>
  <c r="F1137" i="2"/>
  <c r="E1137" i="2"/>
  <c r="C1137" i="2"/>
  <c r="A1137" i="2"/>
  <c r="I1136" i="2"/>
  <c r="F1136" i="2"/>
  <c r="E1136" i="2"/>
  <c r="C1136" i="2"/>
  <c r="A1136" i="2"/>
  <c r="I1135" i="2"/>
  <c r="F1135" i="2"/>
  <c r="E1135" i="2"/>
  <c r="C1135" i="2"/>
  <c r="A1135" i="2"/>
  <c r="I1134" i="2"/>
  <c r="F1134" i="2"/>
  <c r="E1134" i="2"/>
  <c r="C1134" i="2"/>
  <c r="A1134" i="2"/>
  <c r="I1133" i="2"/>
  <c r="F1133" i="2"/>
  <c r="E1133" i="2"/>
  <c r="C1133" i="2"/>
  <c r="A1133" i="2"/>
  <c r="I1132" i="2"/>
  <c r="F1132" i="2"/>
  <c r="E1132" i="2"/>
  <c r="C1132" i="2"/>
  <c r="A1132" i="2"/>
  <c r="I1131" i="2"/>
  <c r="F1131" i="2"/>
  <c r="E1131" i="2"/>
  <c r="C1131" i="2"/>
  <c r="A1131" i="2"/>
  <c r="I1130" i="2"/>
  <c r="F1130" i="2"/>
  <c r="E1130" i="2"/>
  <c r="C1130" i="2"/>
  <c r="A1130" i="2"/>
  <c r="I1129" i="2"/>
  <c r="F1129" i="2"/>
  <c r="E1129" i="2"/>
  <c r="C1129" i="2"/>
  <c r="A1129" i="2"/>
  <c r="I1128" i="2"/>
  <c r="F1128" i="2"/>
  <c r="E1128" i="2"/>
  <c r="C1128" i="2"/>
  <c r="A1128" i="2"/>
  <c r="I1127" i="2"/>
  <c r="F1127" i="2"/>
  <c r="E1127" i="2"/>
  <c r="C1127" i="2"/>
  <c r="A1127" i="2"/>
  <c r="I1126" i="2"/>
  <c r="F1126" i="2"/>
  <c r="E1126" i="2"/>
  <c r="C1126" i="2"/>
  <c r="A1126" i="2"/>
  <c r="I1125" i="2"/>
  <c r="F1125" i="2"/>
  <c r="E1125" i="2"/>
  <c r="C1125" i="2"/>
  <c r="A1125" i="2"/>
  <c r="I1124" i="2"/>
  <c r="F1124" i="2"/>
  <c r="E1124" i="2"/>
  <c r="C1124" i="2"/>
  <c r="A1124" i="2"/>
  <c r="I1123" i="2"/>
  <c r="F1123" i="2"/>
  <c r="E1123" i="2"/>
  <c r="C1123" i="2"/>
  <c r="A1123" i="2"/>
  <c r="I1122" i="2"/>
  <c r="F1122" i="2"/>
  <c r="E1122" i="2"/>
  <c r="C1122" i="2"/>
  <c r="A1122" i="2"/>
  <c r="I1121" i="2"/>
  <c r="F1121" i="2"/>
  <c r="E1121" i="2"/>
  <c r="C1121" i="2"/>
  <c r="A1121" i="2"/>
  <c r="I1120" i="2"/>
  <c r="F1120" i="2"/>
  <c r="E1120" i="2"/>
  <c r="C1120" i="2"/>
  <c r="A1120" i="2"/>
  <c r="I1119" i="2"/>
  <c r="F1119" i="2"/>
  <c r="E1119" i="2"/>
  <c r="C1119" i="2"/>
  <c r="A1119" i="2"/>
  <c r="I1118" i="2"/>
  <c r="F1118" i="2"/>
  <c r="E1118" i="2"/>
  <c r="C1118" i="2"/>
  <c r="A1118" i="2"/>
  <c r="I1117" i="2"/>
  <c r="F1117" i="2"/>
  <c r="E1117" i="2"/>
  <c r="C1117" i="2"/>
  <c r="A1117" i="2"/>
  <c r="I1116" i="2"/>
  <c r="F1116" i="2"/>
  <c r="E1116" i="2"/>
  <c r="C1116" i="2"/>
  <c r="A1116" i="2"/>
  <c r="I1115" i="2"/>
  <c r="F1115" i="2"/>
  <c r="E1115" i="2"/>
  <c r="C1115" i="2"/>
  <c r="A1115" i="2"/>
  <c r="I1114" i="2"/>
  <c r="F1114" i="2"/>
  <c r="E1114" i="2"/>
  <c r="C1114" i="2"/>
  <c r="A1114" i="2"/>
  <c r="I1113" i="2"/>
  <c r="F1113" i="2"/>
  <c r="E1113" i="2"/>
  <c r="C1113" i="2"/>
  <c r="A1113" i="2"/>
  <c r="I1112" i="2"/>
  <c r="F1112" i="2"/>
  <c r="E1112" i="2"/>
  <c r="C1112" i="2"/>
  <c r="A1112" i="2"/>
  <c r="I1111" i="2"/>
  <c r="F1111" i="2"/>
  <c r="E1111" i="2"/>
  <c r="C1111" i="2"/>
  <c r="A1111" i="2"/>
  <c r="I1110" i="2"/>
  <c r="F1110" i="2"/>
  <c r="E1110" i="2"/>
  <c r="C1110" i="2"/>
  <c r="A1110" i="2"/>
  <c r="I1109" i="2"/>
  <c r="F1109" i="2"/>
  <c r="E1109" i="2"/>
  <c r="C1109" i="2"/>
  <c r="A1109" i="2"/>
  <c r="I1108" i="2"/>
  <c r="F1108" i="2"/>
  <c r="E1108" i="2"/>
  <c r="C1108" i="2"/>
  <c r="A1108" i="2"/>
  <c r="I1107" i="2"/>
  <c r="F1107" i="2"/>
  <c r="E1107" i="2"/>
  <c r="C1107" i="2"/>
  <c r="A1107" i="2"/>
  <c r="I1106" i="2"/>
  <c r="F1106" i="2"/>
  <c r="E1106" i="2"/>
  <c r="C1106" i="2"/>
  <c r="A1106" i="2"/>
  <c r="I1105" i="2"/>
  <c r="F1105" i="2"/>
  <c r="E1105" i="2"/>
  <c r="C1105" i="2"/>
  <c r="A1105" i="2"/>
  <c r="I1104" i="2"/>
  <c r="F1104" i="2"/>
  <c r="E1104" i="2"/>
  <c r="C1104" i="2"/>
  <c r="A1104" i="2"/>
  <c r="I1103" i="2"/>
  <c r="F1103" i="2"/>
  <c r="E1103" i="2"/>
  <c r="C1103" i="2"/>
  <c r="A1103" i="2"/>
  <c r="I1102" i="2"/>
  <c r="F1102" i="2"/>
  <c r="E1102" i="2"/>
  <c r="C1102" i="2"/>
  <c r="A1102" i="2"/>
  <c r="I1101" i="2"/>
  <c r="F1101" i="2"/>
  <c r="E1101" i="2"/>
  <c r="C1101" i="2"/>
  <c r="A1101" i="2"/>
  <c r="I1100" i="2"/>
  <c r="F1100" i="2"/>
  <c r="E1100" i="2"/>
  <c r="C1100" i="2"/>
  <c r="A1100" i="2"/>
  <c r="I1099" i="2"/>
  <c r="F1099" i="2"/>
  <c r="E1099" i="2"/>
  <c r="C1099" i="2"/>
  <c r="A1099" i="2"/>
  <c r="I1098" i="2"/>
  <c r="F1098" i="2"/>
  <c r="E1098" i="2"/>
  <c r="C1098" i="2"/>
  <c r="A1098" i="2"/>
  <c r="I1097" i="2"/>
  <c r="F1097" i="2"/>
  <c r="E1097" i="2"/>
  <c r="C1097" i="2"/>
  <c r="A1097" i="2"/>
  <c r="I1096" i="2"/>
  <c r="F1096" i="2"/>
  <c r="E1096" i="2"/>
  <c r="C1096" i="2"/>
  <c r="A1096" i="2"/>
  <c r="I1095" i="2"/>
  <c r="F1095" i="2"/>
  <c r="E1095" i="2"/>
  <c r="C1095" i="2"/>
  <c r="A1095" i="2"/>
  <c r="I1094" i="2"/>
  <c r="F1094" i="2"/>
  <c r="E1094" i="2"/>
  <c r="C1094" i="2"/>
  <c r="A1094" i="2"/>
  <c r="I1093" i="2"/>
  <c r="F1093" i="2"/>
  <c r="E1093" i="2"/>
  <c r="C1093" i="2"/>
  <c r="A1093" i="2"/>
  <c r="I1092" i="2"/>
  <c r="F1092" i="2"/>
  <c r="E1092" i="2"/>
  <c r="C1092" i="2"/>
  <c r="A1092" i="2"/>
  <c r="I1091" i="2"/>
  <c r="F1091" i="2"/>
  <c r="E1091" i="2"/>
  <c r="C1091" i="2"/>
  <c r="A1091" i="2"/>
  <c r="I1090" i="2"/>
  <c r="F1090" i="2"/>
  <c r="E1090" i="2"/>
  <c r="C1090" i="2"/>
  <c r="A1090" i="2"/>
  <c r="I1089" i="2"/>
  <c r="F1089" i="2"/>
  <c r="E1089" i="2"/>
  <c r="C1089" i="2"/>
  <c r="A1089" i="2"/>
  <c r="I1088" i="2"/>
  <c r="F1088" i="2"/>
  <c r="E1088" i="2"/>
  <c r="C1088" i="2"/>
  <c r="A1088" i="2"/>
  <c r="I1087" i="2"/>
  <c r="F1087" i="2"/>
  <c r="E1087" i="2"/>
  <c r="C1087" i="2"/>
  <c r="A1087" i="2"/>
  <c r="I1086" i="2"/>
  <c r="F1086" i="2"/>
  <c r="E1086" i="2"/>
  <c r="C1086" i="2"/>
  <c r="A1086" i="2"/>
  <c r="I1085" i="2"/>
  <c r="F1085" i="2"/>
  <c r="E1085" i="2"/>
  <c r="C1085" i="2"/>
  <c r="A1085" i="2"/>
  <c r="I1084" i="2"/>
  <c r="F1084" i="2"/>
  <c r="E1084" i="2"/>
  <c r="C1084" i="2"/>
  <c r="A1084" i="2"/>
  <c r="I1083" i="2"/>
  <c r="F1083" i="2"/>
  <c r="E1083" i="2"/>
  <c r="C1083" i="2"/>
  <c r="A1083" i="2"/>
  <c r="I1082" i="2"/>
  <c r="F1082" i="2"/>
  <c r="E1082" i="2"/>
  <c r="C1082" i="2"/>
  <c r="A1082" i="2"/>
  <c r="I1081" i="2"/>
  <c r="F1081" i="2"/>
  <c r="E1081" i="2"/>
  <c r="C1081" i="2"/>
  <c r="A1081" i="2"/>
  <c r="I1080" i="2"/>
  <c r="F1080" i="2"/>
  <c r="E1080" i="2"/>
  <c r="C1080" i="2"/>
  <c r="A1080" i="2"/>
  <c r="I1079" i="2"/>
  <c r="F1079" i="2"/>
  <c r="E1079" i="2"/>
  <c r="C1079" i="2"/>
  <c r="A1079" i="2"/>
  <c r="I1078" i="2"/>
  <c r="F1078" i="2"/>
  <c r="E1078" i="2"/>
  <c r="C1078" i="2"/>
  <c r="A1078" i="2"/>
  <c r="I1077" i="2"/>
  <c r="F1077" i="2"/>
  <c r="E1077" i="2"/>
  <c r="C1077" i="2"/>
  <c r="A1077" i="2"/>
  <c r="I1076" i="2"/>
  <c r="F1076" i="2"/>
  <c r="E1076" i="2"/>
  <c r="C1076" i="2"/>
  <c r="A1076" i="2"/>
  <c r="I1075" i="2"/>
  <c r="F1075" i="2"/>
  <c r="E1075" i="2"/>
  <c r="C1075" i="2"/>
  <c r="A1075" i="2"/>
  <c r="I1074" i="2"/>
  <c r="F1074" i="2"/>
  <c r="E1074" i="2"/>
  <c r="C1074" i="2"/>
  <c r="A1074" i="2"/>
  <c r="I1073" i="2"/>
  <c r="F1073" i="2"/>
  <c r="E1073" i="2"/>
  <c r="C1073" i="2"/>
  <c r="A1073" i="2"/>
  <c r="I1072" i="2"/>
  <c r="F1072" i="2"/>
  <c r="E1072" i="2"/>
  <c r="C1072" i="2"/>
  <c r="A1072" i="2"/>
  <c r="I1071" i="2"/>
  <c r="F1071" i="2"/>
  <c r="E1071" i="2"/>
  <c r="C1071" i="2"/>
  <c r="A1071" i="2"/>
  <c r="I1070" i="2"/>
  <c r="F1070" i="2"/>
  <c r="E1070" i="2"/>
  <c r="C1070" i="2"/>
  <c r="A1070" i="2"/>
  <c r="I1069" i="2"/>
  <c r="F1069" i="2"/>
  <c r="E1069" i="2"/>
  <c r="C1069" i="2"/>
  <c r="A1069" i="2"/>
  <c r="I1068" i="2"/>
  <c r="F1068" i="2"/>
  <c r="E1068" i="2"/>
  <c r="C1068" i="2"/>
  <c r="A1068" i="2"/>
  <c r="I1067" i="2"/>
  <c r="F1067" i="2"/>
  <c r="E1067" i="2"/>
  <c r="C1067" i="2"/>
  <c r="A1067" i="2"/>
  <c r="I1066" i="2"/>
  <c r="F1066" i="2"/>
  <c r="E1066" i="2"/>
  <c r="C1066" i="2"/>
  <c r="A1066" i="2"/>
  <c r="I1065" i="2"/>
  <c r="F1065" i="2"/>
  <c r="E1065" i="2"/>
  <c r="C1065" i="2"/>
  <c r="A1065" i="2"/>
  <c r="I1064" i="2"/>
  <c r="F1064" i="2"/>
  <c r="E1064" i="2"/>
  <c r="C1064" i="2"/>
  <c r="A1064" i="2"/>
  <c r="I1063" i="2"/>
  <c r="F1063" i="2"/>
  <c r="E1063" i="2"/>
  <c r="C1063" i="2"/>
  <c r="A1063" i="2"/>
  <c r="I1062" i="2"/>
  <c r="F1062" i="2"/>
  <c r="E1062" i="2"/>
  <c r="C1062" i="2"/>
  <c r="A1062" i="2"/>
  <c r="I1061" i="2"/>
  <c r="F1061" i="2"/>
  <c r="E1061" i="2"/>
  <c r="C1061" i="2"/>
  <c r="A1061" i="2"/>
  <c r="I1060" i="2"/>
  <c r="F1060" i="2"/>
  <c r="E1060" i="2"/>
  <c r="C1060" i="2"/>
  <c r="A1060" i="2"/>
  <c r="I1059" i="2"/>
  <c r="F1059" i="2"/>
  <c r="E1059" i="2"/>
  <c r="C1059" i="2"/>
  <c r="A1059" i="2"/>
  <c r="I1058" i="2"/>
  <c r="F1058" i="2"/>
  <c r="E1058" i="2"/>
  <c r="C1058" i="2"/>
  <c r="A1058" i="2"/>
  <c r="I1057" i="2"/>
  <c r="F1057" i="2"/>
  <c r="E1057" i="2"/>
  <c r="C1057" i="2"/>
  <c r="A1057" i="2"/>
  <c r="I1056" i="2"/>
  <c r="F1056" i="2"/>
  <c r="E1056" i="2"/>
  <c r="C1056" i="2"/>
  <c r="A1056" i="2"/>
  <c r="I1055" i="2"/>
  <c r="F1055" i="2"/>
  <c r="E1055" i="2"/>
  <c r="C1055" i="2"/>
  <c r="A1055" i="2"/>
  <c r="I1054" i="2"/>
  <c r="F1054" i="2"/>
  <c r="E1054" i="2"/>
  <c r="C1054" i="2"/>
  <c r="A1054" i="2"/>
  <c r="I1053" i="2"/>
  <c r="F1053" i="2"/>
  <c r="E1053" i="2"/>
  <c r="C1053" i="2"/>
  <c r="A1053" i="2"/>
  <c r="I1052" i="2"/>
  <c r="F1052" i="2"/>
  <c r="E1052" i="2"/>
  <c r="C1052" i="2"/>
  <c r="A1052" i="2"/>
  <c r="I1051" i="2"/>
  <c r="F1051" i="2"/>
  <c r="E1051" i="2"/>
  <c r="C1051" i="2"/>
  <c r="A1051" i="2"/>
  <c r="I1050" i="2"/>
  <c r="F1050" i="2"/>
  <c r="E1050" i="2"/>
  <c r="C1050" i="2"/>
  <c r="A1050" i="2"/>
  <c r="I1049" i="2"/>
  <c r="F1049" i="2"/>
  <c r="E1049" i="2"/>
  <c r="C1049" i="2"/>
  <c r="A1049" i="2"/>
  <c r="I1048" i="2"/>
  <c r="F1048" i="2"/>
  <c r="E1048" i="2"/>
  <c r="C1048" i="2"/>
  <c r="A1048" i="2"/>
  <c r="I1047" i="2"/>
  <c r="F1047" i="2"/>
  <c r="E1047" i="2"/>
  <c r="C1047" i="2"/>
  <c r="A1047" i="2"/>
  <c r="I1046" i="2"/>
  <c r="F1046" i="2"/>
  <c r="E1046" i="2"/>
  <c r="C1046" i="2"/>
  <c r="A1046" i="2"/>
  <c r="I1045" i="2"/>
  <c r="F1045" i="2"/>
  <c r="E1045" i="2"/>
  <c r="C1045" i="2"/>
  <c r="A1045" i="2"/>
  <c r="I1044" i="2"/>
  <c r="F1044" i="2"/>
  <c r="E1044" i="2"/>
  <c r="C1044" i="2"/>
  <c r="A1044" i="2"/>
  <c r="I1043" i="2"/>
  <c r="F1043" i="2"/>
  <c r="E1043" i="2"/>
  <c r="C1043" i="2"/>
  <c r="A1043" i="2"/>
  <c r="I1042" i="2"/>
  <c r="F1042" i="2"/>
  <c r="E1042" i="2"/>
  <c r="C1042" i="2"/>
  <c r="A1042" i="2"/>
  <c r="I1041" i="2"/>
  <c r="F1041" i="2"/>
  <c r="E1041" i="2"/>
  <c r="C1041" i="2"/>
  <c r="A1041" i="2"/>
  <c r="I1040" i="2"/>
  <c r="F1040" i="2"/>
  <c r="E1040" i="2"/>
  <c r="C1040" i="2"/>
  <c r="A1040" i="2"/>
  <c r="I1039" i="2"/>
  <c r="F1039" i="2"/>
  <c r="E1039" i="2"/>
  <c r="C1039" i="2"/>
  <c r="A1039" i="2"/>
  <c r="I1038" i="2"/>
  <c r="F1038" i="2"/>
  <c r="E1038" i="2"/>
  <c r="C1038" i="2"/>
  <c r="A1038" i="2"/>
  <c r="I1037" i="2"/>
  <c r="F1037" i="2"/>
  <c r="E1037" i="2"/>
  <c r="C1037" i="2"/>
  <c r="A1037" i="2"/>
  <c r="I1036" i="2"/>
  <c r="F1036" i="2"/>
  <c r="E1036" i="2"/>
  <c r="C1036" i="2"/>
  <c r="A1036" i="2"/>
  <c r="I1035" i="2"/>
  <c r="F1035" i="2"/>
  <c r="E1035" i="2"/>
  <c r="C1035" i="2"/>
  <c r="A1035" i="2"/>
  <c r="I1034" i="2"/>
  <c r="F1034" i="2"/>
  <c r="E1034" i="2"/>
  <c r="C1034" i="2"/>
  <c r="A1034" i="2"/>
  <c r="I1033" i="2"/>
  <c r="F1033" i="2"/>
  <c r="E1033" i="2"/>
  <c r="C1033" i="2"/>
  <c r="A1033" i="2"/>
  <c r="I1032" i="2"/>
  <c r="F1032" i="2"/>
  <c r="E1032" i="2"/>
  <c r="C1032" i="2"/>
  <c r="A1032" i="2"/>
  <c r="I1031" i="2"/>
  <c r="F1031" i="2"/>
  <c r="E1031" i="2"/>
  <c r="C1031" i="2"/>
  <c r="A1031" i="2"/>
  <c r="I1030" i="2"/>
  <c r="F1030" i="2"/>
  <c r="E1030" i="2"/>
  <c r="C1030" i="2"/>
  <c r="A1030" i="2"/>
  <c r="I1029" i="2"/>
  <c r="F1029" i="2"/>
  <c r="E1029" i="2"/>
  <c r="C1029" i="2"/>
  <c r="A1029" i="2"/>
  <c r="I1028" i="2"/>
  <c r="F1028" i="2"/>
  <c r="E1028" i="2"/>
  <c r="C1028" i="2"/>
  <c r="A1028" i="2"/>
  <c r="I1027" i="2"/>
  <c r="F1027" i="2"/>
  <c r="E1027" i="2"/>
  <c r="C1027" i="2"/>
  <c r="A1027" i="2"/>
  <c r="I1026" i="2"/>
  <c r="F1026" i="2"/>
  <c r="E1026" i="2"/>
  <c r="C1026" i="2"/>
  <c r="A1026" i="2"/>
  <c r="I1025" i="2"/>
  <c r="F1025" i="2"/>
  <c r="E1025" i="2"/>
  <c r="C1025" i="2"/>
  <c r="A1025" i="2"/>
  <c r="I1024" i="2"/>
  <c r="F1024" i="2"/>
  <c r="E1024" i="2"/>
  <c r="C1024" i="2"/>
  <c r="A1024" i="2"/>
  <c r="I1023" i="2"/>
  <c r="F1023" i="2"/>
  <c r="E1023" i="2"/>
  <c r="C1023" i="2"/>
  <c r="A1023" i="2"/>
  <c r="I1022" i="2"/>
  <c r="F1022" i="2"/>
  <c r="E1022" i="2"/>
  <c r="C1022" i="2"/>
  <c r="A1022" i="2"/>
  <c r="I1021" i="2"/>
  <c r="F1021" i="2"/>
  <c r="E1021" i="2"/>
  <c r="C1021" i="2"/>
  <c r="A1021" i="2"/>
  <c r="I1020" i="2"/>
  <c r="F1020" i="2"/>
  <c r="E1020" i="2"/>
  <c r="C1020" i="2"/>
  <c r="A1020" i="2"/>
  <c r="I1019" i="2"/>
  <c r="F1019" i="2"/>
  <c r="E1019" i="2"/>
  <c r="C1019" i="2"/>
  <c r="A1019" i="2"/>
  <c r="I1018" i="2"/>
  <c r="F1018" i="2"/>
  <c r="E1018" i="2"/>
  <c r="C1018" i="2"/>
  <c r="A1018" i="2"/>
  <c r="I1017" i="2"/>
  <c r="F1017" i="2"/>
  <c r="E1017" i="2"/>
  <c r="C1017" i="2"/>
  <c r="A1017" i="2"/>
  <c r="I1016" i="2"/>
  <c r="F1016" i="2"/>
  <c r="E1016" i="2"/>
  <c r="C1016" i="2"/>
  <c r="A1016" i="2"/>
  <c r="I1015" i="2"/>
  <c r="F1015" i="2"/>
  <c r="E1015" i="2"/>
  <c r="C1015" i="2"/>
  <c r="A1015" i="2"/>
  <c r="I1014" i="2"/>
  <c r="F1014" i="2"/>
  <c r="E1014" i="2"/>
  <c r="C1014" i="2"/>
  <c r="A1014" i="2"/>
  <c r="I1013" i="2"/>
  <c r="F1013" i="2"/>
  <c r="E1013" i="2"/>
  <c r="C1013" i="2"/>
  <c r="A1013" i="2"/>
  <c r="I1012" i="2"/>
  <c r="F1012" i="2"/>
  <c r="E1012" i="2"/>
  <c r="C1012" i="2"/>
  <c r="A1012" i="2"/>
  <c r="I1011" i="2"/>
  <c r="F1011" i="2"/>
  <c r="E1011" i="2"/>
  <c r="C1011" i="2"/>
  <c r="A1011" i="2"/>
  <c r="I1010" i="2"/>
  <c r="F1010" i="2"/>
  <c r="E1010" i="2"/>
  <c r="C1010" i="2"/>
  <c r="A1010" i="2"/>
  <c r="I1009" i="2"/>
  <c r="F1009" i="2"/>
  <c r="E1009" i="2"/>
  <c r="C1009" i="2"/>
  <c r="A1009" i="2"/>
  <c r="I1008" i="2"/>
  <c r="F1008" i="2"/>
  <c r="E1008" i="2"/>
  <c r="C1008" i="2"/>
  <c r="A1008" i="2"/>
  <c r="I1007" i="2"/>
  <c r="F1007" i="2"/>
  <c r="E1007" i="2"/>
  <c r="C1007" i="2"/>
  <c r="A1007" i="2"/>
  <c r="I1006" i="2"/>
  <c r="F1006" i="2"/>
  <c r="E1006" i="2"/>
  <c r="C1006" i="2"/>
  <c r="A1006" i="2"/>
  <c r="I1005" i="2"/>
  <c r="F1005" i="2"/>
  <c r="E1005" i="2"/>
  <c r="C1005" i="2"/>
  <c r="A1005" i="2"/>
  <c r="I1004" i="2"/>
  <c r="F1004" i="2"/>
  <c r="E1004" i="2"/>
  <c r="C1004" i="2"/>
  <c r="A1004" i="2"/>
  <c r="I1003" i="2"/>
  <c r="F1003" i="2"/>
  <c r="E1003" i="2"/>
  <c r="C1003" i="2"/>
  <c r="A1003" i="2"/>
  <c r="I1002" i="2"/>
  <c r="F1002" i="2"/>
  <c r="E1002" i="2"/>
  <c r="C1002" i="2"/>
  <c r="A1002" i="2"/>
  <c r="I1001" i="2"/>
  <c r="F1001" i="2"/>
  <c r="E1001" i="2"/>
  <c r="C1001" i="2"/>
  <c r="A1001" i="2"/>
  <c r="I1000" i="2"/>
  <c r="F1000" i="2"/>
  <c r="E1000" i="2"/>
  <c r="C1000" i="2"/>
  <c r="A1000" i="2"/>
  <c r="I999" i="2"/>
  <c r="F999" i="2"/>
  <c r="E999" i="2"/>
  <c r="C999" i="2"/>
  <c r="A999" i="2"/>
  <c r="I998" i="2"/>
  <c r="F998" i="2"/>
  <c r="E998" i="2"/>
  <c r="C998" i="2"/>
  <c r="A998" i="2"/>
  <c r="I997" i="2"/>
  <c r="F997" i="2"/>
  <c r="E997" i="2"/>
  <c r="C997" i="2"/>
  <c r="A997" i="2"/>
  <c r="I996" i="2"/>
  <c r="F996" i="2"/>
  <c r="E996" i="2"/>
  <c r="C996" i="2"/>
  <c r="A996" i="2"/>
  <c r="I995" i="2"/>
  <c r="F995" i="2"/>
  <c r="E995" i="2"/>
  <c r="C995" i="2"/>
  <c r="A995" i="2"/>
  <c r="I994" i="2"/>
  <c r="F994" i="2"/>
  <c r="E994" i="2"/>
  <c r="C994" i="2"/>
  <c r="A994" i="2"/>
  <c r="I993" i="2"/>
  <c r="F993" i="2"/>
  <c r="E993" i="2"/>
  <c r="C993" i="2"/>
  <c r="A993" i="2"/>
  <c r="I992" i="2"/>
  <c r="F992" i="2"/>
  <c r="E992" i="2"/>
  <c r="C992" i="2"/>
  <c r="A992" i="2"/>
  <c r="I991" i="2"/>
  <c r="F991" i="2"/>
  <c r="E991" i="2"/>
  <c r="C991" i="2"/>
  <c r="A991" i="2"/>
  <c r="I990" i="2"/>
  <c r="F990" i="2"/>
  <c r="E990" i="2"/>
  <c r="C990" i="2"/>
  <c r="A990" i="2"/>
  <c r="I989" i="2"/>
  <c r="F989" i="2"/>
  <c r="E989" i="2"/>
  <c r="C989" i="2"/>
  <c r="A989" i="2"/>
  <c r="I988" i="2"/>
  <c r="F988" i="2"/>
  <c r="E988" i="2"/>
  <c r="C988" i="2"/>
  <c r="A988" i="2"/>
  <c r="I987" i="2"/>
  <c r="F987" i="2"/>
  <c r="E987" i="2"/>
  <c r="C987" i="2"/>
  <c r="A987" i="2"/>
  <c r="I986" i="2"/>
  <c r="F986" i="2"/>
  <c r="E986" i="2"/>
  <c r="C986" i="2"/>
  <c r="A986" i="2"/>
  <c r="I985" i="2"/>
  <c r="F985" i="2"/>
  <c r="E985" i="2"/>
  <c r="C985" i="2"/>
  <c r="A985" i="2"/>
  <c r="I984" i="2"/>
  <c r="F984" i="2"/>
  <c r="E984" i="2"/>
  <c r="C984" i="2"/>
  <c r="A984" i="2"/>
  <c r="I983" i="2"/>
  <c r="F983" i="2"/>
  <c r="E983" i="2"/>
  <c r="C983" i="2"/>
  <c r="A983" i="2"/>
  <c r="I982" i="2"/>
  <c r="F982" i="2"/>
  <c r="E982" i="2"/>
  <c r="C982" i="2"/>
  <c r="A982" i="2"/>
  <c r="I981" i="2"/>
  <c r="F981" i="2"/>
  <c r="E981" i="2"/>
  <c r="C981" i="2"/>
  <c r="A981" i="2"/>
  <c r="I980" i="2"/>
  <c r="F980" i="2"/>
  <c r="E980" i="2"/>
  <c r="C980" i="2"/>
  <c r="A980" i="2"/>
  <c r="I979" i="2"/>
  <c r="F979" i="2"/>
  <c r="E979" i="2"/>
  <c r="C979" i="2"/>
  <c r="A979" i="2"/>
  <c r="I978" i="2"/>
  <c r="F978" i="2"/>
  <c r="E978" i="2"/>
  <c r="C978" i="2"/>
  <c r="A978" i="2"/>
  <c r="I977" i="2"/>
  <c r="F977" i="2"/>
  <c r="E977" i="2"/>
  <c r="C977" i="2"/>
  <c r="A977" i="2"/>
  <c r="I976" i="2"/>
  <c r="F976" i="2"/>
  <c r="E976" i="2"/>
  <c r="C976" i="2"/>
  <c r="A976" i="2"/>
  <c r="I975" i="2"/>
  <c r="F975" i="2"/>
  <c r="E975" i="2"/>
  <c r="C975" i="2"/>
  <c r="A975" i="2"/>
  <c r="I974" i="2"/>
  <c r="F974" i="2"/>
  <c r="E974" i="2"/>
  <c r="C974" i="2"/>
  <c r="A974" i="2"/>
  <c r="I973" i="2"/>
  <c r="F973" i="2"/>
  <c r="E973" i="2"/>
  <c r="C973" i="2"/>
  <c r="A973" i="2"/>
  <c r="I972" i="2"/>
  <c r="F972" i="2"/>
  <c r="E972" i="2"/>
  <c r="C972" i="2"/>
  <c r="A972" i="2"/>
  <c r="I971" i="2"/>
  <c r="F971" i="2"/>
  <c r="E971" i="2"/>
  <c r="C971" i="2"/>
  <c r="A971" i="2"/>
  <c r="I970" i="2"/>
  <c r="F970" i="2"/>
  <c r="E970" i="2"/>
  <c r="C970" i="2"/>
  <c r="A970" i="2"/>
  <c r="I969" i="2"/>
  <c r="F969" i="2"/>
  <c r="E969" i="2"/>
  <c r="C969" i="2"/>
  <c r="A969" i="2"/>
  <c r="I968" i="2"/>
  <c r="F968" i="2"/>
  <c r="E968" i="2"/>
  <c r="C968" i="2"/>
  <c r="A968" i="2"/>
  <c r="I967" i="2"/>
  <c r="F967" i="2"/>
  <c r="E967" i="2"/>
  <c r="C967" i="2"/>
  <c r="A967" i="2"/>
  <c r="I966" i="2"/>
  <c r="F966" i="2"/>
  <c r="E966" i="2"/>
  <c r="C966" i="2"/>
  <c r="A966" i="2"/>
  <c r="I965" i="2"/>
  <c r="F965" i="2"/>
  <c r="E965" i="2"/>
  <c r="C965" i="2"/>
  <c r="A965" i="2"/>
  <c r="I964" i="2"/>
  <c r="F964" i="2"/>
  <c r="E964" i="2"/>
  <c r="C964" i="2"/>
  <c r="A964" i="2"/>
  <c r="I963" i="2"/>
  <c r="F963" i="2"/>
  <c r="E963" i="2"/>
  <c r="C963" i="2"/>
  <c r="A963" i="2"/>
  <c r="I962" i="2"/>
  <c r="F962" i="2"/>
  <c r="E962" i="2"/>
  <c r="C962" i="2"/>
  <c r="A962" i="2"/>
  <c r="I961" i="2"/>
  <c r="F961" i="2"/>
  <c r="E961" i="2"/>
  <c r="C961" i="2"/>
  <c r="A961" i="2"/>
  <c r="I960" i="2"/>
  <c r="F960" i="2"/>
  <c r="E960" i="2"/>
  <c r="C960" i="2"/>
  <c r="A960" i="2"/>
  <c r="I959" i="2"/>
  <c r="F959" i="2"/>
  <c r="E959" i="2"/>
  <c r="C959" i="2"/>
  <c r="A959" i="2"/>
  <c r="I958" i="2"/>
  <c r="F958" i="2"/>
  <c r="E958" i="2"/>
  <c r="C958" i="2"/>
  <c r="A958" i="2"/>
  <c r="I957" i="2"/>
  <c r="F957" i="2"/>
  <c r="E957" i="2"/>
  <c r="C957" i="2"/>
  <c r="A957" i="2"/>
  <c r="I956" i="2"/>
  <c r="F956" i="2"/>
  <c r="E956" i="2"/>
  <c r="C956" i="2"/>
  <c r="A956" i="2"/>
  <c r="I955" i="2"/>
  <c r="F955" i="2"/>
  <c r="E955" i="2"/>
  <c r="C955" i="2"/>
  <c r="A955" i="2"/>
  <c r="I954" i="2"/>
  <c r="F954" i="2"/>
  <c r="E954" i="2"/>
  <c r="C954" i="2"/>
  <c r="A954" i="2"/>
  <c r="I953" i="2"/>
  <c r="F953" i="2"/>
  <c r="E953" i="2"/>
  <c r="C953" i="2"/>
  <c r="A953" i="2"/>
  <c r="I952" i="2"/>
  <c r="F952" i="2"/>
  <c r="E952" i="2"/>
  <c r="C952" i="2"/>
  <c r="A952" i="2"/>
  <c r="I951" i="2"/>
  <c r="F951" i="2"/>
  <c r="E951" i="2"/>
  <c r="C951" i="2"/>
  <c r="A951" i="2"/>
  <c r="I950" i="2"/>
  <c r="F950" i="2"/>
  <c r="E950" i="2"/>
  <c r="C950" i="2"/>
  <c r="A950" i="2"/>
  <c r="I949" i="2"/>
  <c r="F949" i="2"/>
  <c r="E949" i="2"/>
  <c r="C949" i="2"/>
  <c r="A949" i="2"/>
  <c r="I948" i="2"/>
  <c r="F948" i="2"/>
  <c r="E948" i="2"/>
  <c r="C948" i="2"/>
  <c r="A948" i="2"/>
  <c r="I947" i="2"/>
  <c r="F947" i="2"/>
  <c r="E947" i="2"/>
  <c r="C947" i="2"/>
  <c r="A947" i="2"/>
  <c r="I946" i="2"/>
  <c r="F946" i="2"/>
  <c r="E946" i="2"/>
  <c r="C946" i="2"/>
  <c r="A946" i="2"/>
  <c r="I945" i="2"/>
  <c r="F945" i="2"/>
  <c r="E945" i="2"/>
  <c r="C945" i="2"/>
  <c r="A945" i="2"/>
  <c r="I944" i="2"/>
  <c r="F944" i="2"/>
  <c r="E944" i="2"/>
  <c r="C944" i="2"/>
  <c r="A944" i="2"/>
  <c r="I943" i="2"/>
  <c r="F943" i="2"/>
  <c r="E943" i="2"/>
  <c r="C943" i="2"/>
  <c r="A943" i="2"/>
  <c r="I942" i="2"/>
  <c r="F942" i="2"/>
  <c r="E942" i="2"/>
  <c r="C942" i="2"/>
  <c r="A942" i="2"/>
  <c r="I941" i="2"/>
  <c r="F941" i="2"/>
  <c r="E941" i="2"/>
  <c r="C941" i="2"/>
  <c r="A941" i="2"/>
  <c r="I940" i="2"/>
  <c r="F940" i="2"/>
  <c r="E940" i="2"/>
  <c r="C940" i="2"/>
  <c r="A940" i="2"/>
  <c r="I939" i="2"/>
  <c r="F939" i="2"/>
  <c r="E939" i="2"/>
  <c r="C939" i="2"/>
  <c r="A939" i="2"/>
  <c r="I938" i="2"/>
  <c r="F938" i="2"/>
  <c r="E938" i="2"/>
  <c r="C938" i="2"/>
  <c r="A938" i="2"/>
  <c r="I937" i="2"/>
  <c r="F937" i="2"/>
  <c r="E937" i="2"/>
  <c r="C937" i="2"/>
  <c r="A937" i="2"/>
  <c r="I936" i="2"/>
  <c r="F936" i="2"/>
  <c r="E936" i="2"/>
  <c r="C936" i="2"/>
  <c r="A936" i="2"/>
  <c r="I935" i="2"/>
  <c r="F935" i="2"/>
  <c r="E935" i="2"/>
  <c r="C935" i="2"/>
  <c r="A935" i="2"/>
  <c r="I934" i="2"/>
  <c r="F934" i="2"/>
  <c r="E934" i="2"/>
  <c r="C934" i="2"/>
  <c r="A934" i="2"/>
  <c r="I933" i="2"/>
  <c r="F933" i="2"/>
  <c r="E933" i="2"/>
  <c r="C933" i="2"/>
  <c r="A933" i="2"/>
  <c r="I932" i="2"/>
  <c r="F932" i="2"/>
  <c r="E932" i="2"/>
  <c r="C932" i="2"/>
  <c r="A932" i="2"/>
  <c r="I931" i="2"/>
  <c r="F931" i="2"/>
  <c r="E931" i="2"/>
  <c r="C931" i="2"/>
  <c r="A931" i="2"/>
  <c r="I930" i="2"/>
  <c r="F930" i="2"/>
  <c r="E930" i="2"/>
  <c r="C930" i="2"/>
  <c r="A930" i="2"/>
  <c r="I929" i="2"/>
  <c r="F929" i="2"/>
  <c r="E929" i="2"/>
  <c r="C929" i="2"/>
  <c r="A929" i="2"/>
  <c r="I928" i="2"/>
  <c r="F928" i="2"/>
  <c r="E928" i="2"/>
  <c r="C928" i="2"/>
  <c r="A928" i="2"/>
  <c r="I927" i="2"/>
  <c r="F927" i="2"/>
  <c r="E927" i="2"/>
  <c r="C927" i="2"/>
  <c r="A927" i="2"/>
  <c r="I926" i="2"/>
  <c r="F926" i="2"/>
  <c r="E926" i="2"/>
  <c r="C926" i="2"/>
  <c r="A926" i="2"/>
  <c r="I925" i="2"/>
  <c r="F925" i="2"/>
  <c r="E925" i="2"/>
  <c r="C925" i="2"/>
  <c r="A925" i="2"/>
  <c r="I924" i="2"/>
  <c r="F924" i="2"/>
  <c r="E924" i="2"/>
  <c r="C924" i="2"/>
  <c r="A924" i="2"/>
  <c r="I923" i="2"/>
  <c r="F923" i="2"/>
  <c r="E923" i="2"/>
  <c r="C923" i="2"/>
  <c r="A923" i="2"/>
  <c r="I922" i="2"/>
  <c r="F922" i="2"/>
  <c r="E922" i="2"/>
  <c r="C922" i="2"/>
  <c r="A922" i="2"/>
  <c r="I921" i="2"/>
  <c r="F921" i="2"/>
  <c r="E921" i="2"/>
  <c r="C921" i="2"/>
  <c r="A921" i="2"/>
  <c r="I920" i="2"/>
  <c r="F920" i="2"/>
  <c r="E920" i="2"/>
  <c r="C920" i="2"/>
  <c r="A920" i="2"/>
  <c r="I919" i="2"/>
  <c r="F919" i="2"/>
  <c r="E919" i="2"/>
  <c r="C919" i="2"/>
  <c r="A919" i="2"/>
  <c r="I918" i="2"/>
  <c r="F918" i="2"/>
  <c r="E918" i="2"/>
  <c r="C918" i="2"/>
  <c r="A918" i="2"/>
  <c r="I917" i="2"/>
  <c r="F917" i="2"/>
  <c r="E917" i="2"/>
  <c r="C917" i="2"/>
  <c r="A917" i="2"/>
  <c r="I916" i="2"/>
  <c r="F916" i="2"/>
  <c r="E916" i="2"/>
  <c r="C916" i="2"/>
  <c r="A916" i="2"/>
  <c r="I915" i="2"/>
  <c r="F915" i="2"/>
  <c r="E915" i="2"/>
  <c r="C915" i="2"/>
  <c r="A915" i="2"/>
  <c r="I914" i="2"/>
  <c r="F914" i="2"/>
  <c r="E914" i="2"/>
  <c r="C914" i="2"/>
  <c r="A914" i="2"/>
  <c r="I913" i="2"/>
  <c r="F913" i="2"/>
  <c r="E913" i="2"/>
  <c r="C913" i="2"/>
  <c r="A913" i="2"/>
  <c r="I912" i="2"/>
  <c r="F912" i="2"/>
  <c r="E912" i="2"/>
  <c r="C912" i="2"/>
  <c r="A912" i="2"/>
  <c r="I911" i="2"/>
  <c r="F911" i="2"/>
  <c r="E911" i="2"/>
  <c r="C911" i="2"/>
  <c r="A911" i="2"/>
  <c r="I910" i="2"/>
  <c r="F910" i="2"/>
  <c r="E910" i="2"/>
  <c r="C910" i="2"/>
  <c r="A910" i="2"/>
  <c r="I909" i="2"/>
  <c r="F909" i="2"/>
  <c r="E909" i="2"/>
  <c r="C909" i="2"/>
  <c r="A909" i="2"/>
  <c r="I908" i="2"/>
  <c r="F908" i="2"/>
  <c r="E908" i="2"/>
  <c r="C908" i="2"/>
  <c r="A908" i="2"/>
  <c r="I907" i="2"/>
  <c r="F907" i="2"/>
  <c r="E907" i="2"/>
  <c r="C907" i="2"/>
  <c r="A907" i="2"/>
  <c r="I906" i="2"/>
  <c r="F906" i="2"/>
  <c r="E906" i="2"/>
  <c r="C906" i="2"/>
  <c r="A906" i="2"/>
  <c r="I905" i="2"/>
  <c r="F905" i="2"/>
  <c r="E905" i="2"/>
  <c r="C905" i="2"/>
  <c r="A905" i="2"/>
  <c r="I904" i="2"/>
  <c r="F904" i="2"/>
  <c r="E904" i="2"/>
  <c r="C904" i="2"/>
  <c r="A904" i="2"/>
  <c r="I903" i="2"/>
  <c r="F903" i="2"/>
  <c r="E903" i="2"/>
  <c r="C903" i="2"/>
  <c r="A903" i="2"/>
  <c r="I902" i="2"/>
  <c r="F902" i="2"/>
  <c r="E902" i="2"/>
  <c r="C902" i="2"/>
  <c r="A902" i="2"/>
  <c r="I901" i="2"/>
  <c r="F901" i="2"/>
  <c r="E901" i="2"/>
  <c r="C901" i="2"/>
  <c r="A901" i="2"/>
  <c r="I900" i="2"/>
  <c r="F900" i="2"/>
  <c r="E900" i="2"/>
  <c r="C900" i="2"/>
  <c r="A900" i="2"/>
  <c r="I899" i="2"/>
  <c r="F899" i="2"/>
  <c r="E899" i="2"/>
  <c r="C899" i="2"/>
  <c r="A899" i="2"/>
  <c r="I898" i="2"/>
  <c r="F898" i="2"/>
  <c r="E898" i="2"/>
  <c r="C898" i="2"/>
  <c r="A898" i="2"/>
  <c r="I897" i="2"/>
  <c r="F897" i="2"/>
  <c r="E897" i="2"/>
  <c r="C897" i="2"/>
  <c r="A897" i="2"/>
  <c r="I896" i="2"/>
  <c r="F896" i="2"/>
  <c r="E896" i="2"/>
  <c r="C896" i="2"/>
  <c r="A896" i="2"/>
  <c r="I895" i="2"/>
  <c r="F895" i="2"/>
  <c r="E895" i="2"/>
  <c r="C895" i="2"/>
  <c r="A895" i="2"/>
  <c r="I894" i="2"/>
  <c r="F894" i="2"/>
  <c r="E894" i="2"/>
  <c r="C894" i="2"/>
  <c r="A894" i="2"/>
  <c r="I893" i="2"/>
  <c r="F893" i="2"/>
  <c r="E893" i="2"/>
  <c r="C893" i="2"/>
  <c r="A893" i="2"/>
  <c r="I892" i="2"/>
  <c r="F892" i="2"/>
  <c r="E892" i="2"/>
  <c r="C892" i="2"/>
  <c r="A892" i="2"/>
  <c r="I891" i="2"/>
  <c r="F891" i="2"/>
  <c r="E891" i="2"/>
  <c r="C891" i="2"/>
  <c r="A891" i="2"/>
  <c r="I890" i="2"/>
  <c r="F890" i="2"/>
  <c r="E890" i="2"/>
  <c r="C890" i="2"/>
  <c r="A890" i="2"/>
  <c r="I889" i="2"/>
  <c r="F889" i="2"/>
  <c r="E889" i="2"/>
  <c r="C889" i="2"/>
  <c r="A889" i="2"/>
  <c r="I888" i="2"/>
  <c r="F888" i="2"/>
  <c r="E888" i="2"/>
  <c r="C888" i="2"/>
  <c r="A888" i="2"/>
  <c r="I887" i="2"/>
  <c r="F887" i="2"/>
  <c r="E887" i="2"/>
  <c r="C887" i="2"/>
  <c r="A887" i="2"/>
  <c r="I886" i="2"/>
  <c r="F886" i="2"/>
  <c r="E886" i="2"/>
  <c r="C886" i="2"/>
  <c r="A886" i="2"/>
  <c r="I885" i="2"/>
  <c r="F885" i="2"/>
  <c r="E885" i="2"/>
  <c r="C885" i="2"/>
  <c r="A885" i="2"/>
  <c r="I884" i="2"/>
  <c r="F884" i="2"/>
  <c r="E884" i="2"/>
  <c r="C884" i="2"/>
  <c r="A884" i="2"/>
  <c r="I883" i="2"/>
  <c r="F883" i="2"/>
  <c r="E883" i="2"/>
  <c r="C883" i="2"/>
  <c r="A883" i="2"/>
  <c r="I882" i="2"/>
  <c r="F882" i="2"/>
  <c r="E882" i="2"/>
  <c r="C882" i="2"/>
  <c r="A882" i="2"/>
  <c r="I881" i="2"/>
  <c r="F881" i="2"/>
  <c r="E881" i="2"/>
  <c r="C881" i="2"/>
  <c r="A881" i="2"/>
  <c r="I880" i="2"/>
  <c r="F880" i="2"/>
  <c r="E880" i="2"/>
  <c r="C880" i="2"/>
  <c r="A880" i="2"/>
  <c r="I879" i="2"/>
  <c r="F879" i="2"/>
  <c r="E879" i="2"/>
  <c r="C879" i="2"/>
  <c r="A879" i="2"/>
  <c r="I878" i="2"/>
  <c r="F878" i="2"/>
  <c r="E878" i="2"/>
  <c r="C878" i="2"/>
  <c r="A878" i="2"/>
  <c r="I877" i="2"/>
  <c r="F877" i="2"/>
  <c r="E877" i="2"/>
  <c r="C877" i="2"/>
  <c r="A877" i="2"/>
  <c r="I876" i="2"/>
  <c r="F876" i="2"/>
  <c r="E876" i="2"/>
  <c r="C876" i="2"/>
  <c r="A876" i="2"/>
  <c r="I875" i="2"/>
  <c r="F875" i="2"/>
  <c r="E875" i="2"/>
  <c r="C875" i="2"/>
  <c r="A875" i="2"/>
  <c r="I874" i="2"/>
  <c r="F874" i="2"/>
  <c r="E874" i="2"/>
  <c r="C874" i="2"/>
  <c r="A874" i="2"/>
  <c r="I873" i="2"/>
  <c r="F873" i="2"/>
  <c r="E873" i="2"/>
  <c r="C873" i="2"/>
  <c r="A873" i="2"/>
  <c r="I872" i="2"/>
  <c r="F872" i="2"/>
  <c r="E872" i="2"/>
  <c r="C872" i="2"/>
  <c r="A872" i="2"/>
  <c r="I871" i="2"/>
  <c r="F871" i="2"/>
  <c r="E871" i="2"/>
  <c r="C871" i="2"/>
  <c r="A871" i="2"/>
  <c r="I870" i="2"/>
  <c r="F870" i="2"/>
  <c r="E870" i="2"/>
  <c r="C870" i="2"/>
  <c r="A870" i="2"/>
  <c r="I869" i="2"/>
  <c r="F869" i="2"/>
  <c r="E869" i="2"/>
  <c r="C869" i="2"/>
  <c r="A869" i="2"/>
  <c r="I868" i="2"/>
  <c r="F868" i="2"/>
  <c r="E868" i="2"/>
  <c r="C868" i="2"/>
  <c r="A868" i="2"/>
  <c r="I867" i="2"/>
  <c r="F867" i="2"/>
  <c r="E867" i="2"/>
  <c r="C867" i="2"/>
  <c r="A867" i="2"/>
  <c r="I866" i="2"/>
  <c r="F866" i="2"/>
  <c r="E866" i="2"/>
  <c r="C866" i="2"/>
  <c r="A866" i="2"/>
  <c r="I865" i="2"/>
  <c r="F865" i="2"/>
  <c r="E865" i="2"/>
  <c r="C865" i="2"/>
  <c r="A865" i="2"/>
  <c r="I864" i="2"/>
  <c r="F864" i="2"/>
  <c r="E864" i="2"/>
  <c r="C864" i="2"/>
  <c r="A864" i="2"/>
  <c r="I863" i="2"/>
  <c r="F863" i="2"/>
  <c r="E863" i="2"/>
  <c r="C863" i="2"/>
  <c r="A863" i="2"/>
  <c r="I862" i="2"/>
  <c r="F862" i="2"/>
  <c r="E862" i="2"/>
  <c r="C862" i="2"/>
  <c r="A862" i="2"/>
  <c r="I861" i="2"/>
  <c r="F861" i="2"/>
  <c r="E861" i="2"/>
  <c r="C861" i="2"/>
  <c r="A861" i="2"/>
  <c r="I860" i="2"/>
  <c r="F860" i="2"/>
  <c r="E860" i="2"/>
  <c r="C860" i="2"/>
  <c r="A860" i="2"/>
  <c r="I859" i="2"/>
  <c r="F859" i="2"/>
  <c r="E859" i="2"/>
  <c r="C859" i="2"/>
  <c r="A859" i="2"/>
  <c r="I858" i="2"/>
  <c r="F858" i="2"/>
  <c r="E858" i="2"/>
  <c r="C858" i="2"/>
  <c r="A858" i="2"/>
  <c r="I857" i="2"/>
  <c r="F857" i="2"/>
  <c r="E857" i="2"/>
  <c r="C857" i="2"/>
  <c r="A857" i="2"/>
  <c r="I856" i="2"/>
  <c r="F856" i="2"/>
  <c r="E856" i="2"/>
  <c r="C856" i="2"/>
  <c r="A856" i="2"/>
  <c r="I855" i="2"/>
  <c r="F855" i="2"/>
  <c r="E855" i="2"/>
  <c r="C855" i="2"/>
  <c r="A855" i="2"/>
  <c r="I854" i="2"/>
  <c r="F854" i="2"/>
  <c r="E854" i="2"/>
  <c r="C854" i="2"/>
  <c r="A854" i="2"/>
  <c r="I853" i="2"/>
  <c r="F853" i="2"/>
  <c r="E853" i="2"/>
  <c r="C853" i="2"/>
  <c r="A853" i="2"/>
  <c r="I852" i="2"/>
  <c r="F852" i="2"/>
  <c r="E852" i="2"/>
  <c r="C852" i="2"/>
  <c r="A852" i="2"/>
  <c r="I851" i="2"/>
  <c r="F851" i="2"/>
  <c r="E851" i="2"/>
  <c r="C851" i="2"/>
  <c r="A851" i="2"/>
  <c r="I850" i="2"/>
  <c r="F850" i="2"/>
  <c r="E850" i="2"/>
  <c r="C850" i="2"/>
  <c r="A850" i="2"/>
  <c r="I849" i="2"/>
  <c r="F849" i="2"/>
  <c r="E849" i="2"/>
  <c r="C849" i="2"/>
  <c r="A849" i="2"/>
  <c r="I848" i="2"/>
  <c r="F848" i="2"/>
  <c r="E848" i="2"/>
  <c r="C848" i="2"/>
  <c r="A848" i="2"/>
  <c r="I847" i="2"/>
  <c r="F847" i="2"/>
  <c r="E847" i="2"/>
  <c r="C847" i="2"/>
  <c r="A847" i="2"/>
  <c r="I846" i="2"/>
  <c r="F846" i="2"/>
  <c r="E846" i="2"/>
  <c r="C846" i="2"/>
  <c r="A846" i="2"/>
  <c r="I845" i="2"/>
  <c r="F845" i="2"/>
  <c r="E845" i="2"/>
  <c r="C845" i="2"/>
  <c r="A845" i="2"/>
  <c r="I844" i="2"/>
  <c r="F844" i="2"/>
  <c r="E844" i="2"/>
  <c r="C844" i="2"/>
  <c r="A844" i="2"/>
  <c r="I843" i="2"/>
  <c r="F843" i="2"/>
  <c r="E843" i="2"/>
  <c r="C843" i="2"/>
  <c r="A843" i="2"/>
  <c r="I842" i="2"/>
  <c r="F842" i="2"/>
  <c r="E842" i="2"/>
  <c r="C842" i="2"/>
  <c r="A842" i="2"/>
  <c r="I841" i="2"/>
  <c r="F841" i="2"/>
  <c r="E841" i="2"/>
  <c r="C841" i="2"/>
  <c r="A841" i="2"/>
  <c r="I840" i="2"/>
  <c r="F840" i="2"/>
  <c r="E840" i="2"/>
  <c r="C840" i="2"/>
  <c r="A840" i="2"/>
  <c r="I839" i="2"/>
  <c r="F839" i="2"/>
  <c r="E839" i="2"/>
  <c r="C839" i="2"/>
  <c r="A839" i="2"/>
  <c r="I838" i="2"/>
  <c r="F838" i="2"/>
  <c r="E838" i="2"/>
  <c r="C838" i="2"/>
  <c r="A838" i="2"/>
  <c r="I837" i="2"/>
  <c r="F837" i="2"/>
  <c r="E837" i="2"/>
  <c r="C837" i="2"/>
  <c r="A837" i="2"/>
  <c r="I836" i="2"/>
  <c r="F836" i="2"/>
  <c r="E836" i="2"/>
  <c r="C836" i="2"/>
  <c r="A836" i="2"/>
  <c r="I835" i="2"/>
  <c r="F835" i="2"/>
  <c r="E835" i="2"/>
  <c r="C835" i="2"/>
  <c r="A835" i="2"/>
  <c r="I834" i="2"/>
  <c r="F834" i="2"/>
  <c r="E834" i="2"/>
  <c r="C834" i="2"/>
  <c r="A834" i="2"/>
  <c r="I833" i="2"/>
  <c r="F833" i="2"/>
  <c r="E833" i="2"/>
  <c r="C833" i="2"/>
  <c r="A833" i="2"/>
  <c r="I832" i="2"/>
  <c r="F832" i="2"/>
  <c r="E832" i="2"/>
  <c r="C832" i="2"/>
  <c r="A832" i="2"/>
  <c r="I831" i="2"/>
  <c r="F831" i="2"/>
  <c r="E831" i="2"/>
  <c r="C831" i="2"/>
  <c r="A831" i="2"/>
  <c r="I830" i="2"/>
  <c r="F830" i="2"/>
  <c r="E830" i="2"/>
  <c r="C830" i="2"/>
  <c r="A830" i="2"/>
  <c r="I829" i="2"/>
  <c r="F829" i="2"/>
  <c r="E829" i="2"/>
  <c r="C829" i="2"/>
  <c r="A829" i="2"/>
  <c r="I828" i="2"/>
  <c r="F828" i="2"/>
  <c r="E828" i="2"/>
  <c r="C828" i="2"/>
  <c r="A828" i="2"/>
  <c r="I827" i="2"/>
  <c r="F827" i="2"/>
  <c r="E827" i="2"/>
  <c r="C827" i="2"/>
  <c r="A827" i="2"/>
  <c r="I826" i="2"/>
  <c r="F826" i="2"/>
  <c r="E826" i="2"/>
  <c r="C826" i="2"/>
  <c r="A826" i="2"/>
  <c r="I825" i="2"/>
  <c r="F825" i="2"/>
  <c r="E825" i="2"/>
  <c r="C825" i="2"/>
  <c r="A825" i="2"/>
  <c r="I824" i="2"/>
  <c r="F824" i="2"/>
  <c r="E824" i="2"/>
  <c r="C824" i="2"/>
  <c r="A824" i="2"/>
  <c r="I823" i="2"/>
  <c r="F823" i="2"/>
  <c r="E823" i="2"/>
  <c r="C823" i="2"/>
  <c r="A823" i="2"/>
  <c r="I822" i="2"/>
  <c r="F822" i="2"/>
  <c r="E822" i="2"/>
  <c r="C822" i="2"/>
  <c r="A822" i="2"/>
  <c r="I821" i="2"/>
  <c r="F821" i="2"/>
  <c r="E821" i="2"/>
  <c r="C821" i="2"/>
  <c r="A821" i="2"/>
  <c r="I820" i="2"/>
  <c r="F820" i="2"/>
  <c r="E820" i="2"/>
  <c r="C820" i="2"/>
  <c r="A820" i="2"/>
  <c r="I819" i="2"/>
  <c r="F819" i="2"/>
  <c r="E819" i="2"/>
  <c r="C819" i="2"/>
  <c r="A819" i="2"/>
  <c r="I818" i="2"/>
  <c r="F818" i="2"/>
  <c r="E818" i="2"/>
  <c r="C818" i="2"/>
  <c r="A818" i="2"/>
  <c r="I817" i="2"/>
  <c r="F817" i="2"/>
  <c r="E817" i="2"/>
  <c r="C817" i="2"/>
  <c r="A817" i="2"/>
  <c r="I816" i="2"/>
  <c r="F816" i="2"/>
  <c r="E816" i="2"/>
  <c r="C816" i="2"/>
  <c r="A816" i="2"/>
  <c r="I815" i="2"/>
  <c r="F815" i="2"/>
  <c r="E815" i="2"/>
  <c r="C815" i="2"/>
  <c r="A815" i="2"/>
  <c r="I814" i="2"/>
  <c r="F814" i="2"/>
  <c r="E814" i="2"/>
  <c r="C814" i="2"/>
  <c r="A814" i="2"/>
  <c r="I813" i="2"/>
  <c r="F813" i="2"/>
  <c r="E813" i="2"/>
  <c r="C813" i="2"/>
  <c r="A813" i="2"/>
  <c r="I812" i="2"/>
  <c r="F812" i="2"/>
  <c r="E812" i="2"/>
  <c r="C812" i="2"/>
  <c r="A812" i="2"/>
  <c r="I811" i="2"/>
  <c r="F811" i="2"/>
  <c r="E811" i="2"/>
  <c r="C811" i="2"/>
  <c r="A811" i="2"/>
  <c r="I810" i="2"/>
  <c r="F810" i="2"/>
  <c r="E810" i="2"/>
  <c r="C810" i="2"/>
  <c r="A810" i="2"/>
  <c r="I809" i="2"/>
  <c r="F809" i="2"/>
  <c r="E809" i="2"/>
  <c r="C809" i="2"/>
  <c r="A809" i="2"/>
  <c r="I808" i="2"/>
  <c r="F808" i="2"/>
  <c r="E808" i="2"/>
  <c r="C808" i="2"/>
  <c r="A808" i="2"/>
  <c r="I807" i="2"/>
  <c r="F807" i="2"/>
  <c r="E807" i="2"/>
  <c r="C807" i="2"/>
  <c r="A807" i="2"/>
  <c r="I806" i="2"/>
  <c r="F806" i="2"/>
  <c r="E806" i="2"/>
  <c r="C806" i="2"/>
  <c r="A806" i="2"/>
  <c r="I805" i="2"/>
  <c r="F805" i="2"/>
  <c r="E805" i="2"/>
  <c r="C805" i="2"/>
  <c r="A805" i="2"/>
  <c r="I804" i="2"/>
  <c r="F804" i="2"/>
  <c r="E804" i="2"/>
  <c r="C804" i="2"/>
  <c r="A804" i="2"/>
  <c r="I803" i="2"/>
  <c r="F803" i="2"/>
  <c r="E803" i="2"/>
  <c r="C803" i="2"/>
  <c r="A803" i="2"/>
  <c r="I802" i="2"/>
  <c r="F802" i="2"/>
  <c r="E802" i="2"/>
  <c r="C802" i="2"/>
  <c r="A802" i="2"/>
  <c r="I801" i="2"/>
  <c r="F801" i="2"/>
  <c r="E801" i="2"/>
  <c r="C801" i="2"/>
  <c r="A801" i="2"/>
  <c r="I800" i="2"/>
  <c r="F800" i="2"/>
  <c r="E800" i="2"/>
  <c r="C800" i="2"/>
  <c r="A800" i="2"/>
  <c r="I799" i="2"/>
  <c r="F799" i="2"/>
  <c r="E799" i="2"/>
  <c r="C799" i="2"/>
  <c r="A799" i="2"/>
  <c r="I798" i="2"/>
  <c r="F798" i="2"/>
  <c r="E798" i="2"/>
  <c r="C798" i="2"/>
  <c r="A798" i="2"/>
  <c r="I797" i="2"/>
  <c r="F797" i="2"/>
  <c r="E797" i="2"/>
  <c r="C797" i="2"/>
  <c r="A797" i="2"/>
  <c r="I796" i="2"/>
  <c r="F796" i="2"/>
  <c r="E796" i="2"/>
  <c r="C796" i="2"/>
  <c r="A796" i="2"/>
  <c r="I795" i="2"/>
  <c r="F795" i="2"/>
  <c r="E795" i="2"/>
  <c r="C795" i="2"/>
  <c r="A795" i="2"/>
  <c r="I794" i="2"/>
  <c r="F794" i="2"/>
  <c r="E794" i="2"/>
  <c r="C794" i="2"/>
  <c r="A794" i="2"/>
  <c r="I793" i="2"/>
  <c r="F793" i="2"/>
  <c r="E793" i="2"/>
  <c r="C793" i="2"/>
  <c r="A793" i="2"/>
  <c r="I792" i="2"/>
  <c r="F792" i="2"/>
  <c r="E792" i="2"/>
  <c r="C792" i="2"/>
  <c r="A792" i="2"/>
  <c r="I791" i="2"/>
  <c r="F791" i="2"/>
  <c r="E791" i="2"/>
  <c r="C791" i="2"/>
  <c r="A791" i="2"/>
  <c r="I790" i="2"/>
  <c r="F790" i="2"/>
  <c r="E790" i="2"/>
  <c r="C790" i="2"/>
  <c r="A790" i="2"/>
  <c r="I789" i="2"/>
  <c r="F789" i="2"/>
  <c r="E789" i="2"/>
  <c r="C789" i="2"/>
  <c r="A789" i="2"/>
  <c r="I788" i="2"/>
  <c r="F788" i="2"/>
  <c r="E788" i="2"/>
  <c r="C788" i="2"/>
  <c r="A788" i="2"/>
  <c r="I787" i="2"/>
  <c r="F787" i="2"/>
  <c r="E787" i="2"/>
  <c r="C787" i="2"/>
  <c r="A787" i="2"/>
  <c r="I786" i="2"/>
  <c r="F786" i="2"/>
  <c r="E786" i="2"/>
  <c r="C786" i="2"/>
  <c r="A786" i="2"/>
  <c r="I785" i="2"/>
  <c r="F785" i="2"/>
  <c r="E785" i="2"/>
  <c r="C785" i="2"/>
  <c r="A785" i="2"/>
  <c r="I784" i="2"/>
  <c r="F784" i="2"/>
  <c r="E784" i="2"/>
  <c r="C784" i="2"/>
  <c r="A784" i="2"/>
  <c r="I783" i="2"/>
  <c r="F783" i="2"/>
  <c r="E783" i="2"/>
  <c r="C783" i="2"/>
  <c r="A783" i="2"/>
  <c r="I782" i="2"/>
  <c r="F782" i="2"/>
  <c r="E782" i="2"/>
  <c r="C782" i="2"/>
  <c r="A782" i="2"/>
  <c r="I781" i="2"/>
  <c r="F781" i="2"/>
  <c r="E781" i="2"/>
  <c r="C781" i="2"/>
  <c r="A781" i="2"/>
  <c r="I780" i="2"/>
  <c r="F780" i="2"/>
  <c r="E780" i="2"/>
  <c r="C780" i="2"/>
  <c r="A780" i="2"/>
  <c r="I779" i="2"/>
  <c r="F779" i="2"/>
  <c r="E779" i="2"/>
  <c r="C779" i="2"/>
  <c r="A779" i="2"/>
  <c r="I778" i="2"/>
  <c r="F778" i="2"/>
  <c r="E778" i="2"/>
  <c r="C778" i="2"/>
  <c r="A778" i="2"/>
  <c r="I777" i="2"/>
  <c r="F777" i="2"/>
  <c r="E777" i="2"/>
  <c r="C777" i="2"/>
  <c r="A777" i="2"/>
  <c r="I776" i="2"/>
  <c r="F776" i="2"/>
  <c r="E776" i="2"/>
  <c r="C776" i="2"/>
  <c r="A776" i="2"/>
  <c r="I775" i="2"/>
  <c r="F775" i="2"/>
  <c r="E775" i="2"/>
  <c r="C775" i="2"/>
  <c r="A775" i="2"/>
  <c r="I774" i="2"/>
  <c r="F774" i="2"/>
  <c r="E774" i="2"/>
  <c r="C774" i="2"/>
  <c r="A774" i="2"/>
  <c r="I773" i="2"/>
  <c r="F773" i="2"/>
  <c r="E773" i="2"/>
  <c r="C773" i="2"/>
  <c r="A773" i="2"/>
  <c r="I772" i="2"/>
  <c r="F772" i="2"/>
  <c r="E772" i="2"/>
  <c r="C772" i="2"/>
  <c r="A772" i="2"/>
  <c r="I771" i="2"/>
  <c r="F771" i="2"/>
  <c r="E771" i="2"/>
  <c r="C771" i="2"/>
  <c r="A771" i="2"/>
  <c r="I770" i="2"/>
  <c r="F770" i="2"/>
  <c r="E770" i="2"/>
  <c r="C770" i="2"/>
  <c r="A770" i="2"/>
  <c r="I769" i="2"/>
  <c r="F769" i="2"/>
  <c r="E769" i="2"/>
  <c r="C769" i="2"/>
  <c r="A769" i="2"/>
  <c r="I768" i="2"/>
  <c r="F768" i="2"/>
  <c r="E768" i="2"/>
  <c r="C768" i="2"/>
  <c r="A768" i="2"/>
  <c r="I767" i="2"/>
  <c r="F767" i="2"/>
  <c r="E767" i="2"/>
  <c r="C767" i="2"/>
  <c r="A767" i="2"/>
  <c r="I766" i="2"/>
  <c r="F766" i="2"/>
  <c r="E766" i="2"/>
  <c r="C766" i="2"/>
  <c r="A766" i="2"/>
  <c r="I765" i="2"/>
  <c r="F765" i="2"/>
  <c r="E765" i="2"/>
  <c r="C765" i="2"/>
  <c r="A765" i="2"/>
  <c r="I764" i="2"/>
  <c r="F764" i="2"/>
  <c r="E764" i="2"/>
  <c r="C764" i="2"/>
  <c r="A764" i="2"/>
  <c r="I763" i="2"/>
  <c r="F763" i="2"/>
  <c r="E763" i="2"/>
  <c r="C763" i="2"/>
  <c r="A763" i="2"/>
  <c r="I762" i="2"/>
  <c r="F762" i="2"/>
  <c r="E762" i="2"/>
  <c r="C762" i="2"/>
  <c r="A762" i="2"/>
  <c r="I761" i="2"/>
  <c r="F761" i="2"/>
  <c r="E761" i="2"/>
  <c r="C761" i="2"/>
  <c r="A761" i="2"/>
  <c r="I760" i="2"/>
  <c r="F760" i="2"/>
  <c r="E760" i="2"/>
  <c r="C760" i="2"/>
  <c r="A760" i="2"/>
  <c r="I759" i="2"/>
  <c r="F759" i="2"/>
  <c r="E759" i="2"/>
  <c r="C759" i="2"/>
  <c r="A759" i="2"/>
  <c r="I758" i="2"/>
  <c r="F758" i="2"/>
  <c r="E758" i="2"/>
  <c r="C758" i="2"/>
  <c r="A758" i="2"/>
  <c r="I757" i="2"/>
  <c r="F757" i="2"/>
  <c r="E757" i="2"/>
  <c r="C757" i="2"/>
  <c r="A757" i="2"/>
  <c r="I756" i="2"/>
  <c r="F756" i="2"/>
  <c r="E756" i="2"/>
  <c r="C756" i="2"/>
  <c r="A756" i="2"/>
  <c r="I755" i="2"/>
  <c r="F755" i="2"/>
  <c r="E755" i="2"/>
  <c r="C755" i="2"/>
  <c r="A755" i="2"/>
  <c r="I754" i="2"/>
  <c r="F754" i="2"/>
  <c r="E754" i="2"/>
  <c r="C754" i="2"/>
  <c r="A754" i="2"/>
  <c r="I753" i="2"/>
  <c r="F753" i="2"/>
  <c r="E753" i="2"/>
  <c r="C753" i="2"/>
  <c r="A753" i="2"/>
  <c r="I752" i="2"/>
  <c r="F752" i="2"/>
  <c r="E752" i="2"/>
  <c r="C752" i="2"/>
  <c r="A752" i="2"/>
  <c r="I751" i="2"/>
  <c r="F751" i="2"/>
  <c r="E751" i="2"/>
  <c r="C751" i="2"/>
  <c r="A751" i="2"/>
  <c r="I750" i="2"/>
  <c r="F750" i="2"/>
  <c r="E750" i="2"/>
  <c r="C750" i="2"/>
  <c r="A750" i="2"/>
  <c r="I749" i="2"/>
  <c r="F749" i="2"/>
  <c r="E749" i="2"/>
  <c r="C749" i="2"/>
  <c r="A749" i="2"/>
  <c r="I748" i="2"/>
  <c r="F748" i="2"/>
  <c r="E748" i="2"/>
  <c r="C748" i="2"/>
  <c r="A748" i="2"/>
  <c r="I747" i="2"/>
  <c r="F747" i="2"/>
  <c r="E747" i="2"/>
  <c r="C747" i="2"/>
  <c r="A747" i="2"/>
  <c r="I746" i="2"/>
  <c r="F746" i="2"/>
  <c r="E746" i="2"/>
  <c r="C746" i="2"/>
  <c r="A746" i="2"/>
  <c r="I745" i="2"/>
  <c r="F745" i="2"/>
  <c r="E745" i="2"/>
  <c r="C745" i="2"/>
  <c r="A745" i="2"/>
  <c r="I744" i="2"/>
  <c r="F744" i="2"/>
  <c r="E744" i="2"/>
  <c r="C744" i="2"/>
  <c r="A744" i="2"/>
  <c r="I743" i="2"/>
  <c r="F743" i="2"/>
  <c r="E743" i="2"/>
  <c r="C743" i="2"/>
  <c r="A743" i="2"/>
  <c r="I742" i="2"/>
  <c r="F742" i="2"/>
  <c r="E742" i="2"/>
  <c r="C742" i="2"/>
  <c r="A742" i="2"/>
  <c r="I741" i="2"/>
  <c r="F741" i="2"/>
  <c r="E741" i="2"/>
  <c r="C741" i="2"/>
  <c r="A741" i="2"/>
  <c r="I740" i="2"/>
  <c r="F740" i="2"/>
  <c r="E740" i="2"/>
  <c r="C740" i="2"/>
  <c r="A740" i="2"/>
  <c r="I739" i="2"/>
  <c r="F739" i="2"/>
  <c r="E739" i="2"/>
  <c r="C739" i="2"/>
  <c r="A739" i="2"/>
  <c r="I738" i="2"/>
  <c r="F738" i="2"/>
  <c r="E738" i="2"/>
  <c r="C738" i="2"/>
  <c r="A738" i="2"/>
  <c r="I737" i="2"/>
  <c r="F737" i="2"/>
  <c r="E737" i="2"/>
  <c r="C737" i="2"/>
  <c r="A737" i="2"/>
  <c r="I736" i="2"/>
  <c r="F736" i="2"/>
  <c r="E736" i="2"/>
  <c r="C736" i="2"/>
  <c r="A736" i="2"/>
  <c r="I735" i="2"/>
  <c r="F735" i="2"/>
  <c r="E735" i="2"/>
  <c r="C735" i="2"/>
  <c r="A735" i="2"/>
  <c r="I734" i="2"/>
  <c r="F734" i="2"/>
  <c r="E734" i="2"/>
  <c r="C734" i="2"/>
  <c r="A734" i="2"/>
  <c r="I733" i="2"/>
  <c r="F733" i="2"/>
  <c r="E733" i="2"/>
  <c r="C733" i="2"/>
  <c r="A733" i="2"/>
  <c r="I732" i="2"/>
  <c r="F732" i="2"/>
  <c r="E732" i="2"/>
  <c r="C732" i="2"/>
  <c r="A732" i="2"/>
  <c r="I731" i="2"/>
  <c r="F731" i="2"/>
  <c r="E731" i="2"/>
  <c r="C731" i="2"/>
  <c r="A731" i="2"/>
  <c r="I730" i="2"/>
  <c r="F730" i="2"/>
  <c r="E730" i="2"/>
  <c r="C730" i="2"/>
  <c r="A730" i="2"/>
  <c r="I729" i="2"/>
  <c r="F729" i="2"/>
  <c r="E729" i="2"/>
  <c r="C729" i="2"/>
  <c r="A729" i="2"/>
  <c r="I728" i="2"/>
  <c r="F728" i="2"/>
  <c r="E728" i="2"/>
  <c r="C728" i="2"/>
  <c r="A728" i="2"/>
  <c r="I727" i="2"/>
  <c r="F727" i="2"/>
  <c r="E727" i="2"/>
  <c r="C727" i="2"/>
  <c r="A727" i="2"/>
  <c r="I726" i="2"/>
  <c r="F726" i="2"/>
  <c r="E726" i="2"/>
  <c r="C726" i="2"/>
  <c r="A726" i="2"/>
  <c r="I725" i="2"/>
  <c r="F725" i="2"/>
  <c r="E725" i="2"/>
  <c r="C725" i="2"/>
  <c r="A725" i="2"/>
  <c r="I724" i="2"/>
  <c r="F724" i="2"/>
  <c r="E724" i="2"/>
  <c r="C724" i="2"/>
  <c r="A724" i="2"/>
  <c r="I723" i="2"/>
  <c r="F723" i="2"/>
  <c r="E723" i="2"/>
  <c r="C723" i="2"/>
  <c r="A723" i="2"/>
  <c r="I722" i="2"/>
  <c r="F722" i="2"/>
  <c r="E722" i="2"/>
  <c r="C722" i="2"/>
  <c r="A722" i="2"/>
  <c r="I721" i="2"/>
  <c r="F721" i="2"/>
  <c r="E721" i="2"/>
  <c r="C721" i="2"/>
  <c r="A721" i="2"/>
  <c r="I720" i="2"/>
  <c r="F720" i="2"/>
  <c r="E720" i="2"/>
  <c r="C720" i="2"/>
  <c r="A720" i="2"/>
  <c r="I719" i="2"/>
  <c r="F719" i="2"/>
  <c r="E719" i="2"/>
  <c r="C719" i="2"/>
  <c r="A719" i="2"/>
  <c r="I718" i="2"/>
  <c r="F718" i="2"/>
  <c r="E718" i="2"/>
  <c r="C718" i="2"/>
  <c r="A718" i="2"/>
  <c r="I717" i="2"/>
  <c r="F717" i="2"/>
  <c r="E717" i="2"/>
  <c r="C717" i="2"/>
  <c r="A717" i="2"/>
  <c r="I716" i="2"/>
  <c r="F716" i="2"/>
  <c r="E716" i="2"/>
  <c r="C716" i="2"/>
  <c r="A716" i="2"/>
  <c r="I715" i="2"/>
  <c r="F715" i="2"/>
  <c r="E715" i="2"/>
  <c r="C715" i="2"/>
  <c r="A715" i="2"/>
  <c r="I714" i="2"/>
  <c r="F714" i="2"/>
  <c r="E714" i="2"/>
  <c r="C714" i="2"/>
  <c r="A714" i="2"/>
  <c r="I713" i="2"/>
  <c r="F713" i="2"/>
  <c r="E713" i="2"/>
  <c r="C713" i="2"/>
  <c r="A713" i="2"/>
  <c r="I712" i="2"/>
  <c r="F712" i="2"/>
  <c r="E712" i="2"/>
  <c r="C712" i="2"/>
  <c r="A712" i="2"/>
  <c r="I711" i="2"/>
  <c r="F711" i="2"/>
  <c r="E711" i="2"/>
  <c r="C711" i="2"/>
  <c r="A711" i="2"/>
  <c r="I710" i="2"/>
  <c r="F710" i="2"/>
  <c r="E710" i="2"/>
  <c r="C710" i="2"/>
  <c r="A710" i="2"/>
  <c r="I709" i="2"/>
  <c r="F709" i="2"/>
  <c r="E709" i="2"/>
  <c r="C709" i="2"/>
  <c r="A709" i="2"/>
  <c r="I708" i="2"/>
  <c r="F708" i="2"/>
  <c r="E708" i="2"/>
  <c r="C708" i="2"/>
  <c r="A708" i="2"/>
  <c r="I707" i="2"/>
  <c r="F707" i="2"/>
  <c r="E707" i="2"/>
  <c r="C707" i="2"/>
  <c r="A707" i="2"/>
  <c r="I706" i="2"/>
  <c r="F706" i="2"/>
  <c r="E706" i="2"/>
  <c r="C706" i="2"/>
  <c r="A706" i="2"/>
  <c r="I705" i="2"/>
  <c r="F705" i="2"/>
  <c r="E705" i="2"/>
  <c r="C705" i="2"/>
  <c r="A705" i="2"/>
  <c r="I704" i="2"/>
  <c r="F704" i="2"/>
  <c r="E704" i="2"/>
  <c r="C704" i="2"/>
  <c r="A704" i="2"/>
  <c r="I703" i="2"/>
  <c r="F703" i="2"/>
  <c r="E703" i="2"/>
  <c r="C703" i="2"/>
  <c r="A703" i="2"/>
  <c r="I702" i="2"/>
  <c r="F702" i="2"/>
  <c r="E702" i="2"/>
  <c r="C702" i="2"/>
  <c r="A702" i="2"/>
  <c r="I701" i="2"/>
  <c r="F701" i="2"/>
  <c r="E701" i="2"/>
  <c r="C701" i="2"/>
  <c r="A701" i="2"/>
  <c r="I700" i="2"/>
  <c r="F700" i="2"/>
  <c r="E700" i="2"/>
  <c r="C700" i="2"/>
  <c r="A700" i="2"/>
  <c r="I699" i="2"/>
  <c r="F699" i="2"/>
  <c r="E699" i="2"/>
  <c r="C699" i="2"/>
  <c r="A699" i="2"/>
  <c r="I698" i="2"/>
  <c r="F698" i="2"/>
  <c r="E698" i="2"/>
  <c r="C698" i="2"/>
  <c r="A698" i="2"/>
  <c r="I697" i="2"/>
  <c r="F697" i="2"/>
  <c r="E697" i="2"/>
  <c r="C697" i="2"/>
  <c r="A697" i="2"/>
  <c r="I696" i="2"/>
  <c r="F696" i="2"/>
  <c r="E696" i="2"/>
  <c r="C696" i="2"/>
  <c r="A696" i="2"/>
  <c r="I695" i="2"/>
  <c r="F695" i="2"/>
  <c r="E695" i="2"/>
  <c r="C695" i="2"/>
  <c r="A695" i="2"/>
  <c r="I694" i="2"/>
  <c r="F694" i="2"/>
  <c r="E694" i="2"/>
  <c r="C694" i="2"/>
  <c r="A694" i="2"/>
  <c r="I693" i="2"/>
  <c r="F693" i="2"/>
  <c r="E693" i="2"/>
  <c r="C693" i="2"/>
  <c r="A693" i="2"/>
  <c r="I692" i="2"/>
  <c r="F692" i="2"/>
  <c r="E692" i="2"/>
  <c r="C692" i="2"/>
  <c r="A692" i="2"/>
  <c r="I691" i="2"/>
  <c r="F691" i="2"/>
  <c r="E691" i="2"/>
  <c r="C691" i="2"/>
  <c r="A691" i="2"/>
  <c r="I690" i="2"/>
  <c r="F690" i="2"/>
  <c r="E690" i="2"/>
  <c r="C690" i="2"/>
  <c r="A690" i="2"/>
  <c r="I689" i="2"/>
  <c r="F689" i="2"/>
  <c r="E689" i="2"/>
  <c r="C689" i="2"/>
  <c r="A689" i="2"/>
  <c r="I688" i="2"/>
  <c r="F688" i="2"/>
  <c r="E688" i="2"/>
  <c r="C688" i="2"/>
  <c r="A688" i="2"/>
  <c r="I687" i="2"/>
  <c r="F687" i="2"/>
  <c r="E687" i="2"/>
  <c r="C687" i="2"/>
  <c r="A687" i="2"/>
  <c r="I686" i="2"/>
  <c r="F686" i="2"/>
  <c r="E686" i="2"/>
  <c r="C686" i="2"/>
  <c r="A686" i="2"/>
  <c r="I685" i="2"/>
  <c r="F685" i="2"/>
  <c r="E685" i="2"/>
  <c r="C685" i="2"/>
  <c r="A685" i="2"/>
  <c r="I684" i="2"/>
  <c r="F684" i="2"/>
  <c r="E684" i="2"/>
  <c r="C684" i="2"/>
  <c r="A684" i="2"/>
  <c r="I683" i="2"/>
  <c r="F683" i="2"/>
  <c r="E683" i="2"/>
  <c r="C683" i="2"/>
  <c r="A683" i="2"/>
  <c r="I682" i="2"/>
  <c r="F682" i="2"/>
  <c r="E682" i="2"/>
  <c r="C682" i="2"/>
  <c r="A682" i="2"/>
  <c r="I681" i="2"/>
  <c r="F681" i="2"/>
  <c r="E681" i="2"/>
  <c r="C681" i="2"/>
  <c r="A681" i="2"/>
  <c r="I680" i="2"/>
  <c r="F680" i="2"/>
  <c r="E680" i="2"/>
  <c r="C680" i="2"/>
  <c r="A680" i="2"/>
  <c r="I679" i="2"/>
  <c r="F679" i="2"/>
  <c r="E679" i="2"/>
  <c r="C679" i="2"/>
  <c r="A679" i="2"/>
  <c r="I678" i="2"/>
  <c r="F678" i="2"/>
  <c r="E678" i="2"/>
  <c r="C678" i="2"/>
  <c r="A678" i="2"/>
  <c r="I677" i="2"/>
  <c r="F677" i="2"/>
  <c r="E677" i="2"/>
  <c r="C677" i="2"/>
  <c r="A677" i="2"/>
  <c r="I676" i="2"/>
  <c r="F676" i="2"/>
  <c r="E676" i="2"/>
  <c r="C676" i="2"/>
  <c r="A676" i="2"/>
  <c r="I675" i="2"/>
  <c r="F675" i="2"/>
  <c r="E675" i="2"/>
  <c r="C675" i="2"/>
  <c r="A675" i="2"/>
  <c r="I674" i="2"/>
  <c r="F674" i="2"/>
  <c r="E674" i="2"/>
  <c r="C674" i="2"/>
  <c r="A674" i="2"/>
  <c r="I673" i="2"/>
  <c r="F673" i="2"/>
  <c r="E673" i="2"/>
  <c r="C673" i="2"/>
  <c r="A673" i="2"/>
  <c r="I672" i="2"/>
  <c r="F672" i="2"/>
  <c r="E672" i="2"/>
  <c r="C672" i="2"/>
  <c r="A672" i="2"/>
  <c r="I671" i="2"/>
  <c r="F671" i="2"/>
  <c r="E671" i="2"/>
  <c r="C671" i="2"/>
  <c r="A671" i="2"/>
  <c r="I670" i="2"/>
  <c r="F670" i="2"/>
  <c r="E670" i="2"/>
  <c r="C670" i="2"/>
  <c r="A670" i="2"/>
  <c r="I669" i="2"/>
  <c r="F669" i="2"/>
  <c r="E669" i="2"/>
  <c r="C669" i="2"/>
  <c r="A669" i="2"/>
  <c r="I668" i="2"/>
  <c r="F668" i="2"/>
  <c r="E668" i="2"/>
  <c r="C668" i="2"/>
  <c r="A668" i="2"/>
  <c r="I667" i="2"/>
  <c r="F667" i="2"/>
  <c r="E667" i="2"/>
  <c r="C667" i="2"/>
  <c r="A667" i="2"/>
  <c r="I666" i="2"/>
  <c r="F666" i="2"/>
  <c r="E666" i="2"/>
  <c r="C666" i="2"/>
  <c r="A666" i="2"/>
  <c r="I665" i="2"/>
  <c r="F665" i="2"/>
  <c r="E665" i="2"/>
  <c r="C665" i="2"/>
  <c r="A665" i="2"/>
  <c r="I664" i="2"/>
  <c r="F664" i="2"/>
  <c r="E664" i="2"/>
  <c r="C664" i="2"/>
  <c r="A664" i="2"/>
  <c r="I663" i="2"/>
  <c r="F663" i="2"/>
  <c r="E663" i="2"/>
  <c r="C663" i="2"/>
  <c r="A663" i="2"/>
  <c r="I662" i="2"/>
  <c r="F662" i="2"/>
  <c r="E662" i="2"/>
  <c r="C662" i="2"/>
  <c r="A662" i="2"/>
  <c r="I661" i="2"/>
  <c r="F661" i="2"/>
  <c r="E661" i="2"/>
  <c r="C661" i="2"/>
  <c r="A661" i="2"/>
  <c r="I660" i="2"/>
  <c r="F660" i="2"/>
  <c r="E660" i="2"/>
  <c r="C660" i="2"/>
  <c r="A660" i="2"/>
  <c r="I659" i="2"/>
  <c r="F659" i="2"/>
  <c r="E659" i="2"/>
  <c r="C659" i="2"/>
  <c r="A659" i="2"/>
  <c r="I658" i="2"/>
  <c r="F658" i="2"/>
  <c r="E658" i="2"/>
  <c r="C658" i="2"/>
  <c r="A658" i="2"/>
  <c r="I657" i="2"/>
  <c r="F657" i="2"/>
  <c r="E657" i="2"/>
  <c r="C657" i="2"/>
  <c r="A657" i="2"/>
  <c r="I656" i="2"/>
  <c r="F656" i="2"/>
  <c r="E656" i="2"/>
  <c r="C656" i="2"/>
  <c r="A656" i="2"/>
  <c r="I655" i="2"/>
  <c r="F655" i="2"/>
  <c r="E655" i="2"/>
  <c r="C655" i="2"/>
  <c r="A655" i="2"/>
  <c r="I654" i="2"/>
  <c r="F654" i="2"/>
  <c r="E654" i="2"/>
  <c r="C654" i="2"/>
  <c r="A654" i="2"/>
  <c r="I653" i="2"/>
  <c r="F653" i="2"/>
  <c r="E653" i="2"/>
  <c r="C653" i="2"/>
  <c r="A653" i="2"/>
  <c r="I652" i="2"/>
  <c r="F652" i="2"/>
  <c r="E652" i="2"/>
  <c r="C652" i="2"/>
  <c r="A652" i="2"/>
  <c r="I651" i="2"/>
  <c r="F651" i="2"/>
  <c r="E651" i="2"/>
  <c r="C651" i="2"/>
  <c r="A651" i="2"/>
  <c r="I650" i="2"/>
  <c r="F650" i="2"/>
  <c r="E650" i="2"/>
  <c r="C650" i="2"/>
  <c r="A650" i="2"/>
  <c r="I649" i="2"/>
  <c r="F649" i="2"/>
  <c r="E649" i="2"/>
  <c r="C649" i="2"/>
  <c r="A649" i="2"/>
  <c r="I648" i="2"/>
  <c r="F648" i="2"/>
  <c r="E648" i="2"/>
  <c r="C648" i="2"/>
  <c r="A648" i="2"/>
  <c r="I647" i="2"/>
  <c r="F647" i="2"/>
  <c r="E647" i="2"/>
  <c r="C647" i="2"/>
  <c r="A647" i="2"/>
  <c r="I646" i="2"/>
  <c r="F646" i="2"/>
  <c r="E646" i="2"/>
  <c r="C646" i="2"/>
  <c r="A646" i="2"/>
  <c r="I645" i="2"/>
  <c r="F645" i="2"/>
  <c r="E645" i="2"/>
  <c r="C645" i="2"/>
  <c r="A645" i="2"/>
  <c r="I644" i="2"/>
  <c r="F644" i="2"/>
  <c r="E644" i="2"/>
  <c r="C644" i="2"/>
  <c r="A644" i="2"/>
  <c r="I643" i="2"/>
  <c r="F643" i="2"/>
  <c r="E643" i="2"/>
  <c r="C643" i="2"/>
  <c r="A643" i="2"/>
  <c r="I642" i="2"/>
  <c r="F642" i="2"/>
  <c r="E642" i="2"/>
  <c r="C642" i="2"/>
  <c r="A642" i="2"/>
  <c r="I641" i="2"/>
  <c r="F641" i="2"/>
  <c r="E641" i="2"/>
  <c r="C641" i="2"/>
  <c r="A641" i="2"/>
  <c r="I640" i="2"/>
  <c r="F640" i="2"/>
  <c r="E640" i="2"/>
  <c r="C640" i="2"/>
  <c r="A640" i="2"/>
  <c r="I639" i="2"/>
  <c r="F639" i="2"/>
  <c r="E639" i="2"/>
  <c r="C639" i="2"/>
  <c r="A639" i="2"/>
  <c r="I638" i="2"/>
  <c r="F638" i="2"/>
  <c r="E638" i="2"/>
  <c r="C638" i="2"/>
  <c r="A638" i="2"/>
  <c r="I637" i="2"/>
  <c r="F637" i="2"/>
  <c r="E637" i="2"/>
  <c r="C637" i="2"/>
  <c r="A637" i="2"/>
  <c r="I636" i="2"/>
  <c r="F636" i="2"/>
  <c r="E636" i="2"/>
  <c r="C636" i="2"/>
  <c r="A636" i="2"/>
  <c r="I635" i="2"/>
  <c r="F635" i="2"/>
  <c r="E635" i="2"/>
  <c r="C635" i="2"/>
  <c r="A635" i="2"/>
  <c r="I634" i="2"/>
  <c r="F634" i="2"/>
  <c r="E634" i="2"/>
  <c r="C634" i="2"/>
  <c r="A634" i="2"/>
  <c r="I633" i="2"/>
  <c r="F633" i="2"/>
  <c r="E633" i="2"/>
  <c r="C633" i="2"/>
  <c r="A633" i="2"/>
  <c r="I632" i="2"/>
  <c r="F632" i="2"/>
  <c r="E632" i="2"/>
  <c r="C632" i="2"/>
  <c r="A632" i="2"/>
  <c r="I631" i="2"/>
  <c r="F631" i="2"/>
  <c r="E631" i="2"/>
  <c r="C631" i="2"/>
  <c r="A631" i="2"/>
  <c r="I630" i="2"/>
  <c r="F630" i="2"/>
  <c r="E630" i="2"/>
  <c r="C630" i="2"/>
  <c r="A630" i="2"/>
  <c r="I629" i="2"/>
  <c r="F629" i="2"/>
  <c r="E629" i="2"/>
  <c r="C629" i="2"/>
  <c r="A629" i="2"/>
  <c r="I628" i="2"/>
  <c r="F628" i="2"/>
  <c r="E628" i="2"/>
  <c r="C628" i="2"/>
  <c r="A628" i="2"/>
  <c r="I627" i="2"/>
  <c r="F627" i="2"/>
  <c r="E627" i="2"/>
  <c r="C627" i="2"/>
  <c r="A627" i="2"/>
  <c r="I626" i="2"/>
  <c r="F626" i="2"/>
  <c r="E626" i="2"/>
  <c r="C626" i="2"/>
  <c r="A626" i="2"/>
  <c r="I625" i="2"/>
  <c r="F625" i="2"/>
  <c r="E625" i="2"/>
  <c r="C625" i="2"/>
  <c r="A625" i="2"/>
  <c r="I624" i="2"/>
  <c r="F624" i="2"/>
  <c r="E624" i="2"/>
  <c r="C624" i="2"/>
  <c r="A624" i="2"/>
  <c r="I623" i="2"/>
  <c r="F623" i="2"/>
  <c r="E623" i="2"/>
  <c r="C623" i="2"/>
  <c r="A623" i="2"/>
  <c r="I622" i="2"/>
  <c r="F622" i="2"/>
  <c r="E622" i="2"/>
  <c r="C622" i="2"/>
  <c r="A622" i="2"/>
  <c r="I621" i="2"/>
  <c r="F621" i="2"/>
  <c r="E621" i="2"/>
  <c r="C621" i="2"/>
  <c r="A621" i="2"/>
  <c r="I620" i="2"/>
  <c r="F620" i="2"/>
  <c r="E620" i="2"/>
  <c r="C620" i="2"/>
  <c r="A620" i="2"/>
  <c r="I619" i="2"/>
  <c r="F619" i="2"/>
  <c r="E619" i="2"/>
  <c r="C619" i="2"/>
  <c r="A619" i="2"/>
  <c r="I618" i="2"/>
  <c r="F618" i="2"/>
  <c r="E618" i="2"/>
  <c r="C618" i="2"/>
  <c r="A618" i="2"/>
  <c r="I617" i="2"/>
  <c r="F617" i="2"/>
  <c r="E617" i="2"/>
  <c r="C617" i="2"/>
  <c r="A617" i="2"/>
  <c r="I616" i="2"/>
  <c r="F616" i="2"/>
  <c r="E616" i="2"/>
  <c r="C616" i="2"/>
  <c r="A616" i="2"/>
  <c r="I615" i="2"/>
  <c r="F615" i="2"/>
  <c r="E615" i="2"/>
  <c r="C615" i="2"/>
  <c r="A615" i="2"/>
  <c r="I614" i="2"/>
  <c r="F614" i="2"/>
  <c r="E614" i="2"/>
  <c r="C614" i="2"/>
  <c r="A614" i="2"/>
  <c r="I613" i="2"/>
  <c r="F613" i="2"/>
  <c r="E613" i="2"/>
  <c r="C613" i="2"/>
  <c r="A613" i="2"/>
  <c r="I612" i="2"/>
  <c r="F612" i="2"/>
  <c r="E612" i="2"/>
  <c r="C612" i="2"/>
  <c r="A612" i="2"/>
  <c r="I611" i="2"/>
  <c r="F611" i="2"/>
  <c r="E611" i="2"/>
  <c r="C611" i="2"/>
  <c r="A611" i="2"/>
  <c r="I610" i="2"/>
  <c r="F610" i="2"/>
  <c r="E610" i="2"/>
  <c r="C610" i="2"/>
  <c r="A610" i="2"/>
  <c r="I609" i="2"/>
  <c r="F609" i="2"/>
  <c r="E609" i="2"/>
  <c r="C609" i="2"/>
  <c r="A609" i="2"/>
  <c r="I608" i="2"/>
  <c r="F608" i="2"/>
  <c r="E608" i="2"/>
  <c r="C608" i="2"/>
  <c r="A608" i="2"/>
  <c r="I607" i="2"/>
  <c r="F607" i="2"/>
  <c r="E607" i="2"/>
  <c r="C607" i="2"/>
  <c r="A607" i="2"/>
  <c r="I606" i="2"/>
  <c r="F606" i="2"/>
  <c r="E606" i="2"/>
  <c r="C606" i="2"/>
  <c r="A606" i="2"/>
  <c r="I605" i="2"/>
  <c r="F605" i="2"/>
  <c r="E605" i="2"/>
  <c r="C605" i="2"/>
  <c r="A605" i="2"/>
  <c r="I604" i="2"/>
  <c r="F604" i="2"/>
  <c r="E604" i="2"/>
  <c r="C604" i="2"/>
  <c r="A604" i="2"/>
  <c r="I603" i="2"/>
  <c r="F603" i="2"/>
  <c r="E603" i="2"/>
  <c r="C603" i="2"/>
  <c r="A603" i="2"/>
  <c r="I602" i="2"/>
  <c r="F602" i="2"/>
  <c r="E602" i="2"/>
  <c r="C602" i="2"/>
  <c r="A602" i="2"/>
  <c r="I601" i="2"/>
  <c r="F601" i="2"/>
  <c r="E601" i="2"/>
  <c r="C601" i="2"/>
  <c r="A601" i="2"/>
  <c r="I600" i="2"/>
  <c r="F600" i="2"/>
  <c r="E600" i="2"/>
  <c r="C600" i="2"/>
  <c r="A600" i="2"/>
  <c r="I599" i="2"/>
  <c r="F599" i="2"/>
  <c r="E599" i="2"/>
  <c r="C599" i="2"/>
  <c r="A599" i="2"/>
  <c r="I598" i="2"/>
  <c r="F598" i="2"/>
  <c r="E598" i="2"/>
  <c r="C598" i="2"/>
  <c r="A598" i="2"/>
  <c r="I597" i="2"/>
  <c r="F597" i="2"/>
  <c r="E597" i="2"/>
  <c r="C597" i="2"/>
  <c r="A597" i="2"/>
  <c r="I596" i="2"/>
  <c r="F596" i="2"/>
  <c r="E596" i="2"/>
  <c r="C596" i="2"/>
  <c r="A596" i="2"/>
  <c r="I595" i="2"/>
  <c r="F595" i="2"/>
  <c r="E595" i="2"/>
  <c r="C595" i="2"/>
  <c r="A595" i="2"/>
  <c r="I594" i="2"/>
  <c r="F594" i="2"/>
  <c r="E594" i="2"/>
  <c r="C594" i="2"/>
  <c r="A594" i="2"/>
  <c r="I593" i="2"/>
  <c r="F593" i="2"/>
  <c r="E593" i="2"/>
  <c r="C593" i="2"/>
  <c r="A593" i="2"/>
  <c r="I592" i="2"/>
  <c r="F592" i="2"/>
  <c r="E592" i="2"/>
  <c r="C592" i="2"/>
  <c r="A592" i="2"/>
  <c r="I591" i="2"/>
  <c r="F591" i="2"/>
  <c r="E591" i="2"/>
  <c r="C591" i="2"/>
  <c r="A591" i="2"/>
  <c r="I590" i="2"/>
  <c r="F590" i="2"/>
  <c r="E590" i="2"/>
  <c r="C590" i="2"/>
  <c r="A590" i="2"/>
  <c r="I589" i="2"/>
  <c r="F589" i="2"/>
  <c r="E589" i="2"/>
  <c r="C589" i="2"/>
  <c r="A589" i="2"/>
  <c r="I588" i="2"/>
  <c r="F588" i="2"/>
  <c r="E588" i="2"/>
  <c r="C588" i="2"/>
  <c r="A588" i="2"/>
  <c r="I587" i="2"/>
  <c r="F587" i="2"/>
  <c r="E587" i="2"/>
  <c r="C587" i="2"/>
  <c r="A587" i="2"/>
  <c r="I586" i="2"/>
  <c r="F586" i="2"/>
  <c r="E586" i="2"/>
  <c r="C586" i="2"/>
  <c r="A586" i="2"/>
  <c r="I585" i="2"/>
  <c r="F585" i="2"/>
  <c r="E585" i="2"/>
  <c r="C585" i="2"/>
  <c r="A585" i="2"/>
  <c r="I584" i="2"/>
  <c r="F584" i="2"/>
  <c r="E584" i="2"/>
  <c r="C584" i="2"/>
  <c r="A584" i="2"/>
  <c r="I583" i="2"/>
  <c r="F583" i="2"/>
  <c r="E583" i="2"/>
  <c r="C583" i="2"/>
  <c r="A583" i="2"/>
  <c r="I582" i="2"/>
  <c r="F582" i="2"/>
  <c r="E582" i="2"/>
  <c r="C582" i="2"/>
  <c r="A582" i="2"/>
  <c r="I581" i="2"/>
  <c r="F581" i="2"/>
  <c r="E581" i="2"/>
  <c r="C581" i="2"/>
  <c r="A581" i="2"/>
  <c r="I580" i="2"/>
  <c r="F580" i="2"/>
  <c r="E580" i="2"/>
  <c r="C580" i="2"/>
  <c r="A580" i="2"/>
  <c r="I579" i="2"/>
  <c r="F579" i="2"/>
  <c r="E579" i="2"/>
  <c r="C579" i="2"/>
  <c r="A579" i="2"/>
  <c r="I578" i="2"/>
  <c r="F578" i="2"/>
  <c r="E578" i="2"/>
  <c r="C578" i="2"/>
  <c r="A578" i="2"/>
  <c r="I577" i="2"/>
  <c r="F577" i="2"/>
  <c r="E577" i="2"/>
  <c r="C577" i="2"/>
  <c r="A577" i="2"/>
  <c r="I576" i="2"/>
  <c r="F576" i="2"/>
  <c r="E576" i="2"/>
  <c r="C576" i="2"/>
  <c r="A576" i="2"/>
  <c r="I575" i="2"/>
  <c r="F575" i="2"/>
  <c r="E575" i="2"/>
  <c r="C575" i="2"/>
  <c r="A575" i="2"/>
  <c r="I574" i="2"/>
  <c r="F574" i="2"/>
  <c r="E574" i="2"/>
  <c r="C574" i="2"/>
  <c r="A574" i="2"/>
  <c r="I573" i="2"/>
  <c r="F573" i="2"/>
  <c r="E573" i="2"/>
  <c r="C573" i="2"/>
  <c r="A573" i="2"/>
  <c r="I572" i="2"/>
  <c r="F572" i="2"/>
  <c r="E572" i="2"/>
  <c r="C572" i="2"/>
  <c r="A572" i="2"/>
  <c r="I571" i="2"/>
  <c r="F571" i="2"/>
  <c r="E571" i="2"/>
  <c r="C571" i="2"/>
  <c r="A571" i="2"/>
  <c r="I570" i="2"/>
  <c r="F570" i="2"/>
  <c r="E570" i="2"/>
  <c r="C570" i="2"/>
  <c r="A570" i="2"/>
  <c r="I569" i="2"/>
  <c r="F569" i="2"/>
  <c r="E569" i="2"/>
  <c r="C569" i="2"/>
  <c r="A569" i="2"/>
  <c r="I568" i="2"/>
  <c r="F568" i="2"/>
  <c r="E568" i="2"/>
  <c r="C568" i="2"/>
  <c r="A568" i="2"/>
  <c r="I567" i="2"/>
  <c r="F567" i="2"/>
  <c r="E567" i="2"/>
  <c r="C567" i="2"/>
  <c r="A567" i="2"/>
  <c r="I566" i="2"/>
  <c r="F566" i="2"/>
  <c r="E566" i="2"/>
  <c r="C566" i="2"/>
  <c r="A566" i="2"/>
  <c r="I565" i="2"/>
  <c r="F565" i="2"/>
  <c r="E565" i="2"/>
  <c r="C565" i="2"/>
  <c r="A565" i="2"/>
  <c r="I564" i="2"/>
  <c r="F564" i="2"/>
  <c r="E564" i="2"/>
  <c r="C564" i="2"/>
  <c r="A564" i="2"/>
  <c r="I563" i="2"/>
  <c r="F563" i="2"/>
  <c r="E563" i="2"/>
  <c r="C563" i="2"/>
  <c r="A563" i="2"/>
  <c r="I562" i="2"/>
  <c r="F562" i="2"/>
  <c r="E562" i="2"/>
  <c r="C562" i="2"/>
  <c r="A562" i="2"/>
  <c r="I561" i="2"/>
  <c r="F561" i="2"/>
  <c r="E561" i="2"/>
  <c r="C561" i="2"/>
  <c r="A561" i="2"/>
  <c r="I560" i="2"/>
  <c r="F560" i="2"/>
  <c r="E560" i="2"/>
  <c r="C560" i="2"/>
  <c r="A560" i="2"/>
  <c r="I559" i="2"/>
  <c r="F559" i="2"/>
  <c r="E559" i="2"/>
  <c r="C559" i="2"/>
  <c r="A559" i="2"/>
  <c r="I558" i="2"/>
  <c r="F558" i="2"/>
  <c r="E558" i="2"/>
  <c r="C558" i="2"/>
  <c r="A558" i="2"/>
  <c r="I557" i="2"/>
  <c r="F557" i="2"/>
  <c r="E557" i="2"/>
  <c r="C557" i="2"/>
  <c r="A557" i="2"/>
  <c r="I556" i="2"/>
  <c r="F556" i="2"/>
  <c r="E556" i="2"/>
  <c r="C556" i="2"/>
  <c r="A556" i="2"/>
  <c r="I555" i="2"/>
  <c r="F555" i="2"/>
  <c r="E555" i="2"/>
  <c r="C555" i="2"/>
  <c r="A555" i="2"/>
  <c r="I554" i="2"/>
  <c r="F554" i="2"/>
  <c r="E554" i="2"/>
  <c r="C554" i="2"/>
  <c r="A554" i="2"/>
  <c r="I553" i="2"/>
  <c r="F553" i="2"/>
  <c r="E553" i="2"/>
  <c r="C553" i="2"/>
  <c r="A553" i="2"/>
  <c r="I552" i="2"/>
  <c r="F552" i="2"/>
  <c r="E552" i="2"/>
  <c r="C552" i="2"/>
  <c r="A552" i="2"/>
  <c r="I551" i="2"/>
  <c r="F551" i="2"/>
  <c r="E551" i="2"/>
  <c r="C551" i="2"/>
  <c r="A551" i="2"/>
  <c r="I550" i="2"/>
  <c r="F550" i="2"/>
  <c r="E550" i="2"/>
  <c r="C550" i="2"/>
  <c r="A550" i="2"/>
  <c r="I549" i="2"/>
  <c r="F549" i="2"/>
  <c r="E549" i="2"/>
  <c r="C549" i="2"/>
  <c r="A549" i="2"/>
  <c r="I548" i="2"/>
  <c r="F548" i="2"/>
  <c r="E548" i="2"/>
  <c r="C548" i="2"/>
  <c r="A548" i="2"/>
  <c r="I547" i="2"/>
  <c r="F547" i="2"/>
  <c r="E547" i="2"/>
  <c r="C547" i="2"/>
  <c r="A547" i="2"/>
  <c r="I546" i="2"/>
  <c r="F546" i="2"/>
  <c r="E546" i="2"/>
  <c r="C546" i="2"/>
  <c r="A546" i="2"/>
  <c r="I545" i="2"/>
  <c r="F545" i="2"/>
  <c r="E545" i="2"/>
  <c r="C545" i="2"/>
  <c r="A545" i="2"/>
  <c r="I544" i="2"/>
  <c r="F544" i="2"/>
  <c r="E544" i="2"/>
  <c r="C544" i="2"/>
  <c r="A544" i="2"/>
  <c r="I543" i="2"/>
  <c r="F543" i="2"/>
  <c r="E543" i="2"/>
  <c r="C543" i="2"/>
  <c r="A543" i="2"/>
  <c r="I542" i="2"/>
  <c r="F542" i="2"/>
  <c r="E542" i="2"/>
  <c r="C542" i="2"/>
  <c r="A542" i="2"/>
  <c r="I541" i="2"/>
  <c r="F541" i="2"/>
  <c r="E541" i="2"/>
  <c r="C541" i="2"/>
  <c r="A541" i="2"/>
  <c r="I540" i="2"/>
  <c r="F540" i="2"/>
  <c r="E540" i="2"/>
  <c r="C540" i="2"/>
  <c r="A540" i="2"/>
  <c r="I539" i="2"/>
  <c r="F539" i="2"/>
  <c r="E539" i="2"/>
  <c r="C539" i="2"/>
  <c r="A539" i="2"/>
  <c r="I538" i="2"/>
  <c r="F538" i="2"/>
  <c r="E538" i="2"/>
  <c r="C538" i="2"/>
  <c r="A538" i="2"/>
  <c r="I537" i="2"/>
  <c r="F537" i="2"/>
  <c r="E537" i="2"/>
  <c r="C537" i="2"/>
  <c r="A537" i="2"/>
  <c r="I536" i="2"/>
  <c r="F536" i="2"/>
  <c r="E536" i="2"/>
  <c r="C536" i="2"/>
  <c r="A536" i="2"/>
  <c r="I535" i="2"/>
  <c r="F535" i="2"/>
  <c r="E535" i="2"/>
  <c r="C535" i="2"/>
  <c r="A535" i="2"/>
  <c r="I534" i="2"/>
  <c r="F534" i="2"/>
  <c r="E534" i="2"/>
  <c r="C534" i="2"/>
  <c r="A534" i="2"/>
  <c r="I533" i="2"/>
  <c r="F533" i="2"/>
  <c r="E533" i="2"/>
  <c r="C533" i="2"/>
  <c r="A533" i="2"/>
  <c r="I532" i="2"/>
  <c r="F532" i="2"/>
  <c r="E532" i="2"/>
  <c r="C532" i="2"/>
  <c r="A532" i="2"/>
  <c r="I531" i="2"/>
  <c r="F531" i="2"/>
  <c r="E531" i="2"/>
  <c r="C531" i="2"/>
  <c r="A531" i="2"/>
  <c r="I530" i="2"/>
  <c r="F530" i="2"/>
  <c r="E530" i="2"/>
  <c r="C530" i="2"/>
  <c r="A530" i="2"/>
  <c r="I529" i="2"/>
  <c r="F529" i="2"/>
  <c r="E529" i="2"/>
  <c r="C529" i="2"/>
  <c r="A529" i="2"/>
  <c r="I528" i="2"/>
  <c r="F528" i="2"/>
  <c r="E528" i="2"/>
  <c r="C528" i="2"/>
  <c r="A528" i="2"/>
  <c r="I527" i="2"/>
  <c r="F527" i="2"/>
  <c r="E527" i="2"/>
  <c r="C527" i="2"/>
  <c r="A527" i="2"/>
  <c r="I526" i="2"/>
  <c r="F526" i="2"/>
  <c r="E526" i="2"/>
  <c r="C526" i="2"/>
  <c r="A526" i="2"/>
  <c r="I525" i="2"/>
  <c r="F525" i="2"/>
  <c r="E525" i="2"/>
  <c r="C525" i="2"/>
  <c r="A525" i="2"/>
  <c r="I524" i="2"/>
  <c r="F524" i="2"/>
  <c r="E524" i="2"/>
  <c r="C524" i="2"/>
  <c r="A524" i="2"/>
  <c r="I523" i="2"/>
  <c r="F523" i="2"/>
  <c r="E523" i="2"/>
  <c r="C523" i="2"/>
  <c r="A523" i="2"/>
  <c r="I522" i="2"/>
  <c r="F522" i="2"/>
  <c r="E522" i="2"/>
  <c r="C522" i="2"/>
  <c r="A522" i="2"/>
  <c r="I521" i="2"/>
  <c r="F521" i="2"/>
  <c r="E521" i="2"/>
  <c r="C521" i="2"/>
  <c r="A521" i="2"/>
  <c r="I520" i="2"/>
  <c r="F520" i="2"/>
  <c r="E520" i="2"/>
  <c r="C520" i="2"/>
  <c r="A520" i="2"/>
  <c r="I519" i="2"/>
  <c r="F519" i="2"/>
  <c r="E519" i="2"/>
  <c r="C519" i="2"/>
  <c r="A519" i="2"/>
  <c r="I518" i="2"/>
  <c r="F518" i="2"/>
  <c r="E518" i="2"/>
  <c r="C518" i="2"/>
  <c r="A518" i="2"/>
  <c r="I517" i="2"/>
  <c r="F517" i="2"/>
  <c r="E517" i="2"/>
  <c r="C517" i="2"/>
  <c r="A517" i="2"/>
  <c r="I516" i="2"/>
  <c r="F516" i="2"/>
  <c r="E516" i="2"/>
  <c r="C516" i="2"/>
  <c r="A516" i="2"/>
  <c r="I515" i="2"/>
  <c r="F515" i="2"/>
  <c r="E515" i="2"/>
  <c r="C515" i="2"/>
  <c r="A515" i="2"/>
  <c r="I514" i="2"/>
  <c r="F514" i="2"/>
  <c r="E514" i="2"/>
  <c r="C514" i="2"/>
  <c r="A514" i="2"/>
  <c r="I513" i="2"/>
  <c r="F513" i="2"/>
  <c r="E513" i="2"/>
  <c r="C513" i="2"/>
  <c r="A513" i="2"/>
  <c r="I512" i="2"/>
  <c r="F512" i="2"/>
  <c r="E512" i="2"/>
  <c r="C512" i="2"/>
  <c r="A512" i="2"/>
  <c r="I511" i="2"/>
  <c r="F511" i="2"/>
  <c r="E511" i="2"/>
  <c r="C511" i="2"/>
  <c r="A511" i="2"/>
  <c r="I510" i="2"/>
  <c r="F510" i="2"/>
  <c r="E510" i="2"/>
  <c r="C510" i="2"/>
  <c r="A510" i="2"/>
  <c r="I509" i="2"/>
  <c r="F509" i="2"/>
  <c r="E509" i="2"/>
  <c r="C509" i="2"/>
  <c r="A509" i="2"/>
  <c r="I508" i="2"/>
  <c r="F508" i="2"/>
  <c r="E508" i="2"/>
  <c r="C508" i="2"/>
  <c r="A508" i="2"/>
  <c r="I507" i="2"/>
  <c r="F507" i="2"/>
  <c r="E507" i="2"/>
  <c r="C507" i="2"/>
  <c r="A507" i="2"/>
  <c r="I506" i="2"/>
  <c r="F506" i="2"/>
  <c r="E506" i="2"/>
  <c r="C506" i="2"/>
  <c r="A506" i="2"/>
  <c r="I505" i="2"/>
  <c r="F505" i="2"/>
  <c r="E505" i="2"/>
  <c r="C505" i="2"/>
  <c r="A505" i="2"/>
  <c r="I504" i="2"/>
  <c r="F504" i="2"/>
  <c r="E504" i="2"/>
  <c r="C504" i="2"/>
  <c r="A504" i="2"/>
  <c r="I503" i="2"/>
  <c r="F503" i="2"/>
  <c r="E503" i="2"/>
  <c r="C503" i="2"/>
  <c r="A503" i="2"/>
  <c r="I502" i="2"/>
  <c r="F502" i="2"/>
  <c r="E502" i="2"/>
  <c r="C502" i="2"/>
  <c r="A502" i="2"/>
  <c r="I501" i="2"/>
  <c r="F501" i="2"/>
  <c r="E501" i="2"/>
  <c r="C501" i="2"/>
  <c r="A501" i="2"/>
  <c r="I500" i="2"/>
  <c r="F500" i="2"/>
  <c r="E500" i="2"/>
  <c r="C500" i="2"/>
  <c r="A500" i="2"/>
  <c r="I499" i="2"/>
  <c r="F499" i="2"/>
  <c r="E499" i="2"/>
  <c r="C499" i="2"/>
  <c r="A499" i="2"/>
  <c r="I498" i="2"/>
  <c r="F498" i="2"/>
  <c r="E498" i="2"/>
  <c r="C498" i="2"/>
  <c r="A498" i="2"/>
  <c r="I497" i="2"/>
  <c r="F497" i="2"/>
  <c r="E497" i="2"/>
  <c r="C497" i="2"/>
  <c r="A497" i="2"/>
  <c r="I496" i="2"/>
  <c r="F496" i="2"/>
  <c r="E496" i="2"/>
  <c r="C496" i="2"/>
  <c r="A496" i="2"/>
  <c r="I495" i="2"/>
  <c r="F495" i="2"/>
  <c r="E495" i="2"/>
  <c r="C495" i="2"/>
  <c r="A495" i="2"/>
  <c r="I494" i="2"/>
  <c r="F494" i="2"/>
  <c r="E494" i="2"/>
  <c r="C494" i="2"/>
  <c r="A494" i="2"/>
  <c r="I493" i="2"/>
  <c r="F493" i="2"/>
  <c r="E493" i="2"/>
  <c r="C493" i="2"/>
  <c r="A493" i="2"/>
  <c r="I492" i="2"/>
  <c r="F492" i="2"/>
  <c r="E492" i="2"/>
  <c r="C492" i="2"/>
  <c r="A492" i="2"/>
  <c r="I491" i="2"/>
  <c r="F491" i="2"/>
  <c r="E491" i="2"/>
  <c r="C491" i="2"/>
  <c r="A491" i="2"/>
  <c r="I490" i="2"/>
  <c r="F490" i="2"/>
  <c r="E490" i="2"/>
  <c r="C490" i="2"/>
  <c r="A490" i="2"/>
  <c r="I489" i="2"/>
  <c r="F489" i="2"/>
  <c r="E489" i="2"/>
  <c r="C489" i="2"/>
  <c r="A489" i="2"/>
  <c r="I488" i="2"/>
  <c r="F488" i="2"/>
  <c r="E488" i="2"/>
  <c r="C488" i="2"/>
  <c r="A488" i="2"/>
  <c r="I487" i="2"/>
  <c r="F487" i="2"/>
  <c r="E487" i="2"/>
  <c r="C487" i="2"/>
  <c r="A487" i="2"/>
  <c r="I486" i="2"/>
  <c r="F486" i="2"/>
  <c r="E486" i="2"/>
  <c r="C486" i="2"/>
  <c r="A486" i="2"/>
  <c r="I485" i="2"/>
  <c r="F485" i="2"/>
  <c r="E485" i="2"/>
  <c r="C485" i="2"/>
  <c r="A485" i="2"/>
  <c r="I484" i="2"/>
  <c r="F484" i="2"/>
  <c r="E484" i="2"/>
  <c r="C484" i="2"/>
  <c r="A484" i="2"/>
  <c r="I483" i="2"/>
  <c r="F483" i="2"/>
  <c r="E483" i="2"/>
  <c r="C483" i="2"/>
  <c r="A483" i="2"/>
  <c r="I482" i="2"/>
  <c r="F482" i="2"/>
  <c r="E482" i="2"/>
  <c r="C482" i="2"/>
  <c r="A482" i="2"/>
  <c r="I481" i="2"/>
  <c r="F481" i="2"/>
  <c r="E481" i="2"/>
  <c r="C481" i="2"/>
  <c r="A481" i="2"/>
  <c r="I480" i="2"/>
  <c r="F480" i="2"/>
  <c r="E480" i="2"/>
  <c r="C480" i="2"/>
  <c r="A480" i="2"/>
  <c r="I479" i="2"/>
  <c r="F479" i="2"/>
  <c r="E479" i="2"/>
  <c r="C479" i="2"/>
  <c r="A479" i="2"/>
  <c r="I478" i="2"/>
  <c r="F478" i="2"/>
  <c r="E478" i="2"/>
  <c r="C478" i="2"/>
  <c r="A478" i="2"/>
  <c r="I477" i="2"/>
  <c r="F477" i="2"/>
  <c r="E477" i="2"/>
  <c r="C477" i="2"/>
  <c r="A477" i="2"/>
  <c r="I476" i="2"/>
  <c r="F476" i="2"/>
  <c r="E476" i="2"/>
  <c r="C476" i="2"/>
  <c r="A476" i="2"/>
  <c r="I475" i="2"/>
  <c r="F475" i="2"/>
  <c r="E475" i="2"/>
  <c r="C475" i="2"/>
  <c r="A475" i="2"/>
  <c r="I474" i="2"/>
  <c r="F474" i="2"/>
  <c r="E474" i="2"/>
  <c r="C474" i="2"/>
  <c r="A474" i="2"/>
  <c r="I473" i="2"/>
  <c r="F473" i="2"/>
  <c r="E473" i="2"/>
  <c r="C473" i="2"/>
  <c r="A473" i="2"/>
  <c r="I472" i="2"/>
  <c r="F472" i="2"/>
  <c r="E472" i="2"/>
  <c r="C472" i="2"/>
  <c r="A472" i="2"/>
  <c r="I471" i="2"/>
  <c r="F471" i="2"/>
  <c r="E471" i="2"/>
  <c r="C471" i="2"/>
  <c r="A471" i="2"/>
  <c r="I470" i="2"/>
  <c r="F470" i="2"/>
  <c r="E470" i="2"/>
  <c r="C470" i="2"/>
  <c r="A470" i="2"/>
  <c r="I469" i="2"/>
  <c r="F469" i="2"/>
  <c r="E469" i="2"/>
  <c r="C469" i="2"/>
  <c r="A469" i="2"/>
  <c r="I468" i="2"/>
  <c r="F468" i="2"/>
  <c r="E468" i="2"/>
  <c r="C468" i="2"/>
  <c r="A468" i="2"/>
  <c r="I467" i="2"/>
  <c r="F467" i="2"/>
  <c r="E467" i="2"/>
  <c r="C467" i="2"/>
  <c r="A467" i="2"/>
  <c r="I466" i="2"/>
  <c r="F466" i="2"/>
  <c r="E466" i="2"/>
  <c r="C466" i="2"/>
  <c r="A466" i="2"/>
  <c r="I465" i="2"/>
  <c r="F465" i="2"/>
  <c r="E465" i="2"/>
  <c r="C465" i="2"/>
  <c r="A465" i="2"/>
  <c r="I464" i="2"/>
  <c r="F464" i="2"/>
  <c r="E464" i="2"/>
  <c r="C464" i="2"/>
  <c r="A464" i="2"/>
  <c r="I463" i="2"/>
  <c r="F463" i="2"/>
  <c r="E463" i="2"/>
  <c r="C463" i="2"/>
  <c r="A463" i="2"/>
  <c r="I462" i="2"/>
  <c r="F462" i="2"/>
  <c r="E462" i="2"/>
  <c r="C462" i="2"/>
  <c r="A462" i="2"/>
  <c r="I461" i="2"/>
  <c r="F461" i="2"/>
  <c r="E461" i="2"/>
  <c r="C461" i="2"/>
  <c r="A461" i="2"/>
  <c r="I460" i="2"/>
  <c r="F460" i="2"/>
  <c r="E460" i="2"/>
  <c r="C460" i="2"/>
  <c r="A460" i="2"/>
  <c r="I459" i="2"/>
  <c r="F459" i="2"/>
  <c r="E459" i="2"/>
  <c r="C459" i="2"/>
  <c r="A459" i="2"/>
  <c r="I458" i="2"/>
  <c r="F458" i="2"/>
  <c r="E458" i="2"/>
  <c r="C458" i="2"/>
  <c r="A458" i="2"/>
  <c r="I457" i="2"/>
  <c r="F457" i="2"/>
  <c r="E457" i="2"/>
  <c r="C457" i="2"/>
  <c r="A457" i="2"/>
  <c r="I456" i="2"/>
  <c r="F456" i="2"/>
  <c r="E456" i="2"/>
  <c r="C456" i="2"/>
  <c r="A456" i="2"/>
  <c r="I455" i="2"/>
  <c r="F455" i="2"/>
  <c r="E455" i="2"/>
  <c r="C455" i="2"/>
  <c r="A455" i="2"/>
  <c r="I454" i="2"/>
  <c r="F454" i="2"/>
  <c r="E454" i="2"/>
  <c r="C454" i="2"/>
  <c r="A454" i="2"/>
  <c r="I453" i="2"/>
  <c r="F453" i="2"/>
  <c r="E453" i="2"/>
  <c r="C453" i="2"/>
  <c r="A453" i="2"/>
  <c r="I452" i="2"/>
  <c r="F452" i="2"/>
  <c r="E452" i="2"/>
  <c r="C452" i="2"/>
  <c r="A452" i="2"/>
  <c r="I451" i="2"/>
  <c r="F451" i="2"/>
  <c r="E451" i="2"/>
  <c r="C451" i="2"/>
  <c r="A451" i="2"/>
  <c r="I450" i="2"/>
  <c r="F450" i="2"/>
  <c r="E450" i="2"/>
  <c r="C450" i="2"/>
  <c r="A450" i="2"/>
  <c r="I449" i="2"/>
  <c r="F449" i="2"/>
  <c r="E449" i="2"/>
  <c r="C449" i="2"/>
  <c r="A449" i="2"/>
  <c r="I448" i="2"/>
  <c r="F448" i="2"/>
  <c r="E448" i="2"/>
  <c r="C448" i="2"/>
  <c r="A448" i="2"/>
  <c r="I447" i="2"/>
  <c r="F447" i="2"/>
  <c r="E447" i="2"/>
  <c r="C447" i="2"/>
  <c r="A447" i="2"/>
  <c r="I446" i="2"/>
  <c r="F446" i="2"/>
  <c r="E446" i="2"/>
  <c r="C446" i="2"/>
  <c r="A446" i="2"/>
  <c r="I445" i="2"/>
  <c r="F445" i="2"/>
  <c r="E445" i="2"/>
  <c r="C445" i="2"/>
  <c r="A445" i="2"/>
  <c r="I444" i="2"/>
  <c r="F444" i="2"/>
  <c r="E444" i="2"/>
  <c r="C444" i="2"/>
  <c r="A444" i="2"/>
  <c r="I443" i="2"/>
  <c r="F443" i="2"/>
  <c r="E443" i="2"/>
  <c r="C443" i="2"/>
  <c r="A443" i="2"/>
  <c r="I442" i="2"/>
  <c r="F442" i="2"/>
  <c r="E442" i="2"/>
  <c r="C442" i="2"/>
  <c r="A442" i="2"/>
  <c r="I441" i="2"/>
  <c r="F441" i="2"/>
  <c r="E441" i="2"/>
  <c r="C441" i="2"/>
  <c r="A441" i="2"/>
  <c r="I440" i="2"/>
  <c r="F440" i="2"/>
  <c r="E440" i="2"/>
  <c r="C440" i="2"/>
  <c r="A440" i="2"/>
  <c r="I439" i="2"/>
  <c r="F439" i="2"/>
  <c r="E439" i="2"/>
  <c r="C439" i="2"/>
  <c r="A439" i="2"/>
  <c r="I438" i="2"/>
  <c r="F438" i="2"/>
  <c r="E438" i="2"/>
  <c r="C438" i="2"/>
  <c r="A438" i="2"/>
  <c r="I437" i="2"/>
  <c r="F437" i="2"/>
  <c r="E437" i="2"/>
  <c r="C437" i="2"/>
  <c r="A437" i="2"/>
  <c r="I436" i="2"/>
  <c r="F436" i="2"/>
  <c r="E436" i="2"/>
  <c r="C436" i="2"/>
  <c r="A436" i="2"/>
  <c r="I435" i="2"/>
  <c r="F435" i="2"/>
  <c r="E435" i="2"/>
  <c r="C435" i="2"/>
  <c r="A435" i="2"/>
  <c r="I434" i="2"/>
  <c r="F434" i="2"/>
  <c r="E434" i="2"/>
  <c r="C434" i="2"/>
  <c r="A434" i="2"/>
  <c r="I433" i="2"/>
  <c r="F433" i="2"/>
  <c r="E433" i="2"/>
  <c r="C433" i="2"/>
  <c r="A433" i="2"/>
  <c r="I432" i="2"/>
  <c r="F432" i="2"/>
  <c r="E432" i="2"/>
  <c r="C432" i="2"/>
  <c r="A432" i="2"/>
  <c r="I431" i="2"/>
  <c r="F431" i="2"/>
  <c r="E431" i="2"/>
  <c r="C431" i="2"/>
  <c r="A431" i="2"/>
  <c r="I430" i="2"/>
  <c r="F430" i="2"/>
  <c r="E430" i="2"/>
  <c r="C430" i="2"/>
  <c r="A430" i="2"/>
  <c r="I429" i="2"/>
  <c r="F429" i="2"/>
  <c r="E429" i="2"/>
  <c r="C429" i="2"/>
  <c r="A429" i="2"/>
  <c r="I428" i="2"/>
  <c r="F428" i="2"/>
  <c r="E428" i="2"/>
  <c r="C428" i="2"/>
  <c r="A428" i="2"/>
  <c r="I427" i="2"/>
  <c r="F427" i="2"/>
  <c r="E427" i="2"/>
  <c r="C427" i="2"/>
  <c r="A427" i="2"/>
  <c r="I426" i="2"/>
  <c r="F426" i="2"/>
  <c r="E426" i="2"/>
  <c r="C426" i="2"/>
  <c r="A426" i="2"/>
  <c r="I425" i="2"/>
  <c r="F425" i="2"/>
  <c r="E425" i="2"/>
  <c r="C425" i="2"/>
  <c r="A425" i="2"/>
  <c r="I424" i="2"/>
  <c r="F424" i="2"/>
  <c r="E424" i="2"/>
  <c r="C424" i="2"/>
  <c r="A424" i="2"/>
  <c r="I423" i="2"/>
  <c r="F423" i="2"/>
  <c r="E423" i="2"/>
  <c r="C423" i="2"/>
  <c r="A423" i="2"/>
  <c r="I422" i="2"/>
  <c r="F422" i="2"/>
  <c r="E422" i="2"/>
  <c r="C422" i="2"/>
  <c r="A422" i="2"/>
  <c r="I421" i="2"/>
  <c r="F421" i="2"/>
  <c r="E421" i="2"/>
  <c r="C421" i="2"/>
  <c r="A421" i="2"/>
  <c r="I420" i="2"/>
  <c r="F420" i="2"/>
  <c r="E420" i="2"/>
  <c r="C420" i="2"/>
  <c r="A420" i="2"/>
  <c r="I419" i="2"/>
  <c r="F419" i="2"/>
  <c r="E419" i="2"/>
  <c r="C419" i="2"/>
  <c r="A419" i="2"/>
  <c r="I418" i="2"/>
  <c r="F418" i="2"/>
  <c r="E418" i="2"/>
  <c r="C418" i="2"/>
  <c r="A418" i="2"/>
  <c r="I417" i="2"/>
  <c r="F417" i="2"/>
  <c r="E417" i="2"/>
  <c r="C417" i="2"/>
  <c r="A417" i="2"/>
  <c r="I416" i="2"/>
  <c r="F416" i="2"/>
  <c r="E416" i="2"/>
  <c r="C416" i="2"/>
  <c r="A416" i="2"/>
  <c r="I415" i="2"/>
  <c r="F415" i="2"/>
  <c r="E415" i="2"/>
  <c r="C415" i="2"/>
  <c r="A415" i="2"/>
  <c r="I414" i="2"/>
  <c r="F414" i="2"/>
  <c r="E414" i="2"/>
  <c r="C414" i="2"/>
  <c r="A414" i="2"/>
  <c r="I413" i="2"/>
  <c r="F413" i="2"/>
  <c r="E413" i="2"/>
  <c r="C413" i="2"/>
  <c r="A413" i="2"/>
  <c r="I412" i="2"/>
  <c r="F412" i="2"/>
  <c r="E412" i="2"/>
  <c r="C412" i="2"/>
  <c r="A412" i="2"/>
  <c r="I411" i="2"/>
  <c r="F411" i="2"/>
  <c r="E411" i="2"/>
  <c r="C411" i="2"/>
  <c r="A411" i="2"/>
  <c r="I410" i="2"/>
  <c r="F410" i="2"/>
  <c r="E410" i="2"/>
  <c r="C410" i="2"/>
  <c r="A410" i="2"/>
  <c r="I409" i="2"/>
  <c r="F409" i="2"/>
  <c r="E409" i="2"/>
  <c r="C409" i="2"/>
  <c r="A409" i="2"/>
  <c r="I408" i="2"/>
  <c r="F408" i="2"/>
  <c r="E408" i="2"/>
  <c r="C408" i="2"/>
  <c r="A408" i="2"/>
  <c r="I407" i="2"/>
  <c r="F407" i="2"/>
  <c r="E407" i="2"/>
  <c r="C407" i="2"/>
  <c r="A407" i="2"/>
  <c r="I406" i="2"/>
  <c r="F406" i="2"/>
  <c r="E406" i="2"/>
  <c r="C406" i="2"/>
  <c r="A406" i="2"/>
  <c r="I405" i="2"/>
  <c r="F405" i="2"/>
  <c r="E405" i="2"/>
  <c r="C405" i="2"/>
  <c r="A405" i="2"/>
  <c r="I404" i="2"/>
  <c r="F404" i="2"/>
  <c r="E404" i="2"/>
  <c r="C404" i="2"/>
  <c r="A404" i="2"/>
  <c r="I403" i="2"/>
  <c r="F403" i="2"/>
  <c r="E403" i="2"/>
  <c r="C403" i="2"/>
  <c r="A403" i="2"/>
  <c r="I402" i="2"/>
  <c r="F402" i="2"/>
  <c r="E402" i="2"/>
  <c r="C402" i="2"/>
  <c r="A402" i="2"/>
  <c r="I401" i="2"/>
  <c r="F401" i="2"/>
  <c r="E401" i="2"/>
  <c r="C401" i="2"/>
  <c r="A401" i="2"/>
  <c r="I400" i="2"/>
  <c r="F400" i="2"/>
  <c r="E400" i="2"/>
  <c r="C400" i="2"/>
  <c r="A400" i="2"/>
  <c r="I399" i="2"/>
  <c r="F399" i="2"/>
  <c r="E399" i="2"/>
  <c r="C399" i="2"/>
  <c r="A399" i="2"/>
  <c r="I398" i="2"/>
  <c r="F398" i="2"/>
  <c r="E398" i="2"/>
  <c r="C398" i="2"/>
  <c r="A398" i="2"/>
  <c r="I397" i="2"/>
  <c r="F397" i="2"/>
  <c r="E397" i="2"/>
  <c r="C397" i="2"/>
  <c r="A397" i="2"/>
  <c r="I396" i="2"/>
  <c r="F396" i="2"/>
  <c r="E396" i="2"/>
  <c r="C396" i="2"/>
  <c r="A396" i="2"/>
  <c r="I395" i="2"/>
  <c r="F395" i="2"/>
  <c r="E395" i="2"/>
  <c r="C395" i="2"/>
  <c r="A395" i="2"/>
  <c r="I394" i="2"/>
  <c r="F394" i="2"/>
  <c r="E394" i="2"/>
  <c r="C394" i="2"/>
  <c r="A394" i="2"/>
  <c r="I393" i="2"/>
  <c r="F393" i="2"/>
  <c r="E393" i="2"/>
  <c r="C393" i="2"/>
  <c r="A393" i="2"/>
  <c r="I392" i="2"/>
  <c r="F392" i="2"/>
  <c r="E392" i="2"/>
  <c r="C392" i="2"/>
  <c r="A392" i="2"/>
  <c r="I391" i="2"/>
  <c r="F391" i="2"/>
  <c r="E391" i="2"/>
  <c r="C391" i="2"/>
  <c r="A391" i="2"/>
  <c r="I390" i="2"/>
  <c r="F390" i="2"/>
  <c r="E390" i="2"/>
  <c r="C390" i="2"/>
  <c r="A390" i="2"/>
  <c r="I389" i="2"/>
  <c r="F389" i="2"/>
  <c r="E389" i="2"/>
  <c r="C389" i="2"/>
  <c r="A389" i="2"/>
  <c r="I388" i="2"/>
  <c r="F388" i="2"/>
  <c r="E388" i="2"/>
  <c r="C388" i="2"/>
  <c r="A388" i="2"/>
  <c r="I387" i="2"/>
  <c r="F387" i="2"/>
  <c r="E387" i="2"/>
  <c r="C387" i="2"/>
  <c r="A387" i="2"/>
  <c r="I386" i="2"/>
  <c r="F386" i="2"/>
  <c r="E386" i="2"/>
  <c r="C386" i="2"/>
  <c r="A386" i="2"/>
  <c r="I385" i="2"/>
  <c r="F385" i="2"/>
  <c r="E385" i="2"/>
  <c r="C385" i="2"/>
  <c r="A385" i="2"/>
  <c r="I384" i="2"/>
  <c r="F384" i="2"/>
  <c r="E384" i="2"/>
  <c r="C384" i="2"/>
  <c r="A384" i="2"/>
  <c r="I383" i="2"/>
  <c r="F383" i="2"/>
  <c r="E383" i="2"/>
  <c r="C383" i="2"/>
  <c r="A383" i="2"/>
  <c r="I382" i="2"/>
  <c r="F382" i="2"/>
  <c r="E382" i="2"/>
  <c r="C382" i="2"/>
  <c r="A382" i="2"/>
  <c r="I381" i="2"/>
  <c r="F381" i="2"/>
  <c r="E381" i="2"/>
  <c r="C381" i="2"/>
  <c r="A381" i="2"/>
  <c r="I380" i="2"/>
  <c r="F380" i="2"/>
  <c r="E380" i="2"/>
  <c r="C380" i="2"/>
  <c r="A380" i="2"/>
  <c r="I379" i="2"/>
  <c r="F379" i="2"/>
  <c r="E379" i="2"/>
  <c r="C379" i="2"/>
  <c r="A379" i="2"/>
  <c r="I378" i="2"/>
  <c r="F378" i="2"/>
  <c r="E378" i="2"/>
  <c r="C378" i="2"/>
  <c r="A378" i="2"/>
  <c r="I377" i="2"/>
  <c r="F377" i="2"/>
  <c r="E377" i="2"/>
  <c r="C377" i="2"/>
  <c r="A377" i="2"/>
  <c r="I376" i="2"/>
  <c r="F376" i="2"/>
  <c r="E376" i="2"/>
  <c r="C376" i="2"/>
  <c r="A376" i="2"/>
  <c r="I375" i="2"/>
  <c r="F375" i="2"/>
  <c r="E375" i="2"/>
  <c r="C375" i="2"/>
  <c r="A375" i="2"/>
  <c r="I374" i="2"/>
  <c r="F374" i="2"/>
  <c r="E374" i="2"/>
  <c r="C374" i="2"/>
  <c r="A374" i="2"/>
  <c r="I373" i="2"/>
  <c r="F373" i="2"/>
  <c r="E373" i="2"/>
  <c r="C373" i="2"/>
  <c r="A373" i="2"/>
  <c r="I372" i="2"/>
  <c r="F372" i="2"/>
  <c r="E372" i="2"/>
  <c r="C372" i="2"/>
  <c r="A372" i="2"/>
  <c r="I371" i="2"/>
  <c r="F371" i="2"/>
  <c r="E371" i="2"/>
  <c r="C371" i="2"/>
  <c r="A371" i="2"/>
  <c r="I370" i="2"/>
  <c r="F370" i="2"/>
  <c r="E370" i="2"/>
  <c r="C370" i="2"/>
  <c r="A370" i="2"/>
  <c r="I369" i="2"/>
  <c r="F369" i="2"/>
  <c r="E369" i="2"/>
  <c r="C369" i="2"/>
  <c r="A369" i="2"/>
  <c r="I368" i="2"/>
  <c r="F368" i="2"/>
  <c r="E368" i="2"/>
  <c r="C368" i="2"/>
  <c r="A368" i="2"/>
  <c r="I367" i="2"/>
  <c r="F367" i="2"/>
  <c r="E367" i="2"/>
  <c r="C367" i="2"/>
  <c r="A367" i="2"/>
  <c r="I366" i="2"/>
  <c r="F366" i="2"/>
  <c r="E366" i="2"/>
  <c r="C366" i="2"/>
  <c r="A366" i="2"/>
  <c r="I365" i="2"/>
  <c r="F365" i="2"/>
  <c r="E365" i="2"/>
  <c r="C365" i="2"/>
  <c r="A365" i="2"/>
  <c r="I364" i="2"/>
  <c r="F364" i="2"/>
  <c r="E364" i="2"/>
  <c r="C364" i="2"/>
  <c r="A364" i="2"/>
  <c r="I363" i="2"/>
  <c r="F363" i="2"/>
  <c r="E363" i="2"/>
  <c r="C363" i="2"/>
  <c r="A363" i="2"/>
  <c r="I362" i="2"/>
  <c r="F362" i="2"/>
  <c r="E362" i="2"/>
  <c r="C362" i="2"/>
  <c r="A362" i="2"/>
  <c r="I361" i="2"/>
  <c r="F361" i="2"/>
  <c r="E361" i="2"/>
  <c r="C361" i="2"/>
  <c r="A361" i="2"/>
  <c r="I360" i="2"/>
  <c r="F360" i="2"/>
  <c r="E360" i="2"/>
  <c r="C360" i="2"/>
  <c r="A360" i="2"/>
  <c r="I359" i="2"/>
  <c r="F359" i="2"/>
  <c r="E359" i="2"/>
  <c r="C359" i="2"/>
  <c r="A359" i="2"/>
  <c r="I358" i="2"/>
  <c r="F358" i="2"/>
  <c r="E358" i="2"/>
  <c r="C358" i="2"/>
  <c r="A358" i="2"/>
  <c r="I357" i="2"/>
  <c r="F357" i="2"/>
  <c r="E357" i="2"/>
  <c r="C357" i="2"/>
  <c r="A357" i="2"/>
  <c r="I356" i="2"/>
  <c r="F356" i="2"/>
  <c r="E356" i="2"/>
  <c r="C356" i="2"/>
  <c r="A356" i="2"/>
  <c r="I355" i="2"/>
  <c r="F355" i="2"/>
  <c r="E355" i="2"/>
  <c r="C355" i="2"/>
  <c r="A355" i="2"/>
  <c r="I354" i="2"/>
  <c r="F354" i="2"/>
  <c r="E354" i="2"/>
  <c r="C354" i="2"/>
  <c r="A354" i="2"/>
  <c r="I353" i="2"/>
  <c r="F353" i="2"/>
  <c r="E353" i="2"/>
  <c r="C353" i="2"/>
  <c r="A353" i="2"/>
  <c r="I352" i="2"/>
  <c r="F352" i="2"/>
  <c r="E352" i="2"/>
  <c r="C352" i="2"/>
  <c r="A352" i="2"/>
  <c r="I351" i="2"/>
  <c r="F351" i="2"/>
  <c r="E351" i="2"/>
  <c r="C351" i="2"/>
  <c r="A351" i="2"/>
  <c r="I350" i="2"/>
  <c r="F350" i="2"/>
  <c r="E350" i="2"/>
  <c r="C350" i="2"/>
  <c r="A350" i="2"/>
  <c r="I349" i="2"/>
  <c r="F349" i="2"/>
  <c r="E349" i="2"/>
  <c r="C349" i="2"/>
  <c r="A349" i="2"/>
  <c r="I348" i="2"/>
  <c r="F348" i="2"/>
  <c r="E348" i="2"/>
  <c r="C348" i="2"/>
  <c r="A348" i="2"/>
  <c r="I347" i="2"/>
  <c r="F347" i="2"/>
  <c r="E347" i="2"/>
  <c r="C347" i="2"/>
  <c r="A347" i="2"/>
  <c r="I346" i="2"/>
  <c r="F346" i="2"/>
  <c r="E346" i="2"/>
  <c r="C346" i="2"/>
  <c r="A346" i="2"/>
  <c r="I345" i="2"/>
  <c r="F345" i="2"/>
  <c r="E345" i="2"/>
  <c r="C345" i="2"/>
  <c r="A345" i="2"/>
  <c r="I344" i="2"/>
  <c r="F344" i="2"/>
  <c r="E344" i="2"/>
  <c r="C344" i="2"/>
  <c r="A344" i="2"/>
  <c r="I343" i="2"/>
  <c r="F343" i="2"/>
  <c r="E343" i="2"/>
  <c r="C343" i="2"/>
  <c r="A343" i="2"/>
  <c r="I342" i="2"/>
  <c r="F342" i="2"/>
  <c r="E342" i="2"/>
  <c r="C342" i="2"/>
  <c r="A342" i="2"/>
  <c r="I341" i="2"/>
  <c r="F341" i="2"/>
  <c r="E341" i="2"/>
  <c r="C341" i="2"/>
  <c r="A341" i="2"/>
  <c r="I340" i="2"/>
  <c r="F340" i="2"/>
  <c r="E340" i="2"/>
  <c r="C340" i="2"/>
  <c r="A340" i="2"/>
  <c r="I339" i="2"/>
  <c r="F339" i="2"/>
  <c r="E339" i="2"/>
  <c r="C339" i="2"/>
  <c r="A339" i="2"/>
  <c r="I338" i="2"/>
  <c r="F338" i="2"/>
  <c r="E338" i="2"/>
  <c r="C338" i="2"/>
  <c r="A338" i="2"/>
  <c r="I337" i="2"/>
  <c r="F337" i="2"/>
  <c r="E337" i="2"/>
  <c r="C337" i="2"/>
  <c r="A337" i="2"/>
  <c r="I336" i="2"/>
  <c r="F336" i="2"/>
  <c r="E336" i="2"/>
  <c r="C336" i="2"/>
  <c r="A336" i="2"/>
  <c r="I335" i="2"/>
  <c r="F335" i="2"/>
  <c r="E335" i="2"/>
  <c r="C335" i="2"/>
  <c r="A335" i="2"/>
  <c r="I334" i="2"/>
  <c r="F334" i="2"/>
  <c r="E334" i="2"/>
  <c r="C334" i="2"/>
  <c r="A334" i="2"/>
  <c r="I333" i="2"/>
  <c r="F333" i="2"/>
  <c r="E333" i="2"/>
  <c r="C333" i="2"/>
  <c r="A333" i="2"/>
  <c r="I332" i="2"/>
  <c r="F332" i="2"/>
  <c r="E332" i="2"/>
  <c r="C332" i="2"/>
  <c r="A332" i="2"/>
  <c r="I331" i="2"/>
  <c r="F331" i="2"/>
  <c r="E331" i="2"/>
  <c r="C331" i="2"/>
  <c r="A331" i="2"/>
  <c r="I330" i="2"/>
  <c r="F330" i="2"/>
  <c r="E330" i="2"/>
  <c r="C330" i="2"/>
  <c r="A330" i="2"/>
  <c r="I329" i="2"/>
  <c r="F329" i="2"/>
  <c r="E329" i="2"/>
  <c r="C329" i="2"/>
  <c r="A329" i="2"/>
  <c r="I328" i="2"/>
  <c r="F328" i="2"/>
  <c r="E328" i="2"/>
  <c r="C328" i="2"/>
  <c r="A328" i="2"/>
  <c r="I327" i="2"/>
  <c r="F327" i="2"/>
  <c r="E327" i="2"/>
  <c r="C327" i="2"/>
  <c r="A327" i="2"/>
  <c r="I326" i="2"/>
  <c r="F326" i="2"/>
  <c r="E326" i="2"/>
  <c r="C326" i="2"/>
  <c r="A326" i="2"/>
  <c r="I325" i="2"/>
  <c r="F325" i="2"/>
  <c r="E325" i="2"/>
  <c r="C325" i="2"/>
  <c r="A325" i="2"/>
  <c r="I324" i="2"/>
  <c r="F324" i="2"/>
  <c r="E324" i="2"/>
  <c r="C324" i="2"/>
  <c r="A324" i="2"/>
  <c r="I323" i="2"/>
  <c r="F323" i="2"/>
  <c r="E323" i="2"/>
  <c r="C323" i="2"/>
  <c r="A323" i="2"/>
  <c r="I322" i="2"/>
  <c r="F322" i="2"/>
  <c r="E322" i="2"/>
  <c r="C322" i="2"/>
  <c r="A322" i="2"/>
  <c r="I321" i="2"/>
  <c r="F321" i="2"/>
  <c r="E321" i="2"/>
  <c r="C321" i="2"/>
  <c r="A321" i="2"/>
  <c r="I320" i="2"/>
  <c r="F320" i="2"/>
  <c r="E320" i="2"/>
  <c r="C320" i="2"/>
  <c r="A320" i="2"/>
  <c r="I319" i="2"/>
  <c r="F319" i="2"/>
  <c r="E319" i="2"/>
  <c r="C319" i="2"/>
  <c r="A319" i="2"/>
  <c r="I318" i="2"/>
  <c r="F318" i="2"/>
  <c r="E318" i="2"/>
  <c r="C318" i="2"/>
  <c r="A318" i="2"/>
  <c r="I317" i="2"/>
  <c r="F317" i="2"/>
  <c r="E317" i="2"/>
  <c r="C317" i="2"/>
  <c r="A317" i="2"/>
  <c r="I316" i="2"/>
  <c r="F316" i="2"/>
  <c r="E316" i="2"/>
  <c r="C316" i="2"/>
  <c r="A316" i="2"/>
  <c r="I315" i="2"/>
  <c r="F315" i="2"/>
  <c r="E315" i="2"/>
  <c r="C315" i="2"/>
  <c r="A315" i="2"/>
  <c r="I314" i="2"/>
  <c r="F314" i="2"/>
  <c r="E314" i="2"/>
  <c r="C314" i="2"/>
  <c r="A314" i="2"/>
  <c r="I313" i="2"/>
  <c r="F313" i="2"/>
  <c r="E313" i="2"/>
  <c r="C313" i="2"/>
  <c r="A313" i="2"/>
  <c r="I312" i="2"/>
  <c r="F312" i="2"/>
  <c r="E312" i="2"/>
  <c r="C312" i="2"/>
  <c r="A312" i="2"/>
  <c r="I311" i="2"/>
  <c r="F311" i="2"/>
  <c r="E311" i="2"/>
  <c r="C311" i="2"/>
  <c r="A311" i="2"/>
  <c r="I310" i="2"/>
  <c r="F310" i="2"/>
  <c r="E310" i="2"/>
  <c r="C310" i="2"/>
  <c r="A310" i="2"/>
  <c r="I309" i="2"/>
  <c r="F309" i="2"/>
  <c r="E309" i="2"/>
  <c r="C309" i="2"/>
  <c r="A309" i="2"/>
  <c r="I308" i="2"/>
  <c r="F308" i="2"/>
  <c r="E308" i="2"/>
  <c r="C308" i="2"/>
  <c r="A308" i="2"/>
  <c r="I307" i="2"/>
  <c r="F307" i="2"/>
  <c r="E307" i="2"/>
  <c r="C307" i="2"/>
  <c r="A307" i="2"/>
  <c r="I306" i="2"/>
  <c r="F306" i="2"/>
  <c r="E306" i="2"/>
  <c r="C306" i="2"/>
  <c r="A306" i="2"/>
  <c r="I305" i="2"/>
  <c r="F305" i="2"/>
  <c r="E305" i="2"/>
  <c r="C305" i="2"/>
  <c r="A305" i="2"/>
  <c r="I304" i="2"/>
  <c r="F304" i="2"/>
  <c r="E304" i="2"/>
  <c r="C304" i="2"/>
  <c r="A304" i="2"/>
  <c r="I303" i="2"/>
  <c r="F303" i="2"/>
  <c r="E303" i="2"/>
  <c r="C303" i="2"/>
  <c r="A303" i="2"/>
  <c r="I302" i="2"/>
  <c r="F302" i="2"/>
  <c r="E302" i="2"/>
  <c r="C302" i="2"/>
  <c r="A302" i="2"/>
  <c r="I301" i="2"/>
  <c r="F301" i="2"/>
  <c r="E301" i="2"/>
  <c r="C301" i="2"/>
  <c r="A301" i="2"/>
  <c r="I300" i="2"/>
  <c r="F300" i="2"/>
  <c r="E300" i="2"/>
  <c r="C300" i="2"/>
  <c r="A300" i="2"/>
  <c r="I299" i="2"/>
  <c r="F299" i="2"/>
  <c r="E299" i="2"/>
  <c r="C299" i="2"/>
  <c r="A299" i="2"/>
  <c r="I298" i="2"/>
  <c r="F298" i="2"/>
  <c r="E298" i="2"/>
  <c r="C298" i="2"/>
  <c r="A298" i="2"/>
  <c r="I297" i="2"/>
  <c r="F297" i="2"/>
  <c r="E297" i="2"/>
  <c r="C297" i="2"/>
  <c r="A297" i="2"/>
  <c r="I296" i="2"/>
  <c r="F296" i="2"/>
  <c r="E296" i="2"/>
  <c r="C296" i="2"/>
  <c r="A296" i="2"/>
  <c r="I295" i="2"/>
  <c r="F295" i="2"/>
  <c r="E295" i="2"/>
  <c r="C295" i="2"/>
  <c r="A295" i="2"/>
  <c r="I294" i="2"/>
  <c r="F294" i="2"/>
  <c r="E294" i="2"/>
  <c r="C294" i="2"/>
  <c r="A294" i="2"/>
  <c r="I293" i="2"/>
  <c r="F293" i="2"/>
  <c r="E293" i="2"/>
  <c r="C293" i="2"/>
  <c r="A293" i="2"/>
  <c r="I292" i="2"/>
  <c r="F292" i="2"/>
  <c r="E292" i="2"/>
  <c r="C292" i="2"/>
  <c r="A292" i="2"/>
  <c r="I291" i="2"/>
  <c r="F291" i="2"/>
  <c r="E291" i="2"/>
  <c r="C291" i="2"/>
  <c r="A291" i="2"/>
  <c r="I290" i="2"/>
  <c r="F290" i="2"/>
  <c r="E290" i="2"/>
  <c r="C290" i="2"/>
  <c r="A290" i="2"/>
  <c r="I289" i="2"/>
  <c r="F289" i="2"/>
  <c r="E289" i="2"/>
  <c r="C289" i="2"/>
  <c r="A289" i="2"/>
  <c r="I288" i="2"/>
  <c r="F288" i="2"/>
  <c r="E288" i="2"/>
  <c r="C288" i="2"/>
  <c r="A288" i="2"/>
  <c r="I287" i="2"/>
  <c r="F287" i="2"/>
  <c r="E287" i="2"/>
  <c r="C287" i="2"/>
  <c r="A287" i="2"/>
  <c r="I286" i="2"/>
  <c r="F286" i="2"/>
  <c r="E286" i="2"/>
  <c r="C286" i="2"/>
  <c r="A286" i="2"/>
  <c r="I285" i="2"/>
  <c r="F285" i="2"/>
  <c r="E285" i="2"/>
  <c r="C285" i="2"/>
  <c r="A285" i="2"/>
  <c r="I284" i="2"/>
  <c r="F284" i="2"/>
  <c r="E284" i="2"/>
  <c r="C284" i="2"/>
  <c r="A284" i="2"/>
  <c r="I283" i="2"/>
  <c r="F283" i="2"/>
  <c r="E283" i="2"/>
  <c r="C283" i="2"/>
  <c r="A283" i="2"/>
  <c r="I282" i="2"/>
  <c r="F282" i="2"/>
  <c r="E282" i="2"/>
  <c r="C282" i="2"/>
  <c r="A282" i="2"/>
  <c r="I281" i="2"/>
  <c r="F281" i="2"/>
  <c r="E281" i="2"/>
  <c r="C281" i="2"/>
  <c r="A281" i="2"/>
  <c r="I280" i="2"/>
  <c r="F280" i="2"/>
  <c r="E280" i="2"/>
  <c r="C280" i="2"/>
  <c r="A280" i="2"/>
  <c r="I279" i="2"/>
  <c r="F279" i="2"/>
  <c r="E279" i="2"/>
  <c r="C279" i="2"/>
  <c r="A279" i="2"/>
  <c r="I278" i="2"/>
  <c r="F278" i="2"/>
  <c r="E278" i="2"/>
  <c r="C278" i="2"/>
  <c r="A278" i="2"/>
  <c r="I277" i="2"/>
  <c r="F277" i="2"/>
  <c r="E277" i="2"/>
  <c r="C277" i="2"/>
  <c r="A277" i="2"/>
  <c r="I276" i="2"/>
  <c r="F276" i="2"/>
  <c r="E276" i="2"/>
  <c r="C276" i="2"/>
  <c r="A276" i="2"/>
  <c r="I275" i="2"/>
  <c r="F275" i="2"/>
  <c r="E275" i="2"/>
  <c r="C275" i="2"/>
  <c r="A275" i="2"/>
  <c r="I274" i="2"/>
  <c r="F274" i="2"/>
  <c r="E274" i="2"/>
  <c r="C274" i="2"/>
  <c r="A274" i="2"/>
  <c r="I273" i="2"/>
  <c r="F273" i="2"/>
  <c r="E273" i="2"/>
  <c r="C273" i="2"/>
  <c r="A273" i="2"/>
  <c r="I272" i="2"/>
  <c r="F272" i="2"/>
  <c r="E272" i="2"/>
  <c r="C272" i="2"/>
  <c r="A272" i="2"/>
  <c r="I271" i="2"/>
  <c r="F271" i="2"/>
  <c r="E271" i="2"/>
  <c r="C271" i="2"/>
  <c r="A271" i="2"/>
  <c r="I270" i="2"/>
  <c r="F270" i="2"/>
  <c r="E270" i="2"/>
  <c r="C270" i="2"/>
  <c r="A270" i="2"/>
  <c r="I269" i="2"/>
  <c r="F269" i="2"/>
  <c r="E269" i="2"/>
  <c r="C269" i="2"/>
  <c r="A269" i="2"/>
  <c r="I268" i="2"/>
  <c r="F268" i="2"/>
  <c r="E268" i="2"/>
  <c r="C268" i="2"/>
  <c r="A268" i="2"/>
  <c r="I267" i="2"/>
  <c r="F267" i="2"/>
  <c r="E267" i="2"/>
  <c r="C267" i="2"/>
  <c r="A267" i="2"/>
  <c r="I266" i="2"/>
  <c r="F266" i="2"/>
  <c r="E266" i="2"/>
  <c r="C266" i="2"/>
  <c r="A266" i="2"/>
  <c r="I265" i="2"/>
  <c r="F265" i="2"/>
  <c r="E265" i="2"/>
  <c r="C265" i="2"/>
  <c r="A265" i="2"/>
  <c r="I264" i="2"/>
  <c r="F264" i="2"/>
  <c r="E264" i="2"/>
  <c r="C264" i="2"/>
  <c r="A264" i="2"/>
  <c r="I263" i="2"/>
  <c r="F263" i="2"/>
  <c r="E263" i="2"/>
  <c r="C263" i="2"/>
  <c r="A263" i="2"/>
  <c r="I262" i="2"/>
  <c r="F262" i="2"/>
  <c r="E262" i="2"/>
  <c r="C262" i="2"/>
  <c r="A262" i="2"/>
  <c r="I261" i="2"/>
  <c r="F261" i="2"/>
  <c r="E261" i="2"/>
  <c r="C261" i="2"/>
  <c r="A261" i="2"/>
  <c r="I260" i="2"/>
  <c r="F260" i="2"/>
  <c r="E260" i="2"/>
  <c r="C260" i="2"/>
  <c r="A260" i="2"/>
  <c r="I259" i="2"/>
  <c r="F259" i="2"/>
  <c r="E259" i="2"/>
  <c r="C259" i="2"/>
  <c r="A259" i="2"/>
  <c r="I258" i="2"/>
  <c r="F258" i="2"/>
  <c r="E258" i="2"/>
  <c r="C258" i="2"/>
  <c r="A258" i="2"/>
  <c r="I257" i="2"/>
  <c r="F257" i="2"/>
  <c r="E257" i="2"/>
  <c r="C257" i="2"/>
  <c r="A257" i="2"/>
  <c r="I256" i="2"/>
  <c r="F256" i="2"/>
  <c r="E256" i="2"/>
  <c r="C256" i="2"/>
  <c r="A256" i="2"/>
  <c r="I255" i="2"/>
  <c r="F255" i="2"/>
  <c r="E255" i="2"/>
  <c r="C255" i="2"/>
  <c r="A255" i="2"/>
  <c r="I254" i="2"/>
  <c r="F254" i="2"/>
  <c r="E254" i="2"/>
  <c r="C254" i="2"/>
  <c r="A254" i="2"/>
  <c r="I253" i="2"/>
  <c r="F253" i="2"/>
  <c r="E253" i="2"/>
  <c r="C253" i="2"/>
  <c r="A253" i="2"/>
  <c r="I252" i="2"/>
  <c r="F252" i="2"/>
  <c r="E252" i="2"/>
  <c r="C252" i="2"/>
  <c r="A252" i="2"/>
  <c r="I251" i="2"/>
  <c r="F251" i="2"/>
  <c r="E251" i="2"/>
  <c r="C251" i="2"/>
  <c r="A251" i="2"/>
  <c r="I250" i="2"/>
  <c r="F250" i="2"/>
  <c r="E250" i="2"/>
  <c r="C250" i="2"/>
  <c r="A250" i="2"/>
  <c r="I249" i="2"/>
  <c r="F249" i="2"/>
  <c r="E249" i="2"/>
  <c r="C249" i="2"/>
  <c r="A249" i="2"/>
  <c r="I248" i="2"/>
  <c r="F248" i="2"/>
  <c r="E248" i="2"/>
  <c r="C248" i="2"/>
  <c r="A248" i="2"/>
  <c r="I247" i="2"/>
  <c r="F247" i="2"/>
  <c r="E247" i="2"/>
  <c r="C247" i="2"/>
  <c r="A247" i="2"/>
  <c r="I246" i="2"/>
  <c r="F246" i="2"/>
  <c r="E246" i="2"/>
  <c r="C246" i="2"/>
  <c r="A246" i="2"/>
  <c r="I245" i="2"/>
  <c r="F245" i="2"/>
  <c r="E245" i="2"/>
  <c r="C245" i="2"/>
  <c r="A245" i="2"/>
  <c r="I244" i="2"/>
  <c r="F244" i="2"/>
  <c r="E244" i="2"/>
  <c r="C244" i="2"/>
  <c r="A244" i="2"/>
  <c r="I243" i="2"/>
  <c r="F243" i="2"/>
  <c r="E243" i="2"/>
  <c r="C243" i="2"/>
  <c r="A243" i="2"/>
  <c r="I242" i="2"/>
  <c r="F242" i="2"/>
  <c r="E242" i="2"/>
  <c r="C242" i="2"/>
  <c r="A242" i="2"/>
  <c r="I241" i="2"/>
  <c r="F241" i="2"/>
  <c r="E241" i="2"/>
  <c r="C241" i="2"/>
  <c r="A241" i="2"/>
  <c r="I240" i="2"/>
  <c r="F240" i="2"/>
  <c r="E240" i="2"/>
  <c r="C240" i="2"/>
  <c r="A240" i="2"/>
  <c r="I239" i="2"/>
  <c r="F239" i="2"/>
  <c r="E239" i="2"/>
  <c r="C239" i="2"/>
  <c r="A239" i="2"/>
  <c r="I238" i="2"/>
  <c r="F238" i="2"/>
  <c r="E238" i="2"/>
  <c r="C238" i="2"/>
  <c r="A238" i="2"/>
  <c r="I237" i="2"/>
  <c r="F237" i="2"/>
  <c r="E237" i="2"/>
  <c r="C237" i="2"/>
  <c r="A237" i="2"/>
  <c r="I236" i="2"/>
  <c r="F236" i="2"/>
  <c r="E236" i="2"/>
  <c r="C236" i="2"/>
  <c r="A236" i="2"/>
  <c r="I235" i="2"/>
  <c r="F235" i="2"/>
  <c r="E235" i="2"/>
  <c r="C235" i="2"/>
  <c r="A235" i="2"/>
  <c r="I234" i="2"/>
  <c r="F234" i="2"/>
  <c r="E234" i="2"/>
  <c r="C234" i="2"/>
  <c r="A234" i="2"/>
  <c r="I233" i="2"/>
  <c r="F233" i="2"/>
  <c r="E233" i="2"/>
  <c r="C233" i="2"/>
  <c r="A233" i="2"/>
  <c r="I232" i="2"/>
  <c r="F232" i="2"/>
  <c r="E232" i="2"/>
  <c r="C232" i="2"/>
  <c r="A232" i="2"/>
  <c r="I231" i="2"/>
  <c r="F231" i="2"/>
  <c r="E231" i="2"/>
  <c r="C231" i="2"/>
  <c r="A231" i="2"/>
  <c r="I230" i="2"/>
  <c r="F230" i="2"/>
  <c r="E230" i="2"/>
  <c r="C230" i="2"/>
  <c r="A230" i="2"/>
  <c r="I229" i="2"/>
  <c r="F229" i="2"/>
  <c r="E229" i="2"/>
  <c r="C229" i="2"/>
  <c r="A229" i="2"/>
  <c r="I228" i="2"/>
  <c r="F228" i="2"/>
  <c r="E228" i="2"/>
  <c r="C228" i="2"/>
  <c r="A228" i="2"/>
  <c r="I227" i="2"/>
  <c r="F227" i="2"/>
  <c r="E227" i="2"/>
  <c r="C227" i="2"/>
  <c r="A227" i="2"/>
  <c r="I226" i="2"/>
  <c r="F226" i="2"/>
  <c r="E226" i="2"/>
  <c r="C226" i="2"/>
  <c r="A226" i="2"/>
  <c r="I225" i="2"/>
  <c r="F225" i="2"/>
  <c r="E225" i="2"/>
  <c r="C225" i="2"/>
  <c r="A225" i="2"/>
  <c r="I224" i="2"/>
  <c r="F224" i="2"/>
  <c r="E224" i="2"/>
  <c r="C224" i="2"/>
  <c r="A224" i="2"/>
  <c r="I223" i="2"/>
  <c r="F223" i="2"/>
  <c r="E223" i="2"/>
  <c r="C223" i="2"/>
  <c r="A223" i="2"/>
  <c r="I222" i="2"/>
  <c r="F222" i="2"/>
  <c r="E222" i="2"/>
  <c r="C222" i="2"/>
  <c r="A222" i="2"/>
  <c r="I221" i="2"/>
  <c r="F221" i="2"/>
  <c r="E221" i="2"/>
  <c r="C221" i="2"/>
  <c r="A221" i="2"/>
  <c r="I220" i="2"/>
  <c r="F220" i="2"/>
  <c r="E220" i="2"/>
  <c r="C220" i="2"/>
  <c r="A220" i="2"/>
  <c r="I219" i="2"/>
  <c r="F219" i="2"/>
  <c r="E219" i="2"/>
  <c r="C219" i="2"/>
  <c r="A219" i="2"/>
  <c r="I218" i="2"/>
  <c r="F218" i="2"/>
  <c r="E218" i="2"/>
  <c r="C218" i="2"/>
  <c r="A218" i="2"/>
  <c r="I217" i="2"/>
  <c r="F217" i="2"/>
  <c r="E217" i="2"/>
  <c r="C217" i="2"/>
  <c r="A217" i="2"/>
  <c r="I216" i="2"/>
  <c r="F216" i="2"/>
  <c r="E216" i="2"/>
  <c r="C216" i="2"/>
  <c r="A216" i="2"/>
  <c r="I215" i="2"/>
  <c r="F215" i="2"/>
  <c r="E215" i="2"/>
  <c r="C215" i="2"/>
  <c r="A215" i="2"/>
  <c r="I214" i="2"/>
  <c r="F214" i="2"/>
  <c r="E214" i="2"/>
  <c r="C214" i="2"/>
  <c r="A214" i="2"/>
  <c r="I213" i="2"/>
  <c r="F213" i="2"/>
  <c r="E213" i="2"/>
  <c r="C213" i="2"/>
  <c r="A213" i="2"/>
  <c r="I212" i="2"/>
  <c r="F212" i="2"/>
  <c r="E212" i="2"/>
  <c r="C212" i="2"/>
  <c r="A212" i="2"/>
  <c r="I211" i="2"/>
  <c r="F211" i="2"/>
  <c r="E211" i="2"/>
  <c r="C211" i="2"/>
  <c r="A211" i="2"/>
  <c r="I210" i="2"/>
  <c r="F210" i="2"/>
  <c r="E210" i="2"/>
  <c r="C210" i="2"/>
  <c r="A210" i="2"/>
  <c r="I209" i="2"/>
  <c r="F209" i="2"/>
  <c r="E209" i="2"/>
  <c r="C209" i="2"/>
  <c r="A209" i="2"/>
  <c r="I208" i="2"/>
  <c r="F208" i="2"/>
  <c r="E208" i="2"/>
  <c r="C208" i="2"/>
  <c r="A208" i="2"/>
  <c r="I207" i="2"/>
  <c r="F207" i="2"/>
  <c r="E207" i="2"/>
  <c r="C207" i="2"/>
  <c r="A207" i="2"/>
  <c r="I206" i="2"/>
  <c r="F206" i="2"/>
  <c r="E206" i="2"/>
  <c r="C206" i="2"/>
  <c r="A206" i="2"/>
  <c r="I205" i="2"/>
  <c r="F205" i="2"/>
  <c r="E205" i="2"/>
  <c r="C205" i="2"/>
  <c r="A205" i="2"/>
  <c r="I204" i="2"/>
  <c r="F204" i="2"/>
  <c r="E204" i="2"/>
  <c r="C204" i="2"/>
  <c r="A204" i="2"/>
  <c r="I203" i="2"/>
  <c r="F203" i="2"/>
  <c r="E203" i="2"/>
  <c r="C203" i="2"/>
  <c r="A203" i="2"/>
  <c r="I202" i="2"/>
  <c r="F202" i="2"/>
  <c r="E202" i="2"/>
  <c r="C202" i="2"/>
  <c r="A202" i="2"/>
  <c r="I201" i="2"/>
  <c r="F201" i="2"/>
  <c r="E201" i="2"/>
  <c r="C201" i="2"/>
  <c r="A201" i="2"/>
  <c r="I200" i="2"/>
  <c r="F200" i="2"/>
  <c r="E200" i="2"/>
  <c r="C200" i="2"/>
  <c r="A200" i="2"/>
  <c r="I199" i="2"/>
  <c r="F199" i="2"/>
  <c r="E199" i="2"/>
  <c r="C199" i="2"/>
  <c r="A199" i="2"/>
  <c r="I198" i="2"/>
  <c r="F198" i="2"/>
  <c r="E198" i="2"/>
  <c r="C198" i="2"/>
  <c r="A198" i="2"/>
  <c r="I197" i="2"/>
  <c r="F197" i="2"/>
  <c r="E197" i="2"/>
  <c r="C197" i="2"/>
  <c r="A197" i="2"/>
  <c r="I196" i="2"/>
  <c r="F196" i="2"/>
  <c r="E196" i="2"/>
  <c r="C196" i="2"/>
  <c r="A196" i="2"/>
  <c r="I195" i="2"/>
  <c r="F195" i="2"/>
  <c r="E195" i="2"/>
  <c r="C195" i="2"/>
  <c r="A195" i="2"/>
  <c r="I194" i="2"/>
  <c r="F194" i="2"/>
  <c r="E194" i="2"/>
  <c r="C194" i="2"/>
  <c r="A194" i="2"/>
  <c r="I193" i="2"/>
  <c r="F193" i="2"/>
  <c r="E193" i="2"/>
  <c r="C193" i="2"/>
  <c r="A193" i="2"/>
  <c r="I192" i="2"/>
  <c r="F192" i="2"/>
  <c r="E192" i="2"/>
  <c r="C192" i="2"/>
  <c r="A192" i="2"/>
  <c r="I191" i="2"/>
  <c r="F191" i="2"/>
  <c r="E191" i="2"/>
  <c r="C191" i="2"/>
  <c r="A191" i="2"/>
  <c r="I190" i="2"/>
  <c r="F190" i="2"/>
  <c r="E190" i="2"/>
  <c r="C190" i="2"/>
  <c r="A190" i="2"/>
  <c r="I189" i="2"/>
  <c r="F189" i="2"/>
  <c r="E189" i="2"/>
  <c r="C189" i="2"/>
  <c r="A189" i="2"/>
  <c r="I188" i="2"/>
  <c r="F188" i="2"/>
  <c r="E188" i="2"/>
  <c r="C188" i="2"/>
  <c r="A188" i="2"/>
  <c r="I187" i="2"/>
  <c r="F187" i="2"/>
  <c r="E187" i="2"/>
  <c r="C187" i="2"/>
  <c r="A187" i="2"/>
  <c r="I186" i="2"/>
  <c r="F186" i="2"/>
  <c r="E186" i="2"/>
  <c r="C186" i="2"/>
  <c r="A186" i="2"/>
  <c r="I185" i="2"/>
  <c r="F185" i="2"/>
  <c r="E185" i="2"/>
  <c r="C185" i="2"/>
  <c r="A185" i="2"/>
  <c r="I184" i="2"/>
  <c r="F184" i="2"/>
  <c r="E184" i="2"/>
  <c r="C184" i="2"/>
  <c r="A184" i="2"/>
  <c r="I183" i="2"/>
  <c r="F183" i="2"/>
  <c r="E183" i="2"/>
  <c r="C183" i="2"/>
  <c r="A183" i="2"/>
  <c r="I182" i="2"/>
  <c r="F182" i="2"/>
  <c r="E182" i="2"/>
  <c r="C182" i="2"/>
  <c r="A182" i="2"/>
  <c r="I181" i="2"/>
  <c r="F181" i="2"/>
  <c r="E181" i="2"/>
  <c r="C181" i="2"/>
  <c r="A181" i="2"/>
  <c r="I180" i="2"/>
  <c r="F180" i="2"/>
  <c r="E180" i="2"/>
  <c r="C180" i="2"/>
  <c r="A180" i="2"/>
  <c r="I179" i="2"/>
  <c r="F179" i="2"/>
  <c r="E179" i="2"/>
  <c r="C179" i="2"/>
  <c r="A179" i="2"/>
  <c r="I178" i="2"/>
  <c r="F178" i="2"/>
  <c r="E178" i="2"/>
  <c r="C178" i="2"/>
  <c r="A178" i="2"/>
  <c r="I177" i="2"/>
  <c r="F177" i="2"/>
  <c r="E177" i="2"/>
  <c r="C177" i="2"/>
  <c r="A177" i="2"/>
  <c r="I176" i="2"/>
  <c r="F176" i="2"/>
  <c r="E176" i="2"/>
  <c r="C176" i="2"/>
  <c r="A176" i="2"/>
  <c r="I175" i="2"/>
  <c r="F175" i="2"/>
  <c r="E175" i="2"/>
  <c r="C175" i="2"/>
  <c r="A175" i="2"/>
  <c r="I174" i="2"/>
  <c r="F174" i="2"/>
  <c r="E174" i="2"/>
  <c r="C174" i="2"/>
  <c r="A174" i="2"/>
  <c r="I173" i="2"/>
  <c r="F173" i="2"/>
  <c r="E173" i="2"/>
  <c r="C173" i="2"/>
  <c r="A173" i="2"/>
  <c r="I172" i="2"/>
  <c r="F172" i="2"/>
  <c r="E172" i="2"/>
  <c r="C172" i="2"/>
  <c r="A172" i="2"/>
  <c r="I171" i="2"/>
  <c r="F171" i="2"/>
  <c r="E171" i="2"/>
  <c r="C171" i="2"/>
  <c r="A171" i="2"/>
  <c r="I170" i="2"/>
  <c r="F170" i="2"/>
  <c r="E170" i="2"/>
  <c r="C170" i="2"/>
  <c r="A170" i="2"/>
  <c r="I169" i="2"/>
  <c r="F169" i="2"/>
  <c r="E169" i="2"/>
  <c r="C169" i="2"/>
  <c r="A169" i="2"/>
  <c r="I168" i="2"/>
  <c r="F168" i="2"/>
  <c r="E168" i="2"/>
  <c r="C168" i="2"/>
  <c r="A168" i="2"/>
  <c r="I167" i="2"/>
  <c r="F167" i="2"/>
  <c r="E167" i="2"/>
  <c r="C167" i="2"/>
  <c r="A167" i="2"/>
  <c r="I166" i="2"/>
  <c r="F166" i="2"/>
  <c r="E166" i="2"/>
  <c r="C166" i="2"/>
  <c r="A166" i="2"/>
  <c r="I165" i="2"/>
  <c r="F165" i="2"/>
  <c r="E165" i="2"/>
  <c r="C165" i="2"/>
  <c r="A165" i="2"/>
  <c r="I164" i="2"/>
  <c r="F164" i="2"/>
  <c r="E164" i="2"/>
  <c r="C164" i="2"/>
  <c r="A164" i="2"/>
  <c r="I163" i="2"/>
  <c r="F163" i="2"/>
  <c r="E163" i="2"/>
  <c r="C163" i="2"/>
  <c r="A163" i="2"/>
  <c r="I162" i="2"/>
  <c r="F162" i="2"/>
  <c r="E162" i="2"/>
  <c r="C162" i="2"/>
  <c r="A162" i="2"/>
  <c r="I161" i="2"/>
  <c r="F161" i="2"/>
  <c r="E161" i="2"/>
  <c r="C161" i="2"/>
  <c r="A161" i="2"/>
  <c r="I160" i="2"/>
  <c r="F160" i="2"/>
  <c r="E160" i="2"/>
  <c r="C160" i="2"/>
  <c r="A160" i="2"/>
  <c r="I159" i="2"/>
  <c r="F159" i="2"/>
  <c r="E159" i="2"/>
  <c r="C159" i="2"/>
  <c r="A159" i="2"/>
  <c r="I158" i="2"/>
  <c r="F158" i="2"/>
  <c r="E158" i="2"/>
  <c r="C158" i="2"/>
  <c r="A158" i="2"/>
  <c r="I157" i="2"/>
  <c r="F157" i="2"/>
  <c r="E157" i="2"/>
  <c r="C157" i="2"/>
  <c r="A157" i="2"/>
  <c r="I156" i="2"/>
  <c r="F156" i="2"/>
  <c r="E156" i="2"/>
  <c r="C156" i="2"/>
  <c r="A156" i="2"/>
  <c r="I155" i="2"/>
  <c r="F155" i="2"/>
  <c r="E155" i="2"/>
  <c r="C155" i="2"/>
  <c r="A155" i="2"/>
  <c r="I154" i="2"/>
  <c r="F154" i="2"/>
  <c r="E154" i="2"/>
  <c r="C154" i="2"/>
  <c r="A154" i="2"/>
  <c r="I153" i="2"/>
  <c r="F153" i="2"/>
  <c r="E153" i="2"/>
  <c r="C153" i="2"/>
  <c r="A153" i="2"/>
  <c r="I152" i="2"/>
  <c r="F152" i="2"/>
  <c r="E152" i="2"/>
  <c r="C152" i="2"/>
  <c r="A152" i="2"/>
  <c r="I151" i="2"/>
  <c r="F151" i="2"/>
  <c r="E151" i="2"/>
  <c r="C151" i="2"/>
  <c r="A151" i="2"/>
  <c r="I150" i="2"/>
  <c r="F150" i="2"/>
  <c r="E150" i="2"/>
  <c r="C150" i="2"/>
  <c r="A150" i="2"/>
  <c r="I149" i="2"/>
  <c r="F149" i="2"/>
  <c r="E149" i="2"/>
  <c r="C149" i="2"/>
  <c r="A149" i="2"/>
  <c r="I148" i="2"/>
  <c r="F148" i="2"/>
  <c r="E148" i="2"/>
  <c r="C148" i="2"/>
  <c r="A148" i="2"/>
  <c r="I147" i="2"/>
  <c r="F147" i="2"/>
  <c r="E147" i="2"/>
  <c r="C147" i="2"/>
  <c r="A147" i="2"/>
  <c r="I146" i="2"/>
  <c r="F146" i="2"/>
  <c r="E146" i="2"/>
  <c r="C146" i="2"/>
  <c r="A146" i="2"/>
  <c r="I145" i="2"/>
  <c r="F145" i="2"/>
  <c r="E145" i="2"/>
  <c r="C145" i="2"/>
  <c r="A145" i="2"/>
  <c r="I144" i="2"/>
  <c r="F144" i="2"/>
  <c r="E144" i="2"/>
  <c r="C144" i="2"/>
  <c r="A144" i="2"/>
  <c r="I143" i="2"/>
  <c r="F143" i="2"/>
  <c r="E143" i="2"/>
  <c r="C143" i="2"/>
  <c r="A143" i="2"/>
  <c r="I142" i="2"/>
  <c r="F142" i="2"/>
  <c r="E142" i="2"/>
  <c r="C142" i="2"/>
  <c r="A142" i="2"/>
  <c r="I141" i="2"/>
  <c r="F141" i="2"/>
  <c r="E141" i="2"/>
  <c r="C141" i="2"/>
  <c r="A141" i="2"/>
  <c r="I140" i="2"/>
  <c r="F140" i="2"/>
  <c r="E140" i="2"/>
  <c r="C140" i="2"/>
  <c r="A140" i="2"/>
  <c r="I139" i="2"/>
  <c r="F139" i="2"/>
  <c r="E139" i="2"/>
  <c r="C139" i="2"/>
  <c r="A139" i="2"/>
  <c r="I138" i="2"/>
  <c r="F138" i="2"/>
  <c r="E138" i="2"/>
  <c r="C138" i="2"/>
  <c r="A138" i="2"/>
  <c r="I137" i="2"/>
  <c r="F137" i="2"/>
  <c r="E137" i="2"/>
  <c r="C137" i="2"/>
  <c r="A137" i="2"/>
  <c r="I136" i="2"/>
  <c r="F136" i="2"/>
  <c r="E136" i="2"/>
  <c r="C136" i="2"/>
  <c r="A136" i="2"/>
  <c r="I135" i="2"/>
  <c r="F135" i="2"/>
  <c r="E135" i="2"/>
  <c r="C135" i="2"/>
  <c r="A135" i="2"/>
  <c r="I134" i="2"/>
  <c r="F134" i="2"/>
  <c r="E134" i="2"/>
  <c r="C134" i="2"/>
  <c r="A134" i="2"/>
  <c r="I133" i="2"/>
  <c r="F133" i="2"/>
  <c r="E133" i="2"/>
  <c r="C133" i="2"/>
  <c r="A133" i="2"/>
  <c r="I132" i="2"/>
  <c r="F132" i="2"/>
  <c r="E132" i="2"/>
  <c r="C132" i="2"/>
  <c r="A132" i="2"/>
  <c r="I131" i="2"/>
  <c r="F131" i="2"/>
  <c r="E131" i="2"/>
  <c r="C131" i="2"/>
  <c r="A131" i="2"/>
  <c r="I130" i="2"/>
  <c r="F130" i="2"/>
  <c r="E130" i="2"/>
  <c r="C130" i="2"/>
  <c r="A130" i="2"/>
  <c r="I129" i="2"/>
  <c r="F129" i="2"/>
  <c r="E129" i="2"/>
  <c r="C129" i="2"/>
  <c r="A129" i="2"/>
  <c r="I128" i="2"/>
  <c r="F128" i="2"/>
  <c r="E128" i="2"/>
  <c r="C128" i="2"/>
  <c r="A128" i="2"/>
  <c r="I127" i="2"/>
  <c r="F127" i="2"/>
  <c r="E127" i="2"/>
  <c r="C127" i="2"/>
  <c r="A127" i="2"/>
  <c r="I126" i="2"/>
  <c r="F126" i="2"/>
  <c r="E126" i="2"/>
  <c r="C126" i="2"/>
  <c r="A126" i="2"/>
  <c r="I125" i="2"/>
  <c r="F125" i="2"/>
  <c r="E125" i="2"/>
  <c r="C125" i="2"/>
  <c r="A125" i="2"/>
  <c r="I124" i="2"/>
  <c r="F124" i="2"/>
  <c r="E124" i="2"/>
  <c r="C124" i="2"/>
  <c r="A124" i="2"/>
  <c r="I123" i="2"/>
  <c r="F123" i="2"/>
  <c r="E123" i="2"/>
  <c r="C123" i="2"/>
  <c r="A123" i="2"/>
  <c r="I122" i="2"/>
  <c r="F122" i="2"/>
  <c r="E122" i="2"/>
  <c r="C122" i="2"/>
  <c r="A122" i="2"/>
  <c r="I121" i="2"/>
  <c r="F121" i="2"/>
  <c r="E121" i="2"/>
  <c r="C121" i="2"/>
  <c r="A121" i="2"/>
  <c r="I120" i="2"/>
  <c r="F120" i="2"/>
  <c r="E120" i="2"/>
  <c r="C120" i="2"/>
  <c r="A120" i="2"/>
  <c r="I119" i="2"/>
  <c r="F119" i="2"/>
  <c r="E119" i="2"/>
  <c r="C119" i="2"/>
  <c r="A119" i="2"/>
  <c r="I118" i="2"/>
  <c r="F118" i="2"/>
  <c r="E118" i="2"/>
  <c r="C118" i="2"/>
  <c r="A118" i="2"/>
  <c r="I117" i="2"/>
  <c r="F117" i="2"/>
  <c r="E117" i="2"/>
  <c r="C117" i="2"/>
  <c r="A117" i="2"/>
  <c r="I116" i="2"/>
  <c r="F116" i="2"/>
  <c r="E116" i="2"/>
  <c r="C116" i="2"/>
  <c r="A116" i="2"/>
  <c r="I115" i="2"/>
  <c r="F115" i="2"/>
  <c r="E115" i="2"/>
  <c r="C115" i="2"/>
  <c r="A115" i="2"/>
  <c r="I114" i="2"/>
  <c r="F114" i="2"/>
  <c r="E114" i="2"/>
  <c r="C114" i="2"/>
  <c r="A114" i="2"/>
  <c r="I113" i="2"/>
  <c r="F113" i="2"/>
  <c r="E113" i="2"/>
  <c r="C113" i="2"/>
  <c r="A113" i="2"/>
  <c r="I112" i="2"/>
  <c r="F112" i="2"/>
  <c r="E112" i="2"/>
  <c r="C112" i="2"/>
  <c r="A112" i="2"/>
  <c r="I111" i="2"/>
  <c r="F111" i="2"/>
  <c r="E111" i="2"/>
  <c r="C111" i="2"/>
  <c r="A111" i="2"/>
  <c r="I110" i="2"/>
  <c r="F110" i="2"/>
  <c r="E110" i="2"/>
  <c r="C110" i="2"/>
  <c r="A110" i="2"/>
  <c r="I109" i="2"/>
  <c r="F109" i="2"/>
  <c r="E109" i="2"/>
  <c r="C109" i="2"/>
  <c r="A109" i="2"/>
  <c r="I108" i="2"/>
  <c r="F108" i="2"/>
  <c r="E108" i="2"/>
  <c r="C108" i="2"/>
  <c r="A108" i="2"/>
  <c r="I107" i="2"/>
  <c r="F107" i="2"/>
  <c r="E107" i="2"/>
  <c r="C107" i="2"/>
  <c r="A107" i="2"/>
  <c r="I106" i="2"/>
  <c r="F106" i="2"/>
  <c r="E106" i="2"/>
  <c r="C106" i="2"/>
  <c r="A106" i="2"/>
  <c r="I105" i="2"/>
  <c r="F105" i="2"/>
  <c r="E105" i="2"/>
  <c r="C105" i="2"/>
  <c r="A105" i="2"/>
  <c r="I104" i="2"/>
  <c r="F104" i="2"/>
  <c r="E104" i="2"/>
  <c r="C104" i="2"/>
  <c r="A104" i="2"/>
  <c r="I103" i="2"/>
  <c r="F103" i="2"/>
  <c r="E103" i="2"/>
  <c r="C103" i="2"/>
  <c r="A103" i="2"/>
  <c r="I102" i="2"/>
  <c r="F102" i="2"/>
  <c r="E102" i="2"/>
  <c r="C102" i="2"/>
  <c r="A102" i="2"/>
  <c r="I101" i="2"/>
  <c r="F101" i="2"/>
  <c r="E101" i="2"/>
  <c r="C101" i="2"/>
  <c r="A101" i="2"/>
  <c r="I100" i="2"/>
  <c r="F100" i="2"/>
  <c r="E100" i="2"/>
  <c r="C100" i="2"/>
  <c r="A100" i="2"/>
  <c r="I99" i="2"/>
  <c r="F99" i="2"/>
  <c r="E99" i="2"/>
  <c r="C99" i="2"/>
  <c r="A99" i="2"/>
  <c r="I98" i="2"/>
  <c r="F98" i="2"/>
  <c r="E98" i="2"/>
  <c r="C98" i="2"/>
  <c r="A98" i="2"/>
  <c r="I97" i="2"/>
  <c r="F97" i="2"/>
  <c r="E97" i="2"/>
  <c r="C97" i="2"/>
  <c r="A97" i="2"/>
  <c r="I96" i="2"/>
  <c r="F96" i="2"/>
  <c r="E96" i="2"/>
  <c r="C96" i="2"/>
  <c r="A96" i="2"/>
  <c r="I95" i="2"/>
  <c r="F95" i="2"/>
  <c r="E95" i="2"/>
  <c r="C95" i="2"/>
  <c r="A95" i="2"/>
  <c r="I94" i="2"/>
  <c r="F94" i="2"/>
  <c r="E94" i="2"/>
  <c r="C94" i="2"/>
  <c r="A94" i="2"/>
  <c r="I93" i="2"/>
  <c r="F93" i="2"/>
  <c r="E93" i="2"/>
  <c r="C93" i="2"/>
  <c r="A93" i="2"/>
  <c r="I92" i="2"/>
  <c r="F92" i="2"/>
  <c r="E92" i="2"/>
  <c r="C92" i="2"/>
  <c r="A92" i="2"/>
  <c r="I91" i="2"/>
  <c r="F91" i="2"/>
  <c r="E91" i="2"/>
  <c r="C91" i="2"/>
  <c r="A91" i="2"/>
  <c r="I90" i="2"/>
  <c r="F90" i="2"/>
  <c r="E90" i="2"/>
  <c r="C90" i="2"/>
  <c r="A90" i="2"/>
  <c r="I89" i="2"/>
  <c r="F89" i="2"/>
  <c r="E89" i="2"/>
  <c r="C89" i="2"/>
  <c r="A89" i="2"/>
  <c r="I88" i="2"/>
  <c r="F88" i="2"/>
  <c r="E88" i="2"/>
  <c r="C88" i="2"/>
  <c r="A88" i="2"/>
  <c r="I87" i="2"/>
  <c r="F87" i="2"/>
  <c r="E87" i="2"/>
  <c r="C87" i="2"/>
  <c r="A87" i="2"/>
  <c r="I86" i="2"/>
  <c r="F86" i="2"/>
  <c r="E86" i="2"/>
  <c r="C86" i="2"/>
  <c r="A86" i="2"/>
  <c r="I85" i="2"/>
  <c r="F85" i="2"/>
  <c r="E85" i="2"/>
  <c r="C85" i="2"/>
  <c r="A85" i="2"/>
  <c r="I84" i="2"/>
  <c r="F84" i="2"/>
  <c r="E84" i="2"/>
  <c r="C84" i="2"/>
  <c r="A84" i="2"/>
  <c r="I83" i="2"/>
  <c r="F83" i="2"/>
  <c r="E83" i="2"/>
  <c r="C83" i="2"/>
  <c r="A83" i="2"/>
  <c r="I82" i="2"/>
  <c r="F82" i="2"/>
  <c r="E82" i="2"/>
  <c r="C82" i="2"/>
  <c r="A82" i="2"/>
  <c r="I81" i="2"/>
  <c r="F81" i="2"/>
  <c r="E81" i="2"/>
  <c r="C81" i="2"/>
  <c r="A81" i="2"/>
  <c r="I80" i="2"/>
  <c r="F80" i="2"/>
  <c r="E80" i="2"/>
  <c r="C80" i="2"/>
  <c r="A80" i="2"/>
  <c r="I79" i="2"/>
  <c r="F79" i="2"/>
  <c r="E79" i="2"/>
  <c r="C79" i="2"/>
  <c r="A79" i="2"/>
  <c r="I78" i="2"/>
  <c r="F78" i="2"/>
  <c r="E78" i="2"/>
  <c r="C78" i="2"/>
  <c r="A78" i="2"/>
  <c r="I77" i="2"/>
  <c r="F77" i="2"/>
  <c r="E77" i="2"/>
  <c r="C77" i="2"/>
  <c r="A77" i="2"/>
  <c r="I76" i="2"/>
  <c r="F76" i="2"/>
  <c r="E76" i="2"/>
  <c r="C76" i="2"/>
  <c r="A76" i="2"/>
  <c r="I75" i="2"/>
  <c r="F75" i="2"/>
  <c r="E75" i="2"/>
  <c r="C75" i="2"/>
  <c r="A75" i="2"/>
  <c r="I74" i="2"/>
  <c r="F74" i="2"/>
  <c r="E74" i="2"/>
  <c r="C74" i="2"/>
  <c r="A74" i="2"/>
  <c r="I73" i="2"/>
  <c r="F73" i="2"/>
  <c r="E73" i="2"/>
  <c r="C73" i="2"/>
  <c r="A73" i="2"/>
  <c r="I72" i="2"/>
  <c r="F72" i="2"/>
  <c r="E72" i="2"/>
  <c r="C72" i="2"/>
  <c r="A72" i="2"/>
  <c r="I71" i="2"/>
  <c r="F71" i="2"/>
  <c r="E71" i="2"/>
  <c r="C71" i="2"/>
  <c r="A71" i="2"/>
  <c r="I70" i="2"/>
  <c r="F70" i="2"/>
  <c r="E70" i="2"/>
  <c r="C70" i="2"/>
  <c r="A70" i="2"/>
  <c r="I69" i="2"/>
  <c r="F69" i="2"/>
  <c r="E69" i="2"/>
  <c r="C69" i="2"/>
  <c r="A69" i="2"/>
  <c r="I68" i="2"/>
  <c r="F68" i="2"/>
  <c r="E68" i="2"/>
  <c r="C68" i="2"/>
  <c r="A68" i="2"/>
  <c r="I67" i="2"/>
  <c r="F67" i="2"/>
  <c r="E67" i="2"/>
  <c r="C67" i="2"/>
  <c r="A67" i="2"/>
  <c r="I66" i="2"/>
  <c r="F66" i="2"/>
  <c r="E66" i="2"/>
  <c r="C66" i="2"/>
  <c r="A66" i="2"/>
  <c r="I65" i="2"/>
  <c r="F65" i="2"/>
  <c r="E65" i="2"/>
  <c r="C65" i="2"/>
  <c r="A65" i="2"/>
  <c r="I64" i="2"/>
  <c r="F64" i="2"/>
  <c r="E64" i="2"/>
  <c r="C64" i="2"/>
  <c r="A64" i="2"/>
  <c r="I63" i="2"/>
  <c r="F63" i="2"/>
  <c r="E63" i="2"/>
  <c r="C63" i="2"/>
  <c r="A63" i="2"/>
  <c r="I62" i="2"/>
  <c r="F62" i="2"/>
  <c r="E62" i="2"/>
  <c r="C62" i="2"/>
  <c r="A62" i="2"/>
  <c r="I61" i="2"/>
  <c r="F61" i="2"/>
  <c r="E61" i="2"/>
  <c r="C61" i="2"/>
  <c r="A61" i="2"/>
  <c r="I60" i="2"/>
  <c r="F60" i="2"/>
  <c r="E60" i="2"/>
  <c r="C60" i="2"/>
  <c r="A60" i="2"/>
  <c r="I59" i="2"/>
  <c r="F59" i="2"/>
  <c r="E59" i="2"/>
  <c r="C59" i="2"/>
  <c r="A59" i="2"/>
  <c r="I58" i="2"/>
  <c r="F58" i="2"/>
  <c r="E58" i="2"/>
  <c r="C58" i="2"/>
  <c r="A58" i="2"/>
  <c r="I57" i="2"/>
  <c r="F57" i="2"/>
  <c r="E57" i="2"/>
  <c r="C57" i="2"/>
  <c r="A57" i="2"/>
  <c r="I56" i="2"/>
  <c r="F56" i="2"/>
  <c r="E56" i="2"/>
  <c r="C56" i="2"/>
  <c r="A56" i="2"/>
  <c r="I55" i="2"/>
  <c r="F55" i="2"/>
  <c r="E55" i="2"/>
  <c r="C55" i="2"/>
  <c r="A55" i="2"/>
  <c r="I54" i="2"/>
  <c r="F54" i="2"/>
  <c r="E54" i="2"/>
  <c r="C54" i="2"/>
  <c r="A54" i="2"/>
  <c r="I53" i="2"/>
  <c r="F53" i="2"/>
  <c r="E53" i="2"/>
  <c r="C53" i="2"/>
  <c r="A53" i="2"/>
  <c r="I52" i="2"/>
  <c r="F52" i="2"/>
  <c r="E52" i="2"/>
  <c r="C52" i="2"/>
  <c r="A52" i="2"/>
  <c r="I51" i="2"/>
  <c r="F51" i="2"/>
  <c r="E51" i="2"/>
  <c r="C51" i="2"/>
  <c r="A51" i="2"/>
  <c r="I50" i="2"/>
  <c r="F50" i="2"/>
  <c r="E50" i="2"/>
  <c r="C50" i="2"/>
  <c r="A50" i="2"/>
  <c r="I49" i="2"/>
  <c r="F49" i="2"/>
  <c r="E49" i="2"/>
  <c r="C49" i="2"/>
  <c r="A49" i="2"/>
  <c r="I48" i="2"/>
  <c r="F48" i="2"/>
  <c r="E48" i="2"/>
  <c r="C48" i="2"/>
  <c r="A48" i="2"/>
  <c r="I47" i="2"/>
  <c r="F47" i="2"/>
  <c r="E47" i="2"/>
  <c r="C47" i="2"/>
  <c r="A47" i="2"/>
  <c r="I46" i="2"/>
  <c r="F46" i="2"/>
  <c r="E46" i="2"/>
  <c r="C46" i="2"/>
  <c r="A46" i="2"/>
  <c r="I45" i="2"/>
  <c r="F45" i="2"/>
  <c r="E45" i="2"/>
  <c r="C45" i="2"/>
  <c r="A45" i="2"/>
  <c r="I44" i="2"/>
  <c r="F44" i="2"/>
  <c r="E44" i="2"/>
  <c r="C44" i="2"/>
  <c r="A44" i="2"/>
  <c r="I43" i="2"/>
  <c r="F43" i="2"/>
  <c r="E43" i="2"/>
  <c r="C43" i="2"/>
  <c r="A43" i="2"/>
  <c r="I42" i="2"/>
  <c r="F42" i="2"/>
  <c r="E42" i="2"/>
  <c r="C42" i="2"/>
  <c r="A42" i="2"/>
  <c r="I41" i="2"/>
  <c r="F41" i="2"/>
  <c r="E41" i="2"/>
  <c r="C41" i="2"/>
  <c r="A41" i="2"/>
  <c r="I40" i="2"/>
  <c r="F40" i="2"/>
  <c r="E40" i="2"/>
  <c r="C40" i="2"/>
  <c r="A40" i="2"/>
  <c r="I39" i="2"/>
  <c r="F39" i="2"/>
  <c r="E39" i="2"/>
  <c r="C39" i="2"/>
  <c r="A39" i="2"/>
  <c r="I38" i="2"/>
  <c r="F38" i="2"/>
  <c r="E38" i="2"/>
  <c r="C38" i="2"/>
  <c r="A38" i="2"/>
  <c r="I37" i="2"/>
  <c r="F37" i="2"/>
  <c r="E37" i="2"/>
  <c r="C37" i="2"/>
  <c r="A37" i="2"/>
  <c r="I36" i="2"/>
  <c r="F36" i="2"/>
  <c r="E36" i="2"/>
  <c r="C36" i="2"/>
  <c r="A36" i="2"/>
  <c r="I35" i="2"/>
  <c r="F35" i="2"/>
  <c r="E35" i="2"/>
  <c r="C35" i="2"/>
  <c r="A35" i="2"/>
  <c r="I34" i="2"/>
  <c r="F34" i="2"/>
  <c r="E34" i="2"/>
  <c r="C34" i="2"/>
  <c r="A34" i="2"/>
  <c r="I33" i="2"/>
  <c r="F33" i="2"/>
  <c r="E33" i="2"/>
  <c r="C33" i="2"/>
  <c r="A33" i="2"/>
  <c r="I32" i="2"/>
  <c r="F32" i="2"/>
  <c r="E32" i="2"/>
  <c r="C32" i="2"/>
  <c r="A32" i="2"/>
  <c r="I31" i="2"/>
  <c r="F31" i="2"/>
  <c r="E31" i="2"/>
  <c r="C31" i="2"/>
  <c r="A31" i="2"/>
  <c r="I30" i="2"/>
  <c r="F30" i="2"/>
  <c r="E30" i="2"/>
  <c r="C30" i="2"/>
  <c r="A30" i="2"/>
  <c r="I29" i="2"/>
  <c r="F29" i="2"/>
  <c r="E29" i="2"/>
  <c r="C29" i="2"/>
  <c r="A29" i="2"/>
  <c r="I28" i="2"/>
  <c r="F28" i="2"/>
  <c r="E28" i="2"/>
  <c r="C28" i="2"/>
  <c r="A28" i="2"/>
  <c r="I27" i="2"/>
  <c r="F27" i="2"/>
  <c r="E27" i="2"/>
  <c r="C27" i="2"/>
  <c r="A27" i="2"/>
  <c r="I26" i="2"/>
  <c r="F26" i="2"/>
  <c r="E26" i="2"/>
  <c r="C26" i="2"/>
  <c r="A26" i="2"/>
  <c r="I25" i="2"/>
  <c r="F25" i="2"/>
  <c r="E25" i="2"/>
  <c r="C25" i="2"/>
  <c r="A25" i="2"/>
  <c r="I24" i="2"/>
  <c r="F24" i="2"/>
  <c r="E24" i="2"/>
  <c r="C24" i="2"/>
  <c r="A24" i="2"/>
  <c r="I23" i="2"/>
  <c r="F23" i="2"/>
  <c r="E23" i="2"/>
  <c r="C23" i="2"/>
  <c r="A23" i="2"/>
  <c r="I22" i="2"/>
  <c r="F22" i="2"/>
  <c r="E22" i="2"/>
  <c r="C22" i="2"/>
  <c r="A22" i="2"/>
  <c r="I21" i="2"/>
  <c r="F21" i="2"/>
  <c r="E21" i="2"/>
  <c r="C21" i="2"/>
  <c r="A21" i="2"/>
  <c r="I20" i="2"/>
  <c r="F20" i="2"/>
  <c r="E20" i="2"/>
  <c r="C20" i="2"/>
  <c r="A20" i="2"/>
  <c r="I19" i="2"/>
  <c r="F19" i="2"/>
  <c r="E19" i="2"/>
  <c r="C19" i="2"/>
  <c r="A19" i="2"/>
  <c r="I18" i="2"/>
  <c r="F18" i="2"/>
  <c r="E18" i="2"/>
  <c r="C18" i="2"/>
  <c r="A18" i="2"/>
  <c r="I17" i="2"/>
  <c r="F17" i="2"/>
  <c r="E17" i="2"/>
  <c r="C17" i="2"/>
  <c r="A17" i="2"/>
  <c r="I16" i="2"/>
  <c r="F16" i="2"/>
  <c r="E16" i="2"/>
  <c r="C16" i="2"/>
  <c r="A16" i="2"/>
  <c r="I15" i="2"/>
  <c r="F15" i="2"/>
  <c r="E15" i="2"/>
  <c r="C15" i="2"/>
  <c r="A15" i="2"/>
  <c r="I14" i="2"/>
  <c r="F14" i="2"/>
  <c r="E14" i="2"/>
  <c r="C14" i="2"/>
  <c r="A14" i="2"/>
  <c r="I13" i="2"/>
  <c r="F13" i="2"/>
  <c r="E13" i="2"/>
  <c r="C13" i="2"/>
  <c r="A13" i="2"/>
  <c r="I12" i="2"/>
  <c r="F12" i="2"/>
  <c r="E12" i="2"/>
  <c r="C12" i="2"/>
  <c r="A12" i="2"/>
  <c r="I11" i="2"/>
  <c r="F11" i="2"/>
  <c r="E11" i="2"/>
  <c r="C11" i="2"/>
  <c r="A11" i="2"/>
  <c r="I10" i="2"/>
  <c r="F10" i="2"/>
  <c r="E10" i="2"/>
  <c r="C10" i="2"/>
  <c r="A10" i="2"/>
  <c r="I9" i="2"/>
  <c r="F9" i="2"/>
  <c r="E9" i="2"/>
  <c r="C9" i="2"/>
  <c r="A9" i="2"/>
  <c r="I8" i="2"/>
  <c r="F8" i="2"/>
  <c r="E8" i="2"/>
  <c r="C8" i="2"/>
  <c r="A8" i="2"/>
  <c r="I7" i="2"/>
  <c r="F7" i="2"/>
  <c r="E7" i="2"/>
  <c r="C7" i="2"/>
  <c r="A7" i="2"/>
  <c r="I6" i="2"/>
  <c r="F6" i="2"/>
  <c r="E6" i="2"/>
  <c r="C6" i="2"/>
  <c r="A6" i="2"/>
  <c r="F5" i="2"/>
  <c r="E5" i="2"/>
</calcChain>
</file>

<file path=xl/sharedStrings.xml><?xml version="1.0" encoding="utf-8"?>
<sst xmlns="http://schemas.openxmlformats.org/spreadsheetml/2006/main" count="109" uniqueCount="86">
  <si>
    <t>KARS BELEDİYESİ ARAÇ FİLOSU TANIMLAMA</t>
  </si>
  <si>
    <t>Diğer sayfalardaki plaka açılır listeleri bu tablodan beslenir</t>
  </si>
  <si>
    <t>Plaka</t>
  </si>
  <si>
    <t>Araç Cinsi</t>
  </si>
  <si>
    <t>Marka / Model</t>
  </si>
  <si>
    <t>Müdürlük</t>
  </si>
  <si>
    <t>Yakıt Türü</t>
  </si>
  <si>
    <t>Sayaç Tipi</t>
  </si>
  <si>
    <t>Norm Tüketim (lt/100km veya lt/saat)</t>
  </si>
  <si>
    <t>Açıklama</t>
  </si>
  <si>
    <t>36 AB 123</t>
  </si>
  <si>
    <t>Kamyon</t>
  </si>
  <si>
    <t>Ford Cargo 2528</t>
  </si>
  <si>
    <t>Fen İşleri Müdürlüğü</t>
  </si>
  <si>
    <t>Motorin</t>
  </si>
  <si>
    <t>Kilometre (km)</t>
  </si>
  <si>
    <t>Damperli kamyon</t>
  </si>
  <si>
    <t>Açıklama: Norm Tüketim, sayaç tipi km ise lt/100km, saat ise lt/saat cinsindendir. Bu değer Tüketim Analizi sayfasında karşılaştırma için kullanılır.</t>
  </si>
  <si>
    <t>KARS BELEDİYESİ YAKIT ALIM / TÜKETİM KAYIT DEFTERİ</t>
  </si>
  <si>
    <t>Plaka seçildiğinde Müdürlük ve Yakıt Türü otomatik doldurulur</t>
  </si>
  <si>
    <t>Sıra No</t>
  </si>
  <si>
    <t>Tarih</t>
  </si>
  <si>
    <t>Ay</t>
  </si>
  <si>
    <t>Litre</t>
  </si>
  <si>
    <t>Birim Fiyat (TL)</t>
  </si>
  <si>
    <t>Tutar (TL)</t>
  </si>
  <si>
    <t>Sayaç Değeri</t>
  </si>
  <si>
    <t>Şantiye sevkiyatı öncesi dolum</t>
  </si>
  <si>
    <t>Açıklama: Sarı hücreler veri girişi içindir. Sayaç Değeri, dolum anındaki toplam km veya çalışma saatidir (kümülatif, sıfırlanmaz).</t>
  </si>
  <si>
    <t>KARS BELEDİYESİ ARAÇ BAZLI YAKIT TÜKETİM ANALİZİ</t>
  </si>
  <si>
    <t>Araç Tanımlama ve Yakıt Alım Kayıt sayfalarından otomatik hesaplanır</t>
  </si>
  <si>
    <t>Toplam Litre</t>
  </si>
  <si>
    <t>Toplam Tutar (TL)</t>
  </si>
  <si>
    <t>Sayaç Farkı (Km/Saat)</t>
  </si>
  <si>
    <t>Gerçek Tüketim (lt/100km veya lt/saat)</t>
  </si>
  <si>
    <t>Norm Tüketim</t>
  </si>
  <si>
    <t>Durum</t>
  </si>
  <si>
    <t>Not: DİKKAT = norm tüketimin %5-15 üzeri, YÜKSEK = %15 üzeri gerçek tüketim. Sayaç sıfırlanmadan kümülatif girildiği varsayılır.</t>
  </si>
  <si>
    <t>KARS BELEDİYESİ AYLIK AKARYAKIT TÜKETİM RAPORU</t>
  </si>
  <si>
    <t>Müdürlük Seçin:</t>
  </si>
  <si>
    <t>Ay Seçin:</t>
  </si>
  <si>
    <t>Ocak</t>
  </si>
  <si>
    <t>İşlem Sayısı</t>
  </si>
  <si>
    <t>Ortalama Birim Fiyat (TL)</t>
  </si>
  <si>
    <t>TOPLAM</t>
  </si>
  <si>
    <t>Not: Boş satırlar seçilen müdürlüğe ait araç bulunmadığını gösterir, göz ardı edilebilir.</t>
  </si>
  <si>
    <t>Kars Belediyesi Fen İşleri Müdürlüğü</t>
  </si>
  <si>
    <t>Hazırlayan</t>
  </si>
  <si>
    <t>Kontrol Eden</t>
  </si>
  <si>
    <t>Onaylayan</t>
  </si>
  <si>
    <t>PARAMETRELER (Açılır Liste Kaynakları)</t>
  </si>
  <si>
    <t>Müdürlükler</t>
  </si>
  <si>
    <t>Binek Araç</t>
  </si>
  <si>
    <t>Su ve Kanalizasyon Müdürlüğü</t>
  </si>
  <si>
    <t>Kurşunsuz Benzin</t>
  </si>
  <si>
    <t>Çalışma Saati (saat)</t>
  </si>
  <si>
    <t>Şubat</t>
  </si>
  <si>
    <t>İmar ve Şehircilik Müdürlüğü</t>
  </si>
  <si>
    <t>LPG</t>
  </si>
  <si>
    <t>Kamyonet</t>
  </si>
  <si>
    <t>Mart</t>
  </si>
  <si>
    <t>Temizlik İşleri Müdürlüğü</t>
  </si>
  <si>
    <t>Otobüs/Minibüs</t>
  </si>
  <si>
    <t>Nisan</t>
  </si>
  <si>
    <t>Park ve Bahçeler Müdürlüğü</t>
  </si>
  <si>
    <t>İş Makinesi</t>
  </si>
  <si>
    <t>Mayıs</t>
  </si>
  <si>
    <t>Zabıta Müdürlüğü</t>
  </si>
  <si>
    <t>Traktör</t>
  </si>
  <si>
    <t>Haziran</t>
  </si>
  <si>
    <t>Mali Hizmetler Müdürlüğü</t>
  </si>
  <si>
    <t>Süpürge Aracı</t>
  </si>
  <si>
    <t>Temmuz</t>
  </si>
  <si>
    <t>İnsan Kaynakları Müdürlüğü</t>
  </si>
  <si>
    <t>İtfaiye Aracı</t>
  </si>
  <si>
    <t>Ağustos</t>
  </si>
  <si>
    <t>Destek Hizmetleri Müdürlüğü</t>
  </si>
  <si>
    <t>Eylül</t>
  </si>
  <si>
    <t>Kültür ve Sosyal İşler Müdürlüğü</t>
  </si>
  <si>
    <t>Ekim</t>
  </si>
  <si>
    <t>Veteriner İşleri Müdürlüğü</t>
  </si>
  <si>
    <t>Kasım</t>
  </si>
  <si>
    <t>Yazı İşleri Müdürlüğü</t>
  </si>
  <si>
    <t>Aralık</t>
  </si>
  <si>
    <t>Ulaşım Hizmetleri Müdürlüğü</t>
  </si>
  <si>
    <t>Emlak ve İstimlak Müdürlüğü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</si>
</sst>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,##0.00&quot; TL&quot;"/>
  </numFmts>
  <fonts count="8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i/>
      <sz val="9"/>
      <color rgb="FF808080"/>
      <name val="Arial"/>
      <charset val="1"/>
    </font>
    <font>
      <b/>
      <sz val="10"/>
      <name val="Arial"/>
      <charset val="1"/>
    </font>
    <font>
      <b/>
      <sz val="13"/>
      <color rgb="FF1F3864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EB9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5" fillId="0" borderId="0" xfId="0" applyFont="1"/>
    <xf numFmtId="0" fontId="4" fillId="0" borderId="1" xfId="0" applyFont="1" applyBorder="1"/>
    <xf numFmtId="164" fontId="4" fillId="3" borderId="1" xfId="0" applyNumberFormat="1" applyFont="1" applyFill="1" applyBorder="1"/>
    <xf numFmtId="0" fontId="0" fillId="0" borderId="1" xfId="0" applyBorder="1"/>
    <xf numFmtId="165" fontId="4" fillId="3" borderId="1" xfId="0" applyNumberFormat="1" applyFont="1" applyFill="1" applyBorder="1"/>
    <xf numFmtId="165" fontId="0" fillId="0" borderId="1" xfId="0" applyNumberFormat="1" applyBorder="1"/>
    <xf numFmtId="165" fontId="4" fillId="0" borderId="1" xfId="0" applyNumberFormat="1" applyFont="1" applyBorder="1"/>
    <xf numFmtId="2" fontId="4" fillId="0" borderId="1" xfId="0" applyNumberFormat="1" applyFont="1" applyBorder="1"/>
    <xf numFmtId="0" fontId="6" fillId="0" borderId="0" xfId="0" applyFont="1"/>
    <xf numFmtId="0" fontId="6" fillId="4" borderId="1" xfId="0" applyFont="1" applyFill="1" applyBorder="1"/>
    <xf numFmtId="0" fontId="0" fillId="4" borderId="1" xfId="0" applyFill="1" applyBorder="1"/>
    <xf numFmtId="165" fontId="6" fillId="4" borderId="1" xfId="0" applyNumberFormat="1" applyFont="1" applyFill="1" applyBorder="1"/>
    <xf numFmtId="0" fontId="7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0" fillId="0" borderId="2" xfId="0" applyBorder="1" applyAlignment="1"/>
  </cellXfs>
  <cellStyles count="1">
    <cellStyle name="Normal" xfId="0" builtinId="0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BF90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H203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14" customWidth="1"/>
    <col min="2" max="2" width="18" customWidth="1"/>
    <col min="3" max="3" width="24" customWidth="1"/>
    <col min="4" max="4" width="26" customWidth="1"/>
    <col min="5" max="5" width="16" customWidth="1"/>
    <col min="6" max="6" width="20" customWidth="1"/>
    <col min="7" max="7" width="26" customWidth="1"/>
    <col min="8" max="8" width="24" customWidth="1"/>
  </cols>
  <sheetData>
    <row r="1" spans="1:8" ht="27.75" customHeight="1">
      <c r="A1" s="18" t="s">
        <v>0</v>
      </c>
      <c r="B1" s="18"/>
      <c r="C1" s="18"/>
      <c r="D1" s="18"/>
      <c r="E1" s="18"/>
      <c r="F1" s="18"/>
      <c r="G1" s="18"/>
      <c r="H1" s="18"/>
    </row>
    <row r="2" spans="1:8" ht="15.75" customHeight="1">
      <c r="A2" s="19" t="s">
        <v>1</v>
      </c>
      <c r="B2" s="19"/>
      <c r="C2" s="19"/>
      <c r="D2" s="19"/>
      <c r="E2" s="19"/>
      <c r="F2" s="19"/>
      <c r="G2" s="19"/>
      <c r="H2" s="19"/>
    </row>
    <row r="4" spans="1:8" ht="21.7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s="2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2">
        <v>32</v>
      </c>
      <c r="H5" s="2" t="s">
        <v>16</v>
      </c>
    </row>
    <row r="6" spans="1:8">
      <c r="A6" s="2"/>
      <c r="B6" s="2"/>
      <c r="C6" s="2"/>
      <c r="D6" s="2"/>
      <c r="E6" s="2"/>
      <c r="F6" s="2"/>
      <c r="G6" s="2"/>
      <c r="H6" s="2"/>
    </row>
    <row r="7" spans="1:8">
      <c r="A7" s="2"/>
      <c r="B7" s="2"/>
      <c r="C7" s="2"/>
      <c r="D7" s="2"/>
      <c r="E7" s="2"/>
      <c r="F7" s="2"/>
      <c r="G7" s="2"/>
      <c r="H7" s="2"/>
    </row>
    <row r="8" spans="1:8">
      <c r="A8" s="2"/>
      <c r="B8" s="2"/>
      <c r="C8" s="2"/>
      <c r="D8" s="2"/>
      <c r="E8" s="2"/>
      <c r="F8" s="2"/>
      <c r="G8" s="2"/>
      <c r="H8" s="2"/>
    </row>
    <row r="9" spans="1:8">
      <c r="A9" s="2"/>
      <c r="B9" s="2"/>
      <c r="C9" s="2"/>
      <c r="D9" s="2"/>
      <c r="E9" s="2"/>
      <c r="F9" s="2"/>
      <c r="G9" s="2"/>
      <c r="H9" s="2"/>
    </row>
    <row r="10" spans="1:8">
      <c r="A10" s="2"/>
      <c r="B10" s="2"/>
      <c r="C10" s="2"/>
      <c r="D10" s="2"/>
      <c r="E10" s="2"/>
      <c r="F10" s="2"/>
      <c r="G10" s="2"/>
      <c r="H10" s="2"/>
    </row>
    <row r="11" spans="1:8">
      <c r="A11" s="2"/>
      <c r="B11" s="2"/>
      <c r="C11" s="2"/>
      <c r="D11" s="2"/>
      <c r="E11" s="2"/>
      <c r="F11" s="2"/>
      <c r="G11" s="2"/>
      <c r="H11" s="2"/>
    </row>
    <row r="12" spans="1:8">
      <c r="A12" s="2"/>
      <c r="B12" s="2"/>
      <c r="C12" s="2"/>
      <c r="D12" s="2"/>
      <c r="E12" s="2"/>
      <c r="F12" s="2"/>
      <c r="G12" s="2"/>
      <c r="H12" s="2"/>
    </row>
    <row r="13" spans="1:8">
      <c r="A13" s="2"/>
      <c r="B13" s="2"/>
      <c r="C13" s="2"/>
      <c r="D13" s="2"/>
      <c r="E13" s="2"/>
      <c r="F13" s="2"/>
      <c r="G13" s="2"/>
      <c r="H13" s="2"/>
    </row>
    <row r="14" spans="1:8">
      <c r="A14" s="2"/>
      <c r="B14" s="2"/>
      <c r="C14" s="2"/>
      <c r="D14" s="2"/>
      <c r="E14" s="2"/>
      <c r="F14" s="2"/>
      <c r="G14" s="2"/>
      <c r="H14" s="2"/>
    </row>
    <row r="15" spans="1:8">
      <c r="A15" s="2"/>
      <c r="B15" s="2"/>
      <c r="C15" s="2"/>
      <c r="D15" s="2"/>
      <c r="E15" s="2"/>
      <c r="F15" s="2"/>
      <c r="G15" s="2"/>
      <c r="H15" s="2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2"/>
      <c r="B23" s="2"/>
      <c r="C23" s="2"/>
      <c r="D23" s="2"/>
      <c r="E23" s="2"/>
      <c r="F23" s="2"/>
      <c r="G23" s="2"/>
      <c r="H23" s="2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  <row r="41" spans="1:8">
      <c r="A41" s="2"/>
      <c r="B41" s="2"/>
      <c r="C41" s="2"/>
      <c r="D41" s="2"/>
      <c r="E41" s="2"/>
      <c r="F41" s="2"/>
      <c r="G41" s="2"/>
      <c r="H41" s="2"/>
    </row>
    <row r="42" spans="1:8">
      <c r="A42" s="2"/>
      <c r="B42" s="2"/>
      <c r="C42" s="2"/>
      <c r="D42" s="2"/>
      <c r="E42" s="2"/>
      <c r="F42" s="2"/>
      <c r="G42" s="2"/>
      <c r="H42" s="2"/>
    </row>
    <row r="43" spans="1:8">
      <c r="A43" s="2"/>
      <c r="B43" s="2"/>
      <c r="C43" s="2"/>
      <c r="D43" s="2"/>
      <c r="E43" s="2"/>
      <c r="F43" s="2"/>
      <c r="G43" s="2"/>
      <c r="H43" s="2"/>
    </row>
    <row r="44" spans="1:8">
      <c r="A44" s="2"/>
      <c r="B44" s="2"/>
      <c r="C44" s="2"/>
      <c r="D44" s="2"/>
      <c r="E44" s="2"/>
      <c r="F44" s="2"/>
      <c r="G44" s="2"/>
      <c r="H44" s="2"/>
    </row>
    <row r="45" spans="1:8">
      <c r="A45" s="2"/>
      <c r="B45" s="2"/>
      <c r="C45" s="2"/>
      <c r="D45" s="2"/>
      <c r="E45" s="2"/>
      <c r="F45" s="2"/>
      <c r="G45" s="2"/>
      <c r="H45" s="2"/>
    </row>
    <row r="46" spans="1:8">
      <c r="A46" s="2"/>
      <c r="B46" s="2"/>
      <c r="C46" s="2"/>
      <c r="D46" s="2"/>
      <c r="E46" s="2"/>
      <c r="F46" s="2"/>
      <c r="G46" s="2"/>
      <c r="H46" s="2"/>
    </row>
    <row r="47" spans="1:8">
      <c r="A47" s="2"/>
      <c r="B47" s="2"/>
      <c r="C47" s="2"/>
      <c r="D47" s="2"/>
      <c r="E47" s="2"/>
      <c r="F47" s="2"/>
      <c r="G47" s="2"/>
      <c r="H47" s="2"/>
    </row>
    <row r="48" spans="1:8">
      <c r="A48" s="2"/>
      <c r="B48" s="2"/>
      <c r="C48" s="2"/>
      <c r="D48" s="2"/>
      <c r="E48" s="2"/>
      <c r="F48" s="2"/>
      <c r="G48" s="2"/>
      <c r="H48" s="2"/>
    </row>
    <row r="49" spans="1:8">
      <c r="A49" s="2"/>
      <c r="B49" s="2"/>
      <c r="C49" s="2"/>
      <c r="D49" s="2"/>
      <c r="E49" s="2"/>
      <c r="F49" s="2"/>
      <c r="G49" s="2"/>
      <c r="H49" s="2"/>
    </row>
    <row r="50" spans="1:8">
      <c r="A50" s="2"/>
      <c r="B50" s="2"/>
      <c r="C50" s="2"/>
      <c r="D50" s="2"/>
      <c r="E50" s="2"/>
      <c r="F50" s="2"/>
      <c r="G50" s="2"/>
      <c r="H50" s="2"/>
    </row>
    <row r="51" spans="1:8">
      <c r="A51" s="2"/>
      <c r="B51" s="2"/>
      <c r="C51" s="2"/>
      <c r="D51" s="2"/>
      <c r="E51" s="2"/>
      <c r="F51" s="2"/>
      <c r="G51" s="2"/>
      <c r="H51" s="2"/>
    </row>
    <row r="52" spans="1:8">
      <c r="A52" s="2"/>
      <c r="B52" s="2"/>
      <c r="C52" s="2"/>
      <c r="D52" s="2"/>
      <c r="E52" s="2"/>
      <c r="F52" s="2"/>
      <c r="G52" s="2"/>
      <c r="H52" s="2"/>
    </row>
    <row r="53" spans="1:8">
      <c r="A53" s="2"/>
      <c r="B53" s="2"/>
      <c r="C53" s="2"/>
      <c r="D53" s="2"/>
      <c r="E53" s="2"/>
      <c r="F53" s="2"/>
      <c r="G53" s="2"/>
      <c r="H53" s="2"/>
    </row>
    <row r="54" spans="1:8">
      <c r="A54" s="2"/>
      <c r="B54" s="2"/>
      <c r="C54" s="2"/>
      <c r="D54" s="2"/>
      <c r="E54" s="2"/>
      <c r="F54" s="2"/>
      <c r="G54" s="2"/>
      <c r="H54" s="2"/>
    </row>
    <row r="55" spans="1:8">
      <c r="A55" s="2"/>
      <c r="B55" s="2"/>
      <c r="C55" s="2"/>
      <c r="D55" s="2"/>
      <c r="E55" s="2"/>
      <c r="F55" s="2"/>
      <c r="G55" s="2"/>
      <c r="H55" s="2"/>
    </row>
    <row r="56" spans="1:8">
      <c r="A56" s="2"/>
      <c r="B56" s="2"/>
      <c r="C56" s="2"/>
      <c r="D56" s="2"/>
      <c r="E56" s="2"/>
      <c r="F56" s="2"/>
      <c r="G56" s="2"/>
      <c r="H56" s="2"/>
    </row>
    <row r="57" spans="1:8">
      <c r="A57" s="2"/>
      <c r="B57" s="2"/>
      <c r="C57" s="2"/>
      <c r="D57" s="2"/>
      <c r="E57" s="2"/>
      <c r="F57" s="2"/>
      <c r="G57" s="2"/>
      <c r="H57" s="2"/>
    </row>
    <row r="58" spans="1:8">
      <c r="A58" s="2"/>
      <c r="B58" s="2"/>
      <c r="C58" s="2"/>
      <c r="D58" s="2"/>
      <c r="E58" s="2"/>
      <c r="F58" s="2"/>
      <c r="G58" s="2"/>
      <c r="H58" s="2"/>
    </row>
    <row r="59" spans="1:8">
      <c r="A59" s="2"/>
      <c r="B59" s="2"/>
      <c r="C59" s="2"/>
      <c r="D59" s="2"/>
      <c r="E59" s="2"/>
      <c r="F59" s="2"/>
      <c r="G59" s="2"/>
      <c r="H59" s="2"/>
    </row>
    <row r="60" spans="1:8">
      <c r="A60" s="2"/>
      <c r="B60" s="2"/>
      <c r="C60" s="2"/>
      <c r="D60" s="2"/>
      <c r="E60" s="2"/>
      <c r="F60" s="2"/>
      <c r="G60" s="2"/>
      <c r="H60" s="2"/>
    </row>
    <row r="61" spans="1:8">
      <c r="A61" s="2"/>
      <c r="B61" s="2"/>
      <c r="C61" s="2"/>
      <c r="D61" s="2"/>
      <c r="E61" s="2"/>
      <c r="F61" s="2"/>
      <c r="G61" s="2"/>
      <c r="H61" s="2"/>
    </row>
    <row r="62" spans="1:8">
      <c r="A62" s="2"/>
      <c r="B62" s="2"/>
      <c r="C62" s="2"/>
      <c r="D62" s="2"/>
      <c r="E62" s="2"/>
      <c r="F62" s="2"/>
      <c r="G62" s="2"/>
      <c r="H62" s="2"/>
    </row>
    <row r="63" spans="1:8">
      <c r="A63" s="2"/>
      <c r="B63" s="2"/>
      <c r="C63" s="2"/>
      <c r="D63" s="2"/>
      <c r="E63" s="2"/>
      <c r="F63" s="2"/>
      <c r="G63" s="2"/>
      <c r="H63" s="2"/>
    </row>
    <row r="64" spans="1:8">
      <c r="A64" s="2"/>
      <c r="B64" s="2"/>
      <c r="C64" s="2"/>
      <c r="D64" s="2"/>
      <c r="E64" s="2"/>
      <c r="F64" s="2"/>
      <c r="G64" s="2"/>
      <c r="H64" s="2"/>
    </row>
    <row r="65" spans="1:8">
      <c r="A65" s="2"/>
      <c r="B65" s="2"/>
      <c r="C65" s="2"/>
      <c r="D65" s="2"/>
      <c r="E65" s="2"/>
      <c r="F65" s="2"/>
      <c r="G65" s="2"/>
      <c r="H65" s="2"/>
    </row>
    <row r="66" spans="1:8">
      <c r="A66" s="2"/>
      <c r="B66" s="2"/>
      <c r="C66" s="2"/>
      <c r="D66" s="2"/>
      <c r="E66" s="2"/>
      <c r="F66" s="2"/>
      <c r="G66" s="2"/>
      <c r="H66" s="2"/>
    </row>
    <row r="67" spans="1:8">
      <c r="A67" s="2"/>
      <c r="B67" s="2"/>
      <c r="C67" s="2"/>
      <c r="D67" s="2"/>
      <c r="E67" s="2"/>
      <c r="F67" s="2"/>
      <c r="G67" s="2"/>
      <c r="H67" s="2"/>
    </row>
    <row r="68" spans="1:8">
      <c r="A68" s="2"/>
      <c r="B68" s="2"/>
      <c r="C68" s="2"/>
      <c r="D68" s="2"/>
      <c r="E68" s="2"/>
      <c r="F68" s="2"/>
      <c r="G68" s="2"/>
      <c r="H68" s="2"/>
    </row>
    <row r="69" spans="1:8">
      <c r="A69" s="2"/>
      <c r="B69" s="2"/>
      <c r="C69" s="2"/>
      <c r="D69" s="2"/>
      <c r="E69" s="2"/>
      <c r="F69" s="2"/>
      <c r="G69" s="2"/>
      <c r="H69" s="2"/>
    </row>
    <row r="70" spans="1:8">
      <c r="A70" s="2"/>
      <c r="B70" s="2"/>
      <c r="C70" s="2"/>
      <c r="D70" s="2"/>
      <c r="E70" s="2"/>
      <c r="F70" s="2"/>
      <c r="G70" s="2"/>
      <c r="H70" s="2"/>
    </row>
    <row r="71" spans="1:8">
      <c r="A71" s="2"/>
      <c r="B71" s="2"/>
      <c r="C71" s="2"/>
      <c r="D71" s="2"/>
      <c r="E71" s="2"/>
      <c r="F71" s="2"/>
      <c r="G71" s="2"/>
      <c r="H71" s="2"/>
    </row>
    <row r="72" spans="1:8">
      <c r="A72" s="2"/>
      <c r="B72" s="2"/>
      <c r="C72" s="2"/>
      <c r="D72" s="2"/>
      <c r="E72" s="2"/>
      <c r="F72" s="2"/>
      <c r="G72" s="2"/>
      <c r="H72" s="2"/>
    </row>
    <row r="73" spans="1:8">
      <c r="A73" s="2"/>
      <c r="B73" s="2"/>
      <c r="C73" s="2"/>
      <c r="D73" s="2"/>
      <c r="E73" s="2"/>
      <c r="F73" s="2"/>
      <c r="G73" s="2"/>
      <c r="H73" s="2"/>
    </row>
    <row r="74" spans="1:8">
      <c r="A74" s="2"/>
      <c r="B74" s="2"/>
      <c r="C74" s="2"/>
      <c r="D74" s="2"/>
      <c r="E74" s="2"/>
      <c r="F74" s="2"/>
      <c r="G74" s="2"/>
      <c r="H74" s="2"/>
    </row>
    <row r="75" spans="1:8">
      <c r="A75" s="2"/>
      <c r="B75" s="2"/>
      <c r="C75" s="2"/>
      <c r="D75" s="2"/>
      <c r="E75" s="2"/>
      <c r="F75" s="2"/>
      <c r="G75" s="2"/>
      <c r="H75" s="2"/>
    </row>
    <row r="76" spans="1:8">
      <c r="A76" s="2"/>
      <c r="B76" s="2"/>
      <c r="C76" s="2"/>
      <c r="D76" s="2"/>
      <c r="E76" s="2"/>
      <c r="F76" s="2"/>
      <c r="G76" s="2"/>
      <c r="H76" s="2"/>
    </row>
    <row r="77" spans="1:8">
      <c r="A77" s="2"/>
      <c r="B77" s="2"/>
      <c r="C77" s="2"/>
      <c r="D77" s="2"/>
      <c r="E77" s="2"/>
      <c r="F77" s="2"/>
      <c r="G77" s="2"/>
      <c r="H77" s="2"/>
    </row>
    <row r="78" spans="1:8">
      <c r="A78" s="2"/>
      <c r="B78" s="2"/>
      <c r="C78" s="2"/>
      <c r="D78" s="2"/>
      <c r="E78" s="2"/>
      <c r="F78" s="2"/>
      <c r="G78" s="2"/>
      <c r="H78" s="2"/>
    </row>
    <row r="79" spans="1:8">
      <c r="A79" s="2"/>
      <c r="B79" s="2"/>
      <c r="C79" s="2"/>
      <c r="D79" s="2"/>
      <c r="E79" s="2"/>
      <c r="F79" s="2"/>
      <c r="G79" s="2"/>
      <c r="H79" s="2"/>
    </row>
    <row r="80" spans="1:8">
      <c r="A80" s="2"/>
      <c r="B80" s="2"/>
      <c r="C80" s="2"/>
      <c r="D80" s="2"/>
      <c r="E80" s="2"/>
      <c r="F80" s="2"/>
      <c r="G80" s="2"/>
      <c r="H80" s="2"/>
    </row>
    <row r="81" spans="1:8">
      <c r="A81" s="2"/>
      <c r="B81" s="2"/>
      <c r="C81" s="2"/>
      <c r="D81" s="2"/>
      <c r="E81" s="2"/>
      <c r="F81" s="2"/>
      <c r="G81" s="2"/>
      <c r="H81" s="2"/>
    </row>
    <row r="82" spans="1:8">
      <c r="A82" s="2"/>
      <c r="B82" s="2"/>
      <c r="C82" s="2"/>
      <c r="D82" s="2"/>
      <c r="E82" s="2"/>
      <c r="F82" s="2"/>
      <c r="G82" s="2"/>
      <c r="H82" s="2"/>
    </row>
    <row r="83" spans="1:8">
      <c r="A83" s="2"/>
      <c r="B83" s="2"/>
      <c r="C83" s="2"/>
      <c r="D83" s="2"/>
      <c r="E83" s="2"/>
      <c r="F83" s="2"/>
      <c r="G83" s="2"/>
      <c r="H83" s="2"/>
    </row>
    <row r="84" spans="1:8">
      <c r="A84" s="2"/>
      <c r="B84" s="2"/>
      <c r="C84" s="2"/>
      <c r="D84" s="2"/>
      <c r="E84" s="2"/>
      <c r="F84" s="2"/>
      <c r="G84" s="2"/>
      <c r="H84" s="2"/>
    </row>
    <row r="85" spans="1:8">
      <c r="A85" s="2"/>
      <c r="B85" s="2"/>
      <c r="C85" s="2"/>
      <c r="D85" s="2"/>
      <c r="E85" s="2"/>
      <c r="F85" s="2"/>
      <c r="G85" s="2"/>
      <c r="H85" s="2"/>
    </row>
    <row r="86" spans="1:8">
      <c r="A86" s="2"/>
      <c r="B86" s="2"/>
      <c r="C86" s="2"/>
      <c r="D86" s="2"/>
      <c r="E86" s="2"/>
      <c r="F86" s="2"/>
      <c r="G86" s="2"/>
      <c r="H86" s="2"/>
    </row>
    <row r="87" spans="1:8">
      <c r="A87" s="2"/>
      <c r="B87" s="2"/>
      <c r="C87" s="2"/>
      <c r="D87" s="2"/>
      <c r="E87" s="2"/>
      <c r="F87" s="2"/>
      <c r="G87" s="2"/>
      <c r="H87" s="2"/>
    </row>
    <row r="88" spans="1:8">
      <c r="A88" s="2"/>
      <c r="B88" s="2"/>
      <c r="C88" s="2"/>
      <c r="D88" s="2"/>
      <c r="E88" s="2"/>
      <c r="F88" s="2"/>
      <c r="G88" s="2"/>
      <c r="H88" s="2"/>
    </row>
    <row r="89" spans="1:8">
      <c r="A89" s="2"/>
      <c r="B89" s="2"/>
      <c r="C89" s="2"/>
      <c r="D89" s="2"/>
      <c r="E89" s="2"/>
      <c r="F89" s="2"/>
      <c r="G89" s="2"/>
      <c r="H89" s="2"/>
    </row>
    <row r="90" spans="1:8">
      <c r="A90" s="2"/>
      <c r="B90" s="2"/>
      <c r="C90" s="2"/>
      <c r="D90" s="2"/>
      <c r="E90" s="2"/>
      <c r="F90" s="2"/>
      <c r="G90" s="2"/>
      <c r="H90" s="2"/>
    </row>
    <row r="91" spans="1:8">
      <c r="A91" s="2"/>
      <c r="B91" s="2"/>
      <c r="C91" s="2"/>
      <c r="D91" s="2"/>
      <c r="E91" s="2"/>
      <c r="F91" s="2"/>
      <c r="G91" s="2"/>
      <c r="H91" s="2"/>
    </row>
    <row r="92" spans="1:8">
      <c r="A92" s="2"/>
      <c r="B92" s="2"/>
      <c r="C92" s="2"/>
      <c r="D92" s="2"/>
      <c r="E92" s="2"/>
      <c r="F92" s="2"/>
      <c r="G92" s="2"/>
      <c r="H92" s="2"/>
    </row>
    <row r="93" spans="1:8">
      <c r="A93" s="2"/>
      <c r="B93" s="2"/>
      <c r="C93" s="2"/>
      <c r="D93" s="2"/>
      <c r="E93" s="2"/>
      <c r="F93" s="2"/>
      <c r="G93" s="2"/>
      <c r="H93" s="2"/>
    </row>
    <row r="94" spans="1:8">
      <c r="A94" s="2"/>
      <c r="B94" s="2"/>
      <c r="C94" s="2"/>
      <c r="D94" s="2"/>
      <c r="E94" s="2"/>
      <c r="F94" s="2"/>
      <c r="G94" s="2"/>
      <c r="H94" s="2"/>
    </row>
    <row r="95" spans="1:8">
      <c r="A95" s="2"/>
      <c r="B95" s="2"/>
      <c r="C95" s="2"/>
      <c r="D95" s="2"/>
      <c r="E95" s="2"/>
      <c r="F95" s="2"/>
      <c r="G95" s="2"/>
      <c r="H95" s="2"/>
    </row>
    <row r="96" spans="1:8">
      <c r="A96" s="2"/>
      <c r="B96" s="2"/>
      <c r="C96" s="2"/>
      <c r="D96" s="2"/>
      <c r="E96" s="2"/>
      <c r="F96" s="2"/>
      <c r="G96" s="2"/>
      <c r="H96" s="2"/>
    </row>
    <row r="97" spans="1:8">
      <c r="A97" s="2"/>
      <c r="B97" s="2"/>
      <c r="C97" s="2"/>
      <c r="D97" s="2"/>
      <c r="E97" s="2"/>
      <c r="F97" s="2"/>
      <c r="G97" s="2"/>
      <c r="H97" s="2"/>
    </row>
    <row r="98" spans="1:8">
      <c r="A98" s="2"/>
      <c r="B98" s="2"/>
      <c r="C98" s="2"/>
      <c r="D98" s="2"/>
      <c r="E98" s="2"/>
      <c r="F98" s="2"/>
      <c r="G98" s="2"/>
      <c r="H98" s="2"/>
    </row>
    <row r="99" spans="1:8">
      <c r="A99" s="2"/>
      <c r="B99" s="2"/>
      <c r="C99" s="2"/>
      <c r="D99" s="2"/>
      <c r="E99" s="2"/>
      <c r="F99" s="2"/>
      <c r="G99" s="2"/>
      <c r="H99" s="2"/>
    </row>
    <row r="100" spans="1:8">
      <c r="A100" s="2"/>
      <c r="B100" s="2"/>
      <c r="C100" s="2"/>
      <c r="D100" s="2"/>
      <c r="E100" s="2"/>
      <c r="F100" s="2"/>
      <c r="G100" s="2"/>
      <c r="H100" s="2"/>
    </row>
    <row r="101" spans="1:8">
      <c r="A101" s="2"/>
      <c r="B101" s="2"/>
      <c r="C101" s="2"/>
      <c r="D101" s="2"/>
      <c r="E101" s="2"/>
      <c r="F101" s="2"/>
      <c r="G101" s="2"/>
      <c r="H101" s="2"/>
    </row>
    <row r="102" spans="1:8">
      <c r="A102" s="2"/>
      <c r="B102" s="2"/>
      <c r="C102" s="2"/>
      <c r="D102" s="2"/>
      <c r="E102" s="2"/>
      <c r="F102" s="2"/>
      <c r="G102" s="2"/>
      <c r="H102" s="2"/>
    </row>
    <row r="103" spans="1:8">
      <c r="A103" s="2"/>
      <c r="B103" s="2"/>
      <c r="C103" s="2"/>
      <c r="D103" s="2"/>
      <c r="E103" s="2"/>
      <c r="F103" s="2"/>
      <c r="G103" s="2"/>
      <c r="H103" s="2"/>
    </row>
    <row r="104" spans="1:8">
      <c r="A104" s="2"/>
      <c r="B104" s="2"/>
      <c r="C104" s="2"/>
      <c r="D104" s="2"/>
      <c r="E104" s="2"/>
      <c r="F104" s="2"/>
      <c r="G104" s="2"/>
      <c r="H104" s="2"/>
    </row>
    <row r="105" spans="1:8">
      <c r="A105" s="2"/>
      <c r="B105" s="2"/>
      <c r="C105" s="2"/>
      <c r="D105" s="2"/>
      <c r="E105" s="2"/>
      <c r="F105" s="2"/>
      <c r="G105" s="2"/>
      <c r="H105" s="2"/>
    </row>
    <row r="106" spans="1:8">
      <c r="A106" s="2"/>
      <c r="B106" s="2"/>
      <c r="C106" s="2"/>
      <c r="D106" s="2"/>
      <c r="E106" s="2"/>
      <c r="F106" s="2"/>
      <c r="G106" s="2"/>
      <c r="H106" s="2"/>
    </row>
    <row r="107" spans="1:8">
      <c r="A107" s="2"/>
      <c r="B107" s="2"/>
      <c r="C107" s="2"/>
      <c r="D107" s="2"/>
      <c r="E107" s="2"/>
      <c r="F107" s="2"/>
      <c r="G107" s="2"/>
      <c r="H107" s="2"/>
    </row>
    <row r="108" spans="1:8">
      <c r="A108" s="2"/>
      <c r="B108" s="2"/>
      <c r="C108" s="2"/>
      <c r="D108" s="2"/>
      <c r="E108" s="2"/>
      <c r="F108" s="2"/>
      <c r="G108" s="2"/>
      <c r="H108" s="2"/>
    </row>
    <row r="109" spans="1:8">
      <c r="A109" s="2"/>
      <c r="B109" s="2"/>
      <c r="C109" s="2"/>
      <c r="D109" s="2"/>
      <c r="E109" s="2"/>
      <c r="F109" s="2"/>
      <c r="G109" s="2"/>
      <c r="H109" s="2"/>
    </row>
    <row r="110" spans="1:8">
      <c r="A110" s="2"/>
      <c r="B110" s="2"/>
      <c r="C110" s="2"/>
      <c r="D110" s="2"/>
      <c r="E110" s="2"/>
      <c r="F110" s="2"/>
      <c r="G110" s="2"/>
      <c r="H110" s="2"/>
    </row>
    <row r="111" spans="1:8">
      <c r="A111" s="2"/>
      <c r="B111" s="2"/>
      <c r="C111" s="2"/>
      <c r="D111" s="2"/>
      <c r="E111" s="2"/>
      <c r="F111" s="2"/>
      <c r="G111" s="2"/>
      <c r="H111" s="2"/>
    </row>
    <row r="112" spans="1:8">
      <c r="A112" s="2"/>
      <c r="B112" s="2"/>
      <c r="C112" s="2"/>
      <c r="D112" s="2"/>
      <c r="E112" s="2"/>
      <c r="F112" s="2"/>
      <c r="G112" s="2"/>
      <c r="H112" s="2"/>
    </row>
    <row r="113" spans="1:8">
      <c r="A113" s="2"/>
      <c r="B113" s="2"/>
      <c r="C113" s="2"/>
      <c r="D113" s="2"/>
      <c r="E113" s="2"/>
      <c r="F113" s="2"/>
      <c r="G113" s="2"/>
      <c r="H113" s="2"/>
    </row>
    <row r="114" spans="1:8">
      <c r="A114" s="2"/>
      <c r="B114" s="2"/>
      <c r="C114" s="2"/>
      <c r="D114" s="2"/>
      <c r="E114" s="2"/>
      <c r="F114" s="2"/>
      <c r="G114" s="2"/>
      <c r="H114" s="2"/>
    </row>
    <row r="115" spans="1:8">
      <c r="A115" s="2"/>
      <c r="B115" s="2"/>
      <c r="C115" s="2"/>
      <c r="D115" s="2"/>
      <c r="E115" s="2"/>
      <c r="F115" s="2"/>
      <c r="G115" s="2"/>
      <c r="H115" s="2"/>
    </row>
    <row r="116" spans="1:8">
      <c r="A116" s="2"/>
      <c r="B116" s="2"/>
      <c r="C116" s="2"/>
      <c r="D116" s="2"/>
      <c r="E116" s="2"/>
      <c r="F116" s="2"/>
      <c r="G116" s="2"/>
      <c r="H116" s="2"/>
    </row>
    <row r="117" spans="1:8">
      <c r="A117" s="2"/>
      <c r="B117" s="2"/>
      <c r="C117" s="2"/>
      <c r="D117" s="2"/>
      <c r="E117" s="2"/>
      <c r="F117" s="2"/>
      <c r="G117" s="2"/>
      <c r="H117" s="2"/>
    </row>
    <row r="118" spans="1:8">
      <c r="A118" s="2"/>
      <c r="B118" s="2"/>
      <c r="C118" s="2"/>
      <c r="D118" s="2"/>
      <c r="E118" s="2"/>
      <c r="F118" s="2"/>
      <c r="G118" s="2"/>
      <c r="H118" s="2"/>
    </row>
    <row r="119" spans="1:8">
      <c r="A119" s="2"/>
      <c r="B119" s="2"/>
      <c r="C119" s="2"/>
      <c r="D119" s="2"/>
      <c r="E119" s="2"/>
      <c r="F119" s="2"/>
      <c r="G119" s="2"/>
      <c r="H119" s="2"/>
    </row>
    <row r="120" spans="1:8">
      <c r="A120" s="2"/>
      <c r="B120" s="2"/>
      <c r="C120" s="2"/>
      <c r="D120" s="2"/>
      <c r="E120" s="2"/>
      <c r="F120" s="2"/>
      <c r="G120" s="2"/>
      <c r="H120" s="2"/>
    </row>
    <row r="121" spans="1:8">
      <c r="A121" s="2"/>
      <c r="B121" s="2"/>
      <c r="C121" s="2"/>
      <c r="D121" s="2"/>
      <c r="E121" s="2"/>
      <c r="F121" s="2"/>
      <c r="G121" s="2"/>
      <c r="H121" s="2"/>
    </row>
    <row r="122" spans="1:8">
      <c r="A122" s="2"/>
      <c r="B122" s="2"/>
      <c r="C122" s="2"/>
      <c r="D122" s="2"/>
      <c r="E122" s="2"/>
      <c r="F122" s="2"/>
      <c r="G122" s="2"/>
      <c r="H122" s="2"/>
    </row>
    <row r="123" spans="1:8">
      <c r="A123" s="2"/>
      <c r="B123" s="2"/>
      <c r="C123" s="2"/>
      <c r="D123" s="2"/>
      <c r="E123" s="2"/>
      <c r="F123" s="2"/>
      <c r="G123" s="2"/>
      <c r="H123" s="2"/>
    </row>
    <row r="124" spans="1:8">
      <c r="A124" s="2"/>
      <c r="B124" s="2"/>
      <c r="C124" s="2"/>
      <c r="D124" s="2"/>
      <c r="E124" s="2"/>
      <c r="F124" s="2"/>
      <c r="G124" s="2"/>
      <c r="H124" s="2"/>
    </row>
    <row r="125" spans="1:8">
      <c r="A125" s="2"/>
      <c r="B125" s="2"/>
      <c r="C125" s="2"/>
      <c r="D125" s="2"/>
      <c r="E125" s="2"/>
      <c r="F125" s="2"/>
      <c r="G125" s="2"/>
      <c r="H125" s="2"/>
    </row>
    <row r="126" spans="1:8">
      <c r="A126" s="2"/>
      <c r="B126" s="2"/>
      <c r="C126" s="2"/>
      <c r="D126" s="2"/>
      <c r="E126" s="2"/>
      <c r="F126" s="2"/>
      <c r="G126" s="2"/>
      <c r="H126" s="2"/>
    </row>
    <row r="127" spans="1:8">
      <c r="A127" s="2"/>
      <c r="B127" s="2"/>
      <c r="C127" s="2"/>
      <c r="D127" s="2"/>
      <c r="E127" s="2"/>
      <c r="F127" s="2"/>
      <c r="G127" s="2"/>
      <c r="H127" s="2"/>
    </row>
    <row r="128" spans="1:8">
      <c r="A128" s="2"/>
      <c r="B128" s="2"/>
      <c r="C128" s="2"/>
      <c r="D128" s="2"/>
      <c r="E128" s="2"/>
      <c r="F128" s="2"/>
      <c r="G128" s="2"/>
      <c r="H128" s="2"/>
    </row>
    <row r="129" spans="1:8">
      <c r="A129" s="2"/>
      <c r="B129" s="2"/>
      <c r="C129" s="2"/>
      <c r="D129" s="2"/>
      <c r="E129" s="2"/>
      <c r="F129" s="2"/>
      <c r="G129" s="2"/>
      <c r="H129" s="2"/>
    </row>
    <row r="130" spans="1:8">
      <c r="A130" s="2"/>
      <c r="B130" s="2"/>
      <c r="C130" s="2"/>
      <c r="D130" s="2"/>
      <c r="E130" s="2"/>
      <c r="F130" s="2"/>
      <c r="G130" s="2"/>
      <c r="H130" s="2"/>
    </row>
    <row r="131" spans="1:8">
      <c r="A131" s="2"/>
      <c r="B131" s="2"/>
      <c r="C131" s="2"/>
      <c r="D131" s="2"/>
      <c r="E131" s="2"/>
      <c r="F131" s="2"/>
      <c r="G131" s="2"/>
      <c r="H131" s="2"/>
    </row>
    <row r="132" spans="1:8">
      <c r="A132" s="2"/>
      <c r="B132" s="2"/>
      <c r="C132" s="2"/>
      <c r="D132" s="2"/>
      <c r="E132" s="2"/>
      <c r="F132" s="2"/>
      <c r="G132" s="2"/>
      <c r="H132" s="2"/>
    </row>
    <row r="133" spans="1:8">
      <c r="A133" s="2"/>
      <c r="B133" s="2"/>
      <c r="C133" s="2"/>
      <c r="D133" s="2"/>
      <c r="E133" s="2"/>
      <c r="F133" s="2"/>
      <c r="G133" s="2"/>
      <c r="H133" s="2"/>
    </row>
    <row r="134" spans="1:8">
      <c r="A134" s="2"/>
      <c r="B134" s="2"/>
      <c r="C134" s="2"/>
      <c r="D134" s="2"/>
      <c r="E134" s="2"/>
      <c r="F134" s="2"/>
      <c r="G134" s="2"/>
      <c r="H134" s="2"/>
    </row>
    <row r="135" spans="1:8">
      <c r="A135" s="2"/>
      <c r="B135" s="2"/>
      <c r="C135" s="2"/>
      <c r="D135" s="2"/>
      <c r="E135" s="2"/>
      <c r="F135" s="2"/>
      <c r="G135" s="2"/>
      <c r="H135" s="2"/>
    </row>
    <row r="136" spans="1:8">
      <c r="A136" s="2"/>
      <c r="B136" s="2"/>
      <c r="C136" s="2"/>
      <c r="D136" s="2"/>
      <c r="E136" s="2"/>
      <c r="F136" s="2"/>
      <c r="G136" s="2"/>
      <c r="H136" s="2"/>
    </row>
    <row r="137" spans="1:8">
      <c r="A137" s="2"/>
      <c r="B137" s="2"/>
      <c r="C137" s="2"/>
      <c r="D137" s="2"/>
      <c r="E137" s="2"/>
      <c r="F137" s="2"/>
      <c r="G137" s="2"/>
      <c r="H137" s="2"/>
    </row>
    <row r="138" spans="1:8">
      <c r="A138" s="2"/>
      <c r="B138" s="2"/>
      <c r="C138" s="2"/>
      <c r="D138" s="2"/>
      <c r="E138" s="2"/>
      <c r="F138" s="2"/>
      <c r="G138" s="2"/>
      <c r="H138" s="2"/>
    </row>
    <row r="139" spans="1:8">
      <c r="A139" s="2"/>
      <c r="B139" s="2"/>
      <c r="C139" s="2"/>
      <c r="D139" s="2"/>
      <c r="E139" s="2"/>
      <c r="F139" s="2"/>
      <c r="G139" s="2"/>
      <c r="H139" s="2"/>
    </row>
    <row r="140" spans="1:8">
      <c r="A140" s="2"/>
      <c r="B140" s="2"/>
      <c r="C140" s="2"/>
      <c r="D140" s="2"/>
      <c r="E140" s="2"/>
      <c r="F140" s="2"/>
      <c r="G140" s="2"/>
      <c r="H140" s="2"/>
    </row>
    <row r="141" spans="1:8">
      <c r="A141" s="2"/>
      <c r="B141" s="2"/>
      <c r="C141" s="2"/>
      <c r="D141" s="2"/>
      <c r="E141" s="2"/>
      <c r="F141" s="2"/>
      <c r="G141" s="2"/>
      <c r="H141" s="2"/>
    </row>
    <row r="142" spans="1:8">
      <c r="A142" s="2"/>
      <c r="B142" s="2"/>
      <c r="C142" s="2"/>
      <c r="D142" s="2"/>
      <c r="E142" s="2"/>
      <c r="F142" s="2"/>
      <c r="G142" s="2"/>
      <c r="H142" s="2"/>
    </row>
    <row r="143" spans="1:8">
      <c r="A143" s="2"/>
      <c r="B143" s="2"/>
      <c r="C143" s="2"/>
      <c r="D143" s="2"/>
      <c r="E143" s="2"/>
      <c r="F143" s="2"/>
      <c r="G143" s="2"/>
      <c r="H143" s="2"/>
    </row>
    <row r="144" spans="1:8">
      <c r="A144" s="2"/>
      <c r="B144" s="2"/>
      <c r="C144" s="2"/>
      <c r="D144" s="2"/>
      <c r="E144" s="2"/>
      <c r="F144" s="2"/>
      <c r="G144" s="2"/>
      <c r="H144" s="2"/>
    </row>
    <row r="145" spans="1:8">
      <c r="A145" s="2"/>
      <c r="B145" s="2"/>
      <c r="C145" s="2"/>
      <c r="D145" s="2"/>
      <c r="E145" s="2"/>
      <c r="F145" s="2"/>
      <c r="G145" s="2"/>
      <c r="H145" s="2"/>
    </row>
    <row r="146" spans="1:8">
      <c r="A146" s="2"/>
      <c r="B146" s="2"/>
      <c r="C146" s="2"/>
      <c r="D146" s="2"/>
      <c r="E146" s="2"/>
      <c r="F146" s="2"/>
      <c r="G146" s="2"/>
      <c r="H146" s="2"/>
    </row>
    <row r="147" spans="1:8">
      <c r="A147" s="2"/>
      <c r="B147" s="2"/>
      <c r="C147" s="2"/>
      <c r="D147" s="2"/>
      <c r="E147" s="2"/>
      <c r="F147" s="2"/>
      <c r="G147" s="2"/>
      <c r="H147" s="2"/>
    </row>
    <row r="148" spans="1:8">
      <c r="A148" s="2"/>
      <c r="B148" s="2"/>
      <c r="C148" s="2"/>
      <c r="D148" s="2"/>
      <c r="E148" s="2"/>
      <c r="F148" s="2"/>
      <c r="G148" s="2"/>
      <c r="H148" s="2"/>
    </row>
    <row r="149" spans="1:8">
      <c r="A149" s="2"/>
      <c r="B149" s="2"/>
      <c r="C149" s="2"/>
      <c r="D149" s="2"/>
      <c r="E149" s="2"/>
      <c r="F149" s="2"/>
      <c r="G149" s="2"/>
      <c r="H149" s="2"/>
    </row>
    <row r="150" spans="1:8">
      <c r="A150" s="2"/>
      <c r="B150" s="2"/>
      <c r="C150" s="2"/>
      <c r="D150" s="2"/>
      <c r="E150" s="2"/>
      <c r="F150" s="2"/>
      <c r="G150" s="2"/>
      <c r="H150" s="2"/>
    </row>
    <row r="151" spans="1:8">
      <c r="A151" s="2"/>
      <c r="B151" s="2"/>
      <c r="C151" s="2"/>
      <c r="D151" s="2"/>
      <c r="E151" s="2"/>
      <c r="F151" s="2"/>
      <c r="G151" s="2"/>
      <c r="H151" s="2"/>
    </row>
    <row r="152" spans="1:8">
      <c r="A152" s="2"/>
      <c r="B152" s="2"/>
      <c r="C152" s="2"/>
      <c r="D152" s="2"/>
      <c r="E152" s="2"/>
      <c r="F152" s="2"/>
      <c r="G152" s="2"/>
      <c r="H152" s="2"/>
    </row>
    <row r="153" spans="1:8">
      <c r="A153" s="2"/>
      <c r="B153" s="2"/>
      <c r="C153" s="2"/>
      <c r="D153" s="2"/>
      <c r="E153" s="2"/>
      <c r="F153" s="2"/>
      <c r="G153" s="2"/>
      <c r="H153" s="2"/>
    </row>
    <row r="154" spans="1:8">
      <c r="A154" s="2"/>
      <c r="B154" s="2"/>
      <c r="C154" s="2"/>
      <c r="D154" s="2"/>
      <c r="E154" s="2"/>
      <c r="F154" s="2"/>
      <c r="G154" s="2"/>
      <c r="H154" s="2"/>
    </row>
    <row r="155" spans="1:8">
      <c r="A155" s="2"/>
      <c r="B155" s="2"/>
      <c r="C155" s="2"/>
      <c r="D155" s="2"/>
      <c r="E155" s="2"/>
      <c r="F155" s="2"/>
      <c r="G155" s="2"/>
      <c r="H155" s="2"/>
    </row>
    <row r="156" spans="1:8">
      <c r="A156" s="2"/>
      <c r="B156" s="2"/>
      <c r="C156" s="2"/>
      <c r="D156" s="2"/>
      <c r="E156" s="2"/>
      <c r="F156" s="2"/>
      <c r="G156" s="2"/>
      <c r="H156" s="2"/>
    </row>
    <row r="157" spans="1:8">
      <c r="A157" s="2"/>
      <c r="B157" s="2"/>
      <c r="C157" s="2"/>
      <c r="D157" s="2"/>
      <c r="E157" s="2"/>
      <c r="F157" s="2"/>
      <c r="G157" s="2"/>
      <c r="H157" s="2"/>
    </row>
    <row r="158" spans="1:8">
      <c r="A158" s="2"/>
      <c r="B158" s="2"/>
      <c r="C158" s="2"/>
      <c r="D158" s="2"/>
      <c r="E158" s="2"/>
      <c r="F158" s="2"/>
      <c r="G158" s="2"/>
      <c r="H158" s="2"/>
    </row>
    <row r="159" spans="1:8">
      <c r="A159" s="2"/>
      <c r="B159" s="2"/>
      <c r="C159" s="2"/>
      <c r="D159" s="2"/>
      <c r="E159" s="2"/>
      <c r="F159" s="2"/>
      <c r="G159" s="2"/>
      <c r="H159" s="2"/>
    </row>
    <row r="160" spans="1:8">
      <c r="A160" s="2"/>
      <c r="B160" s="2"/>
      <c r="C160" s="2"/>
      <c r="D160" s="2"/>
      <c r="E160" s="2"/>
      <c r="F160" s="2"/>
      <c r="G160" s="2"/>
      <c r="H160" s="2"/>
    </row>
    <row r="161" spans="1:8">
      <c r="A161" s="2"/>
      <c r="B161" s="2"/>
      <c r="C161" s="2"/>
      <c r="D161" s="2"/>
      <c r="E161" s="2"/>
      <c r="F161" s="2"/>
      <c r="G161" s="2"/>
      <c r="H161" s="2"/>
    </row>
    <row r="162" spans="1:8">
      <c r="A162" s="2"/>
      <c r="B162" s="2"/>
      <c r="C162" s="2"/>
      <c r="D162" s="2"/>
      <c r="E162" s="2"/>
      <c r="F162" s="2"/>
      <c r="G162" s="2"/>
      <c r="H162" s="2"/>
    </row>
    <row r="163" spans="1:8">
      <c r="A163" s="2"/>
      <c r="B163" s="2"/>
      <c r="C163" s="2"/>
      <c r="D163" s="2"/>
      <c r="E163" s="2"/>
      <c r="F163" s="2"/>
      <c r="G163" s="2"/>
      <c r="H163" s="2"/>
    </row>
    <row r="164" spans="1:8">
      <c r="A164" s="2"/>
      <c r="B164" s="2"/>
      <c r="C164" s="2"/>
      <c r="D164" s="2"/>
      <c r="E164" s="2"/>
      <c r="F164" s="2"/>
      <c r="G164" s="2"/>
      <c r="H164" s="2"/>
    </row>
    <row r="165" spans="1:8">
      <c r="A165" s="2"/>
      <c r="B165" s="2"/>
      <c r="C165" s="2"/>
      <c r="D165" s="2"/>
      <c r="E165" s="2"/>
      <c r="F165" s="2"/>
      <c r="G165" s="2"/>
      <c r="H165" s="2"/>
    </row>
    <row r="166" spans="1:8">
      <c r="A166" s="2"/>
      <c r="B166" s="2"/>
      <c r="C166" s="2"/>
      <c r="D166" s="2"/>
      <c r="E166" s="2"/>
      <c r="F166" s="2"/>
      <c r="G166" s="2"/>
      <c r="H166" s="2"/>
    </row>
    <row r="167" spans="1:8">
      <c r="A167" s="2"/>
      <c r="B167" s="2"/>
      <c r="C167" s="2"/>
      <c r="D167" s="2"/>
      <c r="E167" s="2"/>
      <c r="F167" s="2"/>
      <c r="G167" s="2"/>
      <c r="H167" s="2"/>
    </row>
    <row r="168" spans="1:8">
      <c r="A168" s="2"/>
      <c r="B168" s="2"/>
      <c r="C168" s="2"/>
      <c r="D168" s="2"/>
      <c r="E168" s="2"/>
      <c r="F168" s="2"/>
      <c r="G168" s="2"/>
      <c r="H168" s="2"/>
    </row>
    <row r="169" spans="1:8">
      <c r="A169" s="2"/>
      <c r="B169" s="2"/>
      <c r="C169" s="2"/>
      <c r="D169" s="2"/>
      <c r="E169" s="2"/>
      <c r="F169" s="2"/>
      <c r="G169" s="2"/>
      <c r="H169" s="2"/>
    </row>
    <row r="170" spans="1:8">
      <c r="A170" s="2"/>
      <c r="B170" s="2"/>
      <c r="C170" s="2"/>
      <c r="D170" s="2"/>
      <c r="E170" s="2"/>
      <c r="F170" s="2"/>
      <c r="G170" s="2"/>
      <c r="H170" s="2"/>
    </row>
    <row r="171" spans="1:8">
      <c r="A171" s="2"/>
      <c r="B171" s="2"/>
      <c r="C171" s="2"/>
      <c r="D171" s="2"/>
      <c r="E171" s="2"/>
      <c r="F171" s="2"/>
      <c r="G171" s="2"/>
      <c r="H171" s="2"/>
    </row>
    <row r="172" spans="1:8">
      <c r="A172" s="2"/>
      <c r="B172" s="2"/>
      <c r="C172" s="2"/>
      <c r="D172" s="2"/>
      <c r="E172" s="2"/>
      <c r="F172" s="2"/>
      <c r="G172" s="2"/>
      <c r="H172" s="2"/>
    </row>
    <row r="173" spans="1:8">
      <c r="A173" s="2"/>
      <c r="B173" s="2"/>
      <c r="C173" s="2"/>
      <c r="D173" s="2"/>
      <c r="E173" s="2"/>
      <c r="F173" s="2"/>
      <c r="G173" s="2"/>
      <c r="H173" s="2"/>
    </row>
    <row r="174" spans="1:8">
      <c r="A174" s="2"/>
      <c r="B174" s="2"/>
      <c r="C174" s="2"/>
      <c r="D174" s="2"/>
      <c r="E174" s="2"/>
      <c r="F174" s="2"/>
      <c r="G174" s="2"/>
      <c r="H174" s="2"/>
    </row>
    <row r="175" spans="1:8">
      <c r="A175" s="2"/>
      <c r="B175" s="2"/>
      <c r="C175" s="2"/>
      <c r="D175" s="2"/>
      <c r="E175" s="2"/>
      <c r="F175" s="2"/>
      <c r="G175" s="2"/>
      <c r="H175" s="2"/>
    </row>
    <row r="176" spans="1:8">
      <c r="A176" s="2"/>
      <c r="B176" s="2"/>
      <c r="C176" s="2"/>
      <c r="D176" s="2"/>
      <c r="E176" s="2"/>
      <c r="F176" s="2"/>
      <c r="G176" s="2"/>
      <c r="H176" s="2"/>
    </row>
    <row r="177" spans="1:8">
      <c r="A177" s="2"/>
      <c r="B177" s="2"/>
      <c r="C177" s="2"/>
      <c r="D177" s="2"/>
      <c r="E177" s="2"/>
      <c r="F177" s="2"/>
      <c r="G177" s="2"/>
      <c r="H177" s="2"/>
    </row>
    <row r="178" spans="1:8">
      <c r="A178" s="2"/>
      <c r="B178" s="2"/>
      <c r="C178" s="2"/>
      <c r="D178" s="2"/>
      <c r="E178" s="2"/>
      <c r="F178" s="2"/>
      <c r="G178" s="2"/>
      <c r="H178" s="2"/>
    </row>
    <row r="179" spans="1:8">
      <c r="A179" s="2"/>
      <c r="B179" s="2"/>
      <c r="C179" s="2"/>
      <c r="D179" s="2"/>
      <c r="E179" s="2"/>
      <c r="F179" s="2"/>
      <c r="G179" s="2"/>
      <c r="H179" s="2"/>
    </row>
    <row r="180" spans="1:8">
      <c r="A180" s="2"/>
      <c r="B180" s="2"/>
      <c r="C180" s="2"/>
      <c r="D180" s="2"/>
      <c r="E180" s="2"/>
      <c r="F180" s="2"/>
      <c r="G180" s="2"/>
      <c r="H180" s="2"/>
    </row>
    <row r="181" spans="1:8">
      <c r="A181" s="2"/>
      <c r="B181" s="2"/>
      <c r="C181" s="2"/>
      <c r="D181" s="2"/>
      <c r="E181" s="2"/>
      <c r="F181" s="2"/>
      <c r="G181" s="2"/>
      <c r="H181" s="2"/>
    </row>
    <row r="182" spans="1:8">
      <c r="A182" s="2"/>
      <c r="B182" s="2"/>
      <c r="C182" s="2"/>
      <c r="D182" s="2"/>
      <c r="E182" s="2"/>
      <c r="F182" s="2"/>
      <c r="G182" s="2"/>
      <c r="H182" s="2"/>
    </row>
    <row r="183" spans="1:8">
      <c r="A183" s="2"/>
      <c r="B183" s="2"/>
      <c r="C183" s="2"/>
      <c r="D183" s="2"/>
      <c r="E183" s="2"/>
      <c r="F183" s="2"/>
      <c r="G183" s="2"/>
      <c r="H183" s="2"/>
    </row>
    <row r="184" spans="1:8">
      <c r="A184" s="2"/>
      <c r="B184" s="2"/>
      <c r="C184" s="2"/>
      <c r="D184" s="2"/>
      <c r="E184" s="2"/>
      <c r="F184" s="2"/>
      <c r="G184" s="2"/>
      <c r="H184" s="2"/>
    </row>
    <row r="185" spans="1:8">
      <c r="A185" s="2"/>
      <c r="B185" s="2"/>
      <c r="C185" s="2"/>
      <c r="D185" s="2"/>
      <c r="E185" s="2"/>
      <c r="F185" s="2"/>
      <c r="G185" s="2"/>
      <c r="H185" s="2"/>
    </row>
    <row r="186" spans="1:8">
      <c r="A186" s="2"/>
      <c r="B186" s="2"/>
      <c r="C186" s="2"/>
      <c r="D186" s="2"/>
      <c r="E186" s="2"/>
      <c r="F186" s="2"/>
      <c r="G186" s="2"/>
      <c r="H186" s="2"/>
    </row>
    <row r="187" spans="1:8">
      <c r="A187" s="2"/>
      <c r="B187" s="2"/>
      <c r="C187" s="2"/>
      <c r="D187" s="2"/>
      <c r="E187" s="2"/>
      <c r="F187" s="2"/>
      <c r="G187" s="2"/>
      <c r="H187" s="2"/>
    </row>
    <row r="188" spans="1:8">
      <c r="A188" s="2"/>
      <c r="B188" s="2"/>
      <c r="C188" s="2"/>
      <c r="D188" s="2"/>
      <c r="E188" s="2"/>
      <c r="F188" s="2"/>
      <c r="G188" s="2"/>
      <c r="H188" s="2"/>
    </row>
    <row r="189" spans="1:8">
      <c r="A189" s="2"/>
      <c r="B189" s="2"/>
      <c r="C189" s="2"/>
      <c r="D189" s="2"/>
      <c r="E189" s="2"/>
      <c r="F189" s="2"/>
      <c r="G189" s="2"/>
      <c r="H189" s="2"/>
    </row>
    <row r="190" spans="1:8">
      <c r="A190" s="2"/>
      <c r="B190" s="2"/>
      <c r="C190" s="2"/>
      <c r="D190" s="2"/>
      <c r="E190" s="2"/>
      <c r="F190" s="2"/>
      <c r="G190" s="2"/>
      <c r="H190" s="2"/>
    </row>
    <row r="191" spans="1:8">
      <c r="A191" s="2"/>
      <c r="B191" s="2"/>
      <c r="C191" s="2"/>
      <c r="D191" s="2"/>
      <c r="E191" s="2"/>
      <c r="F191" s="2"/>
      <c r="G191" s="2"/>
      <c r="H191" s="2"/>
    </row>
    <row r="192" spans="1:8">
      <c r="A192" s="2"/>
      <c r="B192" s="2"/>
      <c r="C192" s="2"/>
      <c r="D192" s="2"/>
      <c r="E192" s="2"/>
      <c r="F192" s="2"/>
      <c r="G192" s="2"/>
      <c r="H192" s="2"/>
    </row>
    <row r="193" spans="1:8">
      <c r="A193" s="2"/>
      <c r="B193" s="2"/>
      <c r="C193" s="2"/>
      <c r="D193" s="2"/>
      <c r="E193" s="2"/>
      <c r="F193" s="2"/>
      <c r="G193" s="2"/>
      <c r="H193" s="2"/>
    </row>
    <row r="194" spans="1:8">
      <c r="A194" s="2"/>
      <c r="B194" s="2"/>
      <c r="C194" s="2"/>
      <c r="D194" s="2"/>
      <c r="E194" s="2"/>
      <c r="F194" s="2"/>
      <c r="G194" s="2"/>
      <c r="H194" s="2"/>
    </row>
    <row r="195" spans="1:8">
      <c r="A195" s="2"/>
      <c r="B195" s="2"/>
      <c r="C195" s="2"/>
      <c r="D195" s="2"/>
      <c r="E195" s="2"/>
      <c r="F195" s="2"/>
      <c r="G195" s="2"/>
      <c r="H195" s="2"/>
    </row>
    <row r="196" spans="1:8">
      <c r="A196" s="2"/>
      <c r="B196" s="2"/>
      <c r="C196" s="2"/>
      <c r="D196" s="2"/>
      <c r="E196" s="2"/>
      <c r="F196" s="2"/>
      <c r="G196" s="2"/>
      <c r="H196" s="2"/>
    </row>
    <row r="197" spans="1:8">
      <c r="A197" s="2"/>
      <c r="B197" s="2"/>
      <c r="C197" s="2"/>
      <c r="D197" s="2"/>
      <c r="E197" s="2"/>
      <c r="F197" s="2"/>
      <c r="G197" s="2"/>
      <c r="H197" s="2"/>
    </row>
    <row r="198" spans="1:8">
      <c r="A198" s="2"/>
      <c r="B198" s="2"/>
      <c r="C198" s="2"/>
      <c r="D198" s="2"/>
      <c r="E198" s="2"/>
      <c r="F198" s="2"/>
      <c r="G198" s="2"/>
      <c r="H198" s="2"/>
    </row>
    <row r="199" spans="1:8">
      <c r="A199" s="2"/>
      <c r="B199" s="2"/>
      <c r="C199" s="2"/>
      <c r="D199" s="2"/>
      <c r="E199" s="2"/>
      <c r="F199" s="2"/>
      <c r="G199" s="2"/>
      <c r="H199" s="2"/>
    </row>
    <row r="200" spans="1:8">
      <c r="A200" s="2"/>
      <c r="B200" s="2"/>
      <c r="C200" s="2"/>
      <c r="D200" s="2"/>
      <c r="E200" s="2"/>
      <c r="F200" s="2"/>
      <c r="G200" s="2"/>
      <c r="H200" s="2"/>
    </row>
    <row r="203" spans="1:8">
      <c r="A203" s="3" t="s">
        <v>17</v>
      </c>
    </row>
  </sheetData>
  <mergeCells count="2">
    <mergeCell ref="A1:H1"/>
    <mergeCell ref="A2:H2"/>
  </mergeCells>
  <dataValidations count="4">
    <dataValidation type="list" allowBlank="1" showErrorMessage="1" error="Lütfen listeden müdürlük seçin." sqref="D5:D200" xr:uid="{00000000-0002-0000-0000-000000000000}">
      <formula1>LST_MUDURLUK</formula1>
      <formula2>0</formula2>
    </dataValidation>
    <dataValidation type="list" allowBlank="1" showErrorMessage="1" error="Lütfen listeden yakıt türü seçin." sqref="E5:E200" xr:uid="{00000000-0002-0000-0000-000001000000}">
      <formula1>LST_YAKITTURU</formula1>
      <formula2>0</formula2>
    </dataValidation>
    <dataValidation type="list" allowBlank="1" showErrorMessage="1" error="Lütfen listeden sayaç tipi seçin." sqref="F5:F200" xr:uid="{00000000-0002-0000-0000-000002000000}">
      <formula1>LST_SAYACTIPI</formula1>
      <formula2>0</formula2>
    </dataValidation>
    <dataValidation type="list" allowBlank="1" showErrorMessage="1" error="Lütfen listeden araç cinsi seçin." sqref="B5:B200" xr:uid="{00000000-0002-0000-0000-000003000000}">
      <formula1>LST_ARACCINSI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K1503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9" customWidth="1"/>
    <col min="2" max="2" width="12" customWidth="1"/>
    <col min="3" max="3" width="10" customWidth="1"/>
    <col min="4" max="4" width="14" customWidth="1"/>
    <col min="5" max="5" width="26" customWidth="1"/>
    <col min="6" max="6" width="16" customWidth="1"/>
    <col min="7" max="7" width="10" customWidth="1"/>
    <col min="8" max="10" width="14" customWidth="1"/>
    <col min="11" max="11" width="24" customWidth="1"/>
  </cols>
  <sheetData>
    <row r="1" spans="1:11" ht="27.75" customHeight="1">
      <c r="A1" s="18" t="s">
        <v>18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15.75" customHeight="1">
      <c r="A2" s="19" t="s">
        <v>19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4" spans="1:11" ht="21.75" customHeight="1">
      <c r="A4" s="1" t="s">
        <v>20</v>
      </c>
      <c r="B4" s="1" t="s">
        <v>21</v>
      </c>
      <c r="C4" s="1" t="s">
        <v>22</v>
      </c>
      <c r="D4" s="1" t="s">
        <v>2</v>
      </c>
      <c r="E4" s="1" t="s">
        <v>5</v>
      </c>
      <c r="F4" s="1" t="s">
        <v>6</v>
      </c>
      <c r="G4" s="1" t="s">
        <v>23</v>
      </c>
      <c r="H4" s="1" t="s">
        <v>24</v>
      </c>
      <c r="I4" s="1" t="s">
        <v>25</v>
      </c>
      <c r="J4" s="1" t="s">
        <v>26</v>
      </c>
      <c r="K4" s="1" t="s">
        <v>9</v>
      </c>
    </row>
    <row r="5" spans="1:11">
      <c r="A5" s="4">
        <v>1</v>
      </c>
      <c r="B5" s="5">
        <v>46086</v>
      </c>
      <c r="C5" s="6" t="str">
        <f>IF(B5="","",INDEX({"Ocak","Şubat","Mart","Nisan","Mayıs","Haziran","Temmuz","Ağustos","Eylül","Ekim","Kasım","Aralık"},MONTH(B5)))</f>
        <v>Mart</v>
      </c>
      <c r="D5" s="2" t="s">
        <v>10</v>
      </c>
      <c r="E5" s="6" t="str">
        <f>IFERROR(INDEX('Araç Tanımlama'!$D$5:$D$200,MATCH(D5,'Araç Tanımlama'!$A$5:$A$200,0)),"")</f>
        <v>Fen İşleri Müdürlüğü</v>
      </c>
      <c r="F5" s="6" t="str">
        <f>IFERROR(INDEX('Araç Tanımlama'!$E$5:$E$200,MATCH(D5,'Araç Tanımlama'!$A$5:$A$200,0)),"")</f>
        <v>Motorin</v>
      </c>
      <c r="G5" s="2">
        <v>180</v>
      </c>
      <c r="H5" s="7">
        <v>44.5</v>
      </c>
      <c r="I5" s="8">
        <f>IF(OR(G5="",H5=""),"",G5*H5)</f>
        <v>8010</v>
      </c>
      <c r="J5" s="2">
        <v>45210</v>
      </c>
      <c r="K5" s="2" t="s">
        <v>27</v>
      </c>
    </row>
    <row r="6" spans="1:11">
      <c r="A6" s="4" t="str">
        <f>IF(D6="","",COUNTIF($D$5:D6,"?*"))</f>
        <v/>
      </c>
      <c r="B6" s="5"/>
      <c r="C6" s="4" t="str">
        <f>IF(B6="","",INDEX({"Ocak","Şubat","Mart","Nisan","Mayıs","Haziran","Temmuz","Ağustos","Eylül","Ekim","Kasım","Aralık"},MONTH(B6)))</f>
        <v/>
      </c>
      <c r="D6" s="2"/>
      <c r="E6" s="4" t="str">
        <f>IFERROR(INDEX('Araç Tanımlama'!$D$5:$D$200,MATCH(D6,'Araç Tanımlama'!$A$5:$A$200,0)),"")</f>
        <v/>
      </c>
      <c r="F6" s="4" t="str">
        <f>IFERROR(INDEX('Araç Tanımlama'!$E$5:$E$200,MATCH(D6,'Araç Tanımlama'!$A$5:$A$200,0)),"")</f>
        <v/>
      </c>
      <c r="G6" s="2"/>
      <c r="H6" s="7"/>
      <c r="I6" s="9" t="str">
        <f>IF(OR(G6="",H6=""),"",G6*H6)</f>
        <v/>
      </c>
      <c r="J6" s="2"/>
      <c r="K6" s="2"/>
    </row>
    <row r="7" spans="1:11">
      <c r="A7" s="4" t="str">
        <f>IF(D7="","",COUNTIF($D$5:D7,"?*"))</f>
        <v/>
      </c>
      <c r="B7" s="5"/>
      <c r="C7" s="4" t="str">
        <f>IF(B7="","",INDEX({"Ocak","Şubat","Mart","Nisan","Mayıs","Haziran","Temmuz","Ağustos","Eylül","Ekim","Kasım","Aralık"},MONTH(B7)))</f>
        <v/>
      </c>
      <c r="D7" s="2"/>
      <c r="E7" s="4" t="str">
        <f>IFERROR(INDEX('Araç Tanımlama'!$D$5:$D$200,MATCH(D7,'Araç Tanımlama'!$A$5:$A$200,0)),"")</f>
        <v/>
      </c>
      <c r="F7" s="4" t="str">
        <f>IFERROR(INDEX('Araç Tanımlama'!$E$5:$E$200,MATCH(D7,'Araç Tanımlama'!$A$5:$A$200,0)),"")</f>
        <v/>
      </c>
      <c r="G7" s="2"/>
      <c r="H7" s="7"/>
      <c r="I7" s="9" t="str">
        <f>IF(OR(G7="",H7=""),"",G7*H7)</f>
        <v/>
      </c>
      <c r="J7" s="2"/>
      <c r="K7" s="2"/>
    </row>
    <row r="8" spans="1:11">
      <c r="A8" s="4" t="str">
        <f>IF(D8="","",COUNTIF($D$5:D8,"?*"))</f>
        <v/>
      </c>
      <c r="B8" s="5"/>
      <c r="C8" s="4" t="str">
        <f>IF(B8="","",INDEX({"Ocak","Şubat","Mart","Nisan","Mayıs","Haziran","Temmuz","Ağustos","Eylül","Ekim","Kasım","Aralık"},MONTH(B8)))</f>
        <v/>
      </c>
      <c r="D8" s="2"/>
      <c r="E8" s="4" t="str">
        <f>IFERROR(INDEX('Araç Tanımlama'!$D$5:$D$200,MATCH(D8,'Araç Tanımlama'!$A$5:$A$200,0)),"")</f>
        <v/>
      </c>
      <c r="F8" s="4" t="str">
        <f>IFERROR(INDEX('Araç Tanımlama'!$E$5:$E$200,MATCH(D8,'Araç Tanımlama'!$A$5:$A$200,0)),"")</f>
        <v/>
      </c>
      <c r="G8" s="2"/>
      <c r="H8" s="7"/>
      <c r="I8" s="9" t="str">
        <f>IF(OR(G8="",H8=""),"",G8*H8)</f>
        <v/>
      </c>
      <c r="J8" s="2"/>
      <c r="K8" s="2"/>
    </row>
    <row r="9" spans="1:11">
      <c r="A9" s="4" t="str">
        <f>IF(D9="","",COUNTIF($D$5:D9,"?*"))</f>
        <v/>
      </c>
      <c r="B9" s="5"/>
      <c r="C9" s="4" t="str">
        <f>IF(B9="","",INDEX({"Ocak","Şubat","Mart","Nisan","Mayıs","Haziran","Temmuz","Ağustos","Eylül","Ekim","Kasım","Aralık"},MONTH(B9)))</f>
        <v/>
      </c>
      <c r="D9" s="2"/>
      <c r="E9" s="4" t="str">
        <f>IFERROR(INDEX('Araç Tanımlama'!$D$5:$D$200,MATCH(D9,'Araç Tanımlama'!$A$5:$A$200,0)),"")</f>
        <v/>
      </c>
      <c r="F9" s="4" t="str">
        <f>IFERROR(INDEX('Araç Tanımlama'!$E$5:$E$200,MATCH(D9,'Araç Tanımlama'!$A$5:$A$200,0)),"")</f>
        <v/>
      </c>
      <c r="G9" s="2"/>
      <c r="H9" s="7"/>
      <c r="I9" s="9" t="str">
        <f>IF(OR(G9="",H9=""),"",G9*H9)</f>
        <v/>
      </c>
      <c r="J9" s="2"/>
      <c r="K9" s="2"/>
    </row>
    <row r="10" spans="1:11">
      <c r="A10" s="4" t="str">
        <f>IF(D10="","",COUNTIF($D$5:D10,"?*"))</f>
        <v/>
      </c>
      <c r="B10" s="5"/>
      <c r="C10" s="4" t="str">
        <f>IF(B10="","",INDEX({"Ocak","Şubat","Mart","Nisan","Mayıs","Haziran","Temmuz","Ağustos","Eylül","Ekim","Kasım","Aralık"},MONTH(B10)))</f>
        <v/>
      </c>
      <c r="D10" s="2"/>
      <c r="E10" s="4" t="str">
        <f>IFERROR(INDEX('Araç Tanımlama'!$D$5:$D$200,MATCH(D10,'Araç Tanımlama'!$A$5:$A$200,0)),"")</f>
        <v/>
      </c>
      <c r="F10" s="4" t="str">
        <f>IFERROR(INDEX('Araç Tanımlama'!$E$5:$E$200,MATCH(D10,'Araç Tanımlama'!$A$5:$A$200,0)),"")</f>
        <v/>
      </c>
      <c r="G10" s="2"/>
      <c r="H10" s="7"/>
      <c r="I10" s="9" t="str">
        <f>IF(OR(G10="",H10=""),"",G10*H10)</f>
        <v/>
      </c>
      <c r="J10" s="2"/>
      <c r="K10" s="2"/>
    </row>
    <row r="11" spans="1:11">
      <c r="A11" s="4" t="str">
        <f>IF(D11="","",COUNTIF($D$5:D11,"?*"))</f>
        <v/>
      </c>
      <c r="B11" s="5"/>
      <c r="C11" s="4" t="str">
        <f>IF(B11="","",INDEX({"Ocak","Şubat","Mart","Nisan","Mayıs","Haziran","Temmuz","Ağustos","Eylül","Ekim","Kasım","Aralık"},MONTH(B11)))</f>
        <v/>
      </c>
      <c r="D11" s="2"/>
      <c r="E11" s="4" t="str">
        <f>IFERROR(INDEX('Araç Tanımlama'!$D$5:$D$200,MATCH(D11,'Araç Tanımlama'!$A$5:$A$200,0)),"")</f>
        <v/>
      </c>
      <c r="F11" s="4" t="str">
        <f>IFERROR(INDEX('Araç Tanımlama'!$E$5:$E$200,MATCH(D11,'Araç Tanımlama'!$A$5:$A$200,0)),"")</f>
        <v/>
      </c>
      <c r="G11" s="2"/>
      <c r="H11" s="7"/>
      <c r="I11" s="9" t="str">
        <f>IF(OR(G11="",H11=""),"",G11*H11)</f>
        <v/>
      </c>
      <c r="J11" s="2"/>
      <c r="K11" s="2"/>
    </row>
    <row r="12" spans="1:11">
      <c r="A12" s="4" t="str">
        <f>IF(D12="","",COUNTIF($D$5:D12,"?*"))</f>
        <v/>
      </c>
      <c r="B12" s="5"/>
      <c r="C12" s="4" t="str">
        <f>IF(B12="","",INDEX({"Ocak","Şubat","Mart","Nisan","Mayıs","Haziran","Temmuz","Ağustos","Eylül","Ekim","Kasım","Aralık"},MONTH(B12)))</f>
        <v/>
      </c>
      <c r="D12" s="2"/>
      <c r="E12" s="4" t="str">
        <f>IFERROR(INDEX('Araç Tanımlama'!$D$5:$D$200,MATCH(D12,'Araç Tanımlama'!$A$5:$A$200,0)),"")</f>
        <v/>
      </c>
      <c r="F12" s="4" t="str">
        <f>IFERROR(INDEX('Araç Tanımlama'!$E$5:$E$200,MATCH(D12,'Araç Tanımlama'!$A$5:$A$200,0)),"")</f>
        <v/>
      </c>
      <c r="G12" s="2"/>
      <c r="H12" s="7"/>
      <c r="I12" s="9" t="str">
        <f>IF(OR(G12="",H12=""),"",G12*H12)</f>
        <v/>
      </c>
      <c r="J12" s="2"/>
      <c r="K12" s="2"/>
    </row>
    <row r="13" spans="1:11">
      <c r="A13" s="4" t="str">
        <f>IF(D13="","",COUNTIF($D$5:D13,"?*"))</f>
        <v/>
      </c>
      <c r="B13" s="5"/>
      <c r="C13" s="4" t="str">
        <f>IF(B13="","",INDEX({"Ocak","Şubat","Mart","Nisan","Mayıs","Haziran","Temmuz","Ağustos","Eylül","Ekim","Kasım","Aralık"},MONTH(B13)))</f>
        <v/>
      </c>
      <c r="D13" s="2"/>
      <c r="E13" s="4" t="str">
        <f>IFERROR(INDEX('Araç Tanımlama'!$D$5:$D$200,MATCH(D13,'Araç Tanımlama'!$A$5:$A$200,0)),"")</f>
        <v/>
      </c>
      <c r="F13" s="4" t="str">
        <f>IFERROR(INDEX('Araç Tanımlama'!$E$5:$E$200,MATCH(D13,'Araç Tanımlama'!$A$5:$A$200,0)),"")</f>
        <v/>
      </c>
      <c r="G13" s="2"/>
      <c r="H13" s="7"/>
      <c r="I13" s="9" t="str">
        <f>IF(OR(G13="",H13=""),"",G13*H13)</f>
        <v/>
      </c>
      <c r="J13" s="2"/>
      <c r="K13" s="2"/>
    </row>
    <row r="14" spans="1:11">
      <c r="A14" s="4" t="str">
        <f>IF(D14="","",COUNTIF($D$5:D14,"?*"))</f>
        <v/>
      </c>
      <c r="B14" s="5"/>
      <c r="C14" s="4" t="str">
        <f>IF(B14="","",INDEX({"Ocak","Şubat","Mart","Nisan","Mayıs","Haziran","Temmuz","Ağustos","Eylül","Ekim","Kasım","Aralık"},MONTH(B14)))</f>
        <v/>
      </c>
      <c r="D14" s="2"/>
      <c r="E14" s="4" t="str">
        <f>IFERROR(INDEX('Araç Tanımlama'!$D$5:$D$200,MATCH(D14,'Araç Tanımlama'!$A$5:$A$200,0)),"")</f>
        <v/>
      </c>
      <c r="F14" s="4" t="str">
        <f>IFERROR(INDEX('Araç Tanımlama'!$E$5:$E$200,MATCH(D14,'Araç Tanımlama'!$A$5:$A$200,0)),"")</f>
        <v/>
      </c>
      <c r="G14" s="2"/>
      <c r="H14" s="7"/>
      <c r="I14" s="9" t="str">
        <f>IF(OR(G14="",H14=""),"",G14*H14)</f>
        <v/>
      </c>
      <c r="J14" s="2"/>
      <c r="K14" s="2"/>
    </row>
    <row r="15" spans="1:11">
      <c r="A15" s="4" t="str">
        <f>IF(D15="","",COUNTIF($D$5:D15,"?*"))</f>
        <v/>
      </c>
      <c r="B15" s="5"/>
      <c r="C15" s="4" t="str">
        <f>IF(B15="","",INDEX({"Ocak","Şubat","Mart","Nisan","Mayıs","Haziran","Temmuz","Ağustos","Eylül","Ekim","Kasım","Aralık"},MONTH(B15)))</f>
        <v/>
      </c>
      <c r="D15" s="2"/>
      <c r="E15" s="4" t="str">
        <f>IFERROR(INDEX('Araç Tanımlama'!$D$5:$D$200,MATCH(D15,'Araç Tanımlama'!$A$5:$A$200,0)),"")</f>
        <v/>
      </c>
      <c r="F15" s="4" t="str">
        <f>IFERROR(INDEX('Araç Tanımlama'!$E$5:$E$200,MATCH(D15,'Araç Tanımlama'!$A$5:$A$200,0)),"")</f>
        <v/>
      </c>
      <c r="G15" s="2"/>
      <c r="H15" s="7"/>
      <c r="I15" s="9" t="str">
        <f>IF(OR(G15="",H15=""),"",G15*H15)</f>
        <v/>
      </c>
      <c r="J15" s="2"/>
      <c r="K15" s="2"/>
    </row>
    <row r="16" spans="1:11">
      <c r="A16" s="4" t="str">
        <f>IF(D16="","",COUNTIF($D$5:D16,"?*"))</f>
        <v/>
      </c>
      <c r="B16" s="5"/>
      <c r="C16" s="4" t="str">
        <f>IF(B16="","",INDEX({"Ocak","Şubat","Mart","Nisan","Mayıs","Haziran","Temmuz","Ağustos","Eylül","Ekim","Kasım","Aralık"},MONTH(B16)))</f>
        <v/>
      </c>
      <c r="D16" s="2"/>
      <c r="E16" s="4" t="str">
        <f>IFERROR(INDEX('Araç Tanımlama'!$D$5:$D$200,MATCH(D16,'Araç Tanımlama'!$A$5:$A$200,0)),"")</f>
        <v/>
      </c>
      <c r="F16" s="4" t="str">
        <f>IFERROR(INDEX('Araç Tanımlama'!$E$5:$E$200,MATCH(D16,'Araç Tanımlama'!$A$5:$A$200,0)),"")</f>
        <v/>
      </c>
      <c r="G16" s="2"/>
      <c r="H16" s="7"/>
      <c r="I16" s="9" t="str">
        <f>IF(OR(G16="",H16=""),"",G16*H16)</f>
        <v/>
      </c>
      <c r="J16" s="2"/>
      <c r="K16" s="2"/>
    </row>
    <row r="17" spans="1:11">
      <c r="A17" s="4" t="str">
        <f>IF(D17="","",COUNTIF($D$5:D17,"?*"))</f>
        <v/>
      </c>
      <c r="B17" s="5"/>
      <c r="C17" s="4" t="str">
        <f>IF(B17="","",INDEX({"Ocak","Şubat","Mart","Nisan","Mayıs","Haziran","Temmuz","Ağustos","Eylül","Ekim","Kasım","Aralık"},MONTH(B17)))</f>
        <v/>
      </c>
      <c r="D17" s="2"/>
      <c r="E17" s="4" t="str">
        <f>IFERROR(INDEX('Araç Tanımlama'!$D$5:$D$200,MATCH(D17,'Araç Tanımlama'!$A$5:$A$200,0)),"")</f>
        <v/>
      </c>
      <c r="F17" s="4" t="str">
        <f>IFERROR(INDEX('Araç Tanımlama'!$E$5:$E$200,MATCH(D17,'Araç Tanımlama'!$A$5:$A$200,0)),"")</f>
        <v/>
      </c>
      <c r="G17" s="2"/>
      <c r="H17" s="7"/>
      <c r="I17" s="9" t="str">
        <f>IF(OR(G17="",H17=""),"",G17*H17)</f>
        <v/>
      </c>
      <c r="J17" s="2"/>
      <c r="K17" s="2"/>
    </row>
    <row r="18" spans="1:11">
      <c r="A18" s="4" t="str">
        <f>IF(D18="","",COUNTIF($D$5:D18,"?*"))</f>
        <v/>
      </c>
      <c r="B18" s="5"/>
      <c r="C18" s="4" t="str">
        <f>IF(B18="","",INDEX({"Ocak","Şubat","Mart","Nisan","Mayıs","Haziran","Temmuz","Ağustos","Eylül","Ekim","Kasım","Aralık"},MONTH(B18)))</f>
        <v/>
      </c>
      <c r="D18" s="2"/>
      <c r="E18" s="4" t="str">
        <f>IFERROR(INDEX('Araç Tanımlama'!$D$5:$D$200,MATCH(D18,'Araç Tanımlama'!$A$5:$A$200,0)),"")</f>
        <v/>
      </c>
      <c r="F18" s="4" t="str">
        <f>IFERROR(INDEX('Araç Tanımlama'!$E$5:$E$200,MATCH(D18,'Araç Tanımlama'!$A$5:$A$200,0)),"")</f>
        <v/>
      </c>
      <c r="G18" s="2"/>
      <c r="H18" s="7"/>
      <c r="I18" s="9" t="str">
        <f>IF(OR(G18="",H18=""),"",G18*H18)</f>
        <v/>
      </c>
      <c r="J18" s="2"/>
      <c r="K18" s="2"/>
    </row>
    <row r="19" spans="1:11">
      <c r="A19" s="4" t="str">
        <f>IF(D19="","",COUNTIF($D$5:D19,"?*"))</f>
        <v/>
      </c>
      <c r="B19" s="5"/>
      <c r="C19" s="4" t="str">
        <f>IF(B19="","",INDEX({"Ocak","Şubat","Mart","Nisan","Mayıs","Haziran","Temmuz","Ağustos","Eylül","Ekim","Kasım","Aralık"},MONTH(B19)))</f>
        <v/>
      </c>
      <c r="D19" s="2"/>
      <c r="E19" s="4" t="str">
        <f>IFERROR(INDEX('Araç Tanımlama'!$D$5:$D$200,MATCH(D19,'Araç Tanımlama'!$A$5:$A$200,0)),"")</f>
        <v/>
      </c>
      <c r="F19" s="4" t="str">
        <f>IFERROR(INDEX('Araç Tanımlama'!$E$5:$E$200,MATCH(D19,'Araç Tanımlama'!$A$5:$A$200,0)),"")</f>
        <v/>
      </c>
      <c r="G19" s="2"/>
      <c r="H19" s="7"/>
      <c r="I19" s="9" t="str">
        <f>IF(OR(G19="",H19=""),"",G19*H19)</f>
        <v/>
      </c>
      <c r="J19" s="2"/>
      <c r="K19" s="2"/>
    </row>
    <row r="20" spans="1:11">
      <c r="A20" s="4" t="str">
        <f>IF(D20="","",COUNTIF($D$5:D20,"?*"))</f>
        <v/>
      </c>
      <c r="B20" s="5"/>
      <c r="C20" s="4" t="str">
        <f>IF(B20="","",INDEX({"Ocak","Şubat","Mart","Nisan","Mayıs","Haziran","Temmuz","Ağustos","Eylül","Ekim","Kasım","Aralık"},MONTH(B20)))</f>
        <v/>
      </c>
      <c r="D20" s="2"/>
      <c r="E20" s="4" t="str">
        <f>IFERROR(INDEX('Araç Tanımlama'!$D$5:$D$200,MATCH(D20,'Araç Tanımlama'!$A$5:$A$200,0)),"")</f>
        <v/>
      </c>
      <c r="F20" s="4" t="str">
        <f>IFERROR(INDEX('Araç Tanımlama'!$E$5:$E$200,MATCH(D20,'Araç Tanımlama'!$A$5:$A$200,0)),"")</f>
        <v/>
      </c>
      <c r="G20" s="2"/>
      <c r="H20" s="7"/>
      <c r="I20" s="9" t="str">
        <f>IF(OR(G20="",H20=""),"",G20*H20)</f>
        <v/>
      </c>
      <c r="J20" s="2"/>
      <c r="K20" s="2"/>
    </row>
    <row r="21" spans="1:11">
      <c r="A21" s="4" t="str">
        <f>IF(D21="","",COUNTIF($D$5:D21,"?*"))</f>
        <v/>
      </c>
      <c r="B21" s="5"/>
      <c r="C21" s="4" t="str">
        <f>IF(B21="","",INDEX({"Ocak","Şubat","Mart","Nisan","Mayıs","Haziran","Temmuz","Ağustos","Eylül","Ekim","Kasım","Aralık"},MONTH(B21)))</f>
        <v/>
      </c>
      <c r="D21" s="2"/>
      <c r="E21" s="4" t="str">
        <f>IFERROR(INDEX('Araç Tanımlama'!$D$5:$D$200,MATCH(D21,'Araç Tanımlama'!$A$5:$A$200,0)),"")</f>
        <v/>
      </c>
      <c r="F21" s="4" t="str">
        <f>IFERROR(INDEX('Araç Tanımlama'!$E$5:$E$200,MATCH(D21,'Araç Tanımlama'!$A$5:$A$200,0)),"")</f>
        <v/>
      </c>
      <c r="G21" s="2"/>
      <c r="H21" s="7"/>
      <c r="I21" s="9" t="str">
        <f>IF(OR(G21="",H21=""),"",G21*H21)</f>
        <v/>
      </c>
      <c r="J21" s="2"/>
      <c r="K21" s="2"/>
    </row>
    <row r="22" spans="1:11">
      <c r="A22" s="4" t="str">
        <f>IF(D22="","",COUNTIF($D$5:D22,"?*"))</f>
        <v/>
      </c>
      <c r="B22" s="5"/>
      <c r="C22" s="4" t="str">
        <f>IF(B22="","",INDEX({"Ocak","Şubat","Mart","Nisan","Mayıs","Haziran","Temmuz","Ağustos","Eylül","Ekim","Kasım","Aralık"},MONTH(B22)))</f>
        <v/>
      </c>
      <c r="D22" s="2"/>
      <c r="E22" s="4" t="str">
        <f>IFERROR(INDEX('Araç Tanımlama'!$D$5:$D$200,MATCH(D22,'Araç Tanımlama'!$A$5:$A$200,0)),"")</f>
        <v/>
      </c>
      <c r="F22" s="4" t="str">
        <f>IFERROR(INDEX('Araç Tanımlama'!$E$5:$E$200,MATCH(D22,'Araç Tanımlama'!$A$5:$A$200,0)),"")</f>
        <v/>
      </c>
      <c r="G22" s="2"/>
      <c r="H22" s="7"/>
      <c r="I22" s="9" t="str">
        <f>IF(OR(G22="",H22=""),"",G22*H22)</f>
        <v/>
      </c>
      <c r="J22" s="2"/>
      <c r="K22" s="2"/>
    </row>
    <row r="23" spans="1:11">
      <c r="A23" s="4" t="str">
        <f>IF(D23="","",COUNTIF($D$5:D23,"?*"))</f>
        <v/>
      </c>
      <c r="B23" s="5"/>
      <c r="C23" s="4" t="str">
        <f>IF(B23="","",INDEX({"Ocak","Şubat","Mart","Nisan","Mayıs","Haziran","Temmuz","Ağustos","Eylül","Ekim","Kasım","Aralık"},MONTH(B23)))</f>
        <v/>
      </c>
      <c r="D23" s="2"/>
      <c r="E23" s="4" t="str">
        <f>IFERROR(INDEX('Araç Tanımlama'!$D$5:$D$200,MATCH(D23,'Araç Tanımlama'!$A$5:$A$200,0)),"")</f>
        <v/>
      </c>
      <c r="F23" s="4" t="str">
        <f>IFERROR(INDEX('Araç Tanımlama'!$E$5:$E$200,MATCH(D23,'Araç Tanımlama'!$A$5:$A$200,0)),"")</f>
        <v/>
      </c>
      <c r="G23" s="2"/>
      <c r="H23" s="7"/>
      <c r="I23" s="9" t="str">
        <f>IF(OR(G23="",H23=""),"",G23*H23)</f>
        <v/>
      </c>
      <c r="J23" s="2"/>
      <c r="K23" s="2"/>
    </row>
    <row r="24" spans="1:11">
      <c r="A24" s="4" t="str">
        <f>IF(D24="","",COUNTIF($D$5:D24,"?*"))</f>
        <v/>
      </c>
      <c r="B24" s="5"/>
      <c r="C24" s="4" t="str">
        <f>IF(B24="","",INDEX({"Ocak","Şubat","Mart","Nisan","Mayıs","Haziran","Temmuz","Ağustos","Eylül","Ekim","Kasım","Aralık"},MONTH(B24)))</f>
        <v/>
      </c>
      <c r="D24" s="2"/>
      <c r="E24" s="4" t="str">
        <f>IFERROR(INDEX('Araç Tanımlama'!$D$5:$D$200,MATCH(D24,'Araç Tanımlama'!$A$5:$A$200,0)),"")</f>
        <v/>
      </c>
      <c r="F24" s="4" t="str">
        <f>IFERROR(INDEX('Araç Tanımlama'!$E$5:$E$200,MATCH(D24,'Araç Tanımlama'!$A$5:$A$200,0)),"")</f>
        <v/>
      </c>
      <c r="G24" s="2"/>
      <c r="H24" s="7"/>
      <c r="I24" s="9" t="str">
        <f>IF(OR(G24="",H24=""),"",G24*H24)</f>
        <v/>
      </c>
      <c r="J24" s="2"/>
      <c r="K24" s="2"/>
    </row>
    <row r="25" spans="1:11">
      <c r="A25" s="4" t="str">
        <f>IF(D25="","",COUNTIF($D$5:D25,"?*"))</f>
        <v/>
      </c>
      <c r="B25" s="5"/>
      <c r="C25" s="4" t="str">
        <f>IF(B25="","",INDEX({"Ocak","Şubat","Mart","Nisan","Mayıs","Haziran","Temmuz","Ağustos","Eylül","Ekim","Kasım","Aralık"},MONTH(B25)))</f>
        <v/>
      </c>
      <c r="D25" s="2"/>
      <c r="E25" s="4" t="str">
        <f>IFERROR(INDEX('Araç Tanımlama'!$D$5:$D$200,MATCH(D25,'Araç Tanımlama'!$A$5:$A$200,0)),"")</f>
        <v/>
      </c>
      <c r="F25" s="4" t="str">
        <f>IFERROR(INDEX('Araç Tanımlama'!$E$5:$E$200,MATCH(D25,'Araç Tanımlama'!$A$5:$A$200,0)),"")</f>
        <v/>
      </c>
      <c r="G25" s="2"/>
      <c r="H25" s="7"/>
      <c r="I25" s="9" t="str">
        <f>IF(OR(G25="",H25=""),"",G25*H25)</f>
        <v/>
      </c>
      <c r="J25" s="2"/>
      <c r="K25" s="2"/>
    </row>
    <row r="26" spans="1:11">
      <c r="A26" s="4" t="str">
        <f>IF(D26="","",COUNTIF($D$5:D26,"?*"))</f>
        <v/>
      </c>
      <c r="B26" s="5"/>
      <c r="C26" s="4" t="str">
        <f>IF(B26="","",INDEX({"Ocak","Şubat","Mart","Nisan","Mayıs","Haziran","Temmuz","Ağustos","Eylül","Ekim","Kasım","Aralık"},MONTH(B26)))</f>
        <v/>
      </c>
      <c r="D26" s="2"/>
      <c r="E26" s="4" t="str">
        <f>IFERROR(INDEX('Araç Tanımlama'!$D$5:$D$200,MATCH(D26,'Araç Tanımlama'!$A$5:$A$200,0)),"")</f>
        <v/>
      </c>
      <c r="F26" s="4" t="str">
        <f>IFERROR(INDEX('Araç Tanımlama'!$E$5:$E$200,MATCH(D26,'Araç Tanımlama'!$A$5:$A$200,0)),"")</f>
        <v/>
      </c>
      <c r="G26" s="2"/>
      <c r="H26" s="7"/>
      <c r="I26" s="9" t="str">
        <f>IF(OR(G26="",H26=""),"",G26*H26)</f>
        <v/>
      </c>
      <c r="J26" s="2"/>
      <c r="K26" s="2"/>
    </row>
    <row r="27" spans="1:11">
      <c r="A27" s="4" t="str">
        <f>IF(D27="","",COUNTIF($D$5:D27,"?*"))</f>
        <v/>
      </c>
      <c r="B27" s="5"/>
      <c r="C27" s="4" t="str">
        <f>IF(B27="","",INDEX({"Ocak","Şubat","Mart","Nisan","Mayıs","Haziran","Temmuz","Ağustos","Eylül","Ekim","Kasım","Aralık"},MONTH(B27)))</f>
        <v/>
      </c>
      <c r="D27" s="2"/>
      <c r="E27" s="4" t="str">
        <f>IFERROR(INDEX('Araç Tanımlama'!$D$5:$D$200,MATCH(D27,'Araç Tanımlama'!$A$5:$A$200,0)),"")</f>
        <v/>
      </c>
      <c r="F27" s="4" t="str">
        <f>IFERROR(INDEX('Araç Tanımlama'!$E$5:$E$200,MATCH(D27,'Araç Tanımlama'!$A$5:$A$200,0)),"")</f>
        <v/>
      </c>
      <c r="G27" s="2"/>
      <c r="H27" s="7"/>
      <c r="I27" s="9" t="str">
        <f>IF(OR(G27="",H27=""),"",G27*H27)</f>
        <v/>
      </c>
      <c r="J27" s="2"/>
      <c r="K27" s="2"/>
    </row>
    <row r="28" spans="1:11">
      <c r="A28" s="4" t="str">
        <f>IF(D28="","",COUNTIF($D$5:D28,"?*"))</f>
        <v/>
      </c>
      <c r="B28" s="5"/>
      <c r="C28" s="4" t="str">
        <f>IF(B28="","",INDEX({"Ocak","Şubat","Mart","Nisan","Mayıs","Haziran","Temmuz","Ağustos","Eylül","Ekim","Kasım","Aralık"},MONTH(B28)))</f>
        <v/>
      </c>
      <c r="D28" s="2"/>
      <c r="E28" s="4" t="str">
        <f>IFERROR(INDEX('Araç Tanımlama'!$D$5:$D$200,MATCH(D28,'Araç Tanımlama'!$A$5:$A$200,0)),"")</f>
        <v/>
      </c>
      <c r="F28" s="4" t="str">
        <f>IFERROR(INDEX('Araç Tanımlama'!$E$5:$E$200,MATCH(D28,'Araç Tanımlama'!$A$5:$A$200,0)),"")</f>
        <v/>
      </c>
      <c r="G28" s="2"/>
      <c r="H28" s="7"/>
      <c r="I28" s="9" t="str">
        <f>IF(OR(G28="",H28=""),"",G28*H28)</f>
        <v/>
      </c>
      <c r="J28" s="2"/>
      <c r="K28" s="2"/>
    </row>
    <row r="29" spans="1:11">
      <c r="A29" s="4" t="str">
        <f>IF(D29="","",COUNTIF($D$5:D29,"?*"))</f>
        <v/>
      </c>
      <c r="B29" s="5"/>
      <c r="C29" s="4" t="str">
        <f>IF(B29="","",INDEX({"Ocak","Şubat","Mart","Nisan","Mayıs","Haziran","Temmuz","Ağustos","Eylül","Ekim","Kasım","Aralık"},MONTH(B29)))</f>
        <v/>
      </c>
      <c r="D29" s="2"/>
      <c r="E29" s="4" t="str">
        <f>IFERROR(INDEX('Araç Tanımlama'!$D$5:$D$200,MATCH(D29,'Araç Tanımlama'!$A$5:$A$200,0)),"")</f>
        <v/>
      </c>
      <c r="F29" s="4" t="str">
        <f>IFERROR(INDEX('Araç Tanımlama'!$E$5:$E$200,MATCH(D29,'Araç Tanımlama'!$A$5:$A$200,0)),"")</f>
        <v/>
      </c>
      <c r="G29" s="2"/>
      <c r="H29" s="7"/>
      <c r="I29" s="9" t="str">
        <f>IF(OR(G29="",H29=""),"",G29*H29)</f>
        <v/>
      </c>
      <c r="J29" s="2"/>
      <c r="K29" s="2"/>
    </row>
    <row r="30" spans="1:11">
      <c r="A30" s="4" t="str">
        <f>IF(D30="","",COUNTIF($D$5:D30,"?*"))</f>
        <v/>
      </c>
      <c r="B30" s="5"/>
      <c r="C30" s="4" t="str">
        <f>IF(B30="","",INDEX({"Ocak","Şubat","Mart","Nisan","Mayıs","Haziran","Temmuz","Ağustos","Eylül","Ekim","Kasım","Aralık"},MONTH(B30)))</f>
        <v/>
      </c>
      <c r="D30" s="2"/>
      <c r="E30" s="4" t="str">
        <f>IFERROR(INDEX('Araç Tanımlama'!$D$5:$D$200,MATCH(D30,'Araç Tanımlama'!$A$5:$A$200,0)),"")</f>
        <v/>
      </c>
      <c r="F30" s="4" t="str">
        <f>IFERROR(INDEX('Araç Tanımlama'!$E$5:$E$200,MATCH(D30,'Araç Tanımlama'!$A$5:$A$200,0)),"")</f>
        <v/>
      </c>
      <c r="G30" s="2"/>
      <c r="H30" s="7"/>
      <c r="I30" s="9" t="str">
        <f>IF(OR(G30="",H30=""),"",G30*H30)</f>
        <v/>
      </c>
      <c r="J30" s="2"/>
      <c r="K30" s="2"/>
    </row>
    <row r="31" spans="1:11">
      <c r="A31" s="4" t="str">
        <f>IF(D31="","",COUNTIF($D$5:D31,"?*"))</f>
        <v/>
      </c>
      <c r="B31" s="5"/>
      <c r="C31" s="4" t="str">
        <f>IF(B31="","",INDEX({"Ocak","Şubat","Mart","Nisan","Mayıs","Haziran","Temmuz","Ağustos","Eylül","Ekim","Kasım","Aralık"},MONTH(B31)))</f>
        <v/>
      </c>
      <c r="D31" s="2"/>
      <c r="E31" s="4" t="str">
        <f>IFERROR(INDEX('Araç Tanımlama'!$D$5:$D$200,MATCH(D31,'Araç Tanımlama'!$A$5:$A$200,0)),"")</f>
        <v/>
      </c>
      <c r="F31" s="4" t="str">
        <f>IFERROR(INDEX('Araç Tanımlama'!$E$5:$E$200,MATCH(D31,'Araç Tanımlama'!$A$5:$A$200,0)),"")</f>
        <v/>
      </c>
      <c r="G31" s="2"/>
      <c r="H31" s="7"/>
      <c r="I31" s="9" t="str">
        <f>IF(OR(G31="",H31=""),"",G31*H31)</f>
        <v/>
      </c>
      <c r="J31" s="2"/>
      <c r="K31" s="2"/>
    </row>
    <row r="32" spans="1:11">
      <c r="A32" s="4" t="str">
        <f>IF(D32="","",COUNTIF($D$5:D32,"?*"))</f>
        <v/>
      </c>
      <c r="B32" s="5"/>
      <c r="C32" s="4" t="str">
        <f>IF(B32="","",INDEX({"Ocak","Şubat","Mart","Nisan","Mayıs","Haziran","Temmuz","Ağustos","Eylül","Ekim","Kasım","Aralık"},MONTH(B32)))</f>
        <v/>
      </c>
      <c r="D32" s="2"/>
      <c r="E32" s="4" t="str">
        <f>IFERROR(INDEX('Araç Tanımlama'!$D$5:$D$200,MATCH(D32,'Araç Tanımlama'!$A$5:$A$200,0)),"")</f>
        <v/>
      </c>
      <c r="F32" s="4" t="str">
        <f>IFERROR(INDEX('Araç Tanımlama'!$E$5:$E$200,MATCH(D32,'Araç Tanımlama'!$A$5:$A$200,0)),"")</f>
        <v/>
      </c>
      <c r="G32" s="2"/>
      <c r="H32" s="7"/>
      <c r="I32" s="9" t="str">
        <f>IF(OR(G32="",H32=""),"",G32*H32)</f>
        <v/>
      </c>
      <c r="J32" s="2"/>
      <c r="K32" s="2"/>
    </row>
    <row r="33" spans="1:11">
      <c r="A33" s="4" t="str">
        <f>IF(D33="","",COUNTIF($D$5:D33,"?*"))</f>
        <v/>
      </c>
      <c r="B33" s="5"/>
      <c r="C33" s="4" t="str">
        <f>IF(B33="","",INDEX({"Ocak","Şubat","Mart","Nisan","Mayıs","Haziran","Temmuz","Ağustos","Eylül","Ekim","Kasım","Aralık"},MONTH(B33)))</f>
        <v/>
      </c>
      <c r="D33" s="2"/>
      <c r="E33" s="4" t="str">
        <f>IFERROR(INDEX('Araç Tanımlama'!$D$5:$D$200,MATCH(D33,'Araç Tanımlama'!$A$5:$A$200,0)),"")</f>
        <v/>
      </c>
      <c r="F33" s="4" t="str">
        <f>IFERROR(INDEX('Araç Tanımlama'!$E$5:$E$200,MATCH(D33,'Araç Tanımlama'!$A$5:$A$200,0)),"")</f>
        <v/>
      </c>
      <c r="G33" s="2"/>
      <c r="H33" s="7"/>
      <c r="I33" s="9" t="str">
        <f>IF(OR(G33="",H33=""),"",G33*H33)</f>
        <v/>
      </c>
      <c r="J33" s="2"/>
      <c r="K33" s="2"/>
    </row>
    <row r="34" spans="1:11">
      <c r="A34" s="4" t="str">
        <f>IF(D34="","",COUNTIF($D$5:D34,"?*"))</f>
        <v/>
      </c>
      <c r="B34" s="5"/>
      <c r="C34" s="4" t="str">
        <f>IF(B34="","",INDEX({"Ocak","Şubat","Mart","Nisan","Mayıs","Haziran","Temmuz","Ağustos","Eylül","Ekim","Kasım","Aralık"},MONTH(B34)))</f>
        <v/>
      </c>
      <c r="D34" s="2"/>
      <c r="E34" s="4" t="str">
        <f>IFERROR(INDEX('Araç Tanımlama'!$D$5:$D$200,MATCH(D34,'Araç Tanımlama'!$A$5:$A$200,0)),"")</f>
        <v/>
      </c>
      <c r="F34" s="4" t="str">
        <f>IFERROR(INDEX('Araç Tanımlama'!$E$5:$E$200,MATCH(D34,'Araç Tanımlama'!$A$5:$A$200,0)),"")</f>
        <v/>
      </c>
      <c r="G34" s="2"/>
      <c r="H34" s="7"/>
      <c r="I34" s="9" t="str">
        <f>IF(OR(G34="",H34=""),"",G34*H34)</f>
        <v/>
      </c>
      <c r="J34" s="2"/>
      <c r="K34" s="2"/>
    </row>
    <row r="35" spans="1:11">
      <c r="A35" s="4" t="str">
        <f>IF(D35="","",COUNTIF($D$5:D35,"?*"))</f>
        <v/>
      </c>
      <c r="B35" s="5"/>
      <c r="C35" s="4" t="str">
        <f>IF(B35="","",INDEX({"Ocak","Şubat","Mart","Nisan","Mayıs","Haziran","Temmuz","Ağustos","Eylül","Ekim","Kasım","Aralık"},MONTH(B35)))</f>
        <v/>
      </c>
      <c r="D35" s="2"/>
      <c r="E35" s="4" t="str">
        <f>IFERROR(INDEX('Araç Tanımlama'!$D$5:$D$200,MATCH(D35,'Araç Tanımlama'!$A$5:$A$200,0)),"")</f>
        <v/>
      </c>
      <c r="F35" s="4" t="str">
        <f>IFERROR(INDEX('Araç Tanımlama'!$E$5:$E$200,MATCH(D35,'Araç Tanımlama'!$A$5:$A$200,0)),"")</f>
        <v/>
      </c>
      <c r="G35" s="2"/>
      <c r="H35" s="7"/>
      <c r="I35" s="9" t="str">
        <f>IF(OR(G35="",H35=""),"",G35*H35)</f>
        <v/>
      </c>
      <c r="J35" s="2"/>
      <c r="K35" s="2"/>
    </row>
    <row r="36" spans="1:11">
      <c r="A36" s="4" t="str">
        <f>IF(D36="","",COUNTIF($D$5:D36,"?*"))</f>
        <v/>
      </c>
      <c r="B36" s="5"/>
      <c r="C36" s="4" t="str">
        <f>IF(B36="","",INDEX({"Ocak","Şubat","Mart","Nisan","Mayıs","Haziran","Temmuz","Ağustos","Eylül","Ekim","Kasım","Aralık"},MONTH(B36)))</f>
        <v/>
      </c>
      <c r="D36" s="2"/>
      <c r="E36" s="4" t="str">
        <f>IFERROR(INDEX('Araç Tanımlama'!$D$5:$D$200,MATCH(D36,'Araç Tanımlama'!$A$5:$A$200,0)),"")</f>
        <v/>
      </c>
      <c r="F36" s="4" t="str">
        <f>IFERROR(INDEX('Araç Tanımlama'!$E$5:$E$200,MATCH(D36,'Araç Tanımlama'!$A$5:$A$200,0)),"")</f>
        <v/>
      </c>
      <c r="G36" s="2"/>
      <c r="H36" s="7"/>
      <c r="I36" s="9" t="str">
        <f>IF(OR(G36="",H36=""),"",G36*H36)</f>
        <v/>
      </c>
      <c r="J36" s="2"/>
      <c r="K36" s="2"/>
    </row>
    <row r="37" spans="1:11">
      <c r="A37" s="4" t="str">
        <f>IF(D37="","",COUNTIF($D$5:D37,"?*"))</f>
        <v/>
      </c>
      <c r="B37" s="5"/>
      <c r="C37" s="4" t="str">
        <f>IF(B37="","",INDEX({"Ocak","Şubat","Mart","Nisan","Mayıs","Haziran","Temmuz","Ağustos","Eylül","Ekim","Kasım","Aralık"},MONTH(B37)))</f>
        <v/>
      </c>
      <c r="D37" s="2"/>
      <c r="E37" s="4" t="str">
        <f>IFERROR(INDEX('Araç Tanımlama'!$D$5:$D$200,MATCH(D37,'Araç Tanımlama'!$A$5:$A$200,0)),"")</f>
        <v/>
      </c>
      <c r="F37" s="4" t="str">
        <f>IFERROR(INDEX('Araç Tanımlama'!$E$5:$E$200,MATCH(D37,'Araç Tanımlama'!$A$5:$A$200,0)),"")</f>
        <v/>
      </c>
      <c r="G37" s="2"/>
      <c r="H37" s="7"/>
      <c r="I37" s="9" t="str">
        <f>IF(OR(G37="",H37=""),"",G37*H37)</f>
        <v/>
      </c>
      <c r="J37" s="2"/>
      <c r="K37" s="2"/>
    </row>
    <row r="38" spans="1:11">
      <c r="A38" s="4" t="str">
        <f>IF(D38="","",COUNTIF($D$5:D38,"?*"))</f>
        <v/>
      </c>
      <c r="B38" s="5"/>
      <c r="C38" s="4" t="str">
        <f>IF(B38="","",INDEX({"Ocak","Şubat","Mart","Nisan","Mayıs","Haziran","Temmuz","Ağustos","Eylül","Ekim","Kasım","Aralık"},MONTH(B38)))</f>
        <v/>
      </c>
      <c r="D38" s="2"/>
      <c r="E38" s="4" t="str">
        <f>IFERROR(INDEX('Araç Tanımlama'!$D$5:$D$200,MATCH(D38,'Araç Tanımlama'!$A$5:$A$200,0)),"")</f>
        <v/>
      </c>
      <c r="F38" s="4" t="str">
        <f>IFERROR(INDEX('Araç Tanımlama'!$E$5:$E$200,MATCH(D38,'Araç Tanımlama'!$A$5:$A$200,0)),"")</f>
        <v/>
      </c>
      <c r="G38" s="2"/>
      <c r="H38" s="7"/>
      <c r="I38" s="9" t="str">
        <f>IF(OR(G38="",H38=""),"",G38*H38)</f>
        <v/>
      </c>
      <c r="J38" s="2"/>
      <c r="K38" s="2"/>
    </row>
    <row r="39" spans="1:11">
      <c r="A39" s="4" t="str">
        <f>IF(D39="","",COUNTIF($D$5:D39,"?*"))</f>
        <v/>
      </c>
      <c r="B39" s="5"/>
      <c r="C39" s="4" t="str">
        <f>IF(B39="","",INDEX({"Ocak","Şubat","Mart","Nisan","Mayıs","Haziran","Temmuz","Ağustos","Eylül","Ekim","Kasım","Aralık"},MONTH(B39)))</f>
        <v/>
      </c>
      <c r="D39" s="2"/>
      <c r="E39" s="4" t="str">
        <f>IFERROR(INDEX('Araç Tanımlama'!$D$5:$D$200,MATCH(D39,'Araç Tanımlama'!$A$5:$A$200,0)),"")</f>
        <v/>
      </c>
      <c r="F39" s="4" t="str">
        <f>IFERROR(INDEX('Araç Tanımlama'!$E$5:$E$200,MATCH(D39,'Araç Tanımlama'!$A$5:$A$200,0)),"")</f>
        <v/>
      </c>
      <c r="G39" s="2"/>
      <c r="H39" s="7"/>
      <c r="I39" s="9" t="str">
        <f>IF(OR(G39="",H39=""),"",G39*H39)</f>
        <v/>
      </c>
      <c r="J39" s="2"/>
      <c r="K39" s="2"/>
    </row>
    <row r="40" spans="1:11">
      <c r="A40" s="4" t="str">
        <f>IF(D40="","",COUNTIF($D$5:D40,"?*"))</f>
        <v/>
      </c>
      <c r="B40" s="5"/>
      <c r="C40" s="4" t="str">
        <f>IF(B40="","",INDEX({"Ocak","Şubat","Mart","Nisan","Mayıs","Haziran","Temmuz","Ağustos","Eylül","Ekim","Kasım","Aralık"},MONTH(B40)))</f>
        <v/>
      </c>
      <c r="D40" s="2"/>
      <c r="E40" s="4" t="str">
        <f>IFERROR(INDEX('Araç Tanımlama'!$D$5:$D$200,MATCH(D40,'Araç Tanımlama'!$A$5:$A$200,0)),"")</f>
        <v/>
      </c>
      <c r="F40" s="4" t="str">
        <f>IFERROR(INDEX('Araç Tanımlama'!$E$5:$E$200,MATCH(D40,'Araç Tanımlama'!$A$5:$A$200,0)),"")</f>
        <v/>
      </c>
      <c r="G40" s="2"/>
      <c r="H40" s="7"/>
      <c r="I40" s="9" t="str">
        <f>IF(OR(G40="",H40=""),"",G40*H40)</f>
        <v/>
      </c>
      <c r="J40" s="2"/>
      <c r="K40" s="2"/>
    </row>
    <row r="41" spans="1:11">
      <c r="A41" s="4" t="str">
        <f>IF(D41="","",COUNTIF($D$5:D41,"?*"))</f>
        <v/>
      </c>
      <c r="B41" s="5"/>
      <c r="C41" s="4" t="str">
        <f>IF(B41="","",INDEX({"Ocak","Şubat","Mart","Nisan","Mayıs","Haziran","Temmuz","Ağustos","Eylül","Ekim","Kasım","Aralık"},MONTH(B41)))</f>
        <v/>
      </c>
      <c r="D41" s="2"/>
      <c r="E41" s="4" t="str">
        <f>IFERROR(INDEX('Araç Tanımlama'!$D$5:$D$200,MATCH(D41,'Araç Tanımlama'!$A$5:$A$200,0)),"")</f>
        <v/>
      </c>
      <c r="F41" s="4" t="str">
        <f>IFERROR(INDEX('Araç Tanımlama'!$E$5:$E$200,MATCH(D41,'Araç Tanımlama'!$A$5:$A$200,0)),"")</f>
        <v/>
      </c>
      <c r="G41" s="2"/>
      <c r="H41" s="7"/>
      <c r="I41" s="9" t="str">
        <f>IF(OR(G41="",H41=""),"",G41*H41)</f>
        <v/>
      </c>
      <c r="J41" s="2"/>
      <c r="K41" s="2"/>
    </row>
    <row r="42" spans="1:11">
      <c r="A42" s="4" t="str">
        <f>IF(D42="","",COUNTIF($D$5:D42,"?*"))</f>
        <v/>
      </c>
      <c r="B42" s="5"/>
      <c r="C42" s="4" t="str">
        <f>IF(B42="","",INDEX({"Ocak","Şubat","Mart","Nisan","Mayıs","Haziran","Temmuz","Ağustos","Eylül","Ekim","Kasım","Aralık"},MONTH(B42)))</f>
        <v/>
      </c>
      <c r="D42" s="2"/>
      <c r="E42" s="4" t="str">
        <f>IFERROR(INDEX('Araç Tanımlama'!$D$5:$D$200,MATCH(D42,'Araç Tanımlama'!$A$5:$A$200,0)),"")</f>
        <v/>
      </c>
      <c r="F42" s="4" t="str">
        <f>IFERROR(INDEX('Araç Tanımlama'!$E$5:$E$200,MATCH(D42,'Araç Tanımlama'!$A$5:$A$200,0)),"")</f>
        <v/>
      </c>
      <c r="G42" s="2"/>
      <c r="H42" s="7"/>
      <c r="I42" s="9" t="str">
        <f>IF(OR(G42="",H42=""),"",G42*H42)</f>
        <v/>
      </c>
      <c r="J42" s="2"/>
      <c r="K42" s="2"/>
    </row>
    <row r="43" spans="1:11">
      <c r="A43" s="4" t="str">
        <f>IF(D43="","",COUNTIF($D$5:D43,"?*"))</f>
        <v/>
      </c>
      <c r="B43" s="5"/>
      <c r="C43" s="4" t="str">
        <f>IF(B43="","",INDEX({"Ocak","Şubat","Mart","Nisan","Mayıs","Haziran","Temmuz","Ağustos","Eylül","Ekim","Kasım","Aralık"},MONTH(B43)))</f>
        <v/>
      </c>
      <c r="D43" s="2"/>
      <c r="E43" s="4" t="str">
        <f>IFERROR(INDEX('Araç Tanımlama'!$D$5:$D$200,MATCH(D43,'Araç Tanımlama'!$A$5:$A$200,0)),"")</f>
        <v/>
      </c>
      <c r="F43" s="4" t="str">
        <f>IFERROR(INDEX('Araç Tanımlama'!$E$5:$E$200,MATCH(D43,'Araç Tanımlama'!$A$5:$A$200,0)),"")</f>
        <v/>
      </c>
      <c r="G43" s="2"/>
      <c r="H43" s="7"/>
      <c r="I43" s="9" t="str">
        <f>IF(OR(G43="",H43=""),"",G43*H43)</f>
        <v/>
      </c>
      <c r="J43" s="2"/>
      <c r="K43" s="2"/>
    </row>
    <row r="44" spans="1:11">
      <c r="A44" s="4" t="str">
        <f>IF(D44="","",COUNTIF($D$5:D44,"?*"))</f>
        <v/>
      </c>
      <c r="B44" s="5"/>
      <c r="C44" s="4" t="str">
        <f>IF(B44="","",INDEX({"Ocak","Şubat","Mart","Nisan","Mayıs","Haziran","Temmuz","Ağustos","Eylül","Ekim","Kasım","Aralık"},MONTH(B44)))</f>
        <v/>
      </c>
      <c r="D44" s="2"/>
      <c r="E44" s="4" t="str">
        <f>IFERROR(INDEX('Araç Tanımlama'!$D$5:$D$200,MATCH(D44,'Araç Tanımlama'!$A$5:$A$200,0)),"")</f>
        <v/>
      </c>
      <c r="F44" s="4" t="str">
        <f>IFERROR(INDEX('Araç Tanımlama'!$E$5:$E$200,MATCH(D44,'Araç Tanımlama'!$A$5:$A$200,0)),"")</f>
        <v/>
      </c>
      <c r="G44" s="2"/>
      <c r="H44" s="7"/>
      <c r="I44" s="9" t="str">
        <f>IF(OR(G44="",H44=""),"",G44*H44)</f>
        <v/>
      </c>
      <c r="J44" s="2"/>
      <c r="K44" s="2"/>
    </row>
    <row r="45" spans="1:11">
      <c r="A45" s="4" t="str">
        <f>IF(D45="","",COUNTIF($D$5:D45,"?*"))</f>
        <v/>
      </c>
      <c r="B45" s="5"/>
      <c r="C45" s="4" t="str">
        <f>IF(B45="","",INDEX({"Ocak","Şubat","Mart","Nisan","Mayıs","Haziran","Temmuz","Ağustos","Eylül","Ekim","Kasım","Aralık"},MONTH(B45)))</f>
        <v/>
      </c>
      <c r="D45" s="2"/>
      <c r="E45" s="4" t="str">
        <f>IFERROR(INDEX('Araç Tanımlama'!$D$5:$D$200,MATCH(D45,'Araç Tanımlama'!$A$5:$A$200,0)),"")</f>
        <v/>
      </c>
      <c r="F45" s="4" t="str">
        <f>IFERROR(INDEX('Araç Tanımlama'!$E$5:$E$200,MATCH(D45,'Araç Tanımlama'!$A$5:$A$200,0)),"")</f>
        <v/>
      </c>
      <c r="G45" s="2"/>
      <c r="H45" s="7"/>
      <c r="I45" s="9" t="str">
        <f>IF(OR(G45="",H45=""),"",G45*H45)</f>
        <v/>
      </c>
      <c r="J45" s="2"/>
      <c r="K45" s="2"/>
    </row>
    <row r="46" spans="1:11">
      <c r="A46" s="4" t="str">
        <f>IF(D46="","",COUNTIF($D$5:D46,"?*"))</f>
        <v/>
      </c>
      <c r="B46" s="5"/>
      <c r="C46" s="4" t="str">
        <f>IF(B46="","",INDEX({"Ocak","Şubat","Mart","Nisan","Mayıs","Haziran","Temmuz","Ağustos","Eylül","Ekim","Kasım","Aralık"},MONTH(B46)))</f>
        <v/>
      </c>
      <c r="D46" s="2"/>
      <c r="E46" s="4" t="str">
        <f>IFERROR(INDEX('Araç Tanımlama'!$D$5:$D$200,MATCH(D46,'Araç Tanımlama'!$A$5:$A$200,0)),"")</f>
        <v/>
      </c>
      <c r="F46" s="4" t="str">
        <f>IFERROR(INDEX('Araç Tanımlama'!$E$5:$E$200,MATCH(D46,'Araç Tanımlama'!$A$5:$A$200,0)),"")</f>
        <v/>
      </c>
      <c r="G46" s="2"/>
      <c r="H46" s="7"/>
      <c r="I46" s="9" t="str">
        <f>IF(OR(G46="",H46=""),"",G46*H46)</f>
        <v/>
      </c>
      <c r="J46" s="2"/>
      <c r="K46" s="2"/>
    </row>
    <row r="47" spans="1:11">
      <c r="A47" s="4" t="str">
        <f>IF(D47="","",COUNTIF($D$5:D47,"?*"))</f>
        <v/>
      </c>
      <c r="B47" s="5"/>
      <c r="C47" s="4" t="str">
        <f>IF(B47="","",INDEX({"Ocak","Şubat","Mart","Nisan","Mayıs","Haziran","Temmuz","Ağustos","Eylül","Ekim","Kasım","Aralık"},MONTH(B47)))</f>
        <v/>
      </c>
      <c r="D47" s="2"/>
      <c r="E47" s="4" t="str">
        <f>IFERROR(INDEX('Araç Tanımlama'!$D$5:$D$200,MATCH(D47,'Araç Tanımlama'!$A$5:$A$200,0)),"")</f>
        <v/>
      </c>
      <c r="F47" s="4" t="str">
        <f>IFERROR(INDEX('Araç Tanımlama'!$E$5:$E$200,MATCH(D47,'Araç Tanımlama'!$A$5:$A$200,0)),"")</f>
        <v/>
      </c>
      <c r="G47" s="2"/>
      <c r="H47" s="7"/>
      <c r="I47" s="9" t="str">
        <f>IF(OR(G47="",H47=""),"",G47*H47)</f>
        <v/>
      </c>
      <c r="J47" s="2"/>
      <c r="K47" s="2"/>
    </row>
    <row r="48" spans="1:11">
      <c r="A48" s="4" t="str">
        <f>IF(D48="","",COUNTIF($D$5:D48,"?*"))</f>
        <v/>
      </c>
      <c r="B48" s="5"/>
      <c r="C48" s="4" t="str">
        <f>IF(B48="","",INDEX({"Ocak","Şubat","Mart","Nisan","Mayıs","Haziran","Temmuz","Ağustos","Eylül","Ekim","Kasım","Aralık"},MONTH(B48)))</f>
        <v/>
      </c>
      <c r="D48" s="2"/>
      <c r="E48" s="4" t="str">
        <f>IFERROR(INDEX('Araç Tanımlama'!$D$5:$D$200,MATCH(D48,'Araç Tanımlama'!$A$5:$A$200,0)),"")</f>
        <v/>
      </c>
      <c r="F48" s="4" t="str">
        <f>IFERROR(INDEX('Araç Tanımlama'!$E$5:$E$200,MATCH(D48,'Araç Tanımlama'!$A$5:$A$200,0)),"")</f>
        <v/>
      </c>
      <c r="G48" s="2"/>
      <c r="H48" s="7"/>
      <c r="I48" s="9" t="str">
        <f>IF(OR(G48="",H48=""),"",G48*H48)</f>
        <v/>
      </c>
      <c r="J48" s="2"/>
      <c r="K48" s="2"/>
    </row>
    <row r="49" spans="1:11">
      <c r="A49" s="4" t="str">
        <f>IF(D49="","",COUNTIF($D$5:D49,"?*"))</f>
        <v/>
      </c>
      <c r="B49" s="5"/>
      <c r="C49" s="4" t="str">
        <f>IF(B49="","",INDEX({"Ocak","Şubat","Mart","Nisan","Mayıs","Haziran","Temmuz","Ağustos","Eylül","Ekim","Kasım","Aralık"},MONTH(B49)))</f>
        <v/>
      </c>
      <c r="D49" s="2"/>
      <c r="E49" s="4" t="str">
        <f>IFERROR(INDEX('Araç Tanımlama'!$D$5:$D$200,MATCH(D49,'Araç Tanımlama'!$A$5:$A$200,0)),"")</f>
        <v/>
      </c>
      <c r="F49" s="4" t="str">
        <f>IFERROR(INDEX('Araç Tanımlama'!$E$5:$E$200,MATCH(D49,'Araç Tanımlama'!$A$5:$A$200,0)),"")</f>
        <v/>
      </c>
      <c r="G49" s="2"/>
      <c r="H49" s="7"/>
      <c r="I49" s="9" t="str">
        <f>IF(OR(G49="",H49=""),"",G49*H49)</f>
        <v/>
      </c>
      <c r="J49" s="2"/>
      <c r="K49" s="2"/>
    </row>
    <row r="50" spans="1:11">
      <c r="A50" s="4" t="str">
        <f>IF(D50="","",COUNTIF($D$5:D50,"?*"))</f>
        <v/>
      </c>
      <c r="B50" s="5"/>
      <c r="C50" s="4" t="str">
        <f>IF(B50="","",INDEX({"Ocak","Şubat","Mart","Nisan","Mayıs","Haziran","Temmuz","Ağustos","Eylül","Ekim","Kasım","Aralık"},MONTH(B50)))</f>
        <v/>
      </c>
      <c r="D50" s="2"/>
      <c r="E50" s="4" t="str">
        <f>IFERROR(INDEX('Araç Tanımlama'!$D$5:$D$200,MATCH(D50,'Araç Tanımlama'!$A$5:$A$200,0)),"")</f>
        <v/>
      </c>
      <c r="F50" s="4" t="str">
        <f>IFERROR(INDEX('Araç Tanımlama'!$E$5:$E$200,MATCH(D50,'Araç Tanımlama'!$A$5:$A$200,0)),"")</f>
        <v/>
      </c>
      <c r="G50" s="2"/>
      <c r="H50" s="7"/>
      <c r="I50" s="9" t="str">
        <f>IF(OR(G50="",H50=""),"",G50*H50)</f>
        <v/>
      </c>
      <c r="J50" s="2"/>
      <c r="K50" s="2"/>
    </row>
    <row r="51" spans="1:11">
      <c r="A51" s="4" t="str">
        <f>IF(D51="","",COUNTIF($D$5:D51,"?*"))</f>
        <v/>
      </c>
      <c r="B51" s="5"/>
      <c r="C51" s="4" t="str">
        <f>IF(B51="","",INDEX({"Ocak","Şubat","Mart","Nisan","Mayıs","Haziran","Temmuz","Ağustos","Eylül","Ekim","Kasım","Aralık"},MONTH(B51)))</f>
        <v/>
      </c>
      <c r="D51" s="2"/>
      <c r="E51" s="4" t="str">
        <f>IFERROR(INDEX('Araç Tanımlama'!$D$5:$D$200,MATCH(D51,'Araç Tanımlama'!$A$5:$A$200,0)),"")</f>
        <v/>
      </c>
      <c r="F51" s="4" t="str">
        <f>IFERROR(INDEX('Araç Tanımlama'!$E$5:$E$200,MATCH(D51,'Araç Tanımlama'!$A$5:$A$200,0)),"")</f>
        <v/>
      </c>
      <c r="G51" s="2"/>
      <c r="H51" s="7"/>
      <c r="I51" s="9" t="str">
        <f>IF(OR(G51="",H51=""),"",G51*H51)</f>
        <v/>
      </c>
      <c r="J51" s="2"/>
      <c r="K51" s="2"/>
    </row>
    <row r="52" spans="1:11">
      <c r="A52" s="4" t="str">
        <f>IF(D52="","",COUNTIF($D$5:D52,"?*"))</f>
        <v/>
      </c>
      <c r="B52" s="5"/>
      <c r="C52" s="4" t="str">
        <f>IF(B52="","",INDEX({"Ocak","Şubat","Mart","Nisan","Mayıs","Haziran","Temmuz","Ağustos","Eylül","Ekim","Kasım","Aralık"},MONTH(B52)))</f>
        <v/>
      </c>
      <c r="D52" s="2"/>
      <c r="E52" s="4" t="str">
        <f>IFERROR(INDEX('Araç Tanımlama'!$D$5:$D$200,MATCH(D52,'Araç Tanımlama'!$A$5:$A$200,0)),"")</f>
        <v/>
      </c>
      <c r="F52" s="4" t="str">
        <f>IFERROR(INDEX('Araç Tanımlama'!$E$5:$E$200,MATCH(D52,'Araç Tanımlama'!$A$5:$A$200,0)),"")</f>
        <v/>
      </c>
      <c r="G52" s="2"/>
      <c r="H52" s="7"/>
      <c r="I52" s="9" t="str">
        <f>IF(OR(G52="",H52=""),"",G52*H52)</f>
        <v/>
      </c>
      <c r="J52" s="2"/>
      <c r="K52" s="2"/>
    </row>
    <row r="53" spans="1:11">
      <c r="A53" s="4" t="str">
        <f>IF(D53="","",COUNTIF($D$5:D53,"?*"))</f>
        <v/>
      </c>
      <c r="B53" s="5"/>
      <c r="C53" s="4" t="str">
        <f>IF(B53="","",INDEX({"Ocak","Şubat","Mart","Nisan","Mayıs","Haziran","Temmuz","Ağustos","Eylül","Ekim","Kasım","Aralık"},MONTH(B53)))</f>
        <v/>
      </c>
      <c r="D53" s="2"/>
      <c r="E53" s="4" t="str">
        <f>IFERROR(INDEX('Araç Tanımlama'!$D$5:$D$200,MATCH(D53,'Araç Tanımlama'!$A$5:$A$200,0)),"")</f>
        <v/>
      </c>
      <c r="F53" s="4" t="str">
        <f>IFERROR(INDEX('Araç Tanımlama'!$E$5:$E$200,MATCH(D53,'Araç Tanımlama'!$A$5:$A$200,0)),"")</f>
        <v/>
      </c>
      <c r="G53" s="2"/>
      <c r="H53" s="7"/>
      <c r="I53" s="9" t="str">
        <f>IF(OR(G53="",H53=""),"",G53*H53)</f>
        <v/>
      </c>
      <c r="J53" s="2"/>
      <c r="K53" s="2"/>
    </row>
    <row r="54" spans="1:11">
      <c r="A54" s="4" t="str">
        <f>IF(D54="","",COUNTIF($D$5:D54,"?*"))</f>
        <v/>
      </c>
      <c r="B54" s="5"/>
      <c r="C54" s="4" t="str">
        <f>IF(B54="","",INDEX({"Ocak","Şubat","Mart","Nisan","Mayıs","Haziran","Temmuz","Ağustos","Eylül","Ekim","Kasım","Aralık"},MONTH(B54)))</f>
        <v/>
      </c>
      <c r="D54" s="2"/>
      <c r="E54" s="4" t="str">
        <f>IFERROR(INDEX('Araç Tanımlama'!$D$5:$D$200,MATCH(D54,'Araç Tanımlama'!$A$5:$A$200,0)),"")</f>
        <v/>
      </c>
      <c r="F54" s="4" t="str">
        <f>IFERROR(INDEX('Araç Tanımlama'!$E$5:$E$200,MATCH(D54,'Araç Tanımlama'!$A$5:$A$200,0)),"")</f>
        <v/>
      </c>
      <c r="G54" s="2"/>
      <c r="H54" s="7"/>
      <c r="I54" s="9" t="str">
        <f>IF(OR(G54="",H54=""),"",G54*H54)</f>
        <v/>
      </c>
      <c r="J54" s="2"/>
      <c r="K54" s="2"/>
    </row>
    <row r="55" spans="1:11">
      <c r="A55" s="4" t="str">
        <f>IF(D55="","",COUNTIF($D$5:D55,"?*"))</f>
        <v/>
      </c>
      <c r="B55" s="5"/>
      <c r="C55" s="4" t="str">
        <f>IF(B55="","",INDEX({"Ocak","Şubat","Mart","Nisan","Mayıs","Haziran","Temmuz","Ağustos","Eylül","Ekim","Kasım","Aralık"},MONTH(B55)))</f>
        <v/>
      </c>
      <c r="D55" s="2"/>
      <c r="E55" s="4" t="str">
        <f>IFERROR(INDEX('Araç Tanımlama'!$D$5:$D$200,MATCH(D55,'Araç Tanımlama'!$A$5:$A$200,0)),"")</f>
        <v/>
      </c>
      <c r="F55" s="4" t="str">
        <f>IFERROR(INDEX('Araç Tanımlama'!$E$5:$E$200,MATCH(D55,'Araç Tanımlama'!$A$5:$A$200,0)),"")</f>
        <v/>
      </c>
      <c r="G55" s="2"/>
      <c r="H55" s="7"/>
      <c r="I55" s="9" t="str">
        <f>IF(OR(G55="",H55=""),"",G55*H55)</f>
        <v/>
      </c>
      <c r="J55" s="2"/>
      <c r="K55" s="2"/>
    </row>
    <row r="56" spans="1:11">
      <c r="A56" s="4" t="str">
        <f>IF(D56="","",COUNTIF($D$5:D56,"?*"))</f>
        <v/>
      </c>
      <c r="B56" s="5"/>
      <c r="C56" s="4" t="str">
        <f>IF(B56="","",INDEX({"Ocak","Şubat","Mart","Nisan","Mayıs","Haziran","Temmuz","Ağustos","Eylül","Ekim","Kasım","Aralık"},MONTH(B56)))</f>
        <v/>
      </c>
      <c r="D56" s="2"/>
      <c r="E56" s="4" t="str">
        <f>IFERROR(INDEX('Araç Tanımlama'!$D$5:$D$200,MATCH(D56,'Araç Tanımlama'!$A$5:$A$200,0)),"")</f>
        <v/>
      </c>
      <c r="F56" s="4" t="str">
        <f>IFERROR(INDEX('Araç Tanımlama'!$E$5:$E$200,MATCH(D56,'Araç Tanımlama'!$A$5:$A$200,0)),"")</f>
        <v/>
      </c>
      <c r="G56" s="2"/>
      <c r="H56" s="7"/>
      <c r="I56" s="9" t="str">
        <f>IF(OR(G56="",H56=""),"",G56*H56)</f>
        <v/>
      </c>
      <c r="J56" s="2"/>
      <c r="K56" s="2"/>
    </row>
    <row r="57" spans="1:11">
      <c r="A57" s="4" t="str">
        <f>IF(D57="","",COUNTIF($D$5:D57,"?*"))</f>
        <v/>
      </c>
      <c r="B57" s="5"/>
      <c r="C57" s="4" t="str">
        <f>IF(B57="","",INDEX({"Ocak","Şubat","Mart","Nisan","Mayıs","Haziran","Temmuz","Ağustos","Eylül","Ekim","Kasım","Aralık"},MONTH(B57)))</f>
        <v/>
      </c>
      <c r="D57" s="2"/>
      <c r="E57" s="4" t="str">
        <f>IFERROR(INDEX('Araç Tanımlama'!$D$5:$D$200,MATCH(D57,'Araç Tanımlama'!$A$5:$A$200,0)),"")</f>
        <v/>
      </c>
      <c r="F57" s="4" t="str">
        <f>IFERROR(INDEX('Araç Tanımlama'!$E$5:$E$200,MATCH(D57,'Araç Tanımlama'!$A$5:$A$200,0)),"")</f>
        <v/>
      </c>
      <c r="G57" s="2"/>
      <c r="H57" s="7"/>
      <c r="I57" s="9" t="str">
        <f>IF(OR(G57="",H57=""),"",G57*H57)</f>
        <v/>
      </c>
      <c r="J57" s="2"/>
      <c r="K57" s="2"/>
    </row>
    <row r="58" spans="1:11">
      <c r="A58" s="4" t="str">
        <f>IF(D58="","",COUNTIF($D$5:D58,"?*"))</f>
        <v/>
      </c>
      <c r="B58" s="5"/>
      <c r="C58" s="4" t="str">
        <f>IF(B58="","",INDEX({"Ocak","Şubat","Mart","Nisan","Mayıs","Haziran","Temmuz","Ağustos","Eylül","Ekim","Kasım","Aralık"},MONTH(B58)))</f>
        <v/>
      </c>
      <c r="D58" s="2"/>
      <c r="E58" s="4" t="str">
        <f>IFERROR(INDEX('Araç Tanımlama'!$D$5:$D$200,MATCH(D58,'Araç Tanımlama'!$A$5:$A$200,0)),"")</f>
        <v/>
      </c>
      <c r="F58" s="4" t="str">
        <f>IFERROR(INDEX('Araç Tanımlama'!$E$5:$E$200,MATCH(D58,'Araç Tanımlama'!$A$5:$A$200,0)),"")</f>
        <v/>
      </c>
      <c r="G58" s="2"/>
      <c r="H58" s="7"/>
      <c r="I58" s="9" t="str">
        <f>IF(OR(G58="",H58=""),"",G58*H58)</f>
        <v/>
      </c>
      <c r="J58" s="2"/>
      <c r="K58" s="2"/>
    </row>
    <row r="59" spans="1:11">
      <c r="A59" s="4" t="str">
        <f>IF(D59="","",COUNTIF($D$5:D59,"?*"))</f>
        <v/>
      </c>
      <c r="B59" s="5"/>
      <c r="C59" s="4" t="str">
        <f>IF(B59="","",INDEX({"Ocak","Şubat","Mart","Nisan","Mayıs","Haziran","Temmuz","Ağustos","Eylül","Ekim","Kasım","Aralık"},MONTH(B59)))</f>
        <v/>
      </c>
      <c r="D59" s="2"/>
      <c r="E59" s="4" t="str">
        <f>IFERROR(INDEX('Araç Tanımlama'!$D$5:$D$200,MATCH(D59,'Araç Tanımlama'!$A$5:$A$200,0)),"")</f>
        <v/>
      </c>
      <c r="F59" s="4" t="str">
        <f>IFERROR(INDEX('Araç Tanımlama'!$E$5:$E$200,MATCH(D59,'Araç Tanımlama'!$A$5:$A$200,0)),"")</f>
        <v/>
      </c>
      <c r="G59" s="2"/>
      <c r="H59" s="7"/>
      <c r="I59" s="9" t="str">
        <f>IF(OR(G59="",H59=""),"",G59*H59)</f>
        <v/>
      </c>
      <c r="J59" s="2"/>
      <c r="K59" s="2"/>
    </row>
    <row r="60" spans="1:11">
      <c r="A60" s="4" t="str">
        <f>IF(D60="","",COUNTIF($D$5:D60,"?*"))</f>
        <v/>
      </c>
      <c r="B60" s="5"/>
      <c r="C60" s="4" t="str">
        <f>IF(B60="","",INDEX({"Ocak","Şubat","Mart","Nisan","Mayıs","Haziran","Temmuz","Ağustos","Eylül","Ekim","Kasım","Aralık"},MONTH(B60)))</f>
        <v/>
      </c>
      <c r="D60" s="2"/>
      <c r="E60" s="4" t="str">
        <f>IFERROR(INDEX('Araç Tanımlama'!$D$5:$D$200,MATCH(D60,'Araç Tanımlama'!$A$5:$A$200,0)),"")</f>
        <v/>
      </c>
      <c r="F60" s="4" t="str">
        <f>IFERROR(INDEX('Araç Tanımlama'!$E$5:$E$200,MATCH(D60,'Araç Tanımlama'!$A$5:$A$200,0)),"")</f>
        <v/>
      </c>
      <c r="G60" s="2"/>
      <c r="H60" s="7"/>
      <c r="I60" s="9" t="str">
        <f>IF(OR(G60="",H60=""),"",G60*H60)</f>
        <v/>
      </c>
      <c r="J60" s="2"/>
      <c r="K60" s="2"/>
    </row>
    <row r="61" spans="1:11">
      <c r="A61" s="4" t="str">
        <f>IF(D61="","",COUNTIF($D$5:D61,"?*"))</f>
        <v/>
      </c>
      <c r="B61" s="5"/>
      <c r="C61" s="4" t="str">
        <f>IF(B61="","",INDEX({"Ocak","Şubat","Mart","Nisan","Mayıs","Haziran","Temmuz","Ağustos","Eylül","Ekim","Kasım","Aralık"},MONTH(B61)))</f>
        <v/>
      </c>
      <c r="D61" s="2"/>
      <c r="E61" s="4" t="str">
        <f>IFERROR(INDEX('Araç Tanımlama'!$D$5:$D$200,MATCH(D61,'Araç Tanımlama'!$A$5:$A$200,0)),"")</f>
        <v/>
      </c>
      <c r="F61" s="4" t="str">
        <f>IFERROR(INDEX('Araç Tanımlama'!$E$5:$E$200,MATCH(D61,'Araç Tanımlama'!$A$5:$A$200,0)),"")</f>
        <v/>
      </c>
      <c r="G61" s="2"/>
      <c r="H61" s="7"/>
      <c r="I61" s="9" t="str">
        <f>IF(OR(G61="",H61=""),"",G61*H61)</f>
        <v/>
      </c>
      <c r="J61" s="2"/>
      <c r="K61" s="2"/>
    </row>
    <row r="62" spans="1:11">
      <c r="A62" s="4" t="str">
        <f>IF(D62="","",COUNTIF($D$5:D62,"?*"))</f>
        <v/>
      </c>
      <c r="B62" s="5"/>
      <c r="C62" s="4" t="str">
        <f>IF(B62="","",INDEX({"Ocak","Şubat","Mart","Nisan","Mayıs","Haziran","Temmuz","Ağustos","Eylül","Ekim","Kasım","Aralık"},MONTH(B62)))</f>
        <v/>
      </c>
      <c r="D62" s="2"/>
      <c r="E62" s="4" t="str">
        <f>IFERROR(INDEX('Araç Tanımlama'!$D$5:$D$200,MATCH(D62,'Araç Tanımlama'!$A$5:$A$200,0)),"")</f>
        <v/>
      </c>
      <c r="F62" s="4" t="str">
        <f>IFERROR(INDEX('Araç Tanımlama'!$E$5:$E$200,MATCH(D62,'Araç Tanımlama'!$A$5:$A$200,0)),"")</f>
        <v/>
      </c>
      <c r="G62" s="2"/>
      <c r="H62" s="7"/>
      <c r="I62" s="9" t="str">
        <f>IF(OR(G62="",H62=""),"",G62*H62)</f>
        <v/>
      </c>
      <c r="J62" s="2"/>
      <c r="K62" s="2"/>
    </row>
    <row r="63" spans="1:11">
      <c r="A63" s="4" t="str">
        <f>IF(D63="","",COUNTIF($D$5:D63,"?*"))</f>
        <v/>
      </c>
      <c r="B63" s="5"/>
      <c r="C63" s="4" t="str">
        <f>IF(B63="","",INDEX({"Ocak","Şubat","Mart","Nisan","Mayıs","Haziran","Temmuz","Ağustos","Eylül","Ekim","Kasım","Aralık"},MONTH(B63)))</f>
        <v/>
      </c>
      <c r="D63" s="2"/>
      <c r="E63" s="4" t="str">
        <f>IFERROR(INDEX('Araç Tanımlama'!$D$5:$D$200,MATCH(D63,'Araç Tanımlama'!$A$5:$A$200,0)),"")</f>
        <v/>
      </c>
      <c r="F63" s="4" t="str">
        <f>IFERROR(INDEX('Araç Tanımlama'!$E$5:$E$200,MATCH(D63,'Araç Tanımlama'!$A$5:$A$200,0)),"")</f>
        <v/>
      </c>
      <c r="G63" s="2"/>
      <c r="H63" s="7"/>
      <c r="I63" s="9" t="str">
        <f>IF(OR(G63="",H63=""),"",G63*H63)</f>
        <v/>
      </c>
      <c r="J63" s="2"/>
      <c r="K63" s="2"/>
    </row>
    <row r="64" spans="1:11">
      <c r="A64" s="4" t="str">
        <f>IF(D64="","",COUNTIF($D$5:D64,"?*"))</f>
        <v/>
      </c>
      <c r="B64" s="5"/>
      <c r="C64" s="4" t="str">
        <f>IF(B64="","",INDEX({"Ocak","Şubat","Mart","Nisan","Mayıs","Haziran","Temmuz","Ağustos","Eylül","Ekim","Kasım","Aralık"},MONTH(B64)))</f>
        <v/>
      </c>
      <c r="D64" s="2"/>
      <c r="E64" s="4" t="str">
        <f>IFERROR(INDEX('Araç Tanımlama'!$D$5:$D$200,MATCH(D64,'Araç Tanımlama'!$A$5:$A$200,0)),"")</f>
        <v/>
      </c>
      <c r="F64" s="4" t="str">
        <f>IFERROR(INDEX('Araç Tanımlama'!$E$5:$E$200,MATCH(D64,'Araç Tanımlama'!$A$5:$A$200,0)),"")</f>
        <v/>
      </c>
      <c r="G64" s="2"/>
      <c r="H64" s="7"/>
      <c r="I64" s="9" t="str">
        <f>IF(OR(G64="",H64=""),"",G64*H64)</f>
        <v/>
      </c>
      <c r="J64" s="2"/>
      <c r="K64" s="2"/>
    </row>
    <row r="65" spans="1:11">
      <c r="A65" s="4" t="str">
        <f>IF(D65="","",COUNTIF($D$5:D65,"?*"))</f>
        <v/>
      </c>
      <c r="B65" s="5"/>
      <c r="C65" s="4" t="str">
        <f>IF(B65="","",INDEX({"Ocak","Şubat","Mart","Nisan","Mayıs","Haziran","Temmuz","Ağustos","Eylül","Ekim","Kasım","Aralık"},MONTH(B65)))</f>
        <v/>
      </c>
      <c r="D65" s="2"/>
      <c r="E65" s="4" t="str">
        <f>IFERROR(INDEX('Araç Tanımlama'!$D$5:$D$200,MATCH(D65,'Araç Tanımlama'!$A$5:$A$200,0)),"")</f>
        <v/>
      </c>
      <c r="F65" s="4" t="str">
        <f>IFERROR(INDEX('Araç Tanımlama'!$E$5:$E$200,MATCH(D65,'Araç Tanımlama'!$A$5:$A$200,0)),"")</f>
        <v/>
      </c>
      <c r="G65" s="2"/>
      <c r="H65" s="7"/>
      <c r="I65" s="9" t="str">
        <f>IF(OR(G65="",H65=""),"",G65*H65)</f>
        <v/>
      </c>
      <c r="J65" s="2"/>
      <c r="K65" s="2"/>
    </row>
    <row r="66" spans="1:11">
      <c r="A66" s="4" t="str">
        <f>IF(D66="","",COUNTIF($D$5:D66,"?*"))</f>
        <v/>
      </c>
      <c r="B66" s="5"/>
      <c r="C66" s="4" t="str">
        <f>IF(B66="","",INDEX({"Ocak","Şubat","Mart","Nisan","Mayıs","Haziran","Temmuz","Ağustos","Eylül","Ekim","Kasım","Aralık"},MONTH(B66)))</f>
        <v/>
      </c>
      <c r="D66" s="2"/>
      <c r="E66" s="4" t="str">
        <f>IFERROR(INDEX('Araç Tanımlama'!$D$5:$D$200,MATCH(D66,'Araç Tanımlama'!$A$5:$A$200,0)),"")</f>
        <v/>
      </c>
      <c r="F66" s="4" t="str">
        <f>IFERROR(INDEX('Araç Tanımlama'!$E$5:$E$200,MATCH(D66,'Araç Tanımlama'!$A$5:$A$200,0)),"")</f>
        <v/>
      </c>
      <c r="G66" s="2"/>
      <c r="H66" s="7"/>
      <c r="I66" s="9" t="str">
        <f>IF(OR(G66="",H66=""),"",G66*H66)</f>
        <v/>
      </c>
      <c r="J66" s="2"/>
      <c r="K66" s="2"/>
    </row>
    <row r="67" spans="1:11">
      <c r="A67" s="4" t="str">
        <f>IF(D67="","",COUNTIF($D$5:D67,"?*"))</f>
        <v/>
      </c>
      <c r="B67" s="5"/>
      <c r="C67" s="4" t="str">
        <f>IF(B67="","",INDEX({"Ocak","Şubat","Mart","Nisan","Mayıs","Haziran","Temmuz","Ağustos","Eylül","Ekim","Kasım","Aralık"},MONTH(B67)))</f>
        <v/>
      </c>
      <c r="D67" s="2"/>
      <c r="E67" s="4" t="str">
        <f>IFERROR(INDEX('Araç Tanımlama'!$D$5:$D$200,MATCH(D67,'Araç Tanımlama'!$A$5:$A$200,0)),"")</f>
        <v/>
      </c>
      <c r="F67" s="4" t="str">
        <f>IFERROR(INDEX('Araç Tanımlama'!$E$5:$E$200,MATCH(D67,'Araç Tanımlama'!$A$5:$A$200,0)),"")</f>
        <v/>
      </c>
      <c r="G67" s="2"/>
      <c r="H67" s="7"/>
      <c r="I67" s="9" t="str">
        <f>IF(OR(G67="",H67=""),"",G67*H67)</f>
        <v/>
      </c>
      <c r="J67" s="2"/>
      <c r="K67" s="2"/>
    </row>
    <row r="68" spans="1:11">
      <c r="A68" s="4" t="str">
        <f>IF(D68="","",COUNTIF($D$5:D68,"?*"))</f>
        <v/>
      </c>
      <c r="B68" s="5"/>
      <c r="C68" s="4" t="str">
        <f>IF(B68="","",INDEX({"Ocak","Şubat","Mart","Nisan","Mayıs","Haziran","Temmuz","Ağustos","Eylül","Ekim","Kasım","Aralık"},MONTH(B68)))</f>
        <v/>
      </c>
      <c r="D68" s="2"/>
      <c r="E68" s="4" t="str">
        <f>IFERROR(INDEX('Araç Tanımlama'!$D$5:$D$200,MATCH(D68,'Araç Tanımlama'!$A$5:$A$200,0)),"")</f>
        <v/>
      </c>
      <c r="F68" s="4" t="str">
        <f>IFERROR(INDEX('Araç Tanımlama'!$E$5:$E$200,MATCH(D68,'Araç Tanımlama'!$A$5:$A$200,0)),"")</f>
        <v/>
      </c>
      <c r="G68" s="2"/>
      <c r="H68" s="7"/>
      <c r="I68" s="9" t="str">
        <f>IF(OR(G68="",H68=""),"",G68*H68)</f>
        <v/>
      </c>
      <c r="J68" s="2"/>
      <c r="K68" s="2"/>
    </row>
    <row r="69" spans="1:11">
      <c r="A69" s="4" t="str">
        <f>IF(D69="","",COUNTIF($D$5:D69,"?*"))</f>
        <v/>
      </c>
      <c r="B69" s="5"/>
      <c r="C69" s="4" t="str">
        <f>IF(B69="","",INDEX({"Ocak","Şubat","Mart","Nisan","Mayıs","Haziran","Temmuz","Ağustos","Eylül","Ekim","Kasım","Aralık"},MONTH(B69)))</f>
        <v/>
      </c>
      <c r="D69" s="2"/>
      <c r="E69" s="4" t="str">
        <f>IFERROR(INDEX('Araç Tanımlama'!$D$5:$D$200,MATCH(D69,'Araç Tanımlama'!$A$5:$A$200,0)),"")</f>
        <v/>
      </c>
      <c r="F69" s="4" t="str">
        <f>IFERROR(INDEX('Araç Tanımlama'!$E$5:$E$200,MATCH(D69,'Araç Tanımlama'!$A$5:$A$200,0)),"")</f>
        <v/>
      </c>
      <c r="G69" s="2"/>
      <c r="H69" s="7"/>
      <c r="I69" s="9" t="str">
        <f>IF(OR(G69="",H69=""),"",G69*H69)</f>
        <v/>
      </c>
      <c r="J69" s="2"/>
      <c r="K69" s="2"/>
    </row>
    <row r="70" spans="1:11">
      <c r="A70" s="4" t="str">
        <f>IF(D70="","",COUNTIF($D$5:D70,"?*"))</f>
        <v/>
      </c>
      <c r="B70" s="5"/>
      <c r="C70" s="4" t="str">
        <f>IF(B70="","",INDEX({"Ocak","Şubat","Mart","Nisan","Mayıs","Haziran","Temmuz","Ağustos","Eylül","Ekim","Kasım","Aralık"},MONTH(B70)))</f>
        <v/>
      </c>
      <c r="D70" s="2"/>
      <c r="E70" s="4" t="str">
        <f>IFERROR(INDEX('Araç Tanımlama'!$D$5:$D$200,MATCH(D70,'Araç Tanımlama'!$A$5:$A$200,0)),"")</f>
        <v/>
      </c>
      <c r="F70" s="4" t="str">
        <f>IFERROR(INDEX('Araç Tanımlama'!$E$5:$E$200,MATCH(D70,'Araç Tanımlama'!$A$5:$A$200,0)),"")</f>
        <v/>
      </c>
      <c r="G70" s="2"/>
      <c r="H70" s="7"/>
      <c r="I70" s="9" t="str">
        <f>IF(OR(G70="",H70=""),"",G70*H70)</f>
        <v/>
      </c>
      <c r="J70" s="2"/>
      <c r="K70" s="2"/>
    </row>
    <row r="71" spans="1:11">
      <c r="A71" s="4" t="str">
        <f>IF(D71="","",COUNTIF($D$5:D71,"?*"))</f>
        <v/>
      </c>
      <c r="B71" s="5"/>
      <c r="C71" s="4" t="str">
        <f>IF(B71="","",INDEX({"Ocak","Şubat","Mart","Nisan","Mayıs","Haziran","Temmuz","Ağustos","Eylül","Ekim","Kasım","Aralık"},MONTH(B71)))</f>
        <v/>
      </c>
      <c r="D71" s="2"/>
      <c r="E71" s="4" t="str">
        <f>IFERROR(INDEX('Araç Tanımlama'!$D$5:$D$200,MATCH(D71,'Araç Tanımlama'!$A$5:$A$200,0)),"")</f>
        <v/>
      </c>
      <c r="F71" s="4" t="str">
        <f>IFERROR(INDEX('Araç Tanımlama'!$E$5:$E$200,MATCH(D71,'Araç Tanımlama'!$A$5:$A$200,0)),"")</f>
        <v/>
      </c>
      <c r="G71" s="2"/>
      <c r="H71" s="7"/>
      <c r="I71" s="9" t="str">
        <f>IF(OR(G71="",H71=""),"",G71*H71)</f>
        <v/>
      </c>
      <c r="J71" s="2"/>
      <c r="K71" s="2"/>
    </row>
    <row r="72" spans="1:11">
      <c r="A72" s="4" t="str">
        <f>IF(D72="","",COUNTIF($D$5:D72,"?*"))</f>
        <v/>
      </c>
      <c r="B72" s="5"/>
      <c r="C72" s="4" t="str">
        <f>IF(B72="","",INDEX({"Ocak","Şubat","Mart","Nisan","Mayıs","Haziran","Temmuz","Ağustos","Eylül","Ekim","Kasım","Aralık"},MONTH(B72)))</f>
        <v/>
      </c>
      <c r="D72" s="2"/>
      <c r="E72" s="4" t="str">
        <f>IFERROR(INDEX('Araç Tanımlama'!$D$5:$D$200,MATCH(D72,'Araç Tanımlama'!$A$5:$A$200,0)),"")</f>
        <v/>
      </c>
      <c r="F72" s="4" t="str">
        <f>IFERROR(INDEX('Araç Tanımlama'!$E$5:$E$200,MATCH(D72,'Araç Tanımlama'!$A$5:$A$200,0)),"")</f>
        <v/>
      </c>
      <c r="G72" s="2"/>
      <c r="H72" s="7"/>
      <c r="I72" s="9" t="str">
        <f>IF(OR(G72="",H72=""),"",G72*H72)</f>
        <v/>
      </c>
      <c r="J72" s="2"/>
      <c r="K72" s="2"/>
    </row>
    <row r="73" spans="1:11">
      <c r="A73" s="4" t="str">
        <f>IF(D73="","",COUNTIF($D$5:D73,"?*"))</f>
        <v/>
      </c>
      <c r="B73" s="5"/>
      <c r="C73" s="4" t="str">
        <f>IF(B73="","",INDEX({"Ocak","Şubat","Mart","Nisan","Mayıs","Haziran","Temmuz","Ağustos","Eylül","Ekim","Kasım","Aralık"},MONTH(B73)))</f>
        <v/>
      </c>
      <c r="D73" s="2"/>
      <c r="E73" s="4" t="str">
        <f>IFERROR(INDEX('Araç Tanımlama'!$D$5:$D$200,MATCH(D73,'Araç Tanımlama'!$A$5:$A$200,0)),"")</f>
        <v/>
      </c>
      <c r="F73" s="4" t="str">
        <f>IFERROR(INDEX('Araç Tanımlama'!$E$5:$E$200,MATCH(D73,'Araç Tanımlama'!$A$5:$A$200,0)),"")</f>
        <v/>
      </c>
      <c r="G73" s="2"/>
      <c r="H73" s="7"/>
      <c r="I73" s="9" t="str">
        <f>IF(OR(G73="",H73=""),"",G73*H73)</f>
        <v/>
      </c>
      <c r="J73" s="2"/>
      <c r="K73" s="2"/>
    </row>
    <row r="74" spans="1:11">
      <c r="A74" s="4" t="str">
        <f>IF(D74="","",COUNTIF($D$5:D74,"?*"))</f>
        <v/>
      </c>
      <c r="B74" s="5"/>
      <c r="C74" s="4" t="str">
        <f>IF(B74="","",INDEX({"Ocak","Şubat","Mart","Nisan","Mayıs","Haziran","Temmuz","Ağustos","Eylül","Ekim","Kasım","Aralık"},MONTH(B74)))</f>
        <v/>
      </c>
      <c r="D74" s="2"/>
      <c r="E74" s="4" t="str">
        <f>IFERROR(INDEX('Araç Tanımlama'!$D$5:$D$200,MATCH(D74,'Araç Tanımlama'!$A$5:$A$200,0)),"")</f>
        <v/>
      </c>
      <c r="F74" s="4" t="str">
        <f>IFERROR(INDEX('Araç Tanımlama'!$E$5:$E$200,MATCH(D74,'Araç Tanımlama'!$A$5:$A$200,0)),"")</f>
        <v/>
      </c>
      <c r="G74" s="2"/>
      <c r="H74" s="7"/>
      <c r="I74" s="9" t="str">
        <f>IF(OR(G74="",H74=""),"",G74*H74)</f>
        <v/>
      </c>
      <c r="J74" s="2"/>
      <c r="K74" s="2"/>
    </row>
    <row r="75" spans="1:11">
      <c r="A75" s="4" t="str">
        <f>IF(D75="","",COUNTIF($D$5:D75,"?*"))</f>
        <v/>
      </c>
      <c r="B75" s="5"/>
      <c r="C75" s="4" t="str">
        <f>IF(B75="","",INDEX({"Ocak","Şubat","Mart","Nisan","Mayıs","Haziran","Temmuz","Ağustos","Eylül","Ekim","Kasım","Aralık"},MONTH(B75)))</f>
        <v/>
      </c>
      <c r="D75" s="2"/>
      <c r="E75" s="4" t="str">
        <f>IFERROR(INDEX('Araç Tanımlama'!$D$5:$D$200,MATCH(D75,'Araç Tanımlama'!$A$5:$A$200,0)),"")</f>
        <v/>
      </c>
      <c r="F75" s="4" t="str">
        <f>IFERROR(INDEX('Araç Tanımlama'!$E$5:$E$200,MATCH(D75,'Araç Tanımlama'!$A$5:$A$200,0)),"")</f>
        <v/>
      </c>
      <c r="G75" s="2"/>
      <c r="H75" s="7"/>
      <c r="I75" s="9" t="str">
        <f>IF(OR(G75="",H75=""),"",G75*H75)</f>
        <v/>
      </c>
      <c r="J75" s="2"/>
      <c r="K75" s="2"/>
    </row>
    <row r="76" spans="1:11">
      <c r="A76" s="4" t="str">
        <f>IF(D76="","",COUNTIF($D$5:D76,"?*"))</f>
        <v/>
      </c>
      <c r="B76" s="5"/>
      <c r="C76" s="4" t="str">
        <f>IF(B76="","",INDEX({"Ocak","Şubat","Mart","Nisan","Mayıs","Haziran","Temmuz","Ağustos","Eylül","Ekim","Kasım","Aralık"},MONTH(B76)))</f>
        <v/>
      </c>
      <c r="D76" s="2"/>
      <c r="E76" s="4" t="str">
        <f>IFERROR(INDEX('Araç Tanımlama'!$D$5:$D$200,MATCH(D76,'Araç Tanımlama'!$A$5:$A$200,0)),"")</f>
        <v/>
      </c>
      <c r="F76" s="4" t="str">
        <f>IFERROR(INDEX('Araç Tanımlama'!$E$5:$E$200,MATCH(D76,'Araç Tanımlama'!$A$5:$A$200,0)),"")</f>
        <v/>
      </c>
      <c r="G76" s="2"/>
      <c r="H76" s="7"/>
      <c r="I76" s="9" t="str">
        <f>IF(OR(G76="",H76=""),"",G76*H76)</f>
        <v/>
      </c>
      <c r="J76" s="2"/>
      <c r="K76" s="2"/>
    </row>
    <row r="77" spans="1:11">
      <c r="A77" s="4" t="str">
        <f>IF(D77="","",COUNTIF($D$5:D77,"?*"))</f>
        <v/>
      </c>
      <c r="B77" s="5"/>
      <c r="C77" s="4" t="str">
        <f>IF(B77="","",INDEX({"Ocak","Şubat","Mart","Nisan","Mayıs","Haziran","Temmuz","Ağustos","Eylül","Ekim","Kasım","Aralık"},MONTH(B77)))</f>
        <v/>
      </c>
      <c r="D77" s="2"/>
      <c r="E77" s="4" t="str">
        <f>IFERROR(INDEX('Araç Tanımlama'!$D$5:$D$200,MATCH(D77,'Araç Tanımlama'!$A$5:$A$200,0)),"")</f>
        <v/>
      </c>
      <c r="F77" s="4" t="str">
        <f>IFERROR(INDEX('Araç Tanımlama'!$E$5:$E$200,MATCH(D77,'Araç Tanımlama'!$A$5:$A$200,0)),"")</f>
        <v/>
      </c>
      <c r="G77" s="2"/>
      <c r="H77" s="7"/>
      <c r="I77" s="9" t="str">
        <f>IF(OR(G77="",H77=""),"",G77*H77)</f>
        <v/>
      </c>
      <c r="J77" s="2"/>
      <c r="K77" s="2"/>
    </row>
    <row r="78" spans="1:11">
      <c r="A78" s="4" t="str">
        <f>IF(D78="","",COUNTIF($D$5:D78,"?*"))</f>
        <v/>
      </c>
      <c r="B78" s="5"/>
      <c r="C78" s="4" t="str">
        <f>IF(B78="","",INDEX({"Ocak","Şubat","Mart","Nisan","Mayıs","Haziran","Temmuz","Ağustos","Eylül","Ekim","Kasım","Aralık"},MONTH(B78)))</f>
        <v/>
      </c>
      <c r="D78" s="2"/>
      <c r="E78" s="4" t="str">
        <f>IFERROR(INDEX('Araç Tanımlama'!$D$5:$D$200,MATCH(D78,'Araç Tanımlama'!$A$5:$A$200,0)),"")</f>
        <v/>
      </c>
      <c r="F78" s="4" t="str">
        <f>IFERROR(INDEX('Araç Tanımlama'!$E$5:$E$200,MATCH(D78,'Araç Tanımlama'!$A$5:$A$200,0)),"")</f>
        <v/>
      </c>
      <c r="G78" s="2"/>
      <c r="H78" s="7"/>
      <c r="I78" s="9" t="str">
        <f>IF(OR(G78="",H78=""),"",G78*H78)</f>
        <v/>
      </c>
      <c r="J78" s="2"/>
      <c r="K78" s="2"/>
    </row>
    <row r="79" spans="1:11">
      <c r="A79" s="4" t="str">
        <f>IF(D79="","",COUNTIF($D$5:D79,"?*"))</f>
        <v/>
      </c>
      <c r="B79" s="5"/>
      <c r="C79" s="4" t="str">
        <f>IF(B79="","",INDEX({"Ocak","Şubat","Mart","Nisan","Mayıs","Haziran","Temmuz","Ağustos","Eylül","Ekim","Kasım","Aralık"},MONTH(B79)))</f>
        <v/>
      </c>
      <c r="D79" s="2"/>
      <c r="E79" s="4" t="str">
        <f>IFERROR(INDEX('Araç Tanımlama'!$D$5:$D$200,MATCH(D79,'Araç Tanımlama'!$A$5:$A$200,0)),"")</f>
        <v/>
      </c>
      <c r="F79" s="4" t="str">
        <f>IFERROR(INDEX('Araç Tanımlama'!$E$5:$E$200,MATCH(D79,'Araç Tanımlama'!$A$5:$A$200,0)),"")</f>
        <v/>
      </c>
      <c r="G79" s="2"/>
      <c r="H79" s="7"/>
      <c r="I79" s="9" t="str">
        <f>IF(OR(G79="",H79=""),"",G79*H79)</f>
        <v/>
      </c>
      <c r="J79" s="2"/>
      <c r="K79" s="2"/>
    </row>
    <row r="80" spans="1:11">
      <c r="A80" s="4" t="str">
        <f>IF(D80="","",COUNTIF($D$5:D80,"?*"))</f>
        <v/>
      </c>
      <c r="B80" s="5"/>
      <c r="C80" s="4" t="str">
        <f>IF(B80="","",INDEX({"Ocak","Şubat","Mart","Nisan","Mayıs","Haziran","Temmuz","Ağustos","Eylül","Ekim","Kasım","Aralık"},MONTH(B80)))</f>
        <v/>
      </c>
      <c r="D80" s="2"/>
      <c r="E80" s="4" t="str">
        <f>IFERROR(INDEX('Araç Tanımlama'!$D$5:$D$200,MATCH(D80,'Araç Tanımlama'!$A$5:$A$200,0)),"")</f>
        <v/>
      </c>
      <c r="F80" s="4" t="str">
        <f>IFERROR(INDEX('Araç Tanımlama'!$E$5:$E$200,MATCH(D80,'Araç Tanımlama'!$A$5:$A$200,0)),"")</f>
        <v/>
      </c>
      <c r="G80" s="2"/>
      <c r="H80" s="7"/>
      <c r="I80" s="9" t="str">
        <f>IF(OR(G80="",H80=""),"",G80*H80)</f>
        <v/>
      </c>
      <c r="J80" s="2"/>
      <c r="K80" s="2"/>
    </row>
    <row r="81" spans="1:11">
      <c r="A81" s="4" t="str">
        <f>IF(D81="","",COUNTIF($D$5:D81,"?*"))</f>
        <v/>
      </c>
      <c r="B81" s="5"/>
      <c r="C81" s="4" t="str">
        <f>IF(B81="","",INDEX({"Ocak","Şubat","Mart","Nisan","Mayıs","Haziran","Temmuz","Ağustos","Eylül","Ekim","Kasım","Aralık"},MONTH(B81)))</f>
        <v/>
      </c>
      <c r="D81" s="2"/>
      <c r="E81" s="4" t="str">
        <f>IFERROR(INDEX('Araç Tanımlama'!$D$5:$D$200,MATCH(D81,'Araç Tanımlama'!$A$5:$A$200,0)),"")</f>
        <v/>
      </c>
      <c r="F81" s="4" t="str">
        <f>IFERROR(INDEX('Araç Tanımlama'!$E$5:$E$200,MATCH(D81,'Araç Tanımlama'!$A$5:$A$200,0)),"")</f>
        <v/>
      </c>
      <c r="G81" s="2"/>
      <c r="H81" s="7"/>
      <c r="I81" s="9" t="str">
        <f>IF(OR(G81="",H81=""),"",G81*H81)</f>
        <v/>
      </c>
      <c r="J81" s="2"/>
      <c r="K81" s="2"/>
    </row>
    <row r="82" spans="1:11">
      <c r="A82" s="4" t="str">
        <f>IF(D82="","",COUNTIF($D$5:D82,"?*"))</f>
        <v/>
      </c>
      <c r="B82" s="5"/>
      <c r="C82" s="4" t="str">
        <f>IF(B82="","",INDEX({"Ocak","Şubat","Mart","Nisan","Mayıs","Haziran","Temmuz","Ağustos","Eylül","Ekim","Kasım","Aralık"},MONTH(B82)))</f>
        <v/>
      </c>
      <c r="D82" s="2"/>
      <c r="E82" s="4" t="str">
        <f>IFERROR(INDEX('Araç Tanımlama'!$D$5:$D$200,MATCH(D82,'Araç Tanımlama'!$A$5:$A$200,0)),"")</f>
        <v/>
      </c>
      <c r="F82" s="4" t="str">
        <f>IFERROR(INDEX('Araç Tanımlama'!$E$5:$E$200,MATCH(D82,'Araç Tanımlama'!$A$5:$A$200,0)),"")</f>
        <v/>
      </c>
      <c r="G82" s="2"/>
      <c r="H82" s="7"/>
      <c r="I82" s="9" t="str">
        <f>IF(OR(G82="",H82=""),"",G82*H82)</f>
        <v/>
      </c>
      <c r="J82" s="2"/>
      <c r="K82" s="2"/>
    </row>
    <row r="83" spans="1:11">
      <c r="A83" s="4" t="str">
        <f>IF(D83="","",COUNTIF($D$5:D83,"?*"))</f>
        <v/>
      </c>
      <c r="B83" s="5"/>
      <c r="C83" s="4" t="str">
        <f>IF(B83="","",INDEX({"Ocak","Şubat","Mart","Nisan","Mayıs","Haziran","Temmuz","Ağustos","Eylül","Ekim","Kasım","Aralık"},MONTH(B83)))</f>
        <v/>
      </c>
      <c r="D83" s="2"/>
      <c r="E83" s="4" t="str">
        <f>IFERROR(INDEX('Araç Tanımlama'!$D$5:$D$200,MATCH(D83,'Araç Tanımlama'!$A$5:$A$200,0)),"")</f>
        <v/>
      </c>
      <c r="F83" s="4" t="str">
        <f>IFERROR(INDEX('Araç Tanımlama'!$E$5:$E$200,MATCH(D83,'Araç Tanımlama'!$A$5:$A$200,0)),"")</f>
        <v/>
      </c>
      <c r="G83" s="2"/>
      <c r="H83" s="7"/>
      <c r="I83" s="9" t="str">
        <f>IF(OR(G83="",H83=""),"",G83*H83)</f>
        <v/>
      </c>
      <c r="J83" s="2"/>
      <c r="K83" s="2"/>
    </row>
    <row r="84" spans="1:11">
      <c r="A84" s="4" t="str">
        <f>IF(D84="","",COUNTIF($D$5:D84,"?*"))</f>
        <v/>
      </c>
      <c r="B84" s="5"/>
      <c r="C84" s="4" t="str">
        <f>IF(B84="","",INDEX({"Ocak","Şubat","Mart","Nisan","Mayıs","Haziran","Temmuz","Ağustos","Eylül","Ekim","Kasım","Aralık"},MONTH(B84)))</f>
        <v/>
      </c>
      <c r="D84" s="2"/>
      <c r="E84" s="4" t="str">
        <f>IFERROR(INDEX('Araç Tanımlama'!$D$5:$D$200,MATCH(D84,'Araç Tanımlama'!$A$5:$A$200,0)),"")</f>
        <v/>
      </c>
      <c r="F84" s="4" t="str">
        <f>IFERROR(INDEX('Araç Tanımlama'!$E$5:$E$200,MATCH(D84,'Araç Tanımlama'!$A$5:$A$200,0)),"")</f>
        <v/>
      </c>
      <c r="G84" s="2"/>
      <c r="H84" s="7"/>
      <c r="I84" s="9" t="str">
        <f>IF(OR(G84="",H84=""),"",G84*H84)</f>
        <v/>
      </c>
      <c r="J84" s="2"/>
      <c r="K84" s="2"/>
    </row>
    <row r="85" spans="1:11">
      <c r="A85" s="4" t="str">
        <f>IF(D85="","",COUNTIF($D$5:D85,"?*"))</f>
        <v/>
      </c>
      <c r="B85" s="5"/>
      <c r="C85" s="4" t="str">
        <f>IF(B85="","",INDEX({"Ocak","Şubat","Mart","Nisan","Mayıs","Haziran","Temmuz","Ağustos","Eylül","Ekim","Kasım","Aralık"},MONTH(B85)))</f>
        <v/>
      </c>
      <c r="D85" s="2"/>
      <c r="E85" s="4" t="str">
        <f>IFERROR(INDEX('Araç Tanımlama'!$D$5:$D$200,MATCH(D85,'Araç Tanımlama'!$A$5:$A$200,0)),"")</f>
        <v/>
      </c>
      <c r="F85" s="4" t="str">
        <f>IFERROR(INDEX('Araç Tanımlama'!$E$5:$E$200,MATCH(D85,'Araç Tanımlama'!$A$5:$A$200,0)),"")</f>
        <v/>
      </c>
      <c r="G85" s="2"/>
      <c r="H85" s="7"/>
      <c r="I85" s="9" t="str">
        <f>IF(OR(G85="",H85=""),"",G85*H85)</f>
        <v/>
      </c>
      <c r="J85" s="2"/>
      <c r="K85" s="2"/>
    </row>
    <row r="86" spans="1:11">
      <c r="A86" s="4" t="str">
        <f>IF(D86="","",COUNTIF($D$5:D86,"?*"))</f>
        <v/>
      </c>
      <c r="B86" s="5"/>
      <c r="C86" s="4" t="str">
        <f>IF(B86="","",INDEX({"Ocak","Şubat","Mart","Nisan","Mayıs","Haziran","Temmuz","Ağustos","Eylül","Ekim","Kasım","Aralık"},MONTH(B86)))</f>
        <v/>
      </c>
      <c r="D86" s="2"/>
      <c r="E86" s="4" t="str">
        <f>IFERROR(INDEX('Araç Tanımlama'!$D$5:$D$200,MATCH(D86,'Araç Tanımlama'!$A$5:$A$200,0)),"")</f>
        <v/>
      </c>
      <c r="F86" s="4" t="str">
        <f>IFERROR(INDEX('Araç Tanımlama'!$E$5:$E$200,MATCH(D86,'Araç Tanımlama'!$A$5:$A$200,0)),"")</f>
        <v/>
      </c>
      <c r="G86" s="2"/>
      <c r="H86" s="7"/>
      <c r="I86" s="9" t="str">
        <f>IF(OR(G86="",H86=""),"",G86*H86)</f>
        <v/>
      </c>
      <c r="J86" s="2"/>
      <c r="K86" s="2"/>
    </row>
    <row r="87" spans="1:11">
      <c r="A87" s="4" t="str">
        <f>IF(D87="","",COUNTIF($D$5:D87,"?*"))</f>
        <v/>
      </c>
      <c r="B87" s="5"/>
      <c r="C87" s="4" t="str">
        <f>IF(B87="","",INDEX({"Ocak","Şubat","Mart","Nisan","Mayıs","Haziran","Temmuz","Ağustos","Eylül","Ekim","Kasım","Aralık"},MONTH(B87)))</f>
        <v/>
      </c>
      <c r="D87" s="2"/>
      <c r="E87" s="4" t="str">
        <f>IFERROR(INDEX('Araç Tanımlama'!$D$5:$D$200,MATCH(D87,'Araç Tanımlama'!$A$5:$A$200,0)),"")</f>
        <v/>
      </c>
      <c r="F87" s="4" t="str">
        <f>IFERROR(INDEX('Araç Tanımlama'!$E$5:$E$200,MATCH(D87,'Araç Tanımlama'!$A$5:$A$200,0)),"")</f>
        <v/>
      </c>
      <c r="G87" s="2"/>
      <c r="H87" s="7"/>
      <c r="I87" s="9" t="str">
        <f>IF(OR(G87="",H87=""),"",G87*H87)</f>
        <v/>
      </c>
      <c r="J87" s="2"/>
      <c r="K87" s="2"/>
    </row>
    <row r="88" spans="1:11">
      <c r="A88" s="4" t="str">
        <f>IF(D88="","",COUNTIF($D$5:D88,"?*"))</f>
        <v/>
      </c>
      <c r="B88" s="5"/>
      <c r="C88" s="4" t="str">
        <f>IF(B88="","",INDEX({"Ocak","Şubat","Mart","Nisan","Mayıs","Haziran","Temmuz","Ağustos","Eylül","Ekim","Kasım","Aralık"},MONTH(B88)))</f>
        <v/>
      </c>
      <c r="D88" s="2"/>
      <c r="E88" s="4" t="str">
        <f>IFERROR(INDEX('Araç Tanımlama'!$D$5:$D$200,MATCH(D88,'Araç Tanımlama'!$A$5:$A$200,0)),"")</f>
        <v/>
      </c>
      <c r="F88" s="4" t="str">
        <f>IFERROR(INDEX('Araç Tanımlama'!$E$5:$E$200,MATCH(D88,'Araç Tanımlama'!$A$5:$A$200,0)),"")</f>
        <v/>
      </c>
      <c r="G88" s="2"/>
      <c r="H88" s="7"/>
      <c r="I88" s="9" t="str">
        <f>IF(OR(G88="",H88=""),"",G88*H88)</f>
        <v/>
      </c>
      <c r="J88" s="2"/>
      <c r="K88" s="2"/>
    </row>
    <row r="89" spans="1:11">
      <c r="A89" s="4" t="str">
        <f>IF(D89="","",COUNTIF($D$5:D89,"?*"))</f>
        <v/>
      </c>
      <c r="B89" s="5"/>
      <c r="C89" s="4" t="str">
        <f>IF(B89="","",INDEX({"Ocak","Şubat","Mart","Nisan","Mayıs","Haziran","Temmuz","Ağustos","Eylül","Ekim","Kasım","Aralık"},MONTH(B89)))</f>
        <v/>
      </c>
      <c r="D89" s="2"/>
      <c r="E89" s="4" t="str">
        <f>IFERROR(INDEX('Araç Tanımlama'!$D$5:$D$200,MATCH(D89,'Araç Tanımlama'!$A$5:$A$200,0)),"")</f>
        <v/>
      </c>
      <c r="F89" s="4" t="str">
        <f>IFERROR(INDEX('Araç Tanımlama'!$E$5:$E$200,MATCH(D89,'Araç Tanımlama'!$A$5:$A$200,0)),"")</f>
        <v/>
      </c>
      <c r="G89" s="2"/>
      <c r="H89" s="7"/>
      <c r="I89" s="9" t="str">
        <f>IF(OR(G89="",H89=""),"",G89*H89)</f>
        <v/>
      </c>
      <c r="J89" s="2"/>
      <c r="K89" s="2"/>
    </row>
    <row r="90" spans="1:11">
      <c r="A90" s="4" t="str">
        <f>IF(D90="","",COUNTIF($D$5:D90,"?*"))</f>
        <v/>
      </c>
      <c r="B90" s="5"/>
      <c r="C90" s="4" t="str">
        <f>IF(B90="","",INDEX({"Ocak","Şubat","Mart","Nisan","Mayıs","Haziran","Temmuz","Ağustos","Eylül","Ekim","Kasım","Aralık"},MONTH(B90)))</f>
        <v/>
      </c>
      <c r="D90" s="2"/>
      <c r="E90" s="4" t="str">
        <f>IFERROR(INDEX('Araç Tanımlama'!$D$5:$D$200,MATCH(D90,'Araç Tanımlama'!$A$5:$A$200,0)),"")</f>
        <v/>
      </c>
      <c r="F90" s="4" t="str">
        <f>IFERROR(INDEX('Araç Tanımlama'!$E$5:$E$200,MATCH(D90,'Araç Tanımlama'!$A$5:$A$200,0)),"")</f>
        <v/>
      </c>
      <c r="G90" s="2"/>
      <c r="H90" s="7"/>
      <c r="I90" s="9" t="str">
        <f>IF(OR(G90="",H90=""),"",G90*H90)</f>
        <v/>
      </c>
      <c r="J90" s="2"/>
      <c r="K90" s="2"/>
    </row>
    <row r="91" spans="1:11">
      <c r="A91" s="4" t="str">
        <f>IF(D91="","",COUNTIF($D$5:D91,"?*"))</f>
        <v/>
      </c>
      <c r="B91" s="5"/>
      <c r="C91" s="4" t="str">
        <f>IF(B91="","",INDEX({"Ocak","Şubat","Mart","Nisan","Mayıs","Haziran","Temmuz","Ağustos","Eylül","Ekim","Kasım","Aralık"},MONTH(B91)))</f>
        <v/>
      </c>
      <c r="D91" s="2"/>
      <c r="E91" s="4" t="str">
        <f>IFERROR(INDEX('Araç Tanımlama'!$D$5:$D$200,MATCH(D91,'Araç Tanımlama'!$A$5:$A$200,0)),"")</f>
        <v/>
      </c>
      <c r="F91" s="4" t="str">
        <f>IFERROR(INDEX('Araç Tanımlama'!$E$5:$E$200,MATCH(D91,'Araç Tanımlama'!$A$5:$A$200,0)),"")</f>
        <v/>
      </c>
      <c r="G91" s="2"/>
      <c r="H91" s="7"/>
      <c r="I91" s="9" t="str">
        <f>IF(OR(G91="",H91=""),"",G91*H91)</f>
        <v/>
      </c>
      <c r="J91" s="2"/>
      <c r="K91" s="2"/>
    </row>
    <row r="92" spans="1:11">
      <c r="A92" s="4" t="str">
        <f>IF(D92="","",COUNTIF($D$5:D92,"?*"))</f>
        <v/>
      </c>
      <c r="B92" s="5"/>
      <c r="C92" s="4" t="str">
        <f>IF(B92="","",INDEX({"Ocak","Şubat","Mart","Nisan","Mayıs","Haziran","Temmuz","Ağustos","Eylül","Ekim","Kasım","Aralık"},MONTH(B92)))</f>
        <v/>
      </c>
      <c r="D92" s="2"/>
      <c r="E92" s="4" t="str">
        <f>IFERROR(INDEX('Araç Tanımlama'!$D$5:$D$200,MATCH(D92,'Araç Tanımlama'!$A$5:$A$200,0)),"")</f>
        <v/>
      </c>
      <c r="F92" s="4" t="str">
        <f>IFERROR(INDEX('Araç Tanımlama'!$E$5:$E$200,MATCH(D92,'Araç Tanımlama'!$A$5:$A$200,0)),"")</f>
        <v/>
      </c>
      <c r="G92" s="2"/>
      <c r="H92" s="7"/>
      <c r="I92" s="9" t="str">
        <f>IF(OR(G92="",H92=""),"",G92*H92)</f>
        <v/>
      </c>
      <c r="J92" s="2"/>
      <c r="K92" s="2"/>
    </row>
    <row r="93" spans="1:11">
      <c r="A93" s="4" t="str">
        <f>IF(D93="","",COUNTIF($D$5:D93,"?*"))</f>
        <v/>
      </c>
      <c r="B93" s="5"/>
      <c r="C93" s="4" t="str">
        <f>IF(B93="","",INDEX({"Ocak","Şubat","Mart","Nisan","Mayıs","Haziran","Temmuz","Ağustos","Eylül","Ekim","Kasım","Aralık"},MONTH(B93)))</f>
        <v/>
      </c>
      <c r="D93" s="2"/>
      <c r="E93" s="4" t="str">
        <f>IFERROR(INDEX('Araç Tanımlama'!$D$5:$D$200,MATCH(D93,'Araç Tanımlama'!$A$5:$A$200,0)),"")</f>
        <v/>
      </c>
      <c r="F93" s="4" t="str">
        <f>IFERROR(INDEX('Araç Tanımlama'!$E$5:$E$200,MATCH(D93,'Araç Tanımlama'!$A$5:$A$200,0)),"")</f>
        <v/>
      </c>
      <c r="G93" s="2"/>
      <c r="H93" s="7"/>
      <c r="I93" s="9" t="str">
        <f>IF(OR(G93="",H93=""),"",G93*H93)</f>
        <v/>
      </c>
      <c r="J93" s="2"/>
      <c r="K93" s="2"/>
    </row>
    <row r="94" spans="1:11">
      <c r="A94" s="4" t="str">
        <f>IF(D94="","",COUNTIF($D$5:D94,"?*"))</f>
        <v/>
      </c>
      <c r="B94" s="5"/>
      <c r="C94" s="4" t="str">
        <f>IF(B94="","",INDEX({"Ocak","Şubat","Mart","Nisan","Mayıs","Haziran","Temmuz","Ağustos","Eylül","Ekim","Kasım","Aralık"},MONTH(B94)))</f>
        <v/>
      </c>
      <c r="D94" s="2"/>
      <c r="E94" s="4" t="str">
        <f>IFERROR(INDEX('Araç Tanımlama'!$D$5:$D$200,MATCH(D94,'Araç Tanımlama'!$A$5:$A$200,0)),"")</f>
        <v/>
      </c>
      <c r="F94" s="4" t="str">
        <f>IFERROR(INDEX('Araç Tanımlama'!$E$5:$E$200,MATCH(D94,'Araç Tanımlama'!$A$5:$A$200,0)),"")</f>
        <v/>
      </c>
      <c r="G94" s="2"/>
      <c r="H94" s="7"/>
      <c r="I94" s="9" t="str">
        <f>IF(OR(G94="",H94=""),"",G94*H94)</f>
        <v/>
      </c>
      <c r="J94" s="2"/>
      <c r="K94" s="2"/>
    </row>
    <row r="95" spans="1:11">
      <c r="A95" s="4" t="str">
        <f>IF(D95="","",COUNTIF($D$5:D95,"?*"))</f>
        <v/>
      </c>
      <c r="B95" s="5"/>
      <c r="C95" s="4" t="str">
        <f>IF(B95="","",INDEX({"Ocak","Şubat","Mart","Nisan","Mayıs","Haziran","Temmuz","Ağustos","Eylül","Ekim","Kasım","Aralık"},MONTH(B95)))</f>
        <v/>
      </c>
      <c r="D95" s="2"/>
      <c r="E95" s="4" t="str">
        <f>IFERROR(INDEX('Araç Tanımlama'!$D$5:$D$200,MATCH(D95,'Araç Tanımlama'!$A$5:$A$200,0)),"")</f>
        <v/>
      </c>
      <c r="F95" s="4" t="str">
        <f>IFERROR(INDEX('Araç Tanımlama'!$E$5:$E$200,MATCH(D95,'Araç Tanımlama'!$A$5:$A$200,0)),"")</f>
        <v/>
      </c>
      <c r="G95" s="2"/>
      <c r="H95" s="7"/>
      <c r="I95" s="9" t="str">
        <f>IF(OR(G95="",H95=""),"",G95*H95)</f>
        <v/>
      </c>
      <c r="J95" s="2"/>
      <c r="K95" s="2"/>
    </row>
    <row r="96" spans="1:11">
      <c r="A96" s="4" t="str">
        <f>IF(D96="","",COUNTIF($D$5:D96,"?*"))</f>
        <v/>
      </c>
      <c r="B96" s="5"/>
      <c r="C96" s="4" t="str">
        <f>IF(B96="","",INDEX({"Ocak","Şubat","Mart","Nisan","Mayıs","Haziran","Temmuz","Ağustos","Eylül","Ekim","Kasım","Aralık"},MONTH(B96)))</f>
        <v/>
      </c>
      <c r="D96" s="2"/>
      <c r="E96" s="4" t="str">
        <f>IFERROR(INDEX('Araç Tanımlama'!$D$5:$D$200,MATCH(D96,'Araç Tanımlama'!$A$5:$A$200,0)),"")</f>
        <v/>
      </c>
      <c r="F96" s="4" t="str">
        <f>IFERROR(INDEX('Araç Tanımlama'!$E$5:$E$200,MATCH(D96,'Araç Tanımlama'!$A$5:$A$200,0)),"")</f>
        <v/>
      </c>
      <c r="G96" s="2"/>
      <c r="H96" s="7"/>
      <c r="I96" s="9" t="str">
        <f>IF(OR(G96="",H96=""),"",G96*H96)</f>
        <v/>
      </c>
      <c r="J96" s="2"/>
      <c r="K96" s="2"/>
    </row>
    <row r="97" spans="1:11">
      <c r="A97" s="4" t="str">
        <f>IF(D97="","",COUNTIF($D$5:D97,"?*"))</f>
        <v/>
      </c>
      <c r="B97" s="5"/>
      <c r="C97" s="4" t="str">
        <f>IF(B97="","",INDEX({"Ocak","Şubat","Mart","Nisan","Mayıs","Haziran","Temmuz","Ağustos","Eylül","Ekim","Kasım","Aralık"},MONTH(B97)))</f>
        <v/>
      </c>
      <c r="D97" s="2"/>
      <c r="E97" s="4" t="str">
        <f>IFERROR(INDEX('Araç Tanımlama'!$D$5:$D$200,MATCH(D97,'Araç Tanımlama'!$A$5:$A$200,0)),"")</f>
        <v/>
      </c>
      <c r="F97" s="4" t="str">
        <f>IFERROR(INDEX('Araç Tanımlama'!$E$5:$E$200,MATCH(D97,'Araç Tanımlama'!$A$5:$A$200,0)),"")</f>
        <v/>
      </c>
      <c r="G97" s="2"/>
      <c r="H97" s="7"/>
      <c r="I97" s="9" t="str">
        <f>IF(OR(G97="",H97=""),"",G97*H97)</f>
        <v/>
      </c>
      <c r="J97" s="2"/>
      <c r="K97" s="2"/>
    </row>
    <row r="98" spans="1:11">
      <c r="A98" s="4" t="str">
        <f>IF(D98="","",COUNTIF($D$5:D98,"?*"))</f>
        <v/>
      </c>
      <c r="B98" s="5"/>
      <c r="C98" s="4" t="str">
        <f>IF(B98="","",INDEX({"Ocak","Şubat","Mart","Nisan","Mayıs","Haziran","Temmuz","Ağustos","Eylül","Ekim","Kasım","Aralık"},MONTH(B98)))</f>
        <v/>
      </c>
      <c r="D98" s="2"/>
      <c r="E98" s="4" t="str">
        <f>IFERROR(INDEX('Araç Tanımlama'!$D$5:$D$200,MATCH(D98,'Araç Tanımlama'!$A$5:$A$200,0)),"")</f>
        <v/>
      </c>
      <c r="F98" s="4" t="str">
        <f>IFERROR(INDEX('Araç Tanımlama'!$E$5:$E$200,MATCH(D98,'Araç Tanımlama'!$A$5:$A$200,0)),"")</f>
        <v/>
      </c>
      <c r="G98" s="2"/>
      <c r="H98" s="7"/>
      <c r="I98" s="9" t="str">
        <f>IF(OR(G98="",H98=""),"",G98*H98)</f>
        <v/>
      </c>
      <c r="J98" s="2"/>
      <c r="K98" s="2"/>
    </row>
    <row r="99" spans="1:11">
      <c r="A99" s="4" t="str">
        <f>IF(D99="","",COUNTIF($D$5:D99,"?*"))</f>
        <v/>
      </c>
      <c r="B99" s="5"/>
      <c r="C99" s="4" t="str">
        <f>IF(B99="","",INDEX({"Ocak","Şubat","Mart","Nisan","Mayıs","Haziran","Temmuz","Ağustos","Eylül","Ekim","Kasım","Aralık"},MONTH(B99)))</f>
        <v/>
      </c>
      <c r="D99" s="2"/>
      <c r="E99" s="4" t="str">
        <f>IFERROR(INDEX('Araç Tanımlama'!$D$5:$D$200,MATCH(D99,'Araç Tanımlama'!$A$5:$A$200,0)),"")</f>
        <v/>
      </c>
      <c r="F99" s="4" t="str">
        <f>IFERROR(INDEX('Araç Tanımlama'!$E$5:$E$200,MATCH(D99,'Araç Tanımlama'!$A$5:$A$200,0)),"")</f>
        <v/>
      </c>
      <c r="G99" s="2"/>
      <c r="H99" s="7"/>
      <c r="I99" s="9" t="str">
        <f>IF(OR(G99="",H99=""),"",G99*H99)</f>
        <v/>
      </c>
      <c r="J99" s="2"/>
      <c r="K99" s="2"/>
    </row>
    <row r="100" spans="1:11">
      <c r="A100" s="4" t="str">
        <f>IF(D100="","",COUNTIF($D$5:D100,"?*"))</f>
        <v/>
      </c>
      <c r="B100" s="5"/>
      <c r="C100" s="4" t="str">
        <f>IF(B100="","",INDEX({"Ocak","Şubat","Mart","Nisan","Mayıs","Haziran","Temmuz","Ağustos","Eylül","Ekim","Kasım","Aralık"},MONTH(B100)))</f>
        <v/>
      </c>
      <c r="D100" s="2"/>
      <c r="E100" s="4" t="str">
        <f>IFERROR(INDEX('Araç Tanımlama'!$D$5:$D$200,MATCH(D100,'Araç Tanımlama'!$A$5:$A$200,0)),"")</f>
        <v/>
      </c>
      <c r="F100" s="4" t="str">
        <f>IFERROR(INDEX('Araç Tanımlama'!$E$5:$E$200,MATCH(D100,'Araç Tanımlama'!$A$5:$A$200,0)),"")</f>
        <v/>
      </c>
      <c r="G100" s="2"/>
      <c r="H100" s="7"/>
      <c r="I100" s="9" t="str">
        <f>IF(OR(G100="",H100=""),"",G100*H100)</f>
        <v/>
      </c>
      <c r="J100" s="2"/>
      <c r="K100" s="2"/>
    </row>
    <row r="101" spans="1:11">
      <c r="A101" s="4" t="str">
        <f>IF(D101="","",COUNTIF($D$5:D101,"?*"))</f>
        <v/>
      </c>
      <c r="B101" s="5"/>
      <c r="C101" s="4" t="str">
        <f>IF(B101="","",INDEX({"Ocak","Şubat","Mart","Nisan","Mayıs","Haziran","Temmuz","Ağustos","Eylül","Ekim","Kasım","Aralık"},MONTH(B101)))</f>
        <v/>
      </c>
      <c r="D101" s="2"/>
      <c r="E101" s="4" t="str">
        <f>IFERROR(INDEX('Araç Tanımlama'!$D$5:$D$200,MATCH(D101,'Araç Tanımlama'!$A$5:$A$200,0)),"")</f>
        <v/>
      </c>
      <c r="F101" s="4" t="str">
        <f>IFERROR(INDEX('Araç Tanımlama'!$E$5:$E$200,MATCH(D101,'Araç Tanımlama'!$A$5:$A$200,0)),"")</f>
        <v/>
      </c>
      <c r="G101" s="2"/>
      <c r="H101" s="7"/>
      <c r="I101" s="9" t="str">
        <f>IF(OR(G101="",H101=""),"",G101*H101)</f>
        <v/>
      </c>
      <c r="J101" s="2"/>
      <c r="K101" s="2"/>
    </row>
    <row r="102" spans="1:11">
      <c r="A102" s="4" t="str">
        <f>IF(D102="","",COUNTIF($D$5:D102,"?*"))</f>
        <v/>
      </c>
      <c r="B102" s="5"/>
      <c r="C102" s="4" t="str">
        <f>IF(B102="","",INDEX({"Ocak","Şubat","Mart","Nisan","Mayıs","Haziran","Temmuz","Ağustos","Eylül","Ekim","Kasım","Aralık"},MONTH(B102)))</f>
        <v/>
      </c>
      <c r="D102" s="2"/>
      <c r="E102" s="4" t="str">
        <f>IFERROR(INDEX('Araç Tanımlama'!$D$5:$D$200,MATCH(D102,'Araç Tanımlama'!$A$5:$A$200,0)),"")</f>
        <v/>
      </c>
      <c r="F102" s="4" t="str">
        <f>IFERROR(INDEX('Araç Tanımlama'!$E$5:$E$200,MATCH(D102,'Araç Tanımlama'!$A$5:$A$200,0)),"")</f>
        <v/>
      </c>
      <c r="G102" s="2"/>
      <c r="H102" s="7"/>
      <c r="I102" s="9" t="str">
        <f>IF(OR(G102="",H102=""),"",G102*H102)</f>
        <v/>
      </c>
      <c r="J102" s="2"/>
      <c r="K102" s="2"/>
    </row>
    <row r="103" spans="1:11">
      <c r="A103" s="4" t="str">
        <f>IF(D103="","",COUNTIF($D$5:D103,"?*"))</f>
        <v/>
      </c>
      <c r="B103" s="5"/>
      <c r="C103" s="4" t="str">
        <f>IF(B103="","",INDEX({"Ocak","Şubat","Mart","Nisan","Mayıs","Haziran","Temmuz","Ağustos","Eylül","Ekim","Kasım","Aralık"},MONTH(B103)))</f>
        <v/>
      </c>
      <c r="D103" s="2"/>
      <c r="E103" s="4" t="str">
        <f>IFERROR(INDEX('Araç Tanımlama'!$D$5:$D$200,MATCH(D103,'Araç Tanımlama'!$A$5:$A$200,0)),"")</f>
        <v/>
      </c>
      <c r="F103" s="4" t="str">
        <f>IFERROR(INDEX('Araç Tanımlama'!$E$5:$E$200,MATCH(D103,'Araç Tanımlama'!$A$5:$A$200,0)),"")</f>
        <v/>
      </c>
      <c r="G103" s="2"/>
      <c r="H103" s="7"/>
      <c r="I103" s="9" t="str">
        <f>IF(OR(G103="",H103=""),"",G103*H103)</f>
        <v/>
      </c>
      <c r="J103" s="2"/>
      <c r="K103" s="2"/>
    </row>
    <row r="104" spans="1:11">
      <c r="A104" s="4" t="str">
        <f>IF(D104="","",COUNTIF($D$5:D104,"?*"))</f>
        <v/>
      </c>
      <c r="B104" s="5"/>
      <c r="C104" s="4" t="str">
        <f>IF(B104="","",INDEX({"Ocak","Şubat","Mart","Nisan","Mayıs","Haziran","Temmuz","Ağustos","Eylül","Ekim","Kasım","Aralık"},MONTH(B104)))</f>
        <v/>
      </c>
      <c r="D104" s="2"/>
      <c r="E104" s="4" t="str">
        <f>IFERROR(INDEX('Araç Tanımlama'!$D$5:$D$200,MATCH(D104,'Araç Tanımlama'!$A$5:$A$200,0)),"")</f>
        <v/>
      </c>
      <c r="F104" s="4" t="str">
        <f>IFERROR(INDEX('Araç Tanımlama'!$E$5:$E$200,MATCH(D104,'Araç Tanımlama'!$A$5:$A$200,0)),"")</f>
        <v/>
      </c>
      <c r="G104" s="2"/>
      <c r="H104" s="7"/>
      <c r="I104" s="9" t="str">
        <f>IF(OR(G104="",H104=""),"",G104*H104)</f>
        <v/>
      </c>
      <c r="J104" s="2"/>
      <c r="K104" s="2"/>
    </row>
    <row r="105" spans="1:11">
      <c r="A105" s="4" t="str">
        <f>IF(D105="","",COUNTIF($D$5:D105,"?*"))</f>
        <v/>
      </c>
      <c r="B105" s="5"/>
      <c r="C105" s="4" t="str">
        <f>IF(B105="","",INDEX({"Ocak","Şubat","Mart","Nisan","Mayıs","Haziran","Temmuz","Ağustos","Eylül","Ekim","Kasım","Aralık"},MONTH(B105)))</f>
        <v/>
      </c>
      <c r="D105" s="2"/>
      <c r="E105" s="4" t="str">
        <f>IFERROR(INDEX('Araç Tanımlama'!$D$5:$D$200,MATCH(D105,'Araç Tanımlama'!$A$5:$A$200,0)),"")</f>
        <v/>
      </c>
      <c r="F105" s="4" t="str">
        <f>IFERROR(INDEX('Araç Tanımlama'!$E$5:$E$200,MATCH(D105,'Araç Tanımlama'!$A$5:$A$200,0)),"")</f>
        <v/>
      </c>
      <c r="G105" s="2"/>
      <c r="H105" s="7"/>
      <c r="I105" s="9" t="str">
        <f>IF(OR(G105="",H105=""),"",G105*H105)</f>
        <v/>
      </c>
      <c r="J105" s="2"/>
      <c r="K105" s="2"/>
    </row>
    <row r="106" spans="1:11">
      <c r="A106" s="4" t="str">
        <f>IF(D106="","",COUNTIF($D$5:D106,"?*"))</f>
        <v/>
      </c>
      <c r="B106" s="5"/>
      <c r="C106" s="4" t="str">
        <f>IF(B106="","",INDEX({"Ocak","Şubat","Mart","Nisan","Mayıs","Haziran","Temmuz","Ağustos","Eylül","Ekim","Kasım","Aralık"},MONTH(B106)))</f>
        <v/>
      </c>
      <c r="D106" s="2"/>
      <c r="E106" s="4" t="str">
        <f>IFERROR(INDEX('Araç Tanımlama'!$D$5:$D$200,MATCH(D106,'Araç Tanımlama'!$A$5:$A$200,0)),"")</f>
        <v/>
      </c>
      <c r="F106" s="4" t="str">
        <f>IFERROR(INDEX('Araç Tanımlama'!$E$5:$E$200,MATCH(D106,'Araç Tanımlama'!$A$5:$A$200,0)),"")</f>
        <v/>
      </c>
      <c r="G106" s="2"/>
      <c r="H106" s="7"/>
      <c r="I106" s="9" t="str">
        <f>IF(OR(G106="",H106=""),"",G106*H106)</f>
        <v/>
      </c>
      <c r="J106" s="2"/>
      <c r="K106" s="2"/>
    </row>
    <row r="107" spans="1:11">
      <c r="A107" s="4" t="str">
        <f>IF(D107="","",COUNTIF($D$5:D107,"?*"))</f>
        <v/>
      </c>
      <c r="B107" s="5"/>
      <c r="C107" s="4" t="str">
        <f>IF(B107="","",INDEX({"Ocak","Şubat","Mart","Nisan","Mayıs","Haziran","Temmuz","Ağustos","Eylül","Ekim","Kasım","Aralık"},MONTH(B107)))</f>
        <v/>
      </c>
      <c r="D107" s="2"/>
      <c r="E107" s="4" t="str">
        <f>IFERROR(INDEX('Araç Tanımlama'!$D$5:$D$200,MATCH(D107,'Araç Tanımlama'!$A$5:$A$200,0)),"")</f>
        <v/>
      </c>
      <c r="F107" s="4" t="str">
        <f>IFERROR(INDEX('Araç Tanımlama'!$E$5:$E$200,MATCH(D107,'Araç Tanımlama'!$A$5:$A$200,0)),"")</f>
        <v/>
      </c>
      <c r="G107" s="2"/>
      <c r="H107" s="7"/>
      <c r="I107" s="9" t="str">
        <f>IF(OR(G107="",H107=""),"",G107*H107)</f>
        <v/>
      </c>
      <c r="J107" s="2"/>
      <c r="K107" s="2"/>
    </row>
    <row r="108" spans="1:11">
      <c r="A108" s="4" t="str">
        <f>IF(D108="","",COUNTIF($D$5:D108,"?*"))</f>
        <v/>
      </c>
      <c r="B108" s="5"/>
      <c r="C108" s="4" t="str">
        <f>IF(B108="","",INDEX({"Ocak","Şubat","Mart","Nisan","Mayıs","Haziran","Temmuz","Ağustos","Eylül","Ekim","Kasım","Aralık"},MONTH(B108)))</f>
        <v/>
      </c>
      <c r="D108" s="2"/>
      <c r="E108" s="4" t="str">
        <f>IFERROR(INDEX('Araç Tanımlama'!$D$5:$D$200,MATCH(D108,'Araç Tanımlama'!$A$5:$A$200,0)),"")</f>
        <v/>
      </c>
      <c r="F108" s="4" t="str">
        <f>IFERROR(INDEX('Araç Tanımlama'!$E$5:$E$200,MATCH(D108,'Araç Tanımlama'!$A$5:$A$200,0)),"")</f>
        <v/>
      </c>
      <c r="G108" s="2"/>
      <c r="H108" s="7"/>
      <c r="I108" s="9" t="str">
        <f>IF(OR(G108="",H108=""),"",G108*H108)</f>
        <v/>
      </c>
      <c r="J108" s="2"/>
      <c r="K108" s="2"/>
    </row>
    <row r="109" spans="1:11">
      <c r="A109" s="4" t="str">
        <f>IF(D109="","",COUNTIF($D$5:D109,"?*"))</f>
        <v/>
      </c>
      <c r="B109" s="5"/>
      <c r="C109" s="4" t="str">
        <f>IF(B109="","",INDEX({"Ocak","Şubat","Mart","Nisan","Mayıs","Haziran","Temmuz","Ağustos","Eylül","Ekim","Kasım","Aralık"},MONTH(B109)))</f>
        <v/>
      </c>
      <c r="D109" s="2"/>
      <c r="E109" s="4" t="str">
        <f>IFERROR(INDEX('Araç Tanımlama'!$D$5:$D$200,MATCH(D109,'Araç Tanımlama'!$A$5:$A$200,0)),"")</f>
        <v/>
      </c>
      <c r="F109" s="4" t="str">
        <f>IFERROR(INDEX('Araç Tanımlama'!$E$5:$E$200,MATCH(D109,'Araç Tanımlama'!$A$5:$A$200,0)),"")</f>
        <v/>
      </c>
      <c r="G109" s="2"/>
      <c r="H109" s="7"/>
      <c r="I109" s="9" t="str">
        <f>IF(OR(G109="",H109=""),"",G109*H109)</f>
        <v/>
      </c>
      <c r="J109" s="2"/>
      <c r="K109" s="2"/>
    </row>
    <row r="110" spans="1:11">
      <c r="A110" s="4" t="str">
        <f>IF(D110="","",COUNTIF($D$5:D110,"?*"))</f>
        <v/>
      </c>
      <c r="B110" s="5"/>
      <c r="C110" s="4" t="str">
        <f>IF(B110="","",INDEX({"Ocak","Şubat","Mart","Nisan","Mayıs","Haziran","Temmuz","Ağustos","Eylül","Ekim","Kasım","Aralık"},MONTH(B110)))</f>
        <v/>
      </c>
      <c r="D110" s="2"/>
      <c r="E110" s="4" t="str">
        <f>IFERROR(INDEX('Araç Tanımlama'!$D$5:$D$200,MATCH(D110,'Araç Tanımlama'!$A$5:$A$200,0)),"")</f>
        <v/>
      </c>
      <c r="F110" s="4" t="str">
        <f>IFERROR(INDEX('Araç Tanımlama'!$E$5:$E$200,MATCH(D110,'Araç Tanımlama'!$A$5:$A$200,0)),"")</f>
        <v/>
      </c>
      <c r="G110" s="2"/>
      <c r="H110" s="7"/>
      <c r="I110" s="9" t="str">
        <f>IF(OR(G110="",H110=""),"",G110*H110)</f>
        <v/>
      </c>
      <c r="J110" s="2"/>
      <c r="K110" s="2"/>
    </row>
    <row r="111" spans="1:11">
      <c r="A111" s="4" t="str">
        <f>IF(D111="","",COUNTIF($D$5:D111,"?*"))</f>
        <v/>
      </c>
      <c r="B111" s="5"/>
      <c r="C111" s="4" t="str">
        <f>IF(B111="","",INDEX({"Ocak","Şubat","Mart","Nisan","Mayıs","Haziran","Temmuz","Ağustos","Eylül","Ekim","Kasım","Aralık"},MONTH(B111)))</f>
        <v/>
      </c>
      <c r="D111" s="2"/>
      <c r="E111" s="4" t="str">
        <f>IFERROR(INDEX('Araç Tanımlama'!$D$5:$D$200,MATCH(D111,'Araç Tanımlama'!$A$5:$A$200,0)),"")</f>
        <v/>
      </c>
      <c r="F111" s="4" t="str">
        <f>IFERROR(INDEX('Araç Tanımlama'!$E$5:$E$200,MATCH(D111,'Araç Tanımlama'!$A$5:$A$200,0)),"")</f>
        <v/>
      </c>
      <c r="G111" s="2"/>
      <c r="H111" s="7"/>
      <c r="I111" s="9" t="str">
        <f>IF(OR(G111="",H111=""),"",G111*H111)</f>
        <v/>
      </c>
      <c r="J111" s="2"/>
      <c r="K111" s="2"/>
    </row>
    <row r="112" spans="1:11">
      <c r="A112" s="4" t="str">
        <f>IF(D112="","",COUNTIF($D$5:D112,"?*"))</f>
        <v/>
      </c>
      <c r="B112" s="5"/>
      <c r="C112" s="4" t="str">
        <f>IF(B112="","",INDEX({"Ocak","Şubat","Mart","Nisan","Mayıs","Haziran","Temmuz","Ağustos","Eylül","Ekim","Kasım","Aralık"},MONTH(B112)))</f>
        <v/>
      </c>
      <c r="D112" s="2"/>
      <c r="E112" s="4" t="str">
        <f>IFERROR(INDEX('Araç Tanımlama'!$D$5:$D$200,MATCH(D112,'Araç Tanımlama'!$A$5:$A$200,0)),"")</f>
        <v/>
      </c>
      <c r="F112" s="4" t="str">
        <f>IFERROR(INDEX('Araç Tanımlama'!$E$5:$E$200,MATCH(D112,'Araç Tanımlama'!$A$5:$A$200,0)),"")</f>
        <v/>
      </c>
      <c r="G112" s="2"/>
      <c r="H112" s="7"/>
      <c r="I112" s="9" t="str">
        <f>IF(OR(G112="",H112=""),"",G112*H112)</f>
        <v/>
      </c>
      <c r="J112" s="2"/>
      <c r="K112" s="2"/>
    </row>
    <row r="113" spans="1:11">
      <c r="A113" s="4" t="str">
        <f>IF(D113="","",COUNTIF($D$5:D113,"?*"))</f>
        <v/>
      </c>
      <c r="B113" s="5"/>
      <c r="C113" s="4" t="str">
        <f>IF(B113="","",INDEX({"Ocak","Şubat","Mart","Nisan","Mayıs","Haziran","Temmuz","Ağustos","Eylül","Ekim","Kasım","Aralık"},MONTH(B113)))</f>
        <v/>
      </c>
      <c r="D113" s="2"/>
      <c r="E113" s="4" t="str">
        <f>IFERROR(INDEX('Araç Tanımlama'!$D$5:$D$200,MATCH(D113,'Araç Tanımlama'!$A$5:$A$200,0)),"")</f>
        <v/>
      </c>
      <c r="F113" s="4" t="str">
        <f>IFERROR(INDEX('Araç Tanımlama'!$E$5:$E$200,MATCH(D113,'Araç Tanımlama'!$A$5:$A$200,0)),"")</f>
        <v/>
      </c>
      <c r="G113" s="2"/>
      <c r="H113" s="7"/>
      <c r="I113" s="9" t="str">
        <f>IF(OR(G113="",H113=""),"",G113*H113)</f>
        <v/>
      </c>
      <c r="J113" s="2"/>
      <c r="K113" s="2"/>
    </row>
    <row r="114" spans="1:11">
      <c r="A114" s="4" t="str">
        <f>IF(D114="","",COUNTIF($D$5:D114,"?*"))</f>
        <v/>
      </c>
      <c r="B114" s="5"/>
      <c r="C114" s="4" t="str">
        <f>IF(B114="","",INDEX({"Ocak","Şubat","Mart","Nisan","Mayıs","Haziran","Temmuz","Ağustos","Eylül","Ekim","Kasım","Aralık"},MONTH(B114)))</f>
        <v/>
      </c>
      <c r="D114" s="2"/>
      <c r="E114" s="4" t="str">
        <f>IFERROR(INDEX('Araç Tanımlama'!$D$5:$D$200,MATCH(D114,'Araç Tanımlama'!$A$5:$A$200,0)),"")</f>
        <v/>
      </c>
      <c r="F114" s="4" t="str">
        <f>IFERROR(INDEX('Araç Tanımlama'!$E$5:$E$200,MATCH(D114,'Araç Tanımlama'!$A$5:$A$200,0)),"")</f>
        <v/>
      </c>
      <c r="G114" s="2"/>
      <c r="H114" s="7"/>
      <c r="I114" s="9" t="str">
        <f>IF(OR(G114="",H114=""),"",G114*H114)</f>
        <v/>
      </c>
      <c r="J114" s="2"/>
      <c r="K114" s="2"/>
    </row>
    <row r="115" spans="1:11">
      <c r="A115" s="4" t="str">
        <f>IF(D115="","",COUNTIF($D$5:D115,"?*"))</f>
        <v/>
      </c>
      <c r="B115" s="5"/>
      <c r="C115" s="4" t="str">
        <f>IF(B115="","",INDEX({"Ocak","Şubat","Mart","Nisan","Mayıs","Haziran","Temmuz","Ağustos","Eylül","Ekim","Kasım","Aralık"},MONTH(B115)))</f>
        <v/>
      </c>
      <c r="D115" s="2"/>
      <c r="E115" s="4" t="str">
        <f>IFERROR(INDEX('Araç Tanımlama'!$D$5:$D$200,MATCH(D115,'Araç Tanımlama'!$A$5:$A$200,0)),"")</f>
        <v/>
      </c>
      <c r="F115" s="4" t="str">
        <f>IFERROR(INDEX('Araç Tanımlama'!$E$5:$E$200,MATCH(D115,'Araç Tanımlama'!$A$5:$A$200,0)),"")</f>
        <v/>
      </c>
      <c r="G115" s="2"/>
      <c r="H115" s="7"/>
      <c r="I115" s="9" t="str">
        <f>IF(OR(G115="",H115=""),"",G115*H115)</f>
        <v/>
      </c>
      <c r="J115" s="2"/>
      <c r="K115" s="2"/>
    </row>
    <row r="116" spans="1:11">
      <c r="A116" s="4" t="str">
        <f>IF(D116="","",COUNTIF($D$5:D116,"?*"))</f>
        <v/>
      </c>
      <c r="B116" s="5"/>
      <c r="C116" s="4" t="str">
        <f>IF(B116="","",INDEX({"Ocak","Şubat","Mart","Nisan","Mayıs","Haziran","Temmuz","Ağustos","Eylül","Ekim","Kasım","Aralık"},MONTH(B116)))</f>
        <v/>
      </c>
      <c r="D116" s="2"/>
      <c r="E116" s="4" t="str">
        <f>IFERROR(INDEX('Araç Tanımlama'!$D$5:$D$200,MATCH(D116,'Araç Tanımlama'!$A$5:$A$200,0)),"")</f>
        <v/>
      </c>
      <c r="F116" s="4" t="str">
        <f>IFERROR(INDEX('Araç Tanımlama'!$E$5:$E$200,MATCH(D116,'Araç Tanımlama'!$A$5:$A$200,0)),"")</f>
        <v/>
      </c>
      <c r="G116" s="2"/>
      <c r="H116" s="7"/>
      <c r="I116" s="9" t="str">
        <f>IF(OR(G116="",H116=""),"",G116*H116)</f>
        <v/>
      </c>
      <c r="J116" s="2"/>
      <c r="K116" s="2"/>
    </row>
    <row r="117" spans="1:11">
      <c r="A117" s="4" t="str">
        <f>IF(D117="","",COUNTIF($D$5:D117,"?*"))</f>
        <v/>
      </c>
      <c r="B117" s="5"/>
      <c r="C117" s="4" t="str">
        <f>IF(B117="","",INDEX({"Ocak","Şubat","Mart","Nisan","Mayıs","Haziran","Temmuz","Ağustos","Eylül","Ekim","Kasım","Aralık"},MONTH(B117)))</f>
        <v/>
      </c>
      <c r="D117" s="2"/>
      <c r="E117" s="4" t="str">
        <f>IFERROR(INDEX('Araç Tanımlama'!$D$5:$D$200,MATCH(D117,'Araç Tanımlama'!$A$5:$A$200,0)),"")</f>
        <v/>
      </c>
      <c r="F117" s="4" t="str">
        <f>IFERROR(INDEX('Araç Tanımlama'!$E$5:$E$200,MATCH(D117,'Araç Tanımlama'!$A$5:$A$200,0)),"")</f>
        <v/>
      </c>
      <c r="G117" s="2"/>
      <c r="H117" s="7"/>
      <c r="I117" s="9" t="str">
        <f>IF(OR(G117="",H117=""),"",G117*H117)</f>
        <v/>
      </c>
      <c r="J117" s="2"/>
      <c r="K117" s="2"/>
    </row>
    <row r="118" spans="1:11">
      <c r="A118" s="4" t="str">
        <f>IF(D118="","",COUNTIF($D$5:D118,"?*"))</f>
        <v/>
      </c>
      <c r="B118" s="5"/>
      <c r="C118" s="4" t="str">
        <f>IF(B118="","",INDEX({"Ocak","Şubat","Mart","Nisan","Mayıs","Haziran","Temmuz","Ağustos","Eylül","Ekim","Kasım","Aralık"},MONTH(B118)))</f>
        <v/>
      </c>
      <c r="D118" s="2"/>
      <c r="E118" s="4" t="str">
        <f>IFERROR(INDEX('Araç Tanımlama'!$D$5:$D$200,MATCH(D118,'Araç Tanımlama'!$A$5:$A$200,0)),"")</f>
        <v/>
      </c>
      <c r="F118" s="4" t="str">
        <f>IFERROR(INDEX('Araç Tanımlama'!$E$5:$E$200,MATCH(D118,'Araç Tanımlama'!$A$5:$A$200,0)),"")</f>
        <v/>
      </c>
      <c r="G118" s="2"/>
      <c r="H118" s="7"/>
      <c r="I118" s="9" t="str">
        <f>IF(OR(G118="",H118=""),"",G118*H118)</f>
        <v/>
      </c>
      <c r="J118" s="2"/>
      <c r="K118" s="2"/>
    </row>
    <row r="119" spans="1:11">
      <c r="A119" s="4" t="str">
        <f>IF(D119="","",COUNTIF($D$5:D119,"?*"))</f>
        <v/>
      </c>
      <c r="B119" s="5"/>
      <c r="C119" s="4" t="str">
        <f>IF(B119="","",INDEX({"Ocak","Şubat","Mart","Nisan","Mayıs","Haziran","Temmuz","Ağustos","Eylül","Ekim","Kasım","Aralık"},MONTH(B119)))</f>
        <v/>
      </c>
      <c r="D119" s="2"/>
      <c r="E119" s="4" t="str">
        <f>IFERROR(INDEX('Araç Tanımlama'!$D$5:$D$200,MATCH(D119,'Araç Tanımlama'!$A$5:$A$200,0)),"")</f>
        <v/>
      </c>
      <c r="F119" s="4" t="str">
        <f>IFERROR(INDEX('Araç Tanımlama'!$E$5:$E$200,MATCH(D119,'Araç Tanımlama'!$A$5:$A$200,0)),"")</f>
        <v/>
      </c>
      <c r="G119" s="2"/>
      <c r="H119" s="7"/>
      <c r="I119" s="9" t="str">
        <f>IF(OR(G119="",H119=""),"",G119*H119)</f>
        <v/>
      </c>
      <c r="J119" s="2"/>
      <c r="K119" s="2"/>
    </row>
    <row r="120" spans="1:11">
      <c r="A120" s="4" t="str">
        <f>IF(D120="","",COUNTIF($D$5:D120,"?*"))</f>
        <v/>
      </c>
      <c r="B120" s="5"/>
      <c r="C120" s="4" t="str">
        <f>IF(B120="","",INDEX({"Ocak","Şubat","Mart","Nisan","Mayıs","Haziran","Temmuz","Ağustos","Eylül","Ekim","Kasım","Aralık"},MONTH(B120)))</f>
        <v/>
      </c>
      <c r="D120" s="2"/>
      <c r="E120" s="4" t="str">
        <f>IFERROR(INDEX('Araç Tanımlama'!$D$5:$D$200,MATCH(D120,'Araç Tanımlama'!$A$5:$A$200,0)),"")</f>
        <v/>
      </c>
      <c r="F120" s="4" t="str">
        <f>IFERROR(INDEX('Araç Tanımlama'!$E$5:$E$200,MATCH(D120,'Araç Tanımlama'!$A$5:$A$200,0)),"")</f>
        <v/>
      </c>
      <c r="G120" s="2"/>
      <c r="H120" s="7"/>
      <c r="I120" s="9" t="str">
        <f>IF(OR(G120="",H120=""),"",G120*H120)</f>
        <v/>
      </c>
      <c r="J120" s="2"/>
      <c r="K120" s="2"/>
    </row>
    <row r="121" spans="1:11">
      <c r="A121" s="4" t="str">
        <f>IF(D121="","",COUNTIF($D$5:D121,"?*"))</f>
        <v/>
      </c>
      <c r="B121" s="5"/>
      <c r="C121" s="4" t="str">
        <f>IF(B121="","",INDEX({"Ocak","Şubat","Mart","Nisan","Mayıs","Haziran","Temmuz","Ağustos","Eylül","Ekim","Kasım","Aralık"},MONTH(B121)))</f>
        <v/>
      </c>
      <c r="D121" s="2"/>
      <c r="E121" s="4" t="str">
        <f>IFERROR(INDEX('Araç Tanımlama'!$D$5:$D$200,MATCH(D121,'Araç Tanımlama'!$A$5:$A$200,0)),"")</f>
        <v/>
      </c>
      <c r="F121" s="4" t="str">
        <f>IFERROR(INDEX('Araç Tanımlama'!$E$5:$E$200,MATCH(D121,'Araç Tanımlama'!$A$5:$A$200,0)),"")</f>
        <v/>
      </c>
      <c r="G121" s="2"/>
      <c r="H121" s="7"/>
      <c r="I121" s="9" t="str">
        <f>IF(OR(G121="",H121=""),"",G121*H121)</f>
        <v/>
      </c>
      <c r="J121" s="2"/>
      <c r="K121" s="2"/>
    </row>
    <row r="122" spans="1:11">
      <c r="A122" s="4" t="str">
        <f>IF(D122="","",COUNTIF($D$5:D122,"?*"))</f>
        <v/>
      </c>
      <c r="B122" s="5"/>
      <c r="C122" s="4" t="str">
        <f>IF(B122="","",INDEX({"Ocak","Şubat","Mart","Nisan","Mayıs","Haziran","Temmuz","Ağustos","Eylül","Ekim","Kasım","Aralık"},MONTH(B122)))</f>
        <v/>
      </c>
      <c r="D122" s="2"/>
      <c r="E122" s="4" t="str">
        <f>IFERROR(INDEX('Araç Tanımlama'!$D$5:$D$200,MATCH(D122,'Araç Tanımlama'!$A$5:$A$200,0)),"")</f>
        <v/>
      </c>
      <c r="F122" s="4" t="str">
        <f>IFERROR(INDEX('Araç Tanımlama'!$E$5:$E$200,MATCH(D122,'Araç Tanımlama'!$A$5:$A$200,0)),"")</f>
        <v/>
      </c>
      <c r="G122" s="2"/>
      <c r="H122" s="7"/>
      <c r="I122" s="9" t="str">
        <f>IF(OR(G122="",H122=""),"",G122*H122)</f>
        <v/>
      </c>
      <c r="J122" s="2"/>
      <c r="K122" s="2"/>
    </row>
    <row r="123" spans="1:11">
      <c r="A123" s="4" t="str">
        <f>IF(D123="","",COUNTIF($D$5:D123,"?*"))</f>
        <v/>
      </c>
      <c r="B123" s="5"/>
      <c r="C123" s="4" t="str">
        <f>IF(B123="","",INDEX({"Ocak","Şubat","Mart","Nisan","Mayıs","Haziran","Temmuz","Ağustos","Eylül","Ekim","Kasım","Aralık"},MONTH(B123)))</f>
        <v/>
      </c>
      <c r="D123" s="2"/>
      <c r="E123" s="4" t="str">
        <f>IFERROR(INDEX('Araç Tanımlama'!$D$5:$D$200,MATCH(D123,'Araç Tanımlama'!$A$5:$A$200,0)),"")</f>
        <v/>
      </c>
      <c r="F123" s="4" t="str">
        <f>IFERROR(INDEX('Araç Tanımlama'!$E$5:$E$200,MATCH(D123,'Araç Tanımlama'!$A$5:$A$200,0)),"")</f>
        <v/>
      </c>
      <c r="G123" s="2"/>
      <c r="H123" s="7"/>
      <c r="I123" s="9" t="str">
        <f>IF(OR(G123="",H123=""),"",G123*H123)</f>
        <v/>
      </c>
      <c r="J123" s="2"/>
      <c r="K123" s="2"/>
    </row>
    <row r="124" spans="1:11">
      <c r="A124" s="4" t="str">
        <f>IF(D124="","",COUNTIF($D$5:D124,"?*"))</f>
        <v/>
      </c>
      <c r="B124" s="5"/>
      <c r="C124" s="4" t="str">
        <f>IF(B124="","",INDEX({"Ocak","Şubat","Mart","Nisan","Mayıs","Haziran","Temmuz","Ağustos","Eylül","Ekim","Kasım","Aralık"},MONTH(B124)))</f>
        <v/>
      </c>
      <c r="D124" s="2"/>
      <c r="E124" s="4" t="str">
        <f>IFERROR(INDEX('Araç Tanımlama'!$D$5:$D$200,MATCH(D124,'Araç Tanımlama'!$A$5:$A$200,0)),"")</f>
        <v/>
      </c>
      <c r="F124" s="4" t="str">
        <f>IFERROR(INDEX('Araç Tanımlama'!$E$5:$E$200,MATCH(D124,'Araç Tanımlama'!$A$5:$A$200,0)),"")</f>
        <v/>
      </c>
      <c r="G124" s="2"/>
      <c r="H124" s="7"/>
      <c r="I124" s="9" t="str">
        <f>IF(OR(G124="",H124=""),"",G124*H124)</f>
        <v/>
      </c>
      <c r="J124" s="2"/>
      <c r="K124" s="2"/>
    </row>
    <row r="125" spans="1:11">
      <c r="A125" s="4" t="str">
        <f>IF(D125="","",COUNTIF($D$5:D125,"?*"))</f>
        <v/>
      </c>
      <c r="B125" s="5"/>
      <c r="C125" s="4" t="str">
        <f>IF(B125="","",INDEX({"Ocak","Şubat","Mart","Nisan","Mayıs","Haziran","Temmuz","Ağustos","Eylül","Ekim","Kasım","Aralık"},MONTH(B125)))</f>
        <v/>
      </c>
      <c r="D125" s="2"/>
      <c r="E125" s="4" t="str">
        <f>IFERROR(INDEX('Araç Tanımlama'!$D$5:$D$200,MATCH(D125,'Araç Tanımlama'!$A$5:$A$200,0)),"")</f>
        <v/>
      </c>
      <c r="F125" s="4" t="str">
        <f>IFERROR(INDEX('Araç Tanımlama'!$E$5:$E$200,MATCH(D125,'Araç Tanımlama'!$A$5:$A$200,0)),"")</f>
        <v/>
      </c>
      <c r="G125" s="2"/>
      <c r="H125" s="7"/>
      <c r="I125" s="9" t="str">
        <f>IF(OR(G125="",H125=""),"",G125*H125)</f>
        <v/>
      </c>
      <c r="J125" s="2"/>
      <c r="K125" s="2"/>
    </row>
    <row r="126" spans="1:11">
      <c r="A126" s="4" t="str">
        <f>IF(D126="","",COUNTIF($D$5:D126,"?*"))</f>
        <v/>
      </c>
      <c r="B126" s="5"/>
      <c r="C126" s="4" t="str">
        <f>IF(B126="","",INDEX({"Ocak","Şubat","Mart","Nisan","Mayıs","Haziran","Temmuz","Ağustos","Eylül","Ekim","Kasım","Aralık"},MONTH(B126)))</f>
        <v/>
      </c>
      <c r="D126" s="2"/>
      <c r="E126" s="4" t="str">
        <f>IFERROR(INDEX('Araç Tanımlama'!$D$5:$D$200,MATCH(D126,'Araç Tanımlama'!$A$5:$A$200,0)),"")</f>
        <v/>
      </c>
      <c r="F126" s="4" t="str">
        <f>IFERROR(INDEX('Araç Tanımlama'!$E$5:$E$200,MATCH(D126,'Araç Tanımlama'!$A$5:$A$200,0)),"")</f>
        <v/>
      </c>
      <c r="G126" s="2"/>
      <c r="H126" s="7"/>
      <c r="I126" s="9" t="str">
        <f>IF(OR(G126="",H126=""),"",G126*H126)</f>
        <v/>
      </c>
      <c r="J126" s="2"/>
      <c r="K126" s="2"/>
    </row>
    <row r="127" spans="1:11">
      <c r="A127" s="4" t="str">
        <f>IF(D127="","",COUNTIF($D$5:D127,"?*"))</f>
        <v/>
      </c>
      <c r="B127" s="5"/>
      <c r="C127" s="4" t="str">
        <f>IF(B127="","",INDEX({"Ocak","Şubat","Mart","Nisan","Mayıs","Haziran","Temmuz","Ağustos","Eylül","Ekim","Kasım","Aralık"},MONTH(B127)))</f>
        <v/>
      </c>
      <c r="D127" s="2"/>
      <c r="E127" s="4" t="str">
        <f>IFERROR(INDEX('Araç Tanımlama'!$D$5:$D$200,MATCH(D127,'Araç Tanımlama'!$A$5:$A$200,0)),"")</f>
        <v/>
      </c>
      <c r="F127" s="4" t="str">
        <f>IFERROR(INDEX('Araç Tanımlama'!$E$5:$E$200,MATCH(D127,'Araç Tanımlama'!$A$5:$A$200,0)),"")</f>
        <v/>
      </c>
      <c r="G127" s="2"/>
      <c r="H127" s="7"/>
      <c r="I127" s="9" t="str">
        <f>IF(OR(G127="",H127=""),"",G127*H127)</f>
        <v/>
      </c>
      <c r="J127" s="2"/>
      <c r="K127" s="2"/>
    </row>
    <row r="128" spans="1:11">
      <c r="A128" s="4" t="str">
        <f>IF(D128="","",COUNTIF($D$5:D128,"?*"))</f>
        <v/>
      </c>
      <c r="B128" s="5"/>
      <c r="C128" s="4" t="str">
        <f>IF(B128="","",INDEX({"Ocak","Şubat","Mart","Nisan","Mayıs","Haziran","Temmuz","Ağustos","Eylül","Ekim","Kasım","Aralık"},MONTH(B128)))</f>
        <v/>
      </c>
      <c r="D128" s="2"/>
      <c r="E128" s="4" t="str">
        <f>IFERROR(INDEX('Araç Tanımlama'!$D$5:$D$200,MATCH(D128,'Araç Tanımlama'!$A$5:$A$200,0)),"")</f>
        <v/>
      </c>
      <c r="F128" s="4" t="str">
        <f>IFERROR(INDEX('Araç Tanımlama'!$E$5:$E$200,MATCH(D128,'Araç Tanımlama'!$A$5:$A$200,0)),"")</f>
        <v/>
      </c>
      <c r="G128" s="2"/>
      <c r="H128" s="7"/>
      <c r="I128" s="9" t="str">
        <f>IF(OR(G128="",H128=""),"",G128*H128)</f>
        <v/>
      </c>
      <c r="J128" s="2"/>
      <c r="K128" s="2"/>
    </row>
    <row r="129" spans="1:11">
      <c r="A129" s="4" t="str">
        <f>IF(D129="","",COUNTIF($D$5:D129,"?*"))</f>
        <v/>
      </c>
      <c r="B129" s="5"/>
      <c r="C129" s="4" t="str">
        <f>IF(B129="","",INDEX({"Ocak","Şubat","Mart","Nisan","Mayıs","Haziran","Temmuz","Ağustos","Eylül","Ekim","Kasım","Aralık"},MONTH(B129)))</f>
        <v/>
      </c>
      <c r="D129" s="2"/>
      <c r="E129" s="4" t="str">
        <f>IFERROR(INDEX('Araç Tanımlama'!$D$5:$D$200,MATCH(D129,'Araç Tanımlama'!$A$5:$A$200,0)),"")</f>
        <v/>
      </c>
      <c r="F129" s="4" t="str">
        <f>IFERROR(INDEX('Araç Tanımlama'!$E$5:$E$200,MATCH(D129,'Araç Tanımlama'!$A$5:$A$200,0)),"")</f>
        <v/>
      </c>
      <c r="G129" s="2"/>
      <c r="H129" s="7"/>
      <c r="I129" s="9" t="str">
        <f>IF(OR(G129="",H129=""),"",G129*H129)</f>
        <v/>
      </c>
      <c r="J129" s="2"/>
      <c r="K129" s="2"/>
    </row>
    <row r="130" spans="1:11">
      <c r="A130" s="4" t="str">
        <f>IF(D130="","",COUNTIF($D$5:D130,"?*"))</f>
        <v/>
      </c>
      <c r="B130" s="5"/>
      <c r="C130" s="4" t="str">
        <f>IF(B130="","",INDEX({"Ocak","Şubat","Mart","Nisan","Mayıs","Haziran","Temmuz","Ağustos","Eylül","Ekim","Kasım","Aralık"},MONTH(B130)))</f>
        <v/>
      </c>
      <c r="D130" s="2"/>
      <c r="E130" s="4" t="str">
        <f>IFERROR(INDEX('Araç Tanımlama'!$D$5:$D$200,MATCH(D130,'Araç Tanımlama'!$A$5:$A$200,0)),"")</f>
        <v/>
      </c>
      <c r="F130" s="4" t="str">
        <f>IFERROR(INDEX('Araç Tanımlama'!$E$5:$E$200,MATCH(D130,'Araç Tanımlama'!$A$5:$A$200,0)),"")</f>
        <v/>
      </c>
      <c r="G130" s="2"/>
      <c r="H130" s="7"/>
      <c r="I130" s="9" t="str">
        <f>IF(OR(G130="",H130=""),"",G130*H130)</f>
        <v/>
      </c>
      <c r="J130" s="2"/>
      <c r="K130" s="2"/>
    </row>
    <row r="131" spans="1:11">
      <c r="A131" s="4" t="str">
        <f>IF(D131="","",COUNTIF($D$5:D131,"?*"))</f>
        <v/>
      </c>
      <c r="B131" s="5"/>
      <c r="C131" s="4" t="str">
        <f>IF(B131="","",INDEX({"Ocak","Şubat","Mart","Nisan","Mayıs","Haziran","Temmuz","Ağustos","Eylül","Ekim","Kasım","Aralık"},MONTH(B131)))</f>
        <v/>
      </c>
      <c r="D131" s="2"/>
      <c r="E131" s="4" t="str">
        <f>IFERROR(INDEX('Araç Tanımlama'!$D$5:$D$200,MATCH(D131,'Araç Tanımlama'!$A$5:$A$200,0)),"")</f>
        <v/>
      </c>
      <c r="F131" s="4" t="str">
        <f>IFERROR(INDEX('Araç Tanımlama'!$E$5:$E$200,MATCH(D131,'Araç Tanımlama'!$A$5:$A$200,0)),"")</f>
        <v/>
      </c>
      <c r="G131" s="2"/>
      <c r="H131" s="7"/>
      <c r="I131" s="9" t="str">
        <f>IF(OR(G131="",H131=""),"",G131*H131)</f>
        <v/>
      </c>
      <c r="J131" s="2"/>
      <c r="K131" s="2"/>
    </row>
    <row r="132" spans="1:11">
      <c r="A132" s="4" t="str">
        <f>IF(D132="","",COUNTIF($D$5:D132,"?*"))</f>
        <v/>
      </c>
      <c r="B132" s="5"/>
      <c r="C132" s="4" t="str">
        <f>IF(B132="","",INDEX({"Ocak","Şubat","Mart","Nisan","Mayıs","Haziran","Temmuz","Ağustos","Eylül","Ekim","Kasım","Aralık"},MONTH(B132)))</f>
        <v/>
      </c>
      <c r="D132" s="2"/>
      <c r="E132" s="4" t="str">
        <f>IFERROR(INDEX('Araç Tanımlama'!$D$5:$D$200,MATCH(D132,'Araç Tanımlama'!$A$5:$A$200,0)),"")</f>
        <v/>
      </c>
      <c r="F132" s="4" t="str">
        <f>IFERROR(INDEX('Araç Tanımlama'!$E$5:$E$200,MATCH(D132,'Araç Tanımlama'!$A$5:$A$200,0)),"")</f>
        <v/>
      </c>
      <c r="G132" s="2"/>
      <c r="H132" s="7"/>
      <c r="I132" s="9" t="str">
        <f>IF(OR(G132="",H132=""),"",G132*H132)</f>
        <v/>
      </c>
      <c r="J132" s="2"/>
      <c r="K132" s="2"/>
    </row>
    <row r="133" spans="1:11">
      <c r="A133" s="4" t="str">
        <f>IF(D133="","",COUNTIF($D$5:D133,"?*"))</f>
        <v/>
      </c>
      <c r="B133" s="5"/>
      <c r="C133" s="4" t="str">
        <f>IF(B133="","",INDEX({"Ocak","Şubat","Mart","Nisan","Mayıs","Haziran","Temmuz","Ağustos","Eylül","Ekim","Kasım","Aralık"},MONTH(B133)))</f>
        <v/>
      </c>
      <c r="D133" s="2"/>
      <c r="E133" s="4" t="str">
        <f>IFERROR(INDEX('Araç Tanımlama'!$D$5:$D$200,MATCH(D133,'Araç Tanımlama'!$A$5:$A$200,0)),"")</f>
        <v/>
      </c>
      <c r="F133" s="4" t="str">
        <f>IFERROR(INDEX('Araç Tanımlama'!$E$5:$E$200,MATCH(D133,'Araç Tanımlama'!$A$5:$A$200,0)),"")</f>
        <v/>
      </c>
      <c r="G133" s="2"/>
      <c r="H133" s="7"/>
      <c r="I133" s="9" t="str">
        <f>IF(OR(G133="",H133=""),"",G133*H133)</f>
        <v/>
      </c>
      <c r="J133" s="2"/>
      <c r="K133" s="2"/>
    </row>
    <row r="134" spans="1:11">
      <c r="A134" s="4" t="str">
        <f>IF(D134="","",COUNTIF($D$5:D134,"?*"))</f>
        <v/>
      </c>
      <c r="B134" s="5"/>
      <c r="C134" s="4" t="str">
        <f>IF(B134="","",INDEX({"Ocak","Şubat","Mart","Nisan","Mayıs","Haziran","Temmuz","Ağustos","Eylül","Ekim","Kasım","Aralık"},MONTH(B134)))</f>
        <v/>
      </c>
      <c r="D134" s="2"/>
      <c r="E134" s="4" t="str">
        <f>IFERROR(INDEX('Araç Tanımlama'!$D$5:$D$200,MATCH(D134,'Araç Tanımlama'!$A$5:$A$200,0)),"")</f>
        <v/>
      </c>
      <c r="F134" s="4" t="str">
        <f>IFERROR(INDEX('Araç Tanımlama'!$E$5:$E$200,MATCH(D134,'Araç Tanımlama'!$A$5:$A$200,0)),"")</f>
        <v/>
      </c>
      <c r="G134" s="2"/>
      <c r="H134" s="7"/>
      <c r="I134" s="9" t="str">
        <f>IF(OR(G134="",H134=""),"",G134*H134)</f>
        <v/>
      </c>
      <c r="J134" s="2"/>
      <c r="K134" s="2"/>
    </row>
    <row r="135" spans="1:11">
      <c r="A135" s="4" t="str">
        <f>IF(D135="","",COUNTIF($D$5:D135,"?*"))</f>
        <v/>
      </c>
      <c r="B135" s="5"/>
      <c r="C135" s="4" t="str">
        <f>IF(B135="","",INDEX({"Ocak","Şubat","Mart","Nisan","Mayıs","Haziran","Temmuz","Ağustos","Eylül","Ekim","Kasım","Aralık"},MONTH(B135)))</f>
        <v/>
      </c>
      <c r="D135" s="2"/>
      <c r="E135" s="4" t="str">
        <f>IFERROR(INDEX('Araç Tanımlama'!$D$5:$D$200,MATCH(D135,'Araç Tanımlama'!$A$5:$A$200,0)),"")</f>
        <v/>
      </c>
      <c r="F135" s="4" t="str">
        <f>IFERROR(INDEX('Araç Tanımlama'!$E$5:$E$200,MATCH(D135,'Araç Tanımlama'!$A$5:$A$200,0)),"")</f>
        <v/>
      </c>
      <c r="G135" s="2"/>
      <c r="H135" s="7"/>
      <c r="I135" s="9" t="str">
        <f>IF(OR(G135="",H135=""),"",G135*H135)</f>
        <v/>
      </c>
      <c r="J135" s="2"/>
      <c r="K135" s="2"/>
    </row>
    <row r="136" spans="1:11">
      <c r="A136" s="4" t="str">
        <f>IF(D136="","",COUNTIF($D$5:D136,"?*"))</f>
        <v/>
      </c>
      <c r="B136" s="5"/>
      <c r="C136" s="4" t="str">
        <f>IF(B136="","",INDEX({"Ocak","Şubat","Mart","Nisan","Mayıs","Haziran","Temmuz","Ağustos","Eylül","Ekim","Kasım","Aralık"},MONTH(B136)))</f>
        <v/>
      </c>
      <c r="D136" s="2"/>
      <c r="E136" s="4" t="str">
        <f>IFERROR(INDEX('Araç Tanımlama'!$D$5:$D$200,MATCH(D136,'Araç Tanımlama'!$A$5:$A$200,0)),"")</f>
        <v/>
      </c>
      <c r="F136" s="4" t="str">
        <f>IFERROR(INDEX('Araç Tanımlama'!$E$5:$E$200,MATCH(D136,'Araç Tanımlama'!$A$5:$A$200,0)),"")</f>
        <v/>
      </c>
      <c r="G136" s="2"/>
      <c r="H136" s="7"/>
      <c r="I136" s="9" t="str">
        <f>IF(OR(G136="",H136=""),"",G136*H136)</f>
        <v/>
      </c>
      <c r="J136" s="2"/>
      <c r="K136" s="2"/>
    </row>
    <row r="137" spans="1:11">
      <c r="A137" s="4" t="str">
        <f>IF(D137="","",COUNTIF($D$5:D137,"?*"))</f>
        <v/>
      </c>
      <c r="B137" s="5"/>
      <c r="C137" s="4" t="str">
        <f>IF(B137="","",INDEX({"Ocak","Şubat","Mart","Nisan","Mayıs","Haziran","Temmuz","Ağustos","Eylül","Ekim","Kasım","Aralık"},MONTH(B137)))</f>
        <v/>
      </c>
      <c r="D137" s="2"/>
      <c r="E137" s="4" t="str">
        <f>IFERROR(INDEX('Araç Tanımlama'!$D$5:$D$200,MATCH(D137,'Araç Tanımlama'!$A$5:$A$200,0)),"")</f>
        <v/>
      </c>
      <c r="F137" s="4" t="str">
        <f>IFERROR(INDEX('Araç Tanımlama'!$E$5:$E$200,MATCH(D137,'Araç Tanımlama'!$A$5:$A$200,0)),"")</f>
        <v/>
      </c>
      <c r="G137" s="2"/>
      <c r="H137" s="7"/>
      <c r="I137" s="9" t="str">
        <f>IF(OR(G137="",H137=""),"",G137*H137)</f>
        <v/>
      </c>
      <c r="J137" s="2"/>
      <c r="K137" s="2"/>
    </row>
    <row r="138" spans="1:11">
      <c r="A138" s="4" t="str">
        <f>IF(D138="","",COUNTIF($D$5:D138,"?*"))</f>
        <v/>
      </c>
      <c r="B138" s="5"/>
      <c r="C138" s="4" t="str">
        <f>IF(B138="","",INDEX({"Ocak","Şubat","Mart","Nisan","Mayıs","Haziran","Temmuz","Ağustos","Eylül","Ekim","Kasım","Aralık"},MONTH(B138)))</f>
        <v/>
      </c>
      <c r="D138" s="2"/>
      <c r="E138" s="4" t="str">
        <f>IFERROR(INDEX('Araç Tanımlama'!$D$5:$D$200,MATCH(D138,'Araç Tanımlama'!$A$5:$A$200,0)),"")</f>
        <v/>
      </c>
      <c r="F138" s="4" t="str">
        <f>IFERROR(INDEX('Araç Tanımlama'!$E$5:$E$200,MATCH(D138,'Araç Tanımlama'!$A$5:$A$200,0)),"")</f>
        <v/>
      </c>
      <c r="G138" s="2"/>
      <c r="H138" s="7"/>
      <c r="I138" s="9" t="str">
        <f>IF(OR(G138="",H138=""),"",G138*H138)</f>
        <v/>
      </c>
      <c r="J138" s="2"/>
      <c r="K138" s="2"/>
    </row>
    <row r="139" spans="1:11">
      <c r="A139" s="4" t="str">
        <f>IF(D139="","",COUNTIF($D$5:D139,"?*"))</f>
        <v/>
      </c>
      <c r="B139" s="5"/>
      <c r="C139" s="4" t="str">
        <f>IF(B139="","",INDEX({"Ocak","Şubat","Mart","Nisan","Mayıs","Haziran","Temmuz","Ağustos","Eylül","Ekim","Kasım","Aralık"},MONTH(B139)))</f>
        <v/>
      </c>
      <c r="D139" s="2"/>
      <c r="E139" s="4" t="str">
        <f>IFERROR(INDEX('Araç Tanımlama'!$D$5:$D$200,MATCH(D139,'Araç Tanımlama'!$A$5:$A$200,0)),"")</f>
        <v/>
      </c>
      <c r="F139" s="4" t="str">
        <f>IFERROR(INDEX('Araç Tanımlama'!$E$5:$E$200,MATCH(D139,'Araç Tanımlama'!$A$5:$A$200,0)),"")</f>
        <v/>
      </c>
      <c r="G139" s="2"/>
      <c r="H139" s="7"/>
      <c r="I139" s="9" t="str">
        <f>IF(OR(G139="",H139=""),"",G139*H139)</f>
        <v/>
      </c>
      <c r="J139" s="2"/>
      <c r="K139" s="2"/>
    </row>
    <row r="140" spans="1:11">
      <c r="A140" s="4" t="str">
        <f>IF(D140="","",COUNTIF($D$5:D140,"?*"))</f>
        <v/>
      </c>
      <c r="B140" s="5"/>
      <c r="C140" s="4" t="str">
        <f>IF(B140="","",INDEX({"Ocak","Şubat","Mart","Nisan","Mayıs","Haziran","Temmuz","Ağustos","Eylül","Ekim","Kasım","Aralık"},MONTH(B140)))</f>
        <v/>
      </c>
      <c r="D140" s="2"/>
      <c r="E140" s="4" t="str">
        <f>IFERROR(INDEX('Araç Tanımlama'!$D$5:$D$200,MATCH(D140,'Araç Tanımlama'!$A$5:$A$200,0)),"")</f>
        <v/>
      </c>
      <c r="F140" s="4" t="str">
        <f>IFERROR(INDEX('Araç Tanımlama'!$E$5:$E$200,MATCH(D140,'Araç Tanımlama'!$A$5:$A$200,0)),"")</f>
        <v/>
      </c>
      <c r="G140" s="2"/>
      <c r="H140" s="7"/>
      <c r="I140" s="9" t="str">
        <f>IF(OR(G140="",H140=""),"",G140*H140)</f>
        <v/>
      </c>
      <c r="J140" s="2"/>
      <c r="K140" s="2"/>
    </row>
    <row r="141" spans="1:11">
      <c r="A141" s="4" t="str">
        <f>IF(D141="","",COUNTIF($D$5:D141,"?*"))</f>
        <v/>
      </c>
      <c r="B141" s="5"/>
      <c r="C141" s="4" t="str">
        <f>IF(B141="","",INDEX({"Ocak","Şubat","Mart","Nisan","Mayıs","Haziran","Temmuz","Ağustos","Eylül","Ekim","Kasım","Aralık"},MONTH(B141)))</f>
        <v/>
      </c>
      <c r="D141" s="2"/>
      <c r="E141" s="4" t="str">
        <f>IFERROR(INDEX('Araç Tanımlama'!$D$5:$D$200,MATCH(D141,'Araç Tanımlama'!$A$5:$A$200,0)),"")</f>
        <v/>
      </c>
      <c r="F141" s="4" t="str">
        <f>IFERROR(INDEX('Araç Tanımlama'!$E$5:$E$200,MATCH(D141,'Araç Tanımlama'!$A$5:$A$200,0)),"")</f>
        <v/>
      </c>
      <c r="G141" s="2"/>
      <c r="H141" s="7"/>
      <c r="I141" s="9" t="str">
        <f>IF(OR(G141="",H141=""),"",G141*H141)</f>
        <v/>
      </c>
      <c r="J141" s="2"/>
      <c r="K141" s="2"/>
    </row>
    <row r="142" spans="1:11">
      <c r="A142" s="4" t="str">
        <f>IF(D142="","",COUNTIF($D$5:D142,"?*"))</f>
        <v/>
      </c>
      <c r="B142" s="5"/>
      <c r="C142" s="4" t="str">
        <f>IF(B142="","",INDEX({"Ocak","Şubat","Mart","Nisan","Mayıs","Haziran","Temmuz","Ağustos","Eylül","Ekim","Kasım","Aralık"},MONTH(B142)))</f>
        <v/>
      </c>
      <c r="D142" s="2"/>
      <c r="E142" s="4" t="str">
        <f>IFERROR(INDEX('Araç Tanımlama'!$D$5:$D$200,MATCH(D142,'Araç Tanımlama'!$A$5:$A$200,0)),"")</f>
        <v/>
      </c>
      <c r="F142" s="4" t="str">
        <f>IFERROR(INDEX('Araç Tanımlama'!$E$5:$E$200,MATCH(D142,'Araç Tanımlama'!$A$5:$A$200,0)),"")</f>
        <v/>
      </c>
      <c r="G142" s="2"/>
      <c r="H142" s="7"/>
      <c r="I142" s="9" t="str">
        <f>IF(OR(G142="",H142=""),"",G142*H142)</f>
        <v/>
      </c>
      <c r="J142" s="2"/>
      <c r="K142" s="2"/>
    </row>
    <row r="143" spans="1:11">
      <c r="A143" s="4" t="str">
        <f>IF(D143="","",COUNTIF($D$5:D143,"?*"))</f>
        <v/>
      </c>
      <c r="B143" s="5"/>
      <c r="C143" s="4" t="str">
        <f>IF(B143="","",INDEX({"Ocak","Şubat","Mart","Nisan","Mayıs","Haziran","Temmuz","Ağustos","Eylül","Ekim","Kasım","Aralık"},MONTH(B143)))</f>
        <v/>
      </c>
      <c r="D143" s="2"/>
      <c r="E143" s="4" t="str">
        <f>IFERROR(INDEX('Araç Tanımlama'!$D$5:$D$200,MATCH(D143,'Araç Tanımlama'!$A$5:$A$200,0)),"")</f>
        <v/>
      </c>
      <c r="F143" s="4" t="str">
        <f>IFERROR(INDEX('Araç Tanımlama'!$E$5:$E$200,MATCH(D143,'Araç Tanımlama'!$A$5:$A$200,0)),"")</f>
        <v/>
      </c>
      <c r="G143" s="2"/>
      <c r="H143" s="7"/>
      <c r="I143" s="9" t="str">
        <f>IF(OR(G143="",H143=""),"",G143*H143)</f>
        <v/>
      </c>
      <c r="J143" s="2"/>
      <c r="K143" s="2"/>
    </row>
    <row r="144" spans="1:11">
      <c r="A144" s="4" t="str">
        <f>IF(D144="","",COUNTIF($D$5:D144,"?*"))</f>
        <v/>
      </c>
      <c r="B144" s="5"/>
      <c r="C144" s="4" t="str">
        <f>IF(B144="","",INDEX({"Ocak","Şubat","Mart","Nisan","Mayıs","Haziran","Temmuz","Ağustos","Eylül","Ekim","Kasım","Aralık"},MONTH(B144)))</f>
        <v/>
      </c>
      <c r="D144" s="2"/>
      <c r="E144" s="4" t="str">
        <f>IFERROR(INDEX('Araç Tanımlama'!$D$5:$D$200,MATCH(D144,'Araç Tanımlama'!$A$5:$A$200,0)),"")</f>
        <v/>
      </c>
      <c r="F144" s="4" t="str">
        <f>IFERROR(INDEX('Araç Tanımlama'!$E$5:$E$200,MATCH(D144,'Araç Tanımlama'!$A$5:$A$200,0)),"")</f>
        <v/>
      </c>
      <c r="G144" s="2"/>
      <c r="H144" s="7"/>
      <c r="I144" s="9" t="str">
        <f>IF(OR(G144="",H144=""),"",G144*H144)</f>
        <v/>
      </c>
      <c r="J144" s="2"/>
      <c r="K144" s="2"/>
    </row>
    <row r="145" spans="1:11">
      <c r="A145" s="4" t="str">
        <f>IF(D145="","",COUNTIF($D$5:D145,"?*"))</f>
        <v/>
      </c>
      <c r="B145" s="5"/>
      <c r="C145" s="4" t="str">
        <f>IF(B145="","",INDEX({"Ocak","Şubat","Mart","Nisan","Mayıs","Haziran","Temmuz","Ağustos","Eylül","Ekim","Kasım","Aralık"},MONTH(B145)))</f>
        <v/>
      </c>
      <c r="D145" s="2"/>
      <c r="E145" s="4" t="str">
        <f>IFERROR(INDEX('Araç Tanımlama'!$D$5:$D$200,MATCH(D145,'Araç Tanımlama'!$A$5:$A$200,0)),"")</f>
        <v/>
      </c>
      <c r="F145" s="4" t="str">
        <f>IFERROR(INDEX('Araç Tanımlama'!$E$5:$E$200,MATCH(D145,'Araç Tanımlama'!$A$5:$A$200,0)),"")</f>
        <v/>
      </c>
      <c r="G145" s="2"/>
      <c r="H145" s="7"/>
      <c r="I145" s="9" t="str">
        <f>IF(OR(G145="",H145=""),"",G145*H145)</f>
        <v/>
      </c>
      <c r="J145" s="2"/>
      <c r="K145" s="2"/>
    </row>
    <row r="146" spans="1:11">
      <c r="A146" s="4" t="str">
        <f>IF(D146="","",COUNTIF($D$5:D146,"?*"))</f>
        <v/>
      </c>
      <c r="B146" s="5"/>
      <c r="C146" s="4" t="str">
        <f>IF(B146="","",INDEX({"Ocak","Şubat","Mart","Nisan","Mayıs","Haziran","Temmuz","Ağustos","Eylül","Ekim","Kasım","Aralık"},MONTH(B146)))</f>
        <v/>
      </c>
      <c r="D146" s="2"/>
      <c r="E146" s="4" t="str">
        <f>IFERROR(INDEX('Araç Tanımlama'!$D$5:$D$200,MATCH(D146,'Araç Tanımlama'!$A$5:$A$200,0)),"")</f>
        <v/>
      </c>
      <c r="F146" s="4" t="str">
        <f>IFERROR(INDEX('Araç Tanımlama'!$E$5:$E$200,MATCH(D146,'Araç Tanımlama'!$A$5:$A$200,0)),"")</f>
        <v/>
      </c>
      <c r="G146" s="2"/>
      <c r="H146" s="7"/>
      <c r="I146" s="9" t="str">
        <f>IF(OR(G146="",H146=""),"",G146*H146)</f>
        <v/>
      </c>
      <c r="J146" s="2"/>
      <c r="K146" s="2"/>
    </row>
    <row r="147" spans="1:11">
      <c r="A147" s="4" t="str">
        <f>IF(D147="","",COUNTIF($D$5:D147,"?*"))</f>
        <v/>
      </c>
      <c r="B147" s="5"/>
      <c r="C147" s="4" t="str">
        <f>IF(B147="","",INDEX({"Ocak","Şubat","Mart","Nisan","Mayıs","Haziran","Temmuz","Ağustos","Eylül","Ekim","Kasım","Aralık"},MONTH(B147)))</f>
        <v/>
      </c>
      <c r="D147" s="2"/>
      <c r="E147" s="4" t="str">
        <f>IFERROR(INDEX('Araç Tanımlama'!$D$5:$D$200,MATCH(D147,'Araç Tanımlama'!$A$5:$A$200,0)),"")</f>
        <v/>
      </c>
      <c r="F147" s="4" t="str">
        <f>IFERROR(INDEX('Araç Tanımlama'!$E$5:$E$200,MATCH(D147,'Araç Tanımlama'!$A$5:$A$200,0)),"")</f>
        <v/>
      </c>
      <c r="G147" s="2"/>
      <c r="H147" s="7"/>
      <c r="I147" s="9" t="str">
        <f>IF(OR(G147="",H147=""),"",G147*H147)</f>
        <v/>
      </c>
      <c r="J147" s="2"/>
      <c r="K147" s="2"/>
    </row>
    <row r="148" spans="1:11">
      <c r="A148" s="4" t="str">
        <f>IF(D148="","",COUNTIF($D$5:D148,"?*"))</f>
        <v/>
      </c>
      <c r="B148" s="5"/>
      <c r="C148" s="4" t="str">
        <f>IF(B148="","",INDEX({"Ocak","Şubat","Mart","Nisan","Mayıs","Haziran","Temmuz","Ağustos","Eylül","Ekim","Kasım","Aralık"},MONTH(B148)))</f>
        <v/>
      </c>
      <c r="D148" s="2"/>
      <c r="E148" s="4" t="str">
        <f>IFERROR(INDEX('Araç Tanımlama'!$D$5:$D$200,MATCH(D148,'Araç Tanımlama'!$A$5:$A$200,0)),"")</f>
        <v/>
      </c>
      <c r="F148" s="4" t="str">
        <f>IFERROR(INDEX('Araç Tanımlama'!$E$5:$E$200,MATCH(D148,'Araç Tanımlama'!$A$5:$A$200,0)),"")</f>
        <v/>
      </c>
      <c r="G148" s="2"/>
      <c r="H148" s="7"/>
      <c r="I148" s="9" t="str">
        <f>IF(OR(G148="",H148=""),"",G148*H148)</f>
        <v/>
      </c>
      <c r="J148" s="2"/>
      <c r="K148" s="2"/>
    </row>
    <row r="149" spans="1:11">
      <c r="A149" s="4" t="str">
        <f>IF(D149="","",COUNTIF($D$5:D149,"?*"))</f>
        <v/>
      </c>
      <c r="B149" s="5"/>
      <c r="C149" s="4" t="str">
        <f>IF(B149="","",INDEX({"Ocak","Şubat","Mart","Nisan","Mayıs","Haziran","Temmuz","Ağustos","Eylül","Ekim","Kasım","Aralık"},MONTH(B149)))</f>
        <v/>
      </c>
      <c r="D149" s="2"/>
      <c r="E149" s="4" t="str">
        <f>IFERROR(INDEX('Araç Tanımlama'!$D$5:$D$200,MATCH(D149,'Araç Tanımlama'!$A$5:$A$200,0)),"")</f>
        <v/>
      </c>
      <c r="F149" s="4" t="str">
        <f>IFERROR(INDEX('Araç Tanımlama'!$E$5:$E$200,MATCH(D149,'Araç Tanımlama'!$A$5:$A$200,0)),"")</f>
        <v/>
      </c>
      <c r="G149" s="2"/>
      <c r="H149" s="7"/>
      <c r="I149" s="9" t="str">
        <f>IF(OR(G149="",H149=""),"",G149*H149)</f>
        <v/>
      </c>
      <c r="J149" s="2"/>
      <c r="K149" s="2"/>
    </row>
    <row r="150" spans="1:11">
      <c r="A150" s="4" t="str">
        <f>IF(D150="","",COUNTIF($D$5:D150,"?*"))</f>
        <v/>
      </c>
      <c r="B150" s="5"/>
      <c r="C150" s="4" t="str">
        <f>IF(B150="","",INDEX({"Ocak","Şubat","Mart","Nisan","Mayıs","Haziran","Temmuz","Ağustos","Eylül","Ekim","Kasım","Aralık"},MONTH(B150)))</f>
        <v/>
      </c>
      <c r="D150" s="2"/>
      <c r="E150" s="4" t="str">
        <f>IFERROR(INDEX('Araç Tanımlama'!$D$5:$D$200,MATCH(D150,'Araç Tanımlama'!$A$5:$A$200,0)),"")</f>
        <v/>
      </c>
      <c r="F150" s="4" t="str">
        <f>IFERROR(INDEX('Araç Tanımlama'!$E$5:$E$200,MATCH(D150,'Araç Tanımlama'!$A$5:$A$200,0)),"")</f>
        <v/>
      </c>
      <c r="G150" s="2"/>
      <c r="H150" s="7"/>
      <c r="I150" s="9" t="str">
        <f>IF(OR(G150="",H150=""),"",G150*H150)</f>
        <v/>
      </c>
      <c r="J150" s="2"/>
      <c r="K150" s="2"/>
    </row>
    <row r="151" spans="1:11">
      <c r="A151" s="4" t="str">
        <f>IF(D151="","",COUNTIF($D$5:D151,"?*"))</f>
        <v/>
      </c>
      <c r="B151" s="5"/>
      <c r="C151" s="4" t="str">
        <f>IF(B151="","",INDEX({"Ocak","Şubat","Mart","Nisan","Mayıs","Haziran","Temmuz","Ağustos","Eylül","Ekim","Kasım","Aralık"},MONTH(B151)))</f>
        <v/>
      </c>
      <c r="D151" s="2"/>
      <c r="E151" s="4" t="str">
        <f>IFERROR(INDEX('Araç Tanımlama'!$D$5:$D$200,MATCH(D151,'Araç Tanımlama'!$A$5:$A$200,0)),"")</f>
        <v/>
      </c>
      <c r="F151" s="4" t="str">
        <f>IFERROR(INDEX('Araç Tanımlama'!$E$5:$E$200,MATCH(D151,'Araç Tanımlama'!$A$5:$A$200,0)),"")</f>
        <v/>
      </c>
      <c r="G151" s="2"/>
      <c r="H151" s="7"/>
      <c r="I151" s="9" t="str">
        <f>IF(OR(G151="",H151=""),"",G151*H151)</f>
        <v/>
      </c>
      <c r="J151" s="2"/>
      <c r="K151" s="2"/>
    </row>
    <row r="152" spans="1:11">
      <c r="A152" s="4" t="str">
        <f>IF(D152="","",COUNTIF($D$5:D152,"?*"))</f>
        <v/>
      </c>
      <c r="B152" s="5"/>
      <c r="C152" s="4" t="str">
        <f>IF(B152="","",INDEX({"Ocak","Şubat","Mart","Nisan","Mayıs","Haziran","Temmuz","Ağustos","Eylül","Ekim","Kasım","Aralık"},MONTH(B152)))</f>
        <v/>
      </c>
      <c r="D152" s="2"/>
      <c r="E152" s="4" t="str">
        <f>IFERROR(INDEX('Araç Tanımlama'!$D$5:$D$200,MATCH(D152,'Araç Tanımlama'!$A$5:$A$200,0)),"")</f>
        <v/>
      </c>
      <c r="F152" s="4" t="str">
        <f>IFERROR(INDEX('Araç Tanımlama'!$E$5:$E$200,MATCH(D152,'Araç Tanımlama'!$A$5:$A$200,0)),"")</f>
        <v/>
      </c>
      <c r="G152" s="2"/>
      <c r="H152" s="7"/>
      <c r="I152" s="9" t="str">
        <f>IF(OR(G152="",H152=""),"",G152*H152)</f>
        <v/>
      </c>
      <c r="J152" s="2"/>
      <c r="K152" s="2"/>
    </row>
    <row r="153" spans="1:11">
      <c r="A153" s="4" t="str">
        <f>IF(D153="","",COUNTIF($D$5:D153,"?*"))</f>
        <v/>
      </c>
      <c r="B153" s="5"/>
      <c r="C153" s="4" t="str">
        <f>IF(B153="","",INDEX({"Ocak","Şubat","Mart","Nisan","Mayıs","Haziran","Temmuz","Ağustos","Eylül","Ekim","Kasım","Aralık"},MONTH(B153)))</f>
        <v/>
      </c>
      <c r="D153" s="2"/>
      <c r="E153" s="4" t="str">
        <f>IFERROR(INDEX('Araç Tanımlama'!$D$5:$D$200,MATCH(D153,'Araç Tanımlama'!$A$5:$A$200,0)),"")</f>
        <v/>
      </c>
      <c r="F153" s="4" t="str">
        <f>IFERROR(INDEX('Araç Tanımlama'!$E$5:$E$200,MATCH(D153,'Araç Tanımlama'!$A$5:$A$200,0)),"")</f>
        <v/>
      </c>
      <c r="G153" s="2"/>
      <c r="H153" s="7"/>
      <c r="I153" s="9" t="str">
        <f>IF(OR(G153="",H153=""),"",G153*H153)</f>
        <v/>
      </c>
      <c r="J153" s="2"/>
      <c r="K153" s="2"/>
    </row>
    <row r="154" spans="1:11">
      <c r="A154" s="4" t="str">
        <f>IF(D154="","",COUNTIF($D$5:D154,"?*"))</f>
        <v/>
      </c>
      <c r="B154" s="5"/>
      <c r="C154" s="4" t="str">
        <f>IF(B154="","",INDEX({"Ocak","Şubat","Mart","Nisan","Mayıs","Haziran","Temmuz","Ağustos","Eylül","Ekim","Kasım","Aralık"},MONTH(B154)))</f>
        <v/>
      </c>
      <c r="D154" s="2"/>
      <c r="E154" s="4" t="str">
        <f>IFERROR(INDEX('Araç Tanımlama'!$D$5:$D$200,MATCH(D154,'Araç Tanımlama'!$A$5:$A$200,0)),"")</f>
        <v/>
      </c>
      <c r="F154" s="4" t="str">
        <f>IFERROR(INDEX('Araç Tanımlama'!$E$5:$E$200,MATCH(D154,'Araç Tanımlama'!$A$5:$A$200,0)),"")</f>
        <v/>
      </c>
      <c r="G154" s="2"/>
      <c r="H154" s="7"/>
      <c r="I154" s="9" t="str">
        <f>IF(OR(G154="",H154=""),"",G154*H154)</f>
        <v/>
      </c>
      <c r="J154" s="2"/>
      <c r="K154" s="2"/>
    </row>
    <row r="155" spans="1:11">
      <c r="A155" s="4" t="str">
        <f>IF(D155="","",COUNTIF($D$5:D155,"?*"))</f>
        <v/>
      </c>
      <c r="B155" s="5"/>
      <c r="C155" s="4" t="str">
        <f>IF(B155="","",INDEX({"Ocak","Şubat","Mart","Nisan","Mayıs","Haziran","Temmuz","Ağustos","Eylül","Ekim","Kasım","Aralık"},MONTH(B155)))</f>
        <v/>
      </c>
      <c r="D155" s="2"/>
      <c r="E155" s="4" t="str">
        <f>IFERROR(INDEX('Araç Tanımlama'!$D$5:$D$200,MATCH(D155,'Araç Tanımlama'!$A$5:$A$200,0)),"")</f>
        <v/>
      </c>
      <c r="F155" s="4" t="str">
        <f>IFERROR(INDEX('Araç Tanımlama'!$E$5:$E$200,MATCH(D155,'Araç Tanımlama'!$A$5:$A$200,0)),"")</f>
        <v/>
      </c>
      <c r="G155" s="2"/>
      <c r="H155" s="7"/>
      <c r="I155" s="9" t="str">
        <f>IF(OR(G155="",H155=""),"",G155*H155)</f>
        <v/>
      </c>
      <c r="J155" s="2"/>
      <c r="K155" s="2"/>
    </row>
    <row r="156" spans="1:11">
      <c r="A156" s="4" t="str">
        <f>IF(D156="","",COUNTIF($D$5:D156,"?*"))</f>
        <v/>
      </c>
      <c r="B156" s="5"/>
      <c r="C156" s="4" t="str">
        <f>IF(B156="","",INDEX({"Ocak","Şubat","Mart","Nisan","Mayıs","Haziran","Temmuz","Ağustos","Eylül","Ekim","Kasım","Aralık"},MONTH(B156)))</f>
        <v/>
      </c>
      <c r="D156" s="2"/>
      <c r="E156" s="4" t="str">
        <f>IFERROR(INDEX('Araç Tanımlama'!$D$5:$D$200,MATCH(D156,'Araç Tanımlama'!$A$5:$A$200,0)),"")</f>
        <v/>
      </c>
      <c r="F156" s="4" t="str">
        <f>IFERROR(INDEX('Araç Tanımlama'!$E$5:$E$200,MATCH(D156,'Araç Tanımlama'!$A$5:$A$200,0)),"")</f>
        <v/>
      </c>
      <c r="G156" s="2"/>
      <c r="H156" s="7"/>
      <c r="I156" s="9" t="str">
        <f>IF(OR(G156="",H156=""),"",G156*H156)</f>
        <v/>
      </c>
      <c r="J156" s="2"/>
      <c r="K156" s="2"/>
    </row>
    <row r="157" spans="1:11">
      <c r="A157" s="4" t="str">
        <f>IF(D157="","",COUNTIF($D$5:D157,"?*"))</f>
        <v/>
      </c>
      <c r="B157" s="5"/>
      <c r="C157" s="4" t="str">
        <f>IF(B157="","",INDEX({"Ocak","Şubat","Mart","Nisan","Mayıs","Haziran","Temmuz","Ağustos","Eylül","Ekim","Kasım","Aralık"},MONTH(B157)))</f>
        <v/>
      </c>
      <c r="D157" s="2"/>
      <c r="E157" s="4" t="str">
        <f>IFERROR(INDEX('Araç Tanımlama'!$D$5:$D$200,MATCH(D157,'Araç Tanımlama'!$A$5:$A$200,0)),"")</f>
        <v/>
      </c>
      <c r="F157" s="4" t="str">
        <f>IFERROR(INDEX('Araç Tanımlama'!$E$5:$E$200,MATCH(D157,'Araç Tanımlama'!$A$5:$A$200,0)),"")</f>
        <v/>
      </c>
      <c r="G157" s="2"/>
      <c r="H157" s="7"/>
      <c r="I157" s="9" t="str">
        <f>IF(OR(G157="",H157=""),"",G157*H157)</f>
        <v/>
      </c>
      <c r="J157" s="2"/>
      <c r="K157" s="2"/>
    </row>
    <row r="158" spans="1:11">
      <c r="A158" s="4" t="str">
        <f>IF(D158="","",COUNTIF($D$5:D158,"?*"))</f>
        <v/>
      </c>
      <c r="B158" s="5"/>
      <c r="C158" s="4" t="str">
        <f>IF(B158="","",INDEX({"Ocak","Şubat","Mart","Nisan","Mayıs","Haziran","Temmuz","Ağustos","Eylül","Ekim","Kasım","Aralık"},MONTH(B158)))</f>
        <v/>
      </c>
      <c r="D158" s="2"/>
      <c r="E158" s="4" t="str">
        <f>IFERROR(INDEX('Araç Tanımlama'!$D$5:$D$200,MATCH(D158,'Araç Tanımlama'!$A$5:$A$200,0)),"")</f>
        <v/>
      </c>
      <c r="F158" s="4" t="str">
        <f>IFERROR(INDEX('Araç Tanımlama'!$E$5:$E$200,MATCH(D158,'Araç Tanımlama'!$A$5:$A$200,0)),"")</f>
        <v/>
      </c>
      <c r="G158" s="2"/>
      <c r="H158" s="7"/>
      <c r="I158" s="9" t="str">
        <f>IF(OR(G158="",H158=""),"",G158*H158)</f>
        <v/>
      </c>
      <c r="J158" s="2"/>
      <c r="K158" s="2"/>
    </row>
    <row r="159" spans="1:11">
      <c r="A159" s="4" t="str">
        <f>IF(D159="","",COUNTIF($D$5:D159,"?*"))</f>
        <v/>
      </c>
      <c r="B159" s="5"/>
      <c r="C159" s="4" t="str">
        <f>IF(B159="","",INDEX({"Ocak","Şubat","Mart","Nisan","Mayıs","Haziran","Temmuz","Ağustos","Eylül","Ekim","Kasım","Aralık"},MONTH(B159)))</f>
        <v/>
      </c>
      <c r="D159" s="2"/>
      <c r="E159" s="4" t="str">
        <f>IFERROR(INDEX('Araç Tanımlama'!$D$5:$D$200,MATCH(D159,'Araç Tanımlama'!$A$5:$A$200,0)),"")</f>
        <v/>
      </c>
      <c r="F159" s="4" t="str">
        <f>IFERROR(INDEX('Araç Tanımlama'!$E$5:$E$200,MATCH(D159,'Araç Tanımlama'!$A$5:$A$200,0)),"")</f>
        <v/>
      </c>
      <c r="G159" s="2"/>
      <c r="H159" s="7"/>
      <c r="I159" s="9" t="str">
        <f>IF(OR(G159="",H159=""),"",G159*H159)</f>
        <v/>
      </c>
      <c r="J159" s="2"/>
      <c r="K159" s="2"/>
    </row>
    <row r="160" spans="1:11">
      <c r="A160" s="4" t="str">
        <f>IF(D160="","",COUNTIF($D$5:D160,"?*"))</f>
        <v/>
      </c>
      <c r="B160" s="5"/>
      <c r="C160" s="4" t="str">
        <f>IF(B160="","",INDEX({"Ocak","Şubat","Mart","Nisan","Mayıs","Haziran","Temmuz","Ağustos","Eylül","Ekim","Kasım","Aralık"},MONTH(B160)))</f>
        <v/>
      </c>
      <c r="D160" s="2"/>
      <c r="E160" s="4" t="str">
        <f>IFERROR(INDEX('Araç Tanımlama'!$D$5:$D$200,MATCH(D160,'Araç Tanımlama'!$A$5:$A$200,0)),"")</f>
        <v/>
      </c>
      <c r="F160" s="4" t="str">
        <f>IFERROR(INDEX('Araç Tanımlama'!$E$5:$E$200,MATCH(D160,'Araç Tanımlama'!$A$5:$A$200,0)),"")</f>
        <v/>
      </c>
      <c r="G160" s="2"/>
      <c r="H160" s="7"/>
      <c r="I160" s="9" t="str">
        <f>IF(OR(G160="",H160=""),"",G160*H160)</f>
        <v/>
      </c>
      <c r="J160" s="2"/>
      <c r="K160" s="2"/>
    </row>
    <row r="161" spans="1:11">
      <c r="A161" s="4" t="str">
        <f>IF(D161="","",COUNTIF($D$5:D161,"?*"))</f>
        <v/>
      </c>
      <c r="B161" s="5"/>
      <c r="C161" s="4" t="str">
        <f>IF(B161="","",INDEX({"Ocak","Şubat","Mart","Nisan","Mayıs","Haziran","Temmuz","Ağustos","Eylül","Ekim","Kasım","Aralık"},MONTH(B161)))</f>
        <v/>
      </c>
      <c r="D161" s="2"/>
      <c r="E161" s="4" t="str">
        <f>IFERROR(INDEX('Araç Tanımlama'!$D$5:$D$200,MATCH(D161,'Araç Tanımlama'!$A$5:$A$200,0)),"")</f>
        <v/>
      </c>
      <c r="F161" s="4" t="str">
        <f>IFERROR(INDEX('Araç Tanımlama'!$E$5:$E$200,MATCH(D161,'Araç Tanımlama'!$A$5:$A$200,0)),"")</f>
        <v/>
      </c>
      <c r="G161" s="2"/>
      <c r="H161" s="7"/>
      <c r="I161" s="9" t="str">
        <f>IF(OR(G161="",H161=""),"",G161*H161)</f>
        <v/>
      </c>
      <c r="J161" s="2"/>
      <c r="K161" s="2"/>
    </row>
    <row r="162" spans="1:11">
      <c r="A162" s="4" t="str">
        <f>IF(D162="","",COUNTIF($D$5:D162,"?*"))</f>
        <v/>
      </c>
      <c r="B162" s="5"/>
      <c r="C162" s="4" t="str">
        <f>IF(B162="","",INDEX({"Ocak","Şubat","Mart","Nisan","Mayıs","Haziran","Temmuz","Ağustos","Eylül","Ekim","Kasım","Aralık"},MONTH(B162)))</f>
        <v/>
      </c>
      <c r="D162" s="2"/>
      <c r="E162" s="4" t="str">
        <f>IFERROR(INDEX('Araç Tanımlama'!$D$5:$D$200,MATCH(D162,'Araç Tanımlama'!$A$5:$A$200,0)),"")</f>
        <v/>
      </c>
      <c r="F162" s="4" t="str">
        <f>IFERROR(INDEX('Araç Tanımlama'!$E$5:$E$200,MATCH(D162,'Araç Tanımlama'!$A$5:$A$200,0)),"")</f>
        <v/>
      </c>
      <c r="G162" s="2"/>
      <c r="H162" s="7"/>
      <c r="I162" s="9" t="str">
        <f>IF(OR(G162="",H162=""),"",G162*H162)</f>
        <v/>
      </c>
      <c r="J162" s="2"/>
      <c r="K162" s="2"/>
    </row>
    <row r="163" spans="1:11">
      <c r="A163" s="4" t="str">
        <f>IF(D163="","",COUNTIF($D$5:D163,"?*"))</f>
        <v/>
      </c>
      <c r="B163" s="5"/>
      <c r="C163" s="4" t="str">
        <f>IF(B163="","",INDEX({"Ocak","Şubat","Mart","Nisan","Mayıs","Haziran","Temmuz","Ağustos","Eylül","Ekim","Kasım","Aralık"},MONTH(B163)))</f>
        <v/>
      </c>
      <c r="D163" s="2"/>
      <c r="E163" s="4" t="str">
        <f>IFERROR(INDEX('Araç Tanımlama'!$D$5:$D$200,MATCH(D163,'Araç Tanımlama'!$A$5:$A$200,0)),"")</f>
        <v/>
      </c>
      <c r="F163" s="4" t="str">
        <f>IFERROR(INDEX('Araç Tanımlama'!$E$5:$E$200,MATCH(D163,'Araç Tanımlama'!$A$5:$A$200,0)),"")</f>
        <v/>
      </c>
      <c r="G163" s="2"/>
      <c r="H163" s="7"/>
      <c r="I163" s="9" t="str">
        <f>IF(OR(G163="",H163=""),"",G163*H163)</f>
        <v/>
      </c>
      <c r="J163" s="2"/>
      <c r="K163" s="2"/>
    </row>
    <row r="164" spans="1:11">
      <c r="A164" s="4" t="str">
        <f>IF(D164="","",COUNTIF($D$5:D164,"?*"))</f>
        <v/>
      </c>
      <c r="B164" s="5"/>
      <c r="C164" s="4" t="str">
        <f>IF(B164="","",INDEX({"Ocak","Şubat","Mart","Nisan","Mayıs","Haziran","Temmuz","Ağustos","Eylül","Ekim","Kasım","Aralık"},MONTH(B164)))</f>
        <v/>
      </c>
      <c r="D164" s="2"/>
      <c r="E164" s="4" t="str">
        <f>IFERROR(INDEX('Araç Tanımlama'!$D$5:$D$200,MATCH(D164,'Araç Tanımlama'!$A$5:$A$200,0)),"")</f>
        <v/>
      </c>
      <c r="F164" s="4" t="str">
        <f>IFERROR(INDEX('Araç Tanımlama'!$E$5:$E$200,MATCH(D164,'Araç Tanımlama'!$A$5:$A$200,0)),"")</f>
        <v/>
      </c>
      <c r="G164" s="2"/>
      <c r="H164" s="7"/>
      <c r="I164" s="9" t="str">
        <f>IF(OR(G164="",H164=""),"",G164*H164)</f>
        <v/>
      </c>
      <c r="J164" s="2"/>
      <c r="K164" s="2"/>
    </row>
    <row r="165" spans="1:11">
      <c r="A165" s="4" t="str">
        <f>IF(D165="","",COUNTIF($D$5:D165,"?*"))</f>
        <v/>
      </c>
      <c r="B165" s="5"/>
      <c r="C165" s="4" t="str">
        <f>IF(B165="","",INDEX({"Ocak","Şubat","Mart","Nisan","Mayıs","Haziran","Temmuz","Ağustos","Eylül","Ekim","Kasım","Aralık"},MONTH(B165)))</f>
        <v/>
      </c>
      <c r="D165" s="2"/>
      <c r="E165" s="4" t="str">
        <f>IFERROR(INDEX('Araç Tanımlama'!$D$5:$D$200,MATCH(D165,'Araç Tanımlama'!$A$5:$A$200,0)),"")</f>
        <v/>
      </c>
      <c r="F165" s="4" t="str">
        <f>IFERROR(INDEX('Araç Tanımlama'!$E$5:$E$200,MATCH(D165,'Araç Tanımlama'!$A$5:$A$200,0)),"")</f>
        <v/>
      </c>
      <c r="G165" s="2"/>
      <c r="H165" s="7"/>
      <c r="I165" s="9" t="str">
        <f>IF(OR(G165="",H165=""),"",G165*H165)</f>
        <v/>
      </c>
      <c r="J165" s="2"/>
      <c r="K165" s="2"/>
    </row>
    <row r="166" spans="1:11">
      <c r="A166" s="4" t="str">
        <f>IF(D166="","",COUNTIF($D$5:D166,"?*"))</f>
        <v/>
      </c>
      <c r="B166" s="5"/>
      <c r="C166" s="4" t="str">
        <f>IF(B166="","",INDEX({"Ocak","Şubat","Mart","Nisan","Mayıs","Haziran","Temmuz","Ağustos","Eylül","Ekim","Kasım","Aralık"},MONTH(B166)))</f>
        <v/>
      </c>
      <c r="D166" s="2"/>
      <c r="E166" s="4" t="str">
        <f>IFERROR(INDEX('Araç Tanımlama'!$D$5:$D$200,MATCH(D166,'Araç Tanımlama'!$A$5:$A$200,0)),"")</f>
        <v/>
      </c>
      <c r="F166" s="4" t="str">
        <f>IFERROR(INDEX('Araç Tanımlama'!$E$5:$E$200,MATCH(D166,'Araç Tanımlama'!$A$5:$A$200,0)),"")</f>
        <v/>
      </c>
      <c r="G166" s="2"/>
      <c r="H166" s="7"/>
      <c r="I166" s="9" t="str">
        <f>IF(OR(G166="",H166=""),"",G166*H166)</f>
        <v/>
      </c>
      <c r="J166" s="2"/>
      <c r="K166" s="2"/>
    </row>
    <row r="167" spans="1:11">
      <c r="A167" s="4" t="str">
        <f>IF(D167="","",COUNTIF($D$5:D167,"?*"))</f>
        <v/>
      </c>
      <c r="B167" s="5"/>
      <c r="C167" s="4" t="str">
        <f>IF(B167="","",INDEX({"Ocak","Şubat","Mart","Nisan","Mayıs","Haziran","Temmuz","Ağustos","Eylül","Ekim","Kasım","Aralık"},MONTH(B167)))</f>
        <v/>
      </c>
      <c r="D167" s="2"/>
      <c r="E167" s="4" t="str">
        <f>IFERROR(INDEX('Araç Tanımlama'!$D$5:$D$200,MATCH(D167,'Araç Tanımlama'!$A$5:$A$200,0)),"")</f>
        <v/>
      </c>
      <c r="F167" s="4" t="str">
        <f>IFERROR(INDEX('Araç Tanımlama'!$E$5:$E$200,MATCH(D167,'Araç Tanımlama'!$A$5:$A$200,0)),"")</f>
        <v/>
      </c>
      <c r="G167" s="2"/>
      <c r="H167" s="7"/>
      <c r="I167" s="9" t="str">
        <f>IF(OR(G167="",H167=""),"",G167*H167)</f>
        <v/>
      </c>
      <c r="J167" s="2"/>
      <c r="K167" s="2"/>
    </row>
    <row r="168" spans="1:11">
      <c r="A168" s="4" t="str">
        <f>IF(D168="","",COUNTIF($D$5:D168,"?*"))</f>
        <v/>
      </c>
      <c r="B168" s="5"/>
      <c r="C168" s="4" t="str">
        <f>IF(B168="","",INDEX({"Ocak","Şubat","Mart","Nisan","Mayıs","Haziran","Temmuz","Ağustos","Eylül","Ekim","Kasım","Aralık"},MONTH(B168)))</f>
        <v/>
      </c>
      <c r="D168" s="2"/>
      <c r="E168" s="4" t="str">
        <f>IFERROR(INDEX('Araç Tanımlama'!$D$5:$D$200,MATCH(D168,'Araç Tanımlama'!$A$5:$A$200,0)),"")</f>
        <v/>
      </c>
      <c r="F168" s="4" t="str">
        <f>IFERROR(INDEX('Araç Tanımlama'!$E$5:$E$200,MATCH(D168,'Araç Tanımlama'!$A$5:$A$200,0)),"")</f>
        <v/>
      </c>
      <c r="G168" s="2"/>
      <c r="H168" s="7"/>
      <c r="I168" s="9" t="str">
        <f>IF(OR(G168="",H168=""),"",G168*H168)</f>
        <v/>
      </c>
      <c r="J168" s="2"/>
      <c r="K168" s="2"/>
    </row>
    <row r="169" spans="1:11">
      <c r="A169" s="4" t="str">
        <f>IF(D169="","",COUNTIF($D$5:D169,"?*"))</f>
        <v/>
      </c>
      <c r="B169" s="5"/>
      <c r="C169" s="4" t="str">
        <f>IF(B169="","",INDEX({"Ocak","Şubat","Mart","Nisan","Mayıs","Haziran","Temmuz","Ağustos","Eylül","Ekim","Kasım","Aralık"},MONTH(B169)))</f>
        <v/>
      </c>
      <c r="D169" s="2"/>
      <c r="E169" s="4" t="str">
        <f>IFERROR(INDEX('Araç Tanımlama'!$D$5:$D$200,MATCH(D169,'Araç Tanımlama'!$A$5:$A$200,0)),"")</f>
        <v/>
      </c>
      <c r="F169" s="4" t="str">
        <f>IFERROR(INDEX('Araç Tanımlama'!$E$5:$E$200,MATCH(D169,'Araç Tanımlama'!$A$5:$A$200,0)),"")</f>
        <v/>
      </c>
      <c r="G169" s="2"/>
      <c r="H169" s="7"/>
      <c r="I169" s="9" t="str">
        <f>IF(OR(G169="",H169=""),"",G169*H169)</f>
        <v/>
      </c>
      <c r="J169" s="2"/>
      <c r="K169" s="2"/>
    </row>
    <row r="170" spans="1:11">
      <c r="A170" s="4" t="str">
        <f>IF(D170="","",COUNTIF($D$5:D170,"?*"))</f>
        <v/>
      </c>
      <c r="B170" s="5"/>
      <c r="C170" s="4" t="str">
        <f>IF(B170="","",INDEX({"Ocak","Şubat","Mart","Nisan","Mayıs","Haziran","Temmuz","Ağustos","Eylül","Ekim","Kasım","Aralık"},MONTH(B170)))</f>
        <v/>
      </c>
      <c r="D170" s="2"/>
      <c r="E170" s="4" t="str">
        <f>IFERROR(INDEX('Araç Tanımlama'!$D$5:$D$200,MATCH(D170,'Araç Tanımlama'!$A$5:$A$200,0)),"")</f>
        <v/>
      </c>
      <c r="F170" s="4" t="str">
        <f>IFERROR(INDEX('Araç Tanımlama'!$E$5:$E$200,MATCH(D170,'Araç Tanımlama'!$A$5:$A$200,0)),"")</f>
        <v/>
      </c>
      <c r="G170" s="2"/>
      <c r="H170" s="7"/>
      <c r="I170" s="9" t="str">
        <f>IF(OR(G170="",H170=""),"",G170*H170)</f>
        <v/>
      </c>
      <c r="J170" s="2"/>
      <c r="K170" s="2"/>
    </row>
    <row r="171" spans="1:11">
      <c r="A171" s="4" t="str">
        <f>IF(D171="","",COUNTIF($D$5:D171,"?*"))</f>
        <v/>
      </c>
      <c r="B171" s="5"/>
      <c r="C171" s="4" t="str">
        <f>IF(B171="","",INDEX({"Ocak","Şubat","Mart","Nisan","Mayıs","Haziran","Temmuz","Ağustos","Eylül","Ekim","Kasım","Aralık"},MONTH(B171)))</f>
        <v/>
      </c>
      <c r="D171" s="2"/>
      <c r="E171" s="4" t="str">
        <f>IFERROR(INDEX('Araç Tanımlama'!$D$5:$D$200,MATCH(D171,'Araç Tanımlama'!$A$5:$A$200,0)),"")</f>
        <v/>
      </c>
      <c r="F171" s="4" t="str">
        <f>IFERROR(INDEX('Araç Tanımlama'!$E$5:$E$200,MATCH(D171,'Araç Tanımlama'!$A$5:$A$200,0)),"")</f>
        <v/>
      </c>
      <c r="G171" s="2"/>
      <c r="H171" s="7"/>
      <c r="I171" s="9" t="str">
        <f>IF(OR(G171="",H171=""),"",G171*H171)</f>
        <v/>
      </c>
      <c r="J171" s="2"/>
      <c r="K171" s="2"/>
    </row>
    <row r="172" spans="1:11">
      <c r="A172" s="4" t="str">
        <f>IF(D172="","",COUNTIF($D$5:D172,"?*"))</f>
        <v/>
      </c>
      <c r="B172" s="5"/>
      <c r="C172" s="4" t="str">
        <f>IF(B172="","",INDEX({"Ocak","Şubat","Mart","Nisan","Mayıs","Haziran","Temmuz","Ağustos","Eylül","Ekim","Kasım","Aralık"},MONTH(B172)))</f>
        <v/>
      </c>
      <c r="D172" s="2"/>
      <c r="E172" s="4" t="str">
        <f>IFERROR(INDEX('Araç Tanımlama'!$D$5:$D$200,MATCH(D172,'Araç Tanımlama'!$A$5:$A$200,0)),"")</f>
        <v/>
      </c>
      <c r="F172" s="4" t="str">
        <f>IFERROR(INDEX('Araç Tanımlama'!$E$5:$E$200,MATCH(D172,'Araç Tanımlama'!$A$5:$A$200,0)),"")</f>
        <v/>
      </c>
      <c r="G172" s="2"/>
      <c r="H172" s="7"/>
      <c r="I172" s="9" t="str">
        <f>IF(OR(G172="",H172=""),"",G172*H172)</f>
        <v/>
      </c>
      <c r="J172" s="2"/>
      <c r="K172" s="2"/>
    </row>
    <row r="173" spans="1:11">
      <c r="A173" s="4" t="str">
        <f>IF(D173="","",COUNTIF($D$5:D173,"?*"))</f>
        <v/>
      </c>
      <c r="B173" s="5"/>
      <c r="C173" s="4" t="str">
        <f>IF(B173="","",INDEX({"Ocak","Şubat","Mart","Nisan","Mayıs","Haziran","Temmuz","Ağustos","Eylül","Ekim","Kasım","Aralık"},MONTH(B173)))</f>
        <v/>
      </c>
      <c r="D173" s="2"/>
      <c r="E173" s="4" t="str">
        <f>IFERROR(INDEX('Araç Tanımlama'!$D$5:$D$200,MATCH(D173,'Araç Tanımlama'!$A$5:$A$200,0)),"")</f>
        <v/>
      </c>
      <c r="F173" s="4" t="str">
        <f>IFERROR(INDEX('Araç Tanımlama'!$E$5:$E$200,MATCH(D173,'Araç Tanımlama'!$A$5:$A$200,0)),"")</f>
        <v/>
      </c>
      <c r="G173" s="2"/>
      <c r="H173" s="7"/>
      <c r="I173" s="9" t="str">
        <f>IF(OR(G173="",H173=""),"",G173*H173)</f>
        <v/>
      </c>
      <c r="J173" s="2"/>
      <c r="K173" s="2"/>
    </row>
    <row r="174" spans="1:11">
      <c r="A174" s="4" t="str">
        <f>IF(D174="","",COUNTIF($D$5:D174,"?*"))</f>
        <v/>
      </c>
      <c r="B174" s="5"/>
      <c r="C174" s="4" t="str">
        <f>IF(B174="","",INDEX({"Ocak","Şubat","Mart","Nisan","Mayıs","Haziran","Temmuz","Ağustos","Eylül","Ekim","Kasım","Aralık"},MONTH(B174)))</f>
        <v/>
      </c>
      <c r="D174" s="2"/>
      <c r="E174" s="4" t="str">
        <f>IFERROR(INDEX('Araç Tanımlama'!$D$5:$D$200,MATCH(D174,'Araç Tanımlama'!$A$5:$A$200,0)),"")</f>
        <v/>
      </c>
      <c r="F174" s="4" t="str">
        <f>IFERROR(INDEX('Araç Tanımlama'!$E$5:$E$200,MATCH(D174,'Araç Tanımlama'!$A$5:$A$200,0)),"")</f>
        <v/>
      </c>
      <c r="G174" s="2"/>
      <c r="H174" s="7"/>
      <c r="I174" s="9" t="str">
        <f>IF(OR(G174="",H174=""),"",G174*H174)</f>
        <v/>
      </c>
      <c r="J174" s="2"/>
      <c r="K174" s="2"/>
    </row>
    <row r="175" spans="1:11">
      <c r="A175" s="4" t="str">
        <f>IF(D175="","",COUNTIF($D$5:D175,"?*"))</f>
        <v/>
      </c>
      <c r="B175" s="5"/>
      <c r="C175" s="4" t="str">
        <f>IF(B175="","",INDEX({"Ocak","Şubat","Mart","Nisan","Mayıs","Haziran","Temmuz","Ağustos","Eylül","Ekim","Kasım","Aralık"},MONTH(B175)))</f>
        <v/>
      </c>
      <c r="D175" s="2"/>
      <c r="E175" s="4" t="str">
        <f>IFERROR(INDEX('Araç Tanımlama'!$D$5:$D$200,MATCH(D175,'Araç Tanımlama'!$A$5:$A$200,0)),"")</f>
        <v/>
      </c>
      <c r="F175" s="4" t="str">
        <f>IFERROR(INDEX('Araç Tanımlama'!$E$5:$E$200,MATCH(D175,'Araç Tanımlama'!$A$5:$A$200,0)),"")</f>
        <v/>
      </c>
      <c r="G175" s="2"/>
      <c r="H175" s="7"/>
      <c r="I175" s="9" t="str">
        <f>IF(OR(G175="",H175=""),"",G175*H175)</f>
        <v/>
      </c>
      <c r="J175" s="2"/>
      <c r="K175" s="2"/>
    </row>
    <row r="176" spans="1:11">
      <c r="A176" s="4" t="str">
        <f>IF(D176="","",COUNTIF($D$5:D176,"?*"))</f>
        <v/>
      </c>
      <c r="B176" s="5"/>
      <c r="C176" s="4" t="str">
        <f>IF(B176="","",INDEX({"Ocak","Şubat","Mart","Nisan","Mayıs","Haziran","Temmuz","Ağustos","Eylül","Ekim","Kasım","Aralık"},MONTH(B176)))</f>
        <v/>
      </c>
      <c r="D176" s="2"/>
      <c r="E176" s="4" t="str">
        <f>IFERROR(INDEX('Araç Tanımlama'!$D$5:$D$200,MATCH(D176,'Araç Tanımlama'!$A$5:$A$200,0)),"")</f>
        <v/>
      </c>
      <c r="F176" s="4" t="str">
        <f>IFERROR(INDEX('Araç Tanımlama'!$E$5:$E$200,MATCH(D176,'Araç Tanımlama'!$A$5:$A$200,0)),"")</f>
        <v/>
      </c>
      <c r="G176" s="2"/>
      <c r="H176" s="7"/>
      <c r="I176" s="9" t="str">
        <f>IF(OR(G176="",H176=""),"",G176*H176)</f>
        <v/>
      </c>
      <c r="J176" s="2"/>
      <c r="K176" s="2"/>
    </row>
    <row r="177" spans="1:11">
      <c r="A177" s="4" t="str">
        <f>IF(D177="","",COUNTIF($D$5:D177,"?*"))</f>
        <v/>
      </c>
      <c r="B177" s="5"/>
      <c r="C177" s="4" t="str">
        <f>IF(B177="","",INDEX({"Ocak","Şubat","Mart","Nisan","Mayıs","Haziran","Temmuz","Ağustos","Eylül","Ekim","Kasım","Aralık"},MONTH(B177)))</f>
        <v/>
      </c>
      <c r="D177" s="2"/>
      <c r="E177" s="4" t="str">
        <f>IFERROR(INDEX('Araç Tanımlama'!$D$5:$D$200,MATCH(D177,'Araç Tanımlama'!$A$5:$A$200,0)),"")</f>
        <v/>
      </c>
      <c r="F177" s="4" t="str">
        <f>IFERROR(INDEX('Araç Tanımlama'!$E$5:$E$200,MATCH(D177,'Araç Tanımlama'!$A$5:$A$200,0)),"")</f>
        <v/>
      </c>
      <c r="G177" s="2"/>
      <c r="H177" s="7"/>
      <c r="I177" s="9" t="str">
        <f>IF(OR(G177="",H177=""),"",G177*H177)</f>
        <v/>
      </c>
      <c r="J177" s="2"/>
      <c r="K177" s="2"/>
    </row>
    <row r="178" spans="1:11">
      <c r="A178" s="4" t="str">
        <f>IF(D178="","",COUNTIF($D$5:D178,"?*"))</f>
        <v/>
      </c>
      <c r="B178" s="5"/>
      <c r="C178" s="4" t="str">
        <f>IF(B178="","",INDEX({"Ocak","Şubat","Mart","Nisan","Mayıs","Haziran","Temmuz","Ağustos","Eylül","Ekim","Kasım","Aralık"},MONTH(B178)))</f>
        <v/>
      </c>
      <c r="D178" s="2"/>
      <c r="E178" s="4" t="str">
        <f>IFERROR(INDEX('Araç Tanımlama'!$D$5:$D$200,MATCH(D178,'Araç Tanımlama'!$A$5:$A$200,0)),"")</f>
        <v/>
      </c>
      <c r="F178" s="4" t="str">
        <f>IFERROR(INDEX('Araç Tanımlama'!$E$5:$E$200,MATCH(D178,'Araç Tanımlama'!$A$5:$A$200,0)),"")</f>
        <v/>
      </c>
      <c r="G178" s="2"/>
      <c r="H178" s="7"/>
      <c r="I178" s="9" t="str">
        <f>IF(OR(G178="",H178=""),"",G178*H178)</f>
        <v/>
      </c>
      <c r="J178" s="2"/>
      <c r="K178" s="2"/>
    </row>
    <row r="179" spans="1:11">
      <c r="A179" s="4" t="str">
        <f>IF(D179="","",COUNTIF($D$5:D179,"?*"))</f>
        <v/>
      </c>
      <c r="B179" s="5"/>
      <c r="C179" s="4" t="str">
        <f>IF(B179="","",INDEX({"Ocak","Şubat","Mart","Nisan","Mayıs","Haziran","Temmuz","Ağustos","Eylül","Ekim","Kasım","Aralık"},MONTH(B179)))</f>
        <v/>
      </c>
      <c r="D179" s="2"/>
      <c r="E179" s="4" t="str">
        <f>IFERROR(INDEX('Araç Tanımlama'!$D$5:$D$200,MATCH(D179,'Araç Tanımlama'!$A$5:$A$200,0)),"")</f>
        <v/>
      </c>
      <c r="F179" s="4" t="str">
        <f>IFERROR(INDEX('Araç Tanımlama'!$E$5:$E$200,MATCH(D179,'Araç Tanımlama'!$A$5:$A$200,0)),"")</f>
        <v/>
      </c>
      <c r="G179" s="2"/>
      <c r="H179" s="7"/>
      <c r="I179" s="9" t="str">
        <f>IF(OR(G179="",H179=""),"",G179*H179)</f>
        <v/>
      </c>
      <c r="J179" s="2"/>
      <c r="K179" s="2"/>
    </row>
    <row r="180" spans="1:11">
      <c r="A180" s="4" t="str">
        <f>IF(D180="","",COUNTIF($D$5:D180,"?*"))</f>
        <v/>
      </c>
      <c r="B180" s="5"/>
      <c r="C180" s="4" t="str">
        <f>IF(B180="","",INDEX({"Ocak","Şubat","Mart","Nisan","Mayıs","Haziran","Temmuz","Ağustos","Eylül","Ekim","Kasım","Aralık"},MONTH(B180)))</f>
        <v/>
      </c>
      <c r="D180" s="2"/>
      <c r="E180" s="4" t="str">
        <f>IFERROR(INDEX('Araç Tanımlama'!$D$5:$D$200,MATCH(D180,'Araç Tanımlama'!$A$5:$A$200,0)),"")</f>
        <v/>
      </c>
      <c r="F180" s="4" t="str">
        <f>IFERROR(INDEX('Araç Tanımlama'!$E$5:$E$200,MATCH(D180,'Araç Tanımlama'!$A$5:$A$200,0)),"")</f>
        <v/>
      </c>
      <c r="G180" s="2"/>
      <c r="H180" s="7"/>
      <c r="I180" s="9" t="str">
        <f>IF(OR(G180="",H180=""),"",G180*H180)</f>
        <v/>
      </c>
      <c r="J180" s="2"/>
      <c r="K180" s="2"/>
    </row>
    <row r="181" spans="1:11">
      <c r="A181" s="4" t="str">
        <f>IF(D181="","",COUNTIF($D$5:D181,"?*"))</f>
        <v/>
      </c>
      <c r="B181" s="5"/>
      <c r="C181" s="4" t="str">
        <f>IF(B181="","",INDEX({"Ocak","Şubat","Mart","Nisan","Mayıs","Haziran","Temmuz","Ağustos","Eylül","Ekim","Kasım","Aralık"},MONTH(B181)))</f>
        <v/>
      </c>
      <c r="D181" s="2"/>
      <c r="E181" s="4" t="str">
        <f>IFERROR(INDEX('Araç Tanımlama'!$D$5:$D$200,MATCH(D181,'Araç Tanımlama'!$A$5:$A$200,0)),"")</f>
        <v/>
      </c>
      <c r="F181" s="4" t="str">
        <f>IFERROR(INDEX('Araç Tanımlama'!$E$5:$E$200,MATCH(D181,'Araç Tanımlama'!$A$5:$A$200,0)),"")</f>
        <v/>
      </c>
      <c r="G181" s="2"/>
      <c r="H181" s="7"/>
      <c r="I181" s="9" t="str">
        <f>IF(OR(G181="",H181=""),"",G181*H181)</f>
        <v/>
      </c>
      <c r="J181" s="2"/>
      <c r="K181" s="2"/>
    </row>
    <row r="182" spans="1:11">
      <c r="A182" s="4" t="str">
        <f>IF(D182="","",COUNTIF($D$5:D182,"?*"))</f>
        <v/>
      </c>
      <c r="B182" s="5"/>
      <c r="C182" s="4" t="str">
        <f>IF(B182="","",INDEX({"Ocak","Şubat","Mart","Nisan","Mayıs","Haziran","Temmuz","Ağustos","Eylül","Ekim","Kasım","Aralık"},MONTH(B182)))</f>
        <v/>
      </c>
      <c r="D182" s="2"/>
      <c r="E182" s="4" t="str">
        <f>IFERROR(INDEX('Araç Tanımlama'!$D$5:$D$200,MATCH(D182,'Araç Tanımlama'!$A$5:$A$200,0)),"")</f>
        <v/>
      </c>
      <c r="F182" s="4" t="str">
        <f>IFERROR(INDEX('Araç Tanımlama'!$E$5:$E$200,MATCH(D182,'Araç Tanımlama'!$A$5:$A$200,0)),"")</f>
        <v/>
      </c>
      <c r="G182" s="2"/>
      <c r="H182" s="7"/>
      <c r="I182" s="9" t="str">
        <f>IF(OR(G182="",H182=""),"",G182*H182)</f>
        <v/>
      </c>
      <c r="J182" s="2"/>
      <c r="K182" s="2"/>
    </row>
    <row r="183" spans="1:11">
      <c r="A183" s="4" t="str">
        <f>IF(D183="","",COUNTIF($D$5:D183,"?*"))</f>
        <v/>
      </c>
      <c r="B183" s="5"/>
      <c r="C183" s="4" t="str">
        <f>IF(B183="","",INDEX({"Ocak","Şubat","Mart","Nisan","Mayıs","Haziran","Temmuz","Ağustos","Eylül","Ekim","Kasım","Aralık"},MONTH(B183)))</f>
        <v/>
      </c>
      <c r="D183" s="2"/>
      <c r="E183" s="4" t="str">
        <f>IFERROR(INDEX('Araç Tanımlama'!$D$5:$D$200,MATCH(D183,'Araç Tanımlama'!$A$5:$A$200,0)),"")</f>
        <v/>
      </c>
      <c r="F183" s="4" t="str">
        <f>IFERROR(INDEX('Araç Tanımlama'!$E$5:$E$200,MATCH(D183,'Araç Tanımlama'!$A$5:$A$200,0)),"")</f>
        <v/>
      </c>
      <c r="G183" s="2"/>
      <c r="H183" s="7"/>
      <c r="I183" s="9" t="str">
        <f>IF(OR(G183="",H183=""),"",G183*H183)</f>
        <v/>
      </c>
      <c r="J183" s="2"/>
      <c r="K183" s="2"/>
    </row>
    <row r="184" spans="1:11">
      <c r="A184" s="4" t="str">
        <f>IF(D184="","",COUNTIF($D$5:D184,"?*"))</f>
        <v/>
      </c>
      <c r="B184" s="5"/>
      <c r="C184" s="4" t="str">
        <f>IF(B184="","",INDEX({"Ocak","Şubat","Mart","Nisan","Mayıs","Haziran","Temmuz","Ağustos","Eylül","Ekim","Kasım","Aralık"},MONTH(B184)))</f>
        <v/>
      </c>
      <c r="D184" s="2"/>
      <c r="E184" s="4" t="str">
        <f>IFERROR(INDEX('Araç Tanımlama'!$D$5:$D$200,MATCH(D184,'Araç Tanımlama'!$A$5:$A$200,0)),"")</f>
        <v/>
      </c>
      <c r="F184" s="4" t="str">
        <f>IFERROR(INDEX('Araç Tanımlama'!$E$5:$E$200,MATCH(D184,'Araç Tanımlama'!$A$5:$A$200,0)),"")</f>
        <v/>
      </c>
      <c r="G184" s="2"/>
      <c r="H184" s="7"/>
      <c r="I184" s="9" t="str">
        <f>IF(OR(G184="",H184=""),"",G184*H184)</f>
        <v/>
      </c>
      <c r="J184" s="2"/>
      <c r="K184" s="2"/>
    </row>
    <row r="185" spans="1:11">
      <c r="A185" s="4" t="str">
        <f>IF(D185="","",COUNTIF($D$5:D185,"?*"))</f>
        <v/>
      </c>
      <c r="B185" s="5"/>
      <c r="C185" s="4" t="str">
        <f>IF(B185="","",INDEX({"Ocak","Şubat","Mart","Nisan","Mayıs","Haziran","Temmuz","Ağustos","Eylül","Ekim","Kasım","Aralık"},MONTH(B185)))</f>
        <v/>
      </c>
      <c r="D185" s="2"/>
      <c r="E185" s="4" t="str">
        <f>IFERROR(INDEX('Araç Tanımlama'!$D$5:$D$200,MATCH(D185,'Araç Tanımlama'!$A$5:$A$200,0)),"")</f>
        <v/>
      </c>
      <c r="F185" s="4" t="str">
        <f>IFERROR(INDEX('Araç Tanımlama'!$E$5:$E$200,MATCH(D185,'Araç Tanımlama'!$A$5:$A$200,0)),"")</f>
        <v/>
      </c>
      <c r="G185" s="2"/>
      <c r="H185" s="7"/>
      <c r="I185" s="9" t="str">
        <f>IF(OR(G185="",H185=""),"",G185*H185)</f>
        <v/>
      </c>
      <c r="J185" s="2"/>
      <c r="K185" s="2"/>
    </row>
    <row r="186" spans="1:11">
      <c r="A186" s="4" t="str">
        <f>IF(D186="","",COUNTIF($D$5:D186,"?*"))</f>
        <v/>
      </c>
      <c r="B186" s="5"/>
      <c r="C186" s="4" t="str">
        <f>IF(B186="","",INDEX({"Ocak","Şubat","Mart","Nisan","Mayıs","Haziran","Temmuz","Ağustos","Eylül","Ekim","Kasım","Aralık"},MONTH(B186)))</f>
        <v/>
      </c>
      <c r="D186" s="2"/>
      <c r="E186" s="4" t="str">
        <f>IFERROR(INDEX('Araç Tanımlama'!$D$5:$D$200,MATCH(D186,'Araç Tanımlama'!$A$5:$A$200,0)),"")</f>
        <v/>
      </c>
      <c r="F186" s="4" t="str">
        <f>IFERROR(INDEX('Araç Tanımlama'!$E$5:$E$200,MATCH(D186,'Araç Tanımlama'!$A$5:$A$200,0)),"")</f>
        <v/>
      </c>
      <c r="G186" s="2"/>
      <c r="H186" s="7"/>
      <c r="I186" s="9" t="str">
        <f>IF(OR(G186="",H186=""),"",G186*H186)</f>
        <v/>
      </c>
      <c r="J186" s="2"/>
      <c r="K186" s="2"/>
    </row>
    <row r="187" spans="1:11">
      <c r="A187" s="4" t="str">
        <f>IF(D187="","",COUNTIF($D$5:D187,"?*"))</f>
        <v/>
      </c>
      <c r="B187" s="5"/>
      <c r="C187" s="4" t="str">
        <f>IF(B187="","",INDEX({"Ocak","Şubat","Mart","Nisan","Mayıs","Haziran","Temmuz","Ağustos","Eylül","Ekim","Kasım","Aralık"},MONTH(B187)))</f>
        <v/>
      </c>
      <c r="D187" s="2"/>
      <c r="E187" s="4" t="str">
        <f>IFERROR(INDEX('Araç Tanımlama'!$D$5:$D$200,MATCH(D187,'Araç Tanımlama'!$A$5:$A$200,0)),"")</f>
        <v/>
      </c>
      <c r="F187" s="4" t="str">
        <f>IFERROR(INDEX('Araç Tanımlama'!$E$5:$E$200,MATCH(D187,'Araç Tanımlama'!$A$5:$A$200,0)),"")</f>
        <v/>
      </c>
      <c r="G187" s="2"/>
      <c r="H187" s="7"/>
      <c r="I187" s="9" t="str">
        <f>IF(OR(G187="",H187=""),"",G187*H187)</f>
        <v/>
      </c>
      <c r="J187" s="2"/>
      <c r="K187" s="2"/>
    </row>
    <row r="188" spans="1:11">
      <c r="A188" s="4" t="str">
        <f>IF(D188="","",COUNTIF($D$5:D188,"?*"))</f>
        <v/>
      </c>
      <c r="B188" s="5"/>
      <c r="C188" s="4" t="str">
        <f>IF(B188="","",INDEX({"Ocak","Şubat","Mart","Nisan","Mayıs","Haziran","Temmuz","Ağustos","Eylül","Ekim","Kasım","Aralık"},MONTH(B188)))</f>
        <v/>
      </c>
      <c r="D188" s="2"/>
      <c r="E188" s="4" t="str">
        <f>IFERROR(INDEX('Araç Tanımlama'!$D$5:$D$200,MATCH(D188,'Araç Tanımlama'!$A$5:$A$200,0)),"")</f>
        <v/>
      </c>
      <c r="F188" s="4" t="str">
        <f>IFERROR(INDEX('Araç Tanımlama'!$E$5:$E$200,MATCH(D188,'Araç Tanımlama'!$A$5:$A$200,0)),"")</f>
        <v/>
      </c>
      <c r="G188" s="2"/>
      <c r="H188" s="7"/>
      <c r="I188" s="9" t="str">
        <f>IF(OR(G188="",H188=""),"",G188*H188)</f>
        <v/>
      </c>
      <c r="J188" s="2"/>
      <c r="K188" s="2"/>
    </row>
    <row r="189" spans="1:11">
      <c r="A189" s="4" t="str">
        <f>IF(D189="","",COUNTIF($D$5:D189,"?*"))</f>
        <v/>
      </c>
      <c r="B189" s="5"/>
      <c r="C189" s="4" t="str">
        <f>IF(B189="","",INDEX({"Ocak","Şubat","Mart","Nisan","Mayıs","Haziran","Temmuz","Ağustos","Eylül","Ekim","Kasım","Aralık"},MONTH(B189)))</f>
        <v/>
      </c>
      <c r="D189" s="2"/>
      <c r="E189" s="4" t="str">
        <f>IFERROR(INDEX('Araç Tanımlama'!$D$5:$D$200,MATCH(D189,'Araç Tanımlama'!$A$5:$A$200,0)),"")</f>
        <v/>
      </c>
      <c r="F189" s="4" t="str">
        <f>IFERROR(INDEX('Araç Tanımlama'!$E$5:$E$200,MATCH(D189,'Araç Tanımlama'!$A$5:$A$200,0)),"")</f>
        <v/>
      </c>
      <c r="G189" s="2"/>
      <c r="H189" s="7"/>
      <c r="I189" s="9" t="str">
        <f>IF(OR(G189="",H189=""),"",G189*H189)</f>
        <v/>
      </c>
      <c r="J189" s="2"/>
      <c r="K189" s="2"/>
    </row>
    <row r="190" spans="1:11">
      <c r="A190" s="4" t="str">
        <f>IF(D190="","",COUNTIF($D$5:D190,"?*"))</f>
        <v/>
      </c>
      <c r="B190" s="5"/>
      <c r="C190" s="4" t="str">
        <f>IF(B190="","",INDEX({"Ocak","Şubat","Mart","Nisan","Mayıs","Haziran","Temmuz","Ağustos","Eylül","Ekim","Kasım","Aralık"},MONTH(B190)))</f>
        <v/>
      </c>
      <c r="D190" s="2"/>
      <c r="E190" s="4" t="str">
        <f>IFERROR(INDEX('Araç Tanımlama'!$D$5:$D$200,MATCH(D190,'Araç Tanımlama'!$A$5:$A$200,0)),"")</f>
        <v/>
      </c>
      <c r="F190" s="4" t="str">
        <f>IFERROR(INDEX('Araç Tanımlama'!$E$5:$E$200,MATCH(D190,'Araç Tanımlama'!$A$5:$A$200,0)),"")</f>
        <v/>
      </c>
      <c r="G190" s="2"/>
      <c r="H190" s="7"/>
      <c r="I190" s="9" t="str">
        <f>IF(OR(G190="",H190=""),"",G190*H190)</f>
        <v/>
      </c>
      <c r="J190" s="2"/>
      <c r="K190" s="2"/>
    </row>
    <row r="191" spans="1:11">
      <c r="A191" s="4" t="str">
        <f>IF(D191="","",COUNTIF($D$5:D191,"?*"))</f>
        <v/>
      </c>
      <c r="B191" s="5"/>
      <c r="C191" s="4" t="str">
        <f>IF(B191="","",INDEX({"Ocak","Şubat","Mart","Nisan","Mayıs","Haziran","Temmuz","Ağustos","Eylül","Ekim","Kasım","Aralık"},MONTH(B191)))</f>
        <v/>
      </c>
      <c r="D191" s="2"/>
      <c r="E191" s="4" t="str">
        <f>IFERROR(INDEX('Araç Tanımlama'!$D$5:$D$200,MATCH(D191,'Araç Tanımlama'!$A$5:$A$200,0)),"")</f>
        <v/>
      </c>
      <c r="F191" s="4" t="str">
        <f>IFERROR(INDEX('Araç Tanımlama'!$E$5:$E$200,MATCH(D191,'Araç Tanımlama'!$A$5:$A$200,0)),"")</f>
        <v/>
      </c>
      <c r="G191" s="2"/>
      <c r="H191" s="7"/>
      <c r="I191" s="9" t="str">
        <f>IF(OR(G191="",H191=""),"",G191*H191)</f>
        <v/>
      </c>
      <c r="J191" s="2"/>
      <c r="K191" s="2"/>
    </row>
    <row r="192" spans="1:11">
      <c r="A192" s="4" t="str">
        <f>IF(D192="","",COUNTIF($D$5:D192,"?*"))</f>
        <v/>
      </c>
      <c r="B192" s="5"/>
      <c r="C192" s="4" t="str">
        <f>IF(B192="","",INDEX({"Ocak","Şubat","Mart","Nisan","Mayıs","Haziran","Temmuz","Ağustos","Eylül","Ekim","Kasım","Aralık"},MONTH(B192)))</f>
        <v/>
      </c>
      <c r="D192" s="2"/>
      <c r="E192" s="4" t="str">
        <f>IFERROR(INDEX('Araç Tanımlama'!$D$5:$D$200,MATCH(D192,'Araç Tanımlama'!$A$5:$A$200,0)),"")</f>
        <v/>
      </c>
      <c r="F192" s="4" t="str">
        <f>IFERROR(INDEX('Araç Tanımlama'!$E$5:$E$200,MATCH(D192,'Araç Tanımlama'!$A$5:$A$200,0)),"")</f>
        <v/>
      </c>
      <c r="G192" s="2"/>
      <c r="H192" s="7"/>
      <c r="I192" s="9" t="str">
        <f>IF(OR(G192="",H192=""),"",G192*H192)</f>
        <v/>
      </c>
      <c r="J192" s="2"/>
      <c r="K192" s="2"/>
    </row>
    <row r="193" spans="1:11">
      <c r="A193" s="4" t="str">
        <f>IF(D193="","",COUNTIF($D$5:D193,"?*"))</f>
        <v/>
      </c>
      <c r="B193" s="5"/>
      <c r="C193" s="4" t="str">
        <f>IF(B193="","",INDEX({"Ocak","Şubat","Mart","Nisan","Mayıs","Haziran","Temmuz","Ağustos","Eylül","Ekim","Kasım","Aralık"},MONTH(B193)))</f>
        <v/>
      </c>
      <c r="D193" s="2"/>
      <c r="E193" s="4" t="str">
        <f>IFERROR(INDEX('Araç Tanımlama'!$D$5:$D$200,MATCH(D193,'Araç Tanımlama'!$A$5:$A$200,0)),"")</f>
        <v/>
      </c>
      <c r="F193" s="4" t="str">
        <f>IFERROR(INDEX('Araç Tanımlama'!$E$5:$E$200,MATCH(D193,'Araç Tanımlama'!$A$5:$A$200,0)),"")</f>
        <v/>
      </c>
      <c r="G193" s="2"/>
      <c r="H193" s="7"/>
      <c r="I193" s="9" t="str">
        <f>IF(OR(G193="",H193=""),"",G193*H193)</f>
        <v/>
      </c>
      <c r="J193" s="2"/>
      <c r="K193" s="2"/>
    </row>
    <row r="194" spans="1:11">
      <c r="A194" s="4" t="str">
        <f>IF(D194="","",COUNTIF($D$5:D194,"?*"))</f>
        <v/>
      </c>
      <c r="B194" s="5"/>
      <c r="C194" s="4" t="str">
        <f>IF(B194="","",INDEX({"Ocak","Şubat","Mart","Nisan","Mayıs","Haziran","Temmuz","Ağustos","Eylül","Ekim","Kasım","Aralık"},MONTH(B194)))</f>
        <v/>
      </c>
      <c r="D194" s="2"/>
      <c r="E194" s="4" t="str">
        <f>IFERROR(INDEX('Araç Tanımlama'!$D$5:$D$200,MATCH(D194,'Araç Tanımlama'!$A$5:$A$200,0)),"")</f>
        <v/>
      </c>
      <c r="F194" s="4" t="str">
        <f>IFERROR(INDEX('Araç Tanımlama'!$E$5:$E$200,MATCH(D194,'Araç Tanımlama'!$A$5:$A$200,0)),"")</f>
        <v/>
      </c>
      <c r="G194" s="2"/>
      <c r="H194" s="7"/>
      <c r="I194" s="9" t="str">
        <f>IF(OR(G194="",H194=""),"",G194*H194)</f>
        <v/>
      </c>
      <c r="J194" s="2"/>
      <c r="K194" s="2"/>
    </row>
    <row r="195" spans="1:11">
      <c r="A195" s="4" t="str">
        <f>IF(D195="","",COUNTIF($D$5:D195,"?*"))</f>
        <v/>
      </c>
      <c r="B195" s="5"/>
      <c r="C195" s="4" t="str">
        <f>IF(B195="","",INDEX({"Ocak","Şubat","Mart","Nisan","Mayıs","Haziran","Temmuz","Ağustos","Eylül","Ekim","Kasım","Aralık"},MONTH(B195)))</f>
        <v/>
      </c>
      <c r="D195" s="2"/>
      <c r="E195" s="4" t="str">
        <f>IFERROR(INDEX('Araç Tanımlama'!$D$5:$D$200,MATCH(D195,'Araç Tanımlama'!$A$5:$A$200,0)),"")</f>
        <v/>
      </c>
      <c r="F195" s="4" t="str">
        <f>IFERROR(INDEX('Araç Tanımlama'!$E$5:$E$200,MATCH(D195,'Araç Tanımlama'!$A$5:$A$200,0)),"")</f>
        <v/>
      </c>
      <c r="G195" s="2"/>
      <c r="H195" s="7"/>
      <c r="I195" s="9" t="str">
        <f>IF(OR(G195="",H195=""),"",G195*H195)</f>
        <v/>
      </c>
      <c r="J195" s="2"/>
      <c r="K195" s="2"/>
    </row>
    <row r="196" spans="1:11">
      <c r="A196" s="4" t="str">
        <f>IF(D196="","",COUNTIF($D$5:D196,"?*"))</f>
        <v/>
      </c>
      <c r="B196" s="5"/>
      <c r="C196" s="4" t="str">
        <f>IF(B196="","",INDEX({"Ocak","Şubat","Mart","Nisan","Mayıs","Haziran","Temmuz","Ağustos","Eylül","Ekim","Kasım","Aralık"},MONTH(B196)))</f>
        <v/>
      </c>
      <c r="D196" s="2"/>
      <c r="E196" s="4" t="str">
        <f>IFERROR(INDEX('Araç Tanımlama'!$D$5:$D$200,MATCH(D196,'Araç Tanımlama'!$A$5:$A$200,0)),"")</f>
        <v/>
      </c>
      <c r="F196" s="4" t="str">
        <f>IFERROR(INDEX('Araç Tanımlama'!$E$5:$E$200,MATCH(D196,'Araç Tanımlama'!$A$5:$A$200,0)),"")</f>
        <v/>
      </c>
      <c r="G196" s="2"/>
      <c r="H196" s="7"/>
      <c r="I196" s="9" t="str">
        <f>IF(OR(G196="",H196=""),"",G196*H196)</f>
        <v/>
      </c>
      <c r="J196" s="2"/>
      <c r="K196" s="2"/>
    </row>
    <row r="197" spans="1:11">
      <c r="A197" s="4" t="str">
        <f>IF(D197="","",COUNTIF($D$5:D197,"?*"))</f>
        <v/>
      </c>
      <c r="B197" s="5"/>
      <c r="C197" s="4" t="str">
        <f>IF(B197="","",INDEX({"Ocak","Şubat","Mart","Nisan","Mayıs","Haziran","Temmuz","Ağustos","Eylül","Ekim","Kasım","Aralık"},MONTH(B197)))</f>
        <v/>
      </c>
      <c r="D197" s="2"/>
      <c r="E197" s="4" t="str">
        <f>IFERROR(INDEX('Araç Tanımlama'!$D$5:$D$200,MATCH(D197,'Araç Tanımlama'!$A$5:$A$200,0)),"")</f>
        <v/>
      </c>
      <c r="F197" s="4" t="str">
        <f>IFERROR(INDEX('Araç Tanımlama'!$E$5:$E$200,MATCH(D197,'Araç Tanımlama'!$A$5:$A$200,0)),"")</f>
        <v/>
      </c>
      <c r="G197" s="2"/>
      <c r="H197" s="7"/>
      <c r="I197" s="9" t="str">
        <f>IF(OR(G197="",H197=""),"",G197*H197)</f>
        <v/>
      </c>
      <c r="J197" s="2"/>
      <c r="K197" s="2"/>
    </row>
    <row r="198" spans="1:11">
      <c r="A198" s="4" t="str">
        <f>IF(D198="","",COUNTIF($D$5:D198,"?*"))</f>
        <v/>
      </c>
      <c r="B198" s="5"/>
      <c r="C198" s="4" t="str">
        <f>IF(B198="","",INDEX({"Ocak","Şubat","Mart","Nisan","Mayıs","Haziran","Temmuz","Ağustos","Eylül","Ekim","Kasım","Aralık"},MONTH(B198)))</f>
        <v/>
      </c>
      <c r="D198" s="2"/>
      <c r="E198" s="4" t="str">
        <f>IFERROR(INDEX('Araç Tanımlama'!$D$5:$D$200,MATCH(D198,'Araç Tanımlama'!$A$5:$A$200,0)),"")</f>
        <v/>
      </c>
      <c r="F198" s="4" t="str">
        <f>IFERROR(INDEX('Araç Tanımlama'!$E$5:$E$200,MATCH(D198,'Araç Tanımlama'!$A$5:$A$200,0)),"")</f>
        <v/>
      </c>
      <c r="G198" s="2"/>
      <c r="H198" s="7"/>
      <c r="I198" s="9" t="str">
        <f>IF(OR(G198="",H198=""),"",G198*H198)</f>
        <v/>
      </c>
      <c r="J198" s="2"/>
      <c r="K198" s="2"/>
    </row>
    <row r="199" spans="1:11">
      <c r="A199" s="4" t="str">
        <f>IF(D199="","",COUNTIF($D$5:D199,"?*"))</f>
        <v/>
      </c>
      <c r="B199" s="5"/>
      <c r="C199" s="4" t="str">
        <f>IF(B199="","",INDEX({"Ocak","Şubat","Mart","Nisan","Mayıs","Haziran","Temmuz","Ağustos","Eylül","Ekim","Kasım","Aralık"},MONTH(B199)))</f>
        <v/>
      </c>
      <c r="D199" s="2"/>
      <c r="E199" s="4" t="str">
        <f>IFERROR(INDEX('Araç Tanımlama'!$D$5:$D$200,MATCH(D199,'Araç Tanımlama'!$A$5:$A$200,0)),"")</f>
        <v/>
      </c>
      <c r="F199" s="4" t="str">
        <f>IFERROR(INDEX('Araç Tanımlama'!$E$5:$E$200,MATCH(D199,'Araç Tanımlama'!$A$5:$A$200,0)),"")</f>
        <v/>
      </c>
      <c r="G199" s="2"/>
      <c r="H199" s="7"/>
      <c r="I199" s="9" t="str">
        <f>IF(OR(G199="",H199=""),"",G199*H199)</f>
        <v/>
      </c>
      <c r="J199" s="2"/>
      <c r="K199" s="2"/>
    </row>
    <row r="200" spans="1:11">
      <c r="A200" s="4" t="str">
        <f>IF(D200="","",COUNTIF($D$5:D200,"?*"))</f>
        <v/>
      </c>
      <c r="B200" s="5"/>
      <c r="C200" s="4" t="str">
        <f>IF(B200="","",INDEX({"Ocak","Şubat","Mart","Nisan","Mayıs","Haziran","Temmuz","Ağustos","Eylül","Ekim","Kasım","Aralık"},MONTH(B200)))</f>
        <v/>
      </c>
      <c r="D200" s="2"/>
      <c r="E200" s="4" t="str">
        <f>IFERROR(INDEX('Araç Tanımlama'!$D$5:$D$200,MATCH(D200,'Araç Tanımlama'!$A$5:$A$200,0)),"")</f>
        <v/>
      </c>
      <c r="F200" s="4" t="str">
        <f>IFERROR(INDEX('Araç Tanımlama'!$E$5:$E$200,MATCH(D200,'Araç Tanımlama'!$A$5:$A$200,0)),"")</f>
        <v/>
      </c>
      <c r="G200" s="2"/>
      <c r="H200" s="7"/>
      <c r="I200" s="9" t="str">
        <f>IF(OR(G200="",H200=""),"",G200*H200)</f>
        <v/>
      </c>
      <c r="J200" s="2"/>
      <c r="K200" s="2"/>
    </row>
    <row r="201" spans="1:11">
      <c r="A201" s="4" t="str">
        <f>IF(D201="","",COUNTIF($D$5:D201,"?*"))</f>
        <v/>
      </c>
      <c r="B201" s="5"/>
      <c r="C201" s="4" t="str">
        <f>IF(B201="","",INDEX({"Ocak","Şubat","Mart","Nisan","Mayıs","Haziran","Temmuz","Ağustos","Eylül","Ekim","Kasım","Aralık"},MONTH(B201)))</f>
        <v/>
      </c>
      <c r="D201" s="2"/>
      <c r="E201" s="4" t="str">
        <f>IFERROR(INDEX('Araç Tanımlama'!$D$5:$D$200,MATCH(D201,'Araç Tanımlama'!$A$5:$A$200,0)),"")</f>
        <v/>
      </c>
      <c r="F201" s="4" t="str">
        <f>IFERROR(INDEX('Araç Tanımlama'!$E$5:$E$200,MATCH(D201,'Araç Tanımlama'!$A$5:$A$200,0)),"")</f>
        <v/>
      </c>
      <c r="G201" s="2"/>
      <c r="H201" s="7"/>
      <c r="I201" s="9" t="str">
        <f>IF(OR(G201="",H201=""),"",G201*H201)</f>
        <v/>
      </c>
      <c r="J201" s="2"/>
      <c r="K201" s="2"/>
    </row>
    <row r="202" spans="1:11">
      <c r="A202" s="4" t="str">
        <f>IF(D202="","",COUNTIF($D$5:D202,"?*"))</f>
        <v/>
      </c>
      <c r="B202" s="5"/>
      <c r="C202" s="4" t="str">
        <f>IF(B202="","",INDEX({"Ocak","Şubat","Mart","Nisan","Mayıs","Haziran","Temmuz","Ağustos","Eylül","Ekim","Kasım","Aralık"},MONTH(B202)))</f>
        <v/>
      </c>
      <c r="D202" s="2"/>
      <c r="E202" s="4" t="str">
        <f>IFERROR(INDEX('Araç Tanımlama'!$D$5:$D$200,MATCH(D202,'Araç Tanımlama'!$A$5:$A$200,0)),"")</f>
        <v/>
      </c>
      <c r="F202" s="4" t="str">
        <f>IFERROR(INDEX('Araç Tanımlama'!$E$5:$E$200,MATCH(D202,'Araç Tanımlama'!$A$5:$A$200,0)),"")</f>
        <v/>
      </c>
      <c r="G202" s="2"/>
      <c r="H202" s="7"/>
      <c r="I202" s="9" t="str">
        <f>IF(OR(G202="",H202=""),"",G202*H202)</f>
        <v/>
      </c>
      <c r="J202" s="2"/>
      <c r="K202" s="2"/>
    </row>
    <row r="203" spans="1:11">
      <c r="A203" s="4" t="str">
        <f>IF(D203="","",COUNTIF($D$5:D203,"?*"))</f>
        <v/>
      </c>
      <c r="B203" s="5"/>
      <c r="C203" s="4" t="str">
        <f>IF(B203="","",INDEX({"Ocak","Şubat","Mart","Nisan","Mayıs","Haziran","Temmuz","Ağustos","Eylül","Ekim","Kasım","Aralık"},MONTH(B203)))</f>
        <v/>
      </c>
      <c r="D203" s="2"/>
      <c r="E203" s="4" t="str">
        <f>IFERROR(INDEX('Araç Tanımlama'!$D$5:$D$200,MATCH(D203,'Araç Tanımlama'!$A$5:$A$200,0)),"")</f>
        <v/>
      </c>
      <c r="F203" s="4" t="str">
        <f>IFERROR(INDEX('Araç Tanımlama'!$E$5:$E$200,MATCH(D203,'Araç Tanımlama'!$A$5:$A$200,0)),"")</f>
        <v/>
      </c>
      <c r="G203" s="2"/>
      <c r="H203" s="7"/>
      <c r="I203" s="9" t="str">
        <f>IF(OR(G203="",H203=""),"",G203*H203)</f>
        <v/>
      </c>
      <c r="J203" s="2"/>
      <c r="K203" s="2"/>
    </row>
    <row r="204" spans="1:11">
      <c r="A204" s="4" t="str">
        <f>IF(D204="","",COUNTIF($D$5:D204,"?*"))</f>
        <v/>
      </c>
      <c r="B204" s="5"/>
      <c r="C204" s="4" t="str">
        <f>IF(B204="","",INDEX({"Ocak","Şubat","Mart","Nisan","Mayıs","Haziran","Temmuz","Ağustos","Eylül","Ekim","Kasım","Aralık"},MONTH(B204)))</f>
        <v/>
      </c>
      <c r="D204" s="2"/>
      <c r="E204" s="4" t="str">
        <f>IFERROR(INDEX('Araç Tanımlama'!$D$5:$D$200,MATCH(D204,'Araç Tanımlama'!$A$5:$A$200,0)),"")</f>
        <v/>
      </c>
      <c r="F204" s="4" t="str">
        <f>IFERROR(INDEX('Araç Tanımlama'!$E$5:$E$200,MATCH(D204,'Araç Tanımlama'!$A$5:$A$200,0)),"")</f>
        <v/>
      </c>
      <c r="G204" s="2"/>
      <c r="H204" s="7"/>
      <c r="I204" s="9" t="str">
        <f>IF(OR(G204="",H204=""),"",G204*H204)</f>
        <v/>
      </c>
      <c r="J204" s="2"/>
      <c r="K204" s="2"/>
    </row>
    <row r="205" spans="1:11">
      <c r="A205" s="4" t="str">
        <f>IF(D205="","",COUNTIF($D$5:D205,"?*"))</f>
        <v/>
      </c>
      <c r="B205" s="5"/>
      <c r="C205" s="4" t="str">
        <f>IF(B205="","",INDEX({"Ocak","Şubat","Mart","Nisan","Mayıs","Haziran","Temmuz","Ağustos","Eylül","Ekim","Kasım","Aralık"},MONTH(B205)))</f>
        <v/>
      </c>
      <c r="D205" s="2"/>
      <c r="E205" s="4" t="str">
        <f>IFERROR(INDEX('Araç Tanımlama'!$D$5:$D$200,MATCH(D205,'Araç Tanımlama'!$A$5:$A$200,0)),"")</f>
        <v/>
      </c>
      <c r="F205" s="4" t="str">
        <f>IFERROR(INDEX('Araç Tanımlama'!$E$5:$E$200,MATCH(D205,'Araç Tanımlama'!$A$5:$A$200,0)),"")</f>
        <v/>
      </c>
      <c r="G205" s="2"/>
      <c r="H205" s="7"/>
      <c r="I205" s="9" t="str">
        <f>IF(OR(G205="",H205=""),"",G205*H205)</f>
        <v/>
      </c>
      <c r="J205" s="2"/>
      <c r="K205" s="2"/>
    </row>
    <row r="206" spans="1:11">
      <c r="A206" s="4" t="str">
        <f>IF(D206="","",COUNTIF($D$5:D206,"?*"))</f>
        <v/>
      </c>
      <c r="B206" s="5"/>
      <c r="C206" s="4" t="str">
        <f>IF(B206="","",INDEX({"Ocak","Şubat","Mart","Nisan","Mayıs","Haziran","Temmuz","Ağustos","Eylül","Ekim","Kasım","Aralık"},MONTH(B206)))</f>
        <v/>
      </c>
      <c r="D206" s="2"/>
      <c r="E206" s="4" t="str">
        <f>IFERROR(INDEX('Araç Tanımlama'!$D$5:$D$200,MATCH(D206,'Araç Tanımlama'!$A$5:$A$200,0)),"")</f>
        <v/>
      </c>
      <c r="F206" s="4" t="str">
        <f>IFERROR(INDEX('Araç Tanımlama'!$E$5:$E$200,MATCH(D206,'Araç Tanımlama'!$A$5:$A$200,0)),"")</f>
        <v/>
      </c>
      <c r="G206" s="2"/>
      <c r="H206" s="7"/>
      <c r="I206" s="9" t="str">
        <f>IF(OR(G206="",H206=""),"",G206*H206)</f>
        <v/>
      </c>
      <c r="J206" s="2"/>
      <c r="K206" s="2"/>
    </row>
    <row r="207" spans="1:11">
      <c r="A207" s="4" t="str">
        <f>IF(D207="","",COUNTIF($D$5:D207,"?*"))</f>
        <v/>
      </c>
      <c r="B207" s="5"/>
      <c r="C207" s="4" t="str">
        <f>IF(B207="","",INDEX({"Ocak","Şubat","Mart","Nisan","Mayıs","Haziran","Temmuz","Ağustos","Eylül","Ekim","Kasım","Aralık"},MONTH(B207)))</f>
        <v/>
      </c>
      <c r="D207" s="2"/>
      <c r="E207" s="4" t="str">
        <f>IFERROR(INDEX('Araç Tanımlama'!$D$5:$D$200,MATCH(D207,'Araç Tanımlama'!$A$5:$A$200,0)),"")</f>
        <v/>
      </c>
      <c r="F207" s="4" t="str">
        <f>IFERROR(INDEX('Araç Tanımlama'!$E$5:$E$200,MATCH(D207,'Araç Tanımlama'!$A$5:$A$200,0)),"")</f>
        <v/>
      </c>
      <c r="G207" s="2"/>
      <c r="H207" s="7"/>
      <c r="I207" s="9" t="str">
        <f>IF(OR(G207="",H207=""),"",G207*H207)</f>
        <v/>
      </c>
      <c r="J207" s="2"/>
      <c r="K207" s="2"/>
    </row>
    <row r="208" spans="1:11">
      <c r="A208" s="4" t="str">
        <f>IF(D208="","",COUNTIF($D$5:D208,"?*"))</f>
        <v/>
      </c>
      <c r="B208" s="5"/>
      <c r="C208" s="4" t="str">
        <f>IF(B208="","",INDEX({"Ocak","Şubat","Mart","Nisan","Mayıs","Haziran","Temmuz","Ağustos","Eylül","Ekim","Kasım","Aralık"},MONTH(B208)))</f>
        <v/>
      </c>
      <c r="D208" s="2"/>
      <c r="E208" s="4" t="str">
        <f>IFERROR(INDEX('Araç Tanımlama'!$D$5:$D$200,MATCH(D208,'Araç Tanımlama'!$A$5:$A$200,0)),"")</f>
        <v/>
      </c>
      <c r="F208" s="4" t="str">
        <f>IFERROR(INDEX('Araç Tanımlama'!$E$5:$E$200,MATCH(D208,'Araç Tanımlama'!$A$5:$A$200,0)),"")</f>
        <v/>
      </c>
      <c r="G208" s="2"/>
      <c r="H208" s="7"/>
      <c r="I208" s="9" t="str">
        <f>IF(OR(G208="",H208=""),"",G208*H208)</f>
        <v/>
      </c>
      <c r="J208" s="2"/>
      <c r="K208" s="2"/>
    </row>
    <row r="209" spans="1:11">
      <c r="A209" s="4" t="str">
        <f>IF(D209="","",COUNTIF($D$5:D209,"?*"))</f>
        <v/>
      </c>
      <c r="B209" s="5"/>
      <c r="C209" s="4" t="str">
        <f>IF(B209="","",INDEX({"Ocak","Şubat","Mart","Nisan","Mayıs","Haziran","Temmuz","Ağustos","Eylül","Ekim","Kasım","Aralık"},MONTH(B209)))</f>
        <v/>
      </c>
      <c r="D209" s="2"/>
      <c r="E209" s="4" t="str">
        <f>IFERROR(INDEX('Araç Tanımlama'!$D$5:$D$200,MATCH(D209,'Araç Tanımlama'!$A$5:$A$200,0)),"")</f>
        <v/>
      </c>
      <c r="F209" s="4" t="str">
        <f>IFERROR(INDEX('Araç Tanımlama'!$E$5:$E$200,MATCH(D209,'Araç Tanımlama'!$A$5:$A$200,0)),"")</f>
        <v/>
      </c>
      <c r="G209" s="2"/>
      <c r="H209" s="7"/>
      <c r="I209" s="9" t="str">
        <f>IF(OR(G209="",H209=""),"",G209*H209)</f>
        <v/>
      </c>
      <c r="J209" s="2"/>
      <c r="K209" s="2"/>
    </row>
    <row r="210" spans="1:11">
      <c r="A210" s="4" t="str">
        <f>IF(D210="","",COUNTIF($D$5:D210,"?*"))</f>
        <v/>
      </c>
      <c r="B210" s="5"/>
      <c r="C210" s="4" t="str">
        <f>IF(B210="","",INDEX({"Ocak","Şubat","Mart","Nisan","Mayıs","Haziran","Temmuz","Ağustos","Eylül","Ekim","Kasım","Aralık"},MONTH(B210)))</f>
        <v/>
      </c>
      <c r="D210" s="2"/>
      <c r="E210" s="4" t="str">
        <f>IFERROR(INDEX('Araç Tanımlama'!$D$5:$D$200,MATCH(D210,'Araç Tanımlama'!$A$5:$A$200,0)),"")</f>
        <v/>
      </c>
      <c r="F210" s="4" t="str">
        <f>IFERROR(INDEX('Araç Tanımlama'!$E$5:$E$200,MATCH(D210,'Araç Tanımlama'!$A$5:$A$200,0)),"")</f>
        <v/>
      </c>
      <c r="G210" s="2"/>
      <c r="H210" s="7"/>
      <c r="I210" s="9" t="str">
        <f>IF(OR(G210="",H210=""),"",G210*H210)</f>
        <v/>
      </c>
      <c r="J210" s="2"/>
      <c r="K210" s="2"/>
    </row>
    <row r="211" spans="1:11">
      <c r="A211" s="4" t="str">
        <f>IF(D211="","",COUNTIF($D$5:D211,"?*"))</f>
        <v/>
      </c>
      <c r="B211" s="5"/>
      <c r="C211" s="4" t="str">
        <f>IF(B211="","",INDEX({"Ocak","Şubat","Mart","Nisan","Mayıs","Haziran","Temmuz","Ağustos","Eylül","Ekim","Kasım","Aralık"},MONTH(B211)))</f>
        <v/>
      </c>
      <c r="D211" s="2"/>
      <c r="E211" s="4" t="str">
        <f>IFERROR(INDEX('Araç Tanımlama'!$D$5:$D$200,MATCH(D211,'Araç Tanımlama'!$A$5:$A$200,0)),"")</f>
        <v/>
      </c>
      <c r="F211" s="4" t="str">
        <f>IFERROR(INDEX('Araç Tanımlama'!$E$5:$E$200,MATCH(D211,'Araç Tanımlama'!$A$5:$A$200,0)),"")</f>
        <v/>
      </c>
      <c r="G211" s="2"/>
      <c r="H211" s="7"/>
      <c r="I211" s="9" t="str">
        <f>IF(OR(G211="",H211=""),"",G211*H211)</f>
        <v/>
      </c>
      <c r="J211" s="2"/>
      <c r="K211" s="2"/>
    </row>
    <row r="212" spans="1:11">
      <c r="A212" s="4" t="str">
        <f>IF(D212="","",COUNTIF($D$5:D212,"?*"))</f>
        <v/>
      </c>
      <c r="B212" s="5"/>
      <c r="C212" s="4" t="str">
        <f>IF(B212="","",INDEX({"Ocak","Şubat","Mart","Nisan","Mayıs","Haziran","Temmuz","Ağustos","Eylül","Ekim","Kasım","Aralık"},MONTH(B212)))</f>
        <v/>
      </c>
      <c r="D212" s="2"/>
      <c r="E212" s="4" t="str">
        <f>IFERROR(INDEX('Araç Tanımlama'!$D$5:$D$200,MATCH(D212,'Araç Tanımlama'!$A$5:$A$200,0)),"")</f>
        <v/>
      </c>
      <c r="F212" s="4" t="str">
        <f>IFERROR(INDEX('Araç Tanımlama'!$E$5:$E$200,MATCH(D212,'Araç Tanımlama'!$A$5:$A$200,0)),"")</f>
        <v/>
      </c>
      <c r="G212" s="2"/>
      <c r="H212" s="7"/>
      <c r="I212" s="9" t="str">
        <f>IF(OR(G212="",H212=""),"",G212*H212)</f>
        <v/>
      </c>
      <c r="J212" s="2"/>
      <c r="K212" s="2"/>
    </row>
    <row r="213" spans="1:11">
      <c r="A213" s="4" t="str">
        <f>IF(D213="","",COUNTIF($D$5:D213,"?*"))</f>
        <v/>
      </c>
      <c r="B213" s="5"/>
      <c r="C213" s="4" t="str">
        <f>IF(B213="","",INDEX({"Ocak","Şubat","Mart","Nisan","Mayıs","Haziran","Temmuz","Ağustos","Eylül","Ekim","Kasım","Aralık"},MONTH(B213)))</f>
        <v/>
      </c>
      <c r="D213" s="2"/>
      <c r="E213" s="4" t="str">
        <f>IFERROR(INDEX('Araç Tanımlama'!$D$5:$D$200,MATCH(D213,'Araç Tanımlama'!$A$5:$A$200,0)),"")</f>
        <v/>
      </c>
      <c r="F213" s="4" t="str">
        <f>IFERROR(INDEX('Araç Tanımlama'!$E$5:$E$200,MATCH(D213,'Araç Tanımlama'!$A$5:$A$200,0)),"")</f>
        <v/>
      </c>
      <c r="G213" s="2"/>
      <c r="H213" s="7"/>
      <c r="I213" s="9" t="str">
        <f>IF(OR(G213="",H213=""),"",G213*H213)</f>
        <v/>
      </c>
      <c r="J213" s="2"/>
      <c r="K213" s="2"/>
    </row>
    <row r="214" spans="1:11">
      <c r="A214" s="4" t="str">
        <f>IF(D214="","",COUNTIF($D$5:D214,"?*"))</f>
        <v/>
      </c>
      <c r="B214" s="5"/>
      <c r="C214" s="4" t="str">
        <f>IF(B214="","",INDEX({"Ocak","Şubat","Mart","Nisan","Mayıs","Haziran","Temmuz","Ağustos","Eylül","Ekim","Kasım","Aralık"},MONTH(B214)))</f>
        <v/>
      </c>
      <c r="D214" s="2"/>
      <c r="E214" s="4" t="str">
        <f>IFERROR(INDEX('Araç Tanımlama'!$D$5:$D$200,MATCH(D214,'Araç Tanımlama'!$A$5:$A$200,0)),"")</f>
        <v/>
      </c>
      <c r="F214" s="4" t="str">
        <f>IFERROR(INDEX('Araç Tanımlama'!$E$5:$E$200,MATCH(D214,'Araç Tanımlama'!$A$5:$A$200,0)),"")</f>
        <v/>
      </c>
      <c r="G214" s="2"/>
      <c r="H214" s="7"/>
      <c r="I214" s="9" t="str">
        <f>IF(OR(G214="",H214=""),"",G214*H214)</f>
        <v/>
      </c>
      <c r="J214" s="2"/>
      <c r="K214" s="2"/>
    </row>
    <row r="215" spans="1:11">
      <c r="A215" s="4" t="str">
        <f>IF(D215="","",COUNTIF($D$5:D215,"?*"))</f>
        <v/>
      </c>
      <c r="B215" s="5"/>
      <c r="C215" s="4" t="str">
        <f>IF(B215="","",INDEX({"Ocak","Şubat","Mart","Nisan","Mayıs","Haziran","Temmuz","Ağustos","Eylül","Ekim","Kasım","Aralık"},MONTH(B215)))</f>
        <v/>
      </c>
      <c r="D215" s="2"/>
      <c r="E215" s="4" t="str">
        <f>IFERROR(INDEX('Araç Tanımlama'!$D$5:$D$200,MATCH(D215,'Araç Tanımlama'!$A$5:$A$200,0)),"")</f>
        <v/>
      </c>
      <c r="F215" s="4" t="str">
        <f>IFERROR(INDEX('Araç Tanımlama'!$E$5:$E$200,MATCH(D215,'Araç Tanımlama'!$A$5:$A$200,0)),"")</f>
        <v/>
      </c>
      <c r="G215" s="2"/>
      <c r="H215" s="7"/>
      <c r="I215" s="9" t="str">
        <f>IF(OR(G215="",H215=""),"",G215*H215)</f>
        <v/>
      </c>
      <c r="J215" s="2"/>
      <c r="K215" s="2"/>
    </row>
    <row r="216" spans="1:11">
      <c r="A216" s="4" t="str">
        <f>IF(D216="","",COUNTIF($D$5:D216,"?*"))</f>
        <v/>
      </c>
      <c r="B216" s="5"/>
      <c r="C216" s="4" t="str">
        <f>IF(B216="","",INDEX({"Ocak","Şubat","Mart","Nisan","Mayıs","Haziran","Temmuz","Ağustos","Eylül","Ekim","Kasım","Aralık"},MONTH(B216)))</f>
        <v/>
      </c>
      <c r="D216" s="2"/>
      <c r="E216" s="4" t="str">
        <f>IFERROR(INDEX('Araç Tanımlama'!$D$5:$D$200,MATCH(D216,'Araç Tanımlama'!$A$5:$A$200,0)),"")</f>
        <v/>
      </c>
      <c r="F216" s="4" t="str">
        <f>IFERROR(INDEX('Araç Tanımlama'!$E$5:$E$200,MATCH(D216,'Araç Tanımlama'!$A$5:$A$200,0)),"")</f>
        <v/>
      </c>
      <c r="G216" s="2"/>
      <c r="H216" s="7"/>
      <c r="I216" s="9" t="str">
        <f>IF(OR(G216="",H216=""),"",G216*H216)</f>
        <v/>
      </c>
      <c r="J216" s="2"/>
      <c r="K216" s="2"/>
    </row>
    <row r="217" spans="1:11">
      <c r="A217" s="4" t="str">
        <f>IF(D217="","",COUNTIF($D$5:D217,"?*"))</f>
        <v/>
      </c>
      <c r="B217" s="5"/>
      <c r="C217" s="4" t="str">
        <f>IF(B217="","",INDEX({"Ocak","Şubat","Mart","Nisan","Mayıs","Haziran","Temmuz","Ağustos","Eylül","Ekim","Kasım","Aralık"},MONTH(B217)))</f>
        <v/>
      </c>
      <c r="D217" s="2"/>
      <c r="E217" s="4" t="str">
        <f>IFERROR(INDEX('Araç Tanımlama'!$D$5:$D$200,MATCH(D217,'Araç Tanımlama'!$A$5:$A$200,0)),"")</f>
        <v/>
      </c>
      <c r="F217" s="4" t="str">
        <f>IFERROR(INDEX('Araç Tanımlama'!$E$5:$E$200,MATCH(D217,'Araç Tanımlama'!$A$5:$A$200,0)),"")</f>
        <v/>
      </c>
      <c r="G217" s="2"/>
      <c r="H217" s="7"/>
      <c r="I217" s="9" t="str">
        <f>IF(OR(G217="",H217=""),"",G217*H217)</f>
        <v/>
      </c>
      <c r="J217" s="2"/>
      <c r="K217" s="2"/>
    </row>
    <row r="218" spans="1:11">
      <c r="A218" s="4" t="str">
        <f>IF(D218="","",COUNTIF($D$5:D218,"?*"))</f>
        <v/>
      </c>
      <c r="B218" s="5"/>
      <c r="C218" s="4" t="str">
        <f>IF(B218="","",INDEX({"Ocak","Şubat","Mart","Nisan","Mayıs","Haziran","Temmuz","Ağustos","Eylül","Ekim","Kasım","Aralık"},MONTH(B218)))</f>
        <v/>
      </c>
      <c r="D218" s="2"/>
      <c r="E218" s="4" t="str">
        <f>IFERROR(INDEX('Araç Tanımlama'!$D$5:$D$200,MATCH(D218,'Araç Tanımlama'!$A$5:$A$200,0)),"")</f>
        <v/>
      </c>
      <c r="F218" s="4" t="str">
        <f>IFERROR(INDEX('Araç Tanımlama'!$E$5:$E$200,MATCH(D218,'Araç Tanımlama'!$A$5:$A$200,0)),"")</f>
        <v/>
      </c>
      <c r="G218" s="2"/>
      <c r="H218" s="7"/>
      <c r="I218" s="9" t="str">
        <f>IF(OR(G218="",H218=""),"",G218*H218)</f>
        <v/>
      </c>
      <c r="J218" s="2"/>
      <c r="K218" s="2"/>
    </row>
    <row r="219" spans="1:11">
      <c r="A219" s="4" t="str">
        <f>IF(D219="","",COUNTIF($D$5:D219,"?*"))</f>
        <v/>
      </c>
      <c r="B219" s="5"/>
      <c r="C219" s="4" t="str">
        <f>IF(B219="","",INDEX({"Ocak","Şubat","Mart","Nisan","Mayıs","Haziran","Temmuz","Ağustos","Eylül","Ekim","Kasım","Aralık"},MONTH(B219)))</f>
        <v/>
      </c>
      <c r="D219" s="2"/>
      <c r="E219" s="4" t="str">
        <f>IFERROR(INDEX('Araç Tanımlama'!$D$5:$D$200,MATCH(D219,'Araç Tanımlama'!$A$5:$A$200,0)),"")</f>
        <v/>
      </c>
      <c r="F219" s="4" t="str">
        <f>IFERROR(INDEX('Araç Tanımlama'!$E$5:$E$200,MATCH(D219,'Araç Tanımlama'!$A$5:$A$200,0)),"")</f>
        <v/>
      </c>
      <c r="G219" s="2"/>
      <c r="H219" s="7"/>
      <c r="I219" s="9" t="str">
        <f>IF(OR(G219="",H219=""),"",G219*H219)</f>
        <v/>
      </c>
      <c r="J219" s="2"/>
      <c r="K219" s="2"/>
    </row>
    <row r="220" spans="1:11">
      <c r="A220" s="4" t="str">
        <f>IF(D220="","",COUNTIF($D$5:D220,"?*"))</f>
        <v/>
      </c>
      <c r="B220" s="5"/>
      <c r="C220" s="4" t="str">
        <f>IF(B220="","",INDEX({"Ocak","Şubat","Mart","Nisan","Mayıs","Haziran","Temmuz","Ağustos","Eylül","Ekim","Kasım","Aralık"},MONTH(B220)))</f>
        <v/>
      </c>
      <c r="D220" s="2"/>
      <c r="E220" s="4" t="str">
        <f>IFERROR(INDEX('Araç Tanımlama'!$D$5:$D$200,MATCH(D220,'Araç Tanımlama'!$A$5:$A$200,0)),"")</f>
        <v/>
      </c>
      <c r="F220" s="4" t="str">
        <f>IFERROR(INDEX('Araç Tanımlama'!$E$5:$E$200,MATCH(D220,'Araç Tanımlama'!$A$5:$A$200,0)),"")</f>
        <v/>
      </c>
      <c r="G220" s="2"/>
      <c r="H220" s="7"/>
      <c r="I220" s="9" t="str">
        <f>IF(OR(G220="",H220=""),"",G220*H220)</f>
        <v/>
      </c>
      <c r="J220" s="2"/>
      <c r="K220" s="2"/>
    </row>
    <row r="221" spans="1:11">
      <c r="A221" s="4" t="str">
        <f>IF(D221="","",COUNTIF($D$5:D221,"?*"))</f>
        <v/>
      </c>
      <c r="B221" s="5"/>
      <c r="C221" s="4" t="str">
        <f>IF(B221="","",INDEX({"Ocak","Şubat","Mart","Nisan","Mayıs","Haziran","Temmuz","Ağustos","Eylül","Ekim","Kasım","Aralık"},MONTH(B221)))</f>
        <v/>
      </c>
      <c r="D221" s="2"/>
      <c r="E221" s="4" t="str">
        <f>IFERROR(INDEX('Araç Tanımlama'!$D$5:$D$200,MATCH(D221,'Araç Tanımlama'!$A$5:$A$200,0)),"")</f>
        <v/>
      </c>
      <c r="F221" s="4" t="str">
        <f>IFERROR(INDEX('Araç Tanımlama'!$E$5:$E$200,MATCH(D221,'Araç Tanımlama'!$A$5:$A$200,0)),"")</f>
        <v/>
      </c>
      <c r="G221" s="2"/>
      <c r="H221" s="7"/>
      <c r="I221" s="9" t="str">
        <f>IF(OR(G221="",H221=""),"",G221*H221)</f>
        <v/>
      </c>
      <c r="J221" s="2"/>
      <c r="K221" s="2"/>
    </row>
    <row r="222" spans="1:11">
      <c r="A222" s="4" t="str">
        <f>IF(D222="","",COUNTIF($D$5:D222,"?*"))</f>
        <v/>
      </c>
      <c r="B222" s="5"/>
      <c r="C222" s="4" t="str">
        <f>IF(B222="","",INDEX({"Ocak","Şubat","Mart","Nisan","Mayıs","Haziran","Temmuz","Ağustos","Eylül","Ekim","Kasım","Aralık"},MONTH(B222)))</f>
        <v/>
      </c>
      <c r="D222" s="2"/>
      <c r="E222" s="4" t="str">
        <f>IFERROR(INDEX('Araç Tanımlama'!$D$5:$D$200,MATCH(D222,'Araç Tanımlama'!$A$5:$A$200,0)),"")</f>
        <v/>
      </c>
      <c r="F222" s="4" t="str">
        <f>IFERROR(INDEX('Araç Tanımlama'!$E$5:$E$200,MATCH(D222,'Araç Tanımlama'!$A$5:$A$200,0)),"")</f>
        <v/>
      </c>
      <c r="G222" s="2"/>
      <c r="H222" s="7"/>
      <c r="I222" s="9" t="str">
        <f>IF(OR(G222="",H222=""),"",G222*H222)</f>
        <v/>
      </c>
      <c r="J222" s="2"/>
      <c r="K222" s="2"/>
    </row>
    <row r="223" spans="1:11">
      <c r="A223" s="4" t="str">
        <f>IF(D223="","",COUNTIF($D$5:D223,"?*"))</f>
        <v/>
      </c>
      <c r="B223" s="5"/>
      <c r="C223" s="4" t="str">
        <f>IF(B223="","",INDEX({"Ocak","Şubat","Mart","Nisan","Mayıs","Haziran","Temmuz","Ağustos","Eylül","Ekim","Kasım","Aralık"},MONTH(B223)))</f>
        <v/>
      </c>
      <c r="D223" s="2"/>
      <c r="E223" s="4" t="str">
        <f>IFERROR(INDEX('Araç Tanımlama'!$D$5:$D$200,MATCH(D223,'Araç Tanımlama'!$A$5:$A$200,0)),"")</f>
        <v/>
      </c>
      <c r="F223" s="4" t="str">
        <f>IFERROR(INDEX('Araç Tanımlama'!$E$5:$E$200,MATCH(D223,'Araç Tanımlama'!$A$5:$A$200,0)),"")</f>
        <v/>
      </c>
      <c r="G223" s="2"/>
      <c r="H223" s="7"/>
      <c r="I223" s="9" t="str">
        <f>IF(OR(G223="",H223=""),"",G223*H223)</f>
        <v/>
      </c>
      <c r="J223" s="2"/>
      <c r="K223" s="2"/>
    </row>
    <row r="224" spans="1:11">
      <c r="A224" s="4" t="str">
        <f>IF(D224="","",COUNTIF($D$5:D224,"?*"))</f>
        <v/>
      </c>
      <c r="B224" s="5"/>
      <c r="C224" s="4" t="str">
        <f>IF(B224="","",INDEX({"Ocak","Şubat","Mart","Nisan","Mayıs","Haziran","Temmuz","Ağustos","Eylül","Ekim","Kasım","Aralık"},MONTH(B224)))</f>
        <v/>
      </c>
      <c r="D224" s="2"/>
      <c r="E224" s="4" t="str">
        <f>IFERROR(INDEX('Araç Tanımlama'!$D$5:$D$200,MATCH(D224,'Araç Tanımlama'!$A$5:$A$200,0)),"")</f>
        <v/>
      </c>
      <c r="F224" s="4" t="str">
        <f>IFERROR(INDEX('Araç Tanımlama'!$E$5:$E$200,MATCH(D224,'Araç Tanımlama'!$A$5:$A$200,0)),"")</f>
        <v/>
      </c>
      <c r="G224" s="2"/>
      <c r="H224" s="7"/>
      <c r="I224" s="9" t="str">
        <f>IF(OR(G224="",H224=""),"",G224*H224)</f>
        <v/>
      </c>
      <c r="J224" s="2"/>
      <c r="K224" s="2"/>
    </row>
    <row r="225" spans="1:11">
      <c r="A225" s="4" t="str">
        <f>IF(D225="","",COUNTIF($D$5:D225,"?*"))</f>
        <v/>
      </c>
      <c r="B225" s="5"/>
      <c r="C225" s="4" t="str">
        <f>IF(B225="","",INDEX({"Ocak","Şubat","Mart","Nisan","Mayıs","Haziran","Temmuz","Ağustos","Eylül","Ekim","Kasım","Aralık"},MONTH(B225)))</f>
        <v/>
      </c>
      <c r="D225" s="2"/>
      <c r="E225" s="4" t="str">
        <f>IFERROR(INDEX('Araç Tanımlama'!$D$5:$D$200,MATCH(D225,'Araç Tanımlama'!$A$5:$A$200,0)),"")</f>
        <v/>
      </c>
      <c r="F225" s="4" t="str">
        <f>IFERROR(INDEX('Araç Tanımlama'!$E$5:$E$200,MATCH(D225,'Araç Tanımlama'!$A$5:$A$200,0)),"")</f>
        <v/>
      </c>
      <c r="G225" s="2"/>
      <c r="H225" s="7"/>
      <c r="I225" s="9" t="str">
        <f>IF(OR(G225="",H225=""),"",G225*H225)</f>
        <v/>
      </c>
      <c r="J225" s="2"/>
      <c r="K225" s="2"/>
    </row>
    <row r="226" spans="1:11">
      <c r="A226" s="4" t="str">
        <f>IF(D226="","",COUNTIF($D$5:D226,"?*"))</f>
        <v/>
      </c>
      <c r="B226" s="5"/>
      <c r="C226" s="4" t="str">
        <f>IF(B226="","",INDEX({"Ocak","Şubat","Mart","Nisan","Mayıs","Haziran","Temmuz","Ağustos","Eylül","Ekim","Kasım","Aralık"},MONTH(B226)))</f>
        <v/>
      </c>
      <c r="D226" s="2"/>
      <c r="E226" s="4" t="str">
        <f>IFERROR(INDEX('Araç Tanımlama'!$D$5:$D$200,MATCH(D226,'Araç Tanımlama'!$A$5:$A$200,0)),"")</f>
        <v/>
      </c>
      <c r="F226" s="4" t="str">
        <f>IFERROR(INDEX('Araç Tanımlama'!$E$5:$E$200,MATCH(D226,'Araç Tanımlama'!$A$5:$A$200,0)),"")</f>
        <v/>
      </c>
      <c r="G226" s="2"/>
      <c r="H226" s="7"/>
      <c r="I226" s="9" t="str">
        <f>IF(OR(G226="",H226=""),"",G226*H226)</f>
        <v/>
      </c>
      <c r="J226" s="2"/>
      <c r="K226" s="2"/>
    </row>
    <row r="227" spans="1:11">
      <c r="A227" s="4" t="str">
        <f>IF(D227="","",COUNTIF($D$5:D227,"?*"))</f>
        <v/>
      </c>
      <c r="B227" s="5"/>
      <c r="C227" s="4" t="str">
        <f>IF(B227="","",INDEX({"Ocak","Şubat","Mart","Nisan","Mayıs","Haziran","Temmuz","Ağustos","Eylül","Ekim","Kasım","Aralık"},MONTH(B227)))</f>
        <v/>
      </c>
      <c r="D227" s="2"/>
      <c r="E227" s="4" t="str">
        <f>IFERROR(INDEX('Araç Tanımlama'!$D$5:$D$200,MATCH(D227,'Araç Tanımlama'!$A$5:$A$200,0)),"")</f>
        <v/>
      </c>
      <c r="F227" s="4" t="str">
        <f>IFERROR(INDEX('Araç Tanımlama'!$E$5:$E$200,MATCH(D227,'Araç Tanımlama'!$A$5:$A$200,0)),"")</f>
        <v/>
      </c>
      <c r="G227" s="2"/>
      <c r="H227" s="7"/>
      <c r="I227" s="9" t="str">
        <f>IF(OR(G227="",H227=""),"",G227*H227)</f>
        <v/>
      </c>
      <c r="J227" s="2"/>
      <c r="K227" s="2"/>
    </row>
    <row r="228" spans="1:11">
      <c r="A228" s="4" t="str">
        <f>IF(D228="","",COUNTIF($D$5:D228,"?*"))</f>
        <v/>
      </c>
      <c r="B228" s="5"/>
      <c r="C228" s="4" t="str">
        <f>IF(B228="","",INDEX({"Ocak","Şubat","Mart","Nisan","Mayıs","Haziran","Temmuz","Ağustos","Eylül","Ekim","Kasım","Aralık"},MONTH(B228)))</f>
        <v/>
      </c>
      <c r="D228" s="2"/>
      <c r="E228" s="4" t="str">
        <f>IFERROR(INDEX('Araç Tanımlama'!$D$5:$D$200,MATCH(D228,'Araç Tanımlama'!$A$5:$A$200,0)),"")</f>
        <v/>
      </c>
      <c r="F228" s="4" t="str">
        <f>IFERROR(INDEX('Araç Tanımlama'!$E$5:$E$200,MATCH(D228,'Araç Tanımlama'!$A$5:$A$200,0)),"")</f>
        <v/>
      </c>
      <c r="G228" s="2"/>
      <c r="H228" s="7"/>
      <c r="I228" s="9" t="str">
        <f>IF(OR(G228="",H228=""),"",G228*H228)</f>
        <v/>
      </c>
      <c r="J228" s="2"/>
      <c r="K228" s="2"/>
    </row>
    <row r="229" spans="1:11">
      <c r="A229" s="4" t="str">
        <f>IF(D229="","",COUNTIF($D$5:D229,"?*"))</f>
        <v/>
      </c>
      <c r="B229" s="5"/>
      <c r="C229" s="4" t="str">
        <f>IF(B229="","",INDEX({"Ocak","Şubat","Mart","Nisan","Mayıs","Haziran","Temmuz","Ağustos","Eylül","Ekim","Kasım","Aralık"},MONTH(B229)))</f>
        <v/>
      </c>
      <c r="D229" s="2"/>
      <c r="E229" s="4" t="str">
        <f>IFERROR(INDEX('Araç Tanımlama'!$D$5:$D$200,MATCH(D229,'Araç Tanımlama'!$A$5:$A$200,0)),"")</f>
        <v/>
      </c>
      <c r="F229" s="4" t="str">
        <f>IFERROR(INDEX('Araç Tanımlama'!$E$5:$E$200,MATCH(D229,'Araç Tanımlama'!$A$5:$A$200,0)),"")</f>
        <v/>
      </c>
      <c r="G229" s="2"/>
      <c r="H229" s="7"/>
      <c r="I229" s="9" t="str">
        <f>IF(OR(G229="",H229=""),"",G229*H229)</f>
        <v/>
      </c>
      <c r="J229" s="2"/>
      <c r="K229" s="2"/>
    </row>
    <row r="230" spans="1:11">
      <c r="A230" s="4" t="str">
        <f>IF(D230="","",COUNTIF($D$5:D230,"?*"))</f>
        <v/>
      </c>
      <c r="B230" s="5"/>
      <c r="C230" s="4" t="str">
        <f>IF(B230="","",INDEX({"Ocak","Şubat","Mart","Nisan","Mayıs","Haziran","Temmuz","Ağustos","Eylül","Ekim","Kasım","Aralık"},MONTH(B230)))</f>
        <v/>
      </c>
      <c r="D230" s="2"/>
      <c r="E230" s="4" t="str">
        <f>IFERROR(INDEX('Araç Tanımlama'!$D$5:$D$200,MATCH(D230,'Araç Tanımlama'!$A$5:$A$200,0)),"")</f>
        <v/>
      </c>
      <c r="F230" s="4" t="str">
        <f>IFERROR(INDEX('Araç Tanımlama'!$E$5:$E$200,MATCH(D230,'Araç Tanımlama'!$A$5:$A$200,0)),"")</f>
        <v/>
      </c>
      <c r="G230" s="2"/>
      <c r="H230" s="7"/>
      <c r="I230" s="9" t="str">
        <f>IF(OR(G230="",H230=""),"",G230*H230)</f>
        <v/>
      </c>
      <c r="J230" s="2"/>
      <c r="K230" s="2"/>
    </row>
    <row r="231" spans="1:11">
      <c r="A231" s="4" t="str">
        <f>IF(D231="","",COUNTIF($D$5:D231,"?*"))</f>
        <v/>
      </c>
      <c r="B231" s="5"/>
      <c r="C231" s="4" t="str">
        <f>IF(B231="","",INDEX({"Ocak","Şubat","Mart","Nisan","Mayıs","Haziran","Temmuz","Ağustos","Eylül","Ekim","Kasım","Aralık"},MONTH(B231)))</f>
        <v/>
      </c>
      <c r="D231" s="2"/>
      <c r="E231" s="4" t="str">
        <f>IFERROR(INDEX('Araç Tanımlama'!$D$5:$D$200,MATCH(D231,'Araç Tanımlama'!$A$5:$A$200,0)),"")</f>
        <v/>
      </c>
      <c r="F231" s="4" t="str">
        <f>IFERROR(INDEX('Araç Tanımlama'!$E$5:$E$200,MATCH(D231,'Araç Tanımlama'!$A$5:$A$200,0)),"")</f>
        <v/>
      </c>
      <c r="G231" s="2"/>
      <c r="H231" s="7"/>
      <c r="I231" s="9" t="str">
        <f>IF(OR(G231="",H231=""),"",G231*H231)</f>
        <v/>
      </c>
      <c r="J231" s="2"/>
      <c r="K231" s="2"/>
    </row>
    <row r="232" spans="1:11">
      <c r="A232" s="4" t="str">
        <f>IF(D232="","",COUNTIF($D$5:D232,"?*"))</f>
        <v/>
      </c>
      <c r="B232" s="5"/>
      <c r="C232" s="4" t="str">
        <f>IF(B232="","",INDEX({"Ocak","Şubat","Mart","Nisan","Mayıs","Haziran","Temmuz","Ağustos","Eylül","Ekim","Kasım","Aralık"},MONTH(B232)))</f>
        <v/>
      </c>
      <c r="D232" s="2"/>
      <c r="E232" s="4" t="str">
        <f>IFERROR(INDEX('Araç Tanımlama'!$D$5:$D$200,MATCH(D232,'Araç Tanımlama'!$A$5:$A$200,0)),"")</f>
        <v/>
      </c>
      <c r="F232" s="4" t="str">
        <f>IFERROR(INDEX('Araç Tanımlama'!$E$5:$E$200,MATCH(D232,'Araç Tanımlama'!$A$5:$A$200,0)),"")</f>
        <v/>
      </c>
      <c r="G232" s="2"/>
      <c r="H232" s="7"/>
      <c r="I232" s="9" t="str">
        <f>IF(OR(G232="",H232=""),"",G232*H232)</f>
        <v/>
      </c>
      <c r="J232" s="2"/>
      <c r="K232" s="2"/>
    </row>
    <row r="233" spans="1:11">
      <c r="A233" s="4" t="str">
        <f>IF(D233="","",COUNTIF($D$5:D233,"?*"))</f>
        <v/>
      </c>
      <c r="B233" s="5"/>
      <c r="C233" s="4" t="str">
        <f>IF(B233="","",INDEX({"Ocak","Şubat","Mart","Nisan","Mayıs","Haziran","Temmuz","Ağustos","Eylül","Ekim","Kasım","Aralık"},MONTH(B233)))</f>
        <v/>
      </c>
      <c r="D233" s="2"/>
      <c r="E233" s="4" t="str">
        <f>IFERROR(INDEX('Araç Tanımlama'!$D$5:$D$200,MATCH(D233,'Araç Tanımlama'!$A$5:$A$200,0)),"")</f>
        <v/>
      </c>
      <c r="F233" s="4" t="str">
        <f>IFERROR(INDEX('Araç Tanımlama'!$E$5:$E$200,MATCH(D233,'Araç Tanımlama'!$A$5:$A$200,0)),"")</f>
        <v/>
      </c>
      <c r="G233" s="2"/>
      <c r="H233" s="7"/>
      <c r="I233" s="9" t="str">
        <f>IF(OR(G233="",H233=""),"",G233*H233)</f>
        <v/>
      </c>
      <c r="J233" s="2"/>
      <c r="K233" s="2"/>
    </row>
    <row r="234" spans="1:11">
      <c r="A234" s="4" t="str">
        <f>IF(D234="","",COUNTIF($D$5:D234,"?*"))</f>
        <v/>
      </c>
      <c r="B234" s="5"/>
      <c r="C234" s="4" t="str">
        <f>IF(B234="","",INDEX({"Ocak","Şubat","Mart","Nisan","Mayıs","Haziran","Temmuz","Ağustos","Eylül","Ekim","Kasım","Aralık"},MONTH(B234)))</f>
        <v/>
      </c>
      <c r="D234" s="2"/>
      <c r="E234" s="4" t="str">
        <f>IFERROR(INDEX('Araç Tanımlama'!$D$5:$D$200,MATCH(D234,'Araç Tanımlama'!$A$5:$A$200,0)),"")</f>
        <v/>
      </c>
      <c r="F234" s="4" t="str">
        <f>IFERROR(INDEX('Araç Tanımlama'!$E$5:$E$200,MATCH(D234,'Araç Tanımlama'!$A$5:$A$200,0)),"")</f>
        <v/>
      </c>
      <c r="G234" s="2"/>
      <c r="H234" s="7"/>
      <c r="I234" s="9" t="str">
        <f>IF(OR(G234="",H234=""),"",G234*H234)</f>
        <v/>
      </c>
      <c r="J234" s="2"/>
      <c r="K234" s="2"/>
    </row>
    <row r="235" spans="1:11">
      <c r="A235" s="4" t="str">
        <f>IF(D235="","",COUNTIF($D$5:D235,"?*"))</f>
        <v/>
      </c>
      <c r="B235" s="5"/>
      <c r="C235" s="4" t="str">
        <f>IF(B235="","",INDEX({"Ocak","Şubat","Mart","Nisan","Mayıs","Haziran","Temmuz","Ağustos","Eylül","Ekim","Kasım","Aralık"},MONTH(B235)))</f>
        <v/>
      </c>
      <c r="D235" s="2"/>
      <c r="E235" s="4" t="str">
        <f>IFERROR(INDEX('Araç Tanımlama'!$D$5:$D$200,MATCH(D235,'Araç Tanımlama'!$A$5:$A$200,0)),"")</f>
        <v/>
      </c>
      <c r="F235" s="4" t="str">
        <f>IFERROR(INDEX('Araç Tanımlama'!$E$5:$E$200,MATCH(D235,'Araç Tanımlama'!$A$5:$A$200,0)),"")</f>
        <v/>
      </c>
      <c r="G235" s="2"/>
      <c r="H235" s="7"/>
      <c r="I235" s="9" t="str">
        <f>IF(OR(G235="",H235=""),"",G235*H235)</f>
        <v/>
      </c>
      <c r="J235" s="2"/>
      <c r="K235" s="2"/>
    </row>
    <row r="236" spans="1:11">
      <c r="A236" s="4" t="str">
        <f>IF(D236="","",COUNTIF($D$5:D236,"?*"))</f>
        <v/>
      </c>
      <c r="B236" s="5"/>
      <c r="C236" s="4" t="str">
        <f>IF(B236="","",INDEX({"Ocak","Şubat","Mart","Nisan","Mayıs","Haziran","Temmuz","Ağustos","Eylül","Ekim","Kasım","Aralık"},MONTH(B236)))</f>
        <v/>
      </c>
      <c r="D236" s="2"/>
      <c r="E236" s="4" t="str">
        <f>IFERROR(INDEX('Araç Tanımlama'!$D$5:$D$200,MATCH(D236,'Araç Tanımlama'!$A$5:$A$200,0)),"")</f>
        <v/>
      </c>
      <c r="F236" s="4" t="str">
        <f>IFERROR(INDEX('Araç Tanımlama'!$E$5:$E$200,MATCH(D236,'Araç Tanımlama'!$A$5:$A$200,0)),"")</f>
        <v/>
      </c>
      <c r="G236" s="2"/>
      <c r="H236" s="7"/>
      <c r="I236" s="9" t="str">
        <f>IF(OR(G236="",H236=""),"",G236*H236)</f>
        <v/>
      </c>
      <c r="J236" s="2"/>
      <c r="K236" s="2"/>
    </row>
    <row r="237" spans="1:11">
      <c r="A237" s="4" t="str">
        <f>IF(D237="","",COUNTIF($D$5:D237,"?*"))</f>
        <v/>
      </c>
      <c r="B237" s="5"/>
      <c r="C237" s="4" t="str">
        <f>IF(B237="","",INDEX({"Ocak","Şubat","Mart","Nisan","Mayıs","Haziran","Temmuz","Ağustos","Eylül","Ekim","Kasım","Aralık"},MONTH(B237)))</f>
        <v/>
      </c>
      <c r="D237" s="2"/>
      <c r="E237" s="4" t="str">
        <f>IFERROR(INDEX('Araç Tanımlama'!$D$5:$D$200,MATCH(D237,'Araç Tanımlama'!$A$5:$A$200,0)),"")</f>
        <v/>
      </c>
      <c r="F237" s="4" t="str">
        <f>IFERROR(INDEX('Araç Tanımlama'!$E$5:$E$200,MATCH(D237,'Araç Tanımlama'!$A$5:$A$200,0)),"")</f>
        <v/>
      </c>
      <c r="G237" s="2"/>
      <c r="H237" s="7"/>
      <c r="I237" s="9" t="str">
        <f>IF(OR(G237="",H237=""),"",G237*H237)</f>
        <v/>
      </c>
      <c r="J237" s="2"/>
      <c r="K237" s="2"/>
    </row>
    <row r="238" spans="1:11">
      <c r="A238" s="4" t="str">
        <f>IF(D238="","",COUNTIF($D$5:D238,"?*"))</f>
        <v/>
      </c>
      <c r="B238" s="5"/>
      <c r="C238" s="4" t="str">
        <f>IF(B238="","",INDEX({"Ocak","Şubat","Mart","Nisan","Mayıs","Haziran","Temmuz","Ağustos","Eylül","Ekim","Kasım","Aralık"},MONTH(B238)))</f>
        <v/>
      </c>
      <c r="D238" s="2"/>
      <c r="E238" s="4" t="str">
        <f>IFERROR(INDEX('Araç Tanımlama'!$D$5:$D$200,MATCH(D238,'Araç Tanımlama'!$A$5:$A$200,0)),"")</f>
        <v/>
      </c>
      <c r="F238" s="4" t="str">
        <f>IFERROR(INDEX('Araç Tanımlama'!$E$5:$E$200,MATCH(D238,'Araç Tanımlama'!$A$5:$A$200,0)),"")</f>
        <v/>
      </c>
      <c r="G238" s="2"/>
      <c r="H238" s="7"/>
      <c r="I238" s="9" t="str">
        <f>IF(OR(G238="",H238=""),"",G238*H238)</f>
        <v/>
      </c>
      <c r="J238" s="2"/>
      <c r="K238" s="2"/>
    </row>
    <row r="239" spans="1:11">
      <c r="A239" s="4" t="str">
        <f>IF(D239="","",COUNTIF($D$5:D239,"?*"))</f>
        <v/>
      </c>
      <c r="B239" s="5"/>
      <c r="C239" s="4" t="str">
        <f>IF(B239="","",INDEX({"Ocak","Şubat","Mart","Nisan","Mayıs","Haziran","Temmuz","Ağustos","Eylül","Ekim","Kasım","Aralık"},MONTH(B239)))</f>
        <v/>
      </c>
      <c r="D239" s="2"/>
      <c r="E239" s="4" t="str">
        <f>IFERROR(INDEX('Araç Tanımlama'!$D$5:$D$200,MATCH(D239,'Araç Tanımlama'!$A$5:$A$200,0)),"")</f>
        <v/>
      </c>
      <c r="F239" s="4" t="str">
        <f>IFERROR(INDEX('Araç Tanımlama'!$E$5:$E$200,MATCH(D239,'Araç Tanımlama'!$A$5:$A$200,0)),"")</f>
        <v/>
      </c>
      <c r="G239" s="2"/>
      <c r="H239" s="7"/>
      <c r="I239" s="9" t="str">
        <f>IF(OR(G239="",H239=""),"",G239*H239)</f>
        <v/>
      </c>
      <c r="J239" s="2"/>
      <c r="K239" s="2"/>
    </row>
    <row r="240" spans="1:11">
      <c r="A240" s="4" t="str">
        <f>IF(D240="","",COUNTIF($D$5:D240,"?*"))</f>
        <v/>
      </c>
      <c r="B240" s="5"/>
      <c r="C240" s="4" t="str">
        <f>IF(B240="","",INDEX({"Ocak","Şubat","Mart","Nisan","Mayıs","Haziran","Temmuz","Ağustos","Eylül","Ekim","Kasım","Aralık"},MONTH(B240)))</f>
        <v/>
      </c>
      <c r="D240" s="2"/>
      <c r="E240" s="4" t="str">
        <f>IFERROR(INDEX('Araç Tanımlama'!$D$5:$D$200,MATCH(D240,'Araç Tanımlama'!$A$5:$A$200,0)),"")</f>
        <v/>
      </c>
      <c r="F240" s="4" t="str">
        <f>IFERROR(INDEX('Araç Tanımlama'!$E$5:$E$200,MATCH(D240,'Araç Tanımlama'!$A$5:$A$200,0)),"")</f>
        <v/>
      </c>
      <c r="G240" s="2"/>
      <c r="H240" s="7"/>
      <c r="I240" s="9" t="str">
        <f>IF(OR(G240="",H240=""),"",G240*H240)</f>
        <v/>
      </c>
      <c r="J240" s="2"/>
      <c r="K240" s="2"/>
    </row>
    <row r="241" spans="1:11">
      <c r="A241" s="4" t="str">
        <f>IF(D241="","",COUNTIF($D$5:D241,"?*"))</f>
        <v/>
      </c>
      <c r="B241" s="5"/>
      <c r="C241" s="4" t="str">
        <f>IF(B241="","",INDEX({"Ocak","Şubat","Mart","Nisan","Mayıs","Haziran","Temmuz","Ağustos","Eylül","Ekim","Kasım","Aralık"},MONTH(B241)))</f>
        <v/>
      </c>
      <c r="D241" s="2"/>
      <c r="E241" s="4" t="str">
        <f>IFERROR(INDEX('Araç Tanımlama'!$D$5:$D$200,MATCH(D241,'Araç Tanımlama'!$A$5:$A$200,0)),"")</f>
        <v/>
      </c>
      <c r="F241" s="4" t="str">
        <f>IFERROR(INDEX('Araç Tanımlama'!$E$5:$E$200,MATCH(D241,'Araç Tanımlama'!$A$5:$A$200,0)),"")</f>
        <v/>
      </c>
      <c r="G241" s="2"/>
      <c r="H241" s="7"/>
      <c r="I241" s="9" t="str">
        <f>IF(OR(G241="",H241=""),"",G241*H241)</f>
        <v/>
      </c>
      <c r="J241" s="2"/>
      <c r="K241" s="2"/>
    </row>
    <row r="242" spans="1:11">
      <c r="A242" s="4" t="str">
        <f>IF(D242="","",COUNTIF($D$5:D242,"?*"))</f>
        <v/>
      </c>
      <c r="B242" s="5"/>
      <c r="C242" s="4" t="str">
        <f>IF(B242="","",INDEX({"Ocak","Şubat","Mart","Nisan","Mayıs","Haziran","Temmuz","Ağustos","Eylül","Ekim","Kasım","Aralık"},MONTH(B242)))</f>
        <v/>
      </c>
      <c r="D242" s="2"/>
      <c r="E242" s="4" t="str">
        <f>IFERROR(INDEX('Araç Tanımlama'!$D$5:$D$200,MATCH(D242,'Araç Tanımlama'!$A$5:$A$200,0)),"")</f>
        <v/>
      </c>
      <c r="F242" s="4" t="str">
        <f>IFERROR(INDEX('Araç Tanımlama'!$E$5:$E$200,MATCH(D242,'Araç Tanımlama'!$A$5:$A$200,0)),"")</f>
        <v/>
      </c>
      <c r="G242" s="2"/>
      <c r="H242" s="7"/>
      <c r="I242" s="9" t="str">
        <f>IF(OR(G242="",H242=""),"",G242*H242)</f>
        <v/>
      </c>
      <c r="J242" s="2"/>
      <c r="K242" s="2"/>
    </row>
    <row r="243" spans="1:11">
      <c r="A243" s="4" t="str">
        <f>IF(D243="","",COUNTIF($D$5:D243,"?*"))</f>
        <v/>
      </c>
      <c r="B243" s="5"/>
      <c r="C243" s="4" t="str">
        <f>IF(B243="","",INDEX({"Ocak","Şubat","Mart","Nisan","Mayıs","Haziran","Temmuz","Ağustos","Eylül","Ekim","Kasım","Aralık"},MONTH(B243)))</f>
        <v/>
      </c>
      <c r="D243" s="2"/>
      <c r="E243" s="4" t="str">
        <f>IFERROR(INDEX('Araç Tanımlama'!$D$5:$D$200,MATCH(D243,'Araç Tanımlama'!$A$5:$A$200,0)),"")</f>
        <v/>
      </c>
      <c r="F243" s="4" t="str">
        <f>IFERROR(INDEX('Araç Tanımlama'!$E$5:$E$200,MATCH(D243,'Araç Tanımlama'!$A$5:$A$200,0)),"")</f>
        <v/>
      </c>
      <c r="G243" s="2"/>
      <c r="H243" s="7"/>
      <c r="I243" s="9" t="str">
        <f>IF(OR(G243="",H243=""),"",G243*H243)</f>
        <v/>
      </c>
      <c r="J243" s="2"/>
      <c r="K243" s="2"/>
    </row>
    <row r="244" spans="1:11">
      <c r="A244" s="4" t="str">
        <f>IF(D244="","",COUNTIF($D$5:D244,"?*"))</f>
        <v/>
      </c>
      <c r="B244" s="5"/>
      <c r="C244" s="4" t="str">
        <f>IF(B244="","",INDEX({"Ocak","Şubat","Mart","Nisan","Mayıs","Haziran","Temmuz","Ağustos","Eylül","Ekim","Kasım","Aralık"},MONTH(B244)))</f>
        <v/>
      </c>
      <c r="D244" s="2"/>
      <c r="E244" s="4" t="str">
        <f>IFERROR(INDEX('Araç Tanımlama'!$D$5:$D$200,MATCH(D244,'Araç Tanımlama'!$A$5:$A$200,0)),"")</f>
        <v/>
      </c>
      <c r="F244" s="4" t="str">
        <f>IFERROR(INDEX('Araç Tanımlama'!$E$5:$E$200,MATCH(D244,'Araç Tanımlama'!$A$5:$A$200,0)),"")</f>
        <v/>
      </c>
      <c r="G244" s="2"/>
      <c r="H244" s="7"/>
      <c r="I244" s="9" t="str">
        <f>IF(OR(G244="",H244=""),"",G244*H244)</f>
        <v/>
      </c>
      <c r="J244" s="2"/>
      <c r="K244" s="2"/>
    </row>
    <row r="245" spans="1:11">
      <c r="A245" s="4" t="str">
        <f>IF(D245="","",COUNTIF($D$5:D245,"?*"))</f>
        <v/>
      </c>
      <c r="B245" s="5"/>
      <c r="C245" s="4" t="str">
        <f>IF(B245="","",INDEX({"Ocak","Şubat","Mart","Nisan","Mayıs","Haziran","Temmuz","Ağustos","Eylül","Ekim","Kasım","Aralık"},MONTH(B245)))</f>
        <v/>
      </c>
      <c r="D245" s="2"/>
      <c r="E245" s="4" t="str">
        <f>IFERROR(INDEX('Araç Tanımlama'!$D$5:$D$200,MATCH(D245,'Araç Tanımlama'!$A$5:$A$200,0)),"")</f>
        <v/>
      </c>
      <c r="F245" s="4" t="str">
        <f>IFERROR(INDEX('Araç Tanımlama'!$E$5:$E$200,MATCH(D245,'Araç Tanımlama'!$A$5:$A$200,0)),"")</f>
        <v/>
      </c>
      <c r="G245" s="2"/>
      <c r="H245" s="7"/>
      <c r="I245" s="9" t="str">
        <f>IF(OR(G245="",H245=""),"",G245*H245)</f>
        <v/>
      </c>
      <c r="J245" s="2"/>
      <c r="K245" s="2"/>
    </row>
    <row r="246" spans="1:11">
      <c r="A246" s="4" t="str">
        <f>IF(D246="","",COUNTIF($D$5:D246,"?*"))</f>
        <v/>
      </c>
      <c r="B246" s="5"/>
      <c r="C246" s="4" t="str">
        <f>IF(B246="","",INDEX({"Ocak","Şubat","Mart","Nisan","Mayıs","Haziran","Temmuz","Ağustos","Eylül","Ekim","Kasım","Aralık"},MONTH(B246)))</f>
        <v/>
      </c>
      <c r="D246" s="2"/>
      <c r="E246" s="4" t="str">
        <f>IFERROR(INDEX('Araç Tanımlama'!$D$5:$D$200,MATCH(D246,'Araç Tanımlama'!$A$5:$A$200,0)),"")</f>
        <v/>
      </c>
      <c r="F246" s="4" t="str">
        <f>IFERROR(INDEX('Araç Tanımlama'!$E$5:$E$200,MATCH(D246,'Araç Tanımlama'!$A$5:$A$200,0)),"")</f>
        <v/>
      </c>
      <c r="G246" s="2"/>
      <c r="H246" s="7"/>
      <c r="I246" s="9" t="str">
        <f>IF(OR(G246="",H246=""),"",G246*H246)</f>
        <v/>
      </c>
      <c r="J246" s="2"/>
      <c r="K246" s="2"/>
    </row>
    <row r="247" spans="1:11">
      <c r="A247" s="4" t="str">
        <f>IF(D247="","",COUNTIF($D$5:D247,"?*"))</f>
        <v/>
      </c>
      <c r="B247" s="5"/>
      <c r="C247" s="4" t="str">
        <f>IF(B247="","",INDEX({"Ocak","Şubat","Mart","Nisan","Mayıs","Haziran","Temmuz","Ağustos","Eylül","Ekim","Kasım","Aralık"},MONTH(B247)))</f>
        <v/>
      </c>
      <c r="D247" s="2"/>
      <c r="E247" s="4" t="str">
        <f>IFERROR(INDEX('Araç Tanımlama'!$D$5:$D$200,MATCH(D247,'Araç Tanımlama'!$A$5:$A$200,0)),"")</f>
        <v/>
      </c>
      <c r="F247" s="4" t="str">
        <f>IFERROR(INDEX('Araç Tanımlama'!$E$5:$E$200,MATCH(D247,'Araç Tanımlama'!$A$5:$A$200,0)),"")</f>
        <v/>
      </c>
      <c r="G247" s="2"/>
      <c r="H247" s="7"/>
      <c r="I247" s="9" t="str">
        <f>IF(OR(G247="",H247=""),"",G247*H247)</f>
        <v/>
      </c>
      <c r="J247" s="2"/>
      <c r="K247" s="2"/>
    </row>
    <row r="248" spans="1:11">
      <c r="A248" s="4" t="str">
        <f>IF(D248="","",COUNTIF($D$5:D248,"?*"))</f>
        <v/>
      </c>
      <c r="B248" s="5"/>
      <c r="C248" s="4" t="str">
        <f>IF(B248="","",INDEX({"Ocak","Şubat","Mart","Nisan","Mayıs","Haziran","Temmuz","Ağustos","Eylül","Ekim","Kasım","Aralık"},MONTH(B248)))</f>
        <v/>
      </c>
      <c r="D248" s="2"/>
      <c r="E248" s="4" t="str">
        <f>IFERROR(INDEX('Araç Tanımlama'!$D$5:$D$200,MATCH(D248,'Araç Tanımlama'!$A$5:$A$200,0)),"")</f>
        <v/>
      </c>
      <c r="F248" s="4" t="str">
        <f>IFERROR(INDEX('Araç Tanımlama'!$E$5:$E$200,MATCH(D248,'Araç Tanımlama'!$A$5:$A$200,0)),"")</f>
        <v/>
      </c>
      <c r="G248" s="2"/>
      <c r="H248" s="7"/>
      <c r="I248" s="9" t="str">
        <f>IF(OR(G248="",H248=""),"",G248*H248)</f>
        <v/>
      </c>
      <c r="J248" s="2"/>
      <c r="K248" s="2"/>
    </row>
    <row r="249" spans="1:11">
      <c r="A249" s="4" t="str">
        <f>IF(D249="","",COUNTIF($D$5:D249,"?*"))</f>
        <v/>
      </c>
      <c r="B249" s="5"/>
      <c r="C249" s="4" t="str">
        <f>IF(B249="","",INDEX({"Ocak","Şubat","Mart","Nisan","Mayıs","Haziran","Temmuz","Ağustos","Eylül","Ekim","Kasım","Aralık"},MONTH(B249)))</f>
        <v/>
      </c>
      <c r="D249" s="2"/>
      <c r="E249" s="4" t="str">
        <f>IFERROR(INDEX('Araç Tanımlama'!$D$5:$D$200,MATCH(D249,'Araç Tanımlama'!$A$5:$A$200,0)),"")</f>
        <v/>
      </c>
      <c r="F249" s="4" t="str">
        <f>IFERROR(INDEX('Araç Tanımlama'!$E$5:$E$200,MATCH(D249,'Araç Tanımlama'!$A$5:$A$200,0)),"")</f>
        <v/>
      </c>
      <c r="G249" s="2"/>
      <c r="H249" s="7"/>
      <c r="I249" s="9" t="str">
        <f>IF(OR(G249="",H249=""),"",G249*H249)</f>
        <v/>
      </c>
      <c r="J249" s="2"/>
      <c r="K249" s="2"/>
    </row>
    <row r="250" spans="1:11">
      <c r="A250" s="4" t="str">
        <f>IF(D250="","",COUNTIF($D$5:D250,"?*"))</f>
        <v/>
      </c>
      <c r="B250" s="5"/>
      <c r="C250" s="4" t="str">
        <f>IF(B250="","",INDEX({"Ocak","Şubat","Mart","Nisan","Mayıs","Haziran","Temmuz","Ağustos","Eylül","Ekim","Kasım","Aralık"},MONTH(B250)))</f>
        <v/>
      </c>
      <c r="D250" s="2"/>
      <c r="E250" s="4" t="str">
        <f>IFERROR(INDEX('Araç Tanımlama'!$D$5:$D$200,MATCH(D250,'Araç Tanımlama'!$A$5:$A$200,0)),"")</f>
        <v/>
      </c>
      <c r="F250" s="4" t="str">
        <f>IFERROR(INDEX('Araç Tanımlama'!$E$5:$E$200,MATCH(D250,'Araç Tanımlama'!$A$5:$A$200,0)),"")</f>
        <v/>
      </c>
      <c r="G250" s="2"/>
      <c r="H250" s="7"/>
      <c r="I250" s="9" t="str">
        <f>IF(OR(G250="",H250=""),"",G250*H250)</f>
        <v/>
      </c>
      <c r="J250" s="2"/>
      <c r="K250" s="2"/>
    </row>
    <row r="251" spans="1:11">
      <c r="A251" s="4" t="str">
        <f>IF(D251="","",COUNTIF($D$5:D251,"?*"))</f>
        <v/>
      </c>
      <c r="B251" s="5"/>
      <c r="C251" s="4" t="str">
        <f>IF(B251="","",INDEX({"Ocak","Şubat","Mart","Nisan","Mayıs","Haziran","Temmuz","Ağustos","Eylül","Ekim","Kasım","Aralık"},MONTH(B251)))</f>
        <v/>
      </c>
      <c r="D251" s="2"/>
      <c r="E251" s="4" t="str">
        <f>IFERROR(INDEX('Araç Tanımlama'!$D$5:$D$200,MATCH(D251,'Araç Tanımlama'!$A$5:$A$200,0)),"")</f>
        <v/>
      </c>
      <c r="F251" s="4" t="str">
        <f>IFERROR(INDEX('Araç Tanımlama'!$E$5:$E$200,MATCH(D251,'Araç Tanımlama'!$A$5:$A$200,0)),"")</f>
        <v/>
      </c>
      <c r="G251" s="2"/>
      <c r="H251" s="7"/>
      <c r="I251" s="9" t="str">
        <f>IF(OR(G251="",H251=""),"",G251*H251)</f>
        <v/>
      </c>
      <c r="J251" s="2"/>
      <c r="K251" s="2"/>
    </row>
    <row r="252" spans="1:11">
      <c r="A252" s="4" t="str">
        <f>IF(D252="","",COUNTIF($D$5:D252,"?*"))</f>
        <v/>
      </c>
      <c r="B252" s="5"/>
      <c r="C252" s="4" t="str">
        <f>IF(B252="","",INDEX({"Ocak","Şubat","Mart","Nisan","Mayıs","Haziran","Temmuz","Ağustos","Eylül","Ekim","Kasım","Aralık"},MONTH(B252)))</f>
        <v/>
      </c>
      <c r="D252" s="2"/>
      <c r="E252" s="4" t="str">
        <f>IFERROR(INDEX('Araç Tanımlama'!$D$5:$D$200,MATCH(D252,'Araç Tanımlama'!$A$5:$A$200,0)),"")</f>
        <v/>
      </c>
      <c r="F252" s="4" t="str">
        <f>IFERROR(INDEX('Araç Tanımlama'!$E$5:$E$200,MATCH(D252,'Araç Tanımlama'!$A$5:$A$200,0)),"")</f>
        <v/>
      </c>
      <c r="G252" s="2"/>
      <c r="H252" s="7"/>
      <c r="I252" s="9" t="str">
        <f>IF(OR(G252="",H252=""),"",G252*H252)</f>
        <v/>
      </c>
      <c r="J252" s="2"/>
      <c r="K252" s="2"/>
    </row>
    <row r="253" spans="1:11">
      <c r="A253" s="4" t="str">
        <f>IF(D253="","",COUNTIF($D$5:D253,"?*"))</f>
        <v/>
      </c>
      <c r="B253" s="5"/>
      <c r="C253" s="4" t="str">
        <f>IF(B253="","",INDEX({"Ocak","Şubat","Mart","Nisan","Mayıs","Haziran","Temmuz","Ağustos","Eylül","Ekim","Kasım","Aralık"},MONTH(B253)))</f>
        <v/>
      </c>
      <c r="D253" s="2"/>
      <c r="E253" s="4" t="str">
        <f>IFERROR(INDEX('Araç Tanımlama'!$D$5:$D$200,MATCH(D253,'Araç Tanımlama'!$A$5:$A$200,0)),"")</f>
        <v/>
      </c>
      <c r="F253" s="4" t="str">
        <f>IFERROR(INDEX('Araç Tanımlama'!$E$5:$E$200,MATCH(D253,'Araç Tanımlama'!$A$5:$A$200,0)),"")</f>
        <v/>
      </c>
      <c r="G253" s="2"/>
      <c r="H253" s="7"/>
      <c r="I253" s="9" t="str">
        <f>IF(OR(G253="",H253=""),"",G253*H253)</f>
        <v/>
      </c>
      <c r="J253" s="2"/>
      <c r="K253" s="2"/>
    </row>
    <row r="254" spans="1:11">
      <c r="A254" s="4" t="str">
        <f>IF(D254="","",COUNTIF($D$5:D254,"?*"))</f>
        <v/>
      </c>
      <c r="B254" s="5"/>
      <c r="C254" s="4" t="str">
        <f>IF(B254="","",INDEX({"Ocak","Şubat","Mart","Nisan","Mayıs","Haziran","Temmuz","Ağustos","Eylül","Ekim","Kasım","Aralık"},MONTH(B254)))</f>
        <v/>
      </c>
      <c r="D254" s="2"/>
      <c r="E254" s="4" t="str">
        <f>IFERROR(INDEX('Araç Tanımlama'!$D$5:$D$200,MATCH(D254,'Araç Tanımlama'!$A$5:$A$200,0)),"")</f>
        <v/>
      </c>
      <c r="F254" s="4" t="str">
        <f>IFERROR(INDEX('Araç Tanımlama'!$E$5:$E$200,MATCH(D254,'Araç Tanımlama'!$A$5:$A$200,0)),"")</f>
        <v/>
      </c>
      <c r="G254" s="2"/>
      <c r="H254" s="7"/>
      <c r="I254" s="9" t="str">
        <f>IF(OR(G254="",H254=""),"",G254*H254)</f>
        <v/>
      </c>
      <c r="J254" s="2"/>
      <c r="K254" s="2"/>
    </row>
    <row r="255" spans="1:11">
      <c r="A255" s="4" t="str">
        <f>IF(D255="","",COUNTIF($D$5:D255,"?*"))</f>
        <v/>
      </c>
      <c r="B255" s="5"/>
      <c r="C255" s="4" t="str">
        <f>IF(B255="","",INDEX({"Ocak","Şubat","Mart","Nisan","Mayıs","Haziran","Temmuz","Ağustos","Eylül","Ekim","Kasım","Aralık"},MONTH(B255)))</f>
        <v/>
      </c>
      <c r="D255" s="2"/>
      <c r="E255" s="4" t="str">
        <f>IFERROR(INDEX('Araç Tanımlama'!$D$5:$D$200,MATCH(D255,'Araç Tanımlama'!$A$5:$A$200,0)),"")</f>
        <v/>
      </c>
      <c r="F255" s="4" t="str">
        <f>IFERROR(INDEX('Araç Tanımlama'!$E$5:$E$200,MATCH(D255,'Araç Tanımlama'!$A$5:$A$200,0)),"")</f>
        <v/>
      </c>
      <c r="G255" s="2"/>
      <c r="H255" s="7"/>
      <c r="I255" s="9" t="str">
        <f>IF(OR(G255="",H255=""),"",G255*H255)</f>
        <v/>
      </c>
      <c r="J255" s="2"/>
      <c r="K255" s="2"/>
    </row>
    <row r="256" spans="1:11">
      <c r="A256" s="4" t="str">
        <f>IF(D256="","",COUNTIF($D$5:D256,"?*"))</f>
        <v/>
      </c>
      <c r="B256" s="5"/>
      <c r="C256" s="4" t="str">
        <f>IF(B256="","",INDEX({"Ocak","Şubat","Mart","Nisan","Mayıs","Haziran","Temmuz","Ağustos","Eylül","Ekim","Kasım","Aralık"},MONTH(B256)))</f>
        <v/>
      </c>
      <c r="D256" s="2"/>
      <c r="E256" s="4" t="str">
        <f>IFERROR(INDEX('Araç Tanımlama'!$D$5:$D$200,MATCH(D256,'Araç Tanımlama'!$A$5:$A$200,0)),"")</f>
        <v/>
      </c>
      <c r="F256" s="4" t="str">
        <f>IFERROR(INDEX('Araç Tanımlama'!$E$5:$E$200,MATCH(D256,'Araç Tanımlama'!$A$5:$A$200,0)),"")</f>
        <v/>
      </c>
      <c r="G256" s="2"/>
      <c r="H256" s="7"/>
      <c r="I256" s="9" t="str">
        <f>IF(OR(G256="",H256=""),"",G256*H256)</f>
        <v/>
      </c>
      <c r="J256" s="2"/>
      <c r="K256" s="2"/>
    </row>
    <row r="257" spans="1:11">
      <c r="A257" s="4" t="str">
        <f>IF(D257="","",COUNTIF($D$5:D257,"?*"))</f>
        <v/>
      </c>
      <c r="B257" s="5"/>
      <c r="C257" s="4" t="str">
        <f>IF(B257="","",INDEX({"Ocak","Şubat","Mart","Nisan","Mayıs","Haziran","Temmuz","Ağustos","Eylül","Ekim","Kasım","Aralık"},MONTH(B257)))</f>
        <v/>
      </c>
      <c r="D257" s="2"/>
      <c r="E257" s="4" t="str">
        <f>IFERROR(INDEX('Araç Tanımlama'!$D$5:$D$200,MATCH(D257,'Araç Tanımlama'!$A$5:$A$200,0)),"")</f>
        <v/>
      </c>
      <c r="F257" s="4" t="str">
        <f>IFERROR(INDEX('Araç Tanımlama'!$E$5:$E$200,MATCH(D257,'Araç Tanımlama'!$A$5:$A$200,0)),"")</f>
        <v/>
      </c>
      <c r="G257" s="2"/>
      <c r="H257" s="7"/>
      <c r="I257" s="9" t="str">
        <f>IF(OR(G257="",H257=""),"",G257*H257)</f>
        <v/>
      </c>
      <c r="J257" s="2"/>
      <c r="K257" s="2"/>
    </row>
    <row r="258" spans="1:11">
      <c r="A258" s="4" t="str">
        <f>IF(D258="","",COUNTIF($D$5:D258,"?*"))</f>
        <v/>
      </c>
      <c r="B258" s="5"/>
      <c r="C258" s="4" t="str">
        <f>IF(B258="","",INDEX({"Ocak","Şubat","Mart","Nisan","Mayıs","Haziran","Temmuz","Ağustos","Eylül","Ekim","Kasım","Aralık"},MONTH(B258)))</f>
        <v/>
      </c>
      <c r="D258" s="2"/>
      <c r="E258" s="4" t="str">
        <f>IFERROR(INDEX('Araç Tanımlama'!$D$5:$D$200,MATCH(D258,'Araç Tanımlama'!$A$5:$A$200,0)),"")</f>
        <v/>
      </c>
      <c r="F258" s="4" t="str">
        <f>IFERROR(INDEX('Araç Tanımlama'!$E$5:$E$200,MATCH(D258,'Araç Tanımlama'!$A$5:$A$200,0)),"")</f>
        <v/>
      </c>
      <c r="G258" s="2"/>
      <c r="H258" s="7"/>
      <c r="I258" s="9" t="str">
        <f>IF(OR(G258="",H258=""),"",G258*H258)</f>
        <v/>
      </c>
      <c r="J258" s="2"/>
      <c r="K258" s="2"/>
    </row>
    <row r="259" spans="1:11">
      <c r="A259" s="4" t="str">
        <f>IF(D259="","",COUNTIF($D$5:D259,"?*"))</f>
        <v/>
      </c>
      <c r="B259" s="5"/>
      <c r="C259" s="4" t="str">
        <f>IF(B259="","",INDEX({"Ocak","Şubat","Mart","Nisan","Mayıs","Haziran","Temmuz","Ağustos","Eylül","Ekim","Kasım","Aralık"},MONTH(B259)))</f>
        <v/>
      </c>
      <c r="D259" s="2"/>
      <c r="E259" s="4" t="str">
        <f>IFERROR(INDEX('Araç Tanımlama'!$D$5:$D$200,MATCH(D259,'Araç Tanımlama'!$A$5:$A$200,0)),"")</f>
        <v/>
      </c>
      <c r="F259" s="4" t="str">
        <f>IFERROR(INDEX('Araç Tanımlama'!$E$5:$E$200,MATCH(D259,'Araç Tanımlama'!$A$5:$A$200,0)),"")</f>
        <v/>
      </c>
      <c r="G259" s="2"/>
      <c r="H259" s="7"/>
      <c r="I259" s="9" t="str">
        <f>IF(OR(G259="",H259=""),"",G259*H259)</f>
        <v/>
      </c>
      <c r="J259" s="2"/>
      <c r="K259" s="2"/>
    </row>
    <row r="260" spans="1:11">
      <c r="A260" s="4" t="str">
        <f>IF(D260="","",COUNTIF($D$5:D260,"?*"))</f>
        <v/>
      </c>
      <c r="B260" s="5"/>
      <c r="C260" s="4" t="str">
        <f>IF(B260="","",INDEX({"Ocak","Şubat","Mart","Nisan","Mayıs","Haziran","Temmuz","Ağustos","Eylül","Ekim","Kasım","Aralık"},MONTH(B260)))</f>
        <v/>
      </c>
      <c r="D260" s="2"/>
      <c r="E260" s="4" t="str">
        <f>IFERROR(INDEX('Araç Tanımlama'!$D$5:$D$200,MATCH(D260,'Araç Tanımlama'!$A$5:$A$200,0)),"")</f>
        <v/>
      </c>
      <c r="F260" s="4" t="str">
        <f>IFERROR(INDEX('Araç Tanımlama'!$E$5:$E$200,MATCH(D260,'Araç Tanımlama'!$A$5:$A$200,0)),"")</f>
        <v/>
      </c>
      <c r="G260" s="2"/>
      <c r="H260" s="7"/>
      <c r="I260" s="9" t="str">
        <f>IF(OR(G260="",H260=""),"",G260*H260)</f>
        <v/>
      </c>
      <c r="J260" s="2"/>
      <c r="K260" s="2"/>
    </row>
    <row r="261" spans="1:11">
      <c r="A261" s="4" t="str">
        <f>IF(D261="","",COUNTIF($D$5:D261,"?*"))</f>
        <v/>
      </c>
      <c r="B261" s="5"/>
      <c r="C261" s="4" t="str">
        <f>IF(B261="","",INDEX({"Ocak","Şubat","Mart","Nisan","Mayıs","Haziran","Temmuz","Ağustos","Eylül","Ekim","Kasım","Aralık"},MONTH(B261)))</f>
        <v/>
      </c>
      <c r="D261" s="2"/>
      <c r="E261" s="4" t="str">
        <f>IFERROR(INDEX('Araç Tanımlama'!$D$5:$D$200,MATCH(D261,'Araç Tanımlama'!$A$5:$A$200,0)),"")</f>
        <v/>
      </c>
      <c r="F261" s="4" t="str">
        <f>IFERROR(INDEX('Araç Tanımlama'!$E$5:$E$200,MATCH(D261,'Araç Tanımlama'!$A$5:$A$200,0)),"")</f>
        <v/>
      </c>
      <c r="G261" s="2"/>
      <c r="H261" s="7"/>
      <c r="I261" s="9" t="str">
        <f>IF(OR(G261="",H261=""),"",G261*H261)</f>
        <v/>
      </c>
      <c r="J261" s="2"/>
      <c r="K261" s="2"/>
    </row>
    <row r="262" spans="1:11">
      <c r="A262" s="4" t="str">
        <f>IF(D262="","",COUNTIF($D$5:D262,"?*"))</f>
        <v/>
      </c>
      <c r="B262" s="5"/>
      <c r="C262" s="4" t="str">
        <f>IF(B262="","",INDEX({"Ocak","Şubat","Mart","Nisan","Mayıs","Haziran","Temmuz","Ağustos","Eylül","Ekim","Kasım","Aralık"},MONTH(B262)))</f>
        <v/>
      </c>
      <c r="D262" s="2"/>
      <c r="E262" s="4" t="str">
        <f>IFERROR(INDEX('Araç Tanımlama'!$D$5:$D$200,MATCH(D262,'Araç Tanımlama'!$A$5:$A$200,0)),"")</f>
        <v/>
      </c>
      <c r="F262" s="4" t="str">
        <f>IFERROR(INDEX('Araç Tanımlama'!$E$5:$E$200,MATCH(D262,'Araç Tanımlama'!$A$5:$A$200,0)),"")</f>
        <v/>
      </c>
      <c r="G262" s="2"/>
      <c r="H262" s="7"/>
      <c r="I262" s="9" t="str">
        <f>IF(OR(G262="",H262=""),"",G262*H262)</f>
        <v/>
      </c>
      <c r="J262" s="2"/>
      <c r="K262" s="2"/>
    </row>
    <row r="263" spans="1:11">
      <c r="A263" s="4" t="str">
        <f>IF(D263="","",COUNTIF($D$5:D263,"?*"))</f>
        <v/>
      </c>
      <c r="B263" s="5"/>
      <c r="C263" s="4" t="str">
        <f>IF(B263="","",INDEX({"Ocak","Şubat","Mart","Nisan","Mayıs","Haziran","Temmuz","Ağustos","Eylül","Ekim","Kasım","Aralık"},MONTH(B263)))</f>
        <v/>
      </c>
      <c r="D263" s="2"/>
      <c r="E263" s="4" t="str">
        <f>IFERROR(INDEX('Araç Tanımlama'!$D$5:$D$200,MATCH(D263,'Araç Tanımlama'!$A$5:$A$200,0)),"")</f>
        <v/>
      </c>
      <c r="F263" s="4" t="str">
        <f>IFERROR(INDEX('Araç Tanımlama'!$E$5:$E$200,MATCH(D263,'Araç Tanımlama'!$A$5:$A$200,0)),"")</f>
        <v/>
      </c>
      <c r="G263" s="2"/>
      <c r="H263" s="7"/>
      <c r="I263" s="9" t="str">
        <f>IF(OR(G263="",H263=""),"",G263*H263)</f>
        <v/>
      </c>
      <c r="J263" s="2"/>
      <c r="K263" s="2"/>
    </row>
    <row r="264" spans="1:11">
      <c r="A264" s="4" t="str">
        <f>IF(D264="","",COUNTIF($D$5:D264,"?*"))</f>
        <v/>
      </c>
      <c r="B264" s="5"/>
      <c r="C264" s="4" t="str">
        <f>IF(B264="","",INDEX({"Ocak","Şubat","Mart","Nisan","Mayıs","Haziran","Temmuz","Ağustos","Eylül","Ekim","Kasım","Aralık"},MONTH(B264)))</f>
        <v/>
      </c>
      <c r="D264" s="2"/>
      <c r="E264" s="4" t="str">
        <f>IFERROR(INDEX('Araç Tanımlama'!$D$5:$D$200,MATCH(D264,'Araç Tanımlama'!$A$5:$A$200,0)),"")</f>
        <v/>
      </c>
      <c r="F264" s="4" t="str">
        <f>IFERROR(INDEX('Araç Tanımlama'!$E$5:$E$200,MATCH(D264,'Araç Tanımlama'!$A$5:$A$200,0)),"")</f>
        <v/>
      </c>
      <c r="G264" s="2"/>
      <c r="H264" s="7"/>
      <c r="I264" s="9" t="str">
        <f>IF(OR(G264="",H264=""),"",G264*H264)</f>
        <v/>
      </c>
      <c r="J264" s="2"/>
      <c r="K264" s="2"/>
    </row>
    <row r="265" spans="1:11">
      <c r="A265" s="4" t="str">
        <f>IF(D265="","",COUNTIF($D$5:D265,"?*"))</f>
        <v/>
      </c>
      <c r="B265" s="5"/>
      <c r="C265" s="4" t="str">
        <f>IF(B265="","",INDEX({"Ocak","Şubat","Mart","Nisan","Mayıs","Haziran","Temmuz","Ağustos","Eylül","Ekim","Kasım","Aralık"},MONTH(B265)))</f>
        <v/>
      </c>
      <c r="D265" s="2"/>
      <c r="E265" s="4" t="str">
        <f>IFERROR(INDEX('Araç Tanımlama'!$D$5:$D$200,MATCH(D265,'Araç Tanımlama'!$A$5:$A$200,0)),"")</f>
        <v/>
      </c>
      <c r="F265" s="4" t="str">
        <f>IFERROR(INDEX('Araç Tanımlama'!$E$5:$E$200,MATCH(D265,'Araç Tanımlama'!$A$5:$A$200,0)),"")</f>
        <v/>
      </c>
      <c r="G265" s="2"/>
      <c r="H265" s="7"/>
      <c r="I265" s="9" t="str">
        <f>IF(OR(G265="",H265=""),"",G265*H265)</f>
        <v/>
      </c>
      <c r="J265" s="2"/>
      <c r="K265" s="2"/>
    </row>
    <row r="266" spans="1:11">
      <c r="A266" s="4" t="str">
        <f>IF(D266="","",COUNTIF($D$5:D266,"?*"))</f>
        <v/>
      </c>
      <c r="B266" s="5"/>
      <c r="C266" s="4" t="str">
        <f>IF(B266="","",INDEX({"Ocak","Şubat","Mart","Nisan","Mayıs","Haziran","Temmuz","Ağustos","Eylül","Ekim","Kasım","Aralık"},MONTH(B266)))</f>
        <v/>
      </c>
      <c r="D266" s="2"/>
      <c r="E266" s="4" t="str">
        <f>IFERROR(INDEX('Araç Tanımlama'!$D$5:$D$200,MATCH(D266,'Araç Tanımlama'!$A$5:$A$200,0)),"")</f>
        <v/>
      </c>
      <c r="F266" s="4" t="str">
        <f>IFERROR(INDEX('Araç Tanımlama'!$E$5:$E$200,MATCH(D266,'Araç Tanımlama'!$A$5:$A$200,0)),"")</f>
        <v/>
      </c>
      <c r="G266" s="2"/>
      <c r="H266" s="7"/>
      <c r="I266" s="9" t="str">
        <f>IF(OR(G266="",H266=""),"",G266*H266)</f>
        <v/>
      </c>
      <c r="J266" s="2"/>
      <c r="K266" s="2"/>
    </row>
    <row r="267" spans="1:11">
      <c r="A267" s="4" t="str">
        <f>IF(D267="","",COUNTIF($D$5:D267,"?*"))</f>
        <v/>
      </c>
      <c r="B267" s="5"/>
      <c r="C267" s="4" t="str">
        <f>IF(B267="","",INDEX({"Ocak","Şubat","Mart","Nisan","Mayıs","Haziran","Temmuz","Ağustos","Eylül","Ekim","Kasım","Aralık"},MONTH(B267)))</f>
        <v/>
      </c>
      <c r="D267" s="2"/>
      <c r="E267" s="4" t="str">
        <f>IFERROR(INDEX('Araç Tanımlama'!$D$5:$D$200,MATCH(D267,'Araç Tanımlama'!$A$5:$A$200,0)),"")</f>
        <v/>
      </c>
      <c r="F267" s="4" t="str">
        <f>IFERROR(INDEX('Araç Tanımlama'!$E$5:$E$200,MATCH(D267,'Araç Tanımlama'!$A$5:$A$200,0)),"")</f>
        <v/>
      </c>
      <c r="G267" s="2"/>
      <c r="H267" s="7"/>
      <c r="I267" s="9" t="str">
        <f>IF(OR(G267="",H267=""),"",G267*H267)</f>
        <v/>
      </c>
      <c r="J267" s="2"/>
      <c r="K267" s="2"/>
    </row>
    <row r="268" spans="1:11">
      <c r="A268" s="4" t="str">
        <f>IF(D268="","",COUNTIF($D$5:D268,"?*"))</f>
        <v/>
      </c>
      <c r="B268" s="5"/>
      <c r="C268" s="4" t="str">
        <f>IF(B268="","",INDEX({"Ocak","Şubat","Mart","Nisan","Mayıs","Haziran","Temmuz","Ağustos","Eylül","Ekim","Kasım","Aralık"},MONTH(B268)))</f>
        <v/>
      </c>
      <c r="D268" s="2"/>
      <c r="E268" s="4" t="str">
        <f>IFERROR(INDEX('Araç Tanımlama'!$D$5:$D$200,MATCH(D268,'Araç Tanımlama'!$A$5:$A$200,0)),"")</f>
        <v/>
      </c>
      <c r="F268" s="4" t="str">
        <f>IFERROR(INDEX('Araç Tanımlama'!$E$5:$E$200,MATCH(D268,'Araç Tanımlama'!$A$5:$A$200,0)),"")</f>
        <v/>
      </c>
      <c r="G268" s="2"/>
      <c r="H268" s="7"/>
      <c r="I268" s="9" t="str">
        <f>IF(OR(G268="",H268=""),"",G268*H268)</f>
        <v/>
      </c>
      <c r="J268" s="2"/>
      <c r="K268" s="2"/>
    </row>
    <row r="269" spans="1:11">
      <c r="A269" s="4" t="str">
        <f>IF(D269="","",COUNTIF($D$5:D269,"?*"))</f>
        <v/>
      </c>
      <c r="B269" s="5"/>
      <c r="C269" s="4" t="str">
        <f>IF(B269="","",INDEX({"Ocak","Şubat","Mart","Nisan","Mayıs","Haziran","Temmuz","Ağustos","Eylül","Ekim","Kasım","Aralık"},MONTH(B269)))</f>
        <v/>
      </c>
      <c r="D269" s="2"/>
      <c r="E269" s="4" t="str">
        <f>IFERROR(INDEX('Araç Tanımlama'!$D$5:$D$200,MATCH(D269,'Araç Tanımlama'!$A$5:$A$200,0)),"")</f>
        <v/>
      </c>
      <c r="F269" s="4" t="str">
        <f>IFERROR(INDEX('Araç Tanımlama'!$E$5:$E$200,MATCH(D269,'Araç Tanımlama'!$A$5:$A$200,0)),"")</f>
        <v/>
      </c>
      <c r="G269" s="2"/>
      <c r="H269" s="7"/>
      <c r="I269" s="9" t="str">
        <f>IF(OR(G269="",H269=""),"",G269*H269)</f>
        <v/>
      </c>
      <c r="J269" s="2"/>
      <c r="K269" s="2"/>
    </row>
    <row r="270" spans="1:11">
      <c r="A270" s="4" t="str">
        <f>IF(D270="","",COUNTIF($D$5:D270,"?*"))</f>
        <v/>
      </c>
      <c r="B270" s="5"/>
      <c r="C270" s="4" t="str">
        <f>IF(B270="","",INDEX({"Ocak","Şubat","Mart","Nisan","Mayıs","Haziran","Temmuz","Ağustos","Eylül","Ekim","Kasım","Aralık"},MONTH(B270)))</f>
        <v/>
      </c>
      <c r="D270" s="2"/>
      <c r="E270" s="4" t="str">
        <f>IFERROR(INDEX('Araç Tanımlama'!$D$5:$D$200,MATCH(D270,'Araç Tanımlama'!$A$5:$A$200,0)),"")</f>
        <v/>
      </c>
      <c r="F270" s="4" t="str">
        <f>IFERROR(INDEX('Araç Tanımlama'!$E$5:$E$200,MATCH(D270,'Araç Tanımlama'!$A$5:$A$200,0)),"")</f>
        <v/>
      </c>
      <c r="G270" s="2"/>
      <c r="H270" s="7"/>
      <c r="I270" s="9" t="str">
        <f>IF(OR(G270="",H270=""),"",G270*H270)</f>
        <v/>
      </c>
      <c r="J270" s="2"/>
      <c r="K270" s="2"/>
    </row>
    <row r="271" spans="1:11">
      <c r="A271" s="4" t="str">
        <f>IF(D271="","",COUNTIF($D$5:D271,"?*"))</f>
        <v/>
      </c>
      <c r="B271" s="5"/>
      <c r="C271" s="4" t="str">
        <f>IF(B271="","",INDEX({"Ocak","Şubat","Mart","Nisan","Mayıs","Haziran","Temmuz","Ağustos","Eylül","Ekim","Kasım","Aralık"},MONTH(B271)))</f>
        <v/>
      </c>
      <c r="D271" s="2"/>
      <c r="E271" s="4" t="str">
        <f>IFERROR(INDEX('Araç Tanımlama'!$D$5:$D$200,MATCH(D271,'Araç Tanımlama'!$A$5:$A$200,0)),"")</f>
        <v/>
      </c>
      <c r="F271" s="4" t="str">
        <f>IFERROR(INDEX('Araç Tanımlama'!$E$5:$E$200,MATCH(D271,'Araç Tanımlama'!$A$5:$A$200,0)),"")</f>
        <v/>
      </c>
      <c r="G271" s="2"/>
      <c r="H271" s="7"/>
      <c r="I271" s="9" t="str">
        <f>IF(OR(G271="",H271=""),"",G271*H271)</f>
        <v/>
      </c>
      <c r="J271" s="2"/>
      <c r="K271" s="2"/>
    </row>
    <row r="272" spans="1:11">
      <c r="A272" s="4" t="str">
        <f>IF(D272="","",COUNTIF($D$5:D272,"?*"))</f>
        <v/>
      </c>
      <c r="B272" s="5"/>
      <c r="C272" s="4" t="str">
        <f>IF(B272="","",INDEX({"Ocak","Şubat","Mart","Nisan","Mayıs","Haziran","Temmuz","Ağustos","Eylül","Ekim","Kasım","Aralık"},MONTH(B272)))</f>
        <v/>
      </c>
      <c r="D272" s="2"/>
      <c r="E272" s="4" t="str">
        <f>IFERROR(INDEX('Araç Tanımlama'!$D$5:$D$200,MATCH(D272,'Araç Tanımlama'!$A$5:$A$200,0)),"")</f>
        <v/>
      </c>
      <c r="F272" s="4" t="str">
        <f>IFERROR(INDEX('Araç Tanımlama'!$E$5:$E$200,MATCH(D272,'Araç Tanımlama'!$A$5:$A$200,0)),"")</f>
        <v/>
      </c>
      <c r="G272" s="2"/>
      <c r="H272" s="7"/>
      <c r="I272" s="9" t="str">
        <f>IF(OR(G272="",H272=""),"",G272*H272)</f>
        <v/>
      </c>
      <c r="J272" s="2"/>
      <c r="K272" s="2"/>
    </row>
    <row r="273" spans="1:11">
      <c r="A273" s="4" t="str">
        <f>IF(D273="","",COUNTIF($D$5:D273,"?*"))</f>
        <v/>
      </c>
      <c r="B273" s="5"/>
      <c r="C273" s="4" t="str">
        <f>IF(B273="","",INDEX({"Ocak","Şubat","Mart","Nisan","Mayıs","Haziran","Temmuz","Ağustos","Eylül","Ekim","Kasım","Aralık"},MONTH(B273)))</f>
        <v/>
      </c>
      <c r="D273" s="2"/>
      <c r="E273" s="4" t="str">
        <f>IFERROR(INDEX('Araç Tanımlama'!$D$5:$D$200,MATCH(D273,'Araç Tanımlama'!$A$5:$A$200,0)),"")</f>
        <v/>
      </c>
      <c r="F273" s="4" t="str">
        <f>IFERROR(INDEX('Araç Tanımlama'!$E$5:$E$200,MATCH(D273,'Araç Tanımlama'!$A$5:$A$200,0)),"")</f>
        <v/>
      </c>
      <c r="G273" s="2"/>
      <c r="H273" s="7"/>
      <c r="I273" s="9" t="str">
        <f>IF(OR(G273="",H273=""),"",G273*H273)</f>
        <v/>
      </c>
      <c r="J273" s="2"/>
      <c r="K273" s="2"/>
    </row>
    <row r="274" spans="1:11">
      <c r="A274" s="4" t="str">
        <f>IF(D274="","",COUNTIF($D$5:D274,"?*"))</f>
        <v/>
      </c>
      <c r="B274" s="5"/>
      <c r="C274" s="4" t="str">
        <f>IF(B274="","",INDEX({"Ocak","Şubat","Mart","Nisan","Mayıs","Haziran","Temmuz","Ağustos","Eylül","Ekim","Kasım","Aralık"},MONTH(B274)))</f>
        <v/>
      </c>
      <c r="D274" s="2"/>
      <c r="E274" s="4" t="str">
        <f>IFERROR(INDEX('Araç Tanımlama'!$D$5:$D$200,MATCH(D274,'Araç Tanımlama'!$A$5:$A$200,0)),"")</f>
        <v/>
      </c>
      <c r="F274" s="4" t="str">
        <f>IFERROR(INDEX('Araç Tanımlama'!$E$5:$E$200,MATCH(D274,'Araç Tanımlama'!$A$5:$A$200,0)),"")</f>
        <v/>
      </c>
      <c r="G274" s="2"/>
      <c r="H274" s="7"/>
      <c r="I274" s="9" t="str">
        <f>IF(OR(G274="",H274=""),"",G274*H274)</f>
        <v/>
      </c>
      <c r="J274" s="2"/>
      <c r="K274" s="2"/>
    </row>
    <row r="275" spans="1:11">
      <c r="A275" s="4" t="str">
        <f>IF(D275="","",COUNTIF($D$5:D275,"?*"))</f>
        <v/>
      </c>
      <c r="B275" s="5"/>
      <c r="C275" s="4" t="str">
        <f>IF(B275="","",INDEX({"Ocak","Şubat","Mart","Nisan","Mayıs","Haziran","Temmuz","Ağustos","Eylül","Ekim","Kasım","Aralık"},MONTH(B275)))</f>
        <v/>
      </c>
      <c r="D275" s="2"/>
      <c r="E275" s="4" t="str">
        <f>IFERROR(INDEX('Araç Tanımlama'!$D$5:$D$200,MATCH(D275,'Araç Tanımlama'!$A$5:$A$200,0)),"")</f>
        <v/>
      </c>
      <c r="F275" s="4" t="str">
        <f>IFERROR(INDEX('Araç Tanımlama'!$E$5:$E$200,MATCH(D275,'Araç Tanımlama'!$A$5:$A$200,0)),"")</f>
        <v/>
      </c>
      <c r="G275" s="2"/>
      <c r="H275" s="7"/>
      <c r="I275" s="9" t="str">
        <f>IF(OR(G275="",H275=""),"",G275*H275)</f>
        <v/>
      </c>
      <c r="J275" s="2"/>
      <c r="K275" s="2"/>
    </row>
    <row r="276" spans="1:11">
      <c r="A276" s="4" t="str">
        <f>IF(D276="","",COUNTIF($D$5:D276,"?*"))</f>
        <v/>
      </c>
      <c r="B276" s="5"/>
      <c r="C276" s="4" t="str">
        <f>IF(B276="","",INDEX({"Ocak","Şubat","Mart","Nisan","Mayıs","Haziran","Temmuz","Ağustos","Eylül","Ekim","Kasım","Aralık"},MONTH(B276)))</f>
        <v/>
      </c>
      <c r="D276" s="2"/>
      <c r="E276" s="4" t="str">
        <f>IFERROR(INDEX('Araç Tanımlama'!$D$5:$D$200,MATCH(D276,'Araç Tanımlama'!$A$5:$A$200,0)),"")</f>
        <v/>
      </c>
      <c r="F276" s="4" t="str">
        <f>IFERROR(INDEX('Araç Tanımlama'!$E$5:$E$200,MATCH(D276,'Araç Tanımlama'!$A$5:$A$200,0)),"")</f>
        <v/>
      </c>
      <c r="G276" s="2"/>
      <c r="H276" s="7"/>
      <c r="I276" s="9" t="str">
        <f>IF(OR(G276="",H276=""),"",G276*H276)</f>
        <v/>
      </c>
      <c r="J276" s="2"/>
      <c r="K276" s="2"/>
    </row>
    <row r="277" spans="1:11">
      <c r="A277" s="4" t="str">
        <f>IF(D277="","",COUNTIF($D$5:D277,"?*"))</f>
        <v/>
      </c>
      <c r="B277" s="5"/>
      <c r="C277" s="4" t="str">
        <f>IF(B277="","",INDEX({"Ocak","Şubat","Mart","Nisan","Mayıs","Haziran","Temmuz","Ağustos","Eylül","Ekim","Kasım","Aralık"},MONTH(B277)))</f>
        <v/>
      </c>
      <c r="D277" s="2"/>
      <c r="E277" s="4" t="str">
        <f>IFERROR(INDEX('Araç Tanımlama'!$D$5:$D$200,MATCH(D277,'Araç Tanımlama'!$A$5:$A$200,0)),"")</f>
        <v/>
      </c>
      <c r="F277" s="4" t="str">
        <f>IFERROR(INDEX('Araç Tanımlama'!$E$5:$E$200,MATCH(D277,'Araç Tanımlama'!$A$5:$A$200,0)),"")</f>
        <v/>
      </c>
      <c r="G277" s="2"/>
      <c r="H277" s="7"/>
      <c r="I277" s="9" t="str">
        <f>IF(OR(G277="",H277=""),"",G277*H277)</f>
        <v/>
      </c>
      <c r="J277" s="2"/>
      <c r="K277" s="2"/>
    </row>
    <row r="278" spans="1:11">
      <c r="A278" s="4" t="str">
        <f>IF(D278="","",COUNTIF($D$5:D278,"?*"))</f>
        <v/>
      </c>
      <c r="B278" s="5"/>
      <c r="C278" s="4" t="str">
        <f>IF(B278="","",INDEX({"Ocak","Şubat","Mart","Nisan","Mayıs","Haziran","Temmuz","Ağustos","Eylül","Ekim","Kasım","Aralık"},MONTH(B278)))</f>
        <v/>
      </c>
      <c r="D278" s="2"/>
      <c r="E278" s="4" t="str">
        <f>IFERROR(INDEX('Araç Tanımlama'!$D$5:$D$200,MATCH(D278,'Araç Tanımlama'!$A$5:$A$200,0)),"")</f>
        <v/>
      </c>
      <c r="F278" s="4" t="str">
        <f>IFERROR(INDEX('Araç Tanımlama'!$E$5:$E$200,MATCH(D278,'Araç Tanımlama'!$A$5:$A$200,0)),"")</f>
        <v/>
      </c>
      <c r="G278" s="2"/>
      <c r="H278" s="7"/>
      <c r="I278" s="9" t="str">
        <f>IF(OR(G278="",H278=""),"",G278*H278)</f>
        <v/>
      </c>
      <c r="J278" s="2"/>
      <c r="K278" s="2"/>
    </row>
    <row r="279" spans="1:11">
      <c r="A279" s="4" t="str">
        <f>IF(D279="","",COUNTIF($D$5:D279,"?*"))</f>
        <v/>
      </c>
      <c r="B279" s="5"/>
      <c r="C279" s="4" t="str">
        <f>IF(B279="","",INDEX({"Ocak","Şubat","Mart","Nisan","Mayıs","Haziran","Temmuz","Ağustos","Eylül","Ekim","Kasım","Aralık"},MONTH(B279)))</f>
        <v/>
      </c>
      <c r="D279" s="2"/>
      <c r="E279" s="4" t="str">
        <f>IFERROR(INDEX('Araç Tanımlama'!$D$5:$D$200,MATCH(D279,'Araç Tanımlama'!$A$5:$A$200,0)),"")</f>
        <v/>
      </c>
      <c r="F279" s="4" t="str">
        <f>IFERROR(INDEX('Araç Tanımlama'!$E$5:$E$200,MATCH(D279,'Araç Tanımlama'!$A$5:$A$200,0)),"")</f>
        <v/>
      </c>
      <c r="G279" s="2"/>
      <c r="H279" s="7"/>
      <c r="I279" s="9" t="str">
        <f>IF(OR(G279="",H279=""),"",G279*H279)</f>
        <v/>
      </c>
      <c r="J279" s="2"/>
      <c r="K279" s="2"/>
    </row>
    <row r="280" spans="1:11">
      <c r="A280" s="4" t="str">
        <f>IF(D280="","",COUNTIF($D$5:D280,"?*"))</f>
        <v/>
      </c>
      <c r="B280" s="5"/>
      <c r="C280" s="4" t="str">
        <f>IF(B280="","",INDEX({"Ocak","Şubat","Mart","Nisan","Mayıs","Haziran","Temmuz","Ağustos","Eylül","Ekim","Kasım","Aralık"},MONTH(B280)))</f>
        <v/>
      </c>
      <c r="D280" s="2"/>
      <c r="E280" s="4" t="str">
        <f>IFERROR(INDEX('Araç Tanımlama'!$D$5:$D$200,MATCH(D280,'Araç Tanımlama'!$A$5:$A$200,0)),"")</f>
        <v/>
      </c>
      <c r="F280" s="4" t="str">
        <f>IFERROR(INDEX('Araç Tanımlama'!$E$5:$E$200,MATCH(D280,'Araç Tanımlama'!$A$5:$A$200,0)),"")</f>
        <v/>
      </c>
      <c r="G280" s="2"/>
      <c r="H280" s="7"/>
      <c r="I280" s="9" t="str">
        <f>IF(OR(G280="",H280=""),"",G280*H280)</f>
        <v/>
      </c>
      <c r="J280" s="2"/>
      <c r="K280" s="2"/>
    </row>
    <row r="281" spans="1:11">
      <c r="A281" s="4" t="str">
        <f>IF(D281="","",COUNTIF($D$5:D281,"?*"))</f>
        <v/>
      </c>
      <c r="B281" s="5"/>
      <c r="C281" s="4" t="str">
        <f>IF(B281="","",INDEX({"Ocak","Şubat","Mart","Nisan","Mayıs","Haziran","Temmuz","Ağustos","Eylül","Ekim","Kasım","Aralık"},MONTH(B281)))</f>
        <v/>
      </c>
      <c r="D281" s="2"/>
      <c r="E281" s="4" t="str">
        <f>IFERROR(INDEX('Araç Tanımlama'!$D$5:$D$200,MATCH(D281,'Araç Tanımlama'!$A$5:$A$200,0)),"")</f>
        <v/>
      </c>
      <c r="F281" s="4" t="str">
        <f>IFERROR(INDEX('Araç Tanımlama'!$E$5:$E$200,MATCH(D281,'Araç Tanımlama'!$A$5:$A$200,0)),"")</f>
        <v/>
      </c>
      <c r="G281" s="2"/>
      <c r="H281" s="7"/>
      <c r="I281" s="9" t="str">
        <f>IF(OR(G281="",H281=""),"",G281*H281)</f>
        <v/>
      </c>
      <c r="J281" s="2"/>
      <c r="K281" s="2"/>
    </row>
    <row r="282" spans="1:11">
      <c r="A282" s="4" t="str">
        <f>IF(D282="","",COUNTIF($D$5:D282,"?*"))</f>
        <v/>
      </c>
      <c r="B282" s="5"/>
      <c r="C282" s="4" t="str">
        <f>IF(B282="","",INDEX({"Ocak","Şubat","Mart","Nisan","Mayıs","Haziran","Temmuz","Ağustos","Eylül","Ekim","Kasım","Aralık"},MONTH(B282)))</f>
        <v/>
      </c>
      <c r="D282" s="2"/>
      <c r="E282" s="4" t="str">
        <f>IFERROR(INDEX('Araç Tanımlama'!$D$5:$D$200,MATCH(D282,'Araç Tanımlama'!$A$5:$A$200,0)),"")</f>
        <v/>
      </c>
      <c r="F282" s="4" t="str">
        <f>IFERROR(INDEX('Araç Tanımlama'!$E$5:$E$200,MATCH(D282,'Araç Tanımlama'!$A$5:$A$200,0)),"")</f>
        <v/>
      </c>
      <c r="G282" s="2"/>
      <c r="H282" s="7"/>
      <c r="I282" s="9" t="str">
        <f>IF(OR(G282="",H282=""),"",G282*H282)</f>
        <v/>
      </c>
      <c r="J282" s="2"/>
      <c r="K282" s="2"/>
    </row>
    <row r="283" spans="1:11">
      <c r="A283" s="4" t="str">
        <f>IF(D283="","",COUNTIF($D$5:D283,"?*"))</f>
        <v/>
      </c>
      <c r="B283" s="5"/>
      <c r="C283" s="4" t="str">
        <f>IF(B283="","",INDEX({"Ocak","Şubat","Mart","Nisan","Mayıs","Haziran","Temmuz","Ağustos","Eylül","Ekim","Kasım","Aralık"},MONTH(B283)))</f>
        <v/>
      </c>
      <c r="D283" s="2"/>
      <c r="E283" s="4" t="str">
        <f>IFERROR(INDEX('Araç Tanımlama'!$D$5:$D$200,MATCH(D283,'Araç Tanımlama'!$A$5:$A$200,0)),"")</f>
        <v/>
      </c>
      <c r="F283" s="4" t="str">
        <f>IFERROR(INDEX('Araç Tanımlama'!$E$5:$E$200,MATCH(D283,'Araç Tanımlama'!$A$5:$A$200,0)),"")</f>
        <v/>
      </c>
      <c r="G283" s="2"/>
      <c r="H283" s="7"/>
      <c r="I283" s="9" t="str">
        <f>IF(OR(G283="",H283=""),"",G283*H283)</f>
        <v/>
      </c>
      <c r="J283" s="2"/>
      <c r="K283" s="2"/>
    </row>
    <row r="284" spans="1:11">
      <c r="A284" s="4" t="str">
        <f>IF(D284="","",COUNTIF($D$5:D284,"?*"))</f>
        <v/>
      </c>
      <c r="B284" s="5"/>
      <c r="C284" s="4" t="str">
        <f>IF(B284="","",INDEX({"Ocak","Şubat","Mart","Nisan","Mayıs","Haziran","Temmuz","Ağustos","Eylül","Ekim","Kasım","Aralık"},MONTH(B284)))</f>
        <v/>
      </c>
      <c r="D284" s="2"/>
      <c r="E284" s="4" t="str">
        <f>IFERROR(INDEX('Araç Tanımlama'!$D$5:$D$200,MATCH(D284,'Araç Tanımlama'!$A$5:$A$200,0)),"")</f>
        <v/>
      </c>
      <c r="F284" s="4" t="str">
        <f>IFERROR(INDEX('Araç Tanımlama'!$E$5:$E$200,MATCH(D284,'Araç Tanımlama'!$A$5:$A$200,0)),"")</f>
        <v/>
      </c>
      <c r="G284" s="2"/>
      <c r="H284" s="7"/>
      <c r="I284" s="9" t="str">
        <f>IF(OR(G284="",H284=""),"",G284*H284)</f>
        <v/>
      </c>
      <c r="J284" s="2"/>
      <c r="K284" s="2"/>
    </row>
    <row r="285" spans="1:11">
      <c r="A285" s="4" t="str">
        <f>IF(D285="","",COUNTIF($D$5:D285,"?*"))</f>
        <v/>
      </c>
      <c r="B285" s="5"/>
      <c r="C285" s="4" t="str">
        <f>IF(B285="","",INDEX({"Ocak","Şubat","Mart","Nisan","Mayıs","Haziran","Temmuz","Ağustos","Eylül","Ekim","Kasım","Aralık"},MONTH(B285)))</f>
        <v/>
      </c>
      <c r="D285" s="2"/>
      <c r="E285" s="4" t="str">
        <f>IFERROR(INDEX('Araç Tanımlama'!$D$5:$D$200,MATCH(D285,'Araç Tanımlama'!$A$5:$A$200,0)),"")</f>
        <v/>
      </c>
      <c r="F285" s="4" t="str">
        <f>IFERROR(INDEX('Araç Tanımlama'!$E$5:$E$200,MATCH(D285,'Araç Tanımlama'!$A$5:$A$200,0)),"")</f>
        <v/>
      </c>
      <c r="G285" s="2"/>
      <c r="H285" s="7"/>
      <c r="I285" s="9" t="str">
        <f>IF(OR(G285="",H285=""),"",G285*H285)</f>
        <v/>
      </c>
      <c r="J285" s="2"/>
      <c r="K285" s="2"/>
    </row>
    <row r="286" spans="1:11">
      <c r="A286" s="4" t="str">
        <f>IF(D286="","",COUNTIF($D$5:D286,"?*"))</f>
        <v/>
      </c>
      <c r="B286" s="5"/>
      <c r="C286" s="4" t="str">
        <f>IF(B286="","",INDEX({"Ocak","Şubat","Mart","Nisan","Mayıs","Haziran","Temmuz","Ağustos","Eylül","Ekim","Kasım","Aralık"},MONTH(B286)))</f>
        <v/>
      </c>
      <c r="D286" s="2"/>
      <c r="E286" s="4" t="str">
        <f>IFERROR(INDEX('Araç Tanımlama'!$D$5:$D$200,MATCH(D286,'Araç Tanımlama'!$A$5:$A$200,0)),"")</f>
        <v/>
      </c>
      <c r="F286" s="4" t="str">
        <f>IFERROR(INDEX('Araç Tanımlama'!$E$5:$E$200,MATCH(D286,'Araç Tanımlama'!$A$5:$A$200,0)),"")</f>
        <v/>
      </c>
      <c r="G286" s="2"/>
      <c r="H286" s="7"/>
      <c r="I286" s="9" t="str">
        <f>IF(OR(G286="",H286=""),"",G286*H286)</f>
        <v/>
      </c>
      <c r="J286" s="2"/>
      <c r="K286" s="2"/>
    </row>
    <row r="287" spans="1:11">
      <c r="A287" s="4" t="str">
        <f>IF(D287="","",COUNTIF($D$5:D287,"?*"))</f>
        <v/>
      </c>
      <c r="B287" s="5"/>
      <c r="C287" s="4" t="str">
        <f>IF(B287="","",INDEX({"Ocak","Şubat","Mart","Nisan","Mayıs","Haziran","Temmuz","Ağustos","Eylül","Ekim","Kasım","Aralık"},MONTH(B287)))</f>
        <v/>
      </c>
      <c r="D287" s="2"/>
      <c r="E287" s="4" t="str">
        <f>IFERROR(INDEX('Araç Tanımlama'!$D$5:$D$200,MATCH(D287,'Araç Tanımlama'!$A$5:$A$200,0)),"")</f>
        <v/>
      </c>
      <c r="F287" s="4" t="str">
        <f>IFERROR(INDEX('Araç Tanımlama'!$E$5:$E$200,MATCH(D287,'Araç Tanımlama'!$A$5:$A$200,0)),"")</f>
        <v/>
      </c>
      <c r="G287" s="2"/>
      <c r="H287" s="7"/>
      <c r="I287" s="9" t="str">
        <f>IF(OR(G287="",H287=""),"",G287*H287)</f>
        <v/>
      </c>
      <c r="J287" s="2"/>
      <c r="K287" s="2"/>
    </row>
    <row r="288" spans="1:11">
      <c r="A288" s="4" t="str">
        <f>IF(D288="","",COUNTIF($D$5:D288,"?*"))</f>
        <v/>
      </c>
      <c r="B288" s="5"/>
      <c r="C288" s="4" t="str">
        <f>IF(B288="","",INDEX({"Ocak","Şubat","Mart","Nisan","Mayıs","Haziran","Temmuz","Ağustos","Eylül","Ekim","Kasım","Aralık"},MONTH(B288)))</f>
        <v/>
      </c>
      <c r="D288" s="2"/>
      <c r="E288" s="4" t="str">
        <f>IFERROR(INDEX('Araç Tanımlama'!$D$5:$D$200,MATCH(D288,'Araç Tanımlama'!$A$5:$A$200,0)),"")</f>
        <v/>
      </c>
      <c r="F288" s="4" t="str">
        <f>IFERROR(INDEX('Araç Tanımlama'!$E$5:$E$200,MATCH(D288,'Araç Tanımlama'!$A$5:$A$200,0)),"")</f>
        <v/>
      </c>
      <c r="G288" s="2"/>
      <c r="H288" s="7"/>
      <c r="I288" s="9" t="str">
        <f>IF(OR(G288="",H288=""),"",G288*H288)</f>
        <v/>
      </c>
      <c r="J288" s="2"/>
      <c r="K288" s="2"/>
    </row>
    <row r="289" spans="1:11">
      <c r="A289" s="4" t="str">
        <f>IF(D289="","",COUNTIF($D$5:D289,"?*"))</f>
        <v/>
      </c>
      <c r="B289" s="5"/>
      <c r="C289" s="4" t="str">
        <f>IF(B289="","",INDEX({"Ocak","Şubat","Mart","Nisan","Mayıs","Haziran","Temmuz","Ağustos","Eylül","Ekim","Kasım","Aralık"},MONTH(B289)))</f>
        <v/>
      </c>
      <c r="D289" s="2"/>
      <c r="E289" s="4" t="str">
        <f>IFERROR(INDEX('Araç Tanımlama'!$D$5:$D$200,MATCH(D289,'Araç Tanımlama'!$A$5:$A$200,0)),"")</f>
        <v/>
      </c>
      <c r="F289" s="4" t="str">
        <f>IFERROR(INDEX('Araç Tanımlama'!$E$5:$E$200,MATCH(D289,'Araç Tanımlama'!$A$5:$A$200,0)),"")</f>
        <v/>
      </c>
      <c r="G289" s="2"/>
      <c r="H289" s="7"/>
      <c r="I289" s="9" t="str">
        <f>IF(OR(G289="",H289=""),"",G289*H289)</f>
        <v/>
      </c>
      <c r="J289" s="2"/>
      <c r="K289" s="2"/>
    </row>
    <row r="290" spans="1:11">
      <c r="A290" s="4" t="str">
        <f>IF(D290="","",COUNTIF($D$5:D290,"?*"))</f>
        <v/>
      </c>
      <c r="B290" s="5"/>
      <c r="C290" s="4" t="str">
        <f>IF(B290="","",INDEX({"Ocak","Şubat","Mart","Nisan","Mayıs","Haziran","Temmuz","Ağustos","Eylül","Ekim","Kasım","Aralık"},MONTH(B290)))</f>
        <v/>
      </c>
      <c r="D290" s="2"/>
      <c r="E290" s="4" t="str">
        <f>IFERROR(INDEX('Araç Tanımlama'!$D$5:$D$200,MATCH(D290,'Araç Tanımlama'!$A$5:$A$200,0)),"")</f>
        <v/>
      </c>
      <c r="F290" s="4" t="str">
        <f>IFERROR(INDEX('Araç Tanımlama'!$E$5:$E$200,MATCH(D290,'Araç Tanımlama'!$A$5:$A$200,0)),"")</f>
        <v/>
      </c>
      <c r="G290" s="2"/>
      <c r="H290" s="7"/>
      <c r="I290" s="9" t="str">
        <f>IF(OR(G290="",H290=""),"",G290*H290)</f>
        <v/>
      </c>
      <c r="J290" s="2"/>
      <c r="K290" s="2"/>
    </row>
    <row r="291" spans="1:11">
      <c r="A291" s="4" t="str">
        <f>IF(D291="","",COUNTIF($D$5:D291,"?*"))</f>
        <v/>
      </c>
      <c r="B291" s="5"/>
      <c r="C291" s="4" t="str">
        <f>IF(B291="","",INDEX({"Ocak","Şubat","Mart","Nisan","Mayıs","Haziran","Temmuz","Ağustos","Eylül","Ekim","Kasım","Aralık"},MONTH(B291)))</f>
        <v/>
      </c>
      <c r="D291" s="2"/>
      <c r="E291" s="4" t="str">
        <f>IFERROR(INDEX('Araç Tanımlama'!$D$5:$D$200,MATCH(D291,'Araç Tanımlama'!$A$5:$A$200,0)),"")</f>
        <v/>
      </c>
      <c r="F291" s="4" t="str">
        <f>IFERROR(INDEX('Araç Tanımlama'!$E$5:$E$200,MATCH(D291,'Araç Tanımlama'!$A$5:$A$200,0)),"")</f>
        <v/>
      </c>
      <c r="G291" s="2"/>
      <c r="H291" s="7"/>
      <c r="I291" s="9" t="str">
        <f>IF(OR(G291="",H291=""),"",G291*H291)</f>
        <v/>
      </c>
      <c r="J291" s="2"/>
      <c r="K291" s="2"/>
    </row>
    <row r="292" spans="1:11">
      <c r="A292" s="4" t="str">
        <f>IF(D292="","",COUNTIF($D$5:D292,"?*"))</f>
        <v/>
      </c>
      <c r="B292" s="5"/>
      <c r="C292" s="4" t="str">
        <f>IF(B292="","",INDEX({"Ocak","Şubat","Mart","Nisan","Mayıs","Haziran","Temmuz","Ağustos","Eylül","Ekim","Kasım","Aralık"},MONTH(B292)))</f>
        <v/>
      </c>
      <c r="D292" s="2"/>
      <c r="E292" s="4" t="str">
        <f>IFERROR(INDEX('Araç Tanımlama'!$D$5:$D$200,MATCH(D292,'Araç Tanımlama'!$A$5:$A$200,0)),"")</f>
        <v/>
      </c>
      <c r="F292" s="4" t="str">
        <f>IFERROR(INDEX('Araç Tanımlama'!$E$5:$E$200,MATCH(D292,'Araç Tanımlama'!$A$5:$A$200,0)),"")</f>
        <v/>
      </c>
      <c r="G292" s="2"/>
      <c r="H292" s="7"/>
      <c r="I292" s="9" t="str">
        <f>IF(OR(G292="",H292=""),"",G292*H292)</f>
        <v/>
      </c>
      <c r="J292" s="2"/>
      <c r="K292" s="2"/>
    </row>
    <row r="293" spans="1:11">
      <c r="A293" s="4" t="str">
        <f>IF(D293="","",COUNTIF($D$5:D293,"?*"))</f>
        <v/>
      </c>
      <c r="B293" s="5"/>
      <c r="C293" s="4" t="str">
        <f>IF(B293="","",INDEX({"Ocak","Şubat","Mart","Nisan","Mayıs","Haziran","Temmuz","Ağustos","Eylül","Ekim","Kasım","Aralık"},MONTH(B293)))</f>
        <v/>
      </c>
      <c r="D293" s="2"/>
      <c r="E293" s="4" t="str">
        <f>IFERROR(INDEX('Araç Tanımlama'!$D$5:$D$200,MATCH(D293,'Araç Tanımlama'!$A$5:$A$200,0)),"")</f>
        <v/>
      </c>
      <c r="F293" s="4" t="str">
        <f>IFERROR(INDEX('Araç Tanımlama'!$E$5:$E$200,MATCH(D293,'Araç Tanımlama'!$A$5:$A$200,0)),"")</f>
        <v/>
      </c>
      <c r="G293" s="2"/>
      <c r="H293" s="7"/>
      <c r="I293" s="9" t="str">
        <f>IF(OR(G293="",H293=""),"",G293*H293)</f>
        <v/>
      </c>
      <c r="J293" s="2"/>
      <c r="K293" s="2"/>
    </row>
    <row r="294" spans="1:11">
      <c r="A294" s="4" t="str">
        <f>IF(D294="","",COUNTIF($D$5:D294,"?*"))</f>
        <v/>
      </c>
      <c r="B294" s="5"/>
      <c r="C294" s="4" t="str">
        <f>IF(B294="","",INDEX({"Ocak","Şubat","Mart","Nisan","Mayıs","Haziran","Temmuz","Ağustos","Eylül","Ekim","Kasım","Aralık"},MONTH(B294)))</f>
        <v/>
      </c>
      <c r="D294" s="2"/>
      <c r="E294" s="4" t="str">
        <f>IFERROR(INDEX('Araç Tanımlama'!$D$5:$D$200,MATCH(D294,'Araç Tanımlama'!$A$5:$A$200,0)),"")</f>
        <v/>
      </c>
      <c r="F294" s="4" t="str">
        <f>IFERROR(INDEX('Araç Tanımlama'!$E$5:$E$200,MATCH(D294,'Araç Tanımlama'!$A$5:$A$200,0)),"")</f>
        <v/>
      </c>
      <c r="G294" s="2"/>
      <c r="H294" s="7"/>
      <c r="I294" s="9" t="str">
        <f>IF(OR(G294="",H294=""),"",G294*H294)</f>
        <v/>
      </c>
      <c r="J294" s="2"/>
      <c r="K294" s="2"/>
    </row>
    <row r="295" spans="1:11">
      <c r="A295" s="4" t="str">
        <f>IF(D295="","",COUNTIF($D$5:D295,"?*"))</f>
        <v/>
      </c>
      <c r="B295" s="5"/>
      <c r="C295" s="4" t="str">
        <f>IF(B295="","",INDEX({"Ocak","Şubat","Mart","Nisan","Mayıs","Haziran","Temmuz","Ağustos","Eylül","Ekim","Kasım","Aralık"},MONTH(B295)))</f>
        <v/>
      </c>
      <c r="D295" s="2"/>
      <c r="E295" s="4" t="str">
        <f>IFERROR(INDEX('Araç Tanımlama'!$D$5:$D$200,MATCH(D295,'Araç Tanımlama'!$A$5:$A$200,0)),"")</f>
        <v/>
      </c>
      <c r="F295" s="4" t="str">
        <f>IFERROR(INDEX('Araç Tanımlama'!$E$5:$E$200,MATCH(D295,'Araç Tanımlama'!$A$5:$A$200,0)),"")</f>
        <v/>
      </c>
      <c r="G295" s="2"/>
      <c r="H295" s="7"/>
      <c r="I295" s="9" t="str">
        <f>IF(OR(G295="",H295=""),"",G295*H295)</f>
        <v/>
      </c>
      <c r="J295" s="2"/>
      <c r="K295" s="2"/>
    </row>
    <row r="296" spans="1:11">
      <c r="A296" s="4" t="str">
        <f>IF(D296="","",COUNTIF($D$5:D296,"?*"))</f>
        <v/>
      </c>
      <c r="B296" s="5"/>
      <c r="C296" s="4" t="str">
        <f>IF(B296="","",INDEX({"Ocak","Şubat","Mart","Nisan","Mayıs","Haziran","Temmuz","Ağustos","Eylül","Ekim","Kasım","Aralık"},MONTH(B296)))</f>
        <v/>
      </c>
      <c r="D296" s="2"/>
      <c r="E296" s="4" t="str">
        <f>IFERROR(INDEX('Araç Tanımlama'!$D$5:$D$200,MATCH(D296,'Araç Tanımlama'!$A$5:$A$200,0)),"")</f>
        <v/>
      </c>
      <c r="F296" s="4" t="str">
        <f>IFERROR(INDEX('Araç Tanımlama'!$E$5:$E$200,MATCH(D296,'Araç Tanımlama'!$A$5:$A$200,0)),"")</f>
        <v/>
      </c>
      <c r="G296" s="2"/>
      <c r="H296" s="7"/>
      <c r="I296" s="9" t="str">
        <f>IF(OR(G296="",H296=""),"",G296*H296)</f>
        <v/>
      </c>
      <c r="J296" s="2"/>
      <c r="K296" s="2"/>
    </row>
    <row r="297" spans="1:11">
      <c r="A297" s="4" t="str">
        <f>IF(D297="","",COUNTIF($D$5:D297,"?*"))</f>
        <v/>
      </c>
      <c r="B297" s="5"/>
      <c r="C297" s="4" t="str">
        <f>IF(B297="","",INDEX({"Ocak","Şubat","Mart","Nisan","Mayıs","Haziran","Temmuz","Ağustos","Eylül","Ekim","Kasım","Aralık"},MONTH(B297)))</f>
        <v/>
      </c>
      <c r="D297" s="2"/>
      <c r="E297" s="4" t="str">
        <f>IFERROR(INDEX('Araç Tanımlama'!$D$5:$D$200,MATCH(D297,'Araç Tanımlama'!$A$5:$A$200,0)),"")</f>
        <v/>
      </c>
      <c r="F297" s="4" t="str">
        <f>IFERROR(INDEX('Araç Tanımlama'!$E$5:$E$200,MATCH(D297,'Araç Tanımlama'!$A$5:$A$200,0)),"")</f>
        <v/>
      </c>
      <c r="G297" s="2"/>
      <c r="H297" s="7"/>
      <c r="I297" s="9" t="str">
        <f>IF(OR(G297="",H297=""),"",G297*H297)</f>
        <v/>
      </c>
      <c r="J297" s="2"/>
      <c r="K297" s="2"/>
    </row>
    <row r="298" spans="1:11">
      <c r="A298" s="4" t="str">
        <f>IF(D298="","",COUNTIF($D$5:D298,"?*"))</f>
        <v/>
      </c>
      <c r="B298" s="5"/>
      <c r="C298" s="4" t="str">
        <f>IF(B298="","",INDEX({"Ocak","Şubat","Mart","Nisan","Mayıs","Haziran","Temmuz","Ağustos","Eylül","Ekim","Kasım","Aralık"},MONTH(B298)))</f>
        <v/>
      </c>
      <c r="D298" s="2"/>
      <c r="E298" s="4" t="str">
        <f>IFERROR(INDEX('Araç Tanımlama'!$D$5:$D$200,MATCH(D298,'Araç Tanımlama'!$A$5:$A$200,0)),"")</f>
        <v/>
      </c>
      <c r="F298" s="4" t="str">
        <f>IFERROR(INDEX('Araç Tanımlama'!$E$5:$E$200,MATCH(D298,'Araç Tanımlama'!$A$5:$A$200,0)),"")</f>
        <v/>
      </c>
      <c r="G298" s="2"/>
      <c r="H298" s="7"/>
      <c r="I298" s="9" t="str">
        <f>IF(OR(G298="",H298=""),"",G298*H298)</f>
        <v/>
      </c>
      <c r="J298" s="2"/>
      <c r="K298" s="2"/>
    </row>
    <row r="299" spans="1:11">
      <c r="A299" s="4" t="str">
        <f>IF(D299="","",COUNTIF($D$5:D299,"?*"))</f>
        <v/>
      </c>
      <c r="B299" s="5"/>
      <c r="C299" s="4" t="str">
        <f>IF(B299="","",INDEX({"Ocak","Şubat","Mart","Nisan","Mayıs","Haziran","Temmuz","Ağustos","Eylül","Ekim","Kasım","Aralık"},MONTH(B299)))</f>
        <v/>
      </c>
      <c r="D299" s="2"/>
      <c r="E299" s="4" t="str">
        <f>IFERROR(INDEX('Araç Tanımlama'!$D$5:$D$200,MATCH(D299,'Araç Tanımlama'!$A$5:$A$200,0)),"")</f>
        <v/>
      </c>
      <c r="F299" s="4" t="str">
        <f>IFERROR(INDEX('Araç Tanımlama'!$E$5:$E$200,MATCH(D299,'Araç Tanımlama'!$A$5:$A$200,0)),"")</f>
        <v/>
      </c>
      <c r="G299" s="2"/>
      <c r="H299" s="7"/>
      <c r="I299" s="9" t="str">
        <f>IF(OR(G299="",H299=""),"",G299*H299)</f>
        <v/>
      </c>
      <c r="J299" s="2"/>
      <c r="K299" s="2"/>
    </row>
    <row r="300" spans="1:11">
      <c r="A300" s="4" t="str">
        <f>IF(D300="","",COUNTIF($D$5:D300,"?*"))</f>
        <v/>
      </c>
      <c r="B300" s="5"/>
      <c r="C300" s="4" t="str">
        <f>IF(B300="","",INDEX({"Ocak","Şubat","Mart","Nisan","Mayıs","Haziran","Temmuz","Ağustos","Eylül","Ekim","Kasım","Aralık"},MONTH(B300)))</f>
        <v/>
      </c>
      <c r="D300" s="2"/>
      <c r="E300" s="4" t="str">
        <f>IFERROR(INDEX('Araç Tanımlama'!$D$5:$D$200,MATCH(D300,'Araç Tanımlama'!$A$5:$A$200,0)),"")</f>
        <v/>
      </c>
      <c r="F300" s="4" t="str">
        <f>IFERROR(INDEX('Araç Tanımlama'!$E$5:$E$200,MATCH(D300,'Araç Tanımlama'!$A$5:$A$200,0)),"")</f>
        <v/>
      </c>
      <c r="G300" s="2"/>
      <c r="H300" s="7"/>
      <c r="I300" s="9" t="str">
        <f>IF(OR(G300="",H300=""),"",G300*H300)</f>
        <v/>
      </c>
      <c r="J300" s="2"/>
      <c r="K300" s="2"/>
    </row>
    <row r="301" spans="1:11">
      <c r="A301" s="4" t="str">
        <f>IF(D301="","",COUNTIF($D$5:D301,"?*"))</f>
        <v/>
      </c>
      <c r="B301" s="5"/>
      <c r="C301" s="4" t="str">
        <f>IF(B301="","",INDEX({"Ocak","Şubat","Mart","Nisan","Mayıs","Haziran","Temmuz","Ağustos","Eylül","Ekim","Kasım","Aralık"},MONTH(B301)))</f>
        <v/>
      </c>
      <c r="D301" s="2"/>
      <c r="E301" s="4" t="str">
        <f>IFERROR(INDEX('Araç Tanımlama'!$D$5:$D$200,MATCH(D301,'Araç Tanımlama'!$A$5:$A$200,0)),"")</f>
        <v/>
      </c>
      <c r="F301" s="4" t="str">
        <f>IFERROR(INDEX('Araç Tanımlama'!$E$5:$E$200,MATCH(D301,'Araç Tanımlama'!$A$5:$A$200,0)),"")</f>
        <v/>
      </c>
      <c r="G301" s="2"/>
      <c r="H301" s="7"/>
      <c r="I301" s="9" t="str">
        <f>IF(OR(G301="",H301=""),"",G301*H301)</f>
        <v/>
      </c>
      <c r="J301" s="2"/>
      <c r="K301" s="2"/>
    </row>
    <row r="302" spans="1:11">
      <c r="A302" s="4" t="str">
        <f>IF(D302="","",COUNTIF($D$5:D302,"?*"))</f>
        <v/>
      </c>
      <c r="B302" s="5"/>
      <c r="C302" s="4" t="str">
        <f>IF(B302="","",INDEX({"Ocak","Şubat","Mart","Nisan","Mayıs","Haziran","Temmuz","Ağustos","Eylül","Ekim","Kasım","Aralık"},MONTH(B302)))</f>
        <v/>
      </c>
      <c r="D302" s="2"/>
      <c r="E302" s="4" t="str">
        <f>IFERROR(INDEX('Araç Tanımlama'!$D$5:$D$200,MATCH(D302,'Araç Tanımlama'!$A$5:$A$200,0)),"")</f>
        <v/>
      </c>
      <c r="F302" s="4" t="str">
        <f>IFERROR(INDEX('Araç Tanımlama'!$E$5:$E$200,MATCH(D302,'Araç Tanımlama'!$A$5:$A$200,0)),"")</f>
        <v/>
      </c>
      <c r="G302" s="2"/>
      <c r="H302" s="7"/>
      <c r="I302" s="9" t="str">
        <f>IF(OR(G302="",H302=""),"",G302*H302)</f>
        <v/>
      </c>
      <c r="J302" s="2"/>
      <c r="K302" s="2"/>
    </row>
    <row r="303" spans="1:11">
      <c r="A303" s="4" t="str">
        <f>IF(D303="","",COUNTIF($D$5:D303,"?*"))</f>
        <v/>
      </c>
      <c r="B303" s="5"/>
      <c r="C303" s="4" t="str">
        <f>IF(B303="","",INDEX({"Ocak","Şubat","Mart","Nisan","Mayıs","Haziran","Temmuz","Ağustos","Eylül","Ekim","Kasım","Aralık"},MONTH(B303)))</f>
        <v/>
      </c>
      <c r="D303" s="2"/>
      <c r="E303" s="4" t="str">
        <f>IFERROR(INDEX('Araç Tanımlama'!$D$5:$D$200,MATCH(D303,'Araç Tanımlama'!$A$5:$A$200,0)),"")</f>
        <v/>
      </c>
      <c r="F303" s="4" t="str">
        <f>IFERROR(INDEX('Araç Tanımlama'!$E$5:$E$200,MATCH(D303,'Araç Tanımlama'!$A$5:$A$200,0)),"")</f>
        <v/>
      </c>
      <c r="G303" s="2"/>
      <c r="H303" s="7"/>
      <c r="I303" s="9" t="str">
        <f>IF(OR(G303="",H303=""),"",G303*H303)</f>
        <v/>
      </c>
      <c r="J303" s="2"/>
      <c r="K303" s="2"/>
    </row>
    <row r="304" spans="1:11">
      <c r="A304" s="4" t="str">
        <f>IF(D304="","",COUNTIF($D$5:D304,"?*"))</f>
        <v/>
      </c>
      <c r="B304" s="5"/>
      <c r="C304" s="4" t="str">
        <f>IF(B304="","",INDEX({"Ocak","Şubat","Mart","Nisan","Mayıs","Haziran","Temmuz","Ağustos","Eylül","Ekim","Kasım","Aralık"},MONTH(B304)))</f>
        <v/>
      </c>
      <c r="D304" s="2"/>
      <c r="E304" s="4" t="str">
        <f>IFERROR(INDEX('Araç Tanımlama'!$D$5:$D$200,MATCH(D304,'Araç Tanımlama'!$A$5:$A$200,0)),"")</f>
        <v/>
      </c>
      <c r="F304" s="4" t="str">
        <f>IFERROR(INDEX('Araç Tanımlama'!$E$5:$E$200,MATCH(D304,'Araç Tanımlama'!$A$5:$A$200,0)),"")</f>
        <v/>
      </c>
      <c r="G304" s="2"/>
      <c r="H304" s="7"/>
      <c r="I304" s="9" t="str">
        <f>IF(OR(G304="",H304=""),"",G304*H304)</f>
        <v/>
      </c>
      <c r="J304" s="2"/>
      <c r="K304" s="2"/>
    </row>
    <row r="305" spans="1:11">
      <c r="A305" s="4" t="str">
        <f>IF(D305="","",COUNTIF($D$5:D305,"?*"))</f>
        <v/>
      </c>
      <c r="B305" s="5"/>
      <c r="C305" s="4" t="str">
        <f>IF(B305="","",INDEX({"Ocak","Şubat","Mart","Nisan","Mayıs","Haziran","Temmuz","Ağustos","Eylül","Ekim","Kasım","Aralık"},MONTH(B305)))</f>
        <v/>
      </c>
      <c r="D305" s="2"/>
      <c r="E305" s="4" t="str">
        <f>IFERROR(INDEX('Araç Tanımlama'!$D$5:$D$200,MATCH(D305,'Araç Tanımlama'!$A$5:$A$200,0)),"")</f>
        <v/>
      </c>
      <c r="F305" s="4" t="str">
        <f>IFERROR(INDEX('Araç Tanımlama'!$E$5:$E$200,MATCH(D305,'Araç Tanımlama'!$A$5:$A$200,0)),"")</f>
        <v/>
      </c>
      <c r="G305" s="2"/>
      <c r="H305" s="7"/>
      <c r="I305" s="9" t="str">
        <f>IF(OR(G305="",H305=""),"",G305*H305)</f>
        <v/>
      </c>
      <c r="J305" s="2"/>
      <c r="K305" s="2"/>
    </row>
    <row r="306" spans="1:11">
      <c r="A306" s="4" t="str">
        <f>IF(D306="","",COUNTIF($D$5:D306,"?*"))</f>
        <v/>
      </c>
      <c r="B306" s="5"/>
      <c r="C306" s="4" t="str">
        <f>IF(B306="","",INDEX({"Ocak","Şubat","Mart","Nisan","Mayıs","Haziran","Temmuz","Ağustos","Eylül","Ekim","Kasım","Aralık"},MONTH(B306)))</f>
        <v/>
      </c>
      <c r="D306" s="2"/>
      <c r="E306" s="4" t="str">
        <f>IFERROR(INDEX('Araç Tanımlama'!$D$5:$D$200,MATCH(D306,'Araç Tanımlama'!$A$5:$A$200,0)),"")</f>
        <v/>
      </c>
      <c r="F306" s="4" t="str">
        <f>IFERROR(INDEX('Araç Tanımlama'!$E$5:$E$200,MATCH(D306,'Araç Tanımlama'!$A$5:$A$200,0)),"")</f>
        <v/>
      </c>
      <c r="G306" s="2"/>
      <c r="H306" s="7"/>
      <c r="I306" s="9" t="str">
        <f>IF(OR(G306="",H306=""),"",G306*H306)</f>
        <v/>
      </c>
      <c r="J306" s="2"/>
      <c r="K306" s="2"/>
    </row>
    <row r="307" spans="1:11">
      <c r="A307" s="4" t="str">
        <f>IF(D307="","",COUNTIF($D$5:D307,"?*"))</f>
        <v/>
      </c>
      <c r="B307" s="5"/>
      <c r="C307" s="4" t="str">
        <f>IF(B307="","",INDEX({"Ocak","Şubat","Mart","Nisan","Mayıs","Haziran","Temmuz","Ağustos","Eylül","Ekim","Kasım","Aralık"},MONTH(B307)))</f>
        <v/>
      </c>
      <c r="D307" s="2"/>
      <c r="E307" s="4" t="str">
        <f>IFERROR(INDEX('Araç Tanımlama'!$D$5:$D$200,MATCH(D307,'Araç Tanımlama'!$A$5:$A$200,0)),"")</f>
        <v/>
      </c>
      <c r="F307" s="4" t="str">
        <f>IFERROR(INDEX('Araç Tanımlama'!$E$5:$E$200,MATCH(D307,'Araç Tanımlama'!$A$5:$A$200,0)),"")</f>
        <v/>
      </c>
      <c r="G307" s="2"/>
      <c r="H307" s="7"/>
      <c r="I307" s="9" t="str">
        <f>IF(OR(G307="",H307=""),"",G307*H307)</f>
        <v/>
      </c>
      <c r="J307" s="2"/>
      <c r="K307" s="2"/>
    </row>
    <row r="308" spans="1:11">
      <c r="A308" s="4" t="str">
        <f>IF(D308="","",COUNTIF($D$5:D308,"?*"))</f>
        <v/>
      </c>
      <c r="B308" s="5"/>
      <c r="C308" s="4" t="str">
        <f>IF(B308="","",INDEX({"Ocak","Şubat","Mart","Nisan","Mayıs","Haziran","Temmuz","Ağustos","Eylül","Ekim","Kasım","Aralık"},MONTH(B308)))</f>
        <v/>
      </c>
      <c r="D308" s="2"/>
      <c r="E308" s="4" t="str">
        <f>IFERROR(INDEX('Araç Tanımlama'!$D$5:$D$200,MATCH(D308,'Araç Tanımlama'!$A$5:$A$200,0)),"")</f>
        <v/>
      </c>
      <c r="F308" s="4" t="str">
        <f>IFERROR(INDEX('Araç Tanımlama'!$E$5:$E$200,MATCH(D308,'Araç Tanımlama'!$A$5:$A$200,0)),"")</f>
        <v/>
      </c>
      <c r="G308" s="2"/>
      <c r="H308" s="7"/>
      <c r="I308" s="9" t="str">
        <f>IF(OR(G308="",H308=""),"",G308*H308)</f>
        <v/>
      </c>
      <c r="J308" s="2"/>
      <c r="K308" s="2"/>
    </row>
    <row r="309" spans="1:11">
      <c r="A309" s="4" t="str">
        <f>IF(D309="","",COUNTIF($D$5:D309,"?*"))</f>
        <v/>
      </c>
      <c r="B309" s="5"/>
      <c r="C309" s="4" t="str">
        <f>IF(B309="","",INDEX({"Ocak","Şubat","Mart","Nisan","Mayıs","Haziran","Temmuz","Ağustos","Eylül","Ekim","Kasım","Aralık"},MONTH(B309)))</f>
        <v/>
      </c>
      <c r="D309" s="2"/>
      <c r="E309" s="4" t="str">
        <f>IFERROR(INDEX('Araç Tanımlama'!$D$5:$D$200,MATCH(D309,'Araç Tanımlama'!$A$5:$A$200,0)),"")</f>
        <v/>
      </c>
      <c r="F309" s="4" t="str">
        <f>IFERROR(INDEX('Araç Tanımlama'!$E$5:$E$200,MATCH(D309,'Araç Tanımlama'!$A$5:$A$200,0)),"")</f>
        <v/>
      </c>
      <c r="G309" s="2"/>
      <c r="H309" s="7"/>
      <c r="I309" s="9" t="str">
        <f>IF(OR(G309="",H309=""),"",G309*H309)</f>
        <v/>
      </c>
      <c r="J309" s="2"/>
      <c r="K309" s="2"/>
    </row>
    <row r="310" spans="1:11">
      <c r="A310" s="4" t="str">
        <f>IF(D310="","",COUNTIF($D$5:D310,"?*"))</f>
        <v/>
      </c>
      <c r="B310" s="5"/>
      <c r="C310" s="4" t="str">
        <f>IF(B310="","",INDEX({"Ocak","Şubat","Mart","Nisan","Mayıs","Haziran","Temmuz","Ağustos","Eylül","Ekim","Kasım","Aralık"},MONTH(B310)))</f>
        <v/>
      </c>
      <c r="D310" s="2"/>
      <c r="E310" s="4" t="str">
        <f>IFERROR(INDEX('Araç Tanımlama'!$D$5:$D$200,MATCH(D310,'Araç Tanımlama'!$A$5:$A$200,0)),"")</f>
        <v/>
      </c>
      <c r="F310" s="4" t="str">
        <f>IFERROR(INDEX('Araç Tanımlama'!$E$5:$E$200,MATCH(D310,'Araç Tanımlama'!$A$5:$A$200,0)),"")</f>
        <v/>
      </c>
      <c r="G310" s="2"/>
      <c r="H310" s="7"/>
      <c r="I310" s="9" t="str">
        <f>IF(OR(G310="",H310=""),"",G310*H310)</f>
        <v/>
      </c>
      <c r="J310" s="2"/>
      <c r="K310" s="2"/>
    </row>
    <row r="311" spans="1:11">
      <c r="A311" s="4" t="str">
        <f>IF(D311="","",COUNTIF($D$5:D311,"?*"))</f>
        <v/>
      </c>
      <c r="B311" s="5"/>
      <c r="C311" s="4" t="str">
        <f>IF(B311="","",INDEX({"Ocak","Şubat","Mart","Nisan","Mayıs","Haziran","Temmuz","Ağustos","Eylül","Ekim","Kasım","Aralık"},MONTH(B311)))</f>
        <v/>
      </c>
      <c r="D311" s="2"/>
      <c r="E311" s="4" t="str">
        <f>IFERROR(INDEX('Araç Tanımlama'!$D$5:$D$200,MATCH(D311,'Araç Tanımlama'!$A$5:$A$200,0)),"")</f>
        <v/>
      </c>
      <c r="F311" s="4" t="str">
        <f>IFERROR(INDEX('Araç Tanımlama'!$E$5:$E$200,MATCH(D311,'Araç Tanımlama'!$A$5:$A$200,0)),"")</f>
        <v/>
      </c>
      <c r="G311" s="2"/>
      <c r="H311" s="7"/>
      <c r="I311" s="9" t="str">
        <f>IF(OR(G311="",H311=""),"",G311*H311)</f>
        <v/>
      </c>
      <c r="J311" s="2"/>
      <c r="K311" s="2"/>
    </row>
    <row r="312" spans="1:11">
      <c r="A312" s="4" t="str">
        <f>IF(D312="","",COUNTIF($D$5:D312,"?*"))</f>
        <v/>
      </c>
      <c r="B312" s="5"/>
      <c r="C312" s="4" t="str">
        <f>IF(B312="","",INDEX({"Ocak","Şubat","Mart","Nisan","Mayıs","Haziran","Temmuz","Ağustos","Eylül","Ekim","Kasım","Aralık"},MONTH(B312)))</f>
        <v/>
      </c>
      <c r="D312" s="2"/>
      <c r="E312" s="4" t="str">
        <f>IFERROR(INDEX('Araç Tanımlama'!$D$5:$D$200,MATCH(D312,'Araç Tanımlama'!$A$5:$A$200,0)),"")</f>
        <v/>
      </c>
      <c r="F312" s="4" t="str">
        <f>IFERROR(INDEX('Araç Tanımlama'!$E$5:$E$200,MATCH(D312,'Araç Tanımlama'!$A$5:$A$200,0)),"")</f>
        <v/>
      </c>
      <c r="G312" s="2"/>
      <c r="H312" s="7"/>
      <c r="I312" s="9" t="str">
        <f>IF(OR(G312="",H312=""),"",G312*H312)</f>
        <v/>
      </c>
      <c r="J312" s="2"/>
      <c r="K312" s="2"/>
    </row>
    <row r="313" spans="1:11">
      <c r="A313" s="4" t="str">
        <f>IF(D313="","",COUNTIF($D$5:D313,"?*"))</f>
        <v/>
      </c>
      <c r="B313" s="5"/>
      <c r="C313" s="4" t="str">
        <f>IF(B313="","",INDEX({"Ocak","Şubat","Mart","Nisan","Mayıs","Haziran","Temmuz","Ağustos","Eylül","Ekim","Kasım","Aralık"},MONTH(B313)))</f>
        <v/>
      </c>
      <c r="D313" s="2"/>
      <c r="E313" s="4" t="str">
        <f>IFERROR(INDEX('Araç Tanımlama'!$D$5:$D$200,MATCH(D313,'Araç Tanımlama'!$A$5:$A$200,0)),"")</f>
        <v/>
      </c>
      <c r="F313" s="4" t="str">
        <f>IFERROR(INDEX('Araç Tanımlama'!$E$5:$E$200,MATCH(D313,'Araç Tanımlama'!$A$5:$A$200,0)),"")</f>
        <v/>
      </c>
      <c r="G313" s="2"/>
      <c r="H313" s="7"/>
      <c r="I313" s="9" t="str">
        <f>IF(OR(G313="",H313=""),"",G313*H313)</f>
        <v/>
      </c>
      <c r="J313" s="2"/>
      <c r="K313" s="2"/>
    </row>
    <row r="314" spans="1:11">
      <c r="A314" s="4" t="str">
        <f>IF(D314="","",COUNTIF($D$5:D314,"?*"))</f>
        <v/>
      </c>
      <c r="B314" s="5"/>
      <c r="C314" s="4" t="str">
        <f>IF(B314="","",INDEX({"Ocak","Şubat","Mart","Nisan","Mayıs","Haziran","Temmuz","Ağustos","Eylül","Ekim","Kasım","Aralık"},MONTH(B314)))</f>
        <v/>
      </c>
      <c r="D314" s="2"/>
      <c r="E314" s="4" t="str">
        <f>IFERROR(INDEX('Araç Tanımlama'!$D$5:$D$200,MATCH(D314,'Araç Tanımlama'!$A$5:$A$200,0)),"")</f>
        <v/>
      </c>
      <c r="F314" s="4" t="str">
        <f>IFERROR(INDEX('Araç Tanımlama'!$E$5:$E$200,MATCH(D314,'Araç Tanımlama'!$A$5:$A$200,0)),"")</f>
        <v/>
      </c>
      <c r="G314" s="2"/>
      <c r="H314" s="7"/>
      <c r="I314" s="9" t="str">
        <f>IF(OR(G314="",H314=""),"",G314*H314)</f>
        <v/>
      </c>
      <c r="J314" s="2"/>
      <c r="K314" s="2"/>
    </row>
    <row r="315" spans="1:11">
      <c r="A315" s="4" t="str">
        <f>IF(D315="","",COUNTIF($D$5:D315,"?*"))</f>
        <v/>
      </c>
      <c r="B315" s="5"/>
      <c r="C315" s="4" t="str">
        <f>IF(B315="","",INDEX({"Ocak","Şubat","Mart","Nisan","Mayıs","Haziran","Temmuz","Ağustos","Eylül","Ekim","Kasım","Aralık"},MONTH(B315)))</f>
        <v/>
      </c>
      <c r="D315" s="2"/>
      <c r="E315" s="4" t="str">
        <f>IFERROR(INDEX('Araç Tanımlama'!$D$5:$D$200,MATCH(D315,'Araç Tanımlama'!$A$5:$A$200,0)),"")</f>
        <v/>
      </c>
      <c r="F315" s="4" t="str">
        <f>IFERROR(INDEX('Araç Tanımlama'!$E$5:$E$200,MATCH(D315,'Araç Tanımlama'!$A$5:$A$200,0)),"")</f>
        <v/>
      </c>
      <c r="G315" s="2"/>
      <c r="H315" s="7"/>
      <c r="I315" s="9" t="str">
        <f>IF(OR(G315="",H315=""),"",G315*H315)</f>
        <v/>
      </c>
      <c r="J315" s="2"/>
      <c r="K315" s="2"/>
    </row>
    <row r="316" spans="1:11">
      <c r="A316" s="4" t="str">
        <f>IF(D316="","",COUNTIF($D$5:D316,"?*"))</f>
        <v/>
      </c>
      <c r="B316" s="5"/>
      <c r="C316" s="4" t="str">
        <f>IF(B316="","",INDEX({"Ocak","Şubat","Mart","Nisan","Mayıs","Haziran","Temmuz","Ağustos","Eylül","Ekim","Kasım","Aralık"},MONTH(B316)))</f>
        <v/>
      </c>
      <c r="D316" s="2"/>
      <c r="E316" s="4" t="str">
        <f>IFERROR(INDEX('Araç Tanımlama'!$D$5:$D$200,MATCH(D316,'Araç Tanımlama'!$A$5:$A$200,0)),"")</f>
        <v/>
      </c>
      <c r="F316" s="4" t="str">
        <f>IFERROR(INDEX('Araç Tanımlama'!$E$5:$E$200,MATCH(D316,'Araç Tanımlama'!$A$5:$A$200,0)),"")</f>
        <v/>
      </c>
      <c r="G316" s="2"/>
      <c r="H316" s="7"/>
      <c r="I316" s="9" t="str">
        <f>IF(OR(G316="",H316=""),"",G316*H316)</f>
        <v/>
      </c>
      <c r="J316" s="2"/>
      <c r="K316" s="2"/>
    </row>
    <row r="317" spans="1:11">
      <c r="A317" s="4" t="str">
        <f>IF(D317="","",COUNTIF($D$5:D317,"?*"))</f>
        <v/>
      </c>
      <c r="B317" s="5"/>
      <c r="C317" s="4" t="str">
        <f>IF(B317="","",INDEX({"Ocak","Şubat","Mart","Nisan","Mayıs","Haziran","Temmuz","Ağustos","Eylül","Ekim","Kasım","Aralık"},MONTH(B317)))</f>
        <v/>
      </c>
      <c r="D317" s="2"/>
      <c r="E317" s="4" t="str">
        <f>IFERROR(INDEX('Araç Tanımlama'!$D$5:$D$200,MATCH(D317,'Araç Tanımlama'!$A$5:$A$200,0)),"")</f>
        <v/>
      </c>
      <c r="F317" s="4" t="str">
        <f>IFERROR(INDEX('Araç Tanımlama'!$E$5:$E$200,MATCH(D317,'Araç Tanımlama'!$A$5:$A$200,0)),"")</f>
        <v/>
      </c>
      <c r="G317" s="2"/>
      <c r="H317" s="7"/>
      <c r="I317" s="9" t="str">
        <f>IF(OR(G317="",H317=""),"",G317*H317)</f>
        <v/>
      </c>
      <c r="J317" s="2"/>
      <c r="K317" s="2"/>
    </row>
    <row r="318" spans="1:11">
      <c r="A318" s="4" t="str">
        <f>IF(D318="","",COUNTIF($D$5:D318,"?*"))</f>
        <v/>
      </c>
      <c r="B318" s="5"/>
      <c r="C318" s="4" t="str">
        <f>IF(B318="","",INDEX({"Ocak","Şubat","Mart","Nisan","Mayıs","Haziran","Temmuz","Ağustos","Eylül","Ekim","Kasım","Aralık"},MONTH(B318)))</f>
        <v/>
      </c>
      <c r="D318" s="2"/>
      <c r="E318" s="4" t="str">
        <f>IFERROR(INDEX('Araç Tanımlama'!$D$5:$D$200,MATCH(D318,'Araç Tanımlama'!$A$5:$A$200,0)),"")</f>
        <v/>
      </c>
      <c r="F318" s="4" t="str">
        <f>IFERROR(INDEX('Araç Tanımlama'!$E$5:$E$200,MATCH(D318,'Araç Tanımlama'!$A$5:$A$200,0)),"")</f>
        <v/>
      </c>
      <c r="G318" s="2"/>
      <c r="H318" s="7"/>
      <c r="I318" s="9" t="str">
        <f>IF(OR(G318="",H318=""),"",G318*H318)</f>
        <v/>
      </c>
      <c r="J318" s="2"/>
      <c r="K318" s="2"/>
    </row>
    <row r="319" spans="1:11">
      <c r="A319" s="4" t="str">
        <f>IF(D319="","",COUNTIF($D$5:D319,"?*"))</f>
        <v/>
      </c>
      <c r="B319" s="5"/>
      <c r="C319" s="4" t="str">
        <f>IF(B319="","",INDEX({"Ocak","Şubat","Mart","Nisan","Mayıs","Haziran","Temmuz","Ağustos","Eylül","Ekim","Kasım","Aralık"},MONTH(B319)))</f>
        <v/>
      </c>
      <c r="D319" s="2"/>
      <c r="E319" s="4" t="str">
        <f>IFERROR(INDEX('Araç Tanımlama'!$D$5:$D$200,MATCH(D319,'Araç Tanımlama'!$A$5:$A$200,0)),"")</f>
        <v/>
      </c>
      <c r="F319" s="4" t="str">
        <f>IFERROR(INDEX('Araç Tanımlama'!$E$5:$E$200,MATCH(D319,'Araç Tanımlama'!$A$5:$A$200,0)),"")</f>
        <v/>
      </c>
      <c r="G319" s="2"/>
      <c r="H319" s="7"/>
      <c r="I319" s="9" t="str">
        <f>IF(OR(G319="",H319=""),"",G319*H319)</f>
        <v/>
      </c>
      <c r="J319" s="2"/>
      <c r="K319" s="2"/>
    </row>
    <row r="320" spans="1:11">
      <c r="A320" s="4" t="str">
        <f>IF(D320="","",COUNTIF($D$5:D320,"?*"))</f>
        <v/>
      </c>
      <c r="B320" s="5"/>
      <c r="C320" s="4" t="str">
        <f>IF(B320="","",INDEX({"Ocak","Şubat","Mart","Nisan","Mayıs","Haziran","Temmuz","Ağustos","Eylül","Ekim","Kasım","Aralık"},MONTH(B320)))</f>
        <v/>
      </c>
      <c r="D320" s="2"/>
      <c r="E320" s="4" t="str">
        <f>IFERROR(INDEX('Araç Tanımlama'!$D$5:$D$200,MATCH(D320,'Araç Tanımlama'!$A$5:$A$200,0)),"")</f>
        <v/>
      </c>
      <c r="F320" s="4" t="str">
        <f>IFERROR(INDEX('Araç Tanımlama'!$E$5:$E$200,MATCH(D320,'Araç Tanımlama'!$A$5:$A$200,0)),"")</f>
        <v/>
      </c>
      <c r="G320" s="2"/>
      <c r="H320" s="7"/>
      <c r="I320" s="9" t="str">
        <f>IF(OR(G320="",H320=""),"",G320*H320)</f>
        <v/>
      </c>
      <c r="J320" s="2"/>
      <c r="K320" s="2"/>
    </row>
    <row r="321" spans="1:11">
      <c r="A321" s="4" t="str">
        <f>IF(D321="","",COUNTIF($D$5:D321,"?*"))</f>
        <v/>
      </c>
      <c r="B321" s="5"/>
      <c r="C321" s="4" t="str">
        <f>IF(B321="","",INDEX({"Ocak","Şubat","Mart","Nisan","Mayıs","Haziran","Temmuz","Ağustos","Eylül","Ekim","Kasım","Aralık"},MONTH(B321)))</f>
        <v/>
      </c>
      <c r="D321" s="2"/>
      <c r="E321" s="4" t="str">
        <f>IFERROR(INDEX('Araç Tanımlama'!$D$5:$D$200,MATCH(D321,'Araç Tanımlama'!$A$5:$A$200,0)),"")</f>
        <v/>
      </c>
      <c r="F321" s="4" t="str">
        <f>IFERROR(INDEX('Araç Tanımlama'!$E$5:$E$200,MATCH(D321,'Araç Tanımlama'!$A$5:$A$200,0)),"")</f>
        <v/>
      </c>
      <c r="G321" s="2"/>
      <c r="H321" s="7"/>
      <c r="I321" s="9" t="str">
        <f>IF(OR(G321="",H321=""),"",G321*H321)</f>
        <v/>
      </c>
      <c r="J321" s="2"/>
      <c r="K321" s="2"/>
    </row>
    <row r="322" spans="1:11">
      <c r="A322" s="4" t="str">
        <f>IF(D322="","",COUNTIF($D$5:D322,"?*"))</f>
        <v/>
      </c>
      <c r="B322" s="5"/>
      <c r="C322" s="4" t="str">
        <f>IF(B322="","",INDEX({"Ocak","Şubat","Mart","Nisan","Mayıs","Haziran","Temmuz","Ağustos","Eylül","Ekim","Kasım","Aralık"},MONTH(B322)))</f>
        <v/>
      </c>
      <c r="D322" s="2"/>
      <c r="E322" s="4" t="str">
        <f>IFERROR(INDEX('Araç Tanımlama'!$D$5:$D$200,MATCH(D322,'Araç Tanımlama'!$A$5:$A$200,0)),"")</f>
        <v/>
      </c>
      <c r="F322" s="4" t="str">
        <f>IFERROR(INDEX('Araç Tanımlama'!$E$5:$E$200,MATCH(D322,'Araç Tanımlama'!$A$5:$A$200,0)),"")</f>
        <v/>
      </c>
      <c r="G322" s="2"/>
      <c r="H322" s="7"/>
      <c r="I322" s="9" t="str">
        <f>IF(OR(G322="",H322=""),"",G322*H322)</f>
        <v/>
      </c>
      <c r="J322" s="2"/>
      <c r="K322" s="2"/>
    </row>
    <row r="323" spans="1:11">
      <c r="A323" s="4" t="str">
        <f>IF(D323="","",COUNTIF($D$5:D323,"?*"))</f>
        <v/>
      </c>
      <c r="B323" s="5"/>
      <c r="C323" s="4" t="str">
        <f>IF(B323="","",INDEX({"Ocak","Şubat","Mart","Nisan","Mayıs","Haziran","Temmuz","Ağustos","Eylül","Ekim","Kasım","Aralık"},MONTH(B323)))</f>
        <v/>
      </c>
      <c r="D323" s="2"/>
      <c r="E323" s="4" t="str">
        <f>IFERROR(INDEX('Araç Tanımlama'!$D$5:$D$200,MATCH(D323,'Araç Tanımlama'!$A$5:$A$200,0)),"")</f>
        <v/>
      </c>
      <c r="F323" s="4" t="str">
        <f>IFERROR(INDEX('Araç Tanımlama'!$E$5:$E$200,MATCH(D323,'Araç Tanımlama'!$A$5:$A$200,0)),"")</f>
        <v/>
      </c>
      <c r="G323" s="2"/>
      <c r="H323" s="7"/>
      <c r="I323" s="9" t="str">
        <f>IF(OR(G323="",H323=""),"",G323*H323)</f>
        <v/>
      </c>
      <c r="J323" s="2"/>
      <c r="K323" s="2"/>
    </row>
    <row r="324" spans="1:11">
      <c r="A324" s="4" t="str">
        <f>IF(D324="","",COUNTIF($D$5:D324,"?*"))</f>
        <v/>
      </c>
      <c r="B324" s="5"/>
      <c r="C324" s="4" t="str">
        <f>IF(B324="","",INDEX({"Ocak","Şubat","Mart","Nisan","Mayıs","Haziran","Temmuz","Ağustos","Eylül","Ekim","Kasım","Aralık"},MONTH(B324)))</f>
        <v/>
      </c>
      <c r="D324" s="2"/>
      <c r="E324" s="4" t="str">
        <f>IFERROR(INDEX('Araç Tanımlama'!$D$5:$D$200,MATCH(D324,'Araç Tanımlama'!$A$5:$A$200,0)),"")</f>
        <v/>
      </c>
      <c r="F324" s="4" t="str">
        <f>IFERROR(INDEX('Araç Tanımlama'!$E$5:$E$200,MATCH(D324,'Araç Tanımlama'!$A$5:$A$200,0)),"")</f>
        <v/>
      </c>
      <c r="G324" s="2"/>
      <c r="H324" s="7"/>
      <c r="I324" s="9" t="str">
        <f>IF(OR(G324="",H324=""),"",G324*H324)</f>
        <v/>
      </c>
      <c r="J324" s="2"/>
      <c r="K324" s="2"/>
    </row>
    <row r="325" spans="1:11">
      <c r="A325" s="4" t="str">
        <f>IF(D325="","",COUNTIF($D$5:D325,"?*"))</f>
        <v/>
      </c>
      <c r="B325" s="5"/>
      <c r="C325" s="4" t="str">
        <f>IF(B325="","",INDEX({"Ocak","Şubat","Mart","Nisan","Mayıs","Haziran","Temmuz","Ağustos","Eylül","Ekim","Kasım","Aralık"},MONTH(B325)))</f>
        <v/>
      </c>
      <c r="D325" s="2"/>
      <c r="E325" s="4" t="str">
        <f>IFERROR(INDEX('Araç Tanımlama'!$D$5:$D$200,MATCH(D325,'Araç Tanımlama'!$A$5:$A$200,0)),"")</f>
        <v/>
      </c>
      <c r="F325" s="4" t="str">
        <f>IFERROR(INDEX('Araç Tanımlama'!$E$5:$E$200,MATCH(D325,'Araç Tanımlama'!$A$5:$A$200,0)),"")</f>
        <v/>
      </c>
      <c r="G325" s="2"/>
      <c r="H325" s="7"/>
      <c r="I325" s="9" t="str">
        <f>IF(OR(G325="",H325=""),"",G325*H325)</f>
        <v/>
      </c>
      <c r="J325" s="2"/>
      <c r="K325" s="2"/>
    </row>
    <row r="326" spans="1:11">
      <c r="A326" s="4" t="str">
        <f>IF(D326="","",COUNTIF($D$5:D326,"?*"))</f>
        <v/>
      </c>
      <c r="B326" s="5"/>
      <c r="C326" s="4" t="str">
        <f>IF(B326="","",INDEX({"Ocak","Şubat","Mart","Nisan","Mayıs","Haziran","Temmuz","Ağustos","Eylül","Ekim","Kasım","Aralık"},MONTH(B326)))</f>
        <v/>
      </c>
      <c r="D326" s="2"/>
      <c r="E326" s="4" t="str">
        <f>IFERROR(INDEX('Araç Tanımlama'!$D$5:$D$200,MATCH(D326,'Araç Tanımlama'!$A$5:$A$200,0)),"")</f>
        <v/>
      </c>
      <c r="F326" s="4" t="str">
        <f>IFERROR(INDEX('Araç Tanımlama'!$E$5:$E$200,MATCH(D326,'Araç Tanımlama'!$A$5:$A$200,0)),"")</f>
        <v/>
      </c>
      <c r="G326" s="2"/>
      <c r="H326" s="7"/>
      <c r="I326" s="9" t="str">
        <f>IF(OR(G326="",H326=""),"",G326*H326)</f>
        <v/>
      </c>
      <c r="J326" s="2"/>
      <c r="K326" s="2"/>
    </row>
    <row r="327" spans="1:11">
      <c r="A327" s="4" t="str">
        <f>IF(D327="","",COUNTIF($D$5:D327,"?*"))</f>
        <v/>
      </c>
      <c r="B327" s="5"/>
      <c r="C327" s="4" t="str">
        <f>IF(B327="","",INDEX({"Ocak","Şubat","Mart","Nisan","Mayıs","Haziran","Temmuz","Ağustos","Eylül","Ekim","Kasım","Aralık"},MONTH(B327)))</f>
        <v/>
      </c>
      <c r="D327" s="2"/>
      <c r="E327" s="4" t="str">
        <f>IFERROR(INDEX('Araç Tanımlama'!$D$5:$D$200,MATCH(D327,'Araç Tanımlama'!$A$5:$A$200,0)),"")</f>
        <v/>
      </c>
      <c r="F327" s="4" t="str">
        <f>IFERROR(INDEX('Araç Tanımlama'!$E$5:$E$200,MATCH(D327,'Araç Tanımlama'!$A$5:$A$200,0)),"")</f>
        <v/>
      </c>
      <c r="G327" s="2"/>
      <c r="H327" s="7"/>
      <c r="I327" s="9" t="str">
        <f>IF(OR(G327="",H327=""),"",G327*H327)</f>
        <v/>
      </c>
      <c r="J327" s="2"/>
      <c r="K327" s="2"/>
    </row>
    <row r="328" spans="1:11">
      <c r="A328" s="4" t="str">
        <f>IF(D328="","",COUNTIF($D$5:D328,"?*"))</f>
        <v/>
      </c>
      <c r="B328" s="5"/>
      <c r="C328" s="4" t="str">
        <f>IF(B328="","",INDEX({"Ocak","Şubat","Mart","Nisan","Mayıs","Haziran","Temmuz","Ağustos","Eylül","Ekim","Kasım","Aralık"},MONTH(B328)))</f>
        <v/>
      </c>
      <c r="D328" s="2"/>
      <c r="E328" s="4" t="str">
        <f>IFERROR(INDEX('Araç Tanımlama'!$D$5:$D$200,MATCH(D328,'Araç Tanımlama'!$A$5:$A$200,0)),"")</f>
        <v/>
      </c>
      <c r="F328" s="4" t="str">
        <f>IFERROR(INDEX('Araç Tanımlama'!$E$5:$E$200,MATCH(D328,'Araç Tanımlama'!$A$5:$A$200,0)),"")</f>
        <v/>
      </c>
      <c r="G328" s="2"/>
      <c r="H328" s="7"/>
      <c r="I328" s="9" t="str">
        <f>IF(OR(G328="",H328=""),"",G328*H328)</f>
        <v/>
      </c>
      <c r="J328" s="2"/>
      <c r="K328" s="2"/>
    </row>
    <row r="329" spans="1:11">
      <c r="A329" s="4" t="str">
        <f>IF(D329="","",COUNTIF($D$5:D329,"?*"))</f>
        <v/>
      </c>
      <c r="B329" s="5"/>
      <c r="C329" s="4" t="str">
        <f>IF(B329="","",INDEX({"Ocak","Şubat","Mart","Nisan","Mayıs","Haziran","Temmuz","Ağustos","Eylül","Ekim","Kasım","Aralık"},MONTH(B329)))</f>
        <v/>
      </c>
      <c r="D329" s="2"/>
      <c r="E329" s="4" t="str">
        <f>IFERROR(INDEX('Araç Tanımlama'!$D$5:$D$200,MATCH(D329,'Araç Tanımlama'!$A$5:$A$200,0)),"")</f>
        <v/>
      </c>
      <c r="F329" s="4" t="str">
        <f>IFERROR(INDEX('Araç Tanımlama'!$E$5:$E$200,MATCH(D329,'Araç Tanımlama'!$A$5:$A$200,0)),"")</f>
        <v/>
      </c>
      <c r="G329" s="2"/>
      <c r="H329" s="7"/>
      <c r="I329" s="9" t="str">
        <f>IF(OR(G329="",H329=""),"",G329*H329)</f>
        <v/>
      </c>
      <c r="J329" s="2"/>
      <c r="K329" s="2"/>
    </row>
    <row r="330" spans="1:11">
      <c r="A330" s="4" t="str">
        <f>IF(D330="","",COUNTIF($D$5:D330,"?*"))</f>
        <v/>
      </c>
      <c r="B330" s="5"/>
      <c r="C330" s="4" t="str">
        <f>IF(B330="","",INDEX({"Ocak","Şubat","Mart","Nisan","Mayıs","Haziran","Temmuz","Ağustos","Eylül","Ekim","Kasım","Aralık"},MONTH(B330)))</f>
        <v/>
      </c>
      <c r="D330" s="2"/>
      <c r="E330" s="4" t="str">
        <f>IFERROR(INDEX('Araç Tanımlama'!$D$5:$D$200,MATCH(D330,'Araç Tanımlama'!$A$5:$A$200,0)),"")</f>
        <v/>
      </c>
      <c r="F330" s="4" t="str">
        <f>IFERROR(INDEX('Araç Tanımlama'!$E$5:$E$200,MATCH(D330,'Araç Tanımlama'!$A$5:$A$200,0)),"")</f>
        <v/>
      </c>
      <c r="G330" s="2"/>
      <c r="H330" s="7"/>
      <c r="I330" s="9" t="str">
        <f>IF(OR(G330="",H330=""),"",G330*H330)</f>
        <v/>
      </c>
      <c r="J330" s="2"/>
      <c r="K330" s="2"/>
    </row>
    <row r="331" spans="1:11">
      <c r="A331" s="4" t="str">
        <f>IF(D331="","",COUNTIF($D$5:D331,"?*"))</f>
        <v/>
      </c>
      <c r="B331" s="5"/>
      <c r="C331" s="4" t="str">
        <f>IF(B331="","",INDEX({"Ocak","Şubat","Mart","Nisan","Mayıs","Haziran","Temmuz","Ağustos","Eylül","Ekim","Kasım","Aralık"},MONTH(B331)))</f>
        <v/>
      </c>
      <c r="D331" s="2"/>
      <c r="E331" s="4" t="str">
        <f>IFERROR(INDEX('Araç Tanımlama'!$D$5:$D$200,MATCH(D331,'Araç Tanımlama'!$A$5:$A$200,0)),"")</f>
        <v/>
      </c>
      <c r="F331" s="4" t="str">
        <f>IFERROR(INDEX('Araç Tanımlama'!$E$5:$E$200,MATCH(D331,'Araç Tanımlama'!$A$5:$A$200,0)),"")</f>
        <v/>
      </c>
      <c r="G331" s="2"/>
      <c r="H331" s="7"/>
      <c r="I331" s="9" t="str">
        <f>IF(OR(G331="",H331=""),"",G331*H331)</f>
        <v/>
      </c>
      <c r="J331" s="2"/>
      <c r="K331" s="2"/>
    </row>
    <row r="332" spans="1:11">
      <c r="A332" s="4" t="str">
        <f>IF(D332="","",COUNTIF($D$5:D332,"?*"))</f>
        <v/>
      </c>
      <c r="B332" s="5"/>
      <c r="C332" s="4" t="str">
        <f>IF(B332="","",INDEX({"Ocak","Şubat","Mart","Nisan","Mayıs","Haziran","Temmuz","Ağustos","Eylül","Ekim","Kasım","Aralık"},MONTH(B332)))</f>
        <v/>
      </c>
      <c r="D332" s="2"/>
      <c r="E332" s="4" t="str">
        <f>IFERROR(INDEX('Araç Tanımlama'!$D$5:$D$200,MATCH(D332,'Araç Tanımlama'!$A$5:$A$200,0)),"")</f>
        <v/>
      </c>
      <c r="F332" s="4" t="str">
        <f>IFERROR(INDEX('Araç Tanımlama'!$E$5:$E$200,MATCH(D332,'Araç Tanımlama'!$A$5:$A$200,0)),"")</f>
        <v/>
      </c>
      <c r="G332" s="2"/>
      <c r="H332" s="7"/>
      <c r="I332" s="9" t="str">
        <f>IF(OR(G332="",H332=""),"",G332*H332)</f>
        <v/>
      </c>
      <c r="J332" s="2"/>
      <c r="K332" s="2"/>
    </row>
    <row r="333" spans="1:11">
      <c r="A333" s="4" t="str">
        <f>IF(D333="","",COUNTIF($D$5:D333,"?*"))</f>
        <v/>
      </c>
      <c r="B333" s="5"/>
      <c r="C333" s="4" t="str">
        <f>IF(B333="","",INDEX({"Ocak","Şubat","Mart","Nisan","Mayıs","Haziran","Temmuz","Ağustos","Eylül","Ekim","Kasım","Aralık"},MONTH(B333)))</f>
        <v/>
      </c>
      <c r="D333" s="2"/>
      <c r="E333" s="4" t="str">
        <f>IFERROR(INDEX('Araç Tanımlama'!$D$5:$D$200,MATCH(D333,'Araç Tanımlama'!$A$5:$A$200,0)),"")</f>
        <v/>
      </c>
      <c r="F333" s="4" t="str">
        <f>IFERROR(INDEX('Araç Tanımlama'!$E$5:$E$200,MATCH(D333,'Araç Tanımlama'!$A$5:$A$200,0)),"")</f>
        <v/>
      </c>
      <c r="G333" s="2"/>
      <c r="H333" s="7"/>
      <c r="I333" s="9" t="str">
        <f>IF(OR(G333="",H333=""),"",G333*H333)</f>
        <v/>
      </c>
      <c r="J333" s="2"/>
      <c r="K333" s="2"/>
    </row>
    <row r="334" spans="1:11">
      <c r="A334" s="4" t="str">
        <f>IF(D334="","",COUNTIF($D$5:D334,"?*"))</f>
        <v/>
      </c>
      <c r="B334" s="5"/>
      <c r="C334" s="4" t="str">
        <f>IF(B334="","",INDEX({"Ocak","Şubat","Mart","Nisan","Mayıs","Haziran","Temmuz","Ağustos","Eylül","Ekim","Kasım","Aralık"},MONTH(B334)))</f>
        <v/>
      </c>
      <c r="D334" s="2"/>
      <c r="E334" s="4" t="str">
        <f>IFERROR(INDEX('Araç Tanımlama'!$D$5:$D$200,MATCH(D334,'Araç Tanımlama'!$A$5:$A$200,0)),"")</f>
        <v/>
      </c>
      <c r="F334" s="4" t="str">
        <f>IFERROR(INDEX('Araç Tanımlama'!$E$5:$E$200,MATCH(D334,'Araç Tanımlama'!$A$5:$A$200,0)),"")</f>
        <v/>
      </c>
      <c r="G334" s="2"/>
      <c r="H334" s="7"/>
      <c r="I334" s="9" t="str">
        <f>IF(OR(G334="",H334=""),"",G334*H334)</f>
        <v/>
      </c>
      <c r="J334" s="2"/>
      <c r="K334" s="2"/>
    </row>
    <row r="335" spans="1:11">
      <c r="A335" s="4" t="str">
        <f>IF(D335="","",COUNTIF($D$5:D335,"?*"))</f>
        <v/>
      </c>
      <c r="B335" s="5"/>
      <c r="C335" s="4" t="str">
        <f>IF(B335="","",INDEX({"Ocak","Şubat","Mart","Nisan","Mayıs","Haziran","Temmuz","Ağustos","Eylül","Ekim","Kasım","Aralık"},MONTH(B335)))</f>
        <v/>
      </c>
      <c r="D335" s="2"/>
      <c r="E335" s="4" t="str">
        <f>IFERROR(INDEX('Araç Tanımlama'!$D$5:$D$200,MATCH(D335,'Araç Tanımlama'!$A$5:$A$200,0)),"")</f>
        <v/>
      </c>
      <c r="F335" s="4" t="str">
        <f>IFERROR(INDEX('Araç Tanımlama'!$E$5:$E$200,MATCH(D335,'Araç Tanımlama'!$A$5:$A$200,0)),"")</f>
        <v/>
      </c>
      <c r="G335" s="2"/>
      <c r="H335" s="7"/>
      <c r="I335" s="9" t="str">
        <f>IF(OR(G335="",H335=""),"",G335*H335)</f>
        <v/>
      </c>
      <c r="J335" s="2"/>
      <c r="K335" s="2"/>
    </row>
    <row r="336" spans="1:11">
      <c r="A336" s="4" t="str">
        <f>IF(D336="","",COUNTIF($D$5:D336,"?*"))</f>
        <v/>
      </c>
      <c r="B336" s="5"/>
      <c r="C336" s="4" t="str">
        <f>IF(B336="","",INDEX({"Ocak","Şubat","Mart","Nisan","Mayıs","Haziran","Temmuz","Ağustos","Eylül","Ekim","Kasım","Aralık"},MONTH(B336)))</f>
        <v/>
      </c>
      <c r="D336" s="2"/>
      <c r="E336" s="4" t="str">
        <f>IFERROR(INDEX('Araç Tanımlama'!$D$5:$D$200,MATCH(D336,'Araç Tanımlama'!$A$5:$A$200,0)),"")</f>
        <v/>
      </c>
      <c r="F336" s="4" t="str">
        <f>IFERROR(INDEX('Araç Tanımlama'!$E$5:$E$200,MATCH(D336,'Araç Tanımlama'!$A$5:$A$200,0)),"")</f>
        <v/>
      </c>
      <c r="G336" s="2"/>
      <c r="H336" s="7"/>
      <c r="I336" s="9" t="str">
        <f>IF(OR(G336="",H336=""),"",G336*H336)</f>
        <v/>
      </c>
      <c r="J336" s="2"/>
      <c r="K336" s="2"/>
    </row>
    <row r="337" spans="1:11">
      <c r="A337" s="4" t="str">
        <f>IF(D337="","",COUNTIF($D$5:D337,"?*"))</f>
        <v/>
      </c>
      <c r="B337" s="5"/>
      <c r="C337" s="4" t="str">
        <f>IF(B337="","",INDEX({"Ocak","Şubat","Mart","Nisan","Mayıs","Haziran","Temmuz","Ağustos","Eylül","Ekim","Kasım","Aralık"},MONTH(B337)))</f>
        <v/>
      </c>
      <c r="D337" s="2"/>
      <c r="E337" s="4" t="str">
        <f>IFERROR(INDEX('Araç Tanımlama'!$D$5:$D$200,MATCH(D337,'Araç Tanımlama'!$A$5:$A$200,0)),"")</f>
        <v/>
      </c>
      <c r="F337" s="4" t="str">
        <f>IFERROR(INDEX('Araç Tanımlama'!$E$5:$E$200,MATCH(D337,'Araç Tanımlama'!$A$5:$A$200,0)),"")</f>
        <v/>
      </c>
      <c r="G337" s="2"/>
      <c r="H337" s="7"/>
      <c r="I337" s="9" t="str">
        <f>IF(OR(G337="",H337=""),"",G337*H337)</f>
        <v/>
      </c>
      <c r="J337" s="2"/>
      <c r="K337" s="2"/>
    </row>
    <row r="338" spans="1:11">
      <c r="A338" s="4" t="str">
        <f>IF(D338="","",COUNTIF($D$5:D338,"?*"))</f>
        <v/>
      </c>
      <c r="B338" s="5"/>
      <c r="C338" s="4" t="str">
        <f>IF(B338="","",INDEX({"Ocak","Şubat","Mart","Nisan","Mayıs","Haziran","Temmuz","Ağustos","Eylül","Ekim","Kasım","Aralık"},MONTH(B338)))</f>
        <v/>
      </c>
      <c r="D338" s="2"/>
      <c r="E338" s="4" t="str">
        <f>IFERROR(INDEX('Araç Tanımlama'!$D$5:$D$200,MATCH(D338,'Araç Tanımlama'!$A$5:$A$200,0)),"")</f>
        <v/>
      </c>
      <c r="F338" s="4" t="str">
        <f>IFERROR(INDEX('Araç Tanımlama'!$E$5:$E$200,MATCH(D338,'Araç Tanımlama'!$A$5:$A$200,0)),"")</f>
        <v/>
      </c>
      <c r="G338" s="2"/>
      <c r="H338" s="7"/>
      <c r="I338" s="9" t="str">
        <f>IF(OR(G338="",H338=""),"",G338*H338)</f>
        <v/>
      </c>
      <c r="J338" s="2"/>
      <c r="K338" s="2"/>
    </row>
    <row r="339" spans="1:11">
      <c r="A339" s="4" t="str">
        <f>IF(D339="","",COUNTIF($D$5:D339,"?*"))</f>
        <v/>
      </c>
      <c r="B339" s="5"/>
      <c r="C339" s="4" t="str">
        <f>IF(B339="","",INDEX({"Ocak","Şubat","Mart","Nisan","Mayıs","Haziran","Temmuz","Ağustos","Eylül","Ekim","Kasım","Aralık"},MONTH(B339)))</f>
        <v/>
      </c>
      <c r="D339" s="2"/>
      <c r="E339" s="4" t="str">
        <f>IFERROR(INDEX('Araç Tanımlama'!$D$5:$D$200,MATCH(D339,'Araç Tanımlama'!$A$5:$A$200,0)),"")</f>
        <v/>
      </c>
      <c r="F339" s="4" t="str">
        <f>IFERROR(INDEX('Araç Tanımlama'!$E$5:$E$200,MATCH(D339,'Araç Tanımlama'!$A$5:$A$200,0)),"")</f>
        <v/>
      </c>
      <c r="G339" s="2"/>
      <c r="H339" s="7"/>
      <c r="I339" s="9" t="str">
        <f>IF(OR(G339="",H339=""),"",G339*H339)</f>
        <v/>
      </c>
      <c r="J339" s="2"/>
      <c r="K339" s="2"/>
    </row>
    <row r="340" spans="1:11">
      <c r="A340" s="4" t="str">
        <f>IF(D340="","",COUNTIF($D$5:D340,"?*"))</f>
        <v/>
      </c>
      <c r="B340" s="5"/>
      <c r="C340" s="4" t="str">
        <f>IF(B340="","",INDEX({"Ocak","Şubat","Mart","Nisan","Mayıs","Haziran","Temmuz","Ağustos","Eylül","Ekim","Kasım","Aralık"},MONTH(B340)))</f>
        <v/>
      </c>
      <c r="D340" s="2"/>
      <c r="E340" s="4" t="str">
        <f>IFERROR(INDEX('Araç Tanımlama'!$D$5:$D$200,MATCH(D340,'Araç Tanımlama'!$A$5:$A$200,0)),"")</f>
        <v/>
      </c>
      <c r="F340" s="4" t="str">
        <f>IFERROR(INDEX('Araç Tanımlama'!$E$5:$E$200,MATCH(D340,'Araç Tanımlama'!$A$5:$A$200,0)),"")</f>
        <v/>
      </c>
      <c r="G340" s="2"/>
      <c r="H340" s="7"/>
      <c r="I340" s="9" t="str">
        <f>IF(OR(G340="",H340=""),"",G340*H340)</f>
        <v/>
      </c>
      <c r="J340" s="2"/>
      <c r="K340" s="2"/>
    </row>
    <row r="341" spans="1:11">
      <c r="A341" s="4" t="str">
        <f>IF(D341="","",COUNTIF($D$5:D341,"?*"))</f>
        <v/>
      </c>
      <c r="B341" s="5"/>
      <c r="C341" s="4" t="str">
        <f>IF(B341="","",INDEX({"Ocak","Şubat","Mart","Nisan","Mayıs","Haziran","Temmuz","Ağustos","Eylül","Ekim","Kasım","Aralık"},MONTH(B341)))</f>
        <v/>
      </c>
      <c r="D341" s="2"/>
      <c r="E341" s="4" t="str">
        <f>IFERROR(INDEX('Araç Tanımlama'!$D$5:$D$200,MATCH(D341,'Araç Tanımlama'!$A$5:$A$200,0)),"")</f>
        <v/>
      </c>
      <c r="F341" s="4" t="str">
        <f>IFERROR(INDEX('Araç Tanımlama'!$E$5:$E$200,MATCH(D341,'Araç Tanımlama'!$A$5:$A$200,0)),"")</f>
        <v/>
      </c>
      <c r="G341" s="2"/>
      <c r="H341" s="7"/>
      <c r="I341" s="9" t="str">
        <f>IF(OR(G341="",H341=""),"",G341*H341)</f>
        <v/>
      </c>
      <c r="J341" s="2"/>
      <c r="K341" s="2"/>
    </row>
    <row r="342" spans="1:11">
      <c r="A342" s="4" t="str">
        <f>IF(D342="","",COUNTIF($D$5:D342,"?*"))</f>
        <v/>
      </c>
      <c r="B342" s="5"/>
      <c r="C342" s="4" t="str">
        <f>IF(B342="","",INDEX({"Ocak","Şubat","Mart","Nisan","Mayıs","Haziran","Temmuz","Ağustos","Eylül","Ekim","Kasım","Aralık"},MONTH(B342)))</f>
        <v/>
      </c>
      <c r="D342" s="2"/>
      <c r="E342" s="4" t="str">
        <f>IFERROR(INDEX('Araç Tanımlama'!$D$5:$D$200,MATCH(D342,'Araç Tanımlama'!$A$5:$A$200,0)),"")</f>
        <v/>
      </c>
      <c r="F342" s="4" t="str">
        <f>IFERROR(INDEX('Araç Tanımlama'!$E$5:$E$200,MATCH(D342,'Araç Tanımlama'!$A$5:$A$200,0)),"")</f>
        <v/>
      </c>
      <c r="G342" s="2"/>
      <c r="H342" s="7"/>
      <c r="I342" s="9" t="str">
        <f>IF(OR(G342="",H342=""),"",G342*H342)</f>
        <v/>
      </c>
      <c r="J342" s="2"/>
      <c r="K342" s="2"/>
    </row>
    <row r="343" spans="1:11">
      <c r="A343" s="4" t="str">
        <f>IF(D343="","",COUNTIF($D$5:D343,"?*"))</f>
        <v/>
      </c>
      <c r="B343" s="5"/>
      <c r="C343" s="4" t="str">
        <f>IF(B343="","",INDEX({"Ocak","Şubat","Mart","Nisan","Mayıs","Haziran","Temmuz","Ağustos","Eylül","Ekim","Kasım","Aralık"},MONTH(B343)))</f>
        <v/>
      </c>
      <c r="D343" s="2"/>
      <c r="E343" s="4" t="str">
        <f>IFERROR(INDEX('Araç Tanımlama'!$D$5:$D$200,MATCH(D343,'Araç Tanımlama'!$A$5:$A$200,0)),"")</f>
        <v/>
      </c>
      <c r="F343" s="4" t="str">
        <f>IFERROR(INDEX('Araç Tanımlama'!$E$5:$E$200,MATCH(D343,'Araç Tanımlama'!$A$5:$A$200,0)),"")</f>
        <v/>
      </c>
      <c r="G343" s="2"/>
      <c r="H343" s="7"/>
      <c r="I343" s="9" t="str">
        <f>IF(OR(G343="",H343=""),"",G343*H343)</f>
        <v/>
      </c>
      <c r="J343" s="2"/>
      <c r="K343" s="2"/>
    </row>
    <row r="344" spans="1:11">
      <c r="A344" s="4" t="str">
        <f>IF(D344="","",COUNTIF($D$5:D344,"?*"))</f>
        <v/>
      </c>
      <c r="B344" s="5"/>
      <c r="C344" s="4" t="str">
        <f>IF(B344="","",INDEX({"Ocak","Şubat","Mart","Nisan","Mayıs","Haziran","Temmuz","Ağustos","Eylül","Ekim","Kasım","Aralık"},MONTH(B344)))</f>
        <v/>
      </c>
      <c r="D344" s="2"/>
      <c r="E344" s="4" t="str">
        <f>IFERROR(INDEX('Araç Tanımlama'!$D$5:$D$200,MATCH(D344,'Araç Tanımlama'!$A$5:$A$200,0)),"")</f>
        <v/>
      </c>
      <c r="F344" s="4" t="str">
        <f>IFERROR(INDEX('Araç Tanımlama'!$E$5:$E$200,MATCH(D344,'Araç Tanımlama'!$A$5:$A$200,0)),"")</f>
        <v/>
      </c>
      <c r="G344" s="2"/>
      <c r="H344" s="7"/>
      <c r="I344" s="9" t="str">
        <f>IF(OR(G344="",H344=""),"",G344*H344)</f>
        <v/>
      </c>
      <c r="J344" s="2"/>
      <c r="K344" s="2"/>
    </row>
    <row r="345" spans="1:11">
      <c r="A345" s="4" t="str">
        <f>IF(D345="","",COUNTIF($D$5:D345,"?*"))</f>
        <v/>
      </c>
      <c r="B345" s="5"/>
      <c r="C345" s="4" t="str">
        <f>IF(B345="","",INDEX({"Ocak","Şubat","Mart","Nisan","Mayıs","Haziran","Temmuz","Ağustos","Eylül","Ekim","Kasım","Aralık"},MONTH(B345)))</f>
        <v/>
      </c>
      <c r="D345" s="2"/>
      <c r="E345" s="4" t="str">
        <f>IFERROR(INDEX('Araç Tanımlama'!$D$5:$D$200,MATCH(D345,'Araç Tanımlama'!$A$5:$A$200,0)),"")</f>
        <v/>
      </c>
      <c r="F345" s="4" t="str">
        <f>IFERROR(INDEX('Araç Tanımlama'!$E$5:$E$200,MATCH(D345,'Araç Tanımlama'!$A$5:$A$200,0)),"")</f>
        <v/>
      </c>
      <c r="G345" s="2"/>
      <c r="H345" s="7"/>
      <c r="I345" s="9" t="str">
        <f>IF(OR(G345="",H345=""),"",G345*H345)</f>
        <v/>
      </c>
      <c r="J345" s="2"/>
      <c r="K345" s="2"/>
    </row>
    <row r="346" spans="1:11">
      <c r="A346" s="4" t="str">
        <f>IF(D346="","",COUNTIF($D$5:D346,"?*"))</f>
        <v/>
      </c>
      <c r="B346" s="5"/>
      <c r="C346" s="4" t="str">
        <f>IF(B346="","",INDEX({"Ocak","Şubat","Mart","Nisan","Mayıs","Haziran","Temmuz","Ağustos","Eylül","Ekim","Kasım","Aralık"},MONTH(B346)))</f>
        <v/>
      </c>
      <c r="D346" s="2"/>
      <c r="E346" s="4" t="str">
        <f>IFERROR(INDEX('Araç Tanımlama'!$D$5:$D$200,MATCH(D346,'Araç Tanımlama'!$A$5:$A$200,0)),"")</f>
        <v/>
      </c>
      <c r="F346" s="4" t="str">
        <f>IFERROR(INDEX('Araç Tanımlama'!$E$5:$E$200,MATCH(D346,'Araç Tanımlama'!$A$5:$A$200,0)),"")</f>
        <v/>
      </c>
      <c r="G346" s="2"/>
      <c r="H346" s="7"/>
      <c r="I346" s="9" t="str">
        <f>IF(OR(G346="",H346=""),"",G346*H346)</f>
        <v/>
      </c>
      <c r="J346" s="2"/>
      <c r="K346" s="2"/>
    </row>
    <row r="347" spans="1:11">
      <c r="A347" s="4" t="str">
        <f>IF(D347="","",COUNTIF($D$5:D347,"?*"))</f>
        <v/>
      </c>
      <c r="B347" s="5"/>
      <c r="C347" s="4" t="str">
        <f>IF(B347="","",INDEX({"Ocak","Şubat","Mart","Nisan","Mayıs","Haziran","Temmuz","Ağustos","Eylül","Ekim","Kasım","Aralık"},MONTH(B347)))</f>
        <v/>
      </c>
      <c r="D347" s="2"/>
      <c r="E347" s="4" t="str">
        <f>IFERROR(INDEX('Araç Tanımlama'!$D$5:$D$200,MATCH(D347,'Araç Tanımlama'!$A$5:$A$200,0)),"")</f>
        <v/>
      </c>
      <c r="F347" s="4" t="str">
        <f>IFERROR(INDEX('Araç Tanımlama'!$E$5:$E$200,MATCH(D347,'Araç Tanımlama'!$A$5:$A$200,0)),"")</f>
        <v/>
      </c>
      <c r="G347" s="2"/>
      <c r="H347" s="7"/>
      <c r="I347" s="9" t="str">
        <f>IF(OR(G347="",H347=""),"",G347*H347)</f>
        <v/>
      </c>
      <c r="J347" s="2"/>
      <c r="K347" s="2"/>
    </row>
    <row r="348" spans="1:11">
      <c r="A348" s="4" t="str">
        <f>IF(D348="","",COUNTIF($D$5:D348,"?*"))</f>
        <v/>
      </c>
      <c r="B348" s="5"/>
      <c r="C348" s="4" t="str">
        <f>IF(B348="","",INDEX({"Ocak","Şubat","Mart","Nisan","Mayıs","Haziran","Temmuz","Ağustos","Eylül","Ekim","Kasım","Aralık"},MONTH(B348)))</f>
        <v/>
      </c>
      <c r="D348" s="2"/>
      <c r="E348" s="4" t="str">
        <f>IFERROR(INDEX('Araç Tanımlama'!$D$5:$D$200,MATCH(D348,'Araç Tanımlama'!$A$5:$A$200,0)),"")</f>
        <v/>
      </c>
      <c r="F348" s="4" t="str">
        <f>IFERROR(INDEX('Araç Tanımlama'!$E$5:$E$200,MATCH(D348,'Araç Tanımlama'!$A$5:$A$200,0)),"")</f>
        <v/>
      </c>
      <c r="G348" s="2"/>
      <c r="H348" s="7"/>
      <c r="I348" s="9" t="str">
        <f>IF(OR(G348="",H348=""),"",G348*H348)</f>
        <v/>
      </c>
      <c r="J348" s="2"/>
      <c r="K348" s="2"/>
    </row>
    <row r="349" spans="1:11">
      <c r="A349" s="4" t="str">
        <f>IF(D349="","",COUNTIF($D$5:D349,"?*"))</f>
        <v/>
      </c>
      <c r="B349" s="5"/>
      <c r="C349" s="4" t="str">
        <f>IF(B349="","",INDEX({"Ocak","Şubat","Mart","Nisan","Mayıs","Haziran","Temmuz","Ağustos","Eylül","Ekim","Kasım","Aralık"},MONTH(B349)))</f>
        <v/>
      </c>
      <c r="D349" s="2"/>
      <c r="E349" s="4" t="str">
        <f>IFERROR(INDEX('Araç Tanımlama'!$D$5:$D$200,MATCH(D349,'Araç Tanımlama'!$A$5:$A$200,0)),"")</f>
        <v/>
      </c>
      <c r="F349" s="4" t="str">
        <f>IFERROR(INDEX('Araç Tanımlama'!$E$5:$E$200,MATCH(D349,'Araç Tanımlama'!$A$5:$A$200,0)),"")</f>
        <v/>
      </c>
      <c r="G349" s="2"/>
      <c r="H349" s="7"/>
      <c r="I349" s="9" t="str">
        <f>IF(OR(G349="",H349=""),"",G349*H349)</f>
        <v/>
      </c>
      <c r="J349" s="2"/>
      <c r="K349" s="2"/>
    </row>
    <row r="350" spans="1:11">
      <c r="A350" s="4" t="str">
        <f>IF(D350="","",COUNTIF($D$5:D350,"?*"))</f>
        <v/>
      </c>
      <c r="B350" s="5"/>
      <c r="C350" s="4" t="str">
        <f>IF(B350="","",INDEX({"Ocak","Şubat","Mart","Nisan","Mayıs","Haziran","Temmuz","Ağustos","Eylül","Ekim","Kasım","Aralık"},MONTH(B350)))</f>
        <v/>
      </c>
      <c r="D350" s="2"/>
      <c r="E350" s="4" t="str">
        <f>IFERROR(INDEX('Araç Tanımlama'!$D$5:$D$200,MATCH(D350,'Araç Tanımlama'!$A$5:$A$200,0)),"")</f>
        <v/>
      </c>
      <c r="F350" s="4" t="str">
        <f>IFERROR(INDEX('Araç Tanımlama'!$E$5:$E$200,MATCH(D350,'Araç Tanımlama'!$A$5:$A$200,0)),"")</f>
        <v/>
      </c>
      <c r="G350" s="2"/>
      <c r="H350" s="7"/>
      <c r="I350" s="9" t="str">
        <f>IF(OR(G350="",H350=""),"",G350*H350)</f>
        <v/>
      </c>
      <c r="J350" s="2"/>
      <c r="K350" s="2"/>
    </row>
    <row r="351" spans="1:11">
      <c r="A351" s="4" t="str">
        <f>IF(D351="","",COUNTIF($D$5:D351,"?*"))</f>
        <v/>
      </c>
      <c r="B351" s="5"/>
      <c r="C351" s="4" t="str">
        <f>IF(B351="","",INDEX({"Ocak","Şubat","Mart","Nisan","Mayıs","Haziran","Temmuz","Ağustos","Eylül","Ekim","Kasım","Aralık"},MONTH(B351)))</f>
        <v/>
      </c>
      <c r="D351" s="2"/>
      <c r="E351" s="4" t="str">
        <f>IFERROR(INDEX('Araç Tanımlama'!$D$5:$D$200,MATCH(D351,'Araç Tanımlama'!$A$5:$A$200,0)),"")</f>
        <v/>
      </c>
      <c r="F351" s="4" t="str">
        <f>IFERROR(INDEX('Araç Tanımlama'!$E$5:$E$200,MATCH(D351,'Araç Tanımlama'!$A$5:$A$200,0)),"")</f>
        <v/>
      </c>
      <c r="G351" s="2"/>
      <c r="H351" s="7"/>
      <c r="I351" s="9" t="str">
        <f>IF(OR(G351="",H351=""),"",G351*H351)</f>
        <v/>
      </c>
      <c r="J351" s="2"/>
      <c r="K351" s="2"/>
    </row>
    <row r="352" spans="1:11">
      <c r="A352" s="4" t="str">
        <f>IF(D352="","",COUNTIF($D$5:D352,"?*"))</f>
        <v/>
      </c>
      <c r="B352" s="5"/>
      <c r="C352" s="4" t="str">
        <f>IF(B352="","",INDEX({"Ocak","Şubat","Mart","Nisan","Mayıs","Haziran","Temmuz","Ağustos","Eylül","Ekim","Kasım","Aralık"},MONTH(B352)))</f>
        <v/>
      </c>
      <c r="D352" s="2"/>
      <c r="E352" s="4" t="str">
        <f>IFERROR(INDEX('Araç Tanımlama'!$D$5:$D$200,MATCH(D352,'Araç Tanımlama'!$A$5:$A$200,0)),"")</f>
        <v/>
      </c>
      <c r="F352" s="4" t="str">
        <f>IFERROR(INDEX('Araç Tanımlama'!$E$5:$E$200,MATCH(D352,'Araç Tanımlama'!$A$5:$A$200,0)),"")</f>
        <v/>
      </c>
      <c r="G352" s="2"/>
      <c r="H352" s="7"/>
      <c r="I352" s="9" t="str">
        <f>IF(OR(G352="",H352=""),"",G352*H352)</f>
        <v/>
      </c>
      <c r="J352" s="2"/>
      <c r="K352" s="2"/>
    </row>
    <row r="353" spans="1:11">
      <c r="A353" s="4" t="str">
        <f>IF(D353="","",COUNTIF($D$5:D353,"?*"))</f>
        <v/>
      </c>
      <c r="B353" s="5"/>
      <c r="C353" s="4" t="str">
        <f>IF(B353="","",INDEX({"Ocak","Şubat","Mart","Nisan","Mayıs","Haziran","Temmuz","Ağustos","Eylül","Ekim","Kasım","Aralık"},MONTH(B353)))</f>
        <v/>
      </c>
      <c r="D353" s="2"/>
      <c r="E353" s="4" t="str">
        <f>IFERROR(INDEX('Araç Tanımlama'!$D$5:$D$200,MATCH(D353,'Araç Tanımlama'!$A$5:$A$200,0)),"")</f>
        <v/>
      </c>
      <c r="F353" s="4" t="str">
        <f>IFERROR(INDEX('Araç Tanımlama'!$E$5:$E$200,MATCH(D353,'Araç Tanımlama'!$A$5:$A$200,0)),"")</f>
        <v/>
      </c>
      <c r="G353" s="2"/>
      <c r="H353" s="7"/>
      <c r="I353" s="9" t="str">
        <f>IF(OR(G353="",H353=""),"",G353*H353)</f>
        <v/>
      </c>
      <c r="J353" s="2"/>
      <c r="K353" s="2"/>
    </row>
    <row r="354" spans="1:11">
      <c r="A354" s="4" t="str">
        <f>IF(D354="","",COUNTIF($D$5:D354,"?*"))</f>
        <v/>
      </c>
      <c r="B354" s="5"/>
      <c r="C354" s="4" t="str">
        <f>IF(B354="","",INDEX({"Ocak","Şubat","Mart","Nisan","Mayıs","Haziran","Temmuz","Ağustos","Eylül","Ekim","Kasım","Aralık"},MONTH(B354)))</f>
        <v/>
      </c>
      <c r="D354" s="2"/>
      <c r="E354" s="4" t="str">
        <f>IFERROR(INDEX('Araç Tanımlama'!$D$5:$D$200,MATCH(D354,'Araç Tanımlama'!$A$5:$A$200,0)),"")</f>
        <v/>
      </c>
      <c r="F354" s="4" t="str">
        <f>IFERROR(INDEX('Araç Tanımlama'!$E$5:$E$200,MATCH(D354,'Araç Tanımlama'!$A$5:$A$200,0)),"")</f>
        <v/>
      </c>
      <c r="G354" s="2"/>
      <c r="H354" s="7"/>
      <c r="I354" s="9" t="str">
        <f>IF(OR(G354="",H354=""),"",G354*H354)</f>
        <v/>
      </c>
      <c r="J354" s="2"/>
      <c r="K354" s="2"/>
    </row>
    <row r="355" spans="1:11">
      <c r="A355" s="4" t="str">
        <f>IF(D355="","",COUNTIF($D$5:D355,"?*"))</f>
        <v/>
      </c>
      <c r="B355" s="5"/>
      <c r="C355" s="4" t="str">
        <f>IF(B355="","",INDEX({"Ocak","Şubat","Mart","Nisan","Mayıs","Haziran","Temmuz","Ağustos","Eylül","Ekim","Kasım","Aralık"},MONTH(B355)))</f>
        <v/>
      </c>
      <c r="D355" s="2"/>
      <c r="E355" s="4" t="str">
        <f>IFERROR(INDEX('Araç Tanımlama'!$D$5:$D$200,MATCH(D355,'Araç Tanımlama'!$A$5:$A$200,0)),"")</f>
        <v/>
      </c>
      <c r="F355" s="4" t="str">
        <f>IFERROR(INDEX('Araç Tanımlama'!$E$5:$E$200,MATCH(D355,'Araç Tanımlama'!$A$5:$A$200,0)),"")</f>
        <v/>
      </c>
      <c r="G355" s="2"/>
      <c r="H355" s="7"/>
      <c r="I355" s="9" t="str">
        <f>IF(OR(G355="",H355=""),"",G355*H355)</f>
        <v/>
      </c>
      <c r="J355" s="2"/>
      <c r="K355" s="2"/>
    </row>
    <row r="356" spans="1:11">
      <c r="A356" s="4" t="str">
        <f>IF(D356="","",COUNTIF($D$5:D356,"?*"))</f>
        <v/>
      </c>
      <c r="B356" s="5"/>
      <c r="C356" s="4" t="str">
        <f>IF(B356="","",INDEX({"Ocak","Şubat","Mart","Nisan","Mayıs","Haziran","Temmuz","Ağustos","Eylül","Ekim","Kasım","Aralık"},MONTH(B356)))</f>
        <v/>
      </c>
      <c r="D356" s="2"/>
      <c r="E356" s="4" t="str">
        <f>IFERROR(INDEX('Araç Tanımlama'!$D$5:$D$200,MATCH(D356,'Araç Tanımlama'!$A$5:$A$200,0)),"")</f>
        <v/>
      </c>
      <c r="F356" s="4" t="str">
        <f>IFERROR(INDEX('Araç Tanımlama'!$E$5:$E$200,MATCH(D356,'Araç Tanımlama'!$A$5:$A$200,0)),"")</f>
        <v/>
      </c>
      <c r="G356" s="2"/>
      <c r="H356" s="7"/>
      <c r="I356" s="9" t="str">
        <f>IF(OR(G356="",H356=""),"",G356*H356)</f>
        <v/>
      </c>
      <c r="J356" s="2"/>
      <c r="K356" s="2"/>
    </row>
    <row r="357" spans="1:11">
      <c r="A357" s="4" t="str">
        <f>IF(D357="","",COUNTIF($D$5:D357,"?*"))</f>
        <v/>
      </c>
      <c r="B357" s="5"/>
      <c r="C357" s="4" t="str">
        <f>IF(B357="","",INDEX({"Ocak","Şubat","Mart","Nisan","Mayıs","Haziran","Temmuz","Ağustos","Eylül","Ekim","Kasım","Aralık"},MONTH(B357)))</f>
        <v/>
      </c>
      <c r="D357" s="2"/>
      <c r="E357" s="4" t="str">
        <f>IFERROR(INDEX('Araç Tanımlama'!$D$5:$D$200,MATCH(D357,'Araç Tanımlama'!$A$5:$A$200,0)),"")</f>
        <v/>
      </c>
      <c r="F357" s="4" t="str">
        <f>IFERROR(INDEX('Araç Tanımlama'!$E$5:$E$200,MATCH(D357,'Araç Tanımlama'!$A$5:$A$200,0)),"")</f>
        <v/>
      </c>
      <c r="G357" s="2"/>
      <c r="H357" s="7"/>
      <c r="I357" s="9" t="str">
        <f>IF(OR(G357="",H357=""),"",G357*H357)</f>
        <v/>
      </c>
      <c r="J357" s="2"/>
      <c r="K357" s="2"/>
    </row>
    <row r="358" spans="1:11">
      <c r="A358" s="4" t="str">
        <f>IF(D358="","",COUNTIF($D$5:D358,"?*"))</f>
        <v/>
      </c>
      <c r="B358" s="5"/>
      <c r="C358" s="4" t="str">
        <f>IF(B358="","",INDEX({"Ocak","Şubat","Mart","Nisan","Mayıs","Haziran","Temmuz","Ağustos","Eylül","Ekim","Kasım","Aralık"},MONTH(B358)))</f>
        <v/>
      </c>
      <c r="D358" s="2"/>
      <c r="E358" s="4" t="str">
        <f>IFERROR(INDEX('Araç Tanımlama'!$D$5:$D$200,MATCH(D358,'Araç Tanımlama'!$A$5:$A$200,0)),"")</f>
        <v/>
      </c>
      <c r="F358" s="4" t="str">
        <f>IFERROR(INDEX('Araç Tanımlama'!$E$5:$E$200,MATCH(D358,'Araç Tanımlama'!$A$5:$A$200,0)),"")</f>
        <v/>
      </c>
      <c r="G358" s="2"/>
      <c r="H358" s="7"/>
      <c r="I358" s="9" t="str">
        <f>IF(OR(G358="",H358=""),"",G358*H358)</f>
        <v/>
      </c>
      <c r="J358" s="2"/>
      <c r="K358" s="2"/>
    </row>
    <row r="359" spans="1:11">
      <c r="A359" s="4" t="str">
        <f>IF(D359="","",COUNTIF($D$5:D359,"?*"))</f>
        <v/>
      </c>
      <c r="B359" s="5"/>
      <c r="C359" s="4" t="str">
        <f>IF(B359="","",INDEX({"Ocak","Şubat","Mart","Nisan","Mayıs","Haziran","Temmuz","Ağustos","Eylül","Ekim","Kasım","Aralık"},MONTH(B359)))</f>
        <v/>
      </c>
      <c r="D359" s="2"/>
      <c r="E359" s="4" t="str">
        <f>IFERROR(INDEX('Araç Tanımlama'!$D$5:$D$200,MATCH(D359,'Araç Tanımlama'!$A$5:$A$200,0)),"")</f>
        <v/>
      </c>
      <c r="F359" s="4" t="str">
        <f>IFERROR(INDEX('Araç Tanımlama'!$E$5:$E$200,MATCH(D359,'Araç Tanımlama'!$A$5:$A$200,0)),"")</f>
        <v/>
      </c>
      <c r="G359" s="2"/>
      <c r="H359" s="7"/>
      <c r="I359" s="9" t="str">
        <f>IF(OR(G359="",H359=""),"",G359*H359)</f>
        <v/>
      </c>
      <c r="J359" s="2"/>
      <c r="K359" s="2"/>
    </row>
    <row r="360" spans="1:11">
      <c r="A360" s="4" t="str">
        <f>IF(D360="","",COUNTIF($D$5:D360,"?*"))</f>
        <v/>
      </c>
      <c r="B360" s="5"/>
      <c r="C360" s="4" t="str">
        <f>IF(B360="","",INDEX({"Ocak","Şubat","Mart","Nisan","Mayıs","Haziran","Temmuz","Ağustos","Eylül","Ekim","Kasım","Aralık"},MONTH(B360)))</f>
        <v/>
      </c>
      <c r="D360" s="2"/>
      <c r="E360" s="4" t="str">
        <f>IFERROR(INDEX('Araç Tanımlama'!$D$5:$D$200,MATCH(D360,'Araç Tanımlama'!$A$5:$A$200,0)),"")</f>
        <v/>
      </c>
      <c r="F360" s="4" t="str">
        <f>IFERROR(INDEX('Araç Tanımlama'!$E$5:$E$200,MATCH(D360,'Araç Tanımlama'!$A$5:$A$200,0)),"")</f>
        <v/>
      </c>
      <c r="G360" s="2"/>
      <c r="H360" s="7"/>
      <c r="I360" s="9" t="str">
        <f>IF(OR(G360="",H360=""),"",G360*H360)</f>
        <v/>
      </c>
      <c r="J360" s="2"/>
      <c r="K360" s="2"/>
    </row>
    <row r="361" spans="1:11">
      <c r="A361" s="4" t="str">
        <f>IF(D361="","",COUNTIF($D$5:D361,"?*"))</f>
        <v/>
      </c>
      <c r="B361" s="5"/>
      <c r="C361" s="4" t="str">
        <f>IF(B361="","",INDEX({"Ocak","Şubat","Mart","Nisan","Mayıs","Haziran","Temmuz","Ağustos","Eylül","Ekim","Kasım","Aralık"},MONTH(B361)))</f>
        <v/>
      </c>
      <c r="D361" s="2"/>
      <c r="E361" s="4" t="str">
        <f>IFERROR(INDEX('Araç Tanımlama'!$D$5:$D$200,MATCH(D361,'Araç Tanımlama'!$A$5:$A$200,0)),"")</f>
        <v/>
      </c>
      <c r="F361" s="4" t="str">
        <f>IFERROR(INDEX('Araç Tanımlama'!$E$5:$E$200,MATCH(D361,'Araç Tanımlama'!$A$5:$A$200,0)),"")</f>
        <v/>
      </c>
      <c r="G361" s="2"/>
      <c r="H361" s="7"/>
      <c r="I361" s="9" t="str">
        <f>IF(OR(G361="",H361=""),"",G361*H361)</f>
        <v/>
      </c>
      <c r="J361" s="2"/>
      <c r="K361" s="2"/>
    </row>
    <row r="362" spans="1:11">
      <c r="A362" s="4" t="str">
        <f>IF(D362="","",COUNTIF($D$5:D362,"?*"))</f>
        <v/>
      </c>
      <c r="B362" s="5"/>
      <c r="C362" s="4" t="str">
        <f>IF(B362="","",INDEX({"Ocak","Şubat","Mart","Nisan","Mayıs","Haziran","Temmuz","Ağustos","Eylül","Ekim","Kasım","Aralık"},MONTH(B362)))</f>
        <v/>
      </c>
      <c r="D362" s="2"/>
      <c r="E362" s="4" t="str">
        <f>IFERROR(INDEX('Araç Tanımlama'!$D$5:$D$200,MATCH(D362,'Araç Tanımlama'!$A$5:$A$200,0)),"")</f>
        <v/>
      </c>
      <c r="F362" s="4" t="str">
        <f>IFERROR(INDEX('Araç Tanımlama'!$E$5:$E$200,MATCH(D362,'Araç Tanımlama'!$A$5:$A$200,0)),"")</f>
        <v/>
      </c>
      <c r="G362" s="2"/>
      <c r="H362" s="7"/>
      <c r="I362" s="9" t="str">
        <f>IF(OR(G362="",H362=""),"",G362*H362)</f>
        <v/>
      </c>
      <c r="J362" s="2"/>
      <c r="K362" s="2"/>
    </row>
    <row r="363" spans="1:11">
      <c r="A363" s="4" t="str">
        <f>IF(D363="","",COUNTIF($D$5:D363,"?*"))</f>
        <v/>
      </c>
      <c r="B363" s="5"/>
      <c r="C363" s="4" t="str">
        <f>IF(B363="","",INDEX({"Ocak","Şubat","Mart","Nisan","Mayıs","Haziran","Temmuz","Ağustos","Eylül","Ekim","Kasım","Aralık"},MONTH(B363)))</f>
        <v/>
      </c>
      <c r="D363" s="2"/>
      <c r="E363" s="4" t="str">
        <f>IFERROR(INDEX('Araç Tanımlama'!$D$5:$D$200,MATCH(D363,'Araç Tanımlama'!$A$5:$A$200,0)),"")</f>
        <v/>
      </c>
      <c r="F363" s="4" t="str">
        <f>IFERROR(INDEX('Araç Tanımlama'!$E$5:$E$200,MATCH(D363,'Araç Tanımlama'!$A$5:$A$200,0)),"")</f>
        <v/>
      </c>
      <c r="G363" s="2"/>
      <c r="H363" s="7"/>
      <c r="I363" s="9" t="str">
        <f>IF(OR(G363="",H363=""),"",G363*H363)</f>
        <v/>
      </c>
      <c r="J363" s="2"/>
      <c r="K363" s="2"/>
    </row>
    <row r="364" spans="1:11">
      <c r="A364" s="4" t="str">
        <f>IF(D364="","",COUNTIF($D$5:D364,"?*"))</f>
        <v/>
      </c>
      <c r="B364" s="5"/>
      <c r="C364" s="4" t="str">
        <f>IF(B364="","",INDEX({"Ocak","Şubat","Mart","Nisan","Mayıs","Haziran","Temmuz","Ağustos","Eylül","Ekim","Kasım","Aralık"},MONTH(B364)))</f>
        <v/>
      </c>
      <c r="D364" s="2"/>
      <c r="E364" s="4" t="str">
        <f>IFERROR(INDEX('Araç Tanımlama'!$D$5:$D$200,MATCH(D364,'Araç Tanımlama'!$A$5:$A$200,0)),"")</f>
        <v/>
      </c>
      <c r="F364" s="4" t="str">
        <f>IFERROR(INDEX('Araç Tanımlama'!$E$5:$E$200,MATCH(D364,'Araç Tanımlama'!$A$5:$A$200,0)),"")</f>
        <v/>
      </c>
      <c r="G364" s="2"/>
      <c r="H364" s="7"/>
      <c r="I364" s="9" t="str">
        <f>IF(OR(G364="",H364=""),"",G364*H364)</f>
        <v/>
      </c>
      <c r="J364" s="2"/>
      <c r="K364" s="2"/>
    </row>
    <row r="365" spans="1:11">
      <c r="A365" s="4" t="str">
        <f>IF(D365="","",COUNTIF($D$5:D365,"?*"))</f>
        <v/>
      </c>
      <c r="B365" s="5"/>
      <c r="C365" s="4" t="str">
        <f>IF(B365="","",INDEX({"Ocak","Şubat","Mart","Nisan","Mayıs","Haziran","Temmuz","Ağustos","Eylül","Ekim","Kasım","Aralık"},MONTH(B365)))</f>
        <v/>
      </c>
      <c r="D365" s="2"/>
      <c r="E365" s="4" t="str">
        <f>IFERROR(INDEX('Araç Tanımlama'!$D$5:$D$200,MATCH(D365,'Araç Tanımlama'!$A$5:$A$200,0)),"")</f>
        <v/>
      </c>
      <c r="F365" s="4" t="str">
        <f>IFERROR(INDEX('Araç Tanımlama'!$E$5:$E$200,MATCH(D365,'Araç Tanımlama'!$A$5:$A$200,0)),"")</f>
        <v/>
      </c>
      <c r="G365" s="2"/>
      <c r="H365" s="7"/>
      <c r="I365" s="9" t="str">
        <f>IF(OR(G365="",H365=""),"",G365*H365)</f>
        <v/>
      </c>
      <c r="J365" s="2"/>
      <c r="K365" s="2"/>
    </row>
    <row r="366" spans="1:11">
      <c r="A366" s="4" t="str">
        <f>IF(D366="","",COUNTIF($D$5:D366,"?*"))</f>
        <v/>
      </c>
      <c r="B366" s="5"/>
      <c r="C366" s="4" t="str">
        <f>IF(B366="","",INDEX({"Ocak","Şubat","Mart","Nisan","Mayıs","Haziran","Temmuz","Ağustos","Eylül","Ekim","Kasım","Aralık"},MONTH(B366)))</f>
        <v/>
      </c>
      <c r="D366" s="2"/>
      <c r="E366" s="4" t="str">
        <f>IFERROR(INDEX('Araç Tanımlama'!$D$5:$D$200,MATCH(D366,'Araç Tanımlama'!$A$5:$A$200,0)),"")</f>
        <v/>
      </c>
      <c r="F366" s="4" t="str">
        <f>IFERROR(INDEX('Araç Tanımlama'!$E$5:$E$200,MATCH(D366,'Araç Tanımlama'!$A$5:$A$200,0)),"")</f>
        <v/>
      </c>
      <c r="G366" s="2"/>
      <c r="H366" s="7"/>
      <c r="I366" s="9" t="str">
        <f>IF(OR(G366="",H366=""),"",G366*H366)</f>
        <v/>
      </c>
      <c r="J366" s="2"/>
      <c r="K366" s="2"/>
    </row>
    <row r="367" spans="1:11">
      <c r="A367" s="4" t="str">
        <f>IF(D367="","",COUNTIF($D$5:D367,"?*"))</f>
        <v/>
      </c>
      <c r="B367" s="5"/>
      <c r="C367" s="4" t="str">
        <f>IF(B367="","",INDEX({"Ocak","Şubat","Mart","Nisan","Mayıs","Haziran","Temmuz","Ağustos","Eylül","Ekim","Kasım","Aralık"},MONTH(B367)))</f>
        <v/>
      </c>
      <c r="D367" s="2"/>
      <c r="E367" s="4" t="str">
        <f>IFERROR(INDEX('Araç Tanımlama'!$D$5:$D$200,MATCH(D367,'Araç Tanımlama'!$A$5:$A$200,0)),"")</f>
        <v/>
      </c>
      <c r="F367" s="4" t="str">
        <f>IFERROR(INDEX('Araç Tanımlama'!$E$5:$E$200,MATCH(D367,'Araç Tanımlama'!$A$5:$A$200,0)),"")</f>
        <v/>
      </c>
      <c r="G367" s="2"/>
      <c r="H367" s="7"/>
      <c r="I367" s="9" t="str">
        <f>IF(OR(G367="",H367=""),"",G367*H367)</f>
        <v/>
      </c>
      <c r="J367" s="2"/>
      <c r="K367" s="2"/>
    </row>
    <row r="368" spans="1:11">
      <c r="A368" s="4" t="str">
        <f>IF(D368="","",COUNTIF($D$5:D368,"?*"))</f>
        <v/>
      </c>
      <c r="B368" s="5"/>
      <c r="C368" s="4" t="str">
        <f>IF(B368="","",INDEX({"Ocak","Şubat","Mart","Nisan","Mayıs","Haziran","Temmuz","Ağustos","Eylül","Ekim","Kasım","Aralık"},MONTH(B368)))</f>
        <v/>
      </c>
      <c r="D368" s="2"/>
      <c r="E368" s="4" t="str">
        <f>IFERROR(INDEX('Araç Tanımlama'!$D$5:$D$200,MATCH(D368,'Araç Tanımlama'!$A$5:$A$200,0)),"")</f>
        <v/>
      </c>
      <c r="F368" s="4" t="str">
        <f>IFERROR(INDEX('Araç Tanımlama'!$E$5:$E$200,MATCH(D368,'Araç Tanımlama'!$A$5:$A$200,0)),"")</f>
        <v/>
      </c>
      <c r="G368" s="2"/>
      <c r="H368" s="7"/>
      <c r="I368" s="9" t="str">
        <f>IF(OR(G368="",H368=""),"",G368*H368)</f>
        <v/>
      </c>
      <c r="J368" s="2"/>
      <c r="K368" s="2"/>
    </row>
    <row r="369" spans="1:11">
      <c r="A369" s="4" t="str">
        <f>IF(D369="","",COUNTIF($D$5:D369,"?*"))</f>
        <v/>
      </c>
      <c r="B369" s="5"/>
      <c r="C369" s="4" t="str">
        <f>IF(B369="","",INDEX({"Ocak","Şubat","Mart","Nisan","Mayıs","Haziran","Temmuz","Ağustos","Eylül","Ekim","Kasım","Aralık"},MONTH(B369)))</f>
        <v/>
      </c>
      <c r="D369" s="2"/>
      <c r="E369" s="4" t="str">
        <f>IFERROR(INDEX('Araç Tanımlama'!$D$5:$D$200,MATCH(D369,'Araç Tanımlama'!$A$5:$A$200,0)),"")</f>
        <v/>
      </c>
      <c r="F369" s="4" t="str">
        <f>IFERROR(INDEX('Araç Tanımlama'!$E$5:$E$200,MATCH(D369,'Araç Tanımlama'!$A$5:$A$200,0)),"")</f>
        <v/>
      </c>
      <c r="G369" s="2"/>
      <c r="H369" s="7"/>
      <c r="I369" s="9" t="str">
        <f>IF(OR(G369="",H369=""),"",G369*H369)</f>
        <v/>
      </c>
      <c r="J369" s="2"/>
      <c r="K369" s="2"/>
    </row>
    <row r="370" spans="1:11">
      <c r="A370" s="4" t="str">
        <f>IF(D370="","",COUNTIF($D$5:D370,"?*"))</f>
        <v/>
      </c>
      <c r="B370" s="5"/>
      <c r="C370" s="4" t="str">
        <f>IF(B370="","",INDEX({"Ocak","Şubat","Mart","Nisan","Mayıs","Haziran","Temmuz","Ağustos","Eylül","Ekim","Kasım","Aralık"},MONTH(B370)))</f>
        <v/>
      </c>
      <c r="D370" s="2"/>
      <c r="E370" s="4" t="str">
        <f>IFERROR(INDEX('Araç Tanımlama'!$D$5:$D$200,MATCH(D370,'Araç Tanımlama'!$A$5:$A$200,0)),"")</f>
        <v/>
      </c>
      <c r="F370" s="4" t="str">
        <f>IFERROR(INDEX('Araç Tanımlama'!$E$5:$E$200,MATCH(D370,'Araç Tanımlama'!$A$5:$A$200,0)),"")</f>
        <v/>
      </c>
      <c r="G370" s="2"/>
      <c r="H370" s="7"/>
      <c r="I370" s="9" t="str">
        <f>IF(OR(G370="",H370=""),"",G370*H370)</f>
        <v/>
      </c>
      <c r="J370" s="2"/>
      <c r="K370" s="2"/>
    </row>
    <row r="371" spans="1:11">
      <c r="A371" s="4" t="str">
        <f>IF(D371="","",COUNTIF($D$5:D371,"?*"))</f>
        <v/>
      </c>
      <c r="B371" s="5"/>
      <c r="C371" s="4" t="str">
        <f>IF(B371="","",INDEX({"Ocak","Şubat","Mart","Nisan","Mayıs","Haziran","Temmuz","Ağustos","Eylül","Ekim","Kasım","Aralık"},MONTH(B371)))</f>
        <v/>
      </c>
      <c r="D371" s="2"/>
      <c r="E371" s="4" t="str">
        <f>IFERROR(INDEX('Araç Tanımlama'!$D$5:$D$200,MATCH(D371,'Araç Tanımlama'!$A$5:$A$200,0)),"")</f>
        <v/>
      </c>
      <c r="F371" s="4" t="str">
        <f>IFERROR(INDEX('Araç Tanımlama'!$E$5:$E$200,MATCH(D371,'Araç Tanımlama'!$A$5:$A$200,0)),"")</f>
        <v/>
      </c>
      <c r="G371" s="2"/>
      <c r="H371" s="7"/>
      <c r="I371" s="9" t="str">
        <f>IF(OR(G371="",H371=""),"",G371*H371)</f>
        <v/>
      </c>
      <c r="J371" s="2"/>
      <c r="K371" s="2"/>
    </row>
    <row r="372" spans="1:11">
      <c r="A372" s="4" t="str">
        <f>IF(D372="","",COUNTIF($D$5:D372,"?*"))</f>
        <v/>
      </c>
      <c r="B372" s="5"/>
      <c r="C372" s="4" t="str">
        <f>IF(B372="","",INDEX({"Ocak","Şubat","Mart","Nisan","Mayıs","Haziran","Temmuz","Ağustos","Eylül","Ekim","Kasım","Aralık"},MONTH(B372)))</f>
        <v/>
      </c>
      <c r="D372" s="2"/>
      <c r="E372" s="4" t="str">
        <f>IFERROR(INDEX('Araç Tanımlama'!$D$5:$D$200,MATCH(D372,'Araç Tanımlama'!$A$5:$A$200,0)),"")</f>
        <v/>
      </c>
      <c r="F372" s="4" t="str">
        <f>IFERROR(INDEX('Araç Tanımlama'!$E$5:$E$200,MATCH(D372,'Araç Tanımlama'!$A$5:$A$200,0)),"")</f>
        <v/>
      </c>
      <c r="G372" s="2"/>
      <c r="H372" s="7"/>
      <c r="I372" s="9" t="str">
        <f>IF(OR(G372="",H372=""),"",G372*H372)</f>
        <v/>
      </c>
      <c r="J372" s="2"/>
      <c r="K372" s="2"/>
    </row>
    <row r="373" spans="1:11">
      <c r="A373" s="4" t="str">
        <f>IF(D373="","",COUNTIF($D$5:D373,"?*"))</f>
        <v/>
      </c>
      <c r="B373" s="5"/>
      <c r="C373" s="4" t="str">
        <f>IF(B373="","",INDEX({"Ocak","Şubat","Mart","Nisan","Mayıs","Haziran","Temmuz","Ağustos","Eylül","Ekim","Kasım","Aralık"},MONTH(B373)))</f>
        <v/>
      </c>
      <c r="D373" s="2"/>
      <c r="E373" s="4" t="str">
        <f>IFERROR(INDEX('Araç Tanımlama'!$D$5:$D$200,MATCH(D373,'Araç Tanımlama'!$A$5:$A$200,0)),"")</f>
        <v/>
      </c>
      <c r="F373" s="4" t="str">
        <f>IFERROR(INDEX('Araç Tanımlama'!$E$5:$E$200,MATCH(D373,'Araç Tanımlama'!$A$5:$A$200,0)),"")</f>
        <v/>
      </c>
      <c r="G373" s="2"/>
      <c r="H373" s="7"/>
      <c r="I373" s="9" t="str">
        <f>IF(OR(G373="",H373=""),"",G373*H373)</f>
        <v/>
      </c>
      <c r="J373" s="2"/>
      <c r="K373" s="2"/>
    </row>
    <row r="374" spans="1:11">
      <c r="A374" s="4" t="str">
        <f>IF(D374="","",COUNTIF($D$5:D374,"?*"))</f>
        <v/>
      </c>
      <c r="B374" s="5"/>
      <c r="C374" s="4" t="str">
        <f>IF(B374="","",INDEX({"Ocak","Şubat","Mart","Nisan","Mayıs","Haziran","Temmuz","Ağustos","Eylül","Ekim","Kasım","Aralık"},MONTH(B374)))</f>
        <v/>
      </c>
      <c r="D374" s="2"/>
      <c r="E374" s="4" t="str">
        <f>IFERROR(INDEX('Araç Tanımlama'!$D$5:$D$200,MATCH(D374,'Araç Tanımlama'!$A$5:$A$200,0)),"")</f>
        <v/>
      </c>
      <c r="F374" s="4" t="str">
        <f>IFERROR(INDEX('Araç Tanımlama'!$E$5:$E$200,MATCH(D374,'Araç Tanımlama'!$A$5:$A$200,0)),"")</f>
        <v/>
      </c>
      <c r="G374" s="2"/>
      <c r="H374" s="7"/>
      <c r="I374" s="9" t="str">
        <f>IF(OR(G374="",H374=""),"",G374*H374)</f>
        <v/>
      </c>
      <c r="J374" s="2"/>
      <c r="K374" s="2"/>
    </row>
    <row r="375" spans="1:11">
      <c r="A375" s="4" t="str">
        <f>IF(D375="","",COUNTIF($D$5:D375,"?*"))</f>
        <v/>
      </c>
      <c r="B375" s="5"/>
      <c r="C375" s="4" t="str">
        <f>IF(B375="","",INDEX({"Ocak","Şubat","Mart","Nisan","Mayıs","Haziran","Temmuz","Ağustos","Eylül","Ekim","Kasım","Aralık"},MONTH(B375)))</f>
        <v/>
      </c>
      <c r="D375" s="2"/>
      <c r="E375" s="4" t="str">
        <f>IFERROR(INDEX('Araç Tanımlama'!$D$5:$D$200,MATCH(D375,'Araç Tanımlama'!$A$5:$A$200,0)),"")</f>
        <v/>
      </c>
      <c r="F375" s="4" t="str">
        <f>IFERROR(INDEX('Araç Tanımlama'!$E$5:$E$200,MATCH(D375,'Araç Tanımlama'!$A$5:$A$200,0)),"")</f>
        <v/>
      </c>
      <c r="G375" s="2"/>
      <c r="H375" s="7"/>
      <c r="I375" s="9" t="str">
        <f>IF(OR(G375="",H375=""),"",G375*H375)</f>
        <v/>
      </c>
      <c r="J375" s="2"/>
      <c r="K375" s="2"/>
    </row>
    <row r="376" spans="1:11">
      <c r="A376" s="4" t="str">
        <f>IF(D376="","",COUNTIF($D$5:D376,"?*"))</f>
        <v/>
      </c>
      <c r="B376" s="5"/>
      <c r="C376" s="4" t="str">
        <f>IF(B376="","",INDEX({"Ocak","Şubat","Mart","Nisan","Mayıs","Haziran","Temmuz","Ağustos","Eylül","Ekim","Kasım","Aralık"},MONTH(B376)))</f>
        <v/>
      </c>
      <c r="D376" s="2"/>
      <c r="E376" s="4" t="str">
        <f>IFERROR(INDEX('Araç Tanımlama'!$D$5:$D$200,MATCH(D376,'Araç Tanımlama'!$A$5:$A$200,0)),"")</f>
        <v/>
      </c>
      <c r="F376" s="4" t="str">
        <f>IFERROR(INDEX('Araç Tanımlama'!$E$5:$E$200,MATCH(D376,'Araç Tanımlama'!$A$5:$A$200,0)),"")</f>
        <v/>
      </c>
      <c r="G376" s="2"/>
      <c r="H376" s="7"/>
      <c r="I376" s="9" t="str">
        <f>IF(OR(G376="",H376=""),"",G376*H376)</f>
        <v/>
      </c>
      <c r="J376" s="2"/>
      <c r="K376" s="2"/>
    </row>
    <row r="377" spans="1:11">
      <c r="A377" s="4" t="str">
        <f>IF(D377="","",COUNTIF($D$5:D377,"?*"))</f>
        <v/>
      </c>
      <c r="B377" s="5"/>
      <c r="C377" s="4" t="str">
        <f>IF(B377="","",INDEX({"Ocak","Şubat","Mart","Nisan","Mayıs","Haziran","Temmuz","Ağustos","Eylül","Ekim","Kasım","Aralık"},MONTH(B377)))</f>
        <v/>
      </c>
      <c r="D377" s="2"/>
      <c r="E377" s="4" t="str">
        <f>IFERROR(INDEX('Araç Tanımlama'!$D$5:$D$200,MATCH(D377,'Araç Tanımlama'!$A$5:$A$200,0)),"")</f>
        <v/>
      </c>
      <c r="F377" s="4" t="str">
        <f>IFERROR(INDEX('Araç Tanımlama'!$E$5:$E$200,MATCH(D377,'Araç Tanımlama'!$A$5:$A$200,0)),"")</f>
        <v/>
      </c>
      <c r="G377" s="2"/>
      <c r="H377" s="7"/>
      <c r="I377" s="9" t="str">
        <f>IF(OR(G377="",H377=""),"",G377*H377)</f>
        <v/>
      </c>
      <c r="J377" s="2"/>
      <c r="K377" s="2"/>
    </row>
    <row r="378" spans="1:11">
      <c r="A378" s="4" t="str">
        <f>IF(D378="","",COUNTIF($D$5:D378,"?*"))</f>
        <v/>
      </c>
      <c r="B378" s="5"/>
      <c r="C378" s="4" t="str">
        <f>IF(B378="","",INDEX({"Ocak","Şubat","Mart","Nisan","Mayıs","Haziran","Temmuz","Ağustos","Eylül","Ekim","Kasım","Aralık"},MONTH(B378)))</f>
        <v/>
      </c>
      <c r="D378" s="2"/>
      <c r="E378" s="4" t="str">
        <f>IFERROR(INDEX('Araç Tanımlama'!$D$5:$D$200,MATCH(D378,'Araç Tanımlama'!$A$5:$A$200,0)),"")</f>
        <v/>
      </c>
      <c r="F378" s="4" t="str">
        <f>IFERROR(INDEX('Araç Tanımlama'!$E$5:$E$200,MATCH(D378,'Araç Tanımlama'!$A$5:$A$200,0)),"")</f>
        <v/>
      </c>
      <c r="G378" s="2"/>
      <c r="H378" s="7"/>
      <c r="I378" s="9" t="str">
        <f>IF(OR(G378="",H378=""),"",G378*H378)</f>
        <v/>
      </c>
      <c r="J378" s="2"/>
      <c r="K378" s="2"/>
    </row>
    <row r="379" spans="1:11">
      <c r="A379" s="4" t="str">
        <f>IF(D379="","",COUNTIF($D$5:D379,"?*"))</f>
        <v/>
      </c>
      <c r="B379" s="5"/>
      <c r="C379" s="4" t="str">
        <f>IF(B379="","",INDEX({"Ocak","Şubat","Mart","Nisan","Mayıs","Haziran","Temmuz","Ağustos","Eylül","Ekim","Kasım","Aralık"},MONTH(B379)))</f>
        <v/>
      </c>
      <c r="D379" s="2"/>
      <c r="E379" s="4" t="str">
        <f>IFERROR(INDEX('Araç Tanımlama'!$D$5:$D$200,MATCH(D379,'Araç Tanımlama'!$A$5:$A$200,0)),"")</f>
        <v/>
      </c>
      <c r="F379" s="4" t="str">
        <f>IFERROR(INDEX('Araç Tanımlama'!$E$5:$E$200,MATCH(D379,'Araç Tanımlama'!$A$5:$A$200,0)),"")</f>
        <v/>
      </c>
      <c r="G379" s="2"/>
      <c r="H379" s="7"/>
      <c r="I379" s="9" t="str">
        <f>IF(OR(G379="",H379=""),"",G379*H379)</f>
        <v/>
      </c>
      <c r="J379" s="2"/>
      <c r="K379" s="2"/>
    </row>
    <row r="380" spans="1:11">
      <c r="A380" s="4" t="str">
        <f>IF(D380="","",COUNTIF($D$5:D380,"?*"))</f>
        <v/>
      </c>
      <c r="B380" s="5"/>
      <c r="C380" s="4" t="str">
        <f>IF(B380="","",INDEX({"Ocak","Şubat","Mart","Nisan","Mayıs","Haziran","Temmuz","Ağustos","Eylül","Ekim","Kasım","Aralık"},MONTH(B380)))</f>
        <v/>
      </c>
      <c r="D380" s="2"/>
      <c r="E380" s="4" t="str">
        <f>IFERROR(INDEX('Araç Tanımlama'!$D$5:$D$200,MATCH(D380,'Araç Tanımlama'!$A$5:$A$200,0)),"")</f>
        <v/>
      </c>
      <c r="F380" s="4" t="str">
        <f>IFERROR(INDEX('Araç Tanımlama'!$E$5:$E$200,MATCH(D380,'Araç Tanımlama'!$A$5:$A$200,0)),"")</f>
        <v/>
      </c>
      <c r="G380" s="2"/>
      <c r="H380" s="7"/>
      <c r="I380" s="9" t="str">
        <f>IF(OR(G380="",H380=""),"",G380*H380)</f>
        <v/>
      </c>
      <c r="J380" s="2"/>
      <c r="K380" s="2"/>
    </row>
    <row r="381" spans="1:11">
      <c r="A381" s="4" t="str">
        <f>IF(D381="","",COUNTIF($D$5:D381,"?*"))</f>
        <v/>
      </c>
      <c r="B381" s="5"/>
      <c r="C381" s="4" t="str">
        <f>IF(B381="","",INDEX({"Ocak","Şubat","Mart","Nisan","Mayıs","Haziran","Temmuz","Ağustos","Eylül","Ekim","Kasım","Aralık"},MONTH(B381)))</f>
        <v/>
      </c>
      <c r="D381" s="2"/>
      <c r="E381" s="4" t="str">
        <f>IFERROR(INDEX('Araç Tanımlama'!$D$5:$D$200,MATCH(D381,'Araç Tanımlama'!$A$5:$A$200,0)),"")</f>
        <v/>
      </c>
      <c r="F381" s="4" t="str">
        <f>IFERROR(INDEX('Araç Tanımlama'!$E$5:$E$200,MATCH(D381,'Araç Tanımlama'!$A$5:$A$200,0)),"")</f>
        <v/>
      </c>
      <c r="G381" s="2"/>
      <c r="H381" s="7"/>
      <c r="I381" s="9" t="str">
        <f>IF(OR(G381="",H381=""),"",G381*H381)</f>
        <v/>
      </c>
      <c r="J381" s="2"/>
      <c r="K381" s="2"/>
    </row>
    <row r="382" spans="1:11">
      <c r="A382" s="4" t="str">
        <f>IF(D382="","",COUNTIF($D$5:D382,"?*"))</f>
        <v/>
      </c>
      <c r="B382" s="5"/>
      <c r="C382" s="4" t="str">
        <f>IF(B382="","",INDEX({"Ocak","Şubat","Mart","Nisan","Mayıs","Haziran","Temmuz","Ağustos","Eylül","Ekim","Kasım","Aralık"},MONTH(B382)))</f>
        <v/>
      </c>
      <c r="D382" s="2"/>
      <c r="E382" s="4" t="str">
        <f>IFERROR(INDEX('Araç Tanımlama'!$D$5:$D$200,MATCH(D382,'Araç Tanımlama'!$A$5:$A$200,0)),"")</f>
        <v/>
      </c>
      <c r="F382" s="4" t="str">
        <f>IFERROR(INDEX('Araç Tanımlama'!$E$5:$E$200,MATCH(D382,'Araç Tanımlama'!$A$5:$A$200,0)),"")</f>
        <v/>
      </c>
      <c r="G382" s="2"/>
      <c r="H382" s="7"/>
      <c r="I382" s="9" t="str">
        <f>IF(OR(G382="",H382=""),"",G382*H382)</f>
        <v/>
      </c>
      <c r="J382" s="2"/>
      <c r="K382" s="2"/>
    </row>
    <row r="383" spans="1:11">
      <c r="A383" s="4" t="str">
        <f>IF(D383="","",COUNTIF($D$5:D383,"?*"))</f>
        <v/>
      </c>
      <c r="B383" s="5"/>
      <c r="C383" s="4" t="str">
        <f>IF(B383="","",INDEX({"Ocak","Şubat","Mart","Nisan","Mayıs","Haziran","Temmuz","Ağustos","Eylül","Ekim","Kasım","Aralık"},MONTH(B383)))</f>
        <v/>
      </c>
      <c r="D383" s="2"/>
      <c r="E383" s="4" t="str">
        <f>IFERROR(INDEX('Araç Tanımlama'!$D$5:$D$200,MATCH(D383,'Araç Tanımlama'!$A$5:$A$200,0)),"")</f>
        <v/>
      </c>
      <c r="F383" s="4" t="str">
        <f>IFERROR(INDEX('Araç Tanımlama'!$E$5:$E$200,MATCH(D383,'Araç Tanımlama'!$A$5:$A$200,0)),"")</f>
        <v/>
      </c>
      <c r="G383" s="2"/>
      <c r="H383" s="7"/>
      <c r="I383" s="9" t="str">
        <f>IF(OR(G383="",H383=""),"",G383*H383)</f>
        <v/>
      </c>
      <c r="J383" s="2"/>
      <c r="K383" s="2"/>
    </row>
    <row r="384" spans="1:11">
      <c r="A384" s="4" t="str">
        <f>IF(D384="","",COUNTIF($D$5:D384,"?*"))</f>
        <v/>
      </c>
      <c r="B384" s="5"/>
      <c r="C384" s="4" t="str">
        <f>IF(B384="","",INDEX({"Ocak","Şubat","Mart","Nisan","Mayıs","Haziran","Temmuz","Ağustos","Eylül","Ekim","Kasım","Aralık"},MONTH(B384)))</f>
        <v/>
      </c>
      <c r="D384" s="2"/>
      <c r="E384" s="4" t="str">
        <f>IFERROR(INDEX('Araç Tanımlama'!$D$5:$D$200,MATCH(D384,'Araç Tanımlama'!$A$5:$A$200,0)),"")</f>
        <v/>
      </c>
      <c r="F384" s="4" t="str">
        <f>IFERROR(INDEX('Araç Tanımlama'!$E$5:$E$200,MATCH(D384,'Araç Tanımlama'!$A$5:$A$200,0)),"")</f>
        <v/>
      </c>
      <c r="G384" s="2"/>
      <c r="H384" s="7"/>
      <c r="I384" s="9" t="str">
        <f>IF(OR(G384="",H384=""),"",G384*H384)</f>
        <v/>
      </c>
      <c r="J384" s="2"/>
      <c r="K384" s="2"/>
    </row>
    <row r="385" spans="1:11">
      <c r="A385" s="4" t="str">
        <f>IF(D385="","",COUNTIF($D$5:D385,"?*"))</f>
        <v/>
      </c>
      <c r="B385" s="5"/>
      <c r="C385" s="4" t="str">
        <f>IF(B385="","",INDEX({"Ocak","Şubat","Mart","Nisan","Mayıs","Haziran","Temmuz","Ağustos","Eylül","Ekim","Kasım","Aralık"},MONTH(B385)))</f>
        <v/>
      </c>
      <c r="D385" s="2"/>
      <c r="E385" s="4" t="str">
        <f>IFERROR(INDEX('Araç Tanımlama'!$D$5:$D$200,MATCH(D385,'Araç Tanımlama'!$A$5:$A$200,0)),"")</f>
        <v/>
      </c>
      <c r="F385" s="4" t="str">
        <f>IFERROR(INDEX('Araç Tanımlama'!$E$5:$E$200,MATCH(D385,'Araç Tanımlama'!$A$5:$A$200,0)),"")</f>
        <v/>
      </c>
      <c r="G385" s="2"/>
      <c r="H385" s="7"/>
      <c r="I385" s="9" t="str">
        <f>IF(OR(G385="",H385=""),"",G385*H385)</f>
        <v/>
      </c>
      <c r="J385" s="2"/>
      <c r="K385" s="2"/>
    </row>
    <row r="386" spans="1:11">
      <c r="A386" s="4" t="str">
        <f>IF(D386="","",COUNTIF($D$5:D386,"?*"))</f>
        <v/>
      </c>
      <c r="B386" s="5"/>
      <c r="C386" s="4" t="str">
        <f>IF(B386="","",INDEX({"Ocak","Şubat","Mart","Nisan","Mayıs","Haziran","Temmuz","Ağustos","Eylül","Ekim","Kasım","Aralık"},MONTH(B386)))</f>
        <v/>
      </c>
      <c r="D386" s="2"/>
      <c r="E386" s="4" t="str">
        <f>IFERROR(INDEX('Araç Tanımlama'!$D$5:$D$200,MATCH(D386,'Araç Tanımlama'!$A$5:$A$200,0)),"")</f>
        <v/>
      </c>
      <c r="F386" s="4" t="str">
        <f>IFERROR(INDEX('Araç Tanımlama'!$E$5:$E$200,MATCH(D386,'Araç Tanımlama'!$A$5:$A$200,0)),"")</f>
        <v/>
      </c>
      <c r="G386" s="2"/>
      <c r="H386" s="7"/>
      <c r="I386" s="9" t="str">
        <f>IF(OR(G386="",H386=""),"",G386*H386)</f>
        <v/>
      </c>
      <c r="J386" s="2"/>
      <c r="K386" s="2"/>
    </row>
    <row r="387" spans="1:11">
      <c r="A387" s="4" t="str">
        <f>IF(D387="","",COUNTIF($D$5:D387,"?*"))</f>
        <v/>
      </c>
      <c r="B387" s="5"/>
      <c r="C387" s="4" t="str">
        <f>IF(B387="","",INDEX({"Ocak","Şubat","Mart","Nisan","Mayıs","Haziran","Temmuz","Ağustos","Eylül","Ekim","Kasım","Aralık"},MONTH(B387)))</f>
        <v/>
      </c>
      <c r="D387" s="2"/>
      <c r="E387" s="4" t="str">
        <f>IFERROR(INDEX('Araç Tanımlama'!$D$5:$D$200,MATCH(D387,'Araç Tanımlama'!$A$5:$A$200,0)),"")</f>
        <v/>
      </c>
      <c r="F387" s="4" t="str">
        <f>IFERROR(INDEX('Araç Tanımlama'!$E$5:$E$200,MATCH(D387,'Araç Tanımlama'!$A$5:$A$200,0)),"")</f>
        <v/>
      </c>
      <c r="G387" s="2"/>
      <c r="H387" s="7"/>
      <c r="I387" s="9" t="str">
        <f>IF(OR(G387="",H387=""),"",G387*H387)</f>
        <v/>
      </c>
      <c r="J387" s="2"/>
      <c r="K387" s="2"/>
    </row>
    <row r="388" spans="1:11">
      <c r="A388" s="4" t="str">
        <f>IF(D388="","",COUNTIF($D$5:D388,"?*"))</f>
        <v/>
      </c>
      <c r="B388" s="5"/>
      <c r="C388" s="4" t="str">
        <f>IF(B388="","",INDEX({"Ocak","Şubat","Mart","Nisan","Mayıs","Haziran","Temmuz","Ağustos","Eylül","Ekim","Kasım","Aralık"},MONTH(B388)))</f>
        <v/>
      </c>
      <c r="D388" s="2"/>
      <c r="E388" s="4" t="str">
        <f>IFERROR(INDEX('Araç Tanımlama'!$D$5:$D$200,MATCH(D388,'Araç Tanımlama'!$A$5:$A$200,0)),"")</f>
        <v/>
      </c>
      <c r="F388" s="4" t="str">
        <f>IFERROR(INDEX('Araç Tanımlama'!$E$5:$E$200,MATCH(D388,'Araç Tanımlama'!$A$5:$A$200,0)),"")</f>
        <v/>
      </c>
      <c r="G388" s="2"/>
      <c r="H388" s="7"/>
      <c r="I388" s="9" t="str">
        <f>IF(OR(G388="",H388=""),"",G388*H388)</f>
        <v/>
      </c>
      <c r="J388" s="2"/>
      <c r="K388" s="2"/>
    </row>
    <row r="389" spans="1:11">
      <c r="A389" s="4" t="str">
        <f>IF(D389="","",COUNTIF($D$5:D389,"?*"))</f>
        <v/>
      </c>
      <c r="B389" s="5"/>
      <c r="C389" s="4" t="str">
        <f>IF(B389="","",INDEX({"Ocak","Şubat","Mart","Nisan","Mayıs","Haziran","Temmuz","Ağustos","Eylül","Ekim","Kasım","Aralık"},MONTH(B389)))</f>
        <v/>
      </c>
      <c r="D389" s="2"/>
      <c r="E389" s="4" t="str">
        <f>IFERROR(INDEX('Araç Tanımlama'!$D$5:$D$200,MATCH(D389,'Araç Tanımlama'!$A$5:$A$200,0)),"")</f>
        <v/>
      </c>
      <c r="F389" s="4" t="str">
        <f>IFERROR(INDEX('Araç Tanımlama'!$E$5:$E$200,MATCH(D389,'Araç Tanımlama'!$A$5:$A$200,0)),"")</f>
        <v/>
      </c>
      <c r="G389" s="2"/>
      <c r="H389" s="7"/>
      <c r="I389" s="9" t="str">
        <f>IF(OR(G389="",H389=""),"",G389*H389)</f>
        <v/>
      </c>
      <c r="J389" s="2"/>
      <c r="K389" s="2"/>
    </row>
    <row r="390" spans="1:11">
      <c r="A390" s="4" t="str">
        <f>IF(D390="","",COUNTIF($D$5:D390,"?*"))</f>
        <v/>
      </c>
      <c r="B390" s="5"/>
      <c r="C390" s="4" t="str">
        <f>IF(B390="","",INDEX({"Ocak","Şubat","Mart","Nisan","Mayıs","Haziran","Temmuz","Ağustos","Eylül","Ekim","Kasım","Aralık"},MONTH(B390)))</f>
        <v/>
      </c>
      <c r="D390" s="2"/>
      <c r="E390" s="4" t="str">
        <f>IFERROR(INDEX('Araç Tanımlama'!$D$5:$D$200,MATCH(D390,'Araç Tanımlama'!$A$5:$A$200,0)),"")</f>
        <v/>
      </c>
      <c r="F390" s="4" t="str">
        <f>IFERROR(INDEX('Araç Tanımlama'!$E$5:$E$200,MATCH(D390,'Araç Tanımlama'!$A$5:$A$200,0)),"")</f>
        <v/>
      </c>
      <c r="G390" s="2"/>
      <c r="H390" s="7"/>
      <c r="I390" s="9" t="str">
        <f>IF(OR(G390="",H390=""),"",G390*H390)</f>
        <v/>
      </c>
      <c r="J390" s="2"/>
      <c r="K390" s="2"/>
    </row>
    <row r="391" spans="1:11">
      <c r="A391" s="4" t="str">
        <f>IF(D391="","",COUNTIF($D$5:D391,"?*"))</f>
        <v/>
      </c>
      <c r="B391" s="5"/>
      <c r="C391" s="4" t="str">
        <f>IF(B391="","",INDEX({"Ocak","Şubat","Mart","Nisan","Mayıs","Haziran","Temmuz","Ağustos","Eylül","Ekim","Kasım","Aralık"},MONTH(B391)))</f>
        <v/>
      </c>
      <c r="D391" s="2"/>
      <c r="E391" s="4" t="str">
        <f>IFERROR(INDEX('Araç Tanımlama'!$D$5:$D$200,MATCH(D391,'Araç Tanımlama'!$A$5:$A$200,0)),"")</f>
        <v/>
      </c>
      <c r="F391" s="4" t="str">
        <f>IFERROR(INDEX('Araç Tanımlama'!$E$5:$E$200,MATCH(D391,'Araç Tanımlama'!$A$5:$A$200,0)),"")</f>
        <v/>
      </c>
      <c r="G391" s="2"/>
      <c r="H391" s="7"/>
      <c r="I391" s="9" t="str">
        <f>IF(OR(G391="",H391=""),"",G391*H391)</f>
        <v/>
      </c>
      <c r="J391" s="2"/>
      <c r="K391" s="2"/>
    </row>
    <row r="392" spans="1:11">
      <c r="A392" s="4" t="str">
        <f>IF(D392="","",COUNTIF($D$5:D392,"?*"))</f>
        <v/>
      </c>
      <c r="B392" s="5"/>
      <c r="C392" s="4" t="str">
        <f>IF(B392="","",INDEX({"Ocak","Şubat","Mart","Nisan","Mayıs","Haziran","Temmuz","Ağustos","Eylül","Ekim","Kasım","Aralık"},MONTH(B392)))</f>
        <v/>
      </c>
      <c r="D392" s="2"/>
      <c r="E392" s="4" t="str">
        <f>IFERROR(INDEX('Araç Tanımlama'!$D$5:$D$200,MATCH(D392,'Araç Tanımlama'!$A$5:$A$200,0)),"")</f>
        <v/>
      </c>
      <c r="F392" s="4" t="str">
        <f>IFERROR(INDEX('Araç Tanımlama'!$E$5:$E$200,MATCH(D392,'Araç Tanımlama'!$A$5:$A$200,0)),"")</f>
        <v/>
      </c>
      <c r="G392" s="2"/>
      <c r="H392" s="7"/>
      <c r="I392" s="9" t="str">
        <f>IF(OR(G392="",H392=""),"",G392*H392)</f>
        <v/>
      </c>
      <c r="J392" s="2"/>
      <c r="K392" s="2"/>
    </row>
    <row r="393" spans="1:11">
      <c r="A393" s="4" t="str">
        <f>IF(D393="","",COUNTIF($D$5:D393,"?*"))</f>
        <v/>
      </c>
      <c r="B393" s="5"/>
      <c r="C393" s="4" t="str">
        <f>IF(B393="","",INDEX({"Ocak","Şubat","Mart","Nisan","Mayıs","Haziran","Temmuz","Ağustos","Eylül","Ekim","Kasım","Aralık"},MONTH(B393)))</f>
        <v/>
      </c>
      <c r="D393" s="2"/>
      <c r="E393" s="4" t="str">
        <f>IFERROR(INDEX('Araç Tanımlama'!$D$5:$D$200,MATCH(D393,'Araç Tanımlama'!$A$5:$A$200,0)),"")</f>
        <v/>
      </c>
      <c r="F393" s="4" t="str">
        <f>IFERROR(INDEX('Araç Tanımlama'!$E$5:$E$200,MATCH(D393,'Araç Tanımlama'!$A$5:$A$200,0)),"")</f>
        <v/>
      </c>
      <c r="G393" s="2"/>
      <c r="H393" s="7"/>
      <c r="I393" s="9" t="str">
        <f>IF(OR(G393="",H393=""),"",G393*H393)</f>
        <v/>
      </c>
      <c r="J393" s="2"/>
      <c r="K393" s="2"/>
    </row>
    <row r="394" spans="1:11">
      <c r="A394" s="4" t="str">
        <f>IF(D394="","",COUNTIF($D$5:D394,"?*"))</f>
        <v/>
      </c>
      <c r="B394" s="5"/>
      <c r="C394" s="4" t="str">
        <f>IF(B394="","",INDEX({"Ocak","Şubat","Mart","Nisan","Mayıs","Haziran","Temmuz","Ağustos","Eylül","Ekim","Kasım","Aralık"},MONTH(B394)))</f>
        <v/>
      </c>
      <c r="D394" s="2"/>
      <c r="E394" s="4" t="str">
        <f>IFERROR(INDEX('Araç Tanımlama'!$D$5:$D$200,MATCH(D394,'Araç Tanımlama'!$A$5:$A$200,0)),"")</f>
        <v/>
      </c>
      <c r="F394" s="4" t="str">
        <f>IFERROR(INDEX('Araç Tanımlama'!$E$5:$E$200,MATCH(D394,'Araç Tanımlama'!$A$5:$A$200,0)),"")</f>
        <v/>
      </c>
      <c r="G394" s="2"/>
      <c r="H394" s="7"/>
      <c r="I394" s="9" t="str">
        <f>IF(OR(G394="",H394=""),"",G394*H394)</f>
        <v/>
      </c>
      <c r="J394" s="2"/>
      <c r="K394" s="2"/>
    </row>
    <row r="395" spans="1:11">
      <c r="A395" s="4" t="str">
        <f>IF(D395="","",COUNTIF($D$5:D395,"?*"))</f>
        <v/>
      </c>
      <c r="B395" s="5"/>
      <c r="C395" s="4" t="str">
        <f>IF(B395="","",INDEX({"Ocak","Şubat","Mart","Nisan","Mayıs","Haziran","Temmuz","Ağustos","Eylül","Ekim","Kasım","Aralık"},MONTH(B395)))</f>
        <v/>
      </c>
      <c r="D395" s="2"/>
      <c r="E395" s="4" t="str">
        <f>IFERROR(INDEX('Araç Tanımlama'!$D$5:$D$200,MATCH(D395,'Araç Tanımlama'!$A$5:$A$200,0)),"")</f>
        <v/>
      </c>
      <c r="F395" s="4" t="str">
        <f>IFERROR(INDEX('Araç Tanımlama'!$E$5:$E$200,MATCH(D395,'Araç Tanımlama'!$A$5:$A$200,0)),"")</f>
        <v/>
      </c>
      <c r="G395" s="2"/>
      <c r="H395" s="7"/>
      <c r="I395" s="9" t="str">
        <f>IF(OR(G395="",H395=""),"",G395*H395)</f>
        <v/>
      </c>
      <c r="J395" s="2"/>
      <c r="K395" s="2"/>
    </row>
    <row r="396" spans="1:11">
      <c r="A396" s="4" t="str">
        <f>IF(D396="","",COUNTIF($D$5:D396,"?*"))</f>
        <v/>
      </c>
      <c r="B396" s="5"/>
      <c r="C396" s="4" t="str">
        <f>IF(B396="","",INDEX({"Ocak","Şubat","Mart","Nisan","Mayıs","Haziran","Temmuz","Ağustos","Eylül","Ekim","Kasım","Aralık"},MONTH(B396)))</f>
        <v/>
      </c>
      <c r="D396" s="2"/>
      <c r="E396" s="4" t="str">
        <f>IFERROR(INDEX('Araç Tanımlama'!$D$5:$D$200,MATCH(D396,'Araç Tanımlama'!$A$5:$A$200,0)),"")</f>
        <v/>
      </c>
      <c r="F396" s="4" t="str">
        <f>IFERROR(INDEX('Araç Tanımlama'!$E$5:$E$200,MATCH(D396,'Araç Tanımlama'!$A$5:$A$200,0)),"")</f>
        <v/>
      </c>
      <c r="G396" s="2"/>
      <c r="H396" s="7"/>
      <c r="I396" s="9" t="str">
        <f>IF(OR(G396="",H396=""),"",G396*H396)</f>
        <v/>
      </c>
      <c r="J396" s="2"/>
      <c r="K396" s="2"/>
    </row>
    <row r="397" spans="1:11">
      <c r="A397" s="4" t="str">
        <f>IF(D397="","",COUNTIF($D$5:D397,"?*"))</f>
        <v/>
      </c>
      <c r="B397" s="5"/>
      <c r="C397" s="4" t="str">
        <f>IF(B397="","",INDEX({"Ocak","Şubat","Mart","Nisan","Mayıs","Haziran","Temmuz","Ağustos","Eylül","Ekim","Kasım","Aralık"},MONTH(B397)))</f>
        <v/>
      </c>
      <c r="D397" s="2"/>
      <c r="E397" s="4" t="str">
        <f>IFERROR(INDEX('Araç Tanımlama'!$D$5:$D$200,MATCH(D397,'Araç Tanımlama'!$A$5:$A$200,0)),"")</f>
        <v/>
      </c>
      <c r="F397" s="4" t="str">
        <f>IFERROR(INDEX('Araç Tanımlama'!$E$5:$E$200,MATCH(D397,'Araç Tanımlama'!$A$5:$A$200,0)),"")</f>
        <v/>
      </c>
      <c r="G397" s="2"/>
      <c r="H397" s="7"/>
      <c r="I397" s="9" t="str">
        <f>IF(OR(G397="",H397=""),"",G397*H397)</f>
        <v/>
      </c>
      <c r="J397" s="2"/>
      <c r="K397" s="2"/>
    </row>
    <row r="398" spans="1:11">
      <c r="A398" s="4" t="str">
        <f>IF(D398="","",COUNTIF($D$5:D398,"?*"))</f>
        <v/>
      </c>
      <c r="B398" s="5"/>
      <c r="C398" s="4" t="str">
        <f>IF(B398="","",INDEX({"Ocak","Şubat","Mart","Nisan","Mayıs","Haziran","Temmuz","Ağustos","Eylül","Ekim","Kasım","Aralık"},MONTH(B398)))</f>
        <v/>
      </c>
      <c r="D398" s="2"/>
      <c r="E398" s="4" t="str">
        <f>IFERROR(INDEX('Araç Tanımlama'!$D$5:$D$200,MATCH(D398,'Araç Tanımlama'!$A$5:$A$200,0)),"")</f>
        <v/>
      </c>
      <c r="F398" s="4" t="str">
        <f>IFERROR(INDEX('Araç Tanımlama'!$E$5:$E$200,MATCH(D398,'Araç Tanımlama'!$A$5:$A$200,0)),"")</f>
        <v/>
      </c>
      <c r="G398" s="2"/>
      <c r="H398" s="7"/>
      <c r="I398" s="9" t="str">
        <f>IF(OR(G398="",H398=""),"",G398*H398)</f>
        <v/>
      </c>
      <c r="J398" s="2"/>
      <c r="K398" s="2"/>
    </row>
    <row r="399" spans="1:11">
      <c r="A399" s="4" t="str">
        <f>IF(D399="","",COUNTIF($D$5:D399,"?*"))</f>
        <v/>
      </c>
      <c r="B399" s="5"/>
      <c r="C399" s="4" t="str">
        <f>IF(B399="","",INDEX({"Ocak","Şubat","Mart","Nisan","Mayıs","Haziran","Temmuz","Ağustos","Eylül","Ekim","Kasım","Aralık"},MONTH(B399)))</f>
        <v/>
      </c>
      <c r="D399" s="2"/>
      <c r="E399" s="4" t="str">
        <f>IFERROR(INDEX('Araç Tanımlama'!$D$5:$D$200,MATCH(D399,'Araç Tanımlama'!$A$5:$A$200,0)),"")</f>
        <v/>
      </c>
      <c r="F399" s="4" t="str">
        <f>IFERROR(INDEX('Araç Tanımlama'!$E$5:$E$200,MATCH(D399,'Araç Tanımlama'!$A$5:$A$200,0)),"")</f>
        <v/>
      </c>
      <c r="G399" s="2"/>
      <c r="H399" s="7"/>
      <c r="I399" s="9" t="str">
        <f>IF(OR(G399="",H399=""),"",G399*H399)</f>
        <v/>
      </c>
      <c r="J399" s="2"/>
      <c r="K399" s="2"/>
    </row>
    <row r="400" spans="1:11">
      <c r="A400" s="4" t="str">
        <f>IF(D400="","",COUNTIF($D$5:D400,"?*"))</f>
        <v/>
      </c>
      <c r="B400" s="5"/>
      <c r="C400" s="4" t="str">
        <f>IF(B400="","",INDEX({"Ocak","Şubat","Mart","Nisan","Mayıs","Haziran","Temmuz","Ağustos","Eylül","Ekim","Kasım","Aralık"},MONTH(B400)))</f>
        <v/>
      </c>
      <c r="D400" s="2"/>
      <c r="E400" s="4" t="str">
        <f>IFERROR(INDEX('Araç Tanımlama'!$D$5:$D$200,MATCH(D400,'Araç Tanımlama'!$A$5:$A$200,0)),"")</f>
        <v/>
      </c>
      <c r="F400" s="4" t="str">
        <f>IFERROR(INDEX('Araç Tanımlama'!$E$5:$E$200,MATCH(D400,'Araç Tanımlama'!$A$5:$A$200,0)),"")</f>
        <v/>
      </c>
      <c r="G400" s="2"/>
      <c r="H400" s="7"/>
      <c r="I400" s="9" t="str">
        <f>IF(OR(G400="",H400=""),"",G400*H400)</f>
        <v/>
      </c>
      <c r="J400" s="2"/>
      <c r="K400" s="2"/>
    </row>
    <row r="401" spans="1:11">
      <c r="A401" s="4" t="str">
        <f>IF(D401="","",COUNTIF($D$5:D401,"?*"))</f>
        <v/>
      </c>
      <c r="B401" s="5"/>
      <c r="C401" s="4" t="str">
        <f>IF(B401="","",INDEX({"Ocak","Şubat","Mart","Nisan","Mayıs","Haziran","Temmuz","Ağustos","Eylül","Ekim","Kasım","Aralık"},MONTH(B401)))</f>
        <v/>
      </c>
      <c r="D401" s="2"/>
      <c r="E401" s="4" t="str">
        <f>IFERROR(INDEX('Araç Tanımlama'!$D$5:$D$200,MATCH(D401,'Araç Tanımlama'!$A$5:$A$200,0)),"")</f>
        <v/>
      </c>
      <c r="F401" s="4" t="str">
        <f>IFERROR(INDEX('Araç Tanımlama'!$E$5:$E$200,MATCH(D401,'Araç Tanımlama'!$A$5:$A$200,0)),"")</f>
        <v/>
      </c>
      <c r="G401" s="2"/>
      <c r="H401" s="7"/>
      <c r="I401" s="9" t="str">
        <f>IF(OR(G401="",H401=""),"",G401*H401)</f>
        <v/>
      </c>
      <c r="J401" s="2"/>
      <c r="K401" s="2"/>
    </row>
    <row r="402" spans="1:11">
      <c r="A402" s="4" t="str">
        <f>IF(D402="","",COUNTIF($D$5:D402,"?*"))</f>
        <v/>
      </c>
      <c r="B402" s="5"/>
      <c r="C402" s="4" t="str">
        <f>IF(B402="","",INDEX({"Ocak","Şubat","Mart","Nisan","Mayıs","Haziran","Temmuz","Ağustos","Eylül","Ekim","Kasım","Aralık"},MONTH(B402)))</f>
        <v/>
      </c>
      <c r="D402" s="2"/>
      <c r="E402" s="4" t="str">
        <f>IFERROR(INDEX('Araç Tanımlama'!$D$5:$D$200,MATCH(D402,'Araç Tanımlama'!$A$5:$A$200,0)),"")</f>
        <v/>
      </c>
      <c r="F402" s="4" t="str">
        <f>IFERROR(INDEX('Araç Tanımlama'!$E$5:$E$200,MATCH(D402,'Araç Tanımlama'!$A$5:$A$200,0)),"")</f>
        <v/>
      </c>
      <c r="G402" s="2"/>
      <c r="H402" s="7"/>
      <c r="I402" s="9" t="str">
        <f>IF(OR(G402="",H402=""),"",G402*H402)</f>
        <v/>
      </c>
      <c r="J402" s="2"/>
      <c r="K402" s="2"/>
    </row>
    <row r="403" spans="1:11">
      <c r="A403" s="4" t="str">
        <f>IF(D403="","",COUNTIF($D$5:D403,"?*"))</f>
        <v/>
      </c>
      <c r="B403" s="5"/>
      <c r="C403" s="4" t="str">
        <f>IF(B403="","",INDEX({"Ocak","Şubat","Mart","Nisan","Mayıs","Haziran","Temmuz","Ağustos","Eylül","Ekim","Kasım","Aralık"},MONTH(B403)))</f>
        <v/>
      </c>
      <c r="D403" s="2"/>
      <c r="E403" s="4" t="str">
        <f>IFERROR(INDEX('Araç Tanımlama'!$D$5:$D$200,MATCH(D403,'Araç Tanımlama'!$A$5:$A$200,0)),"")</f>
        <v/>
      </c>
      <c r="F403" s="4" t="str">
        <f>IFERROR(INDEX('Araç Tanımlama'!$E$5:$E$200,MATCH(D403,'Araç Tanımlama'!$A$5:$A$200,0)),"")</f>
        <v/>
      </c>
      <c r="G403" s="2"/>
      <c r="H403" s="7"/>
      <c r="I403" s="9" t="str">
        <f>IF(OR(G403="",H403=""),"",G403*H403)</f>
        <v/>
      </c>
      <c r="J403" s="2"/>
      <c r="K403" s="2"/>
    </row>
    <row r="404" spans="1:11">
      <c r="A404" s="4" t="str">
        <f>IF(D404="","",COUNTIF($D$5:D404,"?*"))</f>
        <v/>
      </c>
      <c r="B404" s="5"/>
      <c r="C404" s="4" t="str">
        <f>IF(B404="","",INDEX({"Ocak","Şubat","Mart","Nisan","Mayıs","Haziran","Temmuz","Ağustos","Eylül","Ekim","Kasım","Aralık"},MONTH(B404)))</f>
        <v/>
      </c>
      <c r="D404" s="2"/>
      <c r="E404" s="4" t="str">
        <f>IFERROR(INDEX('Araç Tanımlama'!$D$5:$D$200,MATCH(D404,'Araç Tanımlama'!$A$5:$A$200,0)),"")</f>
        <v/>
      </c>
      <c r="F404" s="4" t="str">
        <f>IFERROR(INDEX('Araç Tanımlama'!$E$5:$E$200,MATCH(D404,'Araç Tanımlama'!$A$5:$A$200,0)),"")</f>
        <v/>
      </c>
      <c r="G404" s="2"/>
      <c r="H404" s="7"/>
      <c r="I404" s="9" t="str">
        <f>IF(OR(G404="",H404=""),"",G404*H404)</f>
        <v/>
      </c>
      <c r="J404" s="2"/>
      <c r="K404" s="2"/>
    </row>
    <row r="405" spans="1:11">
      <c r="A405" s="4" t="str">
        <f>IF(D405="","",COUNTIF($D$5:D405,"?*"))</f>
        <v/>
      </c>
      <c r="B405" s="5"/>
      <c r="C405" s="4" t="str">
        <f>IF(B405="","",INDEX({"Ocak","Şubat","Mart","Nisan","Mayıs","Haziran","Temmuz","Ağustos","Eylül","Ekim","Kasım","Aralık"},MONTH(B405)))</f>
        <v/>
      </c>
      <c r="D405" s="2"/>
      <c r="E405" s="4" t="str">
        <f>IFERROR(INDEX('Araç Tanımlama'!$D$5:$D$200,MATCH(D405,'Araç Tanımlama'!$A$5:$A$200,0)),"")</f>
        <v/>
      </c>
      <c r="F405" s="4" t="str">
        <f>IFERROR(INDEX('Araç Tanımlama'!$E$5:$E$200,MATCH(D405,'Araç Tanımlama'!$A$5:$A$200,0)),"")</f>
        <v/>
      </c>
      <c r="G405" s="2"/>
      <c r="H405" s="7"/>
      <c r="I405" s="9" t="str">
        <f>IF(OR(G405="",H405=""),"",G405*H405)</f>
        <v/>
      </c>
      <c r="J405" s="2"/>
      <c r="K405" s="2"/>
    </row>
    <row r="406" spans="1:11">
      <c r="A406" s="4" t="str">
        <f>IF(D406="","",COUNTIF($D$5:D406,"?*"))</f>
        <v/>
      </c>
      <c r="B406" s="5"/>
      <c r="C406" s="4" t="str">
        <f>IF(B406="","",INDEX({"Ocak","Şubat","Mart","Nisan","Mayıs","Haziran","Temmuz","Ağustos","Eylül","Ekim","Kasım","Aralık"},MONTH(B406)))</f>
        <v/>
      </c>
      <c r="D406" s="2"/>
      <c r="E406" s="4" t="str">
        <f>IFERROR(INDEX('Araç Tanımlama'!$D$5:$D$200,MATCH(D406,'Araç Tanımlama'!$A$5:$A$200,0)),"")</f>
        <v/>
      </c>
      <c r="F406" s="4" t="str">
        <f>IFERROR(INDEX('Araç Tanımlama'!$E$5:$E$200,MATCH(D406,'Araç Tanımlama'!$A$5:$A$200,0)),"")</f>
        <v/>
      </c>
      <c r="G406" s="2"/>
      <c r="H406" s="7"/>
      <c r="I406" s="9" t="str">
        <f>IF(OR(G406="",H406=""),"",G406*H406)</f>
        <v/>
      </c>
      <c r="J406" s="2"/>
      <c r="K406" s="2"/>
    </row>
    <row r="407" spans="1:11">
      <c r="A407" s="4" t="str">
        <f>IF(D407="","",COUNTIF($D$5:D407,"?*"))</f>
        <v/>
      </c>
      <c r="B407" s="5"/>
      <c r="C407" s="4" t="str">
        <f>IF(B407="","",INDEX({"Ocak","Şubat","Mart","Nisan","Mayıs","Haziran","Temmuz","Ağustos","Eylül","Ekim","Kasım","Aralık"},MONTH(B407)))</f>
        <v/>
      </c>
      <c r="D407" s="2"/>
      <c r="E407" s="4" t="str">
        <f>IFERROR(INDEX('Araç Tanımlama'!$D$5:$D$200,MATCH(D407,'Araç Tanımlama'!$A$5:$A$200,0)),"")</f>
        <v/>
      </c>
      <c r="F407" s="4" t="str">
        <f>IFERROR(INDEX('Araç Tanımlama'!$E$5:$E$200,MATCH(D407,'Araç Tanımlama'!$A$5:$A$200,0)),"")</f>
        <v/>
      </c>
      <c r="G407" s="2"/>
      <c r="H407" s="7"/>
      <c r="I407" s="9" t="str">
        <f>IF(OR(G407="",H407=""),"",G407*H407)</f>
        <v/>
      </c>
      <c r="J407" s="2"/>
      <c r="K407" s="2"/>
    </row>
    <row r="408" spans="1:11">
      <c r="A408" s="4" t="str">
        <f>IF(D408="","",COUNTIF($D$5:D408,"?*"))</f>
        <v/>
      </c>
      <c r="B408" s="5"/>
      <c r="C408" s="4" t="str">
        <f>IF(B408="","",INDEX({"Ocak","Şubat","Mart","Nisan","Mayıs","Haziran","Temmuz","Ağustos","Eylül","Ekim","Kasım","Aralık"},MONTH(B408)))</f>
        <v/>
      </c>
      <c r="D408" s="2"/>
      <c r="E408" s="4" t="str">
        <f>IFERROR(INDEX('Araç Tanımlama'!$D$5:$D$200,MATCH(D408,'Araç Tanımlama'!$A$5:$A$200,0)),"")</f>
        <v/>
      </c>
      <c r="F408" s="4" t="str">
        <f>IFERROR(INDEX('Araç Tanımlama'!$E$5:$E$200,MATCH(D408,'Araç Tanımlama'!$A$5:$A$200,0)),"")</f>
        <v/>
      </c>
      <c r="G408" s="2"/>
      <c r="H408" s="7"/>
      <c r="I408" s="9" t="str">
        <f>IF(OR(G408="",H408=""),"",G408*H408)</f>
        <v/>
      </c>
      <c r="J408" s="2"/>
      <c r="K408" s="2"/>
    </row>
    <row r="409" spans="1:11">
      <c r="A409" s="4" t="str">
        <f>IF(D409="","",COUNTIF($D$5:D409,"?*"))</f>
        <v/>
      </c>
      <c r="B409" s="5"/>
      <c r="C409" s="4" t="str">
        <f>IF(B409="","",INDEX({"Ocak","Şubat","Mart","Nisan","Mayıs","Haziran","Temmuz","Ağustos","Eylül","Ekim","Kasım","Aralık"},MONTH(B409)))</f>
        <v/>
      </c>
      <c r="D409" s="2"/>
      <c r="E409" s="4" t="str">
        <f>IFERROR(INDEX('Araç Tanımlama'!$D$5:$D$200,MATCH(D409,'Araç Tanımlama'!$A$5:$A$200,0)),"")</f>
        <v/>
      </c>
      <c r="F409" s="4" t="str">
        <f>IFERROR(INDEX('Araç Tanımlama'!$E$5:$E$200,MATCH(D409,'Araç Tanımlama'!$A$5:$A$200,0)),"")</f>
        <v/>
      </c>
      <c r="G409" s="2"/>
      <c r="H409" s="7"/>
      <c r="I409" s="9" t="str">
        <f>IF(OR(G409="",H409=""),"",G409*H409)</f>
        <v/>
      </c>
      <c r="J409" s="2"/>
      <c r="K409" s="2"/>
    </row>
    <row r="410" spans="1:11">
      <c r="A410" s="4" t="str">
        <f>IF(D410="","",COUNTIF($D$5:D410,"?*"))</f>
        <v/>
      </c>
      <c r="B410" s="5"/>
      <c r="C410" s="4" t="str">
        <f>IF(B410="","",INDEX({"Ocak","Şubat","Mart","Nisan","Mayıs","Haziran","Temmuz","Ağustos","Eylül","Ekim","Kasım","Aralık"},MONTH(B410)))</f>
        <v/>
      </c>
      <c r="D410" s="2"/>
      <c r="E410" s="4" t="str">
        <f>IFERROR(INDEX('Araç Tanımlama'!$D$5:$D$200,MATCH(D410,'Araç Tanımlama'!$A$5:$A$200,0)),"")</f>
        <v/>
      </c>
      <c r="F410" s="4" t="str">
        <f>IFERROR(INDEX('Araç Tanımlama'!$E$5:$E$200,MATCH(D410,'Araç Tanımlama'!$A$5:$A$200,0)),"")</f>
        <v/>
      </c>
      <c r="G410" s="2"/>
      <c r="H410" s="7"/>
      <c r="I410" s="9" t="str">
        <f>IF(OR(G410="",H410=""),"",G410*H410)</f>
        <v/>
      </c>
      <c r="J410" s="2"/>
      <c r="K410" s="2"/>
    </row>
    <row r="411" spans="1:11">
      <c r="A411" s="4" t="str">
        <f>IF(D411="","",COUNTIF($D$5:D411,"?*"))</f>
        <v/>
      </c>
      <c r="B411" s="5"/>
      <c r="C411" s="4" t="str">
        <f>IF(B411="","",INDEX({"Ocak","Şubat","Mart","Nisan","Mayıs","Haziran","Temmuz","Ağustos","Eylül","Ekim","Kasım","Aralık"},MONTH(B411)))</f>
        <v/>
      </c>
      <c r="D411" s="2"/>
      <c r="E411" s="4" t="str">
        <f>IFERROR(INDEX('Araç Tanımlama'!$D$5:$D$200,MATCH(D411,'Araç Tanımlama'!$A$5:$A$200,0)),"")</f>
        <v/>
      </c>
      <c r="F411" s="4" t="str">
        <f>IFERROR(INDEX('Araç Tanımlama'!$E$5:$E$200,MATCH(D411,'Araç Tanımlama'!$A$5:$A$200,0)),"")</f>
        <v/>
      </c>
      <c r="G411" s="2"/>
      <c r="H411" s="7"/>
      <c r="I411" s="9" t="str">
        <f>IF(OR(G411="",H411=""),"",G411*H411)</f>
        <v/>
      </c>
      <c r="J411" s="2"/>
      <c r="K411" s="2"/>
    </row>
    <row r="412" spans="1:11">
      <c r="A412" s="4" t="str">
        <f>IF(D412="","",COUNTIF($D$5:D412,"?*"))</f>
        <v/>
      </c>
      <c r="B412" s="5"/>
      <c r="C412" s="4" t="str">
        <f>IF(B412="","",INDEX({"Ocak","Şubat","Mart","Nisan","Mayıs","Haziran","Temmuz","Ağustos","Eylül","Ekim","Kasım","Aralık"},MONTH(B412)))</f>
        <v/>
      </c>
      <c r="D412" s="2"/>
      <c r="E412" s="4" t="str">
        <f>IFERROR(INDEX('Araç Tanımlama'!$D$5:$D$200,MATCH(D412,'Araç Tanımlama'!$A$5:$A$200,0)),"")</f>
        <v/>
      </c>
      <c r="F412" s="4" t="str">
        <f>IFERROR(INDEX('Araç Tanımlama'!$E$5:$E$200,MATCH(D412,'Araç Tanımlama'!$A$5:$A$200,0)),"")</f>
        <v/>
      </c>
      <c r="G412" s="2"/>
      <c r="H412" s="7"/>
      <c r="I412" s="9" t="str">
        <f>IF(OR(G412="",H412=""),"",G412*H412)</f>
        <v/>
      </c>
      <c r="J412" s="2"/>
      <c r="K412" s="2"/>
    </row>
    <row r="413" spans="1:11">
      <c r="A413" s="4" t="str">
        <f>IF(D413="","",COUNTIF($D$5:D413,"?*"))</f>
        <v/>
      </c>
      <c r="B413" s="5"/>
      <c r="C413" s="4" t="str">
        <f>IF(B413="","",INDEX({"Ocak","Şubat","Mart","Nisan","Mayıs","Haziran","Temmuz","Ağustos","Eylül","Ekim","Kasım","Aralık"},MONTH(B413)))</f>
        <v/>
      </c>
      <c r="D413" s="2"/>
      <c r="E413" s="4" t="str">
        <f>IFERROR(INDEX('Araç Tanımlama'!$D$5:$D$200,MATCH(D413,'Araç Tanımlama'!$A$5:$A$200,0)),"")</f>
        <v/>
      </c>
      <c r="F413" s="4" t="str">
        <f>IFERROR(INDEX('Araç Tanımlama'!$E$5:$E$200,MATCH(D413,'Araç Tanımlama'!$A$5:$A$200,0)),"")</f>
        <v/>
      </c>
      <c r="G413" s="2"/>
      <c r="H413" s="7"/>
      <c r="I413" s="9" t="str">
        <f>IF(OR(G413="",H413=""),"",G413*H413)</f>
        <v/>
      </c>
      <c r="J413" s="2"/>
      <c r="K413" s="2"/>
    </row>
    <row r="414" spans="1:11">
      <c r="A414" s="4" t="str">
        <f>IF(D414="","",COUNTIF($D$5:D414,"?*"))</f>
        <v/>
      </c>
      <c r="B414" s="5"/>
      <c r="C414" s="4" t="str">
        <f>IF(B414="","",INDEX({"Ocak","Şubat","Mart","Nisan","Mayıs","Haziran","Temmuz","Ağustos","Eylül","Ekim","Kasım","Aralık"},MONTH(B414)))</f>
        <v/>
      </c>
      <c r="D414" s="2"/>
      <c r="E414" s="4" t="str">
        <f>IFERROR(INDEX('Araç Tanımlama'!$D$5:$D$200,MATCH(D414,'Araç Tanımlama'!$A$5:$A$200,0)),"")</f>
        <v/>
      </c>
      <c r="F414" s="4" t="str">
        <f>IFERROR(INDEX('Araç Tanımlama'!$E$5:$E$200,MATCH(D414,'Araç Tanımlama'!$A$5:$A$200,0)),"")</f>
        <v/>
      </c>
      <c r="G414" s="2"/>
      <c r="H414" s="7"/>
      <c r="I414" s="9" t="str">
        <f>IF(OR(G414="",H414=""),"",G414*H414)</f>
        <v/>
      </c>
      <c r="J414" s="2"/>
      <c r="K414" s="2"/>
    </row>
    <row r="415" spans="1:11">
      <c r="A415" s="4" t="str">
        <f>IF(D415="","",COUNTIF($D$5:D415,"?*"))</f>
        <v/>
      </c>
      <c r="B415" s="5"/>
      <c r="C415" s="4" t="str">
        <f>IF(B415="","",INDEX({"Ocak","Şubat","Mart","Nisan","Mayıs","Haziran","Temmuz","Ağustos","Eylül","Ekim","Kasım","Aralık"},MONTH(B415)))</f>
        <v/>
      </c>
      <c r="D415" s="2"/>
      <c r="E415" s="4" t="str">
        <f>IFERROR(INDEX('Araç Tanımlama'!$D$5:$D$200,MATCH(D415,'Araç Tanımlama'!$A$5:$A$200,0)),"")</f>
        <v/>
      </c>
      <c r="F415" s="4" t="str">
        <f>IFERROR(INDEX('Araç Tanımlama'!$E$5:$E$200,MATCH(D415,'Araç Tanımlama'!$A$5:$A$200,0)),"")</f>
        <v/>
      </c>
      <c r="G415" s="2"/>
      <c r="H415" s="7"/>
      <c r="I415" s="9" t="str">
        <f>IF(OR(G415="",H415=""),"",G415*H415)</f>
        <v/>
      </c>
      <c r="J415" s="2"/>
      <c r="K415" s="2"/>
    </row>
    <row r="416" spans="1:11">
      <c r="A416" s="4" t="str">
        <f>IF(D416="","",COUNTIF($D$5:D416,"?*"))</f>
        <v/>
      </c>
      <c r="B416" s="5"/>
      <c r="C416" s="4" t="str">
        <f>IF(B416="","",INDEX({"Ocak","Şubat","Mart","Nisan","Mayıs","Haziran","Temmuz","Ağustos","Eylül","Ekim","Kasım","Aralık"},MONTH(B416)))</f>
        <v/>
      </c>
      <c r="D416" s="2"/>
      <c r="E416" s="4" t="str">
        <f>IFERROR(INDEX('Araç Tanımlama'!$D$5:$D$200,MATCH(D416,'Araç Tanımlama'!$A$5:$A$200,0)),"")</f>
        <v/>
      </c>
      <c r="F416" s="4" t="str">
        <f>IFERROR(INDEX('Araç Tanımlama'!$E$5:$E$200,MATCH(D416,'Araç Tanımlama'!$A$5:$A$200,0)),"")</f>
        <v/>
      </c>
      <c r="G416" s="2"/>
      <c r="H416" s="7"/>
      <c r="I416" s="9" t="str">
        <f>IF(OR(G416="",H416=""),"",G416*H416)</f>
        <v/>
      </c>
      <c r="J416" s="2"/>
      <c r="K416" s="2"/>
    </row>
    <row r="417" spans="1:11">
      <c r="A417" s="4" t="str">
        <f>IF(D417="","",COUNTIF($D$5:D417,"?*"))</f>
        <v/>
      </c>
      <c r="B417" s="5"/>
      <c r="C417" s="4" t="str">
        <f>IF(B417="","",INDEX({"Ocak","Şubat","Mart","Nisan","Mayıs","Haziran","Temmuz","Ağustos","Eylül","Ekim","Kasım","Aralık"},MONTH(B417)))</f>
        <v/>
      </c>
      <c r="D417" s="2"/>
      <c r="E417" s="4" t="str">
        <f>IFERROR(INDEX('Araç Tanımlama'!$D$5:$D$200,MATCH(D417,'Araç Tanımlama'!$A$5:$A$200,0)),"")</f>
        <v/>
      </c>
      <c r="F417" s="4" t="str">
        <f>IFERROR(INDEX('Araç Tanımlama'!$E$5:$E$200,MATCH(D417,'Araç Tanımlama'!$A$5:$A$200,0)),"")</f>
        <v/>
      </c>
      <c r="G417" s="2"/>
      <c r="H417" s="7"/>
      <c r="I417" s="9" t="str">
        <f>IF(OR(G417="",H417=""),"",G417*H417)</f>
        <v/>
      </c>
      <c r="J417" s="2"/>
      <c r="K417" s="2"/>
    </row>
    <row r="418" spans="1:11">
      <c r="A418" s="4" t="str">
        <f>IF(D418="","",COUNTIF($D$5:D418,"?*"))</f>
        <v/>
      </c>
      <c r="B418" s="5"/>
      <c r="C418" s="4" t="str">
        <f>IF(B418="","",INDEX({"Ocak","Şubat","Mart","Nisan","Mayıs","Haziran","Temmuz","Ağustos","Eylül","Ekim","Kasım","Aralık"},MONTH(B418)))</f>
        <v/>
      </c>
      <c r="D418" s="2"/>
      <c r="E418" s="4" t="str">
        <f>IFERROR(INDEX('Araç Tanımlama'!$D$5:$D$200,MATCH(D418,'Araç Tanımlama'!$A$5:$A$200,0)),"")</f>
        <v/>
      </c>
      <c r="F418" s="4" t="str">
        <f>IFERROR(INDEX('Araç Tanımlama'!$E$5:$E$200,MATCH(D418,'Araç Tanımlama'!$A$5:$A$200,0)),"")</f>
        <v/>
      </c>
      <c r="G418" s="2"/>
      <c r="H418" s="7"/>
      <c r="I418" s="9" t="str">
        <f>IF(OR(G418="",H418=""),"",G418*H418)</f>
        <v/>
      </c>
      <c r="J418" s="2"/>
      <c r="K418" s="2"/>
    </row>
    <row r="419" spans="1:11">
      <c r="A419" s="4" t="str">
        <f>IF(D419="","",COUNTIF($D$5:D419,"?*"))</f>
        <v/>
      </c>
      <c r="B419" s="5"/>
      <c r="C419" s="4" t="str">
        <f>IF(B419="","",INDEX({"Ocak","Şubat","Mart","Nisan","Mayıs","Haziran","Temmuz","Ağustos","Eylül","Ekim","Kasım","Aralık"},MONTH(B419)))</f>
        <v/>
      </c>
      <c r="D419" s="2"/>
      <c r="E419" s="4" t="str">
        <f>IFERROR(INDEX('Araç Tanımlama'!$D$5:$D$200,MATCH(D419,'Araç Tanımlama'!$A$5:$A$200,0)),"")</f>
        <v/>
      </c>
      <c r="F419" s="4" t="str">
        <f>IFERROR(INDEX('Araç Tanımlama'!$E$5:$E$200,MATCH(D419,'Araç Tanımlama'!$A$5:$A$200,0)),"")</f>
        <v/>
      </c>
      <c r="G419" s="2"/>
      <c r="H419" s="7"/>
      <c r="I419" s="9" t="str">
        <f>IF(OR(G419="",H419=""),"",G419*H419)</f>
        <v/>
      </c>
      <c r="J419" s="2"/>
      <c r="K419" s="2"/>
    </row>
    <row r="420" spans="1:11">
      <c r="A420" s="4" t="str">
        <f>IF(D420="","",COUNTIF($D$5:D420,"?*"))</f>
        <v/>
      </c>
      <c r="B420" s="5"/>
      <c r="C420" s="4" t="str">
        <f>IF(B420="","",INDEX({"Ocak","Şubat","Mart","Nisan","Mayıs","Haziran","Temmuz","Ağustos","Eylül","Ekim","Kasım","Aralık"},MONTH(B420)))</f>
        <v/>
      </c>
      <c r="D420" s="2"/>
      <c r="E420" s="4" t="str">
        <f>IFERROR(INDEX('Araç Tanımlama'!$D$5:$D$200,MATCH(D420,'Araç Tanımlama'!$A$5:$A$200,0)),"")</f>
        <v/>
      </c>
      <c r="F420" s="4" t="str">
        <f>IFERROR(INDEX('Araç Tanımlama'!$E$5:$E$200,MATCH(D420,'Araç Tanımlama'!$A$5:$A$200,0)),"")</f>
        <v/>
      </c>
      <c r="G420" s="2"/>
      <c r="H420" s="7"/>
      <c r="I420" s="9" t="str">
        <f>IF(OR(G420="",H420=""),"",G420*H420)</f>
        <v/>
      </c>
      <c r="J420" s="2"/>
      <c r="K420" s="2"/>
    </row>
    <row r="421" spans="1:11">
      <c r="A421" s="4" t="str">
        <f>IF(D421="","",COUNTIF($D$5:D421,"?*"))</f>
        <v/>
      </c>
      <c r="B421" s="5"/>
      <c r="C421" s="4" t="str">
        <f>IF(B421="","",INDEX({"Ocak","Şubat","Mart","Nisan","Mayıs","Haziran","Temmuz","Ağustos","Eylül","Ekim","Kasım","Aralık"},MONTH(B421)))</f>
        <v/>
      </c>
      <c r="D421" s="2"/>
      <c r="E421" s="4" t="str">
        <f>IFERROR(INDEX('Araç Tanımlama'!$D$5:$D$200,MATCH(D421,'Araç Tanımlama'!$A$5:$A$200,0)),"")</f>
        <v/>
      </c>
      <c r="F421" s="4" t="str">
        <f>IFERROR(INDEX('Araç Tanımlama'!$E$5:$E$200,MATCH(D421,'Araç Tanımlama'!$A$5:$A$200,0)),"")</f>
        <v/>
      </c>
      <c r="G421" s="2"/>
      <c r="H421" s="7"/>
      <c r="I421" s="9" t="str">
        <f>IF(OR(G421="",H421=""),"",G421*H421)</f>
        <v/>
      </c>
      <c r="J421" s="2"/>
      <c r="K421" s="2"/>
    </row>
    <row r="422" spans="1:11">
      <c r="A422" s="4" t="str">
        <f>IF(D422="","",COUNTIF($D$5:D422,"?*"))</f>
        <v/>
      </c>
      <c r="B422" s="5"/>
      <c r="C422" s="4" t="str">
        <f>IF(B422="","",INDEX({"Ocak","Şubat","Mart","Nisan","Mayıs","Haziran","Temmuz","Ağustos","Eylül","Ekim","Kasım","Aralık"},MONTH(B422)))</f>
        <v/>
      </c>
      <c r="D422" s="2"/>
      <c r="E422" s="4" t="str">
        <f>IFERROR(INDEX('Araç Tanımlama'!$D$5:$D$200,MATCH(D422,'Araç Tanımlama'!$A$5:$A$200,0)),"")</f>
        <v/>
      </c>
      <c r="F422" s="4" t="str">
        <f>IFERROR(INDEX('Araç Tanımlama'!$E$5:$E$200,MATCH(D422,'Araç Tanımlama'!$A$5:$A$200,0)),"")</f>
        <v/>
      </c>
      <c r="G422" s="2"/>
      <c r="H422" s="7"/>
      <c r="I422" s="9" t="str">
        <f>IF(OR(G422="",H422=""),"",G422*H422)</f>
        <v/>
      </c>
      <c r="J422" s="2"/>
      <c r="K422" s="2"/>
    </row>
    <row r="423" spans="1:11">
      <c r="A423" s="4" t="str">
        <f>IF(D423="","",COUNTIF($D$5:D423,"?*"))</f>
        <v/>
      </c>
      <c r="B423" s="5"/>
      <c r="C423" s="4" t="str">
        <f>IF(B423="","",INDEX({"Ocak","Şubat","Mart","Nisan","Mayıs","Haziran","Temmuz","Ağustos","Eylül","Ekim","Kasım","Aralık"},MONTH(B423)))</f>
        <v/>
      </c>
      <c r="D423" s="2"/>
      <c r="E423" s="4" t="str">
        <f>IFERROR(INDEX('Araç Tanımlama'!$D$5:$D$200,MATCH(D423,'Araç Tanımlama'!$A$5:$A$200,0)),"")</f>
        <v/>
      </c>
      <c r="F423" s="4" t="str">
        <f>IFERROR(INDEX('Araç Tanımlama'!$E$5:$E$200,MATCH(D423,'Araç Tanımlama'!$A$5:$A$200,0)),"")</f>
        <v/>
      </c>
      <c r="G423" s="2"/>
      <c r="H423" s="7"/>
      <c r="I423" s="9" t="str">
        <f>IF(OR(G423="",H423=""),"",G423*H423)</f>
        <v/>
      </c>
      <c r="J423" s="2"/>
      <c r="K423" s="2"/>
    </row>
    <row r="424" spans="1:11">
      <c r="A424" s="4" t="str">
        <f>IF(D424="","",COUNTIF($D$5:D424,"?*"))</f>
        <v/>
      </c>
      <c r="B424" s="5"/>
      <c r="C424" s="4" t="str">
        <f>IF(B424="","",INDEX({"Ocak","Şubat","Mart","Nisan","Mayıs","Haziran","Temmuz","Ağustos","Eylül","Ekim","Kasım","Aralık"},MONTH(B424)))</f>
        <v/>
      </c>
      <c r="D424" s="2"/>
      <c r="E424" s="4" t="str">
        <f>IFERROR(INDEX('Araç Tanımlama'!$D$5:$D$200,MATCH(D424,'Araç Tanımlama'!$A$5:$A$200,0)),"")</f>
        <v/>
      </c>
      <c r="F424" s="4" t="str">
        <f>IFERROR(INDEX('Araç Tanımlama'!$E$5:$E$200,MATCH(D424,'Araç Tanımlama'!$A$5:$A$200,0)),"")</f>
        <v/>
      </c>
      <c r="G424" s="2"/>
      <c r="H424" s="7"/>
      <c r="I424" s="9" t="str">
        <f>IF(OR(G424="",H424=""),"",G424*H424)</f>
        <v/>
      </c>
      <c r="J424" s="2"/>
      <c r="K424" s="2"/>
    </row>
    <row r="425" spans="1:11">
      <c r="A425" s="4" t="str">
        <f>IF(D425="","",COUNTIF($D$5:D425,"?*"))</f>
        <v/>
      </c>
      <c r="B425" s="5"/>
      <c r="C425" s="4" t="str">
        <f>IF(B425="","",INDEX({"Ocak","Şubat","Mart","Nisan","Mayıs","Haziran","Temmuz","Ağustos","Eylül","Ekim","Kasım","Aralık"},MONTH(B425)))</f>
        <v/>
      </c>
      <c r="D425" s="2"/>
      <c r="E425" s="4" t="str">
        <f>IFERROR(INDEX('Araç Tanımlama'!$D$5:$D$200,MATCH(D425,'Araç Tanımlama'!$A$5:$A$200,0)),"")</f>
        <v/>
      </c>
      <c r="F425" s="4" t="str">
        <f>IFERROR(INDEX('Araç Tanımlama'!$E$5:$E$200,MATCH(D425,'Araç Tanımlama'!$A$5:$A$200,0)),"")</f>
        <v/>
      </c>
      <c r="G425" s="2"/>
      <c r="H425" s="7"/>
      <c r="I425" s="9" t="str">
        <f>IF(OR(G425="",H425=""),"",G425*H425)</f>
        <v/>
      </c>
      <c r="J425" s="2"/>
      <c r="K425" s="2"/>
    </row>
    <row r="426" spans="1:11">
      <c r="A426" s="4" t="str">
        <f>IF(D426="","",COUNTIF($D$5:D426,"?*"))</f>
        <v/>
      </c>
      <c r="B426" s="5"/>
      <c r="C426" s="4" t="str">
        <f>IF(B426="","",INDEX({"Ocak","Şubat","Mart","Nisan","Mayıs","Haziran","Temmuz","Ağustos","Eylül","Ekim","Kasım","Aralık"},MONTH(B426)))</f>
        <v/>
      </c>
      <c r="D426" s="2"/>
      <c r="E426" s="4" t="str">
        <f>IFERROR(INDEX('Araç Tanımlama'!$D$5:$D$200,MATCH(D426,'Araç Tanımlama'!$A$5:$A$200,0)),"")</f>
        <v/>
      </c>
      <c r="F426" s="4" t="str">
        <f>IFERROR(INDEX('Araç Tanımlama'!$E$5:$E$200,MATCH(D426,'Araç Tanımlama'!$A$5:$A$200,0)),"")</f>
        <v/>
      </c>
      <c r="G426" s="2"/>
      <c r="H426" s="7"/>
      <c r="I426" s="9" t="str">
        <f>IF(OR(G426="",H426=""),"",G426*H426)</f>
        <v/>
      </c>
      <c r="J426" s="2"/>
      <c r="K426" s="2"/>
    </row>
    <row r="427" spans="1:11">
      <c r="A427" s="4" t="str">
        <f>IF(D427="","",COUNTIF($D$5:D427,"?*"))</f>
        <v/>
      </c>
      <c r="B427" s="5"/>
      <c r="C427" s="4" t="str">
        <f>IF(B427="","",INDEX({"Ocak","Şubat","Mart","Nisan","Mayıs","Haziran","Temmuz","Ağustos","Eylül","Ekim","Kasım","Aralık"},MONTH(B427)))</f>
        <v/>
      </c>
      <c r="D427" s="2"/>
      <c r="E427" s="4" t="str">
        <f>IFERROR(INDEX('Araç Tanımlama'!$D$5:$D$200,MATCH(D427,'Araç Tanımlama'!$A$5:$A$200,0)),"")</f>
        <v/>
      </c>
      <c r="F427" s="4" t="str">
        <f>IFERROR(INDEX('Araç Tanımlama'!$E$5:$E$200,MATCH(D427,'Araç Tanımlama'!$A$5:$A$200,0)),"")</f>
        <v/>
      </c>
      <c r="G427" s="2"/>
      <c r="H427" s="7"/>
      <c r="I427" s="9" t="str">
        <f>IF(OR(G427="",H427=""),"",G427*H427)</f>
        <v/>
      </c>
      <c r="J427" s="2"/>
      <c r="K427" s="2"/>
    </row>
    <row r="428" spans="1:11">
      <c r="A428" s="4" t="str">
        <f>IF(D428="","",COUNTIF($D$5:D428,"?*"))</f>
        <v/>
      </c>
      <c r="B428" s="5"/>
      <c r="C428" s="4" t="str">
        <f>IF(B428="","",INDEX({"Ocak","Şubat","Mart","Nisan","Mayıs","Haziran","Temmuz","Ağustos","Eylül","Ekim","Kasım","Aralık"},MONTH(B428)))</f>
        <v/>
      </c>
      <c r="D428" s="2"/>
      <c r="E428" s="4" t="str">
        <f>IFERROR(INDEX('Araç Tanımlama'!$D$5:$D$200,MATCH(D428,'Araç Tanımlama'!$A$5:$A$200,0)),"")</f>
        <v/>
      </c>
      <c r="F428" s="4" t="str">
        <f>IFERROR(INDEX('Araç Tanımlama'!$E$5:$E$200,MATCH(D428,'Araç Tanımlama'!$A$5:$A$200,0)),"")</f>
        <v/>
      </c>
      <c r="G428" s="2"/>
      <c r="H428" s="7"/>
      <c r="I428" s="9" t="str">
        <f>IF(OR(G428="",H428=""),"",G428*H428)</f>
        <v/>
      </c>
      <c r="J428" s="2"/>
      <c r="K428" s="2"/>
    </row>
    <row r="429" spans="1:11">
      <c r="A429" s="4" t="str">
        <f>IF(D429="","",COUNTIF($D$5:D429,"?*"))</f>
        <v/>
      </c>
      <c r="B429" s="5"/>
      <c r="C429" s="4" t="str">
        <f>IF(B429="","",INDEX({"Ocak","Şubat","Mart","Nisan","Mayıs","Haziran","Temmuz","Ağustos","Eylül","Ekim","Kasım","Aralık"},MONTH(B429)))</f>
        <v/>
      </c>
      <c r="D429" s="2"/>
      <c r="E429" s="4" t="str">
        <f>IFERROR(INDEX('Araç Tanımlama'!$D$5:$D$200,MATCH(D429,'Araç Tanımlama'!$A$5:$A$200,0)),"")</f>
        <v/>
      </c>
      <c r="F429" s="4" t="str">
        <f>IFERROR(INDEX('Araç Tanımlama'!$E$5:$E$200,MATCH(D429,'Araç Tanımlama'!$A$5:$A$200,0)),"")</f>
        <v/>
      </c>
      <c r="G429" s="2"/>
      <c r="H429" s="7"/>
      <c r="I429" s="9" t="str">
        <f>IF(OR(G429="",H429=""),"",G429*H429)</f>
        <v/>
      </c>
      <c r="J429" s="2"/>
      <c r="K429" s="2"/>
    </row>
    <row r="430" spans="1:11">
      <c r="A430" s="4" t="str">
        <f>IF(D430="","",COUNTIF($D$5:D430,"?*"))</f>
        <v/>
      </c>
      <c r="B430" s="5"/>
      <c r="C430" s="4" t="str">
        <f>IF(B430="","",INDEX({"Ocak","Şubat","Mart","Nisan","Mayıs","Haziran","Temmuz","Ağustos","Eylül","Ekim","Kasım","Aralık"},MONTH(B430)))</f>
        <v/>
      </c>
      <c r="D430" s="2"/>
      <c r="E430" s="4" t="str">
        <f>IFERROR(INDEX('Araç Tanımlama'!$D$5:$D$200,MATCH(D430,'Araç Tanımlama'!$A$5:$A$200,0)),"")</f>
        <v/>
      </c>
      <c r="F430" s="4" t="str">
        <f>IFERROR(INDEX('Araç Tanımlama'!$E$5:$E$200,MATCH(D430,'Araç Tanımlama'!$A$5:$A$200,0)),"")</f>
        <v/>
      </c>
      <c r="G430" s="2"/>
      <c r="H430" s="7"/>
      <c r="I430" s="9" t="str">
        <f>IF(OR(G430="",H430=""),"",G430*H430)</f>
        <v/>
      </c>
      <c r="J430" s="2"/>
      <c r="K430" s="2"/>
    </row>
    <row r="431" spans="1:11">
      <c r="A431" s="4" t="str">
        <f>IF(D431="","",COUNTIF($D$5:D431,"?*"))</f>
        <v/>
      </c>
      <c r="B431" s="5"/>
      <c r="C431" s="4" t="str">
        <f>IF(B431="","",INDEX({"Ocak","Şubat","Mart","Nisan","Mayıs","Haziran","Temmuz","Ağustos","Eylül","Ekim","Kasım","Aralık"},MONTH(B431)))</f>
        <v/>
      </c>
      <c r="D431" s="2"/>
      <c r="E431" s="4" t="str">
        <f>IFERROR(INDEX('Araç Tanımlama'!$D$5:$D$200,MATCH(D431,'Araç Tanımlama'!$A$5:$A$200,0)),"")</f>
        <v/>
      </c>
      <c r="F431" s="4" t="str">
        <f>IFERROR(INDEX('Araç Tanımlama'!$E$5:$E$200,MATCH(D431,'Araç Tanımlama'!$A$5:$A$200,0)),"")</f>
        <v/>
      </c>
      <c r="G431" s="2"/>
      <c r="H431" s="7"/>
      <c r="I431" s="9" t="str">
        <f>IF(OR(G431="",H431=""),"",G431*H431)</f>
        <v/>
      </c>
      <c r="J431" s="2"/>
      <c r="K431" s="2"/>
    </row>
    <row r="432" spans="1:11">
      <c r="A432" s="4" t="str">
        <f>IF(D432="","",COUNTIF($D$5:D432,"?*"))</f>
        <v/>
      </c>
      <c r="B432" s="5"/>
      <c r="C432" s="4" t="str">
        <f>IF(B432="","",INDEX({"Ocak","Şubat","Mart","Nisan","Mayıs","Haziran","Temmuz","Ağustos","Eylül","Ekim","Kasım","Aralık"},MONTH(B432)))</f>
        <v/>
      </c>
      <c r="D432" s="2"/>
      <c r="E432" s="4" t="str">
        <f>IFERROR(INDEX('Araç Tanımlama'!$D$5:$D$200,MATCH(D432,'Araç Tanımlama'!$A$5:$A$200,0)),"")</f>
        <v/>
      </c>
      <c r="F432" s="4" t="str">
        <f>IFERROR(INDEX('Araç Tanımlama'!$E$5:$E$200,MATCH(D432,'Araç Tanımlama'!$A$5:$A$200,0)),"")</f>
        <v/>
      </c>
      <c r="G432" s="2"/>
      <c r="H432" s="7"/>
      <c r="I432" s="9" t="str">
        <f>IF(OR(G432="",H432=""),"",G432*H432)</f>
        <v/>
      </c>
      <c r="J432" s="2"/>
      <c r="K432" s="2"/>
    </row>
    <row r="433" spans="1:11">
      <c r="A433" s="4" t="str">
        <f>IF(D433="","",COUNTIF($D$5:D433,"?*"))</f>
        <v/>
      </c>
      <c r="B433" s="5"/>
      <c r="C433" s="4" t="str">
        <f>IF(B433="","",INDEX({"Ocak","Şubat","Mart","Nisan","Mayıs","Haziran","Temmuz","Ağustos","Eylül","Ekim","Kasım","Aralık"},MONTH(B433)))</f>
        <v/>
      </c>
      <c r="D433" s="2"/>
      <c r="E433" s="4" t="str">
        <f>IFERROR(INDEX('Araç Tanımlama'!$D$5:$D$200,MATCH(D433,'Araç Tanımlama'!$A$5:$A$200,0)),"")</f>
        <v/>
      </c>
      <c r="F433" s="4" t="str">
        <f>IFERROR(INDEX('Araç Tanımlama'!$E$5:$E$200,MATCH(D433,'Araç Tanımlama'!$A$5:$A$200,0)),"")</f>
        <v/>
      </c>
      <c r="G433" s="2"/>
      <c r="H433" s="7"/>
      <c r="I433" s="9" t="str">
        <f>IF(OR(G433="",H433=""),"",G433*H433)</f>
        <v/>
      </c>
      <c r="J433" s="2"/>
      <c r="K433" s="2"/>
    </row>
    <row r="434" spans="1:11">
      <c r="A434" s="4" t="str">
        <f>IF(D434="","",COUNTIF($D$5:D434,"?*"))</f>
        <v/>
      </c>
      <c r="B434" s="5"/>
      <c r="C434" s="4" t="str">
        <f>IF(B434="","",INDEX({"Ocak","Şubat","Mart","Nisan","Mayıs","Haziran","Temmuz","Ağustos","Eylül","Ekim","Kasım","Aralık"},MONTH(B434)))</f>
        <v/>
      </c>
      <c r="D434" s="2"/>
      <c r="E434" s="4" t="str">
        <f>IFERROR(INDEX('Araç Tanımlama'!$D$5:$D$200,MATCH(D434,'Araç Tanımlama'!$A$5:$A$200,0)),"")</f>
        <v/>
      </c>
      <c r="F434" s="4" t="str">
        <f>IFERROR(INDEX('Araç Tanımlama'!$E$5:$E$200,MATCH(D434,'Araç Tanımlama'!$A$5:$A$200,0)),"")</f>
        <v/>
      </c>
      <c r="G434" s="2"/>
      <c r="H434" s="7"/>
      <c r="I434" s="9" t="str">
        <f>IF(OR(G434="",H434=""),"",G434*H434)</f>
        <v/>
      </c>
      <c r="J434" s="2"/>
      <c r="K434" s="2"/>
    </row>
    <row r="435" spans="1:11">
      <c r="A435" s="4" t="str">
        <f>IF(D435="","",COUNTIF($D$5:D435,"?*"))</f>
        <v/>
      </c>
      <c r="B435" s="5"/>
      <c r="C435" s="4" t="str">
        <f>IF(B435="","",INDEX({"Ocak","Şubat","Mart","Nisan","Mayıs","Haziran","Temmuz","Ağustos","Eylül","Ekim","Kasım","Aralık"},MONTH(B435)))</f>
        <v/>
      </c>
      <c r="D435" s="2"/>
      <c r="E435" s="4" t="str">
        <f>IFERROR(INDEX('Araç Tanımlama'!$D$5:$D$200,MATCH(D435,'Araç Tanımlama'!$A$5:$A$200,0)),"")</f>
        <v/>
      </c>
      <c r="F435" s="4" t="str">
        <f>IFERROR(INDEX('Araç Tanımlama'!$E$5:$E$200,MATCH(D435,'Araç Tanımlama'!$A$5:$A$200,0)),"")</f>
        <v/>
      </c>
      <c r="G435" s="2"/>
      <c r="H435" s="7"/>
      <c r="I435" s="9" t="str">
        <f>IF(OR(G435="",H435=""),"",G435*H435)</f>
        <v/>
      </c>
      <c r="J435" s="2"/>
      <c r="K435" s="2"/>
    </row>
    <row r="436" spans="1:11">
      <c r="A436" s="4" t="str">
        <f>IF(D436="","",COUNTIF($D$5:D436,"?*"))</f>
        <v/>
      </c>
      <c r="B436" s="5"/>
      <c r="C436" s="4" t="str">
        <f>IF(B436="","",INDEX({"Ocak","Şubat","Mart","Nisan","Mayıs","Haziran","Temmuz","Ağustos","Eylül","Ekim","Kasım","Aralık"},MONTH(B436)))</f>
        <v/>
      </c>
      <c r="D436" s="2"/>
      <c r="E436" s="4" t="str">
        <f>IFERROR(INDEX('Araç Tanımlama'!$D$5:$D$200,MATCH(D436,'Araç Tanımlama'!$A$5:$A$200,0)),"")</f>
        <v/>
      </c>
      <c r="F436" s="4" t="str">
        <f>IFERROR(INDEX('Araç Tanımlama'!$E$5:$E$200,MATCH(D436,'Araç Tanımlama'!$A$5:$A$200,0)),"")</f>
        <v/>
      </c>
      <c r="G436" s="2"/>
      <c r="H436" s="7"/>
      <c r="I436" s="9" t="str">
        <f>IF(OR(G436="",H436=""),"",G436*H436)</f>
        <v/>
      </c>
      <c r="J436" s="2"/>
      <c r="K436" s="2"/>
    </row>
    <row r="437" spans="1:11">
      <c r="A437" s="4" t="str">
        <f>IF(D437="","",COUNTIF($D$5:D437,"?*"))</f>
        <v/>
      </c>
      <c r="B437" s="5"/>
      <c r="C437" s="4" t="str">
        <f>IF(B437="","",INDEX({"Ocak","Şubat","Mart","Nisan","Mayıs","Haziran","Temmuz","Ağustos","Eylül","Ekim","Kasım","Aralık"},MONTH(B437)))</f>
        <v/>
      </c>
      <c r="D437" s="2"/>
      <c r="E437" s="4" t="str">
        <f>IFERROR(INDEX('Araç Tanımlama'!$D$5:$D$200,MATCH(D437,'Araç Tanımlama'!$A$5:$A$200,0)),"")</f>
        <v/>
      </c>
      <c r="F437" s="4" t="str">
        <f>IFERROR(INDEX('Araç Tanımlama'!$E$5:$E$200,MATCH(D437,'Araç Tanımlama'!$A$5:$A$200,0)),"")</f>
        <v/>
      </c>
      <c r="G437" s="2"/>
      <c r="H437" s="7"/>
      <c r="I437" s="9" t="str">
        <f>IF(OR(G437="",H437=""),"",G437*H437)</f>
        <v/>
      </c>
      <c r="J437" s="2"/>
      <c r="K437" s="2"/>
    </row>
    <row r="438" spans="1:11">
      <c r="A438" s="4" t="str">
        <f>IF(D438="","",COUNTIF($D$5:D438,"?*"))</f>
        <v/>
      </c>
      <c r="B438" s="5"/>
      <c r="C438" s="4" t="str">
        <f>IF(B438="","",INDEX({"Ocak","Şubat","Mart","Nisan","Mayıs","Haziran","Temmuz","Ağustos","Eylül","Ekim","Kasım","Aralık"},MONTH(B438)))</f>
        <v/>
      </c>
      <c r="D438" s="2"/>
      <c r="E438" s="4" t="str">
        <f>IFERROR(INDEX('Araç Tanımlama'!$D$5:$D$200,MATCH(D438,'Araç Tanımlama'!$A$5:$A$200,0)),"")</f>
        <v/>
      </c>
      <c r="F438" s="4" t="str">
        <f>IFERROR(INDEX('Araç Tanımlama'!$E$5:$E$200,MATCH(D438,'Araç Tanımlama'!$A$5:$A$200,0)),"")</f>
        <v/>
      </c>
      <c r="G438" s="2"/>
      <c r="H438" s="7"/>
      <c r="I438" s="9" t="str">
        <f>IF(OR(G438="",H438=""),"",G438*H438)</f>
        <v/>
      </c>
      <c r="J438" s="2"/>
      <c r="K438" s="2"/>
    </row>
    <row r="439" spans="1:11">
      <c r="A439" s="4" t="str">
        <f>IF(D439="","",COUNTIF($D$5:D439,"?*"))</f>
        <v/>
      </c>
      <c r="B439" s="5"/>
      <c r="C439" s="4" t="str">
        <f>IF(B439="","",INDEX({"Ocak","Şubat","Mart","Nisan","Mayıs","Haziran","Temmuz","Ağustos","Eylül","Ekim","Kasım","Aralık"},MONTH(B439)))</f>
        <v/>
      </c>
      <c r="D439" s="2"/>
      <c r="E439" s="4" t="str">
        <f>IFERROR(INDEX('Araç Tanımlama'!$D$5:$D$200,MATCH(D439,'Araç Tanımlama'!$A$5:$A$200,0)),"")</f>
        <v/>
      </c>
      <c r="F439" s="4" t="str">
        <f>IFERROR(INDEX('Araç Tanımlama'!$E$5:$E$200,MATCH(D439,'Araç Tanımlama'!$A$5:$A$200,0)),"")</f>
        <v/>
      </c>
      <c r="G439" s="2"/>
      <c r="H439" s="7"/>
      <c r="I439" s="9" t="str">
        <f>IF(OR(G439="",H439=""),"",G439*H439)</f>
        <v/>
      </c>
      <c r="J439" s="2"/>
      <c r="K439" s="2"/>
    </row>
    <row r="440" spans="1:11">
      <c r="A440" s="4" t="str">
        <f>IF(D440="","",COUNTIF($D$5:D440,"?*"))</f>
        <v/>
      </c>
      <c r="B440" s="5"/>
      <c r="C440" s="4" t="str">
        <f>IF(B440="","",INDEX({"Ocak","Şubat","Mart","Nisan","Mayıs","Haziran","Temmuz","Ağustos","Eylül","Ekim","Kasım","Aralık"},MONTH(B440)))</f>
        <v/>
      </c>
      <c r="D440" s="2"/>
      <c r="E440" s="4" t="str">
        <f>IFERROR(INDEX('Araç Tanımlama'!$D$5:$D$200,MATCH(D440,'Araç Tanımlama'!$A$5:$A$200,0)),"")</f>
        <v/>
      </c>
      <c r="F440" s="4" t="str">
        <f>IFERROR(INDEX('Araç Tanımlama'!$E$5:$E$200,MATCH(D440,'Araç Tanımlama'!$A$5:$A$200,0)),"")</f>
        <v/>
      </c>
      <c r="G440" s="2"/>
      <c r="H440" s="7"/>
      <c r="I440" s="9" t="str">
        <f>IF(OR(G440="",H440=""),"",G440*H440)</f>
        <v/>
      </c>
      <c r="J440" s="2"/>
      <c r="K440" s="2"/>
    </row>
    <row r="441" spans="1:11">
      <c r="A441" s="4" t="str">
        <f>IF(D441="","",COUNTIF($D$5:D441,"?*"))</f>
        <v/>
      </c>
      <c r="B441" s="5"/>
      <c r="C441" s="4" t="str">
        <f>IF(B441="","",INDEX({"Ocak","Şubat","Mart","Nisan","Mayıs","Haziran","Temmuz","Ağustos","Eylül","Ekim","Kasım","Aralık"},MONTH(B441)))</f>
        <v/>
      </c>
      <c r="D441" s="2"/>
      <c r="E441" s="4" t="str">
        <f>IFERROR(INDEX('Araç Tanımlama'!$D$5:$D$200,MATCH(D441,'Araç Tanımlama'!$A$5:$A$200,0)),"")</f>
        <v/>
      </c>
      <c r="F441" s="4" t="str">
        <f>IFERROR(INDEX('Araç Tanımlama'!$E$5:$E$200,MATCH(D441,'Araç Tanımlama'!$A$5:$A$200,0)),"")</f>
        <v/>
      </c>
      <c r="G441" s="2"/>
      <c r="H441" s="7"/>
      <c r="I441" s="9" t="str">
        <f>IF(OR(G441="",H441=""),"",G441*H441)</f>
        <v/>
      </c>
      <c r="J441" s="2"/>
      <c r="K441" s="2"/>
    </row>
    <row r="442" spans="1:11">
      <c r="A442" s="4" t="str">
        <f>IF(D442="","",COUNTIF($D$5:D442,"?*"))</f>
        <v/>
      </c>
      <c r="B442" s="5"/>
      <c r="C442" s="4" t="str">
        <f>IF(B442="","",INDEX({"Ocak","Şubat","Mart","Nisan","Mayıs","Haziran","Temmuz","Ağustos","Eylül","Ekim","Kasım","Aralık"},MONTH(B442)))</f>
        <v/>
      </c>
      <c r="D442" s="2"/>
      <c r="E442" s="4" t="str">
        <f>IFERROR(INDEX('Araç Tanımlama'!$D$5:$D$200,MATCH(D442,'Araç Tanımlama'!$A$5:$A$200,0)),"")</f>
        <v/>
      </c>
      <c r="F442" s="4" t="str">
        <f>IFERROR(INDEX('Araç Tanımlama'!$E$5:$E$200,MATCH(D442,'Araç Tanımlama'!$A$5:$A$200,0)),"")</f>
        <v/>
      </c>
      <c r="G442" s="2"/>
      <c r="H442" s="7"/>
      <c r="I442" s="9" t="str">
        <f>IF(OR(G442="",H442=""),"",G442*H442)</f>
        <v/>
      </c>
      <c r="J442" s="2"/>
      <c r="K442" s="2"/>
    </row>
    <row r="443" spans="1:11">
      <c r="A443" s="4" t="str">
        <f>IF(D443="","",COUNTIF($D$5:D443,"?*"))</f>
        <v/>
      </c>
      <c r="B443" s="5"/>
      <c r="C443" s="4" t="str">
        <f>IF(B443="","",INDEX({"Ocak","Şubat","Mart","Nisan","Mayıs","Haziran","Temmuz","Ağustos","Eylül","Ekim","Kasım","Aralık"},MONTH(B443)))</f>
        <v/>
      </c>
      <c r="D443" s="2"/>
      <c r="E443" s="4" t="str">
        <f>IFERROR(INDEX('Araç Tanımlama'!$D$5:$D$200,MATCH(D443,'Araç Tanımlama'!$A$5:$A$200,0)),"")</f>
        <v/>
      </c>
      <c r="F443" s="4" t="str">
        <f>IFERROR(INDEX('Araç Tanımlama'!$E$5:$E$200,MATCH(D443,'Araç Tanımlama'!$A$5:$A$200,0)),"")</f>
        <v/>
      </c>
      <c r="G443" s="2"/>
      <c r="H443" s="7"/>
      <c r="I443" s="9" t="str">
        <f>IF(OR(G443="",H443=""),"",G443*H443)</f>
        <v/>
      </c>
      <c r="J443" s="2"/>
      <c r="K443" s="2"/>
    </row>
    <row r="444" spans="1:11">
      <c r="A444" s="4" t="str">
        <f>IF(D444="","",COUNTIF($D$5:D444,"?*"))</f>
        <v/>
      </c>
      <c r="B444" s="5"/>
      <c r="C444" s="4" t="str">
        <f>IF(B444="","",INDEX({"Ocak","Şubat","Mart","Nisan","Mayıs","Haziran","Temmuz","Ağustos","Eylül","Ekim","Kasım","Aralık"},MONTH(B444)))</f>
        <v/>
      </c>
      <c r="D444" s="2"/>
      <c r="E444" s="4" t="str">
        <f>IFERROR(INDEX('Araç Tanımlama'!$D$5:$D$200,MATCH(D444,'Araç Tanımlama'!$A$5:$A$200,0)),"")</f>
        <v/>
      </c>
      <c r="F444" s="4" t="str">
        <f>IFERROR(INDEX('Araç Tanımlama'!$E$5:$E$200,MATCH(D444,'Araç Tanımlama'!$A$5:$A$200,0)),"")</f>
        <v/>
      </c>
      <c r="G444" s="2"/>
      <c r="H444" s="7"/>
      <c r="I444" s="9" t="str">
        <f>IF(OR(G444="",H444=""),"",G444*H444)</f>
        <v/>
      </c>
      <c r="J444" s="2"/>
      <c r="K444" s="2"/>
    </row>
    <row r="445" spans="1:11">
      <c r="A445" s="4" t="str">
        <f>IF(D445="","",COUNTIF($D$5:D445,"?*"))</f>
        <v/>
      </c>
      <c r="B445" s="5"/>
      <c r="C445" s="4" t="str">
        <f>IF(B445="","",INDEX({"Ocak","Şubat","Mart","Nisan","Mayıs","Haziran","Temmuz","Ağustos","Eylül","Ekim","Kasım","Aralık"},MONTH(B445)))</f>
        <v/>
      </c>
      <c r="D445" s="2"/>
      <c r="E445" s="4" t="str">
        <f>IFERROR(INDEX('Araç Tanımlama'!$D$5:$D$200,MATCH(D445,'Araç Tanımlama'!$A$5:$A$200,0)),"")</f>
        <v/>
      </c>
      <c r="F445" s="4" t="str">
        <f>IFERROR(INDEX('Araç Tanımlama'!$E$5:$E$200,MATCH(D445,'Araç Tanımlama'!$A$5:$A$200,0)),"")</f>
        <v/>
      </c>
      <c r="G445" s="2"/>
      <c r="H445" s="7"/>
      <c r="I445" s="9" t="str">
        <f>IF(OR(G445="",H445=""),"",G445*H445)</f>
        <v/>
      </c>
      <c r="J445" s="2"/>
      <c r="K445" s="2"/>
    </row>
    <row r="446" spans="1:11">
      <c r="A446" s="4" t="str">
        <f>IF(D446="","",COUNTIF($D$5:D446,"?*"))</f>
        <v/>
      </c>
      <c r="B446" s="5"/>
      <c r="C446" s="4" t="str">
        <f>IF(B446="","",INDEX({"Ocak","Şubat","Mart","Nisan","Mayıs","Haziran","Temmuz","Ağustos","Eylül","Ekim","Kasım","Aralık"},MONTH(B446)))</f>
        <v/>
      </c>
      <c r="D446" s="2"/>
      <c r="E446" s="4" t="str">
        <f>IFERROR(INDEX('Araç Tanımlama'!$D$5:$D$200,MATCH(D446,'Araç Tanımlama'!$A$5:$A$200,0)),"")</f>
        <v/>
      </c>
      <c r="F446" s="4" t="str">
        <f>IFERROR(INDEX('Araç Tanımlama'!$E$5:$E$200,MATCH(D446,'Araç Tanımlama'!$A$5:$A$200,0)),"")</f>
        <v/>
      </c>
      <c r="G446" s="2"/>
      <c r="H446" s="7"/>
      <c r="I446" s="9" t="str">
        <f>IF(OR(G446="",H446=""),"",G446*H446)</f>
        <v/>
      </c>
      <c r="J446" s="2"/>
      <c r="K446" s="2"/>
    </row>
    <row r="447" spans="1:11">
      <c r="A447" s="4" t="str">
        <f>IF(D447="","",COUNTIF($D$5:D447,"?*"))</f>
        <v/>
      </c>
      <c r="B447" s="5"/>
      <c r="C447" s="4" t="str">
        <f>IF(B447="","",INDEX({"Ocak","Şubat","Mart","Nisan","Mayıs","Haziran","Temmuz","Ağustos","Eylül","Ekim","Kasım","Aralık"},MONTH(B447)))</f>
        <v/>
      </c>
      <c r="D447" s="2"/>
      <c r="E447" s="4" t="str">
        <f>IFERROR(INDEX('Araç Tanımlama'!$D$5:$D$200,MATCH(D447,'Araç Tanımlama'!$A$5:$A$200,0)),"")</f>
        <v/>
      </c>
      <c r="F447" s="4" t="str">
        <f>IFERROR(INDEX('Araç Tanımlama'!$E$5:$E$200,MATCH(D447,'Araç Tanımlama'!$A$5:$A$200,0)),"")</f>
        <v/>
      </c>
      <c r="G447" s="2"/>
      <c r="H447" s="7"/>
      <c r="I447" s="9" t="str">
        <f>IF(OR(G447="",H447=""),"",G447*H447)</f>
        <v/>
      </c>
      <c r="J447" s="2"/>
      <c r="K447" s="2"/>
    </row>
    <row r="448" spans="1:11">
      <c r="A448" s="4" t="str">
        <f>IF(D448="","",COUNTIF($D$5:D448,"?*"))</f>
        <v/>
      </c>
      <c r="B448" s="5"/>
      <c r="C448" s="4" t="str">
        <f>IF(B448="","",INDEX({"Ocak","Şubat","Mart","Nisan","Mayıs","Haziran","Temmuz","Ağustos","Eylül","Ekim","Kasım","Aralık"},MONTH(B448)))</f>
        <v/>
      </c>
      <c r="D448" s="2"/>
      <c r="E448" s="4" t="str">
        <f>IFERROR(INDEX('Araç Tanımlama'!$D$5:$D$200,MATCH(D448,'Araç Tanımlama'!$A$5:$A$200,0)),"")</f>
        <v/>
      </c>
      <c r="F448" s="4" t="str">
        <f>IFERROR(INDEX('Araç Tanımlama'!$E$5:$E$200,MATCH(D448,'Araç Tanımlama'!$A$5:$A$200,0)),"")</f>
        <v/>
      </c>
      <c r="G448" s="2"/>
      <c r="H448" s="7"/>
      <c r="I448" s="9" t="str">
        <f>IF(OR(G448="",H448=""),"",G448*H448)</f>
        <v/>
      </c>
      <c r="J448" s="2"/>
      <c r="K448" s="2"/>
    </row>
    <row r="449" spans="1:11">
      <c r="A449" s="4" t="str">
        <f>IF(D449="","",COUNTIF($D$5:D449,"?*"))</f>
        <v/>
      </c>
      <c r="B449" s="5"/>
      <c r="C449" s="4" t="str">
        <f>IF(B449="","",INDEX({"Ocak","Şubat","Mart","Nisan","Mayıs","Haziran","Temmuz","Ağustos","Eylül","Ekim","Kasım","Aralık"},MONTH(B449)))</f>
        <v/>
      </c>
      <c r="D449" s="2"/>
      <c r="E449" s="4" t="str">
        <f>IFERROR(INDEX('Araç Tanımlama'!$D$5:$D$200,MATCH(D449,'Araç Tanımlama'!$A$5:$A$200,0)),"")</f>
        <v/>
      </c>
      <c r="F449" s="4" t="str">
        <f>IFERROR(INDEX('Araç Tanımlama'!$E$5:$E$200,MATCH(D449,'Araç Tanımlama'!$A$5:$A$200,0)),"")</f>
        <v/>
      </c>
      <c r="G449" s="2"/>
      <c r="H449" s="7"/>
      <c r="I449" s="9" t="str">
        <f>IF(OR(G449="",H449=""),"",G449*H449)</f>
        <v/>
      </c>
      <c r="J449" s="2"/>
      <c r="K449" s="2"/>
    </row>
    <row r="450" spans="1:11">
      <c r="A450" s="4" t="str">
        <f>IF(D450="","",COUNTIF($D$5:D450,"?*"))</f>
        <v/>
      </c>
      <c r="B450" s="5"/>
      <c r="C450" s="4" t="str">
        <f>IF(B450="","",INDEX({"Ocak","Şubat","Mart","Nisan","Mayıs","Haziran","Temmuz","Ağustos","Eylül","Ekim","Kasım","Aralık"},MONTH(B450)))</f>
        <v/>
      </c>
      <c r="D450" s="2"/>
      <c r="E450" s="4" t="str">
        <f>IFERROR(INDEX('Araç Tanımlama'!$D$5:$D$200,MATCH(D450,'Araç Tanımlama'!$A$5:$A$200,0)),"")</f>
        <v/>
      </c>
      <c r="F450" s="4" t="str">
        <f>IFERROR(INDEX('Araç Tanımlama'!$E$5:$E$200,MATCH(D450,'Araç Tanımlama'!$A$5:$A$200,0)),"")</f>
        <v/>
      </c>
      <c r="G450" s="2"/>
      <c r="H450" s="7"/>
      <c r="I450" s="9" t="str">
        <f>IF(OR(G450="",H450=""),"",G450*H450)</f>
        <v/>
      </c>
      <c r="J450" s="2"/>
      <c r="K450" s="2"/>
    </row>
    <row r="451" spans="1:11">
      <c r="A451" s="4" t="str">
        <f>IF(D451="","",COUNTIF($D$5:D451,"?*"))</f>
        <v/>
      </c>
      <c r="B451" s="5"/>
      <c r="C451" s="4" t="str">
        <f>IF(B451="","",INDEX({"Ocak","Şubat","Mart","Nisan","Mayıs","Haziran","Temmuz","Ağustos","Eylül","Ekim","Kasım","Aralık"},MONTH(B451)))</f>
        <v/>
      </c>
      <c r="D451" s="2"/>
      <c r="E451" s="4" t="str">
        <f>IFERROR(INDEX('Araç Tanımlama'!$D$5:$D$200,MATCH(D451,'Araç Tanımlama'!$A$5:$A$200,0)),"")</f>
        <v/>
      </c>
      <c r="F451" s="4" t="str">
        <f>IFERROR(INDEX('Araç Tanımlama'!$E$5:$E$200,MATCH(D451,'Araç Tanımlama'!$A$5:$A$200,0)),"")</f>
        <v/>
      </c>
      <c r="G451" s="2"/>
      <c r="H451" s="7"/>
      <c r="I451" s="9" t="str">
        <f>IF(OR(G451="",H451=""),"",G451*H451)</f>
        <v/>
      </c>
      <c r="J451" s="2"/>
      <c r="K451" s="2"/>
    </row>
    <row r="452" spans="1:11">
      <c r="A452" s="4" t="str">
        <f>IF(D452="","",COUNTIF($D$5:D452,"?*"))</f>
        <v/>
      </c>
      <c r="B452" s="5"/>
      <c r="C452" s="4" t="str">
        <f>IF(B452="","",INDEX({"Ocak","Şubat","Mart","Nisan","Mayıs","Haziran","Temmuz","Ağustos","Eylül","Ekim","Kasım","Aralık"},MONTH(B452)))</f>
        <v/>
      </c>
      <c r="D452" s="2"/>
      <c r="E452" s="4" t="str">
        <f>IFERROR(INDEX('Araç Tanımlama'!$D$5:$D$200,MATCH(D452,'Araç Tanımlama'!$A$5:$A$200,0)),"")</f>
        <v/>
      </c>
      <c r="F452" s="4" t="str">
        <f>IFERROR(INDEX('Araç Tanımlama'!$E$5:$E$200,MATCH(D452,'Araç Tanımlama'!$A$5:$A$200,0)),"")</f>
        <v/>
      </c>
      <c r="G452" s="2"/>
      <c r="H452" s="7"/>
      <c r="I452" s="9" t="str">
        <f>IF(OR(G452="",H452=""),"",G452*H452)</f>
        <v/>
      </c>
      <c r="J452" s="2"/>
      <c r="K452" s="2"/>
    </row>
    <row r="453" spans="1:11">
      <c r="A453" s="4" t="str">
        <f>IF(D453="","",COUNTIF($D$5:D453,"?*"))</f>
        <v/>
      </c>
      <c r="B453" s="5"/>
      <c r="C453" s="4" t="str">
        <f>IF(B453="","",INDEX({"Ocak","Şubat","Mart","Nisan","Mayıs","Haziran","Temmuz","Ağustos","Eylül","Ekim","Kasım","Aralık"},MONTH(B453)))</f>
        <v/>
      </c>
      <c r="D453" s="2"/>
      <c r="E453" s="4" t="str">
        <f>IFERROR(INDEX('Araç Tanımlama'!$D$5:$D$200,MATCH(D453,'Araç Tanımlama'!$A$5:$A$200,0)),"")</f>
        <v/>
      </c>
      <c r="F453" s="4" t="str">
        <f>IFERROR(INDEX('Araç Tanımlama'!$E$5:$E$200,MATCH(D453,'Araç Tanımlama'!$A$5:$A$200,0)),"")</f>
        <v/>
      </c>
      <c r="G453" s="2"/>
      <c r="H453" s="7"/>
      <c r="I453" s="9" t="str">
        <f>IF(OR(G453="",H453=""),"",G453*H453)</f>
        <v/>
      </c>
      <c r="J453" s="2"/>
      <c r="K453" s="2"/>
    </row>
    <row r="454" spans="1:11">
      <c r="A454" s="4" t="str">
        <f>IF(D454="","",COUNTIF($D$5:D454,"?*"))</f>
        <v/>
      </c>
      <c r="B454" s="5"/>
      <c r="C454" s="4" t="str">
        <f>IF(B454="","",INDEX({"Ocak","Şubat","Mart","Nisan","Mayıs","Haziran","Temmuz","Ağustos","Eylül","Ekim","Kasım","Aralık"},MONTH(B454)))</f>
        <v/>
      </c>
      <c r="D454" s="2"/>
      <c r="E454" s="4" t="str">
        <f>IFERROR(INDEX('Araç Tanımlama'!$D$5:$D$200,MATCH(D454,'Araç Tanımlama'!$A$5:$A$200,0)),"")</f>
        <v/>
      </c>
      <c r="F454" s="4" t="str">
        <f>IFERROR(INDEX('Araç Tanımlama'!$E$5:$E$200,MATCH(D454,'Araç Tanımlama'!$A$5:$A$200,0)),"")</f>
        <v/>
      </c>
      <c r="G454" s="2"/>
      <c r="H454" s="7"/>
      <c r="I454" s="9" t="str">
        <f>IF(OR(G454="",H454=""),"",G454*H454)</f>
        <v/>
      </c>
      <c r="J454" s="2"/>
      <c r="K454" s="2"/>
    </row>
    <row r="455" spans="1:11">
      <c r="A455" s="4" t="str">
        <f>IF(D455="","",COUNTIF($D$5:D455,"?*"))</f>
        <v/>
      </c>
      <c r="B455" s="5"/>
      <c r="C455" s="4" t="str">
        <f>IF(B455="","",INDEX({"Ocak","Şubat","Mart","Nisan","Mayıs","Haziran","Temmuz","Ağustos","Eylül","Ekim","Kasım","Aralık"},MONTH(B455)))</f>
        <v/>
      </c>
      <c r="D455" s="2"/>
      <c r="E455" s="4" t="str">
        <f>IFERROR(INDEX('Araç Tanımlama'!$D$5:$D$200,MATCH(D455,'Araç Tanımlama'!$A$5:$A$200,0)),"")</f>
        <v/>
      </c>
      <c r="F455" s="4" t="str">
        <f>IFERROR(INDEX('Araç Tanımlama'!$E$5:$E$200,MATCH(D455,'Araç Tanımlama'!$A$5:$A$200,0)),"")</f>
        <v/>
      </c>
      <c r="G455" s="2"/>
      <c r="H455" s="7"/>
      <c r="I455" s="9" t="str">
        <f>IF(OR(G455="",H455=""),"",G455*H455)</f>
        <v/>
      </c>
      <c r="J455" s="2"/>
      <c r="K455" s="2"/>
    </row>
    <row r="456" spans="1:11">
      <c r="A456" s="4" t="str">
        <f>IF(D456="","",COUNTIF($D$5:D456,"?*"))</f>
        <v/>
      </c>
      <c r="B456" s="5"/>
      <c r="C456" s="4" t="str">
        <f>IF(B456="","",INDEX({"Ocak","Şubat","Mart","Nisan","Mayıs","Haziran","Temmuz","Ağustos","Eylül","Ekim","Kasım","Aralık"},MONTH(B456)))</f>
        <v/>
      </c>
      <c r="D456" s="2"/>
      <c r="E456" s="4" t="str">
        <f>IFERROR(INDEX('Araç Tanımlama'!$D$5:$D$200,MATCH(D456,'Araç Tanımlama'!$A$5:$A$200,0)),"")</f>
        <v/>
      </c>
      <c r="F456" s="4" t="str">
        <f>IFERROR(INDEX('Araç Tanımlama'!$E$5:$E$200,MATCH(D456,'Araç Tanımlama'!$A$5:$A$200,0)),"")</f>
        <v/>
      </c>
      <c r="G456" s="2"/>
      <c r="H456" s="7"/>
      <c r="I456" s="9" t="str">
        <f>IF(OR(G456="",H456=""),"",G456*H456)</f>
        <v/>
      </c>
      <c r="J456" s="2"/>
      <c r="K456" s="2"/>
    </row>
    <row r="457" spans="1:11">
      <c r="A457" s="4" t="str">
        <f>IF(D457="","",COUNTIF($D$5:D457,"?*"))</f>
        <v/>
      </c>
      <c r="B457" s="5"/>
      <c r="C457" s="4" t="str">
        <f>IF(B457="","",INDEX({"Ocak","Şubat","Mart","Nisan","Mayıs","Haziran","Temmuz","Ağustos","Eylül","Ekim","Kasım","Aralık"},MONTH(B457)))</f>
        <v/>
      </c>
      <c r="D457" s="2"/>
      <c r="E457" s="4" t="str">
        <f>IFERROR(INDEX('Araç Tanımlama'!$D$5:$D$200,MATCH(D457,'Araç Tanımlama'!$A$5:$A$200,0)),"")</f>
        <v/>
      </c>
      <c r="F457" s="4" t="str">
        <f>IFERROR(INDEX('Araç Tanımlama'!$E$5:$E$200,MATCH(D457,'Araç Tanımlama'!$A$5:$A$200,0)),"")</f>
        <v/>
      </c>
      <c r="G457" s="2"/>
      <c r="H457" s="7"/>
      <c r="I457" s="9" t="str">
        <f>IF(OR(G457="",H457=""),"",G457*H457)</f>
        <v/>
      </c>
      <c r="J457" s="2"/>
      <c r="K457" s="2"/>
    </row>
    <row r="458" spans="1:11">
      <c r="A458" s="4" t="str">
        <f>IF(D458="","",COUNTIF($D$5:D458,"?*"))</f>
        <v/>
      </c>
      <c r="B458" s="5"/>
      <c r="C458" s="4" t="str">
        <f>IF(B458="","",INDEX({"Ocak","Şubat","Mart","Nisan","Mayıs","Haziran","Temmuz","Ağustos","Eylül","Ekim","Kasım","Aralık"},MONTH(B458)))</f>
        <v/>
      </c>
      <c r="D458" s="2"/>
      <c r="E458" s="4" t="str">
        <f>IFERROR(INDEX('Araç Tanımlama'!$D$5:$D$200,MATCH(D458,'Araç Tanımlama'!$A$5:$A$200,0)),"")</f>
        <v/>
      </c>
      <c r="F458" s="4" t="str">
        <f>IFERROR(INDEX('Araç Tanımlama'!$E$5:$E$200,MATCH(D458,'Araç Tanımlama'!$A$5:$A$200,0)),"")</f>
        <v/>
      </c>
      <c r="G458" s="2"/>
      <c r="H458" s="7"/>
      <c r="I458" s="9" t="str">
        <f>IF(OR(G458="",H458=""),"",G458*H458)</f>
        <v/>
      </c>
      <c r="J458" s="2"/>
      <c r="K458" s="2"/>
    </row>
    <row r="459" spans="1:11">
      <c r="A459" s="4" t="str">
        <f>IF(D459="","",COUNTIF($D$5:D459,"?*"))</f>
        <v/>
      </c>
      <c r="B459" s="5"/>
      <c r="C459" s="4" t="str">
        <f>IF(B459="","",INDEX({"Ocak","Şubat","Mart","Nisan","Mayıs","Haziran","Temmuz","Ağustos","Eylül","Ekim","Kasım","Aralık"},MONTH(B459)))</f>
        <v/>
      </c>
      <c r="D459" s="2"/>
      <c r="E459" s="4" t="str">
        <f>IFERROR(INDEX('Araç Tanımlama'!$D$5:$D$200,MATCH(D459,'Araç Tanımlama'!$A$5:$A$200,0)),"")</f>
        <v/>
      </c>
      <c r="F459" s="4" t="str">
        <f>IFERROR(INDEX('Araç Tanımlama'!$E$5:$E$200,MATCH(D459,'Araç Tanımlama'!$A$5:$A$200,0)),"")</f>
        <v/>
      </c>
      <c r="G459" s="2"/>
      <c r="H459" s="7"/>
      <c r="I459" s="9" t="str">
        <f>IF(OR(G459="",H459=""),"",G459*H459)</f>
        <v/>
      </c>
      <c r="J459" s="2"/>
      <c r="K459" s="2"/>
    </row>
    <row r="460" spans="1:11">
      <c r="A460" s="4" t="str">
        <f>IF(D460="","",COUNTIF($D$5:D460,"?*"))</f>
        <v/>
      </c>
      <c r="B460" s="5"/>
      <c r="C460" s="4" t="str">
        <f>IF(B460="","",INDEX({"Ocak","Şubat","Mart","Nisan","Mayıs","Haziran","Temmuz","Ağustos","Eylül","Ekim","Kasım","Aralık"},MONTH(B460)))</f>
        <v/>
      </c>
      <c r="D460" s="2"/>
      <c r="E460" s="4" t="str">
        <f>IFERROR(INDEX('Araç Tanımlama'!$D$5:$D$200,MATCH(D460,'Araç Tanımlama'!$A$5:$A$200,0)),"")</f>
        <v/>
      </c>
      <c r="F460" s="4" t="str">
        <f>IFERROR(INDEX('Araç Tanımlama'!$E$5:$E$200,MATCH(D460,'Araç Tanımlama'!$A$5:$A$200,0)),"")</f>
        <v/>
      </c>
      <c r="G460" s="2"/>
      <c r="H460" s="7"/>
      <c r="I460" s="9" t="str">
        <f>IF(OR(G460="",H460=""),"",G460*H460)</f>
        <v/>
      </c>
      <c r="J460" s="2"/>
      <c r="K460" s="2"/>
    </row>
    <row r="461" spans="1:11">
      <c r="A461" s="4" t="str">
        <f>IF(D461="","",COUNTIF($D$5:D461,"?*"))</f>
        <v/>
      </c>
      <c r="B461" s="5"/>
      <c r="C461" s="4" t="str">
        <f>IF(B461="","",INDEX({"Ocak","Şubat","Mart","Nisan","Mayıs","Haziran","Temmuz","Ağustos","Eylül","Ekim","Kasım","Aralık"},MONTH(B461)))</f>
        <v/>
      </c>
      <c r="D461" s="2"/>
      <c r="E461" s="4" t="str">
        <f>IFERROR(INDEX('Araç Tanımlama'!$D$5:$D$200,MATCH(D461,'Araç Tanımlama'!$A$5:$A$200,0)),"")</f>
        <v/>
      </c>
      <c r="F461" s="4" t="str">
        <f>IFERROR(INDEX('Araç Tanımlama'!$E$5:$E$200,MATCH(D461,'Araç Tanımlama'!$A$5:$A$200,0)),"")</f>
        <v/>
      </c>
      <c r="G461" s="2"/>
      <c r="H461" s="7"/>
      <c r="I461" s="9" t="str">
        <f>IF(OR(G461="",H461=""),"",G461*H461)</f>
        <v/>
      </c>
      <c r="J461" s="2"/>
      <c r="K461" s="2"/>
    </row>
    <row r="462" spans="1:11">
      <c r="A462" s="4" t="str">
        <f>IF(D462="","",COUNTIF($D$5:D462,"?*"))</f>
        <v/>
      </c>
      <c r="B462" s="5"/>
      <c r="C462" s="4" t="str">
        <f>IF(B462="","",INDEX({"Ocak","Şubat","Mart","Nisan","Mayıs","Haziran","Temmuz","Ağustos","Eylül","Ekim","Kasım","Aralık"},MONTH(B462)))</f>
        <v/>
      </c>
      <c r="D462" s="2"/>
      <c r="E462" s="4" t="str">
        <f>IFERROR(INDEX('Araç Tanımlama'!$D$5:$D$200,MATCH(D462,'Araç Tanımlama'!$A$5:$A$200,0)),"")</f>
        <v/>
      </c>
      <c r="F462" s="4" t="str">
        <f>IFERROR(INDEX('Araç Tanımlama'!$E$5:$E$200,MATCH(D462,'Araç Tanımlama'!$A$5:$A$200,0)),"")</f>
        <v/>
      </c>
      <c r="G462" s="2"/>
      <c r="H462" s="7"/>
      <c r="I462" s="9" t="str">
        <f>IF(OR(G462="",H462=""),"",G462*H462)</f>
        <v/>
      </c>
      <c r="J462" s="2"/>
      <c r="K462" s="2"/>
    </row>
    <row r="463" spans="1:11">
      <c r="A463" s="4" t="str">
        <f>IF(D463="","",COUNTIF($D$5:D463,"?*"))</f>
        <v/>
      </c>
      <c r="B463" s="5"/>
      <c r="C463" s="4" t="str">
        <f>IF(B463="","",INDEX({"Ocak","Şubat","Mart","Nisan","Mayıs","Haziran","Temmuz","Ağustos","Eylül","Ekim","Kasım","Aralık"},MONTH(B463)))</f>
        <v/>
      </c>
      <c r="D463" s="2"/>
      <c r="E463" s="4" t="str">
        <f>IFERROR(INDEX('Araç Tanımlama'!$D$5:$D$200,MATCH(D463,'Araç Tanımlama'!$A$5:$A$200,0)),"")</f>
        <v/>
      </c>
      <c r="F463" s="4" t="str">
        <f>IFERROR(INDEX('Araç Tanımlama'!$E$5:$E$200,MATCH(D463,'Araç Tanımlama'!$A$5:$A$200,0)),"")</f>
        <v/>
      </c>
      <c r="G463" s="2"/>
      <c r="H463" s="7"/>
      <c r="I463" s="9" t="str">
        <f>IF(OR(G463="",H463=""),"",G463*H463)</f>
        <v/>
      </c>
      <c r="J463" s="2"/>
      <c r="K463" s="2"/>
    </row>
    <row r="464" spans="1:11">
      <c r="A464" s="4" t="str">
        <f>IF(D464="","",COUNTIF($D$5:D464,"?*"))</f>
        <v/>
      </c>
      <c r="B464" s="5"/>
      <c r="C464" s="4" t="str">
        <f>IF(B464="","",INDEX({"Ocak","Şubat","Mart","Nisan","Mayıs","Haziran","Temmuz","Ağustos","Eylül","Ekim","Kasım","Aralık"},MONTH(B464)))</f>
        <v/>
      </c>
      <c r="D464" s="2"/>
      <c r="E464" s="4" t="str">
        <f>IFERROR(INDEX('Araç Tanımlama'!$D$5:$D$200,MATCH(D464,'Araç Tanımlama'!$A$5:$A$200,0)),"")</f>
        <v/>
      </c>
      <c r="F464" s="4" t="str">
        <f>IFERROR(INDEX('Araç Tanımlama'!$E$5:$E$200,MATCH(D464,'Araç Tanımlama'!$A$5:$A$200,0)),"")</f>
        <v/>
      </c>
      <c r="G464" s="2"/>
      <c r="H464" s="7"/>
      <c r="I464" s="9" t="str">
        <f>IF(OR(G464="",H464=""),"",G464*H464)</f>
        <v/>
      </c>
      <c r="J464" s="2"/>
      <c r="K464" s="2"/>
    </row>
    <row r="465" spans="1:11">
      <c r="A465" s="4" t="str">
        <f>IF(D465="","",COUNTIF($D$5:D465,"?*"))</f>
        <v/>
      </c>
      <c r="B465" s="5"/>
      <c r="C465" s="4" t="str">
        <f>IF(B465="","",INDEX({"Ocak","Şubat","Mart","Nisan","Mayıs","Haziran","Temmuz","Ağustos","Eylül","Ekim","Kasım","Aralık"},MONTH(B465)))</f>
        <v/>
      </c>
      <c r="D465" s="2"/>
      <c r="E465" s="4" t="str">
        <f>IFERROR(INDEX('Araç Tanımlama'!$D$5:$D$200,MATCH(D465,'Araç Tanımlama'!$A$5:$A$200,0)),"")</f>
        <v/>
      </c>
      <c r="F465" s="4" t="str">
        <f>IFERROR(INDEX('Araç Tanımlama'!$E$5:$E$200,MATCH(D465,'Araç Tanımlama'!$A$5:$A$200,0)),"")</f>
        <v/>
      </c>
      <c r="G465" s="2"/>
      <c r="H465" s="7"/>
      <c r="I465" s="9" t="str">
        <f>IF(OR(G465="",H465=""),"",G465*H465)</f>
        <v/>
      </c>
      <c r="J465" s="2"/>
      <c r="K465" s="2"/>
    </row>
    <row r="466" spans="1:11">
      <c r="A466" s="4" t="str">
        <f>IF(D466="","",COUNTIF($D$5:D466,"?*"))</f>
        <v/>
      </c>
      <c r="B466" s="5"/>
      <c r="C466" s="4" t="str">
        <f>IF(B466="","",INDEX({"Ocak","Şubat","Mart","Nisan","Mayıs","Haziran","Temmuz","Ağustos","Eylül","Ekim","Kasım","Aralık"},MONTH(B466)))</f>
        <v/>
      </c>
      <c r="D466" s="2"/>
      <c r="E466" s="4" t="str">
        <f>IFERROR(INDEX('Araç Tanımlama'!$D$5:$D$200,MATCH(D466,'Araç Tanımlama'!$A$5:$A$200,0)),"")</f>
        <v/>
      </c>
      <c r="F466" s="4" t="str">
        <f>IFERROR(INDEX('Araç Tanımlama'!$E$5:$E$200,MATCH(D466,'Araç Tanımlama'!$A$5:$A$200,0)),"")</f>
        <v/>
      </c>
      <c r="G466" s="2"/>
      <c r="H466" s="7"/>
      <c r="I466" s="9" t="str">
        <f>IF(OR(G466="",H466=""),"",G466*H466)</f>
        <v/>
      </c>
      <c r="J466" s="2"/>
      <c r="K466" s="2"/>
    </row>
    <row r="467" spans="1:11">
      <c r="A467" s="4" t="str">
        <f>IF(D467="","",COUNTIF($D$5:D467,"?*"))</f>
        <v/>
      </c>
      <c r="B467" s="5"/>
      <c r="C467" s="4" t="str">
        <f>IF(B467="","",INDEX({"Ocak","Şubat","Mart","Nisan","Mayıs","Haziran","Temmuz","Ağustos","Eylül","Ekim","Kasım","Aralık"},MONTH(B467)))</f>
        <v/>
      </c>
      <c r="D467" s="2"/>
      <c r="E467" s="4" t="str">
        <f>IFERROR(INDEX('Araç Tanımlama'!$D$5:$D$200,MATCH(D467,'Araç Tanımlama'!$A$5:$A$200,0)),"")</f>
        <v/>
      </c>
      <c r="F467" s="4" t="str">
        <f>IFERROR(INDEX('Araç Tanımlama'!$E$5:$E$200,MATCH(D467,'Araç Tanımlama'!$A$5:$A$200,0)),"")</f>
        <v/>
      </c>
      <c r="G467" s="2"/>
      <c r="H467" s="7"/>
      <c r="I467" s="9" t="str">
        <f>IF(OR(G467="",H467=""),"",G467*H467)</f>
        <v/>
      </c>
      <c r="J467" s="2"/>
      <c r="K467" s="2"/>
    </row>
    <row r="468" spans="1:11">
      <c r="A468" s="4" t="str">
        <f>IF(D468="","",COUNTIF($D$5:D468,"?*"))</f>
        <v/>
      </c>
      <c r="B468" s="5"/>
      <c r="C468" s="4" t="str">
        <f>IF(B468="","",INDEX({"Ocak","Şubat","Mart","Nisan","Mayıs","Haziran","Temmuz","Ağustos","Eylül","Ekim","Kasım","Aralık"},MONTH(B468)))</f>
        <v/>
      </c>
      <c r="D468" s="2"/>
      <c r="E468" s="4" t="str">
        <f>IFERROR(INDEX('Araç Tanımlama'!$D$5:$D$200,MATCH(D468,'Araç Tanımlama'!$A$5:$A$200,0)),"")</f>
        <v/>
      </c>
      <c r="F468" s="4" t="str">
        <f>IFERROR(INDEX('Araç Tanımlama'!$E$5:$E$200,MATCH(D468,'Araç Tanımlama'!$A$5:$A$200,0)),"")</f>
        <v/>
      </c>
      <c r="G468" s="2"/>
      <c r="H468" s="7"/>
      <c r="I468" s="9" t="str">
        <f>IF(OR(G468="",H468=""),"",G468*H468)</f>
        <v/>
      </c>
      <c r="J468" s="2"/>
      <c r="K468" s="2"/>
    </row>
    <row r="469" spans="1:11">
      <c r="A469" s="4" t="str">
        <f>IF(D469="","",COUNTIF($D$5:D469,"?*"))</f>
        <v/>
      </c>
      <c r="B469" s="5"/>
      <c r="C469" s="4" t="str">
        <f>IF(B469="","",INDEX({"Ocak","Şubat","Mart","Nisan","Mayıs","Haziran","Temmuz","Ağustos","Eylül","Ekim","Kasım","Aralık"},MONTH(B469)))</f>
        <v/>
      </c>
      <c r="D469" s="2"/>
      <c r="E469" s="4" t="str">
        <f>IFERROR(INDEX('Araç Tanımlama'!$D$5:$D$200,MATCH(D469,'Araç Tanımlama'!$A$5:$A$200,0)),"")</f>
        <v/>
      </c>
      <c r="F469" s="4" t="str">
        <f>IFERROR(INDEX('Araç Tanımlama'!$E$5:$E$200,MATCH(D469,'Araç Tanımlama'!$A$5:$A$200,0)),"")</f>
        <v/>
      </c>
      <c r="G469" s="2"/>
      <c r="H469" s="7"/>
      <c r="I469" s="9" t="str">
        <f>IF(OR(G469="",H469=""),"",G469*H469)</f>
        <v/>
      </c>
      <c r="J469" s="2"/>
      <c r="K469" s="2"/>
    </row>
    <row r="470" spans="1:11">
      <c r="A470" s="4" t="str">
        <f>IF(D470="","",COUNTIF($D$5:D470,"?*"))</f>
        <v/>
      </c>
      <c r="B470" s="5"/>
      <c r="C470" s="4" t="str">
        <f>IF(B470="","",INDEX({"Ocak","Şubat","Mart","Nisan","Mayıs","Haziran","Temmuz","Ağustos","Eylül","Ekim","Kasım","Aralık"},MONTH(B470)))</f>
        <v/>
      </c>
      <c r="D470" s="2"/>
      <c r="E470" s="4" t="str">
        <f>IFERROR(INDEX('Araç Tanımlama'!$D$5:$D$200,MATCH(D470,'Araç Tanımlama'!$A$5:$A$200,0)),"")</f>
        <v/>
      </c>
      <c r="F470" s="4" t="str">
        <f>IFERROR(INDEX('Araç Tanımlama'!$E$5:$E$200,MATCH(D470,'Araç Tanımlama'!$A$5:$A$200,0)),"")</f>
        <v/>
      </c>
      <c r="G470" s="2"/>
      <c r="H470" s="7"/>
      <c r="I470" s="9" t="str">
        <f>IF(OR(G470="",H470=""),"",G470*H470)</f>
        <v/>
      </c>
      <c r="J470" s="2"/>
      <c r="K470" s="2"/>
    </row>
    <row r="471" spans="1:11">
      <c r="A471" s="4" t="str">
        <f>IF(D471="","",COUNTIF($D$5:D471,"?*"))</f>
        <v/>
      </c>
      <c r="B471" s="5"/>
      <c r="C471" s="4" t="str">
        <f>IF(B471="","",INDEX({"Ocak","Şubat","Mart","Nisan","Mayıs","Haziran","Temmuz","Ağustos","Eylül","Ekim","Kasım","Aralık"},MONTH(B471)))</f>
        <v/>
      </c>
      <c r="D471" s="2"/>
      <c r="E471" s="4" t="str">
        <f>IFERROR(INDEX('Araç Tanımlama'!$D$5:$D$200,MATCH(D471,'Araç Tanımlama'!$A$5:$A$200,0)),"")</f>
        <v/>
      </c>
      <c r="F471" s="4" t="str">
        <f>IFERROR(INDEX('Araç Tanımlama'!$E$5:$E$200,MATCH(D471,'Araç Tanımlama'!$A$5:$A$200,0)),"")</f>
        <v/>
      </c>
      <c r="G471" s="2"/>
      <c r="H471" s="7"/>
      <c r="I471" s="9" t="str">
        <f>IF(OR(G471="",H471=""),"",G471*H471)</f>
        <v/>
      </c>
      <c r="J471" s="2"/>
      <c r="K471" s="2"/>
    </row>
    <row r="472" spans="1:11">
      <c r="A472" s="4" t="str">
        <f>IF(D472="","",COUNTIF($D$5:D472,"?*"))</f>
        <v/>
      </c>
      <c r="B472" s="5"/>
      <c r="C472" s="4" t="str">
        <f>IF(B472="","",INDEX({"Ocak","Şubat","Mart","Nisan","Mayıs","Haziran","Temmuz","Ağustos","Eylül","Ekim","Kasım","Aralık"},MONTH(B472)))</f>
        <v/>
      </c>
      <c r="D472" s="2"/>
      <c r="E472" s="4" t="str">
        <f>IFERROR(INDEX('Araç Tanımlama'!$D$5:$D$200,MATCH(D472,'Araç Tanımlama'!$A$5:$A$200,0)),"")</f>
        <v/>
      </c>
      <c r="F472" s="4" t="str">
        <f>IFERROR(INDEX('Araç Tanımlama'!$E$5:$E$200,MATCH(D472,'Araç Tanımlama'!$A$5:$A$200,0)),"")</f>
        <v/>
      </c>
      <c r="G472" s="2"/>
      <c r="H472" s="7"/>
      <c r="I472" s="9" t="str">
        <f>IF(OR(G472="",H472=""),"",G472*H472)</f>
        <v/>
      </c>
      <c r="J472" s="2"/>
      <c r="K472" s="2"/>
    </row>
    <row r="473" spans="1:11">
      <c r="A473" s="4" t="str">
        <f>IF(D473="","",COUNTIF($D$5:D473,"?*"))</f>
        <v/>
      </c>
      <c r="B473" s="5"/>
      <c r="C473" s="4" t="str">
        <f>IF(B473="","",INDEX({"Ocak","Şubat","Mart","Nisan","Mayıs","Haziran","Temmuz","Ağustos","Eylül","Ekim","Kasım","Aralık"},MONTH(B473)))</f>
        <v/>
      </c>
      <c r="D473" s="2"/>
      <c r="E473" s="4" t="str">
        <f>IFERROR(INDEX('Araç Tanımlama'!$D$5:$D$200,MATCH(D473,'Araç Tanımlama'!$A$5:$A$200,0)),"")</f>
        <v/>
      </c>
      <c r="F473" s="4" t="str">
        <f>IFERROR(INDEX('Araç Tanımlama'!$E$5:$E$200,MATCH(D473,'Araç Tanımlama'!$A$5:$A$200,0)),"")</f>
        <v/>
      </c>
      <c r="G473" s="2"/>
      <c r="H473" s="7"/>
      <c r="I473" s="9" t="str">
        <f>IF(OR(G473="",H473=""),"",G473*H473)</f>
        <v/>
      </c>
      <c r="J473" s="2"/>
      <c r="K473" s="2"/>
    </row>
    <row r="474" spans="1:11">
      <c r="A474" s="4" t="str">
        <f>IF(D474="","",COUNTIF($D$5:D474,"?*"))</f>
        <v/>
      </c>
      <c r="B474" s="5"/>
      <c r="C474" s="4" t="str">
        <f>IF(B474="","",INDEX({"Ocak","Şubat","Mart","Nisan","Mayıs","Haziran","Temmuz","Ağustos","Eylül","Ekim","Kasım","Aralık"},MONTH(B474)))</f>
        <v/>
      </c>
      <c r="D474" s="2"/>
      <c r="E474" s="4" t="str">
        <f>IFERROR(INDEX('Araç Tanımlama'!$D$5:$D$200,MATCH(D474,'Araç Tanımlama'!$A$5:$A$200,0)),"")</f>
        <v/>
      </c>
      <c r="F474" s="4" t="str">
        <f>IFERROR(INDEX('Araç Tanımlama'!$E$5:$E$200,MATCH(D474,'Araç Tanımlama'!$A$5:$A$200,0)),"")</f>
        <v/>
      </c>
      <c r="G474" s="2"/>
      <c r="H474" s="7"/>
      <c r="I474" s="9" t="str">
        <f>IF(OR(G474="",H474=""),"",G474*H474)</f>
        <v/>
      </c>
      <c r="J474" s="2"/>
      <c r="K474" s="2"/>
    </row>
    <row r="475" spans="1:11">
      <c r="A475" s="4" t="str">
        <f>IF(D475="","",COUNTIF($D$5:D475,"?*"))</f>
        <v/>
      </c>
      <c r="B475" s="5"/>
      <c r="C475" s="4" t="str">
        <f>IF(B475="","",INDEX({"Ocak","Şubat","Mart","Nisan","Mayıs","Haziran","Temmuz","Ağustos","Eylül","Ekim","Kasım","Aralık"},MONTH(B475)))</f>
        <v/>
      </c>
      <c r="D475" s="2"/>
      <c r="E475" s="4" t="str">
        <f>IFERROR(INDEX('Araç Tanımlama'!$D$5:$D$200,MATCH(D475,'Araç Tanımlama'!$A$5:$A$200,0)),"")</f>
        <v/>
      </c>
      <c r="F475" s="4" t="str">
        <f>IFERROR(INDEX('Araç Tanımlama'!$E$5:$E$200,MATCH(D475,'Araç Tanımlama'!$A$5:$A$200,0)),"")</f>
        <v/>
      </c>
      <c r="G475" s="2"/>
      <c r="H475" s="7"/>
      <c r="I475" s="9" t="str">
        <f>IF(OR(G475="",H475=""),"",G475*H475)</f>
        <v/>
      </c>
      <c r="J475" s="2"/>
      <c r="K475" s="2"/>
    </row>
    <row r="476" spans="1:11">
      <c r="A476" s="4" t="str">
        <f>IF(D476="","",COUNTIF($D$5:D476,"?*"))</f>
        <v/>
      </c>
      <c r="B476" s="5"/>
      <c r="C476" s="4" t="str">
        <f>IF(B476="","",INDEX({"Ocak","Şubat","Mart","Nisan","Mayıs","Haziran","Temmuz","Ağustos","Eylül","Ekim","Kasım","Aralık"},MONTH(B476)))</f>
        <v/>
      </c>
      <c r="D476" s="2"/>
      <c r="E476" s="4" t="str">
        <f>IFERROR(INDEX('Araç Tanımlama'!$D$5:$D$200,MATCH(D476,'Araç Tanımlama'!$A$5:$A$200,0)),"")</f>
        <v/>
      </c>
      <c r="F476" s="4" t="str">
        <f>IFERROR(INDEX('Araç Tanımlama'!$E$5:$E$200,MATCH(D476,'Araç Tanımlama'!$A$5:$A$200,0)),"")</f>
        <v/>
      </c>
      <c r="G476" s="2"/>
      <c r="H476" s="7"/>
      <c r="I476" s="9" t="str">
        <f>IF(OR(G476="",H476=""),"",G476*H476)</f>
        <v/>
      </c>
      <c r="J476" s="2"/>
      <c r="K476" s="2"/>
    </row>
    <row r="477" spans="1:11">
      <c r="A477" s="4" t="str">
        <f>IF(D477="","",COUNTIF($D$5:D477,"?*"))</f>
        <v/>
      </c>
      <c r="B477" s="5"/>
      <c r="C477" s="4" t="str">
        <f>IF(B477="","",INDEX({"Ocak","Şubat","Mart","Nisan","Mayıs","Haziran","Temmuz","Ağustos","Eylül","Ekim","Kasım","Aralık"},MONTH(B477)))</f>
        <v/>
      </c>
      <c r="D477" s="2"/>
      <c r="E477" s="4" t="str">
        <f>IFERROR(INDEX('Araç Tanımlama'!$D$5:$D$200,MATCH(D477,'Araç Tanımlama'!$A$5:$A$200,0)),"")</f>
        <v/>
      </c>
      <c r="F477" s="4" t="str">
        <f>IFERROR(INDEX('Araç Tanımlama'!$E$5:$E$200,MATCH(D477,'Araç Tanımlama'!$A$5:$A$200,0)),"")</f>
        <v/>
      </c>
      <c r="G477" s="2"/>
      <c r="H477" s="7"/>
      <c r="I477" s="9" t="str">
        <f>IF(OR(G477="",H477=""),"",G477*H477)</f>
        <v/>
      </c>
      <c r="J477" s="2"/>
      <c r="K477" s="2"/>
    </row>
    <row r="478" spans="1:11">
      <c r="A478" s="4" t="str">
        <f>IF(D478="","",COUNTIF($D$5:D478,"?*"))</f>
        <v/>
      </c>
      <c r="B478" s="5"/>
      <c r="C478" s="4" t="str">
        <f>IF(B478="","",INDEX({"Ocak","Şubat","Mart","Nisan","Mayıs","Haziran","Temmuz","Ağustos","Eylül","Ekim","Kasım","Aralık"},MONTH(B478)))</f>
        <v/>
      </c>
      <c r="D478" s="2"/>
      <c r="E478" s="4" t="str">
        <f>IFERROR(INDEX('Araç Tanımlama'!$D$5:$D$200,MATCH(D478,'Araç Tanımlama'!$A$5:$A$200,0)),"")</f>
        <v/>
      </c>
      <c r="F478" s="4" t="str">
        <f>IFERROR(INDEX('Araç Tanımlama'!$E$5:$E$200,MATCH(D478,'Araç Tanımlama'!$A$5:$A$200,0)),"")</f>
        <v/>
      </c>
      <c r="G478" s="2"/>
      <c r="H478" s="7"/>
      <c r="I478" s="9" t="str">
        <f>IF(OR(G478="",H478=""),"",G478*H478)</f>
        <v/>
      </c>
      <c r="J478" s="2"/>
      <c r="K478" s="2"/>
    </row>
    <row r="479" spans="1:11">
      <c r="A479" s="4" t="str">
        <f>IF(D479="","",COUNTIF($D$5:D479,"?*"))</f>
        <v/>
      </c>
      <c r="B479" s="5"/>
      <c r="C479" s="4" t="str">
        <f>IF(B479="","",INDEX({"Ocak","Şubat","Mart","Nisan","Mayıs","Haziran","Temmuz","Ağustos","Eylül","Ekim","Kasım","Aralık"},MONTH(B479)))</f>
        <v/>
      </c>
      <c r="D479" s="2"/>
      <c r="E479" s="4" t="str">
        <f>IFERROR(INDEX('Araç Tanımlama'!$D$5:$D$200,MATCH(D479,'Araç Tanımlama'!$A$5:$A$200,0)),"")</f>
        <v/>
      </c>
      <c r="F479" s="4" t="str">
        <f>IFERROR(INDEX('Araç Tanımlama'!$E$5:$E$200,MATCH(D479,'Araç Tanımlama'!$A$5:$A$200,0)),"")</f>
        <v/>
      </c>
      <c r="G479" s="2"/>
      <c r="H479" s="7"/>
      <c r="I479" s="9" t="str">
        <f>IF(OR(G479="",H479=""),"",G479*H479)</f>
        <v/>
      </c>
      <c r="J479" s="2"/>
      <c r="K479" s="2"/>
    </row>
    <row r="480" spans="1:11">
      <c r="A480" s="4" t="str">
        <f>IF(D480="","",COUNTIF($D$5:D480,"?*"))</f>
        <v/>
      </c>
      <c r="B480" s="5"/>
      <c r="C480" s="4" t="str">
        <f>IF(B480="","",INDEX({"Ocak","Şubat","Mart","Nisan","Mayıs","Haziran","Temmuz","Ağustos","Eylül","Ekim","Kasım","Aralık"},MONTH(B480)))</f>
        <v/>
      </c>
      <c r="D480" s="2"/>
      <c r="E480" s="4" t="str">
        <f>IFERROR(INDEX('Araç Tanımlama'!$D$5:$D$200,MATCH(D480,'Araç Tanımlama'!$A$5:$A$200,0)),"")</f>
        <v/>
      </c>
      <c r="F480" s="4" t="str">
        <f>IFERROR(INDEX('Araç Tanımlama'!$E$5:$E$200,MATCH(D480,'Araç Tanımlama'!$A$5:$A$200,0)),"")</f>
        <v/>
      </c>
      <c r="G480" s="2"/>
      <c r="H480" s="7"/>
      <c r="I480" s="9" t="str">
        <f>IF(OR(G480="",H480=""),"",G480*H480)</f>
        <v/>
      </c>
      <c r="J480" s="2"/>
      <c r="K480" s="2"/>
    </row>
    <row r="481" spans="1:11">
      <c r="A481" s="4" t="str">
        <f>IF(D481="","",COUNTIF($D$5:D481,"?*"))</f>
        <v/>
      </c>
      <c r="B481" s="5"/>
      <c r="C481" s="4" t="str">
        <f>IF(B481="","",INDEX({"Ocak","Şubat","Mart","Nisan","Mayıs","Haziran","Temmuz","Ağustos","Eylül","Ekim","Kasım","Aralık"},MONTH(B481)))</f>
        <v/>
      </c>
      <c r="D481" s="2"/>
      <c r="E481" s="4" t="str">
        <f>IFERROR(INDEX('Araç Tanımlama'!$D$5:$D$200,MATCH(D481,'Araç Tanımlama'!$A$5:$A$200,0)),"")</f>
        <v/>
      </c>
      <c r="F481" s="4" t="str">
        <f>IFERROR(INDEX('Araç Tanımlama'!$E$5:$E$200,MATCH(D481,'Araç Tanımlama'!$A$5:$A$200,0)),"")</f>
        <v/>
      </c>
      <c r="G481" s="2"/>
      <c r="H481" s="7"/>
      <c r="I481" s="9" t="str">
        <f>IF(OR(G481="",H481=""),"",G481*H481)</f>
        <v/>
      </c>
      <c r="J481" s="2"/>
      <c r="K481" s="2"/>
    </row>
    <row r="482" spans="1:11">
      <c r="A482" s="4" t="str">
        <f>IF(D482="","",COUNTIF($D$5:D482,"?*"))</f>
        <v/>
      </c>
      <c r="B482" s="5"/>
      <c r="C482" s="4" t="str">
        <f>IF(B482="","",INDEX({"Ocak","Şubat","Mart","Nisan","Mayıs","Haziran","Temmuz","Ağustos","Eylül","Ekim","Kasım","Aralık"},MONTH(B482)))</f>
        <v/>
      </c>
      <c r="D482" s="2"/>
      <c r="E482" s="4" t="str">
        <f>IFERROR(INDEX('Araç Tanımlama'!$D$5:$D$200,MATCH(D482,'Araç Tanımlama'!$A$5:$A$200,0)),"")</f>
        <v/>
      </c>
      <c r="F482" s="4" t="str">
        <f>IFERROR(INDEX('Araç Tanımlama'!$E$5:$E$200,MATCH(D482,'Araç Tanımlama'!$A$5:$A$200,0)),"")</f>
        <v/>
      </c>
      <c r="G482" s="2"/>
      <c r="H482" s="7"/>
      <c r="I482" s="9" t="str">
        <f>IF(OR(G482="",H482=""),"",G482*H482)</f>
        <v/>
      </c>
      <c r="J482" s="2"/>
      <c r="K482" s="2"/>
    </row>
    <row r="483" spans="1:11">
      <c r="A483" s="4" t="str">
        <f>IF(D483="","",COUNTIF($D$5:D483,"?*"))</f>
        <v/>
      </c>
      <c r="B483" s="5"/>
      <c r="C483" s="4" t="str">
        <f>IF(B483="","",INDEX({"Ocak","Şubat","Mart","Nisan","Mayıs","Haziran","Temmuz","Ağustos","Eylül","Ekim","Kasım","Aralık"},MONTH(B483)))</f>
        <v/>
      </c>
      <c r="D483" s="2"/>
      <c r="E483" s="4" t="str">
        <f>IFERROR(INDEX('Araç Tanımlama'!$D$5:$D$200,MATCH(D483,'Araç Tanımlama'!$A$5:$A$200,0)),"")</f>
        <v/>
      </c>
      <c r="F483" s="4" t="str">
        <f>IFERROR(INDEX('Araç Tanımlama'!$E$5:$E$200,MATCH(D483,'Araç Tanımlama'!$A$5:$A$200,0)),"")</f>
        <v/>
      </c>
      <c r="G483" s="2"/>
      <c r="H483" s="7"/>
      <c r="I483" s="9" t="str">
        <f>IF(OR(G483="",H483=""),"",G483*H483)</f>
        <v/>
      </c>
      <c r="J483" s="2"/>
      <c r="K483" s="2"/>
    </row>
    <row r="484" spans="1:11">
      <c r="A484" s="4" t="str">
        <f>IF(D484="","",COUNTIF($D$5:D484,"?*"))</f>
        <v/>
      </c>
      <c r="B484" s="5"/>
      <c r="C484" s="4" t="str">
        <f>IF(B484="","",INDEX({"Ocak","Şubat","Mart","Nisan","Mayıs","Haziran","Temmuz","Ağustos","Eylül","Ekim","Kasım","Aralık"},MONTH(B484)))</f>
        <v/>
      </c>
      <c r="D484" s="2"/>
      <c r="E484" s="4" t="str">
        <f>IFERROR(INDEX('Araç Tanımlama'!$D$5:$D$200,MATCH(D484,'Araç Tanımlama'!$A$5:$A$200,0)),"")</f>
        <v/>
      </c>
      <c r="F484" s="4" t="str">
        <f>IFERROR(INDEX('Araç Tanımlama'!$E$5:$E$200,MATCH(D484,'Araç Tanımlama'!$A$5:$A$200,0)),"")</f>
        <v/>
      </c>
      <c r="G484" s="2"/>
      <c r="H484" s="7"/>
      <c r="I484" s="9" t="str">
        <f>IF(OR(G484="",H484=""),"",G484*H484)</f>
        <v/>
      </c>
      <c r="J484" s="2"/>
      <c r="K484" s="2"/>
    </row>
    <row r="485" spans="1:11">
      <c r="A485" s="4" t="str">
        <f>IF(D485="","",COUNTIF($D$5:D485,"?*"))</f>
        <v/>
      </c>
      <c r="B485" s="5"/>
      <c r="C485" s="4" t="str">
        <f>IF(B485="","",INDEX({"Ocak","Şubat","Mart","Nisan","Mayıs","Haziran","Temmuz","Ağustos","Eylül","Ekim","Kasım","Aralık"},MONTH(B485)))</f>
        <v/>
      </c>
      <c r="D485" s="2"/>
      <c r="E485" s="4" t="str">
        <f>IFERROR(INDEX('Araç Tanımlama'!$D$5:$D$200,MATCH(D485,'Araç Tanımlama'!$A$5:$A$200,0)),"")</f>
        <v/>
      </c>
      <c r="F485" s="4" t="str">
        <f>IFERROR(INDEX('Araç Tanımlama'!$E$5:$E$200,MATCH(D485,'Araç Tanımlama'!$A$5:$A$200,0)),"")</f>
        <v/>
      </c>
      <c r="G485" s="2"/>
      <c r="H485" s="7"/>
      <c r="I485" s="9" t="str">
        <f>IF(OR(G485="",H485=""),"",G485*H485)</f>
        <v/>
      </c>
      <c r="J485" s="2"/>
      <c r="K485" s="2"/>
    </row>
    <row r="486" spans="1:11">
      <c r="A486" s="4" t="str">
        <f>IF(D486="","",COUNTIF($D$5:D486,"?*"))</f>
        <v/>
      </c>
      <c r="B486" s="5"/>
      <c r="C486" s="4" t="str">
        <f>IF(B486="","",INDEX({"Ocak","Şubat","Mart","Nisan","Mayıs","Haziran","Temmuz","Ağustos","Eylül","Ekim","Kasım","Aralık"},MONTH(B486)))</f>
        <v/>
      </c>
      <c r="D486" s="2"/>
      <c r="E486" s="4" t="str">
        <f>IFERROR(INDEX('Araç Tanımlama'!$D$5:$D$200,MATCH(D486,'Araç Tanımlama'!$A$5:$A$200,0)),"")</f>
        <v/>
      </c>
      <c r="F486" s="4" t="str">
        <f>IFERROR(INDEX('Araç Tanımlama'!$E$5:$E$200,MATCH(D486,'Araç Tanımlama'!$A$5:$A$200,0)),"")</f>
        <v/>
      </c>
      <c r="G486" s="2"/>
      <c r="H486" s="7"/>
      <c r="I486" s="9" t="str">
        <f>IF(OR(G486="",H486=""),"",G486*H486)</f>
        <v/>
      </c>
      <c r="J486" s="2"/>
      <c r="K486" s="2"/>
    </row>
    <row r="487" spans="1:11">
      <c r="A487" s="4" t="str">
        <f>IF(D487="","",COUNTIF($D$5:D487,"?*"))</f>
        <v/>
      </c>
      <c r="B487" s="5"/>
      <c r="C487" s="4" t="str">
        <f>IF(B487="","",INDEX({"Ocak","Şubat","Mart","Nisan","Mayıs","Haziran","Temmuz","Ağustos","Eylül","Ekim","Kasım","Aralık"},MONTH(B487)))</f>
        <v/>
      </c>
      <c r="D487" s="2"/>
      <c r="E487" s="4" t="str">
        <f>IFERROR(INDEX('Araç Tanımlama'!$D$5:$D$200,MATCH(D487,'Araç Tanımlama'!$A$5:$A$200,0)),"")</f>
        <v/>
      </c>
      <c r="F487" s="4" t="str">
        <f>IFERROR(INDEX('Araç Tanımlama'!$E$5:$E$200,MATCH(D487,'Araç Tanımlama'!$A$5:$A$200,0)),"")</f>
        <v/>
      </c>
      <c r="G487" s="2"/>
      <c r="H487" s="7"/>
      <c r="I487" s="9" t="str">
        <f>IF(OR(G487="",H487=""),"",G487*H487)</f>
        <v/>
      </c>
      <c r="J487" s="2"/>
      <c r="K487" s="2"/>
    </row>
    <row r="488" spans="1:11">
      <c r="A488" s="4" t="str">
        <f>IF(D488="","",COUNTIF($D$5:D488,"?*"))</f>
        <v/>
      </c>
      <c r="B488" s="5"/>
      <c r="C488" s="4" t="str">
        <f>IF(B488="","",INDEX({"Ocak","Şubat","Mart","Nisan","Mayıs","Haziran","Temmuz","Ağustos","Eylül","Ekim","Kasım","Aralık"},MONTH(B488)))</f>
        <v/>
      </c>
      <c r="D488" s="2"/>
      <c r="E488" s="4" t="str">
        <f>IFERROR(INDEX('Araç Tanımlama'!$D$5:$D$200,MATCH(D488,'Araç Tanımlama'!$A$5:$A$200,0)),"")</f>
        <v/>
      </c>
      <c r="F488" s="4" t="str">
        <f>IFERROR(INDEX('Araç Tanımlama'!$E$5:$E$200,MATCH(D488,'Araç Tanımlama'!$A$5:$A$200,0)),"")</f>
        <v/>
      </c>
      <c r="G488" s="2"/>
      <c r="H488" s="7"/>
      <c r="I488" s="9" t="str">
        <f>IF(OR(G488="",H488=""),"",G488*H488)</f>
        <v/>
      </c>
      <c r="J488" s="2"/>
      <c r="K488" s="2"/>
    </row>
    <row r="489" spans="1:11">
      <c r="A489" s="4" t="str">
        <f>IF(D489="","",COUNTIF($D$5:D489,"?*"))</f>
        <v/>
      </c>
      <c r="B489" s="5"/>
      <c r="C489" s="4" t="str">
        <f>IF(B489="","",INDEX({"Ocak","Şubat","Mart","Nisan","Mayıs","Haziran","Temmuz","Ağustos","Eylül","Ekim","Kasım","Aralık"},MONTH(B489)))</f>
        <v/>
      </c>
      <c r="D489" s="2"/>
      <c r="E489" s="4" t="str">
        <f>IFERROR(INDEX('Araç Tanımlama'!$D$5:$D$200,MATCH(D489,'Araç Tanımlama'!$A$5:$A$200,0)),"")</f>
        <v/>
      </c>
      <c r="F489" s="4" t="str">
        <f>IFERROR(INDEX('Araç Tanımlama'!$E$5:$E$200,MATCH(D489,'Araç Tanımlama'!$A$5:$A$200,0)),"")</f>
        <v/>
      </c>
      <c r="G489" s="2"/>
      <c r="H489" s="7"/>
      <c r="I489" s="9" t="str">
        <f>IF(OR(G489="",H489=""),"",G489*H489)</f>
        <v/>
      </c>
      <c r="J489" s="2"/>
      <c r="K489" s="2"/>
    </row>
    <row r="490" spans="1:11">
      <c r="A490" s="4" t="str">
        <f>IF(D490="","",COUNTIF($D$5:D490,"?*"))</f>
        <v/>
      </c>
      <c r="B490" s="5"/>
      <c r="C490" s="4" t="str">
        <f>IF(B490="","",INDEX({"Ocak","Şubat","Mart","Nisan","Mayıs","Haziran","Temmuz","Ağustos","Eylül","Ekim","Kasım","Aralık"},MONTH(B490)))</f>
        <v/>
      </c>
      <c r="D490" s="2"/>
      <c r="E490" s="4" t="str">
        <f>IFERROR(INDEX('Araç Tanımlama'!$D$5:$D$200,MATCH(D490,'Araç Tanımlama'!$A$5:$A$200,0)),"")</f>
        <v/>
      </c>
      <c r="F490" s="4" t="str">
        <f>IFERROR(INDEX('Araç Tanımlama'!$E$5:$E$200,MATCH(D490,'Araç Tanımlama'!$A$5:$A$200,0)),"")</f>
        <v/>
      </c>
      <c r="G490" s="2"/>
      <c r="H490" s="7"/>
      <c r="I490" s="9" t="str">
        <f>IF(OR(G490="",H490=""),"",G490*H490)</f>
        <v/>
      </c>
      <c r="J490" s="2"/>
      <c r="K490" s="2"/>
    </row>
    <row r="491" spans="1:11">
      <c r="A491" s="4" t="str">
        <f>IF(D491="","",COUNTIF($D$5:D491,"?*"))</f>
        <v/>
      </c>
      <c r="B491" s="5"/>
      <c r="C491" s="4" t="str">
        <f>IF(B491="","",INDEX({"Ocak","Şubat","Mart","Nisan","Mayıs","Haziran","Temmuz","Ağustos","Eylül","Ekim","Kasım","Aralık"},MONTH(B491)))</f>
        <v/>
      </c>
      <c r="D491" s="2"/>
      <c r="E491" s="4" t="str">
        <f>IFERROR(INDEX('Araç Tanımlama'!$D$5:$D$200,MATCH(D491,'Araç Tanımlama'!$A$5:$A$200,0)),"")</f>
        <v/>
      </c>
      <c r="F491" s="4" t="str">
        <f>IFERROR(INDEX('Araç Tanımlama'!$E$5:$E$200,MATCH(D491,'Araç Tanımlama'!$A$5:$A$200,0)),"")</f>
        <v/>
      </c>
      <c r="G491" s="2"/>
      <c r="H491" s="7"/>
      <c r="I491" s="9" t="str">
        <f>IF(OR(G491="",H491=""),"",G491*H491)</f>
        <v/>
      </c>
      <c r="J491" s="2"/>
      <c r="K491" s="2"/>
    </row>
    <row r="492" spans="1:11">
      <c r="A492" s="4" t="str">
        <f>IF(D492="","",COUNTIF($D$5:D492,"?*"))</f>
        <v/>
      </c>
      <c r="B492" s="5"/>
      <c r="C492" s="4" t="str">
        <f>IF(B492="","",INDEX({"Ocak","Şubat","Mart","Nisan","Mayıs","Haziran","Temmuz","Ağustos","Eylül","Ekim","Kasım","Aralık"},MONTH(B492)))</f>
        <v/>
      </c>
      <c r="D492" s="2"/>
      <c r="E492" s="4" t="str">
        <f>IFERROR(INDEX('Araç Tanımlama'!$D$5:$D$200,MATCH(D492,'Araç Tanımlama'!$A$5:$A$200,0)),"")</f>
        <v/>
      </c>
      <c r="F492" s="4" t="str">
        <f>IFERROR(INDEX('Araç Tanımlama'!$E$5:$E$200,MATCH(D492,'Araç Tanımlama'!$A$5:$A$200,0)),"")</f>
        <v/>
      </c>
      <c r="G492" s="2"/>
      <c r="H492" s="7"/>
      <c r="I492" s="9" t="str">
        <f>IF(OR(G492="",H492=""),"",G492*H492)</f>
        <v/>
      </c>
      <c r="J492" s="2"/>
      <c r="K492" s="2"/>
    </row>
    <row r="493" spans="1:11">
      <c r="A493" s="4" t="str">
        <f>IF(D493="","",COUNTIF($D$5:D493,"?*"))</f>
        <v/>
      </c>
      <c r="B493" s="5"/>
      <c r="C493" s="4" t="str">
        <f>IF(B493="","",INDEX({"Ocak","Şubat","Mart","Nisan","Mayıs","Haziran","Temmuz","Ağustos","Eylül","Ekim","Kasım","Aralık"},MONTH(B493)))</f>
        <v/>
      </c>
      <c r="D493" s="2"/>
      <c r="E493" s="4" t="str">
        <f>IFERROR(INDEX('Araç Tanımlama'!$D$5:$D$200,MATCH(D493,'Araç Tanımlama'!$A$5:$A$200,0)),"")</f>
        <v/>
      </c>
      <c r="F493" s="4" t="str">
        <f>IFERROR(INDEX('Araç Tanımlama'!$E$5:$E$200,MATCH(D493,'Araç Tanımlama'!$A$5:$A$200,0)),"")</f>
        <v/>
      </c>
      <c r="G493" s="2"/>
      <c r="H493" s="7"/>
      <c r="I493" s="9" t="str">
        <f>IF(OR(G493="",H493=""),"",G493*H493)</f>
        <v/>
      </c>
      <c r="J493" s="2"/>
      <c r="K493" s="2"/>
    </row>
    <row r="494" spans="1:11">
      <c r="A494" s="4" t="str">
        <f>IF(D494="","",COUNTIF($D$5:D494,"?*"))</f>
        <v/>
      </c>
      <c r="B494" s="5"/>
      <c r="C494" s="4" t="str">
        <f>IF(B494="","",INDEX({"Ocak","Şubat","Mart","Nisan","Mayıs","Haziran","Temmuz","Ağustos","Eylül","Ekim","Kasım","Aralık"},MONTH(B494)))</f>
        <v/>
      </c>
      <c r="D494" s="2"/>
      <c r="E494" s="4" t="str">
        <f>IFERROR(INDEX('Araç Tanımlama'!$D$5:$D$200,MATCH(D494,'Araç Tanımlama'!$A$5:$A$200,0)),"")</f>
        <v/>
      </c>
      <c r="F494" s="4" t="str">
        <f>IFERROR(INDEX('Araç Tanımlama'!$E$5:$E$200,MATCH(D494,'Araç Tanımlama'!$A$5:$A$200,0)),"")</f>
        <v/>
      </c>
      <c r="G494" s="2"/>
      <c r="H494" s="7"/>
      <c r="I494" s="9" t="str">
        <f>IF(OR(G494="",H494=""),"",G494*H494)</f>
        <v/>
      </c>
      <c r="J494" s="2"/>
      <c r="K494" s="2"/>
    </row>
    <row r="495" spans="1:11">
      <c r="A495" s="4" t="str">
        <f>IF(D495="","",COUNTIF($D$5:D495,"?*"))</f>
        <v/>
      </c>
      <c r="B495" s="5"/>
      <c r="C495" s="4" t="str">
        <f>IF(B495="","",INDEX({"Ocak","Şubat","Mart","Nisan","Mayıs","Haziran","Temmuz","Ağustos","Eylül","Ekim","Kasım","Aralık"},MONTH(B495)))</f>
        <v/>
      </c>
      <c r="D495" s="2"/>
      <c r="E495" s="4" t="str">
        <f>IFERROR(INDEX('Araç Tanımlama'!$D$5:$D$200,MATCH(D495,'Araç Tanımlama'!$A$5:$A$200,0)),"")</f>
        <v/>
      </c>
      <c r="F495" s="4" t="str">
        <f>IFERROR(INDEX('Araç Tanımlama'!$E$5:$E$200,MATCH(D495,'Araç Tanımlama'!$A$5:$A$200,0)),"")</f>
        <v/>
      </c>
      <c r="G495" s="2"/>
      <c r="H495" s="7"/>
      <c r="I495" s="9" t="str">
        <f>IF(OR(G495="",H495=""),"",G495*H495)</f>
        <v/>
      </c>
      <c r="J495" s="2"/>
      <c r="K495" s="2"/>
    </row>
    <row r="496" spans="1:11">
      <c r="A496" s="4" t="str">
        <f>IF(D496="","",COUNTIF($D$5:D496,"?*"))</f>
        <v/>
      </c>
      <c r="B496" s="5"/>
      <c r="C496" s="4" t="str">
        <f>IF(B496="","",INDEX({"Ocak","Şubat","Mart","Nisan","Mayıs","Haziran","Temmuz","Ağustos","Eylül","Ekim","Kasım","Aralık"},MONTH(B496)))</f>
        <v/>
      </c>
      <c r="D496" s="2"/>
      <c r="E496" s="4" t="str">
        <f>IFERROR(INDEX('Araç Tanımlama'!$D$5:$D$200,MATCH(D496,'Araç Tanımlama'!$A$5:$A$200,0)),"")</f>
        <v/>
      </c>
      <c r="F496" s="4" t="str">
        <f>IFERROR(INDEX('Araç Tanımlama'!$E$5:$E$200,MATCH(D496,'Araç Tanımlama'!$A$5:$A$200,0)),"")</f>
        <v/>
      </c>
      <c r="G496" s="2"/>
      <c r="H496" s="7"/>
      <c r="I496" s="9" t="str">
        <f>IF(OR(G496="",H496=""),"",G496*H496)</f>
        <v/>
      </c>
      <c r="J496" s="2"/>
      <c r="K496" s="2"/>
    </row>
    <row r="497" spans="1:11">
      <c r="A497" s="4" t="str">
        <f>IF(D497="","",COUNTIF($D$5:D497,"?*"))</f>
        <v/>
      </c>
      <c r="B497" s="5"/>
      <c r="C497" s="4" t="str">
        <f>IF(B497="","",INDEX({"Ocak","Şubat","Mart","Nisan","Mayıs","Haziran","Temmuz","Ağustos","Eylül","Ekim","Kasım","Aralık"},MONTH(B497)))</f>
        <v/>
      </c>
      <c r="D497" s="2"/>
      <c r="E497" s="4" t="str">
        <f>IFERROR(INDEX('Araç Tanımlama'!$D$5:$D$200,MATCH(D497,'Araç Tanımlama'!$A$5:$A$200,0)),"")</f>
        <v/>
      </c>
      <c r="F497" s="4" t="str">
        <f>IFERROR(INDEX('Araç Tanımlama'!$E$5:$E$200,MATCH(D497,'Araç Tanımlama'!$A$5:$A$200,0)),"")</f>
        <v/>
      </c>
      <c r="G497" s="2"/>
      <c r="H497" s="7"/>
      <c r="I497" s="9" t="str">
        <f>IF(OR(G497="",H497=""),"",G497*H497)</f>
        <v/>
      </c>
      <c r="J497" s="2"/>
      <c r="K497" s="2"/>
    </row>
    <row r="498" spans="1:11">
      <c r="A498" s="4" t="str">
        <f>IF(D498="","",COUNTIF($D$5:D498,"?*"))</f>
        <v/>
      </c>
      <c r="B498" s="5"/>
      <c r="C498" s="4" t="str">
        <f>IF(B498="","",INDEX({"Ocak","Şubat","Mart","Nisan","Mayıs","Haziran","Temmuz","Ağustos","Eylül","Ekim","Kasım","Aralık"},MONTH(B498)))</f>
        <v/>
      </c>
      <c r="D498" s="2"/>
      <c r="E498" s="4" t="str">
        <f>IFERROR(INDEX('Araç Tanımlama'!$D$5:$D$200,MATCH(D498,'Araç Tanımlama'!$A$5:$A$200,0)),"")</f>
        <v/>
      </c>
      <c r="F498" s="4" t="str">
        <f>IFERROR(INDEX('Araç Tanımlama'!$E$5:$E$200,MATCH(D498,'Araç Tanımlama'!$A$5:$A$200,0)),"")</f>
        <v/>
      </c>
      <c r="G498" s="2"/>
      <c r="H498" s="7"/>
      <c r="I498" s="9" t="str">
        <f>IF(OR(G498="",H498=""),"",G498*H498)</f>
        <v/>
      </c>
      <c r="J498" s="2"/>
      <c r="K498" s="2"/>
    </row>
    <row r="499" spans="1:11">
      <c r="A499" s="4" t="str">
        <f>IF(D499="","",COUNTIF($D$5:D499,"?*"))</f>
        <v/>
      </c>
      <c r="B499" s="5"/>
      <c r="C499" s="4" t="str">
        <f>IF(B499="","",INDEX({"Ocak","Şubat","Mart","Nisan","Mayıs","Haziran","Temmuz","Ağustos","Eylül","Ekim","Kasım","Aralık"},MONTH(B499)))</f>
        <v/>
      </c>
      <c r="D499" s="2"/>
      <c r="E499" s="4" t="str">
        <f>IFERROR(INDEX('Araç Tanımlama'!$D$5:$D$200,MATCH(D499,'Araç Tanımlama'!$A$5:$A$200,0)),"")</f>
        <v/>
      </c>
      <c r="F499" s="4" t="str">
        <f>IFERROR(INDEX('Araç Tanımlama'!$E$5:$E$200,MATCH(D499,'Araç Tanımlama'!$A$5:$A$200,0)),"")</f>
        <v/>
      </c>
      <c r="G499" s="2"/>
      <c r="H499" s="7"/>
      <c r="I499" s="9" t="str">
        <f>IF(OR(G499="",H499=""),"",G499*H499)</f>
        <v/>
      </c>
      <c r="J499" s="2"/>
      <c r="K499" s="2"/>
    </row>
    <row r="500" spans="1:11">
      <c r="A500" s="4" t="str">
        <f>IF(D500="","",COUNTIF($D$5:D500,"?*"))</f>
        <v/>
      </c>
      <c r="B500" s="5"/>
      <c r="C500" s="4" t="str">
        <f>IF(B500="","",INDEX({"Ocak","Şubat","Mart","Nisan","Mayıs","Haziran","Temmuz","Ağustos","Eylül","Ekim","Kasım","Aralık"},MONTH(B500)))</f>
        <v/>
      </c>
      <c r="D500" s="2"/>
      <c r="E500" s="4" t="str">
        <f>IFERROR(INDEX('Araç Tanımlama'!$D$5:$D$200,MATCH(D500,'Araç Tanımlama'!$A$5:$A$200,0)),"")</f>
        <v/>
      </c>
      <c r="F500" s="4" t="str">
        <f>IFERROR(INDEX('Araç Tanımlama'!$E$5:$E$200,MATCH(D500,'Araç Tanımlama'!$A$5:$A$200,0)),"")</f>
        <v/>
      </c>
      <c r="G500" s="2"/>
      <c r="H500" s="7"/>
      <c r="I500" s="9" t="str">
        <f>IF(OR(G500="",H500=""),"",G500*H500)</f>
        <v/>
      </c>
      <c r="J500" s="2"/>
      <c r="K500" s="2"/>
    </row>
    <row r="501" spans="1:11">
      <c r="A501" s="4" t="str">
        <f>IF(D501="","",COUNTIF($D$5:D501,"?*"))</f>
        <v/>
      </c>
      <c r="B501" s="5"/>
      <c r="C501" s="4" t="str">
        <f>IF(B501="","",INDEX({"Ocak","Şubat","Mart","Nisan","Mayıs","Haziran","Temmuz","Ağustos","Eylül","Ekim","Kasım","Aralık"},MONTH(B501)))</f>
        <v/>
      </c>
      <c r="D501" s="2"/>
      <c r="E501" s="4" t="str">
        <f>IFERROR(INDEX('Araç Tanımlama'!$D$5:$D$200,MATCH(D501,'Araç Tanımlama'!$A$5:$A$200,0)),"")</f>
        <v/>
      </c>
      <c r="F501" s="4" t="str">
        <f>IFERROR(INDEX('Araç Tanımlama'!$E$5:$E$200,MATCH(D501,'Araç Tanımlama'!$A$5:$A$200,0)),"")</f>
        <v/>
      </c>
      <c r="G501" s="2"/>
      <c r="H501" s="7"/>
      <c r="I501" s="9" t="str">
        <f>IF(OR(G501="",H501=""),"",G501*H501)</f>
        <v/>
      </c>
      <c r="J501" s="2"/>
      <c r="K501" s="2"/>
    </row>
    <row r="502" spans="1:11">
      <c r="A502" s="4" t="str">
        <f>IF(D502="","",COUNTIF($D$5:D502,"?*"))</f>
        <v/>
      </c>
      <c r="B502" s="5"/>
      <c r="C502" s="4" t="str">
        <f>IF(B502="","",INDEX({"Ocak","Şubat","Mart","Nisan","Mayıs","Haziran","Temmuz","Ağustos","Eylül","Ekim","Kasım","Aralık"},MONTH(B502)))</f>
        <v/>
      </c>
      <c r="D502" s="2"/>
      <c r="E502" s="4" t="str">
        <f>IFERROR(INDEX('Araç Tanımlama'!$D$5:$D$200,MATCH(D502,'Araç Tanımlama'!$A$5:$A$200,0)),"")</f>
        <v/>
      </c>
      <c r="F502" s="4" t="str">
        <f>IFERROR(INDEX('Araç Tanımlama'!$E$5:$E$200,MATCH(D502,'Araç Tanımlama'!$A$5:$A$200,0)),"")</f>
        <v/>
      </c>
      <c r="G502" s="2"/>
      <c r="H502" s="7"/>
      <c r="I502" s="9" t="str">
        <f>IF(OR(G502="",H502=""),"",G502*H502)</f>
        <v/>
      </c>
      <c r="J502" s="2"/>
      <c r="K502" s="2"/>
    </row>
    <row r="503" spans="1:11">
      <c r="A503" s="4" t="str">
        <f>IF(D503="","",COUNTIF($D$5:D503,"?*"))</f>
        <v/>
      </c>
      <c r="B503" s="5"/>
      <c r="C503" s="4" t="str">
        <f>IF(B503="","",INDEX({"Ocak","Şubat","Mart","Nisan","Mayıs","Haziran","Temmuz","Ağustos","Eylül","Ekim","Kasım","Aralık"},MONTH(B503)))</f>
        <v/>
      </c>
      <c r="D503" s="2"/>
      <c r="E503" s="4" t="str">
        <f>IFERROR(INDEX('Araç Tanımlama'!$D$5:$D$200,MATCH(D503,'Araç Tanımlama'!$A$5:$A$200,0)),"")</f>
        <v/>
      </c>
      <c r="F503" s="4" t="str">
        <f>IFERROR(INDEX('Araç Tanımlama'!$E$5:$E$200,MATCH(D503,'Araç Tanımlama'!$A$5:$A$200,0)),"")</f>
        <v/>
      </c>
      <c r="G503" s="2"/>
      <c r="H503" s="7"/>
      <c r="I503" s="9" t="str">
        <f>IF(OR(G503="",H503=""),"",G503*H503)</f>
        <v/>
      </c>
      <c r="J503" s="2"/>
      <c r="K503" s="2"/>
    </row>
    <row r="504" spans="1:11">
      <c r="A504" s="4" t="str">
        <f>IF(D504="","",COUNTIF($D$5:D504,"?*"))</f>
        <v/>
      </c>
      <c r="B504" s="5"/>
      <c r="C504" s="4" t="str">
        <f>IF(B504="","",INDEX({"Ocak","Şubat","Mart","Nisan","Mayıs","Haziran","Temmuz","Ağustos","Eylül","Ekim","Kasım","Aralık"},MONTH(B504)))</f>
        <v/>
      </c>
      <c r="D504" s="2"/>
      <c r="E504" s="4" t="str">
        <f>IFERROR(INDEX('Araç Tanımlama'!$D$5:$D$200,MATCH(D504,'Araç Tanımlama'!$A$5:$A$200,0)),"")</f>
        <v/>
      </c>
      <c r="F504" s="4" t="str">
        <f>IFERROR(INDEX('Araç Tanımlama'!$E$5:$E$200,MATCH(D504,'Araç Tanımlama'!$A$5:$A$200,0)),"")</f>
        <v/>
      </c>
      <c r="G504" s="2"/>
      <c r="H504" s="7"/>
      <c r="I504" s="9" t="str">
        <f>IF(OR(G504="",H504=""),"",G504*H504)</f>
        <v/>
      </c>
      <c r="J504" s="2"/>
      <c r="K504" s="2"/>
    </row>
    <row r="505" spans="1:11">
      <c r="A505" s="4" t="str">
        <f>IF(D505="","",COUNTIF($D$5:D505,"?*"))</f>
        <v/>
      </c>
      <c r="B505" s="5"/>
      <c r="C505" s="4" t="str">
        <f>IF(B505="","",INDEX({"Ocak","Şubat","Mart","Nisan","Mayıs","Haziran","Temmuz","Ağustos","Eylül","Ekim","Kasım","Aralık"},MONTH(B505)))</f>
        <v/>
      </c>
      <c r="D505" s="2"/>
      <c r="E505" s="4" t="str">
        <f>IFERROR(INDEX('Araç Tanımlama'!$D$5:$D$200,MATCH(D505,'Araç Tanımlama'!$A$5:$A$200,0)),"")</f>
        <v/>
      </c>
      <c r="F505" s="4" t="str">
        <f>IFERROR(INDEX('Araç Tanımlama'!$E$5:$E$200,MATCH(D505,'Araç Tanımlama'!$A$5:$A$200,0)),"")</f>
        <v/>
      </c>
      <c r="G505" s="2"/>
      <c r="H505" s="7"/>
      <c r="I505" s="9" t="str">
        <f>IF(OR(G505="",H505=""),"",G505*H505)</f>
        <v/>
      </c>
      <c r="J505" s="2"/>
      <c r="K505" s="2"/>
    </row>
    <row r="506" spans="1:11">
      <c r="A506" s="4" t="str">
        <f>IF(D506="","",COUNTIF($D$5:D506,"?*"))</f>
        <v/>
      </c>
      <c r="B506" s="5"/>
      <c r="C506" s="4" t="str">
        <f>IF(B506="","",INDEX({"Ocak","Şubat","Mart","Nisan","Mayıs","Haziran","Temmuz","Ağustos","Eylül","Ekim","Kasım","Aralık"},MONTH(B506)))</f>
        <v/>
      </c>
      <c r="D506" s="2"/>
      <c r="E506" s="4" t="str">
        <f>IFERROR(INDEX('Araç Tanımlama'!$D$5:$D$200,MATCH(D506,'Araç Tanımlama'!$A$5:$A$200,0)),"")</f>
        <v/>
      </c>
      <c r="F506" s="4" t="str">
        <f>IFERROR(INDEX('Araç Tanımlama'!$E$5:$E$200,MATCH(D506,'Araç Tanımlama'!$A$5:$A$200,0)),"")</f>
        <v/>
      </c>
      <c r="G506" s="2"/>
      <c r="H506" s="7"/>
      <c r="I506" s="9" t="str">
        <f>IF(OR(G506="",H506=""),"",G506*H506)</f>
        <v/>
      </c>
      <c r="J506" s="2"/>
      <c r="K506" s="2"/>
    </row>
    <row r="507" spans="1:11">
      <c r="A507" s="4" t="str">
        <f>IF(D507="","",COUNTIF($D$5:D507,"?*"))</f>
        <v/>
      </c>
      <c r="B507" s="5"/>
      <c r="C507" s="4" t="str">
        <f>IF(B507="","",INDEX({"Ocak","Şubat","Mart","Nisan","Mayıs","Haziran","Temmuz","Ağustos","Eylül","Ekim","Kasım","Aralık"},MONTH(B507)))</f>
        <v/>
      </c>
      <c r="D507" s="2"/>
      <c r="E507" s="4" t="str">
        <f>IFERROR(INDEX('Araç Tanımlama'!$D$5:$D$200,MATCH(D507,'Araç Tanımlama'!$A$5:$A$200,0)),"")</f>
        <v/>
      </c>
      <c r="F507" s="4" t="str">
        <f>IFERROR(INDEX('Araç Tanımlama'!$E$5:$E$200,MATCH(D507,'Araç Tanımlama'!$A$5:$A$200,0)),"")</f>
        <v/>
      </c>
      <c r="G507" s="2"/>
      <c r="H507" s="7"/>
      <c r="I507" s="9" t="str">
        <f>IF(OR(G507="",H507=""),"",G507*H507)</f>
        <v/>
      </c>
      <c r="J507" s="2"/>
      <c r="K507" s="2"/>
    </row>
    <row r="508" spans="1:11">
      <c r="A508" s="4" t="str">
        <f>IF(D508="","",COUNTIF($D$5:D508,"?*"))</f>
        <v/>
      </c>
      <c r="B508" s="5"/>
      <c r="C508" s="4" t="str">
        <f>IF(B508="","",INDEX({"Ocak","Şubat","Mart","Nisan","Mayıs","Haziran","Temmuz","Ağustos","Eylül","Ekim","Kasım","Aralık"},MONTH(B508)))</f>
        <v/>
      </c>
      <c r="D508" s="2"/>
      <c r="E508" s="4" t="str">
        <f>IFERROR(INDEX('Araç Tanımlama'!$D$5:$D$200,MATCH(D508,'Araç Tanımlama'!$A$5:$A$200,0)),"")</f>
        <v/>
      </c>
      <c r="F508" s="4" t="str">
        <f>IFERROR(INDEX('Araç Tanımlama'!$E$5:$E$200,MATCH(D508,'Araç Tanımlama'!$A$5:$A$200,0)),"")</f>
        <v/>
      </c>
      <c r="G508" s="2"/>
      <c r="H508" s="7"/>
      <c r="I508" s="9" t="str">
        <f>IF(OR(G508="",H508=""),"",G508*H508)</f>
        <v/>
      </c>
      <c r="J508" s="2"/>
      <c r="K508" s="2"/>
    </row>
    <row r="509" spans="1:11">
      <c r="A509" s="4" t="str">
        <f>IF(D509="","",COUNTIF($D$5:D509,"?*"))</f>
        <v/>
      </c>
      <c r="B509" s="5"/>
      <c r="C509" s="4" t="str">
        <f>IF(B509="","",INDEX({"Ocak","Şubat","Mart","Nisan","Mayıs","Haziran","Temmuz","Ağustos","Eylül","Ekim","Kasım","Aralık"},MONTH(B509)))</f>
        <v/>
      </c>
      <c r="D509" s="2"/>
      <c r="E509" s="4" t="str">
        <f>IFERROR(INDEX('Araç Tanımlama'!$D$5:$D$200,MATCH(D509,'Araç Tanımlama'!$A$5:$A$200,0)),"")</f>
        <v/>
      </c>
      <c r="F509" s="4" t="str">
        <f>IFERROR(INDEX('Araç Tanımlama'!$E$5:$E$200,MATCH(D509,'Araç Tanımlama'!$A$5:$A$200,0)),"")</f>
        <v/>
      </c>
      <c r="G509" s="2"/>
      <c r="H509" s="7"/>
      <c r="I509" s="9" t="str">
        <f>IF(OR(G509="",H509=""),"",G509*H509)</f>
        <v/>
      </c>
      <c r="J509" s="2"/>
      <c r="K509" s="2"/>
    </row>
    <row r="510" spans="1:11">
      <c r="A510" s="4" t="str">
        <f>IF(D510="","",COUNTIF($D$5:D510,"?*"))</f>
        <v/>
      </c>
      <c r="B510" s="5"/>
      <c r="C510" s="4" t="str">
        <f>IF(B510="","",INDEX({"Ocak","Şubat","Mart","Nisan","Mayıs","Haziran","Temmuz","Ağustos","Eylül","Ekim","Kasım","Aralık"},MONTH(B510)))</f>
        <v/>
      </c>
      <c r="D510" s="2"/>
      <c r="E510" s="4" t="str">
        <f>IFERROR(INDEX('Araç Tanımlama'!$D$5:$D$200,MATCH(D510,'Araç Tanımlama'!$A$5:$A$200,0)),"")</f>
        <v/>
      </c>
      <c r="F510" s="4" t="str">
        <f>IFERROR(INDEX('Araç Tanımlama'!$E$5:$E$200,MATCH(D510,'Araç Tanımlama'!$A$5:$A$200,0)),"")</f>
        <v/>
      </c>
      <c r="G510" s="2"/>
      <c r="H510" s="7"/>
      <c r="I510" s="9" t="str">
        <f>IF(OR(G510="",H510=""),"",G510*H510)</f>
        <v/>
      </c>
      <c r="J510" s="2"/>
      <c r="K510" s="2"/>
    </row>
    <row r="511" spans="1:11">
      <c r="A511" s="4" t="str">
        <f>IF(D511="","",COUNTIF($D$5:D511,"?*"))</f>
        <v/>
      </c>
      <c r="B511" s="5"/>
      <c r="C511" s="4" t="str">
        <f>IF(B511="","",INDEX({"Ocak","Şubat","Mart","Nisan","Mayıs","Haziran","Temmuz","Ağustos","Eylül","Ekim","Kasım","Aralık"},MONTH(B511)))</f>
        <v/>
      </c>
      <c r="D511" s="2"/>
      <c r="E511" s="4" t="str">
        <f>IFERROR(INDEX('Araç Tanımlama'!$D$5:$D$200,MATCH(D511,'Araç Tanımlama'!$A$5:$A$200,0)),"")</f>
        <v/>
      </c>
      <c r="F511" s="4" t="str">
        <f>IFERROR(INDEX('Araç Tanımlama'!$E$5:$E$200,MATCH(D511,'Araç Tanımlama'!$A$5:$A$200,0)),"")</f>
        <v/>
      </c>
      <c r="G511" s="2"/>
      <c r="H511" s="7"/>
      <c r="I511" s="9" t="str">
        <f>IF(OR(G511="",H511=""),"",G511*H511)</f>
        <v/>
      </c>
      <c r="J511" s="2"/>
      <c r="K511" s="2"/>
    </row>
    <row r="512" spans="1:11">
      <c r="A512" s="4" t="str">
        <f>IF(D512="","",COUNTIF($D$5:D512,"?*"))</f>
        <v/>
      </c>
      <c r="B512" s="5"/>
      <c r="C512" s="4" t="str">
        <f>IF(B512="","",INDEX({"Ocak","Şubat","Mart","Nisan","Mayıs","Haziran","Temmuz","Ağustos","Eylül","Ekim","Kasım","Aralık"},MONTH(B512)))</f>
        <v/>
      </c>
      <c r="D512" s="2"/>
      <c r="E512" s="4" t="str">
        <f>IFERROR(INDEX('Araç Tanımlama'!$D$5:$D$200,MATCH(D512,'Araç Tanımlama'!$A$5:$A$200,0)),"")</f>
        <v/>
      </c>
      <c r="F512" s="4" t="str">
        <f>IFERROR(INDEX('Araç Tanımlama'!$E$5:$E$200,MATCH(D512,'Araç Tanımlama'!$A$5:$A$200,0)),"")</f>
        <v/>
      </c>
      <c r="G512" s="2"/>
      <c r="H512" s="7"/>
      <c r="I512" s="9" t="str">
        <f>IF(OR(G512="",H512=""),"",G512*H512)</f>
        <v/>
      </c>
      <c r="J512" s="2"/>
      <c r="K512" s="2"/>
    </row>
    <row r="513" spans="1:11">
      <c r="A513" s="4" t="str">
        <f>IF(D513="","",COUNTIF($D$5:D513,"?*"))</f>
        <v/>
      </c>
      <c r="B513" s="5"/>
      <c r="C513" s="4" t="str">
        <f>IF(B513="","",INDEX({"Ocak","Şubat","Mart","Nisan","Mayıs","Haziran","Temmuz","Ağustos","Eylül","Ekim","Kasım","Aralık"},MONTH(B513)))</f>
        <v/>
      </c>
      <c r="D513" s="2"/>
      <c r="E513" s="4" t="str">
        <f>IFERROR(INDEX('Araç Tanımlama'!$D$5:$D$200,MATCH(D513,'Araç Tanımlama'!$A$5:$A$200,0)),"")</f>
        <v/>
      </c>
      <c r="F513" s="4" t="str">
        <f>IFERROR(INDEX('Araç Tanımlama'!$E$5:$E$200,MATCH(D513,'Araç Tanımlama'!$A$5:$A$200,0)),"")</f>
        <v/>
      </c>
      <c r="G513" s="2"/>
      <c r="H513" s="7"/>
      <c r="I513" s="9" t="str">
        <f>IF(OR(G513="",H513=""),"",G513*H513)</f>
        <v/>
      </c>
      <c r="J513" s="2"/>
      <c r="K513" s="2"/>
    </row>
    <row r="514" spans="1:11">
      <c r="A514" s="4" t="str">
        <f>IF(D514="","",COUNTIF($D$5:D514,"?*"))</f>
        <v/>
      </c>
      <c r="B514" s="5"/>
      <c r="C514" s="4" t="str">
        <f>IF(B514="","",INDEX({"Ocak","Şubat","Mart","Nisan","Mayıs","Haziran","Temmuz","Ağustos","Eylül","Ekim","Kasım","Aralık"},MONTH(B514)))</f>
        <v/>
      </c>
      <c r="D514" s="2"/>
      <c r="E514" s="4" t="str">
        <f>IFERROR(INDEX('Araç Tanımlama'!$D$5:$D$200,MATCH(D514,'Araç Tanımlama'!$A$5:$A$200,0)),"")</f>
        <v/>
      </c>
      <c r="F514" s="4" t="str">
        <f>IFERROR(INDEX('Araç Tanımlama'!$E$5:$E$200,MATCH(D514,'Araç Tanımlama'!$A$5:$A$200,0)),"")</f>
        <v/>
      </c>
      <c r="G514" s="2"/>
      <c r="H514" s="7"/>
      <c r="I514" s="9" t="str">
        <f>IF(OR(G514="",H514=""),"",G514*H514)</f>
        <v/>
      </c>
      <c r="J514" s="2"/>
      <c r="K514" s="2"/>
    </row>
    <row r="515" spans="1:11">
      <c r="A515" s="4" t="str">
        <f>IF(D515="","",COUNTIF($D$5:D515,"?*"))</f>
        <v/>
      </c>
      <c r="B515" s="5"/>
      <c r="C515" s="4" t="str">
        <f>IF(B515="","",INDEX({"Ocak","Şubat","Mart","Nisan","Mayıs","Haziran","Temmuz","Ağustos","Eylül","Ekim","Kasım","Aralık"},MONTH(B515)))</f>
        <v/>
      </c>
      <c r="D515" s="2"/>
      <c r="E515" s="4" t="str">
        <f>IFERROR(INDEX('Araç Tanımlama'!$D$5:$D$200,MATCH(D515,'Araç Tanımlama'!$A$5:$A$200,0)),"")</f>
        <v/>
      </c>
      <c r="F515" s="4" t="str">
        <f>IFERROR(INDEX('Araç Tanımlama'!$E$5:$E$200,MATCH(D515,'Araç Tanımlama'!$A$5:$A$200,0)),"")</f>
        <v/>
      </c>
      <c r="G515" s="2"/>
      <c r="H515" s="7"/>
      <c r="I515" s="9" t="str">
        <f>IF(OR(G515="",H515=""),"",G515*H515)</f>
        <v/>
      </c>
      <c r="J515" s="2"/>
      <c r="K515" s="2"/>
    </row>
    <row r="516" spans="1:11">
      <c r="A516" s="4" t="str">
        <f>IF(D516="","",COUNTIF($D$5:D516,"?*"))</f>
        <v/>
      </c>
      <c r="B516" s="5"/>
      <c r="C516" s="4" t="str">
        <f>IF(B516="","",INDEX({"Ocak","Şubat","Mart","Nisan","Mayıs","Haziran","Temmuz","Ağustos","Eylül","Ekim","Kasım","Aralık"},MONTH(B516)))</f>
        <v/>
      </c>
      <c r="D516" s="2"/>
      <c r="E516" s="4" t="str">
        <f>IFERROR(INDEX('Araç Tanımlama'!$D$5:$D$200,MATCH(D516,'Araç Tanımlama'!$A$5:$A$200,0)),"")</f>
        <v/>
      </c>
      <c r="F516" s="4" t="str">
        <f>IFERROR(INDEX('Araç Tanımlama'!$E$5:$E$200,MATCH(D516,'Araç Tanımlama'!$A$5:$A$200,0)),"")</f>
        <v/>
      </c>
      <c r="G516" s="2"/>
      <c r="H516" s="7"/>
      <c r="I516" s="9" t="str">
        <f>IF(OR(G516="",H516=""),"",G516*H516)</f>
        <v/>
      </c>
      <c r="J516" s="2"/>
      <c r="K516" s="2"/>
    </row>
    <row r="517" spans="1:11">
      <c r="A517" s="4" t="str">
        <f>IF(D517="","",COUNTIF($D$5:D517,"?*"))</f>
        <v/>
      </c>
      <c r="B517" s="5"/>
      <c r="C517" s="4" t="str">
        <f>IF(B517="","",INDEX({"Ocak","Şubat","Mart","Nisan","Mayıs","Haziran","Temmuz","Ağustos","Eylül","Ekim","Kasım","Aralık"},MONTH(B517)))</f>
        <v/>
      </c>
      <c r="D517" s="2"/>
      <c r="E517" s="4" t="str">
        <f>IFERROR(INDEX('Araç Tanımlama'!$D$5:$D$200,MATCH(D517,'Araç Tanımlama'!$A$5:$A$200,0)),"")</f>
        <v/>
      </c>
      <c r="F517" s="4" t="str">
        <f>IFERROR(INDEX('Araç Tanımlama'!$E$5:$E$200,MATCH(D517,'Araç Tanımlama'!$A$5:$A$200,0)),"")</f>
        <v/>
      </c>
      <c r="G517" s="2"/>
      <c r="H517" s="7"/>
      <c r="I517" s="9" t="str">
        <f>IF(OR(G517="",H517=""),"",G517*H517)</f>
        <v/>
      </c>
      <c r="J517" s="2"/>
      <c r="K517" s="2"/>
    </row>
    <row r="518" spans="1:11">
      <c r="A518" s="4" t="str">
        <f>IF(D518="","",COUNTIF($D$5:D518,"?*"))</f>
        <v/>
      </c>
      <c r="B518" s="5"/>
      <c r="C518" s="4" t="str">
        <f>IF(B518="","",INDEX({"Ocak","Şubat","Mart","Nisan","Mayıs","Haziran","Temmuz","Ağustos","Eylül","Ekim","Kasım","Aralık"},MONTH(B518)))</f>
        <v/>
      </c>
      <c r="D518" s="2"/>
      <c r="E518" s="4" t="str">
        <f>IFERROR(INDEX('Araç Tanımlama'!$D$5:$D$200,MATCH(D518,'Araç Tanımlama'!$A$5:$A$200,0)),"")</f>
        <v/>
      </c>
      <c r="F518" s="4" t="str">
        <f>IFERROR(INDEX('Araç Tanımlama'!$E$5:$E$200,MATCH(D518,'Araç Tanımlama'!$A$5:$A$200,0)),"")</f>
        <v/>
      </c>
      <c r="G518" s="2"/>
      <c r="H518" s="7"/>
      <c r="I518" s="9" t="str">
        <f>IF(OR(G518="",H518=""),"",G518*H518)</f>
        <v/>
      </c>
      <c r="J518" s="2"/>
      <c r="K518" s="2"/>
    </row>
    <row r="519" spans="1:11">
      <c r="A519" s="4" t="str">
        <f>IF(D519="","",COUNTIF($D$5:D519,"?*"))</f>
        <v/>
      </c>
      <c r="B519" s="5"/>
      <c r="C519" s="4" t="str">
        <f>IF(B519="","",INDEX({"Ocak","Şubat","Mart","Nisan","Mayıs","Haziran","Temmuz","Ağustos","Eylül","Ekim","Kasım","Aralık"},MONTH(B519)))</f>
        <v/>
      </c>
      <c r="D519" s="2"/>
      <c r="E519" s="4" t="str">
        <f>IFERROR(INDEX('Araç Tanımlama'!$D$5:$D$200,MATCH(D519,'Araç Tanımlama'!$A$5:$A$200,0)),"")</f>
        <v/>
      </c>
      <c r="F519" s="4" t="str">
        <f>IFERROR(INDEX('Araç Tanımlama'!$E$5:$E$200,MATCH(D519,'Araç Tanımlama'!$A$5:$A$200,0)),"")</f>
        <v/>
      </c>
      <c r="G519" s="2"/>
      <c r="H519" s="7"/>
      <c r="I519" s="9" t="str">
        <f>IF(OR(G519="",H519=""),"",G519*H519)</f>
        <v/>
      </c>
      <c r="J519" s="2"/>
      <c r="K519" s="2"/>
    </row>
    <row r="520" spans="1:11">
      <c r="A520" s="4" t="str">
        <f>IF(D520="","",COUNTIF($D$5:D520,"?*"))</f>
        <v/>
      </c>
      <c r="B520" s="5"/>
      <c r="C520" s="4" t="str">
        <f>IF(B520="","",INDEX({"Ocak","Şubat","Mart","Nisan","Mayıs","Haziran","Temmuz","Ağustos","Eylül","Ekim","Kasım","Aralık"},MONTH(B520)))</f>
        <v/>
      </c>
      <c r="D520" s="2"/>
      <c r="E520" s="4" t="str">
        <f>IFERROR(INDEX('Araç Tanımlama'!$D$5:$D$200,MATCH(D520,'Araç Tanımlama'!$A$5:$A$200,0)),"")</f>
        <v/>
      </c>
      <c r="F520" s="4" t="str">
        <f>IFERROR(INDEX('Araç Tanımlama'!$E$5:$E$200,MATCH(D520,'Araç Tanımlama'!$A$5:$A$200,0)),"")</f>
        <v/>
      </c>
      <c r="G520" s="2"/>
      <c r="H520" s="7"/>
      <c r="I520" s="9" t="str">
        <f>IF(OR(G520="",H520=""),"",G520*H520)</f>
        <v/>
      </c>
      <c r="J520" s="2"/>
      <c r="K520" s="2"/>
    </row>
    <row r="521" spans="1:11">
      <c r="A521" s="4" t="str">
        <f>IF(D521="","",COUNTIF($D$5:D521,"?*"))</f>
        <v/>
      </c>
      <c r="B521" s="5"/>
      <c r="C521" s="4" t="str">
        <f>IF(B521="","",INDEX({"Ocak","Şubat","Mart","Nisan","Mayıs","Haziran","Temmuz","Ağustos","Eylül","Ekim","Kasım","Aralık"},MONTH(B521)))</f>
        <v/>
      </c>
      <c r="D521" s="2"/>
      <c r="E521" s="4" t="str">
        <f>IFERROR(INDEX('Araç Tanımlama'!$D$5:$D$200,MATCH(D521,'Araç Tanımlama'!$A$5:$A$200,0)),"")</f>
        <v/>
      </c>
      <c r="F521" s="4" t="str">
        <f>IFERROR(INDEX('Araç Tanımlama'!$E$5:$E$200,MATCH(D521,'Araç Tanımlama'!$A$5:$A$200,0)),"")</f>
        <v/>
      </c>
      <c r="G521" s="2"/>
      <c r="H521" s="7"/>
      <c r="I521" s="9" t="str">
        <f>IF(OR(G521="",H521=""),"",G521*H521)</f>
        <v/>
      </c>
      <c r="J521" s="2"/>
      <c r="K521" s="2"/>
    </row>
    <row r="522" spans="1:11">
      <c r="A522" s="4" t="str">
        <f>IF(D522="","",COUNTIF($D$5:D522,"?*"))</f>
        <v/>
      </c>
      <c r="B522" s="5"/>
      <c r="C522" s="4" t="str">
        <f>IF(B522="","",INDEX({"Ocak","Şubat","Mart","Nisan","Mayıs","Haziran","Temmuz","Ağustos","Eylül","Ekim","Kasım","Aralık"},MONTH(B522)))</f>
        <v/>
      </c>
      <c r="D522" s="2"/>
      <c r="E522" s="4" t="str">
        <f>IFERROR(INDEX('Araç Tanımlama'!$D$5:$D$200,MATCH(D522,'Araç Tanımlama'!$A$5:$A$200,0)),"")</f>
        <v/>
      </c>
      <c r="F522" s="4" t="str">
        <f>IFERROR(INDEX('Araç Tanımlama'!$E$5:$E$200,MATCH(D522,'Araç Tanımlama'!$A$5:$A$200,0)),"")</f>
        <v/>
      </c>
      <c r="G522" s="2"/>
      <c r="H522" s="7"/>
      <c r="I522" s="9" t="str">
        <f>IF(OR(G522="",H522=""),"",G522*H522)</f>
        <v/>
      </c>
      <c r="J522" s="2"/>
      <c r="K522" s="2"/>
    </row>
    <row r="523" spans="1:11">
      <c r="A523" s="4" t="str">
        <f>IF(D523="","",COUNTIF($D$5:D523,"?*"))</f>
        <v/>
      </c>
      <c r="B523" s="5"/>
      <c r="C523" s="4" t="str">
        <f>IF(B523="","",INDEX({"Ocak","Şubat","Mart","Nisan","Mayıs","Haziran","Temmuz","Ağustos","Eylül","Ekim","Kasım","Aralık"},MONTH(B523)))</f>
        <v/>
      </c>
      <c r="D523" s="2"/>
      <c r="E523" s="4" t="str">
        <f>IFERROR(INDEX('Araç Tanımlama'!$D$5:$D$200,MATCH(D523,'Araç Tanımlama'!$A$5:$A$200,0)),"")</f>
        <v/>
      </c>
      <c r="F523" s="4" t="str">
        <f>IFERROR(INDEX('Araç Tanımlama'!$E$5:$E$200,MATCH(D523,'Araç Tanımlama'!$A$5:$A$200,0)),"")</f>
        <v/>
      </c>
      <c r="G523" s="2"/>
      <c r="H523" s="7"/>
      <c r="I523" s="9" t="str">
        <f>IF(OR(G523="",H523=""),"",G523*H523)</f>
        <v/>
      </c>
      <c r="J523" s="2"/>
      <c r="K523" s="2"/>
    </row>
    <row r="524" spans="1:11">
      <c r="A524" s="4" t="str">
        <f>IF(D524="","",COUNTIF($D$5:D524,"?*"))</f>
        <v/>
      </c>
      <c r="B524" s="5"/>
      <c r="C524" s="4" t="str">
        <f>IF(B524="","",INDEX({"Ocak","Şubat","Mart","Nisan","Mayıs","Haziran","Temmuz","Ağustos","Eylül","Ekim","Kasım","Aralık"},MONTH(B524)))</f>
        <v/>
      </c>
      <c r="D524" s="2"/>
      <c r="E524" s="4" t="str">
        <f>IFERROR(INDEX('Araç Tanımlama'!$D$5:$D$200,MATCH(D524,'Araç Tanımlama'!$A$5:$A$200,0)),"")</f>
        <v/>
      </c>
      <c r="F524" s="4" t="str">
        <f>IFERROR(INDEX('Araç Tanımlama'!$E$5:$E$200,MATCH(D524,'Araç Tanımlama'!$A$5:$A$200,0)),"")</f>
        <v/>
      </c>
      <c r="G524" s="2"/>
      <c r="H524" s="7"/>
      <c r="I524" s="9" t="str">
        <f>IF(OR(G524="",H524=""),"",G524*H524)</f>
        <v/>
      </c>
      <c r="J524" s="2"/>
      <c r="K524" s="2"/>
    </row>
    <row r="525" spans="1:11">
      <c r="A525" s="4" t="str">
        <f>IF(D525="","",COUNTIF($D$5:D525,"?*"))</f>
        <v/>
      </c>
      <c r="B525" s="5"/>
      <c r="C525" s="4" t="str">
        <f>IF(B525="","",INDEX({"Ocak","Şubat","Mart","Nisan","Mayıs","Haziran","Temmuz","Ağustos","Eylül","Ekim","Kasım","Aralık"},MONTH(B525)))</f>
        <v/>
      </c>
      <c r="D525" s="2"/>
      <c r="E525" s="4" t="str">
        <f>IFERROR(INDEX('Araç Tanımlama'!$D$5:$D$200,MATCH(D525,'Araç Tanımlama'!$A$5:$A$200,0)),"")</f>
        <v/>
      </c>
      <c r="F525" s="4" t="str">
        <f>IFERROR(INDEX('Araç Tanımlama'!$E$5:$E$200,MATCH(D525,'Araç Tanımlama'!$A$5:$A$200,0)),"")</f>
        <v/>
      </c>
      <c r="G525" s="2"/>
      <c r="H525" s="7"/>
      <c r="I525" s="9" t="str">
        <f>IF(OR(G525="",H525=""),"",G525*H525)</f>
        <v/>
      </c>
      <c r="J525" s="2"/>
      <c r="K525" s="2"/>
    </row>
    <row r="526" spans="1:11">
      <c r="A526" s="4" t="str">
        <f>IF(D526="","",COUNTIF($D$5:D526,"?*"))</f>
        <v/>
      </c>
      <c r="B526" s="5"/>
      <c r="C526" s="4" t="str">
        <f>IF(B526="","",INDEX({"Ocak","Şubat","Mart","Nisan","Mayıs","Haziran","Temmuz","Ağustos","Eylül","Ekim","Kasım","Aralık"},MONTH(B526)))</f>
        <v/>
      </c>
      <c r="D526" s="2"/>
      <c r="E526" s="4" t="str">
        <f>IFERROR(INDEX('Araç Tanımlama'!$D$5:$D$200,MATCH(D526,'Araç Tanımlama'!$A$5:$A$200,0)),"")</f>
        <v/>
      </c>
      <c r="F526" s="4" t="str">
        <f>IFERROR(INDEX('Araç Tanımlama'!$E$5:$E$200,MATCH(D526,'Araç Tanımlama'!$A$5:$A$200,0)),"")</f>
        <v/>
      </c>
      <c r="G526" s="2"/>
      <c r="H526" s="7"/>
      <c r="I526" s="9" t="str">
        <f>IF(OR(G526="",H526=""),"",G526*H526)</f>
        <v/>
      </c>
      <c r="J526" s="2"/>
      <c r="K526" s="2"/>
    </row>
    <row r="527" spans="1:11">
      <c r="A527" s="4" t="str">
        <f>IF(D527="","",COUNTIF($D$5:D527,"?*"))</f>
        <v/>
      </c>
      <c r="B527" s="5"/>
      <c r="C527" s="4" t="str">
        <f>IF(B527="","",INDEX({"Ocak","Şubat","Mart","Nisan","Mayıs","Haziran","Temmuz","Ağustos","Eylül","Ekim","Kasım","Aralık"},MONTH(B527)))</f>
        <v/>
      </c>
      <c r="D527" s="2"/>
      <c r="E527" s="4" t="str">
        <f>IFERROR(INDEX('Araç Tanımlama'!$D$5:$D$200,MATCH(D527,'Araç Tanımlama'!$A$5:$A$200,0)),"")</f>
        <v/>
      </c>
      <c r="F527" s="4" t="str">
        <f>IFERROR(INDEX('Araç Tanımlama'!$E$5:$E$200,MATCH(D527,'Araç Tanımlama'!$A$5:$A$200,0)),"")</f>
        <v/>
      </c>
      <c r="G527" s="2"/>
      <c r="H527" s="7"/>
      <c r="I527" s="9" t="str">
        <f>IF(OR(G527="",H527=""),"",G527*H527)</f>
        <v/>
      </c>
      <c r="J527" s="2"/>
      <c r="K527" s="2"/>
    </row>
    <row r="528" spans="1:11">
      <c r="A528" s="4" t="str">
        <f>IF(D528="","",COUNTIF($D$5:D528,"?*"))</f>
        <v/>
      </c>
      <c r="B528" s="5"/>
      <c r="C528" s="4" t="str">
        <f>IF(B528="","",INDEX({"Ocak","Şubat","Mart","Nisan","Mayıs","Haziran","Temmuz","Ağustos","Eylül","Ekim","Kasım","Aralık"},MONTH(B528)))</f>
        <v/>
      </c>
      <c r="D528" s="2"/>
      <c r="E528" s="4" t="str">
        <f>IFERROR(INDEX('Araç Tanımlama'!$D$5:$D$200,MATCH(D528,'Araç Tanımlama'!$A$5:$A$200,0)),"")</f>
        <v/>
      </c>
      <c r="F528" s="4" t="str">
        <f>IFERROR(INDEX('Araç Tanımlama'!$E$5:$E$200,MATCH(D528,'Araç Tanımlama'!$A$5:$A$200,0)),"")</f>
        <v/>
      </c>
      <c r="G528" s="2"/>
      <c r="H528" s="7"/>
      <c r="I528" s="9" t="str">
        <f>IF(OR(G528="",H528=""),"",G528*H528)</f>
        <v/>
      </c>
      <c r="J528" s="2"/>
      <c r="K528" s="2"/>
    </row>
    <row r="529" spans="1:11">
      <c r="A529" s="4" t="str">
        <f>IF(D529="","",COUNTIF($D$5:D529,"?*"))</f>
        <v/>
      </c>
      <c r="B529" s="5"/>
      <c r="C529" s="4" t="str">
        <f>IF(B529="","",INDEX({"Ocak","Şubat","Mart","Nisan","Mayıs","Haziran","Temmuz","Ağustos","Eylül","Ekim","Kasım","Aralık"},MONTH(B529)))</f>
        <v/>
      </c>
      <c r="D529" s="2"/>
      <c r="E529" s="4" t="str">
        <f>IFERROR(INDEX('Araç Tanımlama'!$D$5:$D$200,MATCH(D529,'Araç Tanımlama'!$A$5:$A$200,0)),"")</f>
        <v/>
      </c>
      <c r="F529" s="4" t="str">
        <f>IFERROR(INDEX('Araç Tanımlama'!$E$5:$E$200,MATCH(D529,'Araç Tanımlama'!$A$5:$A$200,0)),"")</f>
        <v/>
      </c>
      <c r="G529" s="2"/>
      <c r="H529" s="7"/>
      <c r="I529" s="9" t="str">
        <f>IF(OR(G529="",H529=""),"",G529*H529)</f>
        <v/>
      </c>
      <c r="J529" s="2"/>
      <c r="K529" s="2"/>
    </row>
    <row r="530" spans="1:11">
      <c r="A530" s="4" t="str">
        <f>IF(D530="","",COUNTIF($D$5:D530,"?*"))</f>
        <v/>
      </c>
      <c r="B530" s="5"/>
      <c r="C530" s="4" t="str">
        <f>IF(B530="","",INDEX({"Ocak","Şubat","Mart","Nisan","Mayıs","Haziran","Temmuz","Ağustos","Eylül","Ekim","Kasım","Aralık"},MONTH(B530)))</f>
        <v/>
      </c>
      <c r="D530" s="2"/>
      <c r="E530" s="4" t="str">
        <f>IFERROR(INDEX('Araç Tanımlama'!$D$5:$D$200,MATCH(D530,'Araç Tanımlama'!$A$5:$A$200,0)),"")</f>
        <v/>
      </c>
      <c r="F530" s="4" t="str">
        <f>IFERROR(INDEX('Araç Tanımlama'!$E$5:$E$200,MATCH(D530,'Araç Tanımlama'!$A$5:$A$200,0)),"")</f>
        <v/>
      </c>
      <c r="G530" s="2"/>
      <c r="H530" s="7"/>
      <c r="I530" s="9" t="str">
        <f>IF(OR(G530="",H530=""),"",G530*H530)</f>
        <v/>
      </c>
      <c r="J530" s="2"/>
      <c r="K530" s="2"/>
    </row>
    <row r="531" spans="1:11">
      <c r="A531" s="4" t="str">
        <f>IF(D531="","",COUNTIF($D$5:D531,"?*"))</f>
        <v/>
      </c>
      <c r="B531" s="5"/>
      <c r="C531" s="4" t="str">
        <f>IF(B531="","",INDEX({"Ocak","Şubat","Mart","Nisan","Mayıs","Haziran","Temmuz","Ağustos","Eylül","Ekim","Kasım","Aralık"},MONTH(B531)))</f>
        <v/>
      </c>
      <c r="D531" s="2"/>
      <c r="E531" s="4" t="str">
        <f>IFERROR(INDEX('Araç Tanımlama'!$D$5:$D$200,MATCH(D531,'Araç Tanımlama'!$A$5:$A$200,0)),"")</f>
        <v/>
      </c>
      <c r="F531" s="4" t="str">
        <f>IFERROR(INDEX('Araç Tanımlama'!$E$5:$E$200,MATCH(D531,'Araç Tanımlama'!$A$5:$A$200,0)),"")</f>
        <v/>
      </c>
      <c r="G531" s="2"/>
      <c r="H531" s="7"/>
      <c r="I531" s="9" t="str">
        <f>IF(OR(G531="",H531=""),"",G531*H531)</f>
        <v/>
      </c>
      <c r="J531" s="2"/>
      <c r="K531" s="2"/>
    </row>
    <row r="532" spans="1:11">
      <c r="A532" s="4" t="str">
        <f>IF(D532="","",COUNTIF($D$5:D532,"?*"))</f>
        <v/>
      </c>
      <c r="B532" s="5"/>
      <c r="C532" s="4" t="str">
        <f>IF(B532="","",INDEX({"Ocak","Şubat","Mart","Nisan","Mayıs","Haziran","Temmuz","Ağustos","Eylül","Ekim","Kasım","Aralık"},MONTH(B532)))</f>
        <v/>
      </c>
      <c r="D532" s="2"/>
      <c r="E532" s="4" t="str">
        <f>IFERROR(INDEX('Araç Tanımlama'!$D$5:$D$200,MATCH(D532,'Araç Tanımlama'!$A$5:$A$200,0)),"")</f>
        <v/>
      </c>
      <c r="F532" s="4" t="str">
        <f>IFERROR(INDEX('Araç Tanımlama'!$E$5:$E$200,MATCH(D532,'Araç Tanımlama'!$A$5:$A$200,0)),"")</f>
        <v/>
      </c>
      <c r="G532" s="2"/>
      <c r="H532" s="7"/>
      <c r="I532" s="9" t="str">
        <f>IF(OR(G532="",H532=""),"",G532*H532)</f>
        <v/>
      </c>
      <c r="J532" s="2"/>
      <c r="K532" s="2"/>
    </row>
    <row r="533" spans="1:11">
      <c r="A533" s="4" t="str">
        <f>IF(D533="","",COUNTIF($D$5:D533,"?*"))</f>
        <v/>
      </c>
      <c r="B533" s="5"/>
      <c r="C533" s="4" t="str">
        <f>IF(B533="","",INDEX({"Ocak","Şubat","Mart","Nisan","Mayıs","Haziran","Temmuz","Ağustos","Eylül","Ekim","Kasım","Aralık"},MONTH(B533)))</f>
        <v/>
      </c>
      <c r="D533" s="2"/>
      <c r="E533" s="4" t="str">
        <f>IFERROR(INDEX('Araç Tanımlama'!$D$5:$D$200,MATCH(D533,'Araç Tanımlama'!$A$5:$A$200,0)),"")</f>
        <v/>
      </c>
      <c r="F533" s="4" t="str">
        <f>IFERROR(INDEX('Araç Tanımlama'!$E$5:$E$200,MATCH(D533,'Araç Tanımlama'!$A$5:$A$200,0)),"")</f>
        <v/>
      </c>
      <c r="G533" s="2"/>
      <c r="H533" s="7"/>
      <c r="I533" s="9" t="str">
        <f>IF(OR(G533="",H533=""),"",G533*H533)</f>
        <v/>
      </c>
      <c r="J533" s="2"/>
      <c r="K533" s="2"/>
    </row>
    <row r="534" spans="1:11">
      <c r="A534" s="4" t="str">
        <f>IF(D534="","",COUNTIF($D$5:D534,"?*"))</f>
        <v/>
      </c>
      <c r="B534" s="5"/>
      <c r="C534" s="4" t="str">
        <f>IF(B534="","",INDEX({"Ocak","Şubat","Mart","Nisan","Mayıs","Haziran","Temmuz","Ağustos","Eylül","Ekim","Kasım","Aralık"},MONTH(B534)))</f>
        <v/>
      </c>
      <c r="D534" s="2"/>
      <c r="E534" s="4" t="str">
        <f>IFERROR(INDEX('Araç Tanımlama'!$D$5:$D$200,MATCH(D534,'Araç Tanımlama'!$A$5:$A$200,0)),"")</f>
        <v/>
      </c>
      <c r="F534" s="4" t="str">
        <f>IFERROR(INDEX('Araç Tanımlama'!$E$5:$E$200,MATCH(D534,'Araç Tanımlama'!$A$5:$A$200,0)),"")</f>
        <v/>
      </c>
      <c r="G534" s="2"/>
      <c r="H534" s="7"/>
      <c r="I534" s="9" t="str">
        <f>IF(OR(G534="",H534=""),"",G534*H534)</f>
        <v/>
      </c>
      <c r="J534" s="2"/>
      <c r="K534" s="2"/>
    </row>
    <row r="535" spans="1:11">
      <c r="A535" s="4" t="str">
        <f>IF(D535="","",COUNTIF($D$5:D535,"?*"))</f>
        <v/>
      </c>
      <c r="B535" s="5"/>
      <c r="C535" s="4" t="str">
        <f>IF(B535="","",INDEX({"Ocak","Şubat","Mart","Nisan","Mayıs","Haziran","Temmuz","Ağustos","Eylül","Ekim","Kasım","Aralık"},MONTH(B535)))</f>
        <v/>
      </c>
      <c r="D535" s="2"/>
      <c r="E535" s="4" t="str">
        <f>IFERROR(INDEX('Araç Tanımlama'!$D$5:$D$200,MATCH(D535,'Araç Tanımlama'!$A$5:$A$200,0)),"")</f>
        <v/>
      </c>
      <c r="F535" s="4" t="str">
        <f>IFERROR(INDEX('Araç Tanımlama'!$E$5:$E$200,MATCH(D535,'Araç Tanımlama'!$A$5:$A$200,0)),"")</f>
        <v/>
      </c>
      <c r="G535" s="2"/>
      <c r="H535" s="7"/>
      <c r="I535" s="9" t="str">
        <f>IF(OR(G535="",H535=""),"",G535*H535)</f>
        <v/>
      </c>
      <c r="J535" s="2"/>
      <c r="K535" s="2"/>
    </row>
    <row r="536" spans="1:11">
      <c r="A536" s="4" t="str">
        <f>IF(D536="","",COUNTIF($D$5:D536,"?*"))</f>
        <v/>
      </c>
      <c r="B536" s="5"/>
      <c r="C536" s="4" t="str">
        <f>IF(B536="","",INDEX({"Ocak","Şubat","Mart","Nisan","Mayıs","Haziran","Temmuz","Ağustos","Eylül","Ekim","Kasım","Aralık"},MONTH(B536)))</f>
        <v/>
      </c>
      <c r="D536" s="2"/>
      <c r="E536" s="4" t="str">
        <f>IFERROR(INDEX('Araç Tanımlama'!$D$5:$D$200,MATCH(D536,'Araç Tanımlama'!$A$5:$A$200,0)),"")</f>
        <v/>
      </c>
      <c r="F536" s="4" t="str">
        <f>IFERROR(INDEX('Araç Tanımlama'!$E$5:$E$200,MATCH(D536,'Araç Tanımlama'!$A$5:$A$200,0)),"")</f>
        <v/>
      </c>
      <c r="G536" s="2"/>
      <c r="H536" s="7"/>
      <c r="I536" s="9" t="str">
        <f>IF(OR(G536="",H536=""),"",G536*H536)</f>
        <v/>
      </c>
      <c r="J536" s="2"/>
      <c r="K536" s="2"/>
    </row>
    <row r="537" spans="1:11">
      <c r="A537" s="4" t="str">
        <f>IF(D537="","",COUNTIF($D$5:D537,"?*"))</f>
        <v/>
      </c>
      <c r="B537" s="5"/>
      <c r="C537" s="4" t="str">
        <f>IF(B537="","",INDEX({"Ocak","Şubat","Mart","Nisan","Mayıs","Haziran","Temmuz","Ağustos","Eylül","Ekim","Kasım","Aralık"},MONTH(B537)))</f>
        <v/>
      </c>
      <c r="D537" s="2"/>
      <c r="E537" s="4" t="str">
        <f>IFERROR(INDEX('Araç Tanımlama'!$D$5:$D$200,MATCH(D537,'Araç Tanımlama'!$A$5:$A$200,0)),"")</f>
        <v/>
      </c>
      <c r="F537" s="4" t="str">
        <f>IFERROR(INDEX('Araç Tanımlama'!$E$5:$E$200,MATCH(D537,'Araç Tanımlama'!$A$5:$A$200,0)),"")</f>
        <v/>
      </c>
      <c r="G537" s="2"/>
      <c r="H537" s="7"/>
      <c r="I537" s="9" t="str">
        <f>IF(OR(G537="",H537=""),"",G537*H537)</f>
        <v/>
      </c>
      <c r="J537" s="2"/>
      <c r="K537" s="2"/>
    </row>
    <row r="538" spans="1:11">
      <c r="A538" s="4" t="str">
        <f>IF(D538="","",COUNTIF($D$5:D538,"?*"))</f>
        <v/>
      </c>
      <c r="B538" s="5"/>
      <c r="C538" s="4" t="str">
        <f>IF(B538="","",INDEX({"Ocak","Şubat","Mart","Nisan","Mayıs","Haziran","Temmuz","Ağustos","Eylül","Ekim","Kasım","Aralık"},MONTH(B538)))</f>
        <v/>
      </c>
      <c r="D538" s="2"/>
      <c r="E538" s="4" t="str">
        <f>IFERROR(INDEX('Araç Tanımlama'!$D$5:$D$200,MATCH(D538,'Araç Tanımlama'!$A$5:$A$200,0)),"")</f>
        <v/>
      </c>
      <c r="F538" s="4" t="str">
        <f>IFERROR(INDEX('Araç Tanımlama'!$E$5:$E$200,MATCH(D538,'Araç Tanımlama'!$A$5:$A$200,0)),"")</f>
        <v/>
      </c>
      <c r="G538" s="2"/>
      <c r="H538" s="7"/>
      <c r="I538" s="9" t="str">
        <f>IF(OR(G538="",H538=""),"",G538*H538)</f>
        <v/>
      </c>
      <c r="J538" s="2"/>
      <c r="K538" s="2"/>
    </row>
    <row r="539" spans="1:11">
      <c r="A539" s="4" t="str">
        <f>IF(D539="","",COUNTIF($D$5:D539,"?*"))</f>
        <v/>
      </c>
      <c r="B539" s="5"/>
      <c r="C539" s="4" t="str">
        <f>IF(B539="","",INDEX({"Ocak","Şubat","Mart","Nisan","Mayıs","Haziran","Temmuz","Ağustos","Eylül","Ekim","Kasım","Aralık"},MONTH(B539)))</f>
        <v/>
      </c>
      <c r="D539" s="2"/>
      <c r="E539" s="4" t="str">
        <f>IFERROR(INDEX('Araç Tanımlama'!$D$5:$D$200,MATCH(D539,'Araç Tanımlama'!$A$5:$A$200,0)),"")</f>
        <v/>
      </c>
      <c r="F539" s="4" t="str">
        <f>IFERROR(INDEX('Araç Tanımlama'!$E$5:$E$200,MATCH(D539,'Araç Tanımlama'!$A$5:$A$200,0)),"")</f>
        <v/>
      </c>
      <c r="G539" s="2"/>
      <c r="H539" s="7"/>
      <c r="I539" s="9" t="str">
        <f>IF(OR(G539="",H539=""),"",G539*H539)</f>
        <v/>
      </c>
      <c r="J539" s="2"/>
      <c r="K539" s="2"/>
    </row>
    <row r="540" spans="1:11">
      <c r="A540" s="4" t="str">
        <f>IF(D540="","",COUNTIF($D$5:D540,"?*"))</f>
        <v/>
      </c>
      <c r="B540" s="5"/>
      <c r="C540" s="4" t="str">
        <f>IF(B540="","",INDEX({"Ocak","Şubat","Mart","Nisan","Mayıs","Haziran","Temmuz","Ağustos","Eylül","Ekim","Kasım","Aralık"},MONTH(B540)))</f>
        <v/>
      </c>
      <c r="D540" s="2"/>
      <c r="E540" s="4" t="str">
        <f>IFERROR(INDEX('Araç Tanımlama'!$D$5:$D$200,MATCH(D540,'Araç Tanımlama'!$A$5:$A$200,0)),"")</f>
        <v/>
      </c>
      <c r="F540" s="4" t="str">
        <f>IFERROR(INDEX('Araç Tanımlama'!$E$5:$E$200,MATCH(D540,'Araç Tanımlama'!$A$5:$A$200,0)),"")</f>
        <v/>
      </c>
      <c r="G540" s="2"/>
      <c r="H540" s="7"/>
      <c r="I540" s="9" t="str">
        <f>IF(OR(G540="",H540=""),"",G540*H540)</f>
        <v/>
      </c>
      <c r="J540" s="2"/>
      <c r="K540" s="2"/>
    </row>
    <row r="541" spans="1:11">
      <c r="A541" s="4" t="str">
        <f>IF(D541="","",COUNTIF($D$5:D541,"?*"))</f>
        <v/>
      </c>
      <c r="B541" s="5"/>
      <c r="C541" s="4" t="str">
        <f>IF(B541="","",INDEX({"Ocak","Şubat","Mart","Nisan","Mayıs","Haziran","Temmuz","Ağustos","Eylül","Ekim","Kasım","Aralık"},MONTH(B541)))</f>
        <v/>
      </c>
      <c r="D541" s="2"/>
      <c r="E541" s="4" t="str">
        <f>IFERROR(INDEX('Araç Tanımlama'!$D$5:$D$200,MATCH(D541,'Araç Tanımlama'!$A$5:$A$200,0)),"")</f>
        <v/>
      </c>
      <c r="F541" s="4" t="str">
        <f>IFERROR(INDEX('Araç Tanımlama'!$E$5:$E$200,MATCH(D541,'Araç Tanımlama'!$A$5:$A$200,0)),"")</f>
        <v/>
      </c>
      <c r="G541" s="2"/>
      <c r="H541" s="7"/>
      <c r="I541" s="9" t="str">
        <f>IF(OR(G541="",H541=""),"",G541*H541)</f>
        <v/>
      </c>
      <c r="J541" s="2"/>
      <c r="K541" s="2"/>
    </row>
    <row r="542" spans="1:11">
      <c r="A542" s="4" t="str">
        <f>IF(D542="","",COUNTIF($D$5:D542,"?*"))</f>
        <v/>
      </c>
      <c r="B542" s="5"/>
      <c r="C542" s="4" t="str">
        <f>IF(B542="","",INDEX({"Ocak","Şubat","Mart","Nisan","Mayıs","Haziran","Temmuz","Ağustos","Eylül","Ekim","Kasım","Aralık"},MONTH(B542)))</f>
        <v/>
      </c>
      <c r="D542" s="2"/>
      <c r="E542" s="4" t="str">
        <f>IFERROR(INDEX('Araç Tanımlama'!$D$5:$D$200,MATCH(D542,'Araç Tanımlama'!$A$5:$A$200,0)),"")</f>
        <v/>
      </c>
      <c r="F542" s="4" t="str">
        <f>IFERROR(INDEX('Araç Tanımlama'!$E$5:$E$200,MATCH(D542,'Araç Tanımlama'!$A$5:$A$200,0)),"")</f>
        <v/>
      </c>
      <c r="G542" s="2"/>
      <c r="H542" s="7"/>
      <c r="I542" s="9" t="str">
        <f>IF(OR(G542="",H542=""),"",G542*H542)</f>
        <v/>
      </c>
      <c r="J542" s="2"/>
      <c r="K542" s="2"/>
    </row>
    <row r="543" spans="1:11">
      <c r="A543" s="4" t="str">
        <f>IF(D543="","",COUNTIF($D$5:D543,"?*"))</f>
        <v/>
      </c>
      <c r="B543" s="5"/>
      <c r="C543" s="4" t="str">
        <f>IF(B543="","",INDEX({"Ocak","Şubat","Mart","Nisan","Mayıs","Haziran","Temmuz","Ağustos","Eylül","Ekim","Kasım","Aralık"},MONTH(B543)))</f>
        <v/>
      </c>
      <c r="D543" s="2"/>
      <c r="E543" s="4" t="str">
        <f>IFERROR(INDEX('Araç Tanımlama'!$D$5:$D$200,MATCH(D543,'Araç Tanımlama'!$A$5:$A$200,0)),"")</f>
        <v/>
      </c>
      <c r="F543" s="4" t="str">
        <f>IFERROR(INDEX('Araç Tanımlama'!$E$5:$E$200,MATCH(D543,'Araç Tanımlama'!$A$5:$A$200,0)),"")</f>
        <v/>
      </c>
      <c r="G543" s="2"/>
      <c r="H543" s="7"/>
      <c r="I543" s="9" t="str">
        <f>IF(OR(G543="",H543=""),"",G543*H543)</f>
        <v/>
      </c>
      <c r="J543" s="2"/>
      <c r="K543" s="2"/>
    </row>
    <row r="544" spans="1:11">
      <c r="A544" s="4" t="str">
        <f>IF(D544="","",COUNTIF($D$5:D544,"?*"))</f>
        <v/>
      </c>
      <c r="B544" s="5"/>
      <c r="C544" s="4" t="str">
        <f>IF(B544="","",INDEX({"Ocak","Şubat","Mart","Nisan","Mayıs","Haziran","Temmuz","Ağustos","Eylül","Ekim","Kasım","Aralık"},MONTH(B544)))</f>
        <v/>
      </c>
      <c r="D544" s="2"/>
      <c r="E544" s="4" t="str">
        <f>IFERROR(INDEX('Araç Tanımlama'!$D$5:$D$200,MATCH(D544,'Araç Tanımlama'!$A$5:$A$200,0)),"")</f>
        <v/>
      </c>
      <c r="F544" s="4" t="str">
        <f>IFERROR(INDEX('Araç Tanımlama'!$E$5:$E$200,MATCH(D544,'Araç Tanımlama'!$A$5:$A$200,0)),"")</f>
        <v/>
      </c>
      <c r="G544" s="2"/>
      <c r="H544" s="7"/>
      <c r="I544" s="9" t="str">
        <f>IF(OR(G544="",H544=""),"",G544*H544)</f>
        <v/>
      </c>
      <c r="J544" s="2"/>
      <c r="K544" s="2"/>
    </row>
    <row r="545" spans="1:11">
      <c r="A545" s="4" t="str">
        <f>IF(D545="","",COUNTIF($D$5:D545,"?*"))</f>
        <v/>
      </c>
      <c r="B545" s="5"/>
      <c r="C545" s="4" t="str">
        <f>IF(B545="","",INDEX({"Ocak","Şubat","Mart","Nisan","Mayıs","Haziran","Temmuz","Ağustos","Eylül","Ekim","Kasım","Aralık"},MONTH(B545)))</f>
        <v/>
      </c>
      <c r="D545" s="2"/>
      <c r="E545" s="4" t="str">
        <f>IFERROR(INDEX('Araç Tanımlama'!$D$5:$D$200,MATCH(D545,'Araç Tanımlama'!$A$5:$A$200,0)),"")</f>
        <v/>
      </c>
      <c r="F545" s="4" t="str">
        <f>IFERROR(INDEX('Araç Tanımlama'!$E$5:$E$200,MATCH(D545,'Araç Tanımlama'!$A$5:$A$200,0)),"")</f>
        <v/>
      </c>
      <c r="G545" s="2"/>
      <c r="H545" s="7"/>
      <c r="I545" s="9" t="str">
        <f>IF(OR(G545="",H545=""),"",G545*H545)</f>
        <v/>
      </c>
      <c r="J545" s="2"/>
      <c r="K545" s="2"/>
    </row>
    <row r="546" spans="1:11">
      <c r="A546" s="4" t="str">
        <f>IF(D546="","",COUNTIF($D$5:D546,"?*"))</f>
        <v/>
      </c>
      <c r="B546" s="5"/>
      <c r="C546" s="4" t="str">
        <f>IF(B546="","",INDEX({"Ocak","Şubat","Mart","Nisan","Mayıs","Haziran","Temmuz","Ağustos","Eylül","Ekim","Kasım","Aralık"},MONTH(B546)))</f>
        <v/>
      </c>
      <c r="D546" s="2"/>
      <c r="E546" s="4" t="str">
        <f>IFERROR(INDEX('Araç Tanımlama'!$D$5:$D$200,MATCH(D546,'Araç Tanımlama'!$A$5:$A$200,0)),"")</f>
        <v/>
      </c>
      <c r="F546" s="4" t="str">
        <f>IFERROR(INDEX('Araç Tanımlama'!$E$5:$E$200,MATCH(D546,'Araç Tanımlama'!$A$5:$A$200,0)),"")</f>
        <v/>
      </c>
      <c r="G546" s="2"/>
      <c r="H546" s="7"/>
      <c r="I546" s="9" t="str">
        <f>IF(OR(G546="",H546=""),"",G546*H546)</f>
        <v/>
      </c>
      <c r="J546" s="2"/>
      <c r="K546" s="2"/>
    </row>
    <row r="547" spans="1:11">
      <c r="A547" s="4" t="str">
        <f>IF(D547="","",COUNTIF($D$5:D547,"?*"))</f>
        <v/>
      </c>
      <c r="B547" s="5"/>
      <c r="C547" s="4" t="str">
        <f>IF(B547="","",INDEX({"Ocak","Şubat","Mart","Nisan","Mayıs","Haziran","Temmuz","Ağustos","Eylül","Ekim","Kasım","Aralık"},MONTH(B547)))</f>
        <v/>
      </c>
      <c r="D547" s="2"/>
      <c r="E547" s="4" t="str">
        <f>IFERROR(INDEX('Araç Tanımlama'!$D$5:$D$200,MATCH(D547,'Araç Tanımlama'!$A$5:$A$200,0)),"")</f>
        <v/>
      </c>
      <c r="F547" s="4" t="str">
        <f>IFERROR(INDEX('Araç Tanımlama'!$E$5:$E$200,MATCH(D547,'Araç Tanımlama'!$A$5:$A$200,0)),"")</f>
        <v/>
      </c>
      <c r="G547" s="2"/>
      <c r="H547" s="7"/>
      <c r="I547" s="9" t="str">
        <f>IF(OR(G547="",H547=""),"",G547*H547)</f>
        <v/>
      </c>
      <c r="J547" s="2"/>
      <c r="K547" s="2"/>
    </row>
    <row r="548" spans="1:11">
      <c r="A548" s="4" t="str">
        <f>IF(D548="","",COUNTIF($D$5:D548,"?*"))</f>
        <v/>
      </c>
      <c r="B548" s="5"/>
      <c r="C548" s="4" t="str">
        <f>IF(B548="","",INDEX({"Ocak","Şubat","Mart","Nisan","Mayıs","Haziran","Temmuz","Ağustos","Eylül","Ekim","Kasım","Aralık"},MONTH(B548)))</f>
        <v/>
      </c>
      <c r="D548" s="2"/>
      <c r="E548" s="4" t="str">
        <f>IFERROR(INDEX('Araç Tanımlama'!$D$5:$D$200,MATCH(D548,'Araç Tanımlama'!$A$5:$A$200,0)),"")</f>
        <v/>
      </c>
      <c r="F548" s="4" t="str">
        <f>IFERROR(INDEX('Araç Tanımlama'!$E$5:$E$200,MATCH(D548,'Araç Tanımlama'!$A$5:$A$200,0)),"")</f>
        <v/>
      </c>
      <c r="G548" s="2"/>
      <c r="H548" s="7"/>
      <c r="I548" s="9" t="str">
        <f>IF(OR(G548="",H548=""),"",G548*H548)</f>
        <v/>
      </c>
      <c r="J548" s="2"/>
      <c r="K548" s="2"/>
    </row>
    <row r="549" spans="1:11">
      <c r="A549" s="4" t="str">
        <f>IF(D549="","",COUNTIF($D$5:D549,"?*"))</f>
        <v/>
      </c>
      <c r="B549" s="5"/>
      <c r="C549" s="4" t="str">
        <f>IF(B549="","",INDEX({"Ocak","Şubat","Mart","Nisan","Mayıs","Haziran","Temmuz","Ağustos","Eylül","Ekim","Kasım","Aralık"},MONTH(B549)))</f>
        <v/>
      </c>
      <c r="D549" s="2"/>
      <c r="E549" s="4" t="str">
        <f>IFERROR(INDEX('Araç Tanımlama'!$D$5:$D$200,MATCH(D549,'Araç Tanımlama'!$A$5:$A$200,0)),"")</f>
        <v/>
      </c>
      <c r="F549" s="4" t="str">
        <f>IFERROR(INDEX('Araç Tanımlama'!$E$5:$E$200,MATCH(D549,'Araç Tanımlama'!$A$5:$A$200,0)),"")</f>
        <v/>
      </c>
      <c r="G549" s="2"/>
      <c r="H549" s="7"/>
      <c r="I549" s="9" t="str">
        <f>IF(OR(G549="",H549=""),"",G549*H549)</f>
        <v/>
      </c>
      <c r="J549" s="2"/>
      <c r="K549" s="2"/>
    </row>
    <row r="550" spans="1:11">
      <c r="A550" s="4" t="str">
        <f>IF(D550="","",COUNTIF($D$5:D550,"?*"))</f>
        <v/>
      </c>
      <c r="B550" s="5"/>
      <c r="C550" s="4" t="str">
        <f>IF(B550="","",INDEX({"Ocak","Şubat","Mart","Nisan","Mayıs","Haziran","Temmuz","Ağustos","Eylül","Ekim","Kasım","Aralık"},MONTH(B550)))</f>
        <v/>
      </c>
      <c r="D550" s="2"/>
      <c r="E550" s="4" t="str">
        <f>IFERROR(INDEX('Araç Tanımlama'!$D$5:$D$200,MATCH(D550,'Araç Tanımlama'!$A$5:$A$200,0)),"")</f>
        <v/>
      </c>
      <c r="F550" s="4" t="str">
        <f>IFERROR(INDEX('Araç Tanımlama'!$E$5:$E$200,MATCH(D550,'Araç Tanımlama'!$A$5:$A$200,0)),"")</f>
        <v/>
      </c>
      <c r="G550" s="2"/>
      <c r="H550" s="7"/>
      <c r="I550" s="9" t="str">
        <f>IF(OR(G550="",H550=""),"",G550*H550)</f>
        <v/>
      </c>
      <c r="J550" s="2"/>
      <c r="K550" s="2"/>
    </row>
    <row r="551" spans="1:11">
      <c r="A551" s="4" t="str">
        <f>IF(D551="","",COUNTIF($D$5:D551,"?*"))</f>
        <v/>
      </c>
      <c r="B551" s="5"/>
      <c r="C551" s="4" t="str">
        <f>IF(B551="","",INDEX({"Ocak","Şubat","Mart","Nisan","Mayıs","Haziran","Temmuz","Ağustos","Eylül","Ekim","Kasım","Aralık"},MONTH(B551)))</f>
        <v/>
      </c>
      <c r="D551" s="2"/>
      <c r="E551" s="4" t="str">
        <f>IFERROR(INDEX('Araç Tanımlama'!$D$5:$D$200,MATCH(D551,'Araç Tanımlama'!$A$5:$A$200,0)),"")</f>
        <v/>
      </c>
      <c r="F551" s="4" t="str">
        <f>IFERROR(INDEX('Araç Tanımlama'!$E$5:$E$200,MATCH(D551,'Araç Tanımlama'!$A$5:$A$200,0)),"")</f>
        <v/>
      </c>
      <c r="G551" s="2"/>
      <c r="H551" s="7"/>
      <c r="I551" s="9" t="str">
        <f>IF(OR(G551="",H551=""),"",G551*H551)</f>
        <v/>
      </c>
      <c r="J551" s="2"/>
      <c r="K551" s="2"/>
    </row>
    <row r="552" spans="1:11">
      <c r="A552" s="4" t="str">
        <f>IF(D552="","",COUNTIF($D$5:D552,"?*"))</f>
        <v/>
      </c>
      <c r="B552" s="5"/>
      <c r="C552" s="4" t="str">
        <f>IF(B552="","",INDEX({"Ocak","Şubat","Mart","Nisan","Mayıs","Haziran","Temmuz","Ağustos","Eylül","Ekim","Kasım","Aralık"},MONTH(B552)))</f>
        <v/>
      </c>
      <c r="D552" s="2"/>
      <c r="E552" s="4" t="str">
        <f>IFERROR(INDEX('Araç Tanımlama'!$D$5:$D$200,MATCH(D552,'Araç Tanımlama'!$A$5:$A$200,0)),"")</f>
        <v/>
      </c>
      <c r="F552" s="4" t="str">
        <f>IFERROR(INDEX('Araç Tanımlama'!$E$5:$E$200,MATCH(D552,'Araç Tanımlama'!$A$5:$A$200,0)),"")</f>
        <v/>
      </c>
      <c r="G552" s="2"/>
      <c r="H552" s="7"/>
      <c r="I552" s="9" t="str">
        <f>IF(OR(G552="",H552=""),"",G552*H552)</f>
        <v/>
      </c>
      <c r="J552" s="2"/>
      <c r="K552" s="2"/>
    </row>
    <row r="553" spans="1:11">
      <c r="A553" s="4" t="str">
        <f>IF(D553="","",COUNTIF($D$5:D553,"?*"))</f>
        <v/>
      </c>
      <c r="B553" s="5"/>
      <c r="C553" s="4" t="str">
        <f>IF(B553="","",INDEX({"Ocak","Şubat","Mart","Nisan","Mayıs","Haziran","Temmuz","Ağustos","Eylül","Ekim","Kasım","Aralık"},MONTH(B553)))</f>
        <v/>
      </c>
      <c r="D553" s="2"/>
      <c r="E553" s="4" t="str">
        <f>IFERROR(INDEX('Araç Tanımlama'!$D$5:$D$200,MATCH(D553,'Araç Tanımlama'!$A$5:$A$200,0)),"")</f>
        <v/>
      </c>
      <c r="F553" s="4" t="str">
        <f>IFERROR(INDEX('Araç Tanımlama'!$E$5:$E$200,MATCH(D553,'Araç Tanımlama'!$A$5:$A$200,0)),"")</f>
        <v/>
      </c>
      <c r="G553" s="2"/>
      <c r="H553" s="7"/>
      <c r="I553" s="9" t="str">
        <f>IF(OR(G553="",H553=""),"",G553*H553)</f>
        <v/>
      </c>
      <c r="J553" s="2"/>
      <c r="K553" s="2"/>
    </row>
    <row r="554" spans="1:11">
      <c r="A554" s="4" t="str">
        <f>IF(D554="","",COUNTIF($D$5:D554,"?*"))</f>
        <v/>
      </c>
      <c r="B554" s="5"/>
      <c r="C554" s="4" t="str">
        <f>IF(B554="","",INDEX({"Ocak","Şubat","Mart","Nisan","Mayıs","Haziran","Temmuz","Ağustos","Eylül","Ekim","Kasım","Aralık"},MONTH(B554)))</f>
        <v/>
      </c>
      <c r="D554" s="2"/>
      <c r="E554" s="4" t="str">
        <f>IFERROR(INDEX('Araç Tanımlama'!$D$5:$D$200,MATCH(D554,'Araç Tanımlama'!$A$5:$A$200,0)),"")</f>
        <v/>
      </c>
      <c r="F554" s="4" t="str">
        <f>IFERROR(INDEX('Araç Tanımlama'!$E$5:$E$200,MATCH(D554,'Araç Tanımlama'!$A$5:$A$200,0)),"")</f>
        <v/>
      </c>
      <c r="G554" s="2"/>
      <c r="H554" s="7"/>
      <c r="I554" s="9" t="str">
        <f>IF(OR(G554="",H554=""),"",G554*H554)</f>
        <v/>
      </c>
      <c r="J554" s="2"/>
      <c r="K554" s="2"/>
    </row>
    <row r="555" spans="1:11">
      <c r="A555" s="4" t="str">
        <f>IF(D555="","",COUNTIF($D$5:D555,"?*"))</f>
        <v/>
      </c>
      <c r="B555" s="5"/>
      <c r="C555" s="4" t="str">
        <f>IF(B555="","",INDEX({"Ocak","Şubat","Mart","Nisan","Mayıs","Haziran","Temmuz","Ağustos","Eylül","Ekim","Kasım","Aralık"},MONTH(B555)))</f>
        <v/>
      </c>
      <c r="D555" s="2"/>
      <c r="E555" s="4" t="str">
        <f>IFERROR(INDEX('Araç Tanımlama'!$D$5:$D$200,MATCH(D555,'Araç Tanımlama'!$A$5:$A$200,0)),"")</f>
        <v/>
      </c>
      <c r="F555" s="4" t="str">
        <f>IFERROR(INDEX('Araç Tanımlama'!$E$5:$E$200,MATCH(D555,'Araç Tanımlama'!$A$5:$A$200,0)),"")</f>
        <v/>
      </c>
      <c r="G555" s="2"/>
      <c r="H555" s="7"/>
      <c r="I555" s="9" t="str">
        <f>IF(OR(G555="",H555=""),"",G555*H555)</f>
        <v/>
      </c>
      <c r="J555" s="2"/>
      <c r="K555" s="2"/>
    </row>
    <row r="556" spans="1:11">
      <c r="A556" s="4" t="str">
        <f>IF(D556="","",COUNTIF($D$5:D556,"?*"))</f>
        <v/>
      </c>
      <c r="B556" s="5"/>
      <c r="C556" s="4" t="str">
        <f>IF(B556="","",INDEX({"Ocak","Şubat","Mart","Nisan","Mayıs","Haziran","Temmuz","Ağustos","Eylül","Ekim","Kasım","Aralık"},MONTH(B556)))</f>
        <v/>
      </c>
      <c r="D556" s="2"/>
      <c r="E556" s="4" t="str">
        <f>IFERROR(INDEX('Araç Tanımlama'!$D$5:$D$200,MATCH(D556,'Araç Tanımlama'!$A$5:$A$200,0)),"")</f>
        <v/>
      </c>
      <c r="F556" s="4" t="str">
        <f>IFERROR(INDEX('Araç Tanımlama'!$E$5:$E$200,MATCH(D556,'Araç Tanımlama'!$A$5:$A$200,0)),"")</f>
        <v/>
      </c>
      <c r="G556" s="2"/>
      <c r="H556" s="7"/>
      <c r="I556" s="9" t="str">
        <f>IF(OR(G556="",H556=""),"",G556*H556)</f>
        <v/>
      </c>
      <c r="J556" s="2"/>
      <c r="K556" s="2"/>
    </row>
    <row r="557" spans="1:11">
      <c r="A557" s="4" t="str">
        <f>IF(D557="","",COUNTIF($D$5:D557,"?*"))</f>
        <v/>
      </c>
      <c r="B557" s="5"/>
      <c r="C557" s="4" t="str">
        <f>IF(B557="","",INDEX({"Ocak","Şubat","Mart","Nisan","Mayıs","Haziran","Temmuz","Ağustos","Eylül","Ekim","Kasım","Aralık"},MONTH(B557)))</f>
        <v/>
      </c>
      <c r="D557" s="2"/>
      <c r="E557" s="4" t="str">
        <f>IFERROR(INDEX('Araç Tanımlama'!$D$5:$D$200,MATCH(D557,'Araç Tanımlama'!$A$5:$A$200,0)),"")</f>
        <v/>
      </c>
      <c r="F557" s="4" t="str">
        <f>IFERROR(INDEX('Araç Tanımlama'!$E$5:$E$200,MATCH(D557,'Araç Tanımlama'!$A$5:$A$200,0)),"")</f>
        <v/>
      </c>
      <c r="G557" s="2"/>
      <c r="H557" s="7"/>
      <c r="I557" s="9" t="str">
        <f>IF(OR(G557="",H557=""),"",G557*H557)</f>
        <v/>
      </c>
      <c r="J557" s="2"/>
      <c r="K557" s="2"/>
    </row>
    <row r="558" spans="1:11">
      <c r="A558" s="4" t="str">
        <f>IF(D558="","",COUNTIF($D$5:D558,"?*"))</f>
        <v/>
      </c>
      <c r="B558" s="5"/>
      <c r="C558" s="4" t="str">
        <f>IF(B558="","",INDEX({"Ocak","Şubat","Mart","Nisan","Mayıs","Haziran","Temmuz","Ağustos","Eylül","Ekim","Kasım","Aralık"},MONTH(B558)))</f>
        <v/>
      </c>
      <c r="D558" s="2"/>
      <c r="E558" s="4" t="str">
        <f>IFERROR(INDEX('Araç Tanımlama'!$D$5:$D$200,MATCH(D558,'Araç Tanımlama'!$A$5:$A$200,0)),"")</f>
        <v/>
      </c>
      <c r="F558" s="4" t="str">
        <f>IFERROR(INDEX('Araç Tanımlama'!$E$5:$E$200,MATCH(D558,'Araç Tanımlama'!$A$5:$A$200,0)),"")</f>
        <v/>
      </c>
      <c r="G558" s="2"/>
      <c r="H558" s="7"/>
      <c r="I558" s="9" t="str">
        <f>IF(OR(G558="",H558=""),"",G558*H558)</f>
        <v/>
      </c>
      <c r="J558" s="2"/>
      <c r="K558" s="2"/>
    </row>
    <row r="559" spans="1:11">
      <c r="A559" s="4" t="str">
        <f>IF(D559="","",COUNTIF($D$5:D559,"?*"))</f>
        <v/>
      </c>
      <c r="B559" s="5"/>
      <c r="C559" s="4" t="str">
        <f>IF(B559="","",INDEX({"Ocak","Şubat","Mart","Nisan","Mayıs","Haziran","Temmuz","Ağustos","Eylül","Ekim","Kasım","Aralık"},MONTH(B559)))</f>
        <v/>
      </c>
      <c r="D559" s="2"/>
      <c r="E559" s="4" t="str">
        <f>IFERROR(INDEX('Araç Tanımlama'!$D$5:$D$200,MATCH(D559,'Araç Tanımlama'!$A$5:$A$200,0)),"")</f>
        <v/>
      </c>
      <c r="F559" s="4" t="str">
        <f>IFERROR(INDEX('Araç Tanımlama'!$E$5:$E$200,MATCH(D559,'Araç Tanımlama'!$A$5:$A$200,0)),"")</f>
        <v/>
      </c>
      <c r="G559" s="2"/>
      <c r="H559" s="7"/>
      <c r="I559" s="9" t="str">
        <f>IF(OR(G559="",H559=""),"",G559*H559)</f>
        <v/>
      </c>
      <c r="J559" s="2"/>
      <c r="K559" s="2"/>
    </row>
    <row r="560" spans="1:11">
      <c r="A560" s="4" t="str">
        <f>IF(D560="","",COUNTIF($D$5:D560,"?*"))</f>
        <v/>
      </c>
      <c r="B560" s="5"/>
      <c r="C560" s="4" t="str">
        <f>IF(B560="","",INDEX({"Ocak","Şubat","Mart","Nisan","Mayıs","Haziran","Temmuz","Ağustos","Eylül","Ekim","Kasım","Aralık"},MONTH(B560)))</f>
        <v/>
      </c>
      <c r="D560" s="2"/>
      <c r="E560" s="4" t="str">
        <f>IFERROR(INDEX('Araç Tanımlama'!$D$5:$D$200,MATCH(D560,'Araç Tanımlama'!$A$5:$A$200,0)),"")</f>
        <v/>
      </c>
      <c r="F560" s="4" t="str">
        <f>IFERROR(INDEX('Araç Tanımlama'!$E$5:$E$200,MATCH(D560,'Araç Tanımlama'!$A$5:$A$200,0)),"")</f>
        <v/>
      </c>
      <c r="G560" s="2"/>
      <c r="H560" s="7"/>
      <c r="I560" s="9" t="str">
        <f>IF(OR(G560="",H560=""),"",G560*H560)</f>
        <v/>
      </c>
      <c r="J560" s="2"/>
      <c r="K560" s="2"/>
    </row>
    <row r="561" spans="1:11">
      <c r="A561" s="4" t="str">
        <f>IF(D561="","",COUNTIF($D$5:D561,"?*"))</f>
        <v/>
      </c>
      <c r="B561" s="5"/>
      <c r="C561" s="4" t="str">
        <f>IF(B561="","",INDEX({"Ocak","Şubat","Mart","Nisan","Mayıs","Haziran","Temmuz","Ağustos","Eylül","Ekim","Kasım","Aralık"},MONTH(B561)))</f>
        <v/>
      </c>
      <c r="D561" s="2"/>
      <c r="E561" s="4" t="str">
        <f>IFERROR(INDEX('Araç Tanımlama'!$D$5:$D$200,MATCH(D561,'Araç Tanımlama'!$A$5:$A$200,0)),"")</f>
        <v/>
      </c>
      <c r="F561" s="4" t="str">
        <f>IFERROR(INDEX('Araç Tanımlama'!$E$5:$E$200,MATCH(D561,'Araç Tanımlama'!$A$5:$A$200,0)),"")</f>
        <v/>
      </c>
      <c r="G561" s="2"/>
      <c r="H561" s="7"/>
      <c r="I561" s="9" t="str">
        <f>IF(OR(G561="",H561=""),"",G561*H561)</f>
        <v/>
      </c>
      <c r="J561" s="2"/>
      <c r="K561" s="2"/>
    </row>
    <row r="562" spans="1:11">
      <c r="A562" s="4" t="str">
        <f>IF(D562="","",COUNTIF($D$5:D562,"?*"))</f>
        <v/>
      </c>
      <c r="B562" s="5"/>
      <c r="C562" s="4" t="str">
        <f>IF(B562="","",INDEX({"Ocak","Şubat","Mart","Nisan","Mayıs","Haziran","Temmuz","Ağustos","Eylül","Ekim","Kasım","Aralık"},MONTH(B562)))</f>
        <v/>
      </c>
      <c r="D562" s="2"/>
      <c r="E562" s="4" t="str">
        <f>IFERROR(INDEX('Araç Tanımlama'!$D$5:$D$200,MATCH(D562,'Araç Tanımlama'!$A$5:$A$200,0)),"")</f>
        <v/>
      </c>
      <c r="F562" s="4" t="str">
        <f>IFERROR(INDEX('Araç Tanımlama'!$E$5:$E$200,MATCH(D562,'Araç Tanımlama'!$A$5:$A$200,0)),"")</f>
        <v/>
      </c>
      <c r="G562" s="2"/>
      <c r="H562" s="7"/>
      <c r="I562" s="9" t="str">
        <f>IF(OR(G562="",H562=""),"",G562*H562)</f>
        <v/>
      </c>
      <c r="J562" s="2"/>
      <c r="K562" s="2"/>
    </row>
    <row r="563" spans="1:11">
      <c r="A563" s="4" t="str">
        <f>IF(D563="","",COUNTIF($D$5:D563,"?*"))</f>
        <v/>
      </c>
      <c r="B563" s="5"/>
      <c r="C563" s="4" t="str">
        <f>IF(B563="","",INDEX({"Ocak","Şubat","Mart","Nisan","Mayıs","Haziran","Temmuz","Ağustos","Eylül","Ekim","Kasım","Aralık"},MONTH(B563)))</f>
        <v/>
      </c>
      <c r="D563" s="2"/>
      <c r="E563" s="4" t="str">
        <f>IFERROR(INDEX('Araç Tanımlama'!$D$5:$D$200,MATCH(D563,'Araç Tanımlama'!$A$5:$A$200,0)),"")</f>
        <v/>
      </c>
      <c r="F563" s="4" t="str">
        <f>IFERROR(INDEX('Araç Tanımlama'!$E$5:$E$200,MATCH(D563,'Araç Tanımlama'!$A$5:$A$200,0)),"")</f>
        <v/>
      </c>
      <c r="G563" s="2"/>
      <c r="H563" s="7"/>
      <c r="I563" s="9" t="str">
        <f>IF(OR(G563="",H563=""),"",G563*H563)</f>
        <v/>
      </c>
      <c r="J563" s="2"/>
      <c r="K563" s="2"/>
    </row>
    <row r="564" spans="1:11">
      <c r="A564" s="4" t="str">
        <f>IF(D564="","",COUNTIF($D$5:D564,"?*"))</f>
        <v/>
      </c>
      <c r="B564" s="5"/>
      <c r="C564" s="4" t="str">
        <f>IF(B564="","",INDEX({"Ocak","Şubat","Mart","Nisan","Mayıs","Haziran","Temmuz","Ağustos","Eylül","Ekim","Kasım","Aralık"},MONTH(B564)))</f>
        <v/>
      </c>
      <c r="D564" s="2"/>
      <c r="E564" s="4" t="str">
        <f>IFERROR(INDEX('Araç Tanımlama'!$D$5:$D$200,MATCH(D564,'Araç Tanımlama'!$A$5:$A$200,0)),"")</f>
        <v/>
      </c>
      <c r="F564" s="4" t="str">
        <f>IFERROR(INDEX('Araç Tanımlama'!$E$5:$E$200,MATCH(D564,'Araç Tanımlama'!$A$5:$A$200,0)),"")</f>
        <v/>
      </c>
      <c r="G564" s="2"/>
      <c r="H564" s="7"/>
      <c r="I564" s="9" t="str">
        <f>IF(OR(G564="",H564=""),"",G564*H564)</f>
        <v/>
      </c>
      <c r="J564" s="2"/>
      <c r="K564" s="2"/>
    </row>
    <row r="565" spans="1:11">
      <c r="A565" s="4" t="str">
        <f>IF(D565="","",COUNTIF($D$5:D565,"?*"))</f>
        <v/>
      </c>
      <c r="B565" s="5"/>
      <c r="C565" s="4" t="str">
        <f>IF(B565="","",INDEX({"Ocak","Şubat","Mart","Nisan","Mayıs","Haziran","Temmuz","Ağustos","Eylül","Ekim","Kasım","Aralık"},MONTH(B565)))</f>
        <v/>
      </c>
      <c r="D565" s="2"/>
      <c r="E565" s="4" t="str">
        <f>IFERROR(INDEX('Araç Tanımlama'!$D$5:$D$200,MATCH(D565,'Araç Tanımlama'!$A$5:$A$200,0)),"")</f>
        <v/>
      </c>
      <c r="F565" s="4" t="str">
        <f>IFERROR(INDEX('Araç Tanımlama'!$E$5:$E$200,MATCH(D565,'Araç Tanımlama'!$A$5:$A$200,0)),"")</f>
        <v/>
      </c>
      <c r="G565" s="2"/>
      <c r="H565" s="7"/>
      <c r="I565" s="9" t="str">
        <f>IF(OR(G565="",H565=""),"",G565*H565)</f>
        <v/>
      </c>
      <c r="J565" s="2"/>
      <c r="K565" s="2"/>
    </row>
    <row r="566" spans="1:11">
      <c r="A566" s="4" t="str">
        <f>IF(D566="","",COUNTIF($D$5:D566,"?*"))</f>
        <v/>
      </c>
      <c r="B566" s="5"/>
      <c r="C566" s="4" t="str">
        <f>IF(B566="","",INDEX({"Ocak","Şubat","Mart","Nisan","Mayıs","Haziran","Temmuz","Ağustos","Eylül","Ekim","Kasım","Aralık"},MONTH(B566)))</f>
        <v/>
      </c>
      <c r="D566" s="2"/>
      <c r="E566" s="4" t="str">
        <f>IFERROR(INDEX('Araç Tanımlama'!$D$5:$D$200,MATCH(D566,'Araç Tanımlama'!$A$5:$A$200,0)),"")</f>
        <v/>
      </c>
      <c r="F566" s="4" t="str">
        <f>IFERROR(INDEX('Araç Tanımlama'!$E$5:$E$200,MATCH(D566,'Araç Tanımlama'!$A$5:$A$200,0)),"")</f>
        <v/>
      </c>
      <c r="G566" s="2"/>
      <c r="H566" s="7"/>
      <c r="I566" s="9" t="str">
        <f>IF(OR(G566="",H566=""),"",G566*H566)</f>
        <v/>
      </c>
      <c r="J566" s="2"/>
      <c r="K566" s="2"/>
    </row>
    <row r="567" spans="1:11">
      <c r="A567" s="4" t="str">
        <f>IF(D567="","",COUNTIF($D$5:D567,"?*"))</f>
        <v/>
      </c>
      <c r="B567" s="5"/>
      <c r="C567" s="4" t="str">
        <f>IF(B567="","",INDEX({"Ocak","Şubat","Mart","Nisan","Mayıs","Haziran","Temmuz","Ağustos","Eylül","Ekim","Kasım","Aralık"},MONTH(B567)))</f>
        <v/>
      </c>
      <c r="D567" s="2"/>
      <c r="E567" s="4" t="str">
        <f>IFERROR(INDEX('Araç Tanımlama'!$D$5:$D$200,MATCH(D567,'Araç Tanımlama'!$A$5:$A$200,0)),"")</f>
        <v/>
      </c>
      <c r="F567" s="4" t="str">
        <f>IFERROR(INDEX('Araç Tanımlama'!$E$5:$E$200,MATCH(D567,'Araç Tanımlama'!$A$5:$A$200,0)),"")</f>
        <v/>
      </c>
      <c r="G567" s="2"/>
      <c r="H567" s="7"/>
      <c r="I567" s="9" t="str">
        <f>IF(OR(G567="",H567=""),"",G567*H567)</f>
        <v/>
      </c>
      <c r="J567" s="2"/>
      <c r="K567" s="2"/>
    </row>
    <row r="568" spans="1:11">
      <c r="A568" s="4" t="str">
        <f>IF(D568="","",COUNTIF($D$5:D568,"?*"))</f>
        <v/>
      </c>
      <c r="B568" s="5"/>
      <c r="C568" s="4" t="str">
        <f>IF(B568="","",INDEX({"Ocak","Şubat","Mart","Nisan","Mayıs","Haziran","Temmuz","Ağustos","Eylül","Ekim","Kasım","Aralık"},MONTH(B568)))</f>
        <v/>
      </c>
      <c r="D568" s="2"/>
      <c r="E568" s="4" t="str">
        <f>IFERROR(INDEX('Araç Tanımlama'!$D$5:$D$200,MATCH(D568,'Araç Tanımlama'!$A$5:$A$200,0)),"")</f>
        <v/>
      </c>
      <c r="F568" s="4" t="str">
        <f>IFERROR(INDEX('Araç Tanımlama'!$E$5:$E$200,MATCH(D568,'Araç Tanımlama'!$A$5:$A$200,0)),"")</f>
        <v/>
      </c>
      <c r="G568" s="2"/>
      <c r="H568" s="7"/>
      <c r="I568" s="9" t="str">
        <f>IF(OR(G568="",H568=""),"",G568*H568)</f>
        <v/>
      </c>
      <c r="J568" s="2"/>
      <c r="K568" s="2"/>
    </row>
    <row r="569" spans="1:11">
      <c r="A569" s="4" t="str">
        <f>IF(D569="","",COUNTIF($D$5:D569,"?*"))</f>
        <v/>
      </c>
      <c r="B569" s="5"/>
      <c r="C569" s="4" t="str">
        <f>IF(B569="","",INDEX({"Ocak","Şubat","Mart","Nisan","Mayıs","Haziran","Temmuz","Ağustos","Eylül","Ekim","Kasım","Aralık"},MONTH(B569)))</f>
        <v/>
      </c>
      <c r="D569" s="2"/>
      <c r="E569" s="4" t="str">
        <f>IFERROR(INDEX('Araç Tanımlama'!$D$5:$D$200,MATCH(D569,'Araç Tanımlama'!$A$5:$A$200,0)),"")</f>
        <v/>
      </c>
      <c r="F569" s="4" t="str">
        <f>IFERROR(INDEX('Araç Tanımlama'!$E$5:$E$200,MATCH(D569,'Araç Tanımlama'!$A$5:$A$200,0)),"")</f>
        <v/>
      </c>
      <c r="G569" s="2"/>
      <c r="H569" s="7"/>
      <c r="I569" s="9" t="str">
        <f>IF(OR(G569="",H569=""),"",G569*H569)</f>
        <v/>
      </c>
      <c r="J569" s="2"/>
      <c r="K569" s="2"/>
    </row>
    <row r="570" spans="1:11">
      <c r="A570" s="4" t="str">
        <f>IF(D570="","",COUNTIF($D$5:D570,"?*"))</f>
        <v/>
      </c>
      <c r="B570" s="5"/>
      <c r="C570" s="4" t="str">
        <f>IF(B570="","",INDEX({"Ocak","Şubat","Mart","Nisan","Mayıs","Haziran","Temmuz","Ağustos","Eylül","Ekim","Kasım","Aralık"},MONTH(B570)))</f>
        <v/>
      </c>
      <c r="D570" s="2"/>
      <c r="E570" s="4" t="str">
        <f>IFERROR(INDEX('Araç Tanımlama'!$D$5:$D$200,MATCH(D570,'Araç Tanımlama'!$A$5:$A$200,0)),"")</f>
        <v/>
      </c>
      <c r="F570" s="4" t="str">
        <f>IFERROR(INDEX('Araç Tanımlama'!$E$5:$E$200,MATCH(D570,'Araç Tanımlama'!$A$5:$A$200,0)),"")</f>
        <v/>
      </c>
      <c r="G570" s="2"/>
      <c r="H570" s="7"/>
      <c r="I570" s="9" t="str">
        <f>IF(OR(G570="",H570=""),"",G570*H570)</f>
        <v/>
      </c>
      <c r="J570" s="2"/>
      <c r="K570" s="2"/>
    </row>
    <row r="571" spans="1:11">
      <c r="A571" s="4" t="str">
        <f>IF(D571="","",COUNTIF($D$5:D571,"?*"))</f>
        <v/>
      </c>
      <c r="B571" s="5"/>
      <c r="C571" s="4" t="str">
        <f>IF(B571="","",INDEX({"Ocak","Şubat","Mart","Nisan","Mayıs","Haziran","Temmuz","Ağustos","Eylül","Ekim","Kasım","Aralık"},MONTH(B571)))</f>
        <v/>
      </c>
      <c r="D571" s="2"/>
      <c r="E571" s="4" t="str">
        <f>IFERROR(INDEX('Araç Tanımlama'!$D$5:$D$200,MATCH(D571,'Araç Tanımlama'!$A$5:$A$200,0)),"")</f>
        <v/>
      </c>
      <c r="F571" s="4" t="str">
        <f>IFERROR(INDEX('Araç Tanımlama'!$E$5:$E$200,MATCH(D571,'Araç Tanımlama'!$A$5:$A$200,0)),"")</f>
        <v/>
      </c>
      <c r="G571" s="2"/>
      <c r="H571" s="7"/>
      <c r="I571" s="9" t="str">
        <f>IF(OR(G571="",H571=""),"",G571*H571)</f>
        <v/>
      </c>
      <c r="J571" s="2"/>
      <c r="K571" s="2"/>
    </row>
    <row r="572" spans="1:11">
      <c r="A572" s="4" t="str">
        <f>IF(D572="","",COUNTIF($D$5:D572,"?*"))</f>
        <v/>
      </c>
      <c r="B572" s="5"/>
      <c r="C572" s="4" t="str">
        <f>IF(B572="","",INDEX({"Ocak","Şubat","Mart","Nisan","Mayıs","Haziran","Temmuz","Ağustos","Eylül","Ekim","Kasım","Aralık"},MONTH(B572)))</f>
        <v/>
      </c>
      <c r="D572" s="2"/>
      <c r="E572" s="4" t="str">
        <f>IFERROR(INDEX('Araç Tanımlama'!$D$5:$D$200,MATCH(D572,'Araç Tanımlama'!$A$5:$A$200,0)),"")</f>
        <v/>
      </c>
      <c r="F572" s="4" t="str">
        <f>IFERROR(INDEX('Araç Tanımlama'!$E$5:$E$200,MATCH(D572,'Araç Tanımlama'!$A$5:$A$200,0)),"")</f>
        <v/>
      </c>
      <c r="G572" s="2"/>
      <c r="H572" s="7"/>
      <c r="I572" s="9" t="str">
        <f>IF(OR(G572="",H572=""),"",G572*H572)</f>
        <v/>
      </c>
      <c r="J572" s="2"/>
      <c r="K572" s="2"/>
    </row>
    <row r="573" spans="1:11">
      <c r="A573" s="4" t="str">
        <f>IF(D573="","",COUNTIF($D$5:D573,"?*"))</f>
        <v/>
      </c>
      <c r="B573" s="5"/>
      <c r="C573" s="4" t="str">
        <f>IF(B573="","",INDEX({"Ocak","Şubat","Mart","Nisan","Mayıs","Haziran","Temmuz","Ağustos","Eylül","Ekim","Kasım","Aralık"},MONTH(B573)))</f>
        <v/>
      </c>
      <c r="D573" s="2"/>
      <c r="E573" s="4" t="str">
        <f>IFERROR(INDEX('Araç Tanımlama'!$D$5:$D$200,MATCH(D573,'Araç Tanımlama'!$A$5:$A$200,0)),"")</f>
        <v/>
      </c>
      <c r="F573" s="4" t="str">
        <f>IFERROR(INDEX('Araç Tanımlama'!$E$5:$E$200,MATCH(D573,'Araç Tanımlama'!$A$5:$A$200,0)),"")</f>
        <v/>
      </c>
      <c r="G573" s="2"/>
      <c r="H573" s="7"/>
      <c r="I573" s="9" t="str">
        <f>IF(OR(G573="",H573=""),"",G573*H573)</f>
        <v/>
      </c>
      <c r="J573" s="2"/>
      <c r="K573" s="2"/>
    </row>
    <row r="574" spans="1:11">
      <c r="A574" s="4" t="str">
        <f>IF(D574="","",COUNTIF($D$5:D574,"?*"))</f>
        <v/>
      </c>
      <c r="B574" s="5"/>
      <c r="C574" s="4" t="str">
        <f>IF(B574="","",INDEX({"Ocak","Şubat","Mart","Nisan","Mayıs","Haziran","Temmuz","Ağustos","Eylül","Ekim","Kasım","Aralık"},MONTH(B574)))</f>
        <v/>
      </c>
      <c r="D574" s="2"/>
      <c r="E574" s="4" t="str">
        <f>IFERROR(INDEX('Araç Tanımlama'!$D$5:$D$200,MATCH(D574,'Araç Tanımlama'!$A$5:$A$200,0)),"")</f>
        <v/>
      </c>
      <c r="F574" s="4" t="str">
        <f>IFERROR(INDEX('Araç Tanımlama'!$E$5:$E$200,MATCH(D574,'Araç Tanımlama'!$A$5:$A$200,0)),"")</f>
        <v/>
      </c>
      <c r="G574" s="2"/>
      <c r="H574" s="7"/>
      <c r="I574" s="9" t="str">
        <f>IF(OR(G574="",H574=""),"",G574*H574)</f>
        <v/>
      </c>
      <c r="J574" s="2"/>
      <c r="K574" s="2"/>
    </row>
    <row r="575" spans="1:11">
      <c r="A575" s="4" t="str">
        <f>IF(D575="","",COUNTIF($D$5:D575,"?*"))</f>
        <v/>
      </c>
      <c r="B575" s="5"/>
      <c r="C575" s="4" t="str">
        <f>IF(B575="","",INDEX({"Ocak","Şubat","Mart","Nisan","Mayıs","Haziran","Temmuz","Ağustos","Eylül","Ekim","Kasım","Aralık"},MONTH(B575)))</f>
        <v/>
      </c>
      <c r="D575" s="2"/>
      <c r="E575" s="4" t="str">
        <f>IFERROR(INDEX('Araç Tanımlama'!$D$5:$D$200,MATCH(D575,'Araç Tanımlama'!$A$5:$A$200,0)),"")</f>
        <v/>
      </c>
      <c r="F575" s="4" t="str">
        <f>IFERROR(INDEX('Araç Tanımlama'!$E$5:$E$200,MATCH(D575,'Araç Tanımlama'!$A$5:$A$200,0)),"")</f>
        <v/>
      </c>
      <c r="G575" s="2"/>
      <c r="H575" s="7"/>
      <c r="I575" s="9" t="str">
        <f>IF(OR(G575="",H575=""),"",G575*H575)</f>
        <v/>
      </c>
      <c r="J575" s="2"/>
      <c r="K575" s="2"/>
    </row>
    <row r="576" spans="1:11">
      <c r="A576" s="4" t="str">
        <f>IF(D576="","",COUNTIF($D$5:D576,"?*"))</f>
        <v/>
      </c>
      <c r="B576" s="5"/>
      <c r="C576" s="4" t="str">
        <f>IF(B576="","",INDEX({"Ocak","Şubat","Mart","Nisan","Mayıs","Haziran","Temmuz","Ağustos","Eylül","Ekim","Kasım","Aralık"},MONTH(B576)))</f>
        <v/>
      </c>
      <c r="D576" s="2"/>
      <c r="E576" s="4" t="str">
        <f>IFERROR(INDEX('Araç Tanımlama'!$D$5:$D$200,MATCH(D576,'Araç Tanımlama'!$A$5:$A$200,0)),"")</f>
        <v/>
      </c>
      <c r="F576" s="4" t="str">
        <f>IFERROR(INDEX('Araç Tanımlama'!$E$5:$E$200,MATCH(D576,'Araç Tanımlama'!$A$5:$A$200,0)),"")</f>
        <v/>
      </c>
      <c r="G576" s="2"/>
      <c r="H576" s="7"/>
      <c r="I576" s="9" t="str">
        <f>IF(OR(G576="",H576=""),"",G576*H576)</f>
        <v/>
      </c>
      <c r="J576" s="2"/>
      <c r="K576" s="2"/>
    </row>
    <row r="577" spans="1:11">
      <c r="A577" s="4" t="str">
        <f>IF(D577="","",COUNTIF($D$5:D577,"?*"))</f>
        <v/>
      </c>
      <c r="B577" s="5"/>
      <c r="C577" s="4" t="str">
        <f>IF(B577="","",INDEX({"Ocak","Şubat","Mart","Nisan","Mayıs","Haziran","Temmuz","Ağustos","Eylül","Ekim","Kasım","Aralık"},MONTH(B577)))</f>
        <v/>
      </c>
      <c r="D577" s="2"/>
      <c r="E577" s="4" t="str">
        <f>IFERROR(INDEX('Araç Tanımlama'!$D$5:$D$200,MATCH(D577,'Araç Tanımlama'!$A$5:$A$200,0)),"")</f>
        <v/>
      </c>
      <c r="F577" s="4" t="str">
        <f>IFERROR(INDEX('Araç Tanımlama'!$E$5:$E$200,MATCH(D577,'Araç Tanımlama'!$A$5:$A$200,0)),"")</f>
        <v/>
      </c>
      <c r="G577" s="2"/>
      <c r="H577" s="7"/>
      <c r="I577" s="9" t="str">
        <f>IF(OR(G577="",H577=""),"",G577*H577)</f>
        <v/>
      </c>
      <c r="J577" s="2"/>
      <c r="K577" s="2"/>
    </row>
    <row r="578" spans="1:11">
      <c r="A578" s="4" t="str">
        <f>IF(D578="","",COUNTIF($D$5:D578,"?*"))</f>
        <v/>
      </c>
      <c r="B578" s="5"/>
      <c r="C578" s="4" t="str">
        <f>IF(B578="","",INDEX({"Ocak","Şubat","Mart","Nisan","Mayıs","Haziran","Temmuz","Ağustos","Eylül","Ekim","Kasım","Aralık"},MONTH(B578)))</f>
        <v/>
      </c>
      <c r="D578" s="2"/>
      <c r="E578" s="4" t="str">
        <f>IFERROR(INDEX('Araç Tanımlama'!$D$5:$D$200,MATCH(D578,'Araç Tanımlama'!$A$5:$A$200,0)),"")</f>
        <v/>
      </c>
      <c r="F578" s="4" t="str">
        <f>IFERROR(INDEX('Araç Tanımlama'!$E$5:$E$200,MATCH(D578,'Araç Tanımlama'!$A$5:$A$200,0)),"")</f>
        <v/>
      </c>
      <c r="G578" s="2"/>
      <c r="H578" s="7"/>
      <c r="I578" s="9" t="str">
        <f>IF(OR(G578="",H578=""),"",G578*H578)</f>
        <v/>
      </c>
      <c r="J578" s="2"/>
      <c r="K578" s="2"/>
    </row>
    <row r="579" spans="1:11">
      <c r="A579" s="4" t="str">
        <f>IF(D579="","",COUNTIF($D$5:D579,"?*"))</f>
        <v/>
      </c>
      <c r="B579" s="5"/>
      <c r="C579" s="4" t="str">
        <f>IF(B579="","",INDEX({"Ocak","Şubat","Mart","Nisan","Mayıs","Haziran","Temmuz","Ağustos","Eylül","Ekim","Kasım","Aralık"},MONTH(B579)))</f>
        <v/>
      </c>
      <c r="D579" s="2"/>
      <c r="E579" s="4" t="str">
        <f>IFERROR(INDEX('Araç Tanımlama'!$D$5:$D$200,MATCH(D579,'Araç Tanımlama'!$A$5:$A$200,0)),"")</f>
        <v/>
      </c>
      <c r="F579" s="4" t="str">
        <f>IFERROR(INDEX('Araç Tanımlama'!$E$5:$E$200,MATCH(D579,'Araç Tanımlama'!$A$5:$A$200,0)),"")</f>
        <v/>
      </c>
      <c r="G579" s="2"/>
      <c r="H579" s="7"/>
      <c r="I579" s="9" t="str">
        <f>IF(OR(G579="",H579=""),"",G579*H579)</f>
        <v/>
      </c>
      <c r="J579" s="2"/>
      <c r="K579" s="2"/>
    </row>
    <row r="580" spans="1:11">
      <c r="A580" s="4" t="str">
        <f>IF(D580="","",COUNTIF($D$5:D580,"?*"))</f>
        <v/>
      </c>
      <c r="B580" s="5"/>
      <c r="C580" s="4" t="str">
        <f>IF(B580="","",INDEX({"Ocak","Şubat","Mart","Nisan","Mayıs","Haziran","Temmuz","Ağustos","Eylül","Ekim","Kasım","Aralık"},MONTH(B580)))</f>
        <v/>
      </c>
      <c r="D580" s="2"/>
      <c r="E580" s="4" t="str">
        <f>IFERROR(INDEX('Araç Tanımlama'!$D$5:$D$200,MATCH(D580,'Araç Tanımlama'!$A$5:$A$200,0)),"")</f>
        <v/>
      </c>
      <c r="F580" s="4" t="str">
        <f>IFERROR(INDEX('Araç Tanımlama'!$E$5:$E$200,MATCH(D580,'Araç Tanımlama'!$A$5:$A$200,0)),"")</f>
        <v/>
      </c>
      <c r="G580" s="2"/>
      <c r="H580" s="7"/>
      <c r="I580" s="9" t="str">
        <f>IF(OR(G580="",H580=""),"",G580*H580)</f>
        <v/>
      </c>
      <c r="J580" s="2"/>
      <c r="K580" s="2"/>
    </row>
    <row r="581" spans="1:11">
      <c r="A581" s="4" t="str">
        <f>IF(D581="","",COUNTIF($D$5:D581,"?*"))</f>
        <v/>
      </c>
      <c r="B581" s="5"/>
      <c r="C581" s="4" t="str">
        <f>IF(B581="","",INDEX({"Ocak","Şubat","Mart","Nisan","Mayıs","Haziran","Temmuz","Ağustos","Eylül","Ekim","Kasım","Aralık"},MONTH(B581)))</f>
        <v/>
      </c>
      <c r="D581" s="2"/>
      <c r="E581" s="4" t="str">
        <f>IFERROR(INDEX('Araç Tanımlama'!$D$5:$D$200,MATCH(D581,'Araç Tanımlama'!$A$5:$A$200,0)),"")</f>
        <v/>
      </c>
      <c r="F581" s="4" t="str">
        <f>IFERROR(INDEX('Araç Tanımlama'!$E$5:$E$200,MATCH(D581,'Araç Tanımlama'!$A$5:$A$200,0)),"")</f>
        <v/>
      </c>
      <c r="G581" s="2"/>
      <c r="H581" s="7"/>
      <c r="I581" s="9" t="str">
        <f>IF(OR(G581="",H581=""),"",G581*H581)</f>
        <v/>
      </c>
      <c r="J581" s="2"/>
      <c r="K581" s="2"/>
    </row>
    <row r="582" spans="1:11">
      <c r="A582" s="4" t="str">
        <f>IF(D582="","",COUNTIF($D$5:D582,"?*"))</f>
        <v/>
      </c>
      <c r="B582" s="5"/>
      <c r="C582" s="4" t="str">
        <f>IF(B582="","",INDEX({"Ocak","Şubat","Mart","Nisan","Mayıs","Haziran","Temmuz","Ağustos","Eylül","Ekim","Kasım","Aralık"},MONTH(B582)))</f>
        <v/>
      </c>
      <c r="D582" s="2"/>
      <c r="E582" s="4" t="str">
        <f>IFERROR(INDEX('Araç Tanımlama'!$D$5:$D$200,MATCH(D582,'Araç Tanımlama'!$A$5:$A$200,0)),"")</f>
        <v/>
      </c>
      <c r="F582" s="4" t="str">
        <f>IFERROR(INDEX('Araç Tanımlama'!$E$5:$E$200,MATCH(D582,'Araç Tanımlama'!$A$5:$A$200,0)),"")</f>
        <v/>
      </c>
      <c r="G582" s="2"/>
      <c r="H582" s="7"/>
      <c r="I582" s="9" t="str">
        <f>IF(OR(G582="",H582=""),"",G582*H582)</f>
        <v/>
      </c>
      <c r="J582" s="2"/>
      <c r="K582" s="2"/>
    </row>
    <row r="583" spans="1:11">
      <c r="A583" s="4" t="str">
        <f>IF(D583="","",COUNTIF($D$5:D583,"?*"))</f>
        <v/>
      </c>
      <c r="B583" s="5"/>
      <c r="C583" s="4" t="str">
        <f>IF(B583="","",INDEX({"Ocak","Şubat","Mart","Nisan","Mayıs","Haziran","Temmuz","Ağustos","Eylül","Ekim","Kasım","Aralık"},MONTH(B583)))</f>
        <v/>
      </c>
      <c r="D583" s="2"/>
      <c r="E583" s="4" t="str">
        <f>IFERROR(INDEX('Araç Tanımlama'!$D$5:$D$200,MATCH(D583,'Araç Tanımlama'!$A$5:$A$200,0)),"")</f>
        <v/>
      </c>
      <c r="F583" s="4" t="str">
        <f>IFERROR(INDEX('Araç Tanımlama'!$E$5:$E$200,MATCH(D583,'Araç Tanımlama'!$A$5:$A$200,0)),"")</f>
        <v/>
      </c>
      <c r="G583" s="2"/>
      <c r="H583" s="7"/>
      <c r="I583" s="9" t="str">
        <f>IF(OR(G583="",H583=""),"",G583*H583)</f>
        <v/>
      </c>
      <c r="J583" s="2"/>
      <c r="K583" s="2"/>
    </row>
    <row r="584" spans="1:11">
      <c r="A584" s="4" t="str">
        <f>IF(D584="","",COUNTIF($D$5:D584,"?*"))</f>
        <v/>
      </c>
      <c r="B584" s="5"/>
      <c r="C584" s="4" t="str">
        <f>IF(B584="","",INDEX({"Ocak","Şubat","Mart","Nisan","Mayıs","Haziran","Temmuz","Ağustos","Eylül","Ekim","Kasım","Aralık"},MONTH(B584)))</f>
        <v/>
      </c>
      <c r="D584" s="2"/>
      <c r="E584" s="4" t="str">
        <f>IFERROR(INDEX('Araç Tanımlama'!$D$5:$D$200,MATCH(D584,'Araç Tanımlama'!$A$5:$A$200,0)),"")</f>
        <v/>
      </c>
      <c r="F584" s="4" t="str">
        <f>IFERROR(INDEX('Araç Tanımlama'!$E$5:$E$200,MATCH(D584,'Araç Tanımlama'!$A$5:$A$200,0)),"")</f>
        <v/>
      </c>
      <c r="G584" s="2"/>
      <c r="H584" s="7"/>
      <c r="I584" s="9" t="str">
        <f>IF(OR(G584="",H584=""),"",G584*H584)</f>
        <v/>
      </c>
      <c r="J584" s="2"/>
      <c r="K584" s="2"/>
    </row>
    <row r="585" spans="1:11">
      <c r="A585" s="4" t="str">
        <f>IF(D585="","",COUNTIF($D$5:D585,"?*"))</f>
        <v/>
      </c>
      <c r="B585" s="5"/>
      <c r="C585" s="4" t="str">
        <f>IF(B585="","",INDEX({"Ocak","Şubat","Mart","Nisan","Mayıs","Haziran","Temmuz","Ağustos","Eylül","Ekim","Kasım","Aralık"},MONTH(B585)))</f>
        <v/>
      </c>
      <c r="D585" s="2"/>
      <c r="E585" s="4" t="str">
        <f>IFERROR(INDEX('Araç Tanımlama'!$D$5:$D$200,MATCH(D585,'Araç Tanımlama'!$A$5:$A$200,0)),"")</f>
        <v/>
      </c>
      <c r="F585" s="4" t="str">
        <f>IFERROR(INDEX('Araç Tanımlama'!$E$5:$E$200,MATCH(D585,'Araç Tanımlama'!$A$5:$A$200,0)),"")</f>
        <v/>
      </c>
      <c r="G585" s="2"/>
      <c r="H585" s="7"/>
      <c r="I585" s="9" t="str">
        <f>IF(OR(G585="",H585=""),"",G585*H585)</f>
        <v/>
      </c>
      <c r="J585" s="2"/>
      <c r="K585" s="2"/>
    </row>
    <row r="586" spans="1:11">
      <c r="A586" s="4" t="str">
        <f>IF(D586="","",COUNTIF($D$5:D586,"?*"))</f>
        <v/>
      </c>
      <c r="B586" s="5"/>
      <c r="C586" s="4" t="str">
        <f>IF(B586="","",INDEX({"Ocak","Şubat","Mart","Nisan","Mayıs","Haziran","Temmuz","Ağustos","Eylül","Ekim","Kasım","Aralık"},MONTH(B586)))</f>
        <v/>
      </c>
      <c r="D586" s="2"/>
      <c r="E586" s="4" t="str">
        <f>IFERROR(INDEX('Araç Tanımlama'!$D$5:$D$200,MATCH(D586,'Araç Tanımlama'!$A$5:$A$200,0)),"")</f>
        <v/>
      </c>
      <c r="F586" s="4" t="str">
        <f>IFERROR(INDEX('Araç Tanımlama'!$E$5:$E$200,MATCH(D586,'Araç Tanımlama'!$A$5:$A$200,0)),"")</f>
        <v/>
      </c>
      <c r="G586" s="2"/>
      <c r="H586" s="7"/>
      <c r="I586" s="9" t="str">
        <f>IF(OR(G586="",H586=""),"",G586*H586)</f>
        <v/>
      </c>
      <c r="J586" s="2"/>
      <c r="K586" s="2"/>
    </row>
    <row r="587" spans="1:11">
      <c r="A587" s="4" t="str">
        <f>IF(D587="","",COUNTIF($D$5:D587,"?*"))</f>
        <v/>
      </c>
      <c r="B587" s="5"/>
      <c r="C587" s="4" t="str">
        <f>IF(B587="","",INDEX({"Ocak","Şubat","Mart","Nisan","Mayıs","Haziran","Temmuz","Ağustos","Eylül","Ekim","Kasım","Aralık"},MONTH(B587)))</f>
        <v/>
      </c>
      <c r="D587" s="2"/>
      <c r="E587" s="4" t="str">
        <f>IFERROR(INDEX('Araç Tanımlama'!$D$5:$D$200,MATCH(D587,'Araç Tanımlama'!$A$5:$A$200,0)),"")</f>
        <v/>
      </c>
      <c r="F587" s="4" t="str">
        <f>IFERROR(INDEX('Araç Tanımlama'!$E$5:$E$200,MATCH(D587,'Araç Tanımlama'!$A$5:$A$200,0)),"")</f>
        <v/>
      </c>
      <c r="G587" s="2"/>
      <c r="H587" s="7"/>
      <c r="I587" s="9" t="str">
        <f>IF(OR(G587="",H587=""),"",G587*H587)</f>
        <v/>
      </c>
      <c r="J587" s="2"/>
      <c r="K587" s="2"/>
    </row>
    <row r="588" spans="1:11">
      <c r="A588" s="4" t="str">
        <f>IF(D588="","",COUNTIF($D$5:D588,"?*"))</f>
        <v/>
      </c>
      <c r="B588" s="5"/>
      <c r="C588" s="4" t="str">
        <f>IF(B588="","",INDEX({"Ocak","Şubat","Mart","Nisan","Mayıs","Haziran","Temmuz","Ağustos","Eylül","Ekim","Kasım","Aralık"},MONTH(B588)))</f>
        <v/>
      </c>
      <c r="D588" s="2"/>
      <c r="E588" s="4" t="str">
        <f>IFERROR(INDEX('Araç Tanımlama'!$D$5:$D$200,MATCH(D588,'Araç Tanımlama'!$A$5:$A$200,0)),"")</f>
        <v/>
      </c>
      <c r="F588" s="4" t="str">
        <f>IFERROR(INDEX('Araç Tanımlama'!$E$5:$E$200,MATCH(D588,'Araç Tanımlama'!$A$5:$A$200,0)),"")</f>
        <v/>
      </c>
      <c r="G588" s="2"/>
      <c r="H588" s="7"/>
      <c r="I588" s="9" t="str">
        <f>IF(OR(G588="",H588=""),"",G588*H588)</f>
        <v/>
      </c>
      <c r="J588" s="2"/>
      <c r="K588" s="2"/>
    </row>
    <row r="589" spans="1:11">
      <c r="A589" s="4" t="str">
        <f>IF(D589="","",COUNTIF($D$5:D589,"?*"))</f>
        <v/>
      </c>
      <c r="B589" s="5"/>
      <c r="C589" s="4" t="str">
        <f>IF(B589="","",INDEX({"Ocak","Şubat","Mart","Nisan","Mayıs","Haziran","Temmuz","Ağustos","Eylül","Ekim","Kasım","Aralık"},MONTH(B589)))</f>
        <v/>
      </c>
      <c r="D589" s="2"/>
      <c r="E589" s="4" t="str">
        <f>IFERROR(INDEX('Araç Tanımlama'!$D$5:$D$200,MATCH(D589,'Araç Tanımlama'!$A$5:$A$200,0)),"")</f>
        <v/>
      </c>
      <c r="F589" s="4" t="str">
        <f>IFERROR(INDEX('Araç Tanımlama'!$E$5:$E$200,MATCH(D589,'Araç Tanımlama'!$A$5:$A$200,0)),"")</f>
        <v/>
      </c>
      <c r="G589" s="2"/>
      <c r="H589" s="7"/>
      <c r="I589" s="9" t="str">
        <f>IF(OR(G589="",H589=""),"",G589*H589)</f>
        <v/>
      </c>
      <c r="J589" s="2"/>
      <c r="K589" s="2"/>
    </row>
    <row r="590" spans="1:11">
      <c r="A590" s="4" t="str">
        <f>IF(D590="","",COUNTIF($D$5:D590,"?*"))</f>
        <v/>
      </c>
      <c r="B590" s="5"/>
      <c r="C590" s="4" t="str">
        <f>IF(B590="","",INDEX({"Ocak","Şubat","Mart","Nisan","Mayıs","Haziran","Temmuz","Ağustos","Eylül","Ekim","Kasım","Aralık"},MONTH(B590)))</f>
        <v/>
      </c>
      <c r="D590" s="2"/>
      <c r="E590" s="4" t="str">
        <f>IFERROR(INDEX('Araç Tanımlama'!$D$5:$D$200,MATCH(D590,'Araç Tanımlama'!$A$5:$A$200,0)),"")</f>
        <v/>
      </c>
      <c r="F590" s="4" t="str">
        <f>IFERROR(INDEX('Araç Tanımlama'!$E$5:$E$200,MATCH(D590,'Araç Tanımlama'!$A$5:$A$200,0)),"")</f>
        <v/>
      </c>
      <c r="G590" s="2"/>
      <c r="H590" s="7"/>
      <c r="I590" s="9" t="str">
        <f>IF(OR(G590="",H590=""),"",G590*H590)</f>
        <v/>
      </c>
      <c r="J590" s="2"/>
      <c r="K590" s="2"/>
    </row>
    <row r="591" spans="1:11">
      <c r="A591" s="4" t="str">
        <f>IF(D591="","",COUNTIF($D$5:D591,"?*"))</f>
        <v/>
      </c>
      <c r="B591" s="5"/>
      <c r="C591" s="4" t="str">
        <f>IF(B591="","",INDEX({"Ocak","Şubat","Mart","Nisan","Mayıs","Haziran","Temmuz","Ağustos","Eylül","Ekim","Kasım","Aralık"},MONTH(B591)))</f>
        <v/>
      </c>
      <c r="D591" s="2"/>
      <c r="E591" s="4" t="str">
        <f>IFERROR(INDEX('Araç Tanımlama'!$D$5:$D$200,MATCH(D591,'Araç Tanımlama'!$A$5:$A$200,0)),"")</f>
        <v/>
      </c>
      <c r="F591" s="4" t="str">
        <f>IFERROR(INDEX('Araç Tanımlama'!$E$5:$E$200,MATCH(D591,'Araç Tanımlama'!$A$5:$A$200,0)),"")</f>
        <v/>
      </c>
      <c r="G591" s="2"/>
      <c r="H591" s="7"/>
      <c r="I591" s="9" t="str">
        <f>IF(OR(G591="",H591=""),"",G591*H591)</f>
        <v/>
      </c>
      <c r="J591" s="2"/>
      <c r="K591" s="2"/>
    </row>
    <row r="592" spans="1:11">
      <c r="A592" s="4" t="str">
        <f>IF(D592="","",COUNTIF($D$5:D592,"?*"))</f>
        <v/>
      </c>
      <c r="B592" s="5"/>
      <c r="C592" s="4" t="str">
        <f>IF(B592="","",INDEX({"Ocak","Şubat","Mart","Nisan","Mayıs","Haziran","Temmuz","Ağustos","Eylül","Ekim","Kasım","Aralık"},MONTH(B592)))</f>
        <v/>
      </c>
      <c r="D592" s="2"/>
      <c r="E592" s="4" t="str">
        <f>IFERROR(INDEX('Araç Tanımlama'!$D$5:$D$200,MATCH(D592,'Araç Tanımlama'!$A$5:$A$200,0)),"")</f>
        <v/>
      </c>
      <c r="F592" s="4" t="str">
        <f>IFERROR(INDEX('Araç Tanımlama'!$E$5:$E$200,MATCH(D592,'Araç Tanımlama'!$A$5:$A$200,0)),"")</f>
        <v/>
      </c>
      <c r="G592" s="2"/>
      <c r="H592" s="7"/>
      <c r="I592" s="9" t="str">
        <f>IF(OR(G592="",H592=""),"",G592*H592)</f>
        <v/>
      </c>
      <c r="J592" s="2"/>
      <c r="K592" s="2"/>
    </row>
    <row r="593" spans="1:11">
      <c r="A593" s="4" t="str">
        <f>IF(D593="","",COUNTIF($D$5:D593,"?*"))</f>
        <v/>
      </c>
      <c r="B593" s="5"/>
      <c r="C593" s="4" t="str">
        <f>IF(B593="","",INDEX({"Ocak","Şubat","Mart","Nisan","Mayıs","Haziran","Temmuz","Ağustos","Eylül","Ekim","Kasım","Aralık"},MONTH(B593)))</f>
        <v/>
      </c>
      <c r="D593" s="2"/>
      <c r="E593" s="4" t="str">
        <f>IFERROR(INDEX('Araç Tanımlama'!$D$5:$D$200,MATCH(D593,'Araç Tanımlama'!$A$5:$A$200,0)),"")</f>
        <v/>
      </c>
      <c r="F593" s="4" t="str">
        <f>IFERROR(INDEX('Araç Tanımlama'!$E$5:$E$200,MATCH(D593,'Araç Tanımlama'!$A$5:$A$200,0)),"")</f>
        <v/>
      </c>
      <c r="G593" s="2"/>
      <c r="H593" s="7"/>
      <c r="I593" s="9" t="str">
        <f>IF(OR(G593="",H593=""),"",G593*H593)</f>
        <v/>
      </c>
      <c r="J593" s="2"/>
      <c r="K593" s="2"/>
    </row>
    <row r="594" spans="1:11">
      <c r="A594" s="4" t="str">
        <f>IF(D594="","",COUNTIF($D$5:D594,"?*"))</f>
        <v/>
      </c>
      <c r="B594" s="5"/>
      <c r="C594" s="4" t="str">
        <f>IF(B594="","",INDEX({"Ocak","Şubat","Mart","Nisan","Mayıs","Haziran","Temmuz","Ağustos","Eylül","Ekim","Kasım","Aralık"},MONTH(B594)))</f>
        <v/>
      </c>
      <c r="D594" s="2"/>
      <c r="E594" s="4" t="str">
        <f>IFERROR(INDEX('Araç Tanımlama'!$D$5:$D$200,MATCH(D594,'Araç Tanımlama'!$A$5:$A$200,0)),"")</f>
        <v/>
      </c>
      <c r="F594" s="4" t="str">
        <f>IFERROR(INDEX('Araç Tanımlama'!$E$5:$E$200,MATCH(D594,'Araç Tanımlama'!$A$5:$A$200,0)),"")</f>
        <v/>
      </c>
      <c r="G594" s="2"/>
      <c r="H594" s="7"/>
      <c r="I594" s="9" t="str">
        <f>IF(OR(G594="",H594=""),"",G594*H594)</f>
        <v/>
      </c>
      <c r="J594" s="2"/>
      <c r="K594" s="2"/>
    </row>
    <row r="595" spans="1:11">
      <c r="A595" s="4" t="str">
        <f>IF(D595="","",COUNTIF($D$5:D595,"?*"))</f>
        <v/>
      </c>
      <c r="B595" s="5"/>
      <c r="C595" s="4" t="str">
        <f>IF(B595="","",INDEX({"Ocak","Şubat","Mart","Nisan","Mayıs","Haziran","Temmuz","Ağustos","Eylül","Ekim","Kasım","Aralık"},MONTH(B595)))</f>
        <v/>
      </c>
      <c r="D595" s="2"/>
      <c r="E595" s="4" t="str">
        <f>IFERROR(INDEX('Araç Tanımlama'!$D$5:$D$200,MATCH(D595,'Araç Tanımlama'!$A$5:$A$200,0)),"")</f>
        <v/>
      </c>
      <c r="F595" s="4" t="str">
        <f>IFERROR(INDEX('Araç Tanımlama'!$E$5:$E$200,MATCH(D595,'Araç Tanımlama'!$A$5:$A$200,0)),"")</f>
        <v/>
      </c>
      <c r="G595" s="2"/>
      <c r="H595" s="7"/>
      <c r="I595" s="9" t="str">
        <f>IF(OR(G595="",H595=""),"",G595*H595)</f>
        <v/>
      </c>
      <c r="J595" s="2"/>
      <c r="K595" s="2"/>
    </row>
    <row r="596" spans="1:11">
      <c r="A596" s="4" t="str">
        <f>IF(D596="","",COUNTIF($D$5:D596,"?*"))</f>
        <v/>
      </c>
      <c r="B596" s="5"/>
      <c r="C596" s="4" t="str">
        <f>IF(B596="","",INDEX({"Ocak","Şubat","Mart","Nisan","Mayıs","Haziran","Temmuz","Ağustos","Eylül","Ekim","Kasım","Aralık"},MONTH(B596)))</f>
        <v/>
      </c>
      <c r="D596" s="2"/>
      <c r="E596" s="4" t="str">
        <f>IFERROR(INDEX('Araç Tanımlama'!$D$5:$D$200,MATCH(D596,'Araç Tanımlama'!$A$5:$A$200,0)),"")</f>
        <v/>
      </c>
      <c r="F596" s="4" t="str">
        <f>IFERROR(INDEX('Araç Tanımlama'!$E$5:$E$200,MATCH(D596,'Araç Tanımlama'!$A$5:$A$200,0)),"")</f>
        <v/>
      </c>
      <c r="G596" s="2"/>
      <c r="H596" s="7"/>
      <c r="I596" s="9" t="str">
        <f>IF(OR(G596="",H596=""),"",G596*H596)</f>
        <v/>
      </c>
      <c r="J596" s="2"/>
      <c r="K596" s="2"/>
    </row>
    <row r="597" spans="1:11">
      <c r="A597" s="4" t="str">
        <f>IF(D597="","",COUNTIF($D$5:D597,"?*"))</f>
        <v/>
      </c>
      <c r="B597" s="5"/>
      <c r="C597" s="4" t="str">
        <f>IF(B597="","",INDEX({"Ocak","Şubat","Mart","Nisan","Mayıs","Haziran","Temmuz","Ağustos","Eylül","Ekim","Kasım","Aralık"},MONTH(B597)))</f>
        <v/>
      </c>
      <c r="D597" s="2"/>
      <c r="E597" s="4" t="str">
        <f>IFERROR(INDEX('Araç Tanımlama'!$D$5:$D$200,MATCH(D597,'Araç Tanımlama'!$A$5:$A$200,0)),"")</f>
        <v/>
      </c>
      <c r="F597" s="4" t="str">
        <f>IFERROR(INDEX('Araç Tanımlama'!$E$5:$E$200,MATCH(D597,'Araç Tanımlama'!$A$5:$A$200,0)),"")</f>
        <v/>
      </c>
      <c r="G597" s="2"/>
      <c r="H597" s="7"/>
      <c r="I597" s="9" t="str">
        <f>IF(OR(G597="",H597=""),"",G597*H597)</f>
        <v/>
      </c>
      <c r="J597" s="2"/>
      <c r="K597" s="2"/>
    </row>
    <row r="598" spans="1:11">
      <c r="A598" s="4" t="str">
        <f>IF(D598="","",COUNTIF($D$5:D598,"?*"))</f>
        <v/>
      </c>
      <c r="B598" s="5"/>
      <c r="C598" s="4" t="str">
        <f>IF(B598="","",INDEX({"Ocak","Şubat","Mart","Nisan","Mayıs","Haziran","Temmuz","Ağustos","Eylül","Ekim","Kasım","Aralık"},MONTH(B598)))</f>
        <v/>
      </c>
      <c r="D598" s="2"/>
      <c r="E598" s="4" t="str">
        <f>IFERROR(INDEX('Araç Tanımlama'!$D$5:$D$200,MATCH(D598,'Araç Tanımlama'!$A$5:$A$200,0)),"")</f>
        <v/>
      </c>
      <c r="F598" s="4" t="str">
        <f>IFERROR(INDEX('Araç Tanımlama'!$E$5:$E$200,MATCH(D598,'Araç Tanımlama'!$A$5:$A$200,0)),"")</f>
        <v/>
      </c>
      <c r="G598" s="2"/>
      <c r="H598" s="7"/>
      <c r="I598" s="9" t="str">
        <f>IF(OR(G598="",H598=""),"",G598*H598)</f>
        <v/>
      </c>
      <c r="J598" s="2"/>
      <c r="K598" s="2"/>
    </row>
    <row r="599" spans="1:11">
      <c r="A599" s="4" t="str">
        <f>IF(D599="","",COUNTIF($D$5:D599,"?*"))</f>
        <v/>
      </c>
      <c r="B599" s="5"/>
      <c r="C599" s="4" t="str">
        <f>IF(B599="","",INDEX({"Ocak","Şubat","Mart","Nisan","Mayıs","Haziran","Temmuz","Ağustos","Eylül","Ekim","Kasım","Aralık"},MONTH(B599)))</f>
        <v/>
      </c>
      <c r="D599" s="2"/>
      <c r="E599" s="4" t="str">
        <f>IFERROR(INDEX('Araç Tanımlama'!$D$5:$D$200,MATCH(D599,'Araç Tanımlama'!$A$5:$A$200,0)),"")</f>
        <v/>
      </c>
      <c r="F599" s="4" t="str">
        <f>IFERROR(INDEX('Araç Tanımlama'!$E$5:$E$200,MATCH(D599,'Araç Tanımlama'!$A$5:$A$200,0)),"")</f>
        <v/>
      </c>
      <c r="G599" s="2"/>
      <c r="H599" s="7"/>
      <c r="I599" s="9" t="str">
        <f>IF(OR(G599="",H599=""),"",G599*H599)</f>
        <v/>
      </c>
      <c r="J599" s="2"/>
      <c r="K599" s="2"/>
    </row>
    <row r="600" spans="1:11">
      <c r="A600" s="4" t="str">
        <f>IF(D600="","",COUNTIF($D$5:D600,"?*"))</f>
        <v/>
      </c>
      <c r="B600" s="5"/>
      <c r="C600" s="4" t="str">
        <f>IF(B600="","",INDEX({"Ocak","Şubat","Mart","Nisan","Mayıs","Haziran","Temmuz","Ağustos","Eylül","Ekim","Kasım","Aralık"},MONTH(B600)))</f>
        <v/>
      </c>
      <c r="D600" s="2"/>
      <c r="E600" s="4" t="str">
        <f>IFERROR(INDEX('Araç Tanımlama'!$D$5:$D$200,MATCH(D600,'Araç Tanımlama'!$A$5:$A$200,0)),"")</f>
        <v/>
      </c>
      <c r="F600" s="4" t="str">
        <f>IFERROR(INDEX('Araç Tanımlama'!$E$5:$E$200,MATCH(D600,'Araç Tanımlama'!$A$5:$A$200,0)),"")</f>
        <v/>
      </c>
      <c r="G600" s="2"/>
      <c r="H600" s="7"/>
      <c r="I600" s="9" t="str">
        <f>IF(OR(G600="",H600=""),"",G600*H600)</f>
        <v/>
      </c>
      <c r="J600" s="2"/>
      <c r="K600" s="2"/>
    </row>
    <row r="601" spans="1:11">
      <c r="A601" s="4" t="str">
        <f>IF(D601="","",COUNTIF($D$5:D601,"?*"))</f>
        <v/>
      </c>
      <c r="B601" s="5"/>
      <c r="C601" s="4" t="str">
        <f>IF(B601="","",INDEX({"Ocak","Şubat","Mart","Nisan","Mayıs","Haziran","Temmuz","Ağustos","Eylül","Ekim","Kasım","Aralık"},MONTH(B601)))</f>
        <v/>
      </c>
      <c r="D601" s="2"/>
      <c r="E601" s="4" t="str">
        <f>IFERROR(INDEX('Araç Tanımlama'!$D$5:$D$200,MATCH(D601,'Araç Tanımlama'!$A$5:$A$200,0)),"")</f>
        <v/>
      </c>
      <c r="F601" s="4" t="str">
        <f>IFERROR(INDEX('Araç Tanımlama'!$E$5:$E$200,MATCH(D601,'Araç Tanımlama'!$A$5:$A$200,0)),"")</f>
        <v/>
      </c>
      <c r="G601" s="2"/>
      <c r="H601" s="7"/>
      <c r="I601" s="9" t="str">
        <f>IF(OR(G601="",H601=""),"",G601*H601)</f>
        <v/>
      </c>
      <c r="J601" s="2"/>
      <c r="K601" s="2"/>
    </row>
    <row r="602" spans="1:11">
      <c r="A602" s="4" t="str">
        <f>IF(D602="","",COUNTIF($D$5:D602,"?*"))</f>
        <v/>
      </c>
      <c r="B602" s="5"/>
      <c r="C602" s="4" t="str">
        <f>IF(B602="","",INDEX({"Ocak","Şubat","Mart","Nisan","Mayıs","Haziran","Temmuz","Ağustos","Eylül","Ekim","Kasım","Aralık"},MONTH(B602)))</f>
        <v/>
      </c>
      <c r="D602" s="2"/>
      <c r="E602" s="4" t="str">
        <f>IFERROR(INDEX('Araç Tanımlama'!$D$5:$D$200,MATCH(D602,'Araç Tanımlama'!$A$5:$A$200,0)),"")</f>
        <v/>
      </c>
      <c r="F602" s="4" t="str">
        <f>IFERROR(INDEX('Araç Tanımlama'!$E$5:$E$200,MATCH(D602,'Araç Tanımlama'!$A$5:$A$200,0)),"")</f>
        <v/>
      </c>
      <c r="G602" s="2"/>
      <c r="H602" s="7"/>
      <c r="I602" s="9" t="str">
        <f>IF(OR(G602="",H602=""),"",G602*H602)</f>
        <v/>
      </c>
      <c r="J602" s="2"/>
      <c r="K602" s="2"/>
    </row>
    <row r="603" spans="1:11">
      <c r="A603" s="4" t="str">
        <f>IF(D603="","",COUNTIF($D$5:D603,"?*"))</f>
        <v/>
      </c>
      <c r="B603" s="5"/>
      <c r="C603" s="4" t="str">
        <f>IF(B603="","",INDEX({"Ocak","Şubat","Mart","Nisan","Mayıs","Haziran","Temmuz","Ağustos","Eylül","Ekim","Kasım","Aralık"},MONTH(B603)))</f>
        <v/>
      </c>
      <c r="D603" s="2"/>
      <c r="E603" s="4" t="str">
        <f>IFERROR(INDEX('Araç Tanımlama'!$D$5:$D$200,MATCH(D603,'Araç Tanımlama'!$A$5:$A$200,0)),"")</f>
        <v/>
      </c>
      <c r="F603" s="4" t="str">
        <f>IFERROR(INDEX('Araç Tanımlama'!$E$5:$E$200,MATCH(D603,'Araç Tanımlama'!$A$5:$A$200,0)),"")</f>
        <v/>
      </c>
      <c r="G603" s="2"/>
      <c r="H603" s="7"/>
      <c r="I603" s="9" t="str">
        <f>IF(OR(G603="",H603=""),"",G603*H603)</f>
        <v/>
      </c>
      <c r="J603" s="2"/>
      <c r="K603" s="2"/>
    </row>
    <row r="604" spans="1:11">
      <c r="A604" s="4" t="str">
        <f>IF(D604="","",COUNTIF($D$5:D604,"?*"))</f>
        <v/>
      </c>
      <c r="B604" s="5"/>
      <c r="C604" s="4" t="str">
        <f>IF(B604="","",INDEX({"Ocak","Şubat","Mart","Nisan","Mayıs","Haziran","Temmuz","Ağustos","Eylül","Ekim","Kasım","Aralık"},MONTH(B604)))</f>
        <v/>
      </c>
      <c r="D604" s="2"/>
      <c r="E604" s="4" t="str">
        <f>IFERROR(INDEX('Araç Tanımlama'!$D$5:$D$200,MATCH(D604,'Araç Tanımlama'!$A$5:$A$200,0)),"")</f>
        <v/>
      </c>
      <c r="F604" s="4" t="str">
        <f>IFERROR(INDEX('Araç Tanımlama'!$E$5:$E$200,MATCH(D604,'Araç Tanımlama'!$A$5:$A$200,0)),"")</f>
        <v/>
      </c>
      <c r="G604" s="2"/>
      <c r="H604" s="7"/>
      <c r="I604" s="9" t="str">
        <f>IF(OR(G604="",H604=""),"",G604*H604)</f>
        <v/>
      </c>
      <c r="J604" s="2"/>
      <c r="K604" s="2"/>
    </row>
    <row r="605" spans="1:11">
      <c r="A605" s="4" t="str">
        <f>IF(D605="","",COUNTIF($D$5:D605,"?*"))</f>
        <v/>
      </c>
      <c r="B605" s="5"/>
      <c r="C605" s="4" t="str">
        <f>IF(B605="","",INDEX({"Ocak","Şubat","Mart","Nisan","Mayıs","Haziran","Temmuz","Ağustos","Eylül","Ekim","Kasım","Aralık"},MONTH(B605)))</f>
        <v/>
      </c>
      <c r="D605" s="2"/>
      <c r="E605" s="4" t="str">
        <f>IFERROR(INDEX('Araç Tanımlama'!$D$5:$D$200,MATCH(D605,'Araç Tanımlama'!$A$5:$A$200,0)),"")</f>
        <v/>
      </c>
      <c r="F605" s="4" t="str">
        <f>IFERROR(INDEX('Araç Tanımlama'!$E$5:$E$200,MATCH(D605,'Araç Tanımlama'!$A$5:$A$200,0)),"")</f>
        <v/>
      </c>
      <c r="G605" s="2"/>
      <c r="H605" s="7"/>
      <c r="I605" s="9" t="str">
        <f>IF(OR(G605="",H605=""),"",G605*H605)</f>
        <v/>
      </c>
      <c r="J605" s="2"/>
      <c r="K605" s="2"/>
    </row>
    <row r="606" spans="1:11">
      <c r="A606" s="4" t="str">
        <f>IF(D606="","",COUNTIF($D$5:D606,"?*"))</f>
        <v/>
      </c>
      <c r="B606" s="5"/>
      <c r="C606" s="4" t="str">
        <f>IF(B606="","",INDEX({"Ocak","Şubat","Mart","Nisan","Mayıs","Haziran","Temmuz","Ağustos","Eylül","Ekim","Kasım","Aralık"},MONTH(B606)))</f>
        <v/>
      </c>
      <c r="D606" s="2"/>
      <c r="E606" s="4" t="str">
        <f>IFERROR(INDEX('Araç Tanımlama'!$D$5:$D$200,MATCH(D606,'Araç Tanımlama'!$A$5:$A$200,0)),"")</f>
        <v/>
      </c>
      <c r="F606" s="4" t="str">
        <f>IFERROR(INDEX('Araç Tanımlama'!$E$5:$E$200,MATCH(D606,'Araç Tanımlama'!$A$5:$A$200,0)),"")</f>
        <v/>
      </c>
      <c r="G606" s="2"/>
      <c r="H606" s="7"/>
      <c r="I606" s="9" t="str">
        <f>IF(OR(G606="",H606=""),"",G606*H606)</f>
        <v/>
      </c>
      <c r="J606" s="2"/>
      <c r="K606" s="2"/>
    </row>
    <row r="607" spans="1:11">
      <c r="A607" s="4" t="str">
        <f>IF(D607="","",COUNTIF($D$5:D607,"?*"))</f>
        <v/>
      </c>
      <c r="B607" s="5"/>
      <c r="C607" s="4" t="str">
        <f>IF(B607="","",INDEX({"Ocak","Şubat","Mart","Nisan","Mayıs","Haziran","Temmuz","Ağustos","Eylül","Ekim","Kasım","Aralık"},MONTH(B607)))</f>
        <v/>
      </c>
      <c r="D607" s="2"/>
      <c r="E607" s="4" t="str">
        <f>IFERROR(INDEX('Araç Tanımlama'!$D$5:$D$200,MATCH(D607,'Araç Tanımlama'!$A$5:$A$200,0)),"")</f>
        <v/>
      </c>
      <c r="F607" s="4" t="str">
        <f>IFERROR(INDEX('Araç Tanımlama'!$E$5:$E$200,MATCH(D607,'Araç Tanımlama'!$A$5:$A$200,0)),"")</f>
        <v/>
      </c>
      <c r="G607" s="2"/>
      <c r="H607" s="7"/>
      <c r="I607" s="9" t="str">
        <f>IF(OR(G607="",H607=""),"",G607*H607)</f>
        <v/>
      </c>
      <c r="J607" s="2"/>
      <c r="K607" s="2"/>
    </row>
    <row r="608" spans="1:11">
      <c r="A608" s="4" t="str">
        <f>IF(D608="","",COUNTIF($D$5:D608,"?*"))</f>
        <v/>
      </c>
      <c r="B608" s="5"/>
      <c r="C608" s="4" t="str">
        <f>IF(B608="","",INDEX({"Ocak","Şubat","Mart","Nisan","Mayıs","Haziran","Temmuz","Ağustos","Eylül","Ekim","Kasım","Aralık"},MONTH(B608)))</f>
        <v/>
      </c>
      <c r="D608" s="2"/>
      <c r="E608" s="4" t="str">
        <f>IFERROR(INDEX('Araç Tanımlama'!$D$5:$D$200,MATCH(D608,'Araç Tanımlama'!$A$5:$A$200,0)),"")</f>
        <v/>
      </c>
      <c r="F608" s="4" t="str">
        <f>IFERROR(INDEX('Araç Tanımlama'!$E$5:$E$200,MATCH(D608,'Araç Tanımlama'!$A$5:$A$200,0)),"")</f>
        <v/>
      </c>
      <c r="G608" s="2"/>
      <c r="H608" s="7"/>
      <c r="I608" s="9" t="str">
        <f>IF(OR(G608="",H608=""),"",G608*H608)</f>
        <v/>
      </c>
      <c r="J608" s="2"/>
      <c r="K608" s="2"/>
    </row>
    <row r="609" spans="1:11">
      <c r="A609" s="4" t="str">
        <f>IF(D609="","",COUNTIF($D$5:D609,"?*"))</f>
        <v/>
      </c>
      <c r="B609" s="5"/>
      <c r="C609" s="4" t="str">
        <f>IF(B609="","",INDEX({"Ocak","Şubat","Mart","Nisan","Mayıs","Haziran","Temmuz","Ağustos","Eylül","Ekim","Kasım","Aralık"},MONTH(B609)))</f>
        <v/>
      </c>
      <c r="D609" s="2"/>
      <c r="E609" s="4" t="str">
        <f>IFERROR(INDEX('Araç Tanımlama'!$D$5:$D$200,MATCH(D609,'Araç Tanımlama'!$A$5:$A$200,0)),"")</f>
        <v/>
      </c>
      <c r="F609" s="4" t="str">
        <f>IFERROR(INDEX('Araç Tanımlama'!$E$5:$E$200,MATCH(D609,'Araç Tanımlama'!$A$5:$A$200,0)),"")</f>
        <v/>
      </c>
      <c r="G609" s="2"/>
      <c r="H609" s="7"/>
      <c r="I609" s="9" t="str">
        <f>IF(OR(G609="",H609=""),"",G609*H609)</f>
        <v/>
      </c>
      <c r="J609" s="2"/>
      <c r="K609" s="2"/>
    </row>
    <row r="610" spans="1:11">
      <c r="A610" s="4" t="str">
        <f>IF(D610="","",COUNTIF($D$5:D610,"?*"))</f>
        <v/>
      </c>
      <c r="B610" s="5"/>
      <c r="C610" s="4" t="str">
        <f>IF(B610="","",INDEX({"Ocak","Şubat","Mart","Nisan","Mayıs","Haziran","Temmuz","Ağustos","Eylül","Ekim","Kasım","Aralık"},MONTH(B610)))</f>
        <v/>
      </c>
      <c r="D610" s="2"/>
      <c r="E610" s="4" t="str">
        <f>IFERROR(INDEX('Araç Tanımlama'!$D$5:$D$200,MATCH(D610,'Araç Tanımlama'!$A$5:$A$200,0)),"")</f>
        <v/>
      </c>
      <c r="F610" s="4" t="str">
        <f>IFERROR(INDEX('Araç Tanımlama'!$E$5:$E$200,MATCH(D610,'Araç Tanımlama'!$A$5:$A$200,0)),"")</f>
        <v/>
      </c>
      <c r="G610" s="2"/>
      <c r="H610" s="7"/>
      <c r="I610" s="9" t="str">
        <f>IF(OR(G610="",H610=""),"",G610*H610)</f>
        <v/>
      </c>
      <c r="J610" s="2"/>
      <c r="K610" s="2"/>
    </row>
    <row r="611" spans="1:11">
      <c r="A611" s="4" t="str">
        <f>IF(D611="","",COUNTIF($D$5:D611,"?*"))</f>
        <v/>
      </c>
      <c r="B611" s="5"/>
      <c r="C611" s="4" t="str">
        <f>IF(B611="","",INDEX({"Ocak","Şubat","Mart","Nisan","Mayıs","Haziran","Temmuz","Ağustos","Eylül","Ekim","Kasım","Aralık"},MONTH(B611)))</f>
        <v/>
      </c>
      <c r="D611" s="2"/>
      <c r="E611" s="4" t="str">
        <f>IFERROR(INDEX('Araç Tanımlama'!$D$5:$D$200,MATCH(D611,'Araç Tanımlama'!$A$5:$A$200,0)),"")</f>
        <v/>
      </c>
      <c r="F611" s="4" t="str">
        <f>IFERROR(INDEX('Araç Tanımlama'!$E$5:$E$200,MATCH(D611,'Araç Tanımlama'!$A$5:$A$200,0)),"")</f>
        <v/>
      </c>
      <c r="G611" s="2"/>
      <c r="H611" s="7"/>
      <c r="I611" s="9" t="str">
        <f>IF(OR(G611="",H611=""),"",G611*H611)</f>
        <v/>
      </c>
      <c r="J611" s="2"/>
      <c r="K611" s="2"/>
    </row>
    <row r="612" spans="1:11">
      <c r="A612" s="4" t="str">
        <f>IF(D612="","",COUNTIF($D$5:D612,"?*"))</f>
        <v/>
      </c>
      <c r="B612" s="5"/>
      <c r="C612" s="4" t="str">
        <f>IF(B612="","",INDEX({"Ocak","Şubat","Mart","Nisan","Mayıs","Haziran","Temmuz","Ağustos","Eylül","Ekim","Kasım","Aralık"},MONTH(B612)))</f>
        <v/>
      </c>
      <c r="D612" s="2"/>
      <c r="E612" s="4" t="str">
        <f>IFERROR(INDEX('Araç Tanımlama'!$D$5:$D$200,MATCH(D612,'Araç Tanımlama'!$A$5:$A$200,0)),"")</f>
        <v/>
      </c>
      <c r="F612" s="4" t="str">
        <f>IFERROR(INDEX('Araç Tanımlama'!$E$5:$E$200,MATCH(D612,'Araç Tanımlama'!$A$5:$A$200,0)),"")</f>
        <v/>
      </c>
      <c r="G612" s="2"/>
      <c r="H612" s="7"/>
      <c r="I612" s="9" t="str">
        <f>IF(OR(G612="",H612=""),"",G612*H612)</f>
        <v/>
      </c>
      <c r="J612" s="2"/>
      <c r="K612" s="2"/>
    </row>
    <row r="613" spans="1:11">
      <c r="A613" s="4" t="str">
        <f>IF(D613="","",COUNTIF($D$5:D613,"?*"))</f>
        <v/>
      </c>
      <c r="B613" s="5"/>
      <c r="C613" s="4" t="str">
        <f>IF(B613="","",INDEX({"Ocak","Şubat","Mart","Nisan","Mayıs","Haziran","Temmuz","Ağustos","Eylül","Ekim","Kasım","Aralık"},MONTH(B613)))</f>
        <v/>
      </c>
      <c r="D613" s="2"/>
      <c r="E613" s="4" t="str">
        <f>IFERROR(INDEX('Araç Tanımlama'!$D$5:$D$200,MATCH(D613,'Araç Tanımlama'!$A$5:$A$200,0)),"")</f>
        <v/>
      </c>
      <c r="F613" s="4" t="str">
        <f>IFERROR(INDEX('Araç Tanımlama'!$E$5:$E$200,MATCH(D613,'Araç Tanımlama'!$A$5:$A$200,0)),"")</f>
        <v/>
      </c>
      <c r="G613" s="2"/>
      <c r="H613" s="7"/>
      <c r="I613" s="9" t="str">
        <f>IF(OR(G613="",H613=""),"",G613*H613)</f>
        <v/>
      </c>
      <c r="J613" s="2"/>
      <c r="K613" s="2"/>
    </row>
    <row r="614" spans="1:11">
      <c r="A614" s="4" t="str">
        <f>IF(D614="","",COUNTIF($D$5:D614,"?*"))</f>
        <v/>
      </c>
      <c r="B614" s="5"/>
      <c r="C614" s="4" t="str">
        <f>IF(B614="","",INDEX({"Ocak","Şubat","Mart","Nisan","Mayıs","Haziran","Temmuz","Ağustos","Eylül","Ekim","Kasım","Aralık"},MONTH(B614)))</f>
        <v/>
      </c>
      <c r="D614" s="2"/>
      <c r="E614" s="4" t="str">
        <f>IFERROR(INDEX('Araç Tanımlama'!$D$5:$D$200,MATCH(D614,'Araç Tanımlama'!$A$5:$A$200,0)),"")</f>
        <v/>
      </c>
      <c r="F614" s="4" t="str">
        <f>IFERROR(INDEX('Araç Tanımlama'!$E$5:$E$200,MATCH(D614,'Araç Tanımlama'!$A$5:$A$200,0)),"")</f>
        <v/>
      </c>
      <c r="G614" s="2"/>
      <c r="H614" s="7"/>
      <c r="I614" s="9" t="str">
        <f>IF(OR(G614="",H614=""),"",G614*H614)</f>
        <v/>
      </c>
      <c r="J614" s="2"/>
      <c r="K614" s="2"/>
    </row>
    <row r="615" spans="1:11">
      <c r="A615" s="4" t="str">
        <f>IF(D615="","",COUNTIF($D$5:D615,"?*"))</f>
        <v/>
      </c>
      <c r="B615" s="5"/>
      <c r="C615" s="4" t="str">
        <f>IF(B615="","",INDEX({"Ocak","Şubat","Mart","Nisan","Mayıs","Haziran","Temmuz","Ağustos","Eylül","Ekim","Kasım","Aralık"},MONTH(B615)))</f>
        <v/>
      </c>
      <c r="D615" s="2"/>
      <c r="E615" s="4" t="str">
        <f>IFERROR(INDEX('Araç Tanımlama'!$D$5:$D$200,MATCH(D615,'Araç Tanımlama'!$A$5:$A$200,0)),"")</f>
        <v/>
      </c>
      <c r="F615" s="4" t="str">
        <f>IFERROR(INDEX('Araç Tanımlama'!$E$5:$E$200,MATCH(D615,'Araç Tanımlama'!$A$5:$A$200,0)),"")</f>
        <v/>
      </c>
      <c r="G615" s="2"/>
      <c r="H615" s="7"/>
      <c r="I615" s="9" t="str">
        <f>IF(OR(G615="",H615=""),"",G615*H615)</f>
        <v/>
      </c>
      <c r="J615" s="2"/>
      <c r="K615" s="2"/>
    </row>
    <row r="616" spans="1:11">
      <c r="A616" s="4" t="str">
        <f>IF(D616="","",COUNTIF($D$5:D616,"?*"))</f>
        <v/>
      </c>
      <c r="B616" s="5"/>
      <c r="C616" s="4" t="str">
        <f>IF(B616="","",INDEX({"Ocak","Şubat","Mart","Nisan","Mayıs","Haziran","Temmuz","Ağustos","Eylül","Ekim","Kasım","Aralık"},MONTH(B616)))</f>
        <v/>
      </c>
      <c r="D616" s="2"/>
      <c r="E616" s="4" t="str">
        <f>IFERROR(INDEX('Araç Tanımlama'!$D$5:$D$200,MATCH(D616,'Araç Tanımlama'!$A$5:$A$200,0)),"")</f>
        <v/>
      </c>
      <c r="F616" s="4" t="str">
        <f>IFERROR(INDEX('Araç Tanımlama'!$E$5:$E$200,MATCH(D616,'Araç Tanımlama'!$A$5:$A$200,0)),"")</f>
        <v/>
      </c>
      <c r="G616" s="2"/>
      <c r="H616" s="7"/>
      <c r="I616" s="9" t="str">
        <f>IF(OR(G616="",H616=""),"",G616*H616)</f>
        <v/>
      </c>
      <c r="J616" s="2"/>
      <c r="K616" s="2"/>
    </row>
    <row r="617" spans="1:11">
      <c r="A617" s="4" t="str">
        <f>IF(D617="","",COUNTIF($D$5:D617,"?*"))</f>
        <v/>
      </c>
      <c r="B617" s="5"/>
      <c r="C617" s="4" t="str">
        <f>IF(B617="","",INDEX({"Ocak","Şubat","Mart","Nisan","Mayıs","Haziran","Temmuz","Ağustos","Eylül","Ekim","Kasım","Aralık"},MONTH(B617)))</f>
        <v/>
      </c>
      <c r="D617" s="2"/>
      <c r="E617" s="4" t="str">
        <f>IFERROR(INDEX('Araç Tanımlama'!$D$5:$D$200,MATCH(D617,'Araç Tanımlama'!$A$5:$A$200,0)),"")</f>
        <v/>
      </c>
      <c r="F617" s="4" t="str">
        <f>IFERROR(INDEX('Araç Tanımlama'!$E$5:$E$200,MATCH(D617,'Araç Tanımlama'!$A$5:$A$200,0)),"")</f>
        <v/>
      </c>
      <c r="G617" s="2"/>
      <c r="H617" s="7"/>
      <c r="I617" s="9" t="str">
        <f>IF(OR(G617="",H617=""),"",G617*H617)</f>
        <v/>
      </c>
      <c r="J617" s="2"/>
      <c r="K617" s="2"/>
    </row>
    <row r="618" spans="1:11">
      <c r="A618" s="4" t="str">
        <f>IF(D618="","",COUNTIF($D$5:D618,"?*"))</f>
        <v/>
      </c>
      <c r="B618" s="5"/>
      <c r="C618" s="4" t="str">
        <f>IF(B618="","",INDEX({"Ocak","Şubat","Mart","Nisan","Mayıs","Haziran","Temmuz","Ağustos","Eylül","Ekim","Kasım","Aralık"},MONTH(B618)))</f>
        <v/>
      </c>
      <c r="D618" s="2"/>
      <c r="E618" s="4" t="str">
        <f>IFERROR(INDEX('Araç Tanımlama'!$D$5:$D$200,MATCH(D618,'Araç Tanımlama'!$A$5:$A$200,0)),"")</f>
        <v/>
      </c>
      <c r="F618" s="4" t="str">
        <f>IFERROR(INDEX('Araç Tanımlama'!$E$5:$E$200,MATCH(D618,'Araç Tanımlama'!$A$5:$A$200,0)),"")</f>
        <v/>
      </c>
      <c r="G618" s="2"/>
      <c r="H618" s="7"/>
      <c r="I618" s="9" t="str">
        <f>IF(OR(G618="",H618=""),"",G618*H618)</f>
        <v/>
      </c>
      <c r="J618" s="2"/>
      <c r="K618" s="2"/>
    </row>
    <row r="619" spans="1:11">
      <c r="A619" s="4" t="str">
        <f>IF(D619="","",COUNTIF($D$5:D619,"?*"))</f>
        <v/>
      </c>
      <c r="B619" s="5"/>
      <c r="C619" s="4" t="str">
        <f>IF(B619="","",INDEX({"Ocak","Şubat","Mart","Nisan","Mayıs","Haziran","Temmuz","Ağustos","Eylül","Ekim","Kasım","Aralık"},MONTH(B619)))</f>
        <v/>
      </c>
      <c r="D619" s="2"/>
      <c r="E619" s="4" t="str">
        <f>IFERROR(INDEX('Araç Tanımlama'!$D$5:$D$200,MATCH(D619,'Araç Tanımlama'!$A$5:$A$200,0)),"")</f>
        <v/>
      </c>
      <c r="F619" s="4" t="str">
        <f>IFERROR(INDEX('Araç Tanımlama'!$E$5:$E$200,MATCH(D619,'Araç Tanımlama'!$A$5:$A$200,0)),"")</f>
        <v/>
      </c>
      <c r="G619" s="2"/>
      <c r="H619" s="7"/>
      <c r="I619" s="9" t="str">
        <f>IF(OR(G619="",H619=""),"",G619*H619)</f>
        <v/>
      </c>
      <c r="J619" s="2"/>
      <c r="K619" s="2"/>
    </row>
    <row r="620" spans="1:11">
      <c r="A620" s="4" t="str">
        <f>IF(D620="","",COUNTIF($D$5:D620,"?*"))</f>
        <v/>
      </c>
      <c r="B620" s="5"/>
      <c r="C620" s="4" t="str">
        <f>IF(B620="","",INDEX({"Ocak","Şubat","Mart","Nisan","Mayıs","Haziran","Temmuz","Ağustos","Eylül","Ekim","Kasım","Aralık"},MONTH(B620)))</f>
        <v/>
      </c>
      <c r="D620" s="2"/>
      <c r="E620" s="4" t="str">
        <f>IFERROR(INDEX('Araç Tanımlama'!$D$5:$D$200,MATCH(D620,'Araç Tanımlama'!$A$5:$A$200,0)),"")</f>
        <v/>
      </c>
      <c r="F620" s="4" t="str">
        <f>IFERROR(INDEX('Araç Tanımlama'!$E$5:$E$200,MATCH(D620,'Araç Tanımlama'!$A$5:$A$200,0)),"")</f>
        <v/>
      </c>
      <c r="G620" s="2"/>
      <c r="H620" s="7"/>
      <c r="I620" s="9" t="str">
        <f>IF(OR(G620="",H620=""),"",G620*H620)</f>
        <v/>
      </c>
      <c r="J620" s="2"/>
      <c r="K620" s="2"/>
    </row>
    <row r="621" spans="1:11">
      <c r="A621" s="4" t="str">
        <f>IF(D621="","",COUNTIF($D$5:D621,"?*"))</f>
        <v/>
      </c>
      <c r="B621" s="5"/>
      <c r="C621" s="4" t="str">
        <f>IF(B621="","",INDEX({"Ocak","Şubat","Mart","Nisan","Mayıs","Haziran","Temmuz","Ağustos","Eylül","Ekim","Kasım","Aralık"},MONTH(B621)))</f>
        <v/>
      </c>
      <c r="D621" s="2"/>
      <c r="E621" s="4" t="str">
        <f>IFERROR(INDEX('Araç Tanımlama'!$D$5:$D$200,MATCH(D621,'Araç Tanımlama'!$A$5:$A$200,0)),"")</f>
        <v/>
      </c>
      <c r="F621" s="4" t="str">
        <f>IFERROR(INDEX('Araç Tanımlama'!$E$5:$E$200,MATCH(D621,'Araç Tanımlama'!$A$5:$A$200,0)),"")</f>
        <v/>
      </c>
      <c r="G621" s="2"/>
      <c r="H621" s="7"/>
      <c r="I621" s="9" t="str">
        <f>IF(OR(G621="",H621=""),"",G621*H621)</f>
        <v/>
      </c>
      <c r="J621" s="2"/>
      <c r="K621" s="2"/>
    </row>
    <row r="622" spans="1:11">
      <c r="A622" s="4" t="str">
        <f>IF(D622="","",COUNTIF($D$5:D622,"?*"))</f>
        <v/>
      </c>
      <c r="B622" s="5"/>
      <c r="C622" s="4" t="str">
        <f>IF(B622="","",INDEX({"Ocak","Şubat","Mart","Nisan","Mayıs","Haziran","Temmuz","Ağustos","Eylül","Ekim","Kasım","Aralık"},MONTH(B622)))</f>
        <v/>
      </c>
      <c r="D622" s="2"/>
      <c r="E622" s="4" t="str">
        <f>IFERROR(INDEX('Araç Tanımlama'!$D$5:$D$200,MATCH(D622,'Araç Tanımlama'!$A$5:$A$200,0)),"")</f>
        <v/>
      </c>
      <c r="F622" s="4" t="str">
        <f>IFERROR(INDEX('Araç Tanımlama'!$E$5:$E$200,MATCH(D622,'Araç Tanımlama'!$A$5:$A$200,0)),"")</f>
        <v/>
      </c>
      <c r="G622" s="2"/>
      <c r="H622" s="7"/>
      <c r="I622" s="9" t="str">
        <f>IF(OR(G622="",H622=""),"",G622*H622)</f>
        <v/>
      </c>
      <c r="J622" s="2"/>
      <c r="K622" s="2"/>
    </row>
    <row r="623" spans="1:11">
      <c r="A623" s="4" t="str">
        <f>IF(D623="","",COUNTIF($D$5:D623,"?*"))</f>
        <v/>
      </c>
      <c r="B623" s="5"/>
      <c r="C623" s="4" t="str">
        <f>IF(B623="","",INDEX({"Ocak","Şubat","Mart","Nisan","Mayıs","Haziran","Temmuz","Ağustos","Eylül","Ekim","Kasım","Aralık"},MONTH(B623)))</f>
        <v/>
      </c>
      <c r="D623" s="2"/>
      <c r="E623" s="4" t="str">
        <f>IFERROR(INDEX('Araç Tanımlama'!$D$5:$D$200,MATCH(D623,'Araç Tanımlama'!$A$5:$A$200,0)),"")</f>
        <v/>
      </c>
      <c r="F623" s="4" t="str">
        <f>IFERROR(INDEX('Araç Tanımlama'!$E$5:$E$200,MATCH(D623,'Araç Tanımlama'!$A$5:$A$200,0)),"")</f>
        <v/>
      </c>
      <c r="G623" s="2"/>
      <c r="H623" s="7"/>
      <c r="I623" s="9" t="str">
        <f>IF(OR(G623="",H623=""),"",G623*H623)</f>
        <v/>
      </c>
      <c r="J623" s="2"/>
      <c r="K623" s="2"/>
    </row>
    <row r="624" spans="1:11">
      <c r="A624" s="4" t="str">
        <f>IF(D624="","",COUNTIF($D$5:D624,"?*"))</f>
        <v/>
      </c>
      <c r="B624" s="5"/>
      <c r="C624" s="4" t="str">
        <f>IF(B624="","",INDEX({"Ocak","Şubat","Mart","Nisan","Mayıs","Haziran","Temmuz","Ağustos","Eylül","Ekim","Kasım","Aralık"},MONTH(B624)))</f>
        <v/>
      </c>
      <c r="D624" s="2"/>
      <c r="E624" s="4" t="str">
        <f>IFERROR(INDEX('Araç Tanımlama'!$D$5:$D$200,MATCH(D624,'Araç Tanımlama'!$A$5:$A$200,0)),"")</f>
        <v/>
      </c>
      <c r="F624" s="4" t="str">
        <f>IFERROR(INDEX('Araç Tanımlama'!$E$5:$E$200,MATCH(D624,'Araç Tanımlama'!$A$5:$A$200,0)),"")</f>
        <v/>
      </c>
      <c r="G624" s="2"/>
      <c r="H624" s="7"/>
      <c r="I624" s="9" t="str">
        <f>IF(OR(G624="",H624=""),"",G624*H624)</f>
        <v/>
      </c>
      <c r="J624" s="2"/>
      <c r="K624" s="2"/>
    </row>
    <row r="625" spans="1:11">
      <c r="A625" s="4" t="str">
        <f>IF(D625="","",COUNTIF($D$5:D625,"?*"))</f>
        <v/>
      </c>
      <c r="B625" s="5"/>
      <c r="C625" s="4" t="str">
        <f>IF(B625="","",INDEX({"Ocak","Şubat","Mart","Nisan","Mayıs","Haziran","Temmuz","Ağustos","Eylül","Ekim","Kasım","Aralık"},MONTH(B625)))</f>
        <v/>
      </c>
      <c r="D625" s="2"/>
      <c r="E625" s="4" t="str">
        <f>IFERROR(INDEX('Araç Tanımlama'!$D$5:$D$200,MATCH(D625,'Araç Tanımlama'!$A$5:$A$200,0)),"")</f>
        <v/>
      </c>
      <c r="F625" s="4" t="str">
        <f>IFERROR(INDEX('Araç Tanımlama'!$E$5:$E$200,MATCH(D625,'Araç Tanımlama'!$A$5:$A$200,0)),"")</f>
        <v/>
      </c>
      <c r="G625" s="2"/>
      <c r="H625" s="7"/>
      <c r="I625" s="9" t="str">
        <f>IF(OR(G625="",H625=""),"",G625*H625)</f>
        <v/>
      </c>
      <c r="J625" s="2"/>
      <c r="K625" s="2"/>
    </row>
    <row r="626" spans="1:11">
      <c r="A626" s="4" t="str">
        <f>IF(D626="","",COUNTIF($D$5:D626,"?*"))</f>
        <v/>
      </c>
      <c r="B626" s="5"/>
      <c r="C626" s="4" t="str">
        <f>IF(B626="","",INDEX({"Ocak","Şubat","Mart","Nisan","Mayıs","Haziran","Temmuz","Ağustos","Eylül","Ekim","Kasım","Aralık"},MONTH(B626)))</f>
        <v/>
      </c>
      <c r="D626" s="2"/>
      <c r="E626" s="4" t="str">
        <f>IFERROR(INDEX('Araç Tanımlama'!$D$5:$D$200,MATCH(D626,'Araç Tanımlama'!$A$5:$A$200,0)),"")</f>
        <v/>
      </c>
      <c r="F626" s="4" t="str">
        <f>IFERROR(INDEX('Araç Tanımlama'!$E$5:$E$200,MATCH(D626,'Araç Tanımlama'!$A$5:$A$200,0)),"")</f>
        <v/>
      </c>
      <c r="G626" s="2"/>
      <c r="H626" s="7"/>
      <c r="I626" s="9" t="str">
        <f>IF(OR(G626="",H626=""),"",G626*H626)</f>
        <v/>
      </c>
      <c r="J626" s="2"/>
      <c r="K626" s="2"/>
    </row>
    <row r="627" spans="1:11">
      <c r="A627" s="4" t="str">
        <f>IF(D627="","",COUNTIF($D$5:D627,"?*"))</f>
        <v/>
      </c>
      <c r="B627" s="5"/>
      <c r="C627" s="4" t="str">
        <f>IF(B627="","",INDEX({"Ocak","Şubat","Mart","Nisan","Mayıs","Haziran","Temmuz","Ağustos","Eylül","Ekim","Kasım","Aralık"},MONTH(B627)))</f>
        <v/>
      </c>
      <c r="D627" s="2"/>
      <c r="E627" s="4" t="str">
        <f>IFERROR(INDEX('Araç Tanımlama'!$D$5:$D$200,MATCH(D627,'Araç Tanımlama'!$A$5:$A$200,0)),"")</f>
        <v/>
      </c>
      <c r="F627" s="4" t="str">
        <f>IFERROR(INDEX('Araç Tanımlama'!$E$5:$E$200,MATCH(D627,'Araç Tanımlama'!$A$5:$A$200,0)),"")</f>
        <v/>
      </c>
      <c r="G627" s="2"/>
      <c r="H627" s="7"/>
      <c r="I627" s="9" t="str">
        <f>IF(OR(G627="",H627=""),"",G627*H627)</f>
        <v/>
      </c>
      <c r="J627" s="2"/>
      <c r="K627" s="2"/>
    </row>
    <row r="628" spans="1:11">
      <c r="A628" s="4" t="str">
        <f>IF(D628="","",COUNTIF($D$5:D628,"?*"))</f>
        <v/>
      </c>
      <c r="B628" s="5"/>
      <c r="C628" s="4" t="str">
        <f>IF(B628="","",INDEX({"Ocak","Şubat","Mart","Nisan","Mayıs","Haziran","Temmuz","Ağustos","Eylül","Ekim","Kasım","Aralık"},MONTH(B628)))</f>
        <v/>
      </c>
      <c r="D628" s="2"/>
      <c r="E628" s="4" t="str">
        <f>IFERROR(INDEX('Araç Tanımlama'!$D$5:$D$200,MATCH(D628,'Araç Tanımlama'!$A$5:$A$200,0)),"")</f>
        <v/>
      </c>
      <c r="F628" s="4" t="str">
        <f>IFERROR(INDEX('Araç Tanımlama'!$E$5:$E$200,MATCH(D628,'Araç Tanımlama'!$A$5:$A$200,0)),"")</f>
        <v/>
      </c>
      <c r="G628" s="2"/>
      <c r="H628" s="7"/>
      <c r="I628" s="9" t="str">
        <f>IF(OR(G628="",H628=""),"",G628*H628)</f>
        <v/>
      </c>
      <c r="J628" s="2"/>
      <c r="K628" s="2"/>
    </row>
    <row r="629" spans="1:11">
      <c r="A629" s="4" t="str">
        <f>IF(D629="","",COUNTIF($D$5:D629,"?*"))</f>
        <v/>
      </c>
      <c r="B629" s="5"/>
      <c r="C629" s="4" t="str">
        <f>IF(B629="","",INDEX({"Ocak","Şubat","Mart","Nisan","Mayıs","Haziran","Temmuz","Ağustos","Eylül","Ekim","Kasım","Aralık"},MONTH(B629)))</f>
        <v/>
      </c>
      <c r="D629" s="2"/>
      <c r="E629" s="4" t="str">
        <f>IFERROR(INDEX('Araç Tanımlama'!$D$5:$D$200,MATCH(D629,'Araç Tanımlama'!$A$5:$A$200,0)),"")</f>
        <v/>
      </c>
      <c r="F629" s="4" t="str">
        <f>IFERROR(INDEX('Araç Tanımlama'!$E$5:$E$200,MATCH(D629,'Araç Tanımlama'!$A$5:$A$200,0)),"")</f>
        <v/>
      </c>
      <c r="G629" s="2"/>
      <c r="H629" s="7"/>
      <c r="I629" s="9" t="str">
        <f>IF(OR(G629="",H629=""),"",G629*H629)</f>
        <v/>
      </c>
      <c r="J629" s="2"/>
      <c r="K629" s="2"/>
    </row>
    <row r="630" spans="1:11">
      <c r="A630" s="4" t="str">
        <f>IF(D630="","",COUNTIF($D$5:D630,"?*"))</f>
        <v/>
      </c>
      <c r="B630" s="5"/>
      <c r="C630" s="4" t="str">
        <f>IF(B630="","",INDEX({"Ocak","Şubat","Mart","Nisan","Mayıs","Haziran","Temmuz","Ağustos","Eylül","Ekim","Kasım","Aralık"},MONTH(B630)))</f>
        <v/>
      </c>
      <c r="D630" s="2"/>
      <c r="E630" s="4" t="str">
        <f>IFERROR(INDEX('Araç Tanımlama'!$D$5:$D$200,MATCH(D630,'Araç Tanımlama'!$A$5:$A$200,0)),"")</f>
        <v/>
      </c>
      <c r="F630" s="4" t="str">
        <f>IFERROR(INDEX('Araç Tanımlama'!$E$5:$E$200,MATCH(D630,'Araç Tanımlama'!$A$5:$A$200,0)),"")</f>
        <v/>
      </c>
      <c r="G630" s="2"/>
      <c r="H630" s="7"/>
      <c r="I630" s="9" t="str">
        <f>IF(OR(G630="",H630=""),"",G630*H630)</f>
        <v/>
      </c>
      <c r="J630" s="2"/>
      <c r="K630" s="2"/>
    </row>
    <row r="631" spans="1:11">
      <c r="A631" s="4" t="str">
        <f>IF(D631="","",COUNTIF($D$5:D631,"?*"))</f>
        <v/>
      </c>
      <c r="B631" s="5"/>
      <c r="C631" s="4" t="str">
        <f>IF(B631="","",INDEX({"Ocak","Şubat","Mart","Nisan","Mayıs","Haziran","Temmuz","Ağustos","Eylül","Ekim","Kasım","Aralık"},MONTH(B631)))</f>
        <v/>
      </c>
      <c r="D631" s="2"/>
      <c r="E631" s="4" t="str">
        <f>IFERROR(INDEX('Araç Tanımlama'!$D$5:$D$200,MATCH(D631,'Araç Tanımlama'!$A$5:$A$200,0)),"")</f>
        <v/>
      </c>
      <c r="F631" s="4" t="str">
        <f>IFERROR(INDEX('Araç Tanımlama'!$E$5:$E$200,MATCH(D631,'Araç Tanımlama'!$A$5:$A$200,0)),"")</f>
        <v/>
      </c>
      <c r="G631" s="2"/>
      <c r="H631" s="7"/>
      <c r="I631" s="9" t="str">
        <f>IF(OR(G631="",H631=""),"",G631*H631)</f>
        <v/>
      </c>
      <c r="J631" s="2"/>
      <c r="K631" s="2"/>
    </row>
    <row r="632" spans="1:11">
      <c r="A632" s="4" t="str">
        <f>IF(D632="","",COUNTIF($D$5:D632,"?*"))</f>
        <v/>
      </c>
      <c r="B632" s="5"/>
      <c r="C632" s="4" t="str">
        <f>IF(B632="","",INDEX({"Ocak","Şubat","Mart","Nisan","Mayıs","Haziran","Temmuz","Ağustos","Eylül","Ekim","Kasım","Aralık"},MONTH(B632)))</f>
        <v/>
      </c>
      <c r="D632" s="2"/>
      <c r="E632" s="4" t="str">
        <f>IFERROR(INDEX('Araç Tanımlama'!$D$5:$D$200,MATCH(D632,'Araç Tanımlama'!$A$5:$A$200,0)),"")</f>
        <v/>
      </c>
      <c r="F632" s="4" t="str">
        <f>IFERROR(INDEX('Araç Tanımlama'!$E$5:$E$200,MATCH(D632,'Araç Tanımlama'!$A$5:$A$200,0)),"")</f>
        <v/>
      </c>
      <c r="G632" s="2"/>
      <c r="H632" s="7"/>
      <c r="I632" s="9" t="str">
        <f>IF(OR(G632="",H632=""),"",G632*H632)</f>
        <v/>
      </c>
      <c r="J632" s="2"/>
      <c r="K632" s="2"/>
    </row>
    <row r="633" spans="1:11">
      <c r="A633" s="4" t="str">
        <f>IF(D633="","",COUNTIF($D$5:D633,"?*"))</f>
        <v/>
      </c>
      <c r="B633" s="5"/>
      <c r="C633" s="4" t="str">
        <f>IF(B633="","",INDEX({"Ocak","Şubat","Mart","Nisan","Mayıs","Haziran","Temmuz","Ağustos","Eylül","Ekim","Kasım","Aralık"},MONTH(B633)))</f>
        <v/>
      </c>
      <c r="D633" s="2"/>
      <c r="E633" s="4" t="str">
        <f>IFERROR(INDEX('Araç Tanımlama'!$D$5:$D$200,MATCH(D633,'Araç Tanımlama'!$A$5:$A$200,0)),"")</f>
        <v/>
      </c>
      <c r="F633" s="4" t="str">
        <f>IFERROR(INDEX('Araç Tanımlama'!$E$5:$E$200,MATCH(D633,'Araç Tanımlama'!$A$5:$A$200,0)),"")</f>
        <v/>
      </c>
      <c r="G633" s="2"/>
      <c r="H633" s="7"/>
      <c r="I633" s="9" t="str">
        <f>IF(OR(G633="",H633=""),"",G633*H633)</f>
        <v/>
      </c>
      <c r="J633" s="2"/>
      <c r="K633" s="2"/>
    </row>
    <row r="634" spans="1:11">
      <c r="A634" s="4" t="str">
        <f>IF(D634="","",COUNTIF($D$5:D634,"?*"))</f>
        <v/>
      </c>
      <c r="B634" s="5"/>
      <c r="C634" s="4" t="str">
        <f>IF(B634="","",INDEX({"Ocak","Şubat","Mart","Nisan","Mayıs","Haziran","Temmuz","Ağustos","Eylül","Ekim","Kasım","Aralık"},MONTH(B634)))</f>
        <v/>
      </c>
      <c r="D634" s="2"/>
      <c r="E634" s="4" t="str">
        <f>IFERROR(INDEX('Araç Tanımlama'!$D$5:$D$200,MATCH(D634,'Araç Tanımlama'!$A$5:$A$200,0)),"")</f>
        <v/>
      </c>
      <c r="F634" s="4" t="str">
        <f>IFERROR(INDEX('Araç Tanımlama'!$E$5:$E$200,MATCH(D634,'Araç Tanımlama'!$A$5:$A$200,0)),"")</f>
        <v/>
      </c>
      <c r="G634" s="2"/>
      <c r="H634" s="7"/>
      <c r="I634" s="9" t="str">
        <f>IF(OR(G634="",H634=""),"",G634*H634)</f>
        <v/>
      </c>
      <c r="J634" s="2"/>
      <c r="K634" s="2"/>
    </row>
    <row r="635" spans="1:11">
      <c r="A635" s="4" t="str">
        <f>IF(D635="","",COUNTIF($D$5:D635,"?*"))</f>
        <v/>
      </c>
      <c r="B635" s="5"/>
      <c r="C635" s="4" t="str">
        <f>IF(B635="","",INDEX({"Ocak","Şubat","Mart","Nisan","Mayıs","Haziran","Temmuz","Ağustos","Eylül","Ekim","Kasım","Aralık"},MONTH(B635)))</f>
        <v/>
      </c>
      <c r="D635" s="2"/>
      <c r="E635" s="4" t="str">
        <f>IFERROR(INDEX('Araç Tanımlama'!$D$5:$D$200,MATCH(D635,'Araç Tanımlama'!$A$5:$A$200,0)),"")</f>
        <v/>
      </c>
      <c r="F635" s="4" t="str">
        <f>IFERROR(INDEX('Araç Tanımlama'!$E$5:$E$200,MATCH(D635,'Araç Tanımlama'!$A$5:$A$200,0)),"")</f>
        <v/>
      </c>
      <c r="G635" s="2"/>
      <c r="H635" s="7"/>
      <c r="I635" s="9" t="str">
        <f>IF(OR(G635="",H635=""),"",G635*H635)</f>
        <v/>
      </c>
      <c r="J635" s="2"/>
      <c r="K635" s="2"/>
    </row>
    <row r="636" spans="1:11">
      <c r="A636" s="4" t="str">
        <f>IF(D636="","",COUNTIF($D$5:D636,"?*"))</f>
        <v/>
      </c>
      <c r="B636" s="5"/>
      <c r="C636" s="4" t="str">
        <f>IF(B636="","",INDEX({"Ocak","Şubat","Mart","Nisan","Mayıs","Haziran","Temmuz","Ağustos","Eylül","Ekim","Kasım","Aralık"},MONTH(B636)))</f>
        <v/>
      </c>
      <c r="D636" s="2"/>
      <c r="E636" s="4" t="str">
        <f>IFERROR(INDEX('Araç Tanımlama'!$D$5:$D$200,MATCH(D636,'Araç Tanımlama'!$A$5:$A$200,0)),"")</f>
        <v/>
      </c>
      <c r="F636" s="4" t="str">
        <f>IFERROR(INDEX('Araç Tanımlama'!$E$5:$E$200,MATCH(D636,'Araç Tanımlama'!$A$5:$A$200,0)),"")</f>
        <v/>
      </c>
      <c r="G636" s="2"/>
      <c r="H636" s="7"/>
      <c r="I636" s="9" t="str">
        <f>IF(OR(G636="",H636=""),"",G636*H636)</f>
        <v/>
      </c>
      <c r="J636" s="2"/>
      <c r="K636" s="2"/>
    </row>
    <row r="637" spans="1:11">
      <c r="A637" s="4" t="str">
        <f>IF(D637="","",COUNTIF($D$5:D637,"?*"))</f>
        <v/>
      </c>
      <c r="B637" s="5"/>
      <c r="C637" s="4" t="str">
        <f>IF(B637="","",INDEX({"Ocak","Şubat","Mart","Nisan","Mayıs","Haziran","Temmuz","Ağustos","Eylül","Ekim","Kasım","Aralık"},MONTH(B637)))</f>
        <v/>
      </c>
      <c r="D637" s="2"/>
      <c r="E637" s="4" t="str">
        <f>IFERROR(INDEX('Araç Tanımlama'!$D$5:$D$200,MATCH(D637,'Araç Tanımlama'!$A$5:$A$200,0)),"")</f>
        <v/>
      </c>
      <c r="F637" s="4" t="str">
        <f>IFERROR(INDEX('Araç Tanımlama'!$E$5:$E$200,MATCH(D637,'Araç Tanımlama'!$A$5:$A$200,0)),"")</f>
        <v/>
      </c>
      <c r="G637" s="2"/>
      <c r="H637" s="7"/>
      <c r="I637" s="9" t="str">
        <f>IF(OR(G637="",H637=""),"",G637*H637)</f>
        <v/>
      </c>
      <c r="J637" s="2"/>
      <c r="K637" s="2"/>
    </row>
    <row r="638" spans="1:11">
      <c r="A638" s="4" t="str">
        <f>IF(D638="","",COUNTIF($D$5:D638,"?*"))</f>
        <v/>
      </c>
      <c r="B638" s="5"/>
      <c r="C638" s="4" t="str">
        <f>IF(B638="","",INDEX({"Ocak","Şubat","Mart","Nisan","Mayıs","Haziran","Temmuz","Ağustos","Eylül","Ekim","Kasım","Aralık"},MONTH(B638)))</f>
        <v/>
      </c>
      <c r="D638" s="2"/>
      <c r="E638" s="4" t="str">
        <f>IFERROR(INDEX('Araç Tanımlama'!$D$5:$D$200,MATCH(D638,'Araç Tanımlama'!$A$5:$A$200,0)),"")</f>
        <v/>
      </c>
      <c r="F638" s="4" t="str">
        <f>IFERROR(INDEX('Araç Tanımlama'!$E$5:$E$200,MATCH(D638,'Araç Tanımlama'!$A$5:$A$200,0)),"")</f>
        <v/>
      </c>
      <c r="G638" s="2"/>
      <c r="H638" s="7"/>
      <c r="I638" s="9" t="str">
        <f>IF(OR(G638="",H638=""),"",G638*H638)</f>
        <v/>
      </c>
      <c r="J638" s="2"/>
      <c r="K638" s="2"/>
    </row>
    <row r="639" spans="1:11">
      <c r="A639" s="4" t="str">
        <f>IF(D639="","",COUNTIF($D$5:D639,"?*"))</f>
        <v/>
      </c>
      <c r="B639" s="5"/>
      <c r="C639" s="4" t="str">
        <f>IF(B639="","",INDEX({"Ocak","Şubat","Mart","Nisan","Mayıs","Haziran","Temmuz","Ağustos","Eylül","Ekim","Kasım","Aralık"},MONTH(B639)))</f>
        <v/>
      </c>
      <c r="D639" s="2"/>
      <c r="E639" s="4" t="str">
        <f>IFERROR(INDEX('Araç Tanımlama'!$D$5:$D$200,MATCH(D639,'Araç Tanımlama'!$A$5:$A$200,0)),"")</f>
        <v/>
      </c>
      <c r="F639" s="4" t="str">
        <f>IFERROR(INDEX('Araç Tanımlama'!$E$5:$E$200,MATCH(D639,'Araç Tanımlama'!$A$5:$A$200,0)),"")</f>
        <v/>
      </c>
      <c r="G639" s="2"/>
      <c r="H639" s="7"/>
      <c r="I639" s="9" t="str">
        <f>IF(OR(G639="",H639=""),"",G639*H639)</f>
        <v/>
      </c>
      <c r="J639" s="2"/>
      <c r="K639" s="2"/>
    </row>
    <row r="640" spans="1:11">
      <c r="A640" s="4" t="str">
        <f>IF(D640="","",COUNTIF($D$5:D640,"?*"))</f>
        <v/>
      </c>
      <c r="B640" s="5"/>
      <c r="C640" s="4" t="str">
        <f>IF(B640="","",INDEX({"Ocak","Şubat","Mart","Nisan","Mayıs","Haziran","Temmuz","Ağustos","Eylül","Ekim","Kasım","Aralık"},MONTH(B640)))</f>
        <v/>
      </c>
      <c r="D640" s="2"/>
      <c r="E640" s="4" t="str">
        <f>IFERROR(INDEX('Araç Tanımlama'!$D$5:$D$200,MATCH(D640,'Araç Tanımlama'!$A$5:$A$200,0)),"")</f>
        <v/>
      </c>
      <c r="F640" s="4" t="str">
        <f>IFERROR(INDEX('Araç Tanımlama'!$E$5:$E$200,MATCH(D640,'Araç Tanımlama'!$A$5:$A$200,0)),"")</f>
        <v/>
      </c>
      <c r="G640" s="2"/>
      <c r="H640" s="7"/>
      <c r="I640" s="9" t="str">
        <f>IF(OR(G640="",H640=""),"",G640*H640)</f>
        <v/>
      </c>
      <c r="J640" s="2"/>
      <c r="K640" s="2"/>
    </row>
    <row r="641" spans="1:11">
      <c r="A641" s="4" t="str">
        <f>IF(D641="","",COUNTIF($D$5:D641,"?*"))</f>
        <v/>
      </c>
      <c r="B641" s="5"/>
      <c r="C641" s="4" t="str">
        <f>IF(B641="","",INDEX({"Ocak","Şubat","Mart","Nisan","Mayıs","Haziran","Temmuz","Ağustos","Eylül","Ekim","Kasım","Aralık"},MONTH(B641)))</f>
        <v/>
      </c>
      <c r="D641" s="2"/>
      <c r="E641" s="4" t="str">
        <f>IFERROR(INDEX('Araç Tanımlama'!$D$5:$D$200,MATCH(D641,'Araç Tanımlama'!$A$5:$A$200,0)),"")</f>
        <v/>
      </c>
      <c r="F641" s="4" t="str">
        <f>IFERROR(INDEX('Araç Tanımlama'!$E$5:$E$200,MATCH(D641,'Araç Tanımlama'!$A$5:$A$200,0)),"")</f>
        <v/>
      </c>
      <c r="G641" s="2"/>
      <c r="H641" s="7"/>
      <c r="I641" s="9" t="str">
        <f>IF(OR(G641="",H641=""),"",G641*H641)</f>
        <v/>
      </c>
      <c r="J641" s="2"/>
      <c r="K641" s="2"/>
    </row>
    <row r="642" spans="1:11">
      <c r="A642" s="4" t="str">
        <f>IF(D642="","",COUNTIF($D$5:D642,"?*"))</f>
        <v/>
      </c>
      <c r="B642" s="5"/>
      <c r="C642" s="4" t="str">
        <f>IF(B642="","",INDEX({"Ocak","Şubat","Mart","Nisan","Mayıs","Haziran","Temmuz","Ağustos","Eylül","Ekim","Kasım","Aralık"},MONTH(B642)))</f>
        <v/>
      </c>
      <c r="D642" s="2"/>
      <c r="E642" s="4" t="str">
        <f>IFERROR(INDEX('Araç Tanımlama'!$D$5:$D$200,MATCH(D642,'Araç Tanımlama'!$A$5:$A$200,0)),"")</f>
        <v/>
      </c>
      <c r="F642" s="4" t="str">
        <f>IFERROR(INDEX('Araç Tanımlama'!$E$5:$E$200,MATCH(D642,'Araç Tanımlama'!$A$5:$A$200,0)),"")</f>
        <v/>
      </c>
      <c r="G642" s="2"/>
      <c r="H642" s="7"/>
      <c r="I642" s="9" t="str">
        <f>IF(OR(G642="",H642=""),"",G642*H642)</f>
        <v/>
      </c>
      <c r="J642" s="2"/>
      <c r="K642" s="2"/>
    </row>
    <row r="643" spans="1:11">
      <c r="A643" s="4" t="str">
        <f>IF(D643="","",COUNTIF($D$5:D643,"?*"))</f>
        <v/>
      </c>
      <c r="B643" s="5"/>
      <c r="C643" s="4" t="str">
        <f>IF(B643="","",INDEX({"Ocak","Şubat","Mart","Nisan","Mayıs","Haziran","Temmuz","Ağustos","Eylül","Ekim","Kasım","Aralık"},MONTH(B643)))</f>
        <v/>
      </c>
      <c r="D643" s="2"/>
      <c r="E643" s="4" t="str">
        <f>IFERROR(INDEX('Araç Tanımlama'!$D$5:$D$200,MATCH(D643,'Araç Tanımlama'!$A$5:$A$200,0)),"")</f>
        <v/>
      </c>
      <c r="F643" s="4" t="str">
        <f>IFERROR(INDEX('Araç Tanımlama'!$E$5:$E$200,MATCH(D643,'Araç Tanımlama'!$A$5:$A$200,0)),"")</f>
        <v/>
      </c>
      <c r="G643" s="2"/>
      <c r="H643" s="7"/>
      <c r="I643" s="9" t="str">
        <f>IF(OR(G643="",H643=""),"",G643*H643)</f>
        <v/>
      </c>
      <c r="J643" s="2"/>
      <c r="K643" s="2"/>
    </row>
    <row r="644" spans="1:11">
      <c r="A644" s="4" t="str">
        <f>IF(D644="","",COUNTIF($D$5:D644,"?*"))</f>
        <v/>
      </c>
      <c r="B644" s="5"/>
      <c r="C644" s="4" t="str">
        <f>IF(B644="","",INDEX({"Ocak","Şubat","Mart","Nisan","Mayıs","Haziran","Temmuz","Ağustos","Eylül","Ekim","Kasım","Aralık"},MONTH(B644)))</f>
        <v/>
      </c>
      <c r="D644" s="2"/>
      <c r="E644" s="4" t="str">
        <f>IFERROR(INDEX('Araç Tanımlama'!$D$5:$D$200,MATCH(D644,'Araç Tanımlama'!$A$5:$A$200,0)),"")</f>
        <v/>
      </c>
      <c r="F644" s="4" t="str">
        <f>IFERROR(INDEX('Araç Tanımlama'!$E$5:$E$200,MATCH(D644,'Araç Tanımlama'!$A$5:$A$200,0)),"")</f>
        <v/>
      </c>
      <c r="G644" s="2"/>
      <c r="H644" s="7"/>
      <c r="I644" s="9" t="str">
        <f>IF(OR(G644="",H644=""),"",G644*H644)</f>
        <v/>
      </c>
      <c r="J644" s="2"/>
      <c r="K644" s="2"/>
    </row>
    <row r="645" spans="1:11">
      <c r="A645" s="4" t="str">
        <f>IF(D645="","",COUNTIF($D$5:D645,"?*"))</f>
        <v/>
      </c>
      <c r="B645" s="5"/>
      <c r="C645" s="4" t="str">
        <f>IF(B645="","",INDEX({"Ocak","Şubat","Mart","Nisan","Mayıs","Haziran","Temmuz","Ağustos","Eylül","Ekim","Kasım","Aralık"},MONTH(B645)))</f>
        <v/>
      </c>
      <c r="D645" s="2"/>
      <c r="E645" s="4" t="str">
        <f>IFERROR(INDEX('Araç Tanımlama'!$D$5:$D$200,MATCH(D645,'Araç Tanımlama'!$A$5:$A$200,0)),"")</f>
        <v/>
      </c>
      <c r="F645" s="4" t="str">
        <f>IFERROR(INDEX('Araç Tanımlama'!$E$5:$E$200,MATCH(D645,'Araç Tanımlama'!$A$5:$A$200,0)),"")</f>
        <v/>
      </c>
      <c r="G645" s="2"/>
      <c r="H645" s="7"/>
      <c r="I645" s="9" t="str">
        <f>IF(OR(G645="",H645=""),"",G645*H645)</f>
        <v/>
      </c>
      <c r="J645" s="2"/>
      <c r="K645" s="2"/>
    </row>
    <row r="646" spans="1:11">
      <c r="A646" s="4" t="str">
        <f>IF(D646="","",COUNTIF($D$5:D646,"?*"))</f>
        <v/>
      </c>
      <c r="B646" s="5"/>
      <c r="C646" s="4" t="str">
        <f>IF(B646="","",INDEX({"Ocak","Şubat","Mart","Nisan","Mayıs","Haziran","Temmuz","Ağustos","Eylül","Ekim","Kasım","Aralık"},MONTH(B646)))</f>
        <v/>
      </c>
      <c r="D646" s="2"/>
      <c r="E646" s="4" t="str">
        <f>IFERROR(INDEX('Araç Tanımlama'!$D$5:$D$200,MATCH(D646,'Araç Tanımlama'!$A$5:$A$200,0)),"")</f>
        <v/>
      </c>
      <c r="F646" s="4" t="str">
        <f>IFERROR(INDEX('Araç Tanımlama'!$E$5:$E$200,MATCH(D646,'Araç Tanımlama'!$A$5:$A$200,0)),"")</f>
        <v/>
      </c>
      <c r="G646" s="2"/>
      <c r="H646" s="7"/>
      <c r="I646" s="9" t="str">
        <f>IF(OR(G646="",H646=""),"",G646*H646)</f>
        <v/>
      </c>
      <c r="J646" s="2"/>
      <c r="K646" s="2"/>
    </row>
    <row r="647" spans="1:11">
      <c r="A647" s="4" t="str">
        <f>IF(D647="","",COUNTIF($D$5:D647,"?*"))</f>
        <v/>
      </c>
      <c r="B647" s="5"/>
      <c r="C647" s="4" t="str">
        <f>IF(B647="","",INDEX({"Ocak","Şubat","Mart","Nisan","Mayıs","Haziran","Temmuz","Ağustos","Eylül","Ekim","Kasım","Aralık"},MONTH(B647)))</f>
        <v/>
      </c>
      <c r="D647" s="2"/>
      <c r="E647" s="4" t="str">
        <f>IFERROR(INDEX('Araç Tanımlama'!$D$5:$D$200,MATCH(D647,'Araç Tanımlama'!$A$5:$A$200,0)),"")</f>
        <v/>
      </c>
      <c r="F647" s="4" t="str">
        <f>IFERROR(INDEX('Araç Tanımlama'!$E$5:$E$200,MATCH(D647,'Araç Tanımlama'!$A$5:$A$200,0)),"")</f>
        <v/>
      </c>
      <c r="G647" s="2"/>
      <c r="H647" s="7"/>
      <c r="I647" s="9" t="str">
        <f>IF(OR(G647="",H647=""),"",G647*H647)</f>
        <v/>
      </c>
      <c r="J647" s="2"/>
      <c r="K647" s="2"/>
    </row>
    <row r="648" spans="1:11">
      <c r="A648" s="4" t="str">
        <f>IF(D648="","",COUNTIF($D$5:D648,"?*"))</f>
        <v/>
      </c>
      <c r="B648" s="5"/>
      <c r="C648" s="4" t="str">
        <f>IF(B648="","",INDEX({"Ocak","Şubat","Mart","Nisan","Mayıs","Haziran","Temmuz","Ağustos","Eylül","Ekim","Kasım","Aralık"},MONTH(B648)))</f>
        <v/>
      </c>
      <c r="D648" s="2"/>
      <c r="E648" s="4" t="str">
        <f>IFERROR(INDEX('Araç Tanımlama'!$D$5:$D$200,MATCH(D648,'Araç Tanımlama'!$A$5:$A$200,0)),"")</f>
        <v/>
      </c>
      <c r="F648" s="4" t="str">
        <f>IFERROR(INDEX('Araç Tanımlama'!$E$5:$E$200,MATCH(D648,'Araç Tanımlama'!$A$5:$A$200,0)),"")</f>
        <v/>
      </c>
      <c r="G648" s="2"/>
      <c r="H648" s="7"/>
      <c r="I648" s="9" t="str">
        <f>IF(OR(G648="",H648=""),"",G648*H648)</f>
        <v/>
      </c>
      <c r="J648" s="2"/>
      <c r="K648" s="2"/>
    </row>
    <row r="649" spans="1:11">
      <c r="A649" s="4" t="str">
        <f>IF(D649="","",COUNTIF($D$5:D649,"?*"))</f>
        <v/>
      </c>
      <c r="B649" s="5"/>
      <c r="C649" s="4" t="str">
        <f>IF(B649="","",INDEX({"Ocak","Şubat","Mart","Nisan","Mayıs","Haziran","Temmuz","Ağustos","Eylül","Ekim","Kasım","Aralık"},MONTH(B649)))</f>
        <v/>
      </c>
      <c r="D649" s="2"/>
      <c r="E649" s="4" t="str">
        <f>IFERROR(INDEX('Araç Tanımlama'!$D$5:$D$200,MATCH(D649,'Araç Tanımlama'!$A$5:$A$200,0)),"")</f>
        <v/>
      </c>
      <c r="F649" s="4" t="str">
        <f>IFERROR(INDEX('Araç Tanımlama'!$E$5:$E$200,MATCH(D649,'Araç Tanımlama'!$A$5:$A$200,0)),"")</f>
        <v/>
      </c>
      <c r="G649" s="2"/>
      <c r="H649" s="7"/>
      <c r="I649" s="9" t="str">
        <f>IF(OR(G649="",H649=""),"",G649*H649)</f>
        <v/>
      </c>
      <c r="J649" s="2"/>
      <c r="K649" s="2"/>
    </row>
    <row r="650" spans="1:11">
      <c r="A650" s="4" t="str">
        <f>IF(D650="","",COUNTIF($D$5:D650,"?*"))</f>
        <v/>
      </c>
      <c r="B650" s="5"/>
      <c r="C650" s="4" t="str">
        <f>IF(B650="","",INDEX({"Ocak","Şubat","Mart","Nisan","Mayıs","Haziran","Temmuz","Ağustos","Eylül","Ekim","Kasım","Aralık"},MONTH(B650)))</f>
        <v/>
      </c>
      <c r="D650" s="2"/>
      <c r="E650" s="4" t="str">
        <f>IFERROR(INDEX('Araç Tanımlama'!$D$5:$D$200,MATCH(D650,'Araç Tanımlama'!$A$5:$A$200,0)),"")</f>
        <v/>
      </c>
      <c r="F650" s="4" t="str">
        <f>IFERROR(INDEX('Araç Tanımlama'!$E$5:$E$200,MATCH(D650,'Araç Tanımlama'!$A$5:$A$200,0)),"")</f>
        <v/>
      </c>
      <c r="G650" s="2"/>
      <c r="H650" s="7"/>
      <c r="I650" s="9" t="str">
        <f>IF(OR(G650="",H650=""),"",G650*H650)</f>
        <v/>
      </c>
      <c r="J650" s="2"/>
      <c r="K650" s="2"/>
    </row>
    <row r="651" spans="1:11">
      <c r="A651" s="4" t="str">
        <f>IF(D651="","",COUNTIF($D$5:D651,"?*"))</f>
        <v/>
      </c>
      <c r="B651" s="5"/>
      <c r="C651" s="4" t="str">
        <f>IF(B651="","",INDEX({"Ocak","Şubat","Mart","Nisan","Mayıs","Haziran","Temmuz","Ağustos","Eylül","Ekim","Kasım","Aralık"},MONTH(B651)))</f>
        <v/>
      </c>
      <c r="D651" s="2"/>
      <c r="E651" s="4" t="str">
        <f>IFERROR(INDEX('Araç Tanımlama'!$D$5:$D$200,MATCH(D651,'Araç Tanımlama'!$A$5:$A$200,0)),"")</f>
        <v/>
      </c>
      <c r="F651" s="4" t="str">
        <f>IFERROR(INDEX('Araç Tanımlama'!$E$5:$E$200,MATCH(D651,'Araç Tanımlama'!$A$5:$A$200,0)),"")</f>
        <v/>
      </c>
      <c r="G651" s="2"/>
      <c r="H651" s="7"/>
      <c r="I651" s="9" t="str">
        <f>IF(OR(G651="",H651=""),"",G651*H651)</f>
        <v/>
      </c>
      <c r="J651" s="2"/>
      <c r="K651" s="2"/>
    </row>
    <row r="652" spans="1:11">
      <c r="A652" s="4" t="str">
        <f>IF(D652="","",COUNTIF($D$5:D652,"?*"))</f>
        <v/>
      </c>
      <c r="B652" s="5"/>
      <c r="C652" s="4" t="str">
        <f>IF(B652="","",INDEX({"Ocak","Şubat","Mart","Nisan","Mayıs","Haziran","Temmuz","Ağustos","Eylül","Ekim","Kasım","Aralık"},MONTH(B652)))</f>
        <v/>
      </c>
      <c r="D652" s="2"/>
      <c r="E652" s="4" t="str">
        <f>IFERROR(INDEX('Araç Tanımlama'!$D$5:$D$200,MATCH(D652,'Araç Tanımlama'!$A$5:$A$200,0)),"")</f>
        <v/>
      </c>
      <c r="F652" s="4" t="str">
        <f>IFERROR(INDEX('Araç Tanımlama'!$E$5:$E$200,MATCH(D652,'Araç Tanımlama'!$A$5:$A$200,0)),"")</f>
        <v/>
      </c>
      <c r="G652" s="2"/>
      <c r="H652" s="7"/>
      <c r="I652" s="9" t="str">
        <f>IF(OR(G652="",H652=""),"",G652*H652)</f>
        <v/>
      </c>
      <c r="J652" s="2"/>
      <c r="K652" s="2"/>
    </row>
    <row r="653" spans="1:11">
      <c r="A653" s="4" t="str">
        <f>IF(D653="","",COUNTIF($D$5:D653,"?*"))</f>
        <v/>
      </c>
      <c r="B653" s="5"/>
      <c r="C653" s="4" t="str">
        <f>IF(B653="","",INDEX({"Ocak","Şubat","Mart","Nisan","Mayıs","Haziran","Temmuz","Ağustos","Eylül","Ekim","Kasım","Aralık"},MONTH(B653)))</f>
        <v/>
      </c>
      <c r="D653" s="2"/>
      <c r="E653" s="4" t="str">
        <f>IFERROR(INDEX('Araç Tanımlama'!$D$5:$D$200,MATCH(D653,'Araç Tanımlama'!$A$5:$A$200,0)),"")</f>
        <v/>
      </c>
      <c r="F653" s="4" t="str">
        <f>IFERROR(INDEX('Araç Tanımlama'!$E$5:$E$200,MATCH(D653,'Araç Tanımlama'!$A$5:$A$200,0)),"")</f>
        <v/>
      </c>
      <c r="G653" s="2"/>
      <c r="H653" s="7"/>
      <c r="I653" s="9" t="str">
        <f>IF(OR(G653="",H653=""),"",G653*H653)</f>
        <v/>
      </c>
      <c r="J653" s="2"/>
      <c r="K653" s="2"/>
    </row>
    <row r="654" spans="1:11">
      <c r="A654" s="4" t="str">
        <f>IF(D654="","",COUNTIF($D$5:D654,"?*"))</f>
        <v/>
      </c>
      <c r="B654" s="5"/>
      <c r="C654" s="4" t="str">
        <f>IF(B654="","",INDEX({"Ocak","Şubat","Mart","Nisan","Mayıs","Haziran","Temmuz","Ağustos","Eylül","Ekim","Kasım","Aralık"},MONTH(B654)))</f>
        <v/>
      </c>
      <c r="D654" s="2"/>
      <c r="E654" s="4" t="str">
        <f>IFERROR(INDEX('Araç Tanımlama'!$D$5:$D$200,MATCH(D654,'Araç Tanımlama'!$A$5:$A$200,0)),"")</f>
        <v/>
      </c>
      <c r="F654" s="4" t="str">
        <f>IFERROR(INDEX('Araç Tanımlama'!$E$5:$E$200,MATCH(D654,'Araç Tanımlama'!$A$5:$A$200,0)),"")</f>
        <v/>
      </c>
      <c r="G654" s="2"/>
      <c r="H654" s="7"/>
      <c r="I654" s="9" t="str">
        <f>IF(OR(G654="",H654=""),"",G654*H654)</f>
        <v/>
      </c>
      <c r="J654" s="2"/>
      <c r="K654" s="2"/>
    </row>
    <row r="655" spans="1:11">
      <c r="A655" s="4" t="str">
        <f>IF(D655="","",COUNTIF($D$5:D655,"?*"))</f>
        <v/>
      </c>
      <c r="B655" s="5"/>
      <c r="C655" s="4" t="str">
        <f>IF(B655="","",INDEX({"Ocak","Şubat","Mart","Nisan","Mayıs","Haziran","Temmuz","Ağustos","Eylül","Ekim","Kasım","Aralık"},MONTH(B655)))</f>
        <v/>
      </c>
      <c r="D655" s="2"/>
      <c r="E655" s="4" t="str">
        <f>IFERROR(INDEX('Araç Tanımlama'!$D$5:$D$200,MATCH(D655,'Araç Tanımlama'!$A$5:$A$200,0)),"")</f>
        <v/>
      </c>
      <c r="F655" s="4" t="str">
        <f>IFERROR(INDEX('Araç Tanımlama'!$E$5:$E$200,MATCH(D655,'Araç Tanımlama'!$A$5:$A$200,0)),"")</f>
        <v/>
      </c>
      <c r="G655" s="2"/>
      <c r="H655" s="7"/>
      <c r="I655" s="9" t="str">
        <f>IF(OR(G655="",H655=""),"",G655*H655)</f>
        <v/>
      </c>
      <c r="J655" s="2"/>
      <c r="K655" s="2"/>
    </row>
    <row r="656" spans="1:11">
      <c r="A656" s="4" t="str">
        <f>IF(D656="","",COUNTIF($D$5:D656,"?*"))</f>
        <v/>
      </c>
      <c r="B656" s="5"/>
      <c r="C656" s="4" t="str">
        <f>IF(B656="","",INDEX({"Ocak","Şubat","Mart","Nisan","Mayıs","Haziran","Temmuz","Ağustos","Eylül","Ekim","Kasım","Aralık"},MONTH(B656)))</f>
        <v/>
      </c>
      <c r="D656" s="2"/>
      <c r="E656" s="4" t="str">
        <f>IFERROR(INDEX('Araç Tanımlama'!$D$5:$D$200,MATCH(D656,'Araç Tanımlama'!$A$5:$A$200,0)),"")</f>
        <v/>
      </c>
      <c r="F656" s="4" t="str">
        <f>IFERROR(INDEX('Araç Tanımlama'!$E$5:$E$200,MATCH(D656,'Araç Tanımlama'!$A$5:$A$200,0)),"")</f>
        <v/>
      </c>
      <c r="G656" s="2"/>
      <c r="H656" s="7"/>
      <c r="I656" s="9" t="str">
        <f>IF(OR(G656="",H656=""),"",G656*H656)</f>
        <v/>
      </c>
      <c r="J656" s="2"/>
      <c r="K656" s="2"/>
    </row>
    <row r="657" spans="1:11">
      <c r="A657" s="4" t="str">
        <f>IF(D657="","",COUNTIF($D$5:D657,"?*"))</f>
        <v/>
      </c>
      <c r="B657" s="5"/>
      <c r="C657" s="4" t="str">
        <f>IF(B657="","",INDEX({"Ocak","Şubat","Mart","Nisan","Mayıs","Haziran","Temmuz","Ağustos","Eylül","Ekim","Kasım","Aralık"},MONTH(B657)))</f>
        <v/>
      </c>
      <c r="D657" s="2"/>
      <c r="E657" s="4" t="str">
        <f>IFERROR(INDEX('Araç Tanımlama'!$D$5:$D$200,MATCH(D657,'Araç Tanımlama'!$A$5:$A$200,0)),"")</f>
        <v/>
      </c>
      <c r="F657" s="4" t="str">
        <f>IFERROR(INDEX('Araç Tanımlama'!$E$5:$E$200,MATCH(D657,'Araç Tanımlama'!$A$5:$A$200,0)),"")</f>
        <v/>
      </c>
      <c r="G657" s="2"/>
      <c r="H657" s="7"/>
      <c r="I657" s="9" t="str">
        <f>IF(OR(G657="",H657=""),"",G657*H657)</f>
        <v/>
      </c>
      <c r="J657" s="2"/>
      <c r="K657" s="2"/>
    </row>
    <row r="658" spans="1:11">
      <c r="A658" s="4" t="str">
        <f>IF(D658="","",COUNTIF($D$5:D658,"?*"))</f>
        <v/>
      </c>
      <c r="B658" s="5"/>
      <c r="C658" s="4" t="str">
        <f>IF(B658="","",INDEX({"Ocak","Şubat","Mart","Nisan","Mayıs","Haziran","Temmuz","Ağustos","Eylül","Ekim","Kasım","Aralık"},MONTH(B658)))</f>
        <v/>
      </c>
      <c r="D658" s="2"/>
      <c r="E658" s="4" t="str">
        <f>IFERROR(INDEX('Araç Tanımlama'!$D$5:$D$200,MATCH(D658,'Araç Tanımlama'!$A$5:$A$200,0)),"")</f>
        <v/>
      </c>
      <c r="F658" s="4" t="str">
        <f>IFERROR(INDEX('Araç Tanımlama'!$E$5:$E$200,MATCH(D658,'Araç Tanımlama'!$A$5:$A$200,0)),"")</f>
        <v/>
      </c>
      <c r="G658" s="2"/>
      <c r="H658" s="7"/>
      <c r="I658" s="9" t="str">
        <f>IF(OR(G658="",H658=""),"",G658*H658)</f>
        <v/>
      </c>
      <c r="J658" s="2"/>
      <c r="K658" s="2"/>
    </row>
    <row r="659" spans="1:11">
      <c r="A659" s="4" t="str">
        <f>IF(D659="","",COUNTIF($D$5:D659,"?*"))</f>
        <v/>
      </c>
      <c r="B659" s="5"/>
      <c r="C659" s="4" t="str">
        <f>IF(B659="","",INDEX({"Ocak","Şubat","Mart","Nisan","Mayıs","Haziran","Temmuz","Ağustos","Eylül","Ekim","Kasım","Aralık"},MONTH(B659)))</f>
        <v/>
      </c>
      <c r="D659" s="2"/>
      <c r="E659" s="4" t="str">
        <f>IFERROR(INDEX('Araç Tanımlama'!$D$5:$D$200,MATCH(D659,'Araç Tanımlama'!$A$5:$A$200,0)),"")</f>
        <v/>
      </c>
      <c r="F659" s="4" t="str">
        <f>IFERROR(INDEX('Araç Tanımlama'!$E$5:$E$200,MATCH(D659,'Araç Tanımlama'!$A$5:$A$200,0)),"")</f>
        <v/>
      </c>
      <c r="G659" s="2"/>
      <c r="H659" s="7"/>
      <c r="I659" s="9" t="str">
        <f>IF(OR(G659="",H659=""),"",G659*H659)</f>
        <v/>
      </c>
      <c r="J659" s="2"/>
      <c r="K659" s="2"/>
    </row>
    <row r="660" spans="1:11">
      <c r="A660" s="4" t="str">
        <f>IF(D660="","",COUNTIF($D$5:D660,"?*"))</f>
        <v/>
      </c>
      <c r="B660" s="5"/>
      <c r="C660" s="4" t="str">
        <f>IF(B660="","",INDEX({"Ocak","Şubat","Mart","Nisan","Mayıs","Haziran","Temmuz","Ağustos","Eylül","Ekim","Kasım","Aralık"},MONTH(B660)))</f>
        <v/>
      </c>
      <c r="D660" s="2"/>
      <c r="E660" s="4" t="str">
        <f>IFERROR(INDEX('Araç Tanımlama'!$D$5:$D$200,MATCH(D660,'Araç Tanımlama'!$A$5:$A$200,0)),"")</f>
        <v/>
      </c>
      <c r="F660" s="4" t="str">
        <f>IFERROR(INDEX('Araç Tanımlama'!$E$5:$E$200,MATCH(D660,'Araç Tanımlama'!$A$5:$A$200,0)),"")</f>
        <v/>
      </c>
      <c r="G660" s="2"/>
      <c r="H660" s="7"/>
      <c r="I660" s="9" t="str">
        <f>IF(OR(G660="",H660=""),"",G660*H660)</f>
        <v/>
      </c>
      <c r="J660" s="2"/>
      <c r="K660" s="2"/>
    </row>
    <row r="661" spans="1:11">
      <c r="A661" s="4" t="str">
        <f>IF(D661="","",COUNTIF($D$5:D661,"?*"))</f>
        <v/>
      </c>
      <c r="B661" s="5"/>
      <c r="C661" s="4" t="str">
        <f>IF(B661="","",INDEX({"Ocak","Şubat","Mart","Nisan","Mayıs","Haziran","Temmuz","Ağustos","Eylül","Ekim","Kasım","Aralık"},MONTH(B661)))</f>
        <v/>
      </c>
      <c r="D661" s="2"/>
      <c r="E661" s="4" t="str">
        <f>IFERROR(INDEX('Araç Tanımlama'!$D$5:$D$200,MATCH(D661,'Araç Tanımlama'!$A$5:$A$200,0)),"")</f>
        <v/>
      </c>
      <c r="F661" s="4" t="str">
        <f>IFERROR(INDEX('Araç Tanımlama'!$E$5:$E$200,MATCH(D661,'Araç Tanımlama'!$A$5:$A$200,0)),"")</f>
        <v/>
      </c>
      <c r="G661" s="2"/>
      <c r="H661" s="7"/>
      <c r="I661" s="9" t="str">
        <f>IF(OR(G661="",H661=""),"",G661*H661)</f>
        <v/>
      </c>
      <c r="J661" s="2"/>
      <c r="K661" s="2"/>
    </row>
    <row r="662" spans="1:11">
      <c r="A662" s="4" t="str">
        <f>IF(D662="","",COUNTIF($D$5:D662,"?*"))</f>
        <v/>
      </c>
      <c r="B662" s="5"/>
      <c r="C662" s="4" t="str">
        <f>IF(B662="","",INDEX({"Ocak","Şubat","Mart","Nisan","Mayıs","Haziran","Temmuz","Ağustos","Eylül","Ekim","Kasım","Aralık"},MONTH(B662)))</f>
        <v/>
      </c>
      <c r="D662" s="2"/>
      <c r="E662" s="4" t="str">
        <f>IFERROR(INDEX('Araç Tanımlama'!$D$5:$D$200,MATCH(D662,'Araç Tanımlama'!$A$5:$A$200,0)),"")</f>
        <v/>
      </c>
      <c r="F662" s="4" t="str">
        <f>IFERROR(INDEX('Araç Tanımlama'!$E$5:$E$200,MATCH(D662,'Araç Tanımlama'!$A$5:$A$200,0)),"")</f>
        <v/>
      </c>
      <c r="G662" s="2"/>
      <c r="H662" s="7"/>
      <c r="I662" s="9" t="str">
        <f>IF(OR(G662="",H662=""),"",G662*H662)</f>
        <v/>
      </c>
      <c r="J662" s="2"/>
      <c r="K662" s="2"/>
    </row>
    <row r="663" spans="1:11">
      <c r="A663" s="4" t="str">
        <f>IF(D663="","",COUNTIF($D$5:D663,"?*"))</f>
        <v/>
      </c>
      <c r="B663" s="5"/>
      <c r="C663" s="4" t="str">
        <f>IF(B663="","",INDEX({"Ocak","Şubat","Mart","Nisan","Mayıs","Haziran","Temmuz","Ağustos","Eylül","Ekim","Kasım","Aralık"},MONTH(B663)))</f>
        <v/>
      </c>
      <c r="D663" s="2"/>
      <c r="E663" s="4" t="str">
        <f>IFERROR(INDEX('Araç Tanımlama'!$D$5:$D$200,MATCH(D663,'Araç Tanımlama'!$A$5:$A$200,0)),"")</f>
        <v/>
      </c>
      <c r="F663" s="4" t="str">
        <f>IFERROR(INDEX('Araç Tanımlama'!$E$5:$E$200,MATCH(D663,'Araç Tanımlama'!$A$5:$A$200,0)),"")</f>
        <v/>
      </c>
      <c r="G663" s="2"/>
      <c r="H663" s="7"/>
      <c r="I663" s="9" t="str">
        <f>IF(OR(G663="",H663=""),"",G663*H663)</f>
        <v/>
      </c>
      <c r="J663" s="2"/>
      <c r="K663" s="2"/>
    </row>
    <row r="664" spans="1:11">
      <c r="A664" s="4" t="str">
        <f>IF(D664="","",COUNTIF($D$5:D664,"?*"))</f>
        <v/>
      </c>
      <c r="B664" s="5"/>
      <c r="C664" s="4" t="str">
        <f>IF(B664="","",INDEX({"Ocak","Şubat","Mart","Nisan","Mayıs","Haziran","Temmuz","Ağustos","Eylül","Ekim","Kasım","Aralık"},MONTH(B664)))</f>
        <v/>
      </c>
      <c r="D664" s="2"/>
      <c r="E664" s="4" t="str">
        <f>IFERROR(INDEX('Araç Tanımlama'!$D$5:$D$200,MATCH(D664,'Araç Tanımlama'!$A$5:$A$200,0)),"")</f>
        <v/>
      </c>
      <c r="F664" s="4" t="str">
        <f>IFERROR(INDEX('Araç Tanımlama'!$E$5:$E$200,MATCH(D664,'Araç Tanımlama'!$A$5:$A$200,0)),"")</f>
        <v/>
      </c>
      <c r="G664" s="2"/>
      <c r="H664" s="7"/>
      <c r="I664" s="9" t="str">
        <f>IF(OR(G664="",H664=""),"",G664*H664)</f>
        <v/>
      </c>
      <c r="J664" s="2"/>
      <c r="K664" s="2"/>
    </row>
    <row r="665" spans="1:11">
      <c r="A665" s="4" t="str">
        <f>IF(D665="","",COUNTIF($D$5:D665,"?*"))</f>
        <v/>
      </c>
      <c r="B665" s="5"/>
      <c r="C665" s="4" t="str">
        <f>IF(B665="","",INDEX({"Ocak","Şubat","Mart","Nisan","Mayıs","Haziran","Temmuz","Ağustos","Eylül","Ekim","Kasım","Aralık"},MONTH(B665)))</f>
        <v/>
      </c>
      <c r="D665" s="2"/>
      <c r="E665" s="4" t="str">
        <f>IFERROR(INDEX('Araç Tanımlama'!$D$5:$D$200,MATCH(D665,'Araç Tanımlama'!$A$5:$A$200,0)),"")</f>
        <v/>
      </c>
      <c r="F665" s="4" t="str">
        <f>IFERROR(INDEX('Araç Tanımlama'!$E$5:$E$200,MATCH(D665,'Araç Tanımlama'!$A$5:$A$200,0)),"")</f>
        <v/>
      </c>
      <c r="G665" s="2"/>
      <c r="H665" s="7"/>
      <c r="I665" s="9" t="str">
        <f>IF(OR(G665="",H665=""),"",G665*H665)</f>
        <v/>
      </c>
      <c r="J665" s="2"/>
      <c r="K665" s="2"/>
    </row>
    <row r="666" spans="1:11">
      <c r="A666" s="4" t="str">
        <f>IF(D666="","",COUNTIF($D$5:D666,"?*"))</f>
        <v/>
      </c>
      <c r="B666" s="5"/>
      <c r="C666" s="4" t="str">
        <f>IF(B666="","",INDEX({"Ocak","Şubat","Mart","Nisan","Mayıs","Haziran","Temmuz","Ağustos","Eylül","Ekim","Kasım","Aralık"},MONTH(B666)))</f>
        <v/>
      </c>
      <c r="D666" s="2"/>
      <c r="E666" s="4" t="str">
        <f>IFERROR(INDEX('Araç Tanımlama'!$D$5:$D$200,MATCH(D666,'Araç Tanımlama'!$A$5:$A$200,0)),"")</f>
        <v/>
      </c>
      <c r="F666" s="4" t="str">
        <f>IFERROR(INDEX('Araç Tanımlama'!$E$5:$E$200,MATCH(D666,'Araç Tanımlama'!$A$5:$A$200,0)),"")</f>
        <v/>
      </c>
      <c r="G666" s="2"/>
      <c r="H666" s="7"/>
      <c r="I666" s="9" t="str">
        <f>IF(OR(G666="",H666=""),"",G666*H666)</f>
        <v/>
      </c>
      <c r="J666" s="2"/>
      <c r="K666" s="2"/>
    </row>
    <row r="667" spans="1:11">
      <c r="A667" s="4" t="str">
        <f>IF(D667="","",COUNTIF($D$5:D667,"?*"))</f>
        <v/>
      </c>
      <c r="B667" s="5"/>
      <c r="C667" s="4" t="str">
        <f>IF(B667="","",INDEX({"Ocak","Şubat","Mart","Nisan","Mayıs","Haziran","Temmuz","Ağustos","Eylül","Ekim","Kasım","Aralık"},MONTH(B667)))</f>
        <v/>
      </c>
      <c r="D667" s="2"/>
      <c r="E667" s="4" t="str">
        <f>IFERROR(INDEX('Araç Tanımlama'!$D$5:$D$200,MATCH(D667,'Araç Tanımlama'!$A$5:$A$200,0)),"")</f>
        <v/>
      </c>
      <c r="F667" s="4" t="str">
        <f>IFERROR(INDEX('Araç Tanımlama'!$E$5:$E$200,MATCH(D667,'Araç Tanımlama'!$A$5:$A$200,0)),"")</f>
        <v/>
      </c>
      <c r="G667" s="2"/>
      <c r="H667" s="7"/>
      <c r="I667" s="9" t="str">
        <f>IF(OR(G667="",H667=""),"",G667*H667)</f>
        <v/>
      </c>
      <c r="J667" s="2"/>
      <c r="K667" s="2"/>
    </row>
    <row r="668" spans="1:11">
      <c r="A668" s="4" t="str">
        <f>IF(D668="","",COUNTIF($D$5:D668,"?*"))</f>
        <v/>
      </c>
      <c r="B668" s="5"/>
      <c r="C668" s="4" t="str">
        <f>IF(B668="","",INDEX({"Ocak","Şubat","Mart","Nisan","Mayıs","Haziran","Temmuz","Ağustos","Eylül","Ekim","Kasım","Aralık"},MONTH(B668)))</f>
        <v/>
      </c>
      <c r="D668" s="2"/>
      <c r="E668" s="4" t="str">
        <f>IFERROR(INDEX('Araç Tanımlama'!$D$5:$D$200,MATCH(D668,'Araç Tanımlama'!$A$5:$A$200,0)),"")</f>
        <v/>
      </c>
      <c r="F668" s="4" t="str">
        <f>IFERROR(INDEX('Araç Tanımlama'!$E$5:$E$200,MATCH(D668,'Araç Tanımlama'!$A$5:$A$200,0)),"")</f>
        <v/>
      </c>
      <c r="G668" s="2"/>
      <c r="H668" s="7"/>
      <c r="I668" s="9" t="str">
        <f>IF(OR(G668="",H668=""),"",G668*H668)</f>
        <v/>
      </c>
      <c r="J668" s="2"/>
      <c r="K668" s="2"/>
    </row>
    <row r="669" spans="1:11">
      <c r="A669" s="4" t="str">
        <f>IF(D669="","",COUNTIF($D$5:D669,"?*"))</f>
        <v/>
      </c>
      <c r="B669" s="5"/>
      <c r="C669" s="4" t="str">
        <f>IF(B669="","",INDEX({"Ocak","Şubat","Mart","Nisan","Mayıs","Haziran","Temmuz","Ağustos","Eylül","Ekim","Kasım","Aralık"},MONTH(B669)))</f>
        <v/>
      </c>
      <c r="D669" s="2"/>
      <c r="E669" s="4" t="str">
        <f>IFERROR(INDEX('Araç Tanımlama'!$D$5:$D$200,MATCH(D669,'Araç Tanımlama'!$A$5:$A$200,0)),"")</f>
        <v/>
      </c>
      <c r="F669" s="4" t="str">
        <f>IFERROR(INDEX('Araç Tanımlama'!$E$5:$E$200,MATCH(D669,'Araç Tanımlama'!$A$5:$A$200,0)),"")</f>
        <v/>
      </c>
      <c r="G669" s="2"/>
      <c r="H669" s="7"/>
      <c r="I669" s="9" t="str">
        <f>IF(OR(G669="",H669=""),"",G669*H669)</f>
        <v/>
      </c>
      <c r="J669" s="2"/>
      <c r="K669" s="2"/>
    </row>
    <row r="670" spans="1:11">
      <c r="A670" s="4" t="str">
        <f>IF(D670="","",COUNTIF($D$5:D670,"?*"))</f>
        <v/>
      </c>
      <c r="B670" s="5"/>
      <c r="C670" s="4" t="str">
        <f>IF(B670="","",INDEX({"Ocak","Şubat","Mart","Nisan","Mayıs","Haziran","Temmuz","Ağustos","Eylül","Ekim","Kasım","Aralık"},MONTH(B670)))</f>
        <v/>
      </c>
      <c r="D670" s="2"/>
      <c r="E670" s="4" t="str">
        <f>IFERROR(INDEX('Araç Tanımlama'!$D$5:$D$200,MATCH(D670,'Araç Tanımlama'!$A$5:$A$200,0)),"")</f>
        <v/>
      </c>
      <c r="F670" s="4" t="str">
        <f>IFERROR(INDEX('Araç Tanımlama'!$E$5:$E$200,MATCH(D670,'Araç Tanımlama'!$A$5:$A$200,0)),"")</f>
        <v/>
      </c>
      <c r="G670" s="2"/>
      <c r="H670" s="7"/>
      <c r="I670" s="9" t="str">
        <f>IF(OR(G670="",H670=""),"",G670*H670)</f>
        <v/>
      </c>
      <c r="J670" s="2"/>
      <c r="K670" s="2"/>
    </row>
    <row r="671" spans="1:11">
      <c r="A671" s="4" t="str">
        <f>IF(D671="","",COUNTIF($D$5:D671,"?*"))</f>
        <v/>
      </c>
      <c r="B671" s="5"/>
      <c r="C671" s="4" t="str">
        <f>IF(B671="","",INDEX({"Ocak","Şubat","Mart","Nisan","Mayıs","Haziran","Temmuz","Ağustos","Eylül","Ekim","Kasım","Aralık"},MONTH(B671)))</f>
        <v/>
      </c>
      <c r="D671" s="2"/>
      <c r="E671" s="4" t="str">
        <f>IFERROR(INDEX('Araç Tanımlama'!$D$5:$D$200,MATCH(D671,'Araç Tanımlama'!$A$5:$A$200,0)),"")</f>
        <v/>
      </c>
      <c r="F671" s="4" t="str">
        <f>IFERROR(INDEX('Araç Tanımlama'!$E$5:$E$200,MATCH(D671,'Araç Tanımlama'!$A$5:$A$200,0)),"")</f>
        <v/>
      </c>
      <c r="G671" s="2"/>
      <c r="H671" s="7"/>
      <c r="I671" s="9" t="str">
        <f>IF(OR(G671="",H671=""),"",G671*H671)</f>
        <v/>
      </c>
      <c r="J671" s="2"/>
      <c r="K671" s="2"/>
    </row>
    <row r="672" spans="1:11">
      <c r="A672" s="4" t="str">
        <f>IF(D672="","",COUNTIF($D$5:D672,"?*"))</f>
        <v/>
      </c>
      <c r="B672" s="5"/>
      <c r="C672" s="4" t="str">
        <f>IF(B672="","",INDEX({"Ocak","Şubat","Mart","Nisan","Mayıs","Haziran","Temmuz","Ağustos","Eylül","Ekim","Kasım","Aralık"},MONTH(B672)))</f>
        <v/>
      </c>
      <c r="D672" s="2"/>
      <c r="E672" s="4" t="str">
        <f>IFERROR(INDEX('Araç Tanımlama'!$D$5:$D$200,MATCH(D672,'Araç Tanımlama'!$A$5:$A$200,0)),"")</f>
        <v/>
      </c>
      <c r="F672" s="4" t="str">
        <f>IFERROR(INDEX('Araç Tanımlama'!$E$5:$E$200,MATCH(D672,'Araç Tanımlama'!$A$5:$A$200,0)),"")</f>
        <v/>
      </c>
      <c r="G672" s="2"/>
      <c r="H672" s="7"/>
      <c r="I672" s="9" t="str">
        <f>IF(OR(G672="",H672=""),"",G672*H672)</f>
        <v/>
      </c>
      <c r="J672" s="2"/>
      <c r="K672" s="2"/>
    </row>
    <row r="673" spans="1:11">
      <c r="A673" s="4" t="str">
        <f>IF(D673="","",COUNTIF($D$5:D673,"?*"))</f>
        <v/>
      </c>
      <c r="B673" s="5"/>
      <c r="C673" s="4" t="str">
        <f>IF(B673="","",INDEX({"Ocak","Şubat","Mart","Nisan","Mayıs","Haziran","Temmuz","Ağustos","Eylül","Ekim","Kasım","Aralık"},MONTH(B673)))</f>
        <v/>
      </c>
      <c r="D673" s="2"/>
      <c r="E673" s="4" t="str">
        <f>IFERROR(INDEX('Araç Tanımlama'!$D$5:$D$200,MATCH(D673,'Araç Tanımlama'!$A$5:$A$200,0)),"")</f>
        <v/>
      </c>
      <c r="F673" s="4" t="str">
        <f>IFERROR(INDEX('Araç Tanımlama'!$E$5:$E$200,MATCH(D673,'Araç Tanımlama'!$A$5:$A$200,0)),"")</f>
        <v/>
      </c>
      <c r="G673" s="2"/>
      <c r="H673" s="7"/>
      <c r="I673" s="9" t="str">
        <f>IF(OR(G673="",H673=""),"",G673*H673)</f>
        <v/>
      </c>
      <c r="J673" s="2"/>
      <c r="K673" s="2"/>
    </row>
    <row r="674" spans="1:11">
      <c r="A674" s="4" t="str">
        <f>IF(D674="","",COUNTIF($D$5:D674,"?*"))</f>
        <v/>
      </c>
      <c r="B674" s="5"/>
      <c r="C674" s="4" t="str">
        <f>IF(B674="","",INDEX({"Ocak","Şubat","Mart","Nisan","Mayıs","Haziran","Temmuz","Ağustos","Eylül","Ekim","Kasım","Aralık"},MONTH(B674)))</f>
        <v/>
      </c>
      <c r="D674" s="2"/>
      <c r="E674" s="4" t="str">
        <f>IFERROR(INDEX('Araç Tanımlama'!$D$5:$D$200,MATCH(D674,'Araç Tanımlama'!$A$5:$A$200,0)),"")</f>
        <v/>
      </c>
      <c r="F674" s="4" t="str">
        <f>IFERROR(INDEX('Araç Tanımlama'!$E$5:$E$200,MATCH(D674,'Araç Tanımlama'!$A$5:$A$200,0)),"")</f>
        <v/>
      </c>
      <c r="G674" s="2"/>
      <c r="H674" s="7"/>
      <c r="I674" s="9" t="str">
        <f>IF(OR(G674="",H674=""),"",G674*H674)</f>
        <v/>
      </c>
      <c r="J674" s="2"/>
      <c r="K674" s="2"/>
    </row>
    <row r="675" spans="1:11">
      <c r="A675" s="4" t="str">
        <f>IF(D675="","",COUNTIF($D$5:D675,"?*"))</f>
        <v/>
      </c>
      <c r="B675" s="5"/>
      <c r="C675" s="4" t="str">
        <f>IF(B675="","",INDEX({"Ocak","Şubat","Mart","Nisan","Mayıs","Haziran","Temmuz","Ağustos","Eylül","Ekim","Kasım","Aralık"},MONTH(B675)))</f>
        <v/>
      </c>
      <c r="D675" s="2"/>
      <c r="E675" s="4" t="str">
        <f>IFERROR(INDEX('Araç Tanımlama'!$D$5:$D$200,MATCH(D675,'Araç Tanımlama'!$A$5:$A$200,0)),"")</f>
        <v/>
      </c>
      <c r="F675" s="4" t="str">
        <f>IFERROR(INDEX('Araç Tanımlama'!$E$5:$E$200,MATCH(D675,'Araç Tanımlama'!$A$5:$A$200,0)),"")</f>
        <v/>
      </c>
      <c r="G675" s="2"/>
      <c r="H675" s="7"/>
      <c r="I675" s="9" t="str">
        <f>IF(OR(G675="",H675=""),"",G675*H675)</f>
        <v/>
      </c>
      <c r="J675" s="2"/>
      <c r="K675" s="2"/>
    </row>
    <row r="676" spans="1:11">
      <c r="A676" s="4" t="str">
        <f>IF(D676="","",COUNTIF($D$5:D676,"?*"))</f>
        <v/>
      </c>
      <c r="B676" s="5"/>
      <c r="C676" s="4" t="str">
        <f>IF(B676="","",INDEX({"Ocak","Şubat","Mart","Nisan","Mayıs","Haziran","Temmuz","Ağustos","Eylül","Ekim","Kasım","Aralık"},MONTH(B676)))</f>
        <v/>
      </c>
      <c r="D676" s="2"/>
      <c r="E676" s="4" t="str">
        <f>IFERROR(INDEX('Araç Tanımlama'!$D$5:$D$200,MATCH(D676,'Araç Tanımlama'!$A$5:$A$200,0)),"")</f>
        <v/>
      </c>
      <c r="F676" s="4" t="str">
        <f>IFERROR(INDEX('Araç Tanımlama'!$E$5:$E$200,MATCH(D676,'Araç Tanımlama'!$A$5:$A$200,0)),"")</f>
        <v/>
      </c>
      <c r="G676" s="2"/>
      <c r="H676" s="7"/>
      <c r="I676" s="9" t="str">
        <f>IF(OR(G676="",H676=""),"",G676*H676)</f>
        <v/>
      </c>
      <c r="J676" s="2"/>
      <c r="K676" s="2"/>
    </row>
    <row r="677" spans="1:11">
      <c r="A677" s="4" t="str">
        <f>IF(D677="","",COUNTIF($D$5:D677,"?*"))</f>
        <v/>
      </c>
      <c r="B677" s="5"/>
      <c r="C677" s="4" t="str">
        <f>IF(B677="","",INDEX({"Ocak","Şubat","Mart","Nisan","Mayıs","Haziran","Temmuz","Ağustos","Eylül","Ekim","Kasım","Aralık"},MONTH(B677)))</f>
        <v/>
      </c>
      <c r="D677" s="2"/>
      <c r="E677" s="4" t="str">
        <f>IFERROR(INDEX('Araç Tanımlama'!$D$5:$D$200,MATCH(D677,'Araç Tanımlama'!$A$5:$A$200,0)),"")</f>
        <v/>
      </c>
      <c r="F677" s="4" t="str">
        <f>IFERROR(INDEX('Araç Tanımlama'!$E$5:$E$200,MATCH(D677,'Araç Tanımlama'!$A$5:$A$200,0)),"")</f>
        <v/>
      </c>
      <c r="G677" s="2"/>
      <c r="H677" s="7"/>
      <c r="I677" s="9" t="str">
        <f>IF(OR(G677="",H677=""),"",G677*H677)</f>
        <v/>
      </c>
      <c r="J677" s="2"/>
      <c r="K677" s="2"/>
    </row>
    <row r="678" spans="1:11">
      <c r="A678" s="4" t="str">
        <f>IF(D678="","",COUNTIF($D$5:D678,"?*"))</f>
        <v/>
      </c>
      <c r="B678" s="5"/>
      <c r="C678" s="4" t="str">
        <f>IF(B678="","",INDEX({"Ocak","Şubat","Mart","Nisan","Mayıs","Haziran","Temmuz","Ağustos","Eylül","Ekim","Kasım","Aralık"},MONTH(B678)))</f>
        <v/>
      </c>
      <c r="D678" s="2"/>
      <c r="E678" s="4" t="str">
        <f>IFERROR(INDEX('Araç Tanımlama'!$D$5:$D$200,MATCH(D678,'Araç Tanımlama'!$A$5:$A$200,0)),"")</f>
        <v/>
      </c>
      <c r="F678" s="4" t="str">
        <f>IFERROR(INDEX('Araç Tanımlama'!$E$5:$E$200,MATCH(D678,'Araç Tanımlama'!$A$5:$A$200,0)),"")</f>
        <v/>
      </c>
      <c r="G678" s="2"/>
      <c r="H678" s="7"/>
      <c r="I678" s="9" t="str">
        <f>IF(OR(G678="",H678=""),"",G678*H678)</f>
        <v/>
      </c>
      <c r="J678" s="2"/>
      <c r="K678" s="2"/>
    </row>
    <row r="679" spans="1:11">
      <c r="A679" s="4" t="str">
        <f>IF(D679="","",COUNTIF($D$5:D679,"?*"))</f>
        <v/>
      </c>
      <c r="B679" s="5"/>
      <c r="C679" s="4" t="str">
        <f>IF(B679="","",INDEX({"Ocak","Şubat","Mart","Nisan","Mayıs","Haziran","Temmuz","Ağustos","Eylül","Ekim","Kasım","Aralık"},MONTH(B679)))</f>
        <v/>
      </c>
      <c r="D679" s="2"/>
      <c r="E679" s="4" t="str">
        <f>IFERROR(INDEX('Araç Tanımlama'!$D$5:$D$200,MATCH(D679,'Araç Tanımlama'!$A$5:$A$200,0)),"")</f>
        <v/>
      </c>
      <c r="F679" s="4" t="str">
        <f>IFERROR(INDEX('Araç Tanımlama'!$E$5:$E$200,MATCH(D679,'Araç Tanımlama'!$A$5:$A$200,0)),"")</f>
        <v/>
      </c>
      <c r="G679" s="2"/>
      <c r="H679" s="7"/>
      <c r="I679" s="9" t="str">
        <f>IF(OR(G679="",H679=""),"",G679*H679)</f>
        <v/>
      </c>
      <c r="J679" s="2"/>
      <c r="K679" s="2"/>
    </row>
    <row r="680" spans="1:11">
      <c r="A680" s="4" t="str">
        <f>IF(D680="","",COUNTIF($D$5:D680,"?*"))</f>
        <v/>
      </c>
      <c r="B680" s="5"/>
      <c r="C680" s="4" t="str">
        <f>IF(B680="","",INDEX({"Ocak","Şubat","Mart","Nisan","Mayıs","Haziran","Temmuz","Ağustos","Eylül","Ekim","Kasım","Aralık"},MONTH(B680)))</f>
        <v/>
      </c>
      <c r="D680" s="2"/>
      <c r="E680" s="4" t="str">
        <f>IFERROR(INDEX('Araç Tanımlama'!$D$5:$D$200,MATCH(D680,'Araç Tanımlama'!$A$5:$A$200,0)),"")</f>
        <v/>
      </c>
      <c r="F680" s="4" t="str">
        <f>IFERROR(INDEX('Araç Tanımlama'!$E$5:$E$200,MATCH(D680,'Araç Tanımlama'!$A$5:$A$200,0)),"")</f>
        <v/>
      </c>
      <c r="G680" s="2"/>
      <c r="H680" s="7"/>
      <c r="I680" s="9" t="str">
        <f>IF(OR(G680="",H680=""),"",G680*H680)</f>
        <v/>
      </c>
      <c r="J680" s="2"/>
      <c r="K680" s="2"/>
    </row>
    <row r="681" spans="1:11">
      <c r="A681" s="4" t="str">
        <f>IF(D681="","",COUNTIF($D$5:D681,"?*"))</f>
        <v/>
      </c>
      <c r="B681" s="5"/>
      <c r="C681" s="4" t="str">
        <f>IF(B681="","",INDEX({"Ocak","Şubat","Mart","Nisan","Mayıs","Haziran","Temmuz","Ağustos","Eylül","Ekim","Kasım","Aralık"},MONTH(B681)))</f>
        <v/>
      </c>
      <c r="D681" s="2"/>
      <c r="E681" s="4" t="str">
        <f>IFERROR(INDEX('Araç Tanımlama'!$D$5:$D$200,MATCH(D681,'Araç Tanımlama'!$A$5:$A$200,0)),"")</f>
        <v/>
      </c>
      <c r="F681" s="4" t="str">
        <f>IFERROR(INDEX('Araç Tanımlama'!$E$5:$E$200,MATCH(D681,'Araç Tanımlama'!$A$5:$A$200,0)),"")</f>
        <v/>
      </c>
      <c r="G681" s="2"/>
      <c r="H681" s="7"/>
      <c r="I681" s="9" t="str">
        <f>IF(OR(G681="",H681=""),"",G681*H681)</f>
        <v/>
      </c>
      <c r="J681" s="2"/>
      <c r="K681" s="2"/>
    </row>
    <row r="682" spans="1:11">
      <c r="A682" s="4" t="str">
        <f>IF(D682="","",COUNTIF($D$5:D682,"?*"))</f>
        <v/>
      </c>
      <c r="B682" s="5"/>
      <c r="C682" s="4" t="str">
        <f>IF(B682="","",INDEX({"Ocak","Şubat","Mart","Nisan","Mayıs","Haziran","Temmuz","Ağustos","Eylül","Ekim","Kasım","Aralık"},MONTH(B682)))</f>
        <v/>
      </c>
      <c r="D682" s="2"/>
      <c r="E682" s="4" t="str">
        <f>IFERROR(INDEX('Araç Tanımlama'!$D$5:$D$200,MATCH(D682,'Araç Tanımlama'!$A$5:$A$200,0)),"")</f>
        <v/>
      </c>
      <c r="F682" s="4" t="str">
        <f>IFERROR(INDEX('Araç Tanımlama'!$E$5:$E$200,MATCH(D682,'Araç Tanımlama'!$A$5:$A$200,0)),"")</f>
        <v/>
      </c>
      <c r="G682" s="2"/>
      <c r="H682" s="7"/>
      <c r="I682" s="9" t="str">
        <f>IF(OR(G682="",H682=""),"",G682*H682)</f>
        <v/>
      </c>
      <c r="J682" s="2"/>
      <c r="K682" s="2"/>
    </row>
    <row r="683" spans="1:11">
      <c r="A683" s="4" t="str">
        <f>IF(D683="","",COUNTIF($D$5:D683,"?*"))</f>
        <v/>
      </c>
      <c r="B683" s="5"/>
      <c r="C683" s="4" t="str">
        <f>IF(B683="","",INDEX({"Ocak","Şubat","Mart","Nisan","Mayıs","Haziran","Temmuz","Ağustos","Eylül","Ekim","Kasım","Aralık"},MONTH(B683)))</f>
        <v/>
      </c>
      <c r="D683" s="2"/>
      <c r="E683" s="4" t="str">
        <f>IFERROR(INDEX('Araç Tanımlama'!$D$5:$D$200,MATCH(D683,'Araç Tanımlama'!$A$5:$A$200,0)),"")</f>
        <v/>
      </c>
      <c r="F683" s="4" t="str">
        <f>IFERROR(INDEX('Araç Tanımlama'!$E$5:$E$200,MATCH(D683,'Araç Tanımlama'!$A$5:$A$200,0)),"")</f>
        <v/>
      </c>
      <c r="G683" s="2"/>
      <c r="H683" s="7"/>
      <c r="I683" s="9" t="str">
        <f>IF(OR(G683="",H683=""),"",G683*H683)</f>
        <v/>
      </c>
      <c r="J683" s="2"/>
      <c r="K683" s="2"/>
    </row>
    <row r="684" spans="1:11">
      <c r="A684" s="4" t="str">
        <f>IF(D684="","",COUNTIF($D$5:D684,"?*"))</f>
        <v/>
      </c>
      <c r="B684" s="5"/>
      <c r="C684" s="4" t="str">
        <f>IF(B684="","",INDEX({"Ocak","Şubat","Mart","Nisan","Mayıs","Haziran","Temmuz","Ağustos","Eylül","Ekim","Kasım","Aralık"},MONTH(B684)))</f>
        <v/>
      </c>
      <c r="D684" s="2"/>
      <c r="E684" s="4" t="str">
        <f>IFERROR(INDEX('Araç Tanımlama'!$D$5:$D$200,MATCH(D684,'Araç Tanımlama'!$A$5:$A$200,0)),"")</f>
        <v/>
      </c>
      <c r="F684" s="4" t="str">
        <f>IFERROR(INDEX('Araç Tanımlama'!$E$5:$E$200,MATCH(D684,'Araç Tanımlama'!$A$5:$A$200,0)),"")</f>
        <v/>
      </c>
      <c r="G684" s="2"/>
      <c r="H684" s="7"/>
      <c r="I684" s="9" t="str">
        <f>IF(OR(G684="",H684=""),"",G684*H684)</f>
        <v/>
      </c>
      <c r="J684" s="2"/>
      <c r="K684" s="2"/>
    </row>
    <row r="685" spans="1:11">
      <c r="A685" s="4" t="str">
        <f>IF(D685="","",COUNTIF($D$5:D685,"?*"))</f>
        <v/>
      </c>
      <c r="B685" s="5"/>
      <c r="C685" s="4" t="str">
        <f>IF(B685="","",INDEX({"Ocak","Şubat","Mart","Nisan","Mayıs","Haziran","Temmuz","Ağustos","Eylül","Ekim","Kasım","Aralık"},MONTH(B685)))</f>
        <v/>
      </c>
      <c r="D685" s="2"/>
      <c r="E685" s="4" t="str">
        <f>IFERROR(INDEX('Araç Tanımlama'!$D$5:$D$200,MATCH(D685,'Araç Tanımlama'!$A$5:$A$200,0)),"")</f>
        <v/>
      </c>
      <c r="F685" s="4" t="str">
        <f>IFERROR(INDEX('Araç Tanımlama'!$E$5:$E$200,MATCH(D685,'Araç Tanımlama'!$A$5:$A$200,0)),"")</f>
        <v/>
      </c>
      <c r="G685" s="2"/>
      <c r="H685" s="7"/>
      <c r="I685" s="9" t="str">
        <f>IF(OR(G685="",H685=""),"",G685*H685)</f>
        <v/>
      </c>
      <c r="J685" s="2"/>
      <c r="K685" s="2"/>
    </row>
    <row r="686" spans="1:11">
      <c r="A686" s="4" t="str">
        <f>IF(D686="","",COUNTIF($D$5:D686,"?*"))</f>
        <v/>
      </c>
      <c r="B686" s="5"/>
      <c r="C686" s="4" t="str">
        <f>IF(B686="","",INDEX({"Ocak","Şubat","Mart","Nisan","Mayıs","Haziran","Temmuz","Ağustos","Eylül","Ekim","Kasım","Aralık"},MONTH(B686)))</f>
        <v/>
      </c>
      <c r="D686" s="2"/>
      <c r="E686" s="4" t="str">
        <f>IFERROR(INDEX('Araç Tanımlama'!$D$5:$D$200,MATCH(D686,'Araç Tanımlama'!$A$5:$A$200,0)),"")</f>
        <v/>
      </c>
      <c r="F686" s="4" t="str">
        <f>IFERROR(INDEX('Araç Tanımlama'!$E$5:$E$200,MATCH(D686,'Araç Tanımlama'!$A$5:$A$200,0)),"")</f>
        <v/>
      </c>
      <c r="G686" s="2"/>
      <c r="H686" s="7"/>
      <c r="I686" s="9" t="str">
        <f>IF(OR(G686="",H686=""),"",G686*H686)</f>
        <v/>
      </c>
      <c r="J686" s="2"/>
      <c r="K686" s="2"/>
    </row>
    <row r="687" spans="1:11">
      <c r="A687" s="4" t="str">
        <f>IF(D687="","",COUNTIF($D$5:D687,"?*"))</f>
        <v/>
      </c>
      <c r="B687" s="5"/>
      <c r="C687" s="4" t="str">
        <f>IF(B687="","",INDEX({"Ocak","Şubat","Mart","Nisan","Mayıs","Haziran","Temmuz","Ağustos","Eylül","Ekim","Kasım","Aralık"},MONTH(B687)))</f>
        <v/>
      </c>
      <c r="D687" s="2"/>
      <c r="E687" s="4" t="str">
        <f>IFERROR(INDEX('Araç Tanımlama'!$D$5:$D$200,MATCH(D687,'Araç Tanımlama'!$A$5:$A$200,0)),"")</f>
        <v/>
      </c>
      <c r="F687" s="4" t="str">
        <f>IFERROR(INDEX('Araç Tanımlama'!$E$5:$E$200,MATCH(D687,'Araç Tanımlama'!$A$5:$A$200,0)),"")</f>
        <v/>
      </c>
      <c r="G687" s="2"/>
      <c r="H687" s="7"/>
      <c r="I687" s="9" t="str">
        <f>IF(OR(G687="",H687=""),"",G687*H687)</f>
        <v/>
      </c>
      <c r="J687" s="2"/>
      <c r="K687" s="2"/>
    </row>
    <row r="688" spans="1:11">
      <c r="A688" s="4" t="str">
        <f>IF(D688="","",COUNTIF($D$5:D688,"?*"))</f>
        <v/>
      </c>
      <c r="B688" s="5"/>
      <c r="C688" s="4" t="str">
        <f>IF(B688="","",INDEX({"Ocak","Şubat","Mart","Nisan","Mayıs","Haziran","Temmuz","Ağustos","Eylül","Ekim","Kasım","Aralık"},MONTH(B688)))</f>
        <v/>
      </c>
      <c r="D688" s="2"/>
      <c r="E688" s="4" t="str">
        <f>IFERROR(INDEX('Araç Tanımlama'!$D$5:$D$200,MATCH(D688,'Araç Tanımlama'!$A$5:$A$200,0)),"")</f>
        <v/>
      </c>
      <c r="F688" s="4" t="str">
        <f>IFERROR(INDEX('Araç Tanımlama'!$E$5:$E$200,MATCH(D688,'Araç Tanımlama'!$A$5:$A$200,0)),"")</f>
        <v/>
      </c>
      <c r="G688" s="2"/>
      <c r="H688" s="7"/>
      <c r="I688" s="9" t="str">
        <f>IF(OR(G688="",H688=""),"",G688*H688)</f>
        <v/>
      </c>
      <c r="J688" s="2"/>
      <c r="K688" s="2"/>
    </row>
    <row r="689" spans="1:11">
      <c r="A689" s="4" t="str">
        <f>IF(D689="","",COUNTIF($D$5:D689,"?*"))</f>
        <v/>
      </c>
      <c r="B689" s="5"/>
      <c r="C689" s="4" t="str">
        <f>IF(B689="","",INDEX({"Ocak","Şubat","Mart","Nisan","Mayıs","Haziran","Temmuz","Ağustos","Eylül","Ekim","Kasım","Aralık"},MONTH(B689)))</f>
        <v/>
      </c>
      <c r="D689" s="2"/>
      <c r="E689" s="4" t="str">
        <f>IFERROR(INDEX('Araç Tanımlama'!$D$5:$D$200,MATCH(D689,'Araç Tanımlama'!$A$5:$A$200,0)),"")</f>
        <v/>
      </c>
      <c r="F689" s="4" t="str">
        <f>IFERROR(INDEX('Araç Tanımlama'!$E$5:$E$200,MATCH(D689,'Araç Tanımlama'!$A$5:$A$200,0)),"")</f>
        <v/>
      </c>
      <c r="G689" s="2"/>
      <c r="H689" s="7"/>
      <c r="I689" s="9" t="str">
        <f>IF(OR(G689="",H689=""),"",G689*H689)</f>
        <v/>
      </c>
      <c r="J689" s="2"/>
      <c r="K689" s="2"/>
    </row>
    <row r="690" spans="1:11">
      <c r="A690" s="4" t="str">
        <f>IF(D690="","",COUNTIF($D$5:D690,"?*"))</f>
        <v/>
      </c>
      <c r="B690" s="5"/>
      <c r="C690" s="4" t="str">
        <f>IF(B690="","",INDEX({"Ocak","Şubat","Mart","Nisan","Mayıs","Haziran","Temmuz","Ağustos","Eylül","Ekim","Kasım","Aralık"},MONTH(B690)))</f>
        <v/>
      </c>
      <c r="D690" s="2"/>
      <c r="E690" s="4" t="str">
        <f>IFERROR(INDEX('Araç Tanımlama'!$D$5:$D$200,MATCH(D690,'Araç Tanımlama'!$A$5:$A$200,0)),"")</f>
        <v/>
      </c>
      <c r="F690" s="4" t="str">
        <f>IFERROR(INDEX('Araç Tanımlama'!$E$5:$E$200,MATCH(D690,'Araç Tanımlama'!$A$5:$A$200,0)),"")</f>
        <v/>
      </c>
      <c r="G690" s="2"/>
      <c r="H690" s="7"/>
      <c r="I690" s="9" t="str">
        <f>IF(OR(G690="",H690=""),"",G690*H690)</f>
        <v/>
      </c>
      <c r="J690" s="2"/>
      <c r="K690" s="2"/>
    </row>
    <row r="691" spans="1:11">
      <c r="A691" s="4" t="str">
        <f>IF(D691="","",COUNTIF($D$5:D691,"?*"))</f>
        <v/>
      </c>
      <c r="B691" s="5"/>
      <c r="C691" s="4" t="str">
        <f>IF(B691="","",INDEX({"Ocak","Şubat","Mart","Nisan","Mayıs","Haziran","Temmuz","Ağustos","Eylül","Ekim","Kasım","Aralık"},MONTH(B691)))</f>
        <v/>
      </c>
      <c r="D691" s="2"/>
      <c r="E691" s="4" t="str">
        <f>IFERROR(INDEX('Araç Tanımlama'!$D$5:$D$200,MATCH(D691,'Araç Tanımlama'!$A$5:$A$200,0)),"")</f>
        <v/>
      </c>
      <c r="F691" s="4" t="str">
        <f>IFERROR(INDEX('Araç Tanımlama'!$E$5:$E$200,MATCH(D691,'Araç Tanımlama'!$A$5:$A$200,0)),"")</f>
        <v/>
      </c>
      <c r="G691" s="2"/>
      <c r="H691" s="7"/>
      <c r="I691" s="9" t="str">
        <f>IF(OR(G691="",H691=""),"",G691*H691)</f>
        <v/>
      </c>
      <c r="J691" s="2"/>
      <c r="K691" s="2"/>
    </row>
    <row r="692" spans="1:11">
      <c r="A692" s="4" t="str">
        <f>IF(D692="","",COUNTIF($D$5:D692,"?*"))</f>
        <v/>
      </c>
      <c r="B692" s="5"/>
      <c r="C692" s="4" t="str">
        <f>IF(B692="","",INDEX({"Ocak","Şubat","Mart","Nisan","Mayıs","Haziran","Temmuz","Ağustos","Eylül","Ekim","Kasım","Aralık"},MONTH(B692)))</f>
        <v/>
      </c>
      <c r="D692" s="2"/>
      <c r="E692" s="4" t="str">
        <f>IFERROR(INDEX('Araç Tanımlama'!$D$5:$D$200,MATCH(D692,'Araç Tanımlama'!$A$5:$A$200,0)),"")</f>
        <v/>
      </c>
      <c r="F692" s="4" t="str">
        <f>IFERROR(INDEX('Araç Tanımlama'!$E$5:$E$200,MATCH(D692,'Araç Tanımlama'!$A$5:$A$200,0)),"")</f>
        <v/>
      </c>
      <c r="G692" s="2"/>
      <c r="H692" s="7"/>
      <c r="I692" s="9" t="str">
        <f>IF(OR(G692="",H692=""),"",G692*H692)</f>
        <v/>
      </c>
      <c r="J692" s="2"/>
      <c r="K692" s="2"/>
    </row>
    <row r="693" spans="1:11">
      <c r="A693" s="4" t="str">
        <f>IF(D693="","",COUNTIF($D$5:D693,"?*"))</f>
        <v/>
      </c>
      <c r="B693" s="5"/>
      <c r="C693" s="4" t="str">
        <f>IF(B693="","",INDEX({"Ocak","Şubat","Mart","Nisan","Mayıs","Haziran","Temmuz","Ağustos","Eylül","Ekim","Kasım","Aralık"},MONTH(B693)))</f>
        <v/>
      </c>
      <c r="D693" s="2"/>
      <c r="E693" s="4" t="str">
        <f>IFERROR(INDEX('Araç Tanımlama'!$D$5:$D$200,MATCH(D693,'Araç Tanımlama'!$A$5:$A$200,0)),"")</f>
        <v/>
      </c>
      <c r="F693" s="4" t="str">
        <f>IFERROR(INDEX('Araç Tanımlama'!$E$5:$E$200,MATCH(D693,'Araç Tanımlama'!$A$5:$A$200,0)),"")</f>
        <v/>
      </c>
      <c r="G693" s="2"/>
      <c r="H693" s="7"/>
      <c r="I693" s="9" t="str">
        <f>IF(OR(G693="",H693=""),"",G693*H693)</f>
        <v/>
      </c>
      <c r="J693" s="2"/>
      <c r="K693" s="2"/>
    </row>
    <row r="694" spans="1:11">
      <c r="A694" s="4" t="str">
        <f>IF(D694="","",COUNTIF($D$5:D694,"?*"))</f>
        <v/>
      </c>
      <c r="B694" s="5"/>
      <c r="C694" s="4" t="str">
        <f>IF(B694="","",INDEX({"Ocak","Şubat","Mart","Nisan","Mayıs","Haziran","Temmuz","Ağustos","Eylül","Ekim","Kasım","Aralık"},MONTH(B694)))</f>
        <v/>
      </c>
      <c r="D694" s="2"/>
      <c r="E694" s="4" t="str">
        <f>IFERROR(INDEX('Araç Tanımlama'!$D$5:$D$200,MATCH(D694,'Araç Tanımlama'!$A$5:$A$200,0)),"")</f>
        <v/>
      </c>
      <c r="F694" s="4" t="str">
        <f>IFERROR(INDEX('Araç Tanımlama'!$E$5:$E$200,MATCH(D694,'Araç Tanımlama'!$A$5:$A$200,0)),"")</f>
        <v/>
      </c>
      <c r="G694" s="2"/>
      <c r="H694" s="7"/>
      <c r="I694" s="9" t="str">
        <f>IF(OR(G694="",H694=""),"",G694*H694)</f>
        <v/>
      </c>
      <c r="J694" s="2"/>
      <c r="K694" s="2"/>
    </row>
    <row r="695" spans="1:11">
      <c r="A695" s="4" t="str">
        <f>IF(D695="","",COUNTIF($D$5:D695,"?*"))</f>
        <v/>
      </c>
      <c r="B695" s="5"/>
      <c r="C695" s="4" t="str">
        <f>IF(B695="","",INDEX({"Ocak","Şubat","Mart","Nisan","Mayıs","Haziran","Temmuz","Ağustos","Eylül","Ekim","Kasım","Aralık"},MONTH(B695)))</f>
        <v/>
      </c>
      <c r="D695" s="2"/>
      <c r="E695" s="4" t="str">
        <f>IFERROR(INDEX('Araç Tanımlama'!$D$5:$D$200,MATCH(D695,'Araç Tanımlama'!$A$5:$A$200,0)),"")</f>
        <v/>
      </c>
      <c r="F695" s="4" t="str">
        <f>IFERROR(INDEX('Araç Tanımlama'!$E$5:$E$200,MATCH(D695,'Araç Tanımlama'!$A$5:$A$200,0)),"")</f>
        <v/>
      </c>
      <c r="G695" s="2"/>
      <c r="H695" s="7"/>
      <c r="I695" s="9" t="str">
        <f>IF(OR(G695="",H695=""),"",G695*H695)</f>
        <v/>
      </c>
      <c r="J695" s="2"/>
      <c r="K695" s="2"/>
    </row>
    <row r="696" spans="1:11">
      <c r="A696" s="4" t="str">
        <f>IF(D696="","",COUNTIF($D$5:D696,"?*"))</f>
        <v/>
      </c>
      <c r="B696" s="5"/>
      <c r="C696" s="4" t="str">
        <f>IF(B696="","",INDEX({"Ocak","Şubat","Mart","Nisan","Mayıs","Haziran","Temmuz","Ağustos","Eylül","Ekim","Kasım","Aralık"},MONTH(B696)))</f>
        <v/>
      </c>
      <c r="D696" s="2"/>
      <c r="E696" s="4" t="str">
        <f>IFERROR(INDEX('Araç Tanımlama'!$D$5:$D$200,MATCH(D696,'Araç Tanımlama'!$A$5:$A$200,0)),"")</f>
        <v/>
      </c>
      <c r="F696" s="4" t="str">
        <f>IFERROR(INDEX('Araç Tanımlama'!$E$5:$E$200,MATCH(D696,'Araç Tanımlama'!$A$5:$A$200,0)),"")</f>
        <v/>
      </c>
      <c r="G696" s="2"/>
      <c r="H696" s="7"/>
      <c r="I696" s="9" t="str">
        <f>IF(OR(G696="",H696=""),"",G696*H696)</f>
        <v/>
      </c>
      <c r="J696" s="2"/>
      <c r="K696" s="2"/>
    </row>
    <row r="697" spans="1:11">
      <c r="A697" s="4" t="str">
        <f>IF(D697="","",COUNTIF($D$5:D697,"?*"))</f>
        <v/>
      </c>
      <c r="B697" s="5"/>
      <c r="C697" s="4" t="str">
        <f>IF(B697="","",INDEX({"Ocak","Şubat","Mart","Nisan","Mayıs","Haziran","Temmuz","Ağustos","Eylül","Ekim","Kasım","Aralık"},MONTH(B697)))</f>
        <v/>
      </c>
      <c r="D697" s="2"/>
      <c r="E697" s="4" t="str">
        <f>IFERROR(INDEX('Araç Tanımlama'!$D$5:$D$200,MATCH(D697,'Araç Tanımlama'!$A$5:$A$200,0)),"")</f>
        <v/>
      </c>
      <c r="F697" s="4" t="str">
        <f>IFERROR(INDEX('Araç Tanımlama'!$E$5:$E$200,MATCH(D697,'Araç Tanımlama'!$A$5:$A$200,0)),"")</f>
        <v/>
      </c>
      <c r="G697" s="2"/>
      <c r="H697" s="7"/>
      <c r="I697" s="9" t="str">
        <f>IF(OR(G697="",H697=""),"",G697*H697)</f>
        <v/>
      </c>
      <c r="J697" s="2"/>
      <c r="K697" s="2"/>
    </row>
    <row r="698" spans="1:11">
      <c r="A698" s="4" t="str">
        <f>IF(D698="","",COUNTIF($D$5:D698,"?*"))</f>
        <v/>
      </c>
      <c r="B698" s="5"/>
      <c r="C698" s="4" t="str">
        <f>IF(B698="","",INDEX({"Ocak","Şubat","Mart","Nisan","Mayıs","Haziran","Temmuz","Ağustos","Eylül","Ekim","Kasım","Aralık"},MONTH(B698)))</f>
        <v/>
      </c>
      <c r="D698" s="2"/>
      <c r="E698" s="4" t="str">
        <f>IFERROR(INDEX('Araç Tanımlama'!$D$5:$D$200,MATCH(D698,'Araç Tanımlama'!$A$5:$A$200,0)),"")</f>
        <v/>
      </c>
      <c r="F698" s="4" t="str">
        <f>IFERROR(INDEX('Araç Tanımlama'!$E$5:$E$200,MATCH(D698,'Araç Tanımlama'!$A$5:$A$200,0)),"")</f>
        <v/>
      </c>
      <c r="G698" s="2"/>
      <c r="H698" s="7"/>
      <c r="I698" s="9" t="str">
        <f>IF(OR(G698="",H698=""),"",G698*H698)</f>
        <v/>
      </c>
      <c r="J698" s="2"/>
      <c r="K698" s="2"/>
    </row>
    <row r="699" spans="1:11">
      <c r="A699" s="4" t="str">
        <f>IF(D699="","",COUNTIF($D$5:D699,"?*"))</f>
        <v/>
      </c>
      <c r="B699" s="5"/>
      <c r="C699" s="4" t="str">
        <f>IF(B699="","",INDEX({"Ocak","Şubat","Mart","Nisan","Mayıs","Haziran","Temmuz","Ağustos","Eylül","Ekim","Kasım","Aralık"},MONTH(B699)))</f>
        <v/>
      </c>
      <c r="D699" s="2"/>
      <c r="E699" s="4" t="str">
        <f>IFERROR(INDEX('Araç Tanımlama'!$D$5:$D$200,MATCH(D699,'Araç Tanımlama'!$A$5:$A$200,0)),"")</f>
        <v/>
      </c>
      <c r="F699" s="4" t="str">
        <f>IFERROR(INDEX('Araç Tanımlama'!$E$5:$E$200,MATCH(D699,'Araç Tanımlama'!$A$5:$A$200,0)),"")</f>
        <v/>
      </c>
      <c r="G699" s="2"/>
      <c r="H699" s="7"/>
      <c r="I699" s="9" t="str">
        <f>IF(OR(G699="",H699=""),"",G699*H699)</f>
        <v/>
      </c>
      <c r="J699" s="2"/>
      <c r="K699" s="2"/>
    </row>
    <row r="700" spans="1:11">
      <c r="A700" s="4" t="str">
        <f>IF(D700="","",COUNTIF($D$5:D700,"?*"))</f>
        <v/>
      </c>
      <c r="B700" s="5"/>
      <c r="C700" s="4" t="str">
        <f>IF(B700="","",INDEX({"Ocak","Şubat","Mart","Nisan","Mayıs","Haziran","Temmuz","Ağustos","Eylül","Ekim","Kasım","Aralık"},MONTH(B700)))</f>
        <v/>
      </c>
      <c r="D700" s="2"/>
      <c r="E700" s="4" t="str">
        <f>IFERROR(INDEX('Araç Tanımlama'!$D$5:$D$200,MATCH(D700,'Araç Tanımlama'!$A$5:$A$200,0)),"")</f>
        <v/>
      </c>
      <c r="F700" s="4" t="str">
        <f>IFERROR(INDEX('Araç Tanımlama'!$E$5:$E$200,MATCH(D700,'Araç Tanımlama'!$A$5:$A$200,0)),"")</f>
        <v/>
      </c>
      <c r="G700" s="2"/>
      <c r="H700" s="7"/>
      <c r="I700" s="9" t="str">
        <f>IF(OR(G700="",H700=""),"",G700*H700)</f>
        <v/>
      </c>
      <c r="J700" s="2"/>
      <c r="K700" s="2"/>
    </row>
    <row r="701" spans="1:11">
      <c r="A701" s="4" t="str">
        <f>IF(D701="","",COUNTIF($D$5:D701,"?*"))</f>
        <v/>
      </c>
      <c r="B701" s="5"/>
      <c r="C701" s="4" t="str">
        <f>IF(B701="","",INDEX({"Ocak","Şubat","Mart","Nisan","Mayıs","Haziran","Temmuz","Ağustos","Eylül","Ekim","Kasım","Aralık"},MONTH(B701)))</f>
        <v/>
      </c>
      <c r="D701" s="2"/>
      <c r="E701" s="4" t="str">
        <f>IFERROR(INDEX('Araç Tanımlama'!$D$5:$D$200,MATCH(D701,'Araç Tanımlama'!$A$5:$A$200,0)),"")</f>
        <v/>
      </c>
      <c r="F701" s="4" t="str">
        <f>IFERROR(INDEX('Araç Tanımlama'!$E$5:$E$200,MATCH(D701,'Araç Tanımlama'!$A$5:$A$200,0)),"")</f>
        <v/>
      </c>
      <c r="G701" s="2"/>
      <c r="H701" s="7"/>
      <c r="I701" s="9" t="str">
        <f>IF(OR(G701="",H701=""),"",G701*H701)</f>
        <v/>
      </c>
      <c r="J701" s="2"/>
      <c r="K701" s="2"/>
    </row>
    <row r="702" spans="1:11">
      <c r="A702" s="4" t="str">
        <f>IF(D702="","",COUNTIF($D$5:D702,"?*"))</f>
        <v/>
      </c>
      <c r="B702" s="5"/>
      <c r="C702" s="4" t="str">
        <f>IF(B702="","",INDEX({"Ocak","Şubat","Mart","Nisan","Mayıs","Haziran","Temmuz","Ağustos","Eylül","Ekim","Kasım","Aralık"},MONTH(B702)))</f>
        <v/>
      </c>
      <c r="D702" s="2"/>
      <c r="E702" s="4" t="str">
        <f>IFERROR(INDEX('Araç Tanımlama'!$D$5:$D$200,MATCH(D702,'Araç Tanımlama'!$A$5:$A$200,0)),"")</f>
        <v/>
      </c>
      <c r="F702" s="4" t="str">
        <f>IFERROR(INDEX('Araç Tanımlama'!$E$5:$E$200,MATCH(D702,'Araç Tanımlama'!$A$5:$A$200,0)),"")</f>
        <v/>
      </c>
      <c r="G702" s="2"/>
      <c r="H702" s="7"/>
      <c r="I702" s="9" t="str">
        <f>IF(OR(G702="",H702=""),"",G702*H702)</f>
        <v/>
      </c>
      <c r="J702" s="2"/>
      <c r="K702" s="2"/>
    </row>
    <row r="703" spans="1:11">
      <c r="A703" s="4" t="str">
        <f>IF(D703="","",COUNTIF($D$5:D703,"?*"))</f>
        <v/>
      </c>
      <c r="B703" s="5"/>
      <c r="C703" s="4" t="str">
        <f>IF(B703="","",INDEX({"Ocak","Şubat","Mart","Nisan","Mayıs","Haziran","Temmuz","Ağustos","Eylül","Ekim","Kasım","Aralık"},MONTH(B703)))</f>
        <v/>
      </c>
      <c r="D703" s="2"/>
      <c r="E703" s="4" t="str">
        <f>IFERROR(INDEX('Araç Tanımlama'!$D$5:$D$200,MATCH(D703,'Araç Tanımlama'!$A$5:$A$200,0)),"")</f>
        <v/>
      </c>
      <c r="F703" s="4" t="str">
        <f>IFERROR(INDEX('Araç Tanımlama'!$E$5:$E$200,MATCH(D703,'Araç Tanımlama'!$A$5:$A$200,0)),"")</f>
        <v/>
      </c>
      <c r="G703" s="2"/>
      <c r="H703" s="7"/>
      <c r="I703" s="9" t="str">
        <f>IF(OR(G703="",H703=""),"",G703*H703)</f>
        <v/>
      </c>
      <c r="J703" s="2"/>
      <c r="K703" s="2"/>
    </row>
    <row r="704" spans="1:11">
      <c r="A704" s="4" t="str">
        <f>IF(D704="","",COUNTIF($D$5:D704,"?*"))</f>
        <v/>
      </c>
      <c r="B704" s="5"/>
      <c r="C704" s="4" t="str">
        <f>IF(B704="","",INDEX({"Ocak","Şubat","Mart","Nisan","Mayıs","Haziran","Temmuz","Ağustos","Eylül","Ekim","Kasım","Aralık"},MONTH(B704)))</f>
        <v/>
      </c>
      <c r="D704" s="2"/>
      <c r="E704" s="4" t="str">
        <f>IFERROR(INDEX('Araç Tanımlama'!$D$5:$D$200,MATCH(D704,'Araç Tanımlama'!$A$5:$A$200,0)),"")</f>
        <v/>
      </c>
      <c r="F704" s="4" t="str">
        <f>IFERROR(INDEX('Araç Tanımlama'!$E$5:$E$200,MATCH(D704,'Araç Tanımlama'!$A$5:$A$200,0)),"")</f>
        <v/>
      </c>
      <c r="G704" s="2"/>
      <c r="H704" s="7"/>
      <c r="I704" s="9" t="str">
        <f>IF(OR(G704="",H704=""),"",G704*H704)</f>
        <v/>
      </c>
      <c r="J704" s="2"/>
      <c r="K704" s="2"/>
    </row>
    <row r="705" spans="1:11">
      <c r="A705" s="4" t="str">
        <f>IF(D705="","",COUNTIF($D$5:D705,"?*"))</f>
        <v/>
      </c>
      <c r="B705" s="5"/>
      <c r="C705" s="4" t="str">
        <f>IF(B705="","",INDEX({"Ocak","Şubat","Mart","Nisan","Mayıs","Haziran","Temmuz","Ağustos","Eylül","Ekim","Kasım","Aralık"},MONTH(B705)))</f>
        <v/>
      </c>
      <c r="D705" s="2"/>
      <c r="E705" s="4" t="str">
        <f>IFERROR(INDEX('Araç Tanımlama'!$D$5:$D$200,MATCH(D705,'Araç Tanımlama'!$A$5:$A$200,0)),"")</f>
        <v/>
      </c>
      <c r="F705" s="4" t="str">
        <f>IFERROR(INDEX('Araç Tanımlama'!$E$5:$E$200,MATCH(D705,'Araç Tanımlama'!$A$5:$A$200,0)),"")</f>
        <v/>
      </c>
      <c r="G705" s="2"/>
      <c r="H705" s="7"/>
      <c r="I705" s="9" t="str">
        <f>IF(OR(G705="",H705=""),"",G705*H705)</f>
        <v/>
      </c>
      <c r="J705" s="2"/>
      <c r="K705" s="2"/>
    </row>
    <row r="706" spans="1:11">
      <c r="A706" s="4" t="str">
        <f>IF(D706="","",COUNTIF($D$5:D706,"?*"))</f>
        <v/>
      </c>
      <c r="B706" s="5"/>
      <c r="C706" s="4" t="str">
        <f>IF(B706="","",INDEX({"Ocak","Şubat","Mart","Nisan","Mayıs","Haziran","Temmuz","Ağustos","Eylül","Ekim","Kasım","Aralık"},MONTH(B706)))</f>
        <v/>
      </c>
      <c r="D706" s="2"/>
      <c r="E706" s="4" t="str">
        <f>IFERROR(INDEX('Araç Tanımlama'!$D$5:$D$200,MATCH(D706,'Araç Tanımlama'!$A$5:$A$200,0)),"")</f>
        <v/>
      </c>
      <c r="F706" s="4" t="str">
        <f>IFERROR(INDEX('Araç Tanımlama'!$E$5:$E$200,MATCH(D706,'Araç Tanımlama'!$A$5:$A$200,0)),"")</f>
        <v/>
      </c>
      <c r="G706" s="2"/>
      <c r="H706" s="7"/>
      <c r="I706" s="9" t="str">
        <f>IF(OR(G706="",H706=""),"",G706*H706)</f>
        <v/>
      </c>
      <c r="J706" s="2"/>
      <c r="K706" s="2"/>
    </row>
    <row r="707" spans="1:11">
      <c r="A707" s="4" t="str">
        <f>IF(D707="","",COUNTIF($D$5:D707,"?*"))</f>
        <v/>
      </c>
      <c r="B707" s="5"/>
      <c r="C707" s="4" t="str">
        <f>IF(B707="","",INDEX({"Ocak","Şubat","Mart","Nisan","Mayıs","Haziran","Temmuz","Ağustos","Eylül","Ekim","Kasım","Aralık"},MONTH(B707)))</f>
        <v/>
      </c>
      <c r="D707" s="2"/>
      <c r="E707" s="4" t="str">
        <f>IFERROR(INDEX('Araç Tanımlama'!$D$5:$D$200,MATCH(D707,'Araç Tanımlama'!$A$5:$A$200,0)),"")</f>
        <v/>
      </c>
      <c r="F707" s="4" t="str">
        <f>IFERROR(INDEX('Araç Tanımlama'!$E$5:$E$200,MATCH(D707,'Araç Tanımlama'!$A$5:$A$200,0)),"")</f>
        <v/>
      </c>
      <c r="G707" s="2"/>
      <c r="H707" s="7"/>
      <c r="I707" s="9" t="str">
        <f>IF(OR(G707="",H707=""),"",G707*H707)</f>
        <v/>
      </c>
      <c r="J707" s="2"/>
      <c r="K707" s="2"/>
    </row>
    <row r="708" spans="1:11">
      <c r="A708" s="4" t="str">
        <f>IF(D708="","",COUNTIF($D$5:D708,"?*"))</f>
        <v/>
      </c>
      <c r="B708" s="5"/>
      <c r="C708" s="4" t="str">
        <f>IF(B708="","",INDEX({"Ocak","Şubat","Mart","Nisan","Mayıs","Haziran","Temmuz","Ağustos","Eylül","Ekim","Kasım","Aralık"},MONTH(B708)))</f>
        <v/>
      </c>
      <c r="D708" s="2"/>
      <c r="E708" s="4" t="str">
        <f>IFERROR(INDEX('Araç Tanımlama'!$D$5:$D$200,MATCH(D708,'Araç Tanımlama'!$A$5:$A$200,0)),"")</f>
        <v/>
      </c>
      <c r="F708" s="4" t="str">
        <f>IFERROR(INDEX('Araç Tanımlama'!$E$5:$E$200,MATCH(D708,'Araç Tanımlama'!$A$5:$A$200,0)),"")</f>
        <v/>
      </c>
      <c r="G708" s="2"/>
      <c r="H708" s="7"/>
      <c r="I708" s="9" t="str">
        <f>IF(OR(G708="",H708=""),"",G708*H708)</f>
        <v/>
      </c>
      <c r="J708" s="2"/>
      <c r="K708" s="2"/>
    </row>
    <row r="709" spans="1:11">
      <c r="A709" s="4" t="str">
        <f>IF(D709="","",COUNTIF($D$5:D709,"?*"))</f>
        <v/>
      </c>
      <c r="B709" s="5"/>
      <c r="C709" s="4" t="str">
        <f>IF(B709="","",INDEX({"Ocak","Şubat","Mart","Nisan","Mayıs","Haziran","Temmuz","Ağustos","Eylül","Ekim","Kasım","Aralık"},MONTH(B709)))</f>
        <v/>
      </c>
      <c r="D709" s="2"/>
      <c r="E709" s="4" t="str">
        <f>IFERROR(INDEX('Araç Tanımlama'!$D$5:$D$200,MATCH(D709,'Araç Tanımlama'!$A$5:$A$200,0)),"")</f>
        <v/>
      </c>
      <c r="F709" s="4" t="str">
        <f>IFERROR(INDEX('Araç Tanımlama'!$E$5:$E$200,MATCH(D709,'Araç Tanımlama'!$A$5:$A$200,0)),"")</f>
        <v/>
      </c>
      <c r="G709" s="2"/>
      <c r="H709" s="7"/>
      <c r="I709" s="9" t="str">
        <f>IF(OR(G709="",H709=""),"",G709*H709)</f>
        <v/>
      </c>
      <c r="J709" s="2"/>
      <c r="K709" s="2"/>
    </row>
    <row r="710" spans="1:11">
      <c r="A710" s="4" t="str">
        <f>IF(D710="","",COUNTIF($D$5:D710,"?*"))</f>
        <v/>
      </c>
      <c r="B710" s="5"/>
      <c r="C710" s="4" t="str">
        <f>IF(B710="","",INDEX({"Ocak","Şubat","Mart","Nisan","Mayıs","Haziran","Temmuz","Ağustos","Eylül","Ekim","Kasım","Aralık"},MONTH(B710)))</f>
        <v/>
      </c>
      <c r="D710" s="2"/>
      <c r="E710" s="4" t="str">
        <f>IFERROR(INDEX('Araç Tanımlama'!$D$5:$D$200,MATCH(D710,'Araç Tanımlama'!$A$5:$A$200,0)),"")</f>
        <v/>
      </c>
      <c r="F710" s="4" t="str">
        <f>IFERROR(INDEX('Araç Tanımlama'!$E$5:$E$200,MATCH(D710,'Araç Tanımlama'!$A$5:$A$200,0)),"")</f>
        <v/>
      </c>
      <c r="G710" s="2"/>
      <c r="H710" s="7"/>
      <c r="I710" s="9" t="str">
        <f>IF(OR(G710="",H710=""),"",G710*H710)</f>
        <v/>
      </c>
      <c r="J710" s="2"/>
      <c r="K710" s="2"/>
    </row>
    <row r="711" spans="1:11">
      <c r="A711" s="4" t="str">
        <f>IF(D711="","",COUNTIF($D$5:D711,"?*"))</f>
        <v/>
      </c>
      <c r="B711" s="5"/>
      <c r="C711" s="4" t="str">
        <f>IF(B711="","",INDEX({"Ocak","Şubat","Mart","Nisan","Mayıs","Haziran","Temmuz","Ağustos","Eylül","Ekim","Kasım","Aralık"},MONTH(B711)))</f>
        <v/>
      </c>
      <c r="D711" s="2"/>
      <c r="E711" s="4" t="str">
        <f>IFERROR(INDEX('Araç Tanımlama'!$D$5:$D$200,MATCH(D711,'Araç Tanımlama'!$A$5:$A$200,0)),"")</f>
        <v/>
      </c>
      <c r="F711" s="4" t="str">
        <f>IFERROR(INDEX('Araç Tanımlama'!$E$5:$E$200,MATCH(D711,'Araç Tanımlama'!$A$5:$A$200,0)),"")</f>
        <v/>
      </c>
      <c r="G711" s="2"/>
      <c r="H711" s="7"/>
      <c r="I711" s="9" t="str">
        <f>IF(OR(G711="",H711=""),"",G711*H711)</f>
        <v/>
      </c>
      <c r="J711" s="2"/>
      <c r="K711" s="2"/>
    </row>
    <row r="712" spans="1:11">
      <c r="A712" s="4" t="str">
        <f>IF(D712="","",COUNTIF($D$5:D712,"?*"))</f>
        <v/>
      </c>
      <c r="B712" s="5"/>
      <c r="C712" s="4" t="str">
        <f>IF(B712="","",INDEX({"Ocak","Şubat","Mart","Nisan","Mayıs","Haziran","Temmuz","Ağustos","Eylül","Ekim","Kasım","Aralık"},MONTH(B712)))</f>
        <v/>
      </c>
      <c r="D712" s="2"/>
      <c r="E712" s="4" t="str">
        <f>IFERROR(INDEX('Araç Tanımlama'!$D$5:$D$200,MATCH(D712,'Araç Tanımlama'!$A$5:$A$200,0)),"")</f>
        <v/>
      </c>
      <c r="F712" s="4" t="str">
        <f>IFERROR(INDEX('Araç Tanımlama'!$E$5:$E$200,MATCH(D712,'Araç Tanımlama'!$A$5:$A$200,0)),"")</f>
        <v/>
      </c>
      <c r="G712" s="2"/>
      <c r="H712" s="7"/>
      <c r="I712" s="9" t="str">
        <f>IF(OR(G712="",H712=""),"",G712*H712)</f>
        <v/>
      </c>
      <c r="J712" s="2"/>
      <c r="K712" s="2"/>
    </row>
    <row r="713" spans="1:11">
      <c r="A713" s="4" t="str">
        <f>IF(D713="","",COUNTIF($D$5:D713,"?*"))</f>
        <v/>
      </c>
      <c r="B713" s="5"/>
      <c r="C713" s="4" t="str">
        <f>IF(B713="","",INDEX({"Ocak","Şubat","Mart","Nisan","Mayıs","Haziran","Temmuz","Ağustos","Eylül","Ekim","Kasım","Aralık"},MONTH(B713)))</f>
        <v/>
      </c>
      <c r="D713" s="2"/>
      <c r="E713" s="4" t="str">
        <f>IFERROR(INDEX('Araç Tanımlama'!$D$5:$D$200,MATCH(D713,'Araç Tanımlama'!$A$5:$A$200,0)),"")</f>
        <v/>
      </c>
      <c r="F713" s="4" t="str">
        <f>IFERROR(INDEX('Araç Tanımlama'!$E$5:$E$200,MATCH(D713,'Araç Tanımlama'!$A$5:$A$200,0)),"")</f>
        <v/>
      </c>
      <c r="G713" s="2"/>
      <c r="H713" s="7"/>
      <c r="I713" s="9" t="str">
        <f>IF(OR(G713="",H713=""),"",G713*H713)</f>
        <v/>
      </c>
      <c r="J713" s="2"/>
      <c r="K713" s="2"/>
    </row>
    <row r="714" spans="1:11">
      <c r="A714" s="4" t="str">
        <f>IF(D714="","",COUNTIF($D$5:D714,"?*"))</f>
        <v/>
      </c>
      <c r="B714" s="5"/>
      <c r="C714" s="4" t="str">
        <f>IF(B714="","",INDEX({"Ocak","Şubat","Mart","Nisan","Mayıs","Haziran","Temmuz","Ağustos","Eylül","Ekim","Kasım","Aralık"},MONTH(B714)))</f>
        <v/>
      </c>
      <c r="D714" s="2"/>
      <c r="E714" s="4" t="str">
        <f>IFERROR(INDEX('Araç Tanımlama'!$D$5:$D$200,MATCH(D714,'Araç Tanımlama'!$A$5:$A$200,0)),"")</f>
        <v/>
      </c>
      <c r="F714" s="4" t="str">
        <f>IFERROR(INDEX('Araç Tanımlama'!$E$5:$E$200,MATCH(D714,'Araç Tanımlama'!$A$5:$A$200,0)),"")</f>
        <v/>
      </c>
      <c r="G714" s="2"/>
      <c r="H714" s="7"/>
      <c r="I714" s="9" t="str">
        <f>IF(OR(G714="",H714=""),"",G714*H714)</f>
        <v/>
      </c>
      <c r="J714" s="2"/>
      <c r="K714" s="2"/>
    </row>
    <row r="715" spans="1:11">
      <c r="A715" s="4" t="str">
        <f>IF(D715="","",COUNTIF($D$5:D715,"?*"))</f>
        <v/>
      </c>
      <c r="B715" s="5"/>
      <c r="C715" s="4" t="str">
        <f>IF(B715="","",INDEX({"Ocak","Şubat","Mart","Nisan","Mayıs","Haziran","Temmuz","Ağustos","Eylül","Ekim","Kasım","Aralık"},MONTH(B715)))</f>
        <v/>
      </c>
      <c r="D715" s="2"/>
      <c r="E715" s="4" t="str">
        <f>IFERROR(INDEX('Araç Tanımlama'!$D$5:$D$200,MATCH(D715,'Araç Tanımlama'!$A$5:$A$200,0)),"")</f>
        <v/>
      </c>
      <c r="F715" s="4" t="str">
        <f>IFERROR(INDEX('Araç Tanımlama'!$E$5:$E$200,MATCH(D715,'Araç Tanımlama'!$A$5:$A$200,0)),"")</f>
        <v/>
      </c>
      <c r="G715" s="2"/>
      <c r="H715" s="7"/>
      <c r="I715" s="9" t="str">
        <f>IF(OR(G715="",H715=""),"",G715*H715)</f>
        <v/>
      </c>
      <c r="J715" s="2"/>
      <c r="K715" s="2"/>
    </row>
    <row r="716" spans="1:11">
      <c r="A716" s="4" t="str">
        <f>IF(D716="","",COUNTIF($D$5:D716,"?*"))</f>
        <v/>
      </c>
      <c r="B716" s="5"/>
      <c r="C716" s="4" t="str">
        <f>IF(B716="","",INDEX({"Ocak","Şubat","Mart","Nisan","Mayıs","Haziran","Temmuz","Ağustos","Eylül","Ekim","Kasım","Aralık"},MONTH(B716)))</f>
        <v/>
      </c>
      <c r="D716" s="2"/>
      <c r="E716" s="4" t="str">
        <f>IFERROR(INDEX('Araç Tanımlama'!$D$5:$D$200,MATCH(D716,'Araç Tanımlama'!$A$5:$A$200,0)),"")</f>
        <v/>
      </c>
      <c r="F716" s="4" t="str">
        <f>IFERROR(INDEX('Araç Tanımlama'!$E$5:$E$200,MATCH(D716,'Araç Tanımlama'!$A$5:$A$200,0)),"")</f>
        <v/>
      </c>
      <c r="G716" s="2"/>
      <c r="H716" s="7"/>
      <c r="I716" s="9" t="str">
        <f>IF(OR(G716="",H716=""),"",G716*H716)</f>
        <v/>
      </c>
      <c r="J716" s="2"/>
      <c r="K716" s="2"/>
    </row>
    <row r="717" spans="1:11">
      <c r="A717" s="4" t="str">
        <f>IF(D717="","",COUNTIF($D$5:D717,"?*"))</f>
        <v/>
      </c>
      <c r="B717" s="5"/>
      <c r="C717" s="4" t="str">
        <f>IF(B717="","",INDEX({"Ocak","Şubat","Mart","Nisan","Mayıs","Haziran","Temmuz","Ağustos","Eylül","Ekim","Kasım","Aralık"},MONTH(B717)))</f>
        <v/>
      </c>
      <c r="D717" s="2"/>
      <c r="E717" s="4" t="str">
        <f>IFERROR(INDEX('Araç Tanımlama'!$D$5:$D$200,MATCH(D717,'Araç Tanımlama'!$A$5:$A$200,0)),"")</f>
        <v/>
      </c>
      <c r="F717" s="4" t="str">
        <f>IFERROR(INDEX('Araç Tanımlama'!$E$5:$E$200,MATCH(D717,'Araç Tanımlama'!$A$5:$A$200,0)),"")</f>
        <v/>
      </c>
      <c r="G717" s="2"/>
      <c r="H717" s="7"/>
      <c r="I717" s="9" t="str">
        <f>IF(OR(G717="",H717=""),"",G717*H717)</f>
        <v/>
      </c>
      <c r="J717" s="2"/>
      <c r="K717" s="2"/>
    </row>
    <row r="718" spans="1:11">
      <c r="A718" s="4" t="str">
        <f>IF(D718="","",COUNTIF($D$5:D718,"?*"))</f>
        <v/>
      </c>
      <c r="B718" s="5"/>
      <c r="C718" s="4" t="str">
        <f>IF(B718="","",INDEX({"Ocak","Şubat","Mart","Nisan","Mayıs","Haziran","Temmuz","Ağustos","Eylül","Ekim","Kasım","Aralık"},MONTH(B718)))</f>
        <v/>
      </c>
      <c r="D718" s="2"/>
      <c r="E718" s="4" t="str">
        <f>IFERROR(INDEX('Araç Tanımlama'!$D$5:$D$200,MATCH(D718,'Araç Tanımlama'!$A$5:$A$200,0)),"")</f>
        <v/>
      </c>
      <c r="F718" s="4" t="str">
        <f>IFERROR(INDEX('Araç Tanımlama'!$E$5:$E$200,MATCH(D718,'Araç Tanımlama'!$A$5:$A$200,0)),"")</f>
        <v/>
      </c>
      <c r="G718" s="2"/>
      <c r="H718" s="7"/>
      <c r="I718" s="9" t="str">
        <f>IF(OR(G718="",H718=""),"",G718*H718)</f>
        <v/>
      </c>
      <c r="J718" s="2"/>
      <c r="K718" s="2"/>
    </row>
    <row r="719" spans="1:11">
      <c r="A719" s="4" t="str">
        <f>IF(D719="","",COUNTIF($D$5:D719,"?*"))</f>
        <v/>
      </c>
      <c r="B719" s="5"/>
      <c r="C719" s="4" t="str">
        <f>IF(B719="","",INDEX({"Ocak","Şubat","Mart","Nisan","Mayıs","Haziran","Temmuz","Ağustos","Eylül","Ekim","Kasım","Aralık"},MONTH(B719)))</f>
        <v/>
      </c>
      <c r="D719" s="2"/>
      <c r="E719" s="4" t="str">
        <f>IFERROR(INDEX('Araç Tanımlama'!$D$5:$D$200,MATCH(D719,'Araç Tanımlama'!$A$5:$A$200,0)),"")</f>
        <v/>
      </c>
      <c r="F719" s="4" t="str">
        <f>IFERROR(INDEX('Araç Tanımlama'!$E$5:$E$200,MATCH(D719,'Araç Tanımlama'!$A$5:$A$200,0)),"")</f>
        <v/>
      </c>
      <c r="G719" s="2"/>
      <c r="H719" s="7"/>
      <c r="I719" s="9" t="str">
        <f>IF(OR(G719="",H719=""),"",G719*H719)</f>
        <v/>
      </c>
      <c r="J719" s="2"/>
      <c r="K719" s="2"/>
    </row>
    <row r="720" spans="1:11">
      <c r="A720" s="4" t="str">
        <f>IF(D720="","",COUNTIF($D$5:D720,"?*"))</f>
        <v/>
      </c>
      <c r="B720" s="5"/>
      <c r="C720" s="4" t="str">
        <f>IF(B720="","",INDEX({"Ocak","Şubat","Mart","Nisan","Mayıs","Haziran","Temmuz","Ağustos","Eylül","Ekim","Kasım","Aralık"},MONTH(B720)))</f>
        <v/>
      </c>
      <c r="D720" s="2"/>
      <c r="E720" s="4" t="str">
        <f>IFERROR(INDEX('Araç Tanımlama'!$D$5:$D$200,MATCH(D720,'Araç Tanımlama'!$A$5:$A$200,0)),"")</f>
        <v/>
      </c>
      <c r="F720" s="4" t="str">
        <f>IFERROR(INDEX('Araç Tanımlama'!$E$5:$E$200,MATCH(D720,'Araç Tanımlama'!$A$5:$A$200,0)),"")</f>
        <v/>
      </c>
      <c r="G720" s="2"/>
      <c r="H720" s="7"/>
      <c r="I720" s="9" t="str">
        <f>IF(OR(G720="",H720=""),"",G720*H720)</f>
        <v/>
      </c>
      <c r="J720" s="2"/>
      <c r="K720" s="2"/>
    </row>
    <row r="721" spans="1:11">
      <c r="A721" s="4" t="str">
        <f>IF(D721="","",COUNTIF($D$5:D721,"?*"))</f>
        <v/>
      </c>
      <c r="B721" s="5"/>
      <c r="C721" s="4" t="str">
        <f>IF(B721="","",INDEX({"Ocak","Şubat","Mart","Nisan","Mayıs","Haziran","Temmuz","Ağustos","Eylül","Ekim","Kasım","Aralık"},MONTH(B721)))</f>
        <v/>
      </c>
      <c r="D721" s="2"/>
      <c r="E721" s="4" t="str">
        <f>IFERROR(INDEX('Araç Tanımlama'!$D$5:$D$200,MATCH(D721,'Araç Tanımlama'!$A$5:$A$200,0)),"")</f>
        <v/>
      </c>
      <c r="F721" s="4" t="str">
        <f>IFERROR(INDEX('Araç Tanımlama'!$E$5:$E$200,MATCH(D721,'Araç Tanımlama'!$A$5:$A$200,0)),"")</f>
        <v/>
      </c>
      <c r="G721" s="2"/>
      <c r="H721" s="7"/>
      <c r="I721" s="9" t="str">
        <f>IF(OR(G721="",H721=""),"",G721*H721)</f>
        <v/>
      </c>
      <c r="J721" s="2"/>
      <c r="K721" s="2"/>
    </row>
    <row r="722" spans="1:11">
      <c r="A722" s="4" t="str">
        <f>IF(D722="","",COUNTIF($D$5:D722,"?*"))</f>
        <v/>
      </c>
      <c r="B722" s="5"/>
      <c r="C722" s="4" t="str">
        <f>IF(B722="","",INDEX({"Ocak","Şubat","Mart","Nisan","Mayıs","Haziran","Temmuz","Ağustos","Eylül","Ekim","Kasım","Aralık"},MONTH(B722)))</f>
        <v/>
      </c>
      <c r="D722" s="2"/>
      <c r="E722" s="4" t="str">
        <f>IFERROR(INDEX('Araç Tanımlama'!$D$5:$D$200,MATCH(D722,'Araç Tanımlama'!$A$5:$A$200,0)),"")</f>
        <v/>
      </c>
      <c r="F722" s="4" t="str">
        <f>IFERROR(INDEX('Araç Tanımlama'!$E$5:$E$200,MATCH(D722,'Araç Tanımlama'!$A$5:$A$200,0)),"")</f>
        <v/>
      </c>
      <c r="G722" s="2"/>
      <c r="H722" s="7"/>
      <c r="I722" s="9" t="str">
        <f>IF(OR(G722="",H722=""),"",G722*H722)</f>
        <v/>
      </c>
      <c r="J722" s="2"/>
      <c r="K722" s="2"/>
    </row>
    <row r="723" spans="1:11">
      <c r="A723" s="4" t="str">
        <f>IF(D723="","",COUNTIF($D$5:D723,"?*"))</f>
        <v/>
      </c>
      <c r="B723" s="5"/>
      <c r="C723" s="4" t="str">
        <f>IF(B723="","",INDEX({"Ocak","Şubat","Mart","Nisan","Mayıs","Haziran","Temmuz","Ağustos","Eylül","Ekim","Kasım","Aralık"},MONTH(B723)))</f>
        <v/>
      </c>
      <c r="D723" s="2"/>
      <c r="E723" s="4" t="str">
        <f>IFERROR(INDEX('Araç Tanımlama'!$D$5:$D$200,MATCH(D723,'Araç Tanımlama'!$A$5:$A$200,0)),"")</f>
        <v/>
      </c>
      <c r="F723" s="4" t="str">
        <f>IFERROR(INDEX('Araç Tanımlama'!$E$5:$E$200,MATCH(D723,'Araç Tanımlama'!$A$5:$A$200,0)),"")</f>
        <v/>
      </c>
      <c r="G723" s="2"/>
      <c r="H723" s="7"/>
      <c r="I723" s="9" t="str">
        <f>IF(OR(G723="",H723=""),"",G723*H723)</f>
        <v/>
      </c>
      <c r="J723" s="2"/>
      <c r="K723" s="2"/>
    </row>
    <row r="724" spans="1:11">
      <c r="A724" s="4" t="str">
        <f>IF(D724="","",COUNTIF($D$5:D724,"?*"))</f>
        <v/>
      </c>
      <c r="B724" s="5"/>
      <c r="C724" s="4" t="str">
        <f>IF(B724="","",INDEX({"Ocak","Şubat","Mart","Nisan","Mayıs","Haziran","Temmuz","Ağustos","Eylül","Ekim","Kasım","Aralık"},MONTH(B724)))</f>
        <v/>
      </c>
      <c r="D724" s="2"/>
      <c r="E724" s="4" t="str">
        <f>IFERROR(INDEX('Araç Tanımlama'!$D$5:$D$200,MATCH(D724,'Araç Tanımlama'!$A$5:$A$200,0)),"")</f>
        <v/>
      </c>
      <c r="F724" s="4" t="str">
        <f>IFERROR(INDEX('Araç Tanımlama'!$E$5:$E$200,MATCH(D724,'Araç Tanımlama'!$A$5:$A$200,0)),"")</f>
        <v/>
      </c>
      <c r="G724" s="2"/>
      <c r="H724" s="7"/>
      <c r="I724" s="9" t="str">
        <f>IF(OR(G724="",H724=""),"",G724*H724)</f>
        <v/>
      </c>
      <c r="J724" s="2"/>
      <c r="K724" s="2"/>
    </row>
    <row r="725" spans="1:11">
      <c r="A725" s="4" t="str">
        <f>IF(D725="","",COUNTIF($D$5:D725,"?*"))</f>
        <v/>
      </c>
      <c r="B725" s="5"/>
      <c r="C725" s="4" t="str">
        <f>IF(B725="","",INDEX({"Ocak","Şubat","Mart","Nisan","Mayıs","Haziran","Temmuz","Ağustos","Eylül","Ekim","Kasım","Aralık"},MONTH(B725)))</f>
        <v/>
      </c>
      <c r="D725" s="2"/>
      <c r="E725" s="4" t="str">
        <f>IFERROR(INDEX('Araç Tanımlama'!$D$5:$D$200,MATCH(D725,'Araç Tanımlama'!$A$5:$A$200,0)),"")</f>
        <v/>
      </c>
      <c r="F725" s="4" t="str">
        <f>IFERROR(INDEX('Araç Tanımlama'!$E$5:$E$200,MATCH(D725,'Araç Tanımlama'!$A$5:$A$200,0)),"")</f>
        <v/>
      </c>
      <c r="G725" s="2"/>
      <c r="H725" s="7"/>
      <c r="I725" s="9" t="str">
        <f>IF(OR(G725="",H725=""),"",G725*H725)</f>
        <v/>
      </c>
      <c r="J725" s="2"/>
      <c r="K725" s="2"/>
    </row>
    <row r="726" spans="1:11">
      <c r="A726" s="4" t="str">
        <f>IF(D726="","",COUNTIF($D$5:D726,"?*"))</f>
        <v/>
      </c>
      <c r="B726" s="5"/>
      <c r="C726" s="4" t="str">
        <f>IF(B726="","",INDEX({"Ocak","Şubat","Mart","Nisan","Mayıs","Haziran","Temmuz","Ağustos","Eylül","Ekim","Kasım","Aralık"},MONTH(B726)))</f>
        <v/>
      </c>
      <c r="D726" s="2"/>
      <c r="E726" s="4" t="str">
        <f>IFERROR(INDEX('Araç Tanımlama'!$D$5:$D$200,MATCH(D726,'Araç Tanımlama'!$A$5:$A$200,0)),"")</f>
        <v/>
      </c>
      <c r="F726" s="4" t="str">
        <f>IFERROR(INDEX('Araç Tanımlama'!$E$5:$E$200,MATCH(D726,'Araç Tanımlama'!$A$5:$A$200,0)),"")</f>
        <v/>
      </c>
      <c r="G726" s="2"/>
      <c r="H726" s="7"/>
      <c r="I726" s="9" t="str">
        <f>IF(OR(G726="",H726=""),"",G726*H726)</f>
        <v/>
      </c>
      <c r="J726" s="2"/>
      <c r="K726" s="2"/>
    </row>
    <row r="727" spans="1:11">
      <c r="A727" s="4" t="str">
        <f>IF(D727="","",COUNTIF($D$5:D727,"?*"))</f>
        <v/>
      </c>
      <c r="B727" s="5"/>
      <c r="C727" s="4" t="str">
        <f>IF(B727="","",INDEX({"Ocak","Şubat","Mart","Nisan","Mayıs","Haziran","Temmuz","Ağustos","Eylül","Ekim","Kasım","Aralık"},MONTH(B727)))</f>
        <v/>
      </c>
      <c r="D727" s="2"/>
      <c r="E727" s="4" t="str">
        <f>IFERROR(INDEX('Araç Tanımlama'!$D$5:$D$200,MATCH(D727,'Araç Tanımlama'!$A$5:$A$200,0)),"")</f>
        <v/>
      </c>
      <c r="F727" s="4" t="str">
        <f>IFERROR(INDEX('Araç Tanımlama'!$E$5:$E$200,MATCH(D727,'Araç Tanımlama'!$A$5:$A$200,0)),"")</f>
        <v/>
      </c>
      <c r="G727" s="2"/>
      <c r="H727" s="7"/>
      <c r="I727" s="9" t="str">
        <f>IF(OR(G727="",H727=""),"",G727*H727)</f>
        <v/>
      </c>
      <c r="J727" s="2"/>
      <c r="K727" s="2"/>
    </row>
    <row r="728" spans="1:11">
      <c r="A728" s="4" t="str">
        <f>IF(D728="","",COUNTIF($D$5:D728,"?*"))</f>
        <v/>
      </c>
      <c r="B728" s="5"/>
      <c r="C728" s="4" t="str">
        <f>IF(B728="","",INDEX({"Ocak","Şubat","Mart","Nisan","Mayıs","Haziran","Temmuz","Ağustos","Eylül","Ekim","Kasım","Aralık"},MONTH(B728)))</f>
        <v/>
      </c>
      <c r="D728" s="2"/>
      <c r="E728" s="4" t="str">
        <f>IFERROR(INDEX('Araç Tanımlama'!$D$5:$D$200,MATCH(D728,'Araç Tanımlama'!$A$5:$A$200,0)),"")</f>
        <v/>
      </c>
      <c r="F728" s="4" t="str">
        <f>IFERROR(INDEX('Araç Tanımlama'!$E$5:$E$200,MATCH(D728,'Araç Tanımlama'!$A$5:$A$200,0)),"")</f>
        <v/>
      </c>
      <c r="G728" s="2"/>
      <c r="H728" s="7"/>
      <c r="I728" s="9" t="str">
        <f>IF(OR(G728="",H728=""),"",G728*H728)</f>
        <v/>
      </c>
      <c r="J728" s="2"/>
      <c r="K728" s="2"/>
    </row>
    <row r="729" spans="1:11">
      <c r="A729" s="4" t="str">
        <f>IF(D729="","",COUNTIF($D$5:D729,"?*"))</f>
        <v/>
      </c>
      <c r="B729" s="5"/>
      <c r="C729" s="4" t="str">
        <f>IF(B729="","",INDEX({"Ocak","Şubat","Mart","Nisan","Mayıs","Haziran","Temmuz","Ağustos","Eylül","Ekim","Kasım","Aralık"},MONTH(B729)))</f>
        <v/>
      </c>
      <c r="D729" s="2"/>
      <c r="E729" s="4" t="str">
        <f>IFERROR(INDEX('Araç Tanımlama'!$D$5:$D$200,MATCH(D729,'Araç Tanımlama'!$A$5:$A$200,0)),"")</f>
        <v/>
      </c>
      <c r="F729" s="4" t="str">
        <f>IFERROR(INDEX('Araç Tanımlama'!$E$5:$E$200,MATCH(D729,'Araç Tanımlama'!$A$5:$A$200,0)),"")</f>
        <v/>
      </c>
      <c r="G729" s="2"/>
      <c r="H729" s="7"/>
      <c r="I729" s="9" t="str">
        <f>IF(OR(G729="",H729=""),"",G729*H729)</f>
        <v/>
      </c>
      <c r="J729" s="2"/>
      <c r="K729" s="2"/>
    </row>
    <row r="730" spans="1:11">
      <c r="A730" s="4" t="str">
        <f>IF(D730="","",COUNTIF($D$5:D730,"?*"))</f>
        <v/>
      </c>
      <c r="B730" s="5"/>
      <c r="C730" s="4" t="str">
        <f>IF(B730="","",INDEX({"Ocak","Şubat","Mart","Nisan","Mayıs","Haziran","Temmuz","Ağustos","Eylül","Ekim","Kasım","Aralık"},MONTH(B730)))</f>
        <v/>
      </c>
      <c r="D730" s="2"/>
      <c r="E730" s="4" t="str">
        <f>IFERROR(INDEX('Araç Tanımlama'!$D$5:$D$200,MATCH(D730,'Araç Tanımlama'!$A$5:$A$200,0)),"")</f>
        <v/>
      </c>
      <c r="F730" s="4" t="str">
        <f>IFERROR(INDEX('Araç Tanımlama'!$E$5:$E$200,MATCH(D730,'Araç Tanımlama'!$A$5:$A$200,0)),"")</f>
        <v/>
      </c>
      <c r="G730" s="2"/>
      <c r="H730" s="7"/>
      <c r="I730" s="9" t="str">
        <f>IF(OR(G730="",H730=""),"",G730*H730)</f>
        <v/>
      </c>
      <c r="J730" s="2"/>
      <c r="K730" s="2"/>
    </row>
    <row r="731" spans="1:11">
      <c r="A731" s="4" t="str">
        <f>IF(D731="","",COUNTIF($D$5:D731,"?*"))</f>
        <v/>
      </c>
      <c r="B731" s="5"/>
      <c r="C731" s="4" t="str">
        <f>IF(B731="","",INDEX({"Ocak","Şubat","Mart","Nisan","Mayıs","Haziran","Temmuz","Ağustos","Eylül","Ekim","Kasım","Aralık"},MONTH(B731)))</f>
        <v/>
      </c>
      <c r="D731" s="2"/>
      <c r="E731" s="4" t="str">
        <f>IFERROR(INDEX('Araç Tanımlama'!$D$5:$D$200,MATCH(D731,'Araç Tanımlama'!$A$5:$A$200,0)),"")</f>
        <v/>
      </c>
      <c r="F731" s="4" t="str">
        <f>IFERROR(INDEX('Araç Tanımlama'!$E$5:$E$200,MATCH(D731,'Araç Tanımlama'!$A$5:$A$200,0)),"")</f>
        <v/>
      </c>
      <c r="G731" s="2"/>
      <c r="H731" s="7"/>
      <c r="I731" s="9" t="str">
        <f>IF(OR(G731="",H731=""),"",G731*H731)</f>
        <v/>
      </c>
      <c r="J731" s="2"/>
      <c r="K731" s="2"/>
    </row>
    <row r="732" spans="1:11">
      <c r="A732" s="4" t="str">
        <f>IF(D732="","",COUNTIF($D$5:D732,"?*"))</f>
        <v/>
      </c>
      <c r="B732" s="5"/>
      <c r="C732" s="4" t="str">
        <f>IF(B732="","",INDEX({"Ocak","Şubat","Mart","Nisan","Mayıs","Haziran","Temmuz","Ağustos","Eylül","Ekim","Kasım","Aralık"},MONTH(B732)))</f>
        <v/>
      </c>
      <c r="D732" s="2"/>
      <c r="E732" s="4" t="str">
        <f>IFERROR(INDEX('Araç Tanımlama'!$D$5:$D$200,MATCH(D732,'Araç Tanımlama'!$A$5:$A$200,0)),"")</f>
        <v/>
      </c>
      <c r="F732" s="4" t="str">
        <f>IFERROR(INDEX('Araç Tanımlama'!$E$5:$E$200,MATCH(D732,'Araç Tanımlama'!$A$5:$A$200,0)),"")</f>
        <v/>
      </c>
      <c r="G732" s="2"/>
      <c r="H732" s="7"/>
      <c r="I732" s="9" t="str">
        <f>IF(OR(G732="",H732=""),"",G732*H732)</f>
        <v/>
      </c>
      <c r="J732" s="2"/>
      <c r="K732" s="2"/>
    </row>
    <row r="733" spans="1:11">
      <c r="A733" s="4" t="str">
        <f>IF(D733="","",COUNTIF($D$5:D733,"?*"))</f>
        <v/>
      </c>
      <c r="B733" s="5"/>
      <c r="C733" s="4" t="str">
        <f>IF(B733="","",INDEX({"Ocak","Şubat","Mart","Nisan","Mayıs","Haziran","Temmuz","Ağustos","Eylül","Ekim","Kasım","Aralık"},MONTH(B733)))</f>
        <v/>
      </c>
      <c r="D733" s="2"/>
      <c r="E733" s="4" t="str">
        <f>IFERROR(INDEX('Araç Tanımlama'!$D$5:$D$200,MATCH(D733,'Araç Tanımlama'!$A$5:$A$200,0)),"")</f>
        <v/>
      </c>
      <c r="F733" s="4" t="str">
        <f>IFERROR(INDEX('Araç Tanımlama'!$E$5:$E$200,MATCH(D733,'Araç Tanımlama'!$A$5:$A$200,0)),"")</f>
        <v/>
      </c>
      <c r="G733" s="2"/>
      <c r="H733" s="7"/>
      <c r="I733" s="9" t="str">
        <f>IF(OR(G733="",H733=""),"",G733*H733)</f>
        <v/>
      </c>
      <c r="J733" s="2"/>
      <c r="K733" s="2"/>
    </row>
    <row r="734" spans="1:11">
      <c r="A734" s="4" t="str">
        <f>IF(D734="","",COUNTIF($D$5:D734,"?*"))</f>
        <v/>
      </c>
      <c r="B734" s="5"/>
      <c r="C734" s="4" t="str">
        <f>IF(B734="","",INDEX({"Ocak","Şubat","Mart","Nisan","Mayıs","Haziran","Temmuz","Ağustos","Eylül","Ekim","Kasım","Aralık"},MONTH(B734)))</f>
        <v/>
      </c>
      <c r="D734" s="2"/>
      <c r="E734" s="4" t="str">
        <f>IFERROR(INDEX('Araç Tanımlama'!$D$5:$D$200,MATCH(D734,'Araç Tanımlama'!$A$5:$A$200,0)),"")</f>
        <v/>
      </c>
      <c r="F734" s="4" t="str">
        <f>IFERROR(INDEX('Araç Tanımlama'!$E$5:$E$200,MATCH(D734,'Araç Tanımlama'!$A$5:$A$200,0)),"")</f>
        <v/>
      </c>
      <c r="G734" s="2"/>
      <c r="H734" s="7"/>
      <c r="I734" s="9" t="str">
        <f>IF(OR(G734="",H734=""),"",G734*H734)</f>
        <v/>
      </c>
      <c r="J734" s="2"/>
      <c r="K734" s="2"/>
    </row>
    <row r="735" spans="1:11">
      <c r="A735" s="4" t="str">
        <f>IF(D735="","",COUNTIF($D$5:D735,"?*"))</f>
        <v/>
      </c>
      <c r="B735" s="5"/>
      <c r="C735" s="4" t="str">
        <f>IF(B735="","",INDEX({"Ocak","Şubat","Mart","Nisan","Mayıs","Haziran","Temmuz","Ağustos","Eylül","Ekim","Kasım","Aralık"},MONTH(B735)))</f>
        <v/>
      </c>
      <c r="D735" s="2"/>
      <c r="E735" s="4" t="str">
        <f>IFERROR(INDEX('Araç Tanımlama'!$D$5:$D$200,MATCH(D735,'Araç Tanımlama'!$A$5:$A$200,0)),"")</f>
        <v/>
      </c>
      <c r="F735" s="4" t="str">
        <f>IFERROR(INDEX('Araç Tanımlama'!$E$5:$E$200,MATCH(D735,'Araç Tanımlama'!$A$5:$A$200,0)),"")</f>
        <v/>
      </c>
      <c r="G735" s="2"/>
      <c r="H735" s="7"/>
      <c r="I735" s="9" t="str">
        <f>IF(OR(G735="",H735=""),"",G735*H735)</f>
        <v/>
      </c>
      <c r="J735" s="2"/>
      <c r="K735" s="2"/>
    </row>
    <row r="736" spans="1:11">
      <c r="A736" s="4" t="str">
        <f>IF(D736="","",COUNTIF($D$5:D736,"?*"))</f>
        <v/>
      </c>
      <c r="B736" s="5"/>
      <c r="C736" s="4" t="str">
        <f>IF(B736="","",INDEX({"Ocak","Şubat","Mart","Nisan","Mayıs","Haziran","Temmuz","Ağustos","Eylül","Ekim","Kasım","Aralık"},MONTH(B736)))</f>
        <v/>
      </c>
      <c r="D736" s="2"/>
      <c r="E736" s="4" t="str">
        <f>IFERROR(INDEX('Araç Tanımlama'!$D$5:$D$200,MATCH(D736,'Araç Tanımlama'!$A$5:$A$200,0)),"")</f>
        <v/>
      </c>
      <c r="F736" s="4" t="str">
        <f>IFERROR(INDEX('Araç Tanımlama'!$E$5:$E$200,MATCH(D736,'Araç Tanımlama'!$A$5:$A$200,0)),"")</f>
        <v/>
      </c>
      <c r="G736" s="2"/>
      <c r="H736" s="7"/>
      <c r="I736" s="9" t="str">
        <f>IF(OR(G736="",H736=""),"",G736*H736)</f>
        <v/>
      </c>
      <c r="J736" s="2"/>
      <c r="K736" s="2"/>
    </row>
    <row r="737" spans="1:11">
      <c r="A737" s="4" t="str">
        <f>IF(D737="","",COUNTIF($D$5:D737,"?*"))</f>
        <v/>
      </c>
      <c r="B737" s="5"/>
      <c r="C737" s="4" t="str">
        <f>IF(B737="","",INDEX({"Ocak","Şubat","Mart","Nisan","Mayıs","Haziran","Temmuz","Ağustos","Eylül","Ekim","Kasım","Aralık"},MONTH(B737)))</f>
        <v/>
      </c>
      <c r="D737" s="2"/>
      <c r="E737" s="4" t="str">
        <f>IFERROR(INDEX('Araç Tanımlama'!$D$5:$D$200,MATCH(D737,'Araç Tanımlama'!$A$5:$A$200,0)),"")</f>
        <v/>
      </c>
      <c r="F737" s="4" t="str">
        <f>IFERROR(INDEX('Araç Tanımlama'!$E$5:$E$200,MATCH(D737,'Araç Tanımlama'!$A$5:$A$200,0)),"")</f>
        <v/>
      </c>
      <c r="G737" s="2"/>
      <c r="H737" s="7"/>
      <c r="I737" s="9" t="str">
        <f>IF(OR(G737="",H737=""),"",G737*H737)</f>
        <v/>
      </c>
      <c r="J737" s="2"/>
      <c r="K737" s="2"/>
    </row>
    <row r="738" spans="1:11">
      <c r="A738" s="4" t="str">
        <f>IF(D738="","",COUNTIF($D$5:D738,"?*"))</f>
        <v/>
      </c>
      <c r="B738" s="5"/>
      <c r="C738" s="4" t="str">
        <f>IF(B738="","",INDEX({"Ocak","Şubat","Mart","Nisan","Mayıs","Haziran","Temmuz","Ağustos","Eylül","Ekim","Kasım","Aralık"},MONTH(B738)))</f>
        <v/>
      </c>
      <c r="D738" s="2"/>
      <c r="E738" s="4" t="str">
        <f>IFERROR(INDEX('Araç Tanımlama'!$D$5:$D$200,MATCH(D738,'Araç Tanımlama'!$A$5:$A$200,0)),"")</f>
        <v/>
      </c>
      <c r="F738" s="4" t="str">
        <f>IFERROR(INDEX('Araç Tanımlama'!$E$5:$E$200,MATCH(D738,'Araç Tanımlama'!$A$5:$A$200,0)),"")</f>
        <v/>
      </c>
      <c r="G738" s="2"/>
      <c r="H738" s="7"/>
      <c r="I738" s="9" t="str">
        <f>IF(OR(G738="",H738=""),"",G738*H738)</f>
        <v/>
      </c>
      <c r="J738" s="2"/>
      <c r="K738" s="2"/>
    </row>
    <row r="739" spans="1:11">
      <c r="A739" s="4" t="str">
        <f>IF(D739="","",COUNTIF($D$5:D739,"?*"))</f>
        <v/>
      </c>
      <c r="B739" s="5"/>
      <c r="C739" s="4" t="str">
        <f>IF(B739="","",INDEX({"Ocak","Şubat","Mart","Nisan","Mayıs","Haziran","Temmuz","Ağustos","Eylül","Ekim","Kasım","Aralık"},MONTH(B739)))</f>
        <v/>
      </c>
      <c r="D739" s="2"/>
      <c r="E739" s="4" t="str">
        <f>IFERROR(INDEX('Araç Tanımlama'!$D$5:$D$200,MATCH(D739,'Araç Tanımlama'!$A$5:$A$200,0)),"")</f>
        <v/>
      </c>
      <c r="F739" s="4" t="str">
        <f>IFERROR(INDEX('Araç Tanımlama'!$E$5:$E$200,MATCH(D739,'Araç Tanımlama'!$A$5:$A$200,0)),"")</f>
        <v/>
      </c>
      <c r="G739" s="2"/>
      <c r="H739" s="7"/>
      <c r="I739" s="9" t="str">
        <f>IF(OR(G739="",H739=""),"",G739*H739)</f>
        <v/>
      </c>
      <c r="J739" s="2"/>
      <c r="K739" s="2"/>
    </row>
    <row r="740" spans="1:11">
      <c r="A740" s="4" t="str">
        <f>IF(D740="","",COUNTIF($D$5:D740,"?*"))</f>
        <v/>
      </c>
      <c r="B740" s="5"/>
      <c r="C740" s="4" t="str">
        <f>IF(B740="","",INDEX({"Ocak","Şubat","Mart","Nisan","Mayıs","Haziran","Temmuz","Ağustos","Eylül","Ekim","Kasım","Aralık"},MONTH(B740)))</f>
        <v/>
      </c>
      <c r="D740" s="2"/>
      <c r="E740" s="4" t="str">
        <f>IFERROR(INDEX('Araç Tanımlama'!$D$5:$D$200,MATCH(D740,'Araç Tanımlama'!$A$5:$A$200,0)),"")</f>
        <v/>
      </c>
      <c r="F740" s="4" t="str">
        <f>IFERROR(INDEX('Araç Tanımlama'!$E$5:$E$200,MATCH(D740,'Araç Tanımlama'!$A$5:$A$200,0)),"")</f>
        <v/>
      </c>
      <c r="G740" s="2"/>
      <c r="H740" s="7"/>
      <c r="I740" s="9" t="str">
        <f>IF(OR(G740="",H740=""),"",G740*H740)</f>
        <v/>
      </c>
      <c r="J740" s="2"/>
      <c r="K740" s="2"/>
    </row>
    <row r="741" spans="1:11">
      <c r="A741" s="4" t="str">
        <f>IF(D741="","",COUNTIF($D$5:D741,"?*"))</f>
        <v/>
      </c>
      <c r="B741" s="5"/>
      <c r="C741" s="4" t="str">
        <f>IF(B741="","",INDEX({"Ocak","Şubat","Mart","Nisan","Mayıs","Haziran","Temmuz","Ağustos","Eylül","Ekim","Kasım","Aralık"},MONTH(B741)))</f>
        <v/>
      </c>
      <c r="D741" s="2"/>
      <c r="E741" s="4" t="str">
        <f>IFERROR(INDEX('Araç Tanımlama'!$D$5:$D$200,MATCH(D741,'Araç Tanımlama'!$A$5:$A$200,0)),"")</f>
        <v/>
      </c>
      <c r="F741" s="4" t="str">
        <f>IFERROR(INDEX('Araç Tanımlama'!$E$5:$E$200,MATCH(D741,'Araç Tanımlama'!$A$5:$A$200,0)),"")</f>
        <v/>
      </c>
      <c r="G741" s="2"/>
      <c r="H741" s="7"/>
      <c r="I741" s="9" t="str">
        <f>IF(OR(G741="",H741=""),"",G741*H741)</f>
        <v/>
      </c>
      <c r="J741" s="2"/>
      <c r="K741" s="2"/>
    </row>
    <row r="742" spans="1:11">
      <c r="A742" s="4" t="str">
        <f>IF(D742="","",COUNTIF($D$5:D742,"?*"))</f>
        <v/>
      </c>
      <c r="B742" s="5"/>
      <c r="C742" s="4" t="str">
        <f>IF(B742="","",INDEX({"Ocak","Şubat","Mart","Nisan","Mayıs","Haziran","Temmuz","Ağustos","Eylül","Ekim","Kasım","Aralık"},MONTH(B742)))</f>
        <v/>
      </c>
      <c r="D742" s="2"/>
      <c r="E742" s="4" t="str">
        <f>IFERROR(INDEX('Araç Tanımlama'!$D$5:$D$200,MATCH(D742,'Araç Tanımlama'!$A$5:$A$200,0)),"")</f>
        <v/>
      </c>
      <c r="F742" s="4" t="str">
        <f>IFERROR(INDEX('Araç Tanımlama'!$E$5:$E$200,MATCH(D742,'Araç Tanımlama'!$A$5:$A$200,0)),"")</f>
        <v/>
      </c>
      <c r="G742" s="2"/>
      <c r="H742" s="7"/>
      <c r="I742" s="9" t="str">
        <f>IF(OR(G742="",H742=""),"",G742*H742)</f>
        <v/>
      </c>
      <c r="J742" s="2"/>
      <c r="K742" s="2"/>
    </row>
    <row r="743" spans="1:11">
      <c r="A743" s="4" t="str">
        <f>IF(D743="","",COUNTIF($D$5:D743,"?*"))</f>
        <v/>
      </c>
      <c r="B743" s="5"/>
      <c r="C743" s="4" t="str">
        <f>IF(B743="","",INDEX({"Ocak","Şubat","Mart","Nisan","Mayıs","Haziran","Temmuz","Ağustos","Eylül","Ekim","Kasım","Aralık"},MONTH(B743)))</f>
        <v/>
      </c>
      <c r="D743" s="2"/>
      <c r="E743" s="4" t="str">
        <f>IFERROR(INDEX('Araç Tanımlama'!$D$5:$D$200,MATCH(D743,'Araç Tanımlama'!$A$5:$A$200,0)),"")</f>
        <v/>
      </c>
      <c r="F743" s="4" t="str">
        <f>IFERROR(INDEX('Araç Tanımlama'!$E$5:$E$200,MATCH(D743,'Araç Tanımlama'!$A$5:$A$200,0)),"")</f>
        <v/>
      </c>
      <c r="G743" s="2"/>
      <c r="H743" s="7"/>
      <c r="I743" s="9" t="str">
        <f>IF(OR(G743="",H743=""),"",G743*H743)</f>
        <v/>
      </c>
      <c r="J743" s="2"/>
      <c r="K743" s="2"/>
    </row>
    <row r="744" spans="1:11">
      <c r="A744" s="4" t="str">
        <f>IF(D744="","",COUNTIF($D$5:D744,"?*"))</f>
        <v/>
      </c>
      <c r="B744" s="5"/>
      <c r="C744" s="4" t="str">
        <f>IF(B744="","",INDEX({"Ocak","Şubat","Mart","Nisan","Mayıs","Haziran","Temmuz","Ağustos","Eylül","Ekim","Kasım","Aralık"},MONTH(B744)))</f>
        <v/>
      </c>
      <c r="D744" s="2"/>
      <c r="E744" s="4" t="str">
        <f>IFERROR(INDEX('Araç Tanımlama'!$D$5:$D$200,MATCH(D744,'Araç Tanımlama'!$A$5:$A$200,0)),"")</f>
        <v/>
      </c>
      <c r="F744" s="4" t="str">
        <f>IFERROR(INDEX('Araç Tanımlama'!$E$5:$E$200,MATCH(D744,'Araç Tanımlama'!$A$5:$A$200,0)),"")</f>
        <v/>
      </c>
      <c r="G744" s="2"/>
      <c r="H744" s="7"/>
      <c r="I744" s="9" t="str">
        <f>IF(OR(G744="",H744=""),"",G744*H744)</f>
        <v/>
      </c>
      <c r="J744" s="2"/>
      <c r="K744" s="2"/>
    </row>
    <row r="745" spans="1:11">
      <c r="A745" s="4" t="str">
        <f>IF(D745="","",COUNTIF($D$5:D745,"?*"))</f>
        <v/>
      </c>
      <c r="B745" s="5"/>
      <c r="C745" s="4" t="str">
        <f>IF(B745="","",INDEX({"Ocak","Şubat","Mart","Nisan","Mayıs","Haziran","Temmuz","Ağustos","Eylül","Ekim","Kasım","Aralık"},MONTH(B745)))</f>
        <v/>
      </c>
      <c r="D745" s="2"/>
      <c r="E745" s="4" t="str">
        <f>IFERROR(INDEX('Araç Tanımlama'!$D$5:$D$200,MATCH(D745,'Araç Tanımlama'!$A$5:$A$200,0)),"")</f>
        <v/>
      </c>
      <c r="F745" s="4" t="str">
        <f>IFERROR(INDEX('Araç Tanımlama'!$E$5:$E$200,MATCH(D745,'Araç Tanımlama'!$A$5:$A$200,0)),"")</f>
        <v/>
      </c>
      <c r="G745" s="2"/>
      <c r="H745" s="7"/>
      <c r="I745" s="9" t="str">
        <f>IF(OR(G745="",H745=""),"",G745*H745)</f>
        <v/>
      </c>
      <c r="J745" s="2"/>
      <c r="K745" s="2"/>
    </row>
    <row r="746" spans="1:11">
      <c r="A746" s="4" t="str">
        <f>IF(D746="","",COUNTIF($D$5:D746,"?*"))</f>
        <v/>
      </c>
      <c r="B746" s="5"/>
      <c r="C746" s="4" t="str">
        <f>IF(B746="","",INDEX({"Ocak","Şubat","Mart","Nisan","Mayıs","Haziran","Temmuz","Ağustos","Eylül","Ekim","Kasım","Aralık"},MONTH(B746)))</f>
        <v/>
      </c>
      <c r="D746" s="2"/>
      <c r="E746" s="4" t="str">
        <f>IFERROR(INDEX('Araç Tanımlama'!$D$5:$D$200,MATCH(D746,'Araç Tanımlama'!$A$5:$A$200,0)),"")</f>
        <v/>
      </c>
      <c r="F746" s="4" t="str">
        <f>IFERROR(INDEX('Araç Tanımlama'!$E$5:$E$200,MATCH(D746,'Araç Tanımlama'!$A$5:$A$200,0)),"")</f>
        <v/>
      </c>
      <c r="G746" s="2"/>
      <c r="H746" s="7"/>
      <c r="I746" s="9" t="str">
        <f>IF(OR(G746="",H746=""),"",G746*H746)</f>
        <v/>
      </c>
      <c r="J746" s="2"/>
      <c r="K746" s="2"/>
    </row>
    <row r="747" spans="1:11">
      <c r="A747" s="4" t="str">
        <f>IF(D747="","",COUNTIF($D$5:D747,"?*"))</f>
        <v/>
      </c>
      <c r="B747" s="5"/>
      <c r="C747" s="4" t="str">
        <f>IF(B747="","",INDEX({"Ocak","Şubat","Mart","Nisan","Mayıs","Haziran","Temmuz","Ağustos","Eylül","Ekim","Kasım","Aralık"},MONTH(B747)))</f>
        <v/>
      </c>
      <c r="D747" s="2"/>
      <c r="E747" s="4" t="str">
        <f>IFERROR(INDEX('Araç Tanımlama'!$D$5:$D$200,MATCH(D747,'Araç Tanımlama'!$A$5:$A$200,0)),"")</f>
        <v/>
      </c>
      <c r="F747" s="4" t="str">
        <f>IFERROR(INDEX('Araç Tanımlama'!$E$5:$E$200,MATCH(D747,'Araç Tanımlama'!$A$5:$A$200,0)),"")</f>
        <v/>
      </c>
      <c r="G747" s="2"/>
      <c r="H747" s="7"/>
      <c r="I747" s="9" t="str">
        <f>IF(OR(G747="",H747=""),"",G747*H747)</f>
        <v/>
      </c>
      <c r="J747" s="2"/>
      <c r="K747" s="2"/>
    </row>
    <row r="748" spans="1:11">
      <c r="A748" s="4" t="str">
        <f>IF(D748="","",COUNTIF($D$5:D748,"?*"))</f>
        <v/>
      </c>
      <c r="B748" s="5"/>
      <c r="C748" s="4" t="str">
        <f>IF(B748="","",INDEX({"Ocak","Şubat","Mart","Nisan","Mayıs","Haziran","Temmuz","Ağustos","Eylül","Ekim","Kasım","Aralık"},MONTH(B748)))</f>
        <v/>
      </c>
      <c r="D748" s="2"/>
      <c r="E748" s="4" t="str">
        <f>IFERROR(INDEX('Araç Tanımlama'!$D$5:$D$200,MATCH(D748,'Araç Tanımlama'!$A$5:$A$200,0)),"")</f>
        <v/>
      </c>
      <c r="F748" s="4" t="str">
        <f>IFERROR(INDEX('Araç Tanımlama'!$E$5:$E$200,MATCH(D748,'Araç Tanımlama'!$A$5:$A$200,0)),"")</f>
        <v/>
      </c>
      <c r="G748" s="2"/>
      <c r="H748" s="7"/>
      <c r="I748" s="9" t="str">
        <f>IF(OR(G748="",H748=""),"",G748*H748)</f>
        <v/>
      </c>
      <c r="J748" s="2"/>
      <c r="K748" s="2"/>
    </row>
    <row r="749" spans="1:11">
      <c r="A749" s="4" t="str">
        <f>IF(D749="","",COUNTIF($D$5:D749,"?*"))</f>
        <v/>
      </c>
      <c r="B749" s="5"/>
      <c r="C749" s="4" t="str">
        <f>IF(B749="","",INDEX({"Ocak","Şubat","Mart","Nisan","Mayıs","Haziran","Temmuz","Ağustos","Eylül","Ekim","Kasım","Aralık"},MONTH(B749)))</f>
        <v/>
      </c>
      <c r="D749" s="2"/>
      <c r="E749" s="4" t="str">
        <f>IFERROR(INDEX('Araç Tanımlama'!$D$5:$D$200,MATCH(D749,'Araç Tanımlama'!$A$5:$A$200,0)),"")</f>
        <v/>
      </c>
      <c r="F749" s="4" t="str">
        <f>IFERROR(INDEX('Araç Tanımlama'!$E$5:$E$200,MATCH(D749,'Araç Tanımlama'!$A$5:$A$200,0)),"")</f>
        <v/>
      </c>
      <c r="G749" s="2"/>
      <c r="H749" s="7"/>
      <c r="I749" s="9" t="str">
        <f>IF(OR(G749="",H749=""),"",G749*H749)</f>
        <v/>
      </c>
      <c r="J749" s="2"/>
      <c r="K749" s="2"/>
    </row>
    <row r="750" spans="1:11">
      <c r="A750" s="4" t="str">
        <f>IF(D750="","",COUNTIF($D$5:D750,"?*"))</f>
        <v/>
      </c>
      <c r="B750" s="5"/>
      <c r="C750" s="4" t="str">
        <f>IF(B750="","",INDEX({"Ocak","Şubat","Mart","Nisan","Mayıs","Haziran","Temmuz","Ağustos","Eylül","Ekim","Kasım","Aralık"},MONTH(B750)))</f>
        <v/>
      </c>
      <c r="D750" s="2"/>
      <c r="E750" s="4" t="str">
        <f>IFERROR(INDEX('Araç Tanımlama'!$D$5:$D$200,MATCH(D750,'Araç Tanımlama'!$A$5:$A$200,0)),"")</f>
        <v/>
      </c>
      <c r="F750" s="4" t="str">
        <f>IFERROR(INDEX('Araç Tanımlama'!$E$5:$E$200,MATCH(D750,'Araç Tanımlama'!$A$5:$A$200,0)),"")</f>
        <v/>
      </c>
      <c r="G750" s="2"/>
      <c r="H750" s="7"/>
      <c r="I750" s="9" t="str">
        <f>IF(OR(G750="",H750=""),"",G750*H750)</f>
        <v/>
      </c>
      <c r="J750" s="2"/>
      <c r="K750" s="2"/>
    </row>
    <row r="751" spans="1:11">
      <c r="A751" s="4" t="str">
        <f>IF(D751="","",COUNTIF($D$5:D751,"?*"))</f>
        <v/>
      </c>
      <c r="B751" s="5"/>
      <c r="C751" s="4" t="str">
        <f>IF(B751="","",INDEX({"Ocak","Şubat","Mart","Nisan","Mayıs","Haziran","Temmuz","Ağustos","Eylül","Ekim","Kasım","Aralık"},MONTH(B751)))</f>
        <v/>
      </c>
      <c r="D751" s="2"/>
      <c r="E751" s="4" t="str">
        <f>IFERROR(INDEX('Araç Tanımlama'!$D$5:$D$200,MATCH(D751,'Araç Tanımlama'!$A$5:$A$200,0)),"")</f>
        <v/>
      </c>
      <c r="F751" s="4" t="str">
        <f>IFERROR(INDEX('Araç Tanımlama'!$E$5:$E$200,MATCH(D751,'Araç Tanımlama'!$A$5:$A$200,0)),"")</f>
        <v/>
      </c>
      <c r="G751" s="2"/>
      <c r="H751" s="7"/>
      <c r="I751" s="9" t="str">
        <f>IF(OR(G751="",H751=""),"",G751*H751)</f>
        <v/>
      </c>
      <c r="J751" s="2"/>
      <c r="K751" s="2"/>
    </row>
    <row r="752" spans="1:11">
      <c r="A752" s="4" t="str">
        <f>IF(D752="","",COUNTIF($D$5:D752,"?*"))</f>
        <v/>
      </c>
      <c r="B752" s="5"/>
      <c r="C752" s="4" t="str">
        <f>IF(B752="","",INDEX({"Ocak","Şubat","Mart","Nisan","Mayıs","Haziran","Temmuz","Ağustos","Eylül","Ekim","Kasım","Aralık"},MONTH(B752)))</f>
        <v/>
      </c>
      <c r="D752" s="2"/>
      <c r="E752" s="4" t="str">
        <f>IFERROR(INDEX('Araç Tanımlama'!$D$5:$D$200,MATCH(D752,'Araç Tanımlama'!$A$5:$A$200,0)),"")</f>
        <v/>
      </c>
      <c r="F752" s="4" t="str">
        <f>IFERROR(INDEX('Araç Tanımlama'!$E$5:$E$200,MATCH(D752,'Araç Tanımlama'!$A$5:$A$200,0)),"")</f>
        <v/>
      </c>
      <c r="G752" s="2"/>
      <c r="H752" s="7"/>
      <c r="I752" s="9" t="str">
        <f>IF(OR(G752="",H752=""),"",G752*H752)</f>
        <v/>
      </c>
      <c r="J752" s="2"/>
      <c r="K752" s="2"/>
    </row>
    <row r="753" spans="1:11">
      <c r="A753" s="4" t="str">
        <f>IF(D753="","",COUNTIF($D$5:D753,"?*"))</f>
        <v/>
      </c>
      <c r="B753" s="5"/>
      <c r="C753" s="4" t="str">
        <f>IF(B753="","",INDEX({"Ocak","Şubat","Mart","Nisan","Mayıs","Haziran","Temmuz","Ağustos","Eylül","Ekim","Kasım","Aralık"},MONTH(B753)))</f>
        <v/>
      </c>
      <c r="D753" s="2"/>
      <c r="E753" s="4" t="str">
        <f>IFERROR(INDEX('Araç Tanımlama'!$D$5:$D$200,MATCH(D753,'Araç Tanımlama'!$A$5:$A$200,0)),"")</f>
        <v/>
      </c>
      <c r="F753" s="4" t="str">
        <f>IFERROR(INDEX('Araç Tanımlama'!$E$5:$E$200,MATCH(D753,'Araç Tanımlama'!$A$5:$A$200,0)),"")</f>
        <v/>
      </c>
      <c r="G753" s="2"/>
      <c r="H753" s="7"/>
      <c r="I753" s="9" t="str">
        <f>IF(OR(G753="",H753=""),"",G753*H753)</f>
        <v/>
      </c>
      <c r="J753" s="2"/>
      <c r="K753" s="2"/>
    </row>
    <row r="754" spans="1:11">
      <c r="A754" s="4" t="str">
        <f>IF(D754="","",COUNTIF($D$5:D754,"?*"))</f>
        <v/>
      </c>
      <c r="B754" s="5"/>
      <c r="C754" s="4" t="str">
        <f>IF(B754="","",INDEX({"Ocak","Şubat","Mart","Nisan","Mayıs","Haziran","Temmuz","Ağustos","Eylül","Ekim","Kasım","Aralık"},MONTH(B754)))</f>
        <v/>
      </c>
      <c r="D754" s="2"/>
      <c r="E754" s="4" t="str">
        <f>IFERROR(INDEX('Araç Tanımlama'!$D$5:$D$200,MATCH(D754,'Araç Tanımlama'!$A$5:$A$200,0)),"")</f>
        <v/>
      </c>
      <c r="F754" s="4" t="str">
        <f>IFERROR(INDEX('Araç Tanımlama'!$E$5:$E$200,MATCH(D754,'Araç Tanımlama'!$A$5:$A$200,0)),"")</f>
        <v/>
      </c>
      <c r="G754" s="2"/>
      <c r="H754" s="7"/>
      <c r="I754" s="9" t="str">
        <f>IF(OR(G754="",H754=""),"",G754*H754)</f>
        <v/>
      </c>
      <c r="J754" s="2"/>
      <c r="K754" s="2"/>
    </row>
    <row r="755" spans="1:11">
      <c r="A755" s="4" t="str">
        <f>IF(D755="","",COUNTIF($D$5:D755,"?*"))</f>
        <v/>
      </c>
      <c r="B755" s="5"/>
      <c r="C755" s="4" t="str">
        <f>IF(B755="","",INDEX({"Ocak","Şubat","Mart","Nisan","Mayıs","Haziran","Temmuz","Ağustos","Eylül","Ekim","Kasım","Aralık"},MONTH(B755)))</f>
        <v/>
      </c>
      <c r="D755" s="2"/>
      <c r="E755" s="4" t="str">
        <f>IFERROR(INDEX('Araç Tanımlama'!$D$5:$D$200,MATCH(D755,'Araç Tanımlama'!$A$5:$A$200,0)),"")</f>
        <v/>
      </c>
      <c r="F755" s="4" t="str">
        <f>IFERROR(INDEX('Araç Tanımlama'!$E$5:$E$200,MATCH(D755,'Araç Tanımlama'!$A$5:$A$200,0)),"")</f>
        <v/>
      </c>
      <c r="G755" s="2"/>
      <c r="H755" s="7"/>
      <c r="I755" s="9" t="str">
        <f>IF(OR(G755="",H755=""),"",G755*H755)</f>
        <v/>
      </c>
      <c r="J755" s="2"/>
      <c r="K755" s="2"/>
    </row>
    <row r="756" spans="1:11">
      <c r="A756" s="4" t="str">
        <f>IF(D756="","",COUNTIF($D$5:D756,"?*"))</f>
        <v/>
      </c>
      <c r="B756" s="5"/>
      <c r="C756" s="4" t="str">
        <f>IF(B756="","",INDEX({"Ocak","Şubat","Mart","Nisan","Mayıs","Haziran","Temmuz","Ağustos","Eylül","Ekim","Kasım","Aralık"},MONTH(B756)))</f>
        <v/>
      </c>
      <c r="D756" s="2"/>
      <c r="E756" s="4" t="str">
        <f>IFERROR(INDEX('Araç Tanımlama'!$D$5:$D$200,MATCH(D756,'Araç Tanımlama'!$A$5:$A$200,0)),"")</f>
        <v/>
      </c>
      <c r="F756" s="4" t="str">
        <f>IFERROR(INDEX('Araç Tanımlama'!$E$5:$E$200,MATCH(D756,'Araç Tanımlama'!$A$5:$A$200,0)),"")</f>
        <v/>
      </c>
      <c r="G756" s="2"/>
      <c r="H756" s="7"/>
      <c r="I756" s="9" t="str">
        <f>IF(OR(G756="",H756=""),"",G756*H756)</f>
        <v/>
      </c>
      <c r="J756" s="2"/>
      <c r="K756" s="2"/>
    </row>
    <row r="757" spans="1:11">
      <c r="A757" s="4" t="str">
        <f>IF(D757="","",COUNTIF($D$5:D757,"?*"))</f>
        <v/>
      </c>
      <c r="B757" s="5"/>
      <c r="C757" s="4" t="str">
        <f>IF(B757="","",INDEX({"Ocak","Şubat","Mart","Nisan","Mayıs","Haziran","Temmuz","Ağustos","Eylül","Ekim","Kasım","Aralık"},MONTH(B757)))</f>
        <v/>
      </c>
      <c r="D757" s="2"/>
      <c r="E757" s="4" t="str">
        <f>IFERROR(INDEX('Araç Tanımlama'!$D$5:$D$200,MATCH(D757,'Araç Tanımlama'!$A$5:$A$200,0)),"")</f>
        <v/>
      </c>
      <c r="F757" s="4" t="str">
        <f>IFERROR(INDEX('Araç Tanımlama'!$E$5:$E$200,MATCH(D757,'Araç Tanımlama'!$A$5:$A$200,0)),"")</f>
        <v/>
      </c>
      <c r="G757" s="2"/>
      <c r="H757" s="7"/>
      <c r="I757" s="9" t="str">
        <f>IF(OR(G757="",H757=""),"",G757*H757)</f>
        <v/>
      </c>
      <c r="J757" s="2"/>
      <c r="K757" s="2"/>
    </row>
    <row r="758" spans="1:11">
      <c r="A758" s="4" t="str">
        <f>IF(D758="","",COUNTIF($D$5:D758,"?*"))</f>
        <v/>
      </c>
      <c r="B758" s="5"/>
      <c r="C758" s="4" t="str">
        <f>IF(B758="","",INDEX({"Ocak","Şubat","Mart","Nisan","Mayıs","Haziran","Temmuz","Ağustos","Eylül","Ekim","Kasım","Aralık"},MONTH(B758)))</f>
        <v/>
      </c>
      <c r="D758" s="2"/>
      <c r="E758" s="4" t="str">
        <f>IFERROR(INDEX('Araç Tanımlama'!$D$5:$D$200,MATCH(D758,'Araç Tanımlama'!$A$5:$A$200,0)),"")</f>
        <v/>
      </c>
      <c r="F758" s="4" t="str">
        <f>IFERROR(INDEX('Araç Tanımlama'!$E$5:$E$200,MATCH(D758,'Araç Tanımlama'!$A$5:$A$200,0)),"")</f>
        <v/>
      </c>
      <c r="G758" s="2"/>
      <c r="H758" s="7"/>
      <c r="I758" s="9" t="str">
        <f>IF(OR(G758="",H758=""),"",G758*H758)</f>
        <v/>
      </c>
      <c r="J758" s="2"/>
      <c r="K758" s="2"/>
    </row>
    <row r="759" spans="1:11">
      <c r="A759" s="4" t="str">
        <f>IF(D759="","",COUNTIF($D$5:D759,"?*"))</f>
        <v/>
      </c>
      <c r="B759" s="5"/>
      <c r="C759" s="4" t="str">
        <f>IF(B759="","",INDEX({"Ocak","Şubat","Mart","Nisan","Mayıs","Haziran","Temmuz","Ağustos","Eylül","Ekim","Kasım","Aralık"},MONTH(B759)))</f>
        <v/>
      </c>
      <c r="D759" s="2"/>
      <c r="E759" s="4" t="str">
        <f>IFERROR(INDEX('Araç Tanımlama'!$D$5:$D$200,MATCH(D759,'Araç Tanımlama'!$A$5:$A$200,0)),"")</f>
        <v/>
      </c>
      <c r="F759" s="4" t="str">
        <f>IFERROR(INDEX('Araç Tanımlama'!$E$5:$E$200,MATCH(D759,'Araç Tanımlama'!$A$5:$A$200,0)),"")</f>
        <v/>
      </c>
      <c r="G759" s="2"/>
      <c r="H759" s="7"/>
      <c r="I759" s="9" t="str">
        <f>IF(OR(G759="",H759=""),"",G759*H759)</f>
        <v/>
      </c>
      <c r="J759" s="2"/>
      <c r="K759" s="2"/>
    </row>
    <row r="760" spans="1:11">
      <c r="A760" s="4" t="str">
        <f>IF(D760="","",COUNTIF($D$5:D760,"?*"))</f>
        <v/>
      </c>
      <c r="B760" s="5"/>
      <c r="C760" s="4" t="str">
        <f>IF(B760="","",INDEX({"Ocak","Şubat","Mart","Nisan","Mayıs","Haziran","Temmuz","Ağustos","Eylül","Ekim","Kasım","Aralık"},MONTH(B760)))</f>
        <v/>
      </c>
      <c r="D760" s="2"/>
      <c r="E760" s="4" t="str">
        <f>IFERROR(INDEX('Araç Tanımlama'!$D$5:$D$200,MATCH(D760,'Araç Tanımlama'!$A$5:$A$200,0)),"")</f>
        <v/>
      </c>
      <c r="F760" s="4" t="str">
        <f>IFERROR(INDEX('Araç Tanımlama'!$E$5:$E$200,MATCH(D760,'Araç Tanımlama'!$A$5:$A$200,0)),"")</f>
        <v/>
      </c>
      <c r="G760" s="2"/>
      <c r="H760" s="7"/>
      <c r="I760" s="9" t="str">
        <f>IF(OR(G760="",H760=""),"",G760*H760)</f>
        <v/>
      </c>
      <c r="J760" s="2"/>
      <c r="K760" s="2"/>
    </row>
    <row r="761" spans="1:11">
      <c r="A761" s="4" t="str">
        <f>IF(D761="","",COUNTIF($D$5:D761,"?*"))</f>
        <v/>
      </c>
      <c r="B761" s="5"/>
      <c r="C761" s="4" t="str">
        <f>IF(B761="","",INDEX({"Ocak","Şubat","Mart","Nisan","Mayıs","Haziran","Temmuz","Ağustos","Eylül","Ekim","Kasım","Aralık"},MONTH(B761)))</f>
        <v/>
      </c>
      <c r="D761" s="2"/>
      <c r="E761" s="4" t="str">
        <f>IFERROR(INDEX('Araç Tanımlama'!$D$5:$D$200,MATCH(D761,'Araç Tanımlama'!$A$5:$A$200,0)),"")</f>
        <v/>
      </c>
      <c r="F761" s="4" t="str">
        <f>IFERROR(INDEX('Araç Tanımlama'!$E$5:$E$200,MATCH(D761,'Araç Tanımlama'!$A$5:$A$200,0)),"")</f>
        <v/>
      </c>
      <c r="G761" s="2"/>
      <c r="H761" s="7"/>
      <c r="I761" s="9" t="str">
        <f>IF(OR(G761="",H761=""),"",G761*H761)</f>
        <v/>
      </c>
      <c r="J761" s="2"/>
      <c r="K761" s="2"/>
    </row>
    <row r="762" spans="1:11">
      <c r="A762" s="4" t="str">
        <f>IF(D762="","",COUNTIF($D$5:D762,"?*"))</f>
        <v/>
      </c>
      <c r="B762" s="5"/>
      <c r="C762" s="4" t="str">
        <f>IF(B762="","",INDEX({"Ocak","Şubat","Mart","Nisan","Mayıs","Haziran","Temmuz","Ağustos","Eylül","Ekim","Kasım","Aralık"},MONTH(B762)))</f>
        <v/>
      </c>
      <c r="D762" s="2"/>
      <c r="E762" s="4" t="str">
        <f>IFERROR(INDEX('Araç Tanımlama'!$D$5:$D$200,MATCH(D762,'Araç Tanımlama'!$A$5:$A$200,0)),"")</f>
        <v/>
      </c>
      <c r="F762" s="4" t="str">
        <f>IFERROR(INDEX('Araç Tanımlama'!$E$5:$E$200,MATCH(D762,'Araç Tanımlama'!$A$5:$A$200,0)),"")</f>
        <v/>
      </c>
      <c r="G762" s="2"/>
      <c r="H762" s="7"/>
      <c r="I762" s="9" t="str">
        <f>IF(OR(G762="",H762=""),"",G762*H762)</f>
        <v/>
      </c>
      <c r="J762" s="2"/>
      <c r="K762" s="2"/>
    </row>
    <row r="763" spans="1:11">
      <c r="A763" s="4" t="str">
        <f>IF(D763="","",COUNTIF($D$5:D763,"?*"))</f>
        <v/>
      </c>
      <c r="B763" s="5"/>
      <c r="C763" s="4" t="str">
        <f>IF(B763="","",INDEX({"Ocak","Şubat","Mart","Nisan","Mayıs","Haziran","Temmuz","Ağustos","Eylül","Ekim","Kasım","Aralık"},MONTH(B763)))</f>
        <v/>
      </c>
      <c r="D763" s="2"/>
      <c r="E763" s="4" t="str">
        <f>IFERROR(INDEX('Araç Tanımlama'!$D$5:$D$200,MATCH(D763,'Araç Tanımlama'!$A$5:$A$200,0)),"")</f>
        <v/>
      </c>
      <c r="F763" s="4" t="str">
        <f>IFERROR(INDEX('Araç Tanımlama'!$E$5:$E$200,MATCH(D763,'Araç Tanımlama'!$A$5:$A$200,0)),"")</f>
        <v/>
      </c>
      <c r="G763" s="2"/>
      <c r="H763" s="7"/>
      <c r="I763" s="9" t="str">
        <f>IF(OR(G763="",H763=""),"",G763*H763)</f>
        <v/>
      </c>
      <c r="J763" s="2"/>
      <c r="K763" s="2"/>
    </row>
    <row r="764" spans="1:11">
      <c r="A764" s="4" t="str">
        <f>IF(D764="","",COUNTIF($D$5:D764,"?*"))</f>
        <v/>
      </c>
      <c r="B764" s="5"/>
      <c r="C764" s="4" t="str">
        <f>IF(B764="","",INDEX({"Ocak","Şubat","Mart","Nisan","Mayıs","Haziran","Temmuz","Ağustos","Eylül","Ekim","Kasım","Aralık"},MONTH(B764)))</f>
        <v/>
      </c>
      <c r="D764" s="2"/>
      <c r="E764" s="4" t="str">
        <f>IFERROR(INDEX('Araç Tanımlama'!$D$5:$D$200,MATCH(D764,'Araç Tanımlama'!$A$5:$A$200,0)),"")</f>
        <v/>
      </c>
      <c r="F764" s="4" t="str">
        <f>IFERROR(INDEX('Araç Tanımlama'!$E$5:$E$200,MATCH(D764,'Araç Tanımlama'!$A$5:$A$200,0)),"")</f>
        <v/>
      </c>
      <c r="G764" s="2"/>
      <c r="H764" s="7"/>
      <c r="I764" s="9" t="str">
        <f>IF(OR(G764="",H764=""),"",G764*H764)</f>
        <v/>
      </c>
      <c r="J764" s="2"/>
      <c r="K764" s="2"/>
    </row>
    <row r="765" spans="1:11">
      <c r="A765" s="4" t="str">
        <f>IF(D765="","",COUNTIF($D$5:D765,"?*"))</f>
        <v/>
      </c>
      <c r="B765" s="5"/>
      <c r="C765" s="4" t="str">
        <f>IF(B765="","",INDEX({"Ocak","Şubat","Mart","Nisan","Mayıs","Haziran","Temmuz","Ağustos","Eylül","Ekim","Kasım","Aralık"},MONTH(B765)))</f>
        <v/>
      </c>
      <c r="D765" s="2"/>
      <c r="E765" s="4" t="str">
        <f>IFERROR(INDEX('Araç Tanımlama'!$D$5:$D$200,MATCH(D765,'Araç Tanımlama'!$A$5:$A$200,0)),"")</f>
        <v/>
      </c>
      <c r="F765" s="4" t="str">
        <f>IFERROR(INDEX('Araç Tanımlama'!$E$5:$E$200,MATCH(D765,'Araç Tanımlama'!$A$5:$A$200,0)),"")</f>
        <v/>
      </c>
      <c r="G765" s="2"/>
      <c r="H765" s="7"/>
      <c r="I765" s="9" t="str">
        <f>IF(OR(G765="",H765=""),"",G765*H765)</f>
        <v/>
      </c>
      <c r="J765" s="2"/>
      <c r="K765" s="2"/>
    </row>
    <row r="766" spans="1:11">
      <c r="A766" s="4" t="str">
        <f>IF(D766="","",COUNTIF($D$5:D766,"?*"))</f>
        <v/>
      </c>
      <c r="B766" s="5"/>
      <c r="C766" s="4" t="str">
        <f>IF(B766="","",INDEX({"Ocak","Şubat","Mart","Nisan","Mayıs","Haziran","Temmuz","Ağustos","Eylül","Ekim","Kasım","Aralık"},MONTH(B766)))</f>
        <v/>
      </c>
      <c r="D766" s="2"/>
      <c r="E766" s="4" t="str">
        <f>IFERROR(INDEX('Araç Tanımlama'!$D$5:$D$200,MATCH(D766,'Araç Tanımlama'!$A$5:$A$200,0)),"")</f>
        <v/>
      </c>
      <c r="F766" s="4" t="str">
        <f>IFERROR(INDEX('Araç Tanımlama'!$E$5:$E$200,MATCH(D766,'Araç Tanımlama'!$A$5:$A$200,0)),"")</f>
        <v/>
      </c>
      <c r="G766" s="2"/>
      <c r="H766" s="7"/>
      <c r="I766" s="9" t="str">
        <f>IF(OR(G766="",H766=""),"",G766*H766)</f>
        <v/>
      </c>
      <c r="J766" s="2"/>
      <c r="K766" s="2"/>
    </row>
    <row r="767" spans="1:11">
      <c r="A767" s="4" t="str">
        <f>IF(D767="","",COUNTIF($D$5:D767,"?*"))</f>
        <v/>
      </c>
      <c r="B767" s="5"/>
      <c r="C767" s="4" t="str">
        <f>IF(B767="","",INDEX({"Ocak","Şubat","Mart","Nisan","Mayıs","Haziran","Temmuz","Ağustos","Eylül","Ekim","Kasım","Aralık"},MONTH(B767)))</f>
        <v/>
      </c>
      <c r="D767" s="2"/>
      <c r="E767" s="4" t="str">
        <f>IFERROR(INDEX('Araç Tanımlama'!$D$5:$D$200,MATCH(D767,'Araç Tanımlama'!$A$5:$A$200,0)),"")</f>
        <v/>
      </c>
      <c r="F767" s="4" t="str">
        <f>IFERROR(INDEX('Araç Tanımlama'!$E$5:$E$200,MATCH(D767,'Araç Tanımlama'!$A$5:$A$200,0)),"")</f>
        <v/>
      </c>
      <c r="G767" s="2"/>
      <c r="H767" s="7"/>
      <c r="I767" s="9" t="str">
        <f>IF(OR(G767="",H767=""),"",G767*H767)</f>
        <v/>
      </c>
      <c r="J767" s="2"/>
      <c r="K767" s="2"/>
    </row>
    <row r="768" spans="1:11">
      <c r="A768" s="4" t="str">
        <f>IF(D768="","",COUNTIF($D$5:D768,"?*"))</f>
        <v/>
      </c>
      <c r="B768" s="5"/>
      <c r="C768" s="4" t="str">
        <f>IF(B768="","",INDEX({"Ocak","Şubat","Mart","Nisan","Mayıs","Haziran","Temmuz","Ağustos","Eylül","Ekim","Kasım","Aralık"},MONTH(B768)))</f>
        <v/>
      </c>
      <c r="D768" s="2"/>
      <c r="E768" s="4" t="str">
        <f>IFERROR(INDEX('Araç Tanımlama'!$D$5:$D$200,MATCH(D768,'Araç Tanımlama'!$A$5:$A$200,0)),"")</f>
        <v/>
      </c>
      <c r="F768" s="4" t="str">
        <f>IFERROR(INDEX('Araç Tanımlama'!$E$5:$E$200,MATCH(D768,'Araç Tanımlama'!$A$5:$A$200,0)),"")</f>
        <v/>
      </c>
      <c r="G768" s="2"/>
      <c r="H768" s="7"/>
      <c r="I768" s="9" t="str">
        <f>IF(OR(G768="",H768=""),"",G768*H768)</f>
        <v/>
      </c>
      <c r="J768" s="2"/>
      <c r="K768" s="2"/>
    </row>
    <row r="769" spans="1:11">
      <c r="A769" s="4" t="str">
        <f>IF(D769="","",COUNTIF($D$5:D769,"?*"))</f>
        <v/>
      </c>
      <c r="B769" s="5"/>
      <c r="C769" s="4" t="str">
        <f>IF(B769="","",INDEX({"Ocak","Şubat","Mart","Nisan","Mayıs","Haziran","Temmuz","Ağustos","Eylül","Ekim","Kasım","Aralık"},MONTH(B769)))</f>
        <v/>
      </c>
      <c r="D769" s="2"/>
      <c r="E769" s="4" t="str">
        <f>IFERROR(INDEX('Araç Tanımlama'!$D$5:$D$200,MATCH(D769,'Araç Tanımlama'!$A$5:$A$200,0)),"")</f>
        <v/>
      </c>
      <c r="F769" s="4" t="str">
        <f>IFERROR(INDEX('Araç Tanımlama'!$E$5:$E$200,MATCH(D769,'Araç Tanımlama'!$A$5:$A$200,0)),"")</f>
        <v/>
      </c>
      <c r="G769" s="2"/>
      <c r="H769" s="7"/>
      <c r="I769" s="9" t="str">
        <f>IF(OR(G769="",H769=""),"",G769*H769)</f>
        <v/>
      </c>
      <c r="J769" s="2"/>
      <c r="K769" s="2"/>
    </row>
    <row r="770" spans="1:11">
      <c r="A770" s="4" t="str">
        <f>IF(D770="","",COUNTIF($D$5:D770,"?*"))</f>
        <v/>
      </c>
      <c r="B770" s="5"/>
      <c r="C770" s="4" t="str">
        <f>IF(B770="","",INDEX({"Ocak","Şubat","Mart","Nisan","Mayıs","Haziran","Temmuz","Ağustos","Eylül","Ekim","Kasım","Aralık"},MONTH(B770)))</f>
        <v/>
      </c>
      <c r="D770" s="2"/>
      <c r="E770" s="4" t="str">
        <f>IFERROR(INDEX('Araç Tanımlama'!$D$5:$D$200,MATCH(D770,'Araç Tanımlama'!$A$5:$A$200,0)),"")</f>
        <v/>
      </c>
      <c r="F770" s="4" t="str">
        <f>IFERROR(INDEX('Araç Tanımlama'!$E$5:$E$200,MATCH(D770,'Araç Tanımlama'!$A$5:$A$200,0)),"")</f>
        <v/>
      </c>
      <c r="G770" s="2"/>
      <c r="H770" s="7"/>
      <c r="I770" s="9" t="str">
        <f>IF(OR(G770="",H770=""),"",G770*H770)</f>
        <v/>
      </c>
      <c r="J770" s="2"/>
      <c r="K770" s="2"/>
    </row>
    <row r="771" spans="1:11">
      <c r="A771" s="4" t="str">
        <f>IF(D771="","",COUNTIF($D$5:D771,"?*"))</f>
        <v/>
      </c>
      <c r="B771" s="5"/>
      <c r="C771" s="4" t="str">
        <f>IF(B771="","",INDEX({"Ocak","Şubat","Mart","Nisan","Mayıs","Haziran","Temmuz","Ağustos","Eylül","Ekim","Kasım","Aralık"},MONTH(B771)))</f>
        <v/>
      </c>
      <c r="D771" s="2"/>
      <c r="E771" s="4" t="str">
        <f>IFERROR(INDEX('Araç Tanımlama'!$D$5:$D$200,MATCH(D771,'Araç Tanımlama'!$A$5:$A$200,0)),"")</f>
        <v/>
      </c>
      <c r="F771" s="4" t="str">
        <f>IFERROR(INDEX('Araç Tanımlama'!$E$5:$E$200,MATCH(D771,'Araç Tanımlama'!$A$5:$A$200,0)),"")</f>
        <v/>
      </c>
      <c r="G771" s="2"/>
      <c r="H771" s="7"/>
      <c r="I771" s="9" t="str">
        <f>IF(OR(G771="",H771=""),"",G771*H771)</f>
        <v/>
      </c>
      <c r="J771" s="2"/>
      <c r="K771" s="2"/>
    </row>
    <row r="772" spans="1:11">
      <c r="A772" s="4" t="str">
        <f>IF(D772="","",COUNTIF($D$5:D772,"?*"))</f>
        <v/>
      </c>
      <c r="B772" s="5"/>
      <c r="C772" s="4" t="str">
        <f>IF(B772="","",INDEX({"Ocak","Şubat","Mart","Nisan","Mayıs","Haziran","Temmuz","Ağustos","Eylül","Ekim","Kasım","Aralık"},MONTH(B772)))</f>
        <v/>
      </c>
      <c r="D772" s="2"/>
      <c r="E772" s="4" t="str">
        <f>IFERROR(INDEX('Araç Tanımlama'!$D$5:$D$200,MATCH(D772,'Araç Tanımlama'!$A$5:$A$200,0)),"")</f>
        <v/>
      </c>
      <c r="F772" s="4" t="str">
        <f>IFERROR(INDEX('Araç Tanımlama'!$E$5:$E$200,MATCH(D772,'Araç Tanımlama'!$A$5:$A$200,0)),"")</f>
        <v/>
      </c>
      <c r="G772" s="2"/>
      <c r="H772" s="7"/>
      <c r="I772" s="9" t="str">
        <f>IF(OR(G772="",H772=""),"",G772*H772)</f>
        <v/>
      </c>
      <c r="J772" s="2"/>
      <c r="K772" s="2"/>
    </row>
    <row r="773" spans="1:11">
      <c r="A773" s="4" t="str">
        <f>IF(D773="","",COUNTIF($D$5:D773,"?*"))</f>
        <v/>
      </c>
      <c r="B773" s="5"/>
      <c r="C773" s="4" t="str">
        <f>IF(B773="","",INDEX({"Ocak","Şubat","Mart","Nisan","Mayıs","Haziran","Temmuz","Ağustos","Eylül","Ekim","Kasım","Aralık"},MONTH(B773)))</f>
        <v/>
      </c>
      <c r="D773" s="2"/>
      <c r="E773" s="4" t="str">
        <f>IFERROR(INDEX('Araç Tanımlama'!$D$5:$D$200,MATCH(D773,'Araç Tanımlama'!$A$5:$A$200,0)),"")</f>
        <v/>
      </c>
      <c r="F773" s="4" t="str">
        <f>IFERROR(INDEX('Araç Tanımlama'!$E$5:$E$200,MATCH(D773,'Araç Tanımlama'!$A$5:$A$200,0)),"")</f>
        <v/>
      </c>
      <c r="G773" s="2"/>
      <c r="H773" s="7"/>
      <c r="I773" s="9" t="str">
        <f>IF(OR(G773="",H773=""),"",G773*H773)</f>
        <v/>
      </c>
      <c r="J773" s="2"/>
      <c r="K773" s="2"/>
    </row>
    <row r="774" spans="1:11">
      <c r="A774" s="4" t="str">
        <f>IF(D774="","",COUNTIF($D$5:D774,"?*"))</f>
        <v/>
      </c>
      <c r="B774" s="5"/>
      <c r="C774" s="4" t="str">
        <f>IF(B774="","",INDEX({"Ocak","Şubat","Mart","Nisan","Mayıs","Haziran","Temmuz","Ağustos","Eylül","Ekim","Kasım","Aralık"},MONTH(B774)))</f>
        <v/>
      </c>
      <c r="D774" s="2"/>
      <c r="E774" s="4" t="str">
        <f>IFERROR(INDEX('Araç Tanımlama'!$D$5:$D$200,MATCH(D774,'Araç Tanımlama'!$A$5:$A$200,0)),"")</f>
        <v/>
      </c>
      <c r="F774" s="4" t="str">
        <f>IFERROR(INDEX('Araç Tanımlama'!$E$5:$E$200,MATCH(D774,'Araç Tanımlama'!$A$5:$A$200,0)),"")</f>
        <v/>
      </c>
      <c r="G774" s="2"/>
      <c r="H774" s="7"/>
      <c r="I774" s="9" t="str">
        <f>IF(OR(G774="",H774=""),"",G774*H774)</f>
        <v/>
      </c>
      <c r="J774" s="2"/>
      <c r="K774" s="2"/>
    </row>
    <row r="775" spans="1:11">
      <c r="A775" s="4" t="str">
        <f>IF(D775="","",COUNTIF($D$5:D775,"?*"))</f>
        <v/>
      </c>
      <c r="B775" s="5"/>
      <c r="C775" s="4" t="str">
        <f>IF(B775="","",INDEX({"Ocak","Şubat","Mart","Nisan","Mayıs","Haziran","Temmuz","Ağustos","Eylül","Ekim","Kasım","Aralık"},MONTH(B775)))</f>
        <v/>
      </c>
      <c r="D775" s="2"/>
      <c r="E775" s="4" t="str">
        <f>IFERROR(INDEX('Araç Tanımlama'!$D$5:$D$200,MATCH(D775,'Araç Tanımlama'!$A$5:$A$200,0)),"")</f>
        <v/>
      </c>
      <c r="F775" s="4" t="str">
        <f>IFERROR(INDEX('Araç Tanımlama'!$E$5:$E$200,MATCH(D775,'Araç Tanımlama'!$A$5:$A$200,0)),"")</f>
        <v/>
      </c>
      <c r="G775" s="2"/>
      <c r="H775" s="7"/>
      <c r="I775" s="9" t="str">
        <f>IF(OR(G775="",H775=""),"",G775*H775)</f>
        <v/>
      </c>
      <c r="J775" s="2"/>
      <c r="K775" s="2"/>
    </row>
    <row r="776" spans="1:11">
      <c r="A776" s="4" t="str">
        <f>IF(D776="","",COUNTIF($D$5:D776,"?*"))</f>
        <v/>
      </c>
      <c r="B776" s="5"/>
      <c r="C776" s="4" t="str">
        <f>IF(B776="","",INDEX({"Ocak","Şubat","Mart","Nisan","Mayıs","Haziran","Temmuz","Ağustos","Eylül","Ekim","Kasım","Aralık"},MONTH(B776)))</f>
        <v/>
      </c>
      <c r="D776" s="2"/>
      <c r="E776" s="4" t="str">
        <f>IFERROR(INDEX('Araç Tanımlama'!$D$5:$D$200,MATCH(D776,'Araç Tanımlama'!$A$5:$A$200,0)),"")</f>
        <v/>
      </c>
      <c r="F776" s="4" t="str">
        <f>IFERROR(INDEX('Araç Tanımlama'!$E$5:$E$200,MATCH(D776,'Araç Tanımlama'!$A$5:$A$200,0)),"")</f>
        <v/>
      </c>
      <c r="G776" s="2"/>
      <c r="H776" s="7"/>
      <c r="I776" s="9" t="str">
        <f>IF(OR(G776="",H776=""),"",G776*H776)</f>
        <v/>
      </c>
      <c r="J776" s="2"/>
      <c r="K776" s="2"/>
    </row>
    <row r="777" spans="1:11">
      <c r="A777" s="4" t="str">
        <f>IF(D777="","",COUNTIF($D$5:D777,"?*"))</f>
        <v/>
      </c>
      <c r="B777" s="5"/>
      <c r="C777" s="4" t="str">
        <f>IF(B777="","",INDEX({"Ocak","Şubat","Mart","Nisan","Mayıs","Haziran","Temmuz","Ağustos","Eylül","Ekim","Kasım","Aralık"},MONTH(B777)))</f>
        <v/>
      </c>
      <c r="D777" s="2"/>
      <c r="E777" s="4" t="str">
        <f>IFERROR(INDEX('Araç Tanımlama'!$D$5:$D$200,MATCH(D777,'Araç Tanımlama'!$A$5:$A$200,0)),"")</f>
        <v/>
      </c>
      <c r="F777" s="4" t="str">
        <f>IFERROR(INDEX('Araç Tanımlama'!$E$5:$E$200,MATCH(D777,'Araç Tanımlama'!$A$5:$A$200,0)),"")</f>
        <v/>
      </c>
      <c r="G777" s="2"/>
      <c r="H777" s="7"/>
      <c r="I777" s="9" t="str">
        <f>IF(OR(G777="",H777=""),"",G777*H777)</f>
        <v/>
      </c>
      <c r="J777" s="2"/>
      <c r="K777" s="2"/>
    </row>
    <row r="778" spans="1:11">
      <c r="A778" s="4" t="str">
        <f>IF(D778="","",COUNTIF($D$5:D778,"?*"))</f>
        <v/>
      </c>
      <c r="B778" s="5"/>
      <c r="C778" s="4" t="str">
        <f>IF(B778="","",INDEX({"Ocak","Şubat","Mart","Nisan","Mayıs","Haziran","Temmuz","Ağustos","Eylül","Ekim","Kasım","Aralık"},MONTH(B778)))</f>
        <v/>
      </c>
      <c r="D778" s="2"/>
      <c r="E778" s="4" t="str">
        <f>IFERROR(INDEX('Araç Tanımlama'!$D$5:$D$200,MATCH(D778,'Araç Tanımlama'!$A$5:$A$200,0)),"")</f>
        <v/>
      </c>
      <c r="F778" s="4" t="str">
        <f>IFERROR(INDEX('Araç Tanımlama'!$E$5:$E$200,MATCH(D778,'Araç Tanımlama'!$A$5:$A$200,0)),"")</f>
        <v/>
      </c>
      <c r="G778" s="2"/>
      <c r="H778" s="7"/>
      <c r="I778" s="9" t="str">
        <f>IF(OR(G778="",H778=""),"",G778*H778)</f>
        <v/>
      </c>
      <c r="J778" s="2"/>
      <c r="K778" s="2"/>
    </row>
    <row r="779" spans="1:11">
      <c r="A779" s="4" t="str">
        <f>IF(D779="","",COUNTIF($D$5:D779,"?*"))</f>
        <v/>
      </c>
      <c r="B779" s="5"/>
      <c r="C779" s="4" t="str">
        <f>IF(B779="","",INDEX({"Ocak","Şubat","Mart","Nisan","Mayıs","Haziran","Temmuz","Ağustos","Eylül","Ekim","Kasım","Aralık"},MONTH(B779)))</f>
        <v/>
      </c>
      <c r="D779" s="2"/>
      <c r="E779" s="4" t="str">
        <f>IFERROR(INDEX('Araç Tanımlama'!$D$5:$D$200,MATCH(D779,'Araç Tanımlama'!$A$5:$A$200,0)),"")</f>
        <v/>
      </c>
      <c r="F779" s="4" t="str">
        <f>IFERROR(INDEX('Araç Tanımlama'!$E$5:$E$200,MATCH(D779,'Araç Tanımlama'!$A$5:$A$200,0)),"")</f>
        <v/>
      </c>
      <c r="G779" s="2"/>
      <c r="H779" s="7"/>
      <c r="I779" s="9" t="str">
        <f>IF(OR(G779="",H779=""),"",G779*H779)</f>
        <v/>
      </c>
      <c r="J779" s="2"/>
      <c r="K779" s="2"/>
    </row>
    <row r="780" spans="1:11">
      <c r="A780" s="4" t="str">
        <f>IF(D780="","",COUNTIF($D$5:D780,"?*"))</f>
        <v/>
      </c>
      <c r="B780" s="5"/>
      <c r="C780" s="4" t="str">
        <f>IF(B780="","",INDEX({"Ocak","Şubat","Mart","Nisan","Mayıs","Haziran","Temmuz","Ağustos","Eylül","Ekim","Kasım","Aralık"},MONTH(B780)))</f>
        <v/>
      </c>
      <c r="D780" s="2"/>
      <c r="E780" s="4" t="str">
        <f>IFERROR(INDEX('Araç Tanımlama'!$D$5:$D$200,MATCH(D780,'Araç Tanımlama'!$A$5:$A$200,0)),"")</f>
        <v/>
      </c>
      <c r="F780" s="4" t="str">
        <f>IFERROR(INDEX('Araç Tanımlama'!$E$5:$E$200,MATCH(D780,'Araç Tanımlama'!$A$5:$A$200,0)),"")</f>
        <v/>
      </c>
      <c r="G780" s="2"/>
      <c r="H780" s="7"/>
      <c r="I780" s="9" t="str">
        <f>IF(OR(G780="",H780=""),"",G780*H780)</f>
        <v/>
      </c>
      <c r="J780" s="2"/>
      <c r="K780" s="2"/>
    </row>
    <row r="781" spans="1:11">
      <c r="A781" s="4" t="str">
        <f>IF(D781="","",COUNTIF($D$5:D781,"?*"))</f>
        <v/>
      </c>
      <c r="B781" s="5"/>
      <c r="C781" s="4" t="str">
        <f>IF(B781="","",INDEX({"Ocak","Şubat","Mart","Nisan","Mayıs","Haziran","Temmuz","Ağustos","Eylül","Ekim","Kasım","Aralık"},MONTH(B781)))</f>
        <v/>
      </c>
      <c r="D781" s="2"/>
      <c r="E781" s="4" t="str">
        <f>IFERROR(INDEX('Araç Tanımlama'!$D$5:$D$200,MATCH(D781,'Araç Tanımlama'!$A$5:$A$200,0)),"")</f>
        <v/>
      </c>
      <c r="F781" s="4" t="str">
        <f>IFERROR(INDEX('Araç Tanımlama'!$E$5:$E$200,MATCH(D781,'Araç Tanımlama'!$A$5:$A$200,0)),"")</f>
        <v/>
      </c>
      <c r="G781" s="2"/>
      <c r="H781" s="7"/>
      <c r="I781" s="9" t="str">
        <f>IF(OR(G781="",H781=""),"",G781*H781)</f>
        <v/>
      </c>
      <c r="J781" s="2"/>
      <c r="K781" s="2"/>
    </row>
    <row r="782" spans="1:11">
      <c r="A782" s="4" t="str">
        <f>IF(D782="","",COUNTIF($D$5:D782,"?*"))</f>
        <v/>
      </c>
      <c r="B782" s="5"/>
      <c r="C782" s="4" t="str">
        <f>IF(B782="","",INDEX({"Ocak","Şubat","Mart","Nisan","Mayıs","Haziran","Temmuz","Ağustos","Eylül","Ekim","Kasım","Aralık"},MONTH(B782)))</f>
        <v/>
      </c>
      <c r="D782" s="2"/>
      <c r="E782" s="4" t="str">
        <f>IFERROR(INDEX('Araç Tanımlama'!$D$5:$D$200,MATCH(D782,'Araç Tanımlama'!$A$5:$A$200,0)),"")</f>
        <v/>
      </c>
      <c r="F782" s="4" t="str">
        <f>IFERROR(INDEX('Araç Tanımlama'!$E$5:$E$200,MATCH(D782,'Araç Tanımlama'!$A$5:$A$200,0)),"")</f>
        <v/>
      </c>
      <c r="G782" s="2"/>
      <c r="H782" s="7"/>
      <c r="I782" s="9" t="str">
        <f>IF(OR(G782="",H782=""),"",G782*H782)</f>
        <v/>
      </c>
      <c r="J782" s="2"/>
      <c r="K782" s="2"/>
    </row>
    <row r="783" spans="1:11">
      <c r="A783" s="4" t="str">
        <f>IF(D783="","",COUNTIF($D$5:D783,"?*"))</f>
        <v/>
      </c>
      <c r="B783" s="5"/>
      <c r="C783" s="4" t="str">
        <f>IF(B783="","",INDEX({"Ocak","Şubat","Mart","Nisan","Mayıs","Haziran","Temmuz","Ağustos","Eylül","Ekim","Kasım","Aralık"},MONTH(B783)))</f>
        <v/>
      </c>
      <c r="D783" s="2"/>
      <c r="E783" s="4" t="str">
        <f>IFERROR(INDEX('Araç Tanımlama'!$D$5:$D$200,MATCH(D783,'Araç Tanımlama'!$A$5:$A$200,0)),"")</f>
        <v/>
      </c>
      <c r="F783" s="4" t="str">
        <f>IFERROR(INDEX('Araç Tanımlama'!$E$5:$E$200,MATCH(D783,'Araç Tanımlama'!$A$5:$A$200,0)),"")</f>
        <v/>
      </c>
      <c r="G783" s="2"/>
      <c r="H783" s="7"/>
      <c r="I783" s="9" t="str">
        <f>IF(OR(G783="",H783=""),"",G783*H783)</f>
        <v/>
      </c>
      <c r="J783" s="2"/>
      <c r="K783" s="2"/>
    </row>
    <row r="784" spans="1:11">
      <c r="A784" s="4" t="str">
        <f>IF(D784="","",COUNTIF($D$5:D784,"?*"))</f>
        <v/>
      </c>
      <c r="B784" s="5"/>
      <c r="C784" s="4" t="str">
        <f>IF(B784="","",INDEX({"Ocak","Şubat","Mart","Nisan","Mayıs","Haziran","Temmuz","Ağustos","Eylül","Ekim","Kasım","Aralık"},MONTH(B784)))</f>
        <v/>
      </c>
      <c r="D784" s="2"/>
      <c r="E784" s="4" t="str">
        <f>IFERROR(INDEX('Araç Tanımlama'!$D$5:$D$200,MATCH(D784,'Araç Tanımlama'!$A$5:$A$200,0)),"")</f>
        <v/>
      </c>
      <c r="F784" s="4" t="str">
        <f>IFERROR(INDEX('Araç Tanımlama'!$E$5:$E$200,MATCH(D784,'Araç Tanımlama'!$A$5:$A$200,0)),"")</f>
        <v/>
      </c>
      <c r="G784" s="2"/>
      <c r="H784" s="7"/>
      <c r="I784" s="9" t="str">
        <f>IF(OR(G784="",H784=""),"",G784*H784)</f>
        <v/>
      </c>
      <c r="J784" s="2"/>
      <c r="K784" s="2"/>
    </row>
    <row r="785" spans="1:11">
      <c r="A785" s="4" t="str">
        <f>IF(D785="","",COUNTIF($D$5:D785,"?*"))</f>
        <v/>
      </c>
      <c r="B785" s="5"/>
      <c r="C785" s="4" t="str">
        <f>IF(B785="","",INDEX({"Ocak","Şubat","Mart","Nisan","Mayıs","Haziran","Temmuz","Ağustos","Eylül","Ekim","Kasım","Aralık"},MONTH(B785)))</f>
        <v/>
      </c>
      <c r="D785" s="2"/>
      <c r="E785" s="4" t="str">
        <f>IFERROR(INDEX('Araç Tanımlama'!$D$5:$D$200,MATCH(D785,'Araç Tanımlama'!$A$5:$A$200,0)),"")</f>
        <v/>
      </c>
      <c r="F785" s="4" t="str">
        <f>IFERROR(INDEX('Araç Tanımlama'!$E$5:$E$200,MATCH(D785,'Araç Tanımlama'!$A$5:$A$200,0)),"")</f>
        <v/>
      </c>
      <c r="G785" s="2"/>
      <c r="H785" s="7"/>
      <c r="I785" s="9" t="str">
        <f>IF(OR(G785="",H785=""),"",G785*H785)</f>
        <v/>
      </c>
      <c r="J785" s="2"/>
      <c r="K785" s="2"/>
    </row>
    <row r="786" spans="1:11">
      <c r="A786" s="4" t="str">
        <f>IF(D786="","",COUNTIF($D$5:D786,"?*"))</f>
        <v/>
      </c>
      <c r="B786" s="5"/>
      <c r="C786" s="4" t="str">
        <f>IF(B786="","",INDEX({"Ocak","Şubat","Mart","Nisan","Mayıs","Haziran","Temmuz","Ağustos","Eylül","Ekim","Kasım","Aralık"},MONTH(B786)))</f>
        <v/>
      </c>
      <c r="D786" s="2"/>
      <c r="E786" s="4" t="str">
        <f>IFERROR(INDEX('Araç Tanımlama'!$D$5:$D$200,MATCH(D786,'Araç Tanımlama'!$A$5:$A$200,0)),"")</f>
        <v/>
      </c>
      <c r="F786" s="4" t="str">
        <f>IFERROR(INDEX('Araç Tanımlama'!$E$5:$E$200,MATCH(D786,'Araç Tanımlama'!$A$5:$A$200,0)),"")</f>
        <v/>
      </c>
      <c r="G786" s="2"/>
      <c r="H786" s="7"/>
      <c r="I786" s="9" t="str">
        <f>IF(OR(G786="",H786=""),"",G786*H786)</f>
        <v/>
      </c>
      <c r="J786" s="2"/>
      <c r="K786" s="2"/>
    </row>
    <row r="787" spans="1:11">
      <c r="A787" s="4" t="str">
        <f>IF(D787="","",COUNTIF($D$5:D787,"?*"))</f>
        <v/>
      </c>
      <c r="B787" s="5"/>
      <c r="C787" s="4" t="str">
        <f>IF(B787="","",INDEX({"Ocak","Şubat","Mart","Nisan","Mayıs","Haziran","Temmuz","Ağustos","Eylül","Ekim","Kasım","Aralık"},MONTH(B787)))</f>
        <v/>
      </c>
      <c r="D787" s="2"/>
      <c r="E787" s="4" t="str">
        <f>IFERROR(INDEX('Araç Tanımlama'!$D$5:$D$200,MATCH(D787,'Araç Tanımlama'!$A$5:$A$200,0)),"")</f>
        <v/>
      </c>
      <c r="F787" s="4" t="str">
        <f>IFERROR(INDEX('Araç Tanımlama'!$E$5:$E$200,MATCH(D787,'Araç Tanımlama'!$A$5:$A$200,0)),"")</f>
        <v/>
      </c>
      <c r="G787" s="2"/>
      <c r="H787" s="7"/>
      <c r="I787" s="9" t="str">
        <f>IF(OR(G787="",H787=""),"",G787*H787)</f>
        <v/>
      </c>
      <c r="J787" s="2"/>
      <c r="K787" s="2"/>
    </row>
    <row r="788" spans="1:11">
      <c r="A788" s="4" t="str">
        <f>IF(D788="","",COUNTIF($D$5:D788,"?*"))</f>
        <v/>
      </c>
      <c r="B788" s="5"/>
      <c r="C788" s="4" t="str">
        <f>IF(B788="","",INDEX({"Ocak","Şubat","Mart","Nisan","Mayıs","Haziran","Temmuz","Ağustos","Eylül","Ekim","Kasım","Aralık"},MONTH(B788)))</f>
        <v/>
      </c>
      <c r="D788" s="2"/>
      <c r="E788" s="4" t="str">
        <f>IFERROR(INDEX('Araç Tanımlama'!$D$5:$D$200,MATCH(D788,'Araç Tanımlama'!$A$5:$A$200,0)),"")</f>
        <v/>
      </c>
      <c r="F788" s="4" t="str">
        <f>IFERROR(INDEX('Araç Tanımlama'!$E$5:$E$200,MATCH(D788,'Araç Tanımlama'!$A$5:$A$200,0)),"")</f>
        <v/>
      </c>
      <c r="G788" s="2"/>
      <c r="H788" s="7"/>
      <c r="I788" s="9" t="str">
        <f>IF(OR(G788="",H788=""),"",G788*H788)</f>
        <v/>
      </c>
      <c r="J788" s="2"/>
      <c r="K788" s="2"/>
    </row>
    <row r="789" spans="1:11">
      <c r="A789" s="4" t="str">
        <f>IF(D789="","",COUNTIF($D$5:D789,"?*"))</f>
        <v/>
      </c>
      <c r="B789" s="5"/>
      <c r="C789" s="4" t="str">
        <f>IF(B789="","",INDEX({"Ocak","Şubat","Mart","Nisan","Mayıs","Haziran","Temmuz","Ağustos","Eylül","Ekim","Kasım","Aralık"},MONTH(B789)))</f>
        <v/>
      </c>
      <c r="D789" s="2"/>
      <c r="E789" s="4" t="str">
        <f>IFERROR(INDEX('Araç Tanımlama'!$D$5:$D$200,MATCH(D789,'Araç Tanımlama'!$A$5:$A$200,0)),"")</f>
        <v/>
      </c>
      <c r="F789" s="4" t="str">
        <f>IFERROR(INDEX('Araç Tanımlama'!$E$5:$E$200,MATCH(D789,'Araç Tanımlama'!$A$5:$A$200,0)),"")</f>
        <v/>
      </c>
      <c r="G789" s="2"/>
      <c r="H789" s="7"/>
      <c r="I789" s="9" t="str">
        <f>IF(OR(G789="",H789=""),"",G789*H789)</f>
        <v/>
      </c>
      <c r="J789" s="2"/>
      <c r="K789" s="2"/>
    </row>
    <row r="790" spans="1:11">
      <c r="A790" s="4" t="str">
        <f>IF(D790="","",COUNTIF($D$5:D790,"?*"))</f>
        <v/>
      </c>
      <c r="B790" s="5"/>
      <c r="C790" s="4" t="str">
        <f>IF(B790="","",INDEX({"Ocak","Şubat","Mart","Nisan","Mayıs","Haziran","Temmuz","Ağustos","Eylül","Ekim","Kasım","Aralık"},MONTH(B790)))</f>
        <v/>
      </c>
      <c r="D790" s="2"/>
      <c r="E790" s="4" t="str">
        <f>IFERROR(INDEX('Araç Tanımlama'!$D$5:$D$200,MATCH(D790,'Araç Tanımlama'!$A$5:$A$200,0)),"")</f>
        <v/>
      </c>
      <c r="F790" s="4" t="str">
        <f>IFERROR(INDEX('Araç Tanımlama'!$E$5:$E$200,MATCH(D790,'Araç Tanımlama'!$A$5:$A$200,0)),"")</f>
        <v/>
      </c>
      <c r="G790" s="2"/>
      <c r="H790" s="7"/>
      <c r="I790" s="9" t="str">
        <f>IF(OR(G790="",H790=""),"",G790*H790)</f>
        <v/>
      </c>
      <c r="J790" s="2"/>
      <c r="K790" s="2"/>
    </row>
    <row r="791" spans="1:11">
      <c r="A791" s="4" t="str">
        <f>IF(D791="","",COUNTIF($D$5:D791,"?*"))</f>
        <v/>
      </c>
      <c r="B791" s="5"/>
      <c r="C791" s="4" t="str">
        <f>IF(B791="","",INDEX({"Ocak","Şubat","Mart","Nisan","Mayıs","Haziran","Temmuz","Ağustos","Eylül","Ekim","Kasım","Aralık"},MONTH(B791)))</f>
        <v/>
      </c>
      <c r="D791" s="2"/>
      <c r="E791" s="4" t="str">
        <f>IFERROR(INDEX('Araç Tanımlama'!$D$5:$D$200,MATCH(D791,'Araç Tanımlama'!$A$5:$A$200,0)),"")</f>
        <v/>
      </c>
      <c r="F791" s="4" t="str">
        <f>IFERROR(INDEX('Araç Tanımlama'!$E$5:$E$200,MATCH(D791,'Araç Tanımlama'!$A$5:$A$200,0)),"")</f>
        <v/>
      </c>
      <c r="G791" s="2"/>
      <c r="H791" s="7"/>
      <c r="I791" s="9" t="str">
        <f>IF(OR(G791="",H791=""),"",G791*H791)</f>
        <v/>
      </c>
      <c r="J791" s="2"/>
      <c r="K791" s="2"/>
    </row>
    <row r="792" spans="1:11">
      <c r="A792" s="4" t="str">
        <f>IF(D792="","",COUNTIF($D$5:D792,"?*"))</f>
        <v/>
      </c>
      <c r="B792" s="5"/>
      <c r="C792" s="4" t="str">
        <f>IF(B792="","",INDEX({"Ocak","Şubat","Mart","Nisan","Mayıs","Haziran","Temmuz","Ağustos","Eylül","Ekim","Kasım","Aralık"},MONTH(B792)))</f>
        <v/>
      </c>
      <c r="D792" s="2"/>
      <c r="E792" s="4" t="str">
        <f>IFERROR(INDEX('Araç Tanımlama'!$D$5:$D$200,MATCH(D792,'Araç Tanımlama'!$A$5:$A$200,0)),"")</f>
        <v/>
      </c>
      <c r="F792" s="4" t="str">
        <f>IFERROR(INDEX('Araç Tanımlama'!$E$5:$E$200,MATCH(D792,'Araç Tanımlama'!$A$5:$A$200,0)),"")</f>
        <v/>
      </c>
      <c r="G792" s="2"/>
      <c r="H792" s="7"/>
      <c r="I792" s="9" t="str">
        <f>IF(OR(G792="",H792=""),"",G792*H792)</f>
        <v/>
      </c>
      <c r="J792" s="2"/>
      <c r="K792" s="2"/>
    </row>
    <row r="793" spans="1:11">
      <c r="A793" s="4" t="str">
        <f>IF(D793="","",COUNTIF($D$5:D793,"?*"))</f>
        <v/>
      </c>
      <c r="B793" s="5"/>
      <c r="C793" s="4" t="str">
        <f>IF(B793="","",INDEX({"Ocak","Şubat","Mart","Nisan","Mayıs","Haziran","Temmuz","Ağustos","Eylül","Ekim","Kasım","Aralık"},MONTH(B793)))</f>
        <v/>
      </c>
      <c r="D793" s="2"/>
      <c r="E793" s="4" t="str">
        <f>IFERROR(INDEX('Araç Tanımlama'!$D$5:$D$200,MATCH(D793,'Araç Tanımlama'!$A$5:$A$200,0)),"")</f>
        <v/>
      </c>
      <c r="F793" s="4" t="str">
        <f>IFERROR(INDEX('Araç Tanımlama'!$E$5:$E$200,MATCH(D793,'Araç Tanımlama'!$A$5:$A$200,0)),"")</f>
        <v/>
      </c>
      <c r="G793" s="2"/>
      <c r="H793" s="7"/>
      <c r="I793" s="9" t="str">
        <f>IF(OR(G793="",H793=""),"",G793*H793)</f>
        <v/>
      </c>
      <c r="J793" s="2"/>
      <c r="K793" s="2"/>
    </row>
    <row r="794" spans="1:11">
      <c r="A794" s="4" t="str">
        <f>IF(D794="","",COUNTIF($D$5:D794,"?*"))</f>
        <v/>
      </c>
      <c r="B794" s="5"/>
      <c r="C794" s="4" t="str">
        <f>IF(B794="","",INDEX({"Ocak","Şubat","Mart","Nisan","Mayıs","Haziran","Temmuz","Ağustos","Eylül","Ekim","Kasım","Aralık"},MONTH(B794)))</f>
        <v/>
      </c>
      <c r="D794" s="2"/>
      <c r="E794" s="4" t="str">
        <f>IFERROR(INDEX('Araç Tanımlama'!$D$5:$D$200,MATCH(D794,'Araç Tanımlama'!$A$5:$A$200,0)),"")</f>
        <v/>
      </c>
      <c r="F794" s="4" t="str">
        <f>IFERROR(INDEX('Araç Tanımlama'!$E$5:$E$200,MATCH(D794,'Araç Tanımlama'!$A$5:$A$200,0)),"")</f>
        <v/>
      </c>
      <c r="G794" s="2"/>
      <c r="H794" s="7"/>
      <c r="I794" s="9" t="str">
        <f>IF(OR(G794="",H794=""),"",G794*H794)</f>
        <v/>
      </c>
      <c r="J794" s="2"/>
      <c r="K794" s="2"/>
    </row>
    <row r="795" spans="1:11">
      <c r="A795" s="4" t="str">
        <f>IF(D795="","",COUNTIF($D$5:D795,"?*"))</f>
        <v/>
      </c>
      <c r="B795" s="5"/>
      <c r="C795" s="4" t="str">
        <f>IF(B795="","",INDEX({"Ocak","Şubat","Mart","Nisan","Mayıs","Haziran","Temmuz","Ağustos","Eylül","Ekim","Kasım","Aralık"},MONTH(B795)))</f>
        <v/>
      </c>
      <c r="D795" s="2"/>
      <c r="E795" s="4" t="str">
        <f>IFERROR(INDEX('Araç Tanımlama'!$D$5:$D$200,MATCH(D795,'Araç Tanımlama'!$A$5:$A$200,0)),"")</f>
        <v/>
      </c>
      <c r="F795" s="4" t="str">
        <f>IFERROR(INDEX('Araç Tanımlama'!$E$5:$E$200,MATCH(D795,'Araç Tanımlama'!$A$5:$A$200,0)),"")</f>
        <v/>
      </c>
      <c r="G795" s="2"/>
      <c r="H795" s="7"/>
      <c r="I795" s="9" t="str">
        <f>IF(OR(G795="",H795=""),"",G795*H795)</f>
        <v/>
      </c>
      <c r="J795" s="2"/>
      <c r="K795" s="2"/>
    </row>
    <row r="796" spans="1:11">
      <c r="A796" s="4" t="str">
        <f>IF(D796="","",COUNTIF($D$5:D796,"?*"))</f>
        <v/>
      </c>
      <c r="B796" s="5"/>
      <c r="C796" s="4" t="str">
        <f>IF(B796="","",INDEX({"Ocak","Şubat","Mart","Nisan","Mayıs","Haziran","Temmuz","Ağustos","Eylül","Ekim","Kasım","Aralık"},MONTH(B796)))</f>
        <v/>
      </c>
      <c r="D796" s="2"/>
      <c r="E796" s="4" t="str">
        <f>IFERROR(INDEX('Araç Tanımlama'!$D$5:$D$200,MATCH(D796,'Araç Tanımlama'!$A$5:$A$200,0)),"")</f>
        <v/>
      </c>
      <c r="F796" s="4" t="str">
        <f>IFERROR(INDEX('Araç Tanımlama'!$E$5:$E$200,MATCH(D796,'Araç Tanımlama'!$A$5:$A$200,0)),"")</f>
        <v/>
      </c>
      <c r="G796" s="2"/>
      <c r="H796" s="7"/>
      <c r="I796" s="9" t="str">
        <f>IF(OR(G796="",H796=""),"",G796*H796)</f>
        <v/>
      </c>
      <c r="J796" s="2"/>
      <c r="K796" s="2"/>
    </row>
    <row r="797" spans="1:11">
      <c r="A797" s="4" t="str">
        <f>IF(D797="","",COUNTIF($D$5:D797,"?*"))</f>
        <v/>
      </c>
      <c r="B797" s="5"/>
      <c r="C797" s="4" t="str">
        <f>IF(B797="","",INDEX({"Ocak","Şubat","Mart","Nisan","Mayıs","Haziran","Temmuz","Ağustos","Eylül","Ekim","Kasım","Aralık"},MONTH(B797)))</f>
        <v/>
      </c>
      <c r="D797" s="2"/>
      <c r="E797" s="4" t="str">
        <f>IFERROR(INDEX('Araç Tanımlama'!$D$5:$D$200,MATCH(D797,'Araç Tanımlama'!$A$5:$A$200,0)),"")</f>
        <v/>
      </c>
      <c r="F797" s="4" t="str">
        <f>IFERROR(INDEX('Araç Tanımlama'!$E$5:$E$200,MATCH(D797,'Araç Tanımlama'!$A$5:$A$200,0)),"")</f>
        <v/>
      </c>
      <c r="G797" s="2"/>
      <c r="H797" s="7"/>
      <c r="I797" s="9" t="str">
        <f>IF(OR(G797="",H797=""),"",G797*H797)</f>
        <v/>
      </c>
      <c r="J797" s="2"/>
      <c r="K797" s="2"/>
    </row>
    <row r="798" spans="1:11">
      <c r="A798" s="4" t="str">
        <f>IF(D798="","",COUNTIF($D$5:D798,"?*"))</f>
        <v/>
      </c>
      <c r="B798" s="5"/>
      <c r="C798" s="4" t="str">
        <f>IF(B798="","",INDEX({"Ocak","Şubat","Mart","Nisan","Mayıs","Haziran","Temmuz","Ağustos","Eylül","Ekim","Kasım","Aralık"},MONTH(B798)))</f>
        <v/>
      </c>
      <c r="D798" s="2"/>
      <c r="E798" s="4" t="str">
        <f>IFERROR(INDEX('Araç Tanımlama'!$D$5:$D$200,MATCH(D798,'Araç Tanımlama'!$A$5:$A$200,0)),"")</f>
        <v/>
      </c>
      <c r="F798" s="4" t="str">
        <f>IFERROR(INDEX('Araç Tanımlama'!$E$5:$E$200,MATCH(D798,'Araç Tanımlama'!$A$5:$A$200,0)),"")</f>
        <v/>
      </c>
      <c r="G798" s="2"/>
      <c r="H798" s="7"/>
      <c r="I798" s="9" t="str">
        <f>IF(OR(G798="",H798=""),"",G798*H798)</f>
        <v/>
      </c>
      <c r="J798" s="2"/>
      <c r="K798" s="2"/>
    </row>
    <row r="799" spans="1:11">
      <c r="A799" s="4" t="str">
        <f>IF(D799="","",COUNTIF($D$5:D799,"?*"))</f>
        <v/>
      </c>
      <c r="B799" s="5"/>
      <c r="C799" s="4" t="str">
        <f>IF(B799="","",INDEX({"Ocak","Şubat","Mart","Nisan","Mayıs","Haziran","Temmuz","Ağustos","Eylül","Ekim","Kasım","Aralık"},MONTH(B799)))</f>
        <v/>
      </c>
      <c r="D799" s="2"/>
      <c r="E799" s="4" t="str">
        <f>IFERROR(INDEX('Araç Tanımlama'!$D$5:$D$200,MATCH(D799,'Araç Tanımlama'!$A$5:$A$200,0)),"")</f>
        <v/>
      </c>
      <c r="F799" s="4" t="str">
        <f>IFERROR(INDEX('Araç Tanımlama'!$E$5:$E$200,MATCH(D799,'Araç Tanımlama'!$A$5:$A$200,0)),"")</f>
        <v/>
      </c>
      <c r="G799" s="2"/>
      <c r="H799" s="7"/>
      <c r="I799" s="9" t="str">
        <f>IF(OR(G799="",H799=""),"",G799*H799)</f>
        <v/>
      </c>
      <c r="J799" s="2"/>
      <c r="K799" s="2"/>
    </row>
    <row r="800" spans="1:11">
      <c r="A800" s="4" t="str">
        <f>IF(D800="","",COUNTIF($D$5:D800,"?*"))</f>
        <v/>
      </c>
      <c r="B800" s="5"/>
      <c r="C800" s="4" t="str">
        <f>IF(B800="","",INDEX({"Ocak","Şubat","Mart","Nisan","Mayıs","Haziran","Temmuz","Ağustos","Eylül","Ekim","Kasım","Aralık"},MONTH(B800)))</f>
        <v/>
      </c>
      <c r="D800" s="2"/>
      <c r="E800" s="4" t="str">
        <f>IFERROR(INDEX('Araç Tanımlama'!$D$5:$D$200,MATCH(D800,'Araç Tanımlama'!$A$5:$A$200,0)),"")</f>
        <v/>
      </c>
      <c r="F800" s="4" t="str">
        <f>IFERROR(INDEX('Araç Tanımlama'!$E$5:$E$200,MATCH(D800,'Araç Tanımlama'!$A$5:$A$200,0)),"")</f>
        <v/>
      </c>
      <c r="G800" s="2"/>
      <c r="H800" s="7"/>
      <c r="I800" s="9" t="str">
        <f>IF(OR(G800="",H800=""),"",G800*H800)</f>
        <v/>
      </c>
      <c r="J800" s="2"/>
      <c r="K800" s="2"/>
    </row>
    <row r="801" spans="1:11">
      <c r="A801" s="4" t="str">
        <f>IF(D801="","",COUNTIF($D$5:D801,"?*"))</f>
        <v/>
      </c>
      <c r="B801" s="5"/>
      <c r="C801" s="4" t="str">
        <f>IF(B801="","",INDEX({"Ocak","Şubat","Mart","Nisan","Mayıs","Haziran","Temmuz","Ağustos","Eylül","Ekim","Kasım","Aralık"},MONTH(B801)))</f>
        <v/>
      </c>
      <c r="D801" s="2"/>
      <c r="E801" s="4" t="str">
        <f>IFERROR(INDEX('Araç Tanımlama'!$D$5:$D$200,MATCH(D801,'Araç Tanımlama'!$A$5:$A$200,0)),"")</f>
        <v/>
      </c>
      <c r="F801" s="4" t="str">
        <f>IFERROR(INDEX('Araç Tanımlama'!$E$5:$E$200,MATCH(D801,'Araç Tanımlama'!$A$5:$A$200,0)),"")</f>
        <v/>
      </c>
      <c r="G801" s="2"/>
      <c r="H801" s="7"/>
      <c r="I801" s="9" t="str">
        <f>IF(OR(G801="",H801=""),"",G801*H801)</f>
        <v/>
      </c>
      <c r="J801" s="2"/>
      <c r="K801" s="2"/>
    </row>
    <row r="802" spans="1:11">
      <c r="A802" s="4" t="str">
        <f>IF(D802="","",COUNTIF($D$5:D802,"?*"))</f>
        <v/>
      </c>
      <c r="B802" s="5"/>
      <c r="C802" s="4" t="str">
        <f>IF(B802="","",INDEX({"Ocak","Şubat","Mart","Nisan","Mayıs","Haziran","Temmuz","Ağustos","Eylül","Ekim","Kasım","Aralık"},MONTH(B802)))</f>
        <v/>
      </c>
      <c r="D802" s="2"/>
      <c r="E802" s="4" t="str">
        <f>IFERROR(INDEX('Araç Tanımlama'!$D$5:$D$200,MATCH(D802,'Araç Tanımlama'!$A$5:$A$200,0)),"")</f>
        <v/>
      </c>
      <c r="F802" s="4" t="str">
        <f>IFERROR(INDEX('Araç Tanımlama'!$E$5:$E$200,MATCH(D802,'Araç Tanımlama'!$A$5:$A$200,0)),"")</f>
        <v/>
      </c>
      <c r="G802" s="2"/>
      <c r="H802" s="7"/>
      <c r="I802" s="9" t="str">
        <f>IF(OR(G802="",H802=""),"",G802*H802)</f>
        <v/>
      </c>
      <c r="J802" s="2"/>
      <c r="K802" s="2"/>
    </row>
    <row r="803" spans="1:11">
      <c r="A803" s="4" t="str">
        <f>IF(D803="","",COUNTIF($D$5:D803,"?*"))</f>
        <v/>
      </c>
      <c r="B803" s="5"/>
      <c r="C803" s="4" t="str">
        <f>IF(B803="","",INDEX({"Ocak","Şubat","Mart","Nisan","Mayıs","Haziran","Temmuz","Ağustos","Eylül","Ekim","Kasım","Aralık"},MONTH(B803)))</f>
        <v/>
      </c>
      <c r="D803" s="2"/>
      <c r="E803" s="4" t="str">
        <f>IFERROR(INDEX('Araç Tanımlama'!$D$5:$D$200,MATCH(D803,'Araç Tanımlama'!$A$5:$A$200,0)),"")</f>
        <v/>
      </c>
      <c r="F803" s="4" t="str">
        <f>IFERROR(INDEX('Araç Tanımlama'!$E$5:$E$200,MATCH(D803,'Araç Tanımlama'!$A$5:$A$200,0)),"")</f>
        <v/>
      </c>
      <c r="G803" s="2"/>
      <c r="H803" s="7"/>
      <c r="I803" s="9" t="str">
        <f>IF(OR(G803="",H803=""),"",G803*H803)</f>
        <v/>
      </c>
      <c r="J803" s="2"/>
      <c r="K803" s="2"/>
    </row>
    <row r="804" spans="1:11">
      <c r="A804" s="4" t="str">
        <f>IF(D804="","",COUNTIF($D$5:D804,"?*"))</f>
        <v/>
      </c>
      <c r="B804" s="5"/>
      <c r="C804" s="4" t="str">
        <f>IF(B804="","",INDEX({"Ocak","Şubat","Mart","Nisan","Mayıs","Haziran","Temmuz","Ağustos","Eylül","Ekim","Kasım","Aralık"},MONTH(B804)))</f>
        <v/>
      </c>
      <c r="D804" s="2"/>
      <c r="E804" s="4" t="str">
        <f>IFERROR(INDEX('Araç Tanımlama'!$D$5:$D$200,MATCH(D804,'Araç Tanımlama'!$A$5:$A$200,0)),"")</f>
        <v/>
      </c>
      <c r="F804" s="4" t="str">
        <f>IFERROR(INDEX('Araç Tanımlama'!$E$5:$E$200,MATCH(D804,'Araç Tanımlama'!$A$5:$A$200,0)),"")</f>
        <v/>
      </c>
      <c r="G804" s="2"/>
      <c r="H804" s="7"/>
      <c r="I804" s="9" t="str">
        <f>IF(OR(G804="",H804=""),"",G804*H804)</f>
        <v/>
      </c>
      <c r="J804" s="2"/>
      <c r="K804" s="2"/>
    </row>
    <row r="805" spans="1:11">
      <c r="A805" s="4" t="str">
        <f>IF(D805="","",COUNTIF($D$5:D805,"?*"))</f>
        <v/>
      </c>
      <c r="B805" s="5"/>
      <c r="C805" s="4" t="str">
        <f>IF(B805="","",INDEX({"Ocak","Şubat","Mart","Nisan","Mayıs","Haziran","Temmuz","Ağustos","Eylül","Ekim","Kasım","Aralık"},MONTH(B805)))</f>
        <v/>
      </c>
      <c r="D805" s="2"/>
      <c r="E805" s="4" t="str">
        <f>IFERROR(INDEX('Araç Tanımlama'!$D$5:$D$200,MATCH(D805,'Araç Tanımlama'!$A$5:$A$200,0)),"")</f>
        <v/>
      </c>
      <c r="F805" s="4" t="str">
        <f>IFERROR(INDEX('Araç Tanımlama'!$E$5:$E$200,MATCH(D805,'Araç Tanımlama'!$A$5:$A$200,0)),"")</f>
        <v/>
      </c>
      <c r="G805" s="2"/>
      <c r="H805" s="7"/>
      <c r="I805" s="9" t="str">
        <f>IF(OR(G805="",H805=""),"",G805*H805)</f>
        <v/>
      </c>
      <c r="J805" s="2"/>
      <c r="K805" s="2"/>
    </row>
    <row r="806" spans="1:11">
      <c r="A806" s="4" t="str">
        <f>IF(D806="","",COUNTIF($D$5:D806,"?*"))</f>
        <v/>
      </c>
      <c r="B806" s="5"/>
      <c r="C806" s="4" t="str">
        <f>IF(B806="","",INDEX({"Ocak","Şubat","Mart","Nisan","Mayıs","Haziran","Temmuz","Ağustos","Eylül","Ekim","Kasım","Aralık"},MONTH(B806)))</f>
        <v/>
      </c>
      <c r="D806" s="2"/>
      <c r="E806" s="4" t="str">
        <f>IFERROR(INDEX('Araç Tanımlama'!$D$5:$D$200,MATCH(D806,'Araç Tanımlama'!$A$5:$A$200,0)),"")</f>
        <v/>
      </c>
      <c r="F806" s="4" t="str">
        <f>IFERROR(INDEX('Araç Tanımlama'!$E$5:$E$200,MATCH(D806,'Araç Tanımlama'!$A$5:$A$200,0)),"")</f>
        <v/>
      </c>
      <c r="G806" s="2"/>
      <c r="H806" s="7"/>
      <c r="I806" s="9" t="str">
        <f>IF(OR(G806="",H806=""),"",G806*H806)</f>
        <v/>
      </c>
      <c r="J806" s="2"/>
      <c r="K806" s="2"/>
    </row>
    <row r="807" spans="1:11">
      <c r="A807" s="4" t="str">
        <f>IF(D807="","",COUNTIF($D$5:D807,"?*"))</f>
        <v/>
      </c>
      <c r="B807" s="5"/>
      <c r="C807" s="4" t="str">
        <f>IF(B807="","",INDEX({"Ocak","Şubat","Mart","Nisan","Mayıs","Haziran","Temmuz","Ağustos","Eylül","Ekim","Kasım","Aralık"},MONTH(B807)))</f>
        <v/>
      </c>
      <c r="D807" s="2"/>
      <c r="E807" s="4" t="str">
        <f>IFERROR(INDEX('Araç Tanımlama'!$D$5:$D$200,MATCH(D807,'Araç Tanımlama'!$A$5:$A$200,0)),"")</f>
        <v/>
      </c>
      <c r="F807" s="4" t="str">
        <f>IFERROR(INDEX('Araç Tanımlama'!$E$5:$E$200,MATCH(D807,'Araç Tanımlama'!$A$5:$A$200,0)),"")</f>
        <v/>
      </c>
      <c r="G807" s="2"/>
      <c r="H807" s="7"/>
      <c r="I807" s="9" t="str">
        <f>IF(OR(G807="",H807=""),"",G807*H807)</f>
        <v/>
      </c>
      <c r="J807" s="2"/>
      <c r="K807" s="2"/>
    </row>
    <row r="808" spans="1:11">
      <c r="A808" s="4" t="str">
        <f>IF(D808="","",COUNTIF($D$5:D808,"?*"))</f>
        <v/>
      </c>
      <c r="B808" s="5"/>
      <c r="C808" s="4" t="str">
        <f>IF(B808="","",INDEX({"Ocak","Şubat","Mart","Nisan","Mayıs","Haziran","Temmuz","Ağustos","Eylül","Ekim","Kasım","Aralık"},MONTH(B808)))</f>
        <v/>
      </c>
      <c r="D808" s="2"/>
      <c r="E808" s="4" t="str">
        <f>IFERROR(INDEX('Araç Tanımlama'!$D$5:$D$200,MATCH(D808,'Araç Tanımlama'!$A$5:$A$200,0)),"")</f>
        <v/>
      </c>
      <c r="F808" s="4" t="str">
        <f>IFERROR(INDEX('Araç Tanımlama'!$E$5:$E$200,MATCH(D808,'Araç Tanımlama'!$A$5:$A$200,0)),"")</f>
        <v/>
      </c>
      <c r="G808" s="2"/>
      <c r="H808" s="7"/>
      <c r="I808" s="9" t="str">
        <f>IF(OR(G808="",H808=""),"",G808*H808)</f>
        <v/>
      </c>
      <c r="J808" s="2"/>
      <c r="K808" s="2"/>
    </row>
    <row r="809" spans="1:11">
      <c r="A809" s="4" t="str">
        <f>IF(D809="","",COUNTIF($D$5:D809,"?*"))</f>
        <v/>
      </c>
      <c r="B809" s="5"/>
      <c r="C809" s="4" t="str">
        <f>IF(B809="","",INDEX({"Ocak","Şubat","Mart","Nisan","Mayıs","Haziran","Temmuz","Ağustos","Eylül","Ekim","Kasım","Aralık"},MONTH(B809)))</f>
        <v/>
      </c>
      <c r="D809" s="2"/>
      <c r="E809" s="4" t="str">
        <f>IFERROR(INDEX('Araç Tanımlama'!$D$5:$D$200,MATCH(D809,'Araç Tanımlama'!$A$5:$A$200,0)),"")</f>
        <v/>
      </c>
      <c r="F809" s="4" t="str">
        <f>IFERROR(INDEX('Araç Tanımlama'!$E$5:$E$200,MATCH(D809,'Araç Tanımlama'!$A$5:$A$200,0)),"")</f>
        <v/>
      </c>
      <c r="G809" s="2"/>
      <c r="H809" s="7"/>
      <c r="I809" s="9" t="str">
        <f>IF(OR(G809="",H809=""),"",G809*H809)</f>
        <v/>
      </c>
      <c r="J809" s="2"/>
      <c r="K809" s="2"/>
    </row>
    <row r="810" spans="1:11">
      <c r="A810" s="4" t="str">
        <f>IF(D810="","",COUNTIF($D$5:D810,"?*"))</f>
        <v/>
      </c>
      <c r="B810" s="5"/>
      <c r="C810" s="4" t="str">
        <f>IF(B810="","",INDEX({"Ocak","Şubat","Mart","Nisan","Mayıs","Haziran","Temmuz","Ağustos","Eylül","Ekim","Kasım","Aralık"},MONTH(B810)))</f>
        <v/>
      </c>
      <c r="D810" s="2"/>
      <c r="E810" s="4" t="str">
        <f>IFERROR(INDEX('Araç Tanımlama'!$D$5:$D$200,MATCH(D810,'Araç Tanımlama'!$A$5:$A$200,0)),"")</f>
        <v/>
      </c>
      <c r="F810" s="4" t="str">
        <f>IFERROR(INDEX('Araç Tanımlama'!$E$5:$E$200,MATCH(D810,'Araç Tanımlama'!$A$5:$A$200,0)),"")</f>
        <v/>
      </c>
      <c r="G810" s="2"/>
      <c r="H810" s="7"/>
      <c r="I810" s="9" t="str">
        <f>IF(OR(G810="",H810=""),"",G810*H810)</f>
        <v/>
      </c>
      <c r="J810" s="2"/>
      <c r="K810" s="2"/>
    </row>
    <row r="811" spans="1:11">
      <c r="A811" s="4" t="str">
        <f>IF(D811="","",COUNTIF($D$5:D811,"?*"))</f>
        <v/>
      </c>
      <c r="B811" s="5"/>
      <c r="C811" s="4" t="str">
        <f>IF(B811="","",INDEX({"Ocak","Şubat","Mart","Nisan","Mayıs","Haziran","Temmuz","Ağustos","Eylül","Ekim","Kasım","Aralık"},MONTH(B811)))</f>
        <v/>
      </c>
      <c r="D811" s="2"/>
      <c r="E811" s="4" t="str">
        <f>IFERROR(INDEX('Araç Tanımlama'!$D$5:$D$200,MATCH(D811,'Araç Tanımlama'!$A$5:$A$200,0)),"")</f>
        <v/>
      </c>
      <c r="F811" s="4" t="str">
        <f>IFERROR(INDEX('Araç Tanımlama'!$E$5:$E$200,MATCH(D811,'Araç Tanımlama'!$A$5:$A$200,0)),"")</f>
        <v/>
      </c>
      <c r="G811" s="2"/>
      <c r="H811" s="7"/>
      <c r="I811" s="9" t="str">
        <f>IF(OR(G811="",H811=""),"",G811*H811)</f>
        <v/>
      </c>
      <c r="J811" s="2"/>
      <c r="K811" s="2"/>
    </row>
    <row r="812" spans="1:11">
      <c r="A812" s="4" t="str">
        <f>IF(D812="","",COUNTIF($D$5:D812,"?*"))</f>
        <v/>
      </c>
      <c r="B812" s="5"/>
      <c r="C812" s="4" t="str">
        <f>IF(B812="","",INDEX({"Ocak","Şubat","Mart","Nisan","Mayıs","Haziran","Temmuz","Ağustos","Eylül","Ekim","Kasım","Aralık"},MONTH(B812)))</f>
        <v/>
      </c>
      <c r="D812" s="2"/>
      <c r="E812" s="4" t="str">
        <f>IFERROR(INDEX('Araç Tanımlama'!$D$5:$D$200,MATCH(D812,'Araç Tanımlama'!$A$5:$A$200,0)),"")</f>
        <v/>
      </c>
      <c r="F812" s="4" t="str">
        <f>IFERROR(INDEX('Araç Tanımlama'!$E$5:$E$200,MATCH(D812,'Araç Tanımlama'!$A$5:$A$200,0)),"")</f>
        <v/>
      </c>
      <c r="G812" s="2"/>
      <c r="H812" s="7"/>
      <c r="I812" s="9" t="str">
        <f>IF(OR(G812="",H812=""),"",G812*H812)</f>
        <v/>
      </c>
      <c r="J812" s="2"/>
      <c r="K812" s="2"/>
    </row>
    <row r="813" spans="1:11">
      <c r="A813" s="4" t="str">
        <f>IF(D813="","",COUNTIF($D$5:D813,"?*"))</f>
        <v/>
      </c>
      <c r="B813" s="5"/>
      <c r="C813" s="4" t="str">
        <f>IF(B813="","",INDEX({"Ocak","Şubat","Mart","Nisan","Mayıs","Haziran","Temmuz","Ağustos","Eylül","Ekim","Kasım","Aralık"},MONTH(B813)))</f>
        <v/>
      </c>
      <c r="D813" s="2"/>
      <c r="E813" s="4" t="str">
        <f>IFERROR(INDEX('Araç Tanımlama'!$D$5:$D$200,MATCH(D813,'Araç Tanımlama'!$A$5:$A$200,0)),"")</f>
        <v/>
      </c>
      <c r="F813" s="4" t="str">
        <f>IFERROR(INDEX('Araç Tanımlama'!$E$5:$E$200,MATCH(D813,'Araç Tanımlama'!$A$5:$A$200,0)),"")</f>
        <v/>
      </c>
      <c r="G813" s="2"/>
      <c r="H813" s="7"/>
      <c r="I813" s="9" t="str">
        <f>IF(OR(G813="",H813=""),"",G813*H813)</f>
        <v/>
      </c>
      <c r="J813" s="2"/>
      <c r="K813" s="2"/>
    </row>
    <row r="814" spans="1:11">
      <c r="A814" s="4" t="str">
        <f>IF(D814="","",COUNTIF($D$5:D814,"?*"))</f>
        <v/>
      </c>
      <c r="B814" s="5"/>
      <c r="C814" s="4" t="str">
        <f>IF(B814="","",INDEX({"Ocak","Şubat","Mart","Nisan","Mayıs","Haziran","Temmuz","Ağustos","Eylül","Ekim","Kasım","Aralık"},MONTH(B814)))</f>
        <v/>
      </c>
      <c r="D814" s="2"/>
      <c r="E814" s="4" t="str">
        <f>IFERROR(INDEX('Araç Tanımlama'!$D$5:$D$200,MATCH(D814,'Araç Tanımlama'!$A$5:$A$200,0)),"")</f>
        <v/>
      </c>
      <c r="F814" s="4" t="str">
        <f>IFERROR(INDEX('Araç Tanımlama'!$E$5:$E$200,MATCH(D814,'Araç Tanımlama'!$A$5:$A$200,0)),"")</f>
        <v/>
      </c>
      <c r="G814" s="2"/>
      <c r="H814" s="7"/>
      <c r="I814" s="9" t="str">
        <f>IF(OR(G814="",H814=""),"",G814*H814)</f>
        <v/>
      </c>
      <c r="J814" s="2"/>
      <c r="K814" s="2"/>
    </row>
    <row r="815" spans="1:11">
      <c r="A815" s="4" t="str">
        <f>IF(D815="","",COUNTIF($D$5:D815,"?*"))</f>
        <v/>
      </c>
      <c r="B815" s="5"/>
      <c r="C815" s="4" t="str">
        <f>IF(B815="","",INDEX({"Ocak","Şubat","Mart","Nisan","Mayıs","Haziran","Temmuz","Ağustos","Eylül","Ekim","Kasım","Aralık"},MONTH(B815)))</f>
        <v/>
      </c>
      <c r="D815" s="2"/>
      <c r="E815" s="4" t="str">
        <f>IFERROR(INDEX('Araç Tanımlama'!$D$5:$D$200,MATCH(D815,'Araç Tanımlama'!$A$5:$A$200,0)),"")</f>
        <v/>
      </c>
      <c r="F815" s="4" t="str">
        <f>IFERROR(INDEX('Araç Tanımlama'!$E$5:$E$200,MATCH(D815,'Araç Tanımlama'!$A$5:$A$200,0)),"")</f>
        <v/>
      </c>
      <c r="G815" s="2"/>
      <c r="H815" s="7"/>
      <c r="I815" s="9" t="str">
        <f>IF(OR(G815="",H815=""),"",G815*H815)</f>
        <v/>
      </c>
      <c r="J815" s="2"/>
      <c r="K815" s="2"/>
    </row>
    <row r="816" spans="1:11">
      <c r="A816" s="4" t="str">
        <f>IF(D816="","",COUNTIF($D$5:D816,"?*"))</f>
        <v/>
      </c>
      <c r="B816" s="5"/>
      <c r="C816" s="4" t="str">
        <f>IF(B816="","",INDEX({"Ocak","Şubat","Mart","Nisan","Mayıs","Haziran","Temmuz","Ağustos","Eylül","Ekim","Kasım","Aralık"},MONTH(B816)))</f>
        <v/>
      </c>
      <c r="D816" s="2"/>
      <c r="E816" s="4" t="str">
        <f>IFERROR(INDEX('Araç Tanımlama'!$D$5:$D$200,MATCH(D816,'Araç Tanımlama'!$A$5:$A$200,0)),"")</f>
        <v/>
      </c>
      <c r="F816" s="4" t="str">
        <f>IFERROR(INDEX('Araç Tanımlama'!$E$5:$E$200,MATCH(D816,'Araç Tanımlama'!$A$5:$A$200,0)),"")</f>
        <v/>
      </c>
      <c r="G816" s="2"/>
      <c r="H816" s="7"/>
      <c r="I816" s="9" t="str">
        <f>IF(OR(G816="",H816=""),"",G816*H816)</f>
        <v/>
      </c>
      <c r="J816" s="2"/>
      <c r="K816" s="2"/>
    </row>
    <row r="817" spans="1:11">
      <c r="A817" s="4" t="str">
        <f>IF(D817="","",COUNTIF($D$5:D817,"?*"))</f>
        <v/>
      </c>
      <c r="B817" s="5"/>
      <c r="C817" s="4" t="str">
        <f>IF(B817="","",INDEX({"Ocak","Şubat","Mart","Nisan","Mayıs","Haziran","Temmuz","Ağustos","Eylül","Ekim","Kasım","Aralık"},MONTH(B817)))</f>
        <v/>
      </c>
      <c r="D817" s="2"/>
      <c r="E817" s="4" t="str">
        <f>IFERROR(INDEX('Araç Tanımlama'!$D$5:$D$200,MATCH(D817,'Araç Tanımlama'!$A$5:$A$200,0)),"")</f>
        <v/>
      </c>
      <c r="F817" s="4" t="str">
        <f>IFERROR(INDEX('Araç Tanımlama'!$E$5:$E$200,MATCH(D817,'Araç Tanımlama'!$A$5:$A$200,0)),"")</f>
        <v/>
      </c>
      <c r="G817" s="2"/>
      <c r="H817" s="7"/>
      <c r="I817" s="9" t="str">
        <f>IF(OR(G817="",H817=""),"",G817*H817)</f>
        <v/>
      </c>
      <c r="J817" s="2"/>
      <c r="K817" s="2"/>
    </row>
    <row r="818" spans="1:11">
      <c r="A818" s="4" t="str">
        <f>IF(D818="","",COUNTIF($D$5:D818,"?*"))</f>
        <v/>
      </c>
      <c r="B818" s="5"/>
      <c r="C818" s="4" t="str">
        <f>IF(B818="","",INDEX({"Ocak","Şubat","Mart","Nisan","Mayıs","Haziran","Temmuz","Ağustos","Eylül","Ekim","Kasım","Aralık"},MONTH(B818)))</f>
        <v/>
      </c>
      <c r="D818" s="2"/>
      <c r="E818" s="4" t="str">
        <f>IFERROR(INDEX('Araç Tanımlama'!$D$5:$D$200,MATCH(D818,'Araç Tanımlama'!$A$5:$A$200,0)),"")</f>
        <v/>
      </c>
      <c r="F818" s="4" t="str">
        <f>IFERROR(INDEX('Araç Tanımlama'!$E$5:$E$200,MATCH(D818,'Araç Tanımlama'!$A$5:$A$200,0)),"")</f>
        <v/>
      </c>
      <c r="G818" s="2"/>
      <c r="H818" s="7"/>
      <c r="I818" s="9" t="str">
        <f>IF(OR(G818="",H818=""),"",G818*H818)</f>
        <v/>
      </c>
      <c r="J818" s="2"/>
      <c r="K818" s="2"/>
    </row>
    <row r="819" spans="1:11">
      <c r="A819" s="4" t="str">
        <f>IF(D819="","",COUNTIF($D$5:D819,"?*"))</f>
        <v/>
      </c>
      <c r="B819" s="5"/>
      <c r="C819" s="4" t="str">
        <f>IF(B819="","",INDEX({"Ocak","Şubat","Mart","Nisan","Mayıs","Haziran","Temmuz","Ağustos","Eylül","Ekim","Kasım","Aralık"},MONTH(B819)))</f>
        <v/>
      </c>
      <c r="D819" s="2"/>
      <c r="E819" s="4" t="str">
        <f>IFERROR(INDEX('Araç Tanımlama'!$D$5:$D$200,MATCH(D819,'Araç Tanımlama'!$A$5:$A$200,0)),"")</f>
        <v/>
      </c>
      <c r="F819" s="4" t="str">
        <f>IFERROR(INDEX('Araç Tanımlama'!$E$5:$E$200,MATCH(D819,'Araç Tanımlama'!$A$5:$A$200,0)),"")</f>
        <v/>
      </c>
      <c r="G819" s="2"/>
      <c r="H819" s="7"/>
      <c r="I819" s="9" t="str">
        <f>IF(OR(G819="",H819=""),"",G819*H819)</f>
        <v/>
      </c>
      <c r="J819" s="2"/>
      <c r="K819" s="2"/>
    </row>
    <row r="820" spans="1:11">
      <c r="A820" s="4" t="str">
        <f>IF(D820="","",COUNTIF($D$5:D820,"?*"))</f>
        <v/>
      </c>
      <c r="B820" s="5"/>
      <c r="C820" s="4" t="str">
        <f>IF(B820="","",INDEX({"Ocak","Şubat","Mart","Nisan","Mayıs","Haziran","Temmuz","Ağustos","Eylül","Ekim","Kasım","Aralık"},MONTH(B820)))</f>
        <v/>
      </c>
      <c r="D820" s="2"/>
      <c r="E820" s="4" t="str">
        <f>IFERROR(INDEX('Araç Tanımlama'!$D$5:$D$200,MATCH(D820,'Araç Tanımlama'!$A$5:$A$200,0)),"")</f>
        <v/>
      </c>
      <c r="F820" s="4" t="str">
        <f>IFERROR(INDEX('Araç Tanımlama'!$E$5:$E$200,MATCH(D820,'Araç Tanımlama'!$A$5:$A$200,0)),"")</f>
        <v/>
      </c>
      <c r="G820" s="2"/>
      <c r="H820" s="7"/>
      <c r="I820" s="9" t="str">
        <f>IF(OR(G820="",H820=""),"",G820*H820)</f>
        <v/>
      </c>
      <c r="J820" s="2"/>
      <c r="K820" s="2"/>
    </row>
    <row r="821" spans="1:11">
      <c r="A821" s="4" t="str">
        <f>IF(D821="","",COUNTIF($D$5:D821,"?*"))</f>
        <v/>
      </c>
      <c r="B821" s="5"/>
      <c r="C821" s="4" t="str">
        <f>IF(B821="","",INDEX({"Ocak","Şubat","Mart","Nisan","Mayıs","Haziran","Temmuz","Ağustos","Eylül","Ekim","Kasım","Aralık"},MONTH(B821)))</f>
        <v/>
      </c>
      <c r="D821" s="2"/>
      <c r="E821" s="4" t="str">
        <f>IFERROR(INDEX('Araç Tanımlama'!$D$5:$D$200,MATCH(D821,'Araç Tanımlama'!$A$5:$A$200,0)),"")</f>
        <v/>
      </c>
      <c r="F821" s="4" t="str">
        <f>IFERROR(INDEX('Araç Tanımlama'!$E$5:$E$200,MATCH(D821,'Araç Tanımlama'!$A$5:$A$200,0)),"")</f>
        <v/>
      </c>
      <c r="G821" s="2"/>
      <c r="H821" s="7"/>
      <c r="I821" s="9" t="str">
        <f>IF(OR(G821="",H821=""),"",G821*H821)</f>
        <v/>
      </c>
      <c r="J821" s="2"/>
      <c r="K821" s="2"/>
    </row>
    <row r="822" spans="1:11">
      <c r="A822" s="4" t="str">
        <f>IF(D822="","",COUNTIF($D$5:D822,"?*"))</f>
        <v/>
      </c>
      <c r="B822" s="5"/>
      <c r="C822" s="4" t="str">
        <f>IF(B822="","",INDEX({"Ocak","Şubat","Mart","Nisan","Mayıs","Haziran","Temmuz","Ağustos","Eylül","Ekim","Kasım","Aralık"},MONTH(B822)))</f>
        <v/>
      </c>
      <c r="D822" s="2"/>
      <c r="E822" s="4" t="str">
        <f>IFERROR(INDEX('Araç Tanımlama'!$D$5:$D$200,MATCH(D822,'Araç Tanımlama'!$A$5:$A$200,0)),"")</f>
        <v/>
      </c>
      <c r="F822" s="4" t="str">
        <f>IFERROR(INDEX('Araç Tanımlama'!$E$5:$E$200,MATCH(D822,'Araç Tanımlama'!$A$5:$A$200,0)),"")</f>
        <v/>
      </c>
      <c r="G822" s="2"/>
      <c r="H822" s="7"/>
      <c r="I822" s="9" t="str">
        <f>IF(OR(G822="",H822=""),"",G822*H822)</f>
        <v/>
      </c>
      <c r="J822" s="2"/>
      <c r="K822" s="2"/>
    </row>
    <row r="823" spans="1:11">
      <c r="A823" s="4" t="str">
        <f>IF(D823="","",COUNTIF($D$5:D823,"?*"))</f>
        <v/>
      </c>
      <c r="B823" s="5"/>
      <c r="C823" s="4" t="str">
        <f>IF(B823="","",INDEX({"Ocak","Şubat","Mart","Nisan","Mayıs","Haziran","Temmuz","Ağustos","Eylül","Ekim","Kasım","Aralık"},MONTH(B823)))</f>
        <v/>
      </c>
      <c r="D823" s="2"/>
      <c r="E823" s="4" t="str">
        <f>IFERROR(INDEX('Araç Tanımlama'!$D$5:$D$200,MATCH(D823,'Araç Tanımlama'!$A$5:$A$200,0)),"")</f>
        <v/>
      </c>
      <c r="F823" s="4" t="str">
        <f>IFERROR(INDEX('Araç Tanımlama'!$E$5:$E$200,MATCH(D823,'Araç Tanımlama'!$A$5:$A$200,0)),"")</f>
        <v/>
      </c>
      <c r="G823" s="2"/>
      <c r="H823" s="7"/>
      <c r="I823" s="9" t="str">
        <f>IF(OR(G823="",H823=""),"",G823*H823)</f>
        <v/>
      </c>
      <c r="J823" s="2"/>
      <c r="K823" s="2"/>
    </row>
    <row r="824" spans="1:11">
      <c r="A824" s="4" t="str">
        <f>IF(D824="","",COUNTIF($D$5:D824,"?*"))</f>
        <v/>
      </c>
      <c r="B824" s="5"/>
      <c r="C824" s="4" t="str">
        <f>IF(B824="","",INDEX({"Ocak","Şubat","Mart","Nisan","Mayıs","Haziran","Temmuz","Ağustos","Eylül","Ekim","Kasım","Aralık"},MONTH(B824)))</f>
        <v/>
      </c>
      <c r="D824" s="2"/>
      <c r="E824" s="4" t="str">
        <f>IFERROR(INDEX('Araç Tanımlama'!$D$5:$D$200,MATCH(D824,'Araç Tanımlama'!$A$5:$A$200,0)),"")</f>
        <v/>
      </c>
      <c r="F824" s="4" t="str">
        <f>IFERROR(INDEX('Araç Tanımlama'!$E$5:$E$200,MATCH(D824,'Araç Tanımlama'!$A$5:$A$200,0)),"")</f>
        <v/>
      </c>
      <c r="G824" s="2"/>
      <c r="H824" s="7"/>
      <c r="I824" s="9" t="str">
        <f>IF(OR(G824="",H824=""),"",G824*H824)</f>
        <v/>
      </c>
      <c r="J824" s="2"/>
      <c r="K824" s="2"/>
    </row>
    <row r="825" spans="1:11">
      <c r="A825" s="4" t="str">
        <f>IF(D825="","",COUNTIF($D$5:D825,"?*"))</f>
        <v/>
      </c>
      <c r="B825" s="5"/>
      <c r="C825" s="4" t="str">
        <f>IF(B825="","",INDEX({"Ocak","Şubat","Mart","Nisan","Mayıs","Haziran","Temmuz","Ağustos","Eylül","Ekim","Kasım","Aralık"},MONTH(B825)))</f>
        <v/>
      </c>
      <c r="D825" s="2"/>
      <c r="E825" s="4" t="str">
        <f>IFERROR(INDEX('Araç Tanımlama'!$D$5:$D$200,MATCH(D825,'Araç Tanımlama'!$A$5:$A$200,0)),"")</f>
        <v/>
      </c>
      <c r="F825" s="4" t="str">
        <f>IFERROR(INDEX('Araç Tanımlama'!$E$5:$E$200,MATCH(D825,'Araç Tanımlama'!$A$5:$A$200,0)),"")</f>
        <v/>
      </c>
      <c r="G825" s="2"/>
      <c r="H825" s="7"/>
      <c r="I825" s="9" t="str">
        <f>IF(OR(G825="",H825=""),"",G825*H825)</f>
        <v/>
      </c>
      <c r="J825" s="2"/>
      <c r="K825" s="2"/>
    </row>
    <row r="826" spans="1:11">
      <c r="A826" s="4" t="str">
        <f>IF(D826="","",COUNTIF($D$5:D826,"?*"))</f>
        <v/>
      </c>
      <c r="B826" s="5"/>
      <c r="C826" s="4" t="str">
        <f>IF(B826="","",INDEX({"Ocak","Şubat","Mart","Nisan","Mayıs","Haziran","Temmuz","Ağustos","Eylül","Ekim","Kasım","Aralık"},MONTH(B826)))</f>
        <v/>
      </c>
      <c r="D826" s="2"/>
      <c r="E826" s="4" t="str">
        <f>IFERROR(INDEX('Araç Tanımlama'!$D$5:$D$200,MATCH(D826,'Araç Tanımlama'!$A$5:$A$200,0)),"")</f>
        <v/>
      </c>
      <c r="F826" s="4" t="str">
        <f>IFERROR(INDEX('Araç Tanımlama'!$E$5:$E$200,MATCH(D826,'Araç Tanımlama'!$A$5:$A$200,0)),"")</f>
        <v/>
      </c>
      <c r="G826" s="2"/>
      <c r="H826" s="7"/>
      <c r="I826" s="9" t="str">
        <f>IF(OR(G826="",H826=""),"",G826*H826)</f>
        <v/>
      </c>
      <c r="J826" s="2"/>
      <c r="K826" s="2"/>
    </row>
    <row r="827" spans="1:11">
      <c r="A827" s="4" t="str">
        <f>IF(D827="","",COUNTIF($D$5:D827,"?*"))</f>
        <v/>
      </c>
      <c r="B827" s="5"/>
      <c r="C827" s="4" t="str">
        <f>IF(B827="","",INDEX({"Ocak","Şubat","Mart","Nisan","Mayıs","Haziran","Temmuz","Ağustos","Eylül","Ekim","Kasım","Aralık"},MONTH(B827)))</f>
        <v/>
      </c>
      <c r="D827" s="2"/>
      <c r="E827" s="4" t="str">
        <f>IFERROR(INDEX('Araç Tanımlama'!$D$5:$D$200,MATCH(D827,'Araç Tanımlama'!$A$5:$A$200,0)),"")</f>
        <v/>
      </c>
      <c r="F827" s="4" t="str">
        <f>IFERROR(INDEX('Araç Tanımlama'!$E$5:$E$200,MATCH(D827,'Araç Tanımlama'!$A$5:$A$200,0)),"")</f>
        <v/>
      </c>
      <c r="G827" s="2"/>
      <c r="H827" s="7"/>
      <c r="I827" s="9" t="str">
        <f>IF(OR(G827="",H827=""),"",G827*H827)</f>
        <v/>
      </c>
      <c r="J827" s="2"/>
      <c r="K827" s="2"/>
    </row>
    <row r="828" spans="1:11">
      <c r="A828" s="4" t="str">
        <f>IF(D828="","",COUNTIF($D$5:D828,"?*"))</f>
        <v/>
      </c>
      <c r="B828" s="5"/>
      <c r="C828" s="4" t="str">
        <f>IF(B828="","",INDEX({"Ocak","Şubat","Mart","Nisan","Mayıs","Haziran","Temmuz","Ağustos","Eylül","Ekim","Kasım","Aralık"},MONTH(B828)))</f>
        <v/>
      </c>
      <c r="D828" s="2"/>
      <c r="E828" s="4" t="str">
        <f>IFERROR(INDEX('Araç Tanımlama'!$D$5:$D$200,MATCH(D828,'Araç Tanımlama'!$A$5:$A$200,0)),"")</f>
        <v/>
      </c>
      <c r="F828" s="4" t="str">
        <f>IFERROR(INDEX('Araç Tanımlama'!$E$5:$E$200,MATCH(D828,'Araç Tanımlama'!$A$5:$A$200,0)),"")</f>
        <v/>
      </c>
      <c r="G828" s="2"/>
      <c r="H828" s="7"/>
      <c r="I828" s="9" t="str">
        <f>IF(OR(G828="",H828=""),"",G828*H828)</f>
        <v/>
      </c>
      <c r="J828" s="2"/>
      <c r="K828" s="2"/>
    </row>
    <row r="829" spans="1:11">
      <c r="A829" s="4" t="str">
        <f>IF(D829="","",COUNTIF($D$5:D829,"?*"))</f>
        <v/>
      </c>
      <c r="B829" s="5"/>
      <c r="C829" s="4" t="str">
        <f>IF(B829="","",INDEX({"Ocak","Şubat","Mart","Nisan","Mayıs","Haziran","Temmuz","Ağustos","Eylül","Ekim","Kasım","Aralık"},MONTH(B829)))</f>
        <v/>
      </c>
      <c r="D829" s="2"/>
      <c r="E829" s="4" t="str">
        <f>IFERROR(INDEX('Araç Tanımlama'!$D$5:$D$200,MATCH(D829,'Araç Tanımlama'!$A$5:$A$200,0)),"")</f>
        <v/>
      </c>
      <c r="F829" s="4" t="str">
        <f>IFERROR(INDEX('Araç Tanımlama'!$E$5:$E$200,MATCH(D829,'Araç Tanımlama'!$A$5:$A$200,0)),"")</f>
        <v/>
      </c>
      <c r="G829" s="2"/>
      <c r="H829" s="7"/>
      <c r="I829" s="9" t="str">
        <f>IF(OR(G829="",H829=""),"",G829*H829)</f>
        <v/>
      </c>
      <c r="J829" s="2"/>
      <c r="K829" s="2"/>
    </row>
    <row r="830" spans="1:11">
      <c r="A830" s="4" t="str">
        <f>IF(D830="","",COUNTIF($D$5:D830,"?*"))</f>
        <v/>
      </c>
      <c r="B830" s="5"/>
      <c r="C830" s="4" t="str">
        <f>IF(B830="","",INDEX({"Ocak","Şubat","Mart","Nisan","Mayıs","Haziran","Temmuz","Ağustos","Eylül","Ekim","Kasım","Aralık"},MONTH(B830)))</f>
        <v/>
      </c>
      <c r="D830" s="2"/>
      <c r="E830" s="4" t="str">
        <f>IFERROR(INDEX('Araç Tanımlama'!$D$5:$D$200,MATCH(D830,'Araç Tanımlama'!$A$5:$A$200,0)),"")</f>
        <v/>
      </c>
      <c r="F830" s="4" t="str">
        <f>IFERROR(INDEX('Araç Tanımlama'!$E$5:$E$200,MATCH(D830,'Araç Tanımlama'!$A$5:$A$200,0)),"")</f>
        <v/>
      </c>
      <c r="G830" s="2"/>
      <c r="H830" s="7"/>
      <c r="I830" s="9" t="str">
        <f>IF(OR(G830="",H830=""),"",G830*H830)</f>
        <v/>
      </c>
      <c r="J830" s="2"/>
      <c r="K830" s="2"/>
    </row>
    <row r="831" spans="1:11">
      <c r="A831" s="4" t="str">
        <f>IF(D831="","",COUNTIF($D$5:D831,"?*"))</f>
        <v/>
      </c>
      <c r="B831" s="5"/>
      <c r="C831" s="4" t="str">
        <f>IF(B831="","",INDEX({"Ocak","Şubat","Mart","Nisan","Mayıs","Haziran","Temmuz","Ağustos","Eylül","Ekim","Kasım","Aralık"},MONTH(B831)))</f>
        <v/>
      </c>
      <c r="D831" s="2"/>
      <c r="E831" s="4" t="str">
        <f>IFERROR(INDEX('Araç Tanımlama'!$D$5:$D$200,MATCH(D831,'Araç Tanımlama'!$A$5:$A$200,0)),"")</f>
        <v/>
      </c>
      <c r="F831" s="4" t="str">
        <f>IFERROR(INDEX('Araç Tanımlama'!$E$5:$E$200,MATCH(D831,'Araç Tanımlama'!$A$5:$A$200,0)),"")</f>
        <v/>
      </c>
      <c r="G831" s="2"/>
      <c r="H831" s="7"/>
      <c r="I831" s="9" t="str">
        <f>IF(OR(G831="",H831=""),"",G831*H831)</f>
        <v/>
      </c>
      <c r="J831" s="2"/>
      <c r="K831" s="2"/>
    </row>
    <row r="832" spans="1:11">
      <c r="A832" s="4" t="str">
        <f>IF(D832="","",COUNTIF($D$5:D832,"?*"))</f>
        <v/>
      </c>
      <c r="B832" s="5"/>
      <c r="C832" s="4" t="str">
        <f>IF(B832="","",INDEX({"Ocak","Şubat","Mart","Nisan","Mayıs","Haziran","Temmuz","Ağustos","Eylül","Ekim","Kasım","Aralık"},MONTH(B832)))</f>
        <v/>
      </c>
      <c r="D832" s="2"/>
      <c r="E832" s="4" t="str">
        <f>IFERROR(INDEX('Araç Tanımlama'!$D$5:$D$200,MATCH(D832,'Araç Tanımlama'!$A$5:$A$200,0)),"")</f>
        <v/>
      </c>
      <c r="F832" s="4" t="str">
        <f>IFERROR(INDEX('Araç Tanımlama'!$E$5:$E$200,MATCH(D832,'Araç Tanımlama'!$A$5:$A$200,0)),"")</f>
        <v/>
      </c>
      <c r="G832" s="2"/>
      <c r="H832" s="7"/>
      <c r="I832" s="9" t="str">
        <f>IF(OR(G832="",H832=""),"",G832*H832)</f>
        <v/>
      </c>
      <c r="J832" s="2"/>
      <c r="K832" s="2"/>
    </row>
    <row r="833" spans="1:11">
      <c r="A833" s="4" t="str">
        <f>IF(D833="","",COUNTIF($D$5:D833,"?*"))</f>
        <v/>
      </c>
      <c r="B833" s="5"/>
      <c r="C833" s="4" t="str">
        <f>IF(B833="","",INDEX({"Ocak","Şubat","Mart","Nisan","Mayıs","Haziran","Temmuz","Ağustos","Eylül","Ekim","Kasım","Aralık"},MONTH(B833)))</f>
        <v/>
      </c>
      <c r="D833" s="2"/>
      <c r="E833" s="4" t="str">
        <f>IFERROR(INDEX('Araç Tanımlama'!$D$5:$D$200,MATCH(D833,'Araç Tanımlama'!$A$5:$A$200,0)),"")</f>
        <v/>
      </c>
      <c r="F833" s="4" t="str">
        <f>IFERROR(INDEX('Araç Tanımlama'!$E$5:$E$200,MATCH(D833,'Araç Tanımlama'!$A$5:$A$200,0)),"")</f>
        <v/>
      </c>
      <c r="G833" s="2"/>
      <c r="H833" s="7"/>
      <c r="I833" s="9" t="str">
        <f>IF(OR(G833="",H833=""),"",G833*H833)</f>
        <v/>
      </c>
      <c r="J833" s="2"/>
      <c r="K833" s="2"/>
    </row>
    <row r="834" spans="1:11">
      <c r="A834" s="4" t="str">
        <f>IF(D834="","",COUNTIF($D$5:D834,"?*"))</f>
        <v/>
      </c>
      <c r="B834" s="5"/>
      <c r="C834" s="4" t="str">
        <f>IF(B834="","",INDEX({"Ocak","Şubat","Mart","Nisan","Mayıs","Haziran","Temmuz","Ağustos","Eylül","Ekim","Kasım","Aralık"},MONTH(B834)))</f>
        <v/>
      </c>
      <c r="D834" s="2"/>
      <c r="E834" s="4" t="str">
        <f>IFERROR(INDEX('Araç Tanımlama'!$D$5:$D$200,MATCH(D834,'Araç Tanımlama'!$A$5:$A$200,0)),"")</f>
        <v/>
      </c>
      <c r="F834" s="4" t="str">
        <f>IFERROR(INDEX('Araç Tanımlama'!$E$5:$E$200,MATCH(D834,'Araç Tanımlama'!$A$5:$A$200,0)),"")</f>
        <v/>
      </c>
      <c r="G834" s="2"/>
      <c r="H834" s="7"/>
      <c r="I834" s="9" t="str">
        <f>IF(OR(G834="",H834=""),"",G834*H834)</f>
        <v/>
      </c>
      <c r="J834" s="2"/>
      <c r="K834" s="2"/>
    </row>
    <row r="835" spans="1:11">
      <c r="A835" s="4" t="str">
        <f>IF(D835="","",COUNTIF($D$5:D835,"?*"))</f>
        <v/>
      </c>
      <c r="B835" s="5"/>
      <c r="C835" s="4" t="str">
        <f>IF(B835="","",INDEX({"Ocak","Şubat","Mart","Nisan","Mayıs","Haziran","Temmuz","Ağustos","Eylül","Ekim","Kasım","Aralık"},MONTH(B835)))</f>
        <v/>
      </c>
      <c r="D835" s="2"/>
      <c r="E835" s="4" t="str">
        <f>IFERROR(INDEX('Araç Tanımlama'!$D$5:$D$200,MATCH(D835,'Araç Tanımlama'!$A$5:$A$200,0)),"")</f>
        <v/>
      </c>
      <c r="F835" s="4" t="str">
        <f>IFERROR(INDEX('Araç Tanımlama'!$E$5:$E$200,MATCH(D835,'Araç Tanımlama'!$A$5:$A$200,0)),"")</f>
        <v/>
      </c>
      <c r="G835" s="2"/>
      <c r="H835" s="7"/>
      <c r="I835" s="9" t="str">
        <f>IF(OR(G835="",H835=""),"",G835*H835)</f>
        <v/>
      </c>
      <c r="J835" s="2"/>
      <c r="K835" s="2"/>
    </row>
    <row r="836" spans="1:11">
      <c r="A836" s="4" t="str">
        <f>IF(D836="","",COUNTIF($D$5:D836,"?*"))</f>
        <v/>
      </c>
      <c r="B836" s="5"/>
      <c r="C836" s="4" t="str">
        <f>IF(B836="","",INDEX({"Ocak","Şubat","Mart","Nisan","Mayıs","Haziran","Temmuz","Ağustos","Eylül","Ekim","Kasım","Aralık"},MONTH(B836)))</f>
        <v/>
      </c>
      <c r="D836" s="2"/>
      <c r="E836" s="4" t="str">
        <f>IFERROR(INDEX('Araç Tanımlama'!$D$5:$D$200,MATCH(D836,'Araç Tanımlama'!$A$5:$A$200,0)),"")</f>
        <v/>
      </c>
      <c r="F836" s="4" t="str">
        <f>IFERROR(INDEX('Araç Tanımlama'!$E$5:$E$200,MATCH(D836,'Araç Tanımlama'!$A$5:$A$200,0)),"")</f>
        <v/>
      </c>
      <c r="G836" s="2"/>
      <c r="H836" s="7"/>
      <c r="I836" s="9" t="str">
        <f>IF(OR(G836="",H836=""),"",G836*H836)</f>
        <v/>
      </c>
      <c r="J836" s="2"/>
      <c r="K836" s="2"/>
    </row>
    <row r="837" spans="1:11">
      <c r="A837" s="4" t="str">
        <f>IF(D837="","",COUNTIF($D$5:D837,"?*"))</f>
        <v/>
      </c>
      <c r="B837" s="5"/>
      <c r="C837" s="4" t="str">
        <f>IF(B837="","",INDEX({"Ocak","Şubat","Mart","Nisan","Mayıs","Haziran","Temmuz","Ağustos","Eylül","Ekim","Kasım","Aralık"},MONTH(B837)))</f>
        <v/>
      </c>
      <c r="D837" s="2"/>
      <c r="E837" s="4" t="str">
        <f>IFERROR(INDEX('Araç Tanımlama'!$D$5:$D$200,MATCH(D837,'Araç Tanımlama'!$A$5:$A$200,0)),"")</f>
        <v/>
      </c>
      <c r="F837" s="4" t="str">
        <f>IFERROR(INDEX('Araç Tanımlama'!$E$5:$E$200,MATCH(D837,'Araç Tanımlama'!$A$5:$A$200,0)),"")</f>
        <v/>
      </c>
      <c r="G837" s="2"/>
      <c r="H837" s="7"/>
      <c r="I837" s="9" t="str">
        <f>IF(OR(G837="",H837=""),"",G837*H837)</f>
        <v/>
      </c>
      <c r="J837" s="2"/>
      <c r="K837" s="2"/>
    </row>
    <row r="838" spans="1:11">
      <c r="A838" s="4" t="str">
        <f>IF(D838="","",COUNTIF($D$5:D838,"?*"))</f>
        <v/>
      </c>
      <c r="B838" s="5"/>
      <c r="C838" s="4" t="str">
        <f>IF(B838="","",INDEX({"Ocak","Şubat","Mart","Nisan","Mayıs","Haziran","Temmuz","Ağustos","Eylül","Ekim","Kasım","Aralık"},MONTH(B838)))</f>
        <v/>
      </c>
      <c r="D838" s="2"/>
      <c r="E838" s="4" t="str">
        <f>IFERROR(INDEX('Araç Tanımlama'!$D$5:$D$200,MATCH(D838,'Araç Tanımlama'!$A$5:$A$200,0)),"")</f>
        <v/>
      </c>
      <c r="F838" s="4" t="str">
        <f>IFERROR(INDEX('Araç Tanımlama'!$E$5:$E$200,MATCH(D838,'Araç Tanımlama'!$A$5:$A$200,0)),"")</f>
        <v/>
      </c>
      <c r="G838" s="2"/>
      <c r="H838" s="7"/>
      <c r="I838" s="9" t="str">
        <f>IF(OR(G838="",H838=""),"",G838*H838)</f>
        <v/>
      </c>
      <c r="J838" s="2"/>
      <c r="K838" s="2"/>
    </row>
    <row r="839" spans="1:11">
      <c r="A839" s="4" t="str">
        <f>IF(D839="","",COUNTIF($D$5:D839,"?*"))</f>
        <v/>
      </c>
      <c r="B839" s="5"/>
      <c r="C839" s="4" t="str">
        <f>IF(B839="","",INDEX({"Ocak","Şubat","Mart","Nisan","Mayıs","Haziran","Temmuz","Ağustos","Eylül","Ekim","Kasım","Aralık"},MONTH(B839)))</f>
        <v/>
      </c>
      <c r="D839" s="2"/>
      <c r="E839" s="4" t="str">
        <f>IFERROR(INDEX('Araç Tanımlama'!$D$5:$D$200,MATCH(D839,'Araç Tanımlama'!$A$5:$A$200,0)),"")</f>
        <v/>
      </c>
      <c r="F839" s="4" t="str">
        <f>IFERROR(INDEX('Araç Tanımlama'!$E$5:$E$200,MATCH(D839,'Araç Tanımlama'!$A$5:$A$200,0)),"")</f>
        <v/>
      </c>
      <c r="G839" s="2"/>
      <c r="H839" s="7"/>
      <c r="I839" s="9" t="str">
        <f>IF(OR(G839="",H839=""),"",G839*H839)</f>
        <v/>
      </c>
      <c r="J839" s="2"/>
      <c r="K839" s="2"/>
    </row>
    <row r="840" spans="1:11">
      <c r="A840" s="4" t="str">
        <f>IF(D840="","",COUNTIF($D$5:D840,"?*"))</f>
        <v/>
      </c>
      <c r="B840" s="5"/>
      <c r="C840" s="4" t="str">
        <f>IF(B840="","",INDEX({"Ocak","Şubat","Mart","Nisan","Mayıs","Haziran","Temmuz","Ağustos","Eylül","Ekim","Kasım","Aralık"},MONTH(B840)))</f>
        <v/>
      </c>
      <c r="D840" s="2"/>
      <c r="E840" s="4" t="str">
        <f>IFERROR(INDEX('Araç Tanımlama'!$D$5:$D$200,MATCH(D840,'Araç Tanımlama'!$A$5:$A$200,0)),"")</f>
        <v/>
      </c>
      <c r="F840" s="4" t="str">
        <f>IFERROR(INDEX('Araç Tanımlama'!$E$5:$E$200,MATCH(D840,'Araç Tanımlama'!$A$5:$A$200,0)),"")</f>
        <v/>
      </c>
      <c r="G840" s="2"/>
      <c r="H840" s="7"/>
      <c r="I840" s="9" t="str">
        <f>IF(OR(G840="",H840=""),"",G840*H840)</f>
        <v/>
      </c>
      <c r="J840" s="2"/>
      <c r="K840" s="2"/>
    </row>
    <row r="841" spans="1:11">
      <c r="A841" s="4" t="str">
        <f>IF(D841="","",COUNTIF($D$5:D841,"?*"))</f>
        <v/>
      </c>
      <c r="B841" s="5"/>
      <c r="C841" s="4" t="str">
        <f>IF(B841="","",INDEX({"Ocak","Şubat","Mart","Nisan","Mayıs","Haziran","Temmuz","Ağustos","Eylül","Ekim","Kasım","Aralık"},MONTH(B841)))</f>
        <v/>
      </c>
      <c r="D841" s="2"/>
      <c r="E841" s="4" t="str">
        <f>IFERROR(INDEX('Araç Tanımlama'!$D$5:$D$200,MATCH(D841,'Araç Tanımlama'!$A$5:$A$200,0)),"")</f>
        <v/>
      </c>
      <c r="F841" s="4" t="str">
        <f>IFERROR(INDEX('Araç Tanımlama'!$E$5:$E$200,MATCH(D841,'Araç Tanımlama'!$A$5:$A$200,0)),"")</f>
        <v/>
      </c>
      <c r="G841" s="2"/>
      <c r="H841" s="7"/>
      <c r="I841" s="9" t="str">
        <f>IF(OR(G841="",H841=""),"",G841*H841)</f>
        <v/>
      </c>
      <c r="J841" s="2"/>
      <c r="K841" s="2"/>
    </row>
    <row r="842" spans="1:11">
      <c r="A842" s="4" t="str">
        <f>IF(D842="","",COUNTIF($D$5:D842,"?*"))</f>
        <v/>
      </c>
      <c r="B842" s="5"/>
      <c r="C842" s="4" t="str">
        <f>IF(B842="","",INDEX({"Ocak","Şubat","Mart","Nisan","Mayıs","Haziran","Temmuz","Ağustos","Eylül","Ekim","Kasım","Aralık"},MONTH(B842)))</f>
        <v/>
      </c>
      <c r="D842" s="2"/>
      <c r="E842" s="4" t="str">
        <f>IFERROR(INDEX('Araç Tanımlama'!$D$5:$D$200,MATCH(D842,'Araç Tanımlama'!$A$5:$A$200,0)),"")</f>
        <v/>
      </c>
      <c r="F842" s="4" t="str">
        <f>IFERROR(INDEX('Araç Tanımlama'!$E$5:$E$200,MATCH(D842,'Araç Tanımlama'!$A$5:$A$200,0)),"")</f>
        <v/>
      </c>
      <c r="G842" s="2"/>
      <c r="H842" s="7"/>
      <c r="I842" s="9" t="str">
        <f>IF(OR(G842="",H842=""),"",G842*H842)</f>
        <v/>
      </c>
      <c r="J842" s="2"/>
      <c r="K842" s="2"/>
    </row>
    <row r="843" spans="1:11">
      <c r="A843" s="4" t="str">
        <f>IF(D843="","",COUNTIF($D$5:D843,"?*"))</f>
        <v/>
      </c>
      <c r="B843" s="5"/>
      <c r="C843" s="4" t="str">
        <f>IF(B843="","",INDEX({"Ocak","Şubat","Mart","Nisan","Mayıs","Haziran","Temmuz","Ağustos","Eylül","Ekim","Kasım","Aralık"},MONTH(B843)))</f>
        <v/>
      </c>
      <c r="D843" s="2"/>
      <c r="E843" s="4" t="str">
        <f>IFERROR(INDEX('Araç Tanımlama'!$D$5:$D$200,MATCH(D843,'Araç Tanımlama'!$A$5:$A$200,0)),"")</f>
        <v/>
      </c>
      <c r="F843" s="4" t="str">
        <f>IFERROR(INDEX('Araç Tanımlama'!$E$5:$E$200,MATCH(D843,'Araç Tanımlama'!$A$5:$A$200,0)),"")</f>
        <v/>
      </c>
      <c r="G843" s="2"/>
      <c r="H843" s="7"/>
      <c r="I843" s="9" t="str">
        <f>IF(OR(G843="",H843=""),"",G843*H843)</f>
        <v/>
      </c>
      <c r="J843" s="2"/>
      <c r="K843" s="2"/>
    </row>
    <row r="844" spans="1:11">
      <c r="A844" s="4" t="str">
        <f>IF(D844="","",COUNTIF($D$5:D844,"?*"))</f>
        <v/>
      </c>
      <c r="B844" s="5"/>
      <c r="C844" s="4" t="str">
        <f>IF(B844="","",INDEX({"Ocak","Şubat","Mart","Nisan","Mayıs","Haziran","Temmuz","Ağustos","Eylül","Ekim","Kasım","Aralık"},MONTH(B844)))</f>
        <v/>
      </c>
      <c r="D844" s="2"/>
      <c r="E844" s="4" t="str">
        <f>IFERROR(INDEX('Araç Tanımlama'!$D$5:$D$200,MATCH(D844,'Araç Tanımlama'!$A$5:$A$200,0)),"")</f>
        <v/>
      </c>
      <c r="F844" s="4" t="str">
        <f>IFERROR(INDEX('Araç Tanımlama'!$E$5:$E$200,MATCH(D844,'Araç Tanımlama'!$A$5:$A$200,0)),"")</f>
        <v/>
      </c>
      <c r="G844" s="2"/>
      <c r="H844" s="7"/>
      <c r="I844" s="9" t="str">
        <f>IF(OR(G844="",H844=""),"",G844*H844)</f>
        <v/>
      </c>
      <c r="J844" s="2"/>
      <c r="K844" s="2"/>
    </row>
    <row r="845" spans="1:11">
      <c r="A845" s="4" t="str">
        <f>IF(D845="","",COUNTIF($D$5:D845,"?*"))</f>
        <v/>
      </c>
      <c r="B845" s="5"/>
      <c r="C845" s="4" t="str">
        <f>IF(B845="","",INDEX({"Ocak","Şubat","Mart","Nisan","Mayıs","Haziran","Temmuz","Ağustos","Eylül","Ekim","Kasım","Aralık"},MONTH(B845)))</f>
        <v/>
      </c>
      <c r="D845" s="2"/>
      <c r="E845" s="4" t="str">
        <f>IFERROR(INDEX('Araç Tanımlama'!$D$5:$D$200,MATCH(D845,'Araç Tanımlama'!$A$5:$A$200,0)),"")</f>
        <v/>
      </c>
      <c r="F845" s="4" t="str">
        <f>IFERROR(INDEX('Araç Tanımlama'!$E$5:$E$200,MATCH(D845,'Araç Tanımlama'!$A$5:$A$200,0)),"")</f>
        <v/>
      </c>
      <c r="G845" s="2"/>
      <c r="H845" s="7"/>
      <c r="I845" s="9" t="str">
        <f>IF(OR(G845="",H845=""),"",G845*H845)</f>
        <v/>
      </c>
      <c r="J845" s="2"/>
      <c r="K845" s="2"/>
    </row>
    <row r="846" spans="1:11">
      <c r="A846" s="4" t="str">
        <f>IF(D846="","",COUNTIF($D$5:D846,"?*"))</f>
        <v/>
      </c>
      <c r="B846" s="5"/>
      <c r="C846" s="4" t="str">
        <f>IF(B846="","",INDEX({"Ocak","Şubat","Mart","Nisan","Mayıs","Haziran","Temmuz","Ağustos","Eylül","Ekim","Kasım","Aralık"},MONTH(B846)))</f>
        <v/>
      </c>
      <c r="D846" s="2"/>
      <c r="E846" s="4" t="str">
        <f>IFERROR(INDEX('Araç Tanımlama'!$D$5:$D$200,MATCH(D846,'Araç Tanımlama'!$A$5:$A$200,0)),"")</f>
        <v/>
      </c>
      <c r="F846" s="4" t="str">
        <f>IFERROR(INDEX('Araç Tanımlama'!$E$5:$E$200,MATCH(D846,'Araç Tanımlama'!$A$5:$A$200,0)),"")</f>
        <v/>
      </c>
      <c r="G846" s="2"/>
      <c r="H846" s="7"/>
      <c r="I846" s="9" t="str">
        <f>IF(OR(G846="",H846=""),"",G846*H846)</f>
        <v/>
      </c>
      <c r="J846" s="2"/>
      <c r="K846" s="2"/>
    </row>
    <row r="847" spans="1:11">
      <c r="A847" s="4" t="str">
        <f>IF(D847="","",COUNTIF($D$5:D847,"?*"))</f>
        <v/>
      </c>
      <c r="B847" s="5"/>
      <c r="C847" s="4" t="str">
        <f>IF(B847="","",INDEX({"Ocak","Şubat","Mart","Nisan","Mayıs","Haziran","Temmuz","Ağustos","Eylül","Ekim","Kasım","Aralık"},MONTH(B847)))</f>
        <v/>
      </c>
      <c r="D847" s="2"/>
      <c r="E847" s="4" t="str">
        <f>IFERROR(INDEX('Araç Tanımlama'!$D$5:$D$200,MATCH(D847,'Araç Tanımlama'!$A$5:$A$200,0)),"")</f>
        <v/>
      </c>
      <c r="F847" s="4" t="str">
        <f>IFERROR(INDEX('Araç Tanımlama'!$E$5:$E$200,MATCH(D847,'Araç Tanımlama'!$A$5:$A$200,0)),"")</f>
        <v/>
      </c>
      <c r="G847" s="2"/>
      <c r="H847" s="7"/>
      <c r="I847" s="9" t="str">
        <f>IF(OR(G847="",H847=""),"",G847*H847)</f>
        <v/>
      </c>
      <c r="J847" s="2"/>
      <c r="K847" s="2"/>
    </row>
    <row r="848" spans="1:11">
      <c r="A848" s="4" t="str">
        <f>IF(D848="","",COUNTIF($D$5:D848,"?*"))</f>
        <v/>
      </c>
      <c r="B848" s="5"/>
      <c r="C848" s="4" t="str">
        <f>IF(B848="","",INDEX({"Ocak","Şubat","Mart","Nisan","Mayıs","Haziran","Temmuz","Ağustos","Eylül","Ekim","Kasım","Aralık"},MONTH(B848)))</f>
        <v/>
      </c>
      <c r="D848" s="2"/>
      <c r="E848" s="4" t="str">
        <f>IFERROR(INDEX('Araç Tanımlama'!$D$5:$D$200,MATCH(D848,'Araç Tanımlama'!$A$5:$A$200,0)),"")</f>
        <v/>
      </c>
      <c r="F848" s="4" t="str">
        <f>IFERROR(INDEX('Araç Tanımlama'!$E$5:$E$200,MATCH(D848,'Araç Tanımlama'!$A$5:$A$200,0)),"")</f>
        <v/>
      </c>
      <c r="G848" s="2"/>
      <c r="H848" s="7"/>
      <c r="I848" s="9" t="str">
        <f>IF(OR(G848="",H848=""),"",G848*H848)</f>
        <v/>
      </c>
      <c r="J848" s="2"/>
      <c r="K848" s="2"/>
    </row>
    <row r="849" spans="1:11">
      <c r="A849" s="4" t="str">
        <f>IF(D849="","",COUNTIF($D$5:D849,"?*"))</f>
        <v/>
      </c>
      <c r="B849" s="5"/>
      <c r="C849" s="4" t="str">
        <f>IF(B849="","",INDEX({"Ocak","Şubat","Mart","Nisan","Mayıs","Haziran","Temmuz","Ağustos","Eylül","Ekim","Kasım","Aralık"},MONTH(B849)))</f>
        <v/>
      </c>
      <c r="D849" s="2"/>
      <c r="E849" s="4" t="str">
        <f>IFERROR(INDEX('Araç Tanımlama'!$D$5:$D$200,MATCH(D849,'Araç Tanımlama'!$A$5:$A$200,0)),"")</f>
        <v/>
      </c>
      <c r="F849" s="4" t="str">
        <f>IFERROR(INDEX('Araç Tanımlama'!$E$5:$E$200,MATCH(D849,'Araç Tanımlama'!$A$5:$A$200,0)),"")</f>
        <v/>
      </c>
      <c r="G849" s="2"/>
      <c r="H849" s="7"/>
      <c r="I849" s="9" t="str">
        <f>IF(OR(G849="",H849=""),"",G849*H849)</f>
        <v/>
      </c>
      <c r="J849" s="2"/>
      <c r="K849" s="2"/>
    </row>
    <row r="850" spans="1:11">
      <c r="A850" s="4" t="str">
        <f>IF(D850="","",COUNTIF($D$5:D850,"?*"))</f>
        <v/>
      </c>
      <c r="B850" s="5"/>
      <c r="C850" s="4" t="str">
        <f>IF(B850="","",INDEX({"Ocak","Şubat","Mart","Nisan","Mayıs","Haziran","Temmuz","Ağustos","Eylül","Ekim","Kasım","Aralık"},MONTH(B850)))</f>
        <v/>
      </c>
      <c r="D850" s="2"/>
      <c r="E850" s="4" t="str">
        <f>IFERROR(INDEX('Araç Tanımlama'!$D$5:$D$200,MATCH(D850,'Araç Tanımlama'!$A$5:$A$200,0)),"")</f>
        <v/>
      </c>
      <c r="F850" s="4" t="str">
        <f>IFERROR(INDEX('Araç Tanımlama'!$E$5:$E$200,MATCH(D850,'Araç Tanımlama'!$A$5:$A$200,0)),"")</f>
        <v/>
      </c>
      <c r="G850" s="2"/>
      <c r="H850" s="7"/>
      <c r="I850" s="9" t="str">
        <f>IF(OR(G850="",H850=""),"",G850*H850)</f>
        <v/>
      </c>
      <c r="J850" s="2"/>
      <c r="K850" s="2"/>
    </row>
    <row r="851" spans="1:11">
      <c r="A851" s="4" t="str">
        <f>IF(D851="","",COUNTIF($D$5:D851,"?*"))</f>
        <v/>
      </c>
      <c r="B851" s="5"/>
      <c r="C851" s="4" t="str">
        <f>IF(B851="","",INDEX({"Ocak","Şubat","Mart","Nisan","Mayıs","Haziran","Temmuz","Ağustos","Eylül","Ekim","Kasım","Aralık"},MONTH(B851)))</f>
        <v/>
      </c>
      <c r="D851" s="2"/>
      <c r="E851" s="4" t="str">
        <f>IFERROR(INDEX('Araç Tanımlama'!$D$5:$D$200,MATCH(D851,'Araç Tanımlama'!$A$5:$A$200,0)),"")</f>
        <v/>
      </c>
      <c r="F851" s="4" t="str">
        <f>IFERROR(INDEX('Araç Tanımlama'!$E$5:$E$200,MATCH(D851,'Araç Tanımlama'!$A$5:$A$200,0)),"")</f>
        <v/>
      </c>
      <c r="G851" s="2"/>
      <c r="H851" s="7"/>
      <c r="I851" s="9" t="str">
        <f>IF(OR(G851="",H851=""),"",G851*H851)</f>
        <v/>
      </c>
      <c r="J851" s="2"/>
      <c r="K851" s="2"/>
    </row>
    <row r="852" spans="1:11">
      <c r="A852" s="4" t="str">
        <f>IF(D852="","",COUNTIF($D$5:D852,"?*"))</f>
        <v/>
      </c>
      <c r="B852" s="5"/>
      <c r="C852" s="4" t="str">
        <f>IF(B852="","",INDEX({"Ocak","Şubat","Mart","Nisan","Mayıs","Haziran","Temmuz","Ağustos","Eylül","Ekim","Kasım","Aralık"},MONTH(B852)))</f>
        <v/>
      </c>
      <c r="D852" s="2"/>
      <c r="E852" s="4" t="str">
        <f>IFERROR(INDEX('Araç Tanımlama'!$D$5:$D$200,MATCH(D852,'Araç Tanımlama'!$A$5:$A$200,0)),"")</f>
        <v/>
      </c>
      <c r="F852" s="4" t="str">
        <f>IFERROR(INDEX('Araç Tanımlama'!$E$5:$E$200,MATCH(D852,'Araç Tanımlama'!$A$5:$A$200,0)),"")</f>
        <v/>
      </c>
      <c r="G852" s="2"/>
      <c r="H852" s="7"/>
      <c r="I852" s="9" t="str">
        <f>IF(OR(G852="",H852=""),"",G852*H852)</f>
        <v/>
      </c>
      <c r="J852" s="2"/>
      <c r="K852" s="2"/>
    </row>
    <row r="853" spans="1:11">
      <c r="A853" s="4" t="str">
        <f>IF(D853="","",COUNTIF($D$5:D853,"?*"))</f>
        <v/>
      </c>
      <c r="B853" s="5"/>
      <c r="C853" s="4" t="str">
        <f>IF(B853="","",INDEX({"Ocak","Şubat","Mart","Nisan","Mayıs","Haziran","Temmuz","Ağustos","Eylül","Ekim","Kasım","Aralık"},MONTH(B853)))</f>
        <v/>
      </c>
      <c r="D853" s="2"/>
      <c r="E853" s="4" t="str">
        <f>IFERROR(INDEX('Araç Tanımlama'!$D$5:$D$200,MATCH(D853,'Araç Tanımlama'!$A$5:$A$200,0)),"")</f>
        <v/>
      </c>
      <c r="F853" s="4" t="str">
        <f>IFERROR(INDEX('Araç Tanımlama'!$E$5:$E$200,MATCH(D853,'Araç Tanımlama'!$A$5:$A$200,0)),"")</f>
        <v/>
      </c>
      <c r="G853" s="2"/>
      <c r="H853" s="7"/>
      <c r="I853" s="9" t="str">
        <f>IF(OR(G853="",H853=""),"",G853*H853)</f>
        <v/>
      </c>
      <c r="J853" s="2"/>
      <c r="K853" s="2"/>
    </row>
    <row r="854" spans="1:11">
      <c r="A854" s="4" t="str">
        <f>IF(D854="","",COUNTIF($D$5:D854,"?*"))</f>
        <v/>
      </c>
      <c r="B854" s="5"/>
      <c r="C854" s="4" t="str">
        <f>IF(B854="","",INDEX({"Ocak","Şubat","Mart","Nisan","Mayıs","Haziran","Temmuz","Ağustos","Eylül","Ekim","Kasım","Aralık"},MONTH(B854)))</f>
        <v/>
      </c>
      <c r="D854" s="2"/>
      <c r="E854" s="4" t="str">
        <f>IFERROR(INDEX('Araç Tanımlama'!$D$5:$D$200,MATCH(D854,'Araç Tanımlama'!$A$5:$A$200,0)),"")</f>
        <v/>
      </c>
      <c r="F854" s="4" t="str">
        <f>IFERROR(INDEX('Araç Tanımlama'!$E$5:$E$200,MATCH(D854,'Araç Tanımlama'!$A$5:$A$200,0)),"")</f>
        <v/>
      </c>
      <c r="G854" s="2"/>
      <c r="H854" s="7"/>
      <c r="I854" s="9" t="str">
        <f>IF(OR(G854="",H854=""),"",G854*H854)</f>
        <v/>
      </c>
      <c r="J854" s="2"/>
      <c r="K854" s="2"/>
    </row>
    <row r="855" spans="1:11">
      <c r="A855" s="4" t="str">
        <f>IF(D855="","",COUNTIF($D$5:D855,"?*"))</f>
        <v/>
      </c>
      <c r="B855" s="5"/>
      <c r="C855" s="4" t="str">
        <f>IF(B855="","",INDEX({"Ocak","Şubat","Mart","Nisan","Mayıs","Haziran","Temmuz","Ağustos","Eylül","Ekim","Kasım","Aralık"},MONTH(B855)))</f>
        <v/>
      </c>
      <c r="D855" s="2"/>
      <c r="E855" s="4" t="str">
        <f>IFERROR(INDEX('Araç Tanımlama'!$D$5:$D$200,MATCH(D855,'Araç Tanımlama'!$A$5:$A$200,0)),"")</f>
        <v/>
      </c>
      <c r="F855" s="4" t="str">
        <f>IFERROR(INDEX('Araç Tanımlama'!$E$5:$E$200,MATCH(D855,'Araç Tanımlama'!$A$5:$A$200,0)),"")</f>
        <v/>
      </c>
      <c r="G855" s="2"/>
      <c r="H855" s="7"/>
      <c r="I855" s="9" t="str">
        <f>IF(OR(G855="",H855=""),"",G855*H855)</f>
        <v/>
      </c>
      <c r="J855" s="2"/>
      <c r="K855" s="2"/>
    </row>
    <row r="856" spans="1:11">
      <c r="A856" s="4" t="str">
        <f>IF(D856="","",COUNTIF($D$5:D856,"?*"))</f>
        <v/>
      </c>
      <c r="B856" s="5"/>
      <c r="C856" s="4" t="str">
        <f>IF(B856="","",INDEX({"Ocak","Şubat","Mart","Nisan","Mayıs","Haziran","Temmuz","Ağustos","Eylül","Ekim","Kasım","Aralık"},MONTH(B856)))</f>
        <v/>
      </c>
      <c r="D856" s="2"/>
      <c r="E856" s="4" t="str">
        <f>IFERROR(INDEX('Araç Tanımlama'!$D$5:$D$200,MATCH(D856,'Araç Tanımlama'!$A$5:$A$200,0)),"")</f>
        <v/>
      </c>
      <c r="F856" s="4" t="str">
        <f>IFERROR(INDEX('Araç Tanımlama'!$E$5:$E$200,MATCH(D856,'Araç Tanımlama'!$A$5:$A$200,0)),"")</f>
        <v/>
      </c>
      <c r="G856" s="2"/>
      <c r="H856" s="7"/>
      <c r="I856" s="9" t="str">
        <f>IF(OR(G856="",H856=""),"",G856*H856)</f>
        <v/>
      </c>
      <c r="J856" s="2"/>
      <c r="K856" s="2"/>
    </row>
    <row r="857" spans="1:11">
      <c r="A857" s="4" t="str">
        <f>IF(D857="","",COUNTIF($D$5:D857,"?*"))</f>
        <v/>
      </c>
      <c r="B857" s="5"/>
      <c r="C857" s="4" t="str">
        <f>IF(B857="","",INDEX({"Ocak","Şubat","Mart","Nisan","Mayıs","Haziran","Temmuz","Ağustos","Eylül","Ekim","Kasım","Aralık"},MONTH(B857)))</f>
        <v/>
      </c>
      <c r="D857" s="2"/>
      <c r="E857" s="4" t="str">
        <f>IFERROR(INDEX('Araç Tanımlama'!$D$5:$D$200,MATCH(D857,'Araç Tanımlama'!$A$5:$A$200,0)),"")</f>
        <v/>
      </c>
      <c r="F857" s="4" t="str">
        <f>IFERROR(INDEX('Araç Tanımlama'!$E$5:$E$200,MATCH(D857,'Araç Tanımlama'!$A$5:$A$200,0)),"")</f>
        <v/>
      </c>
      <c r="G857" s="2"/>
      <c r="H857" s="7"/>
      <c r="I857" s="9" t="str">
        <f>IF(OR(G857="",H857=""),"",G857*H857)</f>
        <v/>
      </c>
      <c r="J857" s="2"/>
      <c r="K857" s="2"/>
    </row>
    <row r="858" spans="1:11">
      <c r="A858" s="4" t="str">
        <f>IF(D858="","",COUNTIF($D$5:D858,"?*"))</f>
        <v/>
      </c>
      <c r="B858" s="5"/>
      <c r="C858" s="4" t="str">
        <f>IF(B858="","",INDEX({"Ocak","Şubat","Mart","Nisan","Mayıs","Haziran","Temmuz","Ağustos","Eylül","Ekim","Kasım","Aralık"},MONTH(B858)))</f>
        <v/>
      </c>
      <c r="D858" s="2"/>
      <c r="E858" s="4" t="str">
        <f>IFERROR(INDEX('Araç Tanımlama'!$D$5:$D$200,MATCH(D858,'Araç Tanımlama'!$A$5:$A$200,0)),"")</f>
        <v/>
      </c>
      <c r="F858" s="4" t="str">
        <f>IFERROR(INDEX('Araç Tanımlama'!$E$5:$E$200,MATCH(D858,'Araç Tanımlama'!$A$5:$A$200,0)),"")</f>
        <v/>
      </c>
      <c r="G858" s="2"/>
      <c r="H858" s="7"/>
      <c r="I858" s="9" t="str">
        <f>IF(OR(G858="",H858=""),"",G858*H858)</f>
        <v/>
      </c>
      <c r="J858" s="2"/>
      <c r="K858" s="2"/>
    </row>
    <row r="859" spans="1:11">
      <c r="A859" s="4" t="str">
        <f>IF(D859="","",COUNTIF($D$5:D859,"?*"))</f>
        <v/>
      </c>
      <c r="B859" s="5"/>
      <c r="C859" s="4" t="str">
        <f>IF(B859="","",INDEX({"Ocak","Şubat","Mart","Nisan","Mayıs","Haziran","Temmuz","Ağustos","Eylül","Ekim","Kasım","Aralık"},MONTH(B859)))</f>
        <v/>
      </c>
      <c r="D859" s="2"/>
      <c r="E859" s="4" t="str">
        <f>IFERROR(INDEX('Araç Tanımlama'!$D$5:$D$200,MATCH(D859,'Araç Tanımlama'!$A$5:$A$200,0)),"")</f>
        <v/>
      </c>
      <c r="F859" s="4" t="str">
        <f>IFERROR(INDEX('Araç Tanımlama'!$E$5:$E$200,MATCH(D859,'Araç Tanımlama'!$A$5:$A$200,0)),"")</f>
        <v/>
      </c>
      <c r="G859" s="2"/>
      <c r="H859" s="7"/>
      <c r="I859" s="9" t="str">
        <f>IF(OR(G859="",H859=""),"",G859*H859)</f>
        <v/>
      </c>
      <c r="J859" s="2"/>
      <c r="K859" s="2"/>
    </row>
    <row r="860" spans="1:11">
      <c r="A860" s="4" t="str">
        <f>IF(D860="","",COUNTIF($D$5:D860,"?*"))</f>
        <v/>
      </c>
      <c r="B860" s="5"/>
      <c r="C860" s="4" t="str">
        <f>IF(B860="","",INDEX({"Ocak","Şubat","Mart","Nisan","Mayıs","Haziran","Temmuz","Ağustos","Eylül","Ekim","Kasım","Aralık"},MONTH(B860)))</f>
        <v/>
      </c>
      <c r="D860" s="2"/>
      <c r="E860" s="4" t="str">
        <f>IFERROR(INDEX('Araç Tanımlama'!$D$5:$D$200,MATCH(D860,'Araç Tanımlama'!$A$5:$A$200,0)),"")</f>
        <v/>
      </c>
      <c r="F860" s="4" t="str">
        <f>IFERROR(INDEX('Araç Tanımlama'!$E$5:$E$200,MATCH(D860,'Araç Tanımlama'!$A$5:$A$200,0)),"")</f>
        <v/>
      </c>
      <c r="G860" s="2"/>
      <c r="H860" s="7"/>
      <c r="I860" s="9" t="str">
        <f>IF(OR(G860="",H860=""),"",G860*H860)</f>
        <v/>
      </c>
      <c r="J860" s="2"/>
      <c r="K860" s="2"/>
    </row>
    <row r="861" spans="1:11">
      <c r="A861" s="4" t="str">
        <f>IF(D861="","",COUNTIF($D$5:D861,"?*"))</f>
        <v/>
      </c>
      <c r="B861" s="5"/>
      <c r="C861" s="4" t="str">
        <f>IF(B861="","",INDEX({"Ocak","Şubat","Mart","Nisan","Mayıs","Haziran","Temmuz","Ağustos","Eylül","Ekim","Kasım","Aralık"},MONTH(B861)))</f>
        <v/>
      </c>
      <c r="D861" s="2"/>
      <c r="E861" s="4" t="str">
        <f>IFERROR(INDEX('Araç Tanımlama'!$D$5:$D$200,MATCH(D861,'Araç Tanımlama'!$A$5:$A$200,0)),"")</f>
        <v/>
      </c>
      <c r="F861" s="4" t="str">
        <f>IFERROR(INDEX('Araç Tanımlama'!$E$5:$E$200,MATCH(D861,'Araç Tanımlama'!$A$5:$A$200,0)),"")</f>
        <v/>
      </c>
      <c r="G861" s="2"/>
      <c r="H861" s="7"/>
      <c r="I861" s="9" t="str">
        <f>IF(OR(G861="",H861=""),"",G861*H861)</f>
        <v/>
      </c>
      <c r="J861" s="2"/>
      <c r="K861" s="2"/>
    </row>
    <row r="862" spans="1:11">
      <c r="A862" s="4" t="str">
        <f>IF(D862="","",COUNTIF($D$5:D862,"?*"))</f>
        <v/>
      </c>
      <c r="B862" s="5"/>
      <c r="C862" s="4" t="str">
        <f>IF(B862="","",INDEX({"Ocak","Şubat","Mart","Nisan","Mayıs","Haziran","Temmuz","Ağustos","Eylül","Ekim","Kasım","Aralık"},MONTH(B862)))</f>
        <v/>
      </c>
      <c r="D862" s="2"/>
      <c r="E862" s="4" t="str">
        <f>IFERROR(INDEX('Araç Tanımlama'!$D$5:$D$200,MATCH(D862,'Araç Tanımlama'!$A$5:$A$200,0)),"")</f>
        <v/>
      </c>
      <c r="F862" s="4" t="str">
        <f>IFERROR(INDEX('Araç Tanımlama'!$E$5:$E$200,MATCH(D862,'Araç Tanımlama'!$A$5:$A$200,0)),"")</f>
        <v/>
      </c>
      <c r="G862" s="2"/>
      <c r="H862" s="7"/>
      <c r="I862" s="9" t="str">
        <f>IF(OR(G862="",H862=""),"",G862*H862)</f>
        <v/>
      </c>
      <c r="J862" s="2"/>
      <c r="K862" s="2"/>
    </row>
    <row r="863" spans="1:11">
      <c r="A863" s="4" t="str">
        <f>IF(D863="","",COUNTIF($D$5:D863,"?*"))</f>
        <v/>
      </c>
      <c r="B863" s="5"/>
      <c r="C863" s="4" t="str">
        <f>IF(B863="","",INDEX({"Ocak","Şubat","Mart","Nisan","Mayıs","Haziran","Temmuz","Ağustos","Eylül","Ekim","Kasım","Aralık"},MONTH(B863)))</f>
        <v/>
      </c>
      <c r="D863" s="2"/>
      <c r="E863" s="4" t="str">
        <f>IFERROR(INDEX('Araç Tanımlama'!$D$5:$D$200,MATCH(D863,'Araç Tanımlama'!$A$5:$A$200,0)),"")</f>
        <v/>
      </c>
      <c r="F863" s="4" t="str">
        <f>IFERROR(INDEX('Araç Tanımlama'!$E$5:$E$200,MATCH(D863,'Araç Tanımlama'!$A$5:$A$200,0)),"")</f>
        <v/>
      </c>
      <c r="G863" s="2"/>
      <c r="H863" s="7"/>
      <c r="I863" s="9" t="str">
        <f>IF(OR(G863="",H863=""),"",G863*H863)</f>
        <v/>
      </c>
      <c r="J863" s="2"/>
      <c r="K863" s="2"/>
    </row>
    <row r="864" spans="1:11">
      <c r="A864" s="4" t="str">
        <f>IF(D864="","",COUNTIF($D$5:D864,"?*"))</f>
        <v/>
      </c>
      <c r="B864" s="5"/>
      <c r="C864" s="4" t="str">
        <f>IF(B864="","",INDEX({"Ocak","Şubat","Mart","Nisan","Mayıs","Haziran","Temmuz","Ağustos","Eylül","Ekim","Kasım","Aralık"},MONTH(B864)))</f>
        <v/>
      </c>
      <c r="D864" s="2"/>
      <c r="E864" s="4" t="str">
        <f>IFERROR(INDEX('Araç Tanımlama'!$D$5:$D$200,MATCH(D864,'Araç Tanımlama'!$A$5:$A$200,0)),"")</f>
        <v/>
      </c>
      <c r="F864" s="4" t="str">
        <f>IFERROR(INDEX('Araç Tanımlama'!$E$5:$E$200,MATCH(D864,'Araç Tanımlama'!$A$5:$A$200,0)),"")</f>
        <v/>
      </c>
      <c r="G864" s="2"/>
      <c r="H864" s="7"/>
      <c r="I864" s="9" t="str">
        <f>IF(OR(G864="",H864=""),"",G864*H864)</f>
        <v/>
      </c>
      <c r="J864" s="2"/>
      <c r="K864" s="2"/>
    </row>
    <row r="865" spans="1:11">
      <c r="A865" s="4" t="str">
        <f>IF(D865="","",COUNTIF($D$5:D865,"?*"))</f>
        <v/>
      </c>
      <c r="B865" s="5"/>
      <c r="C865" s="4" t="str">
        <f>IF(B865="","",INDEX({"Ocak","Şubat","Mart","Nisan","Mayıs","Haziran","Temmuz","Ağustos","Eylül","Ekim","Kasım","Aralık"},MONTH(B865)))</f>
        <v/>
      </c>
      <c r="D865" s="2"/>
      <c r="E865" s="4" t="str">
        <f>IFERROR(INDEX('Araç Tanımlama'!$D$5:$D$200,MATCH(D865,'Araç Tanımlama'!$A$5:$A$200,0)),"")</f>
        <v/>
      </c>
      <c r="F865" s="4" t="str">
        <f>IFERROR(INDEX('Araç Tanımlama'!$E$5:$E$200,MATCH(D865,'Araç Tanımlama'!$A$5:$A$200,0)),"")</f>
        <v/>
      </c>
      <c r="G865" s="2"/>
      <c r="H865" s="7"/>
      <c r="I865" s="9" t="str">
        <f>IF(OR(G865="",H865=""),"",G865*H865)</f>
        <v/>
      </c>
      <c r="J865" s="2"/>
      <c r="K865" s="2"/>
    </row>
    <row r="866" spans="1:11">
      <c r="A866" s="4" t="str">
        <f>IF(D866="","",COUNTIF($D$5:D866,"?*"))</f>
        <v/>
      </c>
      <c r="B866" s="5"/>
      <c r="C866" s="4" t="str">
        <f>IF(B866="","",INDEX({"Ocak","Şubat","Mart","Nisan","Mayıs","Haziran","Temmuz","Ağustos","Eylül","Ekim","Kasım","Aralık"},MONTH(B866)))</f>
        <v/>
      </c>
      <c r="D866" s="2"/>
      <c r="E866" s="4" t="str">
        <f>IFERROR(INDEX('Araç Tanımlama'!$D$5:$D$200,MATCH(D866,'Araç Tanımlama'!$A$5:$A$200,0)),"")</f>
        <v/>
      </c>
      <c r="F866" s="4" t="str">
        <f>IFERROR(INDEX('Araç Tanımlama'!$E$5:$E$200,MATCH(D866,'Araç Tanımlama'!$A$5:$A$200,0)),"")</f>
        <v/>
      </c>
      <c r="G866" s="2"/>
      <c r="H866" s="7"/>
      <c r="I866" s="9" t="str">
        <f>IF(OR(G866="",H866=""),"",G866*H866)</f>
        <v/>
      </c>
      <c r="J866" s="2"/>
      <c r="K866" s="2"/>
    </row>
    <row r="867" spans="1:11">
      <c r="A867" s="4" t="str">
        <f>IF(D867="","",COUNTIF($D$5:D867,"?*"))</f>
        <v/>
      </c>
      <c r="B867" s="5"/>
      <c r="C867" s="4" t="str">
        <f>IF(B867="","",INDEX({"Ocak","Şubat","Mart","Nisan","Mayıs","Haziran","Temmuz","Ağustos","Eylül","Ekim","Kasım","Aralık"},MONTH(B867)))</f>
        <v/>
      </c>
      <c r="D867" s="2"/>
      <c r="E867" s="4" t="str">
        <f>IFERROR(INDEX('Araç Tanımlama'!$D$5:$D$200,MATCH(D867,'Araç Tanımlama'!$A$5:$A$200,0)),"")</f>
        <v/>
      </c>
      <c r="F867" s="4" t="str">
        <f>IFERROR(INDEX('Araç Tanımlama'!$E$5:$E$200,MATCH(D867,'Araç Tanımlama'!$A$5:$A$200,0)),"")</f>
        <v/>
      </c>
      <c r="G867" s="2"/>
      <c r="H867" s="7"/>
      <c r="I867" s="9" t="str">
        <f>IF(OR(G867="",H867=""),"",G867*H867)</f>
        <v/>
      </c>
      <c r="J867" s="2"/>
      <c r="K867" s="2"/>
    </row>
    <row r="868" spans="1:11">
      <c r="A868" s="4" t="str">
        <f>IF(D868="","",COUNTIF($D$5:D868,"?*"))</f>
        <v/>
      </c>
      <c r="B868" s="5"/>
      <c r="C868" s="4" t="str">
        <f>IF(B868="","",INDEX({"Ocak","Şubat","Mart","Nisan","Mayıs","Haziran","Temmuz","Ağustos","Eylül","Ekim","Kasım","Aralık"},MONTH(B868)))</f>
        <v/>
      </c>
      <c r="D868" s="2"/>
      <c r="E868" s="4" t="str">
        <f>IFERROR(INDEX('Araç Tanımlama'!$D$5:$D$200,MATCH(D868,'Araç Tanımlama'!$A$5:$A$200,0)),"")</f>
        <v/>
      </c>
      <c r="F868" s="4" t="str">
        <f>IFERROR(INDEX('Araç Tanımlama'!$E$5:$E$200,MATCH(D868,'Araç Tanımlama'!$A$5:$A$200,0)),"")</f>
        <v/>
      </c>
      <c r="G868" s="2"/>
      <c r="H868" s="7"/>
      <c r="I868" s="9" t="str">
        <f>IF(OR(G868="",H868=""),"",G868*H868)</f>
        <v/>
      </c>
      <c r="J868" s="2"/>
      <c r="K868" s="2"/>
    </row>
    <row r="869" spans="1:11">
      <c r="A869" s="4" t="str">
        <f>IF(D869="","",COUNTIF($D$5:D869,"?*"))</f>
        <v/>
      </c>
      <c r="B869" s="5"/>
      <c r="C869" s="4" t="str">
        <f>IF(B869="","",INDEX({"Ocak","Şubat","Mart","Nisan","Mayıs","Haziran","Temmuz","Ağustos","Eylül","Ekim","Kasım","Aralık"},MONTH(B869)))</f>
        <v/>
      </c>
      <c r="D869" s="2"/>
      <c r="E869" s="4" t="str">
        <f>IFERROR(INDEX('Araç Tanımlama'!$D$5:$D$200,MATCH(D869,'Araç Tanımlama'!$A$5:$A$200,0)),"")</f>
        <v/>
      </c>
      <c r="F869" s="4" t="str">
        <f>IFERROR(INDEX('Araç Tanımlama'!$E$5:$E$200,MATCH(D869,'Araç Tanımlama'!$A$5:$A$200,0)),"")</f>
        <v/>
      </c>
      <c r="G869" s="2"/>
      <c r="H869" s="7"/>
      <c r="I869" s="9" t="str">
        <f>IF(OR(G869="",H869=""),"",G869*H869)</f>
        <v/>
      </c>
      <c r="J869" s="2"/>
      <c r="K869" s="2"/>
    </row>
    <row r="870" spans="1:11">
      <c r="A870" s="4" t="str">
        <f>IF(D870="","",COUNTIF($D$5:D870,"?*"))</f>
        <v/>
      </c>
      <c r="B870" s="5"/>
      <c r="C870" s="4" t="str">
        <f>IF(B870="","",INDEX({"Ocak","Şubat","Mart","Nisan","Mayıs","Haziran","Temmuz","Ağustos","Eylül","Ekim","Kasım","Aralık"},MONTH(B870)))</f>
        <v/>
      </c>
      <c r="D870" s="2"/>
      <c r="E870" s="4" t="str">
        <f>IFERROR(INDEX('Araç Tanımlama'!$D$5:$D$200,MATCH(D870,'Araç Tanımlama'!$A$5:$A$200,0)),"")</f>
        <v/>
      </c>
      <c r="F870" s="4" t="str">
        <f>IFERROR(INDEX('Araç Tanımlama'!$E$5:$E$200,MATCH(D870,'Araç Tanımlama'!$A$5:$A$200,0)),"")</f>
        <v/>
      </c>
      <c r="G870" s="2"/>
      <c r="H870" s="7"/>
      <c r="I870" s="9" t="str">
        <f>IF(OR(G870="",H870=""),"",G870*H870)</f>
        <v/>
      </c>
      <c r="J870" s="2"/>
      <c r="K870" s="2"/>
    </row>
    <row r="871" spans="1:11">
      <c r="A871" s="4" t="str">
        <f>IF(D871="","",COUNTIF($D$5:D871,"?*"))</f>
        <v/>
      </c>
      <c r="B871" s="5"/>
      <c r="C871" s="4" t="str">
        <f>IF(B871="","",INDEX({"Ocak","Şubat","Mart","Nisan","Mayıs","Haziran","Temmuz","Ağustos","Eylül","Ekim","Kasım","Aralık"},MONTH(B871)))</f>
        <v/>
      </c>
      <c r="D871" s="2"/>
      <c r="E871" s="4" t="str">
        <f>IFERROR(INDEX('Araç Tanımlama'!$D$5:$D$200,MATCH(D871,'Araç Tanımlama'!$A$5:$A$200,0)),"")</f>
        <v/>
      </c>
      <c r="F871" s="4" t="str">
        <f>IFERROR(INDEX('Araç Tanımlama'!$E$5:$E$200,MATCH(D871,'Araç Tanımlama'!$A$5:$A$200,0)),"")</f>
        <v/>
      </c>
      <c r="G871" s="2"/>
      <c r="H871" s="7"/>
      <c r="I871" s="9" t="str">
        <f>IF(OR(G871="",H871=""),"",G871*H871)</f>
        <v/>
      </c>
      <c r="J871" s="2"/>
      <c r="K871" s="2"/>
    </row>
    <row r="872" spans="1:11">
      <c r="A872" s="4" t="str">
        <f>IF(D872="","",COUNTIF($D$5:D872,"?*"))</f>
        <v/>
      </c>
      <c r="B872" s="5"/>
      <c r="C872" s="4" t="str">
        <f>IF(B872="","",INDEX({"Ocak","Şubat","Mart","Nisan","Mayıs","Haziran","Temmuz","Ağustos","Eylül","Ekim","Kasım","Aralık"},MONTH(B872)))</f>
        <v/>
      </c>
      <c r="D872" s="2"/>
      <c r="E872" s="4" t="str">
        <f>IFERROR(INDEX('Araç Tanımlama'!$D$5:$D$200,MATCH(D872,'Araç Tanımlama'!$A$5:$A$200,0)),"")</f>
        <v/>
      </c>
      <c r="F872" s="4" t="str">
        <f>IFERROR(INDEX('Araç Tanımlama'!$E$5:$E$200,MATCH(D872,'Araç Tanımlama'!$A$5:$A$200,0)),"")</f>
        <v/>
      </c>
      <c r="G872" s="2"/>
      <c r="H872" s="7"/>
      <c r="I872" s="9" t="str">
        <f>IF(OR(G872="",H872=""),"",G872*H872)</f>
        <v/>
      </c>
      <c r="J872" s="2"/>
      <c r="K872" s="2"/>
    </row>
    <row r="873" spans="1:11">
      <c r="A873" s="4" t="str">
        <f>IF(D873="","",COUNTIF($D$5:D873,"?*"))</f>
        <v/>
      </c>
      <c r="B873" s="5"/>
      <c r="C873" s="4" t="str">
        <f>IF(B873="","",INDEX({"Ocak","Şubat","Mart","Nisan","Mayıs","Haziran","Temmuz","Ağustos","Eylül","Ekim","Kasım","Aralık"},MONTH(B873)))</f>
        <v/>
      </c>
      <c r="D873" s="2"/>
      <c r="E873" s="4" t="str">
        <f>IFERROR(INDEX('Araç Tanımlama'!$D$5:$D$200,MATCH(D873,'Araç Tanımlama'!$A$5:$A$200,0)),"")</f>
        <v/>
      </c>
      <c r="F873" s="4" t="str">
        <f>IFERROR(INDEX('Araç Tanımlama'!$E$5:$E$200,MATCH(D873,'Araç Tanımlama'!$A$5:$A$200,0)),"")</f>
        <v/>
      </c>
      <c r="G873" s="2"/>
      <c r="H873" s="7"/>
      <c r="I873" s="9" t="str">
        <f>IF(OR(G873="",H873=""),"",G873*H873)</f>
        <v/>
      </c>
      <c r="J873" s="2"/>
      <c r="K873" s="2"/>
    </row>
    <row r="874" spans="1:11">
      <c r="A874" s="4" t="str">
        <f>IF(D874="","",COUNTIF($D$5:D874,"?*"))</f>
        <v/>
      </c>
      <c r="B874" s="5"/>
      <c r="C874" s="4" t="str">
        <f>IF(B874="","",INDEX({"Ocak","Şubat","Mart","Nisan","Mayıs","Haziran","Temmuz","Ağustos","Eylül","Ekim","Kasım","Aralık"},MONTH(B874)))</f>
        <v/>
      </c>
      <c r="D874" s="2"/>
      <c r="E874" s="4" t="str">
        <f>IFERROR(INDEX('Araç Tanımlama'!$D$5:$D$200,MATCH(D874,'Araç Tanımlama'!$A$5:$A$200,0)),"")</f>
        <v/>
      </c>
      <c r="F874" s="4" t="str">
        <f>IFERROR(INDEX('Araç Tanımlama'!$E$5:$E$200,MATCH(D874,'Araç Tanımlama'!$A$5:$A$200,0)),"")</f>
        <v/>
      </c>
      <c r="G874" s="2"/>
      <c r="H874" s="7"/>
      <c r="I874" s="9" t="str">
        <f>IF(OR(G874="",H874=""),"",G874*H874)</f>
        <v/>
      </c>
      <c r="J874" s="2"/>
      <c r="K874" s="2"/>
    </row>
    <row r="875" spans="1:11">
      <c r="A875" s="4" t="str">
        <f>IF(D875="","",COUNTIF($D$5:D875,"?*"))</f>
        <v/>
      </c>
      <c r="B875" s="5"/>
      <c r="C875" s="4" t="str">
        <f>IF(B875="","",INDEX({"Ocak","Şubat","Mart","Nisan","Mayıs","Haziran","Temmuz","Ağustos","Eylül","Ekim","Kasım","Aralık"},MONTH(B875)))</f>
        <v/>
      </c>
      <c r="D875" s="2"/>
      <c r="E875" s="4" t="str">
        <f>IFERROR(INDEX('Araç Tanımlama'!$D$5:$D$200,MATCH(D875,'Araç Tanımlama'!$A$5:$A$200,0)),"")</f>
        <v/>
      </c>
      <c r="F875" s="4" t="str">
        <f>IFERROR(INDEX('Araç Tanımlama'!$E$5:$E$200,MATCH(D875,'Araç Tanımlama'!$A$5:$A$200,0)),"")</f>
        <v/>
      </c>
      <c r="G875" s="2"/>
      <c r="H875" s="7"/>
      <c r="I875" s="9" t="str">
        <f>IF(OR(G875="",H875=""),"",G875*H875)</f>
        <v/>
      </c>
      <c r="J875" s="2"/>
      <c r="K875" s="2"/>
    </row>
    <row r="876" spans="1:11">
      <c r="A876" s="4" t="str">
        <f>IF(D876="","",COUNTIF($D$5:D876,"?*"))</f>
        <v/>
      </c>
      <c r="B876" s="5"/>
      <c r="C876" s="4" t="str">
        <f>IF(B876="","",INDEX({"Ocak","Şubat","Mart","Nisan","Mayıs","Haziran","Temmuz","Ağustos","Eylül","Ekim","Kasım","Aralık"},MONTH(B876)))</f>
        <v/>
      </c>
      <c r="D876" s="2"/>
      <c r="E876" s="4" t="str">
        <f>IFERROR(INDEX('Araç Tanımlama'!$D$5:$D$200,MATCH(D876,'Araç Tanımlama'!$A$5:$A$200,0)),"")</f>
        <v/>
      </c>
      <c r="F876" s="4" t="str">
        <f>IFERROR(INDEX('Araç Tanımlama'!$E$5:$E$200,MATCH(D876,'Araç Tanımlama'!$A$5:$A$200,0)),"")</f>
        <v/>
      </c>
      <c r="G876" s="2"/>
      <c r="H876" s="7"/>
      <c r="I876" s="9" t="str">
        <f>IF(OR(G876="",H876=""),"",G876*H876)</f>
        <v/>
      </c>
      <c r="J876" s="2"/>
      <c r="K876" s="2"/>
    </row>
    <row r="877" spans="1:11">
      <c r="A877" s="4" t="str">
        <f>IF(D877="","",COUNTIF($D$5:D877,"?*"))</f>
        <v/>
      </c>
      <c r="B877" s="5"/>
      <c r="C877" s="4" t="str">
        <f>IF(B877="","",INDEX({"Ocak","Şubat","Mart","Nisan","Mayıs","Haziran","Temmuz","Ağustos","Eylül","Ekim","Kasım","Aralık"},MONTH(B877)))</f>
        <v/>
      </c>
      <c r="D877" s="2"/>
      <c r="E877" s="4" t="str">
        <f>IFERROR(INDEX('Araç Tanımlama'!$D$5:$D$200,MATCH(D877,'Araç Tanımlama'!$A$5:$A$200,0)),"")</f>
        <v/>
      </c>
      <c r="F877" s="4" t="str">
        <f>IFERROR(INDEX('Araç Tanımlama'!$E$5:$E$200,MATCH(D877,'Araç Tanımlama'!$A$5:$A$200,0)),"")</f>
        <v/>
      </c>
      <c r="G877" s="2"/>
      <c r="H877" s="7"/>
      <c r="I877" s="9" t="str">
        <f>IF(OR(G877="",H877=""),"",G877*H877)</f>
        <v/>
      </c>
      <c r="J877" s="2"/>
      <c r="K877" s="2"/>
    </row>
    <row r="878" spans="1:11">
      <c r="A878" s="4" t="str">
        <f>IF(D878="","",COUNTIF($D$5:D878,"?*"))</f>
        <v/>
      </c>
      <c r="B878" s="5"/>
      <c r="C878" s="4" t="str">
        <f>IF(B878="","",INDEX({"Ocak","Şubat","Mart","Nisan","Mayıs","Haziran","Temmuz","Ağustos","Eylül","Ekim","Kasım","Aralık"},MONTH(B878)))</f>
        <v/>
      </c>
      <c r="D878" s="2"/>
      <c r="E878" s="4" t="str">
        <f>IFERROR(INDEX('Araç Tanımlama'!$D$5:$D$200,MATCH(D878,'Araç Tanımlama'!$A$5:$A$200,0)),"")</f>
        <v/>
      </c>
      <c r="F878" s="4" t="str">
        <f>IFERROR(INDEX('Araç Tanımlama'!$E$5:$E$200,MATCH(D878,'Araç Tanımlama'!$A$5:$A$200,0)),"")</f>
        <v/>
      </c>
      <c r="G878" s="2"/>
      <c r="H878" s="7"/>
      <c r="I878" s="9" t="str">
        <f>IF(OR(G878="",H878=""),"",G878*H878)</f>
        <v/>
      </c>
      <c r="J878" s="2"/>
      <c r="K878" s="2"/>
    </row>
    <row r="879" spans="1:11">
      <c r="A879" s="4" t="str">
        <f>IF(D879="","",COUNTIF($D$5:D879,"?*"))</f>
        <v/>
      </c>
      <c r="B879" s="5"/>
      <c r="C879" s="4" t="str">
        <f>IF(B879="","",INDEX({"Ocak","Şubat","Mart","Nisan","Mayıs","Haziran","Temmuz","Ağustos","Eylül","Ekim","Kasım","Aralık"},MONTH(B879)))</f>
        <v/>
      </c>
      <c r="D879" s="2"/>
      <c r="E879" s="4" t="str">
        <f>IFERROR(INDEX('Araç Tanımlama'!$D$5:$D$200,MATCH(D879,'Araç Tanımlama'!$A$5:$A$200,0)),"")</f>
        <v/>
      </c>
      <c r="F879" s="4" t="str">
        <f>IFERROR(INDEX('Araç Tanımlama'!$E$5:$E$200,MATCH(D879,'Araç Tanımlama'!$A$5:$A$200,0)),"")</f>
        <v/>
      </c>
      <c r="G879" s="2"/>
      <c r="H879" s="7"/>
      <c r="I879" s="9" t="str">
        <f>IF(OR(G879="",H879=""),"",G879*H879)</f>
        <v/>
      </c>
      <c r="J879" s="2"/>
      <c r="K879" s="2"/>
    </row>
    <row r="880" spans="1:11">
      <c r="A880" s="4" t="str">
        <f>IF(D880="","",COUNTIF($D$5:D880,"?*"))</f>
        <v/>
      </c>
      <c r="B880" s="5"/>
      <c r="C880" s="4" t="str">
        <f>IF(B880="","",INDEX({"Ocak","Şubat","Mart","Nisan","Mayıs","Haziran","Temmuz","Ağustos","Eylül","Ekim","Kasım","Aralık"},MONTH(B880)))</f>
        <v/>
      </c>
      <c r="D880" s="2"/>
      <c r="E880" s="4" t="str">
        <f>IFERROR(INDEX('Araç Tanımlama'!$D$5:$D$200,MATCH(D880,'Araç Tanımlama'!$A$5:$A$200,0)),"")</f>
        <v/>
      </c>
      <c r="F880" s="4" t="str">
        <f>IFERROR(INDEX('Araç Tanımlama'!$E$5:$E$200,MATCH(D880,'Araç Tanımlama'!$A$5:$A$200,0)),"")</f>
        <v/>
      </c>
      <c r="G880" s="2"/>
      <c r="H880" s="7"/>
      <c r="I880" s="9" t="str">
        <f>IF(OR(G880="",H880=""),"",G880*H880)</f>
        <v/>
      </c>
      <c r="J880" s="2"/>
      <c r="K880" s="2"/>
    </row>
    <row r="881" spans="1:11">
      <c r="A881" s="4" t="str">
        <f>IF(D881="","",COUNTIF($D$5:D881,"?*"))</f>
        <v/>
      </c>
      <c r="B881" s="5"/>
      <c r="C881" s="4" t="str">
        <f>IF(B881="","",INDEX({"Ocak","Şubat","Mart","Nisan","Mayıs","Haziran","Temmuz","Ağustos","Eylül","Ekim","Kasım","Aralık"},MONTH(B881)))</f>
        <v/>
      </c>
      <c r="D881" s="2"/>
      <c r="E881" s="4" t="str">
        <f>IFERROR(INDEX('Araç Tanımlama'!$D$5:$D$200,MATCH(D881,'Araç Tanımlama'!$A$5:$A$200,0)),"")</f>
        <v/>
      </c>
      <c r="F881" s="4" t="str">
        <f>IFERROR(INDEX('Araç Tanımlama'!$E$5:$E$200,MATCH(D881,'Araç Tanımlama'!$A$5:$A$200,0)),"")</f>
        <v/>
      </c>
      <c r="G881" s="2"/>
      <c r="H881" s="7"/>
      <c r="I881" s="9" t="str">
        <f>IF(OR(G881="",H881=""),"",G881*H881)</f>
        <v/>
      </c>
      <c r="J881" s="2"/>
      <c r="K881" s="2"/>
    </row>
    <row r="882" spans="1:11">
      <c r="A882" s="4" t="str">
        <f>IF(D882="","",COUNTIF($D$5:D882,"?*"))</f>
        <v/>
      </c>
      <c r="B882" s="5"/>
      <c r="C882" s="4" t="str">
        <f>IF(B882="","",INDEX({"Ocak","Şubat","Mart","Nisan","Mayıs","Haziran","Temmuz","Ağustos","Eylül","Ekim","Kasım","Aralık"},MONTH(B882)))</f>
        <v/>
      </c>
      <c r="D882" s="2"/>
      <c r="E882" s="4" t="str">
        <f>IFERROR(INDEX('Araç Tanımlama'!$D$5:$D$200,MATCH(D882,'Araç Tanımlama'!$A$5:$A$200,0)),"")</f>
        <v/>
      </c>
      <c r="F882" s="4" t="str">
        <f>IFERROR(INDEX('Araç Tanımlama'!$E$5:$E$200,MATCH(D882,'Araç Tanımlama'!$A$5:$A$200,0)),"")</f>
        <v/>
      </c>
      <c r="G882" s="2"/>
      <c r="H882" s="7"/>
      <c r="I882" s="9" t="str">
        <f>IF(OR(G882="",H882=""),"",G882*H882)</f>
        <v/>
      </c>
      <c r="J882" s="2"/>
      <c r="K882" s="2"/>
    </row>
    <row r="883" spans="1:11">
      <c r="A883" s="4" t="str">
        <f>IF(D883="","",COUNTIF($D$5:D883,"?*"))</f>
        <v/>
      </c>
      <c r="B883" s="5"/>
      <c r="C883" s="4" t="str">
        <f>IF(B883="","",INDEX({"Ocak","Şubat","Mart","Nisan","Mayıs","Haziran","Temmuz","Ağustos","Eylül","Ekim","Kasım","Aralık"},MONTH(B883)))</f>
        <v/>
      </c>
      <c r="D883" s="2"/>
      <c r="E883" s="4" t="str">
        <f>IFERROR(INDEX('Araç Tanımlama'!$D$5:$D$200,MATCH(D883,'Araç Tanımlama'!$A$5:$A$200,0)),"")</f>
        <v/>
      </c>
      <c r="F883" s="4" t="str">
        <f>IFERROR(INDEX('Araç Tanımlama'!$E$5:$E$200,MATCH(D883,'Araç Tanımlama'!$A$5:$A$200,0)),"")</f>
        <v/>
      </c>
      <c r="G883" s="2"/>
      <c r="H883" s="7"/>
      <c r="I883" s="9" t="str">
        <f>IF(OR(G883="",H883=""),"",G883*H883)</f>
        <v/>
      </c>
      <c r="J883" s="2"/>
      <c r="K883" s="2"/>
    </row>
    <row r="884" spans="1:11">
      <c r="A884" s="4" t="str">
        <f>IF(D884="","",COUNTIF($D$5:D884,"?*"))</f>
        <v/>
      </c>
      <c r="B884" s="5"/>
      <c r="C884" s="4" t="str">
        <f>IF(B884="","",INDEX({"Ocak","Şubat","Mart","Nisan","Mayıs","Haziran","Temmuz","Ağustos","Eylül","Ekim","Kasım","Aralık"},MONTH(B884)))</f>
        <v/>
      </c>
      <c r="D884" s="2"/>
      <c r="E884" s="4" t="str">
        <f>IFERROR(INDEX('Araç Tanımlama'!$D$5:$D$200,MATCH(D884,'Araç Tanımlama'!$A$5:$A$200,0)),"")</f>
        <v/>
      </c>
      <c r="F884" s="4" t="str">
        <f>IFERROR(INDEX('Araç Tanımlama'!$E$5:$E$200,MATCH(D884,'Araç Tanımlama'!$A$5:$A$200,0)),"")</f>
        <v/>
      </c>
      <c r="G884" s="2"/>
      <c r="H884" s="7"/>
      <c r="I884" s="9" t="str">
        <f>IF(OR(G884="",H884=""),"",G884*H884)</f>
        <v/>
      </c>
      <c r="J884" s="2"/>
      <c r="K884" s="2"/>
    </row>
    <row r="885" spans="1:11">
      <c r="A885" s="4" t="str">
        <f>IF(D885="","",COUNTIF($D$5:D885,"?*"))</f>
        <v/>
      </c>
      <c r="B885" s="5"/>
      <c r="C885" s="4" t="str">
        <f>IF(B885="","",INDEX({"Ocak","Şubat","Mart","Nisan","Mayıs","Haziran","Temmuz","Ağustos","Eylül","Ekim","Kasım","Aralık"},MONTH(B885)))</f>
        <v/>
      </c>
      <c r="D885" s="2"/>
      <c r="E885" s="4" t="str">
        <f>IFERROR(INDEX('Araç Tanımlama'!$D$5:$D$200,MATCH(D885,'Araç Tanımlama'!$A$5:$A$200,0)),"")</f>
        <v/>
      </c>
      <c r="F885" s="4" t="str">
        <f>IFERROR(INDEX('Araç Tanımlama'!$E$5:$E$200,MATCH(D885,'Araç Tanımlama'!$A$5:$A$200,0)),"")</f>
        <v/>
      </c>
      <c r="G885" s="2"/>
      <c r="H885" s="7"/>
      <c r="I885" s="9" t="str">
        <f>IF(OR(G885="",H885=""),"",G885*H885)</f>
        <v/>
      </c>
      <c r="J885" s="2"/>
      <c r="K885" s="2"/>
    </row>
    <row r="886" spans="1:11">
      <c r="A886" s="4" t="str">
        <f>IF(D886="","",COUNTIF($D$5:D886,"?*"))</f>
        <v/>
      </c>
      <c r="B886" s="5"/>
      <c r="C886" s="4" t="str">
        <f>IF(B886="","",INDEX({"Ocak","Şubat","Mart","Nisan","Mayıs","Haziran","Temmuz","Ağustos","Eylül","Ekim","Kasım","Aralık"},MONTH(B886)))</f>
        <v/>
      </c>
      <c r="D886" s="2"/>
      <c r="E886" s="4" t="str">
        <f>IFERROR(INDEX('Araç Tanımlama'!$D$5:$D$200,MATCH(D886,'Araç Tanımlama'!$A$5:$A$200,0)),"")</f>
        <v/>
      </c>
      <c r="F886" s="4" t="str">
        <f>IFERROR(INDEX('Araç Tanımlama'!$E$5:$E$200,MATCH(D886,'Araç Tanımlama'!$A$5:$A$200,0)),"")</f>
        <v/>
      </c>
      <c r="G886" s="2"/>
      <c r="H886" s="7"/>
      <c r="I886" s="9" t="str">
        <f>IF(OR(G886="",H886=""),"",G886*H886)</f>
        <v/>
      </c>
      <c r="J886" s="2"/>
      <c r="K886" s="2"/>
    </row>
    <row r="887" spans="1:11">
      <c r="A887" s="4" t="str">
        <f>IF(D887="","",COUNTIF($D$5:D887,"?*"))</f>
        <v/>
      </c>
      <c r="B887" s="5"/>
      <c r="C887" s="4" t="str">
        <f>IF(B887="","",INDEX({"Ocak","Şubat","Mart","Nisan","Mayıs","Haziran","Temmuz","Ağustos","Eylül","Ekim","Kasım","Aralık"},MONTH(B887)))</f>
        <v/>
      </c>
      <c r="D887" s="2"/>
      <c r="E887" s="4" t="str">
        <f>IFERROR(INDEX('Araç Tanımlama'!$D$5:$D$200,MATCH(D887,'Araç Tanımlama'!$A$5:$A$200,0)),"")</f>
        <v/>
      </c>
      <c r="F887" s="4" t="str">
        <f>IFERROR(INDEX('Araç Tanımlama'!$E$5:$E$200,MATCH(D887,'Araç Tanımlama'!$A$5:$A$200,0)),"")</f>
        <v/>
      </c>
      <c r="G887" s="2"/>
      <c r="H887" s="7"/>
      <c r="I887" s="9" t="str">
        <f>IF(OR(G887="",H887=""),"",G887*H887)</f>
        <v/>
      </c>
      <c r="J887" s="2"/>
      <c r="K887" s="2"/>
    </row>
    <row r="888" spans="1:11">
      <c r="A888" s="4" t="str">
        <f>IF(D888="","",COUNTIF($D$5:D888,"?*"))</f>
        <v/>
      </c>
      <c r="B888" s="5"/>
      <c r="C888" s="4" t="str">
        <f>IF(B888="","",INDEX({"Ocak","Şubat","Mart","Nisan","Mayıs","Haziran","Temmuz","Ağustos","Eylül","Ekim","Kasım","Aralık"},MONTH(B888)))</f>
        <v/>
      </c>
      <c r="D888" s="2"/>
      <c r="E888" s="4" t="str">
        <f>IFERROR(INDEX('Araç Tanımlama'!$D$5:$D$200,MATCH(D888,'Araç Tanımlama'!$A$5:$A$200,0)),"")</f>
        <v/>
      </c>
      <c r="F888" s="4" t="str">
        <f>IFERROR(INDEX('Araç Tanımlama'!$E$5:$E$200,MATCH(D888,'Araç Tanımlama'!$A$5:$A$200,0)),"")</f>
        <v/>
      </c>
      <c r="G888" s="2"/>
      <c r="H888" s="7"/>
      <c r="I888" s="9" t="str">
        <f>IF(OR(G888="",H888=""),"",G888*H888)</f>
        <v/>
      </c>
      <c r="J888" s="2"/>
      <c r="K888" s="2"/>
    </row>
    <row r="889" spans="1:11">
      <c r="A889" s="4" t="str">
        <f>IF(D889="","",COUNTIF($D$5:D889,"?*"))</f>
        <v/>
      </c>
      <c r="B889" s="5"/>
      <c r="C889" s="4" t="str">
        <f>IF(B889="","",INDEX({"Ocak","Şubat","Mart","Nisan","Mayıs","Haziran","Temmuz","Ağustos","Eylül","Ekim","Kasım","Aralık"},MONTH(B889)))</f>
        <v/>
      </c>
      <c r="D889" s="2"/>
      <c r="E889" s="4" t="str">
        <f>IFERROR(INDEX('Araç Tanımlama'!$D$5:$D$200,MATCH(D889,'Araç Tanımlama'!$A$5:$A$200,0)),"")</f>
        <v/>
      </c>
      <c r="F889" s="4" t="str">
        <f>IFERROR(INDEX('Araç Tanımlama'!$E$5:$E$200,MATCH(D889,'Araç Tanımlama'!$A$5:$A$200,0)),"")</f>
        <v/>
      </c>
      <c r="G889" s="2"/>
      <c r="H889" s="7"/>
      <c r="I889" s="9" t="str">
        <f>IF(OR(G889="",H889=""),"",G889*H889)</f>
        <v/>
      </c>
      <c r="J889" s="2"/>
      <c r="K889" s="2"/>
    </row>
    <row r="890" spans="1:11">
      <c r="A890" s="4" t="str">
        <f>IF(D890="","",COUNTIF($D$5:D890,"?*"))</f>
        <v/>
      </c>
      <c r="B890" s="5"/>
      <c r="C890" s="4" t="str">
        <f>IF(B890="","",INDEX({"Ocak","Şubat","Mart","Nisan","Mayıs","Haziran","Temmuz","Ağustos","Eylül","Ekim","Kasım","Aralık"},MONTH(B890)))</f>
        <v/>
      </c>
      <c r="D890" s="2"/>
      <c r="E890" s="4" t="str">
        <f>IFERROR(INDEX('Araç Tanımlama'!$D$5:$D$200,MATCH(D890,'Araç Tanımlama'!$A$5:$A$200,0)),"")</f>
        <v/>
      </c>
      <c r="F890" s="4" t="str">
        <f>IFERROR(INDEX('Araç Tanımlama'!$E$5:$E$200,MATCH(D890,'Araç Tanımlama'!$A$5:$A$200,0)),"")</f>
        <v/>
      </c>
      <c r="G890" s="2"/>
      <c r="H890" s="7"/>
      <c r="I890" s="9" t="str">
        <f>IF(OR(G890="",H890=""),"",G890*H890)</f>
        <v/>
      </c>
      <c r="J890" s="2"/>
      <c r="K890" s="2"/>
    </row>
    <row r="891" spans="1:11">
      <c r="A891" s="4" t="str">
        <f>IF(D891="","",COUNTIF($D$5:D891,"?*"))</f>
        <v/>
      </c>
      <c r="B891" s="5"/>
      <c r="C891" s="4" t="str">
        <f>IF(B891="","",INDEX({"Ocak","Şubat","Mart","Nisan","Mayıs","Haziran","Temmuz","Ağustos","Eylül","Ekim","Kasım","Aralık"},MONTH(B891)))</f>
        <v/>
      </c>
      <c r="D891" s="2"/>
      <c r="E891" s="4" t="str">
        <f>IFERROR(INDEX('Araç Tanımlama'!$D$5:$D$200,MATCH(D891,'Araç Tanımlama'!$A$5:$A$200,0)),"")</f>
        <v/>
      </c>
      <c r="F891" s="4" t="str">
        <f>IFERROR(INDEX('Araç Tanımlama'!$E$5:$E$200,MATCH(D891,'Araç Tanımlama'!$A$5:$A$200,0)),"")</f>
        <v/>
      </c>
      <c r="G891" s="2"/>
      <c r="H891" s="7"/>
      <c r="I891" s="9" t="str">
        <f>IF(OR(G891="",H891=""),"",G891*H891)</f>
        <v/>
      </c>
      <c r="J891" s="2"/>
      <c r="K891" s="2"/>
    </row>
    <row r="892" spans="1:11">
      <c r="A892" s="4" t="str">
        <f>IF(D892="","",COUNTIF($D$5:D892,"?*"))</f>
        <v/>
      </c>
      <c r="B892" s="5"/>
      <c r="C892" s="4" t="str">
        <f>IF(B892="","",INDEX({"Ocak","Şubat","Mart","Nisan","Mayıs","Haziran","Temmuz","Ağustos","Eylül","Ekim","Kasım","Aralık"},MONTH(B892)))</f>
        <v/>
      </c>
      <c r="D892" s="2"/>
      <c r="E892" s="4" t="str">
        <f>IFERROR(INDEX('Araç Tanımlama'!$D$5:$D$200,MATCH(D892,'Araç Tanımlama'!$A$5:$A$200,0)),"")</f>
        <v/>
      </c>
      <c r="F892" s="4" t="str">
        <f>IFERROR(INDEX('Araç Tanımlama'!$E$5:$E$200,MATCH(D892,'Araç Tanımlama'!$A$5:$A$200,0)),"")</f>
        <v/>
      </c>
      <c r="G892" s="2"/>
      <c r="H892" s="7"/>
      <c r="I892" s="9" t="str">
        <f>IF(OR(G892="",H892=""),"",G892*H892)</f>
        <v/>
      </c>
      <c r="J892" s="2"/>
      <c r="K892" s="2"/>
    </row>
    <row r="893" spans="1:11">
      <c r="A893" s="4" t="str">
        <f>IF(D893="","",COUNTIF($D$5:D893,"?*"))</f>
        <v/>
      </c>
      <c r="B893" s="5"/>
      <c r="C893" s="4" t="str">
        <f>IF(B893="","",INDEX({"Ocak","Şubat","Mart","Nisan","Mayıs","Haziran","Temmuz","Ağustos","Eylül","Ekim","Kasım","Aralık"},MONTH(B893)))</f>
        <v/>
      </c>
      <c r="D893" s="2"/>
      <c r="E893" s="4" t="str">
        <f>IFERROR(INDEX('Araç Tanımlama'!$D$5:$D$200,MATCH(D893,'Araç Tanımlama'!$A$5:$A$200,0)),"")</f>
        <v/>
      </c>
      <c r="F893" s="4" t="str">
        <f>IFERROR(INDEX('Araç Tanımlama'!$E$5:$E$200,MATCH(D893,'Araç Tanımlama'!$A$5:$A$200,0)),"")</f>
        <v/>
      </c>
      <c r="G893" s="2"/>
      <c r="H893" s="7"/>
      <c r="I893" s="9" t="str">
        <f>IF(OR(G893="",H893=""),"",G893*H893)</f>
        <v/>
      </c>
      <c r="J893" s="2"/>
      <c r="K893" s="2"/>
    </row>
    <row r="894" spans="1:11">
      <c r="A894" s="4" t="str">
        <f>IF(D894="","",COUNTIF($D$5:D894,"?*"))</f>
        <v/>
      </c>
      <c r="B894" s="5"/>
      <c r="C894" s="4" t="str">
        <f>IF(B894="","",INDEX({"Ocak","Şubat","Mart","Nisan","Mayıs","Haziran","Temmuz","Ağustos","Eylül","Ekim","Kasım","Aralık"},MONTH(B894)))</f>
        <v/>
      </c>
      <c r="D894" s="2"/>
      <c r="E894" s="4" t="str">
        <f>IFERROR(INDEX('Araç Tanımlama'!$D$5:$D$200,MATCH(D894,'Araç Tanımlama'!$A$5:$A$200,0)),"")</f>
        <v/>
      </c>
      <c r="F894" s="4" t="str">
        <f>IFERROR(INDEX('Araç Tanımlama'!$E$5:$E$200,MATCH(D894,'Araç Tanımlama'!$A$5:$A$200,0)),"")</f>
        <v/>
      </c>
      <c r="G894" s="2"/>
      <c r="H894" s="7"/>
      <c r="I894" s="9" t="str">
        <f>IF(OR(G894="",H894=""),"",G894*H894)</f>
        <v/>
      </c>
      <c r="J894" s="2"/>
      <c r="K894" s="2"/>
    </row>
    <row r="895" spans="1:11">
      <c r="A895" s="4" t="str">
        <f>IF(D895="","",COUNTIF($D$5:D895,"?*"))</f>
        <v/>
      </c>
      <c r="B895" s="5"/>
      <c r="C895" s="4" t="str">
        <f>IF(B895="","",INDEX({"Ocak","Şubat","Mart","Nisan","Mayıs","Haziran","Temmuz","Ağustos","Eylül","Ekim","Kasım","Aralık"},MONTH(B895)))</f>
        <v/>
      </c>
      <c r="D895" s="2"/>
      <c r="E895" s="4" t="str">
        <f>IFERROR(INDEX('Araç Tanımlama'!$D$5:$D$200,MATCH(D895,'Araç Tanımlama'!$A$5:$A$200,0)),"")</f>
        <v/>
      </c>
      <c r="F895" s="4" t="str">
        <f>IFERROR(INDEX('Araç Tanımlama'!$E$5:$E$200,MATCH(D895,'Araç Tanımlama'!$A$5:$A$200,0)),"")</f>
        <v/>
      </c>
      <c r="G895" s="2"/>
      <c r="H895" s="7"/>
      <c r="I895" s="9" t="str">
        <f>IF(OR(G895="",H895=""),"",G895*H895)</f>
        <v/>
      </c>
      <c r="J895" s="2"/>
      <c r="K895" s="2"/>
    </row>
    <row r="896" spans="1:11">
      <c r="A896" s="4" t="str">
        <f>IF(D896="","",COUNTIF($D$5:D896,"?*"))</f>
        <v/>
      </c>
      <c r="B896" s="5"/>
      <c r="C896" s="4" t="str">
        <f>IF(B896="","",INDEX({"Ocak","Şubat","Mart","Nisan","Mayıs","Haziran","Temmuz","Ağustos","Eylül","Ekim","Kasım","Aralık"},MONTH(B896)))</f>
        <v/>
      </c>
      <c r="D896" s="2"/>
      <c r="E896" s="4" t="str">
        <f>IFERROR(INDEX('Araç Tanımlama'!$D$5:$D$200,MATCH(D896,'Araç Tanımlama'!$A$5:$A$200,0)),"")</f>
        <v/>
      </c>
      <c r="F896" s="4" t="str">
        <f>IFERROR(INDEX('Araç Tanımlama'!$E$5:$E$200,MATCH(D896,'Araç Tanımlama'!$A$5:$A$200,0)),"")</f>
        <v/>
      </c>
      <c r="G896" s="2"/>
      <c r="H896" s="7"/>
      <c r="I896" s="9" t="str">
        <f>IF(OR(G896="",H896=""),"",G896*H896)</f>
        <v/>
      </c>
      <c r="J896" s="2"/>
      <c r="K896" s="2"/>
    </row>
    <row r="897" spans="1:11">
      <c r="A897" s="4" t="str">
        <f>IF(D897="","",COUNTIF($D$5:D897,"?*"))</f>
        <v/>
      </c>
      <c r="B897" s="5"/>
      <c r="C897" s="4" t="str">
        <f>IF(B897="","",INDEX({"Ocak","Şubat","Mart","Nisan","Mayıs","Haziran","Temmuz","Ağustos","Eylül","Ekim","Kasım","Aralık"},MONTH(B897)))</f>
        <v/>
      </c>
      <c r="D897" s="2"/>
      <c r="E897" s="4" t="str">
        <f>IFERROR(INDEX('Araç Tanımlama'!$D$5:$D$200,MATCH(D897,'Araç Tanımlama'!$A$5:$A$200,0)),"")</f>
        <v/>
      </c>
      <c r="F897" s="4" t="str">
        <f>IFERROR(INDEX('Araç Tanımlama'!$E$5:$E$200,MATCH(D897,'Araç Tanımlama'!$A$5:$A$200,0)),"")</f>
        <v/>
      </c>
      <c r="G897" s="2"/>
      <c r="H897" s="7"/>
      <c r="I897" s="9" t="str">
        <f>IF(OR(G897="",H897=""),"",G897*H897)</f>
        <v/>
      </c>
      <c r="J897" s="2"/>
      <c r="K897" s="2"/>
    </row>
    <row r="898" spans="1:11">
      <c r="A898" s="4" t="str">
        <f>IF(D898="","",COUNTIF($D$5:D898,"?*"))</f>
        <v/>
      </c>
      <c r="B898" s="5"/>
      <c r="C898" s="4" t="str">
        <f>IF(B898="","",INDEX({"Ocak","Şubat","Mart","Nisan","Mayıs","Haziran","Temmuz","Ağustos","Eylül","Ekim","Kasım","Aralık"},MONTH(B898)))</f>
        <v/>
      </c>
      <c r="D898" s="2"/>
      <c r="E898" s="4" t="str">
        <f>IFERROR(INDEX('Araç Tanımlama'!$D$5:$D$200,MATCH(D898,'Araç Tanımlama'!$A$5:$A$200,0)),"")</f>
        <v/>
      </c>
      <c r="F898" s="4" t="str">
        <f>IFERROR(INDEX('Araç Tanımlama'!$E$5:$E$200,MATCH(D898,'Araç Tanımlama'!$A$5:$A$200,0)),"")</f>
        <v/>
      </c>
      <c r="G898" s="2"/>
      <c r="H898" s="7"/>
      <c r="I898" s="9" t="str">
        <f>IF(OR(G898="",H898=""),"",G898*H898)</f>
        <v/>
      </c>
      <c r="J898" s="2"/>
      <c r="K898" s="2"/>
    </row>
    <row r="899" spans="1:11">
      <c r="A899" s="4" t="str">
        <f>IF(D899="","",COUNTIF($D$5:D899,"?*"))</f>
        <v/>
      </c>
      <c r="B899" s="5"/>
      <c r="C899" s="4" t="str">
        <f>IF(B899="","",INDEX({"Ocak","Şubat","Mart","Nisan","Mayıs","Haziran","Temmuz","Ağustos","Eylül","Ekim","Kasım","Aralık"},MONTH(B899)))</f>
        <v/>
      </c>
      <c r="D899" s="2"/>
      <c r="E899" s="4" t="str">
        <f>IFERROR(INDEX('Araç Tanımlama'!$D$5:$D$200,MATCH(D899,'Araç Tanımlama'!$A$5:$A$200,0)),"")</f>
        <v/>
      </c>
      <c r="F899" s="4" t="str">
        <f>IFERROR(INDEX('Araç Tanımlama'!$E$5:$E$200,MATCH(D899,'Araç Tanımlama'!$A$5:$A$200,0)),"")</f>
        <v/>
      </c>
      <c r="G899" s="2"/>
      <c r="H899" s="7"/>
      <c r="I899" s="9" t="str">
        <f>IF(OR(G899="",H899=""),"",G899*H899)</f>
        <v/>
      </c>
      <c r="J899" s="2"/>
      <c r="K899" s="2"/>
    </row>
    <row r="900" spans="1:11">
      <c r="A900" s="4" t="str">
        <f>IF(D900="","",COUNTIF($D$5:D900,"?*"))</f>
        <v/>
      </c>
      <c r="B900" s="5"/>
      <c r="C900" s="4" t="str">
        <f>IF(B900="","",INDEX({"Ocak","Şubat","Mart","Nisan","Mayıs","Haziran","Temmuz","Ağustos","Eylül","Ekim","Kasım","Aralık"},MONTH(B900)))</f>
        <v/>
      </c>
      <c r="D900" s="2"/>
      <c r="E900" s="4" t="str">
        <f>IFERROR(INDEX('Araç Tanımlama'!$D$5:$D$200,MATCH(D900,'Araç Tanımlama'!$A$5:$A$200,0)),"")</f>
        <v/>
      </c>
      <c r="F900" s="4" t="str">
        <f>IFERROR(INDEX('Araç Tanımlama'!$E$5:$E$200,MATCH(D900,'Araç Tanımlama'!$A$5:$A$200,0)),"")</f>
        <v/>
      </c>
      <c r="G900" s="2"/>
      <c r="H900" s="7"/>
      <c r="I900" s="9" t="str">
        <f>IF(OR(G900="",H900=""),"",G900*H900)</f>
        <v/>
      </c>
      <c r="J900" s="2"/>
      <c r="K900" s="2"/>
    </row>
    <row r="901" spans="1:11">
      <c r="A901" s="4" t="str">
        <f>IF(D901="","",COUNTIF($D$5:D901,"?*"))</f>
        <v/>
      </c>
      <c r="B901" s="5"/>
      <c r="C901" s="4" t="str">
        <f>IF(B901="","",INDEX({"Ocak","Şubat","Mart","Nisan","Mayıs","Haziran","Temmuz","Ağustos","Eylül","Ekim","Kasım","Aralık"},MONTH(B901)))</f>
        <v/>
      </c>
      <c r="D901" s="2"/>
      <c r="E901" s="4" t="str">
        <f>IFERROR(INDEX('Araç Tanımlama'!$D$5:$D$200,MATCH(D901,'Araç Tanımlama'!$A$5:$A$200,0)),"")</f>
        <v/>
      </c>
      <c r="F901" s="4" t="str">
        <f>IFERROR(INDEX('Araç Tanımlama'!$E$5:$E$200,MATCH(D901,'Araç Tanımlama'!$A$5:$A$200,0)),"")</f>
        <v/>
      </c>
      <c r="G901" s="2"/>
      <c r="H901" s="7"/>
      <c r="I901" s="9" t="str">
        <f>IF(OR(G901="",H901=""),"",G901*H901)</f>
        <v/>
      </c>
      <c r="J901" s="2"/>
      <c r="K901" s="2"/>
    </row>
    <row r="902" spans="1:11">
      <c r="A902" s="4" t="str">
        <f>IF(D902="","",COUNTIF($D$5:D902,"?*"))</f>
        <v/>
      </c>
      <c r="B902" s="5"/>
      <c r="C902" s="4" t="str">
        <f>IF(B902="","",INDEX({"Ocak","Şubat","Mart","Nisan","Mayıs","Haziran","Temmuz","Ağustos","Eylül","Ekim","Kasım","Aralık"},MONTH(B902)))</f>
        <v/>
      </c>
      <c r="D902" s="2"/>
      <c r="E902" s="4" t="str">
        <f>IFERROR(INDEX('Araç Tanımlama'!$D$5:$D$200,MATCH(D902,'Araç Tanımlama'!$A$5:$A$200,0)),"")</f>
        <v/>
      </c>
      <c r="F902" s="4" t="str">
        <f>IFERROR(INDEX('Araç Tanımlama'!$E$5:$E$200,MATCH(D902,'Araç Tanımlama'!$A$5:$A$200,0)),"")</f>
        <v/>
      </c>
      <c r="G902" s="2"/>
      <c r="H902" s="7"/>
      <c r="I902" s="9" t="str">
        <f>IF(OR(G902="",H902=""),"",G902*H902)</f>
        <v/>
      </c>
      <c r="J902" s="2"/>
      <c r="K902" s="2"/>
    </row>
    <row r="903" spans="1:11">
      <c r="A903" s="4" t="str">
        <f>IF(D903="","",COUNTIF($D$5:D903,"?*"))</f>
        <v/>
      </c>
      <c r="B903" s="5"/>
      <c r="C903" s="4" t="str">
        <f>IF(B903="","",INDEX({"Ocak","Şubat","Mart","Nisan","Mayıs","Haziran","Temmuz","Ağustos","Eylül","Ekim","Kasım","Aralık"},MONTH(B903)))</f>
        <v/>
      </c>
      <c r="D903" s="2"/>
      <c r="E903" s="4" t="str">
        <f>IFERROR(INDEX('Araç Tanımlama'!$D$5:$D$200,MATCH(D903,'Araç Tanımlama'!$A$5:$A$200,0)),"")</f>
        <v/>
      </c>
      <c r="F903" s="4" t="str">
        <f>IFERROR(INDEX('Araç Tanımlama'!$E$5:$E$200,MATCH(D903,'Araç Tanımlama'!$A$5:$A$200,0)),"")</f>
        <v/>
      </c>
      <c r="G903" s="2"/>
      <c r="H903" s="7"/>
      <c r="I903" s="9" t="str">
        <f>IF(OR(G903="",H903=""),"",G903*H903)</f>
        <v/>
      </c>
      <c r="J903" s="2"/>
      <c r="K903" s="2"/>
    </row>
    <row r="904" spans="1:11">
      <c r="A904" s="4" t="str">
        <f>IF(D904="","",COUNTIF($D$5:D904,"?*"))</f>
        <v/>
      </c>
      <c r="B904" s="5"/>
      <c r="C904" s="4" t="str">
        <f>IF(B904="","",INDEX({"Ocak","Şubat","Mart","Nisan","Mayıs","Haziran","Temmuz","Ağustos","Eylül","Ekim","Kasım","Aralık"},MONTH(B904)))</f>
        <v/>
      </c>
      <c r="D904" s="2"/>
      <c r="E904" s="4" t="str">
        <f>IFERROR(INDEX('Araç Tanımlama'!$D$5:$D$200,MATCH(D904,'Araç Tanımlama'!$A$5:$A$200,0)),"")</f>
        <v/>
      </c>
      <c r="F904" s="4" t="str">
        <f>IFERROR(INDEX('Araç Tanımlama'!$E$5:$E$200,MATCH(D904,'Araç Tanımlama'!$A$5:$A$200,0)),"")</f>
        <v/>
      </c>
      <c r="G904" s="2"/>
      <c r="H904" s="7"/>
      <c r="I904" s="9" t="str">
        <f>IF(OR(G904="",H904=""),"",G904*H904)</f>
        <v/>
      </c>
      <c r="J904" s="2"/>
      <c r="K904" s="2"/>
    </row>
    <row r="905" spans="1:11">
      <c r="A905" s="4" t="str">
        <f>IF(D905="","",COUNTIF($D$5:D905,"?*"))</f>
        <v/>
      </c>
      <c r="B905" s="5"/>
      <c r="C905" s="4" t="str">
        <f>IF(B905="","",INDEX({"Ocak","Şubat","Mart","Nisan","Mayıs","Haziran","Temmuz","Ağustos","Eylül","Ekim","Kasım","Aralık"},MONTH(B905)))</f>
        <v/>
      </c>
      <c r="D905" s="2"/>
      <c r="E905" s="4" t="str">
        <f>IFERROR(INDEX('Araç Tanımlama'!$D$5:$D$200,MATCH(D905,'Araç Tanımlama'!$A$5:$A$200,0)),"")</f>
        <v/>
      </c>
      <c r="F905" s="4" t="str">
        <f>IFERROR(INDEX('Araç Tanımlama'!$E$5:$E$200,MATCH(D905,'Araç Tanımlama'!$A$5:$A$200,0)),"")</f>
        <v/>
      </c>
      <c r="G905" s="2"/>
      <c r="H905" s="7"/>
      <c r="I905" s="9" t="str">
        <f>IF(OR(G905="",H905=""),"",G905*H905)</f>
        <v/>
      </c>
      <c r="J905" s="2"/>
      <c r="K905" s="2"/>
    </row>
    <row r="906" spans="1:11">
      <c r="A906" s="4" t="str">
        <f>IF(D906="","",COUNTIF($D$5:D906,"?*"))</f>
        <v/>
      </c>
      <c r="B906" s="5"/>
      <c r="C906" s="4" t="str">
        <f>IF(B906="","",INDEX({"Ocak","Şubat","Mart","Nisan","Mayıs","Haziran","Temmuz","Ağustos","Eylül","Ekim","Kasım","Aralık"},MONTH(B906)))</f>
        <v/>
      </c>
      <c r="D906" s="2"/>
      <c r="E906" s="4" t="str">
        <f>IFERROR(INDEX('Araç Tanımlama'!$D$5:$D$200,MATCH(D906,'Araç Tanımlama'!$A$5:$A$200,0)),"")</f>
        <v/>
      </c>
      <c r="F906" s="4" t="str">
        <f>IFERROR(INDEX('Araç Tanımlama'!$E$5:$E$200,MATCH(D906,'Araç Tanımlama'!$A$5:$A$200,0)),"")</f>
        <v/>
      </c>
      <c r="G906" s="2"/>
      <c r="H906" s="7"/>
      <c r="I906" s="9" t="str">
        <f>IF(OR(G906="",H906=""),"",G906*H906)</f>
        <v/>
      </c>
      <c r="J906" s="2"/>
      <c r="K906" s="2"/>
    </row>
    <row r="907" spans="1:11">
      <c r="A907" s="4" t="str">
        <f>IF(D907="","",COUNTIF($D$5:D907,"?*"))</f>
        <v/>
      </c>
      <c r="B907" s="5"/>
      <c r="C907" s="4" t="str">
        <f>IF(B907="","",INDEX({"Ocak","Şubat","Mart","Nisan","Mayıs","Haziran","Temmuz","Ağustos","Eylül","Ekim","Kasım","Aralık"},MONTH(B907)))</f>
        <v/>
      </c>
      <c r="D907" s="2"/>
      <c r="E907" s="4" t="str">
        <f>IFERROR(INDEX('Araç Tanımlama'!$D$5:$D$200,MATCH(D907,'Araç Tanımlama'!$A$5:$A$200,0)),"")</f>
        <v/>
      </c>
      <c r="F907" s="4" t="str">
        <f>IFERROR(INDEX('Araç Tanımlama'!$E$5:$E$200,MATCH(D907,'Araç Tanımlama'!$A$5:$A$200,0)),"")</f>
        <v/>
      </c>
      <c r="G907" s="2"/>
      <c r="H907" s="7"/>
      <c r="I907" s="9" t="str">
        <f>IF(OR(G907="",H907=""),"",G907*H907)</f>
        <v/>
      </c>
      <c r="J907" s="2"/>
      <c r="K907" s="2"/>
    </row>
    <row r="908" spans="1:11">
      <c r="A908" s="4" t="str">
        <f>IF(D908="","",COUNTIF($D$5:D908,"?*"))</f>
        <v/>
      </c>
      <c r="B908" s="5"/>
      <c r="C908" s="4" t="str">
        <f>IF(B908="","",INDEX({"Ocak","Şubat","Mart","Nisan","Mayıs","Haziran","Temmuz","Ağustos","Eylül","Ekim","Kasım","Aralık"},MONTH(B908)))</f>
        <v/>
      </c>
      <c r="D908" s="2"/>
      <c r="E908" s="4" t="str">
        <f>IFERROR(INDEX('Araç Tanımlama'!$D$5:$D$200,MATCH(D908,'Araç Tanımlama'!$A$5:$A$200,0)),"")</f>
        <v/>
      </c>
      <c r="F908" s="4" t="str">
        <f>IFERROR(INDEX('Araç Tanımlama'!$E$5:$E$200,MATCH(D908,'Araç Tanımlama'!$A$5:$A$200,0)),"")</f>
        <v/>
      </c>
      <c r="G908" s="2"/>
      <c r="H908" s="7"/>
      <c r="I908" s="9" t="str">
        <f>IF(OR(G908="",H908=""),"",G908*H908)</f>
        <v/>
      </c>
      <c r="J908" s="2"/>
      <c r="K908" s="2"/>
    </row>
    <row r="909" spans="1:11">
      <c r="A909" s="4" t="str">
        <f>IF(D909="","",COUNTIF($D$5:D909,"?*"))</f>
        <v/>
      </c>
      <c r="B909" s="5"/>
      <c r="C909" s="4" t="str">
        <f>IF(B909="","",INDEX({"Ocak","Şubat","Mart","Nisan","Mayıs","Haziran","Temmuz","Ağustos","Eylül","Ekim","Kasım","Aralık"},MONTH(B909)))</f>
        <v/>
      </c>
      <c r="D909" s="2"/>
      <c r="E909" s="4" t="str">
        <f>IFERROR(INDEX('Araç Tanımlama'!$D$5:$D$200,MATCH(D909,'Araç Tanımlama'!$A$5:$A$200,0)),"")</f>
        <v/>
      </c>
      <c r="F909" s="4" t="str">
        <f>IFERROR(INDEX('Araç Tanımlama'!$E$5:$E$200,MATCH(D909,'Araç Tanımlama'!$A$5:$A$200,0)),"")</f>
        <v/>
      </c>
      <c r="G909" s="2"/>
      <c r="H909" s="7"/>
      <c r="I909" s="9" t="str">
        <f>IF(OR(G909="",H909=""),"",G909*H909)</f>
        <v/>
      </c>
      <c r="J909" s="2"/>
      <c r="K909" s="2"/>
    </row>
    <row r="910" spans="1:11">
      <c r="A910" s="4" t="str">
        <f>IF(D910="","",COUNTIF($D$5:D910,"?*"))</f>
        <v/>
      </c>
      <c r="B910" s="5"/>
      <c r="C910" s="4" t="str">
        <f>IF(B910="","",INDEX({"Ocak","Şubat","Mart","Nisan","Mayıs","Haziran","Temmuz","Ağustos","Eylül","Ekim","Kasım","Aralık"},MONTH(B910)))</f>
        <v/>
      </c>
      <c r="D910" s="2"/>
      <c r="E910" s="4" t="str">
        <f>IFERROR(INDEX('Araç Tanımlama'!$D$5:$D$200,MATCH(D910,'Araç Tanımlama'!$A$5:$A$200,0)),"")</f>
        <v/>
      </c>
      <c r="F910" s="4" t="str">
        <f>IFERROR(INDEX('Araç Tanımlama'!$E$5:$E$200,MATCH(D910,'Araç Tanımlama'!$A$5:$A$200,0)),"")</f>
        <v/>
      </c>
      <c r="G910" s="2"/>
      <c r="H910" s="7"/>
      <c r="I910" s="9" t="str">
        <f>IF(OR(G910="",H910=""),"",G910*H910)</f>
        <v/>
      </c>
      <c r="J910" s="2"/>
      <c r="K910" s="2"/>
    </row>
    <row r="911" spans="1:11">
      <c r="A911" s="4" t="str">
        <f>IF(D911="","",COUNTIF($D$5:D911,"?*"))</f>
        <v/>
      </c>
      <c r="B911" s="5"/>
      <c r="C911" s="4" t="str">
        <f>IF(B911="","",INDEX({"Ocak","Şubat","Mart","Nisan","Mayıs","Haziran","Temmuz","Ağustos","Eylül","Ekim","Kasım","Aralık"},MONTH(B911)))</f>
        <v/>
      </c>
      <c r="D911" s="2"/>
      <c r="E911" s="4" t="str">
        <f>IFERROR(INDEX('Araç Tanımlama'!$D$5:$D$200,MATCH(D911,'Araç Tanımlama'!$A$5:$A$200,0)),"")</f>
        <v/>
      </c>
      <c r="F911" s="4" t="str">
        <f>IFERROR(INDEX('Araç Tanımlama'!$E$5:$E$200,MATCH(D911,'Araç Tanımlama'!$A$5:$A$200,0)),"")</f>
        <v/>
      </c>
      <c r="G911" s="2"/>
      <c r="H911" s="7"/>
      <c r="I911" s="9" t="str">
        <f>IF(OR(G911="",H911=""),"",G911*H911)</f>
        <v/>
      </c>
      <c r="J911" s="2"/>
      <c r="K911" s="2"/>
    </row>
    <row r="912" spans="1:11">
      <c r="A912" s="4" t="str">
        <f>IF(D912="","",COUNTIF($D$5:D912,"?*"))</f>
        <v/>
      </c>
      <c r="B912" s="5"/>
      <c r="C912" s="4" t="str">
        <f>IF(B912="","",INDEX({"Ocak","Şubat","Mart","Nisan","Mayıs","Haziran","Temmuz","Ağustos","Eylül","Ekim","Kasım","Aralık"},MONTH(B912)))</f>
        <v/>
      </c>
      <c r="D912" s="2"/>
      <c r="E912" s="4" t="str">
        <f>IFERROR(INDEX('Araç Tanımlama'!$D$5:$D$200,MATCH(D912,'Araç Tanımlama'!$A$5:$A$200,0)),"")</f>
        <v/>
      </c>
      <c r="F912" s="4" t="str">
        <f>IFERROR(INDEX('Araç Tanımlama'!$E$5:$E$200,MATCH(D912,'Araç Tanımlama'!$A$5:$A$200,0)),"")</f>
        <v/>
      </c>
      <c r="G912" s="2"/>
      <c r="H912" s="7"/>
      <c r="I912" s="9" t="str">
        <f>IF(OR(G912="",H912=""),"",G912*H912)</f>
        <v/>
      </c>
      <c r="J912" s="2"/>
      <c r="K912" s="2"/>
    </row>
    <row r="913" spans="1:11">
      <c r="A913" s="4" t="str">
        <f>IF(D913="","",COUNTIF($D$5:D913,"?*"))</f>
        <v/>
      </c>
      <c r="B913" s="5"/>
      <c r="C913" s="4" t="str">
        <f>IF(B913="","",INDEX({"Ocak","Şubat","Mart","Nisan","Mayıs","Haziran","Temmuz","Ağustos","Eylül","Ekim","Kasım","Aralık"},MONTH(B913)))</f>
        <v/>
      </c>
      <c r="D913" s="2"/>
      <c r="E913" s="4" t="str">
        <f>IFERROR(INDEX('Araç Tanımlama'!$D$5:$D$200,MATCH(D913,'Araç Tanımlama'!$A$5:$A$200,0)),"")</f>
        <v/>
      </c>
      <c r="F913" s="4" t="str">
        <f>IFERROR(INDEX('Araç Tanımlama'!$E$5:$E$200,MATCH(D913,'Araç Tanımlama'!$A$5:$A$200,0)),"")</f>
        <v/>
      </c>
      <c r="G913" s="2"/>
      <c r="H913" s="7"/>
      <c r="I913" s="9" t="str">
        <f>IF(OR(G913="",H913=""),"",G913*H913)</f>
        <v/>
      </c>
      <c r="J913" s="2"/>
      <c r="K913" s="2"/>
    </row>
    <row r="914" spans="1:11">
      <c r="A914" s="4" t="str">
        <f>IF(D914="","",COUNTIF($D$5:D914,"?*"))</f>
        <v/>
      </c>
      <c r="B914" s="5"/>
      <c r="C914" s="4" t="str">
        <f>IF(B914="","",INDEX({"Ocak","Şubat","Mart","Nisan","Mayıs","Haziran","Temmuz","Ağustos","Eylül","Ekim","Kasım","Aralık"},MONTH(B914)))</f>
        <v/>
      </c>
      <c r="D914" s="2"/>
      <c r="E914" s="4" t="str">
        <f>IFERROR(INDEX('Araç Tanımlama'!$D$5:$D$200,MATCH(D914,'Araç Tanımlama'!$A$5:$A$200,0)),"")</f>
        <v/>
      </c>
      <c r="F914" s="4" t="str">
        <f>IFERROR(INDEX('Araç Tanımlama'!$E$5:$E$200,MATCH(D914,'Araç Tanımlama'!$A$5:$A$200,0)),"")</f>
        <v/>
      </c>
      <c r="G914" s="2"/>
      <c r="H914" s="7"/>
      <c r="I914" s="9" t="str">
        <f>IF(OR(G914="",H914=""),"",G914*H914)</f>
        <v/>
      </c>
      <c r="J914" s="2"/>
      <c r="K914" s="2"/>
    </row>
    <row r="915" spans="1:11">
      <c r="A915" s="4" t="str">
        <f>IF(D915="","",COUNTIF($D$5:D915,"?*"))</f>
        <v/>
      </c>
      <c r="B915" s="5"/>
      <c r="C915" s="4" t="str">
        <f>IF(B915="","",INDEX({"Ocak","Şubat","Mart","Nisan","Mayıs","Haziran","Temmuz","Ağustos","Eylül","Ekim","Kasım","Aralık"},MONTH(B915)))</f>
        <v/>
      </c>
      <c r="D915" s="2"/>
      <c r="E915" s="4" t="str">
        <f>IFERROR(INDEX('Araç Tanımlama'!$D$5:$D$200,MATCH(D915,'Araç Tanımlama'!$A$5:$A$200,0)),"")</f>
        <v/>
      </c>
      <c r="F915" s="4" t="str">
        <f>IFERROR(INDEX('Araç Tanımlama'!$E$5:$E$200,MATCH(D915,'Araç Tanımlama'!$A$5:$A$200,0)),"")</f>
        <v/>
      </c>
      <c r="G915" s="2"/>
      <c r="H915" s="7"/>
      <c r="I915" s="9" t="str">
        <f>IF(OR(G915="",H915=""),"",G915*H915)</f>
        <v/>
      </c>
      <c r="J915" s="2"/>
      <c r="K915" s="2"/>
    </row>
    <row r="916" spans="1:11">
      <c r="A916" s="4" t="str">
        <f>IF(D916="","",COUNTIF($D$5:D916,"?*"))</f>
        <v/>
      </c>
      <c r="B916" s="5"/>
      <c r="C916" s="4" t="str">
        <f>IF(B916="","",INDEX({"Ocak","Şubat","Mart","Nisan","Mayıs","Haziran","Temmuz","Ağustos","Eylül","Ekim","Kasım","Aralık"},MONTH(B916)))</f>
        <v/>
      </c>
      <c r="D916" s="2"/>
      <c r="E916" s="4" t="str">
        <f>IFERROR(INDEX('Araç Tanımlama'!$D$5:$D$200,MATCH(D916,'Araç Tanımlama'!$A$5:$A$200,0)),"")</f>
        <v/>
      </c>
      <c r="F916" s="4" t="str">
        <f>IFERROR(INDEX('Araç Tanımlama'!$E$5:$E$200,MATCH(D916,'Araç Tanımlama'!$A$5:$A$200,0)),"")</f>
        <v/>
      </c>
      <c r="G916" s="2"/>
      <c r="H916" s="7"/>
      <c r="I916" s="9" t="str">
        <f>IF(OR(G916="",H916=""),"",G916*H916)</f>
        <v/>
      </c>
      <c r="J916" s="2"/>
      <c r="K916" s="2"/>
    </row>
    <row r="917" spans="1:11">
      <c r="A917" s="4" t="str">
        <f>IF(D917="","",COUNTIF($D$5:D917,"?*"))</f>
        <v/>
      </c>
      <c r="B917" s="5"/>
      <c r="C917" s="4" t="str">
        <f>IF(B917="","",INDEX({"Ocak","Şubat","Mart","Nisan","Mayıs","Haziran","Temmuz","Ağustos","Eylül","Ekim","Kasım","Aralık"},MONTH(B917)))</f>
        <v/>
      </c>
      <c r="D917" s="2"/>
      <c r="E917" s="4" t="str">
        <f>IFERROR(INDEX('Araç Tanımlama'!$D$5:$D$200,MATCH(D917,'Araç Tanımlama'!$A$5:$A$200,0)),"")</f>
        <v/>
      </c>
      <c r="F917" s="4" t="str">
        <f>IFERROR(INDEX('Araç Tanımlama'!$E$5:$E$200,MATCH(D917,'Araç Tanımlama'!$A$5:$A$200,0)),"")</f>
        <v/>
      </c>
      <c r="G917" s="2"/>
      <c r="H917" s="7"/>
      <c r="I917" s="9" t="str">
        <f>IF(OR(G917="",H917=""),"",G917*H917)</f>
        <v/>
      </c>
      <c r="J917" s="2"/>
      <c r="K917" s="2"/>
    </row>
    <row r="918" spans="1:11">
      <c r="A918" s="4" t="str">
        <f>IF(D918="","",COUNTIF($D$5:D918,"?*"))</f>
        <v/>
      </c>
      <c r="B918" s="5"/>
      <c r="C918" s="4" t="str">
        <f>IF(B918="","",INDEX({"Ocak","Şubat","Mart","Nisan","Mayıs","Haziran","Temmuz","Ağustos","Eylül","Ekim","Kasım","Aralık"},MONTH(B918)))</f>
        <v/>
      </c>
      <c r="D918" s="2"/>
      <c r="E918" s="4" t="str">
        <f>IFERROR(INDEX('Araç Tanımlama'!$D$5:$D$200,MATCH(D918,'Araç Tanımlama'!$A$5:$A$200,0)),"")</f>
        <v/>
      </c>
      <c r="F918" s="4" t="str">
        <f>IFERROR(INDEX('Araç Tanımlama'!$E$5:$E$200,MATCH(D918,'Araç Tanımlama'!$A$5:$A$200,0)),"")</f>
        <v/>
      </c>
      <c r="G918" s="2"/>
      <c r="H918" s="7"/>
      <c r="I918" s="9" t="str">
        <f>IF(OR(G918="",H918=""),"",G918*H918)</f>
        <v/>
      </c>
      <c r="J918" s="2"/>
      <c r="K918" s="2"/>
    </row>
    <row r="919" spans="1:11">
      <c r="A919" s="4" t="str">
        <f>IF(D919="","",COUNTIF($D$5:D919,"?*"))</f>
        <v/>
      </c>
      <c r="B919" s="5"/>
      <c r="C919" s="4" t="str">
        <f>IF(B919="","",INDEX({"Ocak","Şubat","Mart","Nisan","Mayıs","Haziran","Temmuz","Ağustos","Eylül","Ekim","Kasım","Aralık"},MONTH(B919)))</f>
        <v/>
      </c>
      <c r="D919" s="2"/>
      <c r="E919" s="4" t="str">
        <f>IFERROR(INDEX('Araç Tanımlama'!$D$5:$D$200,MATCH(D919,'Araç Tanımlama'!$A$5:$A$200,0)),"")</f>
        <v/>
      </c>
      <c r="F919" s="4" t="str">
        <f>IFERROR(INDEX('Araç Tanımlama'!$E$5:$E$200,MATCH(D919,'Araç Tanımlama'!$A$5:$A$200,0)),"")</f>
        <v/>
      </c>
      <c r="G919" s="2"/>
      <c r="H919" s="7"/>
      <c r="I919" s="9" t="str">
        <f>IF(OR(G919="",H919=""),"",G919*H919)</f>
        <v/>
      </c>
      <c r="J919" s="2"/>
      <c r="K919" s="2"/>
    </row>
    <row r="920" spans="1:11">
      <c r="A920" s="4" t="str">
        <f>IF(D920="","",COUNTIF($D$5:D920,"?*"))</f>
        <v/>
      </c>
      <c r="B920" s="5"/>
      <c r="C920" s="4" t="str">
        <f>IF(B920="","",INDEX({"Ocak","Şubat","Mart","Nisan","Mayıs","Haziran","Temmuz","Ağustos","Eylül","Ekim","Kasım","Aralık"},MONTH(B920)))</f>
        <v/>
      </c>
      <c r="D920" s="2"/>
      <c r="E920" s="4" t="str">
        <f>IFERROR(INDEX('Araç Tanımlama'!$D$5:$D$200,MATCH(D920,'Araç Tanımlama'!$A$5:$A$200,0)),"")</f>
        <v/>
      </c>
      <c r="F920" s="4" t="str">
        <f>IFERROR(INDEX('Araç Tanımlama'!$E$5:$E$200,MATCH(D920,'Araç Tanımlama'!$A$5:$A$200,0)),"")</f>
        <v/>
      </c>
      <c r="G920" s="2"/>
      <c r="H920" s="7"/>
      <c r="I920" s="9" t="str">
        <f>IF(OR(G920="",H920=""),"",G920*H920)</f>
        <v/>
      </c>
      <c r="J920" s="2"/>
      <c r="K920" s="2"/>
    </row>
    <row r="921" spans="1:11">
      <c r="A921" s="4" t="str">
        <f>IF(D921="","",COUNTIF($D$5:D921,"?*"))</f>
        <v/>
      </c>
      <c r="B921" s="5"/>
      <c r="C921" s="4" t="str">
        <f>IF(B921="","",INDEX({"Ocak","Şubat","Mart","Nisan","Mayıs","Haziran","Temmuz","Ağustos","Eylül","Ekim","Kasım","Aralık"},MONTH(B921)))</f>
        <v/>
      </c>
      <c r="D921" s="2"/>
      <c r="E921" s="4" t="str">
        <f>IFERROR(INDEX('Araç Tanımlama'!$D$5:$D$200,MATCH(D921,'Araç Tanımlama'!$A$5:$A$200,0)),"")</f>
        <v/>
      </c>
      <c r="F921" s="4" t="str">
        <f>IFERROR(INDEX('Araç Tanımlama'!$E$5:$E$200,MATCH(D921,'Araç Tanımlama'!$A$5:$A$200,0)),"")</f>
        <v/>
      </c>
      <c r="G921" s="2"/>
      <c r="H921" s="7"/>
      <c r="I921" s="9" t="str">
        <f>IF(OR(G921="",H921=""),"",G921*H921)</f>
        <v/>
      </c>
      <c r="J921" s="2"/>
      <c r="K921" s="2"/>
    </row>
    <row r="922" spans="1:11">
      <c r="A922" s="4" t="str">
        <f>IF(D922="","",COUNTIF($D$5:D922,"?*"))</f>
        <v/>
      </c>
      <c r="B922" s="5"/>
      <c r="C922" s="4" t="str">
        <f>IF(B922="","",INDEX({"Ocak","Şubat","Mart","Nisan","Mayıs","Haziran","Temmuz","Ağustos","Eylül","Ekim","Kasım","Aralık"},MONTH(B922)))</f>
        <v/>
      </c>
      <c r="D922" s="2"/>
      <c r="E922" s="4" t="str">
        <f>IFERROR(INDEX('Araç Tanımlama'!$D$5:$D$200,MATCH(D922,'Araç Tanımlama'!$A$5:$A$200,0)),"")</f>
        <v/>
      </c>
      <c r="F922" s="4" t="str">
        <f>IFERROR(INDEX('Araç Tanımlama'!$E$5:$E$200,MATCH(D922,'Araç Tanımlama'!$A$5:$A$200,0)),"")</f>
        <v/>
      </c>
      <c r="G922" s="2"/>
      <c r="H922" s="7"/>
      <c r="I922" s="9" t="str">
        <f>IF(OR(G922="",H922=""),"",G922*H922)</f>
        <v/>
      </c>
      <c r="J922" s="2"/>
      <c r="K922" s="2"/>
    </row>
    <row r="923" spans="1:11">
      <c r="A923" s="4" t="str">
        <f>IF(D923="","",COUNTIF($D$5:D923,"?*"))</f>
        <v/>
      </c>
      <c r="B923" s="5"/>
      <c r="C923" s="4" t="str">
        <f>IF(B923="","",INDEX({"Ocak","Şubat","Mart","Nisan","Mayıs","Haziran","Temmuz","Ağustos","Eylül","Ekim","Kasım","Aralık"},MONTH(B923)))</f>
        <v/>
      </c>
      <c r="D923" s="2"/>
      <c r="E923" s="4" t="str">
        <f>IFERROR(INDEX('Araç Tanımlama'!$D$5:$D$200,MATCH(D923,'Araç Tanımlama'!$A$5:$A$200,0)),"")</f>
        <v/>
      </c>
      <c r="F923" s="4" t="str">
        <f>IFERROR(INDEX('Araç Tanımlama'!$E$5:$E$200,MATCH(D923,'Araç Tanımlama'!$A$5:$A$200,0)),"")</f>
        <v/>
      </c>
      <c r="G923" s="2"/>
      <c r="H923" s="7"/>
      <c r="I923" s="9" t="str">
        <f>IF(OR(G923="",H923=""),"",G923*H923)</f>
        <v/>
      </c>
      <c r="J923" s="2"/>
      <c r="K923" s="2"/>
    </row>
    <row r="924" spans="1:11">
      <c r="A924" s="4" t="str">
        <f>IF(D924="","",COUNTIF($D$5:D924,"?*"))</f>
        <v/>
      </c>
      <c r="B924" s="5"/>
      <c r="C924" s="4" t="str">
        <f>IF(B924="","",INDEX({"Ocak","Şubat","Mart","Nisan","Mayıs","Haziran","Temmuz","Ağustos","Eylül","Ekim","Kasım","Aralık"},MONTH(B924)))</f>
        <v/>
      </c>
      <c r="D924" s="2"/>
      <c r="E924" s="4" t="str">
        <f>IFERROR(INDEX('Araç Tanımlama'!$D$5:$D$200,MATCH(D924,'Araç Tanımlama'!$A$5:$A$200,0)),"")</f>
        <v/>
      </c>
      <c r="F924" s="4" t="str">
        <f>IFERROR(INDEX('Araç Tanımlama'!$E$5:$E$200,MATCH(D924,'Araç Tanımlama'!$A$5:$A$200,0)),"")</f>
        <v/>
      </c>
      <c r="G924" s="2"/>
      <c r="H924" s="7"/>
      <c r="I924" s="9" t="str">
        <f>IF(OR(G924="",H924=""),"",G924*H924)</f>
        <v/>
      </c>
      <c r="J924" s="2"/>
      <c r="K924" s="2"/>
    </row>
    <row r="925" spans="1:11">
      <c r="A925" s="4" t="str">
        <f>IF(D925="","",COUNTIF($D$5:D925,"?*"))</f>
        <v/>
      </c>
      <c r="B925" s="5"/>
      <c r="C925" s="4" t="str">
        <f>IF(B925="","",INDEX({"Ocak","Şubat","Mart","Nisan","Mayıs","Haziran","Temmuz","Ağustos","Eylül","Ekim","Kasım","Aralık"},MONTH(B925)))</f>
        <v/>
      </c>
      <c r="D925" s="2"/>
      <c r="E925" s="4" t="str">
        <f>IFERROR(INDEX('Araç Tanımlama'!$D$5:$D$200,MATCH(D925,'Araç Tanımlama'!$A$5:$A$200,0)),"")</f>
        <v/>
      </c>
      <c r="F925" s="4" t="str">
        <f>IFERROR(INDEX('Araç Tanımlama'!$E$5:$E$200,MATCH(D925,'Araç Tanımlama'!$A$5:$A$200,0)),"")</f>
        <v/>
      </c>
      <c r="G925" s="2"/>
      <c r="H925" s="7"/>
      <c r="I925" s="9" t="str">
        <f>IF(OR(G925="",H925=""),"",G925*H925)</f>
        <v/>
      </c>
      <c r="J925" s="2"/>
      <c r="K925" s="2"/>
    </row>
    <row r="926" spans="1:11">
      <c r="A926" s="4" t="str">
        <f>IF(D926="","",COUNTIF($D$5:D926,"?*"))</f>
        <v/>
      </c>
      <c r="B926" s="5"/>
      <c r="C926" s="4" t="str">
        <f>IF(B926="","",INDEX({"Ocak","Şubat","Mart","Nisan","Mayıs","Haziran","Temmuz","Ağustos","Eylül","Ekim","Kasım","Aralık"},MONTH(B926)))</f>
        <v/>
      </c>
      <c r="D926" s="2"/>
      <c r="E926" s="4" t="str">
        <f>IFERROR(INDEX('Araç Tanımlama'!$D$5:$D$200,MATCH(D926,'Araç Tanımlama'!$A$5:$A$200,0)),"")</f>
        <v/>
      </c>
      <c r="F926" s="4" t="str">
        <f>IFERROR(INDEX('Araç Tanımlama'!$E$5:$E$200,MATCH(D926,'Araç Tanımlama'!$A$5:$A$200,0)),"")</f>
        <v/>
      </c>
      <c r="G926" s="2"/>
      <c r="H926" s="7"/>
      <c r="I926" s="9" t="str">
        <f>IF(OR(G926="",H926=""),"",G926*H926)</f>
        <v/>
      </c>
      <c r="J926" s="2"/>
      <c r="K926" s="2"/>
    </row>
    <row r="927" spans="1:11">
      <c r="A927" s="4" t="str">
        <f>IF(D927="","",COUNTIF($D$5:D927,"?*"))</f>
        <v/>
      </c>
      <c r="B927" s="5"/>
      <c r="C927" s="4" t="str">
        <f>IF(B927="","",INDEX({"Ocak","Şubat","Mart","Nisan","Mayıs","Haziran","Temmuz","Ağustos","Eylül","Ekim","Kasım","Aralık"},MONTH(B927)))</f>
        <v/>
      </c>
      <c r="D927" s="2"/>
      <c r="E927" s="4" t="str">
        <f>IFERROR(INDEX('Araç Tanımlama'!$D$5:$D$200,MATCH(D927,'Araç Tanımlama'!$A$5:$A$200,0)),"")</f>
        <v/>
      </c>
      <c r="F927" s="4" t="str">
        <f>IFERROR(INDEX('Araç Tanımlama'!$E$5:$E$200,MATCH(D927,'Araç Tanımlama'!$A$5:$A$200,0)),"")</f>
        <v/>
      </c>
      <c r="G927" s="2"/>
      <c r="H927" s="7"/>
      <c r="I927" s="9" t="str">
        <f>IF(OR(G927="",H927=""),"",G927*H927)</f>
        <v/>
      </c>
      <c r="J927" s="2"/>
      <c r="K927" s="2"/>
    </row>
    <row r="928" spans="1:11">
      <c r="A928" s="4" t="str">
        <f>IF(D928="","",COUNTIF($D$5:D928,"?*"))</f>
        <v/>
      </c>
      <c r="B928" s="5"/>
      <c r="C928" s="4" t="str">
        <f>IF(B928="","",INDEX({"Ocak","Şubat","Mart","Nisan","Mayıs","Haziran","Temmuz","Ağustos","Eylül","Ekim","Kasım","Aralık"},MONTH(B928)))</f>
        <v/>
      </c>
      <c r="D928" s="2"/>
      <c r="E928" s="4" t="str">
        <f>IFERROR(INDEX('Araç Tanımlama'!$D$5:$D$200,MATCH(D928,'Araç Tanımlama'!$A$5:$A$200,0)),"")</f>
        <v/>
      </c>
      <c r="F928" s="4" t="str">
        <f>IFERROR(INDEX('Araç Tanımlama'!$E$5:$E$200,MATCH(D928,'Araç Tanımlama'!$A$5:$A$200,0)),"")</f>
        <v/>
      </c>
      <c r="G928" s="2"/>
      <c r="H928" s="7"/>
      <c r="I928" s="9" t="str">
        <f>IF(OR(G928="",H928=""),"",G928*H928)</f>
        <v/>
      </c>
      <c r="J928" s="2"/>
      <c r="K928" s="2"/>
    </row>
    <row r="929" spans="1:11">
      <c r="A929" s="4" t="str">
        <f>IF(D929="","",COUNTIF($D$5:D929,"?*"))</f>
        <v/>
      </c>
      <c r="B929" s="5"/>
      <c r="C929" s="4" t="str">
        <f>IF(B929="","",INDEX({"Ocak","Şubat","Mart","Nisan","Mayıs","Haziran","Temmuz","Ağustos","Eylül","Ekim","Kasım","Aralık"},MONTH(B929)))</f>
        <v/>
      </c>
      <c r="D929" s="2"/>
      <c r="E929" s="4" t="str">
        <f>IFERROR(INDEX('Araç Tanımlama'!$D$5:$D$200,MATCH(D929,'Araç Tanımlama'!$A$5:$A$200,0)),"")</f>
        <v/>
      </c>
      <c r="F929" s="4" t="str">
        <f>IFERROR(INDEX('Araç Tanımlama'!$E$5:$E$200,MATCH(D929,'Araç Tanımlama'!$A$5:$A$200,0)),"")</f>
        <v/>
      </c>
      <c r="G929" s="2"/>
      <c r="H929" s="7"/>
      <c r="I929" s="9" t="str">
        <f>IF(OR(G929="",H929=""),"",G929*H929)</f>
        <v/>
      </c>
      <c r="J929" s="2"/>
      <c r="K929" s="2"/>
    </row>
    <row r="930" spans="1:11">
      <c r="A930" s="4" t="str">
        <f>IF(D930="","",COUNTIF($D$5:D930,"?*"))</f>
        <v/>
      </c>
      <c r="B930" s="5"/>
      <c r="C930" s="4" t="str">
        <f>IF(B930="","",INDEX({"Ocak","Şubat","Mart","Nisan","Mayıs","Haziran","Temmuz","Ağustos","Eylül","Ekim","Kasım","Aralık"},MONTH(B930)))</f>
        <v/>
      </c>
      <c r="D930" s="2"/>
      <c r="E930" s="4" t="str">
        <f>IFERROR(INDEX('Araç Tanımlama'!$D$5:$D$200,MATCH(D930,'Araç Tanımlama'!$A$5:$A$200,0)),"")</f>
        <v/>
      </c>
      <c r="F930" s="4" t="str">
        <f>IFERROR(INDEX('Araç Tanımlama'!$E$5:$E$200,MATCH(D930,'Araç Tanımlama'!$A$5:$A$200,0)),"")</f>
        <v/>
      </c>
      <c r="G930" s="2"/>
      <c r="H930" s="7"/>
      <c r="I930" s="9" t="str">
        <f>IF(OR(G930="",H930=""),"",G930*H930)</f>
        <v/>
      </c>
      <c r="J930" s="2"/>
      <c r="K930" s="2"/>
    </row>
    <row r="931" spans="1:11">
      <c r="A931" s="4" t="str">
        <f>IF(D931="","",COUNTIF($D$5:D931,"?*"))</f>
        <v/>
      </c>
      <c r="B931" s="5"/>
      <c r="C931" s="4" t="str">
        <f>IF(B931="","",INDEX({"Ocak","Şubat","Mart","Nisan","Mayıs","Haziran","Temmuz","Ağustos","Eylül","Ekim","Kasım","Aralık"},MONTH(B931)))</f>
        <v/>
      </c>
      <c r="D931" s="2"/>
      <c r="E931" s="4" t="str">
        <f>IFERROR(INDEX('Araç Tanımlama'!$D$5:$D$200,MATCH(D931,'Araç Tanımlama'!$A$5:$A$200,0)),"")</f>
        <v/>
      </c>
      <c r="F931" s="4" t="str">
        <f>IFERROR(INDEX('Araç Tanımlama'!$E$5:$E$200,MATCH(D931,'Araç Tanımlama'!$A$5:$A$200,0)),"")</f>
        <v/>
      </c>
      <c r="G931" s="2"/>
      <c r="H931" s="7"/>
      <c r="I931" s="9" t="str">
        <f>IF(OR(G931="",H931=""),"",G931*H931)</f>
        <v/>
      </c>
      <c r="J931" s="2"/>
      <c r="K931" s="2"/>
    </row>
    <row r="932" spans="1:11">
      <c r="A932" s="4" t="str">
        <f>IF(D932="","",COUNTIF($D$5:D932,"?*"))</f>
        <v/>
      </c>
      <c r="B932" s="5"/>
      <c r="C932" s="4" t="str">
        <f>IF(B932="","",INDEX({"Ocak","Şubat","Mart","Nisan","Mayıs","Haziran","Temmuz","Ağustos","Eylül","Ekim","Kasım","Aralık"},MONTH(B932)))</f>
        <v/>
      </c>
      <c r="D932" s="2"/>
      <c r="E932" s="4" t="str">
        <f>IFERROR(INDEX('Araç Tanımlama'!$D$5:$D$200,MATCH(D932,'Araç Tanımlama'!$A$5:$A$200,0)),"")</f>
        <v/>
      </c>
      <c r="F932" s="4" t="str">
        <f>IFERROR(INDEX('Araç Tanımlama'!$E$5:$E$200,MATCH(D932,'Araç Tanımlama'!$A$5:$A$200,0)),"")</f>
        <v/>
      </c>
      <c r="G932" s="2"/>
      <c r="H932" s="7"/>
      <c r="I932" s="9" t="str">
        <f>IF(OR(G932="",H932=""),"",G932*H932)</f>
        <v/>
      </c>
      <c r="J932" s="2"/>
      <c r="K932" s="2"/>
    </row>
    <row r="933" spans="1:11">
      <c r="A933" s="4" t="str">
        <f>IF(D933="","",COUNTIF($D$5:D933,"?*"))</f>
        <v/>
      </c>
      <c r="B933" s="5"/>
      <c r="C933" s="4" t="str">
        <f>IF(B933="","",INDEX({"Ocak","Şubat","Mart","Nisan","Mayıs","Haziran","Temmuz","Ağustos","Eylül","Ekim","Kasım","Aralık"},MONTH(B933)))</f>
        <v/>
      </c>
      <c r="D933" s="2"/>
      <c r="E933" s="4" t="str">
        <f>IFERROR(INDEX('Araç Tanımlama'!$D$5:$D$200,MATCH(D933,'Araç Tanımlama'!$A$5:$A$200,0)),"")</f>
        <v/>
      </c>
      <c r="F933" s="4" t="str">
        <f>IFERROR(INDEX('Araç Tanımlama'!$E$5:$E$200,MATCH(D933,'Araç Tanımlama'!$A$5:$A$200,0)),"")</f>
        <v/>
      </c>
      <c r="G933" s="2"/>
      <c r="H933" s="7"/>
      <c r="I933" s="9" t="str">
        <f>IF(OR(G933="",H933=""),"",G933*H933)</f>
        <v/>
      </c>
      <c r="J933" s="2"/>
      <c r="K933" s="2"/>
    </row>
    <row r="934" spans="1:11">
      <c r="A934" s="4" t="str">
        <f>IF(D934="","",COUNTIF($D$5:D934,"?*"))</f>
        <v/>
      </c>
      <c r="B934" s="5"/>
      <c r="C934" s="4" t="str">
        <f>IF(B934="","",INDEX({"Ocak","Şubat","Mart","Nisan","Mayıs","Haziran","Temmuz","Ağustos","Eylül","Ekim","Kasım","Aralık"},MONTH(B934)))</f>
        <v/>
      </c>
      <c r="D934" s="2"/>
      <c r="E934" s="4" t="str">
        <f>IFERROR(INDEX('Araç Tanımlama'!$D$5:$D$200,MATCH(D934,'Araç Tanımlama'!$A$5:$A$200,0)),"")</f>
        <v/>
      </c>
      <c r="F934" s="4" t="str">
        <f>IFERROR(INDEX('Araç Tanımlama'!$E$5:$E$200,MATCH(D934,'Araç Tanımlama'!$A$5:$A$200,0)),"")</f>
        <v/>
      </c>
      <c r="G934" s="2"/>
      <c r="H934" s="7"/>
      <c r="I934" s="9" t="str">
        <f>IF(OR(G934="",H934=""),"",G934*H934)</f>
        <v/>
      </c>
      <c r="J934" s="2"/>
      <c r="K934" s="2"/>
    </row>
    <row r="935" spans="1:11">
      <c r="A935" s="4" t="str">
        <f>IF(D935="","",COUNTIF($D$5:D935,"?*"))</f>
        <v/>
      </c>
      <c r="B935" s="5"/>
      <c r="C935" s="4" t="str">
        <f>IF(B935="","",INDEX({"Ocak","Şubat","Mart","Nisan","Mayıs","Haziran","Temmuz","Ağustos","Eylül","Ekim","Kasım","Aralık"},MONTH(B935)))</f>
        <v/>
      </c>
      <c r="D935" s="2"/>
      <c r="E935" s="4" t="str">
        <f>IFERROR(INDEX('Araç Tanımlama'!$D$5:$D$200,MATCH(D935,'Araç Tanımlama'!$A$5:$A$200,0)),"")</f>
        <v/>
      </c>
      <c r="F935" s="4" t="str">
        <f>IFERROR(INDEX('Araç Tanımlama'!$E$5:$E$200,MATCH(D935,'Araç Tanımlama'!$A$5:$A$200,0)),"")</f>
        <v/>
      </c>
      <c r="G935" s="2"/>
      <c r="H935" s="7"/>
      <c r="I935" s="9" t="str">
        <f>IF(OR(G935="",H935=""),"",G935*H935)</f>
        <v/>
      </c>
      <c r="J935" s="2"/>
      <c r="K935" s="2"/>
    </row>
    <row r="936" spans="1:11">
      <c r="A936" s="4" t="str">
        <f>IF(D936="","",COUNTIF($D$5:D936,"?*"))</f>
        <v/>
      </c>
      <c r="B936" s="5"/>
      <c r="C936" s="4" t="str">
        <f>IF(B936="","",INDEX({"Ocak","Şubat","Mart","Nisan","Mayıs","Haziran","Temmuz","Ağustos","Eylül","Ekim","Kasım","Aralık"},MONTH(B936)))</f>
        <v/>
      </c>
      <c r="D936" s="2"/>
      <c r="E936" s="4" t="str">
        <f>IFERROR(INDEX('Araç Tanımlama'!$D$5:$D$200,MATCH(D936,'Araç Tanımlama'!$A$5:$A$200,0)),"")</f>
        <v/>
      </c>
      <c r="F936" s="4" t="str">
        <f>IFERROR(INDEX('Araç Tanımlama'!$E$5:$E$200,MATCH(D936,'Araç Tanımlama'!$A$5:$A$200,0)),"")</f>
        <v/>
      </c>
      <c r="G936" s="2"/>
      <c r="H936" s="7"/>
      <c r="I936" s="9" t="str">
        <f>IF(OR(G936="",H936=""),"",G936*H936)</f>
        <v/>
      </c>
      <c r="J936" s="2"/>
      <c r="K936" s="2"/>
    </row>
    <row r="937" spans="1:11">
      <c r="A937" s="4" t="str">
        <f>IF(D937="","",COUNTIF($D$5:D937,"?*"))</f>
        <v/>
      </c>
      <c r="B937" s="5"/>
      <c r="C937" s="4" t="str">
        <f>IF(B937="","",INDEX({"Ocak","Şubat","Mart","Nisan","Mayıs","Haziran","Temmuz","Ağustos","Eylül","Ekim","Kasım","Aralık"},MONTH(B937)))</f>
        <v/>
      </c>
      <c r="D937" s="2"/>
      <c r="E937" s="4" t="str">
        <f>IFERROR(INDEX('Araç Tanımlama'!$D$5:$D$200,MATCH(D937,'Araç Tanımlama'!$A$5:$A$200,0)),"")</f>
        <v/>
      </c>
      <c r="F937" s="4" t="str">
        <f>IFERROR(INDEX('Araç Tanımlama'!$E$5:$E$200,MATCH(D937,'Araç Tanımlama'!$A$5:$A$200,0)),"")</f>
        <v/>
      </c>
      <c r="G937" s="2"/>
      <c r="H937" s="7"/>
      <c r="I937" s="9" t="str">
        <f>IF(OR(G937="",H937=""),"",G937*H937)</f>
        <v/>
      </c>
      <c r="J937" s="2"/>
      <c r="K937" s="2"/>
    </row>
    <row r="938" spans="1:11">
      <c r="A938" s="4" t="str">
        <f>IF(D938="","",COUNTIF($D$5:D938,"?*"))</f>
        <v/>
      </c>
      <c r="B938" s="5"/>
      <c r="C938" s="4" t="str">
        <f>IF(B938="","",INDEX({"Ocak","Şubat","Mart","Nisan","Mayıs","Haziran","Temmuz","Ağustos","Eylül","Ekim","Kasım","Aralık"},MONTH(B938)))</f>
        <v/>
      </c>
      <c r="D938" s="2"/>
      <c r="E938" s="4" t="str">
        <f>IFERROR(INDEX('Araç Tanımlama'!$D$5:$D$200,MATCH(D938,'Araç Tanımlama'!$A$5:$A$200,0)),"")</f>
        <v/>
      </c>
      <c r="F938" s="4" t="str">
        <f>IFERROR(INDEX('Araç Tanımlama'!$E$5:$E$200,MATCH(D938,'Araç Tanımlama'!$A$5:$A$200,0)),"")</f>
        <v/>
      </c>
      <c r="G938" s="2"/>
      <c r="H938" s="7"/>
      <c r="I938" s="9" t="str">
        <f>IF(OR(G938="",H938=""),"",G938*H938)</f>
        <v/>
      </c>
      <c r="J938" s="2"/>
      <c r="K938" s="2"/>
    </row>
    <row r="939" spans="1:11">
      <c r="A939" s="4" t="str">
        <f>IF(D939="","",COUNTIF($D$5:D939,"?*"))</f>
        <v/>
      </c>
      <c r="B939" s="5"/>
      <c r="C939" s="4" t="str">
        <f>IF(B939="","",INDEX({"Ocak","Şubat","Mart","Nisan","Mayıs","Haziran","Temmuz","Ağustos","Eylül","Ekim","Kasım","Aralık"},MONTH(B939)))</f>
        <v/>
      </c>
      <c r="D939" s="2"/>
      <c r="E939" s="4" t="str">
        <f>IFERROR(INDEX('Araç Tanımlama'!$D$5:$D$200,MATCH(D939,'Araç Tanımlama'!$A$5:$A$200,0)),"")</f>
        <v/>
      </c>
      <c r="F939" s="4" t="str">
        <f>IFERROR(INDEX('Araç Tanımlama'!$E$5:$E$200,MATCH(D939,'Araç Tanımlama'!$A$5:$A$200,0)),"")</f>
        <v/>
      </c>
      <c r="G939" s="2"/>
      <c r="H939" s="7"/>
      <c r="I939" s="9" t="str">
        <f>IF(OR(G939="",H939=""),"",G939*H939)</f>
        <v/>
      </c>
      <c r="J939" s="2"/>
      <c r="K939" s="2"/>
    </row>
    <row r="940" spans="1:11">
      <c r="A940" s="4" t="str">
        <f>IF(D940="","",COUNTIF($D$5:D940,"?*"))</f>
        <v/>
      </c>
      <c r="B940" s="5"/>
      <c r="C940" s="4" t="str">
        <f>IF(B940="","",INDEX({"Ocak","Şubat","Mart","Nisan","Mayıs","Haziran","Temmuz","Ağustos","Eylül","Ekim","Kasım","Aralık"},MONTH(B940)))</f>
        <v/>
      </c>
      <c r="D940" s="2"/>
      <c r="E940" s="4" t="str">
        <f>IFERROR(INDEX('Araç Tanımlama'!$D$5:$D$200,MATCH(D940,'Araç Tanımlama'!$A$5:$A$200,0)),"")</f>
        <v/>
      </c>
      <c r="F940" s="4" t="str">
        <f>IFERROR(INDEX('Araç Tanımlama'!$E$5:$E$200,MATCH(D940,'Araç Tanımlama'!$A$5:$A$200,0)),"")</f>
        <v/>
      </c>
      <c r="G940" s="2"/>
      <c r="H940" s="7"/>
      <c r="I940" s="9" t="str">
        <f>IF(OR(G940="",H940=""),"",G940*H940)</f>
        <v/>
      </c>
      <c r="J940" s="2"/>
      <c r="K940" s="2"/>
    </row>
    <row r="941" spans="1:11">
      <c r="A941" s="4" t="str">
        <f>IF(D941="","",COUNTIF($D$5:D941,"?*"))</f>
        <v/>
      </c>
      <c r="B941" s="5"/>
      <c r="C941" s="4" t="str">
        <f>IF(B941="","",INDEX({"Ocak","Şubat","Mart","Nisan","Mayıs","Haziran","Temmuz","Ağustos","Eylül","Ekim","Kasım","Aralık"},MONTH(B941)))</f>
        <v/>
      </c>
      <c r="D941" s="2"/>
      <c r="E941" s="4" t="str">
        <f>IFERROR(INDEX('Araç Tanımlama'!$D$5:$D$200,MATCH(D941,'Araç Tanımlama'!$A$5:$A$200,0)),"")</f>
        <v/>
      </c>
      <c r="F941" s="4" t="str">
        <f>IFERROR(INDEX('Araç Tanımlama'!$E$5:$E$200,MATCH(D941,'Araç Tanımlama'!$A$5:$A$200,0)),"")</f>
        <v/>
      </c>
      <c r="G941" s="2"/>
      <c r="H941" s="7"/>
      <c r="I941" s="9" t="str">
        <f>IF(OR(G941="",H941=""),"",G941*H941)</f>
        <v/>
      </c>
      <c r="J941" s="2"/>
      <c r="K941" s="2"/>
    </row>
    <row r="942" spans="1:11">
      <c r="A942" s="4" t="str">
        <f>IF(D942="","",COUNTIF($D$5:D942,"?*"))</f>
        <v/>
      </c>
      <c r="B942" s="5"/>
      <c r="C942" s="4" t="str">
        <f>IF(B942="","",INDEX({"Ocak","Şubat","Mart","Nisan","Mayıs","Haziran","Temmuz","Ağustos","Eylül","Ekim","Kasım","Aralık"},MONTH(B942)))</f>
        <v/>
      </c>
      <c r="D942" s="2"/>
      <c r="E942" s="4" t="str">
        <f>IFERROR(INDEX('Araç Tanımlama'!$D$5:$D$200,MATCH(D942,'Araç Tanımlama'!$A$5:$A$200,0)),"")</f>
        <v/>
      </c>
      <c r="F942" s="4" t="str">
        <f>IFERROR(INDEX('Araç Tanımlama'!$E$5:$E$200,MATCH(D942,'Araç Tanımlama'!$A$5:$A$200,0)),"")</f>
        <v/>
      </c>
      <c r="G942" s="2"/>
      <c r="H942" s="7"/>
      <c r="I942" s="9" t="str">
        <f>IF(OR(G942="",H942=""),"",G942*H942)</f>
        <v/>
      </c>
      <c r="J942" s="2"/>
      <c r="K942" s="2"/>
    </row>
    <row r="943" spans="1:11">
      <c r="A943" s="4" t="str">
        <f>IF(D943="","",COUNTIF($D$5:D943,"?*"))</f>
        <v/>
      </c>
      <c r="B943" s="5"/>
      <c r="C943" s="4" t="str">
        <f>IF(B943="","",INDEX({"Ocak","Şubat","Mart","Nisan","Mayıs","Haziran","Temmuz","Ağustos","Eylül","Ekim","Kasım","Aralık"},MONTH(B943)))</f>
        <v/>
      </c>
      <c r="D943" s="2"/>
      <c r="E943" s="4" t="str">
        <f>IFERROR(INDEX('Araç Tanımlama'!$D$5:$D$200,MATCH(D943,'Araç Tanımlama'!$A$5:$A$200,0)),"")</f>
        <v/>
      </c>
      <c r="F943" s="4" t="str">
        <f>IFERROR(INDEX('Araç Tanımlama'!$E$5:$E$200,MATCH(D943,'Araç Tanımlama'!$A$5:$A$200,0)),"")</f>
        <v/>
      </c>
      <c r="G943" s="2"/>
      <c r="H943" s="7"/>
      <c r="I943" s="9" t="str">
        <f>IF(OR(G943="",H943=""),"",G943*H943)</f>
        <v/>
      </c>
      <c r="J943" s="2"/>
      <c r="K943" s="2"/>
    </row>
    <row r="944" spans="1:11">
      <c r="A944" s="4" t="str">
        <f>IF(D944="","",COUNTIF($D$5:D944,"?*"))</f>
        <v/>
      </c>
      <c r="B944" s="5"/>
      <c r="C944" s="4" t="str">
        <f>IF(B944="","",INDEX({"Ocak","Şubat","Mart","Nisan","Mayıs","Haziran","Temmuz","Ağustos","Eylül","Ekim","Kasım","Aralık"},MONTH(B944)))</f>
        <v/>
      </c>
      <c r="D944" s="2"/>
      <c r="E944" s="4" t="str">
        <f>IFERROR(INDEX('Araç Tanımlama'!$D$5:$D$200,MATCH(D944,'Araç Tanımlama'!$A$5:$A$200,0)),"")</f>
        <v/>
      </c>
      <c r="F944" s="4" t="str">
        <f>IFERROR(INDEX('Araç Tanımlama'!$E$5:$E$200,MATCH(D944,'Araç Tanımlama'!$A$5:$A$200,0)),"")</f>
        <v/>
      </c>
      <c r="G944" s="2"/>
      <c r="H944" s="7"/>
      <c r="I944" s="9" t="str">
        <f>IF(OR(G944="",H944=""),"",G944*H944)</f>
        <v/>
      </c>
      <c r="J944" s="2"/>
      <c r="K944" s="2"/>
    </row>
    <row r="945" spans="1:11">
      <c r="A945" s="4" t="str">
        <f>IF(D945="","",COUNTIF($D$5:D945,"?*"))</f>
        <v/>
      </c>
      <c r="B945" s="5"/>
      <c r="C945" s="4" t="str">
        <f>IF(B945="","",INDEX({"Ocak","Şubat","Mart","Nisan","Mayıs","Haziran","Temmuz","Ağustos","Eylül","Ekim","Kasım","Aralık"},MONTH(B945)))</f>
        <v/>
      </c>
      <c r="D945" s="2"/>
      <c r="E945" s="4" t="str">
        <f>IFERROR(INDEX('Araç Tanımlama'!$D$5:$D$200,MATCH(D945,'Araç Tanımlama'!$A$5:$A$200,0)),"")</f>
        <v/>
      </c>
      <c r="F945" s="4" t="str">
        <f>IFERROR(INDEX('Araç Tanımlama'!$E$5:$E$200,MATCH(D945,'Araç Tanımlama'!$A$5:$A$200,0)),"")</f>
        <v/>
      </c>
      <c r="G945" s="2"/>
      <c r="H945" s="7"/>
      <c r="I945" s="9" t="str">
        <f>IF(OR(G945="",H945=""),"",G945*H945)</f>
        <v/>
      </c>
      <c r="J945" s="2"/>
      <c r="K945" s="2"/>
    </row>
    <row r="946" spans="1:11">
      <c r="A946" s="4" t="str">
        <f>IF(D946="","",COUNTIF($D$5:D946,"?*"))</f>
        <v/>
      </c>
      <c r="B946" s="5"/>
      <c r="C946" s="4" t="str">
        <f>IF(B946="","",INDEX({"Ocak","Şubat","Mart","Nisan","Mayıs","Haziran","Temmuz","Ağustos","Eylül","Ekim","Kasım","Aralık"},MONTH(B946)))</f>
        <v/>
      </c>
      <c r="D946" s="2"/>
      <c r="E946" s="4" t="str">
        <f>IFERROR(INDEX('Araç Tanımlama'!$D$5:$D$200,MATCH(D946,'Araç Tanımlama'!$A$5:$A$200,0)),"")</f>
        <v/>
      </c>
      <c r="F946" s="4" t="str">
        <f>IFERROR(INDEX('Araç Tanımlama'!$E$5:$E$200,MATCH(D946,'Araç Tanımlama'!$A$5:$A$200,0)),"")</f>
        <v/>
      </c>
      <c r="G946" s="2"/>
      <c r="H946" s="7"/>
      <c r="I946" s="9" t="str">
        <f>IF(OR(G946="",H946=""),"",G946*H946)</f>
        <v/>
      </c>
      <c r="J946" s="2"/>
      <c r="K946" s="2"/>
    </row>
    <row r="947" spans="1:11">
      <c r="A947" s="4" t="str">
        <f>IF(D947="","",COUNTIF($D$5:D947,"?*"))</f>
        <v/>
      </c>
      <c r="B947" s="5"/>
      <c r="C947" s="4" t="str">
        <f>IF(B947="","",INDEX({"Ocak","Şubat","Mart","Nisan","Mayıs","Haziran","Temmuz","Ağustos","Eylül","Ekim","Kasım","Aralık"},MONTH(B947)))</f>
        <v/>
      </c>
      <c r="D947" s="2"/>
      <c r="E947" s="4" t="str">
        <f>IFERROR(INDEX('Araç Tanımlama'!$D$5:$D$200,MATCH(D947,'Araç Tanımlama'!$A$5:$A$200,0)),"")</f>
        <v/>
      </c>
      <c r="F947" s="4" t="str">
        <f>IFERROR(INDEX('Araç Tanımlama'!$E$5:$E$200,MATCH(D947,'Araç Tanımlama'!$A$5:$A$200,0)),"")</f>
        <v/>
      </c>
      <c r="G947" s="2"/>
      <c r="H947" s="7"/>
      <c r="I947" s="9" t="str">
        <f>IF(OR(G947="",H947=""),"",G947*H947)</f>
        <v/>
      </c>
      <c r="J947" s="2"/>
      <c r="K947" s="2"/>
    </row>
    <row r="948" spans="1:11">
      <c r="A948" s="4" t="str">
        <f>IF(D948="","",COUNTIF($D$5:D948,"?*"))</f>
        <v/>
      </c>
      <c r="B948" s="5"/>
      <c r="C948" s="4" t="str">
        <f>IF(B948="","",INDEX({"Ocak","Şubat","Mart","Nisan","Mayıs","Haziran","Temmuz","Ağustos","Eylül","Ekim","Kasım","Aralık"},MONTH(B948)))</f>
        <v/>
      </c>
      <c r="D948" s="2"/>
      <c r="E948" s="4" t="str">
        <f>IFERROR(INDEX('Araç Tanımlama'!$D$5:$D$200,MATCH(D948,'Araç Tanımlama'!$A$5:$A$200,0)),"")</f>
        <v/>
      </c>
      <c r="F948" s="4" t="str">
        <f>IFERROR(INDEX('Araç Tanımlama'!$E$5:$E$200,MATCH(D948,'Araç Tanımlama'!$A$5:$A$200,0)),"")</f>
        <v/>
      </c>
      <c r="G948" s="2"/>
      <c r="H948" s="7"/>
      <c r="I948" s="9" t="str">
        <f>IF(OR(G948="",H948=""),"",G948*H948)</f>
        <v/>
      </c>
      <c r="J948" s="2"/>
      <c r="K948" s="2"/>
    </row>
    <row r="949" spans="1:11">
      <c r="A949" s="4" t="str">
        <f>IF(D949="","",COUNTIF($D$5:D949,"?*"))</f>
        <v/>
      </c>
      <c r="B949" s="5"/>
      <c r="C949" s="4" t="str">
        <f>IF(B949="","",INDEX({"Ocak","Şubat","Mart","Nisan","Mayıs","Haziran","Temmuz","Ağustos","Eylül","Ekim","Kasım","Aralık"},MONTH(B949)))</f>
        <v/>
      </c>
      <c r="D949" s="2"/>
      <c r="E949" s="4" t="str">
        <f>IFERROR(INDEX('Araç Tanımlama'!$D$5:$D$200,MATCH(D949,'Araç Tanımlama'!$A$5:$A$200,0)),"")</f>
        <v/>
      </c>
      <c r="F949" s="4" t="str">
        <f>IFERROR(INDEX('Araç Tanımlama'!$E$5:$E$200,MATCH(D949,'Araç Tanımlama'!$A$5:$A$200,0)),"")</f>
        <v/>
      </c>
      <c r="G949" s="2"/>
      <c r="H949" s="7"/>
      <c r="I949" s="9" t="str">
        <f>IF(OR(G949="",H949=""),"",G949*H949)</f>
        <v/>
      </c>
      <c r="J949" s="2"/>
      <c r="K949" s="2"/>
    </row>
    <row r="950" spans="1:11">
      <c r="A950" s="4" t="str">
        <f>IF(D950="","",COUNTIF($D$5:D950,"?*"))</f>
        <v/>
      </c>
      <c r="B950" s="5"/>
      <c r="C950" s="4" t="str">
        <f>IF(B950="","",INDEX({"Ocak","Şubat","Mart","Nisan","Mayıs","Haziran","Temmuz","Ağustos","Eylül","Ekim","Kasım","Aralık"},MONTH(B950)))</f>
        <v/>
      </c>
      <c r="D950" s="2"/>
      <c r="E950" s="4" t="str">
        <f>IFERROR(INDEX('Araç Tanımlama'!$D$5:$D$200,MATCH(D950,'Araç Tanımlama'!$A$5:$A$200,0)),"")</f>
        <v/>
      </c>
      <c r="F950" s="4" t="str">
        <f>IFERROR(INDEX('Araç Tanımlama'!$E$5:$E$200,MATCH(D950,'Araç Tanımlama'!$A$5:$A$200,0)),"")</f>
        <v/>
      </c>
      <c r="G950" s="2"/>
      <c r="H950" s="7"/>
      <c r="I950" s="9" t="str">
        <f>IF(OR(G950="",H950=""),"",G950*H950)</f>
        <v/>
      </c>
      <c r="J950" s="2"/>
      <c r="K950" s="2"/>
    </row>
    <row r="951" spans="1:11">
      <c r="A951" s="4" t="str">
        <f>IF(D951="","",COUNTIF($D$5:D951,"?*"))</f>
        <v/>
      </c>
      <c r="B951" s="5"/>
      <c r="C951" s="4" t="str">
        <f>IF(B951="","",INDEX({"Ocak","Şubat","Mart","Nisan","Mayıs","Haziran","Temmuz","Ağustos","Eylül","Ekim","Kasım","Aralık"},MONTH(B951)))</f>
        <v/>
      </c>
      <c r="D951" s="2"/>
      <c r="E951" s="4" t="str">
        <f>IFERROR(INDEX('Araç Tanımlama'!$D$5:$D$200,MATCH(D951,'Araç Tanımlama'!$A$5:$A$200,0)),"")</f>
        <v/>
      </c>
      <c r="F951" s="4" t="str">
        <f>IFERROR(INDEX('Araç Tanımlama'!$E$5:$E$200,MATCH(D951,'Araç Tanımlama'!$A$5:$A$200,0)),"")</f>
        <v/>
      </c>
      <c r="G951" s="2"/>
      <c r="H951" s="7"/>
      <c r="I951" s="9" t="str">
        <f>IF(OR(G951="",H951=""),"",G951*H951)</f>
        <v/>
      </c>
      <c r="J951" s="2"/>
      <c r="K951" s="2"/>
    </row>
    <row r="952" spans="1:11">
      <c r="A952" s="4" t="str">
        <f>IF(D952="","",COUNTIF($D$5:D952,"?*"))</f>
        <v/>
      </c>
      <c r="B952" s="5"/>
      <c r="C952" s="4" t="str">
        <f>IF(B952="","",INDEX({"Ocak","Şubat","Mart","Nisan","Mayıs","Haziran","Temmuz","Ağustos","Eylül","Ekim","Kasım","Aralık"},MONTH(B952)))</f>
        <v/>
      </c>
      <c r="D952" s="2"/>
      <c r="E952" s="4" t="str">
        <f>IFERROR(INDEX('Araç Tanımlama'!$D$5:$D$200,MATCH(D952,'Araç Tanımlama'!$A$5:$A$200,0)),"")</f>
        <v/>
      </c>
      <c r="F952" s="4" t="str">
        <f>IFERROR(INDEX('Araç Tanımlama'!$E$5:$E$200,MATCH(D952,'Araç Tanımlama'!$A$5:$A$200,0)),"")</f>
        <v/>
      </c>
      <c r="G952" s="2"/>
      <c r="H952" s="7"/>
      <c r="I952" s="9" t="str">
        <f>IF(OR(G952="",H952=""),"",G952*H952)</f>
        <v/>
      </c>
      <c r="J952" s="2"/>
      <c r="K952" s="2"/>
    </row>
    <row r="953" spans="1:11">
      <c r="A953" s="4" t="str">
        <f>IF(D953="","",COUNTIF($D$5:D953,"?*"))</f>
        <v/>
      </c>
      <c r="B953" s="5"/>
      <c r="C953" s="4" t="str">
        <f>IF(B953="","",INDEX({"Ocak","Şubat","Mart","Nisan","Mayıs","Haziran","Temmuz","Ağustos","Eylül","Ekim","Kasım","Aralık"},MONTH(B953)))</f>
        <v/>
      </c>
      <c r="D953" s="2"/>
      <c r="E953" s="4" t="str">
        <f>IFERROR(INDEX('Araç Tanımlama'!$D$5:$D$200,MATCH(D953,'Araç Tanımlama'!$A$5:$A$200,0)),"")</f>
        <v/>
      </c>
      <c r="F953" s="4" t="str">
        <f>IFERROR(INDEX('Araç Tanımlama'!$E$5:$E$200,MATCH(D953,'Araç Tanımlama'!$A$5:$A$200,0)),"")</f>
        <v/>
      </c>
      <c r="G953" s="2"/>
      <c r="H953" s="7"/>
      <c r="I953" s="9" t="str">
        <f>IF(OR(G953="",H953=""),"",G953*H953)</f>
        <v/>
      </c>
      <c r="J953" s="2"/>
      <c r="K953" s="2"/>
    </row>
    <row r="954" spans="1:11">
      <c r="A954" s="4" t="str">
        <f>IF(D954="","",COUNTIF($D$5:D954,"?*"))</f>
        <v/>
      </c>
      <c r="B954" s="5"/>
      <c r="C954" s="4" t="str">
        <f>IF(B954="","",INDEX({"Ocak","Şubat","Mart","Nisan","Mayıs","Haziran","Temmuz","Ağustos","Eylül","Ekim","Kasım","Aralık"},MONTH(B954)))</f>
        <v/>
      </c>
      <c r="D954" s="2"/>
      <c r="E954" s="4" t="str">
        <f>IFERROR(INDEX('Araç Tanımlama'!$D$5:$D$200,MATCH(D954,'Araç Tanımlama'!$A$5:$A$200,0)),"")</f>
        <v/>
      </c>
      <c r="F954" s="4" t="str">
        <f>IFERROR(INDEX('Araç Tanımlama'!$E$5:$E$200,MATCH(D954,'Araç Tanımlama'!$A$5:$A$200,0)),"")</f>
        <v/>
      </c>
      <c r="G954" s="2"/>
      <c r="H954" s="7"/>
      <c r="I954" s="9" t="str">
        <f>IF(OR(G954="",H954=""),"",G954*H954)</f>
        <v/>
      </c>
      <c r="J954" s="2"/>
      <c r="K954" s="2"/>
    </row>
    <row r="955" spans="1:11">
      <c r="A955" s="4" t="str">
        <f>IF(D955="","",COUNTIF($D$5:D955,"?*"))</f>
        <v/>
      </c>
      <c r="B955" s="5"/>
      <c r="C955" s="4" t="str">
        <f>IF(B955="","",INDEX({"Ocak","Şubat","Mart","Nisan","Mayıs","Haziran","Temmuz","Ağustos","Eylül","Ekim","Kasım","Aralık"},MONTH(B955)))</f>
        <v/>
      </c>
      <c r="D955" s="2"/>
      <c r="E955" s="4" t="str">
        <f>IFERROR(INDEX('Araç Tanımlama'!$D$5:$D$200,MATCH(D955,'Araç Tanımlama'!$A$5:$A$200,0)),"")</f>
        <v/>
      </c>
      <c r="F955" s="4" t="str">
        <f>IFERROR(INDEX('Araç Tanımlama'!$E$5:$E$200,MATCH(D955,'Araç Tanımlama'!$A$5:$A$200,0)),"")</f>
        <v/>
      </c>
      <c r="G955" s="2"/>
      <c r="H955" s="7"/>
      <c r="I955" s="9" t="str">
        <f>IF(OR(G955="",H955=""),"",G955*H955)</f>
        <v/>
      </c>
      <c r="J955" s="2"/>
      <c r="K955" s="2"/>
    </row>
    <row r="956" spans="1:11">
      <c r="A956" s="4" t="str">
        <f>IF(D956="","",COUNTIF($D$5:D956,"?*"))</f>
        <v/>
      </c>
      <c r="B956" s="5"/>
      <c r="C956" s="4" t="str">
        <f>IF(B956="","",INDEX({"Ocak","Şubat","Mart","Nisan","Mayıs","Haziran","Temmuz","Ağustos","Eylül","Ekim","Kasım","Aralık"},MONTH(B956)))</f>
        <v/>
      </c>
      <c r="D956" s="2"/>
      <c r="E956" s="4" t="str">
        <f>IFERROR(INDEX('Araç Tanımlama'!$D$5:$D$200,MATCH(D956,'Araç Tanımlama'!$A$5:$A$200,0)),"")</f>
        <v/>
      </c>
      <c r="F956" s="4" t="str">
        <f>IFERROR(INDEX('Araç Tanımlama'!$E$5:$E$200,MATCH(D956,'Araç Tanımlama'!$A$5:$A$200,0)),"")</f>
        <v/>
      </c>
      <c r="G956" s="2"/>
      <c r="H956" s="7"/>
      <c r="I956" s="9" t="str">
        <f>IF(OR(G956="",H956=""),"",G956*H956)</f>
        <v/>
      </c>
      <c r="J956" s="2"/>
      <c r="K956" s="2"/>
    </row>
    <row r="957" spans="1:11">
      <c r="A957" s="4" t="str">
        <f>IF(D957="","",COUNTIF($D$5:D957,"?*"))</f>
        <v/>
      </c>
      <c r="B957" s="5"/>
      <c r="C957" s="4" t="str">
        <f>IF(B957="","",INDEX({"Ocak","Şubat","Mart","Nisan","Mayıs","Haziran","Temmuz","Ağustos","Eylül","Ekim","Kasım","Aralık"},MONTH(B957)))</f>
        <v/>
      </c>
      <c r="D957" s="2"/>
      <c r="E957" s="4" t="str">
        <f>IFERROR(INDEX('Araç Tanımlama'!$D$5:$D$200,MATCH(D957,'Araç Tanımlama'!$A$5:$A$200,0)),"")</f>
        <v/>
      </c>
      <c r="F957" s="4" t="str">
        <f>IFERROR(INDEX('Araç Tanımlama'!$E$5:$E$200,MATCH(D957,'Araç Tanımlama'!$A$5:$A$200,0)),"")</f>
        <v/>
      </c>
      <c r="G957" s="2"/>
      <c r="H957" s="7"/>
      <c r="I957" s="9" t="str">
        <f>IF(OR(G957="",H957=""),"",G957*H957)</f>
        <v/>
      </c>
      <c r="J957" s="2"/>
      <c r="K957" s="2"/>
    </row>
    <row r="958" spans="1:11">
      <c r="A958" s="4" t="str">
        <f>IF(D958="","",COUNTIF($D$5:D958,"?*"))</f>
        <v/>
      </c>
      <c r="B958" s="5"/>
      <c r="C958" s="4" t="str">
        <f>IF(B958="","",INDEX({"Ocak","Şubat","Mart","Nisan","Mayıs","Haziran","Temmuz","Ağustos","Eylül","Ekim","Kasım","Aralık"},MONTH(B958)))</f>
        <v/>
      </c>
      <c r="D958" s="2"/>
      <c r="E958" s="4" t="str">
        <f>IFERROR(INDEX('Araç Tanımlama'!$D$5:$D$200,MATCH(D958,'Araç Tanımlama'!$A$5:$A$200,0)),"")</f>
        <v/>
      </c>
      <c r="F958" s="4" t="str">
        <f>IFERROR(INDEX('Araç Tanımlama'!$E$5:$E$200,MATCH(D958,'Araç Tanımlama'!$A$5:$A$200,0)),"")</f>
        <v/>
      </c>
      <c r="G958" s="2"/>
      <c r="H958" s="7"/>
      <c r="I958" s="9" t="str">
        <f>IF(OR(G958="",H958=""),"",G958*H958)</f>
        <v/>
      </c>
      <c r="J958" s="2"/>
      <c r="K958" s="2"/>
    </row>
    <row r="959" spans="1:11">
      <c r="A959" s="4" t="str">
        <f>IF(D959="","",COUNTIF($D$5:D959,"?*"))</f>
        <v/>
      </c>
      <c r="B959" s="5"/>
      <c r="C959" s="4" t="str">
        <f>IF(B959="","",INDEX({"Ocak","Şubat","Mart","Nisan","Mayıs","Haziran","Temmuz","Ağustos","Eylül","Ekim","Kasım","Aralık"},MONTH(B959)))</f>
        <v/>
      </c>
      <c r="D959" s="2"/>
      <c r="E959" s="4" t="str">
        <f>IFERROR(INDEX('Araç Tanımlama'!$D$5:$D$200,MATCH(D959,'Araç Tanımlama'!$A$5:$A$200,0)),"")</f>
        <v/>
      </c>
      <c r="F959" s="4" t="str">
        <f>IFERROR(INDEX('Araç Tanımlama'!$E$5:$E$200,MATCH(D959,'Araç Tanımlama'!$A$5:$A$200,0)),"")</f>
        <v/>
      </c>
      <c r="G959" s="2"/>
      <c r="H959" s="7"/>
      <c r="I959" s="9" t="str">
        <f>IF(OR(G959="",H959=""),"",G959*H959)</f>
        <v/>
      </c>
      <c r="J959" s="2"/>
      <c r="K959" s="2"/>
    </row>
    <row r="960" spans="1:11">
      <c r="A960" s="4" t="str">
        <f>IF(D960="","",COUNTIF($D$5:D960,"?*"))</f>
        <v/>
      </c>
      <c r="B960" s="5"/>
      <c r="C960" s="4" t="str">
        <f>IF(B960="","",INDEX({"Ocak","Şubat","Mart","Nisan","Mayıs","Haziran","Temmuz","Ağustos","Eylül","Ekim","Kasım","Aralık"},MONTH(B960)))</f>
        <v/>
      </c>
      <c r="D960" s="2"/>
      <c r="E960" s="4" t="str">
        <f>IFERROR(INDEX('Araç Tanımlama'!$D$5:$D$200,MATCH(D960,'Araç Tanımlama'!$A$5:$A$200,0)),"")</f>
        <v/>
      </c>
      <c r="F960" s="4" t="str">
        <f>IFERROR(INDEX('Araç Tanımlama'!$E$5:$E$200,MATCH(D960,'Araç Tanımlama'!$A$5:$A$200,0)),"")</f>
        <v/>
      </c>
      <c r="G960" s="2"/>
      <c r="H960" s="7"/>
      <c r="I960" s="9" t="str">
        <f>IF(OR(G960="",H960=""),"",G960*H960)</f>
        <v/>
      </c>
      <c r="J960" s="2"/>
      <c r="K960" s="2"/>
    </row>
    <row r="961" spans="1:11">
      <c r="A961" s="4" t="str">
        <f>IF(D961="","",COUNTIF($D$5:D961,"?*"))</f>
        <v/>
      </c>
      <c r="B961" s="5"/>
      <c r="C961" s="4" t="str">
        <f>IF(B961="","",INDEX({"Ocak","Şubat","Mart","Nisan","Mayıs","Haziran","Temmuz","Ağustos","Eylül","Ekim","Kasım","Aralık"},MONTH(B961)))</f>
        <v/>
      </c>
      <c r="D961" s="2"/>
      <c r="E961" s="4" t="str">
        <f>IFERROR(INDEX('Araç Tanımlama'!$D$5:$D$200,MATCH(D961,'Araç Tanımlama'!$A$5:$A$200,0)),"")</f>
        <v/>
      </c>
      <c r="F961" s="4" t="str">
        <f>IFERROR(INDEX('Araç Tanımlama'!$E$5:$E$200,MATCH(D961,'Araç Tanımlama'!$A$5:$A$200,0)),"")</f>
        <v/>
      </c>
      <c r="G961" s="2"/>
      <c r="H961" s="7"/>
      <c r="I961" s="9" t="str">
        <f>IF(OR(G961="",H961=""),"",G961*H961)</f>
        <v/>
      </c>
      <c r="J961" s="2"/>
      <c r="K961" s="2"/>
    </row>
    <row r="962" spans="1:11">
      <c r="A962" s="4" t="str">
        <f>IF(D962="","",COUNTIF($D$5:D962,"?*"))</f>
        <v/>
      </c>
      <c r="B962" s="5"/>
      <c r="C962" s="4" t="str">
        <f>IF(B962="","",INDEX({"Ocak","Şubat","Mart","Nisan","Mayıs","Haziran","Temmuz","Ağustos","Eylül","Ekim","Kasım","Aralık"},MONTH(B962)))</f>
        <v/>
      </c>
      <c r="D962" s="2"/>
      <c r="E962" s="4" t="str">
        <f>IFERROR(INDEX('Araç Tanımlama'!$D$5:$D$200,MATCH(D962,'Araç Tanımlama'!$A$5:$A$200,0)),"")</f>
        <v/>
      </c>
      <c r="F962" s="4" t="str">
        <f>IFERROR(INDEX('Araç Tanımlama'!$E$5:$E$200,MATCH(D962,'Araç Tanımlama'!$A$5:$A$200,0)),"")</f>
        <v/>
      </c>
      <c r="G962" s="2"/>
      <c r="H962" s="7"/>
      <c r="I962" s="9" t="str">
        <f>IF(OR(G962="",H962=""),"",G962*H962)</f>
        <v/>
      </c>
      <c r="J962" s="2"/>
      <c r="K962" s="2"/>
    </row>
    <row r="963" spans="1:11">
      <c r="A963" s="4" t="str">
        <f>IF(D963="","",COUNTIF($D$5:D963,"?*"))</f>
        <v/>
      </c>
      <c r="B963" s="5"/>
      <c r="C963" s="4" t="str">
        <f>IF(B963="","",INDEX({"Ocak","Şubat","Mart","Nisan","Mayıs","Haziran","Temmuz","Ağustos","Eylül","Ekim","Kasım","Aralık"},MONTH(B963)))</f>
        <v/>
      </c>
      <c r="D963" s="2"/>
      <c r="E963" s="4" t="str">
        <f>IFERROR(INDEX('Araç Tanımlama'!$D$5:$D$200,MATCH(D963,'Araç Tanımlama'!$A$5:$A$200,0)),"")</f>
        <v/>
      </c>
      <c r="F963" s="4" t="str">
        <f>IFERROR(INDEX('Araç Tanımlama'!$E$5:$E$200,MATCH(D963,'Araç Tanımlama'!$A$5:$A$200,0)),"")</f>
        <v/>
      </c>
      <c r="G963" s="2"/>
      <c r="H963" s="7"/>
      <c r="I963" s="9" t="str">
        <f>IF(OR(G963="",H963=""),"",G963*H963)</f>
        <v/>
      </c>
      <c r="J963" s="2"/>
      <c r="K963" s="2"/>
    </row>
    <row r="964" spans="1:11">
      <c r="A964" s="4" t="str">
        <f>IF(D964="","",COUNTIF($D$5:D964,"?*"))</f>
        <v/>
      </c>
      <c r="B964" s="5"/>
      <c r="C964" s="4" t="str">
        <f>IF(B964="","",INDEX({"Ocak","Şubat","Mart","Nisan","Mayıs","Haziran","Temmuz","Ağustos","Eylül","Ekim","Kasım","Aralık"},MONTH(B964)))</f>
        <v/>
      </c>
      <c r="D964" s="2"/>
      <c r="E964" s="4" t="str">
        <f>IFERROR(INDEX('Araç Tanımlama'!$D$5:$D$200,MATCH(D964,'Araç Tanımlama'!$A$5:$A$200,0)),"")</f>
        <v/>
      </c>
      <c r="F964" s="4" t="str">
        <f>IFERROR(INDEX('Araç Tanımlama'!$E$5:$E$200,MATCH(D964,'Araç Tanımlama'!$A$5:$A$200,0)),"")</f>
        <v/>
      </c>
      <c r="G964" s="2"/>
      <c r="H964" s="7"/>
      <c r="I964" s="9" t="str">
        <f>IF(OR(G964="",H964=""),"",G964*H964)</f>
        <v/>
      </c>
      <c r="J964" s="2"/>
      <c r="K964" s="2"/>
    </row>
    <row r="965" spans="1:11">
      <c r="A965" s="4" t="str">
        <f>IF(D965="","",COUNTIF($D$5:D965,"?*"))</f>
        <v/>
      </c>
      <c r="B965" s="5"/>
      <c r="C965" s="4" t="str">
        <f>IF(B965="","",INDEX({"Ocak","Şubat","Mart","Nisan","Mayıs","Haziran","Temmuz","Ağustos","Eylül","Ekim","Kasım","Aralık"},MONTH(B965)))</f>
        <v/>
      </c>
      <c r="D965" s="2"/>
      <c r="E965" s="4" t="str">
        <f>IFERROR(INDEX('Araç Tanımlama'!$D$5:$D$200,MATCH(D965,'Araç Tanımlama'!$A$5:$A$200,0)),"")</f>
        <v/>
      </c>
      <c r="F965" s="4" t="str">
        <f>IFERROR(INDEX('Araç Tanımlama'!$E$5:$E$200,MATCH(D965,'Araç Tanımlama'!$A$5:$A$200,0)),"")</f>
        <v/>
      </c>
      <c r="G965" s="2"/>
      <c r="H965" s="7"/>
      <c r="I965" s="9" t="str">
        <f>IF(OR(G965="",H965=""),"",G965*H965)</f>
        <v/>
      </c>
      <c r="J965" s="2"/>
      <c r="K965" s="2"/>
    </row>
    <row r="966" spans="1:11">
      <c r="A966" s="4" t="str">
        <f>IF(D966="","",COUNTIF($D$5:D966,"?*"))</f>
        <v/>
      </c>
      <c r="B966" s="5"/>
      <c r="C966" s="4" t="str">
        <f>IF(B966="","",INDEX({"Ocak","Şubat","Mart","Nisan","Mayıs","Haziran","Temmuz","Ağustos","Eylül","Ekim","Kasım","Aralık"},MONTH(B966)))</f>
        <v/>
      </c>
      <c r="D966" s="2"/>
      <c r="E966" s="4" t="str">
        <f>IFERROR(INDEX('Araç Tanımlama'!$D$5:$D$200,MATCH(D966,'Araç Tanımlama'!$A$5:$A$200,0)),"")</f>
        <v/>
      </c>
      <c r="F966" s="4" t="str">
        <f>IFERROR(INDEX('Araç Tanımlama'!$E$5:$E$200,MATCH(D966,'Araç Tanımlama'!$A$5:$A$200,0)),"")</f>
        <v/>
      </c>
      <c r="G966" s="2"/>
      <c r="H966" s="7"/>
      <c r="I966" s="9" t="str">
        <f>IF(OR(G966="",H966=""),"",G966*H966)</f>
        <v/>
      </c>
      <c r="J966" s="2"/>
      <c r="K966" s="2"/>
    </row>
    <row r="967" spans="1:11">
      <c r="A967" s="4" t="str">
        <f>IF(D967="","",COUNTIF($D$5:D967,"?*"))</f>
        <v/>
      </c>
      <c r="B967" s="5"/>
      <c r="C967" s="4" t="str">
        <f>IF(B967="","",INDEX({"Ocak","Şubat","Mart","Nisan","Mayıs","Haziran","Temmuz","Ağustos","Eylül","Ekim","Kasım","Aralık"},MONTH(B967)))</f>
        <v/>
      </c>
      <c r="D967" s="2"/>
      <c r="E967" s="4" t="str">
        <f>IFERROR(INDEX('Araç Tanımlama'!$D$5:$D$200,MATCH(D967,'Araç Tanımlama'!$A$5:$A$200,0)),"")</f>
        <v/>
      </c>
      <c r="F967" s="4" t="str">
        <f>IFERROR(INDEX('Araç Tanımlama'!$E$5:$E$200,MATCH(D967,'Araç Tanımlama'!$A$5:$A$200,0)),"")</f>
        <v/>
      </c>
      <c r="G967" s="2"/>
      <c r="H967" s="7"/>
      <c r="I967" s="9" t="str">
        <f>IF(OR(G967="",H967=""),"",G967*H967)</f>
        <v/>
      </c>
      <c r="J967" s="2"/>
      <c r="K967" s="2"/>
    </row>
    <row r="968" spans="1:11">
      <c r="A968" s="4" t="str">
        <f>IF(D968="","",COUNTIF($D$5:D968,"?*"))</f>
        <v/>
      </c>
      <c r="B968" s="5"/>
      <c r="C968" s="4" t="str">
        <f>IF(B968="","",INDEX({"Ocak","Şubat","Mart","Nisan","Mayıs","Haziran","Temmuz","Ağustos","Eylül","Ekim","Kasım","Aralık"},MONTH(B968)))</f>
        <v/>
      </c>
      <c r="D968" s="2"/>
      <c r="E968" s="4" t="str">
        <f>IFERROR(INDEX('Araç Tanımlama'!$D$5:$D$200,MATCH(D968,'Araç Tanımlama'!$A$5:$A$200,0)),"")</f>
        <v/>
      </c>
      <c r="F968" s="4" t="str">
        <f>IFERROR(INDEX('Araç Tanımlama'!$E$5:$E$200,MATCH(D968,'Araç Tanımlama'!$A$5:$A$200,0)),"")</f>
        <v/>
      </c>
      <c r="G968" s="2"/>
      <c r="H968" s="7"/>
      <c r="I968" s="9" t="str">
        <f>IF(OR(G968="",H968=""),"",G968*H968)</f>
        <v/>
      </c>
      <c r="J968" s="2"/>
      <c r="K968" s="2"/>
    </row>
    <row r="969" spans="1:11">
      <c r="A969" s="4" t="str">
        <f>IF(D969="","",COUNTIF($D$5:D969,"?*"))</f>
        <v/>
      </c>
      <c r="B969" s="5"/>
      <c r="C969" s="4" t="str">
        <f>IF(B969="","",INDEX({"Ocak","Şubat","Mart","Nisan","Mayıs","Haziran","Temmuz","Ağustos","Eylül","Ekim","Kasım","Aralık"},MONTH(B969)))</f>
        <v/>
      </c>
      <c r="D969" s="2"/>
      <c r="E969" s="4" t="str">
        <f>IFERROR(INDEX('Araç Tanımlama'!$D$5:$D$200,MATCH(D969,'Araç Tanımlama'!$A$5:$A$200,0)),"")</f>
        <v/>
      </c>
      <c r="F969" s="4" t="str">
        <f>IFERROR(INDEX('Araç Tanımlama'!$E$5:$E$200,MATCH(D969,'Araç Tanımlama'!$A$5:$A$200,0)),"")</f>
        <v/>
      </c>
      <c r="G969" s="2"/>
      <c r="H969" s="7"/>
      <c r="I969" s="9" t="str">
        <f>IF(OR(G969="",H969=""),"",G969*H969)</f>
        <v/>
      </c>
      <c r="J969" s="2"/>
      <c r="K969" s="2"/>
    </row>
    <row r="970" spans="1:11">
      <c r="A970" s="4" t="str">
        <f>IF(D970="","",COUNTIF($D$5:D970,"?*"))</f>
        <v/>
      </c>
      <c r="B970" s="5"/>
      <c r="C970" s="4" t="str">
        <f>IF(B970="","",INDEX({"Ocak","Şubat","Mart","Nisan","Mayıs","Haziran","Temmuz","Ağustos","Eylül","Ekim","Kasım","Aralık"},MONTH(B970)))</f>
        <v/>
      </c>
      <c r="D970" s="2"/>
      <c r="E970" s="4" t="str">
        <f>IFERROR(INDEX('Araç Tanımlama'!$D$5:$D$200,MATCH(D970,'Araç Tanımlama'!$A$5:$A$200,0)),"")</f>
        <v/>
      </c>
      <c r="F970" s="4" t="str">
        <f>IFERROR(INDEX('Araç Tanımlama'!$E$5:$E$200,MATCH(D970,'Araç Tanımlama'!$A$5:$A$200,0)),"")</f>
        <v/>
      </c>
      <c r="G970" s="2"/>
      <c r="H970" s="7"/>
      <c r="I970" s="9" t="str">
        <f>IF(OR(G970="",H970=""),"",G970*H970)</f>
        <v/>
      </c>
      <c r="J970" s="2"/>
      <c r="K970" s="2"/>
    </row>
    <row r="971" spans="1:11">
      <c r="A971" s="4" t="str">
        <f>IF(D971="","",COUNTIF($D$5:D971,"?*"))</f>
        <v/>
      </c>
      <c r="B971" s="5"/>
      <c r="C971" s="4" t="str">
        <f>IF(B971="","",INDEX({"Ocak","Şubat","Mart","Nisan","Mayıs","Haziran","Temmuz","Ağustos","Eylül","Ekim","Kasım","Aralık"},MONTH(B971)))</f>
        <v/>
      </c>
      <c r="D971" s="2"/>
      <c r="E971" s="4" t="str">
        <f>IFERROR(INDEX('Araç Tanımlama'!$D$5:$D$200,MATCH(D971,'Araç Tanımlama'!$A$5:$A$200,0)),"")</f>
        <v/>
      </c>
      <c r="F971" s="4" t="str">
        <f>IFERROR(INDEX('Araç Tanımlama'!$E$5:$E$200,MATCH(D971,'Araç Tanımlama'!$A$5:$A$200,0)),"")</f>
        <v/>
      </c>
      <c r="G971" s="2"/>
      <c r="H971" s="7"/>
      <c r="I971" s="9" t="str">
        <f>IF(OR(G971="",H971=""),"",G971*H971)</f>
        <v/>
      </c>
      <c r="J971" s="2"/>
      <c r="K971" s="2"/>
    </row>
    <row r="972" spans="1:11">
      <c r="A972" s="4" t="str">
        <f>IF(D972="","",COUNTIF($D$5:D972,"?*"))</f>
        <v/>
      </c>
      <c r="B972" s="5"/>
      <c r="C972" s="4" t="str">
        <f>IF(B972="","",INDEX({"Ocak","Şubat","Mart","Nisan","Mayıs","Haziran","Temmuz","Ağustos","Eylül","Ekim","Kasım","Aralık"},MONTH(B972)))</f>
        <v/>
      </c>
      <c r="D972" s="2"/>
      <c r="E972" s="4" t="str">
        <f>IFERROR(INDEX('Araç Tanımlama'!$D$5:$D$200,MATCH(D972,'Araç Tanımlama'!$A$5:$A$200,0)),"")</f>
        <v/>
      </c>
      <c r="F972" s="4" t="str">
        <f>IFERROR(INDEX('Araç Tanımlama'!$E$5:$E$200,MATCH(D972,'Araç Tanımlama'!$A$5:$A$200,0)),"")</f>
        <v/>
      </c>
      <c r="G972" s="2"/>
      <c r="H972" s="7"/>
      <c r="I972" s="9" t="str">
        <f>IF(OR(G972="",H972=""),"",G972*H972)</f>
        <v/>
      </c>
      <c r="J972" s="2"/>
      <c r="K972" s="2"/>
    </row>
    <row r="973" spans="1:11">
      <c r="A973" s="4" t="str">
        <f>IF(D973="","",COUNTIF($D$5:D973,"?*"))</f>
        <v/>
      </c>
      <c r="B973" s="5"/>
      <c r="C973" s="4" t="str">
        <f>IF(B973="","",INDEX({"Ocak","Şubat","Mart","Nisan","Mayıs","Haziran","Temmuz","Ağustos","Eylül","Ekim","Kasım","Aralık"},MONTH(B973)))</f>
        <v/>
      </c>
      <c r="D973" s="2"/>
      <c r="E973" s="4" t="str">
        <f>IFERROR(INDEX('Araç Tanımlama'!$D$5:$D$200,MATCH(D973,'Araç Tanımlama'!$A$5:$A$200,0)),"")</f>
        <v/>
      </c>
      <c r="F973" s="4" t="str">
        <f>IFERROR(INDEX('Araç Tanımlama'!$E$5:$E$200,MATCH(D973,'Araç Tanımlama'!$A$5:$A$200,0)),"")</f>
        <v/>
      </c>
      <c r="G973" s="2"/>
      <c r="H973" s="7"/>
      <c r="I973" s="9" t="str">
        <f>IF(OR(G973="",H973=""),"",G973*H973)</f>
        <v/>
      </c>
      <c r="J973" s="2"/>
      <c r="K973" s="2"/>
    </row>
    <row r="974" spans="1:11">
      <c r="A974" s="4" t="str">
        <f>IF(D974="","",COUNTIF($D$5:D974,"?*"))</f>
        <v/>
      </c>
      <c r="B974" s="5"/>
      <c r="C974" s="4" t="str">
        <f>IF(B974="","",INDEX({"Ocak","Şubat","Mart","Nisan","Mayıs","Haziran","Temmuz","Ağustos","Eylül","Ekim","Kasım","Aralık"},MONTH(B974)))</f>
        <v/>
      </c>
      <c r="D974" s="2"/>
      <c r="E974" s="4" t="str">
        <f>IFERROR(INDEX('Araç Tanımlama'!$D$5:$D$200,MATCH(D974,'Araç Tanımlama'!$A$5:$A$200,0)),"")</f>
        <v/>
      </c>
      <c r="F974" s="4" t="str">
        <f>IFERROR(INDEX('Araç Tanımlama'!$E$5:$E$200,MATCH(D974,'Araç Tanımlama'!$A$5:$A$200,0)),"")</f>
        <v/>
      </c>
      <c r="G974" s="2"/>
      <c r="H974" s="7"/>
      <c r="I974" s="9" t="str">
        <f>IF(OR(G974="",H974=""),"",G974*H974)</f>
        <v/>
      </c>
      <c r="J974" s="2"/>
      <c r="K974" s="2"/>
    </row>
    <row r="975" spans="1:11">
      <c r="A975" s="4" t="str">
        <f>IF(D975="","",COUNTIF($D$5:D975,"?*"))</f>
        <v/>
      </c>
      <c r="B975" s="5"/>
      <c r="C975" s="4" t="str">
        <f>IF(B975="","",INDEX({"Ocak","Şubat","Mart","Nisan","Mayıs","Haziran","Temmuz","Ağustos","Eylül","Ekim","Kasım","Aralık"},MONTH(B975)))</f>
        <v/>
      </c>
      <c r="D975" s="2"/>
      <c r="E975" s="4" t="str">
        <f>IFERROR(INDEX('Araç Tanımlama'!$D$5:$D$200,MATCH(D975,'Araç Tanımlama'!$A$5:$A$200,0)),"")</f>
        <v/>
      </c>
      <c r="F975" s="4" t="str">
        <f>IFERROR(INDEX('Araç Tanımlama'!$E$5:$E$200,MATCH(D975,'Araç Tanımlama'!$A$5:$A$200,0)),"")</f>
        <v/>
      </c>
      <c r="G975" s="2"/>
      <c r="H975" s="7"/>
      <c r="I975" s="9" t="str">
        <f>IF(OR(G975="",H975=""),"",G975*H975)</f>
        <v/>
      </c>
      <c r="J975" s="2"/>
      <c r="K975" s="2"/>
    </row>
    <row r="976" spans="1:11">
      <c r="A976" s="4" t="str">
        <f>IF(D976="","",COUNTIF($D$5:D976,"?*"))</f>
        <v/>
      </c>
      <c r="B976" s="5"/>
      <c r="C976" s="4" t="str">
        <f>IF(B976="","",INDEX({"Ocak","Şubat","Mart","Nisan","Mayıs","Haziran","Temmuz","Ağustos","Eylül","Ekim","Kasım","Aralık"},MONTH(B976)))</f>
        <v/>
      </c>
      <c r="D976" s="2"/>
      <c r="E976" s="4" t="str">
        <f>IFERROR(INDEX('Araç Tanımlama'!$D$5:$D$200,MATCH(D976,'Araç Tanımlama'!$A$5:$A$200,0)),"")</f>
        <v/>
      </c>
      <c r="F976" s="4" t="str">
        <f>IFERROR(INDEX('Araç Tanımlama'!$E$5:$E$200,MATCH(D976,'Araç Tanımlama'!$A$5:$A$200,0)),"")</f>
        <v/>
      </c>
      <c r="G976" s="2"/>
      <c r="H976" s="7"/>
      <c r="I976" s="9" t="str">
        <f>IF(OR(G976="",H976=""),"",G976*H976)</f>
        <v/>
      </c>
      <c r="J976" s="2"/>
      <c r="K976" s="2"/>
    </row>
    <row r="977" spans="1:11">
      <c r="A977" s="4" t="str">
        <f>IF(D977="","",COUNTIF($D$5:D977,"?*"))</f>
        <v/>
      </c>
      <c r="B977" s="5"/>
      <c r="C977" s="4" t="str">
        <f>IF(B977="","",INDEX({"Ocak","Şubat","Mart","Nisan","Mayıs","Haziran","Temmuz","Ağustos","Eylül","Ekim","Kasım","Aralık"},MONTH(B977)))</f>
        <v/>
      </c>
      <c r="D977" s="2"/>
      <c r="E977" s="4" t="str">
        <f>IFERROR(INDEX('Araç Tanımlama'!$D$5:$D$200,MATCH(D977,'Araç Tanımlama'!$A$5:$A$200,0)),"")</f>
        <v/>
      </c>
      <c r="F977" s="4" t="str">
        <f>IFERROR(INDEX('Araç Tanımlama'!$E$5:$E$200,MATCH(D977,'Araç Tanımlama'!$A$5:$A$200,0)),"")</f>
        <v/>
      </c>
      <c r="G977" s="2"/>
      <c r="H977" s="7"/>
      <c r="I977" s="9" t="str">
        <f>IF(OR(G977="",H977=""),"",G977*H977)</f>
        <v/>
      </c>
      <c r="J977" s="2"/>
      <c r="K977" s="2"/>
    </row>
    <row r="978" spans="1:11">
      <c r="A978" s="4" t="str">
        <f>IF(D978="","",COUNTIF($D$5:D978,"?*"))</f>
        <v/>
      </c>
      <c r="B978" s="5"/>
      <c r="C978" s="4" t="str">
        <f>IF(B978="","",INDEX({"Ocak","Şubat","Mart","Nisan","Mayıs","Haziran","Temmuz","Ağustos","Eylül","Ekim","Kasım","Aralık"},MONTH(B978)))</f>
        <v/>
      </c>
      <c r="D978" s="2"/>
      <c r="E978" s="4" t="str">
        <f>IFERROR(INDEX('Araç Tanımlama'!$D$5:$D$200,MATCH(D978,'Araç Tanımlama'!$A$5:$A$200,0)),"")</f>
        <v/>
      </c>
      <c r="F978" s="4" t="str">
        <f>IFERROR(INDEX('Araç Tanımlama'!$E$5:$E$200,MATCH(D978,'Araç Tanımlama'!$A$5:$A$200,0)),"")</f>
        <v/>
      </c>
      <c r="G978" s="2"/>
      <c r="H978" s="7"/>
      <c r="I978" s="9" t="str">
        <f>IF(OR(G978="",H978=""),"",G978*H978)</f>
        <v/>
      </c>
      <c r="J978" s="2"/>
      <c r="K978" s="2"/>
    </row>
    <row r="979" spans="1:11">
      <c r="A979" s="4" t="str">
        <f>IF(D979="","",COUNTIF($D$5:D979,"?*"))</f>
        <v/>
      </c>
      <c r="B979" s="5"/>
      <c r="C979" s="4" t="str">
        <f>IF(B979="","",INDEX({"Ocak","Şubat","Mart","Nisan","Mayıs","Haziran","Temmuz","Ağustos","Eylül","Ekim","Kasım","Aralık"},MONTH(B979)))</f>
        <v/>
      </c>
      <c r="D979" s="2"/>
      <c r="E979" s="4" t="str">
        <f>IFERROR(INDEX('Araç Tanımlama'!$D$5:$D$200,MATCH(D979,'Araç Tanımlama'!$A$5:$A$200,0)),"")</f>
        <v/>
      </c>
      <c r="F979" s="4" t="str">
        <f>IFERROR(INDEX('Araç Tanımlama'!$E$5:$E$200,MATCH(D979,'Araç Tanımlama'!$A$5:$A$200,0)),"")</f>
        <v/>
      </c>
      <c r="G979" s="2"/>
      <c r="H979" s="7"/>
      <c r="I979" s="9" t="str">
        <f>IF(OR(G979="",H979=""),"",G979*H979)</f>
        <v/>
      </c>
      <c r="J979" s="2"/>
      <c r="K979" s="2"/>
    </row>
    <row r="980" spans="1:11">
      <c r="A980" s="4" t="str">
        <f>IF(D980="","",COUNTIF($D$5:D980,"?*"))</f>
        <v/>
      </c>
      <c r="B980" s="5"/>
      <c r="C980" s="4" t="str">
        <f>IF(B980="","",INDEX({"Ocak","Şubat","Mart","Nisan","Mayıs","Haziran","Temmuz","Ağustos","Eylül","Ekim","Kasım","Aralık"},MONTH(B980)))</f>
        <v/>
      </c>
      <c r="D980" s="2"/>
      <c r="E980" s="4" t="str">
        <f>IFERROR(INDEX('Araç Tanımlama'!$D$5:$D$200,MATCH(D980,'Araç Tanımlama'!$A$5:$A$200,0)),"")</f>
        <v/>
      </c>
      <c r="F980" s="4" t="str">
        <f>IFERROR(INDEX('Araç Tanımlama'!$E$5:$E$200,MATCH(D980,'Araç Tanımlama'!$A$5:$A$200,0)),"")</f>
        <v/>
      </c>
      <c r="G980" s="2"/>
      <c r="H980" s="7"/>
      <c r="I980" s="9" t="str">
        <f>IF(OR(G980="",H980=""),"",G980*H980)</f>
        <v/>
      </c>
      <c r="J980" s="2"/>
      <c r="K980" s="2"/>
    </row>
    <row r="981" spans="1:11">
      <c r="A981" s="4" t="str">
        <f>IF(D981="","",COUNTIF($D$5:D981,"?*"))</f>
        <v/>
      </c>
      <c r="B981" s="5"/>
      <c r="C981" s="4" t="str">
        <f>IF(B981="","",INDEX({"Ocak","Şubat","Mart","Nisan","Mayıs","Haziran","Temmuz","Ağustos","Eylül","Ekim","Kasım","Aralık"},MONTH(B981)))</f>
        <v/>
      </c>
      <c r="D981" s="2"/>
      <c r="E981" s="4" t="str">
        <f>IFERROR(INDEX('Araç Tanımlama'!$D$5:$D$200,MATCH(D981,'Araç Tanımlama'!$A$5:$A$200,0)),"")</f>
        <v/>
      </c>
      <c r="F981" s="4" t="str">
        <f>IFERROR(INDEX('Araç Tanımlama'!$E$5:$E$200,MATCH(D981,'Araç Tanımlama'!$A$5:$A$200,0)),"")</f>
        <v/>
      </c>
      <c r="G981" s="2"/>
      <c r="H981" s="7"/>
      <c r="I981" s="9" t="str">
        <f>IF(OR(G981="",H981=""),"",G981*H981)</f>
        <v/>
      </c>
      <c r="J981" s="2"/>
      <c r="K981" s="2"/>
    </row>
    <row r="982" spans="1:11">
      <c r="A982" s="4" t="str">
        <f>IF(D982="","",COUNTIF($D$5:D982,"?*"))</f>
        <v/>
      </c>
      <c r="B982" s="5"/>
      <c r="C982" s="4" t="str">
        <f>IF(B982="","",INDEX({"Ocak","Şubat","Mart","Nisan","Mayıs","Haziran","Temmuz","Ağustos","Eylül","Ekim","Kasım","Aralık"},MONTH(B982)))</f>
        <v/>
      </c>
      <c r="D982" s="2"/>
      <c r="E982" s="4" t="str">
        <f>IFERROR(INDEX('Araç Tanımlama'!$D$5:$D$200,MATCH(D982,'Araç Tanımlama'!$A$5:$A$200,0)),"")</f>
        <v/>
      </c>
      <c r="F982" s="4" t="str">
        <f>IFERROR(INDEX('Araç Tanımlama'!$E$5:$E$200,MATCH(D982,'Araç Tanımlama'!$A$5:$A$200,0)),"")</f>
        <v/>
      </c>
      <c r="G982" s="2"/>
      <c r="H982" s="7"/>
      <c r="I982" s="9" t="str">
        <f>IF(OR(G982="",H982=""),"",G982*H982)</f>
        <v/>
      </c>
      <c r="J982" s="2"/>
      <c r="K982" s="2"/>
    </row>
    <row r="983" spans="1:11">
      <c r="A983" s="4" t="str">
        <f>IF(D983="","",COUNTIF($D$5:D983,"?*"))</f>
        <v/>
      </c>
      <c r="B983" s="5"/>
      <c r="C983" s="4" t="str">
        <f>IF(B983="","",INDEX({"Ocak","Şubat","Mart","Nisan","Mayıs","Haziran","Temmuz","Ağustos","Eylül","Ekim","Kasım","Aralık"},MONTH(B983)))</f>
        <v/>
      </c>
      <c r="D983" s="2"/>
      <c r="E983" s="4" t="str">
        <f>IFERROR(INDEX('Araç Tanımlama'!$D$5:$D$200,MATCH(D983,'Araç Tanımlama'!$A$5:$A$200,0)),"")</f>
        <v/>
      </c>
      <c r="F983" s="4" t="str">
        <f>IFERROR(INDEX('Araç Tanımlama'!$E$5:$E$200,MATCH(D983,'Araç Tanımlama'!$A$5:$A$200,0)),"")</f>
        <v/>
      </c>
      <c r="G983" s="2"/>
      <c r="H983" s="7"/>
      <c r="I983" s="9" t="str">
        <f>IF(OR(G983="",H983=""),"",G983*H983)</f>
        <v/>
      </c>
      <c r="J983" s="2"/>
      <c r="K983" s="2"/>
    </row>
    <row r="984" spans="1:11">
      <c r="A984" s="4" t="str">
        <f>IF(D984="","",COUNTIF($D$5:D984,"?*"))</f>
        <v/>
      </c>
      <c r="B984" s="5"/>
      <c r="C984" s="4" t="str">
        <f>IF(B984="","",INDEX({"Ocak","Şubat","Mart","Nisan","Mayıs","Haziran","Temmuz","Ağustos","Eylül","Ekim","Kasım","Aralık"},MONTH(B984)))</f>
        <v/>
      </c>
      <c r="D984" s="2"/>
      <c r="E984" s="4" t="str">
        <f>IFERROR(INDEX('Araç Tanımlama'!$D$5:$D$200,MATCH(D984,'Araç Tanımlama'!$A$5:$A$200,0)),"")</f>
        <v/>
      </c>
      <c r="F984" s="4" t="str">
        <f>IFERROR(INDEX('Araç Tanımlama'!$E$5:$E$200,MATCH(D984,'Araç Tanımlama'!$A$5:$A$200,0)),"")</f>
        <v/>
      </c>
      <c r="G984" s="2"/>
      <c r="H984" s="7"/>
      <c r="I984" s="9" t="str">
        <f>IF(OR(G984="",H984=""),"",G984*H984)</f>
        <v/>
      </c>
      <c r="J984" s="2"/>
      <c r="K984" s="2"/>
    </row>
    <row r="985" spans="1:11">
      <c r="A985" s="4" t="str">
        <f>IF(D985="","",COUNTIF($D$5:D985,"?*"))</f>
        <v/>
      </c>
      <c r="B985" s="5"/>
      <c r="C985" s="4" t="str">
        <f>IF(B985="","",INDEX({"Ocak","Şubat","Mart","Nisan","Mayıs","Haziran","Temmuz","Ağustos","Eylül","Ekim","Kasım","Aralık"},MONTH(B985)))</f>
        <v/>
      </c>
      <c r="D985" s="2"/>
      <c r="E985" s="4" t="str">
        <f>IFERROR(INDEX('Araç Tanımlama'!$D$5:$D$200,MATCH(D985,'Araç Tanımlama'!$A$5:$A$200,0)),"")</f>
        <v/>
      </c>
      <c r="F985" s="4" t="str">
        <f>IFERROR(INDEX('Araç Tanımlama'!$E$5:$E$200,MATCH(D985,'Araç Tanımlama'!$A$5:$A$200,0)),"")</f>
        <v/>
      </c>
      <c r="G985" s="2"/>
      <c r="H985" s="7"/>
      <c r="I985" s="9" t="str">
        <f>IF(OR(G985="",H985=""),"",G985*H985)</f>
        <v/>
      </c>
      <c r="J985" s="2"/>
      <c r="K985" s="2"/>
    </row>
    <row r="986" spans="1:11">
      <c r="A986" s="4" t="str">
        <f>IF(D986="","",COUNTIF($D$5:D986,"?*"))</f>
        <v/>
      </c>
      <c r="B986" s="5"/>
      <c r="C986" s="4" t="str">
        <f>IF(B986="","",INDEX({"Ocak","Şubat","Mart","Nisan","Mayıs","Haziran","Temmuz","Ağustos","Eylül","Ekim","Kasım","Aralık"},MONTH(B986)))</f>
        <v/>
      </c>
      <c r="D986" s="2"/>
      <c r="E986" s="4" t="str">
        <f>IFERROR(INDEX('Araç Tanımlama'!$D$5:$D$200,MATCH(D986,'Araç Tanımlama'!$A$5:$A$200,0)),"")</f>
        <v/>
      </c>
      <c r="F986" s="4" t="str">
        <f>IFERROR(INDEX('Araç Tanımlama'!$E$5:$E$200,MATCH(D986,'Araç Tanımlama'!$A$5:$A$200,0)),"")</f>
        <v/>
      </c>
      <c r="G986" s="2"/>
      <c r="H986" s="7"/>
      <c r="I986" s="9" t="str">
        <f>IF(OR(G986="",H986=""),"",G986*H986)</f>
        <v/>
      </c>
      <c r="J986" s="2"/>
      <c r="K986" s="2"/>
    </row>
    <row r="987" spans="1:11">
      <c r="A987" s="4" t="str">
        <f>IF(D987="","",COUNTIF($D$5:D987,"?*"))</f>
        <v/>
      </c>
      <c r="B987" s="5"/>
      <c r="C987" s="4" t="str">
        <f>IF(B987="","",INDEX({"Ocak","Şubat","Mart","Nisan","Mayıs","Haziran","Temmuz","Ağustos","Eylül","Ekim","Kasım","Aralık"},MONTH(B987)))</f>
        <v/>
      </c>
      <c r="D987" s="2"/>
      <c r="E987" s="4" t="str">
        <f>IFERROR(INDEX('Araç Tanımlama'!$D$5:$D$200,MATCH(D987,'Araç Tanımlama'!$A$5:$A$200,0)),"")</f>
        <v/>
      </c>
      <c r="F987" s="4" t="str">
        <f>IFERROR(INDEX('Araç Tanımlama'!$E$5:$E$200,MATCH(D987,'Araç Tanımlama'!$A$5:$A$200,0)),"")</f>
        <v/>
      </c>
      <c r="G987" s="2"/>
      <c r="H987" s="7"/>
      <c r="I987" s="9" t="str">
        <f>IF(OR(G987="",H987=""),"",G987*H987)</f>
        <v/>
      </c>
      <c r="J987" s="2"/>
      <c r="K987" s="2"/>
    </row>
    <row r="988" spans="1:11">
      <c r="A988" s="4" t="str">
        <f>IF(D988="","",COUNTIF($D$5:D988,"?*"))</f>
        <v/>
      </c>
      <c r="B988" s="5"/>
      <c r="C988" s="4" t="str">
        <f>IF(B988="","",INDEX({"Ocak","Şubat","Mart","Nisan","Mayıs","Haziran","Temmuz","Ağustos","Eylül","Ekim","Kasım","Aralık"},MONTH(B988)))</f>
        <v/>
      </c>
      <c r="D988" s="2"/>
      <c r="E988" s="4" t="str">
        <f>IFERROR(INDEX('Araç Tanımlama'!$D$5:$D$200,MATCH(D988,'Araç Tanımlama'!$A$5:$A$200,0)),"")</f>
        <v/>
      </c>
      <c r="F988" s="4" t="str">
        <f>IFERROR(INDEX('Araç Tanımlama'!$E$5:$E$200,MATCH(D988,'Araç Tanımlama'!$A$5:$A$200,0)),"")</f>
        <v/>
      </c>
      <c r="G988" s="2"/>
      <c r="H988" s="7"/>
      <c r="I988" s="9" t="str">
        <f>IF(OR(G988="",H988=""),"",G988*H988)</f>
        <v/>
      </c>
      <c r="J988" s="2"/>
      <c r="K988" s="2"/>
    </row>
    <row r="989" spans="1:11">
      <c r="A989" s="4" t="str">
        <f>IF(D989="","",COUNTIF($D$5:D989,"?*"))</f>
        <v/>
      </c>
      <c r="B989" s="5"/>
      <c r="C989" s="4" t="str">
        <f>IF(B989="","",INDEX({"Ocak","Şubat","Mart","Nisan","Mayıs","Haziran","Temmuz","Ağustos","Eylül","Ekim","Kasım","Aralık"},MONTH(B989)))</f>
        <v/>
      </c>
      <c r="D989" s="2"/>
      <c r="E989" s="4" t="str">
        <f>IFERROR(INDEX('Araç Tanımlama'!$D$5:$D$200,MATCH(D989,'Araç Tanımlama'!$A$5:$A$200,0)),"")</f>
        <v/>
      </c>
      <c r="F989" s="4" t="str">
        <f>IFERROR(INDEX('Araç Tanımlama'!$E$5:$E$200,MATCH(D989,'Araç Tanımlama'!$A$5:$A$200,0)),"")</f>
        <v/>
      </c>
      <c r="G989" s="2"/>
      <c r="H989" s="7"/>
      <c r="I989" s="9" t="str">
        <f>IF(OR(G989="",H989=""),"",G989*H989)</f>
        <v/>
      </c>
      <c r="J989" s="2"/>
      <c r="K989" s="2"/>
    </row>
    <row r="990" spans="1:11">
      <c r="A990" s="4" t="str">
        <f>IF(D990="","",COUNTIF($D$5:D990,"?*"))</f>
        <v/>
      </c>
      <c r="B990" s="5"/>
      <c r="C990" s="4" t="str">
        <f>IF(B990="","",INDEX({"Ocak","Şubat","Mart","Nisan","Mayıs","Haziran","Temmuz","Ağustos","Eylül","Ekim","Kasım","Aralık"},MONTH(B990)))</f>
        <v/>
      </c>
      <c r="D990" s="2"/>
      <c r="E990" s="4" t="str">
        <f>IFERROR(INDEX('Araç Tanımlama'!$D$5:$D$200,MATCH(D990,'Araç Tanımlama'!$A$5:$A$200,0)),"")</f>
        <v/>
      </c>
      <c r="F990" s="4" t="str">
        <f>IFERROR(INDEX('Araç Tanımlama'!$E$5:$E$200,MATCH(D990,'Araç Tanımlama'!$A$5:$A$200,0)),"")</f>
        <v/>
      </c>
      <c r="G990" s="2"/>
      <c r="H990" s="7"/>
      <c r="I990" s="9" t="str">
        <f>IF(OR(G990="",H990=""),"",G990*H990)</f>
        <v/>
      </c>
      <c r="J990" s="2"/>
      <c r="K990" s="2"/>
    </row>
    <row r="991" spans="1:11">
      <c r="A991" s="4" t="str">
        <f>IF(D991="","",COUNTIF($D$5:D991,"?*"))</f>
        <v/>
      </c>
      <c r="B991" s="5"/>
      <c r="C991" s="4" t="str">
        <f>IF(B991="","",INDEX({"Ocak","Şubat","Mart","Nisan","Mayıs","Haziran","Temmuz","Ağustos","Eylül","Ekim","Kasım","Aralık"},MONTH(B991)))</f>
        <v/>
      </c>
      <c r="D991" s="2"/>
      <c r="E991" s="4" t="str">
        <f>IFERROR(INDEX('Araç Tanımlama'!$D$5:$D$200,MATCH(D991,'Araç Tanımlama'!$A$5:$A$200,0)),"")</f>
        <v/>
      </c>
      <c r="F991" s="4" t="str">
        <f>IFERROR(INDEX('Araç Tanımlama'!$E$5:$E$200,MATCH(D991,'Araç Tanımlama'!$A$5:$A$200,0)),"")</f>
        <v/>
      </c>
      <c r="G991" s="2"/>
      <c r="H991" s="7"/>
      <c r="I991" s="9" t="str">
        <f>IF(OR(G991="",H991=""),"",G991*H991)</f>
        <v/>
      </c>
      <c r="J991" s="2"/>
      <c r="K991" s="2"/>
    </row>
    <row r="992" spans="1:11">
      <c r="A992" s="4" t="str">
        <f>IF(D992="","",COUNTIF($D$5:D992,"?*"))</f>
        <v/>
      </c>
      <c r="B992" s="5"/>
      <c r="C992" s="4" t="str">
        <f>IF(B992="","",INDEX({"Ocak","Şubat","Mart","Nisan","Mayıs","Haziran","Temmuz","Ağustos","Eylül","Ekim","Kasım","Aralık"},MONTH(B992)))</f>
        <v/>
      </c>
      <c r="D992" s="2"/>
      <c r="E992" s="4" t="str">
        <f>IFERROR(INDEX('Araç Tanımlama'!$D$5:$D$200,MATCH(D992,'Araç Tanımlama'!$A$5:$A$200,0)),"")</f>
        <v/>
      </c>
      <c r="F992" s="4" t="str">
        <f>IFERROR(INDEX('Araç Tanımlama'!$E$5:$E$200,MATCH(D992,'Araç Tanımlama'!$A$5:$A$200,0)),"")</f>
        <v/>
      </c>
      <c r="G992" s="2"/>
      <c r="H992" s="7"/>
      <c r="I992" s="9" t="str">
        <f>IF(OR(G992="",H992=""),"",G992*H992)</f>
        <v/>
      </c>
      <c r="J992" s="2"/>
      <c r="K992" s="2"/>
    </row>
    <row r="993" spans="1:11">
      <c r="A993" s="4" t="str">
        <f>IF(D993="","",COUNTIF($D$5:D993,"?*"))</f>
        <v/>
      </c>
      <c r="B993" s="5"/>
      <c r="C993" s="4" t="str">
        <f>IF(B993="","",INDEX({"Ocak","Şubat","Mart","Nisan","Mayıs","Haziran","Temmuz","Ağustos","Eylül","Ekim","Kasım","Aralık"},MONTH(B993)))</f>
        <v/>
      </c>
      <c r="D993" s="2"/>
      <c r="E993" s="4" t="str">
        <f>IFERROR(INDEX('Araç Tanımlama'!$D$5:$D$200,MATCH(D993,'Araç Tanımlama'!$A$5:$A$200,0)),"")</f>
        <v/>
      </c>
      <c r="F993" s="4" t="str">
        <f>IFERROR(INDEX('Araç Tanımlama'!$E$5:$E$200,MATCH(D993,'Araç Tanımlama'!$A$5:$A$200,0)),"")</f>
        <v/>
      </c>
      <c r="G993" s="2"/>
      <c r="H993" s="7"/>
      <c r="I993" s="9" t="str">
        <f>IF(OR(G993="",H993=""),"",G993*H993)</f>
        <v/>
      </c>
      <c r="J993" s="2"/>
      <c r="K993" s="2"/>
    </row>
    <row r="994" spans="1:11">
      <c r="A994" s="4" t="str">
        <f>IF(D994="","",COUNTIF($D$5:D994,"?*"))</f>
        <v/>
      </c>
      <c r="B994" s="5"/>
      <c r="C994" s="4" t="str">
        <f>IF(B994="","",INDEX({"Ocak","Şubat","Mart","Nisan","Mayıs","Haziran","Temmuz","Ağustos","Eylül","Ekim","Kasım","Aralık"},MONTH(B994)))</f>
        <v/>
      </c>
      <c r="D994" s="2"/>
      <c r="E994" s="4" t="str">
        <f>IFERROR(INDEX('Araç Tanımlama'!$D$5:$D$200,MATCH(D994,'Araç Tanımlama'!$A$5:$A$200,0)),"")</f>
        <v/>
      </c>
      <c r="F994" s="4" t="str">
        <f>IFERROR(INDEX('Araç Tanımlama'!$E$5:$E$200,MATCH(D994,'Araç Tanımlama'!$A$5:$A$200,0)),"")</f>
        <v/>
      </c>
      <c r="G994" s="2"/>
      <c r="H994" s="7"/>
      <c r="I994" s="9" t="str">
        <f>IF(OR(G994="",H994=""),"",G994*H994)</f>
        <v/>
      </c>
      <c r="J994" s="2"/>
      <c r="K994" s="2"/>
    </row>
    <row r="995" spans="1:11">
      <c r="A995" s="4" t="str">
        <f>IF(D995="","",COUNTIF($D$5:D995,"?*"))</f>
        <v/>
      </c>
      <c r="B995" s="5"/>
      <c r="C995" s="4" t="str">
        <f>IF(B995="","",INDEX({"Ocak","Şubat","Mart","Nisan","Mayıs","Haziran","Temmuz","Ağustos","Eylül","Ekim","Kasım","Aralık"},MONTH(B995)))</f>
        <v/>
      </c>
      <c r="D995" s="2"/>
      <c r="E995" s="4" t="str">
        <f>IFERROR(INDEX('Araç Tanımlama'!$D$5:$D$200,MATCH(D995,'Araç Tanımlama'!$A$5:$A$200,0)),"")</f>
        <v/>
      </c>
      <c r="F995" s="4" t="str">
        <f>IFERROR(INDEX('Araç Tanımlama'!$E$5:$E$200,MATCH(D995,'Araç Tanımlama'!$A$5:$A$200,0)),"")</f>
        <v/>
      </c>
      <c r="G995" s="2"/>
      <c r="H995" s="7"/>
      <c r="I995" s="9" t="str">
        <f>IF(OR(G995="",H995=""),"",G995*H995)</f>
        <v/>
      </c>
      <c r="J995" s="2"/>
      <c r="K995" s="2"/>
    </row>
    <row r="996" spans="1:11">
      <c r="A996" s="4" t="str">
        <f>IF(D996="","",COUNTIF($D$5:D996,"?*"))</f>
        <v/>
      </c>
      <c r="B996" s="5"/>
      <c r="C996" s="4" t="str">
        <f>IF(B996="","",INDEX({"Ocak","Şubat","Mart","Nisan","Mayıs","Haziran","Temmuz","Ağustos","Eylül","Ekim","Kasım","Aralık"},MONTH(B996)))</f>
        <v/>
      </c>
      <c r="D996" s="2"/>
      <c r="E996" s="4" t="str">
        <f>IFERROR(INDEX('Araç Tanımlama'!$D$5:$D$200,MATCH(D996,'Araç Tanımlama'!$A$5:$A$200,0)),"")</f>
        <v/>
      </c>
      <c r="F996" s="4" t="str">
        <f>IFERROR(INDEX('Araç Tanımlama'!$E$5:$E$200,MATCH(D996,'Araç Tanımlama'!$A$5:$A$200,0)),"")</f>
        <v/>
      </c>
      <c r="G996" s="2"/>
      <c r="H996" s="7"/>
      <c r="I996" s="9" t="str">
        <f>IF(OR(G996="",H996=""),"",G996*H996)</f>
        <v/>
      </c>
      <c r="J996" s="2"/>
      <c r="K996" s="2"/>
    </row>
    <row r="997" spans="1:11">
      <c r="A997" s="4" t="str">
        <f>IF(D997="","",COUNTIF($D$5:D997,"?*"))</f>
        <v/>
      </c>
      <c r="B997" s="5"/>
      <c r="C997" s="4" t="str">
        <f>IF(B997="","",INDEX({"Ocak","Şubat","Mart","Nisan","Mayıs","Haziran","Temmuz","Ağustos","Eylül","Ekim","Kasım","Aralık"},MONTH(B997)))</f>
        <v/>
      </c>
      <c r="D997" s="2"/>
      <c r="E997" s="4" t="str">
        <f>IFERROR(INDEX('Araç Tanımlama'!$D$5:$D$200,MATCH(D997,'Araç Tanımlama'!$A$5:$A$200,0)),"")</f>
        <v/>
      </c>
      <c r="F997" s="4" t="str">
        <f>IFERROR(INDEX('Araç Tanımlama'!$E$5:$E$200,MATCH(D997,'Araç Tanımlama'!$A$5:$A$200,0)),"")</f>
        <v/>
      </c>
      <c r="G997" s="2"/>
      <c r="H997" s="7"/>
      <c r="I997" s="9" t="str">
        <f>IF(OR(G997="",H997=""),"",G997*H997)</f>
        <v/>
      </c>
      <c r="J997" s="2"/>
      <c r="K997" s="2"/>
    </row>
    <row r="998" spans="1:11">
      <c r="A998" s="4" t="str">
        <f>IF(D998="","",COUNTIF($D$5:D998,"?*"))</f>
        <v/>
      </c>
      <c r="B998" s="5"/>
      <c r="C998" s="4" t="str">
        <f>IF(B998="","",INDEX({"Ocak","Şubat","Mart","Nisan","Mayıs","Haziran","Temmuz","Ağustos","Eylül","Ekim","Kasım","Aralık"},MONTH(B998)))</f>
        <v/>
      </c>
      <c r="D998" s="2"/>
      <c r="E998" s="4" t="str">
        <f>IFERROR(INDEX('Araç Tanımlama'!$D$5:$D$200,MATCH(D998,'Araç Tanımlama'!$A$5:$A$200,0)),"")</f>
        <v/>
      </c>
      <c r="F998" s="4" t="str">
        <f>IFERROR(INDEX('Araç Tanımlama'!$E$5:$E$200,MATCH(D998,'Araç Tanımlama'!$A$5:$A$200,0)),"")</f>
        <v/>
      </c>
      <c r="G998" s="2"/>
      <c r="H998" s="7"/>
      <c r="I998" s="9" t="str">
        <f>IF(OR(G998="",H998=""),"",G998*H998)</f>
        <v/>
      </c>
      <c r="J998" s="2"/>
      <c r="K998" s="2"/>
    </row>
    <row r="999" spans="1:11">
      <c r="A999" s="4" t="str">
        <f>IF(D999="","",COUNTIF($D$5:D999,"?*"))</f>
        <v/>
      </c>
      <c r="B999" s="5"/>
      <c r="C999" s="4" t="str">
        <f>IF(B999="","",INDEX({"Ocak","Şubat","Mart","Nisan","Mayıs","Haziran","Temmuz","Ağustos","Eylül","Ekim","Kasım","Aralık"},MONTH(B999)))</f>
        <v/>
      </c>
      <c r="D999" s="2"/>
      <c r="E999" s="4" t="str">
        <f>IFERROR(INDEX('Araç Tanımlama'!$D$5:$D$200,MATCH(D999,'Araç Tanımlama'!$A$5:$A$200,0)),"")</f>
        <v/>
      </c>
      <c r="F999" s="4" t="str">
        <f>IFERROR(INDEX('Araç Tanımlama'!$E$5:$E$200,MATCH(D999,'Araç Tanımlama'!$A$5:$A$200,0)),"")</f>
        <v/>
      </c>
      <c r="G999" s="2"/>
      <c r="H999" s="7"/>
      <c r="I999" s="9" t="str">
        <f>IF(OR(G999="",H999=""),"",G999*H999)</f>
        <v/>
      </c>
      <c r="J999" s="2"/>
      <c r="K999" s="2"/>
    </row>
    <row r="1000" spans="1:11">
      <c r="A1000" s="4" t="str">
        <f>IF(D1000="","",COUNTIF($D$5:D1000,"?*"))</f>
        <v/>
      </c>
      <c r="B1000" s="5"/>
      <c r="C1000" s="4" t="str">
        <f>IF(B1000="","",INDEX({"Ocak","Şubat","Mart","Nisan","Mayıs","Haziran","Temmuz","Ağustos","Eylül","Ekim","Kasım","Aralık"},MONTH(B1000)))</f>
        <v/>
      </c>
      <c r="D1000" s="2"/>
      <c r="E1000" s="4" t="str">
        <f>IFERROR(INDEX('Araç Tanımlama'!$D$5:$D$200,MATCH(D1000,'Araç Tanımlama'!$A$5:$A$200,0)),"")</f>
        <v/>
      </c>
      <c r="F1000" s="4" t="str">
        <f>IFERROR(INDEX('Araç Tanımlama'!$E$5:$E$200,MATCH(D1000,'Araç Tanımlama'!$A$5:$A$200,0)),"")</f>
        <v/>
      </c>
      <c r="G1000" s="2"/>
      <c r="H1000" s="7"/>
      <c r="I1000" s="9" t="str">
        <f>IF(OR(G1000="",H1000=""),"",G1000*H1000)</f>
        <v/>
      </c>
      <c r="J1000" s="2"/>
      <c r="K1000" s="2"/>
    </row>
    <row r="1001" spans="1:11">
      <c r="A1001" s="4" t="str">
        <f>IF(D1001="","",COUNTIF($D$5:D1001,"?*"))</f>
        <v/>
      </c>
      <c r="B1001" s="5"/>
      <c r="C1001" s="4" t="str">
        <f>IF(B1001="","",INDEX({"Ocak","Şubat","Mart","Nisan","Mayıs","Haziran","Temmuz","Ağustos","Eylül","Ekim","Kasım","Aralık"},MONTH(B1001)))</f>
        <v/>
      </c>
      <c r="D1001" s="2"/>
      <c r="E1001" s="4" t="str">
        <f>IFERROR(INDEX('Araç Tanımlama'!$D$5:$D$200,MATCH(D1001,'Araç Tanımlama'!$A$5:$A$200,0)),"")</f>
        <v/>
      </c>
      <c r="F1001" s="4" t="str">
        <f>IFERROR(INDEX('Araç Tanımlama'!$E$5:$E$200,MATCH(D1001,'Araç Tanımlama'!$A$5:$A$200,0)),"")</f>
        <v/>
      </c>
      <c r="G1001" s="2"/>
      <c r="H1001" s="7"/>
      <c r="I1001" s="9" t="str">
        <f>IF(OR(G1001="",H1001=""),"",G1001*H1001)</f>
        <v/>
      </c>
      <c r="J1001" s="2"/>
      <c r="K1001" s="2"/>
    </row>
    <row r="1002" spans="1:11">
      <c r="A1002" s="4" t="str">
        <f>IF(D1002="","",COUNTIF($D$5:D1002,"?*"))</f>
        <v/>
      </c>
      <c r="B1002" s="5"/>
      <c r="C1002" s="4" t="str">
        <f>IF(B1002="","",INDEX({"Ocak","Şubat","Mart","Nisan","Mayıs","Haziran","Temmuz","Ağustos","Eylül","Ekim","Kasım","Aralık"},MONTH(B1002)))</f>
        <v/>
      </c>
      <c r="D1002" s="2"/>
      <c r="E1002" s="4" t="str">
        <f>IFERROR(INDEX('Araç Tanımlama'!$D$5:$D$200,MATCH(D1002,'Araç Tanımlama'!$A$5:$A$200,0)),"")</f>
        <v/>
      </c>
      <c r="F1002" s="4" t="str">
        <f>IFERROR(INDEX('Araç Tanımlama'!$E$5:$E$200,MATCH(D1002,'Araç Tanımlama'!$A$5:$A$200,0)),"")</f>
        <v/>
      </c>
      <c r="G1002" s="2"/>
      <c r="H1002" s="7"/>
      <c r="I1002" s="9" t="str">
        <f>IF(OR(G1002="",H1002=""),"",G1002*H1002)</f>
        <v/>
      </c>
      <c r="J1002" s="2"/>
      <c r="K1002" s="2"/>
    </row>
    <row r="1003" spans="1:11">
      <c r="A1003" s="4" t="str">
        <f>IF(D1003="","",COUNTIF($D$5:D1003,"?*"))</f>
        <v/>
      </c>
      <c r="B1003" s="5"/>
      <c r="C1003" s="4" t="str">
        <f>IF(B1003="","",INDEX({"Ocak","Şubat","Mart","Nisan","Mayıs","Haziran","Temmuz","Ağustos","Eylül","Ekim","Kasım","Aralık"},MONTH(B1003)))</f>
        <v/>
      </c>
      <c r="D1003" s="2"/>
      <c r="E1003" s="4" t="str">
        <f>IFERROR(INDEX('Araç Tanımlama'!$D$5:$D$200,MATCH(D1003,'Araç Tanımlama'!$A$5:$A$200,0)),"")</f>
        <v/>
      </c>
      <c r="F1003" s="4" t="str">
        <f>IFERROR(INDEX('Araç Tanımlama'!$E$5:$E$200,MATCH(D1003,'Araç Tanımlama'!$A$5:$A$200,0)),"")</f>
        <v/>
      </c>
      <c r="G1003" s="2"/>
      <c r="H1003" s="7"/>
      <c r="I1003" s="9" t="str">
        <f>IF(OR(G1003="",H1003=""),"",G1003*H1003)</f>
        <v/>
      </c>
      <c r="J1003" s="2"/>
      <c r="K1003" s="2"/>
    </row>
    <row r="1004" spans="1:11">
      <c r="A1004" s="4" t="str">
        <f>IF(D1004="","",COUNTIF($D$5:D1004,"?*"))</f>
        <v/>
      </c>
      <c r="B1004" s="5"/>
      <c r="C1004" s="4" t="str">
        <f>IF(B1004="","",INDEX({"Ocak","Şubat","Mart","Nisan","Mayıs","Haziran","Temmuz","Ağustos","Eylül","Ekim","Kasım","Aralık"},MONTH(B1004)))</f>
        <v/>
      </c>
      <c r="D1004" s="2"/>
      <c r="E1004" s="4" t="str">
        <f>IFERROR(INDEX('Araç Tanımlama'!$D$5:$D$200,MATCH(D1004,'Araç Tanımlama'!$A$5:$A$200,0)),"")</f>
        <v/>
      </c>
      <c r="F1004" s="4" t="str">
        <f>IFERROR(INDEX('Araç Tanımlama'!$E$5:$E$200,MATCH(D1004,'Araç Tanımlama'!$A$5:$A$200,0)),"")</f>
        <v/>
      </c>
      <c r="G1004" s="2"/>
      <c r="H1004" s="7"/>
      <c r="I1004" s="9" t="str">
        <f>IF(OR(G1004="",H1004=""),"",G1004*H1004)</f>
        <v/>
      </c>
      <c r="J1004" s="2"/>
      <c r="K1004" s="2"/>
    </row>
    <row r="1005" spans="1:11">
      <c r="A1005" s="4" t="str">
        <f>IF(D1005="","",COUNTIF($D$5:D1005,"?*"))</f>
        <v/>
      </c>
      <c r="B1005" s="5"/>
      <c r="C1005" s="4" t="str">
        <f>IF(B1005="","",INDEX({"Ocak","Şubat","Mart","Nisan","Mayıs","Haziran","Temmuz","Ağustos","Eylül","Ekim","Kasım","Aralık"},MONTH(B1005)))</f>
        <v/>
      </c>
      <c r="D1005" s="2"/>
      <c r="E1005" s="4" t="str">
        <f>IFERROR(INDEX('Araç Tanımlama'!$D$5:$D$200,MATCH(D1005,'Araç Tanımlama'!$A$5:$A$200,0)),"")</f>
        <v/>
      </c>
      <c r="F1005" s="4" t="str">
        <f>IFERROR(INDEX('Araç Tanımlama'!$E$5:$E$200,MATCH(D1005,'Araç Tanımlama'!$A$5:$A$200,0)),"")</f>
        <v/>
      </c>
      <c r="G1005" s="2"/>
      <c r="H1005" s="7"/>
      <c r="I1005" s="9" t="str">
        <f>IF(OR(G1005="",H1005=""),"",G1005*H1005)</f>
        <v/>
      </c>
      <c r="J1005" s="2"/>
      <c r="K1005" s="2"/>
    </row>
    <row r="1006" spans="1:11">
      <c r="A1006" s="4" t="str">
        <f>IF(D1006="","",COUNTIF($D$5:D1006,"?*"))</f>
        <v/>
      </c>
      <c r="B1006" s="5"/>
      <c r="C1006" s="4" t="str">
        <f>IF(B1006="","",INDEX({"Ocak","Şubat","Mart","Nisan","Mayıs","Haziran","Temmuz","Ağustos","Eylül","Ekim","Kasım","Aralık"},MONTH(B1006)))</f>
        <v/>
      </c>
      <c r="D1006" s="2"/>
      <c r="E1006" s="4" t="str">
        <f>IFERROR(INDEX('Araç Tanımlama'!$D$5:$D$200,MATCH(D1006,'Araç Tanımlama'!$A$5:$A$200,0)),"")</f>
        <v/>
      </c>
      <c r="F1006" s="4" t="str">
        <f>IFERROR(INDEX('Araç Tanımlama'!$E$5:$E$200,MATCH(D1006,'Araç Tanımlama'!$A$5:$A$200,0)),"")</f>
        <v/>
      </c>
      <c r="G1006" s="2"/>
      <c r="H1006" s="7"/>
      <c r="I1006" s="9" t="str">
        <f>IF(OR(G1006="",H1006=""),"",G1006*H1006)</f>
        <v/>
      </c>
      <c r="J1006" s="2"/>
      <c r="K1006" s="2"/>
    </row>
    <row r="1007" spans="1:11">
      <c r="A1007" s="4" t="str">
        <f>IF(D1007="","",COUNTIF($D$5:D1007,"?*"))</f>
        <v/>
      </c>
      <c r="B1007" s="5"/>
      <c r="C1007" s="4" t="str">
        <f>IF(B1007="","",INDEX({"Ocak","Şubat","Mart","Nisan","Mayıs","Haziran","Temmuz","Ağustos","Eylül","Ekim","Kasım","Aralık"},MONTH(B1007)))</f>
        <v/>
      </c>
      <c r="D1007" s="2"/>
      <c r="E1007" s="4" t="str">
        <f>IFERROR(INDEX('Araç Tanımlama'!$D$5:$D$200,MATCH(D1007,'Araç Tanımlama'!$A$5:$A$200,0)),"")</f>
        <v/>
      </c>
      <c r="F1007" s="4" t="str">
        <f>IFERROR(INDEX('Araç Tanımlama'!$E$5:$E$200,MATCH(D1007,'Araç Tanımlama'!$A$5:$A$200,0)),"")</f>
        <v/>
      </c>
      <c r="G1007" s="2"/>
      <c r="H1007" s="7"/>
      <c r="I1007" s="9" t="str">
        <f>IF(OR(G1007="",H1007=""),"",G1007*H1007)</f>
        <v/>
      </c>
      <c r="J1007" s="2"/>
      <c r="K1007" s="2"/>
    </row>
    <row r="1008" spans="1:11">
      <c r="A1008" s="4" t="str">
        <f>IF(D1008="","",COUNTIF($D$5:D1008,"?*"))</f>
        <v/>
      </c>
      <c r="B1008" s="5"/>
      <c r="C1008" s="4" t="str">
        <f>IF(B1008="","",INDEX({"Ocak","Şubat","Mart","Nisan","Mayıs","Haziran","Temmuz","Ağustos","Eylül","Ekim","Kasım","Aralık"},MONTH(B1008)))</f>
        <v/>
      </c>
      <c r="D1008" s="2"/>
      <c r="E1008" s="4" t="str">
        <f>IFERROR(INDEX('Araç Tanımlama'!$D$5:$D$200,MATCH(D1008,'Araç Tanımlama'!$A$5:$A$200,0)),"")</f>
        <v/>
      </c>
      <c r="F1008" s="4" t="str">
        <f>IFERROR(INDEX('Araç Tanımlama'!$E$5:$E$200,MATCH(D1008,'Araç Tanımlama'!$A$5:$A$200,0)),"")</f>
        <v/>
      </c>
      <c r="G1008" s="2"/>
      <c r="H1008" s="7"/>
      <c r="I1008" s="9" t="str">
        <f>IF(OR(G1008="",H1008=""),"",G1008*H1008)</f>
        <v/>
      </c>
      <c r="J1008" s="2"/>
      <c r="K1008" s="2"/>
    </row>
    <row r="1009" spans="1:11">
      <c r="A1009" s="4" t="str">
        <f>IF(D1009="","",COUNTIF($D$5:D1009,"?*"))</f>
        <v/>
      </c>
      <c r="B1009" s="5"/>
      <c r="C1009" s="4" t="str">
        <f>IF(B1009="","",INDEX({"Ocak","Şubat","Mart","Nisan","Mayıs","Haziran","Temmuz","Ağustos","Eylül","Ekim","Kasım","Aralık"},MONTH(B1009)))</f>
        <v/>
      </c>
      <c r="D1009" s="2"/>
      <c r="E1009" s="4" t="str">
        <f>IFERROR(INDEX('Araç Tanımlama'!$D$5:$D$200,MATCH(D1009,'Araç Tanımlama'!$A$5:$A$200,0)),"")</f>
        <v/>
      </c>
      <c r="F1009" s="4" t="str">
        <f>IFERROR(INDEX('Araç Tanımlama'!$E$5:$E$200,MATCH(D1009,'Araç Tanımlama'!$A$5:$A$200,0)),"")</f>
        <v/>
      </c>
      <c r="G1009" s="2"/>
      <c r="H1009" s="7"/>
      <c r="I1009" s="9" t="str">
        <f>IF(OR(G1009="",H1009=""),"",G1009*H1009)</f>
        <v/>
      </c>
      <c r="J1009" s="2"/>
      <c r="K1009" s="2"/>
    </row>
    <row r="1010" spans="1:11">
      <c r="A1010" s="4" t="str">
        <f>IF(D1010="","",COUNTIF($D$5:D1010,"?*"))</f>
        <v/>
      </c>
      <c r="B1010" s="5"/>
      <c r="C1010" s="4" t="str">
        <f>IF(B1010="","",INDEX({"Ocak","Şubat","Mart","Nisan","Mayıs","Haziran","Temmuz","Ağustos","Eylül","Ekim","Kasım","Aralık"},MONTH(B1010)))</f>
        <v/>
      </c>
      <c r="D1010" s="2"/>
      <c r="E1010" s="4" t="str">
        <f>IFERROR(INDEX('Araç Tanımlama'!$D$5:$D$200,MATCH(D1010,'Araç Tanımlama'!$A$5:$A$200,0)),"")</f>
        <v/>
      </c>
      <c r="F1010" s="4" t="str">
        <f>IFERROR(INDEX('Araç Tanımlama'!$E$5:$E$200,MATCH(D1010,'Araç Tanımlama'!$A$5:$A$200,0)),"")</f>
        <v/>
      </c>
      <c r="G1010" s="2"/>
      <c r="H1010" s="7"/>
      <c r="I1010" s="9" t="str">
        <f>IF(OR(G1010="",H1010=""),"",G1010*H1010)</f>
        <v/>
      </c>
      <c r="J1010" s="2"/>
      <c r="K1010" s="2"/>
    </row>
    <row r="1011" spans="1:11">
      <c r="A1011" s="4" t="str">
        <f>IF(D1011="","",COUNTIF($D$5:D1011,"?*"))</f>
        <v/>
      </c>
      <c r="B1011" s="5"/>
      <c r="C1011" s="4" t="str">
        <f>IF(B1011="","",INDEX({"Ocak","Şubat","Mart","Nisan","Mayıs","Haziran","Temmuz","Ağustos","Eylül","Ekim","Kasım","Aralık"},MONTH(B1011)))</f>
        <v/>
      </c>
      <c r="D1011" s="2"/>
      <c r="E1011" s="4" t="str">
        <f>IFERROR(INDEX('Araç Tanımlama'!$D$5:$D$200,MATCH(D1011,'Araç Tanımlama'!$A$5:$A$200,0)),"")</f>
        <v/>
      </c>
      <c r="F1011" s="4" t="str">
        <f>IFERROR(INDEX('Araç Tanımlama'!$E$5:$E$200,MATCH(D1011,'Araç Tanımlama'!$A$5:$A$200,0)),"")</f>
        <v/>
      </c>
      <c r="G1011" s="2"/>
      <c r="H1011" s="7"/>
      <c r="I1011" s="9" t="str">
        <f>IF(OR(G1011="",H1011=""),"",G1011*H1011)</f>
        <v/>
      </c>
      <c r="J1011" s="2"/>
      <c r="K1011" s="2"/>
    </row>
    <row r="1012" spans="1:11">
      <c r="A1012" s="4" t="str">
        <f>IF(D1012="","",COUNTIF($D$5:D1012,"?*"))</f>
        <v/>
      </c>
      <c r="B1012" s="5"/>
      <c r="C1012" s="4" t="str">
        <f>IF(B1012="","",INDEX({"Ocak","Şubat","Mart","Nisan","Mayıs","Haziran","Temmuz","Ağustos","Eylül","Ekim","Kasım","Aralık"},MONTH(B1012)))</f>
        <v/>
      </c>
      <c r="D1012" s="2"/>
      <c r="E1012" s="4" t="str">
        <f>IFERROR(INDEX('Araç Tanımlama'!$D$5:$D$200,MATCH(D1012,'Araç Tanımlama'!$A$5:$A$200,0)),"")</f>
        <v/>
      </c>
      <c r="F1012" s="4" t="str">
        <f>IFERROR(INDEX('Araç Tanımlama'!$E$5:$E$200,MATCH(D1012,'Araç Tanımlama'!$A$5:$A$200,0)),"")</f>
        <v/>
      </c>
      <c r="G1012" s="2"/>
      <c r="H1012" s="7"/>
      <c r="I1012" s="9" t="str">
        <f>IF(OR(G1012="",H1012=""),"",G1012*H1012)</f>
        <v/>
      </c>
      <c r="J1012" s="2"/>
      <c r="K1012" s="2"/>
    </row>
    <row r="1013" spans="1:11">
      <c r="A1013" s="4" t="str">
        <f>IF(D1013="","",COUNTIF($D$5:D1013,"?*"))</f>
        <v/>
      </c>
      <c r="B1013" s="5"/>
      <c r="C1013" s="4" t="str">
        <f>IF(B1013="","",INDEX({"Ocak","Şubat","Mart","Nisan","Mayıs","Haziran","Temmuz","Ağustos","Eylül","Ekim","Kasım","Aralık"},MONTH(B1013)))</f>
        <v/>
      </c>
      <c r="D1013" s="2"/>
      <c r="E1013" s="4" t="str">
        <f>IFERROR(INDEX('Araç Tanımlama'!$D$5:$D$200,MATCH(D1013,'Araç Tanımlama'!$A$5:$A$200,0)),"")</f>
        <v/>
      </c>
      <c r="F1013" s="4" t="str">
        <f>IFERROR(INDEX('Araç Tanımlama'!$E$5:$E$200,MATCH(D1013,'Araç Tanımlama'!$A$5:$A$200,0)),"")</f>
        <v/>
      </c>
      <c r="G1013" s="2"/>
      <c r="H1013" s="7"/>
      <c r="I1013" s="9" t="str">
        <f>IF(OR(G1013="",H1013=""),"",G1013*H1013)</f>
        <v/>
      </c>
      <c r="J1013" s="2"/>
      <c r="K1013" s="2"/>
    </row>
    <row r="1014" spans="1:11">
      <c r="A1014" s="4" t="str">
        <f>IF(D1014="","",COUNTIF($D$5:D1014,"?*"))</f>
        <v/>
      </c>
      <c r="B1014" s="5"/>
      <c r="C1014" s="4" t="str">
        <f>IF(B1014="","",INDEX({"Ocak","Şubat","Mart","Nisan","Mayıs","Haziran","Temmuz","Ağustos","Eylül","Ekim","Kasım","Aralık"},MONTH(B1014)))</f>
        <v/>
      </c>
      <c r="D1014" s="2"/>
      <c r="E1014" s="4" t="str">
        <f>IFERROR(INDEX('Araç Tanımlama'!$D$5:$D$200,MATCH(D1014,'Araç Tanımlama'!$A$5:$A$200,0)),"")</f>
        <v/>
      </c>
      <c r="F1014" s="4" t="str">
        <f>IFERROR(INDEX('Araç Tanımlama'!$E$5:$E$200,MATCH(D1014,'Araç Tanımlama'!$A$5:$A$200,0)),"")</f>
        <v/>
      </c>
      <c r="G1014" s="2"/>
      <c r="H1014" s="7"/>
      <c r="I1014" s="9" t="str">
        <f>IF(OR(G1014="",H1014=""),"",G1014*H1014)</f>
        <v/>
      </c>
      <c r="J1014" s="2"/>
      <c r="K1014" s="2"/>
    </row>
    <row r="1015" spans="1:11">
      <c r="A1015" s="4" t="str">
        <f>IF(D1015="","",COUNTIF($D$5:D1015,"?*"))</f>
        <v/>
      </c>
      <c r="B1015" s="5"/>
      <c r="C1015" s="4" t="str">
        <f>IF(B1015="","",INDEX({"Ocak","Şubat","Mart","Nisan","Mayıs","Haziran","Temmuz","Ağustos","Eylül","Ekim","Kasım","Aralık"},MONTH(B1015)))</f>
        <v/>
      </c>
      <c r="D1015" s="2"/>
      <c r="E1015" s="4" t="str">
        <f>IFERROR(INDEX('Araç Tanımlama'!$D$5:$D$200,MATCH(D1015,'Araç Tanımlama'!$A$5:$A$200,0)),"")</f>
        <v/>
      </c>
      <c r="F1015" s="4" t="str">
        <f>IFERROR(INDEX('Araç Tanımlama'!$E$5:$E$200,MATCH(D1015,'Araç Tanımlama'!$A$5:$A$200,0)),"")</f>
        <v/>
      </c>
      <c r="G1015" s="2"/>
      <c r="H1015" s="7"/>
      <c r="I1015" s="9" t="str">
        <f>IF(OR(G1015="",H1015=""),"",G1015*H1015)</f>
        <v/>
      </c>
      <c r="J1015" s="2"/>
      <c r="K1015" s="2"/>
    </row>
    <row r="1016" spans="1:11">
      <c r="A1016" s="4" t="str">
        <f>IF(D1016="","",COUNTIF($D$5:D1016,"?*"))</f>
        <v/>
      </c>
      <c r="B1016" s="5"/>
      <c r="C1016" s="4" t="str">
        <f>IF(B1016="","",INDEX({"Ocak","Şubat","Mart","Nisan","Mayıs","Haziran","Temmuz","Ağustos","Eylül","Ekim","Kasım","Aralık"},MONTH(B1016)))</f>
        <v/>
      </c>
      <c r="D1016" s="2"/>
      <c r="E1016" s="4" t="str">
        <f>IFERROR(INDEX('Araç Tanımlama'!$D$5:$D$200,MATCH(D1016,'Araç Tanımlama'!$A$5:$A$200,0)),"")</f>
        <v/>
      </c>
      <c r="F1016" s="4" t="str">
        <f>IFERROR(INDEX('Araç Tanımlama'!$E$5:$E$200,MATCH(D1016,'Araç Tanımlama'!$A$5:$A$200,0)),"")</f>
        <v/>
      </c>
      <c r="G1016" s="2"/>
      <c r="H1016" s="7"/>
      <c r="I1016" s="9" t="str">
        <f>IF(OR(G1016="",H1016=""),"",G1016*H1016)</f>
        <v/>
      </c>
      <c r="J1016" s="2"/>
      <c r="K1016" s="2"/>
    </row>
    <row r="1017" spans="1:11">
      <c r="A1017" s="4" t="str">
        <f>IF(D1017="","",COUNTIF($D$5:D1017,"?*"))</f>
        <v/>
      </c>
      <c r="B1017" s="5"/>
      <c r="C1017" s="4" t="str">
        <f>IF(B1017="","",INDEX({"Ocak","Şubat","Mart","Nisan","Mayıs","Haziran","Temmuz","Ağustos","Eylül","Ekim","Kasım","Aralık"},MONTH(B1017)))</f>
        <v/>
      </c>
      <c r="D1017" s="2"/>
      <c r="E1017" s="4" t="str">
        <f>IFERROR(INDEX('Araç Tanımlama'!$D$5:$D$200,MATCH(D1017,'Araç Tanımlama'!$A$5:$A$200,0)),"")</f>
        <v/>
      </c>
      <c r="F1017" s="4" t="str">
        <f>IFERROR(INDEX('Araç Tanımlama'!$E$5:$E$200,MATCH(D1017,'Araç Tanımlama'!$A$5:$A$200,0)),"")</f>
        <v/>
      </c>
      <c r="G1017" s="2"/>
      <c r="H1017" s="7"/>
      <c r="I1017" s="9" t="str">
        <f>IF(OR(G1017="",H1017=""),"",G1017*H1017)</f>
        <v/>
      </c>
      <c r="J1017" s="2"/>
      <c r="K1017" s="2"/>
    </row>
    <row r="1018" spans="1:11">
      <c r="A1018" s="4" t="str">
        <f>IF(D1018="","",COUNTIF($D$5:D1018,"?*"))</f>
        <v/>
      </c>
      <c r="B1018" s="5"/>
      <c r="C1018" s="4" t="str">
        <f>IF(B1018="","",INDEX({"Ocak","Şubat","Mart","Nisan","Mayıs","Haziran","Temmuz","Ağustos","Eylül","Ekim","Kasım","Aralık"},MONTH(B1018)))</f>
        <v/>
      </c>
      <c r="D1018" s="2"/>
      <c r="E1018" s="4" t="str">
        <f>IFERROR(INDEX('Araç Tanımlama'!$D$5:$D$200,MATCH(D1018,'Araç Tanımlama'!$A$5:$A$200,0)),"")</f>
        <v/>
      </c>
      <c r="F1018" s="4" t="str">
        <f>IFERROR(INDEX('Araç Tanımlama'!$E$5:$E$200,MATCH(D1018,'Araç Tanımlama'!$A$5:$A$200,0)),"")</f>
        <v/>
      </c>
      <c r="G1018" s="2"/>
      <c r="H1018" s="7"/>
      <c r="I1018" s="9" t="str">
        <f>IF(OR(G1018="",H1018=""),"",G1018*H1018)</f>
        <v/>
      </c>
      <c r="J1018" s="2"/>
      <c r="K1018" s="2"/>
    </row>
    <row r="1019" spans="1:11">
      <c r="A1019" s="4" t="str">
        <f>IF(D1019="","",COUNTIF($D$5:D1019,"?*"))</f>
        <v/>
      </c>
      <c r="B1019" s="5"/>
      <c r="C1019" s="4" t="str">
        <f>IF(B1019="","",INDEX({"Ocak","Şubat","Mart","Nisan","Mayıs","Haziran","Temmuz","Ağustos","Eylül","Ekim","Kasım","Aralık"},MONTH(B1019)))</f>
        <v/>
      </c>
      <c r="D1019" s="2"/>
      <c r="E1019" s="4" t="str">
        <f>IFERROR(INDEX('Araç Tanımlama'!$D$5:$D$200,MATCH(D1019,'Araç Tanımlama'!$A$5:$A$200,0)),"")</f>
        <v/>
      </c>
      <c r="F1019" s="4" t="str">
        <f>IFERROR(INDEX('Araç Tanımlama'!$E$5:$E$200,MATCH(D1019,'Araç Tanımlama'!$A$5:$A$200,0)),"")</f>
        <v/>
      </c>
      <c r="G1019" s="2"/>
      <c r="H1019" s="7"/>
      <c r="I1019" s="9" t="str">
        <f>IF(OR(G1019="",H1019=""),"",G1019*H1019)</f>
        <v/>
      </c>
      <c r="J1019" s="2"/>
      <c r="K1019" s="2"/>
    </row>
    <row r="1020" spans="1:11">
      <c r="A1020" s="4" t="str">
        <f>IF(D1020="","",COUNTIF($D$5:D1020,"?*"))</f>
        <v/>
      </c>
      <c r="B1020" s="5"/>
      <c r="C1020" s="4" t="str">
        <f>IF(B1020="","",INDEX({"Ocak","Şubat","Mart","Nisan","Mayıs","Haziran","Temmuz","Ağustos","Eylül","Ekim","Kasım","Aralık"},MONTH(B1020)))</f>
        <v/>
      </c>
      <c r="D1020" s="2"/>
      <c r="E1020" s="4" t="str">
        <f>IFERROR(INDEX('Araç Tanımlama'!$D$5:$D$200,MATCH(D1020,'Araç Tanımlama'!$A$5:$A$200,0)),"")</f>
        <v/>
      </c>
      <c r="F1020" s="4" t="str">
        <f>IFERROR(INDEX('Araç Tanımlama'!$E$5:$E$200,MATCH(D1020,'Araç Tanımlama'!$A$5:$A$200,0)),"")</f>
        <v/>
      </c>
      <c r="G1020" s="2"/>
      <c r="H1020" s="7"/>
      <c r="I1020" s="9" t="str">
        <f>IF(OR(G1020="",H1020=""),"",G1020*H1020)</f>
        <v/>
      </c>
      <c r="J1020" s="2"/>
      <c r="K1020" s="2"/>
    </row>
    <row r="1021" spans="1:11">
      <c r="A1021" s="4" t="str">
        <f>IF(D1021="","",COUNTIF($D$5:D1021,"?*"))</f>
        <v/>
      </c>
      <c r="B1021" s="5"/>
      <c r="C1021" s="4" t="str">
        <f>IF(B1021="","",INDEX({"Ocak","Şubat","Mart","Nisan","Mayıs","Haziran","Temmuz","Ağustos","Eylül","Ekim","Kasım","Aralık"},MONTH(B1021)))</f>
        <v/>
      </c>
      <c r="D1021" s="2"/>
      <c r="E1021" s="4" t="str">
        <f>IFERROR(INDEX('Araç Tanımlama'!$D$5:$D$200,MATCH(D1021,'Araç Tanımlama'!$A$5:$A$200,0)),"")</f>
        <v/>
      </c>
      <c r="F1021" s="4" t="str">
        <f>IFERROR(INDEX('Araç Tanımlama'!$E$5:$E$200,MATCH(D1021,'Araç Tanımlama'!$A$5:$A$200,0)),"")</f>
        <v/>
      </c>
      <c r="G1021" s="2"/>
      <c r="H1021" s="7"/>
      <c r="I1021" s="9" t="str">
        <f>IF(OR(G1021="",H1021=""),"",G1021*H1021)</f>
        <v/>
      </c>
      <c r="J1021" s="2"/>
      <c r="K1021" s="2"/>
    </row>
    <row r="1022" spans="1:11">
      <c r="A1022" s="4" t="str">
        <f>IF(D1022="","",COUNTIF($D$5:D1022,"?*"))</f>
        <v/>
      </c>
      <c r="B1022" s="5"/>
      <c r="C1022" s="4" t="str">
        <f>IF(B1022="","",INDEX({"Ocak","Şubat","Mart","Nisan","Mayıs","Haziran","Temmuz","Ağustos","Eylül","Ekim","Kasım","Aralık"},MONTH(B1022)))</f>
        <v/>
      </c>
      <c r="D1022" s="2"/>
      <c r="E1022" s="4" t="str">
        <f>IFERROR(INDEX('Araç Tanımlama'!$D$5:$D$200,MATCH(D1022,'Araç Tanımlama'!$A$5:$A$200,0)),"")</f>
        <v/>
      </c>
      <c r="F1022" s="4" t="str">
        <f>IFERROR(INDEX('Araç Tanımlama'!$E$5:$E$200,MATCH(D1022,'Araç Tanımlama'!$A$5:$A$200,0)),"")</f>
        <v/>
      </c>
      <c r="G1022" s="2"/>
      <c r="H1022" s="7"/>
      <c r="I1022" s="9" t="str">
        <f>IF(OR(G1022="",H1022=""),"",G1022*H1022)</f>
        <v/>
      </c>
      <c r="J1022" s="2"/>
      <c r="K1022" s="2"/>
    </row>
    <row r="1023" spans="1:11">
      <c r="A1023" s="4" t="str">
        <f>IF(D1023="","",COUNTIF($D$5:D1023,"?*"))</f>
        <v/>
      </c>
      <c r="B1023" s="5"/>
      <c r="C1023" s="4" t="str">
        <f>IF(B1023="","",INDEX({"Ocak","Şubat","Mart","Nisan","Mayıs","Haziran","Temmuz","Ağustos","Eylül","Ekim","Kasım","Aralık"},MONTH(B1023)))</f>
        <v/>
      </c>
      <c r="D1023" s="2"/>
      <c r="E1023" s="4" t="str">
        <f>IFERROR(INDEX('Araç Tanımlama'!$D$5:$D$200,MATCH(D1023,'Araç Tanımlama'!$A$5:$A$200,0)),"")</f>
        <v/>
      </c>
      <c r="F1023" s="4" t="str">
        <f>IFERROR(INDEX('Araç Tanımlama'!$E$5:$E$200,MATCH(D1023,'Araç Tanımlama'!$A$5:$A$200,0)),"")</f>
        <v/>
      </c>
      <c r="G1023" s="2"/>
      <c r="H1023" s="7"/>
      <c r="I1023" s="9" t="str">
        <f>IF(OR(G1023="",H1023=""),"",G1023*H1023)</f>
        <v/>
      </c>
      <c r="J1023" s="2"/>
      <c r="K1023" s="2"/>
    </row>
    <row r="1024" spans="1:11">
      <c r="A1024" s="4" t="str">
        <f>IF(D1024="","",COUNTIF($D$5:D1024,"?*"))</f>
        <v/>
      </c>
      <c r="B1024" s="5"/>
      <c r="C1024" s="4" t="str">
        <f>IF(B1024="","",INDEX({"Ocak","Şubat","Mart","Nisan","Mayıs","Haziran","Temmuz","Ağustos","Eylül","Ekim","Kasım","Aralık"},MONTH(B1024)))</f>
        <v/>
      </c>
      <c r="D1024" s="2"/>
      <c r="E1024" s="4" t="str">
        <f>IFERROR(INDEX('Araç Tanımlama'!$D$5:$D$200,MATCH(D1024,'Araç Tanımlama'!$A$5:$A$200,0)),"")</f>
        <v/>
      </c>
      <c r="F1024" s="4" t="str">
        <f>IFERROR(INDEX('Araç Tanımlama'!$E$5:$E$200,MATCH(D1024,'Araç Tanımlama'!$A$5:$A$200,0)),"")</f>
        <v/>
      </c>
      <c r="G1024" s="2"/>
      <c r="H1024" s="7"/>
      <c r="I1024" s="9" t="str">
        <f>IF(OR(G1024="",H1024=""),"",G1024*H1024)</f>
        <v/>
      </c>
      <c r="J1024" s="2"/>
      <c r="K1024" s="2"/>
    </row>
    <row r="1025" spans="1:11">
      <c r="A1025" s="4" t="str">
        <f>IF(D1025="","",COUNTIF($D$5:D1025,"?*"))</f>
        <v/>
      </c>
      <c r="B1025" s="5"/>
      <c r="C1025" s="4" t="str">
        <f>IF(B1025="","",INDEX({"Ocak","Şubat","Mart","Nisan","Mayıs","Haziran","Temmuz","Ağustos","Eylül","Ekim","Kasım","Aralık"},MONTH(B1025)))</f>
        <v/>
      </c>
      <c r="D1025" s="2"/>
      <c r="E1025" s="4" t="str">
        <f>IFERROR(INDEX('Araç Tanımlama'!$D$5:$D$200,MATCH(D1025,'Araç Tanımlama'!$A$5:$A$200,0)),"")</f>
        <v/>
      </c>
      <c r="F1025" s="4" t="str">
        <f>IFERROR(INDEX('Araç Tanımlama'!$E$5:$E$200,MATCH(D1025,'Araç Tanımlama'!$A$5:$A$200,0)),"")</f>
        <v/>
      </c>
      <c r="G1025" s="2"/>
      <c r="H1025" s="7"/>
      <c r="I1025" s="9" t="str">
        <f>IF(OR(G1025="",H1025=""),"",G1025*H1025)</f>
        <v/>
      </c>
      <c r="J1025" s="2"/>
      <c r="K1025" s="2"/>
    </row>
    <row r="1026" spans="1:11">
      <c r="A1026" s="4" t="str">
        <f>IF(D1026="","",COUNTIF($D$5:D1026,"?*"))</f>
        <v/>
      </c>
      <c r="B1026" s="5"/>
      <c r="C1026" s="4" t="str">
        <f>IF(B1026="","",INDEX({"Ocak","Şubat","Mart","Nisan","Mayıs","Haziran","Temmuz","Ağustos","Eylül","Ekim","Kasım","Aralık"},MONTH(B1026)))</f>
        <v/>
      </c>
      <c r="D1026" s="2"/>
      <c r="E1026" s="4" t="str">
        <f>IFERROR(INDEX('Araç Tanımlama'!$D$5:$D$200,MATCH(D1026,'Araç Tanımlama'!$A$5:$A$200,0)),"")</f>
        <v/>
      </c>
      <c r="F1026" s="4" t="str">
        <f>IFERROR(INDEX('Araç Tanımlama'!$E$5:$E$200,MATCH(D1026,'Araç Tanımlama'!$A$5:$A$200,0)),"")</f>
        <v/>
      </c>
      <c r="G1026" s="2"/>
      <c r="H1026" s="7"/>
      <c r="I1026" s="9" t="str">
        <f>IF(OR(G1026="",H1026=""),"",G1026*H1026)</f>
        <v/>
      </c>
      <c r="J1026" s="2"/>
      <c r="K1026" s="2"/>
    </row>
    <row r="1027" spans="1:11">
      <c r="A1027" s="4" t="str">
        <f>IF(D1027="","",COUNTIF($D$5:D1027,"?*"))</f>
        <v/>
      </c>
      <c r="B1027" s="5"/>
      <c r="C1027" s="4" t="str">
        <f>IF(B1027="","",INDEX({"Ocak","Şubat","Mart","Nisan","Mayıs","Haziran","Temmuz","Ağustos","Eylül","Ekim","Kasım","Aralık"},MONTH(B1027)))</f>
        <v/>
      </c>
      <c r="D1027" s="2"/>
      <c r="E1027" s="4" t="str">
        <f>IFERROR(INDEX('Araç Tanımlama'!$D$5:$D$200,MATCH(D1027,'Araç Tanımlama'!$A$5:$A$200,0)),"")</f>
        <v/>
      </c>
      <c r="F1027" s="4" t="str">
        <f>IFERROR(INDEX('Araç Tanımlama'!$E$5:$E$200,MATCH(D1027,'Araç Tanımlama'!$A$5:$A$200,0)),"")</f>
        <v/>
      </c>
      <c r="G1027" s="2"/>
      <c r="H1027" s="7"/>
      <c r="I1027" s="9" t="str">
        <f>IF(OR(G1027="",H1027=""),"",G1027*H1027)</f>
        <v/>
      </c>
      <c r="J1027" s="2"/>
      <c r="K1027" s="2"/>
    </row>
    <row r="1028" spans="1:11">
      <c r="A1028" s="4" t="str">
        <f>IF(D1028="","",COUNTIF($D$5:D1028,"?*"))</f>
        <v/>
      </c>
      <c r="B1028" s="5"/>
      <c r="C1028" s="4" t="str">
        <f>IF(B1028="","",INDEX({"Ocak","Şubat","Mart","Nisan","Mayıs","Haziran","Temmuz","Ağustos","Eylül","Ekim","Kasım","Aralık"},MONTH(B1028)))</f>
        <v/>
      </c>
      <c r="D1028" s="2"/>
      <c r="E1028" s="4" t="str">
        <f>IFERROR(INDEX('Araç Tanımlama'!$D$5:$D$200,MATCH(D1028,'Araç Tanımlama'!$A$5:$A$200,0)),"")</f>
        <v/>
      </c>
      <c r="F1028" s="4" t="str">
        <f>IFERROR(INDEX('Araç Tanımlama'!$E$5:$E$200,MATCH(D1028,'Araç Tanımlama'!$A$5:$A$200,0)),"")</f>
        <v/>
      </c>
      <c r="G1028" s="2"/>
      <c r="H1028" s="7"/>
      <c r="I1028" s="9" t="str">
        <f>IF(OR(G1028="",H1028=""),"",G1028*H1028)</f>
        <v/>
      </c>
      <c r="J1028" s="2"/>
      <c r="K1028" s="2"/>
    </row>
    <row r="1029" spans="1:11">
      <c r="A1029" s="4" t="str">
        <f>IF(D1029="","",COUNTIF($D$5:D1029,"?*"))</f>
        <v/>
      </c>
      <c r="B1029" s="5"/>
      <c r="C1029" s="4" t="str">
        <f>IF(B1029="","",INDEX({"Ocak","Şubat","Mart","Nisan","Mayıs","Haziran","Temmuz","Ağustos","Eylül","Ekim","Kasım","Aralık"},MONTH(B1029)))</f>
        <v/>
      </c>
      <c r="D1029" s="2"/>
      <c r="E1029" s="4" t="str">
        <f>IFERROR(INDEX('Araç Tanımlama'!$D$5:$D$200,MATCH(D1029,'Araç Tanımlama'!$A$5:$A$200,0)),"")</f>
        <v/>
      </c>
      <c r="F1029" s="4" t="str">
        <f>IFERROR(INDEX('Araç Tanımlama'!$E$5:$E$200,MATCH(D1029,'Araç Tanımlama'!$A$5:$A$200,0)),"")</f>
        <v/>
      </c>
      <c r="G1029" s="2"/>
      <c r="H1029" s="7"/>
      <c r="I1029" s="9" t="str">
        <f>IF(OR(G1029="",H1029=""),"",G1029*H1029)</f>
        <v/>
      </c>
      <c r="J1029" s="2"/>
      <c r="K1029" s="2"/>
    </row>
    <row r="1030" spans="1:11">
      <c r="A1030" s="4" t="str">
        <f>IF(D1030="","",COUNTIF($D$5:D1030,"?*"))</f>
        <v/>
      </c>
      <c r="B1030" s="5"/>
      <c r="C1030" s="4" t="str">
        <f>IF(B1030="","",INDEX({"Ocak","Şubat","Mart","Nisan","Mayıs","Haziran","Temmuz","Ağustos","Eylül","Ekim","Kasım","Aralık"},MONTH(B1030)))</f>
        <v/>
      </c>
      <c r="D1030" s="2"/>
      <c r="E1030" s="4" t="str">
        <f>IFERROR(INDEX('Araç Tanımlama'!$D$5:$D$200,MATCH(D1030,'Araç Tanımlama'!$A$5:$A$200,0)),"")</f>
        <v/>
      </c>
      <c r="F1030" s="4" t="str">
        <f>IFERROR(INDEX('Araç Tanımlama'!$E$5:$E$200,MATCH(D1030,'Araç Tanımlama'!$A$5:$A$200,0)),"")</f>
        <v/>
      </c>
      <c r="G1030" s="2"/>
      <c r="H1030" s="7"/>
      <c r="I1030" s="9" t="str">
        <f>IF(OR(G1030="",H1030=""),"",G1030*H1030)</f>
        <v/>
      </c>
      <c r="J1030" s="2"/>
      <c r="K1030" s="2"/>
    </row>
    <row r="1031" spans="1:11">
      <c r="A1031" s="4" t="str">
        <f>IF(D1031="","",COUNTIF($D$5:D1031,"?*"))</f>
        <v/>
      </c>
      <c r="B1031" s="5"/>
      <c r="C1031" s="4" t="str">
        <f>IF(B1031="","",INDEX({"Ocak","Şubat","Mart","Nisan","Mayıs","Haziran","Temmuz","Ağustos","Eylül","Ekim","Kasım","Aralık"},MONTH(B1031)))</f>
        <v/>
      </c>
      <c r="D1031" s="2"/>
      <c r="E1031" s="4" t="str">
        <f>IFERROR(INDEX('Araç Tanımlama'!$D$5:$D$200,MATCH(D1031,'Araç Tanımlama'!$A$5:$A$200,0)),"")</f>
        <v/>
      </c>
      <c r="F1031" s="4" t="str">
        <f>IFERROR(INDEX('Araç Tanımlama'!$E$5:$E$200,MATCH(D1031,'Araç Tanımlama'!$A$5:$A$200,0)),"")</f>
        <v/>
      </c>
      <c r="G1031" s="2"/>
      <c r="H1031" s="7"/>
      <c r="I1031" s="9" t="str">
        <f>IF(OR(G1031="",H1031=""),"",G1031*H1031)</f>
        <v/>
      </c>
      <c r="J1031" s="2"/>
      <c r="K1031" s="2"/>
    </row>
    <row r="1032" spans="1:11">
      <c r="A1032" s="4" t="str">
        <f>IF(D1032="","",COUNTIF($D$5:D1032,"?*"))</f>
        <v/>
      </c>
      <c r="B1032" s="5"/>
      <c r="C1032" s="4" t="str">
        <f>IF(B1032="","",INDEX({"Ocak","Şubat","Mart","Nisan","Mayıs","Haziran","Temmuz","Ağustos","Eylül","Ekim","Kasım","Aralık"},MONTH(B1032)))</f>
        <v/>
      </c>
      <c r="D1032" s="2"/>
      <c r="E1032" s="4" t="str">
        <f>IFERROR(INDEX('Araç Tanımlama'!$D$5:$D$200,MATCH(D1032,'Araç Tanımlama'!$A$5:$A$200,0)),"")</f>
        <v/>
      </c>
      <c r="F1032" s="4" t="str">
        <f>IFERROR(INDEX('Araç Tanımlama'!$E$5:$E$200,MATCH(D1032,'Araç Tanımlama'!$A$5:$A$200,0)),"")</f>
        <v/>
      </c>
      <c r="G1032" s="2"/>
      <c r="H1032" s="7"/>
      <c r="I1032" s="9" t="str">
        <f>IF(OR(G1032="",H1032=""),"",G1032*H1032)</f>
        <v/>
      </c>
      <c r="J1032" s="2"/>
      <c r="K1032" s="2"/>
    </row>
    <row r="1033" spans="1:11">
      <c r="A1033" s="4" t="str">
        <f>IF(D1033="","",COUNTIF($D$5:D1033,"?*"))</f>
        <v/>
      </c>
      <c r="B1033" s="5"/>
      <c r="C1033" s="4" t="str">
        <f>IF(B1033="","",INDEX({"Ocak","Şubat","Mart","Nisan","Mayıs","Haziran","Temmuz","Ağustos","Eylül","Ekim","Kasım","Aralık"},MONTH(B1033)))</f>
        <v/>
      </c>
      <c r="D1033" s="2"/>
      <c r="E1033" s="4" t="str">
        <f>IFERROR(INDEX('Araç Tanımlama'!$D$5:$D$200,MATCH(D1033,'Araç Tanımlama'!$A$5:$A$200,0)),"")</f>
        <v/>
      </c>
      <c r="F1033" s="4" t="str">
        <f>IFERROR(INDEX('Araç Tanımlama'!$E$5:$E$200,MATCH(D1033,'Araç Tanımlama'!$A$5:$A$200,0)),"")</f>
        <v/>
      </c>
      <c r="G1033" s="2"/>
      <c r="H1033" s="7"/>
      <c r="I1033" s="9" t="str">
        <f>IF(OR(G1033="",H1033=""),"",G1033*H1033)</f>
        <v/>
      </c>
      <c r="J1033" s="2"/>
      <c r="K1033" s="2"/>
    </row>
    <row r="1034" spans="1:11">
      <c r="A1034" s="4" t="str">
        <f>IF(D1034="","",COUNTIF($D$5:D1034,"?*"))</f>
        <v/>
      </c>
      <c r="B1034" s="5"/>
      <c r="C1034" s="4" t="str">
        <f>IF(B1034="","",INDEX({"Ocak","Şubat","Mart","Nisan","Mayıs","Haziran","Temmuz","Ağustos","Eylül","Ekim","Kasım","Aralık"},MONTH(B1034)))</f>
        <v/>
      </c>
      <c r="D1034" s="2"/>
      <c r="E1034" s="4" t="str">
        <f>IFERROR(INDEX('Araç Tanımlama'!$D$5:$D$200,MATCH(D1034,'Araç Tanımlama'!$A$5:$A$200,0)),"")</f>
        <v/>
      </c>
      <c r="F1034" s="4" t="str">
        <f>IFERROR(INDEX('Araç Tanımlama'!$E$5:$E$200,MATCH(D1034,'Araç Tanımlama'!$A$5:$A$200,0)),"")</f>
        <v/>
      </c>
      <c r="G1034" s="2"/>
      <c r="H1034" s="7"/>
      <c r="I1034" s="9" t="str">
        <f>IF(OR(G1034="",H1034=""),"",G1034*H1034)</f>
        <v/>
      </c>
      <c r="J1034" s="2"/>
      <c r="K1034" s="2"/>
    </row>
    <row r="1035" spans="1:11">
      <c r="A1035" s="4" t="str">
        <f>IF(D1035="","",COUNTIF($D$5:D1035,"?*"))</f>
        <v/>
      </c>
      <c r="B1035" s="5"/>
      <c r="C1035" s="4" t="str">
        <f>IF(B1035="","",INDEX({"Ocak","Şubat","Mart","Nisan","Mayıs","Haziran","Temmuz","Ağustos","Eylül","Ekim","Kasım","Aralık"},MONTH(B1035)))</f>
        <v/>
      </c>
      <c r="D1035" s="2"/>
      <c r="E1035" s="4" t="str">
        <f>IFERROR(INDEX('Araç Tanımlama'!$D$5:$D$200,MATCH(D1035,'Araç Tanımlama'!$A$5:$A$200,0)),"")</f>
        <v/>
      </c>
      <c r="F1035" s="4" t="str">
        <f>IFERROR(INDEX('Araç Tanımlama'!$E$5:$E$200,MATCH(D1035,'Araç Tanımlama'!$A$5:$A$200,0)),"")</f>
        <v/>
      </c>
      <c r="G1035" s="2"/>
      <c r="H1035" s="7"/>
      <c r="I1035" s="9" t="str">
        <f>IF(OR(G1035="",H1035=""),"",G1035*H1035)</f>
        <v/>
      </c>
      <c r="J1035" s="2"/>
      <c r="K1035" s="2"/>
    </row>
    <row r="1036" spans="1:11">
      <c r="A1036" s="4" t="str">
        <f>IF(D1036="","",COUNTIF($D$5:D1036,"?*"))</f>
        <v/>
      </c>
      <c r="B1036" s="5"/>
      <c r="C1036" s="4" t="str">
        <f>IF(B1036="","",INDEX({"Ocak","Şubat","Mart","Nisan","Mayıs","Haziran","Temmuz","Ağustos","Eylül","Ekim","Kasım","Aralık"},MONTH(B1036)))</f>
        <v/>
      </c>
      <c r="D1036" s="2"/>
      <c r="E1036" s="4" t="str">
        <f>IFERROR(INDEX('Araç Tanımlama'!$D$5:$D$200,MATCH(D1036,'Araç Tanımlama'!$A$5:$A$200,0)),"")</f>
        <v/>
      </c>
      <c r="F1036" s="4" t="str">
        <f>IFERROR(INDEX('Araç Tanımlama'!$E$5:$E$200,MATCH(D1036,'Araç Tanımlama'!$A$5:$A$200,0)),"")</f>
        <v/>
      </c>
      <c r="G1036" s="2"/>
      <c r="H1036" s="7"/>
      <c r="I1036" s="9" t="str">
        <f>IF(OR(G1036="",H1036=""),"",G1036*H1036)</f>
        <v/>
      </c>
      <c r="J1036" s="2"/>
      <c r="K1036" s="2"/>
    </row>
    <row r="1037" spans="1:11">
      <c r="A1037" s="4" t="str">
        <f>IF(D1037="","",COUNTIF($D$5:D1037,"?*"))</f>
        <v/>
      </c>
      <c r="B1037" s="5"/>
      <c r="C1037" s="4" t="str">
        <f>IF(B1037="","",INDEX({"Ocak","Şubat","Mart","Nisan","Mayıs","Haziran","Temmuz","Ağustos","Eylül","Ekim","Kasım","Aralık"},MONTH(B1037)))</f>
        <v/>
      </c>
      <c r="D1037" s="2"/>
      <c r="E1037" s="4" t="str">
        <f>IFERROR(INDEX('Araç Tanımlama'!$D$5:$D$200,MATCH(D1037,'Araç Tanımlama'!$A$5:$A$200,0)),"")</f>
        <v/>
      </c>
      <c r="F1037" s="4" t="str">
        <f>IFERROR(INDEX('Araç Tanımlama'!$E$5:$E$200,MATCH(D1037,'Araç Tanımlama'!$A$5:$A$200,0)),"")</f>
        <v/>
      </c>
      <c r="G1037" s="2"/>
      <c r="H1037" s="7"/>
      <c r="I1037" s="9" t="str">
        <f>IF(OR(G1037="",H1037=""),"",G1037*H1037)</f>
        <v/>
      </c>
      <c r="J1037" s="2"/>
      <c r="K1037" s="2"/>
    </row>
    <row r="1038" spans="1:11">
      <c r="A1038" s="4" t="str">
        <f>IF(D1038="","",COUNTIF($D$5:D1038,"?*"))</f>
        <v/>
      </c>
      <c r="B1038" s="5"/>
      <c r="C1038" s="4" t="str">
        <f>IF(B1038="","",INDEX({"Ocak","Şubat","Mart","Nisan","Mayıs","Haziran","Temmuz","Ağustos","Eylül","Ekim","Kasım","Aralık"},MONTH(B1038)))</f>
        <v/>
      </c>
      <c r="D1038" s="2"/>
      <c r="E1038" s="4" t="str">
        <f>IFERROR(INDEX('Araç Tanımlama'!$D$5:$D$200,MATCH(D1038,'Araç Tanımlama'!$A$5:$A$200,0)),"")</f>
        <v/>
      </c>
      <c r="F1038" s="4" t="str">
        <f>IFERROR(INDEX('Araç Tanımlama'!$E$5:$E$200,MATCH(D1038,'Araç Tanımlama'!$A$5:$A$200,0)),"")</f>
        <v/>
      </c>
      <c r="G1038" s="2"/>
      <c r="H1038" s="7"/>
      <c r="I1038" s="9" t="str">
        <f>IF(OR(G1038="",H1038=""),"",G1038*H1038)</f>
        <v/>
      </c>
      <c r="J1038" s="2"/>
      <c r="K1038" s="2"/>
    </row>
    <row r="1039" spans="1:11">
      <c r="A1039" s="4" t="str">
        <f>IF(D1039="","",COUNTIF($D$5:D1039,"?*"))</f>
        <v/>
      </c>
      <c r="B1039" s="5"/>
      <c r="C1039" s="4" t="str">
        <f>IF(B1039="","",INDEX({"Ocak","Şubat","Mart","Nisan","Mayıs","Haziran","Temmuz","Ağustos","Eylül","Ekim","Kasım","Aralık"},MONTH(B1039)))</f>
        <v/>
      </c>
      <c r="D1039" s="2"/>
      <c r="E1039" s="4" t="str">
        <f>IFERROR(INDEX('Araç Tanımlama'!$D$5:$D$200,MATCH(D1039,'Araç Tanımlama'!$A$5:$A$200,0)),"")</f>
        <v/>
      </c>
      <c r="F1039" s="4" t="str">
        <f>IFERROR(INDEX('Araç Tanımlama'!$E$5:$E$200,MATCH(D1039,'Araç Tanımlama'!$A$5:$A$200,0)),"")</f>
        <v/>
      </c>
      <c r="G1039" s="2"/>
      <c r="H1039" s="7"/>
      <c r="I1039" s="9" t="str">
        <f>IF(OR(G1039="",H1039=""),"",G1039*H1039)</f>
        <v/>
      </c>
      <c r="J1039" s="2"/>
      <c r="K1039" s="2"/>
    </row>
    <row r="1040" spans="1:11">
      <c r="A1040" s="4" t="str">
        <f>IF(D1040="","",COUNTIF($D$5:D1040,"?*"))</f>
        <v/>
      </c>
      <c r="B1040" s="5"/>
      <c r="C1040" s="4" t="str">
        <f>IF(B1040="","",INDEX({"Ocak","Şubat","Mart","Nisan","Mayıs","Haziran","Temmuz","Ağustos","Eylül","Ekim","Kasım","Aralık"},MONTH(B1040)))</f>
        <v/>
      </c>
      <c r="D1040" s="2"/>
      <c r="E1040" s="4" t="str">
        <f>IFERROR(INDEX('Araç Tanımlama'!$D$5:$D$200,MATCH(D1040,'Araç Tanımlama'!$A$5:$A$200,0)),"")</f>
        <v/>
      </c>
      <c r="F1040" s="4" t="str">
        <f>IFERROR(INDEX('Araç Tanımlama'!$E$5:$E$200,MATCH(D1040,'Araç Tanımlama'!$A$5:$A$200,0)),"")</f>
        <v/>
      </c>
      <c r="G1040" s="2"/>
      <c r="H1040" s="7"/>
      <c r="I1040" s="9" t="str">
        <f>IF(OR(G1040="",H1040=""),"",G1040*H1040)</f>
        <v/>
      </c>
      <c r="J1040" s="2"/>
      <c r="K1040" s="2"/>
    </row>
    <row r="1041" spans="1:11">
      <c r="A1041" s="4" t="str">
        <f>IF(D1041="","",COUNTIF($D$5:D1041,"?*"))</f>
        <v/>
      </c>
      <c r="B1041" s="5"/>
      <c r="C1041" s="4" t="str">
        <f>IF(B1041="","",INDEX({"Ocak","Şubat","Mart","Nisan","Mayıs","Haziran","Temmuz","Ağustos","Eylül","Ekim","Kasım","Aralık"},MONTH(B1041)))</f>
        <v/>
      </c>
      <c r="D1041" s="2"/>
      <c r="E1041" s="4" t="str">
        <f>IFERROR(INDEX('Araç Tanımlama'!$D$5:$D$200,MATCH(D1041,'Araç Tanımlama'!$A$5:$A$200,0)),"")</f>
        <v/>
      </c>
      <c r="F1041" s="4" t="str">
        <f>IFERROR(INDEX('Araç Tanımlama'!$E$5:$E$200,MATCH(D1041,'Araç Tanımlama'!$A$5:$A$200,0)),"")</f>
        <v/>
      </c>
      <c r="G1041" s="2"/>
      <c r="H1041" s="7"/>
      <c r="I1041" s="9" t="str">
        <f>IF(OR(G1041="",H1041=""),"",G1041*H1041)</f>
        <v/>
      </c>
      <c r="J1041" s="2"/>
      <c r="K1041" s="2"/>
    </row>
    <row r="1042" spans="1:11">
      <c r="A1042" s="4" t="str">
        <f>IF(D1042="","",COUNTIF($D$5:D1042,"?*"))</f>
        <v/>
      </c>
      <c r="B1042" s="5"/>
      <c r="C1042" s="4" t="str">
        <f>IF(B1042="","",INDEX({"Ocak","Şubat","Mart","Nisan","Mayıs","Haziran","Temmuz","Ağustos","Eylül","Ekim","Kasım","Aralık"},MONTH(B1042)))</f>
        <v/>
      </c>
      <c r="D1042" s="2"/>
      <c r="E1042" s="4" t="str">
        <f>IFERROR(INDEX('Araç Tanımlama'!$D$5:$D$200,MATCH(D1042,'Araç Tanımlama'!$A$5:$A$200,0)),"")</f>
        <v/>
      </c>
      <c r="F1042" s="4" t="str">
        <f>IFERROR(INDEX('Araç Tanımlama'!$E$5:$E$200,MATCH(D1042,'Araç Tanımlama'!$A$5:$A$200,0)),"")</f>
        <v/>
      </c>
      <c r="G1042" s="2"/>
      <c r="H1042" s="7"/>
      <c r="I1042" s="9" t="str">
        <f>IF(OR(G1042="",H1042=""),"",G1042*H1042)</f>
        <v/>
      </c>
      <c r="J1042" s="2"/>
      <c r="K1042" s="2"/>
    </row>
    <row r="1043" spans="1:11">
      <c r="A1043" s="4" t="str">
        <f>IF(D1043="","",COUNTIF($D$5:D1043,"?*"))</f>
        <v/>
      </c>
      <c r="B1043" s="5"/>
      <c r="C1043" s="4" t="str">
        <f>IF(B1043="","",INDEX({"Ocak","Şubat","Mart","Nisan","Mayıs","Haziran","Temmuz","Ağustos","Eylül","Ekim","Kasım","Aralık"},MONTH(B1043)))</f>
        <v/>
      </c>
      <c r="D1043" s="2"/>
      <c r="E1043" s="4" t="str">
        <f>IFERROR(INDEX('Araç Tanımlama'!$D$5:$D$200,MATCH(D1043,'Araç Tanımlama'!$A$5:$A$200,0)),"")</f>
        <v/>
      </c>
      <c r="F1043" s="4" t="str">
        <f>IFERROR(INDEX('Araç Tanımlama'!$E$5:$E$200,MATCH(D1043,'Araç Tanımlama'!$A$5:$A$200,0)),"")</f>
        <v/>
      </c>
      <c r="G1043" s="2"/>
      <c r="H1043" s="7"/>
      <c r="I1043" s="9" t="str">
        <f>IF(OR(G1043="",H1043=""),"",G1043*H1043)</f>
        <v/>
      </c>
      <c r="J1043" s="2"/>
      <c r="K1043" s="2"/>
    </row>
    <row r="1044" spans="1:11">
      <c r="A1044" s="4" t="str">
        <f>IF(D1044="","",COUNTIF($D$5:D1044,"?*"))</f>
        <v/>
      </c>
      <c r="B1044" s="5"/>
      <c r="C1044" s="4" t="str">
        <f>IF(B1044="","",INDEX({"Ocak","Şubat","Mart","Nisan","Mayıs","Haziran","Temmuz","Ağustos","Eylül","Ekim","Kasım","Aralık"},MONTH(B1044)))</f>
        <v/>
      </c>
      <c r="D1044" s="2"/>
      <c r="E1044" s="4" t="str">
        <f>IFERROR(INDEX('Araç Tanımlama'!$D$5:$D$200,MATCH(D1044,'Araç Tanımlama'!$A$5:$A$200,0)),"")</f>
        <v/>
      </c>
      <c r="F1044" s="4" t="str">
        <f>IFERROR(INDEX('Araç Tanımlama'!$E$5:$E$200,MATCH(D1044,'Araç Tanımlama'!$A$5:$A$200,0)),"")</f>
        <v/>
      </c>
      <c r="G1044" s="2"/>
      <c r="H1044" s="7"/>
      <c r="I1044" s="9" t="str">
        <f>IF(OR(G1044="",H1044=""),"",G1044*H1044)</f>
        <v/>
      </c>
      <c r="J1044" s="2"/>
      <c r="K1044" s="2"/>
    </row>
    <row r="1045" spans="1:11">
      <c r="A1045" s="4" t="str">
        <f>IF(D1045="","",COUNTIF($D$5:D1045,"?*"))</f>
        <v/>
      </c>
      <c r="B1045" s="5"/>
      <c r="C1045" s="4" t="str">
        <f>IF(B1045="","",INDEX({"Ocak","Şubat","Mart","Nisan","Mayıs","Haziran","Temmuz","Ağustos","Eylül","Ekim","Kasım","Aralık"},MONTH(B1045)))</f>
        <v/>
      </c>
      <c r="D1045" s="2"/>
      <c r="E1045" s="4" t="str">
        <f>IFERROR(INDEX('Araç Tanımlama'!$D$5:$D$200,MATCH(D1045,'Araç Tanımlama'!$A$5:$A$200,0)),"")</f>
        <v/>
      </c>
      <c r="F1045" s="4" t="str">
        <f>IFERROR(INDEX('Araç Tanımlama'!$E$5:$E$200,MATCH(D1045,'Araç Tanımlama'!$A$5:$A$200,0)),"")</f>
        <v/>
      </c>
      <c r="G1045" s="2"/>
      <c r="H1045" s="7"/>
      <c r="I1045" s="9" t="str">
        <f>IF(OR(G1045="",H1045=""),"",G1045*H1045)</f>
        <v/>
      </c>
      <c r="J1045" s="2"/>
      <c r="K1045" s="2"/>
    </row>
    <row r="1046" spans="1:11">
      <c r="A1046" s="4" t="str">
        <f>IF(D1046="","",COUNTIF($D$5:D1046,"?*"))</f>
        <v/>
      </c>
      <c r="B1046" s="5"/>
      <c r="C1046" s="4" t="str">
        <f>IF(B1046="","",INDEX({"Ocak","Şubat","Mart","Nisan","Mayıs","Haziran","Temmuz","Ağustos","Eylül","Ekim","Kasım","Aralık"},MONTH(B1046)))</f>
        <v/>
      </c>
      <c r="D1046" s="2"/>
      <c r="E1046" s="4" t="str">
        <f>IFERROR(INDEX('Araç Tanımlama'!$D$5:$D$200,MATCH(D1046,'Araç Tanımlama'!$A$5:$A$200,0)),"")</f>
        <v/>
      </c>
      <c r="F1046" s="4" t="str">
        <f>IFERROR(INDEX('Araç Tanımlama'!$E$5:$E$200,MATCH(D1046,'Araç Tanımlama'!$A$5:$A$200,0)),"")</f>
        <v/>
      </c>
      <c r="G1046" s="2"/>
      <c r="H1046" s="7"/>
      <c r="I1046" s="9" t="str">
        <f>IF(OR(G1046="",H1046=""),"",G1046*H1046)</f>
        <v/>
      </c>
      <c r="J1046" s="2"/>
      <c r="K1046" s="2"/>
    </row>
    <row r="1047" spans="1:11">
      <c r="A1047" s="4" t="str">
        <f>IF(D1047="","",COUNTIF($D$5:D1047,"?*"))</f>
        <v/>
      </c>
      <c r="B1047" s="5"/>
      <c r="C1047" s="4" t="str">
        <f>IF(B1047="","",INDEX({"Ocak","Şubat","Mart","Nisan","Mayıs","Haziran","Temmuz","Ağustos","Eylül","Ekim","Kasım","Aralık"},MONTH(B1047)))</f>
        <v/>
      </c>
      <c r="D1047" s="2"/>
      <c r="E1047" s="4" t="str">
        <f>IFERROR(INDEX('Araç Tanımlama'!$D$5:$D$200,MATCH(D1047,'Araç Tanımlama'!$A$5:$A$200,0)),"")</f>
        <v/>
      </c>
      <c r="F1047" s="4" t="str">
        <f>IFERROR(INDEX('Araç Tanımlama'!$E$5:$E$200,MATCH(D1047,'Araç Tanımlama'!$A$5:$A$200,0)),"")</f>
        <v/>
      </c>
      <c r="G1047" s="2"/>
      <c r="H1047" s="7"/>
      <c r="I1047" s="9" t="str">
        <f>IF(OR(G1047="",H1047=""),"",G1047*H1047)</f>
        <v/>
      </c>
      <c r="J1047" s="2"/>
      <c r="K1047" s="2"/>
    </row>
    <row r="1048" spans="1:11">
      <c r="A1048" s="4" t="str">
        <f>IF(D1048="","",COUNTIF($D$5:D1048,"?*"))</f>
        <v/>
      </c>
      <c r="B1048" s="5"/>
      <c r="C1048" s="4" t="str">
        <f>IF(B1048="","",INDEX({"Ocak","Şubat","Mart","Nisan","Mayıs","Haziran","Temmuz","Ağustos","Eylül","Ekim","Kasım","Aralık"},MONTH(B1048)))</f>
        <v/>
      </c>
      <c r="D1048" s="2"/>
      <c r="E1048" s="4" t="str">
        <f>IFERROR(INDEX('Araç Tanımlama'!$D$5:$D$200,MATCH(D1048,'Araç Tanımlama'!$A$5:$A$200,0)),"")</f>
        <v/>
      </c>
      <c r="F1048" s="4" t="str">
        <f>IFERROR(INDEX('Araç Tanımlama'!$E$5:$E$200,MATCH(D1048,'Araç Tanımlama'!$A$5:$A$200,0)),"")</f>
        <v/>
      </c>
      <c r="G1048" s="2"/>
      <c r="H1048" s="7"/>
      <c r="I1048" s="9" t="str">
        <f>IF(OR(G1048="",H1048=""),"",G1048*H1048)</f>
        <v/>
      </c>
      <c r="J1048" s="2"/>
      <c r="K1048" s="2"/>
    </row>
    <row r="1049" spans="1:11">
      <c r="A1049" s="4" t="str">
        <f>IF(D1049="","",COUNTIF($D$5:D1049,"?*"))</f>
        <v/>
      </c>
      <c r="B1049" s="5"/>
      <c r="C1049" s="4" t="str">
        <f>IF(B1049="","",INDEX({"Ocak","Şubat","Mart","Nisan","Mayıs","Haziran","Temmuz","Ağustos","Eylül","Ekim","Kasım","Aralık"},MONTH(B1049)))</f>
        <v/>
      </c>
      <c r="D1049" s="2"/>
      <c r="E1049" s="4" t="str">
        <f>IFERROR(INDEX('Araç Tanımlama'!$D$5:$D$200,MATCH(D1049,'Araç Tanımlama'!$A$5:$A$200,0)),"")</f>
        <v/>
      </c>
      <c r="F1049" s="4" t="str">
        <f>IFERROR(INDEX('Araç Tanımlama'!$E$5:$E$200,MATCH(D1049,'Araç Tanımlama'!$A$5:$A$200,0)),"")</f>
        <v/>
      </c>
      <c r="G1049" s="2"/>
      <c r="H1049" s="7"/>
      <c r="I1049" s="9" t="str">
        <f>IF(OR(G1049="",H1049=""),"",G1049*H1049)</f>
        <v/>
      </c>
      <c r="J1049" s="2"/>
      <c r="K1049" s="2"/>
    </row>
    <row r="1050" spans="1:11">
      <c r="A1050" s="4" t="str">
        <f>IF(D1050="","",COUNTIF($D$5:D1050,"?*"))</f>
        <v/>
      </c>
      <c r="B1050" s="5"/>
      <c r="C1050" s="4" t="str">
        <f>IF(B1050="","",INDEX({"Ocak","Şubat","Mart","Nisan","Mayıs","Haziran","Temmuz","Ağustos","Eylül","Ekim","Kasım","Aralık"},MONTH(B1050)))</f>
        <v/>
      </c>
      <c r="D1050" s="2"/>
      <c r="E1050" s="4" t="str">
        <f>IFERROR(INDEX('Araç Tanımlama'!$D$5:$D$200,MATCH(D1050,'Araç Tanımlama'!$A$5:$A$200,0)),"")</f>
        <v/>
      </c>
      <c r="F1050" s="4" t="str">
        <f>IFERROR(INDEX('Araç Tanımlama'!$E$5:$E$200,MATCH(D1050,'Araç Tanımlama'!$A$5:$A$200,0)),"")</f>
        <v/>
      </c>
      <c r="G1050" s="2"/>
      <c r="H1050" s="7"/>
      <c r="I1050" s="9" t="str">
        <f>IF(OR(G1050="",H1050=""),"",G1050*H1050)</f>
        <v/>
      </c>
      <c r="J1050" s="2"/>
      <c r="K1050" s="2"/>
    </row>
    <row r="1051" spans="1:11">
      <c r="A1051" s="4" t="str">
        <f>IF(D1051="","",COUNTIF($D$5:D1051,"?*"))</f>
        <v/>
      </c>
      <c r="B1051" s="5"/>
      <c r="C1051" s="4" t="str">
        <f>IF(B1051="","",INDEX({"Ocak","Şubat","Mart","Nisan","Mayıs","Haziran","Temmuz","Ağustos","Eylül","Ekim","Kasım","Aralık"},MONTH(B1051)))</f>
        <v/>
      </c>
      <c r="D1051" s="2"/>
      <c r="E1051" s="4" t="str">
        <f>IFERROR(INDEX('Araç Tanımlama'!$D$5:$D$200,MATCH(D1051,'Araç Tanımlama'!$A$5:$A$200,0)),"")</f>
        <v/>
      </c>
      <c r="F1051" s="4" t="str">
        <f>IFERROR(INDEX('Araç Tanımlama'!$E$5:$E$200,MATCH(D1051,'Araç Tanımlama'!$A$5:$A$200,0)),"")</f>
        <v/>
      </c>
      <c r="G1051" s="2"/>
      <c r="H1051" s="7"/>
      <c r="I1051" s="9" t="str">
        <f>IF(OR(G1051="",H1051=""),"",G1051*H1051)</f>
        <v/>
      </c>
      <c r="J1051" s="2"/>
      <c r="K1051" s="2"/>
    </row>
    <row r="1052" spans="1:11">
      <c r="A1052" s="4" t="str">
        <f>IF(D1052="","",COUNTIF($D$5:D1052,"?*"))</f>
        <v/>
      </c>
      <c r="B1052" s="5"/>
      <c r="C1052" s="4" t="str">
        <f>IF(B1052="","",INDEX({"Ocak","Şubat","Mart","Nisan","Mayıs","Haziran","Temmuz","Ağustos","Eylül","Ekim","Kasım","Aralık"},MONTH(B1052)))</f>
        <v/>
      </c>
      <c r="D1052" s="2"/>
      <c r="E1052" s="4" t="str">
        <f>IFERROR(INDEX('Araç Tanımlama'!$D$5:$D$200,MATCH(D1052,'Araç Tanımlama'!$A$5:$A$200,0)),"")</f>
        <v/>
      </c>
      <c r="F1052" s="4" t="str">
        <f>IFERROR(INDEX('Araç Tanımlama'!$E$5:$E$200,MATCH(D1052,'Araç Tanımlama'!$A$5:$A$200,0)),"")</f>
        <v/>
      </c>
      <c r="G1052" s="2"/>
      <c r="H1052" s="7"/>
      <c r="I1052" s="9" t="str">
        <f>IF(OR(G1052="",H1052=""),"",G1052*H1052)</f>
        <v/>
      </c>
      <c r="J1052" s="2"/>
      <c r="K1052" s="2"/>
    </row>
    <row r="1053" spans="1:11">
      <c r="A1053" s="4" t="str">
        <f>IF(D1053="","",COUNTIF($D$5:D1053,"?*"))</f>
        <v/>
      </c>
      <c r="B1053" s="5"/>
      <c r="C1053" s="4" t="str">
        <f>IF(B1053="","",INDEX({"Ocak","Şubat","Mart","Nisan","Mayıs","Haziran","Temmuz","Ağustos","Eylül","Ekim","Kasım","Aralık"},MONTH(B1053)))</f>
        <v/>
      </c>
      <c r="D1053" s="2"/>
      <c r="E1053" s="4" t="str">
        <f>IFERROR(INDEX('Araç Tanımlama'!$D$5:$D$200,MATCH(D1053,'Araç Tanımlama'!$A$5:$A$200,0)),"")</f>
        <v/>
      </c>
      <c r="F1053" s="4" t="str">
        <f>IFERROR(INDEX('Araç Tanımlama'!$E$5:$E$200,MATCH(D1053,'Araç Tanımlama'!$A$5:$A$200,0)),"")</f>
        <v/>
      </c>
      <c r="G1053" s="2"/>
      <c r="H1053" s="7"/>
      <c r="I1053" s="9" t="str">
        <f>IF(OR(G1053="",H1053=""),"",G1053*H1053)</f>
        <v/>
      </c>
      <c r="J1053" s="2"/>
      <c r="K1053" s="2"/>
    </row>
    <row r="1054" spans="1:11">
      <c r="A1054" s="4" t="str">
        <f>IF(D1054="","",COUNTIF($D$5:D1054,"?*"))</f>
        <v/>
      </c>
      <c r="B1054" s="5"/>
      <c r="C1054" s="4" t="str">
        <f>IF(B1054="","",INDEX({"Ocak","Şubat","Mart","Nisan","Mayıs","Haziran","Temmuz","Ağustos","Eylül","Ekim","Kasım","Aralık"},MONTH(B1054)))</f>
        <v/>
      </c>
      <c r="D1054" s="2"/>
      <c r="E1054" s="4" t="str">
        <f>IFERROR(INDEX('Araç Tanımlama'!$D$5:$D$200,MATCH(D1054,'Araç Tanımlama'!$A$5:$A$200,0)),"")</f>
        <v/>
      </c>
      <c r="F1054" s="4" t="str">
        <f>IFERROR(INDEX('Araç Tanımlama'!$E$5:$E$200,MATCH(D1054,'Araç Tanımlama'!$A$5:$A$200,0)),"")</f>
        <v/>
      </c>
      <c r="G1054" s="2"/>
      <c r="H1054" s="7"/>
      <c r="I1054" s="9" t="str">
        <f>IF(OR(G1054="",H1054=""),"",G1054*H1054)</f>
        <v/>
      </c>
      <c r="J1054" s="2"/>
      <c r="K1054" s="2"/>
    </row>
    <row r="1055" spans="1:11">
      <c r="A1055" s="4" t="str">
        <f>IF(D1055="","",COUNTIF($D$5:D1055,"?*"))</f>
        <v/>
      </c>
      <c r="B1055" s="5"/>
      <c r="C1055" s="4" t="str">
        <f>IF(B1055="","",INDEX({"Ocak","Şubat","Mart","Nisan","Mayıs","Haziran","Temmuz","Ağustos","Eylül","Ekim","Kasım","Aralık"},MONTH(B1055)))</f>
        <v/>
      </c>
      <c r="D1055" s="2"/>
      <c r="E1055" s="4" t="str">
        <f>IFERROR(INDEX('Araç Tanımlama'!$D$5:$D$200,MATCH(D1055,'Araç Tanımlama'!$A$5:$A$200,0)),"")</f>
        <v/>
      </c>
      <c r="F1055" s="4" t="str">
        <f>IFERROR(INDEX('Araç Tanımlama'!$E$5:$E$200,MATCH(D1055,'Araç Tanımlama'!$A$5:$A$200,0)),"")</f>
        <v/>
      </c>
      <c r="G1055" s="2"/>
      <c r="H1055" s="7"/>
      <c r="I1055" s="9" t="str">
        <f>IF(OR(G1055="",H1055=""),"",G1055*H1055)</f>
        <v/>
      </c>
      <c r="J1055" s="2"/>
      <c r="K1055" s="2"/>
    </row>
    <row r="1056" spans="1:11">
      <c r="A1056" s="4" t="str">
        <f>IF(D1056="","",COUNTIF($D$5:D1056,"?*"))</f>
        <v/>
      </c>
      <c r="B1056" s="5"/>
      <c r="C1056" s="4" t="str">
        <f>IF(B1056="","",INDEX({"Ocak","Şubat","Mart","Nisan","Mayıs","Haziran","Temmuz","Ağustos","Eylül","Ekim","Kasım","Aralık"},MONTH(B1056)))</f>
        <v/>
      </c>
      <c r="D1056" s="2"/>
      <c r="E1056" s="4" t="str">
        <f>IFERROR(INDEX('Araç Tanımlama'!$D$5:$D$200,MATCH(D1056,'Araç Tanımlama'!$A$5:$A$200,0)),"")</f>
        <v/>
      </c>
      <c r="F1056" s="4" t="str">
        <f>IFERROR(INDEX('Araç Tanımlama'!$E$5:$E$200,MATCH(D1056,'Araç Tanımlama'!$A$5:$A$200,0)),"")</f>
        <v/>
      </c>
      <c r="G1056" s="2"/>
      <c r="H1056" s="7"/>
      <c r="I1056" s="9" t="str">
        <f>IF(OR(G1056="",H1056=""),"",G1056*H1056)</f>
        <v/>
      </c>
      <c r="J1056" s="2"/>
      <c r="K1056" s="2"/>
    </row>
    <row r="1057" spans="1:11">
      <c r="A1057" s="4" t="str">
        <f>IF(D1057="","",COUNTIF($D$5:D1057,"?*"))</f>
        <v/>
      </c>
      <c r="B1057" s="5"/>
      <c r="C1057" s="4" t="str">
        <f>IF(B1057="","",INDEX({"Ocak","Şubat","Mart","Nisan","Mayıs","Haziran","Temmuz","Ağustos","Eylül","Ekim","Kasım","Aralık"},MONTH(B1057)))</f>
        <v/>
      </c>
      <c r="D1057" s="2"/>
      <c r="E1057" s="4" t="str">
        <f>IFERROR(INDEX('Araç Tanımlama'!$D$5:$D$200,MATCH(D1057,'Araç Tanımlama'!$A$5:$A$200,0)),"")</f>
        <v/>
      </c>
      <c r="F1057" s="4" t="str">
        <f>IFERROR(INDEX('Araç Tanımlama'!$E$5:$E$200,MATCH(D1057,'Araç Tanımlama'!$A$5:$A$200,0)),"")</f>
        <v/>
      </c>
      <c r="G1057" s="2"/>
      <c r="H1057" s="7"/>
      <c r="I1057" s="9" t="str">
        <f>IF(OR(G1057="",H1057=""),"",G1057*H1057)</f>
        <v/>
      </c>
      <c r="J1057" s="2"/>
      <c r="K1057" s="2"/>
    </row>
    <row r="1058" spans="1:11">
      <c r="A1058" s="4" t="str">
        <f>IF(D1058="","",COUNTIF($D$5:D1058,"?*"))</f>
        <v/>
      </c>
      <c r="B1058" s="5"/>
      <c r="C1058" s="4" t="str">
        <f>IF(B1058="","",INDEX({"Ocak","Şubat","Mart","Nisan","Mayıs","Haziran","Temmuz","Ağustos","Eylül","Ekim","Kasım","Aralık"},MONTH(B1058)))</f>
        <v/>
      </c>
      <c r="D1058" s="2"/>
      <c r="E1058" s="4" t="str">
        <f>IFERROR(INDEX('Araç Tanımlama'!$D$5:$D$200,MATCH(D1058,'Araç Tanımlama'!$A$5:$A$200,0)),"")</f>
        <v/>
      </c>
      <c r="F1058" s="4" t="str">
        <f>IFERROR(INDEX('Araç Tanımlama'!$E$5:$E$200,MATCH(D1058,'Araç Tanımlama'!$A$5:$A$200,0)),"")</f>
        <v/>
      </c>
      <c r="G1058" s="2"/>
      <c r="H1058" s="7"/>
      <c r="I1058" s="9" t="str">
        <f>IF(OR(G1058="",H1058=""),"",G1058*H1058)</f>
        <v/>
      </c>
      <c r="J1058" s="2"/>
      <c r="K1058" s="2"/>
    </row>
    <row r="1059" spans="1:11">
      <c r="A1059" s="4" t="str">
        <f>IF(D1059="","",COUNTIF($D$5:D1059,"?*"))</f>
        <v/>
      </c>
      <c r="B1059" s="5"/>
      <c r="C1059" s="4" t="str">
        <f>IF(B1059="","",INDEX({"Ocak","Şubat","Mart","Nisan","Mayıs","Haziran","Temmuz","Ağustos","Eylül","Ekim","Kasım","Aralık"},MONTH(B1059)))</f>
        <v/>
      </c>
      <c r="D1059" s="2"/>
      <c r="E1059" s="4" t="str">
        <f>IFERROR(INDEX('Araç Tanımlama'!$D$5:$D$200,MATCH(D1059,'Araç Tanımlama'!$A$5:$A$200,0)),"")</f>
        <v/>
      </c>
      <c r="F1059" s="4" t="str">
        <f>IFERROR(INDEX('Araç Tanımlama'!$E$5:$E$200,MATCH(D1059,'Araç Tanımlama'!$A$5:$A$200,0)),"")</f>
        <v/>
      </c>
      <c r="G1059" s="2"/>
      <c r="H1059" s="7"/>
      <c r="I1059" s="9" t="str">
        <f>IF(OR(G1059="",H1059=""),"",G1059*H1059)</f>
        <v/>
      </c>
      <c r="J1059" s="2"/>
      <c r="K1059" s="2"/>
    </row>
    <row r="1060" spans="1:11">
      <c r="A1060" s="4" t="str">
        <f>IF(D1060="","",COUNTIF($D$5:D1060,"?*"))</f>
        <v/>
      </c>
      <c r="B1060" s="5"/>
      <c r="C1060" s="4" t="str">
        <f>IF(B1060="","",INDEX({"Ocak","Şubat","Mart","Nisan","Mayıs","Haziran","Temmuz","Ağustos","Eylül","Ekim","Kasım","Aralık"},MONTH(B1060)))</f>
        <v/>
      </c>
      <c r="D1060" s="2"/>
      <c r="E1060" s="4" t="str">
        <f>IFERROR(INDEX('Araç Tanımlama'!$D$5:$D$200,MATCH(D1060,'Araç Tanımlama'!$A$5:$A$200,0)),"")</f>
        <v/>
      </c>
      <c r="F1060" s="4" t="str">
        <f>IFERROR(INDEX('Araç Tanımlama'!$E$5:$E$200,MATCH(D1060,'Araç Tanımlama'!$A$5:$A$200,0)),"")</f>
        <v/>
      </c>
      <c r="G1060" s="2"/>
      <c r="H1060" s="7"/>
      <c r="I1060" s="9" t="str">
        <f>IF(OR(G1060="",H1060=""),"",G1060*H1060)</f>
        <v/>
      </c>
      <c r="J1060" s="2"/>
      <c r="K1060" s="2"/>
    </row>
    <row r="1061" spans="1:11">
      <c r="A1061" s="4" t="str">
        <f>IF(D1061="","",COUNTIF($D$5:D1061,"?*"))</f>
        <v/>
      </c>
      <c r="B1061" s="5"/>
      <c r="C1061" s="4" t="str">
        <f>IF(B1061="","",INDEX({"Ocak","Şubat","Mart","Nisan","Mayıs","Haziran","Temmuz","Ağustos","Eylül","Ekim","Kasım","Aralık"},MONTH(B1061)))</f>
        <v/>
      </c>
      <c r="D1061" s="2"/>
      <c r="E1061" s="4" t="str">
        <f>IFERROR(INDEX('Araç Tanımlama'!$D$5:$D$200,MATCH(D1061,'Araç Tanımlama'!$A$5:$A$200,0)),"")</f>
        <v/>
      </c>
      <c r="F1061" s="4" t="str">
        <f>IFERROR(INDEX('Araç Tanımlama'!$E$5:$E$200,MATCH(D1061,'Araç Tanımlama'!$A$5:$A$200,0)),"")</f>
        <v/>
      </c>
      <c r="G1061" s="2"/>
      <c r="H1061" s="7"/>
      <c r="I1061" s="9" t="str">
        <f>IF(OR(G1061="",H1061=""),"",G1061*H1061)</f>
        <v/>
      </c>
      <c r="J1061" s="2"/>
      <c r="K1061" s="2"/>
    </row>
    <row r="1062" spans="1:11">
      <c r="A1062" s="4" t="str">
        <f>IF(D1062="","",COUNTIF($D$5:D1062,"?*"))</f>
        <v/>
      </c>
      <c r="B1062" s="5"/>
      <c r="C1062" s="4" t="str">
        <f>IF(B1062="","",INDEX({"Ocak","Şubat","Mart","Nisan","Mayıs","Haziran","Temmuz","Ağustos","Eylül","Ekim","Kasım","Aralık"},MONTH(B1062)))</f>
        <v/>
      </c>
      <c r="D1062" s="2"/>
      <c r="E1062" s="4" t="str">
        <f>IFERROR(INDEX('Araç Tanımlama'!$D$5:$D$200,MATCH(D1062,'Araç Tanımlama'!$A$5:$A$200,0)),"")</f>
        <v/>
      </c>
      <c r="F1062" s="4" t="str">
        <f>IFERROR(INDEX('Araç Tanımlama'!$E$5:$E$200,MATCH(D1062,'Araç Tanımlama'!$A$5:$A$200,0)),"")</f>
        <v/>
      </c>
      <c r="G1062" s="2"/>
      <c r="H1062" s="7"/>
      <c r="I1062" s="9" t="str">
        <f>IF(OR(G1062="",H1062=""),"",G1062*H1062)</f>
        <v/>
      </c>
      <c r="J1062" s="2"/>
      <c r="K1062" s="2"/>
    </row>
    <row r="1063" spans="1:11">
      <c r="A1063" s="4" t="str">
        <f>IF(D1063="","",COUNTIF($D$5:D1063,"?*"))</f>
        <v/>
      </c>
      <c r="B1063" s="5"/>
      <c r="C1063" s="4" t="str">
        <f>IF(B1063="","",INDEX({"Ocak","Şubat","Mart","Nisan","Mayıs","Haziran","Temmuz","Ağustos","Eylül","Ekim","Kasım","Aralık"},MONTH(B1063)))</f>
        <v/>
      </c>
      <c r="D1063" s="2"/>
      <c r="E1063" s="4" t="str">
        <f>IFERROR(INDEX('Araç Tanımlama'!$D$5:$D$200,MATCH(D1063,'Araç Tanımlama'!$A$5:$A$200,0)),"")</f>
        <v/>
      </c>
      <c r="F1063" s="4" t="str">
        <f>IFERROR(INDEX('Araç Tanımlama'!$E$5:$E$200,MATCH(D1063,'Araç Tanımlama'!$A$5:$A$200,0)),"")</f>
        <v/>
      </c>
      <c r="G1063" s="2"/>
      <c r="H1063" s="7"/>
      <c r="I1063" s="9" t="str">
        <f>IF(OR(G1063="",H1063=""),"",G1063*H1063)</f>
        <v/>
      </c>
      <c r="J1063" s="2"/>
      <c r="K1063" s="2"/>
    </row>
    <row r="1064" spans="1:11">
      <c r="A1064" s="4" t="str">
        <f>IF(D1064="","",COUNTIF($D$5:D1064,"?*"))</f>
        <v/>
      </c>
      <c r="B1064" s="5"/>
      <c r="C1064" s="4" t="str">
        <f>IF(B1064="","",INDEX({"Ocak","Şubat","Mart","Nisan","Mayıs","Haziran","Temmuz","Ağustos","Eylül","Ekim","Kasım","Aralık"},MONTH(B1064)))</f>
        <v/>
      </c>
      <c r="D1064" s="2"/>
      <c r="E1064" s="4" t="str">
        <f>IFERROR(INDEX('Araç Tanımlama'!$D$5:$D$200,MATCH(D1064,'Araç Tanımlama'!$A$5:$A$200,0)),"")</f>
        <v/>
      </c>
      <c r="F1064" s="4" t="str">
        <f>IFERROR(INDEX('Araç Tanımlama'!$E$5:$E$200,MATCH(D1064,'Araç Tanımlama'!$A$5:$A$200,0)),"")</f>
        <v/>
      </c>
      <c r="G1064" s="2"/>
      <c r="H1064" s="7"/>
      <c r="I1064" s="9" t="str">
        <f>IF(OR(G1064="",H1064=""),"",G1064*H1064)</f>
        <v/>
      </c>
      <c r="J1064" s="2"/>
      <c r="K1064" s="2"/>
    </row>
    <row r="1065" spans="1:11">
      <c r="A1065" s="4" t="str">
        <f>IF(D1065="","",COUNTIF($D$5:D1065,"?*"))</f>
        <v/>
      </c>
      <c r="B1065" s="5"/>
      <c r="C1065" s="4" t="str">
        <f>IF(B1065="","",INDEX({"Ocak","Şubat","Mart","Nisan","Mayıs","Haziran","Temmuz","Ağustos","Eylül","Ekim","Kasım","Aralık"},MONTH(B1065)))</f>
        <v/>
      </c>
      <c r="D1065" s="2"/>
      <c r="E1065" s="4" t="str">
        <f>IFERROR(INDEX('Araç Tanımlama'!$D$5:$D$200,MATCH(D1065,'Araç Tanımlama'!$A$5:$A$200,0)),"")</f>
        <v/>
      </c>
      <c r="F1065" s="4" t="str">
        <f>IFERROR(INDEX('Araç Tanımlama'!$E$5:$E$200,MATCH(D1065,'Araç Tanımlama'!$A$5:$A$200,0)),"")</f>
        <v/>
      </c>
      <c r="G1065" s="2"/>
      <c r="H1065" s="7"/>
      <c r="I1065" s="9" t="str">
        <f>IF(OR(G1065="",H1065=""),"",G1065*H1065)</f>
        <v/>
      </c>
      <c r="J1065" s="2"/>
      <c r="K1065" s="2"/>
    </row>
    <row r="1066" spans="1:11">
      <c r="A1066" s="4" t="str">
        <f>IF(D1066="","",COUNTIF($D$5:D1066,"?*"))</f>
        <v/>
      </c>
      <c r="B1066" s="5"/>
      <c r="C1066" s="4" t="str">
        <f>IF(B1066="","",INDEX({"Ocak","Şubat","Mart","Nisan","Mayıs","Haziran","Temmuz","Ağustos","Eylül","Ekim","Kasım","Aralık"},MONTH(B1066)))</f>
        <v/>
      </c>
      <c r="D1066" s="2"/>
      <c r="E1066" s="4" t="str">
        <f>IFERROR(INDEX('Araç Tanımlama'!$D$5:$D$200,MATCH(D1066,'Araç Tanımlama'!$A$5:$A$200,0)),"")</f>
        <v/>
      </c>
      <c r="F1066" s="4" t="str">
        <f>IFERROR(INDEX('Araç Tanımlama'!$E$5:$E$200,MATCH(D1066,'Araç Tanımlama'!$A$5:$A$200,0)),"")</f>
        <v/>
      </c>
      <c r="G1066" s="2"/>
      <c r="H1066" s="7"/>
      <c r="I1066" s="9" t="str">
        <f>IF(OR(G1066="",H1066=""),"",G1066*H1066)</f>
        <v/>
      </c>
      <c r="J1066" s="2"/>
      <c r="K1066" s="2"/>
    </row>
    <row r="1067" spans="1:11">
      <c r="A1067" s="4" t="str">
        <f>IF(D1067="","",COUNTIF($D$5:D1067,"?*"))</f>
        <v/>
      </c>
      <c r="B1067" s="5"/>
      <c r="C1067" s="4" t="str">
        <f>IF(B1067="","",INDEX({"Ocak","Şubat","Mart","Nisan","Mayıs","Haziran","Temmuz","Ağustos","Eylül","Ekim","Kasım","Aralık"},MONTH(B1067)))</f>
        <v/>
      </c>
      <c r="D1067" s="2"/>
      <c r="E1067" s="4" t="str">
        <f>IFERROR(INDEX('Araç Tanımlama'!$D$5:$D$200,MATCH(D1067,'Araç Tanımlama'!$A$5:$A$200,0)),"")</f>
        <v/>
      </c>
      <c r="F1067" s="4" t="str">
        <f>IFERROR(INDEX('Araç Tanımlama'!$E$5:$E$200,MATCH(D1067,'Araç Tanımlama'!$A$5:$A$200,0)),"")</f>
        <v/>
      </c>
      <c r="G1067" s="2"/>
      <c r="H1067" s="7"/>
      <c r="I1067" s="9" t="str">
        <f>IF(OR(G1067="",H1067=""),"",G1067*H1067)</f>
        <v/>
      </c>
      <c r="J1067" s="2"/>
      <c r="K1067" s="2"/>
    </row>
    <row r="1068" spans="1:11">
      <c r="A1068" s="4" t="str">
        <f>IF(D1068="","",COUNTIF($D$5:D1068,"?*"))</f>
        <v/>
      </c>
      <c r="B1068" s="5"/>
      <c r="C1068" s="4" t="str">
        <f>IF(B1068="","",INDEX({"Ocak","Şubat","Mart","Nisan","Mayıs","Haziran","Temmuz","Ağustos","Eylül","Ekim","Kasım","Aralık"},MONTH(B1068)))</f>
        <v/>
      </c>
      <c r="D1068" s="2"/>
      <c r="E1068" s="4" t="str">
        <f>IFERROR(INDEX('Araç Tanımlama'!$D$5:$D$200,MATCH(D1068,'Araç Tanımlama'!$A$5:$A$200,0)),"")</f>
        <v/>
      </c>
      <c r="F1068" s="4" t="str">
        <f>IFERROR(INDEX('Araç Tanımlama'!$E$5:$E$200,MATCH(D1068,'Araç Tanımlama'!$A$5:$A$200,0)),"")</f>
        <v/>
      </c>
      <c r="G1068" s="2"/>
      <c r="H1068" s="7"/>
      <c r="I1068" s="9" t="str">
        <f>IF(OR(G1068="",H1068=""),"",G1068*H1068)</f>
        <v/>
      </c>
      <c r="J1068" s="2"/>
      <c r="K1068" s="2"/>
    </row>
    <row r="1069" spans="1:11">
      <c r="A1069" s="4" t="str">
        <f>IF(D1069="","",COUNTIF($D$5:D1069,"?*"))</f>
        <v/>
      </c>
      <c r="B1069" s="5"/>
      <c r="C1069" s="4" t="str">
        <f>IF(B1069="","",INDEX({"Ocak","Şubat","Mart","Nisan","Mayıs","Haziran","Temmuz","Ağustos","Eylül","Ekim","Kasım","Aralık"},MONTH(B1069)))</f>
        <v/>
      </c>
      <c r="D1069" s="2"/>
      <c r="E1069" s="4" t="str">
        <f>IFERROR(INDEX('Araç Tanımlama'!$D$5:$D$200,MATCH(D1069,'Araç Tanımlama'!$A$5:$A$200,0)),"")</f>
        <v/>
      </c>
      <c r="F1069" s="4" t="str">
        <f>IFERROR(INDEX('Araç Tanımlama'!$E$5:$E$200,MATCH(D1069,'Araç Tanımlama'!$A$5:$A$200,0)),"")</f>
        <v/>
      </c>
      <c r="G1069" s="2"/>
      <c r="H1069" s="7"/>
      <c r="I1069" s="9" t="str">
        <f>IF(OR(G1069="",H1069=""),"",G1069*H1069)</f>
        <v/>
      </c>
      <c r="J1069" s="2"/>
      <c r="K1069" s="2"/>
    </row>
    <row r="1070" spans="1:11">
      <c r="A1070" s="4" t="str">
        <f>IF(D1070="","",COUNTIF($D$5:D1070,"?*"))</f>
        <v/>
      </c>
      <c r="B1070" s="5"/>
      <c r="C1070" s="4" t="str">
        <f>IF(B1070="","",INDEX({"Ocak","Şubat","Mart","Nisan","Mayıs","Haziran","Temmuz","Ağustos","Eylül","Ekim","Kasım","Aralık"},MONTH(B1070)))</f>
        <v/>
      </c>
      <c r="D1070" s="2"/>
      <c r="E1070" s="4" t="str">
        <f>IFERROR(INDEX('Araç Tanımlama'!$D$5:$D$200,MATCH(D1070,'Araç Tanımlama'!$A$5:$A$200,0)),"")</f>
        <v/>
      </c>
      <c r="F1070" s="4" t="str">
        <f>IFERROR(INDEX('Araç Tanımlama'!$E$5:$E$200,MATCH(D1070,'Araç Tanımlama'!$A$5:$A$200,0)),"")</f>
        <v/>
      </c>
      <c r="G1070" s="2"/>
      <c r="H1070" s="7"/>
      <c r="I1070" s="9" t="str">
        <f>IF(OR(G1070="",H1070=""),"",G1070*H1070)</f>
        <v/>
      </c>
      <c r="J1070" s="2"/>
      <c r="K1070" s="2"/>
    </row>
    <row r="1071" spans="1:11">
      <c r="A1071" s="4" t="str">
        <f>IF(D1071="","",COUNTIF($D$5:D1071,"?*"))</f>
        <v/>
      </c>
      <c r="B1071" s="5"/>
      <c r="C1071" s="4" t="str">
        <f>IF(B1071="","",INDEX({"Ocak","Şubat","Mart","Nisan","Mayıs","Haziran","Temmuz","Ağustos","Eylül","Ekim","Kasım","Aralık"},MONTH(B1071)))</f>
        <v/>
      </c>
      <c r="D1071" s="2"/>
      <c r="E1071" s="4" t="str">
        <f>IFERROR(INDEX('Araç Tanımlama'!$D$5:$D$200,MATCH(D1071,'Araç Tanımlama'!$A$5:$A$200,0)),"")</f>
        <v/>
      </c>
      <c r="F1071" s="4" t="str">
        <f>IFERROR(INDEX('Araç Tanımlama'!$E$5:$E$200,MATCH(D1071,'Araç Tanımlama'!$A$5:$A$200,0)),"")</f>
        <v/>
      </c>
      <c r="G1071" s="2"/>
      <c r="H1071" s="7"/>
      <c r="I1071" s="9" t="str">
        <f>IF(OR(G1071="",H1071=""),"",G1071*H1071)</f>
        <v/>
      </c>
      <c r="J1071" s="2"/>
      <c r="K1071" s="2"/>
    </row>
    <row r="1072" spans="1:11">
      <c r="A1072" s="4" t="str">
        <f>IF(D1072="","",COUNTIF($D$5:D1072,"?*"))</f>
        <v/>
      </c>
      <c r="B1072" s="5"/>
      <c r="C1072" s="4" t="str">
        <f>IF(B1072="","",INDEX({"Ocak","Şubat","Mart","Nisan","Mayıs","Haziran","Temmuz","Ağustos","Eylül","Ekim","Kasım","Aralık"},MONTH(B1072)))</f>
        <v/>
      </c>
      <c r="D1072" s="2"/>
      <c r="E1072" s="4" t="str">
        <f>IFERROR(INDEX('Araç Tanımlama'!$D$5:$D$200,MATCH(D1072,'Araç Tanımlama'!$A$5:$A$200,0)),"")</f>
        <v/>
      </c>
      <c r="F1072" s="4" t="str">
        <f>IFERROR(INDEX('Araç Tanımlama'!$E$5:$E$200,MATCH(D1072,'Araç Tanımlama'!$A$5:$A$200,0)),"")</f>
        <v/>
      </c>
      <c r="G1072" s="2"/>
      <c r="H1072" s="7"/>
      <c r="I1072" s="9" t="str">
        <f>IF(OR(G1072="",H1072=""),"",G1072*H1072)</f>
        <v/>
      </c>
      <c r="J1072" s="2"/>
      <c r="K1072" s="2"/>
    </row>
    <row r="1073" spans="1:11">
      <c r="A1073" s="4" t="str">
        <f>IF(D1073="","",COUNTIF($D$5:D1073,"?*"))</f>
        <v/>
      </c>
      <c r="B1073" s="5"/>
      <c r="C1073" s="4" t="str">
        <f>IF(B1073="","",INDEX({"Ocak","Şubat","Mart","Nisan","Mayıs","Haziran","Temmuz","Ağustos","Eylül","Ekim","Kasım","Aralık"},MONTH(B1073)))</f>
        <v/>
      </c>
      <c r="D1073" s="2"/>
      <c r="E1073" s="4" t="str">
        <f>IFERROR(INDEX('Araç Tanımlama'!$D$5:$D$200,MATCH(D1073,'Araç Tanımlama'!$A$5:$A$200,0)),"")</f>
        <v/>
      </c>
      <c r="F1073" s="4" t="str">
        <f>IFERROR(INDEX('Araç Tanımlama'!$E$5:$E$200,MATCH(D1073,'Araç Tanımlama'!$A$5:$A$200,0)),"")</f>
        <v/>
      </c>
      <c r="G1073" s="2"/>
      <c r="H1073" s="7"/>
      <c r="I1073" s="9" t="str">
        <f>IF(OR(G1073="",H1073=""),"",G1073*H1073)</f>
        <v/>
      </c>
      <c r="J1073" s="2"/>
      <c r="K1073" s="2"/>
    </row>
    <row r="1074" spans="1:11">
      <c r="A1074" s="4" t="str">
        <f>IF(D1074="","",COUNTIF($D$5:D1074,"?*"))</f>
        <v/>
      </c>
      <c r="B1074" s="5"/>
      <c r="C1074" s="4" t="str">
        <f>IF(B1074="","",INDEX({"Ocak","Şubat","Mart","Nisan","Mayıs","Haziran","Temmuz","Ağustos","Eylül","Ekim","Kasım","Aralık"},MONTH(B1074)))</f>
        <v/>
      </c>
      <c r="D1074" s="2"/>
      <c r="E1074" s="4" t="str">
        <f>IFERROR(INDEX('Araç Tanımlama'!$D$5:$D$200,MATCH(D1074,'Araç Tanımlama'!$A$5:$A$200,0)),"")</f>
        <v/>
      </c>
      <c r="F1074" s="4" t="str">
        <f>IFERROR(INDEX('Araç Tanımlama'!$E$5:$E$200,MATCH(D1074,'Araç Tanımlama'!$A$5:$A$200,0)),"")</f>
        <v/>
      </c>
      <c r="G1074" s="2"/>
      <c r="H1074" s="7"/>
      <c r="I1074" s="9" t="str">
        <f>IF(OR(G1074="",H1074=""),"",G1074*H1074)</f>
        <v/>
      </c>
      <c r="J1074" s="2"/>
      <c r="K1074" s="2"/>
    </row>
    <row r="1075" spans="1:11">
      <c r="A1075" s="4" t="str">
        <f>IF(D1075="","",COUNTIF($D$5:D1075,"?*"))</f>
        <v/>
      </c>
      <c r="B1075" s="5"/>
      <c r="C1075" s="4" t="str">
        <f>IF(B1075="","",INDEX({"Ocak","Şubat","Mart","Nisan","Mayıs","Haziran","Temmuz","Ağustos","Eylül","Ekim","Kasım","Aralık"},MONTH(B1075)))</f>
        <v/>
      </c>
      <c r="D1075" s="2"/>
      <c r="E1075" s="4" t="str">
        <f>IFERROR(INDEX('Araç Tanımlama'!$D$5:$D$200,MATCH(D1075,'Araç Tanımlama'!$A$5:$A$200,0)),"")</f>
        <v/>
      </c>
      <c r="F1075" s="4" t="str">
        <f>IFERROR(INDEX('Araç Tanımlama'!$E$5:$E$200,MATCH(D1075,'Araç Tanımlama'!$A$5:$A$200,0)),"")</f>
        <v/>
      </c>
      <c r="G1075" s="2"/>
      <c r="H1075" s="7"/>
      <c r="I1075" s="9" t="str">
        <f>IF(OR(G1075="",H1075=""),"",G1075*H1075)</f>
        <v/>
      </c>
      <c r="J1075" s="2"/>
      <c r="K1075" s="2"/>
    </row>
    <row r="1076" spans="1:11">
      <c r="A1076" s="4" t="str">
        <f>IF(D1076="","",COUNTIF($D$5:D1076,"?*"))</f>
        <v/>
      </c>
      <c r="B1076" s="5"/>
      <c r="C1076" s="4" t="str">
        <f>IF(B1076="","",INDEX({"Ocak","Şubat","Mart","Nisan","Mayıs","Haziran","Temmuz","Ağustos","Eylül","Ekim","Kasım","Aralık"},MONTH(B1076)))</f>
        <v/>
      </c>
      <c r="D1076" s="2"/>
      <c r="E1076" s="4" t="str">
        <f>IFERROR(INDEX('Araç Tanımlama'!$D$5:$D$200,MATCH(D1076,'Araç Tanımlama'!$A$5:$A$200,0)),"")</f>
        <v/>
      </c>
      <c r="F1076" s="4" t="str">
        <f>IFERROR(INDEX('Araç Tanımlama'!$E$5:$E$200,MATCH(D1076,'Araç Tanımlama'!$A$5:$A$200,0)),"")</f>
        <v/>
      </c>
      <c r="G1076" s="2"/>
      <c r="H1076" s="7"/>
      <c r="I1076" s="9" t="str">
        <f>IF(OR(G1076="",H1076=""),"",G1076*H1076)</f>
        <v/>
      </c>
      <c r="J1076" s="2"/>
      <c r="K1076" s="2"/>
    </row>
    <row r="1077" spans="1:11">
      <c r="A1077" s="4" t="str">
        <f>IF(D1077="","",COUNTIF($D$5:D1077,"?*"))</f>
        <v/>
      </c>
      <c r="B1077" s="5"/>
      <c r="C1077" s="4" t="str">
        <f>IF(B1077="","",INDEX({"Ocak","Şubat","Mart","Nisan","Mayıs","Haziran","Temmuz","Ağustos","Eylül","Ekim","Kasım","Aralık"},MONTH(B1077)))</f>
        <v/>
      </c>
      <c r="D1077" s="2"/>
      <c r="E1077" s="4" t="str">
        <f>IFERROR(INDEX('Araç Tanımlama'!$D$5:$D$200,MATCH(D1077,'Araç Tanımlama'!$A$5:$A$200,0)),"")</f>
        <v/>
      </c>
      <c r="F1077" s="4" t="str">
        <f>IFERROR(INDEX('Araç Tanımlama'!$E$5:$E$200,MATCH(D1077,'Araç Tanımlama'!$A$5:$A$200,0)),"")</f>
        <v/>
      </c>
      <c r="G1077" s="2"/>
      <c r="H1077" s="7"/>
      <c r="I1077" s="9" t="str">
        <f>IF(OR(G1077="",H1077=""),"",G1077*H1077)</f>
        <v/>
      </c>
      <c r="J1077" s="2"/>
      <c r="K1077" s="2"/>
    </row>
    <row r="1078" spans="1:11">
      <c r="A1078" s="4" t="str">
        <f>IF(D1078="","",COUNTIF($D$5:D1078,"?*"))</f>
        <v/>
      </c>
      <c r="B1078" s="5"/>
      <c r="C1078" s="4" t="str">
        <f>IF(B1078="","",INDEX({"Ocak","Şubat","Mart","Nisan","Mayıs","Haziran","Temmuz","Ağustos","Eylül","Ekim","Kasım","Aralık"},MONTH(B1078)))</f>
        <v/>
      </c>
      <c r="D1078" s="2"/>
      <c r="E1078" s="4" t="str">
        <f>IFERROR(INDEX('Araç Tanımlama'!$D$5:$D$200,MATCH(D1078,'Araç Tanımlama'!$A$5:$A$200,0)),"")</f>
        <v/>
      </c>
      <c r="F1078" s="4" t="str">
        <f>IFERROR(INDEX('Araç Tanımlama'!$E$5:$E$200,MATCH(D1078,'Araç Tanımlama'!$A$5:$A$200,0)),"")</f>
        <v/>
      </c>
      <c r="G1078" s="2"/>
      <c r="H1078" s="7"/>
      <c r="I1078" s="9" t="str">
        <f>IF(OR(G1078="",H1078=""),"",G1078*H1078)</f>
        <v/>
      </c>
      <c r="J1078" s="2"/>
      <c r="K1078" s="2"/>
    </row>
    <row r="1079" spans="1:11">
      <c r="A1079" s="4" t="str">
        <f>IF(D1079="","",COUNTIF($D$5:D1079,"?*"))</f>
        <v/>
      </c>
      <c r="B1079" s="5"/>
      <c r="C1079" s="4" t="str">
        <f>IF(B1079="","",INDEX({"Ocak","Şubat","Mart","Nisan","Mayıs","Haziran","Temmuz","Ağustos","Eylül","Ekim","Kasım","Aralık"},MONTH(B1079)))</f>
        <v/>
      </c>
      <c r="D1079" s="2"/>
      <c r="E1079" s="4" t="str">
        <f>IFERROR(INDEX('Araç Tanımlama'!$D$5:$D$200,MATCH(D1079,'Araç Tanımlama'!$A$5:$A$200,0)),"")</f>
        <v/>
      </c>
      <c r="F1079" s="4" t="str">
        <f>IFERROR(INDEX('Araç Tanımlama'!$E$5:$E$200,MATCH(D1079,'Araç Tanımlama'!$A$5:$A$200,0)),"")</f>
        <v/>
      </c>
      <c r="G1079" s="2"/>
      <c r="H1079" s="7"/>
      <c r="I1079" s="9" t="str">
        <f>IF(OR(G1079="",H1079=""),"",G1079*H1079)</f>
        <v/>
      </c>
      <c r="J1079" s="2"/>
      <c r="K1079" s="2"/>
    </row>
    <row r="1080" spans="1:11">
      <c r="A1080" s="4" t="str">
        <f>IF(D1080="","",COUNTIF($D$5:D1080,"?*"))</f>
        <v/>
      </c>
      <c r="B1080" s="5"/>
      <c r="C1080" s="4" t="str">
        <f>IF(B1080="","",INDEX({"Ocak","Şubat","Mart","Nisan","Mayıs","Haziran","Temmuz","Ağustos","Eylül","Ekim","Kasım","Aralık"},MONTH(B1080)))</f>
        <v/>
      </c>
      <c r="D1080" s="2"/>
      <c r="E1080" s="4" t="str">
        <f>IFERROR(INDEX('Araç Tanımlama'!$D$5:$D$200,MATCH(D1080,'Araç Tanımlama'!$A$5:$A$200,0)),"")</f>
        <v/>
      </c>
      <c r="F1080" s="4" t="str">
        <f>IFERROR(INDEX('Araç Tanımlama'!$E$5:$E$200,MATCH(D1080,'Araç Tanımlama'!$A$5:$A$200,0)),"")</f>
        <v/>
      </c>
      <c r="G1080" s="2"/>
      <c r="H1080" s="7"/>
      <c r="I1080" s="9" t="str">
        <f>IF(OR(G1080="",H1080=""),"",G1080*H1080)</f>
        <v/>
      </c>
      <c r="J1080" s="2"/>
      <c r="K1080" s="2"/>
    </row>
    <row r="1081" spans="1:11">
      <c r="A1081" s="4" t="str">
        <f>IF(D1081="","",COUNTIF($D$5:D1081,"?*"))</f>
        <v/>
      </c>
      <c r="B1081" s="5"/>
      <c r="C1081" s="4" t="str">
        <f>IF(B1081="","",INDEX({"Ocak","Şubat","Mart","Nisan","Mayıs","Haziran","Temmuz","Ağustos","Eylül","Ekim","Kasım","Aralık"},MONTH(B1081)))</f>
        <v/>
      </c>
      <c r="D1081" s="2"/>
      <c r="E1081" s="4" t="str">
        <f>IFERROR(INDEX('Araç Tanımlama'!$D$5:$D$200,MATCH(D1081,'Araç Tanımlama'!$A$5:$A$200,0)),"")</f>
        <v/>
      </c>
      <c r="F1081" s="4" t="str">
        <f>IFERROR(INDEX('Araç Tanımlama'!$E$5:$E$200,MATCH(D1081,'Araç Tanımlama'!$A$5:$A$200,0)),"")</f>
        <v/>
      </c>
      <c r="G1081" s="2"/>
      <c r="H1081" s="7"/>
      <c r="I1081" s="9" t="str">
        <f>IF(OR(G1081="",H1081=""),"",G1081*H1081)</f>
        <v/>
      </c>
      <c r="J1081" s="2"/>
      <c r="K1081" s="2"/>
    </row>
    <row r="1082" spans="1:11">
      <c r="A1082" s="4" t="str">
        <f>IF(D1082="","",COUNTIF($D$5:D1082,"?*"))</f>
        <v/>
      </c>
      <c r="B1082" s="5"/>
      <c r="C1082" s="4" t="str">
        <f>IF(B1082="","",INDEX({"Ocak","Şubat","Mart","Nisan","Mayıs","Haziran","Temmuz","Ağustos","Eylül","Ekim","Kasım","Aralık"},MONTH(B1082)))</f>
        <v/>
      </c>
      <c r="D1082" s="2"/>
      <c r="E1082" s="4" t="str">
        <f>IFERROR(INDEX('Araç Tanımlama'!$D$5:$D$200,MATCH(D1082,'Araç Tanımlama'!$A$5:$A$200,0)),"")</f>
        <v/>
      </c>
      <c r="F1082" s="4" t="str">
        <f>IFERROR(INDEX('Araç Tanımlama'!$E$5:$E$200,MATCH(D1082,'Araç Tanımlama'!$A$5:$A$200,0)),"")</f>
        <v/>
      </c>
      <c r="G1082" s="2"/>
      <c r="H1082" s="7"/>
      <c r="I1082" s="9" t="str">
        <f>IF(OR(G1082="",H1082=""),"",G1082*H1082)</f>
        <v/>
      </c>
      <c r="J1082" s="2"/>
      <c r="K1082" s="2"/>
    </row>
    <row r="1083" spans="1:11">
      <c r="A1083" s="4" t="str">
        <f>IF(D1083="","",COUNTIF($D$5:D1083,"?*"))</f>
        <v/>
      </c>
      <c r="B1083" s="5"/>
      <c r="C1083" s="4" t="str">
        <f>IF(B1083="","",INDEX({"Ocak","Şubat","Mart","Nisan","Mayıs","Haziran","Temmuz","Ağustos","Eylül","Ekim","Kasım","Aralık"},MONTH(B1083)))</f>
        <v/>
      </c>
      <c r="D1083" s="2"/>
      <c r="E1083" s="4" t="str">
        <f>IFERROR(INDEX('Araç Tanımlama'!$D$5:$D$200,MATCH(D1083,'Araç Tanımlama'!$A$5:$A$200,0)),"")</f>
        <v/>
      </c>
      <c r="F1083" s="4" t="str">
        <f>IFERROR(INDEX('Araç Tanımlama'!$E$5:$E$200,MATCH(D1083,'Araç Tanımlama'!$A$5:$A$200,0)),"")</f>
        <v/>
      </c>
      <c r="G1083" s="2"/>
      <c r="H1083" s="7"/>
      <c r="I1083" s="9" t="str">
        <f>IF(OR(G1083="",H1083=""),"",G1083*H1083)</f>
        <v/>
      </c>
      <c r="J1083" s="2"/>
      <c r="K1083" s="2"/>
    </row>
    <row r="1084" spans="1:11">
      <c r="A1084" s="4" t="str">
        <f>IF(D1084="","",COUNTIF($D$5:D1084,"?*"))</f>
        <v/>
      </c>
      <c r="B1084" s="5"/>
      <c r="C1084" s="4" t="str">
        <f>IF(B1084="","",INDEX({"Ocak","Şubat","Mart","Nisan","Mayıs","Haziran","Temmuz","Ağustos","Eylül","Ekim","Kasım","Aralık"},MONTH(B1084)))</f>
        <v/>
      </c>
      <c r="D1084" s="2"/>
      <c r="E1084" s="4" t="str">
        <f>IFERROR(INDEX('Araç Tanımlama'!$D$5:$D$200,MATCH(D1084,'Araç Tanımlama'!$A$5:$A$200,0)),"")</f>
        <v/>
      </c>
      <c r="F1084" s="4" t="str">
        <f>IFERROR(INDEX('Araç Tanımlama'!$E$5:$E$200,MATCH(D1084,'Araç Tanımlama'!$A$5:$A$200,0)),"")</f>
        <v/>
      </c>
      <c r="G1084" s="2"/>
      <c r="H1084" s="7"/>
      <c r="I1084" s="9" t="str">
        <f>IF(OR(G1084="",H1084=""),"",G1084*H1084)</f>
        <v/>
      </c>
      <c r="J1084" s="2"/>
      <c r="K1084" s="2"/>
    </row>
    <row r="1085" spans="1:11">
      <c r="A1085" s="4" t="str">
        <f>IF(D1085="","",COUNTIF($D$5:D1085,"?*"))</f>
        <v/>
      </c>
      <c r="B1085" s="5"/>
      <c r="C1085" s="4" t="str">
        <f>IF(B1085="","",INDEX({"Ocak","Şubat","Mart","Nisan","Mayıs","Haziran","Temmuz","Ağustos","Eylül","Ekim","Kasım","Aralık"},MONTH(B1085)))</f>
        <v/>
      </c>
      <c r="D1085" s="2"/>
      <c r="E1085" s="4" t="str">
        <f>IFERROR(INDEX('Araç Tanımlama'!$D$5:$D$200,MATCH(D1085,'Araç Tanımlama'!$A$5:$A$200,0)),"")</f>
        <v/>
      </c>
      <c r="F1085" s="4" t="str">
        <f>IFERROR(INDEX('Araç Tanımlama'!$E$5:$E$200,MATCH(D1085,'Araç Tanımlama'!$A$5:$A$200,0)),"")</f>
        <v/>
      </c>
      <c r="G1085" s="2"/>
      <c r="H1085" s="7"/>
      <c r="I1085" s="9" t="str">
        <f>IF(OR(G1085="",H1085=""),"",G1085*H1085)</f>
        <v/>
      </c>
      <c r="J1085" s="2"/>
      <c r="K1085" s="2"/>
    </row>
    <row r="1086" spans="1:11">
      <c r="A1086" s="4" t="str">
        <f>IF(D1086="","",COUNTIF($D$5:D1086,"?*"))</f>
        <v/>
      </c>
      <c r="B1086" s="5"/>
      <c r="C1086" s="4" t="str">
        <f>IF(B1086="","",INDEX({"Ocak","Şubat","Mart","Nisan","Mayıs","Haziran","Temmuz","Ağustos","Eylül","Ekim","Kasım","Aralık"},MONTH(B1086)))</f>
        <v/>
      </c>
      <c r="D1086" s="2"/>
      <c r="E1086" s="4" t="str">
        <f>IFERROR(INDEX('Araç Tanımlama'!$D$5:$D$200,MATCH(D1086,'Araç Tanımlama'!$A$5:$A$200,0)),"")</f>
        <v/>
      </c>
      <c r="F1086" s="4" t="str">
        <f>IFERROR(INDEX('Araç Tanımlama'!$E$5:$E$200,MATCH(D1086,'Araç Tanımlama'!$A$5:$A$200,0)),"")</f>
        <v/>
      </c>
      <c r="G1086" s="2"/>
      <c r="H1086" s="7"/>
      <c r="I1086" s="9" t="str">
        <f>IF(OR(G1086="",H1086=""),"",G1086*H1086)</f>
        <v/>
      </c>
      <c r="J1086" s="2"/>
      <c r="K1086" s="2"/>
    </row>
    <row r="1087" spans="1:11">
      <c r="A1087" s="4" t="str">
        <f>IF(D1087="","",COUNTIF($D$5:D1087,"?*"))</f>
        <v/>
      </c>
      <c r="B1087" s="5"/>
      <c r="C1087" s="4" t="str">
        <f>IF(B1087="","",INDEX({"Ocak","Şubat","Mart","Nisan","Mayıs","Haziran","Temmuz","Ağustos","Eylül","Ekim","Kasım","Aralık"},MONTH(B1087)))</f>
        <v/>
      </c>
      <c r="D1087" s="2"/>
      <c r="E1087" s="4" t="str">
        <f>IFERROR(INDEX('Araç Tanımlama'!$D$5:$D$200,MATCH(D1087,'Araç Tanımlama'!$A$5:$A$200,0)),"")</f>
        <v/>
      </c>
      <c r="F1087" s="4" t="str">
        <f>IFERROR(INDEX('Araç Tanımlama'!$E$5:$E$200,MATCH(D1087,'Araç Tanımlama'!$A$5:$A$200,0)),"")</f>
        <v/>
      </c>
      <c r="G1087" s="2"/>
      <c r="H1087" s="7"/>
      <c r="I1087" s="9" t="str">
        <f>IF(OR(G1087="",H1087=""),"",G1087*H1087)</f>
        <v/>
      </c>
      <c r="J1087" s="2"/>
      <c r="K1087" s="2"/>
    </row>
    <row r="1088" spans="1:11">
      <c r="A1088" s="4" t="str">
        <f>IF(D1088="","",COUNTIF($D$5:D1088,"?*"))</f>
        <v/>
      </c>
      <c r="B1088" s="5"/>
      <c r="C1088" s="4" t="str">
        <f>IF(B1088="","",INDEX({"Ocak","Şubat","Mart","Nisan","Mayıs","Haziran","Temmuz","Ağustos","Eylül","Ekim","Kasım","Aralık"},MONTH(B1088)))</f>
        <v/>
      </c>
      <c r="D1088" s="2"/>
      <c r="E1088" s="4" t="str">
        <f>IFERROR(INDEX('Araç Tanımlama'!$D$5:$D$200,MATCH(D1088,'Araç Tanımlama'!$A$5:$A$200,0)),"")</f>
        <v/>
      </c>
      <c r="F1088" s="4" t="str">
        <f>IFERROR(INDEX('Araç Tanımlama'!$E$5:$E$200,MATCH(D1088,'Araç Tanımlama'!$A$5:$A$200,0)),"")</f>
        <v/>
      </c>
      <c r="G1088" s="2"/>
      <c r="H1088" s="7"/>
      <c r="I1088" s="9" t="str">
        <f>IF(OR(G1088="",H1088=""),"",G1088*H1088)</f>
        <v/>
      </c>
      <c r="J1088" s="2"/>
      <c r="K1088" s="2"/>
    </row>
    <row r="1089" spans="1:11">
      <c r="A1089" s="4" t="str">
        <f>IF(D1089="","",COUNTIF($D$5:D1089,"?*"))</f>
        <v/>
      </c>
      <c r="B1089" s="5"/>
      <c r="C1089" s="4" t="str">
        <f>IF(B1089="","",INDEX({"Ocak","Şubat","Mart","Nisan","Mayıs","Haziran","Temmuz","Ağustos","Eylül","Ekim","Kasım","Aralık"},MONTH(B1089)))</f>
        <v/>
      </c>
      <c r="D1089" s="2"/>
      <c r="E1089" s="4" t="str">
        <f>IFERROR(INDEX('Araç Tanımlama'!$D$5:$D$200,MATCH(D1089,'Araç Tanımlama'!$A$5:$A$200,0)),"")</f>
        <v/>
      </c>
      <c r="F1089" s="4" t="str">
        <f>IFERROR(INDEX('Araç Tanımlama'!$E$5:$E$200,MATCH(D1089,'Araç Tanımlama'!$A$5:$A$200,0)),"")</f>
        <v/>
      </c>
      <c r="G1089" s="2"/>
      <c r="H1089" s="7"/>
      <c r="I1089" s="9" t="str">
        <f>IF(OR(G1089="",H1089=""),"",G1089*H1089)</f>
        <v/>
      </c>
      <c r="J1089" s="2"/>
      <c r="K1089" s="2"/>
    </row>
    <row r="1090" spans="1:11">
      <c r="A1090" s="4" t="str">
        <f>IF(D1090="","",COUNTIF($D$5:D1090,"?*"))</f>
        <v/>
      </c>
      <c r="B1090" s="5"/>
      <c r="C1090" s="4" t="str">
        <f>IF(B1090="","",INDEX({"Ocak","Şubat","Mart","Nisan","Mayıs","Haziran","Temmuz","Ağustos","Eylül","Ekim","Kasım","Aralık"},MONTH(B1090)))</f>
        <v/>
      </c>
      <c r="D1090" s="2"/>
      <c r="E1090" s="4" t="str">
        <f>IFERROR(INDEX('Araç Tanımlama'!$D$5:$D$200,MATCH(D1090,'Araç Tanımlama'!$A$5:$A$200,0)),"")</f>
        <v/>
      </c>
      <c r="F1090" s="4" t="str">
        <f>IFERROR(INDEX('Araç Tanımlama'!$E$5:$E$200,MATCH(D1090,'Araç Tanımlama'!$A$5:$A$200,0)),"")</f>
        <v/>
      </c>
      <c r="G1090" s="2"/>
      <c r="H1090" s="7"/>
      <c r="I1090" s="9" t="str">
        <f>IF(OR(G1090="",H1090=""),"",G1090*H1090)</f>
        <v/>
      </c>
      <c r="J1090" s="2"/>
      <c r="K1090" s="2"/>
    </row>
    <row r="1091" spans="1:11">
      <c r="A1091" s="4" t="str">
        <f>IF(D1091="","",COUNTIF($D$5:D1091,"?*"))</f>
        <v/>
      </c>
      <c r="B1091" s="5"/>
      <c r="C1091" s="4" t="str">
        <f>IF(B1091="","",INDEX({"Ocak","Şubat","Mart","Nisan","Mayıs","Haziran","Temmuz","Ağustos","Eylül","Ekim","Kasım","Aralık"},MONTH(B1091)))</f>
        <v/>
      </c>
      <c r="D1091" s="2"/>
      <c r="E1091" s="4" t="str">
        <f>IFERROR(INDEX('Araç Tanımlama'!$D$5:$D$200,MATCH(D1091,'Araç Tanımlama'!$A$5:$A$200,0)),"")</f>
        <v/>
      </c>
      <c r="F1091" s="4" t="str">
        <f>IFERROR(INDEX('Araç Tanımlama'!$E$5:$E$200,MATCH(D1091,'Araç Tanımlama'!$A$5:$A$200,0)),"")</f>
        <v/>
      </c>
      <c r="G1091" s="2"/>
      <c r="H1091" s="7"/>
      <c r="I1091" s="9" t="str">
        <f>IF(OR(G1091="",H1091=""),"",G1091*H1091)</f>
        <v/>
      </c>
      <c r="J1091" s="2"/>
      <c r="K1091" s="2"/>
    </row>
    <row r="1092" spans="1:11">
      <c r="A1092" s="4" t="str">
        <f>IF(D1092="","",COUNTIF($D$5:D1092,"?*"))</f>
        <v/>
      </c>
      <c r="B1092" s="5"/>
      <c r="C1092" s="4" t="str">
        <f>IF(B1092="","",INDEX({"Ocak","Şubat","Mart","Nisan","Mayıs","Haziran","Temmuz","Ağustos","Eylül","Ekim","Kasım","Aralık"},MONTH(B1092)))</f>
        <v/>
      </c>
      <c r="D1092" s="2"/>
      <c r="E1092" s="4" t="str">
        <f>IFERROR(INDEX('Araç Tanımlama'!$D$5:$D$200,MATCH(D1092,'Araç Tanımlama'!$A$5:$A$200,0)),"")</f>
        <v/>
      </c>
      <c r="F1092" s="4" t="str">
        <f>IFERROR(INDEX('Araç Tanımlama'!$E$5:$E$200,MATCH(D1092,'Araç Tanımlama'!$A$5:$A$200,0)),"")</f>
        <v/>
      </c>
      <c r="G1092" s="2"/>
      <c r="H1092" s="7"/>
      <c r="I1092" s="9" t="str">
        <f>IF(OR(G1092="",H1092=""),"",G1092*H1092)</f>
        <v/>
      </c>
      <c r="J1092" s="2"/>
      <c r="K1092" s="2"/>
    </row>
    <row r="1093" spans="1:11">
      <c r="A1093" s="4" t="str">
        <f>IF(D1093="","",COUNTIF($D$5:D1093,"?*"))</f>
        <v/>
      </c>
      <c r="B1093" s="5"/>
      <c r="C1093" s="4" t="str">
        <f>IF(B1093="","",INDEX({"Ocak","Şubat","Mart","Nisan","Mayıs","Haziran","Temmuz","Ağustos","Eylül","Ekim","Kasım","Aralık"},MONTH(B1093)))</f>
        <v/>
      </c>
      <c r="D1093" s="2"/>
      <c r="E1093" s="4" t="str">
        <f>IFERROR(INDEX('Araç Tanımlama'!$D$5:$D$200,MATCH(D1093,'Araç Tanımlama'!$A$5:$A$200,0)),"")</f>
        <v/>
      </c>
      <c r="F1093" s="4" t="str">
        <f>IFERROR(INDEX('Araç Tanımlama'!$E$5:$E$200,MATCH(D1093,'Araç Tanımlama'!$A$5:$A$200,0)),"")</f>
        <v/>
      </c>
      <c r="G1093" s="2"/>
      <c r="H1093" s="7"/>
      <c r="I1093" s="9" t="str">
        <f>IF(OR(G1093="",H1093=""),"",G1093*H1093)</f>
        <v/>
      </c>
      <c r="J1093" s="2"/>
      <c r="K1093" s="2"/>
    </row>
    <row r="1094" spans="1:11">
      <c r="A1094" s="4" t="str">
        <f>IF(D1094="","",COUNTIF($D$5:D1094,"?*"))</f>
        <v/>
      </c>
      <c r="B1094" s="5"/>
      <c r="C1094" s="4" t="str">
        <f>IF(B1094="","",INDEX({"Ocak","Şubat","Mart","Nisan","Mayıs","Haziran","Temmuz","Ağustos","Eylül","Ekim","Kasım","Aralık"},MONTH(B1094)))</f>
        <v/>
      </c>
      <c r="D1094" s="2"/>
      <c r="E1094" s="4" t="str">
        <f>IFERROR(INDEX('Araç Tanımlama'!$D$5:$D$200,MATCH(D1094,'Araç Tanımlama'!$A$5:$A$200,0)),"")</f>
        <v/>
      </c>
      <c r="F1094" s="4" t="str">
        <f>IFERROR(INDEX('Araç Tanımlama'!$E$5:$E$200,MATCH(D1094,'Araç Tanımlama'!$A$5:$A$200,0)),"")</f>
        <v/>
      </c>
      <c r="G1094" s="2"/>
      <c r="H1094" s="7"/>
      <c r="I1094" s="9" t="str">
        <f>IF(OR(G1094="",H1094=""),"",G1094*H1094)</f>
        <v/>
      </c>
      <c r="J1094" s="2"/>
      <c r="K1094" s="2"/>
    </row>
    <row r="1095" spans="1:11">
      <c r="A1095" s="4" t="str">
        <f>IF(D1095="","",COUNTIF($D$5:D1095,"?*"))</f>
        <v/>
      </c>
      <c r="B1095" s="5"/>
      <c r="C1095" s="4" t="str">
        <f>IF(B1095="","",INDEX({"Ocak","Şubat","Mart","Nisan","Mayıs","Haziran","Temmuz","Ağustos","Eylül","Ekim","Kasım","Aralık"},MONTH(B1095)))</f>
        <v/>
      </c>
      <c r="D1095" s="2"/>
      <c r="E1095" s="4" t="str">
        <f>IFERROR(INDEX('Araç Tanımlama'!$D$5:$D$200,MATCH(D1095,'Araç Tanımlama'!$A$5:$A$200,0)),"")</f>
        <v/>
      </c>
      <c r="F1095" s="4" t="str">
        <f>IFERROR(INDEX('Araç Tanımlama'!$E$5:$E$200,MATCH(D1095,'Araç Tanımlama'!$A$5:$A$200,0)),"")</f>
        <v/>
      </c>
      <c r="G1095" s="2"/>
      <c r="H1095" s="7"/>
      <c r="I1095" s="9" t="str">
        <f>IF(OR(G1095="",H1095=""),"",G1095*H1095)</f>
        <v/>
      </c>
      <c r="J1095" s="2"/>
      <c r="K1095" s="2"/>
    </row>
    <row r="1096" spans="1:11">
      <c r="A1096" s="4" t="str">
        <f>IF(D1096="","",COUNTIF($D$5:D1096,"?*"))</f>
        <v/>
      </c>
      <c r="B1096" s="5"/>
      <c r="C1096" s="4" t="str">
        <f>IF(B1096="","",INDEX({"Ocak","Şubat","Mart","Nisan","Mayıs","Haziran","Temmuz","Ağustos","Eylül","Ekim","Kasım","Aralık"},MONTH(B1096)))</f>
        <v/>
      </c>
      <c r="D1096" s="2"/>
      <c r="E1096" s="4" t="str">
        <f>IFERROR(INDEX('Araç Tanımlama'!$D$5:$D$200,MATCH(D1096,'Araç Tanımlama'!$A$5:$A$200,0)),"")</f>
        <v/>
      </c>
      <c r="F1096" s="4" t="str">
        <f>IFERROR(INDEX('Araç Tanımlama'!$E$5:$E$200,MATCH(D1096,'Araç Tanımlama'!$A$5:$A$200,0)),"")</f>
        <v/>
      </c>
      <c r="G1096" s="2"/>
      <c r="H1096" s="7"/>
      <c r="I1096" s="9" t="str">
        <f>IF(OR(G1096="",H1096=""),"",G1096*H1096)</f>
        <v/>
      </c>
      <c r="J1096" s="2"/>
      <c r="K1096" s="2"/>
    </row>
    <row r="1097" spans="1:11">
      <c r="A1097" s="4" t="str">
        <f>IF(D1097="","",COUNTIF($D$5:D1097,"?*"))</f>
        <v/>
      </c>
      <c r="B1097" s="5"/>
      <c r="C1097" s="4" t="str">
        <f>IF(B1097="","",INDEX({"Ocak","Şubat","Mart","Nisan","Mayıs","Haziran","Temmuz","Ağustos","Eylül","Ekim","Kasım","Aralık"},MONTH(B1097)))</f>
        <v/>
      </c>
      <c r="D1097" s="2"/>
      <c r="E1097" s="4" t="str">
        <f>IFERROR(INDEX('Araç Tanımlama'!$D$5:$D$200,MATCH(D1097,'Araç Tanımlama'!$A$5:$A$200,0)),"")</f>
        <v/>
      </c>
      <c r="F1097" s="4" t="str">
        <f>IFERROR(INDEX('Araç Tanımlama'!$E$5:$E$200,MATCH(D1097,'Araç Tanımlama'!$A$5:$A$200,0)),"")</f>
        <v/>
      </c>
      <c r="G1097" s="2"/>
      <c r="H1097" s="7"/>
      <c r="I1097" s="9" t="str">
        <f>IF(OR(G1097="",H1097=""),"",G1097*H1097)</f>
        <v/>
      </c>
      <c r="J1097" s="2"/>
      <c r="K1097" s="2"/>
    </row>
    <row r="1098" spans="1:11">
      <c r="A1098" s="4" t="str">
        <f>IF(D1098="","",COUNTIF($D$5:D1098,"?*"))</f>
        <v/>
      </c>
      <c r="B1098" s="5"/>
      <c r="C1098" s="4" t="str">
        <f>IF(B1098="","",INDEX({"Ocak","Şubat","Mart","Nisan","Mayıs","Haziran","Temmuz","Ağustos","Eylül","Ekim","Kasım","Aralık"},MONTH(B1098)))</f>
        <v/>
      </c>
      <c r="D1098" s="2"/>
      <c r="E1098" s="4" t="str">
        <f>IFERROR(INDEX('Araç Tanımlama'!$D$5:$D$200,MATCH(D1098,'Araç Tanımlama'!$A$5:$A$200,0)),"")</f>
        <v/>
      </c>
      <c r="F1098" s="4" t="str">
        <f>IFERROR(INDEX('Araç Tanımlama'!$E$5:$E$200,MATCH(D1098,'Araç Tanımlama'!$A$5:$A$200,0)),"")</f>
        <v/>
      </c>
      <c r="G1098" s="2"/>
      <c r="H1098" s="7"/>
      <c r="I1098" s="9" t="str">
        <f>IF(OR(G1098="",H1098=""),"",G1098*H1098)</f>
        <v/>
      </c>
      <c r="J1098" s="2"/>
      <c r="K1098" s="2"/>
    </row>
    <row r="1099" spans="1:11">
      <c r="A1099" s="4" t="str">
        <f>IF(D1099="","",COUNTIF($D$5:D1099,"?*"))</f>
        <v/>
      </c>
      <c r="B1099" s="5"/>
      <c r="C1099" s="4" t="str">
        <f>IF(B1099="","",INDEX({"Ocak","Şubat","Mart","Nisan","Mayıs","Haziran","Temmuz","Ağustos","Eylül","Ekim","Kasım","Aralık"},MONTH(B1099)))</f>
        <v/>
      </c>
      <c r="D1099" s="2"/>
      <c r="E1099" s="4" t="str">
        <f>IFERROR(INDEX('Araç Tanımlama'!$D$5:$D$200,MATCH(D1099,'Araç Tanımlama'!$A$5:$A$200,0)),"")</f>
        <v/>
      </c>
      <c r="F1099" s="4" t="str">
        <f>IFERROR(INDEX('Araç Tanımlama'!$E$5:$E$200,MATCH(D1099,'Araç Tanımlama'!$A$5:$A$200,0)),"")</f>
        <v/>
      </c>
      <c r="G1099" s="2"/>
      <c r="H1099" s="7"/>
      <c r="I1099" s="9" t="str">
        <f>IF(OR(G1099="",H1099=""),"",G1099*H1099)</f>
        <v/>
      </c>
      <c r="J1099" s="2"/>
      <c r="K1099" s="2"/>
    </row>
    <row r="1100" spans="1:11">
      <c r="A1100" s="4" t="str">
        <f>IF(D1100="","",COUNTIF($D$5:D1100,"?*"))</f>
        <v/>
      </c>
      <c r="B1100" s="5"/>
      <c r="C1100" s="4" t="str">
        <f>IF(B1100="","",INDEX({"Ocak","Şubat","Mart","Nisan","Mayıs","Haziran","Temmuz","Ağustos","Eylül","Ekim","Kasım","Aralık"},MONTH(B1100)))</f>
        <v/>
      </c>
      <c r="D1100" s="2"/>
      <c r="E1100" s="4" t="str">
        <f>IFERROR(INDEX('Araç Tanımlama'!$D$5:$D$200,MATCH(D1100,'Araç Tanımlama'!$A$5:$A$200,0)),"")</f>
        <v/>
      </c>
      <c r="F1100" s="4" t="str">
        <f>IFERROR(INDEX('Araç Tanımlama'!$E$5:$E$200,MATCH(D1100,'Araç Tanımlama'!$A$5:$A$200,0)),"")</f>
        <v/>
      </c>
      <c r="G1100" s="2"/>
      <c r="H1100" s="7"/>
      <c r="I1100" s="9" t="str">
        <f>IF(OR(G1100="",H1100=""),"",G1100*H1100)</f>
        <v/>
      </c>
      <c r="J1100" s="2"/>
      <c r="K1100" s="2"/>
    </row>
    <row r="1101" spans="1:11">
      <c r="A1101" s="4" t="str">
        <f>IF(D1101="","",COUNTIF($D$5:D1101,"?*"))</f>
        <v/>
      </c>
      <c r="B1101" s="5"/>
      <c r="C1101" s="4" t="str">
        <f>IF(B1101="","",INDEX({"Ocak","Şubat","Mart","Nisan","Mayıs","Haziran","Temmuz","Ağustos","Eylül","Ekim","Kasım","Aralık"},MONTH(B1101)))</f>
        <v/>
      </c>
      <c r="D1101" s="2"/>
      <c r="E1101" s="4" t="str">
        <f>IFERROR(INDEX('Araç Tanımlama'!$D$5:$D$200,MATCH(D1101,'Araç Tanımlama'!$A$5:$A$200,0)),"")</f>
        <v/>
      </c>
      <c r="F1101" s="4" t="str">
        <f>IFERROR(INDEX('Araç Tanımlama'!$E$5:$E$200,MATCH(D1101,'Araç Tanımlama'!$A$5:$A$200,0)),"")</f>
        <v/>
      </c>
      <c r="G1101" s="2"/>
      <c r="H1101" s="7"/>
      <c r="I1101" s="9" t="str">
        <f>IF(OR(G1101="",H1101=""),"",G1101*H1101)</f>
        <v/>
      </c>
      <c r="J1101" s="2"/>
      <c r="K1101" s="2"/>
    </row>
    <row r="1102" spans="1:11">
      <c r="A1102" s="4" t="str">
        <f>IF(D1102="","",COUNTIF($D$5:D1102,"?*"))</f>
        <v/>
      </c>
      <c r="B1102" s="5"/>
      <c r="C1102" s="4" t="str">
        <f>IF(B1102="","",INDEX({"Ocak","Şubat","Mart","Nisan","Mayıs","Haziran","Temmuz","Ağustos","Eylül","Ekim","Kasım","Aralık"},MONTH(B1102)))</f>
        <v/>
      </c>
      <c r="D1102" s="2"/>
      <c r="E1102" s="4" t="str">
        <f>IFERROR(INDEX('Araç Tanımlama'!$D$5:$D$200,MATCH(D1102,'Araç Tanımlama'!$A$5:$A$200,0)),"")</f>
        <v/>
      </c>
      <c r="F1102" s="4" t="str">
        <f>IFERROR(INDEX('Araç Tanımlama'!$E$5:$E$200,MATCH(D1102,'Araç Tanımlama'!$A$5:$A$200,0)),"")</f>
        <v/>
      </c>
      <c r="G1102" s="2"/>
      <c r="H1102" s="7"/>
      <c r="I1102" s="9" t="str">
        <f>IF(OR(G1102="",H1102=""),"",G1102*H1102)</f>
        <v/>
      </c>
      <c r="J1102" s="2"/>
      <c r="K1102" s="2"/>
    </row>
    <row r="1103" spans="1:11">
      <c r="A1103" s="4" t="str">
        <f>IF(D1103="","",COUNTIF($D$5:D1103,"?*"))</f>
        <v/>
      </c>
      <c r="B1103" s="5"/>
      <c r="C1103" s="4" t="str">
        <f>IF(B1103="","",INDEX({"Ocak","Şubat","Mart","Nisan","Mayıs","Haziran","Temmuz","Ağustos","Eylül","Ekim","Kasım","Aralık"},MONTH(B1103)))</f>
        <v/>
      </c>
      <c r="D1103" s="2"/>
      <c r="E1103" s="4" t="str">
        <f>IFERROR(INDEX('Araç Tanımlama'!$D$5:$D$200,MATCH(D1103,'Araç Tanımlama'!$A$5:$A$200,0)),"")</f>
        <v/>
      </c>
      <c r="F1103" s="4" t="str">
        <f>IFERROR(INDEX('Araç Tanımlama'!$E$5:$E$200,MATCH(D1103,'Araç Tanımlama'!$A$5:$A$200,0)),"")</f>
        <v/>
      </c>
      <c r="G1103" s="2"/>
      <c r="H1103" s="7"/>
      <c r="I1103" s="9" t="str">
        <f>IF(OR(G1103="",H1103=""),"",G1103*H1103)</f>
        <v/>
      </c>
      <c r="J1103" s="2"/>
      <c r="K1103" s="2"/>
    </row>
    <row r="1104" spans="1:11">
      <c r="A1104" s="4" t="str">
        <f>IF(D1104="","",COUNTIF($D$5:D1104,"?*"))</f>
        <v/>
      </c>
      <c r="B1104" s="5"/>
      <c r="C1104" s="4" t="str">
        <f>IF(B1104="","",INDEX({"Ocak","Şubat","Mart","Nisan","Mayıs","Haziran","Temmuz","Ağustos","Eylül","Ekim","Kasım","Aralık"},MONTH(B1104)))</f>
        <v/>
      </c>
      <c r="D1104" s="2"/>
      <c r="E1104" s="4" t="str">
        <f>IFERROR(INDEX('Araç Tanımlama'!$D$5:$D$200,MATCH(D1104,'Araç Tanımlama'!$A$5:$A$200,0)),"")</f>
        <v/>
      </c>
      <c r="F1104" s="4" t="str">
        <f>IFERROR(INDEX('Araç Tanımlama'!$E$5:$E$200,MATCH(D1104,'Araç Tanımlama'!$A$5:$A$200,0)),"")</f>
        <v/>
      </c>
      <c r="G1104" s="2"/>
      <c r="H1104" s="7"/>
      <c r="I1104" s="9" t="str">
        <f>IF(OR(G1104="",H1104=""),"",G1104*H1104)</f>
        <v/>
      </c>
      <c r="J1104" s="2"/>
      <c r="K1104" s="2"/>
    </row>
    <row r="1105" spans="1:11">
      <c r="A1105" s="4" t="str">
        <f>IF(D1105="","",COUNTIF($D$5:D1105,"?*"))</f>
        <v/>
      </c>
      <c r="B1105" s="5"/>
      <c r="C1105" s="4" t="str">
        <f>IF(B1105="","",INDEX({"Ocak","Şubat","Mart","Nisan","Mayıs","Haziran","Temmuz","Ağustos","Eylül","Ekim","Kasım","Aralık"},MONTH(B1105)))</f>
        <v/>
      </c>
      <c r="D1105" s="2"/>
      <c r="E1105" s="4" t="str">
        <f>IFERROR(INDEX('Araç Tanımlama'!$D$5:$D$200,MATCH(D1105,'Araç Tanımlama'!$A$5:$A$200,0)),"")</f>
        <v/>
      </c>
      <c r="F1105" s="4" t="str">
        <f>IFERROR(INDEX('Araç Tanımlama'!$E$5:$E$200,MATCH(D1105,'Araç Tanımlama'!$A$5:$A$200,0)),"")</f>
        <v/>
      </c>
      <c r="G1105" s="2"/>
      <c r="H1105" s="7"/>
      <c r="I1105" s="9" t="str">
        <f>IF(OR(G1105="",H1105=""),"",G1105*H1105)</f>
        <v/>
      </c>
      <c r="J1105" s="2"/>
      <c r="K1105" s="2"/>
    </row>
    <row r="1106" spans="1:11">
      <c r="A1106" s="4" t="str">
        <f>IF(D1106="","",COUNTIF($D$5:D1106,"?*"))</f>
        <v/>
      </c>
      <c r="B1106" s="5"/>
      <c r="C1106" s="4" t="str">
        <f>IF(B1106="","",INDEX({"Ocak","Şubat","Mart","Nisan","Mayıs","Haziran","Temmuz","Ağustos","Eylül","Ekim","Kasım","Aralık"},MONTH(B1106)))</f>
        <v/>
      </c>
      <c r="D1106" s="2"/>
      <c r="E1106" s="4" t="str">
        <f>IFERROR(INDEX('Araç Tanımlama'!$D$5:$D$200,MATCH(D1106,'Araç Tanımlama'!$A$5:$A$200,0)),"")</f>
        <v/>
      </c>
      <c r="F1106" s="4" t="str">
        <f>IFERROR(INDEX('Araç Tanımlama'!$E$5:$E$200,MATCH(D1106,'Araç Tanımlama'!$A$5:$A$200,0)),"")</f>
        <v/>
      </c>
      <c r="G1106" s="2"/>
      <c r="H1106" s="7"/>
      <c r="I1106" s="9" t="str">
        <f>IF(OR(G1106="",H1106=""),"",G1106*H1106)</f>
        <v/>
      </c>
      <c r="J1106" s="2"/>
      <c r="K1106" s="2"/>
    </row>
    <row r="1107" spans="1:11">
      <c r="A1107" s="4" t="str">
        <f>IF(D1107="","",COUNTIF($D$5:D1107,"?*"))</f>
        <v/>
      </c>
      <c r="B1107" s="5"/>
      <c r="C1107" s="4" t="str">
        <f>IF(B1107="","",INDEX({"Ocak","Şubat","Mart","Nisan","Mayıs","Haziran","Temmuz","Ağustos","Eylül","Ekim","Kasım","Aralık"},MONTH(B1107)))</f>
        <v/>
      </c>
      <c r="D1107" s="2"/>
      <c r="E1107" s="4" t="str">
        <f>IFERROR(INDEX('Araç Tanımlama'!$D$5:$D$200,MATCH(D1107,'Araç Tanımlama'!$A$5:$A$200,0)),"")</f>
        <v/>
      </c>
      <c r="F1107" s="4" t="str">
        <f>IFERROR(INDEX('Araç Tanımlama'!$E$5:$E$200,MATCH(D1107,'Araç Tanımlama'!$A$5:$A$200,0)),"")</f>
        <v/>
      </c>
      <c r="G1107" s="2"/>
      <c r="H1107" s="7"/>
      <c r="I1107" s="9" t="str">
        <f>IF(OR(G1107="",H1107=""),"",G1107*H1107)</f>
        <v/>
      </c>
      <c r="J1107" s="2"/>
      <c r="K1107" s="2"/>
    </row>
    <row r="1108" spans="1:11">
      <c r="A1108" s="4" t="str">
        <f>IF(D1108="","",COUNTIF($D$5:D1108,"?*"))</f>
        <v/>
      </c>
      <c r="B1108" s="5"/>
      <c r="C1108" s="4" t="str">
        <f>IF(B1108="","",INDEX({"Ocak","Şubat","Mart","Nisan","Mayıs","Haziran","Temmuz","Ağustos","Eylül","Ekim","Kasım","Aralık"},MONTH(B1108)))</f>
        <v/>
      </c>
      <c r="D1108" s="2"/>
      <c r="E1108" s="4" t="str">
        <f>IFERROR(INDEX('Araç Tanımlama'!$D$5:$D$200,MATCH(D1108,'Araç Tanımlama'!$A$5:$A$200,0)),"")</f>
        <v/>
      </c>
      <c r="F1108" s="4" t="str">
        <f>IFERROR(INDEX('Araç Tanımlama'!$E$5:$E$200,MATCH(D1108,'Araç Tanımlama'!$A$5:$A$200,0)),"")</f>
        <v/>
      </c>
      <c r="G1108" s="2"/>
      <c r="H1108" s="7"/>
      <c r="I1108" s="9" t="str">
        <f>IF(OR(G1108="",H1108=""),"",G1108*H1108)</f>
        <v/>
      </c>
      <c r="J1108" s="2"/>
      <c r="K1108" s="2"/>
    </row>
    <row r="1109" spans="1:11">
      <c r="A1109" s="4" t="str">
        <f>IF(D1109="","",COUNTIF($D$5:D1109,"?*"))</f>
        <v/>
      </c>
      <c r="B1109" s="5"/>
      <c r="C1109" s="4" t="str">
        <f>IF(B1109="","",INDEX({"Ocak","Şubat","Mart","Nisan","Mayıs","Haziran","Temmuz","Ağustos","Eylül","Ekim","Kasım","Aralık"},MONTH(B1109)))</f>
        <v/>
      </c>
      <c r="D1109" s="2"/>
      <c r="E1109" s="4" t="str">
        <f>IFERROR(INDEX('Araç Tanımlama'!$D$5:$D$200,MATCH(D1109,'Araç Tanımlama'!$A$5:$A$200,0)),"")</f>
        <v/>
      </c>
      <c r="F1109" s="4" t="str">
        <f>IFERROR(INDEX('Araç Tanımlama'!$E$5:$E$200,MATCH(D1109,'Araç Tanımlama'!$A$5:$A$200,0)),"")</f>
        <v/>
      </c>
      <c r="G1109" s="2"/>
      <c r="H1109" s="7"/>
      <c r="I1109" s="9" t="str">
        <f>IF(OR(G1109="",H1109=""),"",G1109*H1109)</f>
        <v/>
      </c>
      <c r="J1109" s="2"/>
      <c r="K1109" s="2"/>
    </row>
    <row r="1110" spans="1:11">
      <c r="A1110" s="4" t="str">
        <f>IF(D1110="","",COUNTIF($D$5:D1110,"?*"))</f>
        <v/>
      </c>
      <c r="B1110" s="5"/>
      <c r="C1110" s="4" t="str">
        <f>IF(B1110="","",INDEX({"Ocak","Şubat","Mart","Nisan","Mayıs","Haziran","Temmuz","Ağustos","Eylül","Ekim","Kasım","Aralık"},MONTH(B1110)))</f>
        <v/>
      </c>
      <c r="D1110" s="2"/>
      <c r="E1110" s="4" t="str">
        <f>IFERROR(INDEX('Araç Tanımlama'!$D$5:$D$200,MATCH(D1110,'Araç Tanımlama'!$A$5:$A$200,0)),"")</f>
        <v/>
      </c>
      <c r="F1110" s="4" t="str">
        <f>IFERROR(INDEX('Araç Tanımlama'!$E$5:$E$200,MATCH(D1110,'Araç Tanımlama'!$A$5:$A$200,0)),"")</f>
        <v/>
      </c>
      <c r="G1110" s="2"/>
      <c r="H1110" s="7"/>
      <c r="I1110" s="9" t="str">
        <f>IF(OR(G1110="",H1110=""),"",G1110*H1110)</f>
        <v/>
      </c>
      <c r="J1110" s="2"/>
      <c r="K1110" s="2"/>
    </row>
    <row r="1111" spans="1:11">
      <c r="A1111" s="4" t="str">
        <f>IF(D1111="","",COUNTIF($D$5:D1111,"?*"))</f>
        <v/>
      </c>
      <c r="B1111" s="5"/>
      <c r="C1111" s="4" t="str">
        <f>IF(B1111="","",INDEX({"Ocak","Şubat","Mart","Nisan","Mayıs","Haziran","Temmuz","Ağustos","Eylül","Ekim","Kasım","Aralık"},MONTH(B1111)))</f>
        <v/>
      </c>
      <c r="D1111" s="2"/>
      <c r="E1111" s="4" t="str">
        <f>IFERROR(INDEX('Araç Tanımlama'!$D$5:$D$200,MATCH(D1111,'Araç Tanımlama'!$A$5:$A$200,0)),"")</f>
        <v/>
      </c>
      <c r="F1111" s="4" t="str">
        <f>IFERROR(INDEX('Araç Tanımlama'!$E$5:$E$200,MATCH(D1111,'Araç Tanımlama'!$A$5:$A$200,0)),"")</f>
        <v/>
      </c>
      <c r="G1111" s="2"/>
      <c r="H1111" s="7"/>
      <c r="I1111" s="9" t="str">
        <f>IF(OR(G1111="",H1111=""),"",G1111*H1111)</f>
        <v/>
      </c>
      <c r="J1111" s="2"/>
      <c r="K1111" s="2"/>
    </row>
    <row r="1112" spans="1:11">
      <c r="A1112" s="4" t="str">
        <f>IF(D1112="","",COUNTIF($D$5:D1112,"?*"))</f>
        <v/>
      </c>
      <c r="B1112" s="5"/>
      <c r="C1112" s="4" t="str">
        <f>IF(B1112="","",INDEX({"Ocak","Şubat","Mart","Nisan","Mayıs","Haziran","Temmuz","Ağustos","Eylül","Ekim","Kasım","Aralık"},MONTH(B1112)))</f>
        <v/>
      </c>
      <c r="D1112" s="2"/>
      <c r="E1112" s="4" t="str">
        <f>IFERROR(INDEX('Araç Tanımlama'!$D$5:$D$200,MATCH(D1112,'Araç Tanımlama'!$A$5:$A$200,0)),"")</f>
        <v/>
      </c>
      <c r="F1112" s="4" t="str">
        <f>IFERROR(INDEX('Araç Tanımlama'!$E$5:$E$200,MATCH(D1112,'Araç Tanımlama'!$A$5:$A$200,0)),"")</f>
        <v/>
      </c>
      <c r="G1112" s="2"/>
      <c r="H1112" s="7"/>
      <c r="I1112" s="9" t="str">
        <f>IF(OR(G1112="",H1112=""),"",G1112*H1112)</f>
        <v/>
      </c>
      <c r="J1112" s="2"/>
      <c r="K1112" s="2"/>
    </row>
    <row r="1113" spans="1:11">
      <c r="A1113" s="4" t="str">
        <f>IF(D1113="","",COUNTIF($D$5:D1113,"?*"))</f>
        <v/>
      </c>
      <c r="B1113" s="5"/>
      <c r="C1113" s="4" t="str">
        <f>IF(B1113="","",INDEX({"Ocak","Şubat","Mart","Nisan","Mayıs","Haziran","Temmuz","Ağustos","Eylül","Ekim","Kasım","Aralık"},MONTH(B1113)))</f>
        <v/>
      </c>
      <c r="D1113" s="2"/>
      <c r="E1113" s="4" t="str">
        <f>IFERROR(INDEX('Araç Tanımlama'!$D$5:$D$200,MATCH(D1113,'Araç Tanımlama'!$A$5:$A$200,0)),"")</f>
        <v/>
      </c>
      <c r="F1113" s="4" t="str">
        <f>IFERROR(INDEX('Araç Tanımlama'!$E$5:$E$200,MATCH(D1113,'Araç Tanımlama'!$A$5:$A$200,0)),"")</f>
        <v/>
      </c>
      <c r="G1113" s="2"/>
      <c r="H1113" s="7"/>
      <c r="I1113" s="9" t="str">
        <f>IF(OR(G1113="",H1113=""),"",G1113*H1113)</f>
        <v/>
      </c>
      <c r="J1113" s="2"/>
      <c r="K1113" s="2"/>
    </row>
    <row r="1114" spans="1:11">
      <c r="A1114" s="4" t="str">
        <f>IF(D1114="","",COUNTIF($D$5:D1114,"?*"))</f>
        <v/>
      </c>
      <c r="B1114" s="5"/>
      <c r="C1114" s="4" t="str">
        <f>IF(B1114="","",INDEX({"Ocak","Şubat","Mart","Nisan","Mayıs","Haziran","Temmuz","Ağustos","Eylül","Ekim","Kasım","Aralık"},MONTH(B1114)))</f>
        <v/>
      </c>
      <c r="D1114" s="2"/>
      <c r="E1114" s="4" t="str">
        <f>IFERROR(INDEX('Araç Tanımlama'!$D$5:$D$200,MATCH(D1114,'Araç Tanımlama'!$A$5:$A$200,0)),"")</f>
        <v/>
      </c>
      <c r="F1114" s="4" t="str">
        <f>IFERROR(INDEX('Araç Tanımlama'!$E$5:$E$200,MATCH(D1114,'Araç Tanımlama'!$A$5:$A$200,0)),"")</f>
        <v/>
      </c>
      <c r="G1114" s="2"/>
      <c r="H1114" s="7"/>
      <c r="I1114" s="9" t="str">
        <f>IF(OR(G1114="",H1114=""),"",G1114*H1114)</f>
        <v/>
      </c>
      <c r="J1114" s="2"/>
      <c r="K1114" s="2"/>
    </row>
    <row r="1115" spans="1:11">
      <c r="A1115" s="4" t="str">
        <f>IF(D1115="","",COUNTIF($D$5:D1115,"?*"))</f>
        <v/>
      </c>
      <c r="B1115" s="5"/>
      <c r="C1115" s="4" t="str">
        <f>IF(B1115="","",INDEX({"Ocak","Şubat","Mart","Nisan","Mayıs","Haziran","Temmuz","Ağustos","Eylül","Ekim","Kasım","Aralık"},MONTH(B1115)))</f>
        <v/>
      </c>
      <c r="D1115" s="2"/>
      <c r="E1115" s="4" t="str">
        <f>IFERROR(INDEX('Araç Tanımlama'!$D$5:$D$200,MATCH(D1115,'Araç Tanımlama'!$A$5:$A$200,0)),"")</f>
        <v/>
      </c>
      <c r="F1115" s="4" t="str">
        <f>IFERROR(INDEX('Araç Tanımlama'!$E$5:$E$200,MATCH(D1115,'Araç Tanımlama'!$A$5:$A$200,0)),"")</f>
        <v/>
      </c>
      <c r="G1115" s="2"/>
      <c r="H1115" s="7"/>
      <c r="I1115" s="9" t="str">
        <f>IF(OR(G1115="",H1115=""),"",G1115*H1115)</f>
        <v/>
      </c>
      <c r="J1115" s="2"/>
      <c r="K1115" s="2"/>
    </row>
    <row r="1116" spans="1:11">
      <c r="A1116" s="4" t="str">
        <f>IF(D1116="","",COUNTIF($D$5:D1116,"?*"))</f>
        <v/>
      </c>
      <c r="B1116" s="5"/>
      <c r="C1116" s="4" t="str">
        <f>IF(B1116="","",INDEX({"Ocak","Şubat","Mart","Nisan","Mayıs","Haziran","Temmuz","Ağustos","Eylül","Ekim","Kasım","Aralık"},MONTH(B1116)))</f>
        <v/>
      </c>
      <c r="D1116" s="2"/>
      <c r="E1116" s="4" t="str">
        <f>IFERROR(INDEX('Araç Tanımlama'!$D$5:$D$200,MATCH(D1116,'Araç Tanımlama'!$A$5:$A$200,0)),"")</f>
        <v/>
      </c>
      <c r="F1116" s="4" t="str">
        <f>IFERROR(INDEX('Araç Tanımlama'!$E$5:$E$200,MATCH(D1116,'Araç Tanımlama'!$A$5:$A$200,0)),"")</f>
        <v/>
      </c>
      <c r="G1116" s="2"/>
      <c r="H1116" s="7"/>
      <c r="I1116" s="9" t="str">
        <f>IF(OR(G1116="",H1116=""),"",G1116*H1116)</f>
        <v/>
      </c>
      <c r="J1116" s="2"/>
      <c r="K1116" s="2"/>
    </row>
    <row r="1117" spans="1:11">
      <c r="A1117" s="4" t="str">
        <f>IF(D1117="","",COUNTIF($D$5:D1117,"?*"))</f>
        <v/>
      </c>
      <c r="B1117" s="5"/>
      <c r="C1117" s="4" t="str">
        <f>IF(B1117="","",INDEX({"Ocak","Şubat","Mart","Nisan","Mayıs","Haziran","Temmuz","Ağustos","Eylül","Ekim","Kasım","Aralık"},MONTH(B1117)))</f>
        <v/>
      </c>
      <c r="D1117" s="2"/>
      <c r="E1117" s="4" t="str">
        <f>IFERROR(INDEX('Araç Tanımlama'!$D$5:$D$200,MATCH(D1117,'Araç Tanımlama'!$A$5:$A$200,0)),"")</f>
        <v/>
      </c>
      <c r="F1117" s="4" t="str">
        <f>IFERROR(INDEX('Araç Tanımlama'!$E$5:$E$200,MATCH(D1117,'Araç Tanımlama'!$A$5:$A$200,0)),"")</f>
        <v/>
      </c>
      <c r="G1117" s="2"/>
      <c r="H1117" s="7"/>
      <c r="I1117" s="9" t="str">
        <f>IF(OR(G1117="",H1117=""),"",G1117*H1117)</f>
        <v/>
      </c>
      <c r="J1117" s="2"/>
      <c r="K1117" s="2"/>
    </row>
    <row r="1118" spans="1:11">
      <c r="A1118" s="4" t="str">
        <f>IF(D1118="","",COUNTIF($D$5:D1118,"?*"))</f>
        <v/>
      </c>
      <c r="B1118" s="5"/>
      <c r="C1118" s="4" t="str">
        <f>IF(B1118="","",INDEX({"Ocak","Şubat","Mart","Nisan","Mayıs","Haziran","Temmuz","Ağustos","Eylül","Ekim","Kasım","Aralık"},MONTH(B1118)))</f>
        <v/>
      </c>
      <c r="D1118" s="2"/>
      <c r="E1118" s="4" t="str">
        <f>IFERROR(INDEX('Araç Tanımlama'!$D$5:$D$200,MATCH(D1118,'Araç Tanımlama'!$A$5:$A$200,0)),"")</f>
        <v/>
      </c>
      <c r="F1118" s="4" t="str">
        <f>IFERROR(INDEX('Araç Tanımlama'!$E$5:$E$200,MATCH(D1118,'Araç Tanımlama'!$A$5:$A$200,0)),"")</f>
        <v/>
      </c>
      <c r="G1118" s="2"/>
      <c r="H1118" s="7"/>
      <c r="I1118" s="9" t="str">
        <f>IF(OR(G1118="",H1118=""),"",G1118*H1118)</f>
        <v/>
      </c>
      <c r="J1118" s="2"/>
      <c r="K1118" s="2"/>
    </row>
    <row r="1119" spans="1:11">
      <c r="A1119" s="4" t="str">
        <f>IF(D1119="","",COUNTIF($D$5:D1119,"?*"))</f>
        <v/>
      </c>
      <c r="B1119" s="5"/>
      <c r="C1119" s="4" t="str">
        <f>IF(B1119="","",INDEX({"Ocak","Şubat","Mart","Nisan","Mayıs","Haziran","Temmuz","Ağustos","Eylül","Ekim","Kasım","Aralık"},MONTH(B1119)))</f>
        <v/>
      </c>
      <c r="D1119" s="2"/>
      <c r="E1119" s="4" t="str">
        <f>IFERROR(INDEX('Araç Tanımlama'!$D$5:$D$200,MATCH(D1119,'Araç Tanımlama'!$A$5:$A$200,0)),"")</f>
        <v/>
      </c>
      <c r="F1119" s="4" t="str">
        <f>IFERROR(INDEX('Araç Tanımlama'!$E$5:$E$200,MATCH(D1119,'Araç Tanımlama'!$A$5:$A$200,0)),"")</f>
        <v/>
      </c>
      <c r="G1119" s="2"/>
      <c r="H1119" s="7"/>
      <c r="I1119" s="9" t="str">
        <f>IF(OR(G1119="",H1119=""),"",G1119*H1119)</f>
        <v/>
      </c>
      <c r="J1119" s="2"/>
      <c r="K1119" s="2"/>
    </row>
    <row r="1120" spans="1:11">
      <c r="A1120" s="4" t="str">
        <f>IF(D1120="","",COUNTIF($D$5:D1120,"?*"))</f>
        <v/>
      </c>
      <c r="B1120" s="5"/>
      <c r="C1120" s="4" t="str">
        <f>IF(B1120="","",INDEX({"Ocak","Şubat","Mart","Nisan","Mayıs","Haziran","Temmuz","Ağustos","Eylül","Ekim","Kasım","Aralık"},MONTH(B1120)))</f>
        <v/>
      </c>
      <c r="D1120" s="2"/>
      <c r="E1120" s="4" t="str">
        <f>IFERROR(INDEX('Araç Tanımlama'!$D$5:$D$200,MATCH(D1120,'Araç Tanımlama'!$A$5:$A$200,0)),"")</f>
        <v/>
      </c>
      <c r="F1120" s="4" t="str">
        <f>IFERROR(INDEX('Araç Tanımlama'!$E$5:$E$200,MATCH(D1120,'Araç Tanımlama'!$A$5:$A$200,0)),"")</f>
        <v/>
      </c>
      <c r="G1120" s="2"/>
      <c r="H1120" s="7"/>
      <c r="I1120" s="9" t="str">
        <f>IF(OR(G1120="",H1120=""),"",G1120*H1120)</f>
        <v/>
      </c>
      <c r="J1120" s="2"/>
      <c r="K1120" s="2"/>
    </row>
    <row r="1121" spans="1:11">
      <c r="A1121" s="4" t="str">
        <f>IF(D1121="","",COUNTIF($D$5:D1121,"?*"))</f>
        <v/>
      </c>
      <c r="B1121" s="5"/>
      <c r="C1121" s="4" t="str">
        <f>IF(B1121="","",INDEX({"Ocak","Şubat","Mart","Nisan","Mayıs","Haziran","Temmuz","Ağustos","Eylül","Ekim","Kasım","Aralık"},MONTH(B1121)))</f>
        <v/>
      </c>
      <c r="D1121" s="2"/>
      <c r="E1121" s="4" t="str">
        <f>IFERROR(INDEX('Araç Tanımlama'!$D$5:$D$200,MATCH(D1121,'Araç Tanımlama'!$A$5:$A$200,0)),"")</f>
        <v/>
      </c>
      <c r="F1121" s="4" t="str">
        <f>IFERROR(INDEX('Araç Tanımlama'!$E$5:$E$200,MATCH(D1121,'Araç Tanımlama'!$A$5:$A$200,0)),"")</f>
        <v/>
      </c>
      <c r="G1121" s="2"/>
      <c r="H1121" s="7"/>
      <c r="I1121" s="9" t="str">
        <f>IF(OR(G1121="",H1121=""),"",G1121*H1121)</f>
        <v/>
      </c>
      <c r="J1121" s="2"/>
      <c r="K1121" s="2"/>
    </row>
    <row r="1122" spans="1:11">
      <c r="A1122" s="4" t="str">
        <f>IF(D1122="","",COUNTIF($D$5:D1122,"?*"))</f>
        <v/>
      </c>
      <c r="B1122" s="5"/>
      <c r="C1122" s="4" t="str">
        <f>IF(B1122="","",INDEX({"Ocak","Şubat","Mart","Nisan","Mayıs","Haziran","Temmuz","Ağustos","Eylül","Ekim","Kasım","Aralık"},MONTH(B1122)))</f>
        <v/>
      </c>
      <c r="D1122" s="2"/>
      <c r="E1122" s="4" t="str">
        <f>IFERROR(INDEX('Araç Tanımlama'!$D$5:$D$200,MATCH(D1122,'Araç Tanımlama'!$A$5:$A$200,0)),"")</f>
        <v/>
      </c>
      <c r="F1122" s="4" t="str">
        <f>IFERROR(INDEX('Araç Tanımlama'!$E$5:$E$200,MATCH(D1122,'Araç Tanımlama'!$A$5:$A$200,0)),"")</f>
        <v/>
      </c>
      <c r="G1122" s="2"/>
      <c r="H1122" s="7"/>
      <c r="I1122" s="9" t="str">
        <f>IF(OR(G1122="",H1122=""),"",G1122*H1122)</f>
        <v/>
      </c>
      <c r="J1122" s="2"/>
      <c r="K1122" s="2"/>
    </row>
    <row r="1123" spans="1:11">
      <c r="A1123" s="4" t="str">
        <f>IF(D1123="","",COUNTIF($D$5:D1123,"?*"))</f>
        <v/>
      </c>
      <c r="B1123" s="5"/>
      <c r="C1123" s="4" t="str">
        <f>IF(B1123="","",INDEX({"Ocak","Şubat","Mart","Nisan","Mayıs","Haziran","Temmuz","Ağustos","Eylül","Ekim","Kasım","Aralık"},MONTH(B1123)))</f>
        <v/>
      </c>
      <c r="D1123" s="2"/>
      <c r="E1123" s="4" t="str">
        <f>IFERROR(INDEX('Araç Tanımlama'!$D$5:$D$200,MATCH(D1123,'Araç Tanımlama'!$A$5:$A$200,0)),"")</f>
        <v/>
      </c>
      <c r="F1123" s="4" t="str">
        <f>IFERROR(INDEX('Araç Tanımlama'!$E$5:$E$200,MATCH(D1123,'Araç Tanımlama'!$A$5:$A$200,0)),"")</f>
        <v/>
      </c>
      <c r="G1123" s="2"/>
      <c r="H1123" s="7"/>
      <c r="I1123" s="9" t="str">
        <f>IF(OR(G1123="",H1123=""),"",G1123*H1123)</f>
        <v/>
      </c>
      <c r="J1123" s="2"/>
      <c r="K1123" s="2"/>
    </row>
    <row r="1124" spans="1:11">
      <c r="A1124" s="4" t="str">
        <f>IF(D1124="","",COUNTIF($D$5:D1124,"?*"))</f>
        <v/>
      </c>
      <c r="B1124" s="5"/>
      <c r="C1124" s="4" t="str">
        <f>IF(B1124="","",INDEX({"Ocak","Şubat","Mart","Nisan","Mayıs","Haziran","Temmuz","Ağustos","Eylül","Ekim","Kasım","Aralık"},MONTH(B1124)))</f>
        <v/>
      </c>
      <c r="D1124" s="2"/>
      <c r="E1124" s="4" t="str">
        <f>IFERROR(INDEX('Araç Tanımlama'!$D$5:$D$200,MATCH(D1124,'Araç Tanımlama'!$A$5:$A$200,0)),"")</f>
        <v/>
      </c>
      <c r="F1124" s="4" t="str">
        <f>IFERROR(INDEX('Araç Tanımlama'!$E$5:$E$200,MATCH(D1124,'Araç Tanımlama'!$A$5:$A$200,0)),"")</f>
        <v/>
      </c>
      <c r="G1124" s="2"/>
      <c r="H1124" s="7"/>
      <c r="I1124" s="9" t="str">
        <f>IF(OR(G1124="",H1124=""),"",G1124*H1124)</f>
        <v/>
      </c>
      <c r="J1124" s="2"/>
      <c r="K1124" s="2"/>
    </row>
    <row r="1125" spans="1:11">
      <c r="A1125" s="4" t="str">
        <f>IF(D1125="","",COUNTIF($D$5:D1125,"?*"))</f>
        <v/>
      </c>
      <c r="B1125" s="5"/>
      <c r="C1125" s="4" t="str">
        <f>IF(B1125="","",INDEX({"Ocak","Şubat","Mart","Nisan","Mayıs","Haziran","Temmuz","Ağustos","Eylül","Ekim","Kasım","Aralık"},MONTH(B1125)))</f>
        <v/>
      </c>
      <c r="D1125" s="2"/>
      <c r="E1125" s="4" t="str">
        <f>IFERROR(INDEX('Araç Tanımlama'!$D$5:$D$200,MATCH(D1125,'Araç Tanımlama'!$A$5:$A$200,0)),"")</f>
        <v/>
      </c>
      <c r="F1125" s="4" t="str">
        <f>IFERROR(INDEX('Araç Tanımlama'!$E$5:$E$200,MATCH(D1125,'Araç Tanımlama'!$A$5:$A$200,0)),"")</f>
        <v/>
      </c>
      <c r="G1125" s="2"/>
      <c r="H1125" s="7"/>
      <c r="I1125" s="9" t="str">
        <f>IF(OR(G1125="",H1125=""),"",G1125*H1125)</f>
        <v/>
      </c>
      <c r="J1125" s="2"/>
      <c r="K1125" s="2"/>
    </row>
    <row r="1126" spans="1:11">
      <c r="A1126" s="4" t="str">
        <f>IF(D1126="","",COUNTIF($D$5:D1126,"?*"))</f>
        <v/>
      </c>
      <c r="B1126" s="5"/>
      <c r="C1126" s="4" t="str">
        <f>IF(B1126="","",INDEX({"Ocak","Şubat","Mart","Nisan","Mayıs","Haziran","Temmuz","Ağustos","Eylül","Ekim","Kasım","Aralık"},MONTH(B1126)))</f>
        <v/>
      </c>
      <c r="D1126" s="2"/>
      <c r="E1126" s="4" t="str">
        <f>IFERROR(INDEX('Araç Tanımlama'!$D$5:$D$200,MATCH(D1126,'Araç Tanımlama'!$A$5:$A$200,0)),"")</f>
        <v/>
      </c>
      <c r="F1126" s="4" t="str">
        <f>IFERROR(INDEX('Araç Tanımlama'!$E$5:$E$200,MATCH(D1126,'Araç Tanımlama'!$A$5:$A$200,0)),"")</f>
        <v/>
      </c>
      <c r="G1126" s="2"/>
      <c r="H1126" s="7"/>
      <c r="I1126" s="9" t="str">
        <f>IF(OR(G1126="",H1126=""),"",G1126*H1126)</f>
        <v/>
      </c>
      <c r="J1126" s="2"/>
      <c r="K1126" s="2"/>
    </row>
    <row r="1127" spans="1:11">
      <c r="A1127" s="4" t="str">
        <f>IF(D1127="","",COUNTIF($D$5:D1127,"?*"))</f>
        <v/>
      </c>
      <c r="B1127" s="5"/>
      <c r="C1127" s="4" t="str">
        <f>IF(B1127="","",INDEX({"Ocak","Şubat","Mart","Nisan","Mayıs","Haziran","Temmuz","Ağustos","Eylül","Ekim","Kasım","Aralık"},MONTH(B1127)))</f>
        <v/>
      </c>
      <c r="D1127" s="2"/>
      <c r="E1127" s="4" t="str">
        <f>IFERROR(INDEX('Araç Tanımlama'!$D$5:$D$200,MATCH(D1127,'Araç Tanımlama'!$A$5:$A$200,0)),"")</f>
        <v/>
      </c>
      <c r="F1127" s="4" t="str">
        <f>IFERROR(INDEX('Araç Tanımlama'!$E$5:$E$200,MATCH(D1127,'Araç Tanımlama'!$A$5:$A$200,0)),"")</f>
        <v/>
      </c>
      <c r="G1127" s="2"/>
      <c r="H1127" s="7"/>
      <c r="I1127" s="9" t="str">
        <f>IF(OR(G1127="",H1127=""),"",G1127*H1127)</f>
        <v/>
      </c>
      <c r="J1127" s="2"/>
      <c r="K1127" s="2"/>
    </row>
    <row r="1128" spans="1:11">
      <c r="A1128" s="4" t="str">
        <f>IF(D1128="","",COUNTIF($D$5:D1128,"?*"))</f>
        <v/>
      </c>
      <c r="B1128" s="5"/>
      <c r="C1128" s="4" t="str">
        <f>IF(B1128="","",INDEX({"Ocak","Şubat","Mart","Nisan","Mayıs","Haziran","Temmuz","Ağustos","Eylül","Ekim","Kasım","Aralık"},MONTH(B1128)))</f>
        <v/>
      </c>
      <c r="D1128" s="2"/>
      <c r="E1128" s="4" t="str">
        <f>IFERROR(INDEX('Araç Tanımlama'!$D$5:$D$200,MATCH(D1128,'Araç Tanımlama'!$A$5:$A$200,0)),"")</f>
        <v/>
      </c>
      <c r="F1128" s="4" t="str">
        <f>IFERROR(INDEX('Araç Tanımlama'!$E$5:$E$200,MATCH(D1128,'Araç Tanımlama'!$A$5:$A$200,0)),"")</f>
        <v/>
      </c>
      <c r="G1128" s="2"/>
      <c r="H1128" s="7"/>
      <c r="I1128" s="9" t="str">
        <f>IF(OR(G1128="",H1128=""),"",G1128*H1128)</f>
        <v/>
      </c>
      <c r="J1128" s="2"/>
      <c r="K1128" s="2"/>
    </row>
    <row r="1129" spans="1:11">
      <c r="A1129" s="4" t="str">
        <f>IF(D1129="","",COUNTIF($D$5:D1129,"?*"))</f>
        <v/>
      </c>
      <c r="B1129" s="5"/>
      <c r="C1129" s="4" t="str">
        <f>IF(B1129="","",INDEX({"Ocak","Şubat","Mart","Nisan","Mayıs","Haziran","Temmuz","Ağustos","Eylül","Ekim","Kasım","Aralık"},MONTH(B1129)))</f>
        <v/>
      </c>
      <c r="D1129" s="2"/>
      <c r="E1129" s="4" t="str">
        <f>IFERROR(INDEX('Araç Tanımlama'!$D$5:$D$200,MATCH(D1129,'Araç Tanımlama'!$A$5:$A$200,0)),"")</f>
        <v/>
      </c>
      <c r="F1129" s="4" t="str">
        <f>IFERROR(INDEX('Araç Tanımlama'!$E$5:$E$200,MATCH(D1129,'Araç Tanımlama'!$A$5:$A$200,0)),"")</f>
        <v/>
      </c>
      <c r="G1129" s="2"/>
      <c r="H1129" s="7"/>
      <c r="I1129" s="9" t="str">
        <f>IF(OR(G1129="",H1129=""),"",G1129*H1129)</f>
        <v/>
      </c>
      <c r="J1129" s="2"/>
      <c r="K1129" s="2"/>
    </row>
    <row r="1130" spans="1:11">
      <c r="A1130" s="4" t="str">
        <f>IF(D1130="","",COUNTIF($D$5:D1130,"?*"))</f>
        <v/>
      </c>
      <c r="B1130" s="5"/>
      <c r="C1130" s="4" t="str">
        <f>IF(B1130="","",INDEX({"Ocak","Şubat","Mart","Nisan","Mayıs","Haziran","Temmuz","Ağustos","Eylül","Ekim","Kasım","Aralık"},MONTH(B1130)))</f>
        <v/>
      </c>
      <c r="D1130" s="2"/>
      <c r="E1130" s="4" t="str">
        <f>IFERROR(INDEX('Araç Tanımlama'!$D$5:$D$200,MATCH(D1130,'Araç Tanımlama'!$A$5:$A$200,0)),"")</f>
        <v/>
      </c>
      <c r="F1130" s="4" t="str">
        <f>IFERROR(INDEX('Araç Tanımlama'!$E$5:$E$200,MATCH(D1130,'Araç Tanımlama'!$A$5:$A$200,0)),"")</f>
        <v/>
      </c>
      <c r="G1130" s="2"/>
      <c r="H1130" s="7"/>
      <c r="I1130" s="9" t="str">
        <f>IF(OR(G1130="",H1130=""),"",G1130*H1130)</f>
        <v/>
      </c>
      <c r="J1130" s="2"/>
      <c r="K1130" s="2"/>
    </row>
    <row r="1131" spans="1:11">
      <c r="A1131" s="4" t="str">
        <f>IF(D1131="","",COUNTIF($D$5:D1131,"?*"))</f>
        <v/>
      </c>
      <c r="B1131" s="5"/>
      <c r="C1131" s="4" t="str">
        <f>IF(B1131="","",INDEX({"Ocak","Şubat","Mart","Nisan","Mayıs","Haziran","Temmuz","Ağustos","Eylül","Ekim","Kasım","Aralık"},MONTH(B1131)))</f>
        <v/>
      </c>
      <c r="D1131" s="2"/>
      <c r="E1131" s="4" t="str">
        <f>IFERROR(INDEX('Araç Tanımlama'!$D$5:$D$200,MATCH(D1131,'Araç Tanımlama'!$A$5:$A$200,0)),"")</f>
        <v/>
      </c>
      <c r="F1131" s="4" t="str">
        <f>IFERROR(INDEX('Araç Tanımlama'!$E$5:$E$200,MATCH(D1131,'Araç Tanımlama'!$A$5:$A$200,0)),"")</f>
        <v/>
      </c>
      <c r="G1131" s="2"/>
      <c r="H1131" s="7"/>
      <c r="I1131" s="9" t="str">
        <f>IF(OR(G1131="",H1131=""),"",G1131*H1131)</f>
        <v/>
      </c>
      <c r="J1131" s="2"/>
      <c r="K1131" s="2"/>
    </row>
    <row r="1132" spans="1:11">
      <c r="A1132" s="4" t="str">
        <f>IF(D1132="","",COUNTIF($D$5:D1132,"?*"))</f>
        <v/>
      </c>
      <c r="B1132" s="5"/>
      <c r="C1132" s="4" t="str">
        <f>IF(B1132="","",INDEX({"Ocak","Şubat","Mart","Nisan","Mayıs","Haziran","Temmuz","Ağustos","Eylül","Ekim","Kasım","Aralık"},MONTH(B1132)))</f>
        <v/>
      </c>
      <c r="D1132" s="2"/>
      <c r="E1132" s="4" t="str">
        <f>IFERROR(INDEX('Araç Tanımlama'!$D$5:$D$200,MATCH(D1132,'Araç Tanımlama'!$A$5:$A$200,0)),"")</f>
        <v/>
      </c>
      <c r="F1132" s="4" t="str">
        <f>IFERROR(INDEX('Araç Tanımlama'!$E$5:$E$200,MATCH(D1132,'Araç Tanımlama'!$A$5:$A$200,0)),"")</f>
        <v/>
      </c>
      <c r="G1132" s="2"/>
      <c r="H1132" s="7"/>
      <c r="I1132" s="9" t="str">
        <f>IF(OR(G1132="",H1132=""),"",G1132*H1132)</f>
        <v/>
      </c>
      <c r="J1132" s="2"/>
      <c r="K1132" s="2"/>
    </row>
    <row r="1133" spans="1:11">
      <c r="A1133" s="4" t="str">
        <f>IF(D1133="","",COUNTIF($D$5:D1133,"?*"))</f>
        <v/>
      </c>
      <c r="B1133" s="5"/>
      <c r="C1133" s="4" t="str">
        <f>IF(B1133="","",INDEX({"Ocak","Şubat","Mart","Nisan","Mayıs","Haziran","Temmuz","Ağustos","Eylül","Ekim","Kasım","Aralık"},MONTH(B1133)))</f>
        <v/>
      </c>
      <c r="D1133" s="2"/>
      <c r="E1133" s="4" t="str">
        <f>IFERROR(INDEX('Araç Tanımlama'!$D$5:$D$200,MATCH(D1133,'Araç Tanımlama'!$A$5:$A$200,0)),"")</f>
        <v/>
      </c>
      <c r="F1133" s="4" t="str">
        <f>IFERROR(INDEX('Araç Tanımlama'!$E$5:$E$200,MATCH(D1133,'Araç Tanımlama'!$A$5:$A$200,0)),"")</f>
        <v/>
      </c>
      <c r="G1133" s="2"/>
      <c r="H1133" s="7"/>
      <c r="I1133" s="9" t="str">
        <f>IF(OR(G1133="",H1133=""),"",G1133*H1133)</f>
        <v/>
      </c>
      <c r="J1133" s="2"/>
      <c r="K1133" s="2"/>
    </row>
    <row r="1134" spans="1:11">
      <c r="A1134" s="4" t="str">
        <f>IF(D1134="","",COUNTIF($D$5:D1134,"?*"))</f>
        <v/>
      </c>
      <c r="B1134" s="5"/>
      <c r="C1134" s="4" t="str">
        <f>IF(B1134="","",INDEX({"Ocak","Şubat","Mart","Nisan","Mayıs","Haziran","Temmuz","Ağustos","Eylül","Ekim","Kasım","Aralık"},MONTH(B1134)))</f>
        <v/>
      </c>
      <c r="D1134" s="2"/>
      <c r="E1134" s="4" t="str">
        <f>IFERROR(INDEX('Araç Tanımlama'!$D$5:$D$200,MATCH(D1134,'Araç Tanımlama'!$A$5:$A$200,0)),"")</f>
        <v/>
      </c>
      <c r="F1134" s="4" t="str">
        <f>IFERROR(INDEX('Araç Tanımlama'!$E$5:$E$200,MATCH(D1134,'Araç Tanımlama'!$A$5:$A$200,0)),"")</f>
        <v/>
      </c>
      <c r="G1134" s="2"/>
      <c r="H1134" s="7"/>
      <c r="I1134" s="9" t="str">
        <f>IF(OR(G1134="",H1134=""),"",G1134*H1134)</f>
        <v/>
      </c>
      <c r="J1134" s="2"/>
      <c r="K1134" s="2"/>
    </row>
    <row r="1135" spans="1:11">
      <c r="A1135" s="4" t="str">
        <f>IF(D1135="","",COUNTIF($D$5:D1135,"?*"))</f>
        <v/>
      </c>
      <c r="B1135" s="5"/>
      <c r="C1135" s="4" t="str">
        <f>IF(B1135="","",INDEX({"Ocak","Şubat","Mart","Nisan","Mayıs","Haziran","Temmuz","Ağustos","Eylül","Ekim","Kasım","Aralık"},MONTH(B1135)))</f>
        <v/>
      </c>
      <c r="D1135" s="2"/>
      <c r="E1135" s="4" t="str">
        <f>IFERROR(INDEX('Araç Tanımlama'!$D$5:$D$200,MATCH(D1135,'Araç Tanımlama'!$A$5:$A$200,0)),"")</f>
        <v/>
      </c>
      <c r="F1135" s="4" t="str">
        <f>IFERROR(INDEX('Araç Tanımlama'!$E$5:$E$200,MATCH(D1135,'Araç Tanımlama'!$A$5:$A$200,0)),"")</f>
        <v/>
      </c>
      <c r="G1135" s="2"/>
      <c r="H1135" s="7"/>
      <c r="I1135" s="9" t="str">
        <f>IF(OR(G1135="",H1135=""),"",G1135*H1135)</f>
        <v/>
      </c>
      <c r="J1135" s="2"/>
      <c r="K1135" s="2"/>
    </row>
    <row r="1136" spans="1:11">
      <c r="A1136" s="4" t="str">
        <f>IF(D1136="","",COUNTIF($D$5:D1136,"?*"))</f>
        <v/>
      </c>
      <c r="B1136" s="5"/>
      <c r="C1136" s="4" t="str">
        <f>IF(B1136="","",INDEX({"Ocak","Şubat","Mart","Nisan","Mayıs","Haziran","Temmuz","Ağustos","Eylül","Ekim","Kasım","Aralık"},MONTH(B1136)))</f>
        <v/>
      </c>
      <c r="D1136" s="2"/>
      <c r="E1136" s="4" t="str">
        <f>IFERROR(INDEX('Araç Tanımlama'!$D$5:$D$200,MATCH(D1136,'Araç Tanımlama'!$A$5:$A$200,0)),"")</f>
        <v/>
      </c>
      <c r="F1136" s="4" t="str">
        <f>IFERROR(INDEX('Araç Tanımlama'!$E$5:$E$200,MATCH(D1136,'Araç Tanımlama'!$A$5:$A$200,0)),"")</f>
        <v/>
      </c>
      <c r="G1136" s="2"/>
      <c r="H1136" s="7"/>
      <c r="I1136" s="9" t="str">
        <f>IF(OR(G1136="",H1136=""),"",G1136*H1136)</f>
        <v/>
      </c>
      <c r="J1136" s="2"/>
      <c r="K1136" s="2"/>
    </row>
    <row r="1137" spans="1:11">
      <c r="A1137" s="4" t="str">
        <f>IF(D1137="","",COUNTIF($D$5:D1137,"?*"))</f>
        <v/>
      </c>
      <c r="B1137" s="5"/>
      <c r="C1137" s="4" t="str">
        <f>IF(B1137="","",INDEX({"Ocak","Şubat","Mart","Nisan","Mayıs","Haziran","Temmuz","Ağustos","Eylül","Ekim","Kasım","Aralık"},MONTH(B1137)))</f>
        <v/>
      </c>
      <c r="D1137" s="2"/>
      <c r="E1137" s="4" t="str">
        <f>IFERROR(INDEX('Araç Tanımlama'!$D$5:$D$200,MATCH(D1137,'Araç Tanımlama'!$A$5:$A$200,0)),"")</f>
        <v/>
      </c>
      <c r="F1137" s="4" t="str">
        <f>IFERROR(INDEX('Araç Tanımlama'!$E$5:$E$200,MATCH(D1137,'Araç Tanımlama'!$A$5:$A$200,0)),"")</f>
        <v/>
      </c>
      <c r="G1137" s="2"/>
      <c r="H1137" s="7"/>
      <c r="I1137" s="9" t="str">
        <f>IF(OR(G1137="",H1137=""),"",G1137*H1137)</f>
        <v/>
      </c>
      <c r="J1137" s="2"/>
      <c r="K1137" s="2"/>
    </row>
    <row r="1138" spans="1:11">
      <c r="A1138" s="4" t="str">
        <f>IF(D1138="","",COUNTIF($D$5:D1138,"?*"))</f>
        <v/>
      </c>
      <c r="B1138" s="5"/>
      <c r="C1138" s="4" t="str">
        <f>IF(B1138="","",INDEX({"Ocak","Şubat","Mart","Nisan","Mayıs","Haziran","Temmuz","Ağustos","Eylül","Ekim","Kasım","Aralık"},MONTH(B1138)))</f>
        <v/>
      </c>
      <c r="D1138" s="2"/>
      <c r="E1138" s="4" t="str">
        <f>IFERROR(INDEX('Araç Tanımlama'!$D$5:$D$200,MATCH(D1138,'Araç Tanımlama'!$A$5:$A$200,0)),"")</f>
        <v/>
      </c>
      <c r="F1138" s="4" t="str">
        <f>IFERROR(INDEX('Araç Tanımlama'!$E$5:$E$200,MATCH(D1138,'Araç Tanımlama'!$A$5:$A$200,0)),"")</f>
        <v/>
      </c>
      <c r="G1138" s="2"/>
      <c r="H1138" s="7"/>
      <c r="I1138" s="9" t="str">
        <f>IF(OR(G1138="",H1138=""),"",G1138*H1138)</f>
        <v/>
      </c>
      <c r="J1138" s="2"/>
      <c r="K1138" s="2"/>
    </row>
    <row r="1139" spans="1:11">
      <c r="A1139" s="4" t="str">
        <f>IF(D1139="","",COUNTIF($D$5:D1139,"?*"))</f>
        <v/>
      </c>
      <c r="B1139" s="5"/>
      <c r="C1139" s="4" t="str">
        <f>IF(B1139="","",INDEX({"Ocak","Şubat","Mart","Nisan","Mayıs","Haziran","Temmuz","Ağustos","Eylül","Ekim","Kasım","Aralık"},MONTH(B1139)))</f>
        <v/>
      </c>
      <c r="D1139" s="2"/>
      <c r="E1139" s="4" t="str">
        <f>IFERROR(INDEX('Araç Tanımlama'!$D$5:$D$200,MATCH(D1139,'Araç Tanımlama'!$A$5:$A$200,0)),"")</f>
        <v/>
      </c>
      <c r="F1139" s="4" t="str">
        <f>IFERROR(INDEX('Araç Tanımlama'!$E$5:$E$200,MATCH(D1139,'Araç Tanımlama'!$A$5:$A$200,0)),"")</f>
        <v/>
      </c>
      <c r="G1139" s="2"/>
      <c r="H1139" s="7"/>
      <c r="I1139" s="9" t="str">
        <f>IF(OR(G1139="",H1139=""),"",G1139*H1139)</f>
        <v/>
      </c>
      <c r="J1139" s="2"/>
      <c r="K1139" s="2"/>
    </row>
    <row r="1140" spans="1:11">
      <c r="A1140" s="4" t="str">
        <f>IF(D1140="","",COUNTIF($D$5:D1140,"?*"))</f>
        <v/>
      </c>
      <c r="B1140" s="5"/>
      <c r="C1140" s="4" t="str">
        <f>IF(B1140="","",INDEX({"Ocak","Şubat","Mart","Nisan","Mayıs","Haziran","Temmuz","Ağustos","Eylül","Ekim","Kasım","Aralık"},MONTH(B1140)))</f>
        <v/>
      </c>
      <c r="D1140" s="2"/>
      <c r="E1140" s="4" t="str">
        <f>IFERROR(INDEX('Araç Tanımlama'!$D$5:$D$200,MATCH(D1140,'Araç Tanımlama'!$A$5:$A$200,0)),"")</f>
        <v/>
      </c>
      <c r="F1140" s="4" t="str">
        <f>IFERROR(INDEX('Araç Tanımlama'!$E$5:$E$200,MATCH(D1140,'Araç Tanımlama'!$A$5:$A$200,0)),"")</f>
        <v/>
      </c>
      <c r="G1140" s="2"/>
      <c r="H1140" s="7"/>
      <c r="I1140" s="9" t="str">
        <f>IF(OR(G1140="",H1140=""),"",G1140*H1140)</f>
        <v/>
      </c>
      <c r="J1140" s="2"/>
      <c r="K1140" s="2"/>
    </row>
    <row r="1141" spans="1:11">
      <c r="A1141" s="4" t="str">
        <f>IF(D1141="","",COUNTIF($D$5:D1141,"?*"))</f>
        <v/>
      </c>
      <c r="B1141" s="5"/>
      <c r="C1141" s="4" t="str">
        <f>IF(B1141="","",INDEX({"Ocak","Şubat","Mart","Nisan","Mayıs","Haziran","Temmuz","Ağustos","Eylül","Ekim","Kasım","Aralık"},MONTH(B1141)))</f>
        <v/>
      </c>
      <c r="D1141" s="2"/>
      <c r="E1141" s="4" t="str">
        <f>IFERROR(INDEX('Araç Tanımlama'!$D$5:$D$200,MATCH(D1141,'Araç Tanımlama'!$A$5:$A$200,0)),"")</f>
        <v/>
      </c>
      <c r="F1141" s="4" t="str">
        <f>IFERROR(INDEX('Araç Tanımlama'!$E$5:$E$200,MATCH(D1141,'Araç Tanımlama'!$A$5:$A$200,0)),"")</f>
        <v/>
      </c>
      <c r="G1141" s="2"/>
      <c r="H1141" s="7"/>
      <c r="I1141" s="9" t="str">
        <f>IF(OR(G1141="",H1141=""),"",G1141*H1141)</f>
        <v/>
      </c>
      <c r="J1141" s="2"/>
      <c r="K1141" s="2"/>
    </row>
    <row r="1142" spans="1:11">
      <c r="A1142" s="4" t="str">
        <f>IF(D1142="","",COUNTIF($D$5:D1142,"?*"))</f>
        <v/>
      </c>
      <c r="B1142" s="5"/>
      <c r="C1142" s="4" t="str">
        <f>IF(B1142="","",INDEX({"Ocak","Şubat","Mart","Nisan","Mayıs","Haziran","Temmuz","Ağustos","Eylül","Ekim","Kasım","Aralık"},MONTH(B1142)))</f>
        <v/>
      </c>
      <c r="D1142" s="2"/>
      <c r="E1142" s="4" t="str">
        <f>IFERROR(INDEX('Araç Tanımlama'!$D$5:$D$200,MATCH(D1142,'Araç Tanımlama'!$A$5:$A$200,0)),"")</f>
        <v/>
      </c>
      <c r="F1142" s="4" t="str">
        <f>IFERROR(INDEX('Araç Tanımlama'!$E$5:$E$200,MATCH(D1142,'Araç Tanımlama'!$A$5:$A$200,0)),"")</f>
        <v/>
      </c>
      <c r="G1142" s="2"/>
      <c r="H1142" s="7"/>
      <c r="I1142" s="9" t="str">
        <f>IF(OR(G1142="",H1142=""),"",G1142*H1142)</f>
        <v/>
      </c>
      <c r="J1142" s="2"/>
      <c r="K1142" s="2"/>
    </row>
    <row r="1143" spans="1:11">
      <c r="A1143" s="4" t="str">
        <f>IF(D1143="","",COUNTIF($D$5:D1143,"?*"))</f>
        <v/>
      </c>
      <c r="B1143" s="5"/>
      <c r="C1143" s="4" t="str">
        <f>IF(B1143="","",INDEX({"Ocak","Şubat","Mart","Nisan","Mayıs","Haziran","Temmuz","Ağustos","Eylül","Ekim","Kasım","Aralık"},MONTH(B1143)))</f>
        <v/>
      </c>
      <c r="D1143" s="2"/>
      <c r="E1143" s="4" t="str">
        <f>IFERROR(INDEX('Araç Tanımlama'!$D$5:$D$200,MATCH(D1143,'Araç Tanımlama'!$A$5:$A$200,0)),"")</f>
        <v/>
      </c>
      <c r="F1143" s="4" t="str">
        <f>IFERROR(INDEX('Araç Tanımlama'!$E$5:$E$200,MATCH(D1143,'Araç Tanımlama'!$A$5:$A$200,0)),"")</f>
        <v/>
      </c>
      <c r="G1143" s="2"/>
      <c r="H1143" s="7"/>
      <c r="I1143" s="9" t="str">
        <f>IF(OR(G1143="",H1143=""),"",G1143*H1143)</f>
        <v/>
      </c>
      <c r="J1143" s="2"/>
      <c r="K1143" s="2"/>
    </row>
    <row r="1144" spans="1:11">
      <c r="A1144" s="4" t="str">
        <f>IF(D1144="","",COUNTIF($D$5:D1144,"?*"))</f>
        <v/>
      </c>
      <c r="B1144" s="5"/>
      <c r="C1144" s="4" t="str">
        <f>IF(B1144="","",INDEX({"Ocak","Şubat","Mart","Nisan","Mayıs","Haziran","Temmuz","Ağustos","Eylül","Ekim","Kasım","Aralık"},MONTH(B1144)))</f>
        <v/>
      </c>
      <c r="D1144" s="2"/>
      <c r="E1144" s="4" t="str">
        <f>IFERROR(INDEX('Araç Tanımlama'!$D$5:$D$200,MATCH(D1144,'Araç Tanımlama'!$A$5:$A$200,0)),"")</f>
        <v/>
      </c>
      <c r="F1144" s="4" t="str">
        <f>IFERROR(INDEX('Araç Tanımlama'!$E$5:$E$200,MATCH(D1144,'Araç Tanımlama'!$A$5:$A$200,0)),"")</f>
        <v/>
      </c>
      <c r="G1144" s="2"/>
      <c r="H1144" s="7"/>
      <c r="I1144" s="9" t="str">
        <f>IF(OR(G1144="",H1144=""),"",G1144*H1144)</f>
        <v/>
      </c>
      <c r="J1144" s="2"/>
      <c r="K1144" s="2"/>
    </row>
    <row r="1145" spans="1:11">
      <c r="A1145" s="4" t="str">
        <f>IF(D1145="","",COUNTIF($D$5:D1145,"?*"))</f>
        <v/>
      </c>
      <c r="B1145" s="5"/>
      <c r="C1145" s="4" t="str">
        <f>IF(B1145="","",INDEX({"Ocak","Şubat","Mart","Nisan","Mayıs","Haziran","Temmuz","Ağustos","Eylül","Ekim","Kasım","Aralık"},MONTH(B1145)))</f>
        <v/>
      </c>
      <c r="D1145" s="2"/>
      <c r="E1145" s="4" t="str">
        <f>IFERROR(INDEX('Araç Tanımlama'!$D$5:$D$200,MATCH(D1145,'Araç Tanımlama'!$A$5:$A$200,0)),"")</f>
        <v/>
      </c>
      <c r="F1145" s="4" t="str">
        <f>IFERROR(INDEX('Araç Tanımlama'!$E$5:$E$200,MATCH(D1145,'Araç Tanımlama'!$A$5:$A$200,0)),"")</f>
        <v/>
      </c>
      <c r="G1145" s="2"/>
      <c r="H1145" s="7"/>
      <c r="I1145" s="9" t="str">
        <f>IF(OR(G1145="",H1145=""),"",G1145*H1145)</f>
        <v/>
      </c>
      <c r="J1145" s="2"/>
      <c r="K1145" s="2"/>
    </row>
    <row r="1146" spans="1:11">
      <c r="A1146" s="4" t="str">
        <f>IF(D1146="","",COUNTIF($D$5:D1146,"?*"))</f>
        <v/>
      </c>
      <c r="B1146" s="5"/>
      <c r="C1146" s="4" t="str">
        <f>IF(B1146="","",INDEX({"Ocak","Şubat","Mart","Nisan","Mayıs","Haziran","Temmuz","Ağustos","Eylül","Ekim","Kasım","Aralık"},MONTH(B1146)))</f>
        <v/>
      </c>
      <c r="D1146" s="2"/>
      <c r="E1146" s="4" t="str">
        <f>IFERROR(INDEX('Araç Tanımlama'!$D$5:$D$200,MATCH(D1146,'Araç Tanımlama'!$A$5:$A$200,0)),"")</f>
        <v/>
      </c>
      <c r="F1146" s="4" t="str">
        <f>IFERROR(INDEX('Araç Tanımlama'!$E$5:$E$200,MATCH(D1146,'Araç Tanımlama'!$A$5:$A$200,0)),"")</f>
        <v/>
      </c>
      <c r="G1146" s="2"/>
      <c r="H1146" s="7"/>
      <c r="I1146" s="9" t="str">
        <f>IF(OR(G1146="",H1146=""),"",G1146*H1146)</f>
        <v/>
      </c>
      <c r="J1146" s="2"/>
      <c r="K1146" s="2"/>
    </row>
    <row r="1147" spans="1:11">
      <c r="A1147" s="4" t="str">
        <f>IF(D1147="","",COUNTIF($D$5:D1147,"?*"))</f>
        <v/>
      </c>
      <c r="B1147" s="5"/>
      <c r="C1147" s="4" t="str">
        <f>IF(B1147="","",INDEX({"Ocak","Şubat","Mart","Nisan","Mayıs","Haziran","Temmuz","Ağustos","Eylül","Ekim","Kasım","Aralık"},MONTH(B1147)))</f>
        <v/>
      </c>
      <c r="D1147" s="2"/>
      <c r="E1147" s="4" t="str">
        <f>IFERROR(INDEX('Araç Tanımlama'!$D$5:$D$200,MATCH(D1147,'Araç Tanımlama'!$A$5:$A$200,0)),"")</f>
        <v/>
      </c>
      <c r="F1147" s="4" t="str">
        <f>IFERROR(INDEX('Araç Tanımlama'!$E$5:$E$200,MATCH(D1147,'Araç Tanımlama'!$A$5:$A$200,0)),"")</f>
        <v/>
      </c>
      <c r="G1147" s="2"/>
      <c r="H1147" s="7"/>
      <c r="I1147" s="9" t="str">
        <f>IF(OR(G1147="",H1147=""),"",G1147*H1147)</f>
        <v/>
      </c>
      <c r="J1147" s="2"/>
      <c r="K1147" s="2"/>
    </row>
    <row r="1148" spans="1:11">
      <c r="A1148" s="4" t="str">
        <f>IF(D1148="","",COUNTIF($D$5:D1148,"?*"))</f>
        <v/>
      </c>
      <c r="B1148" s="5"/>
      <c r="C1148" s="4" t="str">
        <f>IF(B1148="","",INDEX({"Ocak","Şubat","Mart","Nisan","Mayıs","Haziran","Temmuz","Ağustos","Eylül","Ekim","Kasım","Aralık"},MONTH(B1148)))</f>
        <v/>
      </c>
      <c r="D1148" s="2"/>
      <c r="E1148" s="4" t="str">
        <f>IFERROR(INDEX('Araç Tanımlama'!$D$5:$D$200,MATCH(D1148,'Araç Tanımlama'!$A$5:$A$200,0)),"")</f>
        <v/>
      </c>
      <c r="F1148" s="4" t="str">
        <f>IFERROR(INDEX('Araç Tanımlama'!$E$5:$E$200,MATCH(D1148,'Araç Tanımlama'!$A$5:$A$200,0)),"")</f>
        <v/>
      </c>
      <c r="G1148" s="2"/>
      <c r="H1148" s="7"/>
      <c r="I1148" s="9" t="str">
        <f>IF(OR(G1148="",H1148=""),"",G1148*H1148)</f>
        <v/>
      </c>
      <c r="J1148" s="2"/>
      <c r="K1148" s="2"/>
    </row>
    <row r="1149" spans="1:11">
      <c r="A1149" s="4" t="str">
        <f>IF(D1149="","",COUNTIF($D$5:D1149,"?*"))</f>
        <v/>
      </c>
      <c r="B1149" s="5"/>
      <c r="C1149" s="4" t="str">
        <f>IF(B1149="","",INDEX({"Ocak","Şubat","Mart","Nisan","Mayıs","Haziran","Temmuz","Ağustos","Eylül","Ekim","Kasım","Aralık"},MONTH(B1149)))</f>
        <v/>
      </c>
      <c r="D1149" s="2"/>
      <c r="E1149" s="4" t="str">
        <f>IFERROR(INDEX('Araç Tanımlama'!$D$5:$D$200,MATCH(D1149,'Araç Tanımlama'!$A$5:$A$200,0)),"")</f>
        <v/>
      </c>
      <c r="F1149" s="4" t="str">
        <f>IFERROR(INDEX('Araç Tanımlama'!$E$5:$E$200,MATCH(D1149,'Araç Tanımlama'!$A$5:$A$200,0)),"")</f>
        <v/>
      </c>
      <c r="G1149" s="2"/>
      <c r="H1149" s="7"/>
      <c r="I1149" s="9" t="str">
        <f>IF(OR(G1149="",H1149=""),"",G1149*H1149)</f>
        <v/>
      </c>
      <c r="J1149" s="2"/>
      <c r="K1149" s="2"/>
    </row>
    <row r="1150" spans="1:11">
      <c r="A1150" s="4" t="str">
        <f>IF(D1150="","",COUNTIF($D$5:D1150,"?*"))</f>
        <v/>
      </c>
      <c r="B1150" s="5"/>
      <c r="C1150" s="4" t="str">
        <f>IF(B1150="","",INDEX({"Ocak","Şubat","Mart","Nisan","Mayıs","Haziran","Temmuz","Ağustos","Eylül","Ekim","Kasım","Aralık"},MONTH(B1150)))</f>
        <v/>
      </c>
      <c r="D1150" s="2"/>
      <c r="E1150" s="4" t="str">
        <f>IFERROR(INDEX('Araç Tanımlama'!$D$5:$D$200,MATCH(D1150,'Araç Tanımlama'!$A$5:$A$200,0)),"")</f>
        <v/>
      </c>
      <c r="F1150" s="4" t="str">
        <f>IFERROR(INDEX('Araç Tanımlama'!$E$5:$E$200,MATCH(D1150,'Araç Tanımlama'!$A$5:$A$200,0)),"")</f>
        <v/>
      </c>
      <c r="G1150" s="2"/>
      <c r="H1150" s="7"/>
      <c r="I1150" s="9" t="str">
        <f>IF(OR(G1150="",H1150=""),"",G1150*H1150)</f>
        <v/>
      </c>
      <c r="J1150" s="2"/>
      <c r="K1150" s="2"/>
    </row>
    <row r="1151" spans="1:11">
      <c r="A1151" s="4" t="str">
        <f>IF(D1151="","",COUNTIF($D$5:D1151,"?*"))</f>
        <v/>
      </c>
      <c r="B1151" s="5"/>
      <c r="C1151" s="4" t="str">
        <f>IF(B1151="","",INDEX({"Ocak","Şubat","Mart","Nisan","Mayıs","Haziran","Temmuz","Ağustos","Eylül","Ekim","Kasım","Aralık"},MONTH(B1151)))</f>
        <v/>
      </c>
      <c r="D1151" s="2"/>
      <c r="E1151" s="4" t="str">
        <f>IFERROR(INDEX('Araç Tanımlama'!$D$5:$D$200,MATCH(D1151,'Araç Tanımlama'!$A$5:$A$200,0)),"")</f>
        <v/>
      </c>
      <c r="F1151" s="4" t="str">
        <f>IFERROR(INDEX('Araç Tanımlama'!$E$5:$E$200,MATCH(D1151,'Araç Tanımlama'!$A$5:$A$200,0)),"")</f>
        <v/>
      </c>
      <c r="G1151" s="2"/>
      <c r="H1151" s="7"/>
      <c r="I1151" s="9" t="str">
        <f>IF(OR(G1151="",H1151=""),"",G1151*H1151)</f>
        <v/>
      </c>
      <c r="J1151" s="2"/>
      <c r="K1151" s="2"/>
    </row>
    <row r="1152" spans="1:11">
      <c r="A1152" s="4" t="str">
        <f>IF(D1152="","",COUNTIF($D$5:D1152,"?*"))</f>
        <v/>
      </c>
      <c r="B1152" s="5"/>
      <c r="C1152" s="4" t="str">
        <f>IF(B1152="","",INDEX({"Ocak","Şubat","Mart","Nisan","Mayıs","Haziran","Temmuz","Ağustos","Eylül","Ekim","Kasım","Aralık"},MONTH(B1152)))</f>
        <v/>
      </c>
      <c r="D1152" s="2"/>
      <c r="E1152" s="4" t="str">
        <f>IFERROR(INDEX('Araç Tanımlama'!$D$5:$D$200,MATCH(D1152,'Araç Tanımlama'!$A$5:$A$200,0)),"")</f>
        <v/>
      </c>
      <c r="F1152" s="4" t="str">
        <f>IFERROR(INDEX('Araç Tanımlama'!$E$5:$E$200,MATCH(D1152,'Araç Tanımlama'!$A$5:$A$200,0)),"")</f>
        <v/>
      </c>
      <c r="G1152" s="2"/>
      <c r="H1152" s="7"/>
      <c r="I1152" s="9" t="str">
        <f>IF(OR(G1152="",H1152=""),"",G1152*H1152)</f>
        <v/>
      </c>
      <c r="J1152" s="2"/>
      <c r="K1152" s="2"/>
    </row>
    <row r="1153" spans="1:11">
      <c r="A1153" s="4" t="str">
        <f>IF(D1153="","",COUNTIF($D$5:D1153,"?*"))</f>
        <v/>
      </c>
      <c r="B1153" s="5"/>
      <c r="C1153" s="4" t="str">
        <f>IF(B1153="","",INDEX({"Ocak","Şubat","Mart","Nisan","Mayıs","Haziran","Temmuz","Ağustos","Eylül","Ekim","Kasım","Aralık"},MONTH(B1153)))</f>
        <v/>
      </c>
      <c r="D1153" s="2"/>
      <c r="E1153" s="4" t="str">
        <f>IFERROR(INDEX('Araç Tanımlama'!$D$5:$D$200,MATCH(D1153,'Araç Tanımlama'!$A$5:$A$200,0)),"")</f>
        <v/>
      </c>
      <c r="F1153" s="4" t="str">
        <f>IFERROR(INDEX('Araç Tanımlama'!$E$5:$E$200,MATCH(D1153,'Araç Tanımlama'!$A$5:$A$200,0)),"")</f>
        <v/>
      </c>
      <c r="G1153" s="2"/>
      <c r="H1153" s="7"/>
      <c r="I1153" s="9" t="str">
        <f>IF(OR(G1153="",H1153=""),"",G1153*H1153)</f>
        <v/>
      </c>
      <c r="J1153" s="2"/>
      <c r="K1153" s="2"/>
    </row>
    <row r="1154" spans="1:11">
      <c r="A1154" s="4" t="str">
        <f>IF(D1154="","",COUNTIF($D$5:D1154,"?*"))</f>
        <v/>
      </c>
      <c r="B1154" s="5"/>
      <c r="C1154" s="4" t="str">
        <f>IF(B1154="","",INDEX({"Ocak","Şubat","Mart","Nisan","Mayıs","Haziran","Temmuz","Ağustos","Eylül","Ekim","Kasım","Aralık"},MONTH(B1154)))</f>
        <v/>
      </c>
      <c r="D1154" s="2"/>
      <c r="E1154" s="4" t="str">
        <f>IFERROR(INDEX('Araç Tanımlama'!$D$5:$D$200,MATCH(D1154,'Araç Tanımlama'!$A$5:$A$200,0)),"")</f>
        <v/>
      </c>
      <c r="F1154" s="4" t="str">
        <f>IFERROR(INDEX('Araç Tanımlama'!$E$5:$E$200,MATCH(D1154,'Araç Tanımlama'!$A$5:$A$200,0)),"")</f>
        <v/>
      </c>
      <c r="G1154" s="2"/>
      <c r="H1154" s="7"/>
      <c r="I1154" s="9" t="str">
        <f>IF(OR(G1154="",H1154=""),"",G1154*H1154)</f>
        <v/>
      </c>
      <c r="J1154" s="2"/>
      <c r="K1154" s="2"/>
    </row>
    <row r="1155" spans="1:11">
      <c r="A1155" s="4" t="str">
        <f>IF(D1155="","",COUNTIF($D$5:D1155,"?*"))</f>
        <v/>
      </c>
      <c r="B1155" s="5"/>
      <c r="C1155" s="4" t="str">
        <f>IF(B1155="","",INDEX({"Ocak","Şubat","Mart","Nisan","Mayıs","Haziran","Temmuz","Ağustos","Eylül","Ekim","Kasım","Aralık"},MONTH(B1155)))</f>
        <v/>
      </c>
      <c r="D1155" s="2"/>
      <c r="E1155" s="4" t="str">
        <f>IFERROR(INDEX('Araç Tanımlama'!$D$5:$D$200,MATCH(D1155,'Araç Tanımlama'!$A$5:$A$200,0)),"")</f>
        <v/>
      </c>
      <c r="F1155" s="4" t="str">
        <f>IFERROR(INDEX('Araç Tanımlama'!$E$5:$E$200,MATCH(D1155,'Araç Tanımlama'!$A$5:$A$200,0)),"")</f>
        <v/>
      </c>
      <c r="G1155" s="2"/>
      <c r="H1155" s="7"/>
      <c r="I1155" s="9" t="str">
        <f>IF(OR(G1155="",H1155=""),"",G1155*H1155)</f>
        <v/>
      </c>
      <c r="J1155" s="2"/>
      <c r="K1155" s="2"/>
    </row>
    <row r="1156" spans="1:11">
      <c r="A1156" s="4" t="str">
        <f>IF(D1156="","",COUNTIF($D$5:D1156,"?*"))</f>
        <v/>
      </c>
      <c r="B1156" s="5"/>
      <c r="C1156" s="4" t="str">
        <f>IF(B1156="","",INDEX({"Ocak","Şubat","Mart","Nisan","Mayıs","Haziran","Temmuz","Ağustos","Eylül","Ekim","Kasım","Aralık"},MONTH(B1156)))</f>
        <v/>
      </c>
      <c r="D1156" s="2"/>
      <c r="E1156" s="4" t="str">
        <f>IFERROR(INDEX('Araç Tanımlama'!$D$5:$D$200,MATCH(D1156,'Araç Tanımlama'!$A$5:$A$200,0)),"")</f>
        <v/>
      </c>
      <c r="F1156" s="4" t="str">
        <f>IFERROR(INDEX('Araç Tanımlama'!$E$5:$E$200,MATCH(D1156,'Araç Tanımlama'!$A$5:$A$200,0)),"")</f>
        <v/>
      </c>
      <c r="G1156" s="2"/>
      <c r="H1156" s="7"/>
      <c r="I1156" s="9" t="str">
        <f>IF(OR(G1156="",H1156=""),"",G1156*H1156)</f>
        <v/>
      </c>
      <c r="J1156" s="2"/>
      <c r="K1156" s="2"/>
    </row>
    <row r="1157" spans="1:11">
      <c r="A1157" s="4" t="str">
        <f>IF(D1157="","",COUNTIF($D$5:D1157,"?*"))</f>
        <v/>
      </c>
      <c r="B1157" s="5"/>
      <c r="C1157" s="4" t="str">
        <f>IF(B1157="","",INDEX({"Ocak","Şubat","Mart","Nisan","Mayıs","Haziran","Temmuz","Ağustos","Eylül","Ekim","Kasım","Aralık"},MONTH(B1157)))</f>
        <v/>
      </c>
      <c r="D1157" s="2"/>
      <c r="E1157" s="4" t="str">
        <f>IFERROR(INDEX('Araç Tanımlama'!$D$5:$D$200,MATCH(D1157,'Araç Tanımlama'!$A$5:$A$200,0)),"")</f>
        <v/>
      </c>
      <c r="F1157" s="4" t="str">
        <f>IFERROR(INDEX('Araç Tanımlama'!$E$5:$E$200,MATCH(D1157,'Araç Tanımlama'!$A$5:$A$200,0)),"")</f>
        <v/>
      </c>
      <c r="G1157" s="2"/>
      <c r="H1157" s="7"/>
      <c r="I1157" s="9" t="str">
        <f>IF(OR(G1157="",H1157=""),"",G1157*H1157)</f>
        <v/>
      </c>
      <c r="J1157" s="2"/>
      <c r="K1157" s="2"/>
    </row>
    <row r="1158" spans="1:11">
      <c r="A1158" s="4" t="str">
        <f>IF(D1158="","",COUNTIF($D$5:D1158,"?*"))</f>
        <v/>
      </c>
      <c r="B1158" s="5"/>
      <c r="C1158" s="4" t="str">
        <f>IF(B1158="","",INDEX({"Ocak","Şubat","Mart","Nisan","Mayıs","Haziran","Temmuz","Ağustos","Eylül","Ekim","Kasım","Aralık"},MONTH(B1158)))</f>
        <v/>
      </c>
      <c r="D1158" s="2"/>
      <c r="E1158" s="4" t="str">
        <f>IFERROR(INDEX('Araç Tanımlama'!$D$5:$D$200,MATCH(D1158,'Araç Tanımlama'!$A$5:$A$200,0)),"")</f>
        <v/>
      </c>
      <c r="F1158" s="4" t="str">
        <f>IFERROR(INDEX('Araç Tanımlama'!$E$5:$E$200,MATCH(D1158,'Araç Tanımlama'!$A$5:$A$200,0)),"")</f>
        <v/>
      </c>
      <c r="G1158" s="2"/>
      <c r="H1158" s="7"/>
      <c r="I1158" s="9" t="str">
        <f>IF(OR(G1158="",H1158=""),"",G1158*H1158)</f>
        <v/>
      </c>
      <c r="J1158" s="2"/>
      <c r="K1158" s="2"/>
    </row>
    <row r="1159" spans="1:11">
      <c r="A1159" s="4" t="str">
        <f>IF(D1159="","",COUNTIF($D$5:D1159,"?*"))</f>
        <v/>
      </c>
      <c r="B1159" s="5"/>
      <c r="C1159" s="4" t="str">
        <f>IF(B1159="","",INDEX({"Ocak","Şubat","Mart","Nisan","Mayıs","Haziran","Temmuz","Ağustos","Eylül","Ekim","Kasım","Aralık"},MONTH(B1159)))</f>
        <v/>
      </c>
      <c r="D1159" s="2"/>
      <c r="E1159" s="4" t="str">
        <f>IFERROR(INDEX('Araç Tanımlama'!$D$5:$D$200,MATCH(D1159,'Araç Tanımlama'!$A$5:$A$200,0)),"")</f>
        <v/>
      </c>
      <c r="F1159" s="4" t="str">
        <f>IFERROR(INDEX('Araç Tanımlama'!$E$5:$E$200,MATCH(D1159,'Araç Tanımlama'!$A$5:$A$200,0)),"")</f>
        <v/>
      </c>
      <c r="G1159" s="2"/>
      <c r="H1159" s="7"/>
      <c r="I1159" s="9" t="str">
        <f>IF(OR(G1159="",H1159=""),"",G1159*H1159)</f>
        <v/>
      </c>
      <c r="J1159" s="2"/>
      <c r="K1159" s="2"/>
    </row>
    <row r="1160" spans="1:11">
      <c r="A1160" s="4" t="str">
        <f>IF(D1160="","",COUNTIF($D$5:D1160,"?*"))</f>
        <v/>
      </c>
      <c r="B1160" s="5"/>
      <c r="C1160" s="4" t="str">
        <f>IF(B1160="","",INDEX({"Ocak","Şubat","Mart","Nisan","Mayıs","Haziran","Temmuz","Ağustos","Eylül","Ekim","Kasım","Aralık"},MONTH(B1160)))</f>
        <v/>
      </c>
      <c r="D1160" s="2"/>
      <c r="E1160" s="4" t="str">
        <f>IFERROR(INDEX('Araç Tanımlama'!$D$5:$D$200,MATCH(D1160,'Araç Tanımlama'!$A$5:$A$200,0)),"")</f>
        <v/>
      </c>
      <c r="F1160" s="4" t="str">
        <f>IFERROR(INDEX('Araç Tanımlama'!$E$5:$E$200,MATCH(D1160,'Araç Tanımlama'!$A$5:$A$200,0)),"")</f>
        <v/>
      </c>
      <c r="G1160" s="2"/>
      <c r="H1160" s="7"/>
      <c r="I1160" s="9" t="str">
        <f>IF(OR(G1160="",H1160=""),"",G1160*H1160)</f>
        <v/>
      </c>
      <c r="J1160" s="2"/>
      <c r="K1160" s="2"/>
    </row>
    <row r="1161" spans="1:11">
      <c r="A1161" s="4" t="str">
        <f>IF(D1161="","",COUNTIF($D$5:D1161,"?*"))</f>
        <v/>
      </c>
      <c r="B1161" s="5"/>
      <c r="C1161" s="4" t="str">
        <f>IF(B1161="","",INDEX({"Ocak","Şubat","Mart","Nisan","Mayıs","Haziran","Temmuz","Ağustos","Eylül","Ekim","Kasım","Aralık"},MONTH(B1161)))</f>
        <v/>
      </c>
      <c r="D1161" s="2"/>
      <c r="E1161" s="4" t="str">
        <f>IFERROR(INDEX('Araç Tanımlama'!$D$5:$D$200,MATCH(D1161,'Araç Tanımlama'!$A$5:$A$200,0)),"")</f>
        <v/>
      </c>
      <c r="F1161" s="4" t="str">
        <f>IFERROR(INDEX('Araç Tanımlama'!$E$5:$E$200,MATCH(D1161,'Araç Tanımlama'!$A$5:$A$200,0)),"")</f>
        <v/>
      </c>
      <c r="G1161" s="2"/>
      <c r="H1161" s="7"/>
      <c r="I1161" s="9" t="str">
        <f>IF(OR(G1161="",H1161=""),"",G1161*H1161)</f>
        <v/>
      </c>
      <c r="J1161" s="2"/>
      <c r="K1161" s="2"/>
    </row>
    <row r="1162" spans="1:11">
      <c r="A1162" s="4" t="str">
        <f>IF(D1162="","",COUNTIF($D$5:D1162,"?*"))</f>
        <v/>
      </c>
      <c r="B1162" s="5"/>
      <c r="C1162" s="4" t="str">
        <f>IF(B1162="","",INDEX({"Ocak","Şubat","Mart","Nisan","Mayıs","Haziran","Temmuz","Ağustos","Eylül","Ekim","Kasım","Aralık"},MONTH(B1162)))</f>
        <v/>
      </c>
      <c r="D1162" s="2"/>
      <c r="E1162" s="4" t="str">
        <f>IFERROR(INDEX('Araç Tanımlama'!$D$5:$D$200,MATCH(D1162,'Araç Tanımlama'!$A$5:$A$200,0)),"")</f>
        <v/>
      </c>
      <c r="F1162" s="4" t="str">
        <f>IFERROR(INDEX('Araç Tanımlama'!$E$5:$E$200,MATCH(D1162,'Araç Tanımlama'!$A$5:$A$200,0)),"")</f>
        <v/>
      </c>
      <c r="G1162" s="2"/>
      <c r="H1162" s="7"/>
      <c r="I1162" s="9" t="str">
        <f>IF(OR(G1162="",H1162=""),"",G1162*H1162)</f>
        <v/>
      </c>
      <c r="J1162" s="2"/>
      <c r="K1162" s="2"/>
    </row>
    <row r="1163" spans="1:11">
      <c r="A1163" s="4" t="str">
        <f>IF(D1163="","",COUNTIF($D$5:D1163,"?*"))</f>
        <v/>
      </c>
      <c r="B1163" s="5"/>
      <c r="C1163" s="4" t="str">
        <f>IF(B1163="","",INDEX({"Ocak","Şubat","Mart","Nisan","Mayıs","Haziran","Temmuz","Ağustos","Eylül","Ekim","Kasım","Aralık"},MONTH(B1163)))</f>
        <v/>
      </c>
      <c r="D1163" s="2"/>
      <c r="E1163" s="4" t="str">
        <f>IFERROR(INDEX('Araç Tanımlama'!$D$5:$D$200,MATCH(D1163,'Araç Tanımlama'!$A$5:$A$200,0)),"")</f>
        <v/>
      </c>
      <c r="F1163" s="4" t="str">
        <f>IFERROR(INDEX('Araç Tanımlama'!$E$5:$E$200,MATCH(D1163,'Araç Tanımlama'!$A$5:$A$200,0)),"")</f>
        <v/>
      </c>
      <c r="G1163" s="2"/>
      <c r="H1163" s="7"/>
      <c r="I1163" s="9" t="str">
        <f>IF(OR(G1163="",H1163=""),"",G1163*H1163)</f>
        <v/>
      </c>
      <c r="J1163" s="2"/>
      <c r="K1163" s="2"/>
    </row>
    <row r="1164" spans="1:11">
      <c r="A1164" s="4" t="str">
        <f>IF(D1164="","",COUNTIF($D$5:D1164,"?*"))</f>
        <v/>
      </c>
      <c r="B1164" s="5"/>
      <c r="C1164" s="4" t="str">
        <f>IF(B1164="","",INDEX({"Ocak","Şubat","Mart","Nisan","Mayıs","Haziran","Temmuz","Ağustos","Eylül","Ekim","Kasım","Aralık"},MONTH(B1164)))</f>
        <v/>
      </c>
      <c r="D1164" s="2"/>
      <c r="E1164" s="4" t="str">
        <f>IFERROR(INDEX('Araç Tanımlama'!$D$5:$D$200,MATCH(D1164,'Araç Tanımlama'!$A$5:$A$200,0)),"")</f>
        <v/>
      </c>
      <c r="F1164" s="4" t="str">
        <f>IFERROR(INDEX('Araç Tanımlama'!$E$5:$E$200,MATCH(D1164,'Araç Tanımlama'!$A$5:$A$200,0)),"")</f>
        <v/>
      </c>
      <c r="G1164" s="2"/>
      <c r="H1164" s="7"/>
      <c r="I1164" s="9" t="str">
        <f>IF(OR(G1164="",H1164=""),"",G1164*H1164)</f>
        <v/>
      </c>
      <c r="J1164" s="2"/>
      <c r="K1164" s="2"/>
    </row>
    <row r="1165" spans="1:11">
      <c r="A1165" s="4" t="str">
        <f>IF(D1165="","",COUNTIF($D$5:D1165,"?*"))</f>
        <v/>
      </c>
      <c r="B1165" s="5"/>
      <c r="C1165" s="4" t="str">
        <f>IF(B1165="","",INDEX({"Ocak","Şubat","Mart","Nisan","Mayıs","Haziran","Temmuz","Ağustos","Eylül","Ekim","Kasım","Aralık"},MONTH(B1165)))</f>
        <v/>
      </c>
      <c r="D1165" s="2"/>
      <c r="E1165" s="4" t="str">
        <f>IFERROR(INDEX('Araç Tanımlama'!$D$5:$D$200,MATCH(D1165,'Araç Tanımlama'!$A$5:$A$200,0)),"")</f>
        <v/>
      </c>
      <c r="F1165" s="4" t="str">
        <f>IFERROR(INDEX('Araç Tanımlama'!$E$5:$E$200,MATCH(D1165,'Araç Tanımlama'!$A$5:$A$200,0)),"")</f>
        <v/>
      </c>
      <c r="G1165" s="2"/>
      <c r="H1165" s="7"/>
      <c r="I1165" s="9" t="str">
        <f>IF(OR(G1165="",H1165=""),"",G1165*H1165)</f>
        <v/>
      </c>
      <c r="J1165" s="2"/>
      <c r="K1165" s="2"/>
    </row>
    <row r="1166" spans="1:11">
      <c r="A1166" s="4" t="str">
        <f>IF(D1166="","",COUNTIF($D$5:D1166,"?*"))</f>
        <v/>
      </c>
      <c r="B1166" s="5"/>
      <c r="C1166" s="4" t="str">
        <f>IF(B1166="","",INDEX({"Ocak","Şubat","Mart","Nisan","Mayıs","Haziran","Temmuz","Ağustos","Eylül","Ekim","Kasım","Aralık"},MONTH(B1166)))</f>
        <v/>
      </c>
      <c r="D1166" s="2"/>
      <c r="E1166" s="4" t="str">
        <f>IFERROR(INDEX('Araç Tanımlama'!$D$5:$D$200,MATCH(D1166,'Araç Tanımlama'!$A$5:$A$200,0)),"")</f>
        <v/>
      </c>
      <c r="F1166" s="4" t="str">
        <f>IFERROR(INDEX('Araç Tanımlama'!$E$5:$E$200,MATCH(D1166,'Araç Tanımlama'!$A$5:$A$200,0)),"")</f>
        <v/>
      </c>
      <c r="G1166" s="2"/>
      <c r="H1166" s="7"/>
      <c r="I1166" s="9" t="str">
        <f>IF(OR(G1166="",H1166=""),"",G1166*H1166)</f>
        <v/>
      </c>
      <c r="J1166" s="2"/>
      <c r="K1166" s="2"/>
    </row>
    <row r="1167" spans="1:11">
      <c r="A1167" s="4" t="str">
        <f>IF(D1167="","",COUNTIF($D$5:D1167,"?*"))</f>
        <v/>
      </c>
      <c r="B1167" s="5"/>
      <c r="C1167" s="4" t="str">
        <f>IF(B1167="","",INDEX({"Ocak","Şubat","Mart","Nisan","Mayıs","Haziran","Temmuz","Ağustos","Eylül","Ekim","Kasım","Aralık"},MONTH(B1167)))</f>
        <v/>
      </c>
      <c r="D1167" s="2"/>
      <c r="E1167" s="4" t="str">
        <f>IFERROR(INDEX('Araç Tanımlama'!$D$5:$D$200,MATCH(D1167,'Araç Tanımlama'!$A$5:$A$200,0)),"")</f>
        <v/>
      </c>
      <c r="F1167" s="4" t="str">
        <f>IFERROR(INDEX('Araç Tanımlama'!$E$5:$E$200,MATCH(D1167,'Araç Tanımlama'!$A$5:$A$200,0)),"")</f>
        <v/>
      </c>
      <c r="G1167" s="2"/>
      <c r="H1167" s="7"/>
      <c r="I1167" s="9" t="str">
        <f>IF(OR(G1167="",H1167=""),"",G1167*H1167)</f>
        <v/>
      </c>
      <c r="J1167" s="2"/>
      <c r="K1167" s="2"/>
    </row>
    <row r="1168" spans="1:11">
      <c r="A1168" s="4" t="str">
        <f>IF(D1168="","",COUNTIF($D$5:D1168,"?*"))</f>
        <v/>
      </c>
      <c r="B1168" s="5"/>
      <c r="C1168" s="4" t="str">
        <f>IF(B1168="","",INDEX({"Ocak","Şubat","Mart","Nisan","Mayıs","Haziran","Temmuz","Ağustos","Eylül","Ekim","Kasım","Aralık"},MONTH(B1168)))</f>
        <v/>
      </c>
      <c r="D1168" s="2"/>
      <c r="E1168" s="4" t="str">
        <f>IFERROR(INDEX('Araç Tanımlama'!$D$5:$D$200,MATCH(D1168,'Araç Tanımlama'!$A$5:$A$200,0)),"")</f>
        <v/>
      </c>
      <c r="F1168" s="4" t="str">
        <f>IFERROR(INDEX('Araç Tanımlama'!$E$5:$E$200,MATCH(D1168,'Araç Tanımlama'!$A$5:$A$200,0)),"")</f>
        <v/>
      </c>
      <c r="G1168" s="2"/>
      <c r="H1168" s="7"/>
      <c r="I1168" s="9" t="str">
        <f>IF(OR(G1168="",H1168=""),"",G1168*H1168)</f>
        <v/>
      </c>
      <c r="J1168" s="2"/>
      <c r="K1168" s="2"/>
    </row>
    <row r="1169" spans="1:11">
      <c r="A1169" s="4" t="str">
        <f>IF(D1169="","",COUNTIF($D$5:D1169,"?*"))</f>
        <v/>
      </c>
      <c r="B1169" s="5"/>
      <c r="C1169" s="4" t="str">
        <f>IF(B1169="","",INDEX({"Ocak","Şubat","Mart","Nisan","Mayıs","Haziran","Temmuz","Ağustos","Eylül","Ekim","Kasım","Aralık"},MONTH(B1169)))</f>
        <v/>
      </c>
      <c r="D1169" s="2"/>
      <c r="E1169" s="4" t="str">
        <f>IFERROR(INDEX('Araç Tanımlama'!$D$5:$D$200,MATCH(D1169,'Araç Tanımlama'!$A$5:$A$200,0)),"")</f>
        <v/>
      </c>
      <c r="F1169" s="4" t="str">
        <f>IFERROR(INDEX('Araç Tanımlama'!$E$5:$E$200,MATCH(D1169,'Araç Tanımlama'!$A$5:$A$200,0)),"")</f>
        <v/>
      </c>
      <c r="G1169" s="2"/>
      <c r="H1169" s="7"/>
      <c r="I1169" s="9" t="str">
        <f>IF(OR(G1169="",H1169=""),"",G1169*H1169)</f>
        <v/>
      </c>
      <c r="J1169" s="2"/>
      <c r="K1169" s="2"/>
    </row>
    <row r="1170" spans="1:11">
      <c r="A1170" s="4" t="str">
        <f>IF(D1170="","",COUNTIF($D$5:D1170,"?*"))</f>
        <v/>
      </c>
      <c r="B1170" s="5"/>
      <c r="C1170" s="4" t="str">
        <f>IF(B1170="","",INDEX({"Ocak","Şubat","Mart","Nisan","Mayıs","Haziran","Temmuz","Ağustos","Eylül","Ekim","Kasım","Aralık"},MONTH(B1170)))</f>
        <v/>
      </c>
      <c r="D1170" s="2"/>
      <c r="E1170" s="4" t="str">
        <f>IFERROR(INDEX('Araç Tanımlama'!$D$5:$D$200,MATCH(D1170,'Araç Tanımlama'!$A$5:$A$200,0)),"")</f>
        <v/>
      </c>
      <c r="F1170" s="4" t="str">
        <f>IFERROR(INDEX('Araç Tanımlama'!$E$5:$E$200,MATCH(D1170,'Araç Tanımlama'!$A$5:$A$200,0)),"")</f>
        <v/>
      </c>
      <c r="G1170" s="2"/>
      <c r="H1170" s="7"/>
      <c r="I1170" s="9" t="str">
        <f>IF(OR(G1170="",H1170=""),"",G1170*H1170)</f>
        <v/>
      </c>
      <c r="J1170" s="2"/>
      <c r="K1170" s="2"/>
    </row>
    <row r="1171" spans="1:11">
      <c r="A1171" s="4" t="str">
        <f>IF(D1171="","",COUNTIF($D$5:D1171,"?*"))</f>
        <v/>
      </c>
      <c r="B1171" s="5"/>
      <c r="C1171" s="4" t="str">
        <f>IF(B1171="","",INDEX({"Ocak","Şubat","Mart","Nisan","Mayıs","Haziran","Temmuz","Ağustos","Eylül","Ekim","Kasım","Aralık"},MONTH(B1171)))</f>
        <v/>
      </c>
      <c r="D1171" s="2"/>
      <c r="E1171" s="4" t="str">
        <f>IFERROR(INDEX('Araç Tanımlama'!$D$5:$D$200,MATCH(D1171,'Araç Tanımlama'!$A$5:$A$200,0)),"")</f>
        <v/>
      </c>
      <c r="F1171" s="4" t="str">
        <f>IFERROR(INDEX('Araç Tanımlama'!$E$5:$E$200,MATCH(D1171,'Araç Tanımlama'!$A$5:$A$200,0)),"")</f>
        <v/>
      </c>
      <c r="G1171" s="2"/>
      <c r="H1171" s="7"/>
      <c r="I1171" s="9" t="str">
        <f>IF(OR(G1171="",H1171=""),"",G1171*H1171)</f>
        <v/>
      </c>
      <c r="J1171" s="2"/>
      <c r="K1171" s="2"/>
    </row>
    <row r="1172" spans="1:11">
      <c r="A1172" s="4" t="str">
        <f>IF(D1172="","",COUNTIF($D$5:D1172,"?*"))</f>
        <v/>
      </c>
      <c r="B1172" s="5"/>
      <c r="C1172" s="4" t="str">
        <f>IF(B1172="","",INDEX({"Ocak","Şubat","Mart","Nisan","Mayıs","Haziran","Temmuz","Ağustos","Eylül","Ekim","Kasım","Aralık"},MONTH(B1172)))</f>
        <v/>
      </c>
      <c r="D1172" s="2"/>
      <c r="E1172" s="4" t="str">
        <f>IFERROR(INDEX('Araç Tanımlama'!$D$5:$D$200,MATCH(D1172,'Araç Tanımlama'!$A$5:$A$200,0)),"")</f>
        <v/>
      </c>
      <c r="F1172" s="4" t="str">
        <f>IFERROR(INDEX('Araç Tanımlama'!$E$5:$E$200,MATCH(D1172,'Araç Tanımlama'!$A$5:$A$200,0)),"")</f>
        <v/>
      </c>
      <c r="G1172" s="2"/>
      <c r="H1172" s="7"/>
      <c r="I1172" s="9" t="str">
        <f>IF(OR(G1172="",H1172=""),"",G1172*H1172)</f>
        <v/>
      </c>
      <c r="J1172" s="2"/>
      <c r="K1172" s="2"/>
    </row>
    <row r="1173" spans="1:11">
      <c r="A1173" s="4" t="str">
        <f>IF(D1173="","",COUNTIF($D$5:D1173,"?*"))</f>
        <v/>
      </c>
      <c r="B1173" s="5"/>
      <c r="C1173" s="4" t="str">
        <f>IF(B1173="","",INDEX({"Ocak","Şubat","Mart","Nisan","Mayıs","Haziran","Temmuz","Ağustos","Eylül","Ekim","Kasım","Aralık"},MONTH(B1173)))</f>
        <v/>
      </c>
      <c r="D1173" s="2"/>
      <c r="E1173" s="4" t="str">
        <f>IFERROR(INDEX('Araç Tanımlama'!$D$5:$D$200,MATCH(D1173,'Araç Tanımlama'!$A$5:$A$200,0)),"")</f>
        <v/>
      </c>
      <c r="F1173" s="4" t="str">
        <f>IFERROR(INDEX('Araç Tanımlama'!$E$5:$E$200,MATCH(D1173,'Araç Tanımlama'!$A$5:$A$200,0)),"")</f>
        <v/>
      </c>
      <c r="G1173" s="2"/>
      <c r="H1173" s="7"/>
      <c r="I1173" s="9" t="str">
        <f>IF(OR(G1173="",H1173=""),"",G1173*H1173)</f>
        <v/>
      </c>
      <c r="J1173" s="2"/>
      <c r="K1173" s="2"/>
    </row>
    <row r="1174" spans="1:11">
      <c r="A1174" s="4" t="str">
        <f>IF(D1174="","",COUNTIF($D$5:D1174,"?*"))</f>
        <v/>
      </c>
      <c r="B1174" s="5"/>
      <c r="C1174" s="4" t="str">
        <f>IF(B1174="","",INDEX({"Ocak","Şubat","Mart","Nisan","Mayıs","Haziran","Temmuz","Ağustos","Eylül","Ekim","Kasım","Aralık"},MONTH(B1174)))</f>
        <v/>
      </c>
      <c r="D1174" s="2"/>
      <c r="E1174" s="4" t="str">
        <f>IFERROR(INDEX('Araç Tanımlama'!$D$5:$D$200,MATCH(D1174,'Araç Tanımlama'!$A$5:$A$200,0)),"")</f>
        <v/>
      </c>
      <c r="F1174" s="4" t="str">
        <f>IFERROR(INDEX('Araç Tanımlama'!$E$5:$E$200,MATCH(D1174,'Araç Tanımlama'!$A$5:$A$200,0)),"")</f>
        <v/>
      </c>
      <c r="G1174" s="2"/>
      <c r="H1174" s="7"/>
      <c r="I1174" s="9" t="str">
        <f>IF(OR(G1174="",H1174=""),"",G1174*H1174)</f>
        <v/>
      </c>
      <c r="J1174" s="2"/>
      <c r="K1174" s="2"/>
    </row>
    <row r="1175" spans="1:11">
      <c r="A1175" s="4" t="str">
        <f>IF(D1175="","",COUNTIF($D$5:D1175,"?*"))</f>
        <v/>
      </c>
      <c r="B1175" s="5"/>
      <c r="C1175" s="4" t="str">
        <f>IF(B1175="","",INDEX({"Ocak","Şubat","Mart","Nisan","Mayıs","Haziran","Temmuz","Ağustos","Eylül","Ekim","Kasım","Aralık"},MONTH(B1175)))</f>
        <v/>
      </c>
      <c r="D1175" s="2"/>
      <c r="E1175" s="4" t="str">
        <f>IFERROR(INDEX('Araç Tanımlama'!$D$5:$D$200,MATCH(D1175,'Araç Tanımlama'!$A$5:$A$200,0)),"")</f>
        <v/>
      </c>
      <c r="F1175" s="4" t="str">
        <f>IFERROR(INDEX('Araç Tanımlama'!$E$5:$E$200,MATCH(D1175,'Araç Tanımlama'!$A$5:$A$200,0)),"")</f>
        <v/>
      </c>
      <c r="G1175" s="2"/>
      <c r="H1175" s="7"/>
      <c r="I1175" s="9" t="str">
        <f>IF(OR(G1175="",H1175=""),"",G1175*H1175)</f>
        <v/>
      </c>
      <c r="J1175" s="2"/>
      <c r="K1175" s="2"/>
    </row>
    <row r="1176" spans="1:11">
      <c r="A1176" s="4" t="str">
        <f>IF(D1176="","",COUNTIF($D$5:D1176,"?*"))</f>
        <v/>
      </c>
      <c r="B1176" s="5"/>
      <c r="C1176" s="4" t="str">
        <f>IF(B1176="","",INDEX({"Ocak","Şubat","Mart","Nisan","Mayıs","Haziran","Temmuz","Ağustos","Eylül","Ekim","Kasım","Aralık"},MONTH(B1176)))</f>
        <v/>
      </c>
      <c r="D1176" s="2"/>
      <c r="E1176" s="4" t="str">
        <f>IFERROR(INDEX('Araç Tanımlama'!$D$5:$D$200,MATCH(D1176,'Araç Tanımlama'!$A$5:$A$200,0)),"")</f>
        <v/>
      </c>
      <c r="F1176" s="4" t="str">
        <f>IFERROR(INDEX('Araç Tanımlama'!$E$5:$E$200,MATCH(D1176,'Araç Tanımlama'!$A$5:$A$200,0)),"")</f>
        <v/>
      </c>
      <c r="G1176" s="2"/>
      <c r="H1176" s="7"/>
      <c r="I1176" s="9" t="str">
        <f>IF(OR(G1176="",H1176=""),"",G1176*H1176)</f>
        <v/>
      </c>
      <c r="J1176" s="2"/>
      <c r="K1176" s="2"/>
    </row>
    <row r="1177" spans="1:11">
      <c r="A1177" s="4" t="str">
        <f>IF(D1177="","",COUNTIF($D$5:D1177,"?*"))</f>
        <v/>
      </c>
      <c r="B1177" s="5"/>
      <c r="C1177" s="4" t="str">
        <f>IF(B1177="","",INDEX({"Ocak","Şubat","Mart","Nisan","Mayıs","Haziran","Temmuz","Ağustos","Eylül","Ekim","Kasım","Aralık"},MONTH(B1177)))</f>
        <v/>
      </c>
      <c r="D1177" s="2"/>
      <c r="E1177" s="4" t="str">
        <f>IFERROR(INDEX('Araç Tanımlama'!$D$5:$D$200,MATCH(D1177,'Araç Tanımlama'!$A$5:$A$200,0)),"")</f>
        <v/>
      </c>
      <c r="F1177" s="4" t="str">
        <f>IFERROR(INDEX('Araç Tanımlama'!$E$5:$E$200,MATCH(D1177,'Araç Tanımlama'!$A$5:$A$200,0)),"")</f>
        <v/>
      </c>
      <c r="G1177" s="2"/>
      <c r="H1177" s="7"/>
      <c r="I1177" s="9" t="str">
        <f>IF(OR(G1177="",H1177=""),"",G1177*H1177)</f>
        <v/>
      </c>
      <c r="J1177" s="2"/>
      <c r="K1177" s="2"/>
    </row>
    <row r="1178" spans="1:11">
      <c r="A1178" s="4" t="str">
        <f>IF(D1178="","",COUNTIF($D$5:D1178,"?*"))</f>
        <v/>
      </c>
      <c r="B1178" s="5"/>
      <c r="C1178" s="4" t="str">
        <f>IF(B1178="","",INDEX({"Ocak","Şubat","Mart","Nisan","Mayıs","Haziran","Temmuz","Ağustos","Eylül","Ekim","Kasım","Aralık"},MONTH(B1178)))</f>
        <v/>
      </c>
      <c r="D1178" s="2"/>
      <c r="E1178" s="4" t="str">
        <f>IFERROR(INDEX('Araç Tanımlama'!$D$5:$D$200,MATCH(D1178,'Araç Tanımlama'!$A$5:$A$200,0)),"")</f>
        <v/>
      </c>
      <c r="F1178" s="4" t="str">
        <f>IFERROR(INDEX('Araç Tanımlama'!$E$5:$E$200,MATCH(D1178,'Araç Tanımlama'!$A$5:$A$200,0)),"")</f>
        <v/>
      </c>
      <c r="G1178" s="2"/>
      <c r="H1178" s="7"/>
      <c r="I1178" s="9" t="str">
        <f>IF(OR(G1178="",H1178=""),"",G1178*H1178)</f>
        <v/>
      </c>
      <c r="J1178" s="2"/>
      <c r="K1178" s="2"/>
    </row>
    <row r="1179" spans="1:11">
      <c r="A1179" s="4" t="str">
        <f>IF(D1179="","",COUNTIF($D$5:D1179,"?*"))</f>
        <v/>
      </c>
      <c r="B1179" s="5"/>
      <c r="C1179" s="4" t="str">
        <f>IF(B1179="","",INDEX({"Ocak","Şubat","Mart","Nisan","Mayıs","Haziran","Temmuz","Ağustos","Eylül","Ekim","Kasım","Aralık"},MONTH(B1179)))</f>
        <v/>
      </c>
      <c r="D1179" s="2"/>
      <c r="E1179" s="4" t="str">
        <f>IFERROR(INDEX('Araç Tanımlama'!$D$5:$D$200,MATCH(D1179,'Araç Tanımlama'!$A$5:$A$200,0)),"")</f>
        <v/>
      </c>
      <c r="F1179" s="4" t="str">
        <f>IFERROR(INDEX('Araç Tanımlama'!$E$5:$E$200,MATCH(D1179,'Araç Tanımlama'!$A$5:$A$200,0)),"")</f>
        <v/>
      </c>
      <c r="G1179" s="2"/>
      <c r="H1179" s="7"/>
      <c r="I1179" s="9" t="str">
        <f>IF(OR(G1179="",H1179=""),"",G1179*H1179)</f>
        <v/>
      </c>
      <c r="J1179" s="2"/>
      <c r="K1179" s="2"/>
    </row>
    <row r="1180" spans="1:11">
      <c r="A1180" s="4" t="str">
        <f>IF(D1180="","",COUNTIF($D$5:D1180,"?*"))</f>
        <v/>
      </c>
      <c r="B1180" s="5"/>
      <c r="C1180" s="4" t="str">
        <f>IF(B1180="","",INDEX({"Ocak","Şubat","Mart","Nisan","Mayıs","Haziran","Temmuz","Ağustos","Eylül","Ekim","Kasım","Aralık"},MONTH(B1180)))</f>
        <v/>
      </c>
      <c r="D1180" s="2"/>
      <c r="E1180" s="4" t="str">
        <f>IFERROR(INDEX('Araç Tanımlama'!$D$5:$D$200,MATCH(D1180,'Araç Tanımlama'!$A$5:$A$200,0)),"")</f>
        <v/>
      </c>
      <c r="F1180" s="4" t="str">
        <f>IFERROR(INDEX('Araç Tanımlama'!$E$5:$E$200,MATCH(D1180,'Araç Tanımlama'!$A$5:$A$200,0)),"")</f>
        <v/>
      </c>
      <c r="G1180" s="2"/>
      <c r="H1180" s="7"/>
      <c r="I1180" s="9" t="str">
        <f>IF(OR(G1180="",H1180=""),"",G1180*H1180)</f>
        <v/>
      </c>
      <c r="J1180" s="2"/>
      <c r="K1180" s="2"/>
    </row>
    <row r="1181" spans="1:11">
      <c r="A1181" s="4" t="str">
        <f>IF(D1181="","",COUNTIF($D$5:D1181,"?*"))</f>
        <v/>
      </c>
      <c r="B1181" s="5"/>
      <c r="C1181" s="4" t="str">
        <f>IF(B1181="","",INDEX({"Ocak","Şubat","Mart","Nisan","Mayıs","Haziran","Temmuz","Ağustos","Eylül","Ekim","Kasım","Aralık"},MONTH(B1181)))</f>
        <v/>
      </c>
      <c r="D1181" s="2"/>
      <c r="E1181" s="4" t="str">
        <f>IFERROR(INDEX('Araç Tanımlama'!$D$5:$D$200,MATCH(D1181,'Araç Tanımlama'!$A$5:$A$200,0)),"")</f>
        <v/>
      </c>
      <c r="F1181" s="4" t="str">
        <f>IFERROR(INDEX('Araç Tanımlama'!$E$5:$E$200,MATCH(D1181,'Araç Tanımlama'!$A$5:$A$200,0)),"")</f>
        <v/>
      </c>
      <c r="G1181" s="2"/>
      <c r="H1181" s="7"/>
      <c r="I1181" s="9" t="str">
        <f>IF(OR(G1181="",H1181=""),"",G1181*H1181)</f>
        <v/>
      </c>
      <c r="J1181" s="2"/>
      <c r="K1181" s="2"/>
    </row>
    <row r="1182" spans="1:11">
      <c r="A1182" s="4" t="str">
        <f>IF(D1182="","",COUNTIF($D$5:D1182,"?*"))</f>
        <v/>
      </c>
      <c r="B1182" s="5"/>
      <c r="C1182" s="4" t="str">
        <f>IF(B1182="","",INDEX({"Ocak","Şubat","Mart","Nisan","Mayıs","Haziran","Temmuz","Ağustos","Eylül","Ekim","Kasım","Aralık"},MONTH(B1182)))</f>
        <v/>
      </c>
      <c r="D1182" s="2"/>
      <c r="E1182" s="4" t="str">
        <f>IFERROR(INDEX('Araç Tanımlama'!$D$5:$D$200,MATCH(D1182,'Araç Tanımlama'!$A$5:$A$200,0)),"")</f>
        <v/>
      </c>
      <c r="F1182" s="4" t="str">
        <f>IFERROR(INDEX('Araç Tanımlama'!$E$5:$E$200,MATCH(D1182,'Araç Tanımlama'!$A$5:$A$200,0)),"")</f>
        <v/>
      </c>
      <c r="G1182" s="2"/>
      <c r="H1182" s="7"/>
      <c r="I1182" s="9" t="str">
        <f>IF(OR(G1182="",H1182=""),"",G1182*H1182)</f>
        <v/>
      </c>
      <c r="J1182" s="2"/>
      <c r="K1182" s="2"/>
    </row>
    <row r="1183" spans="1:11">
      <c r="A1183" s="4" t="str">
        <f>IF(D1183="","",COUNTIF($D$5:D1183,"?*"))</f>
        <v/>
      </c>
      <c r="B1183" s="5"/>
      <c r="C1183" s="4" t="str">
        <f>IF(B1183="","",INDEX({"Ocak","Şubat","Mart","Nisan","Mayıs","Haziran","Temmuz","Ağustos","Eylül","Ekim","Kasım","Aralık"},MONTH(B1183)))</f>
        <v/>
      </c>
      <c r="D1183" s="2"/>
      <c r="E1183" s="4" t="str">
        <f>IFERROR(INDEX('Araç Tanımlama'!$D$5:$D$200,MATCH(D1183,'Araç Tanımlama'!$A$5:$A$200,0)),"")</f>
        <v/>
      </c>
      <c r="F1183" s="4" t="str">
        <f>IFERROR(INDEX('Araç Tanımlama'!$E$5:$E$200,MATCH(D1183,'Araç Tanımlama'!$A$5:$A$200,0)),"")</f>
        <v/>
      </c>
      <c r="G1183" s="2"/>
      <c r="H1183" s="7"/>
      <c r="I1183" s="9" t="str">
        <f>IF(OR(G1183="",H1183=""),"",G1183*H1183)</f>
        <v/>
      </c>
      <c r="J1183" s="2"/>
      <c r="K1183" s="2"/>
    </row>
    <row r="1184" spans="1:11">
      <c r="A1184" s="4" t="str">
        <f>IF(D1184="","",COUNTIF($D$5:D1184,"?*"))</f>
        <v/>
      </c>
      <c r="B1184" s="5"/>
      <c r="C1184" s="4" t="str">
        <f>IF(B1184="","",INDEX({"Ocak","Şubat","Mart","Nisan","Mayıs","Haziran","Temmuz","Ağustos","Eylül","Ekim","Kasım","Aralık"},MONTH(B1184)))</f>
        <v/>
      </c>
      <c r="D1184" s="2"/>
      <c r="E1184" s="4" t="str">
        <f>IFERROR(INDEX('Araç Tanımlama'!$D$5:$D$200,MATCH(D1184,'Araç Tanımlama'!$A$5:$A$200,0)),"")</f>
        <v/>
      </c>
      <c r="F1184" s="4" t="str">
        <f>IFERROR(INDEX('Araç Tanımlama'!$E$5:$E$200,MATCH(D1184,'Araç Tanımlama'!$A$5:$A$200,0)),"")</f>
        <v/>
      </c>
      <c r="G1184" s="2"/>
      <c r="H1184" s="7"/>
      <c r="I1184" s="9" t="str">
        <f>IF(OR(G1184="",H1184=""),"",G1184*H1184)</f>
        <v/>
      </c>
      <c r="J1184" s="2"/>
      <c r="K1184" s="2"/>
    </row>
    <row r="1185" spans="1:11">
      <c r="A1185" s="4" t="str">
        <f>IF(D1185="","",COUNTIF($D$5:D1185,"?*"))</f>
        <v/>
      </c>
      <c r="B1185" s="5"/>
      <c r="C1185" s="4" t="str">
        <f>IF(B1185="","",INDEX({"Ocak","Şubat","Mart","Nisan","Mayıs","Haziran","Temmuz","Ağustos","Eylül","Ekim","Kasım","Aralık"},MONTH(B1185)))</f>
        <v/>
      </c>
      <c r="D1185" s="2"/>
      <c r="E1185" s="4" t="str">
        <f>IFERROR(INDEX('Araç Tanımlama'!$D$5:$D$200,MATCH(D1185,'Araç Tanımlama'!$A$5:$A$200,0)),"")</f>
        <v/>
      </c>
      <c r="F1185" s="4" t="str">
        <f>IFERROR(INDEX('Araç Tanımlama'!$E$5:$E$200,MATCH(D1185,'Araç Tanımlama'!$A$5:$A$200,0)),"")</f>
        <v/>
      </c>
      <c r="G1185" s="2"/>
      <c r="H1185" s="7"/>
      <c r="I1185" s="9" t="str">
        <f>IF(OR(G1185="",H1185=""),"",G1185*H1185)</f>
        <v/>
      </c>
      <c r="J1185" s="2"/>
      <c r="K1185" s="2"/>
    </row>
    <row r="1186" spans="1:11">
      <c r="A1186" s="4" t="str">
        <f>IF(D1186="","",COUNTIF($D$5:D1186,"?*"))</f>
        <v/>
      </c>
      <c r="B1186" s="5"/>
      <c r="C1186" s="4" t="str">
        <f>IF(B1186="","",INDEX({"Ocak","Şubat","Mart","Nisan","Mayıs","Haziran","Temmuz","Ağustos","Eylül","Ekim","Kasım","Aralık"},MONTH(B1186)))</f>
        <v/>
      </c>
      <c r="D1186" s="2"/>
      <c r="E1186" s="4" t="str">
        <f>IFERROR(INDEX('Araç Tanımlama'!$D$5:$D$200,MATCH(D1186,'Araç Tanımlama'!$A$5:$A$200,0)),"")</f>
        <v/>
      </c>
      <c r="F1186" s="4" t="str">
        <f>IFERROR(INDEX('Araç Tanımlama'!$E$5:$E$200,MATCH(D1186,'Araç Tanımlama'!$A$5:$A$200,0)),"")</f>
        <v/>
      </c>
      <c r="G1186" s="2"/>
      <c r="H1186" s="7"/>
      <c r="I1186" s="9" t="str">
        <f>IF(OR(G1186="",H1186=""),"",G1186*H1186)</f>
        <v/>
      </c>
      <c r="J1186" s="2"/>
      <c r="K1186" s="2"/>
    </row>
    <row r="1187" spans="1:11">
      <c r="A1187" s="4" t="str">
        <f>IF(D1187="","",COUNTIF($D$5:D1187,"?*"))</f>
        <v/>
      </c>
      <c r="B1187" s="5"/>
      <c r="C1187" s="4" t="str">
        <f>IF(B1187="","",INDEX({"Ocak","Şubat","Mart","Nisan","Mayıs","Haziran","Temmuz","Ağustos","Eylül","Ekim","Kasım","Aralık"},MONTH(B1187)))</f>
        <v/>
      </c>
      <c r="D1187" s="2"/>
      <c r="E1187" s="4" t="str">
        <f>IFERROR(INDEX('Araç Tanımlama'!$D$5:$D$200,MATCH(D1187,'Araç Tanımlama'!$A$5:$A$200,0)),"")</f>
        <v/>
      </c>
      <c r="F1187" s="4" t="str">
        <f>IFERROR(INDEX('Araç Tanımlama'!$E$5:$E$200,MATCH(D1187,'Araç Tanımlama'!$A$5:$A$200,0)),"")</f>
        <v/>
      </c>
      <c r="G1187" s="2"/>
      <c r="H1187" s="7"/>
      <c r="I1187" s="9" t="str">
        <f>IF(OR(G1187="",H1187=""),"",G1187*H1187)</f>
        <v/>
      </c>
      <c r="J1187" s="2"/>
      <c r="K1187" s="2"/>
    </row>
    <row r="1188" spans="1:11">
      <c r="A1188" s="4" t="str">
        <f>IF(D1188="","",COUNTIF($D$5:D1188,"?*"))</f>
        <v/>
      </c>
      <c r="B1188" s="5"/>
      <c r="C1188" s="4" t="str">
        <f>IF(B1188="","",INDEX({"Ocak","Şubat","Mart","Nisan","Mayıs","Haziran","Temmuz","Ağustos","Eylül","Ekim","Kasım","Aralık"},MONTH(B1188)))</f>
        <v/>
      </c>
      <c r="D1188" s="2"/>
      <c r="E1188" s="4" t="str">
        <f>IFERROR(INDEX('Araç Tanımlama'!$D$5:$D$200,MATCH(D1188,'Araç Tanımlama'!$A$5:$A$200,0)),"")</f>
        <v/>
      </c>
      <c r="F1188" s="4" t="str">
        <f>IFERROR(INDEX('Araç Tanımlama'!$E$5:$E$200,MATCH(D1188,'Araç Tanımlama'!$A$5:$A$200,0)),"")</f>
        <v/>
      </c>
      <c r="G1188" s="2"/>
      <c r="H1188" s="7"/>
      <c r="I1188" s="9" t="str">
        <f>IF(OR(G1188="",H1188=""),"",G1188*H1188)</f>
        <v/>
      </c>
      <c r="J1188" s="2"/>
      <c r="K1188" s="2"/>
    </row>
    <row r="1189" spans="1:11">
      <c r="A1189" s="4" t="str">
        <f>IF(D1189="","",COUNTIF($D$5:D1189,"?*"))</f>
        <v/>
      </c>
      <c r="B1189" s="5"/>
      <c r="C1189" s="4" t="str">
        <f>IF(B1189="","",INDEX({"Ocak","Şubat","Mart","Nisan","Mayıs","Haziran","Temmuz","Ağustos","Eylül","Ekim","Kasım","Aralık"},MONTH(B1189)))</f>
        <v/>
      </c>
      <c r="D1189" s="2"/>
      <c r="E1189" s="4" t="str">
        <f>IFERROR(INDEX('Araç Tanımlama'!$D$5:$D$200,MATCH(D1189,'Araç Tanımlama'!$A$5:$A$200,0)),"")</f>
        <v/>
      </c>
      <c r="F1189" s="4" t="str">
        <f>IFERROR(INDEX('Araç Tanımlama'!$E$5:$E$200,MATCH(D1189,'Araç Tanımlama'!$A$5:$A$200,0)),"")</f>
        <v/>
      </c>
      <c r="G1189" s="2"/>
      <c r="H1189" s="7"/>
      <c r="I1189" s="9" t="str">
        <f>IF(OR(G1189="",H1189=""),"",G1189*H1189)</f>
        <v/>
      </c>
      <c r="J1189" s="2"/>
      <c r="K1189" s="2"/>
    </row>
    <row r="1190" spans="1:11">
      <c r="A1190" s="4" t="str">
        <f>IF(D1190="","",COUNTIF($D$5:D1190,"?*"))</f>
        <v/>
      </c>
      <c r="B1190" s="5"/>
      <c r="C1190" s="4" t="str">
        <f>IF(B1190="","",INDEX({"Ocak","Şubat","Mart","Nisan","Mayıs","Haziran","Temmuz","Ağustos","Eylül","Ekim","Kasım","Aralık"},MONTH(B1190)))</f>
        <v/>
      </c>
      <c r="D1190" s="2"/>
      <c r="E1190" s="4" t="str">
        <f>IFERROR(INDEX('Araç Tanımlama'!$D$5:$D$200,MATCH(D1190,'Araç Tanımlama'!$A$5:$A$200,0)),"")</f>
        <v/>
      </c>
      <c r="F1190" s="4" t="str">
        <f>IFERROR(INDEX('Araç Tanımlama'!$E$5:$E$200,MATCH(D1190,'Araç Tanımlama'!$A$5:$A$200,0)),"")</f>
        <v/>
      </c>
      <c r="G1190" s="2"/>
      <c r="H1190" s="7"/>
      <c r="I1190" s="9" t="str">
        <f>IF(OR(G1190="",H1190=""),"",G1190*H1190)</f>
        <v/>
      </c>
      <c r="J1190" s="2"/>
      <c r="K1190" s="2"/>
    </row>
    <row r="1191" spans="1:11">
      <c r="A1191" s="4" t="str">
        <f>IF(D1191="","",COUNTIF($D$5:D1191,"?*"))</f>
        <v/>
      </c>
      <c r="B1191" s="5"/>
      <c r="C1191" s="4" t="str">
        <f>IF(B1191="","",INDEX({"Ocak","Şubat","Mart","Nisan","Mayıs","Haziran","Temmuz","Ağustos","Eylül","Ekim","Kasım","Aralık"},MONTH(B1191)))</f>
        <v/>
      </c>
      <c r="D1191" s="2"/>
      <c r="E1191" s="4" t="str">
        <f>IFERROR(INDEX('Araç Tanımlama'!$D$5:$D$200,MATCH(D1191,'Araç Tanımlama'!$A$5:$A$200,0)),"")</f>
        <v/>
      </c>
      <c r="F1191" s="4" t="str">
        <f>IFERROR(INDEX('Araç Tanımlama'!$E$5:$E$200,MATCH(D1191,'Araç Tanımlama'!$A$5:$A$200,0)),"")</f>
        <v/>
      </c>
      <c r="G1191" s="2"/>
      <c r="H1191" s="7"/>
      <c r="I1191" s="9" t="str">
        <f>IF(OR(G1191="",H1191=""),"",G1191*H1191)</f>
        <v/>
      </c>
      <c r="J1191" s="2"/>
      <c r="K1191" s="2"/>
    </row>
    <row r="1192" spans="1:11">
      <c r="A1192" s="4" t="str">
        <f>IF(D1192="","",COUNTIF($D$5:D1192,"?*"))</f>
        <v/>
      </c>
      <c r="B1192" s="5"/>
      <c r="C1192" s="4" t="str">
        <f>IF(B1192="","",INDEX({"Ocak","Şubat","Mart","Nisan","Mayıs","Haziran","Temmuz","Ağustos","Eylül","Ekim","Kasım","Aralık"},MONTH(B1192)))</f>
        <v/>
      </c>
      <c r="D1192" s="2"/>
      <c r="E1192" s="4" t="str">
        <f>IFERROR(INDEX('Araç Tanımlama'!$D$5:$D$200,MATCH(D1192,'Araç Tanımlama'!$A$5:$A$200,0)),"")</f>
        <v/>
      </c>
      <c r="F1192" s="4" t="str">
        <f>IFERROR(INDEX('Araç Tanımlama'!$E$5:$E$200,MATCH(D1192,'Araç Tanımlama'!$A$5:$A$200,0)),"")</f>
        <v/>
      </c>
      <c r="G1192" s="2"/>
      <c r="H1192" s="7"/>
      <c r="I1192" s="9" t="str">
        <f>IF(OR(G1192="",H1192=""),"",G1192*H1192)</f>
        <v/>
      </c>
      <c r="J1192" s="2"/>
      <c r="K1192" s="2"/>
    </row>
    <row r="1193" spans="1:11">
      <c r="A1193" s="4" t="str">
        <f>IF(D1193="","",COUNTIF($D$5:D1193,"?*"))</f>
        <v/>
      </c>
      <c r="B1193" s="5"/>
      <c r="C1193" s="4" t="str">
        <f>IF(B1193="","",INDEX({"Ocak","Şubat","Mart","Nisan","Mayıs","Haziran","Temmuz","Ağustos","Eylül","Ekim","Kasım","Aralık"},MONTH(B1193)))</f>
        <v/>
      </c>
      <c r="D1193" s="2"/>
      <c r="E1193" s="4" t="str">
        <f>IFERROR(INDEX('Araç Tanımlama'!$D$5:$D$200,MATCH(D1193,'Araç Tanımlama'!$A$5:$A$200,0)),"")</f>
        <v/>
      </c>
      <c r="F1193" s="4" t="str">
        <f>IFERROR(INDEX('Araç Tanımlama'!$E$5:$E$200,MATCH(D1193,'Araç Tanımlama'!$A$5:$A$200,0)),"")</f>
        <v/>
      </c>
      <c r="G1193" s="2"/>
      <c r="H1193" s="7"/>
      <c r="I1193" s="9" t="str">
        <f>IF(OR(G1193="",H1193=""),"",G1193*H1193)</f>
        <v/>
      </c>
      <c r="J1193" s="2"/>
      <c r="K1193" s="2"/>
    </row>
    <row r="1194" spans="1:11">
      <c r="A1194" s="4" t="str">
        <f>IF(D1194="","",COUNTIF($D$5:D1194,"?*"))</f>
        <v/>
      </c>
      <c r="B1194" s="5"/>
      <c r="C1194" s="4" t="str">
        <f>IF(B1194="","",INDEX({"Ocak","Şubat","Mart","Nisan","Mayıs","Haziran","Temmuz","Ağustos","Eylül","Ekim","Kasım","Aralık"},MONTH(B1194)))</f>
        <v/>
      </c>
      <c r="D1194" s="2"/>
      <c r="E1194" s="4" t="str">
        <f>IFERROR(INDEX('Araç Tanımlama'!$D$5:$D$200,MATCH(D1194,'Araç Tanımlama'!$A$5:$A$200,0)),"")</f>
        <v/>
      </c>
      <c r="F1194" s="4" t="str">
        <f>IFERROR(INDEX('Araç Tanımlama'!$E$5:$E$200,MATCH(D1194,'Araç Tanımlama'!$A$5:$A$200,0)),"")</f>
        <v/>
      </c>
      <c r="G1194" s="2"/>
      <c r="H1194" s="7"/>
      <c r="I1194" s="9" t="str">
        <f>IF(OR(G1194="",H1194=""),"",G1194*H1194)</f>
        <v/>
      </c>
      <c r="J1194" s="2"/>
      <c r="K1194" s="2"/>
    </row>
    <row r="1195" spans="1:11">
      <c r="A1195" s="4" t="str">
        <f>IF(D1195="","",COUNTIF($D$5:D1195,"?*"))</f>
        <v/>
      </c>
      <c r="B1195" s="5"/>
      <c r="C1195" s="4" t="str">
        <f>IF(B1195="","",INDEX({"Ocak","Şubat","Mart","Nisan","Mayıs","Haziran","Temmuz","Ağustos","Eylül","Ekim","Kasım","Aralık"},MONTH(B1195)))</f>
        <v/>
      </c>
      <c r="D1195" s="2"/>
      <c r="E1195" s="4" t="str">
        <f>IFERROR(INDEX('Araç Tanımlama'!$D$5:$D$200,MATCH(D1195,'Araç Tanımlama'!$A$5:$A$200,0)),"")</f>
        <v/>
      </c>
      <c r="F1195" s="4" t="str">
        <f>IFERROR(INDEX('Araç Tanımlama'!$E$5:$E$200,MATCH(D1195,'Araç Tanımlama'!$A$5:$A$200,0)),"")</f>
        <v/>
      </c>
      <c r="G1195" s="2"/>
      <c r="H1195" s="7"/>
      <c r="I1195" s="9" t="str">
        <f>IF(OR(G1195="",H1195=""),"",G1195*H1195)</f>
        <v/>
      </c>
      <c r="J1195" s="2"/>
      <c r="K1195" s="2"/>
    </row>
    <row r="1196" spans="1:11">
      <c r="A1196" s="4" t="str">
        <f>IF(D1196="","",COUNTIF($D$5:D1196,"?*"))</f>
        <v/>
      </c>
      <c r="B1196" s="5"/>
      <c r="C1196" s="4" t="str">
        <f>IF(B1196="","",INDEX({"Ocak","Şubat","Mart","Nisan","Mayıs","Haziran","Temmuz","Ağustos","Eylül","Ekim","Kasım","Aralık"},MONTH(B1196)))</f>
        <v/>
      </c>
      <c r="D1196" s="2"/>
      <c r="E1196" s="4" t="str">
        <f>IFERROR(INDEX('Araç Tanımlama'!$D$5:$D$200,MATCH(D1196,'Araç Tanımlama'!$A$5:$A$200,0)),"")</f>
        <v/>
      </c>
      <c r="F1196" s="4" t="str">
        <f>IFERROR(INDEX('Araç Tanımlama'!$E$5:$E$200,MATCH(D1196,'Araç Tanımlama'!$A$5:$A$200,0)),"")</f>
        <v/>
      </c>
      <c r="G1196" s="2"/>
      <c r="H1196" s="7"/>
      <c r="I1196" s="9" t="str">
        <f>IF(OR(G1196="",H1196=""),"",G1196*H1196)</f>
        <v/>
      </c>
      <c r="J1196" s="2"/>
      <c r="K1196" s="2"/>
    </row>
    <row r="1197" spans="1:11">
      <c r="A1197" s="4" t="str">
        <f>IF(D1197="","",COUNTIF($D$5:D1197,"?*"))</f>
        <v/>
      </c>
      <c r="B1197" s="5"/>
      <c r="C1197" s="4" t="str">
        <f>IF(B1197="","",INDEX({"Ocak","Şubat","Mart","Nisan","Mayıs","Haziran","Temmuz","Ağustos","Eylül","Ekim","Kasım","Aralık"},MONTH(B1197)))</f>
        <v/>
      </c>
      <c r="D1197" s="2"/>
      <c r="E1197" s="4" t="str">
        <f>IFERROR(INDEX('Araç Tanımlama'!$D$5:$D$200,MATCH(D1197,'Araç Tanımlama'!$A$5:$A$200,0)),"")</f>
        <v/>
      </c>
      <c r="F1197" s="4" t="str">
        <f>IFERROR(INDEX('Araç Tanımlama'!$E$5:$E$200,MATCH(D1197,'Araç Tanımlama'!$A$5:$A$200,0)),"")</f>
        <v/>
      </c>
      <c r="G1197" s="2"/>
      <c r="H1197" s="7"/>
      <c r="I1197" s="9" t="str">
        <f>IF(OR(G1197="",H1197=""),"",G1197*H1197)</f>
        <v/>
      </c>
      <c r="J1197" s="2"/>
      <c r="K1197" s="2"/>
    </row>
    <row r="1198" spans="1:11">
      <c r="A1198" s="4" t="str">
        <f>IF(D1198="","",COUNTIF($D$5:D1198,"?*"))</f>
        <v/>
      </c>
      <c r="B1198" s="5"/>
      <c r="C1198" s="4" t="str">
        <f>IF(B1198="","",INDEX({"Ocak","Şubat","Mart","Nisan","Mayıs","Haziran","Temmuz","Ağustos","Eylül","Ekim","Kasım","Aralık"},MONTH(B1198)))</f>
        <v/>
      </c>
      <c r="D1198" s="2"/>
      <c r="E1198" s="4" t="str">
        <f>IFERROR(INDEX('Araç Tanımlama'!$D$5:$D$200,MATCH(D1198,'Araç Tanımlama'!$A$5:$A$200,0)),"")</f>
        <v/>
      </c>
      <c r="F1198" s="4" t="str">
        <f>IFERROR(INDEX('Araç Tanımlama'!$E$5:$E$200,MATCH(D1198,'Araç Tanımlama'!$A$5:$A$200,0)),"")</f>
        <v/>
      </c>
      <c r="G1198" s="2"/>
      <c r="H1198" s="7"/>
      <c r="I1198" s="9" t="str">
        <f>IF(OR(G1198="",H1198=""),"",G1198*H1198)</f>
        <v/>
      </c>
      <c r="J1198" s="2"/>
      <c r="K1198" s="2"/>
    </row>
    <row r="1199" spans="1:11">
      <c r="A1199" s="4" t="str">
        <f>IF(D1199="","",COUNTIF($D$5:D1199,"?*"))</f>
        <v/>
      </c>
      <c r="B1199" s="5"/>
      <c r="C1199" s="4" t="str">
        <f>IF(B1199="","",INDEX({"Ocak","Şubat","Mart","Nisan","Mayıs","Haziran","Temmuz","Ağustos","Eylül","Ekim","Kasım","Aralık"},MONTH(B1199)))</f>
        <v/>
      </c>
      <c r="D1199" s="2"/>
      <c r="E1199" s="4" t="str">
        <f>IFERROR(INDEX('Araç Tanımlama'!$D$5:$D$200,MATCH(D1199,'Araç Tanımlama'!$A$5:$A$200,0)),"")</f>
        <v/>
      </c>
      <c r="F1199" s="4" t="str">
        <f>IFERROR(INDEX('Araç Tanımlama'!$E$5:$E$200,MATCH(D1199,'Araç Tanımlama'!$A$5:$A$200,0)),"")</f>
        <v/>
      </c>
      <c r="G1199" s="2"/>
      <c r="H1199" s="7"/>
      <c r="I1199" s="9" t="str">
        <f>IF(OR(G1199="",H1199=""),"",G1199*H1199)</f>
        <v/>
      </c>
      <c r="J1199" s="2"/>
      <c r="K1199" s="2"/>
    </row>
    <row r="1200" spans="1:11">
      <c r="A1200" s="4" t="str">
        <f>IF(D1200="","",COUNTIF($D$5:D1200,"?*"))</f>
        <v/>
      </c>
      <c r="B1200" s="5"/>
      <c r="C1200" s="4" t="str">
        <f>IF(B1200="","",INDEX({"Ocak","Şubat","Mart","Nisan","Mayıs","Haziran","Temmuz","Ağustos","Eylül","Ekim","Kasım","Aralık"},MONTH(B1200)))</f>
        <v/>
      </c>
      <c r="D1200" s="2"/>
      <c r="E1200" s="4" t="str">
        <f>IFERROR(INDEX('Araç Tanımlama'!$D$5:$D$200,MATCH(D1200,'Araç Tanımlama'!$A$5:$A$200,0)),"")</f>
        <v/>
      </c>
      <c r="F1200" s="4" t="str">
        <f>IFERROR(INDEX('Araç Tanımlama'!$E$5:$E$200,MATCH(D1200,'Araç Tanımlama'!$A$5:$A$200,0)),"")</f>
        <v/>
      </c>
      <c r="G1200" s="2"/>
      <c r="H1200" s="7"/>
      <c r="I1200" s="9" t="str">
        <f>IF(OR(G1200="",H1200=""),"",G1200*H1200)</f>
        <v/>
      </c>
      <c r="J1200" s="2"/>
      <c r="K1200" s="2"/>
    </row>
    <row r="1201" spans="1:11">
      <c r="A1201" s="4" t="str">
        <f>IF(D1201="","",COUNTIF($D$5:D1201,"?*"))</f>
        <v/>
      </c>
      <c r="B1201" s="5"/>
      <c r="C1201" s="4" t="str">
        <f>IF(B1201="","",INDEX({"Ocak","Şubat","Mart","Nisan","Mayıs","Haziran","Temmuz","Ağustos","Eylül","Ekim","Kasım","Aralık"},MONTH(B1201)))</f>
        <v/>
      </c>
      <c r="D1201" s="2"/>
      <c r="E1201" s="4" t="str">
        <f>IFERROR(INDEX('Araç Tanımlama'!$D$5:$D$200,MATCH(D1201,'Araç Tanımlama'!$A$5:$A$200,0)),"")</f>
        <v/>
      </c>
      <c r="F1201" s="4" t="str">
        <f>IFERROR(INDEX('Araç Tanımlama'!$E$5:$E$200,MATCH(D1201,'Araç Tanımlama'!$A$5:$A$200,0)),"")</f>
        <v/>
      </c>
      <c r="G1201" s="2"/>
      <c r="H1201" s="7"/>
      <c r="I1201" s="9" t="str">
        <f>IF(OR(G1201="",H1201=""),"",G1201*H1201)</f>
        <v/>
      </c>
      <c r="J1201" s="2"/>
      <c r="K1201" s="2"/>
    </row>
    <row r="1202" spans="1:11">
      <c r="A1202" s="4" t="str">
        <f>IF(D1202="","",COUNTIF($D$5:D1202,"?*"))</f>
        <v/>
      </c>
      <c r="B1202" s="5"/>
      <c r="C1202" s="4" t="str">
        <f>IF(B1202="","",INDEX({"Ocak","Şubat","Mart","Nisan","Mayıs","Haziran","Temmuz","Ağustos","Eylül","Ekim","Kasım","Aralık"},MONTH(B1202)))</f>
        <v/>
      </c>
      <c r="D1202" s="2"/>
      <c r="E1202" s="4" t="str">
        <f>IFERROR(INDEX('Araç Tanımlama'!$D$5:$D$200,MATCH(D1202,'Araç Tanımlama'!$A$5:$A$200,0)),"")</f>
        <v/>
      </c>
      <c r="F1202" s="4" t="str">
        <f>IFERROR(INDEX('Araç Tanımlama'!$E$5:$E$200,MATCH(D1202,'Araç Tanımlama'!$A$5:$A$200,0)),"")</f>
        <v/>
      </c>
      <c r="G1202" s="2"/>
      <c r="H1202" s="7"/>
      <c r="I1202" s="9" t="str">
        <f>IF(OR(G1202="",H1202=""),"",G1202*H1202)</f>
        <v/>
      </c>
      <c r="J1202" s="2"/>
      <c r="K1202" s="2"/>
    </row>
    <row r="1203" spans="1:11">
      <c r="A1203" s="4" t="str">
        <f>IF(D1203="","",COUNTIF($D$5:D1203,"?*"))</f>
        <v/>
      </c>
      <c r="B1203" s="5"/>
      <c r="C1203" s="4" t="str">
        <f>IF(B1203="","",INDEX({"Ocak","Şubat","Mart","Nisan","Mayıs","Haziran","Temmuz","Ağustos","Eylül","Ekim","Kasım","Aralık"},MONTH(B1203)))</f>
        <v/>
      </c>
      <c r="D1203" s="2"/>
      <c r="E1203" s="4" t="str">
        <f>IFERROR(INDEX('Araç Tanımlama'!$D$5:$D$200,MATCH(D1203,'Araç Tanımlama'!$A$5:$A$200,0)),"")</f>
        <v/>
      </c>
      <c r="F1203" s="4" t="str">
        <f>IFERROR(INDEX('Araç Tanımlama'!$E$5:$E$200,MATCH(D1203,'Araç Tanımlama'!$A$5:$A$200,0)),"")</f>
        <v/>
      </c>
      <c r="G1203" s="2"/>
      <c r="H1203" s="7"/>
      <c r="I1203" s="9" t="str">
        <f>IF(OR(G1203="",H1203=""),"",G1203*H1203)</f>
        <v/>
      </c>
      <c r="J1203" s="2"/>
      <c r="K1203" s="2"/>
    </row>
    <row r="1204" spans="1:11">
      <c r="A1204" s="4" t="str">
        <f>IF(D1204="","",COUNTIF($D$5:D1204,"?*"))</f>
        <v/>
      </c>
      <c r="B1204" s="5"/>
      <c r="C1204" s="4" t="str">
        <f>IF(B1204="","",INDEX({"Ocak","Şubat","Mart","Nisan","Mayıs","Haziran","Temmuz","Ağustos","Eylül","Ekim","Kasım","Aralık"},MONTH(B1204)))</f>
        <v/>
      </c>
      <c r="D1204" s="2"/>
      <c r="E1204" s="4" t="str">
        <f>IFERROR(INDEX('Araç Tanımlama'!$D$5:$D$200,MATCH(D1204,'Araç Tanımlama'!$A$5:$A$200,0)),"")</f>
        <v/>
      </c>
      <c r="F1204" s="4" t="str">
        <f>IFERROR(INDEX('Araç Tanımlama'!$E$5:$E$200,MATCH(D1204,'Araç Tanımlama'!$A$5:$A$200,0)),"")</f>
        <v/>
      </c>
      <c r="G1204" s="2"/>
      <c r="H1204" s="7"/>
      <c r="I1204" s="9" t="str">
        <f>IF(OR(G1204="",H1204=""),"",G1204*H1204)</f>
        <v/>
      </c>
      <c r="J1204" s="2"/>
      <c r="K1204" s="2"/>
    </row>
    <row r="1205" spans="1:11">
      <c r="A1205" s="4" t="str">
        <f>IF(D1205="","",COUNTIF($D$5:D1205,"?*"))</f>
        <v/>
      </c>
      <c r="B1205" s="5"/>
      <c r="C1205" s="4" t="str">
        <f>IF(B1205="","",INDEX({"Ocak","Şubat","Mart","Nisan","Mayıs","Haziran","Temmuz","Ağustos","Eylül","Ekim","Kasım","Aralık"},MONTH(B1205)))</f>
        <v/>
      </c>
      <c r="D1205" s="2"/>
      <c r="E1205" s="4" t="str">
        <f>IFERROR(INDEX('Araç Tanımlama'!$D$5:$D$200,MATCH(D1205,'Araç Tanımlama'!$A$5:$A$200,0)),"")</f>
        <v/>
      </c>
      <c r="F1205" s="4" t="str">
        <f>IFERROR(INDEX('Araç Tanımlama'!$E$5:$E$200,MATCH(D1205,'Araç Tanımlama'!$A$5:$A$200,0)),"")</f>
        <v/>
      </c>
      <c r="G1205" s="2"/>
      <c r="H1205" s="7"/>
      <c r="I1205" s="9" t="str">
        <f>IF(OR(G1205="",H1205=""),"",G1205*H1205)</f>
        <v/>
      </c>
      <c r="J1205" s="2"/>
      <c r="K1205" s="2"/>
    </row>
    <row r="1206" spans="1:11">
      <c r="A1206" s="4" t="str">
        <f>IF(D1206="","",COUNTIF($D$5:D1206,"?*"))</f>
        <v/>
      </c>
      <c r="B1206" s="5"/>
      <c r="C1206" s="4" t="str">
        <f>IF(B1206="","",INDEX({"Ocak","Şubat","Mart","Nisan","Mayıs","Haziran","Temmuz","Ağustos","Eylül","Ekim","Kasım","Aralık"},MONTH(B1206)))</f>
        <v/>
      </c>
      <c r="D1206" s="2"/>
      <c r="E1206" s="4" t="str">
        <f>IFERROR(INDEX('Araç Tanımlama'!$D$5:$D$200,MATCH(D1206,'Araç Tanımlama'!$A$5:$A$200,0)),"")</f>
        <v/>
      </c>
      <c r="F1206" s="4" t="str">
        <f>IFERROR(INDEX('Araç Tanımlama'!$E$5:$E$200,MATCH(D1206,'Araç Tanımlama'!$A$5:$A$200,0)),"")</f>
        <v/>
      </c>
      <c r="G1206" s="2"/>
      <c r="H1206" s="7"/>
      <c r="I1206" s="9" t="str">
        <f>IF(OR(G1206="",H1206=""),"",G1206*H1206)</f>
        <v/>
      </c>
      <c r="J1206" s="2"/>
      <c r="K1206" s="2"/>
    </row>
    <row r="1207" spans="1:11">
      <c r="A1207" s="4" t="str">
        <f>IF(D1207="","",COUNTIF($D$5:D1207,"?*"))</f>
        <v/>
      </c>
      <c r="B1207" s="5"/>
      <c r="C1207" s="4" t="str">
        <f>IF(B1207="","",INDEX({"Ocak","Şubat","Mart","Nisan","Mayıs","Haziran","Temmuz","Ağustos","Eylül","Ekim","Kasım","Aralık"},MONTH(B1207)))</f>
        <v/>
      </c>
      <c r="D1207" s="2"/>
      <c r="E1207" s="4" t="str">
        <f>IFERROR(INDEX('Araç Tanımlama'!$D$5:$D$200,MATCH(D1207,'Araç Tanımlama'!$A$5:$A$200,0)),"")</f>
        <v/>
      </c>
      <c r="F1207" s="4" t="str">
        <f>IFERROR(INDEX('Araç Tanımlama'!$E$5:$E$200,MATCH(D1207,'Araç Tanımlama'!$A$5:$A$200,0)),"")</f>
        <v/>
      </c>
      <c r="G1207" s="2"/>
      <c r="H1207" s="7"/>
      <c r="I1207" s="9" t="str">
        <f>IF(OR(G1207="",H1207=""),"",G1207*H1207)</f>
        <v/>
      </c>
      <c r="J1207" s="2"/>
      <c r="K1207" s="2"/>
    </row>
    <row r="1208" spans="1:11">
      <c r="A1208" s="4" t="str">
        <f>IF(D1208="","",COUNTIF($D$5:D1208,"?*"))</f>
        <v/>
      </c>
      <c r="B1208" s="5"/>
      <c r="C1208" s="4" t="str">
        <f>IF(B1208="","",INDEX({"Ocak","Şubat","Mart","Nisan","Mayıs","Haziran","Temmuz","Ağustos","Eylül","Ekim","Kasım","Aralık"},MONTH(B1208)))</f>
        <v/>
      </c>
      <c r="D1208" s="2"/>
      <c r="E1208" s="4" t="str">
        <f>IFERROR(INDEX('Araç Tanımlama'!$D$5:$D$200,MATCH(D1208,'Araç Tanımlama'!$A$5:$A$200,0)),"")</f>
        <v/>
      </c>
      <c r="F1208" s="4" t="str">
        <f>IFERROR(INDEX('Araç Tanımlama'!$E$5:$E$200,MATCH(D1208,'Araç Tanımlama'!$A$5:$A$200,0)),"")</f>
        <v/>
      </c>
      <c r="G1208" s="2"/>
      <c r="H1208" s="7"/>
      <c r="I1208" s="9" t="str">
        <f>IF(OR(G1208="",H1208=""),"",G1208*H1208)</f>
        <v/>
      </c>
      <c r="J1208" s="2"/>
      <c r="K1208" s="2"/>
    </row>
    <row r="1209" spans="1:11">
      <c r="A1209" s="4" t="str">
        <f>IF(D1209="","",COUNTIF($D$5:D1209,"?*"))</f>
        <v/>
      </c>
      <c r="B1209" s="5"/>
      <c r="C1209" s="4" t="str">
        <f>IF(B1209="","",INDEX({"Ocak","Şubat","Mart","Nisan","Mayıs","Haziran","Temmuz","Ağustos","Eylül","Ekim","Kasım","Aralık"},MONTH(B1209)))</f>
        <v/>
      </c>
      <c r="D1209" s="2"/>
      <c r="E1209" s="4" t="str">
        <f>IFERROR(INDEX('Araç Tanımlama'!$D$5:$D$200,MATCH(D1209,'Araç Tanımlama'!$A$5:$A$200,0)),"")</f>
        <v/>
      </c>
      <c r="F1209" s="4" t="str">
        <f>IFERROR(INDEX('Araç Tanımlama'!$E$5:$E$200,MATCH(D1209,'Araç Tanımlama'!$A$5:$A$200,0)),"")</f>
        <v/>
      </c>
      <c r="G1209" s="2"/>
      <c r="H1209" s="7"/>
      <c r="I1209" s="9" t="str">
        <f>IF(OR(G1209="",H1209=""),"",G1209*H1209)</f>
        <v/>
      </c>
      <c r="J1209" s="2"/>
      <c r="K1209" s="2"/>
    </row>
    <row r="1210" spans="1:11">
      <c r="A1210" s="4" t="str">
        <f>IF(D1210="","",COUNTIF($D$5:D1210,"?*"))</f>
        <v/>
      </c>
      <c r="B1210" s="5"/>
      <c r="C1210" s="4" t="str">
        <f>IF(B1210="","",INDEX({"Ocak","Şubat","Mart","Nisan","Mayıs","Haziran","Temmuz","Ağustos","Eylül","Ekim","Kasım","Aralık"},MONTH(B1210)))</f>
        <v/>
      </c>
      <c r="D1210" s="2"/>
      <c r="E1210" s="4" t="str">
        <f>IFERROR(INDEX('Araç Tanımlama'!$D$5:$D$200,MATCH(D1210,'Araç Tanımlama'!$A$5:$A$200,0)),"")</f>
        <v/>
      </c>
      <c r="F1210" s="4" t="str">
        <f>IFERROR(INDEX('Araç Tanımlama'!$E$5:$E$200,MATCH(D1210,'Araç Tanımlama'!$A$5:$A$200,0)),"")</f>
        <v/>
      </c>
      <c r="G1210" s="2"/>
      <c r="H1210" s="7"/>
      <c r="I1210" s="9" t="str">
        <f>IF(OR(G1210="",H1210=""),"",G1210*H1210)</f>
        <v/>
      </c>
      <c r="J1210" s="2"/>
      <c r="K1210" s="2"/>
    </row>
    <row r="1211" spans="1:11">
      <c r="A1211" s="4" t="str">
        <f>IF(D1211="","",COUNTIF($D$5:D1211,"?*"))</f>
        <v/>
      </c>
      <c r="B1211" s="5"/>
      <c r="C1211" s="4" t="str">
        <f>IF(B1211="","",INDEX({"Ocak","Şubat","Mart","Nisan","Mayıs","Haziran","Temmuz","Ağustos","Eylül","Ekim","Kasım","Aralık"},MONTH(B1211)))</f>
        <v/>
      </c>
      <c r="D1211" s="2"/>
      <c r="E1211" s="4" t="str">
        <f>IFERROR(INDEX('Araç Tanımlama'!$D$5:$D$200,MATCH(D1211,'Araç Tanımlama'!$A$5:$A$200,0)),"")</f>
        <v/>
      </c>
      <c r="F1211" s="4" t="str">
        <f>IFERROR(INDEX('Araç Tanımlama'!$E$5:$E$200,MATCH(D1211,'Araç Tanımlama'!$A$5:$A$200,0)),"")</f>
        <v/>
      </c>
      <c r="G1211" s="2"/>
      <c r="H1211" s="7"/>
      <c r="I1211" s="9" t="str">
        <f>IF(OR(G1211="",H1211=""),"",G1211*H1211)</f>
        <v/>
      </c>
      <c r="J1211" s="2"/>
      <c r="K1211" s="2"/>
    </row>
    <row r="1212" spans="1:11">
      <c r="A1212" s="4" t="str">
        <f>IF(D1212="","",COUNTIF($D$5:D1212,"?*"))</f>
        <v/>
      </c>
      <c r="B1212" s="5"/>
      <c r="C1212" s="4" t="str">
        <f>IF(B1212="","",INDEX({"Ocak","Şubat","Mart","Nisan","Mayıs","Haziran","Temmuz","Ağustos","Eylül","Ekim","Kasım","Aralık"},MONTH(B1212)))</f>
        <v/>
      </c>
      <c r="D1212" s="2"/>
      <c r="E1212" s="4" t="str">
        <f>IFERROR(INDEX('Araç Tanımlama'!$D$5:$D$200,MATCH(D1212,'Araç Tanımlama'!$A$5:$A$200,0)),"")</f>
        <v/>
      </c>
      <c r="F1212" s="4" t="str">
        <f>IFERROR(INDEX('Araç Tanımlama'!$E$5:$E$200,MATCH(D1212,'Araç Tanımlama'!$A$5:$A$200,0)),"")</f>
        <v/>
      </c>
      <c r="G1212" s="2"/>
      <c r="H1212" s="7"/>
      <c r="I1212" s="9" t="str">
        <f>IF(OR(G1212="",H1212=""),"",G1212*H1212)</f>
        <v/>
      </c>
      <c r="J1212" s="2"/>
      <c r="K1212" s="2"/>
    </row>
    <row r="1213" spans="1:11">
      <c r="A1213" s="4" t="str">
        <f>IF(D1213="","",COUNTIF($D$5:D1213,"?*"))</f>
        <v/>
      </c>
      <c r="B1213" s="5"/>
      <c r="C1213" s="4" t="str">
        <f>IF(B1213="","",INDEX({"Ocak","Şubat","Mart","Nisan","Mayıs","Haziran","Temmuz","Ağustos","Eylül","Ekim","Kasım","Aralık"},MONTH(B1213)))</f>
        <v/>
      </c>
      <c r="D1213" s="2"/>
      <c r="E1213" s="4" t="str">
        <f>IFERROR(INDEX('Araç Tanımlama'!$D$5:$D$200,MATCH(D1213,'Araç Tanımlama'!$A$5:$A$200,0)),"")</f>
        <v/>
      </c>
      <c r="F1213" s="4" t="str">
        <f>IFERROR(INDEX('Araç Tanımlama'!$E$5:$E$200,MATCH(D1213,'Araç Tanımlama'!$A$5:$A$200,0)),"")</f>
        <v/>
      </c>
      <c r="G1213" s="2"/>
      <c r="H1213" s="7"/>
      <c r="I1213" s="9" t="str">
        <f>IF(OR(G1213="",H1213=""),"",G1213*H1213)</f>
        <v/>
      </c>
      <c r="J1213" s="2"/>
      <c r="K1213" s="2"/>
    </row>
    <row r="1214" spans="1:11">
      <c r="A1214" s="4" t="str">
        <f>IF(D1214="","",COUNTIF($D$5:D1214,"?*"))</f>
        <v/>
      </c>
      <c r="B1214" s="5"/>
      <c r="C1214" s="4" t="str">
        <f>IF(B1214="","",INDEX({"Ocak","Şubat","Mart","Nisan","Mayıs","Haziran","Temmuz","Ağustos","Eylül","Ekim","Kasım","Aralık"},MONTH(B1214)))</f>
        <v/>
      </c>
      <c r="D1214" s="2"/>
      <c r="E1214" s="4" t="str">
        <f>IFERROR(INDEX('Araç Tanımlama'!$D$5:$D$200,MATCH(D1214,'Araç Tanımlama'!$A$5:$A$200,0)),"")</f>
        <v/>
      </c>
      <c r="F1214" s="4" t="str">
        <f>IFERROR(INDEX('Araç Tanımlama'!$E$5:$E$200,MATCH(D1214,'Araç Tanımlama'!$A$5:$A$200,0)),"")</f>
        <v/>
      </c>
      <c r="G1214" s="2"/>
      <c r="H1214" s="7"/>
      <c r="I1214" s="9" t="str">
        <f>IF(OR(G1214="",H1214=""),"",G1214*H1214)</f>
        <v/>
      </c>
      <c r="J1214" s="2"/>
      <c r="K1214" s="2"/>
    </row>
    <row r="1215" spans="1:11">
      <c r="A1215" s="4" t="str">
        <f>IF(D1215="","",COUNTIF($D$5:D1215,"?*"))</f>
        <v/>
      </c>
      <c r="B1215" s="5"/>
      <c r="C1215" s="4" t="str">
        <f>IF(B1215="","",INDEX({"Ocak","Şubat","Mart","Nisan","Mayıs","Haziran","Temmuz","Ağustos","Eylül","Ekim","Kasım","Aralık"},MONTH(B1215)))</f>
        <v/>
      </c>
      <c r="D1215" s="2"/>
      <c r="E1215" s="4" t="str">
        <f>IFERROR(INDEX('Araç Tanımlama'!$D$5:$D$200,MATCH(D1215,'Araç Tanımlama'!$A$5:$A$200,0)),"")</f>
        <v/>
      </c>
      <c r="F1215" s="4" t="str">
        <f>IFERROR(INDEX('Araç Tanımlama'!$E$5:$E$200,MATCH(D1215,'Araç Tanımlama'!$A$5:$A$200,0)),"")</f>
        <v/>
      </c>
      <c r="G1215" s="2"/>
      <c r="H1215" s="7"/>
      <c r="I1215" s="9" t="str">
        <f>IF(OR(G1215="",H1215=""),"",G1215*H1215)</f>
        <v/>
      </c>
      <c r="J1215" s="2"/>
      <c r="K1215" s="2"/>
    </row>
    <row r="1216" spans="1:11">
      <c r="A1216" s="4" t="str">
        <f>IF(D1216="","",COUNTIF($D$5:D1216,"?*"))</f>
        <v/>
      </c>
      <c r="B1216" s="5"/>
      <c r="C1216" s="4" t="str">
        <f>IF(B1216="","",INDEX({"Ocak","Şubat","Mart","Nisan","Mayıs","Haziran","Temmuz","Ağustos","Eylül","Ekim","Kasım","Aralık"},MONTH(B1216)))</f>
        <v/>
      </c>
      <c r="D1216" s="2"/>
      <c r="E1216" s="4" t="str">
        <f>IFERROR(INDEX('Araç Tanımlama'!$D$5:$D$200,MATCH(D1216,'Araç Tanımlama'!$A$5:$A$200,0)),"")</f>
        <v/>
      </c>
      <c r="F1216" s="4" t="str">
        <f>IFERROR(INDEX('Araç Tanımlama'!$E$5:$E$200,MATCH(D1216,'Araç Tanımlama'!$A$5:$A$200,0)),"")</f>
        <v/>
      </c>
      <c r="G1216" s="2"/>
      <c r="H1216" s="7"/>
      <c r="I1216" s="9" t="str">
        <f>IF(OR(G1216="",H1216=""),"",G1216*H1216)</f>
        <v/>
      </c>
      <c r="J1216" s="2"/>
      <c r="K1216" s="2"/>
    </row>
    <row r="1217" spans="1:11">
      <c r="A1217" s="4" t="str">
        <f>IF(D1217="","",COUNTIF($D$5:D1217,"?*"))</f>
        <v/>
      </c>
      <c r="B1217" s="5"/>
      <c r="C1217" s="4" t="str">
        <f>IF(B1217="","",INDEX({"Ocak","Şubat","Mart","Nisan","Mayıs","Haziran","Temmuz","Ağustos","Eylül","Ekim","Kasım","Aralık"},MONTH(B1217)))</f>
        <v/>
      </c>
      <c r="D1217" s="2"/>
      <c r="E1217" s="4" t="str">
        <f>IFERROR(INDEX('Araç Tanımlama'!$D$5:$D$200,MATCH(D1217,'Araç Tanımlama'!$A$5:$A$200,0)),"")</f>
        <v/>
      </c>
      <c r="F1217" s="4" t="str">
        <f>IFERROR(INDEX('Araç Tanımlama'!$E$5:$E$200,MATCH(D1217,'Araç Tanımlama'!$A$5:$A$200,0)),"")</f>
        <v/>
      </c>
      <c r="G1217" s="2"/>
      <c r="H1217" s="7"/>
      <c r="I1217" s="9" t="str">
        <f>IF(OR(G1217="",H1217=""),"",G1217*H1217)</f>
        <v/>
      </c>
      <c r="J1217" s="2"/>
      <c r="K1217" s="2"/>
    </row>
    <row r="1218" spans="1:11">
      <c r="A1218" s="4" t="str">
        <f>IF(D1218="","",COUNTIF($D$5:D1218,"?*"))</f>
        <v/>
      </c>
      <c r="B1218" s="5"/>
      <c r="C1218" s="4" t="str">
        <f>IF(B1218="","",INDEX({"Ocak","Şubat","Mart","Nisan","Mayıs","Haziran","Temmuz","Ağustos","Eylül","Ekim","Kasım","Aralık"},MONTH(B1218)))</f>
        <v/>
      </c>
      <c r="D1218" s="2"/>
      <c r="E1218" s="4" t="str">
        <f>IFERROR(INDEX('Araç Tanımlama'!$D$5:$D$200,MATCH(D1218,'Araç Tanımlama'!$A$5:$A$200,0)),"")</f>
        <v/>
      </c>
      <c r="F1218" s="4" t="str">
        <f>IFERROR(INDEX('Araç Tanımlama'!$E$5:$E$200,MATCH(D1218,'Araç Tanımlama'!$A$5:$A$200,0)),"")</f>
        <v/>
      </c>
      <c r="G1218" s="2"/>
      <c r="H1218" s="7"/>
      <c r="I1218" s="9" t="str">
        <f>IF(OR(G1218="",H1218=""),"",G1218*H1218)</f>
        <v/>
      </c>
      <c r="J1218" s="2"/>
      <c r="K1218" s="2"/>
    </row>
    <row r="1219" spans="1:11">
      <c r="A1219" s="4" t="str">
        <f>IF(D1219="","",COUNTIF($D$5:D1219,"?*"))</f>
        <v/>
      </c>
      <c r="B1219" s="5"/>
      <c r="C1219" s="4" t="str">
        <f>IF(B1219="","",INDEX({"Ocak","Şubat","Mart","Nisan","Mayıs","Haziran","Temmuz","Ağustos","Eylül","Ekim","Kasım","Aralık"},MONTH(B1219)))</f>
        <v/>
      </c>
      <c r="D1219" s="2"/>
      <c r="E1219" s="4" t="str">
        <f>IFERROR(INDEX('Araç Tanımlama'!$D$5:$D$200,MATCH(D1219,'Araç Tanımlama'!$A$5:$A$200,0)),"")</f>
        <v/>
      </c>
      <c r="F1219" s="4" t="str">
        <f>IFERROR(INDEX('Araç Tanımlama'!$E$5:$E$200,MATCH(D1219,'Araç Tanımlama'!$A$5:$A$200,0)),"")</f>
        <v/>
      </c>
      <c r="G1219" s="2"/>
      <c r="H1219" s="7"/>
      <c r="I1219" s="9" t="str">
        <f>IF(OR(G1219="",H1219=""),"",G1219*H1219)</f>
        <v/>
      </c>
      <c r="J1219" s="2"/>
      <c r="K1219" s="2"/>
    </row>
    <row r="1220" spans="1:11">
      <c r="A1220" s="4" t="str">
        <f>IF(D1220="","",COUNTIF($D$5:D1220,"?*"))</f>
        <v/>
      </c>
      <c r="B1220" s="5"/>
      <c r="C1220" s="4" t="str">
        <f>IF(B1220="","",INDEX({"Ocak","Şubat","Mart","Nisan","Mayıs","Haziran","Temmuz","Ağustos","Eylül","Ekim","Kasım","Aralık"},MONTH(B1220)))</f>
        <v/>
      </c>
      <c r="D1220" s="2"/>
      <c r="E1220" s="4" t="str">
        <f>IFERROR(INDEX('Araç Tanımlama'!$D$5:$D$200,MATCH(D1220,'Araç Tanımlama'!$A$5:$A$200,0)),"")</f>
        <v/>
      </c>
      <c r="F1220" s="4" t="str">
        <f>IFERROR(INDEX('Araç Tanımlama'!$E$5:$E$200,MATCH(D1220,'Araç Tanımlama'!$A$5:$A$200,0)),"")</f>
        <v/>
      </c>
      <c r="G1220" s="2"/>
      <c r="H1220" s="7"/>
      <c r="I1220" s="9" t="str">
        <f>IF(OR(G1220="",H1220=""),"",G1220*H1220)</f>
        <v/>
      </c>
      <c r="J1220" s="2"/>
      <c r="K1220" s="2"/>
    </row>
    <row r="1221" spans="1:11">
      <c r="A1221" s="4" t="str">
        <f>IF(D1221="","",COUNTIF($D$5:D1221,"?*"))</f>
        <v/>
      </c>
      <c r="B1221" s="5"/>
      <c r="C1221" s="4" t="str">
        <f>IF(B1221="","",INDEX({"Ocak","Şubat","Mart","Nisan","Mayıs","Haziran","Temmuz","Ağustos","Eylül","Ekim","Kasım","Aralık"},MONTH(B1221)))</f>
        <v/>
      </c>
      <c r="D1221" s="2"/>
      <c r="E1221" s="4" t="str">
        <f>IFERROR(INDEX('Araç Tanımlama'!$D$5:$D$200,MATCH(D1221,'Araç Tanımlama'!$A$5:$A$200,0)),"")</f>
        <v/>
      </c>
      <c r="F1221" s="4" t="str">
        <f>IFERROR(INDEX('Araç Tanımlama'!$E$5:$E$200,MATCH(D1221,'Araç Tanımlama'!$A$5:$A$200,0)),"")</f>
        <v/>
      </c>
      <c r="G1221" s="2"/>
      <c r="H1221" s="7"/>
      <c r="I1221" s="9" t="str">
        <f>IF(OR(G1221="",H1221=""),"",G1221*H1221)</f>
        <v/>
      </c>
      <c r="J1221" s="2"/>
      <c r="K1221" s="2"/>
    </row>
    <row r="1222" spans="1:11">
      <c r="A1222" s="4" t="str">
        <f>IF(D1222="","",COUNTIF($D$5:D1222,"?*"))</f>
        <v/>
      </c>
      <c r="B1222" s="5"/>
      <c r="C1222" s="4" t="str">
        <f>IF(B1222="","",INDEX({"Ocak","Şubat","Mart","Nisan","Mayıs","Haziran","Temmuz","Ağustos","Eylül","Ekim","Kasım","Aralık"},MONTH(B1222)))</f>
        <v/>
      </c>
      <c r="D1222" s="2"/>
      <c r="E1222" s="4" t="str">
        <f>IFERROR(INDEX('Araç Tanımlama'!$D$5:$D$200,MATCH(D1222,'Araç Tanımlama'!$A$5:$A$200,0)),"")</f>
        <v/>
      </c>
      <c r="F1222" s="4" t="str">
        <f>IFERROR(INDEX('Araç Tanımlama'!$E$5:$E$200,MATCH(D1222,'Araç Tanımlama'!$A$5:$A$200,0)),"")</f>
        <v/>
      </c>
      <c r="G1222" s="2"/>
      <c r="H1222" s="7"/>
      <c r="I1222" s="9" t="str">
        <f>IF(OR(G1222="",H1222=""),"",G1222*H1222)</f>
        <v/>
      </c>
      <c r="J1222" s="2"/>
      <c r="K1222" s="2"/>
    </row>
    <row r="1223" spans="1:11">
      <c r="A1223" s="4" t="str">
        <f>IF(D1223="","",COUNTIF($D$5:D1223,"?*"))</f>
        <v/>
      </c>
      <c r="B1223" s="5"/>
      <c r="C1223" s="4" t="str">
        <f>IF(B1223="","",INDEX({"Ocak","Şubat","Mart","Nisan","Mayıs","Haziran","Temmuz","Ağustos","Eylül","Ekim","Kasım","Aralık"},MONTH(B1223)))</f>
        <v/>
      </c>
      <c r="D1223" s="2"/>
      <c r="E1223" s="4" t="str">
        <f>IFERROR(INDEX('Araç Tanımlama'!$D$5:$D$200,MATCH(D1223,'Araç Tanımlama'!$A$5:$A$200,0)),"")</f>
        <v/>
      </c>
      <c r="F1223" s="4" t="str">
        <f>IFERROR(INDEX('Araç Tanımlama'!$E$5:$E$200,MATCH(D1223,'Araç Tanımlama'!$A$5:$A$200,0)),"")</f>
        <v/>
      </c>
      <c r="G1223" s="2"/>
      <c r="H1223" s="7"/>
      <c r="I1223" s="9" t="str">
        <f>IF(OR(G1223="",H1223=""),"",G1223*H1223)</f>
        <v/>
      </c>
      <c r="J1223" s="2"/>
      <c r="K1223" s="2"/>
    </row>
    <row r="1224" spans="1:11">
      <c r="A1224" s="4" t="str">
        <f>IF(D1224="","",COUNTIF($D$5:D1224,"?*"))</f>
        <v/>
      </c>
      <c r="B1224" s="5"/>
      <c r="C1224" s="4" t="str">
        <f>IF(B1224="","",INDEX({"Ocak","Şubat","Mart","Nisan","Mayıs","Haziran","Temmuz","Ağustos","Eylül","Ekim","Kasım","Aralık"},MONTH(B1224)))</f>
        <v/>
      </c>
      <c r="D1224" s="2"/>
      <c r="E1224" s="4" t="str">
        <f>IFERROR(INDEX('Araç Tanımlama'!$D$5:$D$200,MATCH(D1224,'Araç Tanımlama'!$A$5:$A$200,0)),"")</f>
        <v/>
      </c>
      <c r="F1224" s="4" t="str">
        <f>IFERROR(INDEX('Araç Tanımlama'!$E$5:$E$200,MATCH(D1224,'Araç Tanımlama'!$A$5:$A$200,0)),"")</f>
        <v/>
      </c>
      <c r="G1224" s="2"/>
      <c r="H1224" s="7"/>
      <c r="I1224" s="9" t="str">
        <f>IF(OR(G1224="",H1224=""),"",G1224*H1224)</f>
        <v/>
      </c>
      <c r="J1224" s="2"/>
      <c r="K1224" s="2"/>
    </row>
    <row r="1225" spans="1:11">
      <c r="A1225" s="4" t="str">
        <f>IF(D1225="","",COUNTIF($D$5:D1225,"?*"))</f>
        <v/>
      </c>
      <c r="B1225" s="5"/>
      <c r="C1225" s="4" t="str">
        <f>IF(B1225="","",INDEX({"Ocak","Şubat","Mart","Nisan","Mayıs","Haziran","Temmuz","Ağustos","Eylül","Ekim","Kasım","Aralık"},MONTH(B1225)))</f>
        <v/>
      </c>
      <c r="D1225" s="2"/>
      <c r="E1225" s="4" t="str">
        <f>IFERROR(INDEX('Araç Tanımlama'!$D$5:$D$200,MATCH(D1225,'Araç Tanımlama'!$A$5:$A$200,0)),"")</f>
        <v/>
      </c>
      <c r="F1225" s="4" t="str">
        <f>IFERROR(INDEX('Araç Tanımlama'!$E$5:$E$200,MATCH(D1225,'Araç Tanımlama'!$A$5:$A$200,0)),"")</f>
        <v/>
      </c>
      <c r="G1225" s="2"/>
      <c r="H1225" s="7"/>
      <c r="I1225" s="9" t="str">
        <f>IF(OR(G1225="",H1225=""),"",G1225*H1225)</f>
        <v/>
      </c>
      <c r="J1225" s="2"/>
      <c r="K1225" s="2"/>
    </row>
    <row r="1226" spans="1:11">
      <c r="A1226" s="4" t="str">
        <f>IF(D1226="","",COUNTIF($D$5:D1226,"?*"))</f>
        <v/>
      </c>
      <c r="B1226" s="5"/>
      <c r="C1226" s="4" t="str">
        <f>IF(B1226="","",INDEX({"Ocak","Şubat","Mart","Nisan","Mayıs","Haziran","Temmuz","Ağustos","Eylül","Ekim","Kasım","Aralık"},MONTH(B1226)))</f>
        <v/>
      </c>
      <c r="D1226" s="2"/>
      <c r="E1226" s="4" t="str">
        <f>IFERROR(INDEX('Araç Tanımlama'!$D$5:$D$200,MATCH(D1226,'Araç Tanımlama'!$A$5:$A$200,0)),"")</f>
        <v/>
      </c>
      <c r="F1226" s="4" t="str">
        <f>IFERROR(INDEX('Araç Tanımlama'!$E$5:$E$200,MATCH(D1226,'Araç Tanımlama'!$A$5:$A$200,0)),"")</f>
        <v/>
      </c>
      <c r="G1226" s="2"/>
      <c r="H1226" s="7"/>
      <c r="I1226" s="9" t="str">
        <f>IF(OR(G1226="",H1226=""),"",G1226*H1226)</f>
        <v/>
      </c>
      <c r="J1226" s="2"/>
      <c r="K1226" s="2"/>
    </row>
    <row r="1227" spans="1:11">
      <c r="A1227" s="4" t="str">
        <f>IF(D1227="","",COUNTIF($D$5:D1227,"?*"))</f>
        <v/>
      </c>
      <c r="B1227" s="5"/>
      <c r="C1227" s="4" t="str">
        <f>IF(B1227="","",INDEX({"Ocak","Şubat","Mart","Nisan","Mayıs","Haziran","Temmuz","Ağustos","Eylül","Ekim","Kasım","Aralık"},MONTH(B1227)))</f>
        <v/>
      </c>
      <c r="D1227" s="2"/>
      <c r="E1227" s="4" t="str">
        <f>IFERROR(INDEX('Araç Tanımlama'!$D$5:$D$200,MATCH(D1227,'Araç Tanımlama'!$A$5:$A$200,0)),"")</f>
        <v/>
      </c>
      <c r="F1227" s="4" t="str">
        <f>IFERROR(INDEX('Araç Tanımlama'!$E$5:$E$200,MATCH(D1227,'Araç Tanımlama'!$A$5:$A$200,0)),"")</f>
        <v/>
      </c>
      <c r="G1227" s="2"/>
      <c r="H1227" s="7"/>
      <c r="I1227" s="9" t="str">
        <f>IF(OR(G1227="",H1227=""),"",G1227*H1227)</f>
        <v/>
      </c>
      <c r="J1227" s="2"/>
      <c r="K1227" s="2"/>
    </row>
    <row r="1228" spans="1:11">
      <c r="A1228" s="4" t="str">
        <f>IF(D1228="","",COUNTIF($D$5:D1228,"?*"))</f>
        <v/>
      </c>
      <c r="B1228" s="5"/>
      <c r="C1228" s="4" t="str">
        <f>IF(B1228="","",INDEX({"Ocak","Şubat","Mart","Nisan","Mayıs","Haziran","Temmuz","Ağustos","Eylül","Ekim","Kasım","Aralık"},MONTH(B1228)))</f>
        <v/>
      </c>
      <c r="D1228" s="2"/>
      <c r="E1228" s="4" t="str">
        <f>IFERROR(INDEX('Araç Tanımlama'!$D$5:$D$200,MATCH(D1228,'Araç Tanımlama'!$A$5:$A$200,0)),"")</f>
        <v/>
      </c>
      <c r="F1228" s="4" t="str">
        <f>IFERROR(INDEX('Araç Tanımlama'!$E$5:$E$200,MATCH(D1228,'Araç Tanımlama'!$A$5:$A$200,0)),"")</f>
        <v/>
      </c>
      <c r="G1228" s="2"/>
      <c r="H1228" s="7"/>
      <c r="I1228" s="9" t="str">
        <f>IF(OR(G1228="",H1228=""),"",G1228*H1228)</f>
        <v/>
      </c>
      <c r="J1228" s="2"/>
      <c r="K1228" s="2"/>
    </row>
    <row r="1229" spans="1:11">
      <c r="A1229" s="4" t="str">
        <f>IF(D1229="","",COUNTIF($D$5:D1229,"?*"))</f>
        <v/>
      </c>
      <c r="B1229" s="5"/>
      <c r="C1229" s="4" t="str">
        <f>IF(B1229="","",INDEX({"Ocak","Şubat","Mart","Nisan","Mayıs","Haziran","Temmuz","Ağustos","Eylül","Ekim","Kasım","Aralık"},MONTH(B1229)))</f>
        <v/>
      </c>
      <c r="D1229" s="2"/>
      <c r="E1229" s="4" t="str">
        <f>IFERROR(INDEX('Araç Tanımlama'!$D$5:$D$200,MATCH(D1229,'Araç Tanımlama'!$A$5:$A$200,0)),"")</f>
        <v/>
      </c>
      <c r="F1229" s="4" t="str">
        <f>IFERROR(INDEX('Araç Tanımlama'!$E$5:$E$200,MATCH(D1229,'Araç Tanımlama'!$A$5:$A$200,0)),"")</f>
        <v/>
      </c>
      <c r="G1229" s="2"/>
      <c r="H1229" s="7"/>
      <c r="I1229" s="9" t="str">
        <f>IF(OR(G1229="",H1229=""),"",G1229*H1229)</f>
        <v/>
      </c>
      <c r="J1229" s="2"/>
      <c r="K1229" s="2"/>
    </row>
    <row r="1230" spans="1:11">
      <c r="A1230" s="4" t="str">
        <f>IF(D1230="","",COUNTIF($D$5:D1230,"?*"))</f>
        <v/>
      </c>
      <c r="B1230" s="5"/>
      <c r="C1230" s="4" t="str">
        <f>IF(B1230="","",INDEX({"Ocak","Şubat","Mart","Nisan","Mayıs","Haziran","Temmuz","Ağustos","Eylül","Ekim","Kasım","Aralık"},MONTH(B1230)))</f>
        <v/>
      </c>
      <c r="D1230" s="2"/>
      <c r="E1230" s="4" t="str">
        <f>IFERROR(INDEX('Araç Tanımlama'!$D$5:$D$200,MATCH(D1230,'Araç Tanımlama'!$A$5:$A$200,0)),"")</f>
        <v/>
      </c>
      <c r="F1230" s="4" t="str">
        <f>IFERROR(INDEX('Araç Tanımlama'!$E$5:$E$200,MATCH(D1230,'Araç Tanımlama'!$A$5:$A$200,0)),"")</f>
        <v/>
      </c>
      <c r="G1230" s="2"/>
      <c r="H1230" s="7"/>
      <c r="I1230" s="9" t="str">
        <f>IF(OR(G1230="",H1230=""),"",G1230*H1230)</f>
        <v/>
      </c>
      <c r="J1230" s="2"/>
      <c r="K1230" s="2"/>
    </row>
    <row r="1231" spans="1:11">
      <c r="A1231" s="4" t="str">
        <f>IF(D1231="","",COUNTIF($D$5:D1231,"?*"))</f>
        <v/>
      </c>
      <c r="B1231" s="5"/>
      <c r="C1231" s="4" t="str">
        <f>IF(B1231="","",INDEX({"Ocak","Şubat","Mart","Nisan","Mayıs","Haziran","Temmuz","Ağustos","Eylül","Ekim","Kasım","Aralık"},MONTH(B1231)))</f>
        <v/>
      </c>
      <c r="D1231" s="2"/>
      <c r="E1231" s="4" t="str">
        <f>IFERROR(INDEX('Araç Tanımlama'!$D$5:$D$200,MATCH(D1231,'Araç Tanımlama'!$A$5:$A$200,0)),"")</f>
        <v/>
      </c>
      <c r="F1231" s="4" t="str">
        <f>IFERROR(INDEX('Araç Tanımlama'!$E$5:$E$200,MATCH(D1231,'Araç Tanımlama'!$A$5:$A$200,0)),"")</f>
        <v/>
      </c>
      <c r="G1231" s="2"/>
      <c r="H1231" s="7"/>
      <c r="I1231" s="9" t="str">
        <f>IF(OR(G1231="",H1231=""),"",G1231*H1231)</f>
        <v/>
      </c>
      <c r="J1231" s="2"/>
      <c r="K1231" s="2"/>
    </row>
    <row r="1232" spans="1:11">
      <c r="A1232" s="4" t="str">
        <f>IF(D1232="","",COUNTIF($D$5:D1232,"?*"))</f>
        <v/>
      </c>
      <c r="B1232" s="5"/>
      <c r="C1232" s="4" t="str">
        <f>IF(B1232="","",INDEX({"Ocak","Şubat","Mart","Nisan","Mayıs","Haziran","Temmuz","Ağustos","Eylül","Ekim","Kasım","Aralık"},MONTH(B1232)))</f>
        <v/>
      </c>
      <c r="D1232" s="2"/>
      <c r="E1232" s="4" t="str">
        <f>IFERROR(INDEX('Araç Tanımlama'!$D$5:$D$200,MATCH(D1232,'Araç Tanımlama'!$A$5:$A$200,0)),"")</f>
        <v/>
      </c>
      <c r="F1232" s="4" t="str">
        <f>IFERROR(INDEX('Araç Tanımlama'!$E$5:$E$200,MATCH(D1232,'Araç Tanımlama'!$A$5:$A$200,0)),"")</f>
        <v/>
      </c>
      <c r="G1232" s="2"/>
      <c r="H1232" s="7"/>
      <c r="I1232" s="9" t="str">
        <f>IF(OR(G1232="",H1232=""),"",G1232*H1232)</f>
        <v/>
      </c>
      <c r="J1232" s="2"/>
      <c r="K1232" s="2"/>
    </row>
    <row r="1233" spans="1:11">
      <c r="A1233" s="4" t="str">
        <f>IF(D1233="","",COUNTIF($D$5:D1233,"?*"))</f>
        <v/>
      </c>
      <c r="B1233" s="5"/>
      <c r="C1233" s="4" t="str">
        <f>IF(B1233="","",INDEX({"Ocak","Şubat","Mart","Nisan","Mayıs","Haziran","Temmuz","Ağustos","Eylül","Ekim","Kasım","Aralık"},MONTH(B1233)))</f>
        <v/>
      </c>
      <c r="D1233" s="2"/>
      <c r="E1233" s="4" t="str">
        <f>IFERROR(INDEX('Araç Tanımlama'!$D$5:$D$200,MATCH(D1233,'Araç Tanımlama'!$A$5:$A$200,0)),"")</f>
        <v/>
      </c>
      <c r="F1233" s="4" t="str">
        <f>IFERROR(INDEX('Araç Tanımlama'!$E$5:$E$200,MATCH(D1233,'Araç Tanımlama'!$A$5:$A$200,0)),"")</f>
        <v/>
      </c>
      <c r="G1233" s="2"/>
      <c r="H1233" s="7"/>
      <c r="I1233" s="9" t="str">
        <f>IF(OR(G1233="",H1233=""),"",G1233*H1233)</f>
        <v/>
      </c>
      <c r="J1233" s="2"/>
      <c r="K1233" s="2"/>
    </row>
    <row r="1234" spans="1:11">
      <c r="A1234" s="4" t="str">
        <f>IF(D1234="","",COUNTIF($D$5:D1234,"?*"))</f>
        <v/>
      </c>
      <c r="B1234" s="5"/>
      <c r="C1234" s="4" t="str">
        <f>IF(B1234="","",INDEX({"Ocak","Şubat","Mart","Nisan","Mayıs","Haziran","Temmuz","Ağustos","Eylül","Ekim","Kasım","Aralık"},MONTH(B1234)))</f>
        <v/>
      </c>
      <c r="D1234" s="2"/>
      <c r="E1234" s="4" t="str">
        <f>IFERROR(INDEX('Araç Tanımlama'!$D$5:$D$200,MATCH(D1234,'Araç Tanımlama'!$A$5:$A$200,0)),"")</f>
        <v/>
      </c>
      <c r="F1234" s="4" t="str">
        <f>IFERROR(INDEX('Araç Tanımlama'!$E$5:$E$200,MATCH(D1234,'Araç Tanımlama'!$A$5:$A$200,0)),"")</f>
        <v/>
      </c>
      <c r="G1234" s="2"/>
      <c r="H1234" s="7"/>
      <c r="I1234" s="9" t="str">
        <f>IF(OR(G1234="",H1234=""),"",G1234*H1234)</f>
        <v/>
      </c>
      <c r="J1234" s="2"/>
      <c r="K1234" s="2"/>
    </row>
    <row r="1235" spans="1:11">
      <c r="A1235" s="4" t="str">
        <f>IF(D1235="","",COUNTIF($D$5:D1235,"?*"))</f>
        <v/>
      </c>
      <c r="B1235" s="5"/>
      <c r="C1235" s="4" t="str">
        <f>IF(B1235="","",INDEX({"Ocak","Şubat","Mart","Nisan","Mayıs","Haziran","Temmuz","Ağustos","Eylül","Ekim","Kasım","Aralık"},MONTH(B1235)))</f>
        <v/>
      </c>
      <c r="D1235" s="2"/>
      <c r="E1235" s="4" t="str">
        <f>IFERROR(INDEX('Araç Tanımlama'!$D$5:$D$200,MATCH(D1235,'Araç Tanımlama'!$A$5:$A$200,0)),"")</f>
        <v/>
      </c>
      <c r="F1235" s="4" t="str">
        <f>IFERROR(INDEX('Araç Tanımlama'!$E$5:$E$200,MATCH(D1235,'Araç Tanımlama'!$A$5:$A$200,0)),"")</f>
        <v/>
      </c>
      <c r="G1235" s="2"/>
      <c r="H1235" s="7"/>
      <c r="I1235" s="9" t="str">
        <f>IF(OR(G1235="",H1235=""),"",G1235*H1235)</f>
        <v/>
      </c>
      <c r="J1235" s="2"/>
      <c r="K1235" s="2"/>
    </row>
    <row r="1236" spans="1:11">
      <c r="A1236" s="4" t="str">
        <f>IF(D1236="","",COUNTIF($D$5:D1236,"?*"))</f>
        <v/>
      </c>
      <c r="B1236" s="5"/>
      <c r="C1236" s="4" t="str">
        <f>IF(B1236="","",INDEX({"Ocak","Şubat","Mart","Nisan","Mayıs","Haziran","Temmuz","Ağustos","Eylül","Ekim","Kasım","Aralık"},MONTH(B1236)))</f>
        <v/>
      </c>
      <c r="D1236" s="2"/>
      <c r="E1236" s="4" t="str">
        <f>IFERROR(INDEX('Araç Tanımlama'!$D$5:$D$200,MATCH(D1236,'Araç Tanımlama'!$A$5:$A$200,0)),"")</f>
        <v/>
      </c>
      <c r="F1236" s="4" t="str">
        <f>IFERROR(INDEX('Araç Tanımlama'!$E$5:$E$200,MATCH(D1236,'Araç Tanımlama'!$A$5:$A$200,0)),"")</f>
        <v/>
      </c>
      <c r="G1236" s="2"/>
      <c r="H1236" s="7"/>
      <c r="I1236" s="9" t="str">
        <f>IF(OR(G1236="",H1236=""),"",G1236*H1236)</f>
        <v/>
      </c>
      <c r="J1236" s="2"/>
      <c r="K1236" s="2"/>
    </row>
    <row r="1237" spans="1:11">
      <c r="A1237" s="4" t="str">
        <f>IF(D1237="","",COUNTIF($D$5:D1237,"?*"))</f>
        <v/>
      </c>
      <c r="B1237" s="5"/>
      <c r="C1237" s="4" t="str">
        <f>IF(B1237="","",INDEX({"Ocak","Şubat","Mart","Nisan","Mayıs","Haziran","Temmuz","Ağustos","Eylül","Ekim","Kasım","Aralık"},MONTH(B1237)))</f>
        <v/>
      </c>
      <c r="D1237" s="2"/>
      <c r="E1237" s="4" t="str">
        <f>IFERROR(INDEX('Araç Tanımlama'!$D$5:$D$200,MATCH(D1237,'Araç Tanımlama'!$A$5:$A$200,0)),"")</f>
        <v/>
      </c>
      <c r="F1237" s="4" t="str">
        <f>IFERROR(INDEX('Araç Tanımlama'!$E$5:$E$200,MATCH(D1237,'Araç Tanımlama'!$A$5:$A$200,0)),"")</f>
        <v/>
      </c>
      <c r="G1237" s="2"/>
      <c r="H1237" s="7"/>
      <c r="I1237" s="9" t="str">
        <f>IF(OR(G1237="",H1237=""),"",G1237*H1237)</f>
        <v/>
      </c>
      <c r="J1237" s="2"/>
      <c r="K1237" s="2"/>
    </row>
    <row r="1238" spans="1:11">
      <c r="A1238" s="4" t="str">
        <f>IF(D1238="","",COUNTIF($D$5:D1238,"?*"))</f>
        <v/>
      </c>
      <c r="B1238" s="5"/>
      <c r="C1238" s="4" t="str">
        <f>IF(B1238="","",INDEX({"Ocak","Şubat","Mart","Nisan","Mayıs","Haziran","Temmuz","Ağustos","Eylül","Ekim","Kasım","Aralık"},MONTH(B1238)))</f>
        <v/>
      </c>
      <c r="D1238" s="2"/>
      <c r="E1238" s="4" t="str">
        <f>IFERROR(INDEX('Araç Tanımlama'!$D$5:$D$200,MATCH(D1238,'Araç Tanımlama'!$A$5:$A$200,0)),"")</f>
        <v/>
      </c>
      <c r="F1238" s="4" t="str">
        <f>IFERROR(INDEX('Araç Tanımlama'!$E$5:$E$200,MATCH(D1238,'Araç Tanımlama'!$A$5:$A$200,0)),"")</f>
        <v/>
      </c>
      <c r="G1238" s="2"/>
      <c r="H1238" s="7"/>
      <c r="I1238" s="9" t="str">
        <f>IF(OR(G1238="",H1238=""),"",G1238*H1238)</f>
        <v/>
      </c>
      <c r="J1238" s="2"/>
      <c r="K1238" s="2"/>
    </row>
    <row r="1239" spans="1:11">
      <c r="A1239" s="4" t="str">
        <f>IF(D1239="","",COUNTIF($D$5:D1239,"?*"))</f>
        <v/>
      </c>
      <c r="B1239" s="5"/>
      <c r="C1239" s="4" t="str">
        <f>IF(B1239="","",INDEX({"Ocak","Şubat","Mart","Nisan","Mayıs","Haziran","Temmuz","Ağustos","Eylül","Ekim","Kasım","Aralık"},MONTH(B1239)))</f>
        <v/>
      </c>
      <c r="D1239" s="2"/>
      <c r="E1239" s="4" t="str">
        <f>IFERROR(INDEX('Araç Tanımlama'!$D$5:$D$200,MATCH(D1239,'Araç Tanımlama'!$A$5:$A$200,0)),"")</f>
        <v/>
      </c>
      <c r="F1239" s="4" t="str">
        <f>IFERROR(INDEX('Araç Tanımlama'!$E$5:$E$200,MATCH(D1239,'Araç Tanımlama'!$A$5:$A$200,0)),"")</f>
        <v/>
      </c>
      <c r="G1239" s="2"/>
      <c r="H1239" s="7"/>
      <c r="I1239" s="9" t="str">
        <f>IF(OR(G1239="",H1239=""),"",G1239*H1239)</f>
        <v/>
      </c>
      <c r="J1239" s="2"/>
      <c r="K1239" s="2"/>
    </row>
    <row r="1240" spans="1:11">
      <c r="A1240" s="4" t="str">
        <f>IF(D1240="","",COUNTIF($D$5:D1240,"?*"))</f>
        <v/>
      </c>
      <c r="B1240" s="5"/>
      <c r="C1240" s="4" t="str">
        <f>IF(B1240="","",INDEX({"Ocak","Şubat","Mart","Nisan","Mayıs","Haziran","Temmuz","Ağustos","Eylül","Ekim","Kasım","Aralık"},MONTH(B1240)))</f>
        <v/>
      </c>
      <c r="D1240" s="2"/>
      <c r="E1240" s="4" t="str">
        <f>IFERROR(INDEX('Araç Tanımlama'!$D$5:$D$200,MATCH(D1240,'Araç Tanımlama'!$A$5:$A$200,0)),"")</f>
        <v/>
      </c>
      <c r="F1240" s="4" t="str">
        <f>IFERROR(INDEX('Araç Tanımlama'!$E$5:$E$200,MATCH(D1240,'Araç Tanımlama'!$A$5:$A$200,0)),"")</f>
        <v/>
      </c>
      <c r="G1240" s="2"/>
      <c r="H1240" s="7"/>
      <c r="I1240" s="9" t="str">
        <f>IF(OR(G1240="",H1240=""),"",G1240*H1240)</f>
        <v/>
      </c>
      <c r="J1240" s="2"/>
      <c r="K1240" s="2"/>
    </row>
    <row r="1241" spans="1:11">
      <c r="A1241" s="4" t="str">
        <f>IF(D1241="","",COUNTIF($D$5:D1241,"?*"))</f>
        <v/>
      </c>
      <c r="B1241" s="5"/>
      <c r="C1241" s="4" t="str">
        <f>IF(B1241="","",INDEX({"Ocak","Şubat","Mart","Nisan","Mayıs","Haziran","Temmuz","Ağustos","Eylül","Ekim","Kasım","Aralık"},MONTH(B1241)))</f>
        <v/>
      </c>
      <c r="D1241" s="2"/>
      <c r="E1241" s="4" t="str">
        <f>IFERROR(INDEX('Araç Tanımlama'!$D$5:$D$200,MATCH(D1241,'Araç Tanımlama'!$A$5:$A$200,0)),"")</f>
        <v/>
      </c>
      <c r="F1241" s="4" t="str">
        <f>IFERROR(INDEX('Araç Tanımlama'!$E$5:$E$200,MATCH(D1241,'Araç Tanımlama'!$A$5:$A$200,0)),"")</f>
        <v/>
      </c>
      <c r="G1241" s="2"/>
      <c r="H1241" s="7"/>
      <c r="I1241" s="9" t="str">
        <f>IF(OR(G1241="",H1241=""),"",G1241*H1241)</f>
        <v/>
      </c>
      <c r="J1241" s="2"/>
      <c r="K1241" s="2"/>
    </row>
    <row r="1242" spans="1:11">
      <c r="A1242" s="4" t="str">
        <f>IF(D1242="","",COUNTIF($D$5:D1242,"?*"))</f>
        <v/>
      </c>
      <c r="B1242" s="5"/>
      <c r="C1242" s="4" t="str">
        <f>IF(B1242="","",INDEX({"Ocak","Şubat","Mart","Nisan","Mayıs","Haziran","Temmuz","Ağustos","Eylül","Ekim","Kasım","Aralık"},MONTH(B1242)))</f>
        <v/>
      </c>
      <c r="D1242" s="2"/>
      <c r="E1242" s="4" t="str">
        <f>IFERROR(INDEX('Araç Tanımlama'!$D$5:$D$200,MATCH(D1242,'Araç Tanımlama'!$A$5:$A$200,0)),"")</f>
        <v/>
      </c>
      <c r="F1242" s="4" t="str">
        <f>IFERROR(INDEX('Araç Tanımlama'!$E$5:$E$200,MATCH(D1242,'Araç Tanımlama'!$A$5:$A$200,0)),"")</f>
        <v/>
      </c>
      <c r="G1242" s="2"/>
      <c r="H1242" s="7"/>
      <c r="I1242" s="9" t="str">
        <f>IF(OR(G1242="",H1242=""),"",G1242*H1242)</f>
        <v/>
      </c>
      <c r="J1242" s="2"/>
      <c r="K1242" s="2"/>
    </row>
    <row r="1243" spans="1:11">
      <c r="A1243" s="4" t="str">
        <f>IF(D1243="","",COUNTIF($D$5:D1243,"?*"))</f>
        <v/>
      </c>
      <c r="B1243" s="5"/>
      <c r="C1243" s="4" t="str">
        <f>IF(B1243="","",INDEX({"Ocak","Şubat","Mart","Nisan","Mayıs","Haziran","Temmuz","Ağustos","Eylül","Ekim","Kasım","Aralık"},MONTH(B1243)))</f>
        <v/>
      </c>
      <c r="D1243" s="2"/>
      <c r="E1243" s="4" t="str">
        <f>IFERROR(INDEX('Araç Tanımlama'!$D$5:$D$200,MATCH(D1243,'Araç Tanımlama'!$A$5:$A$200,0)),"")</f>
        <v/>
      </c>
      <c r="F1243" s="4" t="str">
        <f>IFERROR(INDEX('Araç Tanımlama'!$E$5:$E$200,MATCH(D1243,'Araç Tanımlama'!$A$5:$A$200,0)),"")</f>
        <v/>
      </c>
      <c r="G1243" s="2"/>
      <c r="H1243" s="7"/>
      <c r="I1243" s="9" t="str">
        <f>IF(OR(G1243="",H1243=""),"",G1243*H1243)</f>
        <v/>
      </c>
      <c r="J1243" s="2"/>
      <c r="K1243" s="2"/>
    </row>
    <row r="1244" spans="1:11">
      <c r="A1244" s="4" t="str">
        <f>IF(D1244="","",COUNTIF($D$5:D1244,"?*"))</f>
        <v/>
      </c>
      <c r="B1244" s="5"/>
      <c r="C1244" s="4" t="str">
        <f>IF(B1244="","",INDEX({"Ocak","Şubat","Mart","Nisan","Mayıs","Haziran","Temmuz","Ağustos","Eylül","Ekim","Kasım","Aralık"},MONTH(B1244)))</f>
        <v/>
      </c>
      <c r="D1244" s="2"/>
      <c r="E1244" s="4" t="str">
        <f>IFERROR(INDEX('Araç Tanımlama'!$D$5:$D$200,MATCH(D1244,'Araç Tanımlama'!$A$5:$A$200,0)),"")</f>
        <v/>
      </c>
      <c r="F1244" s="4" t="str">
        <f>IFERROR(INDEX('Araç Tanımlama'!$E$5:$E$200,MATCH(D1244,'Araç Tanımlama'!$A$5:$A$200,0)),"")</f>
        <v/>
      </c>
      <c r="G1244" s="2"/>
      <c r="H1244" s="7"/>
      <c r="I1244" s="9" t="str">
        <f>IF(OR(G1244="",H1244=""),"",G1244*H1244)</f>
        <v/>
      </c>
      <c r="J1244" s="2"/>
      <c r="K1244" s="2"/>
    </row>
    <row r="1245" spans="1:11">
      <c r="A1245" s="4" t="str">
        <f>IF(D1245="","",COUNTIF($D$5:D1245,"?*"))</f>
        <v/>
      </c>
      <c r="B1245" s="5"/>
      <c r="C1245" s="4" t="str">
        <f>IF(B1245="","",INDEX({"Ocak","Şubat","Mart","Nisan","Mayıs","Haziran","Temmuz","Ağustos","Eylül","Ekim","Kasım","Aralık"},MONTH(B1245)))</f>
        <v/>
      </c>
      <c r="D1245" s="2"/>
      <c r="E1245" s="4" t="str">
        <f>IFERROR(INDEX('Araç Tanımlama'!$D$5:$D$200,MATCH(D1245,'Araç Tanımlama'!$A$5:$A$200,0)),"")</f>
        <v/>
      </c>
      <c r="F1245" s="4" t="str">
        <f>IFERROR(INDEX('Araç Tanımlama'!$E$5:$E$200,MATCH(D1245,'Araç Tanımlama'!$A$5:$A$200,0)),"")</f>
        <v/>
      </c>
      <c r="G1245" s="2"/>
      <c r="H1245" s="7"/>
      <c r="I1245" s="9" t="str">
        <f>IF(OR(G1245="",H1245=""),"",G1245*H1245)</f>
        <v/>
      </c>
      <c r="J1245" s="2"/>
      <c r="K1245" s="2"/>
    </row>
    <row r="1246" spans="1:11">
      <c r="A1246" s="4" t="str">
        <f>IF(D1246="","",COUNTIF($D$5:D1246,"?*"))</f>
        <v/>
      </c>
      <c r="B1246" s="5"/>
      <c r="C1246" s="4" t="str">
        <f>IF(B1246="","",INDEX({"Ocak","Şubat","Mart","Nisan","Mayıs","Haziran","Temmuz","Ağustos","Eylül","Ekim","Kasım","Aralık"},MONTH(B1246)))</f>
        <v/>
      </c>
      <c r="D1246" s="2"/>
      <c r="E1246" s="4" t="str">
        <f>IFERROR(INDEX('Araç Tanımlama'!$D$5:$D$200,MATCH(D1246,'Araç Tanımlama'!$A$5:$A$200,0)),"")</f>
        <v/>
      </c>
      <c r="F1246" s="4" t="str">
        <f>IFERROR(INDEX('Araç Tanımlama'!$E$5:$E$200,MATCH(D1246,'Araç Tanımlama'!$A$5:$A$200,0)),"")</f>
        <v/>
      </c>
      <c r="G1246" s="2"/>
      <c r="H1246" s="7"/>
      <c r="I1246" s="9" t="str">
        <f>IF(OR(G1246="",H1246=""),"",G1246*H1246)</f>
        <v/>
      </c>
      <c r="J1246" s="2"/>
      <c r="K1246" s="2"/>
    </row>
    <row r="1247" spans="1:11">
      <c r="A1247" s="4" t="str">
        <f>IF(D1247="","",COUNTIF($D$5:D1247,"?*"))</f>
        <v/>
      </c>
      <c r="B1247" s="5"/>
      <c r="C1247" s="4" t="str">
        <f>IF(B1247="","",INDEX({"Ocak","Şubat","Mart","Nisan","Mayıs","Haziran","Temmuz","Ağustos","Eylül","Ekim","Kasım","Aralık"},MONTH(B1247)))</f>
        <v/>
      </c>
      <c r="D1247" s="2"/>
      <c r="E1247" s="4" t="str">
        <f>IFERROR(INDEX('Araç Tanımlama'!$D$5:$D$200,MATCH(D1247,'Araç Tanımlama'!$A$5:$A$200,0)),"")</f>
        <v/>
      </c>
      <c r="F1247" s="4" t="str">
        <f>IFERROR(INDEX('Araç Tanımlama'!$E$5:$E$200,MATCH(D1247,'Araç Tanımlama'!$A$5:$A$200,0)),"")</f>
        <v/>
      </c>
      <c r="G1247" s="2"/>
      <c r="H1247" s="7"/>
      <c r="I1247" s="9" t="str">
        <f>IF(OR(G1247="",H1247=""),"",G1247*H1247)</f>
        <v/>
      </c>
      <c r="J1247" s="2"/>
      <c r="K1247" s="2"/>
    </row>
    <row r="1248" spans="1:11">
      <c r="A1248" s="4" t="str">
        <f>IF(D1248="","",COUNTIF($D$5:D1248,"?*"))</f>
        <v/>
      </c>
      <c r="B1248" s="5"/>
      <c r="C1248" s="4" t="str">
        <f>IF(B1248="","",INDEX({"Ocak","Şubat","Mart","Nisan","Mayıs","Haziran","Temmuz","Ağustos","Eylül","Ekim","Kasım","Aralık"},MONTH(B1248)))</f>
        <v/>
      </c>
      <c r="D1248" s="2"/>
      <c r="E1248" s="4" t="str">
        <f>IFERROR(INDEX('Araç Tanımlama'!$D$5:$D$200,MATCH(D1248,'Araç Tanımlama'!$A$5:$A$200,0)),"")</f>
        <v/>
      </c>
      <c r="F1248" s="4" t="str">
        <f>IFERROR(INDEX('Araç Tanımlama'!$E$5:$E$200,MATCH(D1248,'Araç Tanımlama'!$A$5:$A$200,0)),"")</f>
        <v/>
      </c>
      <c r="G1248" s="2"/>
      <c r="H1248" s="7"/>
      <c r="I1248" s="9" t="str">
        <f>IF(OR(G1248="",H1248=""),"",G1248*H1248)</f>
        <v/>
      </c>
      <c r="J1248" s="2"/>
      <c r="K1248" s="2"/>
    </row>
    <row r="1249" spans="1:11">
      <c r="A1249" s="4" t="str">
        <f>IF(D1249="","",COUNTIF($D$5:D1249,"?*"))</f>
        <v/>
      </c>
      <c r="B1249" s="5"/>
      <c r="C1249" s="4" t="str">
        <f>IF(B1249="","",INDEX({"Ocak","Şubat","Mart","Nisan","Mayıs","Haziran","Temmuz","Ağustos","Eylül","Ekim","Kasım","Aralık"},MONTH(B1249)))</f>
        <v/>
      </c>
      <c r="D1249" s="2"/>
      <c r="E1249" s="4" t="str">
        <f>IFERROR(INDEX('Araç Tanımlama'!$D$5:$D$200,MATCH(D1249,'Araç Tanımlama'!$A$5:$A$200,0)),"")</f>
        <v/>
      </c>
      <c r="F1249" s="4" t="str">
        <f>IFERROR(INDEX('Araç Tanımlama'!$E$5:$E$200,MATCH(D1249,'Araç Tanımlama'!$A$5:$A$200,0)),"")</f>
        <v/>
      </c>
      <c r="G1249" s="2"/>
      <c r="H1249" s="7"/>
      <c r="I1249" s="9" t="str">
        <f>IF(OR(G1249="",H1249=""),"",G1249*H1249)</f>
        <v/>
      </c>
      <c r="J1249" s="2"/>
      <c r="K1249" s="2"/>
    </row>
    <row r="1250" spans="1:11">
      <c r="A1250" s="4" t="str">
        <f>IF(D1250="","",COUNTIF($D$5:D1250,"?*"))</f>
        <v/>
      </c>
      <c r="B1250" s="5"/>
      <c r="C1250" s="4" t="str">
        <f>IF(B1250="","",INDEX({"Ocak","Şubat","Mart","Nisan","Mayıs","Haziran","Temmuz","Ağustos","Eylül","Ekim","Kasım","Aralık"},MONTH(B1250)))</f>
        <v/>
      </c>
      <c r="D1250" s="2"/>
      <c r="E1250" s="4" t="str">
        <f>IFERROR(INDEX('Araç Tanımlama'!$D$5:$D$200,MATCH(D1250,'Araç Tanımlama'!$A$5:$A$200,0)),"")</f>
        <v/>
      </c>
      <c r="F1250" s="4" t="str">
        <f>IFERROR(INDEX('Araç Tanımlama'!$E$5:$E$200,MATCH(D1250,'Araç Tanımlama'!$A$5:$A$200,0)),"")</f>
        <v/>
      </c>
      <c r="G1250" s="2"/>
      <c r="H1250" s="7"/>
      <c r="I1250" s="9" t="str">
        <f>IF(OR(G1250="",H1250=""),"",G1250*H1250)</f>
        <v/>
      </c>
      <c r="J1250" s="2"/>
      <c r="K1250" s="2"/>
    </row>
    <row r="1251" spans="1:11">
      <c r="A1251" s="4" t="str">
        <f>IF(D1251="","",COUNTIF($D$5:D1251,"?*"))</f>
        <v/>
      </c>
      <c r="B1251" s="5"/>
      <c r="C1251" s="4" t="str">
        <f>IF(B1251="","",INDEX({"Ocak","Şubat","Mart","Nisan","Mayıs","Haziran","Temmuz","Ağustos","Eylül","Ekim","Kasım","Aralık"},MONTH(B1251)))</f>
        <v/>
      </c>
      <c r="D1251" s="2"/>
      <c r="E1251" s="4" t="str">
        <f>IFERROR(INDEX('Araç Tanımlama'!$D$5:$D$200,MATCH(D1251,'Araç Tanımlama'!$A$5:$A$200,0)),"")</f>
        <v/>
      </c>
      <c r="F1251" s="4" t="str">
        <f>IFERROR(INDEX('Araç Tanımlama'!$E$5:$E$200,MATCH(D1251,'Araç Tanımlama'!$A$5:$A$200,0)),"")</f>
        <v/>
      </c>
      <c r="G1251" s="2"/>
      <c r="H1251" s="7"/>
      <c r="I1251" s="9" t="str">
        <f>IF(OR(G1251="",H1251=""),"",G1251*H1251)</f>
        <v/>
      </c>
      <c r="J1251" s="2"/>
      <c r="K1251" s="2"/>
    </row>
    <row r="1252" spans="1:11">
      <c r="A1252" s="4" t="str">
        <f>IF(D1252="","",COUNTIF($D$5:D1252,"?*"))</f>
        <v/>
      </c>
      <c r="B1252" s="5"/>
      <c r="C1252" s="4" t="str">
        <f>IF(B1252="","",INDEX({"Ocak","Şubat","Mart","Nisan","Mayıs","Haziran","Temmuz","Ağustos","Eylül","Ekim","Kasım","Aralık"},MONTH(B1252)))</f>
        <v/>
      </c>
      <c r="D1252" s="2"/>
      <c r="E1252" s="4" t="str">
        <f>IFERROR(INDEX('Araç Tanımlama'!$D$5:$D$200,MATCH(D1252,'Araç Tanımlama'!$A$5:$A$200,0)),"")</f>
        <v/>
      </c>
      <c r="F1252" s="4" t="str">
        <f>IFERROR(INDEX('Araç Tanımlama'!$E$5:$E$200,MATCH(D1252,'Araç Tanımlama'!$A$5:$A$200,0)),"")</f>
        <v/>
      </c>
      <c r="G1252" s="2"/>
      <c r="H1252" s="7"/>
      <c r="I1252" s="9" t="str">
        <f>IF(OR(G1252="",H1252=""),"",G1252*H1252)</f>
        <v/>
      </c>
      <c r="J1252" s="2"/>
      <c r="K1252" s="2"/>
    </row>
    <row r="1253" spans="1:11">
      <c r="A1253" s="4" t="str">
        <f>IF(D1253="","",COUNTIF($D$5:D1253,"?*"))</f>
        <v/>
      </c>
      <c r="B1253" s="5"/>
      <c r="C1253" s="4" t="str">
        <f>IF(B1253="","",INDEX({"Ocak","Şubat","Mart","Nisan","Mayıs","Haziran","Temmuz","Ağustos","Eylül","Ekim","Kasım","Aralık"},MONTH(B1253)))</f>
        <v/>
      </c>
      <c r="D1253" s="2"/>
      <c r="E1253" s="4" t="str">
        <f>IFERROR(INDEX('Araç Tanımlama'!$D$5:$D$200,MATCH(D1253,'Araç Tanımlama'!$A$5:$A$200,0)),"")</f>
        <v/>
      </c>
      <c r="F1253" s="4" t="str">
        <f>IFERROR(INDEX('Araç Tanımlama'!$E$5:$E$200,MATCH(D1253,'Araç Tanımlama'!$A$5:$A$200,0)),"")</f>
        <v/>
      </c>
      <c r="G1253" s="2"/>
      <c r="H1253" s="7"/>
      <c r="I1253" s="9" t="str">
        <f>IF(OR(G1253="",H1253=""),"",G1253*H1253)</f>
        <v/>
      </c>
      <c r="J1253" s="2"/>
      <c r="K1253" s="2"/>
    </row>
    <row r="1254" spans="1:11">
      <c r="A1254" s="4" t="str">
        <f>IF(D1254="","",COUNTIF($D$5:D1254,"?*"))</f>
        <v/>
      </c>
      <c r="B1254" s="5"/>
      <c r="C1254" s="4" t="str">
        <f>IF(B1254="","",INDEX({"Ocak","Şubat","Mart","Nisan","Mayıs","Haziran","Temmuz","Ağustos","Eylül","Ekim","Kasım","Aralık"},MONTH(B1254)))</f>
        <v/>
      </c>
      <c r="D1254" s="2"/>
      <c r="E1254" s="4" t="str">
        <f>IFERROR(INDEX('Araç Tanımlama'!$D$5:$D$200,MATCH(D1254,'Araç Tanımlama'!$A$5:$A$200,0)),"")</f>
        <v/>
      </c>
      <c r="F1254" s="4" t="str">
        <f>IFERROR(INDEX('Araç Tanımlama'!$E$5:$E$200,MATCH(D1254,'Araç Tanımlama'!$A$5:$A$200,0)),"")</f>
        <v/>
      </c>
      <c r="G1254" s="2"/>
      <c r="H1254" s="7"/>
      <c r="I1254" s="9" t="str">
        <f>IF(OR(G1254="",H1254=""),"",G1254*H1254)</f>
        <v/>
      </c>
      <c r="J1254" s="2"/>
      <c r="K1254" s="2"/>
    </row>
    <row r="1255" spans="1:11">
      <c r="A1255" s="4" t="str">
        <f>IF(D1255="","",COUNTIF($D$5:D1255,"?*"))</f>
        <v/>
      </c>
      <c r="B1255" s="5"/>
      <c r="C1255" s="4" t="str">
        <f>IF(B1255="","",INDEX({"Ocak","Şubat","Mart","Nisan","Mayıs","Haziran","Temmuz","Ağustos","Eylül","Ekim","Kasım","Aralık"},MONTH(B1255)))</f>
        <v/>
      </c>
      <c r="D1255" s="2"/>
      <c r="E1255" s="4" t="str">
        <f>IFERROR(INDEX('Araç Tanımlama'!$D$5:$D$200,MATCH(D1255,'Araç Tanımlama'!$A$5:$A$200,0)),"")</f>
        <v/>
      </c>
      <c r="F1255" s="4" t="str">
        <f>IFERROR(INDEX('Araç Tanımlama'!$E$5:$E$200,MATCH(D1255,'Araç Tanımlama'!$A$5:$A$200,0)),"")</f>
        <v/>
      </c>
      <c r="G1255" s="2"/>
      <c r="H1255" s="7"/>
      <c r="I1255" s="9" t="str">
        <f>IF(OR(G1255="",H1255=""),"",G1255*H1255)</f>
        <v/>
      </c>
      <c r="J1255" s="2"/>
      <c r="K1255" s="2"/>
    </row>
    <row r="1256" spans="1:11">
      <c r="A1256" s="4" t="str">
        <f>IF(D1256="","",COUNTIF($D$5:D1256,"?*"))</f>
        <v/>
      </c>
      <c r="B1256" s="5"/>
      <c r="C1256" s="4" t="str">
        <f>IF(B1256="","",INDEX({"Ocak","Şubat","Mart","Nisan","Mayıs","Haziran","Temmuz","Ağustos","Eylül","Ekim","Kasım","Aralık"},MONTH(B1256)))</f>
        <v/>
      </c>
      <c r="D1256" s="2"/>
      <c r="E1256" s="4" t="str">
        <f>IFERROR(INDEX('Araç Tanımlama'!$D$5:$D$200,MATCH(D1256,'Araç Tanımlama'!$A$5:$A$200,0)),"")</f>
        <v/>
      </c>
      <c r="F1256" s="4" t="str">
        <f>IFERROR(INDEX('Araç Tanımlama'!$E$5:$E$200,MATCH(D1256,'Araç Tanımlama'!$A$5:$A$200,0)),"")</f>
        <v/>
      </c>
      <c r="G1256" s="2"/>
      <c r="H1256" s="7"/>
      <c r="I1256" s="9" t="str">
        <f>IF(OR(G1256="",H1256=""),"",G1256*H1256)</f>
        <v/>
      </c>
      <c r="J1256" s="2"/>
      <c r="K1256" s="2"/>
    </row>
    <row r="1257" spans="1:11">
      <c r="A1257" s="4" t="str">
        <f>IF(D1257="","",COUNTIF($D$5:D1257,"?*"))</f>
        <v/>
      </c>
      <c r="B1257" s="5"/>
      <c r="C1257" s="4" t="str">
        <f>IF(B1257="","",INDEX({"Ocak","Şubat","Mart","Nisan","Mayıs","Haziran","Temmuz","Ağustos","Eylül","Ekim","Kasım","Aralık"},MONTH(B1257)))</f>
        <v/>
      </c>
      <c r="D1257" s="2"/>
      <c r="E1257" s="4" t="str">
        <f>IFERROR(INDEX('Araç Tanımlama'!$D$5:$D$200,MATCH(D1257,'Araç Tanımlama'!$A$5:$A$200,0)),"")</f>
        <v/>
      </c>
      <c r="F1257" s="4" t="str">
        <f>IFERROR(INDEX('Araç Tanımlama'!$E$5:$E$200,MATCH(D1257,'Araç Tanımlama'!$A$5:$A$200,0)),"")</f>
        <v/>
      </c>
      <c r="G1257" s="2"/>
      <c r="H1257" s="7"/>
      <c r="I1257" s="9" t="str">
        <f>IF(OR(G1257="",H1257=""),"",G1257*H1257)</f>
        <v/>
      </c>
      <c r="J1257" s="2"/>
      <c r="K1257" s="2"/>
    </row>
    <row r="1258" spans="1:11">
      <c r="A1258" s="4" t="str">
        <f>IF(D1258="","",COUNTIF($D$5:D1258,"?*"))</f>
        <v/>
      </c>
      <c r="B1258" s="5"/>
      <c r="C1258" s="4" t="str">
        <f>IF(B1258="","",INDEX({"Ocak","Şubat","Mart","Nisan","Mayıs","Haziran","Temmuz","Ağustos","Eylül","Ekim","Kasım","Aralık"},MONTH(B1258)))</f>
        <v/>
      </c>
      <c r="D1258" s="2"/>
      <c r="E1258" s="4" t="str">
        <f>IFERROR(INDEX('Araç Tanımlama'!$D$5:$D$200,MATCH(D1258,'Araç Tanımlama'!$A$5:$A$200,0)),"")</f>
        <v/>
      </c>
      <c r="F1258" s="4" t="str">
        <f>IFERROR(INDEX('Araç Tanımlama'!$E$5:$E$200,MATCH(D1258,'Araç Tanımlama'!$A$5:$A$200,0)),"")</f>
        <v/>
      </c>
      <c r="G1258" s="2"/>
      <c r="H1258" s="7"/>
      <c r="I1258" s="9" t="str">
        <f>IF(OR(G1258="",H1258=""),"",G1258*H1258)</f>
        <v/>
      </c>
      <c r="J1258" s="2"/>
      <c r="K1258" s="2"/>
    </row>
    <row r="1259" spans="1:11">
      <c r="A1259" s="4" t="str">
        <f>IF(D1259="","",COUNTIF($D$5:D1259,"?*"))</f>
        <v/>
      </c>
      <c r="B1259" s="5"/>
      <c r="C1259" s="4" t="str">
        <f>IF(B1259="","",INDEX({"Ocak","Şubat","Mart","Nisan","Mayıs","Haziran","Temmuz","Ağustos","Eylül","Ekim","Kasım","Aralık"},MONTH(B1259)))</f>
        <v/>
      </c>
      <c r="D1259" s="2"/>
      <c r="E1259" s="4" t="str">
        <f>IFERROR(INDEX('Araç Tanımlama'!$D$5:$D$200,MATCH(D1259,'Araç Tanımlama'!$A$5:$A$200,0)),"")</f>
        <v/>
      </c>
      <c r="F1259" s="4" t="str">
        <f>IFERROR(INDEX('Araç Tanımlama'!$E$5:$E$200,MATCH(D1259,'Araç Tanımlama'!$A$5:$A$200,0)),"")</f>
        <v/>
      </c>
      <c r="G1259" s="2"/>
      <c r="H1259" s="7"/>
      <c r="I1259" s="9" t="str">
        <f>IF(OR(G1259="",H1259=""),"",G1259*H1259)</f>
        <v/>
      </c>
      <c r="J1259" s="2"/>
      <c r="K1259" s="2"/>
    </row>
    <row r="1260" spans="1:11">
      <c r="A1260" s="4" t="str">
        <f>IF(D1260="","",COUNTIF($D$5:D1260,"?*"))</f>
        <v/>
      </c>
      <c r="B1260" s="5"/>
      <c r="C1260" s="4" t="str">
        <f>IF(B1260="","",INDEX({"Ocak","Şubat","Mart","Nisan","Mayıs","Haziran","Temmuz","Ağustos","Eylül","Ekim","Kasım","Aralık"},MONTH(B1260)))</f>
        <v/>
      </c>
      <c r="D1260" s="2"/>
      <c r="E1260" s="4" t="str">
        <f>IFERROR(INDEX('Araç Tanımlama'!$D$5:$D$200,MATCH(D1260,'Araç Tanımlama'!$A$5:$A$200,0)),"")</f>
        <v/>
      </c>
      <c r="F1260" s="4" t="str">
        <f>IFERROR(INDEX('Araç Tanımlama'!$E$5:$E$200,MATCH(D1260,'Araç Tanımlama'!$A$5:$A$200,0)),"")</f>
        <v/>
      </c>
      <c r="G1260" s="2"/>
      <c r="H1260" s="7"/>
      <c r="I1260" s="9" t="str">
        <f>IF(OR(G1260="",H1260=""),"",G1260*H1260)</f>
        <v/>
      </c>
      <c r="J1260" s="2"/>
      <c r="K1260" s="2"/>
    </row>
    <row r="1261" spans="1:11">
      <c r="A1261" s="4" t="str">
        <f>IF(D1261="","",COUNTIF($D$5:D1261,"?*"))</f>
        <v/>
      </c>
      <c r="B1261" s="5"/>
      <c r="C1261" s="4" t="str">
        <f>IF(B1261="","",INDEX({"Ocak","Şubat","Mart","Nisan","Mayıs","Haziran","Temmuz","Ağustos","Eylül","Ekim","Kasım","Aralık"},MONTH(B1261)))</f>
        <v/>
      </c>
      <c r="D1261" s="2"/>
      <c r="E1261" s="4" t="str">
        <f>IFERROR(INDEX('Araç Tanımlama'!$D$5:$D$200,MATCH(D1261,'Araç Tanımlama'!$A$5:$A$200,0)),"")</f>
        <v/>
      </c>
      <c r="F1261" s="4" t="str">
        <f>IFERROR(INDEX('Araç Tanımlama'!$E$5:$E$200,MATCH(D1261,'Araç Tanımlama'!$A$5:$A$200,0)),"")</f>
        <v/>
      </c>
      <c r="G1261" s="2"/>
      <c r="H1261" s="7"/>
      <c r="I1261" s="9" t="str">
        <f>IF(OR(G1261="",H1261=""),"",G1261*H1261)</f>
        <v/>
      </c>
      <c r="J1261" s="2"/>
      <c r="K1261" s="2"/>
    </row>
    <row r="1262" spans="1:11">
      <c r="A1262" s="4" t="str">
        <f>IF(D1262="","",COUNTIF($D$5:D1262,"?*"))</f>
        <v/>
      </c>
      <c r="B1262" s="5"/>
      <c r="C1262" s="4" t="str">
        <f>IF(B1262="","",INDEX({"Ocak","Şubat","Mart","Nisan","Mayıs","Haziran","Temmuz","Ağustos","Eylül","Ekim","Kasım","Aralık"},MONTH(B1262)))</f>
        <v/>
      </c>
      <c r="D1262" s="2"/>
      <c r="E1262" s="4" t="str">
        <f>IFERROR(INDEX('Araç Tanımlama'!$D$5:$D$200,MATCH(D1262,'Araç Tanımlama'!$A$5:$A$200,0)),"")</f>
        <v/>
      </c>
      <c r="F1262" s="4" t="str">
        <f>IFERROR(INDEX('Araç Tanımlama'!$E$5:$E$200,MATCH(D1262,'Araç Tanımlama'!$A$5:$A$200,0)),"")</f>
        <v/>
      </c>
      <c r="G1262" s="2"/>
      <c r="H1262" s="7"/>
      <c r="I1262" s="9" t="str">
        <f>IF(OR(G1262="",H1262=""),"",G1262*H1262)</f>
        <v/>
      </c>
      <c r="J1262" s="2"/>
      <c r="K1262" s="2"/>
    </row>
    <row r="1263" spans="1:11">
      <c r="A1263" s="4" t="str">
        <f>IF(D1263="","",COUNTIF($D$5:D1263,"?*"))</f>
        <v/>
      </c>
      <c r="B1263" s="5"/>
      <c r="C1263" s="4" t="str">
        <f>IF(B1263="","",INDEX({"Ocak","Şubat","Mart","Nisan","Mayıs","Haziran","Temmuz","Ağustos","Eylül","Ekim","Kasım","Aralık"},MONTH(B1263)))</f>
        <v/>
      </c>
      <c r="D1263" s="2"/>
      <c r="E1263" s="4" t="str">
        <f>IFERROR(INDEX('Araç Tanımlama'!$D$5:$D$200,MATCH(D1263,'Araç Tanımlama'!$A$5:$A$200,0)),"")</f>
        <v/>
      </c>
      <c r="F1263" s="4" t="str">
        <f>IFERROR(INDEX('Araç Tanımlama'!$E$5:$E$200,MATCH(D1263,'Araç Tanımlama'!$A$5:$A$200,0)),"")</f>
        <v/>
      </c>
      <c r="G1263" s="2"/>
      <c r="H1263" s="7"/>
      <c r="I1263" s="9" t="str">
        <f>IF(OR(G1263="",H1263=""),"",G1263*H1263)</f>
        <v/>
      </c>
      <c r="J1263" s="2"/>
      <c r="K1263" s="2"/>
    </row>
    <row r="1264" spans="1:11">
      <c r="A1264" s="4" t="str">
        <f>IF(D1264="","",COUNTIF($D$5:D1264,"?*"))</f>
        <v/>
      </c>
      <c r="B1264" s="5"/>
      <c r="C1264" s="4" t="str">
        <f>IF(B1264="","",INDEX({"Ocak","Şubat","Mart","Nisan","Mayıs","Haziran","Temmuz","Ağustos","Eylül","Ekim","Kasım","Aralık"},MONTH(B1264)))</f>
        <v/>
      </c>
      <c r="D1264" s="2"/>
      <c r="E1264" s="4" t="str">
        <f>IFERROR(INDEX('Araç Tanımlama'!$D$5:$D$200,MATCH(D1264,'Araç Tanımlama'!$A$5:$A$200,0)),"")</f>
        <v/>
      </c>
      <c r="F1264" s="4" t="str">
        <f>IFERROR(INDEX('Araç Tanımlama'!$E$5:$E$200,MATCH(D1264,'Araç Tanımlama'!$A$5:$A$200,0)),"")</f>
        <v/>
      </c>
      <c r="G1264" s="2"/>
      <c r="H1264" s="7"/>
      <c r="I1264" s="9" t="str">
        <f>IF(OR(G1264="",H1264=""),"",G1264*H1264)</f>
        <v/>
      </c>
      <c r="J1264" s="2"/>
      <c r="K1264" s="2"/>
    </row>
    <row r="1265" spans="1:11">
      <c r="A1265" s="4" t="str">
        <f>IF(D1265="","",COUNTIF($D$5:D1265,"?*"))</f>
        <v/>
      </c>
      <c r="B1265" s="5"/>
      <c r="C1265" s="4" t="str">
        <f>IF(B1265="","",INDEX({"Ocak","Şubat","Mart","Nisan","Mayıs","Haziran","Temmuz","Ağustos","Eylül","Ekim","Kasım","Aralık"},MONTH(B1265)))</f>
        <v/>
      </c>
      <c r="D1265" s="2"/>
      <c r="E1265" s="4" t="str">
        <f>IFERROR(INDEX('Araç Tanımlama'!$D$5:$D$200,MATCH(D1265,'Araç Tanımlama'!$A$5:$A$200,0)),"")</f>
        <v/>
      </c>
      <c r="F1265" s="4" t="str">
        <f>IFERROR(INDEX('Araç Tanımlama'!$E$5:$E$200,MATCH(D1265,'Araç Tanımlama'!$A$5:$A$200,0)),"")</f>
        <v/>
      </c>
      <c r="G1265" s="2"/>
      <c r="H1265" s="7"/>
      <c r="I1265" s="9" t="str">
        <f>IF(OR(G1265="",H1265=""),"",G1265*H1265)</f>
        <v/>
      </c>
      <c r="J1265" s="2"/>
      <c r="K1265" s="2"/>
    </row>
    <row r="1266" spans="1:11">
      <c r="A1266" s="4" t="str">
        <f>IF(D1266="","",COUNTIF($D$5:D1266,"?*"))</f>
        <v/>
      </c>
      <c r="B1266" s="5"/>
      <c r="C1266" s="4" t="str">
        <f>IF(B1266="","",INDEX({"Ocak","Şubat","Mart","Nisan","Mayıs","Haziran","Temmuz","Ağustos","Eylül","Ekim","Kasım","Aralık"},MONTH(B1266)))</f>
        <v/>
      </c>
      <c r="D1266" s="2"/>
      <c r="E1266" s="4" t="str">
        <f>IFERROR(INDEX('Araç Tanımlama'!$D$5:$D$200,MATCH(D1266,'Araç Tanımlama'!$A$5:$A$200,0)),"")</f>
        <v/>
      </c>
      <c r="F1266" s="4" t="str">
        <f>IFERROR(INDEX('Araç Tanımlama'!$E$5:$E$200,MATCH(D1266,'Araç Tanımlama'!$A$5:$A$200,0)),"")</f>
        <v/>
      </c>
      <c r="G1266" s="2"/>
      <c r="H1266" s="7"/>
      <c r="I1266" s="9" t="str">
        <f>IF(OR(G1266="",H1266=""),"",G1266*H1266)</f>
        <v/>
      </c>
      <c r="J1266" s="2"/>
      <c r="K1266" s="2"/>
    </row>
    <row r="1267" spans="1:11">
      <c r="A1267" s="4" t="str">
        <f>IF(D1267="","",COUNTIF($D$5:D1267,"?*"))</f>
        <v/>
      </c>
      <c r="B1267" s="5"/>
      <c r="C1267" s="4" t="str">
        <f>IF(B1267="","",INDEX({"Ocak","Şubat","Mart","Nisan","Mayıs","Haziran","Temmuz","Ağustos","Eylül","Ekim","Kasım","Aralık"},MONTH(B1267)))</f>
        <v/>
      </c>
      <c r="D1267" s="2"/>
      <c r="E1267" s="4" t="str">
        <f>IFERROR(INDEX('Araç Tanımlama'!$D$5:$D$200,MATCH(D1267,'Araç Tanımlama'!$A$5:$A$200,0)),"")</f>
        <v/>
      </c>
      <c r="F1267" s="4" t="str">
        <f>IFERROR(INDEX('Araç Tanımlama'!$E$5:$E$200,MATCH(D1267,'Araç Tanımlama'!$A$5:$A$200,0)),"")</f>
        <v/>
      </c>
      <c r="G1267" s="2"/>
      <c r="H1267" s="7"/>
      <c r="I1267" s="9" t="str">
        <f>IF(OR(G1267="",H1267=""),"",G1267*H1267)</f>
        <v/>
      </c>
      <c r="J1267" s="2"/>
      <c r="K1267" s="2"/>
    </row>
    <row r="1268" spans="1:11">
      <c r="A1268" s="4" t="str">
        <f>IF(D1268="","",COUNTIF($D$5:D1268,"?*"))</f>
        <v/>
      </c>
      <c r="B1268" s="5"/>
      <c r="C1268" s="4" t="str">
        <f>IF(B1268="","",INDEX({"Ocak","Şubat","Mart","Nisan","Mayıs","Haziran","Temmuz","Ağustos","Eylül","Ekim","Kasım","Aralık"},MONTH(B1268)))</f>
        <v/>
      </c>
      <c r="D1268" s="2"/>
      <c r="E1268" s="4" t="str">
        <f>IFERROR(INDEX('Araç Tanımlama'!$D$5:$D$200,MATCH(D1268,'Araç Tanımlama'!$A$5:$A$200,0)),"")</f>
        <v/>
      </c>
      <c r="F1268" s="4" t="str">
        <f>IFERROR(INDEX('Araç Tanımlama'!$E$5:$E$200,MATCH(D1268,'Araç Tanımlama'!$A$5:$A$200,0)),"")</f>
        <v/>
      </c>
      <c r="G1268" s="2"/>
      <c r="H1268" s="7"/>
      <c r="I1268" s="9" t="str">
        <f>IF(OR(G1268="",H1268=""),"",G1268*H1268)</f>
        <v/>
      </c>
      <c r="J1268" s="2"/>
      <c r="K1268" s="2"/>
    </row>
    <row r="1269" spans="1:11">
      <c r="A1269" s="4" t="str">
        <f>IF(D1269="","",COUNTIF($D$5:D1269,"?*"))</f>
        <v/>
      </c>
      <c r="B1269" s="5"/>
      <c r="C1269" s="4" t="str">
        <f>IF(B1269="","",INDEX({"Ocak","Şubat","Mart","Nisan","Mayıs","Haziran","Temmuz","Ağustos","Eylül","Ekim","Kasım","Aralık"},MONTH(B1269)))</f>
        <v/>
      </c>
      <c r="D1269" s="2"/>
      <c r="E1269" s="4" t="str">
        <f>IFERROR(INDEX('Araç Tanımlama'!$D$5:$D$200,MATCH(D1269,'Araç Tanımlama'!$A$5:$A$200,0)),"")</f>
        <v/>
      </c>
      <c r="F1269" s="4" t="str">
        <f>IFERROR(INDEX('Araç Tanımlama'!$E$5:$E$200,MATCH(D1269,'Araç Tanımlama'!$A$5:$A$200,0)),"")</f>
        <v/>
      </c>
      <c r="G1269" s="2"/>
      <c r="H1269" s="7"/>
      <c r="I1269" s="9" t="str">
        <f>IF(OR(G1269="",H1269=""),"",G1269*H1269)</f>
        <v/>
      </c>
      <c r="J1269" s="2"/>
      <c r="K1269" s="2"/>
    </row>
    <row r="1270" spans="1:11">
      <c r="A1270" s="4" t="str">
        <f>IF(D1270="","",COUNTIF($D$5:D1270,"?*"))</f>
        <v/>
      </c>
      <c r="B1270" s="5"/>
      <c r="C1270" s="4" t="str">
        <f>IF(B1270="","",INDEX({"Ocak","Şubat","Mart","Nisan","Mayıs","Haziran","Temmuz","Ağustos","Eylül","Ekim","Kasım","Aralık"},MONTH(B1270)))</f>
        <v/>
      </c>
      <c r="D1270" s="2"/>
      <c r="E1270" s="4" t="str">
        <f>IFERROR(INDEX('Araç Tanımlama'!$D$5:$D$200,MATCH(D1270,'Araç Tanımlama'!$A$5:$A$200,0)),"")</f>
        <v/>
      </c>
      <c r="F1270" s="4" t="str">
        <f>IFERROR(INDEX('Araç Tanımlama'!$E$5:$E$200,MATCH(D1270,'Araç Tanımlama'!$A$5:$A$200,0)),"")</f>
        <v/>
      </c>
      <c r="G1270" s="2"/>
      <c r="H1270" s="7"/>
      <c r="I1270" s="9" t="str">
        <f>IF(OR(G1270="",H1270=""),"",G1270*H1270)</f>
        <v/>
      </c>
      <c r="J1270" s="2"/>
      <c r="K1270" s="2"/>
    </row>
    <row r="1271" spans="1:11">
      <c r="A1271" s="4" t="str">
        <f>IF(D1271="","",COUNTIF($D$5:D1271,"?*"))</f>
        <v/>
      </c>
      <c r="B1271" s="5"/>
      <c r="C1271" s="4" t="str">
        <f>IF(B1271="","",INDEX({"Ocak","Şubat","Mart","Nisan","Mayıs","Haziran","Temmuz","Ağustos","Eylül","Ekim","Kasım","Aralık"},MONTH(B1271)))</f>
        <v/>
      </c>
      <c r="D1271" s="2"/>
      <c r="E1271" s="4" t="str">
        <f>IFERROR(INDEX('Araç Tanımlama'!$D$5:$D$200,MATCH(D1271,'Araç Tanımlama'!$A$5:$A$200,0)),"")</f>
        <v/>
      </c>
      <c r="F1271" s="4" t="str">
        <f>IFERROR(INDEX('Araç Tanımlama'!$E$5:$E$200,MATCH(D1271,'Araç Tanımlama'!$A$5:$A$200,0)),"")</f>
        <v/>
      </c>
      <c r="G1271" s="2"/>
      <c r="H1271" s="7"/>
      <c r="I1271" s="9" t="str">
        <f>IF(OR(G1271="",H1271=""),"",G1271*H1271)</f>
        <v/>
      </c>
      <c r="J1271" s="2"/>
      <c r="K1271" s="2"/>
    </row>
    <row r="1272" spans="1:11">
      <c r="A1272" s="4" t="str">
        <f>IF(D1272="","",COUNTIF($D$5:D1272,"?*"))</f>
        <v/>
      </c>
      <c r="B1272" s="5"/>
      <c r="C1272" s="4" t="str">
        <f>IF(B1272="","",INDEX({"Ocak","Şubat","Mart","Nisan","Mayıs","Haziran","Temmuz","Ağustos","Eylül","Ekim","Kasım","Aralık"},MONTH(B1272)))</f>
        <v/>
      </c>
      <c r="D1272" s="2"/>
      <c r="E1272" s="4" t="str">
        <f>IFERROR(INDEX('Araç Tanımlama'!$D$5:$D$200,MATCH(D1272,'Araç Tanımlama'!$A$5:$A$200,0)),"")</f>
        <v/>
      </c>
      <c r="F1272" s="4" t="str">
        <f>IFERROR(INDEX('Araç Tanımlama'!$E$5:$E$200,MATCH(D1272,'Araç Tanımlama'!$A$5:$A$200,0)),"")</f>
        <v/>
      </c>
      <c r="G1272" s="2"/>
      <c r="H1272" s="7"/>
      <c r="I1272" s="9" t="str">
        <f>IF(OR(G1272="",H1272=""),"",G1272*H1272)</f>
        <v/>
      </c>
      <c r="J1272" s="2"/>
      <c r="K1272" s="2"/>
    </row>
    <row r="1273" spans="1:11">
      <c r="A1273" s="4" t="str">
        <f>IF(D1273="","",COUNTIF($D$5:D1273,"?*"))</f>
        <v/>
      </c>
      <c r="B1273" s="5"/>
      <c r="C1273" s="4" t="str">
        <f>IF(B1273="","",INDEX({"Ocak","Şubat","Mart","Nisan","Mayıs","Haziran","Temmuz","Ağustos","Eylül","Ekim","Kasım","Aralık"},MONTH(B1273)))</f>
        <v/>
      </c>
      <c r="D1273" s="2"/>
      <c r="E1273" s="4" t="str">
        <f>IFERROR(INDEX('Araç Tanımlama'!$D$5:$D$200,MATCH(D1273,'Araç Tanımlama'!$A$5:$A$200,0)),"")</f>
        <v/>
      </c>
      <c r="F1273" s="4" t="str">
        <f>IFERROR(INDEX('Araç Tanımlama'!$E$5:$E$200,MATCH(D1273,'Araç Tanımlama'!$A$5:$A$200,0)),"")</f>
        <v/>
      </c>
      <c r="G1273" s="2"/>
      <c r="H1273" s="7"/>
      <c r="I1273" s="9" t="str">
        <f>IF(OR(G1273="",H1273=""),"",G1273*H1273)</f>
        <v/>
      </c>
      <c r="J1273" s="2"/>
      <c r="K1273" s="2"/>
    </row>
    <row r="1274" spans="1:11">
      <c r="A1274" s="4" t="str">
        <f>IF(D1274="","",COUNTIF($D$5:D1274,"?*"))</f>
        <v/>
      </c>
      <c r="B1274" s="5"/>
      <c r="C1274" s="4" t="str">
        <f>IF(B1274="","",INDEX({"Ocak","Şubat","Mart","Nisan","Mayıs","Haziran","Temmuz","Ağustos","Eylül","Ekim","Kasım","Aralık"},MONTH(B1274)))</f>
        <v/>
      </c>
      <c r="D1274" s="2"/>
      <c r="E1274" s="4" t="str">
        <f>IFERROR(INDEX('Araç Tanımlama'!$D$5:$D$200,MATCH(D1274,'Araç Tanımlama'!$A$5:$A$200,0)),"")</f>
        <v/>
      </c>
      <c r="F1274" s="4" t="str">
        <f>IFERROR(INDEX('Araç Tanımlama'!$E$5:$E$200,MATCH(D1274,'Araç Tanımlama'!$A$5:$A$200,0)),"")</f>
        <v/>
      </c>
      <c r="G1274" s="2"/>
      <c r="H1274" s="7"/>
      <c r="I1274" s="9" t="str">
        <f>IF(OR(G1274="",H1274=""),"",G1274*H1274)</f>
        <v/>
      </c>
      <c r="J1274" s="2"/>
      <c r="K1274" s="2"/>
    </row>
    <row r="1275" spans="1:11">
      <c r="A1275" s="4" t="str">
        <f>IF(D1275="","",COUNTIF($D$5:D1275,"?*"))</f>
        <v/>
      </c>
      <c r="B1275" s="5"/>
      <c r="C1275" s="4" t="str">
        <f>IF(B1275="","",INDEX({"Ocak","Şubat","Mart","Nisan","Mayıs","Haziran","Temmuz","Ağustos","Eylül","Ekim","Kasım","Aralık"},MONTH(B1275)))</f>
        <v/>
      </c>
      <c r="D1275" s="2"/>
      <c r="E1275" s="4" t="str">
        <f>IFERROR(INDEX('Araç Tanımlama'!$D$5:$D$200,MATCH(D1275,'Araç Tanımlama'!$A$5:$A$200,0)),"")</f>
        <v/>
      </c>
      <c r="F1275" s="4" t="str">
        <f>IFERROR(INDEX('Araç Tanımlama'!$E$5:$E$200,MATCH(D1275,'Araç Tanımlama'!$A$5:$A$200,0)),"")</f>
        <v/>
      </c>
      <c r="G1275" s="2"/>
      <c r="H1275" s="7"/>
      <c r="I1275" s="9" t="str">
        <f>IF(OR(G1275="",H1275=""),"",G1275*H1275)</f>
        <v/>
      </c>
      <c r="J1275" s="2"/>
      <c r="K1275" s="2"/>
    </row>
    <row r="1276" spans="1:11">
      <c r="A1276" s="4" t="str">
        <f>IF(D1276="","",COUNTIF($D$5:D1276,"?*"))</f>
        <v/>
      </c>
      <c r="B1276" s="5"/>
      <c r="C1276" s="4" t="str">
        <f>IF(B1276="","",INDEX({"Ocak","Şubat","Mart","Nisan","Mayıs","Haziran","Temmuz","Ağustos","Eylül","Ekim","Kasım","Aralık"},MONTH(B1276)))</f>
        <v/>
      </c>
      <c r="D1276" s="2"/>
      <c r="E1276" s="4" t="str">
        <f>IFERROR(INDEX('Araç Tanımlama'!$D$5:$D$200,MATCH(D1276,'Araç Tanımlama'!$A$5:$A$200,0)),"")</f>
        <v/>
      </c>
      <c r="F1276" s="4" t="str">
        <f>IFERROR(INDEX('Araç Tanımlama'!$E$5:$E$200,MATCH(D1276,'Araç Tanımlama'!$A$5:$A$200,0)),"")</f>
        <v/>
      </c>
      <c r="G1276" s="2"/>
      <c r="H1276" s="7"/>
      <c r="I1276" s="9" t="str">
        <f>IF(OR(G1276="",H1276=""),"",G1276*H1276)</f>
        <v/>
      </c>
      <c r="J1276" s="2"/>
      <c r="K1276" s="2"/>
    </row>
    <row r="1277" spans="1:11">
      <c r="A1277" s="4" t="str">
        <f>IF(D1277="","",COUNTIF($D$5:D1277,"?*"))</f>
        <v/>
      </c>
      <c r="B1277" s="5"/>
      <c r="C1277" s="4" t="str">
        <f>IF(B1277="","",INDEX({"Ocak","Şubat","Mart","Nisan","Mayıs","Haziran","Temmuz","Ağustos","Eylül","Ekim","Kasım","Aralık"},MONTH(B1277)))</f>
        <v/>
      </c>
      <c r="D1277" s="2"/>
      <c r="E1277" s="4" t="str">
        <f>IFERROR(INDEX('Araç Tanımlama'!$D$5:$D$200,MATCH(D1277,'Araç Tanımlama'!$A$5:$A$200,0)),"")</f>
        <v/>
      </c>
      <c r="F1277" s="4" t="str">
        <f>IFERROR(INDEX('Araç Tanımlama'!$E$5:$E$200,MATCH(D1277,'Araç Tanımlama'!$A$5:$A$200,0)),"")</f>
        <v/>
      </c>
      <c r="G1277" s="2"/>
      <c r="H1277" s="7"/>
      <c r="I1277" s="9" t="str">
        <f>IF(OR(G1277="",H1277=""),"",G1277*H1277)</f>
        <v/>
      </c>
      <c r="J1277" s="2"/>
      <c r="K1277" s="2"/>
    </row>
    <row r="1278" spans="1:11">
      <c r="A1278" s="4" t="str">
        <f>IF(D1278="","",COUNTIF($D$5:D1278,"?*"))</f>
        <v/>
      </c>
      <c r="B1278" s="5"/>
      <c r="C1278" s="4" t="str">
        <f>IF(B1278="","",INDEX({"Ocak","Şubat","Mart","Nisan","Mayıs","Haziran","Temmuz","Ağustos","Eylül","Ekim","Kasım","Aralık"},MONTH(B1278)))</f>
        <v/>
      </c>
      <c r="D1278" s="2"/>
      <c r="E1278" s="4" t="str">
        <f>IFERROR(INDEX('Araç Tanımlama'!$D$5:$D$200,MATCH(D1278,'Araç Tanımlama'!$A$5:$A$200,0)),"")</f>
        <v/>
      </c>
      <c r="F1278" s="4" t="str">
        <f>IFERROR(INDEX('Araç Tanımlama'!$E$5:$E$200,MATCH(D1278,'Araç Tanımlama'!$A$5:$A$200,0)),"")</f>
        <v/>
      </c>
      <c r="G1278" s="2"/>
      <c r="H1278" s="7"/>
      <c r="I1278" s="9" t="str">
        <f>IF(OR(G1278="",H1278=""),"",G1278*H1278)</f>
        <v/>
      </c>
      <c r="J1278" s="2"/>
      <c r="K1278" s="2"/>
    </row>
    <row r="1279" spans="1:11">
      <c r="A1279" s="4" t="str">
        <f>IF(D1279="","",COUNTIF($D$5:D1279,"?*"))</f>
        <v/>
      </c>
      <c r="B1279" s="5"/>
      <c r="C1279" s="4" t="str">
        <f>IF(B1279="","",INDEX({"Ocak","Şubat","Mart","Nisan","Mayıs","Haziran","Temmuz","Ağustos","Eylül","Ekim","Kasım","Aralık"},MONTH(B1279)))</f>
        <v/>
      </c>
      <c r="D1279" s="2"/>
      <c r="E1279" s="4" t="str">
        <f>IFERROR(INDEX('Araç Tanımlama'!$D$5:$D$200,MATCH(D1279,'Araç Tanımlama'!$A$5:$A$200,0)),"")</f>
        <v/>
      </c>
      <c r="F1279" s="4" t="str">
        <f>IFERROR(INDEX('Araç Tanımlama'!$E$5:$E$200,MATCH(D1279,'Araç Tanımlama'!$A$5:$A$200,0)),"")</f>
        <v/>
      </c>
      <c r="G1279" s="2"/>
      <c r="H1279" s="7"/>
      <c r="I1279" s="9" t="str">
        <f>IF(OR(G1279="",H1279=""),"",G1279*H1279)</f>
        <v/>
      </c>
      <c r="J1279" s="2"/>
      <c r="K1279" s="2"/>
    </row>
    <row r="1280" spans="1:11">
      <c r="A1280" s="4" t="str">
        <f>IF(D1280="","",COUNTIF($D$5:D1280,"?*"))</f>
        <v/>
      </c>
      <c r="B1280" s="5"/>
      <c r="C1280" s="4" t="str">
        <f>IF(B1280="","",INDEX({"Ocak","Şubat","Mart","Nisan","Mayıs","Haziran","Temmuz","Ağustos","Eylül","Ekim","Kasım","Aralık"},MONTH(B1280)))</f>
        <v/>
      </c>
      <c r="D1280" s="2"/>
      <c r="E1280" s="4" t="str">
        <f>IFERROR(INDEX('Araç Tanımlama'!$D$5:$D$200,MATCH(D1280,'Araç Tanımlama'!$A$5:$A$200,0)),"")</f>
        <v/>
      </c>
      <c r="F1280" s="4" t="str">
        <f>IFERROR(INDEX('Araç Tanımlama'!$E$5:$E$200,MATCH(D1280,'Araç Tanımlama'!$A$5:$A$200,0)),"")</f>
        <v/>
      </c>
      <c r="G1280" s="2"/>
      <c r="H1280" s="7"/>
      <c r="I1280" s="9" t="str">
        <f>IF(OR(G1280="",H1280=""),"",G1280*H1280)</f>
        <v/>
      </c>
      <c r="J1280" s="2"/>
      <c r="K1280" s="2"/>
    </row>
    <row r="1281" spans="1:11">
      <c r="A1281" s="4" t="str">
        <f>IF(D1281="","",COUNTIF($D$5:D1281,"?*"))</f>
        <v/>
      </c>
      <c r="B1281" s="5"/>
      <c r="C1281" s="4" t="str">
        <f>IF(B1281="","",INDEX({"Ocak","Şubat","Mart","Nisan","Mayıs","Haziran","Temmuz","Ağustos","Eylül","Ekim","Kasım","Aralık"},MONTH(B1281)))</f>
        <v/>
      </c>
      <c r="D1281" s="2"/>
      <c r="E1281" s="4" t="str">
        <f>IFERROR(INDEX('Araç Tanımlama'!$D$5:$D$200,MATCH(D1281,'Araç Tanımlama'!$A$5:$A$200,0)),"")</f>
        <v/>
      </c>
      <c r="F1281" s="4" t="str">
        <f>IFERROR(INDEX('Araç Tanımlama'!$E$5:$E$200,MATCH(D1281,'Araç Tanımlama'!$A$5:$A$200,0)),"")</f>
        <v/>
      </c>
      <c r="G1281" s="2"/>
      <c r="H1281" s="7"/>
      <c r="I1281" s="9" t="str">
        <f>IF(OR(G1281="",H1281=""),"",G1281*H1281)</f>
        <v/>
      </c>
      <c r="J1281" s="2"/>
      <c r="K1281" s="2"/>
    </row>
    <row r="1282" spans="1:11">
      <c r="A1282" s="4" t="str">
        <f>IF(D1282="","",COUNTIF($D$5:D1282,"?*"))</f>
        <v/>
      </c>
      <c r="B1282" s="5"/>
      <c r="C1282" s="4" t="str">
        <f>IF(B1282="","",INDEX({"Ocak","Şubat","Mart","Nisan","Mayıs","Haziran","Temmuz","Ağustos","Eylül","Ekim","Kasım","Aralık"},MONTH(B1282)))</f>
        <v/>
      </c>
      <c r="D1282" s="2"/>
      <c r="E1282" s="4" t="str">
        <f>IFERROR(INDEX('Araç Tanımlama'!$D$5:$D$200,MATCH(D1282,'Araç Tanımlama'!$A$5:$A$200,0)),"")</f>
        <v/>
      </c>
      <c r="F1282" s="4" t="str">
        <f>IFERROR(INDEX('Araç Tanımlama'!$E$5:$E$200,MATCH(D1282,'Araç Tanımlama'!$A$5:$A$200,0)),"")</f>
        <v/>
      </c>
      <c r="G1282" s="2"/>
      <c r="H1282" s="7"/>
      <c r="I1282" s="9" t="str">
        <f>IF(OR(G1282="",H1282=""),"",G1282*H1282)</f>
        <v/>
      </c>
      <c r="J1282" s="2"/>
      <c r="K1282" s="2"/>
    </row>
    <row r="1283" spans="1:11">
      <c r="A1283" s="4" t="str">
        <f>IF(D1283="","",COUNTIF($D$5:D1283,"?*"))</f>
        <v/>
      </c>
      <c r="B1283" s="5"/>
      <c r="C1283" s="4" t="str">
        <f>IF(B1283="","",INDEX({"Ocak","Şubat","Mart","Nisan","Mayıs","Haziran","Temmuz","Ağustos","Eylül","Ekim","Kasım","Aralık"},MONTH(B1283)))</f>
        <v/>
      </c>
      <c r="D1283" s="2"/>
      <c r="E1283" s="4" t="str">
        <f>IFERROR(INDEX('Araç Tanımlama'!$D$5:$D$200,MATCH(D1283,'Araç Tanımlama'!$A$5:$A$200,0)),"")</f>
        <v/>
      </c>
      <c r="F1283" s="4" t="str">
        <f>IFERROR(INDEX('Araç Tanımlama'!$E$5:$E$200,MATCH(D1283,'Araç Tanımlama'!$A$5:$A$200,0)),"")</f>
        <v/>
      </c>
      <c r="G1283" s="2"/>
      <c r="H1283" s="7"/>
      <c r="I1283" s="9" t="str">
        <f>IF(OR(G1283="",H1283=""),"",G1283*H1283)</f>
        <v/>
      </c>
      <c r="J1283" s="2"/>
      <c r="K1283" s="2"/>
    </row>
    <row r="1284" spans="1:11">
      <c r="A1284" s="4" t="str">
        <f>IF(D1284="","",COUNTIF($D$5:D1284,"?*"))</f>
        <v/>
      </c>
      <c r="B1284" s="5"/>
      <c r="C1284" s="4" t="str">
        <f>IF(B1284="","",INDEX({"Ocak","Şubat","Mart","Nisan","Mayıs","Haziran","Temmuz","Ağustos","Eylül","Ekim","Kasım","Aralık"},MONTH(B1284)))</f>
        <v/>
      </c>
      <c r="D1284" s="2"/>
      <c r="E1284" s="4" t="str">
        <f>IFERROR(INDEX('Araç Tanımlama'!$D$5:$D$200,MATCH(D1284,'Araç Tanımlama'!$A$5:$A$200,0)),"")</f>
        <v/>
      </c>
      <c r="F1284" s="4" t="str">
        <f>IFERROR(INDEX('Araç Tanımlama'!$E$5:$E$200,MATCH(D1284,'Araç Tanımlama'!$A$5:$A$200,0)),"")</f>
        <v/>
      </c>
      <c r="G1284" s="2"/>
      <c r="H1284" s="7"/>
      <c r="I1284" s="9" t="str">
        <f>IF(OR(G1284="",H1284=""),"",G1284*H1284)</f>
        <v/>
      </c>
      <c r="J1284" s="2"/>
      <c r="K1284" s="2"/>
    </row>
    <row r="1285" spans="1:11">
      <c r="A1285" s="4" t="str">
        <f>IF(D1285="","",COUNTIF($D$5:D1285,"?*"))</f>
        <v/>
      </c>
      <c r="B1285" s="5"/>
      <c r="C1285" s="4" t="str">
        <f>IF(B1285="","",INDEX({"Ocak","Şubat","Mart","Nisan","Mayıs","Haziran","Temmuz","Ağustos","Eylül","Ekim","Kasım","Aralık"},MONTH(B1285)))</f>
        <v/>
      </c>
      <c r="D1285" s="2"/>
      <c r="E1285" s="4" t="str">
        <f>IFERROR(INDEX('Araç Tanımlama'!$D$5:$D$200,MATCH(D1285,'Araç Tanımlama'!$A$5:$A$200,0)),"")</f>
        <v/>
      </c>
      <c r="F1285" s="4" t="str">
        <f>IFERROR(INDEX('Araç Tanımlama'!$E$5:$E$200,MATCH(D1285,'Araç Tanımlama'!$A$5:$A$200,0)),"")</f>
        <v/>
      </c>
      <c r="G1285" s="2"/>
      <c r="H1285" s="7"/>
      <c r="I1285" s="9" t="str">
        <f>IF(OR(G1285="",H1285=""),"",G1285*H1285)</f>
        <v/>
      </c>
      <c r="J1285" s="2"/>
      <c r="K1285" s="2"/>
    </row>
    <row r="1286" spans="1:11">
      <c r="A1286" s="4" t="str">
        <f>IF(D1286="","",COUNTIF($D$5:D1286,"?*"))</f>
        <v/>
      </c>
      <c r="B1286" s="5"/>
      <c r="C1286" s="4" t="str">
        <f>IF(B1286="","",INDEX({"Ocak","Şubat","Mart","Nisan","Mayıs","Haziran","Temmuz","Ağustos","Eylül","Ekim","Kasım","Aralık"},MONTH(B1286)))</f>
        <v/>
      </c>
      <c r="D1286" s="2"/>
      <c r="E1286" s="4" t="str">
        <f>IFERROR(INDEX('Araç Tanımlama'!$D$5:$D$200,MATCH(D1286,'Araç Tanımlama'!$A$5:$A$200,0)),"")</f>
        <v/>
      </c>
      <c r="F1286" s="4" t="str">
        <f>IFERROR(INDEX('Araç Tanımlama'!$E$5:$E$200,MATCH(D1286,'Araç Tanımlama'!$A$5:$A$200,0)),"")</f>
        <v/>
      </c>
      <c r="G1286" s="2"/>
      <c r="H1286" s="7"/>
      <c r="I1286" s="9" t="str">
        <f>IF(OR(G1286="",H1286=""),"",G1286*H1286)</f>
        <v/>
      </c>
      <c r="J1286" s="2"/>
      <c r="K1286" s="2"/>
    </row>
    <row r="1287" spans="1:11">
      <c r="A1287" s="4" t="str">
        <f>IF(D1287="","",COUNTIF($D$5:D1287,"?*"))</f>
        <v/>
      </c>
      <c r="B1287" s="5"/>
      <c r="C1287" s="4" t="str">
        <f>IF(B1287="","",INDEX({"Ocak","Şubat","Mart","Nisan","Mayıs","Haziran","Temmuz","Ağustos","Eylül","Ekim","Kasım","Aralık"},MONTH(B1287)))</f>
        <v/>
      </c>
      <c r="D1287" s="2"/>
      <c r="E1287" s="4" t="str">
        <f>IFERROR(INDEX('Araç Tanımlama'!$D$5:$D$200,MATCH(D1287,'Araç Tanımlama'!$A$5:$A$200,0)),"")</f>
        <v/>
      </c>
      <c r="F1287" s="4" t="str">
        <f>IFERROR(INDEX('Araç Tanımlama'!$E$5:$E$200,MATCH(D1287,'Araç Tanımlama'!$A$5:$A$200,0)),"")</f>
        <v/>
      </c>
      <c r="G1287" s="2"/>
      <c r="H1287" s="7"/>
      <c r="I1287" s="9" t="str">
        <f>IF(OR(G1287="",H1287=""),"",G1287*H1287)</f>
        <v/>
      </c>
      <c r="J1287" s="2"/>
      <c r="K1287" s="2"/>
    </row>
    <row r="1288" spans="1:11">
      <c r="A1288" s="4" t="str">
        <f>IF(D1288="","",COUNTIF($D$5:D1288,"?*"))</f>
        <v/>
      </c>
      <c r="B1288" s="5"/>
      <c r="C1288" s="4" t="str">
        <f>IF(B1288="","",INDEX({"Ocak","Şubat","Mart","Nisan","Mayıs","Haziran","Temmuz","Ağustos","Eylül","Ekim","Kasım","Aralık"},MONTH(B1288)))</f>
        <v/>
      </c>
      <c r="D1288" s="2"/>
      <c r="E1288" s="4" t="str">
        <f>IFERROR(INDEX('Araç Tanımlama'!$D$5:$D$200,MATCH(D1288,'Araç Tanımlama'!$A$5:$A$200,0)),"")</f>
        <v/>
      </c>
      <c r="F1288" s="4" t="str">
        <f>IFERROR(INDEX('Araç Tanımlama'!$E$5:$E$200,MATCH(D1288,'Araç Tanımlama'!$A$5:$A$200,0)),"")</f>
        <v/>
      </c>
      <c r="G1288" s="2"/>
      <c r="H1288" s="7"/>
      <c r="I1288" s="9" t="str">
        <f>IF(OR(G1288="",H1288=""),"",G1288*H1288)</f>
        <v/>
      </c>
      <c r="J1288" s="2"/>
      <c r="K1288" s="2"/>
    </row>
    <row r="1289" spans="1:11">
      <c r="A1289" s="4" t="str">
        <f>IF(D1289="","",COUNTIF($D$5:D1289,"?*"))</f>
        <v/>
      </c>
      <c r="B1289" s="5"/>
      <c r="C1289" s="4" t="str">
        <f>IF(B1289="","",INDEX({"Ocak","Şubat","Mart","Nisan","Mayıs","Haziran","Temmuz","Ağustos","Eylül","Ekim","Kasım","Aralık"},MONTH(B1289)))</f>
        <v/>
      </c>
      <c r="D1289" s="2"/>
      <c r="E1289" s="4" t="str">
        <f>IFERROR(INDEX('Araç Tanımlama'!$D$5:$D$200,MATCH(D1289,'Araç Tanımlama'!$A$5:$A$200,0)),"")</f>
        <v/>
      </c>
      <c r="F1289" s="4" t="str">
        <f>IFERROR(INDEX('Araç Tanımlama'!$E$5:$E$200,MATCH(D1289,'Araç Tanımlama'!$A$5:$A$200,0)),"")</f>
        <v/>
      </c>
      <c r="G1289" s="2"/>
      <c r="H1289" s="7"/>
      <c r="I1289" s="9" t="str">
        <f>IF(OR(G1289="",H1289=""),"",G1289*H1289)</f>
        <v/>
      </c>
      <c r="J1289" s="2"/>
      <c r="K1289" s="2"/>
    </row>
    <row r="1290" spans="1:11">
      <c r="A1290" s="4" t="str">
        <f>IF(D1290="","",COUNTIF($D$5:D1290,"?*"))</f>
        <v/>
      </c>
      <c r="B1290" s="5"/>
      <c r="C1290" s="4" t="str">
        <f>IF(B1290="","",INDEX({"Ocak","Şubat","Mart","Nisan","Mayıs","Haziran","Temmuz","Ağustos","Eylül","Ekim","Kasım","Aralık"},MONTH(B1290)))</f>
        <v/>
      </c>
      <c r="D1290" s="2"/>
      <c r="E1290" s="4" t="str">
        <f>IFERROR(INDEX('Araç Tanımlama'!$D$5:$D$200,MATCH(D1290,'Araç Tanımlama'!$A$5:$A$200,0)),"")</f>
        <v/>
      </c>
      <c r="F1290" s="4" t="str">
        <f>IFERROR(INDEX('Araç Tanımlama'!$E$5:$E$200,MATCH(D1290,'Araç Tanımlama'!$A$5:$A$200,0)),"")</f>
        <v/>
      </c>
      <c r="G1290" s="2"/>
      <c r="H1290" s="7"/>
      <c r="I1290" s="9" t="str">
        <f>IF(OR(G1290="",H1290=""),"",G1290*H1290)</f>
        <v/>
      </c>
      <c r="J1290" s="2"/>
      <c r="K1290" s="2"/>
    </row>
    <row r="1291" spans="1:11">
      <c r="A1291" s="4" t="str">
        <f>IF(D1291="","",COUNTIF($D$5:D1291,"?*"))</f>
        <v/>
      </c>
      <c r="B1291" s="5"/>
      <c r="C1291" s="4" t="str">
        <f>IF(B1291="","",INDEX({"Ocak","Şubat","Mart","Nisan","Mayıs","Haziran","Temmuz","Ağustos","Eylül","Ekim","Kasım","Aralık"},MONTH(B1291)))</f>
        <v/>
      </c>
      <c r="D1291" s="2"/>
      <c r="E1291" s="4" t="str">
        <f>IFERROR(INDEX('Araç Tanımlama'!$D$5:$D$200,MATCH(D1291,'Araç Tanımlama'!$A$5:$A$200,0)),"")</f>
        <v/>
      </c>
      <c r="F1291" s="4" t="str">
        <f>IFERROR(INDEX('Araç Tanımlama'!$E$5:$E$200,MATCH(D1291,'Araç Tanımlama'!$A$5:$A$200,0)),"")</f>
        <v/>
      </c>
      <c r="G1291" s="2"/>
      <c r="H1291" s="7"/>
      <c r="I1291" s="9" t="str">
        <f>IF(OR(G1291="",H1291=""),"",G1291*H1291)</f>
        <v/>
      </c>
      <c r="J1291" s="2"/>
      <c r="K1291" s="2"/>
    </row>
    <row r="1292" spans="1:11">
      <c r="A1292" s="4" t="str">
        <f>IF(D1292="","",COUNTIF($D$5:D1292,"?*"))</f>
        <v/>
      </c>
      <c r="B1292" s="5"/>
      <c r="C1292" s="4" t="str">
        <f>IF(B1292="","",INDEX({"Ocak","Şubat","Mart","Nisan","Mayıs","Haziran","Temmuz","Ağustos","Eylül","Ekim","Kasım","Aralık"},MONTH(B1292)))</f>
        <v/>
      </c>
      <c r="D1292" s="2"/>
      <c r="E1292" s="4" t="str">
        <f>IFERROR(INDEX('Araç Tanımlama'!$D$5:$D$200,MATCH(D1292,'Araç Tanımlama'!$A$5:$A$200,0)),"")</f>
        <v/>
      </c>
      <c r="F1292" s="4" t="str">
        <f>IFERROR(INDEX('Araç Tanımlama'!$E$5:$E$200,MATCH(D1292,'Araç Tanımlama'!$A$5:$A$200,0)),"")</f>
        <v/>
      </c>
      <c r="G1292" s="2"/>
      <c r="H1292" s="7"/>
      <c r="I1292" s="9" t="str">
        <f>IF(OR(G1292="",H1292=""),"",G1292*H1292)</f>
        <v/>
      </c>
      <c r="J1292" s="2"/>
      <c r="K1292" s="2"/>
    </row>
    <row r="1293" spans="1:11">
      <c r="A1293" s="4" t="str">
        <f>IF(D1293="","",COUNTIF($D$5:D1293,"?*"))</f>
        <v/>
      </c>
      <c r="B1293" s="5"/>
      <c r="C1293" s="4" t="str">
        <f>IF(B1293="","",INDEX({"Ocak","Şubat","Mart","Nisan","Mayıs","Haziran","Temmuz","Ağustos","Eylül","Ekim","Kasım","Aralık"},MONTH(B1293)))</f>
        <v/>
      </c>
      <c r="D1293" s="2"/>
      <c r="E1293" s="4" t="str">
        <f>IFERROR(INDEX('Araç Tanımlama'!$D$5:$D$200,MATCH(D1293,'Araç Tanımlama'!$A$5:$A$200,0)),"")</f>
        <v/>
      </c>
      <c r="F1293" s="4" t="str">
        <f>IFERROR(INDEX('Araç Tanımlama'!$E$5:$E$200,MATCH(D1293,'Araç Tanımlama'!$A$5:$A$200,0)),"")</f>
        <v/>
      </c>
      <c r="G1293" s="2"/>
      <c r="H1293" s="7"/>
      <c r="I1293" s="9" t="str">
        <f>IF(OR(G1293="",H1293=""),"",G1293*H1293)</f>
        <v/>
      </c>
      <c r="J1293" s="2"/>
      <c r="K1293" s="2"/>
    </row>
    <row r="1294" spans="1:11">
      <c r="A1294" s="4" t="str">
        <f>IF(D1294="","",COUNTIF($D$5:D1294,"?*"))</f>
        <v/>
      </c>
      <c r="B1294" s="5"/>
      <c r="C1294" s="4" t="str">
        <f>IF(B1294="","",INDEX({"Ocak","Şubat","Mart","Nisan","Mayıs","Haziran","Temmuz","Ağustos","Eylül","Ekim","Kasım","Aralık"},MONTH(B1294)))</f>
        <v/>
      </c>
      <c r="D1294" s="2"/>
      <c r="E1294" s="4" t="str">
        <f>IFERROR(INDEX('Araç Tanımlama'!$D$5:$D$200,MATCH(D1294,'Araç Tanımlama'!$A$5:$A$200,0)),"")</f>
        <v/>
      </c>
      <c r="F1294" s="4" t="str">
        <f>IFERROR(INDEX('Araç Tanımlama'!$E$5:$E$200,MATCH(D1294,'Araç Tanımlama'!$A$5:$A$200,0)),"")</f>
        <v/>
      </c>
      <c r="G1294" s="2"/>
      <c r="H1294" s="7"/>
      <c r="I1294" s="9" t="str">
        <f>IF(OR(G1294="",H1294=""),"",G1294*H1294)</f>
        <v/>
      </c>
      <c r="J1294" s="2"/>
      <c r="K1294" s="2"/>
    </row>
    <row r="1295" spans="1:11">
      <c r="A1295" s="4" t="str">
        <f>IF(D1295="","",COUNTIF($D$5:D1295,"?*"))</f>
        <v/>
      </c>
      <c r="B1295" s="5"/>
      <c r="C1295" s="4" t="str">
        <f>IF(B1295="","",INDEX({"Ocak","Şubat","Mart","Nisan","Mayıs","Haziran","Temmuz","Ağustos","Eylül","Ekim","Kasım","Aralık"},MONTH(B1295)))</f>
        <v/>
      </c>
      <c r="D1295" s="2"/>
      <c r="E1295" s="4" t="str">
        <f>IFERROR(INDEX('Araç Tanımlama'!$D$5:$D$200,MATCH(D1295,'Araç Tanımlama'!$A$5:$A$200,0)),"")</f>
        <v/>
      </c>
      <c r="F1295" s="4" t="str">
        <f>IFERROR(INDEX('Araç Tanımlama'!$E$5:$E$200,MATCH(D1295,'Araç Tanımlama'!$A$5:$A$200,0)),"")</f>
        <v/>
      </c>
      <c r="G1295" s="2"/>
      <c r="H1295" s="7"/>
      <c r="I1295" s="9" t="str">
        <f>IF(OR(G1295="",H1295=""),"",G1295*H1295)</f>
        <v/>
      </c>
      <c r="J1295" s="2"/>
      <c r="K1295" s="2"/>
    </row>
    <row r="1296" spans="1:11">
      <c r="A1296" s="4" t="str">
        <f>IF(D1296="","",COUNTIF($D$5:D1296,"?*"))</f>
        <v/>
      </c>
      <c r="B1296" s="5"/>
      <c r="C1296" s="4" t="str">
        <f>IF(B1296="","",INDEX({"Ocak","Şubat","Mart","Nisan","Mayıs","Haziran","Temmuz","Ağustos","Eylül","Ekim","Kasım","Aralık"},MONTH(B1296)))</f>
        <v/>
      </c>
      <c r="D1296" s="2"/>
      <c r="E1296" s="4" t="str">
        <f>IFERROR(INDEX('Araç Tanımlama'!$D$5:$D$200,MATCH(D1296,'Araç Tanımlama'!$A$5:$A$200,0)),"")</f>
        <v/>
      </c>
      <c r="F1296" s="4" t="str">
        <f>IFERROR(INDEX('Araç Tanımlama'!$E$5:$E$200,MATCH(D1296,'Araç Tanımlama'!$A$5:$A$200,0)),"")</f>
        <v/>
      </c>
      <c r="G1296" s="2"/>
      <c r="H1296" s="7"/>
      <c r="I1296" s="9" t="str">
        <f>IF(OR(G1296="",H1296=""),"",G1296*H1296)</f>
        <v/>
      </c>
      <c r="J1296" s="2"/>
      <c r="K1296" s="2"/>
    </row>
    <row r="1297" spans="1:11">
      <c r="A1297" s="4" t="str">
        <f>IF(D1297="","",COUNTIF($D$5:D1297,"?*"))</f>
        <v/>
      </c>
      <c r="B1297" s="5"/>
      <c r="C1297" s="4" t="str">
        <f>IF(B1297="","",INDEX({"Ocak","Şubat","Mart","Nisan","Mayıs","Haziran","Temmuz","Ağustos","Eylül","Ekim","Kasım","Aralık"},MONTH(B1297)))</f>
        <v/>
      </c>
      <c r="D1297" s="2"/>
      <c r="E1297" s="4" t="str">
        <f>IFERROR(INDEX('Araç Tanımlama'!$D$5:$D$200,MATCH(D1297,'Araç Tanımlama'!$A$5:$A$200,0)),"")</f>
        <v/>
      </c>
      <c r="F1297" s="4" t="str">
        <f>IFERROR(INDEX('Araç Tanımlama'!$E$5:$E$200,MATCH(D1297,'Araç Tanımlama'!$A$5:$A$200,0)),"")</f>
        <v/>
      </c>
      <c r="G1297" s="2"/>
      <c r="H1297" s="7"/>
      <c r="I1297" s="9" t="str">
        <f>IF(OR(G1297="",H1297=""),"",G1297*H1297)</f>
        <v/>
      </c>
      <c r="J1297" s="2"/>
      <c r="K1297" s="2"/>
    </row>
    <row r="1298" spans="1:11">
      <c r="A1298" s="4" t="str">
        <f>IF(D1298="","",COUNTIF($D$5:D1298,"?*"))</f>
        <v/>
      </c>
      <c r="B1298" s="5"/>
      <c r="C1298" s="4" t="str">
        <f>IF(B1298="","",INDEX({"Ocak","Şubat","Mart","Nisan","Mayıs","Haziran","Temmuz","Ağustos","Eylül","Ekim","Kasım","Aralık"},MONTH(B1298)))</f>
        <v/>
      </c>
      <c r="D1298" s="2"/>
      <c r="E1298" s="4" t="str">
        <f>IFERROR(INDEX('Araç Tanımlama'!$D$5:$D$200,MATCH(D1298,'Araç Tanımlama'!$A$5:$A$200,0)),"")</f>
        <v/>
      </c>
      <c r="F1298" s="4" t="str">
        <f>IFERROR(INDEX('Araç Tanımlama'!$E$5:$E$200,MATCH(D1298,'Araç Tanımlama'!$A$5:$A$200,0)),"")</f>
        <v/>
      </c>
      <c r="G1298" s="2"/>
      <c r="H1298" s="7"/>
      <c r="I1298" s="9" t="str">
        <f>IF(OR(G1298="",H1298=""),"",G1298*H1298)</f>
        <v/>
      </c>
      <c r="J1298" s="2"/>
      <c r="K1298" s="2"/>
    </row>
    <row r="1299" spans="1:11">
      <c r="A1299" s="4" t="str">
        <f>IF(D1299="","",COUNTIF($D$5:D1299,"?*"))</f>
        <v/>
      </c>
      <c r="B1299" s="5"/>
      <c r="C1299" s="4" t="str">
        <f>IF(B1299="","",INDEX({"Ocak","Şubat","Mart","Nisan","Mayıs","Haziran","Temmuz","Ağustos","Eylül","Ekim","Kasım","Aralık"},MONTH(B1299)))</f>
        <v/>
      </c>
      <c r="D1299" s="2"/>
      <c r="E1299" s="4" t="str">
        <f>IFERROR(INDEX('Araç Tanımlama'!$D$5:$D$200,MATCH(D1299,'Araç Tanımlama'!$A$5:$A$200,0)),"")</f>
        <v/>
      </c>
      <c r="F1299" s="4" t="str">
        <f>IFERROR(INDEX('Araç Tanımlama'!$E$5:$E$200,MATCH(D1299,'Araç Tanımlama'!$A$5:$A$200,0)),"")</f>
        <v/>
      </c>
      <c r="G1299" s="2"/>
      <c r="H1299" s="7"/>
      <c r="I1299" s="9" t="str">
        <f>IF(OR(G1299="",H1299=""),"",G1299*H1299)</f>
        <v/>
      </c>
      <c r="J1299" s="2"/>
      <c r="K1299" s="2"/>
    </row>
    <row r="1300" spans="1:11">
      <c r="A1300" s="4" t="str">
        <f>IF(D1300="","",COUNTIF($D$5:D1300,"?*"))</f>
        <v/>
      </c>
      <c r="B1300" s="5"/>
      <c r="C1300" s="4" t="str">
        <f>IF(B1300="","",INDEX({"Ocak","Şubat","Mart","Nisan","Mayıs","Haziran","Temmuz","Ağustos","Eylül","Ekim","Kasım","Aralık"},MONTH(B1300)))</f>
        <v/>
      </c>
      <c r="D1300" s="2"/>
      <c r="E1300" s="4" t="str">
        <f>IFERROR(INDEX('Araç Tanımlama'!$D$5:$D$200,MATCH(D1300,'Araç Tanımlama'!$A$5:$A$200,0)),"")</f>
        <v/>
      </c>
      <c r="F1300" s="4" t="str">
        <f>IFERROR(INDEX('Araç Tanımlama'!$E$5:$E$200,MATCH(D1300,'Araç Tanımlama'!$A$5:$A$200,0)),"")</f>
        <v/>
      </c>
      <c r="G1300" s="2"/>
      <c r="H1300" s="7"/>
      <c r="I1300" s="9" t="str">
        <f>IF(OR(G1300="",H1300=""),"",G1300*H1300)</f>
        <v/>
      </c>
      <c r="J1300" s="2"/>
      <c r="K1300" s="2"/>
    </row>
    <row r="1301" spans="1:11">
      <c r="A1301" s="4" t="str">
        <f>IF(D1301="","",COUNTIF($D$5:D1301,"?*"))</f>
        <v/>
      </c>
      <c r="B1301" s="5"/>
      <c r="C1301" s="4" t="str">
        <f>IF(B1301="","",INDEX({"Ocak","Şubat","Mart","Nisan","Mayıs","Haziran","Temmuz","Ağustos","Eylül","Ekim","Kasım","Aralık"},MONTH(B1301)))</f>
        <v/>
      </c>
      <c r="D1301" s="2"/>
      <c r="E1301" s="4" t="str">
        <f>IFERROR(INDEX('Araç Tanımlama'!$D$5:$D$200,MATCH(D1301,'Araç Tanımlama'!$A$5:$A$200,0)),"")</f>
        <v/>
      </c>
      <c r="F1301" s="4" t="str">
        <f>IFERROR(INDEX('Araç Tanımlama'!$E$5:$E$200,MATCH(D1301,'Araç Tanımlama'!$A$5:$A$200,0)),"")</f>
        <v/>
      </c>
      <c r="G1301" s="2"/>
      <c r="H1301" s="7"/>
      <c r="I1301" s="9" t="str">
        <f>IF(OR(G1301="",H1301=""),"",G1301*H1301)</f>
        <v/>
      </c>
      <c r="J1301" s="2"/>
      <c r="K1301" s="2"/>
    </row>
    <row r="1302" spans="1:11">
      <c r="A1302" s="4" t="str">
        <f>IF(D1302="","",COUNTIF($D$5:D1302,"?*"))</f>
        <v/>
      </c>
      <c r="B1302" s="5"/>
      <c r="C1302" s="4" t="str">
        <f>IF(B1302="","",INDEX({"Ocak","Şubat","Mart","Nisan","Mayıs","Haziran","Temmuz","Ağustos","Eylül","Ekim","Kasım","Aralık"},MONTH(B1302)))</f>
        <v/>
      </c>
      <c r="D1302" s="2"/>
      <c r="E1302" s="4" t="str">
        <f>IFERROR(INDEX('Araç Tanımlama'!$D$5:$D$200,MATCH(D1302,'Araç Tanımlama'!$A$5:$A$200,0)),"")</f>
        <v/>
      </c>
      <c r="F1302" s="4" t="str">
        <f>IFERROR(INDEX('Araç Tanımlama'!$E$5:$E$200,MATCH(D1302,'Araç Tanımlama'!$A$5:$A$200,0)),"")</f>
        <v/>
      </c>
      <c r="G1302" s="2"/>
      <c r="H1302" s="7"/>
      <c r="I1302" s="9" t="str">
        <f>IF(OR(G1302="",H1302=""),"",G1302*H1302)</f>
        <v/>
      </c>
      <c r="J1302" s="2"/>
      <c r="K1302" s="2"/>
    </row>
    <row r="1303" spans="1:11">
      <c r="A1303" s="4" t="str">
        <f>IF(D1303="","",COUNTIF($D$5:D1303,"?*"))</f>
        <v/>
      </c>
      <c r="B1303" s="5"/>
      <c r="C1303" s="4" t="str">
        <f>IF(B1303="","",INDEX({"Ocak","Şubat","Mart","Nisan","Mayıs","Haziran","Temmuz","Ağustos","Eylül","Ekim","Kasım","Aralık"},MONTH(B1303)))</f>
        <v/>
      </c>
      <c r="D1303" s="2"/>
      <c r="E1303" s="4" t="str">
        <f>IFERROR(INDEX('Araç Tanımlama'!$D$5:$D$200,MATCH(D1303,'Araç Tanımlama'!$A$5:$A$200,0)),"")</f>
        <v/>
      </c>
      <c r="F1303" s="4" t="str">
        <f>IFERROR(INDEX('Araç Tanımlama'!$E$5:$E$200,MATCH(D1303,'Araç Tanımlama'!$A$5:$A$200,0)),"")</f>
        <v/>
      </c>
      <c r="G1303" s="2"/>
      <c r="H1303" s="7"/>
      <c r="I1303" s="9" t="str">
        <f>IF(OR(G1303="",H1303=""),"",G1303*H1303)</f>
        <v/>
      </c>
      <c r="J1303" s="2"/>
      <c r="K1303" s="2"/>
    </row>
    <row r="1304" spans="1:11">
      <c r="A1304" s="4" t="str">
        <f>IF(D1304="","",COUNTIF($D$5:D1304,"?*"))</f>
        <v/>
      </c>
      <c r="B1304" s="5"/>
      <c r="C1304" s="4" t="str">
        <f>IF(B1304="","",INDEX({"Ocak","Şubat","Mart","Nisan","Mayıs","Haziran","Temmuz","Ağustos","Eylül","Ekim","Kasım","Aralık"},MONTH(B1304)))</f>
        <v/>
      </c>
      <c r="D1304" s="2"/>
      <c r="E1304" s="4" t="str">
        <f>IFERROR(INDEX('Araç Tanımlama'!$D$5:$D$200,MATCH(D1304,'Araç Tanımlama'!$A$5:$A$200,0)),"")</f>
        <v/>
      </c>
      <c r="F1304" s="4" t="str">
        <f>IFERROR(INDEX('Araç Tanımlama'!$E$5:$E$200,MATCH(D1304,'Araç Tanımlama'!$A$5:$A$200,0)),"")</f>
        <v/>
      </c>
      <c r="G1304" s="2"/>
      <c r="H1304" s="7"/>
      <c r="I1304" s="9" t="str">
        <f>IF(OR(G1304="",H1304=""),"",G1304*H1304)</f>
        <v/>
      </c>
      <c r="J1304" s="2"/>
      <c r="K1304" s="2"/>
    </row>
    <row r="1305" spans="1:11">
      <c r="A1305" s="4" t="str">
        <f>IF(D1305="","",COUNTIF($D$5:D1305,"?*"))</f>
        <v/>
      </c>
      <c r="B1305" s="5"/>
      <c r="C1305" s="4" t="str">
        <f>IF(B1305="","",INDEX({"Ocak","Şubat","Mart","Nisan","Mayıs","Haziran","Temmuz","Ağustos","Eylül","Ekim","Kasım","Aralık"},MONTH(B1305)))</f>
        <v/>
      </c>
      <c r="D1305" s="2"/>
      <c r="E1305" s="4" t="str">
        <f>IFERROR(INDEX('Araç Tanımlama'!$D$5:$D$200,MATCH(D1305,'Araç Tanımlama'!$A$5:$A$200,0)),"")</f>
        <v/>
      </c>
      <c r="F1305" s="4" t="str">
        <f>IFERROR(INDEX('Araç Tanımlama'!$E$5:$E$200,MATCH(D1305,'Araç Tanımlama'!$A$5:$A$200,0)),"")</f>
        <v/>
      </c>
      <c r="G1305" s="2"/>
      <c r="H1305" s="7"/>
      <c r="I1305" s="9" t="str">
        <f>IF(OR(G1305="",H1305=""),"",G1305*H1305)</f>
        <v/>
      </c>
      <c r="J1305" s="2"/>
      <c r="K1305" s="2"/>
    </row>
    <row r="1306" spans="1:11">
      <c r="A1306" s="4" t="str">
        <f>IF(D1306="","",COUNTIF($D$5:D1306,"?*"))</f>
        <v/>
      </c>
      <c r="B1306" s="5"/>
      <c r="C1306" s="4" t="str">
        <f>IF(B1306="","",INDEX({"Ocak","Şubat","Mart","Nisan","Mayıs","Haziran","Temmuz","Ağustos","Eylül","Ekim","Kasım","Aralık"},MONTH(B1306)))</f>
        <v/>
      </c>
      <c r="D1306" s="2"/>
      <c r="E1306" s="4" t="str">
        <f>IFERROR(INDEX('Araç Tanımlama'!$D$5:$D$200,MATCH(D1306,'Araç Tanımlama'!$A$5:$A$200,0)),"")</f>
        <v/>
      </c>
      <c r="F1306" s="4" t="str">
        <f>IFERROR(INDEX('Araç Tanımlama'!$E$5:$E$200,MATCH(D1306,'Araç Tanımlama'!$A$5:$A$200,0)),"")</f>
        <v/>
      </c>
      <c r="G1306" s="2"/>
      <c r="H1306" s="7"/>
      <c r="I1306" s="9" t="str">
        <f>IF(OR(G1306="",H1306=""),"",G1306*H1306)</f>
        <v/>
      </c>
      <c r="J1306" s="2"/>
      <c r="K1306" s="2"/>
    </row>
    <row r="1307" spans="1:11">
      <c r="A1307" s="4" t="str">
        <f>IF(D1307="","",COUNTIF($D$5:D1307,"?*"))</f>
        <v/>
      </c>
      <c r="B1307" s="5"/>
      <c r="C1307" s="4" t="str">
        <f>IF(B1307="","",INDEX({"Ocak","Şubat","Mart","Nisan","Mayıs","Haziran","Temmuz","Ağustos","Eylül","Ekim","Kasım","Aralık"},MONTH(B1307)))</f>
        <v/>
      </c>
      <c r="D1307" s="2"/>
      <c r="E1307" s="4" t="str">
        <f>IFERROR(INDEX('Araç Tanımlama'!$D$5:$D$200,MATCH(D1307,'Araç Tanımlama'!$A$5:$A$200,0)),"")</f>
        <v/>
      </c>
      <c r="F1307" s="4" t="str">
        <f>IFERROR(INDEX('Araç Tanımlama'!$E$5:$E$200,MATCH(D1307,'Araç Tanımlama'!$A$5:$A$200,0)),"")</f>
        <v/>
      </c>
      <c r="G1307" s="2"/>
      <c r="H1307" s="7"/>
      <c r="I1307" s="9" t="str">
        <f>IF(OR(G1307="",H1307=""),"",G1307*H1307)</f>
        <v/>
      </c>
      <c r="J1307" s="2"/>
      <c r="K1307" s="2"/>
    </row>
    <row r="1308" spans="1:11">
      <c r="A1308" s="4" t="str">
        <f>IF(D1308="","",COUNTIF($D$5:D1308,"?*"))</f>
        <v/>
      </c>
      <c r="B1308" s="5"/>
      <c r="C1308" s="4" t="str">
        <f>IF(B1308="","",INDEX({"Ocak","Şubat","Mart","Nisan","Mayıs","Haziran","Temmuz","Ağustos","Eylül","Ekim","Kasım","Aralık"},MONTH(B1308)))</f>
        <v/>
      </c>
      <c r="D1308" s="2"/>
      <c r="E1308" s="4" t="str">
        <f>IFERROR(INDEX('Araç Tanımlama'!$D$5:$D$200,MATCH(D1308,'Araç Tanımlama'!$A$5:$A$200,0)),"")</f>
        <v/>
      </c>
      <c r="F1308" s="4" t="str">
        <f>IFERROR(INDEX('Araç Tanımlama'!$E$5:$E$200,MATCH(D1308,'Araç Tanımlama'!$A$5:$A$200,0)),"")</f>
        <v/>
      </c>
      <c r="G1308" s="2"/>
      <c r="H1308" s="7"/>
      <c r="I1308" s="9" t="str">
        <f>IF(OR(G1308="",H1308=""),"",G1308*H1308)</f>
        <v/>
      </c>
      <c r="J1308" s="2"/>
      <c r="K1308" s="2"/>
    </row>
    <row r="1309" spans="1:11">
      <c r="A1309" s="4" t="str">
        <f>IF(D1309="","",COUNTIF($D$5:D1309,"?*"))</f>
        <v/>
      </c>
      <c r="B1309" s="5"/>
      <c r="C1309" s="4" t="str">
        <f>IF(B1309="","",INDEX({"Ocak","Şubat","Mart","Nisan","Mayıs","Haziran","Temmuz","Ağustos","Eylül","Ekim","Kasım","Aralık"},MONTH(B1309)))</f>
        <v/>
      </c>
      <c r="D1309" s="2"/>
      <c r="E1309" s="4" t="str">
        <f>IFERROR(INDEX('Araç Tanımlama'!$D$5:$D$200,MATCH(D1309,'Araç Tanımlama'!$A$5:$A$200,0)),"")</f>
        <v/>
      </c>
      <c r="F1309" s="4" t="str">
        <f>IFERROR(INDEX('Araç Tanımlama'!$E$5:$E$200,MATCH(D1309,'Araç Tanımlama'!$A$5:$A$200,0)),"")</f>
        <v/>
      </c>
      <c r="G1309" s="2"/>
      <c r="H1309" s="7"/>
      <c r="I1309" s="9" t="str">
        <f>IF(OR(G1309="",H1309=""),"",G1309*H1309)</f>
        <v/>
      </c>
      <c r="J1309" s="2"/>
      <c r="K1309" s="2"/>
    </row>
    <row r="1310" spans="1:11">
      <c r="A1310" s="4" t="str">
        <f>IF(D1310="","",COUNTIF($D$5:D1310,"?*"))</f>
        <v/>
      </c>
      <c r="B1310" s="5"/>
      <c r="C1310" s="4" t="str">
        <f>IF(B1310="","",INDEX({"Ocak","Şubat","Mart","Nisan","Mayıs","Haziran","Temmuz","Ağustos","Eylül","Ekim","Kasım","Aralık"},MONTH(B1310)))</f>
        <v/>
      </c>
      <c r="D1310" s="2"/>
      <c r="E1310" s="4" t="str">
        <f>IFERROR(INDEX('Araç Tanımlama'!$D$5:$D$200,MATCH(D1310,'Araç Tanımlama'!$A$5:$A$200,0)),"")</f>
        <v/>
      </c>
      <c r="F1310" s="4" t="str">
        <f>IFERROR(INDEX('Araç Tanımlama'!$E$5:$E$200,MATCH(D1310,'Araç Tanımlama'!$A$5:$A$200,0)),"")</f>
        <v/>
      </c>
      <c r="G1310" s="2"/>
      <c r="H1310" s="7"/>
      <c r="I1310" s="9" t="str">
        <f>IF(OR(G1310="",H1310=""),"",G1310*H1310)</f>
        <v/>
      </c>
      <c r="J1310" s="2"/>
      <c r="K1310" s="2"/>
    </row>
    <row r="1311" spans="1:11">
      <c r="A1311" s="4" t="str">
        <f>IF(D1311="","",COUNTIF($D$5:D1311,"?*"))</f>
        <v/>
      </c>
      <c r="B1311" s="5"/>
      <c r="C1311" s="4" t="str">
        <f>IF(B1311="","",INDEX({"Ocak","Şubat","Mart","Nisan","Mayıs","Haziran","Temmuz","Ağustos","Eylül","Ekim","Kasım","Aralık"},MONTH(B1311)))</f>
        <v/>
      </c>
      <c r="D1311" s="2"/>
      <c r="E1311" s="4" t="str">
        <f>IFERROR(INDEX('Araç Tanımlama'!$D$5:$D$200,MATCH(D1311,'Araç Tanımlama'!$A$5:$A$200,0)),"")</f>
        <v/>
      </c>
      <c r="F1311" s="4" t="str">
        <f>IFERROR(INDEX('Araç Tanımlama'!$E$5:$E$200,MATCH(D1311,'Araç Tanımlama'!$A$5:$A$200,0)),"")</f>
        <v/>
      </c>
      <c r="G1311" s="2"/>
      <c r="H1311" s="7"/>
      <c r="I1311" s="9" t="str">
        <f>IF(OR(G1311="",H1311=""),"",G1311*H1311)</f>
        <v/>
      </c>
      <c r="J1311" s="2"/>
      <c r="K1311" s="2"/>
    </row>
    <row r="1312" spans="1:11">
      <c r="A1312" s="4" t="str">
        <f>IF(D1312="","",COUNTIF($D$5:D1312,"?*"))</f>
        <v/>
      </c>
      <c r="B1312" s="5"/>
      <c r="C1312" s="4" t="str">
        <f>IF(B1312="","",INDEX({"Ocak","Şubat","Mart","Nisan","Mayıs","Haziran","Temmuz","Ağustos","Eylül","Ekim","Kasım","Aralık"},MONTH(B1312)))</f>
        <v/>
      </c>
      <c r="D1312" s="2"/>
      <c r="E1312" s="4" t="str">
        <f>IFERROR(INDEX('Araç Tanımlama'!$D$5:$D$200,MATCH(D1312,'Araç Tanımlama'!$A$5:$A$200,0)),"")</f>
        <v/>
      </c>
      <c r="F1312" s="4" t="str">
        <f>IFERROR(INDEX('Araç Tanımlama'!$E$5:$E$200,MATCH(D1312,'Araç Tanımlama'!$A$5:$A$200,0)),"")</f>
        <v/>
      </c>
      <c r="G1312" s="2"/>
      <c r="H1312" s="7"/>
      <c r="I1312" s="9" t="str">
        <f>IF(OR(G1312="",H1312=""),"",G1312*H1312)</f>
        <v/>
      </c>
      <c r="J1312" s="2"/>
      <c r="K1312" s="2"/>
    </row>
    <row r="1313" spans="1:11">
      <c r="A1313" s="4" t="str">
        <f>IF(D1313="","",COUNTIF($D$5:D1313,"?*"))</f>
        <v/>
      </c>
      <c r="B1313" s="5"/>
      <c r="C1313" s="4" t="str">
        <f>IF(B1313="","",INDEX({"Ocak","Şubat","Mart","Nisan","Mayıs","Haziran","Temmuz","Ağustos","Eylül","Ekim","Kasım","Aralık"},MONTH(B1313)))</f>
        <v/>
      </c>
      <c r="D1313" s="2"/>
      <c r="E1313" s="4" t="str">
        <f>IFERROR(INDEX('Araç Tanımlama'!$D$5:$D$200,MATCH(D1313,'Araç Tanımlama'!$A$5:$A$200,0)),"")</f>
        <v/>
      </c>
      <c r="F1313" s="4" t="str">
        <f>IFERROR(INDEX('Araç Tanımlama'!$E$5:$E$200,MATCH(D1313,'Araç Tanımlama'!$A$5:$A$200,0)),"")</f>
        <v/>
      </c>
      <c r="G1313" s="2"/>
      <c r="H1313" s="7"/>
      <c r="I1313" s="9" t="str">
        <f>IF(OR(G1313="",H1313=""),"",G1313*H1313)</f>
        <v/>
      </c>
      <c r="J1313" s="2"/>
      <c r="K1313" s="2"/>
    </row>
    <row r="1314" spans="1:11">
      <c r="A1314" s="4" t="str">
        <f>IF(D1314="","",COUNTIF($D$5:D1314,"?*"))</f>
        <v/>
      </c>
      <c r="B1314" s="5"/>
      <c r="C1314" s="4" t="str">
        <f>IF(B1314="","",INDEX({"Ocak","Şubat","Mart","Nisan","Mayıs","Haziran","Temmuz","Ağustos","Eylül","Ekim","Kasım","Aralık"},MONTH(B1314)))</f>
        <v/>
      </c>
      <c r="D1314" s="2"/>
      <c r="E1314" s="4" t="str">
        <f>IFERROR(INDEX('Araç Tanımlama'!$D$5:$D$200,MATCH(D1314,'Araç Tanımlama'!$A$5:$A$200,0)),"")</f>
        <v/>
      </c>
      <c r="F1314" s="4" t="str">
        <f>IFERROR(INDEX('Araç Tanımlama'!$E$5:$E$200,MATCH(D1314,'Araç Tanımlama'!$A$5:$A$200,0)),"")</f>
        <v/>
      </c>
      <c r="G1314" s="2"/>
      <c r="H1314" s="7"/>
      <c r="I1314" s="9" t="str">
        <f>IF(OR(G1314="",H1314=""),"",G1314*H1314)</f>
        <v/>
      </c>
      <c r="J1314" s="2"/>
      <c r="K1314" s="2"/>
    </row>
    <row r="1315" spans="1:11">
      <c r="A1315" s="4" t="str">
        <f>IF(D1315="","",COUNTIF($D$5:D1315,"?*"))</f>
        <v/>
      </c>
      <c r="B1315" s="5"/>
      <c r="C1315" s="4" t="str">
        <f>IF(B1315="","",INDEX({"Ocak","Şubat","Mart","Nisan","Mayıs","Haziran","Temmuz","Ağustos","Eylül","Ekim","Kasım","Aralık"},MONTH(B1315)))</f>
        <v/>
      </c>
      <c r="D1315" s="2"/>
      <c r="E1315" s="4" t="str">
        <f>IFERROR(INDEX('Araç Tanımlama'!$D$5:$D$200,MATCH(D1315,'Araç Tanımlama'!$A$5:$A$200,0)),"")</f>
        <v/>
      </c>
      <c r="F1315" s="4" t="str">
        <f>IFERROR(INDEX('Araç Tanımlama'!$E$5:$E$200,MATCH(D1315,'Araç Tanımlama'!$A$5:$A$200,0)),"")</f>
        <v/>
      </c>
      <c r="G1315" s="2"/>
      <c r="H1315" s="7"/>
      <c r="I1315" s="9" t="str">
        <f>IF(OR(G1315="",H1315=""),"",G1315*H1315)</f>
        <v/>
      </c>
      <c r="J1315" s="2"/>
      <c r="K1315" s="2"/>
    </row>
    <row r="1316" spans="1:11">
      <c r="A1316" s="4" t="str">
        <f>IF(D1316="","",COUNTIF($D$5:D1316,"?*"))</f>
        <v/>
      </c>
      <c r="B1316" s="5"/>
      <c r="C1316" s="4" t="str">
        <f>IF(B1316="","",INDEX({"Ocak","Şubat","Mart","Nisan","Mayıs","Haziran","Temmuz","Ağustos","Eylül","Ekim","Kasım","Aralık"},MONTH(B1316)))</f>
        <v/>
      </c>
      <c r="D1316" s="2"/>
      <c r="E1316" s="4" t="str">
        <f>IFERROR(INDEX('Araç Tanımlama'!$D$5:$D$200,MATCH(D1316,'Araç Tanımlama'!$A$5:$A$200,0)),"")</f>
        <v/>
      </c>
      <c r="F1316" s="4" t="str">
        <f>IFERROR(INDEX('Araç Tanımlama'!$E$5:$E$200,MATCH(D1316,'Araç Tanımlama'!$A$5:$A$200,0)),"")</f>
        <v/>
      </c>
      <c r="G1316" s="2"/>
      <c r="H1316" s="7"/>
      <c r="I1316" s="9" t="str">
        <f>IF(OR(G1316="",H1316=""),"",G1316*H1316)</f>
        <v/>
      </c>
      <c r="J1316" s="2"/>
      <c r="K1316" s="2"/>
    </row>
    <row r="1317" spans="1:11">
      <c r="A1317" s="4" t="str">
        <f>IF(D1317="","",COUNTIF($D$5:D1317,"?*"))</f>
        <v/>
      </c>
      <c r="B1317" s="5"/>
      <c r="C1317" s="4" t="str">
        <f>IF(B1317="","",INDEX({"Ocak","Şubat","Mart","Nisan","Mayıs","Haziran","Temmuz","Ağustos","Eylül","Ekim","Kasım","Aralık"},MONTH(B1317)))</f>
        <v/>
      </c>
      <c r="D1317" s="2"/>
      <c r="E1317" s="4" t="str">
        <f>IFERROR(INDEX('Araç Tanımlama'!$D$5:$D$200,MATCH(D1317,'Araç Tanımlama'!$A$5:$A$200,0)),"")</f>
        <v/>
      </c>
      <c r="F1317" s="4" t="str">
        <f>IFERROR(INDEX('Araç Tanımlama'!$E$5:$E$200,MATCH(D1317,'Araç Tanımlama'!$A$5:$A$200,0)),"")</f>
        <v/>
      </c>
      <c r="G1317" s="2"/>
      <c r="H1317" s="7"/>
      <c r="I1317" s="9" t="str">
        <f>IF(OR(G1317="",H1317=""),"",G1317*H1317)</f>
        <v/>
      </c>
      <c r="J1317" s="2"/>
      <c r="K1317" s="2"/>
    </row>
    <row r="1318" spans="1:11">
      <c r="A1318" s="4" t="str">
        <f>IF(D1318="","",COUNTIF($D$5:D1318,"?*"))</f>
        <v/>
      </c>
      <c r="B1318" s="5"/>
      <c r="C1318" s="4" t="str">
        <f>IF(B1318="","",INDEX({"Ocak","Şubat","Mart","Nisan","Mayıs","Haziran","Temmuz","Ağustos","Eylül","Ekim","Kasım","Aralık"},MONTH(B1318)))</f>
        <v/>
      </c>
      <c r="D1318" s="2"/>
      <c r="E1318" s="4" t="str">
        <f>IFERROR(INDEX('Araç Tanımlama'!$D$5:$D$200,MATCH(D1318,'Araç Tanımlama'!$A$5:$A$200,0)),"")</f>
        <v/>
      </c>
      <c r="F1318" s="4" t="str">
        <f>IFERROR(INDEX('Araç Tanımlama'!$E$5:$E$200,MATCH(D1318,'Araç Tanımlama'!$A$5:$A$200,0)),"")</f>
        <v/>
      </c>
      <c r="G1318" s="2"/>
      <c r="H1318" s="7"/>
      <c r="I1318" s="9" t="str">
        <f>IF(OR(G1318="",H1318=""),"",G1318*H1318)</f>
        <v/>
      </c>
      <c r="J1318" s="2"/>
      <c r="K1318" s="2"/>
    </row>
    <row r="1319" spans="1:11">
      <c r="A1319" s="4" t="str">
        <f>IF(D1319="","",COUNTIF($D$5:D1319,"?*"))</f>
        <v/>
      </c>
      <c r="B1319" s="5"/>
      <c r="C1319" s="4" t="str">
        <f>IF(B1319="","",INDEX({"Ocak","Şubat","Mart","Nisan","Mayıs","Haziran","Temmuz","Ağustos","Eylül","Ekim","Kasım","Aralık"},MONTH(B1319)))</f>
        <v/>
      </c>
      <c r="D1319" s="2"/>
      <c r="E1319" s="4" t="str">
        <f>IFERROR(INDEX('Araç Tanımlama'!$D$5:$D$200,MATCH(D1319,'Araç Tanımlama'!$A$5:$A$200,0)),"")</f>
        <v/>
      </c>
      <c r="F1319" s="4" t="str">
        <f>IFERROR(INDEX('Araç Tanımlama'!$E$5:$E$200,MATCH(D1319,'Araç Tanımlama'!$A$5:$A$200,0)),"")</f>
        <v/>
      </c>
      <c r="G1319" s="2"/>
      <c r="H1319" s="7"/>
      <c r="I1319" s="9" t="str">
        <f>IF(OR(G1319="",H1319=""),"",G1319*H1319)</f>
        <v/>
      </c>
      <c r="J1319" s="2"/>
      <c r="K1319" s="2"/>
    </row>
    <row r="1320" spans="1:11">
      <c r="A1320" s="4" t="str">
        <f>IF(D1320="","",COUNTIF($D$5:D1320,"?*"))</f>
        <v/>
      </c>
      <c r="B1320" s="5"/>
      <c r="C1320" s="4" t="str">
        <f>IF(B1320="","",INDEX({"Ocak","Şubat","Mart","Nisan","Mayıs","Haziran","Temmuz","Ağustos","Eylül","Ekim","Kasım","Aralık"},MONTH(B1320)))</f>
        <v/>
      </c>
      <c r="D1320" s="2"/>
      <c r="E1320" s="4" t="str">
        <f>IFERROR(INDEX('Araç Tanımlama'!$D$5:$D$200,MATCH(D1320,'Araç Tanımlama'!$A$5:$A$200,0)),"")</f>
        <v/>
      </c>
      <c r="F1320" s="4" t="str">
        <f>IFERROR(INDEX('Araç Tanımlama'!$E$5:$E$200,MATCH(D1320,'Araç Tanımlama'!$A$5:$A$200,0)),"")</f>
        <v/>
      </c>
      <c r="G1320" s="2"/>
      <c r="H1320" s="7"/>
      <c r="I1320" s="9" t="str">
        <f>IF(OR(G1320="",H1320=""),"",G1320*H1320)</f>
        <v/>
      </c>
      <c r="J1320" s="2"/>
      <c r="K1320" s="2"/>
    </row>
    <row r="1321" spans="1:11">
      <c r="A1321" s="4" t="str">
        <f>IF(D1321="","",COUNTIF($D$5:D1321,"?*"))</f>
        <v/>
      </c>
      <c r="B1321" s="5"/>
      <c r="C1321" s="4" t="str">
        <f>IF(B1321="","",INDEX({"Ocak","Şubat","Mart","Nisan","Mayıs","Haziran","Temmuz","Ağustos","Eylül","Ekim","Kasım","Aralık"},MONTH(B1321)))</f>
        <v/>
      </c>
      <c r="D1321" s="2"/>
      <c r="E1321" s="4" t="str">
        <f>IFERROR(INDEX('Araç Tanımlama'!$D$5:$D$200,MATCH(D1321,'Araç Tanımlama'!$A$5:$A$200,0)),"")</f>
        <v/>
      </c>
      <c r="F1321" s="4" t="str">
        <f>IFERROR(INDEX('Araç Tanımlama'!$E$5:$E$200,MATCH(D1321,'Araç Tanımlama'!$A$5:$A$200,0)),"")</f>
        <v/>
      </c>
      <c r="G1321" s="2"/>
      <c r="H1321" s="7"/>
      <c r="I1321" s="9" t="str">
        <f>IF(OR(G1321="",H1321=""),"",G1321*H1321)</f>
        <v/>
      </c>
      <c r="J1321" s="2"/>
      <c r="K1321" s="2"/>
    </row>
    <row r="1322" spans="1:11">
      <c r="A1322" s="4" t="str">
        <f>IF(D1322="","",COUNTIF($D$5:D1322,"?*"))</f>
        <v/>
      </c>
      <c r="B1322" s="5"/>
      <c r="C1322" s="4" t="str">
        <f>IF(B1322="","",INDEX({"Ocak","Şubat","Mart","Nisan","Mayıs","Haziran","Temmuz","Ağustos","Eylül","Ekim","Kasım","Aralık"},MONTH(B1322)))</f>
        <v/>
      </c>
      <c r="D1322" s="2"/>
      <c r="E1322" s="4" t="str">
        <f>IFERROR(INDEX('Araç Tanımlama'!$D$5:$D$200,MATCH(D1322,'Araç Tanımlama'!$A$5:$A$200,0)),"")</f>
        <v/>
      </c>
      <c r="F1322" s="4" t="str">
        <f>IFERROR(INDEX('Araç Tanımlama'!$E$5:$E$200,MATCH(D1322,'Araç Tanımlama'!$A$5:$A$200,0)),"")</f>
        <v/>
      </c>
      <c r="G1322" s="2"/>
      <c r="H1322" s="7"/>
      <c r="I1322" s="9" t="str">
        <f>IF(OR(G1322="",H1322=""),"",G1322*H1322)</f>
        <v/>
      </c>
      <c r="J1322" s="2"/>
      <c r="K1322" s="2"/>
    </row>
    <row r="1323" spans="1:11">
      <c r="A1323" s="4" t="str">
        <f>IF(D1323="","",COUNTIF($D$5:D1323,"?*"))</f>
        <v/>
      </c>
      <c r="B1323" s="5"/>
      <c r="C1323" s="4" t="str">
        <f>IF(B1323="","",INDEX({"Ocak","Şubat","Mart","Nisan","Mayıs","Haziran","Temmuz","Ağustos","Eylül","Ekim","Kasım","Aralık"},MONTH(B1323)))</f>
        <v/>
      </c>
      <c r="D1323" s="2"/>
      <c r="E1323" s="4" t="str">
        <f>IFERROR(INDEX('Araç Tanımlama'!$D$5:$D$200,MATCH(D1323,'Araç Tanımlama'!$A$5:$A$200,0)),"")</f>
        <v/>
      </c>
      <c r="F1323" s="4" t="str">
        <f>IFERROR(INDEX('Araç Tanımlama'!$E$5:$E$200,MATCH(D1323,'Araç Tanımlama'!$A$5:$A$200,0)),"")</f>
        <v/>
      </c>
      <c r="G1323" s="2"/>
      <c r="H1323" s="7"/>
      <c r="I1323" s="9" t="str">
        <f>IF(OR(G1323="",H1323=""),"",G1323*H1323)</f>
        <v/>
      </c>
      <c r="J1323" s="2"/>
      <c r="K1323" s="2"/>
    </row>
    <row r="1324" spans="1:11">
      <c r="A1324" s="4" t="str">
        <f>IF(D1324="","",COUNTIF($D$5:D1324,"?*"))</f>
        <v/>
      </c>
      <c r="B1324" s="5"/>
      <c r="C1324" s="4" t="str">
        <f>IF(B1324="","",INDEX({"Ocak","Şubat","Mart","Nisan","Mayıs","Haziran","Temmuz","Ağustos","Eylül","Ekim","Kasım","Aralık"},MONTH(B1324)))</f>
        <v/>
      </c>
      <c r="D1324" s="2"/>
      <c r="E1324" s="4" t="str">
        <f>IFERROR(INDEX('Araç Tanımlama'!$D$5:$D$200,MATCH(D1324,'Araç Tanımlama'!$A$5:$A$200,0)),"")</f>
        <v/>
      </c>
      <c r="F1324" s="4" t="str">
        <f>IFERROR(INDEX('Araç Tanımlama'!$E$5:$E$200,MATCH(D1324,'Araç Tanımlama'!$A$5:$A$200,0)),"")</f>
        <v/>
      </c>
      <c r="G1324" s="2"/>
      <c r="H1324" s="7"/>
      <c r="I1324" s="9" t="str">
        <f>IF(OR(G1324="",H1324=""),"",G1324*H1324)</f>
        <v/>
      </c>
      <c r="J1324" s="2"/>
      <c r="K1324" s="2"/>
    </row>
    <row r="1325" spans="1:11">
      <c r="A1325" s="4" t="str">
        <f>IF(D1325="","",COUNTIF($D$5:D1325,"?*"))</f>
        <v/>
      </c>
      <c r="B1325" s="5"/>
      <c r="C1325" s="4" t="str">
        <f>IF(B1325="","",INDEX({"Ocak","Şubat","Mart","Nisan","Mayıs","Haziran","Temmuz","Ağustos","Eylül","Ekim","Kasım","Aralık"},MONTH(B1325)))</f>
        <v/>
      </c>
      <c r="D1325" s="2"/>
      <c r="E1325" s="4" t="str">
        <f>IFERROR(INDEX('Araç Tanımlama'!$D$5:$D$200,MATCH(D1325,'Araç Tanımlama'!$A$5:$A$200,0)),"")</f>
        <v/>
      </c>
      <c r="F1325" s="4" t="str">
        <f>IFERROR(INDEX('Araç Tanımlama'!$E$5:$E$200,MATCH(D1325,'Araç Tanımlama'!$A$5:$A$200,0)),"")</f>
        <v/>
      </c>
      <c r="G1325" s="2"/>
      <c r="H1325" s="7"/>
      <c r="I1325" s="9" t="str">
        <f>IF(OR(G1325="",H1325=""),"",G1325*H1325)</f>
        <v/>
      </c>
      <c r="J1325" s="2"/>
      <c r="K1325" s="2"/>
    </row>
    <row r="1326" spans="1:11">
      <c r="A1326" s="4" t="str">
        <f>IF(D1326="","",COUNTIF($D$5:D1326,"?*"))</f>
        <v/>
      </c>
      <c r="B1326" s="5"/>
      <c r="C1326" s="4" t="str">
        <f>IF(B1326="","",INDEX({"Ocak","Şubat","Mart","Nisan","Mayıs","Haziran","Temmuz","Ağustos","Eylül","Ekim","Kasım","Aralık"},MONTH(B1326)))</f>
        <v/>
      </c>
      <c r="D1326" s="2"/>
      <c r="E1326" s="4" t="str">
        <f>IFERROR(INDEX('Araç Tanımlama'!$D$5:$D$200,MATCH(D1326,'Araç Tanımlama'!$A$5:$A$200,0)),"")</f>
        <v/>
      </c>
      <c r="F1326" s="4" t="str">
        <f>IFERROR(INDEX('Araç Tanımlama'!$E$5:$E$200,MATCH(D1326,'Araç Tanımlama'!$A$5:$A$200,0)),"")</f>
        <v/>
      </c>
      <c r="G1326" s="2"/>
      <c r="H1326" s="7"/>
      <c r="I1326" s="9" t="str">
        <f>IF(OR(G1326="",H1326=""),"",G1326*H1326)</f>
        <v/>
      </c>
      <c r="J1326" s="2"/>
      <c r="K1326" s="2"/>
    </row>
    <row r="1327" spans="1:11">
      <c r="A1327" s="4" t="str">
        <f>IF(D1327="","",COUNTIF($D$5:D1327,"?*"))</f>
        <v/>
      </c>
      <c r="B1327" s="5"/>
      <c r="C1327" s="4" t="str">
        <f>IF(B1327="","",INDEX({"Ocak","Şubat","Mart","Nisan","Mayıs","Haziran","Temmuz","Ağustos","Eylül","Ekim","Kasım","Aralık"},MONTH(B1327)))</f>
        <v/>
      </c>
      <c r="D1327" s="2"/>
      <c r="E1327" s="4" t="str">
        <f>IFERROR(INDEX('Araç Tanımlama'!$D$5:$D$200,MATCH(D1327,'Araç Tanımlama'!$A$5:$A$200,0)),"")</f>
        <v/>
      </c>
      <c r="F1327" s="4" t="str">
        <f>IFERROR(INDEX('Araç Tanımlama'!$E$5:$E$200,MATCH(D1327,'Araç Tanımlama'!$A$5:$A$200,0)),"")</f>
        <v/>
      </c>
      <c r="G1327" s="2"/>
      <c r="H1327" s="7"/>
      <c r="I1327" s="9" t="str">
        <f>IF(OR(G1327="",H1327=""),"",G1327*H1327)</f>
        <v/>
      </c>
      <c r="J1327" s="2"/>
      <c r="K1327" s="2"/>
    </row>
    <row r="1328" spans="1:11">
      <c r="A1328" s="4" t="str">
        <f>IF(D1328="","",COUNTIF($D$5:D1328,"?*"))</f>
        <v/>
      </c>
      <c r="B1328" s="5"/>
      <c r="C1328" s="4" t="str">
        <f>IF(B1328="","",INDEX({"Ocak","Şubat","Mart","Nisan","Mayıs","Haziran","Temmuz","Ağustos","Eylül","Ekim","Kasım","Aralık"},MONTH(B1328)))</f>
        <v/>
      </c>
      <c r="D1328" s="2"/>
      <c r="E1328" s="4" t="str">
        <f>IFERROR(INDEX('Araç Tanımlama'!$D$5:$D$200,MATCH(D1328,'Araç Tanımlama'!$A$5:$A$200,0)),"")</f>
        <v/>
      </c>
      <c r="F1328" s="4" t="str">
        <f>IFERROR(INDEX('Araç Tanımlama'!$E$5:$E$200,MATCH(D1328,'Araç Tanımlama'!$A$5:$A$200,0)),"")</f>
        <v/>
      </c>
      <c r="G1328" s="2"/>
      <c r="H1328" s="7"/>
      <c r="I1328" s="9" t="str">
        <f>IF(OR(G1328="",H1328=""),"",G1328*H1328)</f>
        <v/>
      </c>
      <c r="J1328" s="2"/>
      <c r="K1328" s="2"/>
    </row>
    <row r="1329" spans="1:11">
      <c r="A1329" s="4" t="str">
        <f>IF(D1329="","",COUNTIF($D$5:D1329,"?*"))</f>
        <v/>
      </c>
      <c r="B1329" s="5"/>
      <c r="C1329" s="4" t="str">
        <f>IF(B1329="","",INDEX({"Ocak","Şubat","Mart","Nisan","Mayıs","Haziran","Temmuz","Ağustos","Eylül","Ekim","Kasım","Aralık"},MONTH(B1329)))</f>
        <v/>
      </c>
      <c r="D1329" s="2"/>
      <c r="E1329" s="4" t="str">
        <f>IFERROR(INDEX('Araç Tanımlama'!$D$5:$D$200,MATCH(D1329,'Araç Tanımlama'!$A$5:$A$200,0)),"")</f>
        <v/>
      </c>
      <c r="F1329" s="4" t="str">
        <f>IFERROR(INDEX('Araç Tanımlama'!$E$5:$E$200,MATCH(D1329,'Araç Tanımlama'!$A$5:$A$200,0)),"")</f>
        <v/>
      </c>
      <c r="G1329" s="2"/>
      <c r="H1329" s="7"/>
      <c r="I1329" s="9" t="str">
        <f>IF(OR(G1329="",H1329=""),"",G1329*H1329)</f>
        <v/>
      </c>
      <c r="J1329" s="2"/>
      <c r="K1329" s="2"/>
    </row>
    <row r="1330" spans="1:11">
      <c r="A1330" s="4" t="str">
        <f>IF(D1330="","",COUNTIF($D$5:D1330,"?*"))</f>
        <v/>
      </c>
      <c r="B1330" s="5"/>
      <c r="C1330" s="4" t="str">
        <f>IF(B1330="","",INDEX({"Ocak","Şubat","Mart","Nisan","Mayıs","Haziran","Temmuz","Ağustos","Eylül","Ekim","Kasım","Aralık"},MONTH(B1330)))</f>
        <v/>
      </c>
      <c r="D1330" s="2"/>
      <c r="E1330" s="4" t="str">
        <f>IFERROR(INDEX('Araç Tanımlama'!$D$5:$D$200,MATCH(D1330,'Araç Tanımlama'!$A$5:$A$200,0)),"")</f>
        <v/>
      </c>
      <c r="F1330" s="4" t="str">
        <f>IFERROR(INDEX('Araç Tanımlama'!$E$5:$E$200,MATCH(D1330,'Araç Tanımlama'!$A$5:$A$200,0)),"")</f>
        <v/>
      </c>
      <c r="G1330" s="2"/>
      <c r="H1330" s="7"/>
      <c r="I1330" s="9" t="str">
        <f>IF(OR(G1330="",H1330=""),"",G1330*H1330)</f>
        <v/>
      </c>
      <c r="J1330" s="2"/>
      <c r="K1330" s="2"/>
    </row>
    <row r="1331" spans="1:11">
      <c r="A1331" s="4" t="str">
        <f>IF(D1331="","",COUNTIF($D$5:D1331,"?*"))</f>
        <v/>
      </c>
      <c r="B1331" s="5"/>
      <c r="C1331" s="4" t="str">
        <f>IF(B1331="","",INDEX({"Ocak","Şubat","Mart","Nisan","Mayıs","Haziran","Temmuz","Ağustos","Eylül","Ekim","Kasım","Aralık"},MONTH(B1331)))</f>
        <v/>
      </c>
      <c r="D1331" s="2"/>
      <c r="E1331" s="4" t="str">
        <f>IFERROR(INDEX('Araç Tanımlama'!$D$5:$D$200,MATCH(D1331,'Araç Tanımlama'!$A$5:$A$200,0)),"")</f>
        <v/>
      </c>
      <c r="F1331" s="4" t="str">
        <f>IFERROR(INDEX('Araç Tanımlama'!$E$5:$E$200,MATCH(D1331,'Araç Tanımlama'!$A$5:$A$200,0)),"")</f>
        <v/>
      </c>
      <c r="G1331" s="2"/>
      <c r="H1331" s="7"/>
      <c r="I1331" s="9" t="str">
        <f>IF(OR(G1331="",H1331=""),"",G1331*H1331)</f>
        <v/>
      </c>
      <c r="J1331" s="2"/>
      <c r="K1331" s="2"/>
    </row>
    <row r="1332" spans="1:11">
      <c r="A1332" s="4" t="str">
        <f>IF(D1332="","",COUNTIF($D$5:D1332,"?*"))</f>
        <v/>
      </c>
      <c r="B1332" s="5"/>
      <c r="C1332" s="4" t="str">
        <f>IF(B1332="","",INDEX({"Ocak","Şubat","Mart","Nisan","Mayıs","Haziran","Temmuz","Ağustos","Eylül","Ekim","Kasım","Aralık"},MONTH(B1332)))</f>
        <v/>
      </c>
      <c r="D1332" s="2"/>
      <c r="E1332" s="4" t="str">
        <f>IFERROR(INDEX('Araç Tanımlama'!$D$5:$D$200,MATCH(D1332,'Araç Tanımlama'!$A$5:$A$200,0)),"")</f>
        <v/>
      </c>
      <c r="F1332" s="4" t="str">
        <f>IFERROR(INDEX('Araç Tanımlama'!$E$5:$E$200,MATCH(D1332,'Araç Tanımlama'!$A$5:$A$200,0)),"")</f>
        <v/>
      </c>
      <c r="G1332" s="2"/>
      <c r="H1332" s="7"/>
      <c r="I1332" s="9" t="str">
        <f>IF(OR(G1332="",H1332=""),"",G1332*H1332)</f>
        <v/>
      </c>
      <c r="J1332" s="2"/>
      <c r="K1332" s="2"/>
    </row>
    <row r="1333" spans="1:11">
      <c r="A1333" s="4" t="str">
        <f>IF(D1333="","",COUNTIF($D$5:D1333,"?*"))</f>
        <v/>
      </c>
      <c r="B1333" s="5"/>
      <c r="C1333" s="4" t="str">
        <f>IF(B1333="","",INDEX({"Ocak","Şubat","Mart","Nisan","Mayıs","Haziran","Temmuz","Ağustos","Eylül","Ekim","Kasım","Aralık"},MONTH(B1333)))</f>
        <v/>
      </c>
      <c r="D1333" s="2"/>
      <c r="E1333" s="4" t="str">
        <f>IFERROR(INDEX('Araç Tanımlama'!$D$5:$D$200,MATCH(D1333,'Araç Tanımlama'!$A$5:$A$200,0)),"")</f>
        <v/>
      </c>
      <c r="F1333" s="4" t="str">
        <f>IFERROR(INDEX('Araç Tanımlama'!$E$5:$E$200,MATCH(D1333,'Araç Tanımlama'!$A$5:$A$200,0)),"")</f>
        <v/>
      </c>
      <c r="G1333" s="2"/>
      <c r="H1333" s="7"/>
      <c r="I1333" s="9" t="str">
        <f>IF(OR(G1333="",H1333=""),"",G1333*H1333)</f>
        <v/>
      </c>
      <c r="J1333" s="2"/>
      <c r="K1333" s="2"/>
    </row>
    <row r="1334" spans="1:11">
      <c r="A1334" s="4" t="str">
        <f>IF(D1334="","",COUNTIF($D$5:D1334,"?*"))</f>
        <v/>
      </c>
      <c r="B1334" s="5"/>
      <c r="C1334" s="4" t="str">
        <f>IF(B1334="","",INDEX({"Ocak","Şubat","Mart","Nisan","Mayıs","Haziran","Temmuz","Ağustos","Eylül","Ekim","Kasım","Aralık"},MONTH(B1334)))</f>
        <v/>
      </c>
      <c r="D1334" s="2"/>
      <c r="E1334" s="4" t="str">
        <f>IFERROR(INDEX('Araç Tanımlama'!$D$5:$D$200,MATCH(D1334,'Araç Tanımlama'!$A$5:$A$200,0)),"")</f>
        <v/>
      </c>
      <c r="F1334" s="4" t="str">
        <f>IFERROR(INDEX('Araç Tanımlama'!$E$5:$E$200,MATCH(D1334,'Araç Tanımlama'!$A$5:$A$200,0)),"")</f>
        <v/>
      </c>
      <c r="G1334" s="2"/>
      <c r="H1334" s="7"/>
      <c r="I1334" s="9" t="str">
        <f>IF(OR(G1334="",H1334=""),"",G1334*H1334)</f>
        <v/>
      </c>
      <c r="J1334" s="2"/>
      <c r="K1334" s="2"/>
    </row>
    <row r="1335" spans="1:11">
      <c r="A1335" s="4" t="str">
        <f>IF(D1335="","",COUNTIF($D$5:D1335,"?*"))</f>
        <v/>
      </c>
      <c r="B1335" s="5"/>
      <c r="C1335" s="4" t="str">
        <f>IF(B1335="","",INDEX({"Ocak","Şubat","Mart","Nisan","Mayıs","Haziran","Temmuz","Ağustos","Eylül","Ekim","Kasım","Aralık"},MONTH(B1335)))</f>
        <v/>
      </c>
      <c r="D1335" s="2"/>
      <c r="E1335" s="4" t="str">
        <f>IFERROR(INDEX('Araç Tanımlama'!$D$5:$D$200,MATCH(D1335,'Araç Tanımlama'!$A$5:$A$200,0)),"")</f>
        <v/>
      </c>
      <c r="F1335" s="4" t="str">
        <f>IFERROR(INDEX('Araç Tanımlama'!$E$5:$E$200,MATCH(D1335,'Araç Tanımlama'!$A$5:$A$200,0)),"")</f>
        <v/>
      </c>
      <c r="G1335" s="2"/>
      <c r="H1335" s="7"/>
      <c r="I1335" s="9" t="str">
        <f>IF(OR(G1335="",H1335=""),"",G1335*H1335)</f>
        <v/>
      </c>
      <c r="J1335" s="2"/>
      <c r="K1335" s="2"/>
    </row>
    <row r="1336" spans="1:11">
      <c r="A1336" s="4" t="str">
        <f>IF(D1336="","",COUNTIF($D$5:D1336,"?*"))</f>
        <v/>
      </c>
      <c r="B1336" s="5"/>
      <c r="C1336" s="4" t="str">
        <f>IF(B1336="","",INDEX({"Ocak","Şubat","Mart","Nisan","Mayıs","Haziran","Temmuz","Ağustos","Eylül","Ekim","Kasım","Aralık"},MONTH(B1336)))</f>
        <v/>
      </c>
      <c r="D1336" s="2"/>
      <c r="E1336" s="4" t="str">
        <f>IFERROR(INDEX('Araç Tanımlama'!$D$5:$D$200,MATCH(D1336,'Araç Tanımlama'!$A$5:$A$200,0)),"")</f>
        <v/>
      </c>
      <c r="F1336" s="4" t="str">
        <f>IFERROR(INDEX('Araç Tanımlama'!$E$5:$E$200,MATCH(D1336,'Araç Tanımlama'!$A$5:$A$200,0)),"")</f>
        <v/>
      </c>
      <c r="G1336" s="2"/>
      <c r="H1336" s="7"/>
      <c r="I1336" s="9" t="str">
        <f>IF(OR(G1336="",H1336=""),"",G1336*H1336)</f>
        <v/>
      </c>
      <c r="J1336" s="2"/>
      <c r="K1336" s="2"/>
    </row>
    <row r="1337" spans="1:11">
      <c r="A1337" s="4" t="str">
        <f>IF(D1337="","",COUNTIF($D$5:D1337,"?*"))</f>
        <v/>
      </c>
      <c r="B1337" s="5"/>
      <c r="C1337" s="4" t="str">
        <f>IF(B1337="","",INDEX({"Ocak","Şubat","Mart","Nisan","Mayıs","Haziran","Temmuz","Ağustos","Eylül","Ekim","Kasım","Aralık"},MONTH(B1337)))</f>
        <v/>
      </c>
      <c r="D1337" s="2"/>
      <c r="E1337" s="4" t="str">
        <f>IFERROR(INDEX('Araç Tanımlama'!$D$5:$D$200,MATCH(D1337,'Araç Tanımlama'!$A$5:$A$200,0)),"")</f>
        <v/>
      </c>
      <c r="F1337" s="4" t="str">
        <f>IFERROR(INDEX('Araç Tanımlama'!$E$5:$E$200,MATCH(D1337,'Araç Tanımlama'!$A$5:$A$200,0)),"")</f>
        <v/>
      </c>
      <c r="G1337" s="2"/>
      <c r="H1337" s="7"/>
      <c r="I1337" s="9" t="str">
        <f>IF(OR(G1337="",H1337=""),"",G1337*H1337)</f>
        <v/>
      </c>
      <c r="J1337" s="2"/>
      <c r="K1337" s="2"/>
    </row>
    <row r="1338" spans="1:11">
      <c r="A1338" s="4" t="str">
        <f>IF(D1338="","",COUNTIF($D$5:D1338,"?*"))</f>
        <v/>
      </c>
      <c r="B1338" s="5"/>
      <c r="C1338" s="4" t="str">
        <f>IF(B1338="","",INDEX({"Ocak","Şubat","Mart","Nisan","Mayıs","Haziran","Temmuz","Ağustos","Eylül","Ekim","Kasım","Aralık"},MONTH(B1338)))</f>
        <v/>
      </c>
      <c r="D1338" s="2"/>
      <c r="E1338" s="4" t="str">
        <f>IFERROR(INDEX('Araç Tanımlama'!$D$5:$D$200,MATCH(D1338,'Araç Tanımlama'!$A$5:$A$200,0)),"")</f>
        <v/>
      </c>
      <c r="F1338" s="4" t="str">
        <f>IFERROR(INDEX('Araç Tanımlama'!$E$5:$E$200,MATCH(D1338,'Araç Tanımlama'!$A$5:$A$200,0)),"")</f>
        <v/>
      </c>
      <c r="G1338" s="2"/>
      <c r="H1338" s="7"/>
      <c r="I1338" s="9" t="str">
        <f>IF(OR(G1338="",H1338=""),"",G1338*H1338)</f>
        <v/>
      </c>
      <c r="J1338" s="2"/>
      <c r="K1338" s="2"/>
    </row>
    <row r="1339" spans="1:11">
      <c r="A1339" s="4" t="str">
        <f>IF(D1339="","",COUNTIF($D$5:D1339,"?*"))</f>
        <v/>
      </c>
      <c r="B1339" s="5"/>
      <c r="C1339" s="4" t="str">
        <f>IF(B1339="","",INDEX({"Ocak","Şubat","Mart","Nisan","Mayıs","Haziran","Temmuz","Ağustos","Eylül","Ekim","Kasım","Aralık"},MONTH(B1339)))</f>
        <v/>
      </c>
      <c r="D1339" s="2"/>
      <c r="E1339" s="4" t="str">
        <f>IFERROR(INDEX('Araç Tanımlama'!$D$5:$D$200,MATCH(D1339,'Araç Tanımlama'!$A$5:$A$200,0)),"")</f>
        <v/>
      </c>
      <c r="F1339" s="4" t="str">
        <f>IFERROR(INDEX('Araç Tanımlama'!$E$5:$E$200,MATCH(D1339,'Araç Tanımlama'!$A$5:$A$200,0)),"")</f>
        <v/>
      </c>
      <c r="G1339" s="2"/>
      <c r="H1339" s="7"/>
      <c r="I1339" s="9" t="str">
        <f>IF(OR(G1339="",H1339=""),"",G1339*H1339)</f>
        <v/>
      </c>
      <c r="J1339" s="2"/>
      <c r="K1339" s="2"/>
    </row>
    <row r="1340" spans="1:11">
      <c r="A1340" s="4" t="str">
        <f>IF(D1340="","",COUNTIF($D$5:D1340,"?*"))</f>
        <v/>
      </c>
      <c r="B1340" s="5"/>
      <c r="C1340" s="4" t="str">
        <f>IF(B1340="","",INDEX({"Ocak","Şubat","Mart","Nisan","Mayıs","Haziran","Temmuz","Ağustos","Eylül","Ekim","Kasım","Aralık"},MONTH(B1340)))</f>
        <v/>
      </c>
      <c r="D1340" s="2"/>
      <c r="E1340" s="4" t="str">
        <f>IFERROR(INDEX('Araç Tanımlama'!$D$5:$D$200,MATCH(D1340,'Araç Tanımlama'!$A$5:$A$200,0)),"")</f>
        <v/>
      </c>
      <c r="F1340" s="4" t="str">
        <f>IFERROR(INDEX('Araç Tanımlama'!$E$5:$E$200,MATCH(D1340,'Araç Tanımlama'!$A$5:$A$200,0)),"")</f>
        <v/>
      </c>
      <c r="G1340" s="2"/>
      <c r="H1340" s="7"/>
      <c r="I1340" s="9" t="str">
        <f>IF(OR(G1340="",H1340=""),"",G1340*H1340)</f>
        <v/>
      </c>
      <c r="J1340" s="2"/>
      <c r="K1340" s="2"/>
    </row>
    <row r="1341" spans="1:11">
      <c r="A1341" s="4" t="str">
        <f>IF(D1341="","",COUNTIF($D$5:D1341,"?*"))</f>
        <v/>
      </c>
      <c r="B1341" s="5"/>
      <c r="C1341" s="4" t="str">
        <f>IF(B1341="","",INDEX({"Ocak","Şubat","Mart","Nisan","Mayıs","Haziran","Temmuz","Ağustos","Eylül","Ekim","Kasım","Aralık"},MONTH(B1341)))</f>
        <v/>
      </c>
      <c r="D1341" s="2"/>
      <c r="E1341" s="4" t="str">
        <f>IFERROR(INDEX('Araç Tanımlama'!$D$5:$D$200,MATCH(D1341,'Araç Tanımlama'!$A$5:$A$200,0)),"")</f>
        <v/>
      </c>
      <c r="F1341" s="4" t="str">
        <f>IFERROR(INDEX('Araç Tanımlama'!$E$5:$E$200,MATCH(D1341,'Araç Tanımlama'!$A$5:$A$200,0)),"")</f>
        <v/>
      </c>
      <c r="G1341" s="2"/>
      <c r="H1341" s="7"/>
      <c r="I1341" s="9" t="str">
        <f>IF(OR(G1341="",H1341=""),"",G1341*H1341)</f>
        <v/>
      </c>
      <c r="J1341" s="2"/>
      <c r="K1341" s="2"/>
    </row>
    <row r="1342" spans="1:11">
      <c r="A1342" s="4" t="str">
        <f>IF(D1342="","",COUNTIF($D$5:D1342,"?*"))</f>
        <v/>
      </c>
      <c r="B1342" s="5"/>
      <c r="C1342" s="4" t="str">
        <f>IF(B1342="","",INDEX({"Ocak","Şubat","Mart","Nisan","Mayıs","Haziran","Temmuz","Ağustos","Eylül","Ekim","Kasım","Aralık"},MONTH(B1342)))</f>
        <v/>
      </c>
      <c r="D1342" s="2"/>
      <c r="E1342" s="4" t="str">
        <f>IFERROR(INDEX('Araç Tanımlama'!$D$5:$D$200,MATCH(D1342,'Araç Tanımlama'!$A$5:$A$200,0)),"")</f>
        <v/>
      </c>
      <c r="F1342" s="4" t="str">
        <f>IFERROR(INDEX('Araç Tanımlama'!$E$5:$E$200,MATCH(D1342,'Araç Tanımlama'!$A$5:$A$200,0)),"")</f>
        <v/>
      </c>
      <c r="G1342" s="2"/>
      <c r="H1342" s="7"/>
      <c r="I1342" s="9" t="str">
        <f>IF(OR(G1342="",H1342=""),"",G1342*H1342)</f>
        <v/>
      </c>
      <c r="J1342" s="2"/>
      <c r="K1342" s="2"/>
    </row>
    <row r="1343" spans="1:11">
      <c r="A1343" s="4" t="str">
        <f>IF(D1343="","",COUNTIF($D$5:D1343,"?*"))</f>
        <v/>
      </c>
      <c r="B1343" s="5"/>
      <c r="C1343" s="4" t="str">
        <f>IF(B1343="","",INDEX({"Ocak","Şubat","Mart","Nisan","Mayıs","Haziran","Temmuz","Ağustos","Eylül","Ekim","Kasım","Aralık"},MONTH(B1343)))</f>
        <v/>
      </c>
      <c r="D1343" s="2"/>
      <c r="E1343" s="4" t="str">
        <f>IFERROR(INDEX('Araç Tanımlama'!$D$5:$D$200,MATCH(D1343,'Araç Tanımlama'!$A$5:$A$200,0)),"")</f>
        <v/>
      </c>
      <c r="F1343" s="4" t="str">
        <f>IFERROR(INDEX('Araç Tanımlama'!$E$5:$E$200,MATCH(D1343,'Araç Tanımlama'!$A$5:$A$200,0)),"")</f>
        <v/>
      </c>
      <c r="G1343" s="2"/>
      <c r="H1343" s="7"/>
      <c r="I1343" s="9" t="str">
        <f>IF(OR(G1343="",H1343=""),"",G1343*H1343)</f>
        <v/>
      </c>
      <c r="J1343" s="2"/>
      <c r="K1343" s="2"/>
    </row>
    <row r="1344" spans="1:11">
      <c r="A1344" s="4" t="str">
        <f>IF(D1344="","",COUNTIF($D$5:D1344,"?*"))</f>
        <v/>
      </c>
      <c r="B1344" s="5"/>
      <c r="C1344" s="4" t="str">
        <f>IF(B1344="","",INDEX({"Ocak","Şubat","Mart","Nisan","Mayıs","Haziran","Temmuz","Ağustos","Eylül","Ekim","Kasım","Aralık"},MONTH(B1344)))</f>
        <v/>
      </c>
      <c r="D1344" s="2"/>
      <c r="E1344" s="4" t="str">
        <f>IFERROR(INDEX('Araç Tanımlama'!$D$5:$D$200,MATCH(D1344,'Araç Tanımlama'!$A$5:$A$200,0)),"")</f>
        <v/>
      </c>
      <c r="F1344" s="4" t="str">
        <f>IFERROR(INDEX('Araç Tanımlama'!$E$5:$E$200,MATCH(D1344,'Araç Tanımlama'!$A$5:$A$200,0)),"")</f>
        <v/>
      </c>
      <c r="G1344" s="2"/>
      <c r="H1344" s="7"/>
      <c r="I1344" s="9" t="str">
        <f>IF(OR(G1344="",H1344=""),"",G1344*H1344)</f>
        <v/>
      </c>
      <c r="J1344" s="2"/>
      <c r="K1344" s="2"/>
    </row>
    <row r="1345" spans="1:11">
      <c r="A1345" s="4" t="str">
        <f>IF(D1345="","",COUNTIF($D$5:D1345,"?*"))</f>
        <v/>
      </c>
      <c r="B1345" s="5"/>
      <c r="C1345" s="4" t="str">
        <f>IF(B1345="","",INDEX({"Ocak","Şubat","Mart","Nisan","Mayıs","Haziran","Temmuz","Ağustos","Eylül","Ekim","Kasım","Aralık"},MONTH(B1345)))</f>
        <v/>
      </c>
      <c r="D1345" s="2"/>
      <c r="E1345" s="4" t="str">
        <f>IFERROR(INDEX('Araç Tanımlama'!$D$5:$D$200,MATCH(D1345,'Araç Tanımlama'!$A$5:$A$200,0)),"")</f>
        <v/>
      </c>
      <c r="F1345" s="4" t="str">
        <f>IFERROR(INDEX('Araç Tanımlama'!$E$5:$E$200,MATCH(D1345,'Araç Tanımlama'!$A$5:$A$200,0)),"")</f>
        <v/>
      </c>
      <c r="G1345" s="2"/>
      <c r="H1345" s="7"/>
      <c r="I1345" s="9" t="str">
        <f>IF(OR(G1345="",H1345=""),"",G1345*H1345)</f>
        <v/>
      </c>
      <c r="J1345" s="2"/>
      <c r="K1345" s="2"/>
    </row>
    <row r="1346" spans="1:11">
      <c r="A1346" s="4" t="str">
        <f>IF(D1346="","",COUNTIF($D$5:D1346,"?*"))</f>
        <v/>
      </c>
      <c r="B1346" s="5"/>
      <c r="C1346" s="4" t="str">
        <f>IF(B1346="","",INDEX({"Ocak","Şubat","Mart","Nisan","Mayıs","Haziran","Temmuz","Ağustos","Eylül","Ekim","Kasım","Aralık"},MONTH(B1346)))</f>
        <v/>
      </c>
      <c r="D1346" s="2"/>
      <c r="E1346" s="4" t="str">
        <f>IFERROR(INDEX('Araç Tanımlama'!$D$5:$D$200,MATCH(D1346,'Araç Tanımlama'!$A$5:$A$200,0)),"")</f>
        <v/>
      </c>
      <c r="F1346" s="4" t="str">
        <f>IFERROR(INDEX('Araç Tanımlama'!$E$5:$E$200,MATCH(D1346,'Araç Tanımlama'!$A$5:$A$200,0)),"")</f>
        <v/>
      </c>
      <c r="G1346" s="2"/>
      <c r="H1346" s="7"/>
      <c r="I1346" s="9" t="str">
        <f>IF(OR(G1346="",H1346=""),"",G1346*H1346)</f>
        <v/>
      </c>
      <c r="J1346" s="2"/>
      <c r="K1346" s="2"/>
    </row>
    <row r="1347" spans="1:11">
      <c r="A1347" s="4" t="str">
        <f>IF(D1347="","",COUNTIF($D$5:D1347,"?*"))</f>
        <v/>
      </c>
      <c r="B1347" s="5"/>
      <c r="C1347" s="4" t="str">
        <f>IF(B1347="","",INDEX({"Ocak","Şubat","Mart","Nisan","Mayıs","Haziran","Temmuz","Ağustos","Eylül","Ekim","Kasım","Aralık"},MONTH(B1347)))</f>
        <v/>
      </c>
      <c r="D1347" s="2"/>
      <c r="E1347" s="4" t="str">
        <f>IFERROR(INDEX('Araç Tanımlama'!$D$5:$D$200,MATCH(D1347,'Araç Tanımlama'!$A$5:$A$200,0)),"")</f>
        <v/>
      </c>
      <c r="F1347" s="4" t="str">
        <f>IFERROR(INDEX('Araç Tanımlama'!$E$5:$E$200,MATCH(D1347,'Araç Tanımlama'!$A$5:$A$200,0)),"")</f>
        <v/>
      </c>
      <c r="G1347" s="2"/>
      <c r="H1347" s="7"/>
      <c r="I1347" s="9" t="str">
        <f>IF(OR(G1347="",H1347=""),"",G1347*H1347)</f>
        <v/>
      </c>
      <c r="J1347" s="2"/>
      <c r="K1347" s="2"/>
    </row>
    <row r="1348" spans="1:11">
      <c r="A1348" s="4" t="str">
        <f>IF(D1348="","",COUNTIF($D$5:D1348,"?*"))</f>
        <v/>
      </c>
      <c r="B1348" s="5"/>
      <c r="C1348" s="4" t="str">
        <f>IF(B1348="","",INDEX({"Ocak","Şubat","Mart","Nisan","Mayıs","Haziran","Temmuz","Ağustos","Eylül","Ekim","Kasım","Aralık"},MONTH(B1348)))</f>
        <v/>
      </c>
      <c r="D1348" s="2"/>
      <c r="E1348" s="4" t="str">
        <f>IFERROR(INDEX('Araç Tanımlama'!$D$5:$D$200,MATCH(D1348,'Araç Tanımlama'!$A$5:$A$200,0)),"")</f>
        <v/>
      </c>
      <c r="F1348" s="4" t="str">
        <f>IFERROR(INDEX('Araç Tanımlama'!$E$5:$E$200,MATCH(D1348,'Araç Tanımlama'!$A$5:$A$200,0)),"")</f>
        <v/>
      </c>
      <c r="G1348" s="2"/>
      <c r="H1348" s="7"/>
      <c r="I1348" s="9" t="str">
        <f>IF(OR(G1348="",H1348=""),"",G1348*H1348)</f>
        <v/>
      </c>
      <c r="J1348" s="2"/>
      <c r="K1348" s="2"/>
    </row>
    <row r="1349" spans="1:11">
      <c r="A1349" s="4" t="str">
        <f>IF(D1349="","",COUNTIF($D$5:D1349,"?*"))</f>
        <v/>
      </c>
      <c r="B1349" s="5"/>
      <c r="C1349" s="4" t="str">
        <f>IF(B1349="","",INDEX({"Ocak","Şubat","Mart","Nisan","Mayıs","Haziran","Temmuz","Ağustos","Eylül","Ekim","Kasım","Aralık"},MONTH(B1349)))</f>
        <v/>
      </c>
      <c r="D1349" s="2"/>
      <c r="E1349" s="4" t="str">
        <f>IFERROR(INDEX('Araç Tanımlama'!$D$5:$D$200,MATCH(D1349,'Araç Tanımlama'!$A$5:$A$200,0)),"")</f>
        <v/>
      </c>
      <c r="F1349" s="4" t="str">
        <f>IFERROR(INDEX('Araç Tanımlama'!$E$5:$E$200,MATCH(D1349,'Araç Tanımlama'!$A$5:$A$200,0)),"")</f>
        <v/>
      </c>
      <c r="G1349" s="2"/>
      <c r="H1349" s="7"/>
      <c r="I1349" s="9" t="str">
        <f>IF(OR(G1349="",H1349=""),"",G1349*H1349)</f>
        <v/>
      </c>
      <c r="J1349" s="2"/>
      <c r="K1349" s="2"/>
    </row>
    <row r="1350" spans="1:11">
      <c r="A1350" s="4" t="str">
        <f>IF(D1350="","",COUNTIF($D$5:D1350,"?*"))</f>
        <v/>
      </c>
      <c r="B1350" s="5"/>
      <c r="C1350" s="4" t="str">
        <f>IF(B1350="","",INDEX({"Ocak","Şubat","Mart","Nisan","Mayıs","Haziran","Temmuz","Ağustos","Eylül","Ekim","Kasım","Aralık"},MONTH(B1350)))</f>
        <v/>
      </c>
      <c r="D1350" s="2"/>
      <c r="E1350" s="4" t="str">
        <f>IFERROR(INDEX('Araç Tanımlama'!$D$5:$D$200,MATCH(D1350,'Araç Tanımlama'!$A$5:$A$200,0)),"")</f>
        <v/>
      </c>
      <c r="F1350" s="4" t="str">
        <f>IFERROR(INDEX('Araç Tanımlama'!$E$5:$E$200,MATCH(D1350,'Araç Tanımlama'!$A$5:$A$200,0)),"")</f>
        <v/>
      </c>
      <c r="G1350" s="2"/>
      <c r="H1350" s="7"/>
      <c r="I1350" s="9" t="str">
        <f>IF(OR(G1350="",H1350=""),"",G1350*H1350)</f>
        <v/>
      </c>
      <c r="J1350" s="2"/>
      <c r="K1350" s="2"/>
    </row>
    <row r="1351" spans="1:11">
      <c r="A1351" s="4" t="str">
        <f>IF(D1351="","",COUNTIF($D$5:D1351,"?*"))</f>
        <v/>
      </c>
      <c r="B1351" s="5"/>
      <c r="C1351" s="4" t="str">
        <f>IF(B1351="","",INDEX({"Ocak","Şubat","Mart","Nisan","Mayıs","Haziran","Temmuz","Ağustos","Eylül","Ekim","Kasım","Aralık"},MONTH(B1351)))</f>
        <v/>
      </c>
      <c r="D1351" s="2"/>
      <c r="E1351" s="4" t="str">
        <f>IFERROR(INDEX('Araç Tanımlama'!$D$5:$D$200,MATCH(D1351,'Araç Tanımlama'!$A$5:$A$200,0)),"")</f>
        <v/>
      </c>
      <c r="F1351" s="4" t="str">
        <f>IFERROR(INDEX('Araç Tanımlama'!$E$5:$E$200,MATCH(D1351,'Araç Tanımlama'!$A$5:$A$200,0)),"")</f>
        <v/>
      </c>
      <c r="G1351" s="2"/>
      <c r="H1351" s="7"/>
      <c r="I1351" s="9" t="str">
        <f>IF(OR(G1351="",H1351=""),"",G1351*H1351)</f>
        <v/>
      </c>
      <c r="J1351" s="2"/>
      <c r="K1351" s="2"/>
    </row>
    <row r="1352" spans="1:11">
      <c r="A1352" s="4" t="str">
        <f>IF(D1352="","",COUNTIF($D$5:D1352,"?*"))</f>
        <v/>
      </c>
      <c r="B1352" s="5"/>
      <c r="C1352" s="4" t="str">
        <f>IF(B1352="","",INDEX({"Ocak","Şubat","Mart","Nisan","Mayıs","Haziran","Temmuz","Ağustos","Eylül","Ekim","Kasım","Aralık"},MONTH(B1352)))</f>
        <v/>
      </c>
      <c r="D1352" s="2"/>
      <c r="E1352" s="4" t="str">
        <f>IFERROR(INDEX('Araç Tanımlama'!$D$5:$D$200,MATCH(D1352,'Araç Tanımlama'!$A$5:$A$200,0)),"")</f>
        <v/>
      </c>
      <c r="F1352" s="4" t="str">
        <f>IFERROR(INDEX('Araç Tanımlama'!$E$5:$E$200,MATCH(D1352,'Araç Tanımlama'!$A$5:$A$200,0)),"")</f>
        <v/>
      </c>
      <c r="G1352" s="2"/>
      <c r="H1352" s="7"/>
      <c r="I1352" s="9" t="str">
        <f>IF(OR(G1352="",H1352=""),"",G1352*H1352)</f>
        <v/>
      </c>
      <c r="J1352" s="2"/>
      <c r="K1352" s="2"/>
    </row>
    <row r="1353" spans="1:11">
      <c r="A1353" s="4" t="str">
        <f>IF(D1353="","",COUNTIF($D$5:D1353,"?*"))</f>
        <v/>
      </c>
      <c r="B1353" s="5"/>
      <c r="C1353" s="4" t="str">
        <f>IF(B1353="","",INDEX({"Ocak","Şubat","Mart","Nisan","Mayıs","Haziran","Temmuz","Ağustos","Eylül","Ekim","Kasım","Aralık"},MONTH(B1353)))</f>
        <v/>
      </c>
      <c r="D1353" s="2"/>
      <c r="E1353" s="4" t="str">
        <f>IFERROR(INDEX('Araç Tanımlama'!$D$5:$D$200,MATCH(D1353,'Araç Tanımlama'!$A$5:$A$200,0)),"")</f>
        <v/>
      </c>
      <c r="F1353" s="4" t="str">
        <f>IFERROR(INDEX('Araç Tanımlama'!$E$5:$E$200,MATCH(D1353,'Araç Tanımlama'!$A$5:$A$200,0)),"")</f>
        <v/>
      </c>
      <c r="G1353" s="2"/>
      <c r="H1353" s="7"/>
      <c r="I1353" s="9" t="str">
        <f>IF(OR(G1353="",H1353=""),"",G1353*H1353)</f>
        <v/>
      </c>
      <c r="J1353" s="2"/>
      <c r="K1353" s="2"/>
    </row>
    <row r="1354" spans="1:11">
      <c r="A1354" s="4" t="str">
        <f>IF(D1354="","",COUNTIF($D$5:D1354,"?*"))</f>
        <v/>
      </c>
      <c r="B1354" s="5"/>
      <c r="C1354" s="4" t="str">
        <f>IF(B1354="","",INDEX({"Ocak","Şubat","Mart","Nisan","Mayıs","Haziran","Temmuz","Ağustos","Eylül","Ekim","Kasım","Aralık"},MONTH(B1354)))</f>
        <v/>
      </c>
      <c r="D1354" s="2"/>
      <c r="E1354" s="4" t="str">
        <f>IFERROR(INDEX('Araç Tanımlama'!$D$5:$D$200,MATCH(D1354,'Araç Tanımlama'!$A$5:$A$200,0)),"")</f>
        <v/>
      </c>
      <c r="F1354" s="4" t="str">
        <f>IFERROR(INDEX('Araç Tanımlama'!$E$5:$E$200,MATCH(D1354,'Araç Tanımlama'!$A$5:$A$200,0)),"")</f>
        <v/>
      </c>
      <c r="G1354" s="2"/>
      <c r="H1354" s="7"/>
      <c r="I1354" s="9" t="str">
        <f>IF(OR(G1354="",H1354=""),"",G1354*H1354)</f>
        <v/>
      </c>
      <c r="J1354" s="2"/>
      <c r="K1354" s="2"/>
    </row>
    <row r="1355" spans="1:11">
      <c r="A1355" s="4" t="str">
        <f>IF(D1355="","",COUNTIF($D$5:D1355,"?*"))</f>
        <v/>
      </c>
      <c r="B1355" s="5"/>
      <c r="C1355" s="4" t="str">
        <f>IF(B1355="","",INDEX({"Ocak","Şubat","Mart","Nisan","Mayıs","Haziran","Temmuz","Ağustos","Eylül","Ekim","Kasım","Aralık"},MONTH(B1355)))</f>
        <v/>
      </c>
      <c r="D1355" s="2"/>
      <c r="E1355" s="4" t="str">
        <f>IFERROR(INDEX('Araç Tanımlama'!$D$5:$D$200,MATCH(D1355,'Araç Tanımlama'!$A$5:$A$200,0)),"")</f>
        <v/>
      </c>
      <c r="F1355" s="4" t="str">
        <f>IFERROR(INDEX('Araç Tanımlama'!$E$5:$E$200,MATCH(D1355,'Araç Tanımlama'!$A$5:$A$200,0)),"")</f>
        <v/>
      </c>
      <c r="G1355" s="2"/>
      <c r="H1355" s="7"/>
      <c r="I1355" s="9" t="str">
        <f>IF(OR(G1355="",H1355=""),"",G1355*H1355)</f>
        <v/>
      </c>
      <c r="J1355" s="2"/>
      <c r="K1355" s="2"/>
    </row>
    <row r="1356" spans="1:11">
      <c r="A1356" s="4" t="str">
        <f>IF(D1356="","",COUNTIF($D$5:D1356,"?*"))</f>
        <v/>
      </c>
      <c r="B1356" s="5"/>
      <c r="C1356" s="4" t="str">
        <f>IF(B1356="","",INDEX({"Ocak","Şubat","Mart","Nisan","Mayıs","Haziran","Temmuz","Ağustos","Eylül","Ekim","Kasım","Aralık"},MONTH(B1356)))</f>
        <v/>
      </c>
      <c r="D1356" s="2"/>
      <c r="E1356" s="4" t="str">
        <f>IFERROR(INDEX('Araç Tanımlama'!$D$5:$D$200,MATCH(D1356,'Araç Tanımlama'!$A$5:$A$200,0)),"")</f>
        <v/>
      </c>
      <c r="F1356" s="4" t="str">
        <f>IFERROR(INDEX('Araç Tanımlama'!$E$5:$E$200,MATCH(D1356,'Araç Tanımlama'!$A$5:$A$200,0)),"")</f>
        <v/>
      </c>
      <c r="G1356" s="2"/>
      <c r="H1356" s="7"/>
      <c r="I1356" s="9" t="str">
        <f>IF(OR(G1356="",H1356=""),"",G1356*H1356)</f>
        <v/>
      </c>
      <c r="J1356" s="2"/>
      <c r="K1356" s="2"/>
    </row>
    <row r="1357" spans="1:11">
      <c r="A1357" s="4" t="str">
        <f>IF(D1357="","",COUNTIF($D$5:D1357,"?*"))</f>
        <v/>
      </c>
      <c r="B1357" s="5"/>
      <c r="C1357" s="4" t="str">
        <f>IF(B1357="","",INDEX({"Ocak","Şubat","Mart","Nisan","Mayıs","Haziran","Temmuz","Ağustos","Eylül","Ekim","Kasım","Aralık"},MONTH(B1357)))</f>
        <v/>
      </c>
      <c r="D1357" s="2"/>
      <c r="E1357" s="4" t="str">
        <f>IFERROR(INDEX('Araç Tanımlama'!$D$5:$D$200,MATCH(D1357,'Araç Tanımlama'!$A$5:$A$200,0)),"")</f>
        <v/>
      </c>
      <c r="F1357" s="4" t="str">
        <f>IFERROR(INDEX('Araç Tanımlama'!$E$5:$E$200,MATCH(D1357,'Araç Tanımlama'!$A$5:$A$200,0)),"")</f>
        <v/>
      </c>
      <c r="G1357" s="2"/>
      <c r="H1357" s="7"/>
      <c r="I1357" s="9" t="str">
        <f>IF(OR(G1357="",H1357=""),"",G1357*H1357)</f>
        <v/>
      </c>
      <c r="J1357" s="2"/>
      <c r="K1357" s="2"/>
    </row>
    <row r="1358" spans="1:11">
      <c r="A1358" s="4" t="str">
        <f>IF(D1358="","",COUNTIF($D$5:D1358,"?*"))</f>
        <v/>
      </c>
      <c r="B1358" s="5"/>
      <c r="C1358" s="4" t="str">
        <f>IF(B1358="","",INDEX({"Ocak","Şubat","Mart","Nisan","Mayıs","Haziran","Temmuz","Ağustos","Eylül","Ekim","Kasım","Aralık"},MONTH(B1358)))</f>
        <v/>
      </c>
      <c r="D1358" s="2"/>
      <c r="E1358" s="4" t="str">
        <f>IFERROR(INDEX('Araç Tanımlama'!$D$5:$D$200,MATCH(D1358,'Araç Tanımlama'!$A$5:$A$200,0)),"")</f>
        <v/>
      </c>
      <c r="F1358" s="4" t="str">
        <f>IFERROR(INDEX('Araç Tanımlama'!$E$5:$E$200,MATCH(D1358,'Araç Tanımlama'!$A$5:$A$200,0)),"")</f>
        <v/>
      </c>
      <c r="G1358" s="2"/>
      <c r="H1358" s="7"/>
      <c r="I1358" s="9" t="str">
        <f>IF(OR(G1358="",H1358=""),"",G1358*H1358)</f>
        <v/>
      </c>
      <c r="J1358" s="2"/>
      <c r="K1358" s="2"/>
    </row>
    <row r="1359" spans="1:11">
      <c r="A1359" s="4" t="str">
        <f>IF(D1359="","",COUNTIF($D$5:D1359,"?*"))</f>
        <v/>
      </c>
      <c r="B1359" s="5"/>
      <c r="C1359" s="4" t="str">
        <f>IF(B1359="","",INDEX({"Ocak","Şubat","Mart","Nisan","Mayıs","Haziran","Temmuz","Ağustos","Eylül","Ekim","Kasım","Aralık"},MONTH(B1359)))</f>
        <v/>
      </c>
      <c r="D1359" s="2"/>
      <c r="E1359" s="4" t="str">
        <f>IFERROR(INDEX('Araç Tanımlama'!$D$5:$D$200,MATCH(D1359,'Araç Tanımlama'!$A$5:$A$200,0)),"")</f>
        <v/>
      </c>
      <c r="F1359" s="4" t="str">
        <f>IFERROR(INDEX('Araç Tanımlama'!$E$5:$E$200,MATCH(D1359,'Araç Tanımlama'!$A$5:$A$200,0)),"")</f>
        <v/>
      </c>
      <c r="G1359" s="2"/>
      <c r="H1359" s="7"/>
      <c r="I1359" s="9" t="str">
        <f>IF(OR(G1359="",H1359=""),"",G1359*H1359)</f>
        <v/>
      </c>
      <c r="J1359" s="2"/>
      <c r="K1359" s="2"/>
    </row>
    <row r="1360" spans="1:11">
      <c r="A1360" s="4" t="str">
        <f>IF(D1360="","",COUNTIF($D$5:D1360,"?*"))</f>
        <v/>
      </c>
      <c r="B1360" s="5"/>
      <c r="C1360" s="4" t="str">
        <f>IF(B1360="","",INDEX({"Ocak","Şubat","Mart","Nisan","Mayıs","Haziran","Temmuz","Ağustos","Eylül","Ekim","Kasım","Aralık"},MONTH(B1360)))</f>
        <v/>
      </c>
      <c r="D1360" s="2"/>
      <c r="E1360" s="4" t="str">
        <f>IFERROR(INDEX('Araç Tanımlama'!$D$5:$D$200,MATCH(D1360,'Araç Tanımlama'!$A$5:$A$200,0)),"")</f>
        <v/>
      </c>
      <c r="F1360" s="4" t="str">
        <f>IFERROR(INDEX('Araç Tanımlama'!$E$5:$E$200,MATCH(D1360,'Araç Tanımlama'!$A$5:$A$200,0)),"")</f>
        <v/>
      </c>
      <c r="G1360" s="2"/>
      <c r="H1360" s="7"/>
      <c r="I1360" s="9" t="str">
        <f>IF(OR(G1360="",H1360=""),"",G1360*H1360)</f>
        <v/>
      </c>
      <c r="J1360" s="2"/>
      <c r="K1360" s="2"/>
    </row>
    <row r="1361" spans="1:11">
      <c r="A1361" s="4" t="str">
        <f>IF(D1361="","",COUNTIF($D$5:D1361,"?*"))</f>
        <v/>
      </c>
      <c r="B1361" s="5"/>
      <c r="C1361" s="4" t="str">
        <f>IF(B1361="","",INDEX({"Ocak","Şubat","Mart","Nisan","Mayıs","Haziran","Temmuz","Ağustos","Eylül","Ekim","Kasım","Aralık"},MONTH(B1361)))</f>
        <v/>
      </c>
      <c r="D1361" s="2"/>
      <c r="E1361" s="4" t="str">
        <f>IFERROR(INDEX('Araç Tanımlama'!$D$5:$D$200,MATCH(D1361,'Araç Tanımlama'!$A$5:$A$200,0)),"")</f>
        <v/>
      </c>
      <c r="F1361" s="4" t="str">
        <f>IFERROR(INDEX('Araç Tanımlama'!$E$5:$E$200,MATCH(D1361,'Araç Tanımlama'!$A$5:$A$200,0)),"")</f>
        <v/>
      </c>
      <c r="G1361" s="2"/>
      <c r="H1361" s="7"/>
      <c r="I1361" s="9" t="str">
        <f>IF(OR(G1361="",H1361=""),"",G1361*H1361)</f>
        <v/>
      </c>
      <c r="J1361" s="2"/>
      <c r="K1361" s="2"/>
    </row>
    <row r="1362" spans="1:11">
      <c r="A1362" s="4" t="str">
        <f>IF(D1362="","",COUNTIF($D$5:D1362,"?*"))</f>
        <v/>
      </c>
      <c r="B1362" s="5"/>
      <c r="C1362" s="4" t="str">
        <f>IF(B1362="","",INDEX({"Ocak","Şubat","Mart","Nisan","Mayıs","Haziran","Temmuz","Ağustos","Eylül","Ekim","Kasım","Aralık"},MONTH(B1362)))</f>
        <v/>
      </c>
      <c r="D1362" s="2"/>
      <c r="E1362" s="4" t="str">
        <f>IFERROR(INDEX('Araç Tanımlama'!$D$5:$D$200,MATCH(D1362,'Araç Tanımlama'!$A$5:$A$200,0)),"")</f>
        <v/>
      </c>
      <c r="F1362" s="4" t="str">
        <f>IFERROR(INDEX('Araç Tanımlama'!$E$5:$E$200,MATCH(D1362,'Araç Tanımlama'!$A$5:$A$200,0)),"")</f>
        <v/>
      </c>
      <c r="G1362" s="2"/>
      <c r="H1362" s="7"/>
      <c r="I1362" s="9" t="str">
        <f>IF(OR(G1362="",H1362=""),"",G1362*H1362)</f>
        <v/>
      </c>
      <c r="J1362" s="2"/>
      <c r="K1362" s="2"/>
    </row>
    <row r="1363" spans="1:11">
      <c r="A1363" s="4" t="str">
        <f>IF(D1363="","",COUNTIF($D$5:D1363,"?*"))</f>
        <v/>
      </c>
      <c r="B1363" s="5"/>
      <c r="C1363" s="4" t="str">
        <f>IF(B1363="","",INDEX({"Ocak","Şubat","Mart","Nisan","Mayıs","Haziran","Temmuz","Ağustos","Eylül","Ekim","Kasım","Aralık"},MONTH(B1363)))</f>
        <v/>
      </c>
      <c r="D1363" s="2"/>
      <c r="E1363" s="4" t="str">
        <f>IFERROR(INDEX('Araç Tanımlama'!$D$5:$D$200,MATCH(D1363,'Araç Tanımlama'!$A$5:$A$200,0)),"")</f>
        <v/>
      </c>
      <c r="F1363" s="4" t="str">
        <f>IFERROR(INDEX('Araç Tanımlama'!$E$5:$E$200,MATCH(D1363,'Araç Tanımlama'!$A$5:$A$200,0)),"")</f>
        <v/>
      </c>
      <c r="G1363" s="2"/>
      <c r="H1363" s="7"/>
      <c r="I1363" s="9" t="str">
        <f>IF(OR(G1363="",H1363=""),"",G1363*H1363)</f>
        <v/>
      </c>
      <c r="J1363" s="2"/>
      <c r="K1363" s="2"/>
    </row>
    <row r="1364" spans="1:11">
      <c r="A1364" s="4" t="str">
        <f>IF(D1364="","",COUNTIF($D$5:D1364,"?*"))</f>
        <v/>
      </c>
      <c r="B1364" s="5"/>
      <c r="C1364" s="4" t="str">
        <f>IF(B1364="","",INDEX({"Ocak","Şubat","Mart","Nisan","Mayıs","Haziran","Temmuz","Ağustos","Eylül","Ekim","Kasım","Aralık"},MONTH(B1364)))</f>
        <v/>
      </c>
      <c r="D1364" s="2"/>
      <c r="E1364" s="4" t="str">
        <f>IFERROR(INDEX('Araç Tanımlama'!$D$5:$D$200,MATCH(D1364,'Araç Tanımlama'!$A$5:$A$200,0)),"")</f>
        <v/>
      </c>
      <c r="F1364" s="4" t="str">
        <f>IFERROR(INDEX('Araç Tanımlama'!$E$5:$E$200,MATCH(D1364,'Araç Tanımlama'!$A$5:$A$200,0)),"")</f>
        <v/>
      </c>
      <c r="G1364" s="2"/>
      <c r="H1364" s="7"/>
      <c r="I1364" s="9" t="str">
        <f>IF(OR(G1364="",H1364=""),"",G1364*H1364)</f>
        <v/>
      </c>
      <c r="J1364" s="2"/>
      <c r="K1364" s="2"/>
    </row>
    <row r="1365" spans="1:11">
      <c r="A1365" s="4" t="str">
        <f>IF(D1365="","",COUNTIF($D$5:D1365,"?*"))</f>
        <v/>
      </c>
      <c r="B1365" s="5"/>
      <c r="C1365" s="4" t="str">
        <f>IF(B1365="","",INDEX({"Ocak","Şubat","Mart","Nisan","Mayıs","Haziran","Temmuz","Ağustos","Eylül","Ekim","Kasım","Aralık"},MONTH(B1365)))</f>
        <v/>
      </c>
      <c r="D1365" s="2"/>
      <c r="E1365" s="4" t="str">
        <f>IFERROR(INDEX('Araç Tanımlama'!$D$5:$D$200,MATCH(D1365,'Araç Tanımlama'!$A$5:$A$200,0)),"")</f>
        <v/>
      </c>
      <c r="F1365" s="4" t="str">
        <f>IFERROR(INDEX('Araç Tanımlama'!$E$5:$E$200,MATCH(D1365,'Araç Tanımlama'!$A$5:$A$200,0)),"")</f>
        <v/>
      </c>
      <c r="G1365" s="2"/>
      <c r="H1365" s="7"/>
      <c r="I1365" s="9" t="str">
        <f>IF(OR(G1365="",H1365=""),"",G1365*H1365)</f>
        <v/>
      </c>
      <c r="J1365" s="2"/>
      <c r="K1365" s="2"/>
    </row>
    <row r="1366" spans="1:11">
      <c r="A1366" s="4" t="str">
        <f>IF(D1366="","",COUNTIF($D$5:D1366,"?*"))</f>
        <v/>
      </c>
      <c r="B1366" s="5"/>
      <c r="C1366" s="4" t="str">
        <f>IF(B1366="","",INDEX({"Ocak","Şubat","Mart","Nisan","Mayıs","Haziran","Temmuz","Ağustos","Eylül","Ekim","Kasım","Aralık"},MONTH(B1366)))</f>
        <v/>
      </c>
      <c r="D1366" s="2"/>
      <c r="E1366" s="4" t="str">
        <f>IFERROR(INDEX('Araç Tanımlama'!$D$5:$D$200,MATCH(D1366,'Araç Tanımlama'!$A$5:$A$200,0)),"")</f>
        <v/>
      </c>
      <c r="F1366" s="4" t="str">
        <f>IFERROR(INDEX('Araç Tanımlama'!$E$5:$E$200,MATCH(D1366,'Araç Tanımlama'!$A$5:$A$200,0)),"")</f>
        <v/>
      </c>
      <c r="G1366" s="2"/>
      <c r="H1366" s="7"/>
      <c r="I1366" s="9" t="str">
        <f>IF(OR(G1366="",H1366=""),"",G1366*H1366)</f>
        <v/>
      </c>
      <c r="J1366" s="2"/>
      <c r="K1366" s="2"/>
    </row>
    <row r="1367" spans="1:11">
      <c r="A1367" s="4" t="str">
        <f>IF(D1367="","",COUNTIF($D$5:D1367,"?*"))</f>
        <v/>
      </c>
      <c r="B1367" s="5"/>
      <c r="C1367" s="4" t="str">
        <f>IF(B1367="","",INDEX({"Ocak","Şubat","Mart","Nisan","Mayıs","Haziran","Temmuz","Ağustos","Eylül","Ekim","Kasım","Aralık"},MONTH(B1367)))</f>
        <v/>
      </c>
      <c r="D1367" s="2"/>
      <c r="E1367" s="4" t="str">
        <f>IFERROR(INDEX('Araç Tanımlama'!$D$5:$D$200,MATCH(D1367,'Araç Tanımlama'!$A$5:$A$200,0)),"")</f>
        <v/>
      </c>
      <c r="F1367" s="4" t="str">
        <f>IFERROR(INDEX('Araç Tanımlama'!$E$5:$E$200,MATCH(D1367,'Araç Tanımlama'!$A$5:$A$200,0)),"")</f>
        <v/>
      </c>
      <c r="G1367" s="2"/>
      <c r="H1367" s="7"/>
      <c r="I1367" s="9" t="str">
        <f>IF(OR(G1367="",H1367=""),"",G1367*H1367)</f>
        <v/>
      </c>
      <c r="J1367" s="2"/>
      <c r="K1367" s="2"/>
    </row>
    <row r="1368" spans="1:11">
      <c r="A1368" s="4" t="str">
        <f>IF(D1368="","",COUNTIF($D$5:D1368,"?*"))</f>
        <v/>
      </c>
      <c r="B1368" s="5"/>
      <c r="C1368" s="4" t="str">
        <f>IF(B1368="","",INDEX({"Ocak","Şubat","Mart","Nisan","Mayıs","Haziran","Temmuz","Ağustos","Eylül","Ekim","Kasım","Aralık"},MONTH(B1368)))</f>
        <v/>
      </c>
      <c r="D1368" s="2"/>
      <c r="E1368" s="4" t="str">
        <f>IFERROR(INDEX('Araç Tanımlama'!$D$5:$D$200,MATCH(D1368,'Araç Tanımlama'!$A$5:$A$200,0)),"")</f>
        <v/>
      </c>
      <c r="F1368" s="4" t="str">
        <f>IFERROR(INDEX('Araç Tanımlama'!$E$5:$E$200,MATCH(D1368,'Araç Tanımlama'!$A$5:$A$200,0)),"")</f>
        <v/>
      </c>
      <c r="G1368" s="2"/>
      <c r="H1368" s="7"/>
      <c r="I1368" s="9" t="str">
        <f>IF(OR(G1368="",H1368=""),"",G1368*H1368)</f>
        <v/>
      </c>
      <c r="J1368" s="2"/>
      <c r="K1368" s="2"/>
    </row>
    <row r="1369" spans="1:11">
      <c r="A1369" s="4" t="str">
        <f>IF(D1369="","",COUNTIF($D$5:D1369,"?*"))</f>
        <v/>
      </c>
      <c r="B1369" s="5"/>
      <c r="C1369" s="4" t="str">
        <f>IF(B1369="","",INDEX({"Ocak","Şubat","Mart","Nisan","Mayıs","Haziran","Temmuz","Ağustos","Eylül","Ekim","Kasım","Aralık"},MONTH(B1369)))</f>
        <v/>
      </c>
      <c r="D1369" s="2"/>
      <c r="E1369" s="4" t="str">
        <f>IFERROR(INDEX('Araç Tanımlama'!$D$5:$D$200,MATCH(D1369,'Araç Tanımlama'!$A$5:$A$200,0)),"")</f>
        <v/>
      </c>
      <c r="F1369" s="4" t="str">
        <f>IFERROR(INDEX('Araç Tanımlama'!$E$5:$E$200,MATCH(D1369,'Araç Tanımlama'!$A$5:$A$200,0)),"")</f>
        <v/>
      </c>
      <c r="G1369" s="2"/>
      <c r="H1369" s="7"/>
      <c r="I1369" s="9" t="str">
        <f>IF(OR(G1369="",H1369=""),"",G1369*H1369)</f>
        <v/>
      </c>
      <c r="J1369" s="2"/>
      <c r="K1369" s="2"/>
    </row>
    <row r="1370" spans="1:11">
      <c r="A1370" s="4" t="str">
        <f>IF(D1370="","",COUNTIF($D$5:D1370,"?*"))</f>
        <v/>
      </c>
      <c r="B1370" s="5"/>
      <c r="C1370" s="4" t="str">
        <f>IF(B1370="","",INDEX({"Ocak","Şubat","Mart","Nisan","Mayıs","Haziran","Temmuz","Ağustos","Eylül","Ekim","Kasım","Aralık"},MONTH(B1370)))</f>
        <v/>
      </c>
      <c r="D1370" s="2"/>
      <c r="E1370" s="4" t="str">
        <f>IFERROR(INDEX('Araç Tanımlama'!$D$5:$D$200,MATCH(D1370,'Araç Tanımlama'!$A$5:$A$200,0)),"")</f>
        <v/>
      </c>
      <c r="F1370" s="4" t="str">
        <f>IFERROR(INDEX('Araç Tanımlama'!$E$5:$E$200,MATCH(D1370,'Araç Tanımlama'!$A$5:$A$200,0)),"")</f>
        <v/>
      </c>
      <c r="G1370" s="2"/>
      <c r="H1370" s="7"/>
      <c r="I1370" s="9" t="str">
        <f>IF(OR(G1370="",H1370=""),"",G1370*H1370)</f>
        <v/>
      </c>
      <c r="J1370" s="2"/>
      <c r="K1370" s="2"/>
    </row>
    <row r="1371" spans="1:11">
      <c r="A1371" s="4" t="str">
        <f>IF(D1371="","",COUNTIF($D$5:D1371,"?*"))</f>
        <v/>
      </c>
      <c r="B1371" s="5"/>
      <c r="C1371" s="4" t="str">
        <f>IF(B1371="","",INDEX({"Ocak","Şubat","Mart","Nisan","Mayıs","Haziran","Temmuz","Ağustos","Eylül","Ekim","Kasım","Aralık"},MONTH(B1371)))</f>
        <v/>
      </c>
      <c r="D1371" s="2"/>
      <c r="E1371" s="4" t="str">
        <f>IFERROR(INDEX('Araç Tanımlama'!$D$5:$D$200,MATCH(D1371,'Araç Tanımlama'!$A$5:$A$200,0)),"")</f>
        <v/>
      </c>
      <c r="F1371" s="4" t="str">
        <f>IFERROR(INDEX('Araç Tanımlama'!$E$5:$E$200,MATCH(D1371,'Araç Tanımlama'!$A$5:$A$200,0)),"")</f>
        <v/>
      </c>
      <c r="G1371" s="2"/>
      <c r="H1371" s="7"/>
      <c r="I1371" s="9" t="str">
        <f>IF(OR(G1371="",H1371=""),"",G1371*H1371)</f>
        <v/>
      </c>
      <c r="J1371" s="2"/>
      <c r="K1371" s="2"/>
    </row>
    <row r="1372" spans="1:11">
      <c r="A1372" s="4" t="str">
        <f>IF(D1372="","",COUNTIF($D$5:D1372,"?*"))</f>
        <v/>
      </c>
      <c r="B1372" s="5"/>
      <c r="C1372" s="4" t="str">
        <f>IF(B1372="","",INDEX({"Ocak","Şubat","Mart","Nisan","Mayıs","Haziran","Temmuz","Ağustos","Eylül","Ekim","Kasım","Aralık"},MONTH(B1372)))</f>
        <v/>
      </c>
      <c r="D1372" s="2"/>
      <c r="E1372" s="4" t="str">
        <f>IFERROR(INDEX('Araç Tanımlama'!$D$5:$D$200,MATCH(D1372,'Araç Tanımlama'!$A$5:$A$200,0)),"")</f>
        <v/>
      </c>
      <c r="F1372" s="4" t="str">
        <f>IFERROR(INDEX('Araç Tanımlama'!$E$5:$E$200,MATCH(D1372,'Araç Tanımlama'!$A$5:$A$200,0)),"")</f>
        <v/>
      </c>
      <c r="G1372" s="2"/>
      <c r="H1372" s="7"/>
      <c r="I1372" s="9" t="str">
        <f>IF(OR(G1372="",H1372=""),"",G1372*H1372)</f>
        <v/>
      </c>
      <c r="J1372" s="2"/>
      <c r="K1372" s="2"/>
    </row>
    <row r="1373" spans="1:11">
      <c r="A1373" s="4" t="str">
        <f>IF(D1373="","",COUNTIF($D$5:D1373,"?*"))</f>
        <v/>
      </c>
      <c r="B1373" s="5"/>
      <c r="C1373" s="4" t="str">
        <f>IF(B1373="","",INDEX({"Ocak","Şubat","Mart","Nisan","Mayıs","Haziran","Temmuz","Ağustos","Eylül","Ekim","Kasım","Aralık"},MONTH(B1373)))</f>
        <v/>
      </c>
      <c r="D1373" s="2"/>
      <c r="E1373" s="4" t="str">
        <f>IFERROR(INDEX('Araç Tanımlama'!$D$5:$D$200,MATCH(D1373,'Araç Tanımlama'!$A$5:$A$200,0)),"")</f>
        <v/>
      </c>
      <c r="F1373" s="4" t="str">
        <f>IFERROR(INDEX('Araç Tanımlama'!$E$5:$E$200,MATCH(D1373,'Araç Tanımlama'!$A$5:$A$200,0)),"")</f>
        <v/>
      </c>
      <c r="G1373" s="2"/>
      <c r="H1373" s="7"/>
      <c r="I1373" s="9" t="str">
        <f>IF(OR(G1373="",H1373=""),"",G1373*H1373)</f>
        <v/>
      </c>
      <c r="J1373" s="2"/>
      <c r="K1373" s="2"/>
    </row>
    <row r="1374" spans="1:11">
      <c r="A1374" s="4" t="str">
        <f>IF(D1374="","",COUNTIF($D$5:D1374,"?*"))</f>
        <v/>
      </c>
      <c r="B1374" s="5"/>
      <c r="C1374" s="4" t="str">
        <f>IF(B1374="","",INDEX({"Ocak","Şubat","Mart","Nisan","Mayıs","Haziran","Temmuz","Ağustos","Eylül","Ekim","Kasım","Aralık"},MONTH(B1374)))</f>
        <v/>
      </c>
      <c r="D1374" s="2"/>
      <c r="E1374" s="4" t="str">
        <f>IFERROR(INDEX('Araç Tanımlama'!$D$5:$D$200,MATCH(D1374,'Araç Tanımlama'!$A$5:$A$200,0)),"")</f>
        <v/>
      </c>
      <c r="F1374" s="4" t="str">
        <f>IFERROR(INDEX('Araç Tanımlama'!$E$5:$E$200,MATCH(D1374,'Araç Tanımlama'!$A$5:$A$200,0)),"")</f>
        <v/>
      </c>
      <c r="G1374" s="2"/>
      <c r="H1374" s="7"/>
      <c r="I1374" s="9" t="str">
        <f>IF(OR(G1374="",H1374=""),"",G1374*H1374)</f>
        <v/>
      </c>
      <c r="J1374" s="2"/>
      <c r="K1374" s="2"/>
    </row>
    <row r="1375" spans="1:11">
      <c r="A1375" s="4" t="str">
        <f>IF(D1375="","",COUNTIF($D$5:D1375,"?*"))</f>
        <v/>
      </c>
      <c r="B1375" s="5"/>
      <c r="C1375" s="4" t="str">
        <f>IF(B1375="","",INDEX({"Ocak","Şubat","Mart","Nisan","Mayıs","Haziran","Temmuz","Ağustos","Eylül","Ekim","Kasım","Aralık"},MONTH(B1375)))</f>
        <v/>
      </c>
      <c r="D1375" s="2"/>
      <c r="E1375" s="4" t="str">
        <f>IFERROR(INDEX('Araç Tanımlama'!$D$5:$D$200,MATCH(D1375,'Araç Tanımlama'!$A$5:$A$200,0)),"")</f>
        <v/>
      </c>
      <c r="F1375" s="4" t="str">
        <f>IFERROR(INDEX('Araç Tanımlama'!$E$5:$E$200,MATCH(D1375,'Araç Tanımlama'!$A$5:$A$200,0)),"")</f>
        <v/>
      </c>
      <c r="G1375" s="2"/>
      <c r="H1375" s="7"/>
      <c r="I1375" s="9" t="str">
        <f>IF(OR(G1375="",H1375=""),"",G1375*H1375)</f>
        <v/>
      </c>
      <c r="J1375" s="2"/>
      <c r="K1375" s="2"/>
    </row>
    <row r="1376" spans="1:11">
      <c r="A1376" s="4" t="str">
        <f>IF(D1376="","",COUNTIF($D$5:D1376,"?*"))</f>
        <v/>
      </c>
      <c r="B1376" s="5"/>
      <c r="C1376" s="4" t="str">
        <f>IF(B1376="","",INDEX({"Ocak","Şubat","Mart","Nisan","Mayıs","Haziran","Temmuz","Ağustos","Eylül","Ekim","Kasım","Aralık"},MONTH(B1376)))</f>
        <v/>
      </c>
      <c r="D1376" s="2"/>
      <c r="E1376" s="4" t="str">
        <f>IFERROR(INDEX('Araç Tanımlama'!$D$5:$D$200,MATCH(D1376,'Araç Tanımlama'!$A$5:$A$200,0)),"")</f>
        <v/>
      </c>
      <c r="F1376" s="4" t="str">
        <f>IFERROR(INDEX('Araç Tanımlama'!$E$5:$E$200,MATCH(D1376,'Araç Tanımlama'!$A$5:$A$200,0)),"")</f>
        <v/>
      </c>
      <c r="G1376" s="2"/>
      <c r="H1376" s="7"/>
      <c r="I1376" s="9" t="str">
        <f>IF(OR(G1376="",H1376=""),"",G1376*H1376)</f>
        <v/>
      </c>
      <c r="J1376" s="2"/>
      <c r="K1376" s="2"/>
    </row>
    <row r="1377" spans="1:11">
      <c r="A1377" s="4" t="str">
        <f>IF(D1377="","",COUNTIF($D$5:D1377,"?*"))</f>
        <v/>
      </c>
      <c r="B1377" s="5"/>
      <c r="C1377" s="4" t="str">
        <f>IF(B1377="","",INDEX({"Ocak","Şubat","Mart","Nisan","Mayıs","Haziran","Temmuz","Ağustos","Eylül","Ekim","Kasım","Aralık"},MONTH(B1377)))</f>
        <v/>
      </c>
      <c r="D1377" s="2"/>
      <c r="E1377" s="4" t="str">
        <f>IFERROR(INDEX('Araç Tanımlama'!$D$5:$D$200,MATCH(D1377,'Araç Tanımlama'!$A$5:$A$200,0)),"")</f>
        <v/>
      </c>
      <c r="F1377" s="4" t="str">
        <f>IFERROR(INDEX('Araç Tanımlama'!$E$5:$E$200,MATCH(D1377,'Araç Tanımlama'!$A$5:$A$200,0)),"")</f>
        <v/>
      </c>
      <c r="G1377" s="2"/>
      <c r="H1377" s="7"/>
      <c r="I1377" s="9" t="str">
        <f>IF(OR(G1377="",H1377=""),"",G1377*H1377)</f>
        <v/>
      </c>
      <c r="J1377" s="2"/>
      <c r="K1377" s="2"/>
    </row>
    <row r="1378" spans="1:11">
      <c r="A1378" s="4" t="str">
        <f>IF(D1378="","",COUNTIF($D$5:D1378,"?*"))</f>
        <v/>
      </c>
      <c r="B1378" s="5"/>
      <c r="C1378" s="4" t="str">
        <f>IF(B1378="","",INDEX({"Ocak","Şubat","Mart","Nisan","Mayıs","Haziran","Temmuz","Ağustos","Eylül","Ekim","Kasım","Aralık"},MONTH(B1378)))</f>
        <v/>
      </c>
      <c r="D1378" s="2"/>
      <c r="E1378" s="4" t="str">
        <f>IFERROR(INDEX('Araç Tanımlama'!$D$5:$D$200,MATCH(D1378,'Araç Tanımlama'!$A$5:$A$200,0)),"")</f>
        <v/>
      </c>
      <c r="F1378" s="4" t="str">
        <f>IFERROR(INDEX('Araç Tanımlama'!$E$5:$E$200,MATCH(D1378,'Araç Tanımlama'!$A$5:$A$200,0)),"")</f>
        <v/>
      </c>
      <c r="G1378" s="2"/>
      <c r="H1378" s="7"/>
      <c r="I1378" s="9" t="str">
        <f>IF(OR(G1378="",H1378=""),"",G1378*H1378)</f>
        <v/>
      </c>
      <c r="J1378" s="2"/>
      <c r="K1378" s="2"/>
    </row>
    <row r="1379" spans="1:11">
      <c r="A1379" s="4" t="str">
        <f>IF(D1379="","",COUNTIF($D$5:D1379,"?*"))</f>
        <v/>
      </c>
      <c r="B1379" s="5"/>
      <c r="C1379" s="4" t="str">
        <f>IF(B1379="","",INDEX({"Ocak","Şubat","Mart","Nisan","Mayıs","Haziran","Temmuz","Ağustos","Eylül","Ekim","Kasım","Aralık"},MONTH(B1379)))</f>
        <v/>
      </c>
      <c r="D1379" s="2"/>
      <c r="E1379" s="4" t="str">
        <f>IFERROR(INDEX('Araç Tanımlama'!$D$5:$D$200,MATCH(D1379,'Araç Tanımlama'!$A$5:$A$200,0)),"")</f>
        <v/>
      </c>
      <c r="F1379" s="4" t="str">
        <f>IFERROR(INDEX('Araç Tanımlama'!$E$5:$E$200,MATCH(D1379,'Araç Tanımlama'!$A$5:$A$200,0)),"")</f>
        <v/>
      </c>
      <c r="G1379" s="2"/>
      <c r="H1379" s="7"/>
      <c r="I1379" s="9" t="str">
        <f>IF(OR(G1379="",H1379=""),"",G1379*H1379)</f>
        <v/>
      </c>
      <c r="J1379" s="2"/>
      <c r="K1379" s="2"/>
    </row>
    <row r="1380" spans="1:11">
      <c r="A1380" s="4" t="str">
        <f>IF(D1380="","",COUNTIF($D$5:D1380,"?*"))</f>
        <v/>
      </c>
      <c r="B1380" s="5"/>
      <c r="C1380" s="4" t="str">
        <f>IF(B1380="","",INDEX({"Ocak","Şubat","Mart","Nisan","Mayıs","Haziran","Temmuz","Ağustos","Eylül","Ekim","Kasım","Aralık"},MONTH(B1380)))</f>
        <v/>
      </c>
      <c r="D1380" s="2"/>
      <c r="E1380" s="4" t="str">
        <f>IFERROR(INDEX('Araç Tanımlama'!$D$5:$D$200,MATCH(D1380,'Araç Tanımlama'!$A$5:$A$200,0)),"")</f>
        <v/>
      </c>
      <c r="F1380" s="4" t="str">
        <f>IFERROR(INDEX('Araç Tanımlama'!$E$5:$E$200,MATCH(D1380,'Araç Tanımlama'!$A$5:$A$200,0)),"")</f>
        <v/>
      </c>
      <c r="G1380" s="2"/>
      <c r="H1380" s="7"/>
      <c r="I1380" s="9" t="str">
        <f>IF(OR(G1380="",H1380=""),"",G1380*H1380)</f>
        <v/>
      </c>
      <c r="J1380" s="2"/>
      <c r="K1380" s="2"/>
    </row>
    <row r="1381" spans="1:11">
      <c r="A1381" s="4" t="str">
        <f>IF(D1381="","",COUNTIF($D$5:D1381,"?*"))</f>
        <v/>
      </c>
      <c r="B1381" s="5"/>
      <c r="C1381" s="4" t="str">
        <f>IF(B1381="","",INDEX({"Ocak","Şubat","Mart","Nisan","Mayıs","Haziran","Temmuz","Ağustos","Eylül","Ekim","Kasım","Aralık"},MONTH(B1381)))</f>
        <v/>
      </c>
      <c r="D1381" s="2"/>
      <c r="E1381" s="4" t="str">
        <f>IFERROR(INDEX('Araç Tanımlama'!$D$5:$D$200,MATCH(D1381,'Araç Tanımlama'!$A$5:$A$200,0)),"")</f>
        <v/>
      </c>
      <c r="F1381" s="4" t="str">
        <f>IFERROR(INDEX('Araç Tanımlama'!$E$5:$E$200,MATCH(D1381,'Araç Tanımlama'!$A$5:$A$200,0)),"")</f>
        <v/>
      </c>
      <c r="G1381" s="2"/>
      <c r="H1381" s="7"/>
      <c r="I1381" s="9" t="str">
        <f>IF(OR(G1381="",H1381=""),"",G1381*H1381)</f>
        <v/>
      </c>
      <c r="J1381" s="2"/>
      <c r="K1381" s="2"/>
    </row>
    <row r="1382" spans="1:11">
      <c r="A1382" s="4" t="str">
        <f>IF(D1382="","",COUNTIF($D$5:D1382,"?*"))</f>
        <v/>
      </c>
      <c r="B1382" s="5"/>
      <c r="C1382" s="4" t="str">
        <f>IF(B1382="","",INDEX({"Ocak","Şubat","Mart","Nisan","Mayıs","Haziran","Temmuz","Ağustos","Eylül","Ekim","Kasım","Aralık"},MONTH(B1382)))</f>
        <v/>
      </c>
      <c r="D1382" s="2"/>
      <c r="E1382" s="4" t="str">
        <f>IFERROR(INDEX('Araç Tanımlama'!$D$5:$D$200,MATCH(D1382,'Araç Tanımlama'!$A$5:$A$200,0)),"")</f>
        <v/>
      </c>
      <c r="F1382" s="4" t="str">
        <f>IFERROR(INDEX('Araç Tanımlama'!$E$5:$E$200,MATCH(D1382,'Araç Tanımlama'!$A$5:$A$200,0)),"")</f>
        <v/>
      </c>
      <c r="G1382" s="2"/>
      <c r="H1382" s="7"/>
      <c r="I1382" s="9" t="str">
        <f>IF(OR(G1382="",H1382=""),"",G1382*H1382)</f>
        <v/>
      </c>
      <c r="J1382" s="2"/>
      <c r="K1382" s="2"/>
    </row>
    <row r="1383" spans="1:11">
      <c r="A1383" s="4" t="str">
        <f>IF(D1383="","",COUNTIF($D$5:D1383,"?*"))</f>
        <v/>
      </c>
      <c r="B1383" s="5"/>
      <c r="C1383" s="4" t="str">
        <f>IF(B1383="","",INDEX({"Ocak","Şubat","Mart","Nisan","Mayıs","Haziran","Temmuz","Ağustos","Eylül","Ekim","Kasım","Aralık"},MONTH(B1383)))</f>
        <v/>
      </c>
      <c r="D1383" s="2"/>
      <c r="E1383" s="4" t="str">
        <f>IFERROR(INDEX('Araç Tanımlama'!$D$5:$D$200,MATCH(D1383,'Araç Tanımlama'!$A$5:$A$200,0)),"")</f>
        <v/>
      </c>
      <c r="F1383" s="4" t="str">
        <f>IFERROR(INDEX('Araç Tanımlama'!$E$5:$E$200,MATCH(D1383,'Araç Tanımlama'!$A$5:$A$200,0)),"")</f>
        <v/>
      </c>
      <c r="G1383" s="2"/>
      <c r="H1383" s="7"/>
      <c r="I1383" s="9" t="str">
        <f>IF(OR(G1383="",H1383=""),"",G1383*H1383)</f>
        <v/>
      </c>
      <c r="J1383" s="2"/>
      <c r="K1383" s="2"/>
    </row>
    <row r="1384" spans="1:11">
      <c r="A1384" s="4" t="str">
        <f>IF(D1384="","",COUNTIF($D$5:D1384,"?*"))</f>
        <v/>
      </c>
      <c r="B1384" s="5"/>
      <c r="C1384" s="4" t="str">
        <f>IF(B1384="","",INDEX({"Ocak","Şubat","Mart","Nisan","Mayıs","Haziran","Temmuz","Ağustos","Eylül","Ekim","Kasım","Aralık"},MONTH(B1384)))</f>
        <v/>
      </c>
      <c r="D1384" s="2"/>
      <c r="E1384" s="4" t="str">
        <f>IFERROR(INDEX('Araç Tanımlama'!$D$5:$D$200,MATCH(D1384,'Araç Tanımlama'!$A$5:$A$200,0)),"")</f>
        <v/>
      </c>
      <c r="F1384" s="4" t="str">
        <f>IFERROR(INDEX('Araç Tanımlama'!$E$5:$E$200,MATCH(D1384,'Araç Tanımlama'!$A$5:$A$200,0)),"")</f>
        <v/>
      </c>
      <c r="G1384" s="2"/>
      <c r="H1384" s="7"/>
      <c r="I1384" s="9" t="str">
        <f>IF(OR(G1384="",H1384=""),"",G1384*H1384)</f>
        <v/>
      </c>
      <c r="J1384" s="2"/>
      <c r="K1384" s="2"/>
    </row>
    <row r="1385" spans="1:11">
      <c r="A1385" s="4" t="str">
        <f>IF(D1385="","",COUNTIF($D$5:D1385,"?*"))</f>
        <v/>
      </c>
      <c r="B1385" s="5"/>
      <c r="C1385" s="4" t="str">
        <f>IF(B1385="","",INDEX({"Ocak","Şubat","Mart","Nisan","Mayıs","Haziran","Temmuz","Ağustos","Eylül","Ekim","Kasım","Aralık"},MONTH(B1385)))</f>
        <v/>
      </c>
      <c r="D1385" s="2"/>
      <c r="E1385" s="4" t="str">
        <f>IFERROR(INDEX('Araç Tanımlama'!$D$5:$D$200,MATCH(D1385,'Araç Tanımlama'!$A$5:$A$200,0)),"")</f>
        <v/>
      </c>
      <c r="F1385" s="4" t="str">
        <f>IFERROR(INDEX('Araç Tanımlama'!$E$5:$E$200,MATCH(D1385,'Araç Tanımlama'!$A$5:$A$200,0)),"")</f>
        <v/>
      </c>
      <c r="G1385" s="2"/>
      <c r="H1385" s="7"/>
      <c r="I1385" s="9" t="str">
        <f>IF(OR(G1385="",H1385=""),"",G1385*H1385)</f>
        <v/>
      </c>
      <c r="J1385" s="2"/>
      <c r="K1385" s="2"/>
    </row>
    <row r="1386" spans="1:11">
      <c r="A1386" s="4" t="str">
        <f>IF(D1386="","",COUNTIF($D$5:D1386,"?*"))</f>
        <v/>
      </c>
      <c r="B1386" s="5"/>
      <c r="C1386" s="4" t="str">
        <f>IF(B1386="","",INDEX({"Ocak","Şubat","Mart","Nisan","Mayıs","Haziran","Temmuz","Ağustos","Eylül","Ekim","Kasım","Aralık"},MONTH(B1386)))</f>
        <v/>
      </c>
      <c r="D1386" s="2"/>
      <c r="E1386" s="4" t="str">
        <f>IFERROR(INDEX('Araç Tanımlama'!$D$5:$D$200,MATCH(D1386,'Araç Tanımlama'!$A$5:$A$200,0)),"")</f>
        <v/>
      </c>
      <c r="F1386" s="4" t="str">
        <f>IFERROR(INDEX('Araç Tanımlama'!$E$5:$E$200,MATCH(D1386,'Araç Tanımlama'!$A$5:$A$200,0)),"")</f>
        <v/>
      </c>
      <c r="G1386" s="2"/>
      <c r="H1386" s="7"/>
      <c r="I1386" s="9" t="str">
        <f>IF(OR(G1386="",H1386=""),"",G1386*H1386)</f>
        <v/>
      </c>
      <c r="J1386" s="2"/>
      <c r="K1386" s="2"/>
    </row>
    <row r="1387" spans="1:11">
      <c r="A1387" s="4" t="str">
        <f>IF(D1387="","",COUNTIF($D$5:D1387,"?*"))</f>
        <v/>
      </c>
      <c r="B1387" s="5"/>
      <c r="C1387" s="4" t="str">
        <f>IF(B1387="","",INDEX({"Ocak","Şubat","Mart","Nisan","Mayıs","Haziran","Temmuz","Ağustos","Eylül","Ekim","Kasım","Aralık"},MONTH(B1387)))</f>
        <v/>
      </c>
      <c r="D1387" s="2"/>
      <c r="E1387" s="4" t="str">
        <f>IFERROR(INDEX('Araç Tanımlama'!$D$5:$D$200,MATCH(D1387,'Araç Tanımlama'!$A$5:$A$200,0)),"")</f>
        <v/>
      </c>
      <c r="F1387" s="4" t="str">
        <f>IFERROR(INDEX('Araç Tanımlama'!$E$5:$E$200,MATCH(D1387,'Araç Tanımlama'!$A$5:$A$200,0)),"")</f>
        <v/>
      </c>
      <c r="G1387" s="2"/>
      <c r="H1387" s="7"/>
      <c r="I1387" s="9" t="str">
        <f>IF(OR(G1387="",H1387=""),"",G1387*H1387)</f>
        <v/>
      </c>
      <c r="J1387" s="2"/>
      <c r="K1387" s="2"/>
    </row>
    <row r="1388" spans="1:11">
      <c r="A1388" s="4" t="str">
        <f>IF(D1388="","",COUNTIF($D$5:D1388,"?*"))</f>
        <v/>
      </c>
      <c r="B1388" s="5"/>
      <c r="C1388" s="4" t="str">
        <f>IF(B1388="","",INDEX({"Ocak","Şubat","Mart","Nisan","Mayıs","Haziran","Temmuz","Ağustos","Eylül","Ekim","Kasım","Aralık"},MONTH(B1388)))</f>
        <v/>
      </c>
      <c r="D1388" s="2"/>
      <c r="E1388" s="4" t="str">
        <f>IFERROR(INDEX('Araç Tanımlama'!$D$5:$D$200,MATCH(D1388,'Araç Tanımlama'!$A$5:$A$200,0)),"")</f>
        <v/>
      </c>
      <c r="F1388" s="4" t="str">
        <f>IFERROR(INDEX('Araç Tanımlama'!$E$5:$E$200,MATCH(D1388,'Araç Tanımlama'!$A$5:$A$200,0)),"")</f>
        <v/>
      </c>
      <c r="G1388" s="2"/>
      <c r="H1388" s="7"/>
      <c r="I1388" s="9" t="str">
        <f>IF(OR(G1388="",H1388=""),"",G1388*H1388)</f>
        <v/>
      </c>
      <c r="J1388" s="2"/>
      <c r="K1388" s="2"/>
    </row>
    <row r="1389" spans="1:11">
      <c r="A1389" s="4" t="str">
        <f>IF(D1389="","",COUNTIF($D$5:D1389,"?*"))</f>
        <v/>
      </c>
      <c r="B1389" s="5"/>
      <c r="C1389" s="4" t="str">
        <f>IF(B1389="","",INDEX({"Ocak","Şubat","Mart","Nisan","Mayıs","Haziran","Temmuz","Ağustos","Eylül","Ekim","Kasım","Aralık"},MONTH(B1389)))</f>
        <v/>
      </c>
      <c r="D1389" s="2"/>
      <c r="E1389" s="4" t="str">
        <f>IFERROR(INDEX('Araç Tanımlama'!$D$5:$D$200,MATCH(D1389,'Araç Tanımlama'!$A$5:$A$200,0)),"")</f>
        <v/>
      </c>
      <c r="F1389" s="4" t="str">
        <f>IFERROR(INDEX('Araç Tanımlama'!$E$5:$E$200,MATCH(D1389,'Araç Tanımlama'!$A$5:$A$200,0)),"")</f>
        <v/>
      </c>
      <c r="G1389" s="2"/>
      <c r="H1389" s="7"/>
      <c r="I1389" s="9" t="str">
        <f>IF(OR(G1389="",H1389=""),"",G1389*H1389)</f>
        <v/>
      </c>
      <c r="J1389" s="2"/>
      <c r="K1389" s="2"/>
    </row>
    <row r="1390" spans="1:11">
      <c r="A1390" s="4" t="str">
        <f>IF(D1390="","",COUNTIF($D$5:D1390,"?*"))</f>
        <v/>
      </c>
      <c r="B1390" s="5"/>
      <c r="C1390" s="4" t="str">
        <f>IF(B1390="","",INDEX({"Ocak","Şubat","Mart","Nisan","Mayıs","Haziran","Temmuz","Ağustos","Eylül","Ekim","Kasım","Aralık"},MONTH(B1390)))</f>
        <v/>
      </c>
      <c r="D1390" s="2"/>
      <c r="E1390" s="4" t="str">
        <f>IFERROR(INDEX('Araç Tanımlama'!$D$5:$D$200,MATCH(D1390,'Araç Tanımlama'!$A$5:$A$200,0)),"")</f>
        <v/>
      </c>
      <c r="F1390" s="4" t="str">
        <f>IFERROR(INDEX('Araç Tanımlama'!$E$5:$E$200,MATCH(D1390,'Araç Tanımlama'!$A$5:$A$200,0)),"")</f>
        <v/>
      </c>
      <c r="G1390" s="2"/>
      <c r="H1390" s="7"/>
      <c r="I1390" s="9" t="str">
        <f>IF(OR(G1390="",H1390=""),"",G1390*H1390)</f>
        <v/>
      </c>
      <c r="J1390" s="2"/>
      <c r="K1390" s="2"/>
    </row>
    <row r="1391" spans="1:11">
      <c r="A1391" s="4" t="str">
        <f>IF(D1391="","",COUNTIF($D$5:D1391,"?*"))</f>
        <v/>
      </c>
      <c r="B1391" s="5"/>
      <c r="C1391" s="4" t="str">
        <f>IF(B1391="","",INDEX({"Ocak","Şubat","Mart","Nisan","Mayıs","Haziran","Temmuz","Ağustos","Eylül","Ekim","Kasım","Aralık"},MONTH(B1391)))</f>
        <v/>
      </c>
      <c r="D1391" s="2"/>
      <c r="E1391" s="4" t="str">
        <f>IFERROR(INDEX('Araç Tanımlama'!$D$5:$D$200,MATCH(D1391,'Araç Tanımlama'!$A$5:$A$200,0)),"")</f>
        <v/>
      </c>
      <c r="F1391" s="4" t="str">
        <f>IFERROR(INDEX('Araç Tanımlama'!$E$5:$E$200,MATCH(D1391,'Araç Tanımlama'!$A$5:$A$200,0)),"")</f>
        <v/>
      </c>
      <c r="G1391" s="2"/>
      <c r="H1391" s="7"/>
      <c r="I1391" s="9" t="str">
        <f>IF(OR(G1391="",H1391=""),"",G1391*H1391)</f>
        <v/>
      </c>
      <c r="J1391" s="2"/>
      <c r="K1391" s="2"/>
    </row>
    <row r="1392" spans="1:11">
      <c r="A1392" s="4" t="str">
        <f>IF(D1392="","",COUNTIF($D$5:D1392,"?*"))</f>
        <v/>
      </c>
      <c r="B1392" s="5"/>
      <c r="C1392" s="4" t="str">
        <f>IF(B1392="","",INDEX({"Ocak","Şubat","Mart","Nisan","Mayıs","Haziran","Temmuz","Ağustos","Eylül","Ekim","Kasım","Aralık"},MONTH(B1392)))</f>
        <v/>
      </c>
      <c r="D1392" s="2"/>
      <c r="E1392" s="4" t="str">
        <f>IFERROR(INDEX('Araç Tanımlama'!$D$5:$D$200,MATCH(D1392,'Araç Tanımlama'!$A$5:$A$200,0)),"")</f>
        <v/>
      </c>
      <c r="F1392" s="4" t="str">
        <f>IFERROR(INDEX('Araç Tanımlama'!$E$5:$E$200,MATCH(D1392,'Araç Tanımlama'!$A$5:$A$200,0)),"")</f>
        <v/>
      </c>
      <c r="G1392" s="2"/>
      <c r="H1392" s="7"/>
      <c r="I1392" s="9" t="str">
        <f>IF(OR(G1392="",H1392=""),"",G1392*H1392)</f>
        <v/>
      </c>
      <c r="J1392" s="2"/>
      <c r="K1392" s="2"/>
    </row>
    <row r="1393" spans="1:11">
      <c r="A1393" s="4" t="str">
        <f>IF(D1393="","",COUNTIF($D$5:D1393,"?*"))</f>
        <v/>
      </c>
      <c r="B1393" s="5"/>
      <c r="C1393" s="4" t="str">
        <f>IF(B1393="","",INDEX({"Ocak","Şubat","Mart","Nisan","Mayıs","Haziran","Temmuz","Ağustos","Eylül","Ekim","Kasım","Aralık"},MONTH(B1393)))</f>
        <v/>
      </c>
      <c r="D1393" s="2"/>
      <c r="E1393" s="4" t="str">
        <f>IFERROR(INDEX('Araç Tanımlama'!$D$5:$D$200,MATCH(D1393,'Araç Tanımlama'!$A$5:$A$200,0)),"")</f>
        <v/>
      </c>
      <c r="F1393" s="4" t="str">
        <f>IFERROR(INDEX('Araç Tanımlama'!$E$5:$E$200,MATCH(D1393,'Araç Tanımlama'!$A$5:$A$200,0)),"")</f>
        <v/>
      </c>
      <c r="G1393" s="2"/>
      <c r="H1393" s="7"/>
      <c r="I1393" s="9" t="str">
        <f>IF(OR(G1393="",H1393=""),"",G1393*H1393)</f>
        <v/>
      </c>
      <c r="J1393" s="2"/>
      <c r="K1393" s="2"/>
    </row>
    <row r="1394" spans="1:11">
      <c r="A1394" s="4" t="str">
        <f>IF(D1394="","",COUNTIF($D$5:D1394,"?*"))</f>
        <v/>
      </c>
      <c r="B1394" s="5"/>
      <c r="C1394" s="4" t="str">
        <f>IF(B1394="","",INDEX({"Ocak","Şubat","Mart","Nisan","Mayıs","Haziran","Temmuz","Ağustos","Eylül","Ekim","Kasım","Aralık"},MONTH(B1394)))</f>
        <v/>
      </c>
      <c r="D1394" s="2"/>
      <c r="E1394" s="4" t="str">
        <f>IFERROR(INDEX('Araç Tanımlama'!$D$5:$D$200,MATCH(D1394,'Araç Tanımlama'!$A$5:$A$200,0)),"")</f>
        <v/>
      </c>
      <c r="F1394" s="4" t="str">
        <f>IFERROR(INDEX('Araç Tanımlama'!$E$5:$E$200,MATCH(D1394,'Araç Tanımlama'!$A$5:$A$200,0)),"")</f>
        <v/>
      </c>
      <c r="G1394" s="2"/>
      <c r="H1394" s="7"/>
      <c r="I1394" s="9" t="str">
        <f>IF(OR(G1394="",H1394=""),"",G1394*H1394)</f>
        <v/>
      </c>
      <c r="J1394" s="2"/>
      <c r="K1394" s="2"/>
    </row>
    <row r="1395" spans="1:11">
      <c r="A1395" s="4" t="str">
        <f>IF(D1395="","",COUNTIF($D$5:D1395,"?*"))</f>
        <v/>
      </c>
      <c r="B1395" s="5"/>
      <c r="C1395" s="4" t="str">
        <f>IF(B1395="","",INDEX({"Ocak","Şubat","Mart","Nisan","Mayıs","Haziran","Temmuz","Ağustos","Eylül","Ekim","Kasım","Aralık"},MONTH(B1395)))</f>
        <v/>
      </c>
      <c r="D1395" s="2"/>
      <c r="E1395" s="4" t="str">
        <f>IFERROR(INDEX('Araç Tanımlama'!$D$5:$D$200,MATCH(D1395,'Araç Tanımlama'!$A$5:$A$200,0)),"")</f>
        <v/>
      </c>
      <c r="F1395" s="4" t="str">
        <f>IFERROR(INDEX('Araç Tanımlama'!$E$5:$E$200,MATCH(D1395,'Araç Tanımlama'!$A$5:$A$200,0)),"")</f>
        <v/>
      </c>
      <c r="G1395" s="2"/>
      <c r="H1395" s="7"/>
      <c r="I1395" s="9" t="str">
        <f>IF(OR(G1395="",H1395=""),"",G1395*H1395)</f>
        <v/>
      </c>
      <c r="J1395" s="2"/>
      <c r="K1395" s="2"/>
    </row>
    <row r="1396" spans="1:11">
      <c r="A1396" s="4" t="str">
        <f>IF(D1396="","",COUNTIF($D$5:D1396,"?*"))</f>
        <v/>
      </c>
      <c r="B1396" s="5"/>
      <c r="C1396" s="4" t="str">
        <f>IF(B1396="","",INDEX({"Ocak","Şubat","Mart","Nisan","Mayıs","Haziran","Temmuz","Ağustos","Eylül","Ekim","Kasım","Aralık"},MONTH(B1396)))</f>
        <v/>
      </c>
      <c r="D1396" s="2"/>
      <c r="E1396" s="4" t="str">
        <f>IFERROR(INDEX('Araç Tanımlama'!$D$5:$D$200,MATCH(D1396,'Araç Tanımlama'!$A$5:$A$200,0)),"")</f>
        <v/>
      </c>
      <c r="F1396" s="4" t="str">
        <f>IFERROR(INDEX('Araç Tanımlama'!$E$5:$E$200,MATCH(D1396,'Araç Tanımlama'!$A$5:$A$200,0)),"")</f>
        <v/>
      </c>
      <c r="G1396" s="2"/>
      <c r="H1396" s="7"/>
      <c r="I1396" s="9" t="str">
        <f>IF(OR(G1396="",H1396=""),"",G1396*H1396)</f>
        <v/>
      </c>
      <c r="J1396" s="2"/>
      <c r="K1396" s="2"/>
    </row>
    <row r="1397" spans="1:11">
      <c r="A1397" s="4" t="str">
        <f>IF(D1397="","",COUNTIF($D$5:D1397,"?*"))</f>
        <v/>
      </c>
      <c r="B1397" s="5"/>
      <c r="C1397" s="4" t="str">
        <f>IF(B1397="","",INDEX({"Ocak","Şubat","Mart","Nisan","Mayıs","Haziran","Temmuz","Ağustos","Eylül","Ekim","Kasım","Aralık"},MONTH(B1397)))</f>
        <v/>
      </c>
      <c r="D1397" s="2"/>
      <c r="E1397" s="4" t="str">
        <f>IFERROR(INDEX('Araç Tanımlama'!$D$5:$D$200,MATCH(D1397,'Araç Tanımlama'!$A$5:$A$200,0)),"")</f>
        <v/>
      </c>
      <c r="F1397" s="4" t="str">
        <f>IFERROR(INDEX('Araç Tanımlama'!$E$5:$E$200,MATCH(D1397,'Araç Tanımlama'!$A$5:$A$200,0)),"")</f>
        <v/>
      </c>
      <c r="G1397" s="2"/>
      <c r="H1397" s="7"/>
      <c r="I1397" s="9" t="str">
        <f>IF(OR(G1397="",H1397=""),"",G1397*H1397)</f>
        <v/>
      </c>
      <c r="J1397" s="2"/>
      <c r="K1397" s="2"/>
    </row>
    <row r="1398" spans="1:11">
      <c r="A1398" s="4" t="str">
        <f>IF(D1398="","",COUNTIF($D$5:D1398,"?*"))</f>
        <v/>
      </c>
      <c r="B1398" s="5"/>
      <c r="C1398" s="4" t="str">
        <f>IF(B1398="","",INDEX({"Ocak","Şubat","Mart","Nisan","Mayıs","Haziran","Temmuz","Ağustos","Eylül","Ekim","Kasım","Aralık"},MONTH(B1398)))</f>
        <v/>
      </c>
      <c r="D1398" s="2"/>
      <c r="E1398" s="4" t="str">
        <f>IFERROR(INDEX('Araç Tanımlama'!$D$5:$D$200,MATCH(D1398,'Araç Tanımlama'!$A$5:$A$200,0)),"")</f>
        <v/>
      </c>
      <c r="F1398" s="4" t="str">
        <f>IFERROR(INDEX('Araç Tanımlama'!$E$5:$E$200,MATCH(D1398,'Araç Tanımlama'!$A$5:$A$200,0)),"")</f>
        <v/>
      </c>
      <c r="G1398" s="2"/>
      <c r="H1398" s="7"/>
      <c r="I1398" s="9" t="str">
        <f>IF(OR(G1398="",H1398=""),"",G1398*H1398)</f>
        <v/>
      </c>
      <c r="J1398" s="2"/>
      <c r="K1398" s="2"/>
    </row>
    <row r="1399" spans="1:11">
      <c r="A1399" s="4" t="str">
        <f>IF(D1399="","",COUNTIF($D$5:D1399,"?*"))</f>
        <v/>
      </c>
      <c r="B1399" s="5"/>
      <c r="C1399" s="4" t="str">
        <f>IF(B1399="","",INDEX({"Ocak","Şubat","Mart","Nisan","Mayıs","Haziran","Temmuz","Ağustos","Eylül","Ekim","Kasım","Aralık"},MONTH(B1399)))</f>
        <v/>
      </c>
      <c r="D1399" s="2"/>
      <c r="E1399" s="4" t="str">
        <f>IFERROR(INDEX('Araç Tanımlama'!$D$5:$D$200,MATCH(D1399,'Araç Tanımlama'!$A$5:$A$200,0)),"")</f>
        <v/>
      </c>
      <c r="F1399" s="4" t="str">
        <f>IFERROR(INDEX('Araç Tanımlama'!$E$5:$E$200,MATCH(D1399,'Araç Tanımlama'!$A$5:$A$200,0)),"")</f>
        <v/>
      </c>
      <c r="G1399" s="2"/>
      <c r="H1399" s="7"/>
      <c r="I1399" s="9" t="str">
        <f>IF(OR(G1399="",H1399=""),"",G1399*H1399)</f>
        <v/>
      </c>
      <c r="J1399" s="2"/>
      <c r="K1399" s="2"/>
    </row>
    <row r="1400" spans="1:11">
      <c r="A1400" s="4" t="str">
        <f>IF(D1400="","",COUNTIF($D$5:D1400,"?*"))</f>
        <v/>
      </c>
      <c r="B1400" s="5"/>
      <c r="C1400" s="4" t="str">
        <f>IF(B1400="","",INDEX({"Ocak","Şubat","Mart","Nisan","Mayıs","Haziran","Temmuz","Ağustos","Eylül","Ekim","Kasım","Aralık"},MONTH(B1400)))</f>
        <v/>
      </c>
      <c r="D1400" s="2"/>
      <c r="E1400" s="4" t="str">
        <f>IFERROR(INDEX('Araç Tanımlama'!$D$5:$D$200,MATCH(D1400,'Araç Tanımlama'!$A$5:$A$200,0)),"")</f>
        <v/>
      </c>
      <c r="F1400" s="4" t="str">
        <f>IFERROR(INDEX('Araç Tanımlama'!$E$5:$E$200,MATCH(D1400,'Araç Tanımlama'!$A$5:$A$200,0)),"")</f>
        <v/>
      </c>
      <c r="G1400" s="2"/>
      <c r="H1400" s="7"/>
      <c r="I1400" s="9" t="str">
        <f>IF(OR(G1400="",H1400=""),"",G1400*H1400)</f>
        <v/>
      </c>
      <c r="J1400" s="2"/>
      <c r="K1400" s="2"/>
    </row>
    <row r="1401" spans="1:11">
      <c r="A1401" s="4" t="str">
        <f>IF(D1401="","",COUNTIF($D$5:D1401,"?*"))</f>
        <v/>
      </c>
      <c r="B1401" s="5"/>
      <c r="C1401" s="4" t="str">
        <f>IF(B1401="","",INDEX({"Ocak","Şubat","Mart","Nisan","Mayıs","Haziran","Temmuz","Ağustos","Eylül","Ekim","Kasım","Aralık"},MONTH(B1401)))</f>
        <v/>
      </c>
      <c r="D1401" s="2"/>
      <c r="E1401" s="4" t="str">
        <f>IFERROR(INDEX('Araç Tanımlama'!$D$5:$D$200,MATCH(D1401,'Araç Tanımlama'!$A$5:$A$200,0)),"")</f>
        <v/>
      </c>
      <c r="F1401" s="4" t="str">
        <f>IFERROR(INDEX('Araç Tanımlama'!$E$5:$E$200,MATCH(D1401,'Araç Tanımlama'!$A$5:$A$200,0)),"")</f>
        <v/>
      </c>
      <c r="G1401" s="2"/>
      <c r="H1401" s="7"/>
      <c r="I1401" s="9" t="str">
        <f>IF(OR(G1401="",H1401=""),"",G1401*H1401)</f>
        <v/>
      </c>
      <c r="J1401" s="2"/>
      <c r="K1401" s="2"/>
    </row>
    <row r="1402" spans="1:11">
      <c r="A1402" s="4" t="str">
        <f>IF(D1402="","",COUNTIF($D$5:D1402,"?*"))</f>
        <v/>
      </c>
      <c r="B1402" s="5"/>
      <c r="C1402" s="4" t="str">
        <f>IF(B1402="","",INDEX({"Ocak","Şubat","Mart","Nisan","Mayıs","Haziran","Temmuz","Ağustos","Eylül","Ekim","Kasım","Aralık"},MONTH(B1402)))</f>
        <v/>
      </c>
      <c r="D1402" s="2"/>
      <c r="E1402" s="4" t="str">
        <f>IFERROR(INDEX('Araç Tanımlama'!$D$5:$D$200,MATCH(D1402,'Araç Tanımlama'!$A$5:$A$200,0)),"")</f>
        <v/>
      </c>
      <c r="F1402" s="4" t="str">
        <f>IFERROR(INDEX('Araç Tanımlama'!$E$5:$E$200,MATCH(D1402,'Araç Tanımlama'!$A$5:$A$200,0)),"")</f>
        <v/>
      </c>
      <c r="G1402" s="2"/>
      <c r="H1402" s="7"/>
      <c r="I1402" s="9" t="str">
        <f>IF(OR(G1402="",H1402=""),"",G1402*H1402)</f>
        <v/>
      </c>
      <c r="J1402" s="2"/>
      <c r="K1402" s="2"/>
    </row>
    <row r="1403" spans="1:11">
      <c r="A1403" s="4" t="str">
        <f>IF(D1403="","",COUNTIF($D$5:D1403,"?*"))</f>
        <v/>
      </c>
      <c r="B1403" s="5"/>
      <c r="C1403" s="4" t="str">
        <f>IF(B1403="","",INDEX({"Ocak","Şubat","Mart","Nisan","Mayıs","Haziran","Temmuz","Ağustos","Eylül","Ekim","Kasım","Aralık"},MONTH(B1403)))</f>
        <v/>
      </c>
      <c r="D1403" s="2"/>
      <c r="E1403" s="4" t="str">
        <f>IFERROR(INDEX('Araç Tanımlama'!$D$5:$D$200,MATCH(D1403,'Araç Tanımlama'!$A$5:$A$200,0)),"")</f>
        <v/>
      </c>
      <c r="F1403" s="4" t="str">
        <f>IFERROR(INDEX('Araç Tanımlama'!$E$5:$E$200,MATCH(D1403,'Araç Tanımlama'!$A$5:$A$200,0)),"")</f>
        <v/>
      </c>
      <c r="G1403" s="2"/>
      <c r="H1403" s="7"/>
      <c r="I1403" s="9" t="str">
        <f>IF(OR(G1403="",H1403=""),"",G1403*H1403)</f>
        <v/>
      </c>
      <c r="J1403" s="2"/>
      <c r="K1403" s="2"/>
    </row>
    <row r="1404" spans="1:11">
      <c r="A1404" s="4" t="str">
        <f>IF(D1404="","",COUNTIF($D$5:D1404,"?*"))</f>
        <v/>
      </c>
      <c r="B1404" s="5"/>
      <c r="C1404" s="4" t="str">
        <f>IF(B1404="","",INDEX({"Ocak","Şubat","Mart","Nisan","Mayıs","Haziran","Temmuz","Ağustos","Eylül","Ekim","Kasım","Aralık"},MONTH(B1404)))</f>
        <v/>
      </c>
      <c r="D1404" s="2"/>
      <c r="E1404" s="4" t="str">
        <f>IFERROR(INDEX('Araç Tanımlama'!$D$5:$D$200,MATCH(D1404,'Araç Tanımlama'!$A$5:$A$200,0)),"")</f>
        <v/>
      </c>
      <c r="F1404" s="4" t="str">
        <f>IFERROR(INDEX('Araç Tanımlama'!$E$5:$E$200,MATCH(D1404,'Araç Tanımlama'!$A$5:$A$200,0)),"")</f>
        <v/>
      </c>
      <c r="G1404" s="2"/>
      <c r="H1404" s="7"/>
      <c r="I1404" s="9" t="str">
        <f>IF(OR(G1404="",H1404=""),"",G1404*H1404)</f>
        <v/>
      </c>
      <c r="J1404" s="2"/>
      <c r="K1404" s="2"/>
    </row>
    <row r="1405" spans="1:11">
      <c r="A1405" s="4" t="str">
        <f>IF(D1405="","",COUNTIF($D$5:D1405,"?*"))</f>
        <v/>
      </c>
      <c r="B1405" s="5"/>
      <c r="C1405" s="4" t="str">
        <f>IF(B1405="","",INDEX({"Ocak","Şubat","Mart","Nisan","Mayıs","Haziran","Temmuz","Ağustos","Eylül","Ekim","Kasım","Aralık"},MONTH(B1405)))</f>
        <v/>
      </c>
      <c r="D1405" s="2"/>
      <c r="E1405" s="4" t="str">
        <f>IFERROR(INDEX('Araç Tanımlama'!$D$5:$D$200,MATCH(D1405,'Araç Tanımlama'!$A$5:$A$200,0)),"")</f>
        <v/>
      </c>
      <c r="F1405" s="4" t="str">
        <f>IFERROR(INDEX('Araç Tanımlama'!$E$5:$E$200,MATCH(D1405,'Araç Tanımlama'!$A$5:$A$200,0)),"")</f>
        <v/>
      </c>
      <c r="G1405" s="2"/>
      <c r="H1405" s="7"/>
      <c r="I1405" s="9" t="str">
        <f>IF(OR(G1405="",H1405=""),"",G1405*H1405)</f>
        <v/>
      </c>
      <c r="J1405" s="2"/>
      <c r="K1405" s="2"/>
    </row>
    <row r="1406" spans="1:11">
      <c r="A1406" s="4" t="str">
        <f>IF(D1406="","",COUNTIF($D$5:D1406,"?*"))</f>
        <v/>
      </c>
      <c r="B1406" s="5"/>
      <c r="C1406" s="4" t="str">
        <f>IF(B1406="","",INDEX({"Ocak","Şubat","Mart","Nisan","Mayıs","Haziran","Temmuz","Ağustos","Eylül","Ekim","Kasım","Aralık"},MONTH(B1406)))</f>
        <v/>
      </c>
      <c r="D1406" s="2"/>
      <c r="E1406" s="4" t="str">
        <f>IFERROR(INDEX('Araç Tanımlama'!$D$5:$D$200,MATCH(D1406,'Araç Tanımlama'!$A$5:$A$200,0)),"")</f>
        <v/>
      </c>
      <c r="F1406" s="4" t="str">
        <f>IFERROR(INDEX('Araç Tanımlama'!$E$5:$E$200,MATCH(D1406,'Araç Tanımlama'!$A$5:$A$200,0)),"")</f>
        <v/>
      </c>
      <c r="G1406" s="2"/>
      <c r="H1406" s="7"/>
      <c r="I1406" s="9" t="str">
        <f>IF(OR(G1406="",H1406=""),"",G1406*H1406)</f>
        <v/>
      </c>
      <c r="J1406" s="2"/>
      <c r="K1406" s="2"/>
    </row>
    <row r="1407" spans="1:11">
      <c r="A1407" s="4" t="str">
        <f>IF(D1407="","",COUNTIF($D$5:D1407,"?*"))</f>
        <v/>
      </c>
      <c r="B1407" s="5"/>
      <c r="C1407" s="4" t="str">
        <f>IF(B1407="","",INDEX({"Ocak","Şubat","Mart","Nisan","Mayıs","Haziran","Temmuz","Ağustos","Eylül","Ekim","Kasım","Aralık"},MONTH(B1407)))</f>
        <v/>
      </c>
      <c r="D1407" s="2"/>
      <c r="E1407" s="4" t="str">
        <f>IFERROR(INDEX('Araç Tanımlama'!$D$5:$D$200,MATCH(D1407,'Araç Tanımlama'!$A$5:$A$200,0)),"")</f>
        <v/>
      </c>
      <c r="F1407" s="4" t="str">
        <f>IFERROR(INDEX('Araç Tanımlama'!$E$5:$E$200,MATCH(D1407,'Araç Tanımlama'!$A$5:$A$200,0)),"")</f>
        <v/>
      </c>
      <c r="G1407" s="2"/>
      <c r="H1407" s="7"/>
      <c r="I1407" s="9" t="str">
        <f>IF(OR(G1407="",H1407=""),"",G1407*H1407)</f>
        <v/>
      </c>
      <c r="J1407" s="2"/>
      <c r="K1407" s="2"/>
    </row>
    <row r="1408" spans="1:11">
      <c r="A1408" s="4" t="str">
        <f>IF(D1408="","",COUNTIF($D$5:D1408,"?*"))</f>
        <v/>
      </c>
      <c r="B1408" s="5"/>
      <c r="C1408" s="4" t="str">
        <f>IF(B1408="","",INDEX({"Ocak","Şubat","Mart","Nisan","Mayıs","Haziran","Temmuz","Ağustos","Eylül","Ekim","Kasım","Aralık"},MONTH(B1408)))</f>
        <v/>
      </c>
      <c r="D1408" s="2"/>
      <c r="E1408" s="4" t="str">
        <f>IFERROR(INDEX('Araç Tanımlama'!$D$5:$D$200,MATCH(D1408,'Araç Tanımlama'!$A$5:$A$200,0)),"")</f>
        <v/>
      </c>
      <c r="F1408" s="4" t="str">
        <f>IFERROR(INDEX('Araç Tanımlama'!$E$5:$E$200,MATCH(D1408,'Araç Tanımlama'!$A$5:$A$200,0)),"")</f>
        <v/>
      </c>
      <c r="G1408" s="2"/>
      <c r="H1408" s="7"/>
      <c r="I1408" s="9" t="str">
        <f>IF(OR(G1408="",H1408=""),"",G1408*H1408)</f>
        <v/>
      </c>
      <c r="J1408" s="2"/>
      <c r="K1408" s="2"/>
    </row>
    <row r="1409" spans="1:11">
      <c r="A1409" s="4" t="str">
        <f>IF(D1409="","",COUNTIF($D$5:D1409,"?*"))</f>
        <v/>
      </c>
      <c r="B1409" s="5"/>
      <c r="C1409" s="4" t="str">
        <f>IF(B1409="","",INDEX({"Ocak","Şubat","Mart","Nisan","Mayıs","Haziran","Temmuz","Ağustos","Eylül","Ekim","Kasım","Aralık"},MONTH(B1409)))</f>
        <v/>
      </c>
      <c r="D1409" s="2"/>
      <c r="E1409" s="4" t="str">
        <f>IFERROR(INDEX('Araç Tanımlama'!$D$5:$D$200,MATCH(D1409,'Araç Tanımlama'!$A$5:$A$200,0)),"")</f>
        <v/>
      </c>
      <c r="F1409" s="4" t="str">
        <f>IFERROR(INDEX('Araç Tanımlama'!$E$5:$E$200,MATCH(D1409,'Araç Tanımlama'!$A$5:$A$200,0)),"")</f>
        <v/>
      </c>
      <c r="G1409" s="2"/>
      <c r="H1409" s="7"/>
      <c r="I1409" s="9" t="str">
        <f>IF(OR(G1409="",H1409=""),"",G1409*H1409)</f>
        <v/>
      </c>
      <c r="J1409" s="2"/>
      <c r="K1409" s="2"/>
    </row>
    <row r="1410" spans="1:11">
      <c r="A1410" s="4" t="str">
        <f>IF(D1410="","",COUNTIF($D$5:D1410,"?*"))</f>
        <v/>
      </c>
      <c r="B1410" s="5"/>
      <c r="C1410" s="4" t="str">
        <f>IF(B1410="","",INDEX({"Ocak","Şubat","Mart","Nisan","Mayıs","Haziran","Temmuz","Ağustos","Eylül","Ekim","Kasım","Aralık"},MONTH(B1410)))</f>
        <v/>
      </c>
      <c r="D1410" s="2"/>
      <c r="E1410" s="4" t="str">
        <f>IFERROR(INDEX('Araç Tanımlama'!$D$5:$D$200,MATCH(D1410,'Araç Tanımlama'!$A$5:$A$200,0)),"")</f>
        <v/>
      </c>
      <c r="F1410" s="4" t="str">
        <f>IFERROR(INDEX('Araç Tanımlama'!$E$5:$E$200,MATCH(D1410,'Araç Tanımlama'!$A$5:$A$200,0)),"")</f>
        <v/>
      </c>
      <c r="G1410" s="2"/>
      <c r="H1410" s="7"/>
      <c r="I1410" s="9" t="str">
        <f>IF(OR(G1410="",H1410=""),"",G1410*H1410)</f>
        <v/>
      </c>
      <c r="J1410" s="2"/>
      <c r="K1410" s="2"/>
    </row>
    <row r="1411" spans="1:11">
      <c r="A1411" s="4" t="str">
        <f>IF(D1411="","",COUNTIF($D$5:D1411,"?*"))</f>
        <v/>
      </c>
      <c r="B1411" s="5"/>
      <c r="C1411" s="4" t="str">
        <f>IF(B1411="","",INDEX({"Ocak","Şubat","Mart","Nisan","Mayıs","Haziran","Temmuz","Ağustos","Eylül","Ekim","Kasım","Aralık"},MONTH(B1411)))</f>
        <v/>
      </c>
      <c r="D1411" s="2"/>
      <c r="E1411" s="4" t="str">
        <f>IFERROR(INDEX('Araç Tanımlama'!$D$5:$D$200,MATCH(D1411,'Araç Tanımlama'!$A$5:$A$200,0)),"")</f>
        <v/>
      </c>
      <c r="F1411" s="4" t="str">
        <f>IFERROR(INDEX('Araç Tanımlama'!$E$5:$E$200,MATCH(D1411,'Araç Tanımlama'!$A$5:$A$200,0)),"")</f>
        <v/>
      </c>
      <c r="G1411" s="2"/>
      <c r="H1411" s="7"/>
      <c r="I1411" s="9" t="str">
        <f>IF(OR(G1411="",H1411=""),"",G1411*H1411)</f>
        <v/>
      </c>
      <c r="J1411" s="2"/>
      <c r="K1411" s="2"/>
    </row>
    <row r="1412" spans="1:11">
      <c r="A1412" s="4" t="str">
        <f>IF(D1412="","",COUNTIF($D$5:D1412,"?*"))</f>
        <v/>
      </c>
      <c r="B1412" s="5"/>
      <c r="C1412" s="4" t="str">
        <f>IF(B1412="","",INDEX({"Ocak","Şubat","Mart","Nisan","Mayıs","Haziran","Temmuz","Ağustos","Eylül","Ekim","Kasım","Aralık"},MONTH(B1412)))</f>
        <v/>
      </c>
      <c r="D1412" s="2"/>
      <c r="E1412" s="4" t="str">
        <f>IFERROR(INDEX('Araç Tanımlama'!$D$5:$D$200,MATCH(D1412,'Araç Tanımlama'!$A$5:$A$200,0)),"")</f>
        <v/>
      </c>
      <c r="F1412" s="4" t="str">
        <f>IFERROR(INDEX('Araç Tanımlama'!$E$5:$E$200,MATCH(D1412,'Araç Tanımlama'!$A$5:$A$200,0)),"")</f>
        <v/>
      </c>
      <c r="G1412" s="2"/>
      <c r="H1412" s="7"/>
      <c r="I1412" s="9" t="str">
        <f>IF(OR(G1412="",H1412=""),"",G1412*H1412)</f>
        <v/>
      </c>
      <c r="J1412" s="2"/>
      <c r="K1412" s="2"/>
    </row>
    <row r="1413" spans="1:11">
      <c r="A1413" s="4" t="str">
        <f>IF(D1413="","",COUNTIF($D$5:D1413,"?*"))</f>
        <v/>
      </c>
      <c r="B1413" s="5"/>
      <c r="C1413" s="4" t="str">
        <f>IF(B1413="","",INDEX({"Ocak","Şubat","Mart","Nisan","Mayıs","Haziran","Temmuz","Ağustos","Eylül","Ekim","Kasım","Aralık"},MONTH(B1413)))</f>
        <v/>
      </c>
      <c r="D1413" s="2"/>
      <c r="E1413" s="4" t="str">
        <f>IFERROR(INDEX('Araç Tanımlama'!$D$5:$D$200,MATCH(D1413,'Araç Tanımlama'!$A$5:$A$200,0)),"")</f>
        <v/>
      </c>
      <c r="F1413" s="4" t="str">
        <f>IFERROR(INDEX('Araç Tanımlama'!$E$5:$E$200,MATCH(D1413,'Araç Tanımlama'!$A$5:$A$200,0)),"")</f>
        <v/>
      </c>
      <c r="G1413" s="2"/>
      <c r="H1413" s="7"/>
      <c r="I1413" s="9" t="str">
        <f>IF(OR(G1413="",H1413=""),"",G1413*H1413)</f>
        <v/>
      </c>
      <c r="J1413" s="2"/>
      <c r="K1413" s="2"/>
    </row>
    <row r="1414" spans="1:11">
      <c r="A1414" s="4" t="str">
        <f>IF(D1414="","",COUNTIF($D$5:D1414,"?*"))</f>
        <v/>
      </c>
      <c r="B1414" s="5"/>
      <c r="C1414" s="4" t="str">
        <f>IF(B1414="","",INDEX({"Ocak","Şubat","Mart","Nisan","Mayıs","Haziran","Temmuz","Ağustos","Eylül","Ekim","Kasım","Aralık"},MONTH(B1414)))</f>
        <v/>
      </c>
      <c r="D1414" s="2"/>
      <c r="E1414" s="4" t="str">
        <f>IFERROR(INDEX('Araç Tanımlama'!$D$5:$D$200,MATCH(D1414,'Araç Tanımlama'!$A$5:$A$200,0)),"")</f>
        <v/>
      </c>
      <c r="F1414" s="4" t="str">
        <f>IFERROR(INDEX('Araç Tanımlama'!$E$5:$E$200,MATCH(D1414,'Araç Tanımlama'!$A$5:$A$200,0)),"")</f>
        <v/>
      </c>
      <c r="G1414" s="2"/>
      <c r="H1414" s="7"/>
      <c r="I1414" s="9" t="str">
        <f>IF(OR(G1414="",H1414=""),"",G1414*H1414)</f>
        <v/>
      </c>
      <c r="J1414" s="2"/>
      <c r="K1414" s="2"/>
    </row>
    <row r="1415" spans="1:11">
      <c r="A1415" s="4" t="str">
        <f>IF(D1415="","",COUNTIF($D$5:D1415,"?*"))</f>
        <v/>
      </c>
      <c r="B1415" s="5"/>
      <c r="C1415" s="4" t="str">
        <f>IF(B1415="","",INDEX({"Ocak","Şubat","Mart","Nisan","Mayıs","Haziran","Temmuz","Ağustos","Eylül","Ekim","Kasım","Aralık"},MONTH(B1415)))</f>
        <v/>
      </c>
      <c r="D1415" s="2"/>
      <c r="E1415" s="4" t="str">
        <f>IFERROR(INDEX('Araç Tanımlama'!$D$5:$D$200,MATCH(D1415,'Araç Tanımlama'!$A$5:$A$200,0)),"")</f>
        <v/>
      </c>
      <c r="F1415" s="4" t="str">
        <f>IFERROR(INDEX('Araç Tanımlama'!$E$5:$E$200,MATCH(D1415,'Araç Tanımlama'!$A$5:$A$200,0)),"")</f>
        <v/>
      </c>
      <c r="G1415" s="2"/>
      <c r="H1415" s="7"/>
      <c r="I1415" s="9" t="str">
        <f>IF(OR(G1415="",H1415=""),"",G1415*H1415)</f>
        <v/>
      </c>
      <c r="J1415" s="2"/>
      <c r="K1415" s="2"/>
    </row>
    <row r="1416" spans="1:11">
      <c r="A1416" s="4" t="str">
        <f>IF(D1416="","",COUNTIF($D$5:D1416,"?*"))</f>
        <v/>
      </c>
      <c r="B1416" s="5"/>
      <c r="C1416" s="4" t="str">
        <f>IF(B1416="","",INDEX({"Ocak","Şubat","Mart","Nisan","Mayıs","Haziran","Temmuz","Ağustos","Eylül","Ekim","Kasım","Aralık"},MONTH(B1416)))</f>
        <v/>
      </c>
      <c r="D1416" s="2"/>
      <c r="E1416" s="4" t="str">
        <f>IFERROR(INDEX('Araç Tanımlama'!$D$5:$D$200,MATCH(D1416,'Araç Tanımlama'!$A$5:$A$200,0)),"")</f>
        <v/>
      </c>
      <c r="F1416" s="4" t="str">
        <f>IFERROR(INDEX('Araç Tanımlama'!$E$5:$E$200,MATCH(D1416,'Araç Tanımlama'!$A$5:$A$200,0)),"")</f>
        <v/>
      </c>
      <c r="G1416" s="2"/>
      <c r="H1416" s="7"/>
      <c r="I1416" s="9" t="str">
        <f>IF(OR(G1416="",H1416=""),"",G1416*H1416)</f>
        <v/>
      </c>
      <c r="J1416" s="2"/>
      <c r="K1416" s="2"/>
    </row>
    <row r="1417" spans="1:11">
      <c r="A1417" s="4" t="str">
        <f>IF(D1417="","",COUNTIF($D$5:D1417,"?*"))</f>
        <v/>
      </c>
      <c r="B1417" s="5"/>
      <c r="C1417" s="4" t="str">
        <f>IF(B1417="","",INDEX({"Ocak","Şubat","Mart","Nisan","Mayıs","Haziran","Temmuz","Ağustos","Eylül","Ekim","Kasım","Aralık"},MONTH(B1417)))</f>
        <v/>
      </c>
      <c r="D1417" s="2"/>
      <c r="E1417" s="4" t="str">
        <f>IFERROR(INDEX('Araç Tanımlama'!$D$5:$D$200,MATCH(D1417,'Araç Tanımlama'!$A$5:$A$200,0)),"")</f>
        <v/>
      </c>
      <c r="F1417" s="4" t="str">
        <f>IFERROR(INDEX('Araç Tanımlama'!$E$5:$E$200,MATCH(D1417,'Araç Tanımlama'!$A$5:$A$200,0)),"")</f>
        <v/>
      </c>
      <c r="G1417" s="2"/>
      <c r="H1417" s="7"/>
      <c r="I1417" s="9" t="str">
        <f>IF(OR(G1417="",H1417=""),"",G1417*H1417)</f>
        <v/>
      </c>
      <c r="J1417" s="2"/>
      <c r="K1417" s="2"/>
    </row>
    <row r="1418" spans="1:11">
      <c r="A1418" s="4" t="str">
        <f>IF(D1418="","",COUNTIF($D$5:D1418,"?*"))</f>
        <v/>
      </c>
      <c r="B1418" s="5"/>
      <c r="C1418" s="4" t="str">
        <f>IF(B1418="","",INDEX({"Ocak","Şubat","Mart","Nisan","Mayıs","Haziran","Temmuz","Ağustos","Eylül","Ekim","Kasım","Aralık"},MONTH(B1418)))</f>
        <v/>
      </c>
      <c r="D1418" s="2"/>
      <c r="E1418" s="4" t="str">
        <f>IFERROR(INDEX('Araç Tanımlama'!$D$5:$D$200,MATCH(D1418,'Araç Tanımlama'!$A$5:$A$200,0)),"")</f>
        <v/>
      </c>
      <c r="F1418" s="4" t="str">
        <f>IFERROR(INDEX('Araç Tanımlama'!$E$5:$E$200,MATCH(D1418,'Araç Tanımlama'!$A$5:$A$200,0)),"")</f>
        <v/>
      </c>
      <c r="G1418" s="2"/>
      <c r="H1418" s="7"/>
      <c r="I1418" s="9" t="str">
        <f>IF(OR(G1418="",H1418=""),"",G1418*H1418)</f>
        <v/>
      </c>
      <c r="J1418" s="2"/>
      <c r="K1418" s="2"/>
    </row>
    <row r="1419" spans="1:11">
      <c r="A1419" s="4" t="str">
        <f>IF(D1419="","",COUNTIF($D$5:D1419,"?*"))</f>
        <v/>
      </c>
      <c r="B1419" s="5"/>
      <c r="C1419" s="4" t="str">
        <f>IF(B1419="","",INDEX({"Ocak","Şubat","Mart","Nisan","Mayıs","Haziran","Temmuz","Ağustos","Eylül","Ekim","Kasım","Aralık"},MONTH(B1419)))</f>
        <v/>
      </c>
      <c r="D1419" s="2"/>
      <c r="E1419" s="4" t="str">
        <f>IFERROR(INDEX('Araç Tanımlama'!$D$5:$D$200,MATCH(D1419,'Araç Tanımlama'!$A$5:$A$200,0)),"")</f>
        <v/>
      </c>
      <c r="F1419" s="4" t="str">
        <f>IFERROR(INDEX('Araç Tanımlama'!$E$5:$E$200,MATCH(D1419,'Araç Tanımlama'!$A$5:$A$200,0)),"")</f>
        <v/>
      </c>
      <c r="G1419" s="2"/>
      <c r="H1419" s="7"/>
      <c r="I1419" s="9" t="str">
        <f>IF(OR(G1419="",H1419=""),"",G1419*H1419)</f>
        <v/>
      </c>
      <c r="J1419" s="2"/>
      <c r="K1419" s="2"/>
    </row>
    <row r="1420" spans="1:11">
      <c r="A1420" s="4" t="str">
        <f>IF(D1420="","",COUNTIF($D$5:D1420,"?*"))</f>
        <v/>
      </c>
      <c r="B1420" s="5"/>
      <c r="C1420" s="4" t="str">
        <f>IF(B1420="","",INDEX({"Ocak","Şubat","Mart","Nisan","Mayıs","Haziran","Temmuz","Ağustos","Eylül","Ekim","Kasım","Aralık"},MONTH(B1420)))</f>
        <v/>
      </c>
      <c r="D1420" s="2"/>
      <c r="E1420" s="4" t="str">
        <f>IFERROR(INDEX('Araç Tanımlama'!$D$5:$D$200,MATCH(D1420,'Araç Tanımlama'!$A$5:$A$200,0)),"")</f>
        <v/>
      </c>
      <c r="F1420" s="4" t="str">
        <f>IFERROR(INDEX('Araç Tanımlama'!$E$5:$E$200,MATCH(D1420,'Araç Tanımlama'!$A$5:$A$200,0)),"")</f>
        <v/>
      </c>
      <c r="G1420" s="2"/>
      <c r="H1420" s="7"/>
      <c r="I1420" s="9" t="str">
        <f>IF(OR(G1420="",H1420=""),"",G1420*H1420)</f>
        <v/>
      </c>
      <c r="J1420" s="2"/>
      <c r="K1420" s="2"/>
    </row>
    <row r="1421" spans="1:11">
      <c r="A1421" s="4" t="str">
        <f>IF(D1421="","",COUNTIF($D$5:D1421,"?*"))</f>
        <v/>
      </c>
      <c r="B1421" s="5"/>
      <c r="C1421" s="4" t="str">
        <f>IF(B1421="","",INDEX({"Ocak","Şubat","Mart","Nisan","Mayıs","Haziran","Temmuz","Ağustos","Eylül","Ekim","Kasım","Aralık"},MONTH(B1421)))</f>
        <v/>
      </c>
      <c r="D1421" s="2"/>
      <c r="E1421" s="4" t="str">
        <f>IFERROR(INDEX('Araç Tanımlama'!$D$5:$D$200,MATCH(D1421,'Araç Tanımlama'!$A$5:$A$200,0)),"")</f>
        <v/>
      </c>
      <c r="F1421" s="4" t="str">
        <f>IFERROR(INDEX('Araç Tanımlama'!$E$5:$E$200,MATCH(D1421,'Araç Tanımlama'!$A$5:$A$200,0)),"")</f>
        <v/>
      </c>
      <c r="G1421" s="2"/>
      <c r="H1421" s="7"/>
      <c r="I1421" s="9" t="str">
        <f>IF(OR(G1421="",H1421=""),"",G1421*H1421)</f>
        <v/>
      </c>
      <c r="J1421" s="2"/>
      <c r="K1421" s="2"/>
    </row>
    <row r="1422" spans="1:11">
      <c r="A1422" s="4" t="str">
        <f>IF(D1422="","",COUNTIF($D$5:D1422,"?*"))</f>
        <v/>
      </c>
      <c r="B1422" s="5"/>
      <c r="C1422" s="4" t="str">
        <f>IF(B1422="","",INDEX({"Ocak","Şubat","Mart","Nisan","Mayıs","Haziran","Temmuz","Ağustos","Eylül","Ekim","Kasım","Aralık"},MONTH(B1422)))</f>
        <v/>
      </c>
      <c r="D1422" s="2"/>
      <c r="E1422" s="4" t="str">
        <f>IFERROR(INDEX('Araç Tanımlama'!$D$5:$D$200,MATCH(D1422,'Araç Tanımlama'!$A$5:$A$200,0)),"")</f>
        <v/>
      </c>
      <c r="F1422" s="4" t="str">
        <f>IFERROR(INDEX('Araç Tanımlama'!$E$5:$E$200,MATCH(D1422,'Araç Tanımlama'!$A$5:$A$200,0)),"")</f>
        <v/>
      </c>
      <c r="G1422" s="2"/>
      <c r="H1422" s="7"/>
      <c r="I1422" s="9" t="str">
        <f>IF(OR(G1422="",H1422=""),"",G1422*H1422)</f>
        <v/>
      </c>
      <c r="J1422" s="2"/>
      <c r="K1422" s="2"/>
    </row>
    <row r="1423" spans="1:11">
      <c r="A1423" s="4" t="str">
        <f>IF(D1423="","",COUNTIF($D$5:D1423,"?*"))</f>
        <v/>
      </c>
      <c r="B1423" s="5"/>
      <c r="C1423" s="4" t="str">
        <f>IF(B1423="","",INDEX({"Ocak","Şubat","Mart","Nisan","Mayıs","Haziran","Temmuz","Ağustos","Eylül","Ekim","Kasım","Aralık"},MONTH(B1423)))</f>
        <v/>
      </c>
      <c r="D1423" s="2"/>
      <c r="E1423" s="4" t="str">
        <f>IFERROR(INDEX('Araç Tanımlama'!$D$5:$D$200,MATCH(D1423,'Araç Tanımlama'!$A$5:$A$200,0)),"")</f>
        <v/>
      </c>
      <c r="F1423" s="4" t="str">
        <f>IFERROR(INDEX('Araç Tanımlama'!$E$5:$E$200,MATCH(D1423,'Araç Tanımlama'!$A$5:$A$200,0)),"")</f>
        <v/>
      </c>
      <c r="G1423" s="2"/>
      <c r="H1423" s="7"/>
      <c r="I1423" s="9" t="str">
        <f>IF(OR(G1423="",H1423=""),"",G1423*H1423)</f>
        <v/>
      </c>
      <c r="J1423" s="2"/>
      <c r="K1423" s="2"/>
    </row>
    <row r="1424" spans="1:11">
      <c r="A1424" s="4" t="str">
        <f>IF(D1424="","",COUNTIF($D$5:D1424,"?*"))</f>
        <v/>
      </c>
      <c r="B1424" s="5"/>
      <c r="C1424" s="4" t="str">
        <f>IF(B1424="","",INDEX({"Ocak","Şubat","Mart","Nisan","Mayıs","Haziran","Temmuz","Ağustos","Eylül","Ekim","Kasım","Aralık"},MONTH(B1424)))</f>
        <v/>
      </c>
      <c r="D1424" s="2"/>
      <c r="E1424" s="4" t="str">
        <f>IFERROR(INDEX('Araç Tanımlama'!$D$5:$D$200,MATCH(D1424,'Araç Tanımlama'!$A$5:$A$200,0)),"")</f>
        <v/>
      </c>
      <c r="F1424" s="4" t="str">
        <f>IFERROR(INDEX('Araç Tanımlama'!$E$5:$E$200,MATCH(D1424,'Araç Tanımlama'!$A$5:$A$200,0)),"")</f>
        <v/>
      </c>
      <c r="G1424" s="2"/>
      <c r="H1424" s="7"/>
      <c r="I1424" s="9" t="str">
        <f>IF(OR(G1424="",H1424=""),"",G1424*H1424)</f>
        <v/>
      </c>
      <c r="J1424" s="2"/>
      <c r="K1424" s="2"/>
    </row>
    <row r="1425" spans="1:11">
      <c r="A1425" s="4" t="str">
        <f>IF(D1425="","",COUNTIF($D$5:D1425,"?*"))</f>
        <v/>
      </c>
      <c r="B1425" s="5"/>
      <c r="C1425" s="4" t="str">
        <f>IF(B1425="","",INDEX({"Ocak","Şubat","Mart","Nisan","Mayıs","Haziran","Temmuz","Ağustos","Eylül","Ekim","Kasım","Aralık"},MONTH(B1425)))</f>
        <v/>
      </c>
      <c r="D1425" s="2"/>
      <c r="E1425" s="4" t="str">
        <f>IFERROR(INDEX('Araç Tanımlama'!$D$5:$D$200,MATCH(D1425,'Araç Tanımlama'!$A$5:$A$200,0)),"")</f>
        <v/>
      </c>
      <c r="F1425" s="4" t="str">
        <f>IFERROR(INDEX('Araç Tanımlama'!$E$5:$E$200,MATCH(D1425,'Araç Tanımlama'!$A$5:$A$200,0)),"")</f>
        <v/>
      </c>
      <c r="G1425" s="2"/>
      <c r="H1425" s="7"/>
      <c r="I1425" s="9" t="str">
        <f>IF(OR(G1425="",H1425=""),"",G1425*H1425)</f>
        <v/>
      </c>
      <c r="J1425" s="2"/>
      <c r="K1425" s="2"/>
    </row>
    <row r="1426" spans="1:11">
      <c r="A1426" s="4" t="str">
        <f>IF(D1426="","",COUNTIF($D$5:D1426,"?*"))</f>
        <v/>
      </c>
      <c r="B1426" s="5"/>
      <c r="C1426" s="4" t="str">
        <f>IF(B1426="","",INDEX({"Ocak","Şubat","Mart","Nisan","Mayıs","Haziran","Temmuz","Ağustos","Eylül","Ekim","Kasım","Aralık"},MONTH(B1426)))</f>
        <v/>
      </c>
      <c r="D1426" s="2"/>
      <c r="E1426" s="4" t="str">
        <f>IFERROR(INDEX('Araç Tanımlama'!$D$5:$D$200,MATCH(D1426,'Araç Tanımlama'!$A$5:$A$200,0)),"")</f>
        <v/>
      </c>
      <c r="F1426" s="4" t="str">
        <f>IFERROR(INDEX('Araç Tanımlama'!$E$5:$E$200,MATCH(D1426,'Araç Tanımlama'!$A$5:$A$200,0)),"")</f>
        <v/>
      </c>
      <c r="G1426" s="2"/>
      <c r="H1426" s="7"/>
      <c r="I1426" s="9" t="str">
        <f>IF(OR(G1426="",H1426=""),"",G1426*H1426)</f>
        <v/>
      </c>
      <c r="J1426" s="2"/>
      <c r="K1426" s="2"/>
    </row>
    <row r="1427" spans="1:11">
      <c r="A1427" s="4" t="str">
        <f>IF(D1427="","",COUNTIF($D$5:D1427,"?*"))</f>
        <v/>
      </c>
      <c r="B1427" s="5"/>
      <c r="C1427" s="4" t="str">
        <f>IF(B1427="","",INDEX({"Ocak","Şubat","Mart","Nisan","Mayıs","Haziran","Temmuz","Ağustos","Eylül","Ekim","Kasım","Aralık"},MONTH(B1427)))</f>
        <v/>
      </c>
      <c r="D1427" s="2"/>
      <c r="E1427" s="4" t="str">
        <f>IFERROR(INDEX('Araç Tanımlama'!$D$5:$D$200,MATCH(D1427,'Araç Tanımlama'!$A$5:$A$200,0)),"")</f>
        <v/>
      </c>
      <c r="F1427" s="4" t="str">
        <f>IFERROR(INDEX('Araç Tanımlama'!$E$5:$E$200,MATCH(D1427,'Araç Tanımlama'!$A$5:$A$200,0)),"")</f>
        <v/>
      </c>
      <c r="G1427" s="2"/>
      <c r="H1427" s="7"/>
      <c r="I1427" s="9" t="str">
        <f>IF(OR(G1427="",H1427=""),"",G1427*H1427)</f>
        <v/>
      </c>
      <c r="J1427" s="2"/>
      <c r="K1427" s="2"/>
    </row>
    <row r="1428" spans="1:11">
      <c r="A1428" s="4" t="str">
        <f>IF(D1428="","",COUNTIF($D$5:D1428,"?*"))</f>
        <v/>
      </c>
      <c r="B1428" s="5"/>
      <c r="C1428" s="4" t="str">
        <f>IF(B1428="","",INDEX({"Ocak","Şubat","Mart","Nisan","Mayıs","Haziran","Temmuz","Ağustos","Eylül","Ekim","Kasım","Aralık"},MONTH(B1428)))</f>
        <v/>
      </c>
      <c r="D1428" s="2"/>
      <c r="E1428" s="4" t="str">
        <f>IFERROR(INDEX('Araç Tanımlama'!$D$5:$D$200,MATCH(D1428,'Araç Tanımlama'!$A$5:$A$200,0)),"")</f>
        <v/>
      </c>
      <c r="F1428" s="4" t="str">
        <f>IFERROR(INDEX('Araç Tanımlama'!$E$5:$E$200,MATCH(D1428,'Araç Tanımlama'!$A$5:$A$200,0)),"")</f>
        <v/>
      </c>
      <c r="G1428" s="2"/>
      <c r="H1428" s="7"/>
      <c r="I1428" s="9" t="str">
        <f>IF(OR(G1428="",H1428=""),"",G1428*H1428)</f>
        <v/>
      </c>
      <c r="J1428" s="2"/>
      <c r="K1428" s="2"/>
    </row>
    <row r="1429" spans="1:11">
      <c r="A1429" s="4" t="str">
        <f>IF(D1429="","",COUNTIF($D$5:D1429,"?*"))</f>
        <v/>
      </c>
      <c r="B1429" s="5"/>
      <c r="C1429" s="4" t="str">
        <f>IF(B1429="","",INDEX({"Ocak","Şubat","Mart","Nisan","Mayıs","Haziran","Temmuz","Ağustos","Eylül","Ekim","Kasım","Aralık"},MONTH(B1429)))</f>
        <v/>
      </c>
      <c r="D1429" s="2"/>
      <c r="E1429" s="4" t="str">
        <f>IFERROR(INDEX('Araç Tanımlama'!$D$5:$D$200,MATCH(D1429,'Araç Tanımlama'!$A$5:$A$200,0)),"")</f>
        <v/>
      </c>
      <c r="F1429" s="4" t="str">
        <f>IFERROR(INDEX('Araç Tanımlama'!$E$5:$E$200,MATCH(D1429,'Araç Tanımlama'!$A$5:$A$200,0)),"")</f>
        <v/>
      </c>
      <c r="G1429" s="2"/>
      <c r="H1429" s="7"/>
      <c r="I1429" s="9" t="str">
        <f>IF(OR(G1429="",H1429=""),"",G1429*H1429)</f>
        <v/>
      </c>
      <c r="J1429" s="2"/>
      <c r="K1429" s="2"/>
    </row>
    <row r="1430" spans="1:11">
      <c r="A1430" s="4" t="str">
        <f>IF(D1430="","",COUNTIF($D$5:D1430,"?*"))</f>
        <v/>
      </c>
      <c r="B1430" s="5"/>
      <c r="C1430" s="4" t="str">
        <f>IF(B1430="","",INDEX({"Ocak","Şubat","Mart","Nisan","Mayıs","Haziran","Temmuz","Ağustos","Eylül","Ekim","Kasım","Aralık"},MONTH(B1430)))</f>
        <v/>
      </c>
      <c r="D1430" s="2"/>
      <c r="E1430" s="4" t="str">
        <f>IFERROR(INDEX('Araç Tanımlama'!$D$5:$D$200,MATCH(D1430,'Araç Tanımlama'!$A$5:$A$200,0)),"")</f>
        <v/>
      </c>
      <c r="F1430" s="4" t="str">
        <f>IFERROR(INDEX('Araç Tanımlama'!$E$5:$E$200,MATCH(D1430,'Araç Tanımlama'!$A$5:$A$200,0)),"")</f>
        <v/>
      </c>
      <c r="G1430" s="2"/>
      <c r="H1430" s="7"/>
      <c r="I1430" s="9" t="str">
        <f>IF(OR(G1430="",H1430=""),"",G1430*H1430)</f>
        <v/>
      </c>
      <c r="J1430" s="2"/>
      <c r="K1430" s="2"/>
    </row>
    <row r="1431" spans="1:11">
      <c r="A1431" s="4" t="str">
        <f>IF(D1431="","",COUNTIF($D$5:D1431,"?*"))</f>
        <v/>
      </c>
      <c r="B1431" s="5"/>
      <c r="C1431" s="4" t="str">
        <f>IF(B1431="","",INDEX({"Ocak","Şubat","Mart","Nisan","Mayıs","Haziran","Temmuz","Ağustos","Eylül","Ekim","Kasım","Aralık"},MONTH(B1431)))</f>
        <v/>
      </c>
      <c r="D1431" s="2"/>
      <c r="E1431" s="4" t="str">
        <f>IFERROR(INDEX('Araç Tanımlama'!$D$5:$D$200,MATCH(D1431,'Araç Tanımlama'!$A$5:$A$200,0)),"")</f>
        <v/>
      </c>
      <c r="F1431" s="4" t="str">
        <f>IFERROR(INDEX('Araç Tanımlama'!$E$5:$E$200,MATCH(D1431,'Araç Tanımlama'!$A$5:$A$200,0)),"")</f>
        <v/>
      </c>
      <c r="G1431" s="2"/>
      <c r="H1431" s="7"/>
      <c r="I1431" s="9" t="str">
        <f>IF(OR(G1431="",H1431=""),"",G1431*H1431)</f>
        <v/>
      </c>
      <c r="J1431" s="2"/>
      <c r="K1431" s="2"/>
    </row>
    <row r="1432" spans="1:11">
      <c r="A1432" s="4" t="str">
        <f>IF(D1432="","",COUNTIF($D$5:D1432,"?*"))</f>
        <v/>
      </c>
      <c r="B1432" s="5"/>
      <c r="C1432" s="4" t="str">
        <f>IF(B1432="","",INDEX({"Ocak","Şubat","Mart","Nisan","Mayıs","Haziran","Temmuz","Ağustos","Eylül","Ekim","Kasım","Aralık"},MONTH(B1432)))</f>
        <v/>
      </c>
      <c r="D1432" s="2"/>
      <c r="E1432" s="4" t="str">
        <f>IFERROR(INDEX('Araç Tanımlama'!$D$5:$D$200,MATCH(D1432,'Araç Tanımlama'!$A$5:$A$200,0)),"")</f>
        <v/>
      </c>
      <c r="F1432" s="4" t="str">
        <f>IFERROR(INDEX('Araç Tanımlama'!$E$5:$E$200,MATCH(D1432,'Araç Tanımlama'!$A$5:$A$200,0)),"")</f>
        <v/>
      </c>
      <c r="G1432" s="2"/>
      <c r="H1432" s="7"/>
      <c r="I1432" s="9" t="str">
        <f>IF(OR(G1432="",H1432=""),"",G1432*H1432)</f>
        <v/>
      </c>
      <c r="J1432" s="2"/>
      <c r="K1432" s="2"/>
    </row>
    <row r="1433" spans="1:11">
      <c r="A1433" s="4" t="str">
        <f>IF(D1433="","",COUNTIF($D$5:D1433,"?*"))</f>
        <v/>
      </c>
      <c r="B1433" s="5"/>
      <c r="C1433" s="4" t="str">
        <f>IF(B1433="","",INDEX({"Ocak","Şubat","Mart","Nisan","Mayıs","Haziran","Temmuz","Ağustos","Eylül","Ekim","Kasım","Aralık"},MONTH(B1433)))</f>
        <v/>
      </c>
      <c r="D1433" s="2"/>
      <c r="E1433" s="4" t="str">
        <f>IFERROR(INDEX('Araç Tanımlama'!$D$5:$D$200,MATCH(D1433,'Araç Tanımlama'!$A$5:$A$200,0)),"")</f>
        <v/>
      </c>
      <c r="F1433" s="4" t="str">
        <f>IFERROR(INDEX('Araç Tanımlama'!$E$5:$E$200,MATCH(D1433,'Araç Tanımlama'!$A$5:$A$200,0)),"")</f>
        <v/>
      </c>
      <c r="G1433" s="2"/>
      <c r="H1433" s="7"/>
      <c r="I1433" s="9" t="str">
        <f>IF(OR(G1433="",H1433=""),"",G1433*H1433)</f>
        <v/>
      </c>
      <c r="J1433" s="2"/>
      <c r="K1433" s="2"/>
    </row>
    <row r="1434" spans="1:11">
      <c r="A1434" s="4" t="str">
        <f>IF(D1434="","",COUNTIF($D$5:D1434,"?*"))</f>
        <v/>
      </c>
      <c r="B1434" s="5"/>
      <c r="C1434" s="4" t="str">
        <f>IF(B1434="","",INDEX({"Ocak","Şubat","Mart","Nisan","Mayıs","Haziran","Temmuz","Ağustos","Eylül","Ekim","Kasım","Aralık"},MONTH(B1434)))</f>
        <v/>
      </c>
      <c r="D1434" s="2"/>
      <c r="E1434" s="4" t="str">
        <f>IFERROR(INDEX('Araç Tanımlama'!$D$5:$D$200,MATCH(D1434,'Araç Tanımlama'!$A$5:$A$200,0)),"")</f>
        <v/>
      </c>
      <c r="F1434" s="4" t="str">
        <f>IFERROR(INDEX('Araç Tanımlama'!$E$5:$E$200,MATCH(D1434,'Araç Tanımlama'!$A$5:$A$200,0)),"")</f>
        <v/>
      </c>
      <c r="G1434" s="2"/>
      <c r="H1434" s="7"/>
      <c r="I1434" s="9" t="str">
        <f>IF(OR(G1434="",H1434=""),"",G1434*H1434)</f>
        <v/>
      </c>
      <c r="J1434" s="2"/>
      <c r="K1434" s="2"/>
    </row>
    <row r="1435" spans="1:11">
      <c r="A1435" s="4" t="str">
        <f>IF(D1435="","",COUNTIF($D$5:D1435,"?*"))</f>
        <v/>
      </c>
      <c r="B1435" s="5"/>
      <c r="C1435" s="4" t="str">
        <f>IF(B1435="","",INDEX({"Ocak","Şubat","Mart","Nisan","Mayıs","Haziran","Temmuz","Ağustos","Eylül","Ekim","Kasım","Aralık"},MONTH(B1435)))</f>
        <v/>
      </c>
      <c r="D1435" s="2"/>
      <c r="E1435" s="4" t="str">
        <f>IFERROR(INDEX('Araç Tanımlama'!$D$5:$D$200,MATCH(D1435,'Araç Tanımlama'!$A$5:$A$200,0)),"")</f>
        <v/>
      </c>
      <c r="F1435" s="4" t="str">
        <f>IFERROR(INDEX('Araç Tanımlama'!$E$5:$E$200,MATCH(D1435,'Araç Tanımlama'!$A$5:$A$200,0)),"")</f>
        <v/>
      </c>
      <c r="G1435" s="2"/>
      <c r="H1435" s="7"/>
      <c r="I1435" s="9" t="str">
        <f>IF(OR(G1435="",H1435=""),"",G1435*H1435)</f>
        <v/>
      </c>
      <c r="J1435" s="2"/>
      <c r="K1435" s="2"/>
    </row>
    <row r="1436" spans="1:11">
      <c r="A1436" s="4" t="str">
        <f>IF(D1436="","",COUNTIF($D$5:D1436,"?*"))</f>
        <v/>
      </c>
      <c r="B1436" s="5"/>
      <c r="C1436" s="4" t="str">
        <f>IF(B1436="","",INDEX({"Ocak","Şubat","Mart","Nisan","Mayıs","Haziran","Temmuz","Ağustos","Eylül","Ekim","Kasım","Aralık"},MONTH(B1436)))</f>
        <v/>
      </c>
      <c r="D1436" s="2"/>
      <c r="E1436" s="4" t="str">
        <f>IFERROR(INDEX('Araç Tanımlama'!$D$5:$D$200,MATCH(D1436,'Araç Tanımlama'!$A$5:$A$200,0)),"")</f>
        <v/>
      </c>
      <c r="F1436" s="4" t="str">
        <f>IFERROR(INDEX('Araç Tanımlama'!$E$5:$E$200,MATCH(D1436,'Araç Tanımlama'!$A$5:$A$200,0)),"")</f>
        <v/>
      </c>
      <c r="G1436" s="2"/>
      <c r="H1436" s="7"/>
      <c r="I1436" s="9" t="str">
        <f>IF(OR(G1436="",H1436=""),"",G1436*H1436)</f>
        <v/>
      </c>
      <c r="J1436" s="2"/>
      <c r="K1436" s="2"/>
    </row>
    <row r="1437" spans="1:11">
      <c r="A1437" s="4" t="str">
        <f>IF(D1437="","",COUNTIF($D$5:D1437,"?*"))</f>
        <v/>
      </c>
      <c r="B1437" s="5"/>
      <c r="C1437" s="4" t="str">
        <f>IF(B1437="","",INDEX({"Ocak","Şubat","Mart","Nisan","Mayıs","Haziran","Temmuz","Ağustos","Eylül","Ekim","Kasım","Aralık"},MONTH(B1437)))</f>
        <v/>
      </c>
      <c r="D1437" s="2"/>
      <c r="E1437" s="4" t="str">
        <f>IFERROR(INDEX('Araç Tanımlama'!$D$5:$D$200,MATCH(D1437,'Araç Tanımlama'!$A$5:$A$200,0)),"")</f>
        <v/>
      </c>
      <c r="F1437" s="4" t="str">
        <f>IFERROR(INDEX('Araç Tanımlama'!$E$5:$E$200,MATCH(D1437,'Araç Tanımlama'!$A$5:$A$200,0)),"")</f>
        <v/>
      </c>
      <c r="G1437" s="2"/>
      <c r="H1437" s="7"/>
      <c r="I1437" s="9" t="str">
        <f>IF(OR(G1437="",H1437=""),"",G1437*H1437)</f>
        <v/>
      </c>
      <c r="J1437" s="2"/>
      <c r="K1437" s="2"/>
    </row>
    <row r="1438" spans="1:11">
      <c r="A1438" s="4" t="str">
        <f>IF(D1438="","",COUNTIF($D$5:D1438,"?*"))</f>
        <v/>
      </c>
      <c r="B1438" s="5"/>
      <c r="C1438" s="4" t="str">
        <f>IF(B1438="","",INDEX({"Ocak","Şubat","Mart","Nisan","Mayıs","Haziran","Temmuz","Ağustos","Eylül","Ekim","Kasım","Aralık"},MONTH(B1438)))</f>
        <v/>
      </c>
      <c r="D1438" s="2"/>
      <c r="E1438" s="4" t="str">
        <f>IFERROR(INDEX('Araç Tanımlama'!$D$5:$D$200,MATCH(D1438,'Araç Tanımlama'!$A$5:$A$200,0)),"")</f>
        <v/>
      </c>
      <c r="F1438" s="4" t="str">
        <f>IFERROR(INDEX('Araç Tanımlama'!$E$5:$E$200,MATCH(D1438,'Araç Tanımlama'!$A$5:$A$200,0)),"")</f>
        <v/>
      </c>
      <c r="G1438" s="2"/>
      <c r="H1438" s="7"/>
      <c r="I1438" s="9" t="str">
        <f>IF(OR(G1438="",H1438=""),"",G1438*H1438)</f>
        <v/>
      </c>
      <c r="J1438" s="2"/>
      <c r="K1438" s="2"/>
    </row>
    <row r="1439" spans="1:11">
      <c r="A1439" s="4" t="str">
        <f>IF(D1439="","",COUNTIF($D$5:D1439,"?*"))</f>
        <v/>
      </c>
      <c r="B1439" s="5"/>
      <c r="C1439" s="4" t="str">
        <f>IF(B1439="","",INDEX({"Ocak","Şubat","Mart","Nisan","Mayıs","Haziran","Temmuz","Ağustos","Eylül","Ekim","Kasım","Aralık"},MONTH(B1439)))</f>
        <v/>
      </c>
      <c r="D1439" s="2"/>
      <c r="E1439" s="4" t="str">
        <f>IFERROR(INDEX('Araç Tanımlama'!$D$5:$D$200,MATCH(D1439,'Araç Tanımlama'!$A$5:$A$200,0)),"")</f>
        <v/>
      </c>
      <c r="F1439" s="4" t="str">
        <f>IFERROR(INDEX('Araç Tanımlama'!$E$5:$E$200,MATCH(D1439,'Araç Tanımlama'!$A$5:$A$200,0)),"")</f>
        <v/>
      </c>
      <c r="G1439" s="2"/>
      <c r="H1439" s="7"/>
      <c r="I1439" s="9" t="str">
        <f>IF(OR(G1439="",H1439=""),"",G1439*H1439)</f>
        <v/>
      </c>
      <c r="J1439" s="2"/>
      <c r="K1439" s="2"/>
    </row>
    <row r="1440" spans="1:11">
      <c r="A1440" s="4" t="str">
        <f>IF(D1440="","",COUNTIF($D$5:D1440,"?*"))</f>
        <v/>
      </c>
      <c r="B1440" s="5"/>
      <c r="C1440" s="4" t="str">
        <f>IF(B1440="","",INDEX({"Ocak","Şubat","Mart","Nisan","Mayıs","Haziran","Temmuz","Ağustos","Eylül","Ekim","Kasım","Aralık"},MONTH(B1440)))</f>
        <v/>
      </c>
      <c r="D1440" s="2"/>
      <c r="E1440" s="4" t="str">
        <f>IFERROR(INDEX('Araç Tanımlama'!$D$5:$D$200,MATCH(D1440,'Araç Tanımlama'!$A$5:$A$200,0)),"")</f>
        <v/>
      </c>
      <c r="F1440" s="4" t="str">
        <f>IFERROR(INDEX('Araç Tanımlama'!$E$5:$E$200,MATCH(D1440,'Araç Tanımlama'!$A$5:$A$200,0)),"")</f>
        <v/>
      </c>
      <c r="G1440" s="2"/>
      <c r="H1440" s="7"/>
      <c r="I1440" s="9" t="str">
        <f>IF(OR(G1440="",H1440=""),"",G1440*H1440)</f>
        <v/>
      </c>
      <c r="J1440" s="2"/>
      <c r="K1440" s="2"/>
    </row>
    <row r="1441" spans="1:11">
      <c r="A1441" s="4" t="str">
        <f>IF(D1441="","",COUNTIF($D$5:D1441,"?*"))</f>
        <v/>
      </c>
      <c r="B1441" s="5"/>
      <c r="C1441" s="4" t="str">
        <f>IF(B1441="","",INDEX({"Ocak","Şubat","Mart","Nisan","Mayıs","Haziran","Temmuz","Ağustos","Eylül","Ekim","Kasım","Aralık"},MONTH(B1441)))</f>
        <v/>
      </c>
      <c r="D1441" s="2"/>
      <c r="E1441" s="4" t="str">
        <f>IFERROR(INDEX('Araç Tanımlama'!$D$5:$D$200,MATCH(D1441,'Araç Tanımlama'!$A$5:$A$200,0)),"")</f>
        <v/>
      </c>
      <c r="F1441" s="4" t="str">
        <f>IFERROR(INDEX('Araç Tanımlama'!$E$5:$E$200,MATCH(D1441,'Araç Tanımlama'!$A$5:$A$200,0)),"")</f>
        <v/>
      </c>
      <c r="G1441" s="2"/>
      <c r="H1441" s="7"/>
      <c r="I1441" s="9" t="str">
        <f>IF(OR(G1441="",H1441=""),"",G1441*H1441)</f>
        <v/>
      </c>
      <c r="J1441" s="2"/>
      <c r="K1441" s="2"/>
    </row>
    <row r="1442" spans="1:11">
      <c r="A1442" s="4" t="str">
        <f>IF(D1442="","",COUNTIF($D$5:D1442,"?*"))</f>
        <v/>
      </c>
      <c r="B1442" s="5"/>
      <c r="C1442" s="4" t="str">
        <f>IF(B1442="","",INDEX({"Ocak","Şubat","Mart","Nisan","Mayıs","Haziran","Temmuz","Ağustos","Eylül","Ekim","Kasım","Aralık"},MONTH(B1442)))</f>
        <v/>
      </c>
      <c r="D1442" s="2"/>
      <c r="E1442" s="4" t="str">
        <f>IFERROR(INDEX('Araç Tanımlama'!$D$5:$D$200,MATCH(D1442,'Araç Tanımlama'!$A$5:$A$200,0)),"")</f>
        <v/>
      </c>
      <c r="F1442" s="4" t="str">
        <f>IFERROR(INDEX('Araç Tanımlama'!$E$5:$E$200,MATCH(D1442,'Araç Tanımlama'!$A$5:$A$200,0)),"")</f>
        <v/>
      </c>
      <c r="G1442" s="2"/>
      <c r="H1442" s="7"/>
      <c r="I1442" s="9" t="str">
        <f>IF(OR(G1442="",H1442=""),"",G1442*H1442)</f>
        <v/>
      </c>
      <c r="J1442" s="2"/>
      <c r="K1442" s="2"/>
    </row>
    <row r="1443" spans="1:11">
      <c r="A1443" s="4" t="str">
        <f>IF(D1443="","",COUNTIF($D$5:D1443,"?*"))</f>
        <v/>
      </c>
      <c r="B1443" s="5"/>
      <c r="C1443" s="4" t="str">
        <f>IF(B1443="","",INDEX({"Ocak","Şubat","Mart","Nisan","Mayıs","Haziran","Temmuz","Ağustos","Eylül","Ekim","Kasım","Aralık"},MONTH(B1443)))</f>
        <v/>
      </c>
      <c r="D1443" s="2"/>
      <c r="E1443" s="4" t="str">
        <f>IFERROR(INDEX('Araç Tanımlama'!$D$5:$D$200,MATCH(D1443,'Araç Tanımlama'!$A$5:$A$200,0)),"")</f>
        <v/>
      </c>
      <c r="F1443" s="4" t="str">
        <f>IFERROR(INDEX('Araç Tanımlama'!$E$5:$E$200,MATCH(D1443,'Araç Tanımlama'!$A$5:$A$200,0)),"")</f>
        <v/>
      </c>
      <c r="G1443" s="2"/>
      <c r="H1443" s="7"/>
      <c r="I1443" s="9" t="str">
        <f>IF(OR(G1443="",H1443=""),"",G1443*H1443)</f>
        <v/>
      </c>
      <c r="J1443" s="2"/>
      <c r="K1443" s="2"/>
    </row>
    <row r="1444" spans="1:11">
      <c r="A1444" s="4" t="str">
        <f>IF(D1444="","",COUNTIF($D$5:D1444,"?*"))</f>
        <v/>
      </c>
      <c r="B1444" s="5"/>
      <c r="C1444" s="4" t="str">
        <f>IF(B1444="","",INDEX({"Ocak","Şubat","Mart","Nisan","Mayıs","Haziran","Temmuz","Ağustos","Eylül","Ekim","Kasım","Aralık"},MONTH(B1444)))</f>
        <v/>
      </c>
      <c r="D1444" s="2"/>
      <c r="E1444" s="4" t="str">
        <f>IFERROR(INDEX('Araç Tanımlama'!$D$5:$D$200,MATCH(D1444,'Araç Tanımlama'!$A$5:$A$200,0)),"")</f>
        <v/>
      </c>
      <c r="F1444" s="4" t="str">
        <f>IFERROR(INDEX('Araç Tanımlama'!$E$5:$E$200,MATCH(D1444,'Araç Tanımlama'!$A$5:$A$200,0)),"")</f>
        <v/>
      </c>
      <c r="G1444" s="2"/>
      <c r="H1444" s="7"/>
      <c r="I1444" s="9" t="str">
        <f>IF(OR(G1444="",H1444=""),"",G1444*H1444)</f>
        <v/>
      </c>
      <c r="J1444" s="2"/>
      <c r="K1444" s="2"/>
    </row>
    <row r="1445" spans="1:11">
      <c r="A1445" s="4" t="str">
        <f>IF(D1445="","",COUNTIF($D$5:D1445,"?*"))</f>
        <v/>
      </c>
      <c r="B1445" s="5"/>
      <c r="C1445" s="4" t="str">
        <f>IF(B1445="","",INDEX({"Ocak","Şubat","Mart","Nisan","Mayıs","Haziran","Temmuz","Ağustos","Eylül","Ekim","Kasım","Aralık"},MONTH(B1445)))</f>
        <v/>
      </c>
      <c r="D1445" s="2"/>
      <c r="E1445" s="4" t="str">
        <f>IFERROR(INDEX('Araç Tanımlama'!$D$5:$D$200,MATCH(D1445,'Araç Tanımlama'!$A$5:$A$200,0)),"")</f>
        <v/>
      </c>
      <c r="F1445" s="4" t="str">
        <f>IFERROR(INDEX('Araç Tanımlama'!$E$5:$E$200,MATCH(D1445,'Araç Tanımlama'!$A$5:$A$200,0)),"")</f>
        <v/>
      </c>
      <c r="G1445" s="2"/>
      <c r="H1445" s="7"/>
      <c r="I1445" s="9" t="str">
        <f>IF(OR(G1445="",H1445=""),"",G1445*H1445)</f>
        <v/>
      </c>
      <c r="J1445" s="2"/>
      <c r="K1445" s="2"/>
    </row>
    <row r="1446" spans="1:11">
      <c r="A1446" s="4" t="str">
        <f>IF(D1446="","",COUNTIF($D$5:D1446,"?*"))</f>
        <v/>
      </c>
      <c r="B1446" s="5"/>
      <c r="C1446" s="4" t="str">
        <f>IF(B1446="","",INDEX({"Ocak","Şubat","Mart","Nisan","Mayıs","Haziran","Temmuz","Ağustos","Eylül","Ekim","Kasım","Aralık"},MONTH(B1446)))</f>
        <v/>
      </c>
      <c r="D1446" s="2"/>
      <c r="E1446" s="4" t="str">
        <f>IFERROR(INDEX('Araç Tanımlama'!$D$5:$D$200,MATCH(D1446,'Araç Tanımlama'!$A$5:$A$200,0)),"")</f>
        <v/>
      </c>
      <c r="F1446" s="4" t="str">
        <f>IFERROR(INDEX('Araç Tanımlama'!$E$5:$E$200,MATCH(D1446,'Araç Tanımlama'!$A$5:$A$200,0)),"")</f>
        <v/>
      </c>
      <c r="G1446" s="2"/>
      <c r="H1446" s="7"/>
      <c r="I1446" s="9" t="str">
        <f>IF(OR(G1446="",H1446=""),"",G1446*H1446)</f>
        <v/>
      </c>
      <c r="J1446" s="2"/>
      <c r="K1446" s="2"/>
    </row>
    <row r="1447" spans="1:11">
      <c r="A1447" s="4" t="str">
        <f>IF(D1447="","",COUNTIF($D$5:D1447,"?*"))</f>
        <v/>
      </c>
      <c r="B1447" s="5"/>
      <c r="C1447" s="4" t="str">
        <f>IF(B1447="","",INDEX({"Ocak","Şubat","Mart","Nisan","Mayıs","Haziran","Temmuz","Ağustos","Eylül","Ekim","Kasım","Aralık"},MONTH(B1447)))</f>
        <v/>
      </c>
      <c r="D1447" s="2"/>
      <c r="E1447" s="4" t="str">
        <f>IFERROR(INDEX('Araç Tanımlama'!$D$5:$D$200,MATCH(D1447,'Araç Tanımlama'!$A$5:$A$200,0)),"")</f>
        <v/>
      </c>
      <c r="F1447" s="4" t="str">
        <f>IFERROR(INDEX('Araç Tanımlama'!$E$5:$E$200,MATCH(D1447,'Araç Tanımlama'!$A$5:$A$200,0)),"")</f>
        <v/>
      </c>
      <c r="G1447" s="2"/>
      <c r="H1447" s="7"/>
      <c r="I1447" s="9" t="str">
        <f>IF(OR(G1447="",H1447=""),"",G1447*H1447)</f>
        <v/>
      </c>
      <c r="J1447" s="2"/>
      <c r="K1447" s="2"/>
    </row>
    <row r="1448" spans="1:11">
      <c r="A1448" s="4" t="str">
        <f>IF(D1448="","",COUNTIF($D$5:D1448,"?*"))</f>
        <v/>
      </c>
      <c r="B1448" s="5"/>
      <c r="C1448" s="4" t="str">
        <f>IF(B1448="","",INDEX({"Ocak","Şubat","Mart","Nisan","Mayıs","Haziran","Temmuz","Ağustos","Eylül","Ekim","Kasım","Aralık"},MONTH(B1448)))</f>
        <v/>
      </c>
      <c r="D1448" s="2"/>
      <c r="E1448" s="4" t="str">
        <f>IFERROR(INDEX('Araç Tanımlama'!$D$5:$D$200,MATCH(D1448,'Araç Tanımlama'!$A$5:$A$200,0)),"")</f>
        <v/>
      </c>
      <c r="F1448" s="4" t="str">
        <f>IFERROR(INDEX('Araç Tanımlama'!$E$5:$E$200,MATCH(D1448,'Araç Tanımlama'!$A$5:$A$200,0)),"")</f>
        <v/>
      </c>
      <c r="G1448" s="2"/>
      <c r="H1448" s="7"/>
      <c r="I1448" s="9" t="str">
        <f>IF(OR(G1448="",H1448=""),"",G1448*H1448)</f>
        <v/>
      </c>
      <c r="J1448" s="2"/>
      <c r="K1448" s="2"/>
    </row>
    <row r="1449" spans="1:11">
      <c r="A1449" s="4" t="str">
        <f>IF(D1449="","",COUNTIF($D$5:D1449,"?*"))</f>
        <v/>
      </c>
      <c r="B1449" s="5"/>
      <c r="C1449" s="4" t="str">
        <f>IF(B1449="","",INDEX({"Ocak","Şubat","Mart","Nisan","Mayıs","Haziran","Temmuz","Ağustos","Eylül","Ekim","Kasım","Aralık"},MONTH(B1449)))</f>
        <v/>
      </c>
      <c r="D1449" s="2"/>
      <c r="E1449" s="4" t="str">
        <f>IFERROR(INDEX('Araç Tanımlama'!$D$5:$D$200,MATCH(D1449,'Araç Tanımlama'!$A$5:$A$200,0)),"")</f>
        <v/>
      </c>
      <c r="F1449" s="4" t="str">
        <f>IFERROR(INDEX('Araç Tanımlama'!$E$5:$E$200,MATCH(D1449,'Araç Tanımlama'!$A$5:$A$200,0)),"")</f>
        <v/>
      </c>
      <c r="G1449" s="2"/>
      <c r="H1449" s="7"/>
      <c r="I1449" s="9" t="str">
        <f>IF(OR(G1449="",H1449=""),"",G1449*H1449)</f>
        <v/>
      </c>
      <c r="J1449" s="2"/>
      <c r="K1449" s="2"/>
    </row>
    <row r="1450" spans="1:11">
      <c r="A1450" s="4" t="str">
        <f>IF(D1450="","",COUNTIF($D$5:D1450,"?*"))</f>
        <v/>
      </c>
      <c r="B1450" s="5"/>
      <c r="C1450" s="4" t="str">
        <f>IF(B1450="","",INDEX({"Ocak","Şubat","Mart","Nisan","Mayıs","Haziran","Temmuz","Ağustos","Eylül","Ekim","Kasım","Aralık"},MONTH(B1450)))</f>
        <v/>
      </c>
      <c r="D1450" s="2"/>
      <c r="E1450" s="4" t="str">
        <f>IFERROR(INDEX('Araç Tanımlama'!$D$5:$D$200,MATCH(D1450,'Araç Tanımlama'!$A$5:$A$200,0)),"")</f>
        <v/>
      </c>
      <c r="F1450" s="4" t="str">
        <f>IFERROR(INDEX('Araç Tanımlama'!$E$5:$E$200,MATCH(D1450,'Araç Tanımlama'!$A$5:$A$200,0)),"")</f>
        <v/>
      </c>
      <c r="G1450" s="2"/>
      <c r="H1450" s="7"/>
      <c r="I1450" s="9" t="str">
        <f>IF(OR(G1450="",H1450=""),"",G1450*H1450)</f>
        <v/>
      </c>
      <c r="J1450" s="2"/>
      <c r="K1450" s="2"/>
    </row>
    <row r="1451" spans="1:11">
      <c r="A1451" s="4" t="str">
        <f>IF(D1451="","",COUNTIF($D$5:D1451,"?*"))</f>
        <v/>
      </c>
      <c r="B1451" s="5"/>
      <c r="C1451" s="4" t="str">
        <f>IF(B1451="","",INDEX({"Ocak","Şubat","Mart","Nisan","Mayıs","Haziran","Temmuz","Ağustos","Eylül","Ekim","Kasım","Aralık"},MONTH(B1451)))</f>
        <v/>
      </c>
      <c r="D1451" s="2"/>
      <c r="E1451" s="4" t="str">
        <f>IFERROR(INDEX('Araç Tanımlama'!$D$5:$D$200,MATCH(D1451,'Araç Tanımlama'!$A$5:$A$200,0)),"")</f>
        <v/>
      </c>
      <c r="F1451" s="4" t="str">
        <f>IFERROR(INDEX('Araç Tanımlama'!$E$5:$E$200,MATCH(D1451,'Araç Tanımlama'!$A$5:$A$200,0)),"")</f>
        <v/>
      </c>
      <c r="G1451" s="2"/>
      <c r="H1451" s="7"/>
      <c r="I1451" s="9" t="str">
        <f>IF(OR(G1451="",H1451=""),"",G1451*H1451)</f>
        <v/>
      </c>
      <c r="J1451" s="2"/>
      <c r="K1451" s="2"/>
    </row>
    <row r="1452" spans="1:11">
      <c r="A1452" s="4" t="str">
        <f>IF(D1452="","",COUNTIF($D$5:D1452,"?*"))</f>
        <v/>
      </c>
      <c r="B1452" s="5"/>
      <c r="C1452" s="4" t="str">
        <f>IF(B1452="","",INDEX({"Ocak","Şubat","Mart","Nisan","Mayıs","Haziran","Temmuz","Ağustos","Eylül","Ekim","Kasım","Aralık"},MONTH(B1452)))</f>
        <v/>
      </c>
      <c r="D1452" s="2"/>
      <c r="E1452" s="4" t="str">
        <f>IFERROR(INDEX('Araç Tanımlama'!$D$5:$D$200,MATCH(D1452,'Araç Tanımlama'!$A$5:$A$200,0)),"")</f>
        <v/>
      </c>
      <c r="F1452" s="4" t="str">
        <f>IFERROR(INDEX('Araç Tanımlama'!$E$5:$E$200,MATCH(D1452,'Araç Tanımlama'!$A$5:$A$200,0)),"")</f>
        <v/>
      </c>
      <c r="G1452" s="2"/>
      <c r="H1452" s="7"/>
      <c r="I1452" s="9" t="str">
        <f>IF(OR(G1452="",H1452=""),"",G1452*H1452)</f>
        <v/>
      </c>
      <c r="J1452" s="2"/>
      <c r="K1452" s="2"/>
    </row>
    <row r="1453" spans="1:11">
      <c r="A1453" s="4" t="str">
        <f>IF(D1453="","",COUNTIF($D$5:D1453,"?*"))</f>
        <v/>
      </c>
      <c r="B1453" s="5"/>
      <c r="C1453" s="4" t="str">
        <f>IF(B1453="","",INDEX({"Ocak","Şubat","Mart","Nisan","Mayıs","Haziran","Temmuz","Ağustos","Eylül","Ekim","Kasım","Aralık"},MONTH(B1453)))</f>
        <v/>
      </c>
      <c r="D1453" s="2"/>
      <c r="E1453" s="4" t="str">
        <f>IFERROR(INDEX('Araç Tanımlama'!$D$5:$D$200,MATCH(D1453,'Araç Tanımlama'!$A$5:$A$200,0)),"")</f>
        <v/>
      </c>
      <c r="F1453" s="4" t="str">
        <f>IFERROR(INDEX('Araç Tanımlama'!$E$5:$E$200,MATCH(D1453,'Araç Tanımlama'!$A$5:$A$200,0)),"")</f>
        <v/>
      </c>
      <c r="G1453" s="2"/>
      <c r="H1453" s="7"/>
      <c r="I1453" s="9" t="str">
        <f>IF(OR(G1453="",H1453=""),"",G1453*H1453)</f>
        <v/>
      </c>
      <c r="J1453" s="2"/>
      <c r="K1453" s="2"/>
    </row>
    <row r="1454" spans="1:11">
      <c r="A1454" s="4" t="str">
        <f>IF(D1454="","",COUNTIF($D$5:D1454,"?*"))</f>
        <v/>
      </c>
      <c r="B1454" s="5"/>
      <c r="C1454" s="4" t="str">
        <f>IF(B1454="","",INDEX({"Ocak","Şubat","Mart","Nisan","Mayıs","Haziran","Temmuz","Ağustos","Eylül","Ekim","Kasım","Aralık"},MONTH(B1454)))</f>
        <v/>
      </c>
      <c r="D1454" s="2"/>
      <c r="E1454" s="4" t="str">
        <f>IFERROR(INDEX('Araç Tanımlama'!$D$5:$D$200,MATCH(D1454,'Araç Tanımlama'!$A$5:$A$200,0)),"")</f>
        <v/>
      </c>
      <c r="F1454" s="4" t="str">
        <f>IFERROR(INDEX('Araç Tanımlama'!$E$5:$E$200,MATCH(D1454,'Araç Tanımlama'!$A$5:$A$200,0)),"")</f>
        <v/>
      </c>
      <c r="G1454" s="2"/>
      <c r="H1454" s="7"/>
      <c r="I1454" s="9" t="str">
        <f>IF(OR(G1454="",H1454=""),"",G1454*H1454)</f>
        <v/>
      </c>
      <c r="J1454" s="2"/>
      <c r="K1454" s="2"/>
    </row>
    <row r="1455" spans="1:11">
      <c r="A1455" s="4" t="str">
        <f>IF(D1455="","",COUNTIF($D$5:D1455,"?*"))</f>
        <v/>
      </c>
      <c r="B1455" s="5"/>
      <c r="C1455" s="4" t="str">
        <f>IF(B1455="","",INDEX({"Ocak","Şubat","Mart","Nisan","Mayıs","Haziran","Temmuz","Ağustos","Eylül","Ekim","Kasım","Aralık"},MONTH(B1455)))</f>
        <v/>
      </c>
      <c r="D1455" s="2"/>
      <c r="E1455" s="4" t="str">
        <f>IFERROR(INDEX('Araç Tanımlama'!$D$5:$D$200,MATCH(D1455,'Araç Tanımlama'!$A$5:$A$200,0)),"")</f>
        <v/>
      </c>
      <c r="F1455" s="4" t="str">
        <f>IFERROR(INDEX('Araç Tanımlama'!$E$5:$E$200,MATCH(D1455,'Araç Tanımlama'!$A$5:$A$200,0)),"")</f>
        <v/>
      </c>
      <c r="G1455" s="2"/>
      <c r="H1455" s="7"/>
      <c r="I1455" s="9" t="str">
        <f>IF(OR(G1455="",H1455=""),"",G1455*H1455)</f>
        <v/>
      </c>
      <c r="J1455" s="2"/>
      <c r="K1455" s="2"/>
    </row>
    <row r="1456" spans="1:11">
      <c r="A1456" s="4" t="str">
        <f>IF(D1456="","",COUNTIF($D$5:D1456,"?*"))</f>
        <v/>
      </c>
      <c r="B1456" s="5"/>
      <c r="C1456" s="4" t="str">
        <f>IF(B1456="","",INDEX({"Ocak","Şubat","Mart","Nisan","Mayıs","Haziran","Temmuz","Ağustos","Eylül","Ekim","Kasım","Aralık"},MONTH(B1456)))</f>
        <v/>
      </c>
      <c r="D1456" s="2"/>
      <c r="E1456" s="4" t="str">
        <f>IFERROR(INDEX('Araç Tanımlama'!$D$5:$D$200,MATCH(D1456,'Araç Tanımlama'!$A$5:$A$200,0)),"")</f>
        <v/>
      </c>
      <c r="F1456" s="4" t="str">
        <f>IFERROR(INDEX('Araç Tanımlama'!$E$5:$E$200,MATCH(D1456,'Araç Tanımlama'!$A$5:$A$200,0)),"")</f>
        <v/>
      </c>
      <c r="G1456" s="2"/>
      <c r="H1456" s="7"/>
      <c r="I1456" s="9" t="str">
        <f>IF(OR(G1456="",H1456=""),"",G1456*H1456)</f>
        <v/>
      </c>
      <c r="J1456" s="2"/>
      <c r="K1456" s="2"/>
    </row>
    <row r="1457" spans="1:11">
      <c r="A1457" s="4" t="str">
        <f>IF(D1457="","",COUNTIF($D$5:D1457,"?*"))</f>
        <v/>
      </c>
      <c r="B1457" s="5"/>
      <c r="C1457" s="4" t="str">
        <f>IF(B1457="","",INDEX({"Ocak","Şubat","Mart","Nisan","Mayıs","Haziran","Temmuz","Ağustos","Eylül","Ekim","Kasım","Aralık"},MONTH(B1457)))</f>
        <v/>
      </c>
      <c r="D1457" s="2"/>
      <c r="E1457" s="4" t="str">
        <f>IFERROR(INDEX('Araç Tanımlama'!$D$5:$D$200,MATCH(D1457,'Araç Tanımlama'!$A$5:$A$200,0)),"")</f>
        <v/>
      </c>
      <c r="F1457" s="4" t="str">
        <f>IFERROR(INDEX('Araç Tanımlama'!$E$5:$E$200,MATCH(D1457,'Araç Tanımlama'!$A$5:$A$200,0)),"")</f>
        <v/>
      </c>
      <c r="G1457" s="2"/>
      <c r="H1457" s="7"/>
      <c r="I1457" s="9" t="str">
        <f>IF(OR(G1457="",H1457=""),"",G1457*H1457)</f>
        <v/>
      </c>
      <c r="J1457" s="2"/>
      <c r="K1457" s="2"/>
    </row>
    <row r="1458" spans="1:11">
      <c r="A1458" s="4" t="str">
        <f>IF(D1458="","",COUNTIF($D$5:D1458,"?*"))</f>
        <v/>
      </c>
      <c r="B1458" s="5"/>
      <c r="C1458" s="4" t="str">
        <f>IF(B1458="","",INDEX({"Ocak","Şubat","Mart","Nisan","Mayıs","Haziran","Temmuz","Ağustos","Eylül","Ekim","Kasım","Aralık"},MONTH(B1458)))</f>
        <v/>
      </c>
      <c r="D1458" s="2"/>
      <c r="E1458" s="4" t="str">
        <f>IFERROR(INDEX('Araç Tanımlama'!$D$5:$D$200,MATCH(D1458,'Araç Tanımlama'!$A$5:$A$200,0)),"")</f>
        <v/>
      </c>
      <c r="F1458" s="4" t="str">
        <f>IFERROR(INDEX('Araç Tanımlama'!$E$5:$E$200,MATCH(D1458,'Araç Tanımlama'!$A$5:$A$200,0)),"")</f>
        <v/>
      </c>
      <c r="G1458" s="2"/>
      <c r="H1458" s="7"/>
      <c r="I1458" s="9" t="str">
        <f>IF(OR(G1458="",H1458=""),"",G1458*H1458)</f>
        <v/>
      </c>
      <c r="J1458" s="2"/>
      <c r="K1458" s="2"/>
    </row>
    <row r="1459" spans="1:11">
      <c r="A1459" s="4" t="str">
        <f>IF(D1459="","",COUNTIF($D$5:D1459,"?*"))</f>
        <v/>
      </c>
      <c r="B1459" s="5"/>
      <c r="C1459" s="4" t="str">
        <f>IF(B1459="","",INDEX({"Ocak","Şubat","Mart","Nisan","Mayıs","Haziran","Temmuz","Ağustos","Eylül","Ekim","Kasım","Aralık"},MONTH(B1459)))</f>
        <v/>
      </c>
      <c r="D1459" s="2"/>
      <c r="E1459" s="4" t="str">
        <f>IFERROR(INDEX('Araç Tanımlama'!$D$5:$D$200,MATCH(D1459,'Araç Tanımlama'!$A$5:$A$200,0)),"")</f>
        <v/>
      </c>
      <c r="F1459" s="4" t="str">
        <f>IFERROR(INDEX('Araç Tanımlama'!$E$5:$E$200,MATCH(D1459,'Araç Tanımlama'!$A$5:$A$200,0)),"")</f>
        <v/>
      </c>
      <c r="G1459" s="2"/>
      <c r="H1459" s="7"/>
      <c r="I1459" s="9" t="str">
        <f>IF(OR(G1459="",H1459=""),"",G1459*H1459)</f>
        <v/>
      </c>
      <c r="J1459" s="2"/>
      <c r="K1459" s="2"/>
    </row>
    <row r="1460" spans="1:11">
      <c r="A1460" s="4" t="str">
        <f>IF(D1460="","",COUNTIF($D$5:D1460,"?*"))</f>
        <v/>
      </c>
      <c r="B1460" s="5"/>
      <c r="C1460" s="4" t="str">
        <f>IF(B1460="","",INDEX({"Ocak","Şubat","Mart","Nisan","Mayıs","Haziran","Temmuz","Ağustos","Eylül","Ekim","Kasım","Aralık"},MONTH(B1460)))</f>
        <v/>
      </c>
      <c r="D1460" s="2"/>
      <c r="E1460" s="4" t="str">
        <f>IFERROR(INDEX('Araç Tanımlama'!$D$5:$D$200,MATCH(D1460,'Araç Tanımlama'!$A$5:$A$200,0)),"")</f>
        <v/>
      </c>
      <c r="F1460" s="4" t="str">
        <f>IFERROR(INDEX('Araç Tanımlama'!$E$5:$E$200,MATCH(D1460,'Araç Tanımlama'!$A$5:$A$200,0)),"")</f>
        <v/>
      </c>
      <c r="G1460" s="2"/>
      <c r="H1460" s="7"/>
      <c r="I1460" s="9" t="str">
        <f>IF(OR(G1460="",H1460=""),"",G1460*H1460)</f>
        <v/>
      </c>
      <c r="J1460" s="2"/>
      <c r="K1460" s="2"/>
    </row>
    <row r="1461" spans="1:11">
      <c r="A1461" s="4" t="str">
        <f>IF(D1461="","",COUNTIF($D$5:D1461,"?*"))</f>
        <v/>
      </c>
      <c r="B1461" s="5"/>
      <c r="C1461" s="4" t="str">
        <f>IF(B1461="","",INDEX({"Ocak","Şubat","Mart","Nisan","Mayıs","Haziran","Temmuz","Ağustos","Eylül","Ekim","Kasım","Aralık"},MONTH(B1461)))</f>
        <v/>
      </c>
      <c r="D1461" s="2"/>
      <c r="E1461" s="4" t="str">
        <f>IFERROR(INDEX('Araç Tanımlama'!$D$5:$D$200,MATCH(D1461,'Araç Tanımlama'!$A$5:$A$200,0)),"")</f>
        <v/>
      </c>
      <c r="F1461" s="4" t="str">
        <f>IFERROR(INDEX('Araç Tanımlama'!$E$5:$E$200,MATCH(D1461,'Araç Tanımlama'!$A$5:$A$200,0)),"")</f>
        <v/>
      </c>
      <c r="G1461" s="2"/>
      <c r="H1461" s="7"/>
      <c r="I1461" s="9" t="str">
        <f>IF(OR(G1461="",H1461=""),"",G1461*H1461)</f>
        <v/>
      </c>
      <c r="J1461" s="2"/>
      <c r="K1461" s="2"/>
    </row>
    <row r="1462" spans="1:11">
      <c r="A1462" s="4" t="str">
        <f>IF(D1462="","",COUNTIF($D$5:D1462,"?*"))</f>
        <v/>
      </c>
      <c r="B1462" s="5"/>
      <c r="C1462" s="4" t="str">
        <f>IF(B1462="","",INDEX({"Ocak","Şubat","Mart","Nisan","Mayıs","Haziran","Temmuz","Ağustos","Eylül","Ekim","Kasım","Aralık"},MONTH(B1462)))</f>
        <v/>
      </c>
      <c r="D1462" s="2"/>
      <c r="E1462" s="4" t="str">
        <f>IFERROR(INDEX('Araç Tanımlama'!$D$5:$D$200,MATCH(D1462,'Araç Tanımlama'!$A$5:$A$200,0)),"")</f>
        <v/>
      </c>
      <c r="F1462" s="4" t="str">
        <f>IFERROR(INDEX('Araç Tanımlama'!$E$5:$E$200,MATCH(D1462,'Araç Tanımlama'!$A$5:$A$200,0)),"")</f>
        <v/>
      </c>
      <c r="G1462" s="2"/>
      <c r="H1462" s="7"/>
      <c r="I1462" s="9" t="str">
        <f>IF(OR(G1462="",H1462=""),"",G1462*H1462)</f>
        <v/>
      </c>
      <c r="J1462" s="2"/>
      <c r="K1462" s="2"/>
    </row>
    <row r="1463" spans="1:11">
      <c r="A1463" s="4" t="str">
        <f>IF(D1463="","",COUNTIF($D$5:D1463,"?*"))</f>
        <v/>
      </c>
      <c r="B1463" s="5"/>
      <c r="C1463" s="4" t="str">
        <f>IF(B1463="","",INDEX({"Ocak","Şubat","Mart","Nisan","Mayıs","Haziran","Temmuz","Ağustos","Eylül","Ekim","Kasım","Aralık"},MONTH(B1463)))</f>
        <v/>
      </c>
      <c r="D1463" s="2"/>
      <c r="E1463" s="4" t="str">
        <f>IFERROR(INDEX('Araç Tanımlama'!$D$5:$D$200,MATCH(D1463,'Araç Tanımlama'!$A$5:$A$200,0)),"")</f>
        <v/>
      </c>
      <c r="F1463" s="4" t="str">
        <f>IFERROR(INDEX('Araç Tanımlama'!$E$5:$E$200,MATCH(D1463,'Araç Tanımlama'!$A$5:$A$200,0)),"")</f>
        <v/>
      </c>
      <c r="G1463" s="2"/>
      <c r="H1463" s="7"/>
      <c r="I1463" s="9" t="str">
        <f>IF(OR(G1463="",H1463=""),"",G1463*H1463)</f>
        <v/>
      </c>
      <c r="J1463" s="2"/>
      <c r="K1463" s="2"/>
    </row>
    <row r="1464" spans="1:11">
      <c r="A1464" s="4" t="str">
        <f>IF(D1464="","",COUNTIF($D$5:D1464,"?*"))</f>
        <v/>
      </c>
      <c r="B1464" s="5"/>
      <c r="C1464" s="4" t="str">
        <f>IF(B1464="","",INDEX({"Ocak","Şubat","Mart","Nisan","Mayıs","Haziran","Temmuz","Ağustos","Eylül","Ekim","Kasım","Aralık"},MONTH(B1464)))</f>
        <v/>
      </c>
      <c r="D1464" s="2"/>
      <c r="E1464" s="4" t="str">
        <f>IFERROR(INDEX('Araç Tanımlama'!$D$5:$D$200,MATCH(D1464,'Araç Tanımlama'!$A$5:$A$200,0)),"")</f>
        <v/>
      </c>
      <c r="F1464" s="4" t="str">
        <f>IFERROR(INDEX('Araç Tanımlama'!$E$5:$E$200,MATCH(D1464,'Araç Tanımlama'!$A$5:$A$200,0)),"")</f>
        <v/>
      </c>
      <c r="G1464" s="2"/>
      <c r="H1464" s="7"/>
      <c r="I1464" s="9" t="str">
        <f>IF(OR(G1464="",H1464=""),"",G1464*H1464)</f>
        <v/>
      </c>
      <c r="J1464" s="2"/>
      <c r="K1464" s="2"/>
    </row>
    <row r="1465" spans="1:11">
      <c r="A1465" s="4" t="str">
        <f>IF(D1465="","",COUNTIF($D$5:D1465,"?*"))</f>
        <v/>
      </c>
      <c r="B1465" s="5"/>
      <c r="C1465" s="4" t="str">
        <f>IF(B1465="","",INDEX({"Ocak","Şubat","Mart","Nisan","Mayıs","Haziran","Temmuz","Ağustos","Eylül","Ekim","Kasım","Aralık"},MONTH(B1465)))</f>
        <v/>
      </c>
      <c r="D1465" s="2"/>
      <c r="E1465" s="4" t="str">
        <f>IFERROR(INDEX('Araç Tanımlama'!$D$5:$D$200,MATCH(D1465,'Araç Tanımlama'!$A$5:$A$200,0)),"")</f>
        <v/>
      </c>
      <c r="F1465" s="4" t="str">
        <f>IFERROR(INDEX('Araç Tanımlama'!$E$5:$E$200,MATCH(D1465,'Araç Tanımlama'!$A$5:$A$200,0)),"")</f>
        <v/>
      </c>
      <c r="G1465" s="2"/>
      <c r="H1465" s="7"/>
      <c r="I1465" s="9" t="str">
        <f>IF(OR(G1465="",H1465=""),"",G1465*H1465)</f>
        <v/>
      </c>
      <c r="J1465" s="2"/>
      <c r="K1465" s="2"/>
    </row>
    <row r="1466" spans="1:11">
      <c r="A1466" s="4" t="str">
        <f>IF(D1466="","",COUNTIF($D$5:D1466,"?*"))</f>
        <v/>
      </c>
      <c r="B1466" s="5"/>
      <c r="C1466" s="4" t="str">
        <f>IF(B1466="","",INDEX({"Ocak","Şubat","Mart","Nisan","Mayıs","Haziran","Temmuz","Ağustos","Eylül","Ekim","Kasım","Aralık"},MONTH(B1466)))</f>
        <v/>
      </c>
      <c r="D1466" s="2"/>
      <c r="E1466" s="4" t="str">
        <f>IFERROR(INDEX('Araç Tanımlama'!$D$5:$D$200,MATCH(D1466,'Araç Tanımlama'!$A$5:$A$200,0)),"")</f>
        <v/>
      </c>
      <c r="F1466" s="4" t="str">
        <f>IFERROR(INDEX('Araç Tanımlama'!$E$5:$E$200,MATCH(D1466,'Araç Tanımlama'!$A$5:$A$200,0)),"")</f>
        <v/>
      </c>
      <c r="G1466" s="2"/>
      <c r="H1466" s="7"/>
      <c r="I1466" s="9" t="str">
        <f>IF(OR(G1466="",H1466=""),"",G1466*H1466)</f>
        <v/>
      </c>
      <c r="J1466" s="2"/>
      <c r="K1466" s="2"/>
    </row>
    <row r="1467" spans="1:11">
      <c r="A1467" s="4" t="str">
        <f>IF(D1467="","",COUNTIF($D$5:D1467,"?*"))</f>
        <v/>
      </c>
      <c r="B1467" s="5"/>
      <c r="C1467" s="4" t="str">
        <f>IF(B1467="","",INDEX({"Ocak","Şubat","Mart","Nisan","Mayıs","Haziran","Temmuz","Ağustos","Eylül","Ekim","Kasım","Aralık"},MONTH(B1467)))</f>
        <v/>
      </c>
      <c r="D1467" s="2"/>
      <c r="E1467" s="4" t="str">
        <f>IFERROR(INDEX('Araç Tanımlama'!$D$5:$D$200,MATCH(D1467,'Araç Tanımlama'!$A$5:$A$200,0)),"")</f>
        <v/>
      </c>
      <c r="F1467" s="4" t="str">
        <f>IFERROR(INDEX('Araç Tanımlama'!$E$5:$E$200,MATCH(D1467,'Araç Tanımlama'!$A$5:$A$200,0)),"")</f>
        <v/>
      </c>
      <c r="G1467" s="2"/>
      <c r="H1467" s="7"/>
      <c r="I1467" s="9" t="str">
        <f>IF(OR(G1467="",H1467=""),"",G1467*H1467)</f>
        <v/>
      </c>
      <c r="J1467" s="2"/>
      <c r="K1467" s="2"/>
    </row>
    <row r="1468" spans="1:11">
      <c r="A1468" s="4" t="str">
        <f>IF(D1468="","",COUNTIF($D$5:D1468,"?*"))</f>
        <v/>
      </c>
      <c r="B1468" s="5"/>
      <c r="C1468" s="4" t="str">
        <f>IF(B1468="","",INDEX({"Ocak","Şubat","Mart","Nisan","Mayıs","Haziran","Temmuz","Ağustos","Eylül","Ekim","Kasım","Aralık"},MONTH(B1468)))</f>
        <v/>
      </c>
      <c r="D1468" s="2"/>
      <c r="E1468" s="4" t="str">
        <f>IFERROR(INDEX('Araç Tanımlama'!$D$5:$D$200,MATCH(D1468,'Araç Tanımlama'!$A$5:$A$200,0)),"")</f>
        <v/>
      </c>
      <c r="F1468" s="4" t="str">
        <f>IFERROR(INDEX('Araç Tanımlama'!$E$5:$E$200,MATCH(D1468,'Araç Tanımlama'!$A$5:$A$200,0)),"")</f>
        <v/>
      </c>
      <c r="G1468" s="2"/>
      <c r="H1468" s="7"/>
      <c r="I1468" s="9" t="str">
        <f>IF(OR(G1468="",H1468=""),"",G1468*H1468)</f>
        <v/>
      </c>
      <c r="J1468" s="2"/>
      <c r="K1468" s="2"/>
    </row>
    <row r="1469" spans="1:11">
      <c r="A1469" s="4" t="str">
        <f>IF(D1469="","",COUNTIF($D$5:D1469,"?*"))</f>
        <v/>
      </c>
      <c r="B1469" s="5"/>
      <c r="C1469" s="4" t="str">
        <f>IF(B1469="","",INDEX({"Ocak","Şubat","Mart","Nisan","Mayıs","Haziran","Temmuz","Ağustos","Eylül","Ekim","Kasım","Aralık"},MONTH(B1469)))</f>
        <v/>
      </c>
      <c r="D1469" s="2"/>
      <c r="E1469" s="4" t="str">
        <f>IFERROR(INDEX('Araç Tanımlama'!$D$5:$D$200,MATCH(D1469,'Araç Tanımlama'!$A$5:$A$200,0)),"")</f>
        <v/>
      </c>
      <c r="F1469" s="4" t="str">
        <f>IFERROR(INDEX('Araç Tanımlama'!$E$5:$E$200,MATCH(D1469,'Araç Tanımlama'!$A$5:$A$200,0)),"")</f>
        <v/>
      </c>
      <c r="G1469" s="2"/>
      <c r="H1469" s="7"/>
      <c r="I1469" s="9" t="str">
        <f>IF(OR(G1469="",H1469=""),"",G1469*H1469)</f>
        <v/>
      </c>
      <c r="J1469" s="2"/>
      <c r="K1469" s="2"/>
    </row>
    <row r="1470" spans="1:11">
      <c r="A1470" s="4" t="str">
        <f>IF(D1470="","",COUNTIF($D$5:D1470,"?*"))</f>
        <v/>
      </c>
      <c r="B1470" s="5"/>
      <c r="C1470" s="4" t="str">
        <f>IF(B1470="","",INDEX({"Ocak","Şubat","Mart","Nisan","Mayıs","Haziran","Temmuz","Ağustos","Eylül","Ekim","Kasım","Aralık"},MONTH(B1470)))</f>
        <v/>
      </c>
      <c r="D1470" s="2"/>
      <c r="E1470" s="4" t="str">
        <f>IFERROR(INDEX('Araç Tanımlama'!$D$5:$D$200,MATCH(D1470,'Araç Tanımlama'!$A$5:$A$200,0)),"")</f>
        <v/>
      </c>
      <c r="F1470" s="4" t="str">
        <f>IFERROR(INDEX('Araç Tanımlama'!$E$5:$E$200,MATCH(D1470,'Araç Tanımlama'!$A$5:$A$200,0)),"")</f>
        <v/>
      </c>
      <c r="G1470" s="2"/>
      <c r="H1470" s="7"/>
      <c r="I1470" s="9" t="str">
        <f>IF(OR(G1470="",H1470=""),"",G1470*H1470)</f>
        <v/>
      </c>
      <c r="J1470" s="2"/>
      <c r="K1470" s="2"/>
    </row>
    <row r="1471" spans="1:11">
      <c r="A1471" s="4" t="str">
        <f>IF(D1471="","",COUNTIF($D$5:D1471,"?*"))</f>
        <v/>
      </c>
      <c r="B1471" s="5"/>
      <c r="C1471" s="4" t="str">
        <f>IF(B1471="","",INDEX({"Ocak","Şubat","Mart","Nisan","Mayıs","Haziran","Temmuz","Ağustos","Eylül","Ekim","Kasım","Aralık"},MONTH(B1471)))</f>
        <v/>
      </c>
      <c r="D1471" s="2"/>
      <c r="E1471" s="4" t="str">
        <f>IFERROR(INDEX('Araç Tanımlama'!$D$5:$D$200,MATCH(D1471,'Araç Tanımlama'!$A$5:$A$200,0)),"")</f>
        <v/>
      </c>
      <c r="F1471" s="4" t="str">
        <f>IFERROR(INDEX('Araç Tanımlama'!$E$5:$E$200,MATCH(D1471,'Araç Tanımlama'!$A$5:$A$200,0)),"")</f>
        <v/>
      </c>
      <c r="G1471" s="2"/>
      <c r="H1471" s="7"/>
      <c r="I1471" s="9" t="str">
        <f>IF(OR(G1471="",H1471=""),"",G1471*H1471)</f>
        <v/>
      </c>
      <c r="J1471" s="2"/>
      <c r="K1471" s="2"/>
    </row>
    <row r="1472" spans="1:11">
      <c r="A1472" s="4" t="str">
        <f>IF(D1472="","",COUNTIF($D$5:D1472,"?*"))</f>
        <v/>
      </c>
      <c r="B1472" s="5"/>
      <c r="C1472" s="4" t="str">
        <f>IF(B1472="","",INDEX({"Ocak","Şubat","Mart","Nisan","Mayıs","Haziran","Temmuz","Ağustos","Eylül","Ekim","Kasım","Aralık"},MONTH(B1472)))</f>
        <v/>
      </c>
      <c r="D1472" s="2"/>
      <c r="E1472" s="4" t="str">
        <f>IFERROR(INDEX('Araç Tanımlama'!$D$5:$D$200,MATCH(D1472,'Araç Tanımlama'!$A$5:$A$200,0)),"")</f>
        <v/>
      </c>
      <c r="F1472" s="4" t="str">
        <f>IFERROR(INDEX('Araç Tanımlama'!$E$5:$E$200,MATCH(D1472,'Araç Tanımlama'!$A$5:$A$200,0)),"")</f>
        <v/>
      </c>
      <c r="G1472" s="2"/>
      <c r="H1472" s="7"/>
      <c r="I1472" s="9" t="str">
        <f>IF(OR(G1472="",H1472=""),"",G1472*H1472)</f>
        <v/>
      </c>
      <c r="J1472" s="2"/>
      <c r="K1472" s="2"/>
    </row>
    <row r="1473" spans="1:11">
      <c r="A1473" s="4" t="str">
        <f>IF(D1473="","",COUNTIF($D$5:D1473,"?*"))</f>
        <v/>
      </c>
      <c r="B1473" s="5"/>
      <c r="C1473" s="4" t="str">
        <f>IF(B1473="","",INDEX({"Ocak","Şubat","Mart","Nisan","Mayıs","Haziran","Temmuz","Ağustos","Eylül","Ekim","Kasım","Aralık"},MONTH(B1473)))</f>
        <v/>
      </c>
      <c r="D1473" s="2"/>
      <c r="E1473" s="4" t="str">
        <f>IFERROR(INDEX('Araç Tanımlama'!$D$5:$D$200,MATCH(D1473,'Araç Tanımlama'!$A$5:$A$200,0)),"")</f>
        <v/>
      </c>
      <c r="F1473" s="4" t="str">
        <f>IFERROR(INDEX('Araç Tanımlama'!$E$5:$E$200,MATCH(D1473,'Araç Tanımlama'!$A$5:$A$200,0)),"")</f>
        <v/>
      </c>
      <c r="G1473" s="2"/>
      <c r="H1473" s="7"/>
      <c r="I1473" s="9" t="str">
        <f>IF(OR(G1473="",H1473=""),"",G1473*H1473)</f>
        <v/>
      </c>
      <c r="J1473" s="2"/>
      <c r="K1473" s="2"/>
    </row>
    <row r="1474" spans="1:11">
      <c r="A1474" s="4" t="str">
        <f>IF(D1474="","",COUNTIF($D$5:D1474,"?*"))</f>
        <v/>
      </c>
      <c r="B1474" s="5"/>
      <c r="C1474" s="4" t="str">
        <f>IF(B1474="","",INDEX({"Ocak","Şubat","Mart","Nisan","Mayıs","Haziran","Temmuz","Ağustos","Eylül","Ekim","Kasım","Aralık"},MONTH(B1474)))</f>
        <v/>
      </c>
      <c r="D1474" s="2"/>
      <c r="E1474" s="4" t="str">
        <f>IFERROR(INDEX('Araç Tanımlama'!$D$5:$D$200,MATCH(D1474,'Araç Tanımlama'!$A$5:$A$200,0)),"")</f>
        <v/>
      </c>
      <c r="F1474" s="4" t="str">
        <f>IFERROR(INDEX('Araç Tanımlama'!$E$5:$E$200,MATCH(D1474,'Araç Tanımlama'!$A$5:$A$200,0)),"")</f>
        <v/>
      </c>
      <c r="G1474" s="2"/>
      <c r="H1474" s="7"/>
      <c r="I1474" s="9" t="str">
        <f>IF(OR(G1474="",H1474=""),"",G1474*H1474)</f>
        <v/>
      </c>
      <c r="J1474" s="2"/>
      <c r="K1474" s="2"/>
    </row>
    <row r="1475" spans="1:11">
      <c r="A1475" s="4" t="str">
        <f>IF(D1475="","",COUNTIF($D$5:D1475,"?*"))</f>
        <v/>
      </c>
      <c r="B1475" s="5"/>
      <c r="C1475" s="4" t="str">
        <f>IF(B1475="","",INDEX({"Ocak","Şubat","Mart","Nisan","Mayıs","Haziran","Temmuz","Ağustos","Eylül","Ekim","Kasım","Aralık"},MONTH(B1475)))</f>
        <v/>
      </c>
      <c r="D1475" s="2"/>
      <c r="E1475" s="4" t="str">
        <f>IFERROR(INDEX('Araç Tanımlama'!$D$5:$D$200,MATCH(D1475,'Araç Tanımlama'!$A$5:$A$200,0)),"")</f>
        <v/>
      </c>
      <c r="F1475" s="4" t="str">
        <f>IFERROR(INDEX('Araç Tanımlama'!$E$5:$E$200,MATCH(D1475,'Araç Tanımlama'!$A$5:$A$200,0)),"")</f>
        <v/>
      </c>
      <c r="G1475" s="2"/>
      <c r="H1475" s="7"/>
      <c r="I1475" s="9" t="str">
        <f>IF(OR(G1475="",H1475=""),"",G1475*H1475)</f>
        <v/>
      </c>
      <c r="J1475" s="2"/>
      <c r="K1475" s="2"/>
    </row>
    <row r="1476" spans="1:11">
      <c r="A1476" s="4" t="str">
        <f>IF(D1476="","",COUNTIF($D$5:D1476,"?*"))</f>
        <v/>
      </c>
      <c r="B1476" s="5"/>
      <c r="C1476" s="4" t="str">
        <f>IF(B1476="","",INDEX({"Ocak","Şubat","Mart","Nisan","Mayıs","Haziran","Temmuz","Ağustos","Eylül","Ekim","Kasım","Aralık"},MONTH(B1476)))</f>
        <v/>
      </c>
      <c r="D1476" s="2"/>
      <c r="E1476" s="4" t="str">
        <f>IFERROR(INDEX('Araç Tanımlama'!$D$5:$D$200,MATCH(D1476,'Araç Tanımlama'!$A$5:$A$200,0)),"")</f>
        <v/>
      </c>
      <c r="F1476" s="4" t="str">
        <f>IFERROR(INDEX('Araç Tanımlama'!$E$5:$E$200,MATCH(D1476,'Araç Tanımlama'!$A$5:$A$200,0)),"")</f>
        <v/>
      </c>
      <c r="G1476" s="2"/>
      <c r="H1476" s="7"/>
      <c r="I1476" s="9" t="str">
        <f>IF(OR(G1476="",H1476=""),"",G1476*H1476)</f>
        <v/>
      </c>
      <c r="J1476" s="2"/>
      <c r="K1476" s="2"/>
    </row>
    <row r="1477" spans="1:11">
      <c r="A1477" s="4" t="str">
        <f>IF(D1477="","",COUNTIF($D$5:D1477,"?*"))</f>
        <v/>
      </c>
      <c r="B1477" s="5"/>
      <c r="C1477" s="4" t="str">
        <f>IF(B1477="","",INDEX({"Ocak","Şubat","Mart","Nisan","Mayıs","Haziran","Temmuz","Ağustos","Eylül","Ekim","Kasım","Aralık"},MONTH(B1477)))</f>
        <v/>
      </c>
      <c r="D1477" s="2"/>
      <c r="E1477" s="4" t="str">
        <f>IFERROR(INDEX('Araç Tanımlama'!$D$5:$D$200,MATCH(D1477,'Araç Tanımlama'!$A$5:$A$200,0)),"")</f>
        <v/>
      </c>
      <c r="F1477" s="4" t="str">
        <f>IFERROR(INDEX('Araç Tanımlama'!$E$5:$E$200,MATCH(D1477,'Araç Tanımlama'!$A$5:$A$200,0)),"")</f>
        <v/>
      </c>
      <c r="G1477" s="2"/>
      <c r="H1477" s="7"/>
      <c r="I1477" s="9" t="str">
        <f>IF(OR(G1477="",H1477=""),"",G1477*H1477)</f>
        <v/>
      </c>
      <c r="J1477" s="2"/>
      <c r="K1477" s="2"/>
    </row>
    <row r="1478" spans="1:11">
      <c r="A1478" s="4" t="str">
        <f>IF(D1478="","",COUNTIF($D$5:D1478,"?*"))</f>
        <v/>
      </c>
      <c r="B1478" s="5"/>
      <c r="C1478" s="4" t="str">
        <f>IF(B1478="","",INDEX({"Ocak","Şubat","Mart","Nisan","Mayıs","Haziran","Temmuz","Ağustos","Eylül","Ekim","Kasım","Aralık"},MONTH(B1478)))</f>
        <v/>
      </c>
      <c r="D1478" s="2"/>
      <c r="E1478" s="4" t="str">
        <f>IFERROR(INDEX('Araç Tanımlama'!$D$5:$D$200,MATCH(D1478,'Araç Tanımlama'!$A$5:$A$200,0)),"")</f>
        <v/>
      </c>
      <c r="F1478" s="4" t="str">
        <f>IFERROR(INDEX('Araç Tanımlama'!$E$5:$E$200,MATCH(D1478,'Araç Tanımlama'!$A$5:$A$200,0)),"")</f>
        <v/>
      </c>
      <c r="G1478" s="2"/>
      <c r="H1478" s="7"/>
      <c r="I1478" s="9" t="str">
        <f>IF(OR(G1478="",H1478=""),"",G1478*H1478)</f>
        <v/>
      </c>
      <c r="J1478" s="2"/>
      <c r="K1478" s="2"/>
    </row>
    <row r="1479" spans="1:11">
      <c r="A1479" s="4" t="str">
        <f>IF(D1479="","",COUNTIF($D$5:D1479,"?*"))</f>
        <v/>
      </c>
      <c r="B1479" s="5"/>
      <c r="C1479" s="4" t="str">
        <f>IF(B1479="","",INDEX({"Ocak","Şubat","Mart","Nisan","Mayıs","Haziran","Temmuz","Ağustos","Eylül","Ekim","Kasım","Aralık"},MONTH(B1479)))</f>
        <v/>
      </c>
      <c r="D1479" s="2"/>
      <c r="E1479" s="4" t="str">
        <f>IFERROR(INDEX('Araç Tanımlama'!$D$5:$D$200,MATCH(D1479,'Araç Tanımlama'!$A$5:$A$200,0)),"")</f>
        <v/>
      </c>
      <c r="F1479" s="4" t="str">
        <f>IFERROR(INDEX('Araç Tanımlama'!$E$5:$E$200,MATCH(D1479,'Araç Tanımlama'!$A$5:$A$200,0)),"")</f>
        <v/>
      </c>
      <c r="G1479" s="2"/>
      <c r="H1479" s="7"/>
      <c r="I1479" s="9" t="str">
        <f>IF(OR(G1479="",H1479=""),"",G1479*H1479)</f>
        <v/>
      </c>
      <c r="J1479" s="2"/>
      <c r="K1479" s="2"/>
    </row>
    <row r="1480" spans="1:11">
      <c r="A1480" s="4" t="str">
        <f>IF(D1480="","",COUNTIF($D$5:D1480,"?*"))</f>
        <v/>
      </c>
      <c r="B1480" s="5"/>
      <c r="C1480" s="4" t="str">
        <f>IF(B1480="","",INDEX({"Ocak","Şubat","Mart","Nisan","Mayıs","Haziran","Temmuz","Ağustos","Eylül","Ekim","Kasım","Aralık"},MONTH(B1480)))</f>
        <v/>
      </c>
      <c r="D1480" s="2"/>
      <c r="E1480" s="4" t="str">
        <f>IFERROR(INDEX('Araç Tanımlama'!$D$5:$D$200,MATCH(D1480,'Araç Tanımlama'!$A$5:$A$200,0)),"")</f>
        <v/>
      </c>
      <c r="F1480" s="4" t="str">
        <f>IFERROR(INDEX('Araç Tanımlama'!$E$5:$E$200,MATCH(D1480,'Araç Tanımlama'!$A$5:$A$200,0)),"")</f>
        <v/>
      </c>
      <c r="G1480" s="2"/>
      <c r="H1480" s="7"/>
      <c r="I1480" s="9" t="str">
        <f>IF(OR(G1480="",H1480=""),"",G1480*H1480)</f>
        <v/>
      </c>
      <c r="J1480" s="2"/>
      <c r="K1480" s="2"/>
    </row>
    <row r="1481" spans="1:11">
      <c r="A1481" s="4" t="str">
        <f>IF(D1481="","",COUNTIF($D$5:D1481,"?*"))</f>
        <v/>
      </c>
      <c r="B1481" s="5"/>
      <c r="C1481" s="4" t="str">
        <f>IF(B1481="","",INDEX({"Ocak","Şubat","Mart","Nisan","Mayıs","Haziran","Temmuz","Ağustos","Eylül","Ekim","Kasım","Aralık"},MONTH(B1481)))</f>
        <v/>
      </c>
      <c r="D1481" s="2"/>
      <c r="E1481" s="4" t="str">
        <f>IFERROR(INDEX('Araç Tanımlama'!$D$5:$D$200,MATCH(D1481,'Araç Tanımlama'!$A$5:$A$200,0)),"")</f>
        <v/>
      </c>
      <c r="F1481" s="4" t="str">
        <f>IFERROR(INDEX('Araç Tanımlama'!$E$5:$E$200,MATCH(D1481,'Araç Tanımlama'!$A$5:$A$200,0)),"")</f>
        <v/>
      </c>
      <c r="G1481" s="2"/>
      <c r="H1481" s="7"/>
      <c r="I1481" s="9" t="str">
        <f>IF(OR(G1481="",H1481=""),"",G1481*H1481)</f>
        <v/>
      </c>
      <c r="J1481" s="2"/>
      <c r="K1481" s="2"/>
    </row>
    <row r="1482" spans="1:11">
      <c r="A1482" s="4" t="str">
        <f>IF(D1482="","",COUNTIF($D$5:D1482,"?*"))</f>
        <v/>
      </c>
      <c r="B1482" s="5"/>
      <c r="C1482" s="4" t="str">
        <f>IF(B1482="","",INDEX({"Ocak","Şubat","Mart","Nisan","Mayıs","Haziran","Temmuz","Ağustos","Eylül","Ekim","Kasım","Aralık"},MONTH(B1482)))</f>
        <v/>
      </c>
      <c r="D1482" s="2"/>
      <c r="E1482" s="4" t="str">
        <f>IFERROR(INDEX('Araç Tanımlama'!$D$5:$D$200,MATCH(D1482,'Araç Tanımlama'!$A$5:$A$200,0)),"")</f>
        <v/>
      </c>
      <c r="F1482" s="4" t="str">
        <f>IFERROR(INDEX('Araç Tanımlama'!$E$5:$E$200,MATCH(D1482,'Araç Tanımlama'!$A$5:$A$200,0)),"")</f>
        <v/>
      </c>
      <c r="G1482" s="2"/>
      <c r="H1482" s="7"/>
      <c r="I1482" s="9" t="str">
        <f>IF(OR(G1482="",H1482=""),"",G1482*H1482)</f>
        <v/>
      </c>
      <c r="J1482" s="2"/>
      <c r="K1482" s="2"/>
    </row>
    <row r="1483" spans="1:11">
      <c r="A1483" s="4" t="str">
        <f>IF(D1483="","",COUNTIF($D$5:D1483,"?*"))</f>
        <v/>
      </c>
      <c r="B1483" s="5"/>
      <c r="C1483" s="4" t="str">
        <f>IF(B1483="","",INDEX({"Ocak","Şubat","Mart","Nisan","Mayıs","Haziran","Temmuz","Ağustos","Eylül","Ekim","Kasım","Aralık"},MONTH(B1483)))</f>
        <v/>
      </c>
      <c r="D1483" s="2"/>
      <c r="E1483" s="4" t="str">
        <f>IFERROR(INDEX('Araç Tanımlama'!$D$5:$D$200,MATCH(D1483,'Araç Tanımlama'!$A$5:$A$200,0)),"")</f>
        <v/>
      </c>
      <c r="F1483" s="4" t="str">
        <f>IFERROR(INDEX('Araç Tanımlama'!$E$5:$E$200,MATCH(D1483,'Araç Tanımlama'!$A$5:$A$200,0)),"")</f>
        <v/>
      </c>
      <c r="G1483" s="2"/>
      <c r="H1483" s="7"/>
      <c r="I1483" s="9" t="str">
        <f>IF(OR(G1483="",H1483=""),"",G1483*H1483)</f>
        <v/>
      </c>
      <c r="J1483" s="2"/>
      <c r="K1483" s="2"/>
    </row>
    <row r="1484" spans="1:11">
      <c r="A1484" s="4" t="str">
        <f>IF(D1484="","",COUNTIF($D$5:D1484,"?*"))</f>
        <v/>
      </c>
      <c r="B1484" s="5"/>
      <c r="C1484" s="4" t="str">
        <f>IF(B1484="","",INDEX({"Ocak","Şubat","Mart","Nisan","Mayıs","Haziran","Temmuz","Ağustos","Eylül","Ekim","Kasım","Aralık"},MONTH(B1484)))</f>
        <v/>
      </c>
      <c r="D1484" s="2"/>
      <c r="E1484" s="4" t="str">
        <f>IFERROR(INDEX('Araç Tanımlama'!$D$5:$D$200,MATCH(D1484,'Araç Tanımlama'!$A$5:$A$200,0)),"")</f>
        <v/>
      </c>
      <c r="F1484" s="4" t="str">
        <f>IFERROR(INDEX('Araç Tanımlama'!$E$5:$E$200,MATCH(D1484,'Araç Tanımlama'!$A$5:$A$200,0)),"")</f>
        <v/>
      </c>
      <c r="G1484" s="2"/>
      <c r="H1484" s="7"/>
      <c r="I1484" s="9" t="str">
        <f>IF(OR(G1484="",H1484=""),"",G1484*H1484)</f>
        <v/>
      </c>
      <c r="J1484" s="2"/>
      <c r="K1484" s="2"/>
    </row>
    <row r="1485" spans="1:11">
      <c r="A1485" s="4" t="str">
        <f>IF(D1485="","",COUNTIF($D$5:D1485,"?*"))</f>
        <v/>
      </c>
      <c r="B1485" s="5"/>
      <c r="C1485" s="4" t="str">
        <f>IF(B1485="","",INDEX({"Ocak","Şubat","Mart","Nisan","Mayıs","Haziran","Temmuz","Ağustos","Eylül","Ekim","Kasım","Aralık"},MONTH(B1485)))</f>
        <v/>
      </c>
      <c r="D1485" s="2"/>
      <c r="E1485" s="4" t="str">
        <f>IFERROR(INDEX('Araç Tanımlama'!$D$5:$D$200,MATCH(D1485,'Araç Tanımlama'!$A$5:$A$200,0)),"")</f>
        <v/>
      </c>
      <c r="F1485" s="4" t="str">
        <f>IFERROR(INDEX('Araç Tanımlama'!$E$5:$E$200,MATCH(D1485,'Araç Tanımlama'!$A$5:$A$200,0)),"")</f>
        <v/>
      </c>
      <c r="G1485" s="2"/>
      <c r="H1485" s="7"/>
      <c r="I1485" s="9" t="str">
        <f>IF(OR(G1485="",H1485=""),"",G1485*H1485)</f>
        <v/>
      </c>
      <c r="J1485" s="2"/>
      <c r="K1485" s="2"/>
    </row>
    <row r="1486" spans="1:11">
      <c r="A1486" s="4" t="str">
        <f>IF(D1486="","",COUNTIF($D$5:D1486,"?*"))</f>
        <v/>
      </c>
      <c r="B1486" s="5"/>
      <c r="C1486" s="4" t="str">
        <f>IF(B1486="","",INDEX({"Ocak","Şubat","Mart","Nisan","Mayıs","Haziran","Temmuz","Ağustos","Eylül","Ekim","Kasım","Aralık"},MONTH(B1486)))</f>
        <v/>
      </c>
      <c r="D1486" s="2"/>
      <c r="E1486" s="4" t="str">
        <f>IFERROR(INDEX('Araç Tanımlama'!$D$5:$D$200,MATCH(D1486,'Araç Tanımlama'!$A$5:$A$200,0)),"")</f>
        <v/>
      </c>
      <c r="F1486" s="4" t="str">
        <f>IFERROR(INDEX('Araç Tanımlama'!$E$5:$E$200,MATCH(D1486,'Araç Tanımlama'!$A$5:$A$200,0)),"")</f>
        <v/>
      </c>
      <c r="G1486" s="2"/>
      <c r="H1486" s="7"/>
      <c r="I1486" s="9" t="str">
        <f>IF(OR(G1486="",H1486=""),"",G1486*H1486)</f>
        <v/>
      </c>
      <c r="J1486" s="2"/>
      <c r="K1486" s="2"/>
    </row>
    <row r="1487" spans="1:11">
      <c r="A1487" s="4" t="str">
        <f>IF(D1487="","",COUNTIF($D$5:D1487,"?*"))</f>
        <v/>
      </c>
      <c r="B1487" s="5"/>
      <c r="C1487" s="4" t="str">
        <f>IF(B1487="","",INDEX({"Ocak","Şubat","Mart","Nisan","Mayıs","Haziran","Temmuz","Ağustos","Eylül","Ekim","Kasım","Aralık"},MONTH(B1487)))</f>
        <v/>
      </c>
      <c r="D1487" s="2"/>
      <c r="E1487" s="4" t="str">
        <f>IFERROR(INDEX('Araç Tanımlama'!$D$5:$D$200,MATCH(D1487,'Araç Tanımlama'!$A$5:$A$200,0)),"")</f>
        <v/>
      </c>
      <c r="F1487" s="4" t="str">
        <f>IFERROR(INDEX('Araç Tanımlama'!$E$5:$E$200,MATCH(D1487,'Araç Tanımlama'!$A$5:$A$200,0)),"")</f>
        <v/>
      </c>
      <c r="G1487" s="2"/>
      <c r="H1487" s="7"/>
      <c r="I1487" s="9" t="str">
        <f>IF(OR(G1487="",H1487=""),"",G1487*H1487)</f>
        <v/>
      </c>
      <c r="J1487" s="2"/>
      <c r="K1487" s="2"/>
    </row>
    <row r="1488" spans="1:11">
      <c r="A1488" s="4" t="str">
        <f>IF(D1488="","",COUNTIF($D$5:D1488,"?*"))</f>
        <v/>
      </c>
      <c r="B1488" s="5"/>
      <c r="C1488" s="4" t="str">
        <f>IF(B1488="","",INDEX({"Ocak","Şubat","Mart","Nisan","Mayıs","Haziran","Temmuz","Ağustos","Eylül","Ekim","Kasım","Aralık"},MONTH(B1488)))</f>
        <v/>
      </c>
      <c r="D1488" s="2"/>
      <c r="E1488" s="4" t="str">
        <f>IFERROR(INDEX('Araç Tanımlama'!$D$5:$D$200,MATCH(D1488,'Araç Tanımlama'!$A$5:$A$200,0)),"")</f>
        <v/>
      </c>
      <c r="F1488" s="4" t="str">
        <f>IFERROR(INDEX('Araç Tanımlama'!$E$5:$E$200,MATCH(D1488,'Araç Tanımlama'!$A$5:$A$200,0)),"")</f>
        <v/>
      </c>
      <c r="G1488" s="2"/>
      <c r="H1488" s="7"/>
      <c r="I1488" s="9" t="str">
        <f>IF(OR(G1488="",H1488=""),"",G1488*H1488)</f>
        <v/>
      </c>
      <c r="J1488" s="2"/>
      <c r="K1488" s="2"/>
    </row>
    <row r="1489" spans="1:11">
      <c r="A1489" s="4" t="str">
        <f>IF(D1489="","",COUNTIF($D$5:D1489,"?*"))</f>
        <v/>
      </c>
      <c r="B1489" s="5"/>
      <c r="C1489" s="4" t="str">
        <f>IF(B1489="","",INDEX({"Ocak","Şubat","Mart","Nisan","Mayıs","Haziran","Temmuz","Ağustos","Eylül","Ekim","Kasım","Aralık"},MONTH(B1489)))</f>
        <v/>
      </c>
      <c r="D1489" s="2"/>
      <c r="E1489" s="4" t="str">
        <f>IFERROR(INDEX('Araç Tanımlama'!$D$5:$D$200,MATCH(D1489,'Araç Tanımlama'!$A$5:$A$200,0)),"")</f>
        <v/>
      </c>
      <c r="F1489" s="4" t="str">
        <f>IFERROR(INDEX('Araç Tanımlama'!$E$5:$E$200,MATCH(D1489,'Araç Tanımlama'!$A$5:$A$200,0)),"")</f>
        <v/>
      </c>
      <c r="G1489" s="2"/>
      <c r="H1489" s="7"/>
      <c r="I1489" s="9" t="str">
        <f>IF(OR(G1489="",H1489=""),"",G1489*H1489)</f>
        <v/>
      </c>
      <c r="J1489" s="2"/>
      <c r="K1489" s="2"/>
    </row>
    <row r="1490" spans="1:11">
      <c r="A1490" s="4" t="str">
        <f>IF(D1490="","",COUNTIF($D$5:D1490,"?*"))</f>
        <v/>
      </c>
      <c r="B1490" s="5"/>
      <c r="C1490" s="4" t="str">
        <f>IF(B1490="","",INDEX({"Ocak","Şubat","Mart","Nisan","Mayıs","Haziran","Temmuz","Ağustos","Eylül","Ekim","Kasım","Aralık"},MONTH(B1490)))</f>
        <v/>
      </c>
      <c r="D1490" s="2"/>
      <c r="E1490" s="4" t="str">
        <f>IFERROR(INDEX('Araç Tanımlama'!$D$5:$D$200,MATCH(D1490,'Araç Tanımlama'!$A$5:$A$200,0)),"")</f>
        <v/>
      </c>
      <c r="F1490" s="4" t="str">
        <f>IFERROR(INDEX('Araç Tanımlama'!$E$5:$E$200,MATCH(D1490,'Araç Tanımlama'!$A$5:$A$200,0)),"")</f>
        <v/>
      </c>
      <c r="G1490" s="2"/>
      <c r="H1490" s="7"/>
      <c r="I1490" s="9" t="str">
        <f>IF(OR(G1490="",H1490=""),"",G1490*H1490)</f>
        <v/>
      </c>
      <c r="J1490" s="2"/>
      <c r="K1490" s="2"/>
    </row>
    <row r="1491" spans="1:11">
      <c r="A1491" s="4" t="str">
        <f>IF(D1491="","",COUNTIF($D$5:D1491,"?*"))</f>
        <v/>
      </c>
      <c r="B1491" s="5"/>
      <c r="C1491" s="4" t="str">
        <f>IF(B1491="","",INDEX({"Ocak","Şubat","Mart","Nisan","Mayıs","Haziran","Temmuz","Ağustos","Eylül","Ekim","Kasım","Aralık"},MONTH(B1491)))</f>
        <v/>
      </c>
      <c r="D1491" s="2"/>
      <c r="E1491" s="4" t="str">
        <f>IFERROR(INDEX('Araç Tanımlama'!$D$5:$D$200,MATCH(D1491,'Araç Tanımlama'!$A$5:$A$200,0)),"")</f>
        <v/>
      </c>
      <c r="F1491" s="4" t="str">
        <f>IFERROR(INDEX('Araç Tanımlama'!$E$5:$E$200,MATCH(D1491,'Araç Tanımlama'!$A$5:$A$200,0)),"")</f>
        <v/>
      </c>
      <c r="G1491" s="2"/>
      <c r="H1491" s="7"/>
      <c r="I1491" s="9" t="str">
        <f>IF(OR(G1491="",H1491=""),"",G1491*H1491)</f>
        <v/>
      </c>
      <c r="J1491" s="2"/>
      <c r="K1491" s="2"/>
    </row>
    <row r="1492" spans="1:11">
      <c r="A1492" s="4" t="str">
        <f>IF(D1492="","",COUNTIF($D$5:D1492,"?*"))</f>
        <v/>
      </c>
      <c r="B1492" s="5"/>
      <c r="C1492" s="4" t="str">
        <f>IF(B1492="","",INDEX({"Ocak","Şubat","Mart","Nisan","Mayıs","Haziran","Temmuz","Ağustos","Eylül","Ekim","Kasım","Aralık"},MONTH(B1492)))</f>
        <v/>
      </c>
      <c r="D1492" s="2"/>
      <c r="E1492" s="4" t="str">
        <f>IFERROR(INDEX('Araç Tanımlama'!$D$5:$D$200,MATCH(D1492,'Araç Tanımlama'!$A$5:$A$200,0)),"")</f>
        <v/>
      </c>
      <c r="F1492" s="4" t="str">
        <f>IFERROR(INDEX('Araç Tanımlama'!$E$5:$E$200,MATCH(D1492,'Araç Tanımlama'!$A$5:$A$200,0)),"")</f>
        <v/>
      </c>
      <c r="G1492" s="2"/>
      <c r="H1492" s="7"/>
      <c r="I1492" s="9" t="str">
        <f>IF(OR(G1492="",H1492=""),"",G1492*H1492)</f>
        <v/>
      </c>
      <c r="J1492" s="2"/>
      <c r="K1492" s="2"/>
    </row>
    <row r="1493" spans="1:11">
      <c r="A1493" s="4" t="str">
        <f>IF(D1493="","",COUNTIF($D$5:D1493,"?*"))</f>
        <v/>
      </c>
      <c r="B1493" s="5"/>
      <c r="C1493" s="4" t="str">
        <f>IF(B1493="","",INDEX({"Ocak","Şubat","Mart","Nisan","Mayıs","Haziran","Temmuz","Ağustos","Eylül","Ekim","Kasım","Aralık"},MONTH(B1493)))</f>
        <v/>
      </c>
      <c r="D1493" s="2"/>
      <c r="E1493" s="4" t="str">
        <f>IFERROR(INDEX('Araç Tanımlama'!$D$5:$D$200,MATCH(D1493,'Araç Tanımlama'!$A$5:$A$200,0)),"")</f>
        <v/>
      </c>
      <c r="F1493" s="4" t="str">
        <f>IFERROR(INDEX('Araç Tanımlama'!$E$5:$E$200,MATCH(D1493,'Araç Tanımlama'!$A$5:$A$200,0)),"")</f>
        <v/>
      </c>
      <c r="G1493" s="2"/>
      <c r="H1493" s="7"/>
      <c r="I1493" s="9" t="str">
        <f>IF(OR(G1493="",H1493=""),"",G1493*H1493)</f>
        <v/>
      </c>
      <c r="J1493" s="2"/>
      <c r="K1493" s="2"/>
    </row>
    <row r="1494" spans="1:11">
      <c r="A1494" s="4" t="str">
        <f>IF(D1494="","",COUNTIF($D$5:D1494,"?*"))</f>
        <v/>
      </c>
      <c r="B1494" s="5"/>
      <c r="C1494" s="4" t="str">
        <f>IF(B1494="","",INDEX({"Ocak","Şubat","Mart","Nisan","Mayıs","Haziran","Temmuz","Ağustos","Eylül","Ekim","Kasım","Aralık"},MONTH(B1494)))</f>
        <v/>
      </c>
      <c r="D1494" s="2"/>
      <c r="E1494" s="4" t="str">
        <f>IFERROR(INDEX('Araç Tanımlama'!$D$5:$D$200,MATCH(D1494,'Araç Tanımlama'!$A$5:$A$200,0)),"")</f>
        <v/>
      </c>
      <c r="F1494" s="4" t="str">
        <f>IFERROR(INDEX('Araç Tanımlama'!$E$5:$E$200,MATCH(D1494,'Araç Tanımlama'!$A$5:$A$200,0)),"")</f>
        <v/>
      </c>
      <c r="G1494" s="2"/>
      <c r="H1494" s="7"/>
      <c r="I1494" s="9" t="str">
        <f>IF(OR(G1494="",H1494=""),"",G1494*H1494)</f>
        <v/>
      </c>
      <c r="J1494" s="2"/>
      <c r="K1494" s="2"/>
    </row>
    <row r="1495" spans="1:11">
      <c r="A1495" s="4" t="str">
        <f>IF(D1495="","",COUNTIF($D$5:D1495,"?*"))</f>
        <v/>
      </c>
      <c r="B1495" s="5"/>
      <c r="C1495" s="4" t="str">
        <f>IF(B1495="","",INDEX({"Ocak","Şubat","Mart","Nisan","Mayıs","Haziran","Temmuz","Ağustos","Eylül","Ekim","Kasım","Aralık"},MONTH(B1495)))</f>
        <v/>
      </c>
      <c r="D1495" s="2"/>
      <c r="E1495" s="4" t="str">
        <f>IFERROR(INDEX('Araç Tanımlama'!$D$5:$D$200,MATCH(D1495,'Araç Tanımlama'!$A$5:$A$200,0)),"")</f>
        <v/>
      </c>
      <c r="F1495" s="4" t="str">
        <f>IFERROR(INDEX('Araç Tanımlama'!$E$5:$E$200,MATCH(D1495,'Araç Tanımlama'!$A$5:$A$200,0)),"")</f>
        <v/>
      </c>
      <c r="G1495" s="2"/>
      <c r="H1495" s="7"/>
      <c r="I1495" s="9" t="str">
        <f>IF(OR(G1495="",H1495=""),"",G1495*H1495)</f>
        <v/>
      </c>
      <c r="J1495" s="2"/>
      <c r="K1495" s="2"/>
    </row>
    <row r="1496" spans="1:11">
      <c r="A1496" s="4" t="str">
        <f>IF(D1496="","",COUNTIF($D$5:D1496,"?*"))</f>
        <v/>
      </c>
      <c r="B1496" s="5"/>
      <c r="C1496" s="4" t="str">
        <f>IF(B1496="","",INDEX({"Ocak","Şubat","Mart","Nisan","Mayıs","Haziran","Temmuz","Ağustos","Eylül","Ekim","Kasım","Aralık"},MONTH(B1496)))</f>
        <v/>
      </c>
      <c r="D1496" s="2"/>
      <c r="E1496" s="4" t="str">
        <f>IFERROR(INDEX('Araç Tanımlama'!$D$5:$D$200,MATCH(D1496,'Araç Tanımlama'!$A$5:$A$200,0)),"")</f>
        <v/>
      </c>
      <c r="F1496" s="4" t="str">
        <f>IFERROR(INDEX('Araç Tanımlama'!$E$5:$E$200,MATCH(D1496,'Araç Tanımlama'!$A$5:$A$200,0)),"")</f>
        <v/>
      </c>
      <c r="G1496" s="2"/>
      <c r="H1496" s="7"/>
      <c r="I1496" s="9" t="str">
        <f>IF(OR(G1496="",H1496=""),"",G1496*H1496)</f>
        <v/>
      </c>
      <c r="J1496" s="2"/>
      <c r="K1496" s="2"/>
    </row>
    <row r="1497" spans="1:11">
      <c r="A1497" s="4" t="str">
        <f>IF(D1497="","",COUNTIF($D$5:D1497,"?*"))</f>
        <v/>
      </c>
      <c r="B1497" s="5"/>
      <c r="C1497" s="4" t="str">
        <f>IF(B1497="","",INDEX({"Ocak","Şubat","Mart","Nisan","Mayıs","Haziran","Temmuz","Ağustos","Eylül","Ekim","Kasım","Aralık"},MONTH(B1497)))</f>
        <v/>
      </c>
      <c r="D1497" s="2"/>
      <c r="E1497" s="4" t="str">
        <f>IFERROR(INDEX('Araç Tanımlama'!$D$5:$D$200,MATCH(D1497,'Araç Tanımlama'!$A$5:$A$200,0)),"")</f>
        <v/>
      </c>
      <c r="F1497" s="4" t="str">
        <f>IFERROR(INDEX('Araç Tanımlama'!$E$5:$E$200,MATCH(D1497,'Araç Tanımlama'!$A$5:$A$200,0)),"")</f>
        <v/>
      </c>
      <c r="G1497" s="2"/>
      <c r="H1497" s="7"/>
      <c r="I1497" s="9" t="str">
        <f>IF(OR(G1497="",H1497=""),"",G1497*H1497)</f>
        <v/>
      </c>
      <c r="J1497" s="2"/>
      <c r="K1497" s="2"/>
    </row>
    <row r="1498" spans="1:11">
      <c r="A1498" s="4" t="str">
        <f>IF(D1498="","",COUNTIF($D$5:D1498,"?*"))</f>
        <v/>
      </c>
      <c r="B1498" s="5"/>
      <c r="C1498" s="4" t="str">
        <f>IF(B1498="","",INDEX({"Ocak","Şubat","Mart","Nisan","Mayıs","Haziran","Temmuz","Ağustos","Eylül","Ekim","Kasım","Aralık"},MONTH(B1498)))</f>
        <v/>
      </c>
      <c r="D1498" s="2"/>
      <c r="E1498" s="4" t="str">
        <f>IFERROR(INDEX('Araç Tanımlama'!$D$5:$D$200,MATCH(D1498,'Araç Tanımlama'!$A$5:$A$200,0)),"")</f>
        <v/>
      </c>
      <c r="F1498" s="4" t="str">
        <f>IFERROR(INDEX('Araç Tanımlama'!$E$5:$E$200,MATCH(D1498,'Araç Tanımlama'!$A$5:$A$200,0)),"")</f>
        <v/>
      </c>
      <c r="G1498" s="2"/>
      <c r="H1498" s="7"/>
      <c r="I1498" s="9" t="str">
        <f>IF(OR(G1498="",H1498=""),"",G1498*H1498)</f>
        <v/>
      </c>
      <c r="J1498" s="2"/>
      <c r="K1498" s="2"/>
    </row>
    <row r="1499" spans="1:11">
      <c r="A1499" s="4" t="str">
        <f>IF(D1499="","",COUNTIF($D$5:D1499,"?*"))</f>
        <v/>
      </c>
      <c r="B1499" s="5"/>
      <c r="C1499" s="4" t="str">
        <f>IF(B1499="","",INDEX({"Ocak","Şubat","Mart","Nisan","Mayıs","Haziran","Temmuz","Ağustos","Eylül","Ekim","Kasım","Aralık"},MONTH(B1499)))</f>
        <v/>
      </c>
      <c r="D1499" s="2"/>
      <c r="E1499" s="4" t="str">
        <f>IFERROR(INDEX('Araç Tanımlama'!$D$5:$D$200,MATCH(D1499,'Araç Tanımlama'!$A$5:$A$200,0)),"")</f>
        <v/>
      </c>
      <c r="F1499" s="4" t="str">
        <f>IFERROR(INDEX('Araç Tanımlama'!$E$5:$E$200,MATCH(D1499,'Araç Tanımlama'!$A$5:$A$200,0)),"")</f>
        <v/>
      </c>
      <c r="G1499" s="2"/>
      <c r="H1499" s="7"/>
      <c r="I1499" s="9" t="str">
        <f>IF(OR(G1499="",H1499=""),"",G1499*H1499)</f>
        <v/>
      </c>
      <c r="J1499" s="2"/>
      <c r="K1499" s="2"/>
    </row>
    <row r="1500" spans="1:11">
      <c r="A1500" s="4" t="str">
        <f>IF(D1500="","",COUNTIF($D$5:D1500,"?*"))</f>
        <v/>
      </c>
      <c r="B1500" s="5"/>
      <c r="C1500" s="4" t="str">
        <f>IF(B1500="","",INDEX({"Ocak","Şubat","Mart","Nisan","Mayıs","Haziran","Temmuz","Ağustos","Eylül","Ekim","Kasım","Aralık"},MONTH(B1500)))</f>
        <v/>
      </c>
      <c r="D1500" s="2"/>
      <c r="E1500" s="4" t="str">
        <f>IFERROR(INDEX('Araç Tanımlama'!$D$5:$D$200,MATCH(D1500,'Araç Tanımlama'!$A$5:$A$200,0)),"")</f>
        <v/>
      </c>
      <c r="F1500" s="4" t="str">
        <f>IFERROR(INDEX('Araç Tanımlama'!$E$5:$E$200,MATCH(D1500,'Araç Tanımlama'!$A$5:$A$200,0)),"")</f>
        <v/>
      </c>
      <c r="G1500" s="2"/>
      <c r="H1500" s="7"/>
      <c r="I1500" s="9" t="str">
        <f>IF(OR(G1500="",H1500=""),"",G1500*H1500)</f>
        <v/>
      </c>
      <c r="J1500" s="2"/>
      <c r="K1500" s="2"/>
    </row>
    <row r="1503" spans="1:11">
      <c r="A1503" s="3" t="s">
        <v>28</v>
      </c>
    </row>
  </sheetData>
  <mergeCells count="2">
    <mergeCell ref="A1:K1"/>
    <mergeCell ref="A2:K2"/>
  </mergeCells>
  <dataValidations count="1">
    <dataValidation type="list" allowBlank="1" showErrorMessage="1" error="Bu plaka 'Araç Tanımlama' sayfasında tanımlı değil." sqref="D5:D1500" xr:uid="{00000000-0002-0000-0100-000000000000}">
      <formula1>LST_PLAKA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F9000"/>
  </sheetPr>
  <dimension ref="A1:J203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14" customWidth="1"/>
    <col min="2" max="2" width="26" customWidth="1"/>
    <col min="3" max="3" width="14" customWidth="1"/>
    <col min="4" max="4" width="18" customWidth="1"/>
    <col min="5" max="5" width="12" customWidth="1"/>
    <col min="6" max="6" width="16" customWidth="1"/>
    <col min="7" max="7" width="18" customWidth="1"/>
    <col min="8" max="8" width="22" customWidth="1"/>
    <col min="9" max="10" width="14" customWidth="1"/>
  </cols>
  <sheetData>
    <row r="1" spans="1:10" ht="27.75" customHeight="1">
      <c r="A1" s="18" t="s">
        <v>29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15.75" customHeight="1">
      <c r="A2" s="19" t="s">
        <v>30</v>
      </c>
      <c r="B2" s="19"/>
      <c r="C2" s="19"/>
      <c r="D2" s="19"/>
      <c r="E2" s="19"/>
      <c r="F2" s="19"/>
      <c r="G2" s="19"/>
      <c r="H2" s="19"/>
      <c r="I2" s="19"/>
      <c r="J2" s="19"/>
    </row>
    <row r="4" spans="1:10" ht="21.75" customHeight="1">
      <c r="A4" s="1" t="s">
        <v>2</v>
      </c>
      <c r="B4" s="1" t="s">
        <v>5</v>
      </c>
      <c r="C4" s="1" t="s">
        <v>6</v>
      </c>
      <c r="D4" s="1" t="s">
        <v>7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35</v>
      </c>
      <c r="J4" s="1" t="s">
        <v>36</v>
      </c>
    </row>
    <row r="5" spans="1:10">
      <c r="A5" s="6" t="str">
        <f>IF('Araç Tanımlama'!A5="","",'Araç Tanımlama'!A5)</f>
        <v>36 AB 123</v>
      </c>
      <c r="B5" s="4" t="str">
        <f>IF($A5="","",'Araç Tanımlama'!D5)</f>
        <v>Fen İşleri Müdürlüğü</v>
      </c>
      <c r="C5" s="4" t="str">
        <f>IF($A5="","",'Araç Tanımlama'!E5)</f>
        <v>Motorin</v>
      </c>
      <c r="D5" s="4" t="str">
        <f>IF($A5="","",'Araç Tanımlama'!F5)</f>
        <v>Kilometre (km)</v>
      </c>
      <c r="E5" s="4">
        <f>IF($A5="","",SUMIFS('Yakıt Alım Kayıt'!$G$5:$G$1500,'Yakıt Alım Kayıt'!$D$5:$D$1500,$A5))</f>
        <v>180</v>
      </c>
      <c r="F5" s="9">
        <f>IF($A5="","",SUMIFS('Yakıt Alım Kayıt'!$I$5:$I$1500,'Yakıt Alım Kayıt'!$D$5:$D$1500,$A5))</f>
        <v>8010</v>
      </c>
      <c r="G5" s="4">
        <f ca="1">IF($A5="","",IFERROR(_xludf.maxifs('Yakıt Alım Kayıt'!$J$5:$J$1500,'Yakıt Alım Kayıt'!$D$5:$D$1500,$A5)-_xludf.minifs('Yakıt Alım Kayıt'!$J$5:$J$1500,'Yakıt Alım Kayıt'!$D$5:$D$1500,$A5),0))</f>
        <v>0</v>
      </c>
      <c r="H5" s="10" t="str">
        <f ca="1">IF(OR($A5="",$G5=0,$G5=""),"",IF($D5="Kilometre (km)",$E5/($G5/100),$E5/$G5))</f>
        <v/>
      </c>
      <c r="I5" s="10">
        <f>IF($A5="","",'Araç Tanımlama'!G5)</f>
        <v>32</v>
      </c>
      <c r="J5" s="4" t="str">
        <f ca="1">IF(OR($A5="",$H5="",$I5=""),"",IF($H5&gt;$I5*1.15,"YÜKSEK",IF($H5&gt;$I5*1.05,"DİKKAT","NORMAL")))</f>
        <v/>
      </c>
    </row>
    <row r="6" spans="1:10">
      <c r="A6" s="6" t="str">
        <f>IF('Araç Tanımlama'!A6="","",'Araç Tanımlama'!A6)</f>
        <v/>
      </c>
      <c r="B6" s="4" t="str">
        <f>IF($A6="","",'Araç Tanımlama'!D6)</f>
        <v/>
      </c>
      <c r="C6" s="4" t="str">
        <f>IF($A6="","",'Araç Tanımlama'!E6)</f>
        <v/>
      </c>
      <c r="D6" s="4" t="str">
        <f>IF($A6="","",'Araç Tanımlama'!F6)</f>
        <v/>
      </c>
      <c r="E6" s="4" t="str">
        <f>IF($A6="","",SUMIFS('Yakıt Alım Kayıt'!$G$5:$G$1500,'Yakıt Alım Kayıt'!$D$5:$D$1500,$A6))</f>
        <v/>
      </c>
      <c r="F6" s="9" t="str">
        <f>IF($A6="","",SUMIFS('Yakıt Alım Kayıt'!$I$5:$I$1500,'Yakıt Alım Kayıt'!$D$5:$D$1500,$A6))</f>
        <v/>
      </c>
      <c r="G6" s="4" t="str">
        <f>IF($A6="","",IFERROR(_xludf.maxifs('Yakıt Alım Kayıt'!$J$5:$J$1500,'Yakıt Alım Kayıt'!$D$5:$D$1500,$A6)-_xludf.minifs('Yakıt Alım Kayıt'!$J$5:$J$1500,'Yakıt Alım Kayıt'!$D$5:$D$1500,$A6),0))</f>
        <v/>
      </c>
      <c r="H6" s="10" t="str">
        <f>IF(OR($A6="",$G6=0,$G6=""),"",IF($D6="Kilometre (km)",$E6/($G6/100),$E6/$G6))</f>
        <v/>
      </c>
      <c r="I6" s="10" t="str">
        <f>IF($A6="","",'Araç Tanımlama'!G6)</f>
        <v/>
      </c>
      <c r="J6" s="4" t="str">
        <f>IF(OR($A6="",$H6="",$I6=""),"",IF($H6&gt;$I6*1.15,"YÜKSEK",IF($H6&gt;$I6*1.05,"DİKKAT","NORMAL")))</f>
        <v/>
      </c>
    </row>
    <row r="7" spans="1:10">
      <c r="A7" s="6" t="str">
        <f>IF('Araç Tanımlama'!A7="","",'Araç Tanımlama'!A7)</f>
        <v/>
      </c>
      <c r="B7" s="4" t="str">
        <f>IF($A7="","",'Araç Tanımlama'!D7)</f>
        <v/>
      </c>
      <c r="C7" s="4" t="str">
        <f>IF($A7="","",'Araç Tanımlama'!E7)</f>
        <v/>
      </c>
      <c r="D7" s="4" t="str">
        <f>IF($A7="","",'Araç Tanımlama'!F7)</f>
        <v/>
      </c>
      <c r="E7" s="4" t="str">
        <f>IF($A7="","",SUMIFS('Yakıt Alım Kayıt'!$G$5:$G$1500,'Yakıt Alım Kayıt'!$D$5:$D$1500,$A7))</f>
        <v/>
      </c>
      <c r="F7" s="9" t="str">
        <f>IF($A7="","",SUMIFS('Yakıt Alım Kayıt'!$I$5:$I$1500,'Yakıt Alım Kayıt'!$D$5:$D$1500,$A7))</f>
        <v/>
      </c>
      <c r="G7" s="4" t="str">
        <f>IF($A7="","",IFERROR(_xludf.maxifs('Yakıt Alım Kayıt'!$J$5:$J$1500,'Yakıt Alım Kayıt'!$D$5:$D$1500,$A7)-_xludf.minifs('Yakıt Alım Kayıt'!$J$5:$J$1500,'Yakıt Alım Kayıt'!$D$5:$D$1500,$A7),0))</f>
        <v/>
      </c>
      <c r="H7" s="10" t="str">
        <f>IF(OR($A7="",$G7=0,$G7=""),"",IF($D7="Kilometre (km)",$E7/($G7/100),$E7/$G7))</f>
        <v/>
      </c>
      <c r="I7" s="10" t="str">
        <f>IF($A7="","",'Araç Tanımlama'!G7)</f>
        <v/>
      </c>
      <c r="J7" s="4" t="str">
        <f>IF(OR($A7="",$H7="",$I7=""),"",IF($H7&gt;$I7*1.15,"YÜKSEK",IF($H7&gt;$I7*1.05,"DİKKAT","NORMAL")))</f>
        <v/>
      </c>
    </row>
    <row r="8" spans="1:10">
      <c r="A8" s="6" t="str">
        <f>IF('Araç Tanımlama'!A8="","",'Araç Tanımlama'!A8)</f>
        <v/>
      </c>
      <c r="B8" s="4" t="str">
        <f>IF($A8="","",'Araç Tanımlama'!D8)</f>
        <v/>
      </c>
      <c r="C8" s="4" t="str">
        <f>IF($A8="","",'Araç Tanımlama'!E8)</f>
        <v/>
      </c>
      <c r="D8" s="4" t="str">
        <f>IF($A8="","",'Araç Tanımlama'!F8)</f>
        <v/>
      </c>
      <c r="E8" s="4" t="str">
        <f>IF($A8="","",SUMIFS('Yakıt Alım Kayıt'!$G$5:$G$1500,'Yakıt Alım Kayıt'!$D$5:$D$1500,$A8))</f>
        <v/>
      </c>
      <c r="F8" s="9" t="str">
        <f>IF($A8="","",SUMIFS('Yakıt Alım Kayıt'!$I$5:$I$1500,'Yakıt Alım Kayıt'!$D$5:$D$1500,$A8))</f>
        <v/>
      </c>
      <c r="G8" s="4" t="str">
        <f>IF($A8="","",IFERROR(_xludf.maxifs('Yakıt Alım Kayıt'!$J$5:$J$1500,'Yakıt Alım Kayıt'!$D$5:$D$1500,$A8)-_xludf.minifs('Yakıt Alım Kayıt'!$J$5:$J$1500,'Yakıt Alım Kayıt'!$D$5:$D$1500,$A8),0))</f>
        <v/>
      </c>
      <c r="H8" s="10" t="str">
        <f>IF(OR($A8="",$G8=0,$G8=""),"",IF($D8="Kilometre (km)",$E8/($G8/100),$E8/$G8))</f>
        <v/>
      </c>
      <c r="I8" s="10" t="str">
        <f>IF($A8="","",'Araç Tanımlama'!G8)</f>
        <v/>
      </c>
      <c r="J8" s="4" t="str">
        <f>IF(OR($A8="",$H8="",$I8=""),"",IF($H8&gt;$I8*1.15,"YÜKSEK",IF($H8&gt;$I8*1.05,"DİKKAT","NORMAL")))</f>
        <v/>
      </c>
    </row>
    <row r="9" spans="1:10">
      <c r="A9" s="6" t="str">
        <f>IF('Araç Tanımlama'!A9="","",'Araç Tanımlama'!A9)</f>
        <v/>
      </c>
      <c r="B9" s="4" t="str">
        <f>IF($A9="","",'Araç Tanımlama'!D9)</f>
        <v/>
      </c>
      <c r="C9" s="4" t="str">
        <f>IF($A9="","",'Araç Tanımlama'!E9)</f>
        <v/>
      </c>
      <c r="D9" s="4" t="str">
        <f>IF($A9="","",'Araç Tanımlama'!F9)</f>
        <v/>
      </c>
      <c r="E9" s="4" t="str">
        <f>IF($A9="","",SUMIFS('Yakıt Alım Kayıt'!$G$5:$G$1500,'Yakıt Alım Kayıt'!$D$5:$D$1500,$A9))</f>
        <v/>
      </c>
      <c r="F9" s="9" t="str">
        <f>IF($A9="","",SUMIFS('Yakıt Alım Kayıt'!$I$5:$I$1500,'Yakıt Alım Kayıt'!$D$5:$D$1500,$A9))</f>
        <v/>
      </c>
      <c r="G9" s="4" t="str">
        <f>IF($A9="","",IFERROR(_xludf.maxifs('Yakıt Alım Kayıt'!$J$5:$J$1500,'Yakıt Alım Kayıt'!$D$5:$D$1500,$A9)-_xludf.minifs('Yakıt Alım Kayıt'!$J$5:$J$1500,'Yakıt Alım Kayıt'!$D$5:$D$1500,$A9),0))</f>
        <v/>
      </c>
      <c r="H9" s="10" t="str">
        <f>IF(OR($A9="",$G9=0,$G9=""),"",IF($D9="Kilometre (km)",$E9/($G9/100),$E9/$G9))</f>
        <v/>
      </c>
      <c r="I9" s="10" t="str">
        <f>IF($A9="","",'Araç Tanımlama'!G9)</f>
        <v/>
      </c>
      <c r="J9" s="4" t="str">
        <f>IF(OR($A9="",$H9="",$I9=""),"",IF($H9&gt;$I9*1.15,"YÜKSEK",IF($H9&gt;$I9*1.05,"DİKKAT","NORMAL")))</f>
        <v/>
      </c>
    </row>
    <row r="10" spans="1:10">
      <c r="A10" s="6" t="str">
        <f>IF('Araç Tanımlama'!A10="","",'Araç Tanımlama'!A10)</f>
        <v/>
      </c>
      <c r="B10" s="4" t="str">
        <f>IF($A10="","",'Araç Tanımlama'!D10)</f>
        <v/>
      </c>
      <c r="C10" s="4" t="str">
        <f>IF($A10="","",'Araç Tanımlama'!E10)</f>
        <v/>
      </c>
      <c r="D10" s="4" t="str">
        <f>IF($A10="","",'Araç Tanımlama'!F10)</f>
        <v/>
      </c>
      <c r="E10" s="4" t="str">
        <f>IF($A10="","",SUMIFS('Yakıt Alım Kayıt'!$G$5:$G$1500,'Yakıt Alım Kayıt'!$D$5:$D$1500,$A10))</f>
        <v/>
      </c>
      <c r="F10" s="9" t="str">
        <f>IF($A10="","",SUMIFS('Yakıt Alım Kayıt'!$I$5:$I$1500,'Yakıt Alım Kayıt'!$D$5:$D$1500,$A10))</f>
        <v/>
      </c>
      <c r="G10" s="4" t="str">
        <f>IF($A10="","",IFERROR(_xludf.maxifs('Yakıt Alım Kayıt'!$J$5:$J$1500,'Yakıt Alım Kayıt'!$D$5:$D$1500,$A10)-_xludf.minifs('Yakıt Alım Kayıt'!$J$5:$J$1500,'Yakıt Alım Kayıt'!$D$5:$D$1500,$A10),0))</f>
        <v/>
      </c>
      <c r="H10" s="10" t="str">
        <f>IF(OR($A10="",$G10=0,$G10=""),"",IF($D10="Kilometre (km)",$E10/($G10/100),$E10/$G10))</f>
        <v/>
      </c>
      <c r="I10" s="10" t="str">
        <f>IF($A10="","",'Araç Tanımlama'!G10)</f>
        <v/>
      </c>
      <c r="J10" s="4" t="str">
        <f>IF(OR($A10="",$H10="",$I10=""),"",IF($H10&gt;$I10*1.15,"YÜKSEK",IF($H10&gt;$I10*1.05,"DİKKAT","NORMAL")))</f>
        <v/>
      </c>
    </row>
    <row r="11" spans="1:10">
      <c r="A11" s="6" t="str">
        <f>IF('Araç Tanımlama'!A11="","",'Araç Tanımlama'!A11)</f>
        <v/>
      </c>
      <c r="B11" s="4" t="str">
        <f>IF($A11="","",'Araç Tanımlama'!D11)</f>
        <v/>
      </c>
      <c r="C11" s="4" t="str">
        <f>IF($A11="","",'Araç Tanımlama'!E11)</f>
        <v/>
      </c>
      <c r="D11" s="4" t="str">
        <f>IF($A11="","",'Araç Tanımlama'!F11)</f>
        <v/>
      </c>
      <c r="E11" s="4" t="str">
        <f>IF($A11="","",SUMIFS('Yakıt Alım Kayıt'!$G$5:$G$1500,'Yakıt Alım Kayıt'!$D$5:$D$1500,$A11))</f>
        <v/>
      </c>
      <c r="F11" s="9" t="str">
        <f>IF($A11="","",SUMIFS('Yakıt Alım Kayıt'!$I$5:$I$1500,'Yakıt Alım Kayıt'!$D$5:$D$1500,$A11))</f>
        <v/>
      </c>
      <c r="G11" s="4" t="str">
        <f>IF($A11="","",IFERROR(_xludf.maxifs('Yakıt Alım Kayıt'!$J$5:$J$1500,'Yakıt Alım Kayıt'!$D$5:$D$1500,$A11)-_xludf.minifs('Yakıt Alım Kayıt'!$J$5:$J$1500,'Yakıt Alım Kayıt'!$D$5:$D$1500,$A11),0))</f>
        <v/>
      </c>
      <c r="H11" s="10" t="str">
        <f>IF(OR($A11="",$G11=0,$G11=""),"",IF($D11="Kilometre (km)",$E11/($G11/100),$E11/$G11))</f>
        <v/>
      </c>
      <c r="I11" s="10" t="str">
        <f>IF($A11="","",'Araç Tanımlama'!G11)</f>
        <v/>
      </c>
      <c r="J11" s="4" t="str">
        <f>IF(OR($A11="",$H11="",$I11=""),"",IF($H11&gt;$I11*1.15,"YÜKSEK",IF($H11&gt;$I11*1.05,"DİKKAT","NORMAL")))</f>
        <v/>
      </c>
    </row>
    <row r="12" spans="1:10">
      <c r="A12" s="6" t="str">
        <f>IF('Araç Tanımlama'!A12="","",'Araç Tanımlama'!A12)</f>
        <v/>
      </c>
      <c r="B12" s="4" t="str">
        <f>IF($A12="","",'Araç Tanımlama'!D12)</f>
        <v/>
      </c>
      <c r="C12" s="4" t="str">
        <f>IF($A12="","",'Araç Tanımlama'!E12)</f>
        <v/>
      </c>
      <c r="D12" s="4" t="str">
        <f>IF($A12="","",'Araç Tanımlama'!F12)</f>
        <v/>
      </c>
      <c r="E12" s="4" t="str">
        <f>IF($A12="","",SUMIFS('Yakıt Alım Kayıt'!$G$5:$G$1500,'Yakıt Alım Kayıt'!$D$5:$D$1500,$A12))</f>
        <v/>
      </c>
      <c r="F12" s="9" t="str">
        <f>IF($A12="","",SUMIFS('Yakıt Alım Kayıt'!$I$5:$I$1500,'Yakıt Alım Kayıt'!$D$5:$D$1500,$A12))</f>
        <v/>
      </c>
      <c r="G12" s="4" t="str">
        <f>IF($A12="","",IFERROR(_xludf.maxifs('Yakıt Alım Kayıt'!$J$5:$J$1500,'Yakıt Alım Kayıt'!$D$5:$D$1500,$A12)-_xludf.minifs('Yakıt Alım Kayıt'!$J$5:$J$1500,'Yakıt Alım Kayıt'!$D$5:$D$1500,$A12),0))</f>
        <v/>
      </c>
      <c r="H12" s="10" t="str">
        <f>IF(OR($A12="",$G12=0,$G12=""),"",IF($D12="Kilometre (km)",$E12/($G12/100),$E12/$G12))</f>
        <v/>
      </c>
      <c r="I12" s="10" t="str">
        <f>IF($A12="","",'Araç Tanımlama'!G12)</f>
        <v/>
      </c>
      <c r="J12" s="4" t="str">
        <f>IF(OR($A12="",$H12="",$I12=""),"",IF($H12&gt;$I12*1.15,"YÜKSEK",IF($H12&gt;$I12*1.05,"DİKKAT","NORMAL")))</f>
        <v/>
      </c>
    </row>
    <row r="13" spans="1:10">
      <c r="A13" s="6" t="str">
        <f>IF('Araç Tanımlama'!A13="","",'Araç Tanımlama'!A13)</f>
        <v/>
      </c>
      <c r="B13" s="4" t="str">
        <f>IF($A13="","",'Araç Tanımlama'!D13)</f>
        <v/>
      </c>
      <c r="C13" s="4" t="str">
        <f>IF($A13="","",'Araç Tanımlama'!E13)</f>
        <v/>
      </c>
      <c r="D13" s="4" t="str">
        <f>IF($A13="","",'Araç Tanımlama'!F13)</f>
        <v/>
      </c>
      <c r="E13" s="4" t="str">
        <f>IF($A13="","",SUMIFS('Yakıt Alım Kayıt'!$G$5:$G$1500,'Yakıt Alım Kayıt'!$D$5:$D$1500,$A13))</f>
        <v/>
      </c>
      <c r="F13" s="9" t="str">
        <f>IF($A13="","",SUMIFS('Yakıt Alım Kayıt'!$I$5:$I$1500,'Yakıt Alım Kayıt'!$D$5:$D$1500,$A13))</f>
        <v/>
      </c>
      <c r="G13" s="4" t="str">
        <f>IF($A13="","",IFERROR(_xludf.maxifs('Yakıt Alım Kayıt'!$J$5:$J$1500,'Yakıt Alım Kayıt'!$D$5:$D$1500,$A13)-_xludf.minifs('Yakıt Alım Kayıt'!$J$5:$J$1500,'Yakıt Alım Kayıt'!$D$5:$D$1500,$A13),0))</f>
        <v/>
      </c>
      <c r="H13" s="10" t="str">
        <f>IF(OR($A13="",$G13=0,$G13=""),"",IF($D13="Kilometre (km)",$E13/($G13/100),$E13/$G13))</f>
        <v/>
      </c>
      <c r="I13" s="10" t="str">
        <f>IF($A13="","",'Araç Tanımlama'!G13)</f>
        <v/>
      </c>
      <c r="J13" s="4" t="str">
        <f>IF(OR($A13="",$H13="",$I13=""),"",IF($H13&gt;$I13*1.15,"YÜKSEK",IF($H13&gt;$I13*1.05,"DİKKAT","NORMAL")))</f>
        <v/>
      </c>
    </row>
    <row r="14" spans="1:10">
      <c r="A14" s="6" t="str">
        <f>IF('Araç Tanımlama'!A14="","",'Araç Tanımlama'!A14)</f>
        <v/>
      </c>
      <c r="B14" s="4" t="str">
        <f>IF($A14="","",'Araç Tanımlama'!D14)</f>
        <v/>
      </c>
      <c r="C14" s="4" t="str">
        <f>IF($A14="","",'Araç Tanımlama'!E14)</f>
        <v/>
      </c>
      <c r="D14" s="4" t="str">
        <f>IF($A14="","",'Araç Tanımlama'!F14)</f>
        <v/>
      </c>
      <c r="E14" s="4" t="str">
        <f>IF($A14="","",SUMIFS('Yakıt Alım Kayıt'!$G$5:$G$1500,'Yakıt Alım Kayıt'!$D$5:$D$1500,$A14))</f>
        <v/>
      </c>
      <c r="F14" s="9" t="str">
        <f>IF($A14="","",SUMIFS('Yakıt Alım Kayıt'!$I$5:$I$1500,'Yakıt Alım Kayıt'!$D$5:$D$1500,$A14))</f>
        <v/>
      </c>
      <c r="G14" s="4" t="str">
        <f>IF($A14="","",IFERROR(_xludf.maxifs('Yakıt Alım Kayıt'!$J$5:$J$1500,'Yakıt Alım Kayıt'!$D$5:$D$1500,$A14)-_xludf.minifs('Yakıt Alım Kayıt'!$J$5:$J$1500,'Yakıt Alım Kayıt'!$D$5:$D$1500,$A14),0))</f>
        <v/>
      </c>
      <c r="H14" s="10" t="str">
        <f>IF(OR($A14="",$G14=0,$G14=""),"",IF($D14="Kilometre (km)",$E14/($G14/100),$E14/$G14))</f>
        <v/>
      </c>
      <c r="I14" s="10" t="str">
        <f>IF($A14="","",'Araç Tanımlama'!G14)</f>
        <v/>
      </c>
      <c r="J14" s="4" t="str">
        <f>IF(OR($A14="",$H14="",$I14=""),"",IF($H14&gt;$I14*1.15,"YÜKSEK",IF($H14&gt;$I14*1.05,"DİKKAT","NORMAL")))</f>
        <v/>
      </c>
    </row>
    <row r="15" spans="1:10">
      <c r="A15" s="6" t="str">
        <f>IF('Araç Tanımlama'!A15="","",'Araç Tanımlama'!A15)</f>
        <v/>
      </c>
      <c r="B15" s="4" t="str">
        <f>IF($A15="","",'Araç Tanımlama'!D15)</f>
        <v/>
      </c>
      <c r="C15" s="4" t="str">
        <f>IF($A15="","",'Araç Tanımlama'!E15)</f>
        <v/>
      </c>
      <c r="D15" s="4" t="str">
        <f>IF($A15="","",'Araç Tanımlama'!F15)</f>
        <v/>
      </c>
      <c r="E15" s="4" t="str">
        <f>IF($A15="","",SUMIFS('Yakıt Alım Kayıt'!$G$5:$G$1500,'Yakıt Alım Kayıt'!$D$5:$D$1500,$A15))</f>
        <v/>
      </c>
      <c r="F15" s="9" t="str">
        <f>IF($A15="","",SUMIFS('Yakıt Alım Kayıt'!$I$5:$I$1500,'Yakıt Alım Kayıt'!$D$5:$D$1500,$A15))</f>
        <v/>
      </c>
      <c r="G15" s="4" t="str">
        <f>IF($A15="","",IFERROR(_xludf.maxifs('Yakıt Alım Kayıt'!$J$5:$J$1500,'Yakıt Alım Kayıt'!$D$5:$D$1500,$A15)-_xludf.minifs('Yakıt Alım Kayıt'!$J$5:$J$1500,'Yakıt Alım Kayıt'!$D$5:$D$1500,$A15),0))</f>
        <v/>
      </c>
      <c r="H15" s="10" t="str">
        <f>IF(OR($A15="",$G15=0,$G15=""),"",IF($D15="Kilometre (km)",$E15/($G15/100),$E15/$G15))</f>
        <v/>
      </c>
      <c r="I15" s="10" t="str">
        <f>IF($A15="","",'Araç Tanımlama'!G15)</f>
        <v/>
      </c>
      <c r="J15" s="4" t="str">
        <f>IF(OR($A15="",$H15="",$I15=""),"",IF($H15&gt;$I15*1.15,"YÜKSEK",IF($H15&gt;$I15*1.05,"DİKKAT","NORMAL")))</f>
        <v/>
      </c>
    </row>
    <row r="16" spans="1:10">
      <c r="A16" s="6" t="str">
        <f>IF('Araç Tanımlama'!A16="","",'Araç Tanımlama'!A16)</f>
        <v/>
      </c>
      <c r="B16" s="4" t="str">
        <f>IF($A16="","",'Araç Tanımlama'!D16)</f>
        <v/>
      </c>
      <c r="C16" s="4" t="str">
        <f>IF($A16="","",'Araç Tanımlama'!E16)</f>
        <v/>
      </c>
      <c r="D16" s="4" t="str">
        <f>IF($A16="","",'Araç Tanımlama'!F16)</f>
        <v/>
      </c>
      <c r="E16" s="4" t="str">
        <f>IF($A16="","",SUMIFS('Yakıt Alım Kayıt'!$G$5:$G$1500,'Yakıt Alım Kayıt'!$D$5:$D$1500,$A16))</f>
        <v/>
      </c>
      <c r="F16" s="9" t="str">
        <f>IF($A16="","",SUMIFS('Yakıt Alım Kayıt'!$I$5:$I$1500,'Yakıt Alım Kayıt'!$D$5:$D$1500,$A16))</f>
        <v/>
      </c>
      <c r="G16" s="4" t="str">
        <f>IF($A16="","",IFERROR(_xludf.maxifs('Yakıt Alım Kayıt'!$J$5:$J$1500,'Yakıt Alım Kayıt'!$D$5:$D$1500,$A16)-_xludf.minifs('Yakıt Alım Kayıt'!$J$5:$J$1500,'Yakıt Alım Kayıt'!$D$5:$D$1500,$A16),0))</f>
        <v/>
      </c>
      <c r="H16" s="10" t="str">
        <f>IF(OR($A16="",$G16=0,$G16=""),"",IF($D16="Kilometre (km)",$E16/($G16/100),$E16/$G16))</f>
        <v/>
      </c>
      <c r="I16" s="10" t="str">
        <f>IF($A16="","",'Araç Tanımlama'!G16)</f>
        <v/>
      </c>
      <c r="J16" s="4" t="str">
        <f>IF(OR($A16="",$H16="",$I16=""),"",IF($H16&gt;$I16*1.15,"YÜKSEK",IF($H16&gt;$I16*1.05,"DİKKAT","NORMAL")))</f>
        <v/>
      </c>
    </row>
    <row r="17" spans="1:10">
      <c r="A17" s="6" t="str">
        <f>IF('Araç Tanımlama'!A17="","",'Araç Tanımlama'!A17)</f>
        <v/>
      </c>
      <c r="B17" s="4" t="str">
        <f>IF($A17="","",'Araç Tanımlama'!D17)</f>
        <v/>
      </c>
      <c r="C17" s="4" t="str">
        <f>IF($A17="","",'Araç Tanımlama'!E17)</f>
        <v/>
      </c>
      <c r="D17" s="4" t="str">
        <f>IF($A17="","",'Araç Tanımlama'!F17)</f>
        <v/>
      </c>
      <c r="E17" s="4" t="str">
        <f>IF($A17="","",SUMIFS('Yakıt Alım Kayıt'!$G$5:$G$1500,'Yakıt Alım Kayıt'!$D$5:$D$1500,$A17))</f>
        <v/>
      </c>
      <c r="F17" s="9" t="str">
        <f>IF($A17="","",SUMIFS('Yakıt Alım Kayıt'!$I$5:$I$1500,'Yakıt Alım Kayıt'!$D$5:$D$1500,$A17))</f>
        <v/>
      </c>
      <c r="G17" s="4" t="str">
        <f>IF($A17="","",IFERROR(_xludf.maxifs('Yakıt Alım Kayıt'!$J$5:$J$1500,'Yakıt Alım Kayıt'!$D$5:$D$1500,$A17)-_xludf.minifs('Yakıt Alım Kayıt'!$J$5:$J$1500,'Yakıt Alım Kayıt'!$D$5:$D$1500,$A17),0))</f>
        <v/>
      </c>
      <c r="H17" s="10" t="str">
        <f>IF(OR($A17="",$G17=0,$G17=""),"",IF($D17="Kilometre (km)",$E17/($G17/100),$E17/$G17))</f>
        <v/>
      </c>
      <c r="I17" s="10" t="str">
        <f>IF($A17="","",'Araç Tanımlama'!G17)</f>
        <v/>
      </c>
      <c r="J17" s="4" t="str">
        <f>IF(OR($A17="",$H17="",$I17=""),"",IF($H17&gt;$I17*1.15,"YÜKSEK",IF($H17&gt;$I17*1.05,"DİKKAT","NORMAL")))</f>
        <v/>
      </c>
    </row>
    <row r="18" spans="1:10">
      <c r="A18" s="6" t="str">
        <f>IF('Araç Tanımlama'!A18="","",'Araç Tanımlama'!A18)</f>
        <v/>
      </c>
      <c r="B18" s="4" t="str">
        <f>IF($A18="","",'Araç Tanımlama'!D18)</f>
        <v/>
      </c>
      <c r="C18" s="4" t="str">
        <f>IF($A18="","",'Araç Tanımlama'!E18)</f>
        <v/>
      </c>
      <c r="D18" s="4" t="str">
        <f>IF($A18="","",'Araç Tanımlama'!F18)</f>
        <v/>
      </c>
      <c r="E18" s="4" t="str">
        <f>IF($A18="","",SUMIFS('Yakıt Alım Kayıt'!$G$5:$G$1500,'Yakıt Alım Kayıt'!$D$5:$D$1500,$A18))</f>
        <v/>
      </c>
      <c r="F18" s="9" t="str">
        <f>IF($A18="","",SUMIFS('Yakıt Alım Kayıt'!$I$5:$I$1500,'Yakıt Alım Kayıt'!$D$5:$D$1500,$A18))</f>
        <v/>
      </c>
      <c r="G18" s="4" t="str">
        <f>IF($A18="","",IFERROR(_xludf.maxifs('Yakıt Alım Kayıt'!$J$5:$J$1500,'Yakıt Alım Kayıt'!$D$5:$D$1500,$A18)-_xludf.minifs('Yakıt Alım Kayıt'!$J$5:$J$1500,'Yakıt Alım Kayıt'!$D$5:$D$1500,$A18),0))</f>
        <v/>
      </c>
      <c r="H18" s="10" t="str">
        <f>IF(OR($A18="",$G18=0,$G18=""),"",IF($D18="Kilometre (km)",$E18/($G18/100),$E18/$G18))</f>
        <v/>
      </c>
      <c r="I18" s="10" t="str">
        <f>IF($A18="","",'Araç Tanımlama'!G18)</f>
        <v/>
      </c>
      <c r="J18" s="4" t="str">
        <f>IF(OR($A18="",$H18="",$I18=""),"",IF($H18&gt;$I18*1.15,"YÜKSEK",IF($H18&gt;$I18*1.05,"DİKKAT","NORMAL")))</f>
        <v/>
      </c>
    </row>
    <row r="19" spans="1:10">
      <c r="A19" s="6" t="str">
        <f>IF('Araç Tanımlama'!A19="","",'Araç Tanımlama'!A19)</f>
        <v/>
      </c>
      <c r="B19" s="4" t="str">
        <f>IF($A19="","",'Araç Tanımlama'!D19)</f>
        <v/>
      </c>
      <c r="C19" s="4" t="str">
        <f>IF($A19="","",'Araç Tanımlama'!E19)</f>
        <v/>
      </c>
      <c r="D19" s="4" t="str">
        <f>IF($A19="","",'Araç Tanımlama'!F19)</f>
        <v/>
      </c>
      <c r="E19" s="4" t="str">
        <f>IF($A19="","",SUMIFS('Yakıt Alım Kayıt'!$G$5:$G$1500,'Yakıt Alım Kayıt'!$D$5:$D$1500,$A19))</f>
        <v/>
      </c>
      <c r="F19" s="9" t="str">
        <f>IF($A19="","",SUMIFS('Yakıt Alım Kayıt'!$I$5:$I$1500,'Yakıt Alım Kayıt'!$D$5:$D$1500,$A19))</f>
        <v/>
      </c>
      <c r="G19" s="4" t="str">
        <f>IF($A19="","",IFERROR(_xludf.maxifs('Yakıt Alım Kayıt'!$J$5:$J$1500,'Yakıt Alım Kayıt'!$D$5:$D$1500,$A19)-_xludf.minifs('Yakıt Alım Kayıt'!$J$5:$J$1500,'Yakıt Alım Kayıt'!$D$5:$D$1500,$A19),0))</f>
        <v/>
      </c>
      <c r="H19" s="10" t="str">
        <f>IF(OR($A19="",$G19=0,$G19=""),"",IF($D19="Kilometre (km)",$E19/($G19/100),$E19/$G19))</f>
        <v/>
      </c>
      <c r="I19" s="10" t="str">
        <f>IF($A19="","",'Araç Tanımlama'!G19)</f>
        <v/>
      </c>
      <c r="J19" s="4" t="str">
        <f>IF(OR($A19="",$H19="",$I19=""),"",IF($H19&gt;$I19*1.15,"YÜKSEK",IF($H19&gt;$I19*1.05,"DİKKAT","NORMAL")))</f>
        <v/>
      </c>
    </row>
    <row r="20" spans="1:10">
      <c r="A20" s="6" t="str">
        <f>IF('Araç Tanımlama'!A20="","",'Araç Tanımlama'!A20)</f>
        <v/>
      </c>
      <c r="B20" s="4" t="str">
        <f>IF($A20="","",'Araç Tanımlama'!D20)</f>
        <v/>
      </c>
      <c r="C20" s="4" t="str">
        <f>IF($A20="","",'Araç Tanımlama'!E20)</f>
        <v/>
      </c>
      <c r="D20" s="4" t="str">
        <f>IF($A20="","",'Araç Tanımlama'!F20)</f>
        <v/>
      </c>
      <c r="E20" s="4" t="str">
        <f>IF($A20="","",SUMIFS('Yakıt Alım Kayıt'!$G$5:$G$1500,'Yakıt Alım Kayıt'!$D$5:$D$1500,$A20))</f>
        <v/>
      </c>
      <c r="F20" s="9" t="str">
        <f>IF($A20="","",SUMIFS('Yakıt Alım Kayıt'!$I$5:$I$1500,'Yakıt Alım Kayıt'!$D$5:$D$1500,$A20))</f>
        <v/>
      </c>
      <c r="G20" s="4" t="str">
        <f>IF($A20="","",IFERROR(_xludf.maxifs('Yakıt Alım Kayıt'!$J$5:$J$1500,'Yakıt Alım Kayıt'!$D$5:$D$1500,$A20)-_xludf.minifs('Yakıt Alım Kayıt'!$J$5:$J$1500,'Yakıt Alım Kayıt'!$D$5:$D$1500,$A20),0))</f>
        <v/>
      </c>
      <c r="H20" s="10" t="str">
        <f>IF(OR($A20="",$G20=0,$G20=""),"",IF($D20="Kilometre (km)",$E20/($G20/100),$E20/$G20))</f>
        <v/>
      </c>
      <c r="I20" s="10" t="str">
        <f>IF($A20="","",'Araç Tanımlama'!G20)</f>
        <v/>
      </c>
      <c r="J20" s="4" t="str">
        <f>IF(OR($A20="",$H20="",$I20=""),"",IF($H20&gt;$I20*1.15,"YÜKSEK",IF($H20&gt;$I20*1.05,"DİKKAT","NORMAL")))</f>
        <v/>
      </c>
    </row>
    <row r="21" spans="1:10">
      <c r="A21" s="6" t="str">
        <f>IF('Araç Tanımlama'!A21="","",'Araç Tanımlama'!A21)</f>
        <v/>
      </c>
      <c r="B21" s="4" t="str">
        <f>IF($A21="","",'Araç Tanımlama'!D21)</f>
        <v/>
      </c>
      <c r="C21" s="4" t="str">
        <f>IF($A21="","",'Araç Tanımlama'!E21)</f>
        <v/>
      </c>
      <c r="D21" s="4" t="str">
        <f>IF($A21="","",'Araç Tanımlama'!F21)</f>
        <v/>
      </c>
      <c r="E21" s="4" t="str">
        <f>IF($A21="","",SUMIFS('Yakıt Alım Kayıt'!$G$5:$G$1500,'Yakıt Alım Kayıt'!$D$5:$D$1500,$A21))</f>
        <v/>
      </c>
      <c r="F21" s="9" t="str">
        <f>IF($A21="","",SUMIFS('Yakıt Alım Kayıt'!$I$5:$I$1500,'Yakıt Alım Kayıt'!$D$5:$D$1500,$A21))</f>
        <v/>
      </c>
      <c r="G21" s="4" t="str">
        <f>IF($A21="","",IFERROR(_xludf.maxifs('Yakıt Alım Kayıt'!$J$5:$J$1500,'Yakıt Alım Kayıt'!$D$5:$D$1500,$A21)-_xludf.minifs('Yakıt Alım Kayıt'!$J$5:$J$1500,'Yakıt Alım Kayıt'!$D$5:$D$1500,$A21),0))</f>
        <v/>
      </c>
      <c r="H21" s="10" t="str">
        <f>IF(OR($A21="",$G21=0,$G21=""),"",IF($D21="Kilometre (km)",$E21/($G21/100),$E21/$G21))</f>
        <v/>
      </c>
      <c r="I21" s="10" t="str">
        <f>IF($A21="","",'Araç Tanımlama'!G21)</f>
        <v/>
      </c>
      <c r="J21" s="4" t="str">
        <f>IF(OR($A21="",$H21="",$I21=""),"",IF($H21&gt;$I21*1.15,"YÜKSEK",IF($H21&gt;$I21*1.05,"DİKKAT","NORMAL")))</f>
        <v/>
      </c>
    </row>
    <row r="22" spans="1:10">
      <c r="A22" s="6" t="str">
        <f>IF('Araç Tanımlama'!A22="","",'Araç Tanımlama'!A22)</f>
        <v/>
      </c>
      <c r="B22" s="4" t="str">
        <f>IF($A22="","",'Araç Tanımlama'!D22)</f>
        <v/>
      </c>
      <c r="C22" s="4" t="str">
        <f>IF($A22="","",'Araç Tanımlama'!E22)</f>
        <v/>
      </c>
      <c r="D22" s="4" t="str">
        <f>IF($A22="","",'Araç Tanımlama'!F22)</f>
        <v/>
      </c>
      <c r="E22" s="4" t="str">
        <f>IF($A22="","",SUMIFS('Yakıt Alım Kayıt'!$G$5:$G$1500,'Yakıt Alım Kayıt'!$D$5:$D$1500,$A22))</f>
        <v/>
      </c>
      <c r="F22" s="9" t="str">
        <f>IF($A22="","",SUMIFS('Yakıt Alım Kayıt'!$I$5:$I$1500,'Yakıt Alım Kayıt'!$D$5:$D$1500,$A22))</f>
        <v/>
      </c>
      <c r="G22" s="4" t="str">
        <f>IF($A22="","",IFERROR(_xludf.maxifs('Yakıt Alım Kayıt'!$J$5:$J$1500,'Yakıt Alım Kayıt'!$D$5:$D$1500,$A22)-_xludf.minifs('Yakıt Alım Kayıt'!$J$5:$J$1500,'Yakıt Alım Kayıt'!$D$5:$D$1500,$A22),0))</f>
        <v/>
      </c>
      <c r="H22" s="10" t="str">
        <f>IF(OR($A22="",$G22=0,$G22=""),"",IF($D22="Kilometre (km)",$E22/($G22/100),$E22/$G22))</f>
        <v/>
      </c>
      <c r="I22" s="10" t="str">
        <f>IF($A22="","",'Araç Tanımlama'!G22)</f>
        <v/>
      </c>
      <c r="J22" s="4" t="str">
        <f>IF(OR($A22="",$H22="",$I22=""),"",IF($H22&gt;$I22*1.15,"YÜKSEK",IF($H22&gt;$I22*1.05,"DİKKAT","NORMAL")))</f>
        <v/>
      </c>
    </row>
    <row r="23" spans="1:10">
      <c r="A23" s="6" t="str">
        <f>IF('Araç Tanımlama'!A23="","",'Araç Tanımlama'!A23)</f>
        <v/>
      </c>
      <c r="B23" s="4" t="str">
        <f>IF($A23="","",'Araç Tanımlama'!D23)</f>
        <v/>
      </c>
      <c r="C23" s="4" t="str">
        <f>IF($A23="","",'Araç Tanımlama'!E23)</f>
        <v/>
      </c>
      <c r="D23" s="4" t="str">
        <f>IF($A23="","",'Araç Tanımlama'!F23)</f>
        <v/>
      </c>
      <c r="E23" s="4" t="str">
        <f>IF($A23="","",SUMIFS('Yakıt Alım Kayıt'!$G$5:$G$1500,'Yakıt Alım Kayıt'!$D$5:$D$1500,$A23))</f>
        <v/>
      </c>
      <c r="F23" s="9" t="str">
        <f>IF($A23="","",SUMIFS('Yakıt Alım Kayıt'!$I$5:$I$1500,'Yakıt Alım Kayıt'!$D$5:$D$1500,$A23))</f>
        <v/>
      </c>
      <c r="G23" s="4" t="str">
        <f>IF($A23="","",IFERROR(_xludf.maxifs('Yakıt Alım Kayıt'!$J$5:$J$1500,'Yakıt Alım Kayıt'!$D$5:$D$1500,$A23)-_xludf.minifs('Yakıt Alım Kayıt'!$J$5:$J$1500,'Yakıt Alım Kayıt'!$D$5:$D$1500,$A23),0))</f>
        <v/>
      </c>
      <c r="H23" s="10" t="str">
        <f>IF(OR($A23="",$G23=0,$G23=""),"",IF($D23="Kilometre (km)",$E23/($G23/100),$E23/$G23))</f>
        <v/>
      </c>
      <c r="I23" s="10" t="str">
        <f>IF($A23="","",'Araç Tanımlama'!G23)</f>
        <v/>
      </c>
      <c r="J23" s="4" t="str">
        <f>IF(OR($A23="",$H23="",$I23=""),"",IF($H23&gt;$I23*1.15,"YÜKSEK",IF($H23&gt;$I23*1.05,"DİKKAT","NORMAL")))</f>
        <v/>
      </c>
    </row>
    <row r="24" spans="1:10">
      <c r="A24" s="6" t="str">
        <f>IF('Araç Tanımlama'!A24="","",'Araç Tanımlama'!A24)</f>
        <v/>
      </c>
      <c r="B24" s="4" t="str">
        <f>IF($A24="","",'Araç Tanımlama'!D24)</f>
        <v/>
      </c>
      <c r="C24" s="4" t="str">
        <f>IF($A24="","",'Araç Tanımlama'!E24)</f>
        <v/>
      </c>
      <c r="D24" s="4" t="str">
        <f>IF($A24="","",'Araç Tanımlama'!F24)</f>
        <v/>
      </c>
      <c r="E24" s="4" t="str">
        <f>IF($A24="","",SUMIFS('Yakıt Alım Kayıt'!$G$5:$G$1500,'Yakıt Alım Kayıt'!$D$5:$D$1500,$A24))</f>
        <v/>
      </c>
      <c r="F24" s="9" t="str">
        <f>IF($A24="","",SUMIFS('Yakıt Alım Kayıt'!$I$5:$I$1500,'Yakıt Alım Kayıt'!$D$5:$D$1500,$A24))</f>
        <v/>
      </c>
      <c r="G24" s="4" t="str">
        <f>IF($A24="","",IFERROR(_xludf.maxifs('Yakıt Alım Kayıt'!$J$5:$J$1500,'Yakıt Alım Kayıt'!$D$5:$D$1500,$A24)-_xludf.minifs('Yakıt Alım Kayıt'!$J$5:$J$1500,'Yakıt Alım Kayıt'!$D$5:$D$1500,$A24),0))</f>
        <v/>
      </c>
      <c r="H24" s="10" t="str">
        <f>IF(OR($A24="",$G24=0,$G24=""),"",IF($D24="Kilometre (km)",$E24/($G24/100),$E24/$G24))</f>
        <v/>
      </c>
      <c r="I24" s="10" t="str">
        <f>IF($A24="","",'Araç Tanımlama'!G24)</f>
        <v/>
      </c>
      <c r="J24" s="4" t="str">
        <f>IF(OR($A24="",$H24="",$I24=""),"",IF($H24&gt;$I24*1.15,"YÜKSEK",IF($H24&gt;$I24*1.05,"DİKKAT","NORMAL")))</f>
        <v/>
      </c>
    </row>
    <row r="25" spans="1:10">
      <c r="A25" s="6" t="str">
        <f>IF('Araç Tanımlama'!A25="","",'Araç Tanımlama'!A25)</f>
        <v/>
      </c>
      <c r="B25" s="4" t="str">
        <f>IF($A25="","",'Araç Tanımlama'!D25)</f>
        <v/>
      </c>
      <c r="C25" s="4" t="str">
        <f>IF($A25="","",'Araç Tanımlama'!E25)</f>
        <v/>
      </c>
      <c r="D25" s="4" t="str">
        <f>IF($A25="","",'Araç Tanımlama'!F25)</f>
        <v/>
      </c>
      <c r="E25" s="4" t="str">
        <f>IF($A25="","",SUMIFS('Yakıt Alım Kayıt'!$G$5:$G$1500,'Yakıt Alım Kayıt'!$D$5:$D$1500,$A25))</f>
        <v/>
      </c>
      <c r="F25" s="9" t="str">
        <f>IF($A25="","",SUMIFS('Yakıt Alım Kayıt'!$I$5:$I$1500,'Yakıt Alım Kayıt'!$D$5:$D$1500,$A25))</f>
        <v/>
      </c>
      <c r="G25" s="4" t="str">
        <f>IF($A25="","",IFERROR(_xludf.maxifs('Yakıt Alım Kayıt'!$J$5:$J$1500,'Yakıt Alım Kayıt'!$D$5:$D$1500,$A25)-_xludf.minifs('Yakıt Alım Kayıt'!$J$5:$J$1500,'Yakıt Alım Kayıt'!$D$5:$D$1500,$A25),0))</f>
        <v/>
      </c>
      <c r="H25" s="10" t="str">
        <f>IF(OR($A25="",$G25=0,$G25=""),"",IF($D25="Kilometre (km)",$E25/($G25/100),$E25/$G25))</f>
        <v/>
      </c>
      <c r="I25" s="10" t="str">
        <f>IF($A25="","",'Araç Tanımlama'!G25)</f>
        <v/>
      </c>
      <c r="J25" s="4" t="str">
        <f>IF(OR($A25="",$H25="",$I25=""),"",IF($H25&gt;$I25*1.15,"YÜKSEK",IF($H25&gt;$I25*1.05,"DİKKAT","NORMAL")))</f>
        <v/>
      </c>
    </row>
    <row r="26" spans="1:10">
      <c r="A26" s="6" t="str">
        <f>IF('Araç Tanımlama'!A26="","",'Araç Tanımlama'!A26)</f>
        <v/>
      </c>
      <c r="B26" s="4" t="str">
        <f>IF($A26="","",'Araç Tanımlama'!D26)</f>
        <v/>
      </c>
      <c r="C26" s="4" t="str">
        <f>IF($A26="","",'Araç Tanımlama'!E26)</f>
        <v/>
      </c>
      <c r="D26" s="4" t="str">
        <f>IF($A26="","",'Araç Tanımlama'!F26)</f>
        <v/>
      </c>
      <c r="E26" s="4" t="str">
        <f>IF($A26="","",SUMIFS('Yakıt Alım Kayıt'!$G$5:$G$1500,'Yakıt Alım Kayıt'!$D$5:$D$1500,$A26))</f>
        <v/>
      </c>
      <c r="F26" s="9" t="str">
        <f>IF($A26="","",SUMIFS('Yakıt Alım Kayıt'!$I$5:$I$1500,'Yakıt Alım Kayıt'!$D$5:$D$1500,$A26))</f>
        <v/>
      </c>
      <c r="G26" s="4" t="str">
        <f>IF($A26="","",IFERROR(_xludf.maxifs('Yakıt Alım Kayıt'!$J$5:$J$1500,'Yakıt Alım Kayıt'!$D$5:$D$1500,$A26)-_xludf.minifs('Yakıt Alım Kayıt'!$J$5:$J$1500,'Yakıt Alım Kayıt'!$D$5:$D$1500,$A26),0))</f>
        <v/>
      </c>
      <c r="H26" s="10" t="str">
        <f>IF(OR($A26="",$G26=0,$G26=""),"",IF($D26="Kilometre (km)",$E26/($G26/100),$E26/$G26))</f>
        <v/>
      </c>
      <c r="I26" s="10" t="str">
        <f>IF($A26="","",'Araç Tanımlama'!G26)</f>
        <v/>
      </c>
      <c r="J26" s="4" t="str">
        <f>IF(OR($A26="",$H26="",$I26=""),"",IF($H26&gt;$I26*1.15,"YÜKSEK",IF($H26&gt;$I26*1.05,"DİKKAT","NORMAL")))</f>
        <v/>
      </c>
    </row>
    <row r="27" spans="1:10">
      <c r="A27" s="6" t="str">
        <f>IF('Araç Tanımlama'!A27="","",'Araç Tanımlama'!A27)</f>
        <v/>
      </c>
      <c r="B27" s="4" t="str">
        <f>IF($A27="","",'Araç Tanımlama'!D27)</f>
        <v/>
      </c>
      <c r="C27" s="4" t="str">
        <f>IF($A27="","",'Araç Tanımlama'!E27)</f>
        <v/>
      </c>
      <c r="D27" s="4" t="str">
        <f>IF($A27="","",'Araç Tanımlama'!F27)</f>
        <v/>
      </c>
      <c r="E27" s="4" t="str">
        <f>IF($A27="","",SUMIFS('Yakıt Alım Kayıt'!$G$5:$G$1500,'Yakıt Alım Kayıt'!$D$5:$D$1500,$A27))</f>
        <v/>
      </c>
      <c r="F27" s="9" t="str">
        <f>IF($A27="","",SUMIFS('Yakıt Alım Kayıt'!$I$5:$I$1500,'Yakıt Alım Kayıt'!$D$5:$D$1500,$A27))</f>
        <v/>
      </c>
      <c r="G27" s="4" t="str">
        <f>IF($A27="","",IFERROR(_xludf.maxifs('Yakıt Alım Kayıt'!$J$5:$J$1500,'Yakıt Alım Kayıt'!$D$5:$D$1500,$A27)-_xludf.minifs('Yakıt Alım Kayıt'!$J$5:$J$1500,'Yakıt Alım Kayıt'!$D$5:$D$1500,$A27),0))</f>
        <v/>
      </c>
      <c r="H27" s="10" t="str">
        <f>IF(OR($A27="",$G27=0,$G27=""),"",IF($D27="Kilometre (km)",$E27/($G27/100),$E27/$G27))</f>
        <v/>
      </c>
      <c r="I27" s="10" t="str">
        <f>IF($A27="","",'Araç Tanımlama'!G27)</f>
        <v/>
      </c>
      <c r="J27" s="4" t="str">
        <f>IF(OR($A27="",$H27="",$I27=""),"",IF($H27&gt;$I27*1.15,"YÜKSEK",IF($H27&gt;$I27*1.05,"DİKKAT","NORMAL")))</f>
        <v/>
      </c>
    </row>
    <row r="28" spans="1:10">
      <c r="A28" s="6" t="str">
        <f>IF('Araç Tanımlama'!A28="","",'Araç Tanımlama'!A28)</f>
        <v/>
      </c>
      <c r="B28" s="4" t="str">
        <f>IF($A28="","",'Araç Tanımlama'!D28)</f>
        <v/>
      </c>
      <c r="C28" s="4" t="str">
        <f>IF($A28="","",'Araç Tanımlama'!E28)</f>
        <v/>
      </c>
      <c r="D28" s="4" t="str">
        <f>IF($A28="","",'Araç Tanımlama'!F28)</f>
        <v/>
      </c>
      <c r="E28" s="4" t="str">
        <f>IF($A28="","",SUMIFS('Yakıt Alım Kayıt'!$G$5:$G$1500,'Yakıt Alım Kayıt'!$D$5:$D$1500,$A28))</f>
        <v/>
      </c>
      <c r="F28" s="9" t="str">
        <f>IF($A28="","",SUMIFS('Yakıt Alım Kayıt'!$I$5:$I$1500,'Yakıt Alım Kayıt'!$D$5:$D$1500,$A28))</f>
        <v/>
      </c>
      <c r="G28" s="4" t="str">
        <f>IF($A28="","",IFERROR(_xludf.maxifs('Yakıt Alım Kayıt'!$J$5:$J$1500,'Yakıt Alım Kayıt'!$D$5:$D$1500,$A28)-_xludf.minifs('Yakıt Alım Kayıt'!$J$5:$J$1500,'Yakıt Alım Kayıt'!$D$5:$D$1500,$A28),0))</f>
        <v/>
      </c>
      <c r="H28" s="10" t="str">
        <f>IF(OR($A28="",$G28=0,$G28=""),"",IF($D28="Kilometre (km)",$E28/($G28/100),$E28/$G28))</f>
        <v/>
      </c>
      <c r="I28" s="10" t="str">
        <f>IF($A28="","",'Araç Tanımlama'!G28)</f>
        <v/>
      </c>
      <c r="J28" s="4" t="str">
        <f>IF(OR($A28="",$H28="",$I28=""),"",IF($H28&gt;$I28*1.15,"YÜKSEK",IF($H28&gt;$I28*1.05,"DİKKAT","NORMAL")))</f>
        <v/>
      </c>
    </row>
    <row r="29" spans="1:10">
      <c r="A29" s="6" t="str">
        <f>IF('Araç Tanımlama'!A29="","",'Araç Tanımlama'!A29)</f>
        <v/>
      </c>
      <c r="B29" s="4" t="str">
        <f>IF($A29="","",'Araç Tanımlama'!D29)</f>
        <v/>
      </c>
      <c r="C29" s="4" t="str">
        <f>IF($A29="","",'Araç Tanımlama'!E29)</f>
        <v/>
      </c>
      <c r="D29" s="4" t="str">
        <f>IF($A29="","",'Araç Tanımlama'!F29)</f>
        <v/>
      </c>
      <c r="E29" s="4" t="str">
        <f>IF($A29="","",SUMIFS('Yakıt Alım Kayıt'!$G$5:$G$1500,'Yakıt Alım Kayıt'!$D$5:$D$1500,$A29))</f>
        <v/>
      </c>
      <c r="F29" s="9" t="str">
        <f>IF($A29="","",SUMIFS('Yakıt Alım Kayıt'!$I$5:$I$1500,'Yakıt Alım Kayıt'!$D$5:$D$1500,$A29))</f>
        <v/>
      </c>
      <c r="G29" s="4" t="str">
        <f>IF($A29="","",IFERROR(_xludf.maxifs('Yakıt Alım Kayıt'!$J$5:$J$1500,'Yakıt Alım Kayıt'!$D$5:$D$1500,$A29)-_xludf.minifs('Yakıt Alım Kayıt'!$J$5:$J$1500,'Yakıt Alım Kayıt'!$D$5:$D$1500,$A29),0))</f>
        <v/>
      </c>
      <c r="H29" s="10" t="str">
        <f>IF(OR($A29="",$G29=0,$G29=""),"",IF($D29="Kilometre (km)",$E29/($G29/100),$E29/$G29))</f>
        <v/>
      </c>
      <c r="I29" s="10" t="str">
        <f>IF($A29="","",'Araç Tanımlama'!G29)</f>
        <v/>
      </c>
      <c r="J29" s="4" t="str">
        <f>IF(OR($A29="",$H29="",$I29=""),"",IF($H29&gt;$I29*1.15,"YÜKSEK",IF($H29&gt;$I29*1.05,"DİKKAT","NORMAL")))</f>
        <v/>
      </c>
    </row>
    <row r="30" spans="1:10">
      <c r="A30" s="6" t="str">
        <f>IF('Araç Tanımlama'!A30="","",'Araç Tanımlama'!A30)</f>
        <v/>
      </c>
      <c r="B30" s="4" t="str">
        <f>IF($A30="","",'Araç Tanımlama'!D30)</f>
        <v/>
      </c>
      <c r="C30" s="4" t="str">
        <f>IF($A30="","",'Araç Tanımlama'!E30)</f>
        <v/>
      </c>
      <c r="D30" s="4" t="str">
        <f>IF($A30="","",'Araç Tanımlama'!F30)</f>
        <v/>
      </c>
      <c r="E30" s="4" t="str">
        <f>IF($A30="","",SUMIFS('Yakıt Alım Kayıt'!$G$5:$G$1500,'Yakıt Alım Kayıt'!$D$5:$D$1500,$A30))</f>
        <v/>
      </c>
      <c r="F30" s="9" t="str">
        <f>IF($A30="","",SUMIFS('Yakıt Alım Kayıt'!$I$5:$I$1500,'Yakıt Alım Kayıt'!$D$5:$D$1500,$A30))</f>
        <v/>
      </c>
      <c r="G30" s="4" t="str">
        <f>IF($A30="","",IFERROR(_xludf.maxifs('Yakıt Alım Kayıt'!$J$5:$J$1500,'Yakıt Alım Kayıt'!$D$5:$D$1500,$A30)-_xludf.minifs('Yakıt Alım Kayıt'!$J$5:$J$1500,'Yakıt Alım Kayıt'!$D$5:$D$1500,$A30),0))</f>
        <v/>
      </c>
      <c r="H30" s="10" t="str">
        <f>IF(OR($A30="",$G30=0,$G30=""),"",IF($D30="Kilometre (km)",$E30/($G30/100),$E30/$G30))</f>
        <v/>
      </c>
      <c r="I30" s="10" t="str">
        <f>IF($A30="","",'Araç Tanımlama'!G30)</f>
        <v/>
      </c>
      <c r="J30" s="4" t="str">
        <f>IF(OR($A30="",$H30="",$I30=""),"",IF($H30&gt;$I30*1.15,"YÜKSEK",IF($H30&gt;$I30*1.05,"DİKKAT","NORMAL")))</f>
        <v/>
      </c>
    </row>
    <row r="31" spans="1:10">
      <c r="A31" s="6" t="str">
        <f>IF('Araç Tanımlama'!A31="","",'Araç Tanımlama'!A31)</f>
        <v/>
      </c>
      <c r="B31" s="4" t="str">
        <f>IF($A31="","",'Araç Tanımlama'!D31)</f>
        <v/>
      </c>
      <c r="C31" s="4" t="str">
        <f>IF($A31="","",'Araç Tanımlama'!E31)</f>
        <v/>
      </c>
      <c r="D31" s="4" t="str">
        <f>IF($A31="","",'Araç Tanımlama'!F31)</f>
        <v/>
      </c>
      <c r="E31" s="4" t="str">
        <f>IF($A31="","",SUMIFS('Yakıt Alım Kayıt'!$G$5:$G$1500,'Yakıt Alım Kayıt'!$D$5:$D$1500,$A31))</f>
        <v/>
      </c>
      <c r="F31" s="9" t="str">
        <f>IF($A31="","",SUMIFS('Yakıt Alım Kayıt'!$I$5:$I$1500,'Yakıt Alım Kayıt'!$D$5:$D$1500,$A31))</f>
        <v/>
      </c>
      <c r="G31" s="4" t="str">
        <f>IF($A31="","",IFERROR(_xludf.maxifs('Yakıt Alım Kayıt'!$J$5:$J$1500,'Yakıt Alım Kayıt'!$D$5:$D$1500,$A31)-_xludf.minifs('Yakıt Alım Kayıt'!$J$5:$J$1500,'Yakıt Alım Kayıt'!$D$5:$D$1500,$A31),0))</f>
        <v/>
      </c>
      <c r="H31" s="10" t="str">
        <f>IF(OR($A31="",$G31=0,$G31=""),"",IF($D31="Kilometre (km)",$E31/($G31/100),$E31/$G31))</f>
        <v/>
      </c>
      <c r="I31" s="10" t="str">
        <f>IF($A31="","",'Araç Tanımlama'!G31)</f>
        <v/>
      </c>
      <c r="J31" s="4" t="str">
        <f>IF(OR($A31="",$H31="",$I31=""),"",IF($H31&gt;$I31*1.15,"YÜKSEK",IF($H31&gt;$I31*1.05,"DİKKAT","NORMAL")))</f>
        <v/>
      </c>
    </row>
    <row r="32" spans="1:10">
      <c r="A32" s="6" t="str">
        <f>IF('Araç Tanımlama'!A32="","",'Araç Tanımlama'!A32)</f>
        <v/>
      </c>
      <c r="B32" s="4" t="str">
        <f>IF($A32="","",'Araç Tanımlama'!D32)</f>
        <v/>
      </c>
      <c r="C32" s="4" t="str">
        <f>IF($A32="","",'Araç Tanımlama'!E32)</f>
        <v/>
      </c>
      <c r="D32" s="4" t="str">
        <f>IF($A32="","",'Araç Tanımlama'!F32)</f>
        <v/>
      </c>
      <c r="E32" s="4" t="str">
        <f>IF($A32="","",SUMIFS('Yakıt Alım Kayıt'!$G$5:$G$1500,'Yakıt Alım Kayıt'!$D$5:$D$1500,$A32))</f>
        <v/>
      </c>
      <c r="F32" s="9" t="str">
        <f>IF($A32="","",SUMIFS('Yakıt Alım Kayıt'!$I$5:$I$1500,'Yakıt Alım Kayıt'!$D$5:$D$1500,$A32))</f>
        <v/>
      </c>
      <c r="G32" s="4" t="str">
        <f>IF($A32="","",IFERROR(_xludf.maxifs('Yakıt Alım Kayıt'!$J$5:$J$1500,'Yakıt Alım Kayıt'!$D$5:$D$1500,$A32)-_xludf.minifs('Yakıt Alım Kayıt'!$J$5:$J$1500,'Yakıt Alım Kayıt'!$D$5:$D$1500,$A32),0))</f>
        <v/>
      </c>
      <c r="H32" s="10" t="str">
        <f>IF(OR($A32="",$G32=0,$G32=""),"",IF($D32="Kilometre (km)",$E32/($G32/100),$E32/$G32))</f>
        <v/>
      </c>
      <c r="I32" s="10" t="str">
        <f>IF($A32="","",'Araç Tanımlama'!G32)</f>
        <v/>
      </c>
      <c r="J32" s="4" t="str">
        <f>IF(OR($A32="",$H32="",$I32=""),"",IF($H32&gt;$I32*1.15,"YÜKSEK",IF($H32&gt;$I32*1.05,"DİKKAT","NORMAL")))</f>
        <v/>
      </c>
    </row>
    <row r="33" spans="1:10">
      <c r="A33" s="6" t="str">
        <f>IF('Araç Tanımlama'!A33="","",'Araç Tanımlama'!A33)</f>
        <v/>
      </c>
      <c r="B33" s="4" t="str">
        <f>IF($A33="","",'Araç Tanımlama'!D33)</f>
        <v/>
      </c>
      <c r="C33" s="4" t="str">
        <f>IF($A33="","",'Araç Tanımlama'!E33)</f>
        <v/>
      </c>
      <c r="D33" s="4" t="str">
        <f>IF($A33="","",'Araç Tanımlama'!F33)</f>
        <v/>
      </c>
      <c r="E33" s="4" t="str">
        <f>IF($A33="","",SUMIFS('Yakıt Alım Kayıt'!$G$5:$G$1500,'Yakıt Alım Kayıt'!$D$5:$D$1500,$A33))</f>
        <v/>
      </c>
      <c r="F33" s="9" t="str">
        <f>IF($A33="","",SUMIFS('Yakıt Alım Kayıt'!$I$5:$I$1500,'Yakıt Alım Kayıt'!$D$5:$D$1500,$A33))</f>
        <v/>
      </c>
      <c r="G33" s="4" t="str">
        <f>IF($A33="","",IFERROR(_xludf.maxifs('Yakıt Alım Kayıt'!$J$5:$J$1500,'Yakıt Alım Kayıt'!$D$5:$D$1500,$A33)-_xludf.minifs('Yakıt Alım Kayıt'!$J$5:$J$1500,'Yakıt Alım Kayıt'!$D$5:$D$1500,$A33),0))</f>
        <v/>
      </c>
      <c r="H33" s="10" t="str">
        <f>IF(OR($A33="",$G33=0,$G33=""),"",IF($D33="Kilometre (km)",$E33/($G33/100),$E33/$G33))</f>
        <v/>
      </c>
      <c r="I33" s="10" t="str">
        <f>IF($A33="","",'Araç Tanımlama'!G33)</f>
        <v/>
      </c>
      <c r="J33" s="4" t="str">
        <f>IF(OR($A33="",$H33="",$I33=""),"",IF($H33&gt;$I33*1.15,"YÜKSEK",IF($H33&gt;$I33*1.05,"DİKKAT","NORMAL")))</f>
        <v/>
      </c>
    </row>
    <row r="34" spans="1:10">
      <c r="A34" s="6" t="str">
        <f>IF('Araç Tanımlama'!A34="","",'Araç Tanımlama'!A34)</f>
        <v/>
      </c>
      <c r="B34" s="4" t="str">
        <f>IF($A34="","",'Araç Tanımlama'!D34)</f>
        <v/>
      </c>
      <c r="C34" s="4" t="str">
        <f>IF($A34="","",'Araç Tanımlama'!E34)</f>
        <v/>
      </c>
      <c r="D34" s="4" t="str">
        <f>IF($A34="","",'Araç Tanımlama'!F34)</f>
        <v/>
      </c>
      <c r="E34" s="4" t="str">
        <f>IF($A34="","",SUMIFS('Yakıt Alım Kayıt'!$G$5:$G$1500,'Yakıt Alım Kayıt'!$D$5:$D$1500,$A34))</f>
        <v/>
      </c>
      <c r="F34" s="9" t="str">
        <f>IF($A34="","",SUMIFS('Yakıt Alım Kayıt'!$I$5:$I$1500,'Yakıt Alım Kayıt'!$D$5:$D$1500,$A34))</f>
        <v/>
      </c>
      <c r="G34" s="4" t="str">
        <f>IF($A34="","",IFERROR(_xludf.maxifs('Yakıt Alım Kayıt'!$J$5:$J$1500,'Yakıt Alım Kayıt'!$D$5:$D$1500,$A34)-_xludf.minifs('Yakıt Alım Kayıt'!$J$5:$J$1500,'Yakıt Alım Kayıt'!$D$5:$D$1500,$A34),0))</f>
        <v/>
      </c>
      <c r="H34" s="10" t="str">
        <f>IF(OR($A34="",$G34=0,$G34=""),"",IF($D34="Kilometre (km)",$E34/($G34/100),$E34/$G34))</f>
        <v/>
      </c>
      <c r="I34" s="10" t="str">
        <f>IF($A34="","",'Araç Tanımlama'!G34)</f>
        <v/>
      </c>
      <c r="J34" s="4" t="str">
        <f>IF(OR($A34="",$H34="",$I34=""),"",IF($H34&gt;$I34*1.15,"YÜKSEK",IF($H34&gt;$I34*1.05,"DİKKAT","NORMAL")))</f>
        <v/>
      </c>
    </row>
    <row r="35" spans="1:10">
      <c r="A35" s="6" t="str">
        <f>IF('Araç Tanımlama'!A35="","",'Araç Tanımlama'!A35)</f>
        <v/>
      </c>
      <c r="B35" s="4" t="str">
        <f>IF($A35="","",'Araç Tanımlama'!D35)</f>
        <v/>
      </c>
      <c r="C35" s="4" t="str">
        <f>IF($A35="","",'Araç Tanımlama'!E35)</f>
        <v/>
      </c>
      <c r="D35" s="4" t="str">
        <f>IF($A35="","",'Araç Tanımlama'!F35)</f>
        <v/>
      </c>
      <c r="E35" s="4" t="str">
        <f>IF($A35="","",SUMIFS('Yakıt Alım Kayıt'!$G$5:$G$1500,'Yakıt Alım Kayıt'!$D$5:$D$1500,$A35))</f>
        <v/>
      </c>
      <c r="F35" s="9" t="str">
        <f>IF($A35="","",SUMIFS('Yakıt Alım Kayıt'!$I$5:$I$1500,'Yakıt Alım Kayıt'!$D$5:$D$1500,$A35))</f>
        <v/>
      </c>
      <c r="G35" s="4" t="str">
        <f>IF($A35="","",IFERROR(_xludf.maxifs('Yakıt Alım Kayıt'!$J$5:$J$1500,'Yakıt Alım Kayıt'!$D$5:$D$1500,$A35)-_xludf.minifs('Yakıt Alım Kayıt'!$J$5:$J$1500,'Yakıt Alım Kayıt'!$D$5:$D$1500,$A35),0))</f>
        <v/>
      </c>
      <c r="H35" s="10" t="str">
        <f>IF(OR($A35="",$G35=0,$G35=""),"",IF($D35="Kilometre (km)",$E35/($G35/100),$E35/$G35))</f>
        <v/>
      </c>
      <c r="I35" s="10" t="str">
        <f>IF($A35="","",'Araç Tanımlama'!G35)</f>
        <v/>
      </c>
      <c r="J35" s="4" t="str">
        <f>IF(OR($A35="",$H35="",$I35=""),"",IF($H35&gt;$I35*1.15,"YÜKSEK",IF($H35&gt;$I35*1.05,"DİKKAT","NORMAL")))</f>
        <v/>
      </c>
    </row>
    <row r="36" spans="1:10">
      <c r="A36" s="6" t="str">
        <f>IF('Araç Tanımlama'!A36="","",'Araç Tanımlama'!A36)</f>
        <v/>
      </c>
      <c r="B36" s="4" t="str">
        <f>IF($A36="","",'Araç Tanımlama'!D36)</f>
        <v/>
      </c>
      <c r="C36" s="4" t="str">
        <f>IF($A36="","",'Araç Tanımlama'!E36)</f>
        <v/>
      </c>
      <c r="D36" s="4" t="str">
        <f>IF($A36="","",'Araç Tanımlama'!F36)</f>
        <v/>
      </c>
      <c r="E36" s="4" t="str">
        <f>IF($A36="","",SUMIFS('Yakıt Alım Kayıt'!$G$5:$G$1500,'Yakıt Alım Kayıt'!$D$5:$D$1500,$A36))</f>
        <v/>
      </c>
      <c r="F36" s="9" t="str">
        <f>IF($A36="","",SUMIFS('Yakıt Alım Kayıt'!$I$5:$I$1500,'Yakıt Alım Kayıt'!$D$5:$D$1500,$A36))</f>
        <v/>
      </c>
      <c r="G36" s="4" t="str">
        <f>IF($A36="","",IFERROR(_xludf.maxifs('Yakıt Alım Kayıt'!$J$5:$J$1500,'Yakıt Alım Kayıt'!$D$5:$D$1500,$A36)-_xludf.minifs('Yakıt Alım Kayıt'!$J$5:$J$1500,'Yakıt Alım Kayıt'!$D$5:$D$1500,$A36),0))</f>
        <v/>
      </c>
      <c r="H36" s="10" t="str">
        <f>IF(OR($A36="",$G36=0,$G36=""),"",IF($D36="Kilometre (km)",$E36/($G36/100),$E36/$G36))</f>
        <v/>
      </c>
      <c r="I36" s="10" t="str">
        <f>IF($A36="","",'Araç Tanımlama'!G36)</f>
        <v/>
      </c>
      <c r="J36" s="4" t="str">
        <f>IF(OR($A36="",$H36="",$I36=""),"",IF($H36&gt;$I36*1.15,"YÜKSEK",IF($H36&gt;$I36*1.05,"DİKKAT","NORMAL")))</f>
        <v/>
      </c>
    </row>
    <row r="37" spans="1:10">
      <c r="A37" s="6" t="str">
        <f>IF('Araç Tanımlama'!A37="","",'Araç Tanımlama'!A37)</f>
        <v/>
      </c>
      <c r="B37" s="4" t="str">
        <f>IF($A37="","",'Araç Tanımlama'!D37)</f>
        <v/>
      </c>
      <c r="C37" s="4" t="str">
        <f>IF($A37="","",'Araç Tanımlama'!E37)</f>
        <v/>
      </c>
      <c r="D37" s="4" t="str">
        <f>IF($A37="","",'Araç Tanımlama'!F37)</f>
        <v/>
      </c>
      <c r="E37" s="4" t="str">
        <f>IF($A37="","",SUMIFS('Yakıt Alım Kayıt'!$G$5:$G$1500,'Yakıt Alım Kayıt'!$D$5:$D$1500,$A37))</f>
        <v/>
      </c>
      <c r="F37" s="9" t="str">
        <f>IF($A37="","",SUMIFS('Yakıt Alım Kayıt'!$I$5:$I$1500,'Yakıt Alım Kayıt'!$D$5:$D$1500,$A37))</f>
        <v/>
      </c>
      <c r="G37" s="4" t="str">
        <f>IF($A37="","",IFERROR(_xludf.maxifs('Yakıt Alım Kayıt'!$J$5:$J$1500,'Yakıt Alım Kayıt'!$D$5:$D$1500,$A37)-_xludf.minifs('Yakıt Alım Kayıt'!$J$5:$J$1500,'Yakıt Alım Kayıt'!$D$5:$D$1500,$A37),0))</f>
        <v/>
      </c>
      <c r="H37" s="10" t="str">
        <f>IF(OR($A37="",$G37=0,$G37=""),"",IF($D37="Kilometre (km)",$E37/($G37/100),$E37/$G37))</f>
        <v/>
      </c>
      <c r="I37" s="10" t="str">
        <f>IF($A37="","",'Araç Tanımlama'!G37)</f>
        <v/>
      </c>
      <c r="J37" s="4" t="str">
        <f>IF(OR($A37="",$H37="",$I37=""),"",IF($H37&gt;$I37*1.15,"YÜKSEK",IF($H37&gt;$I37*1.05,"DİKKAT","NORMAL")))</f>
        <v/>
      </c>
    </row>
    <row r="38" spans="1:10">
      <c r="A38" s="6" t="str">
        <f>IF('Araç Tanımlama'!A38="","",'Araç Tanımlama'!A38)</f>
        <v/>
      </c>
      <c r="B38" s="4" t="str">
        <f>IF($A38="","",'Araç Tanımlama'!D38)</f>
        <v/>
      </c>
      <c r="C38" s="4" t="str">
        <f>IF($A38="","",'Araç Tanımlama'!E38)</f>
        <v/>
      </c>
      <c r="D38" s="4" t="str">
        <f>IF($A38="","",'Araç Tanımlama'!F38)</f>
        <v/>
      </c>
      <c r="E38" s="4" t="str">
        <f>IF($A38="","",SUMIFS('Yakıt Alım Kayıt'!$G$5:$G$1500,'Yakıt Alım Kayıt'!$D$5:$D$1500,$A38))</f>
        <v/>
      </c>
      <c r="F38" s="9" t="str">
        <f>IF($A38="","",SUMIFS('Yakıt Alım Kayıt'!$I$5:$I$1500,'Yakıt Alım Kayıt'!$D$5:$D$1500,$A38))</f>
        <v/>
      </c>
      <c r="G38" s="4" t="str">
        <f>IF($A38="","",IFERROR(_xludf.maxifs('Yakıt Alım Kayıt'!$J$5:$J$1500,'Yakıt Alım Kayıt'!$D$5:$D$1500,$A38)-_xludf.minifs('Yakıt Alım Kayıt'!$J$5:$J$1500,'Yakıt Alım Kayıt'!$D$5:$D$1500,$A38),0))</f>
        <v/>
      </c>
      <c r="H38" s="10" t="str">
        <f>IF(OR($A38="",$G38=0,$G38=""),"",IF($D38="Kilometre (km)",$E38/($G38/100),$E38/$G38))</f>
        <v/>
      </c>
      <c r="I38" s="10" t="str">
        <f>IF($A38="","",'Araç Tanımlama'!G38)</f>
        <v/>
      </c>
      <c r="J38" s="4" t="str">
        <f>IF(OR($A38="",$H38="",$I38=""),"",IF($H38&gt;$I38*1.15,"YÜKSEK",IF($H38&gt;$I38*1.05,"DİKKAT","NORMAL")))</f>
        <v/>
      </c>
    </row>
    <row r="39" spans="1:10">
      <c r="A39" s="6" t="str">
        <f>IF('Araç Tanımlama'!A39="","",'Araç Tanımlama'!A39)</f>
        <v/>
      </c>
      <c r="B39" s="4" t="str">
        <f>IF($A39="","",'Araç Tanımlama'!D39)</f>
        <v/>
      </c>
      <c r="C39" s="4" t="str">
        <f>IF($A39="","",'Araç Tanımlama'!E39)</f>
        <v/>
      </c>
      <c r="D39" s="4" t="str">
        <f>IF($A39="","",'Araç Tanımlama'!F39)</f>
        <v/>
      </c>
      <c r="E39" s="4" t="str">
        <f>IF($A39="","",SUMIFS('Yakıt Alım Kayıt'!$G$5:$G$1500,'Yakıt Alım Kayıt'!$D$5:$D$1500,$A39))</f>
        <v/>
      </c>
      <c r="F39" s="9" t="str">
        <f>IF($A39="","",SUMIFS('Yakıt Alım Kayıt'!$I$5:$I$1500,'Yakıt Alım Kayıt'!$D$5:$D$1500,$A39))</f>
        <v/>
      </c>
      <c r="G39" s="4" t="str">
        <f>IF($A39="","",IFERROR(_xludf.maxifs('Yakıt Alım Kayıt'!$J$5:$J$1500,'Yakıt Alım Kayıt'!$D$5:$D$1500,$A39)-_xludf.minifs('Yakıt Alım Kayıt'!$J$5:$J$1500,'Yakıt Alım Kayıt'!$D$5:$D$1500,$A39),0))</f>
        <v/>
      </c>
      <c r="H39" s="10" t="str">
        <f>IF(OR($A39="",$G39=0,$G39=""),"",IF($D39="Kilometre (km)",$E39/($G39/100),$E39/$G39))</f>
        <v/>
      </c>
      <c r="I39" s="10" t="str">
        <f>IF($A39="","",'Araç Tanımlama'!G39)</f>
        <v/>
      </c>
      <c r="J39" s="4" t="str">
        <f>IF(OR($A39="",$H39="",$I39=""),"",IF($H39&gt;$I39*1.15,"YÜKSEK",IF($H39&gt;$I39*1.05,"DİKKAT","NORMAL")))</f>
        <v/>
      </c>
    </row>
    <row r="40" spans="1:10">
      <c r="A40" s="6" t="str">
        <f>IF('Araç Tanımlama'!A40="","",'Araç Tanımlama'!A40)</f>
        <v/>
      </c>
      <c r="B40" s="4" t="str">
        <f>IF($A40="","",'Araç Tanımlama'!D40)</f>
        <v/>
      </c>
      <c r="C40" s="4" t="str">
        <f>IF($A40="","",'Araç Tanımlama'!E40)</f>
        <v/>
      </c>
      <c r="D40" s="4" t="str">
        <f>IF($A40="","",'Araç Tanımlama'!F40)</f>
        <v/>
      </c>
      <c r="E40" s="4" t="str">
        <f>IF($A40="","",SUMIFS('Yakıt Alım Kayıt'!$G$5:$G$1500,'Yakıt Alım Kayıt'!$D$5:$D$1500,$A40))</f>
        <v/>
      </c>
      <c r="F40" s="9" t="str">
        <f>IF($A40="","",SUMIFS('Yakıt Alım Kayıt'!$I$5:$I$1500,'Yakıt Alım Kayıt'!$D$5:$D$1500,$A40))</f>
        <v/>
      </c>
      <c r="G40" s="4" t="str">
        <f>IF($A40="","",IFERROR(_xludf.maxifs('Yakıt Alım Kayıt'!$J$5:$J$1500,'Yakıt Alım Kayıt'!$D$5:$D$1500,$A40)-_xludf.minifs('Yakıt Alım Kayıt'!$J$5:$J$1500,'Yakıt Alım Kayıt'!$D$5:$D$1500,$A40),0))</f>
        <v/>
      </c>
      <c r="H40" s="10" t="str">
        <f>IF(OR($A40="",$G40=0,$G40=""),"",IF($D40="Kilometre (km)",$E40/($G40/100),$E40/$G40))</f>
        <v/>
      </c>
      <c r="I40" s="10" t="str">
        <f>IF($A40="","",'Araç Tanımlama'!G40)</f>
        <v/>
      </c>
      <c r="J40" s="4" t="str">
        <f>IF(OR($A40="",$H40="",$I40=""),"",IF($H40&gt;$I40*1.15,"YÜKSEK",IF($H40&gt;$I40*1.05,"DİKKAT","NORMAL")))</f>
        <v/>
      </c>
    </row>
    <row r="41" spans="1:10">
      <c r="A41" s="6" t="str">
        <f>IF('Araç Tanımlama'!A41="","",'Araç Tanımlama'!A41)</f>
        <v/>
      </c>
      <c r="B41" s="4" t="str">
        <f>IF($A41="","",'Araç Tanımlama'!D41)</f>
        <v/>
      </c>
      <c r="C41" s="4" t="str">
        <f>IF($A41="","",'Araç Tanımlama'!E41)</f>
        <v/>
      </c>
      <c r="D41" s="4" t="str">
        <f>IF($A41="","",'Araç Tanımlama'!F41)</f>
        <v/>
      </c>
      <c r="E41" s="4" t="str">
        <f>IF($A41="","",SUMIFS('Yakıt Alım Kayıt'!$G$5:$G$1500,'Yakıt Alım Kayıt'!$D$5:$D$1500,$A41))</f>
        <v/>
      </c>
      <c r="F41" s="9" t="str">
        <f>IF($A41="","",SUMIFS('Yakıt Alım Kayıt'!$I$5:$I$1500,'Yakıt Alım Kayıt'!$D$5:$D$1500,$A41))</f>
        <v/>
      </c>
      <c r="G41" s="4" t="str">
        <f>IF($A41="","",IFERROR(_xludf.maxifs('Yakıt Alım Kayıt'!$J$5:$J$1500,'Yakıt Alım Kayıt'!$D$5:$D$1500,$A41)-_xludf.minifs('Yakıt Alım Kayıt'!$J$5:$J$1500,'Yakıt Alım Kayıt'!$D$5:$D$1500,$A41),0))</f>
        <v/>
      </c>
      <c r="H41" s="10" t="str">
        <f>IF(OR($A41="",$G41=0,$G41=""),"",IF($D41="Kilometre (km)",$E41/($G41/100),$E41/$G41))</f>
        <v/>
      </c>
      <c r="I41" s="10" t="str">
        <f>IF($A41="","",'Araç Tanımlama'!G41)</f>
        <v/>
      </c>
      <c r="J41" s="4" t="str">
        <f>IF(OR($A41="",$H41="",$I41=""),"",IF($H41&gt;$I41*1.15,"YÜKSEK",IF($H41&gt;$I41*1.05,"DİKKAT","NORMAL")))</f>
        <v/>
      </c>
    </row>
    <row r="42" spans="1:10">
      <c r="A42" s="6" t="str">
        <f>IF('Araç Tanımlama'!A42="","",'Araç Tanımlama'!A42)</f>
        <v/>
      </c>
      <c r="B42" s="4" t="str">
        <f>IF($A42="","",'Araç Tanımlama'!D42)</f>
        <v/>
      </c>
      <c r="C42" s="4" t="str">
        <f>IF($A42="","",'Araç Tanımlama'!E42)</f>
        <v/>
      </c>
      <c r="D42" s="4" t="str">
        <f>IF($A42="","",'Araç Tanımlama'!F42)</f>
        <v/>
      </c>
      <c r="E42" s="4" t="str">
        <f>IF($A42="","",SUMIFS('Yakıt Alım Kayıt'!$G$5:$G$1500,'Yakıt Alım Kayıt'!$D$5:$D$1500,$A42))</f>
        <v/>
      </c>
      <c r="F42" s="9" t="str">
        <f>IF($A42="","",SUMIFS('Yakıt Alım Kayıt'!$I$5:$I$1500,'Yakıt Alım Kayıt'!$D$5:$D$1500,$A42))</f>
        <v/>
      </c>
      <c r="G42" s="4" t="str">
        <f>IF($A42="","",IFERROR(_xludf.maxifs('Yakıt Alım Kayıt'!$J$5:$J$1500,'Yakıt Alım Kayıt'!$D$5:$D$1500,$A42)-_xludf.minifs('Yakıt Alım Kayıt'!$J$5:$J$1500,'Yakıt Alım Kayıt'!$D$5:$D$1500,$A42),0))</f>
        <v/>
      </c>
      <c r="H42" s="10" t="str">
        <f>IF(OR($A42="",$G42=0,$G42=""),"",IF($D42="Kilometre (km)",$E42/($G42/100),$E42/$G42))</f>
        <v/>
      </c>
      <c r="I42" s="10" t="str">
        <f>IF($A42="","",'Araç Tanımlama'!G42)</f>
        <v/>
      </c>
      <c r="J42" s="4" t="str">
        <f>IF(OR($A42="",$H42="",$I42=""),"",IF($H42&gt;$I42*1.15,"YÜKSEK",IF($H42&gt;$I42*1.05,"DİKKAT","NORMAL")))</f>
        <v/>
      </c>
    </row>
    <row r="43" spans="1:10">
      <c r="A43" s="6" t="str">
        <f>IF('Araç Tanımlama'!A43="","",'Araç Tanımlama'!A43)</f>
        <v/>
      </c>
      <c r="B43" s="4" t="str">
        <f>IF($A43="","",'Araç Tanımlama'!D43)</f>
        <v/>
      </c>
      <c r="C43" s="4" t="str">
        <f>IF($A43="","",'Araç Tanımlama'!E43)</f>
        <v/>
      </c>
      <c r="D43" s="4" t="str">
        <f>IF($A43="","",'Araç Tanımlama'!F43)</f>
        <v/>
      </c>
      <c r="E43" s="4" t="str">
        <f>IF($A43="","",SUMIFS('Yakıt Alım Kayıt'!$G$5:$G$1500,'Yakıt Alım Kayıt'!$D$5:$D$1500,$A43))</f>
        <v/>
      </c>
      <c r="F43" s="9" t="str">
        <f>IF($A43="","",SUMIFS('Yakıt Alım Kayıt'!$I$5:$I$1500,'Yakıt Alım Kayıt'!$D$5:$D$1500,$A43))</f>
        <v/>
      </c>
      <c r="G43" s="4" t="str">
        <f>IF($A43="","",IFERROR(_xludf.maxifs('Yakıt Alım Kayıt'!$J$5:$J$1500,'Yakıt Alım Kayıt'!$D$5:$D$1500,$A43)-_xludf.minifs('Yakıt Alım Kayıt'!$J$5:$J$1500,'Yakıt Alım Kayıt'!$D$5:$D$1500,$A43),0))</f>
        <v/>
      </c>
      <c r="H43" s="10" t="str">
        <f>IF(OR($A43="",$G43=0,$G43=""),"",IF($D43="Kilometre (km)",$E43/($G43/100),$E43/$G43))</f>
        <v/>
      </c>
      <c r="I43" s="10" t="str">
        <f>IF($A43="","",'Araç Tanımlama'!G43)</f>
        <v/>
      </c>
      <c r="J43" s="4" t="str">
        <f>IF(OR($A43="",$H43="",$I43=""),"",IF($H43&gt;$I43*1.15,"YÜKSEK",IF($H43&gt;$I43*1.05,"DİKKAT","NORMAL")))</f>
        <v/>
      </c>
    </row>
    <row r="44" spans="1:10">
      <c r="A44" s="6" t="str">
        <f>IF('Araç Tanımlama'!A44="","",'Araç Tanımlama'!A44)</f>
        <v/>
      </c>
      <c r="B44" s="4" t="str">
        <f>IF($A44="","",'Araç Tanımlama'!D44)</f>
        <v/>
      </c>
      <c r="C44" s="4" t="str">
        <f>IF($A44="","",'Araç Tanımlama'!E44)</f>
        <v/>
      </c>
      <c r="D44" s="4" t="str">
        <f>IF($A44="","",'Araç Tanımlama'!F44)</f>
        <v/>
      </c>
      <c r="E44" s="4" t="str">
        <f>IF($A44="","",SUMIFS('Yakıt Alım Kayıt'!$G$5:$G$1500,'Yakıt Alım Kayıt'!$D$5:$D$1500,$A44))</f>
        <v/>
      </c>
      <c r="F44" s="9" t="str">
        <f>IF($A44="","",SUMIFS('Yakıt Alım Kayıt'!$I$5:$I$1500,'Yakıt Alım Kayıt'!$D$5:$D$1500,$A44))</f>
        <v/>
      </c>
      <c r="G44" s="4" t="str">
        <f>IF($A44="","",IFERROR(_xludf.maxifs('Yakıt Alım Kayıt'!$J$5:$J$1500,'Yakıt Alım Kayıt'!$D$5:$D$1500,$A44)-_xludf.minifs('Yakıt Alım Kayıt'!$J$5:$J$1500,'Yakıt Alım Kayıt'!$D$5:$D$1500,$A44),0))</f>
        <v/>
      </c>
      <c r="H44" s="10" t="str">
        <f>IF(OR($A44="",$G44=0,$G44=""),"",IF($D44="Kilometre (km)",$E44/($G44/100),$E44/$G44))</f>
        <v/>
      </c>
      <c r="I44" s="10" t="str">
        <f>IF($A44="","",'Araç Tanımlama'!G44)</f>
        <v/>
      </c>
      <c r="J44" s="4" t="str">
        <f>IF(OR($A44="",$H44="",$I44=""),"",IF($H44&gt;$I44*1.15,"YÜKSEK",IF($H44&gt;$I44*1.05,"DİKKAT","NORMAL")))</f>
        <v/>
      </c>
    </row>
    <row r="45" spans="1:10">
      <c r="A45" s="6" t="str">
        <f>IF('Araç Tanımlama'!A45="","",'Araç Tanımlama'!A45)</f>
        <v/>
      </c>
      <c r="B45" s="4" t="str">
        <f>IF($A45="","",'Araç Tanımlama'!D45)</f>
        <v/>
      </c>
      <c r="C45" s="4" t="str">
        <f>IF($A45="","",'Araç Tanımlama'!E45)</f>
        <v/>
      </c>
      <c r="D45" s="4" t="str">
        <f>IF($A45="","",'Araç Tanımlama'!F45)</f>
        <v/>
      </c>
      <c r="E45" s="4" t="str">
        <f>IF($A45="","",SUMIFS('Yakıt Alım Kayıt'!$G$5:$G$1500,'Yakıt Alım Kayıt'!$D$5:$D$1500,$A45))</f>
        <v/>
      </c>
      <c r="F45" s="9" t="str">
        <f>IF($A45="","",SUMIFS('Yakıt Alım Kayıt'!$I$5:$I$1500,'Yakıt Alım Kayıt'!$D$5:$D$1500,$A45))</f>
        <v/>
      </c>
      <c r="G45" s="4" t="str">
        <f>IF($A45="","",IFERROR(_xludf.maxifs('Yakıt Alım Kayıt'!$J$5:$J$1500,'Yakıt Alım Kayıt'!$D$5:$D$1500,$A45)-_xludf.minifs('Yakıt Alım Kayıt'!$J$5:$J$1500,'Yakıt Alım Kayıt'!$D$5:$D$1500,$A45),0))</f>
        <v/>
      </c>
      <c r="H45" s="10" t="str">
        <f>IF(OR($A45="",$G45=0,$G45=""),"",IF($D45="Kilometre (km)",$E45/($G45/100),$E45/$G45))</f>
        <v/>
      </c>
      <c r="I45" s="10" t="str">
        <f>IF($A45="","",'Araç Tanımlama'!G45)</f>
        <v/>
      </c>
      <c r="J45" s="4" t="str">
        <f>IF(OR($A45="",$H45="",$I45=""),"",IF($H45&gt;$I45*1.15,"YÜKSEK",IF($H45&gt;$I45*1.05,"DİKKAT","NORMAL")))</f>
        <v/>
      </c>
    </row>
    <row r="46" spans="1:10">
      <c r="A46" s="6" t="str">
        <f>IF('Araç Tanımlama'!A46="","",'Araç Tanımlama'!A46)</f>
        <v/>
      </c>
      <c r="B46" s="4" t="str">
        <f>IF($A46="","",'Araç Tanımlama'!D46)</f>
        <v/>
      </c>
      <c r="C46" s="4" t="str">
        <f>IF($A46="","",'Araç Tanımlama'!E46)</f>
        <v/>
      </c>
      <c r="D46" s="4" t="str">
        <f>IF($A46="","",'Araç Tanımlama'!F46)</f>
        <v/>
      </c>
      <c r="E46" s="4" t="str">
        <f>IF($A46="","",SUMIFS('Yakıt Alım Kayıt'!$G$5:$G$1500,'Yakıt Alım Kayıt'!$D$5:$D$1500,$A46))</f>
        <v/>
      </c>
      <c r="F46" s="9" t="str">
        <f>IF($A46="","",SUMIFS('Yakıt Alım Kayıt'!$I$5:$I$1500,'Yakıt Alım Kayıt'!$D$5:$D$1500,$A46))</f>
        <v/>
      </c>
      <c r="G46" s="4" t="str">
        <f>IF($A46="","",IFERROR(_xludf.maxifs('Yakıt Alım Kayıt'!$J$5:$J$1500,'Yakıt Alım Kayıt'!$D$5:$D$1500,$A46)-_xludf.minifs('Yakıt Alım Kayıt'!$J$5:$J$1500,'Yakıt Alım Kayıt'!$D$5:$D$1500,$A46),0))</f>
        <v/>
      </c>
      <c r="H46" s="10" t="str">
        <f>IF(OR($A46="",$G46=0,$G46=""),"",IF($D46="Kilometre (km)",$E46/($G46/100),$E46/$G46))</f>
        <v/>
      </c>
      <c r="I46" s="10" t="str">
        <f>IF($A46="","",'Araç Tanımlama'!G46)</f>
        <v/>
      </c>
      <c r="J46" s="4" t="str">
        <f>IF(OR($A46="",$H46="",$I46=""),"",IF($H46&gt;$I46*1.15,"YÜKSEK",IF($H46&gt;$I46*1.05,"DİKKAT","NORMAL")))</f>
        <v/>
      </c>
    </row>
    <row r="47" spans="1:10">
      <c r="A47" s="6" t="str">
        <f>IF('Araç Tanımlama'!A47="","",'Araç Tanımlama'!A47)</f>
        <v/>
      </c>
      <c r="B47" s="4" t="str">
        <f>IF($A47="","",'Araç Tanımlama'!D47)</f>
        <v/>
      </c>
      <c r="C47" s="4" t="str">
        <f>IF($A47="","",'Araç Tanımlama'!E47)</f>
        <v/>
      </c>
      <c r="D47" s="4" t="str">
        <f>IF($A47="","",'Araç Tanımlama'!F47)</f>
        <v/>
      </c>
      <c r="E47" s="4" t="str">
        <f>IF($A47="","",SUMIFS('Yakıt Alım Kayıt'!$G$5:$G$1500,'Yakıt Alım Kayıt'!$D$5:$D$1500,$A47))</f>
        <v/>
      </c>
      <c r="F47" s="9" t="str">
        <f>IF($A47="","",SUMIFS('Yakıt Alım Kayıt'!$I$5:$I$1500,'Yakıt Alım Kayıt'!$D$5:$D$1500,$A47))</f>
        <v/>
      </c>
      <c r="G47" s="4" t="str">
        <f>IF($A47="","",IFERROR(_xludf.maxifs('Yakıt Alım Kayıt'!$J$5:$J$1500,'Yakıt Alım Kayıt'!$D$5:$D$1500,$A47)-_xludf.minifs('Yakıt Alım Kayıt'!$J$5:$J$1500,'Yakıt Alım Kayıt'!$D$5:$D$1500,$A47),0))</f>
        <v/>
      </c>
      <c r="H47" s="10" t="str">
        <f>IF(OR($A47="",$G47=0,$G47=""),"",IF($D47="Kilometre (km)",$E47/($G47/100),$E47/$G47))</f>
        <v/>
      </c>
      <c r="I47" s="10" t="str">
        <f>IF($A47="","",'Araç Tanımlama'!G47)</f>
        <v/>
      </c>
      <c r="J47" s="4" t="str">
        <f>IF(OR($A47="",$H47="",$I47=""),"",IF($H47&gt;$I47*1.15,"YÜKSEK",IF($H47&gt;$I47*1.05,"DİKKAT","NORMAL")))</f>
        <v/>
      </c>
    </row>
    <row r="48" spans="1:10">
      <c r="A48" s="6" t="str">
        <f>IF('Araç Tanımlama'!A48="","",'Araç Tanımlama'!A48)</f>
        <v/>
      </c>
      <c r="B48" s="4" t="str">
        <f>IF($A48="","",'Araç Tanımlama'!D48)</f>
        <v/>
      </c>
      <c r="C48" s="4" t="str">
        <f>IF($A48="","",'Araç Tanımlama'!E48)</f>
        <v/>
      </c>
      <c r="D48" s="4" t="str">
        <f>IF($A48="","",'Araç Tanımlama'!F48)</f>
        <v/>
      </c>
      <c r="E48" s="4" t="str">
        <f>IF($A48="","",SUMIFS('Yakıt Alım Kayıt'!$G$5:$G$1500,'Yakıt Alım Kayıt'!$D$5:$D$1500,$A48))</f>
        <v/>
      </c>
      <c r="F48" s="9" t="str">
        <f>IF($A48="","",SUMIFS('Yakıt Alım Kayıt'!$I$5:$I$1500,'Yakıt Alım Kayıt'!$D$5:$D$1500,$A48))</f>
        <v/>
      </c>
      <c r="G48" s="4" t="str">
        <f>IF($A48="","",IFERROR(_xludf.maxifs('Yakıt Alım Kayıt'!$J$5:$J$1500,'Yakıt Alım Kayıt'!$D$5:$D$1500,$A48)-_xludf.minifs('Yakıt Alım Kayıt'!$J$5:$J$1500,'Yakıt Alım Kayıt'!$D$5:$D$1500,$A48),0))</f>
        <v/>
      </c>
      <c r="H48" s="10" t="str">
        <f>IF(OR($A48="",$G48=0,$G48=""),"",IF($D48="Kilometre (km)",$E48/($G48/100),$E48/$G48))</f>
        <v/>
      </c>
      <c r="I48" s="10" t="str">
        <f>IF($A48="","",'Araç Tanımlama'!G48)</f>
        <v/>
      </c>
      <c r="J48" s="4" t="str">
        <f>IF(OR($A48="",$H48="",$I48=""),"",IF($H48&gt;$I48*1.15,"YÜKSEK",IF($H48&gt;$I48*1.05,"DİKKAT","NORMAL")))</f>
        <v/>
      </c>
    </row>
    <row r="49" spans="1:10">
      <c r="A49" s="6" t="str">
        <f>IF('Araç Tanımlama'!A49="","",'Araç Tanımlama'!A49)</f>
        <v/>
      </c>
      <c r="B49" s="4" t="str">
        <f>IF($A49="","",'Araç Tanımlama'!D49)</f>
        <v/>
      </c>
      <c r="C49" s="4" t="str">
        <f>IF($A49="","",'Araç Tanımlama'!E49)</f>
        <v/>
      </c>
      <c r="D49" s="4" t="str">
        <f>IF($A49="","",'Araç Tanımlama'!F49)</f>
        <v/>
      </c>
      <c r="E49" s="4" t="str">
        <f>IF($A49="","",SUMIFS('Yakıt Alım Kayıt'!$G$5:$G$1500,'Yakıt Alım Kayıt'!$D$5:$D$1500,$A49))</f>
        <v/>
      </c>
      <c r="F49" s="9" t="str">
        <f>IF($A49="","",SUMIFS('Yakıt Alım Kayıt'!$I$5:$I$1500,'Yakıt Alım Kayıt'!$D$5:$D$1500,$A49))</f>
        <v/>
      </c>
      <c r="G49" s="4" t="str">
        <f>IF($A49="","",IFERROR(_xludf.maxifs('Yakıt Alım Kayıt'!$J$5:$J$1500,'Yakıt Alım Kayıt'!$D$5:$D$1500,$A49)-_xludf.minifs('Yakıt Alım Kayıt'!$J$5:$J$1500,'Yakıt Alım Kayıt'!$D$5:$D$1500,$A49),0))</f>
        <v/>
      </c>
      <c r="H49" s="10" t="str">
        <f>IF(OR($A49="",$G49=0,$G49=""),"",IF($D49="Kilometre (km)",$E49/($G49/100),$E49/$G49))</f>
        <v/>
      </c>
      <c r="I49" s="10" t="str">
        <f>IF($A49="","",'Araç Tanımlama'!G49)</f>
        <v/>
      </c>
      <c r="J49" s="4" t="str">
        <f>IF(OR($A49="",$H49="",$I49=""),"",IF($H49&gt;$I49*1.15,"YÜKSEK",IF($H49&gt;$I49*1.05,"DİKKAT","NORMAL")))</f>
        <v/>
      </c>
    </row>
    <row r="50" spans="1:10">
      <c r="A50" s="6" t="str">
        <f>IF('Araç Tanımlama'!A50="","",'Araç Tanımlama'!A50)</f>
        <v/>
      </c>
      <c r="B50" s="4" t="str">
        <f>IF($A50="","",'Araç Tanımlama'!D50)</f>
        <v/>
      </c>
      <c r="C50" s="4" t="str">
        <f>IF($A50="","",'Araç Tanımlama'!E50)</f>
        <v/>
      </c>
      <c r="D50" s="4" t="str">
        <f>IF($A50="","",'Araç Tanımlama'!F50)</f>
        <v/>
      </c>
      <c r="E50" s="4" t="str">
        <f>IF($A50="","",SUMIFS('Yakıt Alım Kayıt'!$G$5:$G$1500,'Yakıt Alım Kayıt'!$D$5:$D$1500,$A50))</f>
        <v/>
      </c>
      <c r="F50" s="9" t="str">
        <f>IF($A50="","",SUMIFS('Yakıt Alım Kayıt'!$I$5:$I$1500,'Yakıt Alım Kayıt'!$D$5:$D$1500,$A50))</f>
        <v/>
      </c>
      <c r="G50" s="4" t="str">
        <f>IF($A50="","",IFERROR(_xludf.maxifs('Yakıt Alım Kayıt'!$J$5:$J$1500,'Yakıt Alım Kayıt'!$D$5:$D$1500,$A50)-_xludf.minifs('Yakıt Alım Kayıt'!$J$5:$J$1500,'Yakıt Alım Kayıt'!$D$5:$D$1500,$A50),0))</f>
        <v/>
      </c>
      <c r="H50" s="10" t="str">
        <f>IF(OR($A50="",$G50=0,$G50=""),"",IF($D50="Kilometre (km)",$E50/($G50/100),$E50/$G50))</f>
        <v/>
      </c>
      <c r="I50" s="10" t="str">
        <f>IF($A50="","",'Araç Tanımlama'!G50)</f>
        <v/>
      </c>
      <c r="J50" s="4" t="str">
        <f>IF(OR($A50="",$H50="",$I50=""),"",IF($H50&gt;$I50*1.15,"YÜKSEK",IF($H50&gt;$I50*1.05,"DİKKAT","NORMAL")))</f>
        <v/>
      </c>
    </row>
    <row r="51" spans="1:10">
      <c r="A51" s="6" t="str">
        <f>IF('Araç Tanımlama'!A51="","",'Araç Tanımlama'!A51)</f>
        <v/>
      </c>
      <c r="B51" s="4" t="str">
        <f>IF($A51="","",'Araç Tanımlama'!D51)</f>
        <v/>
      </c>
      <c r="C51" s="4" t="str">
        <f>IF($A51="","",'Araç Tanımlama'!E51)</f>
        <v/>
      </c>
      <c r="D51" s="4" t="str">
        <f>IF($A51="","",'Araç Tanımlama'!F51)</f>
        <v/>
      </c>
      <c r="E51" s="4" t="str">
        <f>IF($A51="","",SUMIFS('Yakıt Alım Kayıt'!$G$5:$G$1500,'Yakıt Alım Kayıt'!$D$5:$D$1500,$A51))</f>
        <v/>
      </c>
      <c r="F51" s="9" t="str">
        <f>IF($A51="","",SUMIFS('Yakıt Alım Kayıt'!$I$5:$I$1500,'Yakıt Alım Kayıt'!$D$5:$D$1500,$A51))</f>
        <v/>
      </c>
      <c r="G51" s="4" t="str">
        <f>IF($A51="","",IFERROR(_xludf.maxifs('Yakıt Alım Kayıt'!$J$5:$J$1500,'Yakıt Alım Kayıt'!$D$5:$D$1500,$A51)-_xludf.minifs('Yakıt Alım Kayıt'!$J$5:$J$1500,'Yakıt Alım Kayıt'!$D$5:$D$1500,$A51),0))</f>
        <v/>
      </c>
      <c r="H51" s="10" t="str">
        <f>IF(OR($A51="",$G51=0,$G51=""),"",IF($D51="Kilometre (km)",$E51/($G51/100),$E51/$G51))</f>
        <v/>
      </c>
      <c r="I51" s="10" t="str">
        <f>IF($A51="","",'Araç Tanımlama'!G51)</f>
        <v/>
      </c>
      <c r="J51" s="4" t="str">
        <f>IF(OR($A51="",$H51="",$I51=""),"",IF($H51&gt;$I51*1.15,"YÜKSEK",IF($H51&gt;$I51*1.05,"DİKKAT","NORMAL")))</f>
        <v/>
      </c>
    </row>
    <row r="52" spans="1:10">
      <c r="A52" s="6" t="str">
        <f>IF('Araç Tanımlama'!A52="","",'Araç Tanımlama'!A52)</f>
        <v/>
      </c>
      <c r="B52" s="4" t="str">
        <f>IF($A52="","",'Araç Tanımlama'!D52)</f>
        <v/>
      </c>
      <c r="C52" s="4" t="str">
        <f>IF($A52="","",'Araç Tanımlama'!E52)</f>
        <v/>
      </c>
      <c r="D52" s="4" t="str">
        <f>IF($A52="","",'Araç Tanımlama'!F52)</f>
        <v/>
      </c>
      <c r="E52" s="4" t="str">
        <f>IF($A52="","",SUMIFS('Yakıt Alım Kayıt'!$G$5:$G$1500,'Yakıt Alım Kayıt'!$D$5:$D$1500,$A52))</f>
        <v/>
      </c>
      <c r="F52" s="9" t="str">
        <f>IF($A52="","",SUMIFS('Yakıt Alım Kayıt'!$I$5:$I$1500,'Yakıt Alım Kayıt'!$D$5:$D$1500,$A52))</f>
        <v/>
      </c>
      <c r="G52" s="4" t="str">
        <f>IF($A52="","",IFERROR(_xludf.maxifs('Yakıt Alım Kayıt'!$J$5:$J$1500,'Yakıt Alım Kayıt'!$D$5:$D$1500,$A52)-_xludf.minifs('Yakıt Alım Kayıt'!$J$5:$J$1500,'Yakıt Alım Kayıt'!$D$5:$D$1500,$A52),0))</f>
        <v/>
      </c>
      <c r="H52" s="10" t="str">
        <f>IF(OR($A52="",$G52=0,$G52=""),"",IF($D52="Kilometre (km)",$E52/($G52/100),$E52/$G52))</f>
        <v/>
      </c>
      <c r="I52" s="10" t="str">
        <f>IF($A52="","",'Araç Tanımlama'!G52)</f>
        <v/>
      </c>
      <c r="J52" s="4" t="str">
        <f>IF(OR($A52="",$H52="",$I52=""),"",IF($H52&gt;$I52*1.15,"YÜKSEK",IF($H52&gt;$I52*1.05,"DİKKAT","NORMAL")))</f>
        <v/>
      </c>
    </row>
    <row r="53" spans="1:10">
      <c r="A53" s="6" t="str">
        <f>IF('Araç Tanımlama'!A53="","",'Araç Tanımlama'!A53)</f>
        <v/>
      </c>
      <c r="B53" s="4" t="str">
        <f>IF($A53="","",'Araç Tanımlama'!D53)</f>
        <v/>
      </c>
      <c r="C53" s="4" t="str">
        <f>IF($A53="","",'Araç Tanımlama'!E53)</f>
        <v/>
      </c>
      <c r="D53" s="4" t="str">
        <f>IF($A53="","",'Araç Tanımlama'!F53)</f>
        <v/>
      </c>
      <c r="E53" s="4" t="str">
        <f>IF($A53="","",SUMIFS('Yakıt Alım Kayıt'!$G$5:$G$1500,'Yakıt Alım Kayıt'!$D$5:$D$1500,$A53))</f>
        <v/>
      </c>
      <c r="F53" s="9" t="str">
        <f>IF($A53="","",SUMIFS('Yakıt Alım Kayıt'!$I$5:$I$1500,'Yakıt Alım Kayıt'!$D$5:$D$1500,$A53))</f>
        <v/>
      </c>
      <c r="G53" s="4" t="str">
        <f>IF($A53="","",IFERROR(_xludf.maxifs('Yakıt Alım Kayıt'!$J$5:$J$1500,'Yakıt Alım Kayıt'!$D$5:$D$1500,$A53)-_xludf.minifs('Yakıt Alım Kayıt'!$J$5:$J$1500,'Yakıt Alım Kayıt'!$D$5:$D$1500,$A53),0))</f>
        <v/>
      </c>
      <c r="H53" s="10" t="str">
        <f>IF(OR($A53="",$G53=0,$G53=""),"",IF($D53="Kilometre (km)",$E53/($G53/100),$E53/$G53))</f>
        <v/>
      </c>
      <c r="I53" s="10" t="str">
        <f>IF($A53="","",'Araç Tanımlama'!G53)</f>
        <v/>
      </c>
      <c r="J53" s="4" t="str">
        <f>IF(OR($A53="",$H53="",$I53=""),"",IF($H53&gt;$I53*1.15,"YÜKSEK",IF($H53&gt;$I53*1.05,"DİKKAT","NORMAL")))</f>
        <v/>
      </c>
    </row>
    <row r="54" spans="1:10">
      <c r="A54" s="6" t="str">
        <f>IF('Araç Tanımlama'!A54="","",'Araç Tanımlama'!A54)</f>
        <v/>
      </c>
      <c r="B54" s="4" t="str">
        <f>IF($A54="","",'Araç Tanımlama'!D54)</f>
        <v/>
      </c>
      <c r="C54" s="4" t="str">
        <f>IF($A54="","",'Araç Tanımlama'!E54)</f>
        <v/>
      </c>
      <c r="D54" s="4" t="str">
        <f>IF($A54="","",'Araç Tanımlama'!F54)</f>
        <v/>
      </c>
      <c r="E54" s="4" t="str">
        <f>IF($A54="","",SUMIFS('Yakıt Alım Kayıt'!$G$5:$G$1500,'Yakıt Alım Kayıt'!$D$5:$D$1500,$A54))</f>
        <v/>
      </c>
      <c r="F54" s="9" t="str">
        <f>IF($A54="","",SUMIFS('Yakıt Alım Kayıt'!$I$5:$I$1500,'Yakıt Alım Kayıt'!$D$5:$D$1500,$A54))</f>
        <v/>
      </c>
      <c r="G54" s="4" t="str">
        <f>IF($A54="","",IFERROR(_xludf.maxifs('Yakıt Alım Kayıt'!$J$5:$J$1500,'Yakıt Alım Kayıt'!$D$5:$D$1500,$A54)-_xludf.minifs('Yakıt Alım Kayıt'!$J$5:$J$1500,'Yakıt Alım Kayıt'!$D$5:$D$1500,$A54),0))</f>
        <v/>
      </c>
      <c r="H54" s="10" t="str">
        <f>IF(OR($A54="",$G54=0,$G54=""),"",IF($D54="Kilometre (km)",$E54/($G54/100),$E54/$G54))</f>
        <v/>
      </c>
      <c r="I54" s="10" t="str">
        <f>IF($A54="","",'Araç Tanımlama'!G54)</f>
        <v/>
      </c>
      <c r="J54" s="4" t="str">
        <f>IF(OR($A54="",$H54="",$I54=""),"",IF($H54&gt;$I54*1.15,"YÜKSEK",IF($H54&gt;$I54*1.05,"DİKKAT","NORMAL")))</f>
        <v/>
      </c>
    </row>
    <row r="55" spans="1:10">
      <c r="A55" s="6" t="str">
        <f>IF('Araç Tanımlama'!A55="","",'Araç Tanımlama'!A55)</f>
        <v/>
      </c>
      <c r="B55" s="4" t="str">
        <f>IF($A55="","",'Araç Tanımlama'!D55)</f>
        <v/>
      </c>
      <c r="C55" s="4" t="str">
        <f>IF($A55="","",'Araç Tanımlama'!E55)</f>
        <v/>
      </c>
      <c r="D55" s="4" t="str">
        <f>IF($A55="","",'Araç Tanımlama'!F55)</f>
        <v/>
      </c>
      <c r="E55" s="4" t="str">
        <f>IF($A55="","",SUMIFS('Yakıt Alım Kayıt'!$G$5:$G$1500,'Yakıt Alım Kayıt'!$D$5:$D$1500,$A55))</f>
        <v/>
      </c>
      <c r="F55" s="9" t="str">
        <f>IF($A55="","",SUMIFS('Yakıt Alım Kayıt'!$I$5:$I$1500,'Yakıt Alım Kayıt'!$D$5:$D$1500,$A55))</f>
        <v/>
      </c>
      <c r="G55" s="4" t="str">
        <f>IF($A55="","",IFERROR(_xludf.maxifs('Yakıt Alım Kayıt'!$J$5:$J$1500,'Yakıt Alım Kayıt'!$D$5:$D$1500,$A55)-_xludf.minifs('Yakıt Alım Kayıt'!$J$5:$J$1500,'Yakıt Alım Kayıt'!$D$5:$D$1500,$A55),0))</f>
        <v/>
      </c>
      <c r="H55" s="10" t="str">
        <f>IF(OR($A55="",$G55=0,$G55=""),"",IF($D55="Kilometre (km)",$E55/($G55/100),$E55/$G55))</f>
        <v/>
      </c>
      <c r="I55" s="10" t="str">
        <f>IF($A55="","",'Araç Tanımlama'!G55)</f>
        <v/>
      </c>
      <c r="J55" s="4" t="str">
        <f>IF(OR($A55="",$H55="",$I55=""),"",IF($H55&gt;$I55*1.15,"YÜKSEK",IF($H55&gt;$I55*1.05,"DİKKAT","NORMAL")))</f>
        <v/>
      </c>
    </row>
    <row r="56" spans="1:10">
      <c r="A56" s="6" t="str">
        <f>IF('Araç Tanımlama'!A56="","",'Araç Tanımlama'!A56)</f>
        <v/>
      </c>
      <c r="B56" s="4" t="str">
        <f>IF($A56="","",'Araç Tanımlama'!D56)</f>
        <v/>
      </c>
      <c r="C56" s="4" t="str">
        <f>IF($A56="","",'Araç Tanımlama'!E56)</f>
        <v/>
      </c>
      <c r="D56" s="4" t="str">
        <f>IF($A56="","",'Araç Tanımlama'!F56)</f>
        <v/>
      </c>
      <c r="E56" s="4" t="str">
        <f>IF($A56="","",SUMIFS('Yakıt Alım Kayıt'!$G$5:$G$1500,'Yakıt Alım Kayıt'!$D$5:$D$1500,$A56))</f>
        <v/>
      </c>
      <c r="F56" s="9" t="str">
        <f>IF($A56="","",SUMIFS('Yakıt Alım Kayıt'!$I$5:$I$1500,'Yakıt Alım Kayıt'!$D$5:$D$1500,$A56))</f>
        <v/>
      </c>
      <c r="G56" s="4" t="str">
        <f>IF($A56="","",IFERROR(_xludf.maxifs('Yakıt Alım Kayıt'!$J$5:$J$1500,'Yakıt Alım Kayıt'!$D$5:$D$1500,$A56)-_xludf.minifs('Yakıt Alım Kayıt'!$J$5:$J$1500,'Yakıt Alım Kayıt'!$D$5:$D$1500,$A56),0))</f>
        <v/>
      </c>
      <c r="H56" s="10" t="str">
        <f>IF(OR($A56="",$G56=0,$G56=""),"",IF($D56="Kilometre (km)",$E56/($G56/100),$E56/$G56))</f>
        <v/>
      </c>
      <c r="I56" s="10" t="str">
        <f>IF($A56="","",'Araç Tanımlama'!G56)</f>
        <v/>
      </c>
      <c r="J56" s="4" t="str">
        <f>IF(OR($A56="",$H56="",$I56=""),"",IF($H56&gt;$I56*1.15,"YÜKSEK",IF($H56&gt;$I56*1.05,"DİKKAT","NORMAL")))</f>
        <v/>
      </c>
    </row>
    <row r="57" spans="1:10">
      <c r="A57" s="6" t="str">
        <f>IF('Araç Tanımlama'!A57="","",'Araç Tanımlama'!A57)</f>
        <v/>
      </c>
      <c r="B57" s="4" t="str">
        <f>IF($A57="","",'Araç Tanımlama'!D57)</f>
        <v/>
      </c>
      <c r="C57" s="4" t="str">
        <f>IF($A57="","",'Araç Tanımlama'!E57)</f>
        <v/>
      </c>
      <c r="D57" s="4" t="str">
        <f>IF($A57="","",'Araç Tanımlama'!F57)</f>
        <v/>
      </c>
      <c r="E57" s="4" t="str">
        <f>IF($A57="","",SUMIFS('Yakıt Alım Kayıt'!$G$5:$G$1500,'Yakıt Alım Kayıt'!$D$5:$D$1500,$A57))</f>
        <v/>
      </c>
      <c r="F57" s="9" t="str">
        <f>IF($A57="","",SUMIFS('Yakıt Alım Kayıt'!$I$5:$I$1500,'Yakıt Alım Kayıt'!$D$5:$D$1500,$A57))</f>
        <v/>
      </c>
      <c r="G57" s="4" t="str">
        <f>IF($A57="","",IFERROR(_xludf.maxifs('Yakıt Alım Kayıt'!$J$5:$J$1500,'Yakıt Alım Kayıt'!$D$5:$D$1500,$A57)-_xludf.minifs('Yakıt Alım Kayıt'!$J$5:$J$1500,'Yakıt Alım Kayıt'!$D$5:$D$1500,$A57),0))</f>
        <v/>
      </c>
      <c r="H57" s="10" t="str">
        <f>IF(OR($A57="",$G57=0,$G57=""),"",IF($D57="Kilometre (km)",$E57/($G57/100),$E57/$G57))</f>
        <v/>
      </c>
      <c r="I57" s="10" t="str">
        <f>IF($A57="","",'Araç Tanımlama'!G57)</f>
        <v/>
      </c>
      <c r="J57" s="4" t="str">
        <f>IF(OR($A57="",$H57="",$I57=""),"",IF($H57&gt;$I57*1.15,"YÜKSEK",IF($H57&gt;$I57*1.05,"DİKKAT","NORMAL")))</f>
        <v/>
      </c>
    </row>
    <row r="58" spans="1:10">
      <c r="A58" s="6" t="str">
        <f>IF('Araç Tanımlama'!A58="","",'Araç Tanımlama'!A58)</f>
        <v/>
      </c>
      <c r="B58" s="4" t="str">
        <f>IF($A58="","",'Araç Tanımlama'!D58)</f>
        <v/>
      </c>
      <c r="C58" s="4" t="str">
        <f>IF($A58="","",'Araç Tanımlama'!E58)</f>
        <v/>
      </c>
      <c r="D58" s="4" t="str">
        <f>IF($A58="","",'Araç Tanımlama'!F58)</f>
        <v/>
      </c>
      <c r="E58" s="4" t="str">
        <f>IF($A58="","",SUMIFS('Yakıt Alım Kayıt'!$G$5:$G$1500,'Yakıt Alım Kayıt'!$D$5:$D$1500,$A58))</f>
        <v/>
      </c>
      <c r="F58" s="9" t="str">
        <f>IF($A58="","",SUMIFS('Yakıt Alım Kayıt'!$I$5:$I$1500,'Yakıt Alım Kayıt'!$D$5:$D$1500,$A58))</f>
        <v/>
      </c>
      <c r="G58" s="4" t="str">
        <f>IF($A58="","",IFERROR(_xludf.maxifs('Yakıt Alım Kayıt'!$J$5:$J$1500,'Yakıt Alım Kayıt'!$D$5:$D$1500,$A58)-_xludf.minifs('Yakıt Alım Kayıt'!$J$5:$J$1500,'Yakıt Alım Kayıt'!$D$5:$D$1500,$A58),0))</f>
        <v/>
      </c>
      <c r="H58" s="10" t="str">
        <f>IF(OR($A58="",$G58=0,$G58=""),"",IF($D58="Kilometre (km)",$E58/($G58/100),$E58/$G58))</f>
        <v/>
      </c>
      <c r="I58" s="10" t="str">
        <f>IF($A58="","",'Araç Tanımlama'!G58)</f>
        <v/>
      </c>
      <c r="J58" s="4" t="str">
        <f>IF(OR($A58="",$H58="",$I58=""),"",IF($H58&gt;$I58*1.15,"YÜKSEK",IF($H58&gt;$I58*1.05,"DİKKAT","NORMAL")))</f>
        <v/>
      </c>
    </row>
    <row r="59" spans="1:10">
      <c r="A59" s="6" t="str">
        <f>IF('Araç Tanımlama'!A59="","",'Araç Tanımlama'!A59)</f>
        <v/>
      </c>
      <c r="B59" s="4" t="str">
        <f>IF($A59="","",'Araç Tanımlama'!D59)</f>
        <v/>
      </c>
      <c r="C59" s="4" t="str">
        <f>IF($A59="","",'Araç Tanımlama'!E59)</f>
        <v/>
      </c>
      <c r="D59" s="4" t="str">
        <f>IF($A59="","",'Araç Tanımlama'!F59)</f>
        <v/>
      </c>
      <c r="E59" s="4" t="str">
        <f>IF($A59="","",SUMIFS('Yakıt Alım Kayıt'!$G$5:$G$1500,'Yakıt Alım Kayıt'!$D$5:$D$1500,$A59))</f>
        <v/>
      </c>
      <c r="F59" s="9" t="str">
        <f>IF($A59="","",SUMIFS('Yakıt Alım Kayıt'!$I$5:$I$1500,'Yakıt Alım Kayıt'!$D$5:$D$1500,$A59))</f>
        <v/>
      </c>
      <c r="G59" s="4" t="str">
        <f>IF($A59="","",IFERROR(_xludf.maxifs('Yakıt Alım Kayıt'!$J$5:$J$1500,'Yakıt Alım Kayıt'!$D$5:$D$1500,$A59)-_xludf.minifs('Yakıt Alım Kayıt'!$J$5:$J$1500,'Yakıt Alım Kayıt'!$D$5:$D$1500,$A59),0))</f>
        <v/>
      </c>
      <c r="H59" s="10" t="str">
        <f>IF(OR($A59="",$G59=0,$G59=""),"",IF($D59="Kilometre (km)",$E59/($G59/100),$E59/$G59))</f>
        <v/>
      </c>
      <c r="I59" s="10" t="str">
        <f>IF($A59="","",'Araç Tanımlama'!G59)</f>
        <v/>
      </c>
      <c r="J59" s="4" t="str">
        <f>IF(OR($A59="",$H59="",$I59=""),"",IF($H59&gt;$I59*1.15,"YÜKSEK",IF($H59&gt;$I59*1.05,"DİKKAT","NORMAL")))</f>
        <v/>
      </c>
    </row>
    <row r="60" spans="1:10">
      <c r="A60" s="6" t="str">
        <f>IF('Araç Tanımlama'!A60="","",'Araç Tanımlama'!A60)</f>
        <v/>
      </c>
      <c r="B60" s="4" t="str">
        <f>IF($A60="","",'Araç Tanımlama'!D60)</f>
        <v/>
      </c>
      <c r="C60" s="4" t="str">
        <f>IF($A60="","",'Araç Tanımlama'!E60)</f>
        <v/>
      </c>
      <c r="D60" s="4" t="str">
        <f>IF($A60="","",'Araç Tanımlama'!F60)</f>
        <v/>
      </c>
      <c r="E60" s="4" t="str">
        <f>IF($A60="","",SUMIFS('Yakıt Alım Kayıt'!$G$5:$G$1500,'Yakıt Alım Kayıt'!$D$5:$D$1500,$A60))</f>
        <v/>
      </c>
      <c r="F60" s="9" t="str">
        <f>IF($A60="","",SUMIFS('Yakıt Alım Kayıt'!$I$5:$I$1500,'Yakıt Alım Kayıt'!$D$5:$D$1500,$A60))</f>
        <v/>
      </c>
      <c r="G60" s="4" t="str">
        <f>IF($A60="","",IFERROR(_xludf.maxifs('Yakıt Alım Kayıt'!$J$5:$J$1500,'Yakıt Alım Kayıt'!$D$5:$D$1500,$A60)-_xludf.minifs('Yakıt Alım Kayıt'!$J$5:$J$1500,'Yakıt Alım Kayıt'!$D$5:$D$1500,$A60),0))</f>
        <v/>
      </c>
      <c r="H60" s="10" t="str">
        <f>IF(OR($A60="",$G60=0,$G60=""),"",IF($D60="Kilometre (km)",$E60/($G60/100),$E60/$G60))</f>
        <v/>
      </c>
      <c r="I60" s="10" t="str">
        <f>IF($A60="","",'Araç Tanımlama'!G60)</f>
        <v/>
      </c>
      <c r="J60" s="4" t="str">
        <f>IF(OR($A60="",$H60="",$I60=""),"",IF($H60&gt;$I60*1.15,"YÜKSEK",IF($H60&gt;$I60*1.05,"DİKKAT","NORMAL")))</f>
        <v/>
      </c>
    </row>
    <row r="61" spans="1:10">
      <c r="A61" s="6" t="str">
        <f>IF('Araç Tanımlama'!A61="","",'Araç Tanımlama'!A61)</f>
        <v/>
      </c>
      <c r="B61" s="4" t="str">
        <f>IF($A61="","",'Araç Tanımlama'!D61)</f>
        <v/>
      </c>
      <c r="C61" s="4" t="str">
        <f>IF($A61="","",'Araç Tanımlama'!E61)</f>
        <v/>
      </c>
      <c r="D61" s="4" t="str">
        <f>IF($A61="","",'Araç Tanımlama'!F61)</f>
        <v/>
      </c>
      <c r="E61" s="4" t="str">
        <f>IF($A61="","",SUMIFS('Yakıt Alım Kayıt'!$G$5:$G$1500,'Yakıt Alım Kayıt'!$D$5:$D$1500,$A61))</f>
        <v/>
      </c>
      <c r="F61" s="9" t="str">
        <f>IF($A61="","",SUMIFS('Yakıt Alım Kayıt'!$I$5:$I$1500,'Yakıt Alım Kayıt'!$D$5:$D$1500,$A61))</f>
        <v/>
      </c>
      <c r="G61" s="4" t="str">
        <f>IF($A61="","",IFERROR(_xludf.maxifs('Yakıt Alım Kayıt'!$J$5:$J$1500,'Yakıt Alım Kayıt'!$D$5:$D$1500,$A61)-_xludf.minifs('Yakıt Alım Kayıt'!$J$5:$J$1500,'Yakıt Alım Kayıt'!$D$5:$D$1500,$A61),0))</f>
        <v/>
      </c>
      <c r="H61" s="10" t="str">
        <f>IF(OR($A61="",$G61=0,$G61=""),"",IF($D61="Kilometre (km)",$E61/($G61/100),$E61/$G61))</f>
        <v/>
      </c>
      <c r="I61" s="10" t="str">
        <f>IF($A61="","",'Araç Tanımlama'!G61)</f>
        <v/>
      </c>
      <c r="J61" s="4" t="str">
        <f>IF(OR($A61="",$H61="",$I61=""),"",IF($H61&gt;$I61*1.15,"YÜKSEK",IF($H61&gt;$I61*1.05,"DİKKAT","NORMAL")))</f>
        <v/>
      </c>
    </row>
    <row r="62" spans="1:10">
      <c r="A62" s="6" t="str">
        <f>IF('Araç Tanımlama'!A62="","",'Araç Tanımlama'!A62)</f>
        <v/>
      </c>
      <c r="B62" s="4" t="str">
        <f>IF($A62="","",'Araç Tanımlama'!D62)</f>
        <v/>
      </c>
      <c r="C62" s="4" t="str">
        <f>IF($A62="","",'Araç Tanımlama'!E62)</f>
        <v/>
      </c>
      <c r="D62" s="4" t="str">
        <f>IF($A62="","",'Araç Tanımlama'!F62)</f>
        <v/>
      </c>
      <c r="E62" s="4" t="str">
        <f>IF($A62="","",SUMIFS('Yakıt Alım Kayıt'!$G$5:$G$1500,'Yakıt Alım Kayıt'!$D$5:$D$1500,$A62))</f>
        <v/>
      </c>
      <c r="F62" s="9" t="str">
        <f>IF($A62="","",SUMIFS('Yakıt Alım Kayıt'!$I$5:$I$1500,'Yakıt Alım Kayıt'!$D$5:$D$1500,$A62))</f>
        <v/>
      </c>
      <c r="G62" s="4" t="str">
        <f>IF($A62="","",IFERROR(_xludf.maxifs('Yakıt Alım Kayıt'!$J$5:$J$1500,'Yakıt Alım Kayıt'!$D$5:$D$1500,$A62)-_xludf.minifs('Yakıt Alım Kayıt'!$J$5:$J$1500,'Yakıt Alım Kayıt'!$D$5:$D$1500,$A62),0))</f>
        <v/>
      </c>
      <c r="H62" s="10" t="str">
        <f>IF(OR($A62="",$G62=0,$G62=""),"",IF($D62="Kilometre (km)",$E62/($G62/100),$E62/$G62))</f>
        <v/>
      </c>
      <c r="I62" s="10" t="str">
        <f>IF($A62="","",'Araç Tanımlama'!G62)</f>
        <v/>
      </c>
      <c r="J62" s="4" t="str">
        <f>IF(OR($A62="",$H62="",$I62=""),"",IF($H62&gt;$I62*1.15,"YÜKSEK",IF($H62&gt;$I62*1.05,"DİKKAT","NORMAL")))</f>
        <v/>
      </c>
    </row>
    <row r="63" spans="1:10">
      <c r="A63" s="6" t="str">
        <f>IF('Araç Tanımlama'!A63="","",'Araç Tanımlama'!A63)</f>
        <v/>
      </c>
      <c r="B63" s="4" t="str">
        <f>IF($A63="","",'Araç Tanımlama'!D63)</f>
        <v/>
      </c>
      <c r="C63" s="4" t="str">
        <f>IF($A63="","",'Araç Tanımlama'!E63)</f>
        <v/>
      </c>
      <c r="D63" s="4" t="str">
        <f>IF($A63="","",'Araç Tanımlama'!F63)</f>
        <v/>
      </c>
      <c r="E63" s="4" t="str">
        <f>IF($A63="","",SUMIFS('Yakıt Alım Kayıt'!$G$5:$G$1500,'Yakıt Alım Kayıt'!$D$5:$D$1500,$A63))</f>
        <v/>
      </c>
      <c r="F63" s="9" t="str">
        <f>IF($A63="","",SUMIFS('Yakıt Alım Kayıt'!$I$5:$I$1500,'Yakıt Alım Kayıt'!$D$5:$D$1500,$A63))</f>
        <v/>
      </c>
      <c r="G63" s="4" t="str">
        <f>IF($A63="","",IFERROR(_xludf.maxifs('Yakıt Alım Kayıt'!$J$5:$J$1500,'Yakıt Alım Kayıt'!$D$5:$D$1500,$A63)-_xludf.minifs('Yakıt Alım Kayıt'!$J$5:$J$1500,'Yakıt Alım Kayıt'!$D$5:$D$1500,$A63),0))</f>
        <v/>
      </c>
      <c r="H63" s="10" t="str">
        <f>IF(OR($A63="",$G63=0,$G63=""),"",IF($D63="Kilometre (km)",$E63/($G63/100),$E63/$G63))</f>
        <v/>
      </c>
      <c r="I63" s="10" t="str">
        <f>IF($A63="","",'Araç Tanımlama'!G63)</f>
        <v/>
      </c>
      <c r="J63" s="4" t="str">
        <f>IF(OR($A63="",$H63="",$I63=""),"",IF($H63&gt;$I63*1.15,"YÜKSEK",IF($H63&gt;$I63*1.05,"DİKKAT","NORMAL")))</f>
        <v/>
      </c>
    </row>
    <row r="64" spans="1:10">
      <c r="A64" s="6" t="str">
        <f>IF('Araç Tanımlama'!A64="","",'Araç Tanımlama'!A64)</f>
        <v/>
      </c>
      <c r="B64" s="4" t="str">
        <f>IF($A64="","",'Araç Tanımlama'!D64)</f>
        <v/>
      </c>
      <c r="C64" s="4" t="str">
        <f>IF($A64="","",'Araç Tanımlama'!E64)</f>
        <v/>
      </c>
      <c r="D64" s="4" t="str">
        <f>IF($A64="","",'Araç Tanımlama'!F64)</f>
        <v/>
      </c>
      <c r="E64" s="4" t="str">
        <f>IF($A64="","",SUMIFS('Yakıt Alım Kayıt'!$G$5:$G$1500,'Yakıt Alım Kayıt'!$D$5:$D$1500,$A64))</f>
        <v/>
      </c>
      <c r="F64" s="9" t="str">
        <f>IF($A64="","",SUMIFS('Yakıt Alım Kayıt'!$I$5:$I$1500,'Yakıt Alım Kayıt'!$D$5:$D$1500,$A64))</f>
        <v/>
      </c>
      <c r="G64" s="4" t="str">
        <f>IF($A64="","",IFERROR(_xludf.maxifs('Yakıt Alım Kayıt'!$J$5:$J$1500,'Yakıt Alım Kayıt'!$D$5:$D$1500,$A64)-_xludf.minifs('Yakıt Alım Kayıt'!$J$5:$J$1500,'Yakıt Alım Kayıt'!$D$5:$D$1500,$A64),0))</f>
        <v/>
      </c>
      <c r="H64" s="10" t="str">
        <f>IF(OR($A64="",$G64=0,$G64=""),"",IF($D64="Kilometre (km)",$E64/($G64/100),$E64/$G64))</f>
        <v/>
      </c>
      <c r="I64" s="10" t="str">
        <f>IF($A64="","",'Araç Tanımlama'!G64)</f>
        <v/>
      </c>
      <c r="J64" s="4" t="str">
        <f>IF(OR($A64="",$H64="",$I64=""),"",IF($H64&gt;$I64*1.15,"YÜKSEK",IF($H64&gt;$I64*1.05,"DİKKAT","NORMAL")))</f>
        <v/>
      </c>
    </row>
    <row r="65" spans="1:10">
      <c r="A65" s="6" t="str">
        <f>IF('Araç Tanımlama'!A65="","",'Araç Tanımlama'!A65)</f>
        <v/>
      </c>
      <c r="B65" s="4" t="str">
        <f>IF($A65="","",'Araç Tanımlama'!D65)</f>
        <v/>
      </c>
      <c r="C65" s="4" t="str">
        <f>IF($A65="","",'Araç Tanımlama'!E65)</f>
        <v/>
      </c>
      <c r="D65" s="4" t="str">
        <f>IF($A65="","",'Araç Tanımlama'!F65)</f>
        <v/>
      </c>
      <c r="E65" s="4" t="str">
        <f>IF($A65="","",SUMIFS('Yakıt Alım Kayıt'!$G$5:$G$1500,'Yakıt Alım Kayıt'!$D$5:$D$1500,$A65))</f>
        <v/>
      </c>
      <c r="F65" s="9" t="str">
        <f>IF($A65="","",SUMIFS('Yakıt Alım Kayıt'!$I$5:$I$1500,'Yakıt Alım Kayıt'!$D$5:$D$1500,$A65))</f>
        <v/>
      </c>
      <c r="G65" s="4" t="str">
        <f>IF($A65="","",IFERROR(_xludf.maxifs('Yakıt Alım Kayıt'!$J$5:$J$1500,'Yakıt Alım Kayıt'!$D$5:$D$1500,$A65)-_xludf.minifs('Yakıt Alım Kayıt'!$J$5:$J$1500,'Yakıt Alım Kayıt'!$D$5:$D$1500,$A65),0))</f>
        <v/>
      </c>
      <c r="H65" s="10" t="str">
        <f>IF(OR($A65="",$G65=0,$G65=""),"",IF($D65="Kilometre (km)",$E65/($G65/100),$E65/$G65))</f>
        <v/>
      </c>
      <c r="I65" s="10" t="str">
        <f>IF($A65="","",'Araç Tanımlama'!G65)</f>
        <v/>
      </c>
      <c r="J65" s="4" t="str">
        <f>IF(OR($A65="",$H65="",$I65=""),"",IF($H65&gt;$I65*1.15,"YÜKSEK",IF($H65&gt;$I65*1.05,"DİKKAT","NORMAL")))</f>
        <v/>
      </c>
    </row>
    <row r="66" spans="1:10">
      <c r="A66" s="6" t="str">
        <f>IF('Araç Tanımlama'!A66="","",'Araç Tanımlama'!A66)</f>
        <v/>
      </c>
      <c r="B66" s="4" t="str">
        <f>IF($A66="","",'Araç Tanımlama'!D66)</f>
        <v/>
      </c>
      <c r="C66" s="4" t="str">
        <f>IF($A66="","",'Araç Tanımlama'!E66)</f>
        <v/>
      </c>
      <c r="D66" s="4" t="str">
        <f>IF($A66="","",'Araç Tanımlama'!F66)</f>
        <v/>
      </c>
      <c r="E66" s="4" t="str">
        <f>IF($A66="","",SUMIFS('Yakıt Alım Kayıt'!$G$5:$G$1500,'Yakıt Alım Kayıt'!$D$5:$D$1500,$A66))</f>
        <v/>
      </c>
      <c r="F66" s="9" t="str">
        <f>IF($A66="","",SUMIFS('Yakıt Alım Kayıt'!$I$5:$I$1500,'Yakıt Alım Kayıt'!$D$5:$D$1500,$A66))</f>
        <v/>
      </c>
      <c r="G66" s="4" t="str">
        <f>IF($A66="","",IFERROR(_xludf.maxifs('Yakıt Alım Kayıt'!$J$5:$J$1500,'Yakıt Alım Kayıt'!$D$5:$D$1500,$A66)-_xludf.minifs('Yakıt Alım Kayıt'!$J$5:$J$1500,'Yakıt Alım Kayıt'!$D$5:$D$1500,$A66),0))</f>
        <v/>
      </c>
      <c r="H66" s="10" t="str">
        <f>IF(OR($A66="",$G66=0,$G66=""),"",IF($D66="Kilometre (km)",$E66/($G66/100),$E66/$G66))</f>
        <v/>
      </c>
      <c r="I66" s="10" t="str">
        <f>IF($A66="","",'Araç Tanımlama'!G66)</f>
        <v/>
      </c>
      <c r="J66" s="4" t="str">
        <f>IF(OR($A66="",$H66="",$I66=""),"",IF($H66&gt;$I66*1.15,"YÜKSEK",IF($H66&gt;$I66*1.05,"DİKKAT","NORMAL")))</f>
        <v/>
      </c>
    </row>
    <row r="67" spans="1:10">
      <c r="A67" s="6" t="str">
        <f>IF('Araç Tanımlama'!A67="","",'Araç Tanımlama'!A67)</f>
        <v/>
      </c>
      <c r="B67" s="4" t="str">
        <f>IF($A67="","",'Araç Tanımlama'!D67)</f>
        <v/>
      </c>
      <c r="C67" s="4" t="str">
        <f>IF($A67="","",'Araç Tanımlama'!E67)</f>
        <v/>
      </c>
      <c r="D67" s="4" t="str">
        <f>IF($A67="","",'Araç Tanımlama'!F67)</f>
        <v/>
      </c>
      <c r="E67" s="4" t="str">
        <f>IF($A67="","",SUMIFS('Yakıt Alım Kayıt'!$G$5:$G$1500,'Yakıt Alım Kayıt'!$D$5:$D$1500,$A67))</f>
        <v/>
      </c>
      <c r="F67" s="9" t="str">
        <f>IF($A67="","",SUMIFS('Yakıt Alım Kayıt'!$I$5:$I$1500,'Yakıt Alım Kayıt'!$D$5:$D$1500,$A67))</f>
        <v/>
      </c>
      <c r="G67" s="4" t="str">
        <f>IF($A67="","",IFERROR(_xludf.maxifs('Yakıt Alım Kayıt'!$J$5:$J$1500,'Yakıt Alım Kayıt'!$D$5:$D$1500,$A67)-_xludf.minifs('Yakıt Alım Kayıt'!$J$5:$J$1500,'Yakıt Alım Kayıt'!$D$5:$D$1500,$A67),0))</f>
        <v/>
      </c>
      <c r="H67" s="10" t="str">
        <f>IF(OR($A67="",$G67=0,$G67=""),"",IF($D67="Kilometre (km)",$E67/($G67/100),$E67/$G67))</f>
        <v/>
      </c>
      <c r="I67" s="10" t="str">
        <f>IF($A67="","",'Araç Tanımlama'!G67)</f>
        <v/>
      </c>
      <c r="J67" s="4" t="str">
        <f>IF(OR($A67="",$H67="",$I67=""),"",IF($H67&gt;$I67*1.15,"YÜKSEK",IF($H67&gt;$I67*1.05,"DİKKAT","NORMAL")))</f>
        <v/>
      </c>
    </row>
    <row r="68" spans="1:10">
      <c r="A68" s="6" t="str">
        <f>IF('Araç Tanımlama'!A68="","",'Araç Tanımlama'!A68)</f>
        <v/>
      </c>
      <c r="B68" s="4" t="str">
        <f>IF($A68="","",'Araç Tanımlama'!D68)</f>
        <v/>
      </c>
      <c r="C68" s="4" t="str">
        <f>IF($A68="","",'Araç Tanımlama'!E68)</f>
        <v/>
      </c>
      <c r="D68" s="4" t="str">
        <f>IF($A68="","",'Araç Tanımlama'!F68)</f>
        <v/>
      </c>
      <c r="E68" s="4" t="str">
        <f>IF($A68="","",SUMIFS('Yakıt Alım Kayıt'!$G$5:$G$1500,'Yakıt Alım Kayıt'!$D$5:$D$1500,$A68))</f>
        <v/>
      </c>
      <c r="F68" s="9" t="str">
        <f>IF($A68="","",SUMIFS('Yakıt Alım Kayıt'!$I$5:$I$1500,'Yakıt Alım Kayıt'!$D$5:$D$1500,$A68))</f>
        <v/>
      </c>
      <c r="G68" s="4" t="str">
        <f>IF($A68="","",IFERROR(_xludf.maxifs('Yakıt Alım Kayıt'!$J$5:$J$1500,'Yakıt Alım Kayıt'!$D$5:$D$1500,$A68)-_xludf.minifs('Yakıt Alım Kayıt'!$J$5:$J$1500,'Yakıt Alım Kayıt'!$D$5:$D$1500,$A68),0))</f>
        <v/>
      </c>
      <c r="H68" s="10" t="str">
        <f>IF(OR($A68="",$G68=0,$G68=""),"",IF($D68="Kilometre (km)",$E68/($G68/100),$E68/$G68))</f>
        <v/>
      </c>
      <c r="I68" s="10" t="str">
        <f>IF($A68="","",'Araç Tanımlama'!G68)</f>
        <v/>
      </c>
      <c r="J68" s="4" t="str">
        <f>IF(OR($A68="",$H68="",$I68=""),"",IF($H68&gt;$I68*1.15,"YÜKSEK",IF($H68&gt;$I68*1.05,"DİKKAT","NORMAL")))</f>
        <v/>
      </c>
    </row>
    <row r="69" spans="1:10">
      <c r="A69" s="6" t="str">
        <f>IF('Araç Tanımlama'!A69="","",'Araç Tanımlama'!A69)</f>
        <v/>
      </c>
      <c r="B69" s="4" t="str">
        <f>IF($A69="","",'Araç Tanımlama'!D69)</f>
        <v/>
      </c>
      <c r="C69" s="4" t="str">
        <f>IF($A69="","",'Araç Tanımlama'!E69)</f>
        <v/>
      </c>
      <c r="D69" s="4" t="str">
        <f>IF($A69="","",'Araç Tanımlama'!F69)</f>
        <v/>
      </c>
      <c r="E69" s="4" t="str">
        <f>IF($A69="","",SUMIFS('Yakıt Alım Kayıt'!$G$5:$G$1500,'Yakıt Alım Kayıt'!$D$5:$D$1500,$A69))</f>
        <v/>
      </c>
      <c r="F69" s="9" t="str">
        <f>IF($A69="","",SUMIFS('Yakıt Alım Kayıt'!$I$5:$I$1500,'Yakıt Alım Kayıt'!$D$5:$D$1500,$A69))</f>
        <v/>
      </c>
      <c r="G69" s="4" t="str">
        <f>IF($A69="","",IFERROR(_xludf.maxifs('Yakıt Alım Kayıt'!$J$5:$J$1500,'Yakıt Alım Kayıt'!$D$5:$D$1500,$A69)-_xludf.minifs('Yakıt Alım Kayıt'!$J$5:$J$1500,'Yakıt Alım Kayıt'!$D$5:$D$1500,$A69),0))</f>
        <v/>
      </c>
      <c r="H69" s="10" t="str">
        <f>IF(OR($A69="",$G69=0,$G69=""),"",IF($D69="Kilometre (km)",$E69/($G69/100),$E69/$G69))</f>
        <v/>
      </c>
      <c r="I69" s="10" t="str">
        <f>IF($A69="","",'Araç Tanımlama'!G69)</f>
        <v/>
      </c>
      <c r="J69" s="4" t="str">
        <f>IF(OR($A69="",$H69="",$I69=""),"",IF($H69&gt;$I69*1.15,"YÜKSEK",IF($H69&gt;$I69*1.05,"DİKKAT","NORMAL")))</f>
        <v/>
      </c>
    </row>
    <row r="70" spans="1:10">
      <c r="A70" s="6" t="str">
        <f>IF('Araç Tanımlama'!A70="","",'Araç Tanımlama'!A70)</f>
        <v/>
      </c>
      <c r="B70" s="4" t="str">
        <f>IF($A70="","",'Araç Tanımlama'!D70)</f>
        <v/>
      </c>
      <c r="C70" s="4" t="str">
        <f>IF($A70="","",'Araç Tanımlama'!E70)</f>
        <v/>
      </c>
      <c r="D70" s="4" t="str">
        <f>IF($A70="","",'Araç Tanımlama'!F70)</f>
        <v/>
      </c>
      <c r="E70" s="4" t="str">
        <f>IF($A70="","",SUMIFS('Yakıt Alım Kayıt'!$G$5:$G$1500,'Yakıt Alım Kayıt'!$D$5:$D$1500,$A70))</f>
        <v/>
      </c>
      <c r="F70" s="9" t="str">
        <f>IF($A70="","",SUMIFS('Yakıt Alım Kayıt'!$I$5:$I$1500,'Yakıt Alım Kayıt'!$D$5:$D$1500,$A70))</f>
        <v/>
      </c>
      <c r="G70" s="4" t="str">
        <f>IF($A70="","",IFERROR(_xludf.maxifs('Yakıt Alım Kayıt'!$J$5:$J$1500,'Yakıt Alım Kayıt'!$D$5:$D$1500,$A70)-_xludf.minifs('Yakıt Alım Kayıt'!$J$5:$J$1500,'Yakıt Alım Kayıt'!$D$5:$D$1500,$A70),0))</f>
        <v/>
      </c>
      <c r="H70" s="10" t="str">
        <f>IF(OR($A70="",$G70=0,$G70=""),"",IF($D70="Kilometre (km)",$E70/($G70/100),$E70/$G70))</f>
        <v/>
      </c>
      <c r="I70" s="10" t="str">
        <f>IF($A70="","",'Araç Tanımlama'!G70)</f>
        <v/>
      </c>
      <c r="J70" s="4" t="str">
        <f>IF(OR($A70="",$H70="",$I70=""),"",IF($H70&gt;$I70*1.15,"YÜKSEK",IF($H70&gt;$I70*1.05,"DİKKAT","NORMAL")))</f>
        <v/>
      </c>
    </row>
    <row r="71" spans="1:10">
      <c r="A71" s="6" t="str">
        <f>IF('Araç Tanımlama'!A71="","",'Araç Tanımlama'!A71)</f>
        <v/>
      </c>
      <c r="B71" s="4" t="str">
        <f>IF($A71="","",'Araç Tanımlama'!D71)</f>
        <v/>
      </c>
      <c r="C71" s="4" t="str">
        <f>IF($A71="","",'Araç Tanımlama'!E71)</f>
        <v/>
      </c>
      <c r="D71" s="4" t="str">
        <f>IF($A71="","",'Araç Tanımlama'!F71)</f>
        <v/>
      </c>
      <c r="E71" s="4" t="str">
        <f>IF($A71="","",SUMIFS('Yakıt Alım Kayıt'!$G$5:$G$1500,'Yakıt Alım Kayıt'!$D$5:$D$1500,$A71))</f>
        <v/>
      </c>
      <c r="F71" s="9" t="str">
        <f>IF($A71="","",SUMIFS('Yakıt Alım Kayıt'!$I$5:$I$1500,'Yakıt Alım Kayıt'!$D$5:$D$1500,$A71))</f>
        <v/>
      </c>
      <c r="G71" s="4" t="str">
        <f>IF($A71="","",IFERROR(_xludf.maxifs('Yakıt Alım Kayıt'!$J$5:$J$1500,'Yakıt Alım Kayıt'!$D$5:$D$1500,$A71)-_xludf.minifs('Yakıt Alım Kayıt'!$J$5:$J$1500,'Yakıt Alım Kayıt'!$D$5:$D$1500,$A71),0))</f>
        <v/>
      </c>
      <c r="H71" s="10" t="str">
        <f>IF(OR($A71="",$G71=0,$G71=""),"",IF($D71="Kilometre (km)",$E71/($G71/100),$E71/$G71))</f>
        <v/>
      </c>
      <c r="I71" s="10" t="str">
        <f>IF($A71="","",'Araç Tanımlama'!G71)</f>
        <v/>
      </c>
      <c r="J71" s="4" t="str">
        <f>IF(OR($A71="",$H71="",$I71=""),"",IF($H71&gt;$I71*1.15,"YÜKSEK",IF($H71&gt;$I71*1.05,"DİKKAT","NORMAL")))</f>
        <v/>
      </c>
    </row>
    <row r="72" spans="1:10">
      <c r="A72" s="6" t="str">
        <f>IF('Araç Tanımlama'!A72="","",'Araç Tanımlama'!A72)</f>
        <v/>
      </c>
      <c r="B72" s="4" t="str">
        <f>IF($A72="","",'Araç Tanımlama'!D72)</f>
        <v/>
      </c>
      <c r="C72" s="4" t="str">
        <f>IF($A72="","",'Araç Tanımlama'!E72)</f>
        <v/>
      </c>
      <c r="D72" s="4" t="str">
        <f>IF($A72="","",'Araç Tanımlama'!F72)</f>
        <v/>
      </c>
      <c r="E72" s="4" t="str">
        <f>IF($A72="","",SUMIFS('Yakıt Alım Kayıt'!$G$5:$G$1500,'Yakıt Alım Kayıt'!$D$5:$D$1500,$A72))</f>
        <v/>
      </c>
      <c r="F72" s="9" t="str">
        <f>IF($A72="","",SUMIFS('Yakıt Alım Kayıt'!$I$5:$I$1500,'Yakıt Alım Kayıt'!$D$5:$D$1500,$A72))</f>
        <v/>
      </c>
      <c r="G72" s="4" t="str">
        <f>IF($A72="","",IFERROR(_xludf.maxifs('Yakıt Alım Kayıt'!$J$5:$J$1500,'Yakıt Alım Kayıt'!$D$5:$D$1500,$A72)-_xludf.minifs('Yakıt Alım Kayıt'!$J$5:$J$1500,'Yakıt Alım Kayıt'!$D$5:$D$1500,$A72),0))</f>
        <v/>
      </c>
      <c r="H72" s="10" t="str">
        <f>IF(OR($A72="",$G72=0,$G72=""),"",IF($D72="Kilometre (km)",$E72/($G72/100),$E72/$G72))</f>
        <v/>
      </c>
      <c r="I72" s="10" t="str">
        <f>IF($A72="","",'Araç Tanımlama'!G72)</f>
        <v/>
      </c>
      <c r="J72" s="4" t="str">
        <f>IF(OR($A72="",$H72="",$I72=""),"",IF($H72&gt;$I72*1.15,"YÜKSEK",IF($H72&gt;$I72*1.05,"DİKKAT","NORMAL")))</f>
        <v/>
      </c>
    </row>
    <row r="73" spans="1:10">
      <c r="A73" s="6" t="str">
        <f>IF('Araç Tanımlama'!A73="","",'Araç Tanımlama'!A73)</f>
        <v/>
      </c>
      <c r="B73" s="4" t="str">
        <f>IF($A73="","",'Araç Tanımlama'!D73)</f>
        <v/>
      </c>
      <c r="C73" s="4" t="str">
        <f>IF($A73="","",'Araç Tanımlama'!E73)</f>
        <v/>
      </c>
      <c r="D73" s="4" t="str">
        <f>IF($A73="","",'Araç Tanımlama'!F73)</f>
        <v/>
      </c>
      <c r="E73" s="4" t="str">
        <f>IF($A73="","",SUMIFS('Yakıt Alım Kayıt'!$G$5:$G$1500,'Yakıt Alım Kayıt'!$D$5:$D$1500,$A73))</f>
        <v/>
      </c>
      <c r="F73" s="9" t="str">
        <f>IF($A73="","",SUMIFS('Yakıt Alım Kayıt'!$I$5:$I$1500,'Yakıt Alım Kayıt'!$D$5:$D$1500,$A73))</f>
        <v/>
      </c>
      <c r="G73" s="4" t="str">
        <f>IF($A73="","",IFERROR(_xludf.maxifs('Yakıt Alım Kayıt'!$J$5:$J$1500,'Yakıt Alım Kayıt'!$D$5:$D$1500,$A73)-_xludf.minifs('Yakıt Alım Kayıt'!$J$5:$J$1500,'Yakıt Alım Kayıt'!$D$5:$D$1500,$A73),0))</f>
        <v/>
      </c>
      <c r="H73" s="10" t="str">
        <f>IF(OR($A73="",$G73=0,$G73=""),"",IF($D73="Kilometre (km)",$E73/($G73/100),$E73/$G73))</f>
        <v/>
      </c>
      <c r="I73" s="10" t="str">
        <f>IF($A73="","",'Araç Tanımlama'!G73)</f>
        <v/>
      </c>
      <c r="J73" s="4" t="str">
        <f>IF(OR($A73="",$H73="",$I73=""),"",IF($H73&gt;$I73*1.15,"YÜKSEK",IF($H73&gt;$I73*1.05,"DİKKAT","NORMAL")))</f>
        <v/>
      </c>
    </row>
    <row r="74" spans="1:10">
      <c r="A74" s="6" t="str">
        <f>IF('Araç Tanımlama'!A74="","",'Araç Tanımlama'!A74)</f>
        <v/>
      </c>
      <c r="B74" s="4" t="str">
        <f>IF($A74="","",'Araç Tanımlama'!D74)</f>
        <v/>
      </c>
      <c r="C74" s="4" t="str">
        <f>IF($A74="","",'Araç Tanımlama'!E74)</f>
        <v/>
      </c>
      <c r="D74" s="4" t="str">
        <f>IF($A74="","",'Araç Tanımlama'!F74)</f>
        <v/>
      </c>
      <c r="E74" s="4" t="str">
        <f>IF($A74="","",SUMIFS('Yakıt Alım Kayıt'!$G$5:$G$1500,'Yakıt Alım Kayıt'!$D$5:$D$1500,$A74))</f>
        <v/>
      </c>
      <c r="F74" s="9" t="str">
        <f>IF($A74="","",SUMIFS('Yakıt Alım Kayıt'!$I$5:$I$1500,'Yakıt Alım Kayıt'!$D$5:$D$1500,$A74))</f>
        <v/>
      </c>
      <c r="G74" s="4" t="str">
        <f>IF($A74="","",IFERROR(_xludf.maxifs('Yakıt Alım Kayıt'!$J$5:$J$1500,'Yakıt Alım Kayıt'!$D$5:$D$1500,$A74)-_xludf.minifs('Yakıt Alım Kayıt'!$J$5:$J$1500,'Yakıt Alım Kayıt'!$D$5:$D$1500,$A74),0))</f>
        <v/>
      </c>
      <c r="H74" s="10" t="str">
        <f>IF(OR($A74="",$G74=0,$G74=""),"",IF($D74="Kilometre (km)",$E74/($G74/100),$E74/$G74))</f>
        <v/>
      </c>
      <c r="I74" s="10" t="str">
        <f>IF($A74="","",'Araç Tanımlama'!G74)</f>
        <v/>
      </c>
      <c r="J74" s="4" t="str">
        <f>IF(OR($A74="",$H74="",$I74=""),"",IF($H74&gt;$I74*1.15,"YÜKSEK",IF($H74&gt;$I74*1.05,"DİKKAT","NORMAL")))</f>
        <v/>
      </c>
    </row>
    <row r="75" spans="1:10">
      <c r="A75" s="6" t="str">
        <f>IF('Araç Tanımlama'!A75="","",'Araç Tanımlama'!A75)</f>
        <v/>
      </c>
      <c r="B75" s="4" t="str">
        <f>IF($A75="","",'Araç Tanımlama'!D75)</f>
        <v/>
      </c>
      <c r="C75" s="4" t="str">
        <f>IF($A75="","",'Araç Tanımlama'!E75)</f>
        <v/>
      </c>
      <c r="D75" s="4" t="str">
        <f>IF($A75="","",'Araç Tanımlama'!F75)</f>
        <v/>
      </c>
      <c r="E75" s="4" t="str">
        <f>IF($A75="","",SUMIFS('Yakıt Alım Kayıt'!$G$5:$G$1500,'Yakıt Alım Kayıt'!$D$5:$D$1500,$A75))</f>
        <v/>
      </c>
      <c r="F75" s="9" t="str">
        <f>IF($A75="","",SUMIFS('Yakıt Alım Kayıt'!$I$5:$I$1500,'Yakıt Alım Kayıt'!$D$5:$D$1500,$A75))</f>
        <v/>
      </c>
      <c r="G75" s="4" t="str">
        <f>IF($A75="","",IFERROR(_xludf.maxifs('Yakıt Alım Kayıt'!$J$5:$J$1500,'Yakıt Alım Kayıt'!$D$5:$D$1500,$A75)-_xludf.minifs('Yakıt Alım Kayıt'!$J$5:$J$1500,'Yakıt Alım Kayıt'!$D$5:$D$1500,$A75),0))</f>
        <v/>
      </c>
      <c r="H75" s="10" t="str">
        <f>IF(OR($A75="",$G75=0,$G75=""),"",IF($D75="Kilometre (km)",$E75/($G75/100),$E75/$G75))</f>
        <v/>
      </c>
      <c r="I75" s="10" t="str">
        <f>IF($A75="","",'Araç Tanımlama'!G75)</f>
        <v/>
      </c>
      <c r="J75" s="4" t="str">
        <f>IF(OR($A75="",$H75="",$I75=""),"",IF($H75&gt;$I75*1.15,"YÜKSEK",IF($H75&gt;$I75*1.05,"DİKKAT","NORMAL")))</f>
        <v/>
      </c>
    </row>
    <row r="76" spans="1:10">
      <c r="A76" s="6" t="str">
        <f>IF('Araç Tanımlama'!A76="","",'Araç Tanımlama'!A76)</f>
        <v/>
      </c>
      <c r="B76" s="4" t="str">
        <f>IF($A76="","",'Araç Tanımlama'!D76)</f>
        <v/>
      </c>
      <c r="C76" s="4" t="str">
        <f>IF($A76="","",'Araç Tanımlama'!E76)</f>
        <v/>
      </c>
      <c r="D76" s="4" t="str">
        <f>IF($A76="","",'Araç Tanımlama'!F76)</f>
        <v/>
      </c>
      <c r="E76" s="4" t="str">
        <f>IF($A76="","",SUMIFS('Yakıt Alım Kayıt'!$G$5:$G$1500,'Yakıt Alım Kayıt'!$D$5:$D$1500,$A76))</f>
        <v/>
      </c>
      <c r="F76" s="9" t="str">
        <f>IF($A76="","",SUMIFS('Yakıt Alım Kayıt'!$I$5:$I$1500,'Yakıt Alım Kayıt'!$D$5:$D$1500,$A76))</f>
        <v/>
      </c>
      <c r="G76" s="4" t="str">
        <f>IF($A76="","",IFERROR(_xludf.maxifs('Yakıt Alım Kayıt'!$J$5:$J$1500,'Yakıt Alım Kayıt'!$D$5:$D$1500,$A76)-_xludf.minifs('Yakıt Alım Kayıt'!$J$5:$J$1500,'Yakıt Alım Kayıt'!$D$5:$D$1500,$A76),0))</f>
        <v/>
      </c>
      <c r="H76" s="10" t="str">
        <f>IF(OR($A76="",$G76=0,$G76=""),"",IF($D76="Kilometre (km)",$E76/($G76/100),$E76/$G76))</f>
        <v/>
      </c>
      <c r="I76" s="10" t="str">
        <f>IF($A76="","",'Araç Tanımlama'!G76)</f>
        <v/>
      </c>
      <c r="J76" s="4" t="str">
        <f>IF(OR($A76="",$H76="",$I76=""),"",IF($H76&gt;$I76*1.15,"YÜKSEK",IF($H76&gt;$I76*1.05,"DİKKAT","NORMAL")))</f>
        <v/>
      </c>
    </row>
    <row r="77" spans="1:10">
      <c r="A77" s="6" t="str">
        <f>IF('Araç Tanımlama'!A77="","",'Araç Tanımlama'!A77)</f>
        <v/>
      </c>
      <c r="B77" s="4" t="str">
        <f>IF($A77="","",'Araç Tanımlama'!D77)</f>
        <v/>
      </c>
      <c r="C77" s="4" t="str">
        <f>IF($A77="","",'Araç Tanımlama'!E77)</f>
        <v/>
      </c>
      <c r="D77" s="4" t="str">
        <f>IF($A77="","",'Araç Tanımlama'!F77)</f>
        <v/>
      </c>
      <c r="E77" s="4" t="str">
        <f>IF($A77="","",SUMIFS('Yakıt Alım Kayıt'!$G$5:$G$1500,'Yakıt Alım Kayıt'!$D$5:$D$1500,$A77))</f>
        <v/>
      </c>
      <c r="F77" s="9" t="str">
        <f>IF($A77="","",SUMIFS('Yakıt Alım Kayıt'!$I$5:$I$1500,'Yakıt Alım Kayıt'!$D$5:$D$1500,$A77))</f>
        <v/>
      </c>
      <c r="G77" s="4" t="str">
        <f>IF($A77="","",IFERROR(_xludf.maxifs('Yakıt Alım Kayıt'!$J$5:$J$1500,'Yakıt Alım Kayıt'!$D$5:$D$1500,$A77)-_xludf.minifs('Yakıt Alım Kayıt'!$J$5:$J$1500,'Yakıt Alım Kayıt'!$D$5:$D$1500,$A77),0))</f>
        <v/>
      </c>
      <c r="H77" s="10" t="str">
        <f>IF(OR($A77="",$G77=0,$G77=""),"",IF($D77="Kilometre (km)",$E77/($G77/100),$E77/$G77))</f>
        <v/>
      </c>
      <c r="I77" s="10" t="str">
        <f>IF($A77="","",'Araç Tanımlama'!G77)</f>
        <v/>
      </c>
      <c r="J77" s="4" t="str">
        <f>IF(OR($A77="",$H77="",$I77=""),"",IF($H77&gt;$I77*1.15,"YÜKSEK",IF($H77&gt;$I77*1.05,"DİKKAT","NORMAL")))</f>
        <v/>
      </c>
    </row>
    <row r="78" spans="1:10">
      <c r="A78" s="6" t="str">
        <f>IF('Araç Tanımlama'!A78="","",'Araç Tanımlama'!A78)</f>
        <v/>
      </c>
      <c r="B78" s="4" t="str">
        <f>IF($A78="","",'Araç Tanımlama'!D78)</f>
        <v/>
      </c>
      <c r="C78" s="4" t="str">
        <f>IF($A78="","",'Araç Tanımlama'!E78)</f>
        <v/>
      </c>
      <c r="D78" s="4" t="str">
        <f>IF($A78="","",'Araç Tanımlama'!F78)</f>
        <v/>
      </c>
      <c r="E78" s="4" t="str">
        <f>IF($A78="","",SUMIFS('Yakıt Alım Kayıt'!$G$5:$G$1500,'Yakıt Alım Kayıt'!$D$5:$D$1500,$A78))</f>
        <v/>
      </c>
      <c r="F78" s="9" t="str">
        <f>IF($A78="","",SUMIFS('Yakıt Alım Kayıt'!$I$5:$I$1500,'Yakıt Alım Kayıt'!$D$5:$D$1500,$A78))</f>
        <v/>
      </c>
      <c r="G78" s="4" t="str">
        <f>IF($A78="","",IFERROR(_xludf.maxifs('Yakıt Alım Kayıt'!$J$5:$J$1500,'Yakıt Alım Kayıt'!$D$5:$D$1500,$A78)-_xludf.minifs('Yakıt Alım Kayıt'!$J$5:$J$1500,'Yakıt Alım Kayıt'!$D$5:$D$1500,$A78),0))</f>
        <v/>
      </c>
      <c r="H78" s="10" t="str">
        <f>IF(OR($A78="",$G78=0,$G78=""),"",IF($D78="Kilometre (km)",$E78/($G78/100),$E78/$G78))</f>
        <v/>
      </c>
      <c r="I78" s="10" t="str">
        <f>IF($A78="","",'Araç Tanımlama'!G78)</f>
        <v/>
      </c>
      <c r="J78" s="4" t="str">
        <f>IF(OR($A78="",$H78="",$I78=""),"",IF($H78&gt;$I78*1.15,"YÜKSEK",IF($H78&gt;$I78*1.05,"DİKKAT","NORMAL")))</f>
        <v/>
      </c>
    </row>
    <row r="79" spans="1:10">
      <c r="A79" s="6" t="str">
        <f>IF('Araç Tanımlama'!A79="","",'Araç Tanımlama'!A79)</f>
        <v/>
      </c>
      <c r="B79" s="4" t="str">
        <f>IF($A79="","",'Araç Tanımlama'!D79)</f>
        <v/>
      </c>
      <c r="C79" s="4" t="str">
        <f>IF($A79="","",'Araç Tanımlama'!E79)</f>
        <v/>
      </c>
      <c r="D79" s="4" t="str">
        <f>IF($A79="","",'Araç Tanımlama'!F79)</f>
        <v/>
      </c>
      <c r="E79" s="4" t="str">
        <f>IF($A79="","",SUMIFS('Yakıt Alım Kayıt'!$G$5:$G$1500,'Yakıt Alım Kayıt'!$D$5:$D$1500,$A79))</f>
        <v/>
      </c>
      <c r="F79" s="9" t="str">
        <f>IF($A79="","",SUMIFS('Yakıt Alım Kayıt'!$I$5:$I$1500,'Yakıt Alım Kayıt'!$D$5:$D$1500,$A79))</f>
        <v/>
      </c>
      <c r="G79" s="4" t="str">
        <f>IF($A79="","",IFERROR(_xludf.maxifs('Yakıt Alım Kayıt'!$J$5:$J$1500,'Yakıt Alım Kayıt'!$D$5:$D$1500,$A79)-_xludf.minifs('Yakıt Alım Kayıt'!$J$5:$J$1500,'Yakıt Alım Kayıt'!$D$5:$D$1500,$A79),0))</f>
        <v/>
      </c>
      <c r="H79" s="10" t="str">
        <f>IF(OR($A79="",$G79=0,$G79=""),"",IF($D79="Kilometre (km)",$E79/($G79/100),$E79/$G79))</f>
        <v/>
      </c>
      <c r="I79" s="10" t="str">
        <f>IF($A79="","",'Araç Tanımlama'!G79)</f>
        <v/>
      </c>
      <c r="J79" s="4" t="str">
        <f>IF(OR($A79="",$H79="",$I79=""),"",IF($H79&gt;$I79*1.15,"YÜKSEK",IF($H79&gt;$I79*1.05,"DİKKAT","NORMAL")))</f>
        <v/>
      </c>
    </row>
    <row r="80" spans="1:10">
      <c r="A80" s="6" t="str">
        <f>IF('Araç Tanımlama'!A80="","",'Araç Tanımlama'!A80)</f>
        <v/>
      </c>
      <c r="B80" s="4" t="str">
        <f>IF($A80="","",'Araç Tanımlama'!D80)</f>
        <v/>
      </c>
      <c r="C80" s="4" t="str">
        <f>IF($A80="","",'Araç Tanımlama'!E80)</f>
        <v/>
      </c>
      <c r="D80" s="4" t="str">
        <f>IF($A80="","",'Araç Tanımlama'!F80)</f>
        <v/>
      </c>
      <c r="E80" s="4" t="str">
        <f>IF($A80="","",SUMIFS('Yakıt Alım Kayıt'!$G$5:$G$1500,'Yakıt Alım Kayıt'!$D$5:$D$1500,$A80))</f>
        <v/>
      </c>
      <c r="F80" s="9" t="str">
        <f>IF($A80="","",SUMIFS('Yakıt Alım Kayıt'!$I$5:$I$1500,'Yakıt Alım Kayıt'!$D$5:$D$1500,$A80))</f>
        <v/>
      </c>
      <c r="G80" s="4" t="str">
        <f>IF($A80="","",IFERROR(_xludf.maxifs('Yakıt Alım Kayıt'!$J$5:$J$1500,'Yakıt Alım Kayıt'!$D$5:$D$1500,$A80)-_xludf.minifs('Yakıt Alım Kayıt'!$J$5:$J$1500,'Yakıt Alım Kayıt'!$D$5:$D$1500,$A80),0))</f>
        <v/>
      </c>
      <c r="H80" s="10" t="str">
        <f>IF(OR($A80="",$G80=0,$G80=""),"",IF($D80="Kilometre (km)",$E80/($G80/100),$E80/$G80))</f>
        <v/>
      </c>
      <c r="I80" s="10" t="str">
        <f>IF($A80="","",'Araç Tanımlama'!G80)</f>
        <v/>
      </c>
      <c r="J80" s="4" t="str">
        <f>IF(OR($A80="",$H80="",$I80=""),"",IF($H80&gt;$I80*1.15,"YÜKSEK",IF($H80&gt;$I80*1.05,"DİKKAT","NORMAL")))</f>
        <v/>
      </c>
    </row>
    <row r="81" spans="1:10">
      <c r="A81" s="6" t="str">
        <f>IF('Araç Tanımlama'!A81="","",'Araç Tanımlama'!A81)</f>
        <v/>
      </c>
      <c r="B81" s="4" t="str">
        <f>IF($A81="","",'Araç Tanımlama'!D81)</f>
        <v/>
      </c>
      <c r="C81" s="4" t="str">
        <f>IF($A81="","",'Araç Tanımlama'!E81)</f>
        <v/>
      </c>
      <c r="D81" s="4" t="str">
        <f>IF($A81="","",'Araç Tanımlama'!F81)</f>
        <v/>
      </c>
      <c r="E81" s="4" t="str">
        <f>IF($A81="","",SUMIFS('Yakıt Alım Kayıt'!$G$5:$G$1500,'Yakıt Alım Kayıt'!$D$5:$D$1500,$A81))</f>
        <v/>
      </c>
      <c r="F81" s="9" t="str">
        <f>IF($A81="","",SUMIFS('Yakıt Alım Kayıt'!$I$5:$I$1500,'Yakıt Alım Kayıt'!$D$5:$D$1500,$A81))</f>
        <v/>
      </c>
      <c r="G81" s="4" t="str">
        <f>IF($A81="","",IFERROR(_xludf.maxifs('Yakıt Alım Kayıt'!$J$5:$J$1500,'Yakıt Alım Kayıt'!$D$5:$D$1500,$A81)-_xludf.minifs('Yakıt Alım Kayıt'!$J$5:$J$1500,'Yakıt Alım Kayıt'!$D$5:$D$1500,$A81),0))</f>
        <v/>
      </c>
      <c r="H81" s="10" t="str">
        <f>IF(OR($A81="",$G81=0,$G81=""),"",IF($D81="Kilometre (km)",$E81/($G81/100),$E81/$G81))</f>
        <v/>
      </c>
      <c r="I81" s="10" t="str">
        <f>IF($A81="","",'Araç Tanımlama'!G81)</f>
        <v/>
      </c>
      <c r="J81" s="4" t="str">
        <f>IF(OR($A81="",$H81="",$I81=""),"",IF($H81&gt;$I81*1.15,"YÜKSEK",IF($H81&gt;$I81*1.05,"DİKKAT","NORMAL")))</f>
        <v/>
      </c>
    </row>
    <row r="82" spans="1:10">
      <c r="A82" s="6" t="str">
        <f>IF('Araç Tanımlama'!A82="","",'Araç Tanımlama'!A82)</f>
        <v/>
      </c>
      <c r="B82" s="4" t="str">
        <f>IF($A82="","",'Araç Tanımlama'!D82)</f>
        <v/>
      </c>
      <c r="C82" s="4" t="str">
        <f>IF($A82="","",'Araç Tanımlama'!E82)</f>
        <v/>
      </c>
      <c r="D82" s="4" t="str">
        <f>IF($A82="","",'Araç Tanımlama'!F82)</f>
        <v/>
      </c>
      <c r="E82" s="4" t="str">
        <f>IF($A82="","",SUMIFS('Yakıt Alım Kayıt'!$G$5:$G$1500,'Yakıt Alım Kayıt'!$D$5:$D$1500,$A82))</f>
        <v/>
      </c>
      <c r="F82" s="9" t="str">
        <f>IF($A82="","",SUMIFS('Yakıt Alım Kayıt'!$I$5:$I$1500,'Yakıt Alım Kayıt'!$D$5:$D$1500,$A82))</f>
        <v/>
      </c>
      <c r="G82" s="4" t="str">
        <f>IF($A82="","",IFERROR(_xludf.maxifs('Yakıt Alım Kayıt'!$J$5:$J$1500,'Yakıt Alım Kayıt'!$D$5:$D$1500,$A82)-_xludf.minifs('Yakıt Alım Kayıt'!$J$5:$J$1500,'Yakıt Alım Kayıt'!$D$5:$D$1500,$A82),0))</f>
        <v/>
      </c>
      <c r="H82" s="10" t="str">
        <f>IF(OR($A82="",$G82=0,$G82=""),"",IF($D82="Kilometre (km)",$E82/($G82/100),$E82/$G82))</f>
        <v/>
      </c>
      <c r="I82" s="10" t="str">
        <f>IF($A82="","",'Araç Tanımlama'!G82)</f>
        <v/>
      </c>
      <c r="J82" s="4" t="str">
        <f>IF(OR($A82="",$H82="",$I82=""),"",IF($H82&gt;$I82*1.15,"YÜKSEK",IF($H82&gt;$I82*1.05,"DİKKAT","NORMAL")))</f>
        <v/>
      </c>
    </row>
    <row r="83" spans="1:10">
      <c r="A83" s="6" t="str">
        <f>IF('Araç Tanımlama'!A83="","",'Araç Tanımlama'!A83)</f>
        <v/>
      </c>
      <c r="B83" s="4" t="str">
        <f>IF($A83="","",'Araç Tanımlama'!D83)</f>
        <v/>
      </c>
      <c r="C83" s="4" t="str">
        <f>IF($A83="","",'Araç Tanımlama'!E83)</f>
        <v/>
      </c>
      <c r="D83" s="4" t="str">
        <f>IF($A83="","",'Araç Tanımlama'!F83)</f>
        <v/>
      </c>
      <c r="E83" s="4" t="str">
        <f>IF($A83="","",SUMIFS('Yakıt Alım Kayıt'!$G$5:$G$1500,'Yakıt Alım Kayıt'!$D$5:$D$1500,$A83))</f>
        <v/>
      </c>
      <c r="F83" s="9" t="str">
        <f>IF($A83="","",SUMIFS('Yakıt Alım Kayıt'!$I$5:$I$1500,'Yakıt Alım Kayıt'!$D$5:$D$1500,$A83))</f>
        <v/>
      </c>
      <c r="G83" s="4" t="str">
        <f>IF($A83="","",IFERROR(_xludf.maxifs('Yakıt Alım Kayıt'!$J$5:$J$1500,'Yakıt Alım Kayıt'!$D$5:$D$1500,$A83)-_xludf.minifs('Yakıt Alım Kayıt'!$J$5:$J$1500,'Yakıt Alım Kayıt'!$D$5:$D$1500,$A83),0))</f>
        <v/>
      </c>
      <c r="H83" s="10" t="str">
        <f>IF(OR($A83="",$G83=0,$G83=""),"",IF($D83="Kilometre (km)",$E83/($G83/100),$E83/$G83))</f>
        <v/>
      </c>
      <c r="I83" s="10" t="str">
        <f>IF($A83="","",'Araç Tanımlama'!G83)</f>
        <v/>
      </c>
      <c r="J83" s="4" t="str">
        <f>IF(OR($A83="",$H83="",$I83=""),"",IF($H83&gt;$I83*1.15,"YÜKSEK",IF($H83&gt;$I83*1.05,"DİKKAT","NORMAL")))</f>
        <v/>
      </c>
    </row>
    <row r="84" spans="1:10">
      <c r="A84" s="6" t="str">
        <f>IF('Araç Tanımlama'!A84="","",'Araç Tanımlama'!A84)</f>
        <v/>
      </c>
      <c r="B84" s="4" t="str">
        <f>IF($A84="","",'Araç Tanımlama'!D84)</f>
        <v/>
      </c>
      <c r="C84" s="4" t="str">
        <f>IF($A84="","",'Araç Tanımlama'!E84)</f>
        <v/>
      </c>
      <c r="D84" s="4" t="str">
        <f>IF($A84="","",'Araç Tanımlama'!F84)</f>
        <v/>
      </c>
      <c r="E84" s="4" t="str">
        <f>IF($A84="","",SUMIFS('Yakıt Alım Kayıt'!$G$5:$G$1500,'Yakıt Alım Kayıt'!$D$5:$D$1500,$A84))</f>
        <v/>
      </c>
      <c r="F84" s="9" t="str">
        <f>IF($A84="","",SUMIFS('Yakıt Alım Kayıt'!$I$5:$I$1500,'Yakıt Alım Kayıt'!$D$5:$D$1500,$A84))</f>
        <v/>
      </c>
      <c r="G84" s="4" t="str">
        <f>IF($A84="","",IFERROR(_xludf.maxifs('Yakıt Alım Kayıt'!$J$5:$J$1500,'Yakıt Alım Kayıt'!$D$5:$D$1500,$A84)-_xludf.minifs('Yakıt Alım Kayıt'!$J$5:$J$1500,'Yakıt Alım Kayıt'!$D$5:$D$1500,$A84),0))</f>
        <v/>
      </c>
      <c r="H84" s="10" t="str">
        <f>IF(OR($A84="",$G84=0,$G84=""),"",IF($D84="Kilometre (km)",$E84/($G84/100),$E84/$G84))</f>
        <v/>
      </c>
      <c r="I84" s="10" t="str">
        <f>IF($A84="","",'Araç Tanımlama'!G84)</f>
        <v/>
      </c>
      <c r="J84" s="4" t="str">
        <f>IF(OR($A84="",$H84="",$I84=""),"",IF($H84&gt;$I84*1.15,"YÜKSEK",IF($H84&gt;$I84*1.05,"DİKKAT","NORMAL")))</f>
        <v/>
      </c>
    </row>
    <row r="85" spans="1:10">
      <c r="A85" s="6" t="str">
        <f>IF('Araç Tanımlama'!A85="","",'Araç Tanımlama'!A85)</f>
        <v/>
      </c>
      <c r="B85" s="4" t="str">
        <f>IF($A85="","",'Araç Tanımlama'!D85)</f>
        <v/>
      </c>
      <c r="C85" s="4" t="str">
        <f>IF($A85="","",'Araç Tanımlama'!E85)</f>
        <v/>
      </c>
      <c r="D85" s="4" t="str">
        <f>IF($A85="","",'Araç Tanımlama'!F85)</f>
        <v/>
      </c>
      <c r="E85" s="4" t="str">
        <f>IF($A85="","",SUMIFS('Yakıt Alım Kayıt'!$G$5:$G$1500,'Yakıt Alım Kayıt'!$D$5:$D$1500,$A85))</f>
        <v/>
      </c>
      <c r="F85" s="9" t="str">
        <f>IF($A85="","",SUMIFS('Yakıt Alım Kayıt'!$I$5:$I$1500,'Yakıt Alım Kayıt'!$D$5:$D$1500,$A85))</f>
        <v/>
      </c>
      <c r="G85" s="4" t="str">
        <f>IF($A85="","",IFERROR(_xludf.maxifs('Yakıt Alım Kayıt'!$J$5:$J$1500,'Yakıt Alım Kayıt'!$D$5:$D$1500,$A85)-_xludf.minifs('Yakıt Alım Kayıt'!$J$5:$J$1500,'Yakıt Alım Kayıt'!$D$5:$D$1500,$A85),0))</f>
        <v/>
      </c>
      <c r="H85" s="10" t="str">
        <f>IF(OR($A85="",$G85=0,$G85=""),"",IF($D85="Kilometre (km)",$E85/($G85/100),$E85/$G85))</f>
        <v/>
      </c>
      <c r="I85" s="10" t="str">
        <f>IF($A85="","",'Araç Tanımlama'!G85)</f>
        <v/>
      </c>
      <c r="J85" s="4" t="str">
        <f>IF(OR($A85="",$H85="",$I85=""),"",IF($H85&gt;$I85*1.15,"YÜKSEK",IF($H85&gt;$I85*1.05,"DİKKAT","NORMAL")))</f>
        <v/>
      </c>
    </row>
    <row r="86" spans="1:10">
      <c r="A86" s="6" t="str">
        <f>IF('Araç Tanımlama'!A86="","",'Araç Tanımlama'!A86)</f>
        <v/>
      </c>
      <c r="B86" s="4" t="str">
        <f>IF($A86="","",'Araç Tanımlama'!D86)</f>
        <v/>
      </c>
      <c r="C86" s="4" t="str">
        <f>IF($A86="","",'Araç Tanımlama'!E86)</f>
        <v/>
      </c>
      <c r="D86" s="4" t="str">
        <f>IF($A86="","",'Araç Tanımlama'!F86)</f>
        <v/>
      </c>
      <c r="E86" s="4" t="str">
        <f>IF($A86="","",SUMIFS('Yakıt Alım Kayıt'!$G$5:$G$1500,'Yakıt Alım Kayıt'!$D$5:$D$1500,$A86))</f>
        <v/>
      </c>
      <c r="F86" s="9" t="str">
        <f>IF($A86="","",SUMIFS('Yakıt Alım Kayıt'!$I$5:$I$1500,'Yakıt Alım Kayıt'!$D$5:$D$1500,$A86))</f>
        <v/>
      </c>
      <c r="G86" s="4" t="str">
        <f>IF($A86="","",IFERROR(_xludf.maxifs('Yakıt Alım Kayıt'!$J$5:$J$1500,'Yakıt Alım Kayıt'!$D$5:$D$1500,$A86)-_xludf.minifs('Yakıt Alım Kayıt'!$J$5:$J$1500,'Yakıt Alım Kayıt'!$D$5:$D$1500,$A86),0))</f>
        <v/>
      </c>
      <c r="H86" s="10" t="str">
        <f>IF(OR($A86="",$G86=0,$G86=""),"",IF($D86="Kilometre (km)",$E86/($G86/100),$E86/$G86))</f>
        <v/>
      </c>
      <c r="I86" s="10" t="str">
        <f>IF($A86="","",'Araç Tanımlama'!G86)</f>
        <v/>
      </c>
      <c r="J86" s="4" t="str">
        <f>IF(OR($A86="",$H86="",$I86=""),"",IF($H86&gt;$I86*1.15,"YÜKSEK",IF($H86&gt;$I86*1.05,"DİKKAT","NORMAL")))</f>
        <v/>
      </c>
    </row>
    <row r="87" spans="1:10">
      <c r="A87" s="6" t="str">
        <f>IF('Araç Tanımlama'!A87="","",'Araç Tanımlama'!A87)</f>
        <v/>
      </c>
      <c r="B87" s="4" t="str">
        <f>IF($A87="","",'Araç Tanımlama'!D87)</f>
        <v/>
      </c>
      <c r="C87" s="4" t="str">
        <f>IF($A87="","",'Araç Tanımlama'!E87)</f>
        <v/>
      </c>
      <c r="D87" s="4" t="str">
        <f>IF($A87="","",'Araç Tanımlama'!F87)</f>
        <v/>
      </c>
      <c r="E87" s="4" t="str">
        <f>IF($A87="","",SUMIFS('Yakıt Alım Kayıt'!$G$5:$G$1500,'Yakıt Alım Kayıt'!$D$5:$D$1500,$A87))</f>
        <v/>
      </c>
      <c r="F87" s="9" t="str">
        <f>IF($A87="","",SUMIFS('Yakıt Alım Kayıt'!$I$5:$I$1500,'Yakıt Alım Kayıt'!$D$5:$D$1500,$A87))</f>
        <v/>
      </c>
      <c r="G87" s="4" t="str">
        <f>IF($A87="","",IFERROR(_xludf.maxifs('Yakıt Alım Kayıt'!$J$5:$J$1500,'Yakıt Alım Kayıt'!$D$5:$D$1500,$A87)-_xludf.minifs('Yakıt Alım Kayıt'!$J$5:$J$1500,'Yakıt Alım Kayıt'!$D$5:$D$1500,$A87),0))</f>
        <v/>
      </c>
      <c r="H87" s="10" t="str">
        <f>IF(OR($A87="",$G87=0,$G87=""),"",IF($D87="Kilometre (km)",$E87/($G87/100),$E87/$G87))</f>
        <v/>
      </c>
      <c r="I87" s="10" t="str">
        <f>IF($A87="","",'Araç Tanımlama'!G87)</f>
        <v/>
      </c>
      <c r="J87" s="4" t="str">
        <f>IF(OR($A87="",$H87="",$I87=""),"",IF($H87&gt;$I87*1.15,"YÜKSEK",IF($H87&gt;$I87*1.05,"DİKKAT","NORMAL")))</f>
        <v/>
      </c>
    </row>
    <row r="88" spans="1:10">
      <c r="A88" s="6" t="str">
        <f>IF('Araç Tanımlama'!A88="","",'Araç Tanımlama'!A88)</f>
        <v/>
      </c>
      <c r="B88" s="4" t="str">
        <f>IF($A88="","",'Araç Tanımlama'!D88)</f>
        <v/>
      </c>
      <c r="C88" s="4" t="str">
        <f>IF($A88="","",'Araç Tanımlama'!E88)</f>
        <v/>
      </c>
      <c r="D88" s="4" t="str">
        <f>IF($A88="","",'Araç Tanımlama'!F88)</f>
        <v/>
      </c>
      <c r="E88" s="4" t="str">
        <f>IF($A88="","",SUMIFS('Yakıt Alım Kayıt'!$G$5:$G$1500,'Yakıt Alım Kayıt'!$D$5:$D$1500,$A88))</f>
        <v/>
      </c>
      <c r="F88" s="9" t="str">
        <f>IF($A88="","",SUMIFS('Yakıt Alım Kayıt'!$I$5:$I$1500,'Yakıt Alım Kayıt'!$D$5:$D$1500,$A88))</f>
        <v/>
      </c>
      <c r="G88" s="4" t="str">
        <f>IF($A88="","",IFERROR(_xludf.maxifs('Yakıt Alım Kayıt'!$J$5:$J$1500,'Yakıt Alım Kayıt'!$D$5:$D$1500,$A88)-_xludf.minifs('Yakıt Alım Kayıt'!$J$5:$J$1500,'Yakıt Alım Kayıt'!$D$5:$D$1500,$A88),0))</f>
        <v/>
      </c>
      <c r="H88" s="10" t="str">
        <f>IF(OR($A88="",$G88=0,$G88=""),"",IF($D88="Kilometre (km)",$E88/($G88/100),$E88/$G88))</f>
        <v/>
      </c>
      <c r="I88" s="10" t="str">
        <f>IF($A88="","",'Araç Tanımlama'!G88)</f>
        <v/>
      </c>
      <c r="J88" s="4" t="str">
        <f>IF(OR($A88="",$H88="",$I88=""),"",IF($H88&gt;$I88*1.15,"YÜKSEK",IF($H88&gt;$I88*1.05,"DİKKAT","NORMAL")))</f>
        <v/>
      </c>
    </row>
    <row r="89" spans="1:10">
      <c r="A89" s="6" t="str">
        <f>IF('Araç Tanımlama'!A89="","",'Araç Tanımlama'!A89)</f>
        <v/>
      </c>
      <c r="B89" s="4" t="str">
        <f>IF($A89="","",'Araç Tanımlama'!D89)</f>
        <v/>
      </c>
      <c r="C89" s="4" t="str">
        <f>IF($A89="","",'Araç Tanımlama'!E89)</f>
        <v/>
      </c>
      <c r="D89" s="4" t="str">
        <f>IF($A89="","",'Araç Tanımlama'!F89)</f>
        <v/>
      </c>
      <c r="E89" s="4" t="str">
        <f>IF($A89="","",SUMIFS('Yakıt Alım Kayıt'!$G$5:$G$1500,'Yakıt Alım Kayıt'!$D$5:$D$1500,$A89))</f>
        <v/>
      </c>
      <c r="F89" s="9" t="str">
        <f>IF($A89="","",SUMIFS('Yakıt Alım Kayıt'!$I$5:$I$1500,'Yakıt Alım Kayıt'!$D$5:$D$1500,$A89))</f>
        <v/>
      </c>
      <c r="G89" s="4" t="str">
        <f>IF($A89="","",IFERROR(_xludf.maxifs('Yakıt Alım Kayıt'!$J$5:$J$1500,'Yakıt Alım Kayıt'!$D$5:$D$1500,$A89)-_xludf.minifs('Yakıt Alım Kayıt'!$J$5:$J$1500,'Yakıt Alım Kayıt'!$D$5:$D$1500,$A89),0))</f>
        <v/>
      </c>
      <c r="H89" s="10" t="str">
        <f>IF(OR($A89="",$G89=0,$G89=""),"",IF($D89="Kilometre (km)",$E89/($G89/100),$E89/$G89))</f>
        <v/>
      </c>
      <c r="I89" s="10" t="str">
        <f>IF($A89="","",'Araç Tanımlama'!G89)</f>
        <v/>
      </c>
      <c r="J89" s="4" t="str">
        <f>IF(OR($A89="",$H89="",$I89=""),"",IF($H89&gt;$I89*1.15,"YÜKSEK",IF($H89&gt;$I89*1.05,"DİKKAT","NORMAL")))</f>
        <v/>
      </c>
    </row>
    <row r="90" spans="1:10">
      <c r="A90" s="6" t="str">
        <f>IF('Araç Tanımlama'!A90="","",'Araç Tanımlama'!A90)</f>
        <v/>
      </c>
      <c r="B90" s="4" t="str">
        <f>IF($A90="","",'Araç Tanımlama'!D90)</f>
        <v/>
      </c>
      <c r="C90" s="4" t="str">
        <f>IF($A90="","",'Araç Tanımlama'!E90)</f>
        <v/>
      </c>
      <c r="D90" s="4" t="str">
        <f>IF($A90="","",'Araç Tanımlama'!F90)</f>
        <v/>
      </c>
      <c r="E90" s="4" t="str">
        <f>IF($A90="","",SUMIFS('Yakıt Alım Kayıt'!$G$5:$G$1500,'Yakıt Alım Kayıt'!$D$5:$D$1500,$A90))</f>
        <v/>
      </c>
      <c r="F90" s="9" t="str">
        <f>IF($A90="","",SUMIFS('Yakıt Alım Kayıt'!$I$5:$I$1500,'Yakıt Alım Kayıt'!$D$5:$D$1500,$A90))</f>
        <v/>
      </c>
      <c r="G90" s="4" t="str">
        <f>IF($A90="","",IFERROR(_xludf.maxifs('Yakıt Alım Kayıt'!$J$5:$J$1500,'Yakıt Alım Kayıt'!$D$5:$D$1500,$A90)-_xludf.minifs('Yakıt Alım Kayıt'!$J$5:$J$1500,'Yakıt Alım Kayıt'!$D$5:$D$1500,$A90),0))</f>
        <v/>
      </c>
      <c r="H90" s="10" t="str">
        <f>IF(OR($A90="",$G90=0,$G90=""),"",IF($D90="Kilometre (km)",$E90/($G90/100),$E90/$G90))</f>
        <v/>
      </c>
      <c r="I90" s="10" t="str">
        <f>IF($A90="","",'Araç Tanımlama'!G90)</f>
        <v/>
      </c>
      <c r="J90" s="4" t="str">
        <f>IF(OR($A90="",$H90="",$I90=""),"",IF($H90&gt;$I90*1.15,"YÜKSEK",IF($H90&gt;$I90*1.05,"DİKKAT","NORMAL")))</f>
        <v/>
      </c>
    </row>
    <row r="91" spans="1:10">
      <c r="A91" s="6" t="str">
        <f>IF('Araç Tanımlama'!A91="","",'Araç Tanımlama'!A91)</f>
        <v/>
      </c>
      <c r="B91" s="4" t="str">
        <f>IF($A91="","",'Araç Tanımlama'!D91)</f>
        <v/>
      </c>
      <c r="C91" s="4" t="str">
        <f>IF($A91="","",'Araç Tanımlama'!E91)</f>
        <v/>
      </c>
      <c r="D91" s="4" t="str">
        <f>IF($A91="","",'Araç Tanımlama'!F91)</f>
        <v/>
      </c>
      <c r="E91" s="4" t="str">
        <f>IF($A91="","",SUMIFS('Yakıt Alım Kayıt'!$G$5:$G$1500,'Yakıt Alım Kayıt'!$D$5:$D$1500,$A91))</f>
        <v/>
      </c>
      <c r="F91" s="9" t="str">
        <f>IF($A91="","",SUMIFS('Yakıt Alım Kayıt'!$I$5:$I$1500,'Yakıt Alım Kayıt'!$D$5:$D$1500,$A91))</f>
        <v/>
      </c>
      <c r="G91" s="4" t="str">
        <f>IF($A91="","",IFERROR(_xludf.maxifs('Yakıt Alım Kayıt'!$J$5:$J$1500,'Yakıt Alım Kayıt'!$D$5:$D$1500,$A91)-_xludf.minifs('Yakıt Alım Kayıt'!$J$5:$J$1500,'Yakıt Alım Kayıt'!$D$5:$D$1500,$A91),0))</f>
        <v/>
      </c>
      <c r="H91" s="10" t="str">
        <f>IF(OR($A91="",$G91=0,$G91=""),"",IF($D91="Kilometre (km)",$E91/($G91/100),$E91/$G91))</f>
        <v/>
      </c>
      <c r="I91" s="10" t="str">
        <f>IF($A91="","",'Araç Tanımlama'!G91)</f>
        <v/>
      </c>
      <c r="J91" s="4" t="str">
        <f>IF(OR($A91="",$H91="",$I91=""),"",IF($H91&gt;$I91*1.15,"YÜKSEK",IF($H91&gt;$I91*1.05,"DİKKAT","NORMAL")))</f>
        <v/>
      </c>
    </row>
    <row r="92" spans="1:10">
      <c r="A92" s="6" t="str">
        <f>IF('Araç Tanımlama'!A92="","",'Araç Tanımlama'!A92)</f>
        <v/>
      </c>
      <c r="B92" s="4" t="str">
        <f>IF($A92="","",'Araç Tanımlama'!D92)</f>
        <v/>
      </c>
      <c r="C92" s="4" t="str">
        <f>IF($A92="","",'Araç Tanımlama'!E92)</f>
        <v/>
      </c>
      <c r="D92" s="4" t="str">
        <f>IF($A92="","",'Araç Tanımlama'!F92)</f>
        <v/>
      </c>
      <c r="E92" s="4" t="str">
        <f>IF($A92="","",SUMIFS('Yakıt Alım Kayıt'!$G$5:$G$1500,'Yakıt Alım Kayıt'!$D$5:$D$1500,$A92))</f>
        <v/>
      </c>
      <c r="F92" s="9" t="str">
        <f>IF($A92="","",SUMIFS('Yakıt Alım Kayıt'!$I$5:$I$1500,'Yakıt Alım Kayıt'!$D$5:$D$1500,$A92))</f>
        <v/>
      </c>
      <c r="G92" s="4" t="str">
        <f>IF($A92="","",IFERROR(_xludf.maxifs('Yakıt Alım Kayıt'!$J$5:$J$1500,'Yakıt Alım Kayıt'!$D$5:$D$1500,$A92)-_xludf.minifs('Yakıt Alım Kayıt'!$J$5:$J$1500,'Yakıt Alım Kayıt'!$D$5:$D$1500,$A92),0))</f>
        <v/>
      </c>
      <c r="H92" s="10" t="str">
        <f>IF(OR($A92="",$G92=0,$G92=""),"",IF($D92="Kilometre (km)",$E92/($G92/100),$E92/$G92))</f>
        <v/>
      </c>
      <c r="I92" s="10" t="str">
        <f>IF($A92="","",'Araç Tanımlama'!G92)</f>
        <v/>
      </c>
      <c r="J92" s="4" t="str">
        <f>IF(OR($A92="",$H92="",$I92=""),"",IF($H92&gt;$I92*1.15,"YÜKSEK",IF($H92&gt;$I92*1.05,"DİKKAT","NORMAL")))</f>
        <v/>
      </c>
    </row>
    <row r="93" spans="1:10">
      <c r="A93" s="6" t="str">
        <f>IF('Araç Tanımlama'!A93="","",'Araç Tanımlama'!A93)</f>
        <v/>
      </c>
      <c r="B93" s="4" t="str">
        <f>IF($A93="","",'Araç Tanımlama'!D93)</f>
        <v/>
      </c>
      <c r="C93" s="4" t="str">
        <f>IF($A93="","",'Araç Tanımlama'!E93)</f>
        <v/>
      </c>
      <c r="D93" s="4" t="str">
        <f>IF($A93="","",'Araç Tanımlama'!F93)</f>
        <v/>
      </c>
      <c r="E93" s="4" t="str">
        <f>IF($A93="","",SUMIFS('Yakıt Alım Kayıt'!$G$5:$G$1500,'Yakıt Alım Kayıt'!$D$5:$D$1500,$A93))</f>
        <v/>
      </c>
      <c r="F93" s="9" t="str">
        <f>IF($A93="","",SUMIFS('Yakıt Alım Kayıt'!$I$5:$I$1500,'Yakıt Alım Kayıt'!$D$5:$D$1500,$A93))</f>
        <v/>
      </c>
      <c r="G93" s="4" t="str">
        <f>IF($A93="","",IFERROR(_xludf.maxifs('Yakıt Alım Kayıt'!$J$5:$J$1500,'Yakıt Alım Kayıt'!$D$5:$D$1500,$A93)-_xludf.minifs('Yakıt Alım Kayıt'!$J$5:$J$1500,'Yakıt Alım Kayıt'!$D$5:$D$1500,$A93),0))</f>
        <v/>
      </c>
      <c r="H93" s="10" t="str">
        <f>IF(OR($A93="",$G93=0,$G93=""),"",IF($D93="Kilometre (km)",$E93/($G93/100),$E93/$G93))</f>
        <v/>
      </c>
      <c r="I93" s="10" t="str">
        <f>IF($A93="","",'Araç Tanımlama'!G93)</f>
        <v/>
      </c>
      <c r="J93" s="4" t="str">
        <f>IF(OR($A93="",$H93="",$I93=""),"",IF($H93&gt;$I93*1.15,"YÜKSEK",IF($H93&gt;$I93*1.05,"DİKKAT","NORMAL")))</f>
        <v/>
      </c>
    </row>
    <row r="94" spans="1:10">
      <c r="A94" s="6" t="str">
        <f>IF('Araç Tanımlama'!A94="","",'Araç Tanımlama'!A94)</f>
        <v/>
      </c>
      <c r="B94" s="4" t="str">
        <f>IF($A94="","",'Araç Tanımlama'!D94)</f>
        <v/>
      </c>
      <c r="C94" s="4" t="str">
        <f>IF($A94="","",'Araç Tanımlama'!E94)</f>
        <v/>
      </c>
      <c r="D94" s="4" t="str">
        <f>IF($A94="","",'Araç Tanımlama'!F94)</f>
        <v/>
      </c>
      <c r="E94" s="4" t="str">
        <f>IF($A94="","",SUMIFS('Yakıt Alım Kayıt'!$G$5:$G$1500,'Yakıt Alım Kayıt'!$D$5:$D$1500,$A94))</f>
        <v/>
      </c>
      <c r="F94" s="9" t="str">
        <f>IF($A94="","",SUMIFS('Yakıt Alım Kayıt'!$I$5:$I$1500,'Yakıt Alım Kayıt'!$D$5:$D$1500,$A94))</f>
        <v/>
      </c>
      <c r="G94" s="4" t="str">
        <f>IF($A94="","",IFERROR(_xludf.maxifs('Yakıt Alım Kayıt'!$J$5:$J$1500,'Yakıt Alım Kayıt'!$D$5:$D$1500,$A94)-_xludf.minifs('Yakıt Alım Kayıt'!$J$5:$J$1500,'Yakıt Alım Kayıt'!$D$5:$D$1500,$A94),0))</f>
        <v/>
      </c>
      <c r="H94" s="10" t="str">
        <f>IF(OR($A94="",$G94=0,$G94=""),"",IF($D94="Kilometre (km)",$E94/($G94/100),$E94/$G94))</f>
        <v/>
      </c>
      <c r="I94" s="10" t="str">
        <f>IF($A94="","",'Araç Tanımlama'!G94)</f>
        <v/>
      </c>
      <c r="J94" s="4" t="str">
        <f>IF(OR($A94="",$H94="",$I94=""),"",IF($H94&gt;$I94*1.15,"YÜKSEK",IF($H94&gt;$I94*1.05,"DİKKAT","NORMAL")))</f>
        <v/>
      </c>
    </row>
    <row r="95" spans="1:10">
      <c r="A95" s="6" t="str">
        <f>IF('Araç Tanımlama'!A95="","",'Araç Tanımlama'!A95)</f>
        <v/>
      </c>
      <c r="B95" s="4" t="str">
        <f>IF($A95="","",'Araç Tanımlama'!D95)</f>
        <v/>
      </c>
      <c r="C95" s="4" t="str">
        <f>IF($A95="","",'Araç Tanımlama'!E95)</f>
        <v/>
      </c>
      <c r="D95" s="4" t="str">
        <f>IF($A95="","",'Araç Tanımlama'!F95)</f>
        <v/>
      </c>
      <c r="E95" s="4" t="str">
        <f>IF($A95="","",SUMIFS('Yakıt Alım Kayıt'!$G$5:$G$1500,'Yakıt Alım Kayıt'!$D$5:$D$1500,$A95))</f>
        <v/>
      </c>
      <c r="F95" s="9" t="str">
        <f>IF($A95="","",SUMIFS('Yakıt Alım Kayıt'!$I$5:$I$1500,'Yakıt Alım Kayıt'!$D$5:$D$1500,$A95))</f>
        <v/>
      </c>
      <c r="G95" s="4" t="str">
        <f>IF($A95="","",IFERROR(_xludf.maxifs('Yakıt Alım Kayıt'!$J$5:$J$1500,'Yakıt Alım Kayıt'!$D$5:$D$1500,$A95)-_xludf.minifs('Yakıt Alım Kayıt'!$J$5:$J$1500,'Yakıt Alım Kayıt'!$D$5:$D$1500,$A95),0))</f>
        <v/>
      </c>
      <c r="H95" s="10" t="str">
        <f>IF(OR($A95="",$G95=0,$G95=""),"",IF($D95="Kilometre (km)",$E95/($G95/100),$E95/$G95))</f>
        <v/>
      </c>
      <c r="I95" s="10" t="str">
        <f>IF($A95="","",'Araç Tanımlama'!G95)</f>
        <v/>
      </c>
      <c r="J95" s="4" t="str">
        <f>IF(OR($A95="",$H95="",$I95=""),"",IF($H95&gt;$I95*1.15,"YÜKSEK",IF($H95&gt;$I95*1.05,"DİKKAT","NORMAL")))</f>
        <v/>
      </c>
    </row>
    <row r="96" spans="1:10">
      <c r="A96" s="6" t="str">
        <f>IF('Araç Tanımlama'!A96="","",'Araç Tanımlama'!A96)</f>
        <v/>
      </c>
      <c r="B96" s="4" t="str">
        <f>IF($A96="","",'Araç Tanımlama'!D96)</f>
        <v/>
      </c>
      <c r="C96" s="4" t="str">
        <f>IF($A96="","",'Araç Tanımlama'!E96)</f>
        <v/>
      </c>
      <c r="D96" s="4" t="str">
        <f>IF($A96="","",'Araç Tanımlama'!F96)</f>
        <v/>
      </c>
      <c r="E96" s="4" t="str">
        <f>IF($A96="","",SUMIFS('Yakıt Alım Kayıt'!$G$5:$G$1500,'Yakıt Alım Kayıt'!$D$5:$D$1500,$A96))</f>
        <v/>
      </c>
      <c r="F96" s="9" t="str">
        <f>IF($A96="","",SUMIFS('Yakıt Alım Kayıt'!$I$5:$I$1500,'Yakıt Alım Kayıt'!$D$5:$D$1500,$A96))</f>
        <v/>
      </c>
      <c r="G96" s="4" t="str">
        <f>IF($A96="","",IFERROR(_xludf.maxifs('Yakıt Alım Kayıt'!$J$5:$J$1500,'Yakıt Alım Kayıt'!$D$5:$D$1500,$A96)-_xludf.minifs('Yakıt Alım Kayıt'!$J$5:$J$1500,'Yakıt Alım Kayıt'!$D$5:$D$1500,$A96),0))</f>
        <v/>
      </c>
      <c r="H96" s="10" t="str">
        <f>IF(OR($A96="",$G96=0,$G96=""),"",IF($D96="Kilometre (km)",$E96/($G96/100),$E96/$G96))</f>
        <v/>
      </c>
      <c r="I96" s="10" t="str">
        <f>IF($A96="","",'Araç Tanımlama'!G96)</f>
        <v/>
      </c>
      <c r="J96" s="4" t="str">
        <f>IF(OR($A96="",$H96="",$I96=""),"",IF($H96&gt;$I96*1.15,"YÜKSEK",IF($H96&gt;$I96*1.05,"DİKKAT","NORMAL")))</f>
        <v/>
      </c>
    </row>
    <row r="97" spans="1:10">
      <c r="A97" s="6" t="str">
        <f>IF('Araç Tanımlama'!A97="","",'Araç Tanımlama'!A97)</f>
        <v/>
      </c>
      <c r="B97" s="4" t="str">
        <f>IF($A97="","",'Araç Tanımlama'!D97)</f>
        <v/>
      </c>
      <c r="C97" s="4" t="str">
        <f>IF($A97="","",'Araç Tanımlama'!E97)</f>
        <v/>
      </c>
      <c r="D97" s="4" t="str">
        <f>IF($A97="","",'Araç Tanımlama'!F97)</f>
        <v/>
      </c>
      <c r="E97" s="4" t="str">
        <f>IF($A97="","",SUMIFS('Yakıt Alım Kayıt'!$G$5:$G$1500,'Yakıt Alım Kayıt'!$D$5:$D$1500,$A97))</f>
        <v/>
      </c>
      <c r="F97" s="9" t="str">
        <f>IF($A97="","",SUMIFS('Yakıt Alım Kayıt'!$I$5:$I$1500,'Yakıt Alım Kayıt'!$D$5:$D$1500,$A97))</f>
        <v/>
      </c>
      <c r="G97" s="4" t="str">
        <f>IF($A97="","",IFERROR(_xludf.maxifs('Yakıt Alım Kayıt'!$J$5:$J$1500,'Yakıt Alım Kayıt'!$D$5:$D$1500,$A97)-_xludf.minifs('Yakıt Alım Kayıt'!$J$5:$J$1500,'Yakıt Alım Kayıt'!$D$5:$D$1500,$A97),0))</f>
        <v/>
      </c>
      <c r="H97" s="10" t="str">
        <f>IF(OR($A97="",$G97=0,$G97=""),"",IF($D97="Kilometre (km)",$E97/($G97/100),$E97/$G97))</f>
        <v/>
      </c>
      <c r="I97" s="10" t="str">
        <f>IF($A97="","",'Araç Tanımlama'!G97)</f>
        <v/>
      </c>
      <c r="J97" s="4" t="str">
        <f>IF(OR($A97="",$H97="",$I97=""),"",IF($H97&gt;$I97*1.15,"YÜKSEK",IF($H97&gt;$I97*1.05,"DİKKAT","NORMAL")))</f>
        <v/>
      </c>
    </row>
    <row r="98" spans="1:10">
      <c r="A98" s="6" t="str">
        <f>IF('Araç Tanımlama'!A98="","",'Araç Tanımlama'!A98)</f>
        <v/>
      </c>
      <c r="B98" s="4" t="str">
        <f>IF($A98="","",'Araç Tanımlama'!D98)</f>
        <v/>
      </c>
      <c r="C98" s="4" t="str">
        <f>IF($A98="","",'Araç Tanımlama'!E98)</f>
        <v/>
      </c>
      <c r="D98" s="4" t="str">
        <f>IF($A98="","",'Araç Tanımlama'!F98)</f>
        <v/>
      </c>
      <c r="E98" s="4" t="str">
        <f>IF($A98="","",SUMIFS('Yakıt Alım Kayıt'!$G$5:$G$1500,'Yakıt Alım Kayıt'!$D$5:$D$1500,$A98))</f>
        <v/>
      </c>
      <c r="F98" s="9" t="str">
        <f>IF($A98="","",SUMIFS('Yakıt Alım Kayıt'!$I$5:$I$1500,'Yakıt Alım Kayıt'!$D$5:$D$1500,$A98))</f>
        <v/>
      </c>
      <c r="G98" s="4" t="str">
        <f>IF($A98="","",IFERROR(_xludf.maxifs('Yakıt Alım Kayıt'!$J$5:$J$1500,'Yakıt Alım Kayıt'!$D$5:$D$1500,$A98)-_xludf.minifs('Yakıt Alım Kayıt'!$J$5:$J$1500,'Yakıt Alım Kayıt'!$D$5:$D$1500,$A98),0))</f>
        <v/>
      </c>
      <c r="H98" s="10" t="str">
        <f>IF(OR($A98="",$G98=0,$G98=""),"",IF($D98="Kilometre (km)",$E98/($G98/100),$E98/$G98))</f>
        <v/>
      </c>
      <c r="I98" s="10" t="str">
        <f>IF($A98="","",'Araç Tanımlama'!G98)</f>
        <v/>
      </c>
      <c r="J98" s="4" t="str">
        <f>IF(OR($A98="",$H98="",$I98=""),"",IF($H98&gt;$I98*1.15,"YÜKSEK",IF($H98&gt;$I98*1.05,"DİKKAT","NORMAL")))</f>
        <v/>
      </c>
    </row>
    <row r="99" spans="1:10">
      <c r="A99" s="6" t="str">
        <f>IF('Araç Tanımlama'!A99="","",'Araç Tanımlama'!A99)</f>
        <v/>
      </c>
      <c r="B99" s="4" t="str">
        <f>IF($A99="","",'Araç Tanımlama'!D99)</f>
        <v/>
      </c>
      <c r="C99" s="4" t="str">
        <f>IF($A99="","",'Araç Tanımlama'!E99)</f>
        <v/>
      </c>
      <c r="D99" s="4" t="str">
        <f>IF($A99="","",'Araç Tanımlama'!F99)</f>
        <v/>
      </c>
      <c r="E99" s="4" t="str">
        <f>IF($A99="","",SUMIFS('Yakıt Alım Kayıt'!$G$5:$G$1500,'Yakıt Alım Kayıt'!$D$5:$D$1500,$A99))</f>
        <v/>
      </c>
      <c r="F99" s="9" t="str">
        <f>IF($A99="","",SUMIFS('Yakıt Alım Kayıt'!$I$5:$I$1500,'Yakıt Alım Kayıt'!$D$5:$D$1500,$A99))</f>
        <v/>
      </c>
      <c r="G99" s="4" t="str">
        <f>IF($A99="","",IFERROR(_xludf.maxifs('Yakıt Alım Kayıt'!$J$5:$J$1500,'Yakıt Alım Kayıt'!$D$5:$D$1500,$A99)-_xludf.minifs('Yakıt Alım Kayıt'!$J$5:$J$1500,'Yakıt Alım Kayıt'!$D$5:$D$1500,$A99),0))</f>
        <v/>
      </c>
      <c r="H99" s="10" t="str">
        <f>IF(OR($A99="",$G99=0,$G99=""),"",IF($D99="Kilometre (km)",$E99/($G99/100),$E99/$G99))</f>
        <v/>
      </c>
      <c r="I99" s="10" t="str">
        <f>IF($A99="","",'Araç Tanımlama'!G99)</f>
        <v/>
      </c>
      <c r="J99" s="4" t="str">
        <f>IF(OR($A99="",$H99="",$I99=""),"",IF($H99&gt;$I99*1.15,"YÜKSEK",IF($H99&gt;$I99*1.05,"DİKKAT","NORMAL")))</f>
        <v/>
      </c>
    </row>
    <row r="100" spans="1:10">
      <c r="A100" s="6" t="str">
        <f>IF('Araç Tanımlama'!A100="","",'Araç Tanımlama'!A100)</f>
        <v/>
      </c>
      <c r="B100" s="4" t="str">
        <f>IF($A100="","",'Araç Tanımlama'!D100)</f>
        <v/>
      </c>
      <c r="C100" s="4" t="str">
        <f>IF($A100="","",'Araç Tanımlama'!E100)</f>
        <v/>
      </c>
      <c r="D100" s="4" t="str">
        <f>IF($A100="","",'Araç Tanımlama'!F100)</f>
        <v/>
      </c>
      <c r="E100" s="4" t="str">
        <f>IF($A100="","",SUMIFS('Yakıt Alım Kayıt'!$G$5:$G$1500,'Yakıt Alım Kayıt'!$D$5:$D$1500,$A100))</f>
        <v/>
      </c>
      <c r="F100" s="9" t="str">
        <f>IF($A100="","",SUMIFS('Yakıt Alım Kayıt'!$I$5:$I$1500,'Yakıt Alım Kayıt'!$D$5:$D$1500,$A100))</f>
        <v/>
      </c>
      <c r="G100" s="4" t="str">
        <f>IF($A100="","",IFERROR(_xludf.maxifs('Yakıt Alım Kayıt'!$J$5:$J$1500,'Yakıt Alım Kayıt'!$D$5:$D$1500,$A100)-_xludf.minifs('Yakıt Alım Kayıt'!$J$5:$J$1500,'Yakıt Alım Kayıt'!$D$5:$D$1500,$A100),0))</f>
        <v/>
      </c>
      <c r="H100" s="10" t="str">
        <f>IF(OR($A100="",$G100=0,$G100=""),"",IF($D100="Kilometre (km)",$E100/($G100/100),$E100/$G100))</f>
        <v/>
      </c>
      <c r="I100" s="10" t="str">
        <f>IF($A100="","",'Araç Tanımlama'!G100)</f>
        <v/>
      </c>
      <c r="J100" s="4" t="str">
        <f>IF(OR($A100="",$H100="",$I100=""),"",IF($H100&gt;$I100*1.15,"YÜKSEK",IF($H100&gt;$I100*1.05,"DİKKAT","NORMAL")))</f>
        <v/>
      </c>
    </row>
    <row r="101" spans="1:10">
      <c r="A101" s="6" t="str">
        <f>IF('Araç Tanımlama'!A101="","",'Araç Tanımlama'!A101)</f>
        <v/>
      </c>
      <c r="B101" s="4" t="str">
        <f>IF($A101="","",'Araç Tanımlama'!D101)</f>
        <v/>
      </c>
      <c r="C101" s="4" t="str">
        <f>IF($A101="","",'Araç Tanımlama'!E101)</f>
        <v/>
      </c>
      <c r="D101" s="4" t="str">
        <f>IF($A101="","",'Araç Tanımlama'!F101)</f>
        <v/>
      </c>
      <c r="E101" s="4" t="str">
        <f>IF($A101="","",SUMIFS('Yakıt Alım Kayıt'!$G$5:$G$1500,'Yakıt Alım Kayıt'!$D$5:$D$1500,$A101))</f>
        <v/>
      </c>
      <c r="F101" s="9" t="str">
        <f>IF($A101="","",SUMIFS('Yakıt Alım Kayıt'!$I$5:$I$1500,'Yakıt Alım Kayıt'!$D$5:$D$1500,$A101))</f>
        <v/>
      </c>
      <c r="G101" s="4" t="str">
        <f>IF($A101="","",IFERROR(_xludf.maxifs('Yakıt Alım Kayıt'!$J$5:$J$1500,'Yakıt Alım Kayıt'!$D$5:$D$1500,$A101)-_xludf.minifs('Yakıt Alım Kayıt'!$J$5:$J$1500,'Yakıt Alım Kayıt'!$D$5:$D$1500,$A101),0))</f>
        <v/>
      </c>
      <c r="H101" s="10" t="str">
        <f>IF(OR($A101="",$G101=0,$G101=""),"",IF($D101="Kilometre (km)",$E101/($G101/100),$E101/$G101))</f>
        <v/>
      </c>
      <c r="I101" s="10" t="str">
        <f>IF($A101="","",'Araç Tanımlama'!G101)</f>
        <v/>
      </c>
      <c r="J101" s="4" t="str">
        <f>IF(OR($A101="",$H101="",$I101=""),"",IF($H101&gt;$I101*1.15,"YÜKSEK",IF($H101&gt;$I101*1.05,"DİKKAT","NORMAL")))</f>
        <v/>
      </c>
    </row>
    <row r="102" spans="1:10">
      <c r="A102" s="6" t="str">
        <f>IF('Araç Tanımlama'!A102="","",'Araç Tanımlama'!A102)</f>
        <v/>
      </c>
      <c r="B102" s="4" t="str">
        <f>IF($A102="","",'Araç Tanımlama'!D102)</f>
        <v/>
      </c>
      <c r="C102" s="4" t="str">
        <f>IF($A102="","",'Araç Tanımlama'!E102)</f>
        <v/>
      </c>
      <c r="D102" s="4" t="str">
        <f>IF($A102="","",'Araç Tanımlama'!F102)</f>
        <v/>
      </c>
      <c r="E102" s="4" t="str">
        <f>IF($A102="","",SUMIFS('Yakıt Alım Kayıt'!$G$5:$G$1500,'Yakıt Alım Kayıt'!$D$5:$D$1500,$A102))</f>
        <v/>
      </c>
      <c r="F102" s="9" t="str">
        <f>IF($A102="","",SUMIFS('Yakıt Alım Kayıt'!$I$5:$I$1500,'Yakıt Alım Kayıt'!$D$5:$D$1500,$A102))</f>
        <v/>
      </c>
      <c r="G102" s="4" t="str">
        <f>IF($A102="","",IFERROR(_xludf.maxifs('Yakıt Alım Kayıt'!$J$5:$J$1500,'Yakıt Alım Kayıt'!$D$5:$D$1500,$A102)-_xludf.minifs('Yakıt Alım Kayıt'!$J$5:$J$1500,'Yakıt Alım Kayıt'!$D$5:$D$1500,$A102),0))</f>
        <v/>
      </c>
      <c r="H102" s="10" t="str">
        <f>IF(OR($A102="",$G102=0,$G102=""),"",IF($D102="Kilometre (km)",$E102/($G102/100),$E102/$G102))</f>
        <v/>
      </c>
      <c r="I102" s="10" t="str">
        <f>IF($A102="","",'Araç Tanımlama'!G102)</f>
        <v/>
      </c>
      <c r="J102" s="4" t="str">
        <f>IF(OR($A102="",$H102="",$I102=""),"",IF($H102&gt;$I102*1.15,"YÜKSEK",IF($H102&gt;$I102*1.05,"DİKKAT","NORMAL")))</f>
        <v/>
      </c>
    </row>
    <row r="103" spans="1:10">
      <c r="A103" s="6" t="str">
        <f>IF('Araç Tanımlama'!A103="","",'Araç Tanımlama'!A103)</f>
        <v/>
      </c>
      <c r="B103" s="4" t="str">
        <f>IF($A103="","",'Araç Tanımlama'!D103)</f>
        <v/>
      </c>
      <c r="C103" s="4" t="str">
        <f>IF($A103="","",'Araç Tanımlama'!E103)</f>
        <v/>
      </c>
      <c r="D103" s="4" t="str">
        <f>IF($A103="","",'Araç Tanımlama'!F103)</f>
        <v/>
      </c>
      <c r="E103" s="4" t="str">
        <f>IF($A103="","",SUMIFS('Yakıt Alım Kayıt'!$G$5:$G$1500,'Yakıt Alım Kayıt'!$D$5:$D$1500,$A103))</f>
        <v/>
      </c>
      <c r="F103" s="9" t="str">
        <f>IF($A103="","",SUMIFS('Yakıt Alım Kayıt'!$I$5:$I$1500,'Yakıt Alım Kayıt'!$D$5:$D$1500,$A103))</f>
        <v/>
      </c>
      <c r="G103" s="4" t="str">
        <f>IF($A103="","",IFERROR(_xludf.maxifs('Yakıt Alım Kayıt'!$J$5:$J$1500,'Yakıt Alım Kayıt'!$D$5:$D$1500,$A103)-_xludf.minifs('Yakıt Alım Kayıt'!$J$5:$J$1500,'Yakıt Alım Kayıt'!$D$5:$D$1500,$A103),0))</f>
        <v/>
      </c>
      <c r="H103" s="10" t="str">
        <f>IF(OR($A103="",$G103=0,$G103=""),"",IF($D103="Kilometre (km)",$E103/($G103/100),$E103/$G103))</f>
        <v/>
      </c>
      <c r="I103" s="10" t="str">
        <f>IF($A103="","",'Araç Tanımlama'!G103)</f>
        <v/>
      </c>
      <c r="J103" s="4" t="str">
        <f>IF(OR($A103="",$H103="",$I103=""),"",IF($H103&gt;$I103*1.15,"YÜKSEK",IF($H103&gt;$I103*1.05,"DİKKAT","NORMAL")))</f>
        <v/>
      </c>
    </row>
    <row r="104" spans="1:10">
      <c r="A104" s="6" t="str">
        <f>IF('Araç Tanımlama'!A104="","",'Araç Tanımlama'!A104)</f>
        <v/>
      </c>
      <c r="B104" s="4" t="str">
        <f>IF($A104="","",'Araç Tanımlama'!D104)</f>
        <v/>
      </c>
      <c r="C104" s="4" t="str">
        <f>IF($A104="","",'Araç Tanımlama'!E104)</f>
        <v/>
      </c>
      <c r="D104" s="4" t="str">
        <f>IF($A104="","",'Araç Tanımlama'!F104)</f>
        <v/>
      </c>
      <c r="E104" s="4" t="str">
        <f>IF($A104="","",SUMIFS('Yakıt Alım Kayıt'!$G$5:$G$1500,'Yakıt Alım Kayıt'!$D$5:$D$1500,$A104))</f>
        <v/>
      </c>
      <c r="F104" s="9" t="str">
        <f>IF($A104="","",SUMIFS('Yakıt Alım Kayıt'!$I$5:$I$1500,'Yakıt Alım Kayıt'!$D$5:$D$1500,$A104))</f>
        <v/>
      </c>
      <c r="G104" s="4" t="str">
        <f>IF($A104="","",IFERROR(_xludf.maxifs('Yakıt Alım Kayıt'!$J$5:$J$1500,'Yakıt Alım Kayıt'!$D$5:$D$1500,$A104)-_xludf.minifs('Yakıt Alım Kayıt'!$J$5:$J$1500,'Yakıt Alım Kayıt'!$D$5:$D$1500,$A104),0))</f>
        <v/>
      </c>
      <c r="H104" s="10" t="str">
        <f>IF(OR($A104="",$G104=0,$G104=""),"",IF($D104="Kilometre (km)",$E104/($G104/100),$E104/$G104))</f>
        <v/>
      </c>
      <c r="I104" s="10" t="str">
        <f>IF($A104="","",'Araç Tanımlama'!G104)</f>
        <v/>
      </c>
      <c r="J104" s="4" t="str">
        <f>IF(OR($A104="",$H104="",$I104=""),"",IF($H104&gt;$I104*1.15,"YÜKSEK",IF($H104&gt;$I104*1.05,"DİKKAT","NORMAL")))</f>
        <v/>
      </c>
    </row>
    <row r="105" spans="1:10">
      <c r="A105" s="6" t="str">
        <f>IF('Araç Tanımlama'!A105="","",'Araç Tanımlama'!A105)</f>
        <v/>
      </c>
      <c r="B105" s="4" t="str">
        <f>IF($A105="","",'Araç Tanımlama'!D105)</f>
        <v/>
      </c>
      <c r="C105" s="4" t="str">
        <f>IF($A105="","",'Araç Tanımlama'!E105)</f>
        <v/>
      </c>
      <c r="D105" s="4" t="str">
        <f>IF($A105="","",'Araç Tanımlama'!F105)</f>
        <v/>
      </c>
      <c r="E105" s="4" t="str">
        <f>IF($A105="","",SUMIFS('Yakıt Alım Kayıt'!$G$5:$G$1500,'Yakıt Alım Kayıt'!$D$5:$D$1500,$A105))</f>
        <v/>
      </c>
      <c r="F105" s="9" t="str">
        <f>IF($A105="","",SUMIFS('Yakıt Alım Kayıt'!$I$5:$I$1500,'Yakıt Alım Kayıt'!$D$5:$D$1500,$A105))</f>
        <v/>
      </c>
      <c r="G105" s="4" t="str">
        <f>IF($A105="","",IFERROR(_xludf.maxifs('Yakıt Alım Kayıt'!$J$5:$J$1500,'Yakıt Alım Kayıt'!$D$5:$D$1500,$A105)-_xludf.minifs('Yakıt Alım Kayıt'!$J$5:$J$1500,'Yakıt Alım Kayıt'!$D$5:$D$1500,$A105),0))</f>
        <v/>
      </c>
      <c r="H105" s="10" t="str">
        <f>IF(OR($A105="",$G105=0,$G105=""),"",IF($D105="Kilometre (km)",$E105/($G105/100),$E105/$G105))</f>
        <v/>
      </c>
      <c r="I105" s="10" t="str">
        <f>IF($A105="","",'Araç Tanımlama'!G105)</f>
        <v/>
      </c>
      <c r="J105" s="4" t="str">
        <f>IF(OR($A105="",$H105="",$I105=""),"",IF($H105&gt;$I105*1.15,"YÜKSEK",IF($H105&gt;$I105*1.05,"DİKKAT","NORMAL")))</f>
        <v/>
      </c>
    </row>
    <row r="106" spans="1:10">
      <c r="A106" s="6" t="str">
        <f>IF('Araç Tanımlama'!A106="","",'Araç Tanımlama'!A106)</f>
        <v/>
      </c>
      <c r="B106" s="4" t="str">
        <f>IF($A106="","",'Araç Tanımlama'!D106)</f>
        <v/>
      </c>
      <c r="C106" s="4" t="str">
        <f>IF($A106="","",'Araç Tanımlama'!E106)</f>
        <v/>
      </c>
      <c r="D106" s="4" t="str">
        <f>IF($A106="","",'Araç Tanımlama'!F106)</f>
        <v/>
      </c>
      <c r="E106" s="4" t="str">
        <f>IF($A106="","",SUMIFS('Yakıt Alım Kayıt'!$G$5:$G$1500,'Yakıt Alım Kayıt'!$D$5:$D$1500,$A106))</f>
        <v/>
      </c>
      <c r="F106" s="9" t="str">
        <f>IF($A106="","",SUMIFS('Yakıt Alım Kayıt'!$I$5:$I$1500,'Yakıt Alım Kayıt'!$D$5:$D$1500,$A106))</f>
        <v/>
      </c>
      <c r="G106" s="4" t="str">
        <f>IF($A106="","",IFERROR(_xludf.maxifs('Yakıt Alım Kayıt'!$J$5:$J$1500,'Yakıt Alım Kayıt'!$D$5:$D$1500,$A106)-_xludf.minifs('Yakıt Alım Kayıt'!$J$5:$J$1500,'Yakıt Alım Kayıt'!$D$5:$D$1500,$A106),0))</f>
        <v/>
      </c>
      <c r="H106" s="10" t="str">
        <f>IF(OR($A106="",$G106=0,$G106=""),"",IF($D106="Kilometre (km)",$E106/($G106/100),$E106/$G106))</f>
        <v/>
      </c>
      <c r="I106" s="10" t="str">
        <f>IF($A106="","",'Araç Tanımlama'!G106)</f>
        <v/>
      </c>
      <c r="J106" s="4" t="str">
        <f>IF(OR($A106="",$H106="",$I106=""),"",IF($H106&gt;$I106*1.15,"YÜKSEK",IF($H106&gt;$I106*1.05,"DİKKAT","NORMAL")))</f>
        <v/>
      </c>
    </row>
    <row r="107" spans="1:10">
      <c r="A107" s="6" t="str">
        <f>IF('Araç Tanımlama'!A107="","",'Araç Tanımlama'!A107)</f>
        <v/>
      </c>
      <c r="B107" s="4" t="str">
        <f>IF($A107="","",'Araç Tanımlama'!D107)</f>
        <v/>
      </c>
      <c r="C107" s="4" t="str">
        <f>IF($A107="","",'Araç Tanımlama'!E107)</f>
        <v/>
      </c>
      <c r="D107" s="4" t="str">
        <f>IF($A107="","",'Araç Tanımlama'!F107)</f>
        <v/>
      </c>
      <c r="E107" s="4" t="str">
        <f>IF($A107="","",SUMIFS('Yakıt Alım Kayıt'!$G$5:$G$1500,'Yakıt Alım Kayıt'!$D$5:$D$1500,$A107))</f>
        <v/>
      </c>
      <c r="F107" s="9" t="str">
        <f>IF($A107="","",SUMIFS('Yakıt Alım Kayıt'!$I$5:$I$1500,'Yakıt Alım Kayıt'!$D$5:$D$1500,$A107))</f>
        <v/>
      </c>
      <c r="G107" s="4" t="str">
        <f>IF($A107="","",IFERROR(_xludf.maxifs('Yakıt Alım Kayıt'!$J$5:$J$1500,'Yakıt Alım Kayıt'!$D$5:$D$1500,$A107)-_xludf.minifs('Yakıt Alım Kayıt'!$J$5:$J$1500,'Yakıt Alım Kayıt'!$D$5:$D$1500,$A107),0))</f>
        <v/>
      </c>
      <c r="H107" s="10" t="str">
        <f>IF(OR($A107="",$G107=0,$G107=""),"",IF($D107="Kilometre (km)",$E107/($G107/100),$E107/$G107))</f>
        <v/>
      </c>
      <c r="I107" s="10" t="str">
        <f>IF($A107="","",'Araç Tanımlama'!G107)</f>
        <v/>
      </c>
      <c r="J107" s="4" t="str">
        <f>IF(OR($A107="",$H107="",$I107=""),"",IF($H107&gt;$I107*1.15,"YÜKSEK",IF($H107&gt;$I107*1.05,"DİKKAT","NORMAL")))</f>
        <v/>
      </c>
    </row>
    <row r="108" spans="1:10">
      <c r="A108" s="6" t="str">
        <f>IF('Araç Tanımlama'!A108="","",'Araç Tanımlama'!A108)</f>
        <v/>
      </c>
      <c r="B108" s="4" t="str">
        <f>IF($A108="","",'Araç Tanımlama'!D108)</f>
        <v/>
      </c>
      <c r="C108" s="4" t="str">
        <f>IF($A108="","",'Araç Tanımlama'!E108)</f>
        <v/>
      </c>
      <c r="D108" s="4" t="str">
        <f>IF($A108="","",'Araç Tanımlama'!F108)</f>
        <v/>
      </c>
      <c r="E108" s="4" t="str">
        <f>IF($A108="","",SUMIFS('Yakıt Alım Kayıt'!$G$5:$G$1500,'Yakıt Alım Kayıt'!$D$5:$D$1500,$A108))</f>
        <v/>
      </c>
      <c r="F108" s="9" t="str">
        <f>IF($A108="","",SUMIFS('Yakıt Alım Kayıt'!$I$5:$I$1500,'Yakıt Alım Kayıt'!$D$5:$D$1500,$A108))</f>
        <v/>
      </c>
      <c r="G108" s="4" t="str">
        <f>IF($A108="","",IFERROR(_xludf.maxifs('Yakıt Alım Kayıt'!$J$5:$J$1500,'Yakıt Alım Kayıt'!$D$5:$D$1500,$A108)-_xludf.minifs('Yakıt Alım Kayıt'!$J$5:$J$1500,'Yakıt Alım Kayıt'!$D$5:$D$1500,$A108),0))</f>
        <v/>
      </c>
      <c r="H108" s="10" t="str">
        <f>IF(OR($A108="",$G108=0,$G108=""),"",IF($D108="Kilometre (km)",$E108/($G108/100),$E108/$G108))</f>
        <v/>
      </c>
      <c r="I108" s="10" t="str">
        <f>IF($A108="","",'Araç Tanımlama'!G108)</f>
        <v/>
      </c>
      <c r="J108" s="4" t="str">
        <f>IF(OR($A108="",$H108="",$I108=""),"",IF($H108&gt;$I108*1.15,"YÜKSEK",IF($H108&gt;$I108*1.05,"DİKKAT","NORMAL")))</f>
        <v/>
      </c>
    </row>
    <row r="109" spans="1:10">
      <c r="A109" s="6" t="str">
        <f>IF('Araç Tanımlama'!A109="","",'Araç Tanımlama'!A109)</f>
        <v/>
      </c>
      <c r="B109" s="4" t="str">
        <f>IF($A109="","",'Araç Tanımlama'!D109)</f>
        <v/>
      </c>
      <c r="C109" s="4" t="str">
        <f>IF($A109="","",'Araç Tanımlama'!E109)</f>
        <v/>
      </c>
      <c r="D109" s="4" t="str">
        <f>IF($A109="","",'Araç Tanımlama'!F109)</f>
        <v/>
      </c>
      <c r="E109" s="4" t="str">
        <f>IF($A109="","",SUMIFS('Yakıt Alım Kayıt'!$G$5:$G$1500,'Yakıt Alım Kayıt'!$D$5:$D$1500,$A109))</f>
        <v/>
      </c>
      <c r="F109" s="9" t="str">
        <f>IF($A109="","",SUMIFS('Yakıt Alım Kayıt'!$I$5:$I$1500,'Yakıt Alım Kayıt'!$D$5:$D$1500,$A109))</f>
        <v/>
      </c>
      <c r="G109" s="4" t="str">
        <f>IF($A109="","",IFERROR(_xludf.maxifs('Yakıt Alım Kayıt'!$J$5:$J$1500,'Yakıt Alım Kayıt'!$D$5:$D$1500,$A109)-_xludf.minifs('Yakıt Alım Kayıt'!$J$5:$J$1500,'Yakıt Alım Kayıt'!$D$5:$D$1500,$A109),0))</f>
        <v/>
      </c>
      <c r="H109" s="10" t="str">
        <f>IF(OR($A109="",$G109=0,$G109=""),"",IF($D109="Kilometre (km)",$E109/($G109/100),$E109/$G109))</f>
        <v/>
      </c>
      <c r="I109" s="10" t="str">
        <f>IF($A109="","",'Araç Tanımlama'!G109)</f>
        <v/>
      </c>
      <c r="J109" s="4" t="str">
        <f>IF(OR($A109="",$H109="",$I109=""),"",IF($H109&gt;$I109*1.15,"YÜKSEK",IF($H109&gt;$I109*1.05,"DİKKAT","NORMAL")))</f>
        <v/>
      </c>
    </row>
    <row r="110" spans="1:10">
      <c r="A110" s="6" t="str">
        <f>IF('Araç Tanımlama'!A110="","",'Araç Tanımlama'!A110)</f>
        <v/>
      </c>
      <c r="B110" s="4" t="str">
        <f>IF($A110="","",'Araç Tanımlama'!D110)</f>
        <v/>
      </c>
      <c r="C110" s="4" t="str">
        <f>IF($A110="","",'Araç Tanımlama'!E110)</f>
        <v/>
      </c>
      <c r="D110" s="4" t="str">
        <f>IF($A110="","",'Araç Tanımlama'!F110)</f>
        <v/>
      </c>
      <c r="E110" s="4" t="str">
        <f>IF($A110="","",SUMIFS('Yakıt Alım Kayıt'!$G$5:$G$1500,'Yakıt Alım Kayıt'!$D$5:$D$1500,$A110))</f>
        <v/>
      </c>
      <c r="F110" s="9" t="str">
        <f>IF($A110="","",SUMIFS('Yakıt Alım Kayıt'!$I$5:$I$1500,'Yakıt Alım Kayıt'!$D$5:$D$1500,$A110))</f>
        <v/>
      </c>
      <c r="G110" s="4" t="str">
        <f>IF($A110="","",IFERROR(_xludf.maxifs('Yakıt Alım Kayıt'!$J$5:$J$1500,'Yakıt Alım Kayıt'!$D$5:$D$1500,$A110)-_xludf.minifs('Yakıt Alım Kayıt'!$J$5:$J$1500,'Yakıt Alım Kayıt'!$D$5:$D$1500,$A110),0))</f>
        <v/>
      </c>
      <c r="H110" s="10" t="str">
        <f>IF(OR($A110="",$G110=0,$G110=""),"",IF($D110="Kilometre (km)",$E110/($G110/100),$E110/$G110))</f>
        <v/>
      </c>
      <c r="I110" s="10" t="str">
        <f>IF($A110="","",'Araç Tanımlama'!G110)</f>
        <v/>
      </c>
      <c r="J110" s="4" t="str">
        <f>IF(OR($A110="",$H110="",$I110=""),"",IF($H110&gt;$I110*1.15,"YÜKSEK",IF($H110&gt;$I110*1.05,"DİKKAT","NORMAL")))</f>
        <v/>
      </c>
    </row>
    <row r="111" spans="1:10">
      <c r="A111" s="6" t="str">
        <f>IF('Araç Tanımlama'!A111="","",'Araç Tanımlama'!A111)</f>
        <v/>
      </c>
      <c r="B111" s="4" t="str">
        <f>IF($A111="","",'Araç Tanımlama'!D111)</f>
        <v/>
      </c>
      <c r="C111" s="4" t="str">
        <f>IF($A111="","",'Araç Tanımlama'!E111)</f>
        <v/>
      </c>
      <c r="D111" s="4" t="str">
        <f>IF($A111="","",'Araç Tanımlama'!F111)</f>
        <v/>
      </c>
      <c r="E111" s="4" t="str">
        <f>IF($A111="","",SUMIFS('Yakıt Alım Kayıt'!$G$5:$G$1500,'Yakıt Alım Kayıt'!$D$5:$D$1500,$A111))</f>
        <v/>
      </c>
      <c r="F111" s="9" t="str">
        <f>IF($A111="","",SUMIFS('Yakıt Alım Kayıt'!$I$5:$I$1500,'Yakıt Alım Kayıt'!$D$5:$D$1500,$A111))</f>
        <v/>
      </c>
      <c r="G111" s="4" t="str">
        <f>IF($A111="","",IFERROR(_xludf.maxifs('Yakıt Alım Kayıt'!$J$5:$J$1500,'Yakıt Alım Kayıt'!$D$5:$D$1500,$A111)-_xludf.minifs('Yakıt Alım Kayıt'!$J$5:$J$1500,'Yakıt Alım Kayıt'!$D$5:$D$1500,$A111),0))</f>
        <v/>
      </c>
      <c r="H111" s="10" t="str">
        <f>IF(OR($A111="",$G111=0,$G111=""),"",IF($D111="Kilometre (km)",$E111/($G111/100),$E111/$G111))</f>
        <v/>
      </c>
      <c r="I111" s="10" t="str">
        <f>IF($A111="","",'Araç Tanımlama'!G111)</f>
        <v/>
      </c>
      <c r="J111" s="4" t="str">
        <f>IF(OR($A111="",$H111="",$I111=""),"",IF($H111&gt;$I111*1.15,"YÜKSEK",IF($H111&gt;$I111*1.05,"DİKKAT","NORMAL")))</f>
        <v/>
      </c>
    </row>
    <row r="112" spans="1:10">
      <c r="A112" s="6" t="str">
        <f>IF('Araç Tanımlama'!A112="","",'Araç Tanımlama'!A112)</f>
        <v/>
      </c>
      <c r="B112" s="4" t="str">
        <f>IF($A112="","",'Araç Tanımlama'!D112)</f>
        <v/>
      </c>
      <c r="C112" s="4" t="str">
        <f>IF($A112="","",'Araç Tanımlama'!E112)</f>
        <v/>
      </c>
      <c r="D112" s="4" t="str">
        <f>IF($A112="","",'Araç Tanımlama'!F112)</f>
        <v/>
      </c>
      <c r="E112" s="4" t="str">
        <f>IF($A112="","",SUMIFS('Yakıt Alım Kayıt'!$G$5:$G$1500,'Yakıt Alım Kayıt'!$D$5:$D$1500,$A112))</f>
        <v/>
      </c>
      <c r="F112" s="9" t="str">
        <f>IF($A112="","",SUMIFS('Yakıt Alım Kayıt'!$I$5:$I$1500,'Yakıt Alım Kayıt'!$D$5:$D$1500,$A112))</f>
        <v/>
      </c>
      <c r="G112" s="4" t="str">
        <f>IF($A112="","",IFERROR(_xludf.maxifs('Yakıt Alım Kayıt'!$J$5:$J$1500,'Yakıt Alım Kayıt'!$D$5:$D$1500,$A112)-_xludf.minifs('Yakıt Alım Kayıt'!$J$5:$J$1500,'Yakıt Alım Kayıt'!$D$5:$D$1500,$A112),0))</f>
        <v/>
      </c>
      <c r="H112" s="10" t="str">
        <f>IF(OR($A112="",$G112=0,$G112=""),"",IF($D112="Kilometre (km)",$E112/($G112/100),$E112/$G112))</f>
        <v/>
      </c>
      <c r="I112" s="10" t="str">
        <f>IF($A112="","",'Araç Tanımlama'!G112)</f>
        <v/>
      </c>
      <c r="J112" s="4" t="str">
        <f>IF(OR($A112="",$H112="",$I112=""),"",IF($H112&gt;$I112*1.15,"YÜKSEK",IF($H112&gt;$I112*1.05,"DİKKAT","NORMAL")))</f>
        <v/>
      </c>
    </row>
    <row r="113" spans="1:10">
      <c r="A113" s="6" t="str">
        <f>IF('Araç Tanımlama'!A113="","",'Araç Tanımlama'!A113)</f>
        <v/>
      </c>
      <c r="B113" s="4" t="str">
        <f>IF($A113="","",'Araç Tanımlama'!D113)</f>
        <v/>
      </c>
      <c r="C113" s="4" t="str">
        <f>IF($A113="","",'Araç Tanımlama'!E113)</f>
        <v/>
      </c>
      <c r="D113" s="4" t="str">
        <f>IF($A113="","",'Araç Tanımlama'!F113)</f>
        <v/>
      </c>
      <c r="E113" s="4" t="str">
        <f>IF($A113="","",SUMIFS('Yakıt Alım Kayıt'!$G$5:$G$1500,'Yakıt Alım Kayıt'!$D$5:$D$1500,$A113))</f>
        <v/>
      </c>
      <c r="F113" s="9" t="str">
        <f>IF($A113="","",SUMIFS('Yakıt Alım Kayıt'!$I$5:$I$1500,'Yakıt Alım Kayıt'!$D$5:$D$1500,$A113))</f>
        <v/>
      </c>
      <c r="G113" s="4" t="str">
        <f>IF($A113="","",IFERROR(_xludf.maxifs('Yakıt Alım Kayıt'!$J$5:$J$1500,'Yakıt Alım Kayıt'!$D$5:$D$1500,$A113)-_xludf.minifs('Yakıt Alım Kayıt'!$J$5:$J$1500,'Yakıt Alım Kayıt'!$D$5:$D$1500,$A113),0))</f>
        <v/>
      </c>
      <c r="H113" s="10" t="str">
        <f>IF(OR($A113="",$G113=0,$G113=""),"",IF($D113="Kilometre (km)",$E113/($G113/100),$E113/$G113))</f>
        <v/>
      </c>
      <c r="I113" s="10" t="str">
        <f>IF($A113="","",'Araç Tanımlama'!G113)</f>
        <v/>
      </c>
      <c r="J113" s="4" t="str">
        <f>IF(OR($A113="",$H113="",$I113=""),"",IF($H113&gt;$I113*1.15,"YÜKSEK",IF($H113&gt;$I113*1.05,"DİKKAT","NORMAL")))</f>
        <v/>
      </c>
    </row>
    <row r="114" spans="1:10">
      <c r="A114" s="6" t="str">
        <f>IF('Araç Tanımlama'!A114="","",'Araç Tanımlama'!A114)</f>
        <v/>
      </c>
      <c r="B114" s="4" t="str">
        <f>IF($A114="","",'Araç Tanımlama'!D114)</f>
        <v/>
      </c>
      <c r="C114" s="4" t="str">
        <f>IF($A114="","",'Araç Tanımlama'!E114)</f>
        <v/>
      </c>
      <c r="D114" s="4" t="str">
        <f>IF($A114="","",'Araç Tanımlama'!F114)</f>
        <v/>
      </c>
      <c r="E114" s="4" t="str">
        <f>IF($A114="","",SUMIFS('Yakıt Alım Kayıt'!$G$5:$G$1500,'Yakıt Alım Kayıt'!$D$5:$D$1500,$A114))</f>
        <v/>
      </c>
      <c r="F114" s="9" t="str">
        <f>IF($A114="","",SUMIFS('Yakıt Alım Kayıt'!$I$5:$I$1500,'Yakıt Alım Kayıt'!$D$5:$D$1500,$A114))</f>
        <v/>
      </c>
      <c r="G114" s="4" t="str">
        <f>IF($A114="","",IFERROR(_xludf.maxifs('Yakıt Alım Kayıt'!$J$5:$J$1500,'Yakıt Alım Kayıt'!$D$5:$D$1500,$A114)-_xludf.minifs('Yakıt Alım Kayıt'!$J$5:$J$1500,'Yakıt Alım Kayıt'!$D$5:$D$1500,$A114),0))</f>
        <v/>
      </c>
      <c r="H114" s="10" t="str">
        <f>IF(OR($A114="",$G114=0,$G114=""),"",IF($D114="Kilometre (km)",$E114/($G114/100),$E114/$G114))</f>
        <v/>
      </c>
      <c r="I114" s="10" t="str">
        <f>IF($A114="","",'Araç Tanımlama'!G114)</f>
        <v/>
      </c>
      <c r="J114" s="4" t="str">
        <f>IF(OR($A114="",$H114="",$I114=""),"",IF($H114&gt;$I114*1.15,"YÜKSEK",IF($H114&gt;$I114*1.05,"DİKKAT","NORMAL")))</f>
        <v/>
      </c>
    </row>
    <row r="115" spans="1:10">
      <c r="A115" s="6" t="str">
        <f>IF('Araç Tanımlama'!A115="","",'Araç Tanımlama'!A115)</f>
        <v/>
      </c>
      <c r="B115" s="4" t="str">
        <f>IF($A115="","",'Araç Tanımlama'!D115)</f>
        <v/>
      </c>
      <c r="C115" s="4" t="str">
        <f>IF($A115="","",'Araç Tanımlama'!E115)</f>
        <v/>
      </c>
      <c r="D115" s="4" t="str">
        <f>IF($A115="","",'Araç Tanımlama'!F115)</f>
        <v/>
      </c>
      <c r="E115" s="4" t="str">
        <f>IF($A115="","",SUMIFS('Yakıt Alım Kayıt'!$G$5:$G$1500,'Yakıt Alım Kayıt'!$D$5:$D$1500,$A115))</f>
        <v/>
      </c>
      <c r="F115" s="9" t="str">
        <f>IF($A115="","",SUMIFS('Yakıt Alım Kayıt'!$I$5:$I$1500,'Yakıt Alım Kayıt'!$D$5:$D$1500,$A115))</f>
        <v/>
      </c>
      <c r="G115" s="4" t="str">
        <f>IF($A115="","",IFERROR(_xludf.maxifs('Yakıt Alım Kayıt'!$J$5:$J$1500,'Yakıt Alım Kayıt'!$D$5:$D$1500,$A115)-_xludf.minifs('Yakıt Alım Kayıt'!$J$5:$J$1500,'Yakıt Alım Kayıt'!$D$5:$D$1500,$A115),0))</f>
        <v/>
      </c>
      <c r="H115" s="10" t="str">
        <f>IF(OR($A115="",$G115=0,$G115=""),"",IF($D115="Kilometre (km)",$E115/($G115/100),$E115/$G115))</f>
        <v/>
      </c>
      <c r="I115" s="10" t="str">
        <f>IF($A115="","",'Araç Tanımlama'!G115)</f>
        <v/>
      </c>
      <c r="J115" s="4" t="str">
        <f>IF(OR($A115="",$H115="",$I115=""),"",IF($H115&gt;$I115*1.15,"YÜKSEK",IF($H115&gt;$I115*1.05,"DİKKAT","NORMAL")))</f>
        <v/>
      </c>
    </row>
    <row r="116" spans="1:10">
      <c r="A116" s="6" t="str">
        <f>IF('Araç Tanımlama'!A116="","",'Araç Tanımlama'!A116)</f>
        <v/>
      </c>
      <c r="B116" s="4" t="str">
        <f>IF($A116="","",'Araç Tanımlama'!D116)</f>
        <v/>
      </c>
      <c r="C116" s="4" t="str">
        <f>IF($A116="","",'Araç Tanımlama'!E116)</f>
        <v/>
      </c>
      <c r="D116" s="4" t="str">
        <f>IF($A116="","",'Araç Tanımlama'!F116)</f>
        <v/>
      </c>
      <c r="E116" s="4" t="str">
        <f>IF($A116="","",SUMIFS('Yakıt Alım Kayıt'!$G$5:$G$1500,'Yakıt Alım Kayıt'!$D$5:$D$1500,$A116))</f>
        <v/>
      </c>
      <c r="F116" s="9" t="str">
        <f>IF($A116="","",SUMIFS('Yakıt Alım Kayıt'!$I$5:$I$1500,'Yakıt Alım Kayıt'!$D$5:$D$1500,$A116))</f>
        <v/>
      </c>
      <c r="G116" s="4" t="str">
        <f>IF($A116="","",IFERROR(_xludf.maxifs('Yakıt Alım Kayıt'!$J$5:$J$1500,'Yakıt Alım Kayıt'!$D$5:$D$1500,$A116)-_xludf.minifs('Yakıt Alım Kayıt'!$J$5:$J$1500,'Yakıt Alım Kayıt'!$D$5:$D$1500,$A116),0))</f>
        <v/>
      </c>
      <c r="H116" s="10" t="str">
        <f>IF(OR($A116="",$G116=0,$G116=""),"",IF($D116="Kilometre (km)",$E116/($G116/100),$E116/$G116))</f>
        <v/>
      </c>
      <c r="I116" s="10" t="str">
        <f>IF($A116="","",'Araç Tanımlama'!G116)</f>
        <v/>
      </c>
      <c r="J116" s="4" t="str">
        <f>IF(OR($A116="",$H116="",$I116=""),"",IF($H116&gt;$I116*1.15,"YÜKSEK",IF($H116&gt;$I116*1.05,"DİKKAT","NORMAL")))</f>
        <v/>
      </c>
    </row>
    <row r="117" spans="1:10">
      <c r="A117" s="6" t="str">
        <f>IF('Araç Tanımlama'!A117="","",'Araç Tanımlama'!A117)</f>
        <v/>
      </c>
      <c r="B117" s="4" t="str">
        <f>IF($A117="","",'Araç Tanımlama'!D117)</f>
        <v/>
      </c>
      <c r="C117" s="4" t="str">
        <f>IF($A117="","",'Araç Tanımlama'!E117)</f>
        <v/>
      </c>
      <c r="D117" s="4" t="str">
        <f>IF($A117="","",'Araç Tanımlama'!F117)</f>
        <v/>
      </c>
      <c r="E117" s="4" t="str">
        <f>IF($A117="","",SUMIFS('Yakıt Alım Kayıt'!$G$5:$G$1500,'Yakıt Alım Kayıt'!$D$5:$D$1500,$A117))</f>
        <v/>
      </c>
      <c r="F117" s="9" t="str">
        <f>IF($A117="","",SUMIFS('Yakıt Alım Kayıt'!$I$5:$I$1500,'Yakıt Alım Kayıt'!$D$5:$D$1500,$A117))</f>
        <v/>
      </c>
      <c r="G117" s="4" t="str">
        <f>IF($A117="","",IFERROR(_xludf.maxifs('Yakıt Alım Kayıt'!$J$5:$J$1500,'Yakıt Alım Kayıt'!$D$5:$D$1500,$A117)-_xludf.minifs('Yakıt Alım Kayıt'!$J$5:$J$1500,'Yakıt Alım Kayıt'!$D$5:$D$1500,$A117),0))</f>
        <v/>
      </c>
      <c r="H117" s="10" t="str">
        <f>IF(OR($A117="",$G117=0,$G117=""),"",IF($D117="Kilometre (km)",$E117/($G117/100),$E117/$G117))</f>
        <v/>
      </c>
      <c r="I117" s="10" t="str">
        <f>IF($A117="","",'Araç Tanımlama'!G117)</f>
        <v/>
      </c>
      <c r="J117" s="4" t="str">
        <f>IF(OR($A117="",$H117="",$I117=""),"",IF($H117&gt;$I117*1.15,"YÜKSEK",IF($H117&gt;$I117*1.05,"DİKKAT","NORMAL")))</f>
        <v/>
      </c>
    </row>
    <row r="118" spans="1:10">
      <c r="A118" s="6" t="str">
        <f>IF('Araç Tanımlama'!A118="","",'Araç Tanımlama'!A118)</f>
        <v/>
      </c>
      <c r="B118" s="4" t="str">
        <f>IF($A118="","",'Araç Tanımlama'!D118)</f>
        <v/>
      </c>
      <c r="C118" s="4" t="str">
        <f>IF($A118="","",'Araç Tanımlama'!E118)</f>
        <v/>
      </c>
      <c r="D118" s="4" t="str">
        <f>IF($A118="","",'Araç Tanımlama'!F118)</f>
        <v/>
      </c>
      <c r="E118" s="4" t="str">
        <f>IF($A118="","",SUMIFS('Yakıt Alım Kayıt'!$G$5:$G$1500,'Yakıt Alım Kayıt'!$D$5:$D$1500,$A118))</f>
        <v/>
      </c>
      <c r="F118" s="9" t="str">
        <f>IF($A118="","",SUMIFS('Yakıt Alım Kayıt'!$I$5:$I$1500,'Yakıt Alım Kayıt'!$D$5:$D$1500,$A118))</f>
        <v/>
      </c>
      <c r="G118" s="4" t="str">
        <f>IF($A118="","",IFERROR(_xludf.maxifs('Yakıt Alım Kayıt'!$J$5:$J$1500,'Yakıt Alım Kayıt'!$D$5:$D$1500,$A118)-_xludf.minifs('Yakıt Alım Kayıt'!$J$5:$J$1500,'Yakıt Alım Kayıt'!$D$5:$D$1500,$A118),0))</f>
        <v/>
      </c>
      <c r="H118" s="10" t="str">
        <f>IF(OR($A118="",$G118=0,$G118=""),"",IF($D118="Kilometre (km)",$E118/($G118/100),$E118/$G118))</f>
        <v/>
      </c>
      <c r="I118" s="10" t="str">
        <f>IF($A118="","",'Araç Tanımlama'!G118)</f>
        <v/>
      </c>
      <c r="J118" s="4" t="str">
        <f>IF(OR($A118="",$H118="",$I118=""),"",IF($H118&gt;$I118*1.15,"YÜKSEK",IF($H118&gt;$I118*1.05,"DİKKAT","NORMAL")))</f>
        <v/>
      </c>
    </row>
    <row r="119" spans="1:10">
      <c r="A119" s="6" t="str">
        <f>IF('Araç Tanımlama'!A119="","",'Araç Tanımlama'!A119)</f>
        <v/>
      </c>
      <c r="B119" s="4" t="str">
        <f>IF($A119="","",'Araç Tanımlama'!D119)</f>
        <v/>
      </c>
      <c r="C119" s="4" t="str">
        <f>IF($A119="","",'Araç Tanımlama'!E119)</f>
        <v/>
      </c>
      <c r="D119" s="4" t="str">
        <f>IF($A119="","",'Araç Tanımlama'!F119)</f>
        <v/>
      </c>
      <c r="E119" s="4" t="str">
        <f>IF($A119="","",SUMIFS('Yakıt Alım Kayıt'!$G$5:$G$1500,'Yakıt Alım Kayıt'!$D$5:$D$1500,$A119))</f>
        <v/>
      </c>
      <c r="F119" s="9" t="str">
        <f>IF($A119="","",SUMIFS('Yakıt Alım Kayıt'!$I$5:$I$1500,'Yakıt Alım Kayıt'!$D$5:$D$1500,$A119))</f>
        <v/>
      </c>
      <c r="G119" s="4" t="str">
        <f>IF($A119="","",IFERROR(_xludf.maxifs('Yakıt Alım Kayıt'!$J$5:$J$1500,'Yakıt Alım Kayıt'!$D$5:$D$1500,$A119)-_xludf.minifs('Yakıt Alım Kayıt'!$J$5:$J$1500,'Yakıt Alım Kayıt'!$D$5:$D$1500,$A119),0))</f>
        <v/>
      </c>
      <c r="H119" s="10" t="str">
        <f>IF(OR($A119="",$G119=0,$G119=""),"",IF($D119="Kilometre (km)",$E119/($G119/100),$E119/$G119))</f>
        <v/>
      </c>
      <c r="I119" s="10" t="str">
        <f>IF($A119="","",'Araç Tanımlama'!G119)</f>
        <v/>
      </c>
      <c r="J119" s="4" t="str">
        <f>IF(OR($A119="",$H119="",$I119=""),"",IF($H119&gt;$I119*1.15,"YÜKSEK",IF($H119&gt;$I119*1.05,"DİKKAT","NORMAL")))</f>
        <v/>
      </c>
    </row>
    <row r="120" spans="1:10">
      <c r="A120" s="6" t="str">
        <f>IF('Araç Tanımlama'!A120="","",'Araç Tanımlama'!A120)</f>
        <v/>
      </c>
      <c r="B120" s="4" t="str">
        <f>IF($A120="","",'Araç Tanımlama'!D120)</f>
        <v/>
      </c>
      <c r="C120" s="4" t="str">
        <f>IF($A120="","",'Araç Tanımlama'!E120)</f>
        <v/>
      </c>
      <c r="D120" s="4" t="str">
        <f>IF($A120="","",'Araç Tanımlama'!F120)</f>
        <v/>
      </c>
      <c r="E120" s="4" t="str">
        <f>IF($A120="","",SUMIFS('Yakıt Alım Kayıt'!$G$5:$G$1500,'Yakıt Alım Kayıt'!$D$5:$D$1500,$A120))</f>
        <v/>
      </c>
      <c r="F120" s="9" t="str">
        <f>IF($A120="","",SUMIFS('Yakıt Alım Kayıt'!$I$5:$I$1500,'Yakıt Alım Kayıt'!$D$5:$D$1500,$A120))</f>
        <v/>
      </c>
      <c r="G120" s="4" t="str">
        <f>IF($A120="","",IFERROR(_xludf.maxifs('Yakıt Alım Kayıt'!$J$5:$J$1500,'Yakıt Alım Kayıt'!$D$5:$D$1500,$A120)-_xludf.minifs('Yakıt Alım Kayıt'!$J$5:$J$1500,'Yakıt Alım Kayıt'!$D$5:$D$1500,$A120),0))</f>
        <v/>
      </c>
      <c r="H120" s="10" t="str">
        <f>IF(OR($A120="",$G120=0,$G120=""),"",IF($D120="Kilometre (km)",$E120/($G120/100),$E120/$G120))</f>
        <v/>
      </c>
      <c r="I120" s="10" t="str">
        <f>IF($A120="","",'Araç Tanımlama'!G120)</f>
        <v/>
      </c>
      <c r="J120" s="4" t="str">
        <f>IF(OR($A120="",$H120="",$I120=""),"",IF($H120&gt;$I120*1.15,"YÜKSEK",IF($H120&gt;$I120*1.05,"DİKKAT","NORMAL")))</f>
        <v/>
      </c>
    </row>
    <row r="121" spans="1:10">
      <c r="A121" s="6" t="str">
        <f>IF('Araç Tanımlama'!A121="","",'Araç Tanımlama'!A121)</f>
        <v/>
      </c>
      <c r="B121" s="4" t="str">
        <f>IF($A121="","",'Araç Tanımlama'!D121)</f>
        <v/>
      </c>
      <c r="C121" s="4" t="str">
        <f>IF($A121="","",'Araç Tanımlama'!E121)</f>
        <v/>
      </c>
      <c r="D121" s="4" t="str">
        <f>IF($A121="","",'Araç Tanımlama'!F121)</f>
        <v/>
      </c>
      <c r="E121" s="4" t="str">
        <f>IF($A121="","",SUMIFS('Yakıt Alım Kayıt'!$G$5:$G$1500,'Yakıt Alım Kayıt'!$D$5:$D$1500,$A121))</f>
        <v/>
      </c>
      <c r="F121" s="9" t="str">
        <f>IF($A121="","",SUMIFS('Yakıt Alım Kayıt'!$I$5:$I$1500,'Yakıt Alım Kayıt'!$D$5:$D$1500,$A121))</f>
        <v/>
      </c>
      <c r="G121" s="4" t="str">
        <f>IF($A121="","",IFERROR(_xludf.maxifs('Yakıt Alım Kayıt'!$J$5:$J$1500,'Yakıt Alım Kayıt'!$D$5:$D$1500,$A121)-_xludf.minifs('Yakıt Alım Kayıt'!$J$5:$J$1500,'Yakıt Alım Kayıt'!$D$5:$D$1500,$A121),0))</f>
        <v/>
      </c>
      <c r="H121" s="10" t="str">
        <f>IF(OR($A121="",$G121=0,$G121=""),"",IF($D121="Kilometre (km)",$E121/($G121/100),$E121/$G121))</f>
        <v/>
      </c>
      <c r="I121" s="10" t="str">
        <f>IF($A121="","",'Araç Tanımlama'!G121)</f>
        <v/>
      </c>
      <c r="J121" s="4" t="str">
        <f>IF(OR($A121="",$H121="",$I121=""),"",IF($H121&gt;$I121*1.15,"YÜKSEK",IF($H121&gt;$I121*1.05,"DİKKAT","NORMAL")))</f>
        <v/>
      </c>
    </row>
    <row r="122" spans="1:10">
      <c r="A122" s="6" t="str">
        <f>IF('Araç Tanımlama'!A122="","",'Araç Tanımlama'!A122)</f>
        <v/>
      </c>
      <c r="B122" s="4" t="str">
        <f>IF($A122="","",'Araç Tanımlama'!D122)</f>
        <v/>
      </c>
      <c r="C122" s="4" t="str">
        <f>IF($A122="","",'Araç Tanımlama'!E122)</f>
        <v/>
      </c>
      <c r="D122" s="4" t="str">
        <f>IF($A122="","",'Araç Tanımlama'!F122)</f>
        <v/>
      </c>
      <c r="E122" s="4" t="str">
        <f>IF($A122="","",SUMIFS('Yakıt Alım Kayıt'!$G$5:$G$1500,'Yakıt Alım Kayıt'!$D$5:$D$1500,$A122))</f>
        <v/>
      </c>
      <c r="F122" s="9" t="str">
        <f>IF($A122="","",SUMIFS('Yakıt Alım Kayıt'!$I$5:$I$1500,'Yakıt Alım Kayıt'!$D$5:$D$1500,$A122))</f>
        <v/>
      </c>
      <c r="G122" s="4" t="str">
        <f>IF($A122="","",IFERROR(_xludf.maxifs('Yakıt Alım Kayıt'!$J$5:$J$1500,'Yakıt Alım Kayıt'!$D$5:$D$1500,$A122)-_xludf.minifs('Yakıt Alım Kayıt'!$J$5:$J$1500,'Yakıt Alım Kayıt'!$D$5:$D$1500,$A122),0))</f>
        <v/>
      </c>
      <c r="H122" s="10" t="str">
        <f>IF(OR($A122="",$G122=0,$G122=""),"",IF($D122="Kilometre (km)",$E122/($G122/100),$E122/$G122))</f>
        <v/>
      </c>
      <c r="I122" s="10" t="str">
        <f>IF($A122="","",'Araç Tanımlama'!G122)</f>
        <v/>
      </c>
      <c r="J122" s="4" t="str">
        <f>IF(OR($A122="",$H122="",$I122=""),"",IF($H122&gt;$I122*1.15,"YÜKSEK",IF($H122&gt;$I122*1.05,"DİKKAT","NORMAL")))</f>
        <v/>
      </c>
    </row>
    <row r="123" spans="1:10">
      <c r="A123" s="6" t="str">
        <f>IF('Araç Tanımlama'!A123="","",'Araç Tanımlama'!A123)</f>
        <v/>
      </c>
      <c r="B123" s="4" t="str">
        <f>IF($A123="","",'Araç Tanımlama'!D123)</f>
        <v/>
      </c>
      <c r="C123" s="4" t="str">
        <f>IF($A123="","",'Araç Tanımlama'!E123)</f>
        <v/>
      </c>
      <c r="D123" s="4" t="str">
        <f>IF($A123="","",'Araç Tanımlama'!F123)</f>
        <v/>
      </c>
      <c r="E123" s="4" t="str">
        <f>IF($A123="","",SUMIFS('Yakıt Alım Kayıt'!$G$5:$G$1500,'Yakıt Alım Kayıt'!$D$5:$D$1500,$A123))</f>
        <v/>
      </c>
      <c r="F123" s="9" t="str">
        <f>IF($A123="","",SUMIFS('Yakıt Alım Kayıt'!$I$5:$I$1500,'Yakıt Alım Kayıt'!$D$5:$D$1500,$A123))</f>
        <v/>
      </c>
      <c r="G123" s="4" t="str">
        <f>IF($A123="","",IFERROR(_xludf.maxifs('Yakıt Alım Kayıt'!$J$5:$J$1500,'Yakıt Alım Kayıt'!$D$5:$D$1500,$A123)-_xludf.minifs('Yakıt Alım Kayıt'!$J$5:$J$1500,'Yakıt Alım Kayıt'!$D$5:$D$1500,$A123),0))</f>
        <v/>
      </c>
      <c r="H123" s="10" t="str">
        <f>IF(OR($A123="",$G123=0,$G123=""),"",IF($D123="Kilometre (km)",$E123/($G123/100),$E123/$G123))</f>
        <v/>
      </c>
      <c r="I123" s="10" t="str">
        <f>IF($A123="","",'Araç Tanımlama'!G123)</f>
        <v/>
      </c>
      <c r="J123" s="4" t="str">
        <f>IF(OR($A123="",$H123="",$I123=""),"",IF($H123&gt;$I123*1.15,"YÜKSEK",IF($H123&gt;$I123*1.05,"DİKKAT","NORMAL")))</f>
        <v/>
      </c>
    </row>
    <row r="124" spans="1:10">
      <c r="A124" s="6" t="str">
        <f>IF('Araç Tanımlama'!A124="","",'Araç Tanımlama'!A124)</f>
        <v/>
      </c>
      <c r="B124" s="4" t="str">
        <f>IF($A124="","",'Araç Tanımlama'!D124)</f>
        <v/>
      </c>
      <c r="C124" s="4" t="str">
        <f>IF($A124="","",'Araç Tanımlama'!E124)</f>
        <v/>
      </c>
      <c r="D124" s="4" t="str">
        <f>IF($A124="","",'Araç Tanımlama'!F124)</f>
        <v/>
      </c>
      <c r="E124" s="4" t="str">
        <f>IF($A124="","",SUMIFS('Yakıt Alım Kayıt'!$G$5:$G$1500,'Yakıt Alım Kayıt'!$D$5:$D$1500,$A124))</f>
        <v/>
      </c>
      <c r="F124" s="9" t="str">
        <f>IF($A124="","",SUMIFS('Yakıt Alım Kayıt'!$I$5:$I$1500,'Yakıt Alım Kayıt'!$D$5:$D$1500,$A124))</f>
        <v/>
      </c>
      <c r="G124" s="4" t="str">
        <f>IF($A124="","",IFERROR(_xludf.maxifs('Yakıt Alım Kayıt'!$J$5:$J$1500,'Yakıt Alım Kayıt'!$D$5:$D$1500,$A124)-_xludf.minifs('Yakıt Alım Kayıt'!$J$5:$J$1500,'Yakıt Alım Kayıt'!$D$5:$D$1500,$A124),0))</f>
        <v/>
      </c>
      <c r="H124" s="10" t="str">
        <f>IF(OR($A124="",$G124=0,$G124=""),"",IF($D124="Kilometre (km)",$E124/($G124/100),$E124/$G124))</f>
        <v/>
      </c>
      <c r="I124" s="10" t="str">
        <f>IF($A124="","",'Araç Tanımlama'!G124)</f>
        <v/>
      </c>
      <c r="J124" s="4" t="str">
        <f>IF(OR($A124="",$H124="",$I124=""),"",IF($H124&gt;$I124*1.15,"YÜKSEK",IF($H124&gt;$I124*1.05,"DİKKAT","NORMAL")))</f>
        <v/>
      </c>
    </row>
    <row r="125" spans="1:10">
      <c r="A125" s="6" t="str">
        <f>IF('Araç Tanımlama'!A125="","",'Araç Tanımlama'!A125)</f>
        <v/>
      </c>
      <c r="B125" s="4" t="str">
        <f>IF($A125="","",'Araç Tanımlama'!D125)</f>
        <v/>
      </c>
      <c r="C125" s="4" t="str">
        <f>IF($A125="","",'Araç Tanımlama'!E125)</f>
        <v/>
      </c>
      <c r="D125" s="4" t="str">
        <f>IF($A125="","",'Araç Tanımlama'!F125)</f>
        <v/>
      </c>
      <c r="E125" s="4" t="str">
        <f>IF($A125="","",SUMIFS('Yakıt Alım Kayıt'!$G$5:$G$1500,'Yakıt Alım Kayıt'!$D$5:$D$1500,$A125))</f>
        <v/>
      </c>
      <c r="F125" s="9" t="str">
        <f>IF($A125="","",SUMIFS('Yakıt Alım Kayıt'!$I$5:$I$1500,'Yakıt Alım Kayıt'!$D$5:$D$1500,$A125))</f>
        <v/>
      </c>
      <c r="G125" s="4" t="str">
        <f>IF($A125="","",IFERROR(_xludf.maxifs('Yakıt Alım Kayıt'!$J$5:$J$1500,'Yakıt Alım Kayıt'!$D$5:$D$1500,$A125)-_xludf.minifs('Yakıt Alım Kayıt'!$J$5:$J$1500,'Yakıt Alım Kayıt'!$D$5:$D$1500,$A125),0))</f>
        <v/>
      </c>
      <c r="H125" s="10" t="str">
        <f>IF(OR($A125="",$G125=0,$G125=""),"",IF($D125="Kilometre (km)",$E125/($G125/100),$E125/$G125))</f>
        <v/>
      </c>
      <c r="I125" s="10" t="str">
        <f>IF($A125="","",'Araç Tanımlama'!G125)</f>
        <v/>
      </c>
      <c r="J125" s="4" t="str">
        <f>IF(OR($A125="",$H125="",$I125=""),"",IF($H125&gt;$I125*1.15,"YÜKSEK",IF($H125&gt;$I125*1.05,"DİKKAT","NORMAL")))</f>
        <v/>
      </c>
    </row>
    <row r="126" spans="1:10">
      <c r="A126" s="6" t="str">
        <f>IF('Araç Tanımlama'!A126="","",'Araç Tanımlama'!A126)</f>
        <v/>
      </c>
      <c r="B126" s="4" t="str">
        <f>IF($A126="","",'Araç Tanımlama'!D126)</f>
        <v/>
      </c>
      <c r="C126" s="4" t="str">
        <f>IF($A126="","",'Araç Tanımlama'!E126)</f>
        <v/>
      </c>
      <c r="D126" s="4" t="str">
        <f>IF($A126="","",'Araç Tanımlama'!F126)</f>
        <v/>
      </c>
      <c r="E126" s="4" t="str">
        <f>IF($A126="","",SUMIFS('Yakıt Alım Kayıt'!$G$5:$G$1500,'Yakıt Alım Kayıt'!$D$5:$D$1500,$A126))</f>
        <v/>
      </c>
      <c r="F126" s="9" t="str">
        <f>IF($A126="","",SUMIFS('Yakıt Alım Kayıt'!$I$5:$I$1500,'Yakıt Alım Kayıt'!$D$5:$D$1500,$A126))</f>
        <v/>
      </c>
      <c r="G126" s="4" t="str">
        <f>IF($A126="","",IFERROR(_xludf.maxifs('Yakıt Alım Kayıt'!$J$5:$J$1500,'Yakıt Alım Kayıt'!$D$5:$D$1500,$A126)-_xludf.minifs('Yakıt Alım Kayıt'!$J$5:$J$1500,'Yakıt Alım Kayıt'!$D$5:$D$1500,$A126),0))</f>
        <v/>
      </c>
      <c r="H126" s="10" t="str">
        <f>IF(OR($A126="",$G126=0,$G126=""),"",IF($D126="Kilometre (km)",$E126/($G126/100),$E126/$G126))</f>
        <v/>
      </c>
      <c r="I126" s="10" t="str">
        <f>IF($A126="","",'Araç Tanımlama'!G126)</f>
        <v/>
      </c>
      <c r="J126" s="4" t="str">
        <f>IF(OR($A126="",$H126="",$I126=""),"",IF($H126&gt;$I126*1.15,"YÜKSEK",IF($H126&gt;$I126*1.05,"DİKKAT","NORMAL")))</f>
        <v/>
      </c>
    </row>
    <row r="127" spans="1:10">
      <c r="A127" s="6" t="str">
        <f>IF('Araç Tanımlama'!A127="","",'Araç Tanımlama'!A127)</f>
        <v/>
      </c>
      <c r="B127" s="4" t="str">
        <f>IF($A127="","",'Araç Tanımlama'!D127)</f>
        <v/>
      </c>
      <c r="C127" s="4" t="str">
        <f>IF($A127="","",'Araç Tanımlama'!E127)</f>
        <v/>
      </c>
      <c r="D127" s="4" t="str">
        <f>IF($A127="","",'Araç Tanımlama'!F127)</f>
        <v/>
      </c>
      <c r="E127" s="4" t="str">
        <f>IF($A127="","",SUMIFS('Yakıt Alım Kayıt'!$G$5:$G$1500,'Yakıt Alım Kayıt'!$D$5:$D$1500,$A127))</f>
        <v/>
      </c>
      <c r="F127" s="9" t="str">
        <f>IF($A127="","",SUMIFS('Yakıt Alım Kayıt'!$I$5:$I$1500,'Yakıt Alım Kayıt'!$D$5:$D$1500,$A127))</f>
        <v/>
      </c>
      <c r="G127" s="4" t="str">
        <f>IF($A127="","",IFERROR(_xludf.maxifs('Yakıt Alım Kayıt'!$J$5:$J$1500,'Yakıt Alım Kayıt'!$D$5:$D$1500,$A127)-_xludf.minifs('Yakıt Alım Kayıt'!$J$5:$J$1500,'Yakıt Alım Kayıt'!$D$5:$D$1500,$A127),0))</f>
        <v/>
      </c>
      <c r="H127" s="10" t="str">
        <f>IF(OR($A127="",$G127=0,$G127=""),"",IF($D127="Kilometre (km)",$E127/($G127/100),$E127/$G127))</f>
        <v/>
      </c>
      <c r="I127" s="10" t="str">
        <f>IF($A127="","",'Araç Tanımlama'!G127)</f>
        <v/>
      </c>
      <c r="J127" s="4" t="str">
        <f>IF(OR($A127="",$H127="",$I127=""),"",IF($H127&gt;$I127*1.15,"YÜKSEK",IF($H127&gt;$I127*1.05,"DİKKAT","NORMAL")))</f>
        <v/>
      </c>
    </row>
    <row r="128" spans="1:10">
      <c r="A128" s="6" t="str">
        <f>IF('Araç Tanımlama'!A128="","",'Araç Tanımlama'!A128)</f>
        <v/>
      </c>
      <c r="B128" s="4" t="str">
        <f>IF($A128="","",'Araç Tanımlama'!D128)</f>
        <v/>
      </c>
      <c r="C128" s="4" t="str">
        <f>IF($A128="","",'Araç Tanımlama'!E128)</f>
        <v/>
      </c>
      <c r="D128" s="4" t="str">
        <f>IF($A128="","",'Araç Tanımlama'!F128)</f>
        <v/>
      </c>
      <c r="E128" s="4" t="str">
        <f>IF($A128="","",SUMIFS('Yakıt Alım Kayıt'!$G$5:$G$1500,'Yakıt Alım Kayıt'!$D$5:$D$1500,$A128))</f>
        <v/>
      </c>
      <c r="F128" s="9" t="str">
        <f>IF($A128="","",SUMIFS('Yakıt Alım Kayıt'!$I$5:$I$1500,'Yakıt Alım Kayıt'!$D$5:$D$1500,$A128))</f>
        <v/>
      </c>
      <c r="G128" s="4" t="str">
        <f>IF($A128="","",IFERROR(_xludf.maxifs('Yakıt Alım Kayıt'!$J$5:$J$1500,'Yakıt Alım Kayıt'!$D$5:$D$1500,$A128)-_xludf.minifs('Yakıt Alım Kayıt'!$J$5:$J$1500,'Yakıt Alım Kayıt'!$D$5:$D$1500,$A128),0))</f>
        <v/>
      </c>
      <c r="H128" s="10" t="str">
        <f>IF(OR($A128="",$G128=0,$G128=""),"",IF($D128="Kilometre (km)",$E128/($G128/100),$E128/$G128))</f>
        <v/>
      </c>
      <c r="I128" s="10" t="str">
        <f>IF($A128="","",'Araç Tanımlama'!G128)</f>
        <v/>
      </c>
      <c r="J128" s="4" t="str">
        <f>IF(OR($A128="",$H128="",$I128=""),"",IF($H128&gt;$I128*1.15,"YÜKSEK",IF($H128&gt;$I128*1.05,"DİKKAT","NORMAL")))</f>
        <v/>
      </c>
    </row>
    <row r="129" spans="1:10">
      <c r="A129" s="6" t="str">
        <f>IF('Araç Tanımlama'!A129="","",'Araç Tanımlama'!A129)</f>
        <v/>
      </c>
      <c r="B129" s="4" t="str">
        <f>IF($A129="","",'Araç Tanımlama'!D129)</f>
        <v/>
      </c>
      <c r="C129" s="4" t="str">
        <f>IF($A129="","",'Araç Tanımlama'!E129)</f>
        <v/>
      </c>
      <c r="D129" s="4" t="str">
        <f>IF($A129="","",'Araç Tanımlama'!F129)</f>
        <v/>
      </c>
      <c r="E129" s="4" t="str">
        <f>IF($A129="","",SUMIFS('Yakıt Alım Kayıt'!$G$5:$G$1500,'Yakıt Alım Kayıt'!$D$5:$D$1500,$A129))</f>
        <v/>
      </c>
      <c r="F129" s="9" t="str">
        <f>IF($A129="","",SUMIFS('Yakıt Alım Kayıt'!$I$5:$I$1500,'Yakıt Alım Kayıt'!$D$5:$D$1500,$A129))</f>
        <v/>
      </c>
      <c r="G129" s="4" t="str">
        <f>IF($A129="","",IFERROR(_xludf.maxifs('Yakıt Alım Kayıt'!$J$5:$J$1500,'Yakıt Alım Kayıt'!$D$5:$D$1500,$A129)-_xludf.minifs('Yakıt Alım Kayıt'!$J$5:$J$1500,'Yakıt Alım Kayıt'!$D$5:$D$1500,$A129),0))</f>
        <v/>
      </c>
      <c r="H129" s="10" t="str">
        <f>IF(OR($A129="",$G129=0,$G129=""),"",IF($D129="Kilometre (km)",$E129/($G129/100),$E129/$G129))</f>
        <v/>
      </c>
      <c r="I129" s="10" t="str">
        <f>IF($A129="","",'Araç Tanımlama'!G129)</f>
        <v/>
      </c>
      <c r="J129" s="4" t="str">
        <f>IF(OR($A129="",$H129="",$I129=""),"",IF($H129&gt;$I129*1.15,"YÜKSEK",IF($H129&gt;$I129*1.05,"DİKKAT","NORMAL")))</f>
        <v/>
      </c>
    </row>
    <row r="130" spans="1:10">
      <c r="A130" s="6" t="str">
        <f>IF('Araç Tanımlama'!A130="","",'Araç Tanımlama'!A130)</f>
        <v/>
      </c>
      <c r="B130" s="4" t="str">
        <f>IF($A130="","",'Araç Tanımlama'!D130)</f>
        <v/>
      </c>
      <c r="C130" s="4" t="str">
        <f>IF($A130="","",'Araç Tanımlama'!E130)</f>
        <v/>
      </c>
      <c r="D130" s="4" t="str">
        <f>IF($A130="","",'Araç Tanımlama'!F130)</f>
        <v/>
      </c>
      <c r="E130" s="4" t="str">
        <f>IF($A130="","",SUMIFS('Yakıt Alım Kayıt'!$G$5:$G$1500,'Yakıt Alım Kayıt'!$D$5:$D$1500,$A130))</f>
        <v/>
      </c>
      <c r="F130" s="9" t="str">
        <f>IF($A130="","",SUMIFS('Yakıt Alım Kayıt'!$I$5:$I$1500,'Yakıt Alım Kayıt'!$D$5:$D$1500,$A130))</f>
        <v/>
      </c>
      <c r="G130" s="4" t="str">
        <f>IF($A130="","",IFERROR(_xludf.maxifs('Yakıt Alım Kayıt'!$J$5:$J$1500,'Yakıt Alım Kayıt'!$D$5:$D$1500,$A130)-_xludf.minifs('Yakıt Alım Kayıt'!$J$5:$J$1500,'Yakıt Alım Kayıt'!$D$5:$D$1500,$A130),0))</f>
        <v/>
      </c>
      <c r="H130" s="10" t="str">
        <f>IF(OR($A130="",$G130=0,$G130=""),"",IF($D130="Kilometre (km)",$E130/($G130/100),$E130/$G130))</f>
        <v/>
      </c>
      <c r="I130" s="10" t="str">
        <f>IF($A130="","",'Araç Tanımlama'!G130)</f>
        <v/>
      </c>
      <c r="J130" s="4" t="str">
        <f>IF(OR($A130="",$H130="",$I130=""),"",IF($H130&gt;$I130*1.15,"YÜKSEK",IF($H130&gt;$I130*1.05,"DİKKAT","NORMAL")))</f>
        <v/>
      </c>
    </row>
    <row r="131" spans="1:10">
      <c r="A131" s="6" t="str">
        <f>IF('Araç Tanımlama'!A131="","",'Araç Tanımlama'!A131)</f>
        <v/>
      </c>
      <c r="B131" s="4" t="str">
        <f>IF($A131="","",'Araç Tanımlama'!D131)</f>
        <v/>
      </c>
      <c r="C131" s="4" t="str">
        <f>IF($A131="","",'Araç Tanımlama'!E131)</f>
        <v/>
      </c>
      <c r="D131" s="4" t="str">
        <f>IF($A131="","",'Araç Tanımlama'!F131)</f>
        <v/>
      </c>
      <c r="E131" s="4" t="str">
        <f>IF($A131="","",SUMIFS('Yakıt Alım Kayıt'!$G$5:$G$1500,'Yakıt Alım Kayıt'!$D$5:$D$1500,$A131))</f>
        <v/>
      </c>
      <c r="F131" s="9" t="str">
        <f>IF($A131="","",SUMIFS('Yakıt Alım Kayıt'!$I$5:$I$1500,'Yakıt Alım Kayıt'!$D$5:$D$1500,$A131))</f>
        <v/>
      </c>
      <c r="G131" s="4" t="str">
        <f>IF($A131="","",IFERROR(_xludf.maxifs('Yakıt Alım Kayıt'!$J$5:$J$1500,'Yakıt Alım Kayıt'!$D$5:$D$1500,$A131)-_xludf.minifs('Yakıt Alım Kayıt'!$J$5:$J$1500,'Yakıt Alım Kayıt'!$D$5:$D$1500,$A131),0))</f>
        <v/>
      </c>
      <c r="H131" s="10" t="str">
        <f>IF(OR($A131="",$G131=0,$G131=""),"",IF($D131="Kilometre (km)",$E131/($G131/100),$E131/$G131))</f>
        <v/>
      </c>
      <c r="I131" s="10" t="str">
        <f>IF($A131="","",'Araç Tanımlama'!G131)</f>
        <v/>
      </c>
      <c r="J131" s="4" t="str">
        <f>IF(OR($A131="",$H131="",$I131=""),"",IF($H131&gt;$I131*1.15,"YÜKSEK",IF($H131&gt;$I131*1.05,"DİKKAT","NORMAL")))</f>
        <v/>
      </c>
    </row>
    <row r="132" spans="1:10">
      <c r="A132" s="6" t="str">
        <f>IF('Araç Tanımlama'!A132="","",'Araç Tanımlama'!A132)</f>
        <v/>
      </c>
      <c r="B132" s="4" t="str">
        <f>IF($A132="","",'Araç Tanımlama'!D132)</f>
        <v/>
      </c>
      <c r="C132" s="4" t="str">
        <f>IF($A132="","",'Araç Tanımlama'!E132)</f>
        <v/>
      </c>
      <c r="D132" s="4" t="str">
        <f>IF($A132="","",'Araç Tanımlama'!F132)</f>
        <v/>
      </c>
      <c r="E132" s="4" t="str">
        <f>IF($A132="","",SUMIFS('Yakıt Alım Kayıt'!$G$5:$G$1500,'Yakıt Alım Kayıt'!$D$5:$D$1500,$A132))</f>
        <v/>
      </c>
      <c r="F132" s="9" t="str">
        <f>IF($A132="","",SUMIFS('Yakıt Alım Kayıt'!$I$5:$I$1500,'Yakıt Alım Kayıt'!$D$5:$D$1500,$A132))</f>
        <v/>
      </c>
      <c r="G132" s="4" t="str">
        <f>IF($A132="","",IFERROR(_xludf.maxifs('Yakıt Alım Kayıt'!$J$5:$J$1500,'Yakıt Alım Kayıt'!$D$5:$D$1500,$A132)-_xludf.minifs('Yakıt Alım Kayıt'!$J$5:$J$1500,'Yakıt Alım Kayıt'!$D$5:$D$1500,$A132),0))</f>
        <v/>
      </c>
      <c r="H132" s="10" t="str">
        <f>IF(OR($A132="",$G132=0,$G132=""),"",IF($D132="Kilometre (km)",$E132/($G132/100),$E132/$G132))</f>
        <v/>
      </c>
      <c r="I132" s="10" t="str">
        <f>IF($A132="","",'Araç Tanımlama'!G132)</f>
        <v/>
      </c>
      <c r="J132" s="4" t="str">
        <f>IF(OR($A132="",$H132="",$I132=""),"",IF($H132&gt;$I132*1.15,"YÜKSEK",IF($H132&gt;$I132*1.05,"DİKKAT","NORMAL")))</f>
        <v/>
      </c>
    </row>
    <row r="133" spans="1:10">
      <c r="A133" s="6" t="str">
        <f>IF('Araç Tanımlama'!A133="","",'Araç Tanımlama'!A133)</f>
        <v/>
      </c>
      <c r="B133" s="4" t="str">
        <f>IF($A133="","",'Araç Tanımlama'!D133)</f>
        <v/>
      </c>
      <c r="C133" s="4" t="str">
        <f>IF($A133="","",'Araç Tanımlama'!E133)</f>
        <v/>
      </c>
      <c r="D133" s="4" t="str">
        <f>IF($A133="","",'Araç Tanımlama'!F133)</f>
        <v/>
      </c>
      <c r="E133" s="4" t="str">
        <f>IF($A133="","",SUMIFS('Yakıt Alım Kayıt'!$G$5:$G$1500,'Yakıt Alım Kayıt'!$D$5:$D$1500,$A133))</f>
        <v/>
      </c>
      <c r="F133" s="9" t="str">
        <f>IF($A133="","",SUMIFS('Yakıt Alım Kayıt'!$I$5:$I$1500,'Yakıt Alım Kayıt'!$D$5:$D$1500,$A133))</f>
        <v/>
      </c>
      <c r="G133" s="4" t="str">
        <f>IF($A133="","",IFERROR(_xludf.maxifs('Yakıt Alım Kayıt'!$J$5:$J$1500,'Yakıt Alım Kayıt'!$D$5:$D$1500,$A133)-_xludf.minifs('Yakıt Alım Kayıt'!$J$5:$J$1500,'Yakıt Alım Kayıt'!$D$5:$D$1500,$A133),0))</f>
        <v/>
      </c>
      <c r="H133" s="10" t="str">
        <f>IF(OR($A133="",$G133=0,$G133=""),"",IF($D133="Kilometre (km)",$E133/($G133/100),$E133/$G133))</f>
        <v/>
      </c>
      <c r="I133" s="10" t="str">
        <f>IF($A133="","",'Araç Tanımlama'!G133)</f>
        <v/>
      </c>
      <c r="J133" s="4" t="str">
        <f>IF(OR($A133="",$H133="",$I133=""),"",IF($H133&gt;$I133*1.15,"YÜKSEK",IF($H133&gt;$I133*1.05,"DİKKAT","NORMAL")))</f>
        <v/>
      </c>
    </row>
    <row r="134" spans="1:10">
      <c r="A134" s="6" t="str">
        <f>IF('Araç Tanımlama'!A134="","",'Araç Tanımlama'!A134)</f>
        <v/>
      </c>
      <c r="B134" s="4" t="str">
        <f>IF($A134="","",'Araç Tanımlama'!D134)</f>
        <v/>
      </c>
      <c r="C134" s="4" t="str">
        <f>IF($A134="","",'Araç Tanımlama'!E134)</f>
        <v/>
      </c>
      <c r="D134" s="4" t="str">
        <f>IF($A134="","",'Araç Tanımlama'!F134)</f>
        <v/>
      </c>
      <c r="E134" s="4" t="str">
        <f>IF($A134="","",SUMIFS('Yakıt Alım Kayıt'!$G$5:$G$1500,'Yakıt Alım Kayıt'!$D$5:$D$1500,$A134))</f>
        <v/>
      </c>
      <c r="F134" s="9" t="str">
        <f>IF($A134="","",SUMIFS('Yakıt Alım Kayıt'!$I$5:$I$1500,'Yakıt Alım Kayıt'!$D$5:$D$1500,$A134))</f>
        <v/>
      </c>
      <c r="G134" s="4" t="str">
        <f>IF($A134="","",IFERROR(_xludf.maxifs('Yakıt Alım Kayıt'!$J$5:$J$1500,'Yakıt Alım Kayıt'!$D$5:$D$1500,$A134)-_xludf.minifs('Yakıt Alım Kayıt'!$J$5:$J$1500,'Yakıt Alım Kayıt'!$D$5:$D$1500,$A134),0))</f>
        <v/>
      </c>
      <c r="H134" s="10" t="str">
        <f>IF(OR($A134="",$G134=0,$G134=""),"",IF($D134="Kilometre (km)",$E134/($G134/100),$E134/$G134))</f>
        <v/>
      </c>
      <c r="I134" s="10" t="str">
        <f>IF($A134="","",'Araç Tanımlama'!G134)</f>
        <v/>
      </c>
      <c r="J134" s="4" t="str">
        <f>IF(OR($A134="",$H134="",$I134=""),"",IF($H134&gt;$I134*1.15,"YÜKSEK",IF($H134&gt;$I134*1.05,"DİKKAT","NORMAL")))</f>
        <v/>
      </c>
    </row>
    <row r="135" spans="1:10">
      <c r="A135" s="6" t="str">
        <f>IF('Araç Tanımlama'!A135="","",'Araç Tanımlama'!A135)</f>
        <v/>
      </c>
      <c r="B135" s="4" t="str">
        <f>IF($A135="","",'Araç Tanımlama'!D135)</f>
        <v/>
      </c>
      <c r="C135" s="4" t="str">
        <f>IF($A135="","",'Araç Tanımlama'!E135)</f>
        <v/>
      </c>
      <c r="D135" s="4" t="str">
        <f>IF($A135="","",'Araç Tanımlama'!F135)</f>
        <v/>
      </c>
      <c r="E135" s="4" t="str">
        <f>IF($A135="","",SUMIFS('Yakıt Alım Kayıt'!$G$5:$G$1500,'Yakıt Alım Kayıt'!$D$5:$D$1500,$A135))</f>
        <v/>
      </c>
      <c r="F135" s="9" t="str">
        <f>IF($A135="","",SUMIFS('Yakıt Alım Kayıt'!$I$5:$I$1500,'Yakıt Alım Kayıt'!$D$5:$D$1500,$A135))</f>
        <v/>
      </c>
      <c r="G135" s="4" t="str">
        <f>IF($A135="","",IFERROR(_xludf.maxifs('Yakıt Alım Kayıt'!$J$5:$J$1500,'Yakıt Alım Kayıt'!$D$5:$D$1500,$A135)-_xludf.minifs('Yakıt Alım Kayıt'!$J$5:$J$1500,'Yakıt Alım Kayıt'!$D$5:$D$1500,$A135),0))</f>
        <v/>
      </c>
      <c r="H135" s="10" t="str">
        <f>IF(OR($A135="",$G135=0,$G135=""),"",IF($D135="Kilometre (km)",$E135/($G135/100),$E135/$G135))</f>
        <v/>
      </c>
      <c r="I135" s="10" t="str">
        <f>IF($A135="","",'Araç Tanımlama'!G135)</f>
        <v/>
      </c>
      <c r="J135" s="4" t="str">
        <f>IF(OR($A135="",$H135="",$I135=""),"",IF($H135&gt;$I135*1.15,"YÜKSEK",IF($H135&gt;$I135*1.05,"DİKKAT","NORMAL")))</f>
        <v/>
      </c>
    </row>
    <row r="136" spans="1:10">
      <c r="A136" s="6" t="str">
        <f>IF('Araç Tanımlama'!A136="","",'Araç Tanımlama'!A136)</f>
        <v/>
      </c>
      <c r="B136" s="4" t="str">
        <f>IF($A136="","",'Araç Tanımlama'!D136)</f>
        <v/>
      </c>
      <c r="C136" s="4" t="str">
        <f>IF($A136="","",'Araç Tanımlama'!E136)</f>
        <v/>
      </c>
      <c r="D136" s="4" t="str">
        <f>IF($A136="","",'Araç Tanımlama'!F136)</f>
        <v/>
      </c>
      <c r="E136" s="4" t="str">
        <f>IF($A136="","",SUMIFS('Yakıt Alım Kayıt'!$G$5:$G$1500,'Yakıt Alım Kayıt'!$D$5:$D$1500,$A136))</f>
        <v/>
      </c>
      <c r="F136" s="9" t="str">
        <f>IF($A136="","",SUMIFS('Yakıt Alım Kayıt'!$I$5:$I$1500,'Yakıt Alım Kayıt'!$D$5:$D$1500,$A136))</f>
        <v/>
      </c>
      <c r="G136" s="4" t="str">
        <f>IF($A136="","",IFERROR(_xludf.maxifs('Yakıt Alım Kayıt'!$J$5:$J$1500,'Yakıt Alım Kayıt'!$D$5:$D$1500,$A136)-_xludf.minifs('Yakıt Alım Kayıt'!$J$5:$J$1500,'Yakıt Alım Kayıt'!$D$5:$D$1500,$A136),0))</f>
        <v/>
      </c>
      <c r="H136" s="10" t="str">
        <f>IF(OR($A136="",$G136=0,$G136=""),"",IF($D136="Kilometre (km)",$E136/($G136/100),$E136/$G136))</f>
        <v/>
      </c>
      <c r="I136" s="10" t="str">
        <f>IF($A136="","",'Araç Tanımlama'!G136)</f>
        <v/>
      </c>
      <c r="J136" s="4" t="str">
        <f>IF(OR($A136="",$H136="",$I136=""),"",IF($H136&gt;$I136*1.15,"YÜKSEK",IF($H136&gt;$I136*1.05,"DİKKAT","NORMAL")))</f>
        <v/>
      </c>
    </row>
    <row r="137" spans="1:10">
      <c r="A137" s="6" t="str">
        <f>IF('Araç Tanımlama'!A137="","",'Araç Tanımlama'!A137)</f>
        <v/>
      </c>
      <c r="B137" s="4" t="str">
        <f>IF($A137="","",'Araç Tanımlama'!D137)</f>
        <v/>
      </c>
      <c r="C137" s="4" t="str">
        <f>IF($A137="","",'Araç Tanımlama'!E137)</f>
        <v/>
      </c>
      <c r="D137" s="4" t="str">
        <f>IF($A137="","",'Araç Tanımlama'!F137)</f>
        <v/>
      </c>
      <c r="E137" s="4" t="str">
        <f>IF($A137="","",SUMIFS('Yakıt Alım Kayıt'!$G$5:$G$1500,'Yakıt Alım Kayıt'!$D$5:$D$1500,$A137))</f>
        <v/>
      </c>
      <c r="F137" s="9" t="str">
        <f>IF($A137="","",SUMIFS('Yakıt Alım Kayıt'!$I$5:$I$1500,'Yakıt Alım Kayıt'!$D$5:$D$1500,$A137))</f>
        <v/>
      </c>
      <c r="G137" s="4" t="str">
        <f>IF($A137="","",IFERROR(_xludf.maxifs('Yakıt Alım Kayıt'!$J$5:$J$1500,'Yakıt Alım Kayıt'!$D$5:$D$1500,$A137)-_xludf.minifs('Yakıt Alım Kayıt'!$J$5:$J$1500,'Yakıt Alım Kayıt'!$D$5:$D$1500,$A137),0))</f>
        <v/>
      </c>
      <c r="H137" s="10" t="str">
        <f>IF(OR($A137="",$G137=0,$G137=""),"",IF($D137="Kilometre (km)",$E137/($G137/100),$E137/$G137))</f>
        <v/>
      </c>
      <c r="I137" s="10" t="str">
        <f>IF($A137="","",'Araç Tanımlama'!G137)</f>
        <v/>
      </c>
      <c r="J137" s="4" t="str">
        <f>IF(OR($A137="",$H137="",$I137=""),"",IF($H137&gt;$I137*1.15,"YÜKSEK",IF($H137&gt;$I137*1.05,"DİKKAT","NORMAL")))</f>
        <v/>
      </c>
    </row>
    <row r="138" spans="1:10">
      <c r="A138" s="6" t="str">
        <f>IF('Araç Tanımlama'!A138="","",'Araç Tanımlama'!A138)</f>
        <v/>
      </c>
      <c r="B138" s="4" t="str">
        <f>IF($A138="","",'Araç Tanımlama'!D138)</f>
        <v/>
      </c>
      <c r="C138" s="4" t="str">
        <f>IF($A138="","",'Araç Tanımlama'!E138)</f>
        <v/>
      </c>
      <c r="D138" s="4" t="str">
        <f>IF($A138="","",'Araç Tanımlama'!F138)</f>
        <v/>
      </c>
      <c r="E138" s="4" t="str">
        <f>IF($A138="","",SUMIFS('Yakıt Alım Kayıt'!$G$5:$G$1500,'Yakıt Alım Kayıt'!$D$5:$D$1500,$A138))</f>
        <v/>
      </c>
      <c r="F138" s="9" t="str">
        <f>IF($A138="","",SUMIFS('Yakıt Alım Kayıt'!$I$5:$I$1500,'Yakıt Alım Kayıt'!$D$5:$D$1500,$A138))</f>
        <v/>
      </c>
      <c r="G138" s="4" t="str">
        <f>IF($A138="","",IFERROR(_xludf.maxifs('Yakıt Alım Kayıt'!$J$5:$J$1500,'Yakıt Alım Kayıt'!$D$5:$D$1500,$A138)-_xludf.minifs('Yakıt Alım Kayıt'!$J$5:$J$1500,'Yakıt Alım Kayıt'!$D$5:$D$1500,$A138),0))</f>
        <v/>
      </c>
      <c r="H138" s="10" t="str">
        <f>IF(OR($A138="",$G138=0,$G138=""),"",IF($D138="Kilometre (km)",$E138/($G138/100),$E138/$G138))</f>
        <v/>
      </c>
      <c r="I138" s="10" t="str">
        <f>IF($A138="","",'Araç Tanımlama'!G138)</f>
        <v/>
      </c>
      <c r="J138" s="4" t="str">
        <f>IF(OR($A138="",$H138="",$I138=""),"",IF($H138&gt;$I138*1.15,"YÜKSEK",IF($H138&gt;$I138*1.05,"DİKKAT","NORMAL")))</f>
        <v/>
      </c>
    </row>
    <row r="139" spans="1:10">
      <c r="A139" s="6" t="str">
        <f>IF('Araç Tanımlama'!A139="","",'Araç Tanımlama'!A139)</f>
        <v/>
      </c>
      <c r="B139" s="4" t="str">
        <f>IF($A139="","",'Araç Tanımlama'!D139)</f>
        <v/>
      </c>
      <c r="C139" s="4" t="str">
        <f>IF($A139="","",'Araç Tanımlama'!E139)</f>
        <v/>
      </c>
      <c r="D139" s="4" t="str">
        <f>IF($A139="","",'Araç Tanımlama'!F139)</f>
        <v/>
      </c>
      <c r="E139" s="4" t="str">
        <f>IF($A139="","",SUMIFS('Yakıt Alım Kayıt'!$G$5:$G$1500,'Yakıt Alım Kayıt'!$D$5:$D$1500,$A139))</f>
        <v/>
      </c>
      <c r="F139" s="9" t="str">
        <f>IF($A139="","",SUMIFS('Yakıt Alım Kayıt'!$I$5:$I$1500,'Yakıt Alım Kayıt'!$D$5:$D$1500,$A139))</f>
        <v/>
      </c>
      <c r="G139" s="4" t="str">
        <f>IF($A139="","",IFERROR(_xludf.maxifs('Yakıt Alım Kayıt'!$J$5:$J$1500,'Yakıt Alım Kayıt'!$D$5:$D$1500,$A139)-_xludf.minifs('Yakıt Alım Kayıt'!$J$5:$J$1500,'Yakıt Alım Kayıt'!$D$5:$D$1500,$A139),0))</f>
        <v/>
      </c>
      <c r="H139" s="10" t="str">
        <f>IF(OR($A139="",$G139=0,$G139=""),"",IF($D139="Kilometre (km)",$E139/($G139/100),$E139/$G139))</f>
        <v/>
      </c>
      <c r="I139" s="10" t="str">
        <f>IF($A139="","",'Araç Tanımlama'!G139)</f>
        <v/>
      </c>
      <c r="J139" s="4" t="str">
        <f>IF(OR($A139="",$H139="",$I139=""),"",IF($H139&gt;$I139*1.15,"YÜKSEK",IF($H139&gt;$I139*1.05,"DİKKAT","NORMAL")))</f>
        <v/>
      </c>
    </row>
    <row r="140" spans="1:10">
      <c r="A140" s="6" t="str">
        <f>IF('Araç Tanımlama'!A140="","",'Araç Tanımlama'!A140)</f>
        <v/>
      </c>
      <c r="B140" s="4" t="str">
        <f>IF($A140="","",'Araç Tanımlama'!D140)</f>
        <v/>
      </c>
      <c r="C140" s="4" t="str">
        <f>IF($A140="","",'Araç Tanımlama'!E140)</f>
        <v/>
      </c>
      <c r="D140" s="4" t="str">
        <f>IF($A140="","",'Araç Tanımlama'!F140)</f>
        <v/>
      </c>
      <c r="E140" s="4" t="str">
        <f>IF($A140="","",SUMIFS('Yakıt Alım Kayıt'!$G$5:$G$1500,'Yakıt Alım Kayıt'!$D$5:$D$1500,$A140))</f>
        <v/>
      </c>
      <c r="F140" s="9" t="str">
        <f>IF($A140="","",SUMIFS('Yakıt Alım Kayıt'!$I$5:$I$1500,'Yakıt Alım Kayıt'!$D$5:$D$1500,$A140))</f>
        <v/>
      </c>
      <c r="G140" s="4" t="str">
        <f>IF($A140="","",IFERROR(_xludf.maxifs('Yakıt Alım Kayıt'!$J$5:$J$1500,'Yakıt Alım Kayıt'!$D$5:$D$1500,$A140)-_xludf.minifs('Yakıt Alım Kayıt'!$J$5:$J$1500,'Yakıt Alım Kayıt'!$D$5:$D$1500,$A140),0))</f>
        <v/>
      </c>
      <c r="H140" s="10" t="str">
        <f>IF(OR($A140="",$G140=0,$G140=""),"",IF($D140="Kilometre (km)",$E140/($G140/100),$E140/$G140))</f>
        <v/>
      </c>
      <c r="I140" s="10" t="str">
        <f>IF($A140="","",'Araç Tanımlama'!G140)</f>
        <v/>
      </c>
      <c r="J140" s="4" t="str">
        <f>IF(OR($A140="",$H140="",$I140=""),"",IF($H140&gt;$I140*1.15,"YÜKSEK",IF($H140&gt;$I140*1.05,"DİKKAT","NORMAL")))</f>
        <v/>
      </c>
    </row>
    <row r="141" spans="1:10">
      <c r="A141" s="6" t="str">
        <f>IF('Araç Tanımlama'!A141="","",'Araç Tanımlama'!A141)</f>
        <v/>
      </c>
      <c r="B141" s="4" t="str">
        <f>IF($A141="","",'Araç Tanımlama'!D141)</f>
        <v/>
      </c>
      <c r="C141" s="4" t="str">
        <f>IF($A141="","",'Araç Tanımlama'!E141)</f>
        <v/>
      </c>
      <c r="D141" s="4" t="str">
        <f>IF($A141="","",'Araç Tanımlama'!F141)</f>
        <v/>
      </c>
      <c r="E141" s="4" t="str">
        <f>IF($A141="","",SUMIFS('Yakıt Alım Kayıt'!$G$5:$G$1500,'Yakıt Alım Kayıt'!$D$5:$D$1500,$A141))</f>
        <v/>
      </c>
      <c r="F141" s="9" t="str">
        <f>IF($A141="","",SUMIFS('Yakıt Alım Kayıt'!$I$5:$I$1500,'Yakıt Alım Kayıt'!$D$5:$D$1500,$A141))</f>
        <v/>
      </c>
      <c r="G141" s="4" t="str">
        <f>IF($A141="","",IFERROR(_xludf.maxifs('Yakıt Alım Kayıt'!$J$5:$J$1500,'Yakıt Alım Kayıt'!$D$5:$D$1500,$A141)-_xludf.minifs('Yakıt Alım Kayıt'!$J$5:$J$1500,'Yakıt Alım Kayıt'!$D$5:$D$1500,$A141),0))</f>
        <v/>
      </c>
      <c r="H141" s="10" t="str">
        <f>IF(OR($A141="",$G141=0,$G141=""),"",IF($D141="Kilometre (km)",$E141/($G141/100),$E141/$G141))</f>
        <v/>
      </c>
      <c r="I141" s="10" t="str">
        <f>IF($A141="","",'Araç Tanımlama'!G141)</f>
        <v/>
      </c>
      <c r="J141" s="4" t="str">
        <f>IF(OR($A141="",$H141="",$I141=""),"",IF($H141&gt;$I141*1.15,"YÜKSEK",IF($H141&gt;$I141*1.05,"DİKKAT","NORMAL")))</f>
        <v/>
      </c>
    </row>
    <row r="142" spans="1:10">
      <c r="A142" s="6" t="str">
        <f>IF('Araç Tanımlama'!A142="","",'Araç Tanımlama'!A142)</f>
        <v/>
      </c>
      <c r="B142" s="4" t="str">
        <f>IF($A142="","",'Araç Tanımlama'!D142)</f>
        <v/>
      </c>
      <c r="C142" s="4" t="str">
        <f>IF($A142="","",'Araç Tanımlama'!E142)</f>
        <v/>
      </c>
      <c r="D142" s="4" t="str">
        <f>IF($A142="","",'Araç Tanımlama'!F142)</f>
        <v/>
      </c>
      <c r="E142" s="4" t="str">
        <f>IF($A142="","",SUMIFS('Yakıt Alım Kayıt'!$G$5:$G$1500,'Yakıt Alım Kayıt'!$D$5:$D$1500,$A142))</f>
        <v/>
      </c>
      <c r="F142" s="9" t="str">
        <f>IF($A142="","",SUMIFS('Yakıt Alım Kayıt'!$I$5:$I$1500,'Yakıt Alım Kayıt'!$D$5:$D$1500,$A142))</f>
        <v/>
      </c>
      <c r="G142" s="4" t="str">
        <f>IF($A142="","",IFERROR(_xludf.maxifs('Yakıt Alım Kayıt'!$J$5:$J$1500,'Yakıt Alım Kayıt'!$D$5:$D$1500,$A142)-_xludf.minifs('Yakıt Alım Kayıt'!$J$5:$J$1500,'Yakıt Alım Kayıt'!$D$5:$D$1500,$A142),0))</f>
        <v/>
      </c>
      <c r="H142" s="10" t="str">
        <f>IF(OR($A142="",$G142=0,$G142=""),"",IF($D142="Kilometre (km)",$E142/($G142/100),$E142/$G142))</f>
        <v/>
      </c>
      <c r="I142" s="10" t="str">
        <f>IF($A142="","",'Araç Tanımlama'!G142)</f>
        <v/>
      </c>
      <c r="J142" s="4" t="str">
        <f>IF(OR($A142="",$H142="",$I142=""),"",IF($H142&gt;$I142*1.15,"YÜKSEK",IF($H142&gt;$I142*1.05,"DİKKAT","NORMAL")))</f>
        <v/>
      </c>
    </row>
    <row r="143" spans="1:10">
      <c r="A143" s="6" t="str">
        <f>IF('Araç Tanımlama'!A143="","",'Araç Tanımlama'!A143)</f>
        <v/>
      </c>
      <c r="B143" s="4" t="str">
        <f>IF($A143="","",'Araç Tanımlama'!D143)</f>
        <v/>
      </c>
      <c r="C143" s="4" t="str">
        <f>IF($A143="","",'Araç Tanımlama'!E143)</f>
        <v/>
      </c>
      <c r="D143" s="4" t="str">
        <f>IF($A143="","",'Araç Tanımlama'!F143)</f>
        <v/>
      </c>
      <c r="E143" s="4" t="str">
        <f>IF($A143="","",SUMIFS('Yakıt Alım Kayıt'!$G$5:$G$1500,'Yakıt Alım Kayıt'!$D$5:$D$1500,$A143))</f>
        <v/>
      </c>
      <c r="F143" s="9" t="str">
        <f>IF($A143="","",SUMIFS('Yakıt Alım Kayıt'!$I$5:$I$1500,'Yakıt Alım Kayıt'!$D$5:$D$1500,$A143))</f>
        <v/>
      </c>
      <c r="G143" s="4" t="str">
        <f>IF($A143="","",IFERROR(_xludf.maxifs('Yakıt Alım Kayıt'!$J$5:$J$1500,'Yakıt Alım Kayıt'!$D$5:$D$1500,$A143)-_xludf.minifs('Yakıt Alım Kayıt'!$J$5:$J$1500,'Yakıt Alım Kayıt'!$D$5:$D$1500,$A143),0))</f>
        <v/>
      </c>
      <c r="H143" s="10" t="str">
        <f>IF(OR($A143="",$G143=0,$G143=""),"",IF($D143="Kilometre (km)",$E143/($G143/100),$E143/$G143))</f>
        <v/>
      </c>
      <c r="I143" s="10" t="str">
        <f>IF($A143="","",'Araç Tanımlama'!G143)</f>
        <v/>
      </c>
      <c r="J143" s="4" t="str">
        <f>IF(OR($A143="",$H143="",$I143=""),"",IF($H143&gt;$I143*1.15,"YÜKSEK",IF($H143&gt;$I143*1.05,"DİKKAT","NORMAL")))</f>
        <v/>
      </c>
    </row>
    <row r="144" spans="1:10">
      <c r="A144" s="6" t="str">
        <f>IF('Araç Tanımlama'!A144="","",'Araç Tanımlama'!A144)</f>
        <v/>
      </c>
      <c r="B144" s="4" t="str">
        <f>IF($A144="","",'Araç Tanımlama'!D144)</f>
        <v/>
      </c>
      <c r="C144" s="4" t="str">
        <f>IF($A144="","",'Araç Tanımlama'!E144)</f>
        <v/>
      </c>
      <c r="D144" s="4" t="str">
        <f>IF($A144="","",'Araç Tanımlama'!F144)</f>
        <v/>
      </c>
      <c r="E144" s="4" t="str">
        <f>IF($A144="","",SUMIFS('Yakıt Alım Kayıt'!$G$5:$G$1500,'Yakıt Alım Kayıt'!$D$5:$D$1500,$A144))</f>
        <v/>
      </c>
      <c r="F144" s="9" t="str">
        <f>IF($A144="","",SUMIFS('Yakıt Alım Kayıt'!$I$5:$I$1500,'Yakıt Alım Kayıt'!$D$5:$D$1500,$A144))</f>
        <v/>
      </c>
      <c r="G144" s="4" t="str">
        <f>IF($A144="","",IFERROR(_xludf.maxifs('Yakıt Alım Kayıt'!$J$5:$J$1500,'Yakıt Alım Kayıt'!$D$5:$D$1500,$A144)-_xludf.minifs('Yakıt Alım Kayıt'!$J$5:$J$1500,'Yakıt Alım Kayıt'!$D$5:$D$1500,$A144),0))</f>
        <v/>
      </c>
      <c r="H144" s="10" t="str">
        <f>IF(OR($A144="",$G144=0,$G144=""),"",IF($D144="Kilometre (km)",$E144/($G144/100),$E144/$G144))</f>
        <v/>
      </c>
      <c r="I144" s="10" t="str">
        <f>IF($A144="","",'Araç Tanımlama'!G144)</f>
        <v/>
      </c>
      <c r="J144" s="4" t="str">
        <f>IF(OR($A144="",$H144="",$I144=""),"",IF($H144&gt;$I144*1.15,"YÜKSEK",IF($H144&gt;$I144*1.05,"DİKKAT","NORMAL")))</f>
        <v/>
      </c>
    </row>
    <row r="145" spans="1:10">
      <c r="A145" s="6" t="str">
        <f>IF('Araç Tanımlama'!A145="","",'Araç Tanımlama'!A145)</f>
        <v/>
      </c>
      <c r="B145" s="4" t="str">
        <f>IF($A145="","",'Araç Tanımlama'!D145)</f>
        <v/>
      </c>
      <c r="C145" s="4" t="str">
        <f>IF($A145="","",'Araç Tanımlama'!E145)</f>
        <v/>
      </c>
      <c r="D145" s="4" t="str">
        <f>IF($A145="","",'Araç Tanımlama'!F145)</f>
        <v/>
      </c>
      <c r="E145" s="4" t="str">
        <f>IF($A145="","",SUMIFS('Yakıt Alım Kayıt'!$G$5:$G$1500,'Yakıt Alım Kayıt'!$D$5:$D$1500,$A145))</f>
        <v/>
      </c>
      <c r="F145" s="9" t="str">
        <f>IF($A145="","",SUMIFS('Yakıt Alım Kayıt'!$I$5:$I$1500,'Yakıt Alım Kayıt'!$D$5:$D$1500,$A145))</f>
        <v/>
      </c>
      <c r="G145" s="4" t="str">
        <f>IF($A145="","",IFERROR(_xludf.maxifs('Yakıt Alım Kayıt'!$J$5:$J$1500,'Yakıt Alım Kayıt'!$D$5:$D$1500,$A145)-_xludf.minifs('Yakıt Alım Kayıt'!$J$5:$J$1500,'Yakıt Alım Kayıt'!$D$5:$D$1500,$A145),0))</f>
        <v/>
      </c>
      <c r="H145" s="10" t="str">
        <f>IF(OR($A145="",$G145=0,$G145=""),"",IF($D145="Kilometre (km)",$E145/($G145/100),$E145/$G145))</f>
        <v/>
      </c>
      <c r="I145" s="10" t="str">
        <f>IF($A145="","",'Araç Tanımlama'!G145)</f>
        <v/>
      </c>
      <c r="J145" s="4" t="str">
        <f>IF(OR($A145="",$H145="",$I145=""),"",IF($H145&gt;$I145*1.15,"YÜKSEK",IF($H145&gt;$I145*1.05,"DİKKAT","NORMAL")))</f>
        <v/>
      </c>
    </row>
    <row r="146" spans="1:10">
      <c r="A146" s="6" t="str">
        <f>IF('Araç Tanımlama'!A146="","",'Araç Tanımlama'!A146)</f>
        <v/>
      </c>
      <c r="B146" s="4" t="str">
        <f>IF($A146="","",'Araç Tanımlama'!D146)</f>
        <v/>
      </c>
      <c r="C146" s="4" t="str">
        <f>IF($A146="","",'Araç Tanımlama'!E146)</f>
        <v/>
      </c>
      <c r="D146" s="4" t="str">
        <f>IF($A146="","",'Araç Tanımlama'!F146)</f>
        <v/>
      </c>
      <c r="E146" s="4" t="str">
        <f>IF($A146="","",SUMIFS('Yakıt Alım Kayıt'!$G$5:$G$1500,'Yakıt Alım Kayıt'!$D$5:$D$1500,$A146))</f>
        <v/>
      </c>
      <c r="F146" s="9" t="str">
        <f>IF($A146="","",SUMIFS('Yakıt Alım Kayıt'!$I$5:$I$1500,'Yakıt Alım Kayıt'!$D$5:$D$1500,$A146))</f>
        <v/>
      </c>
      <c r="G146" s="4" t="str">
        <f>IF($A146="","",IFERROR(_xludf.maxifs('Yakıt Alım Kayıt'!$J$5:$J$1500,'Yakıt Alım Kayıt'!$D$5:$D$1500,$A146)-_xludf.minifs('Yakıt Alım Kayıt'!$J$5:$J$1500,'Yakıt Alım Kayıt'!$D$5:$D$1500,$A146),0))</f>
        <v/>
      </c>
      <c r="H146" s="10" t="str">
        <f>IF(OR($A146="",$G146=0,$G146=""),"",IF($D146="Kilometre (km)",$E146/($G146/100),$E146/$G146))</f>
        <v/>
      </c>
      <c r="I146" s="10" t="str">
        <f>IF($A146="","",'Araç Tanımlama'!G146)</f>
        <v/>
      </c>
      <c r="J146" s="4" t="str">
        <f>IF(OR($A146="",$H146="",$I146=""),"",IF($H146&gt;$I146*1.15,"YÜKSEK",IF($H146&gt;$I146*1.05,"DİKKAT","NORMAL")))</f>
        <v/>
      </c>
    </row>
    <row r="147" spans="1:10">
      <c r="A147" s="6" t="str">
        <f>IF('Araç Tanımlama'!A147="","",'Araç Tanımlama'!A147)</f>
        <v/>
      </c>
      <c r="B147" s="4" t="str">
        <f>IF($A147="","",'Araç Tanımlama'!D147)</f>
        <v/>
      </c>
      <c r="C147" s="4" t="str">
        <f>IF($A147="","",'Araç Tanımlama'!E147)</f>
        <v/>
      </c>
      <c r="D147" s="4" t="str">
        <f>IF($A147="","",'Araç Tanımlama'!F147)</f>
        <v/>
      </c>
      <c r="E147" s="4" t="str">
        <f>IF($A147="","",SUMIFS('Yakıt Alım Kayıt'!$G$5:$G$1500,'Yakıt Alım Kayıt'!$D$5:$D$1500,$A147))</f>
        <v/>
      </c>
      <c r="F147" s="9" t="str">
        <f>IF($A147="","",SUMIFS('Yakıt Alım Kayıt'!$I$5:$I$1500,'Yakıt Alım Kayıt'!$D$5:$D$1500,$A147))</f>
        <v/>
      </c>
      <c r="G147" s="4" t="str">
        <f>IF($A147="","",IFERROR(_xludf.maxifs('Yakıt Alım Kayıt'!$J$5:$J$1500,'Yakıt Alım Kayıt'!$D$5:$D$1500,$A147)-_xludf.minifs('Yakıt Alım Kayıt'!$J$5:$J$1500,'Yakıt Alım Kayıt'!$D$5:$D$1500,$A147),0))</f>
        <v/>
      </c>
      <c r="H147" s="10" t="str">
        <f>IF(OR($A147="",$G147=0,$G147=""),"",IF($D147="Kilometre (km)",$E147/($G147/100),$E147/$G147))</f>
        <v/>
      </c>
      <c r="I147" s="10" t="str">
        <f>IF($A147="","",'Araç Tanımlama'!G147)</f>
        <v/>
      </c>
      <c r="J147" s="4" t="str">
        <f>IF(OR($A147="",$H147="",$I147=""),"",IF($H147&gt;$I147*1.15,"YÜKSEK",IF($H147&gt;$I147*1.05,"DİKKAT","NORMAL")))</f>
        <v/>
      </c>
    </row>
    <row r="148" spans="1:10">
      <c r="A148" s="6" t="str">
        <f>IF('Araç Tanımlama'!A148="","",'Araç Tanımlama'!A148)</f>
        <v/>
      </c>
      <c r="B148" s="4" t="str">
        <f>IF($A148="","",'Araç Tanımlama'!D148)</f>
        <v/>
      </c>
      <c r="C148" s="4" t="str">
        <f>IF($A148="","",'Araç Tanımlama'!E148)</f>
        <v/>
      </c>
      <c r="D148" s="4" t="str">
        <f>IF($A148="","",'Araç Tanımlama'!F148)</f>
        <v/>
      </c>
      <c r="E148" s="4" t="str">
        <f>IF($A148="","",SUMIFS('Yakıt Alım Kayıt'!$G$5:$G$1500,'Yakıt Alım Kayıt'!$D$5:$D$1500,$A148))</f>
        <v/>
      </c>
      <c r="F148" s="9" t="str">
        <f>IF($A148="","",SUMIFS('Yakıt Alım Kayıt'!$I$5:$I$1500,'Yakıt Alım Kayıt'!$D$5:$D$1500,$A148))</f>
        <v/>
      </c>
      <c r="G148" s="4" t="str">
        <f>IF($A148="","",IFERROR(_xludf.maxifs('Yakıt Alım Kayıt'!$J$5:$J$1500,'Yakıt Alım Kayıt'!$D$5:$D$1500,$A148)-_xludf.minifs('Yakıt Alım Kayıt'!$J$5:$J$1500,'Yakıt Alım Kayıt'!$D$5:$D$1500,$A148),0))</f>
        <v/>
      </c>
      <c r="H148" s="10" t="str">
        <f>IF(OR($A148="",$G148=0,$G148=""),"",IF($D148="Kilometre (km)",$E148/($G148/100),$E148/$G148))</f>
        <v/>
      </c>
      <c r="I148" s="10" t="str">
        <f>IF($A148="","",'Araç Tanımlama'!G148)</f>
        <v/>
      </c>
      <c r="J148" s="4" t="str">
        <f>IF(OR($A148="",$H148="",$I148=""),"",IF($H148&gt;$I148*1.15,"YÜKSEK",IF($H148&gt;$I148*1.05,"DİKKAT","NORMAL")))</f>
        <v/>
      </c>
    </row>
    <row r="149" spans="1:10">
      <c r="A149" s="6" t="str">
        <f>IF('Araç Tanımlama'!A149="","",'Araç Tanımlama'!A149)</f>
        <v/>
      </c>
      <c r="B149" s="4" t="str">
        <f>IF($A149="","",'Araç Tanımlama'!D149)</f>
        <v/>
      </c>
      <c r="C149" s="4" t="str">
        <f>IF($A149="","",'Araç Tanımlama'!E149)</f>
        <v/>
      </c>
      <c r="D149" s="4" t="str">
        <f>IF($A149="","",'Araç Tanımlama'!F149)</f>
        <v/>
      </c>
      <c r="E149" s="4" t="str">
        <f>IF($A149="","",SUMIFS('Yakıt Alım Kayıt'!$G$5:$G$1500,'Yakıt Alım Kayıt'!$D$5:$D$1500,$A149))</f>
        <v/>
      </c>
      <c r="F149" s="9" t="str">
        <f>IF($A149="","",SUMIFS('Yakıt Alım Kayıt'!$I$5:$I$1500,'Yakıt Alım Kayıt'!$D$5:$D$1500,$A149))</f>
        <v/>
      </c>
      <c r="G149" s="4" t="str">
        <f>IF($A149="","",IFERROR(_xludf.maxifs('Yakıt Alım Kayıt'!$J$5:$J$1500,'Yakıt Alım Kayıt'!$D$5:$D$1500,$A149)-_xludf.minifs('Yakıt Alım Kayıt'!$J$5:$J$1500,'Yakıt Alım Kayıt'!$D$5:$D$1500,$A149),0))</f>
        <v/>
      </c>
      <c r="H149" s="10" t="str">
        <f>IF(OR($A149="",$G149=0,$G149=""),"",IF($D149="Kilometre (km)",$E149/($G149/100),$E149/$G149))</f>
        <v/>
      </c>
      <c r="I149" s="10" t="str">
        <f>IF($A149="","",'Araç Tanımlama'!G149)</f>
        <v/>
      </c>
      <c r="J149" s="4" t="str">
        <f>IF(OR($A149="",$H149="",$I149=""),"",IF($H149&gt;$I149*1.15,"YÜKSEK",IF($H149&gt;$I149*1.05,"DİKKAT","NORMAL")))</f>
        <v/>
      </c>
    </row>
    <row r="150" spans="1:10">
      <c r="A150" s="6" t="str">
        <f>IF('Araç Tanımlama'!A150="","",'Araç Tanımlama'!A150)</f>
        <v/>
      </c>
      <c r="B150" s="4" t="str">
        <f>IF($A150="","",'Araç Tanımlama'!D150)</f>
        <v/>
      </c>
      <c r="C150" s="4" t="str">
        <f>IF($A150="","",'Araç Tanımlama'!E150)</f>
        <v/>
      </c>
      <c r="D150" s="4" t="str">
        <f>IF($A150="","",'Araç Tanımlama'!F150)</f>
        <v/>
      </c>
      <c r="E150" s="4" t="str">
        <f>IF($A150="","",SUMIFS('Yakıt Alım Kayıt'!$G$5:$G$1500,'Yakıt Alım Kayıt'!$D$5:$D$1500,$A150))</f>
        <v/>
      </c>
      <c r="F150" s="9" t="str">
        <f>IF($A150="","",SUMIFS('Yakıt Alım Kayıt'!$I$5:$I$1500,'Yakıt Alım Kayıt'!$D$5:$D$1500,$A150))</f>
        <v/>
      </c>
      <c r="G150" s="4" t="str">
        <f>IF($A150="","",IFERROR(_xludf.maxifs('Yakıt Alım Kayıt'!$J$5:$J$1500,'Yakıt Alım Kayıt'!$D$5:$D$1500,$A150)-_xludf.minifs('Yakıt Alım Kayıt'!$J$5:$J$1500,'Yakıt Alım Kayıt'!$D$5:$D$1500,$A150),0))</f>
        <v/>
      </c>
      <c r="H150" s="10" t="str">
        <f>IF(OR($A150="",$G150=0,$G150=""),"",IF($D150="Kilometre (km)",$E150/($G150/100),$E150/$G150))</f>
        <v/>
      </c>
      <c r="I150" s="10" t="str">
        <f>IF($A150="","",'Araç Tanımlama'!G150)</f>
        <v/>
      </c>
      <c r="J150" s="4" t="str">
        <f>IF(OR($A150="",$H150="",$I150=""),"",IF($H150&gt;$I150*1.15,"YÜKSEK",IF($H150&gt;$I150*1.05,"DİKKAT","NORMAL")))</f>
        <v/>
      </c>
    </row>
    <row r="151" spans="1:10">
      <c r="A151" s="6" t="str">
        <f>IF('Araç Tanımlama'!A151="","",'Araç Tanımlama'!A151)</f>
        <v/>
      </c>
      <c r="B151" s="4" t="str">
        <f>IF($A151="","",'Araç Tanımlama'!D151)</f>
        <v/>
      </c>
      <c r="C151" s="4" t="str">
        <f>IF($A151="","",'Araç Tanımlama'!E151)</f>
        <v/>
      </c>
      <c r="D151" s="4" t="str">
        <f>IF($A151="","",'Araç Tanımlama'!F151)</f>
        <v/>
      </c>
      <c r="E151" s="4" t="str">
        <f>IF($A151="","",SUMIFS('Yakıt Alım Kayıt'!$G$5:$G$1500,'Yakıt Alım Kayıt'!$D$5:$D$1500,$A151))</f>
        <v/>
      </c>
      <c r="F151" s="9" t="str">
        <f>IF($A151="","",SUMIFS('Yakıt Alım Kayıt'!$I$5:$I$1500,'Yakıt Alım Kayıt'!$D$5:$D$1500,$A151))</f>
        <v/>
      </c>
      <c r="G151" s="4" t="str">
        <f>IF($A151="","",IFERROR(_xludf.maxifs('Yakıt Alım Kayıt'!$J$5:$J$1500,'Yakıt Alım Kayıt'!$D$5:$D$1500,$A151)-_xludf.minifs('Yakıt Alım Kayıt'!$J$5:$J$1500,'Yakıt Alım Kayıt'!$D$5:$D$1500,$A151),0))</f>
        <v/>
      </c>
      <c r="H151" s="10" t="str">
        <f>IF(OR($A151="",$G151=0,$G151=""),"",IF($D151="Kilometre (km)",$E151/($G151/100),$E151/$G151))</f>
        <v/>
      </c>
      <c r="I151" s="10" t="str">
        <f>IF($A151="","",'Araç Tanımlama'!G151)</f>
        <v/>
      </c>
      <c r="J151" s="4" t="str">
        <f>IF(OR($A151="",$H151="",$I151=""),"",IF($H151&gt;$I151*1.15,"YÜKSEK",IF($H151&gt;$I151*1.05,"DİKKAT","NORMAL")))</f>
        <v/>
      </c>
    </row>
    <row r="152" spans="1:10">
      <c r="A152" s="6" t="str">
        <f>IF('Araç Tanımlama'!A152="","",'Araç Tanımlama'!A152)</f>
        <v/>
      </c>
      <c r="B152" s="4" t="str">
        <f>IF($A152="","",'Araç Tanımlama'!D152)</f>
        <v/>
      </c>
      <c r="C152" s="4" t="str">
        <f>IF($A152="","",'Araç Tanımlama'!E152)</f>
        <v/>
      </c>
      <c r="D152" s="4" t="str">
        <f>IF($A152="","",'Araç Tanımlama'!F152)</f>
        <v/>
      </c>
      <c r="E152" s="4" t="str">
        <f>IF($A152="","",SUMIFS('Yakıt Alım Kayıt'!$G$5:$G$1500,'Yakıt Alım Kayıt'!$D$5:$D$1500,$A152))</f>
        <v/>
      </c>
      <c r="F152" s="9" t="str">
        <f>IF($A152="","",SUMIFS('Yakıt Alım Kayıt'!$I$5:$I$1500,'Yakıt Alım Kayıt'!$D$5:$D$1500,$A152))</f>
        <v/>
      </c>
      <c r="G152" s="4" t="str">
        <f>IF($A152="","",IFERROR(_xludf.maxifs('Yakıt Alım Kayıt'!$J$5:$J$1500,'Yakıt Alım Kayıt'!$D$5:$D$1500,$A152)-_xludf.minifs('Yakıt Alım Kayıt'!$J$5:$J$1500,'Yakıt Alım Kayıt'!$D$5:$D$1500,$A152),0))</f>
        <v/>
      </c>
      <c r="H152" s="10" t="str">
        <f>IF(OR($A152="",$G152=0,$G152=""),"",IF($D152="Kilometre (km)",$E152/($G152/100),$E152/$G152))</f>
        <v/>
      </c>
      <c r="I152" s="10" t="str">
        <f>IF($A152="","",'Araç Tanımlama'!G152)</f>
        <v/>
      </c>
      <c r="J152" s="4" t="str">
        <f>IF(OR($A152="",$H152="",$I152=""),"",IF($H152&gt;$I152*1.15,"YÜKSEK",IF($H152&gt;$I152*1.05,"DİKKAT","NORMAL")))</f>
        <v/>
      </c>
    </row>
    <row r="153" spans="1:10">
      <c r="A153" s="6" t="str">
        <f>IF('Araç Tanımlama'!A153="","",'Araç Tanımlama'!A153)</f>
        <v/>
      </c>
      <c r="B153" s="4" t="str">
        <f>IF($A153="","",'Araç Tanımlama'!D153)</f>
        <v/>
      </c>
      <c r="C153" s="4" t="str">
        <f>IF($A153="","",'Araç Tanımlama'!E153)</f>
        <v/>
      </c>
      <c r="D153" s="4" t="str">
        <f>IF($A153="","",'Araç Tanımlama'!F153)</f>
        <v/>
      </c>
      <c r="E153" s="4" t="str">
        <f>IF($A153="","",SUMIFS('Yakıt Alım Kayıt'!$G$5:$G$1500,'Yakıt Alım Kayıt'!$D$5:$D$1500,$A153))</f>
        <v/>
      </c>
      <c r="F153" s="9" t="str">
        <f>IF($A153="","",SUMIFS('Yakıt Alım Kayıt'!$I$5:$I$1500,'Yakıt Alım Kayıt'!$D$5:$D$1500,$A153))</f>
        <v/>
      </c>
      <c r="G153" s="4" t="str">
        <f>IF($A153="","",IFERROR(_xludf.maxifs('Yakıt Alım Kayıt'!$J$5:$J$1500,'Yakıt Alım Kayıt'!$D$5:$D$1500,$A153)-_xludf.minifs('Yakıt Alım Kayıt'!$J$5:$J$1500,'Yakıt Alım Kayıt'!$D$5:$D$1500,$A153),0))</f>
        <v/>
      </c>
      <c r="H153" s="10" t="str">
        <f>IF(OR($A153="",$G153=0,$G153=""),"",IF($D153="Kilometre (km)",$E153/($G153/100),$E153/$G153))</f>
        <v/>
      </c>
      <c r="I153" s="10" t="str">
        <f>IF($A153="","",'Araç Tanımlama'!G153)</f>
        <v/>
      </c>
      <c r="J153" s="4" t="str">
        <f>IF(OR($A153="",$H153="",$I153=""),"",IF($H153&gt;$I153*1.15,"YÜKSEK",IF($H153&gt;$I153*1.05,"DİKKAT","NORMAL")))</f>
        <v/>
      </c>
    </row>
    <row r="154" spans="1:10">
      <c r="A154" s="6" t="str">
        <f>IF('Araç Tanımlama'!A154="","",'Araç Tanımlama'!A154)</f>
        <v/>
      </c>
      <c r="B154" s="4" t="str">
        <f>IF($A154="","",'Araç Tanımlama'!D154)</f>
        <v/>
      </c>
      <c r="C154" s="4" t="str">
        <f>IF($A154="","",'Araç Tanımlama'!E154)</f>
        <v/>
      </c>
      <c r="D154" s="4" t="str">
        <f>IF($A154="","",'Araç Tanımlama'!F154)</f>
        <v/>
      </c>
      <c r="E154" s="4" t="str">
        <f>IF($A154="","",SUMIFS('Yakıt Alım Kayıt'!$G$5:$G$1500,'Yakıt Alım Kayıt'!$D$5:$D$1500,$A154))</f>
        <v/>
      </c>
      <c r="F154" s="9" t="str">
        <f>IF($A154="","",SUMIFS('Yakıt Alım Kayıt'!$I$5:$I$1500,'Yakıt Alım Kayıt'!$D$5:$D$1500,$A154))</f>
        <v/>
      </c>
      <c r="G154" s="4" t="str">
        <f>IF($A154="","",IFERROR(_xludf.maxifs('Yakıt Alım Kayıt'!$J$5:$J$1500,'Yakıt Alım Kayıt'!$D$5:$D$1500,$A154)-_xludf.minifs('Yakıt Alım Kayıt'!$J$5:$J$1500,'Yakıt Alım Kayıt'!$D$5:$D$1500,$A154),0))</f>
        <v/>
      </c>
      <c r="H154" s="10" t="str">
        <f>IF(OR($A154="",$G154=0,$G154=""),"",IF($D154="Kilometre (km)",$E154/($G154/100),$E154/$G154))</f>
        <v/>
      </c>
      <c r="I154" s="10" t="str">
        <f>IF($A154="","",'Araç Tanımlama'!G154)</f>
        <v/>
      </c>
      <c r="J154" s="4" t="str">
        <f>IF(OR($A154="",$H154="",$I154=""),"",IF($H154&gt;$I154*1.15,"YÜKSEK",IF($H154&gt;$I154*1.05,"DİKKAT","NORMAL")))</f>
        <v/>
      </c>
    </row>
    <row r="155" spans="1:10">
      <c r="A155" s="6" t="str">
        <f>IF('Araç Tanımlama'!A155="","",'Araç Tanımlama'!A155)</f>
        <v/>
      </c>
      <c r="B155" s="4" t="str">
        <f>IF($A155="","",'Araç Tanımlama'!D155)</f>
        <v/>
      </c>
      <c r="C155" s="4" t="str">
        <f>IF($A155="","",'Araç Tanımlama'!E155)</f>
        <v/>
      </c>
      <c r="D155" s="4" t="str">
        <f>IF($A155="","",'Araç Tanımlama'!F155)</f>
        <v/>
      </c>
      <c r="E155" s="4" t="str">
        <f>IF($A155="","",SUMIFS('Yakıt Alım Kayıt'!$G$5:$G$1500,'Yakıt Alım Kayıt'!$D$5:$D$1500,$A155))</f>
        <v/>
      </c>
      <c r="F155" s="9" t="str">
        <f>IF($A155="","",SUMIFS('Yakıt Alım Kayıt'!$I$5:$I$1500,'Yakıt Alım Kayıt'!$D$5:$D$1500,$A155))</f>
        <v/>
      </c>
      <c r="G155" s="4" t="str">
        <f>IF($A155="","",IFERROR(_xludf.maxifs('Yakıt Alım Kayıt'!$J$5:$J$1500,'Yakıt Alım Kayıt'!$D$5:$D$1500,$A155)-_xludf.minifs('Yakıt Alım Kayıt'!$J$5:$J$1500,'Yakıt Alım Kayıt'!$D$5:$D$1500,$A155),0))</f>
        <v/>
      </c>
      <c r="H155" s="10" t="str">
        <f>IF(OR($A155="",$G155=0,$G155=""),"",IF($D155="Kilometre (km)",$E155/($G155/100),$E155/$G155))</f>
        <v/>
      </c>
      <c r="I155" s="10" t="str">
        <f>IF($A155="","",'Araç Tanımlama'!G155)</f>
        <v/>
      </c>
      <c r="J155" s="4" t="str">
        <f>IF(OR($A155="",$H155="",$I155=""),"",IF($H155&gt;$I155*1.15,"YÜKSEK",IF($H155&gt;$I155*1.05,"DİKKAT","NORMAL")))</f>
        <v/>
      </c>
    </row>
    <row r="156" spans="1:10">
      <c r="A156" s="6" t="str">
        <f>IF('Araç Tanımlama'!A156="","",'Araç Tanımlama'!A156)</f>
        <v/>
      </c>
      <c r="B156" s="4" t="str">
        <f>IF($A156="","",'Araç Tanımlama'!D156)</f>
        <v/>
      </c>
      <c r="C156" s="4" t="str">
        <f>IF($A156="","",'Araç Tanımlama'!E156)</f>
        <v/>
      </c>
      <c r="D156" s="4" t="str">
        <f>IF($A156="","",'Araç Tanımlama'!F156)</f>
        <v/>
      </c>
      <c r="E156" s="4" t="str">
        <f>IF($A156="","",SUMIFS('Yakıt Alım Kayıt'!$G$5:$G$1500,'Yakıt Alım Kayıt'!$D$5:$D$1500,$A156))</f>
        <v/>
      </c>
      <c r="F156" s="9" t="str">
        <f>IF($A156="","",SUMIFS('Yakıt Alım Kayıt'!$I$5:$I$1500,'Yakıt Alım Kayıt'!$D$5:$D$1500,$A156))</f>
        <v/>
      </c>
      <c r="G156" s="4" t="str">
        <f>IF($A156="","",IFERROR(_xludf.maxifs('Yakıt Alım Kayıt'!$J$5:$J$1500,'Yakıt Alım Kayıt'!$D$5:$D$1500,$A156)-_xludf.minifs('Yakıt Alım Kayıt'!$J$5:$J$1500,'Yakıt Alım Kayıt'!$D$5:$D$1500,$A156),0))</f>
        <v/>
      </c>
      <c r="H156" s="10" t="str">
        <f>IF(OR($A156="",$G156=0,$G156=""),"",IF($D156="Kilometre (km)",$E156/($G156/100),$E156/$G156))</f>
        <v/>
      </c>
      <c r="I156" s="10" t="str">
        <f>IF($A156="","",'Araç Tanımlama'!G156)</f>
        <v/>
      </c>
      <c r="J156" s="4" t="str">
        <f>IF(OR($A156="",$H156="",$I156=""),"",IF($H156&gt;$I156*1.15,"YÜKSEK",IF($H156&gt;$I156*1.05,"DİKKAT","NORMAL")))</f>
        <v/>
      </c>
    </row>
    <row r="157" spans="1:10">
      <c r="A157" s="6" t="str">
        <f>IF('Araç Tanımlama'!A157="","",'Araç Tanımlama'!A157)</f>
        <v/>
      </c>
      <c r="B157" s="4" t="str">
        <f>IF($A157="","",'Araç Tanımlama'!D157)</f>
        <v/>
      </c>
      <c r="C157" s="4" t="str">
        <f>IF($A157="","",'Araç Tanımlama'!E157)</f>
        <v/>
      </c>
      <c r="D157" s="4" t="str">
        <f>IF($A157="","",'Araç Tanımlama'!F157)</f>
        <v/>
      </c>
      <c r="E157" s="4" t="str">
        <f>IF($A157="","",SUMIFS('Yakıt Alım Kayıt'!$G$5:$G$1500,'Yakıt Alım Kayıt'!$D$5:$D$1500,$A157))</f>
        <v/>
      </c>
      <c r="F157" s="9" t="str">
        <f>IF($A157="","",SUMIFS('Yakıt Alım Kayıt'!$I$5:$I$1500,'Yakıt Alım Kayıt'!$D$5:$D$1500,$A157))</f>
        <v/>
      </c>
      <c r="G157" s="4" t="str">
        <f>IF($A157="","",IFERROR(_xludf.maxifs('Yakıt Alım Kayıt'!$J$5:$J$1500,'Yakıt Alım Kayıt'!$D$5:$D$1500,$A157)-_xludf.minifs('Yakıt Alım Kayıt'!$J$5:$J$1500,'Yakıt Alım Kayıt'!$D$5:$D$1500,$A157),0))</f>
        <v/>
      </c>
      <c r="H157" s="10" t="str">
        <f>IF(OR($A157="",$G157=0,$G157=""),"",IF($D157="Kilometre (km)",$E157/($G157/100),$E157/$G157))</f>
        <v/>
      </c>
      <c r="I157" s="10" t="str">
        <f>IF($A157="","",'Araç Tanımlama'!G157)</f>
        <v/>
      </c>
      <c r="J157" s="4" t="str">
        <f>IF(OR($A157="",$H157="",$I157=""),"",IF($H157&gt;$I157*1.15,"YÜKSEK",IF($H157&gt;$I157*1.05,"DİKKAT","NORMAL")))</f>
        <v/>
      </c>
    </row>
    <row r="158" spans="1:10">
      <c r="A158" s="6" t="str">
        <f>IF('Araç Tanımlama'!A158="","",'Araç Tanımlama'!A158)</f>
        <v/>
      </c>
      <c r="B158" s="4" t="str">
        <f>IF($A158="","",'Araç Tanımlama'!D158)</f>
        <v/>
      </c>
      <c r="C158" s="4" t="str">
        <f>IF($A158="","",'Araç Tanımlama'!E158)</f>
        <v/>
      </c>
      <c r="D158" s="4" t="str">
        <f>IF($A158="","",'Araç Tanımlama'!F158)</f>
        <v/>
      </c>
      <c r="E158" s="4" t="str">
        <f>IF($A158="","",SUMIFS('Yakıt Alım Kayıt'!$G$5:$G$1500,'Yakıt Alım Kayıt'!$D$5:$D$1500,$A158))</f>
        <v/>
      </c>
      <c r="F158" s="9" t="str">
        <f>IF($A158="","",SUMIFS('Yakıt Alım Kayıt'!$I$5:$I$1500,'Yakıt Alım Kayıt'!$D$5:$D$1500,$A158))</f>
        <v/>
      </c>
      <c r="G158" s="4" t="str">
        <f>IF($A158="","",IFERROR(_xludf.maxifs('Yakıt Alım Kayıt'!$J$5:$J$1500,'Yakıt Alım Kayıt'!$D$5:$D$1500,$A158)-_xludf.minifs('Yakıt Alım Kayıt'!$J$5:$J$1500,'Yakıt Alım Kayıt'!$D$5:$D$1500,$A158),0))</f>
        <v/>
      </c>
      <c r="H158" s="10" t="str">
        <f>IF(OR($A158="",$G158=0,$G158=""),"",IF($D158="Kilometre (km)",$E158/($G158/100),$E158/$G158))</f>
        <v/>
      </c>
      <c r="I158" s="10" t="str">
        <f>IF($A158="","",'Araç Tanımlama'!G158)</f>
        <v/>
      </c>
      <c r="J158" s="4" t="str">
        <f>IF(OR($A158="",$H158="",$I158=""),"",IF($H158&gt;$I158*1.15,"YÜKSEK",IF($H158&gt;$I158*1.05,"DİKKAT","NORMAL")))</f>
        <v/>
      </c>
    </row>
    <row r="159" spans="1:10">
      <c r="A159" s="6" t="str">
        <f>IF('Araç Tanımlama'!A159="","",'Araç Tanımlama'!A159)</f>
        <v/>
      </c>
      <c r="B159" s="4" t="str">
        <f>IF($A159="","",'Araç Tanımlama'!D159)</f>
        <v/>
      </c>
      <c r="C159" s="4" t="str">
        <f>IF($A159="","",'Araç Tanımlama'!E159)</f>
        <v/>
      </c>
      <c r="D159" s="4" t="str">
        <f>IF($A159="","",'Araç Tanımlama'!F159)</f>
        <v/>
      </c>
      <c r="E159" s="4" t="str">
        <f>IF($A159="","",SUMIFS('Yakıt Alım Kayıt'!$G$5:$G$1500,'Yakıt Alım Kayıt'!$D$5:$D$1500,$A159))</f>
        <v/>
      </c>
      <c r="F159" s="9" t="str">
        <f>IF($A159="","",SUMIFS('Yakıt Alım Kayıt'!$I$5:$I$1500,'Yakıt Alım Kayıt'!$D$5:$D$1500,$A159))</f>
        <v/>
      </c>
      <c r="G159" s="4" t="str">
        <f>IF($A159="","",IFERROR(_xludf.maxifs('Yakıt Alım Kayıt'!$J$5:$J$1500,'Yakıt Alım Kayıt'!$D$5:$D$1500,$A159)-_xludf.minifs('Yakıt Alım Kayıt'!$J$5:$J$1500,'Yakıt Alım Kayıt'!$D$5:$D$1500,$A159),0))</f>
        <v/>
      </c>
      <c r="H159" s="10" t="str">
        <f>IF(OR($A159="",$G159=0,$G159=""),"",IF($D159="Kilometre (km)",$E159/($G159/100),$E159/$G159))</f>
        <v/>
      </c>
      <c r="I159" s="10" t="str">
        <f>IF($A159="","",'Araç Tanımlama'!G159)</f>
        <v/>
      </c>
      <c r="J159" s="4" t="str">
        <f>IF(OR($A159="",$H159="",$I159=""),"",IF($H159&gt;$I159*1.15,"YÜKSEK",IF($H159&gt;$I159*1.05,"DİKKAT","NORMAL")))</f>
        <v/>
      </c>
    </row>
    <row r="160" spans="1:10">
      <c r="A160" s="6" t="str">
        <f>IF('Araç Tanımlama'!A160="","",'Araç Tanımlama'!A160)</f>
        <v/>
      </c>
      <c r="B160" s="4" t="str">
        <f>IF($A160="","",'Araç Tanımlama'!D160)</f>
        <v/>
      </c>
      <c r="C160" s="4" t="str">
        <f>IF($A160="","",'Araç Tanımlama'!E160)</f>
        <v/>
      </c>
      <c r="D160" s="4" t="str">
        <f>IF($A160="","",'Araç Tanımlama'!F160)</f>
        <v/>
      </c>
      <c r="E160" s="4" t="str">
        <f>IF($A160="","",SUMIFS('Yakıt Alım Kayıt'!$G$5:$G$1500,'Yakıt Alım Kayıt'!$D$5:$D$1500,$A160))</f>
        <v/>
      </c>
      <c r="F160" s="9" t="str">
        <f>IF($A160="","",SUMIFS('Yakıt Alım Kayıt'!$I$5:$I$1500,'Yakıt Alım Kayıt'!$D$5:$D$1500,$A160))</f>
        <v/>
      </c>
      <c r="G160" s="4" t="str">
        <f>IF($A160="","",IFERROR(_xludf.maxifs('Yakıt Alım Kayıt'!$J$5:$J$1500,'Yakıt Alım Kayıt'!$D$5:$D$1500,$A160)-_xludf.minifs('Yakıt Alım Kayıt'!$J$5:$J$1500,'Yakıt Alım Kayıt'!$D$5:$D$1500,$A160),0))</f>
        <v/>
      </c>
      <c r="H160" s="10" t="str">
        <f>IF(OR($A160="",$G160=0,$G160=""),"",IF($D160="Kilometre (km)",$E160/($G160/100),$E160/$G160))</f>
        <v/>
      </c>
      <c r="I160" s="10" t="str">
        <f>IF($A160="","",'Araç Tanımlama'!G160)</f>
        <v/>
      </c>
      <c r="J160" s="4" t="str">
        <f>IF(OR($A160="",$H160="",$I160=""),"",IF($H160&gt;$I160*1.15,"YÜKSEK",IF($H160&gt;$I160*1.05,"DİKKAT","NORMAL")))</f>
        <v/>
      </c>
    </row>
    <row r="161" spans="1:10">
      <c r="A161" s="6" t="str">
        <f>IF('Araç Tanımlama'!A161="","",'Araç Tanımlama'!A161)</f>
        <v/>
      </c>
      <c r="B161" s="4" t="str">
        <f>IF($A161="","",'Araç Tanımlama'!D161)</f>
        <v/>
      </c>
      <c r="C161" s="4" t="str">
        <f>IF($A161="","",'Araç Tanımlama'!E161)</f>
        <v/>
      </c>
      <c r="D161" s="4" t="str">
        <f>IF($A161="","",'Araç Tanımlama'!F161)</f>
        <v/>
      </c>
      <c r="E161" s="4" t="str">
        <f>IF($A161="","",SUMIFS('Yakıt Alım Kayıt'!$G$5:$G$1500,'Yakıt Alım Kayıt'!$D$5:$D$1500,$A161))</f>
        <v/>
      </c>
      <c r="F161" s="9" t="str">
        <f>IF($A161="","",SUMIFS('Yakıt Alım Kayıt'!$I$5:$I$1500,'Yakıt Alım Kayıt'!$D$5:$D$1500,$A161))</f>
        <v/>
      </c>
      <c r="G161" s="4" t="str">
        <f>IF($A161="","",IFERROR(_xludf.maxifs('Yakıt Alım Kayıt'!$J$5:$J$1500,'Yakıt Alım Kayıt'!$D$5:$D$1500,$A161)-_xludf.minifs('Yakıt Alım Kayıt'!$J$5:$J$1500,'Yakıt Alım Kayıt'!$D$5:$D$1500,$A161),0))</f>
        <v/>
      </c>
      <c r="H161" s="10" t="str">
        <f>IF(OR($A161="",$G161=0,$G161=""),"",IF($D161="Kilometre (km)",$E161/($G161/100),$E161/$G161))</f>
        <v/>
      </c>
      <c r="I161" s="10" t="str">
        <f>IF($A161="","",'Araç Tanımlama'!G161)</f>
        <v/>
      </c>
      <c r="J161" s="4" t="str">
        <f>IF(OR($A161="",$H161="",$I161=""),"",IF($H161&gt;$I161*1.15,"YÜKSEK",IF($H161&gt;$I161*1.05,"DİKKAT","NORMAL")))</f>
        <v/>
      </c>
    </row>
    <row r="162" spans="1:10">
      <c r="A162" s="6" t="str">
        <f>IF('Araç Tanımlama'!A162="","",'Araç Tanımlama'!A162)</f>
        <v/>
      </c>
      <c r="B162" s="4" t="str">
        <f>IF($A162="","",'Araç Tanımlama'!D162)</f>
        <v/>
      </c>
      <c r="C162" s="4" t="str">
        <f>IF($A162="","",'Araç Tanımlama'!E162)</f>
        <v/>
      </c>
      <c r="D162" s="4" t="str">
        <f>IF($A162="","",'Araç Tanımlama'!F162)</f>
        <v/>
      </c>
      <c r="E162" s="4" t="str">
        <f>IF($A162="","",SUMIFS('Yakıt Alım Kayıt'!$G$5:$G$1500,'Yakıt Alım Kayıt'!$D$5:$D$1500,$A162))</f>
        <v/>
      </c>
      <c r="F162" s="9" t="str">
        <f>IF($A162="","",SUMIFS('Yakıt Alım Kayıt'!$I$5:$I$1500,'Yakıt Alım Kayıt'!$D$5:$D$1500,$A162))</f>
        <v/>
      </c>
      <c r="G162" s="4" t="str">
        <f>IF($A162="","",IFERROR(_xludf.maxifs('Yakıt Alım Kayıt'!$J$5:$J$1500,'Yakıt Alım Kayıt'!$D$5:$D$1500,$A162)-_xludf.minifs('Yakıt Alım Kayıt'!$J$5:$J$1500,'Yakıt Alım Kayıt'!$D$5:$D$1500,$A162),0))</f>
        <v/>
      </c>
      <c r="H162" s="10" t="str">
        <f>IF(OR($A162="",$G162=0,$G162=""),"",IF($D162="Kilometre (km)",$E162/($G162/100),$E162/$G162))</f>
        <v/>
      </c>
      <c r="I162" s="10" t="str">
        <f>IF($A162="","",'Araç Tanımlama'!G162)</f>
        <v/>
      </c>
      <c r="J162" s="4" t="str">
        <f>IF(OR($A162="",$H162="",$I162=""),"",IF($H162&gt;$I162*1.15,"YÜKSEK",IF($H162&gt;$I162*1.05,"DİKKAT","NORMAL")))</f>
        <v/>
      </c>
    </row>
    <row r="163" spans="1:10">
      <c r="A163" s="6" t="str">
        <f>IF('Araç Tanımlama'!A163="","",'Araç Tanımlama'!A163)</f>
        <v/>
      </c>
      <c r="B163" s="4" t="str">
        <f>IF($A163="","",'Araç Tanımlama'!D163)</f>
        <v/>
      </c>
      <c r="C163" s="4" t="str">
        <f>IF($A163="","",'Araç Tanımlama'!E163)</f>
        <v/>
      </c>
      <c r="D163" s="4" t="str">
        <f>IF($A163="","",'Araç Tanımlama'!F163)</f>
        <v/>
      </c>
      <c r="E163" s="4" t="str">
        <f>IF($A163="","",SUMIFS('Yakıt Alım Kayıt'!$G$5:$G$1500,'Yakıt Alım Kayıt'!$D$5:$D$1500,$A163))</f>
        <v/>
      </c>
      <c r="F163" s="9" t="str">
        <f>IF($A163="","",SUMIFS('Yakıt Alım Kayıt'!$I$5:$I$1500,'Yakıt Alım Kayıt'!$D$5:$D$1500,$A163))</f>
        <v/>
      </c>
      <c r="G163" s="4" t="str">
        <f>IF($A163="","",IFERROR(_xludf.maxifs('Yakıt Alım Kayıt'!$J$5:$J$1500,'Yakıt Alım Kayıt'!$D$5:$D$1500,$A163)-_xludf.minifs('Yakıt Alım Kayıt'!$J$5:$J$1500,'Yakıt Alım Kayıt'!$D$5:$D$1500,$A163),0))</f>
        <v/>
      </c>
      <c r="H163" s="10" t="str">
        <f>IF(OR($A163="",$G163=0,$G163=""),"",IF($D163="Kilometre (km)",$E163/($G163/100),$E163/$G163))</f>
        <v/>
      </c>
      <c r="I163" s="10" t="str">
        <f>IF($A163="","",'Araç Tanımlama'!G163)</f>
        <v/>
      </c>
      <c r="J163" s="4" t="str">
        <f>IF(OR($A163="",$H163="",$I163=""),"",IF($H163&gt;$I163*1.15,"YÜKSEK",IF($H163&gt;$I163*1.05,"DİKKAT","NORMAL")))</f>
        <v/>
      </c>
    </row>
    <row r="164" spans="1:10">
      <c r="A164" s="6" t="str">
        <f>IF('Araç Tanımlama'!A164="","",'Araç Tanımlama'!A164)</f>
        <v/>
      </c>
      <c r="B164" s="4" t="str">
        <f>IF($A164="","",'Araç Tanımlama'!D164)</f>
        <v/>
      </c>
      <c r="C164" s="4" t="str">
        <f>IF($A164="","",'Araç Tanımlama'!E164)</f>
        <v/>
      </c>
      <c r="D164" s="4" t="str">
        <f>IF($A164="","",'Araç Tanımlama'!F164)</f>
        <v/>
      </c>
      <c r="E164" s="4" t="str">
        <f>IF($A164="","",SUMIFS('Yakıt Alım Kayıt'!$G$5:$G$1500,'Yakıt Alım Kayıt'!$D$5:$D$1500,$A164))</f>
        <v/>
      </c>
      <c r="F164" s="9" t="str">
        <f>IF($A164="","",SUMIFS('Yakıt Alım Kayıt'!$I$5:$I$1500,'Yakıt Alım Kayıt'!$D$5:$D$1500,$A164))</f>
        <v/>
      </c>
      <c r="G164" s="4" t="str">
        <f>IF($A164="","",IFERROR(_xludf.maxifs('Yakıt Alım Kayıt'!$J$5:$J$1500,'Yakıt Alım Kayıt'!$D$5:$D$1500,$A164)-_xludf.minifs('Yakıt Alım Kayıt'!$J$5:$J$1500,'Yakıt Alım Kayıt'!$D$5:$D$1500,$A164),0))</f>
        <v/>
      </c>
      <c r="H164" s="10" t="str">
        <f>IF(OR($A164="",$G164=0,$G164=""),"",IF($D164="Kilometre (km)",$E164/($G164/100),$E164/$G164))</f>
        <v/>
      </c>
      <c r="I164" s="10" t="str">
        <f>IF($A164="","",'Araç Tanımlama'!G164)</f>
        <v/>
      </c>
      <c r="J164" s="4" t="str">
        <f>IF(OR($A164="",$H164="",$I164=""),"",IF($H164&gt;$I164*1.15,"YÜKSEK",IF($H164&gt;$I164*1.05,"DİKKAT","NORMAL")))</f>
        <v/>
      </c>
    </row>
    <row r="165" spans="1:10">
      <c r="A165" s="6" t="str">
        <f>IF('Araç Tanımlama'!A165="","",'Araç Tanımlama'!A165)</f>
        <v/>
      </c>
      <c r="B165" s="4" t="str">
        <f>IF($A165="","",'Araç Tanımlama'!D165)</f>
        <v/>
      </c>
      <c r="C165" s="4" t="str">
        <f>IF($A165="","",'Araç Tanımlama'!E165)</f>
        <v/>
      </c>
      <c r="D165" s="4" t="str">
        <f>IF($A165="","",'Araç Tanımlama'!F165)</f>
        <v/>
      </c>
      <c r="E165" s="4" t="str">
        <f>IF($A165="","",SUMIFS('Yakıt Alım Kayıt'!$G$5:$G$1500,'Yakıt Alım Kayıt'!$D$5:$D$1500,$A165))</f>
        <v/>
      </c>
      <c r="F165" s="9" t="str">
        <f>IF($A165="","",SUMIFS('Yakıt Alım Kayıt'!$I$5:$I$1500,'Yakıt Alım Kayıt'!$D$5:$D$1500,$A165))</f>
        <v/>
      </c>
      <c r="G165" s="4" t="str">
        <f>IF($A165="","",IFERROR(_xludf.maxifs('Yakıt Alım Kayıt'!$J$5:$J$1500,'Yakıt Alım Kayıt'!$D$5:$D$1500,$A165)-_xludf.minifs('Yakıt Alım Kayıt'!$J$5:$J$1500,'Yakıt Alım Kayıt'!$D$5:$D$1500,$A165),0))</f>
        <v/>
      </c>
      <c r="H165" s="10" t="str">
        <f>IF(OR($A165="",$G165=0,$G165=""),"",IF($D165="Kilometre (km)",$E165/($G165/100),$E165/$G165))</f>
        <v/>
      </c>
      <c r="I165" s="10" t="str">
        <f>IF($A165="","",'Araç Tanımlama'!G165)</f>
        <v/>
      </c>
      <c r="J165" s="4" t="str">
        <f>IF(OR($A165="",$H165="",$I165=""),"",IF($H165&gt;$I165*1.15,"YÜKSEK",IF($H165&gt;$I165*1.05,"DİKKAT","NORMAL")))</f>
        <v/>
      </c>
    </row>
    <row r="166" spans="1:10">
      <c r="A166" s="6" t="str">
        <f>IF('Araç Tanımlama'!A166="","",'Araç Tanımlama'!A166)</f>
        <v/>
      </c>
      <c r="B166" s="4" t="str">
        <f>IF($A166="","",'Araç Tanımlama'!D166)</f>
        <v/>
      </c>
      <c r="C166" s="4" t="str">
        <f>IF($A166="","",'Araç Tanımlama'!E166)</f>
        <v/>
      </c>
      <c r="D166" s="4" t="str">
        <f>IF($A166="","",'Araç Tanımlama'!F166)</f>
        <v/>
      </c>
      <c r="E166" s="4" t="str">
        <f>IF($A166="","",SUMIFS('Yakıt Alım Kayıt'!$G$5:$G$1500,'Yakıt Alım Kayıt'!$D$5:$D$1500,$A166))</f>
        <v/>
      </c>
      <c r="F166" s="9" t="str">
        <f>IF($A166="","",SUMIFS('Yakıt Alım Kayıt'!$I$5:$I$1500,'Yakıt Alım Kayıt'!$D$5:$D$1500,$A166))</f>
        <v/>
      </c>
      <c r="G166" s="4" t="str">
        <f>IF($A166="","",IFERROR(_xludf.maxifs('Yakıt Alım Kayıt'!$J$5:$J$1500,'Yakıt Alım Kayıt'!$D$5:$D$1500,$A166)-_xludf.minifs('Yakıt Alım Kayıt'!$J$5:$J$1500,'Yakıt Alım Kayıt'!$D$5:$D$1500,$A166),0))</f>
        <v/>
      </c>
      <c r="H166" s="10" t="str">
        <f>IF(OR($A166="",$G166=0,$G166=""),"",IF($D166="Kilometre (km)",$E166/($G166/100),$E166/$G166))</f>
        <v/>
      </c>
      <c r="I166" s="10" t="str">
        <f>IF($A166="","",'Araç Tanımlama'!G166)</f>
        <v/>
      </c>
      <c r="J166" s="4" t="str">
        <f>IF(OR($A166="",$H166="",$I166=""),"",IF($H166&gt;$I166*1.15,"YÜKSEK",IF($H166&gt;$I166*1.05,"DİKKAT","NORMAL")))</f>
        <v/>
      </c>
    </row>
    <row r="167" spans="1:10">
      <c r="A167" s="6" t="str">
        <f>IF('Araç Tanımlama'!A167="","",'Araç Tanımlama'!A167)</f>
        <v/>
      </c>
      <c r="B167" s="4" t="str">
        <f>IF($A167="","",'Araç Tanımlama'!D167)</f>
        <v/>
      </c>
      <c r="C167" s="4" t="str">
        <f>IF($A167="","",'Araç Tanımlama'!E167)</f>
        <v/>
      </c>
      <c r="D167" s="4" t="str">
        <f>IF($A167="","",'Araç Tanımlama'!F167)</f>
        <v/>
      </c>
      <c r="E167" s="4" t="str">
        <f>IF($A167="","",SUMIFS('Yakıt Alım Kayıt'!$G$5:$G$1500,'Yakıt Alım Kayıt'!$D$5:$D$1500,$A167))</f>
        <v/>
      </c>
      <c r="F167" s="9" t="str">
        <f>IF($A167="","",SUMIFS('Yakıt Alım Kayıt'!$I$5:$I$1500,'Yakıt Alım Kayıt'!$D$5:$D$1500,$A167))</f>
        <v/>
      </c>
      <c r="G167" s="4" t="str">
        <f>IF($A167="","",IFERROR(_xludf.maxifs('Yakıt Alım Kayıt'!$J$5:$J$1500,'Yakıt Alım Kayıt'!$D$5:$D$1500,$A167)-_xludf.minifs('Yakıt Alım Kayıt'!$J$5:$J$1500,'Yakıt Alım Kayıt'!$D$5:$D$1500,$A167),0))</f>
        <v/>
      </c>
      <c r="H167" s="10" t="str">
        <f>IF(OR($A167="",$G167=0,$G167=""),"",IF($D167="Kilometre (km)",$E167/($G167/100),$E167/$G167))</f>
        <v/>
      </c>
      <c r="I167" s="10" t="str">
        <f>IF($A167="","",'Araç Tanımlama'!G167)</f>
        <v/>
      </c>
      <c r="J167" s="4" t="str">
        <f>IF(OR($A167="",$H167="",$I167=""),"",IF($H167&gt;$I167*1.15,"YÜKSEK",IF($H167&gt;$I167*1.05,"DİKKAT","NORMAL")))</f>
        <v/>
      </c>
    </row>
    <row r="168" spans="1:10">
      <c r="A168" s="6" t="str">
        <f>IF('Araç Tanımlama'!A168="","",'Araç Tanımlama'!A168)</f>
        <v/>
      </c>
      <c r="B168" s="4" t="str">
        <f>IF($A168="","",'Araç Tanımlama'!D168)</f>
        <v/>
      </c>
      <c r="C168" s="4" t="str">
        <f>IF($A168="","",'Araç Tanımlama'!E168)</f>
        <v/>
      </c>
      <c r="D168" s="4" t="str">
        <f>IF($A168="","",'Araç Tanımlama'!F168)</f>
        <v/>
      </c>
      <c r="E168" s="4" t="str">
        <f>IF($A168="","",SUMIFS('Yakıt Alım Kayıt'!$G$5:$G$1500,'Yakıt Alım Kayıt'!$D$5:$D$1500,$A168))</f>
        <v/>
      </c>
      <c r="F168" s="9" t="str">
        <f>IF($A168="","",SUMIFS('Yakıt Alım Kayıt'!$I$5:$I$1500,'Yakıt Alım Kayıt'!$D$5:$D$1500,$A168))</f>
        <v/>
      </c>
      <c r="G168" s="4" t="str">
        <f>IF($A168="","",IFERROR(_xludf.maxifs('Yakıt Alım Kayıt'!$J$5:$J$1500,'Yakıt Alım Kayıt'!$D$5:$D$1500,$A168)-_xludf.minifs('Yakıt Alım Kayıt'!$J$5:$J$1500,'Yakıt Alım Kayıt'!$D$5:$D$1500,$A168),0))</f>
        <v/>
      </c>
      <c r="H168" s="10" t="str">
        <f>IF(OR($A168="",$G168=0,$G168=""),"",IF($D168="Kilometre (km)",$E168/($G168/100),$E168/$G168))</f>
        <v/>
      </c>
      <c r="I168" s="10" t="str">
        <f>IF($A168="","",'Araç Tanımlama'!G168)</f>
        <v/>
      </c>
      <c r="J168" s="4" t="str">
        <f>IF(OR($A168="",$H168="",$I168=""),"",IF($H168&gt;$I168*1.15,"YÜKSEK",IF($H168&gt;$I168*1.05,"DİKKAT","NORMAL")))</f>
        <v/>
      </c>
    </row>
    <row r="169" spans="1:10">
      <c r="A169" s="6" t="str">
        <f>IF('Araç Tanımlama'!A169="","",'Araç Tanımlama'!A169)</f>
        <v/>
      </c>
      <c r="B169" s="4" t="str">
        <f>IF($A169="","",'Araç Tanımlama'!D169)</f>
        <v/>
      </c>
      <c r="C169" s="4" t="str">
        <f>IF($A169="","",'Araç Tanımlama'!E169)</f>
        <v/>
      </c>
      <c r="D169" s="4" t="str">
        <f>IF($A169="","",'Araç Tanımlama'!F169)</f>
        <v/>
      </c>
      <c r="E169" s="4" t="str">
        <f>IF($A169="","",SUMIFS('Yakıt Alım Kayıt'!$G$5:$G$1500,'Yakıt Alım Kayıt'!$D$5:$D$1500,$A169))</f>
        <v/>
      </c>
      <c r="F169" s="9" t="str">
        <f>IF($A169="","",SUMIFS('Yakıt Alım Kayıt'!$I$5:$I$1500,'Yakıt Alım Kayıt'!$D$5:$D$1500,$A169))</f>
        <v/>
      </c>
      <c r="G169" s="4" t="str">
        <f>IF($A169="","",IFERROR(_xludf.maxifs('Yakıt Alım Kayıt'!$J$5:$J$1500,'Yakıt Alım Kayıt'!$D$5:$D$1500,$A169)-_xludf.minifs('Yakıt Alım Kayıt'!$J$5:$J$1500,'Yakıt Alım Kayıt'!$D$5:$D$1500,$A169),0))</f>
        <v/>
      </c>
      <c r="H169" s="10" t="str">
        <f>IF(OR($A169="",$G169=0,$G169=""),"",IF($D169="Kilometre (km)",$E169/($G169/100),$E169/$G169))</f>
        <v/>
      </c>
      <c r="I169" s="10" t="str">
        <f>IF($A169="","",'Araç Tanımlama'!G169)</f>
        <v/>
      </c>
      <c r="J169" s="4" t="str">
        <f>IF(OR($A169="",$H169="",$I169=""),"",IF($H169&gt;$I169*1.15,"YÜKSEK",IF($H169&gt;$I169*1.05,"DİKKAT","NORMAL")))</f>
        <v/>
      </c>
    </row>
    <row r="170" spans="1:10">
      <c r="A170" s="6" t="str">
        <f>IF('Araç Tanımlama'!A170="","",'Araç Tanımlama'!A170)</f>
        <v/>
      </c>
      <c r="B170" s="4" t="str">
        <f>IF($A170="","",'Araç Tanımlama'!D170)</f>
        <v/>
      </c>
      <c r="C170" s="4" t="str">
        <f>IF($A170="","",'Araç Tanımlama'!E170)</f>
        <v/>
      </c>
      <c r="D170" s="4" t="str">
        <f>IF($A170="","",'Araç Tanımlama'!F170)</f>
        <v/>
      </c>
      <c r="E170" s="4" t="str">
        <f>IF($A170="","",SUMIFS('Yakıt Alım Kayıt'!$G$5:$G$1500,'Yakıt Alım Kayıt'!$D$5:$D$1500,$A170))</f>
        <v/>
      </c>
      <c r="F170" s="9" t="str">
        <f>IF($A170="","",SUMIFS('Yakıt Alım Kayıt'!$I$5:$I$1500,'Yakıt Alım Kayıt'!$D$5:$D$1500,$A170))</f>
        <v/>
      </c>
      <c r="G170" s="4" t="str">
        <f>IF($A170="","",IFERROR(_xludf.maxifs('Yakıt Alım Kayıt'!$J$5:$J$1500,'Yakıt Alım Kayıt'!$D$5:$D$1500,$A170)-_xludf.minifs('Yakıt Alım Kayıt'!$J$5:$J$1500,'Yakıt Alım Kayıt'!$D$5:$D$1500,$A170),0))</f>
        <v/>
      </c>
      <c r="H170" s="10" t="str">
        <f>IF(OR($A170="",$G170=0,$G170=""),"",IF($D170="Kilometre (km)",$E170/($G170/100),$E170/$G170))</f>
        <v/>
      </c>
      <c r="I170" s="10" t="str">
        <f>IF($A170="","",'Araç Tanımlama'!G170)</f>
        <v/>
      </c>
      <c r="J170" s="4" t="str">
        <f>IF(OR($A170="",$H170="",$I170=""),"",IF($H170&gt;$I170*1.15,"YÜKSEK",IF($H170&gt;$I170*1.05,"DİKKAT","NORMAL")))</f>
        <v/>
      </c>
    </row>
    <row r="171" spans="1:10">
      <c r="A171" s="6" t="str">
        <f>IF('Araç Tanımlama'!A171="","",'Araç Tanımlama'!A171)</f>
        <v/>
      </c>
      <c r="B171" s="4" t="str">
        <f>IF($A171="","",'Araç Tanımlama'!D171)</f>
        <v/>
      </c>
      <c r="C171" s="4" t="str">
        <f>IF($A171="","",'Araç Tanımlama'!E171)</f>
        <v/>
      </c>
      <c r="D171" s="4" t="str">
        <f>IF($A171="","",'Araç Tanımlama'!F171)</f>
        <v/>
      </c>
      <c r="E171" s="4" t="str">
        <f>IF($A171="","",SUMIFS('Yakıt Alım Kayıt'!$G$5:$G$1500,'Yakıt Alım Kayıt'!$D$5:$D$1500,$A171))</f>
        <v/>
      </c>
      <c r="F171" s="9" t="str">
        <f>IF($A171="","",SUMIFS('Yakıt Alım Kayıt'!$I$5:$I$1500,'Yakıt Alım Kayıt'!$D$5:$D$1500,$A171))</f>
        <v/>
      </c>
      <c r="G171" s="4" t="str">
        <f>IF($A171="","",IFERROR(_xludf.maxifs('Yakıt Alım Kayıt'!$J$5:$J$1500,'Yakıt Alım Kayıt'!$D$5:$D$1500,$A171)-_xludf.minifs('Yakıt Alım Kayıt'!$J$5:$J$1500,'Yakıt Alım Kayıt'!$D$5:$D$1500,$A171),0))</f>
        <v/>
      </c>
      <c r="H171" s="10" t="str">
        <f>IF(OR($A171="",$G171=0,$G171=""),"",IF($D171="Kilometre (km)",$E171/($G171/100),$E171/$G171))</f>
        <v/>
      </c>
      <c r="I171" s="10" t="str">
        <f>IF($A171="","",'Araç Tanımlama'!G171)</f>
        <v/>
      </c>
      <c r="J171" s="4" t="str">
        <f>IF(OR($A171="",$H171="",$I171=""),"",IF($H171&gt;$I171*1.15,"YÜKSEK",IF($H171&gt;$I171*1.05,"DİKKAT","NORMAL")))</f>
        <v/>
      </c>
    </row>
    <row r="172" spans="1:10">
      <c r="A172" s="6" t="str">
        <f>IF('Araç Tanımlama'!A172="","",'Araç Tanımlama'!A172)</f>
        <v/>
      </c>
      <c r="B172" s="4" t="str">
        <f>IF($A172="","",'Araç Tanımlama'!D172)</f>
        <v/>
      </c>
      <c r="C172" s="4" t="str">
        <f>IF($A172="","",'Araç Tanımlama'!E172)</f>
        <v/>
      </c>
      <c r="D172" s="4" t="str">
        <f>IF($A172="","",'Araç Tanımlama'!F172)</f>
        <v/>
      </c>
      <c r="E172" s="4" t="str">
        <f>IF($A172="","",SUMIFS('Yakıt Alım Kayıt'!$G$5:$G$1500,'Yakıt Alım Kayıt'!$D$5:$D$1500,$A172))</f>
        <v/>
      </c>
      <c r="F172" s="9" t="str">
        <f>IF($A172="","",SUMIFS('Yakıt Alım Kayıt'!$I$5:$I$1500,'Yakıt Alım Kayıt'!$D$5:$D$1500,$A172))</f>
        <v/>
      </c>
      <c r="G172" s="4" t="str">
        <f>IF($A172="","",IFERROR(_xludf.maxifs('Yakıt Alım Kayıt'!$J$5:$J$1500,'Yakıt Alım Kayıt'!$D$5:$D$1500,$A172)-_xludf.minifs('Yakıt Alım Kayıt'!$J$5:$J$1500,'Yakıt Alım Kayıt'!$D$5:$D$1500,$A172),0))</f>
        <v/>
      </c>
      <c r="H172" s="10" t="str">
        <f>IF(OR($A172="",$G172=0,$G172=""),"",IF($D172="Kilometre (km)",$E172/($G172/100),$E172/$G172))</f>
        <v/>
      </c>
      <c r="I172" s="10" t="str">
        <f>IF($A172="","",'Araç Tanımlama'!G172)</f>
        <v/>
      </c>
      <c r="J172" s="4" t="str">
        <f>IF(OR($A172="",$H172="",$I172=""),"",IF($H172&gt;$I172*1.15,"YÜKSEK",IF($H172&gt;$I172*1.05,"DİKKAT","NORMAL")))</f>
        <v/>
      </c>
    </row>
    <row r="173" spans="1:10">
      <c r="A173" s="6" t="str">
        <f>IF('Araç Tanımlama'!A173="","",'Araç Tanımlama'!A173)</f>
        <v/>
      </c>
      <c r="B173" s="4" t="str">
        <f>IF($A173="","",'Araç Tanımlama'!D173)</f>
        <v/>
      </c>
      <c r="C173" s="4" t="str">
        <f>IF($A173="","",'Araç Tanımlama'!E173)</f>
        <v/>
      </c>
      <c r="D173" s="4" t="str">
        <f>IF($A173="","",'Araç Tanımlama'!F173)</f>
        <v/>
      </c>
      <c r="E173" s="4" t="str">
        <f>IF($A173="","",SUMIFS('Yakıt Alım Kayıt'!$G$5:$G$1500,'Yakıt Alım Kayıt'!$D$5:$D$1500,$A173))</f>
        <v/>
      </c>
      <c r="F173" s="9" t="str">
        <f>IF($A173="","",SUMIFS('Yakıt Alım Kayıt'!$I$5:$I$1500,'Yakıt Alım Kayıt'!$D$5:$D$1500,$A173))</f>
        <v/>
      </c>
      <c r="G173" s="4" t="str">
        <f>IF($A173="","",IFERROR(_xludf.maxifs('Yakıt Alım Kayıt'!$J$5:$J$1500,'Yakıt Alım Kayıt'!$D$5:$D$1500,$A173)-_xludf.minifs('Yakıt Alım Kayıt'!$J$5:$J$1500,'Yakıt Alım Kayıt'!$D$5:$D$1500,$A173),0))</f>
        <v/>
      </c>
      <c r="H173" s="10" t="str">
        <f>IF(OR($A173="",$G173=0,$G173=""),"",IF($D173="Kilometre (km)",$E173/($G173/100),$E173/$G173))</f>
        <v/>
      </c>
      <c r="I173" s="10" t="str">
        <f>IF($A173="","",'Araç Tanımlama'!G173)</f>
        <v/>
      </c>
      <c r="J173" s="4" t="str">
        <f>IF(OR($A173="",$H173="",$I173=""),"",IF($H173&gt;$I173*1.15,"YÜKSEK",IF($H173&gt;$I173*1.05,"DİKKAT","NORMAL")))</f>
        <v/>
      </c>
    </row>
    <row r="174" spans="1:10">
      <c r="A174" s="6" t="str">
        <f>IF('Araç Tanımlama'!A174="","",'Araç Tanımlama'!A174)</f>
        <v/>
      </c>
      <c r="B174" s="4" t="str">
        <f>IF($A174="","",'Araç Tanımlama'!D174)</f>
        <v/>
      </c>
      <c r="C174" s="4" t="str">
        <f>IF($A174="","",'Araç Tanımlama'!E174)</f>
        <v/>
      </c>
      <c r="D174" s="4" t="str">
        <f>IF($A174="","",'Araç Tanımlama'!F174)</f>
        <v/>
      </c>
      <c r="E174" s="4" t="str">
        <f>IF($A174="","",SUMIFS('Yakıt Alım Kayıt'!$G$5:$G$1500,'Yakıt Alım Kayıt'!$D$5:$D$1500,$A174))</f>
        <v/>
      </c>
      <c r="F174" s="9" t="str">
        <f>IF($A174="","",SUMIFS('Yakıt Alım Kayıt'!$I$5:$I$1500,'Yakıt Alım Kayıt'!$D$5:$D$1500,$A174))</f>
        <v/>
      </c>
      <c r="G174" s="4" t="str">
        <f>IF($A174="","",IFERROR(_xludf.maxifs('Yakıt Alım Kayıt'!$J$5:$J$1500,'Yakıt Alım Kayıt'!$D$5:$D$1500,$A174)-_xludf.minifs('Yakıt Alım Kayıt'!$J$5:$J$1500,'Yakıt Alım Kayıt'!$D$5:$D$1500,$A174),0))</f>
        <v/>
      </c>
      <c r="H174" s="10" t="str">
        <f>IF(OR($A174="",$G174=0,$G174=""),"",IF($D174="Kilometre (km)",$E174/($G174/100),$E174/$G174))</f>
        <v/>
      </c>
      <c r="I174" s="10" t="str">
        <f>IF($A174="","",'Araç Tanımlama'!G174)</f>
        <v/>
      </c>
      <c r="J174" s="4" t="str">
        <f>IF(OR($A174="",$H174="",$I174=""),"",IF($H174&gt;$I174*1.15,"YÜKSEK",IF($H174&gt;$I174*1.05,"DİKKAT","NORMAL")))</f>
        <v/>
      </c>
    </row>
    <row r="175" spans="1:10">
      <c r="A175" s="6" t="str">
        <f>IF('Araç Tanımlama'!A175="","",'Araç Tanımlama'!A175)</f>
        <v/>
      </c>
      <c r="B175" s="4" t="str">
        <f>IF($A175="","",'Araç Tanımlama'!D175)</f>
        <v/>
      </c>
      <c r="C175" s="4" t="str">
        <f>IF($A175="","",'Araç Tanımlama'!E175)</f>
        <v/>
      </c>
      <c r="D175" s="4" t="str">
        <f>IF($A175="","",'Araç Tanımlama'!F175)</f>
        <v/>
      </c>
      <c r="E175" s="4" t="str">
        <f>IF($A175="","",SUMIFS('Yakıt Alım Kayıt'!$G$5:$G$1500,'Yakıt Alım Kayıt'!$D$5:$D$1500,$A175))</f>
        <v/>
      </c>
      <c r="F175" s="9" t="str">
        <f>IF($A175="","",SUMIFS('Yakıt Alım Kayıt'!$I$5:$I$1500,'Yakıt Alım Kayıt'!$D$5:$D$1500,$A175))</f>
        <v/>
      </c>
      <c r="G175" s="4" t="str">
        <f>IF($A175="","",IFERROR(_xludf.maxifs('Yakıt Alım Kayıt'!$J$5:$J$1500,'Yakıt Alım Kayıt'!$D$5:$D$1500,$A175)-_xludf.minifs('Yakıt Alım Kayıt'!$J$5:$J$1500,'Yakıt Alım Kayıt'!$D$5:$D$1500,$A175),0))</f>
        <v/>
      </c>
      <c r="H175" s="10" t="str">
        <f>IF(OR($A175="",$G175=0,$G175=""),"",IF($D175="Kilometre (km)",$E175/($G175/100),$E175/$G175))</f>
        <v/>
      </c>
      <c r="I175" s="10" t="str">
        <f>IF($A175="","",'Araç Tanımlama'!G175)</f>
        <v/>
      </c>
      <c r="J175" s="4" t="str">
        <f>IF(OR($A175="",$H175="",$I175=""),"",IF($H175&gt;$I175*1.15,"YÜKSEK",IF($H175&gt;$I175*1.05,"DİKKAT","NORMAL")))</f>
        <v/>
      </c>
    </row>
    <row r="176" spans="1:10">
      <c r="A176" s="6" t="str">
        <f>IF('Araç Tanımlama'!A176="","",'Araç Tanımlama'!A176)</f>
        <v/>
      </c>
      <c r="B176" s="4" t="str">
        <f>IF($A176="","",'Araç Tanımlama'!D176)</f>
        <v/>
      </c>
      <c r="C176" s="4" t="str">
        <f>IF($A176="","",'Araç Tanımlama'!E176)</f>
        <v/>
      </c>
      <c r="D176" s="4" t="str">
        <f>IF($A176="","",'Araç Tanımlama'!F176)</f>
        <v/>
      </c>
      <c r="E176" s="4" t="str">
        <f>IF($A176="","",SUMIFS('Yakıt Alım Kayıt'!$G$5:$G$1500,'Yakıt Alım Kayıt'!$D$5:$D$1500,$A176))</f>
        <v/>
      </c>
      <c r="F176" s="9" t="str">
        <f>IF($A176="","",SUMIFS('Yakıt Alım Kayıt'!$I$5:$I$1500,'Yakıt Alım Kayıt'!$D$5:$D$1500,$A176))</f>
        <v/>
      </c>
      <c r="G176" s="4" t="str">
        <f>IF($A176="","",IFERROR(_xludf.maxifs('Yakıt Alım Kayıt'!$J$5:$J$1500,'Yakıt Alım Kayıt'!$D$5:$D$1500,$A176)-_xludf.minifs('Yakıt Alım Kayıt'!$J$5:$J$1500,'Yakıt Alım Kayıt'!$D$5:$D$1500,$A176),0))</f>
        <v/>
      </c>
      <c r="H176" s="10" t="str">
        <f>IF(OR($A176="",$G176=0,$G176=""),"",IF($D176="Kilometre (km)",$E176/($G176/100),$E176/$G176))</f>
        <v/>
      </c>
      <c r="I176" s="10" t="str">
        <f>IF($A176="","",'Araç Tanımlama'!G176)</f>
        <v/>
      </c>
      <c r="J176" s="4" t="str">
        <f>IF(OR($A176="",$H176="",$I176=""),"",IF($H176&gt;$I176*1.15,"YÜKSEK",IF($H176&gt;$I176*1.05,"DİKKAT","NORMAL")))</f>
        <v/>
      </c>
    </row>
    <row r="177" spans="1:10">
      <c r="A177" s="6" t="str">
        <f>IF('Araç Tanımlama'!A177="","",'Araç Tanımlama'!A177)</f>
        <v/>
      </c>
      <c r="B177" s="4" t="str">
        <f>IF($A177="","",'Araç Tanımlama'!D177)</f>
        <v/>
      </c>
      <c r="C177" s="4" t="str">
        <f>IF($A177="","",'Araç Tanımlama'!E177)</f>
        <v/>
      </c>
      <c r="D177" s="4" t="str">
        <f>IF($A177="","",'Araç Tanımlama'!F177)</f>
        <v/>
      </c>
      <c r="E177" s="4" t="str">
        <f>IF($A177="","",SUMIFS('Yakıt Alım Kayıt'!$G$5:$G$1500,'Yakıt Alım Kayıt'!$D$5:$D$1500,$A177))</f>
        <v/>
      </c>
      <c r="F177" s="9" t="str">
        <f>IF($A177="","",SUMIFS('Yakıt Alım Kayıt'!$I$5:$I$1500,'Yakıt Alım Kayıt'!$D$5:$D$1500,$A177))</f>
        <v/>
      </c>
      <c r="G177" s="4" t="str">
        <f>IF($A177="","",IFERROR(_xludf.maxifs('Yakıt Alım Kayıt'!$J$5:$J$1500,'Yakıt Alım Kayıt'!$D$5:$D$1500,$A177)-_xludf.minifs('Yakıt Alım Kayıt'!$J$5:$J$1500,'Yakıt Alım Kayıt'!$D$5:$D$1500,$A177),0))</f>
        <v/>
      </c>
      <c r="H177" s="10" t="str">
        <f>IF(OR($A177="",$G177=0,$G177=""),"",IF($D177="Kilometre (km)",$E177/($G177/100),$E177/$G177))</f>
        <v/>
      </c>
      <c r="I177" s="10" t="str">
        <f>IF($A177="","",'Araç Tanımlama'!G177)</f>
        <v/>
      </c>
      <c r="J177" s="4" t="str">
        <f>IF(OR($A177="",$H177="",$I177=""),"",IF($H177&gt;$I177*1.15,"YÜKSEK",IF($H177&gt;$I177*1.05,"DİKKAT","NORMAL")))</f>
        <v/>
      </c>
    </row>
    <row r="178" spans="1:10">
      <c r="A178" s="6" t="str">
        <f>IF('Araç Tanımlama'!A178="","",'Araç Tanımlama'!A178)</f>
        <v/>
      </c>
      <c r="B178" s="4" t="str">
        <f>IF($A178="","",'Araç Tanımlama'!D178)</f>
        <v/>
      </c>
      <c r="C178" s="4" t="str">
        <f>IF($A178="","",'Araç Tanımlama'!E178)</f>
        <v/>
      </c>
      <c r="D178" s="4" t="str">
        <f>IF($A178="","",'Araç Tanımlama'!F178)</f>
        <v/>
      </c>
      <c r="E178" s="4" t="str">
        <f>IF($A178="","",SUMIFS('Yakıt Alım Kayıt'!$G$5:$G$1500,'Yakıt Alım Kayıt'!$D$5:$D$1500,$A178))</f>
        <v/>
      </c>
      <c r="F178" s="9" t="str">
        <f>IF($A178="","",SUMIFS('Yakıt Alım Kayıt'!$I$5:$I$1500,'Yakıt Alım Kayıt'!$D$5:$D$1500,$A178))</f>
        <v/>
      </c>
      <c r="G178" s="4" t="str">
        <f>IF($A178="","",IFERROR(_xludf.maxifs('Yakıt Alım Kayıt'!$J$5:$J$1500,'Yakıt Alım Kayıt'!$D$5:$D$1500,$A178)-_xludf.minifs('Yakıt Alım Kayıt'!$J$5:$J$1500,'Yakıt Alım Kayıt'!$D$5:$D$1500,$A178),0))</f>
        <v/>
      </c>
      <c r="H178" s="10" t="str">
        <f>IF(OR($A178="",$G178=0,$G178=""),"",IF($D178="Kilometre (km)",$E178/($G178/100),$E178/$G178))</f>
        <v/>
      </c>
      <c r="I178" s="10" t="str">
        <f>IF($A178="","",'Araç Tanımlama'!G178)</f>
        <v/>
      </c>
      <c r="J178" s="4" t="str">
        <f>IF(OR($A178="",$H178="",$I178=""),"",IF($H178&gt;$I178*1.15,"YÜKSEK",IF($H178&gt;$I178*1.05,"DİKKAT","NORMAL")))</f>
        <v/>
      </c>
    </row>
    <row r="179" spans="1:10">
      <c r="A179" s="6" t="str">
        <f>IF('Araç Tanımlama'!A179="","",'Araç Tanımlama'!A179)</f>
        <v/>
      </c>
      <c r="B179" s="4" t="str">
        <f>IF($A179="","",'Araç Tanımlama'!D179)</f>
        <v/>
      </c>
      <c r="C179" s="4" t="str">
        <f>IF($A179="","",'Araç Tanımlama'!E179)</f>
        <v/>
      </c>
      <c r="D179" s="4" t="str">
        <f>IF($A179="","",'Araç Tanımlama'!F179)</f>
        <v/>
      </c>
      <c r="E179" s="4" t="str">
        <f>IF($A179="","",SUMIFS('Yakıt Alım Kayıt'!$G$5:$G$1500,'Yakıt Alım Kayıt'!$D$5:$D$1500,$A179))</f>
        <v/>
      </c>
      <c r="F179" s="9" t="str">
        <f>IF($A179="","",SUMIFS('Yakıt Alım Kayıt'!$I$5:$I$1500,'Yakıt Alım Kayıt'!$D$5:$D$1500,$A179))</f>
        <v/>
      </c>
      <c r="G179" s="4" t="str">
        <f>IF($A179="","",IFERROR(_xludf.maxifs('Yakıt Alım Kayıt'!$J$5:$J$1500,'Yakıt Alım Kayıt'!$D$5:$D$1500,$A179)-_xludf.minifs('Yakıt Alım Kayıt'!$J$5:$J$1500,'Yakıt Alım Kayıt'!$D$5:$D$1500,$A179),0))</f>
        <v/>
      </c>
      <c r="H179" s="10" t="str">
        <f>IF(OR($A179="",$G179=0,$G179=""),"",IF($D179="Kilometre (km)",$E179/($G179/100),$E179/$G179))</f>
        <v/>
      </c>
      <c r="I179" s="10" t="str">
        <f>IF($A179="","",'Araç Tanımlama'!G179)</f>
        <v/>
      </c>
      <c r="J179" s="4" t="str">
        <f>IF(OR($A179="",$H179="",$I179=""),"",IF($H179&gt;$I179*1.15,"YÜKSEK",IF($H179&gt;$I179*1.05,"DİKKAT","NORMAL")))</f>
        <v/>
      </c>
    </row>
    <row r="180" spans="1:10">
      <c r="A180" s="6" t="str">
        <f>IF('Araç Tanımlama'!A180="","",'Araç Tanımlama'!A180)</f>
        <v/>
      </c>
      <c r="B180" s="4" t="str">
        <f>IF($A180="","",'Araç Tanımlama'!D180)</f>
        <v/>
      </c>
      <c r="C180" s="4" t="str">
        <f>IF($A180="","",'Araç Tanımlama'!E180)</f>
        <v/>
      </c>
      <c r="D180" s="4" t="str">
        <f>IF($A180="","",'Araç Tanımlama'!F180)</f>
        <v/>
      </c>
      <c r="E180" s="4" t="str">
        <f>IF($A180="","",SUMIFS('Yakıt Alım Kayıt'!$G$5:$G$1500,'Yakıt Alım Kayıt'!$D$5:$D$1500,$A180))</f>
        <v/>
      </c>
      <c r="F180" s="9" t="str">
        <f>IF($A180="","",SUMIFS('Yakıt Alım Kayıt'!$I$5:$I$1500,'Yakıt Alım Kayıt'!$D$5:$D$1500,$A180))</f>
        <v/>
      </c>
      <c r="G180" s="4" t="str">
        <f>IF($A180="","",IFERROR(_xludf.maxifs('Yakıt Alım Kayıt'!$J$5:$J$1500,'Yakıt Alım Kayıt'!$D$5:$D$1500,$A180)-_xludf.minifs('Yakıt Alım Kayıt'!$J$5:$J$1500,'Yakıt Alım Kayıt'!$D$5:$D$1500,$A180),0))</f>
        <v/>
      </c>
      <c r="H180" s="10" t="str">
        <f>IF(OR($A180="",$G180=0,$G180=""),"",IF($D180="Kilometre (km)",$E180/($G180/100),$E180/$G180))</f>
        <v/>
      </c>
      <c r="I180" s="10" t="str">
        <f>IF($A180="","",'Araç Tanımlama'!G180)</f>
        <v/>
      </c>
      <c r="J180" s="4" t="str">
        <f>IF(OR($A180="",$H180="",$I180=""),"",IF($H180&gt;$I180*1.15,"YÜKSEK",IF($H180&gt;$I180*1.05,"DİKKAT","NORMAL")))</f>
        <v/>
      </c>
    </row>
    <row r="181" spans="1:10">
      <c r="A181" s="6" t="str">
        <f>IF('Araç Tanımlama'!A181="","",'Araç Tanımlama'!A181)</f>
        <v/>
      </c>
      <c r="B181" s="4" t="str">
        <f>IF($A181="","",'Araç Tanımlama'!D181)</f>
        <v/>
      </c>
      <c r="C181" s="4" t="str">
        <f>IF($A181="","",'Araç Tanımlama'!E181)</f>
        <v/>
      </c>
      <c r="D181" s="4" t="str">
        <f>IF($A181="","",'Araç Tanımlama'!F181)</f>
        <v/>
      </c>
      <c r="E181" s="4" t="str">
        <f>IF($A181="","",SUMIFS('Yakıt Alım Kayıt'!$G$5:$G$1500,'Yakıt Alım Kayıt'!$D$5:$D$1500,$A181))</f>
        <v/>
      </c>
      <c r="F181" s="9" t="str">
        <f>IF($A181="","",SUMIFS('Yakıt Alım Kayıt'!$I$5:$I$1500,'Yakıt Alım Kayıt'!$D$5:$D$1500,$A181))</f>
        <v/>
      </c>
      <c r="G181" s="4" t="str">
        <f>IF($A181="","",IFERROR(_xludf.maxifs('Yakıt Alım Kayıt'!$J$5:$J$1500,'Yakıt Alım Kayıt'!$D$5:$D$1500,$A181)-_xludf.minifs('Yakıt Alım Kayıt'!$J$5:$J$1500,'Yakıt Alım Kayıt'!$D$5:$D$1500,$A181),0))</f>
        <v/>
      </c>
      <c r="H181" s="10" t="str">
        <f>IF(OR($A181="",$G181=0,$G181=""),"",IF($D181="Kilometre (km)",$E181/($G181/100),$E181/$G181))</f>
        <v/>
      </c>
      <c r="I181" s="10" t="str">
        <f>IF($A181="","",'Araç Tanımlama'!G181)</f>
        <v/>
      </c>
      <c r="J181" s="4" t="str">
        <f>IF(OR($A181="",$H181="",$I181=""),"",IF($H181&gt;$I181*1.15,"YÜKSEK",IF($H181&gt;$I181*1.05,"DİKKAT","NORMAL")))</f>
        <v/>
      </c>
    </row>
    <row r="182" spans="1:10">
      <c r="A182" s="6" t="str">
        <f>IF('Araç Tanımlama'!A182="","",'Araç Tanımlama'!A182)</f>
        <v/>
      </c>
      <c r="B182" s="4" t="str">
        <f>IF($A182="","",'Araç Tanımlama'!D182)</f>
        <v/>
      </c>
      <c r="C182" s="4" t="str">
        <f>IF($A182="","",'Araç Tanımlama'!E182)</f>
        <v/>
      </c>
      <c r="D182" s="4" t="str">
        <f>IF($A182="","",'Araç Tanımlama'!F182)</f>
        <v/>
      </c>
      <c r="E182" s="4" t="str">
        <f>IF($A182="","",SUMIFS('Yakıt Alım Kayıt'!$G$5:$G$1500,'Yakıt Alım Kayıt'!$D$5:$D$1500,$A182))</f>
        <v/>
      </c>
      <c r="F182" s="9" t="str">
        <f>IF($A182="","",SUMIFS('Yakıt Alım Kayıt'!$I$5:$I$1500,'Yakıt Alım Kayıt'!$D$5:$D$1500,$A182))</f>
        <v/>
      </c>
      <c r="G182" s="4" t="str">
        <f>IF($A182="","",IFERROR(_xludf.maxifs('Yakıt Alım Kayıt'!$J$5:$J$1500,'Yakıt Alım Kayıt'!$D$5:$D$1500,$A182)-_xludf.minifs('Yakıt Alım Kayıt'!$J$5:$J$1500,'Yakıt Alım Kayıt'!$D$5:$D$1500,$A182),0))</f>
        <v/>
      </c>
      <c r="H182" s="10" t="str">
        <f>IF(OR($A182="",$G182=0,$G182=""),"",IF($D182="Kilometre (km)",$E182/($G182/100),$E182/$G182))</f>
        <v/>
      </c>
      <c r="I182" s="10" t="str">
        <f>IF($A182="","",'Araç Tanımlama'!G182)</f>
        <v/>
      </c>
      <c r="J182" s="4" t="str">
        <f>IF(OR($A182="",$H182="",$I182=""),"",IF($H182&gt;$I182*1.15,"YÜKSEK",IF($H182&gt;$I182*1.05,"DİKKAT","NORMAL")))</f>
        <v/>
      </c>
    </row>
    <row r="183" spans="1:10">
      <c r="A183" s="6" t="str">
        <f>IF('Araç Tanımlama'!A183="","",'Araç Tanımlama'!A183)</f>
        <v/>
      </c>
      <c r="B183" s="4" t="str">
        <f>IF($A183="","",'Araç Tanımlama'!D183)</f>
        <v/>
      </c>
      <c r="C183" s="4" t="str">
        <f>IF($A183="","",'Araç Tanımlama'!E183)</f>
        <v/>
      </c>
      <c r="D183" s="4" t="str">
        <f>IF($A183="","",'Araç Tanımlama'!F183)</f>
        <v/>
      </c>
      <c r="E183" s="4" t="str">
        <f>IF($A183="","",SUMIFS('Yakıt Alım Kayıt'!$G$5:$G$1500,'Yakıt Alım Kayıt'!$D$5:$D$1500,$A183))</f>
        <v/>
      </c>
      <c r="F183" s="9" t="str">
        <f>IF($A183="","",SUMIFS('Yakıt Alım Kayıt'!$I$5:$I$1500,'Yakıt Alım Kayıt'!$D$5:$D$1500,$A183))</f>
        <v/>
      </c>
      <c r="G183" s="4" t="str">
        <f>IF($A183="","",IFERROR(_xludf.maxifs('Yakıt Alım Kayıt'!$J$5:$J$1500,'Yakıt Alım Kayıt'!$D$5:$D$1500,$A183)-_xludf.minifs('Yakıt Alım Kayıt'!$J$5:$J$1500,'Yakıt Alım Kayıt'!$D$5:$D$1500,$A183),0))</f>
        <v/>
      </c>
      <c r="H183" s="10" t="str">
        <f>IF(OR($A183="",$G183=0,$G183=""),"",IF($D183="Kilometre (km)",$E183/($G183/100),$E183/$G183))</f>
        <v/>
      </c>
      <c r="I183" s="10" t="str">
        <f>IF($A183="","",'Araç Tanımlama'!G183)</f>
        <v/>
      </c>
      <c r="J183" s="4" t="str">
        <f>IF(OR($A183="",$H183="",$I183=""),"",IF($H183&gt;$I183*1.15,"YÜKSEK",IF($H183&gt;$I183*1.05,"DİKKAT","NORMAL")))</f>
        <v/>
      </c>
    </row>
    <row r="184" spans="1:10">
      <c r="A184" s="6" t="str">
        <f>IF('Araç Tanımlama'!A184="","",'Araç Tanımlama'!A184)</f>
        <v/>
      </c>
      <c r="B184" s="4" t="str">
        <f>IF($A184="","",'Araç Tanımlama'!D184)</f>
        <v/>
      </c>
      <c r="C184" s="4" t="str">
        <f>IF($A184="","",'Araç Tanımlama'!E184)</f>
        <v/>
      </c>
      <c r="D184" s="4" t="str">
        <f>IF($A184="","",'Araç Tanımlama'!F184)</f>
        <v/>
      </c>
      <c r="E184" s="4" t="str">
        <f>IF($A184="","",SUMIFS('Yakıt Alım Kayıt'!$G$5:$G$1500,'Yakıt Alım Kayıt'!$D$5:$D$1500,$A184))</f>
        <v/>
      </c>
      <c r="F184" s="9" t="str">
        <f>IF($A184="","",SUMIFS('Yakıt Alım Kayıt'!$I$5:$I$1500,'Yakıt Alım Kayıt'!$D$5:$D$1500,$A184))</f>
        <v/>
      </c>
      <c r="G184" s="4" t="str">
        <f>IF($A184="","",IFERROR(_xludf.maxifs('Yakıt Alım Kayıt'!$J$5:$J$1500,'Yakıt Alım Kayıt'!$D$5:$D$1500,$A184)-_xludf.minifs('Yakıt Alım Kayıt'!$J$5:$J$1500,'Yakıt Alım Kayıt'!$D$5:$D$1500,$A184),0))</f>
        <v/>
      </c>
      <c r="H184" s="10" t="str">
        <f>IF(OR($A184="",$G184=0,$G184=""),"",IF($D184="Kilometre (km)",$E184/($G184/100),$E184/$G184))</f>
        <v/>
      </c>
      <c r="I184" s="10" t="str">
        <f>IF($A184="","",'Araç Tanımlama'!G184)</f>
        <v/>
      </c>
      <c r="J184" s="4" t="str">
        <f>IF(OR($A184="",$H184="",$I184=""),"",IF($H184&gt;$I184*1.15,"YÜKSEK",IF($H184&gt;$I184*1.05,"DİKKAT","NORMAL")))</f>
        <v/>
      </c>
    </row>
    <row r="185" spans="1:10">
      <c r="A185" s="6" t="str">
        <f>IF('Araç Tanımlama'!A185="","",'Araç Tanımlama'!A185)</f>
        <v/>
      </c>
      <c r="B185" s="4" t="str">
        <f>IF($A185="","",'Araç Tanımlama'!D185)</f>
        <v/>
      </c>
      <c r="C185" s="4" t="str">
        <f>IF($A185="","",'Araç Tanımlama'!E185)</f>
        <v/>
      </c>
      <c r="D185" s="4" t="str">
        <f>IF($A185="","",'Araç Tanımlama'!F185)</f>
        <v/>
      </c>
      <c r="E185" s="4" t="str">
        <f>IF($A185="","",SUMIFS('Yakıt Alım Kayıt'!$G$5:$G$1500,'Yakıt Alım Kayıt'!$D$5:$D$1500,$A185))</f>
        <v/>
      </c>
      <c r="F185" s="9" t="str">
        <f>IF($A185="","",SUMIFS('Yakıt Alım Kayıt'!$I$5:$I$1500,'Yakıt Alım Kayıt'!$D$5:$D$1500,$A185))</f>
        <v/>
      </c>
      <c r="G185" s="4" t="str">
        <f>IF($A185="","",IFERROR(_xludf.maxifs('Yakıt Alım Kayıt'!$J$5:$J$1500,'Yakıt Alım Kayıt'!$D$5:$D$1500,$A185)-_xludf.minifs('Yakıt Alım Kayıt'!$J$5:$J$1500,'Yakıt Alım Kayıt'!$D$5:$D$1500,$A185),0))</f>
        <v/>
      </c>
      <c r="H185" s="10" t="str">
        <f>IF(OR($A185="",$G185=0,$G185=""),"",IF($D185="Kilometre (km)",$E185/($G185/100),$E185/$G185))</f>
        <v/>
      </c>
      <c r="I185" s="10" t="str">
        <f>IF($A185="","",'Araç Tanımlama'!G185)</f>
        <v/>
      </c>
      <c r="J185" s="4" t="str">
        <f>IF(OR($A185="",$H185="",$I185=""),"",IF($H185&gt;$I185*1.15,"YÜKSEK",IF($H185&gt;$I185*1.05,"DİKKAT","NORMAL")))</f>
        <v/>
      </c>
    </row>
    <row r="186" spans="1:10">
      <c r="A186" s="6" t="str">
        <f>IF('Araç Tanımlama'!A186="","",'Araç Tanımlama'!A186)</f>
        <v/>
      </c>
      <c r="B186" s="4" t="str">
        <f>IF($A186="","",'Araç Tanımlama'!D186)</f>
        <v/>
      </c>
      <c r="C186" s="4" t="str">
        <f>IF($A186="","",'Araç Tanımlama'!E186)</f>
        <v/>
      </c>
      <c r="D186" s="4" t="str">
        <f>IF($A186="","",'Araç Tanımlama'!F186)</f>
        <v/>
      </c>
      <c r="E186" s="4" t="str">
        <f>IF($A186="","",SUMIFS('Yakıt Alım Kayıt'!$G$5:$G$1500,'Yakıt Alım Kayıt'!$D$5:$D$1500,$A186))</f>
        <v/>
      </c>
      <c r="F186" s="9" t="str">
        <f>IF($A186="","",SUMIFS('Yakıt Alım Kayıt'!$I$5:$I$1500,'Yakıt Alım Kayıt'!$D$5:$D$1500,$A186))</f>
        <v/>
      </c>
      <c r="G186" s="4" t="str">
        <f>IF($A186="","",IFERROR(_xludf.maxifs('Yakıt Alım Kayıt'!$J$5:$J$1500,'Yakıt Alım Kayıt'!$D$5:$D$1500,$A186)-_xludf.minifs('Yakıt Alım Kayıt'!$J$5:$J$1500,'Yakıt Alım Kayıt'!$D$5:$D$1500,$A186),0))</f>
        <v/>
      </c>
      <c r="H186" s="10" t="str">
        <f>IF(OR($A186="",$G186=0,$G186=""),"",IF($D186="Kilometre (km)",$E186/($G186/100),$E186/$G186))</f>
        <v/>
      </c>
      <c r="I186" s="10" t="str">
        <f>IF($A186="","",'Araç Tanımlama'!G186)</f>
        <v/>
      </c>
      <c r="J186" s="4" t="str">
        <f>IF(OR($A186="",$H186="",$I186=""),"",IF($H186&gt;$I186*1.15,"YÜKSEK",IF($H186&gt;$I186*1.05,"DİKKAT","NORMAL")))</f>
        <v/>
      </c>
    </row>
    <row r="187" spans="1:10">
      <c r="A187" s="6" t="str">
        <f>IF('Araç Tanımlama'!A187="","",'Araç Tanımlama'!A187)</f>
        <v/>
      </c>
      <c r="B187" s="4" t="str">
        <f>IF($A187="","",'Araç Tanımlama'!D187)</f>
        <v/>
      </c>
      <c r="C187" s="4" t="str">
        <f>IF($A187="","",'Araç Tanımlama'!E187)</f>
        <v/>
      </c>
      <c r="D187" s="4" t="str">
        <f>IF($A187="","",'Araç Tanımlama'!F187)</f>
        <v/>
      </c>
      <c r="E187" s="4" t="str">
        <f>IF($A187="","",SUMIFS('Yakıt Alım Kayıt'!$G$5:$G$1500,'Yakıt Alım Kayıt'!$D$5:$D$1500,$A187))</f>
        <v/>
      </c>
      <c r="F187" s="9" t="str">
        <f>IF($A187="","",SUMIFS('Yakıt Alım Kayıt'!$I$5:$I$1500,'Yakıt Alım Kayıt'!$D$5:$D$1500,$A187))</f>
        <v/>
      </c>
      <c r="G187" s="4" t="str">
        <f>IF($A187="","",IFERROR(_xludf.maxifs('Yakıt Alım Kayıt'!$J$5:$J$1500,'Yakıt Alım Kayıt'!$D$5:$D$1500,$A187)-_xludf.minifs('Yakıt Alım Kayıt'!$J$5:$J$1500,'Yakıt Alım Kayıt'!$D$5:$D$1500,$A187),0))</f>
        <v/>
      </c>
      <c r="H187" s="10" t="str">
        <f>IF(OR($A187="",$G187=0,$G187=""),"",IF($D187="Kilometre (km)",$E187/($G187/100),$E187/$G187))</f>
        <v/>
      </c>
      <c r="I187" s="10" t="str">
        <f>IF($A187="","",'Araç Tanımlama'!G187)</f>
        <v/>
      </c>
      <c r="J187" s="4" t="str">
        <f>IF(OR($A187="",$H187="",$I187=""),"",IF($H187&gt;$I187*1.15,"YÜKSEK",IF($H187&gt;$I187*1.05,"DİKKAT","NORMAL")))</f>
        <v/>
      </c>
    </row>
    <row r="188" spans="1:10">
      <c r="A188" s="6" t="str">
        <f>IF('Araç Tanımlama'!A188="","",'Araç Tanımlama'!A188)</f>
        <v/>
      </c>
      <c r="B188" s="4" t="str">
        <f>IF($A188="","",'Araç Tanımlama'!D188)</f>
        <v/>
      </c>
      <c r="C188" s="4" t="str">
        <f>IF($A188="","",'Araç Tanımlama'!E188)</f>
        <v/>
      </c>
      <c r="D188" s="4" t="str">
        <f>IF($A188="","",'Araç Tanımlama'!F188)</f>
        <v/>
      </c>
      <c r="E188" s="4" t="str">
        <f>IF($A188="","",SUMIFS('Yakıt Alım Kayıt'!$G$5:$G$1500,'Yakıt Alım Kayıt'!$D$5:$D$1500,$A188))</f>
        <v/>
      </c>
      <c r="F188" s="9" t="str">
        <f>IF($A188="","",SUMIFS('Yakıt Alım Kayıt'!$I$5:$I$1500,'Yakıt Alım Kayıt'!$D$5:$D$1500,$A188))</f>
        <v/>
      </c>
      <c r="G188" s="4" t="str">
        <f>IF($A188="","",IFERROR(_xludf.maxifs('Yakıt Alım Kayıt'!$J$5:$J$1500,'Yakıt Alım Kayıt'!$D$5:$D$1500,$A188)-_xludf.minifs('Yakıt Alım Kayıt'!$J$5:$J$1500,'Yakıt Alım Kayıt'!$D$5:$D$1500,$A188),0))</f>
        <v/>
      </c>
      <c r="H188" s="10" t="str">
        <f>IF(OR($A188="",$G188=0,$G188=""),"",IF($D188="Kilometre (km)",$E188/($G188/100),$E188/$G188))</f>
        <v/>
      </c>
      <c r="I188" s="10" t="str">
        <f>IF($A188="","",'Araç Tanımlama'!G188)</f>
        <v/>
      </c>
      <c r="J188" s="4" t="str">
        <f>IF(OR($A188="",$H188="",$I188=""),"",IF($H188&gt;$I188*1.15,"YÜKSEK",IF($H188&gt;$I188*1.05,"DİKKAT","NORMAL")))</f>
        <v/>
      </c>
    </row>
    <row r="189" spans="1:10">
      <c r="A189" s="6" t="str">
        <f>IF('Araç Tanımlama'!A189="","",'Araç Tanımlama'!A189)</f>
        <v/>
      </c>
      <c r="B189" s="4" t="str">
        <f>IF($A189="","",'Araç Tanımlama'!D189)</f>
        <v/>
      </c>
      <c r="C189" s="4" t="str">
        <f>IF($A189="","",'Araç Tanımlama'!E189)</f>
        <v/>
      </c>
      <c r="D189" s="4" t="str">
        <f>IF($A189="","",'Araç Tanımlama'!F189)</f>
        <v/>
      </c>
      <c r="E189" s="4" t="str">
        <f>IF($A189="","",SUMIFS('Yakıt Alım Kayıt'!$G$5:$G$1500,'Yakıt Alım Kayıt'!$D$5:$D$1500,$A189))</f>
        <v/>
      </c>
      <c r="F189" s="9" t="str">
        <f>IF($A189="","",SUMIFS('Yakıt Alım Kayıt'!$I$5:$I$1500,'Yakıt Alım Kayıt'!$D$5:$D$1500,$A189))</f>
        <v/>
      </c>
      <c r="G189" s="4" t="str">
        <f>IF($A189="","",IFERROR(_xludf.maxifs('Yakıt Alım Kayıt'!$J$5:$J$1500,'Yakıt Alım Kayıt'!$D$5:$D$1500,$A189)-_xludf.minifs('Yakıt Alım Kayıt'!$J$5:$J$1500,'Yakıt Alım Kayıt'!$D$5:$D$1500,$A189),0))</f>
        <v/>
      </c>
      <c r="H189" s="10" t="str">
        <f>IF(OR($A189="",$G189=0,$G189=""),"",IF($D189="Kilometre (km)",$E189/($G189/100),$E189/$G189))</f>
        <v/>
      </c>
      <c r="I189" s="10" t="str">
        <f>IF($A189="","",'Araç Tanımlama'!G189)</f>
        <v/>
      </c>
      <c r="J189" s="4" t="str">
        <f>IF(OR($A189="",$H189="",$I189=""),"",IF($H189&gt;$I189*1.15,"YÜKSEK",IF($H189&gt;$I189*1.05,"DİKKAT","NORMAL")))</f>
        <v/>
      </c>
    </row>
    <row r="190" spans="1:10">
      <c r="A190" s="6" t="str">
        <f>IF('Araç Tanımlama'!A190="","",'Araç Tanımlama'!A190)</f>
        <v/>
      </c>
      <c r="B190" s="4" t="str">
        <f>IF($A190="","",'Araç Tanımlama'!D190)</f>
        <v/>
      </c>
      <c r="C190" s="4" t="str">
        <f>IF($A190="","",'Araç Tanımlama'!E190)</f>
        <v/>
      </c>
      <c r="D190" s="4" t="str">
        <f>IF($A190="","",'Araç Tanımlama'!F190)</f>
        <v/>
      </c>
      <c r="E190" s="4" t="str">
        <f>IF($A190="","",SUMIFS('Yakıt Alım Kayıt'!$G$5:$G$1500,'Yakıt Alım Kayıt'!$D$5:$D$1500,$A190))</f>
        <v/>
      </c>
      <c r="F190" s="9" t="str">
        <f>IF($A190="","",SUMIFS('Yakıt Alım Kayıt'!$I$5:$I$1500,'Yakıt Alım Kayıt'!$D$5:$D$1500,$A190))</f>
        <v/>
      </c>
      <c r="G190" s="4" t="str">
        <f>IF($A190="","",IFERROR(_xludf.maxifs('Yakıt Alım Kayıt'!$J$5:$J$1500,'Yakıt Alım Kayıt'!$D$5:$D$1500,$A190)-_xludf.minifs('Yakıt Alım Kayıt'!$J$5:$J$1500,'Yakıt Alım Kayıt'!$D$5:$D$1500,$A190),0))</f>
        <v/>
      </c>
      <c r="H190" s="10" t="str">
        <f>IF(OR($A190="",$G190=0,$G190=""),"",IF($D190="Kilometre (km)",$E190/($G190/100),$E190/$G190))</f>
        <v/>
      </c>
      <c r="I190" s="10" t="str">
        <f>IF($A190="","",'Araç Tanımlama'!G190)</f>
        <v/>
      </c>
      <c r="J190" s="4" t="str">
        <f>IF(OR($A190="",$H190="",$I190=""),"",IF($H190&gt;$I190*1.15,"YÜKSEK",IF($H190&gt;$I190*1.05,"DİKKAT","NORMAL")))</f>
        <v/>
      </c>
    </row>
    <row r="191" spans="1:10">
      <c r="A191" s="6" t="str">
        <f>IF('Araç Tanımlama'!A191="","",'Araç Tanımlama'!A191)</f>
        <v/>
      </c>
      <c r="B191" s="4" t="str">
        <f>IF($A191="","",'Araç Tanımlama'!D191)</f>
        <v/>
      </c>
      <c r="C191" s="4" t="str">
        <f>IF($A191="","",'Araç Tanımlama'!E191)</f>
        <v/>
      </c>
      <c r="D191" s="4" t="str">
        <f>IF($A191="","",'Araç Tanımlama'!F191)</f>
        <v/>
      </c>
      <c r="E191" s="4" t="str">
        <f>IF($A191="","",SUMIFS('Yakıt Alım Kayıt'!$G$5:$G$1500,'Yakıt Alım Kayıt'!$D$5:$D$1500,$A191))</f>
        <v/>
      </c>
      <c r="F191" s="9" t="str">
        <f>IF($A191="","",SUMIFS('Yakıt Alım Kayıt'!$I$5:$I$1500,'Yakıt Alım Kayıt'!$D$5:$D$1500,$A191))</f>
        <v/>
      </c>
      <c r="G191" s="4" t="str">
        <f>IF($A191="","",IFERROR(_xludf.maxifs('Yakıt Alım Kayıt'!$J$5:$J$1500,'Yakıt Alım Kayıt'!$D$5:$D$1500,$A191)-_xludf.minifs('Yakıt Alım Kayıt'!$J$5:$J$1500,'Yakıt Alım Kayıt'!$D$5:$D$1500,$A191),0))</f>
        <v/>
      </c>
      <c r="H191" s="10" t="str">
        <f>IF(OR($A191="",$G191=0,$G191=""),"",IF($D191="Kilometre (km)",$E191/($G191/100),$E191/$G191))</f>
        <v/>
      </c>
      <c r="I191" s="10" t="str">
        <f>IF($A191="","",'Araç Tanımlama'!G191)</f>
        <v/>
      </c>
      <c r="J191" s="4" t="str">
        <f>IF(OR($A191="",$H191="",$I191=""),"",IF($H191&gt;$I191*1.15,"YÜKSEK",IF($H191&gt;$I191*1.05,"DİKKAT","NORMAL")))</f>
        <v/>
      </c>
    </row>
    <row r="192" spans="1:10">
      <c r="A192" s="6" t="str">
        <f>IF('Araç Tanımlama'!A192="","",'Araç Tanımlama'!A192)</f>
        <v/>
      </c>
      <c r="B192" s="4" t="str">
        <f>IF($A192="","",'Araç Tanımlama'!D192)</f>
        <v/>
      </c>
      <c r="C192" s="4" t="str">
        <f>IF($A192="","",'Araç Tanımlama'!E192)</f>
        <v/>
      </c>
      <c r="D192" s="4" t="str">
        <f>IF($A192="","",'Araç Tanımlama'!F192)</f>
        <v/>
      </c>
      <c r="E192" s="4" t="str">
        <f>IF($A192="","",SUMIFS('Yakıt Alım Kayıt'!$G$5:$G$1500,'Yakıt Alım Kayıt'!$D$5:$D$1500,$A192))</f>
        <v/>
      </c>
      <c r="F192" s="9" t="str">
        <f>IF($A192="","",SUMIFS('Yakıt Alım Kayıt'!$I$5:$I$1500,'Yakıt Alım Kayıt'!$D$5:$D$1500,$A192))</f>
        <v/>
      </c>
      <c r="G192" s="4" t="str">
        <f>IF($A192="","",IFERROR(_xludf.maxifs('Yakıt Alım Kayıt'!$J$5:$J$1500,'Yakıt Alım Kayıt'!$D$5:$D$1500,$A192)-_xludf.minifs('Yakıt Alım Kayıt'!$J$5:$J$1500,'Yakıt Alım Kayıt'!$D$5:$D$1500,$A192),0))</f>
        <v/>
      </c>
      <c r="H192" s="10" t="str">
        <f>IF(OR($A192="",$G192=0,$G192=""),"",IF($D192="Kilometre (km)",$E192/($G192/100),$E192/$G192))</f>
        <v/>
      </c>
      <c r="I192" s="10" t="str">
        <f>IF($A192="","",'Araç Tanımlama'!G192)</f>
        <v/>
      </c>
      <c r="J192" s="4" t="str">
        <f>IF(OR($A192="",$H192="",$I192=""),"",IF($H192&gt;$I192*1.15,"YÜKSEK",IF($H192&gt;$I192*1.05,"DİKKAT","NORMAL")))</f>
        <v/>
      </c>
    </row>
    <row r="193" spans="1:10">
      <c r="A193" s="6" t="str">
        <f>IF('Araç Tanımlama'!A193="","",'Araç Tanımlama'!A193)</f>
        <v/>
      </c>
      <c r="B193" s="4" t="str">
        <f>IF($A193="","",'Araç Tanımlama'!D193)</f>
        <v/>
      </c>
      <c r="C193" s="4" t="str">
        <f>IF($A193="","",'Araç Tanımlama'!E193)</f>
        <v/>
      </c>
      <c r="D193" s="4" t="str">
        <f>IF($A193="","",'Araç Tanımlama'!F193)</f>
        <v/>
      </c>
      <c r="E193" s="4" t="str">
        <f>IF($A193="","",SUMIFS('Yakıt Alım Kayıt'!$G$5:$G$1500,'Yakıt Alım Kayıt'!$D$5:$D$1500,$A193))</f>
        <v/>
      </c>
      <c r="F193" s="9" t="str">
        <f>IF($A193="","",SUMIFS('Yakıt Alım Kayıt'!$I$5:$I$1500,'Yakıt Alım Kayıt'!$D$5:$D$1500,$A193))</f>
        <v/>
      </c>
      <c r="G193" s="4" t="str">
        <f>IF($A193="","",IFERROR(_xludf.maxifs('Yakıt Alım Kayıt'!$J$5:$J$1500,'Yakıt Alım Kayıt'!$D$5:$D$1500,$A193)-_xludf.minifs('Yakıt Alım Kayıt'!$J$5:$J$1500,'Yakıt Alım Kayıt'!$D$5:$D$1500,$A193),0))</f>
        <v/>
      </c>
      <c r="H193" s="10" t="str">
        <f>IF(OR($A193="",$G193=0,$G193=""),"",IF($D193="Kilometre (km)",$E193/($G193/100),$E193/$G193))</f>
        <v/>
      </c>
      <c r="I193" s="10" t="str">
        <f>IF($A193="","",'Araç Tanımlama'!G193)</f>
        <v/>
      </c>
      <c r="J193" s="4" t="str">
        <f>IF(OR($A193="",$H193="",$I193=""),"",IF($H193&gt;$I193*1.15,"YÜKSEK",IF($H193&gt;$I193*1.05,"DİKKAT","NORMAL")))</f>
        <v/>
      </c>
    </row>
    <row r="194" spans="1:10">
      <c r="A194" s="6" t="str">
        <f>IF('Araç Tanımlama'!A194="","",'Araç Tanımlama'!A194)</f>
        <v/>
      </c>
      <c r="B194" s="4" t="str">
        <f>IF($A194="","",'Araç Tanımlama'!D194)</f>
        <v/>
      </c>
      <c r="C194" s="4" t="str">
        <f>IF($A194="","",'Araç Tanımlama'!E194)</f>
        <v/>
      </c>
      <c r="D194" s="4" t="str">
        <f>IF($A194="","",'Araç Tanımlama'!F194)</f>
        <v/>
      </c>
      <c r="E194" s="4" t="str">
        <f>IF($A194="","",SUMIFS('Yakıt Alım Kayıt'!$G$5:$G$1500,'Yakıt Alım Kayıt'!$D$5:$D$1500,$A194))</f>
        <v/>
      </c>
      <c r="F194" s="9" t="str">
        <f>IF($A194="","",SUMIFS('Yakıt Alım Kayıt'!$I$5:$I$1500,'Yakıt Alım Kayıt'!$D$5:$D$1500,$A194))</f>
        <v/>
      </c>
      <c r="G194" s="4" t="str">
        <f>IF($A194="","",IFERROR(_xludf.maxifs('Yakıt Alım Kayıt'!$J$5:$J$1500,'Yakıt Alım Kayıt'!$D$5:$D$1500,$A194)-_xludf.minifs('Yakıt Alım Kayıt'!$J$5:$J$1500,'Yakıt Alım Kayıt'!$D$5:$D$1500,$A194),0))</f>
        <v/>
      </c>
      <c r="H194" s="10" t="str">
        <f>IF(OR($A194="",$G194=0,$G194=""),"",IF($D194="Kilometre (km)",$E194/($G194/100),$E194/$G194))</f>
        <v/>
      </c>
      <c r="I194" s="10" t="str">
        <f>IF($A194="","",'Araç Tanımlama'!G194)</f>
        <v/>
      </c>
      <c r="J194" s="4" t="str">
        <f>IF(OR($A194="",$H194="",$I194=""),"",IF($H194&gt;$I194*1.15,"YÜKSEK",IF($H194&gt;$I194*1.05,"DİKKAT","NORMAL")))</f>
        <v/>
      </c>
    </row>
    <row r="195" spans="1:10">
      <c r="A195" s="6" t="str">
        <f>IF('Araç Tanımlama'!A195="","",'Araç Tanımlama'!A195)</f>
        <v/>
      </c>
      <c r="B195" s="4" t="str">
        <f>IF($A195="","",'Araç Tanımlama'!D195)</f>
        <v/>
      </c>
      <c r="C195" s="4" t="str">
        <f>IF($A195="","",'Araç Tanımlama'!E195)</f>
        <v/>
      </c>
      <c r="D195" s="4" t="str">
        <f>IF($A195="","",'Araç Tanımlama'!F195)</f>
        <v/>
      </c>
      <c r="E195" s="4" t="str">
        <f>IF($A195="","",SUMIFS('Yakıt Alım Kayıt'!$G$5:$G$1500,'Yakıt Alım Kayıt'!$D$5:$D$1500,$A195))</f>
        <v/>
      </c>
      <c r="F195" s="9" t="str">
        <f>IF($A195="","",SUMIFS('Yakıt Alım Kayıt'!$I$5:$I$1500,'Yakıt Alım Kayıt'!$D$5:$D$1500,$A195))</f>
        <v/>
      </c>
      <c r="G195" s="4" t="str">
        <f>IF($A195="","",IFERROR(_xludf.maxifs('Yakıt Alım Kayıt'!$J$5:$J$1500,'Yakıt Alım Kayıt'!$D$5:$D$1500,$A195)-_xludf.minifs('Yakıt Alım Kayıt'!$J$5:$J$1500,'Yakıt Alım Kayıt'!$D$5:$D$1500,$A195),0))</f>
        <v/>
      </c>
      <c r="H195" s="10" t="str">
        <f>IF(OR($A195="",$G195=0,$G195=""),"",IF($D195="Kilometre (km)",$E195/($G195/100),$E195/$G195))</f>
        <v/>
      </c>
      <c r="I195" s="10" t="str">
        <f>IF($A195="","",'Araç Tanımlama'!G195)</f>
        <v/>
      </c>
      <c r="J195" s="4" t="str">
        <f>IF(OR($A195="",$H195="",$I195=""),"",IF($H195&gt;$I195*1.15,"YÜKSEK",IF($H195&gt;$I195*1.05,"DİKKAT","NORMAL")))</f>
        <v/>
      </c>
    </row>
    <row r="196" spans="1:10">
      <c r="A196" s="6" t="str">
        <f>IF('Araç Tanımlama'!A196="","",'Araç Tanımlama'!A196)</f>
        <v/>
      </c>
      <c r="B196" s="4" t="str">
        <f>IF($A196="","",'Araç Tanımlama'!D196)</f>
        <v/>
      </c>
      <c r="C196" s="4" t="str">
        <f>IF($A196="","",'Araç Tanımlama'!E196)</f>
        <v/>
      </c>
      <c r="D196" s="4" t="str">
        <f>IF($A196="","",'Araç Tanımlama'!F196)</f>
        <v/>
      </c>
      <c r="E196" s="4" t="str">
        <f>IF($A196="","",SUMIFS('Yakıt Alım Kayıt'!$G$5:$G$1500,'Yakıt Alım Kayıt'!$D$5:$D$1500,$A196))</f>
        <v/>
      </c>
      <c r="F196" s="9" t="str">
        <f>IF($A196="","",SUMIFS('Yakıt Alım Kayıt'!$I$5:$I$1500,'Yakıt Alım Kayıt'!$D$5:$D$1500,$A196))</f>
        <v/>
      </c>
      <c r="G196" s="4" t="str">
        <f>IF($A196="","",IFERROR(_xludf.maxifs('Yakıt Alım Kayıt'!$J$5:$J$1500,'Yakıt Alım Kayıt'!$D$5:$D$1500,$A196)-_xludf.minifs('Yakıt Alım Kayıt'!$J$5:$J$1500,'Yakıt Alım Kayıt'!$D$5:$D$1500,$A196),0))</f>
        <v/>
      </c>
      <c r="H196" s="10" t="str">
        <f>IF(OR($A196="",$G196=0,$G196=""),"",IF($D196="Kilometre (km)",$E196/($G196/100),$E196/$G196))</f>
        <v/>
      </c>
      <c r="I196" s="10" t="str">
        <f>IF($A196="","",'Araç Tanımlama'!G196)</f>
        <v/>
      </c>
      <c r="J196" s="4" t="str">
        <f>IF(OR($A196="",$H196="",$I196=""),"",IF($H196&gt;$I196*1.15,"YÜKSEK",IF($H196&gt;$I196*1.05,"DİKKAT","NORMAL")))</f>
        <v/>
      </c>
    </row>
    <row r="197" spans="1:10">
      <c r="A197" s="6" t="str">
        <f>IF('Araç Tanımlama'!A197="","",'Araç Tanımlama'!A197)</f>
        <v/>
      </c>
      <c r="B197" s="4" t="str">
        <f>IF($A197="","",'Araç Tanımlama'!D197)</f>
        <v/>
      </c>
      <c r="C197" s="4" t="str">
        <f>IF($A197="","",'Araç Tanımlama'!E197)</f>
        <v/>
      </c>
      <c r="D197" s="4" t="str">
        <f>IF($A197="","",'Araç Tanımlama'!F197)</f>
        <v/>
      </c>
      <c r="E197" s="4" t="str">
        <f>IF($A197="","",SUMIFS('Yakıt Alım Kayıt'!$G$5:$G$1500,'Yakıt Alım Kayıt'!$D$5:$D$1500,$A197))</f>
        <v/>
      </c>
      <c r="F197" s="9" t="str">
        <f>IF($A197="","",SUMIFS('Yakıt Alım Kayıt'!$I$5:$I$1500,'Yakıt Alım Kayıt'!$D$5:$D$1500,$A197))</f>
        <v/>
      </c>
      <c r="G197" s="4" t="str">
        <f>IF($A197="","",IFERROR(_xludf.maxifs('Yakıt Alım Kayıt'!$J$5:$J$1500,'Yakıt Alım Kayıt'!$D$5:$D$1500,$A197)-_xludf.minifs('Yakıt Alım Kayıt'!$J$5:$J$1500,'Yakıt Alım Kayıt'!$D$5:$D$1500,$A197),0))</f>
        <v/>
      </c>
      <c r="H197" s="10" t="str">
        <f>IF(OR($A197="",$G197=0,$G197=""),"",IF($D197="Kilometre (km)",$E197/($G197/100),$E197/$G197))</f>
        <v/>
      </c>
      <c r="I197" s="10" t="str">
        <f>IF($A197="","",'Araç Tanımlama'!G197)</f>
        <v/>
      </c>
      <c r="J197" s="4" t="str">
        <f>IF(OR($A197="",$H197="",$I197=""),"",IF($H197&gt;$I197*1.15,"YÜKSEK",IF($H197&gt;$I197*1.05,"DİKKAT","NORMAL")))</f>
        <v/>
      </c>
    </row>
    <row r="198" spans="1:10">
      <c r="A198" s="6" t="str">
        <f>IF('Araç Tanımlama'!A198="","",'Araç Tanımlama'!A198)</f>
        <v/>
      </c>
      <c r="B198" s="4" t="str">
        <f>IF($A198="","",'Araç Tanımlama'!D198)</f>
        <v/>
      </c>
      <c r="C198" s="4" t="str">
        <f>IF($A198="","",'Araç Tanımlama'!E198)</f>
        <v/>
      </c>
      <c r="D198" s="4" t="str">
        <f>IF($A198="","",'Araç Tanımlama'!F198)</f>
        <v/>
      </c>
      <c r="E198" s="4" t="str">
        <f>IF($A198="","",SUMIFS('Yakıt Alım Kayıt'!$G$5:$G$1500,'Yakıt Alım Kayıt'!$D$5:$D$1500,$A198))</f>
        <v/>
      </c>
      <c r="F198" s="9" t="str">
        <f>IF($A198="","",SUMIFS('Yakıt Alım Kayıt'!$I$5:$I$1500,'Yakıt Alım Kayıt'!$D$5:$D$1500,$A198))</f>
        <v/>
      </c>
      <c r="G198" s="4" t="str">
        <f>IF($A198="","",IFERROR(_xludf.maxifs('Yakıt Alım Kayıt'!$J$5:$J$1500,'Yakıt Alım Kayıt'!$D$5:$D$1500,$A198)-_xludf.minifs('Yakıt Alım Kayıt'!$J$5:$J$1500,'Yakıt Alım Kayıt'!$D$5:$D$1500,$A198),0))</f>
        <v/>
      </c>
      <c r="H198" s="10" t="str">
        <f>IF(OR($A198="",$G198=0,$G198=""),"",IF($D198="Kilometre (km)",$E198/($G198/100),$E198/$G198))</f>
        <v/>
      </c>
      <c r="I198" s="10" t="str">
        <f>IF($A198="","",'Araç Tanımlama'!G198)</f>
        <v/>
      </c>
      <c r="J198" s="4" t="str">
        <f>IF(OR($A198="",$H198="",$I198=""),"",IF($H198&gt;$I198*1.15,"YÜKSEK",IF($H198&gt;$I198*1.05,"DİKKAT","NORMAL")))</f>
        <v/>
      </c>
    </row>
    <row r="199" spans="1:10">
      <c r="A199" s="6" t="str">
        <f>IF('Araç Tanımlama'!A199="","",'Araç Tanımlama'!A199)</f>
        <v/>
      </c>
      <c r="B199" s="4" t="str">
        <f>IF($A199="","",'Araç Tanımlama'!D199)</f>
        <v/>
      </c>
      <c r="C199" s="4" t="str">
        <f>IF($A199="","",'Araç Tanımlama'!E199)</f>
        <v/>
      </c>
      <c r="D199" s="4" t="str">
        <f>IF($A199="","",'Araç Tanımlama'!F199)</f>
        <v/>
      </c>
      <c r="E199" s="4" t="str">
        <f>IF($A199="","",SUMIFS('Yakıt Alım Kayıt'!$G$5:$G$1500,'Yakıt Alım Kayıt'!$D$5:$D$1500,$A199))</f>
        <v/>
      </c>
      <c r="F199" s="9" t="str">
        <f>IF($A199="","",SUMIFS('Yakıt Alım Kayıt'!$I$5:$I$1500,'Yakıt Alım Kayıt'!$D$5:$D$1500,$A199))</f>
        <v/>
      </c>
      <c r="G199" s="4" t="str">
        <f>IF($A199="","",IFERROR(_xludf.maxifs('Yakıt Alım Kayıt'!$J$5:$J$1500,'Yakıt Alım Kayıt'!$D$5:$D$1500,$A199)-_xludf.minifs('Yakıt Alım Kayıt'!$J$5:$J$1500,'Yakıt Alım Kayıt'!$D$5:$D$1500,$A199),0))</f>
        <v/>
      </c>
      <c r="H199" s="10" t="str">
        <f>IF(OR($A199="",$G199=0,$G199=""),"",IF($D199="Kilometre (km)",$E199/($G199/100),$E199/$G199))</f>
        <v/>
      </c>
      <c r="I199" s="10" t="str">
        <f>IF($A199="","",'Araç Tanımlama'!G199)</f>
        <v/>
      </c>
      <c r="J199" s="4" t="str">
        <f>IF(OR($A199="",$H199="",$I199=""),"",IF($H199&gt;$I199*1.15,"YÜKSEK",IF($H199&gt;$I199*1.05,"DİKKAT","NORMAL")))</f>
        <v/>
      </c>
    </row>
    <row r="200" spans="1:10">
      <c r="A200" s="6" t="str">
        <f>IF('Araç Tanımlama'!A200="","",'Araç Tanımlama'!A200)</f>
        <v/>
      </c>
      <c r="B200" s="4" t="str">
        <f>IF($A200="","",'Araç Tanımlama'!D200)</f>
        <v/>
      </c>
      <c r="C200" s="4" t="str">
        <f>IF($A200="","",'Araç Tanımlama'!E200)</f>
        <v/>
      </c>
      <c r="D200" s="4" t="str">
        <f>IF($A200="","",'Araç Tanımlama'!F200)</f>
        <v/>
      </c>
      <c r="E200" s="4" t="str">
        <f>IF($A200="","",SUMIFS('Yakıt Alım Kayıt'!$G$5:$G$1500,'Yakıt Alım Kayıt'!$D$5:$D$1500,$A200))</f>
        <v/>
      </c>
      <c r="F200" s="9" t="str">
        <f>IF($A200="","",SUMIFS('Yakıt Alım Kayıt'!$I$5:$I$1500,'Yakıt Alım Kayıt'!$D$5:$D$1500,$A200))</f>
        <v/>
      </c>
      <c r="G200" s="4" t="str">
        <f>IF($A200="","",IFERROR(_xludf.maxifs('Yakıt Alım Kayıt'!$J$5:$J$1500,'Yakıt Alım Kayıt'!$D$5:$D$1500,$A200)-_xludf.minifs('Yakıt Alım Kayıt'!$J$5:$J$1500,'Yakıt Alım Kayıt'!$D$5:$D$1500,$A200),0))</f>
        <v/>
      </c>
      <c r="H200" s="10" t="str">
        <f>IF(OR($A200="",$G200=0,$G200=""),"",IF($D200="Kilometre (km)",$E200/($G200/100),$E200/$G200))</f>
        <v/>
      </c>
      <c r="I200" s="10" t="str">
        <f>IF($A200="","",'Araç Tanımlama'!G200)</f>
        <v/>
      </c>
      <c r="J200" s="4" t="str">
        <f>IF(OR($A200="",$H200="",$I200=""),"",IF($H200&gt;$I200*1.15,"YÜKSEK",IF($H200&gt;$I200*1.05,"DİKKAT","NORMAL")))</f>
        <v/>
      </c>
    </row>
    <row r="203" spans="1:10">
      <c r="A203" s="3" t="s">
        <v>37</v>
      </c>
    </row>
  </sheetData>
  <mergeCells count="2">
    <mergeCell ref="A1:J1"/>
    <mergeCell ref="A2:J2"/>
  </mergeCells>
  <conditionalFormatting sqref="J5:J200">
    <cfRule type="cellIs" dxfId="2" priority="2" operator="equal">
      <formula>"YÜKSEK"</formula>
    </cfRule>
    <cfRule type="cellIs" dxfId="1" priority="3" operator="equal">
      <formula>"DİKKAT"</formula>
    </cfRule>
    <cfRule type="cellIs" dxfId="0" priority="4" operator="equal">
      <formula>"NORMAL"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F9000"/>
    <pageSetUpPr fitToPage="1"/>
  </sheetPr>
  <dimension ref="A1:F211"/>
  <sheetViews>
    <sheetView showGridLines="0" zoomScaleNormal="100" workbookViewId="0">
      <pane ySplit="6" topLeftCell="A7" activePane="bottomLeft" state="frozen"/>
      <selection pane="bottomLeft"/>
    </sheetView>
  </sheetViews>
  <sheetFormatPr defaultColWidth="8.7109375" defaultRowHeight="15"/>
  <cols>
    <col min="1" max="1" width="14" customWidth="1"/>
    <col min="2" max="2" width="16" customWidth="1"/>
    <col min="3" max="3" width="12" customWidth="1"/>
    <col min="4" max="4" width="16" customWidth="1"/>
    <col min="5" max="5" width="14" customWidth="1"/>
    <col min="6" max="6" width="20" customWidth="1"/>
  </cols>
  <sheetData>
    <row r="1" spans="1:6" ht="27.75" customHeight="1">
      <c r="A1" s="18" t="s">
        <v>38</v>
      </c>
      <c r="B1" s="18"/>
      <c r="C1" s="18"/>
      <c r="D1" s="18"/>
      <c r="E1" s="18"/>
      <c r="F1" s="18"/>
    </row>
    <row r="4" spans="1:6">
      <c r="A4" s="11" t="s">
        <v>39</v>
      </c>
      <c r="B4" s="2" t="s">
        <v>13</v>
      </c>
      <c r="D4" s="11" t="s">
        <v>40</v>
      </c>
      <c r="E4" s="2" t="s">
        <v>41</v>
      </c>
    </row>
    <row r="6" spans="1:6" ht="21.75" customHeight="1">
      <c r="A6" s="1" t="s">
        <v>2</v>
      </c>
      <c r="B6" s="1" t="s">
        <v>6</v>
      </c>
      <c r="C6" s="1" t="s">
        <v>23</v>
      </c>
      <c r="D6" s="1" t="s">
        <v>25</v>
      </c>
      <c r="E6" s="1" t="s">
        <v>42</v>
      </c>
      <c r="F6" s="1" t="s">
        <v>43</v>
      </c>
    </row>
    <row r="7" spans="1:6">
      <c r="A7" s="4" t="str">
        <f>IF('Araç Tanımlama'!A5="","",IF('Araç Tanımlama'!D5=$B$4,'Araç Tanımlama'!A5,""))</f>
        <v>36 AB 123</v>
      </c>
      <c r="B7" s="4" t="str">
        <f>IF($A7="","",'Araç Tanımlama'!E5)</f>
        <v>Motorin</v>
      </c>
      <c r="C7" s="4">
        <f>IF($A7="","",SUMIFS('Yakıt Alım Kayıt'!$G$5:$G$1500,'Yakıt Alım Kayıt'!$D$5:$D$1500,$A7,'Yakıt Alım Kayıt'!$C$5:$C$1500,$E$4))</f>
        <v>0</v>
      </c>
      <c r="D7" s="9">
        <f>IF($A7="","",SUMIFS('Yakıt Alım Kayıt'!$I$5:$I$1500,'Yakıt Alım Kayıt'!$D$5:$D$1500,$A7,'Yakıt Alım Kayıt'!$C$5:$C$1500,$E$4))</f>
        <v>0</v>
      </c>
      <c r="E7" s="4">
        <f>IF($A7="","",COUNTIFS('Yakıt Alım Kayıt'!$D$5:$D$1500,$A7,'Yakıt Alım Kayıt'!$C$5:$C$1500,$E$4))</f>
        <v>0</v>
      </c>
      <c r="F7" s="9" t="str">
        <f>IF(OR($A7="",$C7=0,$C7=""),"",$D7/$C7)</f>
        <v/>
      </c>
    </row>
    <row r="8" spans="1:6">
      <c r="A8" s="4" t="str">
        <f>IF('Araç Tanımlama'!A6="","",IF('Araç Tanımlama'!D6=$B$4,'Araç Tanımlama'!A6,""))</f>
        <v/>
      </c>
      <c r="B8" s="4" t="str">
        <f>IF($A8="","",'Araç Tanımlama'!E6)</f>
        <v/>
      </c>
      <c r="C8" s="4" t="str">
        <f>IF($A8="","",SUMIFS('Yakıt Alım Kayıt'!$G$5:$G$1500,'Yakıt Alım Kayıt'!$D$5:$D$1500,$A8,'Yakıt Alım Kayıt'!$C$5:$C$1500,$E$4))</f>
        <v/>
      </c>
      <c r="D8" s="9" t="str">
        <f>IF($A8="","",SUMIFS('Yakıt Alım Kayıt'!$I$5:$I$1500,'Yakıt Alım Kayıt'!$D$5:$D$1500,$A8,'Yakıt Alım Kayıt'!$C$5:$C$1500,$E$4))</f>
        <v/>
      </c>
      <c r="E8" s="4" t="str">
        <f>IF($A8="","",COUNTIFS('Yakıt Alım Kayıt'!$D$5:$D$1500,$A8,'Yakıt Alım Kayıt'!$C$5:$C$1500,$E$4))</f>
        <v/>
      </c>
      <c r="F8" s="9" t="str">
        <f>IF(OR($A8="",$C8=0,$C8=""),"",$D8/$C8)</f>
        <v/>
      </c>
    </row>
    <row r="9" spans="1:6">
      <c r="A9" s="4" t="str">
        <f>IF('Araç Tanımlama'!A7="","",IF('Araç Tanımlama'!D7=$B$4,'Araç Tanımlama'!A7,""))</f>
        <v/>
      </c>
      <c r="B9" s="4" t="str">
        <f>IF($A9="","",'Araç Tanımlama'!E7)</f>
        <v/>
      </c>
      <c r="C9" s="4" t="str">
        <f>IF($A9="","",SUMIFS('Yakıt Alım Kayıt'!$G$5:$G$1500,'Yakıt Alım Kayıt'!$D$5:$D$1500,$A9,'Yakıt Alım Kayıt'!$C$5:$C$1500,$E$4))</f>
        <v/>
      </c>
      <c r="D9" s="9" t="str">
        <f>IF($A9="","",SUMIFS('Yakıt Alım Kayıt'!$I$5:$I$1500,'Yakıt Alım Kayıt'!$D$5:$D$1500,$A9,'Yakıt Alım Kayıt'!$C$5:$C$1500,$E$4))</f>
        <v/>
      </c>
      <c r="E9" s="4" t="str">
        <f>IF($A9="","",COUNTIFS('Yakıt Alım Kayıt'!$D$5:$D$1500,$A9,'Yakıt Alım Kayıt'!$C$5:$C$1500,$E$4))</f>
        <v/>
      </c>
      <c r="F9" s="9" t="str">
        <f>IF(OR($A9="",$C9=0,$C9=""),"",$D9/$C9)</f>
        <v/>
      </c>
    </row>
    <row r="10" spans="1:6">
      <c r="A10" s="4" t="str">
        <f>IF('Araç Tanımlama'!A8="","",IF('Araç Tanımlama'!D8=$B$4,'Araç Tanımlama'!A8,""))</f>
        <v/>
      </c>
      <c r="B10" s="4" t="str">
        <f>IF($A10="","",'Araç Tanımlama'!E8)</f>
        <v/>
      </c>
      <c r="C10" s="4" t="str">
        <f>IF($A10="","",SUMIFS('Yakıt Alım Kayıt'!$G$5:$G$1500,'Yakıt Alım Kayıt'!$D$5:$D$1500,$A10,'Yakıt Alım Kayıt'!$C$5:$C$1500,$E$4))</f>
        <v/>
      </c>
      <c r="D10" s="9" t="str">
        <f>IF($A10="","",SUMIFS('Yakıt Alım Kayıt'!$I$5:$I$1500,'Yakıt Alım Kayıt'!$D$5:$D$1500,$A10,'Yakıt Alım Kayıt'!$C$5:$C$1500,$E$4))</f>
        <v/>
      </c>
      <c r="E10" s="4" t="str">
        <f>IF($A10="","",COUNTIFS('Yakıt Alım Kayıt'!$D$5:$D$1500,$A10,'Yakıt Alım Kayıt'!$C$5:$C$1500,$E$4))</f>
        <v/>
      </c>
      <c r="F10" s="9" t="str">
        <f>IF(OR($A10="",$C10=0,$C10=""),"",$D10/$C10)</f>
        <v/>
      </c>
    </row>
    <row r="11" spans="1:6">
      <c r="A11" s="4" t="str">
        <f>IF('Araç Tanımlama'!A9="","",IF('Araç Tanımlama'!D9=$B$4,'Araç Tanımlama'!A9,""))</f>
        <v/>
      </c>
      <c r="B11" s="4" t="str">
        <f>IF($A11="","",'Araç Tanımlama'!E9)</f>
        <v/>
      </c>
      <c r="C11" s="4" t="str">
        <f>IF($A11="","",SUMIFS('Yakıt Alım Kayıt'!$G$5:$G$1500,'Yakıt Alım Kayıt'!$D$5:$D$1500,$A11,'Yakıt Alım Kayıt'!$C$5:$C$1500,$E$4))</f>
        <v/>
      </c>
      <c r="D11" s="9" t="str">
        <f>IF($A11="","",SUMIFS('Yakıt Alım Kayıt'!$I$5:$I$1500,'Yakıt Alım Kayıt'!$D$5:$D$1500,$A11,'Yakıt Alım Kayıt'!$C$5:$C$1500,$E$4))</f>
        <v/>
      </c>
      <c r="E11" s="4" t="str">
        <f>IF($A11="","",COUNTIFS('Yakıt Alım Kayıt'!$D$5:$D$1500,$A11,'Yakıt Alım Kayıt'!$C$5:$C$1500,$E$4))</f>
        <v/>
      </c>
      <c r="F11" s="9" t="str">
        <f>IF(OR($A11="",$C11=0,$C11=""),"",$D11/$C11)</f>
        <v/>
      </c>
    </row>
    <row r="12" spans="1:6">
      <c r="A12" s="4" t="str">
        <f>IF('Araç Tanımlama'!A10="","",IF('Araç Tanımlama'!D10=$B$4,'Araç Tanımlama'!A10,""))</f>
        <v/>
      </c>
      <c r="B12" s="4" t="str">
        <f>IF($A12="","",'Araç Tanımlama'!E10)</f>
        <v/>
      </c>
      <c r="C12" s="4" t="str">
        <f>IF($A12="","",SUMIFS('Yakıt Alım Kayıt'!$G$5:$G$1500,'Yakıt Alım Kayıt'!$D$5:$D$1500,$A12,'Yakıt Alım Kayıt'!$C$5:$C$1500,$E$4))</f>
        <v/>
      </c>
      <c r="D12" s="9" t="str">
        <f>IF($A12="","",SUMIFS('Yakıt Alım Kayıt'!$I$5:$I$1500,'Yakıt Alım Kayıt'!$D$5:$D$1500,$A12,'Yakıt Alım Kayıt'!$C$5:$C$1500,$E$4))</f>
        <v/>
      </c>
      <c r="E12" s="4" t="str">
        <f>IF($A12="","",COUNTIFS('Yakıt Alım Kayıt'!$D$5:$D$1500,$A12,'Yakıt Alım Kayıt'!$C$5:$C$1500,$E$4))</f>
        <v/>
      </c>
      <c r="F12" s="9" t="str">
        <f>IF(OR($A12="",$C12=0,$C12=""),"",$D12/$C12)</f>
        <v/>
      </c>
    </row>
    <row r="13" spans="1:6">
      <c r="A13" s="4" t="str">
        <f>IF('Araç Tanımlama'!A11="","",IF('Araç Tanımlama'!D11=$B$4,'Araç Tanımlama'!A11,""))</f>
        <v/>
      </c>
      <c r="B13" s="4" t="str">
        <f>IF($A13="","",'Araç Tanımlama'!E11)</f>
        <v/>
      </c>
      <c r="C13" s="4" t="str">
        <f>IF($A13="","",SUMIFS('Yakıt Alım Kayıt'!$G$5:$G$1500,'Yakıt Alım Kayıt'!$D$5:$D$1500,$A13,'Yakıt Alım Kayıt'!$C$5:$C$1500,$E$4))</f>
        <v/>
      </c>
      <c r="D13" s="9" t="str">
        <f>IF($A13="","",SUMIFS('Yakıt Alım Kayıt'!$I$5:$I$1500,'Yakıt Alım Kayıt'!$D$5:$D$1500,$A13,'Yakıt Alım Kayıt'!$C$5:$C$1500,$E$4))</f>
        <v/>
      </c>
      <c r="E13" s="4" t="str">
        <f>IF($A13="","",COUNTIFS('Yakıt Alım Kayıt'!$D$5:$D$1500,$A13,'Yakıt Alım Kayıt'!$C$5:$C$1500,$E$4))</f>
        <v/>
      </c>
      <c r="F13" s="9" t="str">
        <f>IF(OR($A13="",$C13=0,$C13=""),"",$D13/$C13)</f>
        <v/>
      </c>
    </row>
    <row r="14" spans="1:6">
      <c r="A14" s="4" t="str">
        <f>IF('Araç Tanımlama'!A12="","",IF('Araç Tanımlama'!D12=$B$4,'Araç Tanımlama'!A12,""))</f>
        <v/>
      </c>
      <c r="B14" s="4" t="str">
        <f>IF($A14="","",'Araç Tanımlama'!E12)</f>
        <v/>
      </c>
      <c r="C14" s="4" t="str">
        <f>IF($A14="","",SUMIFS('Yakıt Alım Kayıt'!$G$5:$G$1500,'Yakıt Alım Kayıt'!$D$5:$D$1500,$A14,'Yakıt Alım Kayıt'!$C$5:$C$1500,$E$4))</f>
        <v/>
      </c>
      <c r="D14" s="9" t="str">
        <f>IF($A14="","",SUMIFS('Yakıt Alım Kayıt'!$I$5:$I$1500,'Yakıt Alım Kayıt'!$D$5:$D$1500,$A14,'Yakıt Alım Kayıt'!$C$5:$C$1500,$E$4))</f>
        <v/>
      </c>
      <c r="E14" s="4" t="str">
        <f>IF($A14="","",COUNTIFS('Yakıt Alım Kayıt'!$D$5:$D$1500,$A14,'Yakıt Alım Kayıt'!$C$5:$C$1500,$E$4))</f>
        <v/>
      </c>
      <c r="F14" s="9" t="str">
        <f>IF(OR($A14="",$C14=0,$C14=""),"",$D14/$C14)</f>
        <v/>
      </c>
    </row>
    <row r="15" spans="1:6">
      <c r="A15" s="4" t="str">
        <f>IF('Araç Tanımlama'!A13="","",IF('Araç Tanımlama'!D13=$B$4,'Araç Tanımlama'!A13,""))</f>
        <v/>
      </c>
      <c r="B15" s="4" t="str">
        <f>IF($A15="","",'Araç Tanımlama'!E13)</f>
        <v/>
      </c>
      <c r="C15" s="4" t="str">
        <f>IF($A15="","",SUMIFS('Yakıt Alım Kayıt'!$G$5:$G$1500,'Yakıt Alım Kayıt'!$D$5:$D$1500,$A15,'Yakıt Alım Kayıt'!$C$5:$C$1500,$E$4))</f>
        <v/>
      </c>
      <c r="D15" s="9" t="str">
        <f>IF($A15="","",SUMIFS('Yakıt Alım Kayıt'!$I$5:$I$1500,'Yakıt Alım Kayıt'!$D$5:$D$1500,$A15,'Yakıt Alım Kayıt'!$C$5:$C$1500,$E$4))</f>
        <v/>
      </c>
      <c r="E15" s="4" t="str">
        <f>IF($A15="","",COUNTIFS('Yakıt Alım Kayıt'!$D$5:$D$1500,$A15,'Yakıt Alım Kayıt'!$C$5:$C$1500,$E$4))</f>
        <v/>
      </c>
      <c r="F15" s="9" t="str">
        <f>IF(OR($A15="",$C15=0,$C15=""),"",$D15/$C15)</f>
        <v/>
      </c>
    </row>
    <row r="16" spans="1:6">
      <c r="A16" s="4" t="str">
        <f>IF('Araç Tanımlama'!A14="","",IF('Araç Tanımlama'!D14=$B$4,'Araç Tanımlama'!A14,""))</f>
        <v/>
      </c>
      <c r="B16" s="4" t="str">
        <f>IF($A16="","",'Araç Tanımlama'!E14)</f>
        <v/>
      </c>
      <c r="C16" s="4" t="str">
        <f>IF($A16="","",SUMIFS('Yakıt Alım Kayıt'!$G$5:$G$1500,'Yakıt Alım Kayıt'!$D$5:$D$1500,$A16,'Yakıt Alım Kayıt'!$C$5:$C$1500,$E$4))</f>
        <v/>
      </c>
      <c r="D16" s="9" t="str">
        <f>IF($A16="","",SUMIFS('Yakıt Alım Kayıt'!$I$5:$I$1500,'Yakıt Alım Kayıt'!$D$5:$D$1500,$A16,'Yakıt Alım Kayıt'!$C$5:$C$1500,$E$4))</f>
        <v/>
      </c>
      <c r="E16" s="4" t="str">
        <f>IF($A16="","",COUNTIFS('Yakıt Alım Kayıt'!$D$5:$D$1500,$A16,'Yakıt Alım Kayıt'!$C$5:$C$1500,$E$4))</f>
        <v/>
      </c>
      <c r="F16" s="9" t="str">
        <f>IF(OR($A16="",$C16=0,$C16=""),"",$D16/$C16)</f>
        <v/>
      </c>
    </row>
    <row r="17" spans="1:6">
      <c r="A17" s="4" t="str">
        <f>IF('Araç Tanımlama'!A15="","",IF('Araç Tanımlama'!D15=$B$4,'Araç Tanımlama'!A15,""))</f>
        <v/>
      </c>
      <c r="B17" s="4" t="str">
        <f>IF($A17="","",'Araç Tanımlama'!E15)</f>
        <v/>
      </c>
      <c r="C17" s="4" t="str">
        <f>IF($A17="","",SUMIFS('Yakıt Alım Kayıt'!$G$5:$G$1500,'Yakıt Alım Kayıt'!$D$5:$D$1500,$A17,'Yakıt Alım Kayıt'!$C$5:$C$1500,$E$4))</f>
        <v/>
      </c>
      <c r="D17" s="9" t="str">
        <f>IF($A17="","",SUMIFS('Yakıt Alım Kayıt'!$I$5:$I$1500,'Yakıt Alım Kayıt'!$D$5:$D$1500,$A17,'Yakıt Alım Kayıt'!$C$5:$C$1500,$E$4))</f>
        <v/>
      </c>
      <c r="E17" s="4" t="str">
        <f>IF($A17="","",COUNTIFS('Yakıt Alım Kayıt'!$D$5:$D$1500,$A17,'Yakıt Alım Kayıt'!$C$5:$C$1500,$E$4))</f>
        <v/>
      </c>
      <c r="F17" s="9" t="str">
        <f>IF(OR($A17="",$C17=0,$C17=""),"",$D17/$C17)</f>
        <v/>
      </c>
    </row>
    <row r="18" spans="1:6">
      <c r="A18" s="4" t="str">
        <f>IF('Araç Tanımlama'!A16="","",IF('Araç Tanımlama'!D16=$B$4,'Araç Tanımlama'!A16,""))</f>
        <v/>
      </c>
      <c r="B18" s="4" t="str">
        <f>IF($A18="","",'Araç Tanımlama'!E16)</f>
        <v/>
      </c>
      <c r="C18" s="4" t="str">
        <f>IF($A18="","",SUMIFS('Yakıt Alım Kayıt'!$G$5:$G$1500,'Yakıt Alım Kayıt'!$D$5:$D$1500,$A18,'Yakıt Alım Kayıt'!$C$5:$C$1500,$E$4))</f>
        <v/>
      </c>
      <c r="D18" s="9" t="str">
        <f>IF($A18="","",SUMIFS('Yakıt Alım Kayıt'!$I$5:$I$1500,'Yakıt Alım Kayıt'!$D$5:$D$1500,$A18,'Yakıt Alım Kayıt'!$C$5:$C$1500,$E$4))</f>
        <v/>
      </c>
      <c r="E18" s="4" t="str">
        <f>IF($A18="","",COUNTIFS('Yakıt Alım Kayıt'!$D$5:$D$1500,$A18,'Yakıt Alım Kayıt'!$C$5:$C$1500,$E$4))</f>
        <v/>
      </c>
      <c r="F18" s="9" t="str">
        <f>IF(OR($A18="",$C18=0,$C18=""),"",$D18/$C18)</f>
        <v/>
      </c>
    </row>
    <row r="19" spans="1:6">
      <c r="A19" s="4" t="str">
        <f>IF('Araç Tanımlama'!A17="","",IF('Araç Tanımlama'!D17=$B$4,'Araç Tanımlama'!A17,""))</f>
        <v/>
      </c>
      <c r="B19" s="4" t="str">
        <f>IF($A19="","",'Araç Tanımlama'!E17)</f>
        <v/>
      </c>
      <c r="C19" s="4" t="str">
        <f>IF($A19="","",SUMIFS('Yakıt Alım Kayıt'!$G$5:$G$1500,'Yakıt Alım Kayıt'!$D$5:$D$1500,$A19,'Yakıt Alım Kayıt'!$C$5:$C$1500,$E$4))</f>
        <v/>
      </c>
      <c r="D19" s="9" t="str">
        <f>IF($A19="","",SUMIFS('Yakıt Alım Kayıt'!$I$5:$I$1500,'Yakıt Alım Kayıt'!$D$5:$D$1500,$A19,'Yakıt Alım Kayıt'!$C$5:$C$1500,$E$4))</f>
        <v/>
      </c>
      <c r="E19" s="4" t="str">
        <f>IF($A19="","",COUNTIFS('Yakıt Alım Kayıt'!$D$5:$D$1500,$A19,'Yakıt Alım Kayıt'!$C$5:$C$1500,$E$4))</f>
        <v/>
      </c>
      <c r="F19" s="9" t="str">
        <f>IF(OR($A19="",$C19=0,$C19=""),"",$D19/$C19)</f>
        <v/>
      </c>
    </row>
    <row r="20" spans="1:6">
      <c r="A20" s="4" t="str">
        <f>IF('Araç Tanımlama'!A18="","",IF('Araç Tanımlama'!D18=$B$4,'Araç Tanımlama'!A18,""))</f>
        <v/>
      </c>
      <c r="B20" s="4" t="str">
        <f>IF($A20="","",'Araç Tanımlama'!E18)</f>
        <v/>
      </c>
      <c r="C20" s="4" t="str">
        <f>IF($A20="","",SUMIFS('Yakıt Alım Kayıt'!$G$5:$G$1500,'Yakıt Alım Kayıt'!$D$5:$D$1500,$A20,'Yakıt Alım Kayıt'!$C$5:$C$1500,$E$4))</f>
        <v/>
      </c>
      <c r="D20" s="9" t="str">
        <f>IF($A20="","",SUMIFS('Yakıt Alım Kayıt'!$I$5:$I$1500,'Yakıt Alım Kayıt'!$D$5:$D$1500,$A20,'Yakıt Alım Kayıt'!$C$5:$C$1500,$E$4))</f>
        <v/>
      </c>
      <c r="E20" s="4" t="str">
        <f>IF($A20="","",COUNTIFS('Yakıt Alım Kayıt'!$D$5:$D$1500,$A20,'Yakıt Alım Kayıt'!$C$5:$C$1500,$E$4))</f>
        <v/>
      </c>
      <c r="F20" s="9" t="str">
        <f>IF(OR($A20="",$C20=0,$C20=""),"",$D20/$C20)</f>
        <v/>
      </c>
    </row>
    <row r="21" spans="1:6">
      <c r="A21" s="4" t="str">
        <f>IF('Araç Tanımlama'!A19="","",IF('Araç Tanımlama'!D19=$B$4,'Araç Tanımlama'!A19,""))</f>
        <v/>
      </c>
      <c r="B21" s="4" t="str">
        <f>IF($A21="","",'Araç Tanımlama'!E19)</f>
        <v/>
      </c>
      <c r="C21" s="4" t="str">
        <f>IF($A21="","",SUMIFS('Yakıt Alım Kayıt'!$G$5:$G$1500,'Yakıt Alım Kayıt'!$D$5:$D$1500,$A21,'Yakıt Alım Kayıt'!$C$5:$C$1500,$E$4))</f>
        <v/>
      </c>
      <c r="D21" s="9" t="str">
        <f>IF($A21="","",SUMIFS('Yakıt Alım Kayıt'!$I$5:$I$1500,'Yakıt Alım Kayıt'!$D$5:$D$1500,$A21,'Yakıt Alım Kayıt'!$C$5:$C$1500,$E$4))</f>
        <v/>
      </c>
      <c r="E21" s="4" t="str">
        <f>IF($A21="","",COUNTIFS('Yakıt Alım Kayıt'!$D$5:$D$1500,$A21,'Yakıt Alım Kayıt'!$C$5:$C$1500,$E$4))</f>
        <v/>
      </c>
      <c r="F21" s="9" t="str">
        <f>IF(OR($A21="",$C21=0,$C21=""),"",$D21/$C21)</f>
        <v/>
      </c>
    </row>
    <row r="22" spans="1:6">
      <c r="A22" s="4" t="str">
        <f>IF('Araç Tanımlama'!A20="","",IF('Araç Tanımlama'!D20=$B$4,'Araç Tanımlama'!A20,""))</f>
        <v/>
      </c>
      <c r="B22" s="4" t="str">
        <f>IF($A22="","",'Araç Tanımlama'!E20)</f>
        <v/>
      </c>
      <c r="C22" s="4" t="str">
        <f>IF($A22="","",SUMIFS('Yakıt Alım Kayıt'!$G$5:$G$1500,'Yakıt Alım Kayıt'!$D$5:$D$1500,$A22,'Yakıt Alım Kayıt'!$C$5:$C$1500,$E$4))</f>
        <v/>
      </c>
      <c r="D22" s="9" t="str">
        <f>IF($A22="","",SUMIFS('Yakıt Alım Kayıt'!$I$5:$I$1500,'Yakıt Alım Kayıt'!$D$5:$D$1500,$A22,'Yakıt Alım Kayıt'!$C$5:$C$1500,$E$4))</f>
        <v/>
      </c>
      <c r="E22" s="4" t="str">
        <f>IF($A22="","",COUNTIFS('Yakıt Alım Kayıt'!$D$5:$D$1500,$A22,'Yakıt Alım Kayıt'!$C$5:$C$1500,$E$4))</f>
        <v/>
      </c>
      <c r="F22" s="9" t="str">
        <f>IF(OR($A22="",$C22=0,$C22=""),"",$D22/$C22)</f>
        <v/>
      </c>
    </row>
    <row r="23" spans="1:6">
      <c r="A23" s="4" t="str">
        <f>IF('Araç Tanımlama'!A21="","",IF('Araç Tanımlama'!D21=$B$4,'Araç Tanımlama'!A21,""))</f>
        <v/>
      </c>
      <c r="B23" s="4" t="str">
        <f>IF($A23="","",'Araç Tanımlama'!E21)</f>
        <v/>
      </c>
      <c r="C23" s="4" t="str">
        <f>IF($A23="","",SUMIFS('Yakıt Alım Kayıt'!$G$5:$G$1500,'Yakıt Alım Kayıt'!$D$5:$D$1500,$A23,'Yakıt Alım Kayıt'!$C$5:$C$1500,$E$4))</f>
        <v/>
      </c>
      <c r="D23" s="9" t="str">
        <f>IF($A23="","",SUMIFS('Yakıt Alım Kayıt'!$I$5:$I$1500,'Yakıt Alım Kayıt'!$D$5:$D$1500,$A23,'Yakıt Alım Kayıt'!$C$5:$C$1500,$E$4))</f>
        <v/>
      </c>
      <c r="E23" s="4" t="str">
        <f>IF($A23="","",COUNTIFS('Yakıt Alım Kayıt'!$D$5:$D$1500,$A23,'Yakıt Alım Kayıt'!$C$5:$C$1500,$E$4))</f>
        <v/>
      </c>
      <c r="F23" s="9" t="str">
        <f>IF(OR($A23="",$C23=0,$C23=""),"",$D23/$C23)</f>
        <v/>
      </c>
    </row>
    <row r="24" spans="1:6">
      <c r="A24" s="4" t="str">
        <f>IF('Araç Tanımlama'!A22="","",IF('Araç Tanımlama'!D22=$B$4,'Araç Tanımlama'!A22,""))</f>
        <v/>
      </c>
      <c r="B24" s="4" t="str">
        <f>IF($A24="","",'Araç Tanımlama'!E22)</f>
        <v/>
      </c>
      <c r="C24" s="4" t="str">
        <f>IF($A24="","",SUMIFS('Yakıt Alım Kayıt'!$G$5:$G$1500,'Yakıt Alım Kayıt'!$D$5:$D$1500,$A24,'Yakıt Alım Kayıt'!$C$5:$C$1500,$E$4))</f>
        <v/>
      </c>
      <c r="D24" s="9" t="str">
        <f>IF($A24="","",SUMIFS('Yakıt Alım Kayıt'!$I$5:$I$1500,'Yakıt Alım Kayıt'!$D$5:$D$1500,$A24,'Yakıt Alım Kayıt'!$C$5:$C$1500,$E$4))</f>
        <v/>
      </c>
      <c r="E24" s="4" t="str">
        <f>IF($A24="","",COUNTIFS('Yakıt Alım Kayıt'!$D$5:$D$1500,$A24,'Yakıt Alım Kayıt'!$C$5:$C$1500,$E$4))</f>
        <v/>
      </c>
      <c r="F24" s="9" t="str">
        <f>IF(OR($A24="",$C24=0,$C24=""),"",$D24/$C24)</f>
        <v/>
      </c>
    </row>
    <row r="25" spans="1:6">
      <c r="A25" s="4" t="str">
        <f>IF('Araç Tanımlama'!A23="","",IF('Araç Tanımlama'!D23=$B$4,'Araç Tanımlama'!A23,""))</f>
        <v/>
      </c>
      <c r="B25" s="4" t="str">
        <f>IF($A25="","",'Araç Tanımlama'!E23)</f>
        <v/>
      </c>
      <c r="C25" s="4" t="str">
        <f>IF($A25="","",SUMIFS('Yakıt Alım Kayıt'!$G$5:$G$1500,'Yakıt Alım Kayıt'!$D$5:$D$1500,$A25,'Yakıt Alım Kayıt'!$C$5:$C$1500,$E$4))</f>
        <v/>
      </c>
      <c r="D25" s="9" t="str">
        <f>IF($A25="","",SUMIFS('Yakıt Alım Kayıt'!$I$5:$I$1500,'Yakıt Alım Kayıt'!$D$5:$D$1500,$A25,'Yakıt Alım Kayıt'!$C$5:$C$1500,$E$4))</f>
        <v/>
      </c>
      <c r="E25" s="4" t="str">
        <f>IF($A25="","",COUNTIFS('Yakıt Alım Kayıt'!$D$5:$D$1500,$A25,'Yakıt Alım Kayıt'!$C$5:$C$1500,$E$4))</f>
        <v/>
      </c>
      <c r="F25" s="9" t="str">
        <f>IF(OR($A25="",$C25=0,$C25=""),"",$D25/$C25)</f>
        <v/>
      </c>
    </row>
    <row r="26" spans="1:6">
      <c r="A26" s="4" t="str">
        <f>IF('Araç Tanımlama'!A24="","",IF('Araç Tanımlama'!D24=$B$4,'Araç Tanımlama'!A24,""))</f>
        <v/>
      </c>
      <c r="B26" s="4" t="str">
        <f>IF($A26="","",'Araç Tanımlama'!E24)</f>
        <v/>
      </c>
      <c r="C26" s="4" t="str">
        <f>IF($A26="","",SUMIFS('Yakıt Alım Kayıt'!$G$5:$G$1500,'Yakıt Alım Kayıt'!$D$5:$D$1500,$A26,'Yakıt Alım Kayıt'!$C$5:$C$1500,$E$4))</f>
        <v/>
      </c>
      <c r="D26" s="9" t="str">
        <f>IF($A26="","",SUMIFS('Yakıt Alım Kayıt'!$I$5:$I$1500,'Yakıt Alım Kayıt'!$D$5:$D$1500,$A26,'Yakıt Alım Kayıt'!$C$5:$C$1500,$E$4))</f>
        <v/>
      </c>
      <c r="E26" s="4" t="str">
        <f>IF($A26="","",COUNTIFS('Yakıt Alım Kayıt'!$D$5:$D$1500,$A26,'Yakıt Alım Kayıt'!$C$5:$C$1500,$E$4))</f>
        <v/>
      </c>
      <c r="F26" s="9" t="str">
        <f>IF(OR($A26="",$C26=0,$C26=""),"",$D26/$C26)</f>
        <v/>
      </c>
    </row>
    <row r="27" spans="1:6">
      <c r="A27" s="4" t="str">
        <f>IF('Araç Tanımlama'!A25="","",IF('Araç Tanımlama'!D25=$B$4,'Araç Tanımlama'!A25,""))</f>
        <v/>
      </c>
      <c r="B27" s="4" t="str">
        <f>IF($A27="","",'Araç Tanımlama'!E25)</f>
        <v/>
      </c>
      <c r="C27" s="4" t="str">
        <f>IF($A27="","",SUMIFS('Yakıt Alım Kayıt'!$G$5:$G$1500,'Yakıt Alım Kayıt'!$D$5:$D$1500,$A27,'Yakıt Alım Kayıt'!$C$5:$C$1500,$E$4))</f>
        <v/>
      </c>
      <c r="D27" s="9" t="str">
        <f>IF($A27="","",SUMIFS('Yakıt Alım Kayıt'!$I$5:$I$1500,'Yakıt Alım Kayıt'!$D$5:$D$1500,$A27,'Yakıt Alım Kayıt'!$C$5:$C$1500,$E$4))</f>
        <v/>
      </c>
      <c r="E27" s="4" t="str">
        <f>IF($A27="","",COUNTIFS('Yakıt Alım Kayıt'!$D$5:$D$1500,$A27,'Yakıt Alım Kayıt'!$C$5:$C$1500,$E$4))</f>
        <v/>
      </c>
      <c r="F27" s="9" t="str">
        <f>IF(OR($A27="",$C27=0,$C27=""),"",$D27/$C27)</f>
        <v/>
      </c>
    </row>
    <row r="28" spans="1:6">
      <c r="A28" s="4" t="str">
        <f>IF('Araç Tanımlama'!A26="","",IF('Araç Tanımlama'!D26=$B$4,'Araç Tanımlama'!A26,""))</f>
        <v/>
      </c>
      <c r="B28" s="4" t="str">
        <f>IF($A28="","",'Araç Tanımlama'!E26)</f>
        <v/>
      </c>
      <c r="C28" s="4" t="str">
        <f>IF($A28="","",SUMIFS('Yakıt Alım Kayıt'!$G$5:$G$1500,'Yakıt Alım Kayıt'!$D$5:$D$1500,$A28,'Yakıt Alım Kayıt'!$C$5:$C$1500,$E$4))</f>
        <v/>
      </c>
      <c r="D28" s="9" t="str">
        <f>IF($A28="","",SUMIFS('Yakıt Alım Kayıt'!$I$5:$I$1500,'Yakıt Alım Kayıt'!$D$5:$D$1500,$A28,'Yakıt Alım Kayıt'!$C$5:$C$1500,$E$4))</f>
        <v/>
      </c>
      <c r="E28" s="4" t="str">
        <f>IF($A28="","",COUNTIFS('Yakıt Alım Kayıt'!$D$5:$D$1500,$A28,'Yakıt Alım Kayıt'!$C$5:$C$1500,$E$4))</f>
        <v/>
      </c>
      <c r="F28" s="9" t="str">
        <f>IF(OR($A28="",$C28=0,$C28=""),"",$D28/$C28)</f>
        <v/>
      </c>
    </row>
    <row r="29" spans="1:6">
      <c r="A29" s="4" t="str">
        <f>IF('Araç Tanımlama'!A27="","",IF('Araç Tanımlama'!D27=$B$4,'Araç Tanımlama'!A27,""))</f>
        <v/>
      </c>
      <c r="B29" s="4" t="str">
        <f>IF($A29="","",'Araç Tanımlama'!E27)</f>
        <v/>
      </c>
      <c r="C29" s="4" t="str">
        <f>IF($A29="","",SUMIFS('Yakıt Alım Kayıt'!$G$5:$G$1500,'Yakıt Alım Kayıt'!$D$5:$D$1500,$A29,'Yakıt Alım Kayıt'!$C$5:$C$1500,$E$4))</f>
        <v/>
      </c>
      <c r="D29" s="9" t="str">
        <f>IF($A29="","",SUMIFS('Yakıt Alım Kayıt'!$I$5:$I$1500,'Yakıt Alım Kayıt'!$D$5:$D$1500,$A29,'Yakıt Alım Kayıt'!$C$5:$C$1500,$E$4))</f>
        <v/>
      </c>
      <c r="E29" s="4" t="str">
        <f>IF($A29="","",COUNTIFS('Yakıt Alım Kayıt'!$D$5:$D$1500,$A29,'Yakıt Alım Kayıt'!$C$5:$C$1500,$E$4))</f>
        <v/>
      </c>
      <c r="F29" s="9" t="str">
        <f>IF(OR($A29="",$C29=0,$C29=""),"",$D29/$C29)</f>
        <v/>
      </c>
    </row>
    <row r="30" spans="1:6">
      <c r="A30" s="4" t="str">
        <f>IF('Araç Tanımlama'!A28="","",IF('Araç Tanımlama'!D28=$B$4,'Araç Tanımlama'!A28,""))</f>
        <v/>
      </c>
      <c r="B30" s="4" t="str">
        <f>IF($A30="","",'Araç Tanımlama'!E28)</f>
        <v/>
      </c>
      <c r="C30" s="4" t="str">
        <f>IF($A30="","",SUMIFS('Yakıt Alım Kayıt'!$G$5:$G$1500,'Yakıt Alım Kayıt'!$D$5:$D$1500,$A30,'Yakıt Alım Kayıt'!$C$5:$C$1500,$E$4))</f>
        <v/>
      </c>
      <c r="D30" s="9" t="str">
        <f>IF($A30="","",SUMIFS('Yakıt Alım Kayıt'!$I$5:$I$1500,'Yakıt Alım Kayıt'!$D$5:$D$1500,$A30,'Yakıt Alım Kayıt'!$C$5:$C$1500,$E$4))</f>
        <v/>
      </c>
      <c r="E30" s="4" t="str">
        <f>IF($A30="","",COUNTIFS('Yakıt Alım Kayıt'!$D$5:$D$1500,$A30,'Yakıt Alım Kayıt'!$C$5:$C$1500,$E$4))</f>
        <v/>
      </c>
      <c r="F30" s="9" t="str">
        <f>IF(OR($A30="",$C30=0,$C30=""),"",$D30/$C30)</f>
        <v/>
      </c>
    </row>
    <row r="31" spans="1:6">
      <c r="A31" s="4" t="str">
        <f>IF('Araç Tanımlama'!A29="","",IF('Araç Tanımlama'!D29=$B$4,'Araç Tanımlama'!A29,""))</f>
        <v/>
      </c>
      <c r="B31" s="4" t="str">
        <f>IF($A31="","",'Araç Tanımlama'!E29)</f>
        <v/>
      </c>
      <c r="C31" s="4" t="str">
        <f>IF($A31="","",SUMIFS('Yakıt Alım Kayıt'!$G$5:$G$1500,'Yakıt Alım Kayıt'!$D$5:$D$1500,$A31,'Yakıt Alım Kayıt'!$C$5:$C$1500,$E$4))</f>
        <v/>
      </c>
      <c r="D31" s="9" t="str">
        <f>IF($A31="","",SUMIFS('Yakıt Alım Kayıt'!$I$5:$I$1500,'Yakıt Alım Kayıt'!$D$5:$D$1500,$A31,'Yakıt Alım Kayıt'!$C$5:$C$1500,$E$4))</f>
        <v/>
      </c>
      <c r="E31" s="4" t="str">
        <f>IF($A31="","",COUNTIFS('Yakıt Alım Kayıt'!$D$5:$D$1500,$A31,'Yakıt Alım Kayıt'!$C$5:$C$1500,$E$4))</f>
        <v/>
      </c>
      <c r="F31" s="9" t="str">
        <f>IF(OR($A31="",$C31=0,$C31=""),"",$D31/$C31)</f>
        <v/>
      </c>
    </row>
    <row r="32" spans="1:6">
      <c r="A32" s="4" t="str">
        <f>IF('Araç Tanımlama'!A30="","",IF('Araç Tanımlama'!D30=$B$4,'Araç Tanımlama'!A30,""))</f>
        <v/>
      </c>
      <c r="B32" s="4" t="str">
        <f>IF($A32="","",'Araç Tanımlama'!E30)</f>
        <v/>
      </c>
      <c r="C32" s="4" t="str">
        <f>IF($A32="","",SUMIFS('Yakıt Alım Kayıt'!$G$5:$G$1500,'Yakıt Alım Kayıt'!$D$5:$D$1500,$A32,'Yakıt Alım Kayıt'!$C$5:$C$1500,$E$4))</f>
        <v/>
      </c>
      <c r="D32" s="9" t="str">
        <f>IF($A32="","",SUMIFS('Yakıt Alım Kayıt'!$I$5:$I$1500,'Yakıt Alım Kayıt'!$D$5:$D$1500,$A32,'Yakıt Alım Kayıt'!$C$5:$C$1500,$E$4))</f>
        <v/>
      </c>
      <c r="E32" s="4" t="str">
        <f>IF($A32="","",COUNTIFS('Yakıt Alım Kayıt'!$D$5:$D$1500,$A32,'Yakıt Alım Kayıt'!$C$5:$C$1500,$E$4))</f>
        <v/>
      </c>
      <c r="F32" s="9" t="str">
        <f>IF(OR($A32="",$C32=0,$C32=""),"",$D32/$C32)</f>
        <v/>
      </c>
    </row>
    <row r="33" spans="1:6">
      <c r="A33" s="4" t="str">
        <f>IF('Araç Tanımlama'!A31="","",IF('Araç Tanımlama'!D31=$B$4,'Araç Tanımlama'!A31,""))</f>
        <v/>
      </c>
      <c r="B33" s="4" t="str">
        <f>IF($A33="","",'Araç Tanımlama'!E31)</f>
        <v/>
      </c>
      <c r="C33" s="4" t="str">
        <f>IF($A33="","",SUMIFS('Yakıt Alım Kayıt'!$G$5:$G$1500,'Yakıt Alım Kayıt'!$D$5:$D$1500,$A33,'Yakıt Alım Kayıt'!$C$5:$C$1500,$E$4))</f>
        <v/>
      </c>
      <c r="D33" s="9" t="str">
        <f>IF($A33="","",SUMIFS('Yakıt Alım Kayıt'!$I$5:$I$1500,'Yakıt Alım Kayıt'!$D$5:$D$1500,$A33,'Yakıt Alım Kayıt'!$C$5:$C$1500,$E$4))</f>
        <v/>
      </c>
      <c r="E33" s="4" t="str">
        <f>IF($A33="","",COUNTIFS('Yakıt Alım Kayıt'!$D$5:$D$1500,$A33,'Yakıt Alım Kayıt'!$C$5:$C$1500,$E$4))</f>
        <v/>
      </c>
      <c r="F33" s="9" t="str">
        <f>IF(OR($A33="",$C33=0,$C33=""),"",$D33/$C33)</f>
        <v/>
      </c>
    </row>
    <row r="34" spans="1:6">
      <c r="A34" s="4" t="str">
        <f>IF('Araç Tanımlama'!A32="","",IF('Araç Tanımlama'!D32=$B$4,'Araç Tanımlama'!A32,""))</f>
        <v/>
      </c>
      <c r="B34" s="4" t="str">
        <f>IF($A34="","",'Araç Tanımlama'!E32)</f>
        <v/>
      </c>
      <c r="C34" s="4" t="str">
        <f>IF($A34="","",SUMIFS('Yakıt Alım Kayıt'!$G$5:$G$1500,'Yakıt Alım Kayıt'!$D$5:$D$1500,$A34,'Yakıt Alım Kayıt'!$C$5:$C$1500,$E$4))</f>
        <v/>
      </c>
      <c r="D34" s="9" t="str">
        <f>IF($A34="","",SUMIFS('Yakıt Alım Kayıt'!$I$5:$I$1500,'Yakıt Alım Kayıt'!$D$5:$D$1500,$A34,'Yakıt Alım Kayıt'!$C$5:$C$1500,$E$4))</f>
        <v/>
      </c>
      <c r="E34" s="4" t="str">
        <f>IF($A34="","",COUNTIFS('Yakıt Alım Kayıt'!$D$5:$D$1500,$A34,'Yakıt Alım Kayıt'!$C$5:$C$1500,$E$4))</f>
        <v/>
      </c>
      <c r="F34" s="9" t="str">
        <f>IF(OR($A34="",$C34=0,$C34=""),"",$D34/$C34)</f>
        <v/>
      </c>
    </row>
    <row r="35" spans="1:6">
      <c r="A35" s="4" t="str">
        <f>IF('Araç Tanımlama'!A33="","",IF('Araç Tanımlama'!D33=$B$4,'Araç Tanımlama'!A33,""))</f>
        <v/>
      </c>
      <c r="B35" s="4" t="str">
        <f>IF($A35="","",'Araç Tanımlama'!E33)</f>
        <v/>
      </c>
      <c r="C35" s="4" t="str">
        <f>IF($A35="","",SUMIFS('Yakıt Alım Kayıt'!$G$5:$G$1500,'Yakıt Alım Kayıt'!$D$5:$D$1500,$A35,'Yakıt Alım Kayıt'!$C$5:$C$1500,$E$4))</f>
        <v/>
      </c>
      <c r="D35" s="9" t="str">
        <f>IF($A35="","",SUMIFS('Yakıt Alım Kayıt'!$I$5:$I$1500,'Yakıt Alım Kayıt'!$D$5:$D$1500,$A35,'Yakıt Alım Kayıt'!$C$5:$C$1500,$E$4))</f>
        <v/>
      </c>
      <c r="E35" s="4" t="str">
        <f>IF($A35="","",COUNTIFS('Yakıt Alım Kayıt'!$D$5:$D$1500,$A35,'Yakıt Alım Kayıt'!$C$5:$C$1500,$E$4))</f>
        <v/>
      </c>
      <c r="F35" s="9" t="str">
        <f>IF(OR($A35="",$C35=0,$C35=""),"",$D35/$C35)</f>
        <v/>
      </c>
    </row>
    <row r="36" spans="1:6">
      <c r="A36" s="4" t="str">
        <f>IF('Araç Tanımlama'!A34="","",IF('Araç Tanımlama'!D34=$B$4,'Araç Tanımlama'!A34,""))</f>
        <v/>
      </c>
      <c r="B36" s="4" t="str">
        <f>IF($A36="","",'Araç Tanımlama'!E34)</f>
        <v/>
      </c>
      <c r="C36" s="4" t="str">
        <f>IF($A36="","",SUMIFS('Yakıt Alım Kayıt'!$G$5:$G$1500,'Yakıt Alım Kayıt'!$D$5:$D$1500,$A36,'Yakıt Alım Kayıt'!$C$5:$C$1500,$E$4))</f>
        <v/>
      </c>
      <c r="D36" s="9" t="str">
        <f>IF($A36="","",SUMIFS('Yakıt Alım Kayıt'!$I$5:$I$1500,'Yakıt Alım Kayıt'!$D$5:$D$1500,$A36,'Yakıt Alım Kayıt'!$C$5:$C$1500,$E$4))</f>
        <v/>
      </c>
      <c r="E36" s="4" t="str">
        <f>IF($A36="","",COUNTIFS('Yakıt Alım Kayıt'!$D$5:$D$1500,$A36,'Yakıt Alım Kayıt'!$C$5:$C$1500,$E$4))</f>
        <v/>
      </c>
      <c r="F36" s="9" t="str">
        <f>IF(OR($A36="",$C36=0,$C36=""),"",$D36/$C36)</f>
        <v/>
      </c>
    </row>
    <row r="37" spans="1:6">
      <c r="A37" s="4" t="str">
        <f>IF('Araç Tanımlama'!A35="","",IF('Araç Tanımlama'!D35=$B$4,'Araç Tanımlama'!A35,""))</f>
        <v/>
      </c>
      <c r="B37" s="4" t="str">
        <f>IF($A37="","",'Araç Tanımlama'!E35)</f>
        <v/>
      </c>
      <c r="C37" s="4" t="str">
        <f>IF($A37="","",SUMIFS('Yakıt Alım Kayıt'!$G$5:$G$1500,'Yakıt Alım Kayıt'!$D$5:$D$1500,$A37,'Yakıt Alım Kayıt'!$C$5:$C$1500,$E$4))</f>
        <v/>
      </c>
      <c r="D37" s="9" t="str">
        <f>IF($A37="","",SUMIFS('Yakıt Alım Kayıt'!$I$5:$I$1500,'Yakıt Alım Kayıt'!$D$5:$D$1500,$A37,'Yakıt Alım Kayıt'!$C$5:$C$1500,$E$4))</f>
        <v/>
      </c>
      <c r="E37" s="4" t="str">
        <f>IF($A37="","",COUNTIFS('Yakıt Alım Kayıt'!$D$5:$D$1500,$A37,'Yakıt Alım Kayıt'!$C$5:$C$1500,$E$4))</f>
        <v/>
      </c>
      <c r="F37" s="9" t="str">
        <f>IF(OR($A37="",$C37=0,$C37=""),"",$D37/$C37)</f>
        <v/>
      </c>
    </row>
    <row r="38" spans="1:6">
      <c r="A38" s="4" t="str">
        <f>IF('Araç Tanımlama'!A36="","",IF('Araç Tanımlama'!D36=$B$4,'Araç Tanımlama'!A36,""))</f>
        <v/>
      </c>
      <c r="B38" s="4" t="str">
        <f>IF($A38="","",'Araç Tanımlama'!E36)</f>
        <v/>
      </c>
      <c r="C38" s="4" t="str">
        <f>IF($A38="","",SUMIFS('Yakıt Alım Kayıt'!$G$5:$G$1500,'Yakıt Alım Kayıt'!$D$5:$D$1500,$A38,'Yakıt Alım Kayıt'!$C$5:$C$1500,$E$4))</f>
        <v/>
      </c>
      <c r="D38" s="9" t="str">
        <f>IF($A38="","",SUMIFS('Yakıt Alım Kayıt'!$I$5:$I$1500,'Yakıt Alım Kayıt'!$D$5:$D$1500,$A38,'Yakıt Alım Kayıt'!$C$5:$C$1500,$E$4))</f>
        <v/>
      </c>
      <c r="E38" s="4" t="str">
        <f>IF($A38="","",COUNTIFS('Yakıt Alım Kayıt'!$D$5:$D$1500,$A38,'Yakıt Alım Kayıt'!$C$5:$C$1500,$E$4))</f>
        <v/>
      </c>
      <c r="F38" s="9" t="str">
        <f>IF(OR($A38="",$C38=0,$C38=""),"",$D38/$C38)</f>
        <v/>
      </c>
    </row>
    <row r="39" spans="1:6">
      <c r="A39" s="4" t="str">
        <f>IF('Araç Tanımlama'!A37="","",IF('Araç Tanımlama'!D37=$B$4,'Araç Tanımlama'!A37,""))</f>
        <v/>
      </c>
      <c r="B39" s="4" t="str">
        <f>IF($A39="","",'Araç Tanımlama'!E37)</f>
        <v/>
      </c>
      <c r="C39" s="4" t="str">
        <f>IF($A39="","",SUMIFS('Yakıt Alım Kayıt'!$G$5:$G$1500,'Yakıt Alım Kayıt'!$D$5:$D$1500,$A39,'Yakıt Alım Kayıt'!$C$5:$C$1500,$E$4))</f>
        <v/>
      </c>
      <c r="D39" s="9" t="str">
        <f>IF($A39="","",SUMIFS('Yakıt Alım Kayıt'!$I$5:$I$1500,'Yakıt Alım Kayıt'!$D$5:$D$1500,$A39,'Yakıt Alım Kayıt'!$C$5:$C$1500,$E$4))</f>
        <v/>
      </c>
      <c r="E39" s="4" t="str">
        <f>IF($A39="","",COUNTIFS('Yakıt Alım Kayıt'!$D$5:$D$1500,$A39,'Yakıt Alım Kayıt'!$C$5:$C$1500,$E$4))</f>
        <v/>
      </c>
      <c r="F39" s="9" t="str">
        <f>IF(OR($A39="",$C39=0,$C39=""),"",$D39/$C39)</f>
        <v/>
      </c>
    </row>
    <row r="40" spans="1:6">
      <c r="A40" s="4" t="str">
        <f>IF('Araç Tanımlama'!A38="","",IF('Araç Tanımlama'!D38=$B$4,'Araç Tanımlama'!A38,""))</f>
        <v/>
      </c>
      <c r="B40" s="4" t="str">
        <f>IF($A40="","",'Araç Tanımlama'!E38)</f>
        <v/>
      </c>
      <c r="C40" s="4" t="str">
        <f>IF($A40="","",SUMIFS('Yakıt Alım Kayıt'!$G$5:$G$1500,'Yakıt Alım Kayıt'!$D$5:$D$1500,$A40,'Yakıt Alım Kayıt'!$C$5:$C$1500,$E$4))</f>
        <v/>
      </c>
      <c r="D40" s="9" t="str">
        <f>IF($A40="","",SUMIFS('Yakıt Alım Kayıt'!$I$5:$I$1500,'Yakıt Alım Kayıt'!$D$5:$D$1500,$A40,'Yakıt Alım Kayıt'!$C$5:$C$1500,$E$4))</f>
        <v/>
      </c>
      <c r="E40" s="4" t="str">
        <f>IF($A40="","",COUNTIFS('Yakıt Alım Kayıt'!$D$5:$D$1500,$A40,'Yakıt Alım Kayıt'!$C$5:$C$1500,$E$4))</f>
        <v/>
      </c>
      <c r="F40" s="9" t="str">
        <f>IF(OR($A40="",$C40=0,$C40=""),"",$D40/$C40)</f>
        <v/>
      </c>
    </row>
    <row r="41" spans="1:6">
      <c r="A41" s="4" t="str">
        <f>IF('Araç Tanımlama'!A39="","",IF('Araç Tanımlama'!D39=$B$4,'Araç Tanımlama'!A39,""))</f>
        <v/>
      </c>
      <c r="B41" s="4" t="str">
        <f>IF($A41="","",'Araç Tanımlama'!E39)</f>
        <v/>
      </c>
      <c r="C41" s="4" t="str">
        <f>IF($A41="","",SUMIFS('Yakıt Alım Kayıt'!$G$5:$G$1500,'Yakıt Alım Kayıt'!$D$5:$D$1500,$A41,'Yakıt Alım Kayıt'!$C$5:$C$1500,$E$4))</f>
        <v/>
      </c>
      <c r="D41" s="9" t="str">
        <f>IF($A41="","",SUMIFS('Yakıt Alım Kayıt'!$I$5:$I$1500,'Yakıt Alım Kayıt'!$D$5:$D$1500,$A41,'Yakıt Alım Kayıt'!$C$5:$C$1500,$E$4))</f>
        <v/>
      </c>
      <c r="E41" s="4" t="str">
        <f>IF($A41="","",COUNTIFS('Yakıt Alım Kayıt'!$D$5:$D$1500,$A41,'Yakıt Alım Kayıt'!$C$5:$C$1500,$E$4))</f>
        <v/>
      </c>
      <c r="F41" s="9" t="str">
        <f>IF(OR($A41="",$C41=0,$C41=""),"",$D41/$C41)</f>
        <v/>
      </c>
    </row>
    <row r="42" spans="1:6">
      <c r="A42" s="4" t="str">
        <f>IF('Araç Tanımlama'!A40="","",IF('Araç Tanımlama'!D40=$B$4,'Araç Tanımlama'!A40,""))</f>
        <v/>
      </c>
      <c r="B42" s="4" t="str">
        <f>IF($A42="","",'Araç Tanımlama'!E40)</f>
        <v/>
      </c>
      <c r="C42" s="4" t="str">
        <f>IF($A42="","",SUMIFS('Yakıt Alım Kayıt'!$G$5:$G$1500,'Yakıt Alım Kayıt'!$D$5:$D$1500,$A42,'Yakıt Alım Kayıt'!$C$5:$C$1500,$E$4))</f>
        <v/>
      </c>
      <c r="D42" s="9" t="str">
        <f>IF($A42="","",SUMIFS('Yakıt Alım Kayıt'!$I$5:$I$1500,'Yakıt Alım Kayıt'!$D$5:$D$1500,$A42,'Yakıt Alım Kayıt'!$C$5:$C$1500,$E$4))</f>
        <v/>
      </c>
      <c r="E42" s="4" t="str">
        <f>IF($A42="","",COUNTIFS('Yakıt Alım Kayıt'!$D$5:$D$1500,$A42,'Yakıt Alım Kayıt'!$C$5:$C$1500,$E$4))</f>
        <v/>
      </c>
      <c r="F42" s="9" t="str">
        <f>IF(OR($A42="",$C42=0,$C42=""),"",$D42/$C42)</f>
        <v/>
      </c>
    </row>
    <row r="43" spans="1:6">
      <c r="A43" s="4" t="str">
        <f>IF('Araç Tanımlama'!A41="","",IF('Araç Tanımlama'!D41=$B$4,'Araç Tanımlama'!A41,""))</f>
        <v/>
      </c>
      <c r="B43" s="4" t="str">
        <f>IF($A43="","",'Araç Tanımlama'!E41)</f>
        <v/>
      </c>
      <c r="C43" s="4" t="str">
        <f>IF($A43="","",SUMIFS('Yakıt Alım Kayıt'!$G$5:$G$1500,'Yakıt Alım Kayıt'!$D$5:$D$1500,$A43,'Yakıt Alım Kayıt'!$C$5:$C$1500,$E$4))</f>
        <v/>
      </c>
      <c r="D43" s="9" t="str">
        <f>IF($A43="","",SUMIFS('Yakıt Alım Kayıt'!$I$5:$I$1500,'Yakıt Alım Kayıt'!$D$5:$D$1500,$A43,'Yakıt Alım Kayıt'!$C$5:$C$1500,$E$4))</f>
        <v/>
      </c>
      <c r="E43" s="4" t="str">
        <f>IF($A43="","",COUNTIFS('Yakıt Alım Kayıt'!$D$5:$D$1500,$A43,'Yakıt Alım Kayıt'!$C$5:$C$1500,$E$4))</f>
        <v/>
      </c>
      <c r="F43" s="9" t="str">
        <f>IF(OR($A43="",$C43=0,$C43=""),"",$D43/$C43)</f>
        <v/>
      </c>
    </row>
    <row r="44" spans="1:6">
      <c r="A44" s="4" t="str">
        <f>IF('Araç Tanımlama'!A42="","",IF('Araç Tanımlama'!D42=$B$4,'Araç Tanımlama'!A42,""))</f>
        <v/>
      </c>
      <c r="B44" s="4" t="str">
        <f>IF($A44="","",'Araç Tanımlama'!E42)</f>
        <v/>
      </c>
      <c r="C44" s="4" t="str">
        <f>IF($A44="","",SUMIFS('Yakıt Alım Kayıt'!$G$5:$G$1500,'Yakıt Alım Kayıt'!$D$5:$D$1500,$A44,'Yakıt Alım Kayıt'!$C$5:$C$1500,$E$4))</f>
        <v/>
      </c>
      <c r="D44" s="9" t="str">
        <f>IF($A44="","",SUMIFS('Yakıt Alım Kayıt'!$I$5:$I$1500,'Yakıt Alım Kayıt'!$D$5:$D$1500,$A44,'Yakıt Alım Kayıt'!$C$5:$C$1500,$E$4))</f>
        <v/>
      </c>
      <c r="E44" s="4" t="str">
        <f>IF($A44="","",COUNTIFS('Yakıt Alım Kayıt'!$D$5:$D$1500,$A44,'Yakıt Alım Kayıt'!$C$5:$C$1500,$E$4))</f>
        <v/>
      </c>
      <c r="F44" s="9" t="str">
        <f>IF(OR($A44="",$C44=0,$C44=""),"",$D44/$C44)</f>
        <v/>
      </c>
    </row>
    <row r="45" spans="1:6">
      <c r="A45" s="4" t="str">
        <f>IF('Araç Tanımlama'!A43="","",IF('Araç Tanımlama'!D43=$B$4,'Araç Tanımlama'!A43,""))</f>
        <v/>
      </c>
      <c r="B45" s="4" t="str">
        <f>IF($A45="","",'Araç Tanımlama'!E43)</f>
        <v/>
      </c>
      <c r="C45" s="4" t="str">
        <f>IF($A45="","",SUMIFS('Yakıt Alım Kayıt'!$G$5:$G$1500,'Yakıt Alım Kayıt'!$D$5:$D$1500,$A45,'Yakıt Alım Kayıt'!$C$5:$C$1500,$E$4))</f>
        <v/>
      </c>
      <c r="D45" s="9" t="str">
        <f>IF($A45="","",SUMIFS('Yakıt Alım Kayıt'!$I$5:$I$1500,'Yakıt Alım Kayıt'!$D$5:$D$1500,$A45,'Yakıt Alım Kayıt'!$C$5:$C$1500,$E$4))</f>
        <v/>
      </c>
      <c r="E45" s="4" t="str">
        <f>IF($A45="","",COUNTIFS('Yakıt Alım Kayıt'!$D$5:$D$1500,$A45,'Yakıt Alım Kayıt'!$C$5:$C$1500,$E$4))</f>
        <v/>
      </c>
      <c r="F45" s="9" t="str">
        <f>IF(OR($A45="",$C45=0,$C45=""),"",$D45/$C45)</f>
        <v/>
      </c>
    </row>
    <row r="46" spans="1:6">
      <c r="A46" s="4" t="str">
        <f>IF('Araç Tanımlama'!A44="","",IF('Araç Tanımlama'!D44=$B$4,'Araç Tanımlama'!A44,""))</f>
        <v/>
      </c>
      <c r="B46" s="4" t="str">
        <f>IF($A46="","",'Araç Tanımlama'!E44)</f>
        <v/>
      </c>
      <c r="C46" s="4" t="str">
        <f>IF($A46="","",SUMIFS('Yakıt Alım Kayıt'!$G$5:$G$1500,'Yakıt Alım Kayıt'!$D$5:$D$1500,$A46,'Yakıt Alım Kayıt'!$C$5:$C$1500,$E$4))</f>
        <v/>
      </c>
      <c r="D46" s="9" t="str">
        <f>IF($A46="","",SUMIFS('Yakıt Alım Kayıt'!$I$5:$I$1500,'Yakıt Alım Kayıt'!$D$5:$D$1500,$A46,'Yakıt Alım Kayıt'!$C$5:$C$1500,$E$4))</f>
        <v/>
      </c>
      <c r="E46" s="4" t="str">
        <f>IF($A46="","",COUNTIFS('Yakıt Alım Kayıt'!$D$5:$D$1500,$A46,'Yakıt Alım Kayıt'!$C$5:$C$1500,$E$4))</f>
        <v/>
      </c>
      <c r="F46" s="9" t="str">
        <f>IF(OR($A46="",$C46=0,$C46=""),"",$D46/$C46)</f>
        <v/>
      </c>
    </row>
    <row r="47" spans="1:6">
      <c r="A47" s="4" t="str">
        <f>IF('Araç Tanımlama'!A45="","",IF('Araç Tanımlama'!D45=$B$4,'Araç Tanımlama'!A45,""))</f>
        <v/>
      </c>
      <c r="B47" s="4" t="str">
        <f>IF($A47="","",'Araç Tanımlama'!E45)</f>
        <v/>
      </c>
      <c r="C47" s="4" t="str">
        <f>IF($A47="","",SUMIFS('Yakıt Alım Kayıt'!$G$5:$G$1500,'Yakıt Alım Kayıt'!$D$5:$D$1500,$A47,'Yakıt Alım Kayıt'!$C$5:$C$1500,$E$4))</f>
        <v/>
      </c>
      <c r="D47" s="9" t="str">
        <f>IF($A47="","",SUMIFS('Yakıt Alım Kayıt'!$I$5:$I$1500,'Yakıt Alım Kayıt'!$D$5:$D$1500,$A47,'Yakıt Alım Kayıt'!$C$5:$C$1500,$E$4))</f>
        <v/>
      </c>
      <c r="E47" s="4" t="str">
        <f>IF($A47="","",COUNTIFS('Yakıt Alım Kayıt'!$D$5:$D$1500,$A47,'Yakıt Alım Kayıt'!$C$5:$C$1500,$E$4))</f>
        <v/>
      </c>
      <c r="F47" s="9" t="str">
        <f>IF(OR($A47="",$C47=0,$C47=""),"",$D47/$C47)</f>
        <v/>
      </c>
    </row>
    <row r="48" spans="1:6">
      <c r="A48" s="4" t="str">
        <f>IF('Araç Tanımlama'!A46="","",IF('Araç Tanımlama'!D46=$B$4,'Araç Tanımlama'!A46,""))</f>
        <v/>
      </c>
      <c r="B48" s="4" t="str">
        <f>IF($A48="","",'Araç Tanımlama'!E46)</f>
        <v/>
      </c>
      <c r="C48" s="4" t="str">
        <f>IF($A48="","",SUMIFS('Yakıt Alım Kayıt'!$G$5:$G$1500,'Yakıt Alım Kayıt'!$D$5:$D$1500,$A48,'Yakıt Alım Kayıt'!$C$5:$C$1500,$E$4))</f>
        <v/>
      </c>
      <c r="D48" s="9" t="str">
        <f>IF($A48="","",SUMIFS('Yakıt Alım Kayıt'!$I$5:$I$1500,'Yakıt Alım Kayıt'!$D$5:$D$1500,$A48,'Yakıt Alım Kayıt'!$C$5:$C$1500,$E$4))</f>
        <v/>
      </c>
      <c r="E48" s="4" t="str">
        <f>IF($A48="","",COUNTIFS('Yakıt Alım Kayıt'!$D$5:$D$1500,$A48,'Yakıt Alım Kayıt'!$C$5:$C$1500,$E$4))</f>
        <v/>
      </c>
      <c r="F48" s="9" t="str">
        <f>IF(OR($A48="",$C48=0,$C48=""),"",$D48/$C48)</f>
        <v/>
      </c>
    </row>
    <row r="49" spans="1:6">
      <c r="A49" s="4" t="str">
        <f>IF('Araç Tanımlama'!A47="","",IF('Araç Tanımlama'!D47=$B$4,'Araç Tanımlama'!A47,""))</f>
        <v/>
      </c>
      <c r="B49" s="4" t="str">
        <f>IF($A49="","",'Araç Tanımlama'!E47)</f>
        <v/>
      </c>
      <c r="C49" s="4" t="str">
        <f>IF($A49="","",SUMIFS('Yakıt Alım Kayıt'!$G$5:$G$1500,'Yakıt Alım Kayıt'!$D$5:$D$1500,$A49,'Yakıt Alım Kayıt'!$C$5:$C$1500,$E$4))</f>
        <v/>
      </c>
      <c r="D49" s="9" t="str">
        <f>IF($A49="","",SUMIFS('Yakıt Alım Kayıt'!$I$5:$I$1500,'Yakıt Alım Kayıt'!$D$5:$D$1500,$A49,'Yakıt Alım Kayıt'!$C$5:$C$1500,$E$4))</f>
        <v/>
      </c>
      <c r="E49" s="4" t="str">
        <f>IF($A49="","",COUNTIFS('Yakıt Alım Kayıt'!$D$5:$D$1500,$A49,'Yakıt Alım Kayıt'!$C$5:$C$1500,$E$4))</f>
        <v/>
      </c>
      <c r="F49" s="9" t="str">
        <f>IF(OR($A49="",$C49=0,$C49=""),"",$D49/$C49)</f>
        <v/>
      </c>
    </row>
    <row r="50" spans="1:6">
      <c r="A50" s="4" t="str">
        <f>IF('Araç Tanımlama'!A48="","",IF('Araç Tanımlama'!D48=$B$4,'Araç Tanımlama'!A48,""))</f>
        <v/>
      </c>
      <c r="B50" s="4" t="str">
        <f>IF($A50="","",'Araç Tanımlama'!E48)</f>
        <v/>
      </c>
      <c r="C50" s="4" t="str">
        <f>IF($A50="","",SUMIFS('Yakıt Alım Kayıt'!$G$5:$G$1500,'Yakıt Alım Kayıt'!$D$5:$D$1500,$A50,'Yakıt Alım Kayıt'!$C$5:$C$1500,$E$4))</f>
        <v/>
      </c>
      <c r="D50" s="9" t="str">
        <f>IF($A50="","",SUMIFS('Yakıt Alım Kayıt'!$I$5:$I$1500,'Yakıt Alım Kayıt'!$D$5:$D$1500,$A50,'Yakıt Alım Kayıt'!$C$5:$C$1500,$E$4))</f>
        <v/>
      </c>
      <c r="E50" s="4" t="str">
        <f>IF($A50="","",COUNTIFS('Yakıt Alım Kayıt'!$D$5:$D$1500,$A50,'Yakıt Alım Kayıt'!$C$5:$C$1500,$E$4))</f>
        <v/>
      </c>
      <c r="F50" s="9" t="str">
        <f>IF(OR($A50="",$C50=0,$C50=""),"",$D50/$C50)</f>
        <v/>
      </c>
    </row>
    <row r="51" spans="1:6">
      <c r="A51" s="4" t="str">
        <f>IF('Araç Tanımlama'!A49="","",IF('Araç Tanımlama'!D49=$B$4,'Araç Tanımlama'!A49,""))</f>
        <v/>
      </c>
      <c r="B51" s="4" t="str">
        <f>IF($A51="","",'Araç Tanımlama'!E49)</f>
        <v/>
      </c>
      <c r="C51" s="4" t="str">
        <f>IF($A51="","",SUMIFS('Yakıt Alım Kayıt'!$G$5:$G$1500,'Yakıt Alım Kayıt'!$D$5:$D$1500,$A51,'Yakıt Alım Kayıt'!$C$5:$C$1500,$E$4))</f>
        <v/>
      </c>
      <c r="D51" s="9" t="str">
        <f>IF($A51="","",SUMIFS('Yakıt Alım Kayıt'!$I$5:$I$1500,'Yakıt Alım Kayıt'!$D$5:$D$1500,$A51,'Yakıt Alım Kayıt'!$C$5:$C$1500,$E$4))</f>
        <v/>
      </c>
      <c r="E51" s="4" t="str">
        <f>IF($A51="","",COUNTIFS('Yakıt Alım Kayıt'!$D$5:$D$1500,$A51,'Yakıt Alım Kayıt'!$C$5:$C$1500,$E$4))</f>
        <v/>
      </c>
      <c r="F51" s="9" t="str">
        <f>IF(OR($A51="",$C51=0,$C51=""),"",$D51/$C51)</f>
        <v/>
      </c>
    </row>
    <row r="52" spans="1:6">
      <c r="A52" s="4" t="str">
        <f>IF('Araç Tanımlama'!A50="","",IF('Araç Tanımlama'!D50=$B$4,'Araç Tanımlama'!A50,""))</f>
        <v/>
      </c>
      <c r="B52" s="4" t="str">
        <f>IF($A52="","",'Araç Tanımlama'!E50)</f>
        <v/>
      </c>
      <c r="C52" s="4" t="str">
        <f>IF($A52="","",SUMIFS('Yakıt Alım Kayıt'!$G$5:$G$1500,'Yakıt Alım Kayıt'!$D$5:$D$1500,$A52,'Yakıt Alım Kayıt'!$C$5:$C$1500,$E$4))</f>
        <v/>
      </c>
      <c r="D52" s="9" t="str">
        <f>IF($A52="","",SUMIFS('Yakıt Alım Kayıt'!$I$5:$I$1500,'Yakıt Alım Kayıt'!$D$5:$D$1500,$A52,'Yakıt Alım Kayıt'!$C$5:$C$1500,$E$4))</f>
        <v/>
      </c>
      <c r="E52" s="4" t="str">
        <f>IF($A52="","",COUNTIFS('Yakıt Alım Kayıt'!$D$5:$D$1500,$A52,'Yakıt Alım Kayıt'!$C$5:$C$1500,$E$4))</f>
        <v/>
      </c>
      <c r="F52" s="9" t="str">
        <f>IF(OR($A52="",$C52=0,$C52=""),"",$D52/$C52)</f>
        <v/>
      </c>
    </row>
    <row r="53" spans="1:6">
      <c r="A53" s="4" t="str">
        <f>IF('Araç Tanımlama'!A51="","",IF('Araç Tanımlama'!D51=$B$4,'Araç Tanımlama'!A51,""))</f>
        <v/>
      </c>
      <c r="B53" s="4" t="str">
        <f>IF($A53="","",'Araç Tanımlama'!E51)</f>
        <v/>
      </c>
      <c r="C53" s="4" t="str">
        <f>IF($A53="","",SUMIFS('Yakıt Alım Kayıt'!$G$5:$G$1500,'Yakıt Alım Kayıt'!$D$5:$D$1500,$A53,'Yakıt Alım Kayıt'!$C$5:$C$1500,$E$4))</f>
        <v/>
      </c>
      <c r="D53" s="9" t="str">
        <f>IF($A53="","",SUMIFS('Yakıt Alım Kayıt'!$I$5:$I$1500,'Yakıt Alım Kayıt'!$D$5:$D$1500,$A53,'Yakıt Alım Kayıt'!$C$5:$C$1500,$E$4))</f>
        <v/>
      </c>
      <c r="E53" s="4" t="str">
        <f>IF($A53="","",COUNTIFS('Yakıt Alım Kayıt'!$D$5:$D$1500,$A53,'Yakıt Alım Kayıt'!$C$5:$C$1500,$E$4))</f>
        <v/>
      </c>
      <c r="F53" s="9" t="str">
        <f>IF(OR($A53="",$C53=0,$C53=""),"",$D53/$C53)</f>
        <v/>
      </c>
    </row>
    <row r="54" spans="1:6">
      <c r="A54" s="4" t="str">
        <f>IF('Araç Tanımlama'!A52="","",IF('Araç Tanımlama'!D52=$B$4,'Araç Tanımlama'!A52,""))</f>
        <v/>
      </c>
      <c r="B54" s="4" t="str">
        <f>IF($A54="","",'Araç Tanımlama'!E52)</f>
        <v/>
      </c>
      <c r="C54" s="4" t="str">
        <f>IF($A54="","",SUMIFS('Yakıt Alım Kayıt'!$G$5:$G$1500,'Yakıt Alım Kayıt'!$D$5:$D$1500,$A54,'Yakıt Alım Kayıt'!$C$5:$C$1500,$E$4))</f>
        <v/>
      </c>
      <c r="D54" s="9" t="str">
        <f>IF($A54="","",SUMIFS('Yakıt Alım Kayıt'!$I$5:$I$1500,'Yakıt Alım Kayıt'!$D$5:$D$1500,$A54,'Yakıt Alım Kayıt'!$C$5:$C$1500,$E$4))</f>
        <v/>
      </c>
      <c r="E54" s="4" t="str">
        <f>IF($A54="","",COUNTIFS('Yakıt Alım Kayıt'!$D$5:$D$1500,$A54,'Yakıt Alım Kayıt'!$C$5:$C$1500,$E$4))</f>
        <v/>
      </c>
      <c r="F54" s="9" t="str">
        <f>IF(OR($A54="",$C54=0,$C54=""),"",$D54/$C54)</f>
        <v/>
      </c>
    </row>
    <row r="55" spans="1:6">
      <c r="A55" s="4" t="str">
        <f>IF('Araç Tanımlama'!A53="","",IF('Araç Tanımlama'!D53=$B$4,'Araç Tanımlama'!A53,""))</f>
        <v/>
      </c>
      <c r="B55" s="4" t="str">
        <f>IF($A55="","",'Araç Tanımlama'!E53)</f>
        <v/>
      </c>
      <c r="C55" s="4" t="str">
        <f>IF($A55="","",SUMIFS('Yakıt Alım Kayıt'!$G$5:$G$1500,'Yakıt Alım Kayıt'!$D$5:$D$1500,$A55,'Yakıt Alım Kayıt'!$C$5:$C$1500,$E$4))</f>
        <v/>
      </c>
      <c r="D55" s="9" t="str">
        <f>IF($A55="","",SUMIFS('Yakıt Alım Kayıt'!$I$5:$I$1500,'Yakıt Alım Kayıt'!$D$5:$D$1500,$A55,'Yakıt Alım Kayıt'!$C$5:$C$1500,$E$4))</f>
        <v/>
      </c>
      <c r="E55" s="4" t="str">
        <f>IF($A55="","",COUNTIFS('Yakıt Alım Kayıt'!$D$5:$D$1500,$A55,'Yakıt Alım Kayıt'!$C$5:$C$1500,$E$4))</f>
        <v/>
      </c>
      <c r="F55" s="9" t="str">
        <f>IF(OR($A55="",$C55=0,$C55=""),"",$D55/$C55)</f>
        <v/>
      </c>
    </row>
    <row r="56" spans="1:6">
      <c r="A56" s="4" t="str">
        <f>IF('Araç Tanımlama'!A54="","",IF('Araç Tanımlama'!D54=$B$4,'Araç Tanımlama'!A54,""))</f>
        <v/>
      </c>
      <c r="B56" s="4" t="str">
        <f>IF($A56="","",'Araç Tanımlama'!E54)</f>
        <v/>
      </c>
      <c r="C56" s="4" t="str">
        <f>IF($A56="","",SUMIFS('Yakıt Alım Kayıt'!$G$5:$G$1500,'Yakıt Alım Kayıt'!$D$5:$D$1500,$A56,'Yakıt Alım Kayıt'!$C$5:$C$1500,$E$4))</f>
        <v/>
      </c>
      <c r="D56" s="9" t="str">
        <f>IF($A56="","",SUMIFS('Yakıt Alım Kayıt'!$I$5:$I$1500,'Yakıt Alım Kayıt'!$D$5:$D$1500,$A56,'Yakıt Alım Kayıt'!$C$5:$C$1500,$E$4))</f>
        <v/>
      </c>
      <c r="E56" s="4" t="str">
        <f>IF($A56="","",COUNTIFS('Yakıt Alım Kayıt'!$D$5:$D$1500,$A56,'Yakıt Alım Kayıt'!$C$5:$C$1500,$E$4))</f>
        <v/>
      </c>
      <c r="F56" s="9" t="str">
        <f>IF(OR($A56="",$C56=0,$C56=""),"",$D56/$C56)</f>
        <v/>
      </c>
    </row>
    <row r="57" spans="1:6">
      <c r="A57" s="4" t="str">
        <f>IF('Araç Tanımlama'!A55="","",IF('Araç Tanımlama'!D55=$B$4,'Araç Tanımlama'!A55,""))</f>
        <v/>
      </c>
      <c r="B57" s="4" t="str">
        <f>IF($A57="","",'Araç Tanımlama'!E55)</f>
        <v/>
      </c>
      <c r="C57" s="4" t="str">
        <f>IF($A57="","",SUMIFS('Yakıt Alım Kayıt'!$G$5:$G$1500,'Yakıt Alım Kayıt'!$D$5:$D$1500,$A57,'Yakıt Alım Kayıt'!$C$5:$C$1500,$E$4))</f>
        <v/>
      </c>
      <c r="D57" s="9" t="str">
        <f>IF($A57="","",SUMIFS('Yakıt Alım Kayıt'!$I$5:$I$1500,'Yakıt Alım Kayıt'!$D$5:$D$1500,$A57,'Yakıt Alım Kayıt'!$C$5:$C$1500,$E$4))</f>
        <v/>
      </c>
      <c r="E57" s="4" t="str">
        <f>IF($A57="","",COUNTIFS('Yakıt Alım Kayıt'!$D$5:$D$1500,$A57,'Yakıt Alım Kayıt'!$C$5:$C$1500,$E$4))</f>
        <v/>
      </c>
      <c r="F57" s="9" t="str">
        <f>IF(OR($A57="",$C57=0,$C57=""),"",$D57/$C57)</f>
        <v/>
      </c>
    </row>
    <row r="58" spans="1:6">
      <c r="A58" s="4" t="str">
        <f>IF('Araç Tanımlama'!A56="","",IF('Araç Tanımlama'!D56=$B$4,'Araç Tanımlama'!A56,""))</f>
        <v/>
      </c>
      <c r="B58" s="4" t="str">
        <f>IF($A58="","",'Araç Tanımlama'!E56)</f>
        <v/>
      </c>
      <c r="C58" s="4" t="str">
        <f>IF($A58="","",SUMIFS('Yakıt Alım Kayıt'!$G$5:$G$1500,'Yakıt Alım Kayıt'!$D$5:$D$1500,$A58,'Yakıt Alım Kayıt'!$C$5:$C$1500,$E$4))</f>
        <v/>
      </c>
      <c r="D58" s="9" t="str">
        <f>IF($A58="","",SUMIFS('Yakıt Alım Kayıt'!$I$5:$I$1500,'Yakıt Alım Kayıt'!$D$5:$D$1500,$A58,'Yakıt Alım Kayıt'!$C$5:$C$1500,$E$4))</f>
        <v/>
      </c>
      <c r="E58" s="4" t="str">
        <f>IF($A58="","",COUNTIFS('Yakıt Alım Kayıt'!$D$5:$D$1500,$A58,'Yakıt Alım Kayıt'!$C$5:$C$1500,$E$4))</f>
        <v/>
      </c>
      <c r="F58" s="9" t="str">
        <f>IF(OR($A58="",$C58=0,$C58=""),"",$D58/$C58)</f>
        <v/>
      </c>
    </row>
    <row r="59" spans="1:6">
      <c r="A59" s="4" t="str">
        <f>IF('Araç Tanımlama'!A57="","",IF('Araç Tanımlama'!D57=$B$4,'Araç Tanımlama'!A57,""))</f>
        <v/>
      </c>
      <c r="B59" s="4" t="str">
        <f>IF($A59="","",'Araç Tanımlama'!E57)</f>
        <v/>
      </c>
      <c r="C59" s="4" t="str">
        <f>IF($A59="","",SUMIFS('Yakıt Alım Kayıt'!$G$5:$G$1500,'Yakıt Alım Kayıt'!$D$5:$D$1500,$A59,'Yakıt Alım Kayıt'!$C$5:$C$1500,$E$4))</f>
        <v/>
      </c>
      <c r="D59" s="9" t="str">
        <f>IF($A59="","",SUMIFS('Yakıt Alım Kayıt'!$I$5:$I$1500,'Yakıt Alım Kayıt'!$D$5:$D$1500,$A59,'Yakıt Alım Kayıt'!$C$5:$C$1500,$E$4))</f>
        <v/>
      </c>
      <c r="E59" s="4" t="str">
        <f>IF($A59="","",COUNTIFS('Yakıt Alım Kayıt'!$D$5:$D$1500,$A59,'Yakıt Alım Kayıt'!$C$5:$C$1500,$E$4))</f>
        <v/>
      </c>
      <c r="F59" s="9" t="str">
        <f>IF(OR($A59="",$C59=0,$C59=""),"",$D59/$C59)</f>
        <v/>
      </c>
    </row>
    <row r="60" spans="1:6">
      <c r="A60" s="4" t="str">
        <f>IF('Araç Tanımlama'!A58="","",IF('Araç Tanımlama'!D58=$B$4,'Araç Tanımlama'!A58,""))</f>
        <v/>
      </c>
      <c r="B60" s="4" t="str">
        <f>IF($A60="","",'Araç Tanımlama'!E58)</f>
        <v/>
      </c>
      <c r="C60" s="4" t="str">
        <f>IF($A60="","",SUMIFS('Yakıt Alım Kayıt'!$G$5:$G$1500,'Yakıt Alım Kayıt'!$D$5:$D$1500,$A60,'Yakıt Alım Kayıt'!$C$5:$C$1500,$E$4))</f>
        <v/>
      </c>
      <c r="D60" s="9" t="str">
        <f>IF($A60="","",SUMIFS('Yakıt Alım Kayıt'!$I$5:$I$1500,'Yakıt Alım Kayıt'!$D$5:$D$1500,$A60,'Yakıt Alım Kayıt'!$C$5:$C$1500,$E$4))</f>
        <v/>
      </c>
      <c r="E60" s="4" t="str">
        <f>IF($A60="","",COUNTIFS('Yakıt Alım Kayıt'!$D$5:$D$1500,$A60,'Yakıt Alım Kayıt'!$C$5:$C$1500,$E$4))</f>
        <v/>
      </c>
      <c r="F60" s="9" t="str">
        <f>IF(OR($A60="",$C60=0,$C60=""),"",$D60/$C60)</f>
        <v/>
      </c>
    </row>
    <row r="61" spans="1:6">
      <c r="A61" s="4" t="str">
        <f>IF('Araç Tanımlama'!A59="","",IF('Araç Tanımlama'!D59=$B$4,'Araç Tanımlama'!A59,""))</f>
        <v/>
      </c>
      <c r="B61" s="4" t="str">
        <f>IF($A61="","",'Araç Tanımlama'!E59)</f>
        <v/>
      </c>
      <c r="C61" s="4" t="str">
        <f>IF($A61="","",SUMIFS('Yakıt Alım Kayıt'!$G$5:$G$1500,'Yakıt Alım Kayıt'!$D$5:$D$1500,$A61,'Yakıt Alım Kayıt'!$C$5:$C$1500,$E$4))</f>
        <v/>
      </c>
      <c r="D61" s="9" t="str">
        <f>IF($A61="","",SUMIFS('Yakıt Alım Kayıt'!$I$5:$I$1500,'Yakıt Alım Kayıt'!$D$5:$D$1500,$A61,'Yakıt Alım Kayıt'!$C$5:$C$1500,$E$4))</f>
        <v/>
      </c>
      <c r="E61" s="4" t="str">
        <f>IF($A61="","",COUNTIFS('Yakıt Alım Kayıt'!$D$5:$D$1500,$A61,'Yakıt Alım Kayıt'!$C$5:$C$1500,$E$4))</f>
        <v/>
      </c>
      <c r="F61" s="9" t="str">
        <f>IF(OR($A61="",$C61=0,$C61=""),"",$D61/$C61)</f>
        <v/>
      </c>
    </row>
    <row r="62" spans="1:6">
      <c r="A62" s="4" t="str">
        <f>IF('Araç Tanımlama'!A60="","",IF('Araç Tanımlama'!D60=$B$4,'Araç Tanımlama'!A60,""))</f>
        <v/>
      </c>
      <c r="B62" s="4" t="str">
        <f>IF($A62="","",'Araç Tanımlama'!E60)</f>
        <v/>
      </c>
      <c r="C62" s="4" t="str">
        <f>IF($A62="","",SUMIFS('Yakıt Alım Kayıt'!$G$5:$G$1500,'Yakıt Alım Kayıt'!$D$5:$D$1500,$A62,'Yakıt Alım Kayıt'!$C$5:$C$1500,$E$4))</f>
        <v/>
      </c>
      <c r="D62" s="9" t="str">
        <f>IF($A62="","",SUMIFS('Yakıt Alım Kayıt'!$I$5:$I$1500,'Yakıt Alım Kayıt'!$D$5:$D$1500,$A62,'Yakıt Alım Kayıt'!$C$5:$C$1500,$E$4))</f>
        <v/>
      </c>
      <c r="E62" s="4" t="str">
        <f>IF($A62="","",COUNTIFS('Yakıt Alım Kayıt'!$D$5:$D$1500,$A62,'Yakıt Alım Kayıt'!$C$5:$C$1500,$E$4))</f>
        <v/>
      </c>
      <c r="F62" s="9" t="str">
        <f>IF(OR($A62="",$C62=0,$C62=""),"",$D62/$C62)</f>
        <v/>
      </c>
    </row>
    <row r="63" spans="1:6">
      <c r="A63" s="4" t="str">
        <f>IF('Araç Tanımlama'!A61="","",IF('Araç Tanımlama'!D61=$B$4,'Araç Tanımlama'!A61,""))</f>
        <v/>
      </c>
      <c r="B63" s="4" t="str">
        <f>IF($A63="","",'Araç Tanımlama'!E61)</f>
        <v/>
      </c>
      <c r="C63" s="4" t="str">
        <f>IF($A63="","",SUMIFS('Yakıt Alım Kayıt'!$G$5:$G$1500,'Yakıt Alım Kayıt'!$D$5:$D$1500,$A63,'Yakıt Alım Kayıt'!$C$5:$C$1500,$E$4))</f>
        <v/>
      </c>
      <c r="D63" s="9" t="str">
        <f>IF($A63="","",SUMIFS('Yakıt Alım Kayıt'!$I$5:$I$1500,'Yakıt Alım Kayıt'!$D$5:$D$1500,$A63,'Yakıt Alım Kayıt'!$C$5:$C$1500,$E$4))</f>
        <v/>
      </c>
      <c r="E63" s="4" t="str">
        <f>IF($A63="","",COUNTIFS('Yakıt Alım Kayıt'!$D$5:$D$1500,$A63,'Yakıt Alım Kayıt'!$C$5:$C$1500,$E$4))</f>
        <v/>
      </c>
      <c r="F63" s="9" t="str">
        <f>IF(OR($A63="",$C63=0,$C63=""),"",$D63/$C63)</f>
        <v/>
      </c>
    </row>
    <row r="64" spans="1:6">
      <c r="A64" s="4" t="str">
        <f>IF('Araç Tanımlama'!A62="","",IF('Araç Tanımlama'!D62=$B$4,'Araç Tanımlama'!A62,""))</f>
        <v/>
      </c>
      <c r="B64" s="4" t="str">
        <f>IF($A64="","",'Araç Tanımlama'!E62)</f>
        <v/>
      </c>
      <c r="C64" s="4" t="str">
        <f>IF($A64="","",SUMIFS('Yakıt Alım Kayıt'!$G$5:$G$1500,'Yakıt Alım Kayıt'!$D$5:$D$1500,$A64,'Yakıt Alım Kayıt'!$C$5:$C$1500,$E$4))</f>
        <v/>
      </c>
      <c r="D64" s="9" t="str">
        <f>IF($A64="","",SUMIFS('Yakıt Alım Kayıt'!$I$5:$I$1500,'Yakıt Alım Kayıt'!$D$5:$D$1500,$A64,'Yakıt Alım Kayıt'!$C$5:$C$1500,$E$4))</f>
        <v/>
      </c>
      <c r="E64" s="4" t="str">
        <f>IF($A64="","",COUNTIFS('Yakıt Alım Kayıt'!$D$5:$D$1500,$A64,'Yakıt Alım Kayıt'!$C$5:$C$1500,$E$4))</f>
        <v/>
      </c>
      <c r="F64" s="9" t="str">
        <f>IF(OR($A64="",$C64=0,$C64=""),"",$D64/$C64)</f>
        <v/>
      </c>
    </row>
    <row r="65" spans="1:6">
      <c r="A65" s="4" t="str">
        <f>IF('Araç Tanımlama'!A63="","",IF('Araç Tanımlama'!D63=$B$4,'Araç Tanımlama'!A63,""))</f>
        <v/>
      </c>
      <c r="B65" s="4" t="str">
        <f>IF($A65="","",'Araç Tanımlama'!E63)</f>
        <v/>
      </c>
      <c r="C65" s="4" t="str">
        <f>IF($A65="","",SUMIFS('Yakıt Alım Kayıt'!$G$5:$G$1500,'Yakıt Alım Kayıt'!$D$5:$D$1500,$A65,'Yakıt Alım Kayıt'!$C$5:$C$1500,$E$4))</f>
        <v/>
      </c>
      <c r="D65" s="9" t="str">
        <f>IF($A65="","",SUMIFS('Yakıt Alım Kayıt'!$I$5:$I$1500,'Yakıt Alım Kayıt'!$D$5:$D$1500,$A65,'Yakıt Alım Kayıt'!$C$5:$C$1500,$E$4))</f>
        <v/>
      </c>
      <c r="E65" s="4" t="str">
        <f>IF($A65="","",COUNTIFS('Yakıt Alım Kayıt'!$D$5:$D$1500,$A65,'Yakıt Alım Kayıt'!$C$5:$C$1500,$E$4))</f>
        <v/>
      </c>
      <c r="F65" s="9" t="str">
        <f>IF(OR($A65="",$C65=0,$C65=""),"",$D65/$C65)</f>
        <v/>
      </c>
    </row>
    <row r="66" spans="1:6">
      <c r="A66" s="4" t="str">
        <f>IF('Araç Tanımlama'!A64="","",IF('Araç Tanımlama'!D64=$B$4,'Araç Tanımlama'!A64,""))</f>
        <v/>
      </c>
      <c r="B66" s="4" t="str">
        <f>IF($A66="","",'Araç Tanımlama'!E64)</f>
        <v/>
      </c>
      <c r="C66" s="4" t="str">
        <f>IF($A66="","",SUMIFS('Yakıt Alım Kayıt'!$G$5:$G$1500,'Yakıt Alım Kayıt'!$D$5:$D$1500,$A66,'Yakıt Alım Kayıt'!$C$5:$C$1500,$E$4))</f>
        <v/>
      </c>
      <c r="D66" s="9" t="str">
        <f>IF($A66="","",SUMIFS('Yakıt Alım Kayıt'!$I$5:$I$1500,'Yakıt Alım Kayıt'!$D$5:$D$1500,$A66,'Yakıt Alım Kayıt'!$C$5:$C$1500,$E$4))</f>
        <v/>
      </c>
      <c r="E66" s="4" t="str">
        <f>IF($A66="","",COUNTIFS('Yakıt Alım Kayıt'!$D$5:$D$1500,$A66,'Yakıt Alım Kayıt'!$C$5:$C$1500,$E$4))</f>
        <v/>
      </c>
      <c r="F66" s="9" t="str">
        <f>IF(OR($A66="",$C66=0,$C66=""),"",$D66/$C66)</f>
        <v/>
      </c>
    </row>
    <row r="67" spans="1:6">
      <c r="A67" s="4" t="str">
        <f>IF('Araç Tanımlama'!A65="","",IF('Araç Tanımlama'!D65=$B$4,'Araç Tanımlama'!A65,""))</f>
        <v/>
      </c>
      <c r="B67" s="4" t="str">
        <f>IF($A67="","",'Araç Tanımlama'!E65)</f>
        <v/>
      </c>
      <c r="C67" s="4" t="str">
        <f>IF($A67="","",SUMIFS('Yakıt Alım Kayıt'!$G$5:$G$1500,'Yakıt Alım Kayıt'!$D$5:$D$1500,$A67,'Yakıt Alım Kayıt'!$C$5:$C$1500,$E$4))</f>
        <v/>
      </c>
      <c r="D67" s="9" t="str">
        <f>IF($A67="","",SUMIFS('Yakıt Alım Kayıt'!$I$5:$I$1500,'Yakıt Alım Kayıt'!$D$5:$D$1500,$A67,'Yakıt Alım Kayıt'!$C$5:$C$1500,$E$4))</f>
        <v/>
      </c>
      <c r="E67" s="4" t="str">
        <f>IF($A67="","",COUNTIFS('Yakıt Alım Kayıt'!$D$5:$D$1500,$A67,'Yakıt Alım Kayıt'!$C$5:$C$1500,$E$4))</f>
        <v/>
      </c>
      <c r="F67" s="9" t="str">
        <f>IF(OR($A67="",$C67=0,$C67=""),"",$D67/$C67)</f>
        <v/>
      </c>
    </row>
    <row r="68" spans="1:6">
      <c r="A68" s="4" t="str">
        <f>IF('Araç Tanımlama'!A66="","",IF('Araç Tanımlama'!D66=$B$4,'Araç Tanımlama'!A66,""))</f>
        <v/>
      </c>
      <c r="B68" s="4" t="str">
        <f>IF($A68="","",'Araç Tanımlama'!E66)</f>
        <v/>
      </c>
      <c r="C68" s="4" t="str">
        <f>IF($A68="","",SUMIFS('Yakıt Alım Kayıt'!$G$5:$G$1500,'Yakıt Alım Kayıt'!$D$5:$D$1500,$A68,'Yakıt Alım Kayıt'!$C$5:$C$1500,$E$4))</f>
        <v/>
      </c>
      <c r="D68" s="9" t="str">
        <f>IF($A68="","",SUMIFS('Yakıt Alım Kayıt'!$I$5:$I$1500,'Yakıt Alım Kayıt'!$D$5:$D$1500,$A68,'Yakıt Alım Kayıt'!$C$5:$C$1500,$E$4))</f>
        <v/>
      </c>
      <c r="E68" s="4" t="str">
        <f>IF($A68="","",COUNTIFS('Yakıt Alım Kayıt'!$D$5:$D$1500,$A68,'Yakıt Alım Kayıt'!$C$5:$C$1500,$E$4))</f>
        <v/>
      </c>
      <c r="F68" s="9" t="str">
        <f>IF(OR($A68="",$C68=0,$C68=""),"",$D68/$C68)</f>
        <v/>
      </c>
    </row>
    <row r="69" spans="1:6">
      <c r="A69" s="4" t="str">
        <f>IF('Araç Tanımlama'!A67="","",IF('Araç Tanımlama'!D67=$B$4,'Araç Tanımlama'!A67,""))</f>
        <v/>
      </c>
      <c r="B69" s="4" t="str">
        <f>IF($A69="","",'Araç Tanımlama'!E67)</f>
        <v/>
      </c>
      <c r="C69" s="4" t="str">
        <f>IF($A69="","",SUMIFS('Yakıt Alım Kayıt'!$G$5:$G$1500,'Yakıt Alım Kayıt'!$D$5:$D$1500,$A69,'Yakıt Alım Kayıt'!$C$5:$C$1500,$E$4))</f>
        <v/>
      </c>
      <c r="D69" s="9" t="str">
        <f>IF($A69="","",SUMIFS('Yakıt Alım Kayıt'!$I$5:$I$1500,'Yakıt Alım Kayıt'!$D$5:$D$1500,$A69,'Yakıt Alım Kayıt'!$C$5:$C$1500,$E$4))</f>
        <v/>
      </c>
      <c r="E69" s="4" t="str">
        <f>IF($A69="","",COUNTIFS('Yakıt Alım Kayıt'!$D$5:$D$1500,$A69,'Yakıt Alım Kayıt'!$C$5:$C$1500,$E$4))</f>
        <v/>
      </c>
      <c r="F69" s="9" t="str">
        <f>IF(OR($A69="",$C69=0,$C69=""),"",$D69/$C69)</f>
        <v/>
      </c>
    </row>
    <row r="70" spans="1:6">
      <c r="A70" s="4" t="str">
        <f>IF('Araç Tanımlama'!A68="","",IF('Araç Tanımlama'!D68=$B$4,'Araç Tanımlama'!A68,""))</f>
        <v/>
      </c>
      <c r="B70" s="4" t="str">
        <f>IF($A70="","",'Araç Tanımlama'!E68)</f>
        <v/>
      </c>
      <c r="C70" s="4" t="str">
        <f>IF($A70="","",SUMIFS('Yakıt Alım Kayıt'!$G$5:$G$1500,'Yakıt Alım Kayıt'!$D$5:$D$1500,$A70,'Yakıt Alım Kayıt'!$C$5:$C$1500,$E$4))</f>
        <v/>
      </c>
      <c r="D70" s="9" t="str">
        <f>IF($A70="","",SUMIFS('Yakıt Alım Kayıt'!$I$5:$I$1500,'Yakıt Alım Kayıt'!$D$5:$D$1500,$A70,'Yakıt Alım Kayıt'!$C$5:$C$1500,$E$4))</f>
        <v/>
      </c>
      <c r="E70" s="4" t="str">
        <f>IF($A70="","",COUNTIFS('Yakıt Alım Kayıt'!$D$5:$D$1500,$A70,'Yakıt Alım Kayıt'!$C$5:$C$1500,$E$4))</f>
        <v/>
      </c>
      <c r="F70" s="9" t="str">
        <f>IF(OR($A70="",$C70=0,$C70=""),"",$D70/$C70)</f>
        <v/>
      </c>
    </row>
    <row r="71" spans="1:6">
      <c r="A71" s="4" t="str">
        <f>IF('Araç Tanımlama'!A69="","",IF('Araç Tanımlama'!D69=$B$4,'Araç Tanımlama'!A69,""))</f>
        <v/>
      </c>
      <c r="B71" s="4" t="str">
        <f>IF($A71="","",'Araç Tanımlama'!E69)</f>
        <v/>
      </c>
      <c r="C71" s="4" t="str">
        <f>IF($A71="","",SUMIFS('Yakıt Alım Kayıt'!$G$5:$G$1500,'Yakıt Alım Kayıt'!$D$5:$D$1500,$A71,'Yakıt Alım Kayıt'!$C$5:$C$1500,$E$4))</f>
        <v/>
      </c>
      <c r="D71" s="9" t="str">
        <f>IF($A71="","",SUMIFS('Yakıt Alım Kayıt'!$I$5:$I$1500,'Yakıt Alım Kayıt'!$D$5:$D$1500,$A71,'Yakıt Alım Kayıt'!$C$5:$C$1500,$E$4))</f>
        <v/>
      </c>
      <c r="E71" s="4" t="str">
        <f>IF($A71="","",COUNTIFS('Yakıt Alım Kayıt'!$D$5:$D$1500,$A71,'Yakıt Alım Kayıt'!$C$5:$C$1500,$E$4))</f>
        <v/>
      </c>
      <c r="F71" s="9" t="str">
        <f>IF(OR($A71="",$C71=0,$C71=""),"",$D71/$C71)</f>
        <v/>
      </c>
    </row>
    <row r="72" spans="1:6">
      <c r="A72" s="4" t="str">
        <f>IF('Araç Tanımlama'!A70="","",IF('Araç Tanımlama'!D70=$B$4,'Araç Tanımlama'!A70,""))</f>
        <v/>
      </c>
      <c r="B72" s="4" t="str">
        <f>IF($A72="","",'Araç Tanımlama'!E70)</f>
        <v/>
      </c>
      <c r="C72" s="4" t="str">
        <f>IF($A72="","",SUMIFS('Yakıt Alım Kayıt'!$G$5:$G$1500,'Yakıt Alım Kayıt'!$D$5:$D$1500,$A72,'Yakıt Alım Kayıt'!$C$5:$C$1500,$E$4))</f>
        <v/>
      </c>
      <c r="D72" s="9" t="str">
        <f>IF($A72="","",SUMIFS('Yakıt Alım Kayıt'!$I$5:$I$1500,'Yakıt Alım Kayıt'!$D$5:$D$1500,$A72,'Yakıt Alım Kayıt'!$C$5:$C$1500,$E$4))</f>
        <v/>
      </c>
      <c r="E72" s="4" t="str">
        <f>IF($A72="","",COUNTIFS('Yakıt Alım Kayıt'!$D$5:$D$1500,$A72,'Yakıt Alım Kayıt'!$C$5:$C$1500,$E$4))</f>
        <v/>
      </c>
      <c r="F72" s="9" t="str">
        <f>IF(OR($A72="",$C72=0,$C72=""),"",$D72/$C72)</f>
        <v/>
      </c>
    </row>
    <row r="73" spans="1:6">
      <c r="A73" s="4" t="str">
        <f>IF('Araç Tanımlama'!A71="","",IF('Araç Tanımlama'!D71=$B$4,'Araç Tanımlama'!A71,""))</f>
        <v/>
      </c>
      <c r="B73" s="4" t="str">
        <f>IF($A73="","",'Araç Tanımlama'!E71)</f>
        <v/>
      </c>
      <c r="C73" s="4" t="str">
        <f>IF($A73="","",SUMIFS('Yakıt Alım Kayıt'!$G$5:$G$1500,'Yakıt Alım Kayıt'!$D$5:$D$1500,$A73,'Yakıt Alım Kayıt'!$C$5:$C$1500,$E$4))</f>
        <v/>
      </c>
      <c r="D73" s="9" t="str">
        <f>IF($A73="","",SUMIFS('Yakıt Alım Kayıt'!$I$5:$I$1500,'Yakıt Alım Kayıt'!$D$5:$D$1500,$A73,'Yakıt Alım Kayıt'!$C$5:$C$1500,$E$4))</f>
        <v/>
      </c>
      <c r="E73" s="4" t="str">
        <f>IF($A73="","",COUNTIFS('Yakıt Alım Kayıt'!$D$5:$D$1500,$A73,'Yakıt Alım Kayıt'!$C$5:$C$1500,$E$4))</f>
        <v/>
      </c>
      <c r="F73" s="9" t="str">
        <f>IF(OR($A73="",$C73=0,$C73=""),"",$D73/$C73)</f>
        <v/>
      </c>
    </row>
    <row r="74" spans="1:6">
      <c r="A74" s="4" t="str">
        <f>IF('Araç Tanımlama'!A72="","",IF('Araç Tanımlama'!D72=$B$4,'Araç Tanımlama'!A72,""))</f>
        <v/>
      </c>
      <c r="B74" s="4" t="str">
        <f>IF($A74="","",'Araç Tanımlama'!E72)</f>
        <v/>
      </c>
      <c r="C74" s="4" t="str">
        <f>IF($A74="","",SUMIFS('Yakıt Alım Kayıt'!$G$5:$G$1500,'Yakıt Alım Kayıt'!$D$5:$D$1500,$A74,'Yakıt Alım Kayıt'!$C$5:$C$1500,$E$4))</f>
        <v/>
      </c>
      <c r="D74" s="9" t="str">
        <f>IF($A74="","",SUMIFS('Yakıt Alım Kayıt'!$I$5:$I$1500,'Yakıt Alım Kayıt'!$D$5:$D$1500,$A74,'Yakıt Alım Kayıt'!$C$5:$C$1500,$E$4))</f>
        <v/>
      </c>
      <c r="E74" s="4" t="str">
        <f>IF($A74="","",COUNTIFS('Yakıt Alım Kayıt'!$D$5:$D$1500,$A74,'Yakıt Alım Kayıt'!$C$5:$C$1500,$E$4))</f>
        <v/>
      </c>
      <c r="F74" s="9" t="str">
        <f>IF(OR($A74="",$C74=0,$C74=""),"",$D74/$C74)</f>
        <v/>
      </c>
    </row>
    <row r="75" spans="1:6">
      <c r="A75" s="4" t="str">
        <f>IF('Araç Tanımlama'!A73="","",IF('Araç Tanımlama'!D73=$B$4,'Araç Tanımlama'!A73,""))</f>
        <v/>
      </c>
      <c r="B75" s="4" t="str">
        <f>IF($A75="","",'Araç Tanımlama'!E73)</f>
        <v/>
      </c>
      <c r="C75" s="4" t="str">
        <f>IF($A75="","",SUMIFS('Yakıt Alım Kayıt'!$G$5:$G$1500,'Yakıt Alım Kayıt'!$D$5:$D$1500,$A75,'Yakıt Alım Kayıt'!$C$5:$C$1500,$E$4))</f>
        <v/>
      </c>
      <c r="D75" s="9" t="str">
        <f>IF($A75="","",SUMIFS('Yakıt Alım Kayıt'!$I$5:$I$1500,'Yakıt Alım Kayıt'!$D$5:$D$1500,$A75,'Yakıt Alım Kayıt'!$C$5:$C$1500,$E$4))</f>
        <v/>
      </c>
      <c r="E75" s="4" t="str">
        <f>IF($A75="","",COUNTIFS('Yakıt Alım Kayıt'!$D$5:$D$1500,$A75,'Yakıt Alım Kayıt'!$C$5:$C$1500,$E$4))</f>
        <v/>
      </c>
      <c r="F75" s="9" t="str">
        <f>IF(OR($A75="",$C75=0,$C75=""),"",$D75/$C75)</f>
        <v/>
      </c>
    </row>
    <row r="76" spans="1:6">
      <c r="A76" s="4" t="str">
        <f>IF('Araç Tanımlama'!A74="","",IF('Araç Tanımlama'!D74=$B$4,'Araç Tanımlama'!A74,""))</f>
        <v/>
      </c>
      <c r="B76" s="4" t="str">
        <f>IF($A76="","",'Araç Tanımlama'!E74)</f>
        <v/>
      </c>
      <c r="C76" s="4" t="str">
        <f>IF($A76="","",SUMIFS('Yakıt Alım Kayıt'!$G$5:$G$1500,'Yakıt Alım Kayıt'!$D$5:$D$1500,$A76,'Yakıt Alım Kayıt'!$C$5:$C$1500,$E$4))</f>
        <v/>
      </c>
      <c r="D76" s="9" t="str">
        <f>IF($A76="","",SUMIFS('Yakıt Alım Kayıt'!$I$5:$I$1500,'Yakıt Alım Kayıt'!$D$5:$D$1500,$A76,'Yakıt Alım Kayıt'!$C$5:$C$1500,$E$4))</f>
        <v/>
      </c>
      <c r="E76" s="4" t="str">
        <f>IF($A76="","",COUNTIFS('Yakıt Alım Kayıt'!$D$5:$D$1500,$A76,'Yakıt Alım Kayıt'!$C$5:$C$1500,$E$4))</f>
        <v/>
      </c>
      <c r="F76" s="9" t="str">
        <f>IF(OR($A76="",$C76=0,$C76=""),"",$D76/$C76)</f>
        <v/>
      </c>
    </row>
    <row r="77" spans="1:6">
      <c r="A77" s="4" t="str">
        <f>IF('Araç Tanımlama'!A75="","",IF('Araç Tanımlama'!D75=$B$4,'Araç Tanımlama'!A75,""))</f>
        <v/>
      </c>
      <c r="B77" s="4" t="str">
        <f>IF($A77="","",'Araç Tanımlama'!E75)</f>
        <v/>
      </c>
      <c r="C77" s="4" t="str">
        <f>IF($A77="","",SUMIFS('Yakıt Alım Kayıt'!$G$5:$G$1500,'Yakıt Alım Kayıt'!$D$5:$D$1500,$A77,'Yakıt Alım Kayıt'!$C$5:$C$1500,$E$4))</f>
        <v/>
      </c>
      <c r="D77" s="9" t="str">
        <f>IF($A77="","",SUMIFS('Yakıt Alım Kayıt'!$I$5:$I$1500,'Yakıt Alım Kayıt'!$D$5:$D$1500,$A77,'Yakıt Alım Kayıt'!$C$5:$C$1500,$E$4))</f>
        <v/>
      </c>
      <c r="E77" s="4" t="str">
        <f>IF($A77="","",COUNTIFS('Yakıt Alım Kayıt'!$D$5:$D$1500,$A77,'Yakıt Alım Kayıt'!$C$5:$C$1500,$E$4))</f>
        <v/>
      </c>
      <c r="F77" s="9" t="str">
        <f>IF(OR($A77="",$C77=0,$C77=""),"",$D77/$C77)</f>
        <v/>
      </c>
    </row>
    <row r="78" spans="1:6">
      <c r="A78" s="4" t="str">
        <f>IF('Araç Tanımlama'!A76="","",IF('Araç Tanımlama'!D76=$B$4,'Araç Tanımlama'!A76,""))</f>
        <v/>
      </c>
      <c r="B78" s="4" t="str">
        <f>IF($A78="","",'Araç Tanımlama'!E76)</f>
        <v/>
      </c>
      <c r="C78" s="4" t="str">
        <f>IF($A78="","",SUMIFS('Yakıt Alım Kayıt'!$G$5:$G$1500,'Yakıt Alım Kayıt'!$D$5:$D$1500,$A78,'Yakıt Alım Kayıt'!$C$5:$C$1500,$E$4))</f>
        <v/>
      </c>
      <c r="D78" s="9" t="str">
        <f>IF($A78="","",SUMIFS('Yakıt Alım Kayıt'!$I$5:$I$1500,'Yakıt Alım Kayıt'!$D$5:$D$1500,$A78,'Yakıt Alım Kayıt'!$C$5:$C$1500,$E$4))</f>
        <v/>
      </c>
      <c r="E78" s="4" t="str">
        <f>IF($A78="","",COUNTIFS('Yakıt Alım Kayıt'!$D$5:$D$1500,$A78,'Yakıt Alım Kayıt'!$C$5:$C$1500,$E$4))</f>
        <v/>
      </c>
      <c r="F78" s="9" t="str">
        <f>IF(OR($A78="",$C78=0,$C78=""),"",$D78/$C78)</f>
        <v/>
      </c>
    </row>
    <row r="79" spans="1:6">
      <c r="A79" s="4" t="str">
        <f>IF('Araç Tanımlama'!A77="","",IF('Araç Tanımlama'!D77=$B$4,'Araç Tanımlama'!A77,""))</f>
        <v/>
      </c>
      <c r="B79" s="4" t="str">
        <f>IF($A79="","",'Araç Tanımlama'!E77)</f>
        <v/>
      </c>
      <c r="C79" s="4" t="str">
        <f>IF($A79="","",SUMIFS('Yakıt Alım Kayıt'!$G$5:$G$1500,'Yakıt Alım Kayıt'!$D$5:$D$1500,$A79,'Yakıt Alım Kayıt'!$C$5:$C$1500,$E$4))</f>
        <v/>
      </c>
      <c r="D79" s="9" t="str">
        <f>IF($A79="","",SUMIFS('Yakıt Alım Kayıt'!$I$5:$I$1500,'Yakıt Alım Kayıt'!$D$5:$D$1500,$A79,'Yakıt Alım Kayıt'!$C$5:$C$1500,$E$4))</f>
        <v/>
      </c>
      <c r="E79" s="4" t="str">
        <f>IF($A79="","",COUNTIFS('Yakıt Alım Kayıt'!$D$5:$D$1500,$A79,'Yakıt Alım Kayıt'!$C$5:$C$1500,$E$4))</f>
        <v/>
      </c>
      <c r="F79" s="9" t="str">
        <f>IF(OR($A79="",$C79=0,$C79=""),"",$D79/$C79)</f>
        <v/>
      </c>
    </row>
    <row r="80" spans="1:6">
      <c r="A80" s="4" t="str">
        <f>IF('Araç Tanımlama'!A78="","",IF('Araç Tanımlama'!D78=$B$4,'Araç Tanımlama'!A78,""))</f>
        <v/>
      </c>
      <c r="B80" s="4" t="str">
        <f>IF($A80="","",'Araç Tanımlama'!E78)</f>
        <v/>
      </c>
      <c r="C80" s="4" t="str">
        <f>IF($A80="","",SUMIFS('Yakıt Alım Kayıt'!$G$5:$G$1500,'Yakıt Alım Kayıt'!$D$5:$D$1500,$A80,'Yakıt Alım Kayıt'!$C$5:$C$1500,$E$4))</f>
        <v/>
      </c>
      <c r="D80" s="9" t="str">
        <f>IF($A80="","",SUMIFS('Yakıt Alım Kayıt'!$I$5:$I$1500,'Yakıt Alım Kayıt'!$D$5:$D$1500,$A80,'Yakıt Alım Kayıt'!$C$5:$C$1500,$E$4))</f>
        <v/>
      </c>
      <c r="E80" s="4" t="str">
        <f>IF($A80="","",COUNTIFS('Yakıt Alım Kayıt'!$D$5:$D$1500,$A80,'Yakıt Alım Kayıt'!$C$5:$C$1500,$E$4))</f>
        <v/>
      </c>
      <c r="F80" s="9" t="str">
        <f>IF(OR($A80="",$C80=0,$C80=""),"",$D80/$C80)</f>
        <v/>
      </c>
    </row>
    <row r="81" spans="1:6">
      <c r="A81" s="4" t="str">
        <f>IF('Araç Tanımlama'!A79="","",IF('Araç Tanımlama'!D79=$B$4,'Araç Tanımlama'!A79,""))</f>
        <v/>
      </c>
      <c r="B81" s="4" t="str">
        <f>IF($A81="","",'Araç Tanımlama'!E79)</f>
        <v/>
      </c>
      <c r="C81" s="4" t="str">
        <f>IF($A81="","",SUMIFS('Yakıt Alım Kayıt'!$G$5:$G$1500,'Yakıt Alım Kayıt'!$D$5:$D$1500,$A81,'Yakıt Alım Kayıt'!$C$5:$C$1500,$E$4))</f>
        <v/>
      </c>
      <c r="D81" s="9" t="str">
        <f>IF($A81="","",SUMIFS('Yakıt Alım Kayıt'!$I$5:$I$1500,'Yakıt Alım Kayıt'!$D$5:$D$1500,$A81,'Yakıt Alım Kayıt'!$C$5:$C$1500,$E$4))</f>
        <v/>
      </c>
      <c r="E81" s="4" t="str">
        <f>IF($A81="","",COUNTIFS('Yakıt Alım Kayıt'!$D$5:$D$1500,$A81,'Yakıt Alım Kayıt'!$C$5:$C$1500,$E$4))</f>
        <v/>
      </c>
      <c r="F81" s="9" t="str">
        <f>IF(OR($A81="",$C81=0,$C81=""),"",$D81/$C81)</f>
        <v/>
      </c>
    </row>
    <row r="82" spans="1:6">
      <c r="A82" s="4" t="str">
        <f>IF('Araç Tanımlama'!A80="","",IF('Araç Tanımlama'!D80=$B$4,'Araç Tanımlama'!A80,""))</f>
        <v/>
      </c>
      <c r="B82" s="4" t="str">
        <f>IF($A82="","",'Araç Tanımlama'!E80)</f>
        <v/>
      </c>
      <c r="C82" s="4" t="str">
        <f>IF($A82="","",SUMIFS('Yakıt Alım Kayıt'!$G$5:$G$1500,'Yakıt Alım Kayıt'!$D$5:$D$1500,$A82,'Yakıt Alım Kayıt'!$C$5:$C$1500,$E$4))</f>
        <v/>
      </c>
      <c r="D82" s="9" t="str">
        <f>IF($A82="","",SUMIFS('Yakıt Alım Kayıt'!$I$5:$I$1500,'Yakıt Alım Kayıt'!$D$5:$D$1500,$A82,'Yakıt Alım Kayıt'!$C$5:$C$1500,$E$4))</f>
        <v/>
      </c>
      <c r="E82" s="4" t="str">
        <f>IF($A82="","",COUNTIFS('Yakıt Alım Kayıt'!$D$5:$D$1500,$A82,'Yakıt Alım Kayıt'!$C$5:$C$1500,$E$4))</f>
        <v/>
      </c>
      <c r="F82" s="9" t="str">
        <f>IF(OR($A82="",$C82=0,$C82=""),"",$D82/$C82)</f>
        <v/>
      </c>
    </row>
    <row r="83" spans="1:6">
      <c r="A83" s="4" t="str">
        <f>IF('Araç Tanımlama'!A81="","",IF('Araç Tanımlama'!D81=$B$4,'Araç Tanımlama'!A81,""))</f>
        <v/>
      </c>
      <c r="B83" s="4" t="str">
        <f>IF($A83="","",'Araç Tanımlama'!E81)</f>
        <v/>
      </c>
      <c r="C83" s="4" t="str">
        <f>IF($A83="","",SUMIFS('Yakıt Alım Kayıt'!$G$5:$G$1500,'Yakıt Alım Kayıt'!$D$5:$D$1500,$A83,'Yakıt Alım Kayıt'!$C$5:$C$1500,$E$4))</f>
        <v/>
      </c>
      <c r="D83" s="9" t="str">
        <f>IF($A83="","",SUMIFS('Yakıt Alım Kayıt'!$I$5:$I$1500,'Yakıt Alım Kayıt'!$D$5:$D$1500,$A83,'Yakıt Alım Kayıt'!$C$5:$C$1500,$E$4))</f>
        <v/>
      </c>
      <c r="E83" s="4" t="str">
        <f>IF($A83="","",COUNTIFS('Yakıt Alım Kayıt'!$D$5:$D$1500,$A83,'Yakıt Alım Kayıt'!$C$5:$C$1500,$E$4))</f>
        <v/>
      </c>
      <c r="F83" s="9" t="str">
        <f>IF(OR($A83="",$C83=0,$C83=""),"",$D83/$C83)</f>
        <v/>
      </c>
    </row>
    <row r="84" spans="1:6">
      <c r="A84" s="4" t="str">
        <f>IF('Araç Tanımlama'!A82="","",IF('Araç Tanımlama'!D82=$B$4,'Araç Tanımlama'!A82,""))</f>
        <v/>
      </c>
      <c r="B84" s="4" t="str">
        <f>IF($A84="","",'Araç Tanımlama'!E82)</f>
        <v/>
      </c>
      <c r="C84" s="4" t="str">
        <f>IF($A84="","",SUMIFS('Yakıt Alım Kayıt'!$G$5:$G$1500,'Yakıt Alım Kayıt'!$D$5:$D$1500,$A84,'Yakıt Alım Kayıt'!$C$5:$C$1500,$E$4))</f>
        <v/>
      </c>
      <c r="D84" s="9" t="str">
        <f>IF($A84="","",SUMIFS('Yakıt Alım Kayıt'!$I$5:$I$1500,'Yakıt Alım Kayıt'!$D$5:$D$1500,$A84,'Yakıt Alım Kayıt'!$C$5:$C$1500,$E$4))</f>
        <v/>
      </c>
      <c r="E84" s="4" t="str">
        <f>IF($A84="","",COUNTIFS('Yakıt Alım Kayıt'!$D$5:$D$1500,$A84,'Yakıt Alım Kayıt'!$C$5:$C$1500,$E$4))</f>
        <v/>
      </c>
      <c r="F84" s="9" t="str">
        <f>IF(OR($A84="",$C84=0,$C84=""),"",$D84/$C84)</f>
        <v/>
      </c>
    </row>
    <row r="85" spans="1:6">
      <c r="A85" s="4" t="str">
        <f>IF('Araç Tanımlama'!A83="","",IF('Araç Tanımlama'!D83=$B$4,'Araç Tanımlama'!A83,""))</f>
        <v/>
      </c>
      <c r="B85" s="4" t="str">
        <f>IF($A85="","",'Araç Tanımlama'!E83)</f>
        <v/>
      </c>
      <c r="C85" s="4" t="str">
        <f>IF($A85="","",SUMIFS('Yakıt Alım Kayıt'!$G$5:$G$1500,'Yakıt Alım Kayıt'!$D$5:$D$1500,$A85,'Yakıt Alım Kayıt'!$C$5:$C$1500,$E$4))</f>
        <v/>
      </c>
      <c r="D85" s="9" t="str">
        <f>IF($A85="","",SUMIFS('Yakıt Alım Kayıt'!$I$5:$I$1500,'Yakıt Alım Kayıt'!$D$5:$D$1500,$A85,'Yakıt Alım Kayıt'!$C$5:$C$1500,$E$4))</f>
        <v/>
      </c>
      <c r="E85" s="4" t="str">
        <f>IF($A85="","",COUNTIFS('Yakıt Alım Kayıt'!$D$5:$D$1500,$A85,'Yakıt Alım Kayıt'!$C$5:$C$1500,$E$4))</f>
        <v/>
      </c>
      <c r="F85" s="9" t="str">
        <f>IF(OR($A85="",$C85=0,$C85=""),"",$D85/$C85)</f>
        <v/>
      </c>
    </row>
    <row r="86" spans="1:6">
      <c r="A86" s="4" t="str">
        <f>IF('Araç Tanımlama'!A84="","",IF('Araç Tanımlama'!D84=$B$4,'Araç Tanımlama'!A84,""))</f>
        <v/>
      </c>
      <c r="B86" s="4" t="str">
        <f>IF($A86="","",'Araç Tanımlama'!E84)</f>
        <v/>
      </c>
      <c r="C86" s="4" t="str">
        <f>IF($A86="","",SUMIFS('Yakıt Alım Kayıt'!$G$5:$G$1500,'Yakıt Alım Kayıt'!$D$5:$D$1500,$A86,'Yakıt Alım Kayıt'!$C$5:$C$1500,$E$4))</f>
        <v/>
      </c>
      <c r="D86" s="9" t="str">
        <f>IF($A86="","",SUMIFS('Yakıt Alım Kayıt'!$I$5:$I$1500,'Yakıt Alım Kayıt'!$D$5:$D$1500,$A86,'Yakıt Alım Kayıt'!$C$5:$C$1500,$E$4))</f>
        <v/>
      </c>
      <c r="E86" s="4" t="str">
        <f>IF($A86="","",COUNTIFS('Yakıt Alım Kayıt'!$D$5:$D$1500,$A86,'Yakıt Alım Kayıt'!$C$5:$C$1500,$E$4))</f>
        <v/>
      </c>
      <c r="F86" s="9" t="str">
        <f>IF(OR($A86="",$C86=0,$C86=""),"",$D86/$C86)</f>
        <v/>
      </c>
    </row>
    <row r="87" spans="1:6">
      <c r="A87" s="4" t="str">
        <f>IF('Araç Tanımlama'!A85="","",IF('Araç Tanımlama'!D85=$B$4,'Araç Tanımlama'!A85,""))</f>
        <v/>
      </c>
      <c r="B87" s="4" t="str">
        <f>IF($A87="","",'Araç Tanımlama'!E85)</f>
        <v/>
      </c>
      <c r="C87" s="4" t="str">
        <f>IF($A87="","",SUMIFS('Yakıt Alım Kayıt'!$G$5:$G$1500,'Yakıt Alım Kayıt'!$D$5:$D$1500,$A87,'Yakıt Alım Kayıt'!$C$5:$C$1500,$E$4))</f>
        <v/>
      </c>
      <c r="D87" s="9" t="str">
        <f>IF($A87="","",SUMIFS('Yakıt Alım Kayıt'!$I$5:$I$1500,'Yakıt Alım Kayıt'!$D$5:$D$1500,$A87,'Yakıt Alım Kayıt'!$C$5:$C$1500,$E$4))</f>
        <v/>
      </c>
      <c r="E87" s="4" t="str">
        <f>IF($A87="","",COUNTIFS('Yakıt Alım Kayıt'!$D$5:$D$1500,$A87,'Yakıt Alım Kayıt'!$C$5:$C$1500,$E$4))</f>
        <v/>
      </c>
      <c r="F87" s="9" t="str">
        <f>IF(OR($A87="",$C87=0,$C87=""),"",$D87/$C87)</f>
        <v/>
      </c>
    </row>
    <row r="88" spans="1:6">
      <c r="A88" s="4" t="str">
        <f>IF('Araç Tanımlama'!A86="","",IF('Araç Tanımlama'!D86=$B$4,'Araç Tanımlama'!A86,""))</f>
        <v/>
      </c>
      <c r="B88" s="4" t="str">
        <f>IF($A88="","",'Araç Tanımlama'!E86)</f>
        <v/>
      </c>
      <c r="C88" s="4" t="str">
        <f>IF($A88="","",SUMIFS('Yakıt Alım Kayıt'!$G$5:$G$1500,'Yakıt Alım Kayıt'!$D$5:$D$1500,$A88,'Yakıt Alım Kayıt'!$C$5:$C$1500,$E$4))</f>
        <v/>
      </c>
      <c r="D88" s="9" t="str">
        <f>IF($A88="","",SUMIFS('Yakıt Alım Kayıt'!$I$5:$I$1500,'Yakıt Alım Kayıt'!$D$5:$D$1500,$A88,'Yakıt Alım Kayıt'!$C$5:$C$1500,$E$4))</f>
        <v/>
      </c>
      <c r="E88" s="4" t="str">
        <f>IF($A88="","",COUNTIFS('Yakıt Alım Kayıt'!$D$5:$D$1500,$A88,'Yakıt Alım Kayıt'!$C$5:$C$1500,$E$4))</f>
        <v/>
      </c>
      <c r="F88" s="9" t="str">
        <f>IF(OR($A88="",$C88=0,$C88=""),"",$D88/$C88)</f>
        <v/>
      </c>
    </row>
    <row r="89" spans="1:6">
      <c r="A89" s="4" t="str">
        <f>IF('Araç Tanımlama'!A87="","",IF('Araç Tanımlama'!D87=$B$4,'Araç Tanımlama'!A87,""))</f>
        <v/>
      </c>
      <c r="B89" s="4" t="str">
        <f>IF($A89="","",'Araç Tanımlama'!E87)</f>
        <v/>
      </c>
      <c r="C89" s="4" t="str">
        <f>IF($A89="","",SUMIFS('Yakıt Alım Kayıt'!$G$5:$G$1500,'Yakıt Alım Kayıt'!$D$5:$D$1500,$A89,'Yakıt Alım Kayıt'!$C$5:$C$1500,$E$4))</f>
        <v/>
      </c>
      <c r="D89" s="9" t="str">
        <f>IF($A89="","",SUMIFS('Yakıt Alım Kayıt'!$I$5:$I$1500,'Yakıt Alım Kayıt'!$D$5:$D$1500,$A89,'Yakıt Alım Kayıt'!$C$5:$C$1500,$E$4))</f>
        <v/>
      </c>
      <c r="E89" s="4" t="str">
        <f>IF($A89="","",COUNTIFS('Yakıt Alım Kayıt'!$D$5:$D$1500,$A89,'Yakıt Alım Kayıt'!$C$5:$C$1500,$E$4))</f>
        <v/>
      </c>
      <c r="F89" s="9" t="str">
        <f>IF(OR($A89="",$C89=0,$C89=""),"",$D89/$C89)</f>
        <v/>
      </c>
    </row>
    <row r="90" spans="1:6">
      <c r="A90" s="4" t="str">
        <f>IF('Araç Tanımlama'!A88="","",IF('Araç Tanımlama'!D88=$B$4,'Araç Tanımlama'!A88,""))</f>
        <v/>
      </c>
      <c r="B90" s="4" t="str">
        <f>IF($A90="","",'Araç Tanımlama'!E88)</f>
        <v/>
      </c>
      <c r="C90" s="4" t="str">
        <f>IF($A90="","",SUMIFS('Yakıt Alım Kayıt'!$G$5:$G$1500,'Yakıt Alım Kayıt'!$D$5:$D$1500,$A90,'Yakıt Alım Kayıt'!$C$5:$C$1500,$E$4))</f>
        <v/>
      </c>
      <c r="D90" s="9" t="str">
        <f>IF($A90="","",SUMIFS('Yakıt Alım Kayıt'!$I$5:$I$1500,'Yakıt Alım Kayıt'!$D$5:$D$1500,$A90,'Yakıt Alım Kayıt'!$C$5:$C$1500,$E$4))</f>
        <v/>
      </c>
      <c r="E90" s="4" t="str">
        <f>IF($A90="","",COUNTIFS('Yakıt Alım Kayıt'!$D$5:$D$1500,$A90,'Yakıt Alım Kayıt'!$C$5:$C$1500,$E$4))</f>
        <v/>
      </c>
      <c r="F90" s="9" t="str">
        <f>IF(OR($A90="",$C90=0,$C90=""),"",$D90/$C90)</f>
        <v/>
      </c>
    </row>
    <row r="91" spans="1:6">
      <c r="A91" s="4" t="str">
        <f>IF('Araç Tanımlama'!A89="","",IF('Araç Tanımlama'!D89=$B$4,'Araç Tanımlama'!A89,""))</f>
        <v/>
      </c>
      <c r="B91" s="4" t="str">
        <f>IF($A91="","",'Araç Tanımlama'!E89)</f>
        <v/>
      </c>
      <c r="C91" s="4" t="str">
        <f>IF($A91="","",SUMIFS('Yakıt Alım Kayıt'!$G$5:$G$1500,'Yakıt Alım Kayıt'!$D$5:$D$1500,$A91,'Yakıt Alım Kayıt'!$C$5:$C$1500,$E$4))</f>
        <v/>
      </c>
      <c r="D91" s="9" t="str">
        <f>IF($A91="","",SUMIFS('Yakıt Alım Kayıt'!$I$5:$I$1500,'Yakıt Alım Kayıt'!$D$5:$D$1500,$A91,'Yakıt Alım Kayıt'!$C$5:$C$1500,$E$4))</f>
        <v/>
      </c>
      <c r="E91" s="4" t="str">
        <f>IF($A91="","",COUNTIFS('Yakıt Alım Kayıt'!$D$5:$D$1500,$A91,'Yakıt Alım Kayıt'!$C$5:$C$1500,$E$4))</f>
        <v/>
      </c>
      <c r="F91" s="9" t="str">
        <f>IF(OR($A91="",$C91=0,$C91=""),"",$D91/$C91)</f>
        <v/>
      </c>
    </row>
    <row r="92" spans="1:6">
      <c r="A92" s="4" t="str">
        <f>IF('Araç Tanımlama'!A90="","",IF('Araç Tanımlama'!D90=$B$4,'Araç Tanımlama'!A90,""))</f>
        <v/>
      </c>
      <c r="B92" s="4" t="str">
        <f>IF($A92="","",'Araç Tanımlama'!E90)</f>
        <v/>
      </c>
      <c r="C92" s="4" t="str">
        <f>IF($A92="","",SUMIFS('Yakıt Alım Kayıt'!$G$5:$G$1500,'Yakıt Alım Kayıt'!$D$5:$D$1500,$A92,'Yakıt Alım Kayıt'!$C$5:$C$1500,$E$4))</f>
        <v/>
      </c>
      <c r="D92" s="9" t="str">
        <f>IF($A92="","",SUMIFS('Yakıt Alım Kayıt'!$I$5:$I$1500,'Yakıt Alım Kayıt'!$D$5:$D$1500,$A92,'Yakıt Alım Kayıt'!$C$5:$C$1500,$E$4))</f>
        <v/>
      </c>
      <c r="E92" s="4" t="str">
        <f>IF($A92="","",COUNTIFS('Yakıt Alım Kayıt'!$D$5:$D$1500,$A92,'Yakıt Alım Kayıt'!$C$5:$C$1500,$E$4))</f>
        <v/>
      </c>
      <c r="F92" s="9" t="str">
        <f>IF(OR($A92="",$C92=0,$C92=""),"",$D92/$C92)</f>
        <v/>
      </c>
    </row>
    <row r="93" spans="1:6">
      <c r="A93" s="4" t="str">
        <f>IF('Araç Tanımlama'!A91="","",IF('Araç Tanımlama'!D91=$B$4,'Araç Tanımlama'!A91,""))</f>
        <v/>
      </c>
      <c r="B93" s="4" t="str">
        <f>IF($A93="","",'Araç Tanımlama'!E91)</f>
        <v/>
      </c>
      <c r="C93" s="4" t="str">
        <f>IF($A93="","",SUMIFS('Yakıt Alım Kayıt'!$G$5:$G$1500,'Yakıt Alım Kayıt'!$D$5:$D$1500,$A93,'Yakıt Alım Kayıt'!$C$5:$C$1500,$E$4))</f>
        <v/>
      </c>
      <c r="D93" s="9" t="str">
        <f>IF($A93="","",SUMIFS('Yakıt Alım Kayıt'!$I$5:$I$1500,'Yakıt Alım Kayıt'!$D$5:$D$1500,$A93,'Yakıt Alım Kayıt'!$C$5:$C$1500,$E$4))</f>
        <v/>
      </c>
      <c r="E93" s="4" t="str">
        <f>IF($A93="","",COUNTIFS('Yakıt Alım Kayıt'!$D$5:$D$1500,$A93,'Yakıt Alım Kayıt'!$C$5:$C$1500,$E$4))</f>
        <v/>
      </c>
      <c r="F93" s="9" t="str">
        <f>IF(OR($A93="",$C93=0,$C93=""),"",$D93/$C93)</f>
        <v/>
      </c>
    </row>
    <row r="94" spans="1:6">
      <c r="A94" s="4" t="str">
        <f>IF('Araç Tanımlama'!A92="","",IF('Araç Tanımlama'!D92=$B$4,'Araç Tanımlama'!A92,""))</f>
        <v/>
      </c>
      <c r="B94" s="4" t="str">
        <f>IF($A94="","",'Araç Tanımlama'!E92)</f>
        <v/>
      </c>
      <c r="C94" s="4" t="str">
        <f>IF($A94="","",SUMIFS('Yakıt Alım Kayıt'!$G$5:$G$1500,'Yakıt Alım Kayıt'!$D$5:$D$1500,$A94,'Yakıt Alım Kayıt'!$C$5:$C$1500,$E$4))</f>
        <v/>
      </c>
      <c r="D94" s="9" t="str">
        <f>IF($A94="","",SUMIFS('Yakıt Alım Kayıt'!$I$5:$I$1500,'Yakıt Alım Kayıt'!$D$5:$D$1500,$A94,'Yakıt Alım Kayıt'!$C$5:$C$1500,$E$4))</f>
        <v/>
      </c>
      <c r="E94" s="4" t="str">
        <f>IF($A94="","",COUNTIFS('Yakıt Alım Kayıt'!$D$5:$D$1500,$A94,'Yakıt Alım Kayıt'!$C$5:$C$1500,$E$4))</f>
        <v/>
      </c>
      <c r="F94" s="9" t="str">
        <f>IF(OR($A94="",$C94=0,$C94=""),"",$D94/$C94)</f>
        <v/>
      </c>
    </row>
    <row r="95" spans="1:6">
      <c r="A95" s="4" t="str">
        <f>IF('Araç Tanımlama'!A93="","",IF('Araç Tanımlama'!D93=$B$4,'Araç Tanımlama'!A93,""))</f>
        <v/>
      </c>
      <c r="B95" s="4" t="str">
        <f>IF($A95="","",'Araç Tanımlama'!E93)</f>
        <v/>
      </c>
      <c r="C95" s="4" t="str">
        <f>IF($A95="","",SUMIFS('Yakıt Alım Kayıt'!$G$5:$G$1500,'Yakıt Alım Kayıt'!$D$5:$D$1500,$A95,'Yakıt Alım Kayıt'!$C$5:$C$1500,$E$4))</f>
        <v/>
      </c>
      <c r="D95" s="9" t="str">
        <f>IF($A95="","",SUMIFS('Yakıt Alım Kayıt'!$I$5:$I$1500,'Yakıt Alım Kayıt'!$D$5:$D$1500,$A95,'Yakıt Alım Kayıt'!$C$5:$C$1500,$E$4))</f>
        <v/>
      </c>
      <c r="E95" s="4" t="str">
        <f>IF($A95="","",COUNTIFS('Yakıt Alım Kayıt'!$D$5:$D$1500,$A95,'Yakıt Alım Kayıt'!$C$5:$C$1500,$E$4))</f>
        <v/>
      </c>
      <c r="F95" s="9" t="str">
        <f>IF(OR($A95="",$C95=0,$C95=""),"",$D95/$C95)</f>
        <v/>
      </c>
    </row>
    <row r="96" spans="1:6">
      <c r="A96" s="4" t="str">
        <f>IF('Araç Tanımlama'!A94="","",IF('Araç Tanımlama'!D94=$B$4,'Araç Tanımlama'!A94,""))</f>
        <v/>
      </c>
      <c r="B96" s="4" t="str">
        <f>IF($A96="","",'Araç Tanımlama'!E94)</f>
        <v/>
      </c>
      <c r="C96" s="4" t="str">
        <f>IF($A96="","",SUMIFS('Yakıt Alım Kayıt'!$G$5:$G$1500,'Yakıt Alım Kayıt'!$D$5:$D$1500,$A96,'Yakıt Alım Kayıt'!$C$5:$C$1500,$E$4))</f>
        <v/>
      </c>
      <c r="D96" s="9" t="str">
        <f>IF($A96="","",SUMIFS('Yakıt Alım Kayıt'!$I$5:$I$1500,'Yakıt Alım Kayıt'!$D$5:$D$1500,$A96,'Yakıt Alım Kayıt'!$C$5:$C$1500,$E$4))</f>
        <v/>
      </c>
      <c r="E96" s="4" t="str">
        <f>IF($A96="","",COUNTIFS('Yakıt Alım Kayıt'!$D$5:$D$1500,$A96,'Yakıt Alım Kayıt'!$C$5:$C$1500,$E$4))</f>
        <v/>
      </c>
      <c r="F96" s="9" t="str">
        <f>IF(OR($A96="",$C96=0,$C96=""),"",$D96/$C96)</f>
        <v/>
      </c>
    </row>
    <row r="97" spans="1:6">
      <c r="A97" s="4" t="str">
        <f>IF('Araç Tanımlama'!A95="","",IF('Araç Tanımlama'!D95=$B$4,'Araç Tanımlama'!A95,""))</f>
        <v/>
      </c>
      <c r="B97" s="4" t="str">
        <f>IF($A97="","",'Araç Tanımlama'!E95)</f>
        <v/>
      </c>
      <c r="C97" s="4" t="str">
        <f>IF($A97="","",SUMIFS('Yakıt Alım Kayıt'!$G$5:$G$1500,'Yakıt Alım Kayıt'!$D$5:$D$1500,$A97,'Yakıt Alım Kayıt'!$C$5:$C$1500,$E$4))</f>
        <v/>
      </c>
      <c r="D97" s="9" t="str">
        <f>IF($A97="","",SUMIFS('Yakıt Alım Kayıt'!$I$5:$I$1500,'Yakıt Alım Kayıt'!$D$5:$D$1500,$A97,'Yakıt Alım Kayıt'!$C$5:$C$1500,$E$4))</f>
        <v/>
      </c>
      <c r="E97" s="4" t="str">
        <f>IF($A97="","",COUNTIFS('Yakıt Alım Kayıt'!$D$5:$D$1500,$A97,'Yakıt Alım Kayıt'!$C$5:$C$1500,$E$4))</f>
        <v/>
      </c>
      <c r="F97" s="9" t="str">
        <f>IF(OR($A97="",$C97=0,$C97=""),"",$D97/$C97)</f>
        <v/>
      </c>
    </row>
    <row r="98" spans="1:6">
      <c r="A98" s="4" t="str">
        <f>IF('Araç Tanımlama'!A96="","",IF('Araç Tanımlama'!D96=$B$4,'Araç Tanımlama'!A96,""))</f>
        <v/>
      </c>
      <c r="B98" s="4" t="str">
        <f>IF($A98="","",'Araç Tanımlama'!E96)</f>
        <v/>
      </c>
      <c r="C98" s="4" t="str">
        <f>IF($A98="","",SUMIFS('Yakıt Alım Kayıt'!$G$5:$G$1500,'Yakıt Alım Kayıt'!$D$5:$D$1500,$A98,'Yakıt Alım Kayıt'!$C$5:$C$1500,$E$4))</f>
        <v/>
      </c>
      <c r="D98" s="9" t="str">
        <f>IF($A98="","",SUMIFS('Yakıt Alım Kayıt'!$I$5:$I$1500,'Yakıt Alım Kayıt'!$D$5:$D$1500,$A98,'Yakıt Alım Kayıt'!$C$5:$C$1500,$E$4))</f>
        <v/>
      </c>
      <c r="E98" s="4" t="str">
        <f>IF($A98="","",COUNTIFS('Yakıt Alım Kayıt'!$D$5:$D$1500,$A98,'Yakıt Alım Kayıt'!$C$5:$C$1500,$E$4))</f>
        <v/>
      </c>
      <c r="F98" s="9" t="str">
        <f>IF(OR($A98="",$C98=0,$C98=""),"",$D98/$C98)</f>
        <v/>
      </c>
    </row>
    <row r="99" spans="1:6">
      <c r="A99" s="4" t="str">
        <f>IF('Araç Tanımlama'!A97="","",IF('Araç Tanımlama'!D97=$B$4,'Araç Tanımlama'!A97,""))</f>
        <v/>
      </c>
      <c r="B99" s="4" t="str">
        <f>IF($A99="","",'Araç Tanımlama'!E97)</f>
        <v/>
      </c>
      <c r="C99" s="4" t="str">
        <f>IF($A99="","",SUMIFS('Yakıt Alım Kayıt'!$G$5:$G$1500,'Yakıt Alım Kayıt'!$D$5:$D$1500,$A99,'Yakıt Alım Kayıt'!$C$5:$C$1500,$E$4))</f>
        <v/>
      </c>
      <c r="D99" s="9" t="str">
        <f>IF($A99="","",SUMIFS('Yakıt Alım Kayıt'!$I$5:$I$1500,'Yakıt Alım Kayıt'!$D$5:$D$1500,$A99,'Yakıt Alım Kayıt'!$C$5:$C$1500,$E$4))</f>
        <v/>
      </c>
      <c r="E99" s="4" t="str">
        <f>IF($A99="","",COUNTIFS('Yakıt Alım Kayıt'!$D$5:$D$1500,$A99,'Yakıt Alım Kayıt'!$C$5:$C$1500,$E$4))</f>
        <v/>
      </c>
      <c r="F99" s="9" t="str">
        <f>IF(OR($A99="",$C99=0,$C99=""),"",$D99/$C99)</f>
        <v/>
      </c>
    </row>
    <row r="100" spans="1:6">
      <c r="A100" s="4" t="str">
        <f>IF('Araç Tanımlama'!A98="","",IF('Araç Tanımlama'!D98=$B$4,'Araç Tanımlama'!A98,""))</f>
        <v/>
      </c>
      <c r="B100" s="4" t="str">
        <f>IF($A100="","",'Araç Tanımlama'!E98)</f>
        <v/>
      </c>
      <c r="C100" s="4" t="str">
        <f>IF($A100="","",SUMIFS('Yakıt Alım Kayıt'!$G$5:$G$1500,'Yakıt Alım Kayıt'!$D$5:$D$1500,$A100,'Yakıt Alım Kayıt'!$C$5:$C$1500,$E$4))</f>
        <v/>
      </c>
      <c r="D100" s="9" t="str">
        <f>IF($A100="","",SUMIFS('Yakıt Alım Kayıt'!$I$5:$I$1500,'Yakıt Alım Kayıt'!$D$5:$D$1500,$A100,'Yakıt Alım Kayıt'!$C$5:$C$1500,$E$4))</f>
        <v/>
      </c>
      <c r="E100" s="4" t="str">
        <f>IF($A100="","",COUNTIFS('Yakıt Alım Kayıt'!$D$5:$D$1500,$A100,'Yakıt Alım Kayıt'!$C$5:$C$1500,$E$4))</f>
        <v/>
      </c>
      <c r="F100" s="9" t="str">
        <f>IF(OR($A100="",$C100=0,$C100=""),"",$D100/$C100)</f>
        <v/>
      </c>
    </row>
    <row r="101" spans="1:6">
      <c r="A101" s="4" t="str">
        <f>IF('Araç Tanımlama'!A99="","",IF('Araç Tanımlama'!D99=$B$4,'Araç Tanımlama'!A99,""))</f>
        <v/>
      </c>
      <c r="B101" s="4" t="str">
        <f>IF($A101="","",'Araç Tanımlama'!E99)</f>
        <v/>
      </c>
      <c r="C101" s="4" t="str">
        <f>IF($A101="","",SUMIFS('Yakıt Alım Kayıt'!$G$5:$G$1500,'Yakıt Alım Kayıt'!$D$5:$D$1500,$A101,'Yakıt Alım Kayıt'!$C$5:$C$1500,$E$4))</f>
        <v/>
      </c>
      <c r="D101" s="9" t="str">
        <f>IF($A101="","",SUMIFS('Yakıt Alım Kayıt'!$I$5:$I$1500,'Yakıt Alım Kayıt'!$D$5:$D$1500,$A101,'Yakıt Alım Kayıt'!$C$5:$C$1500,$E$4))</f>
        <v/>
      </c>
      <c r="E101" s="4" t="str">
        <f>IF($A101="","",COUNTIFS('Yakıt Alım Kayıt'!$D$5:$D$1500,$A101,'Yakıt Alım Kayıt'!$C$5:$C$1500,$E$4))</f>
        <v/>
      </c>
      <c r="F101" s="9" t="str">
        <f>IF(OR($A101="",$C101=0,$C101=""),"",$D101/$C101)</f>
        <v/>
      </c>
    </row>
    <row r="102" spans="1:6">
      <c r="A102" s="4" t="str">
        <f>IF('Araç Tanımlama'!A100="","",IF('Araç Tanımlama'!D100=$B$4,'Araç Tanımlama'!A100,""))</f>
        <v/>
      </c>
      <c r="B102" s="4" t="str">
        <f>IF($A102="","",'Araç Tanımlama'!E100)</f>
        <v/>
      </c>
      <c r="C102" s="4" t="str">
        <f>IF($A102="","",SUMIFS('Yakıt Alım Kayıt'!$G$5:$G$1500,'Yakıt Alım Kayıt'!$D$5:$D$1500,$A102,'Yakıt Alım Kayıt'!$C$5:$C$1500,$E$4))</f>
        <v/>
      </c>
      <c r="D102" s="9" t="str">
        <f>IF($A102="","",SUMIFS('Yakıt Alım Kayıt'!$I$5:$I$1500,'Yakıt Alım Kayıt'!$D$5:$D$1500,$A102,'Yakıt Alım Kayıt'!$C$5:$C$1500,$E$4))</f>
        <v/>
      </c>
      <c r="E102" s="4" t="str">
        <f>IF($A102="","",COUNTIFS('Yakıt Alım Kayıt'!$D$5:$D$1500,$A102,'Yakıt Alım Kayıt'!$C$5:$C$1500,$E$4))</f>
        <v/>
      </c>
      <c r="F102" s="9" t="str">
        <f>IF(OR($A102="",$C102=0,$C102=""),"",$D102/$C102)</f>
        <v/>
      </c>
    </row>
    <row r="103" spans="1:6">
      <c r="A103" s="4" t="str">
        <f>IF('Araç Tanımlama'!A101="","",IF('Araç Tanımlama'!D101=$B$4,'Araç Tanımlama'!A101,""))</f>
        <v/>
      </c>
      <c r="B103" s="4" t="str">
        <f>IF($A103="","",'Araç Tanımlama'!E101)</f>
        <v/>
      </c>
      <c r="C103" s="4" t="str">
        <f>IF($A103="","",SUMIFS('Yakıt Alım Kayıt'!$G$5:$G$1500,'Yakıt Alım Kayıt'!$D$5:$D$1500,$A103,'Yakıt Alım Kayıt'!$C$5:$C$1500,$E$4))</f>
        <v/>
      </c>
      <c r="D103" s="9" t="str">
        <f>IF($A103="","",SUMIFS('Yakıt Alım Kayıt'!$I$5:$I$1500,'Yakıt Alım Kayıt'!$D$5:$D$1500,$A103,'Yakıt Alım Kayıt'!$C$5:$C$1500,$E$4))</f>
        <v/>
      </c>
      <c r="E103" s="4" t="str">
        <f>IF($A103="","",COUNTIFS('Yakıt Alım Kayıt'!$D$5:$D$1500,$A103,'Yakıt Alım Kayıt'!$C$5:$C$1500,$E$4))</f>
        <v/>
      </c>
      <c r="F103" s="9" t="str">
        <f>IF(OR($A103="",$C103=0,$C103=""),"",$D103/$C103)</f>
        <v/>
      </c>
    </row>
    <row r="104" spans="1:6">
      <c r="A104" s="4" t="str">
        <f>IF('Araç Tanımlama'!A102="","",IF('Araç Tanımlama'!D102=$B$4,'Araç Tanımlama'!A102,""))</f>
        <v/>
      </c>
      <c r="B104" s="4" t="str">
        <f>IF($A104="","",'Araç Tanımlama'!E102)</f>
        <v/>
      </c>
      <c r="C104" s="4" t="str">
        <f>IF($A104="","",SUMIFS('Yakıt Alım Kayıt'!$G$5:$G$1500,'Yakıt Alım Kayıt'!$D$5:$D$1500,$A104,'Yakıt Alım Kayıt'!$C$5:$C$1500,$E$4))</f>
        <v/>
      </c>
      <c r="D104" s="9" t="str">
        <f>IF($A104="","",SUMIFS('Yakıt Alım Kayıt'!$I$5:$I$1500,'Yakıt Alım Kayıt'!$D$5:$D$1500,$A104,'Yakıt Alım Kayıt'!$C$5:$C$1500,$E$4))</f>
        <v/>
      </c>
      <c r="E104" s="4" t="str">
        <f>IF($A104="","",COUNTIFS('Yakıt Alım Kayıt'!$D$5:$D$1500,$A104,'Yakıt Alım Kayıt'!$C$5:$C$1500,$E$4))</f>
        <v/>
      </c>
      <c r="F104" s="9" t="str">
        <f>IF(OR($A104="",$C104=0,$C104=""),"",$D104/$C104)</f>
        <v/>
      </c>
    </row>
    <row r="105" spans="1:6">
      <c r="A105" s="4" t="str">
        <f>IF('Araç Tanımlama'!A103="","",IF('Araç Tanımlama'!D103=$B$4,'Araç Tanımlama'!A103,""))</f>
        <v/>
      </c>
      <c r="B105" s="4" t="str">
        <f>IF($A105="","",'Araç Tanımlama'!E103)</f>
        <v/>
      </c>
      <c r="C105" s="4" t="str">
        <f>IF($A105="","",SUMIFS('Yakıt Alım Kayıt'!$G$5:$G$1500,'Yakıt Alım Kayıt'!$D$5:$D$1500,$A105,'Yakıt Alım Kayıt'!$C$5:$C$1500,$E$4))</f>
        <v/>
      </c>
      <c r="D105" s="9" t="str">
        <f>IF($A105="","",SUMIFS('Yakıt Alım Kayıt'!$I$5:$I$1500,'Yakıt Alım Kayıt'!$D$5:$D$1500,$A105,'Yakıt Alım Kayıt'!$C$5:$C$1500,$E$4))</f>
        <v/>
      </c>
      <c r="E105" s="4" t="str">
        <f>IF($A105="","",COUNTIFS('Yakıt Alım Kayıt'!$D$5:$D$1500,$A105,'Yakıt Alım Kayıt'!$C$5:$C$1500,$E$4))</f>
        <v/>
      </c>
      <c r="F105" s="9" t="str">
        <f>IF(OR($A105="",$C105=0,$C105=""),"",$D105/$C105)</f>
        <v/>
      </c>
    </row>
    <row r="106" spans="1:6">
      <c r="A106" s="4" t="str">
        <f>IF('Araç Tanımlama'!A104="","",IF('Araç Tanımlama'!D104=$B$4,'Araç Tanımlama'!A104,""))</f>
        <v/>
      </c>
      <c r="B106" s="4" t="str">
        <f>IF($A106="","",'Araç Tanımlama'!E104)</f>
        <v/>
      </c>
      <c r="C106" s="4" t="str">
        <f>IF($A106="","",SUMIFS('Yakıt Alım Kayıt'!$G$5:$G$1500,'Yakıt Alım Kayıt'!$D$5:$D$1500,$A106,'Yakıt Alım Kayıt'!$C$5:$C$1500,$E$4))</f>
        <v/>
      </c>
      <c r="D106" s="9" t="str">
        <f>IF($A106="","",SUMIFS('Yakıt Alım Kayıt'!$I$5:$I$1500,'Yakıt Alım Kayıt'!$D$5:$D$1500,$A106,'Yakıt Alım Kayıt'!$C$5:$C$1500,$E$4))</f>
        <v/>
      </c>
      <c r="E106" s="4" t="str">
        <f>IF($A106="","",COUNTIFS('Yakıt Alım Kayıt'!$D$5:$D$1500,$A106,'Yakıt Alım Kayıt'!$C$5:$C$1500,$E$4))</f>
        <v/>
      </c>
      <c r="F106" s="9" t="str">
        <f>IF(OR($A106="",$C106=0,$C106=""),"",$D106/$C106)</f>
        <v/>
      </c>
    </row>
    <row r="107" spans="1:6">
      <c r="A107" s="4" t="str">
        <f>IF('Araç Tanımlama'!A105="","",IF('Araç Tanımlama'!D105=$B$4,'Araç Tanımlama'!A105,""))</f>
        <v/>
      </c>
      <c r="B107" s="4" t="str">
        <f>IF($A107="","",'Araç Tanımlama'!E105)</f>
        <v/>
      </c>
      <c r="C107" s="4" t="str">
        <f>IF($A107="","",SUMIFS('Yakıt Alım Kayıt'!$G$5:$G$1500,'Yakıt Alım Kayıt'!$D$5:$D$1500,$A107,'Yakıt Alım Kayıt'!$C$5:$C$1500,$E$4))</f>
        <v/>
      </c>
      <c r="D107" s="9" t="str">
        <f>IF($A107="","",SUMIFS('Yakıt Alım Kayıt'!$I$5:$I$1500,'Yakıt Alım Kayıt'!$D$5:$D$1500,$A107,'Yakıt Alım Kayıt'!$C$5:$C$1500,$E$4))</f>
        <v/>
      </c>
      <c r="E107" s="4" t="str">
        <f>IF($A107="","",COUNTIFS('Yakıt Alım Kayıt'!$D$5:$D$1500,$A107,'Yakıt Alım Kayıt'!$C$5:$C$1500,$E$4))</f>
        <v/>
      </c>
      <c r="F107" s="9" t="str">
        <f>IF(OR($A107="",$C107=0,$C107=""),"",$D107/$C107)</f>
        <v/>
      </c>
    </row>
    <row r="108" spans="1:6">
      <c r="A108" s="4" t="str">
        <f>IF('Araç Tanımlama'!A106="","",IF('Araç Tanımlama'!D106=$B$4,'Araç Tanımlama'!A106,""))</f>
        <v/>
      </c>
      <c r="B108" s="4" t="str">
        <f>IF($A108="","",'Araç Tanımlama'!E106)</f>
        <v/>
      </c>
      <c r="C108" s="4" t="str">
        <f>IF($A108="","",SUMIFS('Yakıt Alım Kayıt'!$G$5:$G$1500,'Yakıt Alım Kayıt'!$D$5:$D$1500,$A108,'Yakıt Alım Kayıt'!$C$5:$C$1500,$E$4))</f>
        <v/>
      </c>
      <c r="D108" s="9" t="str">
        <f>IF($A108="","",SUMIFS('Yakıt Alım Kayıt'!$I$5:$I$1500,'Yakıt Alım Kayıt'!$D$5:$D$1500,$A108,'Yakıt Alım Kayıt'!$C$5:$C$1500,$E$4))</f>
        <v/>
      </c>
      <c r="E108" s="4" t="str">
        <f>IF($A108="","",COUNTIFS('Yakıt Alım Kayıt'!$D$5:$D$1500,$A108,'Yakıt Alım Kayıt'!$C$5:$C$1500,$E$4))</f>
        <v/>
      </c>
      <c r="F108" s="9" t="str">
        <f>IF(OR($A108="",$C108=0,$C108=""),"",$D108/$C108)</f>
        <v/>
      </c>
    </row>
    <row r="109" spans="1:6">
      <c r="A109" s="4" t="str">
        <f>IF('Araç Tanımlama'!A107="","",IF('Araç Tanımlama'!D107=$B$4,'Araç Tanımlama'!A107,""))</f>
        <v/>
      </c>
      <c r="B109" s="4" t="str">
        <f>IF($A109="","",'Araç Tanımlama'!E107)</f>
        <v/>
      </c>
      <c r="C109" s="4" t="str">
        <f>IF($A109="","",SUMIFS('Yakıt Alım Kayıt'!$G$5:$G$1500,'Yakıt Alım Kayıt'!$D$5:$D$1500,$A109,'Yakıt Alım Kayıt'!$C$5:$C$1500,$E$4))</f>
        <v/>
      </c>
      <c r="D109" s="9" t="str">
        <f>IF($A109="","",SUMIFS('Yakıt Alım Kayıt'!$I$5:$I$1500,'Yakıt Alım Kayıt'!$D$5:$D$1500,$A109,'Yakıt Alım Kayıt'!$C$5:$C$1500,$E$4))</f>
        <v/>
      </c>
      <c r="E109" s="4" t="str">
        <f>IF($A109="","",COUNTIFS('Yakıt Alım Kayıt'!$D$5:$D$1500,$A109,'Yakıt Alım Kayıt'!$C$5:$C$1500,$E$4))</f>
        <v/>
      </c>
      <c r="F109" s="9" t="str">
        <f>IF(OR($A109="",$C109=0,$C109=""),"",$D109/$C109)</f>
        <v/>
      </c>
    </row>
    <row r="110" spans="1:6">
      <c r="A110" s="4" t="str">
        <f>IF('Araç Tanımlama'!A108="","",IF('Araç Tanımlama'!D108=$B$4,'Araç Tanımlama'!A108,""))</f>
        <v/>
      </c>
      <c r="B110" s="4" t="str">
        <f>IF($A110="","",'Araç Tanımlama'!E108)</f>
        <v/>
      </c>
      <c r="C110" s="4" t="str">
        <f>IF($A110="","",SUMIFS('Yakıt Alım Kayıt'!$G$5:$G$1500,'Yakıt Alım Kayıt'!$D$5:$D$1500,$A110,'Yakıt Alım Kayıt'!$C$5:$C$1500,$E$4))</f>
        <v/>
      </c>
      <c r="D110" s="9" t="str">
        <f>IF($A110="","",SUMIFS('Yakıt Alım Kayıt'!$I$5:$I$1500,'Yakıt Alım Kayıt'!$D$5:$D$1500,$A110,'Yakıt Alım Kayıt'!$C$5:$C$1500,$E$4))</f>
        <v/>
      </c>
      <c r="E110" s="4" t="str">
        <f>IF($A110="","",COUNTIFS('Yakıt Alım Kayıt'!$D$5:$D$1500,$A110,'Yakıt Alım Kayıt'!$C$5:$C$1500,$E$4))</f>
        <v/>
      </c>
      <c r="F110" s="9" t="str">
        <f>IF(OR($A110="",$C110=0,$C110=""),"",$D110/$C110)</f>
        <v/>
      </c>
    </row>
    <row r="111" spans="1:6">
      <c r="A111" s="4" t="str">
        <f>IF('Araç Tanımlama'!A109="","",IF('Araç Tanımlama'!D109=$B$4,'Araç Tanımlama'!A109,""))</f>
        <v/>
      </c>
      <c r="B111" s="4" t="str">
        <f>IF($A111="","",'Araç Tanımlama'!E109)</f>
        <v/>
      </c>
      <c r="C111" s="4" t="str">
        <f>IF($A111="","",SUMIFS('Yakıt Alım Kayıt'!$G$5:$G$1500,'Yakıt Alım Kayıt'!$D$5:$D$1500,$A111,'Yakıt Alım Kayıt'!$C$5:$C$1500,$E$4))</f>
        <v/>
      </c>
      <c r="D111" s="9" t="str">
        <f>IF($A111="","",SUMIFS('Yakıt Alım Kayıt'!$I$5:$I$1500,'Yakıt Alım Kayıt'!$D$5:$D$1500,$A111,'Yakıt Alım Kayıt'!$C$5:$C$1500,$E$4))</f>
        <v/>
      </c>
      <c r="E111" s="4" t="str">
        <f>IF($A111="","",COUNTIFS('Yakıt Alım Kayıt'!$D$5:$D$1500,$A111,'Yakıt Alım Kayıt'!$C$5:$C$1500,$E$4))</f>
        <v/>
      </c>
      <c r="F111" s="9" t="str">
        <f>IF(OR($A111="",$C111=0,$C111=""),"",$D111/$C111)</f>
        <v/>
      </c>
    </row>
    <row r="112" spans="1:6">
      <c r="A112" s="4" t="str">
        <f>IF('Araç Tanımlama'!A110="","",IF('Araç Tanımlama'!D110=$B$4,'Araç Tanımlama'!A110,""))</f>
        <v/>
      </c>
      <c r="B112" s="4" t="str">
        <f>IF($A112="","",'Araç Tanımlama'!E110)</f>
        <v/>
      </c>
      <c r="C112" s="4" t="str">
        <f>IF($A112="","",SUMIFS('Yakıt Alım Kayıt'!$G$5:$G$1500,'Yakıt Alım Kayıt'!$D$5:$D$1500,$A112,'Yakıt Alım Kayıt'!$C$5:$C$1500,$E$4))</f>
        <v/>
      </c>
      <c r="D112" s="9" t="str">
        <f>IF($A112="","",SUMIFS('Yakıt Alım Kayıt'!$I$5:$I$1500,'Yakıt Alım Kayıt'!$D$5:$D$1500,$A112,'Yakıt Alım Kayıt'!$C$5:$C$1500,$E$4))</f>
        <v/>
      </c>
      <c r="E112" s="4" t="str">
        <f>IF($A112="","",COUNTIFS('Yakıt Alım Kayıt'!$D$5:$D$1500,$A112,'Yakıt Alım Kayıt'!$C$5:$C$1500,$E$4))</f>
        <v/>
      </c>
      <c r="F112" s="9" t="str">
        <f>IF(OR($A112="",$C112=0,$C112=""),"",$D112/$C112)</f>
        <v/>
      </c>
    </row>
    <row r="113" spans="1:6">
      <c r="A113" s="4" t="str">
        <f>IF('Araç Tanımlama'!A111="","",IF('Araç Tanımlama'!D111=$B$4,'Araç Tanımlama'!A111,""))</f>
        <v/>
      </c>
      <c r="B113" s="4" t="str">
        <f>IF($A113="","",'Araç Tanımlama'!E111)</f>
        <v/>
      </c>
      <c r="C113" s="4" t="str">
        <f>IF($A113="","",SUMIFS('Yakıt Alım Kayıt'!$G$5:$G$1500,'Yakıt Alım Kayıt'!$D$5:$D$1500,$A113,'Yakıt Alım Kayıt'!$C$5:$C$1500,$E$4))</f>
        <v/>
      </c>
      <c r="D113" s="9" t="str">
        <f>IF($A113="","",SUMIFS('Yakıt Alım Kayıt'!$I$5:$I$1500,'Yakıt Alım Kayıt'!$D$5:$D$1500,$A113,'Yakıt Alım Kayıt'!$C$5:$C$1500,$E$4))</f>
        <v/>
      </c>
      <c r="E113" s="4" t="str">
        <f>IF($A113="","",COUNTIFS('Yakıt Alım Kayıt'!$D$5:$D$1500,$A113,'Yakıt Alım Kayıt'!$C$5:$C$1500,$E$4))</f>
        <v/>
      </c>
      <c r="F113" s="9" t="str">
        <f>IF(OR($A113="",$C113=0,$C113=""),"",$D113/$C113)</f>
        <v/>
      </c>
    </row>
    <row r="114" spans="1:6">
      <c r="A114" s="4" t="str">
        <f>IF('Araç Tanımlama'!A112="","",IF('Araç Tanımlama'!D112=$B$4,'Araç Tanımlama'!A112,""))</f>
        <v/>
      </c>
      <c r="B114" s="4" t="str">
        <f>IF($A114="","",'Araç Tanımlama'!E112)</f>
        <v/>
      </c>
      <c r="C114" s="4" t="str">
        <f>IF($A114="","",SUMIFS('Yakıt Alım Kayıt'!$G$5:$G$1500,'Yakıt Alım Kayıt'!$D$5:$D$1500,$A114,'Yakıt Alım Kayıt'!$C$5:$C$1500,$E$4))</f>
        <v/>
      </c>
      <c r="D114" s="9" t="str">
        <f>IF($A114="","",SUMIFS('Yakıt Alım Kayıt'!$I$5:$I$1500,'Yakıt Alım Kayıt'!$D$5:$D$1500,$A114,'Yakıt Alım Kayıt'!$C$5:$C$1500,$E$4))</f>
        <v/>
      </c>
      <c r="E114" s="4" t="str">
        <f>IF($A114="","",COUNTIFS('Yakıt Alım Kayıt'!$D$5:$D$1500,$A114,'Yakıt Alım Kayıt'!$C$5:$C$1500,$E$4))</f>
        <v/>
      </c>
      <c r="F114" s="9" t="str">
        <f>IF(OR($A114="",$C114=0,$C114=""),"",$D114/$C114)</f>
        <v/>
      </c>
    </row>
    <row r="115" spans="1:6">
      <c r="A115" s="4" t="str">
        <f>IF('Araç Tanımlama'!A113="","",IF('Araç Tanımlama'!D113=$B$4,'Araç Tanımlama'!A113,""))</f>
        <v/>
      </c>
      <c r="B115" s="4" t="str">
        <f>IF($A115="","",'Araç Tanımlama'!E113)</f>
        <v/>
      </c>
      <c r="C115" s="4" t="str">
        <f>IF($A115="","",SUMIFS('Yakıt Alım Kayıt'!$G$5:$G$1500,'Yakıt Alım Kayıt'!$D$5:$D$1500,$A115,'Yakıt Alım Kayıt'!$C$5:$C$1500,$E$4))</f>
        <v/>
      </c>
      <c r="D115" s="9" t="str">
        <f>IF($A115="","",SUMIFS('Yakıt Alım Kayıt'!$I$5:$I$1500,'Yakıt Alım Kayıt'!$D$5:$D$1500,$A115,'Yakıt Alım Kayıt'!$C$5:$C$1500,$E$4))</f>
        <v/>
      </c>
      <c r="E115" s="4" t="str">
        <f>IF($A115="","",COUNTIFS('Yakıt Alım Kayıt'!$D$5:$D$1500,$A115,'Yakıt Alım Kayıt'!$C$5:$C$1500,$E$4))</f>
        <v/>
      </c>
      <c r="F115" s="9" t="str">
        <f>IF(OR($A115="",$C115=0,$C115=""),"",$D115/$C115)</f>
        <v/>
      </c>
    </row>
    <row r="116" spans="1:6">
      <c r="A116" s="4" t="str">
        <f>IF('Araç Tanımlama'!A114="","",IF('Araç Tanımlama'!D114=$B$4,'Araç Tanımlama'!A114,""))</f>
        <v/>
      </c>
      <c r="B116" s="4" t="str">
        <f>IF($A116="","",'Araç Tanımlama'!E114)</f>
        <v/>
      </c>
      <c r="C116" s="4" t="str">
        <f>IF($A116="","",SUMIFS('Yakıt Alım Kayıt'!$G$5:$G$1500,'Yakıt Alım Kayıt'!$D$5:$D$1500,$A116,'Yakıt Alım Kayıt'!$C$5:$C$1500,$E$4))</f>
        <v/>
      </c>
      <c r="D116" s="9" t="str">
        <f>IF($A116="","",SUMIFS('Yakıt Alım Kayıt'!$I$5:$I$1500,'Yakıt Alım Kayıt'!$D$5:$D$1500,$A116,'Yakıt Alım Kayıt'!$C$5:$C$1500,$E$4))</f>
        <v/>
      </c>
      <c r="E116" s="4" t="str">
        <f>IF($A116="","",COUNTIFS('Yakıt Alım Kayıt'!$D$5:$D$1500,$A116,'Yakıt Alım Kayıt'!$C$5:$C$1500,$E$4))</f>
        <v/>
      </c>
      <c r="F116" s="9" t="str">
        <f>IF(OR($A116="",$C116=0,$C116=""),"",$D116/$C116)</f>
        <v/>
      </c>
    </row>
    <row r="117" spans="1:6">
      <c r="A117" s="4" t="str">
        <f>IF('Araç Tanımlama'!A115="","",IF('Araç Tanımlama'!D115=$B$4,'Araç Tanımlama'!A115,""))</f>
        <v/>
      </c>
      <c r="B117" s="4" t="str">
        <f>IF($A117="","",'Araç Tanımlama'!E115)</f>
        <v/>
      </c>
      <c r="C117" s="4" t="str">
        <f>IF($A117="","",SUMIFS('Yakıt Alım Kayıt'!$G$5:$G$1500,'Yakıt Alım Kayıt'!$D$5:$D$1500,$A117,'Yakıt Alım Kayıt'!$C$5:$C$1500,$E$4))</f>
        <v/>
      </c>
      <c r="D117" s="9" t="str">
        <f>IF($A117="","",SUMIFS('Yakıt Alım Kayıt'!$I$5:$I$1500,'Yakıt Alım Kayıt'!$D$5:$D$1500,$A117,'Yakıt Alım Kayıt'!$C$5:$C$1500,$E$4))</f>
        <v/>
      </c>
      <c r="E117" s="4" t="str">
        <f>IF($A117="","",COUNTIFS('Yakıt Alım Kayıt'!$D$5:$D$1500,$A117,'Yakıt Alım Kayıt'!$C$5:$C$1500,$E$4))</f>
        <v/>
      </c>
      <c r="F117" s="9" t="str">
        <f>IF(OR($A117="",$C117=0,$C117=""),"",$D117/$C117)</f>
        <v/>
      </c>
    </row>
    <row r="118" spans="1:6">
      <c r="A118" s="4" t="str">
        <f>IF('Araç Tanımlama'!A116="","",IF('Araç Tanımlama'!D116=$B$4,'Araç Tanımlama'!A116,""))</f>
        <v/>
      </c>
      <c r="B118" s="4" t="str">
        <f>IF($A118="","",'Araç Tanımlama'!E116)</f>
        <v/>
      </c>
      <c r="C118" s="4" t="str">
        <f>IF($A118="","",SUMIFS('Yakıt Alım Kayıt'!$G$5:$G$1500,'Yakıt Alım Kayıt'!$D$5:$D$1500,$A118,'Yakıt Alım Kayıt'!$C$5:$C$1500,$E$4))</f>
        <v/>
      </c>
      <c r="D118" s="9" t="str">
        <f>IF($A118="","",SUMIFS('Yakıt Alım Kayıt'!$I$5:$I$1500,'Yakıt Alım Kayıt'!$D$5:$D$1500,$A118,'Yakıt Alım Kayıt'!$C$5:$C$1500,$E$4))</f>
        <v/>
      </c>
      <c r="E118" s="4" t="str">
        <f>IF($A118="","",COUNTIFS('Yakıt Alım Kayıt'!$D$5:$D$1500,$A118,'Yakıt Alım Kayıt'!$C$5:$C$1500,$E$4))</f>
        <v/>
      </c>
      <c r="F118" s="9" t="str">
        <f>IF(OR($A118="",$C118=0,$C118=""),"",$D118/$C118)</f>
        <v/>
      </c>
    </row>
    <row r="119" spans="1:6">
      <c r="A119" s="4" t="str">
        <f>IF('Araç Tanımlama'!A117="","",IF('Araç Tanımlama'!D117=$B$4,'Araç Tanımlama'!A117,""))</f>
        <v/>
      </c>
      <c r="B119" s="4" t="str">
        <f>IF($A119="","",'Araç Tanımlama'!E117)</f>
        <v/>
      </c>
      <c r="C119" s="4" t="str">
        <f>IF($A119="","",SUMIFS('Yakıt Alım Kayıt'!$G$5:$G$1500,'Yakıt Alım Kayıt'!$D$5:$D$1500,$A119,'Yakıt Alım Kayıt'!$C$5:$C$1500,$E$4))</f>
        <v/>
      </c>
      <c r="D119" s="9" t="str">
        <f>IF($A119="","",SUMIFS('Yakıt Alım Kayıt'!$I$5:$I$1500,'Yakıt Alım Kayıt'!$D$5:$D$1500,$A119,'Yakıt Alım Kayıt'!$C$5:$C$1500,$E$4))</f>
        <v/>
      </c>
      <c r="E119" s="4" t="str">
        <f>IF($A119="","",COUNTIFS('Yakıt Alım Kayıt'!$D$5:$D$1500,$A119,'Yakıt Alım Kayıt'!$C$5:$C$1500,$E$4))</f>
        <v/>
      </c>
      <c r="F119" s="9" t="str">
        <f>IF(OR($A119="",$C119=0,$C119=""),"",$D119/$C119)</f>
        <v/>
      </c>
    </row>
    <row r="120" spans="1:6">
      <c r="A120" s="4" t="str">
        <f>IF('Araç Tanımlama'!A118="","",IF('Araç Tanımlama'!D118=$B$4,'Araç Tanımlama'!A118,""))</f>
        <v/>
      </c>
      <c r="B120" s="4" t="str">
        <f>IF($A120="","",'Araç Tanımlama'!E118)</f>
        <v/>
      </c>
      <c r="C120" s="4" t="str">
        <f>IF($A120="","",SUMIFS('Yakıt Alım Kayıt'!$G$5:$G$1500,'Yakıt Alım Kayıt'!$D$5:$D$1500,$A120,'Yakıt Alım Kayıt'!$C$5:$C$1500,$E$4))</f>
        <v/>
      </c>
      <c r="D120" s="9" t="str">
        <f>IF($A120="","",SUMIFS('Yakıt Alım Kayıt'!$I$5:$I$1500,'Yakıt Alım Kayıt'!$D$5:$D$1500,$A120,'Yakıt Alım Kayıt'!$C$5:$C$1500,$E$4))</f>
        <v/>
      </c>
      <c r="E120" s="4" t="str">
        <f>IF($A120="","",COUNTIFS('Yakıt Alım Kayıt'!$D$5:$D$1500,$A120,'Yakıt Alım Kayıt'!$C$5:$C$1500,$E$4))</f>
        <v/>
      </c>
      <c r="F120" s="9" t="str">
        <f>IF(OR($A120="",$C120=0,$C120=""),"",$D120/$C120)</f>
        <v/>
      </c>
    </row>
    <row r="121" spans="1:6">
      <c r="A121" s="4" t="str">
        <f>IF('Araç Tanımlama'!A119="","",IF('Araç Tanımlama'!D119=$B$4,'Araç Tanımlama'!A119,""))</f>
        <v/>
      </c>
      <c r="B121" s="4" t="str">
        <f>IF($A121="","",'Araç Tanımlama'!E119)</f>
        <v/>
      </c>
      <c r="C121" s="4" t="str">
        <f>IF($A121="","",SUMIFS('Yakıt Alım Kayıt'!$G$5:$G$1500,'Yakıt Alım Kayıt'!$D$5:$D$1500,$A121,'Yakıt Alım Kayıt'!$C$5:$C$1500,$E$4))</f>
        <v/>
      </c>
      <c r="D121" s="9" t="str">
        <f>IF($A121="","",SUMIFS('Yakıt Alım Kayıt'!$I$5:$I$1500,'Yakıt Alım Kayıt'!$D$5:$D$1500,$A121,'Yakıt Alım Kayıt'!$C$5:$C$1500,$E$4))</f>
        <v/>
      </c>
      <c r="E121" s="4" t="str">
        <f>IF($A121="","",COUNTIFS('Yakıt Alım Kayıt'!$D$5:$D$1500,$A121,'Yakıt Alım Kayıt'!$C$5:$C$1500,$E$4))</f>
        <v/>
      </c>
      <c r="F121" s="9" t="str">
        <f>IF(OR($A121="",$C121=0,$C121=""),"",$D121/$C121)</f>
        <v/>
      </c>
    </row>
    <row r="122" spans="1:6">
      <c r="A122" s="4" t="str">
        <f>IF('Araç Tanımlama'!A120="","",IF('Araç Tanımlama'!D120=$B$4,'Araç Tanımlama'!A120,""))</f>
        <v/>
      </c>
      <c r="B122" s="4" t="str">
        <f>IF($A122="","",'Araç Tanımlama'!E120)</f>
        <v/>
      </c>
      <c r="C122" s="4" t="str">
        <f>IF($A122="","",SUMIFS('Yakıt Alım Kayıt'!$G$5:$G$1500,'Yakıt Alım Kayıt'!$D$5:$D$1500,$A122,'Yakıt Alım Kayıt'!$C$5:$C$1500,$E$4))</f>
        <v/>
      </c>
      <c r="D122" s="9" t="str">
        <f>IF($A122="","",SUMIFS('Yakıt Alım Kayıt'!$I$5:$I$1500,'Yakıt Alım Kayıt'!$D$5:$D$1500,$A122,'Yakıt Alım Kayıt'!$C$5:$C$1500,$E$4))</f>
        <v/>
      </c>
      <c r="E122" s="4" t="str">
        <f>IF($A122="","",COUNTIFS('Yakıt Alım Kayıt'!$D$5:$D$1500,$A122,'Yakıt Alım Kayıt'!$C$5:$C$1500,$E$4))</f>
        <v/>
      </c>
      <c r="F122" s="9" t="str">
        <f>IF(OR($A122="",$C122=0,$C122=""),"",$D122/$C122)</f>
        <v/>
      </c>
    </row>
    <row r="123" spans="1:6">
      <c r="A123" s="4" t="str">
        <f>IF('Araç Tanımlama'!A121="","",IF('Araç Tanımlama'!D121=$B$4,'Araç Tanımlama'!A121,""))</f>
        <v/>
      </c>
      <c r="B123" s="4" t="str">
        <f>IF($A123="","",'Araç Tanımlama'!E121)</f>
        <v/>
      </c>
      <c r="C123" s="4" t="str">
        <f>IF($A123="","",SUMIFS('Yakıt Alım Kayıt'!$G$5:$G$1500,'Yakıt Alım Kayıt'!$D$5:$D$1500,$A123,'Yakıt Alım Kayıt'!$C$5:$C$1500,$E$4))</f>
        <v/>
      </c>
      <c r="D123" s="9" t="str">
        <f>IF($A123="","",SUMIFS('Yakıt Alım Kayıt'!$I$5:$I$1500,'Yakıt Alım Kayıt'!$D$5:$D$1500,$A123,'Yakıt Alım Kayıt'!$C$5:$C$1500,$E$4))</f>
        <v/>
      </c>
      <c r="E123" s="4" t="str">
        <f>IF($A123="","",COUNTIFS('Yakıt Alım Kayıt'!$D$5:$D$1500,$A123,'Yakıt Alım Kayıt'!$C$5:$C$1500,$E$4))</f>
        <v/>
      </c>
      <c r="F123" s="9" t="str">
        <f>IF(OR($A123="",$C123=0,$C123=""),"",$D123/$C123)</f>
        <v/>
      </c>
    </row>
    <row r="124" spans="1:6">
      <c r="A124" s="4" t="str">
        <f>IF('Araç Tanımlama'!A122="","",IF('Araç Tanımlama'!D122=$B$4,'Araç Tanımlama'!A122,""))</f>
        <v/>
      </c>
      <c r="B124" s="4" t="str">
        <f>IF($A124="","",'Araç Tanımlama'!E122)</f>
        <v/>
      </c>
      <c r="C124" s="4" t="str">
        <f>IF($A124="","",SUMIFS('Yakıt Alım Kayıt'!$G$5:$G$1500,'Yakıt Alım Kayıt'!$D$5:$D$1500,$A124,'Yakıt Alım Kayıt'!$C$5:$C$1500,$E$4))</f>
        <v/>
      </c>
      <c r="D124" s="9" t="str">
        <f>IF($A124="","",SUMIFS('Yakıt Alım Kayıt'!$I$5:$I$1500,'Yakıt Alım Kayıt'!$D$5:$D$1500,$A124,'Yakıt Alım Kayıt'!$C$5:$C$1500,$E$4))</f>
        <v/>
      </c>
      <c r="E124" s="4" t="str">
        <f>IF($A124="","",COUNTIFS('Yakıt Alım Kayıt'!$D$5:$D$1500,$A124,'Yakıt Alım Kayıt'!$C$5:$C$1500,$E$4))</f>
        <v/>
      </c>
      <c r="F124" s="9" t="str">
        <f>IF(OR($A124="",$C124=0,$C124=""),"",$D124/$C124)</f>
        <v/>
      </c>
    </row>
    <row r="125" spans="1:6">
      <c r="A125" s="4" t="str">
        <f>IF('Araç Tanımlama'!A123="","",IF('Araç Tanımlama'!D123=$B$4,'Araç Tanımlama'!A123,""))</f>
        <v/>
      </c>
      <c r="B125" s="4" t="str">
        <f>IF($A125="","",'Araç Tanımlama'!E123)</f>
        <v/>
      </c>
      <c r="C125" s="4" t="str">
        <f>IF($A125="","",SUMIFS('Yakıt Alım Kayıt'!$G$5:$G$1500,'Yakıt Alım Kayıt'!$D$5:$D$1500,$A125,'Yakıt Alım Kayıt'!$C$5:$C$1500,$E$4))</f>
        <v/>
      </c>
      <c r="D125" s="9" t="str">
        <f>IF($A125="","",SUMIFS('Yakıt Alım Kayıt'!$I$5:$I$1500,'Yakıt Alım Kayıt'!$D$5:$D$1500,$A125,'Yakıt Alım Kayıt'!$C$5:$C$1500,$E$4))</f>
        <v/>
      </c>
      <c r="E125" s="4" t="str">
        <f>IF($A125="","",COUNTIFS('Yakıt Alım Kayıt'!$D$5:$D$1500,$A125,'Yakıt Alım Kayıt'!$C$5:$C$1500,$E$4))</f>
        <v/>
      </c>
      <c r="F125" s="9" t="str">
        <f>IF(OR($A125="",$C125=0,$C125=""),"",$D125/$C125)</f>
        <v/>
      </c>
    </row>
    <row r="126" spans="1:6">
      <c r="A126" s="4" t="str">
        <f>IF('Araç Tanımlama'!A124="","",IF('Araç Tanımlama'!D124=$B$4,'Araç Tanımlama'!A124,""))</f>
        <v/>
      </c>
      <c r="B126" s="4" t="str">
        <f>IF($A126="","",'Araç Tanımlama'!E124)</f>
        <v/>
      </c>
      <c r="C126" s="4" t="str">
        <f>IF($A126="","",SUMIFS('Yakıt Alım Kayıt'!$G$5:$G$1500,'Yakıt Alım Kayıt'!$D$5:$D$1500,$A126,'Yakıt Alım Kayıt'!$C$5:$C$1500,$E$4))</f>
        <v/>
      </c>
      <c r="D126" s="9" t="str">
        <f>IF($A126="","",SUMIFS('Yakıt Alım Kayıt'!$I$5:$I$1500,'Yakıt Alım Kayıt'!$D$5:$D$1500,$A126,'Yakıt Alım Kayıt'!$C$5:$C$1500,$E$4))</f>
        <v/>
      </c>
      <c r="E126" s="4" t="str">
        <f>IF($A126="","",COUNTIFS('Yakıt Alım Kayıt'!$D$5:$D$1500,$A126,'Yakıt Alım Kayıt'!$C$5:$C$1500,$E$4))</f>
        <v/>
      </c>
      <c r="F126" s="9" t="str">
        <f>IF(OR($A126="",$C126=0,$C126=""),"",$D126/$C126)</f>
        <v/>
      </c>
    </row>
    <row r="127" spans="1:6">
      <c r="A127" s="4" t="str">
        <f>IF('Araç Tanımlama'!A125="","",IF('Araç Tanımlama'!D125=$B$4,'Araç Tanımlama'!A125,""))</f>
        <v/>
      </c>
      <c r="B127" s="4" t="str">
        <f>IF($A127="","",'Araç Tanımlama'!E125)</f>
        <v/>
      </c>
      <c r="C127" s="4" t="str">
        <f>IF($A127="","",SUMIFS('Yakıt Alım Kayıt'!$G$5:$G$1500,'Yakıt Alım Kayıt'!$D$5:$D$1500,$A127,'Yakıt Alım Kayıt'!$C$5:$C$1500,$E$4))</f>
        <v/>
      </c>
      <c r="D127" s="9" t="str">
        <f>IF($A127="","",SUMIFS('Yakıt Alım Kayıt'!$I$5:$I$1500,'Yakıt Alım Kayıt'!$D$5:$D$1500,$A127,'Yakıt Alım Kayıt'!$C$5:$C$1500,$E$4))</f>
        <v/>
      </c>
      <c r="E127" s="4" t="str">
        <f>IF($A127="","",COUNTIFS('Yakıt Alım Kayıt'!$D$5:$D$1500,$A127,'Yakıt Alım Kayıt'!$C$5:$C$1500,$E$4))</f>
        <v/>
      </c>
      <c r="F127" s="9" t="str">
        <f>IF(OR($A127="",$C127=0,$C127=""),"",$D127/$C127)</f>
        <v/>
      </c>
    </row>
    <row r="128" spans="1:6">
      <c r="A128" s="4" t="str">
        <f>IF('Araç Tanımlama'!A126="","",IF('Araç Tanımlama'!D126=$B$4,'Araç Tanımlama'!A126,""))</f>
        <v/>
      </c>
      <c r="B128" s="4" t="str">
        <f>IF($A128="","",'Araç Tanımlama'!E126)</f>
        <v/>
      </c>
      <c r="C128" s="4" t="str">
        <f>IF($A128="","",SUMIFS('Yakıt Alım Kayıt'!$G$5:$G$1500,'Yakıt Alım Kayıt'!$D$5:$D$1500,$A128,'Yakıt Alım Kayıt'!$C$5:$C$1500,$E$4))</f>
        <v/>
      </c>
      <c r="D128" s="9" t="str">
        <f>IF($A128="","",SUMIFS('Yakıt Alım Kayıt'!$I$5:$I$1500,'Yakıt Alım Kayıt'!$D$5:$D$1500,$A128,'Yakıt Alım Kayıt'!$C$5:$C$1500,$E$4))</f>
        <v/>
      </c>
      <c r="E128" s="4" t="str">
        <f>IF($A128="","",COUNTIFS('Yakıt Alım Kayıt'!$D$5:$D$1500,$A128,'Yakıt Alım Kayıt'!$C$5:$C$1500,$E$4))</f>
        <v/>
      </c>
      <c r="F128" s="9" t="str">
        <f>IF(OR($A128="",$C128=0,$C128=""),"",$D128/$C128)</f>
        <v/>
      </c>
    </row>
    <row r="129" spans="1:6">
      <c r="A129" s="4" t="str">
        <f>IF('Araç Tanımlama'!A127="","",IF('Araç Tanımlama'!D127=$B$4,'Araç Tanımlama'!A127,""))</f>
        <v/>
      </c>
      <c r="B129" s="4" t="str">
        <f>IF($A129="","",'Araç Tanımlama'!E127)</f>
        <v/>
      </c>
      <c r="C129" s="4" t="str">
        <f>IF($A129="","",SUMIFS('Yakıt Alım Kayıt'!$G$5:$G$1500,'Yakıt Alım Kayıt'!$D$5:$D$1500,$A129,'Yakıt Alım Kayıt'!$C$5:$C$1500,$E$4))</f>
        <v/>
      </c>
      <c r="D129" s="9" t="str">
        <f>IF($A129="","",SUMIFS('Yakıt Alım Kayıt'!$I$5:$I$1500,'Yakıt Alım Kayıt'!$D$5:$D$1500,$A129,'Yakıt Alım Kayıt'!$C$5:$C$1500,$E$4))</f>
        <v/>
      </c>
      <c r="E129" s="4" t="str">
        <f>IF($A129="","",COUNTIFS('Yakıt Alım Kayıt'!$D$5:$D$1500,$A129,'Yakıt Alım Kayıt'!$C$5:$C$1500,$E$4))</f>
        <v/>
      </c>
      <c r="F129" s="9" t="str">
        <f>IF(OR($A129="",$C129=0,$C129=""),"",$D129/$C129)</f>
        <v/>
      </c>
    </row>
    <row r="130" spans="1:6">
      <c r="A130" s="4" t="str">
        <f>IF('Araç Tanımlama'!A128="","",IF('Araç Tanımlama'!D128=$B$4,'Araç Tanımlama'!A128,""))</f>
        <v/>
      </c>
      <c r="B130" s="4" t="str">
        <f>IF($A130="","",'Araç Tanımlama'!E128)</f>
        <v/>
      </c>
      <c r="C130" s="4" t="str">
        <f>IF($A130="","",SUMIFS('Yakıt Alım Kayıt'!$G$5:$G$1500,'Yakıt Alım Kayıt'!$D$5:$D$1500,$A130,'Yakıt Alım Kayıt'!$C$5:$C$1500,$E$4))</f>
        <v/>
      </c>
      <c r="D130" s="9" t="str">
        <f>IF($A130="","",SUMIFS('Yakıt Alım Kayıt'!$I$5:$I$1500,'Yakıt Alım Kayıt'!$D$5:$D$1500,$A130,'Yakıt Alım Kayıt'!$C$5:$C$1500,$E$4))</f>
        <v/>
      </c>
      <c r="E130" s="4" t="str">
        <f>IF($A130="","",COUNTIFS('Yakıt Alım Kayıt'!$D$5:$D$1500,$A130,'Yakıt Alım Kayıt'!$C$5:$C$1500,$E$4))</f>
        <v/>
      </c>
      <c r="F130" s="9" t="str">
        <f>IF(OR($A130="",$C130=0,$C130=""),"",$D130/$C130)</f>
        <v/>
      </c>
    </row>
    <row r="131" spans="1:6">
      <c r="A131" s="4" t="str">
        <f>IF('Araç Tanımlama'!A129="","",IF('Araç Tanımlama'!D129=$B$4,'Araç Tanımlama'!A129,""))</f>
        <v/>
      </c>
      <c r="B131" s="4" t="str">
        <f>IF($A131="","",'Araç Tanımlama'!E129)</f>
        <v/>
      </c>
      <c r="C131" s="4" t="str">
        <f>IF($A131="","",SUMIFS('Yakıt Alım Kayıt'!$G$5:$G$1500,'Yakıt Alım Kayıt'!$D$5:$D$1500,$A131,'Yakıt Alım Kayıt'!$C$5:$C$1500,$E$4))</f>
        <v/>
      </c>
      <c r="D131" s="9" t="str">
        <f>IF($A131="","",SUMIFS('Yakıt Alım Kayıt'!$I$5:$I$1500,'Yakıt Alım Kayıt'!$D$5:$D$1500,$A131,'Yakıt Alım Kayıt'!$C$5:$C$1500,$E$4))</f>
        <v/>
      </c>
      <c r="E131" s="4" t="str">
        <f>IF($A131="","",COUNTIFS('Yakıt Alım Kayıt'!$D$5:$D$1500,$A131,'Yakıt Alım Kayıt'!$C$5:$C$1500,$E$4))</f>
        <v/>
      </c>
      <c r="F131" s="9" t="str">
        <f>IF(OR($A131="",$C131=0,$C131=""),"",$D131/$C131)</f>
        <v/>
      </c>
    </row>
    <row r="132" spans="1:6">
      <c r="A132" s="4" t="str">
        <f>IF('Araç Tanımlama'!A130="","",IF('Araç Tanımlama'!D130=$B$4,'Araç Tanımlama'!A130,""))</f>
        <v/>
      </c>
      <c r="B132" s="4" t="str">
        <f>IF($A132="","",'Araç Tanımlama'!E130)</f>
        <v/>
      </c>
      <c r="C132" s="4" t="str">
        <f>IF($A132="","",SUMIFS('Yakıt Alım Kayıt'!$G$5:$G$1500,'Yakıt Alım Kayıt'!$D$5:$D$1500,$A132,'Yakıt Alım Kayıt'!$C$5:$C$1500,$E$4))</f>
        <v/>
      </c>
      <c r="D132" s="9" t="str">
        <f>IF($A132="","",SUMIFS('Yakıt Alım Kayıt'!$I$5:$I$1500,'Yakıt Alım Kayıt'!$D$5:$D$1500,$A132,'Yakıt Alım Kayıt'!$C$5:$C$1500,$E$4))</f>
        <v/>
      </c>
      <c r="E132" s="4" t="str">
        <f>IF($A132="","",COUNTIFS('Yakıt Alım Kayıt'!$D$5:$D$1500,$A132,'Yakıt Alım Kayıt'!$C$5:$C$1500,$E$4))</f>
        <v/>
      </c>
      <c r="F132" s="9" t="str">
        <f>IF(OR($A132="",$C132=0,$C132=""),"",$D132/$C132)</f>
        <v/>
      </c>
    </row>
    <row r="133" spans="1:6">
      <c r="A133" s="4" t="str">
        <f>IF('Araç Tanımlama'!A131="","",IF('Araç Tanımlama'!D131=$B$4,'Araç Tanımlama'!A131,""))</f>
        <v/>
      </c>
      <c r="B133" s="4" t="str">
        <f>IF($A133="","",'Araç Tanımlama'!E131)</f>
        <v/>
      </c>
      <c r="C133" s="4" t="str">
        <f>IF($A133="","",SUMIFS('Yakıt Alım Kayıt'!$G$5:$G$1500,'Yakıt Alım Kayıt'!$D$5:$D$1500,$A133,'Yakıt Alım Kayıt'!$C$5:$C$1500,$E$4))</f>
        <v/>
      </c>
      <c r="D133" s="9" t="str">
        <f>IF($A133="","",SUMIFS('Yakıt Alım Kayıt'!$I$5:$I$1500,'Yakıt Alım Kayıt'!$D$5:$D$1500,$A133,'Yakıt Alım Kayıt'!$C$5:$C$1500,$E$4))</f>
        <v/>
      </c>
      <c r="E133" s="4" t="str">
        <f>IF($A133="","",COUNTIFS('Yakıt Alım Kayıt'!$D$5:$D$1500,$A133,'Yakıt Alım Kayıt'!$C$5:$C$1500,$E$4))</f>
        <v/>
      </c>
      <c r="F133" s="9" t="str">
        <f>IF(OR($A133="",$C133=0,$C133=""),"",$D133/$C133)</f>
        <v/>
      </c>
    </row>
    <row r="134" spans="1:6">
      <c r="A134" s="4" t="str">
        <f>IF('Araç Tanımlama'!A132="","",IF('Araç Tanımlama'!D132=$B$4,'Araç Tanımlama'!A132,""))</f>
        <v/>
      </c>
      <c r="B134" s="4" t="str">
        <f>IF($A134="","",'Araç Tanımlama'!E132)</f>
        <v/>
      </c>
      <c r="C134" s="4" t="str">
        <f>IF($A134="","",SUMIFS('Yakıt Alım Kayıt'!$G$5:$G$1500,'Yakıt Alım Kayıt'!$D$5:$D$1500,$A134,'Yakıt Alım Kayıt'!$C$5:$C$1500,$E$4))</f>
        <v/>
      </c>
      <c r="D134" s="9" t="str">
        <f>IF($A134="","",SUMIFS('Yakıt Alım Kayıt'!$I$5:$I$1500,'Yakıt Alım Kayıt'!$D$5:$D$1500,$A134,'Yakıt Alım Kayıt'!$C$5:$C$1500,$E$4))</f>
        <v/>
      </c>
      <c r="E134" s="4" t="str">
        <f>IF($A134="","",COUNTIFS('Yakıt Alım Kayıt'!$D$5:$D$1500,$A134,'Yakıt Alım Kayıt'!$C$5:$C$1500,$E$4))</f>
        <v/>
      </c>
      <c r="F134" s="9" t="str">
        <f>IF(OR($A134="",$C134=0,$C134=""),"",$D134/$C134)</f>
        <v/>
      </c>
    </row>
    <row r="135" spans="1:6">
      <c r="A135" s="4" t="str">
        <f>IF('Araç Tanımlama'!A133="","",IF('Araç Tanımlama'!D133=$B$4,'Araç Tanımlama'!A133,""))</f>
        <v/>
      </c>
      <c r="B135" s="4" t="str">
        <f>IF($A135="","",'Araç Tanımlama'!E133)</f>
        <v/>
      </c>
      <c r="C135" s="4" t="str">
        <f>IF($A135="","",SUMIFS('Yakıt Alım Kayıt'!$G$5:$G$1500,'Yakıt Alım Kayıt'!$D$5:$D$1500,$A135,'Yakıt Alım Kayıt'!$C$5:$C$1500,$E$4))</f>
        <v/>
      </c>
      <c r="D135" s="9" t="str">
        <f>IF($A135="","",SUMIFS('Yakıt Alım Kayıt'!$I$5:$I$1500,'Yakıt Alım Kayıt'!$D$5:$D$1500,$A135,'Yakıt Alım Kayıt'!$C$5:$C$1500,$E$4))</f>
        <v/>
      </c>
      <c r="E135" s="4" t="str">
        <f>IF($A135="","",COUNTIFS('Yakıt Alım Kayıt'!$D$5:$D$1500,$A135,'Yakıt Alım Kayıt'!$C$5:$C$1500,$E$4))</f>
        <v/>
      </c>
      <c r="F135" s="9" t="str">
        <f>IF(OR($A135="",$C135=0,$C135=""),"",$D135/$C135)</f>
        <v/>
      </c>
    </row>
    <row r="136" spans="1:6">
      <c r="A136" s="4" t="str">
        <f>IF('Araç Tanımlama'!A134="","",IF('Araç Tanımlama'!D134=$B$4,'Araç Tanımlama'!A134,""))</f>
        <v/>
      </c>
      <c r="B136" s="4" t="str">
        <f>IF($A136="","",'Araç Tanımlama'!E134)</f>
        <v/>
      </c>
      <c r="C136" s="4" t="str">
        <f>IF($A136="","",SUMIFS('Yakıt Alım Kayıt'!$G$5:$G$1500,'Yakıt Alım Kayıt'!$D$5:$D$1500,$A136,'Yakıt Alım Kayıt'!$C$5:$C$1500,$E$4))</f>
        <v/>
      </c>
      <c r="D136" s="9" t="str">
        <f>IF($A136="","",SUMIFS('Yakıt Alım Kayıt'!$I$5:$I$1500,'Yakıt Alım Kayıt'!$D$5:$D$1500,$A136,'Yakıt Alım Kayıt'!$C$5:$C$1500,$E$4))</f>
        <v/>
      </c>
      <c r="E136" s="4" t="str">
        <f>IF($A136="","",COUNTIFS('Yakıt Alım Kayıt'!$D$5:$D$1500,$A136,'Yakıt Alım Kayıt'!$C$5:$C$1500,$E$4))</f>
        <v/>
      </c>
      <c r="F136" s="9" t="str">
        <f>IF(OR($A136="",$C136=0,$C136=""),"",$D136/$C136)</f>
        <v/>
      </c>
    </row>
    <row r="137" spans="1:6">
      <c r="A137" s="4" t="str">
        <f>IF('Araç Tanımlama'!A135="","",IF('Araç Tanımlama'!D135=$B$4,'Araç Tanımlama'!A135,""))</f>
        <v/>
      </c>
      <c r="B137" s="4" t="str">
        <f>IF($A137="","",'Araç Tanımlama'!E135)</f>
        <v/>
      </c>
      <c r="C137" s="4" t="str">
        <f>IF($A137="","",SUMIFS('Yakıt Alım Kayıt'!$G$5:$G$1500,'Yakıt Alım Kayıt'!$D$5:$D$1500,$A137,'Yakıt Alım Kayıt'!$C$5:$C$1500,$E$4))</f>
        <v/>
      </c>
      <c r="D137" s="9" t="str">
        <f>IF($A137="","",SUMIFS('Yakıt Alım Kayıt'!$I$5:$I$1500,'Yakıt Alım Kayıt'!$D$5:$D$1500,$A137,'Yakıt Alım Kayıt'!$C$5:$C$1500,$E$4))</f>
        <v/>
      </c>
      <c r="E137" s="4" t="str">
        <f>IF($A137="","",COUNTIFS('Yakıt Alım Kayıt'!$D$5:$D$1500,$A137,'Yakıt Alım Kayıt'!$C$5:$C$1500,$E$4))</f>
        <v/>
      </c>
      <c r="F137" s="9" t="str">
        <f>IF(OR($A137="",$C137=0,$C137=""),"",$D137/$C137)</f>
        <v/>
      </c>
    </row>
    <row r="138" spans="1:6">
      <c r="A138" s="4" t="str">
        <f>IF('Araç Tanımlama'!A136="","",IF('Araç Tanımlama'!D136=$B$4,'Araç Tanımlama'!A136,""))</f>
        <v/>
      </c>
      <c r="B138" s="4" t="str">
        <f>IF($A138="","",'Araç Tanımlama'!E136)</f>
        <v/>
      </c>
      <c r="C138" s="4" t="str">
        <f>IF($A138="","",SUMIFS('Yakıt Alım Kayıt'!$G$5:$G$1500,'Yakıt Alım Kayıt'!$D$5:$D$1500,$A138,'Yakıt Alım Kayıt'!$C$5:$C$1500,$E$4))</f>
        <v/>
      </c>
      <c r="D138" s="9" t="str">
        <f>IF($A138="","",SUMIFS('Yakıt Alım Kayıt'!$I$5:$I$1500,'Yakıt Alım Kayıt'!$D$5:$D$1500,$A138,'Yakıt Alım Kayıt'!$C$5:$C$1500,$E$4))</f>
        <v/>
      </c>
      <c r="E138" s="4" t="str">
        <f>IF($A138="","",COUNTIFS('Yakıt Alım Kayıt'!$D$5:$D$1500,$A138,'Yakıt Alım Kayıt'!$C$5:$C$1500,$E$4))</f>
        <v/>
      </c>
      <c r="F138" s="9" t="str">
        <f>IF(OR($A138="",$C138=0,$C138=""),"",$D138/$C138)</f>
        <v/>
      </c>
    </row>
    <row r="139" spans="1:6">
      <c r="A139" s="4" t="str">
        <f>IF('Araç Tanımlama'!A137="","",IF('Araç Tanımlama'!D137=$B$4,'Araç Tanımlama'!A137,""))</f>
        <v/>
      </c>
      <c r="B139" s="4" t="str">
        <f>IF($A139="","",'Araç Tanımlama'!E137)</f>
        <v/>
      </c>
      <c r="C139" s="4" t="str">
        <f>IF($A139="","",SUMIFS('Yakıt Alım Kayıt'!$G$5:$G$1500,'Yakıt Alım Kayıt'!$D$5:$D$1500,$A139,'Yakıt Alım Kayıt'!$C$5:$C$1500,$E$4))</f>
        <v/>
      </c>
      <c r="D139" s="9" t="str">
        <f>IF($A139="","",SUMIFS('Yakıt Alım Kayıt'!$I$5:$I$1500,'Yakıt Alım Kayıt'!$D$5:$D$1500,$A139,'Yakıt Alım Kayıt'!$C$5:$C$1500,$E$4))</f>
        <v/>
      </c>
      <c r="E139" s="4" t="str">
        <f>IF($A139="","",COUNTIFS('Yakıt Alım Kayıt'!$D$5:$D$1500,$A139,'Yakıt Alım Kayıt'!$C$5:$C$1500,$E$4))</f>
        <v/>
      </c>
      <c r="F139" s="9" t="str">
        <f>IF(OR($A139="",$C139=0,$C139=""),"",$D139/$C139)</f>
        <v/>
      </c>
    </row>
    <row r="140" spans="1:6">
      <c r="A140" s="4" t="str">
        <f>IF('Araç Tanımlama'!A138="","",IF('Araç Tanımlama'!D138=$B$4,'Araç Tanımlama'!A138,""))</f>
        <v/>
      </c>
      <c r="B140" s="4" t="str">
        <f>IF($A140="","",'Araç Tanımlama'!E138)</f>
        <v/>
      </c>
      <c r="C140" s="4" t="str">
        <f>IF($A140="","",SUMIFS('Yakıt Alım Kayıt'!$G$5:$G$1500,'Yakıt Alım Kayıt'!$D$5:$D$1500,$A140,'Yakıt Alım Kayıt'!$C$5:$C$1500,$E$4))</f>
        <v/>
      </c>
      <c r="D140" s="9" t="str">
        <f>IF($A140="","",SUMIFS('Yakıt Alım Kayıt'!$I$5:$I$1500,'Yakıt Alım Kayıt'!$D$5:$D$1500,$A140,'Yakıt Alım Kayıt'!$C$5:$C$1500,$E$4))</f>
        <v/>
      </c>
      <c r="E140" s="4" t="str">
        <f>IF($A140="","",COUNTIFS('Yakıt Alım Kayıt'!$D$5:$D$1500,$A140,'Yakıt Alım Kayıt'!$C$5:$C$1500,$E$4))</f>
        <v/>
      </c>
      <c r="F140" s="9" t="str">
        <f>IF(OR($A140="",$C140=0,$C140=""),"",$D140/$C140)</f>
        <v/>
      </c>
    </row>
    <row r="141" spans="1:6">
      <c r="A141" s="4" t="str">
        <f>IF('Araç Tanımlama'!A139="","",IF('Araç Tanımlama'!D139=$B$4,'Araç Tanımlama'!A139,""))</f>
        <v/>
      </c>
      <c r="B141" s="4" t="str">
        <f>IF($A141="","",'Araç Tanımlama'!E139)</f>
        <v/>
      </c>
      <c r="C141" s="4" t="str">
        <f>IF($A141="","",SUMIFS('Yakıt Alım Kayıt'!$G$5:$G$1500,'Yakıt Alım Kayıt'!$D$5:$D$1500,$A141,'Yakıt Alım Kayıt'!$C$5:$C$1500,$E$4))</f>
        <v/>
      </c>
      <c r="D141" s="9" t="str">
        <f>IF($A141="","",SUMIFS('Yakıt Alım Kayıt'!$I$5:$I$1500,'Yakıt Alım Kayıt'!$D$5:$D$1500,$A141,'Yakıt Alım Kayıt'!$C$5:$C$1500,$E$4))</f>
        <v/>
      </c>
      <c r="E141" s="4" t="str">
        <f>IF($A141="","",COUNTIFS('Yakıt Alım Kayıt'!$D$5:$D$1500,$A141,'Yakıt Alım Kayıt'!$C$5:$C$1500,$E$4))</f>
        <v/>
      </c>
      <c r="F141" s="9" t="str">
        <f>IF(OR($A141="",$C141=0,$C141=""),"",$D141/$C141)</f>
        <v/>
      </c>
    </row>
    <row r="142" spans="1:6">
      <c r="A142" s="4" t="str">
        <f>IF('Araç Tanımlama'!A140="","",IF('Araç Tanımlama'!D140=$B$4,'Araç Tanımlama'!A140,""))</f>
        <v/>
      </c>
      <c r="B142" s="4" t="str">
        <f>IF($A142="","",'Araç Tanımlama'!E140)</f>
        <v/>
      </c>
      <c r="C142" s="4" t="str">
        <f>IF($A142="","",SUMIFS('Yakıt Alım Kayıt'!$G$5:$G$1500,'Yakıt Alım Kayıt'!$D$5:$D$1500,$A142,'Yakıt Alım Kayıt'!$C$5:$C$1500,$E$4))</f>
        <v/>
      </c>
      <c r="D142" s="9" t="str">
        <f>IF($A142="","",SUMIFS('Yakıt Alım Kayıt'!$I$5:$I$1500,'Yakıt Alım Kayıt'!$D$5:$D$1500,$A142,'Yakıt Alım Kayıt'!$C$5:$C$1500,$E$4))</f>
        <v/>
      </c>
      <c r="E142" s="4" t="str">
        <f>IF($A142="","",COUNTIFS('Yakıt Alım Kayıt'!$D$5:$D$1500,$A142,'Yakıt Alım Kayıt'!$C$5:$C$1500,$E$4))</f>
        <v/>
      </c>
      <c r="F142" s="9" t="str">
        <f>IF(OR($A142="",$C142=0,$C142=""),"",$D142/$C142)</f>
        <v/>
      </c>
    </row>
    <row r="143" spans="1:6">
      <c r="A143" s="4" t="str">
        <f>IF('Araç Tanımlama'!A141="","",IF('Araç Tanımlama'!D141=$B$4,'Araç Tanımlama'!A141,""))</f>
        <v/>
      </c>
      <c r="B143" s="4" t="str">
        <f>IF($A143="","",'Araç Tanımlama'!E141)</f>
        <v/>
      </c>
      <c r="C143" s="4" t="str">
        <f>IF($A143="","",SUMIFS('Yakıt Alım Kayıt'!$G$5:$G$1500,'Yakıt Alım Kayıt'!$D$5:$D$1500,$A143,'Yakıt Alım Kayıt'!$C$5:$C$1500,$E$4))</f>
        <v/>
      </c>
      <c r="D143" s="9" t="str">
        <f>IF($A143="","",SUMIFS('Yakıt Alım Kayıt'!$I$5:$I$1500,'Yakıt Alım Kayıt'!$D$5:$D$1500,$A143,'Yakıt Alım Kayıt'!$C$5:$C$1500,$E$4))</f>
        <v/>
      </c>
      <c r="E143" s="4" t="str">
        <f>IF($A143="","",COUNTIFS('Yakıt Alım Kayıt'!$D$5:$D$1500,$A143,'Yakıt Alım Kayıt'!$C$5:$C$1500,$E$4))</f>
        <v/>
      </c>
      <c r="F143" s="9" t="str">
        <f>IF(OR($A143="",$C143=0,$C143=""),"",$D143/$C143)</f>
        <v/>
      </c>
    </row>
    <row r="144" spans="1:6">
      <c r="A144" s="4" t="str">
        <f>IF('Araç Tanımlama'!A142="","",IF('Araç Tanımlama'!D142=$B$4,'Araç Tanımlama'!A142,""))</f>
        <v/>
      </c>
      <c r="B144" s="4" t="str">
        <f>IF($A144="","",'Araç Tanımlama'!E142)</f>
        <v/>
      </c>
      <c r="C144" s="4" t="str">
        <f>IF($A144="","",SUMIFS('Yakıt Alım Kayıt'!$G$5:$G$1500,'Yakıt Alım Kayıt'!$D$5:$D$1500,$A144,'Yakıt Alım Kayıt'!$C$5:$C$1500,$E$4))</f>
        <v/>
      </c>
      <c r="D144" s="9" t="str">
        <f>IF($A144="","",SUMIFS('Yakıt Alım Kayıt'!$I$5:$I$1500,'Yakıt Alım Kayıt'!$D$5:$D$1500,$A144,'Yakıt Alım Kayıt'!$C$5:$C$1500,$E$4))</f>
        <v/>
      </c>
      <c r="E144" s="4" t="str">
        <f>IF($A144="","",COUNTIFS('Yakıt Alım Kayıt'!$D$5:$D$1500,$A144,'Yakıt Alım Kayıt'!$C$5:$C$1500,$E$4))</f>
        <v/>
      </c>
      <c r="F144" s="9" t="str">
        <f>IF(OR($A144="",$C144=0,$C144=""),"",$D144/$C144)</f>
        <v/>
      </c>
    </row>
    <row r="145" spans="1:6">
      <c r="A145" s="4" t="str">
        <f>IF('Araç Tanımlama'!A143="","",IF('Araç Tanımlama'!D143=$B$4,'Araç Tanımlama'!A143,""))</f>
        <v/>
      </c>
      <c r="B145" s="4" t="str">
        <f>IF($A145="","",'Araç Tanımlama'!E143)</f>
        <v/>
      </c>
      <c r="C145" s="4" t="str">
        <f>IF($A145="","",SUMIFS('Yakıt Alım Kayıt'!$G$5:$G$1500,'Yakıt Alım Kayıt'!$D$5:$D$1500,$A145,'Yakıt Alım Kayıt'!$C$5:$C$1500,$E$4))</f>
        <v/>
      </c>
      <c r="D145" s="9" t="str">
        <f>IF($A145="","",SUMIFS('Yakıt Alım Kayıt'!$I$5:$I$1500,'Yakıt Alım Kayıt'!$D$5:$D$1500,$A145,'Yakıt Alım Kayıt'!$C$5:$C$1500,$E$4))</f>
        <v/>
      </c>
      <c r="E145" s="4" t="str">
        <f>IF($A145="","",COUNTIFS('Yakıt Alım Kayıt'!$D$5:$D$1500,$A145,'Yakıt Alım Kayıt'!$C$5:$C$1500,$E$4))</f>
        <v/>
      </c>
      <c r="F145" s="9" t="str">
        <f>IF(OR($A145="",$C145=0,$C145=""),"",$D145/$C145)</f>
        <v/>
      </c>
    </row>
    <row r="146" spans="1:6">
      <c r="A146" s="4" t="str">
        <f>IF('Araç Tanımlama'!A144="","",IF('Araç Tanımlama'!D144=$B$4,'Araç Tanımlama'!A144,""))</f>
        <v/>
      </c>
      <c r="B146" s="4" t="str">
        <f>IF($A146="","",'Araç Tanımlama'!E144)</f>
        <v/>
      </c>
      <c r="C146" s="4" t="str">
        <f>IF($A146="","",SUMIFS('Yakıt Alım Kayıt'!$G$5:$G$1500,'Yakıt Alım Kayıt'!$D$5:$D$1500,$A146,'Yakıt Alım Kayıt'!$C$5:$C$1500,$E$4))</f>
        <v/>
      </c>
      <c r="D146" s="9" t="str">
        <f>IF($A146="","",SUMIFS('Yakıt Alım Kayıt'!$I$5:$I$1500,'Yakıt Alım Kayıt'!$D$5:$D$1500,$A146,'Yakıt Alım Kayıt'!$C$5:$C$1500,$E$4))</f>
        <v/>
      </c>
      <c r="E146" s="4" t="str">
        <f>IF($A146="","",COUNTIFS('Yakıt Alım Kayıt'!$D$5:$D$1500,$A146,'Yakıt Alım Kayıt'!$C$5:$C$1500,$E$4))</f>
        <v/>
      </c>
      <c r="F146" s="9" t="str">
        <f>IF(OR($A146="",$C146=0,$C146=""),"",$D146/$C146)</f>
        <v/>
      </c>
    </row>
    <row r="147" spans="1:6">
      <c r="A147" s="4" t="str">
        <f>IF('Araç Tanımlama'!A145="","",IF('Araç Tanımlama'!D145=$B$4,'Araç Tanımlama'!A145,""))</f>
        <v/>
      </c>
      <c r="B147" s="4" t="str">
        <f>IF($A147="","",'Araç Tanımlama'!E145)</f>
        <v/>
      </c>
      <c r="C147" s="4" t="str">
        <f>IF($A147="","",SUMIFS('Yakıt Alım Kayıt'!$G$5:$G$1500,'Yakıt Alım Kayıt'!$D$5:$D$1500,$A147,'Yakıt Alım Kayıt'!$C$5:$C$1500,$E$4))</f>
        <v/>
      </c>
      <c r="D147" s="9" t="str">
        <f>IF($A147="","",SUMIFS('Yakıt Alım Kayıt'!$I$5:$I$1500,'Yakıt Alım Kayıt'!$D$5:$D$1500,$A147,'Yakıt Alım Kayıt'!$C$5:$C$1500,$E$4))</f>
        <v/>
      </c>
      <c r="E147" s="4" t="str">
        <f>IF($A147="","",COUNTIFS('Yakıt Alım Kayıt'!$D$5:$D$1500,$A147,'Yakıt Alım Kayıt'!$C$5:$C$1500,$E$4))</f>
        <v/>
      </c>
      <c r="F147" s="9" t="str">
        <f>IF(OR($A147="",$C147=0,$C147=""),"",$D147/$C147)</f>
        <v/>
      </c>
    </row>
    <row r="148" spans="1:6">
      <c r="A148" s="4" t="str">
        <f>IF('Araç Tanımlama'!A146="","",IF('Araç Tanımlama'!D146=$B$4,'Araç Tanımlama'!A146,""))</f>
        <v/>
      </c>
      <c r="B148" s="4" t="str">
        <f>IF($A148="","",'Araç Tanımlama'!E146)</f>
        <v/>
      </c>
      <c r="C148" s="4" t="str">
        <f>IF($A148="","",SUMIFS('Yakıt Alım Kayıt'!$G$5:$G$1500,'Yakıt Alım Kayıt'!$D$5:$D$1500,$A148,'Yakıt Alım Kayıt'!$C$5:$C$1500,$E$4))</f>
        <v/>
      </c>
      <c r="D148" s="9" t="str">
        <f>IF($A148="","",SUMIFS('Yakıt Alım Kayıt'!$I$5:$I$1500,'Yakıt Alım Kayıt'!$D$5:$D$1500,$A148,'Yakıt Alım Kayıt'!$C$5:$C$1500,$E$4))</f>
        <v/>
      </c>
      <c r="E148" s="4" t="str">
        <f>IF($A148="","",COUNTIFS('Yakıt Alım Kayıt'!$D$5:$D$1500,$A148,'Yakıt Alım Kayıt'!$C$5:$C$1500,$E$4))</f>
        <v/>
      </c>
      <c r="F148" s="9" t="str">
        <f>IF(OR($A148="",$C148=0,$C148=""),"",$D148/$C148)</f>
        <v/>
      </c>
    </row>
    <row r="149" spans="1:6">
      <c r="A149" s="4" t="str">
        <f>IF('Araç Tanımlama'!A147="","",IF('Araç Tanımlama'!D147=$B$4,'Araç Tanımlama'!A147,""))</f>
        <v/>
      </c>
      <c r="B149" s="4" t="str">
        <f>IF($A149="","",'Araç Tanımlama'!E147)</f>
        <v/>
      </c>
      <c r="C149" s="4" t="str">
        <f>IF($A149="","",SUMIFS('Yakıt Alım Kayıt'!$G$5:$G$1500,'Yakıt Alım Kayıt'!$D$5:$D$1500,$A149,'Yakıt Alım Kayıt'!$C$5:$C$1500,$E$4))</f>
        <v/>
      </c>
      <c r="D149" s="9" t="str">
        <f>IF($A149="","",SUMIFS('Yakıt Alım Kayıt'!$I$5:$I$1500,'Yakıt Alım Kayıt'!$D$5:$D$1500,$A149,'Yakıt Alım Kayıt'!$C$5:$C$1500,$E$4))</f>
        <v/>
      </c>
      <c r="E149" s="4" t="str">
        <f>IF($A149="","",COUNTIFS('Yakıt Alım Kayıt'!$D$5:$D$1500,$A149,'Yakıt Alım Kayıt'!$C$5:$C$1500,$E$4))</f>
        <v/>
      </c>
      <c r="F149" s="9" t="str">
        <f>IF(OR($A149="",$C149=0,$C149=""),"",$D149/$C149)</f>
        <v/>
      </c>
    </row>
    <row r="150" spans="1:6">
      <c r="A150" s="4" t="str">
        <f>IF('Araç Tanımlama'!A148="","",IF('Araç Tanımlama'!D148=$B$4,'Araç Tanımlama'!A148,""))</f>
        <v/>
      </c>
      <c r="B150" s="4" t="str">
        <f>IF($A150="","",'Araç Tanımlama'!E148)</f>
        <v/>
      </c>
      <c r="C150" s="4" t="str">
        <f>IF($A150="","",SUMIFS('Yakıt Alım Kayıt'!$G$5:$G$1500,'Yakıt Alım Kayıt'!$D$5:$D$1500,$A150,'Yakıt Alım Kayıt'!$C$5:$C$1500,$E$4))</f>
        <v/>
      </c>
      <c r="D150" s="9" t="str">
        <f>IF($A150="","",SUMIFS('Yakıt Alım Kayıt'!$I$5:$I$1500,'Yakıt Alım Kayıt'!$D$5:$D$1500,$A150,'Yakıt Alım Kayıt'!$C$5:$C$1500,$E$4))</f>
        <v/>
      </c>
      <c r="E150" s="4" t="str">
        <f>IF($A150="","",COUNTIFS('Yakıt Alım Kayıt'!$D$5:$D$1500,$A150,'Yakıt Alım Kayıt'!$C$5:$C$1500,$E$4))</f>
        <v/>
      </c>
      <c r="F150" s="9" t="str">
        <f>IF(OR($A150="",$C150=0,$C150=""),"",$D150/$C150)</f>
        <v/>
      </c>
    </row>
    <row r="151" spans="1:6">
      <c r="A151" s="4" t="str">
        <f>IF('Araç Tanımlama'!A149="","",IF('Araç Tanımlama'!D149=$B$4,'Araç Tanımlama'!A149,""))</f>
        <v/>
      </c>
      <c r="B151" s="4" t="str">
        <f>IF($A151="","",'Araç Tanımlama'!E149)</f>
        <v/>
      </c>
      <c r="C151" s="4" t="str">
        <f>IF($A151="","",SUMIFS('Yakıt Alım Kayıt'!$G$5:$G$1500,'Yakıt Alım Kayıt'!$D$5:$D$1500,$A151,'Yakıt Alım Kayıt'!$C$5:$C$1500,$E$4))</f>
        <v/>
      </c>
      <c r="D151" s="9" t="str">
        <f>IF($A151="","",SUMIFS('Yakıt Alım Kayıt'!$I$5:$I$1500,'Yakıt Alım Kayıt'!$D$5:$D$1500,$A151,'Yakıt Alım Kayıt'!$C$5:$C$1500,$E$4))</f>
        <v/>
      </c>
      <c r="E151" s="4" t="str">
        <f>IF($A151="","",COUNTIFS('Yakıt Alım Kayıt'!$D$5:$D$1500,$A151,'Yakıt Alım Kayıt'!$C$5:$C$1500,$E$4))</f>
        <v/>
      </c>
      <c r="F151" s="9" t="str">
        <f>IF(OR($A151="",$C151=0,$C151=""),"",$D151/$C151)</f>
        <v/>
      </c>
    </row>
    <row r="152" spans="1:6">
      <c r="A152" s="4" t="str">
        <f>IF('Araç Tanımlama'!A150="","",IF('Araç Tanımlama'!D150=$B$4,'Araç Tanımlama'!A150,""))</f>
        <v/>
      </c>
      <c r="B152" s="4" t="str">
        <f>IF($A152="","",'Araç Tanımlama'!E150)</f>
        <v/>
      </c>
      <c r="C152" s="4" t="str">
        <f>IF($A152="","",SUMIFS('Yakıt Alım Kayıt'!$G$5:$G$1500,'Yakıt Alım Kayıt'!$D$5:$D$1500,$A152,'Yakıt Alım Kayıt'!$C$5:$C$1500,$E$4))</f>
        <v/>
      </c>
      <c r="D152" s="9" t="str">
        <f>IF($A152="","",SUMIFS('Yakıt Alım Kayıt'!$I$5:$I$1500,'Yakıt Alım Kayıt'!$D$5:$D$1500,$A152,'Yakıt Alım Kayıt'!$C$5:$C$1500,$E$4))</f>
        <v/>
      </c>
      <c r="E152" s="4" t="str">
        <f>IF($A152="","",COUNTIFS('Yakıt Alım Kayıt'!$D$5:$D$1500,$A152,'Yakıt Alım Kayıt'!$C$5:$C$1500,$E$4))</f>
        <v/>
      </c>
      <c r="F152" s="9" t="str">
        <f>IF(OR($A152="",$C152=0,$C152=""),"",$D152/$C152)</f>
        <v/>
      </c>
    </row>
    <row r="153" spans="1:6">
      <c r="A153" s="4" t="str">
        <f>IF('Araç Tanımlama'!A151="","",IF('Araç Tanımlama'!D151=$B$4,'Araç Tanımlama'!A151,""))</f>
        <v/>
      </c>
      <c r="B153" s="4" t="str">
        <f>IF($A153="","",'Araç Tanımlama'!E151)</f>
        <v/>
      </c>
      <c r="C153" s="4" t="str">
        <f>IF($A153="","",SUMIFS('Yakıt Alım Kayıt'!$G$5:$G$1500,'Yakıt Alım Kayıt'!$D$5:$D$1500,$A153,'Yakıt Alım Kayıt'!$C$5:$C$1500,$E$4))</f>
        <v/>
      </c>
      <c r="D153" s="9" t="str">
        <f>IF($A153="","",SUMIFS('Yakıt Alım Kayıt'!$I$5:$I$1500,'Yakıt Alım Kayıt'!$D$5:$D$1500,$A153,'Yakıt Alım Kayıt'!$C$5:$C$1500,$E$4))</f>
        <v/>
      </c>
      <c r="E153" s="4" t="str">
        <f>IF($A153="","",COUNTIFS('Yakıt Alım Kayıt'!$D$5:$D$1500,$A153,'Yakıt Alım Kayıt'!$C$5:$C$1500,$E$4))</f>
        <v/>
      </c>
      <c r="F153" s="9" t="str">
        <f>IF(OR($A153="",$C153=0,$C153=""),"",$D153/$C153)</f>
        <v/>
      </c>
    </row>
    <row r="154" spans="1:6">
      <c r="A154" s="4" t="str">
        <f>IF('Araç Tanımlama'!A152="","",IF('Araç Tanımlama'!D152=$B$4,'Araç Tanımlama'!A152,""))</f>
        <v/>
      </c>
      <c r="B154" s="4" t="str">
        <f>IF($A154="","",'Araç Tanımlama'!E152)</f>
        <v/>
      </c>
      <c r="C154" s="4" t="str">
        <f>IF($A154="","",SUMIFS('Yakıt Alım Kayıt'!$G$5:$G$1500,'Yakıt Alım Kayıt'!$D$5:$D$1500,$A154,'Yakıt Alım Kayıt'!$C$5:$C$1500,$E$4))</f>
        <v/>
      </c>
      <c r="D154" s="9" t="str">
        <f>IF($A154="","",SUMIFS('Yakıt Alım Kayıt'!$I$5:$I$1500,'Yakıt Alım Kayıt'!$D$5:$D$1500,$A154,'Yakıt Alım Kayıt'!$C$5:$C$1500,$E$4))</f>
        <v/>
      </c>
      <c r="E154" s="4" t="str">
        <f>IF($A154="","",COUNTIFS('Yakıt Alım Kayıt'!$D$5:$D$1500,$A154,'Yakıt Alım Kayıt'!$C$5:$C$1500,$E$4))</f>
        <v/>
      </c>
      <c r="F154" s="9" t="str">
        <f>IF(OR($A154="",$C154=0,$C154=""),"",$D154/$C154)</f>
        <v/>
      </c>
    </row>
    <row r="155" spans="1:6">
      <c r="A155" s="4" t="str">
        <f>IF('Araç Tanımlama'!A153="","",IF('Araç Tanımlama'!D153=$B$4,'Araç Tanımlama'!A153,""))</f>
        <v/>
      </c>
      <c r="B155" s="4" t="str">
        <f>IF($A155="","",'Araç Tanımlama'!E153)</f>
        <v/>
      </c>
      <c r="C155" s="4" t="str">
        <f>IF($A155="","",SUMIFS('Yakıt Alım Kayıt'!$G$5:$G$1500,'Yakıt Alım Kayıt'!$D$5:$D$1500,$A155,'Yakıt Alım Kayıt'!$C$5:$C$1500,$E$4))</f>
        <v/>
      </c>
      <c r="D155" s="9" t="str">
        <f>IF($A155="","",SUMIFS('Yakıt Alım Kayıt'!$I$5:$I$1500,'Yakıt Alım Kayıt'!$D$5:$D$1500,$A155,'Yakıt Alım Kayıt'!$C$5:$C$1500,$E$4))</f>
        <v/>
      </c>
      <c r="E155" s="4" t="str">
        <f>IF($A155="","",COUNTIFS('Yakıt Alım Kayıt'!$D$5:$D$1500,$A155,'Yakıt Alım Kayıt'!$C$5:$C$1500,$E$4))</f>
        <v/>
      </c>
      <c r="F155" s="9" t="str">
        <f>IF(OR($A155="",$C155=0,$C155=""),"",$D155/$C155)</f>
        <v/>
      </c>
    </row>
    <row r="156" spans="1:6">
      <c r="A156" s="4" t="str">
        <f>IF('Araç Tanımlama'!A154="","",IF('Araç Tanımlama'!D154=$B$4,'Araç Tanımlama'!A154,""))</f>
        <v/>
      </c>
      <c r="B156" s="4" t="str">
        <f>IF($A156="","",'Araç Tanımlama'!E154)</f>
        <v/>
      </c>
      <c r="C156" s="4" t="str">
        <f>IF($A156="","",SUMIFS('Yakıt Alım Kayıt'!$G$5:$G$1500,'Yakıt Alım Kayıt'!$D$5:$D$1500,$A156,'Yakıt Alım Kayıt'!$C$5:$C$1500,$E$4))</f>
        <v/>
      </c>
      <c r="D156" s="9" t="str">
        <f>IF($A156="","",SUMIFS('Yakıt Alım Kayıt'!$I$5:$I$1500,'Yakıt Alım Kayıt'!$D$5:$D$1500,$A156,'Yakıt Alım Kayıt'!$C$5:$C$1500,$E$4))</f>
        <v/>
      </c>
      <c r="E156" s="4" t="str">
        <f>IF($A156="","",COUNTIFS('Yakıt Alım Kayıt'!$D$5:$D$1500,$A156,'Yakıt Alım Kayıt'!$C$5:$C$1500,$E$4))</f>
        <v/>
      </c>
      <c r="F156" s="9" t="str">
        <f>IF(OR($A156="",$C156=0,$C156=""),"",$D156/$C156)</f>
        <v/>
      </c>
    </row>
    <row r="157" spans="1:6">
      <c r="A157" s="4" t="str">
        <f>IF('Araç Tanımlama'!A155="","",IF('Araç Tanımlama'!D155=$B$4,'Araç Tanımlama'!A155,""))</f>
        <v/>
      </c>
      <c r="B157" s="4" t="str">
        <f>IF($A157="","",'Araç Tanımlama'!E155)</f>
        <v/>
      </c>
      <c r="C157" s="4" t="str">
        <f>IF($A157="","",SUMIFS('Yakıt Alım Kayıt'!$G$5:$G$1500,'Yakıt Alım Kayıt'!$D$5:$D$1500,$A157,'Yakıt Alım Kayıt'!$C$5:$C$1500,$E$4))</f>
        <v/>
      </c>
      <c r="D157" s="9" t="str">
        <f>IF($A157="","",SUMIFS('Yakıt Alım Kayıt'!$I$5:$I$1500,'Yakıt Alım Kayıt'!$D$5:$D$1500,$A157,'Yakıt Alım Kayıt'!$C$5:$C$1500,$E$4))</f>
        <v/>
      </c>
      <c r="E157" s="4" t="str">
        <f>IF($A157="","",COUNTIFS('Yakıt Alım Kayıt'!$D$5:$D$1500,$A157,'Yakıt Alım Kayıt'!$C$5:$C$1500,$E$4))</f>
        <v/>
      </c>
      <c r="F157" s="9" t="str">
        <f>IF(OR($A157="",$C157=0,$C157=""),"",$D157/$C157)</f>
        <v/>
      </c>
    </row>
    <row r="158" spans="1:6">
      <c r="A158" s="4" t="str">
        <f>IF('Araç Tanımlama'!A156="","",IF('Araç Tanımlama'!D156=$B$4,'Araç Tanımlama'!A156,""))</f>
        <v/>
      </c>
      <c r="B158" s="4" t="str">
        <f>IF($A158="","",'Araç Tanımlama'!E156)</f>
        <v/>
      </c>
      <c r="C158" s="4" t="str">
        <f>IF($A158="","",SUMIFS('Yakıt Alım Kayıt'!$G$5:$G$1500,'Yakıt Alım Kayıt'!$D$5:$D$1500,$A158,'Yakıt Alım Kayıt'!$C$5:$C$1500,$E$4))</f>
        <v/>
      </c>
      <c r="D158" s="9" t="str">
        <f>IF($A158="","",SUMIFS('Yakıt Alım Kayıt'!$I$5:$I$1500,'Yakıt Alım Kayıt'!$D$5:$D$1500,$A158,'Yakıt Alım Kayıt'!$C$5:$C$1500,$E$4))</f>
        <v/>
      </c>
      <c r="E158" s="4" t="str">
        <f>IF($A158="","",COUNTIFS('Yakıt Alım Kayıt'!$D$5:$D$1500,$A158,'Yakıt Alım Kayıt'!$C$5:$C$1500,$E$4))</f>
        <v/>
      </c>
      <c r="F158" s="9" t="str">
        <f>IF(OR($A158="",$C158=0,$C158=""),"",$D158/$C158)</f>
        <v/>
      </c>
    </row>
    <row r="159" spans="1:6">
      <c r="A159" s="4" t="str">
        <f>IF('Araç Tanımlama'!A157="","",IF('Araç Tanımlama'!D157=$B$4,'Araç Tanımlama'!A157,""))</f>
        <v/>
      </c>
      <c r="B159" s="4" t="str">
        <f>IF($A159="","",'Araç Tanımlama'!E157)</f>
        <v/>
      </c>
      <c r="C159" s="4" t="str">
        <f>IF($A159="","",SUMIFS('Yakıt Alım Kayıt'!$G$5:$G$1500,'Yakıt Alım Kayıt'!$D$5:$D$1500,$A159,'Yakıt Alım Kayıt'!$C$5:$C$1500,$E$4))</f>
        <v/>
      </c>
      <c r="D159" s="9" t="str">
        <f>IF($A159="","",SUMIFS('Yakıt Alım Kayıt'!$I$5:$I$1500,'Yakıt Alım Kayıt'!$D$5:$D$1500,$A159,'Yakıt Alım Kayıt'!$C$5:$C$1500,$E$4))</f>
        <v/>
      </c>
      <c r="E159" s="4" t="str">
        <f>IF($A159="","",COUNTIFS('Yakıt Alım Kayıt'!$D$5:$D$1500,$A159,'Yakıt Alım Kayıt'!$C$5:$C$1500,$E$4))</f>
        <v/>
      </c>
      <c r="F159" s="9" t="str">
        <f>IF(OR($A159="",$C159=0,$C159=""),"",$D159/$C159)</f>
        <v/>
      </c>
    </row>
    <row r="160" spans="1:6">
      <c r="A160" s="4" t="str">
        <f>IF('Araç Tanımlama'!A158="","",IF('Araç Tanımlama'!D158=$B$4,'Araç Tanımlama'!A158,""))</f>
        <v/>
      </c>
      <c r="B160" s="4" t="str">
        <f>IF($A160="","",'Araç Tanımlama'!E158)</f>
        <v/>
      </c>
      <c r="C160" s="4" t="str">
        <f>IF($A160="","",SUMIFS('Yakıt Alım Kayıt'!$G$5:$G$1500,'Yakıt Alım Kayıt'!$D$5:$D$1500,$A160,'Yakıt Alım Kayıt'!$C$5:$C$1500,$E$4))</f>
        <v/>
      </c>
      <c r="D160" s="9" t="str">
        <f>IF($A160="","",SUMIFS('Yakıt Alım Kayıt'!$I$5:$I$1500,'Yakıt Alım Kayıt'!$D$5:$D$1500,$A160,'Yakıt Alım Kayıt'!$C$5:$C$1500,$E$4))</f>
        <v/>
      </c>
      <c r="E160" s="4" t="str">
        <f>IF($A160="","",COUNTIFS('Yakıt Alım Kayıt'!$D$5:$D$1500,$A160,'Yakıt Alım Kayıt'!$C$5:$C$1500,$E$4))</f>
        <v/>
      </c>
      <c r="F160" s="9" t="str">
        <f>IF(OR($A160="",$C160=0,$C160=""),"",$D160/$C160)</f>
        <v/>
      </c>
    </row>
    <row r="161" spans="1:6">
      <c r="A161" s="4" t="str">
        <f>IF('Araç Tanımlama'!A159="","",IF('Araç Tanımlama'!D159=$B$4,'Araç Tanımlama'!A159,""))</f>
        <v/>
      </c>
      <c r="B161" s="4" t="str">
        <f>IF($A161="","",'Araç Tanımlama'!E159)</f>
        <v/>
      </c>
      <c r="C161" s="4" t="str">
        <f>IF($A161="","",SUMIFS('Yakıt Alım Kayıt'!$G$5:$G$1500,'Yakıt Alım Kayıt'!$D$5:$D$1500,$A161,'Yakıt Alım Kayıt'!$C$5:$C$1500,$E$4))</f>
        <v/>
      </c>
      <c r="D161" s="9" t="str">
        <f>IF($A161="","",SUMIFS('Yakıt Alım Kayıt'!$I$5:$I$1500,'Yakıt Alım Kayıt'!$D$5:$D$1500,$A161,'Yakıt Alım Kayıt'!$C$5:$C$1500,$E$4))</f>
        <v/>
      </c>
      <c r="E161" s="4" t="str">
        <f>IF($A161="","",COUNTIFS('Yakıt Alım Kayıt'!$D$5:$D$1500,$A161,'Yakıt Alım Kayıt'!$C$5:$C$1500,$E$4))</f>
        <v/>
      </c>
      <c r="F161" s="9" t="str">
        <f>IF(OR($A161="",$C161=0,$C161=""),"",$D161/$C161)</f>
        <v/>
      </c>
    </row>
    <row r="162" spans="1:6">
      <c r="A162" s="4" t="str">
        <f>IF('Araç Tanımlama'!A160="","",IF('Araç Tanımlama'!D160=$B$4,'Araç Tanımlama'!A160,""))</f>
        <v/>
      </c>
      <c r="B162" s="4" t="str">
        <f>IF($A162="","",'Araç Tanımlama'!E160)</f>
        <v/>
      </c>
      <c r="C162" s="4" t="str">
        <f>IF($A162="","",SUMIFS('Yakıt Alım Kayıt'!$G$5:$G$1500,'Yakıt Alım Kayıt'!$D$5:$D$1500,$A162,'Yakıt Alım Kayıt'!$C$5:$C$1500,$E$4))</f>
        <v/>
      </c>
      <c r="D162" s="9" t="str">
        <f>IF($A162="","",SUMIFS('Yakıt Alım Kayıt'!$I$5:$I$1500,'Yakıt Alım Kayıt'!$D$5:$D$1500,$A162,'Yakıt Alım Kayıt'!$C$5:$C$1500,$E$4))</f>
        <v/>
      </c>
      <c r="E162" s="4" t="str">
        <f>IF($A162="","",COUNTIFS('Yakıt Alım Kayıt'!$D$5:$D$1500,$A162,'Yakıt Alım Kayıt'!$C$5:$C$1500,$E$4))</f>
        <v/>
      </c>
      <c r="F162" s="9" t="str">
        <f>IF(OR($A162="",$C162=0,$C162=""),"",$D162/$C162)</f>
        <v/>
      </c>
    </row>
    <row r="163" spans="1:6">
      <c r="A163" s="4" t="str">
        <f>IF('Araç Tanımlama'!A161="","",IF('Araç Tanımlama'!D161=$B$4,'Araç Tanımlama'!A161,""))</f>
        <v/>
      </c>
      <c r="B163" s="4" t="str">
        <f>IF($A163="","",'Araç Tanımlama'!E161)</f>
        <v/>
      </c>
      <c r="C163" s="4" t="str">
        <f>IF($A163="","",SUMIFS('Yakıt Alım Kayıt'!$G$5:$G$1500,'Yakıt Alım Kayıt'!$D$5:$D$1500,$A163,'Yakıt Alım Kayıt'!$C$5:$C$1500,$E$4))</f>
        <v/>
      </c>
      <c r="D163" s="9" t="str">
        <f>IF($A163="","",SUMIFS('Yakıt Alım Kayıt'!$I$5:$I$1500,'Yakıt Alım Kayıt'!$D$5:$D$1500,$A163,'Yakıt Alım Kayıt'!$C$5:$C$1500,$E$4))</f>
        <v/>
      </c>
      <c r="E163" s="4" t="str">
        <f>IF($A163="","",COUNTIFS('Yakıt Alım Kayıt'!$D$5:$D$1500,$A163,'Yakıt Alım Kayıt'!$C$5:$C$1500,$E$4))</f>
        <v/>
      </c>
      <c r="F163" s="9" t="str">
        <f>IF(OR($A163="",$C163=0,$C163=""),"",$D163/$C163)</f>
        <v/>
      </c>
    </row>
    <row r="164" spans="1:6">
      <c r="A164" s="4" t="str">
        <f>IF('Araç Tanımlama'!A162="","",IF('Araç Tanımlama'!D162=$B$4,'Araç Tanımlama'!A162,""))</f>
        <v/>
      </c>
      <c r="B164" s="4" t="str">
        <f>IF($A164="","",'Araç Tanımlama'!E162)</f>
        <v/>
      </c>
      <c r="C164" s="4" t="str">
        <f>IF($A164="","",SUMIFS('Yakıt Alım Kayıt'!$G$5:$G$1500,'Yakıt Alım Kayıt'!$D$5:$D$1500,$A164,'Yakıt Alım Kayıt'!$C$5:$C$1500,$E$4))</f>
        <v/>
      </c>
      <c r="D164" s="9" t="str">
        <f>IF($A164="","",SUMIFS('Yakıt Alım Kayıt'!$I$5:$I$1500,'Yakıt Alım Kayıt'!$D$5:$D$1500,$A164,'Yakıt Alım Kayıt'!$C$5:$C$1500,$E$4))</f>
        <v/>
      </c>
      <c r="E164" s="4" t="str">
        <f>IF($A164="","",COUNTIFS('Yakıt Alım Kayıt'!$D$5:$D$1500,$A164,'Yakıt Alım Kayıt'!$C$5:$C$1500,$E$4))</f>
        <v/>
      </c>
      <c r="F164" s="9" t="str">
        <f>IF(OR($A164="",$C164=0,$C164=""),"",$D164/$C164)</f>
        <v/>
      </c>
    </row>
    <row r="165" spans="1:6">
      <c r="A165" s="4" t="str">
        <f>IF('Araç Tanımlama'!A163="","",IF('Araç Tanımlama'!D163=$B$4,'Araç Tanımlama'!A163,""))</f>
        <v/>
      </c>
      <c r="B165" s="4" t="str">
        <f>IF($A165="","",'Araç Tanımlama'!E163)</f>
        <v/>
      </c>
      <c r="C165" s="4" t="str">
        <f>IF($A165="","",SUMIFS('Yakıt Alım Kayıt'!$G$5:$G$1500,'Yakıt Alım Kayıt'!$D$5:$D$1500,$A165,'Yakıt Alım Kayıt'!$C$5:$C$1500,$E$4))</f>
        <v/>
      </c>
      <c r="D165" s="9" t="str">
        <f>IF($A165="","",SUMIFS('Yakıt Alım Kayıt'!$I$5:$I$1500,'Yakıt Alım Kayıt'!$D$5:$D$1500,$A165,'Yakıt Alım Kayıt'!$C$5:$C$1500,$E$4))</f>
        <v/>
      </c>
      <c r="E165" s="4" t="str">
        <f>IF($A165="","",COUNTIFS('Yakıt Alım Kayıt'!$D$5:$D$1500,$A165,'Yakıt Alım Kayıt'!$C$5:$C$1500,$E$4))</f>
        <v/>
      </c>
      <c r="F165" s="9" t="str">
        <f>IF(OR($A165="",$C165=0,$C165=""),"",$D165/$C165)</f>
        <v/>
      </c>
    </row>
    <row r="166" spans="1:6">
      <c r="A166" s="4" t="str">
        <f>IF('Araç Tanımlama'!A164="","",IF('Araç Tanımlama'!D164=$B$4,'Araç Tanımlama'!A164,""))</f>
        <v/>
      </c>
      <c r="B166" s="4" t="str">
        <f>IF($A166="","",'Araç Tanımlama'!E164)</f>
        <v/>
      </c>
      <c r="C166" s="4" t="str">
        <f>IF($A166="","",SUMIFS('Yakıt Alım Kayıt'!$G$5:$G$1500,'Yakıt Alım Kayıt'!$D$5:$D$1500,$A166,'Yakıt Alım Kayıt'!$C$5:$C$1500,$E$4))</f>
        <v/>
      </c>
      <c r="D166" s="9" t="str">
        <f>IF($A166="","",SUMIFS('Yakıt Alım Kayıt'!$I$5:$I$1500,'Yakıt Alım Kayıt'!$D$5:$D$1500,$A166,'Yakıt Alım Kayıt'!$C$5:$C$1500,$E$4))</f>
        <v/>
      </c>
      <c r="E166" s="4" t="str">
        <f>IF($A166="","",COUNTIFS('Yakıt Alım Kayıt'!$D$5:$D$1500,$A166,'Yakıt Alım Kayıt'!$C$5:$C$1500,$E$4))</f>
        <v/>
      </c>
      <c r="F166" s="9" t="str">
        <f>IF(OR($A166="",$C166=0,$C166=""),"",$D166/$C166)</f>
        <v/>
      </c>
    </row>
    <row r="167" spans="1:6">
      <c r="A167" s="4" t="str">
        <f>IF('Araç Tanımlama'!A165="","",IF('Araç Tanımlama'!D165=$B$4,'Araç Tanımlama'!A165,""))</f>
        <v/>
      </c>
      <c r="B167" s="4" t="str">
        <f>IF($A167="","",'Araç Tanımlama'!E165)</f>
        <v/>
      </c>
      <c r="C167" s="4" t="str">
        <f>IF($A167="","",SUMIFS('Yakıt Alım Kayıt'!$G$5:$G$1500,'Yakıt Alım Kayıt'!$D$5:$D$1500,$A167,'Yakıt Alım Kayıt'!$C$5:$C$1500,$E$4))</f>
        <v/>
      </c>
      <c r="D167" s="9" t="str">
        <f>IF($A167="","",SUMIFS('Yakıt Alım Kayıt'!$I$5:$I$1500,'Yakıt Alım Kayıt'!$D$5:$D$1500,$A167,'Yakıt Alım Kayıt'!$C$5:$C$1500,$E$4))</f>
        <v/>
      </c>
      <c r="E167" s="4" t="str">
        <f>IF($A167="","",COUNTIFS('Yakıt Alım Kayıt'!$D$5:$D$1500,$A167,'Yakıt Alım Kayıt'!$C$5:$C$1500,$E$4))</f>
        <v/>
      </c>
      <c r="F167" s="9" t="str">
        <f>IF(OR($A167="",$C167=0,$C167=""),"",$D167/$C167)</f>
        <v/>
      </c>
    </row>
    <row r="168" spans="1:6">
      <c r="A168" s="4" t="str">
        <f>IF('Araç Tanımlama'!A166="","",IF('Araç Tanımlama'!D166=$B$4,'Araç Tanımlama'!A166,""))</f>
        <v/>
      </c>
      <c r="B168" s="4" t="str">
        <f>IF($A168="","",'Araç Tanımlama'!E166)</f>
        <v/>
      </c>
      <c r="C168" s="4" t="str">
        <f>IF($A168="","",SUMIFS('Yakıt Alım Kayıt'!$G$5:$G$1500,'Yakıt Alım Kayıt'!$D$5:$D$1500,$A168,'Yakıt Alım Kayıt'!$C$5:$C$1500,$E$4))</f>
        <v/>
      </c>
      <c r="D168" s="9" t="str">
        <f>IF($A168="","",SUMIFS('Yakıt Alım Kayıt'!$I$5:$I$1500,'Yakıt Alım Kayıt'!$D$5:$D$1500,$A168,'Yakıt Alım Kayıt'!$C$5:$C$1500,$E$4))</f>
        <v/>
      </c>
      <c r="E168" s="4" t="str">
        <f>IF($A168="","",COUNTIFS('Yakıt Alım Kayıt'!$D$5:$D$1500,$A168,'Yakıt Alım Kayıt'!$C$5:$C$1500,$E$4))</f>
        <v/>
      </c>
      <c r="F168" s="9" t="str">
        <f>IF(OR($A168="",$C168=0,$C168=""),"",$D168/$C168)</f>
        <v/>
      </c>
    </row>
    <row r="169" spans="1:6">
      <c r="A169" s="4" t="str">
        <f>IF('Araç Tanımlama'!A167="","",IF('Araç Tanımlama'!D167=$B$4,'Araç Tanımlama'!A167,""))</f>
        <v/>
      </c>
      <c r="B169" s="4" t="str">
        <f>IF($A169="","",'Araç Tanımlama'!E167)</f>
        <v/>
      </c>
      <c r="C169" s="4" t="str">
        <f>IF($A169="","",SUMIFS('Yakıt Alım Kayıt'!$G$5:$G$1500,'Yakıt Alım Kayıt'!$D$5:$D$1500,$A169,'Yakıt Alım Kayıt'!$C$5:$C$1500,$E$4))</f>
        <v/>
      </c>
      <c r="D169" s="9" t="str">
        <f>IF($A169="","",SUMIFS('Yakıt Alım Kayıt'!$I$5:$I$1500,'Yakıt Alım Kayıt'!$D$5:$D$1500,$A169,'Yakıt Alım Kayıt'!$C$5:$C$1500,$E$4))</f>
        <v/>
      </c>
      <c r="E169" s="4" t="str">
        <f>IF($A169="","",COUNTIFS('Yakıt Alım Kayıt'!$D$5:$D$1500,$A169,'Yakıt Alım Kayıt'!$C$5:$C$1500,$E$4))</f>
        <v/>
      </c>
      <c r="F169" s="9" t="str">
        <f>IF(OR($A169="",$C169=0,$C169=""),"",$D169/$C169)</f>
        <v/>
      </c>
    </row>
    <row r="170" spans="1:6">
      <c r="A170" s="4" t="str">
        <f>IF('Araç Tanımlama'!A168="","",IF('Araç Tanımlama'!D168=$B$4,'Araç Tanımlama'!A168,""))</f>
        <v/>
      </c>
      <c r="B170" s="4" t="str">
        <f>IF($A170="","",'Araç Tanımlama'!E168)</f>
        <v/>
      </c>
      <c r="C170" s="4" t="str">
        <f>IF($A170="","",SUMIFS('Yakıt Alım Kayıt'!$G$5:$G$1500,'Yakıt Alım Kayıt'!$D$5:$D$1500,$A170,'Yakıt Alım Kayıt'!$C$5:$C$1500,$E$4))</f>
        <v/>
      </c>
      <c r="D170" s="9" t="str">
        <f>IF($A170="","",SUMIFS('Yakıt Alım Kayıt'!$I$5:$I$1500,'Yakıt Alım Kayıt'!$D$5:$D$1500,$A170,'Yakıt Alım Kayıt'!$C$5:$C$1500,$E$4))</f>
        <v/>
      </c>
      <c r="E170" s="4" t="str">
        <f>IF($A170="","",COUNTIFS('Yakıt Alım Kayıt'!$D$5:$D$1500,$A170,'Yakıt Alım Kayıt'!$C$5:$C$1500,$E$4))</f>
        <v/>
      </c>
      <c r="F170" s="9" t="str">
        <f>IF(OR($A170="",$C170=0,$C170=""),"",$D170/$C170)</f>
        <v/>
      </c>
    </row>
    <row r="171" spans="1:6">
      <c r="A171" s="4" t="str">
        <f>IF('Araç Tanımlama'!A169="","",IF('Araç Tanımlama'!D169=$B$4,'Araç Tanımlama'!A169,""))</f>
        <v/>
      </c>
      <c r="B171" s="4" t="str">
        <f>IF($A171="","",'Araç Tanımlama'!E169)</f>
        <v/>
      </c>
      <c r="C171" s="4" t="str">
        <f>IF($A171="","",SUMIFS('Yakıt Alım Kayıt'!$G$5:$G$1500,'Yakıt Alım Kayıt'!$D$5:$D$1500,$A171,'Yakıt Alım Kayıt'!$C$5:$C$1500,$E$4))</f>
        <v/>
      </c>
      <c r="D171" s="9" t="str">
        <f>IF($A171="","",SUMIFS('Yakıt Alım Kayıt'!$I$5:$I$1500,'Yakıt Alım Kayıt'!$D$5:$D$1500,$A171,'Yakıt Alım Kayıt'!$C$5:$C$1500,$E$4))</f>
        <v/>
      </c>
      <c r="E171" s="4" t="str">
        <f>IF($A171="","",COUNTIFS('Yakıt Alım Kayıt'!$D$5:$D$1500,$A171,'Yakıt Alım Kayıt'!$C$5:$C$1500,$E$4))</f>
        <v/>
      </c>
      <c r="F171" s="9" t="str">
        <f>IF(OR($A171="",$C171=0,$C171=""),"",$D171/$C171)</f>
        <v/>
      </c>
    </row>
    <row r="172" spans="1:6">
      <c r="A172" s="4" t="str">
        <f>IF('Araç Tanımlama'!A170="","",IF('Araç Tanımlama'!D170=$B$4,'Araç Tanımlama'!A170,""))</f>
        <v/>
      </c>
      <c r="B172" s="4" t="str">
        <f>IF($A172="","",'Araç Tanımlama'!E170)</f>
        <v/>
      </c>
      <c r="C172" s="4" t="str">
        <f>IF($A172="","",SUMIFS('Yakıt Alım Kayıt'!$G$5:$G$1500,'Yakıt Alım Kayıt'!$D$5:$D$1500,$A172,'Yakıt Alım Kayıt'!$C$5:$C$1500,$E$4))</f>
        <v/>
      </c>
      <c r="D172" s="9" t="str">
        <f>IF($A172="","",SUMIFS('Yakıt Alım Kayıt'!$I$5:$I$1500,'Yakıt Alım Kayıt'!$D$5:$D$1500,$A172,'Yakıt Alım Kayıt'!$C$5:$C$1500,$E$4))</f>
        <v/>
      </c>
      <c r="E172" s="4" t="str">
        <f>IF($A172="","",COUNTIFS('Yakıt Alım Kayıt'!$D$5:$D$1500,$A172,'Yakıt Alım Kayıt'!$C$5:$C$1500,$E$4))</f>
        <v/>
      </c>
      <c r="F172" s="9" t="str">
        <f>IF(OR($A172="",$C172=0,$C172=""),"",$D172/$C172)</f>
        <v/>
      </c>
    </row>
    <row r="173" spans="1:6">
      <c r="A173" s="4" t="str">
        <f>IF('Araç Tanımlama'!A171="","",IF('Araç Tanımlama'!D171=$B$4,'Araç Tanımlama'!A171,""))</f>
        <v/>
      </c>
      <c r="B173" s="4" t="str">
        <f>IF($A173="","",'Araç Tanımlama'!E171)</f>
        <v/>
      </c>
      <c r="C173" s="4" t="str">
        <f>IF($A173="","",SUMIFS('Yakıt Alım Kayıt'!$G$5:$G$1500,'Yakıt Alım Kayıt'!$D$5:$D$1500,$A173,'Yakıt Alım Kayıt'!$C$5:$C$1500,$E$4))</f>
        <v/>
      </c>
      <c r="D173" s="9" t="str">
        <f>IF($A173="","",SUMIFS('Yakıt Alım Kayıt'!$I$5:$I$1500,'Yakıt Alım Kayıt'!$D$5:$D$1500,$A173,'Yakıt Alım Kayıt'!$C$5:$C$1500,$E$4))</f>
        <v/>
      </c>
      <c r="E173" s="4" t="str">
        <f>IF($A173="","",COUNTIFS('Yakıt Alım Kayıt'!$D$5:$D$1500,$A173,'Yakıt Alım Kayıt'!$C$5:$C$1500,$E$4))</f>
        <v/>
      </c>
      <c r="F173" s="9" t="str">
        <f>IF(OR($A173="",$C173=0,$C173=""),"",$D173/$C173)</f>
        <v/>
      </c>
    </row>
    <row r="174" spans="1:6">
      <c r="A174" s="4" t="str">
        <f>IF('Araç Tanımlama'!A172="","",IF('Araç Tanımlama'!D172=$B$4,'Araç Tanımlama'!A172,""))</f>
        <v/>
      </c>
      <c r="B174" s="4" t="str">
        <f>IF($A174="","",'Araç Tanımlama'!E172)</f>
        <v/>
      </c>
      <c r="C174" s="4" t="str">
        <f>IF($A174="","",SUMIFS('Yakıt Alım Kayıt'!$G$5:$G$1500,'Yakıt Alım Kayıt'!$D$5:$D$1500,$A174,'Yakıt Alım Kayıt'!$C$5:$C$1500,$E$4))</f>
        <v/>
      </c>
      <c r="D174" s="9" t="str">
        <f>IF($A174="","",SUMIFS('Yakıt Alım Kayıt'!$I$5:$I$1500,'Yakıt Alım Kayıt'!$D$5:$D$1500,$A174,'Yakıt Alım Kayıt'!$C$5:$C$1500,$E$4))</f>
        <v/>
      </c>
      <c r="E174" s="4" t="str">
        <f>IF($A174="","",COUNTIFS('Yakıt Alım Kayıt'!$D$5:$D$1500,$A174,'Yakıt Alım Kayıt'!$C$5:$C$1500,$E$4))</f>
        <v/>
      </c>
      <c r="F174" s="9" t="str">
        <f>IF(OR($A174="",$C174=0,$C174=""),"",$D174/$C174)</f>
        <v/>
      </c>
    </row>
    <row r="175" spans="1:6">
      <c r="A175" s="4" t="str">
        <f>IF('Araç Tanımlama'!A173="","",IF('Araç Tanımlama'!D173=$B$4,'Araç Tanımlama'!A173,""))</f>
        <v/>
      </c>
      <c r="B175" s="4" t="str">
        <f>IF($A175="","",'Araç Tanımlama'!E173)</f>
        <v/>
      </c>
      <c r="C175" s="4" t="str">
        <f>IF($A175="","",SUMIFS('Yakıt Alım Kayıt'!$G$5:$G$1500,'Yakıt Alım Kayıt'!$D$5:$D$1500,$A175,'Yakıt Alım Kayıt'!$C$5:$C$1500,$E$4))</f>
        <v/>
      </c>
      <c r="D175" s="9" t="str">
        <f>IF($A175="","",SUMIFS('Yakıt Alım Kayıt'!$I$5:$I$1500,'Yakıt Alım Kayıt'!$D$5:$D$1500,$A175,'Yakıt Alım Kayıt'!$C$5:$C$1500,$E$4))</f>
        <v/>
      </c>
      <c r="E175" s="4" t="str">
        <f>IF($A175="","",COUNTIFS('Yakıt Alım Kayıt'!$D$5:$D$1500,$A175,'Yakıt Alım Kayıt'!$C$5:$C$1500,$E$4))</f>
        <v/>
      </c>
      <c r="F175" s="9" t="str">
        <f>IF(OR($A175="",$C175=0,$C175=""),"",$D175/$C175)</f>
        <v/>
      </c>
    </row>
    <row r="176" spans="1:6">
      <c r="A176" s="4" t="str">
        <f>IF('Araç Tanımlama'!A174="","",IF('Araç Tanımlama'!D174=$B$4,'Araç Tanımlama'!A174,""))</f>
        <v/>
      </c>
      <c r="B176" s="4" t="str">
        <f>IF($A176="","",'Araç Tanımlama'!E174)</f>
        <v/>
      </c>
      <c r="C176" s="4" t="str">
        <f>IF($A176="","",SUMIFS('Yakıt Alım Kayıt'!$G$5:$G$1500,'Yakıt Alım Kayıt'!$D$5:$D$1500,$A176,'Yakıt Alım Kayıt'!$C$5:$C$1500,$E$4))</f>
        <v/>
      </c>
      <c r="D176" s="9" t="str">
        <f>IF($A176="","",SUMIFS('Yakıt Alım Kayıt'!$I$5:$I$1500,'Yakıt Alım Kayıt'!$D$5:$D$1500,$A176,'Yakıt Alım Kayıt'!$C$5:$C$1500,$E$4))</f>
        <v/>
      </c>
      <c r="E176" s="4" t="str">
        <f>IF($A176="","",COUNTIFS('Yakıt Alım Kayıt'!$D$5:$D$1500,$A176,'Yakıt Alım Kayıt'!$C$5:$C$1500,$E$4))</f>
        <v/>
      </c>
      <c r="F176" s="9" t="str">
        <f>IF(OR($A176="",$C176=0,$C176=""),"",$D176/$C176)</f>
        <v/>
      </c>
    </row>
    <row r="177" spans="1:6">
      <c r="A177" s="4" t="str">
        <f>IF('Araç Tanımlama'!A175="","",IF('Araç Tanımlama'!D175=$B$4,'Araç Tanımlama'!A175,""))</f>
        <v/>
      </c>
      <c r="B177" s="4" t="str">
        <f>IF($A177="","",'Araç Tanımlama'!E175)</f>
        <v/>
      </c>
      <c r="C177" s="4" t="str">
        <f>IF($A177="","",SUMIFS('Yakıt Alım Kayıt'!$G$5:$G$1500,'Yakıt Alım Kayıt'!$D$5:$D$1500,$A177,'Yakıt Alım Kayıt'!$C$5:$C$1500,$E$4))</f>
        <v/>
      </c>
      <c r="D177" s="9" t="str">
        <f>IF($A177="","",SUMIFS('Yakıt Alım Kayıt'!$I$5:$I$1500,'Yakıt Alım Kayıt'!$D$5:$D$1500,$A177,'Yakıt Alım Kayıt'!$C$5:$C$1500,$E$4))</f>
        <v/>
      </c>
      <c r="E177" s="4" t="str">
        <f>IF($A177="","",COUNTIFS('Yakıt Alım Kayıt'!$D$5:$D$1500,$A177,'Yakıt Alım Kayıt'!$C$5:$C$1500,$E$4))</f>
        <v/>
      </c>
      <c r="F177" s="9" t="str">
        <f>IF(OR($A177="",$C177=0,$C177=""),"",$D177/$C177)</f>
        <v/>
      </c>
    </row>
    <row r="178" spans="1:6">
      <c r="A178" s="4" t="str">
        <f>IF('Araç Tanımlama'!A176="","",IF('Araç Tanımlama'!D176=$B$4,'Araç Tanımlama'!A176,""))</f>
        <v/>
      </c>
      <c r="B178" s="4" t="str">
        <f>IF($A178="","",'Araç Tanımlama'!E176)</f>
        <v/>
      </c>
      <c r="C178" s="4" t="str">
        <f>IF($A178="","",SUMIFS('Yakıt Alım Kayıt'!$G$5:$G$1500,'Yakıt Alım Kayıt'!$D$5:$D$1500,$A178,'Yakıt Alım Kayıt'!$C$5:$C$1500,$E$4))</f>
        <v/>
      </c>
      <c r="D178" s="9" t="str">
        <f>IF($A178="","",SUMIFS('Yakıt Alım Kayıt'!$I$5:$I$1500,'Yakıt Alım Kayıt'!$D$5:$D$1500,$A178,'Yakıt Alım Kayıt'!$C$5:$C$1500,$E$4))</f>
        <v/>
      </c>
      <c r="E178" s="4" t="str">
        <f>IF($A178="","",COUNTIFS('Yakıt Alım Kayıt'!$D$5:$D$1500,$A178,'Yakıt Alım Kayıt'!$C$5:$C$1500,$E$4))</f>
        <v/>
      </c>
      <c r="F178" s="9" t="str">
        <f>IF(OR($A178="",$C178=0,$C178=""),"",$D178/$C178)</f>
        <v/>
      </c>
    </row>
    <row r="179" spans="1:6">
      <c r="A179" s="4" t="str">
        <f>IF('Araç Tanımlama'!A177="","",IF('Araç Tanımlama'!D177=$B$4,'Araç Tanımlama'!A177,""))</f>
        <v/>
      </c>
      <c r="B179" s="4" t="str">
        <f>IF($A179="","",'Araç Tanımlama'!E177)</f>
        <v/>
      </c>
      <c r="C179" s="4" t="str">
        <f>IF($A179="","",SUMIFS('Yakıt Alım Kayıt'!$G$5:$G$1500,'Yakıt Alım Kayıt'!$D$5:$D$1500,$A179,'Yakıt Alım Kayıt'!$C$5:$C$1500,$E$4))</f>
        <v/>
      </c>
      <c r="D179" s="9" t="str">
        <f>IF($A179="","",SUMIFS('Yakıt Alım Kayıt'!$I$5:$I$1500,'Yakıt Alım Kayıt'!$D$5:$D$1500,$A179,'Yakıt Alım Kayıt'!$C$5:$C$1500,$E$4))</f>
        <v/>
      </c>
      <c r="E179" s="4" t="str">
        <f>IF($A179="","",COUNTIFS('Yakıt Alım Kayıt'!$D$5:$D$1500,$A179,'Yakıt Alım Kayıt'!$C$5:$C$1500,$E$4))</f>
        <v/>
      </c>
      <c r="F179" s="9" t="str">
        <f>IF(OR($A179="",$C179=0,$C179=""),"",$D179/$C179)</f>
        <v/>
      </c>
    </row>
    <row r="180" spans="1:6">
      <c r="A180" s="4" t="str">
        <f>IF('Araç Tanımlama'!A178="","",IF('Araç Tanımlama'!D178=$B$4,'Araç Tanımlama'!A178,""))</f>
        <v/>
      </c>
      <c r="B180" s="4" t="str">
        <f>IF($A180="","",'Araç Tanımlama'!E178)</f>
        <v/>
      </c>
      <c r="C180" s="4" t="str">
        <f>IF($A180="","",SUMIFS('Yakıt Alım Kayıt'!$G$5:$G$1500,'Yakıt Alım Kayıt'!$D$5:$D$1500,$A180,'Yakıt Alım Kayıt'!$C$5:$C$1500,$E$4))</f>
        <v/>
      </c>
      <c r="D180" s="9" t="str">
        <f>IF($A180="","",SUMIFS('Yakıt Alım Kayıt'!$I$5:$I$1500,'Yakıt Alım Kayıt'!$D$5:$D$1500,$A180,'Yakıt Alım Kayıt'!$C$5:$C$1500,$E$4))</f>
        <v/>
      </c>
      <c r="E180" s="4" t="str">
        <f>IF($A180="","",COUNTIFS('Yakıt Alım Kayıt'!$D$5:$D$1500,$A180,'Yakıt Alım Kayıt'!$C$5:$C$1500,$E$4))</f>
        <v/>
      </c>
      <c r="F180" s="9" t="str">
        <f>IF(OR($A180="",$C180=0,$C180=""),"",$D180/$C180)</f>
        <v/>
      </c>
    </row>
    <row r="181" spans="1:6">
      <c r="A181" s="4" t="str">
        <f>IF('Araç Tanımlama'!A179="","",IF('Araç Tanımlama'!D179=$B$4,'Araç Tanımlama'!A179,""))</f>
        <v/>
      </c>
      <c r="B181" s="4" t="str">
        <f>IF($A181="","",'Araç Tanımlama'!E179)</f>
        <v/>
      </c>
      <c r="C181" s="4" t="str">
        <f>IF($A181="","",SUMIFS('Yakıt Alım Kayıt'!$G$5:$G$1500,'Yakıt Alım Kayıt'!$D$5:$D$1500,$A181,'Yakıt Alım Kayıt'!$C$5:$C$1500,$E$4))</f>
        <v/>
      </c>
      <c r="D181" s="9" t="str">
        <f>IF($A181="","",SUMIFS('Yakıt Alım Kayıt'!$I$5:$I$1500,'Yakıt Alım Kayıt'!$D$5:$D$1500,$A181,'Yakıt Alım Kayıt'!$C$5:$C$1500,$E$4))</f>
        <v/>
      </c>
      <c r="E181" s="4" t="str">
        <f>IF($A181="","",COUNTIFS('Yakıt Alım Kayıt'!$D$5:$D$1500,$A181,'Yakıt Alım Kayıt'!$C$5:$C$1500,$E$4))</f>
        <v/>
      </c>
      <c r="F181" s="9" t="str">
        <f>IF(OR($A181="",$C181=0,$C181=""),"",$D181/$C181)</f>
        <v/>
      </c>
    </row>
    <row r="182" spans="1:6">
      <c r="A182" s="4" t="str">
        <f>IF('Araç Tanımlama'!A180="","",IF('Araç Tanımlama'!D180=$B$4,'Araç Tanımlama'!A180,""))</f>
        <v/>
      </c>
      <c r="B182" s="4" t="str">
        <f>IF($A182="","",'Araç Tanımlama'!E180)</f>
        <v/>
      </c>
      <c r="C182" s="4" t="str">
        <f>IF($A182="","",SUMIFS('Yakıt Alım Kayıt'!$G$5:$G$1500,'Yakıt Alım Kayıt'!$D$5:$D$1500,$A182,'Yakıt Alım Kayıt'!$C$5:$C$1500,$E$4))</f>
        <v/>
      </c>
      <c r="D182" s="9" t="str">
        <f>IF($A182="","",SUMIFS('Yakıt Alım Kayıt'!$I$5:$I$1500,'Yakıt Alım Kayıt'!$D$5:$D$1500,$A182,'Yakıt Alım Kayıt'!$C$5:$C$1500,$E$4))</f>
        <v/>
      </c>
      <c r="E182" s="4" t="str">
        <f>IF($A182="","",COUNTIFS('Yakıt Alım Kayıt'!$D$5:$D$1500,$A182,'Yakıt Alım Kayıt'!$C$5:$C$1500,$E$4))</f>
        <v/>
      </c>
      <c r="F182" s="9" t="str">
        <f>IF(OR($A182="",$C182=0,$C182=""),"",$D182/$C182)</f>
        <v/>
      </c>
    </row>
    <row r="183" spans="1:6">
      <c r="A183" s="4" t="str">
        <f>IF('Araç Tanımlama'!A181="","",IF('Araç Tanımlama'!D181=$B$4,'Araç Tanımlama'!A181,""))</f>
        <v/>
      </c>
      <c r="B183" s="4" t="str">
        <f>IF($A183="","",'Araç Tanımlama'!E181)</f>
        <v/>
      </c>
      <c r="C183" s="4" t="str">
        <f>IF($A183="","",SUMIFS('Yakıt Alım Kayıt'!$G$5:$G$1500,'Yakıt Alım Kayıt'!$D$5:$D$1500,$A183,'Yakıt Alım Kayıt'!$C$5:$C$1500,$E$4))</f>
        <v/>
      </c>
      <c r="D183" s="9" t="str">
        <f>IF($A183="","",SUMIFS('Yakıt Alım Kayıt'!$I$5:$I$1500,'Yakıt Alım Kayıt'!$D$5:$D$1500,$A183,'Yakıt Alım Kayıt'!$C$5:$C$1500,$E$4))</f>
        <v/>
      </c>
      <c r="E183" s="4" t="str">
        <f>IF($A183="","",COUNTIFS('Yakıt Alım Kayıt'!$D$5:$D$1500,$A183,'Yakıt Alım Kayıt'!$C$5:$C$1500,$E$4))</f>
        <v/>
      </c>
      <c r="F183" s="9" t="str">
        <f>IF(OR($A183="",$C183=0,$C183=""),"",$D183/$C183)</f>
        <v/>
      </c>
    </row>
    <row r="184" spans="1:6">
      <c r="A184" s="4" t="str">
        <f>IF('Araç Tanımlama'!A182="","",IF('Araç Tanımlama'!D182=$B$4,'Araç Tanımlama'!A182,""))</f>
        <v/>
      </c>
      <c r="B184" s="4" t="str">
        <f>IF($A184="","",'Araç Tanımlama'!E182)</f>
        <v/>
      </c>
      <c r="C184" s="4" t="str">
        <f>IF($A184="","",SUMIFS('Yakıt Alım Kayıt'!$G$5:$G$1500,'Yakıt Alım Kayıt'!$D$5:$D$1500,$A184,'Yakıt Alım Kayıt'!$C$5:$C$1500,$E$4))</f>
        <v/>
      </c>
      <c r="D184" s="9" t="str">
        <f>IF($A184="","",SUMIFS('Yakıt Alım Kayıt'!$I$5:$I$1500,'Yakıt Alım Kayıt'!$D$5:$D$1500,$A184,'Yakıt Alım Kayıt'!$C$5:$C$1500,$E$4))</f>
        <v/>
      </c>
      <c r="E184" s="4" t="str">
        <f>IF($A184="","",COUNTIFS('Yakıt Alım Kayıt'!$D$5:$D$1500,$A184,'Yakıt Alım Kayıt'!$C$5:$C$1500,$E$4))</f>
        <v/>
      </c>
      <c r="F184" s="9" t="str">
        <f>IF(OR($A184="",$C184=0,$C184=""),"",$D184/$C184)</f>
        <v/>
      </c>
    </row>
    <row r="185" spans="1:6">
      <c r="A185" s="4" t="str">
        <f>IF('Araç Tanımlama'!A183="","",IF('Araç Tanımlama'!D183=$B$4,'Araç Tanımlama'!A183,""))</f>
        <v/>
      </c>
      <c r="B185" s="4" t="str">
        <f>IF($A185="","",'Araç Tanımlama'!E183)</f>
        <v/>
      </c>
      <c r="C185" s="4" t="str">
        <f>IF($A185="","",SUMIFS('Yakıt Alım Kayıt'!$G$5:$G$1500,'Yakıt Alım Kayıt'!$D$5:$D$1500,$A185,'Yakıt Alım Kayıt'!$C$5:$C$1500,$E$4))</f>
        <v/>
      </c>
      <c r="D185" s="9" t="str">
        <f>IF($A185="","",SUMIFS('Yakıt Alım Kayıt'!$I$5:$I$1500,'Yakıt Alım Kayıt'!$D$5:$D$1500,$A185,'Yakıt Alım Kayıt'!$C$5:$C$1500,$E$4))</f>
        <v/>
      </c>
      <c r="E185" s="4" t="str">
        <f>IF($A185="","",COUNTIFS('Yakıt Alım Kayıt'!$D$5:$D$1500,$A185,'Yakıt Alım Kayıt'!$C$5:$C$1500,$E$4))</f>
        <v/>
      </c>
      <c r="F185" s="9" t="str">
        <f>IF(OR($A185="",$C185=0,$C185=""),"",$D185/$C185)</f>
        <v/>
      </c>
    </row>
    <row r="186" spans="1:6">
      <c r="A186" s="4" t="str">
        <f>IF('Araç Tanımlama'!A184="","",IF('Araç Tanımlama'!D184=$B$4,'Araç Tanımlama'!A184,""))</f>
        <v/>
      </c>
      <c r="B186" s="4" t="str">
        <f>IF($A186="","",'Araç Tanımlama'!E184)</f>
        <v/>
      </c>
      <c r="C186" s="4" t="str">
        <f>IF($A186="","",SUMIFS('Yakıt Alım Kayıt'!$G$5:$G$1500,'Yakıt Alım Kayıt'!$D$5:$D$1500,$A186,'Yakıt Alım Kayıt'!$C$5:$C$1500,$E$4))</f>
        <v/>
      </c>
      <c r="D186" s="9" t="str">
        <f>IF($A186="","",SUMIFS('Yakıt Alım Kayıt'!$I$5:$I$1500,'Yakıt Alım Kayıt'!$D$5:$D$1500,$A186,'Yakıt Alım Kayıt'!$C$5:$C$1500,$E$4))</f>
        <v/>
      </c>
      <c r="E186" s="4" t="str">
        <f>IF($A186="","",COUNTIFS('Yakıt Alım Kayıt'!$D$5:$D$1500,$A186,'Yakıt Alım Kayıt'!$C$5:$C$1500,$E$4))</f>
        <v/>
      </c>
      <c r="F186" s="9" t="str">
        <f>IF(OR($A186="",$C186=0,$C186=""),"",$D186/$C186)</f>
        <v/>
      </c>
    </row>
    <row r="187" spans="1:6">
      <c r="A187" s="4" t="str">
        <f>IF('Araç Tanımlama'!A185="","",IF('Araç Tanımlama'!D185=$B$4,'Araç Tanımlama'!A185,""))</f>
        <v/>
      </c>
      <c r="B187" s="4" t="str">
        <f>IF($A187="","",'Araç Tanımlama'!E185)</f>
        <v/>
      </c>
      <c r="C187" s="4" t="str">
        <f>IF($A187="","",SUMIFS('Yakıt Alım Kayıt'!$G$5:$G$1500,'Yakıt Alım Kayıt'!$D$5:$D$1500,$A187,'Yakıt Alım Kayıt'!$C$5:$C$1500,$E$4))</f>
        <v/>
      </c>
      <c r="D187" s="9" t="str">
        <f>IF($A187="","",SUMIFS('Yakıt Alım Kayıt'!$I$5:$I$1500,'Yakıt Alım Kayıt'!$D$5:$D$1500,$A187,'Yakıt Alım Kayıt'!$C$5:$C$1500,$E$4))</f>
        <v/>
      </c>
      <c r="E187" s="4" t="str">
        <f>IF($A187="","",COUNTIFS('Yakıt Alım Kayıt'!$D$5:$D$1500,$A187,'Yakıt Alım Kayıt'!$C$5:$C$1500,$E$4))</f>
        <v/>
      </c>
      <c r="F187" s="9" t="str">
        <f>IF(OR($A187="",$C187=0,$C187=""),"",$D187/$C187)</f>
        <v/>
      </c>
    </row>
    <row r="188" spans="1:6">
      <c r="A188" s="4" t="str">
        <f>IF('Araç Tanımlama'!A186="","",IF('Araç Tanımlama'!D186=$B$4,'Araç Tanımlama'!A186,""))</f>
        <v/>
      </c>
      <c r="B188" s="4" t="str">
        <f>IF($A188="","",'Araç Tanımlama'!E186)</f>
        <v/>
      </c>
      <c r="C188" s="4" t="str">
        <f>IF($A188="","",SUMIFS('Yakıt Alım Kayıt'!$G$5:$G$1500,'Yakıt Alım Kayıt'!$D$5:$D$1500,$A188,'Yakıt Alım Kayıt'!$C$5:$C$1500,$E$4))</f>
        <v/>
      </c>
      <c r="D188" s="9" t="str">
        <f>IF($A188="","",SUMIFS('Yakıt Alım Kayıt'!$I$5:$I$1500,'Yakıt Alım Kayıt'!$D$5:$D$1500,$A188,'Yakıt Alım Kayıt'!$C$5:$C$1500,$E$4))</f>
        <v/>
      </c>
      <c r="E188" s="4" t="str">
        <f>IF($A188="","",COUNTIFS('Yakıt Alım Kayıt'!$D$5:$D$1500,$A188,'Yakıt Alım Kayıt'!$C$5:$C$1500,$E$4))</f>
        <v/>
      </c>
      <c r="F188" s="9" t="str">
        <f>IF(OR($A188="",$C188=0,$C188=""),"",$D188/$C188)</f>
        <v/>
      </c>
    </row>
    <row r="189" spans="1:6">
      <c r="A189" s="4" t="str">
        <f>IF('Araç Tanımlama'!A187="","",IF('Araç Tanımlama'!D187=$B$4,'Araç Tanımlama'!A187,""))</f>
        <v/>
      </c>
      <c r="B189" s="4" t="str">
        <f>IF($A189="","",'Araç Tanımlama'!E187)</f>
        <v/>
      </c>
      <c r="C189" s="4" t="str">
        <f>IF($A189="","",SUMIFS('Yakıt Alım Kayıt'!$G$5:$G$1500,'Yakıt Alım Kayıt'!$D$5:$D$1500,$A189,'Yakıt Alım Kayıt'!$C$5:$C$1500,$E$4))</f>
        <v/>
      </c>
      <c r="D189" s="9" t="str">
        <f>IF($A189="","",SUMIFS('Yakıt Alım Kayıt'!$I$5:$I$1500,'Yakıt Alım Kayıt'!$D$5:$D$1500,$A189,'Yakıt Alım Kayıt'!$C$5:$C$1500,$E$4))</f>
        <v/>
      </c>
      <c r="E189" s="4" t="str">
        <f>IF($A189="","",COUNTIFS('Yakıt Alım Kayıt'!$D$5:$D$1500,$A189,'Yakıt Alım Kayıt'!$C$5:$C$1500,$E$4))</f>
        <v/>
      </c>
      <c r="F189" s="9" t="str">
        <f>IF(OR($A189="",$C189=0,$C189=""),"",$D189/$C189)</f>
        <v/>
      </c>
    </row>
    <row r="190" spans="1:6">
      <c r="A190" s="4" t="str">
        <f>IF('Araç Tanımlama'!A188="","",IF('Araç Tanımlama'!D188=$B$4,'Araç Tanımlama'!A188,""))</f>
        <v/>
      </c>
      <c r="B190" s="4" t="str">
        <f>IF($A190="","",'Araç Tanımlama'!E188)</f>
        <v/>
      </c>
      <c r="C190" s="4" t="str">
        <f>IF($A190="","",SUMIFS('Yakıt Alım Kayıt'!$G$5:$G$1500,'Yakıt Alım Kayıt'!$D$5:$D$1500,$A190,'Yakıt Alım Kayıt'!$C$5:$C$1500,$E$4))</f>
        <v/>
      </c>
      <c r="D190" s="9" t="str">
        <f>IF($A190="","",SUMIFS('Yakıt Alım Kayıt'!$I$5:$I$1500,'Yakıt Alım Kayıt'!$D$5:$D$1500,$A190,'Yakıt Alım Kayıt'!$C$5:$C$1500,$E$4))</f>
        <v/>
      </c>
      <c r="E190" s="4" t="str">
        <f>IF($A190="","",COUNTIFS('Yakıt Alım Kayıt'!$D$5:$D$1500,$A190,'Yakıt Alım Kayıt'!$C$5:$C$1500,$E$4))</f>
        <v/>
      </c>
      <c r="F190" s="9" t="str">
        <f>IF(OR($A190="",$C190=0,$C190=""),"",$D190/$C190)</f>
        <v/>
      </c>
    </row>
    <row r="191" spans="1:6">
      <c r="A191" s="4" t="str">
        <f>IF('Araç Tanımlama'!A189="","",IF('Araç Tanımlama'!D189=$B$4,'Araç Tanımlama'!A189,""))</f>
        <v/>
      </c>
      <c r="B191" s="4" t="str">
        <f>IF($A191="","",'Araç Tanımlama'!E189)</f>
        <v/>
      </c>
      <c r="C191" s="4" t="str">
        <f>IF($A191="","",SUMIFS('Yakıt Alım Kayıt'!$G$5:$G$1500,'Yakıt Alım Kayıt'!$D$5:$D$1500,$A191,'Yakıt Alım Kayıt'!$C$5:$C$1500,$E$4))</f>
        <v/>
      </c>
      <c r="D191" s="9" t="str">
        <f>IF($A191="","",SUMIFS('Yakıt Alım Kayıt'!$I$5:$I$1500,'Yakıt Alım Kayıt'!$D$5:$D$1500,$A191,'Yakıt Alım Kayıt'!$C$5:$C$1500,$E$4))</f>
        <v/>
      </c>
      <c r="E191" s="4" t="str">
        <f>IF($A191="","",COUNTIFS('Yakıt Alım Kayıt'!$D$5:$D$1500,$A191,'Yakıt Alım Kayıt'!$C$5:$C$1500,$E$4))</f>
        <v/>
      </c>
      <c r="F191" s="9" t="str">
        <f>IF(OR($A191="",$C191=0,$C191=""),"",$D191/$C191)</f>
        <v/>
      </c>
    </row>
    <row r="192" spans="1:6">
      <c r="A192" s="4" t="str">
        <f>IF('Araç Tanımlama'!A190="","",IF('Araç Tanımlama'!D190=$B$4,'Araç Tanımlama'!A190,""))</f>
        <v/>
      </c>
      <c r="B192" s="4" t="str">
        <f>IF($A192="","",'Araç Tanımlama'!E190)</f>
        <v/>
      </c>
      <c r="C192" s="4" t="str">
        <f>IF($A192="","",SUMIFS('Yakıt Alım Kayıt'!$G$5:$G$1500,'Yakıt Alım Kayıt'!$D$5:$D$1500,$A192,'Yakıt Alım Kayıt'!$C$5:$C$1500,$E$4))</f>
        <v/>
      </c>
      <c r="D192" s="9" t="str">
        <f>IF($A192="","",SUMIFS('Yakıt Alım Kayıt'!$I$5:$I$1500,'Yakıt Alım Kayıt'!$D$5:$D$1500,$A192,'Yakıt Alım Kayıt'!$C$5:$C$1500,$E$4))</f>
        <v/>
      </c>
      <c r="E192" s="4" t="str">
        <f>IF($A192="","",COUNTIFS('Yakıt Alım Kayıt'!$D$5:$D$1500,$A192,'Yakıt Alım Kayıt'!$C$5:$C$1500,$E$4))</f>
        <v/>
      </c>
      <c r="F192" s="9" t="str">
        <f>IF(OR($A192="",$C192=0,$C192=""),"",$D192/$C192)</f>
        <v/>
      </c>
    </row>
    <row r="193" spans="1:6">
      <c r="A193" s="4" t="str">
        <f>IF('Araç Tanımlama'!A191="","",IF('Araç Tanımlama'!D191=$B$4,'Araç Tanımlama'!A191,""))</f>
        <v/>
      </c>
      <c r="B193" s="4" t="str">
        <f>IF($A193="","",'Araç Tanımlama'!E191)</f>
        <v/>
      </c>
      <c r="C193" s="4" t="str">
        <f>IF($A193="","",SUMIFS('Yakıt Alım Kayıt'!$G$5:$G$1500,'Yakıt Alım Kayıt'!$D$5:$D$1500,$A193,'Yakıt Alım Kayıt'!$C$5:$C$1500,$E$4))</f>
        <v/>
      </c>
      <c r="D193" s="9" t="str">
        <f>IF($A193="","",SUMIFS('Yakıt Alım Kayıt'!$I$5:$I$1500,'Yakıt Alım Kayıt'!$D$5:$D$1500,$A193,'Yakıt Alım Kayıt'!$C$5:$C$1500,$E$4))</f>
        <v/>
      </c>
      <c r="E193" s="4" t="str">
        <f>IF($A193="","",COUNTIFS('Yakıt Alım Kayıt'!$D$5:$D$1500,$A193,'Yakıt Alım Kayıt'!$C$5:$C$1500,$E$4))</f>
        <v/>
      </c>
      <c r="F193" s="9" t="str">
        <f>IF(OR($A193="",$C193=0,$C193=""),"",$D193/$C193)</f>
        <v/>
      </c>
    </row>
    <row r="194" spans="1:6">
      <c r="A194" s="4" t="str">
        <f>IF('Araç Tanımlama'!A192="","",IF('Araç Tanımlama'!D192=$B$4,'Araç Tanımlama'!A192,""))</f>
        <v/>
      </c>
      <c r="B194" s="4" t="str">
        <f>IF($A194="","",'Araç Tanımlama'!E192)</f>
        <v/>
      </c>
      <c r="C194" s="4" t="str">
        <f>IF($A194="","",SUMIFS('Yakıt Alım Kayıt'!$G$5:$G$1500,'Yakıt Alım Kayıt'!$D$5:$D$1500,$A194,'Yakıt Alım Kayıt'!$C$5:$C$1500,$E$4))</f>
        <v/>
      </c>
      <c r="D194" s="9" t="str">
        <f>IF($A194="","",SUMIFS('Yakıt Alım Kayıt'!$I$5:$I$1500,'Yakıt Alım Kayıt'!$D$5:$D$1500,$A194,'Yakıt Alım Kayıt'!$C$5:$C$1500,$E$4))</f>
        <v/>
      </c>
      <c r="E194" s="4" t="str">
        <f>IF($A194="","",COUNTIFS('Yakıt Alım Kayıt'!$D$5:$D$1500,$A194,'Yakıt Alım Kayıt'!$C$5:$C$1500,$E$4))</f>
        <v/>
      </c>
      <c r="F194" s="9" t="str">
        <f>IF(OR($A194="",$C194=0,$C194=""),"",$D194/$C194)</f>
        <v/>
      </c>
    </row>
    <row r="195" spans="1:6">
      <c r="A195" s="4" t="str">
        <f>IF('Araç Tanımlama'!A193="","",IF('Araç Tanımlama'!D193=$B$4,'Araç Tanımlama'!A193,""))</f>
        <v/>
      </c>
      <c r="B195" s="4" t="str">
        <f>IF($A195="","",'Araç Tanımlama'!E193)</f>
        <v/>
      </c>
      <c r="C195" s="4" t="str">
        <f>IF($A195="","",SUMIFS('Yakıt Alım Kayıt'!$G$5:$G$1500,'Yakıt Alım Kayıt'!$D$5:$D$1500,$A195,'Yakıt Alım Kayıt'!$C$5:$C$1500,$E$4))</f>
        <v/>
      </c>
      <c r="D195" s="9" t="str">
        <f>IF($A195="","",SUMIFS('Yakıt Alım Kayıt'!$I$5:$I$1500,'Yakıt Alım Kayıt'!$D$5:$D$1500,$A195,'Yakıt Alım Kayıt'!$C$5:$C$1500,$E$4))</f>
        <v/>
      </c>
      <c r="E195" s="4" t="str">
        <f>IF($A195="","",COUNTIFS('Yakıt Alım Kayıt'!$D$5:$D$1500,$A195,'Yakıt Alım Kayıt'!$C$5:$C$1500,$E$4))</f>
        <v/>
      </c>
      <c r="F195" s="9" t="str">
        <f>IF(OR($A195="",$C195=0,$C195=""),"",$D195/$C195)</f>
        <v/>
      </c>
    </row>
    <row r="196" spans="1:6">
      <c r="A196" s="4" t="str">
        <f>IF('Araç Tanımlama'!A194="","",IF('Araç Tanımlama'!D194=$B$4,'Araç Tanımlama'!A194,""))</f>
        <v/>
      </c>
      <c r="B196" s="4" t="str">
        <f>IF($A196="","",'Araç Tanımlama'!E194)</f>
        <v/>
      </c>
      <c r="C196" s="4" t="str">
        <f>IF($A196="","",SUMIFS('Yakıt Alım Kayıt'!$G$5:$G$1500,'Yakıt Alım Kayıt'!$D$5:$D$1500,$A196,'Yakıt Alım Kayıt'!$C$5:$C$1500,$E$4))</f>
        <v/>
      </c>
      <c r="D196" s="9" t="str">
        <f>IF($A196="","",SUMIFS('Yakıt Alım Kayıt'!$I$5:$I$1500,'Yakıt Alım Kayıt'!$D$5:$D$1500,$A196,'Yakıt Alım Kayıt'!$C$5:$C$1500,$E$4))</f>
        <v/>
      </c>
      <c r="E196" s="4" t="str">
        <f>IF($A196="","",COUNTIFS('Yakıt Alım Kayıt'!$D$5:$D$1500,$A196,'Yakıt Alım Kayıt'!$C$5:$C$1500,$E$4))</f>
        <v/>
      </c>
      <c r="F196" s="9" t="str">
        <f>IF(OR($A196="",$C196=0,$C196=""),"",$D196/$C196)</f>
        <v/>
      </c>
    </row>
    <row r="197" spans="1:6">
      <c r="A197" s="4" t="str">
        <f>IF('Araç Tanımlama'!A195="","",IF('Araç Tanımlama'!D195=$B$4,'Araç Tanımlama'!A195,""))</f>
        <v/>
      </c>
      <c r="B197" s="4" t="str">
        <f>IF($A197="","",'Araç Tanımlama'!E195)</f>
        <v/>
      </c>
      <c r="C197" s="4" t="str">
        <f>IF($A197="","",SUMIFS('Yakıt Alım Kayıt'!$G$5:$G$1500,'Yakıt Alım Kayıt'!$D$5:$D$1500,$A197,'Yakıt Alım Kayıt'!$C$5:$C$1500,$E$4))</f>
        <v/>
      </c>
      <c r="D197" s="9" t="str">
        <f>IF($A197="","",SUMIFS('Yakıt Alım Kayıt'!$I$5:$I$1500,'Yakıt Alım Kayıt'!$D$5:$D$1500,$A197,'Yakıt Alım Kayıt'!$C$5:$C$1500,$E$4))</f>
        <v/>
      </c>
      <c r="E197" s="4" t="str">
        <f>IF($A197="","",COUNTIFS('Yakıt Alım Kayıt'!$D$5:$D$1500,$A197,'Yakıt Alım Kayıt'!$C$5:$C$1500,$E$4))</f>
        <v/>
      </c>
      <c r="F197" s="9" t="str">
        <f>IF(OR($A197="",$C197=0,$C197=""),"",$D197/$C197)</f>
        <v/>
      </c>
    </row>
    <row r="198" spans="1:6">
      <c r="A198" s="4" t="str">
        <f>IF('Araç Tanımlama'!A196="","",IF('Araç Tanımlama'!D196=$B$4,'Araç Tanımlama'!A196,""))</f>
        <v/>
      </c>
      <c r="B198" s="4" t="str">
        <f>IF($A198="","",'Araç Tanımlama'!E196)</f>
        <v/>
      </c>
      <c r="C198" s="4" t="str">
        <f>IF($A198="","",SUMIFS('Yakıt Alım Kayıt'!$G$5:$G$1500,'Yakıt Alım Kayıt'!$D$5:$D$1500,$A198,'Yakıt Alım Kayıt'!$C$5:$C$1500,$E$4))</f>
        <v/>
      </c>
      <c r="D198" s="9" t="str">
        <f>IF($A198="","",SUMIFS('Yakıt Alım Kayıt'!$I$5:$I$1500,'Yakıt Alım Kayıt'!$D$5:$D$1500,$A198,'Yakıt Alım Kayıt'!$C$5:$C$1500,$E$4))</f>
        <v/>
      </c>
      <c r="E198" s="4" t="str">
        <f>IF($A198="","",COUNTIFS('Yakıt Alım Kayıt'!$D$5:$D$1500,$A198,'Yakıt Alım Kayıt'!$C$5:$C$1500,$E$4))</f>
        <v/>
      </c>
      <c r="F198" s="9" t="str">
        <f>IF(OR($A198="",$C198=0,$C198=""),"",$D198/$C198)</f>
        <v/>
      </c>
    </row>
    <row r="199" spans="1:6">
      <c r="A199" s="4" t="str">
        <f>IF('Araç Tanımlama'!A197="","",IF('Araç Tanımlama'!D197=$B$4,'Araç Tanımlama'!A197,""))</f>
        <v/>
      </c>
      <c r="B199" s="4" t="str">
        <f>IF($A199="","",'Araç Tanımlama'!E197)</f>
        <v/>
      </c>
      <c r="C199" s="4" t="str">
        <f>IF($A199="","",SUMIFS('Yakıt Alım Kayıt'!$G$5:$G$1500,'Yakıt Alım Kayıt'!$D$5:$D$1500,$A199,'Yakıt Alım Kayıt'!$C$5:$C$1500,$E$4))</f>
        <v/>
      </c>
      <c r="D199" s="9" t="str">
        <f>IF($A199="","",SUMIFS('Yakıt Alım Kayıt'!$I$5:$I$1500,'Yakıt Alım Kayıt'!$D$5:$D$1500,$A199,'Yakıt Alım Kayıt'!$C$5:$C$1500,$E$4))</f>
        <v/>
      </c>
      <c r="E199" s="4" t="str">
        <f>IF($A199="","",COUNTIFS('Yakıt Alım Kayıt'!$D$5:$D$1500,$A199,'Yakıt Alım Kayıt'!$C$5:$C$1500,$E$4))</f>
        <v/>
      </c>
      <c r="F199" s="9" t="str">
        <f>IF(OR($A199="",$C199=0,$C199=""),"",$D199/$C199)</f>
        <v/>
      </c>
    </row>
    <row r="200" spans="1:6">
      <c r="A200" s="4" t="str">
        <f>IF('Araç Tanımlama'!A198="","",IF('Araç Tanımlama'!D198=$B$4,'Araç Tanımlama'!A198,""))</f>
        <v/>
      </c>
      <c r="B200" s="4" t="str">
        <f>IF($A200="","",'Araç Tanımlama'!E198)</f>
        <v/>
      </c>
      <c r="C200" s="4" t="str">
        <f>IF($A200="","",SUMIFS('Yakıt Alım Kayıt'!$G$5:$G$1500,'Yakıt Alım Kayıt'!$D$5:$D$1500,$A200,'Yakıt Alım Kayıt'!$C$5:$C$1500,$E$4))</f>
        <v/>
      </c>
      <c r="D200" s="9" t="str">
        <f>IF($A200="","",SUMIFS('Yakıt Alım Kayıt'!$I$5:$I$1500,'Yakıt Alım Kayıt'!$D$5:$D$1500,$A200,'Yakıt Alım Kayıt'!$C$5:$C$1500,$E$4))</f>
        <v/>
      </c>
      <c r="E200" s="4" t="str">
        <f>IF($A200="","",COUNTIFS('Yakıt Alım Kayıt'!$D$5:$D$1500,$A200,'Yakıt Alım Kayıt'!$C$5:$C$1500,$E$4))</f>
        <v/>
      </c>
      <c r="F200" s="9" t="str">
        <f>IF(OR($A200="",$C200=0,$C200=""),"",$D200/$C200)</f>
        <v/>
      </c>
    </row>
    <row r="201" spans="1:6">
      <c r="A201" s="4" t="str">
        <f>IF('Araç Tanımlama'!A199="","",IF('Araç Tanımlama'!D199=$B$4,'Araç Tanımlama'!A199,""))</f>
        <v/>
      </c>
      <c r="B201" s="4" t="str">
        <f>IF($A201="","",'Araç Tanımlama'!E199)</f>
        <v/>
      </c>
      <c r="C201" s="4" t="str">
        <f>IF($A201="","",SUMIFS('Yakıt Alım Kayıt'!$G$5:$G$1500,'Yakıt Alım Kayıt'!$D$5:$D$1500,$A201,'Yakıt Alım Kayıt'!$C$5:$C$1500,$E$4))</f>
        <v/>
      </c>
      <c r="D201" s="9" t="str">
        <f>IF($A201="","",SUMIFS('Yakıt Alım Kayıt'!$I$5:$I$1500,'Yakıt Alım Kayıt'!$D$5:$D$1500,$A201,'Yakıt Alım Kayıt'!$C$5:$C$1500,$E$4))</f>
        <v/>
      </c>
      <c r="E201" s="4" t="str">
        <f>IF($A201="","",COUNTIFS('Yakıt Alım Kayıt'!$D$5:$D$1500,$A201,'Yakıt Alım Kayıt'!$C$5:$C$1500,$E$4))</f>
        <v/>
      </c>
      <c r="F201" s="9" t="str">
        <f>IF(OR($A201="",$C201=0,$C201=""),"",$D201/$C201)</f>
        <v/>
      </c>
    </row>
    <row r="202" spans="1:6">
      <c r="A202" s="4" t="str">
        <f>IF('Araç Tanımlama'!A200="","",IF('Araç Tanımlama'!D200=$B$4,'Araç Tanımlama'!A200,""))</f>
        <v/>
      </c>
      <c r="B202" s="4" t="str">
        <f>IF($A202="","",'Araç Tanımlama'!E200)</f>
        <v/>
      </c>
      <c r="C202" s="4" t="str">
        <f>IF($A202="","",SUMIFS('Yakıt Alım Kayıt'!$G$5:$G$1500,'Yakıt Alım Kayıt'!$D$5:$D$1500,$A202,'Yakıt Alım Kayıt'!$C$5:$C$1500,$E$4))</f>
        <v/>
      </c>
      <c r="D202" s="9" t="str">
        <f>IF($A202="","",SUMIFS('Yakıt Alım Kayıt'!$I$5:$I$1500,'Yakıt Alım Kayıt'!$D$5:$D$1500,$A202,'Yakıt Alım Kayıt'!$C$5:$C$1500,$E$4))</f>
        <v/>
      </c>
      <c r="E202" s="4" t="str">
        <f>IF($A202="","",COUNTIFS('Yakıt Alım Kayıt'!$D$5:$D$1500,$A202,'Yakıt Alım Kayıt'!$C$5:$C$1500,$E$4))</f>
        <v/>
      </c>
      <c r="F202" s="9" t="str">
        <f>IF(OR($A202="",$C202=0,$C202=""),"",$D202/$C202)</f>
        <v/>
      </c>
    </row>
    <row r="203" spans="1:6">
      <c r="A203" s="12" t="s">
        <v>44</v>
      </c>
      <c r="B203" s="13"/>
      <c r="C203" s="12">
        <f>SUM(C7:C202)</f>
        <v>0</v>
      </c>
      <c r="D203" s="14">
        <f>SUM(D7:D202)</f>
        <v>0</v>
      </c>
      <c r="E203" s="12">
        <f>SUM(E7:E202)</f>
        <v>0</v>
      </c>
      <c r="F203" s="13"/>
    </row>
    <row r="205" spans="1:6">
      <c r="A205" s="3" t="s">
        <v>45</v>
      </c>
    </row>
    <row r="206" spans="1:6">
      <c r="A206" s="3" t="s">
        <v>46</v>
      </c>
    </row>
    <row r="208" spans="1:6">
      <c r="A208" s="20" t="s">
        <v>47</v>
      </c>
      <c r="B208" s="20"/>
      <c r="C208" s="20" t="s">
        <v>48</v>
      </c>
      <c r="D208" s="20"/>
      <c r="E208" s="20" t="s">
        <v>49</v>
      </c>
      <c r="F208" s="20"/>
    </row>
    <row r="209" spans="1:6">
      <c r="A209" s="21"/>
      <c r="B209" s="21"/>
      <c r="C209" s="21"/>
      <c r="D209" s="21"/>
      <c r="E209" s="21"/>
      <c r="F209" s="21"/>
    </row>
    <row r="210" spans="1:6">
      <c r="A210" s="21"/>
      <c r="B210" s="21"/>
      <c r="C210" s="21"/>
      <c r="D210" s="21"/>
      <c r="E210" s="21"/>
      <c r="F210" s="21"/>
    </row>
    <row r="211" spans="1:6">
      <c r="A211" s="21"/>
      <c r="B211" s="21"/>
      <c r="C211" s="21"/>
      <c r="D211" s="21"/>
      <c r="E211" s="21"/>
      <c r="F211" s="21"/>
    </row>
  </sheetData>
  <mergeCells count="7">
    <mergeCell ref="A1:F1"/>
    <mergeCell ref="A208:B208"/>
    <mergeCell ref="C208:D208"/>
    <mergeCell ref="E208:F208"/>
    <mergeCell ref="A209:B211"/>
    <mergeCell ref="C209:D211"/>
    <mergeCell ref="E209:F211"/>
  </mergeCells>
  <dataValidations count="2">
    <dataValidation type="list" showErrorMessage="1" error="Lütfen listeden müdürlük seçin." sqref="B4" xr:uid="{00000000-0002-0000-0300-000000000000}">
      <formula1>LST_MUDURLUK</formula1>
      <formula2>0</formula2>
    </dataValidation>
    <dataValidation type="list" showErrorMessage="1" error="Lütfen listeden ay seçin." sqref="E4" xr:uid="{00000000-0002-0000-0300-000001000000}">
      <formula1>LST_AY</formula1>
      <formula2>0</formula2>
    </dataValidation>
  </dataValidations>
  <pageMargins left="0.4" right="0.4" top="0.5" bottom="0.5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7"/>
  <sheetViews>
    <sheetView showGridLines="0" zoomScaleNormal="100" workbookViewId="0"/>
  </sheetViews>
  <sheetFormatPr defaultColWidth="8.7109375" defaultRowHeight="15"/>
  <cols>
    <col min="1" max="1" width="32" customWidth="1"/>
    <col min="2" max="2" width="18" customWidth="1"/>
    <col min="3" max="3" width="22" customWidth="1"/>
    <col min="4" max="4" width="20" customWidth="1"/>
    <col min="5" max="5" width="12" customWidth="1"/>
  </cols>
  <sheetData>
    <row r="1" spans="1:5" ht="17.25">
      <c r="A1" s="15" t="s">
        <v>50</v>
      </c>
    </row>
    <row r="3" spans="1:5">
      <c r="A3" s="16" t="s">
        <v>51</v>
      </c>
      <c r="B3" s="16" t="s">
        <v>6</v>
      </c>
      <c r="C3" s="16" t="s">
        <v>7</v>
      </c>
      <c r="D3" s="16" t="s">
        <v>3</v>
      </c>
      <c r="E3" s="16" t="s">
        <v>22</v>
      </c>
    </row>
    <row r="4" spans="1:5">
      <c r="A4" s="17" t="s">
        <v>13</v>
      </c>
      <c r="B4" s="17" t="s">
        <v>14</v>
      </c>
      <c r="C4" s="17" t="s">
        <v>15</v>
      </c>
      <c r="D4" s="17" t="s">
        <v>52</v>
      </c>
      <c r="E4" s="17" t="s">
        <v>41</v>
      </c>
    </row>
    <row r="5" spans="1:5">
      <c r="A5" s="17" t="s">
        <v>53</v>
      </c>
      <c r="B5" s="17" t="s">
        <v>54</v>
      </c>
      <c r="C5" s="17" t="s">
        <v>55</v>
      </c>
      <c r="D5" s="17" t="s">
        <v>11</v>
      </c>
      <c r="E5" s="17" t="s">
        <v>56</v>
      </c>
    </row>
    <row r="6" spans="1:5">
      <c r="A6" s="17" t="s">
        <v>57</v>
      </c>
      <c r="B6" s="17" t="s">
        <v>58</v>
      </c>
      <c r="D6" s="17" t="s">
        <v>59</v>
      </c>
      <c r="E6" s="17" t="s">
        <v>60</v>
      </c>
    </row>
    <row r="7" spans="1:5">
      <c r="A7" s="17" t="s">
        <v>61</v>
      </c>
      <c r="D7" s="17" t="s">
        <v>62</v>
      </c>
      <c r="E7" s="17" t="s">
        <v>63</v>
      </c>
    </row>
    <row r="8" spans="1:5">
      <c r="A8" s="17" t="s">
        <v>64</v>
      </c>
      <c r="D8" s="17" t="s">
        <v>65</v>
      </c>
      <c r="E8" s="17" t="s">
        <v>66</v>
      </c>
    </row>
    <row r="9" spans="1:5">
      <c r="A9" s="17" t="s">
        <v>67</v>
      </c>
      <c r="D9" s="17" t="s">
        <v>68</v>
      </c>
      <c r="E9" s="17" t="s">
        <v>69</v>
      </c>
    </row>
    <row r="10" spans="1:5">
      <c r="A10" s="17" t="s">
        <v>70</v>
      </c>
      <c r="D10" s="17" t="s">
        <v>71</v>
      </c>
      <c r="E10" s="17" t="s">
        <v>72</v>
      </c>
    </row>
    <row r="11" spans="1:5">
      <c r="A11" s="17" t="s">
        <v>73</v>
      </c>
      <c r="D11" s="17" t="s">
        <v>74</v>
      </c>
      <c r="E11" s="17" t="s">
        <v>75</v>
      </c>
    </row>
    <row r="12" spans="1:5">
      <c r="A12" s="17" t="s">
        <v>76</v>
      </c>
      <c r="E12" s="17" t="s">
        <v>77</v>
      </c>
    </row>
    <row r="13" spans="1:5">
      <c r="A13" s="17" t="s">
        <v>78</v>
      </c>
      <c r="E13" s="17" t="s">
        <v>79</v>
      </c>
    </row>
    <row r="14" spans="1:5">
      <c r="A14" s="17" t="s">
        <v>80</v>
      </c>
      <c r="E14" s="17" t="s">
        <v>81</v>
      </c>
    </row>
    <row r="15" spans="1:5">
      <c r="A15" s="17" t="s">
        <v>82</v>
      </c>
      <c r="E15" s="17" t="s">
        <v>83</v>
      </c>
    </row>
    <row r="16" spans="1:5">
      <c r="A16" s="17" t="s">
        <v>84</v>
      </c>
    </row>
    <row r="17" spans="1:1">
      <c r="A17" s="17" t="s">
        <v>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2026-07-13T06:43:10Z</dcterms:created>
  <dcterms:modified xsi:type="dcterms:W3CDTF">2026-07-13T06:45:58Z</dcterms:modified>
  <cp:category/>
  <cp:contentStatus/>
</cp:coreProperties>
</file>